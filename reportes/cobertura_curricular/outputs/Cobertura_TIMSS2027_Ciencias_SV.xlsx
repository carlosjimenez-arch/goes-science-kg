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Resumen TIMSS y PISA" sheetId="2" state="visible" r:id="rId2"/>
    <sheet xmlns:r="http://schemas.openxmlformats.org/officeDocument/2006/relationships" name="Apego TIMSS y PISA" sheetId="3" state="visible" r:id="rId3"/>
    <sheet xmlns:r="http://schemas.openxmlformats.org/officeDocument/2006/relationships" name="Presupuesto de temas" sheetId="4" state="visible" r:id="rId4"/>
    <sheet xmlns:r="http://schemas.openxmlformats.org/officeDocument/2006/relationships" name="TIMSS - Balance por ciclo" sheetId="5" state="visible" r:id="rId5"/>
    <sheet xmlns:r="http://schemas.openxmlformats.org/officeDocument/2006/relationships" name="TIMSS - Balance por grado" sheetId="6" state="visible" r:id="rId6"/>
    <sheet xmlns:r="http://schemas.openxmlformats.org/officeDocument/2006/relationships" name="TIMSS - Semáforo de objetivos" sheetId="7" state="visible" r:id="rId7"/>
    <sheet xmlns:r="http://schemas.openxmlformats.org/officeDocument/2006/relationships" name="TIMSS - Conocer-Aplicar-Razonar" sheetId="8" state="visible" r:id="rId8"/>
    <sheet xmlns:r="http://schemas.openxmlformats.org/officeDocument/2006/relationships" name="TIMSS - Medio ambiente" sheetId="9" state="visible" r:id="rId9"/>
    <sheet xmlns:r="http://schemas.openxmlformats.org/officeDocument/2006/relationships" name="TIMSS - Investigación" sheetId="10" state="visible" r:id="rId10"/>
    <sheet xmlns:r="http://schemas.openxmlformats.org/officeDocument/2006/relationships" name="TIMSS - Otros países" sheetId="11" state="visible" r:id="rId11"/>
    <sheet xmlns:r="http://schemas.openxmlformats.org/officeDocument/2006/relationships" name="PISA - Contenidos" sheetId="12" state="visible" r:id="rId12"/>
    <sheet xmlns:r="http://schemas.openxmlformats.org/officeDocument/2006/relationships" name="PISA - Competencias" sheetId="13" state="visible" r:id="rId13"/>
    <sheet xmlns:r="http://schemas.openxmlformats.org/officeDocument/2006/relationships" name="PISA - Tipos de conocimiento" sheetId="14" state="visible" r:id="rId14"/>
    <sheet xmlns:r="http://schemas.openxmlformats.org/officeDocument/2006/relationships" name="PISA - Contextos" sheetId="15" state="visible" r:id="rId15"/>
    <sheet xmlns:r="http://schemas.openxmlformats.org/officeDocument/2006/relationships" name="Datos - Temas" sheetId="16" state="visible" r:id="rId16"/>
    <sheet xmlns:r="http://schemas.openxmlformats.org/officeDocument/2006/relationships" name="Datos - Catálogo TIMSS" sheetId="17" state="visible" r:id="rId17"/>
    <sheet xmlns:r="http://schemas.openxmlformats.org/officeDocument/2006/relationships" name="Datos - Catálogo PISA" sheetId="18" state="visible" r:id="rId18"/>
    <sheet xmlns:r="http://schemas.openxmlformats.org/officeDocument/2006/relationships" name="Datos - Objetivos de países" sheetId="19" state="visible" r:id="rId19"/>
    <sheet xmlns:r="http://schemas.openxmlformats.org/officeDocument/2006/relationships" name="Datos - TIMSS 2023" sheetId="20" state="visible" r:id="rId20"/>
    <sheet xmlns:r="http://schemas.openxmlformats.org/officeDocument/2006/relationships" name="Fuentes" sheetId="21" state="visible" r:id="rId21"/>
  </sheets>
  <definedNames>
    <definedName name="_xlnm._FilterDatabase" localSheetId="3" hidden="1">'Presupuesto de temas'!$A$23:$Q$191</definedName>
    <definedName name="_xlnm._FilterDatabase" localSheetId="6" hidden="1">'TIMSS - Semáforo de objetivos'!$A$4:$T$107</definedName>
    <definedName name="_xlnm._FilterDatabase" localSheetId="10" hidden="1">'TIMSS - Otros países'!$A$4:$L$84</definedName>
    <definedName name="_xlnm._FilterDatabase" localSheetId="15" hidden="1">'Datos - Temas'!$A$4:$AW$1264</definedName>
    <definedName name="_xlnm._FilterDatabase" localSheetId="16" hidden="1">'Datos - Catálogo TIMSS'!$A$4:$K$107</definedName>
    <definedName name="_xlnm._FilterDatabase" localSheetId="17" hidden="1">'Datos - Catálogo PISA'!$A$4:$G$76</definedName>
    <definedName name="_xlnm._FilterDatabase" localSheetId="18" hidden="1">'Datos - Objetivos de países'!$A$4:$N$510</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0.0"/>
    <numFmt numFmtId="167" formatCode="+0.0&quot; pp&quot;;-0.0&quot; pp&quot;;0.0&quot; pp&quot;"/>
    <numFmt numFmtId="168" formatCode="0.0&quot; pp&quot;"/>
  </numFmts>
  <fonts count="10">
    <font>
      <name val="Calibri"/>
      <family val="2"/>
      <color theme="1"/>
      <sz val="11"/>
      <scheme val="minor"/>
    </font>
    <font>
      <name val="Arial"/>
      <b val="1"/>
      <color rgb="001E4D3A"/>
      <sz val="14"/>
    </font>
    <font>
      <name val="Arial"/>
      <i val="1"/>
      <color rgb="00555555"/>
      <sz val="9"/>
    </font>
    <font>
      <name val="Arial"/>
      <b val="1"/>
      <color rgb="00FFFFFF"/>
      <sz val="10"/>
    </font>
    <font>
      <name val="Arial"/>
      <sz val="10"/>
    </font>
    <font>
      <name val="Arial"/>
      <b val="1"/>
      <color rgb="007A4A00"/>
      <sz val="10"/>
    </font>
    <font>
      <name val="Arial"/>
      <b val="1"/>
      <sz val="10"/>
    </font>
    <font>
      <name val="Arial"/>
      <b val="1"/>
      <color rgb="001E4D3A"/>
      <sz val="11"/>
    </font>
    <font>
      <name val="Arial"/>
      <color rgb="002E6B30"/>
      <sz val="10"/>
    </font>
    <font>
      <name val="Arial"/>
      <color rgb="001E4D3A"/>
      <sz val="11"/>
    </font>
  </fonts>
  <fills count="5">
    <fill>
      <patternFill/>
    </fill>
    <fill>
      <patternFill patternType="gray125"/>
    </fill>
    <fill>
      <patternFill patternType="solid">
        <fgColor rgb="001E4D3A"/>
      </patternFill>
    </fill>
    <fill>
      <patternFill patternType="solid">
        <fgColor rgb="00FFF2CC"/>
      </patternFill>
    </fill>
    <fill>
      <patternFill patternType="solid">
        <fgColor rgb="00E6EFE9"/>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4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7" fillId="4" borderId="1"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9" fillId="4" borderId="1" applyAlignment="1" pivotButton="0" quotePrefix="0" xfId="0">
      <alignment vertical="top" wrapText="1"/>
    </xf>
    <xf numFmtId="0" fontId="0" fillId="0" borderId="4" pivotButton="0" quotePrefix="0" xfId="0"/>
    <xf numFmtId="0" fontId="0" fillId="0" borderId="5" pivotButton="0" quotePrefix="0" xfId="0"/>
    <xf numFmtId="0" fontId="3" fillId="2" borderId="1" applyAlignment="1" pivotButton="0" quotePrefix="0" xfId="0">
      <alignment horizontal="center" vertical="center" wrapText="1"/>
    </xf>
    <xf numFmtId="0" fontId="4" fillId="0" borderId="1" pivotButton="0" quotePrefix="0" xfId="0"/>
    <xf numFmtId="0" fontId="8" fillId="0" borderId="1" pivotButton="0" quotePrefix="0" xfId="0"/>
    <xf numFmtId="164" fontId="4" fillId="0" borderId="1" pivotButton="0" quotePrefix="0" xfId="0"/>
    <xf numFmtId="164" fontId="8" fillId="0" borderId="1" pivotButton="0" quotePrefix="0" xfId="0"/>
    <xf numFmtId="9" fontId="8" fillId="0" borderId="1" pivotButton="0" quotePrefix="0" xfId="0"/>
    <xf numFmtId="0" fontId="7" fillId="0" borderId="0" pivotButton="0" quotePrefix="0" xfId="0"/>
    <xf numFmtId="0" fontId="8" fillId="0" borderId="1" applyAlignment="1" pivotButton="0" quotePrefix="0" xfId="0">
      <alignment vertical="top" wrapText="1"/>
    </xf>
    <xf numFmtId="164" fontId="8" fillId="0" borderId="1" applyAlignment="1" pivotButton="0" quotePrefix="0" xfId="0">
      <alignment vertical="top" wrapText="1"/>
    </xf>
    <xf numFmtId="0" fontId="6" fillId="0" borderId="1" applyAlignment="1" pivotButton="0" quotePrefix="0" xfId="0">
      <alignment vertical="top" wrapText="1"/>
    </xf>
    <xf numFmtId="0" fontId="6" fillId="0" borderId="0" pivotButton="0" quotePrefix="0" xfId="0"/>
    <xf numFmtId="9" fontId="5" fillId="3" borderId="1" pivotButton="0" quotePrefix="0" xfId="0"/>
    <xf numFmtId="164" fontId="6" fillId="0" borderId="1" pivotButton="0" quotePrefix="0" xfId="0"/>
    <xf numFmtId="0" fontId="6" fillId="4" borderId="1" pivotButton="0" quotePrefix="0" xfId="0"/>
    <xf numFmtId="164" fontId="6" fillId="4" borderId="1" pivotButton="0" quotePrefix="0" xfId="0"/>
    <xf numFmtId="0" fontId="2" fillId="0" borderId="0" pivotButton="0" quotePrefix="0" xfId="0"/>
    <xf numFmtId="9" fontId="2" fillId="0" borderId="0" pivotButton="0" quotePrefix="0" xfId="0"/>
    <xf numFmtId="164" fontId="5" fillId="3" borderId="1" pivotButton="0" quotePrefix="0" xfId="0"/>
    <xf numFmtId="165" fontId="4" fillId="0" borderId="1" pivotButton="0" quotePrefix="0" xfId="0"/>
    <xf numFmtId="165" fontId="8" fillId="0" borderId="1" pivotButton="0" quotePrefix="0" xfId="0"/>
    <xf numFmtId="0" fontId="4" fillId="0" borderId="1" applyAlignment="1" pivotButton="0" quotePrefix="0" xfId="0">
      <alignment vertical="top" wrapText="1"/>
    </xf>
    <xf numFmtId="0" fontId="5" fillId="3" borderId="1" applyAlignment="1" pivotButton="0" quotePrefix="0" xfId="0">
      <alignment vertical="top" wrapText="1"/>
    </xf>
    <xf numFmtId="168" fontId="4" fillId="0" borderId="1" pivotButton="0" quotePrefix="0" xfId="0"/>
    <xf numFmtId="0" fontId="6" fillId="0" borderId="1" pivotButton="0" quotePrefix="0" xfId="0"/>
    <xf numFmtId="9" fontId="6" fillId="4" borderId="1" pivotButton="0" quotePrefix="0" xfId="0"/>
    <xf numFmtId="0" fontId="5" fillId="3" borderId="1" pivotButton="0" quotePrefix="0" xfId="0"/>
    <xf numFmtId="165" fontId="4" fillId="0" borderId="1" applyAlignment="1" pivotButton="0" quotePrefix="0" xfId="0">
      <alignment vertical="top" wrapText="1"/>
    </xf>
    <xf numFmtId="164" fontId="4" fillId="0" borderId="1" applyAlignment="1" pivotButton="0" quotePrefix="0" xfId="0">
      <alignment vertical="top" wrapText="1"/>
    </xf>
    <xf numFmtId="0" fontId="4" fillId="0" borderId="1" applyAlignment="1" pivotButton="0" quotePrefix="0" xfId="0">
      <alignment vertical="top"/>
    </xf>
    <xf numFmtId="2" fontId="4" fillId="0" borderId="1" pivotButton="0" quotePrefix="0" xfId="0"/>
    <xf numFmtId="9" fontId="5" fillId="3" borderId="1" applyAlignment="1" pivotButton="0" quotePrefix="0" xfId="0">
      <alignment vertical="top" wrapText="1"/>
    </xf>
    <xf numFmtId="0" fontId="4" fillId="0" borderId="1" applyAlignment="1" pivotButton="0" quotePrefix="0" xfId="0">
      <alignment horizontal="center" vertical="center" wrapText="1"/>
    </xf>
    <xf numFmtId="9" fontId="4" fillId="0" borderId="1" applyAlignment="1" pivotButton="0" quotePrefix="0" xfId="0">
      <alignment vertical="top" wrapText="1"/>
    </xf>
    <xf numFmtId="0" fontId="4" fillId="0" borderId="0" pivotButton="0" quotePrefix="0" xfId="0"/>
  </cellXfs>
  <cellStyles count="1">
    <cellStyle name="Normal" xfId="0" builtinId="0" hidden="0"/>
  </cellStyles>
  <dxfs count="12">
    <dxf>
      <fill>
        <patternFill patternType="solid">
          <fgColor rgb="00A9D08E"/>
        </patternFill>
      </fill>
    </dxf>
    <dxf>
      <fill>
        <patternFill patternType="solid">
          <fgColor rgb="00FFE699"/>
        </patternFill>
      </fill>
    </dxf>
    <dxf>
      <fill>
        <patternFill patternType="solid">
          <fgColor rgb="00F8CBAD"/>
        </patternFill>
      </fill>
    </dxf>
    <dxf>
      <fill>
        <patternFill patternType="solid">
          <fgColor rgb="00EDEDED"/>
        </patternFill>
      </fill>
    </dxf>
    <dxf>
      <fill>
        <patternFill patternType="solid">
          <fgColor rgb="00C6EFCE"/>
        </patternFill>
      </fill>
    </dxf>
    <dxf>
      <fill>
        <patternFill patternType="solid">
          <fgColor rgb="00F6F7F5"/>
        </patternFill>
      </fill>
    </dxf>
    <dxf>
      <font>
        <name val="Arial"/>
        <color rgb="00A6A6A6"/>
        <sz val="9"/>
      </font>
      <fill>
        <patternFill patternType="solid">
          <fgColor rgb="00EDEDED"/>
        </patternFill>
      </fill>
    </dxf>
    <dxf>
      <fill>
        <patternFill patternType="solid">
          <fgColor rgb="00C6E0B4"/>
        </patternFill>
      </fill>
    </dxf>
    <dxf>
      <fill>
        <patternFill patternType="solid">
          <fgColor rgb="00E2F0D9"/>
        </patternFill>
      </fill>
    </dxf>
    <dxf>
      <font>
        <name val="Arial"/>
        <color rgb="00BFBFBF"/>
        <sz val="10"/>
      </font>
    </dxf>
    <dxf>
      <font>
        <name val="Arial"/>
        <b val="1"/>
        <sz val="10"/>
      </font>
    </dxf>
    <dxf>
      <fill>
        <patternFill patternType="solid">
          <f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Claude</author>
  </authors>
  <commentList>
    <comment ref="E4" authorId="0" shapeId="0">
      <text>
        <t>Supuesto editable. El equipo GOES anticipa que PISA será prioridad en 7.°–9.°; 50 % es neutral.</t>
      </text>
    </comment>
  </commentList>
</comments>
</file>

<file path=xl/comments/comment2.xml><?xml version="1.0" encoding="utf-8"?>
<comments xmlns="http://schemas.openxmlformats.org/spreadsheetml/2006/main">
  <authors>
    <author>Claude</author>
  </authors>
  <commentList>
    <comment ref="H2" authorId="0" shapeId="0">
      <text>
        <t>Supuesto editable. 5 pp = margen razonable para un conteo por temas.</t>
      </text>
    </comment>
  </commentList>
</comments>
</file>

<file path=xl/comments/comment3.xml><?xml version="1.0" encoding="utf-8"?>
<comments xmlns="http://schemas.openxmlformats.org/spreadsheetml/2006/main">
  <authors>
    <author>Claude</author>
  </authors>
  <commentList>
    <comment ref="H2" authorId="0" shapeId="0">
      <text>
        <t>Supuesto editable. 5 pp = margen razonable para un conteo por temas.</t>
      </text>
    </comment>
  </commentList>
</comments>
</file>

<file path=xl/comments/comment4.xml><?xml version="1.0" encoding="utf-8"?>
<comments xmlns="http://schemas.openxmlformats.org/spreadsheetml/2006/main">
  <authors>
    <author>Claude</author>
  </authors>
  <commentList>
    <comment ref="E3" authorId="0" shapeId="0">
      <text>
        <t>TIMSS 2027, cap. 2, p. 23: «aproximadamente 25 por ciento» de los ítems de ciencias. Editable.</t>
      </text>
    </comment>
  </commentList>
</comments>
</file>

<file path=xl/comments/comment5.xml><?xml version="1.0" encoding="utf-8"?>
<comments xmlns="http://schemas.openxmlformats.org/spreadsheetml/2006/main">
  <authors>
    <author>Claude</author>
  </authors>
  <commentList>
    <comment ref="L3" authorId="0" shapeId="0">
      <text>
        <t>Supuesto editable. 1.° grado no tiene malla en El Salvador: si otro país introduce algo en 1.°, se compara como 2.°.</t>
      </text>
    </comment>
  </commentList>
</comments>
</file>

<file path=xl/comments/comment6.xml><?xml version="1.0" encoding="utf-8"?>
<comments xmlns="http://schemas.openxmlformats.org/spreadsheetml/2006/main">
  <authors>
    <author>Claude</author>
  </authors>
  <commentList>
    <comment ref="H2" authorId="0" shapeId="0">
      <text>
        <t>Supuesto editable. 5 pp = margen razonable para un conteo por temas.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7F7F7F"/>
    <outlinePr summaryBelow="1" summaryRight="1"/>
    <pageSetUpPr/>
  </sheetPr>
  <dimension ref="A1:B52"/>
  <sheetViews>
    <sheetView showGridLines="0" workbookViewId="0">
      <selection activeCell="A1" sqref="A1"/>
    </sheetView>
  </sheetViews>
  <sheetFormatPr baseColWidth="8" defaultRowHeight="15"/>
  <cols>
    <col width="4" customWidth="1" min="1" max="1"/>
    <col width="120" customWidth="1" min="2" max="2"/>
  </cols>
  <sheetData>
    <row r="1" ht="40" customHeight="1">
      <c r="B1" s="1" t="inlineStr">
        <is>
          <t>Cobertura de la malla de Ciencia y Tecnología frente a TIMSS 2027 y PISA 2025 — hallazgos, cómo se construyó y cómo leerla</t>
        </is>
      </c>
    </row>
    <row r="2" ht="28" customHeight="1">
      <c r="B2" s="2" t="inlineStr">
        <is>
          <t>Versión 3 (TIMSS 2027 + PISA 2025) · 2 de octubre de 2026 · Elaborado con Claude Code a partir de las mallas del equipo de Ciencias (MINED). Las versiones anteriores (TIMSS 2023) se conservan en Cobertura_TIMSS_Ciencias_SV.xlsx.</t>
        </is>
      </c>
    </row>
    <row r="3" ht="92" customHeight="1">
      <c r="B3" s="3">
        <f>"TIMSS 2027 y PISA 2025"&amp;"
"&amp;"BIEN · En lo acumulado la malla se parece a las pruebas: "&amp;FIXED('Apego TIMSS y PISA'!F17*100,0)&amp;" %"&amp;" (TIMSS 4.°), "&amp;FIXED('Apego TIMSS y PISA'!F18*100,0)&amp;" %"&amp;" (TIMSS 8.°) y "&amp;FIXED('Apego TIMSS y PISA'!F23*100,0)&amp;" %"&amp;" (PISA) de apego."&amp;"
"&amp;"OJO · TIMSS: falta Biología en 5.°, luz-sonido-electricidad en 4.° y más Razonar en 6.° y 8.°."&amp;"
"&amp;"OJO · PISA: falta biología en 9.°, Tierra y espacio en 8.°, y enseñar a evaluar información y el porqué de la ciencia."&amp;"
"&amp;"→ Empieza por «Resumen TIMSS y PISA» y «Presupuesto de temas». Las pestañas que empiezan con TIMSS o PISA tienen el detalle de cada prueba."</f>
        <v/>
      </c>
    </row>
    <row r="4"/>
    <row r="5">
      <c r="B5" s="4" t="inlineStr">
        <is>
          <t>Resumen ejecutivo (las cifras se recalculan con el libro)</t>
        </is>
      </c>
    </row>
    <row r="6" ht="49" customHeight="1">
      <c r="B6" s="5">
        <f>"1. Apego general. En lo acumulado, la malla se parece mucho a lo que piden las pruebas: índice de apego de "&amp;FIXED('Apego TIMSS y PISA'!F17*100,0)&amp;" %"&amp;" frente a TIMSS 4.° (2.°–4.°), "&amp;FIXED('Apego TIMSS y PISA'!F18*100,0)&amp;" %"&amp;" frente a TIMSS 8.° (5.°–8.°) y "&amp;FIXED('Apego TIMSS y PISA'!F23*100,0)&amp;" %"&amp;" frente a PISA (7.°–9.°). Cubre "&amp;'TIMSS - Semáforo de objetivos'!D115&amp;" de "&amp;'TIMSS - Semáforo de objetivos'!C115&amp;" objetivos de TIMSS 4.°, "&amp;'TIMSS - Semáforo de objetivos'!D120&amp;" de "&amp;'TIMSS - Semáforo de objetivos'!C120&amp;" de TIMSS 8.° y "&amp;'PISA - Contenidos'!C55&amp;" de 21 categorías de contenido de PISA. Los problemas están en el reparto entre grados y en las capas propias de PISA."</f>
        <v/>
      </c>
    </row>
    <row r="7" ht="64" customHeight="1">
      <c r="B7" s="5">
        <f>"2. Grados a mejorar. 5.° es el grado con menor apego ("&amp;FIXED('Apego TIMSS y PISA'!F11*100,0)&amp;" %"&amp;"): le faltan unos "&amp;FIXED('TIMSS - Balance por grado'!I21,0)&amp;" temas de Biología del marco de 8.°, que Uruguay, Colombia y Singapur enseñan en 5.°–6.° y El Salvador recién en 6.°–7.°. En 4.° faltan unos "&amp;FIXED('TIMSS - Balance por grado'!I17,0)&amp;" temas de Ciencias físicas (luz, sonido, electricidad, imanes). 8.° tiene solo "&amp;'PISA - Contenidos'!D13&amp;" temas de Tierra y espacio y 9.° solo "&amp;'PISA - Contenidos'!D17&amp;" de sistemas vivos (ni célula, ni genética, ni salud humana). En 6.° y 8.° Razonar queda en "&amp;FIXED('TIMSS - Conocer-Aplicar-Razonar'!I9*100,0)&amp;" %"&amp;" y "&amp;FIXED('TIMSS - Conocer-Aplicar-Razonar'!I11*100,0)&amp;" %"&amp;" (meta TIMSS 30 %)."</f>
        <v/>
      </c>
    </row>
    <row r="8" ht="49" customHeight="1">
      <c r="B8" s="5">
        <f>"3. Competencias PISA. La malla declara una competencia y cinco subcompetencias por tema (columnas de la propia malla). En 7.°–9.° la competencia 3, «Investigar, evaluar y usar información para decidir», llega a "&amp;FIXED('PISA - Competencias'!H16*100,0)&amp;" %"&amp;" de los temas (PISA: 24–36 %); distinguir evidencia de opinión (I2), criticar argumentos (I4) y formular hipótesis (E5) casi no aparecen. La competencia 2 está sobrerrepresentada ("&amp;FIXED('PISA - Competencias'!G16*100,0)&amp;" %"&amp;")."</f>
        <v/>
      </c>
    </row>
    <row r="9" ht="49" customHeight="1">
      <c r="B9" s="5">
        <f>"4. Conocimiento procedimental y epistémico (lo que más agrega PISA). Solo "&amp;FIXED('PISA - Tipos de conocimiento'!G16*100,0)&amp;" %"&amp;" de los temas de 7.°–9.° tienen como foco el conocimiento procedimental (PISA: 27–33 %) y ninguno el epistémico (24–30 %). "&amp;'PISA - Tipos de conocimiento'!E57&amp;" de los 20 elementos epistémicos (modelos frente a realidad, consenso, revisión por pares, límites de la certeza) no se trabajan en ningún tema."</f>
        <v/>
      </c>
    </row>
    <row r="10" ht="34" customHeight="1">
      <c r="B10" s="5">
        <f>"5. Contextos. "&amp;FIXED('PISA - Contextos'!G16*100,0)&amp;" %"&amp;" de los temas de 7.°–9.° no sitúan la ciencia en una situación real ("&amp;FIXED('PISA - Contextos'!G14*100,0)&amp;" %"&amp;" en 8.°). Cuando hay contexto, el reparto personal / local / global se parece al 1:2:1 de PISA."</f>
        <v/>
      </c>
    </row>
    <row r="11" ht="34" customHeight="1">
      <c r="B11" s="5">
        <f>"6. Frente a otros países, El Salvador introduce "&amp;COUNTIF('TIMSS - Otros países'!$K$5:$K$84,"El Salvador llega más tarde")&amp;" objetivos TIMSS más tarde que la mediana, "&amp;COUNTIF('TIMSS - Otros países'!$K$5:$K$84,"El Salvador va adelantado")&amp;" antes y no trabaja "&amp;COUNTIF('TIMSS - Otros países'!$K$5:$K$84,"El Salvador no llega")&amp;" que otros sí (herencia y propiedades de la luz)."</f>
        <v/>
      </c>
    </row>
    <row r="12"/>
    <row r="13">
      <c r="B13" s="4" t="inlineStr">
        <is>
          <t>Recomendaciones</t>
        </is>
      </c>
    </row>
    <row r="14" ht="28" customHeight="1">
      <c r="B14" s="5" t="inlineStr">
        <is>
          <t>R1. Decidir el peso de PISA en 7.° y 8.° (hoja Apego TIMSS y PISA, celda E4). Sugerencia mientras se decide: PISA como guía en 7.° y 9.°, y 50/50 en 8.° si El Salvador rinde TIMSS 2027 (8.° es el grado que TIMSS evalúa).</t>
        </is>
      </c>
    </row>
    <row r="15" ht="34" customHeight="1">
      <c r="B15" s="5">
        <f>"R2. 2.°–4.° (hoja Presupuesto de temas): fusionar temas repetidos de Biología para liberar "&amp;FIXED('Presupuesto de temas'!J9,0)&amp;" espacios e insertar "&amp;FIXED('Presupuesto de temas'!G9,0)&amp;" temas de Ciencias físicas y de la Tierra (luz, sonido, circuitos, imanes, tiempo atmosférico) y "&amp;FIXED('Presupuesto de temas'!H9,0)&amp;" de herencia (B2.2), sin cambiar el total."</f>
        <v/>
      </c>
    </row>
    <row r="16" ht="42" customHeight="1">
      <c r="B16" s="5" t="inlineStr">
        <is>
          <t>R3. 5.°–8.°: el total por dominio ya está en meta; no hace falta agregar temas. Conviene REUBICAR (Presupuesto, acción «reubicar»): adelantar Biología de 7.° a 5.°, insertar luz (con una fusión de Física) y traer al ciclo los movimientos de la Tierra y la Luna (hoy en 9.°), y subir tareas de Razonar en 6.° y 8.°.</t>
        </is>
      </c>
    </row>
    <row r="17" ht="34" customHeight="1">
      <c r="B17" s="5">
        <f>"R4. 7.°–9.° (PISA): fusionar temas de física y química que se repiten (liberan "&amp;FIXED('Presupuesto de temas'!J20,0)&amp;") para insertar "&amp;FIXED('Presupuesto de temas'!G20,0)&amp;" temas de sistemas vivos (sobre todo en 9.°: célula, salud, genética, evolución) y de Tierra y espacio (sobre todo en 8.°: universo, historia de la Tierra)."</f>
        <v/>
      </c>
    </row>
    <row r="18" ht="42" customHeight="1">
      <c r="B18" s="5" t="inlineStr">
        <is>
          <t>R5. Capas PISA: en cada unidad de 7.°–9.°, al menos un tema o fase que trabaje lo epistémico (por qué se confía en un modelo o en una conclusión) y la competencia 3 (evaluar fuentes, distinguir evidencia de opinión, criticar argumentos con datos), situado en un contexto local o personal. No requiere temas nuevos: cambia la fase «Reforzar».</t>
        </is>
      </c>
    </row>
    <row r="19" ht="42" customHeight="1">
      <c r="B19" s="5" t="inlineStr">
        <is>
          <t>R6. Validar antes de decidir: las clasificaciones y los candidatos del presupuesto son asistidos por IA. El equipo de Ciencias debe revisar primero los de confianza baja (columna «Decisión del equipo» en Presupuesto y outputs/revision_confianza_baja_timss2027.csv).</t>
        </is>
      </c>
    </row>
    <row r="20"/>
    <row r="21">
      <c r="B21" s="4" t="inlineStr">
        <is>
          <t>Qué responde este libro</t>
        </is>
      </c>
    </row>
    <row r="22" ht="28" customHeight="1">
      <c r="B22" s="5" t="inlineStr">
        <is>
          <t>1. Balance: ¿el reparto de temas entre Vida / Física / Química / Tierra se parece al peso que TIMSS da a cada dominio? ¿Cuántos temas faltan o sobran para llegar a la meta?</t>
        </is>
      </c>
    </row>
    <row r="23" ht="28" customHeight="1">
      <c r="B23" s="5" t="inlineStr">
        <is>
          <t>2. Amplitud: ¿qué objetivos de contenido de TIMSS aparecen en la malla, en qué grado, con cuántos temas, y cuáles no aparecen?</t>
        </is>
      </c>
    </row>
    <row r="24" ht="56" customHeight="1">
      <c r="B24" s="5" t="inlineStr">
        <is>
          <t>3. Profundidad cognitiva: ¿la proporción Conocer / Aplicar / Razonar se parece a la de TIMSS? 4. PISA (7.°–9.°): ¿cubre los sistemas y categorías de contenido, las tres competencias y sus subcompetencias, el conocimiento procedimental y epistémico, y los contextos que PISA evalúa? 5. ¿Qué insertar y qué fusionar para acercarse a las metas sin aumentar la carga?</t>
        </is>
      </c>
    </row>
    <row r="25"/>
    <row r="26">
      <c r="B26" s="4" t="inlineStr">
        <is>
          <t>Proceso (de dónde salen los números)</t>
        </is>
      </c>
    </row>
    <row r="27" ht="42" customHeight="1">
      <c r="B27" s="5" t="inlineStr">
        <is>
          <t>Paso 1 · Extracción. Se leyeron las 11 mallas (2.° a 9.° y Física, Química, Biología de 10.° y 11.°). Cada fila con «Procedimental» es un TEMA: 1.260 en total. Se conservan archivo, hoja y fila de origen (hoja Datos - Temas, columnas D-F) para poder volver a la malla.</t>
        </is>
      </c>
    </row>
    <row r="28" ht="56" customHeight="1">
      <c r="B28" s="5" t="inlineStr">
        <is>
          <t>Paso 2 · Catálogo de referencia. Objetivos de contenido de TIMSS 2027 (4.° grado: 32; 8.° grado: 48), construidos desde el PDF oficial con página citada, y TIMSS Advanced 2015 Física (23), con su dominio y el % que TIMSS asigna a cada dominio (hoja Datos - Catálogo TIMSS, celdas ámbar = valores tomados del marco y editables). Novedades 2027: áreas de Investigaciones en cada dominio y subescala de conocimiento ambiental.</t>
        </is>
      </c>
    </row>
    <row r="29" ht="56" customHeight="1">
      <c r="B29" s="5" t="inlineStr">
        <is>
          <t>Paso 3 · Clasificación. Los 622 temas de 2.° a 9.° se reclasificaron contra TIMSS 2027 con agentes de IA (instrucciones fijas, un lote por grado), usando la clasificación 2023 y la tabla de equivalencias solo como referencia. Física 10.°–11.° conserva la clasificación TIMSS Advanced 2015. Un tema va a un área de Investigaciones solo si su foco es la práctica científica; si trabaja un contenido mediante indagación, la investigación va como secundaria.</t>
        </is>
      </c>
    </row>
    <row r="30" ht="42" customHeight="1">
      <c r="B30" s="5" t="inlineStr">
        <is>
          <t>Paso 4 · Reglas de grado. 2.°–4.° → TIMSS 2027 4.°; 5.°–8.° → TIMSS 2027 8.°; 7.°–9.° → PISA 2025 (7.° y 8.° con los dos marcos, 9.° solo PISA); Física 10.°–11.° → TIMSS Advanced 2015. Química y Biología de Bachillerato no tienen marco de contenido.</t>
        </is>
      </c>
    </row>
    <row r="31" ht="56" customHeight="1">
      <c r="B31" s="5" t="inlineStr">
        <is>
          <t>Paso 4-bis · PISA 2025. Catálogo desde el marco final (OECD 2026, cap. 2, con página). Los temas de 7.°–9.° se clasificaron con IA por categoría de contenido, tipo de conocimiento, elementos procedimentales y epistémicos, contexto, área de aplicación y demanda cognitiva. La competencia y las subcompetencias NO se clasificaron: salen de la propia malla (columnas «Competencia PISA 2025» y microhabilidades E/D/I por fase).</t>
        </is>
      </c>
    </row>
    <row r="32" ht="56" customHeight="1">
      <c r="B32" s="5" t="inlineStr">
        <is>
          <t>Paso 5 · Cálculo (todo con fórmulas). % actual = temas del dominio ÷ temas evaluables (sin FUERA). Temas esperados = meta × evaluables. Brecha = esperados − actuales (+ faltan, − sobran). «Temas a agregar sin quitar»: se busca el menor total que permite cumplir todas las metas sumando temas (lo fija el dominio más sobrerrepresentado: total = máx(actual ÷ meta)), y a cada dominio se le suma meta × total − actual, redondeado hacia arriba.</t>
        </is>
      </c>
    </row>
    <row r="33" ht="28" customHeight="1">
      <c r="B33" s="5" t="inlineStr">
        <is>
          <t>Paso 6 · Amplitud. Un objetivo está «cubierto» si al menos un tema lo trabaja como principal o secundario. Profundidad: 0 no cubierto, 1 débil, 2–3 básica, 4+ sólida.</t>
        </is>
      </c>
    </row>
    <row r="34" ht="28" customHeight="1">
      <c r="B34" s="5" t="inlineStr">
        <is>
          <t>Paso 7 · Cognitivo. Se usa la columna «Habilidad TIMSS» de la malla. Si un tema nombra varios dominios se reparte en partes iguales. Se compara con TIMSS 2027 (4.°: 35/40/25; 8.°: 35/35/30) y Advanced Física (30/40/30).</t>
        </is>
      </c>
    </row>
    <row r="35"/>
    <row r="36">
      <c r="B36" s="4" t="inlineStr">
        <is>
          <t>Hojas</t>
        </is>
      </c>
    </row>
    <row r="37" ht="28" customHeight="1">
      <c r="B37" s="5" t="inlineStr">
        <is>
          <t>Resumen TIMSS y PISA: una fila por grado y por ciclo con el dominio que más falta, el que más sobra, temas a agregar, amplitud y % Razonar.</t>
        </is>
      </c>
    </row>
    <row r="38">
      <c r="B38" s="5" t="inlineStr">
        <is>
          <t>TIMSS - Balance por grado y TIMSS - Balance por ciclo: detalle por dominio. Celda H2 = tolerancia editable para «En meta» (5 pp).</t>
        </is>
      </c>
    </row>
    <row r="39" ht="42" customHeight="1">
      <c r="B39" s="5" t="inlineStr">
        <is>
          <t>TIMSS - Semáforo de objetivos: matriz objetivo × grado con semáforo (rojo = no cubierto, amarillo = débil, verde = básica o sólida), «N/A» en grados que no pertenecen al ciclo del marco y una columna «Qué hacer» con dónde aparece hoy y la propuesta del Presupuesto (reemplaza a la hoja Faltantes).</t>
        </is>
      </c>
    </row>
    <row r="40" ht="42" customHeight="1">
      <c r="B40" s="5" t="inlineStr">
        <is>
          <t>Apego TIMSS y PISA: índice de apego por grado y ciclo, y escenarios 100 % TIMSS / 50-50 / 100 % PISA / personalizado para 7.° y 8.°. Presupuesto: cuántos temas insertar y fusionar por ciclo con el mismo total, y los candidatos concretos propuestos por IA.</t>
        </is>
      </c>
    </row>
    <row r="41">
      <c r="B41" s="5" t="inlineStr">
        <is>
          <t>TIMSS - Conocer-Aplicar-Razonar: Conocer / Aplicar / Razonar por grado y asignatura.</t>
        </is>
      </c>
    </row>
    <row r="42" ht="84" customHeight="1">
      <c r="B42" s="5" t="inlineStr">
        <is>
          <t>TIMSS - Medio ambiente: % de temas que trabajan objetivos ambientales de TIMSS 2027 (≈25 % de la prueba), por grado y ciclo, y cobertura de cada objetivo ambiental. Investigaciones: temas cuyo foco es la práctica científica. Datos - TIMSS 2023: la clasificación v1 recalculada para la columna «Cambio vs 2023» del Resumen. TIMSS - Otros países: primer grado en que El Salvador y Uruguay, Colombia, Singapur introducen cada objetivo TIMSS 2027 y la «oportunidad» (grado El Salvador − mediana de los demás). Datos - Objetivos de países: los objetivos de cada país con documento, página y su alineación con TIMSS 2027.</t>
        </is>
      </c>
    </row>
    <row r="43" ht="28" customHeight="1">
      <c r="B43" s="5" t="inlineStr">
        <is>
          <t>Datos - Temas: trazabilidad completa (TIMSS en K-AC; PISA en AD-AW). Si cambias un objetivo o una categoría, todo el libro se recalcula.</t>
        </is>
      </c>
    </row>
    <row r="44" ht="42" customHeight="1">
      <c r="B44" s="5" t="inlineStr">
        <is>
          <t>PISA - Contenidos, PISA - Competencias, PISA - Tipos de conocimiento y PISA - Contextos: las capas de PISA 2025 para 7.°–9.° (sistemas y categorías de contenido; competencias y subcompetencias de la malla; conocimiento procedimental y epistémico; contextos, áreas y demanda cognitiva). Datos - Catálogo TIMSS, Datos - Catálogo PISA y Fuentes: referencias con página.</t>
        </is>
      </c>
    </row>
    <row r="45"/>
    <row r="46">
      <c r="B46" s="4" t="inlineStr">
        <is>
          <t>Límites que hay que decir en la reunión</t>
        </is>
      </c>
    </row>
    <row r="47" ht="28" customHeight="1">
      <c r="B47" s="5" t="inlineStr">
        <is>
          <t>• La clasificación es asistida por IA: 363 temas con confianza alta, 417 media y 109 baja (en rojo en Temas). Debe validarla el equipo de Ciencias, empezando por outputs/revision_confianza_baja_timss2027.csv.</t>
        </is>
      </c>
    </row>
    <row r="48" ht="28" customHeight="1">
      <c r="B48" s="5" t="inlineStr">
        <is>
          <t>• Se cuentan TEMAS, no horas. Un tema puede durar una o varias sesiones de 55 min; cuando exista la distribución de horas conviene ponderar por horas.</t>
        </is>
      </c>
    </row>
    <row r="49" ht="28" customHeight="1">
      <c r="B49" s="5" t="inlineStr">
        <is>
          <t>• Los % de TIMSS son pesos de la prueba, no un mandato curricular. Sirven como referencia de equilibrio, no como regla obligatoria.</t>
        </is>
      </c>
    </row>
    <row r="50" ht="28" customHeight="1">
      <c r="B50" s="5" t="inlineStr">
        <is>
          <t>• Comparar un solo grado con TIMSS es una aproximación (TIMSS mide lo acumulado). La comparación más fiel está en TIMSS - Balance por ciclo.</t>
        </is>
      </c>
    </row>
    <row r="51">
      <c r="B51" s="5" t="inlineStr">
        <is>
          <t>• Los objetivos TIMSS están parafraseados; para decisiones formales, consultar el marco oficial (hoja Fuentes).</t>
        </is>
      </c>
    </row>
    <row r="52">
      <c r="B52" s="5" t="inlineStr">
        <is>
          <t>• 1.° grado no tiene malla, así que no entra en el ciclo 2.°–4.°.</t>
        </is>
      </c>
    </row>
  </sheetData>
  <pageMargins left="0.75" right="0.75" top="1" bottom="1" header="0.5" footer="0.5"/>
</worksheet>
</file>

<file path=xl/worksheets/sheet2.xml><?xml version="1.0" encoding="utf-8"?>
<worksheet xmlns="http://schemas.openxmlformats.org/spreadsheetml/2006/main">
  <sheetPr>
    <tabColor rgb="001E4D3A"/>
    <outlinePr summaryBelow="1" summaryRight="1"/>
    <pageSetUpPr/>
  </sheetPr>
  <dimension ref="A1:S3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9" customWidth="1" min="3" max="3"/>
    <col width="16" customWidth="1" min="4" max="4"/>
    <col width="11" customWidth="1" min="5" max="5"/>
    <col width="24" customWidth="1" min="6" max="6"/>
    <col width="11" customWidth="1" min="7" max="7"/>
    <col width="24" customWidth="1" min="8" max="8"/>
    <col width="11" customWidth="1" min="9" max="9"/>
    <col width="18" customWidth="1" min="10" max="10"/>
    <col width="11" customWidth="1" min="11" max="11"/>
    <col width="10" customWidth="1" min="12" max="12"/>
    <col width="10" customWidth="1" min="13" max="13"/>
    <col width="11" customWidth="1" min="14" max="14"/>
    <col width="10" customWidth="1" min="15" max="15"/>
    <col width="22" customWidth="1" min="16" max="16"/>
    <col width="60" customWidth="1" min="17" max="17"/>
    <col width="12" customWidth="1" min="18" max="18"/>
    <col width="13" customWidth="1" min="19" max="19"/>
  </cols>
  <sheetData>
    <row r="1">
      <c r="A1" s="6" t="inlineStr">
        <is>
          <t>Resumen por grado: TIMSS 2027 (2.°–8.° y Física) arriba · PISA 2025 (7.°–9.°) abajo</t>
        </is>
      </c>
    </row>
    <row r="2" ht="68" customHeight="1">
      <c r="A2" s="7">
        <f>"TIMSS 2027 y PISA 2025"&amp;"
"&amp;"OJO · TIMSS (2.°–8.°): faltan "&amp;FIXED(MAX($G$5:$G$11),0)&amp;" temas de "&amp;INDEX($F$5:$F$11,MATCH(MAX($G$5:$G$11),$G$5:$G$11,0))&amp;" en "&amp;SUBSTITUTE(INDEX($A$5:$A$11,MATCH(MAX($G$5:$G$11),$G$5:$G$11,0)),"°",".°")&amp;", el grado más desbalanceado."&amp;"
"&amp;"OJO · PISA (7.°–9.°): faltan "&amp;FIXED(G25,0)&amp;" temas de "&amp;LOWER(F25)&amp;" en 9.°; en 7.°–9.° sobran "&amp;FIXED(I26,0)&amp;" de "&amp;LOWER(H26)&amp;"."&amp;"
"&amp;"● Arriba: tabla TIMSS. Abajo: tabla PISA. Al final: qué significa cada columna."</f>
        <v/>
      </c>
      <c r="B2" s="8" t="n"/>
      <c r="C2" s="8" t="n"/>
      <c r="D2" s="8" t="n"/>
      <c r="E2" s="8" t="n"/>
      <c r="F2" s="8" t="n"/>
      <c r="G2" s="8" t="n"/>
      <c r="H2" s="8" t="n"/>
      <c r="I2" s="8" t="n"/>
      <c r="J2" s="8" t="n"/>
      <c r="K2" s="8" t="n"/>
      <c r="L2" s="8" t="n"/>
      <c r="M2" s="9" t="n"/>
    </row>
    <row r="3" ht="28" customHeight="1">
      <c r="A3" s="2" t="inlineStr">
        <is>
          <t>Lo contrario de «sin objetivo en el marco» (objetivos que TIMSS evalúa y la malla NO trabaja) está en el bloque por ciclo, columna «Objetivos no cubiertos», y en rojo en TIMSS - Semáforo de objetivos. Al final de esta hoja hay una guía de cada columna.</t>
        </is>
      </c>
    </row>
    <row r="4" ht="92" customHeight="1">
      <c r="A4" s="10" t="inlineStr">
        <is>
          <t>Grupo</t>
        </is>
      </c>
      <c r="B4" s="10" t="inlineStr">
        <is>
          <t>Marco de referencia</t>
        </is>
      </c>
      <c r="C4" s="10" t="inlineStr">
        <is>
          <t>Temas totales</t>
        </is>
      </c>
      <c r="D4" s="10" t="inlineStr">
        <is>
          <t>Temas de la malla SIN objetivo en el marco (la malla los tiene; TIMSS no los evalúa)</t>
        </is>
      </c>
      <c r="E4" s="10" t="inlineStr">
        <is>
          <t>% de temas sin objetivo en el marco</t>
        </is>
      </c>
      <c r="F4" s="10" t="inlineStr">
        <is>
          <t>Dominio TIMSS con MÁS temas faltantes (frente a su meta)</t>
        </is>
      </c>
      <c r="G4" s="10" t="inlineStr">
        <is>
          <t>Temas que faltan en ese dominio</t>
        </is>
      </c>
      <c r="H4" s="10" t="inlineStr">
        <is>
          <t>Dominio TIMSS con MÁS temas de sobra</t>
        </is>
      </c>
      <c r="I4" s="10" t="inlineStr">
        <is>
          <t>Temas que sobran en ese dominio</t>
        </is>
      </c>
      <c r="J4" s="10" t="inlineStr">
        <is>
          <t>Temas a AGREGAR, sin quitar ninguno, para que TODOS los dominios lleguen a su meta</t>
        </is>
      </c>
      <c r="K4" s="10" t="inlineStr">
        <is>
          <t>Dominios en meta (±tolerancia)</t>
        </is>
      </c>
      <c r="L4" s="10" t="inlineStr">
        <is>
          <t>% Razonar actual</t>
        </is>
      </c>
      <c r="M4" s="10" t="inlineStr">
        <is>
          <t>% Razonar meta</t>
        </is>
      </c>
    </row>
    <row r="5">
      <c r="A5" s="11" t="inlineStr">
        <is>
          <t>2°</t>
        </is>
      </c>
      <c r="B5" s="11" t="inlineStr">
        <is>
          <t>TIMSS 2027 4.°</t>
        </is>
      </c>
      <c r="C5" s="11">
        <f>COUNTIFS('Datos - Temas'!$V$5:$V$1264,$A5)</f>
        <v/>
      </c>
      <c r="D5" s="12">
        <f>'TIMSS - Balance por grado'!N6</f>
        <v/>
      </c>
      <c r="E5" s="13">
        <f>IF(C5=0,0,D5/C5)</f>
        <v/>
      </c>
      <c r="F5" s="11">
        <f>INDEX('TIMSS - Balance por grado'!$C$6:$C$8,MATCH(MAX('TIMSS - Balance por grado'!$I$6:$I$8),'TIMSS - Balance por grado'!$I$6:$I$8,0))</f>
        <v/>
      </c>
      <c r="G5" s="11">
        <f>ROUND(MAX('TIMSS - Balance por grado'!$I$6:$I$8),0)</f>
        <v/>
      </c>
      <c r="H5" s="11">
        <f>INDEX('TIMSS - Balance por grado'!$C$6:$C$8,MATCH(MIN('TIMSS - Balance por grado'!$I$6:$I$8),'TIMSS - Balance por grado'!$I$6:$I$8,0))</f>
        <v/>
      </c>
      <c r="I5" s="11">
        <f>ROUND(-MIN('TIMSS - Balance por grado'!$I$6:$I$8),0)</f>
        <v/>
      </c>
      <c r="J5" s="12">
        <f>'TIMSS - Balance por grado'!M9</f>
        <v/>
      </c>
      <c r="K5" s="11">
        <f>COUNTIF('TIMSS - Balance por grado'!$K$6:$K$8,"En meta")&amp;" de "&amp;ROWS('TIMSS - Balance por grado'!$K$6:$K$8)</f>
        <v/>
      </c>
      <c r="L5" s="14">
        <f>'TIMSS - Conocer-Aplicar-Razonar'!I5</f>
        <v/>
      </c>
      <c r="M5" s="15">
        <f>'TIMSS - Conocer-Aplicar-Razonar'!L5</f>
        <v/>
      </c>
    </row>
    <row r="6">
      <c r="A6" s="11" t="inlineStr">
        <is>
          <t>3°</t>
        </is>
      </c>
      <c r="B6" s="11" t="inlineStr">
        <is>
          <t>TIMSS 2027 4.°</t>
        </is>
      </c>
      <c r="C6" s="11">
        <f>COUNTIFS('Datos - Temas'!$V$5:$V$1264,$A6)</f>
        <v/>
      </c>
      <c r="D6" s="12">
        <f>'TIMSS - Balance por grado'!N11</f>
        <v/>
      </c>
      <c r="E6" s="13">
        <f>IF(C6=0,0,D6/C6)</f>
        <v/>
      </c>
      <c r="F6" s="11">
        <f>INDEX('TIMSS - Balance por grado'!$C$11:$C$13,MATCH(MAX('TIMSS - Balance por grado'!$I$11:$I$13),'TIMSS - Balance por grado'!$I$11:$I$13,0))</f>
        <v/>
      </c>
      <c r="G6" s="11">
        <f>ROUND(MAX('TIMSS - Balance por grado'!$I$11:$I$13),0)</f>
        <v/>
      </c>
      <c r="H6" s="11">
        <f>INDEX('TIMSS - Balance por grado'!$C$11:$C$13,MATCH(MIN('TIMSS - Balance por grado'!$I$11:$I$13),'TIMSS - Balance por grado'!$I$11:$I$13,0))</f>
        <v/>
      </c>
      <c r="I6" s="11">
        <f>ROUND(-MIN('TIMSS - Balance por grado'!$I$11:$I$13),0)</f>
        <v/>
      </c>
      <c r="J6" s="12">
        <f>'TIMSS - Balance por grado'!M14</f>
        <v/>
      </c>
      <c r="K6" s="11">
        <f>COUNTIF('TIMSS - Balance por grado'!$K$11:$K$13,"En meta")&amp;" de "&amp;ROWS('TIMSS - Balance por grado'!$K$11:$K$13)</f>
        <v/>
      </c>
      <c r="L6" s="14">
        <f>'TIMSS - Conocer-Aplicar-Razonar'!I6</f>
        <v/>
      </c>
      <c r="M6" s="15">
        <f>'TIMSS - Conocer-Aplicar-Razonar'!L6</f>
        <v/>
      </c>
    </row>
    <row r="7">
      <c r="A7" s="11" t="inlineStr">
        <is>
          <t>4°</t>
        </is>
      </c>
      <c r="B7" s="11" t="inlineStr">
        <is>
          <t>TIMSS 2027 4.°</t>
        </is>
      </c>
      <c r="C7" s="11">
        <f>COUNTIFS('Datos - Temas'!$V$5:$V$1264,$A7)</f>
        <v/>
      </c>
      <c r="D7" s="12">
        <f>'TIMSS - Balance por grado'!N16</f>
        <v/>
      </c>
      <c r="E7" s="13">
        <f>IF(C7=0,0,D7/C7)</f>
        <v/>
      </c>
      <c r="F7" s="11">
        <f>INDEX('TIMSS - Balance por grado'!$C$16:$C$18,MATCH(MAX('TIMSS - Balance por grado'!$I$16:$I$18),'TIMSS - Balance por grado'!$I$16:$I$18,0))</f>
        <v/>
      </c>
      <c r="G7" s="11">
        <f>ROUND(MAX('TIMSS - Balance por grado'!$I$16:$I$18),0)</f>
        <v/>
      </c>
      <c r="H7" s="11">
        <f>INDEX('TIMSS - Balance por grado'!$C$16:$C$18,MATCH(MIN('TIMSS - Balance por grado'!$I$16:$I$18),'TIMSS - Balance por grado'!$I$16:$I$18,0))</f>
        <v/>
      </c>
      <c r="I7" s="11">
        <f>ROUND(-MIN('TIMSS - Balance por grado'!$I$16:$I$18),0)</f>
        <v/>
      </c>
      <c r="J7" s="12">
        <f>'TIMSS - Balance por grado'!M19</f>
        <v/>
      </c>
      <c r="K7" s="11">
        <f>COUNTIF('TIMSS - Balance por grado'!$K$16:$K$18,"En meta")&amp;" de "&amp;ROWS('TIMSS - Balance por grado'!$K$16:$K$18)</f>
        <v/>
      </c>
      <c r="L7" s="14">
        <f>'TIMSS - Conocer-Aplicar-Razonar'!I7</f>
        <v/>
      </c>
      <c r="M7" s="15">
        <f>'TIMSS - Conocer-Aplicar-Razonar'!L7</f>
        <v/>
      </c>
    </row>
    <row r="8">
      <c r="A8" s="11" t="inlineStr">
        <is>
          <t>5°</t>
        </is>
      </c>
      <c r="B8" s="11" t="inlineStr">
        <is>
          <t>TIMSS 2027 8.°</t>
        </is>
      </c>
      <c r="C8" s="11">
        <f>COUNTIFS('Datos - Temas'!$V$5:$V$1264,$A8)</f>
        <v/>
      </c>
      <c r="D8" s="12">
        <f>'TIMSS - Balance por grado'!N21</f>
        <v/>
      </c>
      <c r="E8" s="13">
        <f>IF(C8=0,0,D8/C8)</f>
        <v/>
      </c>
      <c r="F8" s="11">
        <f>INDEX('TIMSS - Balance por grado'!$C$21:$C$24,MATCH(MAX('TIMSS - Balance por grado'!$I$21:$I$24),'TIMSS - Balance por grado'!$I$21:$I$24,0))</f>
        <v/>
      </c>
      <c r="G8" s="11">
        <f>ROUND(MAX('TIMSS - Balance por grado'!$I$21:$I$24),0)</f>
        <v/>
      </c>
      <c r="H8" s="11">
        <f>INDEX('TIMSS - Balance por grado'!$C$21:$C$24,MATCH(MIN('TIMSS - Balance por grado'!$I$21:$I$24),'TIMSS - Balance por grado'!$I$21:$I$24,0))</f>
        <v/>
      </c>
      <c r="I8" s="11">
        <f>ROUND(-MIN('TIMSS - Balance por grado'!$I$21:$I$24),0)</f>
        <v/>
      </c>
      <c r="J8" s="12">
        <f>'TIMSS - Balance por grado'!M25</f>
        <v/>
      </c>
      <c r="K8" s="11">
        <f>COUNTIF('TIMSS - Balance por grado'!$K$21:$K$24,"En meta")&amp;" de "&amp;ROWS('TIMSS - Balance por grado'!$K$21:$K$24)</f>
        <v/>
      </c>
      <c r="L8" s="14">
        <f>'TIMSS - Conocer-Aplicar-Razonar'!I8</f>
        <v/>
      </c>
      <c r="M8" s="15">
        <f>'TIMSS - Conocer-Aplicar-Razonar'!L8</f>
        <v/>
      </c>
    </row>
    <row r="9">
      <c r="A9" s="11" t="inlineStr">
        <is>
          <t>6°</t>
        </is>
      </c>
      <c r="B9" s="11" t="inlineStr">
        <is>
          <t>TIMSS 2027 8.°</t>
        </is>
      </c>
      <c r="C9" s="11">
        <f>COUNTIFS('Datos - Temas'!$V$5:$V$1264,$A9)</f>
        <v/>
      </c>
      <c r="D9" s="12">
        <f>'TIMSS - Balance por grado'!N27</f>
        <v/>
      </c>
      <c r="E9" s="13">
        <f>IF(C9=0,0,D9/C9)</f>
        <v/>
      </c>
      <c r="F9" s="11">
        <f>INDEX('TIMSS - Balance por grado'!$C$27:$C$30,MATCH(MAX('TIMSS - Balance por grado'!$I$27:$I$30),'TIMSS - Balance por grado'!$I$27:$I$30,0))</f>
        <v/>
      </c>
      <c r="G9" s="11">
        <f>ROUND(MAX('TIMSS - Balance por grado'!$I$27:$I$30),0)</f>
        <v/>
      </c>
      <c r="H9" s="11">
        <f>INDEX('TIMSS - Balance por grado'!$C$27:$C$30,MATCH(MIN('TIMSS - Balance por grado'!$I$27:$I$30),'TIMSS - Balance por grado'!$I$27:$I$30,0))</f>
        <v/>
      </c>
      <c r="I9" s="11">
        <f>ROUND(-MIN('TIMSS - Balance por grado'!$I$27:$I$30),0)</f>
        <v/>
      </c>
      <c r="J9" s="12">
        <f>'TIMSS - Balance por grado'!M31</f>
        <v/>
      </c>
      <c r="K9" s="11">
        <f>COUNTIF('TIMSS - Balance por grado'!$K$27:$K$30,"En meta")&amp;" de "&amp;ROWS('TIMSS - Balance por grado'!$K$27:$K$30)</f>
        <v/>
      </c>
      <c r="L9" s="14">
        <f>'TIMSS - Conocer-Aplicar-Razonar'!I9</f>
        <v/>
      </c>
      <c r="M9" s="15">
        <f>'TIMSS - Conocer-Aplicar-Razonar'!L9</f>
        <v/>
      </c>
    </row>
    <row r="10">
      <c r="A10" s="11" t="inlineStr">
        <is>
          <t>7°</t>
        </is>
      </c>
      <c r="B10" s="11" t="inlineStr">
        <is>
          <t>TIMSS 2027 8.°</t>
        </is>
      </c>
      <c r="C10" s="11">
        <f>COUNTIFS('Datos - Temas'!$V$5:$V$1264,$A10)</f>
        <v/>
      </c>
      <c r="D10" s="12">
        <f>'TIMSS - Balance por grado'!N33</f>
        <v/>
      </c>
      <c r="E10" s="13">
        <f>IF(C10=0,0,D10/C10)</f>
        <v/>
      </c>
      <c r="F10" s="11">
        <f>INDEX('TIMSS - Balance por grado'!$C$33:$C$36,MATCH(MAX('TIMSS - Balance por grado'!$I$33:$I$36),'TIMSS - Balance por grado'!$I$33:$I$36,0))</f>
        <v/>
      </c>
      <c r="G10" s="11">
        <f>ROUND(MAX('TIMSS - Balance por grado'!$I$33:$I$36),0)</f>
        <v/>
      </c>
      <c r="H10" s="11">
        <f>INDEX('TIMSS - Balance por grado'!$C$33:$C$36,MATCH(MIN('TIMSS - Balance por grado'!$I$33:$I$36),'TIMSS - Balance por grado'!$I$33:$I$36,0))</f>
        <v/>
      </c>
      <c r="I10" s="11">
        <f>ROUND(-MIN('TIMSS - Balance por grado'!$I$33:$I$36),0)</f>
        <v/>
      </c>
      <c r="J10" s="12">
        <f>'TIMSS - Balance por grado'!M37</f>
        <v/>
      </c>
      <c r="K10" s="11">
        <f>COUNTIF('TIMSS - Balance por grado'!$K$33:$K$36,"En meta")&amp;" de "&amp;ROWS('TIMSS - Balance por grado'!$K$33:$K$36)</f>
        <v/>
      </c>
      <c r="L10" s="14">
        <f>'TIMSS - Conocer-Aplicar-Razonar'!I10</f>
        <v/>
      </c>
      <c r="M10" s="15">
        <f>'TIMSS - Conocer-Aplicar-Razonar'!L10</f>
        <v/>
      </c>
    </row>
    <row r="11">
      <c r="A11" s="11" t="inlineStr">
        <is>
          <t>8°</t>
        </is>
      </c>
      <c r="B11" s="11" t="inlineStr">
        <is>
          <t>TIMSS 2027 8.°</t>
        </is>
      </c>
      <c r="C11" s="11">
        <f>COUNTIFS('Datos - Temas'!$V$5:$V$1264,$A11)</f>
        <v/>
      </c>
      <c r="D11" s="12">
        <f>'TIMSS - Balance por grado'!N39</f>
        <v/>
      </c>
      <c r="E11" s="13">
        <f>IF(C11=0,0,D11/C11)</f>
        <v/>
      </c>
      <c r="F11" s="11">
        <f>INDEX('TIMSS - Balance por grado'!$C$39:$C$42,MATCH(MAX('TIMSS - Balance por grado'!$I$39:$I$42),'TIMSS - Balance por grado'!$I$39:$I$42,0))</f>
        <v/>
      </c>
      <c r="G11" s="11">
        <f>ROUND(MAX('TIMSS - Balance por grado'!$I$39:$I$42),0)</f>
        <v/>
      </c>
      <c r="H11" s="11">
        <f>INDEX('TIMSS - Balance por grado'!$C$39:$C$42,MATCH(MIN('TIMSS - Balance por grado'!$I$39:$I$42),'TIMSS - Balance por grado'!$I$39:$I$42,0))</f>
        <v/>
      </c>
      <c r="I11" s="11">
        <f>ROUND(-MIN('TIMSS - Balance por grado'!$I$39:$I$42),0)</f>
        <v/>
      </c>
      <c r="J11" s="12">
        <f>'TIMSS - Balance por grado'!M43</f>
        <v/>
      </c>
      <c r="K11" s="11">
        <f>COUNTIF('TIMSS - Balance por grado'!$K$39:$K$42,"En meta")&amp;" de "&amp;ROWS('TIMSS - Balance por grado'!$K$39:$K$42)</f>
        <v/>
      </c>
      <c r="L11" s="14">
        <f>'TIMSS - Conocer-Aplicar-Razonar'!I11</f>
        <v/>
      </c>
      <c r="M11" s="15">
        <f>'TIMSS - Conocer-Aplicar-Razonar'!L11</f>
        <v/>
      </c>
    </row>
    <row r="12">
      <c r="A12" s="11" t="inlineStr">
        <is>
          <t>Física 10°</t>
        </is>
      </c>
      <c r="B12" s="11" t="inlineStr">
        <is>
          <t>TIMSS Advanced 2015 Física</t>
        </is>
      </c>
      <c r="C12" s="11">
        <f>COUNTIFS('Datos - Temas'!$V$5:$V$1264,$A12)</f>
        <v/>
      </c>
      <c r="D12" s="12">
        <f>'TIMSS - Balance por grado'!N45</f>
        <v/>
      </c>
      <c r="E12" s="13">
        <f>IF(C12=0,0,D12/C12)</f>
        <v/>
      </c>
      <c r="F12" s="11">
        <f>INDEX('TIMSS - Balance por grado'!$C$45:$C$47,MATCH(MAX('TIMSS - Balance por grado'!$I$45:$I$47),'TIMSS - Balance por grado'!$I$45:$I$47,0))</f>
        <v/>
      </c>
      <c r="G12" s="11">
        <f>ROUND(MAX('TIMSS - Balance por grado'!$I$45:$I$47),0)</f>
        <v/>
      </c>
      <c r="H12" s="11">
        <f>INDEX('TIMSS - Balance por grado'!$C$45:$C$47,MATCH(MIN('TIMSS - Balance por grado'!$I$45:$I$47),'TIMSS - Balance por grado'!$I$45:$I$47,0))</f>
        <v/>
      </c>
      <c r="I12" s="11">
        <f>ROUND(-MIN('TIMSS - Balance por grado'!$I$45:$I$47),0)</f>
        <v/>
      </c>
      <c r="J12" s="12">
        <f>'TIMSS - Balance por grado'!M48</f>
        <v/>
      </c>
      <c r="K12" s="11">
        <f>COUNTIF('TIMSS - Balance por grado'!$K$45:$K$47,"En meta")&amp;" de "&amp;ROWS('TIMSS - Balance por grado'!$K$45:$K$47)</f>
        <v/>
      </c>
      <c r="L12" s="14">
        <f>'TIMSS - Conocer-Aplicar-Razonar'!I12</f>
        <v/>
      </c>
      <c r="M12" s="15">
        <f>'TIMSS - Conocer-Aplicar-Razonar'!L12</f>
        <v/>
      </c>
    </row>
    <row r="13">
      <c r="A13" s="11" t="inlineStr">
        <is>
          <t>Física 11°</t>
        </is>
      </c>
      <c r="B13" s="11" t="inlineStr">
        <is>
          <t>TIMSS Advanced 2015 Física</t>
        </is>
      </c>
      <c r="C13" s="11">
        <f>COUNTIFS('Datos - Temas'!$V$5:$V$1264,$A13)</f>
        <v/>
      </c>
      <c r="D13" s="12">
        <f>'TIMSS - Balance por grado'!N50</f>
        <v/>
      </c>
      <c r="E13" s="13">
        <f>IF(C13=0,0,D13/C13)</f>
        <v/>
      </c>
      <c r="F13" s="11">
        <f>INDEX('TIMSS - Balance por grado'!$C$50:$C$52,MATCH(MAX('TIMSS - Balance por grado'!$I$50:$I$52),'TIMSS - Balance por grado'!$I$50:$I$52,0))</f>
        <v/>
      </c>
      <c r="G13" s="11">
        <f>ROUND(MAX('TIMSS - Balance por grado'!$I$50:$I$52),0)</f>
        <v/>
      </c>
      <c r="H13" s="11">
        <f>INDEX('TIMSS - Balance por grado'!$C$50:$C$52,MATCH(MIN('TIMSS - Balance por grado'!$I$50:$I$52),'TIMSS - Balance por grado'!$I$50:$I$52,0))</f>
        <v/>
      </c>
      <c r="I13" s="11">
        <f>ROUND(-MIN('TIMSS - Balance por grado'!$I$50:$I$52),0)</f>
        <v/>
      </c>
      <c r="J13" s="12">
        <f>'TIMSS - Balance por grado'!M53</f>
        <v/>
      </c>
      <c r="K13" s="11">
        <f>COUNTIF('TIMSS - Balance por grado'!$K$50:$K$52,"En meta")&amp;" de "&amp;ROWS('TIMSS - Balance por grado'!$K$50:$K$52)</f>
        <v/>
      </c>
      <c r="L13" s="14">
        <f>'TIMSS - Conocer-Aplicar-Razonar'!I13</f>
        <v/>
      </c>
      <c r="M13" s="15">
        <f>'TIMSS - Conocer-Aplicar-Razonar'!L13</f>
        <v/>
      </c>
    </row>
    <row r="14"/>
    <row r="15">
      <c r="A15" s="16" t="inlineStr">
        <is>
          <t>Por ciclo (comparación acumulada)</t>
        </is>
      </c>
    </row>
    <row r="16" ht="58" customHeight="1">
      <c r="A16" s="10" t="inlineStr">
        <is>
          <t>Ciclo</t>
        </is>
      </c>
      <c r="B16" s="10" t="inlineStr">
        <is>
          <t>Marco de referencia</t>
        </is>
      </c>
      <c r="C16" s="10" t="inlineStr">
        <is>
          <t>Temas evaluables</t>
        </is>
      </c>
      <c r="D16" s="10" t="inlineStr">
        <is>
          <t>Dominio con mayor FALTANTE</t>
        </is>
      </c>
      <c r="E16" s="10" t="inlineStr">
        <is>
          <t>Faltan (temas)</t>
        </is>
      </c>
      <c r="F16" s="10" t="inlineStr">
        <is>
          <t>Dominio más SOBRErrepresentado</t>
        </is>
      </c>
      <c r="G16" s="10" t="inlineStr">
        <is>
          <t>Sobran (temas)</t>
        </is>
      </c>
      <c r="H16" s="10" t="inlineStr">
        <is>
          <t>Temas a agregar sin quitar</t>
        </is>
      </c>
      <c r="I16" s="10" t="inlineStr">
        <is>
          <t>Dominios en meta</t>
        </is>
      </c>
      <c r="J16" s="10" t="inlineStr">
        <is>
          <t>Objetivos TIMSS del marco</t>
        </is>
      </c>
      <c r="K16" s="10" t="inlineStr">
        <is>
          <t>Objetivos cubiertos</t>
        </is>
      </c>
      <c r="L16" s="10" t="inlineStr">
        <is>
          <t>% amplitud</t>
        </is>
      </c>
      <c r="M16" s="10" t="inlineStr">
        <is>
          <t>Objetivos del marco que la malla NO trabaja</t>
        </is>
      </c>
      <c r="N16" s="10" t="inlineStr">
        <is>
          <t>Objetivos cubiertos (2023)</t>
        </is>
      </c>
      <c r="O16" s="10" t="inlineStr">
        <is>
          <t>% amplitud (2023)</t>
        </is>
      </c>
      <c r="P16" s="10" t="inlineStr">
        <is>
          <t>Dominio con mayor FALTANTE (2023)</t>
        </is>
      </c>
      <c r="Q16" s="10" t="inlineStr">
        <is>
          <t>Cambio vs 2023</t>
        </is>
      </c>
      <c r="R16" s="10" t="inlineStr">
        <is>
          <t>% temas ambientales (ref. ≈25 %)</t>
        </is>
      </c>
      <c r="S16" s="10" t="inlineStr">
        <is>
          <t>Temas en Investigaciones (principal)</t>
        </is>
      </c>
    </row>
    <row r="17">
      <c r="A17" s="11" t="inlineStr">
        <is>
          <t>Ciclo 2°–4°</t>
        </is>
      </c>
      <c r="B17" s="11" t="inlineStr">
        <is>
          <t>TIMSS 2027 4.°</t>
        </is>
      </c>
      <c r="C17" s="11">
        <f>'TIMSS - Balance por ciclo'!E6</f>
        <v/>
      </c>
      <c r="D17" s="11">
        <f>INDEX('TIMSS - Balance por ciclo'!$C$6:$C$8,MATCH(MAX('TIMSS - Balance por ciclo'!$I$6:$I$8),'TIMSS - Balance por ciclo'!$I$6:$I$8,0))</f>
        <v/>
      </c>
      <c r="E17" s="11">
        <f>ROUND(MAX('TIMSS - Balance por ciclo'!$I$6:$I$8),0)</f>
        <v/>
      </c>
      <c r="F17" s="11">
        <f>INDEX('TIMSS - Balance por ciclo'!$C$6:$C$8,MATCH(MIN('TIMSS - Balance por ciclo'!$I$6:$I$8),'TIMSS - Balance por ciclo'!$I$6:$I$8,0))</f>
        <v/>
      </c>
      <c r="G17" s="11">
        <f>ROUND(-MIN('TIMSS - Balance por ciclo'!$I$6:$I$8),0)</f>
        <v/>
      </c>
      <c r="H17" s="11">
        <f>'TIMSS - Balance por ciclo'!M9</f>
        <v/>
      </c>
      <c r="I17" s="11">
        <f>COUNTIF('TIMSS - Balance por ciclo'!$K$6:$K$8,"En meta")&amp;" de "&amp;ROWS('TIMSS - Balance por ciclo'!$K$6:$K$8)</f>
        <v/>
      </c>
      <c r="J17" s="11">
        <f>'TIMSS - Semáforo de objetivos'!C115</f>
        <v/>
      </c>
      <c r="K17" s="11">
        <f>'TIMSS - Semáforo de objetivos'!D115</f>
        <v/>
      </c>
      <c r="L17" s="13">
        <f>'TIMSS - Semáforo de objetivos'!E115</f>
        <v/>
      </c>
      <c r="M17" s="11">
        <f>'TIMSS - Semáforo de objetivos'!F115</f>
        <v/>
      </c>
      <c r="N17" s="17">
        <f>'Datos - TIMSS 2023'!C110</f>
        <v/>
      </c>
      <c r="O17" s="18">
        <f>'Datos - TIMSS 2023'!D110</f>
        <v/>
      </c>
      <c r="P17" s="17">
        <f>INDEX('Datos - TIMSS 2023'!$C$117:$C$119,MATCH(MAX('Datos - TIMSS 2023'!$G$117:$G$119),'Datos - TIMSS 2023'!$G$117:$G$119,0))</f>
        <v/>
      </c>
      <c r="Q17" s="19">
        <f>"Cubiertos: "&amp;N17&amp;" de "&amp;'Datos - TIMSS 2023'!B110&amp;" (2023) → "&amp;K17&amp;" de "&amp;J17&amp;" (2027) · Mayor faltante: "&amp;P17&amp;" (2023) → "&amp;D17&amp;" (2027)"</f>
        <v/>
      </c>
      <c r="R17" s="18">
        <f>'TIMSS - Medio ambiente'!E16</f>
        <v/>
      </c>
      <c r="S17" s="17">
        <f>'TIMSS - Investigación'!C15</f>
        <v/>
      </c>
    </row>
    <row r="18">
      <c r="A18" s="11" t="inlineStr">
        <is>
          <t>Ciclo 5°–8°</t>
        </is>
      </c>
      <c r="B18" s="11" t="inlineStr">
        <is>
          <t>TIMSS 2027 8.°</t>
        </is>
      </c>
      <c r="C18" s="11">
        <f>'TIMSS - Balance por ciclo'!E11</f>
        <v/>
      </c>
      <c r="D18" s="11">
        <f>INDEX('TIMSS - Balance por ciclo'!$C$11:$C$14,MATCH(MAX('TIMSS - Balance por ciclo'!$I$11:$I$14),'TIMSS - Balance por ciclo'!$I$11:$I$14,0))</f>
        <v/>
      </c>
      <c r="E18" s="11">
        <f>ROUND(MAX('TIMSS - Balance por ciclo'!$I$11:$I$14),0)</f>
        <v/>
      </c>
      <c r="F18" s="11">
        <f>INDEX('TIMSS - Balance por ciclo'!$C$11:$C$14,MATCH(MIN('TIMSS - Balance por ciclo'!$I$11:$I$14),'TIMSS - Balance por ciclo'!$I$11:$I$14,0))</f>
        <v/>
      </c>
      <c r="G18" s="11">
        <f>ROUND(-MIN('TIMSS - Balance por ciclo'!$I$11:$I$14),0)</f>
        <v/>
      </c>
      <c r="H18" s="11">
        <f>'TIMSS - Balance por ciclo'!M15</f>
        <v/>
      </c>
      <c r="I18" s="11">
        <f>COUNTIF('TIMSS - Balance por ciclo'!$K$11:$K$14,"En meta")&amp;" de "&amp;ROWS('TIMSS - Balance por ciclo'!$K$11:$K$14)</f>
        <v/>
      </c>
      <c r="J18" s="11">
        <f>'TIMSS - Semáforo de objetivos'!C120</f>
        <v/>
      </c>
      <c r="K18" s="11">
        <f>'TIMSS - Semáforo de objetivos'!D120</f>
        <v/>
      </c>
      <c r="L18" s="13">
        <f>'TIMSS - Semáforo de objetivos'!E120</f>
        <v/>
      </c>
      <c r="M18" s="11">
        <f>'TIMSS - Semáforo de objetivos'!F120</f>
        <v/>
      </c>
      <c r="N18" s="17">
        <f>'Datos - TIMSS 2023'!C111</f>
        <v/>
      </c>
      <c r="O18" s="18">
        <f>'Datos - TIMSS 2023'!D111</f>
        <v/>
      </c>
      <c r="P18" s="17">
        <f>INDEX('Datos - TIMSS 2023'!$C$121:$C$124,MATCH(MAX('Datos - TIMSS 2023'!$G$121:$G$124),'Datos - TIMSS 2023'!$G$121:$G$124,0))</f>
        <v/>
      </c>
      <c r="Q18" s="19">
        <f>"Cubiertos: "&amp;N18&amp;" de "&amp;'Datos - TIMSS 2023'!B111&amp;" (2023) → "&amp;K18&amp;" de "&amp;J18&amp;" (2027) · Mayor faltante: "&amp;P18&amp;" (2023) → "&amp;D18&amp;" (2027)"</f>
        <v/>
      </c>
      <c r="R18" s="18">
        <f>'TIMSS - Medio ambiente'!E17</f>
        <v/>
      </c>
      <c r="S18" s="17">
        <f>'TIMSS - Investigación'!C16</f>
        <v/>
      </c>
    </row>
    <row r="19">
      <c r="A19" s="11" t="inlineStr">
        <is>
          <t>Física 10°–11°</t>
        </is>
      </c>
      <c r="B19" s="11" t="inlineStr">
        <is>
          <t>TIMSS Advanced 2015 Física</t>
        </is>
      </c>
      <c r="C19" s="11">
        <f>'TIMSS - Balance por ciclo'!E17</f>
        <v/>
      </c>
      <c r="D19" s="11">
        <f>INDEX('TIMSS - Balance por ciclo'!$C$17:$C$19,MATCH(MAX('TIMSS - Balance por ciclo'!$I$17:$I$19),'TIMSS - Balance por ciclo'!$I$17:$I$19,0))</f>
        <v/>
      </c>
      <c r="E19" s="11">
        <f>ROUND(MAX('TIMSS - Balance por ciclo'!$I$17:$I$19),0)</f>
        <v/>
      </c>
      <c r="F19" s="11">
        <f>INDEX('TIMSS - Balance por ciclo'!$C$17:$C$19,MATCH(MIN('TIMSS - Balance por ciclo'!$I$17:$I$19),'TIMSS - Balance por ciclo'!$I$17:$I$19,0))</f>
        <v/>
      </c>
      <c r="G19" s="11">
        <f>ROUND(-MIN('TIMSS - Balance por ciclo'!$I$17:$I$19),0)</f>
        <v/>
      </c>
      <c r="H19" s="11">
        <f>'TIMSS - Balance por ciclo'!M20</f>
        <v/>
      </c>
      <c r="I19" s="11">
        <f>COUNTIF('TIMSS - Balance por ciclo'!$K$17:$K$19,"En meta")&amp;" de "&amp;ROWS('TIMSS - Balance por ciclo'!$K$17:$K$19)</f>
        <v/>
      </c>
      <c r="J19" s="11">
        <f>'TIMSS - Semáforo de objetivos'!C124</f>
        <v/>
      </c>
      <c r="K19" s="11">
        <f>'TIMSS - Semáforo de objetivos'!D124</f>
        <v/>
      </c>
      <c r="L19" s="13">
        <f>'TIMSS - Semáforo de objetivos'!E124</f>
        <v/>
      </c>
      <c r="M19" s="11">
        <f>'TIMSS - Semáforo de objetivos'!F124</f>
        <v/>
      </c>
      <c r="N19" s="17">
        <f>'Datos - TIMSS 2023'!C112</f>
        <v/>
      </c>
      <c r="O19" s="18">
        <f>'Datos - TIMSS 2023'!D112</f>
        <v/>
      </c>
      <c r="P19" s="17">
        <f>INDEX('Datos - TIMSS 2023'!$C$131:$C$133,MATCH(MAX('Datos - TIMSS 2023'!$G$131:$G$133),'Datos - TIMSS 2023'!$G$131:$G$133,0))</f>
        <v/>
      </c>
      <c r="Q19" s="19">
        <f>"Sin cambio de marco: Física sigue con TIMSS Advanced 2015"</f>
        <v/>
      </c>
      <c r="R19" s="18" t="inlineStr">
        <is>
          <t>—</t>
        </is>
      </c>
      <c r="S19" s="17" t="inlineStr">
        <is>
          <t>—</t>
        </is>
      </c>
    </row>
    <row r="20"/>
    <row r="21">
      <c r="A21" s="16" t="inlineStr">
        <is>
          <t>PISA 2025 (7.°, 8.°, 9.° y acumulado 7.°–9.°): 9.° se compara solo con PISA; 7.° y 8.° con los dos marcos (ver Apego TIMSS y PISA)</t>
        </is>
      </c>
    </row>
    <row r="22" ht="92" customHeight="1">
      <c r="A22" s="10" t="inlineStr">
        <is>
          <t>Grupo</t>
        </is>
      </c>
      <c r="B22" s="10" t="inlineStr">
        <is>
          <t>Marco de referencia</t>
        </is>
      </c>
      <c r="C22" s="10" t="inlineStr">
        <is>
          <t>Temas totales</t>
        </is>
      </c>
      <c r="D22" s="10" t="inlineStr">
        <is>
          <t>Temas sin contenido PISA (la malla los tiene; PISA no los evalúa)</t>
        </is>
      </c>
      <c r="E22" s="10" t="inlineStr">
        <is>
          <t>% sin contenido PISA</t>
        </is>
      </c>
      <c r="F22" s="10" t="inlineStr">
        <is>
          <t>Sistema PISA con MÁS temas faltantes</t>
        </is>
      </c>
      <c r="G22" s="10" t="inlineStr">
        <is>
          <t>Temas que faltan</t>
        </is>
      </c>
      <c r="H22" s="10" t="inlineStr">
        <is>
          <t>Sistema PISA con MÁS temas de sobra</t>
        </is>
      </c>
      <c r="I22" s="10" t="inlineStr">
        <is>
          <t>Temas que sobran</t>
        </is>
      </c>
      <c r="J22" s="10" t="inlineStr">
        <is>
          <t>Temas a AGREGAR, sin quitar, para que todos los sistemas lleguen a su meta</t>
        </is>
      </c>
      <c r="K22" s="10" t="inlineStr">
        <is>
          <t>Sistemas en meta</t>
        </is>
      </c>
      <c r="L22" s="10" t="inlineStr">
        <is>
          <t>% competencia 3 «Investigar, evaluar y usar información» (meta 24–36 %)</t>
        </is>
      </c>
      <c r="M22" s="10" t="inlineStr">
        <is>
          <t>ÍNDICE DE APEGO PISA</t>
        </is>
      </c>
    </row>
    <row r="23">
      <c r="A23" s="11" t="inlineStr">
        <is>
          <t>7°</t>
        </is>
      </c>
      <c r="B23" s="11" t="inlineStr">
        <is>
          <t>PISA 2025</t>
        </is>
      </c>
      <c r="C23" s="11">
        <f>COUNTIFS('Datos - Temas'!$V$5:$V$1264,$A23,'Datos - Temas'!$AK$5:$AK$1264,"&lt;&gt;")</f>
        <v/>
      </c>
      <c r="D23" s="12">
        <f>'PISA - Contenidos'!N6</f>
        <v/>
      </c>
      <c r="E23" s="13">
        <f>IF(C23=0,0,D23/C23)</f>
        <v/>
      </c>
      <c r="F23" s="11">
        <f>INDEX('PISA - Contenidos'!$C$6:$C$8,MATCH(MAX('PISA - Contenidos'!$I$6:$I$8),'PISA - Contenidos'!$I$6:$I$8,0))</f>
        <v/>
      </c>
      <c r="G23" s="11">
        <f>ROUND(MAX('PISA - Contenidos'!$I$6:$I$8),0)</f>
        <v/>
      </c>
      <c r="H23" s="11">
        <f>INDEX('PISA - Contenidos'!$C$6:$C$8,MATCH(MIN('PISA - Contenidos'!$I$6:$I$8),'PISA - Contenidos'!$I$6:$I$8,0))</f>
        <v/>
      </c>
      <c r="I23" s="11">
        <f>ROUND(-MIN('PISA - Contenidos'!$I$6:$I$8),0)</f>
        <v/>
      </c>
      <c r="J23" s="12">
        <f>'PISA - Contenidos'!M9</f>
        <v/>
      </c>
      <c r="K23" s="11">
        <f>COUNTIF('PISA - Contenidos'!$K$6:$K$8,"En meta")&amp;" de "&amp;ROWS('PISA - Contenidos'!$K$6:$K$8)</f>
        <v/>
      </c>
      <c r="L23" s="14">
        <f>'PISA - Competencias'!H13</f>
        <v/>
      </c>
      <c r="M23" s="14">
        <f>'Apego TIMSS y PISA'!F20</f>
        <v/>
      </c>
    </row>
    <row r="24">
      <c r="A24" s="11" t="inlineStr">
        <is>
          <t>8°</t>
        </is>
      </c>
      <c r="B24" s="11" t="inlineStr">
        <is>
          <t>PISA 2025</t>
        </is>
      </c>
      <c r="C24" s="11">
        <f>COUNTIFS('Datos - Temas'!$V$5:$V$1264,$A24,'Datos - Temas'!$AK$5:$AK$1264,"&lt;&gt;")</f>
        <v/>
      </c>
      <c r="D24" s="12">
        <f>'PISA - Contenidos'!N11</f>
        <v/>
      </c>
      <c r="E24" s="13">
        <f>IF(C24=0,0,D24/C24)</f>
        <v/>
      </c>
      <c r="F24" s="11">
        <f>INDEX('PISA - Contenidos'!$C$11:$C$13,MATCH(MAX('PISA - Contenidos'!$I$11:$I$13),'PISA - Contenidos'!$I$11:$I$13,0))</f>
        <v/>
      </c>
      <c r="G24" s="11">
        <f>ROUND(MAX('PISA - Contenidos'!$I$11:$I$13),0)</f>
        <v/>
      </c>
      <c r="H24" s="11">
        <f>INDEX('PISA - Contenidos'!$C$11:$C$13,MATCH(MIN('PISA - Contenidos'!$I$11:$I$13),'PISA - Contenidos'!$I$11:$I$13,0))</f>
        <v/>
      </c>
      <c r="I24" s="11">
        <f>ROUND(-MIN('PISA - Contenidos'!$I$11:$I$13),0)</f>
        <v/>
      </c>
      <c r="J24" s="12">
        <f>'PISA - Contenidos'!M14</f>
        <v/>
      </c>
      <c r="K24" s="11">
        <f>COUNTIF('PISA - Contenidos'!$K$11:$K$13,"En meta")&amp;" de "&amp;ROWS('PISA - Contenidos'!$K$11:$K$13)</f>
        <v/>
      </c>
      <c r="L24" s="14">
        <f>'PISA - Competencias'!H14</f>
        <v/>
      </c>
      <c r="M24" s="14">
        <f>'Apego TIMSS y PISA'!F21</f>
        <v/>
      </c>
    </row>
    <row r="25">
      <c r="A25" s="11" t="inlineStr">
        <is>
          <t>9°</t>
        </is>
      </c>
      <c r="B25" s="11" t="inlineStr">
        <is>
          <t>PISA 2025</t>
        </is>
      </c>
      <c r="C25" s="11">
        <f>COUNTIFS('Datos - Temas'!$V$5:$V$1264,$A25,'Datos - Temas'!$AK$5:$AK$1264,"&lt;&gt;")</f>
        <v/>
      </c>
      <c r="D25" s="12">
        <f>'PISA - Contenidos'!N16</f>
        <v/>
      </c>
      <c r="E25" s="13">
        <f>IF(C25=0,0,D25/C25)</f>
        <v/>
      </c>
      <c r="F25" s="11">
        <f>INDEX('PISA - Contenidos'!$C$16:$C$18,MATCH(MAX('PISA - Contenidos'!$I$16:$I$18),'PISA - Contenidos'!$I$16:$I$18,0))</f>
        <v/>
      </c>
      <c r="G25" s="11">
        <f>ROUND(MAX('PISA - Contenidos'!$I$16:$I$18),0)</f>
        <v/>
      </c>
      <c r="H25" s="11">
        <f>INDEX('PISA - Contenidos'!$C$16:$C$18,MATCH(MIN('PISA - Contenidos'!$I$16:$I$18),'PISA - Contenidos'!$I$16:$I$18,0))</f>
        <v/>
      </c>
      <c r="I25" s="11">
        <f>ROUND(-MIN('PISA - Contenidos'!$I$16:$I$18),0)</f>
        <v/>
      </c>
      <c r="J25" s="12">
        <f>'PISA - Contenidos'!M19</f>
        <v/>
      </c>
      <c r="K25" s="11">
        <f>COUNTIF('PISA - Contenidos'!$K$16:$K$18,"En meta")&amp;" de "&amp;ROWS('PISA - Contenidos'!$K$16:$K$18)</f>
        <v/>
      </c>
      <c r="L25" s="14">
        <f>'PISA - Competencias'!H15</f>
        <v/>
      </c>
      <c r="M25" s="14">
        <f>'Apego TIMSS y PISA'!F22</f>
        <v/>
      </c>
    </row>
    <row r="26">
      <c r="A26" s="11" t="inlineStr">
        <is>
          <t>Ciclo 7°–9°</t>
        </is>
      </c>
      <c r="B26" s="11" t="inlineStr">
        <is>
          <t>PISA 2025</t>
        </is>
      </c>
      <c r="C26" s="11">
        <f>COUNTIFS('Datos - Temas'!$AV$5:$AV$1264,$A26,'Datos - Temas'!$AK$5:$AK$1264,"&lt;&gt;")</f>
        <v/>
      </c>
      <c r="D26" s="12">
        <f>'PISA - Contenidos'!N21</f>
        <v/>
      </c>
      <c r="E26" s="13">
        <f>IF(C26=0,0,D26/C26)</f>
        <v/>
      </c>
      <c r="F26" s="11">
        <f>INDEX('PISA - Contenidos'!$C$21:$C$23,MATCH(MAX('PISA - Contenidos'!$I$21:$I$23),'PISA - Contenidos'!$I$21:$I$23,0))</f>
        <v/>
      </c>
      <c r="G26" s="11">
        <f>ROUND(MAX('PISA - Contenidos'!$I$21:$I$23),0)</f>
        <v/>
      </c>
      <c r="H26" s="11">
        <f>INDEX('PISA - Contenidos'!$C$21:$C$23,MATCH(MIN('PISA - Contenidos'!$I$21:$I$23),'PISA - Contenidos'!$I$21:$I$23,0))</f>
        <v/>
      </c>
      <c r="I26" s="11">
        <f>ROUND(-MIN('PISA - Contenidos'!$I$21:$I$23),0)</f>
        <v/>
      </c>
      <c r="J26" s="12">
        <f>'PISA - Contenidos'!M24</f>
        <v/>
      </c>
      <c r="K26" s="11">
        <f>COUNTIF('PISA - Contenidos'!$K$21:$K$23,"En meta")&amp;" de "&amp;ROWS('PISA - Contenidos'!$K$21:$K$23)</f>
        <v/>
      </c>
      <c r="L26" s="14">
        <f>'PISA - Competencias'!H16</f>
        <v/>
      </c>
      <c r="M26" s="14">
        <f>'Apego TIMSS y PISA'!F23</f>
        <v/>
      </c>
    </row>
    <row r="27"/>
    <row r="28">
      <c r="A28" s="16" t="inlineStr">
        <is>
          <t>Cómo leer cada columna</t>
        </is>
      </c>
    </row>
    <row r="29" ht="30" customHeight="1">
      <c r="A29" s="5" t="inlineStr">
        <is>
          <t>• Temas SIN objetivo en el marco: temas que la malla SÍ enseña pero que el marco no evalúa (p. ej. medición general, electrónica digital, gestión de riesgos). No son un error: indican cuánto de la malla va más allá de la prueba. Lo contrario —objetivos del marco que la malla NO trabaja— está en «Objetivos del marco que la malla NO trabaja».</t>
        </is>
      </c>
    </row>
    <row r="30" ht="30" customHeight="1">
      <c r="A30" s="5" t="inlineStr">
        <is>
          <t>• Dominio TIMSS con MÁS temas faltantes: de los dominios de TIMSS (Biología, Química, Física, Tierra), el que más se queda por debajo del peso que TIMSS le da en la prueba. «Temas que faltan» = cuántos temas habría que pasar a ese dominio, con el mismo total de temas, para llegar a la meta.</t>
        </is>
      </c>
    </row>
    <row r="31" ht="30" customHeight="1">
      <c r="A31" s="5" t="inlineStr">
        <is>
          <t>• Temas a AGREGAR sin quitar: si no se quiere quitar ningún tema, cuántos habría que SUMAR en total para que todos los dominios lleguen a su meta. Ejemplo: con 100 temas, 60 % Biología y meta 45 %, habría que llegar a 60 ÷ 0,45 ≈ 133 temas, sumando 33 en los otros dominios. Por eso suele ser una cifra alta: la alternativa realista (fusionar e insertar con el mismo total) está en la hoja Presupuesto de temas.</t>
        </is>
      </c>
    </row>
    <row r="32" ht="30" customHeight="1">
      <c r="A32" s="5" t="inlineStr">
        <is>
          <t>• Dominios en meta: cuántos dominios están a ±5 puntos porcentuales de su meta (tolerancia editable en TIMSS - Balance por grado, celda H2).</t>
        </is>
      </c>
    </row>
    <row r="33" ht="30" customHeight="1">
      <c r="A33" s="5" t="inlineStr">
        <is>
          <t>• ÍNDICE DE APEGO: parte del reparto de la malla que ya coincide con el del marco (100 % = igual). Detalle y escenarios TIMSS/PISA en Apego TIMSS y PISA.</t>
        </is>
      </c>
    </row>
    <row r="34"/>
    <row r="35" ht="42" customHeight="1">
      <c r="A35" s="2" t="inlineStr">
        <is>
          <t>Cómo se calcula: Todo es fórmula sobre Temas. Balance = reparto de temas por dominio vs. metas TIMSS. Amplitud = objetivos TIMSS que aparecen. Profundidad cognitiva = Conocer/Aplicar/Razonar. Ver «Inicio» para el proceso completo.</t>
        </is>
      </c>
    </row>
  </sheetData>
  <mergeCells count="8">
    <mergeCell ref="A32:M32"/>
    <mergeCell ref="A31:M31"/>
    <mergeCell ref="A33:M33"/>
    <mergeCell ref="A35:M35"/>
    <mergeCell ref="A3:M3"/>
    <mergeCell ref="A30:M30"/>
    <mergeCell ref="A29:M29"/>
    <mergeCell ref="A2:M2"/>
  </mergeCells>
  <pageMargins left="0.75" right="0.75" top="1" bottom="1" header="0.5" footer="0.5"/>
</worksheet>
</file>

<file path=xl/worksheets/sheet3.xml><?xml version="1.0" encoding="utf-8"?>
<worksheet xmlns="http://schemas.openxmlformats.org/spreadsheetml/2006/main">
  <sheetPr>
    <tabColor rgb="001E4D3A"/>
    <outlinePr summaryBelow="1" summaryRight="1"/>
    <pageSetUpPr/>
  </sheetPr>
  <dimension ref="A1:N51"/>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13" customWidth="1" min="3" max="3"/>
    <col width="13" customWidth="1" min="4" max="4"/>
    <col width="12" customWidth="1" min="5" max="5"/>
    <col width="13" customWidth="1" min="6" max="6"/>
    <col width="22" customWidth="1" min="7" max="7"/>
    <col width="12" customWidth="1" min="8" max="8"/>
    <col width="12" customWidth="1" min="9" max="9"/>
    <col width="12" customWidth="1" min="10" max="10"/>
    <col width="12" customWidth="1" min="11" max="11"/>
    <col width="12" customWidth="1" min="12" max="12"/>
  </cols>
  <sheetData>
    <row r="1">
      <c r="A1" s="6" t="inlineStr">
        <is>
          <t>Apego a los marcos: índice por grado y escenarios TIMSS / PISA para 7.° y 8.°</t>
        </is>
      </c>
    </row>
    <row r="2" ht="68" customHeight="1">
      <c r="A2" s="7">
        <f>"TIMSS 2027 y PISA 2025"&amp;"
"&amp;IF(MIN(F17,F18,F23)&gt;=$H$4,"BIEN · ","OJO · ")&amp;"Acumulado: TIMSS 4.° "&amp;FIXED((F17)*100,0)&amp;" %"&amp;", TIMSS 8.° "&amp;FIXED((F18)*100,0)&amp;" %"&amp;", PISA "&amp;FIXED((F23)*100,0)&amp;" %"&amp;" de apego (alto = 85 % o más)."&amp;"
"&amp;"OJO · Grado más flojo en TIMSS: "&amp;SUBSTITUTE(INDEX($A$8:$A$14,MATCH(MIN($F$8:$F$14),$F$8:$F$14,0)),"°",".°")&amp;" ("&amp;FIXED((MIN($F$8:$F$14))*100,0)&amp;" %"&amp;"). En PISA: 9.° ("&amp;FIXED((F22)*100,0)&amp;" %"&amp;")."&amp;"
"&amp;"● 7.° y 8.° se miden con los dos marcos: el peso de PISA se elige en la celda E4 (hoy "&amp;FIXED((E4)*100,0)&amp;" %"&amp;")."</f>
        <v/>
      </c>
      <c r="B2" s="8" t="n"/>
      <c r="C2" s="8" t="n"/>
      <c r="D2" s="8" t="n"/>
      <c r="E2" s="8" t="n"/>
      <c r="F2" s="8" t="n"/>
      <c r="G2" s="8" t="n"/>
      <c r="H2" s="8" t="n"/>
      <c r="I2" s="8" t="n"/>
      <c r="J2" s="8" t="n"/>
      <c r="K2" s="8" t="n"/>
      <c r="L2" s="9" t="n"/>
    </row>
    <row r="3"/>
    <row r="4">
      <c r="A4" s="20" t="inlineStr">
        <is>
          <t>Peso de PISA en 7.° y 8.° (0 % = solo TIMSS):</t>
        </is>
      </c>
      <c r="E4" s="21" t="n">
        <v>0.5</v>
      </c>
      <c r="G4" t="inlineStr">
        <is>
          <t>Lectura: alto desde</t>
        </is>
      </c>
      <c r="H4" s="21" t="n">
        <v>0.85</v>
      </c>
      <c r="I4" t="inlineStr">
        <is>
          <t>medio desde</t>
        </is>
      </c>
      <c r="J4" s="21" t="n">
        <v>0.7</v>
      </c>
    </row>
    <row r="5"/>
    <row r="6">
      <c r="A6" s="16" t="inlineStr">
        <is>
          <t>A · Índice de apego por grado y ciclo</t>
        </is>
      </c>
    </row>
    <row r="7" ht="40" customHeight="1">
      <c r="A7" s="10" t="inlineStr">
        <is>
          <t>Grado / ciclo</t>
        </is>
      </c>
      <c r="B7" s="10" t="inlineStr">
        <is>
          <t>Marco</t>
        </is>
      </c>
      <c r="C7" s="10" t="inlineStr">
        <is>
          <t>Coincidencia de balance</t>
        </is>
      </c>
      <c r="D7" s="10" t="inlineStr">
        <is>
          <t>Coincidencia cognitiva</t>
        </is>
      </c>
      <c r="E7" s="10" t="inlineStr">
        <is>
          <t>Amplitud (ciclo)</t>
        </is>
      </c>
      <c r="F7" s="10" t="inlineStr">
        <is>
          <t>ÍNDICE DE APEGO</t>
        </is>
      </c>
      <c r="G7" s="10" t="inlineStr">
        <is>
          <t>Lectura</t>
        </is>
      </c>
    </row>
    <row r="8">
      <c r="A8" s="11" t="inlineStr">
        <is>
          <t>2°</t>
        </is>
      </c>
      <c r="B8" s="11" t="inlineStr">
        <is>
          <t>TIMSS 2027 4.°</t>
        </is>
      </c>
      <c r="C8" s="14">
        <f>'TIMSS - Balance por grado'!O9</f>
        <v/>
      </c>
      <c r="D8" s="14">
        <f>'TIMSS - Conocer-Aplicar-Razonar'!O5</f>
        <v/>
      </c>
      <c r="E8" s="14" t="inlineStr">
        <is>
          <t>—</t>
        </is>
      </c>
      <c r="F8" s="22">
        <f>AVERAGE(C8:E8)</f>
        <v/>
      </c>
      <c r="G8" s="11">
        <f>IF(F8&gt;=$H$4,"Alto",IF(F8&gt;=$J$4,"Medio","Bajo: revisar"))</f>
        <v/>
      </c>
    </row>
    <row r="9">
      <c r="A9" s="11" t="inlineStr">
        <is>
          <t>3°</t>
        </is>
      </c>
      <c r="B9" s="11" t="inlineStr">
        <is>
          <t>TIMSS 2027 4.°</t>
        </is>
      </c>
      <c r="C9" s="14">
        <f>'TIMSS - Balance por grado'!O14</f>
        <v/>
      </c>
      <c r="D9" s="14">
        <f>'TIMSS - Conocer-Aplicar-Razonar'!O6</f>
        <v/>
      </c>
      <c r="E9" s="14" t="inlineStr">
        <is>
          <t>—</t>
        </is>
      </c>
      <c r="F9" s="22">
        <f>AVERAGE(C9:E9)</f>
        <v/>
      </c>
      <c r="G9" s="11">
        <f>IF(F9&gt;=$H$4,"Alto",IF(F9&gt;=$J$4,"Medio","Bajo: revisar"))</f>
        <v/>
      </c>
    </row>
    <row r="10">
      <c r="A10" s="11" t="inlineStr">
        <is>
          <t>4°</t>
        </is>
      </c>
      <c r="B10" s="11" t="inlineStr">
        <is>
          <t>TIMSS 2027 4.°</t>
        </is>
      </c>
      <c r="C10" s="14">
        <f>'TIMSS - Balance por grado'!O19</f>
        <v/>
      </c>
      <c r="D10" s="14">
        <f>'TIMSS - Conocer-Aplicar-Razonar'!O7</f>
        <v/>
      </c>
      <c r="E10" s="14" t="inlineStr">
        <is>
          <t>—</t>
        </is>
      </c>
      <c r="F10" s="22">
        <f>AVERAGE(C10:E10)</f>
        <v/>
      </c>
      <c r="G10" s="11">
        <f>IF(F10&gt;=$H$4,"Alto",IF(F10&gt;=$J$4,"Medio","Bajo: revisar"))</f>
        <v/>
      </c>
    </row>
    <row r="11">
      <c r="A11" s="11" t="inlineStr">
        <is>
          <t>5°</t>
        </is>
      </c>
      <c r="B11" s="11" t="inlineStr">
        <is>
          <t>TIMSS 2027 8.°</t>
        </is>
      </c>
      <c r="C11" s="14">
        <f>'TIMSS - Balance por grado'!O25</f>
        <v/>
      </c>
      <c r="D11" s="14">
        <f>'TIMSS - Conocer-Aplicar-Razonar'!O8</f>
        <v/>
      </c>
      <c r="E11" s="14" t="inlineStr">
        <is>
          <t>—</t>
        </is>
      </c>
      <c r="F11" s="22">
        <f>AVERAGE(C11:E11)</f>
        <v/>
      </c>
      <c r="G11" s="11">
        <f>IF(F11&gt;=$H$4,"Alto",IF(F11&gt;=$J$4,"Medio","Bajo: revisar"))</f>
        <v/>
      </c>
    </row>
    <row r="12">
      <c r="A12" s="11" t="inlineStr">
        <is>
          <t>6°</t>
        </is>
      </c>
      <c r="B12" s="11" t="inlineStr">
        <is>
          <t>TIMSS 2027 8.°</t>
        </is>
      </c>
      <c r="C12" s="14">
        <f>'TIMSS - Balance por grado'!O31</f>
        <v/>
      </c>
      <c r="D12" s="14">
        <f>'TIMSS - Conocer-Aplicar-Razonar'!O9</f>
        <v/>
      </c>
      <c r="E12" s="14" t="inlineStr">
        <is>
          <t>—</t>
        </is>
      </c>
      <c r="F12" s="22">
        <f>AVERAGE(C12:E12)</f>
        <v/>
      </c>
      <c r="G12" s="11">
        <f>IF(F12&gt;=$H$4,"Alto",IF(F12&gt;=$J$4,"Medio","Bajo: revisar"))</f>
        <v/>
      </c>
    </row>
    <row r="13">
      <c r="A13" s="11" t="inlineStr">
        <is>
          <t>7°</t>
        </is>
      </c>
      <c r="B13" s="11" t="inlineStr">
        <is>
          <t>TIMSS 2027 8.°</t>
        </is>
      </c>
      <c r="C13" s="14">
        <f>'TIMSS - Balance por grado'!O37</f>
        <v/>
      </c>
      <c r="D13" s="14">
        <f>'TIMSS - Conocer-Aplicar-Razonar'!O10</f>
        <v/>
      </c>
      <c r="E13" s="14" t="inlineStr">
        <is>
          <t>—</t>
        </is>
      </c>
      <c r="F13" s="22">
        <f>AVERAGE(C13:E13)</f>
        <v/>
      </c>
      <c r="G13" s="11">
        <f>IF(F13&gt;=$H$4,"Alto",IF(F13&gt;=$J$4,"Medio","Bajo: revisar"))</f>
        <v/>
      </c>
    </row>
    <row r="14">
      <c r="A14" s="11" t="inlineStr">
        <is>
          <t>8°</t>
        </is>
      </c>
      <c r="B14" s="11" t="inlineStr">
        <is>
          <t>TIMSS 2027 8.°</t>
        </is>
      </c>
      <c r="C14" s="14">
        <f>'TIMSS - Balance por grado'!O43</f>
        <v/>
      </c>
      <c r="D14" s="14">
        <f>'TIMSS - Conocer-Aplicar-Razonar'!O11</f>
        <v/>
      </c>
      <c r="E14" s="14" t="inlineStr">
        <is>
          <t>—</t>
        </is>
      </c>
      <c r="F14" s="22">
        <f>AVERAGE(C14:E14)</f>
        <v/>
      </c>
      <c r="G14" s="11">
        <f>IF(F14&gt;=$H$4,"Alto",IF(F14&gt;=$J$4,"Medio","Bajo: revisar"))</f>
        <v/>
      </c>
    </row>
    <row r="15">
      <c r="A15" s="11" t="inlineStr">
        <is>
          <t>Física 10°</t>
        </is>
      </c>
      <c r="B15" s="11" t="inlineStr">
        <is>
          <t>TIMSS Advanced 2015 Física</t>
        </is>
      </c>
      <c r="C15" s="14">
        <f>'TIMSS - Balance por grado'!O48</f>
        <v/>
      </c>
      <c r="D15" s="14">
        <f>'TIMSS - Conocer-Aplicar-Razonar'!O12</f>
        <v/>
      </c>
      <c r="E15" s="14" t="inlineStr">
        <is>
          <t>—</t>
        </is>
      </c>
      <c r="F15" s="22">
        <f>AVERAGE(C15:E15)</f>
        <v/>
      </c>
      <c r="G15" s="11">
        <f>IF(F15&gt;=$H$4,"Alto",IF(F15&gt;=$J$4,"Medio","Bajo: revisar"))</f>
        <v/>
      </c>
    </row>
    <row r="16">
      <c r="A16" s="11" t="inlineStr">
        <is>
          <t>Física 11°</t>
        </is>
      </c>
      <c r="B16" s="11" t="inlineStr">
        <is>
          <t>TIMSS Advanced 2015 Física</t>
        </is>
      </c>
      <c r="C16" s="14">
        <f>'TIMSS - Balance por grado'!O53</f>
        <v/>
      </c>
      <c r="D16" s="14">
        <f>'TIMSS - Conocer-Aplicar-Razonar'!O13</f>
        <v/>
      </c>
      <c r="E16" s="14" t="inlineStr">
        <is>
          <t>—</t>
        </is>
      </c>
      <c r="F16" s="22">
        <f>AVERAGE(C16:E16)</f>
        <v/>
      </c>
      <c r="G16" s="11">
        <f>IF(F16&gt;=$H$4,"Alto",IF(F16&gt;=$J$4,"Medio","Bajo: revisar"))</f>
        <v/>
      </c>
    </row>
    <row r="17">
      <c r="A17" s="11" t="inlineStr">
        <is>
          <t>Ciclo 2°–4°</t>
        </is>
      </c>
      <c r="B17" s="11" t="inlineStr">
        <is>
          <t>TIMSS 2027 4.°</t>
        </is>
      </c>
      <c r="C17" s="14">
        <f>'TIMSS - Balance por ciclo'!O9</f>
        <v/>
      </c>
      <c r="D17" s="14">
        <f>1-(ABS(SUMIFS('Datos - Temas'!$S$5:$S$1264,'Datos - Temas'!$W$5:$W$1264,$A17)/COUNTIFS('Datos - Temas'!$W$5:$W$1264,$A17)-0.35)+ABS(SUMIFS('Datos - Temas'!$T$5:$T$1264,'Datos - Temas'!$W$5:$W$1264,$A17)/COUNTIFS('Datos - Temas'!$W$5:$W$1264,$A17)-0.4)+ABS(SUMIFS('Datos - Temas'!$U$5:$U$1264,'Datos - Temas'!$W$5:$W$1264,$A17)/COUNTIFS('Datos - Temas'!$W$5:$W$1264,$A17)-0.25))/2</f>
        <v/>
      </c>
      <c r="E17" s="14">
        <f>'TIMSS - Semáforo de objetivos'!E115</f>
        <v/>
      </c>
      <c r="F17" s="22">
        <f>AVERAGE(C17:E17)</f>
        <v/>
      </c>
      <c r="G17" s="11">
        <f>IF(F17&gt;=$H$4,"Alto",IF(F17&gt;=$J$4,"Medio","Bajo: revisar"))</f>
        <v/>
      </c>
    </row>
    <row r="18">
      <c r="A18" s="11" t="inlineStr">
        <is>
          <t>Ciclo 5°–8°</t>
        </is>
      </c>
      <c r="B18" s="11" t="inlineStr">
        <is>
          <t>TIMSS 2027 8.°</t>
        </is>
      </c>
      <c r="C18" s="14">
        <f>'TIMSS - Balance por ciclo'!O15</f>
        <v/>
      </c>
      <c r="D18" s="14">
        <f>1-(ABS(SUMIFS('Datos - Temas'!$S$5:$S$1264,'Datos - Temas'!$W$5:$W$1264,$A18)/COUNTIFS('Datos - Temas'!$W$5:$W$1264,$A18)-0.35)+ABS(SUMIFS('Datos - Temas'!$T$5:$T$1264,'Datos - Temas'!$W$5:$W$1264,$A18)/COUNTIFS('Datos - Temas'!$W$5:$W$1264,$A18)-0.35)+ABS(SUMIFS('Datos - Temas'!$U$5:$U$1264,'Datos - Temas'!$W$5:$W$1264,$A18)/COUNTIFS('Datos - Temas'!$W$5:$W$1264,$A18)-0.3))/2</f>
        <v/>
      </c>
      <c r="E18" s="14">
        <f>'TIMSS - Semáforo de objetivos'!E120</f>
        <v/>
      </c>
      <c r="F18" s="22">
        <f>AVERAGE(C18:E18)</f>
        <v/>
      </c>
      <c r="G18" s="11">
        <f>IF(F18&gt;=$H$4,"Alto",IF(F18&gt;=$J$4,"Medio","Bajo: revisar"))</f>
        <v/>
      </c>
    </row>
    <row r="19">
      <c r="A19" s="11" t="inlineStr">
        <is>
          <t>Física 10°–11°</t>
        </is>
      </c>
      <c r="B19" s="11" t="inlineStr">
        <is>
          <t>TIMSS Advanced 2015 Física</t>
        </is>
      </c>
      <c r="C19" s="14">
        <f>'TIMSS - Balance por ciclo'!O20</f>
        <v/>
      </c>
      <c r="D19" s="14">
        <f>1-(ABS(SUMIFS('Datos - Temas'!$S$5:$S$1264,'Datos - Temas'!$W$5:$W$1264,$A19)/COUNTIFS('Datos - Temas'!$W$5:$W$1264,$A19)-0.3)+ABS(SUMIFS('Datos - Temas'!$T$5:$T$1264,'Datos - Temas'!$W$5:$W$1264,$A19)/COUNTIFS('Datos - Temas'!$W$5:$W$1264,$A19)-0.4)+ABS(SUMIFS('Datos - Temas'!$U$5:$U$1264,'Datos - Temas'!$W$5:$W$1264,$A19)/COUNTIFS('Datos - Temas'!$W$5:$W$1264,$A19)-0.3))/2</f>
        <v/>
      </c>
      <c r="E19" s="14">
        <f>'TIMSS - Semáforo de objetivos'!E124</f>
        <v/>
      </c>
      <c r="F19" s="22">
        <f>AVERAGE(C19:E19)</f>
        <v/>
      </c>
      <c r="G19" s="11">
        <f>IF(F19&gt;=$H$4,"Alto",IF(F19&gt;=$J$4,"Medio","Bajo: revisar"))</f>
        <v/>
      </c>
    </row>
    <row r="20">
      <c r="A20" s="11" t="inlineStr">
        <is>
          <t>7° · PISA</t>
        </is>
      </c>
      <c r="B20" s="11" t="inlineStr">
        <is>
          <t>PISA 2025</t>
        </is>
      </c>
      <c r="C20" s="14">
        <f>'PISA - Contenidos'!O9</f>
        <v/>
      </c>
      <c r="D20" s="14">
        <f>'PISA - Competencias'!L13</f>
        <v/>
      </c>
      <c r="E20" s="14" t="inlineStr">
        <is>
          <t>—</t>
        </is>
      </c>
      <c r="F20" s="22">
        <f>AVERAGE(C20:E20)</f>
        <v/>
      </c>
      <c r="G20" s="11">
        <f>IF(F20&gt;=$H$4,"Alto",IF(F20&gt;=$J$4,"Medio","Bajo: revisar"))</f>
        <v/>
      </c>
    </row>
    <row r="21">
      <c r="A21" s="11" t="inlineStr">
        <is>
          <t>8° · PISA</t>
        </is>
      </c>
      <c r="B21" s="11" t="inlineStr">
        <is>
          <t>PISA 2025</t>
        </is>
      </c>
      <c r="C21" s="14">
        <f>'PISA - Contenidos'!O14</f>
        <v/>
      </c>
      <c r="D21" s="14">
        <f>'PISA - Competencias'!L14</f>
        <v/>
      </c>
      <c r="E21" s="14" t="inlineStr">
        <is>
          <t>—</t>
        </is>
      </c>
      <c r="F21" s="22">
        <f>AVERAGE(C21:E21)</f>
        <v/>
      </c>
      <c r="G21" s="11">
        <f>IF(F21&gt;=$H$4,"Alto",IF(F21&gt;=$J$4,"Medio","Bajo: revisar"))</f>
        <v/>
      </c>
    </row>
    <row r="22">
      <c r="A22" s="11" t="inlineStr">
        <is>
          <t>9° · PISA</t>
        </is>
      </c>
      <c r="B22" s="11" t="inlineStr">
        <is>
          <t>PISA 2025</t>
        </is>
      </c>
      <c r="C22" s="14">
        <f>'PISA - Contenidos'!O19</f>
        <v/>
      </c>
      <c r="D22" s="14">
        <f>'PISA - Competencias'!L15</f>
        <v/>
      </c>
      <c r="E22" s="14" t="inlineStr">
        <is>
          <t>—</t>
        </is>
      </c>
      <c r="F22" s="22">
        <f>AVERAGE(C22:E22)</f>
        <v/>
      </c>
      <c r="G22" s="11">
        <f>IF(F22&gt;=$H$4,"Alto",IF(F22&gt;=$J$4,"Medio","Bajo: revisar"))</f>
        <v/>
      </c>
    </row>
    <row r="23">
      <c r="A23" s="11" t="inlineStr">
        <is>
          <t>Ciclo 7°–9° · PISA</t>
        </is>
      </c>
      <c r="B23" s="11" t="inlineStr">
        <is>
          <t>PISA 2025</t>
        </is>
      </c>
      <c r="C23" s="14">
        <f>'PISA - Contenidos'!O24</f>
        <v/>
      </c>
      <c r="D23" s="14">
        <f>'PISA - Competencias'!L16</f>
        <v/>
      </c>
      <c r="E23" s="14">
        <f>'PISA - Contenidos'!D55</f>
        <v/>
      </c>
      <c r="F23" s="22">
        <f>AVERAGE(C23:E23)</f>
        <v/>
      </c>
      <c r="G23" s="11">
        <f>IF(F23&gt;=$H$4,"Alto",IF(F23&gt;=$J$4,"Medio","Bajo: revisar"))</f>
        <v/>
      </c>
    </row>
    <row r="24">
      <c r="A24" s="23" t="inlineStr">
        <is>
          <t>7° · escenario elegido</t>
        </is>
      </c>
      <c r="B24" s="23" t="inlineStr">
        <is>
          <t>Mezcla según el peso de E4</t>
        </is>
      </c>
      <c r="C24" s="23" t="n"/>
      <c r="D24" s="23" t="n"/>
      <c r="E24" s="23" t="n"/>
      <c r="F24" s="24">
        <f>(1-$E$4)*F13+$E$4*F20</f>
        <v/>
      </c>
      <c r="G24" s="23">
        <f>IF(F24&gt;=$H$4,"Alto",IF(F24&gt;=$J$4,"Medio","Bajo: revisar"))</f>
        <v/>
      </c>
    </row>
    <row r="25">
      <c r="A25" s="23" t="inlineStr">
        <is>
          <t>8° · escenario elegido</t>
        </is>
      </c>
      <c r="B25" s="23" t="inlineStr">
        <is>
          <t>Mezcla según el peso de E4</t>
        </is>
      </c>
      <c r="C25" s="23" t="n"/>
      <c r="D25" s="23" t="n"/>
      <c r="E25" s="23" t="n"/>
      <c r="F25" s="24">
        <f>(1-$E$4)*F14+$E$4*F21</f>
        <v/>
      </c>
      <c r="G25" s="23">
        <f>IF(F25&gt;=$H$4,"Alto",IF(F25&gt;=$J$4,"Medio","Bajo: revisar"))</f>
        <v/>
      </c>
    </row>
    <row r="26"/>
    <row r="27"/>
    <row r="28">
      <c r="A28" s="16" t="inlineStr">
        <is>
          <t>B · Escenarios para 7.° y 8.°: ¿cuántos temas faltan (+) o sobran (−) en cada sistema según el peso de cada marco?</t>
        </is>
      </c>
    </row>
    <row r="29" ht="42" customHeight="1">
      <c r="A29" s="2" t="inlineStr">
        <is>
          <t>El eje común son los 3 sistemas de PISA. Las metas de TIMSS 8.° se agrupan igual: Sistemas físicos = Química 20 % + Física 25 %; vivos = Biología 35 %; Tierra y espacio = Ciencias de la Tierra 20 %. En cada escenario: meta = (1 − p)·TIMSS + p·PISA y % actual = (1 − p)·actual TIMSS + p·actual PISA (cada marco con su propia clasificación). Brecha (temas) = (meta − actual) × temas evaluables.</t>
        </is>
      </c>
    </row>
    <row r="30" ht="48" customHeight="1">
      <c r="A30" s="10" t="inlineStr">
        <is>
          <t>Grado</t>
        </is>
      </c>
      <c r="B30" s="10" t="inlineStr">
        <is>
          <t>Sistema</t>
        </is>
      </c>
      <c r="C30" s="10" t="inlineStr">
        <is>
          <t>Meta TIMSS (agrupada)</t>
        </is>
      </c>
      <c r="D30" s="10" t="inlineStr">
        <is>
          <t>Meta PISA</t>
        </is>
      </c>
      <c r="E30" s="10" t="inlineStr">
        <is>
          <t>% actual TIMSS</t>
        </is>
      </c>
      <c r="F30" s="10" t="inlineStr">
        <is>
          <t>% actual PISA</t>
        </is>
      </c>
      <c r="G30" s="10" t="inlineStr">
        <is>
          <t>100 % TIMSS · brecha (temas)</t>
        </is>
      </c>
      <c r="H30" s="10" t="inlineStr">
        <is>
          <t>50 / 50 · brecha (temas)</t>
        </is>
      </c>
      <c r="I30" s="10" t="inlineStr">
        <is>
          <t>100 % PISA · brecha (temas)</t>
        </is>
      </c>
      <c r="J30" s="10" t="inlineStr">
        <is>
          <t>Personalizado · brecha (temas)</t>
        </is>
      </c>
      <c r="K30" s="10" t="inlineStr">
        <is>
          <t>Evaluables TIMSS</t>
        </is>
      </c>
      <c r="L30" s="10" t="inlineStr">
        <is>
          <t>Evaluables PISA</t>
        </is>
      </c>
    </row>
    <row r="31">
      <c r="A31" s="25" t="inlineStr">
        <is>
          <t>Peso de PISA →</t>
        </is>
      </c>
      <c r="G31" s="26" t="n">
        <v>0</v>
      </c>
      <c r="H31" s="26" t="n">
        <v>0.5</v>
      </c>
      <c r="I31" s="26" t="n">
        <v>1</v>
      </c>
      <c r="J31" s="26">
        <f>$E$4</f>
        <v/>
      </c>
    </row>
    <row r="32">
      <c r="A32" s="11" t="inlineStr">
        <is>
          <t>7°</t>
        </is>
      </c>
      <c r="B32" s="11" t="inlineStr">
        <is>
          <t>Sistemas físicos</t>
        </is>
      </c>
      <c r="C32" s="27" t="n">
        <v>0.45</v>
      </c>
      <c r="D32" s="27" t="n">
        <v>0.37</v>
      </c>
      <c r="E32" s="13">
        <f>IF(K32=0,0,(COUNTIFS('Datos - Temas'!$V$5:$V$1264,$A32,'Datos - Temas'!$M$5:$M$1264,"Química")+COUNTIFS('Datos - Temas'!$V$5:$V$1264,$A32,'Datos - Temas'!$M$5:$M$1264,"Física"))/K32)</f>
        <v/>
      </c>
      <c r="F32" s="13">
        <f>IF(L32=0,0,COUNTIFS('Datos - Temas'!$V$5:$V$1264,$A32,'Datos - Temas'!$AM$5:$AM$1264,$B32)/L32)</f>
        <v/>
      </c>
      <c r="G32" s="28">
        <f>((1-G$31)*C32+G$31*D32-((1-G$31)*E32+G$31*F32))*((1-G$31)*K32+G$31*L32)</f>
        <v/>
      </c>
      <c r="H32" s="28">
        <f>((1-H$31)*C32+H$31*D32-((1-H$31)*E32+H$31*F32))*((1-H$31)*K32+H$31*L32)</f>
        <v/>
      </c>
      <c r="I32" s="28">
        <f>((1-I$31)*C32+I$31*D32-((1-I$31)*E32+I$31*F32))*((1-I$31)*K32+I$31*L32)</f>
        <v/>
      </c>
      <c r="J32" s="28">
        <f>((1-J$31)*C32+J$31*D32-((1-J$31)*E32+J$31*F32))*((1-J$31)*K32+J$31*L32)</f>
        <v/>
      </c>
      <c r="K32" s="11">
        <f>COUNTIFS('Datos - Temas'!$V$5:$V$1264,$A32,'Datos - Temas'!$C$5:$C$1264,"Ciencias")-COUNTIFS('Datos - Temas'!$V$5:$V$1264,$A32,'Datos - Temas'!$K$5:$K$1264,"FUERA")-COUNTIFS('Datos - Temas'!$V$5:$V$1264,$A32,'Datos - Temas'!$K$5:$K$1264,"PENDIENTE")</f>
        <v/>
      </c>
      <c r="L32" s="11">
        <f>COUNTIFS('Datos - Temas'!$V$5:$V$1264,$A32,'Datos - Temas'!$AK$5:$AK$1264,"&lt;&gt;")-COUNTIFS('Datos - Temas'!$V$5:$V$1264,$A32,'Datos - Temas'!$AK$5:$AK$1264,"FUERA")</f>
        <v/>
      </c>
    </row>
    <row r="33">
      <c r="A33" s="11" t="inlineStr">
        <is>
          <t>7°</t>
        </is>
      </c>
      <c r="B33" s="11" t="inlineStr">
        <is>
          <t>Sistemas vivos</t>
        </is>
      </c>
      <c r="C33" s="27" t="n">
        <v>0.35</v>
      </c>
      <c r="D33" s="27" t="n">
        <v>0.37</v>
      </c>
      <c r="E33" s="13">
        <f>IF(K33=0,0,(COUNTIFS('Datos - Temas'!$V$5:$V$1264,$A33,'Datos - Temas'!$M$5:$M$1264,"Biología"))/K33)</f>
        <v/>
      </c>
      <c r="F33" s="13">
        <f>IF(L33=0,0,COUNTIFS('Datos - Temas'!$V$5:$V$1264,$A33,'Datos - Temas'!$AM$5:$AM$1264,$B33)/L33)</f>
        <v/>
      </c>
      <c r="G33" s="28">
        <f>((1-G$31)*C33+G$31*D33-((1-G$31)*E33+G$31*F33))*((1-G$31)*K33+G$31*L33)</f>
        <v/>
      </c>
      <c r="H33" s="28">
        <f>((1-H$31)*C33+H$31*D33-((1-H$31)*E33+H$31*F33))*((1-H$31)*K33+H$31*L33)</f>
        <v/>
      </c>
      <c r="I33" s="28">
        <f>((1-I$31)*C33+I$31*D33-((1-I$31)*E33+I$31*F33))*((1-I$31)*K33+I$31*L33)</f>
        <v/>
      </c>
      <c r="J33" s="28">
        <f>((1-J$31)*C33+J$31*D33-((1-J$31)*E33+J$31*F33))*((1-J$31)*K33+J$31*L33)</f>
        <v/>
      </c>
      <c r="K33" s="11">
        <f>COUNTIFS('Datos - Temas'!$V$5:$V$1264,$A33,'Datos - Temas'!$C$5:$C$1264,"Ciencias")-COUNTIFS('Datos - Temas'!$V$5:$V$1264,$A33,'Datos - Temas'!$K$5:$K$1264,"FUERA")-COUNTIFS('Datos - Temas'!$V$5:$V$1264,$A33,'Datos - Temas'!$K$5:$K$1264,"PENDIENTE")</f>
        <v/>
      </c>
      <c r="L33" s="11">
        <f>COUNTIFS('Datos - Temas'!$V$5:$V$1264,$A33,'Datos - Temas'!$AK$5:$AK$1264,"&lt;&gt;")-COUNTIFS('Datos - Temas'!$V$5:$V$1264,$A33,'Datos - Temas'!$AK$5:$AK$1264,"FUERA")</f>
        <v/>
      </c>
    </row>
    <row r="34">
      <c r="A34" s="11" t="inlineStr">
        <is>
          <t>7°</t>
        </is>
      </c>
      <c r="B34" s="11" t="inlineStr">
        <is>
          <t>Sistemas de la Tierra y el espacio</t>
        </is>
      </c>
      <c r="C34" s="27" t="n">
        <v>0.2</v>
      </c>
      <c r="D34" s="27" t="n">
        <v>0.26</v>
      </c>
      <c r="E34" s="13">
        <f>IF(K34=0,0,(COUNTIFS('Datos - Temas'!$V$5:$V$1264,$A34,'Datos - Temas'!$M$5:$M$1264,"Ciencias de la Tierra"))/K34)</f>
        <v/>
      </c>
      <c r="F34" s="13">
        <f>IF(L34=0,0,COUNTIFS('Datos - Temas'!$V$5:$V$1264,$A34,'Datos - Temas'!$AM$5:$AM$1264,$B34)/L34)</f>
        <v/>
      </c>
      <c r="G34" s="28">
        <f>((1-G$31)*C34+G$31*D34-((1-G$31)*E34+G$31*F34))*((1-G$31)*K34+G$31*L34)</f>
        <v/>
      </c>
      <c r="H34" s="28">
        <f>((1-H$31)*C34+H$31*D34-((1-H$31)*E34+H$31*F34))*((1-H$31)*K34+H$31*L34)</f>
        <v/>
      </c>
      <c r="I34" s="28">
        <f>((1-I$31)*C34+I$31*D34-((1-I$31)*E34+I$31*F34))*((1-I$31)*K34+I$31*L34)</f>
        <v/>
      </c>
      <c r="J34" s="28">
        <f>((1-J$31)*C34+J$31*D34-((1-J$31)*E34+J$31*F34))*((1-J$31)*K34+J$31*L34)</f>
        <v/>
      </c>
      <c r="K34" s="11">
        <f>COUNTIFS('Datos - Temas'!$V$5:$V$1264,$A34,'Datos - Temas'!$C$5:$C$1264,"Ciencias")-COUNTIFS('Datos - Temas'!$V$5:$V$1264,$A34,'Datos - Temas'!$K$5:$K$1264,"FUERA")-COUNTIFS('Datos - Temas'!$V$5:$V$1264,$A34,'Datos - Temas'!$K$5:$K$1264,"PENDIENTE")</f>
        <v/>
      </c>
      <c r="L34" s="11">
        <f>COUNTIFS('Datos - Temas'!$V$5:$V$1264,$A34,'Datos - Temas'!$AK$5:$AK$1264,"&lt;&gt;")-COUNTIFS('Datos - Temas'!$V$5:$V$1264,$A34,'Datos - Temas'!$AK$5:$AK$1264,"FUERA")</f>
        <v/>
      </c>
    </row>
    <row r="35">
      <c r="A35" s="23" t="n"/>
      <c r="B35" s="23" t="inlineStr">
        <is>
          <t>Coincidencia de balance</t>
        </is>
      </c>
      <c r="C35" s="23" t="n"/>
      <c r="D35" s="23" t="n"/>
      <c r="E35" s="23" t="n"/>
      <c r="F35" s="23" t="n"/>
      <c r="G35" s="24">
        <f>1-(ABS((1-G$31)*C32+G$31*D32-((1-G$31)*E32+G$31*F32))+ABS((1-G$31)*C33+G$31*D33-((1-G$31)*E33+G$31*F33))+ABS((1-G$31)*C34+G$31*D34-((1-G$31)*E34+G$31*F34)))/2</f>
        <v/>
      </c>
      <c r="H35" s="24">
        <f>1-(ABS((1-H$31)*C32+H$31*D32-((1-H$31)*E32+H$31*F32))+ABS((1-H$31)*C33+H$31*D33-((1-H$31)*E33+H$31*F33))+ABS((1-H$31)*C34+H$31*D34-((1-H$31)*E34+H$31*F34)))/2</f>
        <v/>
      </c>
      <c r="I35" s="24">
        <f>1-(ABS((1-I$31)*C32+I$31*D32-((1-I$31)*E32+I$31*F32))+ABS((1-I$31)*C33+I$31*D33-((1-I$31)*E33+I$31*F33))+ABS((1-I$31)*C34+I$31*D34-((1-I$31)*E34+I$31*F34)))/2</f>
        <v/>
      </c>
      <c r="J35" s="24">
        <f>1-(ABS((1-J$31)*C32+J$31*D32-((1-J$31)*E32+J$31*F32))+ABS((1-J$31)*C33+J$31*D33-((1-J$31)*E33+J$31*F33))+ABS((1-J$31)*C34+J$31*D34-((1-J$31)*E34+J$31*F34)))/2</f>
        <v/>
      </c>
      <c r="K35" s="23" t="n"/>
      <c r="L35" s="23" t="n"/>
    </row>
    <row r="36">
      <c r="A36" s="23" t="n"/>
      <c r="B36" s="23" t="inlineStr">
        <is>
          <t>Índice de apego del escenario</t>
        </is>
      </c>
      <c r="C36" s="23" t="n"/>
      <c r="D36" s="23" t="n"/>
      <c r="E36" s="23" t="n"/>
      <c r="F36" s="23" t="n"/>
      <c r="G36" s="24">
        <f>(1-G$31)*$F$13+G$31*$F$20</f>
        <v/>
      </c>
      <c r="H36" s="24">
        <f>(1-H$31)*$F$13+H$31*$F$20</f>
        <v/>
      </c>
      <c r="I36" s="24">
        <f>(1-I$31)*$F$13+I$31*$F$20</f>
        <v/>
      </c>
      <c r="J36" s="24">
        <f>(1-J$31)*$F$13+J$31*$F$20</f>
        <v/>
      </c>
      <c r="K36" s="23" t="n"/>
      <c r="L36" s="23" t="n"/>
    </row>
    <row r="37"/>
    <row r="38">
      <c r="A38" s="11" t="inlineStr">
        <is>
          <t>8°</t>
        </is>
      </c>
      <c r="B38" s="11" t="inlineStr">
        <is>
          <t>Sistemas físicos</t>
        </is>
      </c>
      <c r="C38" s="27" t="n">
        <v>0.45</v>
      </c>
      <c r="D38" s="27" t="n">
        <v>0.37</v>
      </c>
      <c r="E38" s="13">
        <f>IF(K38=0,0,(COUNTIFS('Datos - Temas'!$V$5:$V$1264,$A38,'Datos - Temas'!$M$5:$M$1264,"Química")+COUNTIFS('Datos - Temas'!$V$5:$V$1264,$A38,'Datos - Temas'!$M$5:$M$1264,"Física"))/K38)</f>
        <v/>
      </c>
      <c r="F38" s="13">
        <f>IF(L38=0,0,COUNTIFS('Datos - Temas'!$V$5:$V$1264,$A38,'Datos - Temas'!$AM$5:$AM$1264,$B38)/L38)</f>
        <v/>
      </c>
      <c r="G38" s="28">
        <f>((1-G$31)*C38+G$31*D38-((1-G$31)*E38+G$31*F38))*((1-G$31)*K38+G$31*L38)</f>
        <v/>
      </c>
      <c r="H38" s="28">
        <f>((1-H$31)*C38+H$31*D38-((1-H$31)*E38+H$31*F38))*((1-H$31)*K38+H$31*L38)</f>
        <v/>
      </c>
      <c r="I38" s="28">
        <f>((1-I$31)*C38+I$31*D38-((1-I$31)*E38+I$31*F38))*((1-I$31)*K38+I$31*L38)</f>
        <v/>
      </c>
      <c r="J38" s="28">
        <f>((1-J$31)*C38+J$31*D38-((1-J$31)*E38+J$31*F38))*((1-J$31)*K38+J$31*L38)</f>
        <v/>
      </c>
      <c r="K38" s="11">
        <f>COUNTIFS('Datos - Temas'!$V$5:$V$1264,$A38,'Datos - Temas'!$C$5:$C$1264,"Ciencias")-COUNTIFS('Datos - Temas'!$V$5:$V$1264,$A38,'Datos - Temas'!$K$5:$K$1264,"FUERA")-COUNTIFS('Datos - Temas'!$V$5:$V$1264,$A38,'Datos - Temas'!$K$5:$K$1264,"PENDIENTE")</f>
        <v/>
      </c>
      <c r="L38" s="11">
        <f>COUNTIFS('Datos - Temas'!$V$5:$V$1264,$A38,'Datos - Temas'!$AK$5:$AK$1264,"&lt;&gt;")-COUNTIFS('Datos - Temas'!$V$5:$V$1264,$A38,'Datos - Temas'!$AK$5:$AK$1264,"FUERA")</f>
        <v/>
      </c>
    </row>
    <row r="39">
      <c r="A39" s="11" t="inlineStr">
        <is>
          <t>8°</t>
        </is>
      </c>
      <c r="B39" s="11" t="inlineStr">
        <is>
          <t>Sistemas vivos</t>
        </is>
      </c>
      <c r="C39" s="27" t="n">
        <v>0.35</v>
      </c>
      <c r="D39" s="27" t="n">
        <v>0.37</v>
      </c>
      <c r="E39" s="13">
        <f>IF(K39=0,0,(COUNTIFS('Datos - Temas'!$V$5:$V$1264,$A39,'Datos - Temas'!$M$5:$M$1264,"Biología"))/K39)</f>
        <v/>
      </c>
      <c r="F39" s="13">
        <f>IF(L39=0,0,COUNTIFS('Datos - Temas'!$V$5:$V$1264,$A39,'Datos - Temas'!$AM$5:$AM$1264,$B39)/L39)</f>
        <v/>
      </c>
      <c r="G39" s="28">
        <f>((1-G$31)*C39+G$31*D39-((1-G$31)*E39+G$31*F39))*((1-G$31)*K39+G$31*L39)</f>
        <v/>
      </c>
      <c r="H39" s="28">
        <f>((1-H$31)*C39+H$31*D39-((1-H$31)*E39+H$31*F39))*((1-H$31)*K39+H$31*L39)</f>
        <v/>
      </c>
      <c r="I39" s="28">
        <f>((1-I$31)*C39+I$31*D39-((1-I$31)*E39+I$31*F39))*((1-I$31)*K39+I$31*L39)</f>
        <v/>
      </c>
      <c r="J39" s="28">
        <f>((1-J$31)*C39+J$31*D39-((1-J$31)*E39+J$31*F39))*((1-J$31)*K39+J$31*L39)</f>
        <v/>
      </c>
      <c r="K39" s="11">
        <f>COUNTIFS('Datos - Temas'!$V$5:$V$1264,$A39,'Datos - Temas'!$C$5:$C$1264,"Ciencias")-COUNTIFS('Datos - Temas'!$V$5:$V$1264,$A39,'Datos - Temas'!$K$5:$K$1264,"FUERA")-COUNTIFS('Datos - Temas'!$V$5:$V$1264,$A39,'Datos - Temas'!$K$5:$K$1264,"PENDIENTE")</f>
        <v/>
      </c>
      <c r="L39" s="11">
        <f>COUNTIFS('Datos - Temas'!$V$5:$V$1264,$A39,'Datos - Temas'!$AK$5:$AK$1264,"&lt;&gt;")-COUNTIFS('Datos - Temas'!$V$5:$V$1264,$A39,'Datos - Temas'!$AK$5:$AK$1264,"FUERA")</f>
        <v/>
      </c>
    </row>
    <row r="40">
      <c r="A40" s="11" t="inlineStr">
        <is>
          <t>8°</t>
        </is>
      </c>
      <c r="B40" s="11" t="inlineStr">
        <is>
          <t>Sistemas de la Tierra y el espacio</t>
        </is>
      </c>
      <c r="C40" s="27" t="n">
        <v>0.2</v>
      </c>
      <c r="D40" s="27" t="n">
        <v>0.26</v>
      </c>
      <c r="E40" s="13">
        <f>IF(K40=0,0,(COUNTIFS('Datos - Temas'!$V$5:$V$1264,$A40,'Datos - Temas'!$M$5:$M$1264,"Ciencias de la Tierra"))/K40)</f>
        <v/>
      </c>
      <c r="F40" s="13">
        <f>IF(L40=0,0,COUNTIFS('Datos - Temas'!$V$5:$V$1264,$A40,'Datos - Temas'!$AM$5:$AM$1264,$B40)/L40)</f>
        <v/>
      </c>
      <c r="G40" s="28">
        <f>((1-G$31)*C40+G$31*D40-((1-G$31)*E40+G$31*F40))*((1-G$31)*K40+G$31*L40)</f>
        <v/>
      </c>
      <c r="H40" s="28">
        <f>((1-H$31)*C40+H$31*D40-((1-H$31)*E40+H$31*F40))*((1-H$31)*K40+H$31*L40)</f>
        <v/>
      </c>
      <c r="I40" s="28">
        <f>((1-I$31)*C40+I$31*D40-((1-I$31)*E40+I$31*F40))*((1-I$31)*K40+I$31*L40)</f>
        <v/>
      </c>
      <c r="J40" s="28">
        <f>((1-J$31)*C40+J$31*D40-((1-J$31)*E40+J$31*F40))*((1-J$31)*K40+J$31*L40)</f>
        <v/>
      </c>
      <c r="K40" s="11">
        <f>COUNTIFS('Datos - Temas'!$V$5:$V$1264,$A40,'Datos - Temas'!$C$5:$C$1264,"Ciencias")-COUNTIFS('Datos - Temas'!$V$5:$V$1264,$A40,'Datos - Temas'!$K$5:$K$1264,"FUERA")-COUNTIFS('Datos - Temas'!$V$5:$V$1264,$A40,'Datos - Temas'!$K$5:$K$1264,"PENDIENTE")</f>
        <v/>
      </c>
      <c r="L40" s="11">
        <f>COUNTIFS('Datos - Temas'!$V$5:$V$1264,$A40,'Datos - Temas'!$AK$5:$AK$1264,"&lt;&gt;")-COUNTIFS('Datos - Temas'!$V$5:$V$1264,$A40,'Datos - Temas'!$AK$5:$AK$1264,"FUERA")</f>
        <v/>
      </c>
    </row>
    <row r="41">
      <c r="A41" s="23" t="n"/>
      <c r="B41" s="23" t="inlineStr">
        <is>
          <t>Coincidencia de balance</t>
        </is>
      </c>
      <c r="C41" s="23" t="n"/>
      <c r="D41" s="23" t="n"/>
      <c r="E41" s="23" t="n"/>
      <c r="F41" s="23" t="n"/>
      <c r="G41" s="24">
        <f>1-(ABS((1-G$31)*C38+G$31*D38-((1-G$31)*E38+G$31*F38))+ABS((1-G$31)*C39+G$31*D39-((1-G$31)*E39+G$31*F39))+ABS((1-G$31)*C40+G$31*D40-((1-G$31)*E40+G$31*F40)))/2</f>
        <v/>
      </c>
      <c r="H41" s="24">
        <f>1-(ABS((1-H$31)*C38+H$31*D38-((1-H$31)*E38+H$31*F38))+ABS((1-H$31)*C39+H$31*D39-((1-H$31)*E39+H$31*F39))+ABS((1-H$31)*C40+H$31*D40-((1-H$31)*E40+H$31*F40)))/2</f>
        <v/>
      </c>
      <c r="I41" s="24">
        <f>1-(ABS((1-I$31)*C38+I$31*D38-((1-I$31)*E38+I$31*F38))+ABS((1-I$31)*C39+I$31*D39-((1-I$31)*E39+I$31*F39))+ABS((1-I$31)*C40+I$31*D40-((1-I$31)*E40+I$31*F40)))/2</f>
        <v/>
      </c>
      <c r="J41" s="24">
        <f>1-(ABS((1-J$31)*C38+J$31*D38-((1-J$31)*E38+J$31*F38))+ABS((1-J$31)*C39+J$31*D39-((1-J$31)*E39+J$31*F39))+ABS((1-J$31)*C40+J$31*D40-((1-J$31)*E40+J$31*F40)))/2</f>
        <v/>
      </c>
      <c r="K41" s="23" t="n"/>
      <c r="L41" s="23" t="n"/>
    </row>
    <row r="42">
      <c r="A42" s="23" t="n"/>
      <c r="B42" s="23" t="inlineStr">
        <is>
          <t>Índice de apego del escenario</t>
        </is>
      </c>
      <c r="C42" s="23" t="n"/>
      <c r="D42" s="23" t="n"/>
      <c r="E42" s="23" t="n"/>
      <c r="F42" s="23" t="n"/>
      <c r="G42" s="24">
        <f>(1-G$31)*$F$14+G$31*$F$21</f>
        <v/>
      </c>
      <c r="H42" s="24">
        <f>(1-H$31)*$F$14+H$31*$F$21</f>
        <v/>
      </c>
      <c r="I42" s="24">
        <f>(1-I$31)*$F$14+I$31*$F$21</f>
        <v/>
      </c>
      <c r="J42" s="24">
        <f>(1-J$31)*$F$14+J$31*$F$21</f>
        <v/>
      </c>
      <c r="K42" s="23" t="n"/>
      <c r="L42" s="23" t="n"/>
    </row>
    <row r="43"/>
    <row r="44"/>
    <row r="45">
      <c r="A45" s="16" t="inlineStr">
        <is>
          <t>C · Cómo usar los escenarios (recomendación)</t>
        </is>
      </c>
    </row>
    <row r="46" ht="30" customHeight="1">
      <c r="A46" s="5" t="inlineStr">
        <is>
          <t>1. Los tres escenarios pedidos (100 % TIMSS, 50/50, 100 % PISA) están lado a lado; la columna «Personalizado» toma el peso de la celda E4, para probar cualquier mezcla (p. ej. 70 % PISA).</t>
        </is>
      </c>
    </row>
    <row r="47" ht="30" customHeight="1">
      <c r="A47" s="5" t="inlineStr">
        <is>
          <t>2. Mezclar METAS solo tiene sentido en un eje común (los 3 sistemas). Las metas cognitivas NO se mezclan: TIMSS mide Conocer/Aplicar/Razonar y PISA tres competencias distintas; por eso el escenario mezcla los ÍNDICES de apego, no las metas cognitivas.</t>
        </is>
      </c>
    </row>
    <row r="48" ht="30" customHeight="1">
      <c r="A48" s="5" t="inlineStr">
        <is>
          <t>3. 9.° ya no se compara con TIMSS (decisión del equipo): solo PISA. 5.° y 6.° siguen solo con TIMSS 8.° (que evalúa lo acumulado de 5.° a 8.°).</t>
        </is>
      </c>
    </row>
    <row r="49" ht="30" customHeight="1">
      <c r="A49" s="5" t="inlineStr">
        <is>
          <t>4. Si El Salvador participa en TIMSS 2027 (8.° grado), 8.° sigue siendo el grado evaluado por TIMSS: un 100 % PISA en 8.° dejaría de alinear justo el grado que TIMSS mide. Una mezcla 50/50 en 8.° y 70–100 % PISA en 7.° y 9.° es una opción razonable mientras se decide.</t>
        </is>
      </c>
    </row>
    <row r="50"/>
    <row r="51" ht="70" customHeight="1">
      <c r="A51" s="2" t="inlineStr">
        <is>
          <t>Cómo se calcula: COINCIDENCIA = 1 − ½ Σ |% actual − % meta|: es la parte del reparto de la malla que ya coincide con el reparto del marco (100 % = idéntico). Se calcula para el balance de contenidos (dominios TIMSS o sistemas PISA) y para el reparto cognitivo (Conocer/Aplicar/Razonar en TIMSS; las 3 competencias en PISA). En los ciclos se agrega la AMPLITUD (% de objetivos o categorías cubiertos). ÍNDICE DE APEGO = promedio de lo disponible. 7.° y 8.° se miden con los dos marcos; qué peso dar a cada uno es una decisión de política (celda ámbar E4).</t>
        </is>
      </c>
    </row>
  </sheetData>
  <mergeCells count="7">
    <mergeCell ref="A2:L2"/>
    <mergeCell ref="A48:N48"/>
    <mergeCell ref="A51:L51"/>
    <mergeCell ref="A29:N29"/>
    <mergeCell ref="A49:N49"/>
    <mergeCell ref="A47:N47"/>
    <mergeCell ref="A46:N46"/>
  </mergeCells>
  <conditionalFormatting sqref="G8:G25">
    <cfRule type="cellIs" priority="1" operator="equal" dxfId="0">
      <formula>"Alto"</formula>
    </cfRule>
    <cfRule type="cellIs" priority="2" operator="equal" dxfId="1">
      <formula>"Medio"</formula>
    </cfRule>
    <cfRule type="cellIs" priority="3" operator="equal" dxfId="2">
      <formula>"Bajo: revisar"</formula>
    </cfRule>
  </conditionalFormatting>
  <conditionalFormatting sqref="G32:J44">
    <cfRule type="expression" priority="4" dxfId="2">
      <formula>AND(ISNUMBER(G32),G32&gt;=3,$B32&lt;&gt;"Coincidencia de balance",LEFT($B32,6)&lt;&gt;"Índice")</formula>
    </cfRule>
    <cfRule type="expression" priority="5" dxfId="1">
      <formula>AND(ISNUMBER(G32),G32&lt;=-3,$B32&lt;&gt;"Coincidencia de balance",LEFT($B32,6)&lt;&gt;"Índice")</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B85C38"/>
    <outlinePr summaryBelow="1" summaryRight="1"/>
    <pageSetUpPr/>
  </sheetPr>
  <dimension ref="A1:Q193"/>
  <sheetViews>
    <sheetView showGridLines="0" workbookViewId="0">
      <pane xSplit="1" ySplit="23" topLeftCell="B24"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6" customWidth="1" min="3" max="3"/>
    <col width="30" customWidth="1" min="4" max="4"/>
    <col width="11" customWidth="1" min="5" max="5"/>
    <col width="18" customWidth="1" min="6" max="6"/>
    <col width="11" customWidth="1" min="7" max="7"/>
    <col width="11" customWidth="1" min="8" max="8"/>
    <col width="11" customWidth="1" min="9" max="9"/>
    <col width="60" customWidth="1" min="10" max="10"/>
    <col width="13" customWidth="1" min="11" max="11"/>
    <col width="55" customWidth="1" min="12" max="12"/>
    <col width="40" customWidth="1" min="13" max="13"/>
    <col width="50" customWidth="1" min="14" max="14"/>
    <col width="40" customWidth="1" min="15" max="15"/>
    <col width="10" customWidth="1" min="16" max="16"/>
    <col width="14" customWidth="1" min="17" max="17"/>
  </cols>
  <sheetData>
    <row r="1">
      <c r="A1" s="6" t="inlineStr">
        <is>
          <t>Presupuesto de temas: qué insertar y qué fusionar para acercarse a las metas SIN aumentar el número de temas</t>
        </is>
      </c>
    </row>
    <row r="2" ht="83" customHeight="1">
      <c r="A2" s="7">
        <f>"TIMSS 2027 (2.°–8.°) y PISA 2025 (7.°–9.°)"&amp;"
"&amp;"● El total de temas no cambia: cada tema nuevo se paga uniendo dos temas que se repiten."&amp;"
"&amp;"● TIMSS 2.°–4.°: "&amp;FIXED(G9+H9,0)&amp;" temas nuevos a cambio de "&amp;FIXED(J9,0)&amp;" uniones de temas repetidos. TIMSS 5.°–8.°: ya equilibrado; solo "&amp;FIXED(G15+H15,0)&amp;" tema nuevo (un objetivo que nadie enseña)."&amp;"
"&amp;"● PISA 7.°–9.°: "&amp;FIXED(G20+H20,0)&amp;" temas nuevos de biología y Tierra a cambio de "&amp;FIXED(J20,0)&amp;" uniones en física y química."&amp;"
"&amp;"→ Filtra «¿Entra en el presupuesto?» = Sí y anota tu decisión en la última columna."</f>
        <v/>
      </c>
      <c r="B2" s="8" t="n"/>
      <c r="C2" s="8" t="n"/>
      <c r="D2" s="8" t="n"/>
      <c r="E2" s="8" t="n"/>
      <c r="F2" s="8" t="n"/>
      <c r="G2" s="8" t="n"/>
      <c r="H2" s="8" t="n"/>
      <c r="I2" s="8" t="n"/>
      <c r="J2" s="8" t="n"/>
      <c r="K2" s="8" t="n"/>
      <c r="L2" s="8" t="n"/>
      <c r="M2" s="8" t="n"/>
      <c r="N2" s="9" t="n"/>
    </row>
    <row r="3" ht="42" customHeight="1">
      <c r="A3" s="2" t="inlineStr">
        <is>
          <t>Se trabaja por CICLO y no por grado: la meta del marco es para lo acumulado, y por grado salen brechas grandes que se compensan entre sí (p. ej. 5.°–8.°: Biología +19 en 5.° y −15 en 7.°, que se resuelve reubicando, no insertando y fusionando). 7.° y 8.° aparecen en el ciclo TIMSS 5.°–8.° y en el PISA 7.°–9.°: según el peso elegido en Apego TIMSS y PISA, seguir uno u otro bloque.</t>
        </is>
      </c>
    </row>
    <row r="4"/>
    <row r="5" ht="54" customHeight="1">
      <c r="A5" s="10" t="inlineStr">
        <is>
          <t>Clave</t>
        </is>
      </c>
      <c r="B5" s="10" t="inlineStr">
        <is>
          <t>Ciclo</t>
        </is>
      </c>
      <c r="C5" s="10" t="inlineStr">
        <is>
          <t>Marco</t>
        </is>
      </c>
      <c r="D5" s="10" t="inlineStr">
        <is>
          <t>Área</t>
        </is>
      </c>
      <c r="E5" s="10" t="inlineStr">
        <is>
          <t>Brecha del ciclo (temas)</t>
        </is>
      </c>
      <c r="F5" s="10" t="inlineStr">
        <is>
          <t>Estado</t>
        </is>
      </c>
      <c r="G5" s="10" t="inlineStr">
        <is>
          <t>Inserciones por balance</t>
        </is>
      </c>
      <c r="H5" s="10" t="inlineStr">
        <is>
          <t>Inserciones por cobertura</t>
        </is>
      </c>
      <c r="I5" s="10" t="inlineStr">
        <is>
          <t>Temas a liberar con fusiones</t>
        </is>
      </c>
      <c r="J5" s="10" t="inlineStr">
        <is>
          <t>Temas que liberan las fusiones elegidas</t>
        </is>
      </c>
      <c r="K5" s="10" t="inlineStr">
        <is>
          <t>Saldo (insertados − liberados)</t>
        </is>
      </c>
    </row>
    <row r="6">
      <c r="A6" s="11" t="inlineStr">
        <is>
          <t>2-4|Biología</t>
        </is>
      </c>
      <c r="B6" s="11" t="inlineStr">
        <is>
          <t>Ciclo 2°–4°</t>
        </is>
      </c>
      <c r="C6" s="11" t="inlineStr">
        <is>
          <t>TIMSS 2027 4.°</t>
        </is>
      </c>
      <c r="D6" s="11" t="inlineStr">
        <is>
          <t>Biología</t>
        </is>
      </c>
      <c r="E6" s="29">
        <f>'TIMSS - Balance por ciclo'!I6</f>
        <v/>
      </c>
      <c r="F6" s="12">
        <f>'TIMSS - Balance por ciclo'!K6</f>
        <v/>
      </c>
      <c r="G6" s="11">
        <f>IF(COUNTIF($F$6:$F$8,"En meta")=ROWS($F$6:$F$8),0,MAX(0,ROUND(E6,0)))</f>
        <v/>
      </c>
      <c r="H6" s="11">
        <f>COUNTIFS($B$24:$B$191,A6,$D$24:$D$191,"insertar",$E$24:$E$191,"cobertura")</f>
        <v/>
      </c>
      <c r="I6" s="11">
        <f>IF(COUNTIF($F$6:$F$8,"En meta")=ROWS($F$6:$F$8),0,MAX(0,ROUND(-E6,0)))+H6</f>
        <v/>
      </c>
      <c r="J6" s="11">
        <f>SUMIFS($O$24:$O$191,$B$24:$B$191,A6,$D$24:$D$191,"fusionar",$P$24:$P$191,"Sí")</f>
        <v/>
      </c>
      <c r="K6" s="11">
        <f>G6+H6-J6</f>
        <v/>
      </c>
    </row>
    <row r="7">
      <c r="A7" s="11" t="inlineStr">
        <is>
          <t>2-4|Ciencias físicas</t>
        </is>
      </c>
      <c r="B7" s="11" t="inlineStr">
        <is>
          <t>Ciclo 2°–4°</t>
        </is>
      </c>
      <c r="C7" s="11" t="inlineStr">
        <is>
          <t>TIMSS 2027 4.°</t>
        </is>
      </c>
      <c r="D7" s="11" t="inlineStr">
        <is>
          <t>Ciencias físicas</t>
        </is>
      </c>
      <c r="E7" s="29">
        <f>'TIMSS - Balance por ciclo'!I7</f>
        <v/>
      </c>
      <c r="F7" s="12">
        <f>'TIMSS - Balance por ciclo'!K7</f>
        <v/>
      </c>
      <c r="G7" s="11">
        <f>IF(COUNTIF($F$6:$F$8,"En meta")=ROWS($F$6:$F$8),0,MAX(0,ROUND(E7,0)))</f>
        <v/>
      </c>
      <c r="H7" s="11">
        <f>COUNTIFS($B$24:$B$191,A7,$D$24:$D$191,"insertar",$E$24:$E$191,"cobertura")</f>
        <v/>
      </c>
      <c r="I7" s="11">
        <f>IF(COUNTIF($F$6:$F$8,"En meta")=ROWS($F$6:$F$8),0,MAX(0,ROUND(-E7,0)))+H7</f>
        <v/>
      </c>
      <c r="J7" s="11">
        <f>SUMIFS($O$24:$O$191,$B$24:$B$191,A7,$D$24:$D$191,"fusionar",$P$24:$P$191,"Sí")</f>
        <v/>
      </c>
      <c r="K7" s="11">
        <f>G7+H7-J7</f>
        <v/>
      </c>
    </row>
    <row r="8">
      <c r="A8" s="11" t="inlineStr">
        <is>
          <t>2-4|Ciencias de la Tierra</t>
        </is>
      </c>
      <c r="B8" s="11" t="inlineStr">
        <is>
          <t>Ciclo 2°–4°</t>
        </is>
      </c>
      <c r="C8" s="11" t="inlineStr">
        <is>
          <t>TIMSS 2027 4.°</t>
        </is>
      </c>
      <c r="D8" s="11" t="inlineStr">
        <is>
          <t>Ciencias de la Tierra</t>
        </is>
      </c>
      <c r="E8" s="29">
        <f>'TIMSS - Balance por ciclo'!I8</f>
        <v/>
      </c>
      <c r="F8" s="12">
        <f>'TIMSS - Balance por ciclo'!K8</f>
        <v/>
      </c>
      <c r="G8" s="11">
        <f>IF(COUNTIF($F$6:$F$8,"En meta")=ROWS($F$6:$F$8),0,MAX(0,ROUND(E8,0)))</f>
        <v/>
      </c>
      <c r="H8" s="11">
        <f>COUNTIFS($B$24:$B$191,A8,$D$24:$D$191,"insertar",$E$24:$E$191,"cobertura")</f>
        <v/>
      </c>
      <c r="I8" s="11">
        <f>IF(COUNTIF($F$6:$F$8,"En meta")=ROWS($F$6:$F$8),0,MAX(0,ROUND(-E8,0)))+H8</f>
        <v/>
      </c>
      <c r="J8" s="11">
        <f>SUMIFS($O$24:$O$191,$B$24:$B$191,A8,$D$24:$D$191,"fusionar",$P$24:$P$191,"Sí")</f>
        <v/>
      </c>
      <c r="K8" s="11">
        <f>G8+H8-J8</f>
        <v/>
      </c>
    </row>
    <row r="9">
      <c r="A9" s="23" t="n"/>
      <c r="B9" s="23" t="n"/>
      <c r="C9" s="23" t="n"/>
      <c r="D9" s="23" t="inlineStr">
        <is>
          <t>Total Ciclo 2°–4°</t>
        </is>
      </c>
      <c r="E9" s="23" t="n"/>
      <c r="F9" s="23" t="n"/>
      <c r="G9" s="23">
        <f>SUM(G6:G8)</f>
        <v/>
      </c>
      <c r="H9" s="23">
        <f>SUM(H6:H8)</f>
        <v/>
      </c>
      <c r="I9" s="23">
        <f>SUM(I6:I8)</f>
        <v/>
      </c>
      <c r="J9" s="23">
        <f>SUM(J6:J8)</f>
        <v/>
      </c>
      <c r="K9" s="23">
        <f>SUM(K6:K8)</f>
        <v/>
      </c>
    </row>
    <row r="10"/>
    <row r="11">
      <c r="A11" s="11" t="inlineStr">
        <is>
          <t>5-8|Biología</t>
        </is>
      </c>
      <c r="B11" s="11" t="inlineStr">
        <is>
          <t>Ciclo 5°–8°</t>
        </is>
      </c>
      <c r="C11" s="11" t="inlineStr">
        <is>
          <t>TIMSS 2027 8.°</t>
        </is>
      </c>
      <c r="D11" s="11" t="inlineStr">
        <is>
          <t>Biología</t>
        </is>
      </c>
      <c r="E11" s="29">
        <f>'TIMSS - Balance por ciclo'!I11</f>
        <v/>
      </c>
      <c r="F11" s="12">
        <f>'TIMSS - Balance por ciclo'!K11</f>
        <v/>
      </c>
      <c r="G11" s="11">
        <f>IF(COUNTIF($F$11:$F$14,"En meta")=ROWS($F$11:$F$14),0,MAX(0,ROUND(E11,0)))</f>
        <v/>
      </c>
      <c r="H11" s="11">
        <f>COUNTIFS($B$24:$B$191,A11,$D$24:$D$191,"insertar",$E$24:$E$191,"cobertura")</f>
        <v/>
      </c>
      <c r="I11" s="11">
        <f>IF(COUNTIF($F$11:$F$14,"En meta")=ROWS($F$11:$F$14),0,MAX(0,ROUND(-E11,0)))+H11</f>
        <v/>
      </c>
      <c r="J11" s="11">
        <f>SUMIFS($O$24:$O$191,$B$24:$B$191,A11,$D$24:$D$191,"fusionar",$P$24:$P$191,"Sí")</f>
        <v/>
      </c>
      <c r="K11" s="11">
        <f>G11+H11-J11</f>
        <v/>
      </c>
    </row>
    <row r="12">
      <c r="A12" s="11" t="inlineStr">
        <is>
          <t>5-8|Química</t>
        </is>
      </c>
      <c r="B12" s="11" t="inlineStr">
        <is>
          <t>Ciclo 5°–8°</t>
        </is>
      </c>
      <c r="C12" s="11" t="inlineStr">
        <is>
          <t>TIMSS 2027 8.°</t>
        </is>
      </c>
      <c r="D12" s="11" t="inlineStr">
        <is>
          <t>Química</t>
        </is>
      </c>
      <c r="E12" s="29">
        <f>'TIMSS - Balance por ciclo'!I12</f>
        <v/>
      </c>
      <c r="F12" s="12">
        <f>'TIMSS - Balance por ciclo'!K12</f>
        <v/>
      </c>
      <c r="G12" s="11">
        <f>IF(COUNTIF($F$11:$F$14,"En meta")=ROWS($F$11:$F$14),0,MAX(0,ROUND(E12,0)))</f>
        <v/>
      </c>
      <c r="H12" s="11">
        <f>COUNTIFS($B$24:$B$191,A12,$D$24:$D$191,"insertar",$E$24:$E$191,"cobertura")</f>
        <v/>
      </c>
      <c r="I12" s="11">
        <f>IF(COUNTIF($F$11:$F$14,"En meta")=ROWS($F$11:$F$14),0,MAX(0,ROUND(-E12,0)))+H12</f>
        <v/>
      </c>
      <c r="J12" s="11">
        <f>SUMIFS($O$24:$O$191,$B$24:$B$191,A12,$D$24:$D$191,"fusionar",$P$24:$P$191,"Sí")</f>
        <v/>
      </c>
      <c r="K12" s="11">
        <f>G12+H12-J12</f>
        <v/>
      </c>
    </row>
    <row r="13">
      <c r="A13" s="11" t="inlineStr">
        <is>
          <t>5-8|Física</t>
        </is>
      </c>
      <c r="B13" s="11" t="inlineStr">
        <is>
          <t>Ciclo 5°–8°</t>
        </is>
      </c>
      <c r="C13" s="11" t="inlineStr">
        <is>
          <t>TIMSS 2027 8.°</t>
        </is>
      </c>
      <c r="D13" s="11" t="inlineStr">
        <is>
          <t>Física</t>
        </is>
      </c>
      <c r="E13" s="29">
        <f>'TIMSS - Balance por ciclo'!I13</f>
        <v/>
      </c>
      <c r="F13" s="12">
        <f>'TIMSS - Balance por ciclo'!K13</f>
        <v/>
      </c>
      <c r="G13" s="11">
        <f>IF(COUNTIF($F$11:$F$14,"En meta")=ROWS($F$11:$F$14),0,MAX(0,ROUND(E13,0)))</f>
        <v/>
      </c>
      <c r="H13" s="11">
        <f>COUNTIFS($B$24:$B$191,A13,$D$24:$D$191,"insertar",$E$24:$E$191,"cobertura")</f>
        <v/>
      </c>
      <c r="I13" s="11">
        <f>IF(COUNTIF($F$11:$F$14,"En meta")=ROWS($F$11:$F$14),0,MAX(0,ROUND(-E13,0)))+H13</f>
        <v/>
      </c>
      <c r="J13" s="11">
        <f>SUMIFS($O$24:$O$191,$B$24:$B$191,A13,$D$24:$D$191,"fusionar",$P$24:$P$191,"Sí")</f>
        <v/>
      </c>
      <c r="K13" s="11">
        <f>G13+H13-J13</f>
        <v/>
      </c>
    </row>
    <row r="14">
      <c r="A14" s="11" t="inlineStr">
        <is>
          <t>5-8|Ciencias de la Tierra</t>
        </is>
      </c>
      <c r="B14" s="11" t="inlineStr">
        <is>
          <t>Ciclo 5°–8°</t>
        </is>
      </c>
      <c r="C14" s="11" t="inlineStr">
        <is>
          <t>TIMSS 2027 8.°</t>
        </is>
      </c>
      <c r="D14" s="11" t="inlineStr">
        <is>
          <t>Ciencias de la Tierra</t>
        </is>
      </c>
      <c r="E14" s="29">
        <f>'TIMSS - Balance por ciclo'!I14</f>
        <v/>
      </c>
      <c r="F14" s="12">
        <f>'TIMSS - Balance por ciclo'!K14</f>
        <v/>
      </c>
      <c r="G14" s="11">
        <f>IF(COUNTIF($F$11:$F$14,"En meta")=ROWS($F$11:$F$14),0,MAX(0,ROUND(E14,0)))</f>
        <v/>
      </c>
      <c r="H14" s="11">
        <f>COUNTIFS($B$24:$B$191,A14,$D$24:$D$191,"insertar",$E$24:$E$191,"cobertura")</f>
        <v/>
      </c>
      <c r="I14" s="11">
        <f>IF(COUNTIF($F$11:$F$14,"En meta")=ROWS($F$11:$F$14),0,MAX(0,ROUND(-E14,0)))+H14</f>
        <v/>
      </c>
      <c r="J14" s="11">
        <f>SUMIFS($O$24:$O$191,$B$24:$B$191,A14,$D$24:$D$191,"fusionar",$P$24:$P$191,"Sí")</f>
        <v/>
      </c>
      <c r="K14" s="11">
        <f>G14+H14-J14</f>
        <v/>
      </c>
    </row>
    <row r="15">
      <c r="A15" s="23" t="n"/>
      <c r="B15" s="23" t="n"/>
      <c r="C15" s="23" t="n"/>
      <c r="D15" s="23" t="inlineStr">
        <is>
          <t>Total Ciclo 5°–8°</t>
        </is>
      </c>
      <c r="E15" s="23" t="n"/>
      <c r="F15" s="23" t="n"/>
      <c r="G15" s="23">
        <f>SUM(G11:G14)</f>
        <v/>
      </c>
      <c r="H15" s="23">
        <f>SUM(H11:H14)</f>
        <v/>
      </c>
      <c r="I15" s="23">
        <f>SUM(I11:I14)</f>
        <v/>
      </c>
      <c r="J15" s="23">
        <f>SUM(J11:J14)</f>
        <v/>
      </c>
      <c r="K15" s="23">
        <f>SUM(K11:K14)</f>
        <v/>
      </c>
    </row>
    <row r="16"/>
    <row r="17">
      <c r="A17" s="11" t="inlineStr">
        <is>
          <t>7-9|Sistemas físicos</t>
        </is>
      </c>
      <c r="B17" s="11" t="inlineStr">
        <is>
          <t>Ciclo 7°–9°</t>
        </is>
      </c>
      <c r="C17" s="11" t="inlineStr">
        <is>
          <t>PISA 2025</t>
        </is>
      </c>
      <c r="D17" s="11" t="inlineStr">
        <is>
          <t>Sistemas físicos</t>
        </is>
      </c>
      <c r="E17" s="29">
        <f>'PISA - Contenidos'!I21</f>
        <v/>
      </c>
      <c r="F17" s="12">
        <f>'PISA - Contenidos'!K21</f>
        <v/>
      </c>
      <c r="G17" s="11">
        <f>IF(COUNTIF($F$17:$F$19,"En meta")=ROWS($F$17:$F$19),0,MAX(0,ROUND(E17,0)))</f>
        <v/>
      </c>
      <c r="H17" s="11">
        <f>COUNTIFS($B$24:$B$191,A17,$D$24:$D$191,"insertar",$E$24:$E$191,"cobertura")</f>
        <v/>
      </c>
      <c r="I17" s="11">
        <f>IF(COUNTIF($F$17:$F$19,"En meta")=ROWS($F$17:$F$19),0,MAX(0,ROUND(-E17,0)))+H17</f>
        <v/>
      </c>
      <c r="J17" s="11">
        <f>SUMIFS($O$24:$O$191,$B$24:$B$191,A17,$D$24:$D$191,"fusionar",$P$24:$P$191,"Sí")</f>
        <v/>
      </c>
      <c r="K17" s="11">
        <f>G17+H17-J17</f>
        <v/>
      </c>
    </row>
    <row r="18">
      <c r="A18" s="11" t="inlineStr">
        <is>
          <t>7-9|Sistemas vivos</t>
        </is>
      </c>
      <c r="B18" s="11" t="inlineStr">
        <is>
          <t>Ciclo 7°–9°</t>
        </is>
      </c>
      <c r="C18" s="11" t="inlineStr">
        <is>
          <t>PISA 2025</t>
        </is>
      </c>
      <c r="D18" s="11" t="inlineStr">
        <is>
          <t>Sistemas vivos</t>
        </is>
      </c>
      <c r="E18" s="29">
        <f>'PISA - Contenidos'!I22</f>
        <v/>
      </c>
      <c r="F18" s="12">
        <f>'PISA - Contenidos'!K22</f>
        <v/>
      </c>
      <c r="G18" s="11">
        <f>IF(COUNTIF($F$17:$F$19,"En meta")=ROWS($F$17:$F$19),0,MAX(0,ROUND(E18,0)))</f>
        <v/>
      </c>
      <c r="H18" s="11">
        <f>COUNTIFS($B$24:$B$191,A18,$D$24:$D$191,"insertar",$E$24:$E$191,"cobertura")</f>
        <v/>
      </c>
      <c r="I18" s="11">
        <f>IF(COUNTIF($F$17:$F$19,"En meta")=ROWS($F$17:$F$19),0,MAX(0,ROUND(-E18,0)))+H18</f>
        <v/>
      </c>
      <c r="J18" s="11">
        <f>SUMIFS($O$24:$O$191,$B$24:$B$191,A18,$D$24:$D$191,"fusionar",$P$24:$P$191,"Sí")</f>
        <v/>
      </c>
      <c r="K18" s="11">
        <f>G18+H18-J18</f>
        <v/>
      </c>
    </row>
    <row r="19">
      <c r="A19" s="11" t="inlineStr">
        <is>
          <t>7-9|Sistemas de la Tierra y el espacio</t>
        </is>
      </c>
      <c r="B19" s="11" t="inlineStr">
        <is>
          <t>Ciclo 7°–9°</t>
        </is>
      </c>
      <c r="C19" s="11" t="inlineStr">
        <is>
          <t>PISA 2025</t>
        </is>
      </c>
      <c r="D19" s="11" t="inlineStr">
        <is>
          <t>Sistemas de la Tierra y el espacio</t>
        </is>
      </c>
      <c r="E19" s="29">
        <f>'PISA - Contenidos'!I23</f>
        <v/>
      </c>
      <c r="F19" s="12">
        <f>'PISA - Contenidos'!K23</f>
        <v/>
      </c>
      <c r="G19" s="11">
        <f>IF(COUNTIF($F$17:$F$19,"En meta")=ROWS($F$17:$F$19),0,MAX(0,ROUND(E19,0)))</f>
        <v/>
      </c>
      <c r="H19" s="11">
        <f>COUNTIFS($B$24:$B$191,A19,$D$24:$D$191,"insertar",$E$24:$E$191,"cobertura")</f>
        <v/>
      </c>
      <c r="I19" s="11">
        <f>IF(COUNTIF($F$17:$F$19,"En meta")=ROWS($F$17:$F$19),0,MAX(0,ROUND(-E19,0)))+H19</f>
        <v/>
      </c>
      <c r="J19" s="11">
        <f>SUMIFS($O$24:$O$191,$B$24:$B$191,A19,$D$24:$D$191,"fusionar",$P$24:$P$191,"Sí")</f>
        <v/>
      </c>
      <c r="K19" s="11">
        <f>G19+H19-J19</f>
        <v/>
      </c>
    </row>
    <row r="20">
      <c r="A20" s="23" t="n"/>
      <c r="B20" s="23" t="n"/>
      <c r="C20" s="23" t="n"/>
      <c r="D20" s="23" t="inlineStr">
        <is>
          <t>Total Ciclo 7°–9°</t>
        </is>
      </c>
      <c r="E20" s="23" t="n"/>
      <c r="F20" s="23" t="n"/>
      <c r="G20" s="23">
        <f>SUM(G17:G19)</f>
        <v/>
      </c>
      <c r="H20" s="23">
        <f>SUM(H17:H19)</f>
        <v/>
      </c>
      <c r="I20" s="23">
        <f>SUM(I17:I19)</f>
        <v/>
      </c>
      <c r="J20" s="23">
        <f>SUM(J17:J19)</f>
        <v/>
      </c>
      <c r="K20" s="23">
        <f>SUM(K17:K19)</f>
        <v/>
      </c>
    </row>
    <row r="21"/>
    <row r="22">
      <c r="A22" s="16" t="inlineStr">
        <is>
          <t>Candidatos propuestos (ordenados por ciclo, acción, área y prioridad). La columna «Decisión del equipo» es para que el equipo de Ciencias anote si acepta.</t>
        </is>
      </c>
    </row>
    <row r="23" ht="40" customHeight="1">
      <c r="A23" s="10" t="inlineStr">
        <is>
          <t>ID</t>
        </is>
      </c>
      <c r="B23" s="10" t="inlineStr">
        <is>
          <t>Clave</t>
        </is>
      </c>
      <c r="C23" s="10" t="inlineStr">
        <is>
          <t>Ciclo</t>
        </is>
      </c>
      <c r="D23" s="10" t="inlineStr">
        <is>
          <t>Acción</t>
        </is>
      </c>
      <c r="E23" s="10" t="inlineStr">
        <is>
          <t>Motivo</t>
        </is>
      </c>
      <c r="F23" s="10" t="inlineStr">
        <is>
          <t>Área</t>
        </is>
      </c>
      <c r="G23" s="10" t="inlineStr">
        <is>
          <t>Prioridad</t>
        </is>
      </c>
      <c r="H23" s="10" t="inlineStr">
        <is>
          <t>Grado</t>
        </is>
      </c>
      <c r="I23" s="10" t="inlineStr">
        <is>
          <t>Unidad</t>
        </is>
      </c>
      <c r="J23" s="10" t="inlineStr">
        <is>
          <t>Temas involucrados (ID · procedimental)</t>
        </is>
      </c>
      <c r="K23" s="10" t="inlineStr">
        <is>
          <t>Objetivos del marco</t>
        </is>
      </c>
      <c r="L23" s="10" t="inlineStr">
        <is>
          <t>Propuesta</t>
        </is>
      </c>
      <c r="M23" s="10" t="inlineStr">
        <is>
          <t>Justificación</t>
        </is>
      </c>
      <c r="N23" s="10" t="inlineStr">
        <is>
          <t>Confianza</t>
        </is>
      </c>
      <c r="O23" s="10" t="inlineStr">
        <is>
          <t>Libera (temas)</t>
        </is>
      </c>
      <c r="P23" s="10" t="inlineStr">
        <is>
          <t>¿Entra en el presupuesto?</t>
        </is>
      </c>
      <c r="Q23" s="10" t="inlineStr">
        <is>
          <t>Decisión del equipo</t>
        </is>
      </c>
    </row>
    <row r="24">
      <c r="A24" s="30" t="inlineStr">
        <is>
          <t>2-4-I20</t>
        </is>
      </c>
      <c r="B24" s="30">
        <f>"2-4|"&amp;F24</f>
        <v/>
      </c>
      <c r="C24" s="30" t="inlineStr">
        <is>
          <t>Ciclo 2°–4°</t>
        </is>
      </c>
      <c r="D24" s="30" t="inlineStr">
        <is>
          <t>insertar</t>
        </is>
      </c>
      <c r="E24" s="30" t="inlineStr">
        <is>
          <t>cobertura</t>
        </is>
      </c>
      <c r="F24" s="30" t="inlineStr">
        <is>
          <t>Biología</t>
        </is>
      </c>
      <c r="G24" s="30" t="n">
        <v>1</v>
      </c>
      <c r="H24" s="30" t="n">
        <v>3</v>
      </c>
      <c r="I24" s="30" t="inlineStr">
        <is>
          <t>5. Los animales.</t>
        </is>
      </c>
      <c r="J24" s="30" t="inlineStr"/>
      <c r="K24" s="30" t="inlineStr">
        <is>
          <t>T4_27-B2.2, T4_27-B2.1</t>
        </is>
      </c>
      <c r="L24" s="30" t="inlineStr">
        <is>
          <t>Comparación de rasgos heredados y no heredados entre crías y progenitores, y de estrategias que favorecen la supervivencia de la descendencia (muchas semillas, cuidado de crías).</t>
        </is>
      </c>
      <c r="M24" s="30" t="inlineStr">
        <is>
          <t>B2.2 sin ningún tema en el ciclo; Uruguay lo introduce en 3.°, junto a etapas de desarrollo.</t>
        </is>
      </c>
      <c r="N24" s="30" t="inlineStr">
        <is>
          <t>alta</t>
        </is>
      </c>
      <c r="O24" s="30" t="n">
        <v>0</v>
      </c>
      <c r="P24" s="19">
        <f>IF(D24="reubicar","Opcional (no cambia el total)",IF(E24="cobertura","Sí (cobertura)",IF(D24="insertar",IF(G24&lt;=IFERROR(INDEX($G$6:$G$20,MATCH(B24,$A$6:$A$20,0)),0),"Sí","Reserva"),IF(SUMIFS($O$24:$O$191,$B$24:$B$191,B24,$D$24:$D$191,"fusionar",$G$24:$G$191,"&lt;"&amp;G24)&lt;IFERROR(INDEX($I$6:$I$20,MATCH(B24,$A$6:$A$20,0)),0),"Sí","Reserva"))))</f>
        <v/>
      </c>
      <c r="Q24" s="31" t="inlineStr"/>
    </row>
    <row r="25">
      <c r="A25" s="30" t="inlineStr">
        <is>
          <t>2-4-I13</t>
        </is>
      </c>
      <c r="B25" s="30">
        <f>"2-4|"&amp;F25</f>
        <v/>
      </c>
      <c r="C25" s="30" t="inlineStr">
        <is>
          <t>Ciclo 2°–4°</t>
        </is>
      </c>
      <c r="D25" s="30" t="inlineStr">
        <is>
          <t>insertar</t>
        </is>
      </c>
      <c r="E25" s="30" t="inlineStr">
        <is>
          <t>balance</t>
        </is>
      </c>
      <c r="F25" s="30" t="inlineStr">
        <is>
          <t>Ciencias de la Tierra</t>
        </is>
      </c>
      <c r="G25" s="30" t="n">
        <v>1</v>
      </c>
      <c r="H25" s="30" t="n">
        <v>2</v>
      </c>
      <c r="I25" s="30" t="inlineStr">
        <is>
          <t>3. El movimiento</t>
        </is>
      </c>
      <c r="J25" s="30" t="inlineStr"/>
      <c r="K25" s="30" t="inlineStr">
        <is>
          <t>T4_27-E2.1, T4_27-E5.1</t>
        </is>
      </c>
      <c r="L25" s="30" t="inlineStr">
        <is>
          <t>Registro diario del estado del tiempo (temperatura, lluvia, nubes y viento) con símbolos y un termómetro sencillo.</t>
        </is>
      </c>
      <c r="M25" s="30" t="inlineStr">
        <is>
          <t>E2.1-A débil y E5.1 con un tema; Colombia lo introduce en 2.°.</t>
        </is>
      </c>
      <c r="N25" s="30" t="inlineStr">
        <is>
          <t>alta</t>
        </is>
      </c>
      <c r="O25" s="30" t="n">
        <v>0</v>
      </c>
      <c r="P25" s="19">
        <f>IF(D25="reubicar","Opcional (no cambia el total)",IF(E25="cobertura","Sí (cobertura)",IF(D25="insertar",IF(G25&lt;=IFERROR(INDEX($G$6:$G$20,MATCH(B25,$A$6:$A$20,0)),0),"Sí","Reserva"),IF(SUMIFS($O$24:$O$191,$B$24:$B$191,B25,$D$24:$D$191,"fusionar",$G$24:$G$191,"&lt;"&amp;G25)&lt;IFERROR(INDEX($I$6:$I$20,MATCH(B25,$A$6:$A$20,0)),0),"Sí","Reserva"))))</f>
        <v/>
      </c>
      <c r="Q25" s="31" t="inlineStr"/>
    </row>
    <row r="26">
      <c r="A26" s="30" t="inlineStr">
        <is>
          <t>2-4-I14</t>
        </is>
      </c>
      <c r="B26" s="30">
        <f>"2-4|"&amp;F26</f>
        <v/>
      </c>
      <c r="C26" s="30" t="inlineStr">
        <is>
          <t>Ciclo 2°–4°</t>
        </is>
      </c>
      <c r="D26" s="30" t="inlineStr">
        <is>
          <t>insertar</t>
        </is>
      </c>
      <c r="E26" s="30" t="inlineStr">
        <is>
          <t>balance</t>
        </is>
      </c>
      <c r="F26" s="30" t="inlineStr">
        <is>
          <t>Ciencias de la Tierra</t>
        </is>
      </c>
      <c r="G26" s="30" t="n">
        <v>2</v>
      </c>
      <c r="H26" s="30" t="n">
        <v>3</v>
      </c>
      <c r="I26" s="30" t="inlineStr">
        <is>
          <t>2. Interacciones terrestres.</t>
        </is>
      </c>
      <c r="J26" s="30" t="inlineStr"/>
      <c r="K26" s="30" t="inlineStr">
        <is>
          <t>T4_27-E1.2</t>
        </is>
      </c>
      <c r="L26" s="30" t="inlineStr">
        <is>
          <t>Indagación sobre los fósiles como evidencia de seres vivos del pasado y de cambios en la superficie terrestre.</t>
        </is>
      </c>
      <c r="M26" s="30" t="inlineStr">
        <is>
          <t>E1.2-B (fósiles) sin cubrir; Uruguay lo introduce en 3.°.</t>
        </is>
      </c>
      <c r="N26" s="30" t="inlineStr">
        <is>
          <t>alta</t>
        </is>
      </c>
      <c r="O26" s="30" t="n">
        <v>0</v>
      </c>
      <c r="P26" s="19">
        <f>IF(D26="reubicar","Opcional (no cambia el total)",IF(E26="cobertura","Sí (cobertura)",IF(D26="insertar",IF(G26&lt;=IFERROR(INDEX($G$6:$G$20,MATCH(B26,$A$6:$A$20,0)),0),"Sí","Reserva"),IF(SUMIFS($O$24:$O$191,$B$24:$B$191,B26,$D$24:$D$191,"fusionar",$G$24:$G$191,"&lt;"&amp;G26)&lt;IFERROR(INDEX($I$6:$I$20,MATCH(B26,$A$6:$A$20,0)),0),"Sí","Reserva"))))</f>
        <v/>
      </c>
      <c r="Q26" s="31" t="inlineStr"/>
    </row>
    <row r="27">
      <c r="A27" s="30" t="inlineStr">
        <is>
          <t>2-4-I15</t>
        </is>
      </c>
      <c r="B27" s="30">
        <f>"2-4|"&amp;F27</f>
        <v/>
      </c>
      <c r="C27" s="30" t="inlineStr">
        <is>
          <t>Ciclo 2°–4°</t>
        </is>
      </c>
      <c r="D27" s="30" t="inlineStr">
        <is>
          <t>insertar</t>
        </is>
      </c>
      <c r="E27" s="30" t="inlineStr">
        <is>
          <t>balance</t>
        </is>
      </c>
      <c r="F27" s="30" t="inlineStr">
        <is>
          <t>Ciencias de la Tierra</t>
        </is>
      </c>
      <c r="G27" s="30" t="n">
        <v>3</v>
      </c>
      <c r="H27" s="30" t="n">
        <v>3</v>
      </c>
      <c r="I27" s="30" t="inlineStr">
        <is>
          <t>2. Interacciones terrestres.</t>
        </is>
      </c>
      <c r="J27" s="30" t="inlineStr"/>
      <c r="K27" s="30" t="inlineStr">
        <is>
          <t>T4_27-E5.1, T4_27-E2.1</t>
        </is>
      </c>
      <c r="L27" s="30" t="inlineStr">
        <is>
          <t>Construcción y uso de pluviómetro, veleta y termómetro para medir y comparar variables del tiempo atmosférico.</t>
        </is>
      </c>
      <c r="M27" s="30" t="inlineStr">
        <is>
          <t>E5.1 con un solo tema; equipo citado explícitamente por TIMSS.</t>
        </is>
      </c>
      <c r="N27" s="30" t="inlineStr">
        <is>
          <t>alta</t>
        </is>
      </c>
      <c r="O27" s="30" t="n">
        <v>0</v>
      </c>
      <c r="P27" s="19">
        <f>IF(D27="reubicar","Opcional (no cambia el total)",IF(E27="cobertura","Sí (cobertura)",IF(D27="insertar",IF(G27&lt;=IFERROR(INDEX($G$6:$G$20,MATCH(B27,$A$6:$A$20,0)),0),"Sí","Reserva"),IF(SUMIFS($O$24:$O$191,$B$24:$B$191,B27,$D$24:$D$191,"fusionar",$G$24:$G$191,"&lt;"&amp;G27)&lt;IFERROR(INDEX($I$6:$I$20,MATCH(B27,$A$6:$A$20,0)),0),"Sí","Reserva"))))</f>
        <v/>
      </c>
      <c r="Q27" s="31" t="inlineStr"/>
    </row>
    <row r="28">
      <c r="A28" s="30" t="inlineStr">
        <is>
          <t>2-4-I16</t>
        </is>
      </c>
      <c r="B28" s="30">
        <f>"2-4|"&amp;F28</f>
        <v/>
      </c>
      <c r="C28" s="30" t="inlineStr">
        <is>
          <t>Ciclo 2°–4°</t>
        </is>
      </c>
      <c r="D28" s="30" t="inlineStr">
        <is>
          <t>insertar</t>
        </is>
      </c>
      <c r="E28" s="30" t="inlineStr">
        <is>
          <t>balance</t>
        </is>
      </c>
      <c r="F28" s="30" t="inlineStr">
        <is>
          <t>Ciencias de la Tierra</t>
        </is>
      </c>
      <c r="G28" s="30" t="n">
        <v>4</v>
      </c>
      <c r="H28" s="30" t="n">
        <v>3</v>
      </c>
      <c r="I28" s="30" t="inlineStr">
        <is>
          <t>2. Interacciones terrestres.</t>
        </is>
      </c>
      <c r="J28" s="30" t="inlineStr"/>
      <c r="K28" s="30" t="inlineStr">
        <is>
          <t>T4_27-E2.1</t>
        </is>
      </c>
      <c r="L28" s="30" t="inlineStr">
        <is>
          <t>Reconocimiento del calentamiento global y de algunos de sus efectos en el clima y las lluvias de El Salvador.</t>
        </is>
      </c>
      <c r="M28" s="30" t="inlineStr">
        <is>
          <t>E2.1-B (calentamiento global) ausente; objetivo ambiental.</t>
        </is>
      </c>
      <c r="N28" s="30" t="inlineStr">
        <is>
          <t>alta</t>
        </is>
      </c>
      <c r="O28" s="30" t="n">
        <v>0</v>
      </c>
      <c r="P28" s="19">
        <f>IF(D28="reubicar","Opcional (no cambia el total)",IF(E28="cobertura","Sí (cobertura)",IF(D28="insertar",IF(G28&lt;=IFERROR(INDEX($G$6:$G$20,MATCH(B28,$A$6:$A$20,0)),0),"Sí","Reserva"),IF(SUMIFS($O$24:$O$191,$B$24:$B$191,B28,$D$24:$D$191,"fusionar",$G$24:$G$191,"&lt;"&amp;G28)&lt;IFERROR(INDEX($I$6:$I$20,MATCH(B28,$A$6:$A$20,0)),0),"Sí","Reserva"))))</f>
        <v/>
      </c>
      <c r="Q28" s="31" t="inlineStr"/>
    </row>
    <row r="29">
      <c r="A29" s="30" t="inlineStr">
        <is>
          <t>2-4-I17</t>
        </is>
      </c>
      <c r="B29" s="30">
        <f>"2-4|"&amp;F29</f>
        <v/>
      </c>
      <c r="C29" s="30" t="inlineStr">
        <is>
          <t>Ciclo 2°–4°</t>
        </is>
      </c>
      <c r="D29" s="30" t="inlineStr">
        <is>
          <t>insertar</t>
        </is>
      </c>
      <c r="E29" s="30" t="inlineStr">
        <is>
          <t>balance</t>
        </is>
      </c>
      <c r="F29" s="30" t="inlineStr">
        <is>
          <t>Ciencias de la Tierra</t>
        </is>
      </c>
      <c r="G29" s="30" t="n">
        <v>5</v>
      </c>
      <c r="H29" s="30" t="n">
        <v>2</v>
      </c>
      <c r="I29" s="30" t="inlineStr">
        <is>
          <t>6. Ambiente y salud.</t>
        </is>
      </c>
      <c r="J29" s="30" t="inlineStr"/>
      <c r="K29" s="30" t="inlineStr">
        <is>
          <t>T4_27-E1.2</t>
        </is>
      </c>
      <c r="L29" s="30" t="inlineStr">
        <is>
          <t>Modelación del efecto del agua y el viento sobre la arena y el suelo para explicar cómo cambia el paisaje.</t>
        </is>
      </c>
      <c r="M29" s="30" t="inlineStr">
        <is>
          <t>E1.2-A (erosión) sin tratar; Colombia lo introduce en 2.°.</t>
        </is>
      </c>
      <c r="N29" s="30" t="inlineStr">
        <is>
          <t>media</t>
        </is>
      </c>
      <c r="O29" s="30" t="n">
        <v>0</v>
      </c>
      <c r="P29" s="19">
        <f>IF(D29="reubicar","Opcional (no cambia el total)",IF(E29="cobertura","Sí (cobertura)",IF(D29="insertar",IF(G29&lt;=IFERROR(INDEX($G$6:$G$20,MATCH(B29,$A$6:$A$20,0)),0),"Sí","Reserva"),IF(SUMIFS($O$24:$O$191,$B$24:$B$191,B29,$D$24:$D$191,"fusionar",$G$24:$G$191,"&lt;"&amp;G29)&lt;IFERROR(INDEX($I$6:$I$20,MATCH(B29,$A$6:$A$20,0)),0),"Sí","Reserva"))))</f>
        <v/>
      </c>
      <c r="Q29" s="31" t="inlineStr"/>
    </row>
    <row r="30">
      <c r="A30" s="30" t="inlineStr">
        <is>
          <t>2-4-I18</t>
        </is>
      </c>
      <c r="B30" s="30">
        <f>"2-4|"&amp;F30</f>
        <v/>
      </c>
      <c r="C30" s="30" t="inlineStr">
        <is>
          <t>Ciclo 2°–4°</t>
        </is>
      </c>
      <c r="D30" s="30" t="inlineStr">
        <is>
          <t>insertar</t>
        </is>
      </c>
      <c r="E30" s="30" t="inlineStr">
        <is>
          <t>balance</t>
        </is>
      </c>
      <c r="F30" s="30" t="inlineStr">
        <is>
          <t>Ciencias de la Tierra</t>
        </is>
      </c>
      <c r="G30" s="30" t="n">
        <v>6</v>
      </c>
      <c r="H30" s="30" t="n">
        <v>2</v>
      </c>
      <c r="I30" s="30" t="inlineStr">
        <is>
          <t>3. El movimiento</t>
        </is>
      </c>
      <c r="J30" s="30" t="inlineStr"/>
      <c r="K30" s="30" t="inlineStr">
        <is>
          <t>T4_27-E4.2, T4_27-P3.1</t>
        </is>
      </c>
      <c r="L30" s="30" t="inlineStr">
        <is>
          <t>Observación y registro de la posición del Sol y del tamaño de las sombras a lo largo del día.</t>
        </is>
      </c>
      <c r="M30" s="30" t="inlineStr">
        <is>
          <t>E4.2 débil (3); patrón diario observable y sencillo para 2.°.</t>
        </is>
      </c>
      <c r="N30" s="30" t="inlineStr">
        <is>
          <t>media</t>
        </is>
      </c>
      <c r="O30" s="30" t="n">
        <v>0</v>
      </c>
      <c r="P30" s="19">
        <f>IF(D30="reubicar","Opcional (no cambia el total)",IF(E30="cobertura","Sí (cobertura)",IF(D30="insertar",IF(G30&lt;=IFERROR(INDEX($G$6:$G$20,MATCH(B30,$A$6:$A$20,0)),0),"Sí","Reserva"),IF(SUMIFS($O$24:$O$191,$B$24:$B$191,B30,$D$24:$D$191,"fusionar",$G$24:$G$191,"&lt;"&amp;G30)&lt;IFERROR(INDEX($I$6:$I$20,MATCH(B30,$A$6:$A$20,0)),0),"Sí","Reserva"))))</f>
        <v/>
      </c>
      <c r="Q30" s="31" t="inlineStr"/>
    </row>
    <row r="31">
      <c r="A31" s="30" t="inlineStr">
        <is>
          <t>2-4-I19</t>
        </is>
      </c>
      <c r="B31" s="30">
        <f>"2-4|"&amp;F31</f>
        <v/>
      </c>
      <c r="C31" s="30" t="inlineStr">
        <is>
          <t>Ciclo 2°–4°</t>
        </is>
      </c>
      <c r="D31" s="30" t="inlineStr">
        <is>
          <t>insertar</t>
        </is>
      </c>
      <c r="E31" s="30" t="inlineStr">
        <is>
          <t>balance</t>
        </is>
      </c>
      <c r="F31" s="30" t="inlineStr">
        <is>
          <t>Ciencias de la Tierra</t>
        </is>
      </c>
      <c r="G31" s="30" t="n">
        <v>7</v>
      </c>
      <c r="H31" s="30" t="n">
        <v>2</v>
      </c>
      <c r="I31" s="30" t="inlineStr">
        <is>
          <t>3. El movimiento</t>
        </is>
      </c>
      <c r="J31" s="30" t="inlineStr"/>
      <c r="K31" s="30" t="inlineStr">
        <is>
          <t>T4_27-E1.1</t>
        </is>
      </c>
      <c r="L31" s="30" t="inlineStr">
        <is>
          <t>Representación de la proporción de agua y tierra en la superficie terrestre usando un globo terráqueo, distinguiendo agua dulce y salada.</t>
        </is>
      </c>
      <c r="M31" s="30" t="inlineStr">
        <is>
          <t>E1.1-A solo en hidrosfera de 3.°; unidad de destino discutible.</t>
        </is>
      </c>
      <c r="N31" s="30" t="inlineStr">
        <is>
          <t>baja</t>
        </is>
      </c>
      <c r="O31" s="30" t="n">
        <v>0</v>
      </c>
      <c r="P31" s="19">
        <f>IF(D31="reubicar","Opcional (no cambia el total)",IF(E31="cobertura","Sí (cobertura)",IF(D31="insertar",IF(G31&lt;=IFERROR(INDEX($G$6:$G$20,MATCH(B31,$A$6:$A$20,0)),0),"Sí","Reserva"),IF(SUMIFS($O$24:$O$191,$B$24:$B$191,B31,$D$24:$D$191,"fusionar",$G$24:$G$191,"&lt;"&amp;G31)&lt;IFERROR(INDEX($I$6:$I$20,MATCH(B31,$A$6:$A$20,0)),0),"Sí","Reserva"))))</f>
        <v/>
      </c>
      <c r="Q31" s="31" t="inlineStr"/>
    </row>
    <row r="32">
      <c r="A32" s="30" t="inlineStr">
        <is>
          <t>2-4-I01</t>
        </is>
      </c>
      <c r="B32" s="30">
        <f>"2-4|"&amp;F32</f>
        <v/>
      </c>
      <c r="C32" s="30" t="inlineStr">
        <is>
          <t>Ciclo 2°–4°</t>
        </is>
      </c>
      <c r="D32" s="30" t="inlineStr">
        <is>
          <t>insertar</t>
        </is>
      </c>
      <c r="E32" s="30" t="inlineStr">
        <is>
          <t>balance</t>
        </is>
      </c>
      <c r="F32" s="30" t="inlineStr">
        <is>
          <t>Ciencias físicas</t>
        </is>
      </c>
      <c r="G32" s="30" t="n">
        <v>1</v>
      </c>
      <c r="H32" s="30" t="n">
        <v>4</v>
      </c>
      <c r="I32" s="30" t="inlineStr">
        <is>
          <t>1. Máquinas y energía.</t>
        </is>
      </c>
      <c r="J32" s="30" t="inlineStr"/>
      <c r="K32" s="30" t="inlineStr">
        <is>
          <t>T4_27-P4.1</t>
        </is>
      </c>
      <c r="L32" s="30" t="inlineStr">
        <is>
          <t>Construcción de circuitos eléctricos sencillos con pila, cables y bombillo, comparando circuitos abiertos y cerrados y su representación en diagramas.</t>
        </is>
      </c>
      <c r="M32" s="30" t="inlineStr">
        <is>
          <t>P4.1 débil (3); circuito completo no se trabaja; 4.° tiene la mayor brecha física.</t>
        </is>
      </c>
      <c r="N32" s="30" t="inlineStr">
        <is>
          <t>alta</t>
        </is>
      </c>
      <c r="O32" s="30" t="n">
        <v>0</v>
      </c>
      <c r="P32" s="19">
        <f>IF(D32="reubicar","Opcional (no cambia el total)",IF(E32="cobertura","Sí (cobertura)",IF(D32="insertar",IF(G32&lt;=IFERROR(INDEX($G$6:$G$20,MATCH(B32,$A$6:$A$20,0)),0),"Sí","Reserva"),IF(SUMIFS($O$24:$O$191,$B$24:$B$191,B32,$D$24:$D$191,"fusionar",$G$24:$G$191,"&lt;"&amp;G32)&lt;IFERROR(INDEX($I$6:$I$20,MATCH(B32,$A$6:$A$20,0)),0),"Sí","Reserva"))))</f>
        <v/>
      </c>
      <c r="Q32" s="31" t="inlineStr"/>
    </row>
    <row r="33">
      <c r="A33" s="30" t="inlineStr">
        <is>
          <t>2-4-I02</t>
        </is>
      </c>
      <c r="B33" s="30">
        <f>"2-4|"&amp;F33</f>
        <v/>
      </c>
      <c r="C33" s="30" t="inlineStr">
        <is>
          <t>Ciclo 2°–4°</t>
        </is>
      </c>
      <c r="D33" s="30" t="inlineStr">
        <is>
          <t>insertar</t>
        </is>
      </c>
      <c r="E33" s="30" t="inlineStr">
        <is>
          <t>balance</t>
        </is>
      </c>
      <c r="F33" s="30" t="inlineStr">
        <is>
          <t>Ciencias físicas</t>
        </is>
      </c>
      <c r="G33" s="30" t="n">
        <v>2</v>
      </c>
      <c r="H33" s="30" t="n">
        <v>4</v>
      </c>
      <c r="I33" s="30" t="inlineStr">
        <is>
          <t>1. Máquinas y energía.</t>
        </is>
      </c>
      <c r="J33" s="30" t="inlineStr"/>
      <c r="K33" s="30" t="inlineStr">
        <is>
          <t>T4_27-P2.2, T4_27-P1.2</t>
        </is>
      </c>
      <c r="L33" s="30" t="inlineStr">
        <is>
          <t>Experimentación con la transferencia de calor entre objetos calientes y fríos en contacto, y con materiales conductores y aislantes térmicos de uso cotidiano.</t>
        </is>
      </c>
      <c r="M33" s="30" t="inlineStr">
        <is>
          <t>P2.2 con un solo tema; Uruguay y Colombia lo introducen antes.</t>
        </is>
      </c>
      <c r="N33" s="30" t="inlineStr">
        <is>
          <t>alta</t>
        </is>
      </c>
      <c r="O33" s="30" t="n">
        <v>0</v>
      </c>
      <c r="P33" s="19">
        <f>IF(D33="reubicar","Opcional (no cambia el total)",IF(E33="cobertura","Sí (cobertura)",IF(D33="insertar",IF(G33&lt;=IFERROR(INDEX($G$6:$G$20,MATCH(B33,$A$6:$A$20,0)),0),"Sí","Reserva"),IF(SUMIFS($O$24:$O$191,$B$24:$B$191,B33,$D$24:$D$191,"fusionar",$G$24:$G$191,"&lt;"&amp;G33)&lt;IFERROR(INDEX($I$6:$I$20,MATCH(B33,$A$6:$A$20,0)),0),"Sí","Reserva"))))</f>
        <v/>
      </c>
      <c r="Q33" s="31" t="inlineStr"/>
    </row>
    <row r="34">
      <c r="A34" s="30" t="inlineStr">
        <is>
          <t>2-4-I03</t>
        </is>
      </c>
      <c r="B34" s="30">
        <f>"2-4|"&amp;F34</f>
        <v/>
      </c>
      <c r="C34" s="30" t="inlineStr">
        <is>
          <t>Ciclo 2°–4°</t>
        </is>
      </c>
      <c r="D34" s="30" t="inlineStr">
        <is>
          <t>insertar</t>
        </is>
      </c>
      <c r="E34" s="30" t="inlineStr">
        <is>
          <t>balance</t>
        </is>
      </c>
      <c r="F34" s="30" t="inlineStr">
        <is>
          <t>Ciencias físicas</t>
        </is>
      </c>
      <c r="G34" s="30" t="n">
        <v>3</v>
      </c>
      <c r="H34" s="30" t="n">
        <v>4</v>
      </c>
      <c r="I34" s="30" t="inlineStr">
        <is>
          <t>1. Máquinas y energía.</t>
        </is>
      </c>
      <c r="J34" s="30" t="inlineStr"/>
      <c r="K34" s="30" t="inlineStr">
        <is>
          <t>T4_27-P3.2</t>
        </is>
      </c>
      <c r="L34" s="30" t="inlineStr">
        <is>
          <t>Experimentación con la propagación del sonido en el aire, el agua y los sólidos (teléfono de vasos) y la formación del eco.</t>
        </is>
      </c>
      <c r="M34" s="30" t="inlineStr">
        <is>
          <t>P3.2 con un solo tema (2.°); eco no se trabaja.</t>
        </is>
      </c>
      <c r="N34" s="30" t="inlineStr">
        <is>
          <t>alta</t>
        </is>
      </c>
      <c r="O34" s="30" t="n">
        <v>0</v>
      </c>
      <c r="P34" s="19">
        <f>IF(D34="reubicar","Opcional (no cambia el total)",IF(E34="cobertura","Sí (cobertura)",IF(D34="insertar",IF(G34&lt;=IFERROR(INDEX($G$6:$G$20,MATCH(B34,$A$6:$A$20,0)),0),"Sí","Reserva"),IF(SUMIFS($O$24:$O$191,$B$24:$B$191,B34,$D$24:$D$191,"fusionar",$G$24:$G$191,"&lt;"&amp;G34)&lt;IFERROR(INDEX($I$6:$I$20,MATCH(B34,$A$6:$A$20,0)),0),"Sí","Reserva"))))</f>
        <v/>
      </c>
      <c r="Q34" s="31" t="inlineStr"/>
    </row>
    <row r="35">
      <c r="A35" s="30" t="inlineStr">
        <is>
          <t>2-4-I04</t>
        </is>
      </c>
      <c r="B35" s="30">
        <f>"2-4|"&amp;F35</f>
        <v/>
      </c>
      <c r="C35" s="30" t="inlineStr">
        <is>
          <t>Ciclo 2°–4°</t>
        </is>
      </c>
      <c r="D35" s="30" t="inlineStr">
        <is>
          <t>insertar</t>
        </is>
      </c>
      <c r="E35" s="30" t="inlineStr">
        <is>
          <t>balance</t>
        </is>
      </c>
      <c r="F35" s="30" t="inlineStr">
        <is>
          <t>Ciencias físicas</t>
        </is>
      </c>
      <c r="G35" s="30" t="n">
        <v>4</v>
      </c>
      <c r="H35" s="30" t="n">
        <v>3</v>
      </c>
      <c r="I35" s="30" t="inlineStr">
        <is>
          <t>1. Medidas y fuerzas.</t>
        </is>
      </c>
      <c r="J35" s="30" t="inlineStr"/>
      <c r="K35" s="30" t="inlineStr">
        <is>
          <t>T4_27-P4.2</t>
        </is>
      </c>
      <c r="L35" s="30" t="inlineStr">
        <is>
          <t>Experimentación con imanes para identificar sus polos, la atracción y repulsión entre ellos y los objetos que atraen.</t>
        </is>
      </c>
      <c r="M35" s="30" t="inlineStr">
        <is>
          <t>P4.2 con un solo tema; Singapur lo introduce en 3.°; encaja con fuerzas a distancia.</t>
        </is>
      </c>
      <c r="N35" s="30" t="inlineStr">
        <is>
          <t>alta</t>
        </is>
      </c>
      <c r="O35" s="30" t="n">
        <v>0</v>
      </c>
      <c r="P35" s="19">
        <f>IF(D35="reubicar","Opcional (no cambia el total)",IF(E35="cobertura","Sí (cobertura)",IF(D35="insertar",IF(G35&lt;=IFERROR(INDEX($G$6:$G$20,MATCH(B35,$A$6:$A$20,0)),0),"Sí","Reserva"),IF(SUMIFS($O$24:$O$191,$B$24:$B$191,B35,$D$24:$D$191,"fusionar",$G$24:$G$191,"&lt;"&amp;G35)&lt;IFERROR(INDEX($I$6:$I$20,MATCH(B35,$A$6:$A$20,0)),0),"Sí","Reserva"))))</f>
        <v/>
      </c>
      <c r="Q35" s="31" t="inlineStr"/>
    </row>
    <row r="36">
      <c r="A36" s="30" t="inlineStr">
        <is>
          <t>2-4-I05</t>
        </is>
      </c>
      <c r="B36" s="30">
        <f>"2-4|"&amp;F36</f>
        <v/>
      </c>
      <c r="C36" s="30" t="inlineStr">
        <is>
          <t>Ciclo 2°–4°</t>
        </is>
      </c>
      <c r="D36" s="30" t="inlineStr">
        <is>
          <t>insertar</t>
        </is>
      </c>
      <c r="E36" s="30" t="inlineStr">
        <is>
          <t>balance</t>
        </is>
      </c>
      <c r="F36" s="30" t="inlineStr">
        <is>
          <t>Ciencias físicas</t>
        </is>
      </c>
      <c r="G36" s="30" t="n">
        <v>5</v>
      </c>
      <c r="H36" s="30" t="n">
        <v>3</v>
      </c>
      <c r="I36" s="30" t="inlineStr">
        <is>
          <t>3. El agua.</t>
        </is>
      </c>
      <c r="J36" s="30" t="inlineStr"/>
      <c r="K36" s="30" t="inlineStr">
        <is>
          <t>T4_27-P1.1</t>
        </is>
      </c>
      <c r="L36" s="30" t="inlineStr">
        <is>
          <t>Comparación de la forma y el volumen de sólidos, líquidos y gases, y relación de la temperatura con los cambios de estado del agua.</t>
        </is>
      </c>
      <c r="M36" s="30" t="inlineStr">
        <is>
          <t>P1.1 débil (2); falta forma y volumen de los estados.</t>
        </is>
      </c>
      <c r="N36" s="30" t="inlineStr">
        <is>
          <t>alta</t>
        </is>
      </c>
      <c r="O36" s="30" t="n">
        <v>0</v>
      </c>
      <c r="P36" s="19">
        <f>IF(D36="reubicar","Opcional (no cambia el total)",IF(E36="cobertura","Sí (cobertura)",IF(D36="insertar",IF(G36&lt;=IFERROR(INDEX($G$6:$G$20,MATCH(B36,$A$6:$A$20,0)),0),"Sí","Reserva"),IF(SUMIFS($O$24:$O$191,$B$24:$B$191,B36,$D$24:$D$191,"fusionar",$G$24:$G$191,"&lt;"&amp;G36)&lt;IFERROR(INDEX($I$6:$I$20,MATCH(B36,$A$6:$A$20,0)),0),"Sí","Reserva"))))</f>
        <v/>
      </c>
      <c r="Q36" s="31" t="inlineStr"/>
    </row>
    <row r="37">
      <c r="A37" s="30" t="inlineStr">
        <is>
          <t>2-4-I06</t>
        </is>
      </c>
      <c r="B37" s="30">
        <f>"2-4|"&amp;F37</f>
        <v/>
      </c>
      <c r="C37" s="30" t="inlineStr">
        <is>
          <t>Ciclo 2°–4°</t>
        </is>
      </c>
      <c r="D37" s="30" t="inlineStr">
        <is>
          <t>insertar</t>
        </is>
      </c>
      <c r="E37" s="30" t="inlineStr">
        <is>
          <t>balance</t>
        </is>
      </c>
      <c r="F37" s="30" t="inlineStr">
        <is>
          <t>Ciencias físicas</t>
        </is>
      </c>
      <c r="G37" s="30" t="n">
        <v>6</v>
      </c>
      <c r="H37" s="30" t="n">
        <v>4</v>
      </c>
      <c r="I37" s="30" t="inlineStr">
        <is>
          <t>1. Máquinas y energía.</t>
        </is>
      </c>
      <c r="J37" s="30" t="inlineStr"/>
      <c r="K37" s="30" t="inlineStr">
        <is>
          <t>T4_27-P3.1</t>
        </is>
      </c>
      <c r="L37" s="30" t="inlineStr">
        <is>
          <t>Experimentación con la formación de sombras, la reflexión de la luz en espejos y la descomposición de la luz blanca (arcoíris).</t>
        </is>
      </c>
      <c r="M37" s="30" t="inlineStr">
        <is>
          <t>P3.1 débil (2); sombras, reflejos y arcoíris sin tratar.</t>
        </is>
      </c>
      <c r="N37" s="30" t="inlineStr">
        <is>
          <t>alta</t>
        </is>
      </c>
      <c r="O37" s="30" t="n">
        <v>0</v>
      </c>
      <c r="P37" s="19">
        <f>IF(D37="reubicar","Opcional (no cambia el total)",IF(E37="cobertura","Sí (cobertura)",IF(D37="insertar",IF(G37&lt;=IFERROR(INDEX($G$6:$G$20,MATCH(B37,$A$6:$A$20,0)),0),"Sí","Reserva"),IF(SUMIFS($O$24:$O$191,$B$24:$B$191,B37,$D$24:$D$191,"fusionar",$G$24:$G$191,"&lt;"&amp;G37)&lt;IFERROR(INDEX($I$6:$I$20,MATCH(B37,$A$6:$A$20,0)),0),"Sí","Reserva"))))</f>
        <v/>
      </c>
      <c r="Q37" s="31" t="inlineStr"/>
    </row>
    <row r="38">
      <c r="A38" s="30" t="inlineStr">
        <is>
          <t>2-4-I07</t>
        </is>
      </c>
      <c r="B38" s="30">
        <f>"2-4|"&amp;F38</f>
        <v/>
      </c>
      <c r="C38" s="30" t="inlineStr">
        <is>
          <t>Ciclo 2°–4°</t>
        </is>
      </c>
      <c r="D38" s="30" t="inlineStr">
        <is>
          <t>insertar</t>
        </is>
      </c>
      <c r="E38" s="30" t="inlineStr">
        <is>
          <t>balance</t>
        </is>
      </c>
      <c r="F38" s="30" t="inlineStr">
        <is>
          <t>Ciencias físicas</t>
        </is>
      </c>
      <c r="G38" s="30" t="n">
        <v>7</v>
      </c>
      <c r="H38" s="30" t="n">
        <v>4</v>
      </c>
      <c r="I38" s="30" t="inlineStr">
        <is>
          <t>1. Máquinas y energía.</t>
        </is>
      </c>
      <c r="J38" s="30" t="inlineStr"/>
      <c r="K38" s="30" t="inlineStr">
        <is>
          <t>T4_27-P4.1, T4_27-P1.2</t>
        </is>
      </c>
      <c r="L38" s="30" t="inlineStr">
        <is>
          <t>Clasificación de materiales en conductores y aislantes eléctricos mediante un circuito de prueba.</t>
        </is>
      </c>
      <c r="M38" s="30" t="inlineStr">
        <is>
          <t>Completa P4.1 y la subhabilidad P1.2-B sobre metales conductores.</t>
        </is>
      </c>
      <c r="N38" s="30" t="inlineStr">
        <is>
          <t>media</t>
        </is>
      </c>
      <c r="O38" s="30" t="n">
        <v>0</v>
      </c>
      <c r="P38" s="19">
        <f>IF(D38="reubicar","Opcional (no cambia el total)",IF(E38="cobertura","Sí (cobertura)",IF(D38="insertar",IF(G38&lt;=IFERROR(INDEX($G$6:$G$20,MATCH(B38,$A$6:$A$20,0)),0),"Sí","Reserva"),IF(SUMIFS($O$24:$O$191,$B$24:$B$191,B38,$D$24:$D$191,"fusionar",$G$24:$G$191,"&lt;"&amp;G38)&lt;IFERROR(INDEX($I$6:$I$20,MATCH(B38,$A$6:$A$20,0)),0),"Sí","Reserva"))))</f>
        <v/>
      </c>
      <c r="Q38" s="31" t="inlineStr"/>
    </row>
    <row r="39">
      <c r="A39" s="30" t="inlineStr">
        <is>
          <t>2-4-I08</t>
        </is>
      </c>
      <c r="B39" s="30">
        <f>"2-4|"&amp;F39</f>
        <v/>
      </c>
      <c r="C39" s="30" t="inlineStr">
        <is>
          <t>Ciclo 2°–4°</t>
        </is>
      </c>
      <c r="D39" s="30" t="inlineStr">
        <is>
          <t>insertar</t>
        </is>
      </c>
      <c r="E39" s="30" t="inlineStr">
        <is>
          <t>balance</t>
        </is>
      </c>
      <c r="F39" s="30" t="inlineStr">
        <is>
          <t>Ciencias físicas</t>
        </is>
      </c>
      <c r="G39" s="30" t="n">
        <v>8</v>
      </c>
      <c r="H39" s="30" t="n">
        <v>4</v>
      </c>
      <c r="I39" s="30" t="inlineStr">
        <is>
          <t>1. Máquinas y energía.</t>
        </is>
      </c>
      <c r="J39" s="30" t="inlineStr"/>
      <c r="K39" s="30" t="inlineStr">
        <is>
          <t>T4_27-P3.2</t>
        </is>
      </c>
      <c r="L39" s="30" t="inlineStr">
        <is>
          <t>Relación entre la vibración de los objetos y el tono y la intensidad del sonido con instrumentos caseros.</t>
        </is>
      </c>
      <c r="M39" s="30" t="inlineStr">
        <is>
          <t>Refuerza P3.2 débil; Colombia lo trabaja desde 2.°.</t>
        </is>
      </c>
      <c r="N39" s="30" t="inlineStr">
        <is>
          <t>media</t>
        </is>
      </c>
      <c r="O39" s="30" t="n">
        <v>0</v>
      </c>
      <c r="P39" s="19">
        <f>IF(D39="reubicar","Opcional (no cambia el total)",IF(E39="cobertura","Sí (cobertura)",IF(D39="insertar",IF(G39&lt;=IFERROR(INDEX($G$6:$G$20,MATCH(B39,$A$6:$A$20,0)),0),"Sí","Reserva"),IF(SUMIFS($O$24:$O$191,$B$24:$B$191,B39,$D$24:$D$191,"fusionar",$G$24:$G$191,"&lt;"&amp;G39)&lt;IFERROR(INDEX($I$6:$I$20,MATCH(B39,$A$6:$A$20,0)),0),"Sí","Reserva"))))</f>
        <v/>
      </c>
      <c r="Q39" s="31" t="inlineStr"/>
    </row>
    <row r="40">
      <c r="A40" s="30" t="inlineStr">
        <is>
          <t>2-4-I09</t>
        </is>
      </c>
      <c r="B40" s="30">
        <f>"2-4|"&amp;F40</f>
        <v/>
      </c>
      <c r="C40" s="30" t="inlineStr">
        <is>
          <t>Ciclo 2°–4°</t>
        </is>
      </c>
      <c r="D40" s="30" t="inlineStr">
        <is>
          <t>insertar</t>
        </is>
      </c>
      <c r="E40" s="30" t="inlineStr">
        <is>
          <t>balance</t>
        </is>
      </c>
      <c r="F40" s="30" t="inlineStr">
        <is>
          <t>Ciencias físicas</t>
        </is>
      </c>
      <c r="G40" s="30" t="n">
        <v>9</v>
      </c>
      <c r="H40" s="30" t="n">
        <v>3</v>
      </c>
      <c r="I40" s="30" t="inlineStr">
        <is>
          <t>1. Medidas y fuerzas.</t>
        </is>
      </c>
      <c r="J40" s="30" t="inlineStr"/>
      <c r="K40" s="30" t="inlineStr">
        <is>
          <t>T4_27-P2.2, T4_27-P6.1</t>
        </is>
      </c>
      <c r="L40" s="30" t="inlineStr">
        <is>
          <t>Medición con termómetro de los cambios de temperatura al mezclar o poner en contacto agua caliente y agua fría.</t>
        </is>
      </c>
      <c r="M40" s="30" t="inlineStr">
        <is>
          <t>Une P2.2 débil con uso de instrumentos de medición de la unidad.</t>
        </is>
      </c>
      <c r="N40" s="30" t="inlineStr">
        <is>
          <t>media</t>
        </is>
      </c>
      <c r="O40" s="30" t="n">
        <v>0</v>
      </c>
      <c r="P40" s="19">
        <f>IF(D40="reubicar","Opcional (no cambia el total)",IF(E40="cobertura","Sí (cobertura)",IF(D40="insertar",IF(G40&lt;=IFERROR(INDEX($G$6:$G$20,MATCH(B40,$A$6:$A$20,0)),0),"Sí","Reserva"),IF(SUMIFS($O$24:$O$191,$B$24:$B$191,B40,$D$24:$D$191,"fusionar",$G$24:$G$191,"&lt;"&amp;G40)&lt;IFERROR(INDEX($I$6:$I$20,MATCH(B40,$A$6:$A$20,0)),0),"Sí","Reserva"))))</f>
        <v/>
      </c>
      <c r="Q40" s="31" t="inlineStr"/>
    </row>
    <row r="41">
      <c r="A41" s="30" t="inlineStr">
        <is>
          <t>2-4-I10</t>
        </is>
      </c>
      <c r="B41" s="30">
        <f>"2-4|"&amp;F41</f>
        <v/>
      </c>
      <c r="C41" s="30" t="inlineStr">
        <is>
          <t>Ciclo 2°–4°</t>
        </is>
      </c>
      <c r="D41" s="30" t="inlineStr">
        <is>
          <t>insertar</t>
        </is>
      </c>
      <c r="E41" s="30" t="inlineStr">
        <is>
          <t>balance</t>
        </is>
      </c>
      <c r="F41" s="30" t="inlineStr">
        <is>
          <t>Ciencias físicas</t>
        </is>
      </c>
      <c r="G41" s="30" t="n">
        <v>10</v>
      </c>
      <c r="H41" s="30" t="n">
        <v>4</v>
      </c>
      <c r="I41" s="30" t="inlineStr">
        <is>
          <t>1. Máquinas y energía.</t>
        </is>
      </c>
      <c r="J41" s="30" t="inlineStr"/>
      <c r="K41" s="30" t="inlineStr">
        <is>
          <t>T4_27-P5.1</t>
        </is>
      </c>
      <c r="L41" s="30" t="inlineStr">
        <is>
          <t>Experimentación con la fricción y la resistencia del aire sobre el movimiento de objetos en distintas superficies, y con la gravedad.</t>
        </is>
      </c>
      <c r="M41" s="30" t="inlineStr">
        <is>
          <t>Gravedad y fricción (P5.1-A/B) no explícitas en la malla.</t>
        </is>
      </c>
      <c r="N41" s="30" t="inlineStr">
        <is>
          <t>media</t>
        </is>
      </c>
      <c r="O41" s="30" t="n">
        <v>0</v>
      </c>
      <c r="P41" s="19">
        <f>IF(D41="reubicar","Opcional (no cambia el total)",IF(E41="cobertura","Sí (cobertura)",IF(D41="insertar",IF(G41&lt;=IFERROR(INDEX($G$6:$G$20,MATCH(B41,$A$6:$A$20,0)),0),"Sí","Reserva"),IF(SUMIFS($O$24:$O$191,$B$24:$B$191,B41,$D$24:$D$191,"fusionar",$G$24:$G$191,"&lt;"&amp;G41)&lt;IFERROR(INDEX($I$6:$I$20,MATCH(B41,$A$6:$A$20,0)),0),"Sí","Reserva"))))</f>
        <v/>
      </c>
      <c r="Q41" s="31" t="inlineStr"/>
    </row>
    <row r="42">
      <c r="A42" s="30" t="inlineStr">
        <is>
          <t>2-4-I11</t>
        </is>
      </c>
      <c r="B42" s="30">
        <f>"2-4|"&amp;F42</f>
        <v/>
      </c>
      <c r="C42" s="30" t="inlineStr">
        <is>
          <t>Ciclo 2°–4°</t>
        </is>
      </c>
      <c r="D42" s="30" t="inlineStr">
        <is>
          <t>insertar</t>
        </is>
      </c>
      <c r="E42" s="30" t="inlineStr">
        <is>
          <t>balance</t>
        </is>
      </c>
      <c r="F42" s="30" t="inlineStr">
        <is>
          <t>Ciencias físicas</t>
        </is>
      </c>
      <c r="G42" s="30" t="n">
        <v>11</v>
      </c>
      <c r="H42" s="30" t="n">
        <v>4</v>
      </c>
      <c r="I42" s="30" t="inlineStr">
        <is>
          <t>1. Máquinas y energía.</t>
        </is>
      </c>
      <c r="J42" s="30" t="inlineStr"/>
      <c r="K42" s="30" t="inlineStr">
        <is>
          <t>T4_27-P4.2, T4_27-E5.1</t>
        </is>
      </c>
      <c r="L42" s="30" t="inlineStr">
        <is>
          <t>Construcción de una brújula sencilla con una aguja imantada y su uso para orientarse.</t>
        </is>
      </c>
      <c r="M42" s="30" t="inlineStr">
        <is>
          <t>Refuerza P4.2 débil y vincula con uso de brújula (E5.1).</t>
        </is>
      </c>
      <c r="N42" s="30" t="inlineStr">
        <is>
          <t>media</t>
        </is>
      </c>
      <c r="O42" s="30" t="n">
        <v>0</v>
      </c>
      <c r="P42" s="19">
        <f>IF(D42="reubicar","Opcional (no cambia el total)",IF(E42="cobertura","Sí (cobertura)",IF(D42="insertar",IF(G42&lt;=IFERROR(INDEX($G$6:$G$20,MATCH(B42,$A$6:$A$20,0)),0),"Sí","Reserva"),IF(SUMIFS($O$24:$O$191,$B$24:$B$191,B42,$D$24:$D$191,"fusionar",$G$24:$G$191,"&lt;"&amp;G42)&lt;IFERROR(INDEX($I$6:$I$20,MATCH(B42,$A$6:$A$20,0)),0),"Sí","Reserva"))))</f>
        <v/>
      </c>
      <c r="Q42" s="31" t="inlineStr"/>
    </row>
    <row r="43">
      <c r="A43" s="30" t="inlineStr">
        <is>
          <t>2-4-I12</t>
        </is>
      </c>
      <c r="B43" s="30">
        <f>"2-4|"&amp;F43</f>
        <v/>
      </c>
      <c r="C43" s="30" t="inlineStr">
        <is>
          <t>Ciclo 2°–4°</t>
        </is>
      </c>
      <c r="D43" s="30" t="inlineStr">
        <is>
          <t>insertar</t>
        </is>
      </c>
      <c r="E43" s="30" t="inlineStr">
        <is>
          <t>balance</t>
        </is>
      </c>
      <c r="F43" s="30" t="inlineStr">
        <is>
          <t>Ciencias físicas</t>
        </is>
      </c>
      <c r="G43" s="30" t="n">
        <v>12</v>
      </c>
      <c r="H43" s="30" t="n">
        <v>4</v>
      </c>
      <c r="I43" s="30" t="inlineStr">
        <is>
          <t>1. Máquinas y energía.</t>
        </is>
      </c>
      <c r="J43" s="30" t="inlineStr"/>
      <c r="K43" s="30" t="inlineStr">
        <is>
          <t>T4_27-P3.1</t>
        </is>
      </c>
      <c r="L43" s="30" t="inlineStr">
        <is>
          <t>Experimentación con la propagación de la luz a través del agua y de lentes sencillos para observar cómo se desvía.</t>
        </is>
      </c>
      <c r="M43" s="30" t="inlineStr">
        <is>
          <t>Segundo tema de luz; refracción menos central en TIMSS 4.°.</t>
        </is>
      </c>
      <c r="N43" s="30" t="inlineStr">
        <is>
          <t>baja</t>
        </is>
      </c>
      <c r="O43" s="30" t="n">
        <v>0</v>
      </c>
      <c r="P43" s="19">
        <f>IF(D43="reubicar","Opcional (no cambia el total)",IF(E43="cobertura","Sí (cobertura)",IF(D43="insertar",IF(G43&lt;=IFERROR(INDEX($G$6:$G$20,MATCH(B43,$A$6:$A$20,0)),0),"Sí","Reserva"),IF(SUMIFS($O$24:$O$191,$B$24:$B$191,B43,$D$24:$D$191,"fusionar",$G$24:$G$191,"&lt;"&amp;G43)&lt;IFERROR(INDEX($I$6:$I$20,MATCH(B43,$A$6:$A$20,0)),0),"Sí","Reserva"))))</f>
        <v/>
      </c>
      <c r="Q43" s="31" t="inlineStr"/>
    </row>
    <row r="44">
      <c r="A44" s="30" t="inlineStr">
        <is>
          <t>2-4-F01</t>
        </is>
      </c>
      <c r="B44" s="30">
        <f>"2-4|"&amp;F44</f>
        <v/>
      </c>
      <c r="C44" s="30" t="inlineStr">
        <is>
          <t>Ciclo 2°–4°</t>
        </is>
      </c>
      <c r="D44" s="30" t="inlineStr">
        <is>
          <t>fusionar</t>
        </is>
      </c>
      <c r="E44" s="30" t="inlineStr"/>
      <c r="F44" s="30" t="inlineStr">
        <is>
          <t>Biología</t>
        </is>
      </c>
      <c r="G44" s="30" t="n">
        <v>1</v>
      </c>
      <c r="H44" s="30" t="n">
        <v>4</v>
      </c>
      <c r="I44" s="30" t="inlineStr">
        <is>
          <t>2. Nutrición.</t>
        </is>
      </c>
      <c r="J44" s="30" t="inlineStr">
        <is>
          <t>T0785-G04-CIE · 4.° · 2.1. Indagación sobre los conceptos de alimento y nutriente.
T0786-G04-CIE · 4.° · 2.2. Clasificación de los nutrientes: macronutrientes y micronutrientes.</t>
        </is>
      </c>
      <c r="K44" s="30" t="inlineStr">
        <is>
          <t>T4_27-B5.2</t>
        </is>
      </c>
      <c r="L44" s="30" t="inlineStr">
        <is>
          <t>Indagación sobre los conceptos de alimento y nutriente, y clasificación de macronutrientes y micronutrientes.</t>
        </is>
      </c>
      <c r="M44" s="30" t="inlineStr">
        <is>
          <t>Mismo contenido «¿Qué es un nutriente?» y mismo objetivo B5.2.</t>
        </is>
      </c>
      <c r="N44" s="30" t="inlineStr">
        <is>
          <t>alta</t>
        </is>
      </c>
      <c r="O44" s="30" t="n">
        <v>1</v>
      </c>
      <c r="P44" s="19">
        <f>IF(D44="reubicar","Opcional (no cambia el total)",IF(E44="cobertura","Sí (cobertura)",IF(D44="insertar",IF(G44&lt;=IFERROR(INDEX($G$6:$G$20,MATCH(B44,$A$6:$A$20,0)),0),"Sí","Reserva"),IF(SUMIFS($O$24:$O$191,$B$24:$B$191,B44,$D$24:$D$191,"fusionar",$G$24:$G$191,"&lt;"&amp;G44)&lt;IFERROR(INDEX($I$6:$I$20,MATCH(B44,$A$6:$A$20,0)),0),"Sí","Reserva"))))</f>
        <v/>
      </c>
      <c r="Q44" s="31" t="inlineStr"/>
    </row>
    <row r="45">
      <c r="A45" s="30" t="inlineStr">
        <is>
          <t>2-4-F02</t>
        </is>
      </c>
      <c r="B45" s="30">
        <f>"2-4|"&amp;F45</f>
        <v/>
      </c>
      <c r="C45" s="30" t="inlineStr">
        <is>
          <t>Ciclo 2°–4°</t>
        </is>
      </c>
      <c r="D45" s="30" t="inlineStr">
        <is>
          <t>fusionar</t>
        </is>
      </c>
      <c r="E45" s="30" t="inlineStr"/>
      <c r="F45" s="30" t="inlineStr">
        <is>
          <t>Biología</t>
        </is>
      </c>
      <c r="G45" s="30" t="n">
        <v>2</v>
      </c>
      <c r="H45" s="30" t="n">
        <v>4</v>
      </c>
      <c r="I45" s="30" t="inlineStr">
        <is>
          <t>2. Nutrición.</t>
        </is>
      </c>
      <c r="J45" s="30" t="inlineStr">
        <is>
          <t>T0790-G04-CIE · 4.° · 2.6. Clasificación de los grupos de alimentos.
T0791-G04-CIE · 4.° · 2.7. Elaboración de menús según requerimientos nutricionales.</t>
        </is>
      </c>
      <c r="K45" s="30" t="inlineStr">
        <is>
          <t>T4_27-B5.2</t>
        </is>
      </c>
      <c r="L45" s="30" t="inlineStr">
        <is>
          <t>Clasificación de los grupos de alimentos y elaboración de menús saludables según requerimientos nutricionales.</t>
        </is>
      </c>
      <c r="M45" s="30" t="inlineStr">
        <is>
          <t>Mismo contenido «Alimentación saludable»; los menús aplican los grupos.</t>
        </is>
      </c>
      <c r="N45" s="30" t="inlineStr">
        <is>
          <t>alta</t>
        </is>
      </c>
      <c r="O45" s="30" t="n">
        <v>1</v>
      </c>
      <c r="P45" s="19">
        <f>IF(D45="reubicar","Opcional (no cambia el total)",IF(E45="cobertura","Sí (cobertura)",IF(D45="insertar",IF(G45&lt;=IFERROR(INDEX($G$6:$G$20,MATCH(B45,$A$6:$A$20,0)),0),"Sí","Reserva"),IF(SUMIFS($O$24:$O$191,$B$24:$B$191,B45,$D$24:$D$191,"fusionar",$G$24:$G$191,"&lt;"&amp;G45)&lt;IFERROR(INDEX($I$6:$I$20,MATCH(B45,$A$6:$A$20,0)),0),"Sí","Reserva"))))</f>
        <v/>
      </c>
      <c r="Q45" s="31" t="inlineStr"/>
    </row>
    <row r="46">
      <c r="A46" s="30" t="inlineStr">
        <is>
          <t>2-4-F03</t>
        </is>
      </c>
      <c r="B46" s="30">
        <f>"2-4|"&amp;F46</f>
        <v/>
      </c>
      <c r="C46" s="30" t="inlineStr">
        <is>
          <t>Ciclo 2°–4°</t>
        </is>
      </c>
      <c r="D46" s="30" t="inlineStr">
        <is>
          <t>fusionar</t>
        </is>
      </c>
      <c r="E46" s="30" t="inlineStr"/>
      <c r="F46" s="30" t="inlineStr">
        <is>
          <t>Biología</t>
        </is>
      </c>
      <c r="G46" s="30" t="n">
        <v>3</v>
      </c>
      <c r="H46" s="30" t="n">
        <v>4</v>
      </c>
      <c r="I46" s="30" t="inlineStr">
        <is>
          <t>2. Nutrición.</t>
        </is>
      </c>
      <c r="J46" s="30" t="inlineStr">
        <is>
          <t>T0788-G04-CIE · 4.° · 2.4. Estimación de la cantidad de alimento necesaria para suplir los requerimientos nutric
T0789-G04-CIE · 4.° · 2.5. Comparación del gasto y obtención de la energía contenida en la dieta diaria.</t>
        </is>
      </c>
      <c r="K46" s="30" t="inlineStr">
        <is>
          <t>T4_27-B5.2</t>
        </is>
      </c>
      <c r="L46" s="30" t="inlineStr">
        <is>
          <t>Estimación de los requerimientos nutricionales y comparación del gasto y la obtención de energía en la dieta diaria.</t>
        </is>
      </c>
      <c r="M46" s="30" t="inlineStr">
        <is>
          <t>Ambos tratan balance energético de la dieta; B5.2 tiene 14 temas.</t>
        </is>
      </c>
      <c r="N46" s="30" t="inlineStr">
        <is>
          <t>alta</t>
        </is>
      </c>
      <c r="O46" s="30" t="n">
        <v>1</v>
      </c>
      <c r="P46" s="19">
        <f>IF(D46="reubicar","Opcional (no cambia el total)",IF(E46="cobertura","Sí (cobertura)",IF(D46="insertar",IF(G46&lt;=IFERROR(INDEX($G$6:$G$20,MATCH(B46,$A$6:$A$20,0)),0),"Sí","Reserva"),IF(SUMIFS($O$24:$O$191,$B$24:$B$191,B46,$D$24:$D$191,"fusionar",$G$24:$G$191,"&lt;"&amp;G46)&lt;IFERROR(INDEX($I$6:$I$20,MATCH(B46,$A$6:$A$20,0)),0),"Sí","Reserva"))))</f>
        <v/>
      </c>
      <c r="Q46" s="31" t="inlineStr"/>
    </row>
    <row r="47">
      <c r="A47" s="30" t="inlineStr">
        <is>
          <t>2-4-F04</t>
        </is>
      </c>
      <c r="B47" s="30">
        <f>"2-4|"&amp;F47</f>
        <v/>
      </c>
      <c r="C47" s="30" t="inlineStr">
        <is>
          <t>Ciclo 2°–4°</t>
        </is>
      </c>
      <c r="D47" s="30" t="inlineStr">
        <is>
          <t>fusionar</t>
        </is>
      </c>
      <c r="E47" s="30" t="inlineStr"/>
      <c r="F47" s="30" t="inlineStr">
        <is>
          <t>Biología</t>
        </is>
      </c>
      <c r="G47" s="30" t="n">
        <v>4</v>
      </c>
      <c r="H47" s="30" t="n">
        <v>4</v>
      </c>
      <c r="I47" s="30" t="inlineStr">
        <is>
          <t>5. Cuerpo humano: materia y energía.</t>
        </is>
      </c>
      <c r="J47" s="30" t="inlineStr">
        <is>
          <t>T0828-G04-CIE · 4.° · 5.1. Descripción de las funciones, la importancia y los cuidados del sistema digestivo.
T0829-G04-CIE · 4.° · 5.2. Construcción de modelo del sistema digestivo.</t>
        </is>
      </c>
      <c r="K47" s="30" t="inlineStr">
        <is>
          <t>T4_27-B1.3, T4_27-B5.2</t>
        </is>
      </c>
      <c r="L47" s="30" t="inlineStr">
        <is>
          <t>Descripción de las funciones y cuidados del sistema digestivo mediante la construcción de un modelo.</t>
        </is>
      </c>
      <c r="M47" s="30" t="inlineStr">
        <is>
          <t>Modelo y descripción del mismo sistema; B1.3 sobrerrepresentado (24).</t>
        </is>
      </c>
      <c r="N47" s="30" t="inlineStr">
        <is>
          <t>alta</t>
        </is>
      </c>
      <c r="O47" s="30" t="n">
        <v>1</v>
      </c>
      <c r="P47" s="19">
        <f>IF(D47="reubicar","Opcional (no cambia el total)",IF(E47="cobertura","Sí (cobertura)",IF(D47="insertar",IF(G47&lt;=IFERROR(INDEX($G$6:$G$20,MATCH(B47,$A$6:$A$20,0)),0),"Sí","Reserva"),IF(SUMIFS($O$24:$O$191,$B$24:$B$191,B47,$D$24:$D$191,"fusionar",$G$24:$G$191,"&lt;"&amp;G47)&lt;IFERROR(INDEX($I$6:$I$20,MATCH(B47,$A$6:$A$20,0)),0),"Sí","Reserva"))))</f>
        <v/>
      </c>
      <c r="Q47" s="31" t="inlineStr"/>
    </row>
    <row r="48">
      <c r="A48" s="30" t="inlineStr">
        <is>
          <t>2-4-F05</t>
        </is>
      </c>
      <c r="B48" s="30">
        <f>"2-4|"&amp;F48</f>
        <v/>
      </c>
      <c r="C48" s="30" t="inlineStr">
        <is>
          <t>Ciclo 2°–4°</t>
        </is>
      </c>
      <c r="D48" s="30" t="inlineStr">
        <is>
          <t>fusionar</t>
        </is>
      </c>
      <c r="E48" s="30" t="inlineStr"/>
      <c r="F48" s="30" t="inlineStr">
        <is>
          <t>Biología</t>
        </is>
      </c>
      <c r="G48" s="30" t="n">
        <v>5</v>
      </c>
      <c r="H48" s="30" t="n">
        <v>4</v>
      </c>
      <c r="I48" s="30" t="inlineStr">
        <is>
          <t>5. Cuerpo humano: materia y energía.</t>
        </is>
      </c>
      <c r="J48" s="30" t="inlineStr">
        <is>
          <t>T0830-G04-CIE · 4.° · 5.3. Descripción de las funciones, la importancia y los cuidados del sistema respiratorio.
T0831-G04-CIE · 4.° · 5.4. Construcción de modelo del sistema respiratorio.</t>
        </is>
      </c>
      <c r="K48" s="30" t="inlineStr">
        <is>
          <t>T4_27-B1.3, T4_27-B1.4</t>
        </is>
      </c>
      <c r="L48" s="30" t="inlineStr">
        <is>
          <t>Descripción de las funciones y cuidados del sistema respiratorio mediante la construcción de un modelo.</t>
        </is>
      </c>
      <c r="M48" s="30" t="inlineStr">
        <is>
          <t>Mismo sistema, mismo objetivo B1.3; el modelo sirve a la descripción.</t>
        </is>
      </c>
      <c r="N48" s="30" t="inlineStr">
        <is>
          <t>alta</t>
        </is>
      </c>
      <c r="O48" s="30" t="n">
        <v>1</v>
      </c>
      <c r="P48" s="19">
        <f>IF(D48="reubicar","Opcional (no cambia el total)",IF(E48="cobertura","Sí (cobertura)",IF(D48="insertar",IF(G48&lt;=IFERROR(INDEX($G$6:$G$20,MATCH(B48,$A$6:$A$20,0)),0),"Sí","Reserva"),IF(SUMIFS($O$24:$O$191,$B$24:$B$191,B48,$D$24:$D$191,"fusionar",$G$24:$G$191,"&lt;"&amp;G48)&lt;IFERROR(INDEX($I$6:$I$20,MATCH(B48,$A$6:$A$20,0)),0),"Sí","Reserva"))))</f>
        <v/>
      </c>
      <c r="Q48" s="31" t="inlineStr"/>
    </row>
    <row r="49">
      <c r="A49" s="30" t="inlineStr">
        <is>
          <t>2-4-F06</t>
        </is>
      </c>
      <c r="B49" s="30">
        <f>"2-4|"&amp;F49</f>
        <v/>
      </c>
      <c r="C49" s="30" t="inlineStr">
        <is>
          <t>Ciclo 2°–4°</t>
        </is>
      </c>
      <c r="D49" s="30" t="inlineStr">
        <is>
          <t>fusionar</t>
        </is>
      </c>
      <c r="E49" s="30" t="inlineStr"/>
      <c r="F49" s="30" t="inlineStr">
        <is>
          <t>Biología</t>
        </is>
      </c>
      <c r="G49" s="30" t="n">
        <v>6</v>
      </c>
      <c r="H49" s="30" t="n">
        <v>4</v>
      </c>
      <c r="I49" s="30" t="inlineStr">
        <is>
          <t>5. Cuerpo humano: materia y energía.</t>
        </is>
      </c>
      <c r="J49" s="30" t="inlineStr">
        <is>
          <t>T0835-G04-CIE · 4.° · 5.8. Uso de simulación para explicar las partes y funciones principales del sistema excret
T0836-G04-CIE · 4.° · 5.9. Descripción de la importancia y los cuidados del sistema excretor.</t>
        </is>
      </c>
      <c r="K49" s="30" t="inlineStr">
        <is>
          <t>T4_27-B1.3, T4_27-B5.2</t>
        </is>
      </c>
      <c r="L49" s="30" t="inlineStr">
        <is>
          <t>Uso de simulaciones para explicar las partes, funciones, importancia y cuidados del sistema excretor.</t>
        </is>
      </c>
      <c r="M49" s="30" t="inlineStr">
        <is>
          <t>Mismo sistema excretor; partes y cuidados se enseñan juntos.</t>
        </is>
      </c>
      <c r="N49" s="30" t="inlineStr">
        <is>
          <t>alta</t>
        </is>
      </c>
      <c r="O49" s="30" t="n">
        <v>1</v>
      </c>
      <c r="P49" s="19">
        <f>IF(D49="reubicar","Opcional (no cambia el total)",IF(E49="cobertura","Sí (cobertura)",IF(D49="insertar",IF(G49&lt;=IFERROR(INDEX($G$6:$G$20,MATCH(B49,$A$6:$A$20,0)),0),"Sí","Reserva"),IF(SUMIFS($O$24:$O$191,$B$24:$B$191,B49,$D$24:$D$191,"fusionar",$G$24:$G$191,"&lt;"&amp;G49)&lt;IFERROR(INDEX($I$6:$I$20,MATCH(B49,$A$6:$A$20,0)),0),"Sí","Reserva"))))</f>
        <v/>
      </c>
      <c r="Q49" s="31" t="inlineStr"/>
    </row>
    <row r="50">
      <c r="A50" s="30" t="inlineStr">
        <is>
          <t>2-4-F07</t>
        </is>
      </c>
      <c r="B50" s="30">
        <f>"2-4|"&amp;F50</f>
        <v/>
      </c>
      <c r="C50" s="30" t="inlineStr">
        <is>
          <t>Ciclo 2°–4°</t>
        </is>
      </c>
      <c r="D50" s="30" t="inlineStr">
        <is>
          <t>fusionar</t>
        </is>
      </c>
      <c r="E50" s="30" t="inlineStr"/>
      <c r="F50" s="30" t="inlineStr">
        <is>
          <t>Biología</t>
        </is>
      </c>
      <c r="G50" s="30" t="n">
        <v>7</v>
      </c>
      <c r="H50" s="30" t="n">
        <v>4</v>
      </c>
      <c r="I50" s="30" t="inlineStr">
        <is>
          <t>5. Cuerpo humano: materia y energía.</t>
        </is>
      </c>
      <c r="J50" s="30" t="inlineStr">
        <is>
          <t>T0832-G04-CIE · 4.° · 5.5. Manipulación de simulaciones para explicar la estructura y las funciones sistémicas.
T0833-G04-CIE · 4.° · 5.6. Descripción del funcionamiento y los cuidados del sistema circulatorio.</t>
        </is>
      </c>
      <c r="K50" s="30" t="inlineStr">
        <is>
          <t>T4_27-B1.3, T4_27-B1.4</t>
        </is>
      </c>
      <c r="L50" s="30" t="inlineStr">
        <is>
          <t>Manipulación de simulaciones para explicar la estructura, el funcionamiento y los cuidados del sistema circulatorio.</t>
        </is>
      </c>
      <c r="M50" s="30" t="inlineStr">
        <is>
          <t>Mismo contenido «Sistema circulatorio», mismo objetivo B1.3.</t>
        </is>
      </c>
      <c r="N50" s="30" t="inlineStr">
        <is>
          <t>alta</t>
        </is>
      </c>
      <c r="O50" s="30" t="n">
        <v>1</v>
      </c>
      <c r="P50" s="19">
        <f>IF(D50="reubicar","Opcional (no cambia el total)",IF(E50="cobertura","Sí (cobertura)",IF(D50="insertar",IF(G50&lt;=IFERROR(INDEX($G$6:$G$20,MATCH(B50,$A$6:$A$20,0)),0),"Sí","Reserva"),IF(SUMIFS($O$24:$O$191,$B$24:$B$191,B50,$D$24:$D$191,"fusionar",$G$24:$G$191,"&lt;"&amp;G50)&lt;IFERROR(INDEX($I$6:$I$20,MATCH(B50,$A$6:$A$20,0)),0),"Sí","Reserva"))))</f>
        <v/>
      </c>
      <c r="Q50" s="31" t="inlineStr"/>
    </row>
    <row r="51">
      <c r="A51" s="30" t="inlineStr">
        <is>
          <t>2-4-F08</t>
        </is>
      </c>
      <c r="B51" s="30">
        <f>"2-4|"&amp;F51</f>
        <v/>
      </c>
      <c r="C51" s="30" t="inlineStr">
        <is>
          <t>Ciclo 2°–4°</t>
        </is>
      </c>
      <c r="D51" s="30" t="inlineStr">
        <is>
          <t>fusionar</t>
        </is>
      </c>
      <c r="E51" s="30" t="inlineStr"/>
      <c r="F51" s="30" t="inlineStr">
        <is>
          <t>Biología</t>
        </is>
      </c>
      <c r="G51" s="30" t="n">
        <v>8</v>
      </c>
      <c r="H51" s="30" t="n">
        <v>4</v>
      </c>
      <c r="I51" s="30" t="inlineStr">
        <is>
          <t>6. Cuerpo humano: movimiento e interacciones.</t>
        </is>
      </c>
      <c r="J51" s="30" t="inlineStr">
        <is>
          <t>T0843-G04-CIE · 4.° · 6.7. Explicación de las funciones, la importancia y los cuidados del sistema nervioso.
T0844-G04-CIE · 4.° · 6.8. Representación de las partes principales del sistema nervioso humano.</t>
        </is>
      </c>
      <c r="K51" s="30" t="inlineStr">
        <is>
          <t>T4_27-B1.3, T4_27-B1.4</t>
        </is>
      </c>
      <c r="L51" s="30" t="inlineStr">
        <is>
          <t>Representación de las partes principales del sistema nervioso y explicación de sus funciones y cuidados.</t>
        </is>
      </c>
      <c r="M51" s="30" t="inlineStr">
        <is>
          <t>Partes y funciones del mismo sistema; B1.3 sobrerrepresentado.</t>
        </is>
      </c>
      <c r="N51" s="30" t="inlineStr">
        <is>
          <t>alta</t>
        </is>
      </c>
      <c r="O51" s="30" t="n">
        <v>1</v>
      </c>
      <c r="P51" s="19">
        <f>IF(D51="reubicar","Opcional (no cambia el total)",IF(E51="cobertura","Sí (cobertura)",IF(D51="insertar",IF(G51&lt;=IFERROR(INDEX($G$6:$G$20,MATCH(B51,$A$6:$A$20,0)),0),"Sí","Reserva"),IF(SUMIFS($O$24:$O$191,$B$24:$B$191,B51,$D$24:$D$191,"fusionar",$G$24:$G$191,"&lt;"&amp;G51)&lt;IFERROR(INDEX($I$6:$I$20,MATCH(B51,$A$6:$A$20,0)),0),"Sí","Reserva"))))</f>
        <v/>
      </c>
      <c r="Q51" s="31" t="inlineStr"/>
    </row>
    <row r="52">
      <c r="A52" s="30" t="inlineStr">
        <is>
          <t>2-4-F09</t>
        </is>
      </c>
      <c r="B52" s="30">
        <f>"2-4|"&amp;F52</f>
        <v/>
      </c>
      <c r="C52" s="30" t="inlineStr">
        <is>
          <t>Ciclo 2°–4°</t>
        </is>
      </c>
      <c r="D52" s="30" t="inlineStr">
        <is>
          <t>fusionar</t>
        </is>
      </c>
      <c r="E52" s="30" t="inlineStr"/>
      <c r="F52" s="30" t="inlineStr">
        <is>
          <t>Biología</t>
        </is>
      </c>
      <c r="G52" s="30" t="n">
        <v>9</v>
      </c>
      <c r="H52" s="30" t="n">
        <v>4</v>
      </c>
      <c r="I52" s="30" t="inlineStr">
        <is>
          <t>6. Cuerpo humano: movimiento e interacciones.</t>
        </is>
      </c>
      <c r="J52" s="30" t="inlineStr">
        <is>
          <t>T0838-G04-CIE · 4.° · 6.2. Práctica con el funcionamiento de músculos y articulaciones.
T0839-G04-CIE · 4.° · 6.3. Modelación de la contracción muscular para generar movimiento.</t>
        </is>
      </c>
      <c r="K52" s="30" t="inlineStr">
        <is>
          <t>T4_27-B1.3</t>
        </is>
      </c>
      <c r="L52" s="30" t="inlineStr">
        <is>
          <t>Práctica y modelación del funcionamiento de músculos y articulaciones para generar movimiento.</t>
        </is>
      </c>
      <c r="M52" s="30" t="inlineStr">
        <is>
          <t>Ambos modelan contracción y movimiento; mismo objetivo B1.3.</t>
        </is>
      </c>
      <c r="N52" s="30" t="inlineStr">
        <is>
          <t>media</t>
        </is>
      </c>
      <c r="O52" s="30" t="n">
        <v>1</v>
      </c>
      <c r="P52" s="19">
        <f>IF(D52="reubicar","Opcional (no cambia el total)",IF(E52="cobertura","Sí (cobertura)",IF(D52="insertar",IF(G52&lt;=IFERROR(INDEX($G$6:$G$20,MATCH(B52,$A$6:$A$20,0)),0),"Sí","Reserva"),IF(SUMIFS($O$24:$O$191,$B$24:$B$191,B52,$D$24:$D$191,"fusionar",$G$24:$G$191,"&lt;"&amp;G52)&lt;IFERROR(INDEX($I$6:$I$20,MATCH(B52,$A$6:$A$20,0)),0),"Sí","Reserva"))))</f>
        <v/>
      </c>
      <c r="Q52" s="31" t="inlineStr"/>
    </row>
    <row r="53">
      <c r="A53" s="30" t="inlineStr">
        <is>
          <t>2-4-F10</t>
        </is>
      </c>
      <c r="B53" s="30">
        <f>"2-4|"&amp;F53</f>
        <v/>
      </c>
      <c r="C53" s="30" t="inlineStr">
        <is>
          <t>Ciclo 2°–4°</t>
        </is>
      </c>
      <c r="D53" s="30" t="inlineStr">
        <is>
          <t>fusionar</t>
        </is>
      </c>
      <c r="E53" s="30" t="inlineStr"/>
      <c r="F53" s="30" t="inlineStr">
        <is>
          <t>Biología</t>
        </is>
      </c>
      <c r="G53" s="30" t="n">
        <v>10</v>
      </c>
      <c r="H53" s="30" t="n">
        <v>3</v>
      </c>
      <c r="I53" s="30" t="inlineStr">
        <is>
          <t>5. Los animales.</t>
        </is>
      </c>
      <c r="J53" s="30" t="inlineStr">
        <is>
          <t>T0764-G03-CIE · 3.° · 5.12. Descripción de las características morfológicas de los vertebrados.
T0765-G03-CIE · 3.° · 5.13. Caracterización anatómica de los principales grupos de vertebrados.</t>
        </is>
      </c>
      <c r="K53" s="30" t="inlineStr">
        <is>
          <t>T4_27-B1.2</t>
        </is>
      </c>
      <c r="L53" s="30" t="inlineStr">
        <is>
          <t>Descripción y caracterización anatómica de los principales grupos de vertebrados.</t>
        </is>
      </c>
      <c r="M53" s="30" t="inlineStr">
        <is>
          <t>Mismo contenido «Los vertebrados»; B1.2 tiene 18 temas.</t>
        </is>
      </c>
      <c r="N53" s="30" t="inlineStr">
        <is>
          <t>alta</t>
        </is>
      </c>
      <c r="O53" s="30" t="n">
        <v>1</v>
      </c>
      <c r="P53" s="19">
        <f>IF(D53="reubicar","Opcional (no cambia el total)",IF(E53="cobertura","Sí (cobertura)",IF(D53="insertar",IF(G53&lt;=IFERROR(INDEX($G$6:$G$20,MATCH(B53,$A$6:$A$20,0)),0),"Sí","Reserva"),IF(SUMIFS($O$24:$O$191,$B$24:$B$191,B53,$D$24:$D$191,"fusionar",$G$24:$G$191,"&lt;"&amp;G53)&lt;IFERROR(INDEX($I$6:$I$20,MATCH(B53,$A$6:$A$20,0)),0),"Sí","Reserva"))))</f>
        <v/>
      </c>
      <c r="Q53" s="31" t="inlineStr"/>
    </row>
    <row r="54">
      <c r="A54" s="30" t="inlineStr">
        <is>
          <t>2-4-F11</t>
        </is>
      </c>
      <c r="B54" s="30">
        <f>"2-4|"&amp;F54</f>
        <v/>
      </c>
      <c r="C54" s="30" t="inlineStr">
        <is>
          <t>Ciclo 2°–4°</t>
        </is>
      </c>
      <c r="D54" s="30" t="inlineStr">
        <is>
          <t>fusionar</t>
        </is>
      </c>
      <c r="E54" s="30" t="inlineStr"/>
      <c r="F54" s="30" t="inlineStr">
        <is>
          <t>Biología</t>
        </is>
      </c>
      <c r="G54" s="30" t="n">
        <v>11</v>
      </c>
      <c r="H54" s="30" t="n">
        <v>3</v>
      </c>
      <c r="I54" s="30" t="inlineStr">
        <is>
          <t>4. Las plantas.</t>
        </is>
      </c>
      <c r="J54" s="30" t="inlineStr">
        <is>
          <t>T0744-G03-CIE · 3.° · 4.1. Reconocimiento de los órganos presentes en las plantas con semilla.
T0745-G03-CIE · 3.° · 4.2. Relación de los órganos vegetales con sus funciones.</t>
        </is>
      </c>
      <c r="K54" s="30" t="inlineStr">
        <is>
          <t>T4_27-B1.3</t>
        </is>
      </c>
      <c r="L54" s="30" t="inlineStr">
        <is>
          <t>Reconocimiento de los órganos de las plantas con semilla y relación con sus funciones.</t>
        </is>
      </c>
      <c r="M54" s="30" t="inlineStr">
        <is>
          <t>Reconocer órganos y sus funciones es un mismo aprendizaje B1.3.</t>
        </is>
      </c>
      <c r="N54" s="30" t="inlineStr">
        <is>
          <t>alta</t>
        </is>
      </c>
      <c r="O54" s="30" t="n">
        <v>1</v>
      </c>
      <c r="P54" s="19">
        <f>IF(D54="reubicar","Opcional (no cambia el total)",IF(E54="cobertura","Sí (cobertura)",IF(D54="insertar",IF(G54&lt;=IFERROR(INDEX($G$6:$G$20,MATCH(B54,$A$6:$A$20,0)),0),"Sí","Reserva"),IF(SUMIFS($O$24:$O$191,$B$24:$B$191,B54,$D$24:$D$191,"fusionar",$G$24:$G$191,"&lt;"&amp;G54)&lt;IFERROR(INDEX($I$6:$I$20,MATCH(B54,$A$6:$A$20,0)),0),"Sí","Reserva"))))</f>
        <v/>
      </c>
      <c r="Q54" s="31" t="inlineStr"/>
    </row>
    <row r="55">
      <c r="A55" s="30" t="inlineStr">
        <is>
          <t>2-4-F12</t>
        </is>
      </c>
      <c r="B55" s="30">
        <f>"2-4|"&amp;F55</f>
        <v/>
      </c>
      <c r="C55" s="30" t="inlineStr">
        <is>
          <t>Ciclo 2°–4°</t>
        </is>
      </c>
      <c r="D55" s="30" t="inlineStr">
        <is>
          <t>fusionar</t>
        </is>
      </c>
      <c r="E55" s="30" t="inlineStr"/>
      <c r="F55" s="30" t="inlineStr">
        <is>
          <t>Biología</t>
        </is>
      </c>
      <c r="G55" s="30" t="n">
        <v>12</v>
      </c>
      <c r="H55" s="30" t="n">
        <v>3</v>
      </c>
      <c r="I55" s="30" t="inlineStr">
        <is>
          <t>4. Las plantas.</t>
        </is>
      </c>
      <c r="J55" s="30" t="inlineStr">
        <is>
          <t>T0748-G03-CIE · 3.° · 4.5. Comparación de la anatomía de distintas plantas con semilla y sin semilla.
T0749-G03-CIE · 3.° · 4.6. Clasificación de los grupos de plantas terrestres por su anatomía.</t>
        </is>
      </c>
      <c r="K55" s="30" t="inlineStr">
        <is>
          <t>T4_27-B1.2</t>
        </is>
      </c>
      <c r="L55" s="30" t="inlineStr">
        <is>
          <t>Comparación y clasificación de los grupos de plantas terrestres (con y sin semilla) por su anatomía.</t>
        </is>
      </c>
      <c r="M55" s="30" t="inlineStr">
        <is>
          <t>Mismo contenido «Grupos de plantas»; comparar y clasificar se solapan.</t>
        </is>
      </c>
      <c r="N55" s="30" t="inlineStr">
        <is>
          <t>alta</t>
        </is>
      </c>
      <c r="O55" s="30" t="n">
        <v>1</v>
      </c>
      <c r="P55" s="19">
        <f>IF(D55="reubicar","Opcional (no cambia el total)",IF(E55="cobertura","Sí (cobertura)",IF(D55="insertar",IF(G55&lt;=IFERROR(INDEX($G$6:$G$20,MATCH(B55,$A$6:$A$20,0)),0),"Sí","Reserva"),IF(SUMIFS($O$24:$O$191,$B$24:$B$191,B55,$D$24:$D$191,"fusionar",$G$24:$G$191,"&lt;"&amp;G55)&lt;IFERROR(INDEX($I$6:$I$20,MATCH(B55,$A$6:$A$20,0)),0),"Sí","Reserva"))))</f>
        <v/>
      </c>
      <c r="Q55" s="31" t="inlineStr"/>
    </row>
    <row r="56">
      <c r="A56" s="30" t="inlineStr">
        <is>
          <t>2-4-F13</t>
        </is>
      </c>
      <c r="B56" s="30">
        <f>"2-4|"&amp;F56</f>
        <v/>
      </c>
      <c r="C56" s="30" t="inlineStr">
        <is>
          <t>Ciclo 2°–4°</t>
        </is>
      </c>
      <c r="D56" s="30" t="inlineStr">
        <is>
          <t>fusionar</t>
        </is>
      </c>
      <c r="E56" s="30" t="inlineStr"/>
      <c r="F56" s="30" t="inlineStr">
        <is>
          <t>Biología</t>
        </is>
      </c>
      <c r="G56" s="30" t="n">
        <v>13</v>
      </c>
      <c r="H56" s="30" t="n">
        <v>3</v>
      </c>
      <c r="I56" s="30" t="inlineStr">
        <is>
          <t>5. Los animales.</t>
        </is>
      </c>
      <c r="J56" s="30" t="inlineStr">
        <is>
          <t>T0761-G03-CIE · 3.° · 5.9. Representación esquemática de distintos grupos de artrópodos.
T0762-G03-CIE · 3.° · 5.10. Representación esquemática de distintos grupos de moluscos.</t>
        </is>
      </c>
      <c r="K56" s="30" t="inlineStr">
        <is>
          <t>T4_27-B1.2</t>
        </is>
      </c>
      <c r="L56" s="30" t="inlineStr">
        <is>
          <t>Representación esquemática de los grupos de artrópodos y moluscos y sus rasgos distintivos.</t>
        </is>
      </c>
      <c r="M56" s="30" t="inlineStr">
        <is>
          <t>Misma tarea esquemática sobre invertebrados; B1.2 sobrerrepresentado.</t>
        </is>
      </c>
      <c r="N56" s="30" t="inlineStr">
        <is>
          <t>media</t>
        </is>
      </c>
      <c r="O56" s="30" t="n">
        <v>1</v>
      </c>
      <c r="P56" s="19">
        <f>IF(D56="reubicar","Opcional (no cambia el total)",IF(E56="cobertura","Sí (cobertura)",IF(D56="insertar",IF(G56&lt;=IFERROR(INDEX($G$6:$G$20,MATCH(B56,$A$6:$A$20,0)),0),"Sí","Reserva"),IF(SUMIFS($O$24:$O$191,$B$24:$B$191,B56,$D$24:$D$191,"fusionar",$G$24:$G$191,"&lt;"&amp;G56)&lt;IFERROR(INDEX($I$6:$I$20,MATCH(B56,$A$6:$A$20,0)),0),"Sí","Reserva"))))</f>
        <v/>
      </c>
      <c r="Q56" s="31" t="inlineStr"/>
    </row>
    <row r="57">
      <c r="A57" s="30" t="inlineStr">
        <is>
          <t>2-4-F14</t>
        </is>
      </c>
      <c r="B57" s="30">
        <f>"2-4|"&amp;F57</f>
        <v/>
      </c>
      <c r="C57" s="30" t="inlineStr">
        <is>
          <t>Ciclo 2°–4°</t>
        </is>
      </c>
      <c r="D57" s="30" t="inlineStr">
        <is>
          <t>fusionar</t>
        </is>
      </c>
      <c r="E57" s="30" t="inlineStr"/>
      <c r="F57" s="30" t="inlineStr">
        <is>
          <t>Biología</t>
        </is>
      </c>
      <c r="G57" s="30" t="n">
        <v>14</v>
      </c>
      <c r="H57" s="30" t="n">
        <v>3</v>
      </c>
      <c r="I57" s="30" t="inlineStr">
        <is>
          <t>5. Los animales.</t>
        </is>
      </c>
      <c r="J57" s="30" t="inlineStr">
        <is>
          <t>T0758-G03-CIE · 3.° · 5.6. Descripción de las características distintivas de poríferos y cnidarios.
T0759-G03-CIE · 3.° · 5.7. Reconocimiento de las características morfológicas de invertebrados vermiformes: plat</t>
        </is>
      </c>
      <c r="K57" s="30" t="inlineStr">
        <is>
          <t>T4_27-B1.2</t>
        </is>
      </c>
      <c r="L57" s="30" t="inlineStr">
        <is>
          <t>Descripción de las características de poríferos, cnidarios e invertebrados vermiformes.</t>
        </is>
      </c>
      <c r="M57" s="30" t="inlineStr">
        <is>
          <t>Invertebrados simples del mismo contenido; detalle taxonómico excede TIMSS 4.°.</t>
        </is>
      </c>
      <c r="N57" s="30" t="inlineStr">
        <is>
          <t>media</t>
        </is>
      </c>
      <c r="O57" s="30" t="n">
        <v>1</v>
      </c>
      <c r="P57" s="19">
        <f>IF(D57="reubicar","Opcional (no cambia el total)",IF(E57="cobertura","Sí (cobertura)",IF(D57="insertar",IF(G57&lt;=IFERROR(INDEX($G$6:$G$20,MATCH(B57,$A$6:$A$20,0)),0),"Sí","Reserva"),IF(SUMIFS($O$24:$O$191,$B$24:$B$191,B57,$D$24:$D$191,"fusionar",$G$24:$G$191,"&lt;"&amp;G57)&lt;IFERROR(INDEX($I$6:$I$20,MATCH(B57,$A$6:$A$20,0)),0),"Sí","Reserva"))))</f>
        <v/>
      </c>
      <c r="Q57" s="31" t="inlineStr"/>
    </row>
    <row r="58">
      <c r="A58" s="30" t="inlineStr">
        <is>
          <t>2-4-F15</t>
        </is>
      </c>
      <c r="B58" s="30">
        <f>"2-4|"&amp;F58</f>
        <v/>
      </c>
      <c r="C58" s="30" t="inlineStr">
        <is>
          <t>Ciclo 2°–4°</t>
        </is>
      </c>
      <c r="D58" s="30" t="inlineStr">
        <is>
          <t>fusionar</t>
        </is>
      </c>
      <c r="E58" s="30" t="inlineStr"/>
      <c r="F58" s="30" t="inlineStr">
        <is>
          <t>Biología</t>
        </is>
      </c>
      <c r="G58" s="30" t="n">
        <v>15</v>
      </c>
      <c r="H58" s="30" t="n">
        <v>3</v>
      </c>
      <c r="I58" s="30" t="inlineStr">
        <is>
          <t>4. Las plantas.</t>
        </is>
      </c>
      <c r="J58" s="30" t="inlineStr">
        <is>
          <t>T0751-G03-CIE · 3.° · 4.8. Experimentación con tropismos.
T0752-G03-CIE · 3.° · 4.9. Experimentación con nastias.</t>
        </is>
      </c>
      <c r="K58" s="30" t="inlineStr">
        <is>
          <t>T4_27-B1.4, T4_27-B6.1</t>
        </is>
      </c>
      <c r="L58" s="30" t="inlineStr">
        <is>
          <t>Experimentación con tropismos y nastias en plantas del entorno.</t>
        </is>
      </c>
      <c r="M58" s="30" t="inlineStr">
        <is>
          <t>Misma práctica experimental sobre respuestas vegetales; B1.4 se conserva.</t>
        </is>
      </c>
      <c r="N58" s="30" t="inlineStr">
        <is>
          <t>media</t>
        </is>
      </c>
      <c r="O58" s="30" t="n">
        <v>1</v>
      </c>
      <c r="P58" s="19">
        <f>IF(D58="reubicar","Opcional (no cambia el total)",IF(E58="cobertura","Sí (cobertura)",IF(D58="insertar",IF(G58&lt;=IFERROR(INDEX($G$6:$G$20,MATCH(B58,$A$6:$A$20,0)),0),"Sí","Reserva"),IF(SUMIFS($O$24:$O$191,$B$24:$B$191,B58,$D$24:$D$191,"fusionar",$G$24:$G$191,"&lt;"&amp;G58)&lt;IFERROR(INDEX($I$6:$I$20,MATCH(B58,$A$6:$A$20,0)),0),"Sí","Reserva"))))</f>
        <v/>
      </c>
      <c r="Q58" s="31" t="inlineStr"/>
    </row>
    <row r="59">
      <c r="A59" s="30" t="inlineStr">
        <is>
          <t>2-4-F16</t>
        </is>
      </c>
      <c r="B59" s="30">
        <f>"2-4|"&amp;F59</f>
        <v/>
      </c>
      <c r="C59" s="30" t="inlineStr">
        <is>
          <t>Ciclo 2°–4°</t>
        </is>
      </c>
      <c r="D59" s="30" t="inlineStr">
        <is>
          <t>fusionar</t>
        </is>
      </c>
      <c r="E59" s="30" t="inlineStr"/>
      <c r="F59" s="30" t="inlineStr">
        <is>
          <t>Biología</t>
        </is>
      </c>
      <c r="G59" s="30" t="n">
        <v>16</v>
      </c>
      <c r="H59" s="30" t="n">
        <v>4</v>
      </c>
      <c r="I59" s="30" t="inlineStr">
        <is>
          <t>3. Naturaleza y sus interacciones.</t>
        </is>
      </c>
      <c r="J59" s="30" t="inlineStr">
        <is>
          <t>T0801-G04-CIE · 4.° · 3.4. Reconocimiento de la diversidad ecosistémica.
T0802-G04-CIE · 4.° · 3.5. Reconocimiento de tipos de formaciones vegetales de El Salvador.</t>
        </is>
      </c>
      <c r="K59" s="30" t="inlineStr">
        <is>
          <t>T4_27-B4.1</t>
        </is>
      </c>
      <c r="L59" s="30" t="inlineStr">
        <is>
          <t>Reconocimiento de la diversidad de ecosistemas y de las formaciones vegetales de El Salvador.</t>
        </is>
      </c>
      <c r="M59" s="30" t="inlineStr">
        <is>
          <t>Ambos sobre diversidad de ecosistemas; pierde algo de detalle local.</t>
        </is>
      </c>
      <c r="N59" s="30" t="inlineStr">
        <is>
          <t>baja</t>
        </is>
      </c>
      <c r="O59" s="30" t="n">
        <v>1</v>
      </c>
      <c r="P59" s="19">
        <f>IF(D59="reubicar","Opcional (no cambia el total)",IF(E59="cobertura","Sí (cobertura)",IF(D59="insertar",IF(G59&lt;=IFERROR(INDEX($G$6:$G$20,MATCH(B59,$A$6:$A$20,0)),0),"Sí","Reserva"),IF(SUMIFS($O$24:$O$191,$B$24:$B$191,B59,$D$24:$D$191,"fusionar",$G$24:$G$191,"&lt;"&amp;G59)&lt;IFERROR(INDEX($I$6:$I$20,MATCH(B59,$A$6:$A$20,0)),0),"Sí","Reserva"))))</f>
        <v/>
      </c>
      <c r="Q59" s="31" t="inlineStr"/>
    </row>
    <row r="60">
      <c r="A60" s="30" t="inlineStr">
        <is>
          <t>2-4-F17</t>
        </is>
      </c>
      <c r="B60" s="30">
        <f>"2-4|"&amp;F60</f>
        <v/>
      </c>
      <c r="C60" s="30" t="inlineStr">
        <is>
          <t>Ciclo 2°–4°</t>
        </is>
      </c>
      <c r="D60" s="30" t="inlineStr">
        <is>
          <t>fusionar</t>
        </is>
      </c>
      <c r="E60" s="30" t="inlineStr"/>
      <c r="F60" s="30" t="inlineStr">
        <is>
          <t>Biología</t>
        </is>
      </c>
      <c r="G60" s="30" t="n">
        <v>17</v>
      </c>
      <c r="H60" s="30" t="n">
        <v>4</v>
      </c>
      <c r="I60" s="30" t="inlineStr">
        <is>
          <t>6. Cuerpo humano: movimiento e interacciones.</t>
        </is>
      </c>
      <c r="J60" s="30" t="inlineStr">
        <is>
          <t>T0840-G04-CIE · 4.° · 6.4. Descripción de la morfología, las funciones y formas de protección de huesos y cartíl
T0841-G04-CIE · 4.° · 6.5. Representación de los principales músculos esqueléticos y huesos del cuerpo humano.</t>
        </is>
      </c>
      <c r="K60" s="30" t="inlineStr">
        <is>
          <t>T4_27-B1.3</t>
        </is>
      </c>
      <c r="L60" s="30" t="inlineStr">
        <is>
          <t>Descripción y representación de los principales huesos, cartílagos y músculos esqueléticos, sus funciones y formas de protección.</t>
        </is>
      </c>
      <c r="M60" s="30" t="inlineStr">
        <is>
          <t>Mismo contenido musculoesquelético y objetivo B1.3 (24 temas); paga la inserción de B2.2.</t>
        </is>
      </c>
      <c r="N60" s="30" t="inlineStr">
        <is>
          <t>media</t>
        </is>
      </c>
      <c r="O60" s="30" t="n">
        <v>1</v>
      </c>
      <c r="P60" s="19">
        <f>IF(D60="reubicar","Opcional (no cambia el total)",IF(E60="cobertura","Sí (cobertura)",IF(D60="insertar",IF(G60&lt;=IFERROR(INDEX($G$6:$G$20,MATCH(B60,$A$6:$A$20,0)),0),"Sí","Reserva"),IF(SUMIFS($O$24:$O$191,$B$24:$B$191,B60,$D$24:$D$191,"fusionar",$G$24:$G$191,"&lt;"&amp;G60)&lt;IFERROR(INDEX($I$6:$I$20,MATCH(B60,$A$6:$A$20,0)),0),"Sí","Reserva"))))</f>
        <v/>
      </c>
      <c r="Q60" s="31" t="inlineStr"/>
    </row>
    <row r="61">
      <c r="A61" s="30" t="inlineStr">
        <is>
          <t>2-4-R03</t>
        </is>
      </c>
      <c r="B61" s="30">
        <f>"2-4|"&amp;F61</f>
        <v/>
      </c>
      <c r="C61" s="30" t="inlineStr">
        <is>
          <t>Ciclo 2°–4°</t>
        </is>
      </c>
      <c r="D61" s="30" t="inlineStr">
        <is>
          <t>reubicar</t>
        </is>
      </c>
      <c r="E61" s="30" t="inlineStr"/>
      <c r="F61" s="30" t="inlineStr">
        <is>
          <t>Biología</t>
        </is>
      </c>
      <c r="G61" s="30" t="n">
        <v>1</v>
      </c>
      <c r="H61" s="30" t="n">
        <v>2</v>
      </c>
      <c r="I61" s="30" t="inlineStr">
        <is>
          <t>5. Objetos técnicos.</t>
        </is>
      </c>
      <c r="J61" s="30" t="inlineStr">
        <is>
          <t>T0795-G04-CIE · 4.° · 2.11. Práctica de técnicas básicas para cultivo en huertos.</t>
        </is>
      </c>
      <c r="K61" s="30" t="inlineStr">
        <is>
          <t>T4_27-B1.1</t>
        </is>
      </c>
      <c r="L61" s="30" t="inlineStr">
        <is>
          <t>Práctica de técnicas básicas de cultivo en huertos, junto a «Cuidado de plantas y animales».</t>
        </is>
      </c>
      <c r="M61" s="30" t="inlineStr">
        <is>
          <t>Biología falta en 2.° (+2,6) y sobra en 4.° (−9,6).</t>
        </is>
      </c>
      <c r="N61" s="30" t="inlineStr">
        <is>
          <t>alta</t>
        </is>
      </c>
      <c r="O61" s="30" t="n">
        <v>0</v>
      </c>
      <c r="P61" s="19">
        <f>IF(D61="reubicar","Opcional (no cambia el total)",IF(E61="cobertura","Sí (cobertura)",IF(D61="insertar",IF(G61&lt;=IFERROR(INDEX($G$6:$G$20,MATCH(B61,$A$6:$A$20,0)),0),"Sí","Reserva"),IF(SUMIFS($O$24:$O$191,$B$24:$B$191,B61,$D$24:$D$191,"fusionar",$G$24:$G$191,"&lt;"&amp;G61)&lt;IFERROR(INDEX($I$6:$I$20,MATCH(B61,$A$6:$A$20,0)),0),"Sí","Reserva"))))</f>
        <v/>
      </c>
      <c r="Q61" s="31" t="inlineStr"/>
    </row>
    <row r="62">
      <c r="A62" s="30" t="inlineStr">
        <is>
          <t>2-4-R04</t>
        </is>
      </c>
      <c r="B62" s="30">
        <f>"2-4|"&amp;F62</f>
        <v/>
      </c>
      <c r="C62" s="30" t="inlineStr">
        <is>
          <t>Ciclo 2°–4°</t>
        </is>
      </c>
      <c r="D62" s="30" t="inlineStr">
        <is>
          <t>reubicar</t>
        </is>
      </c>
      <c r="E62" s="30" t="inlineStr"/>
      <c r="F62" s="30" t="inlineStr">
        <is>
          <t>Ciencias de la Tierra</t>
        </is>
      </c>
      <c r="G62" s="30" t="n">
        <v>1</v>
      </c>
      <c r="H62" s="30" t="n">
        <v>3</v>
      </c>
      <c r="I62" s="30" t="inlineStr">
        <is>
          <t>2. Interacciones terrestres.</t>
        </is>
      </c>
      <c r="J62" s="30" t="inlineStr">
        <is>
          <t>T0809-G04-CIE · 4.° · 3.12. Indagación de la diversidad de fenómenos geológicos.</t>
        </is>
      </c>
      <c r="K62" s="30" t="inlineStr">
        <is>
          <t>T4_27-E1.2</t>
        </is>
      </c>
      <c r="L62" s="30" t="inlineStr">
        <is>
          <t>Indagación de la diversidad de fenómenos geológicos, junto a rocas y volcanes.</t>
        </is>
      </c>
      <c r="M62" s="30" t="inlineStr">
        <is>
          <t>Tierra sobra en 4.° (−3,4) y falta en 3.° (+3); afín a volcanes.</t>
        </is>
      </c>
      <c r="N62" s="30" t="inlineStr">
        <is>
          <t>media</t>
        </is>
      </c>
      <c r="O62" s="30" t="n">
        <v>0</v>
      </c>
      <c r="P62" s="19">
        <f>IF(D62="reubicar","Opcional (no cambia el total)",IF(E62="cobertura","Sí (cobertura)",IF(D62="insertar",IF(G62&lt;=IFERROR(INDEX($G$6:$G$20,MATCH(B62,$A$6:$A$20,0)),0),"Sí","Reserva"),IF(SUMIFS($O$24:$O$191,$B$24:$B$191,B62,$D$24:$D$191,"fusionar",$G$24:$G$191,"&lt;"&amp;G62)&lt;IFERROR(INDEX($I$6:$I$20,MATCH(B62,$A$6:$A$20,0)),0),"Sí","Reserva"))))</f>
        <v/>
      </c>
      <c r="Q62" s="31" t="inlineStr"/>
    </row>
    <row r="63">
      <c r="A63" s="30" t="inlineStr">
        <is>
          <t>2-4-R05</t>
        </is>
      </c>
      <c r="B63" s="30">
        <f>"2-4|"&amp;F63</f>
        <v/>
      </c>
      <c r="C63" s="30" t="inlineStr">
        <is>
          <t>Ciclo 2°–4°</t>
        </is>
      </c>
      <c r="D63" s="30" t="inlineStr">
        <is>
          <t>reubicar</t>
        </is>
      </c>
      <c r="E63" s="30" t="inlineStr"/>
      <c r="F63" s="30" t="inlineStr">
        <is>
          <t>Ciencias de la Tierra</t>
        </is>
      </c>
      <c r="G63" s="30" t="n">
        <v>2</v>
      </c>
      <c r="H63" s="30" t="n">
        <v>3</v>
      </c>
      <c r="I63" s="30" t="inlineStr">
        <is>
          <t>2. Interacciones terrestres.</t>
        </is>
      </c>
      <c r="J63" s="30" t="inlineStr">
        <is>
          <t>T0810-G04-CIE · 4.° · 3.13. Simulación del origen y comportamiento de algunos fenómenos geológicos.</t>
        </is>
      </c>
      <c r="K63" s="30" t="inlineStr">
        <is>
          <t>T4_27-E1.2</t>
        </is>
      </c>
      <c r="L63" s="30" t="inlineStr">
        <is>
          <t>Simulación del origen y comportamiento de fenómenos geológicos, junto a rocas y volcanes.</t>
        </is>
      </c>
      <c r="M63" s="30" t="inlineStr">
        <is>
          <t>Acompaña a T0809; mismo equilibrio 4.°→3.° en Tierra.</t>
        </is>
      </c>
      <c r="N63" s="30" t="inlineStr">
        <is>
          <t>media</t>
        </is>
      </c>
      <c r="O63" s="30" t="n">
        <v>0</v>
      </c>
      <c r="P63" s="19">
        <f>IF(D63="reubicar","Opcional (no cambia el total)",IF(E63="cobertura","Sí (cobertura)",IF(D63="insertar",IF(G63&lt;=IFERROR(INDEX($G$6:$G$20,MATCH(B63,$A$6:$A$20,0)),0),"Sí","Reserva"),IF(SUMIFS($O$24:$O$191,$B$24:$B$191,B63,$D$24:$D$191,"fusionar",$G$24:$G$191,"&lt;"&amp;G63)&lt;IFERROR(INDEX($I$6:$I$20,MATCH(B63,$A$6:$A$20,0)),0),"Sí","Reserva"))))</f>
        <v/>
      </c>
      <c r="Q63" s="31" t="inlineStr"/>
    </row>
    <row r="64">
      <c r="A64" s="30" t="inlineStr">
        <is>
          <t>2-4-R06</t>
        </is>
      </c>
      <c r="B64" s="30">
        <f>"2-4|"&amp;F64</f>
        <v/>
      </c>
      <c r="C64" s="30" t="inlineStr">
        <is>
          <t>Ciclo 2°–4°</t>
        </is>
      </c>
      <c r="D64" s="30" t="inlineStr">
        <is>
          <t>reubicar</t>
        </is>
      </c>
      <c r="E64" s="30" t="inlineStr"/>
      <c r="F64" s="30" t="inlineStr">
        <is>
          <t>Ciencias de la Tierra</t>
        </is>
      </c>
      <c r="G64" s="30" t="n">
        <v>3</v>
      </c>
      <c r="H64" s="30" t="n">
        <v>2</v>
      </c>
      <c r="I64" s="30" t="inlineStr">
        <is>
          <t>6. Ambiente y salud.</t>
        </is>
      </c>
      <c r="J64" s="30" t="inlineStr">
        <is>
          <t>T0806-G04-CIE · 4.° · 3.9. Indagación sobre la diversidad de fenómenos naturales de tipo hidrometeorológico.</t>
        </is>
      </c>
      <c r="K64" s="30" t="inlineStr">
        <is>
          <t>T4_27-E2.1</t>
        </is>
      </c>
      <c r="L64" s="30" t="inlineStr">
        <is>
          <t>Indagación de fenómenos hidrometeorológicos, junto a «Amenazas naturales» de 2.°.</t>
        </is>
      </c>
      <c r="M64" s="30" t="inlineStr">
        <is>
          <t>Tierra falta en 2.° (+3,8); Colombia introduce el tiempo atmosférico en 2.°.</t>
        </is>
      </c>
      <c r="N64" s="30" t="inlineStr">
        <is>
          <t>baja</t>
        </is>
      </c>
      <c r="O64" s="30" t="n">
        <v>0</v>
      </c>
      <c r="P64" s="19">
        <f>IF(D64="reubicar","Opcional (no cambia el total)",IF(E64="cobertura","Sí (cobertura)",IF(D64="insertar",IF(G64&lt;=IFERROR(INDEX($G$6:$G$20,MATCH(B64,$A$6:$A$20,0)),0),"Sí","Reserva"),IF(SUMIFS($O$24:$O$191,$B$24:$B$191,B64,$D$24:$D$191,"fusionar",$G$24:$G$191,"&lt;"&amp;G64)&lt;IFERROR(INDEX($I$6:$I$20,MATCH(B64,$A$6:$A$20,0)),0),"Sí","Reserva"))))</f>
        <v/>
      </c>
      <c r="Q64" s="31" t="inlineStr"/>
    </row>
    <row r="65">
      <c r="A65" s="30" t="inlineStr">
        <is>
          <t>2-4-R01</t>
        </is>
      </c>
      <c r="B65" s="30">
        <f>"2-4|"&amp;F65</f>
        <v/>
      </c>
      <c r="C65" s="30" t="inlineStr">
        <is>
          <t>Ciclo 2°–4°</t>
        </is>
      </c>
      <c r="D65" s="30" t="inlineStr">
        <is>
          <t>reubicar</t>
        </is>
      </c>
      <c r="E65" s="30" t="inlineStr"/>
      <c r="F65" s="30" t="inlineStr">
        <is>
          <t>Ciencias físicas</t>
        </is>
      </c>
      <c r="G65" s="30" t="n">
        <v>1</v>
      </c>
      <c r="H65" s="30" t="n">
        <v>4</v>
      </c>
      <c r="I65" s="30" t="inlineStr">
        <is>
          <t>1. Máquinas y energía.</t>
        </is>
      </c>
      <c r="J65" s="30" t="inlineStr">
        <is>
          <t>T0658-G02-CIE · 2.° · 2.8. Experimentación con distintas transformaciones energéticas comunes.</t>
        </is>
      </c>
      <c r="K65" s="30" t="inlineStr">
        <is>
          <t>T4_27-P4.1</t>
        </is>
      </c>
      <c r="L65" s="30" t="inlineStr">
        <is>
          <t>Experimentación con transformaciones energéticas comunes, junto al contenido «Transformaciones de la energía» de 4.°.</t>
        </is>
      </c>
      <c r="M65" s="30" t="inlineStr">
        <is>
          <t>Física sobra en 2.° (−6,4) y falta en 4.° (+13).</t>
        </is>
      </c>
      <c r="N65" s="30" t="inlineStr">
        <is>
          <t>alta</t>
        </is>
      </c>
      <c r="O65" s="30" t="n">
        <v>0</v>
      </c>
      <c r="P65" s="19">
        <f>IF(D65="reubicar","Opcional (no cambia el total)",IF(E65="cobertura","Sí (cobertura)",IF(D65="insertar",IF(G65&lt;=IFERROR(INDEX($G$6:$G$20,MATCH(B65,$A$6:$A$20,0)),0),"Sí","Reserva"),IF(SUMIFS($O$24:$O$191,$B$24:$B$191,B65,$D$24:$D$191,"fusionar",$G$24:$G$191,"&lt;"&amp;G65)&lt;IFERROR(INDEX($I$6:$I$20,MATCH(B65,$A$6:$A$20,0)),0),"Sí","Reserva"))))</f>
        <v/>
      </c>
      <c r="Q65" s="31" t="inlineStr"/>
    </row>
    <row r="66">
      <c r="A66" s="30" t="inlineStr">
        <is>
          <t>2-4-R02</t>
        </is>
      </c>
      <c r="B66" s="30">
        <f>"2-4|"&amp;F66</f>
        <v/>
      </c>
      <c r="C66" s="30" t="inlineStr">
        <is>
          <t>Ciclo 2°–4°</t>
        </is>
      </c>
      <c r="D66" s="30" t="inlineStr">
        <is>
          <t>reubicar</t>
        </is>
      </c>
      <c r="E66" s="30" t="inlineStr"/>
      <c r="F66" s="30" t="inlineStr">
        <is>
          <t>Ciencias físicas</t>
        </is>
      </c>
      <c r="G66" s="30" t="n">
        <v>2</v>
      </c>
      <c r="H66" s="30" t="n">
        <v>3</v>
      </c>
      <c r="I66" s="30" t="inlineStr">
        <is>
          <t>1. Medidas y fuerzas.</t>
        </is>
      </c>
      <c r="J66" s="30" t="inlineStr">
        <is>
          <t>T0651-G02-CIE · 2.° · 2.1. Experimentación con la energía mecánica, utilizando objetos de su entorno.</t>
        </is>
      </c>
      <c r="K66" s="30" t="inlineStr">
        <is>
          <t>T4_27-P5.1</t>
        </is>
      </c>
      <c r="L66" s="30" t="inlineStr">
        <is>
          <t>Experimentación con la energía mecánica de objetos del entorno, vinculada a fuerzas y movimiento.</t>
        </is>
      </c>
      <c r="M66" s="30" t="inlineStr">
        <is>
          <t>Física sobra en 2.° y falta en 3.° (+2); encaja con fuerzas.</t>
        </is>
      </c>
      <c r="N66" s="30" t="inlineStr">
        <is>
          <t>media</t>
        </is>
      </c>
      <c r="O66" s="30" t="n">
        <v>0</v>
      </c>
      <c r="P66" s="19">
        <f>IF(D66="reubicar","Opcional (no cambia el total)",IF(E66="cobertura","Sí (cobertura)",IF(D66="insertar",IF(G66&lt;=IFERROR(INDEX($G$6:$G$20,MATCH(B66,$A$6:$A$20,0)),0),"Sí","Reserva"),IF(SUMIFS($O$24:$O$191,$B$24:$B$191,B66,$D$24:$D$191,"fusionar",$G$24:$G$191,"&lt;"&amp;G66)&lt;IFERROR(INDEX($I$6:$I$20,MATCH(B66,$A$6:$A$20,0)),0),"Sí","Reserva"))))</f>
        <v/>
      </c>
      <c r="Q66" s="31" t="inlineStr"/>
    </row>
    <row r="67">
      <c r="A67" s="30" t="inlineStr">
        <is>
          <t>5-8-I01</t>
        </is>
      </c>
      <c r="B67" s="30">
        <f>"5-8|"&amp;F67</f>
        <v/>
      </c>
      <c r="C67" s="30" t="inlineStr">
        <is>
          <t>Ciclo 5°–8°</t>
        </is>
      </c>
      <c r="D67" s="30" t="inlineStr">
        <is>
          <t>insertar</t>
        </is>
      </c>
      <c r="E67" s="30" t="inlineStr">
        <is>
          <t>balance</t>
        </is>
      </c>
      <c r="F67" s="30" t="inlineStr">
        <is>
          <t>Biología</t>
        </is>
      </c>
      <c r="G67" s="30" t="n">
        <v>1</v>
      </c>
      <c r="H67" s="30" t="n">
        <v>8</v>
      </c>
      <c r="I67" s="30" t="inlineStr">
        <is>
          <t>7. Anatomía y Fisiología Animal</t>
        </is>
      </c>
      <c r="J67" s="30" t="inlineStr"/>
      <c r="K67" s="30" t="inlineStr">
        <is>
          <t>T8_27-B6.1</t>
        </is>
      </c>
      <c r="L67" s="30" t="inlineStr">
        <is>
          <t>Indagación de las causas, formas de transmisión y prevención de enfermedades infecciosas, y del papel del sistema inmunitario, las vacunas y el uso responsable de antibióticos.</t>
        </is>
      </c>
      <c r="M67" s="30" t="inlineStr">
        <is>
          <t>B6.1 solo tiene un tema secundario; Uruguay y Colombia lo trabajan desde 6.°; cierra la unidad de sistemas.</t>
        </is>
      </c>
      <c r="N67" s="30" t="inlineStr">
        <is>
          <t>alta</t>
        </is>
      </c>
      <c r="O67" s="30" t="n">
        <v>0</v>
      </c>
      <c r="P67" s="19">
        <f>IF(D67="reubicar","Opcional (no cambia el total)",IF(E67="cobertura","Sí (cobertura)",IF(D67="insertar",IF(G67&lt;=IFERROR(INDEX($G$6:$G$20,MATCH(B67,$A$6:$A$20,0)),0),"Sí","Reserva"),IF(SUMIFS($O$24:$O$191,$B$24:$B$191,B67,$D$24:$D$191,"fusionar",$G$24:$G$191,"&lt;"&amp;G67)&lt;IFERROR(INDEX($I$6:$I$20,MATCH(B67,$A$6:$A$20,0)),0),"Sí","Reserva"))))</f>
        <v/>
      </c>
      <c r="Q67" s="31" t="inlineStr"/>
    </row>
    <row r="68">
      <c r="A68" s="30" t="inlineStr">
        <is>
          <t>5-8-I02</t>
        </is>
      </c>
      <c r="B68" s="30">
        <f>"5-8|"&amp;F68</f>
        <v/>
      </c>
      <c r="C68" s="30" t="inlineStr">
        <is>
          <t>Ciclo 5°–8°</t>
        </is>
      </c>
      <c r="D68" s="30" t="inlineStr">
        <is>
          <t>insertar</t>
        </is>
      </c>
      <c r="E68" s="30" t="inlineStr">
        <is>
          <t>balance</t>
        </is>
      </c>
      <c r="F68" s="30" t="inlineStr">
        <is>
          <t>Biología</t>
        </is>
      </c>
      <c r="G68" s="30" t="n">
        <v>2</v>
      </c>
      <c r="H68" s="30" t="n">
        <v>5</v>
      </c>
      <c r="I68" s="30" t="inlineStr">
        <is>
          <t>6. Ciencias de la Tierra.</t>
        </is>
      </c>
      <c r="J68" s="30" t="inlineStr"/>
      <c r="K68" s="30" t="inlineStr">
        <is>
          <t>T8_27-B5.2</t>
        </is>
      </c>
      <c r="L68" s="30" t="inlineStr">
        <is>
          <t>Construcción de cadenas y redes tróficas de un ecosistema local para representar el flujo de energía entre productores, consumidores y descomponedores.</t>
        </is>
      </c>
      <c r="M68" s="30" t="inlineStr">
        <is>
          <t>B5.2 débil (1 tema, en 7.°); los tres países lo introducen en 6.°; 5.° tiene la mayor brecha biológica.</t>
        </is>
      </c>
      <c r="N68" s="30" t="inlineStr">
        <is>
          <t>media</t>
        </is>
      </c>
      <c r="O68" s="30" t="n">
        <v>0</v>
      </c>
      <c r="P68" s="19">
        <f>IF(D68="reubicar","Opcional (no cambia el total)",IF(E68="cobertura","Sí (cobertura)",IF(D68="insertar",IF(G68&lt;=IFERROR(INDEX($G$6:$G$20,MATCH(B68,$A$6:$A$20,0)),0),"Sí","Reserva"),IF(SUMIFS($O$24:$O$191,$B$24:$B$191,B68,$D$24:$D$191,"fusionar",$G$24:$G$191,"&lt;"&amp;G68)&lt;IFERROR(INDEX($I$6:$I$20,MATCH(B68,$A$6:$A$20,0)),0),"Sí","Reserva"))))</f>
        <v/>
      </c>
      <c r="Q68" s="31" t="inlineStr"/>
    </row>
    <row r="69">
      <c r="A69" s="30" t="inlineStr">
        <is>
          <t>5-8-I03</t>
        </is>
      </c>
      <c r="B69" s="30">
        <f>"5-8|"&amp;F69</f>
        <v/>
      </c>
      <c r="C69" s="30" t="inlineStr">
        <is>
          <t>Ciclo 5°–8°</t>
        </is>
      </c>
      <c r="D69" s="30" t="inlineStr">
        <is>
          <t>insertar</t>
        </is>
      </c>
      <c r="E69" s="30" t="inlineStr">
        <is>
          <t>balance</t>
        </is>
      </c>
      <c r="F69" s="30" t="inlineStr">
        <is>
          <t>Biología</t>
        </is>
      </c>
      <c r="G69" s="30" t="n">
        <v>3</v>
      </c>
      <c r="H69" s="30" t="n">
        <v>5</v>
      </c>
      <c r="I69" s="30" t="inlineStr">
        <is>
          <t>6. Ciencias de la Tierra.</t>
        </is>
      </c>
      <c r="J69" s="30" t="inlineStr"/>
      <c r="K69" s="30" t="inlineStr">
        <is>
          <t>T8_27-B5.3, T8_27-E2.2</t>
        </is>
      </c>
      <c r="L69" s="30" t="inlineStr">
        <is>
          <t>Modelación de los ciclos del carbono, del oxígeno y del agua entre seres vivos, suelo y atmósfera, destacando la descomposición de la materia orgánica.</t>
        </is>
      </c>
      <c r="M69" s="30" t="inlineStr">
        <is>
          <t>B5.3 sin tema principal; Singapur lo introduce en 5.°; enlaza con el bloque de suelo de 5.°.</t>
        </is>
      </c>
      <c r="N69" s="30" t="inlineStr">
        <is>
          <t>media</t>
        </is>
      </c>
      <c r="O69" s="30" t="n">
        <v>0</v>
      </c>
      <c r="P69" s="19">
        <f>IF(D69="reubicar","Opcional (no cambia el total)",IF(E69="cobertura","Sí (cobertura)",IF(D69="insertar",IF(G69&lt;=IFERROR(INDEX($G$6:$G$20,MATCH(B69,$A$6:$A$20,0)),0),"Sí","Reserva"),IF(SUMIFS($O$24:$O$191,$B$24:$B$191,B69,$D$24:$D$191,"fusionar",$G$24:$G$191,"&lt;"&amp;G69)&lt;IFERROR(INDEX($I$6:$I$20,MATCH(B69,$A$6:$A$20,0)),0),"Sí","Reserva"))))</f>
        <v/>
      </c>
      <c r="Q69" s="31" t="inlineStr"/>
    </row>
    <row r="70">
      <c r="A70" s="30" t="inlineStr">
        <is>
          <t>5-8-I04</t>
        </is>
      </c>
      <c r="B70" s="30">
        <f>"5-8|"&amp;F70</f>
        <v/>
      </c>
      <c r="C70" s="30" t="inlineStr">
        <is>
          <t>Ciclo 5°–8°</t>
        </is>
      </c>
      <c r="D70" s="30" t="inlineStr">
        <is>
          <t>insertar</t>
        </is>
      </c>
      <c r="E70" s="30" t="inlineStr">
        <is>
          <t>balance</t>
        </is>
      </c>
      <c r="F70" s="30" t="inlineStr">
        <is>
          <t>Biología</t>
        </is>
      </c>
      <c r="G70" s="30" t="n">
        <v>4</v>
      </c>
      <c r="H70" s="30" t="n">
        <v>8</v>
      </c>
      <c r="I70" s="30" t="inlineStr">
        <is>
          <t>7. Anatomía y Fisiología Animal</t>
        </is>
      </c>
      <c r="J70" s="30" t="inlineStr"/>
      <c r="K70" s="30" t="inlineStr">
        <is>
          <t>T8_27-B6.2, T8_27-B1.2</t>
        </is>
      </c>
      <c r="L70" s="30" t="inlineStr">
        <is>
          <t>Análisis de la dieta, la actividad física y el descanso como hábitos que mantienen sanos los sistemas digestivo, circulatorio y respiratorio.</t>
        </is>
      </c>
      <c r="M70" s="30" t="inlineStr">
        <is>
          <t>B6.2 débil (2 temas, ninguno en 8.°); encaja tras sistemas digestivos y respiratorio-circulatorio.</t>
        </is>
      </c>
      <c r="N70" s="30" t="inlineStr">
        <is>
          <t>alta</t>
        </is>
      </c>
      <c r="O70" s="30" t="n">
        <v>0</v>
      </c>
      <c r="P70" s="19">
        <f>IF(D70="reubicar","Opcional (no cambia el total)",IF(E70="cobertura","Sí (cobertura)",IF(D70="insertar",IF(G70&lt;=IFERROR(INDEX($G$6:$G$20,MATCH(B70,$A$6:$A$20,0)),0),"Sí","Reserva"),IF(SUMIFS($O$24:$O$191,$B$24:$B$191,B70,$D$24:$D$191,"fusionar",$G$24:$G$191,"&lt;"&amp;G70)&lt;IFERROR(INDEX($I$6:$I$20,MATCH(B70,$A$6:$A$20,0)),0),"Sí","Reserva"))))</f>
        <v/>
      </c>
      <c r="Q70" s="31" t="inlineStr"/>
    </row>
    <row r="71">
      <c r="A71" s="30" t="inlineStr">
        <is>
          <t>5-8-I05</t>
        </is>
      </c>
      <c r="B71" s="30">
        <f>"5-8|"&amp;F71</f>
        <v/>
      </c>
      <c r="C71" s="30" t="inlineStr">
        <is>
          <t>Ciclo 5°–8°</t>
        </is>
      </c>
      <c r="D71" s="30" t="inlineStr">
        <is>
          <t>insertar</t>
        </is>
      </c>
      <c r="E71" s="30" t="inlineStr">
        <is>
          <t>balance</t>
        </is>
      </c>
      <c r="F71" s="30" t="inlineStr">
        <is>
          <t>Biología</t>
        </is>
      </c>
      <c r="G71" s="30" t="n">
        <v>5</v>
      </c>
      <c r="H71" s="30" t="n">
        <v>5</v>
      </c>
      <c r="I71" s="30" t="inlineStr">
        <is>
          <t>6. Ciencias de la Tierra.</t>
        </is>
      </c>
      <c r="J71" s="30" t="inlineStr"/>
      <c r="K71" s="30" t="inlineStr">
        <is>
          <t>T8_27-B5.1, T8_27-B5.6</t>
        </is>
      </c>
      <c r="L71" s="30" t="inlineStr">
        <is>
          <t>Comparación de ecosistemas naturales, rurales y urbanos de El Salvador a partir del cambio de cobertura y uso del suelo.</t>
        </is>
      </c>
      <c r="M71" s="30" t="inlineStr">
        <is>
          <t>B5.1 con 4 temas solo en 7.°; Colombia y Singapur lo introducen en 6.°; continúa «Usos del suelo».</t>
        </is>
      </c>
      <c r="N71" s="30" t="inlineStr">
        <is>
          <t>media</t>
        </is>
      </c>
      <c r="O71" s="30" t="n">
        <v>0</v>
      </c>
      <c r="P71" s="19">
        <f>IF(D71="reubicar","Opcional (no cambia el total)",IF(E71="cobertura","Sí (cobertura)",IF(D71="insertar",IF(G71&lt;=IFERROR(INDEX($G$6:$G$20,MATCH(B71,$A$6:$A$20,0)),0),"Sí","Reserva"),IF(SUMIFS($O$24:$O$191,$B$24:$B$191,B71,$D$24:$D$191,"fusionar",$G$24:$G$191,"&lt;"&amp;G71)&lt;IFERROR(INDEX($I$6:$I$20,MATCH(B71,$A$6:$A$20,0)),0),"Sí","Reserva"))))</f>
        <v/>
      </c>
      <c r="Q71" s="31" t="inlineStr"/>
    </row>
    <row r="72">
      <c r="A72" s="30" t="inlineStr">
        <is>
          <t>5-8-I06</t>
        </is>
      </c>
      <c r="B72" s="30">
        <f>"5-8|"&amp;F72</f>
        <v/>
      </c>
      <c r="C72" s="30" t="inlineStr">
        <is>
          <t>Ciclo 5°–8°</t>
        </is>
      </c>
      <c r="D72" s="30" t="inlineStr">
        <is>
          <t>insertar</t>
        </is>
      </c>
      <c r="E72" s="30" t="inlineStr">
        <is>
          <t>balance</t>
        </is>
      </c>
      <c r="F72" s="30" t="inlineStr">
        <is>
          <t>Biología</t>
        </is>
      </c>
      <c r="G72" s="30" t="n">
        <v>6</v>
      </c>
      <c r="H72" s="30" t="n">
        <v>5</v>
      </c>
      <c r="I72" s="30" t="inlineStr">
        <is>
          <t>6. Ciencias de la Tierra.</t>
        </is>
      </c>
      <c r="J72" s="30" t="inlineStr"/>
      <c r="K72" s="30" t="inlineStr">
        <is>
          <t>T8_27-B5.5</t>
        </is>
      </c>
      <c r="L72" s="30" t="inlineStr">
        <is>
          <t>Análisis de los factores (alimento, depredadores, enfermedades, espacio, actividad humana) que hacen variar el tamaño de una población local.</t>
        </is>
      </c>
      <c r="M72" s="30" t="inlineStr">
        <is>
          <t>B5.5 con 4 temas en 6.°–7.°; los tres países lo introducen en 6.°; suma Biología a 5.°.</t>
        </is>
      </c>
      <c r="N72" s="30" t="inlineStr">
        <is>
          <t>baja</t>
        </is>
      </c>
      <c r="O72" s="30" t="n">
        <v>0</v>
      </c>
      <c r="P72" s="19">
        <f>IF(D72="reubicar","Opcional (no cambia el total)",IF(E72="cobertura","Sí (cobertura)",IF(D72="insertar",IF(G72&lt;=IFERROR(INDEX($G$6:$G$20,MATCH(B72,$A$6:$A$20,0)),0),"Sí","Reserva"),IF(SUMIFS($O$24:$O$191,$B$24:$B$191,B72,$D$24:$D$191,"fusionar",$G$24:$G$191,"&lt;"&amp;G72)&lt;IFERROR(INDEX($I$6:$I$20,MATCH(B72,$A$6:$A$20,0)),0),"Sí","Reserva"))))</f>
        <v/>
      </c>
      <c r="Q72" s="31" t="inlineStr"/>
    </row>
    <row r="73">
      <c r="A73" s="30" t="inlineStr">
        <is>
          <t>5-8-I07</t>
        </is>
      </c>
      <c r="B73" s="30">
        <f>"5-8|"&amp;F73</f>
        <v/>
      </c>
      <c r="C73" s="30" t="inlineStr">
        <is>
          <t>Ciclo 5°–8°</t>
        </is>
      </c>
      <c r="D73" s="30" t="inlineStr">
        <is>
          <t>insertar</t>
        </is>
      </c>
      <c r="E73" s="30" t="inlineStr">
        <is>
          <t>balance</t>
        </is>
      </c>
      <c r="F73" s="30" t="inlineStr">
        <is>
          <t>Ciencias de la Tierra</t>
        </is>
      </c>
      <c r="G73" s="30" t="n">
        <v>1</v>
      </c>
      <c r="H73" s="30" t="n">
        <v>8</v>
      </c>
      <c r="I73" s="30" t="inlineStr">
        <is>
          <t>1. Mecánica</t>
        </is>
      </c>
      <c r="J73" s="30" t="inlineStr"/>
      <c r="K73" s="30" t="inlineStr">
        <is>
          <t>T8_27-E4.1</t>
        </is>
      </c>
      <c r="L73" s="30" t="inlineStr">
        <is>
          <t>Modelación de la rotación y la traslación de la Tierra para explicar el día y la noche, la duración del año y, con la inclinación del eje, las estaciones.</t>
        </is>
      </c>
      <c r="M73" s="30" t="inlineStr">
        <is>
          <t>E4.1 sin ningún tema en el ciclo; aplica el movimiento circular y de rotación de 8.°.</t>
        </is>
      </c>
      <c r="N73" s="30" t="inlineStr">
        <is>
          <t>alta</t>
        </is>
      </c>
      <c r="O73" s="30" t="n">
        <v>0</v>
      </c>
      <c r="P73" s="19">
        <f>IF(D73="reubicar","Opcional (no cambia el total)",IF(E73="cobertura","Sí (cobertura)",IF(D73="insertar",IF(G73&lt;=IFERROR(INDEX($G$6:$G$20,MATCH(B73,$A$6:$A$20,0)),0),"Sí","Reserva"),IF(SUMIFS($O$24:$O$191,$B$24:$B$191,B73,$D$24:$D$191,"fusionar",$G$24:$G$191,"&lt;"&amp;G73)&lt;IFERROR(INDEX($I$6:$I$20,MATCH(B73,$A$6:$A$20,0)),0),"Sí","Reserva"))))</f>
        <v/>
      </c>
      <c r="Q73" s="31" t="inlineStr"/>
    </row>
    <row r="74">
      <c r="A74" s="30" t="inlineStr">
        <is>
          <t>5-8-I08</t>
        </is>
      </c>
      <c r="B74" s="30">
        <f>"5-8|"&amp;F74</f>
        <v/>
      </c>
      <c r="C74" s="30" t="inlineStr">
        <is>
          <t>Ciclo 5°–8°</t>
        </is>
      </c>
      <c r="D74" s="30" t="inlineStr">
        <is>
          <t>insertar</t>
        </is>
      </c>
      <c r="E74" s="30" t="inlineStr">
        <is>
          <t>balance</t>
        </is>
      </c>
      <c r="F74" s="30" t="inlineStr">
        <is>
          <t>Ciencias de la Tierra</t>
        </is>
      </c>
      <c r="G74" s="30" t="n">
        <v>2</v>
      </c>
      <c r="H74" s="30" t="n">
        <v>8</v>
      </c>
      <c r="I74" s="30" t="inlineStr">
        <is>
          <t>5. Minerales</t>
        </is>
      </c>
      <c r="J74" s="30" t="inlineStr"/>
      <c r="K74" s="30" t="inlineStr">
        <is>
          <t>T8_27-E5.1, T8_27-E1.2</t>
        </is>
      </c>
      <c r="L74" s="30" t="inlineStr">
        <is>
          <t>Uso de lupa, escala de Mohs, brújula, GPS y libreta de campo para recolectar, medir y registrar datos de rocas y minerales del entorno.</t>
        </is>
      </c>
      <c r="M74" s="30" t="inlineStr">
        <is>
          <t>E5.1 (equipo de investigación en Tierra) sin ningún tema; encaja con la caracterización de minerales.</t>
        </is>
      </c>
      <c r="N74" s="30" t="inlineStr">
        <is>
          <t>alta</t>
        </is>
      </c>
      <c r="O74" s="30" t="n">
        <v>0</v>
      </c>
      <c r="P74" s="19">
        <f>IF(D74="reubicar","Opcional (no cambia el total)",IF(E74="cobertura","Sí (cobertura)",IF(D74="insertar",IF(G74&lt;=IFERROR(INDEX($G$6:$G$20,MATCH(B74,$A$6:$A$20,0)),0),"Sí","Reserva"),IF(SUMIFS($O$24:$O$191,$B$24:$B$191,B74,$D$24:$D$191,"fusionar",$G$24:$G$191,"&lt;"&amp;G74)&lt;IFERROR(INDEX($I$6:$I$20,MATCH(B74,$A$6:$A$20,0)),0),"Sí","Reserva"))))</f>
        <v/>
      </c>
      <c r="Q74" s="31" t="inlineStr"/>
    </row>
    <row r="75">
      <c r="A75" s="30" t="inlineStr">
        <is>
          <t>5-8-I09</t>
        </is>
      </c>
      <c r="B75" s="30">
        <f>"5-8|"&amp;F75</f>
        <v/>
      </c>
      <c r="C75" s="30" t="inlineStr">
        <is>
          <t>Ciclo 5°–8°</t>
        </is>
      </c>
      <c r="D75" s="30" t="inlineStr">
        <is>
          <t>insertar</t>
        </is>
      </c>
      <c r="E75" s="30" t="inlineStr">
        <is>
          <t>balance</t>
        </is>
      </c>
      <c r="F75" s="30" t="inlineStr">
        <is>
          <t>Ciencias de la Tierra</t>
        </is>
      </c>
      <c r="G75" s="30" t="n">
        <v>3</v>
      </c>
      <c r="H75" s="30" t="n">
        <v>8</v>
      </c>
      <c r="I75" s="30" t="inlineStr">
        <is>
          <t>1. Mecánica</t>
        </is>
      </c>
      <c r="J75" s="30" t="inlineStr"/>
      <c r="K75" s="30" t="inlineStr">
        <is>
          <t>T8_27-E4.1</t>
        </is>
      </c>
      <c r="L75" s="30" t="inlineStr">
        <is>
          <t>Modelación de las fases de la Luna, los eclipses y las mareas a partir de las posiciones relativas del Sol, la Tierra y la Luna.</t>
        </is>
      </c>
      <c r="M75" s="30" t="inlineStr">
        <is>
          <t>Completa E4.1 (0 temas); Uruguay lo trabaja desde 5.°; usa la gravitación y la rotación de 8.°.</t>
        </is>
      </c>
      <c r="N75" s="30" t="inlineStr">
        <is>
          <t>media</t>
        </is>
      </c>
      <c r="O75" s="30" t="n">
        <v>0</v>
      </c>
      <c r="P75" s="19">
        <f>IF(D75="reubicar","Opcional (no cambia el total)",IF(E75="cobertura","Sí (cobertura)",IF(D75="insertar",IF(G75&lt;=IFERROR(INDEX($G$6:$G$20,MATCH(B75,$A$6:$A$20,0)),0),"Sí","Reserva"),IF(SUMIFS($O$24:$O$191,$B$24:$B$191,B75,$D$24:$D$191,"fusionar",$G$24:$G$191,"&lt;"&amp;G75)&lt;IFERROR(INDEX($I$6:$I$20,MATCH(B75,$A$6:$A$20,0)),0),"Sí","Reserva"))))</f>
        <v/>
      </c>
      <c r="Q75" s="31" t="inlineStr"/>
    </row>
    <row r="76">
      <c r="A76" s="30" t="inlineStr">
        <is>
          <t>5-8-I10</t>
        </is>
      </c>
      <c r="B76" s="30">
        <f>"5-8|"&amp;F76</f>
        <v/>
      </c>
      <c r="C76" s="30" t="inlineStr">
        <is>
          <t>Ciclo 5°–8°</t>
        </is>
      </c>
      <c r="D76" s="30" t="inlineStr">
        <is>
          <t>insertar</t>
        </is>
      </c>
      <c r="E76" s="30" t="inlineStr">
        <is>
          <t>balance</t>
        </is>
      </c>
      <c r="F76" s="30" t="inlineStr">
        <is>
          <t>Ciencias de la Tierra</t>
        </is>
      </c>
      <c r="G76" s="30" t="n">
        <v>4</v>
      </c>
      <c r="H76" s="30" t="n">
        <v>6</v>
      </c>
      <c r="I76" s="30" t="inlineStr">
        <is>
          <t>1. Fluidos.</t>
        </is>
      </c>
      <c r="J76" s="30" t="inlineStr"/>
      <c r="K76" s="30" t="inlineStr">
        <is>
          <t>T8_27-E2.1</t>
        </is>
      </c>
      <c r="L76" s="30" t="inlineStr">
        <is>
          <t>Experimentación con la presión atmosférica y la composición del aire, relacionando su variación con la altitud en El Salvador.</t>
        </is>
      </c>
      <c r="M76" s="30" t="inlineStr">
        <is>
          <t>E2.1 débil (2 temas en 7.°); Singapur lo introduce en 5.°; aplica presión en fluidos de 6.°.</t>
        </is>
      </c>
      <c r="N76" s="30" t="inlineStr">
        <is>
          <t>alta</t>
        </is>
      </c>
      <c r="O76" s="30" t="n">
        <v>0</v>
      </c>
      <c r="P76" s="19">
        <f>IF(D76="reubicar","Opcional (no cambia el total)",IF(E76="cobertura","Sí (cobertura)",IF(D76="insertar",IF(G76&lt;=IFERROR(INDEX($G$6:$G$20,MATCH(B76,$A$6:$A$20,0)),0),"Sí","Reserva"),IF(SUMIFS($O$24:$O$191,$B$24:$B$191,B76,$D$24:$D$191,"fusionar",$G$24:$G$191,"&lt;"&amp;G76)&lt;IFERROR(INDEX($I$6:$I$20,MATCH(B76,$A$6:$A$20,0)),0),"Sí","Reserva"))))</f>
        <v/>
      </c>
      <c r="Q76" s="31" t="inlineStr"/>
    </row>
    <row r="77">
      <c r="A77" s="30" t="inlineStr">
        <is>
          <t>5-8-I11</t>
        </is>
      </c>
      <c r="B77" s="30">
        <f>"5-8|"&amp;F77</f>
        <v/>
      </c>
      <c r="C77" s="30" t="inlineStr">
        <is>
          <t>Ciclo 5°–8°</t>
        </is>
      </c>
      <c r="D77" s="30" t="inlineStr">
        <is>
          <t>insertar</t>
        </is>
      </c>
      <c r="E77" s="30" t="inlineStr">
        <is>
          <t>balance</t>
        </is>
      </c>
      <c r="F77" s="30" t="inlineStr">
        <is>
          <t>Ciencias de la Tierra</t>
        </is>
      </c>
      <c r="G77" s="30" t="n">
        <v>5</v>
      </c>
      <c r="H77" s="30" t="n">
        <v>8</v>
      </c>
      <c r="I77" s="30" t="inlineStr">
        <is>
          <t>1. Mecánica</t>
        </is>
      </c>
      <c r="J77" s="30" t="inlineStr"/>
      <c r="K77" s="30" t="inlineStr">
        <is>
          <t>T8_27-E4.2, T8_27-P5.2</t>
        </is>
      </c>
      <c r="L77" s="30" t="inlineStr">
        <is>
          <t>Relación de la gravedad con las órbitas de planetas y satélites del sistema solar a partir de datos de distancia y período orbital.</t>
        </is>
      </c>
      <c r="M77" s="30" t="inlineStr">
        <is>
          <t>E4.2 débil (2 temas, solo en 5.°); aprovecha las leyes de Newton de 8.°.</t>
        </is>
      </c>
      <c r="N77" s="30" t="inlineStr">
        <is>
          <t>media</t>
        </is>
      </c>
      <c r="O77" s="30" t="n">
        <v>0</v>
      </c>
      <c r="P77" s="19">
        <f>IF(D77="reubicar","Opcional (no cambia el total)",IF(E77="cobertura","Sí (cobertura)",IF(D77="insertar",IF(G77&lt;=IFERROR(INDEX($G$6:$G$20,MATCH(B77,$A$6:$A$20,0)),0),"Sí","Reserva"),IF(SUMIFS($O$24:$O$191,$B$24:$B$191,B77,$D$24:$D$191,"fusionar",$G$24:$G$191,"&lt;"&amp;G77)&lt;IFERROR(INDEX($I$6:$I$20,MATCH(B77,$A$6:$A$20,0)),0),"Sí","Reserva"))))</f>
        <v/>
      </c>
      <c r="Q77" s="31" t="inlineStr"/>
    </row>
    <row r="78">
      <c r="A78" s="30" t="inlineStr">
        <is>
          <t>5-8-I12</t>
        </is>
      </c>
      <c r="B78" s="30">
        <f>"5-8|"&amp;F78</f>
        <v/>
      </c>
      <c r="C78" s="30" t="inlineStr">
        <is>
          <t>Ciclo 5°–8°</t>
        </is>
      </c>
      <c r="D78" s="30" t="inlineStr">
        <is>
          <t>insertar</t>
        </is>
      </c>
      <c r="E78" s="30" t="inlineStr">
        <is>
          <t>balance</t>
        </is>
      </c>
      <c r="F78" s="30" t="inlineStr">
        <is>
          <t>Ciencias de la Tierra</t>
        </is>
      </c>
      <c r="G78" s="30" t="n">
        <v>6</v>
      </c>
      <c r="H78" s="30" t="n">
        <v>6</v>
      </c>
      <c r="I78" s="30" t="inlineStr">
        <is>
          <t>2. Calor y temperatura.</t>
        </is>
      </c>
      <c r="J78" s="30" t="inlineStr"/>
      <c r="K78" s="30" t="inlineStr">
        <is>
          <t>T8_27-E2.4, T8_27-P2.2</t>
        </is>
      </c>
      <c r="L78" s="30" t="inlineStr">
        <is>
          <t>Experimentación con la absorción de radiación por gases de efecto invernadero y su relación con el aumento de la temperatura global.</t>
        </is>
      </c>
      <c r="M78" s="30" t="inlineStr">
        <is>
          <t>E2.4 débil (3 temas en 7.°); Uruguay lo inicia en 5.°; usa la radiación térmica de 6.°.</t>
        </is>
      </c>
      <c r="N78" s="30" t="inlineStr">
        <is>
          <t>media</t>
        </is>
      </c>
      <c r="O78" s="30" t="n">
        <v>0</v>
      </c>
      <c r="P78" s="19">
        <f>IF(D78="reubicar","Opcional (no cambia el total)",IF(E78="cobertura","Sí (cobertura)",IF(D78="insertar",IF(G78&lt;=IFERROR(INDEX($G$6:$G$20,MATCH(B78,$A$6:$A$20,0)),0),"Sí","Reserva"),IF(SUMIFS($O$24:$O$191,$B$24:$B$191,B78,$D$24:$D$191,"fusionar",$G$24:$G$191,"&lt;"&amp;G78)&lt;IFERROR(INDEX($I$6:$I$20,MATCH(B78,$A$6:$A$20,0)),0),"Sí","Reserva"))))</f>
        <v/>
      </c>
      <c r="Q78" s="31" t="inlineStr"/>
    </row>
    <row r="79">
      <c r="A79" s="30" t="inlineStr">
        <is>
          <t>5-8-I13</t>
        </is>
      </c>
      <c r="B79" s="30">
        <f>"5-8|"&amp;F79</f>
        <v/>
      </c>
      <c r="C79" s="30" t="inlineStr">
        <is>
          <t>Ciclo 5°–8°</t>
        </is>
      </c>
      <c r="D79" s="30" t="inlineStr">
        <is>
          <t>insertar</t>
        </is>
      </c>
      <c r="E79" s="30" t="inlineStr">
        <is>
          <t>balance</t>
        </is>
      </c>
      <c r="F79" s="30" t="inlineStr">
        <is>
          <t>Ciencias de la Tierra</t>
        </is>
      </c>
      <c r="G79" s="30" t="n">
        <v>7</v>
      </c>
      <c r="H79" s="30" t="n">
        <v>6</v>
      </c>
      <c r="I79" s="30" t="inlineStr">
        <is>
          <t>2. Calor y temperatura.</t>
        </is>
      </c>
      <c r="J79" s="30" t="inlineStr"/>
      <c r="K79" s="30" t="inlineStr">
        <is>
          <t>T8_27-E4.2</t>
        </is>
      </c>
      <c r="L79" s="30" t="inlineStr">
        <is>
          <t>Relación de la temperatura superficial de los planetas con su distancia al Sol y su atmósfera a partir de datos de misiones espaciales.</t>
        </is>
      </c>
      <c r="M79" s="30" t="inlineStr">
        <is>
          <t>E4.2 débil; Colombia y Singapur lo introducen en 6.°; aplica calor y radiación de 6.°.</t>
        </is>
      </c>
      <c r="N79" s="30" t="inlineStr">
        <is>
          <t>baja</t>
        </is>
      </c>
      <c r="O79" s="30" t="n">
        <v>0</v>
      </c>
      <c r="P79" s="19">
        <f>IF(D79="reubicar","Opcional (no cambia el total)",IF(E79="cobertura","Sí (cobertura)",IF(D79="insertar",IF(G79&lt;=IFERROR(INDEX($G$6:$G$20,MATCH(B79,$A$6:$A$20,0)),0),"Sí","Reserva"),IF(SUMIFS($O$24:$O$191,$B$24:$B$191,B79,$D$24:$D$191,"fusionar",$G$24:$G$191,"&lt;"&amp;G79)&lt;IFERROR(INDEX($I$6:$I$20,MATCH(B79,$A$6:$A$20,0)),0),"Sí","Reserva"))))</f>
        <v/>
      </c>
      <c r="Q79" s="31" t="inlineStr"/>
    </row>
    <row r="80">
      <c r="A80" s="30" t="inlineStr">
        <is>
          <t>5-8-I14</t>
        </is>
      </c>
      <c r="B80" s="30">
        <f>"5-8|"&amp;F80</f>
        <v/>
      </c>
      <c r="C80" s="30" t="inlineStr">
        <is>
          <t>Ciclo 5°–8°</t>
        </is>
      </c>
      <c r="D80" s="30" t="inlineStr">
        <is>
          <t>insertar</t>
        </is>
      </c>
      <c r="E80" s="30" t="inlineStr">
        <is>
          <t>balance</t>
        </is>
      </c>
      <c r="F80" s="30" t="inlineStr">
        <is>
          <t>Ciencias de la Tierra</t>
        </is>
      </c>
      <c r="G80" s="30" t="n">
        <v>8</v>
      </c>
      <c r="H80" s="30" t="n">
        <v>8</v>
      </c>
      <c r="I80" s="30" t="inlineStr">
        <is>
          <t>3. Ondas mecánicas</t>
        </is>
      </c>
      <c r="J80" s="30" t="inlineStr"/>
      <c r="K80" s="30" t="inlineStr">
        <is>
          <t>T8_27-E1.1, T8_27-E1.2</t>
        </is>
      </c>
      <c r="L80" s="30" t="inlineStr">
        <is>
          <t>Interpretación de la propagación de las ondas sísmicas P y S para inferir las capas internas de la Tierra.</t>
        </is>
      </c>
      <c r="M80" s="30" t="inlineStr">
        <is>
          <t>E1.1 sin temas en 8.°; las ondas sísmicas son ondas mecánicas, contenido de la unidad 3.</t>
        </is>
      </c>
      <c r="N80" s="30" t="inlineStr">
        <is>
          <t>media</t>
        </is>
      </c>
      <c r="O80" s="30" t="n">
        <v>0</v>
      </c>
      <c r="P80" s="19">
        <f>IF(D80="reubicar","Opcional (no cambia el total)",IF(E80="cobertura","Sí (cobertura)",IF(D80="insertar",IF(G80&lt;=IFERROR(INDEX($G$6:$G$20,MATCH(B80,$A$6:$A$20,0)),0),"Sí","Reserva"),IF(SUMIFS($O$24:$O$191,$B$24:$B$191,B80,$D$24:$D$191,"fusionar",$G$24:$G$191,"&lt;"&amp;G80)&lt;IFERROR(INDEX($I$6:$I$20,MATCH(B80,$A$6:$A$20,0)),0),"Sí","Reserva"))))</f>
        <v/>
      </c>
      <c r="Q80" s="31" t="inlineStr"/>
    </row>
    <row r="81">
      <c r="A81" s="30" t="inlineStr">
        <is>
          <t>5-8-I15</t>
        </is>
      </c>
      <c r="B81" s="30">
        <f>"5-8|"&amp;F81</f>
        <v/>
      </c>
      <c r="C81" s="30" t="inlineStr">
        <is>
          <t>Ciclo 5°–8°</t>
        </is>
      </c>
      <c r="D81" s="30" t="inlineStr">
        <is>
          <t>insertar</t>
        </is>
      </c>
      <c r="E81" s="30" t="inlineStr">
        <is>
          <t>balance</t>
        </is>
      </c>
      <c r="F81" s="30" t="inlineStr">
        <is>
          <t>Ciencias de la Tierra</t>
        </is>
      </c>
      <c r="G81" s="30" t="n">
        <v>9</v>
      </c>
      <c r="H81" s="30" t="n">
        <v>6</v>
      </c>
      <c r="I81" s="30" t="inlineStr">
        <is>
          <t>2. Calor y temperatura.</t>
        </is>
      </c>
      <c r="J81" s="30" t="inlineStr"/>
      <c r="K81" s="30" t="inlineStr">
        <is>
          <t>T8_27-E2.1, T8_27-E2.3</t>
        </is>
      </c>
      <c r="L81" s="30" t="inlineStr">
        <is>
          <t>Modelación de la convección en la atmósfera para explicar la formación de vientos, brisas marinas y nubes.</t>
        </is>
      </c>
      <c r="M81" s="30" t="inlineStr">
        <is>
          <t>E2.1 débil; la convección de 6.° permite explicar condiciones atmosféricas; 6.° tiene brecha positiva.</t>
        </is>
      </c>
      <c r="N81" s="30" t="inlineStr">
        <is>
          <t>media</t>
        </is>
      </c>
      <c r="O81" s="30" t="n">
        <v>0</v>
      </c>
      <c r="P81" s="19">
        <f>IF(D81="reubicar","Opcional (no cambia el total)",IF(E81="cobertura","Sí (cobertura)",IF(D81="insertar",IF(G81&lt;=IFERROR(INDEX($G$6:$G$20,MATCH(B81,$A$6:$A$20,0)),0),"Sí","Reserva"),IF(SUMIFS($O$24:$O$191,$B$24:$B$191,B81,$D$24:$D$191,"fusionar",$G$24:$G$191,"&lt;"&amp;G81)&lt;IFERROR(INDEX($I$6:$I$20,MATCH(B81,$A$6:$A$20,0)),0),"Sí","Reserva"))))</f>
        <v/>
      </c>
      <c r="Q81" s="31" t="inlineStr"/>
    </row>
    <row r="82">
      <c r="A82" s="30" t="inlineStr">
        <is>
          <t>5-8-I16</t>
        </is>
      </c>
      <c r="B82" s="30">
        <f>"5-8|"&amp;F82</f>
        <v/>
      </c>
      <c r="C82" s="30" t="inlineStr">
        <is>
          <t>Ciclo 5°–8°</t>
        </is>
      </c>
      <c r="D82" s="30" t="inlineStr">
        <is>
          <t>insertar</t>
        </is>
      </c>
      <c r="E82" s="30" t="inlineStr">
        <is>
          <t>balance</t>
        </is>
      </c>
      <c r="F82" s="30" t="inlineStr">
        <is>
          <t>Ciencias de la Tierra</t>
        </is>
      </c>
      <c r="G82" s="30" t="n">
        <v>10</v>
      </c>
      <c r="H82" s="30" t="n">
        <v>6</v>
      </c>
      <c r="I82" s="30" t="inlineStr">
        <is>
          <t>2. Calor y temperatura.</t>
        </is>
      </c>
      <c r="J82" s="30" t="inlineStr"/>
      <c r="K82" s="30" t="inlineStr">
        <is>
          <t>T8_27-E2.2</t>
        </is>
      </c>
      <c r="L82" s="30" t="inlineStr">
        <is>
          <t>Relación de la evaporación, condensación y precipitación con los cambios de estado del agua y la energía solar en el ciclo del agua.</t>
        </is>
      </c>
      <c r="M82" s="30" t="inlineStr">
        <is>
          <t>E2.2 solo en 7.°; Singapur lo introduce en 5.°; aplica cambios de fase de 6.°.</t>
        </is>
      </c>
      <c r="N82" s="30" t="inlineStr">
        <is>
          <t>media</t>
        </is>
      </c>
      <c r="O82" s="30" t="n">
        <v>0</v>
      </c>
      <c r="P82" s="19">
        <f>IF(D82="reubicar","Opcional (no cambia el total)",IF(E82="cobertura","Sí (cobertura)",IF(D82="insertar",IF(G82&lt;=IFERROR(INDEX($G$6:$G$20,MATCH(B82,$A$6:$A$20,0)),0),"Sí","Reserva"),IF(SUMIFS($O$24:$O$191,$B$24:$B$191,B82,$D$24:$D$191,"fusionar",$G$24:$G$191,"&lt;"&amp;G82)&lt;IFERROR(INDEX($I$6:$I$20,MATCH(B82,$A$6:$A$20,0)),0),"Sí","Reserva"))))</f>
        <v/>
      </c>
      <c r="Q82" s="31" t="inlineStr"/>
    </row>
    <row r="83">
      <c r="A83" s="30" t="inlineStr">
        <is>
          <t>5-8-I17</t>
        </is>
      </c>
      <c r="B83" s="30">
        <f>"5-8|"&amp;F83</f>
        <v/>
      </c>
      <c r="C83" s="30" t="inlineStr">
        <is>
          <t>Ciclo 5°–8°</t>
        </is>
      </c>
      <c r="D83" s="30" t="inlineStr">
        <is>
          <t>insertar</t>
        </is>
      </c>
      <c r="E83" s="30" t="inlineStr">
        <is>
          <t>balance</t>
        </is>
      </c>
      <c r="F83" s="30" t="inlineStr">
        <is>
          <t>Ciencias de la Tierra</t>
        </is>
      </c>
      <c r="G83" s="30" t="n">
        <v>11</v>
      </c>
      <c r="H83" s="30" t="n">
        <v>8</v>
      </c>
      <c r="I83" s="30" t="inlineStr">
        <is>
          <t>5. Minerales</t>
        </is>
      </c>
      <c r="J83" s="30" t="inlineStr"/>
      <c r="K83" s="30" t="inlineStr">
        <is>
          <t>T8_27-E1.2</t>
        </is>
      </c>
      <c r="L83" s="30" t="inlineStr">
        <is>
          <t>Modelación del ciclo de las rocas: formación y transformación de rocas ígneas, sedimentarias y metamórficas en El Salvador.</t>
        </is>
      </c>
      <c r="M83" s="30" t="inlineStr">
        <is>
          <t>Ciclo de las rocas ausente; E1.2 casi solo en 5.°; completa «Minerales y rocas» de 8.°.</t>
        </is>
      </c>
      <c r="N83" s="30" t="inlineStr">
        <is>
          <t>media</t>
        </is>
      </c>
      <c r="O83" s="30" t="n">
        <v>0</v>
      </c>
      <c r="P83" s="19">
        <f>IF(D83="reubicar","Opcional (no cambia el total)",IF(E83="cobertura","Sí (cobertura)",IF(D83="insertar",IF(G83&lt;=IFERROR(INDEX($G$6:$G$20,MATCH(B83,$A$6:$A$20,0)),0),"Sí","Reserva"),IF(SUMIFS($O$24:$O$191,$B$24:$B$191,B83,$D$24:$D$191,"fusionar",$G$24:$G$191,"&lt;"&amp;G83)&lt;IFERROR(INDEX($I$6:$I$20,MATCH(B83,$A$6:$A$20,0)),0),"Sí","Reserva"))))</f>
        <v/>
      </c>
      <c r="Q83" s="31" t="inlineStr"/>
    </row>
    <row r="84">
      <c r="A84" s="30" t="inlineStr">
        <is>
          <t>5-8-I18</t>
        </is>
      </c>
      <c r="B84" s="30">
        <f>"5-8|"&amp;F84</f>
        <v/>
      </c>
      <c r="C84" s="30" t="inlineStr">
        <is>
          <t>Ciclo 5°–8°</t>
        </is>
      </c>
      <c r="D84" s="30" t="inlineStr">
        <is>
          <t>insertar</t>
        </is>
      </c>
      <c r="E84" s="30" t="inlineStr">
        <is>
          <t>cobertura</t>
        </is>
      </c>
      <c r="F84" s="30" t="inlineStr">
        <is>
          <t>Física</t>
        </is>
      </c>
      <c r="G84" s="30" t="n">
        <v>1</v>
      </c>
      <c r="H84" s="30" t="n">
        <v>7</v>
      </c>
      <c r="I84" s="30" t="inlineStr">
        <is>
          <t>6. Ambiente y energía</t>
        </is>
      </c>
      <c r="J84" s="30" t="inlineStr"/>
      <c r="K84" s="30" t="inlineStr">
        <is>
          <t>T8_27-P3.1, T8_27-E3.1</t>
        </is>
      </c>
      <c r="L84" s="30" t="inlineStr">
        <is>
          <t>Experimentación con la reflexión, refracción y absorción de la luz y su aprovechamiento en concentradores y calentadores solares.</t>
        </is>
      </c>
      <c r="M84" s="30" t="inlineStr">
        <is>
          <t>P3.1 (luz) sin ningún tema en el ciclo; Uruguay lo introduce en 5.°; 7.° tiene Física subrepresentada.</t>
        </is>
      </c>
      <c r="N84" s="30" t="inlineStr">
        <is>
          <t>media</t>
        </is>
      </c>
      <c r="O84" s="30" t="n">
        <v>0</v>
      </c>
      <c r="P84" s="19">
        <f>IF(D84="reubicar","Opcional (no cambia el total)",IF(E84="cobertura","Sí (cobertura)",IF(D84="insertar",IF(G84&lt;=IFERROR(INDEX($G$6:$G$20,MATCH(B84,$A$6:$A$20,0)),0),"Sí","Reserva"),IF(SUMIFS($O$24:$O$191,$B$24:$B$191,B84,$D$24:$D$191,"fusionar",$G$24:$G$191,"&lt;"&amp;G84)&lt;IFERROR(INDEX($I$6:$I$20,MATCH(B84,$A$6:$A$20,0)),0),"Sí","Reserva"))))</f>
        <v/>
      </c>
      <c r="Q84" s="31" t="inlineStr"/>
    </row>
    <row r="85">
      <c r="A85" s="30" t="inlineStr">
        <is>
          <t>5-8-F01</t>
        </is>
      </c>
      <c r="B85" s="30">
        <f>"5-8|"&amp;F85</f>
        <v/>
      </c>
      <c r="C85" s="30" t="inlineStr">
        <is>
          <t>Ciclo 5°–8°</t>
        </is>
      </c>
      <c r="D85" s="30" t="inlineStr">
        <is>
          <t>fusionar</t>
        </is>
      </c>
      <c r="E85" s="30" t="inlineStr"/>
      <c r="F85" s="30" t="inlineStr">
        <is>
          <t>Física</t>
        </is>
      </c>
      <c r="G85" s="30" t="n">
        <v>1</v>
      </c>
      <c r="H85" s="30" t="n">
        <v>8</v>
      </c>
      <c r="I85" s="30" t="inlineStr">
        <is>
          <t>1. Mecánica</t>
        </is>
      </c>
      <c r="J85" s="30" t="inlineStr">
        <is>
          <t>T1089-G08-CIE · 8.° · 1.12. Indagación del cambio del momento lineal en objetos a partir de la experimentación c
T1090-G08-CIE · 8.° · 1.13. Experimentación con el cambio del momento lineal de objetos.</t>
        </is>
      </c>
      <c r="K85" s="30" t="inlineStr">
        <is>
          <t>T8_27-P5.3</t>
        </is>
      </c>
      <c r="L85" s="30" t="inlineStr">
        <is>
          <t>Indagación y experimentación con el cambio del momento lineal de objetos a partir de la fuerza aplicada y el tiempo de interacción.</t>
        </is>
      </c>
      <c r="M85" s="30" t="inlineStr">
        <is>
          <t>Ambos temas indagan el mismo cambio de momento lineal; 8.° tiene la mayor sobrerrepresentación.</t>
        </is>
      </c>
      <c r="N85" s="30" t="inlineStr">
        <is>
          <t>alta</t>
        </is>
      </c>
      <c r="O85" s="30" t="n">
        <v>1</v>
      </c>
      <c r="P85" s="19">
        <f>IF(D85="reubicar","Opcional (no cambia el total)",IF(E85="cobertura","Sí (cobertura)",IF(D85="insertar",IF(G85&lt;=IFERROR(INDEX($G$6:$G$20,MATCH(B85,$A$6:$A$20,0)),0),"Sí","Reserva"),IF(SUMIFS($O$24:$O$191,$B$24:$B$191,B85,$D$24:$D$191,"fusionar",$G$24:$G$191,"&lt;"&amp;G85)&lt;IFERROR(INDEX($I$6:$I$20,MATCH(B85,$A$6:$A$20,0)),0),"Sí","Reserva"))))</f>
        <v/>
      </c>
      <c r="Q85" s="31" t="inlineStr"/>
    </row>
    <row r="86">
      <c r="A86" s="30" t="inlineStr">
        <is>
          <t>5-8-F02</t>
        </is>
      </c>
      <c r="B86" s="30">
        <f>"5-8|"&amp;F86</f>
        <v/>
      </c>
      <c r="C86" s="30" t="inlineStr">
        <is>
          <t>Ciclo 5°–8°</t>
        </is>
      </c>
      <c r="D86" s="30" t="inlineStr">
        <is>
          <t>fusionar</t>
        </is>
      </c>
      <c r="E86" s="30" t="inlineStr"/>
      <c r="F86" s="30" t="inlineStr">
        <is>
          <t>Física</t>
        </is>
      </c>
      <c r="G86" s="30" t="n">
        <v>2</v>
      </c>
      <c r="H86" s="30" t="n">
        <v>8</v>
      </c>
      <c r="I86" s="30" t="inlineStr">
        <is>
          <t>3. Ondas mecánicas</t>
        </is>
      </c>
      <c r="J86" s="30" t="inlineStr">
        <is>
          <t>T1109-G08-CIE · 8.° · 3.7. Identificación experimental del tipo de onda a partir del movimiento de la fuente de 
T1112-G08-CIE · 8.° · 3.10. Identificación experimental del tipo de onda a partir del movimiento de la fuente de</t>
        </is>
      </c>
      <c r="K86" s="30" t="inlineStr">
        <is>
          <t>T8_27-P3.2</t>
        </is>
      </c>
      <c r="L86" s="30" t="inlineStr">
        <is>
          <t>Identificación experimental del tipo de onda a partir del movimiento de la fuente de vibración en cuerdas y columnas de aire.</t>
        </is>
      </c>
      <c r="M86" s="30" t="inlineStr">
        <is>
          <t>Mismo procedimiento repetido para cuerdas y para columnas de aire.</t>
        </is>
      </c>
      <c r="N86" s="30" t="inlineStr">
        <is>
          <t>alta</t>
        </is>
      </c>
      <c r="O86" s="30" t="n">
        <v>1</v>
      </c>
      <c r="P86" s="19">
        <f>IF(D86="reubicar","Opcional (no cambia el total)",IF(E86="cobertura","Sí (cobertura)",IF(D86="insertar",IF(G86&lt;=IFERROR(INDEX($G$6:$G$20,MATCH(B86,$A$6:$A$20,0)),0),"Sí","Reserva"),IF(SUMIFS($O$24:$O$191,$B$24:$B$191,B86,$D$24:$D$191,"fusionar",$G$24:$G$191,"&lt;"&amp;G86)&lt;IFERROR(INDEX($I$6:$I$20,MATCH(B86,$A$6:$A$20,0)),0),"Sí","Reserva"))))</f>
        <v/>
      </c>
      <c r="Q86" s="31" t="inlineStr"/>
    </row>
    <row r="87">
      <c r="A87" s="30" t="inlineStr">
        <is>
          <t>5-8-F03</t>
        </is>
      </c>
      <c r="B87" s="30">
        <f>"5-8|"&amp;F87</f>
        <v/>
      </c>
      <c r="C87" s="30" t="inlineStr">
        <is>
          <t>Ciclo 5°–8°</t>
        </is>
      </c>
      <c r="D87" s="30" t="inlineStr">
        <is>
          <t>fusionar</t>
        </is>
      </c>
      <c r="E87" s="30" t="inlineStr"/>
      <c r="F87" s="30" t="inlineStr">
        <is>
          <t>Física</t>
        </is>
      </c>
      <c r="G87" s="30" t="n">
        <v>3</v>
      </c>
      <c r="H87" s="30" t="n">
        <v>8</v>
      </c>
      <c r="I87" s="30" t="inlineStr">
        <is>
          <t>3. Ondas mecánicas</t>
        </is>
      </c>
      <c r="J87" s="30" t="inlineStr">
        <is>
          <t>T1110-G08-CIE · 8.° · 3.8. Identificación experimental de las magnitudes y las condiciones que varían la frecuen
T1113-G08-CIE · 8.° · 3.11. Identificación experimental de las magnitudes y las condiciones que varían la frecue</t>
        </is>
      </c>
      <c r="K87" s="30" t="inlineStr">
        <is>
          <t>T8_27-P3.2, T8_27-P6.1</t>
        </is>
      </c>
      <c r="L87" s="30" t="inlineStr">
        <is>
          <t>Identificación experimental de las magnitudes y condiciones que varían la frecuencia o el tono del sonido en cuerdas y columnas de aire.</t>
        </is>
      </c>
      <c r="M87" s="30" t="inlineStr">
        <is>
          <t>Mismo procedimiento duplicado por fuente sonora; P3.2 conserva 4 temas.</t>
        </is>
      </c>
      <c r="N87" s="30" t="inlineStr">
        <is>
          <t>alta</t>
        </is>
      </c>
      <c r="O87" s="30" t="n">
        <v>1</v>
      </c>
      <c r="P87" s="19">
        <f>IF(D87="reubicar","Opcional (no cambia el total)",IF(E87="cobertura","Sí (cobertura)",IF(D87="insertar",IF(G87&lt;=IFERROR(INDEX($G$6:$G$20,MATCH(B87,$A$6:$A$20,0)),0),"Sí","Reserva"),IF(SUMIFS($O$24:$O$191,$B$24:$B$191,B87,$D$24:$D$191,"fusionar",$G$24:$G$191,"&lt;"&amp;G87)&lt;IFERROR(INDEX($I$6:$I$20,MATCH(B87,$A$6:$A$20,0)),0),"Sí","Reserva"))))</f>
        <v/>
      </c>
      <c r="Q87" s="31" t="inlineStr"/>
    </row>
    <row r="88">
      <c r="A88" s="30" t="inlineStr">
        <is>
          <t>5-8-F04</t>
        </is>
      </c>
      <c r="B88" s="30">
        <f>"5-8|"&amp;F88</f>
        <v/>
      </c>
      <c r="C88" s="30" t="inlineStr">
        <is>
          <t>Ciclo 5°–8°</t>
        </is>
      </c>
      <c r="D88" s="30" t="inlineStr">
        <is>
          <t>fusionar</t>
        </is>
      </c>
      <c r="E88" s="30" t="inlineStr"/>
      <c r="F88" s="30" t="inlineStr">
        <is>
          <t>Física</t>
        </is>
      </c>
      <c r="G88" s="30" t="n">
        <v>4</v>
      </c>
      <c r="H88" s="30" t="n">
        <v>8</v>
      </c>
      <c r="I88" s="30" t="inlineStr">
        <is>
          <t>3. Ondas mecánicas</t>
        </is>
      </c>
      <c r="J88" s="30" t="inlineStr">
        <is>
          <t xml:space="preserve">T1111-G08-CIE · 8.° · 3.9. Resolución de problemas teóricos a partir de las gráficas de desplazamiento contra po
T1114-G08-CIE · 8.° · 3.12. Resolución de problemas teóricos a partir de las gráficas de presión de aire contra </t>
        </is>
      </c>
      <c r="K88" s="30" t="inlineStr">
        <is>
          <t>T8_27-P3.2</t>
        </is>
      </c>
      <c r="L88" s="30" t="inlineStr">
        <is>
          <t>Resolución de problemas a partir de gráficas de desplazamiento y de presión de aire contra posición y tiempo en ondas transversales y longitudinales.</t>
        </is>
      </c>
      <c r="M88" s="30" t="inlineStr">
        <is>
          <t>Ambos resuelven problemas con gráficas de ondas; solo cambia el tipo de onda.</t>
        </is>
      </c>
      <c r="N88" s="30" t="inlineStr">
        <is>
          <t>alta</t>
        </is>
      </c>
      <c r="O88" s="30" t="n">
        <v>1</v>
      </c>
      <c r="P88" s="19">
        <f>IF(D88="reubicar","Opcional (no cambia el total)",IF(E88="cobertura","Sí (cobertura)",IF(D88="insertar",IF(G88&lt;=IFERROR(INDEX($G$6:$G$20,MATCH(B88,$A$6:$A$20,0)),0),"Sí","Reserva"),IF(SUMIFS($O$24:$O$191,$B$24:$B$191,B88,$D$24:$D$191,"fusionar",$G$24:$G$191,"&lt;"&amp;G88)&lt;IFERROR(INDEX($I$6:$I$20,MATCH(B88,$A$6:$A$20,0)),0),"Sí","Reserva"))))</f>
        <v/>
      </c>
      <c r="Q88" s="31" t="inlineStr"/>
    </row>
    <row r="89">
      <c r="A89" s="30" t="inlineStr">
        <is>
          <t>5-8-F05</t>
        </is>
      </c>
      <c r="B89" s="30">
        <f>"5-8|"&amp;F89</f>
        <v/>
      </c>
      <c r="C89" s="30" t="inlineStr">
        <is>
          <t>Ciclo 5°–8°</t>
        </is>
      </c>
      <c r="D89" s="30" t="inlineStr">
        <is>
          <t>fusionar</t>
        </is>
      </c>
      <c r="E89" s="30" t="inlineStr"/>
      <c r="F89" s="30" t="inlineStr">
        <is>
          <t>Física</t>
        </is>
      </c>
      <c r="G89" s="30" t="n">
        <v>5</v>
      </c>
      <c r="H89" s="30" t="n">
        <v>6</v>
      </c>
      <c r="I89" s="30" t="inlineStr">
        <is>
          <t>1. Fluidos.</t>
        </is>
      </c>
      <c r="J89" s="30" t="inlineStr">
        <is>
          <t>T0922-G06-CIE · 6.° · 1.4. Vinculación entre capilaridad y tensión superficial.
T0923-G06-CIE · 6.° · 1.5. Demostración experimental de la capilaridad.</t>
        </is>
      </c>
      <c r="K89" s="30" t="inlineStr">
        <is>
          <t>T8_27-P1.1</t>
        </is>
      </c>
      <c r="L89" s="30" t="inlineStr">
        <is>
          <t>Demostración experimental de la capilaridad y su vínculo con la tensión superficial.</t>
        </is>
      </c>
      <c r="M89" s="30" t="inlineStr">
        <is>
          <t>Mismo fenómeno: uno lo vincula y otro lo demuestra; 6.° tiene Física sobrerrepresentada.</t>
        </is>
      </c>
      <c r="N89" s="30" t="inlineStr">
        <is>
          <t>alta</t>
        </is>
      </c>
      <c r="O89" s="30" t="n">
        <v>1</v>
      </c>
      <c r="P89" s="19">
        <f>IF(D89="reubicar","Opcional (no cambia el total)",IF(E89="cobertura","Sí (cobertura)",IF(D89="insertar",IF(G89&lt;=IFERROR(INDEX($G$6:$G$20,MATCH(B89,$A$6:$A$20,0)),0),"Sí","Reserva"),IF(SUMIFS($O$24:$O$191,$B$24:$B$191,B89,$D$24:$D$191,"fusionar",$G$24:$G$191,"&lt;"&amp;G89)&lt;IFERROR(INDEX($I$6:$I$20,MATCH(B89,$A$6:$A$20,0)),0),"Sí","Reserva"))))</f>
        <v/>
      </c>
      <c r="Q89" s="31" t="inlineStr"/>
    </row>
    <row r="90">
      <c r="A90" s="30" t="inlineStr">
        <is>
          <t>5-8-F06</t>
        </is>
      </c>
      <c r="B90" s="30">
        <f>"5-8|"&amp;F90</f>
        <v/>
      </c>
      <c r="C90" s="30" t="inlineStr">
        <is>
          <t>Ciclo 5°–8°</t>
        </is>
      </c>
      <c r="D90" s="30" t="inlineStr">
        <is>
          <t>fusionar</t>
        </is>
      </c>
      <c r="E90" s="30" t="inlineStr"/>
      <c r="F90" s="30" t="inlineStr">
        <is>
          <t>Física</t>
        </is>
      </c>
      <c r="G90" s="30" t="n">
        <v>6</v>
      </c>
      <c r="H90" s="30" t="n">
        <v>6</v>
      </c>
      <c r="I90" s="30" t="inlineStr">
        <is>
          <t>1. Fluidos.</t>
        </is>
      </c>
      <c r="J90" s="30" t="inlineStr">
        <is>
          <t>T0925-G06-CIE · 6.° · 1.7. Indagación del principio de Bernoulli.
T0926-G06-CIE · 6.° · 1.8. Aplicación del principio de Bernoulli.</t>
        </is>
      </c>
      <c r="K90" s="30" t="inlineStr">
        <is>
          <t>T8_27-P5.3</t>
        </is>
      </c>
      <c r="L90" s="30" t="inlineStr">
        <is>
          <t>Indagación y aplicación del principio de Bernoulli en situaciones cotidianas.</t>
        </is>
      </c>
      <c r="M90" s="30" t="inlineStr">
        <is>
          <t>Indagar y aplicar el mismo principio caben en una secuencia de clase.</t>
        </is>
      </c>
      <c r="N90" s="30" t="inlineStr">
        <is>
          <t>alta</t>
        </is>
      </c>
      <c r="O90" s="30" t="n">
        <v>1</v>
      </c>
      <c r="P90" s="19">
        <f>IF(D90="reubicar","Opcional (no cambia el total)",IF(E90="cobertura","Sí (cobertura)",IF(D90="insertar",IF(G90&lt;=IFERROR(INDEX($G$6:$G$20,MATCH(B90,$A$6:$A$20,0)),0),"Sí","Reserva"),IF(SUMIFS($O$24:$O$191,$B$24:$B$191,B90,$D$24:$D$191,"fusionar",$G$24:$G$191,"&lt;"&amp;G90)&lt;IFERROR(INDEX($I$6:$I$20,MATCH(B90,$A$6:$A$20,0)),0),"Sí","Reserva"))))</f>
        <v/>
      </c>
      <c r="Q90" s="31" t="inlineStr"/>
    </row>
    <row r="91">
      <c r="A91" s="30" t="inlineStr">
        <is>
          <t>5-8-F07</t>
        </is>
      </c>
      <c r="B91" s="30">
        <f>"5-8|"&amp;F91</f>
        <v/>
      </c>
      <c r="C91" s="30" t="inlineStr">
        <is>
          <t>Ciclo 5°–8°</t>
        </is>
      </c>
      <c r="D91" s="30" t="inlineStr">
        <is>
          <t>fusionar</t>
        </is>
      </c>
      <c r="E91" s="30" t="inlineStr"/>
      <c r="F91" s="30" t="inlineStr">
        <is>
          <t>Física</t>
        </is>
      </c>
      <c r="G91" s="30" t="n">
        <v>7</v>
      </c>
      <c r="H91" s="30" t="n">
        <v>6</v>
      </c>
      <c r="I91" s="30" t="inlineStr">
        <is>
          <t>4. Interacciones químicas.</t>
        </is>
      </c>
      <c r="J91" s="30" t="inlineStr">
        <is>
          <t>T0949-G06-CIE · 6.° · 4.7. Demostración experimental macroscópica de las fuerzas intermoleculares.
T0950-G06-CIE · 6.° · 4.8. Construcción del concepto de las fuerzas intermoleculares.</t>
        </is>
      </c>
      <c r="K91" s="30" t="inlineStr">
        <is>
          <t>T8_27-P1.1, T8_27-P1.2</t>
        </is>
      </c>
      <c r="L91" s="30" t="inlineStr">
        <is>
          <t>Construcción del concepto de fuerzas intermoleculares a partir de su demostración experimental macroscópica.</t>
        </is>
      </c>
      <c r="M91" s="30" t="inlineStr">
        <is>
          <t>Mismo contenido: demostración y conceptualización de fuerzas intermoleculares.</t>
        </is>
      </c>
      <c r="N91" s="30" t="inlineStr">
        <is>
          <t>alta</t>
        </is>
      </c>
      <c r="O91" s="30" t="n">
        <v>1</v>
      </c>
      <c r="P91" s="19">
        <f>IF(D91="reubicar","Opcional (no cambia el total)",IF(E91="cobertura","Sí (cobertura)",IF(D91="insertar",IF(G91&lt;=IFERROR(INDEX($G$6:$G$20,MATCH(B91,$A$6:$A$20,0)),0),"Sí","Reserva"),IF(SUMIFS($O$24:$O$191,$B$24:$B$191,B91,$D$24:$D$191,"fusionar",$G$24:$G$191,"&lt;"&amp;G91)&lt;IFERROR(INDEX($I$6:$I$20,MATCH(B91,$A$6:$A$20,0)),0),"Sí","Reserva"))))</f>
        <v/>
      </c>
      <c r="Q91" s="31" t="inlineStr"/>
    </row>
    <row r="92">
      <c r="A92" s="30" t="inlineStr">
        <is>
          <t>5-8-F08</t>
        </is>
      </c>
      <c r="B92" s="30">
        <f>"5-8|"&amp;F92</f>
        <v/>
      </c>
      <c r="C92" s="30" t="inlineStr">
        <is>
          <t>Ciclo 5°–8°</t>
        </is>
      </c>
      <c r="D92" s="30" t="inlineStr">
        <is>
          <t>fusionar</t>
        </is>
      </c>
      <c r="E92" s="30" t="inlineStr"/>
      <c r="F92" s="30" t="inlineStr">
        <is>
          <t>Física</t>
        </is>
      </c>
      <c r="G92" s="30" t="n">
        <v>8</v>
      </c>
      <c r="H92" s="30" t="n">
        <v>8</v>
      </c>
      <c r="I92" s="30" t="inlineStr">
        <is>
          <t>3. Ondas mecánicas</t>
        </is>
      </c>
      <c r="J92" s="30" t="inlineStr">
        <is>
          <t>T1107-G08-CIE · 8.° · 3.5. Cálculo experimental de una altura empleando el período de oscilación de un péndulo s
T1108-G08-CIE · 8.° · 3.6. Diseño de un experimento para determinar una altura empleando un péndulo simple.</t>
        </is>
      </c>
      <c r="K92" s="30" t="inlineStr">
        <is>
          <t>T8_27-P6.1</t>
        </is>
      </c>
      <c r="L92" s="30" t="inlineStr">
        <is>
          <t>Diseño y ejecución de un experimento para calcular una altura empleando el período de oscilación de un péndulo simple.</t>
        </is>
      </c>
      <c r="M92" s="30" t="inlineStr">
        <is>
          <t>Ambos determinan una altura con el péndulo; diseñar incluye calcular.</t>
        </is>
      </c>
      <c r="N92" s="30" t="inlineStr">
        <is>
          <t>alta</t>
        </is>
      </c>
      <c r="O92" s="30" t="n">
        <v>1</v>
      </c>
      <c r="P92" s="19">
        <f>IF(D92="reubicar","Opcional (no cambia el total)",IF(E92="cobertura","Sí (cobertura)",IF(D92="insertar",IF(G92&lt;=IFERROR(INDEX($G$6:$G$20,MATCH(B92,$A$6:$A$20,0)),0),"Sí","Reserva"),IF(SUMIFS($O$24:$O$191,$B$24:$B$191,B92,$D$24:$D$191,"fusionar",$G$24:$G$191,"&lt;"&amp;G92)&lt;IFERROR(INDEX($I$6:$I$20,MATCH(B92,$A$6:$A$20,0)),0),"Sí","Reserva"))))</f>
        <v/>
      </c>
      <c r="Q92" s="31" t="inlineStr"/>
    </row>
    <row r="93">
      <c r="A93" s="30" t="inlineStr">
        <is>
          <t>5-8-F09</t>
        </is>
      </c>
      <c r="B93" s="30">
        <f>"5-8|"&amp;F93</f>
        <v/>
      </c>
      <c r="C93" s="30" t="inlineStr">
        <is>
          <t>Ciclo 5°–8°</t>
        </is>
      </c>
      <c r="D93" s="30" t="inlineStr">
        <is>
          <t>fusionar</t>
        </is>
      </c>
      <c r="E93" s="30" t="inlineStr"/>
      <c r="F93" s="30" t="inlineStr">
        <is>
          <t>Física</t>
        </is>
      </c>
      <c r="G93" s="30" t="n">
        <v>9</v>
      </c>
      <c r="H93" s="30" t="n">
        <v>8</v>
      </c>
      <c r="I93" s="30" t="inlineStr">
        <is>
          <t>2. Energía</t>
        </is>
      </c>
      <c r="J93" s="30" t="inlineStr">
        <is>
          <t>T1101-G08-CIE · 8.° · 2.10. Cálculo experimental de la potencia mecánica de máquinas para la obtención del momen
T1102-G08-CIE · 8.° · 2.11. Resolución de problemas acerca de la potencia mecánica.</t>
        </is>
      </c>
      <c r="K93" s="30" t="inlineStr">
        <is>
          <t>T8_27-P2.1</t>
        </is>
      </c>
      <c r="L93" s="30" t="inlineStr">
        <is>
          <t>Cálculo experimental de la potencia mecánica de máquinas y resolución de problemas de potencia.</t>
        </is>
      </c>
      <c r="M93" s="30" t="inlineStr">
        <is>
          <t>Mismo cálculo de potencia, experimental y en problemas; P2.1 tiene 21 temas.</t>
        </is>
      </c>
      <c r="N93" s="30" t="inlineStr">
        <is>
          <t>media</t>
        </is>
      </c>
      <c r="O93" s="30" t="n">
        <v>1</v>
      </c>
      <c r="P93" s="19">
        <f>IF(D93="reubicar","Opcional (no cambia el total)",IF(E93="cobertura","Sí (cobertura)",IF(D93="insertar",IF(G93&lt;=IFERROR(INDEX($G$6:$G$20,MATCH(B93,$A$6:$A$20,0)),0),"Sí","Reserva"),IF(SUMIFS($O$24:$O$191,$B$24:$B$191,B93,$D$24:$D$191,"fusionar",$G$24:$G$191,"&lt;"&amp;G93)&lt;IFERROR(INDEX($I$6:$I$20,MATCH(B93,$A$6:$A$20,0)),0),"Sí","Reserva"))))</f>
        <v/>
      </c>
      <c r="Q93" s="31" t="inlineStr"/>
    </row>
    <row r="94">
      <c r="A94" s="30" t="inlineStr">
        <is>
          <t>5-8-F10</t>
        </is>
      </c>
      <c r="B94" s="30">
        <f>"5-8|"&amp;F94</f>
        <v/>
      </c>
      <c r="C94" s="30" t="inlineStr">
        <is>
          <t>Ciclo 5°–8°</t>
        </is>
      </c>
      <c r="D94" s="30" t="inlineStr">
        <is>
          <t>fusionar</t>
        </is>
      </c>
      <c r="E94" s="30" t="inlineStr"/>
      <c r="F94" s="30" t="inlineStr">
        <is>
          <t>Física</t>
        </is>
      </c>
      <c r="G94" s="30" t="n">
        <v>10</v>
      </c>
      <c r="H94" s="30" t="n">
        <v>8</v>
      </c>
      <c r="I94" s="30" t="inlineStr">
        <is>
          <t>2. Energía</t>
        </is>
      </c>
      <c r="J94" s="30" t="inlineStr">
        <is>
          <t>T1098-G08-CIE · 8.° · 2.7. Experimentación con la ley de conservación de la energía mecánica.
T1099-G08-CIE · 8.° · 2.8. Interpretación de las características de las gráficas de energía cinética y potencial</t>
        </is>
      </c>
      <c r="K94" s="30" t="inlineStr">
        <is>
          <t>T8_27-P2.1</t>
        </is>
      </c>
      <c r="L94" s="30" t="inlineStr">
        <is>
          <t>Experimentación con la conservación de la energía mecánica e interpretación de las gráficas de energía cinética y potencial obtenidas.</t>
        </is>
      </c>
      <c r="M94" s="30" t="inlineStr">
        <is>
          <t>Las gráficas salen del mismo experimento de conservación.</t>
        </is>
      </c>
      <c r="N94" s="30" t="inlineStr">
        <is>
          <t>media</t>
        </is>
      </c>
      <c r="O94" s="30" t="n">
        <v>1</v>
      </c>
      <c r="P94" s="19">
        <f>IF(D94="reubicar","Opcional (no cambia el total)",IF(E94="cobertura","Sí (cobertura)",IF(D94="insertar",IF(G94&lt;=IFERROR(INDEX($G$6:$G$20,MATCH(B94,$A$6:$A$20,0)),0),"Sí","Reserva"),IF(SUMIFS($O$24:$O$191,$B$24:$B$191,B94,$D$24:$D$191,"fusionar",$G$24:$G$191,"&lt;"&amp;G94)&lt;IFERROR(INDEX($I$6:$I$20,MATCH(B94,$A$6:$A$20,0)),0),"Sí","Reserva"))))</f>
        <v/>
      </c>
      <c r="Q94" s="31" t="inlineStr"/>
    </row>
    <row r="95">
      <c r="A95" s="30" t="inlineStr">
        <is>
          <t>5-8-F11</t>
        </is>
      </c>
      <c r="B95" s="30">
        <f>"5-8|"&amp;F95</f>
        <v/>
      </c>
      <c r="C95" s="30" t="inlineStr">
        <is>
          <t>Ciclo 5°–8°</t>
        </is>
      </c>
      <c r="D95" s="30" t="inlineStr">
        <is>
          <t>fusionar</t>
        </is>
      </c>
      <c r="E95" s="30" t="inlineStr"/>
      <c r="F95" s="30" t="inlineStr">
        <is>
          <t>Física</t>
        </is>
      </c>
      <c r="G95" s="30" t="n">
        <v>11</v>
      </c>
      <c r="H95" s="30" t="n">
        <v>8</v>
      </c>
      <c r="I95" s="30" t="inlineStr">
        <is>
          <t>3. Ondas mecánicas</t>
        </is>
      </c>
      <c r="J95" s="30" t="inlineStr">
        <is>
          <t>T1104-G08-CIE · 8.° · 3.2. Experimentación para identificar la transformación de la energía del péndulo simple.
T1105-G08-CIE · 8.° · 3.3. Interpretación de las características de las gráficas de energía del oscilador armóni</t>
        </is>
      </c>
      <c r="K95" s="30" t="inlineStr">
        <is>
          <t>T8_27-P2.1</t>
        </is>
      </c>
      <c r="L95" s="30" t="inlineStr">
        <is>
          <t>Experimentación con la transformación de la energía del péndulo simple e interpretación de sus gráficas de energía.</t>
        </is>
      </c>
      <c r="M95" s="30" t="inlineStr">
        <is>
          <t>Mismo sistema y misma transformación energética; P2.1 sobrado.</t>
        </is>
      </c>
      <c r="N95" s="30" t="inlineStr">
        <is>
          <t>media</t>
        </is>
      </c>
      <c r="O95" s="30" t="n">
        <v>1</v>
      </c>
      <c r="P95" s="19">
        <f>IF(D95="reubicar","Opcional (no cambia el total)",IF(E95="cobertura","Sí (cobertura)",IF(D95="insertar",IF(G95&lt;=IFERROR(INDEX($G$6:$G$20,MATCH(B95,$A$6:$A$20,0)),0),"Sí","Reserva"),IF(SUMIFS($O$24:$O$191,$B$24:$B$191,B95,$D$24:$D$191,"fusionar",$G$24:$G$191,"&lt;"&amp;G95)&lt;IFERROR(INDEX($I$6:$I$20,MATCH(B95,$A$6:$A$20,0)),0),"Sí","Reserva"))))</f>
        <v/>
      </c>
      <c r="Q95" s="31" t="inlineStr"/>
    </row>
    <row r="96">
      <c r="A96" s="30" t="inlineStr">
        <is>
          <t>5-8-F12</t>
        </is>
      </c>
      <c r="B96" s="30">
        <f>"5-8|"&amp;F96</f>
        <v/>
      </c>
      <c r="C96" s="30" t="inlineStr">
        <is>
          <t>Ciclo 5°–8°</t>
        </is>
      </c>
      <c r="D96" s="30" t="inlineStr">
        <is>
          <t>fusionar</t>
        </is>
      </c>
      <c r="E96" s="30" t="inlineStr"/>
      <c r="F96" s="30" t="inlineStr">
        <is>
          <t>Física</t>
        </is>
      </c>
      <c r="G96" s="30" t="n">
        <v>12</v>
      </c>
      <c r="H96" s="30" t="n">
        <v>8</v>
      </c>
      <c r="I96" s="30" t="inlineStr">
        <is>
          <t>1. Mecánica</t>
        </is>
      </c>
      <c r="J96" s="30" t="inlineStr">
        <is>
          <t>T1081-G08-CIE · 8.° · 1.4. Medición de las componentes de un vector en un par de ejes perpendiculares.
T1082-G08-CIE · 8.° · 1.5. Adición y sustracción de vectores por el método de las componentes rectangulares.</t>
        </is>
      </c>
      <c r="K96" s="30" t="inlineStr">
        <is>
          <t>T8_27-P5.2</t>
        </is>
      </c>
      <c r="L96" s="30" t="inlineStr">
        <is>
          <t>Medición de las componentes rectangulares de vectores y su uso para sumarlos y restarlos.</t>
        </is>
      </c>
      <c r="M96" s="30" t="inlineStr">
        <is>
          <t>Fusión extra que paga la inserción de cobertura de luz (P3.1); mismo método de componentes.</t>
        </is>
      </c>
      <c r="N96" s="30" t="inlineStr">
        <is>
          <t>alta</t>
        </is>
      </c>
      <c r="O96" s="30" t="n">
        <v>1</v>
      </c>
      <c r="P96" s="19">
        <f>IF(D96="reubicar","Opcional (no cambia el total)",IF(E96="cobertura","Sí (cobertura)",IF(D96="insertar",IF(G96&lt;=IFERROR(INDEX($G$6:$G$20,MATCH(B96,$A$6:$A$20,0)),0),"Sí","Reserva"),IF(SUMIFS($O$24:$O$191,$B$24:$B$191,B96,$D$24:$D$191,"fusionar",$G$24:$G$191,"&lt;"&amp;G96)&lt;IFERROR(INDEX($I$6:$I$20,MATCH(B96,$A$6:$A$20,0)),0),"Sí","Reserva"))))</f>
        <v/>
      </c>
      <c r="Q96" s="31" t="inlineStr"/>
    </row>
    <row r="97">
      <c r="A97" s="30" t="inlineStr">
        <is>
          <t>5-8-F13</t>
        </is>
      </c>
      <c r="B97" s="30">
        <f>"5-8|"&amp;F97</f>
        <v/>
      </c>
      <c r="C97" s="30" t="inlineStr">
        <is>
          <t>Ciclo 5°–8°</t>
        </is>
      </c>
      <c r="D97" s="30" t="inlineStr">
        <is>
          <t>fusionar</t>
        </is>
      </c>
      <c r="E97" s="30" t="inlineStr"/>
      <c r="F97" s="30" t="inlineStr">
        <is>
          <t>Química</t>
        </is>
      </c>
      <c r="G97" s="30" t="n">
        <v>1</v>
      </c>
      <c r="H97" s="30" t="n">
        <v>8</v>
      </c>
      <c r="I97" s="30" t="inlineStr">
        <is>
          <t>4. Estequiometría y dispersiones</t>
        </is>
      </c>
      <c r="J97" s="30" t="inlineStr">
        <is>
          <t>T1132-G08-CIE · 8.° · 4.18. Demostración de las propiedades coligativas.
T1133-G08-CIE · 8.° · 4.19. Experimentación con las propiedades coligativas.</t>
        </is>
      </c>
      <c r="K97" s="30" t="inlineStr">
        <is>
          <t>T8_27-C2.2, T8_27-P1.2</t>
        </is>
      </c>
      <c r="L97" s="30" t="inlineStr">
        <is>
          <t>Demostración y experimentación con las propiedades coligativas de las soluciones.</t>
        </is>
      </c>
      <c r="M97" s="30" t="inlineStr">
        <is>
          <t>Demostrar y experimentar la misma propiedad coligativa; C2.2 tiene 16 temas.</t>
        </is>
      </c>
      <c r="N97" s="30" t="inlineStr">
        <is>
          <t>alta</t>
        </is>
      </c>
      <c r="O97" s="30" t="n">
        <v>1</v>
      </c>
      <c r="P97" s="19">
        <f>IF(D97="reubicar","Opcional (no cambia el total)",IF(E97="cobertura","Sí (cobertura)",IF(D97="insertar",IF(G97&lt;=IFERROR(INDEX($G$6:$G$20,MATCH(B97,$A$6:$A$20,0)),0),"Sí","Reserva"),IF(SUMIFS($O$24:$O$191,$B$24:$B$191,B97,$D$24:$D$191,"fusionar",$G$24:$G$191,"&lt;"&amp;G97)&lt;IFERROR(INDEX($I$6:$I$20,MATCH(B97,$A$6:$A$20,0)),0),"Sí","Reserva"))))</f>
        <v/>
      </c>
      <c r="Q97" s="31" t="inlineStr"/>
    </row>
    <row r="98">
      <c r="A98" s="30" t="inlineStr">
        <is>
          <t>5-8-F14</t>
        </is>
      </c>
      <c r="B98" s="30">
        <f>"5-8|"&amp;F98</f>
        <v/>
      </c>
      <c r="C98" s="30" t="inlineStr">
        <is>
          <t>Ciclo 5°–8°</t>
        </is>
      </c>
      <c r="D98" s="30" t="inlineStr">
        <is>
          <t>fusionar</t>
        </is>
      </c>
      <c r="E98" s="30" t="inlineStr"/>
      <c r="F98" s="30" t="inlineStr">
        <is>
          <t>Química</t>
        </is>
      </c>
      <c r="G98" s="30" t="n">
        <v>2</v>
      </c>
      <c r="H98" s="30" t="n">
        <v>5</v>
      </c>
      <c r="I98" s="30" t="inlineStr">
        <is>
          <t>3. Estructura atómica.</t>
        </is>
      </c>
      <c r="J98" s="30" t="inlineStr">
        <is>
          <t>T0878-G05-CIE · 5.° · 3.8. Construcción del concepto de isótopo y sus aplicaciones.
T0879-G05-CIE · 5.° · 3.9. Cuantificación de la masa atómica relativa de isótopos.</t>
        </is>
      </c>
      <c r="K98" s="30" t="inlineStr">
        <is>
          <t>T8_27-C1.1</t>
        </is>
      </c>
      <c r="L98" s="30" t="inlineStr">
        <is>
          <t>Construcción del concepto de isótopo, sus aplicaciones y el cálculo de la masa atómica relativa.</t>
        </is>
      </c>
      <c r="M98" s="30" t="inlineStr">
        <is>
          <t>Mismo contenido «Isótopos»; C1.1 tiene 24 temas; 5.° sobrerrepresentado en Química.</t>
        </is>
      </c>
      <c r="N98" s="30" t="inlineStr">
        <is>
          <t>alta</t>
        </is>
      </c>
      <c r="O98" s="30" t="n">
        <v>1</v>
      </c>
      <c r="P98" s="19">
        <f>IF(D98="reubicar","Opcional (no cambia el total)",IF(E98="cobertura","Sí (cobertura)",IF(D98="insertar",IF(G98&lt;=IFERROR(INDEX($G$6:$G$20,MATCH(B98,$A$6:$A$20,0)),0),"Sí","Reserva"),IF(SUMIFS($O$24:$O$191,$B$24:$B$191,B98,$D$24:$D$191,"fusionar",$G$24:$G$191,"&lt;"&amp;G98)&lt;IFERROR(INDEX($I$6:$I$20,MATCH(B98,$A$6:$A$20,0)),0),"Sí","Reserva"))))</f>
        <v/>
      </c>
      <c r="Q98" s="31" t="inlineStr"/>
    </row>
    <row r="99">
      <c r="A99" s="30" t="inlineStr">
        <is>
          <t>5-8-F15</t>
        </is>
      </c>
      <c r="B99" s="30">
        <f>"5-8|"&amp;F99</f>
        <v/>
      </c>
      <c r="C99" s="30" t="inlineStr">
        <is>
          <t>Ciclo 5°–8°</t>
        </is>
      </c>
      <c r="D99" s="30" t="inlineStr">
        <is>
          <t>fusionar</t>
        </is>
      </c>
      <c r="E99" s="30" t="inlineStr"/>
      <c r="F99" s="30" t="inlineStr">
        <is>
          <t>Química</t>
        </is>
      </c>
      <c r="G99" s="30" t="n">
        <v>3</v>
      </c>
      <c r="H99" s="30" t="n">
        <v>8</v>
      </c>
      <c r="I99" s="30" t="inlineStr">
        <is>
          <t>4. Estequiometría y dispersiones</t>
        </is>
      </c>
      <c r="J99" s="30" t="inlineStr">
        <is>
          <t>T1126-G08-CIE · 8.° · 4.12. Identificación de dispersiones químicas en sustancias de uso cotidiano.
T1128-G08-CIE · 8.° · 4.14. Exploración de los diferentes tipos de dispersiones químicas y sus aplicaciones.</t>
        </is>
      </c>
      <c r="K99" s="30" t="inlineStr">
        <is>
          <t>T8_27-C1.2, T8_27-C2.2</t>
        </is>
      </c>
      <c r="L99" s="30" t="inlineStr">
        <is>
          <t>Identificación de los tipos de dispersiones químicas en sustancias de uso cotidiano y sus aplicaciones.</t>
        </is>
      </c>
      <c r="M99" s="30" t="inlineStr">
        <is>
          <t>Ambos identifican dispersiones cotidianas y sus usos; la clasificación queda aparte.</t>
        </is>
      </c>
      <c r="N99" s="30" t="inlineStr">
        <is>
          <t>alta</t>
        </is>
      </c>
      <c r="O99" s="30" t="n">
        <v>1</v>
      </c>
      <c r="P99" s="19">
        <f>IF(D99="reubicar","Opcional (no cambia el total)",IF(E99="cobertura","Sí (cobertura)",IF(D99="insertar",IF(G99&lt;=IFERROR(INDEX($G$6:$G$20,MATCH(B99,$A$6:$A$20,0)),0),"Sí","Reserva"),IF(SUMIFS($O$24:$O$191,$B$24:$B$191,B99,$D$24:$D$191,"fusionar",$G$24:$G$191,"&lt;"&amp;G99)&lt;IFERROR(INDEX($I$6:$I$20,MATCH(B99,$A$6:$A$20,0)),0),"Sí","Reserva"))))</f>
        <v/>
      </c>
      <c r="Q99" s="31" t="inlineStr"/>
    </row>
    <row r="100">
      <c r="A100" s="30" t="inlineStr">
        <is>
          <t>5-8-F16</t>
        </is>
      </c>
      <c r="B100" s="30">
        <f>"5-8|"&amp;F100</f>
        <v/>
      </c>
      <c r="C100" s="30" t="inlineStr">
        <is>
          <t>Ciclo 5°–8°</t>
        </is>
      </c>
      <c r="D100" s="30" t="inlineStr">
        <is>
          <t>fusionar</t>
        </is>
      </c>
      <c r="E100" s="30" t="inlineStr"/>
      <c r="F100" s="30" t="inlineStr">
        <is>
          <t>Química</t>
        </is>
      </c>
      <c r="G100" s="30" t="n">
        <v>4</v>
      </c>
      <c r="H100" s="30" t="n">
        <v>5</v>
      </c>
      <c r="I100" s="30" t="inlineStr">
        <is>
          <t>3. Estructura atómica.</t>
        </is>
      </c>
      <c r="J100" s="30" t="inlineStr">
        <is>
          <t>T0873-G05-CIE · 5.° · 3.3. Construcción e identificación de un modelo atómico.
T0874-G05-CIE · 5.° · 3.4. Modelación del comportamiento de las partículas subatómicas.</t>
        </is>
      </c>
      <c r="K100" s="30" t="inlineStr">
        <is>
          <t>T8_27-C1.1</t>
        </is>
      </c>
      <c r="L100" s="30" t="inlineStr">
        <is>
          <t>Construcción de un modelo atómico para modelar el comportamiento de las partículas subatómicas.</t>
        </is>
      </c>
      <c r="M100" s="30" t="inlineStr">
        <is>
          <t>Mismo modelo atómico construido y usado; C1.1 muy sobrado.</t>
        </is>
      </c>
      <c r="N100" s="30" t="inlineStr">
        <is>
          <t>alta</t>
        </is>
      </c>
      <c r="O100" s="30" t="n">
        <v>1</v>
      </c>
      <c r="P100" s="19">
        <f>IF(D100="reubicar","Opcional (no cambia el total)",IF(E100="cobertura","Sí (cobertura)",IF(D100="insertar",IF(G100&lt;=IFERROR(INDEX($G$6:$G$20,MATCH(B100,$A$6:$A$20,0)),0),"Sí","Reserva"),IF(SUMIFS($O$24:$O$191,$B$24:$B$191,B100,$D$24:$D$191,"fusionar",$G$24:$G$191,"&lt;"&amp;G100)&lt;IFERROR(INDEX($I$6:$I$20,MATCH(B100,$A$6:$A$20,0)),0),"Sí","Reserva"))))</f>
        <v/>
      </c>
      <c r="Q100" s="31" t="inlineStr"/>
    </row>
    <row r="101">
      <c r="A101" s="30" t="inlineStr">
        <is>
          <t>5-8-F17</t>
        </is>
      </c>
      <c r="B101" s="30">
        <f>"5-8|"&amp;F101</f>
        <v/>
      </c>
      <c r="C101" s="30" t="inlineStr">
        <is>
          <t>Ciclo 5°–8°</t>
        </is>
      </c>
      <c r="D101" s="30" t="inlineStr">
        <is>
          <t>fusionar</t>
        </is>
      </c>
      <c r="E101" s="30" t="inlineStr"/>
      <c r="F101" s="30" t="inlineStr">
        <is>
          <t>Química</t>
        </is>
      </c>
      <c r="G101" s="30" t="n">
        <v>5</v>
      </c>
      <c r="H101" s="30" t="n">
        <v>8</v>
      </c>
      <c r="I101" s="30" t="inlineStr">
        <is>
          <t>4. Estequiometría y dispersiones</t>
        </is>
      </c>
      <c r="J101" s="30" t="inlineStr">
        <is>
          <t>T1115-G08-CIE · 8.° · 4.1. Identificación de las unidades físicas de concentración en sustancias de uso cotidian
T1117-G08-CIE · 8.° · 4.3. Exploración de las aplicaciones cotidianas, industriales y ambientales de las unidade</t>
        </is>
      </c>
      <c r="K101" s="30" t="inlineStr">
        <is>
          <t>T8_27-C2.2</t>
        </is>
      </c>
      <c r="L101" s="30" t="inlineStr">
        <is>
          <t>Identificación de las unidades físicas de concentración y sus aplicaciones cotidianas, industriales y ambientales.</t>
        </is>
      </c>
      <c r="M101" s="30" t="inlineStr">
        <is>
          <t>Identificar unidades y explorar aplicaciones en el mismo contenido.</t>
        </is>
      </c>
      <c r="N101" s="30" t="inlineStr">
        <is>
          <t>alta</t>
        </is>
      </c>
      <c r="O101" s="30" t="n">
        <v>1</v>
      </c>
      <c r="P101" s="19">
        <f>IF(D101="reubicar","Opcional (no cambia el total)",IF(E101="cobertura","Sí (cobertura)",IF(D101="insertar",IF(G101&lt;=IFERROR(INDEX($G$6:$G$20,MATCH(B101,$A$6:$A$20,0)),0),"Sí","Reserva"),IF(SUMIFS($O$24:$O$191,$B$24:$B$191,B101,$D$24:$D$191,"fusionar",$G$24:$G$191,"&lt;"&amp;G101)&lt;IFERROR(INDEX($I$6:$I$20,MATCH(B101,$A$6:$A$20,0)),0),"Sí","Reserva"))))</f>
        <v/>
      </c>
      <c r="Q101" s="31" t="inlineStr"/>
    </row>
    <row r="102">
      <c r="A102" s="30" t="inlineStr">
        <is>
          <t>5-8-F18</t>
        </is>
      </c>
      <c r="B102" s="30">
        <f>"5-8|"&amp;F102</f>
        <v/>
      </c>
      <c r="C102" s="30" t="inlineStr">
        <is>
          <t>Ciclo 5°–8°</t>
        </is>
      </c>
      <c r="D102" s="30" t="inlineStr">
        <is>
          <t>fusionar</t>
        </is>
      </c>
      <c r="E102" s="30" t="inlineStr"/>
      <c r="F102" s="30" t="inlineStr">
        <is>
          <t>Química</t>
        </is>
      </c>
      <c r="G102" s="30" t="n">
        <v>6</v>
      </c>
      <c r="H102" s="30" t="n">
        <v>5</v>
      </c>
      <c r="I102" s="30" t="inlineStr">
        <is>
          <t>3. Estructura atómica.</t>
        </is>
      </c>
      <c r="J102" s="30" t="inlineStr">
        <is>
          <t>T0876-G05-CIE · 5.° · 3.6. Identificación de los tipos de transferencia de carga.
T0877-G05-CIE · 5.° · 3.7. Deducción de la formación de iones monoatómicos.</t>
        </is>
      </c>
      <c r="K102" s="30" t="inlineStr">
        <is>
          <t>T8_27-C1.1</t>
        </is>
      </c>
      <c r="L102" s="30" t="inlineStr">
        <is>
          <t>Identificación de los tipos de transferencia de carga y deducción de la formación de iones monoatómicos.</t>
        </is>
      </c>
      <c r="M102" s="30" t="inlineStr">
        <is>
          <t>La formación de iones es el caso de transferencia de carga; C1.1 sobrado.</t>
        </is>
      </c>
      <c r="N102" s="30" t="inlineStr">
        <is>
          <t>media</t>
        </is>
      </c>
      <c r="O102" s="30" t="n">
        <v>1</v>
      </c>
      <c r="P102" s="19">
        <f>IF(D102="reubicar","Opcional (no cambia el total)",IF(E102="cobertura","Sí (cobertura)",IF(D102="insertar",IF(G102&lt;=IFERROR(INDEX($G$6:$G$20,MATCH(B102,$A$6:$A$20,0)),0),"Sí","Reserva"),IF(SUMIFS($O$24:$O$191,$B$24:$B$191,B102,$D$24:$D$191,"fusionar",$G$24:$G$191,"&lt;"&amp;G102)&lt;IFERROR(INDEX($I$6:$I$20,MATCH(B102,$A$6:$A$20,0)),0),"Sí","Reserva"))))</f>
        <v/>
      </c>
      <c r="Q102" s="31" t="inlineStr"/>
    </row>
    <row r="103">
      <c r="A103" s="30" t="inlineStr">
        <is>
          <t>5-8-R01</t>
        </is>
      </c>
      <c r="B103" s="30">
        <f>"5-8|"&amp;F103</f>
        <v/>
      </c>
      <c r="C103" s="30" t="inlineStr">
        <is>
          <t>Ciclo 5°–8°</t>
        </is>
      </c>
      <c r="D103" s="30" t="inlineStr">
        <is>
          <t>reubicar</t>
        </is>
      </c>
      <c r="E103" s="30" t="inlineStr"/>
      <c r="F103" s="30" t="inlineStr">
        <is>
          <t>Biología</t>
        </is>
      </c>
      <c r="G103" s="30" t="n">
        <v>1</v>
      </c>
      <c r="H103" s="30" t="n">
        <v>5</v>
      </c>
      <c r="I103" s="30" t="inlineStr">
        <is>
          <t>6. Ciencias de la Tierra.</t>
        </is>
      </c>
      <c r="J103" s="30" t="inlineStr">
        <is>
          <t>T1035-G07-CIE · 7.° · 4.8. Reconocimiento de la estructura general y las funciones principales de los ecosistema</t>
        </is>
      </c>
      <c r="K103" s="30" t="inlineStr">
        <is>
          <t>T8_27-B5.2, T8_27-B5.3</t>
        </is>
      </c>
      <c r="L103" s="30" t="inlineStr">
        <is>
          <t>Reconocimiento de la estructura general y funciones de los ecosistemas, trasladado a 5.° para abrir el bloque de ecología junto a los temas insertados.</t>
        </is>
      </c>
      <c r="M103" s="30" t="inlineStr">
        <is>
          <t>Biología +19 en 5.° y −15 en 7.°; los tres países introducen B5.2 en 6.°.</t>
        </is>
      </c>
      <c r="N103" s="30" t="inlineStr">
        <is>
          <t>media</t>
        </is>
      </c>
      <c r="O103" s="30" t="n">
        <v>0</v>
      </c>
      <c r="P103" s="19">
        <f>IF(D103="reubicar","Opcional (no cambia el total)",IF(E103="cobertura","Sí (cobertura)",IF(D103="insertar",IF(G103&lt;=IFERROR(INDEX($G$6:$G$20,MATCH(B103,$A$6:$A$20,0)),0),"Sí","Reserva"),IF(SUMIFS($O$24:$O$191,$B$24:$B$191,B103,$D$24:$D$191,"fusionar",$G$24:$G$191,"&lt;"&amp;G103)&lt;IFERROR(INDEX($I$6:$I$20,MATCH(B103,$A$6:$A$20,0)),0),"Sí","Reserva"))))</f>
        <v/>
      </c>
      <c r="Q103" s="31" t="inlineStr"/>
    </row>
    <row r="104">
      <c r="A104" s="30" t="inlineStr">
        <is>
          <t>5-8-R02</t>
        </is>
      </c>
      <c r="B104" s="30">
        <f>"5-8|"&amp;F104</f>
        <v/>
      </c>
      <c r="C104" s="30" t="inlineStr">
        <is>
          <t>Ciclo 5°–8°</t>
        </is>
      </c>
      <c r="D104" s="30" t="inlineStr">
        <is>
          <t>reubicar</t>
        </is>
      </c>
      <c r="E104" s="30" t="inlineStr"/>
      <c r="F104" s="30" t="inlineStr">
        <is>
          <t>Biología</t>
        </is>
      </c>
      <c r="G104" s="30" t="n">
        <v>2</v>
      </c>
      <c r="H104" s="30" t="n">
        <v>5</v>
      </c>
      <c r="I104" s="30" t="inlineStr">
        <is>
          <t>6. Ciencias de la Tierra.</t>
        </is>
      </c>
      <c r="J104" s="30" t="inlineStr">
        <is>
          <t>T1016-G07-CIE · 7.° · 3.1. Indagación del concepto de biodiversidad y sus niveles.</t>
        </is>
      </c>
      <c r="K104" s="30" t="inlineStr">
        <is>
          <t>T8_27-B4.1, T8_27-B1.1</t>
        </is>
      </c>
      <c r="L104" s="30" t="inlineStr">
        <is>
          <t>Indagación del concepto de biodiversidad y sus niveles, a continuación de los eventos de explosión y extinción de biodiversidad.</t>
        </is>
      </c>
      <c r="M104" s="30" t="inlineStr">
        <is>
          <t>Equilibra Biología 7.°→5.°; Uruguay y Colombia introducen B1.1 en 6.°, El Salvador en 7.°.</t>
        </is>
      </c>
      <c r="N104" s="30" t="inlineStr">
        <is>
          <t>media</t>
        </is>
      </c>
      <c r="O104" s="30" t="n">
        <v>0</v>
      </c>
      <c r="P104" s="19">
        <f>IF(D104="reubicar","Opcional (no cambia el total)",IF(E104="cobertura","Sí (cobertura)",IF(D104="insertar",IF(G104&lt;=IFERROR(INDEX($G$6:$G$20,MATCH(B104,$A$6:$A$20,0)),0),"Sí","Reserva"),IF(SUMIFS($O$24:$O$191,$B$24:$B$191,B104,$D$24:$D$191,"fusionar",$G$24:$G$191,"&lt;"&amp;G104)&lt;IFERROR(INDEX($I$6:$I$20,MATCH(B104,$A$6:$A$20,0)),0),"Sí","Reserva"))))</f>
        <v/>
      </c>
      <c r="Q104" s="31" t="inlineStr"/>
    </row>
    <row r="105">
      <c r="A105" s="30" t="inlineStr">
        <is>
          <t>5-8-R03</t>
        </is>
      </c>
      <c r="B105" s="30">
        <f>"5-8|"&amp;F105</f>
        <v/>
      </c>
      <c r="C105" s="30" t="inlineStr">
        <is>
          <t>Ciclo 5°–8°</t>
        </is>
      </c>
      <c r="D105" s="30" t="inlineStr">
        <is>
          <t>reubicar</t>
        </is>
      </c>
      <c r="E105" s="30" t="inlineStr"/>
      <c r="F105" s="30" t="inlineStr">
        <is>
          <t>Biología</t>
        </is>
      </c>
      <c r="G105" s="30" t="n">
        <v>3</v>
      </c>
      <c r="H105" s="30" t="n">
        <v>5</v>
      </c>
      <c r="I105" s="30" t="inlineStr">
        <is>
          <t>6. Ciencias de la Tierra.</t>
        </is>
      </c>
      <c r="J105" s="30" t="inlineStr">
        <is>
          <t>T1028-G07-CIE · 7.° · 4.1. Identificación de interacciones ecológicas a partir de contextos prácticos.</t>
        </is>
      </c>
      <c r="K105" s="30" t="inlineStr">
        <is>
          <t>T8_27-B5.4</t>
        </is>
      </c>
      <c r="L105" s="30" t="inlineStr">
        <is>
          <t>Identificación de interacciones ecológicas en contextos prácticos, como parte del bloque de ecología de 5.°; 7.° conserva su descripción.</t>
        </is>
      </c>
      <c r="M105" s="30" t="inlineStr">
        <is>
          <t>Equilibra Biología 7.°→5.°; Uruguay y Singapur introducen B5.4 en 6.°, El Salvador en 7.°.</t>
        </is>
      </c>
      <c r="N105" s="30" t="inlineStr">
        <is>
          <t>media</t>
        </is>
      </c>
      <c r="O105" s="30" t="n">
        <v>0</v>
      </c>
      <c r="P105" s="19">
        <f>IF(D105="reubicar","Opcional (no cambia el total)",IF(E105="cobertura","Sí (cobertura)",IF(D105="insertar",IF(G105&lt;=IFERROR(INDEX($G$6:$G$20,MATCH(B105,$A$6:$A$20,0)),0),"Sí","Reserva"),IF(SUMIFS($O$24:$O$191,$B$24:$B$191,B105,$D$24:$D$191,"fusionar",$G$24:$G$191,"&lt;"&amp;G105)&lt;IFERROR(INDEX($I$6:$I$20,MATCH(B105,$A$6:$A$20,0)),0),"Sí","Reserva"))))</f>
        <v/>
      </c>
      <c r="Q105" s="31" t="inlineStr"/>
    </row>
    <row r="106">
      <c r="A106" s="30" t="inlineStr">
        <is>
          <t>5-8-R06</t>
        </is>
      </c>
      <c r="B106" s="30">
        <f>"5-8|"&amp;F106</f>
        <v/>
      </c>
      <c r="C106" s="30" t="inlineStr">
        <is>
          <t>Ciclo 5°–8°</t>
        </is>
      </c>
      <c r="D106" s="30" t="inlineStr">
        <is>
          <t>reubicar</t>
        </is>
      </c>
      <c r="E106" s="30" t="inlineStr"/>
      <c r="F106" s="30" t="inlineStr">
        <is>
          <t>Ciencias de la Tierra</t>
        </is>
      </c>
      <c r="G106" s="30" t="n">
        <v>1</v>
      </c>
      <c r="H106" s="30" t="n">
        <v>8</v>
      </c>
      <c r="I106" s="30" t="inlineStr">
        <is>
          <t>3. Ondas mecánicas</t>
        </is>
      </c>
      <c r="J106" s="30" t="inlineStr">
        <is>
          <t>T0906-G05-CIE · 5.° · 6.9. Discriminación entre las escalas de intensidad y magnitud sísmica.</t>
        </is>
      </c>
      <c r="K106" s="30" t="inlineStr">
        <is>
          <t>T8_27-E1.2</t>
        </is>
      </c>
      <c r="L106" s="30" t="inlineStr">
        <is>
          <t>Discriminación entre escalas de intensidad y magnitud sísmica, vinculada a la energía y amplitud de las ondas mecánicas.</t>
        </is>
      </c>
      <c r="M106" s="30" t="inlineStr">
        <is>
          <t>Tierra −8 en 5.° y +15 en 8.°; las ondas sísmicas se estudian como ondas mecánicas.</t>
        </is>
      </c>
      <c r="N106" s="30" t="inlineStr">
        <is>
          <t>media</t>
        </is>
      </c>
      <c r="O106" s="30" t="n">
        <v>0</v>
      </c>
      <c r="P106" s="19">
        <f>IF(D106="reubicar","Opcional (no cambia el total)",IF(E106="cobertura","Sí (cobertura)",IF(D106="insertar",IF(G106&lt;=IFERROR(INDEX($G$6:$G$20,MATCH(B106,$A$6:$A$20,0)),0),"Sí","Reserva"),IF(SUMIFS($O$24:$O$191,$B$24:$B$191,B106,$D$24:$D$191,"fusionar",$G$24:$G$191,"&lt;"&amp;G106)&lt;IFERROR(INDEX($I$6:$I$20,MATCH(B106,$A$6:$A$20,0)),0),"Sí","Reserva"))))</f>
        <v/>
      </c>
      <c r="Q106" s="31" t="inlineStr"/>
    </row>
    <row r="107">
      <c r="A107" s="30" t="inlineStr">
        <is>
          <t>5-8-R04</t>
        </is>
      </c>
      <c r="B107" s="30">
        <f>"5-8|"&amp;F107</f>
        <v/>
      </c>
      <c r="C107" s="30" t="inlineStr">
        <is>
          <t>Ciclo 5°–8°</t>
        </is>
      </c>
      <c r="D107" s="30" t="inlineStr">
        <is>
          <t>reubicar</t>
        </is>
      </c>
      <c r="E107" s="30" t="inlineStr"/>
      <c r="F107" s="30" t="inlineStr">
        <is>
          <t>Física</t>
        </is>
      </c>
      <c r="G107" s="30" t="n">
        <v>1</v>
      </c>
      <c r="H107" s="30" t="n">
        <v>7</v>
      </c>
      <c r="I107" s="30" t="inlineStr">
        <is>
          <t>5. Recurso hídrico</t>
        </is>
      </c>
      <c r="J107" s="30" t="inlineStr">
        <is>
          <t>T0924-G06-CIE · 6.° · 1.6. Medición del caudal de un fluido.</t>
        </is>
      </c>
      <c r="K107" s="30" t="inlineStr">
        <is>
          <t>T8_27-P6.1, T8_27-E3.2</t>
        </is>
      </c>
      <c r="L107" s="30" t="inlineStr">
        <is>
          <t>Medición del caudal de un fluido, junto a la estimación de caudal y volumen de cuerpos de agua superficiales.</t>
        </is>
      </c>
      <c r="M107" s="30" t="inlineStr">
        <is>
          <t>Física −8 en 6.° y +19 en 7.°; complementa directamente al tema 5.3 de 7.°.</t>
        </is>
      </c>
      <c r="N107" s="30" t="inlineStr">
        <is>
          <t>alta</t>
        </is>
      </c>
      <c r="O107" s="30" t="n">
        <v>0</v>
      </c>
      <c r="P107" s="19">
        <f>IF(D107="reubicar","Opcional (no cambia el total)",IF(E107="cobertura","Sí (cobertura)",IF(D107="insertar",IF(G107&lt;=IFERROR(INDEX($G$6:$G$20,MATCH(B107,$A$6:$A$20,0)),0),"Sí","Reserva"),IF(SUMIFS($O$24:$O$191,$B$24:$B$191,B107,$D$24:$D$191,"fusionar",$G$24:$G$191,"&lt;"&amp;G107)&lt;IFERROR(INDEX($I$6:$I$20,MATCH(B107,$A$6:$A$20,0)),0),"Sí","Reserva"))))</f>
        <v/>
      </c>
      <c r="Q107" s="31" t="inlineStr"/>
    </row>
    <row r="108">
      <c r="A108" s="30" t="inlineStr">
        <is>
          <t>5-8-R05</t>
        </is>
      </c>
      <c r="B108" s="30">
        <f>"5-8|"&amp;F108</f>
        <v/>
      </c>
      <c r="C108" s="30" t="inlineStr">
        <is>
          <t>Ciclo 5°–8°</t>
        </is>
      </c>
      <c r="D108" s="30" t="inlineStr">
        <is>
          <t>reubicar</t>
        </is>
      </c>
      <c r="E108" s="30" t="inlineStr"/>
      <c r="F108" s="30" t="inlineStr">
        <is>
          <t>Química</t>
        </is>
      </c>
      <c r="G108" s="30" t="n">
        <v>1</v>
      </c>
      <c r="H108" s="30" t="n">
        <v>7</v>
      </c>
      <c r="I108" s="30" t="inlineStr">
        <is>
          <t>1. Compuestos inorgánicos</t>
        </is>
      </c>
      <c r="J108" s="30" t="inlineStr">
        <is>
          <t>T0888-G05-CIE · 5.° · 4.7. Identificación de los números de oxidación.</t>
        </is>
      </c>
      <c r="K108" s="30" t="inlineStr">
        <is>
          <t>T8_27-C1.1</t>
        </is>
      </c>
      <c r="L108" s="30" t="inlineStr">
        <is>
          <t>Identificación de los números de oxidación, inmediatamente antes de formular y nombrar compuestos inorgánicos.</t>
        </is>
      </c>
      <c r="M108" s="30" t="inlineStr">
        <is>
          <t>Química −7 en 5.° y +8 en 7.°; la nomenclatura de 7.° requiere números de oxidación.</t>
        </is>
      </c>
      <c r="N108" s="30" t="inlineStr">
        <is>
          <t>alta</t>
        </is>
      </c>
      <c r="O108" s="30" t="n">
        <v>0</v>
      </c>
      <c r="P108" s="19">
        <f>IF(D108="reubicar","Opcional (no cambia el total)",IF(E108="cobertura","Sí (cobertura)",IF(D108="insertar",IF(G108&lt;=IFERROR(INDEX($G$6:$G$20,MATCH(B108,$A$6:$A$20,0)),0),"Sí","Reserva"),IF(SUMIFS($O$24:$O$191,$B$24:$B$191,B108,$D$24:$D$191,"fusionar",$G$24:$G$191,"&lt;"&amp;G108)&lt;IFERROR(INDEX($I$6:$I$20,MATCH(B108,$A$6:$A$20,0)),0),"Sí","Reserva"))))</f>
        <v/>
      </c>
      <c r="Q108" s="31" t="inlineStr"/>
    </row>
    <row r="109">
      <c r="A109" s="30" t="inlineStr">
        <is>
          <t>7-9-I20</t>
        </is>
      </c>
      <c r="B109" s="30">
        <f>"7-9|"&amp;F109</f>
        <v/>
      </c>
      <c r="C109" s="30" t="inlineStr">
        <is>
          <t>Ciclo 7°–9°</t>
        </is>
      </c>
      <c r="D109" s="30" t="inlineStr">
        <is>
          <t>insertar</t>
        </is>
      </c>
      <c r="E109" s="30" t="inlineStr">
        <is>
          <t>balance</t>
        </is>
      </c>
      <c r="F109" s="30" t="inlineStr">
        <is>
          <t>Sistemas de la Tierra y el espacio</t>
        </is>
      </c>
      <c r="G109" s="30" t="n">
        <v>1</v>
      </c>
      <c r="H109" s="30" t="n">
        <v>8</v>
      </c>
      <c r="I109" s="30" t="inlineStr">
        <is>
          <t>8. La Tierra en el universo (nueva)</t>
        </is>
      </c>
      <c r="J109" s="30" t="inlineStr"/>
      <c r="K109" s="30" t="inlineStr">
        <is>
          <t>PISA-T8</t>
        </is>
      </c>
      <c r="L109" s="30" t="inlineStr">
        <is>
          <t>Indagación del origen del universo según la teoría del Big Bang y sus evidencias.</t>
        </is>
      </c>
      <c r="M109" s="30" t="inlineStr">
        <is>
          <t>PISA-T8 sin ningún tema en el ciclo.</t>
        </is>
      </c>
      <c r="N109" s="30" t="inlineStr">
        <is>
          <t>alta</t>
        </is>
      </c>
      <c r="O109" s="30" t="n">
        <v>0</v>
      </c>
      <c r="P109" s="19">
        <f>IF(D109="reubicar","Opcional (no cambia el total)",IF(E109="cobertura","Sí (cobertura)",IF(D109="insertar",IF(G109&lt;=IFERROR(INDEX($G$6:$G$20,MATCH(B109,$A$6:$A$20,0)),0),"Sí","Reserva"),IF(SUMIFS($O$24:$O$191,$B$24:$B$191,B109,$D$24:$D$191,"fusionar",$G$24:$G$191,"&lt;"&amp;G109)&lt;IFERROR(INDEX($I$6:$I$20,MATCH(B109,$A$6:$A$20,0)),0),"Sí","Reserva"))))</f>
        <v/>
      </c>
      <c r="Q109" s="31" t="inlineStr"/>
    </row>
    <row r="110">
      <c r="A110" s="30" t="inlineStr">
        <is>
          <t>7-9-I21</t>
        </is>
      </c>
      <c r="B110" s="30">
        <f>"7-9|"&amp;F110</f>
        <v/>
      </c>
      <c r="C110" s="30" t="inlineStr">
        <is>
          <t>Ciclo 7°–9°</t>
        </is>
      </c>
      <c r="D110" s="30" t="inlineStr">
        <is>
          <t>insertar</t>
        </is>
      </c>
      <c r="E110" s="30" t="inlineStr">
        <is>
          <t>balance</t>
        </is>
      </c>
      <c r="F110" s="30" t="inlineStr">
        <is>
          <t>Sistemas de la Tierra y el espacio</t>
        </is>
      </c>
      <c r="G110" s="30" t="n">
        <v>2</v>
      </c>
      <c r="H110" s="30" t="n">
        <v>8</v>
      </c>
      <c r="I110" s="30" t="inlineStr">
        <is>
          <t>8. La Tierra en el universo (nueva)</t>
        </is>
      </c>
      <c r="J110" s="30" t="inlineStr"/>
      <c r="K110" s="30" t="inlineStr">
        <is>
          <t>PISA-T8, PISA-T7</t>
        </is>
      </c>
      <c r="L110" s="30" t="inlineStr">
        <is>
          <t>Modelaje de la formación del sistema solar a partir de una nebulosa y la acreción de planetas.</t>
        </is>
      </c>
      <c r="M110" s="30" t="inlineStr">
        <is>
          <t>T8 no cubierto; formación planetaria ausente.</t>
        </is>
      </c>
      <c r="N110" s="30" t="inlineStr">
        <is>
          <t>alta</t>
        </is>
      </c>
      <c r="O110" s="30" t="n">
        <v>0</v>
      </c>
      <c r="P110" s="19">
        <f>IF(D110="reubicar","Opcional (no cambia el total)",IF(E110="cobertura","Sí (cobertura)",IF(D110="insertar",IF(G110&lt;=IFERROR(INDEX($G$6:$G$20,MATCH(B110,$A$6:$A$20,0)),0),"Sí","Reserva"),IF(SUMIFS($O$24:$O$191,$B$24:$B$191,B110,$D$24:$D$191,"fusionar",$G$24:$G$191,"&lt;"&amp;G110)&lt;IFERROR(INDEX($I$6:$I$20,MATCH(B110,$A$6:$A$20,0)),0),"Sí","Reserva"))))</f>
        <v/>
      </c>
      <c r="Q110" s="31" t="inlineStr"/>
    </row>
    <row r="111">
      <c r="A111" s="30" t="inlineStr">
        <is>
          <t>7-9-I22</t>
        </is>
      </c>
      <c r="B111" s="30">
        <f>"7-9|"&amp;F111</f>
        <v/>
      </c>
      <c r="C111" s="30" t="inlineStr">
        <is>
          <t>Ciclo 7°–9°</t>
        </is>
      </c>
      <c r="D111" s="30" t="inlineStr">
        <is>
          <t>insertar</t>
        </is>
      </c>
      <c r="E111" s="30" t="inlineStr">
        <is>
          <t>balance</t>
        </is>
      </c>
      <c r="F111" s="30" t="inlineStr">
        <is>
          <t>Sistemas de la Tierra y el espacio</t>
        </is>
      </c>
      <c r="G111" s="30" t="n">
        <v>3</v>
      </c>
      <c r="H111" s="30" t="n">
        <v>8</v>
      </c>
      <c r="I111" s="30" t="inlineStr">
        <is>
          <t>8. La Tierra en el universo (nueva)</t>
        </is>
      </c>
      <c r="J111" s="30" t="inlineStr"/>
      <c r="K111" s="30" t="inlineStr">
        <is>
          <t>PISA-T8, PISA-F1</t>
        </is>
      </c>
      <c r="L111" s="30" t="inlineStr">
        <is>
          <t>Descripción del ciclo de vida de las estrellas y del origen de los elementos químicos.</t>
        </is>
      </c>
      <c r="M111" s="30" t="inlineStr">
        <is>
          <t>T8 no cubierto; conecta con química del ciclo.</t>
        </is>
      </c>
      <c r="N111" s="30" t="inlineStr">
        <is>
          <t>alta</t>
        </is>
      </c>
      <c r="O111" s="30" t="n">
        <v>0</v>
      </c>
      <c r="P111" s="19">
        <f>IF(D111="reubicar","Opcional (no cambia el total)",IF(E111="cobertura","Sí (cobertura)",IF(D111="insertar",IF(G111&lt;=IFERROR(INDEX($G$6:$G$20,MATCH(B111,$A$6:$A$20,0)),0),"Sí","Reserva"),IF(SUMIFS($O$24:$O$191,$B$24:$B$191,B111,$D$24:$D$191,"fusionar",$G$24:$G$191,"&lt;"&amp;G111)&lt;IFERROR(INDEX($I$6:$I$20,MATCH(B111,$A$6:$A$20,0)),0),"Sí","Reserva"))))</f>
        <v/>
      </c>
      <c r="Q111" s="31" t="inlineStr"/>
    </row>
    <row r="112">
      <c r="A112" s="30" t="inlineStr">
        <is>
          <t>7-9-I23</t>
        </is>
      </c>
      <c r="B112" s="30">
        <f>"7-9|"&amp;F112</f>
        <v/>
      </c>
      <c r="C112" s="30" t="inlineStr">
        <is>
          <t>Ciclo 7°–9°</t>
        </is>
      </c>
      <c r="D112" s="30" t="inlineStr">
        <is>
          <t>insertar</t>
        </is>
      </c>
      <c r="E112" s="30" t="inlineStr">
        <is>
          <t>balance</t>
        </is>
      </c>
      <c r="F112" s="30" t="inlineStr">
        <is>
          <t>Sistemas de la Tierra y el espacio</t>
        </is>
      </c>
      <c r="G112" s="30" t="n">
        <v>4</v>
      </c>
      <c r="H112" s="30" t="n">
        <v>8</v>
      </c>
      <c r="I112" s="30" t="inlineStr">
        <is>
          <t>8. La Tierra en el universo (nueva)</t>
        </is>
      </c>
      <c r="J112" s="30" t="inlineStr"/>
      <c r="K112" s="30" t="inlineStr">
        <is>
          <t>PISA-T7</t>
        </is>
      </c>
      <c r="L112" s="30" t="inlineStr">
        <is>
          <t>Modelaje de las fases de la Luna y de los eclipses a partir de las posiciones del Sol, la Tierra y la Luna.</t>
        </is>
      </c>
      <c r="M112" s="30" t="inlineStr">
        <is>
          <t>T7 tiene solo 3 temas, todos secundarios.</t>
        </is>
      </c>
      <c r="N112" s="30" t="inlineStr">
        <is>
          <t>alta</t>
        </is>
      </c>
      <c r="O112" s="30" t="n">
        <v>0</v>
      </c>
      <c r="P112" s="19">
        <f>IF(D112="reubicar","Opcional (no cambia el total)",IF(E112="cobertura","Sí (cobertura)",IF(D112="insertar",IF(G112&lt;=IFERROR(INDEX($G$6:$G$20,MATCH(B112,$A$6:$A$20,0)),0),"Sí","Reserva"),IF(SUMIFS($O$24:$O$191,$B$24:$B$191,B112,$D$24:$D$191,"fusionar",$G$24:$G$191,"&lt;"&amp;G112)&lt;IFERROR(INDEX($I$6:$I$20,MATCH(B112,$A$6:$A$20,0)),0),"Sí","Reserva"))))</f>
        <v/>
      </c>
      <c r="Q112" s="31" t="inlineStr"/>
    </row>
    <row r="113">
      <c r="A113" s="30" t="inlineStr">
        <is>
          <t>7-9-I24</t>
        </is>
      </c>
      <c r="B113" s="30">
        <f>"7-9|"&amp;F113</f>
        <v/>
      </c>
      <c r="C113" s="30" t="inlineStr">
        <is>
          <t>Ciclo 7°–9°</t>
        </is>
      </c>
      <c r="D113" s="30" t="inlineStr">
        <is>
          <t>insertar</t>
        </is>
      </c>
      <c r="E113" s="30" t="inlineStr">
        <is>
          <t>balance</t>
        </is>
      </c>
      <c r="F113" s="30" t="inlineStr">
        <is>
          <t>Sistemas de la Tierra y el espacio</t>
        </is>
      </c>
      <c r="G113" s="30" t="n">
        <v>5</v>
      </c>
      <c r="H113" s="30" t="n">
        <v>8</v>
      </c>
      <c r="I113" s="30" t="inlineStr">
        <is>
          <t>8. La Tierra en el universo (nueva)</t>
        </is>
      </c>
      <c r="J113" s="30" t="inlineStr"/>
      <c r="K113" s="30" t="inlineStr">
        <is>
          <t>PISA-T7, PISA-T3</t>
        </is>
      </c>
      <c r="L113" s="30" t="inlineStr">
        <is>
          <t>Explicación de las estaciones a partir de la inclinación del eje y los movimientos de la Tierra.</t>
        </is>
      </c>
      <c r="M113" s="30" t="inlineStr">
        <is>
          <t>T7 débil; estaciones son contenido básico internacional.</t>
        </is>
      </c>
      <c r="N113" s="30" t="inlineStr">
        <is>
          <t>alta</t>
        </is>
      </c>
      <c r="O113" s="30" t="n">
        <v>0</v>
      </c>
      <c r="P113" s="19">
        <f>IF(D113="reubicar","Opcional (no cambia el total)",IF(E113="cobertura","Sí (cobertura)",IF(D113="insertar",IF(G113&lt;=IFERROR(INDEX($G$6:$G$20,MATCH(B113,$A$6:$A$20,0)),0),"Sí","Reserva"),IF(SUMIFS($O$24:$O$191,$B$24:$B$191,B113,$D$24:$D$191,"fusionar",$G$24:$G$191,"&lt;"&amp;G113)&lt;IFERROR(INDEX($I$6:$I$20,MATCH(B113,$A$6:$A$20,0)),0),"Sí","Reserva"))))</f>
        <v/>
      </c>
      <c r="Q113" s="31" t="inlineStr"/>
    </row>
    <row r="114">
      <c r="A114" s="30" t="inlineStr">
        <is>
          <t>7-9-I25</t>
        </is>
      </c>
      <c r="B114" s="30">
        <f>"7-9|"&amp;F114</f>
        <v/>
      </c>
      <c r="C114" s="30" t="inlineStr">
        <is>
          <t>Ciclo 7°–9°</t>
        </is>
      </c>
      <c r="D114" s="30" t="inlineStr">
        <is>
          <t>insertar</t>
        </is>
      </c>
      <c r="E114" s="30" t="inlineStr">
        <is>
          <t>balance</t>
        </is>
      </c>
      <c r="F114" s="30" t="inlineStr">
        <is>
          <t>Sistemas de la Tierra y el espacio</t>
        </is>
      </c>
      <c r="G114" s="30" t="n">
        <v>6</v>
      </c>
      <c r="H114" s="30" t="n">
        <v>8</v>
      </c>
      <c r="I114" s="30" t="inlineStr">
        <is>
          <t>8. La Tierra en el universo (nueva)</t>
        </is>
      </c>
      <c r="J114" s="30" t="inlineStr"/>
      <c r="K114" s="30" t="inlineStr">
        <is>
          <t>PISA-T7</t>
        </is>
      </c>
      <c r="L114" s="30" t="inlineStr">
        <is>
          <t>Construcción de un modelo a escala del sistema solar para comparar tamaños y distancias.</t>
        </is>
      </c>
      <c r="M114" s="30" t="inlineStr">
        <is>
          <t>T7 débil; escala del sistema solar ausente.</t>
        </is>
      </c>
      <c r="N114" s="30" t="inlineStr">
        <is>
          <t>alta</t>
        </is>
      </c>
      <c r="O114" s="30" t="n">
        <v>0</v>
      </c>
      <c r="P114" s="19">
        <f>IF(D114="reubicar","Opcional (no cambia el total)",IF(E114="cobertura","Sí (cobertura)",IF(D114="insertar",IF(G114&lt;=IFERROR(INDEX($G$6:$G$20,MATCH(B114,$A$6:$A$20,0)),0),"Sí","Reserva"),IF(SUMIFS($O$24:$O$191,$B$24:$B$191,B114,$D$24:$D$191,"fusionar",$G$24:$G$191,"&lt;"&amp;G114)&lt;IFERROR(INDEX($I$6:$I$20,MATCH(B114,$A$6:$A$20,0)),0),"Sí","Reserva"))))</f>
        <v/>
      </c>
      <c r="Q114" s="31" t="inlineStr"/>
    </row>
    <row r="115">
      <c r="A115" s="30" t="inlineStr">
        <is>
          <t>7-9-I26</t>
        </is>
      </c>
      <c r="B115" s="30">
        <f>"7-9|"&amp;F115</f>
        <v/>
      </c>
      <c r="C115" s="30" t="inlineStr">
        <is>
          <t>Ciclo 7°–9°</t>
        </is>
      </c>
      <c r="D115" s="30" t="inlineStr">
        <is>
          <t>insertar</t>
        </is>
      </c>
      <c r="E115" s="30" t="inlineStr">
        <is>
          <t>balance</t>
        </is>
      </c>
      <c r="F115" s="30" t="inlineStr">
        <is>
          <t>Sistemas de la Tierra y el espacio</t>
        </is>
      </c>
      <c r="G115" s="30" t="n">
        <v>7</v>
      </c>
      <c r="H115" s="30" t="n">
        <v>8</v>
      </c>
      <c r="I115" s="30" t="inlineStr">
        <is>
          <t>8. La Tierra en el universo (nueva)</t>
        </is>
      </c>
      <c r="J115" s="30" t="inlineStr"/>
      <c r="K115" s="30" t="inlineStr">
        <is>
          <t>PISA-T7, PISA-T8</t>
        </is>
      </c>
      <c r="L115" s="30" t="inlineStr">
        <is>
          <t>Ubicación de la Tierra en la Vía Láctea y comparación de tipos de galaxias.</t>
        </is>
      </c>
      <c r="M115" s="30" t="inlineStr">
        <is>
          <t>PISA T7 menciona galaxias; nada en el ciclo.</t>
        </is>
      </c>
      <c r="N115" s="30" t="inlineStr">
        <is>
          <t>alta</t>
        </is>
      </c>
      <c r="O115" s="30" t="n">
        <v>0</v>
      </c>
      <c r="P115" s="19">
        <f>IF(D115="reubicar","Opcional (no cambia el total)",IF(E115="cobertura","Sí (cobertura)",IF(D115="insertar",IF(G115&lt;=IFERROR(INDEX($G$6:$G$20,MATCH(B115,$A$6:$A$20,0)),0),"Sí","Reserva"),IF(SUMIFS($O$24:$O$191,$B$24:$B$191,B115,$D$24:$D$191,"fusionar",$G$24:$G$191,"&lt;"&amp;G115)&lt;IFERROR(INDEX($I$6:$I$20,MATCH(B115,$A$6:$A$20,0)),0),"Sí","Reserva"))))</f>
        <v/>
      </c>
      <c r="Q115" s="31" t="inlineStr"/>
    </row>
    <row r="116">
      <c r="A116" s="30" t="inlineStr">
        <is>
          <t>7-9-I27</t>
        </is>
      </c>
      <c r="B116" s="30">
        <f>"7-9|"&amp;F116</f>
        <v/>
      </c>
      <c r="C116" s="30" t="inlineStr">
        <is>
          <t>Ciclo 7°–9°</t>
        </is>
      </c>
      <c r="D116" s="30" t="inlineStr">
        <is>
          <t>insertar</t>
        </is>
      </c>
      <c r="E116" s="30" t="inlineStr">
        <is>
          <t>balance</t>
        </is>
      </c>
      <c r="F116" s="30" t="inlineStr">
        <is>
          <t>Sistemas de la Tierra y el espacio</t>
        </is>
      </c>
      <c r="G116" s="30" t="n">
        <v>8</v>
      </c>
      <c r="H116" s="30" t="n">
        <v>8</v>
      </c>
      <c r="I116" s="30" t="inlineStr">
        <is>
          <t>9. Historia de la Tierra (nueva)</t>
        </is>
      </c>
      <c r="J116" s="30" t="inlineStr"/>
      <c r="K116" s="30" t="inlineStr">
        <is>
          <t>PISA-T6, PISA-V5</t>
        </is>
      </c>
      <c r="L116" s="30" t="inlineStr">
        <is>
          <t>Indagación de los procesos de fosilización y de la datación relativa de estratos.</t>
        </is>
      </c>
      <c r="M116" s="30" t="inlineStr">
        <is>
          <t>T6 tiene solo 4 temas; fósiles ausentes.</t>
        </is>
      </c>
      <c r="N116" s="30" t="inlineStr">
        <is>
          <t>alta</t>
        </is>
      </c>
      <c r="O116" s="30" t="n">
        <v>0</v>
      </c>
      <c r="P116" s="19">
        <f>IF(D116="reubicar","Opcional (no cambia el total)",IF(E116="cobertura","Sí (cobertura)",IF(D116="insertar",IF(G116&lt;=IFERROR(INDEX($G$6:$G$20,MATCH(B116,$A$6:$A$20,0)),0),"Sí","Reserva"),IF(SUMIFS($O$24:$O$191,$B$24:$B$191,B116,$D$24:$D$191,"fusionar",$G$24:$G$191,"&lt;"&amp;G116)&lt;IFERROR(INDEX($I$6:$I$20,MATCH(B116,$A$6:$A$20,0)),0),"Sí","Reserva"))))</f>
        <v/>
      </c>
      <c r="Q116" s="31" t="inlineStr"/>
    </row>
    <row r="117">
      <c r="A117" s="30" t="inlineStr">
        <is>
          <t>7-9-I28</t>
        </is>
      </c>
      <c r="B117" s="30">
        <f>"7-9|"&amp;F117</f>
        <v/>
      </c>
      <c r="C117" s="30" t="inlineStr">
        <is>
          <t>Ciclo 7°–9°</t>
        </is>
      </c>
      <c r="D117" s="30" t="inlineStr">
        <is>
          <t>insertar</t>
        </is>
      </c>
      <c r="E117" s="30" t="inlineStr">
        <is>
          <t>balance</t>
        </is>
      </c>
      <c r="F117" s="30" t="inlineStr">
        <is>
          <t>Sistemas de la Tierra y el espacio</t>
        </is>
      </c>
      <c r="G117" s="30" t="n">
        <v>9</v>
      </c>
      <c r="H117" s="30" t="n">
        <v>8</v>
      </c>
      <c r="I117" s="30" t="inlineStr">
        <is>
          <t>9. Historia de la Tierra (nueva)</t>
        </is>
      </c>
      <c r="J117" s="30" t="inlineStr"/>
      <c r="K117" s="30" t="inlineStr">
        <is>
          <t>PISA-T6, PISA-V5</t>
        </is>
      </c>
      <c r="L117" s="30" t="inlineStr">
        <is>
          <t>Construcción de una línea del tiempo geológico con los principales eventos de la historia de la vida.</t>
        </is>
      </c>
      <c r="M117" s="30" t="inlineStr">
        <is>
          <t>Origen y evolución de la Tierra no trabajados.</t>
        </is>
      </c>
      <c r="N117" s="30" t="inlineStr">
        <is>
          <t>alta</t>
        </is>
      </c>
      <c r="O117" s="30" t="n">
        <v>0</v>
      </c>
      <c r="P117" s="19">
        <f>IF(D117="reubicar","Opcional (no cambia el total)",IF(E117="cobertura","Sí (cobertura)",IF(D117="insertar",IF(G117&lt;=IFERROR(INDEX($G$6:$G$20,MATCH(B117,$A$6:$A$20,0)),0),"Sí","Reserva"),IF(SUMIFS($O$24:$O$191,$B$24:$B$191,B117,$D$24:$D$191,"fusionar",$G$24:$G$191,"&lt;"&amp;G117)&lt;IFERROR(INDEX($I$6:$I$20,MATCH(B117,$A$6:$A$20,0)),0),"Sí","Reserva"))))</f>
        <v/>
      </c>
      <c r="Q117" s="31" t="inlineStr"/>
    </row>
    <row r="118">
      <c r="A118" s="30" t="inlineStr">
        <is>
          <t>7-9-I29</t>
        </is>
      </c>
      <c r="B118" s="30">
        <f>"7-9|"&amp;F118</f>
        <v/>
      </c>
      <c r="C118" s="30" t="inlineStr">
        <is>
          <t>Ciclo 7°–9°</t>
        </is>
      </c>
      <c r="D118" s="30" t="inlineStr">
        <is>
          <t>insertar</t>
        </is>
      </c>
      <c r="E118" s="30" t="inlineStr">
        <is>
          <t>balance</t>
        </is>
      </c>
      <c r="F118" s="30" t="inlineStr">
        <is>
          <t>Sistemas de la Tierra y el espacio</t>
        </is>
      </c>
      <c r="G118" s="30" t="n">
        <v>10</v>
      </c>
      <c r="H118" s="30" t="n">
        <v>8</v>
      </c>
      <c r="I118" s="30" t="inlineStr">
        <is>
          <t>5. Minerales</t>
        </is>
      </c>
      <c r="J118" s="30" t="inlineStr"/>
      <c r="K118" s="30" t="inlineStr">
        <is>
          <t>PISA-T6, PISA-T1</t>
        </is>
      </c>
      <c r="L118" s="30" t="inlineStr">
        <is>
          <t>Modelaje del ciclo de las rocas: meteorización, erosión, sedimentación y metamorfismo.</t>
        </is>
      </c>
      <c r="M118" s="30" t="inlineStr">
        <is>
          <t>Encaja en «Minerales y rocas»; refuerza T6.</t>
        </is>
      </c>
      <c r="N118" s="30" t="inlineStr">
        <is>
          <t>alta</t>
        </is>
      </c>
      <c r="O118" s="30" t="n">
        <v>0</v>
      </c>
      <c r="P118" s="19">
        <f>IF(D118="reubicar","Opcional (no cambia el total)",IF(E118="cobertura","Sí (cobertura)",IF(D118="insertar",IF(G118&lt;=IFERROR(INDEX($G$6:$G$20,MATCH(B118,$A$6:$A$20,0)),0),"Sí","Reserva"),IF(SUMIFS($O$24:$O$191,$B$24:$B$191,B118,$D$24:$D$191,"fusionar",$G$24:$G$191,"&lt;"&amp;G118)&lt;IFERROR(INDEX($I$6:$I$20,MATCH(B118,$A$6:$A$20,0)),0),"Sí","Reserva"))))</f>
        <v/>
      </c>
      <c r="Q118" s="31" t="inlineStr"/>
    </row>
    <row r="119">
      <c r="A119" s="30" t="inlineStr">
        <is>
          <t>7-9-I30</t>
        </is>
      </c>
      <c r="B119" s="30">
        <f>"7-9|"&amp;F119</f>
        <v/>
      </c>
      <c r="C119" s="30" t="inlineStr">
        <is>
          <t>Ciclo 7°–9°</t>
        </is>
      </c>
      <c r="D119" s="30" t="inlineStr">
        <is>
          <t>insertar</t>
        </is>
      </c>
      <c r="E119" s="30" t="inlineStr">
        <is>
          <t>balance</t>
        </is>
      </c>
      <c r="F119" s="30" t="inlineStr">
        <is>
          <t>Sistemas de la Tierra y el espacio</t>
        </is>
      </c>
      <c r="G119" s="30" t="n">
        <v>11</v>
      </c>
      <c r="H119" s="30" t="n">
        <v>8</v>
      </c>
      <c r="I119" s="30" t="inlineStr">
        <is>
          <t>9. Historia de la Tierra (nueva)</t>
        </is>
      </c>
      <c r="J119" s="30" t="inlineStr"/>
      <c r="K119" s="30" t="inlineStr">
        <is>
          <t>PISA-T6, PISA-T2</t>
        </is>
      </c>
      <c r="L119" s="30" t="inlineStr">
        <is>
          <t>Experimentación con la meteorización y la erosión del suelo y prácticas de conservación.</t>
        </is>
      </c>
      <c r="M119" s="30" t="inlineStr">
        <is>
          <t>Erosión solo en 9.° costero; suelo como recurso.</t>
        </is>
      </c>
      <c r="N119" s="30" t="inlineStr">
        <is>
          <t>media</t>
        </is>
      </c>
      <c r="O119" s="30" t="n">
        <v>0</v>
      </c>
      <c r="P119" s="19">
        <f>IF(D119="reubicar","Opcional (no cambia el total)",IF(E119="cobertura","Sí (cobertura)",IF(D119="insertar",IF(G119&lt;=IFERROR(INDEX($G$6:$G$20,MATCH(B119,$A$6:$A$20,0)),0),"Sí","Reserva"),IF(SUMIFS($O$24:$O$191,$B$24:$B$191,B119,$D$24:$D$191,"fusionar",$G$24:$G$191,"&lt;"&amp;G119)&lt;IFERROR(INDEX($I$6:$I$20,MATCH(B119,$A$6:$A$20,0)),0),"Sí","Reserva"))))</f>
        <v/>
      </c>
      <c r="Q119" s="31" t="inlineStr"/>
    </row>
    <row r="120">
      <c r="A120" s="30" t="inlineStr">
        <is>
          <t>7-9-I31</t>
        </is>
      </c>
      <c r="B120" s="30">
        <f>"7-9|"&amp;F120</f>
        <v/>
      </c>
      <c r="C120" s="30" t="inlineStr">
        <is>
          <t>Ciclo 7°–9°</t>
        </is>
      </c>
      <c r="D120" s="30" t="inlineStr">
        <is>
          <t>insertar</t>
        </is>
      </c>
      <c r="E120" s="30" t="inlineStr">
        <is>
          <t>balance</t>
        </is>
      </c>
      <c r="F120" s="30" t="inlineStr">
        <is>
          <t>Sistemas de la Tierra y el espacio</t>
        </is>
      </c>
      <c r="G120" s="30" t="n">
        <v>12</v>
      </c>
      <c r="H120" s="30" t="n">
        <v>8</v>
      </c>
      <c r="I120" s="30" t="inlineStr">
        <is>
          <t>8. La Tierra en el universo (nueva)</t>
        </is>
      </c>
      <c r="J120" s="30" t="inlineStr"/>
      <c r="K120" s="30" t="inlineStr">
        <is>
          <t>PISA-T7, PISA-F3</t>
        </is>
      </c>
      <c r="L120" s="30" t="inlineStr">
        <is>
          <t>Explicación del papel de la gravedad en las órbitas de planetas y satélites.</t>
        </is>
      </c>
      <c r="M120" s="30" t="inlineStr">
        <is>
          <t>T7 débil; enlaza con mecánica de 8.°.</t>
        </is>
      </c>
      <c r="N120" s="30" t="inlineStr">
        <is>
          <t>media</t>
        </is>
      </c>
      <c r="O120" s="30" t="n">
        <v>0</v>
      </c>
      <c r="P120" s="19">
        <f>IF(D120="reubicar","Opcional (no cambia el total)",IF(E120="cobertura","Sí (cobertura)",IF(D120="insertar",IF(G120&lt;=IFERROR(INDEX($G$6:$G$20,MATCH(B120,$A$6:$A$20,0)),0),"Sí","Reserva"),IF(SUMIFS($O$24:$O$191,$B$24:$B$191,B120,$D$24:$D$191,"fusionar",$G$24:$G$191,"&lt;"&amp;G120)&lt;IFERROR(INDEX($I$6:$I$20,MATCH(B120,$A$6:$A$20,0)),0),"Sí","Reserva"))))</f>
        <v/>
      </c>
      <c r="Q120" s="31" t="inlineStr"/>
    </row>
    <row r="121">
      <c r="A121" s="30" t="inlineStr">
        <is>
          <t>7-9-I32</t>
        </is>
      </c>
      <c r="B121" s="30">
        <f>"7-9|"&amp;F121</f>
        <v/>
      </c>
      <c r="C121" s="30" t="inlineStr">
        <is>
          <t>Ciclo 7°–9°</t>
        </is>
      </c>
      <c r="D121" s="30" t="inlineStr">
        <is>
          <t>insertar</t>
        </is>
      </c>
      <c r="E121" s="30" t="inlineStr">
        <is>
          <t>balance</t>
        </is>
      </c>
      <c r="F121" s="30" t="inlineStr">
        <is>
          <t>Sistemas de la Tierra y el espacio</t>
        </is>
      </c>
      <c r="G121" s="30" t="n">
        <v>13</v>
      </c>
      <c r="H121" s="30" t="n">
        <v>8</v>
      </c>
      <c r="I121" s="30" t="inlineStr">
        <is>
          <t>10. Sistemas terrestres y cambio global (nueva)</t>
        </is>
      </c>
      <c r="J121" s="30" t="inlineStr"/>
      <c r="K121" s="30" t="inlineStr">
        <is>
          <t>PISA-T5, PISA-V7</t>
        </is>
      </c>
      <c r="L121" s="30" t="inlineStr">
        <is>
          <t>Representación del ciclo del carbono entre atmósfera, océanos, biosfera y geosfera.</t>
        </is>
      </c>
      <c r="M121" s="30" t="inlineStr">
        <is>
          <t>T5 tiene 9 temas; ciclos geoquímicos no explícitos.</t>
        </is>
      </c>
      <c r="N121" s="30" t="inlineStr">
        <is>
          <t>alta</t>
        </is>
      </c>
      <c r="O121" s="30" t="n">
        <v>0</v>
      </c>
      <c r="P121" s="19">
        <f>IF(D121="reubicar","Opcional (no cambia el total)",IF(E121="cobertura","Sí (cobertura)",IF(D121="insertar",IF(G121&lt;=IFERROR(INDEX($G$6:$G$20,MATCH(B121,$A$6:$A$20,0)),0),"Sí","Reserva"),IF(SUMIFS($O$24:$O$191,$B$24:$B$191,B121,$D$24:$D$191,"fusionar",$G$24:$G$191,"&lt;"&amp;G121)&lt;IFERROR(INDEX($I$6:$I$20,MATCH(B121,$A$6:$A$20,0)),0),"Sí","Reserva"))))</f>
        <v/>
      </c>
      <c r="Q121" s="31" t="inlineStr"/>
    </row>
    <row r="122">
      <c r="A122" s="30" t="inlineStr">
        <is>
          <t>7-9-I33</t>
        </is>
      </c>
      <c r="B122" s="30">
        <f>"7-9|"&amp;F122</f>
        <v/>
      </c>
      <c r="C122" s="30" t="inlineStr">
        <is>
          <t>Ciclo 7°–9°</t>
        </is>
      </c>
      <c r="D122" s="30" t="inlineStr">
        <is>
          <t>insertar</t>
        </is>
      </c>
      <c r="E122" s="30" t="inlineStr">
        <is>
          <t>balance</t>
        </is>
      </c>
      <c r="F122" s="30" t="inlineStr">
        <is>
          <t>Sistemas de la Tierra y el espacio</t>
        </is>
      </c>
      <c r="G122" s="30" t="n">
        <v>14</v>
      </c>
      <c r="H122" s="30" t="n">
        <v>9</v>
      </c>
      <c r="I122" s="30" t="inlineStr">
        <is>
          <t>4. Oceanografía</t>
        </is>
      </c>
      <c r="J122" s="30" t="inlineStr"/>
      <c r="K122" s="30" t="inlineStr">
        <is>
          <t>PISA-T5, PISA-F2</t>
        </is>
      </c>
      <c r="L122" s="30" t="inlineStr">
        <is>
          <t>Experimentación con la disolución de CO2 en agua y análisis de la acidificación del océano.</t>
        </is>
      </c>
      <c r="M122" s="30" t="inlineStr">
        <is>
          <t>PISA T5 nombra acidificación; encaja con equilibrio ácido-base de 9.°.</t>
        </is>
      </c>
      <c r="N122" s="30" t="inlineStr">
        <is>
          <t>alta</t>
        </is>
      </c>
      <c r="O122" s="30" t="n">
        <v>0</v>
      </c>
      <c r="P122" s="19">
        <f>IF(D122="reubicar","Opcional (no cambia el total)",IF(E122="cobertura","Sí (cobertura)",IF(D122="insertar",IF(G122&lt;=IFERROR(INDEX($G$6:$G$20,MATCH(B122,$A$6:$A$20,0)),0),"Sí","Reserva"),IF(SUMIFS($O$24:$O$191,$B$24:$B$191,B122,$D$24:$D$191,"fusionar",$G$24:$G$191,"&lt;"&amp;G122)&lt;IFERROR(INDEX($I$6:$I$20,MATCH(B122,$A$6:$A$20,0)),0),"Sí","Reserva"))))</f>
        <v/>
      </c>
      <c r="Q122" s="31" t="inlineStr"/>
    </row>
    <row r="123">
      <c r="A123" s="30" t="inlineStr">
        <is>
          <t>7-9-I34</t>
        </is>
      </c>
      <c r="B123" s="30">
        <f>"7-9|"&amp;F123</f>
        <v/>
      </c>
      <c r="C123" s="30" t="inlineStr">
        <is>
          <t>Ciclo 7°–9°</t>
        </is>
      </c>
      <c r="D123" s="30" t="inlineStr">
        <is>
          <t>insertar</t>
        </is>
      </c>
      <c r="E123" s="30" t="inlineStr">
        <is>
          <t>balance</t>
        </is>
      </c>
      <c r="F123" s="30" t="inlineStr">
        <is>
          <t>Sistemas de la Tierra y el espacio</t>
        </is>
      </c>
      <c r="G123" s="30" t="n">
        <v>15</v>
      </c>
      <c r="H123" s="30" t="n">
        <v>9</v>
      </c>
      <c r="I123" s="30" t="inlineStr">
        <is>
          <t>5. Geología de El Salvador</t>
        </is>
      </c>
      <c r="J123" s="30" t="inlineStr"/>
      <c r="K123" s="30" t="inlineStr">
        <is>
          <t>PISA-T5, PISA-T1</t>
        </is>
      </c>
      <c r="L123" s="30" t="inlineStr">
        <is>
          <t>Análisis de las evidencias de la tectónica de placas y de los tipos de límites entre placas.</t>
        </is>
      </c>
      <c r="M123" s="30" t="inlineStr">
        <is>
          <t>Fuerzas tectónicas implícitas; base para vulcanismo y sismos salvadoreños.</t>
        </is>
      </c>
      <c r="N123" s="30" t="inlineStr">
        <is>
          <t>media</t>
        </is>
      </c>
      <c r="O123" s="30" t="n">
        <v>0</v>
      </c>
      <c r="P123" s="19">
        <f>IF(D123="reubicar","Opcional (no cambia el total)",IF(E123="cobertura","Sí (cobertura)",IF(D123="insertar",IF(G123&lt;=IFERROR(INDEX($G$6:$G$20,MATCH(B123,$A$6:$A$20,0)),0),"Sí","Reserva"),IF(SUMIFS($O$24:$O$191,$B$24:$B$191,B123,$D$24:$D$191,"fusionar",$G$24:$G$191,"&lt;"&amp;G123)&lt;IFERROR(INDEX($I$6:$I$20,MATCH(B123,$A$6:$A$20,0)),0),"Sí","Reserva"))))</f>
        <v/>
      </c>
      <c r="Q123" s="31" t="inlineStr"/>
    </row>
    <row r="124">
      <c r="A124" s="30" t="inlineStr">
        <is>
          <t>7-9-I35</t>
        </is>
      </c>
      <c r="B124" s="30">
        <f>"7-9|"&amp;F124</f>
        <v/>
      </c>
      <c r="C124" s="30" t="inlineStr">
        <is>
          <t>Ciclo 7°–9°</t>
        </is>
      </c>
      <c r="D124" s="30" t="inlineStr">
        <is>
          <t>insertar</t>
        </is>
      </c>
      <c r="E124" s="30" t="inlineStr">
        <is>
          <t>balance</t>
        </is>
      </c>
      <c r="F124" s="30" t="inlineStr">
        <is>
          <t>Sistemas de la Tierra y el espacio</t>
        </is>
      </c>
      <c r="G124" s="30" t="n">
        <v>16</v>
      </c>
      <c r="H124" s="30" t="n">
        <v>8</v>
      </c>
      <c r="I124" s="30" t="inlineStr">
        <is>
          <t>10. Sistemas terrestres y cambio global (nueva)</t>
        </is>
      </c>
      <c r="J124" s="30" t="inlineStr"/>
      <c r="K124" s="30" t="inlineStr">
        <is>
          <t>PISA-T5, PISA-T3</t>
        </is>
      </c>
      <c r="L124" s="30" t="inlineStr">
        <is>
          <t>Interpretación de registros climáticos (núcleos de hielo, series de temperatura) como evidencia del cambio climático.</t>
        </is>
      </c>
      <c r="M124" s="30" t="inlineStr">
        <is>
          <t>Cambio climático solo en 7.°, sin análisis de evidencia.</t>
        </is>
      </c>
      <c r="N124" s="30" t="inlineStr">
        <is>
          <t>media</t>
        </is>
      </c>
      <c r="O124" s="30" t="n">
        <v>0</v>
      </c>
      <c r="P124" s="19">
        <f>IF(D124="reubicar","Opcional (no cambia el total)",IF(E124="cobertura","Sí (cobertura)",IF(D124="insertar",IF(G124&lt;=IFERROR(INDEX($G$6:$G$20,MATCH(B124,$A$6:$A$20,0)),0),"Sí","Reserva"),IF(SUMIFS($O$24:$O$191,$B$24:$B$191,B124,$D$24:$D$191,"fusionar",$G$24:$G$191,"&lt;"&amp;G124)&lt;IFERROR(INDEX($I$6:$I$20,MATCH(B124,$A$6:$A$20,0)),0),"Sí","Reserva"))))</f>
        <v/>
      </c>
      <c r="Q124" s="31" t="inlineStr"/>
    </row>
    <row r="125">
      <c r="A125" s="30" t="inlineStr">
        <is>
          <t>7-9-I36</t>
        </is>
      </c>
      <c r="B125" s="30">
        <f>"7-9|"&amp;F125</f>
        <v/>
      </c>
      <c r="C125" s="30" t="inlineStr">
        <is>
          <t>Ciclo 7°–9°</t>
        </is>
      </c>
      <c r="D125" s="30" t="inlineStr">
        <is>
          <t>insertar</t>
        </is>
      </c>
      <c r="E125" s="30" t="inlineStr">
        <is>
          <t>balance</t>
        </is>
      </c>
      <c r="F125" s="30" t="inlineStr">
        <is>
          <t>Sistemas de la Tierra y el espacio</t>
        </is>
      </c>
      <c r="G125" s="30" t="n">
        <v>17</v>
      </c>
      <c r="H125" s="30" t="n">
        <v>8</v>
      </c>
      <c r="I125" s="30" t="inlineStr">
        <is>
          <t>10. Sistemas terrestres y cambio global (nueva)</t>
        </is>
      </c>
      <c r="J125" s="30" t="inlineStr"/>
      <c r="K125" s="30" t="inlineStr">
        <is>
          <t>PISA-T3, PISA-F5</t>
        </is>
      </c>
      <c r="L125" s="30" t="inlineStr">
        <is>
          <t>Explicación del balance energético de la Tierra: radiación solar, albedo y distribución del calor.</t>
        </is>
      </c>
      <c r="M125" s="30" t="inlineStr">
        <is>
          <t>Energía en sistemas terrestres poco presente en 8.°.</t>
        </is>
      </c>
      <c r="N125" s="30" t="inlineStr">
        <is>
          <t>media</t>
        </is>
      </c>
      <c r="O125" s="30" t="n">
        <v>0</v>
      </c>
      <c r="P125" s="19">
        <f>IF(D125="reubicar","Opcional (no cambia el total)",IF(E125="cobertura","Sí (cobertura)",IF(D125="insertar",IF(G125&lt;=IFERROR(INDEX($G$6:$G$20,MATCH(B125,$A$6:$A$20,0)),0),"Sí","Reserva"),IF(SUMIFS($O$24:$O$191,$B$24:$B$191,B125,$D$24:$D$191,"fusionar",$G$24:$G$191,"&lt;"&amp;G125)&lt;IFERROR(INDEX($I$6:$I$20,MATCH(B125,$A$6:$A$20,0)),0),"Sí","Reserva"))))</f>
        <v/>
      </c>
      <c r="Q125" s="31" t="inlineStr"/>
    </row>
    <row r="126">
      <c r="A126" s="30" t="inlineStr">
        <is>
          <t>7-9-I37</t>
        </is>
      </c>
      <c r="B126" s="30">
        <f>"7-9|"&amp;F126</f>
        <v/>
      </c>
      <c r="C126" s="30" t="inlineStr">
        <is>
          <t>Ciclo 7°–9°</t>
        </is>
      </c>
      <c r="D126" s="30" t="inlineStr">
        <is>
          <t>insertar</t>
        </is>
      </c>
      <c r="E126" s="30" t="inlineStr">
        <is>
          <t>balance</t>
        </is>
      </c>
      <c r="F126" s="30" t="inlineStr">
        <is>
          <t>Sistemas de la Tierra y el espacio</t>
        </is>
      </c>
      <c r="G126" s="30" t="n">
        <v>18</v>
      </c>
      <c r="H126" s="30" t="n">
        <v>8</v>
      </c>
      <c r="I126" s="30" t="inlineStr">
        <is>
          <t>10. Sistemas terrestres y cambio global (nueva)</t>
        </is>
      </c>
      <c r="J126" s="30" t="inlineStr"/>
      <c r="K126" s="30" t="inlineStr">
        <is>
          <t>PISA-T3, PISA-T1</t>
        </is>
      </c>
      <c r="L126" s="30" t="inlineStr">
        <is>
          <t>Representación de la estructura interna de la Tierra y del flujo de calor interno.</t>
        </is>
      </c>
      <c r="M126" s="30" t="inlineStr">
        <is>
          <t>Energía interna y estructura terrestre no aparecen en 8.°.</t>
        </is>
      </c>
      <c r="N126" s="30" t="inlineStr">
        <is>
          <t>media</t>
        </is>
      </c>
      <c r="O126" s="30" t="n">
        <v>0</v>
      </c>
      <c r="P126" s="19">
        <f>IF(D126="reubicar","Opcional (no cambia el total)",IF(E126="cobertura","Sí (cobertura)",IF(D126="insertar",IF(G126&lt;=IFERROR(INDEX($G$6:$G$20,MATCH(B126,$A$6:$A$20,0)),0),"Sí","Reserva"),IF(SUMIFS($O$24:$O$191,$B$24:$B$191,B126,$D$24:$D$191,"fusionar",$G$24:$G$191,"&lt;"&amp;G126)&lt;IFERROR(INDEX($I$6:$I$20,MATCH(B126,$A$6:$A$20,0)),0),"Sí","Reserva"))))</f>
        <v/>
      </c>
      <c r="Q126" s="31" t="inlineStr"/>
    </row>
    <row r="127">
      <c r="A127" s="30" t="inlineStr">
        <is>
          <t>7-9-I38</t>
        </is>
      </c>
      <c r="B127" s="30">
        <f>"7-9|"&amp;F127</f>
        <v/>
      </c>
      <c r="C127" s="30" t="inlineStr">
        <is>
          <t>Ciclo 7°–9°</t>
        </is>
      </c>
      <c r="D127" s="30" t="inlineStr">
        <is>
          <t>insertar</t>
        </is>
      </c>
      <c r="E127" s="30" t="inlineStr">
        <is>
          <t>balance</t>
        </is>
      </c>
      <c r="F127" s="30" t="inlineStr">
        <is>
          <t>Sistemas de la Tierra y el espacio</t>
        </is>
      </c>
      <c r="G127" s="30" t="n">
        <v>19</v>
      </c>
      <c r="H127" s="30" t="n">
        <v>8</v>
      </c>
      <c r="I127" s="30" t="inlineStr">
        <is>
          <t>5. Minerales</t>
        </is>
      </c>
      <c r="J127" s="30" t="inlineStr"/>
      <c r="K127" s="30" t="inlineStr">
        <is>
          <t>PISA-T2, PISA-V8</t>
        </is>
      </c>
      <c r="L127" s="30" t="inlineStr">
        <is>
          <t>Análisis del reciclaje de metales y de la economía circular frente al carácter finito de los minerales.</t>
        </is>
      </c>
      <c r="M127" s="30" t="inlineStr">
        <is>
          <t>T2 débil (8); encaja tras usos de minerales.</t>
        </is>
      </c>
      <c r="N127" s="30" t="inlineStr">
        <is>
          <t>alta</t>
        </is>
      </c>
      <c r="O127" s="30" t="n">
        <v>0</v>
      </c>
      <c r="P127" s="19">
        <f>IF(D127="reubicar","Opcional (no cambia el total)",IF(E127="cobertura","Sí (cobertura)",IF(D127="insertar",IF(G127&lt;=IFERROR(INDEX($G$6:$G$20,MATCH(B127,$A$6:$A$20,0)),0),"Sí","Reserva"),IF(SUMIFS($O$24:$O$191,$B$24:$B$191,B127,$D$24:$D$191,"fusionar",$G$24:$G$191,"&lt;"&amp;G127)&lt;IFERROR(INDEX($I$6:$I$20,MATCH(B127,$A$6:$A$20,0)),0),"Sí","Reserva"))))</f>
        <v/>
      </c>
      <c r="Q127" s="31" t="inlineStr"/>
    </row>
    <row r="128">
      <c r="A128" s="30" t="inlineStr">
        <is>
          <t>7-9-I39</t>
        </is>
      </c>
      <c r="B128" s="30">
        <f>"7-9|"&amp;F128</f>
        <v/>
      </c>
      <c r="C128" s="30" t="inlineStr">
        <is>
          <t>Ciclo 7°–9°</t>
        </is>
      </c>
      <c r="D128" s="30" t="inlineStr">
        <is>
          <t>insertar</t>
        </is>
      </c>
      <c r="E128" s="30" t="inlineStr">
        <is>
          <t>balance</t>
        </is>
      </c>
      <c r="F128" s="30" t="inlineStr">
        <is>
          <t>Sistemas de la Tierra y el espacio</t>
        </is>
      </c>
      <c r="G128" s="30" t="n">
        <v>20</v>
      </c>
      <c r="H128" s="30" t="n">
        <v>8</v>
      </c>
      <c r="I128" s="30" t="inlineStr">
        <is>
          <t>10. Sistemas terrestres y cambio global (nueva)</t>
        </is>
      </c>
      <c r="J128" s="30" t="inlineStr"/>
      <c r="K128" s="30" t="inlineStr">
        <is>
          <t>PISA-T4, PISA-T2</t>
        </is>
      </c>
      <c r="L128" s="30" t="inlineStr">
        <is>
          <t>Análisis de la sobreexplotación de acuíferos y la intrusión salina en El Salvador.</t>
        </is>
      </c>
      <c r="M128" s="30" t="inlineStr">
        <is>
          <t>Agua solo en 7.°; retoma T4 con problema local.</t>
        </is>
      </c>
      <c r="N128" s="30" t="inlineStr">
        <is>
          <t>media</t>
        </is>
      </c>
      <c r="O128" s="30" t="n">
        <v>0</v>
      </c>
      <c r="P128" s="19">
        <f>IF(D128="reubicar","Opcional (no cambia el total)",IF(E128="cobertura","Sí (cobertura)",IF(D128="insertar",IF(G128&lt;=IFERROR(INDEX($G$6:$G$20,MATCH(B128,$A$6:$A$20,0)),0),"Sí","Reserva"),IF(SUMIFS($O$24:$O$191,$B$24:$B$191,B128,$D$24:$D$191,"fusionar",$G$24:$G$191,"&lt;"&amp;G128)&lt;IFERROR(INDEX($I$6:$I$20,MATCH(B128,$A$6:$A$20,0)),0),"Sí","Reserva"))))</f>
        <v/>
      </c>
      <c r="Q128" s="31" t="inlineStr"/>
    </row>
    <row r="129">
      <c r="A129" s="30" t="inlineStr">
        <is>
          <t>7-9-I40</t>
        </is>
      </c>
      <c r="B129" s="30">
        <f>"7-9|"&amp;F129</f>
        <v/>
      </c>
      <c r="C129" s="30" t="inlineStr">
        <is>
          <t>Ciclo 7°–9°</t>
        </is>
      </c>
      <c r="D129" s="30" t="inlineStr">
        <is>
          <t>insertar</t>
        </is>
      </c>
      <c r="E129" s="30" t="inlineStr">
        <is>
          <t>balance</t>
        </is>
      </c>
      <c r="F129" s="30" t="inlineStr">
        <is>
          <t>Sistemas de la Tierra y el espacio</t>
        </is>
      </c>
      <c r="G129" s="30" t="n">
        <v>21</v>
      </c>
      <c r="H129" s="30" t="n">
        <v>8</v>
      </c>
      <c r="I129" s="30" t="inlineStr">
        <is>
          <t>5. Minerales</t>
        </is>
      </c>
      <c r="J129" s="30" t="inlineStr"/>
      <c r="K129" s="30" t="inlineStr">
        <is>
          <t>PISA-T2, PISA-T3</t>
        </is>
      </c>
      <c r="L129" s="30" t="inlineStr">
        <is>
          <t>Explicación de la formación de los combustibles fósiles y del carácter finito de sus reservas.</t>
        </is>
      </c>
      <c r="M129" s="30" t="inlineStr">
        <is>
          <t>Recursos finitos conectados con geología de 8.°.</t>
        </is>
      </c>
      <c r="N129" s="30" t="inlineStr">
        <is>
          <t>baja</t>
        </is>
      </c>
      <c r="O129" s="30" t="n">
        <v>0</v>
      </c>
      <c r="P129" s="19">
        <f>IF(D129="reubicar","Opcional (no cambia el total)",IF(E129="cobertura","Sí (cobertura)",IF(D129="insertar",IF(G129&lt;=IFERROR(INDEX($G$6:$G$20,MATCH(B129,$A$6:$A$20,0)),0),"Sí","Reserva"),IF(SUMIFS($O$24:$O$191,$B$24:$B$191,B129,$D$24:$D$191,"fusionar",$G$24:$G$191,"&lt;"&amp;G129)&lt;IFERROR(INDEX($I$6:$I$20,MATCH(B129,$A$6:$A$20,0)),0),"Sí","Reserva"))))</f>
        <v/>
      </c>
      <c r="Q129" s="31" t="inlineStr"/>
    </row>
    <row r="130">
      <c r="A130" s="30" t="inlineStr">
        <is>
          <t>7-9-I01</t>
        </is>
      </c>
      <c r="B130" s="30">
        <f>"7-9|"&amp;F130</f>
        <v/>
      </c>
      <c r="C130" s="30" t="inlineStr">
        <is>
          <t>Ciclo 7°–9°</t>
        </is>
      </c>
      <c r="D130" s="30" t="inlineStr">
        <is>
          <t>insertar</t>
        </is>
      </c>
      <c r="E130" s="30" t="inlineStr">
        <is>
          <t>balance</t>
        </is>
      </c>
      <c r="F130" s="30" t="inlineStr">
        <is>
          <t>Sistemas vivos</t>
        </is>
      </c>
      <c r="G130" s="30" t="n">
        <v>1</v>
      </c>
      <c r="H130" s="30" t="n">
        <v>9</v>
      </c>
      <c r="I130" s="30" t="inlineStr">
        <is>
          <t>8. La célula (nueva)</t>
        </is>
      </c>
      <c r="J130" s="30" t="inlineStr"/>
      <c r="K130" s="30" t="inlineStr">
        <is>
          <t>PISA-V3, PISA-V1</t>
        </is>
      </c>
      <c r="L130" s="30" t="inlineStr">
        <is>
          <t>Observación microscópica y comparación de células procariotas y eucariotas, animales y vegetales.</t>
        </is>
      </c>
      <c r="M130" s="30" t="inlineStr">
        <is>
          <t>9.° no trabaja la célula; base para genética y salud.</t>
        </is>
      </c>
      <c r="N130" s="30" t="inlineStr">
        <is>
          <t>alta</t>
        </is>
      </c>
      <c r="O130" s="30" t="n">
        <v>0</v>
      </c>
      <c r="P130" s="19">
        <f>IF(D130="reubicar","Opcional (no cambia el total)",IF(E130="cobertura","Sí (cobertura)",IF(D130="insertar",IF(G130&lt;=IFERROR(INDEX($G$6:$G$20,MATCH(B130,$A$6:$A$20,0)),0),"Sí","Reserva"),IF(SUMIFS($O$24:$O$191,$B$24:$B$191,B130,$D$24:$D$191,"fusionar",$G$24:$G$191,"&lt;"&amp;G130)&lt;IFERROR(INDEX($I$6:$I$20,MATCH(B130,$A$6:$A$20,0)),0),"Sí","Reserva"))))</f>
        <v/>
      </c>
      <c r="Q130" s="31" t="inlineStr"/>
    </row>
    <row r="131">
      <c r="A131" s="30" t="inlineStr">
        <is>
          <t>7-9-I02</t>
        </is>
      </c>
      <c r="B131" s="30">
        <f>"7-9|"&amp;F131</f>
        <v/>
      </c>
      <c r="C131" s="30" t="inlineStr">
        <is>
          <t>Ciclo 7°–9°</t>
        </is>
      </c>
      <c r="D131" s="30" t="inlineStr">
        <is>
          <t>insertar</t>
        </is>
      </c>
      <c r="E131" s="30" t="inlineStr">
        <is>
          <t>balance</t>
        </is>
      </c>
      <c r="F131" s="30" t="inlineStr">
        <is>
          <t>Sistemas vivos</t>
        </is>
      </c>
      <c r="G131" s="30" t="n">
        <v>2</v>
      </c>
      <c r="H131" s="30" t="n">
        <v>9</v>
      </c>
      <c r="I131" s="30" t="inlineStr">
        <is>
          <t>9. Salud humana (nueva)</t>
        </is>
      </c>
      <c r="J131" s="30" t="inlineStr"/>
      <c r="K131" s="30" t="inlineStr">
        <is>
          <t>PISA-V4, PISA-V1</t>
        </is>
      </c>
      <c r="L131" s="30" t="inlineStr">
        <is>
          <t>Explicación del funcionamiento del sistema inmunológico y del papel de las vacunas en la prevención de enfermedades.</t>
        </is>
      </c>
      <c r="M131" s="30" t="inlineStr">
        <is>
          <t>Salud humana ausente en 9.°; tema central de PISA.</t>
        </is>
      </c>
      <c r="N131" s="30" t="inlineStr">
        <is>
          <t>alta</t>
        </is>
      </c>
      <c r="O131" s="30" t="n">
        <v>0</v>
      </c>
      <c r="P131" s="19">
        <f>IF(D131="reubicar","Opcional (no cambia el total)",IF(E131="cobertura","Sí (cobertura)",IF(D131="insertar",IF(G131&lt;=IFERROR(INDEX($G$6:$G$20,MATCH(B131,$A$6:$A$20,0)),0),"Sí","Reserva"),IF(SUMIFS($O$24:$O$191,$B$24:$B$191,B131,$D$24:$D$191,"fusionar",$G$24:$G$191,"&lt;"&amp;G131)&lt;IFERROR(INDEX($I$6:$I$20,MATCH(B131,$A$6:$A$20,0)),0),"Sí","Reserva"))))</f>
        <v/>
      </c>
      <c r="Q131" s="31" t="inlineStr"/>
    </row>
    <row r="132">
      <c r="A132" s="30" t="inlineStr">
        <is>
          <t>7-9-I03</t>
        </is>
      </c>
      <c r="B132" s="30">
        <f>"7-9|"&amp;F132</f>
        <v/>
      </c>
      <c r="C132" s="30" t="inlineStr">
        <is>
          <t>Ciclo 7°–9°</t>
        </is>
      </c>
      <c r="D132" s="30" t="inlineStr">
        <is>
          <t>insertar</t>
        </is>
      </c>
      <c r="E132" s="30" t="inlineStr">
        <is>
          <t>balance</t>
        </is>
      </c>
      <c r="F132" s="30" t="inlineStr">
        <is>
          <t>Sistemas vivos</t>
        </is>
      </c>
      <c r="G132" s="30" t="n">
        <v>3</v>
      </c>
      <c r="H132" s="30" t="n">
        <v>9</v>
      </c>
      <c r="I132" s="30" t="inlineStr">
        <is>
          <t>9. Salud humana (nueva)</t>
        </is>
      </c>
      <c r="J132" s="30" t="inlineStr"/>
      <c r="K132" s="30" t="inlineStr">
        <is>
          <t>PISA-V1, PISA-V4</t>
        </is>
      </c>
      <c r="L132" s="30" t="inlineStr">
        <is>
          <t>Caracterización de virus y bacterias y de las enfermedades transmisibles que causan en la comunidad.</t>
        </is>
      </c>
      <c r="M132" s="30" t="inlineStr">
        <is>
          <t>V1 débil (6 temas); microorganismos casi sin tratamiento.</t>
        </is>
      </c>
      <c r="N132" s="30" t="inlineStr">
        <is>
          <t>alta</t>
        </is>
      </c>
      <c r="O132" s="30" t="n">
        <v>0</v>
      </c>
      <c r="P132" s="19">
        <f>IF(D132="reubicar","Opcional (no cambia el total)",IF(E132="cobertura","Sí (cobertura)",IF(D132="insertar",IF(G132&lt;=IFERROR(INDEX($G$6:$G$20,MATCH(B132,$A$6:$A$20,0)),0),"Sí","Reserva"),IF(SUMIFS($O$24:$O$191,$B$24:$B$191,B132,$D$24:$D$191,"fusionar",$G$24:$G$191,"&lt;"&amp;G132)&lt;IFERROR(INDEX($I$6:$I$20,MATCH(B132,$A$6:$A$20,0)),0),"Sí","Reserva"))))</f>
        <v/>
      </c>
      <c r="Q132" s="31" t="inlineStr"/>
    </row>
    <row r="133">
      <c r="A133" s="30" t="inlineStr">
        <is>
          <t>7-9-I04</t>
        </is>
      </c>
      <c r="B133" s="30">
        <f>"7-9|"&amp;F133</f>
        <v/>
      </c>
      <c r="C133" s="30" t="inlineStr">
        <is>
          <t>Ciclo 7°–9°</t>
        </is>
      </c>
      <c r="D133" s="30" t="inlineStr">
        <is>
          <t>insertar</t>
        </is>
      </c>
      <c r="E133" s="30" t="inlineStr">
        <is>
          <t>balance</t>
        </is>
      </c>
      <c r="F133" s="30" t="inlineStr">
        <is>
          <t>Sistemas vivos</t>
        </is>
      </c>
      <c r="G133" s="30" t="n">
        <v>4</v>
      </c>
      <c r="H133" s="30" t="n">
        <v>9</v>
      </c>
      <c r="I133" s="30" t="inlineStr">
        <is>
          <t>12. Biosfera y sostenibilidad global (nueva)</t>
        </is>
      </c>
      <c r="J133" s="30" t="inlineStr"/>
      <c r="K133" s="30" t="inlineStr">
        <is>
          <t>PISA-V7, PISA-V6</t>
        </is>
      </c>
      <c r="L133" s="30" t="inlineStr">
        <is>
          <t>Análisis de los ciclos biogeoquímicos del carbono y del nitrógeno a escala de la biosfera.</t>
        </is>
      </c>
      <c r="M133" s="30" t="inlineStr">
        <is>
          <t>V7 tiene solo 3 temas; biosfera global poco cubierta.</t>
        </is>
      </c>
      <c r="N133" s="30" t="inlineStr">
        <is>
          <t>alta</t>
        </is>
      </c>
      <c r="O133" s="30" t="n">
        <v>0</v>
      </c>
      <c r="P133" s="19">
        <f>IF(D133="reubicar","Opcional (no cambia el total)",IF(E133="cobertura","Sí (cobertura)",IF(D133="insertar",IF(G133&lt;=IFERROR(INDEX($G$6:$G$20,MATCH(B133,$A$6:$A$20,0)),0),"Sí","Reserva"),IF(SUMIFS($O$24:$O$191,$B$24:$B$191,B133,$D$24:$D$191,"fusionar",$G$24:$G$191,"&lt;"&amp;G133)&lt;IFERROR(INDEX($I$6:$I$20,MATCH(B133,$A$6:$A$20,0)),0),"Sí","Reserva"))))</f>
        <v/>
      </c>
      <c r="Q133" s="31" t="inlineStr"/>
    </row>
    <row r="134">
      <c r="A134" s="30" t="inlineStr">
        <is>
          <t>7-9-I05</t>
        </is>
      </c>
      <c r="B134" s="30">
        <f>"7-9|"&amp;F134</f>
        <v/>
      </c>
      <c r="C134" s="30" t="inlineStr">
        <is>
          <t>Ciclo 7°–9°</t>
        </is>
      </c>
      <c r="D134" s="30" t="inlineStr">
        <is>
          <t>insertar</t>
        </is>
      </c>
      <c r="E134" s="30" t="inlineStr">
        <is>
          <t>balance</t>
        </is>
      </c>
      <c r="F134" s="30" t="inlineStr">
        <is>
          <t>Sistemas vivos</t>
        </is>
      </c>
      <c r="G134" s="30" t="n">
        <v>5</v>
      </c>
      <c r="H134" s="30" t="n">
        <v>9</v>
      </c>
      <c r="I134" s="30" t="inlineStr">
        <is>
          <t>12. Biosfera y sostenibilidad global (nueva)</t>
        </is>
      </c>
      <c r="J134" s="30" t="inlineStr"/>
      <c r="K134" s="30" t="inlineStr">
        <is>
          <t>PISA-V7, PISA-V8</t>
        </is>
      </c>
      <c r="L134" s="30" t="inlineStr">
        <is>
          <t>Evaluación de los límites planetarios y de los servicios ecosistémicos globales a partir de datos.</t>
        </is>
      </c>
      <c r="M134" s="30" t="inlineStr">
        <is>
          <t>V7 débil; conecta sostenibilidad global con impacto humano.</t>
        </is>
      </c>
      <c r="N134" s="30" t="inlineStr">
        <is>
          <t>alta</t>
        </is>
      </c>
      <c r="O134" s="30" t="n">
        <v>0</v>
      </c>
      <c r="P134" s="19">
        <f>IF(D134="reubicar","Opcional (no cambia el total)",IF(E134="cobertura","Sí (cobertura)",IF(D134="insertar",IF(G134&lt;=IFERROR(INDEX($G$6:$G$20,MATCH(B134,$A$6:$A$20,0)),0),"Sí","Reserva"),IF(SUMIFS($O$24:$O$191,$B$24:$B$191,B134,$D$24:$D$191,"fusionar",$G$24:$G$191,"&lt;"&amp;G134)&lt;IFERROR(INDEX($I$6:$I$20,MATCH(B134,$A$6:$A$20,0)),0),"Sí","Reserva"))))</f>
        <v/>
      </c>
      <c r="Q134" s="31" t="inlineStr"/>
    </row>
    <row r="135">
      <c r="A135" s="30" t="inlineStr">
        <is>
          <t>7-9-I06</t>
        </is>
      </c>
      <c r="B135" s="30">
        <f>"7-9|"&amp;F135</f>
        <v/>
      </c>
      <c r="C135" s="30" t="inlineStr">
        <is>
          <t>Ciclo 7°–9°</t>
        </is>
      </c>
      <c r="D135" s="30" t="inlineStr">
        <is>
          <t>insertar</t>
        </is>
      </c>
      <c r="E135" s="30" t="inlineStr">
        <is>
          <t>balance</t>
        </is>
      </c>
      <c r="F135" s="30" t="inlineStr">
        <is>
          <t>Sistemas vivos</t>
        </is>
      </c>
      <c r="G135" s="30" t="n">
        <v>6</v>
      </c>
      <c r="H135" s="30" t="n">
        <v>9</v>
      </c>
      <c r="I135" s="30" t="inlineStr">
        <is>
          <t>8. La célula (nueva)</t>
        </is>
      </c>
      <c r="J135" s="30" t="inlineStr"/>
      <c r="K135" s="30" t="inlineStr">
        <is>
          <t>PISA-V3</t>
        </is>
      </c>
      <c r="L135" s="30" t="inlineStr">
        <is>
          <t>Experimentación con difusión y ósmosis a través de la membrana celular en tejidos vegetales.</t>
        </is>
      </c>
      <c r="M135" s="30" t="inlineStr">
        <is>
          <t>Función celular (transporte) no aparece en el ciclo.</t>
        </is>
      </c>
      <c r="N135" s="30" t="inlineStr">
        <is>
          <t>alta</t>
        </is>
      </c>
      <c r="O135" s="30" t="n">
        <v>0</v>
      </c>
      <c r="P135" s="19">
        <f>IF(D135="reubicar","Opcional (no cambia el total)",IF(E135="cobertura","Sí (cobertura)",IF(D135="insertar",IF(G135&lt;=IFERROR(INDEX($G$6:$G$20,MATCH(B135,$A$6:$A$20,0)),0),"Sí","Reserva"),IF(SUMIFS($O$24:$O$191,$B$24:$B$191,B135,$D$24:$D$191,"fusionar",$G$24:$G$191,"&lt;"&amp;G135)&lt;IFERROR(INDEX($I$6:$I$20,MATCH(B135,$A$6:$A$20,0)),0),"Sí","Reserva"))))</f>
        <v/>
      </c>
      <c r="Q135" s="31" t="inlineStr"/>
    </row>
    <row r="136">
      <c r="A136" s="30" t="inlineStr">
        <is>
          <t>7-9-I07</t>
        </is>
      </c>
      <c r="B136" s="30">
        <f>"7-9|"&amp;F136</f>
        <v/>
      </c>
      <c r="C136" s="30" t="inlineStr">
        <is>
          <t>Ciclo 7°–9°</t>
        </is>
      </c>
      <c r="D136" s="30" t="inlineStr">
        <is>
          <t>insertar</t>
        </is>
      </c>
      <c r="E136" s="30" t="inlineStr">
        <is>
          <t>balance</t>
        </is>
      </c>
      <c r="F136" s="30" t="inlineStr">
        <is>
          <t>Sistemas vivos</t>
        </is>
      </c>
      <c r="G136" s="30" t="n">
        <v>7</v>
      </c>
      <c r="H136" s="30" t="n">
        <v>9</v>
      </c>
      <c r="I136" s="30" t="inlineStr">
        <is>
          <t>8. La célula (nueva)</t>
        </is>
      </c>
      <c r="J136" s="30" t="inlineStr"/>
      <c r="K136" s="30" t="inlineStr">
        <is>
          <t>PISA-V3, PISA-V4</t>
        </is>
      </c>
      <c r="L136" s="30" t="inlineStr">
        <is>
          <t>Comparación experimental de la fotosíntesis y la respiración celular mediante indicadores de CO2.</t>
        </is>
      </c>
      <c r="M136" s="30" t="inlineStr">
        <is>
          <t>Energía celular solo aparece de forma secundaria en 8.°.</t>
        </is>
      </c>
      <c r="N136" s="30" t="inlineStr">
        <is>
          <t>alta</t>
        </is>
      </c>
      <c r="O136" s="30" t="n">
        <v>0</v>
      </c>
      <c r="P136" s="19">
        <f>IF(D136="reubicar","Opcional (no cambia el total)",IF(E136="cobertura","Sí (cobertura)",IF(D136="insertar",IF(G136&lt;=IFERROR(INDEX($G$6:$G$20,MATCH(B136,$A$6:$A$20,0)),0),"Sí","Reserva"),IF(SUMIFS($O$24:$O$191,$B$24:$B$191,B136,$D$24:$D$191,"fusionar",$G$24:$G$191,"&lt;"&amp;G136)&lt;IFERROR(INDEX($I$6:$I$20,MATCH(B136,$A$6:$A$20,0)),0),"Sí","Reserva"))))</f>
        <v/>
      </c>
      <c r="Q136" s="31" t="inlineStr"/>
    </row>
    <row r="137">
      <c r="A137" s="30" t="inlineStr">
        <is>
          <t>7-9-I08</t>
        </is>
      </c>
      <c r="B137" s="30">
        <f>"7-9|"&amp;F137</f>
        <v/>
      </c>
      <c r="C137" s="30" t="inlineStr">
        <is>
          <t>Ciclo 7°–9°</t>
        </is>
      </c>
      <c r="D137" s="30" t="inlineStr">
        <is>
          <t>insertar</t>
        </is>
      </c>
      <c r="E137" s="30" t="inlineStr">
        <is>
          <t>balance</t>
        </is>
      </c>
      <c r="F137" s="30" t="inlineStr">
        <is>
          <t>Sistemas vivos</t>
        </is>
      </c>
      <c r="G137" s="30" t="n">
        <v>8</v>
      </c>
      <c r="H137" s="30" t="n">
        <v>9</v>
      </c>
      <c r="I137" s="30" t="inlineStr">
        <is>
          <t>8. La célula (nueva)</t>
        </is>
      </c>
      <c r="J137" s="30" t="inlineStr"/>
      <c r="K137" s="30" t="inlineStr">
        <is>
          <t>PISA-V3, PISA-V2</t>
        </is>
      </c>
      <c r="L137" s="30" t="inlineStr">
        <is>
          <t>Modelaje de la división celular por mitosis y meiosis y su relación con crecimiento y reproducción.</t>
        </is>
      </c>
      <c r="M137" s="30" t="inlineStr">
        <is>
          <t>Puente célula-herencia ausente; otros marcos lo introducen antes.</t>
        </is>
      </c>
      <c r="N137" s="30" t="inlineStr">
        <is>
          <t>alta</t>
        </is>
      </c>
      <c r="O137" s="30" t="n">
        <v>0</v>
      </c>
      <c r="P137" s="19">
        <f>IF(D137="reubicar","Opcional (no cambia el total)",IF(E137="cobertura","Sí (cobertura)",IF(D137="insertar",IF(G137&lt;=IFERROR(INDEX($G$6:$G$20,MATCH(B137,$A$6:$A$20,0)),0),"Sí","Reserva"),IF(SUMIFS($O$24:$O$191,$B$24:$B$191,B137,$D$24:$D$191,"fusionar",$G$24:$G$191,"&lt;"&amp;G137)&lt;IFERROR(INDEX($I$6:$I$20,MATCH(B137,$A$6:$A$20,0)),0),"Sí","Reserva"))))</f>
        <v/>
      </c>
      <c r="Q137" s="31" t="inlineStr"/>
    </row>
    <row r="138">
      <c r="A138" s="30" t="inlineStr">
        <is>
          <t>7-9-I09</t>
        </is>
      </c>
      <c r="B138" s="30">
        <f>"7-9|"&amp;F138</f>
        <v/>
      </c>
      <c r="C138" s="30" t="inlineStr">
        <is>
          <t>Ciclo 7°–9°</t>
        </is>
      </c>
      <c r="D138" s="30" t="inlineStr">
        <is>
          <t>insertar</t>
        </is>
      </c>
      <c r="E138" s="30" t="inlineStr">
        <is>
          <t>balance</t>
        </is>
      </c>
      <c r="F138" s="30" t="inlineStr">
        <is>
          <t>Sistemas vivos</t>
        </is>
      </c>
      <c r="G138" s="30" t="n">
        <v>9</v>
      </c>
      <c r="H138" s="30" t="n">
        <v>9</v>
      </c>
      <c r="I138" s="30" t="inlineStr">
        <is>
          <t>10. Genética y biotecnología (nueva)</t>
        </is>
      </c>
      <c r="J138" s="30" t="inlineStr"/>
      <c r="K138" s="30" t="inlineStr">
        <is>
          <t>PISA-V2, PISA-V3</t>
        </is>
      </c>
      <c r="L138" s="30" t="inlineStr">
        <is>
          <t>Modelaje de la expresión génica: del ADN a la proteína mediante transcripción y traducción.</t>
        </is>
      </c>
      <c r="M138" s="30" t="inlineStr">
        <is>
          <t>Expresión génica no aparece; genética solo en 7.°.</t>
        </is>
      </c>
      <c r="N138" s="30" t="inlineStr">
        <is>
          <t>alta</t>
        </is>
      </c>
      <c r="O138" s="30" t="n">
        <v>0</v>
      </c>
      <c r="P138" s="19">
        <f>IF(D138="reubicar","Opcional (no cambia el total)",IF(E138="cobertura","Sí (cobertura)",IF(D138="insertar",IF(G138&lt;=IFERROR(INDEX($G$6:$G$20,MATCH(B138,$A$6:$A$20,0)),0),"Sí","Reserva"),IF(SUMIFS($O$24:$O$191,$B$24:$B$191,B138,$D$24:$D$191,"fusionar",$G$24:$G$191,"&lt;"&amp;G138)&lt;IFERROR(INDEX($I$6:$I$20,MATCH(B138,$A$6:$A$20,0)),0),"Sí","Reserva"))))</f>
        <v/>
      </c>
      <c r="Q138" s="31" t="inlineStr"/>
    </row>
    <row r="139">
      <c r="A139" s="30" t="inlineStr">
        <is>
          <t>7-9-I10</t>
        </is>
      </c>
      <c r="B139" s="30">
        <f>"7-9|"&amp;F139</f>
        <v/>
      </c>
      <c r="C139" s="30" t="inlineStr">
        <is>
          <t>Ciclo 7°–9°</t>
        </is>
      </c>
      <c r="D139" s="30" t="inlineStr">
        <is>
          <t>insertar</t>
        </is>
      </c>
      <c r="E139" s="30" t="inlineStr">
        <is>
          <t>balance</t>
        </is>
      </c>
      <c r="F139" s="30" t="inlineStr">
        <is>
          <t>Sistemas vivos</t>
        </is>
      </c>
      <c r="G139" s="30" t="n">
        <v>10</v>
      </c>
      <c r="H139" s="30" t="n">
        <v>9</v>
      </c>
      <c r="I139" s="30" t="inlineStr">
        <is>
          <t>10. Genética y biotecnología (nueva)</t>
        </is>
      </c>
      <c r="J139" s="30" t="inlineStr"/>
      <c r="K139" s="30" t="inlineStr">
        <is>
          <t>PISA-V2, PISA-V8</t>
        </is>
      </c>
      <c r="L139" s="30" t="inlineStr">
        <is>
          <t>Análisis de aplicaciones de la biotecnología (transgénicos, PCR, vacunas) y sus implicaciones éticas.</t>
        </is>
      </c>
      <c r="M139" s="30" t="inlineStr">
        <is>
          <t>Biotecnología explícita en PISA V2; ausente en el ciclo.</t>
        </is>
      </c>
      <c r="N139" s="30" t="inlineStr">
        <is>
          <t>alta</t>
        </is>
      </c>
      <c r="O139" s="30" t="n">
        <v>0</v>
      </c>
      <c r="P139" s="19">
        <f>IF(D139="reubicar","Opcional (no cambia el total)",IF(E139="cobertura","Sí (cobertura)",IF(D139="insertar",IF(G139&lt;=IFERROR(INDEX($G$6:$G$20,MATCH(B139,$A$6:$A$20,0)),0),"Sí","Reserva"),IF(SUMIFS($O$24:$O$191,$B$24:$B$191,B139,$D$24:$D$191,"fusionar",$G$24:$G$191,"&lt;"&amp;G139)&lt;IFERROR(INDEX($I$6:$I$20,MATCH(B139,$A$6:$A$20,0)),0),"Sí","Reserva"))))</f>
        <v/>
      </c>
      <c r="Q139" s="31" t="inlineStr"/>
    </row>
    <row r="140">
      <c r="A140" s="30" t="inlineStr">
        <is>
          <t>7-9-I11</t>
        </is>
      </c>
      <c r="B140" s="30">
        <f>"7-9|"&amp;F140</f>
        <v/>
      </c>
      <c r="C140" s="30" t="inlineStr">
        <is>
          <t>Ciclo 7°–9°</t>
        </is>
      </c>
      <c r="D140" s="30" t="inlineStr">
        <is>
          <t>insertar</t>
        </is>
      </c>
      <c r="E140" s="30" t="inlineStr">
        <is>
          <t>balance</t>
        </is>
      </c>
      <c r="F140" s="30" t="inlineStr">
        <is>
          <t>Sistemas vivos</t>
        </is>
      </c>
      <c r="G140" s="30" t="n">
        <v>11</v>
      </c>
      <c r="H140" s="30" t="n">
        <v>9</v>
      </c>
      <c r="I140" s="30" t="inlineStr">
        <is>
          <t>10. Genética y biotecnología (nueva)</t>
        </is>
      </c>
      <c r="J140" s="30" t="inlineStr"/>
      <c r="K140" s="30" t="inlineStr">
        <is>
          <t>PISA-V2</t>
        </is>
      </c>
      <c r="L140" s="30" t="inlineStr">
        <is>
          <t>Indagación de la interacción entre genes y ambiente en la expresión del fenotipo a partir de casos.</t>
        </is>
      </c>
      <c r="M140" s="30" t="inlineStr">
        <is>
          <t>PISA pide genes «y su interacción con el ambiente».</t>
        </is>
      </c>
      <c r="N140" s="30" t="inlineStr">
        <is>
          <t>media</t>
        </is>
      </c>
      <c r="O140" s="30" t="n">
        <v>0</v>
      </c>
      <c r="P140" s="19">
        <f>IF(D140="reubicar","Opcional (no cambia el total)",IF(E140="cobertura","Sí (cobertura)",IF(D140="insertar",IF(G140&lt;=IFERROR(INDEX($G$6:$G$20,MATCH(B140,$A$6:$A$20,0)),0),"Sí","Reserva"),IF(SUMIFS($O$24:$O$191,$B$24:$B$191,B140,$D$24:$D$191,"fusionar",$G$24:$G$191,"&lt;"&amp;G140)&lt;IFERROR(INDEX($I$6:$I$20,MATCH(B140,$A$6:$A$20,0)),0),"Sí","Reserva"))))</f>
        <v/>
      </c>
      <c r="Q140" s="31" t="inlineStr"/>
    </row>
    <row r="141">
      <c r="A141" s="30" t="inlineStr">
        <is>
          <t>7-9-I12</t>
        </is>
      </c>
      <c r="B141" s="30">
        <f>"7-9|"&amp;F141</f>
        <v/>
      </c>
      <c r="C141" s="30" t="inlineStr">
        <is>
          <t>Ciclo 7°–9°</t>
        </is>
      </c>
      <c r="D141" s="30" t="inlineStr">
        <is>
          <t>insertar</t>
        </is>
      </c>
      <c r="E141" s="30" t="inlineStr">
        <is>
          <t>balance</t>
        </is>
      </c>
      <c r="F141" s="30" t="inlineStr">
        <is>
          <t>Sistemas vivos</t>
        </is>
      </c>
      <c r="G141" s="30" t="n">
        <v>12</v>
      </c>
      <c r="H141" s="30" t="n">
        <v>9</v>
      </c>
      <c r="I141" s="30" t="inlineStr">
        <is>
          <t>9. Salud humana (nueva)</t>
        </is>
      </c>
      <c r="J141" s="30" t="inlineStr"/>
      <c r="K141" s="30" t="inlineStr">
        <is>
          <t>PISA-V4</t>
        </is>
      </c>
      <c r="L141" s="30" t="inlineStr">
        <is>
          <t>Experimentación con la coordinación nerviosa y hormonal en el mantenimiento de la homeostasis.</t>
        </is>
      </c>
      <c r="M141" s="30" t="inlineStr">
        <is>
          <t>Sistemas nervioso y endocrino ausentes del ciclo.</t>
        </is>
      </c>
      <c r="N141" s="30" t="inlineStr">
        <is>
          <t>alta</t>
        </is>
      </c>
      <c r="O141" s="30" t="n">
        <v>0</v>
      </c>
      <c r="P141" s="19">
        <f>IF(D141="reubicar","Opcional (no cambia el total)",IF(E141="cobertura","Sí (cobertura)",IF(D141="insertar",IF(G141&lt;=IFERROR(INDEX($G$6:$G$20,MATCH(B141,$A$6:$A$20,0)),0),"Sí","Reserva"),IF(SUMIFS($O$24:$O$191,$B$24:$B$191,B141,$D$24:$D$191,"fusionar",$G$24:$G$191,"&lt;"&amp;G141)&lt;IFERROR(INDEX($I$6:$I$20,MATCH(B141,$A$6:$A$20,0)),0),"Sí","Reserva"))))</f>
        <v/>
      </c>
      <c r="Q141" s="31" t="inlineStr"/>
    </row>
    <row r="142">
      <c r="A142" s="30" t="inlineStr">
        <is>
          <t>7-9-I13</t>
        </is>
      </c>
      <c r="B142" s="30">
        <f>"7-9|"&amp;F142</f>
        <v/>
      </c>
      <c r="C142" s="30" t="inlineStr">
        <is>
          <t>Ciclo 7°–9°</t>
        </is>
      </c>
      <c r="D142" s="30" t="inlineStr">
        <is>
          <t>insertar</t>
        </is>
      </c>
      <c r="E142" s="30" t="inlineStr">
        <is>
          <t>balance</t>
        </is>
      </c>
      <c r="F142" s="30" t="inlineStr">
        <is>
          <t>Sistemas vivos</t>
        </is>
      </c>
      <c r="G142" s="30" t="n">
        <v>13</v>
      </c>
      <c r="H142" s="30" t="n">
        <v>9</v>
      </c>
      <c r="I142" s="30" t="inlineStr">
        <is>
          <t>9. Salud humana (nueva)</t>
        </is>
      </c>
      <c r="J142" s="30" t="inlineStr"/>
      <c r="K142" s="30" t="inlineStr">
        <is>
          <t>PISA-V4</t>
        </is>
      </c>
      <c r="L142" s="30" t="inlineStr">
        <is>
          <t>Análisis de la nutrición humana y su relación con enfermedades no transmisibles a partir de registros de dieta.</t>
        </is>
      </c>
      <c r="M142" s="30" t="inlineStr">
        <is>
          <t>Salud y mantenimiento del cuerpo humano no aparecen en 9.°.</t>
        </is>
      </c>
      <c r="N142" s="30" t="inlineStr">
        <is>
          <t>alta</t>
        </is>
      </c>
      <c r="O142" s="30" t="n">
        <v>0</v>
      </c>
      <c r="P142" s="19">
        <f>IF(D142="reubicar","Opcional (no cambia el total)",IF(E142="cobertura","Sí (cobertura)",IF(D142="insertar",IF(G142&lt;=IFERROR(INDEX($G$6:$G$20,MATCH(B142,$A$6:$A$20,0)),0),"Sí","Reserva"),IF(SUMIFS($O$24:$O$191,$B$24:$B$191,B142,$D$24:$D$191,"fusionar",$G$24:$G$191,"&lt;"&amp;G142)&lt;IFERROR(INDEX($I$6:$I$20,MATCH(B142,$A$6:$A$20,0)),0),"Sí","Reserva"))))</f>
        <v/>
      </c>
      <c r="Q142" s="31" t="inlineStr"/>
    </row>
    <row r="143">
      <c r="A143" s="30" t="inlineStr">
        <is>
          <t>7-9-I14</t>
        </is>
      </c>
      <c r="B143" s="30">
        <f>"7-9|"&amp;F143</f>
        <v/>
      </c>
      <c r="C143" s="30" t="inlineStr">
        <is>
          <t>Ciclo 7°–9°</t>
        </is>
      </c>
      <c r="D143" s="30" t="inlineStr">
        <is>
          <t>insertar</t>
        </is>
      </c>
      <c r="E143" s="30" t="inlineStr">
        <is>
          <t>balance</t>
        </is>
      </c>
      <c r="F143" s="30" t="inlineStr">
        <is>
          <t>Sistemas vivos</t>
        </is>
      </c>
      <c r="G143" s="30" t="n">
        <v>14</v>
      </c>
      <c r="H143" s="30" t="n">
        <v>9</v>
      </c>
      <c r="I143" s="30" t="inlineStr">
        <is>
          <t>9. Salud humana (nueva)</t>
        </is>
      </c>
      <c r="J143" s="30" t="inlineStr"/>
      <c r="K143" s="30" t="inlineStr">
        <is>
          <t>PISA-V4</t>
        </is>
      </c>
      <c r="L143" s="30" t="inlineStr">
        <is>
          <t>Explicación de la reproducción humana y de prácticas de salud sexual y reproductiva.</t>
        </is>
      </c>
      <c r="M143" s="30" t="inlineStr">
        <is>
          <t>Reproducción humana ausente del ciclo.</t>
        </is>
      </c>
      <c r="N143" s="30" t="inlineStr">
        <is>
          <t>media</t>
        </is>
      </c>
      <c r="O143" s="30" t="n">
        <v>0</v>
      </c>
      <c r="P143" s="19">
        <f>IF(D143="reubicar","Opcional (no cambia el total)",IF(E143="cobertura","Sí (cobertura)",IF(D143="insertar",IF(G143&lt;=IFERROR(INDEX($G$6:$G$20,MATCH(B143,$A$6:$A$20,0)),0),"Sí","Reserva"),IF(SUMIFS($O$24:$O$191,$B$24:$B$191,B143,$D$24:$D$191,"fusionar",$G$24:$G$191,"&lt;"&amp;G143)&lt;IFERROR(INDEX($I$6:$I$20,MATCH(B143,$A$6:$A$20,0)),0),"Sí","Reserva"))))</f>
        <v/>
      </c>
      <c r="Q143" s="31" t="inlineStr"/>
    </row>
    <row r="144">
      <c r="A144" s="30" t="inlineStr">
        <is>
          <t>7-9-I15</t>
        </is>
      </c>
      <c r="B144" s="30">
        <f>"7-9|"&amp;F144</f>
        <v/>
      </c>
      <c r="C144" s="30" t="inlineStr">
        <is>
          <t>Ciclo 7°–9°</t>
        </is>
      </c>
      <c r="D144" s="30" t="inlineStr">
        <is>
          <t>insertar</t>
        </is>
      </c>
      <c r="E144" s="30" t="inlineStr">
        <is>
          <t>balance</t>
        </is>
      </c>
      <c r="F144" s="30" t="inlineStr">
        <is>
          <t>Sistemas vivos</t>
        </is>
      </c>
      <c r="G144" s="30" t="n">
        <v>15</v>
      </c>
      <c r="H144" s="30" t="n">
        <v>9</v>
      </c>
      <c r="I144" s="30" t="inlineStr">
        <is>
          <t>11. Evolución (nueva)</t>
        </is>
      </c>
      <c r="J144" s="30" t="inlineStr"/>
      <c r="K144" s="30" t="inlineStr">
        <is>
          <t>PISA-V5, PISA-T6</t>
        </is>
      </c>
      <c r="L144" s="30" t="inlineStr">
        <is>
          <t>Análisis de las evidencias de la evolución: registro fósil, anatomía comparada y secuencias de ADN.</t>
        </is>
      </c>
      <c r="M144" s="30" t="inlineStr">
        <is>
          <t>Evolución solo en 7.°; evidencias no trabajadas; enlaza con T6.</t>
        </is>
      </c>
      <c r="N144" s="30" t="inlineStr">
        <is>
          <t>alta</t>
        </is>
      </c>
      <c r="O144" s="30" t="n">
        <v>0</v>
      </c>
      <c r="P144" s="19">
        <f>IF(D144="reubicar","Opcional (no cambia el total)",IF(E144="cobertura","Sí (cobertura)",IF(D144="insertar",IF(G144&lt;=IFERROR(INDEX($G$6:$G$20,MATCH(B144,$A$6:$A$20,0)),0),"Sí","Reserva"),IF(SUMIFS($O$24:$O$191,$B$24:$B$191,B144,$D$24:$D$191,"fusionar",$G$24:$G$191,"&lt;"&amp;G144)&lt;IFERROR(INDEX($I$6:$I$20,MATCH(B144,$A$6:$A$20,0)),0),"Sí","Reserva"))))</f>
        <v/>
      </c>
      <c r="Q144" s="31" t="inlineStr"/>
    </row>
    <row r="145">
      <c r="A145" s="30" t="inlineStr">
        <is>
          <t>7-9-I16</t>
        </is>
      </c>
      <c r="B145" s="30">
        <f>"7-9|"&amp;F145</f>
        <v/>
      </c>
      <c r="C145" s="30" t="inlineStr">
        <is>
          <t>Ciclo 7°–9°</t>
        </is>
      </c>
      <c r="D145" s="30" t="inlineStr">
        <is>
          <t>insertar</t>
        </is>
      </c>
      <c r="E145" s="30" t="inlineStr">
        <is>
          <t>balance</t>
        </is>
      </c>
      <c r="F145" s="30" t="inlineStr">
        <is>
          <t>Sistemas vivos</t>
        </is>
      </c>
      <c r="G145" s="30" t="n">
        <v>16</v>
      </c>
      <c r="H145" s="30" t="n">
        <v>9</v>
      </c>
      <c r="I145" s="30" t="inlineStr">
        <is>
          <t>9. Salud humana (nueva)</t>
        </is>
      </c>
      <c r="J145" s="30" t="inlineStr"/>
      <c r="K145" s="30" t="inlineStr">
        <is>
          <t>PISA-V4, PISA-V8</t>
        </is>
      </c>
      <c r="L145" s="30" t="inlineStr">
        <is>
          <t>Investigación de los efectos del tabaco, el alcohol y otras drogas en los sistemas del cuerpo humano.</t>
        </is>
      </c>
      <c r="M145" s="30" t="inlineStr">
        <is>
          <t>Salud del organismo humano poco presente; relevancia social.</t>
        </is>
      </c>
      <c r="N145" s="30" t="inlineStr">
        <is>
          <t>media</t>
        </is>
      </c>
      <c r="O145" s="30" t="n">
        <v>0</v>
      </c>
      <c r="P145" s="19">
        <f>IF(D145="reubicar","Opcional (no cambia el total)",IF(E145="cobertura","Sí (cobertura)",IF(D145="insertar",IF(G145&lt;=IFERROR(INDEX($G$6:$G$20,MATCH(B145,$A$6:$A$20,0)),0),"Sí","Reserva"),IF(SUMIFS($O$24:$O$191,$B$24:$B$191,B145,$D$24:$D$191,"fusionar",$G$24:$G$191,"&lt;"&amp;G145)&lt;IFERROR(INDEX($I$6:$I$20,MATCH(B145,$A$6:$A$20,0)),0),"Sí","Reserva"))))</f>
        <v/>
      </c>
      <c r="Q145" s="31" t="inlineStr"/>
    </row>
    <row r="146">
      <c r="A146" s="30" t="inlineStr">
        <is>
          <t>7-9-I17</t>
        </is>
      </c>
      <c r="B146" s="30">
        <f>"7-9|"&amp;F146</f>
        <v/>
      </c>
      <c r="C146" s="30" t="inlineStr">
        <is>
          <t>Ciclo 7°–9°</t>
        </is>
      </c>
      <c r="D146" s="30" t="inlineStr">
        <is>
          <t>insertar</t>
        </is>
      </c>
      <c r="E146" s="30" t="inlineStr">
        <is>
          <t>balance</t>
        </is>
      </c>
      <c r="F146" s="30" t="inlineStr">
        <is>
          <t>Sistemas vivos</t>
        </is>
      </c>
      <c r="G146" s="30" t="n">
        <v>17</v>
      </c>
      <c r="H146" s="30" t="n">
        <v>9</v>
      </c>
      <c r="I146" s="30" t="inlineStr">
        <is>
          <t>4. Oceanografía</t>
        </is>
      </c>
      <c r="J146" s="30" t="inlineStr"/>
      <c r="K146" s="30" t="inlineStr">
        <is>
          <t>PISA-V6, PISA-V7</t>
        </is>
      </c>
      <c r="L146" s="30" t="inlineStr">
        <is>
          <t>Representación del flujo de energía y materia en redes tróficas marinas mediante pirámides ecológicas.</t>
        </is>
      </c>
      <c r="M146" s="30" t="inlineStr">
        <is>
          <t>Encaja en biología marina; flujo de energía poco explícito.</t>
        </is>
      </c>
      <c r="N146" s="30" t="inlineStr">
        <is>
          <t>media</t>
        </is>
      </c>
      <c r="O146" s="30" t="n">
        <v>0</v>
      </c>
      <c r="P146" s="19">
        <f>IF(D146="reubicar","Opcional (no cambia el total)",IF(E146="cobertura","Sí (cobertura)",IF(D146="insertar",IF(G146&lt;=IFERROR(INDEX($G$6:$G$20,MATCH(B146,$A$6:$A$20,0)),0),"Sí","Reserva"),IF(SUMIFS($O$24:$O$191,$B$24:$B$191,B146,$D$24:$D$191,"fusionar",$G$24:$G$191,"&lt;"&amp;G146)&lt;IFERROR(INDEX($I$6:$I$20,MATCH(B146,$A$6:$A$20,0)),0),"Sí","Reserva"))))</f>
        <v/>
      </c>
      <c r="Q146" s="31" t="inlineStr"/>
    </row>
    <row r="147">
      <c r="A147" s="30" t="inlineStr">
        <is>
          <t>7-9-I18</t>
        </is>
      </c>
      <c r="B147" s="30">
        <f>"7-9|"&amp;F147</f>
        <v/>
      </c>
      <c r="C147" s="30" t="inlineStr">
        <is>
          <t>Ciclo 7°–9°</t>
        </is>
      </c>
      <c r="D147" s="30" t="inlineStr">
        <is>
          <t>insertar</t>
        </is>
      </c>
      <c r="E147" s="30" t="inlineStr">
        <is>
          <t>balance</t>
        </is>
      </c>
      <c r="F147" s="30" t="inlineStr">
        <is>
          <t>Sistemas vivos</t>
        </is>
      </c>
      <c r="G147" s="30" t="n">
        <v>18</v>
      </c>
      <c r="H147" s="30" t="n">
        <v>8</v>
      </c>
      <c r="I147" s="30" t="inlineStr">
        <is>
          <t>7. Anatomía y Fisiología Animal</t>
        </is>
      </c>
      <c r="J147" s="30" t="inlineStr"/>
      <c r="K147" s="30" t="inlineStr">
        <is>
          <t>PISA-V4</t>
        </is>
      </c>
      <c r="L147" s="30" t="inlineStr">
        <is>
          <t>Comparación de las estrategias de reproducción y desarrollo en distintos grupos animales.</t>
        </is>
      </c>
      <c r="M147" s="30" t="inlineStr">
        <is>
          <t>La unidad animal de 8.° omite la reproducción.</t>
        </is>
      </c>
      <c r="N147" s="30" t="inlineStr">
        <is>
          <t>alta</t>
        </is>
      </c>
      <c r="O147" s="30" t="n">
        <v>0</v>
      </c>
      <c r="P147" s="19">
        <f>IF(D147="reubicar","Opcional (no cambia el total)",IF(E147="cobertura","Sí (cobertura)",IF(D147="insertar",IF(G147&lt;=IFERROR(INDEX($G$6:$G$20,MATCH(B147,$A$6:$A$20,0)),0),"Sí","Reserva"),IF(SUMIFS($O$24:$O$191,$B$24:$B$191,B147,$D$24:$D$191,"fusionar",$G$24:$G$191,"&lt;"&amp;G147)&lt;IFERROR(INDEX($I$6:$I$20,MATCH(B147,$A$6:$A$20,0)),0),"Sí","Reserva"))))</f>
        <v/>
      </c>
      <c r="Q147" s="31" t="inlineStr"/>
    </row>
    <row r="148">
      <c r="A148" s="30" t="inlineStr">
        <is>
          <t>7-9-I19</t>
        </is>
      </c>
      <c r="B148" s="30">
        <f>"7-9|"&amp;F148</f>
        <v/>
      </c>
      <c r="C148" s="30" t="inlineStr">
        <is>
          <t>Ciclo 7°–9°</t>
        </is>
      </c>
      <c r="D148" s="30" t="inlineStr">
        <is>
          <t>insertar</t>
        </is>
      </c>
      <c r="E148" s="30" t="inlineStr">
        <is>
          <t>balance</t>
        </is>
      </c>
      <c r="F148" s="30" t="inlineStr">
        <is>
          <t>Sistemas vivos</t>
        </is>
      </c>
      <c r="G148" s="30" t="n">
        <v>19</v>
      </c>
      <c r="H148" s="30" t="n">
        <v>8</v>
      </c>
      <c r="I148" s="30" t="inlineStr">
        <is>
          <t>6. Anatomía y fisiología vegetal</t>
        </is>
      </c>
      <c r="J148" s="30" t="inlineStr"/>
      <c r="K148" s="30" t="inlineStr">
        <is>
          <t>PISA-V1, PISA-V6</t>
        </is>
      </c>
      <c r="L148" s="30" t="inlineStr">
        <is>
          <t>Indagación de las relaciones de las plantas con microorganismos: micorrizas, bacterias fijadoras de nitrógeno y fitopatógenos.</t>
        </is>
      </c>
      <c r="M148" s="30" t="inlineStr">
        <is>
          <t>Refuerza V1 (organismos/microorganismos) dentro de la unidad vegetal.</t>
        </is>
      </c>
      <c r="N148" s="30" t="inlineStr">
        <is>
          <t>media</t>
        </is>
      </c>
      <c r="O148" s="30" t="n">
        <v>0</v>
      </c>
      <c r="P148" s="19">
        <f>IF(D148="reubicar","Opcional (no cambia el total)",IF(E148="cobertura","Sí (cobertura)",IF(D148="insertar",IF(G148&lt;=IFERROR(INDEX($G$6:$G$20,MATCH(B148,$A$6:$A$20,0)),0),"Sí","Reserva"),IF(SUMIFS($O$24:$O$191,$B$24:$B$191,B148,$D$24:$D$191,"fusionar",$G$24:$G$191,"&lt;"&amp;G148)&lt;IFERROR(INDEX($I$6:$I$20,MATCH(B148,$A$6:$A$20,0)),0),"Sí","Reserva"))))</f>
        <v/>
      </c>
      <c r="Q148" s="31" t="inlineStr"/>
    </row>
    <row r="149">
      <c r="A149" s="30" t="inlineStr">
        <is>
          <t>7-9-F01</t>
        </is>
      </c>
      <c r="B149" s="30">
        <f>"7-9|"&amp;F149</f>
        <v/>
      </c>
      <c r="C149" s="30" t="inlineStr">
        <is>
          <t>Ciclo 7°–9°</t>
        </is>
      </c>
      <c r="D149" s="30" t="inlineStr">
        <is>
          <t>fusionar</t>
        </is>
      </c>
      <c r="E149" s="30" t="inlineStr"/>
      <c r="F149" s="30" t="inlineStr">
        <is>
          <t>Sistemas físicos</t>
        </is>
      </c>
      <c r="G149" s="30" t="n">
        <v>1</v>
      </c>
      <c r="H149" s="30" t="n">
        <v>8</v>
      </c>
      <c r="I149" s="30" t="inlineStr">
        <is>
          <t>4. Estequiometría y dispersiones</t>
        </is>
      </c>
      <c r="J149" s="30" t="inlineStr">
        <is>
          <t>T1132-G08-CIE · 8.° · 4.18. Demostración de las propiedades coligativas.
T1133-G08-CIE · 8.° · 4.19. Experimentación con las propiedades coligativas.</t>
        </is>
      </c>
      <c r="K149" s="30" t="inlineStr">
        <is>
          <t>PISA-F1</t>
        </is>
      </c>
      <c r="L149" s="30" t="inlineStr">
        <is>
          <t>4.18. Demostración y experimentación con las propiedades coligativas de las soluciones.</t>
        </is>
      </c>
      <c r="M149" s="30" t="inlineStr">
        <is>
          <t>Demostrar y experimentar la misma propiedad coligativa es una sola práctica.</t>
        </is>
      </c>
      <c r="N149" s="30" t="inlineStr">
        <is>
          <t>alta</t>
        </is>
      </c>
      <c r="O149" s="30" t="n">
        <v>1</v>
      </c>
      <c r="P149" s="19">
        <f>IF(D149="reubicar","Opcional (no cambia el total)",IF(E149="cobertura","Sí (cobertura)",IF(D149="insertar",IF(G149&lt;=IFERROR(INDEX($G$6:$G$20,MATCH(B149,$A$6:$A$20,0)),0),"Sí","Reserva"),IF(SUMIFS($O$24:$O$191,$B$24:$B$191,B149,$D$24:$D$191,"fusionar",$G$24:$G$191,"&lt;"&amp;G149)&lt;IFERROR(INDEX($I$6:$I$20,MATCH(B149,$A$6:$A$20,0)),0),"Sí","Reserva"))))</f>
        <v/>
      </c>
      <c r="Q149" s="31" t="inlineStr"/>
    </row>
    <row r="150">
      <c r="A150" s="30" t="inlineStr">
        <is>
          <t>7-9-F02</t>
        </is>
      </c>
      <c r="B150" s="30">
        <f>"7-9|"&amp;F150</f>
        <v/>
      </c>
      <c r="C150" s="30" t="inlineStr">
        <is>
          <t>Ciclo 7°–9°</t>
        </is>
      </c>
      <c r="D150" s="30" t="inlineStr">
        <is>
          <t>fusionar</t>
        </is>
      </c>
      <c r="E150" s="30" t="inlineStr"/>
      <c r="F150" s="30" t="inlineStr">
        <is>
          <t>Sistemas físicos</t>
        </is>
      </c>
      <c r="G150" s="30" t="n">
        <v>2</v>
      </c>
      <c r="H150" s="30" t="n">
        <v>8</v>
      </c>
      <c r="I150" s="30" t="inlineStr">
        <is>
          <t>3. Ondas mecánicas</t>
        </is>
      </c>
      <c r="J150" s="30" t="inlineStr">
        <is>
          <t>T1109-G08-CIE · 8.° · 3.7. Identificación experimental del tipo de onda a partir del movimiento de la fuente de 
T1112-G08-CIE · 8.° · 3.10. Identificación experimental del tipo de onda a partir del movimiento de la fuente de</t>
        </is>
      </c>
      <c r="K150" s="30" t="inlineStr">
        <is>
          <t>PISA-F5</t>
        </is>
      </c>
      <c r="L150" s="30" t="inlineStr">
        <is>
          <t>3.7. Identificación experimental del tipo de onda según la fuente de vibración en cuerdas y columnas de aire.</t>
        </is>
      </c>
      <c r="M150" s="30" t="inlineStr">
        <is>
          <t>Mismo procedimiento en dos medios; se enseña comparando cuerdas y tubos.</t>
        </is>
      </c>
      <c r="N150" s="30" t="inlineStr">
        <is>
          <t>alta</t>
        </is>
      </c>
      <c r="O150" s="30" t="n">
        <v>1</v>
      </c>
      <c r="P150" s="19">
        <f>IF(D150="reubicar","Opcional (no cambia el total)",IF(E150="cobertura","Sí (cobertura)",IF(D150="insertar",IF(G150&lt;=IFERROR(INDEX($G$6:$G$20,MATCH(B150,$A$6:$A$20,0)),0),"Sí","Reserva"),IF(SUMIFS($O$24:$O$191,$B$24:$B$191,B150,$D$24:$D$191,"fusionar",$G$24:$G$191,"&lt;"&amp;G150)&lt;IFERROR(INDEX($I$6:$I$20,MATCH(B150,$A$6:$A$20,0)),0),"Sí","Reserva"))))</f>
        <v/>
      </c>
      <c r="Q150" s="31" t="inlineStr"/>
    </row>
    <row r="151">
      <c r="A151" s="30" t="inlineStr">
        <is>
          <t>7-9-F03</t>
        </is>
      </c>
      <c r="B151" s="30">
        <f>"7-9|"&amp;F151</f>
        <v/>
      </c>
      <c r="C151" s="30" t="inlineStr">
        <is>
          <t>Ciclo 7°–9°</t>
        </is>
      </c>
      <c r="D151" s="30" t="inlineStr">
        <is>
          <t>fusionar</t>
        </is>
      </c>
      <c r="E151" s="30" t="inlineStr"/>
      <c r="F151" s="30" t="inlineStr">
        <is>
          <t>Sistemas físicos</t>
        </is>
      </c>
      <c r="G151" s="30" t="n">
        <v>3</v>
      </c>
      <c r="H151" s="30" t="n">
        <v>8</v>
      </c>
      <c r="I151" s="30" t="inlineStr">
        <is>
          <t>3. Ondas mecánicas</t>
        </is>
      </c>
      <c r="J151" s="30" t="inlineStr">
        <is>
          <t>T1110-G08-CIE · 8.° · 3.8. Identificación experimental de las magnitudes y las condiciones que varían la frecuen
T1113-G08-CIE · 8.° · 3.11. Identificación experimental de las magnitudes y las condiciones que varían la frecue</t>
        </is>
      </c>
      <c r="K151" s="30" t="inlineStr">
        <is>
          <t>PISA-F5</t>
        </is>
      </c>
      <c r="L151" s="30" t="inlineStr">
        <is>
          <t>3.8. Identificación experimental de las magnitudes que varían la frecuencia o el tono del sonido en cuerdas y tubos.</t>
        </is>
      </c>
      <c r="M151" s="30" t="inlineStr">
        <is>
          <t>Misma variable (frecuencia/tono) estudiada en dos fuentes sonoras paralelas.</t>
        </is>
      </c>
      <c r="N151" s="30" t="inlineStr">
        <is>
          <t>alta</t>
        </is>
      </c>
      <c r="O151" s="30" t="n">
        <v>1</v>
      </c>
      <c r="P151" s="19">
        <f>IF(D151="reubicar","Opcional (no cambia el total)",IF(E151="cobertura","Sí (cobertura)",IF(D151="insertar",IF(G151&lt;=IFERROR(INDEX($G$6:$G$20,MATCH(B151,$A$6:$A$20,0)),0),"Sí","Reserva"),IF(SUMIFS($O$24:$O$191,$B$24:$B$191,B151,$D$24:$D$191,"fusionar",$G$24:$G$191,"&lt;"&amp;G151)&lt;IFERROR(INDEX($I$6:$I$20,MATCH(B151,$A$6:$A$20,0)),0),"Sí","Reserva"))))</f>
        <v/>
      </c>
      <c r="Q151" s="31" t="inlineStr"/>
    </row>
    <row r="152">
      <c r="A152" s="30" t="inlineStr">
        <is>
          <t>7-9-F04</t>
        </is>
      </c>
      <c r="B152" s="30">
        <f>"7-9|"&amp;F152</f>
        <v/>
      </c>
      <c r="C152" s="30" t="inlineStr">
        <is>
          <t>Ciclo 7°–9°</t>
        </is>
      </c>
      <c r="D152" s="30" t="inlineStr">
        <is>
          <t>fusionar</t>
        </is>
      </c>
      <c r="E152" s="30" t="inlineStr"/>
      <c r="F152" s="30" t="inlineStr">
        <is>
          <t>Sistemas físicos</t>
        </is>
      </c>
      <c r="G152" s="30" t="n">
        <v>4</v>
      </c>
      <c r="H152" s="30" t="n">
        <v>8</v>
      </c>
      <c r="I152" s="30" t="inlineStr">
        <is>
          <t>3. Ondas mecánicas</t>
        </is>
      </c>
      <c r="J152" s="30" t="inlineStr">
        <is>
          <t xml:space="preserve">T1111-G08-CIE · 8.° · 3.9. Resolución de problemas teóricos a partir de las gráficas de desplazamiento contra po
T1114-G08-CIE · 8.° · 3.12. Resolución de problemas teóricos a partir de las gráficas de presión de aire contra </t>
        </is>
      </c>
      <c r="K152" s="30" t="inlineStr">
        <is>
          <t>PISA-F5</t>
        </is>
      </c>
      <c r="L152" s="30" t="inlineStr">
        <is>
          <t>3.9. Resolución de problemas a partir de gráficas de desplazamiento y de presión de aire contra posición y tiempo.</t>
        </is>
      </c>
      <c r="M152" s="30" t="inlineStr">
        <is>
          <t>Ambos son problemas de lectura de gráficas de ondas.</t>
        </is>
      </c>
      <c r="N152" s="30" t="inlineStr">
        <is>
          <t>alta</t>
        </is>
      </c>
      <c r="O152" s="30" t="n">
        <v>1</v>
      </c>
      <c r="P152" s="19">
        <f>IF(D152="reubicar","Opcional (no cambia el total)",IF(E152="cobertura","Sí (cobertura)",IF(D152="insertar",IF(G152&lt;=IFERROR(INDEX($G$6:$G$20,MATCH(B152,$A$6:$A$20,0)),0),"Sí","Reserva"),IF(SUMIFS($O$24:$O$191,$B$24:$B$191,B152,$D$24:$D$191,"fusionar",$G$24:$G$191,"&lt;"&amp;G152)&lt;IFERROR(INDEX($I$6:$I$20,MATCH(B152,$A$6:$A$20,0)),0),"Sí","Reserva"))))</f>
        <v/>
      </c>
      <c r="Q152" s="31" t="inlineStr"/>
    </row>
    <row r="153">
      <c r="A153" s="30" t="inlineStr">
        <is>
          <t>7-9-F05</t>
        </is>
      </c>
      <c r="B153" s="30">
        <f>"7-9|"&amp;F153</f>
        <v/>
      </c>
      <c r="C153" s="30" t="inlineStr">
        <is>
          <t>Ciclo 7°–9°</t>
        </is>
      </c>
      <c r="D153" s="30" t="inlineStr">
        <is>
          <t>fusionar</t>
        </is>
      </c>
      <c r="E153" s="30" t="inlineStr"/>
      <c r="F153" s="30" t="inlineStr">
        <is>
          <t>Sistemas físicos</t>
        </is>
      </c>
      <c r="G153" s="30" t="n">
        <v>5</v>
      </c>
      <c r="H153" s="30" t="n">
        <v>9</v>
      </c>
      <c r="I153" s="30" t="inlineStr">
        <is>
          <t>1. Mecánica de fluidos</t>
        </is>
      </c>
      <c r="J153" s="30" t="inlineStr">
        <is>
          <t>T1174-G09-CIE · 9.° · 1.4. Elaboración de una prensa hidráulica para la comprobación experimental del principio 
T1175-G09-CIE · 9.° · 1.5. Experimentación con el principio de multiplicación de fuerzas en una prensa hidráulic</t>
        </is>
      </c>
      <c r="K153" s="30" t="inlineStr">
        <is>
          <t>PISA-F3</t>
        </is>
      </c>
      <c r="L153" s="30" t="inlineStr">
        <is>
          <t>1.4. Elaboración de una prensa hidráulica y experimentación con la multiplicación de fuerzas según el principio de Pascal.</t>
        </is>
      </c>
      <c r="M153" s="30" t="inlineStr">
        <is>
          <t>Construir la prensa y experimentar con ella es la misma actividad.</t>
        </is>
      </c>
      <c r="N153" s="30" t="inlineStr">
        <is>
          <t>alta</t>
        </is>
      </c>
      <c r="O153" s="30" t="n">
        <v>1</v>
      </c>
      <c r="P153" s="19">
        <f>IF(D153="reubicar","Opcional (no cambia el total)",IF(E153="cobertura","Sí (cobertura)",IF(D153="insertar",IF(G153&lt;=IFERROR(INDEX($G$6:$G$20,MATCH(B153,$A$6:$A$20,0)),0),"Sí","Reserva"),IF(SUMIFS($O$24:$O$191,$B$24:$B$191,B153,$D$24:$D$191,"fusionar",$G$24:$G$191,"&lt;"&amp;G153)&lt;IFERROR(INDEX($I$6:$I$20,MATCH(B153,$A$6:$A$20,0)),0),"Sí","Reserva"))))</f>
        <v/>
      </c>
      <c r="Q153" s="31" t="inlineStr"/>
    </row>
    <row r="154">
      <c r="A154" s="30" t="inlineStr">
        <is>
          <t>7-9-F06</t>
        </is>
      </c>
      <c r="B154" s="30">
        <f>"7-9|"&amp;F154</f>
        <v/>
      </c>
      <c r="C154" s="30" t="inlineStr">
        <is>
          <t>Ciclo 7°–9°</t>
        </is>
      </c>
      <c r="D154" s="30" t="inlineStr">
        <is>
          <t>fusionar</t>
        </is>
      </c>
      <c r="E154" s="30" t="inlineStr"/>
      <c r="F154" s="30" t="inlineStr">
        <is>
          <t>Sistemas físicos</t>
        </is>
      </c>
      <c r="G154" s="30" t="n">
        <v>6</v>
      </c>
      <c r="H154" s="30" t="n">
        <v>9</v>
      </c>
      <c r="I154" s="30" t="inlineStr">
        <is>
          <t>1. Mecánica de fluidos</t>
        </is>
      </c>
      <c r="J154" s="30" t="inlineStr">
        <is>
          <t xml:space="preserve">T1178-G09-CIE · 9.° · 1.8. Comprobación experimental del teorema de Torricelli empleando líquidos en recipientes
T1179-G09-CIE · 9.° · 1.9 Cálculo de la rapidez de salida de un líquido por un orificio a partir del teorema de </t>
        </is>
      </c>
      <c r="K154" s="30" t="inlineStr">
        <is>
          <t>PISA-F3, PISA-F4</t>
        </is>
      </c>
      <c r="L154" s="30" t="inlineStr">
        <is>
          <t>1.8. Comprobación experimental y cálculo de la rapidez de salida de un líquido según el teorema de Torricelli.</t>
        </is>
      </c>
      <c r="M154" s="30" t="inlineStr">
        <is>
          <t>Comprobación y cálculo del mismo teorema con el mismo montaje.</t>
        </is>
      </c>
      <c r="N154" s="30" t="inlineStr">
        <is>
          <t>alta</t>
        </is>
      </c>
      <c r="O154" s="30" t="n">
        <v>1</v>
      </c>
      <c r="P154" s="19">
        <f>IF(D154="reubicar","Opcional (no cambia el total)",IF(E154="cobertura","Sí (cobertura)",IF(D154="insertar",IF(G154&lt;=IFERROR(INDEX($G$6:$G$20,MATCH(B154,$A$6:$A$20,0)),0),"Sí","Reserva"),IF(SUMIFS($O$24:$O$191,$B$24:$B$191,B154,$D$24:$D$191,"fusionar",$G$24:$G$191,"&lt;"&amp;G154)&lt;IFERROR(INDEX($I$6:$I$20,MATCH(B154,$A$6:$A$20,0)),0),"Sí","Reserva"))))</f>
        <v/>
      </c>
      <c r="Q154" s="31" t="inlineStr"/>
    </row>
    <row r="155">
      <c r="A155" s="30" t="inlineStr">
        <is>
          <t>7-9-F07</t>
        </is>
      </c>
      <c r="B155" s="30">
        <f>"7-9|"&amp;F155</f>
        <v/>
      </c>
      <c r="C155" s="30" t="inlineStr">
        <is>
          <t>Ciclo 7°–9°</t>
        </is>
      </c>
      <c r="D155" s="30" t="inlineStr">
        <is>
          <t>fusionar</t>
        </is>
      </c>
      <c r="E155" s="30" t="inlineStr"/>
      <c r="F155" s="30" t="inlineStr">
        <is>
          <t>Sistemas físicos</t>
        </is>
      </c>
      <c r="G155" s="30" t="n">
        <v>7</v>
      </c>
      <c r="H155" s="30" t="n">
        <v>9</v>
      </c>
      <c r="I155" s="30" t="inlineStr">
        <is>
          <t>1. Mecánica de fluidos</t>
        </is>
      </c>
      <c r="J155" s="30" t="inlineStr">
        <is>
          <t>T1180-G09-CIE · 9.° · 1.10. Medición de magnitudes físicas que permitan calcular la viscosidad de un fluido.
T1181-G09-CIE · 9.° · 1.11. Comprobación experimental de la ley de Stokes.</t>
        </is>
      </c>
      <c r="K155" s="30" t="inlineStr">
        <is>
          <t>PISA-F1, PISA-F3</t>
        </is>
      </c>
      <c r="L155" s="30" t="inlineStr">
        <is>
          <t>1.10. Medición de magnitudes para calcular la viscosidad y comprobación experimental de la ley de Stokes.</t>
        </is>
      </c>
      <c r="M155" s="30" t="inlineStr">
        <is>
          <t>Medir viscosidad y comprobar Stokes usan el mismo experimento.</t>
        </is>
      </c>
      <c r="N155" s="30" t="inlineStr">
        <is>
          <t>alta</t>
        </is>
      </c>
      <c r="O155" s="30" t="n">
        <v>1</v>
      </c>
      <c r="P155" s="19">
        <f>IF(D155="reubicar","Opcional (no cambia el total)",IF(E155="cobertura","Sí (cobertura)",IF(D155="insertar",IF(G155&lt;=IFERROR(INDEX($G$6:$G$20,MATCH(B155,$A$6:$A$20,0)),0),"Sí","Reserva"),IF(SUMIFS($O$24:$O$191,$B$24:$B$191,B155,$D$24:$D$191,"fusionar",$G$24:$G$191,"&lt;"&amp;G155)&lt;IFERROR(INDEX($I$6:$I$20,MATCH(B155,$A$6:$A$20,0)),0),"Sí","Reserva"))))</f>
        <v/>
      </c>
      <c r="Q155" s="31" t="inlineStr"/>
    </row>
    <row r="156">
      <c r="A156" s="30" t="inlineStr">
        <is>
          <t>7-9-F08</t>
        </is>
      </c>
      <c r="B156" s="30">
        <f>"7-9|"&amp;F156</f>
        <v/>
      </c>
      <c r="C156" s="30" t="inlineStr">
        <is>
          <t>Ciclo 7°–9°</t>
        </is>
      </c>
      <c r="D156" s="30" t="inlineStr">
        <is>
          <t>fusionar</t>
        </is>
      </c>
      <c r="E156" s="30" t="inlineStr"/>
      <c r="F156" s="30" t="inlineStr">
        <is>
          <t>Sistemas físicos</t>
        </is>
      </c>
      <c r="G156" s="30" t="n">
        <v>8</v>
      </c>
      <c r="H156" s="30" t="n">
        <v>9</v>
      </c>
      <c r="I156" s="30" t="inlineStr">
        <is>
          <t>2. Calor y temperatura</t>
        </is>
      </c>
      <c r="J156" s="30" t="inlineStr">
        <is>
          <t>T1191-G09-CIE · 9.° · 2.9. Experimentación con un proceso irreversible de extracción de calor por medio de traba
T1192-G09-CIE · 9.° · 2.10. Resolución de problemas acerca de la máxima eficiencia posible en una reversión parc</t>
        </is>
      </c>
      <c r="K156" s="30" t="inlineStr">
        <is>
          <t>PISA-F4</t>
        </is>
      </c>
      <c r="L156" s="30" t="inlineStr">
        <is>
          <t>2.9. Experimentación y resolución de problemas sobre procesos irreversibles y eficiencia máxima de máquinas térmicas.</t>
        </is>
      </c>
      <c r="M156" s="30" t="inlineStr">
        <is>
          <t>Ambos trabajan la segunda ley; experimento y cálculo se integran.</t>
        </is>
      </c>
      <c r="N156" s="30" t="inlineStr">
        <is>
          <t>alta</t>
        </is>
      </c>
      <c r="O156" s="30" t="n">
        <v>1</v>
      </c>
      <c r="P156" s="19">
        <f>IF(D156="reubicar","Opcional (no cambia el total)",IF(E156="cobertura","Sí (cobertura)",IF(D156="insertar",IF(G156&lt;=IFERROR(INDEX($G$6:$G$20,MATCH(B156,$A$6:$A$20,0)),0),"Sí","Reserva"),IF(SUMIFS($O$24:$O$191,$B$24:$B$191,B156,$D$24:$D$191,"fusionar",$G$24:$G$191,"&lt;"&amp;G156)&lt;IFERROR(INDEX($I$6:$I$20,MATCH(B156,$A$6:$A$20,0)),0),"Sí","Reserva"))))</f>
        <v/>
      </c>
      <c r="Q156" s="31" t="inlineStr"/>
    </row>
    <row r="157">
      <c r="A157" s="30" t="inlineStr">
        <is>
          <t>7-9-F09</t>
        </is>
      </c>
      <c r="B157" s="30">
        <f>"7-9|"&amp;F157</f>
        <v/>
      </c>
      <c r="C157" s="30" t="inlineStr">
        <is>
          <t>Ciclo 7°–9°</t>
        </is>
      </c>
      <c r="D157" s="30" t="inlineStr">
        <is>
          <t>fusionar</t>
        </is>
      </c>
      <c r="E157" s="30" t="inlineStr"/>
      <c r="F157" s="30" t="inlineStr">
        <is>
          <t>Sistemas físicos</t>
        </is>
      </c>
      <c r="G157" s="30" t="n">
        <v>9</v>
      </c>
      <c r="H157" s="30" t="n">
        <v>9</v>
      </c>
      <c r="I157" s="30" t="inlineStr">
        <is>
          <t>2. Calor y temperatura</t>
        </is>
      </c>
      <c r="J157" s="30" t="inlineStr">
        <is>
          <t>T1183-G09-CIE · 9.° · 2.1. Experimentación con cambios de fase en sustancias puras.
T1184-G09-CIE · 9.° · 2.2. Elaboración de un gráfico de temperatura versus tiempo de una sustancia a partir de d</t>
        </is>
      </c>
      <c r="K157" s="30" t="inlineStr">
        <is>
          <t>PISA-F1, PISA-F4</t>
        </is>
      </c>
      <c r="L157" s="30" t="inlineStr">
        <is>
          <t>2.1. Experimentación con cambios de fase y elaboración del gráfico temperatura-tiempo a partir de los datos.</t>
        </is>
      </c>
      <c r="M157" s="30" t="inlineStr">
        <is>
          <t>El gráfico se construye con los datos del mismo experimento.</t>
        </is>
      </c>
      <c r="N157" s="30" t="inlineStr">
        <is>
          <t>alta</t>
        </is>
      </c>
      <c r="O157" s="30" t="n">
        <v>1</v>
      </c>
      <c r="P157" s="19">
        <f>IF(D157="reubicar","Opcional (no cambia el total)",IF(E157="cobertura","Sí (cobertura)",IF(D157="insertar",IF(G157&lt;=IFERROR(INDEX($G$6:$G$20,MATCH(B157,$A$6:$A$20,0)),0),"Sí","Reserva"),IF(SUMIFS($O$24:$O$191,$B$24:$B$191,B157,$D$24:$D$191,"fusionar",$G$24:$G$191,"&lt;"&amp;G157)&lt;IFERROR(INDEX($I$6:$I$20,MATCH(B157,$A$6:$A$20,0)),0),"Sí","Reserva"))))</f>
        <v/>
      </c>
      <c r="Q157" s="31" t="inlineStr"/>
    </row>
    <row r="158">
      <c r="A158" s="30" t="inlineStr">
        <is>
          <t>7-9-F10</t>
        </is>
      </c>
      <c r="B158" s="30">
        <f>"7-9|"&amp;F158</f>
        <v/>
      </c>
      <c r="C158" s="30" t="inlineStr">
        <is>
          <t>Ciclo 7°–9°</t>
        </is>
      </c>
      <c r="D158" s="30" t="inlineStr">
        <is>
          <t>fusionar</t>
        </is>
      </c>
      <c r="E158" s="30" t="inlineStr"/>
      <c r="F158" s="30" t="inlineStr">
        <is>
          <t>Sistemas físicos</t>
        </is>
      </c>
      <c r="G158" s="30" t="n">
        <v>10</v>
      </c>
      <c r="H158" s="30" t="n">
        <v>9</v>
      </c>
      <c r="I158" s="30" t="inlineStr">
        <is>
          <t>2. Calor y temperatura</t>
        </is>
      </c>
      <c r="J158" s="30" t="inlineStr">
        <is>
          <t>T1186-G09-CIE · 9.° · 2.4. Experimentación con procesos termodinámicos en un gas ideal.
T1187-G09-CIE · 9.° · 2.5. Resolución de problemas a partir de gráficas de procesos termodinámicos.</t>
        </is>
      </c>
      <c r="K158" s="30" t="inlineStr">
        <is>
          <t>PISA-F1, PISA-F4</t>
        </is>
      </c>
      <c r="L158" s="30" t="inlineStr">
        <is>
          <t>2.4. Experimentación con procesos termodinámicos de un gas ideal y resolución de problemas con sus gráficas.</t>
        </is>
      </c>
      <c r="M158" s="30" t="inlineStr">
        <is>
          <t>Mismo contenido (procesos termodinámicos), experimental y gráfico.</t>
        </is>
      </c>
      <c r="N158" s="30" t="inlineStr">
        <is>
          <t>alta</t>
        </is>
      </c>
      <c r="O158" s="30" t="n">
        <v>1</v>
      </c>
      <c r="P158" s="19">
        <f>IF(D158="reubicar","Opcional (no cambia el total)",IF(E158="cobertura","Sí (cobertura)",IF(D158="insertar",IF(G158&lt;=IFERROR(INDEX($G$6:$G$20,MATCH(B158,$A$6:$A$20,0)),0),"Sí","Reserva"),IF(SUMIFS($O$24:$O$191,$B$24:$B$191,B158,$D$24:$D$191,"fusionar",$G$24:$G$191,"&lt;"&amp;G158)&lt;IFERROR(INDEX($I$6:$I$20,MATCH(B158,$A$6:$A$20,0)),0),"Sí","Reserva"))))</f>
        <v/>
      </c>
      <c r="Q158" s="31" t="inlineStr"/>
    </row>
    <row r="159">
      <c r="A159" s="30" t="inlineStr">
        <is>
          <t>7-9-F11</t>
        </is>
      </c>
      <c r="B159" s="30">
        <f>"7-9|"&amp;F159</f>
        <v/>
      </c>
      <c r="C159" s="30" t="inlineStr">
        <is>
          <t>Ciclo 7°–9°</t>
        </is>
      </c>
      <c r="D159" s="30" t="inlineStr">
        <is>
          <t>fusionar</t>
        </is>
      </c>
      <c r="E159" s="30" t="inlineStr"/>
      <c r="F159" s="30" t="inlineStr">
        <is>
          <t>Sistemas físicos</t>
        </is>
      </c>
      <c r="G159" s="30" t="n">
        <v>11</v>
      </c>
      <c r="H159" s="30" t="n">
        <v>9</v>
      </c>
      <c r="I159" s="30" t="inlineStr">
        <is>
          <t>3. Equilibrio químico</t>
        </is>
      </c>
      <c r="J159" s="30" t="inlineStr">
        <is>
          <t>T1207-G09-CIE · 9.° · 3.15. Análisis de la función de las soluciones buffer.
T1208-G09-CIE · 9.° · 3.16. Comprobación experimental del efecto amortiguador de pH de las soluciones buffer.
T1209-G09-CIE · 9.° · 3.17. Reconocimiento de aplicaciones y ocurrencia natural de las soluciones buffer.</t>
        </is>
      </c>
      <c r="K159" s="30" t="inlineStr">
        <is>
          <t>PISA-F2</t>
        </is>
      </c>
      <c r="L159" s="30" t="inlineStr">
        <is>
          <t>3.15. Análisis, comprobación experimental y aplicaciones naturales de las soluciones buffer.</t>
        </is>
      </c>
      <c r="M159" s="30" t="inlineStr">
        <is>
          <t>Tres temas sobre buffer caben en una secuencia de una sesión.</t>
        </is>
      </c>
      <c r="N159" s="30" t="inlineStr">
        <is>
          <t>media</t>
        </is>
      </c>
      <c r="O159" s="30" t="n">
        <v>2</v>
      </c>
      <c r="P159" s="19">
        <f>IF(D159="reubicar","Opcional (no cambia el total)",IF(E159="cobertura","Sí (cobertura)",IF(D159="insertar",IF(G159&lt;=IFERROR(INDEX($G$6:$G$20,MATCH(B159,$A$6:$A$20,0)),0),"Sí","Reserva"),IF(SUMIFS($O$24:$O$191,$B$24:$B$191,B159,$D$24:$D$191,"fusionar",$G$24:$G$191,"&lt;"&amp;G159)&lt;IFERROR(INDEX($I$6:$I$20,MATCH(B159,$A$6:$A$20,0)),0),"Sí","Reserva"))))</f>
        <v/>
      </c>
      <c r="Q159" s="31" t="inlineStr"/>
    </row>
    <row r="160">
      <c r="A160" s="30" t="inlineStr">
        <is>
          <t>7-9-F12</t>
        </is>
      </c>
      <c r="B160" s="30">
        <f>"7-9|"&amp;F160</f>
        <v/>
      </c>
      <c r="C160" s="30" t="inlineStr">
        <is>
          <t>Ciclo 7°–9°</t>
        </is>
      </c>
      <c r="D160" s="30" t="inlineStr">
        <is>
          <t>fusionar</t>
        </is>
      </c>
      <c r="E160" s="30" t="inlineStr"/>
      <c r="F160" s="30" t="inlineStr">
        <is>
          <t>Sistemas físicos</t>
        </is>
      </c>
      <c r="G160" s="30" t="n">
        <v>12</v>
      </c>
      <c r="H160" s="30" t="n">
        <v>9</v>
      </c>
      <c r="I160" s="30" t="inlineStr">
        <is>
          <t>3. Equilibrio químico</t>
        </is>
      </c>
      <c r="J160" s="30" t="inlineStr">
        <is>
          <t>T1200-G09-CIE · 9.° · 3.8. Indagación del concepto y las características de ácidos y bases.
T1201-G09-CIE · 9.° · 3.9. Identificación de ácidos y bases según las teorías de Arrhenius, Bronsted-Lowry y Lew</t>
        </is>
      </c>
      <c r="K160" s="30" t="inlineStr">
        <is>
          <t>PISA-F2</t>
        </is>
      </c>
      <c r="L160" s="30" t="inlineStr">
        <is>
          <t>3.8. Indagación del concepto de ácidos y bases según las teorías de Arrhenius, Brønsted-Lowry y Lewis.</t>
        </is>
      </c>
      <c r="M160" s="30" t="inlineStr">
        <is>
          <t>Concepto y teorías ácido-base se enseñan juntos.</t>
        </is>
      </c>
      <c r="N160" s="30" t="inlineStr">
        <is>
          <t>alta</t>
        </is>
      </c>
      <c r="O160" s="30" t="n">
        <v>1</v>
      </c>
      <c r="P160" s="19">
        <f>IF(D160="reubicar","Opcional (no cambia el total)",IF(E160="cobertura","Sí (cobertura)",IF(D160="insertar",IF(G160&lt;=IFERROR(INDEX($G$6:$G$20,MATCH(B160,$A$6:$A$20,0)),0),"Sí","Reserva"),IF(SUMIFS($O$24:$O$191,$B$24:$B$191,B160,$D$24:$D$191,"fusionar",$G$24:$G$191,"&lt;"&amp;G160)&lt;IFERROR(INDEX($I$6:$I$20,MATCH(B160,$A$6:$A$20,0)),0),"Sí","Reserva"))))</f>
        <v/>
      </c>
      <c r="Q160" s="31" t="inlineStr"/>
    </row>
    <row r="161">
      <c r="A161" s="30" t="inlineStr">
        <is>
          <t>7-9-F13</t>
        </is>
      </c>
      <c r="B161" s="30">
        <f>"7-9|"&amp;F161</f>
        <v/>
      </c>
      <c r="C161" s="30" t="inlineStr">
        <is>
          <t>Ciclo 7°–9°</t>
        </is>
      </c>
      <c r="D161" s="30" t="inlineStr">
        <is>
          <t>fusionar</t>
        </is>
      </c>
      <c r="E161" s="30" t="inlineStr"/>
      <c r="F161" s="30" t="inlineStr">
        <is>
          <t>Sistemas físicos</t>
        </is>
      </c>
      <c r="G161" s="30" t="n">
        <v>13</v>
      </c>
      <c r="H161" s="30" t="n">
        <v>9</v>
      </c>
      <c r="I161" s="30" t="inlineStr">
        <is>
          <t>3. Equilibrio químico</t>
        </is>
      </c>
      <c r="J161" s="30" t="inlineStr">
        <is>
          <t>T1202-G09-CIE · 9.° · 3.10. Extracción de un indicador natural para la identificación cualitativa de ácidos y ba
T1204-G09-CIE · 9.° · 3.12. Clasificación de soluciones en neutras, ácidas y básicas.</t>
        </is>
      </c>
      <c r="K161" s="30" t="inlineStr">
        <is>
          <t>PISA-F2</t>
        </is>
      </c>
      <c r="L161" s="30" t="inlineStr">
        <is>
          <t>3.10. Clasificación de soluciones en neutras, ácidas y básicas con un indicador natural extraído.</t>
        </is>
      </c>
      <c r="M161" s="30" t="inlineStr">
        <is>
          <t>El indicador natural sirve precisamente para clasificar soluciones.</t>
        </is>
      </c>
      <c r="N161" s="30" t="inlineStr">
        <is>
          <t>alta</t>
        </is>
      </c>
      <c r="O161" s="30" t="n">
        <v>1</v>
      </c>
      <c r="P161" s="19">
        <f>IF(D161="reubicar","Opcional (no cambia el total)",IF(E161="cobertura","Sí (cobertura)",IF(D161="insertar",IF(G161&lt;=IFERROR(INDEX($G$6:$G$20,MATCH(B161,$A$6:$A$20,0)),0),"Sí","Reserva"),IF(SUMIFS($O$24:$O$191,$B$24:$B$191,B161,$D$24:$D$191,"fusionar",$G$24:$G$191,"&lt;"&amp;G161)&lt;IFERROR(INDEX($I$6:$I$20,MATCH(B161,$A$6:$A$20,0)),0),"Sí","Reserva"))))</f>
        <v/>
      </c>
      <c r="Q161" s="31" t="inlineStr"/>
    </row>
    <row r="162">
      <c r="A162" s="30" t="inlineStr">
        <is>
          <t>7-9-F14</t>
        </is>
      </c>
      <c r="B162" s="30">
        <f>"7-9|"&amp;F162</f>
        <v/>
      </c>
      <c r="C162" s="30" t="inlineStr">
        <is>
          <t>Ciclo 7°–9°</t>
        </is>
      </c>
      <c r="D162" s="30" t="inlineStr">
        <is>
          <t>fusionar</t>
        </is>
      </c>
      <c r="E162" s="30" t="inlineStr"/>
      <c r="F162" s="30" t="inlineStr">
        <is>
          <t>Sistemas físicos</t>
        </is>
      </c>
      <c r="G162" s="30" t="n">
        <v>14</v>
      </c>
      <c r="H162" s="30" t="n">
        <v>9</v>
      </c>
      <c r="I162" s="30" t="inlineStr">
        <is>
          <t>3. Equilibrio químico</t>
        </is>
      </c>
      <c r="J162" s="30" t="inlineStr">
        <is>
          <t>T1205-G09-CIE · 9.° · 3.13. Reconocimiento de ácidos y bases fuertes y débiles de acuerdo con su disociación en 
T1206-G09-CIE · 9.° · 3.14. Expresión de las constantes de ionización de ácidos y bases.</t>
        </is>
      </c>
      <c r="K162" s="30" t="inlineStr">
        <is>
          <t>PISA-F2</t>
        </is>
      </c>
      <c r="L162" s="30" t="inlineStr">
        <is>
          <t>3.13. Reconocimiento de ácidos y bases fuertes y débiles por su disociación y sus constantes de ionización.</t>
        </is>
      </c>
      <c r="M162" s="30" t="inlineStr">
        <is>
          <t>La constante de ionización cuantifica la disociación; mismo contenido.</t>
        </is>
      </c>
      <c r="N162" s="30" t="inlineStr">
        <is>
          <t>alta</t>
        </is>
      </c>
      <c r="O162" s="30" t="n">
        <v>1</v>
      </c>
      <c r="P162" s="19">
        <f>IF(D162="reubicar","Opcional (no cambia el total)",IF(E162="cobertura","Sí (cobertura)",IF(D162="insertar",IF(G162&lt;=IFERROR(INDEX($G$6:$G$20,MATCH(B162,$A$6:$A$20,0)),0),"Sí","Reserva"),IF(SUMIFS($O$24:$O$191,$B$24:$B$191,B162,$D$24:$D$191,"fusionar",$G$24:$G$191,"&lt;"&amp;G162)&lt;IFERROR(INDEX($I$6:$I$20,MATCH(B162,$A$6:$A$20,0)),0),"Sí","Reserva"))))</f>
        <v/>
      </c>
      <c r="Q162" s="31" t="inlineStr"/>
    </row>
    <row r="163">
      <c r="A163" s="30" t="inlineStr">
        <is>
          <t>7-9-F15</t>
        </is>
      </c>
      <c r="B163" s="30">
        <f>"7-9|"&amp;F163</f>
        <v/>
      </c>
      <c r="C163" s="30" t="inlineStr">
        <is>
          <t>Ciclo 7°–9°</t>
        </is>
      </c>
      <c r="D163" s="30" t="inlineStr">
        <is>
          <t>fusionar</t>
        </is>
      </c>
      <c r="E163" s="30" t="inlineStr"/>
      <c r="F163" s="30" t="inlineStr">
        <is>
          <t>Sistemas físicos</t>
        </is>
      </c>
      <c r="G163" s="30" t="n">
        <v>15</v>
      </c>
      <c r="H163" s="30" t="n">
        <v>9</v>
      </c>
      <c r="I163" s="30" t="inlineStr">
        <is>
          <t>3. Equilibrio químico</t>
        </is>
      </c>
      <c r="J163" s="30" t="inlineStr">
        <is>
          <t>T1195-G09-CIE · 9.° · 3.3. Identificación del tipo de equilibrio químico y la expresión de la constante de equil
T1198-G09-CIE · 9.° · 3.6. Representación de la constante de equilibrio a partir de ecuaciones de reacción quími</t>
        </is>
      </c>
      <c r="K163" s="30" t="inlineStr">
        <is>
          <t>PISA-F2</t>
        </is>
      </c>
      <c r="L163" s="30" t="inlineStr">
        <is>
          <t>3.3. Identificación del tipo de equilibrio y representación de la constante de equilibrio a partir de ecuaciones químicas.</t>
        </is>
      </c>
      <c r="M163" s="30" t="inlineStr">
        <is>
          <t>Ambos escriben la expresión de la constante de equilibrio.</t>
        </is>
      </c>
      <c r="N163" s="30" t="inlineStr">
        <is>
          <t>alta</t>
        </is>
      </c>
      <c r="O163" s="30" t="n">
        <v>1</v>
      </c>
      <c r="P163" s="19">
        <f>IF(D163="reubicar","Opcional (no cambia el total)",IF(E163="cobertura","Sí (cobertura)",IF(D163="insertar",IF(G163&lt;=IFERROR(INDEX($G$6:$G$20,MATCH(B163,$A$6:$A$20,0)),0),"Sí","Reserva"),IF(SUMIFS($O$24:$O$191,$B$24:$B$191,B163,$D$24:$D$191,"fusionar",$G$24:$G$191,"&lt;"&amp;G163)&lt;IFERROR(INDEX($I$6:$I$20,MATCH(B163,$A$6:$A$20,0)),0),"Sí","Reserva"))))</f>
        <v/>
      </c>
      <c r="Q163" s="31" t="inlineStr"/>
    </row>
    <row r="164">
      <c r="A164" s="30" t="inlineStr">
        <is>
          <t>7-9-F16</t>
        </is>
      </c>
      <c r="B164" s="30">
        <f>"7-9|"&amp;F164</f>
        <v/>
      </c>
      <c r="C164" s="30" t="inlineStr">
        <is>
          <t>Ciclo 7°–9°</t>
        </is>
      </c>
      <c r="D164" s="30" t="inlineStr">
        <is>
          <t>fusionar</t>
        </is>
      </c>
      <c r="E164" s="30" t="inlineStr"/>
      <c r="F164" s="30" t="inlineStr">
        <is>
          <t>Sistemas físicos</t>
        </is>
      </c>
      <c r="G164" s="30" t="n">
        <v>16</v>
      </c>
      <c r="H164" s="30" t="n">
        <v>9</v>
      </c>
      <c r="I164" s="30" t="inlineStr">
        <is>
          <t>7. Magnetismo aplicado</t>
        </is>
      </c>
      <c r="J164" s="30" t="inlineStr">
        <is>
          <t>T1256-G09-CIE · 9.° · 7.3. Indagación de aplicaciones magnéticas en el diagnóstico y los tratamientos médicos.
T1257-G09-CIE · 9.° · 7.4. Explicación de los fenómenos magnéticos involucrados en equipos de uso médico.</t>
        </is>
      </c>
      <c r="K164" s="30" t="inlineStr">
        <is>
          <t>PISA-F3</t>
        </is>
      </c>
      <c r="L164" s="30" t="inlineStr">
        <is>
          <t>7.3. Indagación y explicación de los fenómenos magnéticos en equipos de diagnóstico y tratamiento médico.</t>
        </is>
      </c>
      <c r="M164" s="30" t="inlineStr">
        <is>
          <t>Mismo contenido (tecnologías médicas magnéticas), indagar y explicar.</t>
        </is>
      </c>
      <c r="N164" s="30" t="inlineStr">
        <is>
          <t>alta</t>
        </is>
      </c>
      <c r="O164" s="30" t="n">
        <v>1</v>
      </c>
      <c r="P164" s="19">
        <f>IF(D164="reubicar","Opcional (no cambia el total)",IF(E164="cobertura","Sí (cobertura)",IF(D164="insertar",IF(G164&lt;=IFERROR(INDEX($G$6:$G$20,MATCH(B164,$A$6:$A$20,0)),0),"Sí","Reserva"),IF(SUMIFS($O$24:$O$191,$B$24:$B$191,B164,$D$24:$D$191,"fusionar",$G$24:$G$191,"&lt;"&amp;G164)&lt;IFERROR(INDEX($I$6:$I$20,MATCH(B164,$A$6:$A$20,0)),0),"Sí","Reserva"))))</f>
        <v/>
      </c>
      <c r="Q164" s="31" t="inlineStr"/>
    </row>
    <row r="165">
      <c r="A165" s="30" t="inlineStr">
        <is>
          <t>7-9-F17</t>
        </is>
      </c>
      <c r="B165" s="30">
        <f>"7-9|"&amp;F165</f>
        <v/>
      </c>
      <c r="C165" s="30" t="inlineStr">
        <is>
          <t>Ciclo 7°–9°</t>
        </is>
      </c>
      <c r="D165" s="30" t="inlineStr">
        <is>
          <t>fusionar</t>
        </is>
      </c>
      <c r="E165" s="30" t="inlineStr"/>
      <c r="F165" s="30" t="inlineStr">
        <is>
          <t>Sistemas físicos</t>
        </is>
      </c>
      <c r="G165" s="30" t="n">
        <v>17</v>
      </c>
      <c r="H165" s="30" t="n">
        <v>9</v>
      </c>
      <c r="I165" s="30" t="inlineStr">
        <is>
          <t>7. Magnetismo aplicado</t>
        </is>
      </c>
      <c r="J165" s="30" t="inlineStr">
        <is>
          <t>T1258-G09-CIE · 9.° · 7.5. Construcción de un motor de corriente directa.
T1259-G09-CIE · 9.° · 7.6. Explicación del funcionamiento del motor de corriente directa.</t>
        </is>
      </c>
      <c r="K165" s="30" t="inlineStr">
        <is>
          <t>PISA-F3, PISA-F4</t>
        </is>
      </c>
      <c r="L165" s="30" t="inlineStr">
        <is>
          <t>7.5. Construcción y explicación del funcionamiento de un motor de corriente directa.</t>
        </is>
      </c>
      <c r="M165" s="30" t="inlineStr">
        <is>
          <t>Construir el motor exige explicar su funcionamiento.</t>
        </is>
      </c>
      <c r="N165" s="30" t="inlineStr">
        <is>
          <t>alta</t>
        </is>
      </c>
      <c r="O165" s="30" t="n">
        <v>1</v>
      </c>
      <c r="P165" s="19">
        <f>IF(D165="reubicar","Opcional (no cambia el total)",IF(E165="cobertura","Sí (cobertura)",IF(D165="insertar",IF(G165&lt;=IFERROR(INDEX($G$6:$G$20,MATCH(B165,$A$6:$A$20,0)),0),"Sí","Reserva"),IF(SUMIFS($O$24:$O$191,$B$24:$B$191,B165,$D$24:$D$191,"fusionar",$G$24:$G$191,"&lt;"&amp;G165)&lt;IFERROR(INDEX($I$6:$I$20,MATCH(B165,$A$6:$A$20,0)),0),"Sí","Reserva"))))</f>
        <v/>
      </c>
      <c r="Q165" s="31" t="inlineStr"/>
    </row>
    <row r="166">
      <c r="A166" s="30" t="inlineStr">
        <is>
          <t>7-9-F18</t>
        </is>
      </c>
      <c r="B166" s="30">
        <f>"7-9|"&amp;F166</f>
        <v/>
      </c>
      <c r="C166" s="30" t="inlineStr">
        <is>
          <t>Ciclo 7°–9°</t>
        </is>
      </c>
      <c r="D166" s="30" t="inlineStr">
        <is>
          <t>fusionar</t>
        </is>
      </c>
      <c r="E166" s="30" t="inlineStr"/>
      <c r="F166" s="30" t="inlineStr">
        <is>
          <t>Sistemas físicos</t>
        </is>
      </c>
      <c r="G166" s="30" t="n">
        <v>18</v>
      </c>
      <c r="H166" s="30" t="n">
        <v>9</v>
      </c>
      <c r="I166" s="30" t="inlineStr">
        <is>
          <t>6. Electricidad</t>
        </is>
      </c>
      <c r="J166" s="30" t="inlineStr">
        <is>
          <t>T1244-G09-CIE · 9.° · 6.5. Construcción de un circuito eléctrico funcional que incluya diversos componentes elec
T1245-G09-CIE · 9.° · 6.6. Explicación del funcionamiento de algunos componentes electrónicos.</t>
        </is>
      </c>
      <c r="K166" s="30" t="inlineStr">
        <is>
          <t>PISA-F1, PISA-F4</t>
        </is>
      </c>
      <c r="L166" s="30" t="inlineStr">
        <is>
          <t>6.5. Construcción de un circuito con componentes electrónicos y explicación de su funcionamiento.</t>
        </is>
      </c>
      <c r="M166" s="30" t="inlineStr">
        <is>
          <t>Los componentes se explican al montarlos en el circuito.</t>
        </is>
      </c>
      <c r="N166" s="30" t="inlineStr">
        <is>
          <t>alta</t>
        </is>
      </c>
      <c r="O166" s="30" t="n">
        <v>1</v>
      </c>
      <c r="P166" s="19">
        <f>IF(D166="reubicar","Opcional (no cambia el total)",IF(E166="cobertura","Sí (cobertura)",IF(D166="insertar",IF(G166&lt;=IFERROR(INDEX($G$6:$G$20,MATCH(B166,$A$6:$A$20,0)),0),"Sí","Reserva"),IF(SUMIFS($O$24:$O$191,$B$24:$B$191,B166,$D$24:$D$191,"fusionar",$G$24:$G$191,"&lt;"&amp;G166)&lt;IFERROR(INDEX($I$6:$I$20,MATCH(B166,$A$6:$A$20,0)),0),"Sí","Reserva"))))</f>
        <v/>
      </c>
      <c r="Q166" s="31" t="inlineStr"/>
    </row>
    <row r="167">
      <c r="A167" s="30" t="inlineStr">
        <is>
          <t>7-9-F19</t>
        </is>
      </c>
      <c r="B167" s="30">
        <f>"7-9|"&amp;F167</f>
        <v/>
      </c>
      <c r="C167" s="30" t="inlineStr">
        <is>
          <t>Ciclo 7°–9°</t>
        </is>
      </c>
      <c r="D167" s="30" t="inlineStr">
        <is>
          <t>fusionar</t>
        </is>
      </c>
      <c r="E167" s="30" t="inlineStr"/>
      <c r="F167" s="30" t="inlineStr">
        <is>
          <t>Sistemas físicos</t>
        </is>
      </c>
      <c r="G167" s="30" t="n">
        <v>19</v>
      </c>
      <c r="H167" s="30" t="n">
        <v>9</v>
      </c>
      <c r="I167" s="30" t="inlineStr">
        <is>
          <t>6. Electricidad</t>
        </is>
      </c>
      <c r="J167" s="30" t="inlineStr">
        <is>
          <t>T1241-G09-CIE · 9.° · 6.2. Experimentación con las características del campo y la fuerza eléctrica.
T1242-G09-CIE · 9.° · 6.3. Cálculo de la fuerza eléctrica considerando cargas puntuales en una dimensión.</t>
        </is>
      </c>
      <c r="K167" s="30" t="inlineStr">
        <is>
          <t>PISA-F3</t>
        </is>
      </c>
      <c r="L167" s="30" t="inlineStr">
        <is>
          <t>6.2. Experimentación con el campo y la fuerza eléctrica y cálculo para cargas puntuales en una dimensión.</t>
        </is>
      </c>
      <c r="M167" s="30" t="inlineStr">
        <is>
          <t>Ley de Coulomb: experiencia y cálculo del mismo concepto.</t>
        </is>
      </c>
      <c r="N167" s="30" t="inlineStr">
        <is>
          <t>alta</t>
        </is>
      </c>
      <c r="O167" s="30" t="n">
        <v>1</v>
      </c>
      <c r="P167" s="19">
        <f>IF(D167="reubicar","Opcional (no cambia el total)",IF(E167="cobertura","Sí (cobertura)",IF(D167="insertar",IF(G167&lt;=IFERROR(INDEX($G$6:$G$20,MATCH(B167,$A$6:$A$20,0)),0),"Sí","Reserva"),IF(SUMIFS($O$24:$O$191,$B$24:$B$191,B167,$D$24:$D$191,"fusionar",$G$24:$G$191,"&lt;"&amp;G167)&lt;IFERROR(INDEX($I$6:$I$20,MATCH(B167,$A$6:$A$20,0)),0),"Sí","Reserva"))))</f>
        <v/>
      </c>
      <c r="Q167" s="31" t="inlineStr"/>
    </row>
    <row r="168">
      <c r="A168" s="30" t="inlineStr">
        <is>
          <t>7-9-F20</t>
        </is>
      </c>
      <c r="B168" s="30">
        <f>"7-9|"&amp;F168</f>
        <v/>
      </c>
      <c r="C168" s="30" t="inlineStr">
        <is>
          <t>Ciclo 7°–9°</t>
        </is>
      </c>
      <c r="D168" s="30" t="inlineStr">
        <is>
          <t>fusionar</t>
        </is>
      </c>
      <c r="E168" s="30" t="inlineStr"/>
      <c r="F168" s="30" t="inlineStr">
        <is>
          <t>Sistemas físicos</t>
        </is>
      </c>
      <c r="G168" s="30" t="n">
        <v>20</v>
      </c>
      <c r="H168" s="30" t="n">
        <v>9</v>
      </c>
      <c r="I168" s="30" t="inlineStr">
        <is>
          <t>2. Calor y temperatura</t>
        </is>
      </c>
      <c r="J168" s="30" t="inlineStr">
        <is>
          <t>T1189-G09-CIE · 9.° · 2.7. Elaboración de dispositivos que transformen el calor en trabajo mecánico.
T1190-G09-CIE · 9.° · 2.8. Resolución de problemas empleando la Primera ley de la termodinámica.</t>
        </is>
      </c>
      <c r="K168" s="30" t="inlineStr">
        <is>
          <t>PISA-F4</t>
        </is>
      </c>
      <c r="L168" s="30" t="inlineStr">
        <is>
          <t>2.7. Elaboración de dispositivos que transforman calor en trabajo y resolución de problemas con la primera ley.</t>
        </is>
      </c>
      <c r="M168" s="30" t="inlineStr">
        <is>
          <t>Ambos aplican la primera ley; el dispositivo da datos para problemas.</t>
        </is>
      </c>
      <c r="N168" s="30" t="inlineStr">
        <is>
          <t>media</t>
        </is>
      </c>
      <c r="O168" s="30" t="n">
        <v>1</v>
      </c>
      <c r="P168" s="19">
        <f>IF(D168="reubicar","Opcional (no cambia el total)",IF(E168="cobertura","Sí (cobertura)",IF(D168="insertar",IF(G168&lt;=IFERROR(INDEX($G$6:$G$20,MATCH(B168,$A$6:$A$20,0)),0),"Sí","Reserva"),IF(SUMIFS($O$24:$O$191,$B$24:$B$191,B168,$D$24:$D$191,"fusionar",$G$24:$G$191,"&lt;"&amp;G168)&lt;IFERROR(INDEX($I$6:$I$20,MATCH(B168,$A$6:$A$20,0)),0),"Sí","Reserva"))))</f>
        <v/>
      </c>
      <c r="Q168" s="31" t="inlineStr"/>
    </row>
    <row r="169">
      <c r="A169" s="30" t="inlineStr">
        <is>
          <t>7-9-F21</t>
        </is>
      </c>
      <c r="B169" s="30">
        <f>"7-9|"&amp;F169</f>
        <v/>
      </c>
      <c r="C169" s="30" t="inlineStr">
        <is>
          <t>Ciclo 7°–9°</t>
        </is>
      </c>
      <c r="D169" s="30" t="inlineStr">
        <is>
          <t>fusionar</t>
        </is>
      </c>
      <c r="E169" s="30" t="inlineStr"/>
      <c r="F169" s="30" t="inlineStr">
        <is>
          <t>Sistemas físicos</t>
        </is>
      </c>
      <c r="G169" s="30" t="n">
        <v>21</v>
      </c>
      <c r="H169" s="30" t="n">
        <v>9</v>
      </c>
      <c r="I169" s="30" t="inlineStr">
        <is>
          <t>1. Mecánica de fluidos</t>
        </is>
      </c>
      <c r="J169" s="30" t="inlineStr">
        <is>
          <t>T1171-G09-CIE · 9.° · 1.1. Determinación experimental de las propiedades de un fluido que ejerce empuje sobre un
T1172-G09-CIE · 9.° · 1.2. Cálculo experimental del peso aparente de un objeto sumergido en un líquido a partir 
T1173-G09-CIE · 9.° · 1.3. Presentación de resultados experimentales considerando el error de la medida.</t>
        </is>
      </c>
      <c r="K169" s="30" t="inlineStr">
        <is>
          <t>PISA-F1, PISA-F3</t>
        </is>
      </c>
      <c r="L169" s="30" t="inlineStr">
        <is>
          <t>1.1. Determinación experimental del empuje y del peso aparente, presentando resultados con el error de la medida.</t>
        </is>
      </c>
      <c r="M169" s="30" t="inlineStr">
        <is>
          <t>Tres temas del mismo experimento de Arquímedes.</t>
        </is>
      </c>
      <c r="N169" s="30" t="inlineStr">
        <is>
          <t>media</t>
        </is>
      </c>
      <c r="O169" s="30" t="n">
        <v>2</v>
      </c>
      <c r="P169" s="19">
        <f>IF(D169="reubicar","Opcional (no cambia el total)",IF(E169="cobertura","Sí (cobertura)",IF(D169="insertar",IF(G169&lt;=IFERROR(INDEX($G$6:$G$20,MATCH(B169,$A$6:$A$20,0)),0),"Sí","Reserva"),IF(SUMIFS($O$24:$O$191,$B$24:$B$191,B169,$D$24:$D$191,"fusionar",$G$24:$G$191,"&lt;"&amp;G169)&lt;IFERROR(INDEX($I$6:$I$20,MATCH(B169,$A$6:$A$20,0)),0),"Sí","Reserva"))))</f>
        <v/>
      </c>
      <c r="Q169" s="31" t="inlineStr"/>
    </row>
    <row r="170">
      <c r="A170" s="30" t="inlineStr">
        <is>
          <t>7-9-F22</t>
        </is>
      </c>
      <c r="B170" s="30">
        <f>"7-9|"&amp;F170</f>
        <v/>
      </c>
      <c r="C170" s="30" t="inlineStr">
        <is>
          <t>Ciclo 7°–9°</t>
        </is>
      </c>
      <c r="D170" s="30" t="inlineStr">
        <is>
          <t>fusionar</t>
        </is>
      </c>
      <c r="E170" s="30" t="inlineStr"/>
      <c r="F170" s="30" t="inlineStr">
        <is>
          <t>Sistemas físicos</t>
        </is>
      </c>
      <c r="G170" s="30" t="n">
        <v>22</v>
      </c>
      <c r="H170" s="30" t="n">
        <v>9</v>
      </c>
      <c r="I170" s="30" t="inlineStr">
        <is>
          <t>3. Equilibrio químico</t>
        </is>
      </c>
      <c r="J170" s="30" t="inlineStr">
        <is>
          <t>T1197-G09-CIE · 9.° · 3.5. Predicción del desplazamiento de la reacción aplicando el principio de Le Châtelier.
T1210-G09-CIE · 9.° · 3.18. Aplicación experimental del principio de Le Châtelier en el equilibrio ácido base.</t>
        </is>
      </c>
      <c r="K170" s="30" t="inlineStr">
        <is>
          <t>PISA-F2</t>
        </is>
      </c>
      <c r="L170" s="30" t="inlineStr">
        <is>
          <t>3.5. Predicción y aplicación experimental del principio de Le Châtelier, incluido el equilibrio ácido-base.</t>
        </is>
      </c>
      <c r="M170" s="30" t="inlineStr">
        <is>
          <t>Mismo principio; el caso ácido-base es una aplicación.</t>
        </is>
      </c>
      <c r="N170" s="30" t="inlineStr">
        <is>
          <t>media</t>
        </is>
      </c>
      <c r="O170" s="30" t="n">
        <v>1</v>
      </c>
      <c r="P170" s="19">
        <f>IF(D170="reubicar","Opcional (no cambia el total)",IF(E170="cobertura","Sí (cobertura)",IF(D170="insertar",IF(G170&lt;=IFERROR(INDEX($G$6:$G$20,MATCH(B170,$A$6:$A$20,0)),0),"Sí","Reserva"),IF(SUMIFS($O$24:$O$191,$B$24:$B$191,B170,$D$24:$D$191,"fusionar",$G$24:$G$191,"&lt;"&amp;G170)&lt;IFERROR(INDEX($I$6:$I$20,MATCH(B170,$A$6:$A$20,0)),0),"Sí","Reserva"))))</f>
        <v/>
      </c>
      <c r="Q170" s="31" t="inlineStr"/>
    </row>
    <row r="171">
      <c r="A171" s="30" t="inlineStr">
        <is>
          <t>7-9-F23</t>
        </is>
      </c>
      <c r="B171" s="30">
        <f>"7-9|"&amp;F171</f>
        <v/>
      </c>
      <c r="C171" s="30" t="inlineStr">
        <is>
          <t>Ciclo 7°–9°</t>
        </is>
      </c>
      <c r="D171" s="30" t="inlineStr">
        <is>
          <t>fusionar</t>
        </is>
      </c>
      <c r="E171" s="30" t="inlineStr"/>
      <c r="F171" s="30" t="inlineStr">
        <is>
          <t>Sistemas físicos</t>
        </is>
      </c>
      <c r="G171" s="30" t="n">
        <v>23</v>
      </c>
      <c r="H171" s="30" t="n">
        <v>9</v>
      </c>
      <c r="I171" s="30" t="inlineStr">
        <is>
          <t>3. Equilibrio químico</t>
        </is>
      </c>
      <c r="J171" s="30" t="inlineStr">
        <is>
          <t>T1194-G09-CIE · 9.° · 3.2. Identificación experimental de los factores que afecta la rapidez de reacción.
T1196-G09-CIE · 9.° · 3.4. Identificación experimental de los factores que afecta el equilibrio químico.</t>
        </is>
      </c>
      <c r="K171" s="30" t="inlineStr">
        <is>
          <t>PISA-F2</t>
        </is>
      </c>
      <c r="L171" s="30" t="inlineStr">
        <is>
          <t>3.2. Identificación experimental de factores que afectan la rapidez de reacción y el equilibrio químico.</t>
        </is>
      </c>
      <c r="M171" s="30" t="inlineStr">
        <is>
          <t>Factores (concentración, temperatura) son los mismos; contenidos cercanos.</t>
        </is>
      </c>
      <c r="N171" s="30" t="inlineStr">
        <is>
          <t>media</t>
        </is>
      </c>
      <c r="O171" s="30" t="n">
        <v>1</v>
      </c>
      <c r="P171" s="19">
        <f>IF(D171="reubicar","Opcional (no cambia el total)",IF(E171="cobertura","Sí (cobertura)",IF(D171="insertar",IF(G171&lt;=IFERROR(INDEX($G$6:$G$20,MATCH(B171,$A$6:$A$20,0)),0),"Sí","Reserva"),IF(SUMIFS($O$24:$O$191,$B$24:$B$191,B171,$D$24:$D$191,"fusionar",$G$24:$G$191,"&lt;"&amp;G171)&lt;IFERROR(INDEX($I$6:$I$20,MATCH(B171,$A$6:$A$20,0)),0),"Sí","Reserva"))))</f>
        <v/>
      </c>
      <c r="Q171" s="31" t="inlineStr"/>
    </row>
    <row r="172">
      <c r="A172" s="30" t="inlineStr">
        <is>
          <t>7-9-F24</t>
        </is>
      </c>
      <c r="B172" s="30">
        <f>"7-9|"&amp;F172</f>
        <v/>
      </c>
      <c r="C172" s="30" t="inlineStr">
        <is>
          <t>Ciclo 7°–9°</t>
        </is>
      </c>
      <c r="D172" s="30" t="inlineStr">
        <is>
          <t>fusionar</t>
        </is>
      </c>
      <c r="E172" s="30" t="inlineStr"/>
      <c r="F172" s="30" t="inlineStr">
        <is>
          <t>Sistemas físicos</t>
        </is>
      </c>
      <c r="G172" s="30" t="n">
        <v>24</v>
      </c>
      <c r="H172" s="30" t="n">
        <v>8</v>
      </c>
      <c r="I172" s="30" t="inlineStr">
        <is>
          <t>2. Energía</t>
        </is>
      </c>
      <c r="J172" s="30" t="inlineStr">
        <is>
          <t>T1098-G08-CIE · 8.° · 2.7. Experimentación con la ley de conservación de la energía mecánica.
T1099-G08-CIE · 8.° · 2.8. Interpretación de las características de las gráficas de energía cinética y potencial</t>
        </is>
      </c>
      <c r="K172" s="30" t="inlineStr">
        <is>
          <t>PISA-F4</t>
        </is>
      </c>
      <c r="L172" s="30" t="inlineStr">
        <is>
          <t>2.7. Experimentación con la conservación de la energía mecánica e interpretación de las gráficas de energía obtenidas.</t>
        </is>
      </c>
      <c r="M172" s="30" t="inlineStr">
        <is>
          <t>Las gráficas salen del mismo experimento de conservación.</t>
        </is>
      </c>
      <c r="N172" s="30" t="inlineStr">
        <is>
          <t>alta</t>
        </is>
      </c>
      <c r="O172" s="30" t="n">
        <v>1</v>
      </c>
      <c r="P172" s="19">
        <f>IF(D172="reubicar","Opcional (no cambia el total)",IF(E172="cobertura","Sí (cobertura)",IF(D172="insertar",IF(G172&lt;=IFERROR(INDEX($G$6:$G$20,MATCH(B172,$A$6:$A$20,0)),0),"Sí","Reserva"),IF(SUMIFS($O$24:$O$191,$B$24:$B$191,B172,$D$24:$D$191,"fusionar",$G$24:$G$191,"&lt;"&amp;G172)&lt;IFERROR(INDEX($I$6:$I$20,MATCH(B172,$A$6:$A$20,0)),0),"Sí","Reserva"))))</f>
        <v/>
      </c>
      <c r="Q172" s="31" t="inlineStr"/>
    </row>
    <row r="173">
      <c r="A173" s="30" t="inlineStr">
        <is>
          <t>7-9-F25</t>
        </is>
      </c>
      <c r="B173" s="30">
        <f>"7-9|"&amp;F173</f>
        <v/>
      </c>
      <c r="C173" s="30" t="inlineStr">
        <is>
          <t>Ciclo 7°–9°</t>
        </is>
      </c>
      <c r="D173" s="30" t="inlineStr">
        <is>
          <t>fusionar</t>
        </is>
      </c>
      <c r="E173" s="30" t="inlineStr"/>
      <c r="F173" s="30" t="inlineStr">
        <is>
          <t>Sistemas físicos</t>
        </is>
      </c>
      <c r="G173" s="30" t="n">
        <v>25</v>
      </c>
      <c r="H173" s="30" t="n">
        <v>8</v>
      </c>
      <c r="I173" s="30" t="inlineStr">
        <is>
          <t>3. Ondas mecánicas</t>
        </is>
      </c>
      <c r="J173" s="30" t="inlineStr">
        <is>
          <t>T1104-G08-CIE · 8.° · 3.2. Experimentación para identificar la transformación de la energía del péndulo simple.
T1105-G08-CIE · 8.° · 3.3. Interpretación de las características de las gráficas de energía del oscilador armóni</t>
        </is>
      </c>
      <c r="K173" s="30" t="inlineStr">
        <is>
          <t>PISA-F4</t>
        </is>
      </c>
      <c r="L173" s="30" t="inlineStr">
        <is>
          <t>3.2. Experimentación con la transformación de energía del péndulo simple e interpretación de sus gráficas de energía.</t>
        </is>
      </c>
      <c r="M173" s="30" t="inlineStr">
        <is>
          <t>Mismo sistema (péndulo) y mismo contenido energético.</t>
        </is>
      </c>
      <c r="N173" s="30" t="inlineStr">
        <is>
          <t>alta</t>
        </is>
      </c>
      <c r="O173" s="30" t="n">
        <v>1</v>
      </c>
      <c r="P173" s="19">
        <f>IF(D173="reubicar","Opcional (no cambia el total)",IF(E173="cobertura","Sí (cobertura)",IF(D173="insertar",IF(G173&lt;=IFERROR(INDEX($G$6:$G$20,MATCH(B173,$A$6:$A$20,0)),0),"Sí","Reserva"),IF(SUMIFS($O$24:$O$191,$B$24:$B$191,B173,$D$24:$D$191,"fusionar",$G$24:$G$191,"&lt;"&amp;G173)&lt;IFERROR(INDEX($I$6:$I$20,MATCH(B173,$A$6:$A$20,0)),0),"Sí","Reserva"))))</f>
        <v/>
      </c>
      <c r="Q173" s="31" t="inlineStr"/>
    </row>
    <row r="174">
      <c r="A174" s="30" t="inlineStr">
        <is>
          <t>7-9-F26</t>
        </is>
      </c>
      <c r="B174" s="30">
        <f>"7-9|"&amp;F174</f>
        <v/>
      </c>
      <c r="C174" s="30" t="inlineStr">
        <is>
          <t>Ciclo 7°–9°</t>
        </is>
      </c>
      <c r="D174" s="30" t="inlineStr">
        <is>
          <t>fusionar</t>
        </is>
      </c>
      <c r="E174" s="30" t="inlineStr"/>
      <c r="F174" s="30" t="inlineStr">
        <is>
          <t>Sistemas físicos</t>
        </is>
      </c>
      <c r="G174" s="30" t="n">
        <v>26</v>
      </c>
      <c r="H174" s="30" t="n">
        <v>8</v>
      </c>
      <c r="I174" s="30" t="inlineStr">
        <is>
          <t>3. Ondas mecánicas</t>
        </is>
      </c>
      <c r="J174" s="30" t="inlineStr">
        <is>
          <t>T1107-G08-CIE · 8.° · 3.5. Cálculo experimental de una altura empleando el período de oscilación de un péndulo s
T1108-G08-CIE · 8.° · 3.6. Diseño de un experimento para determinar una altura empleando un péndulo simple.</t>
        </is>
      </c>
      <c r="K174" s="30" t="inlineStr">
        <is>
          <t>PISA-F3</t>
        </is>
      </c>
      <c r="L174" s="30" t="inlineStr">
        <is>
          <t>3.5. Diseño y realización de un experimento para calcular una altura con el período de un péndulo simple.</t>
        </is>
      </c>
      <c r="M174" s="30" t="inlineStr">
        <is>
          <t>Diseñar y realizar el mismo experimento; duplicación clara.</t>
        </is>
      </c>
      <c r="N174" s="30" t="inlineStr">
        <is>
          <t>alta</t>
        </is>
      </c>
      <c r="O174" s="30" t="n">
        <v>1</v>
      </c>
      <c r="P174" s="19">
        <f>IF(D174="reubicar","Opcional (no cambia el total)",IF(E174="cobertura","Sí (cobertura)",IF(D174="insertar",IF(G174&lt;=IFERROR(INDEX($G$6:$G$20,MATCH(B174,$A$6:$A$20,0)),0),"Sí","Reserva"),IF(SUMIFS($O$24:$O$191,$B$24:$B$191,B174,$D$24:$D$191,"fusionar",$G$24:$G$191,"&lt;"&amp;G174)&lt;IFERROR(INDEX($I$6:$I$20,MATCH(B174,$A$6:$A$20,0)),0),"Sí","Reserva"))))</f>
        <v/>
      </c>
      <c r="Q174" s="31" t="inlineStr"/>
    </row>
    <row r="175">
      <c r="A175" s="30" t="inlineStr">
        <is>
          <t>7-9-F27</t>
        </is>
      </c>
      <c r="B175" s="30">
        <f>"7-9|"&amp;F175</f>
        <v/>
      </c>
      <c r="C175" s="30" t="inlineStr">
        <is>
          <t>Ciclo 7°–9°</t>
        </is>
      </c>
      <c r="D175" s="30" t="inlineStr">
        <is>
          <t>fusionar</t>
        </is>
      </c>
      <c r="E175" s="30" t="inlineStr"/>
      <c r="F175" s="30" t="inlineStr">
        <is>
          <t>Sistemas físicos</t>
        </is>
      </c>
      <c r="G175" s="30" t="n">
        <v>27</v>
      </c>
      <c r="H175" s="30" t="n">
        <v>8</v>
      </c>
      <c r="I175" s="30" t="inlineStr">
        <is>
          <t>1. Mecánica</t>
        </is>
      </c>
      <c r="J175" s="30" t="inlineStr">
        <is>
          <t>T1089-G08-CIE · 8.° · 1.12. Indagación del cambio del momento lineal en objetos a partir de la experimentación c
T1090-G08-CIE · 8.° · 1.13. Experimentación con el cambio del momento lineal de objetos.</t>
        </is>
      </c>
      <c r="K175" s="30" t="inlineStr">
        <is>
          <t>PISA-F3</t>
        </is>
      </c>
      <c r="L175" s="30" t="inlineStr">
        <is>
          <t>1.12. Experimentación con el cambio del momento lineal de objetos en función de la fuerza y el tiempo.</t>
        </is>
      </c>
      <c r="M175" s="30" t="inlineStr">
        <is>
          <t>Ambos experimentan el cambio de momento lineal (impulso).</t>
        </is>
      </c>
      <c r="N175" s="30" t="inlineStr">
        <is>
          <t>alta</t>
        </is>
      </c>
      <c r="O175" s="30" t="n">
        <v>1</v>
      </c>
      <c r="P175" s="19">
        <f>IF(D175="reubicar","Opcional (no cambia el total)",IF(E175="cobertura","Sí (cobertura)",IF(D175="insertar",IF(G175&lt;=IFERROR(INDEX($G$6:$G$20,MATCH(B175,$A$6:$A$20,0)),0),"Sí","Reserva"),IF(SUMIFS($O$24:$O$191,$B$24:$B$191,B175,$D$24:$D$191,"fusionar",$G$24:$G$191,"&lt;"&amp;G175)&lt;IFERROR(INDEX($I$6:$I$20,MATCH(B175,$A$6:$A$20,0)),0),"Sí","Reserva"))))</f>
        <v/>
      </c>
      <c r="Q175" s="31" t="inlineStr"/>
    </row>
    <row r="176">
      <c r="A176" s="30" t="inlineStr">
        <is>
          <t>7-9-F28</t>
        </is>
      </c>
      <c r="B176" s="30">
        <f>"7-9|"&amp;F176</f>
        <v/>
      </c>
      <c r="C176" s="30" t="inlineStr">
        <is>
          <t>Ciclo 7°–9°</t>
        </is>
      </c>
      <c r="D176" s="30" t="inlineStr">
        <is>
          <t>fusionar</t>
        </is>
      </c>
      <c r="E176" s="30" t="inlineStr"/>
      <c r="F176" s="30" t="inlineStr">
        <is>
          <t>Sistemas físicos</t>
        </is>
      </c>
      <c r="G176" s="30" t="n">
        <v>28</v>
      </c>
      <c r="H176" s="30" t="n">
        <v>8</v>
      </c>
      <c r="I176" s="30" t="inlineStr">
        <is>
          <t>4. Estequiometría y dispersiones</t>
        </is>
      </c>
      <c r="J176" s="30" t="inlineStr">
        <is>
          <t xml:space="preserve">T1118-G08-CIE · 8.° · 4.4. Reconocimiento del significado del número de Avogadro.
T1119-G08-CIE · 8.° · 4.5. Cálculo de la cantidad de partículas y moles de una sustancia empleando el número de </t>
        </is>
      </c>
      <c r="K176" s="30" t="inlineStr">
        <is>
          <t>PISA-F1</t>
        </is>
      </c>
      <c r="L176" s="30" t="inlineStr">
        <is>
          <t>4.4. Reconocimiento del número de Avogadro y cálculo de partículas y moles de una sustancia.</t>
        </is>
      </c>
      <c r="M176" s="30" t="inlineStr">
        <is>
          <t>Significado y uso del número de Avogadro en una sesión.</t>
        </is>
      </c>
      <c r="N176" s="30" t="inlineStr">
        <is>
          <t>alta</t>
        </is>
      </c>
      <c r="O176" s="30" t="n">
        <v>1</v>
      </c>
      <c r="P176" s="19">
        <f>IF(D176="reubicar","Opcional (no cambia el total)",IF(E176="cobertura","Sí (cobertura)",IF(D176="insertar",IF(G176&lt;=IFERROR(INDEX($G$6:$G$20,MATCH(B176,$A$6:$A$20,0)),0),"Sí","Reserva"),IF(SUMIFS($O$24:$O$191,$B$24:$B$191,B176,$D$24:$D$191,"fusionar",$G$24:$G$191,"&lt;"&amp;G176)&lt;IFERROR(INDEX($I$6:$I$20,MATCH(B176,$A$6:$A$20,0)),0),"Sí","Reserva"))))</f>
        <v/>
      </c>
      <c r="Q176" s="31" t="inlineStr"/>
    </row>
    <row r="177">
      <c r="A177" s="30" t="inlineStr">
        <is>
          <t>7-9-F29</t>
        </is>
      </c>
      <c r="B177" s="30">
        <f>"7-9|"&amp;F177</f>
        <v/>
      </c>
      <c r="C177" s="30" t="inlineStr">
        <is>
          <t>Ciclo 7°–9°</t>
        </is>
      </c>
      <c r="D177" s="30" t="inlineStr">
        <is>
          <t>fusionar</t>
        </is>
      </c>
      <c r="E177" s="30" t="inlineStr"/>
      <c r="F177" s="30" t="inlineStr">
        <is>
          <t>Sistemas físicos</t>
        </is>
      </c>
      <c r="G177" s="30" t="n">
        <v>29</v>
      </c>
      <c r="H177" s="30" t="n">
        <v>8</v>
      </c>
      <c r="I177" s="30" t="inlineStr">
        <is>
          <t>4. Estequiometría y dispersiones</t>
        </is>
      </c>
      <c r="J177" s="30" t="inlineStr">
        <is>
          <t>T1121-G08-CIE · 8.° · 4.7. Ejecución de cálculos estequiométricos para determinar cantidades de sustancia en gra
T1122-G08-CIE · 8.° · 4.8. Interpretación de resultados de cálculos estequiométricos.</t>
        </is>
      </c>
      <c r="K177" s="30" t="inlineStr">
        <is>
          <t>PISA-F2</t>
        </is>
      </c>
      <c r="L177" s="30" t="inlineStr">
        <is>
          <t>4.7. Ejecución e interpretación de cálculos estequiométricos de cantidades de sustancia en gramos.</t>
        </is>
      </c>
      <c r="M177" s="30" t="inlineStr">
        <is>
          <t>Calcular e interpretar el mismo cálculo estequiométrico.</t>
        </is>
      </c>
      <c r="N177" s="30" t="inlineStr">
        <is>
          <t>alta</t>
        </is>
      </c>
      <c r="O177" s="30" t="n">
        <v>1</v>
      </c>
      <c r="P177" s="19">
        <f>IF(D177="reubicar","Opcional (no cambia el total)",IF(E177="cobertura","Sí (cobertura)",IF(D177="insertar",IF(G177&lt;=IFERROR(INDEX($G$6:$G$20,MATCH(B177,$A$6:$A$20,0)),0),"Sí","Reserva"),IF(SUMIFS($O$24:$O$191,$B$24:$B$191,B177,$D$24:$D$191,"fusionar",$G$24:$G$191,"&lt;"&amp;G177)&lt;IFERROR(INDEX($I$6:$I$20,MATCH(B177,$A$6:$A$20,0)),0),"Sí","Reserva"))))</f>
        <v/>
      </c>
      <c r="Q177" s="31" t="inlineStr"/>
    </row>
    <row r="178">
      <c r="A178" s="30" t="inlineStr">
        <is>
          <t>7-9-F30</t>
        </is>
      </c>
      <c r="B178" s="30">
        <f>"7-9|"&amp;F178</f>
        <v/>
      </c>
      <c r="C178" s="30" t="inlineStr">
        <is>
          <t>Ciclo 7°–9°</t>
        </is>
      </c>
      <c r="D178" s="30" t="inlineStr">
        <is>
          <t>fusionar</t>
        </is>
      </c>
      <c r="E178" s="30" t="inlineStr"/>
      <c r="F178" s="30" t="inlineStr">
        <is>
          <t>Sistemas físicos</t>
        </is>
      </c>
      <c r="G178" s="30" t="n">
        <v>30</v>
      </c>
      <c r="H178" s="30" t="n">
        <v>8</v>
      </c>
      <c r="I178" s="30" t="inlineStr">
        <is>
          <t>4. Estequiometría y dispersiones</t>
        </is>
      </c>
      <c r="J178" s="30" t="inlineStr">
        <is>
          <t>T1130-G08-CIE · 8.° · 4.16. Experimentación con los factores que afectan la solubilidad.
T1131-G08-CIE · 8.° · 4.17. Representación del comportamiento de las partículas según los factores que afectan l</t>
        </is>
      </c>
      <c r="K178" s="30" t="inlineStr">
        <is>
          <t>PISA-F1</t>
        </is>
      </c>
      <c r="L178" s="30" t="inlineStr">
        <is>
          <t>4.16. Experimentación con los factores de la solubilidad y representación del comportamiento de las partículas.</t>
        </is>
      </c>
      <c r="M178" s="30" t="inlineStr">
        <is>
          <t>El modelo de partículas explica el resultado del experimento.</t>
        </is>
      </c>
      <c r="N178" s="30" t="inlineStr">
        <is>
          <t>alta</t>
        </is>
      </c>
      <c r="O178" s="30" t="n">
        <v>1</v>
      </c>
      <c r="P178" s="19">
        <f>IF(D178="reubicar","Opcional (no cambia el total)",IF(E178="cobertura","Sí (cobertura)",IF(D178="insertar",IF(G178&lt;=IFERROR(INDEX($G$6:$G$20,MATCH(B178,$A$6:$A$20,0)),0),"Sí","Reserva"),IF(SUMIFS($O$24:$O$191,$B$24:$B$191,B178,$D$24:$D$191,"fusionar",$G$24:$G$191,"&lt;"&amp;G178)&lt;IFERROR(INDEX($I$6:$I$20,MATCH(B178,$A$6:$A$20,0)),0),"Sí","Reserva"))))</f>
        <v/>
      </c>
      <c r="Q178" s="31" t="inlineStr"/>
    </row>
    <row r="179">
      <c r="A179" s="30" t="inlineStr">
        <is>
          <t>7-9-F31</t>
        </is>
      </c>
      <c r="B179" s="30">
        <f>"7-9|"&amp;F179</f>
        <v/>
      </c>
      <c r="C179" s="30" t="inlineStr">
        <is>
          <t>Ciclo 7°–9°</t>
        </is>
      </c>
      <c r="D179" s="30" t="inlineStr">
        <is>
          <t>fusionar</t>
        </is>
      </c>
      <c r="E179" s="30" t="inlineStr"/>
      <c r="F179" s="30" t="inlineStr">
        <is>
          <t>Sistemas físicos</t>
        </is>
      </c>
      <c r="G179" s="30" t="n">
        <v>31</v>
      </c>
      <c r="H179" s="30" t="n">
        <v>8</v>
      </c>
      <c r="I179" s="30" t="inlineStr">
        <is>
          <t>4. Estequiometría y dispersiones</t>
        </is>
      </c>
      <c r="J179" s="30" t="inlineStr">
        <is>
          <t>T1126-G08-CIE · 8.° · 4.12. Identificación de dispersiones químicas en sustancias de uso cotidiano.
T1128-G08-CIE · 8.° · 4.14. Exploración de los diferentes tipos de dispersiones químicas y sus aplicaciones.</t>
        </is>
      </c>
      <c r="K179" s="30" t="inlineStr">
        <is>
          <t>PISA-F1</t>
        </is>
      </c>
      <c r="L179" s="30" t="inlineStr">
        <is>
          <t>4.12. Identificación de dispersiones químicas cotidianas, sus tipos y aplicaciones.</t>
        </is>
      </c>
      <c r="M179" s="30" t="inlineStr">
        <is>
          <t>Identificar y explorar tipos de dispersiones se solapa.</t>
        </is>
      </c>
      <c r="N179" s="30" t="inlineStr">
        <is>
          <t>alta</t>
        </is>
      </c>
      <c r="O179" s="30" t="n">
        <v>1</v>
      </c>
      <c r="P179" s="19">
        <f>IF(D179="reubicar","Opcional (no cambia el total)",IF(E179="cobertura","Sí (cobertura)",IF(D179="insertar",IF(G179&lt;=IFERROR(INDEX($G$6:$G$20,MATCH(B179,$A$6:$A$20,0)),0),"Sí","Reserva"),IF(SUMIFS($O$24:$O$191,$B$24:$B$191,B179,$D$24:$D$191,"fusionar",$G$24:$G$191,"&lt;"&amp;G179)&lt;IFERROR(INDEX($I$6:$I$20,MATCH(B179,$A$6:$A$20,0)),0),"Sí","Reserva"))))</f>
        <v/>
      </c>
      <c r="Q179" s="31" t="inlineStr"/>
    </row>
    <row r="180">
      <c r="A180" s="30" t="inlineStr">
        <is>
          <t>7-9-F32</t>
        </is>
      </c>
      <c r="B180" s="30">
        <f>"7-9|"&amp;F180</f>
        <v/>
      </c>
      <c r="C180" s="30" t="inlineStr">
        <is>
          <t>Ciclo 7°–9°</t>
        </is>
      </c>
      <c r="D180" s="30" t="inlineStr">
        <is>
          <t>fusionar</t>
        </is>
      </c>
      <c r="E180" s="30" t="inlineStr"/>
      <c r="F180" s="30" t="inlineStr">
        <is>
          <t>Sistemas físicos</t>
        </is>
      </c>
      <c r="G180" s="30" t="n">
        <v>32</v>
      </c>
      <c r="H180" s="30" t="n">
        <v>8</v>
      </c>
      <c r="I180" s="30" t="inlineStr">
        <is>
          <t>4. Estequiometría y dispersiones</t>
        </is>
      </c>
      <c r="J180" s="30" t="inlineStr">
        <is>
          <t>T1127-G08-CIE · 8.° · 4.13. Clasificación de las dispersiones químicas de acuerdo con sus propiedades.
T1129-G08-CIE · 8.° · 4.15. Clasificación de las soluciones químicas con base en la cantidad de soluto.</t>
        </is>
      </c>
      <c r="K180" s="30" t="inlineStr">
        <is>
          <t>PISA-F1</t>
        </is>
      </c>
      <c r="L180" s="30" t="inlineStr">
        <is>
          <t>4.13. Clasificación de las dispersiones por sus propiedades y de las soluciones según la cantidad de soluto.</t>
        </is>
      </c>
      <c r="M180" s="30" t="inlineStr">
        <is>
          <t>Dos clasificaciones contiguas del mismo contenido.</t>
        </is>
      </c>
      <c r="N180" s="30" t="inlineStr">
        <is>
          <t>media</t>
        </is>
      </c>
      <c r="O180" s="30" t="n">
        <v>1</v>
      </c>
      <c r="P180" s="19">
        <f>IF(D180="reubicar","Opcional (no cambia el total)",IF(E180="cobertura","Sí (cobertura)",IF(D180="insertar",IF(G180&lt;=IFERROR(INDEX($G$6:$G$20,MATCH(B180,$A$6:$A$20,0)),0),"Sí","Reserva"),IF(SUMIFS($O$24:$O$191,$B$24:$B$191,B180,$D$24:$D$191,"fusionar",$G$24:$G$191,"&lt;"&amp;G180)&lt;IFERROR(INDEX($I$6:$I$20,MATCH(B180,$A$6:$A$20,0)),0),"Sí","Reserva"))))</f>
        <v/>
      </c>
      <c r="Q180" s="31" t="inlineStr"/>
    </row>
    <row r="181">
      <c r="A181" s="30" t="inlineStr">
        <is>
          <t>7-9-F33</t>
        </is>
      </c>
      <c r="B181" s="30">
        <f>"7-9|"&amp;F181</f>
        <v/>
      </c>
      <c r="C181" s="30" t="inlineStr">
        <is>
          <t>Ciclo 7°–9°</t>
        </is>
      </c>
      <c r="D181" s="30" t="inlineStr">
        <is>
          <t>fusionar</t>
        </is>
      </c>
      <c r="E181" s="30" t="inlineStr"/>
      <c r="F181" s="30" t="inlineStr">
        <is>
          <t>Sistemas físicos</t>
        </is>
      </c>
      <c r="G181" s="30" t="n">
        <v>33</v>
      </c>
      <c r="H181" s="30" t="n">
        <v>8</v>
      </c>
      <c r="I181" s="30" t="inlineStr">
        <is>
          <t>4. Estequiometría y dispersiones</t>
        </is>
      </c>
      <c r="J181" s="30" t="inlineStr">
        <is>
          <t>T1115-G08-CIE · 8.° · 4.1. Identificación de las unidades físicas de concentración en sustancias de uso cotidian
T1117-G08-CIE · 8.° · 4.3. Exploración de las aplicaciones cotidianas, industriales y ambientales de las unidade</t>
        </is>
      </c>
      <c r="K181" s="30" t="inlineStr">
        <is>
          <t>PISA-F1</t>
        </is>
      </c>
      <c r="L181" s="30" t="inlineStr">
        <is>
          <t>4.1. Identificación de unidades físicas de concentración en sustancias cotidianas y sus aplicaciones industriales y ambientales.</t>
        </is>
      </c>
      <c r="M181" s="30" t="inlineStr">
        <is>
          <t>Identificar y explorar aplicaciones de las mismas unidades.</t>
        </is>
      </c>
      <c r="N181" s="30" t="inlineStr">
        <is>
          <t>alta</t>
        </is>
      </c>
      <c r="O181" s="30" t="n">
        <v>1</v>
      </c>
      <c r="P181" s="19">
        <f>IF(D181="reubicar","Opcional (no cambia el total)",IF(E181="cobertura","Sí (cobertura)",IF(D181="insertar",IF(G181&lt;=IFERROR(INDEX($G$6:$G$20,MATCH(B181,$A$6:$A$20,0)),0),"Sí","Reserva"),IF(SUMIFS($O$24:$O$191,$B$24:$B$191,B181,$D$24:$D$191,"fusionar",$G$24:$G$191,"&lt;"&amp;G181)&lt;IFERROR(INDEX($I$6:$I$20,MATCH(B181,$A$6:$A$20,0)),0),"Sí","Reserva"))))</f>
        <v/>
      </c>
      <c r="Q181" s="31" t="inlineStr"/>
    </row>
    <row r="182">
      <c r="A182" s="30" t="inlineStr">
        <is>
          <t>7-9-F34</t>
        </is>
      </c>
      <c r="B182" s="30">
        <f>"7-9|"&amp;F182</f>
        <v/>
      </c>
      <c r="C182" s="30" t="inlineStr">
        <is>
          <t>Ciclo 7°–9°</t>
        </is>
      </c>
      <c r="D182" s="30" t="inlineStr">
        <is>
          <t>fusionar</t>
        </is>
      </c>
      <c r="E182" s="30" t="inlineStr"/>
      <c r="F182" s="30" t="inlineStr">
        <is>
          <t>Sistemas físicos</t>
        </is>
      </c>
      <c r="G182" s="30" t="n">
        <v>34</v>
      </c>
      <c r="H182" s="30" t="n">
        <v>8</v>
      </c>
      <c r="I182" s="30" t="inlineStr">
        <is>
          <t>4. Estequiometría y dispersiones</t>
        </is>
      </c>
      <c r="J182" s="30" t="inlineStr">
        <is>
          <t>T1123-G08-CIE · 8.° · 4.9. Identificación de las unidades químicas de concentración en sustancias de uso cotidia
T1125-G08-CIE · 8.° · 4.11. Reconocimiento de las aplicaciones industriales de las unidades químicas de concentr</t>
        </is>
      </c>
      <c r="K182" s="30" t="inlineStr">
        <is>
          <t>PISA-F1</t>
        </is>
      </c>
      <c r="L182" s="30" t="inlineStr">
        <is>
          <t>4.9. Identificación de unidades químicas de concentración en sustancias cotidianas y sus aplicaciones industriales.</t>
        </is>
      </c>
      <c r="M182" s="30" t="inlineStr">
        <is>
          <t>Mismo patrón que unidades físicas: identificar y aplicar.</t>
        </is>
      </c>
      <c r="N182" s="30" t="inlineStr">
        <is>
          <t>alta</t>
        </is>
      </c>
      <c r="O182" s="30" t="n">
        <v>1</v>
      </c>
      <c r="P182" s="19">
        <f>IF(D182="reubicar","Opcional (no cambia el total)",IF(E182="cobertura","Sí (cobertura)",IF(D182="insertar",IF(G182&lt;=IFERROR(INDEX($G$6:$G$20,MATCH(B182,$A$6:$A$20,0)),0),"Sí","Reserva"),IF(SUMIFS($O$24:$O$191,$B$24:$B$191,B182,$D$24:$D$191,"fusionar",$G$24:$G$191,"&lt;"&amp;G182)&lt;IFERROR(INDEX($I$6:$I$20,MATCH(B182,$A$6:$A$20,0)),0),"Sí","Reserva"))))</f>
        <v/>
      </c>
      <c r="Q182" s="31" t="inlineStr"/>
    </row>
    <row r="183">
      <c r="A183" s="30" t="inlineStr">
        <is>
          <t>7-9-F35</t>
        </is>
      </c>
      <c r="B183" s="30">
        <f>"7-9|"&amp;F183</f>
        <v/>
      </c>
      <c r="C183" s="30" t="inlineStr">
        <is>
          <t>Ciclo 7°–9°</t>
        </is>
      </c>
      <c r="D183" s="30" t="inlineStr">
        <is>
          <t>fusionar</t>
        </is>
      </c>
      <c r="E183" s="30" t="inlineStr"/>
      <c r="F183" s="30" t="inlineStr">
        <is>
          <t>Sistemas físicos</t>
        </is>
      </c>
      <c r="G183" s="30" t="n">
        <v>35</v>
      </c>
      <c r="H183" s="30" t="n">
        <v>8</v>
      </c>
      <c r="I183" s="30" t="inlineStr">
        <is>
          <t>2. Energía</t>
        </is>
      </c>
      <c r="J183" s="30" t="inlineStr">
        <is>
          <t>T1095-G08-CIE · 8.° · 2.4. Indagación del concepto de trabajo de rotación.
T1096-G08-CIE · 8.° · 2.5. Experimentación con el momento de inercia en objetos con movimiento rotacional.</t>
        </is>
      </c>
      <c r="K183" s="30" t="inlineStr">
        <is>
          <t>PISA-F3, PISA-F4</t>
        </is>
      </c>
      <c r="L183" s="30" t="inlineStr">
        <is>
          <t>2.4. Indagación del trabajo de rotación y experimentación con el momento de inercia.</t>
        </is>
      </c>
      <c r="M183" s="30" t="inlineStr">
        <is>
          <t>Ambos son dinámica rotacional en la misma unidad.</t>
        </is>
      </c>
      <c r="N183" s="30" t="inlineStr">
        <is>
          <t>media</t>
        </is>
      </c>
      <c r="O183" s="30" t="n">
        <v>1</v>
      </c>
      <c r="P183" s="19">
        <f>IF(D183="reubicar","Opcional (no cambia el total)",IF(E183="cobertura","Sí (cobertura)",IF(D183="insertar",IF(G183&lt;=IFERROR(INDEX($G$6:$G$20,MATCH(B183,$A$6:$A$20,0)),0),"Sí","Reserva"),IF(SUMIFS($O$24:$O$191,$B$24:$B$191,B183,$D$24:$D$191,"fusionar",$G$24:$G$191,"&lt;"&amp;G183)&lt;IFERROR(INDEX($I$6:$I$20,MATCH(B183,$A$6:$A$20,0)),0),"Sí","Reserva"))))</f>
        <v/>
      </c>
      <c r="Q183" s="31" t="inlineStr"/>
    </row>
    <row r="184">
      <c r="A184" s="30" t="inlineStr">
        <is>
          <t>7-9-F36</t>
        </is>
      </c>
      <c r="B184" s="30">
        <f>"7-9|"&amp;F184</f>
        <v/>
      </c>
      <c r="C184" s="30" t="inlineStr">
        <is>
          <t>Ciclo 7°–9°</t>
        </is>
      </c>
      <c r="D184" s="30" t="inlineStr">
        <is>
          <t>fusionar</t>
        </is>
      </c>
      <c r="E184" s="30" t="inlineStr"/>
      <c r="F184" s="30" t="inlineStr">
        <is>
          <t>Sistemas físicos</t>
        </is>
      </c>
      <c r="G184" s="30" t="n">
        <v>36</v>
      </c>
      <c r="H184" s="30" t="n">
        <v>8</v>
      </c>
      <c r="I184" s="30" t="inlineStr">
        <is>
          <t>1. Mecánica</t>
        </is>
      </c>
      <c r="J184" s="30" t="inlineStr">
        <is>
          <t>T1085-G08-CIE · 8.° · 1.8. Resolución de problemas acerca del movimiento rectilíneo emplendo interpretación de g
T1086-G08-CIE · 8.° · 1.9. Resolución de problemas acerca del movimiento parabólico emplendo interpretación de g</t>
        </is>
      </c>
      <c r="K184" s="30" t="inlineStr">
        <is>
          <t>PISA-F3</t>
        </is>
      </c>
      <c r="L184" s="30" t="inlineStr">
        <is>
          <t>1.8. Resolución de problemas de movimiento rectilíneo y parabólico mediante interpretación de gráficas.</t>
        </is>
      </c>
      <c r="M184" s="30" t="inlineStr">
        <is>
          <t>Misma técnica (gráficas) en 1D y 2D.</t>
        </is>
      </c>
      <c r="N184" s="30" t="inlineStr">
        <is>
          <t>media</t>
        </is>
      </c>
      <c r="O184" s="30" t="n">
        <v>1</v>
      </c>
      <c r="P184" s="19">
        <f>IF(D184="reubicar","Opcional (no cambia el total)",IF(E184="cobertura","Sí (cobertura)",IF(D184="insertar",IF(G184&lt;=IFERROR(INDEX($G$6:$G$20,MATCH(B184,$A$6:$A$20,0)),0),"Sí","Reserva"),IF(SUMIFS($O$24:$O$191,$B$24:$B$191,B184,$D$24:$D$191,"fusionar",$G$24:$G$191,"&lt;"&amp;G184)&lt;IFERROR(INDEX($I$6:$I$20,MATCH(B184,$A$6:$A$20,0)),0),"Sí","Reserva"))))</f>
        <v/>
      </c>
      <c r="Q184" s="31" t="inlineStr"/>
    </row>
    <row r="185">
      <c r="A185" s="30" t="inlineStr">
        <is>
          <t>7-9-F37</t>
        </is>
      </c>
      <c r="B185" s="30">
        <f>"7-9|"&amp;F185</f>
        <v/>
      </c>
      <c r="C185" s="30" t="inlineStr">
        <is>
          <t>Ciclo 7°–9°</t>
        </is>
      </c>
      <c r="D185" s="30" t="inlineStr">
        <is>
          <t>fusionar</t>
        </is>
      </c>
      <c r="E185" s="30" t="inlineStr"/>
      <c r="F185" s="30" t="inlineStr">
        <is>
          <t>Sistemas físicos</t>
        </is>
      </c>
      <c r="G185" s="30" t="n">
        <v>37</v>
      </c>
      <c r="H185" s="30" t="n">
        <v>8</v>
      </c>
      <c r="I185" s="30" t="inlineStr">
        <is>
          <t>1. Mecánica</t>
        </is>
      </c>
      <c r="J185" s="30" t="inlineStr">
        <is>
          <t>T1087-G08-CIE · 8.° · 1.10. Reconocimiento del torque como la causa del equilbrio rotacional.
T1088-G08-CIE · 8.° · 1.11. Cálculo de magnitudes cinemáticas del movimiento circular uniforme a partir de resul</t>
        </is>
      </c>
      <c r="K185" s="30" t="inlineStr">
        <is>
          <t>PISA-F3</t>
        </is>
      </c>
      <c r="L185" s="30" t="inlineStr">
        <is>
          <t>1.10. Reconocimiento del torque como causa del equilibrio rotacional y cálculo de magnitudes del movimiento circular uniforme.</t>
        </is>
      </c>
      <c r="M185" s="30" t="inlineStr">
        <is>
          <t>Misma unidad de rotación, pero contenidos distintos; costo pedagógico mayor.</t>
        </is>
      </c>
      <c r="N185" s="30" t="inlineStr">
        <is>
          <t>baja</t>
        </is>
      </c>
      <c r="O185" s="30" t="n">
        <v>1</v>
      </c>
      <c r="P185" s="19">
        <f>IF(D185="reubicar","Opcional (no cambia el total)",IF(E185="cobertura","Sí (cobertura)",IF(D185="insertar",IF(G185&lt;=IFERROR(INDEX($G$6:$G$20,MATCH(B185,$A$6:$A$20,0)),0),"Sí","Reserva"),IF(SUMIFS($O$24:$O$191,$B$24:$B$191,B185,$D$24:$D$191,"fusionar",$G$24:$G$191,"&lt;"&amp;G185)&lt;IFERROR(INDEX($I$6:$I$20,MATCH(B185,$A$6:$A$20,0)),0),"Sí","Reserva"))))</f>
        <v/>
      </c>
      <c r="Q185" s="31" t="inlineStr"/>
    </row>
    <row r="186">
      <c r="A186" s="30" t="inlineStr">
        <is>
          <t>7-9-R05</t>
        </is>
      </c>
      <c r="B186" s="30">
        <f>"7-9|"&amp;F186</f>
        <v/>
      </c>
      <c r="C186" s="30" t="inlineStr">
        <is>
          <t>Ciclo 7°–9°</t>
        </is>
      </c>
      <c r="D186" s="30" t="inlineStr">
        <is>
          <t>reubicar</t>
        </is>
      </c>
      <c r="E186" s="30" t="inlineStr"/>
      <c r="F186" s="30" t="inlineStr">
        <is>
          <t>Sistemas físicos</t>
        </is>
      </c>
      <c r="G186" s="30" t="n">
        <v>1</v>
      </c>
      <c r="H186" s="30" t="n">
        <v>7</v>
      </c>
      <c r="I186" s="30" t="inlineStr">
        <is>
          <t>6. Ambiente y energía</t>
        </is>
      </c>
      <c r="J186" s="30" t="inlineStr">
        <is>
          <t>T1260-G09-CIE · 9.° · 7.7. Comparación entre las tecnologías del motor eléctrico y el motor de combustión intern</t>
        </is>
      </c>
      <c r="K186" s="30" t="inlineStr">
        <is>
          <t>PISA-F4</t>
        </is>
      </c>
      <c r="L186" s="30" t="inlineStr">
        <is>
          <t>7.7. Comparación entre las tecnologías del motor eléctrico y el motor de combustión interna.</t>
        </is>
      </c>
      <c r="M186" s="30" t="inlineStr">
        <is>
          <t>Físicos: 9.° sobra (-27.9), 7.° falta (+17.3); encaja con energías no renovables.</t>
        </is>
      </c>
      <c r="N186" s="30" t="inlineStr">
        <is>
          <t>media</t>
        </is>
      </c>
      <c r="O186" s="30" t="n">
        <v>0</v>
      </c>
      <c r="P186" s="19">
        <f>IF(D186="reubicar","Opcional (no cambia el total)",IF(E186="cobertura","Sí (cobertura)",IF(D186="insertar",IF(G186&lt;=IFERROR(INDEX($G$6:$G$20,MATCH(B186,$A$6:$A$20,0)),0),"Sí","Reserva"),IF(SUMIFS($O$24:$O$191,$B$24:$B$191,B186,$D$24:$D$191,"fusionar",$G$24:$G$191,"&lt;"&amp;G186)&lt;IFERROR(INDEX($I$6:$I$20,MATCH(B186,$A$6:$A$20,0)),0),"Sí","Reserva"))))</f>
        <v/>
      </c>
      <c r="Q186" s="31" t="inlineStr"/>
    </row>
    <row r="187">
      <c r="A187" s="30" t="inlineStr">
        <is>
          <t>7-9-R06</t>
        </is>
      </c>
      <c r="B187" s="30">
        <f>"7-9|"&amp;F187</f>
        <v/>
      </c>
      <c r="C187" s="30" t="inlineStr">
        <is>
          <t>Ciclo 7°–9°</t>
        </is>
      </c>
      <c r="D187" s="30" t="inlineStr">
        <is>
          <t>reubicar</t>
        </is>
      </c>
      <c r="E187" s="30" t="inlineStr"/>
      <c r="F187" s="30" t="inlineStr">
        <is>
          <t>Sistemas físicos</t>
        </is>
      </c>
      <c r="G187" s="30" t="n">
        <v>2</v>
      </c>
      <c r="H187" s="30" t="n">
        <v>7</v>
      </c>
      <c r="I187" s="30" t="inlineStr">
        <is>
          <t>1. Compuestos inorgánicos</t>
        </is>
      </c>
      <c r="J187" s="30" t="inlineStr">
        <is>
          <t>T1212-G09-CIE · 9.° · 3.20. Reconocimiento de las medidas para el manejo y tratamiento de ácidos y bases en func</t>
        </is>
      </c>
      <c r="K187" s="30" t="inlineStr">
        <is>
          <t>PISA-F2</t>
        </is>
      </c>
      <c r="L187" s="30" t="inlineStr">
        <is>
          <t>3.20. Reconocimiento de las medidas para el manejo y tratamiento de ácidos y bases en función de sus propiedades.</t>
        </is>
      </c>
      <c r="M187" s="30" t="inlineStr">
        <is>
          <t>Manejo de ácidos y bases encaja con hidróxidos y oxácidos; equilibra físicos.</t>
        </is>
      </c>
      <c r="N187" s="30" t="inlineStr">
        <is>
          <t>baja</t>
        </is>
      </c>
      <c r="O187" s="30" t="n">
        <v>0</v>
      </c>
      <c r="P187" s="19">
        <f>IF(D187="reubicar","Opcional (no cambia el total)",IF(E187="cobertura","Sí (cobertura)",IF(D187="insertar",IF(G187&lt;=IFERROR(INDEX($G$6:$G$20,MATCH(B187,$A$6:$A$20,0)),0),"Sí","Reserva"),IF(SUMIFS($O$24:$O$191,$B$24:$B$191,B187,$D$24:$D$191,"fusionar",$G$24:$G$191,"&lt;"&amp;G187)&lt;IFERROR(INDEX($I$6:$I$20,MATCH(B187,$A$6:$A$20,0)),0),"Sí","Reserva"))))</f>
        <v/>
      </c>
      <c r="Q187" s="31" t="inlineStr"/>
    </row>
    <row r="188">
      <c r="A188" s="30" t="inlineStr">
        <is>
          <t>7-9-R01</t>
        </is>
      </c>
      <c r="B188" s="30">
        <f>"7-9|"&amp;F188</f>
        <v/>
      </c>
      <c r="C188" s="30" t="inlineStr">
        <is>
          <t>Ciclo 7°–9°</t>
        </is>
      </c>
      <c r="D188" s="30" t="inlineStr">
        <is>
          <t>reubicar</t>
        </is>
      </c>
      <c r="E188" s="30" t="inlineStr"/>
      <c r="F188" s="30" t="inlineStr">
        <is>
          <t>Sistemas vivos</t>
        </is>
      </c>
      <c r="G188" s="30" t="n">
        <v>1</v>
      </c>
      <c r="H188" s="30" t="n">
        <v>9</v>
      </c>
      <c r="I188" s="30" t="inlineStr">
        <is>
          <t>9. Salud humana (nueva)</t>
        </is>
      </c>
      <c r="J188" s="30" t="inlineStr">
        <is>
          <t>T1007-G07-CIE · 7.° · 2.9. Investigación de enfermedades humanas causadas por alelos defectuosos.</t>
        </is>
      </c>
      <c r="K188" s="30" t="inlineStr">
        <is>
          <t>PISA-V2</t>
        </is>
      </c>
      <c r="L188" s="30" t="inlineStr">
        <is>
          <t>2.9. Investigación de enfermedades humanas causadas por alelos defectuosos.</t>
        </is>
      </c>
      <c r="M188" s="30" t="inlineStr">
        <is>
          <t>Sistemas vivos: 7.° sobra (-17.7), 9.° falta (+28.1); enfermedades genéticas encajan en salud.</t>
        </is>
      </c>
      <c r="N188" s="30" t="inlineStr">
        <is>
          <t>media</t>
        </is>
      </c>
      <c r="O188" s="30" t="n">
        <v>0</v>
      </c>
      <c r="P188" s="19">
        <f>IF(D188="reubicar","Opcional (no cambia el total)",IF(E188="cobertura","Sí (cobertura)",IF(D188="insertar",IF(G188&lt;=IFERROR(INDEX($G$6:$G$20,MATCH(B188,$A$6:$A$20,0)),0),"Sí","Reserva"),IF(SUMIFS($O$24:$O$191,$B$24:$B$191,B188,$D$24:$D$191,"fusionar",$G$24:$G$191,"&lt;"&amp;G188)&lt;IFERROR(INDEX($I$6:$I$20,MATCH(B188,$A$6:$A$20,0)),0),"Sí","Reserva"))))</f>
        <v/>
      </c>
      <c r="Q188" s="31" t="inlineStr"/>
    </row>
    <row r="189">
      <c r="A189" s="30" t="inlineStr">
        <is>
          <t>7-9-R02</t>
        </is>
      </c>
      <c r="B189" s="30">
        <f>"7-9|"&amp;F189</f>
        <v/>
      </c>
      <c r="C189" s="30" t="inlineStr">
        <is>
          <t>Ciclo 7°–9°</t>
        </is>
      </c>
      <c r="D189" s="30" t="inlineStr">
        <is>
          <t>reubicar</t>
        </is>
      </c>
      <c r="E189" s="30" t="inlineStr"/>
      <c r="F189" s="30" t="inlineStr">
        <is>
          <t>Sistemas vivos</t>
        </is>
      </c>
      <c r="G189" s="30" t="n">
        <v>2</v>
      </c>
      <c r="H189" s="30" t="n">
        <v>9</v>
      </c>
      <c r="I189" s="30" t="inlineStr">
        <is>
          <t>9. Salud humana (nueva)</t>
        </is>
      </c>
      <c r="J189" s="30" t="inlineStr">
        <is>
          <t>T1010-G07-CIE · 7.° · 2.12. Investigación de enfermedades humanas causadas por mutaciones cromosómicas.</t>
        </is>
      </c>
      <c r="K189" s="30" t="inlineStr">
        <is>
          <t>PISA-V2</t>
        </is>
      </c>
      <c r="L189" s="30" t="inlineStr">
        <is>
          <t>2.12. Investigación de enfermedades humanas causadas por mutaciones cromosómicas.</t>
        </is>
      </c>
      <c r="M189" s="30" t="inlineStr">
        <is>
          <t>Equilibra vivos entre 7.° y 9.°; mutaciones cromosómicas como tema de salud.</t>
        </is>
      </c>
      <c r="N189" s="30" t="inlineStr">
        <is>
          <t>media</t>
        </is>
      </c>
      <c r="O189" s="30" t="n">
        <v>0</v>
      </c>
      <c r="P189" s="19">
        <f>IF(D189="reubicar","Opcional (no cambia el total)",IF(E189="cobertura","Sí (cobertura)",IF(D189="insertar",IF(G189&lt;=IFERROR(INDEX($G$6:$G$20,MATCH(B189,$A$6:$A$20,0)),0),"Sí","Reserva"),IF(SUMIFS($O$24:$O$191,$B$24:$B$191,B189,$D$24:$D$191,"fusionar",$G$24:$G$191,"&lt;"&amp;G189)&lt;IFERROR(INDEX($I$6:$I$20,MATCH(B189,$A$6:$A$20,0)),0),"Sí","Reserva"))))</f>
        <v/>
      </c>
      <c r="Q189" s="31" t="inlineStr"/>
    </row>
    <row r="190">
      <c r="A190" s="30" t="inlineStr">
        <is>
          <t>7-9-R03</t>
        </is>
      </c>
      <c r="B190" s="30">
        <f>"7-9|"&amp;F190</f>
        <v/>
      </c>
      <c r="C190" s="30" t="inlineStr">
        <is>
          <t>Ciclo 7°–9°</t>
        </is>
      </c>
      <c r="D190" s="30" t="inlineStr">
        <is>
          <t>reubicar</t>
        </is>
      </c>
      <c r="E190" s="30" t="inlineStr"/>
      <c r="F190" s="30" t="inlineStr">
        <is>
          <t>Sistemas vivos</t>
        </is>
      </c>
      <c r="G190" s="30" t="n">
        <v>3</v>
      </c>
      <c r="H190" s="30" t="n">
        <v>9</v>
      </c>
      <c r="I190" s="30" t="inlineStr">
        <is>
          <t>10. Genética y biotecnología (nueva)</t>
        </is>
      </c>
      <c r="J190" s="30" t="inlineStr">
        <is>
          <t>T1015-G07-CIE · 7.° · 2.17. Diseño de un procedimiento para el mejoramiento genético de organismos.</t>
        </is>
      </c>
      <c r="K190" s="30" t="inlineStr">
        <is>
          <t>PISA-V2, PISA-V5</t>
        </is>
      </c>
      <c r="L190" s="30" t="inlineStr">
        <is>
          <t>2.17. Diseño de un procedimiento para el mejoramiento genético de organismos.</t>
        </is>
      </c>
      <c r="M190" s="30" t="inlineStr">
        <is>
          <t>Mejoramiento genético encaja con biotecnología en 9.°; equilibra vivos.</t>
        </is>
      </c>
      <c r="N190" s="30" t="inlineStr">
        <is>
          <t>media</t>
        </is>
      </c>
      <c r="O190" s="30" t="n">
        <v>0</v>
      </c>
      <c r="P190" s="19">
        <f>IF(D190="reubicar","Opcional (no cambia el total)",IF(E190="cobertura","Sí (cobertura)",IF(D190="insertar",IF(G190&lt;=IFERROR(INDEX($G$6:$G$20,MATCH(B190,$A$6:$A$20,0)),0),"Sí","Reserva"),IF(SUMIFS($O$24:$O$191,$B$24:$B$191,B190,$D$24:$D$191,"fusionar",$G$24:$G$191,"&lt;"&amp;G190)&lt;IFERROR(INDEX($I$6:$I$20,MATCH(B190,$A$6:$A$20,0)),0),"Sí","Reserva"))))</f>
        <v/>
      </c>
      <c r="Q190" s="31" t="inlineStr"/>
    </row>
    <row r="191">
      <c r="A191" s="30" t="inlineStr">
        <is>
          <t>7-9-R04</t>
        </is>
      </c>
      <c r="B191" s="30">
        <f>"7-9|"&amp;F191</f>
        <v/>
      </c>
      <c r="C191" s="30" t="inlineStr">
        <is>
          <t>Ciclo 7°–9°</t>
        </is>
      </c>
      <c r="D191" s="30" t="inlineStr">
        <is>
          <t>reubicar</t>
        </is>
      </c>
      <c r="E191" s="30" t="inlineStr"/>
      <c r="F191" s="30" t="inlineStr">
        <is>
          <t>Sistemas vivos</t>
        </is>
      </c>
      <c r="G191" s="30" t="n">
        <v>4</v>
      </c>
      <c r="H191" s="30" t="n">
        <v>9</v>
      </c>
      <c r="I191" s="30" t="inlineStr">
        <is>
          <t>9. Salud humana (nueva)</t>
        </is>
      </c>
      <c r="J191" s="30" t="inlineStr">
        <is>
          <t>T1013-G07-CIE · 7.° · 2.15. Descripción del proceso de resistencia bacteriana ante un antibiótico.</t>
        </is>
      </c>
      <c r="K191" s="30" t="inlineStr">
        <is>
          <t>PISA-V5, PISA-V1</t>
        </is>
      </c>
      <c r="L191" s="30" t="inlineStr">
        <is>
          <t>2.15. Descripción del proceso de resistencia bacteriana ante un antibiótico.</t>
        </is>
      </c>
      <c r="M191" s="30" t="inlineStr">
        <is>
          <t>Resistencia a antibióticos enlaza microorganismos y salud en 9.°.</t>
        </is>
      </c>
      <c r="N191" s="30" t="inlineStr">
        <is>
          <t>media</t>
        </is>
      </c>
      <c r="O191" s="30" t="n">
        <v>0</v>
      </c>
      <c r="P191" s="19">
        <f>IF(D191="reubicar","Opcional (no cambia el total)",IF(E191="cobertura","Sí (cobertura)",IF(D191="insertar",IF(G191&lt;=IFERROR(INDEX($G$6:$G$20,MATCH(B191,$A$6:$A$20,0)),0),"Sí","Reserva"),IF(SUMIFS($O$24:$O$191,$B$24:$B$191,B191,$D$24:$D$191,"fusionar",$G$24:$G$191,"&lt;"&amp;G191)&lt;IFERROR(INDEX($I$6:$I$20,MATCH(B191,$A$6:$A$20,0)),0),"Sí","Reserva"))))</f>
        <v/>
      </c>
      <c r="Q191" s="31" t="inlineStr"/>
    </row>
    <row r="192"/>
    <row r="193" ht="98" customHeight="1">
      <c r="A193" s="2" t="inlineStr">
        <is>
          <t>Cómo se calcula: El «presupuesto» es el número de temas de cada ciclo, que se mantiene. Se FUSIONAN temas que se repiten en el área que sobra (libera espacio) y se INSERTAN temas en el área que falta (usa ese espacio). CUÁNTOS: fórmula sobre la brecha del ciclo (TIMSS - Balance por ciclo y PISA - Contenidos; si el área está «En meta» no se toca). CUÁLES: candidatos propuestos por IA leyendo los temas, en orden de prioridad; «Entra» = está dentro de los N necesarios. Inserción por COBERTURA = objetivo que nadie trabaja, aunque su área sobre: siempre entra y se paga con una fusión extra de la misma área. REUBICAR = mover un tema de grado dentro del ciclo (no cambia el total; equilibra grados y adelanta lo que otros países enseñan antes).</t>
        </is>
      </c>
    </row>
  </sheetData>
  <autoFilter ref="A23:Q191"/>
  <mergeCells count="3">
    <mergeCell ref="A3:Q3"/>
    <mergeCell ref="A193:N193"/>
    <mergeCell ref="A2:N2"/>
  </mergeCells>
  <conditionalFormatting sqref="P24:P191">
    <cfRule type="cellIs" priority="1" operator="equal" dxfId="0">
      <formula>"Sí"</formula>
    </cfRule>
    <cfRule type="cellIs" priority="2" operator="equal" dxfId="0">
      <formula>"Sí (cobertura)"</formula>
    </cfRule>
    <cfRule type="cellIs" priority="3" operator="equal" dxfId="3">
      <formula>"Reserva"</formula>
    </cfRule>
  </conditionalFormatting>
  <conditionalFormatting sqref="N24:N191">
    <cfRule type="cellIs" priority="4" operator="equal" dxfId="2">
      <formula>"baja"</formula>
    </cfRule>
  </conditionalFormatting>
  <pageMargins left="0.75" right="0.75" top="1" bottom="1" header="0.5" footer="0.5"/>
</worksheet>
</file>

<file path=xl/worksheets/sheet5.xml><?xml version="1.0" encoding="utf-8"?>
<worksheet xmlns="http://schemas.openxmlformats.org/spreadsheetml/2006/main">
  <sheetPr>
    <tabColor rgb="002E6B30"/>
    <outlinePr summaryBelow="1" summaryRight="1"/>
    <pageSetUpPr/>
  </sheetPr>
  <dimension ref="A1:O22"/>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11" customWidth="1" min="4" max="4"/>
    <col width="13" customWidth="1" min="5" max="5"/>
    <col width="9" customWidth="1" min="6" max="6"/>
    <col width="9" customWidth="1" min="7" max="7"/>
    <col width="11" customWidth="1" min="8" max="8"/>
    <col width="13" customWidth="1" min="9" max="9"/>
    <col width="10" customWidth="1" min="10" max="10"/>
    <col width="22" customWidth="1" min="11" max="11"/>
    <col width="14" customWidth="1" min="12" max="12"/>
    <col width="14" customWidth="1" min="13" max="13"/>
    <col width="12" customWidth="1" min="14" max="14"/>
    <col width="16" customWidth="1" min="15" max="15"/>
  </cols>
  <sheetData>
    <row r="1">
      <c r="A1" s="6" t="inlineStr">
        <is>
          <t>Balance de contenidos por ciclo (comparación acumulada, la más fiel a TIMSS)</t>
        </is>
      </c>
    </row>
    <row r="2">
      <c r="A2" s="20" t="inlineStr">
        <is>
          <t>Tolerancia para considerar «en meta» (± puntos porcentuales):</t>
        </is>
      </c>
      <c r="H2" s="21" t="n">
        <v>0.05</v>
      </c>
    </row>
    <row r="3" ht="83" customHeight="1">
      <c r="A3" s="7">
        <f>"TIMSS 2027"&amp;"
"&amp;IF(COUNTIF($K$6:$K$8,"En meta")=ROWS($K$6:$K$8),"BIEN · ","OJO · ")&amp;"TIMSS 4.° (2.°–4.°): "&amp;IF(COUNTIF($K$6:$K$8,"En meta")=ROWS($K$6:$K$8),"los "&amp;ROWS($K$6:$K$8)&amp;" dominios están en meta.","faltan "&amp;FIXED(MAX($I$6:$I$8),0)&amp;" temas de "&amp;INDEX($C$6:$C$8,MATCH(MAX($I$6:$I$8),$I$6:$I$8,0))&amp;" y sobran "&amp;FIXED(-MIN($I$6:$I$8),0)&amp;" de "&amp;INDEX($C$6:$C$8,MATCH(MIN($I$6:$I$8),$I$6:$I$8,0))&amp;".")&amp;"
"&amp;IF(COUNTIF($K$11:$K$14,"En meta")=ROWS($K$11:$K$14),"BIEN · ","OJO · ")&amp;"TIMSS 8.° (5.°–8.°): "&amp;IF(COUNTIF($K$11:$K$14,"En meta")=ROWS($K$11:$K$14),"los "&amp;ROWS($K$11:$K$14)&amp;" dominios están en meta.","faltan "&amp;FIXED(MAX($I$11:$I$14),0)&amp;" temas de "&amp;INDEX($C$11:$C$14,MATCH(MAX($I$11:$I$14),$I$11:$I$14,0))&amp;" y sobran "&amp;FIXED(-MIN($I$11:$I$14),0)&amp;" de "&amp;INDEX($C$11:$C$14,MATCH(MIN($I$11:$I$14),$I$11:$I$14,0))&amp;".")&amp;"
"&amp;IF(COUNTIF($K$17:$K$19,"En meta")=ROWS($K$17:$K$19),"BIEN · ","OJO · ")&amp;"TIMSS Advanced (Física 10.°–11.°): "&amp;IF(COUNTIF($K$17:$K$19,"En meta")=ROWS($K$17:$K$19),"los "&amp;ROWS($K$17:$K$19)&amp;" dominios están en meta.","faltan "&amp;FIXED(MAX($I$17:$I$19),0)&amp;" temas de "&amp;INDEX($C$17:$C$19,MATCH(MAX($I$17:$I$19),$I$17:$I$19,0))&amp;" y sobran "&amp;FIXED(-MIN($I$17:$I$19),0)&amp;" de "&amp;INDEX($C$17:$C$19,MATCH(MIN($I$17:$I$19),$I$17:$I$19,0))&amp;".")&amp;"
"&amp;"→ Esta es la comparación más justa: TIMSS evalúa lo acumulado, no cada grado. PISA: hoja «PISA - Contenidos»."</f>
        <v/>
      </c>
      <c r="B3" s="8" t="n"/>
      <c r="C3" s="8" t="n"/>
      <c r="D3" s="8" t="n"/>
      <c r="E3" s="8" t="n"/>
      <c r="F3" s="8" t="n"/>
      <c r="G3" s="8" t="n"/>
      <c r="H3" s="8" t="n"/>
      <c r="I3" s="8" t="n"/>
      <c r="J3" s="8" t="n"/>
      <c r="K3" s="8" t="n"/>
      <c r="L3" s="8" t="n"/>
      <c r="M3" s="8" t="n"/>
      <c r="N3" s="9" t="n"/>
    </row>
    <row r="4"/>
    <row r="5" ht="66" customHeight="1">
      <c r="A5" s="10" t="inlineStr">
        <is>
          <t>Grupo</t>
        </is>
      </c>
      <c r="B5" s="10" t="inlineStr">
        <is>
          <t>Marco de referencia</t>
        </is>
      </c>
      <c r="C5" s="10" t="inlineStr">
        <is>
          <t>Dominio</t>
        </is>
      </c>
      <c r="D5" s="10" t="inlineStr">
        <is>
          <t>Temas actuales en el dominio</t>
        </is>
      </c>
      <c r="E5" s="10" t="inlineStr">
        <is>
          <t>Temas evaluables del grupo (sin «fuera»)</t>
        </is>
      </c>
      <c r="F5" s="10" t="inlineStr">
        <is>
          <t>% actual</t>
        </is>
      </c>
      <c r="G5" s="10" t="inlineStr">
        <is>
          <t>Meta TIMSS (%)</t>
        </is>
      </c>
      <c r="H5" s="10" t="inlineStr">
        <is>
          <t>Temas esperados según meta</t>
        </is>
      </c>
      <c r="I5" s="10" t="inlineStr">
        <is>
          <t>Brecha (temas): + faltan / − sobran</t>
        </is>
      </c>
      <c r="J5" s="10" t="inlineStr">
        <is>
          <t>Brecha (pp)</t>
        </is>
      </c>
      <c r="K5" s="10" t="inlineStr">
        <is>
          <t>Estado</t>
        </is>
      </c>
      <c r="L5" s="10" t="inlineStr">
        <is>
          <t>Escala para cumplir sin quitar temas (total evaluables)</t>
        </is>
      </c>
      <c r="M5" s="10" t="inlineStr">
        <is>
          <t>Temas a AGREGAR para llegar a la meta sin quitar</t>
        </is>
      </c>
      <c r="N5" s="10" t="inlineStr">
        <is>
          <t>Temas «fuera del marco» del grupo</t>
        </is>
      </c>
      <c r="O5" s="10" t="inlineStr">
        <is>
          <t>Desvío |actual − meta| (fila) · COINCIDENCIA con la meta (fila total)</t>
        </is>
      </c>
    </row>
    <row r="6">
      <c r="A6" s="11" t="inlineStr">
        <is>
          <t>Ciclo 2°–4°</t>
        </is>
      </c>
      <c r="B6" s="11" t="inlineStr">
        <is>
          <t>TIMSS 2027 4.°</t>
        </is>
      </c>
      <c r="C6" s="11" t="inlineStr">
        <is>
          <t>Biología</t>
        </is>
      </c>
      <c r="D6" s="11">
        <f>COUNTIFS('Datos - Temas'!$W$5:$W$1264,$A6,'Datos - Temas'!$M$5:$M$1264,$C6)</f>
        <v/>
      </c>
      <c r="E6" s="11">
        <f>COUNTIFS('Datos - Temas'!$W$5:$W$1264,$A6)-COUNTIFS('Datos - Temas'!$W$5:$W$1264,$A6,'Datos - Temas'!$K$5:$K$1264,"FUERA")-COUNTIFS('Datos - Temas'!$W$5:$W$1264,$A6,'Datos - Temas'!$K$5:$K$1264,"PENDIENTE")</f>
        <v/>
      </c>
      <c r="F6" s="13">
        <f>IF(E6=0,0,D6/E6)</f>
        <v/>
      </c>
      <c r="G6" s="21" t="n">
        <v>0.45</v>
      </c>
      <c r="H6" s="28">
        <f>G6*E6</f>
        <v/>
      </c>
      <c r="I6" s="28">
        <f>H6-D6</f>
        <v/>
      </c>
      <c r="J6" s="32">
        <f>(G6-F6)*100</f>
        <v/>
      </c>
      <c r="K6" s="33">
        <f>IF(ABS(G6-F6)&lt;=$H$2,"En meta",IF(I6&gt;0,"Faltan "&amp;FIXED(I6,0)&amp;" temas","Sobran "&amp;FIXED(-I6,0)&amp;" temas"))</f>
        <v/>
      </c>
      <c r="L6" s="28">
        <f>MAX(D6/G6,D7/G7,D8/G8)</f>
        <v/>
      </c>
      <c r="M6" s="11">
        <f>MAX(0,ROUNDUP(G6*L6-D6,0))</f>
        <v/>
      </c>
      <c r="N6" s="11">
        <f>COUNTIFS('Datos - Temas'!$W$5:$W$1264,$A6,'Datos - Temas'!$K$5:$K$1264,"FUERA")</f>
        <v/>
      </c>
      <c r="O6" s="13">
        <f>ABS(F6-G6)</f>
        <v/>
      </c>
    </row>
    <row r="7">
      <c r="A7" s="11" t="inlineStr">
        <is>
          <t>Ciclo 2°–4°</t>
        </is>
      </c>
      <c r="B7" s="11" t="inlineStr">
        <is>
          <t>TIMSS 2027 4.°</t>
        </is>
      </c>
      <c r="C7" s="11" t="inlineStr">
        <is>
          <t>Ciencias físicas</t>
        </is>
      </c>
      <c r="D7" s="11">
        <f>COUNTIFS('Datos - Temas'!$W$5:$W$1264,$A7,'Datos - Temas'!$M$5:$M$1264,$C7)</f>
        <v/>
      </c>
      <c r="E7" s="11">
        <f>COUNTIFS('Datos - Temas'!$W$5:$W$1264,$A7)-COUNTIFS('Datos - Temas'!$W$5:$W$1264,$A7,'Datos - Temas'!$K$5:$K$1264,"FUERA")-COUNTIFS('Datos - Temas'!$W$5:$W$1264,$A7,'Datos - Temas'!$K$5:$K$1264,"PENDIENTE")</f>
        <v/>
      </c>
      <c r="F7" s="13">
        <f>IF(E7=0,0,D7/E7)</f>
        <v/>
      </c>
      <c r="G7" s="21" t="n">
        <v>0.35</v>
      </c>
      <c r="H7" s="28">
        <f>G7*E7</f>
        <v/>
      </c>
      <c r="I7" s="28">
        <f>H7-D7</f>
        <v/>
      </c>
      <c r="J7" s="32">
        <f>(G7-F7)*100</f>
        <v/>
      </c>
      <c r="K7" s="33">
        <f>IF(ABS(G7-F7)&lt;=$H$2,"En meta",IF(I7&gt;0,"Faltan "&amp;FIXED(I7,0)&amp;" temas","Sobran "&amp;FIXED(-I7,0)&amp;" temas"))</f>
        <v/>
      </c>
      <c r="L7" s="28">
        <f>MAX(D6/G6,D7/G7,D8/G8)</f>
        <v/>
      </c>
      <c r="M7" s="11">
        <f>MAX(0,ROUNDUP(G7*L7-D7,0))</f>
        <v/>
      </c>
      <c r="N7" s="11">
        <f>COUNTIFS('Datos - Temas'!$W$5:$W$1264,$A7,'Datos - Temas'!$K$5:$K$1264,"FUERA")</f>
        <v/>
      </c>
      <c r="O7" s="13">
        <f>ABS(F7-G7)</f>
        <v/>
      </c>
    </row>
    <row r="8">
      <c r="A8" s="11" t="inlineStr">
        <is>
          <t>Ciclo 2°–4°</t>
        </is>
      </c>
      <c r="B8" s="11" t="inlineStr">
        <is>
          <t>TIMSS 2027 4.°</t>
        </is>
      </c>
      <c r="C8" s="11" t="inlineStr">
        <is>
          <t>Ciencias de la Tierra</t>
        </is>
      </c>
      <c r="D8" s="11">
        <f>COUNTIFS('Datos - Temas'!$W$5:$W$1264,$A8,'Datos - Temas'!$M$5:$M$1264,$C8)</f>
        <v/>
      </c>
      <c r="E8" s="11">
        <f>COUNTIFS('Datos - Temas'!$W$5:$W$1264,$A8)-COUNTIFS('Datos - Temas'!$W$5:$W$1264,$A8,'Datos - Temas'!$K$5:$K$1264,"FUERA")-COUNTIFS('Datos - Temas'!$W$5:$W$1264,$A8,'Datos - Temas'!$K$5:$K$1264,"PENDIENTE")</f>
        <v/>
      </c>
      <c r="F8" s="13">
        <f>IF(E8=0,0,D8/E8)</f>
        <v/>
      </c>
      <c r="G8" s="21" t="n">
        <v>0.2</v>
      </c>
      <c r="H8" s="28">
        <f>G8*E8</f>
        <v/>
      </c>
      <c r="I8" s="28">
        <f>H8-D8</f>
        <v/>
      </c>
      <c r="J8" s="32">
        <f>(G8-F8)*100</f>
        <v/>
      </c>
      <c r="K8" s="33">
        <f>IF(ABS(G8-F8)&lt;=$H$2,"En meta",IF(I8&gt;0,"Faltan "&amp;FIXED(I8,0)&amp;" temas","Sobran "&amp;FIXED(-I8,0)&amp;" temas"))</f>
        <v/>
      </c>
      <c r="L8" s="28">
        <f>MAX(D6/G6,D7/G7,D8/G8)</f>
        <v/>
      </c>
      <c r="M8" s="11">
        <f>MAX(0,ROUNDUP(G8*L8-D8,0))</f>
        <v/>
      </c>
      <c r="N8" s="11">
        <f>COUNTIFS('Datos - Temas'!$W$5:$W$1264,$A8,'Datos - Temas'!$K$5:$K$1264,"FUERA")</f>
        <v/>
      </c>
      <c r="O8" s="13">
        <f>ABS(F8-G8)</f>
        <v/>
      </c>
    </row>
    <row r="9">
      <c r="A9" s="23" t="n"/>
      <c r="B9" s="23" t="n"/>
      <c r="C9" s="23" t="inlineStr">
        <is>
          <t>Total del grupo</t>
        </is>
      </c>
      <c r="D9" s="23">
        <f>SUM(D6:D8)</f>
        <v/>
      </c>
      <c r="E9" s="23" t="n"/>
      <c r="F9" s="23" t="n"/>
      <c r="G9" s="34">
        <f>SUM(G6:G8)</f>
        <v/>
      </c>
      <c r="H9" s="23" t="n"/>
      <c r="I9" s="23" t="n"/>
      <c r="J9" s="23" t="n"/>
      <c r="K9" s="23" t="n"/>
      <c r="L9" s="23" t="n"/>
      <c r="M9" s="23">
        <f>SUM(M6:M8)</f>
        <v/>
      </c>
      <c r="N9" s="23" t="n"/>
      <c r="O9" s="24">
        <f>1-SUM(O6:O8)/2</f>
        <v/>
      </c>
    </row>
    <row r="10"/>
    <row r="11">
      <c r="A11" s="11" t="inlineStr">
        <is>
          <t>Ciclo 5°–8°</t>
        </is>
      </c>
      <c r="B11" s="11" t="inlineStr">
        <is>
          <t>TIMSS 2027 8.°</t>
        </is>
      </c>
      <c r="C11" s="11" t="inlineStr">
        <is>
          <t>Biología</t>
        </is>
      </c>
      <c r="D11" s="11">
        <f>COUNTIFS('Datos - Temas'!$W$5:$W$1264,$A11,'Datos - Temas'!$M$5:$M$1264,$C11)</f>
        <v/>
      </c>
      <c r="E11" s="11">
        <f>COUNTIFS('Datos - Temas'!$W$5:$W$1264,$A11)-COUNTIFS('Datos - Temas'!$W$5:$W$1264,$A11,'Datos - Temas'!$K$5:$K$1264,"FUERA")-COUNTIFS('Datos - Temas'!$W$5:$W$1264,$A11,'Datos - Temas'!$K$5:$K$1264,"PENDIENTE")</f>
        <v/>
      </c>
      <c r="F11" s="13">
        <f>IF(E11=0,0,D11/E11)</f>
        <v/>
      </c>
      <c r="G11" s="21" t="n">
        <v>0.35</v>
      </c>
      <c r="H11" s="28">
        <f>G11*E11</f>
        <v/>
      </c>
      <c r="I11" s="28">
        <f>H11-D11</f>
        <v/>
      </c>
      <c r="J11" s="32">
        <f>(G11-F11)*100</f>
        <v/>
      </c>
      <c r="K11" s="33">
        <f>IF(ABS(G11-F11)&lt;=$H$2,"En meta",IF(I11&gt;0,"Faltan "&amp;FIXED(I11,0)&amp;" temas","Sobran "&amp;FIXED(-I11,0)&amp;" temas"))</f>
        <v/>
      </c>
      <c r="L11" s="28">
        <f>MAX(D11/G11,D12/G12,D13/G13,D14/G14)</f>
        <v/>
      </c>
      <c r="M11" s="11">
        <f>MAX(0,ROUNDUP(G11*L11-D11,0))</f>
        <v/>
      </c>
      <c r="N11" s="11">
        <f>COUNTIFS('Datos - Temas'!$W$5:$W$1264,$A11,'Datos - Temas'!$K$5:$K$1264,"FUERA")</f>
        <v/>
      </c>
      <c r="O11" s="13">
        <f>ABS(F11-G11)</f>
        <v/>
      </c>
    </row>
    <row r="12">
      <c r="A12" s="11" t="inlineStr">
        <is>
          <t>Ciclo 5°–8°</t>
        </is>
      </c>
      <c r="B12" s="11" t="inlineStr">
        <is>
          <t>TIMSS 2027 8.°</t>
        </is>
      </c>
      <c r="C12" s="11" t="inlineStr">
        <is>
          <t>Química</t>
        </is>
      </c>
      <c r="D12" s="11">
        <f>COUNTIFS('Datos - Temas'!$W$5:$W$1264,$A12,'Datos - Temas'!$M$5:$M$1264,$C12)</f>
        <v/>
      </c>
      <c r="E12" s="11">
        <f>COUNTIFS('Datos - Temas'!$W$5:$W$1264,$A12)-COUNTIFS('Datos - Temas'!$W$5:$W$1264,$A12,'Datos - Temas'!$K$5:$K$1264,"FUERA")-COUNTIFS('Datos - Temas'!$W$5:$W$1264,$A12,'Datos - Temas'!$K$5:$K$1264,"PENDIENTE")</f>
        <v/>
      </c>
      <c r="F12" s="13">
        <f>IF(E12=0,0,D12/E12)</f>
        <v/>
      </c>
      <c r="G12" s="21" t="n">
        <v>0.2</v>
      </c>
      <c r="H12" s="28">
        <f>G12*E12</f>
        <v/>
      </c>
      <c r="I12" s="28">
        <f>H12-D12</f>
        <v/>
      </c>
      <c r="J12" s="32">
        <f>(G12-F12)*100</f>
        <v/>
      </c>
      <c r="K12" s="33">
        <f>IF(ABS(G12-F12)&lt;=$H$2,"En meta",IF(I12&gt;0,"Faltan "&amp;FIXED(I12,0)&amp;" temas","Sobran "&amp;FIXED(-I12,0)&amp;" temas"))</f>
        <v/>
      </c>
      <c r="L12" s="28">
        <f>MAX(D11/G11,D12/G12,D13/G13,D14/G14)</f>
        <v/>
      </c>
      <c r="M12" s="11">
        <f>MAX(0,ROUNDUP(G12*L12-D12,0))</f>
        <v/>
      </c>
      <c r="N12" s="11">
        <f>COUNTIFS('Datos - Temas'!$W$5:$W$1264,$A12,'Datos - Temas'!$K$5:$K$1264,"FUERA")</f>
        <v/>
      </c>
      <c r="O12" s="13">
        <f>ABS(F12-G12)</f>
        <v/>
      </c>
    </row>
    <row r="13">
      <c r="A13" s="11" t="inlineStr">
        <is>
          <t>Ciclo 5°–8°</t>
        </is>
      </c>
      <c r="B13" s="11" t="inlineStr">
        <is>
          <t>TIMSS 2027 8.°</t>
        </is>
      </c>
      <c r="C13" s="11" t="inlineStr">
        <is>
          <t>Física</t>
        </is>
      </c>
      <c r="D13" s="11">
        <f>COUNTIFS('Datos - Temas'!$W$5:$W$1264,$A13,'Datos - Temas'!$M$5:$M$1264,$C13)</f>
        <v/>
      </c>
      <c r="E13" s="11">
        <f>COUNTIFS('Datos - Temas'!$W$5:$W$1264,$A13)-COUNTIFS('Datos - Temas'!$W$5:$W$1264,$A13,'Datos - Temas'!$K$5:$K$1264,"FUERA")-COUNTIFS('Datos - Temas'!$W$5:$W$1264,$A13,'Datos - Temas'!$K$5:$K$1264,"PENDIENTE")</f>
        <v/>
      </c>
      <c r="F13" s="13">
        <f>IF(E13=0,0,D13/E13)</f>
        <v/>
      </c>
      <c r="G13" s="21" t="n">
        <v>0.25</v>
      </c>
      <c r="H13" s="28">
        <f>G13*E13</f>
        <v/>
      </c>
      <c r="I13" s="28">
        <f>H13-D13</f>
        <v/>
      </c>
      <c r="J13" s="32">
        <f>(G13-F13)*100</f>
        <v/>
      </c>
      <c r="K13" s="33">
        <f>IF(ABS(G13-F13)&lt;=$H$2,"En meta",IF(I13&gt;0,"Faltan "&amp;FIXED(I13,0)&amp;" temas","Sobran "&amp;FIXED(-I13,0)&amp;" temas"))</f>
        <v/>
      </c>
      <c r="L13" s="28">
        <f>MAX(D11/G11,D12/G12,D13/G13,D14/G14)</f>
        <v/>
      </c>
      <c r="M13" s="11">
        <f>MAX(0,ROUNDUP(G13*L13-D13,0))</f>
        <v/>
      </c>
      <c r="N13" s="11">
        <f>COUNTIFS('Datos - Temas'!$W$5:$W$1264,$A13,'Datos - Temas'!$K$5:$K$1264,"FUERA")</f>
        <v/>
      </c>
      <c r="O13" s="13">
        <f>ABS(F13-G13)</f>
        <v/>
      </c>
    </row>
    <row r="14">
      <c r="A14" s="11" t="inlineStr">
        <is>
          <t>Ciclo 5°–8°</t>
        </is>
      </c>
      <c r="B14" s="11" t="inlineStr">
        <is>
          <t>TIMSS 2027 8.°</t>
        </is>
      </c>
      <c r="C14" s="11" t="inlineStr">
        <is>
          <t>Ciencias de la Tierra</t>
        </is>
      </c>
      <c r="D14" s="11">
        <f>COUNTIFS('Datos - Temas'!$W$5:$W$1264,$A14,'Datos - Temas'!$M$5:$M$1264,$C14)</f>
        <v/>
      </c>
      <c r="E14" s="11">
        <f>COUNTIFS('Datos - Temas'!$W$5:$W$1264,$A14)-COUNTIFS('Datos - Temas'!$W$5:$W$1264,$A14,'Datos - Temas'!$K$5:$K$1264,"FUERA")-COUNTIFS('Datos - Temas'!$W$5:$W$1264,$A14,'Datos - Temas'!$K$5:$K$1264,"PENDIENTE")</f>
        <v/>
      </c>
      <c r="F14" s="13">
        <f>IF(E14=0,0,D14/E14)</f>
        <v/>
      </c>
      <c r="G14" s="21" t="n">
        <v>0.2</v>
      </c>
      <c r="H14" s="28">
        <f>G14*E14</f>
        <v/>
      </c>
      <c r="I14" s="28">
        <f>H14-D14</f>
        <v/>
      </c>
      <c r="J14" s="32">
        <f>(G14-F14)*100</f>
        <v/>
      </c>
      <c r="K14" s="33">
        <f>IF(ABS(G14-F14)&lt;=$H$2,"En meta",IF(I14&gt;0,"Faltan "&amp;FIXED(I14,0)&amp;" temas","Sobran "&amp;FIXED(-I14,0)&amp;" temas"))</f>
        <v/>
      </c>
      <c r="L14" s="28">
        <f>MAX(D11/G11,D12/G12,D13/G13,D14/G14)</f>
        <v/>
      </c>
      <c r="M14" s="11">
        <f>MAX(0,ROUNDUP(G14*L14-D14,0))</f>
        <v/>
      </c>
      <c r="N14" s="11">
        <f>COUNTIFS('Datos - Temas'!$W$5:$W$1264,$A14,'Datos - Temas'!$K$5:$K$1264,"FUERA")</f>
        <v/>
      </c>
      <c r="O14" s="13">
        <f>ABS(F14-G14)</f>
        <v/>
      </c>
    </row>
    <row r="15">
      <c r="A15" s="23" t="n"/>
      <c r="B15" s="23" t="n"/>
      <c r="C15" s="23" t="inlineStr">
        <is>
          <t>Total del grupo</t>
        </is>
      </c>
      <c r="D15" s="23">
        <f>SUM(D11:D14)</f>
        <v/>
      </c>
      <c r="E15" s="23" t="n"/>
      <c r="F15" s="23" t="n"/>
      <c r="G15" s="34">
        <f>SUM(G11:G14)</f>
        <v/>
      </c>
      <c r="H15" s="23" t="n"/>
      <c r="I15" s="23" t="n"/>
      <c r="J15" s="23" t="n"/>
      <c r="K15" s="23" t="n"/>
      <c r="L15" s="23" t="n"/>
      <c r="M15" s="23">
        <f>SUM(M11:M14)</f>
        <v/>
      </c>
      <c r="N15" s="23" t="n"/>
      <c r="O15" s="24">
        <f>1-SUM(O11:O14)/2</f>
        <v/>
      </c>
    </row>
    <row r="16"/>
    <row r="17">
      <c r="A17" s="11" t="inlineStr">
        <is>
          <t>Física 10°–11°</t>
        </is>
      </c>
      <c r="B17" s="11" t="inlineStr">
        <is>
          <t>TIMSS Advanced 2015 Física</t>
        </is>
      </c>
      <c r="C17" s="11" t="inlineStr">
        <is>
          <t>Mecánica y termodinámica</t>
        </is>
      </c>
      <c r="D17" s="11">
        <f>COUNTIFS('Datos - Temas'!$W$5:$W$1264,$A17,'Datos - Temas'!$M$5:$M$1264,$C17)</f>
        <v/>
      </c>
      <c r="E17" s="11">
        <f>COUNTIFS('Datos - Temas'!$W$5:$W$1264,$A17)-COUNTIFS('Datos - Temas'!$W$5:$W$1264,$A17,'Datos - Temas'!$K$5:$K$1264,"FUERA")-COUNTIFS('Datos - Temas'!$W$5:$W$1264,$A17,'Datos - Temas'!$K$5:$K$1264,"PENDIENTE")</f>
        <v/>
      </c>
      <c r="F17" s="13">
        <f>IF(E17=0,0,D17/E17)</f>
        <v/>
      </c>
      <c r="G17" s="21" t="n">
        <v>0.4</v>
      </c>
      <c r="H17" s="28">
        <f>G17*E17</f>
        <v/>
      </c>
      <c r="I17" s="28">
        <f>H17-D17</f>
        <v/>
      </c>
      <c r="J17" s="32">
        <f>(G17-F17)*100</f>
        <v/>
      </c>
      <c r="K17" s="33">
        <f>IF(ABS(G17-F17)&lt;=$H$2,"En meta",IF(I17&gt;0,"Faltan "&amp;FIXED(I17,0)&amp;" temas","Sobran "&amp;FIXED(-I17,0)&amp;" temas"))</f>
        <v/>
      </c>
      <c r="L17" s="28">
        <f>MAX(D17/G17,D18/G18,D19/G19)</f>
        <v/>
      </c>
      <c r="M17" s="11">
        <f>MAX(0,ROUNDUP(G17*L17-D17,0))</f>
        <v/>
      </c>
      <c r="N17" s="11">
        <f>COUNTIFS('Datos - Temas'!$W$5:$W$1264,$A17,'Datos - Temas'!$K$5:$K$1264,"FUERA")</f>
        <v/>
      </c>
      <c r="O17" s="13">
        <f>ABS(F17-G17)</f>
        <v/>
      </c>
    </row>
    <row r="18">
      <c r="A18" s="11" t="inlineStr">
        <is>
          <t>Física 10°–11°</t>
        </is>
      </c>
      <c r="B18" s="11" t="inlineStr">
        <is>
          <t>TIMSS Advanced 2015 Física</t>
        </is>
      </c>
      <c r="C18" s="11" t="inlineStr">
        <is>
          <t>Electricidad y magnetismo</t>
        </is>
      </c>
      <c r="D18" s="11">
        <f>COUNTIFS('Datos - Temas'!$W$5:$W$1264,$A18,'Datos - Temas'!$M$5:$M$1264,$C18)</f>
        <v/>
      </c>
      <c r="E18" s="11">
        <f>COUNTIFS('Datos - Temas'!$W$5:$W$1264,$A18)-COUNTIFS('Datos - Temas'!$W$5:$W$1264,$A18,'Datos - Temas'!$K$5:$K$1264,"FUERA")-COUNTIFS('Datos - Temas'!$W$5:$W$1264,$A18,'Datos - Temas'!$K$5:$K$1264,"PENDIENTE")</f>
        <v/>
      </c>
      <c r="F18" s="13">
        <f>IF(E18=0,0,D18/E18)</f>
        <v/>
      </c>
      <c r="G18" s="21" t="n">
        <v>0.25</v>
      </c>
      <c r="H18" s="28">
        <f>G18*E18</f>
        <v/>
      </c>
      <c r="I18" s="28">
        <f>H18-D18</f>
        <v/>
      </c>
      <c r="J18" s="32">
        <f>(G18-F18)*100</f>
        <v/>
      </c>
      <c r="K18" s="33">
        <f>IF(ABS(G18-F18)&lt;=$H$2,"En meta",IF(I18&gt;0,"Faltan "&amp;FIXED(I18,0)&amp;" temas","Sobran "&amp;FIXED(-I18,0)&amp;" temas"))</f>
        <v/>
      </c>
      <c r="L18" s="28">
        <f>MAX(D17/G17,D18/G18,D19/G19)</f>
        <v/>
      </c>
      <c r="M18" s="11">
        <f>MAX(0,ROUNDUP(G18*L18-D18,0))</f>
        <v/>
      </c>
      <c r="N18" s="11">
        <f>COUNTIFS('Datos - Temas'!$W$5:$W$1264,$A18,'Datos - Temas'!$K$5:$K$1264,"FUERA")</f>
        <v/>
      </c>
      <c r="O18" s="13">
        <f>ABS(F18-G18)</f>
        <v/>
      </c>
    </row>
    <row r="19">
      <c r="A19" s="11" t="inlineStr">
        <is>
          <t>Física 10°–11°</t>
        </is>
      </c>
      <c r="B19" s="11" t="inlineStr">
        <is>
          <t>TIMSS Advanced 2015 Física</t>
        </is>
      </c>
      <c r="C19" s="11" t="inlineStr">
        <is>
          <t>Ondas y física atómica/nuclear</t>
        </is>
      </c>
      <c r="D19" s="11">
        <f>COUNTIFS('Datos - Temas'!$W$5:$W$1264,$A19,'Datos - Temas'!$M$5:$M$1264,$C19)</f>
        <v/>
      </c>
      <c r="E19" s="11">
        <f>COUNTIFS('Datos - Temas'!$W$5:$W$1264,$A19)-COUNTIFS('Datos - Temas'!$W$5:$W$1264,$A19,'Datos - Temas'!$K$5:$K$1264,"FUERA")-COUNTIFS('Datos - Temas'!$W$5:$W$1264,$A19,'Datos - Temas'!$K$5:$K$1264,"PENDIENTE")</f>
        <v/>
      </c>
      <c r="F19" s="13">
        <f>IF(E19=0,0,D19/E19)</f>
        <v/>
      </c>
      <c r="G19" s="21" t="n">
        <v>0.35</v>
      </c>
      <c r="H19" s="28">
        <f>G19*E19</f>
        <v/>
      </c>
      <c r="I19" s="28">
        <f>H19-D19</f>
        <v/>
      </c>
      <c r="J19" s="32">
        <f>(G19-F19)*100</f>
        <v/>
      </c>
      <c r="K19" s="33">
        <f>IF(ABS(G19-F19)&lt;=$H$2,"En meta",IF(I19&gt;0,"Faltan "&amp;FIXED(I19,0)&amp;" temas","Sobran "&amp;FIXED(-I19,0)&amp;" temas"))</f>
        <v/>
      </c>
      <c r="L19" s="28">
        <f>MAX(D17/G17,D18/G18,D19/G19)</f>
        <v/>
      </c>
      <c r="M19" s="11">
        <f>MAX(0,ROUNDUP(G19*L19-D19,0))</f>
        <v/>
      </c>
      <c r="N19" s="11">
        <f>COUNTIFS('Datos - Temas'!$W$5:$W$1264,$A19,'Datos - Temas'!$K$5:$K$1264,"FUERA")</f>
        <v/>
      </c>
      <c r="O19" s="13">
        <f>ABS(F19-G19)</f>
        <v/>
      </c>
    </row>
    <row r="20">
      <c r="A20" s="23" t="n"/>
      <c r="B20" s="23" t="n"/>
      <c r="C20" s="23" t="inlineStr">
        <is>
          <t>Total del grupo</t>
        </is>
      </c>
      <c r="D20" s="23">
        <f>SUM(D17:D19)</f>
        <v/>
      </c>
      <c r="E20" s="23" t="n"/>
      <c r="F20" s="23" t="n"/>
      <c r="G20" s="34">
        <f>SUM(G17:G19)</f>
        <v/>
      </c>
      <c r="H20" s="23" t="n"/>
      <c r="I20" s="23" t="n"/>
      <c r="J20" s="23" t="n"/>
      <c r="K20" s="23" t="n"/>
      <c r="L20" s="23" t="n"/>
      <c r="M20" s="23">
        <f>SUM(M17:M19)</f>
        <v/>
      </c>
      <c r="N20" s="23" t="n"/>
      <c r="O20" s="24">
        <f>1-SUM(O17:O19)/2</f>
        <v/>
      </c>
    </row>
    <row r="21"/>
    <row r="22" ht="56" customHeight="1">
      <c r="A22" s="2" t="inlineStr">
        <is>
          <t>Cómo se calcula: TIMSS 4.° evalúa lo aprendido hasta 4.° grado → se compara con el acumulado de 2.° a 4.° (1.° grado no tiene malla). TIMSS 8.° evalúa lo aprendido hasta 8.° → acumulado de 5.° a 8.°. 9.° se muestra contra TIMSS 8.° solo como referencia. Física de Bachillerato se compara con TIMSS Advanced 2015 (Física). Química y Biología de Bachillerato no tienen marco TIMSS de contenido.</t>
        </is>
      </c>
    </row>
  </sheetData>
  <mergeCells count="2">
    <mergeCell ref="A3:N3"/>
    <mergeCell ref="A22:N22"/>
  </mergeCells>
  <conditionalFormatting sqref="K6:K22">
    <cfRule type="expression" priority="1" dxfId="2">
      <formula>LEFT(K6,6)="Faltan"</formula>
    </cfRule>
    <cfRule type="expression" priority="2" dxfId="1">
      <formula>LEFT(K6,6)="Sobran"</formula>
    </cfRule>
    <cfRule type="cellIs" priority="3" operator="equal" dxfId="4">
      <formula>"En meta"</formula>
    </cfRule>
  </conditionalFormatting>
  <conditionalFormatting sqref="A6:N60">
    <cfRule type="expression" priority="4" dxfId="5">
      <formula>AND(MOD(ROW(),2)=0,$C6&lt;&gt;"",$C6&lt;&gt;"Total del grupo")</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6B30"/>
    <outlinePr summaryBelow="1" summaryRight="1"/>
    <pageSetUpPr/>
  </sheetPr>
  <dimension ref="A1:O5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11" customWidth="1" min="4" max="4"/>
    <col width="13" customWidth="1" min="5" max="5"/>
    <col width="9" customWidth="1" min="6" max="6"/>
    <col width="9" customWidth="1" min="7" max="7"/>
    <col width="11" customWidth="1" min="8" max="8"/>
    <col width="13" customWidth="1" min="9" max="9"/>
    <col width="10" customWidth="1" min="10" max="10"/>
    <col width="22" customWidth="1" min="11" max="11"/>
    <col width="14" customWidth="1" min="12" max="12"/>
    <col width="14" customWidth="1" min="13" max="13"/>
    <col width="12" customWidth="1" min="14" max="14"/>
    <col width="16" customWidth="1" min="15" max="15"/>
  </cols>
  <sheetData>
    <row r="1">
      <c r="A1" s="6" t="inlineStr">
        <is>
          <t>Balance de contenidos por grado frente a las metas de TIMSS</t>
        </is>
      </c>
    </row>
    <row r="2">
      <c r="A2" s="20" t="inlineStr">
        <is>
          <t>Tolerancia para considerar «en meta» (± puntos porcentuales):</t>
        </is>
      </c>
      <c r="H2" s="21" t="n">
        <v>0.05</v>
      </c>
    </row>
    <row r="3" ht="53" customHeight="1">
      <c r="A3" s="7">
        <f>"TIMSS 2027"&amp;"
"&amp;"● 2.°–8.°: la mayor falta es "&amp;FIXED(MAX($I$6:$I$43),0)&amp;" temas de "&amp;INDEX($C$6:$C$43,MATCH(MAX($I$6:$I$43),$I$6:$I$43,0))&amp;" en "&amp;SUBSTITUTE(INDEX($A$6:$A$43,MATCH(MAX($I$6:$I$43),$I$6:$I$43,0)),"°",".°")&amp;"; la mayor sobra, "&amp;FIXED(-MIN($I$6:$I$43),0)&amp;" de "&amp;INDEX($C$6:$C$43,MATCH(MIN($I$6:$I$43),$I$6:$I$43,0))&amp;" en "&amp;SUBSTITUTE(INDEX($A$6:$A$43,MATCH(MIN($I$6:$I$43),$I$6:$I$43,0)),"°",".°")&amp;"."&amp;"
"&amp;"● Por grado las brechas se compensan entre grados: decide con «TIMSS - Balance por ciclo»."</f>
        <v/>
      </c>
      <c r="B3" s="8" t="n"/>
      <c r="C3" s="8" t="n"/>
      <c r="D3" s="8" t="n"/>
      <c r="E3" s="8" t="n"/>
      <c r="F3" s="8" t="n"/>
      <c r="G3" s="8" t="n"/>
      <c r="H3" s="8" t="n"/>
      <c r="I3" s="8" t="n"/>
      <c r="J3" s="8" t="n"/>
      <c r="K3" s="8" t="n"/>
      <c r="L3" s="8" t="n"/>
      <c r="M3" s="8" t="n"/>
      <c r="N3" s="9" t="n"/>
    </row>
    <row r="4"/>
    <row r="5" ht="66" customHeight="1">
      <c r="A5" s="10" t="inlineStr">
        <is>
          <t>Grupo</t>
        </is>
      </c>
      <c r="B5" s="10" t="inlineStr">
        <is>
          <t>Marco de referencia</t>
        </is>
      </c>
      <c r="C5" s="10" t="inlineStr">
        <is>
          <t>Dominio</t>
        </is>
      </c>
      <c r="D5" s="10" t="inlineStr">
        <is>
          <t>Temas actuales en el dominio</t>
        </is>
      </c>
      <c r="E5" s="10" t="inlineStr">
        <is>
          <t>Temas evaluables del grupo (sin «fuera»)</t>
        </is>
      </c>
      <c r="F5" s="10" t="inlineStr">
        <is>
          <t>% actual</t>
        </is>
      </c>
      <c r="G5" s="10" t="inlineStr">
        <is>
          <t>Meta TIMSS (%)</t>
        </is>
      </c>
      <c r="H5" s="10" t="inlineStr">
        <is>
          <t>Temas esperados según meta</t>
        </is>
      </c>
      <c r="I5" s="10" t="inlineStr">
        <is>
          <t>Brecha (temas): + faltan / − sobran</t>
        </is>
      </c>
      <c r="J5" s="10" t="inlineStr">
        <is>
          <t>Brecha (pp)</t>
        </is>
      </c>
      <c r="K5" s="10" t="inlineStr">
        <is>
          <t>Estado</t>
        </is>
      </c>
      <c r="L5" s="10" t="inlineStr">
        <is>
          <t>Escala para cumplir sin quitar temas (total evaluables)</t>
        </is>
      </c>
      <c r="M5" s="10" t="inlineStr">
        <is>
          <t>Temas a AGREGAR para llegar a la meta sin quitar</t>
        </is>
      </c>
      <c r="N5" s="10" t="inlineStr">
        <is>
          <t>Temas «fuera del marco» del grupo</t>
        </is>
      </c>
      <c r="O5" s="10" t="inlineStr">
        <is>
          <t>Desvío |actual − meta| (fila) · COINCIDENCIA con la meta (fila total)</t>
        </is>
      </c>
    </row>
    <row r="6">
      <c r="A6" s="11" t="inlineStr">
        <is>
          <t>2°</t>
        </is>
      </c>
      <c r="B6" s="11" t="inlineStr">
        <is>
          <t>TIMSS 2027 4.°</t>
        </is>
      </c>
      <c r="C6" s="11" t="inlineStr">
        <is>
          <t>Biología</t>
        </is>
      </c>
      <c r="D6" s="11">
        <f>COUNTIFS('Datos - Temas'!$V$5:$V$1264,$A6,'Datos - Temas'!$M$5:$M$1264,$C6)</f>
        <v/>
      </c>
      <c r="E6" s="11">
        <f>COUNTIFS('Datos - Temas'!$V$5:$V$1264,$A6)-COUNTIFS('Datos - Temas'!$V$5:$V$1264,$A6,'Datos - Temas'!$K$5:$K$1264,"FUERA")-COUNTIFS('Datos - Temas'!$V$5:$V$1264,$A6,'Datos - Temas'!$K$5:$K$1264,"PENDIENTE")</f>
        <v/>
      </c>
      <c r="F6" s="13">
        <f>IF(E6=0,0,D6/E6)</f>
        <v/>
      </c>
      <c r="G6" s="21" t="n">
        <v>0.45</v>
      </c>
      <c r="H6" s="28">
        <f>G6*E6</f>
        <v/>
      </c>
      <c r="I6" s="28">
        <f>H6-D6</f>
        <v/>
      </c>
      <c r="J6" s="32">
        <f>(G6-F6)*100</f>
        <v/>
      </c>
      <c r="K6" s="33">
        <f>IF(ABS(G6-F6)&lt;=$H$2,"En meta",IF(I6&gt;0,"Faltan "&amp;FIXED(I6,0)&amp;" temas","Sobran "&amp;FIXED(-I6,0)&amp;" temas"))</f>
        <v/>
      </c>
      <c r="L6" s="28">
        <f>MAX(D6/G6,D7/G7,D8/G8)</f>
        <v/>
      </c>
      <c r="M6" s="11">
        <f>MAX(0,ROUNDUP(G6*L6-D6,0))</f>
        <v/>
      </c>
      <c r="N6" s="11">
        <f>COUNTIFS('Datos - Temas'!$V$5:$V$1264,$A6,'Datos - Temas'!$K$5:$K$1264,"FUERA")</f>
        <v/>
      </c>
      <c r="O6" s="13">
        <f>ABS(F6-G6)</f>
        <v/>
      </c>
    </row>
    <row r="7">
      <c r="A7" s="11" t="inlineStr">
        <is>
          <t>2°</t>
        </is>
      </c>
      <c r="B7" s="11" t="inlineStr">
        <is>
          <t>TIMSS 2027 4.°</t>
        </is>
      </c>
      <c r="C7" s="11" t="inlineStr">
        <is>
          <t>Ciencias físicas</t>
        </is>
      </c>
      <c r="D7" s="11">
        <f>COUNTIFS('Datos - Temas'!$V$5:$V$1264,$A7,'Datos - Temas'!$M$5:$M$1264,$C7)</f>
        <v/>
      </c>
      <c r="E7" s="11">
        <f>COUNTIFS('Datos - Temas'!$V$5:$V$1264,$A7)-COUNTIFS('Datos - Temas'!$V$5:$V$1264,$A7,'Datos - Temas'!$K$5:$K$1264,"FUERA")-COUNTIFS('Datos - Temas'!$V$5:$V$1264,$A7,'Datos - Temas'!$K$5:$K$1264,"PENDIENTE")</f>
        <v/>
      </c>
      <c r="F7" s="13">
        <f>IF(E7=0,0,D7/E7)</f>
        <v/>
      </c>
      <c r="G7" s="21" t="n">
        <v>0.35</v>
      </c>
      <c r="H7" s="28">
        <f>G7*E7</f>
        <v/>
      </c>
      <c r="I7" s="28">
        <f>H7-D7</f>
        <v/>
      </c>
      <c r="J7" s="32">
        <f>(G7-F7)*100</f>
        <v/>
      </c>
      <c r="K7" s="33">
        <f>IF(ABS(G7-F7)&lt;=$H$2,"En meta",IF(I7&gt;0,"Faltan "&amp;FIXED(I7,0)&amp;" temas","Sobran "&amp;FIXED(-I7,0)&amp;" temas"))</f>
        <v/>
      </c>
      <c r="L7" s="28">
        <f>MAX(D6/G6,D7/G7,D8/G8)</f>
        <v/>
      </c>
      <c r="M7" s="11">
        <f>MAX(0,ROUNDUP(G7*L7-D7,0))</f>
        <v/>
      </c>
      <c r="N7" s="11">
        <f>COUNTIFS('Datos - Temas'!$V$5:$V$1264,$A7,'Datos - Temas'!$K$5:$K$1264,"FUERA")</f>
        <v/>
      </c>
      <c r="O7" s="13">
        <f>ABS(F7-G7)</f>
        <v/>
      </c>
    </row>
    <row r="8">
      <c r="A8" s="11" t="inlineStr">
        <is>
          <t>2°</t>
        </is>
      </c>
      <c r="B8" s="11" t="inlineStr">
        <is>
          <t>TIMSS 2027 4.°</t>
        </is>
      </c>
      <c r="C8" s="11" t="inlineStr">
        <is>
          <t>Ciencias de la Tierra</t>
        </is>
      </c>
      <c r="D8" s="11">
        <f>COUNTIFS('Datos - Temas'!$V$5:$V$1264,$A8,'Datos - Temas'!$M$5:$M$1264,$C8)</f>
        <v/>
      </c>
      <c r="E8" s="11">
        <f>COUNTIFS('Datos - Temas'!$V$5:$V$1264,$A8)-COUNTIFS('Datos - Temas'!$V$5:$V$1264,$A8,'Datos - Temas'!$K$5:$K$1264,"FUERA")-COUNTIFS('Datos - Temas'!$V$5:$V$1264,$A8,'Datos - Temas'!$K$5:$K$1264,"PENDIENTE")</f>
        <v/>
      </c>
      <c r="F8" s="13">
        <f>IF(E8=0,0,D8/E8)</f>
        <v/>
      </c>
      <c r="G8" s="21" t="n">
        <v>0.2</v>
      </c>
      <c r="H8" s="28">
        <f>G8*E8</f>
        <v/>
      </c>
      <c r="I8" s="28">
        <f>H8-D8</f>
        <v/>
      </c>
      <c r="J8" s="32">
        <f>(G8-F8)*100</f>
        <v/>
      </c>
      <c r="K8" s="33">
        <f>IF(ABS(G8-F8)&lt;=$H$2,"En meta",IF(I8&gt;0,"Faltan "&amp;FIXED(I8,0)&amp;" temas","Sobran "&amp;FIXED(-I8,0)&amp;" temas"))</f>
        <v/>
      </c>
      <c r="L8" s="28">
        <f>MAX(D6/G6,D7/G7,D8/G8)</f>
        <v/>
      </c>
      <c r="M8" s="11">
        <f>MAX(0,ROUNDUP(G8*L8-D8,0))</f>
        <v/>
      </c>
      <c r="N8" s="11">
        <f>COUNTIFS('Datos - Temas'!$V$5:$V$1264,$A8,'Datos - Temas'!$K$5:$K$1264,"FUERA")</f>
        <v/>
      </c>
      <c r="O8" s="13">
        <f>ABS(F8-G8)</f>
        <v/>
      </c>
    </row>
    <row r="9">
      <c r="A9" s="23" t="n"/>
      <c r="B9" s="23" t="n"/>
      <c r="C9" s="23" t="inlineStr">
        <is>
          <t>Total del grupo</t>
        </is>
      </c>
      <c r="D9" s="23">
        <f>SUM(D6:D8)</f>
        <v/>
      </c>
      <c r="E9" s="23" t="n"/>
      <c r="F9" s="23" t="n"/>
      <c r="G9" s="34">
        <f>SUM(G6:G8)</f>
        <v/>
      </c>
      <c r="H9" s="23" t="n"/>
      <c r="I9" s="23" t="n"/>
      <c r="J9" s="23" t="n"/>
      <c r="K9" s="23" t="n"/>
      <c r="L9" s="23" t="n"/>
      <c r="M9" s="23">
        <f>SUM(M6:M8)</f>
        <v/>
      </c>
      <c r="N9" s="23" t="n"/>
      <c r="O9" s="24">
        <f>1-SUM(O6:O8)/2</f>
        <v/>
      </c>
    </row>
    <row r="10"/>
    <row r="11">
      <c r="A11" s="11" t="inlineStr">
        <is>
          <t>3°</t>
        </is>
      </c>
      <c r="B11" s="11" t="inlineStr">
        <is>
          <t>TIMSS 2027 4.°</t>
        </is>
      </c>
      <c r="C11" s="11" t="inlineStr">
        <is>
          <t>Biología</t>
        </is>
      </c>
      <c r="D11" s="11">
        <f>COUNTIFS('Datos - Temas'!$V$5:$V$1264,$A11,'Datos - Temas'!$M$5:$M$1264,$C11)</f>
        <v/>
      </c>
      <c r="E11" s="11">
        <f>COUNTIFS('Datos - Temas'!$V$5:$V$1264,$A11)-COUNTIFS('Datos - Temas'!$V$5:$V$1264,$A11,'Datos - Temas'!$K$5:$K$1264,"FUERA")-COUNTIFS('Datos - Temas'!$V$5:$V$1264,$A11,'Datos - Temas'!$K$5:$K$1264,"PENDIENTE")</f>
        <v/>
      </c>
      <c r="F11" s="13">
        <f>IF(E11=0,0,D11/E11)</f>
        <v/>
      </c>
      <c r="G11" s="21" t="n">
        <v>0.45</v>
      </c>
      <c r="H11" s="28">
        <f>G11*E11</f>
        <v/>
      </c>
      <c r="I11" s="28">
        <f>H11-D11</f>
        <v/>
      </c>
      <c r="J11" s="32">
        <f>(G11-F11)*100</f>
        <v/>
      </c>
      <c r="K11" s="33">
        <f>IF(ABS(G11-F11)&lt;=$H$2,"En meta",IF(I11&gt;0,"Faltan "&amp;FIXED(I11,0)&amp;" temas","Sobran "&amp;FIXED(-I11,0)&amp;" temas"))</f>
        <v/>
      </c>
      <c r="L11" s="28">
        <f>MAX(D11/G11,D12/G12,D13/G13)</f>
        <v/>
      </c>
      <c r="M11" s="11">
        <f>MAX(0,ROUNDUP(G11*L11-D11,0))</f>
        <v/>
      </c>
      <c r="N11" s="11">
        <f>COUNTIFS('Datos - Temas'!$V$5:$V$1264,$A11,'Datos - Temas'!$K$5:$K$1264,"FUERA")</f>
        <v/>
      </c>
      <c r="O11" s="13">
        <f>ABS(F11-G11)</f>
        <v/>
      </c>
    </row>
    <row r="12">
      <c r="A12" s="11" t="inlineStr">
        <is>
          <t>3°</t>
        </is>
      </c>
      <c r="B12" s="11" t="inlineStr">
        <is>
          <t>TIMSS 2027 4.°</t>
        </is>
      </c>
      <c r="C12" s="11" t="inlineStr">
        <is>
          <t>Ciencias físicas</t>
        </is>
      </c>
      <c r="D12" s="11">
        <f>COUNTIFS('Datos - Temas'!$V$5:$V$1264,$A12,'Datos - Temas'!$M$5:$M$1264,$C12)</f>
        <v/>
      </c>
      <c r="E12" s="11">
        <f>COUNTIFS('Datos - Temas'!$V$5:$V$1264,$A12)-COUNTIFS('Datos - Temas'!$V$5:$V$1264,$A12,'Datos - Temas'!$K$5:$K$1264,"FUERA")-COUNTIFS('Datos - Temas'!$V$5:$V$1264,$A12,'Datos - Temas'!$K$5:$K$1264,"PENDIENTE")</f>
        <v/>
      </c>
      <c r="F12" s="13">
        <f>IF(E12=0,0,D12/E12)</f>
        <v/>
      </c>
      <c r="G12" s="21" t="n">
        <v>0.35</v>
      </c>
      <c r="H12" s="28">
        <f>G12*E12</f>
        <v/>
      </c>
      <c r="I12" s="28">
        <f>H12-D12</f>
        <v/>
      </c>
      <c r="J12" s="32">
        <f>(G12-F12)*100</f>
        <v/>
      </c>
      <c r="K12" s="33">
        <f>IF(ABS(G12-F12)&lt;=$H$2,"En meta",IF(I12&gt;0,"Faltan "&amp;FIXED(I12,0)&amp;" temas","Sobran "&amp;FIXED(-I12,0)&amp;" temas"))</f>
        <v/>
      </c>
      <c r="L12" s="28">
        <f>MAX(D11/G11,D12/G12,D13/G13)</f>
        <v/>
      </c>
      <c r="M12" s="11">
        <f>MAX(0,ROUNDUP(G12*L12-D12,0))</f>
        <v/>
      </c>
      <c r="N12" s="11">
        <f>COUNTIFS('Datos - Temas'!$V$5:$V$1264,$A12,'Datos - Temas'!$K$5:$K$1264,"FUERA")</f>
        <v/>
      </c>
      <c r="O12" s="13">
        <f>ABS(F12-G12)</f>
        <v/>
      </c>
    </row>
    <row r="13">
      <c r="A13" s="11" t="inlineStr">
        <is>
          <t>3°</t>
        </is>
      </c>
      <c r="B13" s="11" t="inlineStr">
        <is>
          <t>TIMSS 2027 4.°</t>
        </is>
      </c>
      <c r="C13" s="11" t="inlineStr">
        <is>
          <t>Ciencias de la Tierra</t>
        </is>
      </c>
      <c r="D13" s="11">
        <f>COUNTIFS('Datos - Temas'!$V$5:$V$1264,$A13,'Datos - Temas'!$M$5:$M$1264,$C13)</f>
        <v/>
      </c>
      <c r="E13" s="11">
        <f>COUNTIFS('Datos - Temas'!$V$5:$V$1264,$A13)-COUNTIFS('Datos - Temas'!$V$5:$V$1264,$A13,'Datos - Temas'!$K$5:$K$1264,"FUERA")-COUNTIFS('Datos - Temas'!$V$5:$V$1264,$A13,'Datos - Temas'!$K$5:$K$1264,"PENDIENTE")</f>
        <v/>
      </c>
      <c r="F13" s="13">
        <f>IF(E13=0,0,D13/E13)</f>
        <v/>
      </c>
      <c r="G13" s="21" t="n">
        <v>0.2</v>
      </c>
      <c r="H13" s="28">
        <f>G13*E13</f>
        <v/>
      </c>
      <c r="I13" s="28">
        <f>H13-D13</f>
        <v/>
      </c>
      <c r="J13" s="32">
        <f>(G13-F13)*100</f>
        <v/>
      </c>
      <c r="K13" s="33">
        <f>IF(ABS(G13-F13)&lt;=$H$2,"En meta",IF(I13&gt;0,"Faltan "&amp;FIXED(I13,0)&amp;" temas","Sobran "&amp;FIXED(-I13,0)&amp;" temas"))</f>
        <v/>
      </c>
      <c r="L13" s="28">
        <f>MAX(D11/G11,D12/G12,D13/G13)</f>
        <v/>
      </c>
      <c r="M13" s="11">
        <f>MAX(0,ROUNDUP(G13*L13-D13,0))</f>
        <v/>
      </c>
      <c r="N13" s="11">
        <f>COUNTIFS('Datos - Temas'!$V$5:$V$1264,$A13,'Datos - Temas'!$K$5:$K$1264,"FUERA")</f>
        <v/>
      </c>
      <c r="O13" s="13">
        <f>ABS(F13-G13)</f>
        <v/>
      </c>
    </row>
    <row r="14">
      <c r="A14" s="23" t="n"/>
      <c r="B14" s="23" t="n"/>
      <c r="C14" s="23" t="inlineStr">
        <is>
          <t>Total del grupo</t>
        </is>
      </c>
      <c r="D14" s="23">
        <f>SUM(D11:D13)</f>
        <v/>
      </c>
      <c r="E14" s="23" t="n"/>
      <c r="F14" s="23" t="n"/>
      <c r="G14" s="34">
        <f>SUM(G11:G13)</f>
        <v/>
      </c>
      <c r="H14" s="23" t="n"/>
      <c r="I14" s="23" t="n"/>
      <c r="J14" s="23" t="n"/>
      <c r="K14" s="23" t="n"/>
      <c r="L14" s="23" t="n"/>
      <c r="M14" s="23">
        <f>SUM(M11:M13)</f>
        <v/>
      </c>
      <c r="N14" s="23" t="n"/>
      <c r="O14" s="24">
        <f>1-SUM(O11:O13)/2</f>
        <v/>
      </c>
    </row>
    <row r="15"/>
    <row r="16">
      <c r="A16" s="11" t="inlineStr">
        <is>
          <t>4°</t>
        </is>
      </c>
      <c r="B16" s="11" t="inlineStr">
        <is>
          <t>TIMSS 2027 4.°</t>
        </is>
      </c>
      <c r="C16" s="11" t="inlineStr">
        <is>
          <t>Biología</t>
        </is>
      </c>
      <c r="D16" s="11">
        <f>COUNTIFS('Datos - Temas'!$V$5:$V$1264,$A16,'Datos - Temas'!$M$5:$M$1264,$C16)</f>
        <v/>
      </c>
      <c r="E16" s="11">
        <f>COUNTIFS('Datos - Temas'!$V$5:$V$1264,$A16)-COUNTIFS('Datos - Temas'!$V$5:$V$1264,$A16,'Datos - Temas'!$K$5:$K$1264,"FUERA")-COUNTIFS('Datos - Temas'!$V$5:$V$1264,$A16,'Datos - Temas'!$K$5:$K$1264,"PENDIENTE")</f>
        <v/>
      </c>
      <c r="F16" s="13">
        <f>IF(E16=0,0,D16/E16)</f>
        <v/>
      </c>
      <c r="G16" s="21" t="n">
        <v>0.45</v>
      </c>
      <c r="H16" s="28">
        <f>G16*E16</f>
        <v/>
      </c>
      <c r="I16" s="28">
        <f>H16-D16</f>
        <v/>
      </c>
      <c r="J16" s="32">
        <f>(G16-F16)*100</f>
        <v/>
      </c>
      <c r="K16" s="33">
        <f>IF(ABS(G16-F16)&lt;=$H$2,"En meta",IF(I16&gt;0,"Faltan "&amp;FIXED(I16,0)&amp;" temas","Sobran "&amp;FIXED(-I16,0)&amp;" temas"))</f>
        <v/>
      </c>
      <c r="L16" s="28">
        <f>MAX(D16/G16,D17/G17,D18/G18)</f>
        <v/>
      </c>
      <c r="M16" s="11">
        <f>MAX(0,ROUNDUP(G16*L16-D16,0))</f>
        <v/>
      </c>
      <c r="N16" s="11">
        <f>COUNTIFS('Datos - Temas'!$V$5:$V$1264,$A16,'Datos - Temas'!$K$5:$K$1264,"FUERA")</f>
        <v/>
      </c>
      <c r="O16" s="13">
        <f>ABS(F16-G16)</f>
        <v/>
      </c>
    </row>
    <row r="17">
      <c r="A17" s="11" t="inlineStr">
        <is>
          <t>4°</t>
        </is>
      </c>
      <c r="B17" s="11" t="inlineStr">
        <is>
          <t>TIMSS 2027 4.°</t>
        </is>
      </c>
      <c r="C17" s="11" t="inlineStr">
        <is>
          <t>Ciencias físicas</t>
        </is>
      </c>
      <c r="D17" s="11">
        <f>COUNTIFS('Datos - Temas'!$V$5:$V$1264,$A17,'Datos - Temas'!$M$5:$M$1264,$C17)</f>
        <v/>
      </c>
      <c r="E17" s="11">
        <f>COUNTIFS('Datos - Temas'!$V$5:$V$1264,$A17)-COUNTIFS('Datos - Temas'!$V$5:$V$1264,$A17,'Datos - Temas'!$K$5:$K$1264,"FUERA")-COUNTIFS('Datos - Temas'!$V$5:$V$1264,$A17,'Datos - Temas'!$K$5:$K$1264,"PENDIENTE")</f>
        <v/>
      </c>
      <c r="F17" s="13">
        <f>IF(E17=0,0,D17/E17)</f>
        <v/>
      </c>
      <c r="G17" s="21" t="n">
        <v>0.35</v>
      </c>
      <c r="H17" s="28">
        <f>G17*E17</f>
        <v/>
      </c>
      <c r="I17" s="28">
        <f>H17-D17</f>
        <v/>
      </c>
      <c r="J17" s="32">
        <f>(G17-F17)*100</f>
        <v/>
      </c>
      <c r="K17" s="33">
        <f>IF(ABS(G17-F17)&lt;=$H$2,"En meta",IF(I17&gt;0,"Faltan "&amp;FIXED(I17,0)&amp;" temas","Sobran "&amp;FIXED(-I17,0)&amp;" temas"))</f>
        <v/>
      </c>
      <c r="L17" s="28">
        <f>MAX(D16/G16,D17/G17,D18/G18)</f>
        <v/>
      </c>
      <c r="M17" s="11">
        <f>MAX(0,ROUNDUP(G17*L17-D17,0))</f>
        <v/>
      </c>
      <c r="N17" s="11">
        <f>COUNTIFS('Datos - Temas'!$V$5:$V$1264,$A17,'Datos - Temas'!$K$5:$K$1264,"FUERA")</f>
        <v/>
      </c>
      <c r="O17" s="13">
        <f>ABS(F17-G17)</f>
        <v/>
      </c>
    </row>
    <row r="18">
      <c r="A18" s="11" t="inlineStr">
        <is>
          <t>4°</t>
        </is>
      </c>
      <c r="B18" s="11" t="inlineStr">
        <is>
          <t>TIMSS 2027 4.°</t>
        </is>
      </c>
      <c r="C18" s="11" t="inlineStr">
        <is>
          <t>Ciencias de la Tierra</t>
        </is>
      </c>
      <c r="D18" s="11">
        <f>COUNTIFS('Datos - Temas'!$V$5:$V$1264,$A18,'Datos - Temas'!$M$5:$M$1264,$C18)</f>
        <v/>
      </c>
      <c r="E18" s="11">
        <f>COUNTIFS('Datos - Temas'!$V$5:$V$1264,$A18)-COUNTIFS('Datos - Temas'!$V$5:$V$1264,$A18,'Datos - Temas'!$K$5:$K$1264,"FUERA")-COUNTIFS('Datos - Temas'!$V$5:$V$1264,$A18,'Datos - Temas'!$K$5:$K$1264,"PENDIENTE")</f>
        <v/>
      </c>
      <c r="F18" s="13">
        <f>IF(E18=0,0,D18/E18)</f>
        <v/>
      </c>
      <c r="G18" s="21" t="n">
        <v>0.2</v>
      </c>
      <c r="H18" s="28">
        <f>G18*E18</f>
        <v/>
      </c>
      <c r="I18" s="28">
        <f>H18-D18</f>
        <v/>
      </c>
      <c r="J18" s="32">
        <f>(G18-F18)*100</f>
        <v/>
      </c>
      <c r="K18" s="33">
        <f>IF(ABS(G18-F18)&lt;=$H$2,"En meta",IF(I18&gt;0,"Faltan "&amp;FIXED(I18,0)&amp;" temas","Sobran "&amp;FIXED(-I18,0)&amp;" temas"))</f>
        <v/>
      </c>
      <c r="L18" s="28">
        <f>MAX(D16/G16,D17/G17,D18/G18)</f>
        <v/>
      </c>
      <c r="M18" s="11">
        <f>MAX(0,ROUNDUP(G18*L18-D18,0))</f>
        <v/>
      </c>
      <c r="N18" s="11">
        <f>COUNTIFS('Datos - Temas'!$V$5:$V$1264,$A18,'Datos - Temas'!$K$5:$K$1264,"FUERA")</f>
        <v/>
      </c>
      <c r="O18" s="13">
        <f>ABS(F18-G18)</f>
        <v/>
      </c>
    </row>
    <row r="19">
      <c r="A19" s="23" t="n"/>
      <c r="B19" s="23" t="n"/>
      <c r="C19" s="23" t="inlineStr">
        <is>
          <t>Total del grupo</t>
        </is>
      </c>
      <c r="D19" s="23">
        <f>SUM(D16:D18)</f>
        <v/>
      </c>
      <c r="E19" s="23" t="n"/>
      <c r="F19" s="23" t="n"/>
      <c r="G19" s="34">
        <f>SUM(G16:G18)</f>
        <v/>
      </c>
      <c r="H19" s="23" t="n"/>
      <c r="I19" s="23" t="n"/>
      <c r="J19" s="23" t="n"/>
      <c r="K19" s="23" t="n"/>
      <c r="L19" s="23" t="n"/>
      <c r="M19" s="23">
        <f>SUM(M16:M18)</f>
        <v/>
      </c>
      <c r="N19" s="23" t="n"/>
      <c r="O19" s="24">
        <f>1-SUM(O16:O18)/2</f>
        <v/>
      </c>
    </row>
    <row r="20"/>
    <row r="21">
      <c r="A21" s="11" t="inlineStr">
        <is>
          <t>5°</t>
        </is>
      </c>
      <c r="B21" s="11" t="inlineStr">
        <is>
          <t>TIMSS 2027 8.°</t>
        </is>
      </c>
      <c r="C21" s="11" t="inlineStr">
        <is>
          <t>Biología</t>
        </is>
      </c>
      <c r="D21" s="11">
        <f>COUNTIFS('Datos - Temas'!$V$5:$V$1264,$A21,'Datos - Temas'!$M$5:$M$1264,$C21)</f>
        <v/>
      </c>
      <c r="E21" s="11">
        <f>COUNTIFS('Datos - Temas'!$V$5:$V$1264,$A21)-COUNTIFS('Datos - Temas'!$V$5:$V$1264,$A21,'Datos - Temas'!$K$5:$K$1264,"FUERA")-COUNTIFS('Datos - Temas'!$V$5:$V$1264,$A21,'Datos - Temas'!$K$5:$K$1264,"PENDIENTE")</f>
        <v/>
      </c>
      <c r="F21" s="13">
        <f>IF(E21=0,0,D21/E21)</f>
        <v/>
      </c>
      <c r="G21" s="21" t="n">
        <v>0.35</v>
      </c>
      <c r="H21" s="28">
        <f>G21*E21</f>
        <v/>
      </c>
      <c r="I21" s="28">
        <f>H21-D21</f>
        <v/>
      </c>
      <c r="J21" s="32">
        <f>(G21-F21)*100</f>
        <v/>
      </c>
      <c r="K21" s="33">
        <f>IF(ABS(G21-F21)&lt;=$H$2,"En meta",IF(I21&gt;0,"Faltan "&amp;FIXED(I21,0)&amp;" temas","Sobran "&amp;FIXED(-I21,0)&amp;" temas"))</f>
        <v/>
      </c>
      <c r="L21" s="28">
        <f>MAX(D21/G21,D22/G22,D23/G23,D24/G24)</f>
        <v/>
      </c>
      <c r="M21" s="11">
        <f>MAX(0,ROUNDUP(G21*L21-D21,0))</f>
        <v/>
      </c>
      <c r="N21" s="11">
        <f>COUNTIFS('Datos - Temas'!$V$5:$V$1264,$A21,'Datos - Temas'!$K$5:$K$1264,"FUERA")</f>
        <v/>
      </c>
      <c r="O21" s="13">
        <f>ABS(F21-G21)</f>
        <v/>
      </c>
    </row>
    <row r="22">
      <c r="A22" s="11" t="inlineStr">
        <is>
          <t>5°</t>
        </is>
      </c>
      <c r="B22" s="11" t="inlineStr">
        <is>
          <t>TIMSS 2027 8.°</t>
        </is>
      </c>
      <c r="C22" s="11" t="inlineStr">
        <is>
          <t>Química</t>
        </is>
      </c>
      <c r="D22" s="11">
        <f>COUNTIFS('Datos - Temas'!$V$5:$V$1264,$A22,'Datos - Temas'!$M$5:$M$1264,$C22)</f>
        <v/>
      </c>
      <c r="E22" s="11">
        <f>COUNTIFS('Datos - Temas'!$V$5:$V$1264,$A22)-COUNTIFS('Datos - Temas'!$V$5:$V$1264,$A22,'Datos - Temas'!$K$5:$K$1264,"FUERA")-COUNTIFS('Datos - Temas'!$V$5:$V$1264,$A22,'Datos - Temas'!$K$5:$K$1264,"PENDIENTE")</f>
        <v/>
      </c>
      <c r="F22" s="13">
        <f>IF(E22=0,0,D22/E22)</f>
        <v/>
      </c>
      <c r="G22" s="21" t="n">
        <v>0.2</v>
      </c>
      <c r="H22" s="28">
        <f>G22*E22</f>
        <v/>
      </c>
      <c r="I22" s="28">
        <f>H22-D22</f>
        <v/>
      </c>
      <c r="J22" s="32">
        <f>(G22-F22)*100</f>
        <v/>
      </c>
      <c r="K22" s="33">
        <f>IF(ABS(G22-F22)&lt;=$H$2,"En meta",IF(I22&gt;0,"Faltan "&amp;FIXED(I22,0)&amp;" temas","Sobran "&amp;FIXED(-I22,0)&amp;" temas"))</f>
        <v/>
      </c>
      <c r="L22" s="28">
        <f>MAX(D21/G21,D22/G22,D23/G23,D24/G24)</f>
        <v/>
      </c>
      <c r="M22" s="11">
        <f>MAX(0,ROUNDUP(G22*L22-D22,0))</f>
        <v/>
      </c>
      <c r="N22" s="11">
        <f>COUNTIFS('Datos - Temas'!$V$5:$V$1264,$A22,'Datos - Temas'!$K$5:$K$1264,"FUERA")</f>
        <v/>
      </c>
      <c r="O22" s="13">
        <f>ABS(F22-G22)</f>
        <v/>
      </c>
    </row>
    <row r="23">
      <c r="A23" s="11" t="inlineStr">
        <is>
          <t>5°</t>
        </is>
      </c>
      <c r="B23" s="11" t="inlineStr">
        <is>
          <t>TIMSS 2027 8.°</t>
        </is>
      </c>
      <c r="C23" s="11" t="inlineStr">
        <is>
          <t>Física</t>
        </is>
      </c>
      <c r="D23" s="11">
        <f>COUNTIFS('Datos - Temas'!$V$5:$V$1264,$A23,'Datos - Temas'!$M$5:$M$1264,$C23)</f>
        <v/>
      </c>
      <c r="E23" s="11">
        <f>COUNTIFS('Datos - Temas'!$V$5:$V$1264,$A23)-COUNTIFS('Datos - Temas'!$V$5:$V$1264,$A23,'Datos - Temas'!$K$5:$K$1264,"FUERA")-COUNTIFS('Datos - Temas'!$V$5:$V$1264,$A23,'Datos - Temas'!$K$5:$K$1264,"PENDIENTE")</f>
        <v/>
      </c>
      <c r="F23" s="13">
        <f>IF(E23=0,0,D23/E23)</f>
        <v/>
      </c>
      <c r="G23" s="21" t="n">
        <v>0.25</v>
      </c>
      <c r="H23" s="28">
        <f>G23*E23</f>
        <v/>
      </c>
      <c r="I23" s="28">
        <f>H23-D23</f>
        <v/>
      </c>
      <c r="J23" s="32">
        <f>(G23-F23)*100</f>
        <v/>
      </c>
      <c r="K23" s="33">
        <f>IF(ABS(G23-F23)&lt;=$H$2,"En meta",IF(I23&gt;0,"Faltan "&amp;FIXED(I23,0)&amp;" temas","Sobran "&amp;FIXED(-I23,0)&amp;" temas"))</f>
        <v/>
      </c>
      <c r="L23" s="28">
        <f>MAX(D21/G21,D22/G22,D23/G23,D24/G24)</f>
        <v/>
      </c>
      <c r="M23" s="11">
        <f>MAX(0,ROUNDUP(G23*L23-D23,0))</f>
        <v/>
      </c>
      <c r="N23" s="11">
        <f>COUNTIFS('Datos - Temas'!$V$5:$V$1264,$A23,'Datos - Temas'!$K$5:$K$1264,"FUERA")</f>
        <v/>
      </c>
      <c r="O23" s="13">
        <f>ABS(F23-G23)</f>
        <v/>
      </c>
    </row>
    <row r="24">
      <c r="A24" s="11" t="inlineStr">
        <is>
          <t>5°</t>
        </is>
      </c>
      <c r="B24" s="11" t="inlineStr">
        <is>
          <t>TIMSS 2027 8.°</t>
        </is>
      </c>
      <c r="C24" s="11" t="inlineStr">
        <is>
          <t>Ciencias de la Tierra</t>
        </is>
      </c>
      <c r="D24" s="11">
        <f>COUNTIFS('Datos - Temas'!$V$5:$V$1264,$A24,'Datos - Temas'!$M$5:$M$1264,$C24)</f>
        <v/>
      </c>
      <c r="E24" s="11">
        <f>COUNTIFS('Datos - Temas'!$V$5:$V$1264,$A24)-COUNTIFS('Datos - Temas'!$V$5:$V$1264,$A24,'Datos - Temas'!$K$5:$K$1264,"FUERA")-COUNTIFS('Datos - Temas'!$V$5:$V$1264,$A24,'Datos - Temas'!$K$5:$K$1264,"PENDIENTE")</f>
        <v/>
      </c>
      <c r="F24" s="13">
        <f>IF(E24=0,0,D24/E24)</f>
        <v/>
      </c>
      <c r="G24" s="21" t="n">
        <v>0.2</v>
      </c>
      <c r="H24" s="28">
        <f>G24*E24</f>
        <v/>
      </c>
      <c r="I24" s="28">
        <f>H24-D24</f>
        <v/>
      </c>
      <c r="J24" s="32">
        <f>(G24-F24)*100</f>
        <v/>
      </c>
      <c r="K24" s="33">
        <f>IF(ABS(G24-F24)&lt;=$H$2,"En meta",IF(I24&gt;0,"Faltan "&amp;FIXED(I24,0)&amp;" temas","Sobran "&amp;FIXED(-I24,0)&amp;" temas"))</f>
        <v/>
      </c>
      <c r="L24" s="28">
        <f>MAX(D21/G21,D22/G22,D23/G23,D24/G24)</f>
        <v/>
      </c>
      <c r="M24" s="11">
        <f>MAX(0,ROUNDUP(G24*L24-D24,0))</f>
        <v/>
      </c>
      <c r="N24" s="11">
        <f>COUNTIFS('Datos - Temas'!$V$5:$V$1264,$A24,'Datos - Temas'!$K$5:$K$1264,"FUERA")</f>
        <v/>
      </c>
      <c r="O24" s="13">
        <f>ABS(F24-G24)</f>
        <v/>
      </c>
    </row>
    <row r="25">
      <c r="A25" s="23" t="n"/>
      <c r="B25" s="23" t="n"/>
      <c r="C25" s="23" t="inlineStr">
        <is>
          <t>Total del grupo</t>
        </is>
      </c>
      <c r="D25" s="23">
        <f>SUM(D21:D24)</f>
        <v/>
      </c>
      <c r="E25" s="23" t="n"/>
      <c r="F25" s="23" t="n"/>
      <c r="G25" s="34">
        <f>SUM(G21:G24)</f>
        <v/>
      </c>
      <c r="H25" s="23" t="n"/>
      <c r="I25" s="23" t="n"/>
      <c r="J25" s="23" t="n"/>
      <c r="K25" s="23" t="n"/>
      <c r="L25" s="23" t="n"/>
      <c r="M25" s="23">
        <f>SUM(M21:M24)</f>
        <v/>
      </c>
      <c r="N25" s="23" t="n"/>
      <c r="O25" s="24">
        <f>1-SUM(O21:O24)/2</f>
        <v/>
      </c>
    </row>
    <row r="26"/>
    <row r="27">
      <c r="A27" s="11" t="inlineStr">
        <is>
          <t>6°</t>
        </is>
      </c>
      <c r="B27" s="11" t="inlineStr">
        <is>
          <t>TIMSS 2027 8.°</t>
        </is>
      </c>
      <c r="C27" s="11" t="inlineStr">
        <is>
          <t>Biología</t>
        </is>
      </c>
      <c r="D27" s="11">
        <f>COUNTIFS('Datos - Temas'!$V$5:$V$1264,$A27,'Datos - Temas'!$M$5:$M$1264,$C27)</f>
        <v/>
      </c>
      <c r="E27" s="11">
        <f>COUNTIFS('Datos - Temas'!$V$5:$V$1264,$A27)-COUNTIFS('Datos - Temas'!$V$5:$V$1264,$A27,'Datos - Temas'!$K$5:$K$1264,"FUERA")-COUNTIFS('Datos - Temas'!$V$5:$V$1264,$A27,'Datos - Temas'!$K$5:$K$1264,"PENDIENTE")</f>
        <v/>
      </c>
      <c r="F27" s="13">
        <f>IF(E27=0,0,D27/E27)</f>
        <v/>
      </c>
      <c r="G27" s="21" t="n">
        <v>0.35</v>
      </c>
      <c r="H27" s="28">
        <f>G27*E27</f>
        <v/>
      </c>
      <c r="I27" s="28">
        <f>H27-D27</f>
        <v/>
      </c>
      <c r="J27" s="32">
        <f>(G27-F27)*100</f>
        <v/>
      </c>
      <c r="K27" s="33">
        <f>IF(ABS(G27-F27)&lt;=$H$2,"En meta",IF(I27&gt;0,"Faltan "&amp;FIXED(I27,0)&amp;" temas","Sobran "&amp;FIXED(-I27,0)&amp;" temas"))</f>
        <v/>
      </c>
      <c r="L27" s="28">
        <f>MAX(D27/G27,D28/G28,D29/G29,D30/G30)</f>
        <v/>
      </c>
      <c r="M27" s="11">
        <f>MAX(0,ROUNDUP(G27*L27-D27,0))</f>
        <v/>
      </c>
      <c r="N27" s="11">
        <f>COUNTIFS('Datos - Temas'!$V$5:$V$1264,$A27,'Datos - Temas'!$K$5:$K$1264,"FUERA")</f>
        <v/>
      </c>
      <c r="O27" s="13">
        <f>ABS(F27-G27)</f>
        <v/>
      </c>
    </row>
    <row r="28">
      <c r="A28" s="11" t="inlineStr">
        <is>
          <t>6°</t>
        </is>
      </c>
      <c r="B28" s="11" t="inlineStr">
        <is>
          <t>TIMSS 2027 8.°</t>
        </is>
      </c>
      <c r="C28" s="11" t="inlineStr">
        <is>
          <t>Química</t>
        </is>
      </c>
      <c r="D28" s="11">
        <f>COUNTIFS('Datos - Temas'!$V$5:$V$1264,$A28,'Datos - Temas'!$M$5:$M$1264,$C28)</f>
        <v/>
      </c>
      <c r="E28" s="11">
        <f>COUNTIFS('Datos - Temas'!$V$5:$V$1264,$A28)-COUNTIFS('Datos - Temas'!$V$5:$V$1264,$A28,'Datos - Temas'!$K$5:$K$1264,"FUERA")-COUNTIFS('Datos - Temas'!$V$5:$V$1264,$A28,'Datos - Temas'!$K$5:$K$1264,"PENDIENTE")</f>
        <v/>
      </c>
      <c r="F28" s="13">
        <f>IF(E28=0,0,D28/E28)</f>
        <v/>
      </c>
      <c r="G28" s="21" t="n">
        <v>0.2</v>
      </c>
      <c r="H28" s="28">
        <f>G28*E28</f>
        <v/>
      </c>
      <c r="I28" s="28">
        <f>H28-D28</f>
        <v/>
      </c>
      <c r="J28" s="32">
        <f>(G28-F28)*100</f>
        <v/>
      </c>
      <c r="K28" s="33">
        <f>IF(ABS(G28-F28)&lt;=$H$2,"En meta",IF(I28&gt;0,"Faltan "&amp;FIXED(I28,0)&amp;" temas","Sobran "&amp;FIXED(-I28,0)&amp;" temas"))</f>
        <v/>
      </c>
      <c r="L28" s="28">
        <f>MAX(D27/G27,D28/G28,D29/G29,D30/G30)</f>
        <v/>
      </c>
      <c r="M28" s="11">
        <f>MAX(0,ROUNDUP(G28*L28-D28,0))</f>
        <v/>
      </c>
      <c r="N28" s="11">
        <f>COUNTIFS('Datos - Temas'!$V$5:$V$1264,$A28,'Datos - Temas'!$K$5:$K$1264,"FUERA")</f>
        <v/>
      </c>
      <c r="O28" s="13">
        <f>ABS(F28-G28)</f>
        <v/>
      </c>
    </row>
    <row r="29">
      <c r="A29" s="11" t="inlineStr">
        <is>
          <t>6°</t>
        </is>
      </c>
      <c r="B29" s="11" t="inlineStr">
        <is>
          <t>TIMSS 2027 8.°</t>
        </is>
      </c>
      <c r="C29" s="11" t="inlineStr">
        <is>
          <t>Física</t>
        </is>
      </c>
      <c r="D29" s="11">
        <f>COUNTIFS('Datos - Temas'!$V$5:$V$1264,$A29,'Datos - Temas'!$M$5:$M$1264,$C29)</f>
        <v/>
      </c>
      <c r="E29" s="11">
        <f>COUNTIFS('Datos - Temas'!$V$5:$V$1264,$A29)-COUNTIFS('Datos - Temas'!$V$5:$V$1264,$A29,'Datos - Temas'!$K$5:$K$1264,"FUERA")-COUNTIFS('Datos - Temas'!$V$5:$V$1264,$A29,'Datos - Temas'!$K$5:$K$1264,"PENDIENTE")</f>
        <v/>
      </c>
      <c r="F29" s="13">
        <f>IF(E29=0,0,D29/E29)</f>
        <v/>
      </c>
      <c r="G29" s="21" t="n">
        <v>0.25</v>
      </c>
      <c r="H29" s="28">
        <f>G29*E29</f>
        <v/>
      </c>
      <c r="I29" s="28">
        <f>H29-D29</f>
        <v/>
      </c>
      <c r="J29" s="32">
        <f>(G29-F29)*100</f>
        <v/>
      </c>
      <c r="K29" s="33">
        <f>IF(ABS(G29-F29)&lt;=$H$2,"En meta",IF(I29&gt;0,"Faltan "&amp;FIXED(I29,0)&amp;" temas","Sobran "&amp;FIXED(-I29,0)&amp;" temas"))</f>
        <v/>
      </c>
      <c r="L29" s="28">
        <f>MAX(D27/G27,D28/G28,D29/G29,D30/G30)</f>
        <v/>
      </c>
      <c r="M29" s="11">
        <f>MAX(0,ROUNDUP(G29*L29-D29,0))</f>
        <v/>
      </c>
      <c r="N29" s="11">
        <f>COUNTIFS('Datos - Temas'!$V$5:$V$1264,$A29,'Datos - Temas'!$K$5:$K$1264,"FUERA")</f>
        <v/>
      </c>
      <c r="O29" s="13">
        <f>ABS(F29-G29)</f>
        <v/>
      </c>
    </row>
    <row r="30">
      <c r="A30" s="11" t="inlineStr">
        <is>
          <t>6°</t>
        </is>
      </c>
      <c r="B30" s="11" t="inlineStr">
        <is>
          <t>TIMSS 2027 8.°</t>
        </is>
      </c>
      <c r="C30" s="11" t="inlineStr">
        <is>
          <t>Ciencias de la Tierra</t>
        </is>
      </c>
      <c r="D30" s="11">
        <f>COUNTIFS('Datos - Temas'!$V$5:$V$1264,$A30,'Datos - Temas'!$M$5:$M$1264,$C30)</f>
        <v/>
      </c>
      <c r="E30" s="11">
        <f>COUNTIFS('Datos - Temas'!$V$5:$V$1264,$A30)-COUNTIFS('Datos - Temas'!$V$5:$V$1264,$A30,'Datos - Temas'!$K$5:$K$1264,"FUERA")-COUNTIFS('Datos - Temas'!$V$5:$V$1264,$A30,'Datos - Temas'!$K$5:$K$1264,"PENDIENTE")</f>
        <v/>
      </c>
      <c r="F30" s="13">
        <f>IF(E30=0,0,D30/E30)</f>
        <v/>
      </c>
      <c r="G30" s="21" t="n">
        <v>0.2</v>
      </c>
      <c r="H30" s="28">
        <f>G30*E30</f>
        <v/>
      </c>
      <c r="I30" s="28">
        <f>H30-D30</f>
        <v/>
      </c>
      <c r="J30" s="32">
        <f>(G30-F30)*100</f>
        <v/>
      </c>
      <c r="K30" s="33">
        <f>IF(ABS(G30-F30)&lt;=$H$2,"En meta",IF(I30&gt;0,"Faltan "&amp;FIXED(I30,0)&amp;" temas","Sobran "&amp;FIXED(-I30,0)&amp;" temas"))</f>
        <v/>
      </c>
      <c r="L30" s="28">
        <f>MAX(D27/G27,D28/G28,D29/G29,D30/G30)</f>
        <v/>
      </c>
      <c r="M30" s="11">
        <f>MAX(0,ROUNDUP(G30*L30-D30,0))</f>
        <v/>
      </c>
      <c r="N30" s="11">
        <f>COUNTIFS('Datos - Temas'!$V$5:$V$1264,$A30,'Datos - Temas'!$K$5:$K$1264,"FUERA")</f>
        <v/>
      </c>
      <c r="O30" s="13">
        <f>ABS(F30-G30)</f>
        <v/>
      </c>
    </row>
    <row r="31">
      <c r="A31" s="23" t="n"/>
      <c r="B31" s="23" t="n"/>
      <c r="C31" s="23" t="inlineStr">
        <is>
          <t>Total del grupo</t>
        </is>
      </c>
      <c r="D31" s="23">
        <f>SUM(D27:D30)</f>
        <v/>
      </c>
      <c r="E31" s="23" t="n"/>
      <c r="F31" s="23" t="n"/>
      <c r="G31" s="34">
        <f>SUM(G27:G30)</f>
        <v/>
      </c>
      <c r="H31" s="23" t="n"/>
      <c r="I31" s="23" t="n"/>
      <c r="J31" s="23" t="n"/>
      <c r="K31" s="23" t="n"/>
      <c r="L31" s="23" t="n"/>
      <c r="M31" s="23">
        <f>SUM(M27:M30)</f>
        <v/>
      </c>
      <c r="N31" s="23" t="n"/>
      <c r="O31" s="24">
        <f>1-SUM(O27:O30)/2</f>
        <v/>
      </c>
    </row>
    <row r="32"/>
    <row r="33">
      <c r="A33" s="11" t="inlineStr">
        <is>
          <t>7°</t>
        </is>
      </c>
      <c r="B33" s="11" t="inlineStr">
        <is>
          <t>TIMSS 2027 8.°</t>
        </is>
      </c>
      <c r="C33" s="11" t="inlineStr">
        <is>
          <t>Biología</t>
        </is>
      </c>
      <c r="D33" s="11">
        <f>COUNTIFS('Datos - Temas'!$V$5:$V$1264,$A33,'Datos - Temas'!$M$5:$M$1264,$C33)</f>
        <v/>
      </c>
      <c r="E33" s="11">
        <f>COUNTIFS('Datos - Temas'!$V$5:$V$1264,$A33)-COUNTIFS('Datos - Temas'!$V$5:$V$1264,$A33,'Datos - Temas'!$K$5:$K$1264,"FUERA")-COUNTIFS('Datos - Temas'!$V$5:$V$1264,$A33,'Datos - Temas'!$K$5:$K$1264,"PENDIENTE")</f>
        <v/>
      </c>
      <c r="F33" s="13">
        <f>IF(E33=0,0,D33/E33)</f>
        <v/>
      </c>
      <c r="G33" s="21" t="n">
        <v>0.35</v>
      </c>
      <c r="H33" s="28">
        <f>G33*E33</f>
        <v/>
      </c>
      <c r="I33" s="28">
        <f>H33-D33</f>
        <v/>
      </c>
      <c r="J33" s="32">
        <f>(G33-F33)*100</f>
        <v/>
      </c>
      <c r="K33" s="33">
        <f>IF(ABS(G33-F33)&lt;=$H$2,"En meta",IF(I33&gt;0,"Faltan "&amp;FIXED(I33,0)&amp;" temas","Sobran "&amp;FIXED(-I33,0)&amp;" temas"))</f>
        <v/>
      </c>
      <c r="L33" s="28">
        <f>MAX(D33/G33,D34/G34,D35/G35,D36/G36)</f>
        <v/>
      </c>
      <c r="M33" s="11">
        <f>MAX(0,ROUNDUP(G33*L33-D33,0))</f>
        <v/>
      </c>
      <c r="N33" s="11">
        <f>COUNTIFS('Datos - Temas'!$V$5:$V$1264,$A33,'Datos - Temas'!$K$5:$K$1264,"FUERA")</f>
        <v/>
      </c>
      <c r="O33" s="13">
        <f>ABS(F33-G33)</f>
        <v/>
      </c>
    </row>
    <row r="34">
      <c r="A34" s="11" t="inlineStr">
        <is>
          <t>7°</t>
        </is>
      </c>
      <c r="B34" s="11" t="inlineStr">
        <is>
          <t>TIMSS 2027 8.°</t>
        </is>
      </c>
      <c r="C34" s="11" t="inlineStr">
        <is>
          <t>Química</t>
        </is>
      </c>
      <c r="D34" s="11">
        <f>COUNTIFS('Datos - Temas'!$V$5:$V$1264,$A34,'Datos - Temas'!$M$5:$M$1264,$C34)</f>
        <v/>
      </c>
      <c r="E34" s="11">
        <f>COUNTIFS('Datos - Temas'!$V$5:$V$1264,$A34)-COUNTIFS('Datos - Temas'!$V$5:$V$1264,$A34,'Datos - Temas'!$K$5:$K$1264,"FUERA")-COUNTIFS('Datos - Temas'!$V$5:$V$1264,$A34,'Datos - Temas'!$K$5:$K$1264,"PENDIENTE")</f>
        <v/>
      </c>
      <c r="F34" s="13">
        <f>IF(E34=0,0,D34/E34)</f>
        <v/>
      </c>
      <c r="G34" s="21" t="n">
        <v>0.2</v>
      </c>
      <c r="H34" s="28">
        <f>G34*E34</f>
        <v/>
      </c>
      <c r="I34" s="28">
        <f>H34-D34</f>
        <v/>
      </c>
      <c r="J34" s="32">
        <f>(G34-F34)*100</f>
        <v/>
      </c>
      <c r="K34" s="33">
        <f>IF(ABS(G34-F34)&lt;=$H$2,"En meta",IF(I34&gt;0,"Faltan "&amp;FIXED(I34,0)&amp;" temas","Sobran "&amp;FIXED(-I34,0)&amp;" temas"))</f>
        <v/>
      </c>
      <c r="L34" s="28">
        <f>MAX(D33/G33,D34/G34,D35/G35,D36/G36)</f>
        <v/>
      </c>
      <c r="M34" s="11">
        <f>MAX(0,ROUNDUP(G34*L34-D34,0))</f>
        <v/>
      </c>
      <c r="N34" s="11">
        <f>COUNTIFS('Datos - Temas'!$V$5:$V$1264,$A34,'Datos - Temas'!$K$5:$K$1264,"FUERA")</f>
        <v/>
      </c>
      <c r="O34" s="13">
        <f>ABS(F34-G34)</f>
        <v/>
      </c>
    </row>
    <row r="35">
      <c r="A35" s="11" t="inlineStr">
        <is>
          <t>7°</t>
        </is>
      </c>
      <c r="B35" s="11" t="inlineStr">
        <is>
          <t>TIMSS 2027 8.°</t>
        </is>
      </c>
      <c r="C35" s="11" t="inlineStr">
        <is>
          <t>Física</t>
        </is>
      </c>
      <c r="D35" s="11">
        <f>COUNTIFS('Datos - Temas'!$V$5:$V$1264,$A35,'Datos - Temas'!$M$5:$M$1264,$C35)</f>
        <v/>
      </c>
      <c r="E35" s="11">
        <f>COUNTIFS('Datos - Temas'!$V$5:$V$1264,$A35)-COUNTIFS('Datos - Temas'!$V$5:$V$1264,$A35,'Datos - Temas'!$K$5:$K$1264,"FUERA")-COUNTIFS('Datos - Temas'!$V$5:$V$1264,$A35,'Datos - Temas'!$K$5:$K$1264,"PENDIENTE")</f>
        <v/>
      </c>
      <c r="F35" s="13">
        <f>IF(E35=0,0,D35/E35)</f>
        <v/>
      </c>
      <c r="G35" s="21" t="n">
        <v>0.25</v>
      </c>
      <c r="H35" s="28">
        <f>G35*E35</f>
        <v/>
      </c>
      <c r="I35" s="28">
        <f>H35-D35</f>
        <v/>
      </c>
      <c r="J35" s="32">
        <f>(G35-F35)*100</f>
        <v/>
      </c>
      <c r="K35" s="33">
        <f>IF(ABS(G35-F35)&lt;=$H$2,"En meta",IF(I35&gt;0,"Faltan "&amp;FIXED(I35,0)&amp;" temas","Sobran "&amp;FIXED(-I35,0)&amp;" temas"))</f>
        <v/>
      </c>
      <c r="L35" s="28">
        <f>MAX(D33/G33,D34/G34,D35/G35,D36/G36)</f>
        <v/>
      </c>
      <c r="M35" s="11">
        <f>MAX(0,ROUNDUP(G35*L35-D35,0))</f>
        <v/>
      </c>
      <c r="N35" s="11">
        <f>COUNTIFS('Datos - Temas'!$V$5:$V$1264,$A35,'Datos - Temas'!$K$5:$K$1264,"FUERA")</f>
        <v/>
      </c>
      <c r="O35" s="13">
        <f>ABS(F35-G35)</f>
        <v/>
      </c>
    </row>
    <row r="36">
      <c r="A36" s="11" t="inlineStr">
        <is>
          <t>7°</t>
        </is>
      </c>
      <c r="B36" s="11" t="inlineStr">
        <is>
          <t>TIMSS 2027 8.°</t>
        </is>
      </c>
      <c r="C36" s="11" t="inlineStr">
        <is>
          <t>Ciencias de la Tierra</t>
        </is>
      </c>
      <c r="D36" s="11">
        <f>COUNTIFS('Datos - Temas'!$V$5:$V$1264,$A36,'Datos - Temas'!$M$5:$M$1264,$C36)</f>
        <v/>
      </c>
      <c r="E36" s="11">
        <f>COUNTIFS('Datos - Temas'!$V$5:$V$1264,$A36)-COUNTIFS('Datos - Temas'!$V$5:$V$1264,$A36,'Datos - Temas'!$K$5:$K$1264,"FUERA")-COUNTIFS('Datos - Temas'!$V$5:$V$1264,$A36,'Datos - Temas'!$K$5:$K$1264,"PENDIENTE")</f>
        <v/>
      </c>
      <c r="F36" s="13">
        <f>IF(E36=0,0,D36/E36)</f>
        <v/>
      </c>
      <c r="G36" s="21" t="n">
        <v>0.2</v>
      </c>
      <c r="H36" s="28">
        <f>G36*E36</f>
        <v/>
      </c>
      <c r="I36" s="28">
        <f>H36-D36</f>
        <v/>
      </c>
      <c r="J36" s="32">
        <f>(G36-F36)*100</f>
        <v/>
      </c>
      <c r="K36" s="33">
        <f>IF(ABS(G36-F36)&lt;=$H$2,"En meta",IF(I36&gt;0,"Faltan "&amp;FIXED(I36,0)&amp;" temas","Sobran "&amp;FIXED(-I36,0)&amp;" temas"))</f>
        <v/>
      </c>
      <c r="L36" s="28">
        <f>MAX(D33/G33,D34/G34,D35/G35,D36/G36)</f>
        <v/>
      </c>
      <c r="M36" s="11">
        <f>MAX(0,ROUNDUP(G36*L36-D36,0))</f>
        <v/>
      </c>
      <c r="N36" s="11">
        <f>COUNTIFS('Datos - Temas'!$V$5:$V$1264,$A36,'Datos - Temas'!$K$5:$K$1264,"FUERA")</f>
        <v/>
      </c>
      <c r="O36" s="13">
        <f>ABS(F36-G36)</f>
        <v/>
      </c>
    </row>
    <row r="37">
      <c r="A37" s="23" t="n"/>
      <c r="B37" s="23" t="n"/>
      <c r="C37" s="23" t="inlineStr">
        <is>
          <t>Total del grupo</t>
        </is>
      </c>
      <c r="D37" s="23">
        <f>SUM(D33:D36)</f>
        <v/>
      </c>
      <c r="E37" s="23" t="n"/>
      <c r="F37" s="23" t="n"/>
      <c r="G37" s="34">
        <f>SUM(G33:G36)</f>
        <v/>
      </c>
      <c r="H37" s="23" t="n"/>
      <c r="I37" s="23" t="n"/>
      <c r="J37" s="23" t="n"/>
      <c r="K37" s="23" t="n"/>
      <c r="L37" s="23" t="n"/>
      <c r="M37" s="23">
        <f>SUM(M33:M36)</f>
        <v/>
      </c>
      <c r="N37" s="23" t="n"/>
      <c r="O37" s="24">
        <f>1-SUM(O33:O36)/2</f>
        <v/>
      </c>
    </row>
    <row r="38"/>
    <row r="39">
      <c r="A39" s="11" t="inlineStr">
        <is>
          <t>8°</t>
        </is>
      </c>
      <c r="B39" s="11" t="inlineStr">
        <is>
          <t>TIMSS 2027 8.°</t>
        </is>
      </c>
      <c r="C39" s="11" t="inlineStr">
        <is>
          <t>Biología</t>
        </is>
      </c>
      <c r="D39" s="11">
        <f>COUNTIFS('Datos - Temas'!$V$5:$V$1264,$A39,'Datos - Temas'!$M$5:$M$1264,$C39)</f>
        <v/>
      </c>
      <c r="E39" s="11">
        <f>COUNTIFS('Datos - Temas'!$V$5:$V$1264,$A39)-COUNTIFS('Datos - Temas'!$V$5:$V$1264,$A39,'Datos - Temas'!$K$5:$K$1264,"FUERA")-COUNTIFS('Datos - Temas'!$V$5:$V$1264,$A39,'Datos - Temas'!$K$5:$K$1264,"PENDIENTE")</f>
        <v/>
      </c>
      <c r="F39" s="13">
        <f>IF(E39=0,0,D39/E39)</f>
        <v/>
      </c>
      <c r="G39" s="21" t="n">
        <v>0.35</v>
      </c>
      <c r="H39" s="28">
        <f>G39*E39</f>
        <v/>
      </c>
      <c r="I39" s="28">
        <f>H39-D39</f>
        <v/>
      </c>
      <c r="J39" s="32">
        <f>(G39-F39)*100</f>
        <v/>
      </c>
      <c r="K39" s="33">
        <f>IF(ABS(G39-F39)&lt;=$H$2,"En meta",IF(I39&gt;0,"Faltan "&amp;FIXED(I39,0)&amp;" temas","Sobran "&amp;FIXED(-I39,0)&amp;" temas"))</f>
        <v/>
      </c>
      <c r="L39" s="28">
        <f>MAX(D39/G39,D40/G40,D41/G41,D42/G42)</f>
        <v/>
      </c>
      <c r="M39" s="11">
        <f>MAX(0,ROUNDUP(G39*L39-D39,0))</f>
        <v/>
      </c>
      <c r="N39" s="11">
        <f>COUNTIFS('Datos - Temas'!$V$5:$V$1264,$A39,'Datos - Temas'!$K$5:$K$1264,"FUERA")</f>
        <v/>
      </c>
      <c r="O39" s="13">
        <f>ABS(F39-G39)</f>
        <v/>
      </c>
    </row>
    <row r="40">
      <c r="A40" s="11" t="inlineStr">
        <is>
          <t>8°</t>
        </is>
      </c>
      <c r="B40" s="11" t="inlineStr">
        <is>
          <t>TIMSS 2027 8.°</t>
        </is>
      </c>
      <c r="C40" s="11" t="inlineStr">
        <is>
          <t>Química</t>
        </is>
      </c>
      <c r="D40" s="11">
        <f>COUNTIFS('Datos - Temas'!$V$5:$V$1264,$A40,'Datos - Temas'!$M$5:$M$1264,$C40)</f>
        <v/>
      </c>
      <c r="E40" s="11">
        <f>COUNTIFS('Datos - Temas'!$V$5:$V$1264,$A40)-COUNTIFS('Datos - Temas'!$V$5:$V$1264,$A40,'Datos - Temas'!$K$5:$K$1264,"FUERA")-COUNTIFS('Datos - Temas'!$V$5:$V$1264,$A40,'Datos - Temas'!$K$5:$K$1264,"PENDIENTE")</f>
        <v/>
      </c>
      <c r="F40" s="13">
        <f>IF(E40=0,0,D40/E40)</f>
        <v/>
      </c>
      <c r="G40" s="21" t="n">
        <v>0.2</v>
      </c>
      <c r="H40" s="28">
        <f>G40*E40</f>
        <v/>
      </c>
      <c r="I40" s="28">
        <f>H40-D40</f>
        <v/>
      </c>
      <c r="J40" s="32">
        <f>(G40-F40)*100</f>
        <v/>
      </c>
      <c r="K40" s="33">
        <f>IF(ABS(G40-F40)&lt;=$H$2,"En meta",IF(I40&gt;0,"Faltan "&amp;FIXED(I40,0)&amp;" temas","Sobran "&amp;FIXED(-I40,0)&amp;" temas"))</f>
        <v/>
      </c>
      <c r="L40" s="28">
        <f>MAX(D39/G39,D40/G40,D41/G41,D42/G42)</f>
        <v/>
      </c>
      <c r="M40" s="11">
        <f>MAX(0,ROUNDUP(G40*L40-D40,0))</f>
        <v/>
      </c>
      <c r="N40" s="11">
        <f>COUNTIFS('Datos - Temas'!$V$5:$V$1264,$A40,'Datos - Temas'!$K$5:$K$1264,"FUERA")</f>
        <v/>
      </c>
      <c r="O40" s="13">
        <f>ABS(F40-G40)</f>
        <v/>
      </c>
    </row>
    <row r="41">
      <c r="A41" s="11" t="inlineStr">
        <is>
          <t>8°</t>
        </is>
      </c>
      <c r="B41" s="11" t="inlineStr">
        <is>
          <t>TIMSS 2027 8.°</t>
        </is>
      </c>
      <c r="C41" s="11" t="inlineStr">
        <is>
          <t>Física</t>
        </is>
      </c>
      <c r="D41" s="11">
        <f>COUNTIFS('Datos - Temas'!$V$5:$V$1264,$A41,'Datos - Temas'!$M$5:$M$1264,$C41)</f>
        <v/>
      </c>
      <c r="E41" s="11">
        <f>COUNTIFS('Datos - Temas'!$V$5:$V$1264,$A41)-COUNTIFS('Datos - Temas'!$V$5:$V$1264,$A41,'Datos - Temas'!$K$5:$K$1264,"FUERA")-COUNTIFS('Datos - Temas'!$V$5:$V$1264,$A41,'Datos - Temas'!$K$5:$K$1264,"PENDIENTE")</f>
        <v/>
      </c>
      <c r="F41" s="13">
        <f>IF(E41=0,0,D41/E41)</f>
        <v/>
      </c>
      <c r="G41" s="21" t="n">
        <v>0.25</v>
      </c>
      <c r="H41" s="28">
        <f>G41*E41</f>
        <v/>
      </c>
      <c r="I41" s="28">
        <f>H41-D41</f>
        <v/>
      </c>
      <c r="J41" s="32">
        <f>(G41-F41)*100</f>
        <v/>
      </c>
      <c r="K41" s="33">
        <f>IF(ABS(G41-F41)&lt;=$H$2,"En meta",IF(I41&gt;0,"Faltan "&amp;FIXED(I41,0)&amp;" temas","Sobran "&amp;FIXED(-I41,0)&amp;" temas"))</f>
        <v/>
      </c>
      <c r="L41" s="28">
        <f>MAX(D39/G39,D40/G40,D41/G41,D42/G42)</f>
        <v/>
      </c>
      <c r="M41" s="11">
        <f>MAX(0,ROUNDUP(G41*L41-D41,0))</f>
        <v/>
      </c>
      <c r="N41" s="11">
        <f>COUNTIFS('Datos - Temas'!$V$5:$V$1264,$A41,'Datos - Temas'!$K$5:$K$1264,"FUERA")</f>
        <v/>
      </c>
      <c r="O41" s="13">
        <f>ABS(F41-G41)</f>
        <v/>
      </c>
    </row>
    <row r="42">
      <c r="A42" s="11" t="inlineStr">
        <is>
          <t>8°</t>
        </is>
      </c>
      <c r="B42" s="11" t="inlineStr">
        <is>
          <t>TIMSS 2027 8.°</t>
        </is>
      </c>
      <c r="C42" s="11" t="inlineStr">
        <is>
          <t>Ciencias de la Tierra</t>
        </is>
      </c>
      <c r="D42" s="11">
        <f>COUNTIFS('Datos - Temas'!$V$5:$V$1264,$A42,'Datos - Temas'!$M$5:$M$1264,$C42)</f>
        <v/>
      </c>
      <c r="E42" s="11">
        <f>COUNTIFS('Datos - Temas'!$V$5:$V$1264,$A42)-COUNTIFS('Datos - Temas'!$V$5:$V$1264,$A42,'Datos - Temas'!$K$5:$K$1264,"FUERA")-COUNTIFS('Datos - Temas'!$V$5:$V$1264,$A42,'Datos - Temas'!$K$5:$K$1264,"PENDIENTE")</f>
        <v/>
      </c>
      <c r="F42" s="13">
        <f>IF(E42=0,0,D42/E42)</f>
        <v/>
      </c>
      <c r="G42" s="21" t="n">
        <v>0.2</v>
      </c>
      <c r="H42" s="28">
        <f>G42*E42</f>
        <v/>
      </c>
      <c r="I42" s="28">
        <f>H42-D42</f>
        <v/>
      </c>
      <c r="J42" s="32">
        <f>(G42-F42)*100</f>
        <v/>
      </c>
      <c r="K42" s="33">
        <f>IF(ABS(G42-F42)&lt;=$H$2,"En meta",IF(I42&gt;0,"Faltan "&amp;FIXED(I42,0)&amp;" temas","Sobran "&amp;FIXED(-I42,0)&amp;" temas"))</f>
        <v/>
      </c>
      <c r="L42" s="28">
        <f>MAX(D39/G39,D40/G40,D41/G41,D42/G42)</f>
        <v/>
      </c>
      <c r="M42" s="11">
        <f>MAX(0,ROUNDUP(G42*L42-D42,0))</f>
        <v/>
      </c>
      <c r="N42" s="11">
        <f>COUNTIFS('Datos - Temas'!$V$5:$V$1264,$A42,'Datos - Temas'!$K$5:$K$1264,"FUERA")</f>
        <v/>
      </c>
      <c r="O42" s="13">
        <f>ABS(F42-G42)</f>
        <v/>
      </c>
    </row>
    <row r="43">
      <c r="A43" s="23" t="n"/>
      <c r="B43" s="23" t="n"/>
      <c r="C43" s="23" t="inlineStr">
        <is>
          <t>Total del grupo</t>
        </is>
      </c>
      <c r="D43" s="23">
        <f>SUM(D39:D42)</f>
        <v/>
      </c>
      <c r="E43" s="23" t="n"/>
      <c r="F43" s="23" t="n"/>
      <c r="G43" s="34">
        <f>SUM(G39:G42)</f>
        <v/>
      </c>
      <c r="H43" s="23" t="n"/>
      <c r="I43" s="23" t="n"/>
      <c r="J43" s="23" t="n"/>
      <c r="K43" s="23" t="n"/>
      <c r="L43" s="23" t="n"/>
      <c r="M43" s="23">
        <f>SUM(M39:M42)</f>
        <v/>
      </c>
      <c r="N43" s="23" t="n"/>
      <c r="O43" s="24">
        <f>1-SUM(O39:O42)/2</f>
        <v/>
      </c>
    </row>
    <row r="44"/>
    <row r="45">
      <c r="A45" s="11" t="inlineStr">
        <is>
          <t>Física 10°</t>
        </is>
      </c>
      <c r="B45" s="11" t="inlineStr">
        <is>
          <t>TIMSS Advanced 2015 Física</t>
        </is>
      </c>
      <c r="C45" s="11" t="inlineStr">
        <is>
          <t>Mecánica y termodinámica</t>
        </is>
      </c>
      <c r="D45" s="11">
        <f>COUNTIFS('Datos - Temas'!$V$5:$V$1264,$A45,'Datos - Temas'!$M$5:$M$1264,$C45)</f>
        <v/>
      </c>
      <c r="E45" s="11">
        <f>COUNTIFS('Datos - Temas'!$V$5:$V$1264,$A45)-COUNTIFS('Datos - Temas'!$V$5:$V$1264,$A45,'Datos - Temas'!$K$5:$K$1264,"FUERA")-COUNTIFS('Datos - Temas'!$V$5:$V$1264,$A45,'Datos - Temas'!$K$5:$K$1264,"PENDIENTE")</f>
        <v/>
      </c>
      <c r="F45" s="13">
        <f>IF(E45=0,0,D45/E45)</f>
        <v/>
      </c>
      <c r="G45" s="21" t="n">
        <v>0.4</v>
      </c>
      <c r="H45" s="28">
        <f>G45*E45</f>
        <v/>
      </c>
      <c r="I45" s="28">
        <f>H45-D45</f>
        <v/>
      </c>
      <c r="J45" s="32">
        <f>(G45-F45)*100</f>
        <v/>
      </c>
      <c r="K45" s="33">
        <f>IF(ABS(G45-F45)&lt;=$H$2,"En meta",IF(I45&gt;0,"Faltan "&amp;FIXED(I45,0)&amp;" temas","Sobran "&amp;FIXED(-I45,0)&amp;" temas"))</f>
        <v/>
      </c>
      <c r="L45" s="28">
        <f>MAX(D45/G45,D46/G46,D47/G47)</f>
        <v/>
      </c>
      <c r="M45" s="11">
        <f>MAX(0,ROUNDUP(G45*L45-D45,0))</f>
        <v/>
      </c>
      <c r="N45" s="11">
        <f>COUNTIFS('Datos - Temas'!$V$5:$V$1264,$A45,'Datos - Temas'!$K$5:$K$1264,"FUERA")</f>
        <v/>
      </c>
      <c r="O45" s="13">
        <f>ABS(F45-G45)</f>
        <v/>
      </c>
    </row>
    <row r="46">
      <c r="A46" s="11" t="inlineStr">
        <is>
          <t>Física 10°</t>
        </is>
      </c>
      <c r="B46" s="11" t="inlineStr">
        <is>
          <t>TIMSS Advanced 2015 Física</t>
        </is>
      </c>
      <c r="C46" s="11" t="inlineStr">
        <is>
          <t>Electricidad y magnetismo</t>
        </is>
      </c>
      <c r="D46" s="11">
        <f>COUNTIFS('Datos - Temas'!$V$5:$V$1264,$A46,'Datos - Temas'!$M$5:$M$1264,$C46)</f>
        <v/>
      </c>
      <c r="E46" s="11">
        <f>COUNTIFS('Datos - Temas'!$V$5:$V$1264,$A46)-COUNTIFS('Datos - Temas'!$V$5:$V$1264,$A46,'Datos - Temas'!$K$5:$K$1264,"FUERA")-COUNTIFS('Datos - Temas'!$V$5:$V$1264,$A46,'Datos - Temas'!$K$5:$K$1264,"PENDIENTE")</f>
        <v/>
      </c>
      <c r="F46" s="13">
        <f>IF(E46=0,0,D46/E46)</f>
        <v/>
      </c>
      <c r="G46" s="21" t="n">
        <v>0.25</v>
      </c>
      <c r="H46" s="28">
        <f>G46*E46</f>
        <v/>
      </c>
      <c r="I46" s="28">
        <f>H46-D46</f>
        <v/>
      </c>
      <c r="J46" s="32">
        <f>(G46-F46)*100</f>
        <v/>
      </c>
      <c r="K46" s="33">
        <f>IF(ABS(G46-F46)&lt;=$H$2,"En meta",IF(I46&gt;0,"Faltan "&amp;FIXED(I46,0)&amp;" temas","Sobran "&amp;FIXED(-I46,0)&amp;" temas"))</f>
        <v/>
      </c>
      <c r="L46" s="28">
        <f>MAX(D45/G45,D46/G46,D47/G47)</f>
        <v/>
      </c>
      <c r="M46" s="11">
        <f>MAX(0,ROUNDUP(G46*L46-D46,0))</f>
        <v/>
      </c>
      <c r="N46" s="11">
        <f>COUNTIFS('Datos - Temas'!$V$5:$V$1264,$A46,'Datos - Temas'!$K$5:$K$1264,"FUERA")</f>
        <v/>
      </c>
      <c r="O46" s="13">
        <f>ABS(F46-G46)</f>
        <v/>
      </c>
    </row>
    <row r="47">
      <c r="A47" s="11" t="inlineStr">
        <is>
          <t>Física 10°</t>
        </is>
      </c>
      <c r="B47" s="11" t="inlineStr">
        <is>
          <t>TIMSS Advanced 2015 Física</t>
        </is>
      </c>
      <c r="C47" s="11" t="inlineStr">
        <is>
          <t>Ondas y física atómica/nuclear</t>
        </is>
      </c>
      <c r="D47" s="11">
        <f>COUNTIFS('Datos - Temas'!$V$5:$V$1264,$A47,'Datos - Temas'!$M$5:$M$1264,$C47)</f>
        <v/>
      </c>
      <c r="E47" s="11">
        <f>COUNTIFS('Datos - Temas'!$V$5:$V$1264,$A47)-COUNTIFS('Datos - Temas'!$V$5:$V$1264,$A47,'Datos - Temas'!$K$5:$K$1264,"FUERA")-COUNTIFS('Datos - Temas'!$V$5:$V$1264,$A47,'Datos - Temas'!$K$5:$K$1264,"PENDIENTE")</f>
        <v/>
      </c>
      <c r="F47" s="13">
        <f>IF(E47=0,0,D47/E47)</f>
        <v/>
      </c>
      <c r="G47" s="21" t="n">
        <v>0.35</v>
      </c>
      <c r="H47" s="28">
        <f>G47*E47</f>
        <v/>
      </c>
      <c r="I47" s="28">
        <f>H47-D47</f>
        <v/>
      </c>
      <c r="J47" s="32">
        <f>(G47-F47)*100</f>
        <v/>
      </c>
      <c r="K47" s="33">
        <f>IF(ABS(G47-F47)&lt;=$H$2,"En meta",IF(I47&gt;0,"Faltan "&amp;FIXED(I47,0)&amp;" temas","Sobran "&amp;FIXED(-I47,0)&amp;" temas"))</f>
        <v/>
      </c>
      <c r="L47" s="28">
        <f>MAX(D45/G45,D46/G46,D47/G47)</f>
        <v/>
      </c>
      <c r="M47" s="11">
        <f>MAX(0,ROUNDUP(G47*L47-D47,0))</f>
        <v/>
      </c>
      <c r="N47" s="11">
        <f>COUNTIFS('Datos - Temas'!$V$5:$V$1264,$A47,'Datos - Temas'!$K$5:$K$1264,"FUERA")</f>
        <v/>
      </c>
      <c r="O47" s="13">
        <f>ABS(F47-G47)</f>
        <v/>
      </c>
    </row>
    <row r="48">
      <c r="A48" s="23" t="n"/>
      <c r="B48" s="23" t="n"/>
      <c r="C48" s="23" t="inlineStr">
        <is>
          <t>Total del grupo</t>
        </is>
      </c>
      <c r="D48" s="23">
        <f>SUM(D45:D47)</f>
        <v/>
      </c>
      <c r="E48" s="23" t="n"/>
      <c r="F48" s="23" t="n"/>
      <c r="G48" s="34">
        <f>SUM(G45:G47)</f>
        <v/>
      </c>
      <c r="H48" s="23" t="n"/>
      <c r="I48" s="23" t="n"/>
      <c r="J48" s="23" t="n"/>
      <c r="K48" s="23" t="n"/>
      <c r="L48" s="23" t="n"/>
      <c r="M48" s="23">
        <f>SUM(M45:M47)</f>
        <v/>
      </c>
      <c r="N48" s="23" t="n"/>
      <c r="O48" s="24">
        <f>1-SUM(O45:O47)/2</f>
        <v/>
      </c>
    </row>
    <row r="49"/>
    <row r="50">
      <c r="A50" s="11" t="inlineStr">
        <is>
          <t>Física 11°</t>
        </is>
      </c>
      <c r="B50" s="11" t="inlineStr">
        <is>
          <t>TIMSS Advanced 2015 Física</t>
        </is>
      </c>
      <c r="C50" s="11" t="inlineStr">
        <is>
          <t>Mecánica y termodinámica</t>
        </is>
      </c>
      <c r="D50" s="11">
        <f>COUNTIFS('Datos - Temas'!$V$5:$V$1264,$A50,'Datos - Temas'!$M$5:$M$1264,$C50)</f>
        <v/>
      </c>
      <c r="E50" s="11">
        <f>COUNTIFS('Datos - Temas'!$V$5:$V$1264,$A50)-COUNTIFS('Datos - Temas'!$V$5:$V$1264,$A50,'Datos - Temas'!$K$5:$K$1264,"FUERA")-COUNTIFS('Datos - Temas'!$V$5:$V$1264,$A50,'Datos - Temas'!$K$5:$K$1264,"PENDIENTE")</f>
        <v/>
      </c>
      <c r="F50" s="13">
        <f>IF(E50=0,0,D50/E50)</f>
        <v/>
      </c>
      <c r="G50" s="21" t="n">
        <v>0.4</v>
      </c>
      <c r="H50" s="28">
        <f>G50*E50</f>
        <v/>
      </c>
      <c r="I50" s="28">
        <f>H50-D50</f>
        <v/>
      </c>
      <c r="J50" s="32">
        <f>(G50-F50)*100</f>
        <v/>
      </c>
      <c r="K50" s="33">
        <f>IF(ABS(G50-F50)&lt;=$H$2,"En meta",IF(I50&gt;0,"Faltan "&amp;FIXED(I50,0)&amp;" temas","Sobran "&amp;FIXED(-I50,0)&amp;" temas"))</f>
        <v/>
      </c>
      <c r="L50" s="28">
        <f>MAX(D50/G50,D51/G51,D52/G52)</f>
        <v/>
      </c>
      <c r="M50" s="11">
        <f>MAX(0,ROUNDUP(G50*L50-D50,0))</f>
        <v/>
      </c>
      <c r="N50" s="11">
        <f>COUNTIFS('Datos - Temas'!$V$5:$V$1264,$A50,'Datos - Temas'!$K$5:$K$1264,"FUERA")</f>
        <v/>
      </c>
      <c r="O50" s="13">
        <f>ABS(F50-G50)</f>
        <v/>
      </c>
    </row>
    <row r="51">
      <c r="A51" s="11" t="inlineStr">
        <is>
          <t>Física 11°</t>
        </is>
      </c>
      <c r="B51" s="11" t="inlineStr">
        <is>
          <t>TIMSS Advanced 2015 Física</t>
        </is>
      </c>
      <c r="C51" s="11" t="inlineStr">
        <is>
          <t>Electricidad y magnetismo</t>
        </is>
      </c>
      <c r="D51" s="11">
        <f>COUNTIFS('Datos - Temas'!$V$5:$V$1264,$A51,'Datos - Temas'!$M$5:$M$1264,$C51)</f>
        <v/>
      </c>
      <c r="E51" s="11">
        <f>COUNTIFS('Datos - Temas'!$V$5:$V$1264,$A51)-COUNTIFS('Datos - Temas'!$V$5:$V$1264,$A51,'Datos - Temas'!$K$5:$K$1264,"FUERA")-COUNTIFS('Datos - Temas'!$V$5:$V$1264,$A51,'Datos - Temas'!$K$5:$K$1264,"PENDIENTE")</f>
        <v/>
      </c>
      <c r="F51" s="13">
        <f>IF(E51=0,0,D51/E51)</f>
        <v/>
      </c>
      <c r="G51" s="21" t="n">
        <v>0.25</v>
      </c>
      <c r="H51" s="28">
        <f>G51*E51</f>
        <v/>
      </c>
      <c r="I51" s="28">
        <f>H51-D51</f>
        <v/>
      </c>
      <c r="J51" s="32">
        <f>(G51-F51)*100</f>
        <v/>
      </c>
      <c r="K51" s="33">
        <f>IF(ABS(G51-F51)&lt;=$H$2,"En meta",IF(I51&gt;0,"Faltan "&amp;FIXED(I51,0)&amp;" temas","Sobran "&amp;FIXED(-I51,0)&amp;" temas"))</f>
        <v/>
      </c>
      <c r="L51" s="28">
        <f>MAX(D50/G50,D51/G51,D52/G52)</f>
        <v/>
      </c>
      <c r="M51" s="11">
        <f>MAX(0,ROUNDUP(G51*L51-D51,0))</f>
        <v/>
      </c>
      <c r="N51" s="11">
        <f>COUNTIFS('Datos - Temas'!$V$5:$V$1264,$A51,'Datos - Temas'!$K$5:$K$1264,"FUERA")</f>
        <v/>
      </c>
      <c r="O51" s="13">
        <f>ABS(F51-G51)</f>
        <v/>
      </c>
    </row>
    <row r="52">
      <c r="A52" s="11" t="inlineStr">
        <is>
          <t>Física 11°</t>
        </is>
      </c>
      <c r="B52" s="11" t="inlineStr">
        <is>
          <t>TIMSS Advanced 2015 Física</t>
        </is>
      </c>
      <c r="C52" s="11" t="inlineStr">
        <is>
          <t>Ondas y física atómica/nuclear</t>
        </is>
      </c>
      <c r="D52" s="11">
        <f>COUNTIFS('Datos - Temas'!$V$5:$V$1264,$A52,'Datos - Temas'!$M$5:$M$1264,$C52)</f>
        <v/>
      </c>
      <c r="E52" s="11">
        <f>COUNTIFS('Datos - Temas'!$V$5:$V$1264,$A52)-COUNTIFS('Datos - Temas'!$V$5:$V$1264,$A52,'Datos - Temas'!$K$5:$K$1264,"FUERA")-COUNTIFS('Datos - Temas'!$V$5:$V$1264,$A52,'Datos - Temas'!$K$5:$K$1264,"PENDIENTE")</f>
        <v/>
      </c>
      <c r="F52" s="13">
        <f>IF(E52=0,0,D52/E52)</f>
        <v/>
      </c>
      <c r="G52" s="21" t="n">
        <v>0.35</v>
      </c>
      <c r="H52" s="28">
        <f>G52*E52</f>
        <v/>
      </c>
      <c r="I52" s="28">
        <f>H52-D52</f>
        <v/>
      </c>
      <c r="J52" s="32">
        <f>(G52-F52)*100</f>
        <v/>
      </c>
      <c r="K52" s="33">
        <f>IF(ABS(G52-F52)&lt;=$H$2,"En meta",IF(I52&gt;0,"Faltan "&amp;FIXED(I52,0)&amp;" temas","Sobran "&amp;FIXED(-I52,0)&amp;" temas"))</f>
        <v/>
      </c>
      <c r="L52" s="28">
        <f>MAX(D50/G50,D51/G51,D52/G52)</f>
        <v/>
      </c>
      <c r="M52" s="11">
        <f>MAX(0,ROUNDUP(G52*L52-D52,0))</f>
        <v/>
      </c>
      <c r="N52" s="11">
        <f>COUNTIFS('Datos - Temas'!$V$5:$V$1264,$A52,'Datos - Temas'!$K$5:$K$1264,"FUERA")</f>
        <v/>
      </c>
      <c r="O52" s="13">
        <f>ABS(F52-G52)</f>
        <v/>
      </c>
    </row>
    <row r="53">
      <c r="A53" s="23" t="n"/>
      <c r="B53" s="23" t="n"/>
      <c r="C53" s="23" t="inlineStr">
        <is>
          <t>Total del grupo</t>
        </is>
      </c>
      <c r="D53" s="23">
        <f>SUM(D50:D52)</f>
        <v/>
      </c>
      <c r="E53" s="23" t="n"/>
      <c r="F53" s="23" t="n"/>
      <c r="G53" s="34">
        <f>SUM(G50:G52)</f>
        <v/>
      </c>
      <c r="H53" s="23" t="n"/>
      <c r="I53" s="23" t="n"/>
      <c r="J53" s="23" t="n"/>
      <c r="K53" s="23" t="n"/>
      <c r="L53" s="23" t="n"/>
      <c r="M53" s="23">
        <f>SUM(M50:M52)</f>
        <v/>
      </c>
      <c r="N53" s="23" t="n"/>
      <c r="O53" s="24">
        <f>1-SUM(O50:O52)/2</f>
        <v/>
      </c>
    </row>
    <row r="54"/>
    <row r="55" ht="84" customHeight="1">
      <c r="A55" s="2" t="inlineStr">
        <is>
          <t>Cómo se calcula: Cómo leerlo: «% actual» = temas del dominio ÷ temas evaluables del grado (se excluyen los «fuera del marco»). «Brecha (temas)» = meta × evaluables − actuales: positivo = faltan temas en ese dominio si se redistribuye la misma carga; negativo = sobran. «Temas a AGREGAR» = cuántos temas habría que sumar a cada dominio para cumplir todas las metas SIN quitar ninguno (la escala la fija el dominio más sobrerrepresentado). Ojo: TIMSS fija pesos para la prueba acumulada (4.° y 8.°); aplicarlos a cada grado es una aproximación. La hoja TIMSS - Balance por ciclo hace la comparación acumulada.</t>
        </is>
      </c>
    </row>
  </sheetData>
  <mergeCells count="2">
    <mergeCell ref="A3:N3"/>
    <mergeCell ref="A55:N55"/>
  </mergeCells>
  <conditionalFormatting sqref="K6:K55">
    <cfRule type="expression" priority="1" dxfId="2">
      <formula>LEFT(K6,6)="Faltan"</formula>
    </cfRule>
    <cfRule type="expression" priority="2" dxfId="1">
      <formula>LEFT(K6,6)="Sobran"</formula>
    </cfRule>
    <cfRule type="cellIs" priority="3" operator="equal" dxfId="4">
      <formula>"En meta"</formula>
    </cfRule>
  </conditionalFormatting>
  <conditionalFormatting sqref="A6:N200">
    <cfRule type="expression" priority="4" dxfId="5">
      <formula>AND(MOD(ROW(),2)=0,$C6&lt;&gt;"",$C6&lt;&gt;"Total del grupo")</formula>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8C6D1F"/>
    <outlinePr summaryBelow="1" summaryRight="1"/>
    <pageSetUpPr/>
  </sheetPr>
  <dimension ref="A1:T126"/>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22" customWidth="1" min="3" max="3"/>
    <col width="30" customWidth="1" min="4" max="4"/>
    <col width="52"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8" customWidth="1" min="15" max="15"/>
    <col width="9" customWidth="1" min="16" max="16"/>
    <col width="9" customWidth="1" min="17" max="17"/>
    <col width="17" customWidth="1" min="18" max="18"/>
    <col width="12" customWidth="1" min="19" max="19"/>
    <col width="70" customWidth="1" min="20" max="20"/>
  </cols>
  <sheetData>
    <row r="1">
      <c r="A1" s="6" t="inlineStr">
        <is>
          <t>Amplitud: ¿qué objetivos TIMSS cubre la malla y en qué grado?</t>
        </is>
      </c>
    </row>
    <row r="2" ht="68" customHeight="1">
      <c r="A2" s="7">
        <f>"TIMSS 2027 (2.°–8.°) y TIMSS Advanced (Física)"&amp;"
"&amp;IF(COUNTIF($R$5:$R$107,"No cubierto")=0,"BIEN · ","OJO · ")&amp;"Rojo: "&amp;COUNTIF($R$5:$R$107,"No cubierto")&amp;" objetivos de TIMSS sin ningún tema. Amarillo: "&amp;COUNTIF($R$5:$R$107,"Débil (1 tema)")&amp;" con un solo tema."&amp;"
"&amp;"● Cubiertos: "&amp;COUNTIF($Q$5:$Q$107,"Sí")&amp;" de "&amp;ROWS($Q$5:$Q$107)&amp;" objetivos. «N/A» = ese grado no lo evalúa ese TIMSS (no es un problema)."&amp;"
"&amp;"→ Filtra «Estado» por rojo o amarillo; la última columna dice qué hacer. Lo de PISA está en «PISA - Contenidos»."</f>
        <v/>
      </c>
      <c r="B2" s="8" t="n"/>
      <c r="C2" s="8" t="n"/>
      <c r="D2" s="8" t="n"/>
      <c r="E2" s="8" t="n"/>
      <c r="F2" s="8" t="n"/>
      <c r="G2" s="8" t="n"/>
      <c r="H2" s="8" t="n"/>
      <c r="I2" s="8" t="n"/>
      <c r="J2" s="8" t="n"/>
      <c r="K2" s="8" t="n"/>
      <c r="L2" s="8" t="n"/>
      <c r="M2" s="8" t="n"/>
      <c r="N2" s="9" t="n"/>
    </row>
    <row r="3"/>
    <row r="4" ht="45" customHeight="1">
      <c r="A4" s="10" t="inlineStr">
        <is>
          <t>Código</t>
        </is>
      </c>
      <c r="B4" s="10" t="inlineStr">
        <is>
          <t>Marco</t>
        </is>
      </c>
      <c r="C4" s="10" t="inlineStr">
        <is>
          <t>Dominio</t>
        </is>
      </c>
      <c r="D4" s="10" t="inlineStr">
        <is>
          <t>Área temática</t>
        </is>
      </c>
      <c r="E4" s="10" t="inlineStr">
        <is>
          <t>Objetivo</t>
        </is>
      </c>
      <c r="F4" s="10" t="inlineStr">
        <is>
          <t>2°</t>
        </is>
      </c>
      <c r="G4" s="10" t="inlineStr">
        <is>
          <t>3°</t>
        </is>
      </c>
      <c r="H4" s="10" t="inlineStr">
        <is>
          <t>4°</t>
        </is>
      </c>
      <c r="I4" s="10" t="inlineStr">
        <is>
          <t>5°</t>
        </is>
      </c>
      <c r="J4" s="10" t="inlineStr">
        <is>
          <t>6°</t>
        </is>
      </c>
      <c r="K4" s="10" t="inlineStr">
        <is>
          <t>7°</t>
        </is>
      </c>
      <c r="L4" s="10" t="inlineStr">
        <is>
          <t>8°</t>
        </is>
      </c>
      <c r="M4" s="10" t="inlineStr">
        <is>
          <t>Física 10°</t>
        </is>
      </c>
      <c r="N4" s="10" t="inlineStr">
        <is>
          <t>Física 11°</t>
        </is>
      </c>
      <c r="O4" s="10" t="inlineStr">
        <is>
          <t>Total temas en su ciclo</t>
        </is>
      </c>
      <c r="P4" s="10" t="inlineStr">
        <is>
          <t>Como principal (todos los grados)</t>
        </is>
      </c>
      <c r="Q4" s="10" t="inlineStr">
        <is>
          <t>Estado en su ciclo (semáforo)</t>
        </is>
      </c>
      <c r="R4" s="10" t="inlineStr">
        <is>
          <t>Primer grado donde aparece (en su ciclo)</t>
        </is>
      </c>
      <c r="S4" s="10" t="inlineStr">
        <is>
          <t>Qué hacer · dónde aparece hoy</t>
        </is>
      </c>
    </row>
    <row r="5">
      <c r="A5" s="30" t="inlineStr">
        <is>
          <t>T4_27-B1.1</t>
        </is>
      </c>
      <c r="B5" s="30" t="inlineStr">
        <is>
          <t>T4_27</t>
        </is>
      </c>
      <c r="C5" s="30" t="inlineStr">
        <is>
          <t>Biología</t>
        </is>
      </c>
      <c r="D5" s="30" t="inlineStr">
        <is>
          <t>Características y procesos vitales de los organismos</t>
        </is>
      </c>
      <c r="E5" s="30" t="inlineStr">
        <is>
          <t>Diferencias entre seres vivos y no vivos, y lo que los seres vivos necesitan para vivir</t>
        </is>
      </c>
      <c r="F5" s="30">
        <f>COUNTIFS('Datos - Temas'!$V$5:$V$1264,F$4,'Datos - Temas'!$K$5:$K$1264,$A5)+COUNTIFS('Datos - Temas'!$V$5:$V$1264,F$4,'Datos - Temas'!$L$5:$L$1264,$A5)</f>
        <v/>
      </c>
      <c r="G5" s="30">
        <f>COUNTIFS('Datos - Temas'!$V$5:$V$1264,G$4,'Datos - Temas'!$K$5:$K$1264,$A5)+COUNTIFS('Datos - Temas'!$V$5:$V$1264,G$4,'Datos - Temas'!$L$5:$L$1264,$A5)</f>
        <v/>
      </c>
      <c r="H5" s="30">
        <f>COUNTIFS('Datos - Temas'!$V$5:$V$1264,H$4,'Datos - Temas'!$K$5:$K$1264,$A5)+COUNTIFS('Datos - Temas'!$V$5:$V$1264,H$4,'Datos - Temas'!$L$5:$L$1264,$A5)</f>
        <v/>
      </c>
      <c r="I5" s="30" t="inlineStr">
        <is>
          <t>N/A</t>
        </is>
      </c>
      <c r="J5" s="30" t="inlineStr">
        <is>
          <t>N/A</t>
        </is>
      </c>
      <c r="K5" s="30" t="inlineStr">
        <is>
          <t>N/A</t>
        </is>
      </c>
      <c r="L5" s="30" t="inlineStr">
        <is>
          <t>N/A</t>
        </is>
      </c>
      <c r="M5" s="30" t="inlineStr">
        <is>
          <t>N/A</t>
        </is>
      </c>
      <c r="N5" s="30" t="inlineStr">
        <is>
          <t>N/A</t>
        </is>
      </c>
      <c r="O5" s="30">
        <f>IF($B5="T4_27",SUM(F5:H5),IF($B5="T8_27",SUM(I5:L5),SUM(M5:N5)))</f>
        <v/>
      </c>
      <c r="P5" s="30">
        <f>COUNTIFS('Datos - Temas'!$K$5:$K$1264,$A5)</f>
        <v/>
      </c>
      <c r="Q5" s="30">
        <f>IF(O5&gt;0,"Sí","No")</f>
        <v/>
      </c>
      <c r="R5" s="30">
        <f>IF(O5=0,"No cubierto",IF(O5=1,"Débil (1 tema)",IF(O5&lt;=3,"Básica (2–3)","Sólida (4+)")))</f>
        <v/>
      </c>
      <c r="S5" s="30">
        <f>IFERROR(INDEX($F$4:$H$4,MATCH(TRUE,INDEX(F5:H5&gt;0,0),0)),"—")</f>
        <v/>
      </c>
      <c r="T5" s="30" t="inlineStr">
        <is>
          <t>Hoy: 2° U4 (3); 2° U5 (2); 3° U2 (1); 3° U3 (1); 3° U5 (1); 3° U6 (2); 4° U2 (1); 4° U3 (2)</t>
        </is>
      </c>
    </row>
    <row r="6">
      <c r="A6" s="30" t="inlineStr">
        <is>
          <t>T4_27-B1.2</t>
        </is>
      </c>
      <c r="B6" s="30" t="inlineStr">
        <is>
          <t>T4_27</t>
        </is>
      </c>
      <c r="C6" s="30" t="inlineStr">
        <is>
          <t>Biología</t>
        </is>
      </c>
      <c r="D6" s="30" t="inlineStr">
        <is>
          <t>Características y procesos vitales de los organismos</t>
        </is>
      </c>
      <c r="E6" s="30" t="inlineStr">
        <is>
          <t>Rasgos físicos y de conducta de los grandes grupos de seres vivos</t>
        </is>
      </c>
      <c r="F6" s="30">
        <f>COUNTIFS('Datos - Temas'!$V$5:$V$1264,F$4,'Datos - Temas'!$K$5:$K$1264,$A6)+COUNTIFS('Datos - Temas'!$V$5:$V$1264,F$4,'Datos - Temas'!$L$5:$L$1264,$A6)</f>
        <v/>
      </c>
      <c r="G6" s="30">
        <f>COUNTIFS('Datos - Temas'!$V$5:$V$1264,G$4,'Datos - Temas'!$K$5:$K$1264,$A6)+COUNTIFS('Datos - Temas'!$V$5:$V$1264,G$4,'Datos - Temas'!$L$5:$L$1264,$A6)</f>
        <v/>
      </c>
      <c r="H6" s="30">
        <f>COUNTIFS('Datos - Temas'!$V$5:$V$1264,H$4,'Datos - Temas'!$K$5:$K$1264,$A6)+COUNTIFS('Datos - Temas'!$V$5:$V$1264,H$4,'Datos - Temas'!$L$5:$L$1264,$A6)</f>
        <v/>
      </c>
      <c r="I6" s="30" t="inlineStr">
        <is>
          <t>N/A</t>
        </is>
      </c>
      <c r="J6" s="30" t="inlineStr">
        <is>
          <t>N/A</t>
        </is>
      </c>
      <c r="K6" s="30" t="inlineStr">
        <is>
          <t>N/A</t>
        </is>
      </c>
      <c r="L6" s="30" t="inlineStr">
        <is>
          <t>N/A</t>
        </is>
      </c>
      <c r="M6" s="30" t="inlineStr">
        <is>
          <t>N/A</t>
        </is>
      </c>
      <c r="N6" s="30" t="inlineStr">
        <is>
          <t>N/A</t>
        </is>
      </c>
      <c r="O6" s="30">
        <f>IF($B6="T4_27",SUM(F6:H6),IF($B6="T8_27",SUM(I6:L6),SUM(M6:N6)))</f>
        <v/>
      </c>
      <c r="P6" s="30">
        <f>COUNTIFS('Datos - Temas'!$K$5:$K$1264,$A6)</f>
        <v/>
      </c>
      <c r="Q6" s="30">
        <f>IF(O6&gt;0,"Sí","No")</f>
        <v/>
      </c>
      <c r="R6" s="30">
        <f>IF(O6=0,"No cubierto",IF(O6=1,"Débil (1 tema)",IF(O6&lt;=3,"Básica (2–3)","Sólida (4+)")))</f>
        <v/>
      </c>
      <c r="S6" s="30">
        <f>IFERROR(INDEX($F$4:$H$4,MATCH(TRUE,INDEX(F6:H6&gt;0,0),0)),"—")</f>
        <v/>
      </c>
      <c r="T6" s="30" t="inlineStr">
        <is>
          <t>Hoy: 2° U4 (5); 3° U4 (3); 3° U5 (9); 3° U6 (1)</t>
        </is>
      </c>
    </row>
    <row r="7">
      <c r="A7" s="30" t="inlineStr">
        <is>
          <t>T4_27-B1.3</t>
        </is>
      </c>
      <c r="B7" s="30" t="inlineStr">
        <is>
          <t>T4_27</t>
        </is>
      </c>
      <c r="C7" s="30" t="inlineStr">
        <is>
          <t>Biología</t>
        </is>
      </c>
      <c r="D7" s="30" t="inlineStr">
        <is>
          <t>Características y procesos vitales de los organismos</t>
        </is>
      </c>
      <c r="E7" s="30" t="inlineStr">
        <is>
          <t>Funciones de las estructuras principales de animales y plantas</t>
        </is>
      </c>
      <c r="F7" s="30">
        <f>COUNTIFS('Datos - Temas'!$V$5:$V$1264,F$4,'Datos - Temas'!$K$5:$K$1264,$A7)+COUNTIFS('Datos - Temas'!$V$5:$V$1264,F$4,'Datos - Temas'!$L$5:$L$1264,$A7)</f>
        <v/>
      </c>
      <c r="G7" s="30">
        <f>COUNTIFS('Datos - Temas'!$V$5:$V$1264,G$4,'Datos - Temas'!$K$5:$K$1264,$A7)+COUNTIFS('Datos - Temas'!$V$5:$V$1264,G$4,'Datos - Temas'!$L$5:$L$1264,$A7)</f>
        <v/>
      </c>
      <c r="H7" s="30">
        <f>COUNTIFS('Datos - Temas'!$V$5:$V$1264,H$4,'Datos - Temas'!$K$5:$K$1264,$A7)+COUNTIFS('Datos - Temas'!$V$5:$V$1264,H$4,'Datos - Temas'!$L$5:$L$1264,$A7)</f>
        <v/>
      </c>
      <c r="I7" s="30" t="inlineStr">
        <is>
          <t>N/A</t>
        </is>
      </c>
      <c r="J7" s="30" t="inlineStr">
        <is>
          <t>N/A</t>
        </is>
      </c>
      <c r="K7" s="30" t="inlineStr">
        <is>
          <t>N/A</t>
        </is>
      </c>
      <c r="L7" s="30" t="inlineStr">
        <is>
          <t>N/A</t>
        </is>
      </c>
      <c r="M7" s="30" t="inlineStr">
        <is>
          <t>N/A</t>
        </is>
      </c>
      <c r="N7" s="30" t="inlineStr">
        <is>
          <t>N/A</t>
        </is>
      </c>
      <c r="O7" s="30">
        <f>IF($B7="T4_27",SUM(F7:H7),IF($B7="T8_27",SUM(I7:L7),SUM(M7:N7)))</f>
        <v/>
      </c>
      <c r="P7" s="30">
        <f>COUNTIFS('Datos - Temas'!$K$5:$K$1264,$A7)</f>
        <v/>
      </c>
      <c r="Q7" s="30">
        <f>IF(O7&gt;0,"Sí","No")</f>
        <v/>
      </c>
      <c r="R7" s="30">
        <f>IF(O7=0,"No cubierto",IF(O7=1,"Débil (1 tema)",IF(O7&lt;=3,"Básica (2–3)","Sólida (4+)")))</f>
        <v/>
      </c>
      <c r="S7" s="30">
        <f>IFERROR(INDEX($F$4:$H$4,MATCH(TRUE,INDEX(F7:H7&gt;0,0),0)),"—")</f>
        <v/>
      </c>
      <c r="T7" s="30" t="inlineStr">
        <is>
          <t>Hoy: 2° U4 (1); 3° U4 (4); 3° U5 (1); 4° U5 (9); 4° U6 (9)</t>
        </is>
      </c>
    </row>
    <row r="8">
      <c r="A8" s="30" t="inlineStr">
        <is>
          <t>T4_27-B1.4</t>
        </is>
      </c>
      <c r="B8" s="30" t="inlineStr">
        <is>
          <t>T4_27</t>
        </is>
      </c>
      <c r="C8" s="30" t="inlineStr">
        <is>
          <t>Biología</t>
        </is>
      </c>
      <c r="D8" s="30" t="inlineStr">
        <is>
          <t>Características y procesos vitales de los organismos</t>
        </is>
      </c>
      <c r="E8" s="30" t="inlineStr">
        <is>
          <t>Obtención de alimento y respuesta de los seres vivos a cambios externos</t>
        </is>
      </c>
      <c r="F8" s="30">
        <f>COUNTIFS('Datos - Temas'!$V$5:$V$1264,F$4,'Datos - Temas'!$K$5:$K$1264,$A8)+COUNTIFS('Datos - Temas'!$V$5:$V$1264,F$4,'Datos - Temas'!$L$5:$L$1264,$A8)</f>
        <v/>
      </c>
      <c r="G8" s="30">
        <f>COUNTIFS('Datos - Temas'!$V$5:$V$1264,G$4,'Datos - Temas'!$K$5:$K$1264,$A8)+COUNTIFS('Datos - Temas'!$V$5:$V$1264,G$4,'Datos - Temas'!$L$5:$L$1264,$A8)</f>
        <v/>
      </c>
      <c r="H8" s="30">
        <f>COUNTIFS('Datos - Temas'!$V$5:$V$1264,H$4,'Datos - Temas'!$K$5:$K$1264,$A8)+COUNTIFS('Datos - Temas'!$V$5:$V$1264,H$4,'Datos - Temas'!$L$5:$L$1264,$A8)</f>
        <v/>
      </c>
      <c r="I8" s="30" t="inlineStr">
        <is>
          <t>N/A</t>
        </is>
      </c>
      <c r="J8" s="30" t="inlineStr">
        <is>
          <t>N/A</t>
        </is>
      </c>
      <c r="K8" s="30" t="inlineStr">
        <is>
          <t>N/A</t>
        </is>
      </c>
      <c r="L8" s="30" t="inlineStr">
        <is>
          <t>N/A</t>
        </is>
      </c>
      <c r="M8" s="30" t="inlineStr">
        <is>
          <t>N/A</t>
        </is>
      </c>
      <c r="N8" s="30" t="inlineStr">
        <is>
          <t>N/A</t>
        </is>
      </c>
      <c r="O8" s="30">
        <f>IF($B8="T4_27",SUM(F8:H8),IF($B8="T8_27",SUM(I8:L8),SUM(M8:N8)))</f>
        <v/>
      </c>
      <c r="P8" s="30">
        <f>COUNTIFS('Datos - Temas'!$K$5:$K$1264,$A8)</f>
        <v/>
      </c>
      <c r="Q8" s="30">
        <f>IF(O8&gt;0,"Sí","No")</f>
        <v/>
      </c>
      <c r="R8" s="30">
        <f>IF(O8=0,"No cubierto",IF(O8=1,"Débil (1 tema)",IF(O8&lt;=3,"Básica (2–3)","Sólida (4+)")))</f>
        <v/>
      </c>
      <c r="S8" s="30">
        <f>IFERROR(INDEX($F$4:$H$4,MATCH(TRUE,INDEX(F8:H8&gt;0,0),0)),"—")</f>
        <v/>
      </c>
      <c r="T8" s="30" t="inlineStr">
        <is>
          <t>Hoy: 2° U4 (2); 3° U4 (3); 3° U5 (2); 4° U5 (2); 4° U6 (1)</t>
        </is>
      </c>
    </row>
    <row r="9">
      <c r="A9" s="30" t="inlineStr">
        <is>
          <t>T4_27-B2.1</t>
        </is>
      </c>
      <c r="B9" s="30" t="inlineStr">
        <is>
          <t>T4_27</t>
        </is>
      </c>
      <c r="C9" s="30" t="inlineStr">
        <is>
          <t>Biología</t>
        </is>
      </c>
      <c r="D9" s="30" t="inlineStr">
        <is>
          <t>Ciclos de vida, reproducción y herencia</t>
        </is>
      </c>
      <c r="E9" s="30" t="inlineStr">
        <is>
          <t>Etapas y diferencias de los ciclos de vida de plantas y animales comunes</t>
        </is>
      </c>
      <c r="F9" s="30">
        <f>COUNTIFS('Datos - Temas'!$V$5:$V$1264,F$4,'Datos - Temas'!$K$5:$K$1264,$A9)+COUNTIFS('Datos - Temas'!$V$5:$V$1264,F$4,'Datos - Temas'!$L$5:$L$1264,$A9)</f>
        <v/>
      </c>
      <c r="G9" s="30">
        <f>COUNTIFS('Datos - Temas'!$V$5:$V$1264,G$4,'Datos - Temas'!$K$5:$K$1264,$A9)+COUNTIFS('Datos - Temas'!$V$5:$V$1264,G$4,'Datos - Temas'!$L$5:$L$1264,$A9)</f>
        <v/>
      </c>
      <c r="H9" s="30">
        <f>COUNTIFS('Datos - Temas'!$V$5:$V$1264,H$4,'Datos - Temas'!$K$5:$K$1264,$A9)+COUNTIFS('Datos - Temas'!$V$5:$V$1264,H$4,'Datos - Temas'!$L$5:$L$1264,$A9)</f>
        <v/>
      </c>
      <c r="I9" s="30" t="inlineStr">
        <is>
          <t>N/A</t>
        </is>
      </c>
      <c r="J9" s="30" t="inlineStr">
        <is>
          <t>N/A</t>
        </is>
      </c>
      <c r="K9" s="30" t="inlineStr">
        <is>
          <t>N/A</t>
        </is>
      </c>
      <c r="L9" s="30" t="inlineStr">
        <is>
          <t>N/A</t>
        </is>
      </c>
      <c r="M9" s="30" t="inlineStr">
        <is>
          <t>N/A</t>
        </is>
      </c>
      <c r="N9" s="30" t="inlineStr">
        <is>
          <t>N/A</t>
        </is>
      </c>
      <c r="O9" s="30">
        <f>IF($B9="T4_27",SUM(F9:H9),IF($B9="T8_27",SUM(I9:L9),SUM(M9:N9)))</f>
        <v/>
      </c>
      <c r="P9" s="30">
        <f>COUNTIFS('Datos - Temas'!$K$5:$K$1264,$A9)</f>
        <v/>
      </c>
      <c r="Q9" s="30">
        <f>IF(O9&gt;0,"Sí","No")</f>
        <v/>
      </c>
      <c r="R9" s="30">
        <f>IF(O9=0,"No cubierto",IF(O9=1,"Débil (1 tema)",IF(O9&lt;=3,"Básica (2–3)","Sólida (4+)")))</f>
        <v/>
      </c>
      <c r="S9" s="30">
        <f>IFERROR(INDEX($F$4:$H$4,MATCH(TRUE,INDEX(F9:H9&gt;0,0),0)),"—")</f>
        <v/>
      </c>
      <c r="T9" s="30" t="inlineStr">
        <is>
          <t>Hoy: 2° U4 (1); 3° U5 (1) · Propuesta 2-4-I20 (Presupuesto): 3.° · Comparación de rasgos heredados y no heredados entre crías y progenitores, y de estrategias que favorecen la supervivencia de la descendencia (muchas semillas, cuidado de crías).</t>
        </is>
      </c>
    </row>
    <row r="10">
      <c r="A10" s="30" t="inlineStr">
        <is>
          <t>T4_27-B2.2</t>
        </is>
      </c>
      <c r="B10" s="30" t="inlineStr">
        <is>
          <t>T4_27</t>
        </is>
      </c>
      <c r="C10" s="30" t="inlineStr">
        <is>
          <t>Biología</t>
        </is>
      </c>
      <c r="D10" s="30" t="inlineStr">
        <is>
          <t>Ciclos de vida, reproducción y herencia</t>
        </is>
      </c>
      <c r="E10" s="30" t="inlineStr">
        <is>
          <t>Herencia y estrategias de reproducción</t>
        </is>
      </c>
      <c r="F10" s="30">
        <f>COUNTIFS('Datos - Temas'!$V$5:$V$1264,F$4,'Datos - Temas'!$K$5:$K$1264,$A10)+COUNTIFS('Datos - Temas'!$V$5:$V$1264,F$4,'Datos - Temas'!$L$5:$L$1264,$A10)</f>
        <v/>
      </c>
      <c r="G10" s="30">
        <f>COUNTIFS('Datos - Temas'!$V$5:$V$1264,G$4,'Datos - Temas'!$K$5:$K$1264,$A10)+COUNTIFS('Datos - Temas'!$V$5:$V$1264,G$4,'Datos - Temas'!$L$5:$L$1264,$A10)</f>
        <v/>
      </c>
      <c r="H10" s="30">
        <f>COUNTIFS('Datos - Temas'!$V$5:$V$1264,H$4,'Datos - Temas'!$K$5:$K$1264,$A10)+COUNTIFS('Datos - Temas'!$V$5:$V$1264,H$4,'Datos - Temas'!$L$5:$L$1264,$A10)</f>
        <v/>
      </c>
      <c r="I10" s="30" t="inlineStr">
        <is>
          <t>N/A</t>
        </is>
      </c>
      <c r="J10" s="30" t="inlineStr">
        <is>
          <t>N/A</t>
        </is>
      </c>
      <c r="K10" s="30" t="inlineStr">
        <is>
          <t>N/A</t>
        </is>
      </c>
      <c r="L10" s="30" t="inlineStr">
        <is>
          <t>N/A</t>
        </is>
      </c>
      <c r="M10" s="30" t="inlineStr">
        <is>
          <t>N/A</t>
        </is>
      </c>
      <c r="N10" s="30" t="inlineStr">
        <is>
          <t>N/A</t>
        </is>
      </c>
      <c r="O10" s="30">
        <f>IF($B10="T4_27",SUM(F10:H10),IF($B10="T8_27",SUM(I10:L10),SUM(M10:N10)))</f>
        <v/>
      </c>
      <c r="P10" s="30">
        <f>COUNTIFS('Datos - Temas'!$K$5:$K$1264,$A10)</f>
        <v/>
      </c>
      <c r="Q10" s="30">
        <f>IF(O10&gt;0,"Sí","No")</f>
        <v/>
      </c>
      <c r="R10" s="30">
        <f>IF(O10=0,"No cubierto",IF(O10=1,"Débil (1 tema)",IF(O10&lt;=3,"Básica (2–3)","Sólida (4+)")))</f>
        <v/>
      </c>
      <c r="S10" s="30">
        <f>IFERROR(INDEX($F$4:$H$4,MATCH(TRUE,INDEX(F10:H10&gt;0,0),0)),"—")</f>
        <v/>
      </c>
      <c r="T10" s="30" t="inlineStr">
        <is>
          <t>Hoy: ningún tema de 2.°–9.° lo trabaja. · Propuesta 2-4-I20 (Presupuesto): 3.° · Comparación de rasgos heredados y no heredados entre crías y progenitores, y de estrategias que favorecen la supervivencia de la descendencia (muchas semillas, cuidado de crías).</t>
        </is>
      </c>
    </row>
    <row r="11">
      <c r="A11" s="30" t="inlineStr">
        <is>
          <t>T4_27-B3.1</t>
        </is>
      </c>
      <c r="B11" s="30" t="inlineStr">
        <is>
          <t>T4_27</t>
        </is>
      </c>
      <c r="C11" s="30" t="inlineStr">
        <is>
          <t>Biología</t>
        </is>
      </c>
      <c r="D11" s="30" t="inlineStr">
        <is>
          <t>Diversidad y adaptación</t>
        </is>
      </c>
      <c r="E11" s="30" t="inlineStr">
        <is>
          <t>Rasgos físicos y conductas que ayudan a sobrevivir en el ambiente</t>
        </is>
      </c>
      <c r="F11" s="30">
        <f>COUNTIFS('Datos - Temas'!$V$5:$V$1264,F$4,'Datos - Temas'!$K$5:$K$1264,$A11)+COUNTIFS('Datos - Temas'!$V$5:$V$1264,F$4,'Datos - Temas'!$L$5:$L$1264,$A11)</f>
        <v/>
      </c>
      <c r="G11" s="30">
        <f>COUNTIFS('Datos - Temas'!$V$5:$V$1264,G$4,'Datos - Temas'!$K$5:$K$1264,$A11)+COUNTIFS('Datos - Temas'!$V$5:$V$1264,G$4,'Datos - Temas'!$L$5:$L$1264,$A11)</f>
        <v/>
      </c>
      <c r="H11" s="30">
        <f>COUNTIFS('Datos - Temas'!$V$5:$V$1264,H$4,'Datos - Temas'!$K$5:$K$1264,$A11)+COUNTIFS('Datos - Temas'!$V$5:$V$1264,H$4,'Datos - Temas'!$L$5:$L$1264,$A11)</f>
        <v/>
      </c>
      <c r="I11" s="30" t="inlineStr">
        <is>
          <t>N/A</t>
        </is>
      </c>
      <c r="J11" s="30" t="inlineStr">
        <is>
          <t>N/A</t>
        </is>
      </c>
      <c r="K11" s="30" t="inlineStr">
        <is>
          <t>N/A</t>
        </is>
      </c>
      <c r="L11" s="30" t="inlineStr">
        <is>
          <t>N/A</t>
        </is>
      </c>
      <c r="M11" s="30" t="inlineStr">
        <is>
          <t>N/A</t>
        </is>
      </c>
      <c r="N11" s="30" t="inlineStr">
        <is>
          <t>N/A</t>
        </is>
      </c>
      <c r="O11" s="30">
        <f>IF($B11="T4_27",SUM(F11:H11),IF($B11="T8_27",SUM(I11:L11),SUM(M11:N11)))</f>
        <v/>
      </c>
      <c r="P11" s="30">
        <f>COUNTIFS('Datos - Temas'!$K$5:$K$1264,$A11)</f>
        <v/>
      </c>
      <c r="Q11" s="30">
        <f>IF(O11&gt;0,"Sí","No")</f>
        <v/>
      </c>
      <c r="R11" s="30">
        <f>IF(O11=0,"No cubierto",IF(O11=1,"Débil (1 tema)",IF(O11&lt;=3,"Básica (2–3)","Sólida (4+)")))</f>
        <v/>
      </c>
      <c r="S11" s="30">
        <f>IFERROR(INDEX($F$4:$H$4,MATCH(TRUE,INDEX(F11:H11&gt;0,0),0)),"—")</f>
        <v/>
      </c>
      <c r="T11" s="30" t="inlineStr">
        <is>
          <t>Hoy: 2° U4 (2)</t>
        </is>
      </c>
    </row>
    <row r="12">
      <c r="A12" s="30" t="inlineStr">
        <is>
          <t>T4_27-B4.1</t>
        </is>
      </c>
      <c r="B12" s="30" t="inlineStr">
        <is>
          <t>T4_27</t>
        </is>
      </c>
      <c r="C12" s="30" t="inlineStr">
        <is>
          <t>Biología</t>
        </is>
      </c>
      <c r="D12" s="30" t="inlineStr">
        <is>
          <t>Ecosistemas</t>
        </is>
      </c>
      <c r="E12" s="30" t="inlineStr">
        <is>
          <t>Ecosistemas comunes</t>
        </is>
      </c>
      <c r="F12" s="30">
        <f>COUNTIFS('Datos - Temas'!$V$5:$V$1264,F$4,'Datos - Temas'!$K$5:$K$1264,$A12)+COUNTIFS('Datos - Temas'!$V$5:$V$1264,F$4,'Datos - Temas'!$L$5:$L$1264,$A12)</f>
        <v/>
      </c>
      <c r="G12" s="30">
        <f>COUNTIFS('Datos - Temas'!$V$5:$V$1264,G$4,'Datos - Temas'!$K$5:$K$1264,$A12)+COUNTIFS('Datos - Temas'!$V$5:$V$1264,G$4,'Datos - Temas'!$L$5:$L$1264,$A12)</f>
        <v/>
      </c>
      <c r="H12" s="30">
        <f>COUNTIFS('Datos - Temas'!$V$5:$V$1264,H$4,'Datos - Temas'!$K$5:$K$1264,$A12)+COUNTIFS('Datos - Temas'!$V$5:$V$1264,H$4,'Datos - Temas'!$L$5:$L$1264,$A12)</f>
        <v/>
      </c>
      <c r="I12" s="30" t="inlineStr">
        <is>
          <t>N/A</t>
        </is>
      </c>
      <c r="J12" s="30" t="inlineStr">
        <is>
          <t>N/A</t>
        </is>
      </c>
      <c r="K12" s="30" t="inlineStr">
        <is>
          <t>N/A</t>
        </is>
      </c>
      <c r="L12" s="30" t="inlineStr">
        <is>
          <t>N/A</t>
        </is>
      </c>
      <c r="M12" s="30" t="inlineStr">
        <is>
          <t>N/A</t>
        </is>
      </c>
      <c r="N12" s="30" t="inlineStr">
        <is>
          <t>N/A</t>
        </is>
      </c>
      <c r="O12" s="30">
        <f>IF($B12="T4_27",SUM(F12:H12),IF($B12="T8_27",SUM(I12:L12),SUM(M12:N12)))</f>
        <v/>
      </c>
      <c r="P12" s="30">
        <f>COUNTIFS('Datos - Temas'!$K$5:$K$1264,$A12)</f>
        <v/>
      </c>
      <c r="Q12" s="30">
        <f>IF(O12&gt;0,"Sí","No")</f>
        <v/>
      </c>
      <c r="R12" s="30">
        <f>IF(O12=0,"No cubierto",IF(O12=1,"Débil (1 tema)",IF(O12&lt;=3,"Básica (2–3)","Sólida (4+)")))</f>
        <v/>
      </c>
      <c r="S12" s="30">
        <f>IFERROR(INDEX($F$4:$H$4,MATCH(TRUE,INDEX(F12:H12&gt;0,0),0)),"—")</f>
        <v/>
      </c>
      <c r="T12" s="30" t="inlineStr">
        <is>
          <t>Hoy: 2° U4 (3); 4° U3 (5)</t>
        </is>
      </c>
    </row>
    <row r="13">
      <c r="A13" s="30" t="inlineStr">
        <is>
          <t>T4_27-B4.2</t>
        </is>
      </c>
      <c r="B13" s="30" t="inlineStr">
        <is>
          <t>T4_27</t>
        </is>
      </c>
      <c r="C13" s="30" t="inlineStr">
        <is>
          <t>Biología</t>
        </is>
      </c>
      <c r="D13" s="30" t="inlineStr">
        <is>
          <t>Ecosistemas</t>
        </is>
      </c>
      <c r="E13" s="30" t="inlineStr">
        <is>
          <t>Relaciones en los ecosistemas</t>
        </is>
      </c>
      <c r="F13" s="30">
        <f>COUNTIFS('Datos - Temas'!$V$5:$V$1264,F$4,'Datos - Temas'!$K$5:$K$1264,$A13)+COUNTIFS('Datos - Temas'!$V$5:$V$1264,F$4,'Datos - Temas'!$L$5:$L$1264,$A13)</f>
        <v/>
      </c>
      <c r="G13" s="30">
        <f>COUNTIFS('Datos - Temas'!$V$5:$V$1264,G$4,'Datos - Temas'!$K$5:$K$1264,$A13)+COUNTIFS('Datos - Temas'!$V$5:$V$1264,G$4,'Datos - Temas'!$L$5:$L$1264,$A13)</f>
        <v/>
      </c>
      <c r="H13" s="30">
        <f>COUNTIFS('Datos - Temas'!$V$5:$V$1264,H$4,'Datos - Temas'!$K$5:$K$1264,$A13)+COUNTIFS('Datos - Temas'!$V$5:$V$1264,H$4,'Datos - Temas'!$L$5:$L$1264,$A13)</f>
        <v/>
      </c>
      <c r="I13" s="30" t="inlineStr">
        <is>
          <t>N/A</t>
        </is>
      </c>
      <c r="J13" s="30" t="inlineStr">
        <is>
          <t>N/A</t>
        </is>
      </c>
      <c r="K13" s="30" t="inlineStr">
        <is>
          <t>N/A</t>
        </is>
      </c>
      <c r="L13" s="30" t="inlineStr">
        <is>
          <t>N/A</t>
        </is>
      </c>
      <c r="M13" s="30" t="inlineStr">
        <is>
          <t>N/A</t>
        </is>
      </c>
      <c r="N13" s="30" t="inlineStr">
        <is>
          <t>N/A</t>
        </is>
      </c>
      <c r="O13" s="30">
        <f>IF($B13="T4_27",SUM(F13:H13),IF($B13="T8_27",SUM(I13:L13),SUM(M13:N13)))</f>
        <v/>
      </c>
      <c r="P13" s="30">
        <f>COUNTIFS('Datos - Temas'!$K$5:$K$1264,$A13)</f>
        <v/>
      </c>
      <c r="Q13" s="30">
        <f>IF(O13&gt;0,"Sí","No")</f>
        <v/>
      </c>
      <c r="R13" s="30">
        <f>IF(O13=0,"No cubierto",IF(O13=1,"Débil (1 tema)",IF(O13&lt;=3,"Básica (2–3)","Sólida (4+)")))</f>
        <v/>
      </c>
      <c r="S13" s="30">
        <f>IFERROR(INDEX($F$4:$H$4,MATCH(TRUE,INDEX(F13:H13&gt;0,0),0)),"—")</f>
        <v/>
      </c>
      <c r="T13" s="30" t="inlineStr">
        <is>
          <t>Hoy: 3° U6 (1); 4° U3 (4)</t>
        </is>
      </c>
    </row>
    <row r="14">
      <c r="A14" s="30" t="inlineStr">
        <is>
          <t>T4_27-B4.3</t>
        </is>
      </c>
      <c r="B14" s="30" t="inlineStr">
        <is>
          <t>T4_27</t>
        </is>
      </c>
      <c r="C14" s="30" t="inlineStr">
        <is>
          <t>Biología</t>
        </is>
      </c>
      <c r="D14" s="30" t="inlineStr">
        <is>
          <t>Ecosistemas</t>
        </is>
      </c>
      <c r="E14" s="30" t="inlineStr">
        <is>
          <t>Impacto humano en los ecosistemas</t>
        </is>
      </c>
      <c r="F14" s="30">
        <f>COUNTIFS('Datos - Temas'!$V$5:$V$1264,F$4,'Datos - Temas'!$K$5:$K$1264,$A14)+COUNTIFS('Datos - Temas'!$V$5:$V$1264,F$4,'Datos - Temas'!$L$5:$L$1264,$A14)</f>
        <v/>
      </c>
      <c r="G14" s="30">
        <f>COUNTIFS('Datos - Temas'!$V$5:$V$1264,G$4,'Datos - Temas'!$K$5:$K$1264,$A14)+COUNTIFS('Datos - Temas'!$V$5:$V$1264,G$4,'Datos - Temas'!$L$5:$L$1264,$A14)</f>
        <v/>
      </c>
      <c r="H14" s="30">
        <f>COUNTIFS('Datos - Temas'!$V$5:$V$1264,H$4,'Datos - Temas'!$K$5:$K$1264,$A14)+COUNTIFS('Datos - Temas'!$V$5:$V$1264,H$4,'Datos - Temas'!$L$5:$L$1264,$A14)</f>
        <v/>
      </c>
      <c r="I14" s="30" t="inlineStr">
        <is>
          <t>N/A</t>
        </is>
      </c>
      <c r="J14" s="30" t="inlineStr">
        <is>
          <t>N/A</t>
        </is>
      </c>
      <c r="K14" s="30" t="inlineStr">
        <is>
          <t>N/A</t>
        </is>
      </c>
      <c r="L14" s="30" t="inlineStr">
        <is>
          <t>N/A</t>
        </is>
      </c>
      <c r="M14" s="30" t="inlineStr">
        <is>
          <t>N/A</t>
        </is>
      </c>
      <c r="N14" s="30" t="inlineStr">
        <is>
          <t>N/A</t>
        </is>
      </c>
      <c r="O14" s="30">
        <f>IF($B14="T4_27",SUM(F14:H14),IF($B14="T8_27",SUM(I14:L14),SUM(M14:N14)))</f>
        <v/>
      </c>
      <c r="P14" s="30">
        <f>COUNTIFS('Datos - Temas'!$K$5:$K$1264,$A14)</f>
        <v/>
      </c>
      <c r="Q14" s="30">
        <f>IF(O14&gt;0,"Sí","No")</f>
        <v/>
      </c>
      <c r="R14" s="30">
        <f>IF(O14=0,"No cubierto",IF(O14=1,"Débil (1 tema)",IF(O14&lt;=3,"Básica (2–3)","Sólida (4+)")))</f>
        <v/>
      </c>
      <c r="S14" s="30">
        <f>IFERROR(INDEX($F$4:$H$4,MATCH(TRUE,INDEX(F14:H14&gt;0,0),0)),"—")</f>
        <v/>
      </c>
      <c r="T14" s="30" t="inlineStr">
        <is>
          <t>Hoy: 2° U4 (1); 2° U5 (1); 2° U6 (3); 3° U3 (1)</t>
        </is>
      </c>
    </row>
    <row r="15">
      <c r="A15" s="30" t="inlineStr">
        <is>
          <t>T4_27-B5.1</t>
        </is>
      </c>
      <c r="B15" s="30" t="inlineStr">
        <is>
          <t>T4_27</t>
        </is>
      </c>
      <c r="C15" s="30" t="inlineStr">
        <is>
          <t>Biología</t>
        </is>
      </c>
      <c r="D15" s="30" t="inlineStr">
        <is>
          <t>Salud humana</t>
        </is>
      </c>
      <c r="E15" s="30" t="inlineStr">
        <is>
          <t>Transmisión y prevención de enfermedades</t>
        </is>
      </c>
      <c r="F15" s="30">
        <f>COUNTIFS('Datos - Temas'!$V$5:$V$1264,F$4,'Datos - Temas'!$K$5:$K$1264,$A15)+COUNTIFS('Datos - Temas'!$V$5:$V$1264,F$4,'Datos - Temas'!$L$5:$L$1264,$A15)</f>
        <v/>
      </c>
      <c r="G15" s="30">
        <f>COUNTIFS('Datos - Temas'!$V$5:$V$1264,G$4,'Datos - Temas'!$K$5:$K$1264,$A15)+COUNTIFS('Datos - Temas'!$V$5:$V$1264,G$4,'Datos - Temas'!$L$5:$L$1264,$A15)</f>
        <v/>
      </c>
      <c r="H15" s="30">
        <f>COUNTIFS('Datos - Temas'!$V$5:$V$1264,H$4,'Datos - Temas'!$K$5:$K$1264,$A15)+COUNTIFS('Datos - Temas'!$V$5:$V$1264,H$4,'Datos - Temas'!$L$5:$L$1264,$A15)</f>
        <v/>
      </c>
      <c r="I15" s="30" t="inlineStr">
        <is>
          <t>N/A</t>
        </is>
      </c>
      <c r="J15" s="30" t="inlineStr">
        <is>
          <t>N/A</t>
        </is>
      </c>
      <c r="K15" s="30" t="inlineStr">
        <is>
          <t>N/A</t>
        </is>
      </c>
      <c r="L15" s="30" t="inlineStr">
        <is>
          <t>N/A</t>
        </is>
      </c>
      <c r="M15" s="30" t="inlineStr">
        <is>
          <t>N/A</t>
        </is>
      </c>
      <c r="N15" s="30" t="inlineStr">
        <is>
          <t>N/A</t>
        </is>
      </c>
      <c r="O15" s="30">
        <f>IF($B15="T4_27",SUM(F15:H15),IF($B15="T8_27",SUM(I15:L15),SUM(M15:N15)))</f>
        <v/>
      </c>
      <c r="P15" s="30">
        <f>COUNTIFS('Datos - Temas'!$K$5:$K$1264,$A15)</f>
        <v/>
      </c>
      <c r="Q15" s="30">
        <f>IF(O15&gt;0,"Sí","No")</f>
        <v/>
      </c>
      <c r="R15" s="30">
        <f>IF(O15=0,"No cubierto",IF(O15=1,"Débil (1 tema)",IF(O15&lt;=3,"Básica (2–3)","Sólida (4+)")))</f>
        <v/>
      </c>
      <c r="S15" s="30">
        <f>IFERROR(INDEX($F$4:$H$4,MATCH(TRUE,INDEX(F15:H15&gt;0,0),0)),"—")</f>
        <v/>
      </c>
      <c r="T15" s="30" t="inlineStr">
        <is>
          <t>Hoy: 2° U6 (3); 3° U6 (5); 4° U2 (1)</t>
        </is>
      </c>
    </row>
    <row r="16">
      <c r="A16" s="30" t="inlineStr">
        <is>
          <t>T4_27-B5.2</t>
        </is>
      </c>
      <c r="B16" s="30" t="inlineStr">
        <is>
          <t>T4_27</t>
        </is>
      </c>
      <c r="C16" s="30" t="inlineStr">
        <is>
          <t>Biología</t>
        </is>
      </c>
      <c r="D16" s="30" t="inlineStr">
        <is>
          <t>Salud humana</t>
        </is>
      </c>
      <c r="E16" s="30" t="inlineStr">
        <is>
          <t>Hábitos para mantener una buena salud</t>
        </is>
      </c>
      <c r="F16" s="30">
        <f>COUNTIFS('Datos - Temas'!$V$5:$V$1264,F$4,'Datos - Temas'!$K$5:$K$1264,$A16)+COUNTIFS('Datos - Temas'!$V$5:$V$1264,F$4,'Datos - Temas'!$L$5:$L$1264,$A16)</f>
        <v/>
      </c>
      <c r="G16" s="30">
        <f>COUNTIFS('Datos - Temas'!$V$5:$V$1264,G$4,'Datos - Temas'!$K$5:$K$1264,$A16)+COUNTIFS('Datos - Temas'!$V$5:$V$1264,G$4,'Datos - Temas'!$L$5:$L$1264,$A16)</f>
        <v/>
      </c>
      <c r="H16" s="30">
        <f>COUNTIFS('Datos - Temas'!$V$5:$V$1264,H$4,'Datos - Temas'!$K$5:$K$1264,$A16)+COUNTIFS('Datos - Temas'!$V$5:$V$1264,H$4,'Datos - Temas'!$L$5:$L$1264,$A16)</f>
        <v/>
      </c>
      <c r="I16" s="30" t="inlineStr">
        <is>
          <t>N/A</t>
        </is>
      </c>
      <c r="J16" s="30" t="inlineStr">
        <is>
          <t>N/A</t>
        </is>
      </c>
      <c r="K16" s="30" t="inlineStr">
        <is>
          <t>N/A</t>
        </is>
      </c>
      <c r="L16" s="30" t="inlineStr">
        <is>
          <t>N/A</t>
        </is>
      </c>
      <c r="M16" s="30" t="inlineStr">
        <is>
          <t>N/A</t>
        </is>
      </c>
      <c r="N16" s="30" t="inlineStr">
        <is>
          <t>N/A</t>
        </is>
      </c>
      <c r="O16" s="30">
        <f>IF($B16="T4_27",SUM(F16:H16),IF($B16="T8_27",SUM(I16:L16),SUM(M16:N16)))</f>
        <v/>
      </c>
      <c r="P16" s="30">
        <f>COUNTIFS('Datos - Temas'!$K$5:$K$1264,$A16)</f>
        <v/>
      </c>
      <c r="Q16" s="30">
        <f>IF(O16&gt;0,"Sí","No")</f>
        <v/>
      </c>
      <c r="R16" s="30">
        <f>IF(O16=0,"No cubierto",IF(O16=1,"Débil (1 tema)",IF(O16&lt;=3,"Básica (2–3)","Sólida (4+)")))</f>
        <v/>
      </c>
      <c r="S16" s="30">
        <f>IFERROR(INDEX($F$4:$H$4,MATCH(TRUE,INDEX(F16:H16&gt;0,0),0)),"—")</f>
        <v/>
      </c>
      <c r="T16" s="30" t="inlineStr">
        <is>
          <t>Hoy: 2° U6 (1); 4° U2 (10); 4° U5 (2); 4° U6 (1)</t>
        </is>
      </c>
    </row>
    <row r="17">
      <c r="A17" s="30" t="inlineStr">
        <is>
          <t>T4_27-B6.1</t>
        </is>
      </c>
      <c r="B17" s="30" t="inlineStr">
        <is>
          <t>T4_27</t>
        </is>
      </c>
      <c r="C17" s="30" t="inlineStr">
        <is>
          <t>Biología</t>
        </is>
      </c>
      <c r="D17" s="30" t="inlineStr">
        <is>
          <t>Investigaciones biológicas</t>
        </is>
      </c>
      <c r="E17" s="30" t="inlineStr">
        <is>
          <t>Rasgos y equipo de una investigación biológica</t>
        </is>
      </c>
      <c r="F17" s="30">
        <f>COUNTIFS('Datos - Temas'!$V$5:$V$1264,F$4,'Datos - Temas'!$K$5:$K$1264,$A17)+COUNTIFS('Datos - Temas'!$V$5:$V$1264,F$4,'Datos - Temas'!$L$5:$L$1264,$A17)</f>
        <v/>
      </c>
      <c r="G17" s="30">
        <f>COUNTIFS('Datos - Temas'!$V$5:$V$1264,G$4,'Datos - Temas'!$K$5:$K$1264,$A17)+COUNTIFS('Datos - Temas'!$V$5:$V$1264,G$4,'Datos - Temas'!$L$5:$L$1264,$A17)</f>
        <v/>
      </c>
      <c r="H17" s="30">
        <f>COUNTIFS('Datos - Temas'!$V$5:$V$1264,H$4,'Datos - Temas'!$K$5:$K$1264,$A17)+COUNTIFS('Datos - Temas'!$V$5:$V$1264,H$4,'Datos - Temas'!$L$5:$L$1264,$A17)</f>
        <v/>
      </c>
      <c r="I17" s="30" t="inlineStr">
        <is>
          <t>N/A</t>
        </is>
      </c>
      <c r="J17" s="30" t="inlineStr">
        <is>
          <t>N/A</t>
        </is>
      </c>
      <c r="K17" s="30" t="inlineStr">
        <is>
          <t>N/A</t>
        </is>
      </c>
      <c r="L17" s="30" t="inlineStr">
        <is>
          <t>N/A</t>
        </is>
      </c>
      <c r="M17" s="30" t="inlineStr">
        <is>
          <t>N/A</t>
        </is>
      </c>
      <c r="N17" s="30" t="inlineStr">
        <is>
          <t>N/A</t>
        </is>
      </c>
      <c r="O17" s="30">
        <f>IF($B17="T4_27",SUM(F17:H17),IF($B17="T8_27",SUM(I17:L17),SUM(M17:N17)))</f>
        <v/>
      </c>
      <c r="P17" s="30">
        <f>COUNTIFS('Datos - Temas'!$K$5:$K$1264,$A17)</f>
        <v/>
      </c>
      <c r="Q17" s="30">
        <f>IF(O17&gt;0,"Sí","No")</f>
        <v/>
      </c>
      <c r="R17" s="30">
        <f>IF(O17=0,"No cubierto",IF(O17=1,"Débil (1 tema)",IF(O17&lt;=3,"Básica (2–3)","Sólida (4+)")))</f>
        <v/>
      </c>
      <c r="S17" s="30">
        <f>IFERROR(INDEX($F$4:$H$4,MATCH(TRUE,INDEX(F17:H17&gt;0,0),0)),"—")</f>
        <v/>
      </c>
      <c r="T17" s="30" t="inlineStr">
        <is>
          <t>Hoy: 2° U4 (1); 3° U3 (1); 3° U4 (2); 3° U5 (2); 3° U6 (5); 4° U2 (1); 4° U6 (1)</t>
        </is>
      </c>
    </row>
    <row r="18">
      <c r="A18" s="30" t="inlineStr">
        <is>
          <t>T4_27-P1.1</t>
        </is>
      </c>
      <c r="B18" s="30" t="inlineStr">
        <is>
          <t>T4_27</t>
        </is>
      </c>
      <c r="C18" s="30" t="inlineStr">
        <is>
          <t>Ciencias físicas</t>
        </is>
      </c>
      <c r="D18" s="30" t="inlineStr">
        <is>
          <t>Propiedades y cambios de la materia</t>
        </is>
      </c>
      <c r="E18" s="30" t="inlineStr">
        <is>
          <t>Estados de la materia</t>
        </is>
      </c>
      <c r="F18" s="30">
        <f>COUNTIFS('Datos - Temas'!$V$5:$V$1264,F$4,'Datos - Temas'!$K$5:$K$1264,$A18)+COUNTIFS('Datos - Temas'!$V$5:$V$1264,F$4,'Datos - Temas'!$L$5:$L$1264,$A18)</f>
        <v/>
      </c>
      <c r="G18" s="30">
        <f>COUNTIFS('Datos - Temas'!$V$5:$V$1264,G$4,'Datos - Temas'!$K$5:$K$1264,$A18)+COUNTIFS('Datos - Temas'!$V$5:$V$1264,G$4,'Datos - Temas'!$L$5:$L$1264,$A18)</f>
        <v/>
      </c>
      <c r="H18" s="30">
        <f>COUNTIFS('Datos - Temas'!$V$5:$V$1264,H$4,'Datos - Temas'!$K$5:$K$1264,$A18)+COUNTIFS('Datos - Temas'!$V$5:$V$1264,H$4,'Datos - Temas'!$L$5:$L$1264,$A18)</f>
        <v/>
      </c>
      <c r="I18" s="30" t="inlineStr">
        <is>
          <t>N/A</t>
        </is>
      </c>
      <c r="J18" s="30" t="inlineStr">
        <is>
          <t>N/A</t>
        </is>
      </c>
      <c r="K18" s="30" t="inlineStr">
        <is>
          <t>N/A</t>
        </is>
      </c>
      <c r="L18" s="30" t="inlineStr">
        <is>
          <t>N/A</t>
        </is>
      </c>
      <c r="M18" s="30" t="inlineStr">
        <is>
          <t>N/A</t>
        </is>
      </c>
      <c r="N18" s="30" t="inlineStr">
        <is>
          <t>N/A</t>
        </is>
      </c>
      <c r="O18" s="30">
        <f>IF($B18="T4_27",SUM(F18:H18),IF($B18="T8_27",SUM(I18:L18),SUM(M18:N18)))</f>
        <v/>
      </c>
      <c r="P18" s="30">
        <f>COUNTIFS('Datos - Temas'!$K$5:$K$1264,$A18)</f>
        <v/>
      </c>
      <c r="Q18" s="30">
        <f>IF(O18&gt;0,"Sí","No")</f>
        <v/>
      </c>
      <c r="R18" s="30">
        <f>IF(O18=0,"No cubierto",IF(O18=1,"Débil (1 tema)",IF(O18&lt;=3,"Básica (2–3)","Sólida (4+)")))</f>
        <v/>
      </c>
      <c r="S18" s="30">
        <f>IFERROR(INDEX($F$4:$H$4,MATCH(TRUE,INDEX(F18:H18&gt;0,0),0)),"—")</f>
        <v/>
      </c>
      <c r="T18" s="30" t="inlineStr">
        <is>
          <t>Hoy: 2° U1 (1); 3° U2 (1) · Propuesta 2-4-I05 (Presupuesto): 3.° · Comparación de la forma y el volumen de sólidos, líquidos y gases, y relación de la temperatura con los cambios de estado del agua.</t>
        </is>
      </c>
    </row>
    <row r="19">
      <c r="A19" s="30" t="inlineStr">
        <is>
          <t>T4_27-P1.2</t>
        </is>
      </c>
      <c r="B19" s="30" t="inlineStr">
        <is>
          <t>T4_27</t>
        </is>
      </c>
      <c r="C19" s="30" t="inlineStr">
        <is>
          <t>Ciencias físicas</t>
        </is>
      </c>
      <c r="D19" s="30" t="inlineStr">
        <is>
          <t>Propiedades y cambios de la materia</t>
        </is>
      </c>
      <c r="E19" s="30" t="inlineStr">
        <is>
          <t>Propiedades físicas para clasificar la materia</t>
        </is>
      </c>
      <c r="F19" s="30">
        <f>COUNTIFS('Datos - Temas'!$V$5:$V$1264,F$4,'Datos - Temas'!$K$5:$K$1264,$A19)+COUNTIFS('Datos - Temas'!$V$5:$V$1264,F$4,'Datos - Temas'!$L$5:$L$1264,$A19)</f>
        <v/>
      </c>
      <c r="G19" s="30">
        <f>COUNTIFS('Datos - Temas'!$V$5:$V$1264,G$4,'Datos - Temas'!$K$5:$K$1264,$A19)+COUNTIFS('Datos - Temas'!$V$5:$V$1264,G$4,'Datos - Temas'!$L$5:$L$1264,$A19)</f>
        <v/>
      </c>
      <c r="H19" s="30">
        <f>COUNTIFS('Datos - Temas'!$V$5:$V$1264,H$4,'Datos - Temas'!$K$5:$K$1264,$A19)+COUNTIFS('Datos - Temas'!$V$5:$V$1264,H$4,'Datos - Temas'!$L$5:$L$1264,$A19)</f>
        <v/>
      </c>
      <c r="I19" s="30" t="inlineStr">
        <is>
          <t>N/A</t>
        </is>
      </c>
      <c r="J19" s="30" t="inlineStr">
        <is>
          <t>N/A</t>
        </is>
      </c>
      <c r="K19" s="30" t="inlineStr">
        <is>
          <t>N/A</t>
        </is>
      </c>
      <c r="L19" s="30" t="inlineStr">
        <is>
          <t>N/A</t>
        </is>
      </c>
      <c r="M19" s="30" t="inlineStr">
        <is>
          <t>N/A</t>
        </is>
      </c>
      <c r="N19" s="30" t="inlineStr">
        <is>
          <t>N/A</t>
        </is>
      </c>
      <c r="O19" s="30">
        <f>IF($B19="T4_27",SUM(F19:H19),IF($B19="T8_27",SUM(I19:L19),SUM(M19:N19)))</f>
        <v/>
      </c>
      <c r="P19" s="30">
        <f>COUNTIFS('Datos - Temas'!$K$5:$K$1264,$A19)</f>
        <v/>
      </c>
      <c r="Q19" s="30">
        <f>IF(O19&gt;0,"Sí","No")</f>
        <v/>
      </c>
      <c r="R19" s="30">
        <f>IF(O19=0,"No cubierto",IF(O19=1,"Débil (1 tema)",IF(O19&lt;=3,"Básica (2–3)","Sólida (4+)")))</f>
        <v/>
      </c>
      <c r="S19" s="30">
        <f>IFERROR(INDEX($F$4:$H$4,MATCH(TRUE,INDEX(F19:H19&gt;0,0),0)),"—")</f>
        <v/>
      </c>
      <c r="T19" s="30" t="inlineStr">
        <is>
          <t>Hoy: 2° U1 (5); 2° U2 (1); 3° U3 (1) · Propuesta 2-4-I02 (Presupuesto): 4.° · Experimentación con la transferencia de calor entre objetos calientes y fríos en contacto, y con materiales conductores y aislantes térmicos de uso cotidiano.</t>
        </is>
      </c>
    </row>
    <row r="20">
      <c r="A20" s="30" t="inlineStr">
        <is>
          <t>T4_27-P1.3</t>
        </is>
      </c>
      <c r="B20" s="30" t="inlineStr">
        <is>
          <t>T4_27</t>
        </is>
      </c>
      <c r="C20" s="30" t="inlineStr">
        <is>
          <t>Ciencias físicas</t>
        </is>
      </c>
      <c r="D20" s="30" t="inlineStr">
        <is>
          <t>Propiedades y cambios de la materia</t>
        </is>
      </c>
      <c r="E20" s="30" t="inlineStr">
        <is>
          <t>Cambios físicos y químicos en la vida diaria</t>
        </is>
      </c>
      <c r="F20" s="30">
        <f>COUNTIFS('Datos - Temas'!$V$5:$V$1264,F$4,'Datos - Temas'!$K$5:$K$1264,$A20)+COUNTIFS('Datos - Temas'!$V$5:$V$1264,F$4,'Datos - Temas'!$L$5:$L$1264,$A20)</f>
        <v/>
      </c>
      <c r="G20" s="30">
        <f>COUNTIFS('Datos - Temas'!$V$5:$V$1264,G$4,'Datos - Temas'!$K$5:$K$1264,$A20)+COUNTIFS('Datos - Temas'!$V$5:$V$1264,G$4,'Datos - Temas'!$L$5:$L$1264,$A20)</f>
        <v/>
      </c>
      <c r="H20" s="30">
        <f>COUNTIFS('Datos - Temas'!$V$5:$V$1264,H$4,'Datos - Temas'!$K$5:$K$1264,$A20)+COUNTIFS('Datos - Temas'!$V$5:$V$1264,H$4,'Datos - Temas'!$L$5:$L$1264,$A20)</f>
        <v/>
      </c>
      <c r="I20" s="30" t="inlineStr">
        <is>
          <t>N/A</t>
        </is>
      </c>
      <c r="J20" s="30" t="inlineStr">
        <is>
          <t>N/A</t>
        </is>
      </c>
      <c r="K20" s="30" t="inlineStr">
        <is>
          <t>N/A</t>
        </is>
      </c>
      <c r="L20" s="30" t="inlineStr">
        <is>
          <t>N/A</t>
        </is>
      </c>
      <c r="M20" s="30" t="inlineStr">
        <is>
          <t>N/A</t>
        </is>
      </c>
      <c r="N20" s="30" t="inlineStr">
        <is>
          <t>N/A</t>
        </is>
      </c>
      <c r="O20" s="30">
        <f>IF($B20="T4_27",SUM(F20:H20),IF($B20="T8_27",SUM(I20:L20),SUM(M20:N20)))</f>
        <v/>
      </c>
      <c r="P20" s="30">
        <f>COUNTIFS('Datos - Temas'!$K$5:$K$1264,$A20)</f>
        <v/>
      </c>
      <c r="Q20" s="30">
        <f>IF(O20&gt;0,"Sí","No")</f>
        <v/>
      </c>
      <c r="R20" s="30">
        <f>IF(O20=0,"No cubierto",IF(O20=1,"Débil (1 tema)",IF(O20&lt;=3,"Básica (2–3)","Sólida (4+)")))</f>
        <v/>
      </c>
      <c r="S20" s="30">
        <f>IFERROR(INDEX($F$4:$H$4,MATCH(TRUE,INDEX(F20:H20&gt;0,0),0)),"—")</f>
        <v/>
      </c>
      <c r="T20" s="30" t="inlineStr">
        <is>
          <t>Hoy: 2° U1 (3); 3° U2 (5); 3° U3 (6); 3° U6 (1)</t>
        </is>
      </c>
    </row>
    <row r="21">
      <c r="A21" s="30" t="inlineStr">
        <is>
          <t>T4_27-P2.1</t>
        </is>
      </c>
      <c r="B21" s="30" t="inlineStr">
        <is>
          <t>T4_27</t>
        </is>
      </c>
      <c r="C21" s="30" t="inlineStr">
        <is>
          <t>Ciencias físicas</t>
        </is>
      </c>
      <c r="D21" s="30" t="inlineStr">
        <is>
          <t>Energía y transferencia de energía</t>
        </is>
      </c>
      <c r="E21" s="30" t="inlineStr">
        <is>
          <t>Usos de la energía en la vida diaria</t>
        </is>
      </c>
      <c r="F21" s="30">
        <f>COUNTIFS('Datos - Temas'!$V$5:$V$1264,F$4,'Datos - Temas'!$K$5:$K$1264,$A21)+COUNTIFS('Datos - Temas'!$V$5:$V$1264,F$4,'Datos - Temas'!$L$5:$L$1264,$A21)</f>
        <v/>
      </c>
      <c r="G21" s="30">
        <f>COUNTIFS('Datos - Temas'!$V$5:$V$1264,G$4,'Datos - Temas'!$K$5:$K$1264,$A21)+COUNTIFS('Datos - Temas'!$V$5:$V$1264,G$4,'Datos - Temas'!$L$5:$L$1264,$A21)</f>
        <v/>
      </c>
      <c r="H21" s="30">
        <f>COUNTIFS('Datos - Temas'!$V$5:$V$1264,H$4,'Datos - Temas'!$K$5:$K$1264,$A21)+COUNTIFS('Datos - Temas'!$V$5:$V$1264,H$4,'Datos - Temas'!$L$5:$L$1264,$A21)</f>
        <v/>
      </c>
      <c r="I21" s="30" t="inlineStr">
        <is>
          <t>N/A</t>
        </is>
      </c>
      <c r="J21" s="30" t="inlineStr">
        <is>
          <t>N/A</t>
        </is>
      </c>
      <c r="K21" s="30" t="inlineStr">
        <is>
          <t>N/A</t>
        </is>
      </c>
      <c r="L21" s="30" t="inlineStr">
        <is>
          <t>N/A</t>
        </is>
      </c>
      <c r="M21" s="30" t="inlineStr">
        <is>
          <t>N/A</t>
        </is>
      </c>
      <c r="N21" s="30" t="inlineStr">
        <is>
          <t>N/A</t>
        </is>
      </c>
      <c r="O21" s="30">
        <f>IF($B21="T4_27",SUM(F21:H21),IF($B21="T8_27",SUM(I21:L21),SUM(M21:N21)))</f>
        <v/>
      </c>
      <c r="P21" s="30">
        <f>COUNTIFS('Datos - Temas'!$K$5:$K$1264,$A21)</f>
        <v/>
      </c>
      <c r="Q21" s="30">
        <f>IF(O21&gt;0,"Sí","No")</f>
        <v/>
      </c>
      <c r="R21" s="30">
        <f>IF(O21=0,"No cubierto",IF(O21=1,"Débil (1 tema)",IF(O21&lt;=3,"Básica (2–3)","Sólida (4+)")))</f>
        <v/>
      </c>
      <c r="S21" s="30">
        <f>IFERROR(INDEX($F$4:$H$4,MATCH(TRUE,INDEX(F21:H21&gt;0,0),0)),"—")</f>
        <v/>
      </c>
      <c r="T21" s="30" t="inlineStr">
        <is>
          <t>Hoy: 2° U2 (4); 2° U5 (1); 4° U1 (3)</t>
        </is>
      </c>
    </row>
    <row r="22">
      <c r="A22" s="30" t="inlineStr">
        <is>
          <t>T4_27-P2.2</t>
        </is>
      </c>
      <c r="B22" s="30" t="inlineStr">
        <is>
          <t>T4_27</t>
        </is>
      </c>
      <c r="C22" s="30" t="inlineStr">
        <is>
          <t>Ciencias físicas</t>
        </is>
      </c>
      <c r="D22" s="30" t="inlineStr">
        <is>
          <t>Energía y transferencia de energía</t>
        </is>
      </c>
      <c r="E22" s="30" t="inlineStr">
        <is>
          <t>Calentamiento y enfriamiento</t>
        </is>
      </c>
      <c r="F22" s="30">
        <f>COUNTIFS('Datos - Temas'!$V$5:$V$1264,F$4,'Datos - Temas'!$K$5:$K$1264,$A22)+COUNTIFS('Datos - Temas'!$V$5:$V$1264,F$4,'Datos - Temas'!$L$5:$L$1264,$A22)</f>
        <v/>
      </c>
      <c r="G22" s="30">
        <f>COUNTIFS('Datos - Temas'!$V$5:$V$1264,G$4,'Datos - Temas'!$K$5:$K$1264,$A22)+COUNTIFS('Datos - Temas'!$V$5:$V$1264,G$4,'Datos - Temas'!$L$5:$L$1264,$A22)</f>
        <v/>
      </c>
      <c r="H22" s="30">
        <f>COUNTIFS('Datos - Temas'!$V$5:$V$1264,H$4,'Datos - Temas'!$K$5:$K$1264,$A22)+COUNTIFS('Datos - Temas'!$V$5:$V$1264,H$4,'Datos - Temas'!$L$5:$L$1264,$A22)</f>
        <v/>
      </c>
      <c r="I22" s="30" t="inlineStr">
        <is>
          <t>N/A</t>
        </is>
      </c>
      <c r="J22" s="30" t="inlineStr">
        <is>
          <t>N/A</t>
        </is>
      </c>
      <c r="K22" s="30" t="inlineStr">
        <is>
          <t>N/A</t>
        </is>
      </c>
      <c r="L22" s="30" t="inlineStr">
        <is>
          <t>N/A</t>
        </is>
      </c>
      <c r="M22" s="30" t="inlineStr">
        <is>
          <t>N/A</t>
        </is>
      </c>
      <c r="N22" s="30" t="inlineStr">
        <is>
          <t>N/A</t>
        </is>
      </c>
      <c r="O22" s="30">
        <f>IF($B22="T4_27",SUM(F22:H22),IF($B22="T8_27",SUM(I22:L22),SUM(M22:N22)))</f>
        <v/>
      </c>
      <c r="P22" s="30">
        <f>COUNTIFS('Datos - Temas'!$K$5:$K$1264,$A22)</f>
        <v/>
      </c>
      <c r="Q22" s="30">
        <f>IF(O22&gt;0,"Sí","No")</f>
        <v/>
      </c>
      <c r="R22" s="30">
        <f>IF(O22=0,"No cubierto",IF(O22=1,"Débil (1 tema)",IF(O22&lt;=3,"Básica (2–3)","Sólida (4+)")))</f>
        <v/>
      </c>
      <c r="S22" s="30">
        <f>IFERROR(INDEX($F$4:$H$4,MATCH(TRUE,INDEX(F22:H22&gt;0,0),0)),"—")</f>
        <v/>
      </c>
      <c r="T22" s="30" t="inlineStr">
        <is>
          <t>Hoy: 2° U2 (1) · Propuesta 2-4-I02 (Presupuesto): 4.° · Experimentación con la transferencia de calor entre objetos calientes y fríos en contacto, y con materiales conductores y aislantes térmicos de uso cotidiano.</t>
        </is>
      </c>
    </row>
    <row r="23">
      <c r="A23" s="30" t="inlineStr">
        <is>
          <t>T4_27-P3.1</t>
        </is>
      </c>
      <c r="B23" s="30" t="inlineStr">
        <is>
          <t>T4_27</t>
        </is>
      </c>
      <c r="C23" s="30" t="inlineStr">
        <is>
          <t>Ciencias físicas</t>
        </is>
      </c>
      <c r="D23" s="30" t="inlineStr">
        <is>
          <t>Luz y sonido</t>
        </is>
      </c>
      <c r="E23" s="30" t="inlineStr">
        <is>
          <t>La luz en la vida diaria</t>
        </is>
      </c>
      <c r="F23" s="30">
        <f>COUNTIFS('Datos - Temas'!$V$5:$V$1264,F$4,'Datos - Temas'!$K$5:$K$1264,$A23)+COUNTIFS('Datos - Temas'!$V$5:$V$1264,F$4,'Datos - Temas'!$L$5:$L$1264,$A23)</f>
        <v/>
      </c>
      <c r="G23" s="30">
        <f>COUNTIFS('Datos - Temas'!$V$5:$V$1264,G$4,'Datos - Temas'!$K$5:$K$1264,$A23)+COUNTIFS('Datos - Temas'!$V$5:$V$1264,G$4,'Datos - Temas'!$L$5:$L$1264,$A23)</f>
        <v/>
      </c>
      <c r="H23" s="30">
        <f>COUNTIFS('Datos - Temas'!$V$5:$V$1264,H$4,'Datos - Temas'!$K$5:$K$1264,$A23)+COUNTIFS('Datos - Temas'!$V$5:$V$1264,H$4,'Datos - Temas'!$L$5:$L$1264,$A23)</f>
        <v/>
      </c>
      <c r="I23" s="30" t="inlineStr">
        <is>
          <t>N/A</t>
        </is>
      </c>
      <c r="J23" s="30" t="inlineStr">
        <is>
          <t>N/A</t>
        </is>
      </c>
      <c r="K23" s="30" t="inlineStr">
        <is>
          <t>N/A</t>
        </is>
      </c>
      <c r="L23" s="30" t="inlineStr">
        <is>
          <t>N/A</t>
        </is>
      </c>
      <c r="M23" s="30" t="inlineStr">
        <is>
          <t>N/A</t>
        </is>
      </c>
      <c r="N23" s="30" t="inlineStr">
        <is>
          <t>N/A</t>
        </is>
      </c>
      <c r="O23" s="30">
        <f>IF($B23="T4_27",SUM(F23:H23),IF($B23="T8_27",SUM(I23:L23),SUM(M23:N23)))</f>
        <v/>
      </c>
      <c r="P23" s="30">
        <f>COUNTIFS('Datos - Temas'!$K$5:$K$1264,$A23)</f>
        <v/>
      </c>
      <c r="Q23" s="30">
        <f>IF(O23&gt;0,"Sí","No")</f>
        <v/>
      </c>
      <c r="R23" s="30">
        <f>IF(O23=0,"No cubierto",IF(O23=1,"Débil (1 tema)",IF(O23&lt;=3,"Básica (2–3)","Sólida (4+)")))</f>
        <v/>
      </c>
      <c r="S23" s="30">
        <f>IFERROR(INDEX($F$4:$H$4,MATCH(TRUE,INDEX(F23:H23&gt;0,0),0)),"—")</f>
        <v/>
      </c>
      <c r="T23" s="30" t="inlineStr">
        <is>
          <t>Hoy: 2° U2 (2) · Propuesta 2-4-I06 (Presupuesto): 4.° · Experimentación con la formación de sombras, la reflexión de la luz en espejos y la descomposición de la luz blanca (arcoíris).</t>
        </is>
      </c>
    </row>
    <row r="24">
      <c r="A24" s="30" t="inlineStr">
        <is>
          <t>T4_27-P3.2</t>
        </is>
      </c>
      <c r="B24" s="30" t="inlineStr">
        <is>
          <t>T4_27</t>
        </is>
      </c>
      <c r="C24" s="30" t="inlineStr">
        <is>
          <t>Ciencias físicas</t>
        </is>
      </c>
      <c r="D24" s="30" t="inlineStr">
        <is>
          <t>Luz y sonido</t>
        </is>
      </c>
      <c r="E24" s="30" t="inlineStr">
        <is>
          <t>El sonido en la vida diaria</t>
        </is>
      </c>
      <c r="F24" s="30">
        <f>COUNTIFS('Datos - Temas'!$V$5:$V$1264,F$4,'Datos - Temas'!$K$5:$K$1264,$A24)+COUNTIFS('Datos - Temas'!$V$5:$V$1264,F$4,'Datos - Temas'!$L$5:$L$1264,$A24)</f>
        <v/>
      </c>
      <c r="G24" s="30">
        <f>COUNTIFS('Datos - Temas'!$V$5:$V$1264,G$4,'Datos - Temas'!$K$5:$K$1264,$A24)+COUNTIFS('Datos - Temas'!$V$5:$V$1264,G$4,'Datos - Temas'!$L$5:$L$1264,$A24)</f>
        <v/>
      </c>
      <c r="H24" s="30">
        <f>COUNTIFS('Datos - Temas'!$V$5:$V$1264,H$4,'Datos - Temas'!$K$5:$K$1264,$A24)+COUNTIFS('Datos - Temas'!$V$5:$V$1264,H$4,'Datos - Temas'!$L$5:$L$1264,$A24)</f>
        <v/>
      </c>
      <c r="I24" s="30" t="inlineStr">
        <is>
          <t>N/A</t>
        </is>
      </c>
      <c r="J24" s="30" t="inlineStr">
        <is>
          <t>N/A</t>
        </is>
      </c>
      <c r="K24" s="30" t="inlineStr">
        <is>
          <t>N/A</t>
        </is>
      </c>
      <c r="L24" s="30" t="inlineStr">
        <is>
          <t>N/A</t>
        </is>
      </c>
      <c r="M24" s="30" t="inlineStr">
        <is>
          <t>N/A</t>
        </is>
      </c>
      <c r="N24" s="30" t="inlineStr">
        <is>
          <t>N/A</t>
        </is>
      </c>
      <c r="O24" s="30">
        <f>IF($B24="T4_27",SUM(F24:H24),IF($B24="T8_27",SUM(I24:L24),SUM(M24:N24)))</f>
        <v/>
      </c>
      <c r="P24" s="30">
        <f>COUNTIFS('Datos - Temas'!$K$5:$K$1264,$A24)</f>
        <v/>
      </c>
      <c r="Q24" s="30">
        <f>IF(O24&gt;0,"Sí","No")</f>
        <v/>
      </c>
      <c r="R24" s="30">
        <f>IF(O24=0,"No cubierto",IF(O24=1,"Débil (1 tema)",IF(O24&lt;=3,"Básica (2–3)","Sólida (4+)")))</f>
        <v/>
      </c>
      <c r="S24" s="30">
        <f>IFERROR(INDEX($F$4:$H$4,MATCH(TRUE,INDEX(F24:H24&gt;0,0),0)),"—")</f>
        <v/>
      </c>
      <c r="T24" s="30" t="inlineStr">
        <is>
          <t>Hoy: 2° U2 (1) · Propuesta 2-4-I03 (Presupuesto): 4.° · Experimentación con la propagación del sonido en el aire, el agua y los sólidos (teléfono de vasos) y la formación del eco.</t>
        </is>
      </c>
    </row>
    <row r="25">
      <c r="A25" s="30" t="inlineStr">
        <is>
          <t>T4_27-P4.1</t>
        </is>
      </c>
      <c r="B25" s="30" t="inlineStr">
        <is>
          <t>T4_27</t>
        </is>
      </c>
      <c r="C25" s="30" t="inlineStr">
        <is>
          <t>Ciencias físicas</t>
        </is>
      </c>
      <c r="D25" s="30" t="inlineStr">
        <is>
          <t>Electricidad y magnetismo</t>
        </is>
      </c>
      <c r="E25" s="30" t="inlineStr">
        <is>
          <t>Electricidad y dispositivos eléctricos sencillos</t>
        </is>
      </c>
      <c r="F25" s="30">
        <f>COUNTIFS('Datos - Temas'!$V$5:$V$1264,F$4,'Datos - Temas'!$K$5:$K$1264,$A25)+COUNTIFS('Datos - Temas'!$V$5:$V$1264,F$4,'Datos - Temas'!$L$5:$L$1264,$A25)</f>
        <v/>
      </c>
      <c r="G25" s="30">
        <f>COUNTIFS('Datos - Temas'!$V$5:$V$1264,G$4,'Datos - Temas'!$K$5:$K$1264,$A25)+COUNTIFS('Datos - Temas'!$V$5:$V$1264,G$4,'Datos - Temas'!$L$5:$L$1264,$A25)</f>
        <v/>
      </c>
      <c r="H25" s="30">
        <f>COUNTIFS('Datos - Temas'!$V$5:$V$1264,H$4,'Datos - Temas'!$K$5:$K$1264,$A25)+COUNTIFS('Datos - Temas'!$V$5:$V$1264,H$4,'Datos - Temas'!$L$5:$L$1264,$A25)</f>
        <v/>
      </c>
      <c r="I25" s="30" t="inlineStr">
        <is>
          <t>N/A</t>
        </is>
      </c>
      <c r="J25" s="30" t="inlineStr">
        <is>
          <t>N/A</t>
        </is>
      </c>
      <c r="K25" s="30" t="inlineStr">
        <is>
          <t>N/A</t>
        </is>
      </c>
      <c r="L25" s="30" t="inlineStr">
        <is>
          <t>N/A</t>
        </is>
      </c>
      <c r="M25" s="30" t="inlineStr">
        <is>
          <t>N/A</t>
        </is>
      </c>
      <c r="N25" s="30" t="inlineStr">
        <is>
          <t>N/A</t>
        </is>
      </c>
      <c r="O25" s="30">
        <f>IF($B25="T4_27",SUM(F25:H25),IF($B25="T8_27",SUM(I25:L25),SUM(M25:N25)))</f>
        <v/>
      </c>
      <c r="P25" s="30">
        <f>COUNTIFS('Datos - Temas'!$K$5:$K$1264,$A25)</f>
        <v/>
      </c>
      <c r="Q25" s="30">
        <f>IF(O25&gt;0,"Sí","No")</f>
        <v/>
      </c>
      <c r="R25" s="30">
        <f>IF(O25=0,"No cubierto",IF(O25=1,"Débil (1 tema)",IF(O25&lt;=3,"Básica (2–3)","Sólida (4+)")))</f>
        <v/>
      </c>
      <c r="S25" s="30">
        <f>IFERROR(INDEX($F$4:$H$4,MATCH(TRUE,INDEX(F25:H25&gt;0,0),0)),"—")</f>
        <v/>
      </c>
      <c r="T25" s="30" t="inlineStr">
        <is>
          <t>Hoy: 2° U2 (1); 4° U1 (2) · Propuesta 2-4-I01 (Presupuesto): 4.° · Construcción de circuitos eléctricos sencillos con pila, cables y bombillo, comparando circuitos abiertos y cerrados y su representación en diagramas.</t>
        </is>
      </c>
    </row>
    <row r="26">
      <c r="A26" s="30" t="inlineStr">
        <is>
          <t>T4_27-P4.2</t>
        </is>
      </c>
      <c r="B26" s="30" t="inlineStr">
        <is>
          <t>T4_27</t>
        </is>
      </c>
      <c r="C26" s="30" t="inlineStr">
        <is>
          <t>Ciencias físicas</t>
        </is>
      </c>
      <c r="D26" s="30" t="inlineStr">
        <is>
          <t>Electricidad y magnetismo</t>
        </is>
      </c>
      <c r="E26" s="30" t="inlineStr">
        <is>
          <t>Atracción y repulsión magnética</t>
        </is>
      </c>
      <c r="F26" s="30">
        <f>COUNTIFS('Datos - Temas'!$V$5:$V$1264,F$4,'Datos - Temas'!$K$5:$K$1264,$A26)+COUNTIFS('Datos - Temas'!$V$5:$V$1264,F$4,'Datos - Temas'!$L$5:$L$1264,$A26)</f>
        <v/>
      </c>
      <c r="G26" s="30">
        <f>COUNTIFS('Datos - Temas'!$V$5:$V$1264,G$4,'Datos - Temas'!$K$5:$K$1264,$A26)+COUNTIFS('Datos - Temas'!$V$5:$V$1264,G$4,'Datos - Temas'!$L$5:$L$1264,$A26)</f>
        <v/>
      </c>
      <c r="H26" s="30">
        <f>COUNTIFS('Datos - Temas'!$V$5:$V$1264,H$4,'Datos - Temas'!$K$5:$K$1264,$A26)+COUNTIFS('Datos - Temas'!$V$5:$V$1264,H$4,'Datos - Temas'!$L$5:$L$1264,$A26)</f>
        <v/>
      </c>
      <c r="I26" s="30" t="inlineStr">
        <is>
          <t>N/A</t>
        </is>
      </c>
      <c r="J26" s="30" t="inlineStr">
        <is>
          <t>N/A</t>
        </is>
      </c>
      <c r="K26" s="30" t="inlineStr">
        <is>
          <t>N/A</t>
        </is>
      </c>
      <c r="L26" s="30" t="inlineStr">
        <is>
          <t>N/A</t>
        </is>
      </c>
      <c r="M26" s="30" t="inlineStr">
        <is>
          <t>N/A</t>
        </is>
      </c>
      <c r="N26" s="30" t="inlineStr">
        <is>
          <t>N/A</t>
        </is>
      </c>
      <c r="O26" s="30">
        <f>IF($B26="T4_27",SUM(F26:H26),IF($B26="T8_27",SUM(I26:L26),SUM(M26:N26)))</f>
        <v/>
      </c>
      <c r="P26" s="30">
        <f>COUNTIFS('Datos - Temas'!$K$5:$K$1264,$A26)</f>
        <v/>
      </c>
      <c r="Q26" s="30">
        <f>IF(O26&gt;0,"Sí","No")</f>
        <v/>
      </c>
      <c r="R26" s="30">
        <f>IF(O26=0,"No cubierto",IF(O26=1,"Débil (1 tema)",IF(O26&lt;=3,"Básica (2–3)","Sólida (4+)")))</f>
        <v/>
      </c>
      <c r="S26" s="30">
        <f>IFERROR(INDEX($F$4:$H$4,MATCH(TRUE,INDEX(F26:H26&gt;0,0),0)),"—")</f>
        <v/>
      </c>
      <c r="T26" s="30" t="inlineStr">
        <is>
          <t>Hoy: 3° U1 (1) · Propuesta 2-4-I04 (Presupuesto): 3.° · Experimentación con imanes para identificar sus polos, la atracción y repulsión entre ellos y los objetos que atraen.</t>
        </is>
      </c>
    </row>
    <row r="27">
      <c r="A27" s="30" t="inlineStr">
        <is>
          <t>T4_27-P5.1</t>
        </is>
      </c>
      <c r="B27" s="30" t="inlineStr">
        <is>
          <t>T4_27</t>
        </is>
      </c>
      <c r="C27" s="30" t="inlineStr">
        <is>
          <t>Ciencias físicas</t>
        </is>
      </c>
      <c r="D27" s="30" t="inlineStr">
        <is>
          <t>Movimiento y fuerzas</t>
        </is>
      </c>
      <c r="E27" s="30" t="inlineStr">
        <is>
          <t>Fuerzas comunes y movimiento de los objetos</t>
        </is>
      </c>
      <c r="F27" s="30">
        <f>COUNTIFS('Datos - Temas'!$V$5:$V$1264,F$4,'Datos - Temas'!$K$5:$K$1264,$A27)+COUNTIFS('Datos - Temas'!$V$5:$V$1264,F$4,'Datos - Temas'!$L$5:$L$1264,$A27)</f>
        <v/>
      </c>
      <c r="G27" s="30">
        <f>COUNTIFS('Datos - Temas'!$V$5:$V$1264,G$4,'Datos - Temas'!$K$5:$K$1264,$A27)+COUNTIFS('Datos - Temas'!$V$5:$V$1264,G$4,'Datos - Temas'!$L$5:$L$1264,$A27)</f>
        <v/>
      </c>
      <c r="H27" s="30">
        <f>COUNTIFS('Datos - Temas'!$V$5:$V$1264,H$4,'Datos - Temas'!$K$5:$K$1264,$A27)+COUNTIFS('Datos - Temas'!$V$5:$V$1264,H$4,'Datos - Temas'!$L$5:$L$1264,$A27)</f>
        <v/>
      </c>
      <c r="I27" s="30" t="inlineStr">
        <is>
          <t>N/A</t>
        </is>
      </c>
      <c r="J27" s="30" t="inlineStr">
        <is>
          <t>N/A</t>
        </is>
      </c>
      <c r="K27" s="30" t="inlineStr">
        <is>
          <t>N/A</t>
        </is>
      </c>
      <c r="L27" s="30" t="inlineStr">
        <is>
          <t>N/A</t>
        </is>
      </c>
      <c r="M27" s="30" t="inlineStr">
        <is>
          <t>N/A</t>
        </is>
      </c>
      <c r="N27" s="30" t="inlineStr">
        <is>
          <t>N/A</t>
        </is>
      </c>
      <c r="O27" s="30">
        <f>IF($B27="T4_27",SUM(F27:H27),IF($B27="T8_27",SUM(I27:L27),SUM(M27:N27)))</f>
        <v/>
      </c>
      <c r="P27" s="30">
        <f>COUNTIFS('Datos - Temas'!$K$5:$K$1264,$A27)</f>
        <v/>
      </c>
      <c r="Q27" s="30">
        <f>IF(O27&gt;0,"Sí","No")</f>
        <v/>
      </c>
      <c r="R27" s="30">
        <f>IF(O27=0,"No cubierto",IF(O27=1,"Débil (1 tema)",IF(O27&lt;=3,"Básica (2–3)","Sólida (4+)")))</f>
        <v/>
      </c>
      <c r="S27" s="30">
        <f>IFERROR(INDEX($F$4:$H$4,MATCH(TRUE,INDEX(F27:H27&gt;0,0),0)),"—")</f>
        <v/>
      </c>
      <c r="T27" s="30" t="inlineStr">
        <is>
          <t>Hoy: 2° U2 (1); 2° U3 (3); 3° U1 (4) · Propuesta 2-4-I10 (Presupuesto): 4.° · Experimentación con la fricción y la resistencia del aire sobre el movimiento de objetos en distintas superficies, y con la gravedad.</t>
        </is>
      </c>
    </row>
    <row r="28">
      <c r="A28" s="30" t="inlineStr">
        <is>
          <t>T4_27-P5.2</t>
        </is>
      </c>
      <c r="B28" s="30" t="inlineStr">
        <is>
          <t>T4_27</t>
        </is>
      </c>
      <c r="C28" s="30" t="inlineStr">
        <is>
          <t>Ciencias físicas</t>
        </is>
      </c>
      <c r="D28" s="30" t="inlineStr">
        <is>
          <t>Movimiento y fuerzas</t>
        </is>
      </c>
      <c r="E28" s="30" t="inlineStr">
        <is>
          <t>Máquinas simples</t>
        </is>
      </c>
      <c r="F28" s="30">
        <f>COUNTIFS('Datos - Temas'!$V$5:$V$1264,F$4,'Datos - Temas'!$K$5:$K$1264,$A28)+COUNTIFS('Datos - Temas'!$V$5:$V$1264,F$4,'Datos - Temas'!$L$5:$L$1264,$A28)</f>
        <v/>
      </c>
      <c r="G28" s="30">
        <f>COUNTIFS('Datos - Temas'!$V$5:$V$1264,G$4,'Datos - Temas'!$K$5:$K$1264,$A28)+COUNTIFS('Datos - Temas'!$V$5:$V$1264,G$4,'Datos - Temas'!$L$5:$L$1264,$A28)</f>
        <v/>
      </c>
      <c r="H28" s="30">
        <f>COUNTIFS('Datos - Temas'!$V$5:$V$1264,H$4,'Datos - Temas'!$K$5:$K$1264,$A28)+COUNTIFS('Datos - Temas'!$V$5:$V$1264,H$4,'Datos - Temas'!$L$5:$L$1264,$A28)</f>
        <v/>
      </c>
      <c r="I28" s="30" t="inlineStr">
        <is>
          <t>N/A</t>
        </is>
      </c>
      <c r="J28" s="30" t="inlineStr">
        <is>
          <t>N/A</t>
        </is>
      </c>
      <c r="K28" s="30" t="inlineStr">
        <is>
          <t>N/A</t>
        </is>
      </c>
      <c r="L28" s="30" t="inlineStr">
        <is>
          <t>N/A</t>
        </is>
      </c>
      <c r="M28" s="30" t="inlineStr">
        <is>
          <t>N/A</t>
        </is>
      </c>
      <c r="N28" s="30" t="inlineStr">
        <is>
          <t>N/A</t>
        </is>
      </c>
      <c r="O28" s="30">
        <f>IF($B28="T4_27",SUM(F28:H28),IF($B28="T8_27",SUM(I28:L28),SUM(M28:N28)))</f>
        <v/>
      </c>
      <c r="P28" s="30">
        <f>COUNTIFS('Datos - Temas'!$K$5:$K$1264,$A28)</f>
        <v/>
      </c>
      <c r="Q28" s="30">
        <f>IF(O28&gt;0,"Sí","No")</f>
        <v/>
      </c>
      <c r="R28" s="30">
        <f>IF(O28=0,"No cubierto",IF(O28=1,"Débil (1 tema)",IF(O28&lt;=3,"Básica (2–3)","Sólida (4+)")))</f>
        <v/>
      </c>
      <c r="S28" s="30">
        <f>IFERROR(INDEX($F$4:$H$4,MATCH(TRUE,INDEX(F28:H28&gt;0,0),0)),"—")</f>
        <v/>
      </c>
      <c r="T28" s="30" t="inlineStr">
        <is>
          <t>Hoy: 4° U1 (6)</t>
        </is>
      </c>
    </row>
    <row r="29">
      <c r="A29" s="30" t="inlineStr">
        <is>
          <t>T4_27-P6.1</t>
        </is>
      </c>
      <c r="B29" s="30" t="inlineStr">
        <is>
          <t>T4_27</t>
        </is>
      </c>
      <c r="C29" s="30" t="inlineStr">
        <is>
          <t>Ciencias físicas</t>
        </is>
      </c>
      <c r="D29" s="30" t="inlineStr">
        <is>
          <t>Investigaciones en ciencias físicas</t>
        </is>
      </c>
      <c r="E29" s="30" t="inlineStr">
        <is>
          <t>Rasgos y uso de equipo en una investigación de ciencias físicas</t>
        </is>
      </c>
      <c r="F29" s="30">
        <f>COUNTIFS('Datos - Temas'!$V$5:$V$1264,F$4,'Datos - Temas'!$K$5:$K$1264,$A29)+COUNTIFS('Datos - Temas'!$V$5:$V$1264,F$4,'Datos - Temas'!$L$5:$L$1264,$A29)</f>
        <v/>
      </c>
      <c r="G29" s="30">
        <f>COUNTIFS('Datos - Temas'!$V$5:$V$1264,G$4,'Datos - Temas'!$K$5:$K$1264,$A29)+COUNTIFS('Datos - Temas'!$V$5:$V$1264,G$4,'Datos - Temas'!$L$5:$L$1264,$A29)</f>
        <v/>
      </c>
      <c r="H29" s="30">
        <f>COUNTIFS('Datos - Temas'!$V$5:$V$1264,H$4,'Datos - Temas'!$K$5:$K$1264,$A29)+COUNTIFS('Datos - Temas'!$V$5:$V$1264,H$4,'Datos - Temas'!$L$5:$L$1264,$A29)</f>
        <v/>
      </c>
      <c r="I29" s="30" t="inlineStr">
        <is>
          <t>N/A</t>
        </is>
      </c>
      <c r="J29" s="30" t="inlineStr">
        <is>
          <t>N/A</t>
        </is>
      </c>
      <c r="K29" s="30" t="inlineStr">
        <is>
          <t>N/A</t>
        </is>
      </c>
      <c r="L29" s="30" t="inlineStr">
        <is>
          <t>N/A</t>
        </is>
      </c>
      <c r="M29" s="30" t="inlineStr">
        <is>
          <t>N/A</t>
        </is>
      </c>
      <c r="N29" s="30" t="inlineStr">
        <is>
          <t>N/A</t>
        </is>
      </c>
      <c r="O29" s="30">
        <f>IF($B29="T4_27",SUM(F29:H29),IF($B29="T8_27",SUM(I29:L29),SUM(M29:N29)))</f>
        <v/>
      </c>
      <c r="P29" s="30">
        <f>COUNTIFS('Datos - Temas'!$K$5:$K$1264,$A29)</f>
        <v/>
      </c>
      <c r="Q29" s="30">
        <f>IF(O29&gt;0,"Sí","No")</f>
        <v/>
      </c>
      <c r="R29" s="30">
        <f>IF(O29=0,"No cubierto",IF(O29=1,"Débil (1 tema)",IF(O29&lt;=3,"Básica (2–3)","Sólida (4+)")))</f>
        <v/>
      </c>
      <c r="S29" s="30">
        <f>IFERROR(INDEX($F$4:$H$4,MATCH(TRUE,INDEX(F29:H29&gt;0,0),0)),"—")</f>
        <v/>
      </c>
      <c r="T29" s="30" t="inlineStr">
        <is>
          <t>Hoy: 2° U1 (4); 2° U2 (1); 2° U5 (3); 3° U1 (3); 3° U2 (1); 3° U3 (2) · Propuesta 2-4-I09 (Presupuesto): 3.° · Medición con termómetro de los cambios de temperatura al mezclar o poner en contacto agua caliente y agua fría.</t>
        </is>
      </c>
    </row>
    <row r="30">
      <c r="A30" s="30" t="inlineStr">
        <is>
          <t>T4_27-E1.1</t>
        </is>
      </c>
      <c r="B30" s="30" t="inlineStr">
        <is>
          <t>T4_27</t>
        </is>
      </c>
      <c r="C30" s="30" t="inlineStr">
        <is>
          <t>Ciencias de la Tierra</t>
        </is>
      </c>
      <c r="D30" s="30" t="inlineStr">
        <is>
          <t>Rasgos, procesos e historia de la Tierra</t>
        </is>
      </c>
      <c r="E30" s="30" t="inlineStr">
        <is>
          <t>Características físicas de la superficie terrestre</t>
        </is>
      </c>
      <c r="F30" s="30">
        <f>COUNTIFS('Datos - Temas'!$V$5:$V$1264,F$4,'Datos - Temas'!$K$5:$K$1264,$A30)+COUNTIFS('Datos - Temas'!$V$5:$V$1264,F$4,'Datos - Temas'!$L$5:$L$1264,$A30)</f>
        <v/>
      </c>
      <c r="G30" s="30">
        <f>COUNTIFS('Datos - Temas'!$V$5:$V$1264,G$4,'Datos - Temas'!$K$5:$K$1264,$A30)+COUNTIFS('Datos - Temas'!$V$5:$V$1264,G$4,'Datos - Temas'!$L$5:$L$1264,$A30)</f>
        <v/>
      </c>
      <c r="H30" s="30">
        <f>COUNTIFS('Datos - Temas'!$V$5:$V$1264,H$4,'Datos - Temas'!$K$5:$K$1264,$A30)+COUNTIFS('Datos - Temas'!$V$5:$V$1264,H$4,'Datos - Temas'!$L$5:$L$1264,$A30)</f>
        <v/>
      </c>
      <c r="I30" s="30" t="inlineStr">
        <is>
          <t>N/A</t>
        </is>
      </c>
      <c r="J30" s="30" t="inlineStr">
        <is>
          <t>N/A</t>
        </is>
      </c>
      <c r="K30" s="30" t="inlineStr">
        <is>
          <t>N/A</t>
        </is>
      </c>
      <c r="L30" s="30" t="inlineStr">
        <is>
          <t>N/A</t>
        </is>
      </c>
      <c r="M30" s="30" t="inlineStr">
        <is>
          <t>N/A</t>
        </is>
      </c>
      <c r="N30" s="30" t="inlineStr">
        <is>
          <t>N/A</t>
        </is>
      </c>
      <c r="O30" s="30">
        <f>IF($B30="T4_27",SUM(F30:H30),IF($B30="T8_27",SUM(I30:L30),SUM(M30:N30)))</f>
        <v/>
      </c>
      <c r="P30" s="30">
        <f>COUNTIFS('Datos - Temas'!$K$5:$K$1264,$A30)</f>
        <v/>
      </c>
      <c r="Q30" s="30">
        <f>IF(O30&gt;0,"Sí","No")</f>
        <v/>
      </c>
      <c r="R30" s="30">
        <f>IF(O30=0,"No cubierto",IF(O30=1,"Débil (1 tema)",IF(O30&lt;=3,"Básica (2–3)","Sólida (4+)")))</f>
        <v/>
      </c>
      <c r="S30" s="30">
        <f>IFERROR(INDEX($F$4:$H$4,MATCH(TRUE,INDEX(F30:H30&gt;0,0),0)),"—")</f>
        <v/>
      </c>
      <c r="T30" s="30" t="inlineStr">
        <is>
          <t>Hoy: 3° U2 (1); 3° U3 (5) · Propuesta 2-4-I19 (Presupuesto): 2.° · Representación de la proporción de agua y tierra en la superficie terrestre usando un globo terráqueo, distinguiendo agua dulce y salada.</t>
        </is>
      </c>
    </row>
    <row r="31">
      <c r="A31" s="30" t="inlineStr">
        <is>
          <t>T4_27-E1.2</t>
        </is>
      </c>
      <c r="B31" s="30" t="inlineStr">
        <is>
          <t>T4_27</t>
        </is>
      </c>
      <c r="C31" s="30" t="inlineStr">
        <is>
          <t>Ciencias de la Tierra</t>
        </is>
      </c>
      <c r="D31" s="30" t="inlineStr">
        <is>
          <t>Rasgos, procesos e historia de la Tierra</t>
        </is>
      </c>
      <c r="E31" s="30" t="inlineStr">
        <is>
          <t>Historia de la Tierra</t>
        </is>
      </c>
      <c r="F31" s="30">
        <f>COUNTIFS('Datos - Temas'!$V$5:$V$1264,F$4,'Datos - Temas'!$K$5:$K$1264,$A31)+COUNTIFS('Datos - Temas'!$V$5:$V$1264,F$4,'Datos - Temas'!$L$5:$L$1264,$A31)</f>
        <v/>
      </c>
      <c r="G31" s="30">
        <f>COUNTIFS('Datos - Temas'!$V$5:$V$1264,G$4,'Datos - Temas'!$K$5:$K$1264,$A31)+COUNTIFS('Datos - Temas'!$V$5:$V$1264,G$4,'Datos - Temas'!$L$5:$L$1264,$A31)</f>
        <v/>
      </c>
      <c r="H31" s="30">
        <f>COUNTIFS('Datos - Temas'!$V$5:$V$1264,H$4,'Datos - Temas'!$K$5:$K$1264,$A31)+COUNTIFS('Datos - Temas'!$V$5:$V$1264,H$4,'Datos - Temas'!$L$5:$L$1264,$A31)</f>
        <v/>
      </c>
      <c r="I31" s="30" t="inlineStr">
        <is>
          <t>N/A</t>
        </is>
      </c>
      <c r="J31" s="30" t="inlineStr">
        <is>
          <t>N/A</t>
        </is>
      </c>
      <c r="K31" s="30" t="inlineStr">
        <is>
          <t>N/A</t>
        </is>
      </c>
      <c r="L31" s="30" t="inlineStr">
        <is>
          <t>N/A</t>
        </is>
      </c>
      <c r="M31" s="30" t="inlineStr">
        <is>
          <t>N/A</t>
        </is>
      </c>
      <c r="N31" s="30" t="inlineStr">
        <is>
          <t>N/A</t>
        </is>
      </c>
      <c r="O31" s="30">
        <f>IF($B31="T4_27",SUM(F31:H31),IF($B31="T8_27",SUM(I31:L31),SUM(M31:N31)))</f>
        <v/>
      </c>
      <c r="P31" s="30">
        <f>COUNTIFS('Datos - Temas'!$K$5:$K$1264,$A31)</f>
        <v/>
      </c>
      <c r="Q31" s="30">
        <f>IF(O31&gt;0,"Sí","No")</f>
        <v/>
      </c>
      <c r="R31" s="30">
        <f>IF(O31=0,"No cubierto",IF(O31=1,"Débil (1 tema)",IF(O31&lt;=3,"Básica (2–3)","Sólida (4+)")))</f>
        <v/>
      </c>
      <c r="S31" s="30">
        <f>IFERROR(INDEX($F$4:$H$4,MATCH(TRUE,INDEX(F31:H31&gt;0,0),0)),"—")</f>
        <v/>
      </c>
      <c r="T31" s="30" t="inlineStr">
        <is>
          <t>Hoy: 3° U2 (2); 4° U3 (2) · Propuesta 2-4-I14 (Presupuesto): 3.° · Indagación sobre los fósiles como evidencia de seres vivos del pasado y de cambios en la superficie terrestre.</t>
        </is>
      </c>
    </row>
    <row r="32">
      <c r="A32" s="30" t="inlineStr">
        <is>
          <t>T4_27-E2.1</t>
        </is>
      </c>
      <c r="B32" s="30" t="inlineStr">
        <is>
          <t>T4_27</t>
        </is>
      </c>
      <c r="C32" s="30" t="inlineStr">
        <is>
          <t>Ciencias de la Tierra</t>
        </is>
      </c>
      <c r="D32" s="30" t="inlineStr">
        <is>
          <t>La atmósfera terrestre</t>
        </is>
      </c>
      <c r="E32" s="30" t="inlineStr">
        <is>
          <t>Tiempo atmosférico y climas</t>
        </is>
      </c>
      <c r="F32" s="30">
        <f>COUNTIFS('Datos - Temas'!$V$5:$V$1264,F$4,'Datos - Temas'!$K$5:$K$1264,$A32)+COUNTIFS('Datos - Temas'!$V$5:$V$1264,F$4,'Datos - Temas'!$L$5:$L$1264,$A32)</f>
        <v/>
      </c>
      <c r="G32" s="30">
        <f>COUNTIFS('Datos - Temas'!$V$5:$V$1264,G$4,'Datos - Temas'!$K$5:$K$1264,$A32)+COUNTIFS('Datos - Temas'!$V$5:$V$1264,G$4,'Datos - Temas'!$L$5:$L$1264,$A32)</f>
        <v/>
      </c>
      <c r="H32" s="30">
        <f>COUNTIFS('Datos - Temas'!$V$5:$V$1264,H$4,'Datos - Temas'!$K$5:$K$1264,$A32)+COUNTIFS('Datos - Temas'!$V$5:$V$1264,H$4,'Datos - Temas'!$L$5:$L$1264,$A32)</f>
        <v/>
      </c>
      <c r="I32" s="30" t="inlineStr">
        <is>
          <t>N/A</t>
        </is>
      </c>
      <c r="J32" s="30" t="inlineStr">
        <is>
          <t>N/A</t>
        </is>
      </c>
      <c r="K32" s="30" t="inlineStr">
        <is>
          <t>N/A</t>
        </is>
      </c>
      <c r="L32" s="30" t="inlineStr">
        <is>
          <t>N/A</t>
        </is>
      </c>
      <c r="M32" s="30" t="inlineStr">
        <is>
          <t>N/A</t>
        </is>
      </c>
      <c r="N32" s="30" t="inlineStr">
        <is>
          <t>N/A</t>
        </is>
      </c>
      <c r="O32" s="30">
        <f>IF($B32="T4_27",SUM(F32:H32),IF($B32="T8_27",SUM(I32:L32),SUM(M32:N32)))</f>
        <v/>
      </c>
      <c r="P32" s="30">
        <f>COUNTIFS('Datos - Temas'!$K$5:$K$1264,$A32)</f>
        <v/>
      </c>
      <c r="Q32" s="30">
        <f>IF(O32&gt;0,"Sí","No")</f>
        <v/>
      </c>
      <c r="R32" s="30">
        <f>IF(O32=0,"No cubierto",IF(O32=1,"Débil (1 tema)",IF(O32&lt;=3,"Básica (2–3)","Sólida (4+)")))</f>
        <v/>
      </c>
      <c r="S32" s="30">
        <f>IFERROR(INDEX($F$4:$H$4,MATCH(TRUE,INDEX(F32:H32&gt;0,0),0)),"—")</f>
        <v/>
      </c>
      <c r="T32" s="30" t="inlineStr">
        <is>
          <t>Hoy: 2° U3 (2); 4° U3 (3) · Propuesta 2-4-I13 (Presupuesto): 2.° · Registro diario del estado del tiempo (temperatura, lluvia, nubes y viento) con símbolos y un termómetro sencillo.</t>
        </is>
      </c>
    </row>
    <row r="33">
      <c r="A33" s="30" t="inlineStr">
        <is>
          <t>T4_27-E3.1</t>
        </is>
      </c>
      <c r="B33" s="30" t="inlineStr">
        <is>
          <t>T4_27</t>
        </is>
      </c>
      <c r="C33" s="30" t="inlineStr">
        <is>
          <t>Ciencias de la Tierra</t>
        </is>
      </c>
      <c r="D33" s="30" t="inlineStr">
        <is>
          <t>Recursos de la Tierra, uso y conservación</t>
        </is>
      </c>
      <c r="E33" s="30" t="inlineStr">
        <is>
          <t>Recursos de la Tierra</t>
        </is>
      </c>
      <c r="F33" s="30">
        <f>COUNTIFS('Datos - Temas'!$V$5:$V$1264,F$4,'Datos - Temas'!$K$5:$K$1264,$A33)+COUNTIFS('Datos - Temas'!$V$5:$V$1264,F$4,'Datos - Temas'!$L$5:$L$1264,$A33)</f>
        <v/>
      </c>
      <c r="G33" s="30">
        <f>COUNTIFS('Datos - Temas'!$V$5:$V$1264,G$4,'Datos - Temas'!$K$5:$K$1264,$A33)+COUNTIFS('Datos - Temas'!$V$5:$V$1264,G$4,'Datos - Temas'!$L$5:$L$1264,$A33)</f>
        <v/>
      </c>
      <c r="H33" s="30">
        <f>COUNTIFS('Datos - Temas'!$V$5:$V$1264,H$4,'Datos - Temas'!$K$5:$K$1264,$A33)+COUNTIFS('Datos - Temas'!$V$5:$V$1264,H$4,'Datos - Temas'!$L$5:$L$1264,$A33)</f>
        <v/>
      </c>
      <c r="I33" s="30" t="inlineStr">
        <is>
          <t>N/A</t>
        </is>
      </c>
      <c r="J33" s="30" t="inlineStr">
        <is>
          <t>N/A</t>
        </is>
      </c>
      <c r="K33" s="30" t="inlineStr">
        <is>
          <t>N/A</t>
        </is>
      </c>
      <c r="L33" s="30" t="inlineStr">
        <is>
          <t>N/A</t>
        </is>
      </c>
      <c r="M33" s="30" t="inlineStr">
        <is>
          <t>N/A</t>
        </is>
      </c>
      <c r="N33" s="30" t="inlineStr">
        <is>
          <t>N/A</t>
        </is>
      </c>
      <c r="O33" s="30">
        <f>IF($B33="T4_27",SUM(F33:H33),IF($B33="T8_27",SUM(I33:L33),SUM(M33:N33)))</f>
        <v/>
      </c>
      <c r="P33" s="30">
        <f>COUNTIFS('Datos - Temas'!$K$5:$K$1264,$A33)</f>
        <v/>
      </c>
      <c r="Q33" s="30">
        <f>IF(O33&gt;0,"Sí","No")</f>
        <v/>
      </c>
      <c r="R33" s="30">
        <f>IF(O33=0,"No cubierto",IF(O33=1,"Débil (1 tema)",IF(O33&lt;=3,"Básica (2–3)","Sólida (4+)")))</f>
        <v/>
      </c>
      <c r="S33" s="30">
        <f>IFERROR(INDEX($F$4:$H$4,MATCH(TRUE,INDEX(F33:H33&gt;0,0),0)),"—")</f>
        <v/>
      </c>
      <c r="T33" s="30" t="inlineStr">
        <is>
          <t>Hoy: 2° U2 (2); 2° U6 (2); 3° U2 (1); 3° U3 (6); 4° U2 (1)</t>
        </is>
      </c>
    </row>
    <row r="34">
      <c r="A34" s="30" t="inlineStr">
        <is>
          <t>T4_27-E4.1</t>
        </is>
      </c>
      <c r="B34" s="30" t="inlineStr">
        <is>
          <t>T4_27</t>
        </is>
      </c>
      <c r="C34" s="30" t="inlineStr">
        <is>
          <t>Ciencias de la Tierra</t>
        </is>
      </c>
      <c r="D34" s="30" t="inlineStr">
        <is>
          <t>La Tierra en el sistema solar</t>
        </is>
      </c>
      <c r="E34" s="30" t="inlineStr">
        <is>
          <t>Objetos del sistema solar y sus movimientos</t>
        </is>
      </c>
      <c r="F34" s="30">
        <f>COUNTIFS('Datos - Temas'!$V$5:$V$1264,F$4,'Datos - Temas'!$K$5:$K$1264,$A34)+COUNTIFS('Datos - Temas'!$V$5:$V$1264,F$4,'Datos - Temas'!$L$5:$L$1264,$A34)</f>
        <v/>
      </c>
      <c r="G34" s="30">
        <f>COUNTIFS('Datos - Temas'!$V$5:$V$1264,G$4,'Datos - Temas'!$K$5:$K$1264,$A34)+COUNTIFS('Datos - Temas'!$V$5:$V$1264,G$4,'Datos - Temas'!$L$5:$L$1264,$A34)</f>
        <v/>
      </c>
      <c r="H34" s="30">
        <f>COUNTIFS('Datos - Temas'!$V$5:$V$1264,H$4,'Datos - Temas'!$K$5:$K$1264,$A34)+COUNTIFS('Datos - Temas'!$V$5:$V$1264,H$4,'Datos - Temas'!$L$5:$L$1264,$A34)</f>
        <v/>
      </c>
      <c r="I34" s="30" t="inlineStr">
        <is>
          <t>N/A</t>
        </is>
      </c>
      <c r="J34" s="30" t="inlineStr">
        <is>
          <t>N/A</t>
        </is>
      </c>
      <c r="K34" s="30" t="inlineStr">
        <is>
          <t>N/A</t>
        </is>
      </c>
      <c r="L34" s="30" t="inlineStr">
        <is>
          <t>N/A</t>
        </is>
      </c>
      <c r="M34" s="30" t="inlineStr">
        <is>
          <t>N/A</t>
        </is>
      </c>
      <c r="N34" s="30" t="inlineStr">
        <is>
          <t>N/A</t>
        </is>
      </c>
      <c r="O34" s="30">
        <f>IF($B34="T4_27",SUM(F34:H34),IF($B34="T8_27",SUM(I34:L34),SUM(M34:N34)))</f>
        <v/>
      </c>
      <c r="P34" s="30">
        <f>COUNTIFS('Datos - Temas'!$K$5:$K$1264,$A34)</f>
        <v/>
      </c>
      <c r="Q34" s="30">
        <f>IF(O34&gt;0,"Sí","No")</f>
        <v/>
      </c>
      <c r="R34" s="30">
        <f>IF(O34=0,"No cubierto",IF(O34=1,"Débil (1 tema)",IF(O34&lt;=3,"Básica (2–3)","Sólida (4+)")))</f>
        <v/>
      </c>
      <c r="S34" s="30">
        <f>IFERROR(INDEX($F$4:$H$4,MATCH(TRUE,INDEX(F34:H34&gt;0,0),0)),"—")</f>
        <v/>
      </c>
      <c r="T34" s="30" t="inlineStr">
        <is>
          <t>Hoy: 4° U4 (10)</t>
        </is>
      </c>
    </row>
    <row r="35">
      <c r="A35" s="30" t="inlineStr">
        <is>
          <t>T4_27-E4.2</t>
        </is>
      </c>
      <c r="B35" s="30" t="inlineStr">
        <is>
          <t>T4_27</t>
        </is>
      </c>
      <c r="C35" s="30" t="inlineStr">
        <is>
          <t>Ciencias de la Tierra</t>
        </is>
      </c>
      <c r="D35" s="30" t="inlineStr">
        <is>
          <t>La Tierra en el sistema solar</t>
        </is>
      </c>
      <c r="E35" s="30" t="inlineStr">
        <is>
          <t>Movimientos de la Tierra y patrones observables</t>
        </is>
      </c>
      <c r="F35" s="30">
        <f>COUNTIFS('Datos - Temas'!$V$5:$V$1264,F$4,'Datos - Temas'!$K$5:$K$1264,$A35)+COUNTIFS('Datos - Temas'!$V$5:$V$1264,F$4,'Datos - Temas'!$L$5:$L$1264,$A35)</f>
        <v/>
      </c>
      <c r="G35" s="30">
        <f>COUNTIFS('Datos - Temas'!$V$5:$V$1264,G$4,'Datos - Temas'!$K$5:$K$1264,$A35)+COUNTIFS('Datos - Temas'!$V$5:$V$1264,G$4,'Datos - Temas'!$L$5:$L$1264,$A35)</f>
        <v/>
      </c>
      <c r="H35" s="30">
        <f>COUNTIFS('Datos - Temas'!$V$5:$V$1264,H$4,'Datos - Temas'!$K$5:$K$1264,$A35)+COUNTIFS('Datos - Temas'!$V$5:$V$1264,H$4,'Datos - Temas'!$L$5:$L$1264,$A35)</f>
        <v/>
      </c>
      <c r="I35" s="30" t="inlineStr">
        <is>
          <t>N/A</t>
        </is>
      </c>
      <c r="J35" s="30" t="inlineStr">
        <is>
          <t>N/A</t>
        </is>
      </c>
      <c r="K35" s="30" t="inlineStr">
        <is>
          <t>N/A</t>
        </is>
      </c>
      <c r="L35" s="30" t="inlineStr">
        <is>
          <t>N/A</t>
        </is>
      </c>
      <c r="M35" s="30" t="inlineStr">
        <is>
          <t>N/A</t>
        </is>
      </c>
      <c r="N35" s="30" t="inlineStr">
        <is>
          <t>N/A</t>
        </is>
      </c>
      <c r="O35" s="30">
        <f>IF($B35="T4_27",SUM(F35:H35),IF($B35="T8_27",SUM(I35:L35),SUM(M35:N35)))</f>
        <v/>
      </c>
      <c r="P35" s="30">
        <f>COUNTIFS('Datos - Temas'!$K$5:$K$1264,$A35)</f>
        <v/>
      </c>
      <c r="Q35" s="30">
        <f>IF(O35&gt;0,"Sí","No")</f>
        <v/>
      </c>
      <c r="R35" s="30">
        <f>IF(O35=0,"No cubierto",IF(O35=1,"Débil (1 tema)",IF(O35&lt;=3,"Básica (2–3)","Sólida (4+)")))</f>
        <v/>
      </c>
      <c r="S35" s="30">
        <f>IFERROR(INDEX($F$4:$H$4,MATCH(TRUE,INDEX(F35:H35&gt;0,0),0)),"—")</f>
        <v/>
      </c>
      <c r="T35" s="30" t="inlineStr">
        <is>
          <t>Hoy: 2° U3 (3) · Propuesta 2-4-I18 (Presupuesto): 2.° · Observación y registro de la posición del Sol y del tamaño de las sombras a lo largo del día.</t>
        </is>
      </c>
    </row>
    <row r="36">
      <c r="A36" s="30" t="inlineStr">
        <is>
          <t>T4_27-E5.1</t>
        </is>
      </c>
      <c r="B36" s="30" t="inlineStr">
        <is>
          <t>T4_27</t>
        </is>
      </c>
      <c r="C36" s="30" t="inlineStr">
        <is>
          <t>Ciencias de la Tierra</t>
        </is>
      </c>
      <c r="D36" s="30" t="inlineStr">
        <is>
          <t>Investigaciones en ciencias de la Tierra</t>
        </is>
      </c>
      <c r="E36" s="30" t="inlineStr">
        <is>
          <t>Uso de equipo en investigaciones de ciencias de la Tierra</t>
        </is>
      </c>
      <c r="F36" s="30">
        <f>COUNTIFS('Datos - Temas'!$V$5:$V$1264,F$4,'Datos - Temas'!$K$5:$K$1264,$A36)+COUNTIFS('Datos - Temas'!$V$5:$V$1264,F$4,'Datos - Temas'!$L$5:$L$1264,$A36)</f>
        <v/>
      </c>
      <c r="G36" s="30">
        <f>COUNTIFS('Datos - Temas'!$V$5:$V$1264,G$4,'Datos - Temas'!$K$5:$K$1264,$A36)+COUNTIFS('Datos - Temas'!$V$5:$V$1264,G$4,'Datos - Temas'!$L$5:$L$1264,$A36)</f>
        <v/>
      </c>
      <c r="H36" s="30">
        <f>COUNTIFS('Datos - Temas'!$V$5:$V$1264,H$4,'Datos - Temas'!$K$5:$K$1264,$A36)+COUNTIFS('Datos - Temas'!$V$5:$V$1264,H$4,'Datos - Temas'!$L$5:$L$1264,$A36)</f>
        <v/>
      </c>
      <c r="I36" s="30" t="inlineStr">
        <is>
          <t>N/A</t>
        </is>
      </c>
      <c r="J36" s="30" t="inlineStr">
        <is>
          <t>N/A</t>
        </is>
      </c>
      <c r="K36" s="30" t="inlineStr">
        <is>
          <t>N/A</t>
        </is>
      </c>
      <c r="L36" s="30" t="inlineStr">
        <is>
          <t>N/A</t>
        </is>
      </c>
      <c r="M36" s="30" t="inlineStr">
        <is>
          <t>N/A</t>
        </is>
      </c>
      <c r="N36" s="30" t="inlineStr">
        <is>
          <t>N/A</t>
        </is>
      </c>
      <c r="O36" s="30">
        <f>IF($B36="T4_27",SUM(F36:H36),IF($B36="T8_27",SUM(I36:L36),SUM(M36:N36)))</f>
        <v/>
      </c>
      <c r="P36" s="30">
        <f>COUNTIFS('Datos - Temas'!$K$5:$K$1264,$A36)</f>
        <v/>
      </c>
      <c r="Q36" s="30">
        <f>IF(O36&gt;0,"Sí","No")</f>
        <v/>
      </c>
      <c r="R36" s="30">
        <f>IF(O36=0,"No cubierto",IF(O36=1,"Débil (1 tema)",IF(O36&lt;=3,"Básica (2–3)","Sólida (4+)")))</f>
        <v/>
      </c>
      <c r="S36" s="30">
        <f>IFERROR(INDEX($F$4:$H$4,MATCH(TRUE,INDEX(F36:H36&gt;0,0),0)),"—")</f>
        <v/>
      </c>
      <c r="T36" s="30" t="inlineStr">
        <is>
          <t>Hoy: 4° U4 (1) · Propuesta 2-4-I13 (Presupuesto): 2.° · Registro diario del estado del tiempo (temperatura, lluvia, nubes y viento) con símbolos y un termómetro sencillo.</t>
        </is>
      </c>
    </row>
    <row r="37">
      <c r="A37" s="30" t="inlineStr">
        <is>
          <t>T8_27-B1.1</t>
        </is>
      </c>
      <c r="B37" s="30" t="inlineStr">
        <is>
          <t>T8_27</t>
        </is>
      </c>
      <c r="C37" s="30" t="inlineStr">
        <is>
          <t>Biología</t>
        </is>
      </c>
      <c r="D37" s="30" t="inlineStr">
        <is>
          <t>Características y procesos vitales de los organismos</t>
        </is>
      </c>
      <c r="E37" s="30" t="inlineStr">
        <is>
          <t>Diferencias entre los grandes grupos taxonómicos</t>
        </is>
      </c>
      <c r="F37" s="30" t="inlineStr">
        <is>
          <t>N/A</t>
        </is>
      </c>
      <c r="G37" s="30" t="inlineStr">
        <is>
          <t>N/A</t>
        </is>
      </c>
      <c r="H37" s="30" t="inlineStr">
        <is>
          <t>N/A</t>
        </is>
      </c>
      <c r="I37" s="30">
        <f>COUNTIFS('Datos - Temas'!$V$5:$V$1264,I$4,'Datos - Temas'!$K$5:$K$1264,$A37)+COUNTIFS('Datos - Temas'!$V$5:$V$1264,I$4,'Datos - Temas'!$L$5:$L$1264,$A37)</f>
        <v/>
      </c>
      <c r="J37" s="30">
        <f>COUNTIFS('Datos - Temas'!$V$5:$V$1264,J$4,'Datos - Temas'!$K$5:$K$1264,$A37)+COUNTIFS('Datos - Temas'!$V$5:$V$1264,J$4,'Datos - Temas'!$L$5:$L$1264,$A37)</f>
        <v/>
      </c>
      <c r="K37" s="30">
        <f>COUNTIFS('Datos - Temas'!$V$5:$V$1264,K$4,'Datos - Temas'!$K$5:$K$1264,$A37)+COUNTIFS('Datos - Temas'!$V$5:$V$1264,K$4,'Datos - Temas'!$L$5:$L$1264,$A37)</f>
        <v/>
      </c>
      <c r="L37" s="30">
        <f>COUNTIFS('Datos - Temas'!$V$5:$V$1264,L$4,'Datos - Temas'!$K$5:$K$1264,$A37)+COUNTIFS('Datos - Temas'!$V$5:$V$1264,L$4,'Datos - Temas'!$L$5:$L$1264,$A37)</f>
        <v/>
      </c>
      <c r="M37" s="30" t="inlineStr">
        <is>
          <t>N/A</t>
        </is>
      </c>
      <c r="N37" s="30" t="inlineStr">
        <is>
          <t>N/A</t>
        </is>
      </c>
      <c r="O37" s="30">
        <f>IF($B37="T4_27",SUM(F37:H37),IF($B37="T8_27",SUM(I37:L37),SUM(M37:N37)))</f>
        <v/>
      </c>
      <c r="P37" s="30">
        <f>COUNTIFS('Datos - Temas'!$K$5:$K$1264,$A37)</f>
        <v/>
      </c>
      <c r="Q37" s="30">
        <f>IF(O37&gt;0,"Sí","No")</f>
        <v/>
      </c>
      <c r="R37" s="30">
        <f>IF(O37=0,"No cubierto",IF(O37=1,"Débil (1 tema)",IF(O37&lt;=3,"Básica (2–3)","Sólida (4+)")))</f>
        <v/>
      </c>
      <c r="S37" s="30">
        <f>IFERROR(INDEX($I$4:$L$4,MATCH(TRUE,INDEX(I37:L37&gt;0,0),0)),"—")</f>
        <v/>
      </c>
      <c r="T37" s="30" t="inlineStr">
        <is>
          <t>Hoy: 6° U5 (1); 7° U3 (11)</t>
        </is>
      </c>
    </row>
    <row r="38">
      <c r="A38" s="30" t="inlineStr">
        <is>
          <t>T8_27-B1.2</t>
        </is>
      </c>
      <c r="B38" s="30" t="inlineStr">
        <is>
          <t>T8_27</t>
        </is>
      </c>
      <c r="C38" s="30" t="inlineStr">
        <is>
          <t>Biología</t>
        </is>
      </c>
      <c r="D38" s="30" t="inlineStr">
        <is>
          <t>Características y procesos vitales de los organismos</t>
        </is>
      </c>
      <c r="E38" s="30" t="inlineStr">
        <is>
          <t>Estructura y función de los principales sistemas de órganos</t>
        </is>
      </c>
      <c r="F38" s="30" t="inlineStr">
        <is>
          <t>N/A</t>
        </is>
      </c>
      <c r="G38" s="30" t="inlineStr">
        <is>
          <t>N/A</t>
        </is>
      </c>
      <c r="H38" s="30" t="inlineStr">
        <is>
          <t>N/A</t>
        </is>
      </c>
      <c r="I38" s="30">
        <f>COUNTIFS('Datos - Temas'!$V$5:$V$1264,I$4,'Datos - Temas'!$K$5:$K$1264,$A38)+COUNTIFS('Datos - Temas'!$V$5:$V$1264,I$4,'Datos - Temas'!$L$5:$L$1264,$A38)</f>
        <v/>
      </c>
      <c r="J38" s="30">
        <f>COUNTIFS('Datos - Temas'!$V$5:$V$1264,J$4,'Datos - Temas'!$K$5:$K$1264,$A38)+COUNTIFS('Datos - Temas'!$V$5:$V$1264,J$4,'Datos - Temas'!$L$5:$L$1264,$A38)</f>
        <v/>
      </c>
      <c r="K38" s="30">
        <f>COUNTIFS('Datos - Temas'!$V$5:$V$1264,K$4,'Datos - Temas'!$K$5:$K$1264,$A38)+COUNTIFS('Datos - Temas'!$V$5:$V$1264,K$4,'Datos - Temas'!$L$5:$L$1264,$A38)</f>
        <v/>
      </c>
      <c r="L38" s="30">
        <f>COUNTIFS('Datos - Temas'!$V$5:$V$1264,L$4,'Datos - Temas'!$K$5:$K$1264,$A38)+COUNTIFS('Datos - Temas'!$V$5:$V$1264,L$4,'Datos - Temas'!$L$5:$L$1264,$A38)</f>
        <v/>
      </c>
      <c r="M38" s="30" t="inlineStr">
        <is>
          <t>N/A</t>
        </is>
      </c>
      <c r="N38" s="30" t="inlineStr">
        <is>
          <t>N/A</t>
        </is>
      </c>
      <c r="O38" s="30">
        <f>IF($B38="T4_27",SUM(F38:H38),IF($B38="T8_27",SUM(I38:L38),SUM(M38:N38)))</f>
        <v/>
      </c>
      <c r="P38" s="30">
        <f>COUNTIFS('Datos - Temas'!$K$5:$K$1264,$A38)</f>
        <v/>
      </c>
      <c r="Q38" s="30">
        <f>IF(O38&gt;0,"Sí","No")</f>
        <v/>
      </c>
      <c r="R38" s="30">
        <f>IF(O38=0,"No cubierto",IF(O38=1,"Débil (1 tema)",IF(O38&lt;=3,"Básica (2–3)","Sólida (4+)")))</f>
        <v/>
      </c>
      <c r="S38" s="30">
        <f>IFERROR(INDEX($I$4:$L$4,MATCH(TRUE,INDEX(I38:L38&gt;0,0),0)),"—")</f>
        <v/>
      </c>
      <c r="T38" s="30" t="inlineStr">
        <is>
          <t>Hoy: 6° U5 (1); 8° U6 (2); 8° U7 (12) · Propuesta 5-8-I04 (Presupuesto): 8.° · Análisis de la dieta, la actividad física y el descanso como hábitos que mantienen sanos los sistemas digestivo, circulatorio y respiratorio.</t>
        </is>
      </c>
    </row>
    <row r="39">
      <c r="A39" s="30" t="inlineStr">
        <is>
          <t>T8_27-B1.3</t>
        </is>
      </c>
      <c r="B39" s="30" t="inlineStr">
        <is>
          <t>T8_27</t>
        </is>
      </c>
      <c r="C39" s="30" t="inlineStr">
        <is>
          <t>Biología</t>
        </is>
      </c>
      <c r="D39" s="30" t="inlineStr">
        <is>
          <t>Características y procesos vitales de los organismos</t>
        </is>
      </c>
      <c r="E39" s="30" t="inlineStr">
        <is>
          <t>Procesos fisiológicos en plantas y animales</t>
        </is>
      </c>
      <c r="F39" s="30" t="inlineStr">
        <is>
          <t>N/A</t>
        </is>
      </c>
      <c r="G39" s="30" t="inlineStr">
        <is>
          <t>N/A</t>
        </is>
      </c>
      <c r="H39" s="30" t="inlineStr">
        <is>
          <t>N/A</t>
        </is>
      </c>
      <c r="I39" s="30">
        <f>COUNTIFS('Datos - Temas'!$V$5:$V$1264,I$4,'Datos - Temas'!$K$5:$K$1264,$A39)+COUNTIFS('Datos - Temas'!$V$5:$V$1264,I$4,'Datos - Temas'!$L$5:$L$1264,$A39)</f>
        <v/>
      </c>
      <c r="J39" s="30">
        <f>COUNTIFS('Datos - Temas'!$V$5:$V$1264,J$4,'Datos - Temas'!$K$5:$K$1264,$A39)+COUNTIFS('Datos - Temas'!$V$5:$V$1264,J$4,'Datos - Temas'!$L$5:$L$1264,$A39)</f>
        <v/>
      </c>
      <c r="K39" s="30">
        <f>COUNTIFS('Datos - Temas'!$V$5:$V$1264,K$4,'Datos - Temas'!$K$5:$K$1264,$A39)+COUNTIFS('Datos - Temas'!$V$5:$V$1264,K$4,'Datos - Temas'!$L$5:$L$1264,$A39)</f>
        <v/>
      </c>
      <c r="L39" s="30">
        <f>COUNTIFS('Datos - Temas'!$V$5:$V$1264,L$4,'Datos - Temas'!$K$5:$K$1264,$A39)+COUNTIFS('Datos - Temas'!$V$5:$V$1264,L$4,'Datos - Temas'!$L$5:$L$1264,$A39)</f>
        <v/>
      </c>
      <c r="M39" s="30" t="inlineStr">
        <is>
          <t>N/A</t>
        </is>
      </c>
      <c r="N39" s="30" t="inlineStr">
        <is>
          <t>N/A</t>
        </is>
      </c>
      <c r="O39" s="30">
        <f>IF($B39="T4_27",SUM(F39:H39),IF($B39="T8_27",SUM(I39:L39),SUM(M39:N39)))</f>
        <v/>
      </c>
      <c r="P39" s="30">
        <f>COUNTIFS('Datos - Temas'!$K$5:$K$1264,$A39)</f>
        <v/>
      </c>
      <c r="Q39" s="30">
        <f>IF(O39&gt;0,"Sí","No")</f>
        <v/>
      </c>
      <c r="R39" s="30">
        <f>IF(O39=0,"No cubierto",IF(O39=1,"Débil (1 tema)",IF(O39&lt;=3,"Básica (2–3)","Sólida (4+)")))</f>
        <v/>
      </c>
      <c r="S39" s="30">
        <f>IFERROR(INDEX($I$4:$L$4,MATCH(TRUE,INDEX(I39:L39&gt;0,0),0)),"—")</f>
        <v/>
      </c>
      <c r="T39" s="30" t="inlineStr">
        <is>
          <t>Hoy: 6° U5 (6); 8° U6 (3); 8° U7 (3)</t>
        </is>
      </c>
    </row>
    <row r="40">
      <c r="A40" s="30" t="inlineStr">
        <is>
          <t>T8_27-B2.1</t>
        </is>
      </c>
      <c r="B40" s="30" t="inlineStr">
        <is>
          <t>T8_27</t>
        </is>
      </c>
      <c r="C40" s="30" t="inlineStr">
        <is>
          <t>Biología</t>
        </is>
      </c>
      <c r="D40" s="30" t="inlineStr">
        <is>
          <t>Las células y sus funciones</t>
        </is>
      </c>
      <c r="E40" s="30" t="inlineStr">
        <is>
          <t>Estructura y funciones de la célula</t>
        </is>
      </c>
      <c r="F40" s="30" t="inlineStr">
        <is>
          <t>N/A</t>
        </is>
      </c>
      <c r="G40" s="30" t="inlineStr">
        <is>
          <t>N/A</t>
        </is>
      </c>
      <c r="H40" s="30" t="inlineStr">
        <is>
          <t>N/A</t>
        </is>
      </c>
      <c r="I40" s="30">
        <f>COUNTIFS('Datos - Temas'!$V$5:$V$1264,I$4,'Datos - Temas'!$K$5:$K$1264,$A40)+COUNTIFS('Datos - Temas'!$V$5:$V$1264,I$4,'Datos - Temas'!$L$5:$L$1264,$A40)</f>
        <v/>
      </c>
      <c r="J40" s="30">
        <f>COUNTIFS('Datos - Temas'!$V$5:$V$1264,J$4,'Datos - Temas'!$K$5:$K$1264,$A40)+COUNTIFS('Datos - Temas'!$V$5:$V$1264,J$4,'Datos - Temas'!$L$5:$L$1264,$A40)</f>
        <v/>
      </c>
      <c r="K40" s="30">
        <f>COUNTIFS('Datos - Temas'!$V$5:$V$1264,K$4,'Datos - Temas'!$K$5:$K$1264,$A40)+COUNTIFS('Datos - Temas'!$V$5:$V$1264,K$4,'Datos - Temas'!$L$5:$L$1264,$A40)</f>
        <v/>
      </c>
      <c r="L40" s="30">
        <f>COUNTIFS('Datos - Temas'!$V$5:$V$1264,L$4,'Datos - Temas'!$K$5:$K$1264,$A40)+COUNTIFS('Datos - Temas'!$V$5:$V$1264,L$4,'Datos - Temas'!$L$5:$L$1264,$A40)</f>
        <v/>
      </c>
      <c r="M40" s="30" t="inlineStr">
        <is>
          <t>N/A</t>
        </is>
      </c>
      <c r="N40" s="30" t="inlineStr">
        <is>
          <t>N/A</t>
        </is>
      </c>
      <c r="O40" s="30">
        <f>IF($B40="T4_27",SUM(F40:H40),IF($B40="T8_27",SUM(I40:L40),SUM(M40:N40)))</f>
        <v/>
      </c>
      <c r="P40" s="30">
        <f>COUNTIFS('Datos - Temas'!$K$5:$K$1264,$A40)</f>
        <v/>
      </c>
      <c r="Q40" s="30">
        <f>IF(O40&gt;0,"Sí","No")</f>
        <v/>
      </c>
      <c r="R40" s="30">
        <f>IF(O40=0,"No cubierto",IF(O40=1,"Débil (1 tema)",IF(O40&lt;=3,"Básica (2–3)","Sólida (4+)")))</f>
        <v/>
      </c>
      <c r="S40" s="30">
        <f>IFERROR(INDEX($I$4:$L$4,MATCH(TRUE,INDEX(I40:L40&gt;0,0),0)),"—")</f>
        <v/>
      </c>
      <c r="T40" s="30" t="inlineStr">
        <is>
          <t>Hoy: 6° U5 (14); 6° U6 (4); 7° U2 (1); 8° U6 (6); 8° U7 (3)</t>
        </is>
      </c>
    </row>
    <row r="41">
      <c r="A41" s="30" t="inlineStr">
        <is>
          <t>T8_27-B3.1</t>
        </is>
      </c>
      <c r="B41" s="30" t="inlineStr">
        <is>
          <t>T8_27</t>
        </is>
      </c>
      <c r="C41" s="30" t="inlineStr">
        <is>
          <t>Biología</t>
        </is>
      </c>
      <c r="D41" s="30" t="inlineStr">
        <is>
          <t>Ciclos de vida, reproducción y herencia</t>
        </is>
      </c>
      <c r="E41" s="30" t="inlineStr">
        <is>
          <t>Reproducción sexual y herencia en plantas y animales</t>
        </is>
      </c>
      <c r="F41" s="30" t="inlineStr">
        <is>
          <t>N/A</t>
        </is>
      </c>
      <c r="G41" s="30" t="inlineStr">
        <is>
          <t>N/A</t>
        </is>
      </c>
      <c r="H41" s="30" t="inlineStr">
        <is>
          <t>N/A</t>
        </is>
      </c>
      <c r="I41" s="30">
        <f>COUNTIFS('Datos - Temas'!$V$5:$V$1264,I$4,'Datos - Temas'!$K$5:$K$1264,$A41)+COUNTIFS('Datos - Temas'!$V$5:$V$1264,I$4,'Datos - Temas'!$L$5:$L$1264,$A41)</f>
        <v/>
      </c>
      <c r="J41" s="30">
        <f>COUNTIFS('Datos - Temas'!$V$5:$V$1264,J$4,'Datos - Temas'!$K$5:$K$1264,$A41)+COUNTIFS('Datos - Temas'!$V$5:$V$1264,J$4,'Datos - Temas'!$L$5:$L$1264,$A41)</f>
        <v/>
      </c>
      <c r="K41" s="30">
        <f>COUNTIFS('Datos - Temas'!$V$5:$V$1264,K$4,'Datos - Temas'!$K$5:$K$1264,$A41)+COUNTIFS('Datos - Temas'!$V$5:$V$1264,K$4,'Datos - Temas'!$L$5:$L$1264,$A41)</f>
        <v/>
      </c>
      <c r="L41" s="30">
        <f>COUNTIFS('Datos - Temas'!$V$5:$V$1264,L$4,'Datos - Temas'!$K$5:$K$1264,$A41)+COUNTIFS('Datos - Temas'!$V$5:$V$1264,L$4,'Datos - Temas'!$L$5:$L$1264,$A41)</f>
        <v/>
      </c>
      <c r="M41" s="30" t="inlineStr">
        <is>
          <t>N/A</t>
        </is>
      </c>
      <c r="N41" s="30" t="inlineStr">
        <is>
          <t>N/A</t>
        </is>
      </c>
      <c r="O41" s="30">
        <f>IF($B41="T4_27",SUM(F41:H41),IF($B41="T8_27",SUM(I41:L41),SUM(M41:N41)))</f>
        <v/>
      </c>
      <c r="P41" s="30">
        <f>COUNTIFS('Datos - Temas'!$K$5:$K$1264,$A41)</f>
        <v/>
      </c>
      <c r="Q41" s="30">
        <f>IF(O41&gt;0,"Sí","No")</f>
        <v/>
      </c>
      <c r="R41" s="30">
        <f>IF(O41=0,"No cubierto",IF(O41=1,"Débil (1 tema)",IF(O41&lt;=3,"Básica (2–3)","Sólida (4+)")))</f>
        <v/>
      </c>
      <c r="S41" s="30">
        <f>IFERROR(INDEX($I$4:$L$4,MATCH(TRUE,INDEX(I41:L41&gt;0,0),0)),"—")</f>
        <v/>
      </c>
      <c r="T41" s="30" t="inlineStr">
        <is>
          <t>Hoy: 6° U6 (6); 7° U2 (14)</t>
        </is>
      </c>
    </row>
    <row r="42">
      <c r="A42" s="30" t="inlineStr">
        <is>
          <t>T8_27-B4.1</t>
        </is>
      </c>
      <c r="B42" s="30" t="inlineStr">
        <is>
          <t>T8_27</t>
        </is>
      </c>
      <c r="C42" s="30" t="inlineStr">
        <is>
          <t>Biología</t>
        </is>
      </c>
      <c r="D42" s="30" t="inlineStr">
        <is>
          <t>Diversidad, adaptación y selección natural</t>
        </is>
      </c>
      <c r="E42" s="30" t="inlineStr">
        <is>
          <t>La variación como base de la selección natural</t>
        </is>
      </c>
      <c r="F42" s="30" t="inlineStr">
        <is>
          <t>N/A</t>
        </is>
      </c>
      <c r="G42" s="30" t="inlineStr">
        <is>
          <t>N/A</t>
        </is>
      </c>
      <c r="H42" s="30" t="inlineStr">
        <is>
          <t>N/A</t>
        </is>
      </c>
      <c r="I42" s="30">
        <f>COUNTIFS('Datos - Temas'!$V$5:$V$1264,I$4,'Datos - Temas'!$K$5:$K$1264,$A42)+COUNTIFS('Datos - Temas'!$V$5:$V$1264,I$4,'Datos - Temas'!$L$5:$L$1264,$A42)</f>
        <v/>
      </c>
      <c r="J42" s="30">
        <f>COUNTIFS('Datos - Temas'!$V$5:$V$1264,J$4,'Datos - Temas'!$K$5:$K$1264,$A42)+COUNTIFS('Datos - Temas'!$V$5:$V$1264,J$4,'Datos - Temas'!$L$5:$L$1264,$A42)</f>
        <v/>
      </c>
      <c r="K42" s="30">
        <f>COUNTIFS('Datos - Temas'!$V$5:$V$1264,K$4,'Datos - Temas'!$K$5:$K$1264,$A42)+COUNTIFS('Datos - Temas'!$V$5:$V$1264,K$4,'Datos - Temas'!$L$5:$L$1264,$A42)</f>
        <v/>
      </c>
      <c r="L42" s="30">
        <f>COUNTIFS('Datos - Temas'!$V$5:$V$1264,L$4,'Datos - Temas'!$K$5:$K$1264,$A42)+COUNTIFS('Datos - Temas'!$V$5:$V$1264,L$4,'Datos - Temas'!$L$5:$L$1264,$A42)</f>
        <v/>
      </c>
      <c r="M42" s="30" t="inlineStr">
        <is>
          <t>N/A</t>
        </is>
      </c>
      <c r="N42" s="30" t="inlineStr">
        <is>
          <t>N/A</t>
        </is>
      </c>
      <c r="O42" s="30">
        <f>IF($B42="T4_27",SUM(F42:H42),IF($B42="T8_27",SUM(I42:L42),SUM(M42:N42)))</f>
        <v/>
      </c>
      <c r="P42" s="30">
        <f>COUNTIFS('Datos - Temas'!$K$5:$K$1264,$A42)</f>
        <v/>
      </c>
      <c r="Q42" s="30">
        <f>IF(O42&gt;0,"Sí","No")</f>
        <v/>
      </c>
      <c r="R42" s="30">
        <f>IF(O42=0,"No cubierto",IF(O42=1,"Débil (1 tema)",IF(O42&lt;=3,"Básica (2–3)","Sólida (4+)")))</f>
        <v/>
      </c>
      <c r="S42" s="30">
        <f>IFERROR(INDEX($I$4:$L$4,MATCH(TRUE,INDEX(I42:L42&gt;0,0),0)),"—")</f>
        <v/>
      </c>
      <c r="T42" s="30" t="inlineStr">
        <is>
          <t>Hoy: 5° U6 (1); 7° U2 (6); 7° U3 (1)</t>
        </is>
      </c>
    </row>
    <row r="43">
      <c r="A43" s="30" t="inlineStr">
        <is>
          <t>T8_27-B4.2</t>
        </is>
      </c>
      <c r="B43" s="30" t="inlineStr">
        <is>
          <t>T8_27</t>
        </is>
      </c>
      <c r="C43" s="30" t="inlineStr">
        <is>
          <t>Biología</t>
        </is>
      </c>
      <c r="D43" s="30" t="inlineStr">
        <is>
          <t>Diversidad, adaptación y selección natural</t>
        </is>
      </c>
      <c r="E43" s="30" t="inlineStr">
        <is>
          <t>Evidencias del cambio de la vida en la Tierra</t>
        </is>
      </c>
      <c r="F43" s="30" t="inlineStr">
        <is>
          <t>N/A</t>
        </is>
      </c>
      <c r="G43" s="30" t="inlineStr">
        <is>
          <t>N/A</t>
        </is>
      </c>
      <c r="H43" s="30" t="inlineStr">
        <is>
          <t>N/A</t>
        </is>
      </c>
      <c r="I43" s="30">
        <f>COUNTIFS('Datos - Temas'!$V$5:$V$1264,I$4,'Datos - Temas'!$K$5:$K$1264,$A43)+COUNTIFS('Datos - Temas'!$V$5:$V$1264,I$4,'Datos - Temas'!$L$5:$L$1264,$A43)</f>
        <v/>
      </c>
      <c r="J43" s="30">
        <f>COUNTIFS('Datos - Temas'!$V$5:$V$1264,J$4,'Datos - Temas'!$K$5:$K$1264,$A43)+COUNTIFS('Datos - Temas'!$V$5:$V$1264,J$4,'Datos - Temas'!$L$5:$L$1264,$A43)</f>
        <v/>
      </c>
      <c r="K43" s="30">
        <f>COUNTIFS('Datos - Temas'!$V$5:$V$1264,K$4,'Datos - Temas'!$K$5:$K$1264,$A43)+COUNTIFS('Datos - Temas'!$V$5:$V$1264,K$4,'Datos - Temas'!$L$5:$L$1264,$A43)</f>
        <v/>
      </c>
      <c r="L43" s="30">
        <f>COUNTIFS('Datos - Temas'!$V$5:$V$1264,L$4,'Datos - Temas'!$K$5:$K$1264,$A43)+COUNTIFS('Datos - Temas'!$V$5:$V$1264,L$4,'Datos - Temas'!$L$5:$L$1264,$A43)</f>
        <v/>
      </c>
      <c r="M43" s="30" t="inlineStr">
        <is>
          <t>N/A</t>
        </is>
      </c>
      <c r="N43" s="30" t="inlineStr">
        <is>
          <t>N/A</t>
        </is>
      </c>
      <c r="O43" s="30">
        <f>IF($B43="T4_27",SUM(F43:H43),IF($B43="T8_27",SUM(I43:L43),SUM(M43:N43)))</f>
        <v/>
      </c>
      <c r="P43" s="30">
        <f>COUNTIFS('Datos - Temas'!$K$5:$K$1264,$A43)</f>
        <v/>
      </c>
      <c r="Q43" s="30">
        <f>IF(O43&gt;0,"Sí","No")</f>
        <v/>
      </c>
      <c r="R43" s="30">
        <f>IF(O43=0,"No cubierto",IF(O43=1,"Débil (1 tema)",IF(O43&lt;=3,"Básica (2–3)","Sólida (4+)")))</f>
        <v/>
      </c>
      <c r="S43" s="30">
        <f>IFERROR(INDEX($I$4:$L$4,MATCH(TRUE,INDEX(I43:L43&gt;0,0),0)),"—")</f>
        <v/>
      </c>
      <c r="T43" s="30" t="inlineStr">
        <is>
          <t>Hoy: 5° U6 (3); 7° U3 (2)</t>
        </is>
      </c>
    </row>
    <row r="44">
      <c r="A44" s="30" t="inlineStr">
        <is>
          <t>T8_27-B5.1</t>
        </is>
      </c>
      <c r="B44" s="30" t="inlineStr">
        <is>
          <t>T8_27</t>
        </is>
      </c>
      <c r="C44" s="30" t="inlineStr">
        <is>
          <t>Biología</t>
        </is>
      </c>
      <c r="D44" s="30" t="inlineStr">
        <is>
          <t>Ecosistemas</t>
        </is>
      </c>
      <c r="E44" s="30" t="inlineStr">
        <is>
          <t>Ecosistemas naturales, urbanos y rurales</t>
        </is>
      </c>
      <c r="F44" s="30" t="inlineStr">
        <is>
          <t>N/A</t>
        </is>
      </c>
      <c r="G44" s="30" t="inlineStr">
        <is>
          <t>N/A</t>
        </is>
      </c>
      <c r="H44" s="30" t="inlineStr">
        <is>
          <t>N/A</t>
        </is>
      </c>
      <c r="I44" s="30">
        <f>COUNTIFS('Datos - Temas'!$V$5:$V$1264,I$4,'Datos - Temas'!$K$5:$K$1264,$A44)+COUNTIFS('Datos - Temas'!$V$5:$V$1264,I$4,'Datos - Temas'!$L$5:$L$1264,$A44)</f>
        <v/>
      </c>
      <c r="J44" s="30">
        <f>COUNTIFS('Datos - Temas'!$V$5:$V$1264,J$4,'Datos - Temas'!$K$5:$K$1264,$A44)+COUNTIFS('Datos - Temas'!$V$5:$V$1264,J$4,'Datos - Temas'!$L$5:$L$1264,$A44)</f>
        <v/>
      </c>
      <c r="K44" s="30">
        <f>COUNTIFS('Datos - Temas'!$V$5:$V$1264,K$4,'Datos - Temas'!$K$5:$K$1264,$A44)+COUNTIFS('Datos - Temas'!$V$5:$V$1264,K$4,'Datos - Temas'!$L$5:$L$1264,$A44)</f>
        <v/>
      </c>
      <c r="L44" s="30">
        <f>COUNTIFS('Datos - Temas'!$V$5:$V$1264,L$4,'Datos - Temas'!$K$5:$K$1264,$A44)+COUNTIFS('Datos - Temas'!$V$5:$V$1264,L$4,'Datos - Temas'!$L$5:$L$1264,$A44)</f>
        <v/>
      </c>
      <c r="M44" s="30" t="inlineStr">
        <is>
          <t>N/A</t>
        </is>
      </c>
      <c r="N44" s="30" t="inlineStr">
        <is>
          <t>N/A</t>
        </is>
      </c>
      <c r="O44" s="30">
        <f>IF($B44="T4_27",SUM(F44:H44),IF($B44="T8_27",SUM(I44:L44),SUM(M44:N44)))</f>
        <v/>
      </c>
      <c r="P44" s="30">
        <f>COUNTIFS('Datos - Temas'!$K$5:$K$1264,$A44)</f>
        <v/>
      </c>
      <c r="Q44" s="30">
        <f>IF(O44&gt;0,"Sí","No")</f>
        <v/>
      </c>
      <c r="R44" s="30">
        <f>IF(O44=0,"No cubierto",IF(O44=1,"Débil (1 tema)",IF(O44&lt;=3,"Básica (2–3)","Sólida (4+)")))</f>
        <v/>
      </c>
      <c r="S44" s="30">
        <f>IFERROR(INDEX($I$4:$L$4,MATCH(TRUE,INDEX(I44:L44&gt;0,0),0)),"—")</f>
        <v/>
      </c>
      <c r="T44" s="30" t="inlineStr">
        <is>
          <t>Hoy: 7° U3 (1); 7° U4 (3); 9° U4 (2) · Propuesta 5-8-I05 (Presupuesto): 5.° · Comparación de ecosistemas naturales, rurales y urbanos de El Salvador a partir del cambio de cobertura y uso del suelo.</t>
        </is>
      </c>
    </row>
    <row r="45">
      <c r="A45" s="30" t="inlineStr">
        <is>
          <t>T8_27-B5.2</t>
        </is>
      </c>
      <c r="B45" s="30" t="inlineStr">
        <is>
          <t>T8_27</t>
        </is>
      </c>
      <c r="C45" s="30" t="inlineStr">
        <is>
          <t>Biología</t>
        </is>
      </c>
      <c r="D45" s="30" t="inlineStr">
        <is>
          <t>Ecosistemas</t>
        </is>
      </c>
      <c r="E45" s="30" t="inlineStr">
        <is>
          <t>Flujo de energía en los ecosistemas</t>
        </is>
      </c>
      <c r="F45" s="30" t="inlineStr">
        <is>
          <t>N/A</t>
        </is>
      </c>
      <c r="G45" s="30" t="inlineStr">
        <is>
          <t>N/A</t>
        </is>
      </c>
      <c r="H45" s="30" t="inlineStr">
        <is>
          <t>N/A</t>
        </is>
      </c>
      <c r="I45" s="30">
        <f>COUNTIFS('Datos - Temas'!$V$5:$V$1264,I$4,'Datos - Temas'!$K$5:$K$1264,$A45)+COUNTIFS('Datos - Temas'!$V$5:$V$1264,I$4,'Datos - Temas'!$L$5:$L$1264,$A45)</f>
        <v/>
      </c>
      <c r="J45" s="30">
        <f>COUNTIFS('Datos - Temas'!$V$5:$V$1264,J$4,'Datos - Temas'!$K$5:$K$1264,$A45)+COUNTIFS('Datos - Temas'!$V$5:$V$1264,J$4,'Datos - Temas'!$L$5:$L$1264,$A45)</f>
        <v/>
      </c>
      <c r="K45" s="30">
        <f>COUNTIFS('Datos - Temas'!$V$5:$V$1264,K$4,'Datos - Temas'!$K$5:$K$1264,$A45)+COUNTIFS('Datos - Temas'!$V$5:$V$1264,K$4,'Datos - Temas'!$L$5:$L$1264,$A45)</f>
        <v/>
      </c>
      <c r="L45" s="30">
        <f>COUNTIFS('Datos - Temas'!$V$5:$V$1264,L$4,'Datos - Temas'!$K$5:$K$1264,$A45)+COUNTIFS('Datos - Temas'!$V$5:$V$1264,L$4,'Datos - Temas'!$L$5:$L$1264,$A45)</f>
        <v/>
      </c>
      <c r="M45" s="30" t="inlineStr">
        <is>
          <t>N/A</t>
        </is>
      </c>
      <c r="N45" s="30" t="inlineStr">
        <is>
          <t>N/A</t>
        </is>
      </c>
      <c r="O45" s="30">
        <f>IF($B45="T4_27",SUM(F45:H45),IF($B45="T8_27",SUM(I45:L45),SUM(M45:N45)))</f>
        <v/>
      </c>
      <c r="P45" s="30">
        <f>COUNTIFS('Datos - Temas'!$K$5:$K$1264,$A45)</f>
        <v/>
      </c>
      <c r="Q45" s="30">
        <f>IF(O45&gt;0,"Sí","No")</f>
        <v/>
      </c>
      <c r="R45" s="30">
        <f>IF(O45=0,"No cubierto",IF(O45=1,"Débil (1 tema)",IF(O45&lt;=3,"Básica (2–3)","Sólida (4+)")))</f>
        <v/>
      </c>
      <c r="S45" s="30">
        <f>IFERROR(INDEX($I$4:$L$4,MATCH(TRUE,INDEX(I45:L45&gt;0,0),0)),"—")</f>
        <v/>
      </c>
      <c r="T45" s="30" t="inlineStr">
        <is>
          <t>Hoy: 7° U4 (1) · Propuesta 5-8-I02 (Presupuesto): 5.° · Construcción de cadenas y redes tróficas de un ecosistema local para representar el flujo de energía entre productores, consumidores y descomponedores.</t>
        </is>
      </c>
    </row>
    <row r="46">
      <c r="A46" s="30" t="inlineStr">
        <is>
          <t>T8_27-B5.3</t>
        </is>
      </c>
      <c r="B46" s="30" t="inlineStr">
        <is>
          <t>T8_27</t>
        </is>
      </c>
      <c r="C46" s="30" t="inlineStr">
        <is>
          <t>Biología</t>
        </is>
      </c>
      <c r="D46" s="30" t="inlineStr">
        <is>
          <t>Ecosistemas</t>
        </is>
      </c>
      <c r="E46" s="30" t="inlineStr">
        <is>
          <t>Ciclos del agua, el oxígeno y el carbono en los ecosistemas</t>
        </is>
      </c>
      <c r="F46" s="30" t="inlineStr">
        <is>
          <t>N/A</t>
        </is>
      </c>
      <c r="G46" s="30" t="inlineStr">
        <is>
          <t>N/A</t>
        </is>
      </c>
      <c r="H46" s="30" t="inlineStr">
        <is>
          <t>N/A</t>
        </is>
      </c>
      <c r="I46" s="30">
        <f>COUNTIFS('Datos - Temas'!$V$5:$V$1264,I$4,'Datos - Temas'!$K$5:$K$1264,$A46)+COUNTIFS('Datos - Temas'!$V$5:$V$1264,I$4,'Datos - Temas'!$L$5:$L$1264,$A46)</f>
        <v/>
      </c>
      <c r="J46" s="30">
        <f>COUNTIFS('Datos - Temas'!$V$5:$V$1264,J$4,'Datos - Temas'!$K$5:$K$1264,$A46)+COUNTIFS('Datos - Temas'!$V$5:$V$1264,J$4,'Datos - Temas'!$L$5:$L$1264,$A46)</f>
        <v/>
      </c>
      <c r="K46" s="30">
        <f>COUNTIFS('Datos - Temas'!$V$5:$V$1264,K$4,'Datos - Temas'!$K$5:$K$1264,$A46)+COUNTIFS('Datos - Temas'!$V$5:$V$1264,K$4,'Datos - Temas'!$L$5:$L$1264,$A46)</f>
        <v/>
      </c>
      <c r="L46" s="30">
        <f>COUNTIFS('Datos - Temas'!$V$5:$V$1264,L$4,'Datos - Temas'!$K$5:$K$1264,$A46)+COUNTIFS('Datos - Temas'!$V$5:$V$1264,L$4,'Datos - Temas'!$L$5:$L$1264,$A46)</f>
        <v/>
      </c>
      <c r="M46" s="30" t="inlineStr">
        <is>
          <t>N/A</t>
        </is>
      </c>
      <c r="N46" s="30" t="inlineStr">
        <is>
          <t>N/A</t>
        </is>
      </c>
      <c r="O46" s="30">
        <f>IF($B46="T4_27",SUM(F46:H46),IF($B46="T8_27",SUM(I46:L46),SUM(M46:N46)))</f>
        <v/>
      </c>
      <c r="P46" s="30">
        <f>COUNTIFS('Datos - Temas'!$K$5:$K$1264,$A46)</f>
        <v/>
      </c>
      <c r="Q46" s="30">
        <f>IF(O46&gt;0,"Sí","No")</f>
        <v/>
      </c>
      <c r="R46" s="30">
        <f>IF(O46=0,"No cubierto",IF(O46=1,"Débil (1 tema)",IF(O46&lt;=3,"Básica (2–3)","Sólida (4+)")))</f>
        <v/>
      </c>
      <c r="S46" s="30">
        <f>IFERROR(INDEX($I$4:$L$4,MATCH(TRUE,INDEX(I46:L46&gt;0,0),0)),"—")</f>
        <v/>
      </c>
      <c r="T46" s="30" t="inlineStr">
        <is>
          <t>Hoy: 7° U4 (1) · Propuesta 5-8-I03 (Presupuesto): 5.° · Modelación de los ciclos del carbono, del oxígeno y del agua entre seres vivos, suelo y atmósfera, destacando la descomposición de la materia orgánica.</t>
        </is>
      </c>
    </row>
    <row r="47">
      <c r="A47" s="30" t="inlineStr">
        <is>
          <t>T8_27-B5.4</t>
        </is>
      </c>
      <c r="B47" s="30" t="inlineStr">
        <is>
          <t>T8_27</t>
        </is>
      </c>
      <c r="C47" s="30" t="inlineStr">
        <is>
          <t>Biología</t>
        </is>
      </c>
      <c r="D47" s="30" t="inlineStr">
        <is>
          <t>Ecosistemas</t>
        </is>
      </c>
      <c r="E47" s="30" t="inlineStr">
        <is>
          <t>Relaciones en los ecosistemas</t>
        </is>
      </c>
      <c r="F47" s="30" t="inlineStr">
        <is>
          <t>N/A</t>
        </is>
      </c>
      <c r="G47" s="30" t="inlineStr">
        <is>
          <t>N/A</t>
        </is>
      </c>
      <c r="H47" s="30" t="inlineStr">
        <is>
          <t>N/A</t>
        </is>
      </c>
      <c r="I47" s="30">
        <f>COUNTIFS('Datos - Temas'!$V$5:$V$1264,I$4,'Datos - Temas'!$K$5:$K$1264,$A47)+COUNTIFS('Datos - Temas'!$V$5:$V$1264,I$4,'Datos - Temas'!$L$5:$L$1264,$A47)</f>
        <v/>
      </c>
      <c r="J47" s="30">
        <f>COUNTIFS('Datos - Temas'!$V$5:$V$1264,J$4,'Datos - Temas'!$K$5:$K$1264,$A47)+COUNTIFS('Datos - Temas'!$V$5:$V$1264,J$4,'Datos - Temas'!$L$5:$L$1264,$A47)</f>
        <v/>
      </c>
      <c r="K47" s="30">
        <f>COUNTIFS('Datos - Temas'!$V$5:$V$1264,K$4,'Datos - Temas'!$K$5:$K$1264,$A47)+COUNTIFS('Datos - Temas'!$V$5:$V$1264,K$4,'Datos - Temas'!$L$5:$L$1264,$A47)</f>
        <v/>
      </c>
      <c r="L47" s="30">
        <f>COUNTIFS('Datos - Temas'!$V$5:$V$1264,L$4,'Datos - Temas'!$K$5:$K$1264,$A47)+COUNTIFS('Datos - Temas'!$V$5:$V$1264,L$4,'Datos - Temas'!$L$5:$L$1264,$A47)</f>
        <v/>
      </c>
      <c r="M47" s="30" t="inlineStr">
        <is>
          <t>N/A</t>
        </is>
      </c>
      <c r="N47" s="30" t="inlineStr">
        <is>
          <t>N/A</t>
        </is>
      </c>
      <c r="O47" s="30">
        <f>IF($B47="T4_27",SUM(F47:H47),IF($B47="T8_27",SUM(I47:L47),SUM(M47:N47)))</f>
        <v/>
      </c>
      <c r="P47" s="30">
        <f>COUNTIFS('Datos - Temas'!$K$5:$K$1264,$A47)</f>
        <v/>
      </c>
      <c r="Q47" s="30">
        <f>IF(O47&gt;0,"Sí","No")</f>
        <v/>
      </c>
      <c r="R47" s="30">
        <f>IF(O47=0,"No cubierto",IF(O47=1,"Débil (1 tema)",IF(O47&lt;=3,"Básica (2–3)","Sólida (4+)")))</f>
        <v/>
      </c>
      <c r="S47" s="30">
        <f>IFERROR(INDEX($I$4:$L$4,MATCH(TRUE,INDEX(I47:L47&gt;0,0),0)),"—")</f>
        <v/>
      </c>
      <c r="T47" s="30" t="inlineStr">
        <is>
          <t>Hoy: 7° U4 (3); 9° U4 (1)</t>
        </is>
      </c>
    </row>
    <row r="48">
      <c r="A48" s="30" t="inlineStr">
        <is>
          <t>T8_27-B5.5</t>
        </is>
      </c>
      <c r="B48" s="30" t="inlineStr">
        <is>
          <t>T8_27</t>
        </is>
      </c>
      <c r="C48" s="30" t="inlineStr">
        <is>
          <t>Biología</t>
        </is>
      </c>
      <c r="D48" s="30" t="inlineStr">
        <is>
          <t>Ecosistemas</t>
        </is>
      </c>
      <c r="E48" s="30" t="inlineStr">
        <is>
          <t>Factores que afectan el tamaño de las poblaciones</t>
        </is>
      </c>
      <c r="F48" s="30" t="inlineStr">
        <is>
          <t>N/A</t>
        </is>
      </c>
      <c r="G48" s="30" t="inlineStr">
        <is>
          <t>N/A</t>
        </is>
      </c>
      <c r="H48" s="30" t="inlineStr">
        <is>
          <t>N/A</t>
        </is>
      </c>
      <c r="I48" s="30">
        <f>COUNTIFS('Datos - Temas'!$V$5:$V$1264,I$4,'Datos - Temas'!$K$5:$K$1264,$A48)+COUNTIFS('Datos - Temas'!$V$5:$V$1264,I$4,'Datos - Temas'!$L$5:$L$1264,$A48)</f>
        <v/>
      </c>
      <c r="J48" s="30">
        <f>COUNTIFS('Datos - Temas'!$V$5:$V$1264,J$4,'Datos - Temas'!$K$5:$K$1264,$A48)+COUNTIFS('Datos - Temas'!$V$5:$V$1264,J$4,'Datos - Temas'!$L$5:$L$1264,$A48)</f>
        <v/>
      </c>
      <c r="K48" s="30">
        <f>COUNTIFS('Datos - Temas'!$V$5:$V$1264,K$4,'Datos - Temas'!$K$5:$K$1264,$A48)+COUNTIFS('Datos - Temas'!$V$5:$V$1264,K$4,'Datos - Temas'!$L$5:$L$1264,$A48)</f>
        <v/>
      </c>
      <c r="L48" s="30">
        <f>COUNTIFS('Datos - Temas'!$V$5:$V$1264,L$4,'Datos - Temas'!$K$5:$K$1264,$A48)+COUNTIFS('Datos - Temas'!$V$5:$V$1264,L$4,'Datos - Temas'!$L$5:$L$1264,$A48)</f>
        <v/>
      </c>
      <c r="M48" s="30" t="inlineStr">
        <is>
          <t>N/A</t>
        </is>
      </c>
      <c r="N48" s="30" t="inlineStr">
        <is>
          <t>N/A</t>
        </is>
      </c>
      <c r="O48" s="30">
        <f>IF($B48="T4_27",SUM(F48:H48),IF($B48="T8_27",SUM(I48:L48),SUM(M48:N48)))</f>
        <v/>
      </c>
      <c r="P48" s="30">
        <f>COUNTIFS('Datos - Temas'!$K$5:$K$1264,$A48)</f>
        <v/>
      </c>
      <c r="Q48" s="30">
        <f>IF(O48&gt;0,"Sí","No")</f>
        <v/>
      </c>
      <c r="R48" s="30">
        <f>IF(O48=0,"No cubierto",IF(O48=1,"Débil (1 tema)",IF(O48&lt;=3,"Básica (2–3)","Sólida (4+)")))</f>
        <v/>
      </c>
      <c r="S48" s="30">
        <f>IFERROR(INDEX($I$4:$L$4,MATCH(TRUE,INDEX(I48:L48&gt;0,0),0)),"—")</f>
        <v/>
      </c>
      <c r="T48" s="30" t="inlineStr">
        <is>
          <t>Hoy: 6° U5 (1); 7° U4 (3) · Propuesta 5-8-I06 (Presupuesto): 5.° · Análisis de los factores (alimento, depredadores, enfermedades, espacio, actividad humana) que hacen variar el tamaño de una población local.</t>
        </is>
      </c>
    </row>
    <row r="49">
      <c r="A49" s="30" t="inlineStr">
        <is>
          <t>T8_27-B5.6</t>
        </is>
      </c>
      <c r="B49" s="30" t="inlineStr">
        <is>
          <t>T8_27</t>
        </is>
      </c>
      <c r="C49" s="30" t="inlineStr">
        <is>
          <t>Biología</t>
        </is>
      </c>
      <c r="D49" s="30" t="inlineStr">
        <is>
          <t>Ecosistemas</t>
        </is>
      </c>
      <c r="E49" s="30" t="inlineStr">
        <is>
          <t>Impacto humano en los ecosistemas</t>
        </is>
      </c>
      <c r="F49" s="30" t="inlineStr">
        <is>
          <t>N/A</t>
        </is>
      </c>
      <c r="G49" s="30" t="inlineStr">
        <is>
          <t>N/A</t>
        </is>
      </c>
      <c r="H49" s="30" t="inlineStr">
        <is>
          <t>N/A</t>
        </is>
      </c>
      <c r="I49" s="30">
        <f>COUNTIFS('Datos - Temas'!$V$5:$V$1264,I$4,'Datos - Temas'!$K$5:$K$1264,$A49)+COUNTIFS('Datos - Temas'!$V$5:$V$1264,I$4,'Datos - Temas'!$L$5:$L$1264,$A49)</f>
        <v/>
      </c>
      <c r="J49" s="30">
        <f>COUNTIFS('Datos - Temas'!$V$5:$V$1264,J$4,'Datos - Temas'!$K$5:$K$1264,$A49)+COUNTIFS('Datos - Temas'!$V$5:$V$1264,J$4,'Datos - Temas'!$L$5:$L$1264,$A49)</f>
        <v/>
      </c>
      <c r="K49" s="30">
        <f>COUNTIFS('Datos - Temas'!$V$5:$V$1264,K$4,'Datos - Temas'!$K$5:$K$1264,$A49)+COUNTIFS('Datos - Temas'!$V$5:$V$1264,K$4,'Datos - Temas'!$L$5:$L$1264,$A49)</f>
        <v/>
      </c>
      <c r="L49" s="30">
        <f>COUNTIFS('Datos - Temas'!$V$5:$V$1264,L$4,'Datos - Temas'!$K$5:$K$1264,$A49)+COUNTIFS('Datos - Temas'!$V$5:$V$1264,L$4,'Datos - Temas'!$L$5:$L$1264,$A49)</f>
        <v/>
      </c>
      <c r="M49" s="30" t="inlineStr">
        <is>
          <t>N/A</t>
        </is>
      </c>
      <c r="N49" s="30" t="inlineStr">
        <is>
          <t>N/A</t>
        </is>
      </c>
      <c r="O49" s="30">
        <f>IF($B49="T4_27",SUM(F49:H49),IF($B49="T8_27",SUM(I49:L49),SUM(M49:N49)))</f>
        <v/>
      </c>
      <c r="P49" s="30">
        <f>COUNTIFS('Datos - Temas'!$K$5:$K$1264,$A49)</f>
        <v/>
      </c>
      <c r="Q49" s="30">
        <f>IF(O49&gt;0,"Sí","No")</f>
        <v/>
      </c>
      <c r="R49" s="30">
        <f>IF(O49=0,"No cubierto",IF(O49=1,"Débil (1 tema)",IF(O49&lt;=3,"Básica (2–3)","Sólida (4+)")))</f>
        <v/>
      </c>
      <c r="S49" s="30">
        <f>IFERROR(INDEX($I$4:$L$4,MATCH(TRUE,INDEX(I49:L49&gt;0,0),0)),"—")</f>
        <v/>
      </c>
      <c r="T49" s="30" t="inlineStr">
        <is>
          <t>Hoy: 5° U6 (2); 7° U5 (4); 7° U6 (7); 8° U5 (1); 9° U4 (1) · Propuesta 5-8-I05 (Presupuesto): 5.° · Comparación de ecosistemas naturales, rurales y urbanos de El Salvador a partir del cambio de cobertura y uso del suelo.</t>
        </is>
      </c>
    </row>
    <row r="50">
      <c r="A50" s="30" t="inlineStr">
        <is>
          <t>T8_27-B6.1</t>
        </is>
      </c>
      <c r="B50" s="30" t="inlineStr">
        <is>
          <t>T8_27</t>
        </is>
      </c>
      <c r="C50" s="30" t="inlineStr">
        <is>
          <t>Biología</t>
        </is>
      </c>
      <c r="D50" s="30" t="inlineStr">
        <is>
          <t>Salud humana</t>
        </is>
      </c>
      <c r="E50" s="30" t="inlineStr">
        <is>
          <t>Causas, transmisión, prevención y resistencia a enfermedades</t>
        </is>
      </c>
      <c r="F50" s="30" t="inlineStr">
        <is>
          <t>N/A</t>
        </is>
      </c>
      <c r="G50" s="30" t="inlineStr">
        <is>
          <t>N/A</t>
        </is>
      </c>
      <c r="H50" s="30" t="inlineStr">
        <is>
          <t>N/A</t>
        </is>
      </c>
      <c r="I50" s="30">
        <f>COUNTIFS('Datos - Temas'!$V$5:$V$1264,I$4,'Datos - Temas'!$K$5:$K$1264,$A50)+COUNTIFS('Datos - Temas'!$V$5:$V$1264,I$4,'Datos - Temas'!$L$5:$L$1264,$A50)</f>
        <v/>
      </c>
      <c r="J50" s="30">
        <f>COUNTIFS('Datos - Temas'!$V$5:$V$1264,J$4,'Datos - Temas'!$K$5:$K$1264,$A50)+COUNTIFS('Datos - Temas'!$V$5:$V$1264,J$4,'Datos - Temas'!$L$5:$L$1264,$A50)</f>
        <v/>
      </c>
      <c r="K50" s="30">
        <f>COUNTIFS('Datos - Temas'!$V$5:$V$1264,K$4,'Datos - Temas'!$K$5:$K$1264,$A50)+COUNTIFS('Datos - Temas'!$V$5:$V$1264,K$4,'Datos - Temas'!$L$5:$L$1264,$A50)</f>
        <v/>
      </c>
      <c r="L50" s="30">
        <f>COUNTIFS('Datos - Temas'!$V$5:$V$1264,L$4,'Datos - Temas'!$K$5:$K$1264,$A50)+COUNTIFS('Datos - Temas'!$V$5:$V$1264,L$4,'Datos - Temas'!$L$5:$L$1264,$A50)</f>
        <v/>
      </c>
      <c r="M50" s="30" t="inlineStr">
        <is>
          <t>N/A</t>
        </is>
      </c>
      <c r="N50" s="30" t="inlineStr">
        <is>
          <t>N/A</t>
        </is>
      </c>
      <c r="O50" s="30">
        <f>IF($B50="T4_27",SUM(F50:H50),IF($B50="T8_27",SUM(I50:L50),SUM(M50:N50)))</f>
        <v/>
      </c>
      <c r="P50" s="30">
        <f>COUNTIFS('Datos - Temas'!$K$5:$K$1264,$A50)</f>
        <v/>
      </c>
      <c r="Q50" s="30">
        <f>IF(O50&gt;0,"Sí","No")</f>
        <v/>
      </c>
      <c r="R50" s="30">
        <f>IF(O50=0,"No cubierto",IF(O50=1,"Débil (1 tema)",IF(O50&lt;=3,"Básica (2–3)","Sólida (4+)")))</f>
        <v/>
      </c>
      <c r="S50" s="30">
        <f>IFERROR(INDEX($I$4:$L$4,MATCH(TRUE,INDEX(I50:L50&gt;0,0),0)),"—")</f>
        <v/>
      </c>
      <c r="T50" s="30" t="inlineStr">
        <is>
          <t>Hoy: 7° U2 (1) · Propuesta 5-8-I01 (Presupuesto): 8.° · Indagación de las causas, formas de transmisión y prevención de enfermedades infecciosas, y del papel del sistema inmunitario, las vacunas y el uso responsable de antibióticos.</t>
        </is>
      </c>
    </row>
    <row r="51">
      <c r="A51" s="30" t="inlineStr">
        <is>
          <t>T8_27-B6.2</t>
        </is>
      </c>
      <c r="B51" s="30" t="inlineStr">
        <is>
          <t>T8_27</t>
        </is>
      </c>
      <c r="C51" s="30" t="inlineStr">
        <is>
          <t>Biología</t>
        </is>
      </c>
      <c r="D51" s="30" t="inlineStr">
        <is>
          <t>Salud humana</t>
        </is>
      </c>
      <c r="E51" s="30" t="inlineStr">
        <is>
          <t>Hábitos para mantener una buena salud</t>
        </is>
      </c>
      <c r="F51" s="30" t="inlineStr">
        <is>
          <t>N/A</t>
        </is>
      </c>
      <c r="G51" s="30" t="inlineStr">
        <is>
          <t>N/A</t>
        </is>
      </c>
      <c r="H51" s="30" t="inlineStr">
        <is>
          <t>N/A</t>
        </is>
      </c>
      <c r="I51" s="30">
        <f>COUNTIFS('Datos - Temas'!$V$5:$V$1264,I$4,'Datos - Temas'!$K$5:$K$1264,$A51)+COUNTIFS('Datos - Temas'!$V$5:$V$1264,I$4,'Datos - Temas'!$L$5:$L$1264,$A51)</f>
        <v/>
      </c>
      <c r="J51" s="30">
        <f>COUNTIFS('Datos - Temas'!$V$5:$V$1264,J$4,'Datos - Temas'!$K$5:$K$1264,$A51)+COUNTIFS('Datos - Temas'!$V$5:$V$1264,J$4,'Datos - Temas'!$L$5:$L$1264,$A51)</f>
        <v/>
      </c>
      <c r="K51" s="30">
        <f>COUNTIFS('Datos - Temas'!$V$5:$V$1264,K$4,'Datos - Temas'!$K$5:$K$1264,$A51)+COUNTIFS('Datos - Temas'!$V$5:$V$1264,K$4,'Datos - Temas'!$L$5:$L$1264,$A51)</f>
        <v/>
      </c>
      <c r="L51" s="30">
        <f>COUNTIFS('Datos - Temas'!$V$5:$V$1264,L$4,'Datos - Temas'!$K$5:$K$1264,$A51)+COUNTIFS('Datos - Temas'!$V$5:$V$1264,L$4,'Datos - Temas'!$L$5:$L$1264,$A51)</f>
        <v/>
      </c>
      <c r="M51" s="30" t="inlineStr">
        <is>
          <t>N/A</t>
        </is>
      </c>
      <c r="N51" s="30" t="inlineStr">
        <is>
          <t>N/A</t>
        </is>
      </c>
      <c r="O51" s="30">
        <f>IF($B51="T4_27",SUM(F51:H51),IF($B51="T8_27",SUM(I51:L51),SUM(M51:N51)))</f>
        <v/>
      </c>
      <c r="P51" s="30">
        <f>COUNTIFS('Datos - Temas'!$K$5:$K$1264,$A51)</f>
        <v/>
      </c>
      <c r="Q51" s="30">
        <f>IF(O51&gt;0,"Sí","No")</f>
        <v/>
      </c>
      <c r="R51" s="30">
        <f>IF(O51=0,"No cubierto",IF(O51=1,"Débil (1 tema)",IF(O51&lt;=3,"Básica (2–3)","Sólida (4+)")))</f>
        <v/>
      </c>
      <c r="S51" s="30">
        <f>IFERROR(INDEX($I$4:$L$4,MATCH(TRUE,INDEX(I51:L51&gt;0,0),0)),"—")</f>
        <v/>
      </c>
      <c r="T51" s="30" t="inlineStr">
        <is>
          <t>Hoy: 6° U5 (1); 7° U6 (1) · Propuesta 5-8-I04 (Presupuesto): 8.° · Análisis de la dieta, la actividad física y el descanso como hábitos que mantienen sanos los sistemas digestivo, circulatorio y respiratorio.</t>
        </is>
      </c>
    </row>
    <row r="52">
      <c r="A52" s="30" t="inlineStr">
        <is>
          <t>T8_27-B7.1</t>
        </is>
      </c>
      <c r="B52" s="30" t="inlineStr">
        <is>
          <t>T8_27</t>
        </is>
      </c>
      <c r="C52" s="30" t="inlineStr">
        <is>
          <t>Biología</t>
        </is>
      </c>
      <c r="D52" s="30" t="inlineStr">
        <is>
          <t>Investigaciones biológicas</t>
        </is>
      </c>
      <c r="E52" s="30" t="inlineStr">
        <is>
          <t>Rasgos y equipo de una investigación biológica</t>
        </is>
      </c>
      <c r="F52" s="30" t="inlineStr">
        <is>
          <t>N/A</t>
        </is>
      </c>
      <c r="G52" s="30" t="inlineStr">
        <is>
          <t>N/A</t>
        </is>
      </c>
      <c r="H52" s="30" t="inlineStr">
        <is>
          <t>N/A</t>
        </is>
      </c>
      <c r="I52" s="30">
        <f>COUNTIFS('Datos - Temas'!$V$5:$V$1264,I$4,'Datos - Temas'!$K$5:$K$1264,$A52)+COUNTIFS('Datos - Temas'!$V$5:$V$1264,I$4,'Datos - Temas'!$L$5:$L$1264,$A52)</f>
        <v/>
      </c>
      <c r="J52" s="30">
        <f>COUNTIFS('Datos - Temas'!$V$5:$V$1264,J$4,'Datos - Temas'!$K$5:$K$1264,$A52)+COUNTIFS('Datos - Temas'!$V$5:$V$1264,J$4,'Datos - Temas'!$L$5:$L$1264,$A52)</f>
        <v/>
      </c>
      <c r="K52" s="30">
        <f>COUNTIFS('Datos - Temas'!$V$5:$V$1264,K$4,'Datos - Temas'!$K$5:$K$1264,$A52)+COUNTIFS('Datos - Temas'!$V$5:$V$1264,K$4,'Datos - Temas'!$L$5:$L$1264,$A52)</f>
        <v/>
      </c>
      <c r="L52" s="30">
        <f>COUNTIFS('Datos - Temas'!$V$5:$V$1264,L$4,'Datos - Temas'!$K$5:$K$1264,$A52)+COUNTIFS('Datos - Temas'!$V$5:$V$1264,L$4,'Datos - Temas'!$L$5:$L$1264,$A52)</f>
        <v/>
      </c>
      <c r="M52" s="30" t="inlineStr">
        <is>
          <t>N/A</t>
        </is>
      </c>
      <c r="N52" s="30" t="inlineStr">
        <is>
          <t>N/A</t>
        </is>
      </c>
      <c r="O52" s="30">
        <f>IF($B52="T4_27",SUM(F52:H52),IF($B52="T8_27",SUM(I52:L52),SUM(M52:N52)))</f>
        <v/>
      </c>
      <c r="P52" s="30">
        <f>COUNTIFS('Datos - Temas'!$K$5:$K$1264,$A52)</f>
        <v/>
      </c>
      <c r="Q52" s="30">
        <f>IF(O52&gt;0,"Sí","No")</f>
        <v/>
      </c>
      <c r="R52" s="30">
        <f>IF(O52=0,"No cubierto",IF(O52=1,"Débil (1 tema)",IF(O52&lt;=3,"Básica (2–3)","Sólida (4+)")))</f>
        <v/>
      </c>
      <c r="S52" s="30">
        <f>IFERROR(INDEX($I$4:$L$4,MATCH(TRUE,INDEX(I52:L52&gt;0,0),0)),"—")</f>
        <v/>
      </c>
      <c r="T52" s="30" t="inlineStr">
        <is>
          <t>Hoy: 6° U5 (4); 7° U2 (1); 7° U3 (1); 7° U4 (2); 8° U6 (6)</t>
        </is>
      </c>
    </row>
    <row r="53">
      <c r="A53" s="30" t="inlineStr">
        <is>
          <t>T8_27-C1.1</t>
        </is>
      </c>
      <c r="B53" s="30" t="inlineStr">
        <is>
          <t>T8_27</t>
        </is>
      </c>
      <c r="C53" s="30" t="inlineStr">
        <is>
          <t>Química</t>
        </is>
      </c>
      <c r="D53" s="30" t="inlineStr">
        <is>
          <t>Composición de la materia</t>
        </is>
      </c>
      <c r="E53" s="30" t="inlineStr">
        <is>
          <t>Estructura de átomos y moléculas</t>
        </is>
      </c>
      <c r="F53" s="30" t="inlineStr">
        <is>
          <t>N/A</t>
        </is>
      </c>
      <c r="G53" s="30" t="inlineStr">
        <is>
          <t>N/A</t>
        </is>
      </c>
      <c r="H53" s="30" t="inlineStr">
        <is>
          <t>N/A</t>
        </is>
      </c>
      <c r="I53" s="30">
        <f>COUNTIFS('Datos - Temas'!$V$5:$V$1264,I$4,'Datos - Temas'!$K$5:$K$1264,$A53)+COUNTIFS('Datos - Temas'!$V$5:$V$1264,I$4,'Datos - Temas'!$L$5:$L$1264,$A53)</f>
        <v/>
      </c>
      <c r="J53" s="30">
        <f>COUNTIFS('Datos - Temas'!$V$5:$V$1264,J$4,'Datos - Temas'!$K$5:$K$1264,$A53)+COUNTIFS('Datos - Temas'!$V$5:$V$1264,J$4,'Datos - Temas'!$L$5:$L$1264,$A53)</f>
        <v/>
      </c>
      <c r="K53" s="30">
        <f>COUNTIFS('Datos - Temas'!$V$5:$V$1264,K$4,'Datos - Temas'!$K$5:$K$1264,$A53)+COUNTIFS('Datos - Temas'!$V$5:$V$1264,K$4,'Datos - Temas'!$L$5:$L$1264,$A53)</f>
        <v/>
      </c>
      <c r="L53" s="30">
        <f>COUNTIFS('Datos - Temas'!$V$5:$V$1264,L$4,'Datos - Temas'!$K$5:$K$1264,$A53)+COUNTIFS('Datos - Temas'!$V$5:$V$1264,L$4,'Datos - Temas'!$L$5:$L$1264,$A53)</f>
        <v/>
      </c>
      <c r="M53" s="30" t="inlineStr">
        <is>
          <t>N/A</t>
        </is>
      </c>
      <c r="N53" s="30" t="inlineStr">
        <is>
          <t>N/A</t>
        </is>
      </c>
      <c r="O53" s="30">
        <f>IF($B53="T4_27",SUM(F53:H53),IF($B53="T8_27",SUM(I53:L53),SUM(M53:N53)))</f>
        <v/>
      </c>
      <c r="P53" s="30">
        <f>COUNTIFS('Datos - Temas'!$K$5:$K$1264,$A53)</f>
        <v/>
      </c>
      <c r="Q53" s="30">
        <f>IF(O53&gt;0,"Sí","No")</f>
        <v/>
      </c>
      <c r="R53" s="30">
        <f>IF(O53=0,"No cubierto",IF(O53=1,"Débil (1 tema)",IF(O53&lt;=3,"Básica (2–3)","Sólida (4+)")))</f>
        <v/>
      </c>
      <c r="S53" s="30">
        <f>IFERROR(INDEX($I$4:$L$4,MATCH(TRUE,INDEX(I53:L53&gt;0,0),0)),"—")</f>
        <v/>
      </c>
      <c r="T53" s="30" t="inlineStr">
        <is>
          <t>Hoy: 5° U3 (11); 5° U4 (3); 6° U4 (6); 8° U4 (3); 8° U5 (1)</t>
        </is>
      </c>
    </row>
    <row r="54">
      <c r="A54" s="30" t="inlineStr">
        <is>
          <t>T8_27-C1.2</t>
        </is>
      </c>
      <c r="B54" s="30" t="inlineStr">
        <is>
          <t>T8_27</t>
        </is>
      </c>
      <c r="C54" s="30" t="inlineStr">
        <is>
          <t>Química</t>
        </is>
      </c>
      <c r="D54" s="30" t="inlineStr">
        <is>
          <t>Composición de la materia</t>
        </is>
      </c>
      <c r="E54" s="30" t="inlineStr">
        <is>
          <t>Elementos, compuestos y mezclas</t>
        </is>
      </c>
      <c r="F54" s="30" t="inlineStr">
        <is>
          <t>N/A</t>
        </is>
      </c>
      <c r="G54" s="30" t="inlineStr">
        <is>
          <t>N/A</t>
        </is>
      </c>
      <c r="H54" s="30" t="inlineStr">
        <is>
          <t>N/A</t>
        </is>
      </c>
      <c r="I54" s="30">
        <f>COUNTIFS('Datos - Temas'!$V$5:$V$1264,I$4,'Datos - Temas'!$K$5:$K$1264,$A54)+COUNTIFS('Datos - Temas'!$V$5:$V$1264,I$4,'Datos - Temas'!$L$5:$L$1264,$A54)</f>
        <v/>
      </c>
      <c r="J54" s="30">
        <f>COUNTIFS('Datos - Temas'!$V$5:$V$1264,J$4,'Datos - Temas'!$K$5:$K$1264,$A54)+COUNTIFS('Datos - Temas'!$V$5:$V$1264,J$4,'Datos - Temas'!$L$5:$L$1264,$A54)</f>
        <v/>
      </c>
      <c r="K54" s="30">
        <f>COUNTIFS('Datos - Temas'!$V$5:$V$1264,K$4,'Datos - Temas'!$K$5:$K$1264,$A54)+COUNTIFS('Datos - Temas'!$V$5:$V$1264,K$4,'Datos - Temas'!$L$5:$L$1264,$A54)</f>
        <v/>
      </c>
      <c r="L54" s="30">
        <f>COUNTIFS('Datos - Temas'!$V$5:$V$1264,L$4,'Datos - Temas'!$K$5:$K$1264,$A54)+COUNTIFS('Datos - Temas'!$V$5:$V$1264,L$4,'Datos - Temas'!$L$5:$L$1264,$A54)</f>
        <v/>
      </c>
      <c r="M54" s="30" t="inlineStr">
        <is>
          <t>N/A</t>
        </is>
      </c>
      <c r="N54" s="30" t="inlineStr">
        <is>
          <t>N/A</t>
        </is>
      </c>
      <c r="O54" s="30">
        <f>IF($B54="T4_27",SUM(F54:H54),IF($B54="T8_27",SUM(I54:L54),SUM(M54:N54)))</f>
        <v/>
      </c>
      <c r="P54" s="30">
        <f>COUNTIFS('Datos - Temas'!$K$5:$K$1264,$A54)</f>
        <v/>
      </c>
      <c r="Q54" s="30">
        <f>IF(O54&gt;0,"Sí","No")</f>
        <v/>
      </c>
      <c r="R54" s="30">
        <f>IF(O54=0,"No cubierto",IF(O54=1,"Débil (1 tema)",IF(O54&lt;=3,"Básica (2–3)","Sólida (4+)")))</f>
        <v/>
      </c>
      <c r="S54" s="30">
        <f>IFERROR(INDEX($I$4:$L$4,MATCH(TRUE,INDEX(I54:L54&gt;0,0),0)),"—")</f>
        <v/>
      </c>
      <c r="T54" s="30" t="inlineStr">
        <is>
          <t>Hoy: 5° U4 (1); 7° U1 (4); 8° U4 (3); 8° U5 (1)</t>
        </is>
      </c>
    </row>
    <row r="55">
      <c r="A55" s="30" t="inlineStr">
        <is>
          <t>T8_27-C1.3</t>
        </is>
      </c>
      <c r="B55" s="30" t="inlineStr">
        <is>
          <t>T8_27</t>
        </is>
      </c>
      <c r="C55" s="30" t="inlineStr">
        <is>
          <t>Química</t>
        </is>
      </c>
      <c r="D55" s="30" t="inlineStr">
        <is>
          <t>Composición de la materia</t>
        </is>
      </c>
      <c r="E55" s="30" t="inlineStr">
        <is>
          <t>La tabla periódica</t>
        </is>
      </c>
      <c r="F55" s="30" t="inlineStr">
        <is>
          <t>N/A</t>
        </is>
      </c>
      <c r="G55" s="30" t="inlineStr">
        <is>
          <t>N/A</t>
        </is>
      </c>
      <c r="H55" s="30" t="inlineStr">
        <is>
          <t>N/A</t>
        </is>
      </c>
      <c r="I55" s="30">
        <f>COUNTIFS('Datos - Temas'!$V$5:$V$1264,I$4,'Datos - Temas'!$K$5:$K$1264,$A55)+COUNTIFS('Datos - Temas'!$V$5:$V$1264,I$4,'Datos - Temas'!$L$5:$L$1264,$A55)</f>
        <v/>
      </c>
      <c r="J55" s="30">
        <f>COUNTIFS('Datos - Temas'!$V$5:$V$1264,J$4,'Datos - Temas'!$K$5:$K$1264,$A55)+COUNTIFS('Datos - Temas'!$V$5:$V$1264,J$4,'Datos - Temas'!$L$5:$L$1264,$A55)</f>
        <v/>
      </c>
      <c r="K55" s="30">
        <f>COUNTIFS('Datos - Temas'!$V$5:$V$1264,K$4,'Datos - Temas'!$K$5:$K$1264,$A55)+COUNTIFS('Datos - Temas'!$V$5:$V$1264,K$4,'Datos - Temas'!$L$5:$L$1264,$A55)</f>
        <v/>
      </c>
      <c r="L55" s="30">
        <f>COUNTIFS('Datos - Temas'!$V$5:$V$1264,L$4,'Datos - Temas'!$K$5:$K$1264,$A55)+COUNTIFS('Datos - Temas'!$V$5:$V$1264,L$4,'Datos - Temas'!$L$5:$L$1264,$A55)</f>
        <v/>
      </c>
      <c r="M55" s="30" t="inlineStr">
        <is>
          <t>N/A</t>
        </is>
      </c>
      <c r="N55" s="30" t="inlineStr">
        <is>
          <t>N/A</t>
        </is>
      </c>
      <c r="O55" s="30">
        <f>IF($B55="T4_27",SUM(F55:H55),IF($B55="T8_27",SUM(I55:L55),SUM(M55:N55)))</f>
        <v/>
      </c>
      <c r="P55" s="30">
        <f>COUNTIFS('Datos - Temas'!$K$5:$K$1264,$A55)</f>
        <v/>
      </c>
      <c r="Q55" s="30">
        <f>IF(O55&gt;0,"Sí","No")</f>
        <v/>
      </c>
      <c r="R55" s="30">
        <f>IF(O55=0,"No cubierto",IF(O55=1,"Débil (1 tema)",IF(O55&lt;=3,"Básica (2–3)","Sólida (4+)")))</f>
        <v/>
      </c>
      <c r="S55" s="30">
        <f>IFERROR(INDEX($I$4:$L$4,MATCH(TRUE,INDEX(I55:L55&gt;0,0),0)),"—")</f>
        <v/>
      </c>
      <c r="T55" s="30" t="inlineStr">
        <is>
          <t>Hoy: 5° U3 (2); 5° U4 (4)</t>
        </is>
      </c>
    </row>
    <row r="56">
      <c r="A56" s="30" t="inlineStr">
        <is>
          <t>T8_27-C2.1</t>
        </is>
      </c>
      <c r="B56" s="30" t="inlineStr">
        <is>
          <t>T8_27</t>
        </is>
      </c>
      <c r="C56" s="30" t="inlineStr">
        <is>
          <t>Química</t>
        </is>
      </c>
      <c r="D56" s="30" t="inlineStr">
        <is>
          <t>Propiedades de la materia</t>
        </is>
      </c>
      <c r="E56" s="30" t="inlineStr">
        <is>
          <t>Propiedades físicas y químicas para clasificar y usar materiales</t>
        </is>
      </c>
      <c r="F56" s="30" t="inlineStr">
        <is>
          <t>N/A</t>
        </is>
      </c>
      <c r="G56" s="30" t="inlineStr">
        <is>
          <t>N/A</t>
        </is>
      </c>
      <c r="H56" s="30" t="inlineStr">
        <is>
          <t>N/A</t>
        </is>
      </c>
      <c r="I56" s="30">
        <f>COUNTIFS('Datos - Temas'!$V$5:$V$1264,I$4,'Datos - Temas'!$K$5:$K$1264,$A56)+COUNTIFS('Datos - Temas'!$V$5:$V$1264,I$4,'Datos - Temas'!$L$5:$L$1264,$A56)</f>
        <v/>
      </c>
      <c r="J56" s="30">
        <f>COUNTIFS('Datos - Temas'!$V$5:$V$1264,J$4,'Datos - Temas'!$K$5:$K$1264,$A56)+COUNTIFS('Datos - Temas'!$V$5:$V$1264,J$4,'Datos - Temas'!$L$5:$L$1264,$A56)</f>
        <v/>
      </c>
      <c r="K56" s="30">
        <f>COUNTIFS('Datos - Temas'!$V$5:$V$1264,K$4,'Datos - Temas'!$K$5:$K$1264,$A56)+COUNTIFS('Datos - Temas'!$V$5:$V$1264,K$4,'Datos - Temas'!$L$5:$L$1264,$A56)</f>
        <v/>
      </c>
      <c r="L56" s="30">
        <f>COUNTIFS('Datos - Temas'!$V$5:$V$1264,L$4,'Datos - Temas'!$K$5:$K$1264,$A56)+COUNTIFS('Datos - Temas'!$V$5:$V$1264,L$4,'Datos - Temas'!$L$5:$L$1264,$A56)</f>
        <v/>
      </c>
      <c r="M56" s="30" t="inlineStr">
        <is>
          <t>N/A</t>
        </is>
      </c>
      <c r="N56" s="30" t="inlineStr">
        <is>
          <t>N/A</t>
        </is>
      </c>
      <c r="O56" s="30">
        <f>IF($B56="T4_27",SUM(F56:H56),IF($B56="T8_27",SUM(I56:L56),SUM(M56:N56)))</f>
        <v/>
      </c>
      <c r="P56" s="30">
        <f>COUNTIFS('Datos - Temas'!$K$5:$K$1264,$A56)</f>
        <v/>
      </c>
      <c r="Q56" s="30">
        <f>IF(O56&gt;0,"Sí","No")</f>
        <v/>
      </c>
      <c r="R56" s="30">
        <f>IF(O56=0,"No cubierto",IF(O56=1,"Débil (1 tema)",IF(O56&lt;=3,"Básica (2–3)","Sólida (4+)")))</f>
        <v/>
      </c>
      <c r="S56" s="30">
        <f>IFERROR(INDEX($I$4:$L$4,MATCH(TRUE,INDEX(I56:L56&gt;0,0),0)),"—")</f>
        <v/>
      </c>
      <c r="T56" s="30" t="inlineStr">
        <is>
          <t>Hoy: 5° U4 (1); 6° U1 (1); 6° U4 (1); 8° U5 (2)</t>
        </is>
      </c>
    </row>
    <row r="57">
      <c r="A57" s="30" t="inlineStr">
        <is>
          <t>T8_27-C2.2</t>
        </is>
      </c>
      <c r="B57" s="30" t="inlineStr">
        <is>
          <t>T8_27</t>
        </is>
      </c>
      <c r="C57" s="30" t="inlineStr">
        <is>
          <t>Química</t>
        </is>
      </c>
      <c r="D57" s="30" t="inlineStr">
        <is>
          <t>Propiedades de la materia</t>
        </is>
      </c>
      <c r="E57" s="30" t="inlineStr">
        <is>
          <t>Mezclas y disoluciones</t>
        </is>
      </c>
      <c r="F57" s="30" t="inlineStr">
        <is>
          <t>N/A</t>
        </is>
      </c>
      <c r="G57" s="30" t="inlineStr">
        <is>
          <t>N/A</t>
        </is>
      </c>
      <c r="H57" s="30" t="inlineStr">
        <is>
          <t>N/A</t>
        </is>
      </c>
      <c r="I57" s="30">
        <f>COUNTIFS('Datos - Temas'!$V$5:$V$1264,I$4,'Datos - Temas'!$K$5:$K$1264,$A57)+COUNTIFS('Datos - Temas'!$V$5:$V$1264,I$4,'Datos - Temas'!$L$5:$L$1264,$A57)</f>
        <v/>
      </c>
      <c r="J57" s="30">
        <f>COUNTIFS('Datos - Temas'!$V$5:$V$1264,J$4,'Datos - Temas'!$K$5:$K$1264,$A57)+COUNTIFS('Datos - Temas'!$V$5:$V$1264,J$4,'Datos - Temas'!$L$5:$L$1264,$A57)</f>
        <v/>
      </c>
      <c r="K57" s="30">
        <f>COUNTIFS('Datos - Temas'!$V$5:$V$1264,K$4,'Datos - Temas'!$K$5:$K$1264,$A57)+COUNTIFS('Datos - Temas'!$V$5:$V$1264,K$4,'Datos - Temas'!$L$5:$L$1264,$A57)</f>
        <v/>
      </c>
      <c r="L57" s="30">
        <f>COUNTIFS('Datos - Temas'!$V$5:$V$1264,L$4,'Datos - Temas'!$K$5:$K$1264,$A57)+COUNTIFS('Datos - Temas'!$V$5:$V$1264,L$4,'Datos - Temas'!$L$5:$L$1264,$A57)</f>
        <v/>
      </c>
      <c r="M57" s="30" t="inlineStr">
        <is>
          <t>N/A</t>
        </is>
      </c>
      <c r="N57" s="30" t="inlineStr">
        <is>
          <t>N/A</t>
        </is>
      </c>
      <c r="O57" s="30">
        <f>IF($B57="T4_27",SUM(F57:H57),IF($B57="T8_27",SUM(I57:L57),SUM(M57:N57)))</f>
        <v/>
      </c>
      <c r="P57" s="30">
        <f>COUNTIFS('Datos - Temas'!$K$5:$K$1264,$A57)</f>
        <v/>
      </c>
      <c r="Q57" s="30">
        <f>IF(O57&gt;0,"Sí","No")</f>
        <v/>
      </c>
      <c r="R57" s="30">
        <f>IF(O57=0,"No cubierto",IF(O57=1,"Débil (1 tema)",IF(O57&lt;=3,"Básica (2–3)","Sólida (4+)")))</f>
        <v/>
      </c>
      <c r="S57" s="30">
        <f>IFERROR(INDEX($I$4:$L$4,MATCH(TRUE,INDEX(I57:L57&gt;0,0),0)),"—")</f>
        <v/>
      </c>
      <c r="T57" s="30" t="inlineStr">
        <is>
          <t>Hoy: 6° U5 (1); 8° U4 (14); 8° U5 (1)</t>
        </is>
      </c>
    </row>
    <row r="58">
      <c r="A58" s="30" t="inlineStr">
        <is>
          <t>T8_27-C2.3</t>
        </is>
      </c>
      <c r="B58" s="30" t="inlineStr">
        <is>
          <t>T8_27</t>
        </is>
      </c>
      <c r="C58" s="30" t="inlineStr">
        <is>
          <t>Química</t>
        </is>
      </c>
      <c r="D58" s="30" t="inlineStr">
        <is>
          <t>Propiedades de la materia</t>
        </is>
      </c>
      <c r="E58" s="30" t="inlineStr">
        <is>
          <t>Propiedades de ácidos y bases</t>
        </is>
      </c>
      <c r="F58" s="30" t="inlineStr">
        <is>
          <t>N/A</t>
        </is>
      </c>
      <c r="G58" s="30" t="inlineStr">
        <is>
          <t>N/A</t>
        </is>
      </c>
      <c r="H58" s="30" t="inlineStr">
        <is>
          <t>N/A</t>
        </is>
      </c>
      <c r="I58" s="30">
        <f>COUNTIFS('Datos - Temas'!$V$5:$V$1264,I$4,'Datos - Temas'!$K$5:$K$1264,$A58)+COUNTIFS('Datos - Temas'!$V$5:$V$1264,I$4,'Datos - Temas'!$L$5:$L$1264,$A58)</f>
        <v/>
      </c>
      <c r="J58" s="30">
        <f>COUNTIFS('Datos - Temas'!$V$5:$V$1264,J$4,'Datos - Temas'!$K$5:$K$1264,$A58)+COUNTIFS('Datos - Temas'!$V$5:$V$1264,J$4,'Datos - Temas'!$L$5:$L$1264,$A58)</f>
        <v/>
      </c>
      <c r="K58" s="30">
        <f>COUNTIFS('Datos - Temas'!$V$5:$V$1264,K$4,'Datos - Temas'!$K$5:$K$1264,$A58)+COUNTIFS('Datos - Temas'!$V$5:$V$1264,K$4,'Datos - Temas'!$L$5:$L$1264,$A58)</f>
        <v/>
      </c>
      <c r="L58" s="30">
        <f>COUNTIFS('Datos - Temas'!$V$5:$V$1264,L$4,'Datos - Temas'!$K$5:$K$1264,$A58)+COUNTIFS('Datos - Temas'!$V$5:$V$1264,L$4,'Datos - Temas'!$L$5:$L$1264,$A58)</f>
        <v/>
      </c>
      <c r="M58" s="30" t="inlineStr">
        <is>
          <t>N/A</t>
        </is>
      </c>
      <c r="N58" s="30" t="inlineStr">
        <is>
          <t>N/A</t>
        </is>
      </c>
      <c r="O58" s="30">
        <f>IF($B58="T4_27",SUM(F58:H58),IF($B58="T8_27",SUM(I58:L58),SUM(M58:N58)))</f>
        <v/>
      </c>
      <c r="P58" s="30">
        <f>COUNTIFS('Datos - Temas'!$K$5:$K$1264,$A58)</f>
        <v/>
      </c>
      <c r="Q58" s="30">
        <f>IF(O58&gt;0,"Sí","No")</f>
        <v/>
      </c>
      <c r="R58" s="30">
        <f>IF(O58=0,"No cubierto",IF(O58=1,"Débil (1 tema)",IF(O58&lt;=3,"Básica (2–3)","Sólida (4+)")))</f>
        <v/>
      </c>
      <c r="S58" s="30">
        <f>IFERROR(INDEX($I$4:$L$4,MATCH(TRUE,INDEX(I58:L58&gt;0,0),0)),"—")</f>
        <v/>
      </c>
      <c r="T58" s="30" t="inlineStr">
        <is>
          <t>Hoy: 7° U1 (1); 7° U5 (1); 9° U3 (13)</t>
        </is>
      </c>
    </row>
    <row r="59">
      <c r="A59" s="30" t="inlineStr">
        <is>
          <t>T8_27-C3.1</t>
        </is>
      </c>
      <c r="B59" s="30" t="inlineStr">
        <is>
          <t>T8_27</t>
        </is>
      </c>
      <c r="C59" s="30" t="inlineStr">
        <is>
          <t>Química</t>
        </is>
      </c>
      <c r="D59" s="30" t="inlineStr">
        <is>
          <t>Reacciones químicas</t>
        </is>
      </c>
      <c r="E59" s="30" t="inlineStr">
        <is>
          <t>Características de las reacciones químicas</t>
        </is>
      </c>
      <c r="F59" s="30" t="inlineStr">
        <is>
          <t>N/A</t>
        </is>
      </c>
      <c r="G59" s="30" t="inlineStr">
        <is>
          <t>N/A</t>
        </is>
      </c>
      <c r="H59" s="30" t="inlineStr">
        <is>
          <t>N/A</t>
        </is>
      </c>
      <c r="I59" s="30">
        <f>COUNTIFS('Datos - Temas'!$V$5:$V$1264,I$4,'Datos - Temas'!$K$5:$K$1264,$A59)+COUNTIFS('Datos - Temas'!$V$5:$V$1264,I$4,'Datos - Temas'!$L$5:$L$1264,$A59)</f>
        <v/>
      </c>
      <c r="J59" s="30">
        <f>COUNTIFS('Datos - Temas'!$V$5:$V$1264,J$4,'Datos - Temas'!$K$5:$K$1264,$A59)+COUNTIFS('Datos - Temas'!$V$5:$V$1264,J$4,'Datos - Temas'!$L$5:$L$1264,$A59)</f>
        <v/>
      </c>
      <c r="K59" s="30">
        <f>COUNTIFS('Datos - Temas'!$V$5:$V$1264,K$4,'Datos - Temas'!$K$5:$K$1264,$A59)+COUNTIFS('Datos - Temas'!$V$5:$V$1264,K$4,'Datos - Temas'!$L$5:$L$1264,$A59)</f>
        <v/>
      </c>
      <c r="L59" s="30">
        <f>COUNTIFS('Datos - Temas'!$V$5:$V$1264,L$4,'Datos - Temas'!$K$5:$K$1264,$A59)+COUNTIFS('Datos - Temas'!$V$5:$V$1264,L$4,'Datos - Temas'!$L$5:$L$1264,$A59)</f>
        <v/>
      </c>
      <c r="M59" s="30" t="inlineStr">
        <is>
          <t>N/A</t>
        </is>
      </c>
      <c r="N59" s="30" t="inlineStr">
        <is>
          <t>N/A</t>
        </is>
      </c>
      <c r="O59" s="30">
        <f>IF($B59="T4_27",SUM(F59:H59),IF($B59="T8_27",SUM(I59:L59),SUM(M59:N59)))</f>
        <v/>
      </c>
      <c r="P59" s="30">
        <f>COUNTIFS('Datos - Temas'!$K$5:$K$1264,$A59)</f>
        <v/>
      </c>
      <c r="Q59" s="30">
        <f>IF(O59&gt;0,"Sí","No")</f>
        <v/>
      </c>
      <c r="R59" s="30">
        <f>IF(O59=0,"No cubierto",IF(O59=1,"Débil (1 tema)",IF(O59&lt;=3,"Básica (2–3)","Sólida (4+)")))</f>
        <v/>
      </c>
      <c r="S59" s="30">
        <f>IFERROR(INDEX($I$4:$L$4,MATCH(TRUE,INDEX(I59:L59&gt;0,0),0)),"—")</f>
        <v/>
      </c>
      <c r="T59" s="30" t="inlineStr">
        <is>
          <t>Hoy: 5° U6 (1); 6° U4 (2); 9° U3 (1)</t>
        </is>
      </c>
    </row>
    <row r="60">
      <c r="A60" s="30" t="inlineStr">
        <is>
          <t>T8_27-C3.2</t>
        </is>
      </c>
      <c r="B60" s="30" t="inlineStr">
        <is>
          <t>T8_27</t>
        </is>
      </c>
      <c r="C60" s="30" t="inlineStr">
        <is>
          <t>Química</t>
        </is>
      </c>
      <c r="D60" s="30" t="inlineStr">
        <is>
          <t>Reacciones químicas</t>
        </is>
      </c>
      <c r="E60" s="30" t="inlineStr">
        <is>
          <t>Materia y energía en las reacciones químicas</t>
        </is>
      </c>
      <c r="F60" s="30" t="inlineStr">
        <is>
          <t>N/A</t>
        </is>
      </c>
      <c r="G60" s="30" t="inlineStr">
        <is>
          <t>N/A</t>
        </is>
      </c>
      <c r="H60" s="30" t="inlineStr">
        <is>
          <t>N/A</t>
        </is>
      </c>
      <c r="I60" s="30">
        <f>COUNTIFS('Datos - Temas'!$V$5:$V$1264,I$4,'Datos - Temas'!$K$5:$K$1264,$A60)+COUNTIFS('Datos - Temas'!$V$5:$V$1264,I$4,'Datos - Temas'!$L$5:$L$1264,$A60)</f>
        <v/>
      </c>
      <c r="J60" s="30">
        <f>COUNTIFS('Datos - Temas'!$V$5:$V$1264,J$4,'Datos - Temas'!$K$5:$K$1264,$A60)+COUNTIFS('Datos - Temas'!$V$5:$V$1264,J$4,'Datos - Temas'!$L$5:$L$1264,$A60)</f>
        <v/>
      </c>
      <c r="K60" s="30">
        <f>COUNTIFS('Datos - Temas'!$V$5:$V$1264,K$4,'Datos - Temas'!$K$5:$K$1264,$A60)+COUNTIFS('Datos - Temas'!$V$5:$V$1264,K$4,'Datos - Temas'!$L$5:$L$1264,$A60)</f>
        <v/>
      </c>
      <c r="L60" s="30">
        <f>COUNTIFS('Datos - Temas'!$V$5:$V$1264,L$4,'Datos - Temas'!$K$5:$K$1264,$A60)+COUNTIFS('Datos - Temas'!$V$5:$V$1264,L$4,'Datos - Temas'!$L$5:$L$1264,$A60)</f>
        <v/>
      </c>
      <c r="M60" s="30" t="inlineStr">
        <is>
          <t>N/A</t>
        </is>
      </c>
      <c r="N60" s="30" t="inlineStr">
        <is>
          <t>N/A</t>
        </is>
      </c>
      <c r="O60" s="30">
        <f>IF($B60="T4_27",SUM(F60:H60),IF($B60="T8_27",SUM(I60:L60),SUM(M60:N60)))</f>
        <v/>
      </c>
      <c r="P60" s="30">
        <f>COUNTIFS('Datos - Temas'!$K$5:$K$1264,$A60)</f>
        <v/>
      </c>
      <c r="Q60" s="30">
        <f>IF(O60&gt;0,"Sí","No")</f>
        <v/>
      </c>
      <c r="R60" s="30">
        <f>IF(O60=0,"No cubierto",IF(O60=1,"Débil (1 tema)",IF(O60&lt;=3,"Básica (2–3)","Sólida (4+)")))</f>
        <v/>
      </c>
      <c r="S60" s="30">
        <f>IFERROR(INDEX($I$4:$L$4,MATCH(TRUE,INDEX(I60:L60&gt;0,0),0)),"—")</f>
        <v/>
      </c>
      <c r="T60" s="30" t="inlineStr">
        <is>
          <t>Hoy: 6° U4 (1); 6° U5 (1); 7° U1 (4); 8° U4 (2); 9° U3 (8)</t>
        </is>
      </c>
    </row>
    <row r="61">
      <c r="A61" s="30" t="inlineStr">
        <is>
          <t>T8_27-C4.1</t>
        </is>
      </c>
      <c r="B61" s="30" t="inlineStr">
        <is>
          <t>T8_27</t>
        </is>
      </c>
      <c r="C61" s="30" t="inlineStr">
        <is>
          <t>Química</t>
        </is>
      </c>
      <c r="D61" s="30" t="inlineStr">
        <is>
          <t>Investigaciones químicas</t>
        </is>
      </c>
      <c r="E61" s="30" t="inlineStr">
        <is>
          <t>Rasgos y equipo de una investigación química</t>
        </is>
      </c>
      <c r="F61" s="30" t="inlineStr">
        <is>
          <t>N/A</t>
        </is>
      </c>
      <c r="G61" s="30" t="inlineStr">
        <is>
          <t>N/A</t>
        </is>
      </c>
      <c r="H61" s="30" t="inlineStr">
        <is>
          <t>N/A</t>
        </is>
      </c>
      <c r="I61" s="30">
        <f>COUNTIFS('Datos - Temas'!$V$5:$V$1264,I$4,'Datos - Temas'!$K$5:$K$1264,$A61)+COUNTIFS('Datos - Temas'!$V$5:$V$1264,I$4,'Datos - Temas'!$L$5:$L$1264,$A61)</f>
        <v/>
      </c>
      <c r="J61" s="30">
        <f>COUNTIFS('Datos - Temas'!$V$5:$V$1264,J$4,'Datos - Temas'!$K$5:$K$1264,$A61)+COUNTIFS('Datos - Temas'!$V$5:$V$1264,J$4,'Datos - Temas'!$L$5:$L$1264,$A61)</f>
        <v/>
      </c>
      <c r="K61" s="30">
        <f>COUNTIFS('Datos - Temas'!$V$5:$V$1264,K$4,'Datos - Temas'!$K$5:$K$1264,$A61)+COUNTIFS('Datos - Temas'!$V$5:$V$1264,K$4,'Datos - Temas'!$L$5:$L$1264,$A61)</f>
        <v/>
      </c>
      <c r="L61" s="30">
        <f>COUNTIFS('Datos - Temas'!$V$5:$V$1264,L$4,'Datos - Temas'!$K$5:$K$1264,$A61)+COUNTIFS('Datos - Temas'!$V$5:$V$1264,L$4,'Datos - Temas'!$L$5:$L$1264,$A61)</f>
        <v/>
      </c>
      <c r="M61" s="30" t="inlineStr">
        <is>
          <t>N/A</t>
        </is>
      </c>
      <c r="N61" s="30" t="inlineStr">
        <is>
          <t>N/A</t>
        </is>
      </c>
      <c r="O61" s="30">
        <f>IF($B61="T4_27",SUM(F61:H61),IF($B61="T8_27",SUM(I61:L61),SUM(M61:N61)))</f>
        <v/>
      </c>
      <c r="P61" s="30">
        <f>COUNTIFS('Datos - Temas'!$K$5:$K$1264,$A61)</f>
        <v/>
      </c>
      <c r="Q61" s="30">
        <f>IF(O61&gt;0,"Sí","No")</f>
        <v/>
      </c>
      <c r="R61" s="30">
        <f>IF(O61=0,"No cubierto",IF(O61=1,"Débil (1 tema)",IF(O61&lt;=3,"Básica (2–3)","Sólida (4+)")))</f>
        <v/>
      </c>
      <c r="S61" s="30">
        <f>IFERROR(INDEX($I$4:$L$4,MATCH(TRUE,INDEX(I61:L61&gt;0,0),0)),"—")</f>
        <v/>
      </c>
      <c r="T61" s="30" t="inlineStr">
        <is>
          <t>Hoy: 7° U5 (1); 8° U4 (1); 9° U3 (3)</t>
        </is>
      </c>
    </row>
    <row r="62">
      <c r="A62" s="30" t="inlineStr">
        <is>
          <t>T8_27-P1.1</t>
        </is>
      </c>
      <c r="B62" s="30" t="inlineStr">
        <is>
          <t>T8_27</t>
        </is>
      </c>
      <c r="C62" s="30" t="inlineStr">
        <is>
          <t>Física</t>
        </is>
      </c>
      <c r="D62" s="30" t="inlineStr">
        <is>
          <t>Estados físicos y cambios de la materia</t>
        </is>
      </c>
      <c r="E62" s="30" t="inlineStr">
        <is>
          <t>Movimiento de partículas en sólidos, líquidos y gases</t>
        </is>
      </c>
      <c r="F62" s="30" t="inlineStr">
        <is>
          <t>N/A</t>
        </is>
      </c>
      <c r="G62" s="30" t="inlineStr">
        <is>
          <t>N/A</t>
        </is>
      </c>
      <c r="H62" s="30" t="inlineStr">
        <is>
          <t>N/A</t>
        </is>
      </c>
      <c r="I62" s="30">
        <f>COUNTIFS('Datos - Temas'!$V$5:$V$1264,I$4,'Datos - Temas'!$K$5:$K$1264,$A62)+COUNTIFS('Datos - Temas'!$V$5:$V$1264,I$4,'Datos - Temas'!$L$5:$L$1264,$A62)</f>
        <v/>
      </c>
      <c r="J62" s="30">
        <f>COUNTIFS('Datos - Temas'!$V$5:$V$1264,J$4,'Datos - Temas'!$K$5:$K$1264,$A62)+COUNTIFS('Datos - Temas'!$V$5:$V$1264,J$4,'Datos - Temas'!$L$5:$L$1264,$A62)</f>
        <v/>
      </c>
      <c r="K62" s="30">
        <f>COUNTIFS('Datos - Temas'!$V$5:$V$1264,K$4,'Datos - Temas'!$K$5:$K$1264,$A62)+COUNTIFS('Datos - Temas'!$V$5:$V$1264,K$4,'Datos - Temas'!$L$5:$L$1264,$A62)</f>
        <v/>
      </c>
      <c r="L62" s="30">
        <f>COUNTIFS('Datos - Temas'!$V$5:$V$1264,L$4,'Datos - Temas'!$K$5:$K$1264,$A62)+COUNTIFS('Datos - Temas'!$V$5:$V$1264,L$4,'Datos - Temas'!$L$5:$L$1264,$A62)</f>
        <v/>
      </c>
      <c r="M62" s="30" t="inlineStr">
        <is>
          <t>N/A</t>
        </is>
      </c>
      <c r="N62" s="30" t="inlineStr">
        <is>
          <t>N/A</t>
        </is>
      </c>
      <c r="O62" s="30">
        <f>IF($B62="T4_27",SUM(F62:H62),IF($B62="T8_27",SUM(I62:L62),SUM(M62:N62)))</f>
        <v/>
      </c>
      <c r="P62" s="30">
        <f>COUNTIFS('Datos - Temas'!$K$5:$K$1264,$A62)</f>
        <v/>
      </c>
      <c r="Q62" s="30">
        <f>IF(O62&gt;0,"Sí","No")</f>
        <v/>
      </c>
      <c r="R62" s="30">
        <f>IF(O62=0,"No cubierto",IF(O62=1,"Débil (1 tema)",IF(O62&lt;=3,"Básica (2–3)","Sólida (4+)")))</f>
        <v/>
      </c>
      <c r="S62" s="30">
        <f>IFERROR(INDEX($I$4:$L$4,MATCH(TRUE,INDEX(I62:L62&gt;0,0),0)),"—")</f>
        <v/>
      </c>
      <c r="T62" s="30" t="inlineStr">
        <is>
          <t>Hoy: 6° U1 (2); 6° U2 (3); 6° U4 (2); 8° U4 (1); 9° U2 (2)</t>
        </is>
      </c>
    </row>
    <row r="63">
      <c r="A63" s="30" t="inlineStr">
        <is>
          <t>T8_27-P1.2</t>
        </is>
      </c>
      <c r="B63" s="30" t="inlineStr">
        <is>
          <t>T8_27</t>
        </is>
      </c>
      <c r="C63" s="30" t="inlineStr">
        <is>
          <t>Física</t>
        </is>
      </c>
      <c r="D63" s="30" t="inlineStr">
        <is>
          <t>Estados físicos y cambios de la materia</t>
        </is>
      </c>
      <c r="E63" s="30" t="inlineStr">
        <is>
          <t>Cambios de estado</t>
        </is>
      </c>
      <c r="F63" s="30" t="inlineStr">
        <is>
          <t>N/A</t>
        </is>
      </c>
      <c r="G63" s="30" t="inlineStr">
        <is>
          <t>N/A</t>
        </is>
      </c>
      <c r="H63" s="30" t="inlineStr">
        <is>
          <t>N/A</t>
        </is>
      </c>
      <c r="I63" s="30">
        <f>COUNTIFS('Datos - Temas'!$V$5:$V$1264,I$4,'Datos - Temas'!$K$5:$K$1264,$A63)+COUNTIFS('Datos - Temas'!$V$5:$V$1264,I$4,'Datos - Temas'!$L$5:$L$1264,$A63)</f>
        <v/>
      </c>
      <c r="J63" s="30">
        <f>COUNTIFS('Datos - Temas'!$V$5:$V$1264,J$4,'Datos - Temas'!$K$5:$K$1264,$A63)+COUNTIFS('Datos - Temas'!$V$5:$V$1264,J$4,'Datos - Temas'!$L$5:$L$1264,$A63)</f>
        <v/>
      </c>
      <c r="K63" s="30">
        <f>COUNTIFS('Datos - Temas'!$V$5:$V$1264,K$4,'Datos - Temas'!$K$5:$K$1264,$A63)+COUNTIFS('Datos - Temas'!$V$5:$V$1264,K$4,'Datos - Temas'!$L$5:$L$1264,$A63)</f>
        <v/>
      </c>
      <c r="L63" s="30">
        <f>COUNTIFS('Datos - Temas'!$V$5:$V$1264,L$4,'Datos - Temas'!$K$5:$K$1264,$A63)+COUNTIFS('Datos - Temas'!$V$5:$V$1264,L$4,'Datos - Temas'!$L$5:$L$1264,$A63)</f>
        <v/>
      </c>
      <c r="M63" s="30" t="inlineStr">
        <is>
          <t>N/A</t>
        </is>
      </c>
      <c r="N63" s="30" t="inlineStr">
        <is>
          <t>N/A</t>
        </is>
      </c>
      <c r="O63" s="30">
        <f>IF($B63="T4_27",SUM(F63:H63),IF($B63="T8_27",SUM(I63:L63),SUM(M63:N63)))</f>
        <v/>
      </c>
      <c r="P63" s="30">
        <f>COUNTIFS('Datos - Temas'!$K$5:$K$1264,$A63)</f>
        <v/>
      </c>
      <c r="Q63" s="30">
        <f>IF(O63&gt;0,"Sí","No")</f>
        <v/>
      </c>
      <c r="R63" s="30">
        <f>IF(O63=0,"No cubierto",IF(O63=1,"Débil (1 tema)",IF(O63&lt;=3,"Básica (2–3)","Sólida (4+)")))</f>
        <v/>
      </c>
      <c r="S63" s="30">
        <f>IFERROR(INDEX($I$4:$L$4,MATCH(TRUE,INDEX(I63:L63&gt;0,0),0)),"—")</f>
        <v/>
      </c>
      <c r="T63" s="30" t="inlineStr">
        <is>
          <t>Hoy: 6° U2 (1); 6° U4 (1); 8° U4 (2); 9° U2 (3)</t>
        </is>
      </c>
    </row>
    <row r="64">
      <c r="A64" s="30" t="inlineStr">
        <is>
          <t>T8_27-P2.1</t>
        </is>
      </c>
      <c r="B64" s="30" t="inlineStr">
        <is>
          <t>T8_27</t>
        </is>
      </c>
      <c r="C64" s="30" t="inlineStr">
        <is>
          <t>Física</t>
        </is>
      </c>
      <c r="D64" s="30" t="inlineStr">
        <is>
          <t>Transformación y transferencia de energía</t>
        </is>
      </c>
      <c r="E64" s="30" t="inlineStr">
        <is>
          <t>Formas de energía y conservación de la energía</t>
        </is>
      </c>
      <c r="F64" s="30" t="inlineStr">
        <is>
          <t>N/A</t>
        </is>
      </c>
      <c r="G64" s="30" t="inlineStr">
        <is>
          <t>N/A</t>
        </is>
      </c>
      <c r="H64" s="30" t="inlineStr">
        <is>
          <t>N/A</t>
        </is>
      </c>
      <c r="I64" s="30">
        <f>COUNTIFS('Datos - Temas'!$V$5:$V$1264,I$4,'Datos - Temas'!$K$5:$K$1264,$A64)+COUNTIFS('Datos - Temas'!$V$5:$V$1264,I$4,'Datos - Temas'!$L$5:$L$1264,$A64)</f>
        <v/>
      </c>
      <c r="J64" s="30">
        <f>COUNTIFS('Datos - Temas'!$V$5:$V$1264,J$4,'Datos - Temas'!$K$5:$K$1264,$A64)+COUNTIFS('Datos - Temas'!$V$5:$V$1264,J$4,'Datos - Temas'!$L$5:$L$1264,$A64)</f>
        <v/>
      </c>
      <c r="K64" s="30">
        <f>COUNTIFS('Datos - Temas'!$V$5:$V$1264,K$4,'Datos - Temas'!$K$5:$K$1264,$A64)+COUNTIFS('Datos - Temas'!$V$5:$V$1264,K$4,'Datos - Temas'!$L$5:$L$1264,$A64)</f>
        <v/>
      </c>
      <c r="L64" s="30">
        <f>COUNTIFS('Datos - Temas'!$V$5:$V$1264,L$4,'Datos - Temas'!$K$5:$K$1264,$A64)+COUNTIFS('Datos - Temas'!$V$5:$V$1264,L$4,'Datos - Temas'!$L$5:$L$1264,$A64)</f>
        <v/>
      </c>
      <c r="M64" s="30" t="inlineStr">
        <is>
          <t>N/A</t>
        </is>
      </c>
      <c r="N64" s="30" t="inlineStr">
        <is>
          <t>N/A</t>
        </is>
      </c>
      <c r="O64" s="30">
        <f>IF($B64="T4_27",SUM(F64:H64),IF($B64="T8_27",SUM(I64:L64),SUM(M64:N64)))</f>
        <v/>
      </c>
      <c r="P64" s="30">
        <f>COUNTIFS('Datos - Temas'!$K$5:$K$1264,$A64)</f>
        <v/>
      </c>
      <c r="Q64" s="30">
        <f>IF(O64&gt;0,"Sí","No")</f>
        <v/>
      </c>
      <c r="R64" s="30">
        <f>IF(O64=0,"No cubierto",IF(O64=1,"Débil (1 tema)",IF(O64&lt;=3,"Básica (2–3)","Sólida (4+)")))</f>
        <v/>
      </c>
      <c r="S64" s="30">
        <f>IFERROR(INDEX($I$4:$L$4,MATCH(TRUE,INDEX(I64:L64&gt;0,0),0)),"—")</f>
        <v/>
      </c>
      <c r="T64" s="30" t="inlineStr">
        <is>
          <t>Hoy: 5° U2 (4); 7° U6 (4); 8° U2 (10); 8° U3 (3); 9° U2 (5); 9° U4 (2); 9° U6 (1); 9° U7 (2)</t>
        </is>
      </c>
    </row>
    <row r="65">
      <c r="A65" s="30" t="inlineStr">
        <is>
          <t>T8_27-P2.2</t>
        </is>
      </c>
      <c r="B65" s="30" t="inlineStr">
        <is>
          <t>T8_27</t>
        </is>
      </c>
      <c r="C65" s="30" t="inlineStr">
        <is>
          <t>Física</t>
        </is>
      </c>
      <c r="D65" s="30" t="inlineStr">
        <is>
          <t>Transformación y transferencia de energía</t>
        </is>
      </c>
      <c r="E65" s="30" t="inlineStr">
        <is>
          <t>Transferencia de energía térmica</t>
        </is>
      </c>
      <c r="F65" s="30" t="inlineStr">
        <is>
          <t>N/A</t>
        </is>
      </c>
      <c r="G65" s="30" t="inlineStr">
        <is>
          <t>N/A</t>
        </is>
      </c>
      <c r="H65" s="30" t="inlineStr">
        <is>
          <t>N/A</t>
        </is>
      </c>
      <c r="I65" s="30">
        <f>COUNTIFS('Datos - Temas'!$V$5:$V$1264,I$4,'Datos - Temas'!$K$5:$K$1264,$A65)+COUNTIFS('Datos - Temas'!$V$5:$V$1264,I$4,'Datos - Temas'!$L$5:$L$1264,$A65)</f>
        <v/>
      </c>
      <c r="J65" s="30">
        <f>COUNTIFS('Datos - Temas'!$V$5:$V$1264,J$4,'Datos - Temas'!$K$5:$K$1264,$A65)+COUNTIFS('Datos - Temas'!$V$5:$V$1264,J$4,'Datos - Temas'!$L$5:$L$1264,$A65)</f>
        <v/>
      </c>
      <c r="K65" s="30">
        <f>COUNTIFS('Datos - Temas'!$V$5:$V$1264,K$4,'Datos - Temas'!$K$5:$K$1264,$A65)+COUNTIFS('Datos - Temas'!$V$5:$V$1264,K$4,'Datos - Temas'!$L$5:$L$1264,$A65)</f>
        <v/>
      </c>
      <c r="L65" s="30">
        <f>COUNTIFS('Datos - Temas'!$V$5:$V$1264,L$4,'Datos - Temas'!$K$5:$K$1264,$A65)+COUNTIFS('Datos - Temas'!$V$5:$V$1264,L$4,'Datos - Temas'!$L$5:$L$1264,$A65)</f>
        <v/>
      </c>
      <c r="M65" s="30" t="inlineStr">
        <is>
          <t>N/A</t>
        </is>
      </c>
      <c r="N65" s="30" t="inlineStr">
        <is>
          <t>N/A</t>
        </is>
      </c>
      <c r="O65" s="30">
        <f>IF($B65="T4_27",SUM(F65:H65),IF($B65="T8_27",SUM(I65:L65),SUM(M65:N65)))</f>
        <v/>
      </c>
      <c r="P65" s="30">
        <f>COUNTIFS('Datos - Temas'!$K$5:$K$1264,$A65)</f>
        <v/>
      </c>
      <c r="Q65" s="30">
        <f>IF(O65&gt;0,"Sí","No")</f>
        <v/>
      </c>
      <c r="R65" s="30">
        <f>IF(O65=0,"No cubierto",IF(O65=1,"Débil (1 tema)",IF(O65&lt;=3,"Básica (2–3)","Sólida (4+)")))</f>
        <v/>
      </c>
      <c r="S65" s="30">
        <f>IFERROR(INDEX($I$4:$L$4,MATCH(TRUE,INDEX(I65:L65&gt;0,0),0)),"—")</f>
        <v/>
      </c>
      <c r="T65" s="30" t="inlineStr">
        <is>
          <t>Hoy: 6° U2 (2); 9° U2 (3); 9° U4 (1) · Propuesta 5-8-I12 (Presupuesto): 6.° · Experimentación con la absorción de radiación por gases de efecto invernadero y su relación con el aumento de la temperatura global.</t>
        </is>
      </c>
    </row>
    <row r="66">
      <c r="A66" s="30" t="inlineStr">
        <is>
          <t>T8_27-P3.1</t>
        </is>
      </c>
      <c r="B66" s="30" t="inlineStr">
        <is>
          <t>T8_27</t>
        </is>
      </c>
      <c r="C66" s="30" t="inlineStr">
        <is>
          <t>Física</t>
        </is>
      </c>
      <c r="D66" s="30" t="inlineStr">
        <is>
          <t>Luz y sonido</t>
        </is>
      </c>
      <c r="E66" s="30" t="inlineStr">
        <is>
          <t>Propiedades de la luz</t>
        </is>
      </c>
      <c r="F66" s="30" t="inlineStr">
        <is>
          <t>N/A</t>
        </is>
      </c>
      <c r="G66" s="30" t="inlineStr">
        <is>
          <t>N/A</t>
        </is>
      </c>
      <c r="H66" s="30" t="inlineStr">
        <is>
          <t>N/A</t>
        </is>
      </c>
      <c r="I66" s="30">
        <f>COUNTIFS('Datos - Temas'!$V$5:$V$1264,I$4,'Datos - Temas'!$K$5:$K$1264,$A66)+COUNTIFS('Datos - Temas'!$V$5:$V$1264,I$4,'Datos - Temas'!$L$5:$L$1264,$A66)</f>
        <v/>
      </c>
      <c r="J66" s="30">
        <f>COUNTIFS('Datos - Temas'!$V$5:$V$1264,J$4,'Datos - Temas'!$K$5:$K$1264,$A66)+COUNTIFS('Datos - Temas'!$V$5:$V$1264,J$4,'Datos - Temas'!$L$5:$L$1264,$A66)</f>
        <v/>
      </c>
      <c r="K66" s="30">
        <f>COUNTIFS('Datos - Temas'!$V$5:$V$1264,K$4,'Datos - Temas'!$K$5:$K$1264,$A66)+COUNTIFS('Datos - Temas'!$V$5:$V$1264,K$4,'Datos - Temas'!$L$5:$L$1264,$A66)</f>
        <v/>
      </c>
      <c r="L66" s="30">
        <f>COUNTIFS('Datos - Temas'!$V$5:$V$1264,L$4,'Datos - Temas'!$K$5:$K$1264,$A66)+COUNTIFS('Datos - Temas'!$V$5:$V$1264,L$4,'Datos - Temas'!$L$5:$L$1264,$A66)</f>
        <v/>
      </c>
      <c r="M66" s="30" t="inlineStr">
        <is>
          <t>N/A</t>
        </is>
      </c>
      <c r="N66" s="30" t="inlineStr">
        <is>
          <t>N/A</t>
        </is>
      </c>
      <c r="O66" s="30">
        <f>IF($B66="T4_27",SUM(F66:H66),IF($B66="T8_27",SUM(I66:L66),SUM(M66:N66)))</f>
        <v/>
      </c>
      <c r="P66" s="30">
        <f>COUNTIFS('Datos - Temas'!$K$5:$K$1264,$A66)</f>
        <v/>
      </c>
      <c r="Q66" s="30">
        <f>IF(O66&gt;0,"Sí","No")</f>
        <v/>
      </c>
      <c r="R66" s="30">
        <f>IF(O66=0,"No cubierto",IF(O66=1,"Débil (1 tema)",IF(O66&lt;=3,"Básica (2–3)","Sólida (4+)")))</f>
        <v/>
      </c>
      <c r="S66" s="30">
        <f>IFERROR(INDEX($I$4:$L$4,MATCH(TRUE,INDEX(I66:L66&gt;0,0),0)),"—")</f>
        <v/>
      </c>
      <c r="T66" s="30" t="inlineStr">
        <is>
          <t>Hoy: ningún tema de 2.°–9.° lo trabaja. · Propuesta 5-8-I18 (Presupuesto): 7.° · Experimentación con la reflexión, refracción y absorción de la luz y su aprovechamiento en concentradores y calentadores solares.</t>
        </is>
      </c>
    </row>
    <row r="67">
      <c r="A67" s="30" t="inlineStr">
        <is>
          <t>T8_27-P3.2</t>
        </is>
      </c>
      <c r="B67" s="30" t="inlineStr">
        <is>
          <t>T8_27</t>
        </is>
      </c>
      <c r="C67" s="30" t="inlineStr">
        <is>
          <t>Física</t>
        </is>
      </c>
      <c r="D67" s="30" t="inlineStr">
        <is>
          <t>Luz y sonido</t>
        </is>
      </c>
      <c r="E67" s="30" t="inlineStr">
        <is>
          <t>Propiedades del sonido</t>
        </is>
      </c>
      <c r="F67" s="30" t="inlineStr">
        <is>
          <t>N/A</t>
        </is>
      </c>
      <c r="G67" s="30" t="inlineStr">
        <is>
          <t>N/A</t>
        </is>
      </c>
      <c r="H67" s="30" t="inlineStr">
        <is>
          <t>N/A</t>
        </is>
      </c>
      <c r="I67" s="30">
        <f>COUNTIFS('Datos - Temas'!$V$5:$V$1264,I$4,'Datos - Temas'!$K$5:$K$1264,$A67)+COUNTIFS('Datos - Temas'!$V$5:$V$1264,I$4,'Datos - Temas'!$L$5:$L$1264,$A67)</f>
        <v/>
      </c>
      <c r="J67" s="30">
        <f>COUNTIFS('Datos - Temas'!$V$5:$V$1264,J$4,'Datos - Temas'!$K$5:$K$1264,$A67)+COUNTIFS('Datos - Temas'!$V$5:$V$1264,J$4,'Datos - Temas'!$L$5:$L$1264,$A67)</f>
        <v/>
      </c>
      <c r="K67" s="30">
        <f>COUNTIFS('Datos - Temas'!$V$5:$V$1264,K$4,'Datos - Temas'!$K$5:$K$1264,$A67)+COUNTIFS('Datos - Temas'!$V$5:$V$1264,K$4,'Datos - Temas'!$L$5:$L$1264,$A67)</f>
        <v/>
      </c>
      <c r="L67" s="30">
        <f>COUNTIFS('Datos - Temas'!$V$5:$V$1264,L$4,'Datos - Temas'!$K$5:$K$1264,$A67)+COUNTIFS('Datos - Temas'!$V$5:$V$1264,L$4,'Datos - Temas'!$L$5:$L$1264,$A67)</f>
        <v/>
      </c>
      <c r="M67" s="30" t="inlineStr">
        <is>
          <t>N/A</t>
        </is>
      </c>
      <c r="N67" s="30" t="inlineStr">
        <is>
          <t>N/A</t>
        </is>
      </c>
      <c r="O67" s="30">
        <f>IF($B67="T4_27",SUM(F67:H67),IF($B67="T8_27",SUM(I67:L67),SUM(M67:N67)))</f>
        <v/>
      </c>
      <c r="P67" s="30">
        <f>COUNTIFS('Datos - Temas'!$K$5:$K$1264,$A67)</f>
        <v/>
      </c>
      <c r="Q67" s="30">
        <f>IF(O67&gt;0,"Sí","No")</f>
        <v/>
      </c>
      <c r="R67" s="30">
        <f>IF(O67=0,"No cubierto",IF(O67=1,"Débil (1 tema)",IF(O67&lt;=3,"Básica (2–3)","Sólida (4+)")))</f>
        <v/>
      </c>
      <c r="S67" s="30">
        <f>IFERROR(INDEX($I$4:$L$4,MATCH(TRUE,INDEX(I67:L67&gt;0,0),0)),"—")</f>
        <v/>
      </c>
      <c r="T67" s="30" t="inlineStr">
        <is>
          <t>Hoy: 8° U3 (6)</t>
        </is>
      </c>
    </row>
    <row r="68">
      <c r="A68" s="30" t="inlineStr">
        <is>
          <t>T8_27-P4.1</t>
        </is>
      </c>
      <c r="B68" s="30" t="inlineStr">
        <is>
          <t>T8_27</t>
        </is>
      </c>
      <c r="C68" s="30" t="inlineStr">
        <is>
          <t>Física</t>
        </is>
      </c>
      <c r="D68" s="30" t="inlineStr">
        <is>
          <t>Electricidad y magnetismo</t>
        </is>
      </c>
      <c r="E68" s="30" t="inlineStr">
        <is>
          <t>Conductores y corriente en circuitos eléctricos</t>
        </is>
      </c>
      <c r="F68" s="30" t="inlineStr">
        <is>
          <t>N/A</t>
        </is>
      </c>
      <c r="G68" s="30" t="inlineStr">
        <is>
          <t>N/A</t>
        </is>
      </c>
      <c r="H68" s="30" t="inlineStr">
        <is>
          <t>N/A</t>
        </is>
      </c>
      <c r="I68" s="30">
        <f>COUNTIFS('Datos - Temas'!$V$5:$V$1264,I$4,'Datos - Temas'!$K$5:$K$1264,$A68)+COUNTIFS('Datos - Temas'!$V$5:$V$1264,I$4,'Datos - Temas'!$L$5:$L$1264,$A68)</f>
        <v/>
      </c>
      <c r="J68" s="30">
        <f>COUNTIFS('Datos - Temas'!$V$5:$V$1264,J$4,'Datos - Temas'!$K$5:$K$1264,$A68)+COUNTIFS('Datos - Temas'!$V$5:$V$1264,J$4,'Datos - Temas'!$L$5:$L$1264,$A68)</f>
        <v/>
      </c>
      <c r="K68" s="30">
        <f>COUNTIFS('Datos - Temas'!$V$5:$V$1264,K$4,'Datos - Temas'!$K$5:$K$1264,$A68)+COUNTIFS('Datos - Temas'!$V$5:$V$1264,K$4,'Datos - Temas'!$L$5:$L$1264,$A68)</f>
        <v/>
      </c>
      <c r="L68" s="30">
        <f>COUNTIFS('Datos - Temas'!$V$5:$V$1264,L$4,'Datos - Temas'!$K$5:$K$1264,$A68)+COUNTIFS('Datos - Temas'!$V$5:$V$1264,L$4,'Datos - Temas'!$L$5:$L$1264,$A68)</f>
        <v/>
      </c>
      <c r="M68" s="30" t="inlineStr">
        <is>
          <t>N/A</t>
        </is>
      </c>
      <c r="N68" s="30" t="inlineStr">
        <is>
          <t>N/A</t>
        </is>
      </c>
      <c r="O68" s="30">
        <f>IF($B68="T4_27",SUM(F68:H68),IF($B68="T8_27",SUM(I68:L68),SUM(M68:N68)))</f>
        <v/>
      </c>
      <c r="P68" s="30">
        <f>COUNTIFS('Datos - Temas'!$K$5:$K$1264,$A68)</f>
        <v/>
      </c>
      <c r="Q68" s="30">
        <f>IF(O68&gt;0,"Sí","No")</f>
        <v/>
      </c>
      <c r="R68" s="30">
        <f>IF(O68=0,"No cubierto",IF(O68=1,"Débil (1 tema)",IF(O68&lt;=3,"Básica (2–3)","Sólida (4+)")))</f>
        <v/>
      </c>
      <c r="S68" s="30">
        <f>IFERROR(INDEX($I$4:$L$4,MATCH(TRUE,INDEX(I68:L68&gt;0,0),0)),"—")</f>
        <v/>
      </c>
      <c r="T68" s="30" t="inlineStr">
        <is>
          <t>Hoy: 6° U3 (7); 9° U6 (6); 9° U7 (1)</t>
        </is>
      </c>
    </row>
    <row r="69">
      <c r="A69" s="30" t="inlineStr">
        <is>
          <t>T8_27-P4.2</t>
        </is>
      </c>
      <c r="B69" s="30" t="inlineStr">
        <is>
          <t>T8_27</t>
        </is>
      </c>
      <c r="C69" s="30" t="inlineStr">
        <is>
          <t>Física</t>
        </is>
      </c>
      <c r="D69" s="30" t="inlineStr">
        <is>
          <t>Electricidad y magnetismo</t>
        </is>
      </c>
      <c r="E69" s="30" t="inlineStr">
        <is>
          <t>Propiedades y usos de imanes permanentes y electroimanes</t>
        </is>
      </c>
      <c r="F69" s="30" t="inlineStr">
        <is>
          <t>N/A</t>
        </is>
      </c>
      <c r="G69" s="30" t="inlineStr">
        <is>
          <t>N/A</t>
        </is>
      </c>
      <c r="H69" s="30" t="inlineStr">
        <is>
          <t>N/A</t>
        </is>
      </c>
      <c r="I69" s="30">
        <f>COUNTIFS('Datos - Temas'!$V$5:$V$1264,I$4,'Datos - Temas'!$K$5:$K$1264,$A69)+COUNTIFS('Datos - Temas'!$V$5:$V$1264,I$4,'Datos - Temas'!$L$5:$L$1264,$A69)</f>
        <v/>
      </c>
      <c r="J69" s="30">
        <f>COUNTIFS('Datos - Temas'!$V$5:$V$1264,J$4,'Datos - Temas'!$K$5:$K$1264,$A69)+COUNTIFS('Datos - Temas'!$V$5:$V$1264,J$4,'Datos - Temas'!$L$5:$L$1264,$A69)</f>
        <v/>
      </c>
      <c r="K69" s="30">
        <f>COUNTIFS('Datos - Temas'!$V$5:$V$1264,K$4,'Datos - Temas'!$K$5:$K$1264,$A69)+COUNTIFS('Datos - Temas'!$V$5:$V$1264,K$4,'Datos - Temas'!$L$5:$L$1264,$A69)</f>
        <v/>
      </c>
      <c r="L69" s="30">
        <f>COUNTIFS('Datos - Temas'!$V$5:$V$1264,L$4,'Datos - Temas'!$K$5:$K$1264,$A69)+COUNTIFS('Datos - Temas'!$V$5:$V$1264,L$4,'Datos - Temas'!$L$5:$L$1264,$A69)</f>
        <v/>
      </c>
      <c r="M69" s="30" t="inlineStr">
        <is>
          <t>N/A</t>
        </is>
      </c>
      <c r="N69" s="30" t="inlineStr">
        <is>
          <t>N/A</t>
        </is>
      </c>
      <c r="O69" s="30">
        <f>IF($B69="T4_27",SUM(F69:H69),IF($B69="T8_27",SUM(I69:L69),SUM(M69:N69)))</f>
        <v/>
      </c>
      <c r="P69" s="30">
        <f>COUNTIFS('Datos - Temas'!$K$5:$K$1264,$A69)</f>
        <v/>
      </c>
      <c r="Q69" s="30">
        <f>IF(O69&gt;0,"Sí","No")</f>
        <v/>
      </c>
      <c r="R69" s="30">
        <f>IF(O69=0,"No cubierto",IF(O69=1,"Débil (1 tema)",IF(O69&lt;=3,"Básica (2–3)","Sólida (4+)")))</f>
        <v/>
      </c>
      <c r="S69" s="30">
        <f>IFERROR(INDEX($I$4:$L$4,MATCH(TRUE,INDEX(I69:L69&gt;0,0),0)),"—")</f>
        <v/>
      </c>
      <c r="T69" s="30" t="inlineStr">
        <is>
          <t>Hoy: 5° U5 (1); 6° U3 (2); 9° U7 (6)</t>
        </is>
      </c>
    </row>
    <row r="70">
      <c r="A70" s="30" t="inlineStr">
        <is>
          <t>T8_27-P5.1</t>
        </is>
      </c>
      <c r="B70" s="30" t="inlineStr">
        <is>
          <t>T8_27</t>
        </is>
      </c>
      <c r="C70" s="30" t="inlineStr">
        <is>
          <t>Física</t>
        </is>
      </c>
      <c r="D70" s="30" t="inlineStr">
        <is>
          <t>Movimiento y fuerzas</t>
        </is>
      </c>
      <c r="E70" s="30" t="inlineStr">
        <is>
          <t>Movimiento</t>
        </is>
      </c>
      <c r="F70" s="30" t="inlineStr">
        <is>
          <t>N/A</t>
        </is>
      </c>
      <c r="G70" s="30" t="inlineStr">
        <is>
          <t>N/A</t>
        </is>
      </c>
      <c r="H70" s="30" t="inlineStr">
        <is>
          <t>N/A</t>
        </is>
      </c>
      <c r="I70" s="30">
        <f>COUNTIFS('Datos - Temas'!$V$5:$V$1264,I$4,'Datos - Temas'!$K$5:$K$1264,$A70)+COUNTIFS('Datos - Temas'!$V$5:$V$1264,I$4,'Datos - Temas'!$L$5:$L$1264,$A70)</f>
        <v/>
      </c>
      <c r="J70" s="30">
        <f>COUNTIFS('Datos - Temas'!$V$5:$V$1264,J$4,'Datos - Temas'!$K$5:$K$1264,$A70)+COUNTIFS('Datos - Temas'!$V$5:$V$1264,J$4,'Datos - Temas'!$L$5:$L$1264,$A70)</f>
        <v/>
      </c>
      <c r="K70" s="30">
        <f>COUNTIFS('Datos - Temas'!$V$5:$V$1264,K$4,'Datos - Temas'!$K$5:$K$1264,$A70)+COUNTIFS('Datos - Temas'!$V$5:$V$1264,K$4,'Datos - Temas'!$L$5:$L$1264,$A70)</f>
        <v/>
      </c>
      <c r="L70" s="30">
        <f>COUNTIFS('Datos - Temas'!$V$5:$V$1264,L$4,'Datos - Temas'!$K$5:$K$1264,$A70)+COUNTIFS('Datos - Temas'!$V$5:$V$1264,L$4,'Datos - Temas'!$L$5:$L$1264,$A70)</f>
        <v/>
      </c>
      <c r="M70" s="30" t="inlineStr">
        <is>
          <t>N/A</t>
        </is>
      </c>
      <c r="N70" s="30" t="inlineStr">
        <is>
          <t>N/A</t>
        </is>
      </c>
      <c r="O70" s="30">
        <f>IF($B70="T4_27",SUM(F70:H70),IF($B70="T8_27",SUM(I70:L70),SUM(M70:N70)))</f>
        <v/>
      </c>
      <c r="P70" s="30">
        <f>COUNTIFS('Datos - Temas'!$K$5:$K$1264,$A70)</f>
        <v/>
      </c>
      <c r="Q70" s="30">
        <f>IF(O70&gt;0,"Sí","No")</f>
        <v/>
      </c>
      <c r="R70" s="30">
        <f>IF(O70=0,"No cubierto",IF(O70=1,"Débil (1 tema)",IF(O70&lt;=3,"Básica (2–3)","Sólida (4+)")))</f>
        <v/>
      </c>
      <c r="S70" s="30">
        <f>IFERROR(INDEX($I$4:$L$4,MATCH(TRUE,INDEX(I70:L70&gt;0,0),0)),"—")</f>
        <v/>
      </c>
      <c r="T70" s="30" t="inlineStr">
        <is>
          <t>Hoy: 5° U2 (6); 8° U1 (3)</t>
        </is>
      </c>
    </row>
    <row r="71">
      <c r="A71" s="30" t="inlineStr">
        <is>
          <t>T8_27-P5.2</t>
        </is>
      </c>
      <c r="B71" s="30" t="inlineStr">
        <is>
          <t>T8_27</t>
        </is>
      </c>
      <c r="C71" s="30" t="inlineStr">
        <is>
          <t>Física</t>
        </is>
      </c>
      <c r="D71" s="30" t="inlineStr">
        <is>
          <t>Movimiento y fuerzas</t>
        </is>
      </c>
      <c r="E71" s="30" t="inlineStr">
        <is>
          <t>Fuerzas comunes y sus características</t>
        </is>
      </c>
      <c r="F71" s="30" t="inlineStr">
        <is>
          <t>N/A</t>
        </is>
      </c>
      <c r="G71" s="30" t="inlineStr">
        <is>
          <t>N/A</t>
        </is>
      </c>
      <c r="H71" s="30" t="inlineStr">
        <is>
          <t>N/A</t>
        </is>
      </c>
      <c r="I71" s="30">
        <f>COUNTIFS('Datos - Temas'!$V$5:$V$1264,I$4,'Datos - Temas'!$K$5:$K$1264,$A71)+COUNTIFS('Datos - Temas'!$V$5:$V$1264,I$4,'Datos - Temas'!$L$5:$L$1264,$A71)</f>
        <v/>
      </c>
      <c r="J71" s="30">
        <f>COUNTIFS('Datos - Temas'!$V$5:$V$1264,J$4,'Datos - Temas'!$K$5:$K$1264,$A71)+COUNTIFS('Datos - Temas'!$V$5:$V$1264,J$4,'Datos - Temas'!$L$5:$L$1264,$A71)</f>
        <v/>
      </c>
      <c r="K71" s="30">
        <f>COUNTIFS('Datos - Temas'!$V$5:$V$1264,K$4,'Datos - Temas'!$K$5:$K$1264,$A71)+COUNTIFS('Datos - Temas'!$V$5:$V$1264,K$4,'Datos - Temas'!$L$5:$L$1264,$A71)</f>
        <v/>
      </c>
      <c r="L71" s="30">
        <f>COUNTIFS('Datos - Temas'!$V$5:$V$1264,L$4,'Datos - Temas'!$K$5:$K$1264,$A71)+COUNTIFS('Datos - Temas'!$V$5:$V$1264,L$4,'Datos - Temas'!$L$5:$L$1264,$A71)</f>
        <v/>
      </c>
      <c r="M71" s="30" t="inlineStr">
        <is>
          <t>N/A</t>
        </is>
      </c>
      <c r="N71" s="30" t="inlineStr">
        <is>
          <t>N/A</t>
        </is>
      </c>
      <c r="O71" s="30">
        <f>IF($B71="T4_27",SUM(F71:H71),IF($B71="T8_27",SUM(I71:L71),SUM(M71:N71)))</f>
        <v/>
      </c>
      <c r="P71" s="30">
        <f>COUNTIFS('Datos - Temas'!$K$5:$K$1264,$A71)</f>
        <v/>
      </c>
      <c r="Q71" s="30">
        <f>IF(O71&gt;0,"Sí","No")</f>
        <v/>
      </c>
      <c r="R71" s="30">
        <f>IF(O71=0,"No cubierto",IF(O71=1,"Débil (1 tema)",IF(O71&lt;=3,"Básica (2–3)","Sólida (4+)")))</f>
        <v/>
      </c>
      <c r="S71" s="30">
        <f>IFERROR(INDEX($I$4:$L$4,MATCH(TRUE,INDEX(I71:L71&gt;0,0),0)),"—")</f>
        <v/>
      </c>
      <c r="T71" s="30" t="inlineStr">
        <is>
          <t>Hoy: 5° U2 (3); 8° U1 (5); 8° U3 (1); 9° U1 (1); 9° U6 (2) · Propuesta 5-8-I11 (Presupuesto): 8.° · Relación de la gravedad con las órbitas de planetas y satélites del sistema solar a partir de datos de distancia y período orbital.</t>
        </is>
      </c>
    </row>
    <row r="72">
      <c r="A72" s="30" t="inlineStr">
        <is>
          <t>T8_27-P5.3</t>
        </is>
      </c>
      <c r="B72" s="30" t="inlineStr">
        <is>
          <t>T8_27</t>
        </is>
      </c>
      <c r="C72" s="30" t="inlineStr">
        <is>
          <t>Física</t>
        </is>
      </c>
      <c r="D72" s="30" t="inlineStr">
        <is>
          <t>Movimiento y fuerzas</t>
        </is>
      </c>
      <c r="E72" s="30" t="inlineStr">
        <is>
          <t>Efectos de las fuerzas</t>
        </is>
      </c>
      <c r="F72" s="30" t="inlineStr">
        <is>
          <t>N/A</t>
        </is>
      </c>
      <c r="G72" s="30" t="inlineStr">
        <is>
          <t>N/A</t>
        </is>
      </c>
      <c r="H72" s="30" t="inlineStr">
        <is>
          <t>N/A</t>
        </is>
      </c>
      <c r="I72" s="30">
        <f>COUNTIFS('Datos - Temas'!$V$5:$V$1264,I$4,'Datos - Temas'!$K$5:$K$1264,$A72)+COUNTIFS('Datos - Temas'!$V$5:$V$1264,I$4,'Datos - Temas'!$L$5:$L$1264,$A72)</f>
        <v/>
      </c>
      <c r="J72" s="30">
        <f>COUNTIFS('Datos - Temas'!$V$5:$V$1264,J$4,'Datos - Temas'!$K$5:$K$1264,$A72)+COUNTIFS('Datos - Temas'!$V$5:$V$1264,J$4,'Datos - Temas'!$L$5:$L$1264,$A72)</f>
        <v/>
      </c>
      <c r="K72" s="30">
        <f>COUNTIFS('Datos - Temas'!$V$5:$V$1264,K$4,'Datos - Temas'!$K$5:$K$1264,$A72)+COUNTIFS('Datos - Temas'!$V$5:$V$1264,K$4,'Datos - Temas'!$L$5:$L$1264,$A72)</f>
        <v/>
      </c>
      <c r="L72" s="30">
        <f>COUNTIFS('Datos - Temas'!$V$5:$V$1264,L$4,'Datos - Temas'!$K$5:$K$1264,$A72)+COUNTIFS('Datos - Temas'!$V$5:$V$1264,L$4,'Datos - Temas'!$L$5:$L$1264,$A72)</f>
        <v/>
      </c>
      <c r="M72" s="30" t="inlineStr">
        <is>
          <t>N/A</t>
        </is>
      </c>
      <c r="N72" s="30" t="inlineStr">
        <is>
          <t>N/A</t>
        </is>
      </c>
      <c r="O72" s="30">
        <f>IF($B72="T4_27",SUM(F72:H72),IF($B72="T8_27",SUM(I72:L72),SUM(M72:N72)))</f>
        <v/>
      </c>
      <c r="P72" s="30">
        <f>COUNTIFS('Datos - Temas'!$K$5:$K$1264,$A72)</f>
        <v/>
      </c>
      <c r="Q72" s="30">
        <f>IF(O72&gt;0,"Sí","No")</f>
        <v/>
      </c>
      <c r="R72" s="30">
        <f>IF(O72=0,"No cubierto",IF(O72=1,"Débil (1 tema)",IF(O72&lt;=3,"Básica (2–3)","Sólida (4+)")))</f>
        <v/>
      </c>
      <c r="S72" s="30">
        <f>IFERROR(INDEX($I$4:$L$4,MATCH(TRUE,INDEX(I72:L72&gt;0,0),0)),"—")</f>
        <v/>
      </c>
      <c r="T72" s="30" t="inlineStr">
        <is>
          <t>Hoy: 5° U2 (3); 6° U1 (4); 8° U1 (5); 8° U2 (3); 9° U1 (12); 9° U4 (2)</t>
        </is>
      </c>
    </row>
    <row r="73">
      <c r="A73" s="30" t="inlineStr">
        <is>
          <t>T8_27-P6.1</t>
        </is>
      </c>
      <c r="B73" s="30" t="inlineStr">
        <is>
          <t>T8_27</t>
        </is>
      </c>
      <c r="C73" s="30" t="inlineStr">
        <is>
          <t>Física</t>
        </is>
      </c>
      <c r="D73" s="30" t="inlineStr">
        <is>
          <t>Investigaciones en física</t>
        </is>
      </c>
      <c r="E73" s="30" t="inlineStr">
        <is>
          <t>Rasgos y equipo de una investigación en física</t>
        </is>
      </c>
      <c r="F73" s="30" t="inlineStr">
        <is>
          <t>N/A</t>
        </is>
      </c>
      <c r="G73" s="30" t="inlineStr">
        <is>
          <t>N/A</t>
        </is>
      </c>
      <c r="H73" s="30" t="inlineStr">
        <is>
          <t>N/A</t>
        </is>
      </c>
      <c r="I73" s="30">
        <f>COUNTIFS('Datos - Temas'!$V$5:$V$1264,I$4,'Datos - Temas'!$K$5:$K$1264,$A73)+COUNTIFS('Datos - Temas'!$V$5:$V$1264,I$4,'Datos - Temas'!$L$5:$L$1264,$A73)</f>
        <v/>
      </c>
      <c r="J73" s="30">
        <f>COUNTIFS('Datos - Temas'!$V$5:$V$1264,J$4,'Datos - Temas'!$K$5:$K$1264,$A73)+COUNTIFS('Datos - Temas'!$V$5:$V$1264,J$4,'Datos - Temas'!$L$5:$L$1264,$A73)</f>
        <v/>
      </c>
      <c r="K73" s="30">
        <f>COUNTIFS('Datos - Temas'!$V$5:$V$1264,K$4,'Datos - Temas'!$K$5:$K$1264,$A73)+COUNTIFS('Datos - Temas'!$V$5:$V$1264,K$4,'Datos - Temas'!$L$5:$L$1264,$A73)</f>
        <v/>
      </c>
      <c r="L73" s="30">
        <f>COUNTIFS('Datos - Temas'!$V$5:$V$1264,L$4,'Datos - Temas'!$K$5:$K$1264,$A73)+COUNTIFS('Datos - Temas'!$V$5:$V$1264,L$4,'Datos - Temas'!$L$5:$L$1264,$A73)</f>
        <v/>
      </c>
      <c r="M73" s="30" t="inlineStr">
        <is>
          <t>N/A</t>
        </is>
      </c>
      <c r="N73" s="30" t="inlineStr">
        <is>
          <t>N/A</t>
        </is>
      </c>
      <c r="O73" s="30">
        <f>IF($B73="T4_27",SUM(F73:H73),IF($B73="T8_27",SUM(I73:L73),SUM(M73:N73)))</f>
        <v/>
      </c>
      <c r="P73" s="30">
        <f>COUNTIFS('Datos - Temas'!$K$5:$K$1264,$A73)</f>
        <v/>
      </c>
      <c r="Q73" s="30">
        <f>IF(O73&gt;0,"Sí","No")</f>
        <v/>
      </c>
      <c r="R73" s="30">
        <f>IF(O73=0,"No cubierto",IF(O73=1,"Débil (1 tema)",IF(O73&lt;=3,"Básica (2–3)","Sólida (4+)")))</f>
        <v/>
      </c>
      <c r="S73" s="30">
        <f>IFERROR(INDEX($I$4:$L$4,MATCH(TRUE,INDEX(I73:L73&gt;0,0),0)),"—")</f>
        <v/>
      </c>
      <c r="T73" s="30" t="inlineStr">
        <is>
          <t>Hoy: 5° U1 (5); 5° U2 (1); 6° U1 (2); 6° U3 (2); 8° U1 (3); 8° U3 (5); 9° U1 (5); 9° U2 (1)</t>
        </is>
      </c>
    </row>
    <row r="74">
      <c r="A74" s="30" t="inlineStr">
        <is>
          <t>T8_27-E1.1</t>
        </is>
      </c>
      <c r="B74" s="30" t="inlineStr">
        <is>
          <t>T8_27</t>
        </is>
      </c>
      <c r="C74" s="30" t="inlineStr">
        <is>
          <t>Ciencias de la Tierra</t>
        </is>
      </c>
      <c r="D74" s="30" t="inlineStr">
        <is>
          <t>Rasgos, procesos e historia de la Tierra</t>
        </is>
      </c>
      <c r="E74" s="30" t="inlineStr">
        <is>
          <t>Estructura de la Tierra y distribución del agua</t>
        </is>
      </c>
      <c r="F74" s="30" t="inlineStr">
        <is>
          <t>N/A</t>
        </is>
      </c>
      <c r="G74" s="30" t="inlineStr">
        <is>
          <t>N/A</t>
        </is>
      </c>
      <c r="H74" s="30" t="inlineStr">
        <is>
          <t>N/A</t>
        </is>
      </c>
      <c r="I74" s="30">
        <f>COUNTIFS('Datos - Temas'!$V$5:$V$1264,I$4,'Datos - Temas'!$K$5:$K$1264,$A74)+COUNTIFS('Datos - Temas'!$V$5:$V$1264,I$4,'Datos - Temas'!$L$5:$L$1264,$A74)</f>
        <v/>
      </c>
      <c r="J74" s="30">
        <f>COUNTIFS('Datos - Temas'!$V$5:$V$1264,J$4,'Datos - Temas'!$K$5:$K$1264,$A74)+COUNTIFS('Datos - Temas'!$V$5:$V$1264,J$4,'Datos - Temas'!$L$5:$L$1264,$A74)</f>
        <v/>
      </c>
      <c r="K74" s="30">
        <f>COUNTIFS('Datos - Temas'!$V$5:$V$1264,K$4,'Datos - Temas'!$K$5:$K$1264,$A74)+COUNTIFS('Datos - Temas'!$V$5:$V$1264,K$4,'Datos - Temas'!$L$5:$L$1264,$A74)</f>
        <v/>
      </c>
      <c r="L74" s="30">
        <f>COUNTIFS('Datos - Temas'!$V$5:$V$1264,L$4,'Datos - Temas'!$K$5:$K$1264,$A74)+COUNTIFS('Datos - Temas'!$V$5:$V$1264,L$4,'Datos - Temas'!$L$5:$L$1264,$A74)</f>
        <v/>
      </c>
      <c r="M74" s="30" t="inlineStr">
        <is>
          <t>N/A</t>
        </is>
      </c>
      <c r="N74" s="30" t="inlineStr">
        <is>
          <t>N/A</t>
        </is>
      </c>
      <c r="O74" s="30">
        <f>IF($B74="T4_27",SUM(F74:H74),IF($B74="T8_27",SUM(I74:L74),SUM(M74:N74)))</f>
        <v/>
      </c>
      <c r="P74" s="30">
        <f>COUNTIFS('Datos - Temas'!$K$5:$K$1264,$A74)</f>
        <v/>
      </c>
      <c r="Q74" s="30">
        <f>IF(O74&gt;0,"Sí","No")</f>
        <v/>
      </c>
      <c r="R74" s="30">
        <f>IF(O74=0,"No cubierto",IF(O74=1,"Débil (1 tema)",IF(O74&lt;=3,"Básica (2–3)","Sólida (4+)")))</f>
        <v/>
      </c>
      <c r="S74" s="30">
        <f>IFERROR(INDEX($I$4:$L$4,MATCH(TRUE,INDEX(I74:L74&gt;0,0),0)),"—")</f>
        <v/>
      </c>
      <c r="T74" s="30" t="inlineStr">
        <is>
          <t>Hoy: 5° U5 (2); 5° U6 (2); 7° U5 (4); 9° U4 (3); 9° U5 (1) · Propuesta 5-8-I14 (Presupuesto): 8.° · Interpretación de la propagación de las ondas sísmicas P y S para inferir las capas internas de la Tierra.</t>
        </is>
      </c>
    </row>
    <row r="75">
      <c r="A75" s="30" t="inlineStr">
        <is>
          <t>T8_27-E1.2</t>
        </is>
      </c>
      <c r="B75" s="30" t="inlineStr">
        <is>
          <t>T8_27</t>
        </is>
      </c>
      <c r="C75" s="30" t="inlineStr">
        <is>
          <t>Ciencias de la Tierra</t>
        </is>
      </c>
      <c r="D75" s="30" t="inlineStr">
        <is>
          <t>Rasgos, procesos e historia de la Tierra</t>
        </is>
      </c>
      <c r="E75" s="30" t="inlineStr">
        <is>
          <t>Procesos geológicos</t>
        </is>
      </c>
      <c r="F75" s="30" t="inlineStr">
        <is>
          <t>N/A</t>
        </is>
      </c>
      <c r="G75" s="30" t="inlineStr">
        <is>
          <t>N/A</t>
        </is>
      </c>
      <c r="H75" s="30" t="inlineStr">
        <is>
          <t>N/A</t>
        </is>
      </c>
      <c r="I75" s="30">
        <f>COUNTIFS('Datos - Temas'!$V$5:$V$1264,I$4,'Datos - Temas'!$K$5:$K$1264,$A75)+COUNTIFS('Datos - Temas'!$V$5:$V$1264,I$4,'Datos - Temas'!$L$5:$L$1264,$A75)</f>
        <v/>
      </c>
      <c r="J75" s="30">
        <f>COUNTIFS('Datos - Temas'!$V$5:$V$1264,J$4,'Datos - Temas'!$K$5:$K$1264,$A75)+COUNTIFS('Datos - Temas'!$V$5:$V$1264,J$4,'Datos - Temas'!$L$5:$L$1264,$A75)</f>
        <v/>
      </c>
      <c r="K75" s="30">
        <f>COUNTIFS('Datos - Temas'!$V$5:$V$1264,K$4,'Datos - Temas'!$K$5:$K$1264,$A75)+COUNTIFS('Datos - Temas'!$V$5:$V$1264,K$4,'Datos - Temas'!$L$5:$L$1264,$A75)</f>
        <v/>
      </c>
      <c r="L75" s="30">
        <f>COUNTIFS('Datos - Temas'!$V$5:$V$1264,L$4,'Datos - Temas'!$K$5:$K$1264,$A75)+COUNTIFS('Datos - Temas'!$V$5:$V$1264,L$4,'Datos - Temas'!$L$5:$L$1264,$A75)</f>
        <v/>
      </c>
      <c r="M75" s="30" t="inlineStr">
        <is>
          <t>N/A</t>
        </is>
      </c>
      <c r="N75" s="30" t="inlineStr">
        <is>
          <t>N/A</t>
        </is>
      </c>
      <c r="O75" s="30">
        <f>IF($B75="T4_27",SUM(F75:H75),IF($B75="T8_27",SUM(I75:L75),SUM(M75:N75)))</f>
        <v/>
      </c>
      <c r="P75" s="30">
        <f>COUNTIFS('Datos - Temas'!$K$5:$K$1264,$A75)</f>
        <v/>
      </c>
      <c r="Q75" s="30">
        <f>IF(O75&gt;0,"Sí","No")</f>
        <v/>
      </c>
      <c r="R75" s="30">
        <f>IF(O75=0,"No cubierto",IF(O75=1,"Débil (1 tema)",IF(O75&lt;=3,"Básica (2–3)","Sólida (4+)")))</f>
        <v/>
      </c>
      <c r="S75" s="30">
        <f>IFERROR(INDEX($I$4:$L$4,MATCH(TRUE,INDEX(I75:L75&gt;0,0),0)),"—")</f>
        <v/>
      </c>
      <c r="T75" s="30" t="inlineStr">
        <is>
          <t>Hoy: 5° U6 (14); 8° U5 (2); 9° U4 (2); 9° U5 (10) · Propuesta 5-8-I08 (Presupuesto): 8.° · Uso de lupa, escala de Mohs, brújula, GPS y libreta de campo para recolectar, medir y registrar datos de rocas y minerales del entorno.</t>
        </is>
      </c>
    </row>
    <row r="76">
      <c r="A76" s="30" t="inlineStr">
        <is>
          <t>T8_27-E2.1</t>
        </is>
      </c>
      <c r="B76" s="30" t="inlineStr">
        <is>
          <t>T8_27</t>
        </is>
      </c>
      <c r="C76" s="30" t="inlineStr">
        <is>
          <t>Ciencias de la Tierra</t>
        </is>
      </c>
      <c r="D76" s="30" t="inlineStr">
        <is>
          <t>La atmósfera terrestre</t>
        </is>
      </c>
      <c r="E76" s="30" t="inlineStr">
        <is>
          <t>Componentes de la atmósfera y condiciones atmosféricas</t>
        </is>
      </c>
      <c r="F76" s="30" t="inlineStr">
        <is>
          <t>N/A</t>
        </is>
      </c>
      <c r="G76" s="30" t="inlineStr">
        <is>
          <t>N/A</t>
        </is>
      </c>
      <c r="H76" s="30" t="inlineStr">
        <is>
          <t>N/A</t>
        </is>
      </c>
      <c r="I76" s="30">
        <f>COUNTIFS('Datos - Temas'!$V$5:$V$1264,I$4,'Datos - Temas'!$K$5:$K$1264,$A76)+COUNTIFS('Datos - Temas'!$V$5:$V$1264,I$4,'Datos - Temas'!$L$5:$L$1264,$A76)</f>
        <v/>
      </c>
      <c r="J76" s="30">
        <f>COUNTIFS('Datos - Temas'!$V$5:$V$1264,J$4,'Datos - Temas'!$K$5:$K$1264,$A76)+COUNTIFS('Datos - Temas'!$V$5:$V$1264,J$4,'Datos - Temas'!$L$5:$L$1264,$A76)</f>
        <v/>
      </c>
      <c r="K76" s="30">
        <f>COUNTIFS('Datos - Temas'!$V$5:$V$1264,K$4,'Datos - Temas'!$K$5:$K$1264,$A76)+COUNTIFS('Datos - Temas'!$V$5:$V$1264,K$4,'Datos - Temas'!$L$5:$L$1264,$A76)</f>
        <v/>
      </c>
      <c r="L76" s="30">
        <f>COUNTIFS('Datos - Temas'!$V$5:$V$1264,L$4,'Datos - Temas'!$K$5:$K$1264,$A76)+COUNTIFS('Datos - Temas'!$V$5:$V$1264,L$4,'Datos - Temas'!$L$5:$L$1264,$A76)</f>
        <v/>
      </c>
      <c r="M76" s="30" t="inlineStr">
        <is>
          <t>N/A</t>
        </is>
      </c>
      <c r="N76" s="30" t="inlineStr">
        <is>
          <t>N/A</t>
        </is>
      </c>
      <c r="O76" s="30">
        <f>IF($B76="T4_27",SUM(F76:H76),IF($B76="T8_27",SUM(I76:L76),SUM(M76:N76)))</f>
        <v/>
      </c>
      <c r="P76" s="30">
        <f>COUNTIFS('Datos - Temas'!$K$5:$K$1264,$A76)</f>
        <v/>
      </c>
      <c r="Q76" s="30">
        <f>IF(O76&gt;0,"Sí","No")</f>
        <v/>
      </c>
      <c r="R76" s="30">
        <f>IF(O76=0,"No cubierto",IF(O76=1,"Débil (1 tema)",IF(O76&lt;=3,"Básica (2–3)","Sólida (4+)")))</f>
        <v/>
      </c>
      <c r="S76" s="30">
        <f>IFERROR(INDEX($I$4:$L$4,MATCH(TRUE,INDEX(I76:L76&gt;0,0),0)),"—")</f>
        <v/>
      </c>
      <c r="T76" s="30" t="inlineStr">
        <is>
          <t>Hoy: 7° U5 (2) · Propuesta 5-8-I10 (Presupuesto): 6.° · Experimentación con la presión atmosférica y la composición del aire, relacionando su variación con la altitud en El Salvador.</t>
        </is>
      </c>
    </row>
    <row r="77">
      <c r="A77" s="30" t="inlineStr">
        <is>
          <t>T8_27-E2.2</t>
        </is>
      </c>
      <c r="B77" s="30" t="inlineStr">
        <is>
          <t>T8_27</t>
        </is>
      </c>
      <c r="C77" s="30" t="inlineStr">
        <is>
          <t>Ciencias de la Tierra</t>
        </is>
      </c>
      <c r="D77" s="30" t="inlineStr">
        <is>
          <t>La atmósfera terrestre</t>
        </is>
      </c>
      <c r="E77" s="30" t="inlineStr">
        <is>
          <t>El ciclo del agua</t>
        </is>
      </c>
      <c r="F77" s="30" t="inlineStr">
        <is>
          <t>N/A</t>
        </is>
      </c>
      <c r="G77" s="30" t="inlineStr">
        <is>
          <t>N/A</t>
        </is>
      </c>
      <c r="H77" s="30" t="inlineStr">
        <is>
          <t>N/A</t>
        </is>
      </c>
      <c r="I77" s="30">
        <f>COUNTIFS('Datos - Temas'!$V$5:$V$1264,I$4,'Datos - Temas'!$K$5:$K$1264,$A77)+COUNTIFS('Datos - Temas'!$V$5:$V$1264,I$4,'Datos - Temas'!$L$5:$L$1264,$A77)</f>
        <v/>
      </c>
      <c r="J77" s="30">
        <f>COUNTIFS('Datos - Temas'!$V$5:$V$1264,J$4,'Datos - Temas'!$K$5:$K$1264,$A77)+COUNTIFS('Datos - Temas'!$V$5:$V$1264,J$4,'Datos - Temas'!$L$5:$L$1264,$A77)</f>
        <v/>
      </c>
      <c r="K77" s="30">
        <f>COUNTIFS('Datos - Temas'!$V$5:$V$1264,K$4,'Datos - Temas'!$K$5:$K$1264,$A77)+COUNTIFS('Datos - Temas'!$V$5:$V$1264,K$4,'Datos - Temas'!$L$5:$L$1264,$A77)</f>
        <v/>
      </c>
      <c r="L77" s="30">
        <f>COUNTIFS('Datos - Temas'!$V$5:$V$1264,L$4,'Datos - Temas'!$K$5:$K$1264,$A77)+COUNTIFS('Datos - Temas'!$V$5:$V$1264,L$4,'Datos - Temas'!$L$5:$L$1264,$A77)</f>
        <v/>
      </c>
      <c r="M77" s="30" t="inlineStr">
        <is>
          <t>N/A</t>
        </is>
      </c>
      <c r="N77" s="30" t="inlineStr">
        <is>
          <t>N/A</t>
        </is>
      </c>
      <c r="O77" s="30">
        <f>IF($B77="T4_27",SUM(F77:H77),IF($B77="T8_27",SUM(I77:L77),SUM(M77:N77)))</f>
        <v/>
      </c>
      <c r="P77" s="30">
        <f>COUNTIFS('Datos - Temas'!$K$5:$K$1264,$A77)</f>
        <v/>
      </c>
      <c r="Q77" s="30">
        <f>IF(O77&gt;0,"Sí","No")</f>
        <v/>
      </c>
      <c r="R77" s="30">
        <f>IF(O77=0,"No cubierto",IF(O77=1,"Débil (1 tema)",IF(O77&lt;=3,"Básica (2–3)","Sólida (4+)")))</f>
        <v/>
      </c>
      <c r="S77" s="30">
        <f>IFERROR(INDEX($I$4:$L$4,MATCH(TRUE,INDEX(I77:L77&gt;0,0),0)),"—")</f>
        <v/>
      </c>
      <c r="T77" s="30" t="inlineStr">
        <is>
          <t>Hoy: 7° U5 (5) · Propuesta 5-8-I03 (Presupuesto): 5.° · Modelación de los ciclos del carbono, del oxígeno y del agua entre seres vivos, suelo y atmósfera, destacando la descomposición de la materia orgánica.</t>
        </is>
      </c>
    </row>
    <row r="78">
      <c r="A78" s="30" t="inlineStr">
        <is>
          <t>T8_27-E2.3</t>
        </is>
      </c>
      <c r="B78" s="30" t="inlineStr">
        <is>
          <t>T8_27</t>
        </is>
      </c>
      <c r="C78" s="30" t="inlineStr">
        <is>
          <t>Ciencias de la Tierra</t>
        </is>
      </c>
      <c r="D78" s="30" t="inlineStr">
        <is>
          <t>La atmósfera terrestre</t>
        </is>
      </c>
      <c r="E78" s="30" t="inlineStr">
        <is>
          <t>Tiempo atmosférico y clima</t>
        </is>
      </c>
      <c r="F78" s="30" t="inlineStr">
        <is>
          <t>N/A</t>
        </is>
      </c>
      <c r="G78" s="30" t="inlineStr">
        <is>
          <t>N/A</t>
        </is>
      </c>
      <c r="H78" s="30" t="inlineStr">
        <is>
          <t>N/A</t>
        </is>
      </c>
      <c r="I78" s="30">
        <f>COUNTIFS('Datos - Temas'!$V$5:$V$1264,I$4,'Datos - Temas'!$K$5:$K$1264,$A78)+COUNTIFS('Datos - Temas'!$V$5:$V$1264,I$4,'Datos - Temas'!$L$5:$L$1264,$A78)</f>
        <v/>
      </c>
      <c r="J78" s="30">
        <f>COUNTIFS('Datos - Temas'!$V$5:$V$1264,J$4,'Datos - Temas'!$K$5:$K$1264,$A78)+COUNTIFS('Datos - Temas'!$V$5:$V$1264,J$4,'Datos - Temas'!$L$5:$L$1264,$A78)</f>
        <v/>
      </c>
      <c r="K78" s="30">
        <f>COUNTIFS('Datos - Temas'!$V$5:$V$1264,K$4,'Datos - Temas'!$K$5:$K$1264,$A78)+COUNTIFS('Datos - Temas'!$V$5:$V$1264,K$4,'Datos - Temas'!$L$5:$L$1264,$A78)</f>
        <v/>
      </c>
      <c r="L78" s="30">
        <f>COUNTIFS('Datos - Temas'!$V$5:$V$1264,L$4,'Datos - Temas'!$K$5:$K$1264,$A78)+COUNTIFS('Datos - Temas'!$V$5:$V$1264,L$4,'Datos - Temas'!$L$5:$L$1264,$A78)</f>
        <v/>
      </c>
      <c r="M78" s="30" t="inlineStr">
        <is>
          <t>N/A</t>
        </is>
      </c>
      <c r="N78" s="30" t="inlineStr">
        <is>
          <t>N/A</t>
        </is>
      </c>
      <c r="O78" s="30">
        <f>IF($B78="T4_27",SUM(F78:H78),IF($B78="T8_27",SUM(I78:L78),SUM(M78:N78)))</f>
        <v/>
      </c>
      <c r="P78" s="30">
        <f>COUNTIFS('Datos - Temas'!$K$5:$K$1264,$A78)</f>
        <v/>
      </c>
      <c r="Q78" s="30">
        <f>IF(O78&gt;0,"Sí","No")</f>
        <v/>
      </c>
      <c r="R78" s="30">
        <f>IF(O78=0,"No cubierto",IF(O78=1,"Débil (1 tema)",IF(O78&lt;=3,"Básica (2–3)","Sólida (4+)")))</f>
        <v/>
      </c>
      <c r="S78" s="30">
        <f>IFERROR(INDEX($I$4:$L$4,MATCH(TRUE,INDEX(I78:L78&gt;0,0),0)),"—")</f>
        <v/>
      </c>
      <c r="T78" s="30" t="inlineStr">
        <is>
          <t>Hoy: 7° U4 (1); 7° U5 (6); 9° U4 (4) · Propuesta 5-8-I15 (Presupuesto): 6.° · Modelación de la convección en la atmósfera para explicar la formación de vientos, brisas marinas y nubes.</t>
        </is>
      </c>
    </row>
    <row r="79">
      <c r="A79" s="30" t="inlineStr">
        <is>
          <t>T8_27-E2.4</t>
        </is>
      </c>
      <c r="B79" s="30" t="inlineStr">
        <is>
          <t>T8_27</t>
        </is>
      </c>
      <c r="C79" s="30" t="inlineStr">
        <is>
          <t>Ciencias de la Tierra</t>
        </is>
      </c>
      <c r="D79" s="30" t="inlineStr">
        <is>
          <t>La atmósfera terrestre</t>
        </is>
      </c>
      <c r="E79" s="30" t="inlineStr">
        <is>
          <t>Cambio climático</t>
        </is>
      </c>
      <c r="F79" s="30" t="inlineStr">
        <is>
          <t>N/A</t>
        </is>
      </c>
      <c r="G79" s="30" t="inlineStr">
        <is>
          <t>N/A</t>
        </is>
      </c>
      <c r="H79" s="30" t="inlineStr">
        <is>
          <t>N/A</t>
        </is>
      </c>
      <c r="I79" s="30">
        <f>COUNTIFS('Datos - Temas'!$V$5:$V$1264,I$4,'Datos - Temas'!$K$5:$K$1264,$A79)+COUNTIFS('Datos - Temas'!$V$5:$V$1264,I$4,'Datos - Temas'!$L$5:$L$1264,$A79)</f>
        <v/>
      </c>
      <c r="J79" s="30">
        <f>COUNTIFS('Datos - Temas'!$V$5:$V$1264,J$4,'Datos - Temas'!$K$5:$K$1264,$A79)+COUNTIFS('Datos - Temas'!$V$5:$V$1264,J$4,'Datos - Temas'!$L$5:$L$1264,$A79)</f>
        <v/>
      </c>
      <c r="K79" s="30">
        <f>COUNTIFS('Datos - Temas'!$V$5:$V$1264,K$4,'Datos - Temas'!$K$5:$K$1264,$A79)+COUNTIFS('Datos - Temas'!$V$5:$V$1264,K$4,'Datos - Temas'!$L$5:$L$1264,$A79)</f>
        <v/>
      </c>
      <c r="L79" s="30">
        <f>COUNTIFS('Datos - Temas'!$V$5:$V$1264,L$4,'Datos - Temas'!$K$5:$K$1264,$A79)+COUNTIFS('Datos - Temas'!$V$5:$V$1264,L$4,'Datos - Temas'!$L$5:$L$1264,$A79)</f>
        <v/>
      </c>
      <c r="M79" s="30" t="inlineStr">
        <is>
          <t>N/A</t>
        </is>
      </c>
      <c r="N79" s="30" t="inlineStr">
        <is>
          <t>N/A</t>
        </is>
      </c>
      <c r="O79" s="30">
        <f>IF($B79="T4_27",SUM(F79:H79),IF($B79="T8_27",SUM(I79:L79),SUM(M79:N79)))</f>
        <v/>
      </c>
      <c r="P79" s="30">
        <f>COUNTIFS('Datos - Temas'!$K$5:$K$1264,$A79)</f>
        <v/>
      </c>
      <c r="Q79" s="30">
        <f>IF(O79&gt;0,"Sí","No")</f>
        <v/>
      </c>
      <c r="R79" s="30">
        <f>IF(O79=0,"No cubierto",IF(O79=1,"Débil (1 tema)",IF(O79&lt;=3,"Básica (2–3)","Sólida (4+)")))</f>
        <v/>
      </c>
      <c r="S79" s="30">
        <f>IFERROR(INDEX($I$4:$L$4,MATCH(TRUE,INDEX(I79:L79&gt;0,0),0)),"—")</f>
        <v/>
      </c>
      <c r="T79" s="30" t="inlineStr">
        <is>
          <t>Hoy: 7° U6 (3) · Propuesta 5-8-I12 (Presupuesto): 6.° · Experimentación con la absorción de radiación por gases de efecto invernadero y su relación con el aumento de la temperatura global.</t>
        </is>
      </c>
    </row>
    <row r="80">
      <c r="A80" s="30" t="inlineStr">
        <is>
          <t>T8_27-E3.1</t>
        </is>
      </c>
      <c r="B80" s="30" t="inlineStr">
        <is>
          <t>T8_27</t>
        </is>
      </c>
      <c r="C80" s="30" t="inlineStr">
        <is>
          <t>Ciencias de la Tierra</t>
        </is>
      </c>
      <c r="D80" s="30" t="inlineStr">
        <is>
          <t>Recursos de la Tierra, uso y conservación</t>
        </is>
      </c>
      <c r="E80" s="30" t="inlineStr">
        <is>
          <t>Fuentes de energía</t>
        </is>
      </c>
      <c r="F80" s="30" t="inlineStr">
        <is>
          <t>N/A</t>
        </is>
      </c>
      <c r="G80" s="30" t="inlineStr">
        <is>
          <t>N/A</t>
        </is>
      </c>
      <c r="H80" s="30" t="inlineStr">
        <is>
          <t>N/A</t>
        </is>
      </c>
      <c r="I80" s="30">
        <f>COUNTIFS('Datos - Temas'!$V$5:$V$1264,I$4,'Datos - Temas'!$K$5:$K$1264,$A80)+COUNTIFS('Datos - Temas'!$V$5:$V$1264,I$4,'Datos - Temas'!$L$5:$L$1264,$A80)</f>
        <v/>
      </c>
      <c r="J80" s="30">
        <f>COUNTIFS('Datos - Temas'!$V$5:$V$1264,J$4,'Datos - Temas'!$K$5:$K$1264,$A80)+COUNTIFS('Datos - Temas'!$V$5:$V$1264,J$4,'Datos - Temas'!$L$5:$L$1264,$A80)</f>
        <v/>
      </c>
      <c r="K80" s="30">
        <f>COUNTIFS('Datos - Temas'!$V$5:$V$1264,K$4,'Datos - Temas'!$K$5:$K$1264,$A80)+COUNTIFS('Datos - Temas'!$V$5:$V$1264,K$4,'Datos - Temas'!$L$5:$L$1264,$A80)</f>
        <v/>
      </c>
      <c r="L80" s="30">
        <f>COUNTIFS('Datos - Temas'!$V$5:$V$1264,L$4,'Datos - Temas'!$K$5:$K$1264,$A80)+COUNTIFS('Datos - Temas'!$V$5:$V$1264,L$4,'Datos - Temas'!$L$5:$L$1264,$A80)</f>
        <v/>
      </c>
      <c r="M80" s="30" t="inlineStr">
        <is>
          <t>N/A</t>
        </is>
      </c>
      <c r="N80" s="30" t="inlineStr">
        <is>
          <t>N/A</t>
        </is>
      </c>
      <c r="O80" s="30">
        <f>IF($B80="T4_27",SUM(F80:H80),IF($B80="T8_27",SUM(I80:L80),SUM(M80:N80)))</f>
        <v/>
      </c>
      <c r="P80" s="30">
        <f>COUNTIFS('Datos - Temas'!$K$5:$K$1264,$A80)</f>
        <v/>
      </c>
      <c r="Q80" s="30">
        <f>IF(O80&gt;0,"Sí","No")</f>
        <v/>
      </c>
      <c r="R80" s="30">
        <f>IF(O80=0,"No cubierto",IF(O80=1,"Débil (1 tema)",IF(O80&lt;=3,"Básica (2–3)","Sólida (4+)")))</f>
        <v/>
      </c>
      <c r="S80" s="30">
        <f>IFERROR(INDEX($I$4:$L$4,MATCH(TRUE,INDEX(I80:L80&gt;0,0),0)),"—")</f>
        <v/>
      </c>
      <c r="T80" s="30" t="inlineStr">
        <is>
          <t>Hoy: 7° U6 (9); 9° U7 (1) · Propuesta 5-8-I18 (Presupuesto): 7.° · Experimentación con la reflexión, refracción y absorción de la luz y su aprovechamiento en concentradores y calentadores solares.</t>
        </is>
      </c>
    </row>
    <row r="81">
      <c r="A81" s="30" t="inlineStr">
        <is>
          <t>T8_27-E3.2</t>
        </is>
      </c>
      <c r="B81" s="30" t="inlineStr">
        <is>
          <t>T8_27</t>
        </is>
      </c>
      <c r="C81" s="30" t="inlineStr">
        <is>
          <t>Ciencias de la Tierra</t>
        </is>
      </c>
      <c r="D81" s="30" t="inlineStr">
        <is>
          <t>Recursos de la Tierra, uso y conservación</t>
        </is>
      </c>
      <c r="E81" s="30" t="inlineStr">
        <is>
          <t>Gestión de los recursos de la Tierra</t>
        </is>
      </c>
      <c r="F81" s="30" t="inlineStr">
        <is>
          <t>N/A</t>
        </is>
      </c>
      <c r="G81" s="30" t="inlineStr">
        <is>
          <t>N/A</t>
        </is>
      </c>
      <c r="H81" s="30" t="inlineStr">
        <is>
          <t>N/A</t>
        </is>
      </c>
      <c r="I81" s="30">
        <f>COUNTIFS('Datos - Temas'!$V$5:$V$1264,I$4,'Datos - Temas'!$K$5:$K$1264,$A81)+COUNTIFS('Datos - Temas'!$V$5:$V$1264,I$4,'Datos - Temas'!$L$5:$L$1264,$A81)</f>
        <v/>
      </c>
      <c r="J81" s="30">
        <f>COUNTIFS('Datos - Temas'!$V$5:$V$1264,J$4,'Datos - Temas'!$K$5:$K$1264,$A81)+COUNTIFS('Datos - Temas'!$V$5:$V$1264,J$4,'Datos - Temas'!$L$5:$L$1264,$A81)</f>
        <v/>
      </c>
      <c r="K81" s="30">
        <f>COUNTIFS('Datos - Temas'!$V$5:$V$1264,K$4,'Datos - Temas'!$K$5:$K$1264,$A81)+COUNTIFS('Datos - Temas'!$V$5:$V$1264,K$4,'Datos - Temas'!$L$5:$L$1264,$A81)</f>
        <v/>
      </c>
      <c r="L81" s="30">
        <f>COUNTIFS('Datos - Temas'!$V$5:$V$1264,L$4,'Datos - Temas'!$K$5:$K$1264,$A81)+COUNTIFS('Datos - Temas'!$V$5:$V$1264,L$4,'Datos - Temas'!$L$5:$L$1264,$A81)</f>
        <v/>
      </c>
      <c r="M81" s="30" t="inlineStr">
        <is>
          <t>N/A</t>
        </is>
      </c>
      <c r="N81" s="30" t="inlineStr">
        <is>
          <t>N/A</t>
        </is>
      </c>
      <c r="O81" s="30">
        <f>IF($B81="T4_27",SUM(F81:H81),IF($B81="T8_27",SUM(I81:L81),SUM(M81:N81)))</f>
        <v/>
      </c>
      <c r="P81" s="30">
        <f>COUNTIFS('Datos - Temas'!$K$5:$K$1264,$A81)</f>
        <v/>
      </c>
      <c r="Q81" s="30">
        <f>IF(O81&gt;0,"Sí","No")</f>
        <v/>
      </c>
      <c r="R81" s="30">
        <f>IF(O81=0,"No cubierto",IF(O81=1,"Débil (1 tema)",IF(O81&lt;=3,"Básica (2–3)","Sólida (4+)")))</f>
        <v/>
      </c>
      <c r="S81" s="30">
        <f>IFERROR(INDEX($I$4:$L$4,MATCH(TRUE,INDEX(I81:L81&gt;0,0),0)),"—")</f>
        <v/>
      </c>
      <c r="T81" s="30" t="inlineStr">
        <is>
          <t>Hoy: 5° U6 (3); 6° U1 (1); 7° U4 (1); 7° U5 (2); 7° U6 (6); 8° U5 (3); 9° U4 (1)</t>
        </is>
      </c>
    </row>
    <row r="82">
      <c r="A82" s="30" t="inlineStr">
        <is>
          <t>T8_27-E4.1</t>
        </is>
      </c>
      <c r="B82" s="30" t="inlineStr">
        <is>
          <t>T8_27</t>
        </is>
      </c>
      <c r="C82" s="30" t="inlineStr">
        <is>
          <t>Ciencias de la Tierra</t>
        </is>
      </c>
      <c r="D82" s="30" t="inlineStr">
        <is>
          <t>La Tierra en el sistema solar</t>
        </is>
      </c>
      <c r="E82" s="30" t="inlineStr">
        <is>
          <t>Fenómenos observables por los movimientos de la Tierra y la Luna</t>
        </is>
      </c>
      <c r="F82" s="30" t="inlineStr">
        <is>
          <t>N/A</t>
        </is>
      </c>
      <c r="G82" s="30" t="inlineStr">
        <is>
          <t>N/A</t>
        </is>
      </c>
      <c r="H82" s="30" t="inlineStr">
        <is>
          <t>N/A</t>
        </is>
      </c>
      <c r="I82" s="30">
        <f>COUNTIFS('Datos - Temas'!$V$5:$V$1264,I$4,'Datos - Temas'!$K$5:$K$1264,$A82)+COUNTIFS('Datos - Temas'!$V$5:$V$1264,I$4,'Datos - Temas'!$L$5:$L$1264,$A82)</f>
        <v/>
      </c>
      <c r="J82" s="30">
        <f>COUNTIFS('Datos - Temas'!$V$5:$V$1264,J$4,'Datos - Temas'!$K$5:$K$1264,$A82)+COUNTIFS('Datos - Temas'!$V$5:$V$1264,J$4,'Datos - Temas'!$L$5:$L$1264,$A82)</f>
        <v/>
      </c>
      <c r="K82" s="30">
        <f>COUNTIFS('Datos - Temas'!$V$5:$V$1264,K$4,'Datos - Temas'!$K$5:$K$1264,$A82)+COUNTIFS('Datos - Temas'!$V$5:$V$1264,K$4,'Datos - Temas'!$L$5:$L$1264,$A82)</f>
        <v/>
      </c>
      <c r="L82" s="30">
        <f>COUNTIFS('Datos - Temas'!$V$5:$V$1264,L$4,'Datos - Temas'!$K$5:$K$1264,$A82)+COUNTIFS('Datos - Temas'!$V$5:$V$1264,L$4,'Datos - Temas'!$L$5:$L$1264,$A82)</f>
        <v/>
      </c>
      <c r="M82" s="30" t="inlineStr">
        <is>
          <t>N/A</t>
        </is>
      </c>
      <c r="N82" s="30" t="inlineStr">
        <is>
          <t>N/A</t>
        </is>
      </c>
      <c r="O82" s="30">
        <f>IF($B82="T4_27",SUM(F82:H82),IF($B82="T8_27",SUM(I82:L82),SUM(M82:N82)))</f>
        <v/>
      </c>
      <c r="P82" s="30">
        <f>COUNTIFS('Datos - Temas'!$K$5:$K$1264,$A82)</f>
        <v/>
      </c>
      <c r="Q82" s="30">
        <f>IF(O82&gt;0,"Sí","No")</f>
        <v/>
      </c>
      <c r="R82" s="30">
        <f>IF(O82=0,"No cubierto",IF(O82=1,"Débil (1 tema)",IF(O82&lt;=3,"Básica (2–3)","Sólida (4+)")))</f>
        <v/>
      </c>
      <c r="S82" s="30">
        <f>IFERROR(INDEX($I$4:$L$4,MATCH(TRUE,INDEX(I82:L82&gt;0,0),0)),"—")</f>
        <v/>
      </c>
      <c r="T82" s="30" t="inlineStr">
        <is>
          <t>Hoy: 9° U4 (1) · Propuesta 5-8-I07 (Presupuesto): 8.° · Modelación de la rotación y la traslación de la Tierra para explicar el día y la noche, la duración del año y, con la inclinación del eje, las estaciones.</t>
        </is>
      </c>
    </row>
    <row r="83">
      <c r="A83" s="30" t="inlineStr">
        <is>
          <t>T8_27-E4.2</t>
        </is>
      </c>
      <c r="B83" s="30" t="inlineStr">
        <is>
          <t>T8_27</t>
        </is>
      </c>
      <c r="C83" s="30" t="inlineStr">
        <is>
          <t>Ciencias de la Tierra</t>
        </is>
      </c>
      <c r="D83" s="30" t="inlineStr">
        <is>
          <t>La Tierra en el sistema solar</t>
        </is>
      </c>
      <c r="E83" s="30" t="inlineStr">
        <is>
          <t>El Sol, la Tierra, la Luna y los planetas</t>
        </is>
      </c>
      <c r="F83" s="30" t="inlineStr">
        <is>
          <t>N/A</t>
        </is>
      </c>
      <c r="G83" s="30" t="inlineStr">
        <is>
          <t>N/A</t>
        </is>
      </c>
      <c r="H83" s="30" t="inlineStr">
        <is>
          <t>N/A</t>
        </is>
      </c>
      <c r="I83" s="30">
        <f>COUNTIFS('Datos - Temas'!$V$5:$V$1264,I$4,'Datos - Temas'!$K$5:$K$1264,$A83)+COUNTIFS('Datos - Temas'!$V$5:$V$1264,I$4,'Datos - Temas'!$L$5:$L$1264,$A83)</f>
        <v/>
      </c>
      <c r="J83" s="30">
        <f>COUNTIFS('Datos - Temas'!$V$5:$V$1264,J$4,'Datos - Temas'!$K$5:$K$1264,$A83)+COUNTIFS('Datos - Temas'!$V$5:$V$1264,J$4,'Datos - Temas'!$L$5:$L$1264,$A83)</f>
        <v/>
      </c>
      <c r="K83" s="30">
        <f>COUNTIFS('Datos - Temas'!$V$5:$V$1264,K$4,'Datos - Temas'!$K$5:$K$1264,$A83)+COUNTIFS('Datos - Temas'!$V$5:$V$1264,K$4,'Datos - Temas'!$L$5:$L$1264,$A83)</f>
        <v/>
      </c>
      <c r="L83" s="30">
        <f>COUNTIFS('Datos - Temas'!$V$5:$V$1264,L$4,'Datos - Temas'!$K$5:$K$1264,$A83)+COUNTIFS('Datos - Temas'!$V$5:$V$1264,L$4,'Datos - Temas'!$L$5:$L$1264,$A83)</f>
        <v/>
      </c>
      <c r="M83" s="30" t="inlineStr">
        <is>
          <t>N/A</t>
        </is>
      </c>
      <c r="N83" s="30" t="inlineStr">
        <is>
          <t>N/A</t>
        </is>
      </c>
      <c r="O83" s="30">
        <f>IF($B83="T4_27",SUM(F83:H83),IF($B83="T8_27",SUM(I83:L83),SUM(M83:N83)))</f>
        <v/>
      </c>
      <c r="P83" s="30">
        <f>COUNTIFS('Datos - Temas'!$K$5:$K$1264,$A83)</f>
        <v/>
      </c>
      <c r="Q83" s="30">
        <f>IF(O83&gt;0,"Sí","No")</f>
        <v/>
      </c>
      <c r="R83" s="30">
        <f>IF(O83=0,"No cubierto",IF(O83=1,"Débil (1 tema)",IF(O83&lt;=3,"Básica (2–3)","Sólida (4+)")))</f>
        <v/>
      </c>
      <c r="S83" s="30">
        <f>IFERROR(INDEX($I$4:$L$4,MATCH(TRUE,INDEX(I83:L83&gt;0,0),0)),"—")</f>
        <v/>
      </c>
      <c r="T83" s="30" t="inlineStr">
        <is>
          <t>Hoy: 5° U5 (2); 9° U5 (1) · Propuesta 5-8-I11 (Presupuesto): 8.° · Relación de la gravedad con las órbitas de planetas y satélites del sistema solar a partir de datos de distancia y período orbital.</t>
        </is>
      </c>
    </row>
    <row r="84">
      <c r="A84" s="30" t="inlineStr">
        <is>
          <t>T8_27-E5.1</t>
        </is>
      </c>
      <c r="B84" s="30" t="inlineStr">
        <is>
          <t>T8_27</t>
        </is>
      </c>
      <c r="C84" s="30" t="inlineStr">
        <is>
          <t>Ciencias de la Tierra</t>
        </is>
      </c>
      <c r="D84" s="30" t="inlineStr">
        <is>
          <t>Investigaciones en ciencias de la Tierra</t>
        </is>
      </c>
      <c r="E84" s="30" t="inlineStr">
        <is>
          <t>Equipo usado en investigaciones de ciencias de la Tierra</t>
        </is>
      </c>
      <c r="F84" s="30" t="inlineStr">
        <is>
          <t>N/A</t>
        </is>
      </c>
      <c r="G84" s="30" t="inlineStr">
        <is>
          <t>N/A</t>
        </is>
      </c>
      <c r="H84" s="30" t="inlineStr">
        <is>
          <t>N/A</t>
        </is>
      </c>
      <c r="I84" s="30">
        <f>COUNTIFS('Datos - Temas'!$V$5:$V$1264,I$4,'Datos - Temas'!$K$5:$K$1264,$A84)+COUNTIFS('Datos - Temas'!$V$5:$V$1264,I$4,'Datos - Temas'!$L$5:$L$1264,$A84)</f>
        <v/>
      </c>
      <c r="J84" s="30">
        <f>COUNTIFS('Datos - Temas'!$V$5:$V$1264,J$4,'Datos - Temas'!$K$5:$K$1264,$A84)+COUNTIFS('Datos - Temas'!$V$5:$V$1264,J$4,'Datos - Temas'!$L$5:$L$1264,$A84)</f>
        <v/>
      </c>
      <c r="K84" s="30">
        <f>COUNTIFS('Datos - Temas'!$V$5:$V$1264,K$4,'Datos - Temas'!$K$5:$K$1264,$A84)+COUNTIFS('Datos - Temas'!$V$5:$V$1264,K$4,'Datos - Temas'!$L$5:$L$1264,$A84)</f>
        <v/>
      </c>
      <c r="L84" s="30">
        <f>COUNTIFS('Datos - Temas'!$V$5:$V$1264,L$4,'Datos - Temas'!$K$5:$K$1264,$A84)+COUNTIFS('Datos - Temas'!$V$5:$V$1264,L$4,'Datos - Temas'!$L$5:$L$1264,$A84)</f>
        <v/>
      </c>
      <c r="M84" s="30" t="inlineStr">
        <is>
          <t>N/A</t>
        </is>
      </c>
      <c r="N84" s="30" t="inlineStr">
        <is>
          <t>N/A</t>
        </is>
      </c>
      <c r="O84" s="30">
        <f>IF($B84="T4_27",SUM(F84:H84),IF($B84="T8_27",SUM(I84:L84),SUM(M84:N84)))</f>
        <v/>
      </c>
      <c r="P84" s="30">
        <f>COUNTIFS('Datos - Temas'!$K$5:$K$1264,$A84)</f>
        <v/>
      </c>
      <c r="Q84" s="30">
        <f>IF(O84&gt;0,"Sí","No")</f>
        <v/>
      </c>
      <c r="R84" s="30">
        <f>IF(O84=0,"No cubierto",IF(O84=1,"Débil (1 tema)",IF(O84&lt;=3,"Básica (2–3)","Sólida (4+)")))</f>
        <v/>
      </c>
      <c r="S84" s="30">
        <f>IFERROR(INDEX($I$4:$L$4,MATCH(TRUE,INDEX(I84:L84&gt;0,0),0)),"—")</f>
        <v/>
      </c>
      <c r="T84" s="30" t="inlineStr">
        <is>
          <t>Hoy: 9° U7 (1) · Propuesta 5-8-I08 (Presupuesto): 8.° · Uso de lupa, escala de Mohs, brújula, GPS y libreta de campo para recolectar, medir y registrar datos de rocas y minerales del entorno.</t>
        </is>
      </c>
    </row>
    <row r="85">
      <c r="A85" s="30" t="inlineStr">
        <is>
          <t>TA-M1.1</t>
        </is>
      </c>
      <c r="B85" s="30" t="inlineStr">
        <is>
          <t>TA</t>
        </is>
      </c>
      <c r="C85" s="30" t="inlineStr">
        <is>
          <t>Mecánica y termodinámica</t>
        </is>
      </c>
      <c r="D85" s="30" t="inlineStr">
        <is>
          <t>Fuerzas y movimiento</t>
        </is>
      </c>
      <c r="E85" s="30" t="inlineStr">
        <is>
          <t>Cinemática y leyes de Newton</t>
        </is>
      </c>
      <c r="F85" s="30" t="inlineStr">
        <is>
          <t>N/A</t>
        </is>
      </c>
      <c r="G85" s="30" t="inlineStr">
        <is>
          <t>N/A</t>
        </is>
      </c>
      <c r="H85" s="30" t="inlineStr">
        <is>
          <t>N/A</t>
        </is>
      </c>
      <c r="I85" s="30" t="inlineStr">
        <is>
          <t>N/A</t>
        </is>
      </c>
      <c r="J85" s="30" t="inlineStr">
        <is>
          <t>N/A</t>
        </is>
      </c>
      <c r="K85" s="30" t="inlineStr">
        <is>
          <t>N/A</t>
        </is>
      </c>
      <c r="L85" s="30" t="inlineStr">
        <is>
          <t>N/A</t>
        </is>
      </c>
      <c r="M85" s="30">
        <f>COUNTIFS('Datos - Temas'!$V$5:$V$1264,M$4,'Datos - Temas'!$K$5:$K$1264,$A85)+COUNTIFS('Datos - Temas'!$V$5:$V$1264,M$4,'Datos - Temas'!$L$5:$L$1264,$A85)</f>
        <v/>
      </c>
      <c r="N85" s="30">
        <f>COUNTIFS('Datos - Temas'!$V$5:$V$1264,N$4,'Datos - Temas'!$K$5:$K$1264,$A85)+COUNTIFS('Datos - Temas'!$V$5:$V$1264,N$4,'Datos - Temas'!$L$5:$L$1264,$A85)</f>
        <v/>
      </c>
      <c r="O85" s="30">
        <f>IF($B85="T4_27",SUM(F85:H85),IF($B85="T8_27",SUM(I85:L85),SUM(M85:N85)))</f>
        <v/>
      </c>
      <c r="P85" s="30">
        <f>COUNTIFS('Datos - Temas'!$K$5:$K$1264,$A85)</f>
        <v/>
      </c>
      <c r="Q85" s="30">
        <f>IF(O85&gt;0,"Sí","No")</f>
        <v/>
      </c>
      <c r="R85" s="30">
        <f>IF(O85=0,"No cubierto",IF(O85=1,"Débil (1 tema)",IF(O85&lt;=3,"Básica (2–3)","Sólida (4+)")))</f>
        <v/>
      </c>
      <c r="S85" s="30">
        <f>IFERROR(INDEX($M$4:$N$4,MATCH(TRUE,INDEX(M85:N85&gt;0,0),0)),"—")</f>
        <v/>
      </c>
      <c r="T85" s="30" t="inlineStr">
        <is>
          <t>Hoy: Física 10° U3 (7); Física 10° U4 (4); Física 10° U5 (7)</t>
        </is>
      </c>
    </row>
    <row r="86">
      <c r="A86" s="30" t="inlineStr">
        <is>
          <t>TA-M1.2</t>
        </is>
      </c>
      <c r="B86" s="30" t="inlineStr">
        <is>
          <t>TA</t>
        </is>
      </c>
      <c r="C86" s="30" t="inlineStr">
        <is>
          <t>Mecánica y termodinámica</t>
        </is>
      </c>
      <c r="D86" s="30" t="inlineStr">
        <is>
          <t>Fuerzas y movimiento</t>
        </is>
      </c>
      <c r="E86" s="30" t="inlineStr">
        <is>
          <t>Fuerzas sobre cuerpos y sus efectos</t>
        </is>
      </c>
      <c r="F86" s="30" t="inlineStr">
        <is>
          <t>N/A</t>
        </is>
      </c>
      <c r="G86" s="30" t="inlineStr">
        <is>
          <t>N/A</t>
        </is>
      </c>
      <c r="H86" s="30" t="inlineStr">
        <is>
          <t>N/A</t>
        </is>
      </c>
      <c r="I86" s="30" t="inlineStr">
        <is>
          <t>N/A</t>
        </is>
      </c>
      <c r="J86" s="30" t="inlineStr">
        <is>
          <t>N/A</t>
        </is>
      </c>
      <c r="K86" s="30" t="inlineStr">
        <is>
          <t>N/A</t>
        </is>
      </c>
      <c r="L86" s="30" t="inlineStr">
        <is>
          <t>N/A</t>
        </is>
      </c>
      <c r="M86" s="30">
        <f>COUNTIFS('Datos - Temas'!$V$5:$V$1264,M$4,'Datos - Temas'!$K$5:$K$1264,$A86)+COUNTIFS('Datos - Temas'!$V$5:$V$1264,M$4,'Datos - Temas'!$L$5:$L$1264,$A86)</f>
        <v/>
      </c>
      <c r="N86" s="30">
        <f>COUNTIFS('Datos - Temas'!$V$5:$V$1264,N$4,'Datos - Temas'!$K$5:$K$1264,$A86)+COUNTIFS('Datos - Temas'!$V$5:$V$1264,N$4,'Datos - Temas'!$L$5:$L$1264,$A86)</f>
        <v/>
      </c>
      <c r="O86" s="30">
        <f>IF($B86="T4_27",SUM(F86:H86),IF($B86="T8_27",SUM(I86:L86),SUM(M86:N86)))</f>
        <v/>
      </c>
      <c r="P86" s="30">
        <f>COUNTIFS('Datos - Temas'!$K$5:$K$1264,$A86)</f>
        <v/>
      </c>
      <c r="Q86" s="30">
        <f>IF(O86&gt;0,"Sí","No")</f>
        <v/>
      </c>
      <c r="R86" s="30">
        <f>IF(O86=0,"No cubierto",IF(O86=1,"Débil (1 tema)",IF(O86&lt;=3,"Básica (2–3)","Sólida (4+)")))</f>
        <v/>
      </c>
      <c r="S86" s="30">
        <f>IFERROR(INDEX($M$4:$N$4,MATCH(TRUE,INDEX(M86:N86&gt;0,0),0)),"—")</f>
        <v/>
      </c>
      <c r="T86" s="30" t="inlineStr">
        <is>
          <t>Hoy: Física 10° U10 (1); Física 10° U5 (7); Física 10° U6 (1); Física 10° U7 (1); Física 11° U1 (1)</t>
        </is>
      </c>
    </row>
    <row r="87">
      <c r="A87" s="30" t="inlineStr">
        <is>
          <t>TA-M1.3</t>
        </is>
      </c>
      <c r="B87" s="30" t="inlineStr">
        <is>
          <t>TA</t>
        </is>
      </c>
      <c r="C87" s="30" t="inlineStr">
        <is>
          <t>Mecánica y termodinámica</t>
        </is>
      </c>
      <c r="D87" s="30" t="inlineStr">
        <is>
          <t>Fuerzas y movimiento</t>
        </is>
      </c>
      <c r="E87" s="30" t="inlineStr">
        <is>
          <t>Movimiento circular: fuerza y aceleración centrípeta</t>
        </is>
      </c>
      <c r="F87" s="30" t="inlineStr">
        <is>
          <t>N/A</t>
        </is>
      </c>
      <c r="G87" s="30" t="inlineStr">
        <is>
          <t>N/A</t>
        </is>
      </c>
      <c r="H87" s="30" t="inlineStr">
        <is>
          <t>N/A</t>
        </is>
      </c>
      <c r="I87" s="30" t="inlineStr">
        <is>
          <t>N/A</t>
        </is>
      </c>
      <c r="J87" s="30" t="inlineStr">
        <is>
          <t>N/A</t>
        </is>
      </c>
      <c r="K87" s="30" t="inlineStr">
        <is>
          <t>N/A</t>
        </is>
      </c>
      <c r="L87" s="30" t="inlineStr">
        <is>
          <t>N/A</t>
        </is>
      </c>
      <c r="M87" s="30">
        <f>COUNTIFS('Datos - Temas'!$V$5:$V$1264,M$4,'Datos - Temas'!$K$5:$K$1264,$A87)+COUNTIFS('Datos - Temas'!$V$5:$V$1264,M$4,'Datos - Temas'!$L$5:$L$1264,$A87)</f>
        <v/>
      </c>
      <c r="N87" s="30">
        <f>COUNTIFS('Datos - Temas'!$V$5:$V$1264,N$4,'Datos - Temas'!$K$5:$K$1264,$A87)+COUNTIFS('Datos - Temas'!$V$5:$V$1264,N$4,'Datos - Temas'!$L$5:$L$1264,$A87)</f>
        <v/>
      </c>
      <c r="O87" s="30">
        <f>IF($B87="T4_27",SUM(F87:H87),IF($B87="T8_27",SUM(I87:L87),SUM(M87:N87)))</f>
        <v/>
      </c>
      <c r="P87" s="30">
        <f>COUNTIFS('Datos - Temas'!$K$5:$K$1264,$A87)</f>
        <v/>
      </c>
      <c r="Q87" s="30">
        <f>IF(O87&gt;0,"Sí","No")</f>
        <v/>
      </c>
      <c r="R87" s="30">
        <f>IF(O87=0,"No cubierto",IF(O87=1,"Débil (1 tema)",IF(O87&lt;=3,"Básica (2–3)","Sólida (4+)")))</f>
        <v/>
      </c>
      <c r="S87" s="30">
        <f>IFERROR(INDEX($M$4:$N$4,MATCH(TRUE,INDEX(M87:N87&gt;0,0),0)),"—")</f>
        <v/>
      </c>
      <c r="T87" s="30" t="inlineStr">
        <is>
          <t>Hoy: Física 10° U6 (7); Física 10° U9 (1); Física 11° U10 (1)</t>
        </is>
      </c>
    </row>
    <row r="88">
      <c r="A88" s="30" t="inlineStr">
        <is>
          <t>TA-M1.4</t>
        </is>
      </c>
      <c r="B88" s="30" t="inlineStr">
        <is>
          <t>TA</t>
        </is>
      </c>
      <c r="C88" s="30" t="inlineStr">
        <is>
          <t>Mecánica y termodinámica</t>
        </is>
      </c>
      <c r="D88" s="30" t="inlineStr">
        <is>
          <t>Fuerzas y movimiento</t>
        </is>
      </c>
      <c r="E88" s="30" t="inlineStr">
        <is>
          <t>Ley de gravitación y movimiento de cuerpos celestes</t>
        </is>
      </c>
      <c r="F88" s="30" t="inlineStr">
        <is>
          <t>N/A</t>
        </is>
      </c>
      <c r="G88" s="30" t="inlineStr">
        <is>
          <t>N/A</t>
        </is>
      </c>
      <c r="H88" s="30" t="inlineStr">
        <is>
          <t>N/A</t>
        </is>
      </c>
      <c r="I88" s="30" t="inlineStr">
        <is>
          <t>N/A</t>
        </is>
      </c>
      <c r="J88" s="30" t="inlineStr">
        <is>
          <t>N/A</t>
        </is>
      </c>
      <c r="K88" s="30" t="inlineStr">
        <is>
          <t>N/A</t>
        </is>
      </c>
      <c r="L88" s="30" t="inlineStr">
        <is>
          <t>N/A</t>
        </is>
      </c>
      <c r="M88" s="30">
        <f>COUNTIFS('Datos - Temas'!$V$5:$V$1264,M$4,'Datos - Temas'!$K$5:$K$1264,$A88)+COUNTIFS('Datos - Temas'!$V$5:$V$1264,M$4,'Datos - Temas'!$L$5:$L$1264,$A88)</f>
        <v/>
      </c>
      <c r="N88" s="30">
        <f>COUNTIFS('Datos - Temas'!$V$5:$V$1264,N$4,'Datos - Temas'!$K$5:$K$1264,$A88)+COUNTIFS('Datos - Temas'!$V$5:$V$1264,N$4,'Datos - Temas'!$L$5:$L$1264,$A88)</f>
        <v/>
      </c>
      <c r="O88" s="30">
        <f>IF($B88="T4_27",SUM(F88:H88),IF($B88="T8_27",SUM(I88:L88),SUM(M88:N88)))</f>
        <v/>
      </c>
      <c r="P88" s="30">
        <f>COUNTIFS('Datos - Temas'!$K$5:$K$1264,$A88)</f>
        <v/>
      </c>
      <c r="Q88" s="30">
        <f>IF(O88&gt;0,"Sí","No")</f>
        <v/>
      </c>
      <c r="R88" s="30">
        <f>IF(O88=0,"No cubierto",IF(O88=1,"Débil (1 tema)",IF(O88&lt;=3,"Básica (2–3)","Sólida (4+)")))</f>
        <v/>
      </c>
      <c r="S88" s="30">
        <f>IFERROR(INDEX($M$4:$N$4,MATCH(TRUE,INDEX(M88:N88&gt;0,0),0)),"—")</f>
        <v/>
      </c>
      <c r="T88" s="30" t="inlineStr">
        <is>
          <t>Hoy: Física 10° U5 (1); Física 10° U6 (2); Física 11° U22 (2)</t>
        </is>
      </c>
    </row>
    <row r="89">
      <c r="A89" s="30" t="inlineStr">
        <is>
          <t>TA-M2.1</t>
        </is>
      </c>
      <c r="B89" s="30" t="inlineStr">
        <is>
          <t>TA</t>
        </is>
      </c>
      <c r="C89" s="30" t="inlineStr">
        <is>
          <t>Mecánica y termodinámica</t>
        </is>
      </c>
      <c r="D89" s="30" t="inlineStr">
        <is>
          <t>Leyes de conservación</t>
        </is>
      </c>
      <c r="E89" s="30" t="inlineStr">
        <is>
          <t>Conservación de la energía mecánica</t>
        </is>
      </c>
      <c r="F89" s="30" t="inlineStr">
        <is>
          <t>N/A</t>
        </is>
      </c>
      <c r="G89" s="30" t="inlineStr">
        <is>
          <t>N/A</t>
        </is>
      </c>
      <c r="H89" s="30" t="inlineStr">
        <is>
          <t>N/A</t>
        </is>
      </c>
      <c r="I89" s="30" t="inlineStr">
        <is>
          <t>N/A</t>
        </is>
      </c>
      <c r="J89" s="30" t="inlineStr">
        <is>
          <t>N/A</t>
        </is>
      </c>
      <c r="K89" s="30" t="inlineStr">
        <is>
          <t>N/A</t>
        </is>
      </c>
      <c r="L89" s="30" t="inlineStr">
        <is>
          <t>N/A</t>
        </is>
      </c>
      <c r="M89" s="30">
        <f>COUNTIFS('Datos - Temas'!$V$5:$V$1264,M$4,'Datos - Temas'!$K$5:$K$1264,$A89)+COUNTIFS('Datos - Temas'!$V$5:$V$1264,M$4,'Datos - Temas'!$L$5:$L$1264,$A89)</f>
        <v/>
      </c>
      <c r="N89" s="30">
        <f>COUNTIFS('Datos - Temas'!$V$5:$V$1264,N$4,'Datos - Temas'!$K$5:$K$1264,$A89)+COUNTIFS('Datos - Temas'!$V$5:$V$1264,N$4,'Datos - Temas'!$L$5:$L$1264,$A89)</f>
        <v/>
      </c>
      <c r="O89" s="30">
        <f>IF($B89="T4_27",SUM(F89:H89),IF($B89="T8_27",SUM(I89:L89),SUM(M89:N89)))</f>
        <v/>
      </c>
      <c r="P89" s="30">
        <f>COUNTIFS('Datos - Temas'!$K$5:$K$1264,$A89)</f>
        <v/>
      </c>
      <c r="Q89" s="30">
        <f>IF(O89&gt;0,"Sí","No")</f>
        <v/>
      </c>
      <c r="R89" s="30">
        <f>IF(O89=0,"No cubierto",IF(O89=1,"Débil (1 tema)",IF(O89&lt;=3,"Básica (2–3)","Sólida (4+)")))</f>
        <v/>
      </c>
      <c r="S89" s="30">
        <f>IFERROR(INDEX($M$4:$N$4,MATCH(TRUE,INDEX(M89:N89&gt;0,0),0)),"—")</f>
        <v/>
      </c>
      <c r="T89" s="30" t="inlineStr">
        <is>
          <t>Hoy: Física 10° U10 (1); Física 10° U7 (9); Física 10° U8 (1); Física 11° U1 (1); Física 11° U8 (1)</t>
        </is>
      </c>
    </row>
    <row r="90">
      <c r="A90" s="30" t="inlineStr">
        <is>
          <t>TA-M2.2</t>
        </is>
      </c>
      <c r="B90" s="30" t="inlineStr">
        <is>
          <t>TA</t>
        </is>
      </c>
      <c r="C90" s="30" t="inlineStr">
        <is>
          <t>Mecánica y termodinámica</t>
        </is>
      </c>
      <c r="D90" s="30" t="inlineStr">
        <is>
          <t>Leyes de conservación</t>
        </is>
      </c>
      <c r="E90" s="30" t="inlineStr">
        <is>
          <t>Conservación del momento lineal en choques</t>
        </is>
      </c>
      <c r="F90" s="30" t="inlineStr">
        <is>
          <t>N/A</t>
        </is>
      </c>
      <c r="G90" s="30" t="inlineStr">
        <is>
          <t>N/A</t>
        </is>
      </c>
      <c r="H90" s="30" t="inlineStr">
        <is>
          <t>N/A</t>
        </is>
      </c>
      <c r="I90" s="30" t="inlineStr">
        <is>
          <t>N/A</t>
        </is>
      </c>
      <c r="J90" s="30" t="inlineStr">
        <is>
          <t>N/A</t>
        </is>
      </c>
      <c r="K90" s="30" t="inlineStr">
        <is>
          <t>N/A</t>
        </is>
      </c>
      <c r="L90" s="30" t="inlineStr">
        <is>
          <t>N/A</t>
        </is>
      </c>
      <c r="M90" s="30">
        <f>COUNTIFS('Datos - Temas'!$V$5:$V$1264,M$4,'Datos - Temas'!$K$5:$K$1264,$A90)+COUNTIFS('Datos - Temas'!$V$5:$V$1264,M$4,'Datos - Temas'!$L$5:$L$1264,$A90)</f>
        <v/>
      </c>
      <c r="N90" s="30">
        <f>COUNTIFS('Datos - Temas'!$V$5:$V$1264,N$4,'Datos - Temas'!$K$5:$K$1264,$A90)+COUNTIFS('Datos - Temas'!$V$5:$V$1264,N$4,'Datos - Temas'!$L$5:$L$1264,$A90)</f>
        <v/>
      </c>
      <c r="O90" s="30">
        <f>IF($B90="T4_27",SUM(F90:H90),IF($B90="T8_27",SUM(I90:L90),SUM(M90:N90)))</f>
        <v/>
      </c>
      <c r="P90" s="30">
        <f>COUNTIFS('Datos - Temas'!$K$5:$K$1264,$A90)</f>
        <v/>
      </c>
      <c r="Q90" s="30">
        <f>IF(O90&gt;0,"Sí","No")</f>
        <v/>
      </c>
      <c r="R90" s="30">
        <f>IF(O90=0,"No cubierto",IF(O90=1,"Débil (1 tema)",IF(O90&lt;=3,"Básica (2–3)","Sólida (4+)")))</f>
        <v/>
      </c>
      <c r="S90" s="30">
        <f>IFERROR(INDEX($M$4:$N$4,MATCH(TRUE,INDEX(M90:N90&gt;0,0),0)),"—")</f>
        <v/>
      </c>
      <c r="T90" s="30" t="inlineStr">
        <is>
          <t>Hoy: Física 10° U8 (5); Física 11° U15 (1)</t>
        </is>
      </c>
    </row>
    <row r="91">
      <c r="A91" s="30" t="inlineStr">
        <is>
          <t>TA-M2.3</t>
        </is>
      </c>
      <c r="B91" s="30" t="inlineStr">
        <is>
          <t>TA</t>
        </is>
      </c>
      <c r="C91" s="30" t="inlineStr">
        <is>
          <t>Mecánica y termodinámica</t>
        </is>
      </c>
      <c r="D91" s="30" t="inlineStr">
        <is>
          <t>Leyes de conservación</t>
        </is>
      </c>
      <c r="E91" s="30" t="inlineStr">
        <is>
          <t>Primera ley de la termodinámica</t>
        </is>
      </c>
      <c r="F91" s="30" t="inlineStr">
        <is>
          <t>N/A</t>
        </is>
      </c>
      <c r="G91" s="30" t="inlineStr">
        <is>
          <t>N/A</t>
        </is>
      </c>
      <c r="H91" s="30" t="inlineStr">
        <is>
          <t>N/A</t>
        </is>
      </c>
      <c r="I91" s="30" t="inlineStr">
        <is>
          <t>N/A</t>
        </is>
      </c>
      <c r="J91" s="30" t="inlineStr">
        <is>
          <t>N/A</t>
        </is>
      </c>
      <c r="K91" s="30" t="inlineStr">
        <is>
          <t>N/A</t>
        </is>
      </c>
      <c r="L91" s="30" t="inlineStr">
        <is>
          <t>N/A</t>
        </is>
      </c>
      <c r="M91" s="30">
        <f>COUNTIFS('Datos - Temas'!$V$5:$V$1264,M$4,'Datos - Temas'!$K$5:$K$1264,$A91)+COUNTIFS('Datos - Temas'!$V$5:$V$1264,M$4,'Datos - Temas'!$L$5:$L$1264,$A91)</f>
        <v/>
      </c>
      <c r="N91" s="30">
        <f>COUNTIFS('Datos - Temas'!$V$5:$V$1264,N$4,'Datos - Temas'!$K$5:$K$1264,$A91)+COUNTIFS('Datos - Temas'!$V$5:$V$1264,N$4,'Datos - Temas'!$L$5:$L$1264,$A91)</f>
        <v/>
      </c>
      <c r="O91" s="30">
        <f>IF($B91="T4_27",SUM(F91:H91),IF($B91="T8_27",SUM(I91:L91),SUM(M91:N91)))</f>
        <v/>
      </c>
      <c r="P91" s="30">
        <f>COUNTIFS('Datos - Temas'!$K$5:$K$1264,$A91)</f>
        <v/>
      </c>
      <c r="Q91" s="30">
        <f>IF(O91&gt;0,"Sí","No")</f>
        <v/>
      </c>
      <c r="R91" s="30">
        <f>IF(O91=0,"No cubierto",IF(O91=1,"Débil (1 tema)",IF(O91&lt;=3,"Básica (2–3)","Sólida (4+)")))</f>
        <v/>
      </c>
      <c r="S91" s="30">
        <f>IFERROR(INDEX($M$4:$N$4,MATCH(TRUE,INDEX(M91:N91&gt;0,0),0)),"—")</f>
        <v/>
      </c>
      <c r="T91" s="30" t="inlineStr">
        <is>
          <t>Hoy: Física 10° U12 (1); Física 10° U15 (7)</t>
        </is>
      </c>
    </row>
    <row r="92">
      <c r="A92" s="30" t="inlineStr">
        <is>
          <t>TA-M3.1</t>
        </is>
      </c>
      <c r="B92" s="30" t="inlineStr">
        <is>
          <t>TA</t>
        </is>
      </c>
      <c r="C92" s="30" t="inlineStr">
        <is>
          <t>Mecánica y termodinámica</t>
        </is>
      </c>
      <c r="D92" s="30" t="inlineStr">
        <is>
          <t>Calor y temperatura</t>
        </is>
      </c>
      <c r="E92" s="30" t="inlineStr">
        <is>
          <t>Mecanismos de transferencia de calor; capacidad calorífica y equilibrio térmico</t>
        </is>
      </c>
      <c r="F92" s="30" t="inlineStr">
        <is>
          <t>N/A</t>
        </is>
      </c>
      <c r="G92" s="30" t="inlineStr">
        <is>
          <t>N/A</t>
        </is>
      </c>
      <c r="H92" s="30" t="inlineStr">
        <is>
          <t>N/A</t>
        </is>
      </c>
      <c r="I92" s="30" t="inlineStr">
        <is>
          <t>N/A</t>
        </is>
      </c>
      <c r="J92" s="30" t="inlineStr">
        <is>
          <t>N/A</t>
        </is>
      </c>
      <c r="K92" s="30" t="inlineStr">
        <is>
          <t>N/A</t>
        </is>
      </c>
      <c r="L92" s="30" t="inlineStr">
        <is>
          <t>N/A</t>
        </is>
      </c>
      <c r="M92" s="30">
        <f>COUNTIFS('Datos - Temas'!$V$5:$V$1264,M$4,'Datos - Temas'!$K$5:$K$1264,$A92)+COUNTIFS('Datos - Temas'!$V$5:$V$1264,M$4,'Datos - Temas'!$L$5:$L$1264,$A92)</f>
        <v/>
      </c>
      <c r="N92" s="30">
        <f>COUNTIFS('Datos - Temas'!$V$5:$V$1264,N$4,'Datos - Temas'!$K$5:$K$1264,$A92)+COUNTIFS('Datos - Temas'!$V$5:$V$1264,N$4,'Datos - Temas'!$L$5:$L$1264,$A92)</f>
        <v/>
      </c>
      <c r="O92" s="30">
        <f>IF($B92="T4_27",SUM(F92:H92),IF($B92="T8_27",SUM(I92:L92),SUM(M92:N92)))</f>
        <v/>
      </c>
      <c r="P92" s="30">
        <f>COUNTIFS('Datos - Temas'!$K$5:$K$1264,$A92)</f>
        <v/>
      </c>
      <c r="Q92" s="30">
        <f>IF(O92&gt;0,"Sí","No")</f>
        <v/>
      </c>
      <c r="R92" s="30">
        <f>IF(O92=0,"No cubierto",IF(O92=1,"Débil (1 tema)",IF(O92&lt;=3,"Básica (2–3)","Sólida (4+)")))</f>
        <v/>
      </c>
      <c r="S92" s="30">
        <f>IFERROR(INDEX($M$4:$N$4,MATCH(TRUE,INDEX(M92:N92&gt;0,0),0)),"—")</f>
        <v/>
      </c>
      <c r="T92" s="30" t="inlineStr">
        <is>
          <t>Hoy: Física 10° U12 (4); Física 10° U13 (4); Física 10° U15 (2)</t>
        </is>
      </c>
    </row>
    <row r="93">
      <c r="A93" s="30" t="inlineStr">
        <is>
          <t>TA-M3.2</t>
        </is>
      </c>
      <c r="B93" s="30" t="inlineStr">
        <is>
          <t>TA</t>
        </is>
      </c>
      <c r="C93" s="30" t="inlineStr">
        <is>
          <t>Mecánica y termodinámica</t>
        </is>
      </c>
      <c r="D93" s="30" t="inlineStr">
        <is>
          <t>Calor y temperatura</t>
        </is>
      </c>
      <c r="E93" s="30" t="inlineStr">
        <is>
          <t>Dilatación térmica; ley del gas ideal y sus límites</t>
        </is>
      </c>
      <c r="F93" s="30" t="inlineStr">
        <is>
          <t>N/A</t>
        </is>
      </c>
      <c r="G93" s="30" t="inlineStr">
        <is>
          <t>N/A</t>
        </is>
      </c>
      <c r="H93" s="30" t="inlineStr">
        <is>
          <t>N/A</t>
        </is>
      </c>
      <c r="I93" s="30" t="inlineStr">
        <is>
          <t>N/A</t>
        </is>
      </c>
      <c r="J93" s="30" t="inlineStr">
        <is>
          <t>N/A</t>
        </is>
      </c>
      <c r="K93" s="30" t="inlineStr">
        <is>
          <t>N/A</t>
        </is>
      </c>
      <c r="L93" s="30" t="inlineStr">
        <is>
          <t>N/A</t>
        </is>
      </c>
      <c r="M93" s="30">
        <f>COUNTIFS('Datos - Temas'!$V$5:$V$1264,M$4,'Datos - Temas'!$K$5:$K$1264,$A93)+COUNTIFS('Datos - Temas'!$V$5:$V$1264,M$4,'Datos - Temas'!$L$5:$L$1264,$A93)</f>
        <v/>
      </c>
      <c r="N93" s="30">
        <f>COUNTIFS('Datos - Temas'!$V$5:$V$1264,N$4,'Datos - Temas'!$K$5:$K$1264,$A93)+COUNTIFS('Datos - Temas'!$V$5:$V$1264,N$4,'Datos - Temas'!$L$5:$L$1264,$A93)</f>
        <v/>
      </c>
      <c r="O93" s="30">
        <f>IF($B93="T4_27",SUM(F93:H93),IF($B93="T8_27",SUM(I93:L93),SUM(M93:N93)))</f>
        <v/>
      </c>
      <c r="P93" s="30">
        <f>COUNTIFS('Datos - Temas'!$K$5:$K$1264,$A93)</f>
        <v/>
      </c>
      <c r="Q93" s="30">
        <f>IF(O93&gt;0,"Sí","No")</f>
        <v/>
      </c>
      <c r="R93" s="30">
        <f>IF(O93=0,"No cubierto",IF(O93=1,"Débil (1 tema)",IF(O93&lt;=3,"Básica (2–3)","Sólida (4+)")))</f>
        <v/>
      </c>
      <c r="S93" s="30">
        <f>IFERROR(INDEX($M$4:$N$4,MATCH(TRUE,INDEX(M93:N93&gt;0,0),0)),"—")</f>
        <v/>
      </c>
      <c r="T93" s="30" t="inlineStr">
        <is>
          <t>Hoy: Física 10° U12 (3); Física 10° U14 (2); Física 10° U15 (2)</t>
        </is>
      </c>
    </row>
    <row r="94">
      <c r="A94" s="30" t="inlineStr">
        <is>
          <t>TA-E1.1</t>
        </is>
      </c>
      <c r="B94" s="30" t="inlineStr">
        <is>
          <t>TA</t>
        </is>
      </c>
      <c r="C94" s="30" t="inlineStr">
        <is>
          <t>Electricidad y magnetismo</t>
        </is>
      </c>
      <c r="D94" s="30" t="inlineStr">
        <is>
          <t>Electricidad y circuitos</t>
        </is>
      </c>
      <c r="E94" s="30" t="inlineStr">
        <is>
          <t>Ley de Coulomb</t>
        </is>
      </c>
      <c r="F94" s="30" t="inlineStr">
        <is>
          <t>N/A</t>
        </is>
      </c>
      <c r="G94" s="30" t="inlineStr">
        <is>
          <t>N/A</t>
        </is>
      </c>
      <c r="H94" s="30" t="inlineStr">
        <is>
          <t>N/A</t>
        </is>
      </c>
      <c r="I94" s="30" t="inlineStr">
        <is>
          <t>N/A</t>
        </is>
      </c>
      <c r="J94" s="30" t="inlineStr">
        <is>
          <t>N/A</t>
        </is>
      </c>
      <c r="K94" s="30" t="inlineStr">
        <is>
          <t>N/A</t>
        </is>
      </c>
      <c r="L94" s="30" t="inlineStr">
        <is>
          <t>N/A</t>
        </is>
      </c>
      <c r="M94" s="30">
        <f>COUNTIFS('Datos - Temas'!$V$5:$V$1264,M$4,'Datos - Temas'!$K$5:$K$1264,$A94)+COUNTIFS('Datos - Temas'!$V$5:$V$1264,M$4,'Datos - Temas'!$L$5:$L$1264,$A94)</f>
        <v/>
      </c>
      <c r="N94" s="30">
        <f>COUNTIFS('Datos - Temas'!$V$5:$V$1264,N$4,'Datos - Temas'!$K$5:$K$1264,$A94)+COUNTIFS('Datos - Temas'!$V$5:$V$1264,N$4,'Datos - Temas'!$L$5:$L$1264,$A94)</f>
        <v/>
      </c>
      <c r="O94" s="30">
        <f>IF($B94="T4_27",SUM(F94:H94),IF($B94="T8_27",SUM(I94:L94),SUM(M94:N94)))</f>
        <v/>
      </c>
      <c r="P94" s="30">
        <f>COUNTIFS('Datos - Temas'!$K$5:$K$1264,$A94)</f>
        <v/>
      </c>
      <c r="Q94" s="30">
        <f>IF(O94&gt;0,"Sí","No")</f>
        <v/>
      </c>
      <c r="R94" s="30">
        <f>IF(O94=0,"No cubierto",IF(O94=1,"Débil (1 tema)",IF(O94&lt;=3,"Básica (2–3)","Sólida (4+)")))</f>
        <v/>
      </c>
      <c r="S94" s="30">
        <f>IFERROR(INDEX($M$4:$N$4,MATCH(TRUE,INDEX(M94:N94&gt;0,0),0)),"—")</f>
        <v/>
      </c>
      <c r="T94" s="30" t="inlineStr">
        <is>
          <t>Hoy: Física 11° U6 (5); Física 11° U7 (1); Física 11° U8 (1)</t>
        </is>
      </c>
    </row>
    <row r="95">
      <c r="A95" s="30" t="inlineStr">
        <is>
          <t>TA-E1.2</t>
        </is>
      </c>
      <c r="B95" s="30" t="inlineStr">
        <is>
          <t>TA</t>
        </is>
      </c>
      <c r="C95" s="30" t="inlineStr">
        <is>
          <t>Electricidad y magnetismo</t>
        </is>
      </c>
      <c r="D95" s="30" t="inlineStr">
        <is>
          <t>Electricidad y circuitos</t>
        </is>
      </c>
      <c r="E95" s="30" t="inlineStr">
        <is>
          <t>Fuerza y trayectoria de cargas en campos eléctricos</t>
        </is>
      </c>
      <c r="F95" s="30" t="inlineStr">
        <is>
          <t>N/A</t>
        </is>
      </c>
      <c r="G95" s="30" t="inlineStr">
        <is>
          <t>N/A</t>
        </is>
      </c>
      <c r="H95" s="30" t="inlineStr">
        <is>
          <t>N/A</t>
        </is>
      </c>
      <c r="I95" s="30" t="inlineStr">
        <is>
          <t>N/A</t>
        </is>
      </c>
      <c r="J95" s="30" t="inlineStr">
        <is>
          <t>N/A</t>
        </is>
      </c>
      <c r="K95" s="30" t="inlineStr">
        <is>
          <t>N/A</t>
        </is>
      </c>
      <c r="L95" s="30" t="inlineStr">
        <is>
          <t>N/A</t>
        </is>
      </c>
      <c r="M95" s="30">
        <f>COUNTIFS('Datos - Temas'!$V$5:$V$1264,M$4,'Datos - Temas'!$K$5:$K$1264,$A95)+COUNTIFS('Datos - Temas'!$V$5:$V$1264,M$4,'Datos - Temas'!$L$5:$L$1264,$A95)</f>
        <v/>
      </c>
      <c r="N95" s="30">
        <f>COUNTIFS('Datos - Temas'!$V$5:$V$1264,N$4,'Datos - Temas'!$K$5:$K$1264,$A95)+COUNTIFS('Datos - Temas'!$V$5:$V$1264,N$4,'Datos - Temas'!$L$5:$L$1264,$A95)</f>
        <v/>
      </c>
      <c r="O95" s="30">
        <f>IF($B95="T4_27",SUM(F95:H95),IF($B95="T8_27",SUM(I95:L95),SUM(M95:N95)))</f>
        <v/>
      </c>
      <c r="P95" s="30">
        <f>COUNTIFS('Datos - Temas'!$K$5:$K$1264,$A95)</f>
        <v/>
      </c>
      <c r="Q95" s="30">
        <f>IF(O95&gt;0,"Sí","No")</f>
        <v/>
      </c>
      <c r="R95" s="30">
        <f>IF(O95=0,"No cubierto",IF(O95=1,"Débil (1 tema)",IF(O95&lt;=3,"Básica (2–3)","Sólida (4+)")))</f>
        <v/>
      </c>
      <c r="S95" s="30">
        <f>IFERROR(INDEX($M$4:$N$4,MATCH(TRUE,INDEX(M95:N95&gt;0,0),0)),"—")</f>
        <v/>
      </c>
      <c r="T95" s="30" t="inlineStr">
        <is>
          <t>Hoy: Física 11° U12 (1); Física 11° U7 (5); Física 11° U8 (5)</t>
        </is>
      </c>
    </row>
    <row r="96">
      <c r="A96" s="30" t="inlineStr">
        <is>
          <t>TA-E1.3</t>
        </is>
      </c>
      <c r="B96" s="30" t="inlineStr">
        <is>
          <t>TA</t>
        </is>
      </c>
      <c r="C96" s="30" t="inlineStr">
        <is>
          <t>Electricidad y magnetismo</t>
        </is>
      </c>
      <c r="D96" s="30" t="inlineStr">
        <is>
          <t>Electricidad y circuitos</t>
        </is>
      </c>
      <c r="E96" s="30" t="inlineStr">
        <is>
          <t>Circuitos: leyes de Ohm y Joule</t>
        </is>
      </c>
      <c r="F96" s="30" t="inlineStr">
        <is>
          <t>N/A</t>
        </is>
      </c>
      <c r="G96" s="30" t="inlineStr">
        <is>
          <t>N/A</t>
        </is>
      </c>
      <c r="H96" s="30" t="inlineStr">
        <is>
          <t>N/A</t>
        </is>
      </c>
      <c r="I96" s="30" t="inlineStr">
        <is>
          <t>N/A</t>
        </is>
      </c>
      <c r="J96" s="30" t="inlineStr">
        <is>
          <t>N/A</t>
        </is>
      </c>
      <c r="K96" s="30" t="inlineStr">
        <is>
          <t>N/A</t>
        </is>
      </c>
      <c r="L96" s="30" t="inlineStr">
        <is>
          <t>N/A</t>
        </is>
      </c>
      <c r="M96" s="30">
        <f>COUNTIFS('Datos - Temas'!$V$5:$V$1264,M$4,'Datos - Temas'!$K$5:$K$1264,$A96)+COUNTIFS('Datos - Temas'!$V$5:$V$1264,M$4,'Datos - Temas'!$L$5:$L$1264,$A96)</f>
        <v/>
      </c>
      <c r="N96" s="30">
        <f>COUNTIFS('Datos - Temas'!$V$5:$V$1264,N$4,'Datos - Temas'!$K$5:$K$1264,$A96)+COUNTIFS('Datos - Temas'!$V$5:$V$1264,N$4,'Datos - Temas'!$L$5:$L$1264,$A96)</f>
        <v/>
      </c>
      <c r="O96" s="30">
        <f>IF($B96="T4_27",SUM(F96:H96),IF($B96="T8_27",SUM(I96:L96),SUM(M96:N96)))</f>
        <v/>
      </c>
      <c r="P96" s="30">
        <f>COUNTIFS('Datos - Temas'!$K$5:$K$1264,$A96)</f>
        <v/>
      </c>
      <c r="Q96" s="30">
        <f>IF(O96&gt;0,"Sí","No")</f>
        <v/>
      </c>
      <c r="R96" s="30">
        <f>IF(O96=0,"No cubierto",IF(O96=1,"Débil (1 tema)",IF(O96&lt;=3,"Básica (2–3)","Sólida (4+)")))</f>
        <v/>
      </c>
      <c r="S96" s="30">
        <f>IFERROR(INDEX($M$4:$N$4,MATCH(TRUE,INDEX(M96:N96&gt;0,0),0)),"—")</f>
        <v/>
      </c>
      <c r="T96" s="30" t="inlineStr">
        <is>
          <t>Hoy: Física 11° U13 (2); Física 11° U9 (13)</t>
        </is>
      </c>
    </row>
    <row r="97">
      <c r="A97" s="30" t="inlineStr">
        <is>
          <t>TA-E2.1</t>
        </is>
      </c>
      <c r="B97" s="30" t="inlineStr">
        <is>
          <t>TA</t>
        </is>
      </c>
      <c r="C97" s="30" t="inlineStr">
        <is>
          <t>Electricidad y magnetismo</t>
        </is>
      </c>
      <c r="D97" s="30" t="inlineStr">
        <is>
          <t>Magnetismo e inducción electromagnética</t>
        </is>
      </c>
      <c r="E97" s="30" t="inlineStr">
        <is>
          <t>Fuerza y trayectoria de cargas en campos magnéticos</t>
        </is>
      </c>
      <c r="F97" s="30" t="inlineStr">
        <is>
          <t>N/A</t>
        </is>
      </c>
      <c r="G97" s="30" t="inlineStr">
        <is>
          <t>N/A</t>
        </is>
      </c>
      <c r="H97" s="30" t="inlineStr">
        <is>
          <t>N/A</t>
        </is>
      </c>
      <c r="I97" s="30" t="inlineStr">
        <is>
          <t>N/A</t>
        </is>
      </c>
      <c r="J97" s="30" t="inlineStr">
        <is>
          <t>N/A</t>
        </is>
      </c>
      <c r="K97" s="30" t="inlineStr">
        <is>
          <t>N/A</t>
        </is>
      </c>
      <c r="L97" s="30" t="inlineStr">
        <is>
          <t>N/A</t>
        </is>
      </c>
      <c r="M97" s="30">
        <f>COUNTIFS('Datos - Temas'!$V$5:$V$1264,M$4,'Datos - Temas'!$K$5:$K$1264,$A97)+COUNTIFS('Datos - Temas'!$V$5:$V$1264,M$4,'Datos - Temas'!$L$5:$L$1264,$A97)</f>
        <v/>
      </c>
      <c r="N97" s="30">
        <f>COUNTIFS('Datos - Temas'!$V$5:$V$1264,N$4,'Datos - Temas'!$K$5:$K$1264,$A97)+COUNTIFS('Datos - Temas'!$V$5:$V$1264,N$4,'Datos - Temas'!$L$5:$L$1264,$A97)</f>
        <v/>
      </c>
      <c r="O97" s="30">
        <f>IF($B97="T4_27",SUM(F97:H97),IF($B97="T8_27",SUM(I97:L97),SUM(M97:N97)))</f>
        <v/>
      </c>
      <c r="P97" s="30">
        <f>COUNTIFS('Datos - Temas'!$K$5:$K$1264,$A97)</f>
        <v/>
      </c>
      <c r="Q97" s="30">
        <f>IF(O97&gt;0,"Sí","No")</f>
        <v/>
      </c>
      <c r="R97" s="30">
        <f>IF(O97=0,"No cubierto",IF(O97=1,"Débil (1 tema)",IF(O97&lt;=3,"Básica (2–3)","Sólida (4+)")))</f>
        <v/>
      </c>
      <c r="S97" s="30">
        <f>IFERROR(INDEX($M$4:$N$4,MATCH(TRUE,INDEX(M97:N97&gt;0,0),0)),"—")</f>
        <v/>
      </c>
      <c r="T97" s="30" t="inlineStr">
        <is>
          <t>Hoy: Física 11° U10 (5); Física 11° U12 (1)</t>
        </is>
      </c>
    </row>
    <row r="98">
      <c r="A98" s="30" t="inlineStr">
        <is>
          <t>TA-E2.2</t>
        </is>
      </c>
      <c r="B98" s="30" t="inlineStr">
        <is>
          <t>TA</t>
        </is>
      </c>
      <c r="C98" s="30" t="inlineStr">
        <is>
          <t>Electricidad y magnetismo</t>
        </is>
      </c>
      <c r="D98" s="30" t="inlineStr">
        <is>
          <t>Magnetismo e inducción electromagnética</t>
        </is>
      </c>
      <c r="E98" s="30" t="inlineStr">
        <is>
          <t>Relación electricidad-magnetismo; ley de Ampère; electroimanes</t>
        </is>
      </c>
      <c r="F98" s="30" t="inlineStr">
        <is>
          <t>N/A</t>
        </is>
      </c>
      <c r="G98" s="30" t="inlineStr">
        <is>
          <t>N/A</t>
        </is>
      </c>
      <c r="H98" s="30" t="inlineStr">
        <is>
          <t>N/A</t>
        </is>
      </c>
      <c r="I98" s="30" t="inlineStr">
        <is>
          <t>N/A</t>
        </is>
      </c>
      <c r="J98" s="30" t="inlineStr">
        <is>
          <t>N/A</t>
        </is>
      </c>
      <c r="K98" s="30" t="inlineStr">
        <is>
          <t>N/A</t>
        </is>
      </c>
      <c r="L98" s="30" t="inlineStr">
        <is>
          <t>N/A</t>
        </is>
      </c>
      <c r="M98" s="30">
        <f>COUNTIFS('Datos - Temas'!$V$5:$V$1264,M$4,'Datos - Temas'!$K$5:$K$1264,$A98)+COUNTIFS('Datos - Temas'!$V$5:$V$1264,M$4,'Datos - Temas'!$L$5:$L$1264,$A98)</f>
        <v/>
      </c>
      <c r="N98" s="30">
        <f>COUNTIFS('Datos - Temas'!$V$5:$V$1264,N$4,'Datos - Temas'!$K$5:$K$1264,$A98)+COUNTIFS('Datos - Temas'!$V$5:$V$1264,N$4,'Datos - Temas'!$L$5:$L$1264,$A98)</f>
        <v/>
      </c>
      <c r="O98" s="30">
        <f>IF($B98="T4_27",SUM(F98:H98),IF($B98="T8_27",SUM(I98:L98),SUM(M98:N98)))</f>
        <v/>
      </c>
      <c r="P98" s="30">
        <f>COUNTIFS('Datos - Temas'!$K$5:$K$1264,$A98)</f>
        <v/>
      </c>
      <c r="Q98" s="30">
        <f>IF(O98&gt;0,"Sí","No")</f>
        <v/>
      </c>
      <c r="R98" s="30">
        <f>IF(O98=0,"No cubierto",IF(O98=1,"Débil (1 tema)",IF(O98&lt;=3,"Básica (2–3)","Sólida (4+)")))</f>
        <v/>
      </c>
      <c r="S98" s="30">
        <f>IFERROR(INDEX($M$4:$N$4,MATCH(TRUE,INDEX(M98:N98&gt;0,0),0)),"—")</f>
        <v/>
      </c>
      <c r="T98" s="30" t="inlineStr">
        <is>
          <t>Hoy: Física 11° U10 (2); Física 11° U11 (4); Física 11° U12 (1)</t>
        </is>
      </c>
    </row>
    <row r="99">
      <c r="A99" s="30" t="inlineStr">
        <is>
          <t>TA-E2.3</t>
        </is>
      </c>
      <c r="B99" s="30" t="inlineStr">
        <is>
          <t>TA</t>
        </is>
      </c>
      <c r="C99" s="30" t="inlineStr">
        <is>
          <t>Electricidad y magnetismo</t>
        </is>
      </c>
      <c r="D99" s="30" t="inlineStr">
        <is>
          <t>Magnetismo e inducción electromagnética</t>
        </is>
      </c>
      <c r="E99" s="30" t="inlineStr">
        <is>
          <t>Inducción: leyes de Faraday y Lenz</t>
        </is>
      </c>
      <c r="F99" s="30" t="inlineStr">
        <is>
          <t>N/A</t>
        </is>
      </c>
      <c r="G99" s="30" t="inlineStr">
        <is>
          <t>N/A</t>
        </is>
      </c>
      <c r="H99" s="30" t="inlineStr">
        <is>
          <t>N/A</t>
        </is>
      </c>
      <c r="I99" s="30" t="inlineStr">
        <is>
          <t>N/A</t>
        </is>
      </c>
      <c r="J99" s="30" t="inlineStr">
        <is>
          <t>N/A</t>
        </is>
      </c>
      <c r="K99" s="30" t="inlineStr">
        <is>
          <t>N/A</t>
        </is>
      </c>
      <c r="L99" s="30" t="inlineStr">
        <is>
          <t>N/A</t>
        </is>
      </c>
      <c r="M99" s="30">
        <f>COUNTIFS('Datos - Temas'!$V$5:$V$1264,M$4,'Datos - Temas'!$K$5:$K$1264,$A99)+COUNTIFS('Datos - Temas'!$V$5:$V$1264,M$4,'Datos - Temas'!$L$5:$L$1264,$A99)</f>
        <v/>
      </c>
      <c r="N99" s="30">
        <f>COUNTIFS('Datos - Temas'!$V$5:$V$1264,N$4,'Datos - Temas'!$K$5:$K$1264,$A99)+COUNTIFS('Datos - Temas'!$V$5:$V$1264,N$4,'Datos - Temas'!$L$5:$L$1264,$A99)</f>
        <v/>
      </c>
      <c r="O99" s="30">
        <f>IF($B99="T4_27",SUM(F99:H99),IF($B99="T8_27",SUM(I99:L99),SUM(M99:N99)))</f>
        <v/>
      </c>
      <c r="P99" s="30">
        <f>COUNTIFS('Datos - Temas'!$K$5:$K$1264,$A99)</f>
        <v/>
      </c>
      <c r="Q99" s="30">
        <f>IF(O99&gt;0,"Sí","No")</f>
        <v/>
      </c>
      <c r="R99" s="30">
        <f>IF(O99=0,"No cubierto",IF(O99=1,"Débil (1 tema)",IF(O99&lt;=3,"Básica (2–3)","Sólida (4+)")))</f>
        <v/>
      </c>
      <c r="S99" s="30">
        <f>IFERROR(INDEX($M$4:$N$4,MATCH(TRUE,INDEX(M99:N99&gt;0,0),0)),"—")</f>
        <v/>
      </c>
      <c r="T99" s="30" t="inlineStr">
        <is>
          <t>Hoy: Física 11° U12 (2); Física 11° U13 (3)</t>
        </is>
      </c>
    </row>
    <row r="100">
      <c r="A100" s="30" t="inlineStr">
        <is>
          <t>TA-O1.1</t>
        </is>
      </c>
      <c r="B100" s="30" t="inlineStr">
        <is>
          <t>TA</t>
        </is>
      </c>
      <c r="C100" s="30" t="inlineStr">
        <is>
          <t>Ondas y física atómica/nuclear</t>
        </is>
      </c>
      <c r="D100" s="30" t="inlineStr">
        <is>
          <t>Fenómenos ondulatorios</t>
        </is>
      </c>
      <c r="E100" s="30" t="inlineStr">
        <is>
          <t>Ondas mecánicas: rapidez, frecuencia, longitud de onda</t>
        </is>
      </c>
      <c r="F100" s="30" t="inlineStr">
        <is>
          <t>N/A</t>
        </is>
      </c>
      <c r="G100" s="30" t="inlineStr">
        <is>
          <t>N/A</t>
        </is>
      </c>
      <c r="H100" s="30" t="inlineStr">
        <is>
          <t>N/A</t>
        </is>
      </c>
      <c r="I100" s="30" t="inlineStr">
        <is>
          <t>N/A</t>
        </is>
      </c>
      <c r="J100" s="30" t="inlineStr">
        <is>
          <t>N/A</t>
        </is>
      </c>
      <c r="K100" s="30" t="inlineStr">
        <is>
          <t>N/A</t>
        </is>
      </c>
      <c r="L100" s="30" t="inlineStr">
        <is>
          <t>N/A</t>
        </is>
      </c>
      <c r="M100" s="30">
        <f>COUNTIFS('Datos - Temas'!$V$5:$V$1264,M$4,'Datos - Temas'!$K$5:$K$1264,$A100)+COUNTIFS('Datos - Temas'!$V$5:$V$1264,M$4,'Datos - Temas'!$L$5:$L$1264,$A100)</f>
        <v/>
      </c>
      <c r="N100" s="30">
        <f>COUNTIFS('Datos - Temas'!$V$5:$V$1264,N$4,'Datos - Temas'!$K$5:$K$1264,$A100)+COUNTIFS('Datos - Temas'!$V$5:$V$1264,N$4,'Datos - Temas'!$L$5:$L$1264,$A100)</f>
        <v/>
      </c>
      <c r="O100" s="30">
        <f>IF($B100="T4_27",SUM(F100:H100),IF($B100="T8_27",SUM(I100:L100),SUM(M100:N100)))</f>
        <v/>
      </c>
      <c r="P100" s="30">
        <f>COUNTIFS('Datos - Temas'!$K$5:$K$1264,$A100)</f>
        <v/>
      </c>
      <c r="Q100" s="30">
        <f>IF(O100&gt;0,"Sí","No")</f>
        <v/>
      </c>
      <c r="R100" s="30">
        <f>IF(O100=0,"No cubierto",IF(O100=1,"Débil (1 tema)",IF(O100&lt;=3,"Básica (2–3)","Sólida (4+)")))</f>
        <v/>
      </c>
      <c r="S100" s="30">
        <f>IFERROR(INDEX($M$4:$N$4,MATCH(TRUE,INDEX(M100:N100&gt;0,0),0)),"—")</f>
        <v/>
      </c>
      <c r="T100" s="30" t="inlineStr">
        <is>
          <t>Hoy: Física 11° U3 (4); Física 11° U4 (7); Física 11° U5 (4)</t>
        </is>
      </c>
    </row>
    <row r="101">
      <c r="A101" s="30" t="inlineStr">
        <is>
          <t>TA-O1.2</t>
        </is>
      </c>
      <c r="B101" s="30" t="inlineStr">
        <is>
          <t>TA</t>
        </is>
      </c>
      <c r="C101" s="30" t="inlineStr">
        <is>
          <t>Ondas y física atómica/nuclear</t>
        </is>
      </c>
      <c r="D101" s="30" t="inlineStr">
        <is>
          <t>Fenómenos ondulatorios</t>
        </is>
      </c>
      <c r="E101" s="30" t="inlineStr">
        <is>
          <t>Radiación electromagnética y espectro</t>
        </is>
      </c>
      <c r="F101" s="30" t="inlineStr">
        <is>
          <t>N/A</t>
        </is>
      </c>
      <c r="G101" s="30" t="inlineStr">
        <is>
          <t>N/A</t>
        </is>
      </c>
      <c r="H101" s="30" t="inlineStr">
        <is>
          <t>N/A</t>
        </is>
      </c>
      <c r="I101" s="30" t="inlineStr">
        <is>
          <t>N/A</t>
        </is>
      </c>
      <c r="J101" s="30" t="inlineStr">
        <is>
          <t>N/A</t>
        </is>
      </c>
      <c r="K101" s="30" t="inlineStr">
        <is>
          <t>N/A</t>
        </is>
      </c>
      <c r="L101" s="30" t="inlineStr">
        <is>
          <t>N/A</t>
        </is>
      </c>
      <c r="M101" s="30">
        <f>COUNTIFS('Datos - Temas'!$V$5:$V$1264,M$4,'Datos - Temas'!$K$5:$K$1264,$A101)+COUNTIFS('Datos - Temas'!$V$5:$V$1264,M$4,'Datos - Temas'!$L$5:$L$1264,$A101)</f>
        <v/>
      </c>
      <c r="N101" s="30">
        <f>COUNTIFS('Datos - Temas'!$V$5:$V$1264,N$4,'Datos - Temas'!$K$5:$K$1264,$A101)+COUNTIFS('Datos - Temas'!$V$5:$V$1264,N$4,'Datos - Temas'!$L$5:$L$1264,$A101)</f>
        <v/>
      </c>
      <c r="O101" s="30">
        <f>IF($B101="T4_27",SUM(F101:H101),IF($B101="T8_27",SUM(I101:L101),SUM(M101:N101)))</f>
        <v/>
      </c>
      <c r="P101" s="30">
        <f>COUNTIFS('Datos - Temas'!$K$5:$K$1264,$A101)</f>
        <v/>
      </c>
      <c r="Q101" s="30">
        <f>IF(O101&gt;0,"Sí","No")</f>
        <v/>
      </c>
      <c r="R101" s="30">
        <f>IF(O101=0,"No cubierto",IF(O101=1,"Débil (1 tema)",IF(O101&lt;=3,"Básica (2–3)","Sólida (4+)")))</f>
        <v/>
      </c>
      <c r="S101" s="30">
        <f>IFERROR(INDEX($M$4:$N$4,MATCH(TRUE,INDEX(M101:N101&gt;0,0),0)),"—")</f>
        <v/>
      </c>
      <c r="T101" s="30" t="inlineStr">
        <is>
          <t>Hoy: Física 10° U16 (2); Física 11° U12 (5); Física 11° U14 (3); Física 11° U15 (1); Física 11° U17 (1); Física 11° U23 (1)</t>
        </is>
      </c>
    </row>
    <row r="102">
      <c r="A102" s="30" t="inlineStr">
        <is>
          <t>TA-O1.3</t>
        </is>
      </c>
      <c r="B102" s="30" t="inlineStr">
        <is>
          <t>TA</t>
        </is>
      </c>
      <c r="C102" s="30" t="inlineStr">
        <is>
          <t>Ondas y física atómica/nuclear</t>
        </is>
      </c>
      <c r="D102" s="30" t="inlineStr">
        <is>
          <t>Fenómenos ondulatorios</t>
        </is>
      </c>
      <c r="E102" s="30" t="inlineStr">
        <is>
          <t>Radiación térmica según temperatura y longitud de onda</t>
        </is>
      </c>
      <c r="F102" s="30" t="inlineStr">
        <is>
          <t>N/A</t>
        </is>
      </c>
      <c r="G102" s="30" t="inlineStr">
        <is>
          <t>N/A</t>
        </is>
      </c>
      <c r="H102" s="30" t="inlineStr">
        <is>
          <t>N/A</t>
        </is>
      </c>
      <c r="I102" s="30" t="inlineStr">
        <is>
          <t>N/A</t>
        </is>
      </c>
      <c r="J102" s="30" t="inlineStr">
        <is>
          <t>N/A</t>
        </is>
      </c>
      <c r="K102" s="30" t="inlineStr">
        <is>
          <t>N/A</t>
        </is>
      </c>
      <c r="L102" s="30" t="inlineStr">
        <is>
          <t>N/A</t>
        </is>
      </c>
      <c r="M102" s="30">
        <f>COUNTIFS('Datos - Temas'!$V$5:$V$1264,M$4,'Datos - Temas'!$K$5:$K$1264,$A102)+COUNTIFS('Datos - Temas'!$V$5:$V$1264,M$4,'Datos - Temas'!$L$5:$L$1264,$A102)</f>
        <v/>
      </c>
      <c r="N102" s="30">
        <f>COUNTIFS('Datos - Temas'!$V$5:$V$1264,N$4,'Datos - Temas'!$K$5:$K$1264,$A102)+COUNTIFS('Datos - Temas'!$V$5:$V$1264,N$4,'Datos - Temas'!$L$5:$L$1264,$A102)</f>
        <v/>
      </c>
      <c r="O102" s="30">
        <f>IF($B102="T4_27",SUM(F102:H102),IF($B102="T8_27",SUM(I102:L102),SUM(M102:N102)))</f>
        <v/>
      </c>
      <c r="P102" s="30">
        <f>COUNTIFS('Datos - Temas'!$K$5:$K$1264,$A102)</f>
        <v/>
      </c>
      <c r="Q102" s="30">
        <f>IF(O102&gt;0,"Sí","No")</f>
        <v/>
      </c>
      <c r="R102" s="30">
        <f>IF(O102=0,"No cubierto",IF(O102=1,"Débil (1 tema)",IF(O102&lt;=3,"Básica (2–3)","Sólida (4+)")))</f>
        <v/>
      </c>
      <c r="S102" s="30">
        <f>IFERROR(INDEX($M$4:$N$4,MATCH(TRUE,INDEX(M102:N102&gt;0,0),0)),"—")</f>
        <v/>
      </c>
      <c r="T102" s="30" t="inlineStr">
        <is>
          <t>Hoy: Física 10° U13 (1); Física 11° U15 (1); Física 11° U22 (1)</t>
        </is>
      </c>
    </row>
    <row r="103">
      <c r="A103" s="30" t="inlineStr">
        <is>
          <t>TA-O1.4</t>
        </is>
      </c>
      <c r="B103" s="30" t="inlineStr">
        <is>
          <t>TA</t>
        </is>
      </c>
      <c r="C103" s="30" t="inlineStr">
        <is>
          <t>Ondas y física atómica/nuclear</t>
        </is>
      </c>
      <c r="D103" s="30" t="inlineStr">
        <is>
          <t>Fenómenos ondulatorios</t>
        </is>
      </c>
      <c r="E103" s="30" t="inlineStr">
        <is>
          <t>Reflexión, refracción, interferencia y difracción</t>
        </is>
      </c>
      <c r="F103" s="30" t="inlineStr">
        <is>
          <t>N/A</t>
        </is>
      </c>
      <c r="G103" s="30" t="inlineStr">
        <is>
          <t>N/A</t>
        </is>
      </c>
      <c r="H103" s="30" t="inlineStr">
        <is>
          <t>N/A</t>
        </is>
      </c>
      <c r="I103" s="30" t="inlineStr">
        <is>
          <t>N/A</t>
        </is>
      </c>
      <c r="J103" s="30" t="inlineStr">
        <is>
          <t>N/A</t>
        </is>
      </c>
      <c r="K103" s="30" t="inlineStr">
        <is>
          <t>N/A</t>
        </is>
      </c>
      <c r="L103" s="30" t="inlineStr">
        <is>
          <t>N/A</t>
        </is>
      </c>
      <c r="M103" s="30">
        <f>COUNTIFS('Datos - Temas'!$V$5:$V$1264,M$4,'Datos - Temas'!$K$5:$K$1264,$A103)+COUNTIFS('Datos - Temas'!$V$5:$V$1264,M$4,'Datos - Temas'!$L$5:$L$1264,$A103)</f>
        <v/>
      </c>
      <c r="N103" s="30">
        <f>COUNTIFS('Datos - Temas'!$V$5:$V$1264,N$4,'Datos - Temas'!$K$5:$K$1264,$A103)+COUNTIFS('Datos - Temas'!$V$5:$V$1264,N$4,'Datos - Temas'!$L$5:$L$1264,$A103)</f>
        <v/>
      </c>
      <c r="O103" s="30">
        <f>IF($B103="T4_27",SUM(F103:H103),IF($B103="T8_27",SUM(I103:L103),SUM(M103:N103)))</f>
        <v/>
      </c>
      <c r="P103" s="30">
        <f>COUNTIFS('Datos - Temas'!$K$5:$K$1264,$A103)</f>
        <v/>
      </c>
      <c r="Q103" s="30">
        <f>IF(O103&gt;0,"Sí","No")</f>
        <v/>
      </c>
      <c r="R103" s="30">
        <f>IF(O103=0,"No cubierto",IF(O103=1,"Débil (1 tema)",IF(O103&lt;=3,"Básica (2–3)","Sólida (4+)")))</f>
        <v/>
      </c>
      <c r="S103" s="30">
        <f>IFERROR(INDEX($M$4:$N$4,MATCH(TRUE,INDEX(M103:N103&gt;0,0),0)),"—")</f>
        <v/>
      </c>
      <c r="T103" s="30" t="inlineStr">
        <is>
          <t>Hoy: Física 10° U16 (12); Física 11° U15 (1); Física 11° U16 (5); Física 11° U17 (10); Física 11° U18 (7); Física 11° U22 (1); Física 11° U4 (1); Física 11° U5 (6)</t>
        </is>
      </c>
    </row>
    <row r="104">
      <c r="A104" s="30" t="inlineStr">
        <is>
          <t>TA-O2.1</t>
        </is>
      </c>
      <c r="B104" s="30" t="inlineStr">
        <is>
          <t>TA</t>
        </is>
      </c>
      <c r="C104" s="30" t="inlineStr">
        <is>
          <t>Ondas y física atómica/nuclear</t>
        </is>
      </c>
      <c r="D104" s="30" t="inlineStr">
        <is>
          <t>Física atómica y nuclear</t>
        </is>
      </c>
      <c r="E104" s="30" t="inlineStr">
        <is>
          <t>Estructura atómica y espectros de emisión/absorción</t>
        </is>
      </c>
      <c r="F104" s="30" t="inlineStr">
        <is>
          <t>N/A</t>
        </is>
      </c>
      <c r="G104" s="30" t="inlineStr">
        <is>
          <t>N/A</t>
        </is>
      </c>
      <c r="H104" s="30" t="inlineStr">
        <is>
          <t>N/A</t>
        </is>
      </c>
      <c r="I104" s="30" t="inlineStr">
        <is>
          <t>N/A</t>
        </is>
      </c>
      <c r="J104" s="30" t="inlineStr">
        <is>
          <t>N/A</t>
        </is>
      </c>
      <c r="K104" s="30" t="inlineStr">
        <is>
          <t>N/A</t>
        </is>
      </c>
      <c r="L104" s="30" t="inlineStr">
        <is>
          <t>N/A</t>
        </is>
      </c>
      <c r="M104" s="30">
        <f>COUNTIFS('Datos - Temas'!$V$5:$V$1264,M$4,'Datos - Temas'!$K$5:$K$1264,$A104)+COUNTIFS('Datos - Temas'!$V$5:$V$1264,M$4,'Datos - Temas'!$L$5:$L$1264,$A104)</f>
        <v/>
      </c>
      <c r="N104" s="30">
        <f>COUNTIFS('Datos - Temas'!$V$5:$V$1264,N$4,'Datos - Temas'!$K$5:$K$1264,$A104)+COUNTIFS('Datos - Temas'!$V$5:$V$1264,N$4,'Datos - Temas'!$L$5:$L$1264,$A104)</f>
        <v/>
      </c>
      <c r="O104" s="30">
        <f>IF($B104="T4_27",SUM(F104:H104),IF($B104="T8_27",SUM(I104:L104),SUM(M104:N104)))</f>
        <v/>
      </c>
      <c r="P104" s="30">
        <f>COUNTIFS('Datos - Temas'!$K$5:$K$1264,$A104)</f>
        <v/>
      </c>
      <c r="Q104" s="30">
        <f>IF(O104&gt;0,"Sí","No")</f>
        <v/>
      </c>
      <c r="R104" s="30">
        <f>IF(O104=0,"No cubierto",IF(O104=1,"Débil (1 tema)",IF(O104&lt;=3,"Básica (2–3)","Sólida (4+)")))</f>
        <v/>
      </c>
      <c r="S104" s="30">
        <f>IFERROR(INDEX($M$4:$N$4,MATCH(TRUE,INDEX(M104:N104&gt;0,0),0)),"—")</f>
        <v/>
      </c>
      <c r="T104" s="30" t="inlineStr">
        <is>
          <t>Hoy: Física 11° U20 (2); Física 11° U6 (1)</t>
        </is>
      </c>
    </row>
    <row r="105">
      <c r="A105" s="30" t="inlineStr">
        <is>
          <t>TA-O2.2</t>
        </is>
      </c>
      <c r="B105" s="30" t="inlineStr">
        <is>
          <t>TA</t>
        </is>
      </c>
      <c r="C105" s="30" t="inlineStr">
        <is>
          <t>Ondas y física atómica/nuclear</t>
        </is>
      </c>
      <c r="D105" s="30" t="inlineStr">
        <is>
          <t>Física atómica y nuclear</t>
        </is>
      </c>
      <c r="E105" s="30" t="inlineStr">
        <is>
          <t>Dualidad onda-partícula; efecto fotoeléctrico</t>
        </is>
      </c>
      <c r="F105" s="30" t="inlineStr">
        <is>
          <t>N/A</t>
        </is>
      </c>
      <c r="G105" s="30" t="inlineStr">
        <is>
          <t>N/A</t>
        </is>
      </c>
      <c r="H105" s="30" t="inlineStr">
        <is>
          <t>N/A</t>
        </is>
      </c>
      <c r="I105" s="30" t="inlineStr">
        <is>
          <t>N/A</t>
        </is>
      </c>
      <c r="J105" s="30" t="inlineStr">
        <is>
          <t>N/A</t>
        </is>
      </c>
      <c r="K105" s="30" t="inlineStr">
        <is>
          <t>N/A</t>
        </is>
      </c>
      <c r="L105" s="30" t="inlineStr">
        <is>
          <t>N/A</t>
        </is>
      </c>
      <c r="M105" s="30">
        <f>COUNTIFS('Datos - Temas'!$V$5:$V$1264,M$4,'Datos - Temas'!$K$5:$K$1264,$A105)+COUNTIFS('Datos - Temas'!$V$5:$V$1264,M$4,'Datos - Temas'!$L$5:$L$1264,$A105)</f>
        <v/>
      </c>
      <c r="N105" s="30">
        <f>COUNTIFS('Datos - Temas'!$V$5:$V$1264,N$4,'Datos - Temas'!$K$5:$K$1264,$A105)+COUNTIFS('Datos - Temas'!$V$5:$V$1264,N$4,'Datos - Temas'!$L$5:$L$1264,$A105)</f>
        <v/>
      </c>
      <c r="O105" s="30">
        <f>IF($B105="T4_27",SUM(F105:H105),IF($B105="T8_27",SUM(I105:L105),SUM(M105:N105)))</f>
        <v/>
      </c>
      <c r="P105" s="30">
        <f>COUNTIFS('Datos - Temas'!$K$5:$K$1264,$A105)</f>
        <v/>
      </c>
      <c r="Q105" s="30">
        <f>IF(O105&gt;0,"Sí","No")</f>
        <v/>
      </c>
      <c r="R105" s="30">
        <f>IF(O105=0,"No cubierto",IF(O105=1,"Débil (1 tema)",IF(O105&lt;=3,"Básica (2–3)","Sólida (4+)")))</f>
        <v/>
      </c>
      <c r="S105" s="30">
        <f>IFERROR(INDEX($M$4:$N$4,MATCH(TRUE,INDEX(M105:N105&gt;0,0),0)),"—")</f>
        <v/>
      </c>
      <c r="T105" s="30" t="inlineStr">
        <is>
          <t>Hoy: Física 11° U15 (6)</t>
        </is>
      </c>
    </row>
    <row r="106">
      <c r="A106" s="30" t="inlineStr">
        <is>
          <t>TA-O2.3</t>
        </is>
      </c>
      <c r="B106" s="30" t="inlineStr">
        <is>
          <t>TA</t>
        </is>
      </c>
      <c r="C106" s="30" t="inlineStr">
        <is>
          <t>Ondas y física atómica/nuclear</t>
        </is>
      </c>
      <c r="D106" s="30" t="inlineStr">
        <is>
          <t>Física atómica y nuclear</t>
        </is>
      </c>
      <c r="E106" s="30" t="inlineStr">
        <is>
          <t>Reacciones nucleares y decaimiento radiactivo</t>
        </is>
      </c>
      <c r="F106" s="30" t="inlineStr">
        <is>
          <t>N/A</t>
        </is>
      </c>
      <c r="G106" s="30" t="inlineStr">
        <is>
          <t>N/A</t>
        </is>
      </c>
      <c r="H106" s="30" t="inlineStr">
        <is>
          <t>N/A</t>
        </is>
      </c>
      <c r="I106" s="30" t="inlineStr">
        <is>
          <t>N/A</t>
        </is>
      </c>
      <c r="J106" s="30" t="inlineStr">
        <is>
          <t>N/A</t>
        </is>
      </c>
      <c r="K106" s="30" t="inlineStr">
        <is>
          <t>N/A</t>
        </is>
      </c>
      <c r="L106" s="30" t="inlineStr">
        <is>
          <t>N/A</t>
        </is>
      </c>
      <c r="M106" s="30">
        <f>COUNTIFS('Datos - Temas'!$V$5:$V$1264,M$4,'Datos - Temas'!$K$5:$K$1264,$A106)+COUNTIFS('Datos - Temas'!$V$5:$V$1264,M$4,'Datos - Temas'!$L$5:$L$1264,$A106)</f>
        <v/>
      </c>
      <c r="N106" s="30">
        <f>COUNTIFS('Datos - Temas'!$V$5:$V$1264,N$4,'Datos - Temas'!$K$5:$K$1264,$A106)+COUNTIFS('Datos - Temas'!$V$5:$V$1264,N$4,'Datos - Temas'!$L$5:$L$1264,$A106)</f>
        <v/>
      </c>
      <c r="O106" s="30">
        <f>IF($B106="T4_27",SUM(F106:H106),IF($B106="T8_27",SUM(I106:L106),SUM(M106:N106)))</f>
        <v/>
      </c>
      <c r="P106" s="30">
        <f>COUNTIFS('Datos - Temas'!$K$5:$K$1264,$A106)</f>
        <v/>
      </c>
      <c r="Q106" s="30">
        <f>IF(O106&gt;0,"Sí","No")</f>
        <v/>
      </c>
      <c r="R106" s="30">
        <f>IF(O106=0,"No cubierto",IF(O106=1,"Débil (1 tema)",IF(O106&lt;=3,"Básica (2–3)","Sólida (4+)")))</f>
        <v/>
      </c>
      <c r="S106" s="30">
        <f>IFERROR(INDEX($M$4:$N$4,MATCH(TRUE,INDEX(M106:N106&gt;0,0),0)),"—")</f>
        <v/>
      </c>
      <c r="T106" s="30" t="inlineStr">
        <is>
          <t>Hoy: Física 11° U20 (3); Física 11° U21 (4); Física 11° U23 (6)</t>
        </is>
      </c>
    </row>
    <row r="107">
      <c r="A107" s="30" t="inlineStr">
        <is>
          <t>TA-O2.4</t>
        </is>
      </c>
      <c r="B107" s="30" t="inlineStr">
        <is>
          <t>TA</t>
        </is>
      </c>
      <c r="C107" s="30" t="inlineStr">
        <is>
          <t>Ondas y física atómica/nuclear</t>
        </is>
      </c>
      <c r="D107" s="30" t="inlineStr">
        <is>
          <t>Física atómica y nuclear</t>
        </is>
      </c>
      <c r="E107" s="30" t="inlineStr">
        <is>
          <t>Equivalencia masa-energía</t>
        </is>
      </c>
      <c r="F107" s="30" t="inlineStr">
        <is>
          <t>N/A</t>
        </is>
      </c>
      <c r="G107" s="30" t="inlineStr">
        <is>
          <t>N/A</t>
        </is>
      </c>
      <c r="H107" s="30" t="inlineStr">
        <is>
          <t>N/A</t>
        </is>
      </c>
      <c r="I107" s="30" t="inlineStr">
        <is>
          <t>N/A</t>
        </is>
      </c>
      <c r="J107" s="30" t="inlineStr">
        <is>
          <t>N/A</t>
        </is>
      </c>
      <c r="K107" s="30" t="inlineStr">
        <is>
          <t>N/A</t>
        </is>
      </c>
      <c r="L107" s="30" t="inlineStr">
        <is>
          <t>N/A</t>
        </is>
      </c>
      <c r="M107" s="30">
        <f>COUNTIFS('Datos - Temas'!$V$5:$V$1264,M$4,'Datos - Temas'!$K$5:$K$1264,$A107)+COUNTIFS('Datos - Temas'!$V$5:$V$1264,M$4,'Datos - Temas'!$L$5:$L$1264,$A107)</f>
        <v/>
      </c>
      <c r="N107" s="30">
        <f>COUNTIFS('Datos - Temas'!$V$5:$V$1264,N$4,'Datos - Temas'!$K$5:$K$1264,$A107)+COUNTIFS('Datos - Temas'!$V$5:$V$1264,N$4,'Datos - Temas'!$L$5:$L$1264,$A107)</f>
        <v/>
      </c>
      <c r="O107" s="30">
        <f>IF($B107="T4_27",SUM(F107:H107),IF($B107="T8_27",SUM(I107:L107),SUM(M107:N107)))</f>
        <v/>
      </c>
      <c r="P107" s="30">
        <f>COUNTIFS('Datos - Temas'!$K$5:$K$1264,$A107)</f>
        <v/>
      </c>
      <c r="Q107" s="30">
        <f>IF(O107&gt;0,"Sí","No")</f>
        <v/>
      </c>
      <c r="R107" s="30">
        <f>IF(O107=0,"No cubierto",IF(O107=1,"Débil (1 tema)",IF(O107&lt;=3,"Básica (2–3)","Sólida (4+)")))</f>
        <v/>
      </c>
      <c r="S107" s="30">
        <f>IFERROR(INDEX($M$4:$N$4,MATCH(TRUE,INDEX(M107:N107&gt;0,0),0)),"—")</f>
        <v/>
      </c>
      <c r="T107" s="30" t="inlineStr">
        <is>
          <t>Hoy: Física 11° U19 (1); Física 11° U20 (1); Física 11° U23 (2)</t>
        </is>
      </c>
    </row>
    <row r="108"/>
    <row r="109"/>
    <row r="110">
      <c r="A110" s="16" t="inlineStr">
        <is>
          <t>Resumen de amplitud por marco y dominio</t>
        </is>
      </c>
    </row>
    <row r="111">
      <c r="A111" s="10" t="inlineStr">
        <is>
          <t>Marco</t>
        </is>
      </c>
      <c r="B111" s="10" t="inlineStr">
        <is>
          <t>Dominio</t>
        </is>
      </c>
      <c r="C111" s="10" t="inlineStr">
        <is>
          <t>Objetivos en el marco</t>
        </is>
      </c>
      <c r="D111" s="10" t="inlineStr">
        <is>
          <t>Objetivos cubiertos</t>
        </is>
      </c>
      <c r="E111" s="10" t="inlineStr">
        <is>
          <t>% cubierto</t>
        </is>
      </c>
      <c r="F111" s="10" t="inlineStr">
        <is>
          <t>Objetivos no cubiertos</t>
        </is>
      </c>
      <c r="G111" s="10" t="inlineStr">
        <is>
          <t>Objetivos débiles (1 tema)</t>
        </is>
      </c>
    </row>
    <row r="112">
      <c r="A112" s="11" t="inlineStr">
        <is>
          <t>T4_27</t>
        </is>
      </c>
      <c r="B112" s="11" t="inlineStr">
        <is>
          <t>Biología</t>
        </is>
      </c>
      <c r="C112" s="11">
        <f>COUNTIFS($B$5:$B$107,$A112,$C$5:$C$107,$B112)</f>
        <v/>
      </c>
      <c r="D112" s="11">
        <f>COUNTIFS($B$5:$B$107,$A112,$C$5:$C$107,$B112,$Q$5:$Q$107,"Sí")</f>
        <v/>
      </c>
      <c r="E112" s="13">
        <f>IF(C112=0,0,D112/C112)</f>
        <v/>
      </c>
      <c r="F112" s="11">
        <f>C112-D112</f>
        <v/>
      </c>
      <c r="G112" s="11">
        <f>COUNTIFS($B$5:$B$107,$A112,$C$5:$C$107,$B112,$R$5:$R$107,"Débil (1 tema)")</f>
        <v/>
      </c>
    </row>
    <row r="113">
      <c r="A113" s="11" t="inlineStr">
        <is>
          <t>T4_27</t>
        </is>
      </c>
      <c r="B113" s="11" t="inlineStr">
        <is>
          <t>Ciencias físicas</t>
        </is>
      </c>
      <c r="C113" s="11">
        <f>COUNTIFS($B$5:$B$107,$A113,$C$5:$C$107,$B113)</f>
        <v/>
      </c>
      <c r="D113" s="11">
        <f>COUNTIFS($B$5:$B$107,$A113,$C$5:$C$107,$B113,$Q$5:$Q$107,"Sí")</f>
        <v/>
      </c>
      <c r="E113" s="13">
        <f>IF(C113=0,0,D113/C113)</f>
        <v/>
      </c>
      <c r="F113" s="11">
        <f>C113-D113</f>
        <v/>
      </c>
      <c r="G113" s="11">
        <f>COUNTIFS($B$5:$B$107,$A113,$C$5:$C$107,$B113,$R$5:$R$107,"Débil (1 tema)")</f>
        <v/>
      </c>
    </row>
    <row r="114">
      <c r="A114" s="11" t="inlineStr">
        <is>
          <t>T4_27</t>
        </is>
      </c>
      <c r="B114" s="11" t="inlineStr">
        <is>
          <t>Ciencias de la Tierra</t>
        </is>
      </c>
      <c r="C114" s="11">
        <f>COUNTIFS($B$5:$B$107,$A114,$C$5:$C$107,$B114)</f>
        <v/>
      </c>
      <c r="D114" s="11">
        <f>COUNTIFS($B$5:$B$107,$A114,$C$5:$C$107,$B114,$Q$5:$Q$107,"Sí")</f>
        <v/>
      </c>
      <c r="E114" s="13">
        <f>IF(C114=0,0,D114/C114)</f>
        <v/>
      </c>
      <c r="F114" s="11">
        <f>C114-D114</f>
        <v/>
      </c>
      <c r="G114" s="11">
        <f>COUNTIFS($B$5:$B$107,$A114,$C$5:$C$107,$B114,$R$5:$R$107,"Débil (1 tema)")</f>
        <v/>
      </c>
    </row>
    <row r="115">
      <c r="A115" s="23" t="inlineStr">
        <is>
          <t>T4_27</t>
        </is>
      </c>
      <c r="B115" s="23" t="inlineStr">
        <is>
          <t>(todos)</t>
        </is>
      </c>
      <c r="C115" s="23">
        <f>COUNTIFS($B$5:$B$107,$A115,$C$5:$C$107,"*")</f>
        <v/>
      </c>
      <c r="D115" s="23">
        <f>COUNTIFS($B$5:$B$107,$A115,$C$5:$C$107,"*",$Q$5:$Q$107,"Sí")</f>
        <v/>
      </c>
      <c r="E115" s="24">
        <f>IF(C115=0,0,D115/C115)</f>
        <v/>
      </c>
      <c r="F115" s="23">
        <f>C115-D115</f>
        <v/>
      </c>
      <c r="G115" s="23">
        <f>COUNTIFS($B$5:$B$107,$A115,$C$5:$C$107,"*",$R$5:$R$107,"Débil (1 tema)")</f>
        <v/>
      </c>
    </row>
    <row r="116">
      <c r="A116" s="11" t="inlineStr">
        <is>
          <t>T8_27</t>
        </is>
      </c>
      <c r="B116" s="11" t="inlineStr">
        <is>
          <t>Biología</t>
        </is>
      </c>
      <c r="C116" s="11">
        <f>COUNTIFS($B$5:$B$107,$A116,$C$5:$C$107,$B116)</f>
        <v/>
      </c>
      <c r="D116" s="11">
        <f>COUNTIFS($B$5:$B$107,$A116,$C$5:$C$107,$B116,$Q$5:$Q$107,"Sí")</f>
        <v/>
      </c>
      <c r="E116" s="13">
        <f>IF(C116=0,0,D116/C116)</f>
        <v/>
      </c>
      <c r="F116" s="11">
        <f>C116-D116</f>
        <v/>
      </c>
      <c r="G116" s="11">
        <f>COUNTIFS($B$5:$B$107,$A116,$C$5:$C$107,$B116,$R$5:$R$107,"Débil (1 tema)")</f>
        <v/>
      </c>
    </row>
    <row r="117">
      <c r="A117" s="11" t="inlineStr">
        <is>
          <t>T8_27</t>
        </is>
      </c>
      <c r="B117" s="11" t="inlineStr">
        <is>
          <t>Química</t>
        </is>
      </c>
      <c r="C117" s="11">
        <f>COUNTIFS($B$5:$B$107,$A117,$C$5:$C$107,$B117)</f>
        <v/>
      </c>
      <c r="D117" s="11">
        <f>COUNTIFS($B$5:$B$107,$A117,$C$5:$C$107,$B117,$Q$5:$Q$107,"Sí")</f>
        <v/>
      </c>
      <c r="E117" s="13">
        <f>IF(C117=0,0,D117/C117)</f>
        <v/>
      </c>
      <c r="F117" s="11">
        <f>C117-D117</f>
        <v/>
      </c>
      <c r="G117" s="11">
        <f>COUNTIFS($B$5:$B$107,$A117,$C$5:$C$107,$B117,$R$5:$R$107,"Débil (1 tema)")</f>
        <v/>
      </c>
    </row>
    <row r="118">
      <c r="A118" s="11" t="inlineStr">
        <is>
          <t>T8_27</t>
        </is>
      </c>
      <c r="B118" s="11" t="inlineStr">
        <is>
          <t>Física</t>
        </is>
      </c>
      <c r="C118" s="11">
        <f>COUNTIFS($B$5:$B$107,$A118,$C$5:$C$107,$B118)</f>
        <v/>
      </c>
      <c r="D118" s="11">
        <f>COUNTIFS($B$5:$B$107,$A118,$C$5:$C$107,$B118,$Q$5:$Q$107,"Sí")</f>
        <v/>
      </c>
      <c r="E118" s="13">
        <f>IF(C118=0,0,D118/C118)</f>
        <v/>
      </c>
      <c r="F118" s="11">
        <f>C118-D118</f>
        <v/>
      </c>
      <c r="G118" s="11">
        <f>COUNTIFS($B$5:$B$107,$A118,$C$5:$C$107,$B118,$R$5:$R$107,"Débil (1 tema)")</f>
        <v/>
      </c>
    </row>
    <row r="119">
      <c r="A119" s="11" t="inlineStr">
        <is>
          <t>T8_27</t>
        </is>
      </c>
      <c r="B119" s="11" t="inlineStr">
        <is>
          <t>Ciencias de la Tierra</t>
        </is>
      </c>
      <c r="C119" s="11">
        <f>COUNTIFS($B$5:$B$107,$A119,$C$5:$C$107,$B119)</f>
        <v/>
      </c>
      <c r="D119" s="11">
        <f>COUNTIFS($B$5:$B$107,$A119,$C$5:$C$107,$B119,$Q$5:$Q$107,"Sí")</f>
        <v/>
      </c>
      <c r="E119" s="13">
        <f>IF(C119=0,0,D119/C119)</f>
        <v/>
      </c>
      <c r="F119" s="11">
        <f>C119-D119</f>
        <v/>
      </c>
      <c r="G119" s="11">
        <f>COUNTIFS($B$5:$B$107,$A119,$C$5:$C$107,$B119,$R$5:$R$107,"Débil (1 tema)")</f>
        <v/>
      </c>
    </row>
    <row r="120">
      <c r="A120" s="23" t="inlineStr">
        <is>
          <t>T8_27</t>
        </is>
      </c>
      <c r="B120" s="23" t="inlineStr">
        <is>
          <t>(todos)</t>
        </is>
      </c>
      <c r="C120" s="23">
        <f>COUNTIFS($B$5:$B$107,$A120,$C$5:$C$107,"*")</f>
        <v/>
      </c>
      <c r="D120" s="23">
        <f>COUNTIFS($B$5:$B$107,$A120,$C$5:$C$107,"*",$Q$5:$Q$107,"Sí")</f>
        <v/>
      </c>
      <c r="E120" s="24">
        <f>IF(C120=0,0,D120/C120)</f>
        <v/>
      </c>
      <c r="F120" s="23">
        <f>C120-D120</f>
        <v/>
      </c>
      <c r="G120" s="23">
        <f>COUNTIFS($B$5:$B$107,$A120,$C$5:$C$107,"*",$R$5:$R$107,"Débil (1 tema)")</f>
        <v/>
      </c>
    </row>
    <row r="121">
      <c r="A121" s="11" t="inlineStr">
        <is>
          <t>TA</t>
        </is>
      </c>
      <c r="B121" s="11" t="inlineStr">
        <is>
          <t>Mecánica y termodinámica</t>
        </is>
      </c>
      <c r="C121" s="11">
        <f>COUNTIFS($B$5:$B$107,$A121,$C$5:$C$107,$B121)</f>
        <v/>
      </c>
      <c r="D121" s="11">
        <f>COUNTIFS($B$5:$B$107,$A121,$C$5:$C$107,$B121,$Q$5:$Q$107,"Sí")</f>
        <v/>
      </c>
      <c r="E121" s="13">
        <f>IF(C121=0,0,D121/C121)</f>
        <v/>
      </c>
      <c r="F121" s="11">
        <f>C121-D121</f>
        <v/>
      </c>
      <c r="G121" s="11">
        <f>COUNTIFS($B$5:$B$107,$A121,$C$5:$C$107,$B121,$R$5:$R$107,"Débil (1 tema)")</f>
        <v/>
      </c>
    </row>
    <row r="122">
      <c r="A122" s="11" t="inlineStr">
        <is>
          <t>TA</t>
        </is>
      </c>
      <c r="B122" s="11" t="inlineStr">
        <is>
          <t>Electricidad y magnetismo</t>
        </is>
      </c>
      <c r="C122" s="11">
        <f>COUNTIFS($B$5:$B$107,$A122,$C$5:$C$107,$B122)</f>
        <v/>
      </c>
      <c r="D122" s="11">
        <f>COUNTIFS($B$5:$B$107,$A122,$C$5:$C$107,$B122,$Q$5:$Q$107,"Sí")</f>
        <v/>
      </c>
      <c r="E122" s="13">
        <f>IF(C122=0,0,D122/C122)</f>
        <v/>
      </c>
      <c r="F122" s="11">
        <f>C122-D122</f>
        <v/>
      </c>
      <c r="G122" s="11">
        <f>COUNTIFS($B$5:$B$107,$A122,$C$5:$C$107,$B122,$R$5:$R$107,"Débil (1 tema)")</f>
        <v/>
      </c>
    </row>
    <row r="123">
      <c r="A123" s="11" t="inlineStr">
        <is>
          <t>TA</t>
        </is>
      </c>
      <c r="B123" s="11" t="inlineStr">
        <is>
          <t>Ondas y física atómica/nuclear</t>
        </is>
      </c>
      <c r="C123" s="11">
        <f>COUNTIFS($B$5:$B$107,$A123,$C$5:$C$107,$B123)</f>
        <v/>
      </c>
      <c r="D123" s="11">
        <f>COUNTIFS($B$5:$B$107,$A123,$C$5:$C$107,$B123,$Q$5:$Q$107,"Sí")</f>
        <v/>
      </c>
      <c r="E123" s="13">
        <f>IF(C123=0,0,D123/C123)</f>
        <v/>
      </c>
      <c r="F123" s="11">
        <f>C123-D123</f>
        <v/>
      </c>
      <c r="G123" s="11">
        <f>COUNTIFS($B$5:$B$107,$A123,$C$5:$C$107,$B123,$R$5:$R$107,"Débil (1 tema)")</f>
        <v/>
      </c>
    </row>
    <row r="124">
      <c r="A124" s="23" t="inlineStr">
        <is>
          <t>TA</t>
        </is>
      </c>
      <c r="B124" s="23" t="inlineStr">
        <is>
          <t>(todos)</t>
        </is>
      </c>
      <c r="C124" s="23">
        <f>COUNTIFS($B$5:$B$107,$A124,$C$5:$C$107,"*")</f>
        <v/>
      </c>
      <c r="D124" s="23">
        <f>COUNTIFS($B$5:$B$107,$A124,$C$5:$C$107,"*",$Q$5:$Q$107,"Sí")</f>
        <v/>
      </c>
      <c r="E124" s="24">
        <f>IF(C124=0,0,D124/C124)</f>
        <v/>
      </c>
      <c r="F124" s="23">
        <f>C124-D124</f>
        <v/>
      </c>
      <c r="G124" s="23">
        <f>COUNTIFS($B$5:$B$107,$A124,$C$5:$C$107,"*",$R$5:$R$107,"Débil (1 tema)")</f>
        <v/>
      </c>
    </row>
    <row r="125"/>
    <row r="126" ht="70" customHeight="1">
      <c r="A126" s="2" t="inlineStr">
        <is>
          <t>Cómo se calcula: Cómo leer: cada celda de grado = n.º de temas de ese grado que trabajan el objetivo (principal o secundario). «N/A» = ese grado no pertenece al ciclo que evalúa el marco (TIMSS 4.° → 2.°–4.°; TIMSS 8.° → 5.°–8.°; Advanced → Física 10.°–11.°), no es un problema. Semáforo de la columna «Estado»: ROJO = no cubierto · AMARILLO = débil (1 tema) · VERDE CLARO = básica (2–3) · VERDE = sólida (4+). Filtra la columna «Estado» para ver solo lo rojo y amarillo; la última columna dice dónde aparece hoy y qué se propone (hoja Presupuesto de temas).</t>
        </is>
      </c>
    </row>
  </sheetData>
  <autoFilter ref="A4:T107"/>
  <mergeCells count="2">
    <mergeCell ref="A126:N126"/>
    <mergeCell ref="A2:N2"/>
  </mergeCells>
  <conditionalFormatting sqref="F5:N107">
    <cfRule type="cellIs" priority="1" operator="equal" dxfId="6">
      <formula>"N/A"</formula>
    </cfRule>
    <cfRule type="cellIs" priority="2" operator="between" dxfId="7">
      <formula>2</formula>
      <formula>3</formula>
    </cfRule>
    <cfRule type="cellIs" priority="3" operator="equal" dxfId="8">
      <formula>1</formula>
    </cfRule>
    <cfRule type="expression" priority="4" dxfId="0">
      <formula>AND(ISNUMBER(F5),F5&gt;=4)</formula>
    </cfRule>
    <cfRule type="cellIs" priority="10" operator="equal" dxfId="9">
      <formula>0</formula>
    </cfRule>
  </conditionalFormatting>
  <conditionalFormatting sqref="R5:R107">
    <cfRule type="cellIs" priority="5" operator="equal" dxfId="8">
      <formula>"Básica (2–3)"</formula>
    </cfRule>
    <cfRule type="cellIs" priority="7" operator="equal" dxfId="2">
      <formula>"No cubierto"</formula>
    </cfRule>
    <cfRule type="cellIs" priority="8" operator="equal" dxfId="1">
      <formula>"Débil (1 tema)"</formula>
    </cfRule>
    <cfRule type="cellIs" priority="9" operator="equal" dxfId="4">
      <formula>"Sólida (4+)"</formula>
    </cfRule>
  </conditionalFormatting>
  <conditionalFormatting sqref="T5:T107">
    <cfRule type="expression" priority="6" dxfId="10">
      <formula>OR($R5="No cubierto",$R5="Débil (1 tema)")</formula>
    </cfRule>
  </conditionalFormatting>
  <conditionalFormatting sqref="A5:S107">
    <cfRule type="expression" priority="11" dxfId="5">
      <formula>AND(MOD(ROW(),2)=0,$A5&lt;&gt;"")</formula>
    </cfRule>
  </conditionalFormatting>
  <pageMargins left="0.75" right="0.75" top="1" bottom="1" header="0.5" footer="0.5"/>
</worksheet>
</file>

<file path=xl/worksheets/sheet8.xml><?xml version="1.0" encoding="utf-8"?>
<worksheet xmlns="http://schemas.openxmlformats.org/spreadsheetml/2006/main">
  <sheetPr>
    <tabColor rgb="006B4E71"/>
    <outlinePr summaryBelow="1" summaryRight="1"/>
    <pageSetUpPr/>
  </sheetPr>
  <dimension ref="A1:O19"/>
  <sheetViews>
    <sheetView showGridLines="0" workbookViewId="0">
      <selection activeCell="A1" sqref="A1"/>
    </sheetView>
  </sheetViews>
  <sheetFormatPr baseColWidth="8" defaultRowHeight="15"/>
  <cols>
    <col width="13" customWidth="1" min="1" max="1"/>
    <col width="26" customWidth="1" min="2" max="2"/>
    <col width="8" customWidth="1" min="3" max="3"/>
    <col width="11" customWidth="1" min="4" max="4"/>
    <col width="11" customWidth="1" min="5" max="5"/>
    <col width="11" customWidth="1" min="6" max="6"/>
    <col width="9" customWidth="1" min="7" max="7"/>
    <col width="9" customWidth="1" min="8" max="8"/>
    <col width="9" customWidth="1" min="9" max="9"/>
    <col width="9" customWidth="1" min="10" max="10"/>
    <col width="9" customWidth="1" min="11" max="11"/>
    <col width="9" customWidth="1" min="12" max="12"/>
    <col width="11" customWidth="1" min="13" max="13"/>
    <col width="46" customWidth="1" min="14" max="14"/>
    <col width="15" customWidth="1" min="15" max="15"/>
  </cols>
  <sheetData>
    <row r="1">
      <c r="A1" s="6" t="inlineStr">
        <is>
          <t>Profundidad cognitiva: Conocer / Aplicar / Razonar frente a TIMSS</t>
        </is>
      </c>
    </row>
    <row r="2" ht="68" customHeight="1">
      <c r="A2" s="7">
        <f>"TIMSS 2027 (2.°–8.°) y Advanced"&amp;"
"&amp;"OJO · Menos Razonar: "&amp;SUBSTITUTE(INDEX($A$5:$A$11,MATCH(MIN($I$5:$I$11),$I$5:$I$11,0)),"°",".°")&amp;" ("&amp;FIXED((MIN($I$5:$I$11))*100,0)&amp;" %"&amp;"). TIMSS pide 25 % en 4.° y 30 % en 8.°."&amp;"
"&amp;"● Grados de 2.° a 8.° con Razonar en línea con TIMSS: "&amp;COUNTIF($N$5:$N$11,"Razonar en línea*")&amp;" de "&amp;ROWS($N$5:$N$11)&amp;"."&amp;"
"&amp;"● Sale de la columna «Habilidad TIMSS» que escribió el equipo de Ciencias. Las competencias PISA están en «PISA - Competencias»."</f>
        <v/>
      </c>
      <c r="B2" s="8" t="n"/>
      <c r="C2" s="8" t="n"/>
      <c r="D2" s="8" t="n"/>
      <c r="E2" s="8" t="n"/>
      <c r="F2" s="8" t="n"/>
      <c r="G2" s="8" t="n"/>
      <c r="H2" s="8" t="n"/>
      <c r="I2" s="8" t="n"/>
      <c r="J2" s="8" t="n"/>
      <c r="K2" s="8" t="n"/>
      <c r="L2" s="8" t="n"/>
      <c r="M2" s="8" t="n"/>
      <c r="N2" s="9" t="n"/>
    </row>
    <row r="3"/>
    <row r="4" ht="45" customHeight="1">
      <c r="A4" s="10" t="inlineStr">
        <is>
          <t>Grupo</t>
        </is>
      </c>
      <c r="B4" s="10" t="inlineStr">
        <is>
          <t>Referencia</t>
        </is>
      </c>
      <c r="C4" s="10" t="inlineStr">
        <is>
          <t>Temas</t>
        </is>
      </c>
      <c r="D4" s="10" t="inlineStr">
        <is>
          <t>Conocer (temas-eq.)</t>
        </is>
      </c>
      <c r="E4" s="10" t="inlineStr">
        <is>
          <t>Aplicar (temas-eq.)</t>
        </is>
      </c>
      <c r="F4" s="10" t="inlineStr">
        <is>
          <t>Razonar (temas-eq.)</t>
        </is>
      </c>
      <c r="G4" s="10" t="inlineStr">
        <is>
          <t>% Conocer</t>
        </is>
      </c>
      <c r="H4" s="10" t="inlineStr">
        <is>
          <t>% Aplicar</t>
        </is>
      </c>
      <c r="I4" s="10" t="inlineStr">
        <is>
          <t>% Razonar</t>
        </is>
      </c>
      <c r="J4" s="10" t="inlineStr">
        <is>
          <t>Meta Conocer</t>
        </is>
      </c>
      <c r="K4" s="10" t="inlineStr">
        <is>
          <t>Meta Aplicar</t>
        </is>
      </c>
      <c r="L4" s="10" t="inlineStr">
        <is>
          <t>Meta Razonar</t>
        </is>
      </c>
      <c r="M4" s="10" t="inlineStr">
        <is>
          <t>Brecha Razonar (pp)</t>
        </is>
      </c>
      <c r="N4" s="10" t="inlineStr">
        <is>
          <t>Lectura</t>
        </is>
      </c>
      <c r="O4" s="10" t="inlineStr">
        <is>
          <t>COINCIDENCIA con la meta (1 − ½ Σ|actual − meta|)</t>
        </is>
      </c>
    </row>
    <row r="5">
      <c r="A5" s="11" t="inlineStr">
        <is>
          <t>2°</t>
        </is>
      </c>
      <c r="B5" s="11" t="inlineStr">
        <is>
          <t>TIMSS 2027 4.°</t>
        </is>
      </c>
      <c r="C5" s="11">
        <f>COUNTIFS('Datos - Temas'!$V$5:$V$1264,$A5)</f>
        <v/>
      </c>
      <c r="D5" s="28">
        <f>SUMIFS('Datos - Temas'!$S$5:$S$1264,'Datos - Temas'!$V$5:$V$1264,$A5)</f>
        <v/>
      </c>
      <c r="E5" s="28">
        <f>SUMIFS('Datos - Temas'!$T$5:$T$1264,'Datos - Temas'!$V$5:$V$1264,$A5)</f>
        <v/>
      </c>
      <c r="F5" s="28">
        <f>SUMIFS('Datos - Temas'!$U$5:$U$1264,'Datos - Temas'!$V$5:$V$1264,$A5)</f>
        <v/>
      </c>
      <c r="G5" s="13">
        <f>IF($C5=0,0,D5/$C5)</f>
        <v/>
      </c>
      <c r="H5" s="13">
        <f>IF($C5=0,0,E5/$C5)</f>
        <v/>
      </c>
      <c r="I5" s="13">
        <f>IF($C5=0,0,F5/$C5)</f>
        <v/>
      </c>
      <c r="J5" s="21" t="n">
        <v>0.35</v>
      </c>
      <c r="K5" s="21" t="n">
        <v>0.4</v>
      </c>
      <c r="L5" s="21" t="n">
        <v>0.25</v>
      </c>
      <c r="M5" s="32">
        <f>(I5-L5)*100</f>
        <v/>
      </c>
      <c r="N5" s="11">
        <f>IF(ABS(M5)&lt;=5,"Razonar en línea con la meta",IF(M5&gt;0,"Más Razonar que la meta (revisar si la etiqueta está inflada)","Menos Razonar que la meta: faltan tareas de análisis y argumentación"))</f>
        <v/>
      </c>
      <c r="O5" s="13">
        <f>1-(ABS(G5-J5)+ABS(H5-K5)+ABS(I5-L5))/2</f>
        <v/>
      </c>
    </row>
    <row r="6">
      <c r="A6" s="11" t="inlineStr">
        <is>
          <t>3°</t>
        </is>
      </c>
      <c r="B6" s="11" t="inlineStr">
        <is>
          <t>TIMSS 2027 4.°</t>
        </is>
      </c>
      <c r="C6" s="11">
        <f>COUNTIFS('Datos - Temas'!$V$5:$V$1264,$A6)</f>
        <v/>
      </c>
      <c r="D6" s="28">
        <f>SUMIFS('Datos - Temas'!$S$5:$S$1264,'Datos - Temas'!$V$5:$V$1264,$A6)</f>
        <v/>
      </c>
      <c r="E6" s="28">
        <f>SUMIFS('Datos - Temas'!$T$5:$T$1264,'Datos - Temas'!$V$5:$V$1264,$A6)</f>
        <v/>
      </c>
      <c r="F6" s="28">
        <f>SUMIFS('Datos - Temas'!$U$5:$U$1264,'Datos - Temas'!$V$5:$V$1264,$A6)</f>
        <v/>
      </c>
      <c r="G6" s="13">
        <f>IF($C6=0,0,D6/$C6)</f>
        <v/>
      </c>
      <c r="H6" s="13">
        <f>IF($C6=0,0,E6/$C6)</f>
        <v/>
      </c>
      <c r="I6" s="13">
        <f>IF($C6=0,0,F6/$C6)</f>
        <v/>
      </c>
      <c r="J6" s="21" t="n">
        <v>0.35</v>
      </c>
      <c r="K6" s="21" t="n">
        <v>0.4</v>
      </c>
      <c r="L6" s="21" t="n">
        <v>0.25</v>
      </c>
      <c r="M6" s="32">
        <f>(I6-L6)*100</f>
        <v/>
      </c>
      <c r="N6" s="11">
        <f>IF(ABS(M6)&lt;=5,"Razonar en línea con la meta",IF(M6&gt;0,"Más Razonar que la meta (revisar si la etiqueta está inflada)","Menos Razonar que la meta: faltan tareas de análisis y argumentación"))</f>
        <v/>
      </c>
      <c r="O6" s="13">
        <f>1-(ABS(G6-J6)+ABS(H6-K6)+ABS(I6-L6))/2</f>
        <v/>
      </c>
    </row>
    <row r="7">
      <c r="A7" s="11" t="inlineStr">
        <is>
          <t>4°</t>
        </is>
      </c>
      <c r="B7" s="11" t="inlineStr">
        <is>
          <t>TIMSS 2027 4.°</t>
        </is>
      </c>
      <c r="C7" s="11">
        <f>COUNTIFS('Datos - Temas'!$V$5:$V$1264,$A7)</f>
        <v/>
      </c>
      <c r="D7" s="28">
        <f>SUMIFS('Datos - Temas'!$S$5:$S$1264,'Datos - Temas'!$V$5:$V$1264,$A7)</f>
        <v/>
      </c>
      <c r="E7" s="28">
        <f>SUMIFS('Datos - Temas'!$T$5:$T$1264,'Datos - Temas'!$V$5:$V$1264,$A7)</f>
        <v/>
      </c>
      <c r="F7" s="28">
        <f>SUMIFS('Datos - Temas'!$U$5:$U$1264,'Datos - Temas'!$V$5:$V$1264,$A7)</f>
        <v/>
      </c>
      <c r="G7" s="13">
        <f>IF($C7=0,0,D7/$C7)</f>
        <v/>
      </c>
      <c r="H7" s="13">
        <f>IF($C7=0,0,E7/$C7)</f>
        <v/>
      </c>
      <c r="I7" s="13">
        <f>IF($C7=0,0,F7/$C7)</f>
        <v/>
      </c>
      <c r="J7" s="21" t="n">
        <v>0.35</v>
      </c>
      <c r="K7" s="21" t="n">
        <v>0.4</v>
      </c>
      <c r="L7" s="21" t="n">
        <v>0.25</v>
      </c>
      <c r="M7" s="32">
        <f>(I7-L7)*100</f>
        <v/>
      </c>
      <c r="N7" s="11">
        <f>IF(ABS(M7)&lt;=5,"Razonar en línea con la meta",IF(M7&gt;0,"Más Razonar que la meta (revisar si la etiqueta está inflada)","Menos Razonar que la meta: faltan tareas de análisis y argumentación"))</f>
        <v/>
      </c>
      <c r="O7" s="13">
        <f>1-(ABS(G7-J7)+ABS(H7-K7)+ABS(I7-L7))/2</f>
        <v/>
      </c>
    </row>
    <row r="8">
      <c r="A8" s="11" t="inlineStr">
        <is>
          <t>5°</t>
        </is>
      </c>
      <c r="B8" s="11" t="inlineStr">
        <is>
          <t>TIMSS 2027 8.°</t>
        </is>
      </c>
      <c r="C8" s="11">
        <f>COUNTIFS('Datos - Temas'!$V$5:$V$1264,$A8)</f>
        <v/>
      </c>
      <c r="D8" s="28">
        <f>SUMIFS('Datos - Temas'!$S$5:$S$1264,'Datos - Temas'!$V$5:$V$1264,$A8)</f>
        <v/>
      </c>
      <c r="E8" s="28">
        <f>SUMIFS('Datos - Temas'!$T$5:$T$1264,'Datos - Temas'!$V$5:$V$1264,$A8)</f>
        <v/>
      </c>
      <c r="F8" s="28">
        <f>SUMIFS('Datos - Temas'!$U$5:$U$1264,'Datos - Temas'!$V$5:$V$1264,$A8)</f>
        <v/>
      </c>
      <c r="G8" s="13">
        <f>IF($C8=0,0,D8/$C8)</f>
        <v/>
      </c>
      <c r="H8" s="13">
        <f>IF($C8=0,0,E8/$C8)</f>
        <v/>
      </c>
      <c r="I8" s="13">
        <f>IF($C8=0,0,F8/$C8)</f>
        <v/>
      </c>
      <c r="J8" s="21" t="n">
        <v>0.35</v>
      </c>
      <c r="K8" s="21" t="n">
        <v>0.35</v>
      </c>
      <c r="L8" s="21" t="n">
        <v>0.3</v>
      </c>
      <c r="M8" s="32">
        <f>(I8-L8)*100</f>
        <v/>
      </c>
      <c r="N8" s="11">
        <f>IF(ABS(M8)&lt;=5,"Razonar en línea con la meta",IF(M8&gt;0,"Más Razonar que la meta (revisar si la etiqueta está inflada)","Menos Razonar que la meta: faltan tareas de análisis y argumentación"))</f>
        <v/>
      </c>
      <c r="O8" s="13">
        <f>1-(ABS(G8-J8)+ABS(H8-K8)+ABS(I8-L8))/2</f>
        <v/>
      </c>
    </row>
    <row r="9">
      <c r="A9" s="11" t="inlineStr">
        <is>
          <t>6°</t>
        </is>
      </c>
      <c r="B9" s="11" t="inlineStr">
        <is>
          <t>TIMSS 2027 8.°</t>
        </is>
      </c>
      <c r="C9" s="11">
        <f>COUNTIFS('Datos - Temas'!$V$5:$V$1264,$A9)</f>
        <v/>
      </c>
      <c r="D9" s="28">
        <f>SUMIFS('Datos - Temas'!$S$5:$S$1264,'Datos - Temas'!$V$5:$V$1264,$A9)</f>
        <v/>
      </c>
      <c r="E9" s="28">
        <f>SUMIFS('Datos - Temas'!$T$5:$T$1264,'Datos - Temas'!$V$5:$V$1264,$A9)</f>
        <v/>
      </c>
      <c r="F9" s="28">
        <f>SUMIFS('Datos - Temas'!$U$5:$U$1264,'Datos - Temas'!$V$5:$V$1264,$A9)</f>
        <v/>
      </c>
      <c r="G9" s="13">
        <f>IF($C9=0,0,D9/$C9)</f>
        <v/>
      </c>
      <c r="H9" s="13">
        <f>IF($C9=0,0,E9/$C9)</f>
        <v/>
      </c>
      <c r="I9" s="13">
        <f>IF($C9=0,0,F9/$C9)</f>
        <v/>
      </c>
      <c r="J9" s="21" t="n">
        <v>0.35</v>
      </c>
      <c r="K9" s="21" t="n">
        <v>0.35</v>
      </c>
      <c r="L9" s="21" t="n">
        <v>0.3</v>
      </c>
      <c r="M9" s="32">
        <f>(I9-L9)*100</f>
        <v/>
      </c>
      <c r="N9" s="11">
        <f>IF(ABS(M9)&lt;=5,"Razonar en línea con la meta",IF(M9&gt;0,"Más Razonar que la meta (revisar si la etiqueta está inflada)","Menos Razonar que la meta: faltan tareas de análisis y argumentación"))</f>
        <v/>
      </c>
      <c r="O9" s="13">
        <f>1-(ABS(G9-J9)+ABS(H9-K9)+ABS(I9-L9))/2</f>
        <v/>
      </c>
    </row>
    <row r="10">
      <c r="A10" s="11" t="inlineStr">
        <is>
          <t>7°</t>
        </is>
      </c>
      <c r="B10" s="11" t="inlineStr">
        <is>
          <t>TIMSS 2027 8.°</t>
        </is>
      </c>
      <c r="C10" s="11">
        <f>COUNTIFS('Datos - Temas'!$V$5:$V$1264,$A10)</f>
        <v/>
      </c>
      <c r="D10" s="28">
        <f>SUMIFS('Datos - Temas'!$S$5:$S$1264,'Datos - Temas'!$V$5:$V$1264,$A10)</f>
        <v/>
      </c>
      <c r="E10" s="28">
        <f>SUMIFS('Datos - Temas'!$T$5:$T$1264,'Datos - Temas'!$V$5:$V$1264,$A10)</f>
        <v/>
      </c>
      <c r="F10" s="28">
        <f>SUMIFS('Datos - Temas'!$U$5:$U$1264,'Datos - Temas'!$V$5:$V$1264,$A10)</f>
        <v/>
      </c>
      <c r="G10" s="13">
        <f>IF($C10=0,0,D10/$C10)</f>
        <v/>
      </c>
      <c r="H10" s="13">
        <f>IF($C10=0,0,E10/$C10)</f>
        <v/>
      </c>
      <c r="I10" s="13">
        <f>IF($C10=0,0,F10/$C10)</f>
        <v/>
      </c>
      <c r="J10" s="21" t="n">
        <v>0.35</v>
      </c>
      <c r="K10" s="21" t="n">
        <v>0.35</v>
      </c>
      <c r="L10" s="21" t="n">
        <v>0.3</v>
      </c>
      <c r="M10" s="32">
        <f>(I10-L10)*100</f>
        <v/>
      </c>
      <c r="N10" s="11">
        <f>IF(ABS(M10)&lt;=5,"Razonar en línea con la meta",IF(M10&gt;0,"Más Razonar que la meta (revisar si la etiqueta está inflada)","Menos Razonar que la meta: faltan tareas de análisis y argumentación"))</f>
        <v/>
      </c>
      <c r="O10" s="13">
        <f>1-(ABS(G10-J10)+ABS(H10-K10)+ABS(I10-L10))/2</f>
        <v/>
      </c>
    </row>
    <row r="11">
      <c r="A11" s="11" t="inlineStr">
        <is>
          <t>8°</t>
        </is>
      </c>
      <c r="B11" s="11" t="inlineStr">
        <is>
          <t>TIMSS 2027 8.°</t>
        </is>
      </c>
      <c r="C11" s="11">
        <f>COUNTIFS('Datos - Temas'!$V$5:$V$1264,$A11)</f>
        <v/>
      </c>
      <c r="D11" s="28">
        <f>SUMIFS('Datos - Temas'!$S$5:$S$1264,'Datos - Temas'!$V$5:$V$1264,$A11)</f>
        <v/>
      </c>
      <c r="E11" s="28">
        <f>SUMIFS('Datos - Temas'!$T$5:$T$1264,'Datos - Temas'!$V$5:$V$1264,$A11)</f>
        <v/>
      </c>
      <c r="F11" s="28">
        <f>SUMIFS('Datos - Temas'!$U$5:$U$1264,'Datos - Temas'!$V$5:$V$1264,$A11)</f>
        <v/>
      </c>
      <c r="G11" s="13">
        <f>IF($C11=0,0,D11/$C11)</f>
        <v/>
      </c>
      <c r="H11" s="13">
        <f>IF($C11=0,0,E11/$C11)</f>
        <v/>
      </c>
      <c r="I11" s="13">
        <f>IF($C11=0,0,F11/$C11)</f>
        <v/>
      </c>
      <c r="J11" s="21" t="n">
        <v>0.35</v>
      </c>
      <c r="K11" s="21" t="n">
        <v>0.35</v>
      </c>
      <c r="L11" s="21" t="n">
        <v>0.3</v>
      </c>
      <c r="M11" s="32">
        <f>(I11-L11)*100</f>
        <v/>
      </c>
      <c r="N11" s="11">
        <f>IF(ABS(M11)&lt;=5,"Razonar en línea con la meta",IF(M11&gt;0,"Más Razonar que la meta (revisar si la etiqueta está inflada)","Menos Razonar que la meta: faltan tareas de análisis y argumentación"))</f>
        <v/>
      </c>
      <c r="O11" s="13">
        <f>1-(ABS(G11-J11)+ABS(H11-K11)+ABS(I11-L11))/2</f>
        <v/>
      </c>
    </row>
    <row r="12">
      <c r="A12" s="11" t="inlineStr">
        <is>
          <t>Física 10°</t>
        </is>
      </c>
      <c r="B12" s="11" t="inlineStr">
        <is>
          <t>TIMSS Advanced 2015 Física</t>
        </is>
      </c>
      <c r="C12" s="11">
        <f>COUNTIFS('Datos - Temas'!$V$5:$V$1264,$A12)</f>
        <v/>
      </c>
      <c r="D12" s="28">
        <f>SUMIFS('Datos - Temas'!$S$5:$S$1264,'Datos - Temas'!$V$5:$V$1264,$A12)</f>
        <v/>
      </c>
      <c r="E12" s="28">
        <f>SUMIFS('Datos - Temas'!$T$5:$T$1264,'Datos - Temas'!$V$5:$V$1264,$A12)</f>
        <v/>
      </c>
      <c r="F12" s="28">
        <f>SUMIFS('Datos - Temas'!$U$5:$U$1264,'Datos - Temas'!$V$5:$V$1264,$A12)</f>
        <v/>
      </c>
      <c r="G12" s="13">
        <f>IF($C12=0,0,D12/$C12)</f>
        <v/>
      </c>
      <c r="H12" s="13">
        <f>IF($C12=0,0,E12/$C12)</f>
        <v/>
      </c>
      <c r="I12" s="13">
        <f>IF($C12=0,0,F12/$C12)</f>
        <v/>
      </c>
      <c r="J12" s="21" t="n">
        <v>0.3</v>
      </c>
      <c r="K12" s="21" t="n">
        <v>0.4</v>
      </c>
      <c r="L12" s="21" t="n">
        <v>0.3</v>
      </c>
      <c r="M12" s="32">
        <f>(I12-L12)*100</f>
        <v/>
      </c>
      <c r="N12" s="11">
        <f>IF(ABS(M12)&lt;=5,"Razonar en línea con la meta",IF(M12&gt;0,"Más Razonar que la meta (revisar si la etiqueta está inflada)","Menos Razonar que la meta: faltan tareas de análisis y argumentación"))</f>
        <v/>
      </c>
      <c r="O12" s="13">
        <f>1-(ABS(G12-J12)+ABS(H12-K12)+ABS(I12-L12))/2</f>
        <v/>
      </c>
    </row>
    <row r="13">
      <c r="A13" s="11" t="inlineStr">
        <is>
          <t>Física 11°</t>
        </is>
      </c>
      <c r="B13" s="11" t="inlineStr">
        <is>
          <t>TIMSS Advanced 2015 Física</t>
        </is>
      </c>
      <c r="C13" s="11">
        <f>COUNTIFS('Datos - Temas'!$V$5:$V$1264,$A13)</f>
        <v/>
      </c>
      <c r="D13" s="28">
        <f>SUMIFS('Datos - Temas'!$S$5:$S$1264,'Datos - Temas'!$V$5:$V$1264,$A13)</f>
        <v/>
      </c>
      <c r="E13" s="28">
        <f>SUMIFS('Datos - Temas'!$T$5:$T$1264,'Datos - Temas'!$V$5:$V$1264,$A13)</f>
        <v/>
      </c>
      <c r="F13" s="28">
        <f>SUMIFS('Datos - Temas'!$U$5:$U$1264,'Datos - Temas'!$V$5:$V$1264,$A13)</f>
        <v/>
      </c>
      <c r="G13" s="13">
        <f>IF($C13=0,0,D13/$C13)</f>
        <v/>
      </c>
      <c r="H13" s="13">
        <f>IF($C13=0,0,E13/$C13)</f>
        <v/>
      </c>
      <c r="I13" s="13">
        <f>IF($C13=0,0,F13/$C13)</f>
        <v/>
      </c>
      <c r="J13" s="21" t="n">
        <v>0.3</v>
      </c>
      <c r="K13" s="21" t="n">
        <v>0.4</v>
      </c>
      <c r="L13" s="21" t="n">
        <v>0.3</v>
      </c>
      <c r="M13" s="32">
        <f>(I13-L13)*100</f>
        <v/>
      </c>
      <c r="N13" s="11">
        <f>IF(ABS(M13)&lt;=5,"Razonar en línea con la meta",IF(M13&gt;0,"Más Razonar que la meta (revisar si la etiqueta está inflada)","Menos Razonar que la meta: faltan tareas de análisis y argumentación"))</f>
        <v/>
      </c>
      <c r="O13" s="13">
        <f>1-(ABS(G13-J13)+ABS(H13-K13)+ABS(I13-L13))/2</f>
        <v/>
      </c>
    </row>
    <row r="14">
      <c r="A14" s="11" t="inlineStr">
        <is>
          <t>Química 10°</t>
        </is>
      </c>
      <c r="B14" s="11" t="inlineStr">
        <is>
          <t>TIMSS Advanced Física (ref. aprox.)</t>
        </is>
      </c>
      <c r="C14" s="11">
        <f>COUNTIFS('Datos - Temas'!$V$5:$V$1264,$A14)</f>
        <v/>
      </c>
      <c r="D14" s="28">
        <f>SUMIFS('Datos - Temas'!$S$5:$S$1264,'Datos - Temas'!$V$5:$V$1264,$A14)</f>
        <v/>
      </c>
      <c r="E14" s="28">
        <f>SUMIFS('Datos - Temas'!$T$5:$T$1264,'Datos - Temas'!$V$5:$V$1264,$A14)</f>
        <v/>
      </c>
      <c r="F14" s="28">
        <f>SUMIFS('Datos - Temas'!$U$5:$U$1264,'Datos - Temas'!$V$5:$V$1264,$A14)</f>
        <v/>
      </c>
      <c r="G14" s="13">
        <f>IF($C14=0,0,D14/$C14)</f>
        <v/>
      </c>
      <c r="H14" s="13">
        <f>IF($C14=0,0,E14/$C14)</f>
        <v/>
      </c>
      <c r="I14" s="13">
        <f>IF($C14=0,0,F14/$C14)</f>
        <v/>
      </c>
      <c r="J14" s="21" t="n">
        <v>0.3</v>
      </c>
      <c r="K14" s="21" t="n">
        <v>0.4</v>
      </c>
      <c r="L14" s="21" t="n">
        <v>0.3</v>
      </c>
      <c r="M14" s="32">
        <f>(I14-L14)*100</f>
        <v/>
      </c>
      <c r="N14" s="11">
        <f>IF(ABS(M14)&lt;=5,"Razonar en línea con la meta",IF(M14&gt;0,"Más Razonar que la meta (revisar si la etiqueta está inflada)","Menos Razonar que la meta: faltan tareas de análisis y argumentación"))</f>
        <v/>
      </c>
      <c r="O14" s="13">
        <f>1-(ABS(G14-J14)+ABS(H14-K14)+ABS(I14-L14))/2</f>
        <v/>
      </c>
    </row>
    <row r="15">
      <c r="A15" s="11" t="inlineStr">
        <is>
          <t>Química 11°</t>
        </is>
      </c>
      <c r="B15" s="11" t="inlineStr">
        <is>
          <t>TIMSS Advanced Física (ref. aprox.)</t>
        </is>
      </c>
      <c r="C15" s="11">
        <f>COUNTIFS('Datos - Temas'!$V$5:$V$1264,$A15)</f>
        <v/>
      </c>
      <c r="D15" s="28">
        <f>SUMIFS('Datos - Temas'!$S$5:$S$1264,'Datos - Temas'!$V$5:$V$1264,$A15)</f>
        <v/>
      </c>
      <c r="E15" s="28">
        <f>SUMIFS('Datos - Temas'!$T$5:$T$1264,'Datos - Temas'!$V$5:$V$1264,$A15)</f>
        <v/>
      </c>
      <c r="F15" s="28">
        <f>SUMIFS('Datos - Temas'!$U$5:$U$1264,'Datos - Temas'!$V$5:$V$1264,$A15)</f>
        <v/>
      </c>
      <c r="G15" s="13">
        <f>IF($C15=0,0,D15/$C15)</f>
        <v/>
      </c>
      <c r="H15" s="13">
        <f>IF($C15=0,0,E15/$C15)</f>
        <v/>
      </c>
      <c r="I15" s="13">
        <f>IF($C15=0,0,F15/$C15)</f>
        <v/>
      </c>
      <c r="J15" s="21" t="n">
        <v>0.3</v>
      </c>
      <c r="K15" s="21" t="n">
        <v>0.4</v>
      </c>
      <c r="L15" s="21" t="n">
        <v>0.3</v>
      </c>
      <c r="M15" s="32">
        <f>(I15-L15)*100</f>
        <v/>
      </c>
      <c r="N15" s="11">
        <f>IF(ABS(M15)&lt;=5,"Razonar en línea con la meta",IF(M15&gt;0,"Más Razonar que la meta (revisar si la etiqueta está inflada)","Menos Razonar que la meta: faltan tareas de análisis y argumentación"))</f>
        <v/>
      </c>
      <c r="O15" s="13">
        <f>1-(ABS(G15-J15)+ABS(H15-K15)+ABS(I15-L15))/2</f>
        <v/>
      </c>
    </row>
    <row r="16">
      <c r="A16" s="11" t="inlineStr">
        <is>
          <t>Biología 10°</t>
        </is>
      </c>
      <c r="B16" s="11" t="inlineStr">
        <is>
          <t>TIMSS Advanced Física (ref. aprox.)</t>
        </is>
      </c>
      <c r="C16" s="11">
        <f>COUNTIFS('Datos - Temas'!$V$5:$V$1264,$A16)</f>
        <v/>
      </c>
      <c r="D16" s="28">
        <f>SUMIFS('Datos - Temas'!$S$5:$S$1264,'Datos - Temas'!$V$5:$V$1264,$A16)</f>
        <v/>
      </c>
      <c r="E16" s="28">
        <f>SUMIFS('Datos - Temas'!$T$5:$T$1264,'Datos - Temas'!$V$5:$V$1264,$A16)</f>
        <v/>
      </c>
      <c r="F16" s="28">
        <f>SUMIFS('Datos - Temas'!$U$5:$U$1264,'Datos - Temas'!$V$5:$V$1264,$A16)</f>
        <v/>
      </c>
      <c r="G16" s="13">
        <f>IF($C16=0,0,D16/$C16)</f>
        <v/>
      </c>
      <c r="H16" s="13">
        <f>IF($C16=0,0,E16/$C16)</f>
        <v/>
      </c>
      <c r="I16" s="13">
        <f>IF($C16=0,0,F16/$C16)</f>
        <v/>
      </c>
      <c r="J16" s="21" t="n">
        <v>0.3</v>
      </c>
      <c r="K16" s="21" t="n">
        <v>0.4</v>
      </c>
      <c r="L16" s="21" t="n">
        <v>0.3</v>
      </c>
      <c r="M16" s="32">
        <f>(I16-L16)*100</f>
        <v/>
      </c>
      <c r="N16" s="11">
        <f>IF(ABS(M16)&lt;=5,"Razonar en línea con la meta",IF(M16&gt;0,"Más Razonar que la meta (revisar si la etiqueta está inflada)","Menos Razonar que la meta: faltan tareas de análisis y argumentación"))</f>
        <v/>
      </c>
      <c r="O16" s="13">
        <f>1-(ABS(G16-J16)+ABS(H16-K16)+ABS(I16-L16))/2</f>
        <v/>
      </c>
    </row>
    <row r="17">
      <c r="A17" s="11" t="inlineStr">
        <is>
          <t>Biología 11°</t>
        </is>
      </c>
      <c r="B17" s="11" t="inlineStr">
        <is>
          <t>TIMSS Advanced Física (ref. aprox.)</t>
        </is>
      </c>
      <c r="C17" s="11">
        <f>COUNTIFS('Datos - Temas'!$V$5:$V$1264,$A17)</f>
        <v/>
      </c>
      <c r="D17" s="28">
        <f>SUMIFS('Datos - Temas'!$S$5:$S$1264,'Datos - Temas'!$V$5:$V$1264,$A17)</f>
        <v/>
      </c>
      <c r="E17" s="28">
        <f>SUMIFS('Datos - Temas'!$T$5:$T$1264,'Datos - Temas'!$V$5:$V$1264,$A17)</f>
        <v/>
      </c>
      <c r="F17" s="28">
        <f>SUMIFS('Datos - Temas'!$U$5:$U$1264,'Datos - Temas'!$V$5:$V$1264,$A17)</f>
        <v/>
      </c>
      <c r="G17" s="13">
        <f>IF($C17=0,0,D17/$C17)</f>
        <v/>
      </c>
      <c r="H17" s="13">
        <f>IF($C17=0,0,E17/$C17)</f>
        <v/>
      </c>
      <c r="I17" s="13">
        <f>IF($C17=0,0,F17/$C17)</f>
        <v/>
      </c>
      <c r="J17" s="21" t="n">
        <v>0.3</v>
      </c>
      <c r="K17" s="21" t="n">
        <v>0.4</v>
      </c>
      <c r="L17" s="21" t="n">
        <v>0.3</v>
      </c>
      <c r="M17" s="32">
        <f>(I17-L17)*100</f>
        <v/>
      </c>
      <c r="N17" s="11">
        <f>IF(ABS(M17)&lt;=5,"Razonar en línea con la meta",IF(M17&gt;0,"Más Razonar que la meta (revisar si la etiqueta está inflada)","Menos Razonar que la meta: faltan tareas de análisis y argumentación"))</f>
        <v/>
      </c>
      <c r="O17" s="13">
        <f>1-(ABS(G17-J17)+ABS(H17-K17)+ABS(I17-L17))/2</f>
        <v/>
      </c>
    </row>
    <row r="18"/>
    <row r="19" ht="56" customHeight="1">
      <c r="A19" s="2" t="inlineStr">
        <is>
          <t>Cómo se calcula: Fuente: columna «Habilidad TIMSS» de cada malla. Si un tema menciona varios dominios, se reparte en partes iguales (p. ej. «Conocer… Aplicar…» = 0,5 + 0,5). Columnas S-U de Temas. Química y Biología de Bachillerato se comparan con la meta de TIMSS Advanced Física solo como referencia aproximada.</t>
        </is>
      </c>
    </row>
  </sheetData>
  <mergeCells count="2">
    <mergeCell ref="A19:N19"/>
    <mergeCell ref="A2:N2"/>
  </mergeCells>
  <pageMargins left="0.75" right="0.75" top="1" bottom="1" header="0.5" footer="0.5"/>
</worksheet>
</file>

<file path=xl/worksheets/sheet9.xml><?xml version="1.0" encoding="utf-8"?>
<worksheet xmlns="http://schemas.openxmlformats.org/spreadsheetml/2006/main">
  <sheetPr>
    <tabColor rgb="004F7942"/>
    <outlinePr summaryBelow="1" summaryRight="1"/>
    <pageSetUpPr/>
  </sheetPr>
  <dimension ref="A1:L51"/>
  <sheetViews>
    <sheetView showGridLines="0" workbookViewId="0">
      <pane ySplit="5" topLeftCell="A6" activePane="bottomLeft" state="frozen"/>
      <selection pane="bottomLeft" activeCell="A1" sqref="A1"/>
    </sheetView>
  </sheetViews>
  <sheetFormatPr baseColWidth="8" defaultRowHeight="15"/>
  <cols>
    <col width="16" customWidth="1" min="1" max="1"/>
    <col width="16" customWidth="1" min="2" max="2"/>
    <col width="13" customWidth="1" min="3" max="3"/>
    <col width="15" customWidth="1" min="4" max="4"/>
    <col width="11" customWidth="1" min="5" max="5"/>
    <col width="11" customWidth="1" min="6" max="6"/>
    <col width="12" customWidth="1" min="7" max="7"/>
    <col width="48" customWidth="1" min="8" max="8"/>
  </cols>
  <sheetData>
    <row r="1">
      <c r="A1" s="6" t="inlineStr">
        <is>
          <t>Conocimiento ambiental: ¿cuánto de la malla trabaja los objetivos ambientales de TIMSS 2027?</t>
        </is>
      </c>
    </row>
    <row r="2" ht="68" customHeight="1">
      <c r="A2" s="7">
        <f>"TIMSS 2027 (2.°–8.°)"&amp;"
"&amp;IF(MIN(E16,E17)&gt;=$E$3-$H$3,"BIEN · ","OJO · ")&amp;"Temas sobre medio ambiente: "&amp;FIXED((E16)*100,0)&amp;" %"&amp;" en 2.°–4.° y "&amp;FIXED((E17)*100,0)&amp;" %"&amp;" en 5.°–8.° (la prueba: 25 %)."&amp;"
"&amp;IF(MIN($E$7:$E$13)&gt;=$E$3-$H$3,"BIEN · ","OJO · ")&amp;"Grado con menos: "&amp;SUBSTITUTE(INDEX($A$7:$A$13,MATCH(MIN($E$7:$E$13),$E$7:$E$13,0)),"°",".°")&amp;" ("&amp;FIXED((MIN($E$7:$E$13))*100,0)&amp;" %"&amp;")."&amp;"
"&amp;"● Objetivos ambientales de TIMSS presentes: "&amp;(C48+C49)&amp;" de "&amp;(B48+B49)&amp;"."</f>
        <v/>
      </c>
      <c r="B2" s="8" t="n"/>
      <c r="C2" s="8" t="n"/>
      <c r="D2" s="8" t="n"/>
      <c r="E2" s="8" t="n"/>
      <c r="F2" s="8" t="n"/>
      <c r="G2" s="8" t="n"/>
      <c r="H2" s="8" t="n"/>
      <c r="I2" s="8" t="n"/>
      <c r="J2" s="8" t="n"/>
      <c r="K2" s="8" t="n"/>
      <c r="L2" s="9" t="n"/>
    </row>
    <row r="3">
      <c r="A3" s="20" t="inlineStr">
        <is>
          <t>Referencia TIMSS 2027 (≈ % de ítems ambientales):</t>
        </is>
      </c>
      <c r="E3" s="21" t="n">
        <v>0.25</v>
      </c>
      <c r="F3" s="20" t="inlineStr">
        <is>
          <t>Tolerancia (± pp):</t>
        </is>
      </c>
      <c r="H3" s="21" t="n">
        <v>0.05</v>
      </c>
    </row>
    <row r="4"/>
    <row r="5" ht="48" customHeight="1">
      <c r="A5" s="10" t="inlineStr">
        <is>
          <t>Grado / ciclo</t>
        </is>
      </c>
      <c r="B5" s="10" t="inlineStr">
        <is>
          <t>Marco</t>
        </is>
      </c>
      <c r="C5" s="10" t="inlineStr">
        <is>
          <t>Temas evaluables (sin «fuera»)</t>
        </is>
      </c>
      <c r="D5" s="10" t="inlineStr">
        <is>
          <t>Temas que trabajan un objetivo ambiental</t>
        </is>
      </c>
      <c r="E5" s="10" t="inlineStr">
        <is>
          <t>% ambiental</t>
        </is>
      </c>
      <c r="F5" s="10" t="inlineStr">
        <is>
          <t>Referencia</t>
        </is>
      </c>
      <c r="G5" s="10" t="inlineStr">
        <is>
          <t>Diferencia (pp)</t>
        </is>
      </c>
      <c r="H5" s="10" t="inlineStr">
        <is>
          <t>Lectura</t>
        </is>
      </c>
    </row>
    <row r="6">
      <c r="A6" s="16" t="inlineStr">
        <is>
          <t>Por grado</t>
        </is>
      </c>
    </row>
    <row r="7">
      <c r="A7" s="11" t="inlineStr">
        <is>
          <t>2°</t>
        </is>
      </c>
      <c r="B7" s="11" t="inlineStr">
        <is>
          <t>TIMSS 2027 4.°</t>
        </is>
      </c>
      <c r="C7" s="11">
        <f>COUNTIFS('Datos - Temas'!$V$5:$V$1264,$A7)-COUNTIFS('Datos - Temas'!$V$5:$V$1264,$A7,'Datos - Temas'!$K$5:$K$1264,"FUERA")-COUNTIFS('Datos - Temas'!$V$5:$V$1264,$A7,'Datos - Temas'!$K$5:$K$1264,"PENDIENTE")</f>
        <v/>
      </c>
      <c r="D7" s="11">
        <f>COUNTIFS('Datos - Temas'!$V$5:$V$1264,$A7,'Datos - Temas'!$X$5:$X$1264,1)</f>
        <v/>
      </c>
      <c r="E7" s="13">
        <f>IF(C7=0,0,D7/C7)</f>
        <v/>
      </c>
      <c r="F7" s="15">
        <f>$E$3</f>
        <v/>
      </c>
      <c r="G7" s="32">
        <f>(E7-F7)*100</f>
        <v/>
      </c>
      <c r="H7" s="33">
        <f>IF(ABS(E7-F7)&lt;=$H$3,"Cerca de la referencia",IF(E7&lt;F7,"Menos contenido ambiental que la referencia","Más contenido ambiental que la referencia"))</f>
        <v/>
      </c>
    </row>
    <row r="8">
      <c r="A8" s="11" t="inlineStr">
        <is>
          <t>3°</t>
        </is>
      </c>
      <c r="B8" s="11" t="inlineStr">
        <is>
          <t>TIMSS 2027 4.°</t>
        </is>
      </c>
      <c r="C8" s="11">
        <f>COUNTIFS('Datos - Temas'!$V$5:$V$1264,$A8)-COUNTIFS('Datos - Temas'!$V$5:$V$1264,$A8,'Datos - Temas'!$K$5:$K$1264,"FUERA")-COUNTIFS('Datos - Temas'!$V$5:$V$1264,$A8,'Datos - Temas'!$K$5:$K$1264,"PENDIENTE")</f>
        <v/>
      </c>
      <c r="D8" s="11">
        <f>COUNTIFS('Datos - Temas'!$V$5:$V$1264,$A8,'Datos - Temas'!$X$5:$X$1264,1)</f>
        <v/>
      </c>
      <c r="E8" s="13">
        <f>IF(C8=0,0,D8/C8)</f>
        <v/>
      </c>
      <c r="F8" s="15">
        <f>$E$3</f>
        <v/>
      </c>
      <c r="G8" s="32">
        <f>(E8-F8)*100</f>
        <v/>
      </c>
      <c r="H8" s="33">
        <f>IF(ABS(E8-F8)&lt;=$H$3,"Cerca de la referencia",IF(E8&lt;F8,"Menos contenido ambiental que la referencia","Más contenido ambiental que la referencia"))</f>
        <v/>
      </c>
    </row>
    <row r="9">
      <c r="A9" s="11" t="inlineStr">
        <is>
          <t>4°</t>
        </is>
      </c>
      <c r="B9" s="11" t="inlineStr">
        <is>
          <t>TIMSS 2027 4.°</t>
        </is>
      </c>
      <c r="C9" s="11">
        <f>COUNTIFS('Datos - Temas'!$V$5:$V$1264,$A9)-COUNTIFS('Datos - Temas'!$V$5:$V$1264,$A9,'Datos - Temas'!$K$5:$K$1264,"FUERA")-COUNTIFS('Datos - Temas'!$V$5:$V$1264,$A9,'Datos - Temas'!$K$5:$K$1264,"PENDIENTE")</f>
        <v/>
      </c>
      <c r="D9" s="11">
        <f>COUNTIFS('Datos - Temas'!$V$5:$V$1264,$A9,'Datos - Temas'!$X$5:$X$1264,1)</f>
        <v/>
      </c>
      <c r="E9" s="13">
        <f>IF(C9=0,0,D9/C9)</f>
        <v/>
      </c>
      <c r="F9" s="15">
        <f>$E$3</f>
        <v/>
      </c>
      <c r="G9" s="32">
        <f>(E9-F9)*100</f>
        <v/>
      </c>
      <c r="H9" s="33">
        <f>IF(ABS(E9-F9)&lt;=$H$3,"Cerca de la referencia",IF(E9&lt;F9,"Menos contenido ambiental que la referencia","Más contenido ambiental que la referencia"))</f>
        <v/>
      </c>
    </row>
    <row r="10">
      <c r="A10" s="11" t="inlineStr">
        <is>
          <t>5°</t>
        </is>
      </c>
      <c r="B10" s="11" t="inlineStr">
        <is>
          <t>TIMSS 2027 8.°</t>
        </is>
      </c>
      <c r="C10" s="11">
        <f>COUNTIFS('Datos - Temas'!$V$5:$V$1264,$A10)-COUNTIFS('Datos - Temas'!$V$5:$V$1264,$A10,'Datos - Temas'!$K$5:$K$1264,"FUERA")-COUNTIFS('Datos - Temas'!$V$5:$V$1264,$A10,'Datos - Temas'!$K$5:$K$1264,"PENDIENTE")</f>
        <v/>
      </c>
      <c r="D10" s="11">
        <f>COUNTIFS('Datos - Temas'!$V$5:$V$1264,$A10,'Datos - Temas'!$X$5:$X$1264,1)</f>
        <v/>
      </c>
      <c r="E10" s="13">
        <f>IF(C10=0,0,D10/C10)</f>
        <v/>
      </c>
      <c r="F10" s="15">
        <f>$E$3</f>
        <v/>
      </c>
      <c r="G10" s="32">
        <f>(E10-F10)*100</f>
        <v/>
      </c>
      <c r="H10" s="33">
        <f>IF(ABS(E10-F10)&lt;=$H$3,"Cerca de la referencia",IF(E10&lt;F10,"Menos contenido ambiental que la referencia","Más contenido ambiental que la referencia"))</f>
        <v/>
      </c>
    </row>
    <row r="11">
      <c r="A11" s="11" t="inlineStr">
        <is>
          <t>6°</t>
        </is>
      </c>
      <c r="B11" s="11" t="inlineStr">
        <is>
          <t>TIMSS 2027 8.°</t>
        </is>
      </c>
      <c r="C11" s="11">
        <f>COUNTIFS('Datos - Temas'!$V$5:$V$1264,$A11)-COUNTIFS('Datos - Temas'!$V$5:$V$1264,$A11,'Datos - Temas'!$K$5:$K$1264,"FUERA")-COUNTIFS('Datos - Temas'!$V$5:$V$1264,$A11,'Datos - Temas'!$K$5:$K$1264,"PENDIENTE")</f>
        <v/>
      </c>
      <c r="D11" s="11">
        <f>COUNTIFS('Datos - Temas'!$V$5:$V$1264,$A11,'Datos - Temas'!$X$5:$X$1264,1)</f>
        <v/>
      </c>
      <c r="E11" s="13">
        <f>IF(C11=0,0,D11/C11)</f>
        <v/>
      </c>
      <c r="F11" s="15">
        <f>$E$3</f>
        <v/>
      </c>
      <c r="G11" s="32">
        <f>(E11-F11)*100</f>
        <v/>
      </c>
      <c r="H11" s="33">
        <f>IF(ABS(E11-F11)&lt;=$H$3,"Cerca de la referencia",IF(E11&lt;F11,"Menos contenido ambiental que la referencia","Más contenido ambiental que la referencia"))</f>
        <v/>
      </c>
    </row>
    <row r="12">
      <c r="A12" s="11" t="inlineStr">
        <is>
          <t>7°</t>
        </is>
      </c>
      <c r="B12" s="11" t="inlineStr">
        <is>
          <t>TIMSS 2027 8.°</t>
        </is>
      </c>
      <c r="C12" s="11">
        <f>COUNTIFS('Datos - Temas'!$V$5:$V$1264,$A12)-COUNTIFS('Datos - Temas'!$V$5:$V$1264,$A12,'Datos - Temas'!$K$5:$K$1264,"FUERA")-COUNTIFS('Datos - Temas'!$V$5:$V$1264,$A12,'Datos - Temas'!$K$5:$K$1264,"PENDIENTE")</f>
        <v/>
      </c>
      <c r="D12" s="11">
        <f>COUNTIFS('Datos - Temas'!$V$5:$V$1264,$A12,'Datos - Temas'!$X$5:$X$1264,1)</f>
        <v/>
      </c>
      <c r="E12" s="13">
        <f>IF(C12=0,0,D12/C12)</f>
        <v/>
      </c>
      <c r="F12" s="15">
        <f>$E$3</f>
        <v/>
      </c>
      <c r="G12" s="32">
        <f>(E12-F12)*100</f>
        <v/>
      </c>
      <c r="H12" s="33">
        <f>IF(ABS(E12-F12)&lt;=$H$3,"Cerca de la referencia",IF(E12&lt;F12,"Menos contenido ambiental que la referencia","Más contenido ambiental que la referencia"))</f>
        <v/>
      </c>
    </row>
    <row r="13">
      <c r="A13" s="11" t="inlineStr">
        <is>
          <t>8°</t>
        </is>
      </c>
      <c r="B13" s="11" t="inlineStr">
        <is>
          <t>TIMSS 2027 8.°</t>
        </is>
      </c>
      <c r="C13" s="11">
        <f>COUNTIFS('Datos - Temas'!$V$5:$V$1264,$A13)-COUNTIFS('Datos - Temas'!$V$5:$V$1264,$A13,'Datos - Temas'!$K$5:$K$1264,"FUERA")-COUNTIFS('Datos - Temas'!$V$5:$V$1264,$A13,'Datos - Temas'!$K$5:$K$1264,"PENDIENTE")</f>
        <v/>
      </c>
      <c r="D13" s="11">
        <f>COUNTIFS('Datos - Temas'!$V$5:$V$1264,$A13,'Datos - Temas'!$X$5:$X$1264,1)</f>
        <v/>
      </c>
      <c r="E13" s="13">
        <f>IF(C13=0,0,D13/C13)</f>
        <v/>
      </c>
      <c r="F13" s="15">
        <f>$E$3</f>
        <v/>
      </c>
      <c r="G13" s="32">
        <f>(E13-F13)*100</f>
        <v/>
      </c>
      <c r="H13" s="33">
        <f>IF(ABS(E13-F13)&lt;=$H$3,"Cerca de la referencia",IF(E13&lt;F13,"Menos contenido ambiental que la referencia","Más contenido ambiental que la referencia"))</f>
        <v/>
      </c>
    </row>
    <row r="14"/>
    <row r="15">
      <c r="A15" s="16" t="inlineStr">
        <is>
          <t>Por ciclo</t>
        </is>
      </c>
    </row>
    <row r="16">
      <c r="A16" s="11" t="inlineStr">
        <is>
          <t>Ciclo 2°–4°</t>
        </is>
      </c>
      <c r="B16" s="11" t="inlineStr">
        <is>
          <t>TIMSS 2027 4.°</t>
        </is>
      </c>
      <c r="C16" s="11">
        <f>COUNTIFS('Datos - Temas'!$W$5:$W$1264,$A16)-COUNTIFS('Datos - Temas'!$W$5:$W$1264,$A16,'Datos - Temas'!$K$5:$K$1264,"FUERA")-COUNTIFS('Datos - Temas'!$W$5:$W$1264,$A16,'Datos - Temas'!$K$5:$K$1264,"PENDIENTE")</f>
        <v/>
      </c>
      <c r="D16" s="11">
        <f>COUNTIFS('Datos - Temas'!$W$5:$W$1264,$A16,'Datos - Temas'!$X$5:$X$1264,1)</f>
        <v/>
      </c>
      <c r="E16" s="13">
        <f>IF(C16=0,0,D16/C16)</f>
        <v/>
      </c>
      <c r="F16" s="15">
        <f>$E$3</f>
        <v/>
      </c>
      <c r="G16" s="32">
        <f>(E16-F16)*100</f>
        <v/>
      </c>
      <c r="H16" s="33">
        <f>IF(ABS(E16-F16)&lt;=$H$3,"Cerca de la referencia",IF(E16&lt;F16,"Menos contenido ambiental que la referencia","Más contenido ambiental que la referencia"))</f>
        <v/>
      </c>
    </row>
    <row r="17">
      <c r="A17" s="11" t="inlineStr">
        <is>
          <t>Ciclo 5°–8°</t>
        </is>
      </c>
      <c r="B17" s="11" t="inlineStr">
        <is>
          <t>TIMSS 2027 8.°</t>
        </is>
      </c>
      <c r="C17" s="11">
        <f>COUNTIFS('Datos - Temas'!$W$5:$W$1264,$A17)-COUNTIFS('Datos - Temas'!$W$5:$W$1264,$A17,'Datos - Temas'!$K$5:$K$1264,"FUERA")-COUNTIFS('Datos - Temas'!$W$5:$W$1264,$A17,'Datos - Temas'!$K$5:$K$1264,"PENDIENTE")</f>
        <v/>
      </c>
      <c r="D17" s="11">
        <f>COUNTIFS('Datos - Temas'!$W$5:$W$1264,$A17,'Datos - Temas'!$X$5:$X$1264,1)</f>
        <v/>
      </c>
      <c r="E17" s="13">
        <f>IF(C17=0,0,D17/C17)</f>
        <v/>
      </c>
      <c r="F17" s="15">
        <f>$E$3</f>
        <v/>
      </c>
      <c r="G17" s="32">
        <f>(E17-F17)*100</f>
        <v/>
      </c>
      <c r="H17" s="33">
        <f>IF(ABS(E17-F17)&lt;=$H$3,"Cerca de la referencia",IF(E17&lt;F17,"Menos contenido ambiental que la referencia","Más contenido ambiental que la referencia"))</f>
        <v/>
      </c>
    </row>
    <row r="18"/>
    <row r="19"/>
    <row r="20">
      <c r="A20" s="16" t="inlineStr">
        <is>
          <t>Objetivos ambientales de TIMSS 2027 y su cobertura en el ciclo que evalúa cada marco</t>
        </is>
      </c>
    </row>
    <row r="21" ht="32" customHeight="1">
      <c r="A21" s="10" t="inlineStr">
        <is>
          <t>Código</t>
        </is>
      </c>
      <c r="B21" s="10" t="inlineStr">
        <is>
          <t>Marco</t>
        </is>
      </c>
      <c r="C21" s="10" t="inlineStr">
        <is>
          <t>Dominio</t>
        </is>
      </c>
      <c r="D21" s="10" t="inlineStr">
        <is>
          <t>Objetivo</t>
        </is>
      </c>
      <c r="E21" s="10" t="inlineStr">
        <is>
          <t>Temas en su ciclo</t>
        </is>
      </c>
      <c r="F21" s="10" t="inlineStr">
        <is>
          <t>Profundidad</t>
        </is>
      </c>
      <c r="G21" s="10" t="inlineStr"/>
      <c r="H21" s="10" t="inlineStr"/>
    </row>
    <row r="22">
      <c r="A22" s="30" t="inlineStr">
        <is>
          <t>T4_27-B1.1</t>
        </is>
      </c>
      <c r="B22" s="30" t="inlineStr">
        <is>
          <t>T4_27</t>
        </is>
      </c>
      <c r="C22" s="30" t="inlineStr">
        <is>
          <t>Biología</t>
        </is>
      </c>
      <c r="D22" s="30" t="inlineStr">
        <is>
          <t>Diferencias entre seres vivos y no vivos, y lo que los seres vivos necesitan para vivir</t>
        </is>
      </c>
      <c r="E22" s="17">
        <f>INDEX('TIMSS - Semáforo de objetivos'!$O$5:$O$107,MATCH($A22,'TIMSS - Semáforo de objetivos'!$A$5:$A$107,0))</f>
        <v/>
      </c>
      <c r="F22" s="17">
        <f>INDEX('TIMSS - Semáforo de objetivos'!$R$5:$R$107,MATCH($A22,'TIMSS - Semáforo de objetivos'!$A$5:$A$107,0))</f>
        <v/>
      </c>
    </row>
    <row r="23">
      <c r="A23" s="30" t="inlineStr">
        <is>
          <t>T4_27-B1.4</t>
        </is>
      </c>
      <c r="B23" s="30" t="inlineStr">
        <is>
          <t>T4_27</t>
        </is>
      </c>
      <c r="C23" s="30" t="inlineStr">
        <is>
          <t>Biología</t>
        </is>
      </c>
      <c r="D23" s="30" t="inlineStr">
        <is>
          <t>Obtención de alimento y respuesta de los seres vivos a cambios externos</t>
        </is>
      </c>
      <c r="E23" s="17">
        <f>INDEX('TIMSS - Semáforo de objetivos'!$O$5:$O$107,MATCH($A23,'TIMSS - Semáforo de objetivos'!$A$5:$A$107,0))</f>
        <v/>
      </c>
      <c r="F23" s="17">
        <f>INDEX('TIMSS - Semáforo de objetivos'!$R$5:$R$107,MATCH($A23,'TIMSS - Semáforo de objetivos'!$A$5:$A$107,0))</f>
        <v/>
      </c>
    </row>
    <row r="24">
      <c r="A24" s="30" t="inlineStr">
        <is>
          <t>T4_27-B3.1</t>
        </is>
      </c>
      <c r="B24" s="30" t="inlineStr">
        <is>
          <t>T4_27</t>
        </is>
      </c>
      <c r="C24" s="30" t="inlineStr">
        <is>
          <t>Biología</t>
        </is>
      </c>
      <c r="D24" s="30" t="inlineStr">
        <is>
          <t>Rasgos físicos y conductas que ayudan a sobrevivir en el ambiente</t>
        </is>
      </c>
      <c r="E24" s="17">
        <f>INDEX('TIMSS - Semáforo de objetivos'!$O$5:$O$107,MATCH($A24,'TIMSS - Semáforo de objetivos'!$A$5:$A$107,0))</f>
        <v/>
      </c>
      <c r="F24" s="17">
        <f>INDEX('TIMSS - Semáforo de objetivos'!$R$5:$R$107,MATCH($A24,'TIMSS - Semáforo de objetivos'!$A$5:$A$107,0))</f>
        <v/>
      </c>
    </row>
    <row r="25">
      <c r="A25" s="30" t="inlineStr">
        <is>
          <t>T4_27-B4.1</t>
        </is>
      </c>
      <c r="B25" s="30" t="inlineStr">
        <is>
          <t>T4_27</t>
        </is>
      </c>
      <c r="C25" s="30" t="inlineStr">
        <is>
          <t>Biología</t>
        </is>
      </c>
      <c r="D25" s="30" t="inlineStr">
        <is>
          <t>Ecosistemas comunes</t>
        </is>
      </c>
      <c r="E25" s="17">
        <f>INDEX('TIMSS - Semáforo de objetivos'!$O$5:$O$107,MATCH($A25,'TIMSS - Semáforo de objetivos'!$A$5:$A$107,0))</f>
        <v/>
      </c>
      <c r="F25" s="17">
        <f>INDEX('TIMSS - Semáforo de objetivos'!$R$5:$R$107,MATCH($A25,'TIMSS - Semáforo de objetivos'!$A$5:$A$107,0))</f>
        <v/>
      </c>
    </row>
    <row r="26">
      <c r="A26" s="30" t="inlineStr">
        <is>
          <t>T4_27-B4.2</t>
        </is>
      </c>
      <c r="B26" s="30" t="inlineStr">
        <is>
          <t>T4_27</t>
        </is>
      </c>
      <c r="C26" s="30" t="inlineStr">
        <is>
          <t>Biología</t>
        </is>
      </c>
      <c r="D26" s="30" t="inlineStr">
        <is>
          <t>Relaciones en los ecosistemas</t>
        </is>
      </c>
      <c r="E26" s="17">
        <f>INDEX('TIMSS - Semáforo de objetivos'!$O$5:$O$107,MATCH($A26,'TIMSS - Semáforo de objetivos'!$A$5:$A$107,0))</f>
        <v/>
      </c>
      <c r="F26" s="17">
        <f>INDEX('TIMSS - Semáforo de objetivos'!$R$5:$R$107,MATCH($A26,'TIMSS - Semáforo de objetivos'!$A$5:$A$107,0))</f>
        <v/>
      </c>
    </row>
    <row r="27">
      <c r="A27" s="30" t="inlineStr">
        <is>
          <t>T4_27-B4.3</t>
        </is>
      </c>
      <c r="B27" s="30" t="inlineStr">
        <is>
          <t>T4_27</t>
        </is>
      </c>
      <c r="C27" s="30" t="inlineStr">
        <is>
          <t>Biología</t>
        </is>
      </c>
      <c r="D27" s="30" t="inlineStr">
        <is>
          <t>Impacto humano en los ecosistemas</t>
        </is>
      </c>
      <c r="E27" s="17">
        <f>INDEX('TIMSS - Semáforo de objetivos'!$O$5:$O$107,MATCH($A27,'TIMSS - Semáforo de objetivos'!$A$5:$A$107,0))</f>
        <v/>
      </c>
      <c r="F27" s="17">
        <f>INDEX('TIMSS - Semáforo de objetivos'!$R$5:$R$107,MATCH($A27,'TIMSS - Semáforo de objetivos'!$A$5:$A$107,0))</f>
        <v/>
      </c>
    </row>
    <row r="28">
      <c r="A28" s="30" t="inlineStr">
        <is>
          <t>T4_27-E1.1</t>
        </is>
      </c>
      <c r="B28" s="30" t="inlineStr">
        <is>
          <t>T4_27</t>
        </is>
      </c>
      <c r="C28" s="30" t="inlineStr">
        <is>
          <t>Ciencias de la Tierra</t>
        </is>
      </c>
      <c r="D28" s="30" t="inlineStr">
        <is>
          <t>Características físicas de la superficie terrestre</t>
        </is>
      </c>
      <c r="E28" s="17">
        <f>INDEX('TIMSS - Semáforo de objetivos'!$O$5:$O$107,MATCH($A28,'TIMSS - Semáforo de objetivos'!$A$5:$A$107,0))</f>
        <v/>
      </c>
      <c r="F28" s="17">
        <f>INDEX('TIMSS - Semáforo de objetivos'!$R$5:$R$107,MATCH($A28,'TIMSS - Semáforo de objetivos'!$A$5:$A$107,0))</f>
        <v/>
      </c>
    </row>
    <row r="29">
      <c r="A29" s="30" t="inlineStr">
        <is>
          <t>T4_27-E2.1</t>
        </is>
      </c>
      <c r="B29" s="30" t="inlineStr">
        <is>
          <t>T4_27</t>
        </is>
      </c>
      <c r="C29" s="30" t="inlineStr">
        <is>
          <t>Ciencias de la Tierra</t>
        </is>
      </c>
      <c r="D29" s="30" t="inlineStr">
        <is>
          <t>Tiempo atmosférico y climas</t>
        </is>
      </c>
      <c r="E29" s="17">
        <f>INDEX('TIMSS - Semáforo de objetivos'!$O$5:$O$107,MATCH($A29,'TIMSS - Semáforo de objetivos'!$A$5:$A$107,0))</f>
        <v/>
      </c>
      <c r="F29" s="17">
        <f>INDEX('TIMSS - Semáforo de objetivos'!$R$5:$R$107,MATCH($A29,'TIMSS - Semáforo de objetivos'!$A$5:$A$107,0))</f>
        <v/>
      </c>
    </row>
    <row r="30">
      <c r="A30" s="30" t="inlineStr">
        <is>
          <t>T4_27-E3.1</t>
        </is>
      </c>
      <c r="B30" s="30" t="inlineStr">
        <is>
          <t>T4_27</t>
        </is>
      </c>
      <c r="C30" s="30" t="inlineStr">
        <is>
          <t>Ciencias de la Tierra</t>
        </is>
      </c>
      <c r="D30" s="30" t="inlineStr">
        <is>
          <t>Recursos de la Tierra</t>
        </is>
      </c>
      <c r="E30" s="17">
        <f>INDEX('TIMSS - Semáforo de objetivos'!$O$5:$O$107,MATCH($A30,'TIMSS - Semáforo de objetivos'!$A$5:$A$107,0))</f>
        <v/>
      </c>
      <c r="F30" s="17">
        <f>INDEX('TIMSS - Semáforo de objetivos'!$R$5:$R$107,MATCH($A30,'TIMSS - Semáforo de objetivos'!$A$5:$A$107,0))</f>
        <v/>
      </c>
    </row>
    <row r="31">
      <c r="A31" s="30" t="inlineStr">
        <is>
          <t>T8_27-B1.3</t>
        </is>
      </c>
      <c r="B31" s="30" t="inlineStr">
        <is>
          <t>T8_27</t>
        </is>
      </c>
      <c r="C31" s="30" t="inlineStr">
        <is>
          <t>Biología</t>
        </is>
      </c>
      <c r="D31" s="30" t="inlineStr">
        <is>
          <t>Procesos fisiológicos en plantas y animales</t>
        </is>
      </c>
      <c r="E31" s="17">
        <f>INDEX('TIMSS - Semáforo de objetivos'!$O$5:$O$107,MATCH($A31,'TIMSS - Semáforo de objetivos'!$A$5:$A$107,0))</f>
        <v/>
      </c>
      <c r="F31" s="17">
        <f>INDEX('TIMSS - Semáforo de objetivos'!$R$5:$R$107,MATCH($A31,'TIMSS - Semáforo de objetivos'!$A$5:$A$107,0))</f>
        <v/>
      </c>
    </row>
    <row r="32">
      <c r="A32" s="30" t="inlineStr">
        <is>
          <t>T8_27-B5.1</t>
        </is>
      </c>
      <c r="B32" s="30" t="inlineStr">
        <is>
          <t>T8_27</t>
        </is>
      </c>
      <c r="C32" s="30" t="inlineStr">
        <is>
          <t>Biología</t>
        </is>
      </c>
      <c r="D32" s="30" t="inlineStr">
        <is>
          <t>Ecosistemas naturales, urbanos y rurales</t>
        </is>
      </c>
      <c r="E32" s="17">
        <f>INDEX('TIMSS - Semáforo de objetivos'!$O$5:$O$107,MATCH($A32,'TIMSS - Semáforo de objetivos'!$A$5:$A$107,0))</f>
        <v/>
      </c>
      <c r="F32" s="17">
        <f>INDEX('TIMSS - Semáforo de objetivos'!$R$5:$R$107,MATCH($A32,'TIMSS - Semáforo de objetivos'!$A$5:$A$107,0))</f>
        <v/>
      </c>
    </row>
    <row r="33">
      <c r="A33" s="30" t="inlineStr">
        <is>
          <t>T8_27-B5.2</t>
        </is>
      </c>
      <c r="B33" s="30" t="inlineStr">
        <is>
          <t>T8_27</t>
        </is>
      </c>
      <c r="C33" s="30" t="inlineStr">
        <is>
          <t>Biología</t>
        </is>
      </c>
      <c r="D33" s="30" t="inlineStr">
        <is>
          <t>Flujo de energía en los ecosistemas</t>
        </is>
      </c>
      <c r="E33" s="17">
        <f>INDEX('TIMSS - Semáforo de objetivos'!$O$5:$O$107,MATCH($A33,'TIMSS - Semáforo de objetivos'!$A$5:$A$107,0))</f>
        <v/>
      </c>
      <c r="F33" s="17">
        <f>INDEX('TIMSS - Semáforo de objetivos'!$R$5:$R$107,MATCH($A33,'TIMSS - Semáforo de objetivos'!$A$5:$A$107,0))</f>
        <v/>
      </c>
    </row>
    <row r="34">
      <c r="A34" s="30" t="inlineStr">
        <is>
          <t>T8_27-B5.3</t>
        </is>
      </c>
      <c r="B34" s="30" t="inlineStr">
        <is>
          <t>T8_27</t>
        </is>
      </c>
      <c r="C34" s="30" t="inlineStr">
        <is>
          <t>Biología</t>
        </is>
      </c>
      <c r="D34" s="30" t="inlineStr">
        <is>
          <t>Ciclos del agua, el oxígeno y el carbono en los ecosistemas</t>
        </is>
      </c>
      <c r="E34" s="17">
        <f>INDEX('TIMSS - Semáforo de objetivos'!$O$5:$O$107,MATCH($A34,'TIMSS - Semáforo de objetivos'!$A$5:$A$107,0))</f>
        <v/>
      </c>
      <c r="F34" s="17">
        <f>INDEX('TIMSS - Semáforo de objetivos'!$R$5:$R$107,MATCH($A34,'TIMSS - Semáforo de objetivos'!$A$5:$A$107,0))</f>
        <v/>
      </c>
    </row>
    <row r="35">
      <c r="A35" s="30" t="inlineStr">
        <is>
          <t>T8_27-B5.4</t>
        </is>
      </c>
      <c r="B35" s="30" t="inlineStr">
        <is>
          <t>T8_27</t>
        </is>
      </c>
      <c r="C35" s="30" t="inlineStr">
        <is>
          <t>Biología</t>
        </is>
      </c>
      <c r="D35" s="30" t="inlineStr">
        <is>
          <t>Relaciones en los ecosistemas</t>
        </is>
      </c>
      <c r="E35" s="17">
        <f>INDEX('TIMSS - Semáforo de objetivos'!$O$5:$O$107,MATCH($A35,'TIMSS - Semáforo de objetivos'!$A$5:$A$107,0))</f>
        <v/>
      </c>
      <c r="F35" s="17">
        <f>INDEX('TIMSS - Semáforo de objetivos'!$R$5:$R$107,MATCH($A35,'TIMSS - Semáforo de objetivos'!$A$5:$A$107,0))</f>
        <v/>
      </c>
    </row>
    <row r="36">
      <c r="A36" s="30" t="inlineStr">
        <is>
          <t>T8_27-B5.5</t>
        </is>
      </c>
      <c r="B36" s="30" t="inlineStr">
        <is>
          <t>T8_27</t>
        </is>
      </c>
      <c r="C36" s="30" t="inlineStr">
        <is>
          <t>Biología</t>
        </is>
      </c>
      <c r="D36" s="30" t="inlineStr">
        <is>
          <t>Factores que afectan el tamaño de las poblaciones</t>
        </is>
      </c>
      <c r="E36" s="17">
        <f>INDEX('TIMSS - Semáforo de objetivos'!$O$5:$O$107,MATCH($A36,'TIMSS - Semáforo de objetivos'!$A$5:$A$107,0))</f>
        <v/>
      </c>
      <c r="F36" s="17">
        <f>INDEX('TIMSS - Semáforo de objetivos'!$R$5:$R$107,MATCH($A36,'TIMSS - Semáforo de objetivos'!$A$5:$A$107,0))</f>
        <v/>
      </c>
    </row>
    <row r="37">
      <c r="A37" s="30" t="inlineStr">
        <is>
          <t>T8_27-B5.6</t>
        </is>
      </c>
      <c r="B37" s="30" t="inlineStr">
        <is>
          <t>T8_27</t>
        </is>
      </c>
      <c r="C37" s="30" t="inlineStr">
        <is>
          <t>Biología</t>
        </is>
      </c>
      <c r="D37" s="30" t="inlineStr">
        <is>
          <t>Impacto humano en los ecosistemas</t>
        </is>
      </c>
      <c r="E37" s="17">
        <f>INDEX('TIMSS - Semáforo de objetivos'!$O$5:$O$107,MATCH($A37,'TIMSS - Semáforo de objetivos'!$A$5:$A$107,0))</f>
        <v/>
      </c>
      <c r="F37" s="17">
        <f>INDEX('TIMSS - Semáforo de objetivos'!$R$5:$R$107,MATCH($A37,'TIMSS - Semáforo de objetivos'!$A$5:$A$107,0))</f>
        <v/>
      </c>
    </row>
    <row r="38">
      <c r="A38" s="30" t="inlineStr">
        <is>
          <t>T8_27-E1.1</t>
        </is>
      </c>
      <c r="B38" s="30" t="inlineStr">
        <is>
          <t>T8_27</t>
        </is>
      </c>
      <c r="C38" s="30" t="inlineStr">
        <is>
          <t>Ciencias de la Tierra</t>
        </is>
      </c>
      <c r="D38" s="30" t="inlineStr">
        <is>
          <t>Estructura de la Tierra y distribución del agua</t>
        </is>
      </c>
      <c r="E38" s="17">
        <f>INDEX('TIMSS - Semáforo de objetivos'!$O$5:$O$107,MATCH($A38,'TIMSS - Semáforo de objetivos'!$A$5:$A$107,0))</f>
        <v/>
      </c>
      <c r="F38" s="17">
        <f>INDEX('TIMSS - Semáforo de objetivos'!$R$5:$R$107,MATCH($A38,'TIMSS - Semáforo de objetivos'!$A$5:$A$107,0))</f>
        <v/>
      </c>
    </row>
    <row r="39">
      <c r="A39" s="30" t="inlineStr">
        <is>
          <t>T8_27-E1.2</t>
        </is>
      </c>
      <c r="B39" s="30" t="inlineStr">
        <is>
          <t>T8_27</t>
        </is>
      </c>
      <c r="C39" s="30" t="inlineStr">
        <is>
          <t>Ciencias de la Tierra</t>
        </is>
      </c>
      <c r="D39" s="30" t="inlineStr">
        <is>
          <t>Procesos geológicos</t>
        </is>
      </c>
      <c r="E39" s="17">
        <f>INDEX('TIMSS - Semáforo de objetivos'!$O$5:$O$107,MATCH($A39,'TIMSS - Semáforo de objetivos'!$A$5:$A$107,0))</f>
        <v/>
      </c>
      <c r="F39" s="17">
        <f>INDEX('TIMSS - Semáforo de objetivos'!$R$5:$R$107,MATCH($A39,'TIMSS - Semáforo de objetivos'!$A$5:$A$107,0))</f>
        <v/>
      </c>
    </row>
    <row r="40">
      <c r="A40" s="30" t="inlineStr">
        <is>
          <t>T8_27-E2.1</t>
        </is>
      </c>
      <c r="B40" s="30" t="inlineStr">
        <is>
          <t>T8_27</t>
        </is>
      </c>
      <c r="C40" s="30" t="inlineStr">
        <is>
          <t>Ciencias de la Tierra</t>
        </is>
      </c>
      <c r="D40" s="30" t="inlineStr">
        <is>
          <t>Componentes de la atmósfera y condiciones atmosféricas</t>
        </is>
      </c>
      <c r="E40" s="17">
        <f>INDEX('TIMSS - Semáforo de objetivos'!$O$5:$O$107,MATCH($A40,'TIMSS - Semáforo de objetivos'!$A$5:$A$107,0))</f>
        <v/>
      </c>
      <c r="F40" s="17">
        <f>INDEX('TIMSS - Semáforo de objetivos'!$R$5:$R$107,MATCH($A40,'TIMSS - Semáforo de objetivos'!$A$5:$A$107,0))</f>
        <v/>
      </c>
    </row>
    <row r="41">
      <c r="A41" s="30" t="inlineStr">
        <is>
          <t>T8_27-E2.2</t>
        </is>
      </c>
      <c r="B41" s="30" t="inlineStr">
        <is>
          <t>T8_27</t>
        </is>
      </c>
      <c r="C41" s="30" t="inlineStr">
        <is>
          <t>Ciencias de la Tierra</t>
        </is>
      </c>
      <c r="D41" s="30" t="inlineStr">
        <is>
          <t>El ciclo del agua</t>
        </is>
      </c>
      <c r="E41" s="17">
        <f>INDEX('TIMSS - Semáforo de objetivos'!$O$5:$O$107,MATCH($A41,'TIMSS - Semáforo de objetivos'!$A$5:$A$107,0))</f>
        <v/>
      </c>
      <c r="F41" s="17">
        <f>INDEX('TIMSS - Semáforo de objetivos'!$R$5:$R$107,MATCH($A41,'TIMSS - Semáforo de objetivos'!$A$5:$A$107,0))</f>
        <v/>
      </c>
    </row>
    <row r="42">
      <c r="A42" s="30" t="inlineStr">
        <is>
          <t>T8_27-E2.3</t>
        </is>
      </c>
      <c r="B42" s="30" t="inlineStr">
        <is>
          <t>T8_27</t>
        </is>
      </c>
      <c r="C42" s="30" t="inlineStr">
        <is>
          <t>Ciencias de la Tierra</t>
        </is>
      </c>
      <c r="D42" s="30" t="inlineStr">
        <is>
          <t>Tiempo atmosférico y clima</t>
        </is>
      </c>
      <c r="E42" s="17">
        <f>INDEX('TIMSS - Semáforo de objetivos'!$O$5:$O$107,MATCH($A42,'TIMSS - Semáforo de objetivos'!$A$5:$A$107,0))</f>
        <v/>
      </c>
      <c r="F42" s="17">
        <f>INDEX('TIMSS - Semáforo de objetivos'!$R$5:$R$107,MATCH($A42,'TIMSS - Semáforo de objetivos'!$A$5:$A$107,0))</f>
        <v/>
      </c>
    </row>
    <row r="43">
      <c r="A43" s="30" t="inlineStr">
        <is>
          <t>T8_27-E2.4</t>
        </is>
      </c>
      <c r="B43" s="30" t="inlineStr">
        <is>
          <t>T8_27</t>
        </is>
      </c>
      <c r="C43" s="30" t="inlineStr">
        <is>
          <t>Ciencias de la Tierra</t>
        </is>
      </c>
      <c r="D43" s="30" t="inlineStr">
        <is>
          <t>Cambio climático</t>
        </is>
      </c>
      <c r="E43" s="17">
        <f>INDEX('TIMSS - Semáforo de objetivos'!$O$5:$O$107,MATCH($A43,'TIMSS - Semáforo de objetivos'!$A$5:$A$107,0))</f>
        <v/>
      </c>
      <c r="F43" s="17">
        <f>INDEX('TIMSS - Semáforo de objetivos'!$R$5:$R$107,MATCH($A43,'TIMSS - Semáforo de objetivos'!$A$5:$A$107,0))</f>
        <v/>
      </c>
    </row>
    <row r="44">
      <c r="A44" s="30" t="inlineStr">
        <is>
          <t>T8_27-E3.1</t>
        </is>
      </c>
      <c r="B44" s="30" t="inlineStr">
        <is>
          <t>T8_27</t>
        </is>
      </c>
      <c r="C44" s="30" t="inlineStr">
        <is>
          <t>Ciencias de la Tierra</t>
        </is>
      </c>
      <c r="D44" s="30" t="inlineStr">
        <is>
          <t>Fuentes de energía</t>
        </is>
      </c>
      <c r="E44" s="17">
        <f>INDEX('TIMSS - Semáforo de objetivos'!$O$5:$O$107,MATCH($A44,'TIMSS - Semáforo de objetivos'!$A$5:$A$107,0))</f>
        <v/>
      </c>
      <c r="F44" s="17">
        <f>INDEX('TIMSS - Semáforo de objetivos'!$R$5:$R$107,MATCH($A44,'TIMSS - Semáforo de objetivos'!$A$5:$A$107,0))</f>
        <v/>
      </c>
    </row>
    <row r="45">
      <c r="A45" s="30" t="inlineStr">
        <is>
          <t>T8_27-E3.2</t>
        </is>
      </c>
      <c r="B45" s="30" t="inlineStr">
        <is>
          <t>T8_27</t>
        </is>
      </c>
      <c r="C45" s="30" t="inlineStr">
        <is>
          <t>Ciencias de la Tierra</t>
        </is>
      </c>
      <c r="D45" s="30" t="inlineStr">
        <is>
          <t>Gestión de los recursos de la Tierra</t>
        </is>
      </c>
      <c r="E45" s="17">
        <f>INDEX('TIMSS - Semáforo de objetivos'!$O$5:$O$107,MATCH($A45,'TIMSS - Semáforo de objetivos'!$A$5:$A$107,0))</f>
        <v/>
      </c>
      <c r="F45" s="17">
        <f>INDEX('TIMSS - Semáforo de objetivos'!$R$5:$R$107,MATCH($A45,'TIMSS - Semáforo de objetivos'!$A$5:$A$107,0))</f>
        <v/>
      </c>
    </row>
    <row r="46"/>
    <row r="47" ht="32" customHeight="1">
      <c r="A47" s="10" t="inlineStr">
        <is>
          <t>Marco</t>
        </is>
      </c>
      <c r="B47" s="10" t="inlineStr">
        <is>
          <t>Objetivos ambientales</t>
        </is>
      </c>
      <c r="C47" s="10" t="inlineStr">
        <is>
          <t>Cubiertos en su ciclo</t>
        </is>
      </c>
      <c r="D47" s="10" t="inlineStr">
        <is>
          <t>% cubierto</t>
        </is>
      </c>
      <c r="E47" s="10" t="inlineStr">
        <is>
          <t>No cubiertos</t>
        </is>
      </c>
      <c r="F47" s="10" t="inlineStr">
        <is>
          <t>Débiles (1 tema)</t>
        </is>
      </c>
    </row>
    <row r="48">
      <c r="A48" s="23" t="inlineStr">
        <is>
          <t>T4_27</t>
        </is>
      </c>
      <c r="B48" s="23">
        <f>COUNTIFS($B$22:$B$45,$A48)</f>
        <v/>
      </c>
      <c r="C48" s="23">
        <f>COUNTIFS($B$22:$B$45,$A48,$E$22:$E$45,"&gt;0")</f>
        <v/>
      </c>
      <c r="D48" s="24">
        <f>IF(B48=0,0,C48/B48)</f>
        <v/>
      </c>
      <c r="E48" s="23">
        <f>B48-C48</f>
        <v/>
      </c>
      <c r="F48" s="23">
        <f>COUNTIFS($B$22:$B$45,$A48,$F$22:$F$45,"Débil (1 tema)")</f>
        <v/>
      </c>
    </row>
    <row r="49">
      <c r="A49" s="23" t="inlineStr">
        <is>
          <t>T8_27</t>
        </is>
      </c>
      <c r="B49" s="23">
        <f>COUNTIFS($B$22:$B$45,$A49)</f>
        <v/>
      </c>
      <c r="C49" s="23">
        <f>COUNTIFS($B$22:$B$45,$A49,$E$22:$E$45,"&gt;0")</f>
        <v/>
      </c>
      <c r="D49" s="24">
        <f>IF(B49=0,0,C49/B49)</f>
        <v/>
      </c>
      <c r="E49" s="23">
        <f>B49-C49</f>
        <v/>
      </c>
      <c r="F49" s="23">
        <f>COUNTIFS($B$22:$B$45,$A49,$F$22:$F$45,"Débil (1 tema)")</f>
        <v/>
      </c>
    </row>
    <row r="50"/>
    <row r="51" ht="56" customHeight="1">
      <c r="A51" s="2" t="inlineStr">
        <is>
          <t>Cómo se calcula: TIMSS 2027 marca con asterisco los objetivos de Biología y Ciencias de la Tierra que forman la subescala de conocimiento ambiental (≈25 % de los ítems de la prueba). Un tema cuenta como ambiental si su objetivo principal o secundario es uno de ellos (columna X de Temas). La referencia de 25 % es la proporción de ítems de la prueba, no una meta curricular: úsala como orientación.</t>
        </is>
      </c>
    </row>
  </sheetData>
  <mergeCells count="2">
    <mergeCell ref="A51:L51"/>
    <mergeCell ref="A2:L2"/>
  </mergeCells>
  <conditionalFormatting sqref="H6:H19">
    <cfRule type="expression" priority="1" dxfId="2">
      <formula>LEFT(H6,5)="Menos"</formula>
    </cfRule>
    <cfRule type="expression" priority="2" dxfId="4">
      <formula>LEFT(H6,5)="Cerca"</formula>
    </cfRule>
    <cfRule type="expression" priority="3" dxfId="1">
      <formula>LEFT(H6,4)="Más "</formula>
    </cfRule>
  </conditionalFormatting>
  <conditionalFormatting sqref="F22:F45">
    <cfRule type="cellIs" priority="4" operator="equal" dxfId="2">
      <formula>"No cubierto"</formula>
    </cfRule>
    <cfRule type="cellIs" priority="5" operator="equal" dxfId="1">
      <formula>"Débil (1 tema)"</formula>
    </cfRule>
    <cfRule type="cellIs" priority="6" operator="equal" dxfId="4">
      <formula>"Sólida (4+)"</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8C6D1F"/>
    <outlinePr summaryBelow="1" summaryRight="1"/>
    <pageSetUpPr/>
  </sheetPr>
  <dimension ref="A1:L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1" customWidth="1" min="2" max="2"/>
    <col width="14" customWidth="1" min="3" max="3"/>
    <col width="14" customWidth="1" min="4" max="4"/>
    <col width="14" customWidth="1" min="5" max="5"/>
    <col width="11" customWidth="1" min="6" max="6"/>
    <col width="14" customWidth="1" min="7" max="7"/>
    <col width="16" customWidth="1" min="8" max="8"/>
    <col width="10" customWidth="1" min="9" max="9"/>
  </cols>
  <sheetData>
    <row r="1">
      <c r="A1" s="6" t="inlineStr">
        <is>
          <t>TIMSS - Investigación: temas cuyo foco es la práctica científica (áreas nuevas de TIMSS 2027)</t>
        </is>
      </c>
    </row>
    <row r="2" ht="68" customHeight="1">
      <c r="A2" s="7">
        <f>"TIMSS 2027 (2.°–8.°)"&amp;"
"&amp;"● Temas centrados en investigar: "&amp;C15&amp;" en 2.°–4.° y "&amp;C16&amp;" en 5.°–8.°."&amp;"
"&amp;"● "&amp;(H15+H16)&amp;" temas que TIMSS 2023 dejaba fuera ahora cuentan (área nueva de 2027)."&amp;"
"&amp;"→ Investigar = el foco es medir, registrar, analizar datos o concluir."</f>
        <v/>
      </c>
      <c r="B2" s="8" t="n"/>
      <c r="C2" s="8" t="n"/>
      <c r="D2" s="8" t="n"/>
      <c r="E2" s="8" t="n"/>
      <c r="F2" s="8" t="n"/>
      <c r="G2" s="8" t="n"/>
      <c r="H2" s="8" t="n"/>
      <c r="I2" s="8" t="n"/>
      <c r="J2" s="8" t="n"/>
      <c r="K2" s="8" t="n"/>
      <c r="L2" s="9" t="n"/>
    </row>
    <row r="3"/>
    <row r="4" ht="58" customHeight="1">
      <c r="A4" s="10" t="inlineStr">
        <is>
          <t>Grado / ciclo</t>
        </is>
      </c>
      <c r="B4" s="10" t="inlineStr">
        <is>
          <t>Temas evaluables</t>
        </is>
      </c>
      <c r="C4" s="10" t="inlineStr">
        <is>
          <t>Investigaciones como principal</t>
        </is>
      </c>
      <c r="D4" s="10" t="inlineStr">
        <is>
          <t>Investigaciones solo como secundario</t>
        </is>
      </c>
      <c r="E4" s="10" t="inlineStr">
        <is>
          <t>Total de temas con Investigaciones</t>
        </is>
      </c>
      <c r="F4" s="10" t="inlineStr">
        <is>
          <t>% de los evaluables</t>
        </is>
      </c>
      <c r="G4" s="10" t="inlineStr">
        <is>
          <t>Principales que eran FUERA en v1</t>
        </is>
      </c>
      <c r="H4" s="10" t="inlineStr">
        <is>
          <t>FUERA en v1 que ya no lo son (cualquier objetivo)</t>
        </is>
      </c>
      <c r="I4" s="10" t="inlineStr">
        <is>
          <t>Siguen FUERA</t>
        </is>
      </c>
    </row>
    <row r="5">
      <c r="A5" s="16" t="inlineStr">
        <is>
          <t>Por grado</t>
        </is>
      </c>
    </row>
    <row r="6">
      <c r="A6" s="11" t="inlineStr">
        <is>
          <t>2°</t>
        </is>
      </c>
      <c r="B6" s="11">
        <f>COUNTIFS('Datos - Temas'!$V$5:$V$1264,$A6)-COUNTIFS('Datos - Temas'!$V$5:$V$1264,$A6,'Datos - Temas'!$K$5:$K$1264,"FUERA")-COUNTIFS('Datos - Temas'!$V$5:$V$1264,$A6,'Datos - Temas'!$K$5:$K$1264,"PENDIENTE")</f>
        <v/>
      </c>
      <c r="C6" s="11">
        <f>COUNTIFS('Datos - Temas'!$V$5:$V$1264,$A6,'Datos - Temas'!$Y$5:$Y$1264,1)</f>
        <v/>
      </c>
      <c r="D6" s="11">
        <f>COUNTIFS('Datos - Temas'!$V$5:$V$1264,$A6,'Datos - Temas'!$Y$5:$Y$1264,0,'Datos - Temas'!$Z$5:$Z$1264,1)</f>
        <v/>
      </c>
      <c r="E6" s="11">
        <f>C6+D6</f>
        <v/>
      </c>
      <c r="F6" s="13">
        <f>IF(B6=0,0,E6/B6)</f>
        <v/>
      </c>
      <c r="G6" s="11">
        <f>COUNTIFS('Datos - Temas'!$V$5:$V$1264,$A6,'Datos - Temas'!$Y$5:$Y$1264,1,'Datos - Temas'!$AA$5:$AA$1264,"FUERA")</f>
        <v/>
      </c>
      <c r="H6" s="11">
        <f>COUNTIFS('Datos - Temas'!$V$5:$V$1264,$A6,'Datos - Temas'!$AA$5:$AA$1264,"FUERA",'Datos - Temas'!$K$5:$K$1264,"&lt;&gt;FUERA")</f>
        <v/>
      </c>
      <c r="I6" s="11">
        <f>COUNTIFS('Datos - Temas'!$V$5:$V$1264,$A6,'Datos - Temas'!$K$5:$K$1264,"FUERA")</f>
        <v/>
      </c>
    </row>
    <row r="7">
      <c r="A7" s="11" t="inlineStr">
        <is>
          <t>3°</t>
        </is>
      </c>
      <c r="B7" s="11">
        <f>COUNTIFS('Datos - Temas'!$V$5:$V$1264,$A7)-COUNTIFS('Datos - Temas'!$V$5:$V$1264,$A7,'Datos - Temas'!$K$5:$K$1264,"FUERA")-COUNTIFS('Datos - Temas'!$V$5:$V$1264,$A7,'Datos - Temas'!$K$5:$K$1264,"PENDIENTE")</f>
        <v/>
      </c>
      <c r="C7" s="11">
        <f>COUNTIFS('Datos - Temas'!$V$5:$V$1264,$A7,'Datos - Temas'!$Y$5:$Y$1264,1)</f>
        <v/>
      </c>
      <c r="D7" s="11">
        <f>COUNTIFS('Datos - Temas'!$V$5:$V$1264,$A7,'Datos - Temas'!$Y$5:$Y$1264,0,'Datos - Temas'!$Z$5:$Z$1264,1)</f>
        <v/>
      </c>
      <c r="E7" s="11">
        <f>C7+D7</f>
        <v/>
      </c>
      <c r="F7" s="13">
        <f>IF(B7=0,0,E7/B7)</f>
        <v/>
      </c>
      <c r="G7" s="11">
        <f>COUNTIFS('Datos - Temas'!$V$5:$V$1264,$A7,'Datos - Temas'!$Y$5:$Y$1264,1,'Datos - Temas'!$AA$5:$AA$1264,"FUERA")</f>
        <v/>
      </c>
      <c r="H7" s="11">
        <f>COUNTIFS('Datos - Temas'!$V$5:$V$1264,$A7,'Datos - Temas'!$AA$5:$AA$1264,"FUERA",'Datos - Temas'!$K$5:$K$1264,"&lt;&gt;FUERA")</f>
        <v/>
      </c>
      <c r="I7" s="11">
        <f>COUNTIFS('Datos - Temas'!$V$5:$V$1264,$A7,'Datos - Temas'!$K$5:$K$1264,"FUERA")</f>
        <v/>
      </c>
    </row>
    <row r="8">
      <c r="A8" s="11" t="inlineStr">
        <is>
          <t>4°</t>
        </is>
      </c>
      <c r="B8" s="11">
        <f>COUNTIFS('Datos - Temas'!$V$5:$V$1264,$A8)-COUNTIFS('Datos - Temas'!$V$5:$V$1264,$A8,'Datos - Temas'!$K$5:$K$1264,"FUERA")-COUNTIFS('Datos - Temas'!$V$5:$V$1264,$A8,'Datos - Temas'!$K$5:$K$1264,"PENDIENTE")</f>
        <v/>
      </c>
      <c r="C8" s="11">
        <f>COUNTIFS('Datos - Temas'!$V$5:$V$1264,$A8,'Datos - Temas'!$Y$5:$Y$1264,1)</f>
        <v/>
      </c>
      <c r="D8" s="11">
        <f>COUNTIFS('Datos - Temas'!$V$5:$V$1264,$A8,'Datos - Temas'!$Y$5:$Y$1264,0,'Datos - Temas'!$Z$5:$Z$1264,1)</f>
        <v/>
      </c>
      <c r="E8" s="11">
        <f>C8+D8</f>
        <v/>
      </c>
      <c r="F8" s="13">
        <f>IF(B8=0,0,E8/B8)</f>
        <v/>
      </c>
      <c r="G8" s="11">
        <f>COUNTIFS('Datos - Temas'!$V$5:$V$1264,$A8,'Datos - Temas'!$Y$5:$Y$1264,1,'Datos - Temas'!$AA$5:$AA$1264,"FUERA")</f>
        <v/>
      </c>
      <c r="H8" s="11">
        <f>COUNTIFS('Datos - Temas'!$V$5:$V$1264,$A8,'Datos - Temas'!$AA$5:$AA$1264,"FUERA",'Datos - Temas'!$K$5:$K$1264,"&lt;&gt;FUERA")</f>
        <v/>
      </c>
      <c r="I8" s="11">
        <f>COUNTIFS('Datos - Temas'!$V$5:$V$1264,$A8,'Datos - Temas'!$K$5:$K$1264,"FUERA")</f>
        <v/>
      </c>
    </row>
    <row r="9">
      <c r="A9" s="11" t="inlineStr">
        <is>
          <t>5°</t>
        </is>
      </c>
      <c r="B9" s="11">
        <f>COUNTIFS('Datos - Temas'!$V$5:$V$1264,$A9)-COUNTIFS('Datos - Temas'!$V$5:$V$1264,$A9,'Datos - Temas'!$K$5:$K$1264,"FUERA")-COUNTIFS('Datos - Temas'!$V$5:$V$1264,$A9,'Datos - Temas'!$K$5:$K$1264,"PENDIENTE")</f>
        <v/>
      </c>
      <c r="C9" s="11">
        <f>COUNTIFS('Datos - Temas'!$V$5:$V$1264,$A9,'Datos - Temas'!$Y$5:$Y$1264,1)</f>
        <v/>
      </c>
      <c r="D9" s="11">
        <f>COUNTIFS('Datos - Temas'!$V$5:$V$1264,$A9,'Datos - Temas'!$Y$5:$Y$1264,0,'Datos - Temas'!$Z$5:$Z$1264,1)</f>
        <v/>
      </c>
      <c r="E9" s="11">
        <f>C9+D9</f>
        <v/>
      </c>
      <c r="F9" s="13">
        <f>IF(B9=0,0,E9/B9)</f>
        <v/>
      </c>
      <c r="G9" s="11">
        <f>COUNTIFS('Datos - Temas'!$V$5:$V$1264,$A9,'Datos - Temas'!$Y$5:$Y$1264,1,'Datos - Temas'!$AA$5:$AA$1264,"FUERA")</f>
        <v/>
      </c>
      <c r="H9" s="11">
        <f>COUNTIFS('Datos - Temas'!$V$5:$V$1264,$A9,'Datos - Temas'!$AA$5:$AA$1264,"FUERA",'Datos - Temas'!$K$5:$K$1264,"&lt;&gt;FUERA")</f>
        <v/>
      </c>
      <c r="I9" s="11">
        <f>COUNTIFS('Datos - Temas'!$V$5:$V$1264,$A9,'Datos - Temas'!$K$5:$K$1264,"FUERA")</f>
        <v/>
      </c>
    </row>
    <row r="10">
      <c r="A10" s="11" t="inlineStr">
        <is>
          <t>6°</t>
        </is>
      </c>
      <c r="B10" s="11">
        <f>COUNTIFS('Datos - Temas'!$V$5:$V$1264,$A10)-COUNTIFS('Datos - Temas'!$V$5:$V$1264,$A10,'Datos - Temas'!$K$5:$K$1264,"FUERA")-COUNTIFS('Datos - Temas'!$V$5:$V$1264,$A10,'Datos - Temas'!$K$5:$K$1264,"PENDIENTE")</f>
        <v/>
      </c>
      <c r="C10" s="11">
        <f>COUNTIFS('Datos - Temas'!$V$5:$V$1264,$A10,'Datos - Temas'!$Y$5:$Y$1264,1)</f>
        <v/>
      </c>
      <c r="D10" s="11">
        <f>COUNTIFS('Datos - Temas'!$V$5:$V$1264,$A10,'Datos - Temas'!$Y$5:$Y$1264,0,'Datos - Temas'!$Z$5:$Z$1264,1)</f>
        <v/>
      </c>
      <c r="E10" s="11">
        <f>C10+D10</f>
        <v/>
      </c>
      <c r="F10" s="13">
        <f>IF(B10=0,0,E10/B10)</f>
        <v/>
      </c>
      <c r="G10" s="11">
        <f>COUNTIFS('Datos - Temas'!$V$5:$V$1264,$A10,'Datos - Temas'!$Y$5:$Y$1264,1,'Datos - Temas'!$AA$5:$AA$1264,"FUERA")</f>
        <v/>
      </c>
      <c r="H10" s="11">
        <f>COUNTIFS('Datos - Temas'!$V$5:$V$1264,$A10,'Datos - Temas'!$AA$5:$AA$1264,"FUERA",'Datos - Temas'!$K$5:$K$1264,"&lt;&gt;FUERA")</f>
        <v/>
      </c>
      <c r="I10" s="11">
        <f>COUNTIFS('Datos - Temas'!$V$5:$V$1264,$A10,'Datos - Temas'!$K$5:$K$1264,"FUERA")</f>
        <v/>
      </c>
    </row>
    <row r="11">
      <c r="A11" s="11" t="inlineStr">
        <is>
          <t>7°</t>
        </is>
      </c>
      <c r="B11" s="11">
        <f>COUNTIFS('Datos - Temas'!$V$5:$V$1264,$A11)-COUNTIFS('Datos - Temas'!$V$5:$V$1264,$A11,'Datos - Temas'!$K$5:$K$1264,"FUERA")-COUNTIFS('Datos - Temas'!$V$5:$V$1264,$A11,'Datos - Temas'!$K$5:$K$1264,"PENDIENTE")</f>
        <v/>
      </c>
      <c r="C11" s="11">
        <f>COUNTIFS('Datos - Temas'!$V$5:$V$1264,$A11,'Datos - Temas'!$Y$5:$Y$1264,1)</f>
        <v/>
      </c>
      <c r="D11" s="11">
        <f>COUNTIFS('Datos - Temas'!$V$5:$V$1264,$A11,'Datos - Temas'!$Y$5:$Y$1264,0,'Datos - Temas'!$Z$5:$Z$1264,1)</f>
        <v/>
      </c>
      <c r="E11" s="11">
        <f>C11+D11</f>
        <v/>
      </c>
      <c r="F11" s="13">
        <f>IF(B11=0,0,E11/B11)</f>
        <v/>
      </c>
      <c r="G11" s="11">
        <f>COUNTIFS('Datos - Temas'!$V$5:$V$1264,$A11,'Datos - Temas'!$Y$5:$Y$1264,1,'Datos - Temas'!$AA$5:$AA$1264,"FUERA")</f>
        <v/>
      </c>
      <c r="H11" s="11">
        <f>COUNTIFS('Datos - Temas'!$V$5:$V$1264,$A11,'Datos - Temas'!$AA$5:$AA$1264,"FUERA",'Datos - Temas'!$K$5:$K$1264,"&lt;&gt;FUERA")</f>
        <v/>
      </c>
      <c r="I11" s="11">
        <f>COUNTIFS('Datos - Temas'!$V$5:$V$1264,$A11,'Datos - Temas'!$K$5:$K$1264,"FUERA")</f>
        <v/>
      </c>
    </row>
    <row r="12">
      <c r="A12" s="11" t="inlineStr">
        <is>
          <t>8°</t>
        </is>
      </c>
      <c r="B12" s="11">
        <f>COUNTIFS('Datos - Temas'!$V$5:$V$1264,$A12)-COUNTIFS('Datos - Temas'!$V$5:$V$1264,$A12,'Datos - Temas'!$K$5:$K$1264,"FUERA")-COUNTIFS('Datos - Temas'!$V$5:$V$1264,$A12,'Datos - Temas'!$K$5:$K$1264,"PENDIENTE")</f>
        <v/>
      </c>
      <c r="C12" s="11">
        <f>COUNTIFS('Datos - Temas'!$V$5:$V$1264,$A12,'Datos - Temas'!$Y$5:$Y$1264,1)</f>
        <v/>
      </c>
      <c r="D12" s="11">
        <f>COUNTIFS('Datos - Temas'!$V$5:$V$1264,$A12,'Datos - Temas'!$Y$5:$Y$1264,0,'Datos - Temas'!$Z$5:$Z$1264,1)</f>
        <v/>
      </c>
      <c r="E12" s="11">
        <f>C12+D12</f>
        <v/>
      </c>
      <c r="F12" s="13">
        <f>IF(B12=0,0,E12/B12)</f>
        <v/>
      </c>
      <c r="G12" s="11">
        <f>COUNTIFS('Datos - Temas'!$V$5:$V$1264,$A12,'Datos - Temas'!$Y$5:$Y$1264,1,'Datos - Temas'!$AA$5:$AA$1264,"FUERA")</f>
        <v/>
      </c>
      <c r="H12" s="11">
        <f>COUNTIFS('Datos - Temas'!$V$5:$V$1264,$A12,'Datos - Temas'!$AA$5:$AA$1264,"FUERA",'Datos - Temas'!$K$5:$K$1264,"&lt;&gt;FUERA")</f>
        <v/>
      </c>
      <c r="I12" s="11">
        <f>COUNTIFS('Datos - Temas'!$V$5:$V$1264,$A12,'Datos - Temas'!$K$5:$K$1264,"FUERA")</f>
        <v/>
      </c>
    </row>
    <row r="13"/>
    <row r="14">
      <c r="A14" s="16" t="inlineStr">
        <is>
          <t>Por ciclo</t>
        </is>
      </c>
    </row>
    <row r="15">
      <c r="A15" s="11" t="inlineStr">
        <is>
          <t>Ciclo 2°–4°</t>
        </is>
      </c>
      <c r="B15" s="11">
        <f>COUNTIFS('Datos - Temas'!$W$5:$W$1264,$A15)-COUNTIFS('Datos - Temas'!$W$5:$W$1264,$A15,'Datos - Temas'!$K$5:$K$1264,"FUERA")-COUNTIFS('Datos - Temas'!$W$5:$W$1264,$A15,'Datos - Temas'!$K$5:$K$1264,"PENDIENTE")</f>
        <v/>
      </c>
      <c r="C15" s="11">
        <f>COUNTIFS('Datos - Temas'!$W$5:$W$1264,$A15,'Datos - Temas'!$Y$5:$Y$1264,1)</f>
        <v/>
      </c>
      <c r="D15" s="11">
        <f>COUNTIFS('Datos - Temas'!$W$5:$W$1264,$A15,'Datos - Temas'!$Y$5:$Y$1264,0,'Datos - Temas'!$Z$5:$Z$1264,1)</f>
        <v/>
      </c>
      <c r="E15" s="11">
        <f>C15+D15</f>
        <v/>
      </c>
      <c r="F15" s="13">
        <f>IF(B15=0,0,E15/B15)</f>
        <v/>
      </c>
      <c r="G15" s="11">
        <f>COUNTIFS('Datos - Temas'!$W$5:$W$1264,$A15,'Datos - Temas'!$Y$5:$Y$1264,1,'Datos - Temas'!$AA$5:$AA$1264,"FUERA")</f>
        <v/>
      </c>
      <c r="H15" s="11">
        <f>COUNTIFS('Datos - Temas'!$W$5:$W$1264,$A15,'Datos - Temas'!$AA$5:$AA$1264,"FUERA",'Datos - Temas'!$K$5:$K$1264,"&lt;&gt;FUERA")</f>
        <v/>
      </c>
      <c r="I15" s="11">
        <f>COUNTIFS('Datos - Temas'!$W$5:$W$1264,$A15,'Datos - Temas'!$K$5:$K$1264,"FUERA")</f>
        <v/>
      </c>
    </row>
    <row r="16">
      <c r="A16" s="11" t="inlineStr">
        <is>
          <t>Ciclo 5°–8°</t>
        </is>
      </c>
      <c r="B16" s="11">
        <f>COUNTIFS('Datos - Temas'!$W$5:$W$1264,$A16)-COUNTIFS('Datos - Temas'!$W$5:$W$1264,$A16,'Datos - Temas'!$K$5:$K$1264,"FUERA")-COUNTIFS('Datos - Temas'!$W$5:$W$1264,$A16,'Datos - Temas'!$K$5:$K$1264,"PENDIENTE")</f>
        <v/>
      </c>
      <c r="C16" s="11">
        <f>COUNTIFS('Datos - Temas'!$W$5:$W$1264,$A16,'Datos - Temas'!$Y$5:$Y$1264,1)</f>
        <v/>
      </c>
      <c r="D16" s="11">
        <f>COUNTIFS('Datos - Temas'!$W$5:$W$1264,$A16,'Datos - Temas'!$Y$5:$Y$1264,0,'Datos - Temas'!$Z$5:$Z$1264,1)</f>
        <v/>
      </c>
      <c r="E16" s="11">
        <f>C16+D16</f>
        <v/>
      </c>
      <c r="F16" s="13">
        <f>IF(B16=0,0,E16/B16)</f>
        <v/>
      </c>
      <c r="G16" s="11">
        <f>COUNTIFS('Datos - Temas'!$W$5:$W$1264,$A16,'Datos - Temas'!$Y$5:$Y$1264,1,'Datos - Temas'!$AA$5:$AA$1264,"FUERA")</f>
        <v/>
      </c>
      <c r="H16" s="11">
        <f>COUNTIFS('Datos - Temas'!$W$5:$W$1264,$A16,'Datos - Temas'!$AA$5:$AA$1264,"FUERA",'Datos - Temas'!$K$5:$K$1264,"&lt;&gt;FUERA")</f>
        <v/>
      </c>
      <c r="I16" s="11">
        <f>COUNTIFS('Datos - Temas'!$W$5:$W$1264,$A16,'Datos - Temas'!$K$5:$K$1264,"FUERA")</f>
        <v/>
      </c>
    </row>
    <row r="17"/>
    <row r="18"/>
    <row r="19">
      <c r="A19" s="16" t="inlineStr">
        <is>
          <t>Objetivos de Investigaciones × grado (n.º de temas que lo trabajan como principal o secundario)</t>
        </is>
      </c>
    </row>
    <row r="20" ht="32" customHeight="1">
      <c r="A20" s="10" t="inlineStr">
        <is>
          <t>Código</t>
        </is>
      </c>
      <c r="B20" s="10" t="inlineStr">
        <is>
          <t>Área</t>
        </is>
      </c>
      <c r="C20" s="10" t="inlineStr">
        <is>
          <t>Objetivo</t>
        </is>
      </c>
      <c r="D20" s="10" t="inlineStr">
        <is>
          <t>2°</t>
        </is>
      </c>
      <c r="E20" s="10" t="inlineStr">
        <is>
          <t>3°</t>
        </is>
      </c>
      <c r="F20" s="10" t="inlineStr">
        <is>
          <t>4°</t>
        </is>
      </c>
      <c r="G20" s="10" t="inlineStr">
        <is>
          <t>5°</t>
        </is>
      </c>
      <c r="H20" s="10" t="inlineStr">
        <is>
          <t>6°</t>
        </is>
      </c>
      <c r="I20" s="10" t="inlineStr">
        <is>
          <t>7°</t>
        </is>
      </c>
      <c r="J20" s="10" t="inlineStr">
        <is>
          <t>8°</t>
        </is>
      </c>
      <c r="K20" s="10" t="inlineStr">
        <is>
          <t>Total en su ciclo</t>
        </is>
      </c>
      <c r="L20" s="10" t="inlineStr">
        <is>
          <t>Profundidad</t>
        </is>
      </c>
    </row>
    <row r="21">
      <c r="A21" s="30" t="inlineStr">
        <is>
          <t>T4_27-B6.1</t>
        </is>
      </c>
      <c r="B21" s="30" t="inlineStr">
        <is>
          <t>Investigaciones biológicas</t>
        </is>
      </c>
      <c r="C21" s="30" t="inlineStr">
        <is>
          <t>Rasgos y equipo de una investigación biológica</t>
        </is>
      </c>
      <c r="D21" s="30">
        <f>COUNTIFS('Datos - Temas'!$V$5:$V$1264,D$20,'Datos - Temas'!$K$5:$K$1264,$A21)+COUNTIFS('Datos - Temas'!$V$5:$V$1264,D$20,'Datos - Temas'!$L$5:$L$1264,$A21)</f>
        <v/>
      </c>
      <c r="E21" s="30">
        <f>COUNTIFS('Datos - Temas'!$V$5:$V$1264,E$20,'Datos - Temas'!$K$5:$K$1264,$A21)+COUNTIFS('Datos - Temas'!$V$5:$V$1264,E$20,'Datos - Temas'!$L$5:$L$1264,$A21)</f>
        <v/>
      </c>
      <c r="F21" s="30">
        <f>COUNTIFS('Datos - Temas'!$V$5:$V$1264,F$20,'Datos - Temas'!$K$5:$K$1264,$A21)+COUNTIFS('Datos - Temas'!$V$5:$V$1264,F$20,'Datos - Temas'!$L$5:$L$1264,$A21)</f>
        <v/>
      </c>
      <c r="G21" s="30">
        <f>COUNTIFS('Datos - Temas'!$V$5:$V$1264,G$20,'Datos - Temas'!$K$5:$K$1264,$A21)+COUNTIFS('Datos - Temas'!$V$5:$V$1264,G$20,'Datos - Temas'!$L$5:$L$1264,$A21)</f>
        <v/>
      </c>
      <c r="H21" s="30">
        <f>COUNTIFS('Datos - Temas'!$V$5:$V$1264,H$20,'Datos - Temas'!$K$5:$K$1264,$A21)+COUNTIFS('Datos - Temas'!$V$5:$V$1264,H$20,'Datos - Temas'!$L$5:$L$1264,$A21)</f>
        <v/>
      </c>
      <c r="I21" s="30">
        <f>COUNTIFS('Datos - Temas'!$V$5:$V$1264,I$20,'Datos - Temas'!$K$5:$K$1264,$A21)+COUNTIFS('Datos - Temas'!$V$5:$V$1264,I$20,'Datos - Temas'!$L$5:$L$1264,$A21)</f>
        <v/>
      </c>
      <c r="J21" s="30">
        <f>COUNTIFS('Datos - Temas'!$V$5:$V$1264,J$20,'Datos - Temas'!$K$5:$K$1264,$A21)+COUNTIFS('Datos - Temas'!$V$5:$V$1264,J$20,'Datos - Temas'!$L$5:$L$1264,$A21)</f>
        <v/>
      </c>
      <c r="K21" s="17">
        <f>INDEX('TIMSS - Semáforo de objetivos'!$O$5:$O$107,MATCH($A21,'TIMSS - Semáforo de objetivos'!$A$5:$A$107,0))</f>
        <v/>
      </c>
      <c r="L21" s="17">
        <f>INDEX('TIMSS - Semáforo de objetivos'!$R$5:$R$107,MATCH($A21,'TIMSS - Semáforo de objetivos'!$A$5:$A$107,0))</f>
        <v/>
      </c>
    </row>
    <row r="22">
      <c r="A22" s="30" t="inlineStr">
        <is>
          <t>T4_27-P6.1</t>
        </is>
      </c>
      <c r="B22" s="30" t="inlineStr">
        <is>
          <t>Investigaciones en ciencias físicas</t>
        </is>
      </c>
      <c r="C22" s="30" t="inlineStr">
        <is>
          <t>Rasgos y uso de equipo en una investigación de ciencias físicas</t>
        </is>
      </c>
      <c r="D22" s="30">
        <f>COUNTIFS('Datos - Temas'!$V$5:$V$1264,D$20,'Datos - Temas'!$K$5:$K$1264,$A22)+COUNTIFS('Datos - Temas'!$V$5:$V$1264,D$20,'Datos - Temas'!$L$5:$L$1264,$A22)</f>
        <v/>
      </c>
      <c r="E22" s="30">
        <f>COUNTIFS('Datos - Temas'!$V$5:$V$1264,E$20,'Datos - Temas'!$K$5:$K$1264,$A22)+COUNTIFS('Datos - Temas'!$V$5:$V$1264,E$20,'Datos - Temas'!$L$5:$L$1264,$A22)</f>
        <v/>
      </c>
      <c r="F22" s="30">
        <f>COUNTIFS('Datos - Temas'!$V$5:$V$1264,F$20,'Datos - Temas'!$K$5:$K$1264,$A22)+COUNTIFS('Datos - Temas'!$V$5:$V$1264,F$20,'Datos - Temas'!$L$5:$L$1264,$A22)</f>
        <v/>
      </c>
      <c r="G22" s="30">
        <f>COUNTIFS('Datos - Temas'!$V$5:$V$1264,G$20,'Datos - Temas'!$K$5:$K$1264,$A22)+COUNTIFS('Datos - Temas'!$V$5:$V$1264,G$20,'Datos - Temas'!$L$5:$L$1264,$A22)</f>
        <v/>
      </c>
      <c r="H22" s="30">
        <f>COUNTIFS('Datos - Temas'!$V$5:$V$1264,H$20,'Datos - Temas'!$K$5:$K$1264,$A22)+COUNTIFS('Datos - Temas'!$V$5:$V$1264,H$20,'Datos - Temas'!$L$5:$L$1264,$A22)</f>
        <v/>
      </c>
      <c r="I22" s="30">
        <f>COUNTIFS('Datos - Temas'!$V$5:$V$1264,I$20,'Datos - Temas'!$K$5:$K$1264,$A22)+COUNTIFS('Datos - Temas'!$V$5:$V$1264,I$20,'Datos - Temas'!$L$5:$L$1264,$A22)</f>
        <v/>
      </c>
      <c r="J22" s="30">
        <f>COUNTIFS('Datos - Temas'!$V$5:$V$1264,J$20,'Datos - Temas'!$K$5:$K$1264,$A22)+COUNTIFS('Datos - Temas'!$V$5:$V$1264,J$20,'Datos - Temas'!$L$5:$L$1264,$A22)</f>
        <v/>
      </c>
      <c r="K22" s="17">
        <f>INDEX('TIMSS - Semáforo de objetivos'!$O$5:$O$107,MATCH($A22,'TIMSS - Semáforo de objetivos'!$A$5:$A$107,0))</f>
        <v/>
      </c>
      <c r="L22" s="17">
        <f>INDEX('TIMSS - Semáforo de objetivos'!$R$5:$R$107,MATCH($A22,'TIMSS - Semáforo de objetivos'!$A$5:$A$107,0))</f>
        <v/>
      </c>
    </row>
    <row r="23">
      <c r="A23" s="30" t="inlineStr">
        <is>
          <t>T4_27-E5.1</t>
        </is>
      </c>
      <c r="B23" s="30" t="inlineStr">
        <is>
          <t>Investigaciones en ciencias de la Tierra</t>
        </is>
      </c>
      <c r="C23" s="30" t="inlineStr">
        <is>
          <t>Uso de equipo en investigaciones de ciencias de la Tierra</t>
        </is>
      </c>
      <c r="D23" s="30">
        <f>COUNTIFS('Datos - Temas'!$V$5:$V$1264,D$20,'Datos - Temas'!$K$5:$K$1264,$A23)+COUNTIFS('Datos - Temas'!$V$5:$V$1264,D$20,'Datos - Temas'!$L$5:$L$1264,$A23)</f>
        <v/>
      </c>
      <c r="E23" s="30">
        <f>COUNTIFS('Datos - Temas'!$V$5:$V$1264,E$20,'Datos - Temas'!$K$5:$K$1264,$A23)+COUNTIFS('Datos - Temas'!$V$5:$V$1264,E$20,'Datos - Temas'!$L$5:$L$1264,$A23)</f>
        <v/>
      </c>
      <c r="F23" s="30">
        <f>COUNTIFS('Datos - Temas'!$V$5:$V$1264,F$20,'Datos - Temas'!$K$5:$K$1264,$A23)+COUNTIFS('Datos - Temas'!$V$5:$V$1264,F$20,'Datos - Temas'!$L$5:$L$1264,$A23)</f>
        <v/>
      </c>
      <c r="G23" s="30">
        <f>COUNTIFS('Datos - Temas'!$V$5:$V$1264,G$20,'Datos - Temas'!$K$5:$K$1264,$A23)+COUNTIFS('Datos - Temas'!$V$5:$V$1264,G$20,'Datos - Temas'!$L$5:$L$1264,$A23)</f>
        <v/>
      </c>
      <c r="H23" s="30">
        <f>COUNTIFS('Datos - Temas'!$V$5:$V$1264,H$20,'Datos - Temas'!$K$5:$K$1264,$A23)+COUNTIFS('Datos - Temas'!$V$5:$V$1264,H$20,'Datos - Temas'!$L$5:$L$1264,$A23)</f>
        <v/>
      </c>
      <c r="I23" s="30">
        <f>COUNTIFS('Datos - Temas'!$V$5:$V$1264,I$20,'Datos - Temas'!$K$5:$K$1264,$A23)+COUNTIFS('Datos - Temas'!$V$5:$V$1264,I$20,'Datos - Temas'!$L$5:$L$1264,$A23)</f>
        <v/>
      </c>
      <c r="J23" s="30">
        <f>COUNTIFS('Datos - Temas'!$V$5:$V$1264,J$20,'Datos - Temas'!$K$5:$K$1264,$A23)+COUNTIFS('Datos - Temas'!$V$5:$V$1264,J$20,'Datos - Temas'!$L$5:$L$1264,$A23)</f>
        <v/>
      </c>
      <c r="K23" s="17">
        <f>INDEX('TIMSS - Semáforo de objetivos'!$O$5:$O$107,MATCH($A23,'TIMSS - Semáforo de objetivos'!$A$5:$A$107,0))</f>
        <v/>
      </c>
      <c r="L23" s="17">
        <f>INDEX('TIMSS - Semáforo de objetivos'!$R$5:$R$107,MATCH($A23,'TIMSS - Semáforo de objetivos'!$A$5:$A$107,0))</f>
        <v/>
      </c>
    </row>
    <row r="24">
      <c r="A24" s="30" t="inlineStr">
        <is>
          <t>T8_27-B7.1</t>
        </is>
      </c>
      <c r="B24" s="30" t="inlineStr">
        <is>
          <t>Investigaciones biológicas</t>
        </is>
      </c>
      <c r="C24" s="30" t="inlineStr">
        <is>
          <t>Rasgos y equipo de una investigación biológica</t>
        </is>
      </c>
      <c r="D24" s="30">
        <f>COUNTIFS('Datos - Temas'!$V$5:$V$1264,D$20,'Datos - Temas'!$K$5:$K$1264,$A24)+COUNTIFS('Datos - Temas'!$V$5:$V$1264,D$20,'Datos - Temas'!$L$5:$L$1264,$A24)</f>
        <v/>
      </c>
      <c r="E24" s="30">
        <f>COUNTIFS('Datos - Temas'!$V$5:$V$1264,E$20,'Datos - Temas'!$K$5:$K$1264,$A24)+COUNTIFS('Datos - Temas'!$V$5:$V$1264,E$20,'Datos - Temas'!$L$5:$L$1264,$A24)</f>
        <v/>
      </c>
      <c r="F24" s="30">
        <f>COUNTIFS('Datos - Temas'!$V$5:$V$1264,F$20,'Datos - Temas'!$K$5:$K$1264,$A24)+COUNTIFS('Datos - Temas'!$V$5:$V$1264,F$20,'Datos - Temas'!$L$5:$L$1264,$A24)</f>
        <v/>
      </c>
      <c r="G24" s="30">
        <f>COUNTIFS('Datos - Temas'!$V$5:$V$1264,G$20,'Datos - Temas'!$K$5:$K$1264,$A24)+COUNTIFS('Datos - Temas'!$V$5:$V$1264,G$20,'Datos - Temas'!$L$5:$L$1264,$A24)</f>
        <v/>
      </c>
      <c r="H24" s="30">
        <f>COUNTIFS('Datos - Temas'!$V$5:$V$1264,H$20,'Datos - Temas'!$K$5:$K$1264,$A24)+COUNTIFS('Datos - Temas'!$V$5:$V$1264,H$20,'Datos - Temas'!$L$5:$L$1264,$A24)</f>
        <v/>
      </c>
      <c r="I24" s="30">
        <f>COUNTIFS('Datos - Temas'!$V$5:$V$1264,I$20,'Datos - Temas'!$K$5:$K$1264,$A24)+COUNTIFS('Datos - Temas'!$V$5:$V$1264,I$20,'Datos - Temas'!$L$5:$L$1264,$A24)</f>
        <v/>
      </c>
      <c r="J24" s="30">
        <f>COUNTIFS('Datos - Temas'!$V$5:$V$1264,J$20,'Datos - Temas'!$K$5:$K$1264,$A24)+COUNTIFS('Datos - Temas'!$V$5:$V$1264,J$20,'Datos - Temas'!$L$5:$L$1264,$A24)</f>
        <v/>
      </c>
      <c r="K24" s="17">
        <f>INDEX('TIMSS - Semáforo de objetivos'!$O$5:$O$107,MATCH($A24,'TIMSS - Semáforo de objetivos'!$A$5:$A$107,0))</f>
        <v/>
      </c>
      <c r="L24" s="17">
        <f>INDEX('TIMSS - Semáforo de objetivos'!$R$5:$R$107,MATCH($A24,'TIMSS - Semáforo de objetivos'!$A$5:$A$107,0))</f>
        <v/>
      </c>
    </row>
    <row r="25">
      <c r="A25" s="30" t="inlineStr">
        <is>
          <t>T8_27-C4.1</t>
        </is>
      </c>
      <c r="B25" s="30" t="inlineStr">
        <is>
          <t>Investigaciones químicas</t>
        </is>
      </c>
      <c r="C25" s="30" t="inlineStr">
        <is>
          <t>Rasgos y equipo de una investigación química</t>
        </is>
      </c>
      <c r="D25" s="30">
        <f>COUNTIFS('Datos - Temas'!$V$5:$V$1264,D$20,'Datos - Temas'!$K$5:$K$1264,$A25)+COUNTIFS('Datos - Temas'!$V$5:$V$1264,D$20,'Datos - Temas'!$L$5:$L$1264,$A25)</f>
        <v/>
      </c>
      <c r="E25" s="30">
        <f>COUNTIFS('Datos - Temas'!$V$5:$V$1264,E$20,'Datos - Temas'!$K$5:$K$1264,$A25)+COUNTIFS('Datos - Temas'!$V$5:$V$1264,E$20,'Datos - Temas'!$L$5:$L$1264,$A25)</f>
        <v/>
      </c>
      <c r="F25" s="30">
        <f>COUNTIFS('Datos - Temas'!$V$5:$V$1264,F$20,'Datos - Temas'!$K$5:$K$1264,$A25)+COUNTIFS('Datos - Temas'!$V$5:$V$1264,F$20,'Datos - Temas'!$L$5:$L$1264,$A25)</f>
        <v/>
      </c>
      <c r="G25" s="30">
        <f>COUNTIFS('Datos - Temas'!$V$5:$V$1264,G$20,'Datos - Temas'!$K$5:$K$1264,$A25)+COUNTIFS('Datos - Temas'!$V$5:$V$1264,G$20,'Datos - Temas'!$L$5:$L$1264,$A25)</f>
        <v/>
      </c>
      <c r="H25" s="30">
        <f>COUNTIFS('Datos - Temas'!$V$5:$V$1264,H$20,'Datos - Temas'!$K$5:$K$1264,$A25)+COUNTIFS('Datos - Temas'!$V$5:$V$1264,H$20,'Datos - Temas'!$L$5:$L$1264,$A25)</f>
        <v/>
      </c>
      <c r="I25" s="30">
        <f>COUNTIFS('Datos - Temas'!$V$5:$V$1264,I$20,'Datos - Temas'!$K$5:$K$1264,$A25)+COUNTIFS('Datos - Temas'!$V$5:$V$1264,I$20,'Datos - Temas'!$L$5:$L$1264,$A25)</f>
        <v/>
      </c>
      <c r="J25" s="30">
        <f>COUNTIFS('Datos - Temas'!$V$5:$V$1264,J$20,'Datos - Temas'!$K$5:$K$1264,$A25)+COUNTIFS('Datos - Temas'!$V$5:$V$1264,J$20,'Datos - Temas'!$L$5:$L$1264,$A25)</f>
        <v/>
      </c>
      <c r="K25" s="17">
        <f>INDEX('TIMSS - Semáforo de objetivos'!$O$5:$O$107,MATCH($A25,'TIMSS - Semáforo de objetivos'!$A$5:$A$107,0))</f>
        <v/>
      </c>
      <c r="L25" s="17">
        <f>INDEX('TIMSS - Semáforo de objetivos'!$R$5:$R$107,MATCH($A25,'TIMSS - Semáforo de objetivos'!$A$5:$A$107,0))</f>
        <v/>
      </c>
    </row>
    <row r="26">
      <c r="A26" s="30" t="inlineStr">
        <is>
          <t>T8_27-P6.1</t>
        </is>
      </c>
      <c r="B26" s="30" t="inlineStr">
        <is>
          <t>Investigaciones en física</t>
        </is>
      </c>
      <c r="C26" s="30" t="inlineStr">
        <is>
          <t>Rasgos y equipo de una investigación en física</t>
        </is>
      </c>
      <c r="D26" s="30">
        <f>COUNTIFS('Datos - Temas'!$V$5:$V$1264,D$20,'Datos - Temas'!$K$5:$K$1264,$A26)+COUNTIFS('Datos - Temas'!$V$5:$V$1264,D$20,'Datos - Temas'!$L$5:$L$1264,$A26)</f>
        <v/>
      </c>
      <c r="E26" s="30">
        <f>COUNTIFS('Datos - Temas'!$V$5:$V$1264,E$20,'Datos - Temas'!$K$5:$K$1264,$A26)+COUNTIFS('Datos - Temas'!$V$5:$V$1264,E$20,'Datos - Temas'!$L$5:$L$1264,$A26)</f>
        <v/>
      </c>
      <c r="F26" s="30">
        <f>COUNTIFS('Datos - Temas'!$V$5:$V$1264,F$20,'Datos - Temas'!$K$5:$K$1264,$A26)+COUNTIFS('Datos - Temas'!$V$5:$V$1264,F$20,'Datos - Temas'!$L$5:$L$1264,$A26)</f>
        <v/>
      </c>
      <c r="G26" s="30">
        <f>COUNTIFS('Datos - Temas'!$V$5:$V$1264,G$20,'Datos - Temas'!$K$5:$K$1264,$A26)+COUNTIFS('Datos - Temas'!$V$5:$V$1264,G$20,'Datos - Temas'!$L$5:$L$1264,$A26)</f>
        <v/>
      </c>
      <c r="H26" s="30">
        <f>COUNTIFS('Datos - Temas'!$V$5:$V$1264,H$20,'Datos - Temas'!$K$5:$K$1264,$A26)+COUNTIFS('Datos - Temas'!$V$5:$V$1264,H$20,'Datos - Temas'!$L$5:$L$1264,$A26)</f>
        <v/>
      </c>
      <c r="I26" s="30">
        <f>COUNTIFS('Datos - Temas'!$V$5:$V$1264,I$20,'Datos - Temas'!$K$5:$K$1264,$A26)+COUNTIFS('Datos - Temas'!$V$5:$V$1264,I$20,'Datos - Temas'!$L$5:$L$1264,$A26)</f>
        <v/>
      </c>
      <c r="J26" s="30">
        <f>COUNTIFS('Datos - Temas'!$V$5:$V$1264,J$20,'Datos - Temas'!$K$5:$K$1264,$A26)+COUNTIFS('Datos - Temas'!$V$5:$V$1264,J$20,'Datos - Temas'!$L$5:$L$1264,$A26)</f>
        <v/>
      </c>
      <c r="K26" s="17">
        <f>INDEX('TIMSS - Semáforo de objetivos'!$O$5:$O$107,MATCH($A26,'TIMSS - Semáforo de objetivos'!$A$5:$A$107,0))</f>
        <v/>
      </c>
      <c r="L26" s="17">
        <f>INDEX('TIMSS - Semáforo de objetivos'!$R$5:$R$107,MATCH($A26,'TIMSS - Semáforo de objetivos'!$A$5:$A$107,0))</f>
        <v/>
      </c>
    </row>
    <row r="27">
      <c r="A27" s="30" t="inlineStr">
        <is>
          <t>T8_27-E5.1</t>
        </is>
      </c>
      <c r="B27" s="30" t="inlineStr">
        <is>
          <t>Investigaciones en ciencias de la Tierra</t>
        </is>
      </c>
      <c r="C27" s="30" t="inlineStr">
        <is>
          <t>Equipo usado en investigaciones de ciencias de la Tierra</t>
        </is>
      </c>
      <c r="D27" s="30">
        <f>COUNTIFS('Datos - Temas'!$V$5:$V$1264,D$20,'Datos - Temas'!$K$5:$K$1264,$A27)+COUNTIFS('Datos - Temas'!$V$5:$V$1264,D$20,'Datos - Temas'!$L$5:$L$1264,$A27)</f>
        <v/>
      </c>
      <c r="E27" s="30">
        <f>COUNTIFS('Datos - Temas'!$V$5:$V$1264,E$20,'Datos - Temas'!$K$5:$K$1264,$A27)+COUNTIFS('Datos - Temas'!$V$5:$V$1264,E$20,'Datos - Temas'!$L$5:$L$1264,$A27)</f>
        <v/>
      </c>
      <c r="F27" s="30">
        <f>COUNTIFS('Datos - Temas'!$V$5:$V$1264,F$20,'Datos - Temas'!$K$5:$K$1264,$A27)+COUNTIFS('Datos - Temas'!$V$5:$V$1264,F$20,'Datos - Temas'!$L$5:$L$1264,$A27)</f>
        <v/>
      </c>
      <c r="G27" s="30">
        <f>COUNTIFS('Datos - Temas'!$V$5:$V$1264,G$20,'Datos - Temas'!$K$5:$K$1264,$A27)+COUNTIFS('Datos - Temas'!$V$5:$V$1264,G$20,'Datos - Temas'!$L$5:$L$1264,$A27)</f>
        <v/>
      </c>
      <c r="H27" s="30">
        <f>COUNTIFS('Datos - Temas'!$V$5:$V$1264,H$20,'Datos - Temas'!$K$5:$K$1264,$A27)+COUNTIFS('Datos - Temas'!$V$5:$V$1264,H$20,'Datos - Temas'!$L$5:$L$1264,$A27)</f>
        <v/>
      </c>
      <c r="I27" s="30">
        <f>COUNTIFS('Datos - Temas'!$V$5:$V$1264,I$20,'Datos - Temas'!$K$5:$K$1264,$A27)+COUNTIFS('Datos - Temas'!$V$5:$V$1264,I$20,'Datos - Temas'!$L$5:$L$1264,$A27)</f>
        <v/>
      </c>
      <c r="J27" s="30">
        <f>COUNTIFS('Datos - Temas'!$V$5:$V$1264,J$20,'Datos - Temas'!$K$5:$K$1264,$A27)+COUNTIFS('Datos - Temas'!$V$5:$V$1264,J$20,'Datos - Temas'!$L$5:$L$1264,$A27)</f>
        <v/>
      </c>
      <c r="K27" s="17">
        <f>INDEX('TIMSS - Semáforo de objetivos'!$O$5:$O$107,MATCH($A27,'TIMSS - Semáforo de objetivos'!$A$5:$A$107,0))</f>
        <v/>
      </c>
      <c r="L27" s="17">
        <f>INDEX('TIMSS - Semáforo de objetivos'!$R$5:$R$107,MATCH($A27,'TIMSS - Semáforo de objetivos'!$A$5:$A$107,0))</f>
        <v/>
      </c>
    </row>
    <row r="28"/>
    <row r="29" ht="56" customHeight="1">
      <c r="A29" s="2" t="inlineStr">
        <is>
          <t>Cómo se calcula: TIMSS 2027 agrega en cada dominio un área de «TIMSS - Investigación» (planificar, medir, registrar, analizar datos, concluir, usar equipo). Un tema cuenta como principal si su foco es la práctica; como secundario si trabaja un contenido mediante indagación. Columnas Y-Z y AA de Temas. «Eran FUERA en v1» = temas que con TIMSS 2023 no tenían objetivo y ahora sí.</t>
        </is>
      </c>
    </row>
  </sheetData>
  <mergeCells count="2">
    <mergeCell ref="A2:L2"/>
    <mergeCell ref="A29:L29"/>
  </mergeCells>
  <conditionalFormatting sqref="D21:J28">
    <cfRule type="cellIs" priority="1" operator="equal" dxfId="9">
      <formula>0</formula>
    </cfRule>
  </conditionalFormatting>
  <conditionalFormatting sqref="L21:L28">
    <cfRule type="cellIs" priority="2" operator="equal" dxfId="2">
      <formula>"No cubierto"</formula>
    </cfRule>
    <cfRule type="cellIs" priority="3" operator="equal" dxfId="1">
      <formula>"Débil (1 tema)"</formula>
    </cfRule>
  </conditionalFormatting>
  <pageMargins left="0.75" right="0.75" top="1" bottom="1" header="0.5" footer="0.5"/>
</worksheet>
</file>

<file path=xl/worksheets/sheet11.xml><?xml version="1.0" encoding="utf-8"?>
<worksheet xmlns="http://schemas.openxmlformats.org/spreadsheetml/2006/main">
  <sheetPr>
    <tabColor rgb="002E6B30"/>
    <outlinePr summaryBelow="1" summaryRight="1"/>
    <pageSetUpPr/>
  </sheetPr>
  <dimension ref="A1:AW102"/>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20" customWidth="1" min="3" max="3"/>
    <col width="50" customWidth="1" min="4" max="4"/>
    <col width="10" customWidth="1" min="5" max="5"/>
    <col width="10" customWidth="1" min="6" max="6"/>
    <col width="10" customWidth="1" min="7" max="7"/>
    <col width="10" customWidth="1" min="8" max="8"/>
    <col width="10" customWidth="1" min="9" max="9"/>
    <col width="11" customWidth="1" min="10" max="10"/>
    <col width="30" customWidth="1" min="11" max="11"/>
    <col width="10" customWidth="1" min="12" max="12"/>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 width="6" customWidth="1" min="36" max="36"/>
    <col width="6" customWidth="1" min="37" max="37"/>
    <col width="6" customWidth="1" min="38" max="38"/>
    <col width="6" customWidth="1" min="39" max="39"/>
    <col width="6" customWidth="1" min="40" max="40"/>
    <col width="6" customWidth="1" min="41" max="41"/>
    <col width="6"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s>
  <sheetData>
    <row r="1">
      <c r="A1" s="6" t="inlineStr">
        <is>
          <t>¿En qué grado introduce cada país los objetivos de TIMSS 2027? El Salvador frente a Uruguay, Colombia, Singapur</t>
        </is>
      </c>
    </row>
    <row r="2" ht="68" customHeight="1">
      <c r="A2" s="7">
        <f>"TIMSS 2027 (objetivos de 4.° y 8.°)"&amp;"
"&amp;"● El Salvador enseña "&amp;COUNTIF($K$5:$K$84,"El Salvador llega más tarde")&amp;" objetivos de TIMSS más tarde que Uruguay, Colombia y Singapur, y "&amp;COUNTIF($K$5:$K$84,"El Salvador va adelantado")&amp;" antes."&amp;"
"&amp;IF(COUNTIF($K$5:$K$84,"El Salvador no llega")=0,"BIEN · ","OJO · ")&amp;"No enseña "&amp;COUNTIF($K$5:$K$84,"El Salvador no llega")&amp;" que otros sí. Mayor atraso ("&amp;FIXED(MAX($J$5:$J$84),0)&amp;" grados): "&amp;INDEX($D$5:$D$84,MATCH(MAX($J$5:$J$84),$J$5:$J$84,0))&amp;"."&amp;"
"&amp;"● Chile no está: su sitio bloqueó la descarga."</f>
        <v/>
      </c>
      <c r="B2" s="8" t="n"/>
      <c r="C2" s="8" t="n"/>
      <c r="D2" s="8" t="n"/>
      <c r="E2" s="8" t="n"/>
      <c r="F2" s="8" t="n"/>
      <c r="G2" s="8" t="n"/>
      <c r="H2" s="8" t="n"/>
      <c r="I2" s="8" t="n"/>
      <c r="J2" s="8" t="n"/>
      <c r="K2" s="8" t="n"/>
      <c r="L2" s="9" t="n"/>
    </row>
    <row r="3">
      <c r="A3" s="20" t="inlineStr">
        <is>
          <t>Grado mínimo comparable (la malla de El Salvador empieza en 2.°; lo anterior de otros países se cuenta como este grado):</t>
        </is>
      </c>
      <c r="L3" s="35" t="n">
        <v>2</v>
      </c>
      <c r="N3" s="25" t="n">
        <v>1</v>
      </c>
      <c r="O3" s="25" t="n">
        <v>2</v>
      </c>
      <c r="P3" s="25" t="n">
        <v>3</v>
      </c>
      <c r="Q3" s="25" t="n">
        <v>4</v>
      </c>
      <c r="R3" s="25" t="n">
        <v>5</v>
      </c>
      <c r="S3" s="25" t="n">
        <v>6</v>
      </c>
      <c r="T3" s="25" t="n">
        <v>7</v>
      </c>
      <c r="U3" s="25" t="n">
        <v>8</v>
      </c>
      <c r="V3" s="25" t="n">
        <v>9</v>
      </c>
      <c r="W3" s="25" t="n">
        <v>1</v>
      </c>
      <c r="X3" s="25" t="n">
        <v>2</v>
      </c>
      <c r="Y3" s="25" t="n">
        <v>3</v>
      </c>
      <c r="Z3" s="25" t="n">
        <v>4</v>
      </c>
      <c r="AA3" s="25" t="n">
        <v>5</v>
      </c>
      <c r="AB3" s="25" t="n">
        <v>6</v>
      </c>
      <c r="AC3" s="25" t="n">
        <v>7</v>
      </c>
      <c r="AD3" s="25" t="n">
        <v>8</v>
      </c>
      <c r="AE3" s="25" t="n">
        <v>9</v>
      </c>
      <c r="AF3" s="25" t="n">
        <v>1</v>
      </c>
      <c r="AG3" s="25" t="n">
        <v>2</v>
      </c>
      <c r="AH3" s="25" t="n">
        <v>3</v>
      </c>
      <c r="AI3" s="25" t="n">
        <v>4</v>
      </c>
      <c r="AJ3" s="25" t="n">
        <v>5</v>
      </c>
      <c r="AK3" s="25" t="n">
        <v>6</v>
      </c>
      <c r="AL3" s="25" t="n">
        <v>7</v>
      </c>
      <c r="AM3" s="25" t="n">
        <v>8</v>
      </c>
      <c r="AN3" s="25" t="n">
        <v>9</v>
      </c>
      <c r="AO3" s="25" t="n">
        <v>1</v>
      </c>
      <c r="AP3" s="25" t="n">
        <v>2</v>
      </c>
      <c r="AQ3" s="25" t="n">
        <v>3</v>
      </c>
      <c r="AR3" s="25" t="n">
        <v>4</v>
      </c>
      <c r="AS3" s="25" t="n">
        <v>5</v>
      </c>
      <c r="AT3" s="25" t="n">
        <v>6</v>
      </c>
      <c r="AU3" s="25" t="n">
        <v>7</v>
      </c>
      <c r="AV3" s="25" t="n">
        <v>8</v>
      </c>
      <c r="AW3" s="25" t="n">
        <v>9</v>
      </c>
    </row>
    <row r="4" ht="48" customHeight="1">
      <c r="A4" s="10" t="inlineStr">
        <is>
          <t>Código</t>
        </is>
      </c>
      <c r="B4" s="10" t="inlineStr">
        <is>
          <t>Marco</t>
        </is>
      </c>
      <c r="C4" s="10" t="inlineStr">
        <is>
          <t>Dominio</t>
        </is>
      </c>
      <c r="D4" s="10" t="inlineStr">
        <is>
          <t>Objetivo</t>
        </is>
      </c>
      <c r="E4" s="10" t="inlineStr">
        <is>
          <t>Primer grado · El Salvador</t>
        </is>
      </c>
      <c r="F4" s="10" t="inlineStr">
        <is>
          <t>Primer grado · Uruguay</t>
        </is>
      </c>
      <c r="G4" s="10" t="inlineStr">
        <is>
          <t>Primer grado · Colombia</t>
        </is>
      </c>
      <c r="H4" s="10" t="inlineStr">
        <is>
          <t>Primer grado · Singapur</t>
        </is>
      </c>
      <c r="I4" s="10" t="inlineStr">
        <is>
          <t>Mediana de los demás</t>
        </is>
      </c>
      <c r="J4" s="10" t="inlineStr">
        <is>
          <t>Oportunidad (grados)</t>
        </is>
      </c>
      <c r="K4" s="10" t="inlineStr">
        <is>
          <t>Lectura</t>
        </is>
      </c>
      <c r="L4" s="10" t="inlineStr">
        <is>
          <t>Países que lo tienen (sin SV)</t>
        </is>
      </c>
      <c r="N4" s="10" t="inlineStr">
        <is>
          <t>EL  1°</t>
        </is>
      </c>
      <c r="O4" s="10" t="inlineStr">
        <is>
          <t>EL  2°</t>
        </is>
      </c>
      <c r="P4" s="10" t="inlineStr">
        <is>
          <t>EL  3°</t>
        </is>
      </c>
      <c r="Q4" s="10" t="inlineStr">
        <is>
          <t>EL  4°</t>
        </is>
      </c>
      <c r="R4" s="10" t="inlineStr">
        <is>
          <t>EL  5°</t>
        </is>
      </c>
      <c r="S4" s="10" t="inlineStr">
        <is>
          <t>EL  6°</t>
        </is>
      </c>
      <c r="T4" s="10" t="inlineStr">
        <is>
          <t>EL  7°</t>
        </is>
      </c>
      <c r="U4" s="10" t="inlineStr">
        <is>
          <t>EL  8°</t>
        </is>
      </c>
      <c r="V4" s="10" t="inlineStr">
        <is>
          <t>EL  9°</t>
        </is>
      </c>
      <c r="W4" s="10" t="inlineStr">
        <is>
          <t>URU 1°</t>
        </is>
      </c>
      <c r="X4" s="10" t="inlineStr">
        <is>
          <t>URU 2°</t>
        </is>
      </c>
      <c r="Y4" s="10" t="inlineStr">
        <is>
          <t>URU 3°</t>
        </is>
      </c>
      <c r="Z4" s="10" t="inlineStr">
        <is>
          <t>URU 4°</t>
        </is>
      </c>
      <c r="AA4" s="10" t="inlineStr">
        <is>
          <t>URU 5°</t>
        </is>
      </c>
      <c r="AB4" s="10" t="inlineStr">
        <is>
          <t>URU 6°</t>
        </is>
      </c>
      <c r="AC4" s="10" t="inlineStr">
        <is>
          <t>URU 7°</t>
        </is>
      </c>
      <c r="AD4" s="10" t="inlineStr">
        <is>
          <t>URU 8°</t>
        </is>
      </c>
      <c r="AE4" s="10" t="inlineStr">
        <is>
          <t>URU 9°</t>
        </is>
      </c>
      <c r="AF4" s="10" t="inlineStr">
        <is>
          <t>COL 1°</t>
        </is>
      </c>
      <c r="AG4" s="10" t="inlineStr">
        <is>
          <t>COL 2°</t>
        </is>
      </c>
      <c r="AH4" s="10" t="inlineStr">
        <is>
          <t>COL 3°</t>
        </is>
      </c>
      <c r="AI4" s="10" t="inlineStr">
        <is>
          <t>COL 4°</t>
        </is>
      </c>
      <c r="AJ4" s="10" t="inlineStr">
        <is>
          <t>COL 5°</t>
        </is>
      </c>
      <c r="AK4" s="10" t="inlineStr">
        <is>
          <t>COL 6°</t>
        </is>
      </c>
      <c r="AL4" s="10" t="inlineStr">
        <is>
          <t>COL 7°</t>
        </is>
      </c>
      <c r="AM4" s="10" t="inlineStr">
        <is>
          <t>COL 8°</t>
        </is>
      </c>
      <c r="AN4" s="10" t="inlineStr">
        <is>
          <t>COL 9°</t>
        </is>
      </c>
      <c r="AO4" s="10" t="inlineStr">
        <is>
          <t>SIN 1°</t>
        </is>
      </c>
      <c r="AP4" s="10" t="inlineStr">
        <is>
          <t>SIN 2°</t>
        </is>
      </c>
      <c r="AQ4" s="10" t="inlineStr">
        <is>
          <t>SIN 3°</t>
        </is>
      </c>
      <c r="AR4" s="10" t="inlineStr">
        <is>
          <t>SIN 4°</t>
        </is>
      </c>
      <c r="AS4" s="10" t="inlineStr">
        <is>
          <t>SIN 5°</t>
        </is>
      </c>
      <c r="AT4" s="10" t="inlineStr">
        <is>
          <t>SIN 6°</t>
        </is>
      </c>
      <c r="AU4" s="10" t="inlineStr">
        <is>
          <t>SIN 7°</t>
        </is>
      </c>
      <c r="AV4" s="10" t="inlineStr">
        <is>
          <t>SIN 8°</t>
        </is>
      </c>
      <c r="AW4" s="10" t="inlineStr">
        <is>
          <t>SIN 9°</t>
        </is>
      </c>
    </row>
    <row r="5">
      <c r="A5" s="30" t="inlineStr">
        <is>
          <t>T4_27-B1.1</t>
        </is>
      </c>
      <c r="B5" s="30" t="inlineStr">
        <is>
          <t>T4_27</t>
        </is>
      </c>
      <c r="C5" s="30" t="inlineStr">
        <is>
          <t>Biología</t>
        </is>
      </c>
      <c r="D5" s="30" t="inlineStr">
        <is>
          <t>Diferencias entre seres vivos y no vivos, y lo que los seres vivos necesitan para vivir</t>
        </is>
      </c>
      <c r="E5" s="30">
        <f>IFERROR(MAX($L$3,INDEX($N$3:$V$3,MATCH(TRUE,INDEX(N5:V5&gt;0,0),0))),"—")</f>
        <v/>
      </c>
      <c r="F5" s="30">
        <f>IFERROR(MAX($L$3,INDEX($W$3:$AE$3,MATCH(TRUE,INDEX(W5:AE5&gt;0,0),0))),"—")</f>
        <v/>
      </c>
      <c r="G5" s="30">
        <f>IFERROR(MAX($L$3,INDEX($AF$3:$AN$3,MATCH(TRUE,INDEX(AF5:AN5&gt;0,0),0))),"—")</f>
        <v/>
      </c>
      <c r="H5" s="30">
        <f>IFERROR(MAX($L$3,INDEX($AO$3:$AW$3,MATCH(TRUE,INDEX(AO5:AW5&gt;0,0),0))),"—")</f>
        <v/>
      </c>
      <c r="I5" s="36">
        <f>IF(L5=0,"—",MEDIAN(F5:H5))</f>
        <v/>
      </c>
      <c r="J5" s="36">
        <f>IF(OR(E5="—",I5="—"),"—",E5-I5)</f>
        <v/>
      </c>
      <c r="K5" s="19">
        <f>IF(E5="—",IF(L5=0,"Nadie lo trabaja","El Salvador no llega"),IF(L5=0,"Solo El Salvador",IF(J5&gt;0,"El Salvador llega más tarde",IF(J5&lt;0,"El Salvador va adelantado","Mismo grado"))))</f>
        <v/>
      </c>
      <c r="L5" s="30">
        <f>COUNT(F5:H5)</f>
        <v/>
      </c>
      <c r="N5" s="11">
        <f>COUNTIFS('Datos - Temas'!$C$5:$C$1264,"Ciencias",'Datos - Temas'!$B$5:$B$1264,N$3,'Datos - Temas'!$K$5:$K$1264,$A5)+COUNTIFS('Datos - Temas'!$C$5:$C$1264,"Ciencias",'Datos - Temas'!$B$5:$B$1264,N$3,'Datos - Temas'!$L$5:$L$1264,$A5)</f>
        <v/>
      </c>
      <c r="O5" s="11">
        <f>COUNTIFS('Datos - Temas'!$C$5:$C$1264,"Ciencias",'Datos - Temas'!$B$5:$B$1264,O$3,'Datos - Temas'!$K$5:$K$1264,$A5)+COUNTIFS('Datos - Temas'!$C$5:$C$1264,"Ciencias",'Datos - Temas'!$B$5:$B$1264,O$3,'Datos - Temas'!$L$5:$L$1264,$A5)</f>
        <v/>
      </c>
      <c r="P5" s="11">
        <f>COUNTIFS('Datos - Temas'!$C$5:$C$1264,"Ciencias",'Datos - Temas'!$B$5:$B$1264,P$3,'Datos - Temas'!$K$5:$K$1264,$A5)+COUNTIFS('Datos - Temas'!$C$5:$C$1264,"Ciencias",'Datos - Temas'!$B$5:$B$1264,P$3,'Datos - Temas'!$L$5:$L$1264,$A5)</f>
        <v/>
      </c>
      <c r="Q5" s="11">
        <f>COUNTIFS('Datos - Temas'!$C$5:$C$1264,"Ciencias",'Datos - Temas'!$B$5:$B$1264,Q$3,'Datos - Temas'!$K$5:$K$1264,$A5)+COUNTIFS('Datos - Temas'!$C$5:$C$1264,"Ciencias",'Datos - Temas'!$B$5:$B$1264,Q$3,'Datos - Temas'!$L$5:$L$1264,$A5)</f>
        <v/>
      </c>
      <c r="R5" s="11">
        <f>COUNTIFS('Datos - Temas'!$C$5:$C$1264,"Ciencias",'Datos - Temas'!$B$5:$B$1264,R$3,'Datos - Temas'!$K$5:$K$1264,$A5)+COUNTIFS('Datos - Temas'!$C$5:$C$1264,"Ciencias",'Datos - Temas'!$B$5:$B$1264,R$3,'Datos - Temas'!$L$5:$L$1264,$A5)</f>
        <v/>
      </c>
      <c r="S5" s="11">
        <f>COUNTIFS('Datos - Temas'!$C$5:$C$1264,"Ciencias",'Datos - Temas'!$B$5:$B$1264,S$3,'Datos - Temas'!$K$5:$K$1264,$A5)+COUNTIFS('Datos - Temas'!$C$5:$C$1264,"Ciencias",'Datos - Temas'!$B$5:$B$1264,S$3,'Datos - Temas'!$L$5:$L$1264,$A5)</f>
        <v/>
      </c>
      <c r="T5" s="11">
        <f>COUNTIFS('Datos - Temas'!$C$5:$C$1264,"Ciencias",'Datos - Temas'!$B$5:$B$1264,T$3,'Datos - Temas'!$K$5:$K$1264,$A5)+COUNTIFS('Datos - Temas'!$C$5:$C$1264,"Ciencias",'Datos - Temas'!$B$5:$B$1264,T$3,'Datos - Temas'!$L$5:$L$1264,$A5)</f>
        <v/>
      </c>
      <c r="U5" s="11">
        <f>COUNTIFS('Datos - Temas'!$C$5:$C$1264,"Ciencias",'Datos - Temas'!$B$5:$B$1264,U$3,'Datos - Temas'!$K$5:$K$1264,$A5)+COUNTIFS('Datos - Temas'!$C$5:$C$1264,"Ciencias",'Datos - Temas'!$B$5:$B$1264,U$3,'Datos - Temas'!$L$5:$L$1264,$A5)</f>
        <v/>
      </c>
      <c r="V5" s="11">
        <f>COUNTIFS('Datos - Temas'!$C$5:$C$1264,"Ciencias",'Datos - Temas'!$B$5:$B$1264,V$3,'Datos - Temas'!$K$5:$K$1264,$A5)+COUNTIFS('Datos - Temas'!$C$5:$C$1264,"Ciencias",'Datos - Temas'!$B$5:$B$1264,V$3,'Datos - Temas'!$L$5:$L$1264,$A5)</f>
        <v/>
      </c>
      <c r="W5" s="11">
        <f>COUNTIFS('Datos - Objetivos de países'!$B$5:$B$510,"Uruguay",'Datos - Objetivos de países'!$F$5:$F$510,W$3,'Datos - Objetivos de países'!$J$5:$J$510,$A5)+COUNTIFS('Datos - Objetivos de países'!$B$5:$B$510,"Uruguay",'Datos - Objetivos de países'!$F$5:$F$510,W$3,'Datos - Objetivos de países'!$K$5:$K$510,$A5)</f>
        <v/>
      </c>
      <c r="X5" s="11">
        <f>COUNTIFS('Datos - Objetivos de países'!$B$5:$B$510,"Uruguay",'Datos - Objetivos de países'!$F$5:$F$510,X$3,'Datos - Objetivos de países'!$J$5:$J$510,$A5)+COUNTIFS('Datos - Objetivos de países'!$B$5:$B$510,"Uruguay",'Datos - Objetivos de países'!$F$5:$F$510,X$3,'Datos - Objetivos de países'!$K$5:$K$510,$A5)</f>
        <v/>
      </c>
      <c r="Y5" s="11">
        <f>COUNTIFS('Datos - Objetivos de países'!$B$5:$B$510,"Uruguay",'Datos - Objetivos de países'!$F$5:$F$510,Y$3,'Datos - Objetivos de países'!$J$5:$J$510,$A5)+COUNTIFS('Datos - Objetivos de países'!$B$5:$B$510,"Uruguay",'Datos - Objetivos de países'!$F$5:$F$510,Y$3,'Datos - Objetivos de países'!$K$5:$K$510,$A5)</f>
        <v/>
      </c>
      <c r="Z5" s="11">
        <f>COUNTIFS('Datos - Objetivos de países'!$B$5:$B$510,"Uruguay",'Datos - Objetivos de países'!$F$5:$F$510,Z$3,'Datos - Objetivos de países'!$J$5:$J$510,$A5)+COUNTIFS('Datos - Objetivos de países'!$B$5:$B$510,"Uruguay",'Datos - Objetivos de países'!$F$5:$F$510,Z$3,'Datos - Objetivos de países'!$K$5:$K$510,$A5)</f>
        <v/>
      </c>
      <c r="AA5" s="11">
        <f>COUNTIFS('Datos - Objetivos de países'!$B$5:$B$510,"Uruguay",'Datos - Objetivos de países'!$F$5:$F$510,AA$3,'Datos - Objetivos de países'!$J$5:$J$510,$A5)+COUNTIFS('Datos - Objetivos de países'!$B$5:$B$510,"Uruguay",'Datos - Objetivos de países'!$F$5:$F$510,AA$3,'Datos - Objetivos de países'!$K$5:$K$510,$A5)</f>
        <v/>
      </c>
      <c r="AB5" s="11">
        <f>COUNTIFS('Datos - Objetivos de países'!$B$5:$B$510,"Uruguay",'Datos - Objetivos de países'!$F$5:$F$510,AB$3,'Datos - Objetivos de países'!$J$5:$J$510,$A5)+COUNTIFS('Datos - Objetivos de países'!$B$5:$B$510,"Uruguay",'Datos - Objetivos de países'!$F$5:$F$510,AB$3,'Datos - Objetivos de países'!$K$5:$K$510,$A5)</f>
        <v/>
      </c>
      <c r="AC5" s="11">
        <f>COUNTIFS('Datos - Objetivos de países'!$B$5:$B$510,"Uruguay",'Datos - Objetivos de países'!$F$5:$F$510,AC$3,'Datos - Objetivos de países'!$J$5:$J$510,$A5)+COUNTIFS('Datos - Objetivos de países'!$B$5:$B$510,"Uruguay",'Datos - Objetivos de países'!$F$5:$F$510,AC$3,'Datos - Objetivos de países'!$K$5:$K$510,$A5)</f>
        <v/>
      </c>
      <c r="AD5" s="11">
        <f>COUNTIFS('Datos - Objetivos de países'!$B$5:$B$510,"Uruguay",'Datos - Objetivos de países'!$F$5:$F$510,AD$3,'Datos - Objetivos de países'!$J$5:$J$510,$A5)+COUNTIFS('Datos - Objetivos de países'!$B$5:$B$510,"Uruguay",'Datos - Objetivos de países'!$F$5:$F$510,AD$3,'Datos - Objetivos de países'!$K$5:$K$510,$A5)</f>
        <v/>
      </c>
      <c r="AE5" s="11">
        <f>COUNTIFS('Datos - Objetivos de países'!$B$5:$B$510,"Uruguay",'Datos - Objetivos de países'!$F$5:$F$510,AE$3,'Datos - Objetivos de países'!$J$5:$J$510,$A5)+COUNTIFS('Datos - Objetivos de países'!$B$5:$B$510,"Uruguay",'Datos - Objetivos de países'!$F$5:$F$510,AE$3,'Datos - Objetivos de países'!$K$5:$K$510,$A5)</f>
        <v/>
      </c>
      <c r="AF5" s="11">
        <f>COUNTIFS('Datos - Objetivos de países'!$B$5:$B$510,"Colombia",'Datos - Objetivos de países'!$F$5:$F$510,AF$3,'Datos - Objetivos de países'!$J$5:$J$510,$A5)+COUNTIFS('Datos - Objetivos de países'!$B$5:$B$510,"Colombia",'Datos - Objetivos de países'!$F$5:$F$510,AF$3,'Datos - Objetivos de países'!$K$5:$K$510,$A5)</f>
        <v/>
      </c>
      <c r="AG5" s="11">
        <f>COUNTIFS('Datos - Objetivos de países'!$B$5:$B$510,"Colombia",'Datos - Objetivos de países'!$F$5:$F$510,AG$3,'Datos - Objetivos de países'!$J$5:$J$510,$A5)+COUNTIFS('Datos - Objetivos de países'!$B$5:$B$510,"Colombia",'Datos - Objetivos de países'!$F$5:$F$510,AG$3,'Datos - Objetivos de países'!$K$5:$K$510,$A5)</f>
        <v/>
      </c>
      <c r="AH5" s="11">
        <f>COUNTIFS('Datos - Objetivos de países'!$B$5:$B$510,"Colombia",'Datos - Objetivos de países'!$F$5:$F$510,AH$3,'Datos - Objetivos de países'!$J$5:$J$510,$A5)+COUNTIFS('Datos - Objetivos de países'!$B$5:$B$510,"Colombia",'Datos - Objetivos de países'!$F$5:$F$510,AH$3,'Datos - Objetivos de países'!$K$5:$K$510,$A5)</f>
        <v/>
      </c>
      <c r="AI5" s="11">
        <f>COUNTIFS('Datos - Objetivos de países'!$B$5:$B$510,"Colombia",'Datos - Objetivos de países'!$F$5:$F$510,AI$3,'Datos - Objetivos de países'!$J$5:$J$510,$A5)+COUNTIFS('Datos - Objetivos de países'!$B$5:$B$510,"Colombia",'Datos - Objetivos de países'!$F$5:$F$510,AI$3,'Datos - Objetivos de países'!$K$5:$K$510,$A5)</f>
        <v/>
      </c>
      <c r="AJ5" s="11">
        <f>COUNTIFS('Datos - Objetivos de países'!$B$5:$B$510,"Colombia",'Datos - Objetivos de países'!$F$5:$F$510,AJ$3,'Datos - Objetivos de países'!$J$5:$J$510,$A5)+COUNTIFS('Datos - Objetivos de países'!$B$5:$B$510,"Colombia",'Datos - Objetivos de países'!$F$5:$F$510,AJ$3,'Datos - Objetivos de países'!$K$5:$K$510,$A5)</f>
        <v/>
      </c>
      <c r="AK5" s="11">
        <f>COUNTIFS('Datos - Objetivos de países'!$B$5:$B$510,"Colombia",'Datos - Objetivos de países'!$F$5:$F$510,AK$3,'Datos - Objetivos de países'!$J$5:$J$510,$A5)+COUNTIFS('Datos - Objetivos de países'!$B$5:$B$510,"Colombia",'Datos - Objetivos de países'!$F$5:$F$510,AK$3,'Datos - Objetivos de países'!$K$5:$K$510,$A5)</f>
        <v/>
      </c>
      <c r="AL5" s="11">
        <f>COUNTIFS('Datos - Objetivos de países'!$B$5:$B$510,"Colombia",'Datos - Objetivos de países'!$F$5:$F$510,AL$3,'Datos - Objetivos de países'!$J$5:$J$510,$A5)+COUNTIFS('Datos - Objetivos de países'!$B$5:$B$510,"Colombia",'Datos - Objetivos de países'!$F$5:$F$510,AL$3,'Datos - Objetivos de países'!$K$5:$K$510,$A5)</f>
        <v/>
      </c>
      <c r="AM5" s="11">
        <f>COUNTIFS('Datos - Objetivos de países'!$B$5:$B$510,"Colombia",'Datos - Objetivos de países'!$F$5:$F$510,AM$3,'Datos - Objetivos de países'!$J$5:$J$510,$A5)+COUNTIFS('Datos - Objetivos de países'!$B$5:$B$510,"Colombia",'Datos - Objetivos de países'!$F$5:$F$510,AM$3,'Datos - Objetivos de países'!$K$5:$K$510,$A5)</f>
        <v/>
      </c>
      <c r="AN5" s="11">
        <f>COUNTIFS('Datos - Objetivos de países'!$B$5:$B$510,"Colombia",'Datos - Objetivos de países'!$F$5:$F$510,AN$3,'Datos - Objetivos de países'!$J$5:$J$510,$A5)+COUNTIFS('Datos - Objetivos de países'!$B$5:$B$510,"Colombia",'Datos - Objetivos de países'!$F$5:$F$510,AN$3,'Datos - Objetivos de países'!$K$5:$K$510,$A5)</f>
        <v/>
      </c>
      <c r="AO5" s="11">
        <f>COUNTIFS('Datos - Objetivos de países'!$B$5:$B$510,"Singapur",'Datos - Objetivos de países'!$F$5:$F$510,AO$3,'Datos - Objetivos de países'!$J$5:$J$510,$A5)+COUNTIFS('Datos - Objetivos de países'!$B$5:$B$510,"Singapur",'Datos - Objetivos de países'!$F$5:$F$510,AO$3,'Datos - Objetivos de países'!$K$5:$K$510,$A5)</f>
        <v/>
      </c>
      <c r="AP5" s="11">
        <f>COUNTIFS('Datos - Objetivos de países'!$B$5:$B$510,"Singapur",'Datos - Objetivos de países'!$F$5:$F$510,AP$3,'Datos - Objetivos de países'!$J$5:$J$510,$A5)+COUNTIFS('Datos - Objetivos de países'!$B$5:$B$510,"Singapur",'Datos - Objetivos de países'!$F$5:$F$510,AP$3,'Datos - Objetivos de países'!$K$5:$K$510,$A5)</f>
        <v/>
      </c>
      <c r="AQ5" s="11">
        <f>COUNTIFS('Datos - Objetivos de países'!$B$5:$B$510,"Singapur",'Datos - Objetivos de países'!$F$5:$F$510,AQ$3,'Datos - Objetivos de países'!$J$5:$J$510,$A5)+COUNTIFS('Datos - Objetivos de países'!$B$5:$B$510,"Singapur",'Datos - Objetivos de países'!$F$5:$F$510,AQ$3,'Datos - Objetivos de países'!$K$5:$K$510,$A5)</f>
        <v/>
      </c>
      <c r="AR5" s="11">
        <f>COUNTIFS('Datos - Objetivos de países'!$B$5:$B$510,"Singapur",'Datos - Objetivos de países'!$F$5:$F$510,AR$3,'Datos - Objetivos de países'!$J$5:$J$510,$A5)+COUNTIFS('Datos - Objetivos de países'!$B$5:$B$510,"Singapur",'Datos - Objetivos de países'!$F$5:$F$510,AR$3,'Datos - Objetivos de países'!$K$5:$K$510,$A5)</f>
        <v/>
      </c>
      <c r="AS5" s="11">
        <f>COUNTIFS('Datos - Objetivos de países'!$B$5:$B$510,"Singapur",'Datos - Objetivos de países'!$F$5:$F$510,AS$3,'Datos - Objetivos de países'!$J$5:$J$510,$A5)+COUNTIFS('Datos - Objetivos de países'!$B$5:$B$510,"Singapur",'Datos - Objetivos de países'!$F$5:$F$510,AS$3,'Datos - Objetivos de países'!$K$5:$K$510,$A5)</f>
        <v/>
      </c>
      <c r="AT5" s="11">
        <f>COUNTIFS('Datos - Objetivos de países'!$B$5:$B$510,"Singapur",'Datos - Objetivos de países'!$F$5:$F$510,AT$3,'Datos - Objetivos de países'!$J$5:$J$510,$A5)+COUNTIFS('Datos - Objetivos de países'!$B$5:$B$510,"Singapur",'Datos - Objetivos de países'!$F$5:$F$510,AT$3,'Datos - Objetivos de países'!$K$5:$K$510,$A5)</f>
        <v/>
      </c>
      <c r="AU5" s="11">
        <f>COUNTIFS('Datos - Objetivos de países'!$B$5:$B$510,"Singapur",'Datos - Objetivos de países'!$F$5:$F$510,AU$3,'Datos - Objetivos de países'!$J$5:$J$510,$A5)+COUNTIFS('Datos - Objetivos de países'!$B$5:$B$510,"Singapur",'Datos - Objetivos de países'!$F$5:$F$510,AU$3,'Datos - Objetivos de países'!$K$5:$K$510,$A5)</f>
        <v/>
      </c>
      <c r="AV5" s="11">
        <f>COUNTIFS('Datos - Objetivos de países'!$B$5:$B$510,"Singapur",'Datos - Objetivos de países'!$F$5:$F$510,AV$3,'Datos - Objetivos de países'!$J$5:$J$510,$A5)+COUNTIFS('Datos - Objetivos de países'!$B$5:$B$510,"Singapur",'Datos - Objetivos de países'!$F$5:$F$510,AV$3,'Datos - Objetivos de países'!$K$5:$K$510,$A5)</f>
        <v/>
      </c>
      <c r="AW5" s="11">
        <f>COUNTIFS('Datos - Objetivos de países'!$B$5:$B$510,"Singapur",'Datos - Objetivos de países'!$F$5:$F$510,AW$3,'Datos - Objetivos de países'!$J$5:$J$510,$A5)+COUNTIFS('Datos - Objetivos de países'!$B$5:$B$510,"Singapur",'Datos - Objetivos de países'!$F$5:$F$510,AW$3,'Datos - Objetivos de países'!$K$5:$K$510,$A5)</f>
        <v/>
      </c>
    </row>
    <row r="6">
      <c r="A6" s="30" t="inlineStr">
        <is>
          <t>T4_27-B1.2</t>
        </is>
      </c>
      <c r="B6" s="30" t="inlineStr">
        <is>
          <t>T4_27</t>
        </is>
      </c>
      <c r="C6" s="30" t="inlineStr">
        <is>
          <t>Biología</t>
        </is>
      </c>
      <c r="D6" s="30" t="inlineStr">
        <is>
          <t>Rasgos físicos y de conducta de los grandes grupos de seres vivos</t>
        </is>
      </c>
      <c r="E6" s="30">
        <f>IFERROR(MAX($L$3,INDEX($N$3:$V$3,MATCH(TRUE,INDEX(N6:V6&gt;0,0),0))),"—")</f>
        <v/>
      </c>
      <c r="F6" s="30">
        <f>IFERROR(MAX($L$3,INDEX($W$3:$AE$3,MATCH(TRUE,INDEX(W6:AE6&gt;0,0),0))),"—")</f>
        <v/>
      </c>
      <c r="G6" s="30">
        <f>IFERROR(MAX($L$3,INDEX($AF$3:$AN$3,MATCH(TRUE,INDEX(AF6:AN6&gt;0,0),0))),"—")</f>
        <v/>
      </c>
      <c r="H6" s="30">
        <f>IFERROR(MAX($L$3,INDEX($AO$3:$AW$3,MATCH(TRUE,INDEX(AO6:AW6&gt;0,0),0))),"—")</f>
        <v/>
      </c>
      <c r="I6" s="36">
        <f>IF(L6=0,"—",MEDIAN(F6:H6))</f>
        <v/>
      </c>
      <c r="J6" s="36">
        <f>IF(OR(E6="—",I6="—"),"—",E6-I6)</f>
        <v/>
      </c>
      <c r="K6" s="19">
        <f>IF(E6="—",IF(L6=0,"Nadie lo trabaja","El Salvador no llega"),IF(L6=0,"Solo El Salvador",IF(J6&gt;0,"El Salvador llega más tarde",IF(J6&lt;0,"El Salvador va adelantado","Mismo grado"))))</f>
        <v/>
      </c>
      <c r="L6" s="30">
        <f>COUNT(F6:H6)</f>
        <v/>
      </c>
      <c r="N6" s="11">
        <f>COUNTIFS('Datos - Temas'!$C$5:$C$1264,"Ciencias",'Datos - Temas'!$B$5:$B$1264,N$3,'Datos - Temas'!$K$5:$K$1264,$A6)+COUNTIFS('Datos - Temas'!$C$5:$C$1264,"Ciencias",'Datos - Temas'!$B$5:$B$1264,N$3,'Datos - Temas'!$L$5:$L$1264,$A6)</f>
        <v/>
      </c>
      <c r="O6" s="11">
        <f>COUNTIFS('Datos - Temas'!$C$5:$C$1264,"Ciencias",'Datos - Temas'!$B$5:$B$1264,O$3,'Datos - Temas'!$K$5:$K$1264,$A6)+COUNTIFS('Datos - Temas'!$C$5:$C$1264,"Ciencias",'Datos - Temas'!$B$5:$B$1264,O$3,'Datos - Temas'!$L$5:$L$1264,$A6)</f>
        <v/>
      </c>
      <c r="P6" s="11">
        <f>COUNTIFS('Datos - Temas'!$C$5:$C$1264,"Ciencias",'Datos - Temas'!$B$5:$B$1264,P$3,'Datos - Temas'!$K$5:$K$1264,$A6)+COUNTIFS('Datos - Temas'!$C$5:$C$1264,"Ciencias",'Datos - Temas'!$B$5:$B$1264,P$3,'Datos - Temas'!$L$5:$L$1264,$A6)</f>
        <v/>
      </c>
      <c r="Q6" s="11">
        <f>COUNTIFS('Datos - Temas'!$C$5:$C$1264,"Ciencias",'Datos - Temas'!$B$5:$B$1264,Q$3,'Datos - Temas'!$K$5:$K$1264,$A6)+COUNTIFS('Datos - Temas'!$C$5:$C$1264,"Ciencias",'Datos - Temas'!$B$5:$B$1264,Q$3,'Datos - Temas'!$L$5:$L$1264,$A6)</f>
        <v/>
      </c>
      <c r="R6" s="11">
        <f>COUNTIFS('Datos - Temas'!$C$5:$C$1264,"Ciencias",'Datos - Temas'!$B$5:$B$1264,R$3,'Datos - Temas'!$K$5:$K$1264,$A6)+COUNTIFS('Datos - Temas'!$C$5:$C$1264,"Ciencias",'Datos - Temas'!$B$5:$B$1264,R$3,'Datos - Temas'!$L$5:$L$1264,$A6)</f>
        <v/>
      </c>
      <c r="S6" s="11">
        <f>COUNTIFS('Datos - Temas'!$C$5:$C$1264,"Ciencias",'Datos - Temas'!$B$5:$B$1264,S$3,'Datos - Temas'!$K$5:$K$1264,$A6)+COUNTIFS('Datos - Temas'!$C$5:$C$1264,"Ciencias",'Datos - Temas'!$B$5:$B$1264,S$3,'Datos - Temas'!$L$5:$L$1264,$A6)</f>
        <v/>
      </c>
      <c r="T6" s="11">
        <f>COUNTIFS('Datos - Temas'!$C$5:$C$1264,"Ciencias",'Datos - Temas'!$B$5:$B$1264,T$3,'Datos - Temas'!$K$5:$K$1264,$A6)+COUNTIFS('Datos - Temas'!$C$5:$C$1264,"Ciencias",'Datos - Temas'!$B$5:$B$1264,T$3,'Datos - Temas'!$L$5:$L$1264,$A6)</f>
        <v/>
      </c>
      <c r="U6" s="11">
        <f>COUNTIFS('Datos - Temas'!$C$5:$C$1264,"Ciencias",'Datos - Temas'!$B$5:$B$1264,U$3,'Datos - Temas'!$K$5:$K$1264,$A6)+COUNTIFS('Datos - Temas'!$C$5:$C$1264,"Ciencias",'Datos - Temas'!$B$5:$B$1264,U$3,'Datos - Temas'!$L$5:$L$1264,$A6)</f>
        <v/>
      </c>
      <c r="V6" s="11">
        <f>COUNTIFS('Datos - Temas'!$C$5:$C$1264,"Ciencias",'Datos - Temas'!$B$5:$B$1264,V$3,'Datos - Temas'!$K$5:$K$1264,$A6)+COUNTIFS('Datos - Temas'!$C$5:$C$1264,"Ciencias",'Datos - Temas'!$B$5:$B$1264,V$3,'Datos - Temas'!$L$5:$L$1264,$A6)</f>
        <v/>
      </c>
      <c r="W6" s="11">
        <f>COUNTIFS('Datos - Objetivos de países'!$B$5:$B$510,"Uruguay",'Datos - Objetivos de países'!$F$5:$F$510,W$3,'Datos - Objetivos de países'!$J$5:$J$510,$A6)+COUNTIFS('Datos - Objetivos de países'!$B$5:$B$510,"Uruguay",'Datos - Objetivos de países'!$F$5:$F$510,W$3,'Datos - Objetivos de países'!$K$5:$K$510,$A6)</f>
        <v/>
      </c>
      <c r="X6" s="11">
        <f>COUNTIFS('Datos - Objetivos de países'!$B$5:$B$510,"Uruguay",'Datos - Objetivos de países'!$F$5:$F$510,X$3,'Datos - Objetivos de países'!$J$5:$J$510,$A6)+COUNTIFS('Datos - Objetivos de países'!$B$5:$B$510,"Uruguay",'Datos - Objetivos de países'!$F$5:$F$510,X$3,'Datos - Objetivos de países'!$K$5:$K$510,$A6)</f>
        <v/>
      </c>
      <c r="Y6" s="11">
        <f>COUNTIFS('Datos - Objetivos de países'!$B$5:$B$510,"Uruguay",'Datos - Objetivos de países'!$F$5:$F$510,Y$3,'Datos - Objetivos de países'!$J$5:$J$510,$A6)+COUNTIFS('Datos - Objetivos de países'!$B$5:$B$510,"Uruguay",'Datos - Objetivos de países'!$F$5:$F$510,Y$3,'Datos - Objetivos de países'!$K$5:$K$510,$A6)</f>
        <v/>
      </c>
      <c r="Z6" s="11">
        <f>COUNTIFS('Datos - Objetivos de países'!$B$5:$B$510,"Uruguay",'Datos - Objetivos de países'!$F$5:$F$510,Z$3,'Datos - Objetivos de países'!$J$5:$J$510,$A6)+COUNTIFS('Datos - Objetivos de países'!$B$5:$B$510,"Uruguay",'Datos - Objetivos de países'!$F$5:$F$510,Z$3,'Datos - Objetivos de países'!$K$5:$K$510,$A6)</f>
        <v/>
      </c>
      <c r="AA6" s="11">
        <f>COUNTIFS('Datos - Objetivos de países'!$B$5:$B$510,"Uruguay",'Datos - Objetivos de países'!$F$5:$F$510,AA$3,'Datos - Objetivos de países'!$J$5:$J$510,$A6)+COUNTIFS('Datos - Objetivos de países'!$B$5:$B$510,"Uruguay",'Datos - Objetivos de países'!$F$5:$F$510,AA$3,'Datos - Objetivos de países'!$K$5:$K$510,$A6)</f>
        <v/>
      </c>
      <c r="AB6" s="11">
        <f>COUNTIFS('Datos - Objetivos de países'!$B$5:$B$510,"Uruguay",'Datos - Objetivos de países'!$F$5:$F$510,AB$3,'Datos - Objetivos de países'!$J$5:$J$510,$A6)+COUNTIFS('Datos - Objetivos de países'!$B$5:$B$510,"Uruguay",'Datos - Objetivos de países'!$F$5:$F$510,AB$3,'Datos - Objetivos de países'!$K$5:$K$510,$A6)</f>
        <v/>
      </c>
      <c r="AC6" s="11">
        <f>COUNTIFS('Datos - Objetivos de países'!$B$5:$B$510,"Uruguay",'Datos - Objetivos de países'!$F$5:$F$510,AC$3,'Datos - Objetivos de países'!$J$5:$J$510,$A6)+COUNTIFS('Datos - Objetivos de países'!$B$5:$B$510,"Uruguay",'Datos - Objetivos de países'!$F$5:$F$510,AC$3,'Datos - Objetivos de países'!$K$5:$K$510,$A6)</f>
        <v/>
      </c>
      <c r="AD6" s="11">
        <f>COUNTIFS('Datos - Objetivos de países'!$B$5:$B$510,"Uruguay",'Datos - Objetivos de países'!$F$5:$F$510,AD$3,'Datos - Objetivos de países'!$J$5:$J$510,$A6)+COUNTIFS('Datos - Objetivos de países'!$B$5:$B$510,"Uruguay",'Datos - Objetivos de países'!$F$5:$F$510,AD$3,'Datos - Objetivos de países'!$K$5:$K$510,$A6)</f>
        <v/>
      </c>
      <c r="AE6" s="11">
        <f>COUNTIFS('Datos - Objetivos de países'!$B$5:$B$510,"Uruguay",'Datos - Objetivos de países'!$F$5:$F$510,AE$3,'Datos - Objetivos de países'!$J$5:$J$510,$A6)+COUNTIFS('Datos - Objetivos de países'!$B$5:$B$510,"Uruguay",'Datos - Objetivos de países'!$F$5:$F$510,AE$3,'Datos - Objetivos de países'!$K$5:$K$510,$A6)</f>
        <v/>
      </c>
      <c r="AF6" s="11">
        <f>COUNTIFS('Datos - Objetivos de países'!$B$5:$B$510,"Colombia",'Datos - Objetivos de países'!$F$5:$F$510,AF$3,'Datos - Objetivos de países'!$J$5:$J$510,$A6)+COUNTIFS('Datos - Objetivos de países'!$B$5:$B$510,"Colombia",'Datos - Objetivos de países'!$F$5:$F$510,AF$3,'Datos - Objetivos de países'!$K$5:$K$510,$A6)</f>
        <v/>
      </c>
      <c r="AG6" s="11">
        <f>COUNTIFS('Datos - Objetivos de países'!$B$5:$B$510,"Colombia",'Datos - Objetivos de países'!$F$5:$F$510,AG$3,'Datos - Objetivos de países'!$J$5:$J$510,$A6)+COUNTIFS('Datos - Objetivos de países'!$B$5:$B$510,"Colombia",'Datos - Objetivos de países'!$F$5:$F$510,AG$3,'Datos - Objetivos de países'!$K$5:$K$510,$A6)</f>
        <v/>
      </c>
      <c r="AH6" s="11">
        <f>COUNTIFS('Datos - Objetivos de países'!$B$5:$B$510,"Colombia",'Datos - Objetivos de países'!$F$5:$F$510,AH$3,'Datos - Objetivos de países'!$J$5:$J$510,$A6)+COUNTIFS('Datos - Objetivos de países'!$B$5:$B$510,"Colombia",'Datos - Objetivos de países'!$F$5:$F$510,AH$3,'Datos - Objetivos de países'!$K$5:$K$510,$A6)</f>
        <v/>
      </c>
      <c r="AI6" s="11">
        <f>COUNTIFS('Datos - Objetivos de países'!$B$5:$B$510,"Colombia",'Datos - Objetivos de países'!$F$5:$F$510,AI$3,'Datos - Objetivos de países'!$J$5:$J$510,$A6)+COUNTIFS('Datos - Objetivos de países'!$B$5:$B$510,"Colombia",'Datos - Objetivos de países'!$F$5:$F$510,AI$3,'Datos - Objetivos de países'!$K$5:$K$510,$A6)</f>
        <v/>
      </c>
      <c r="AJ6" s="11">
        <f>COUNTIFS('Datos - Objetivos de países'!$B$5:$B$510,"Colombia",'Datos - Objetivos de países'!$F$5:$F$510,AJ$3,'Datos - Objetivos de países'!$J$5:$J$510,$A6)+COUNTIFS('Datos - Objetivos de países'!$B$5:$B$510,"Colombia",'Datos - Objetivos de países'!$F$5:$F$510,AJ$3,'Datos - Objetivos de países'!$K$5:$K$510,$A6)</f>
        <v/>
      </c>
      <c r="AK6" s="11">
        <f>COUNTIFS('Datos - Objetivos de países'!$B$5:$B$510,"Colombia",'Datos - Objetivos de países'!$F$5:$F$510,AK$3,'Datos - Objetivos de países'!$J$5:$J$510,$A6)+COUNTIFS('Datos - Objetivos de países'!$B$5:$B$510,"Colombia",'Datos - Objetivos de países'!$F$5:$F$510,AK$3,'Datos - Objetivos de países'!$K$5:$K$510,$A6)</f>
        <v/>
      </c>
      <c r="AL6" s="11">
        <f>COUNTIFS('Datos - Objetivos de países'!$B$5:$B$510,"Colombia",'Datos - Objetivos de países'!$F$5:$F$510,AL$3,'Datos - Objetivos de países'!$J$5:$J$510,$A6)+COUNTIFS('Datos - Objetivos de países'!$B$5:$B$510,"Colombia",'Datos - Objetivos de países'!$F$5:$F$510,AL$3,'Datos - Objetivos de países'!$K$5:$K$510,$A6)</f>
        <v/>
      </c>
      <c r="AM6" s="11">
        <f>COUNTIFS('Datos - Objetivos de países'!$B$5:$B$510,"Colombia",'Datos - Objetivos de países'!$F$5:$F$510,AM$3,'Datos - Objetivos de países'!$J$5:$J$510,$A6)+COUNTIFS('Datos - Objetivos de países'!$B$5:$B$510,"Colombia",'Datos - Objetivos de países'!$F$5:$F$510,AM$3,'Datos - Objetivos de países'!$K$5:$K$510,$A6)</f>
        <v/>
      </c>
      <c r="AN6" s="11">
        <f>COUNTIFS('Datos - Objetivos de países'!$B$5:$B$510,"Colombia",'Datos - Objetivos de países'!$F$5:$F$510,AN$3,'Datos - Objetivos de países'!$J$5:$J$510,$A6)+COUNTIFS('Datos - Objetivos de países'!$B$5:$B$510,"Colombia",'Datos - Objetivos de países'!$F$5:$F$510,AN$3,'Datos - Objetivos de países'!$K$5:$K$510,$A6)</f>
        <v/>
      </c>
      <c r="AO6" s="11">
        <f>COUNTIFS('Datos - Objetivos de países'!$B$5:$B$510,"Singapur",'Datos - Objetivos de países'!$F$5:$F$510,AO$3,'Datos - Objetivos de países'!$J$5:$J$510,$A6)+COUNTIFS('Datos - Objetivos de países'!$B$5:$B$510,"Singapur",'Datos - Objetivos de países'!$F$5:$F$510,AO$3,'Datos - Objetivos de países'!$K$5:$K$510,$A6)</f>
        <v/>
      </c>
      <c r="AP6" s="11">
        <f>COUNTIFS('Datos - Objetivos de países'!$B$5:$B$510,"Singapur",'Datos - Objetivos de países'!$F$5:$F$510,AP$3,'Datos - Objetivos de países'!$J$5:$J$510,$A6)+COUNTIFS('Datos - Objetivos de países'!$B$5:$B$510,"Singapur",'Datos - Objetivos de países'!$F$5:$F$510,AP$3,'Datos - Objetivos de países'!$K$5:$K$510,$A6)</f>
        <v/>
      </c>
      <c r="AQ6" s="11">
        <f>COUNTIFS('Datos - Objetivos de países'!$B$5:$B$510,"Singapur",'Datos - Objetivos de países'!$F$5:$F$510,AQ$3,'Datos - Objetivos de países'!$J$5:$J$510,$A6)+COUNTIFS('Datos - Objetivos de países'!$B$5:$B$510,"Singapur",'Datos - Objetivos de países'!$F$5:$F$510,AQ$3,'Datos - Objetivos de países'!$K$5:$K$510,$A6)</f>
        <v/>
      </c>
      <c r="AR6" s="11">
        <f>COUNTIFS('Datos - Objetivos de países'!$B$5:$B$510,"Singapur",'Datos - Objetivos de países'!$F$5:$F$510,AR$3,'Datos - Objetivos de países'!$J$5:$J$510,$A6)+COUNTIFS('Datos - Objetivos de países'!$B$5:$B$510,"Singapur",'Datos - Objetivos de países'!$F$5:$F$510,AR$3,'Datos - Objetivos de países'!$K$5:$K$510,$A6)</f>
        <v/>
      </c>
      <c r="AS6" s="11">
        <f>COUNTIFS('Datos - Objetivos de países'!$B$5:$B$510,"Singapur",'Datos - Objetivos de países'!$F$5:$F$510,AS$3,'Datos - Objetivos de países'!$J$5:$J$510,$A6)+COUNTIFS('Datos - Objetivos de países'!$B$5:$B$510,"Singapur",'Datos - Objetivos de países'!$F$5:$F$510,AS$3,'Datos - Objetivos de países'!$K$5:$K$510,$A6)</f>
        <v/>
      </c>
      <c r="AT6" s="11">
        <f>COUNTIFS('Datos - Objetivos de países'!$B$5:$B$510,"Singapur",'Datos - Objetivos de países'!$F$5:$F$510,AT$3,'Datos - Objetivos de países'!$J$5:$J$510,$A6)+COUNTIFS('Datos - Objetivos de países'!$B$5:$B$510,"Singapur",'Datos - Objetivos de países'!$F$5:$F$510,AT$3,'Datos - Objetivos de países'!$K$5:$K$510,$A6)</f>
        <v/>
      </c>
      <c r="AU6" s="11">
        <f>COUNTIFS('Datos - Objetivos de países'!$B$5:$B$510,"Singapur",'Datos - Objetivos de países'!$F$5:$F$510,AU$3,'Datos - Objetivos de países'!$J$5:$J$510,$A6)+COUNTIFS('Datos - Objetivos de países'!$B$5:$B$510,"Singapur",'Datos - Objetivos de países'!$F$5:$F$510,AU$3,'Datos - Objetivos de países'!$K$5:$K$510,$A6)</f>
        <v/>
      </c>
      <c r="AV6" s="11">
        <f>COUNTIFS('Datos - Objetivos de países'!$B$5:$B$510,"Singapur",'Datos - Objetivos de países'!$F$5:$F$510,AV$3,'Datos - Objetivos de países'!$J$5:$J$510,$A6)+COUNTIFS('Datos - Objetivos de países'!$B$5:$B$510,"Singapur",'Datos - Objetivos de países'!$F$5:$F$510,AV$3,'Datos - Objetivos de países'!$K$5:$K$510,$A6)</f>
        <v/>
      </c>
      <c r="AW6" s="11">
        <f>COUNTIFS('Datos - Objetivos de países'!$B$5:$B$510,"Singapur",'Datos - Objetivos de países'!$F$5:$F$510,AW$3,'Datos - Objetivos de países'!$J$5:$J$510,$A6)+COUNTIFS('Datos - Objetivos de países'!$B$5:$B$510,"Singapur",'Datos - Objetivos de países'!$F$5:$F$510,AW$3,'Datos - Objetivos de países'!$K$5:$K$510,$A6)</f>
        <v/>
      </c>
    </row>
    <row r="7">
      <c r="A7" s="30" t="inlineStr">
        <is>
          <t>T4_27-B1.3</t>
        </is>
      </c>
      <c r="B7" s="30" t="inlineStr">
        <is>
          <t>T4_27</t>
        </is>
      </c>
      <c r="C7" s="30" t="inlineStr">
        <is>
          <t>Biología</t>
        </is>
      </c>
      <c r="D7" s="30" t="inlineStr">
        <is>
          <t>Funciones de las estructuras principales de animales y plantas</t>
        </is>
      </c>
      <c r="E7" s="30">
        <f>IFERROR(MAX($L$3,INDEX($N$3:$V$3,MATCH(TRUE,INDEX(N7:V7&gt;0,0),0))),"—")</f>
        <v/>
      </c>
      <c r="F7" s="30">
        <f>IFERROR(MAX($L$3,INDEX($W$3:$AE$3,MATCH(TRUE,INDEX(W7:AE7&gt;0,0),0))),"—")</f>
        <v/>
      </c>
      <c r="G7" s="30">
        <f>IFERROR(MAX($L$3,INDEX($AF$3:$AN$3,MATCH(TRUE,INDEX(AF7:AN7&gt;0,0),0))),"—")</f>
        <v/>
      </c>
      <c r="H7" s="30">
        <f>IFERROR(MAX($L$3,INDEX($AO$3:$AW$3,MATCH(TRUE,INDEX(AO7:AW7&gt;0,0),0))),"—")</f>
        <v/>
      </c>
      <c r="I7" s="36">
        <f>IF(L7=0,"—",MEDIAN(F7:H7))</f>
        <v/>
      </c>
      <c r="J7" s="36">
        <f>IF(OR(E7="—",I7="—"),"—",E7-I7)</f>
        <v/>
      </c>
      <c r="K7" s="19">
        <f>IF(E7="—",IF(L7=0,"Nadie lo trabaja","El Salvador no llega"),IF(L7=0,"Solo El Salvador",IF(J7&gt;0,"El Salvador llega más tarde",IF(J7&lt;0,"El Salvador va adelantado","Mismo grado"))))</f>
        <v/>
      </c>
      <c r="L7" s="30">
        <f>COUNT(F7:H7)</f>
        <v/>
      </c>
      <c r="N7" s="11">
        <f>COUNTIFS('Datos - Temas'!$C$5:$C$1264,"Ciencias",'Datos - Temas'!$B$5:$B$1264,N$3,'Datos - Temas'!$K$5:$K$1264,$A7)+COUNTIFS('Datos - Temas'!$C$5:$C$1264,"Ciencias",'Datos - Temas'!$B$5:$B$1264,N$3,'Datos - Temas'!$L$5:$L$1264,$A7)</f>
        <v/>
      </c>
      <c r="O7" s="11">
        <f>COUNTIFS('Datos - Temas'!$C$5:$C$1264,"Ciencias",'Datos - Temas'!$B$5:$B$1264,O$3,'Datos - Temas'!$K$5:$K$1264,$A7)+COUNTIFS('Datos - Temas'!$C$5:$C$1264,"Ciencias",'Datos - Temas'!$B$5:$B$1264,O$3,'Datos - Temas'!$L$5:$L$1264,$A7)</f>
        <v/>
      </c>
      <c r="P7" s="11">
        <f>COUNTIFS('Datos - Temas'!$C$5:$C$1264,"Ciencias",'Datos - Temas'!$B$5:$B$1264,P$3,'Datos - Temas'!$K$5:$K$1264,$A7)+COUNTIFS('Datos - Temas'!$C$5:$C$1264,"Ciencias",'Datos - Temas'!$B$5:$B$1264,P$3,'Datos - Temas'!$L$5:$L$1264,$A7)</f>
        <v/>
      </c>
      <c r="Q7" s="11">
        <f>COUNTIFS('Datos - Temas'!$C$5:$C$1264,"Ciencias",'Datos - Temas'!$B$5:$B$1264,Q$3,'Datos - Temas'!$K$5:$K$1264,$A7)+COUNTIFS('Datos - Temas'!$C$5:$C$1264,"Ciencias",'Datos - Temas'!$B$5:$B$1264,Q$3,'Datos - Temas'!$L$5:$L$1264,$A7)</f>
        <v/>
      </c>
      <c r="R7" s="11">
        <f>COUNTIFS('Datos - Temas'!$C$5:$C$1264,"Ciencias",'Datos - Temas'!$B$5:$B$1264,R$3,'Datos - Temas'!$K$5:$K$1264,$A7)+COUNTIFS('Datos - Temas'!$C$5:$C$1264,"Ciencias",'Datos - Temas'!$B$5:$B$1264,R$3,'Datos - Temas'!$L$5:$L$1264,$A7)</f>
        <v/>
      </c>
      <c r="S7" s="11">
        <f>COUNTIFS('Datos - Temas'!$C$5:$C$1264,"Ciencias",'Datos - Temas'!$B$5:$B$1264,S$3,'Datos - Temas'!$K$5:$K$1264,$A7)+COUNTIFS('Datos - Temas'!$C$5:$C$1264,"Ciencias",'Datos - Temas'!$B$5:$B$1264,S$3,'Datos - Temas'!$L$5:$L$1264,$A7)</f>
        <v/>
      </c>
      <c r="T7" s="11">
        <f>COUNTIFS('Datos - Temas'!$C$5:$C$1264,"Ciencias",'Datos - Temas'!$B$5:$B$1264,T$3,'Datos - Temas'!$K$5:$K$1264,$A7)+COUNTIFS('Datos - Temas'!$C$5:$C$1264,"Ciencias",'Datos - Temas'!$B$5:$B$1264,T$3,'Datos - Temas'!$L$5:$L$1264,$A7)</f>
        <v/>
      </c>
      <c r="U7" s="11">
        <f>COUNTIFS('Datos - Temas'!$C$5:$C$1264,"Ciencias",'Datos - Temas'!$B$5:$B$1264,U$3,'Datos - Temas'!$K$5:$K$1264,$A7)+COUNTIFS('Datos - Temas'!$C$5:$C$1264,"Ciencias",'Datos - Temas'!$B$5:$B$1264,U$3,'Datos - Temas'!$L$5:$L$1264,$A7)</f>
        <v/>
      </c>
      <c r="V7" s="11">
        <f>COUNTIFS('Datos - Temas'!$C$5:$C$1264,"Ciencias",'Datos - Temas'!$B$5:$B$1264,V$3,'Datos - Temas'!$K$5:$K$1264,$A7)+COUNTIFS('Datos - Temas'!$C$5:$C$1264,"Ciencias",'Datos - Temas'!$B$5:$B$1264,V$3,'Datos - Temas'!$L$5:$L$1264,$A7)</f>
        <v/>
      </c>
      <c r="W7" s="11">
        <f>COUNTIFS('Datos - Objetivos de países'!$B$5:$B$510,"Uruguay",'Datos - Objetivos de países'!$F$5:$F$510,W$3,'Datos - Objetivos de países'!$J$5:$J$510,$A7)+COUNTIFS('Datos - Objetivos de países'!$B$5:$B$510,"Uruguay",'Datos - Objetivos de países'!$F$5:$F$510,W$3,'Datos - Objetivos de países'!$K$5:$K$510,$A7)</f>
        <v/>
      </c>
      <c r="X7" s="11">
        <f>COUNTIFS('Datos - Objetivos de países'!$B$5:$B$510,"Uruguay",'Datos - Objetivos de países'!$F$5:$F$510,X$3,'Datos - Objetivos de países'!$J$5:$J$510,$A7)+COUNTIFS('Datos - Objetivos de países'!$B$5:$B$510,"Uruguay",'Datos - Objetivos de países'!$F$5:$F$510,X$3,'Datos - Objetivos de países'!$K$5:$K$510,$A7)</f>
        <v/>
      </c>
      <c r="Y7" s="11">
        <f>COUNTIFS('Datos - Objetivos de países'!$B$5:$B$510,"Uruguay",'Datos - Objetivos de países'!$F$5:$F$510,Y$3,'Datos - Objetivos de países'!$J$5:$J$510,$A7)+COUNTIFS('Datos - Objetivos de países'!$B$5:$B$510,"Uruguay",'Datos - Objetivos de países'!$F$5:$F$510,Y$3,'Datos - Objetivos de países'!$K$5:$K$510,$A7)</f>
        <v/>
      </c>
      <c r="Z7" s="11">
        <f>COUNTIFS('Datos - Objetivos de países'!$B$5:$B$510,"Uruguay",'Datos - Objetivos de países'!$F$5:$F$510,Z$3,'Datos - Objetivos de países'!$J$5:$J$510,$A7)+COUNTIFS('Datos - Objetivos de países'!$B$5:$B$510,"Uruguay",'Datos - Objetivos de países'!$F$5:$F$510,Z$3,'Datos - Objetivos de países'!$K$5:$K$510,$A7)</f>
        <v/>
      </c>
      <c r="AA7" s="11">
        <f>COUNTIFS('Datos - Objetivos de países'!$B$5:$B$510,"Uruguay",'Datos - Objetivos de países'!$F$5:$F$510,AA$3,'Datos - Objetivos de países'!$J$5:$J$510,$A7)+COUNTIFS('Datos - Objetivos de países'!$B$5:$B$510,"Uruguay",'Datos - Objetivos de países'!$F$5:$F$510,AA$3,'Datos - Objetivos de países'!$K$5:$K$510,$A7)</f>
        <v/>
      </c>
      <c r="AB7" s="11">
        <f>COUNTIFS('Datos - Objetivos de países'!$B$5:$B$510,"Uruguay",'Datos - Objetivos de países'!$F$5:$F$510,AB$3,'Datos - Objetivos de países'!$J$5:$J$510,$A7)+COUNTIFS('Datos - Objetivos de países'!$B$5:$B$510,"Uruguay",'Datos - Objetivos de países'!$F$5:$F$510,AB$3,'Datos - Objetivos de países'!$K$5:$K$510,$A7)</f>
        <v/>
      </c>
      <c r="AC7" s="11">
        <f>COUNTIFS('Datos - Objetivos de países'!$B$5:$B$510,"Uruguay",'Datos - Objetivos de países'!$F$5:$F$510,AC$3,'Datos - Objetivos de países'!$J$5:$J$510,$A7)+COUNTIFS('Datos - Objetivos de países'!$B$5:$B$510,"Uruguay",'Datos - Objetivos de países'!$F$5:$F$510,AC$3,'Datos - Objetivos de países'!$K$5:$K$510,$A7)</f>
        <v/>
      </c>
      <c r="AD7" s="11">
        <f>COUNTIFS('Datos - Objetivos de países'!$B$5:$B$510,"Uruguay",'Datos - Objetivos de países'!$F$5:$F$510,AD$3,'Datos - Objetivos de países'!$J$5:$J$510,$A7)+COUNTIFS('Datos - Objetivos de países'!$B$5:$B$510,"Uruguay",'Datos - Objetivos de países'!$F$5:$F$510,AD$3,'Datos - Objetivos de países'!$K$5:$K$510,$A7)</f>
        <v/>
      </c>
      <c r="AE7" s="11">
        <f>COUNTIFS('Datos - Objetivos de países'!$B$5:$B$510,"Uruguay",'Datos - Objetivos de países'!$F$5:$F$510,AE$3,'Datos - Objetivos de países'!$J$5:$J$510,$A7)+COUNTIFS('Datos - Objetivos de países'!$B$5:$B$510,"Uruguay",'Datos - Objetivos de países'!$F$5:$F$510,AE$3,'Datos - Objetivos de países'!$K$5:$K$510,$A7)</f>
        <v/>
      </c>
      <c r="AF7" s="11">
        <f>COUNTIFS('Datos - Objetivos de países'!$B$5:$B$510,"Colombia",'Datos - Objetivos de países'!$F$5:$F$510,AF$3,'Datos - Objetivos de países'!$J$5:$J$510,$A7)+COUNTIFS('Datos - Objetivos de países'!$B$5:$B$510,"Colombia",'Datos - Objetivos de países'!$F$5:$F$510,AF$3,'Datos - Objetivos de países'!$K$5:$K$510,$A7)</f>
        <v/>
      </c>
      <c r="AG7" s="11">
        <f>COUNTIFS('Datos - Objetivos de países'!$B$5:$B$510,"Colombia",'Datos - Objetivos de países'!$F$5:$F$510,AG$3,'Datos - Objetivos de países'!$J$5:$J$510,$A7)+COUNTIFS('Datos - Objetivos de países'!$B$5:$B$510,"Colombia",'Datos - Objetivos de países'!$F$5:$F$510,AG$3,'Datos - Objetivos de países'!$K$5:$K$510,$A7)</f>
        <v/>
      </c>
      <c r="AH7" s="11">
        <f>COUNTIFS('Datos - Objetivos de países'!$B$5:$B$510,"Colombia",'Datos - Objetivos de países'!$F$5:$F$510,AH$3,'Datos - Objetivos de países'!$J$5:$J$510,$A7)+COUNTIFS('Datos - Objetivos de países'!$B$5:$B$510,"Colombia",'Datos - Objetivos de países'!$F$5:$F$510,AH$3,'Datos - Objetivos de países'!$K$5:$K$510,$A7)</f>
        <v/>
      </c>
      <c r="AI7" s="11">
        <f>COUNTIFS('Datos - Objetivos de países'!$B$5:$B$510,"Colombia",'Datos - Objetivos de países'!$F$5:$F$510,AI$3,'Datos - Objetivos de países'!$J$5:$J$510,$A7)+COUNTIFS('Datos - Objetivos de países'!$B$5:$B$510,"Colombia",'Datos - Objetivos de países'!$F$5:$F$510,AI$3,'Datos - Objetivos de países'!$K$5:$K$510,$A7)</f>
        <v/>
      </c>
      <c r="AJ7" s="11">
        <f>COUNTIFS('Datos - Objetivos de países'!$B$5:$B$510,"Colombia",'Datos - Objetivos de países'!$F$5:$F$510,AJ$3,'Datos - Objetivos de países'!$J$5:$J$510,$A7)+COUNTIFS('Datos - Objetivos de países'!$B$5:$B$510,"Colombia",'Datos - Objetivos de países'!$F$5:$F$510,AJ$3,'Datos - Objetivos de países'!$K$5:$K$510,$A7)</f>
        <v/>
      </c>
      <c r="AK7" s="11">
        <f>COUNTIFS('Datos - Objetivos de países'!$B$5:$B$510,"Colombia",'Datos - Objetivos de países'!$F$5:$F$510,AK$3,'Datos - Objetivos de países'!$J$5:$J$510,$A7)+COUNTIFS('Datos - Objetivos de países'!$B$5:$B$510,"Colombia",'Datos - Objetivos de países'!$F$5:$F$510,AK$3,'Datos - Objetivos de países'!$K$5:$K$510,$A7)</f>
        <v/>
      </c>
      <c r="AL7" s="11">
        <f>COUNTIFS('Datos - Objetivos de países'!$B$5:$B$510,"Colombia",'Datos - Objetivos de países'!$F$5:$F$510,AL$3,'Datos - Objetivos de países'!$J$5:$J$510,$A7)+COUNTIFS('Datos - Objetivos de países'!$B$5:$B$510,"Colombia",'Datos - Objetivos de países'!$F$5:$F$510,AL$3,'Datos - Objetivos de países'!$K$5:$K$510,$A7)</f>
        <v/>
      </c>
      <c r="AM7" s="11">
        <f>COUNTIFS('Datos - Objetivos de países'!$B$5:$B$510,"Colombia",'Datos - Objetivos de países'!$F$5:$F$510,AM$3,'Datos - Objetivos de países'!$J$5:$J$510,$A7)+COUNTIFS('Datos - Objetivos de países'!$B$5:$B$510,"Colombia",'Datos - Objetivos de países'!$F$5:$F$510,AM$3,'Datos - Objetivos de países'!$K$5:$K$510,$A7)</f>
        <v/>
      </c>
      <c r="AN7" s="11">
        <f>COUNTIFS('Datos - Objetivos de países'!$B$5:$B$510,"Colombia",'Datos - Objetivos de países'!$F$5:$F$510,AN$3,'Datos - Objetivos de países'!$J$5:$J$510,$A7)+COUNTIFS('Datos - Objetivos de países'!$B$5:$B$510,"Colombia",'Datos - Objetivos de países'!$F$5:$F$510,AN$3,'Datos - Objetivos de países'!$K$5:$K$510,$A7)</f>
        <v/>
      </c>
      <c r="AO7" s="11">
        <f>COUNTIFS('Datos - Objetivos de países'!$B$5:$B$510,"Singapur",'Datos - Objetivos de países'!$F$5:$F$510,AO$3,'Datos - Objetivos de países'!$J$5:$J$510,$A7)+COUNTIFS('Datos - Objetivos de países'!$B$5:$B$510,"Singapur",'Datos - Objetivos de países'!$F$5:$F$510,AO$3,'Datos - Objetivos de países'!$K$5:$K$510,$A7)</f>
        <v/>
      </c>
      <c r="AP7" s="11">
        <f>COUNTIFS('Datos - Objetivos de países'!$B$5:$B$510,"Singapur",'Datos - Objetivos de países'!$F$5:$F$510,AP$3,'Datos - Objetivos de países'!$J$5:$J$510,$A7)+COUNTIFS('Datos - Objetivos de países'!$B$5:$B$510,"Singapur",'Datos - Objetivos de países'!$F$5:$F$510,AP$3,'Datos - Objetivos de países'!$K$5:$K$510,$A7)</f>
        <v/>
      </c>
      <c r="AQ7" s="11">
        <f>COUNTIFS('Datos - Objetivos de países'!$B$5:$B$510,"Singapur",'Datos - Objetivos de países'!$F$5:$F$510,AQ$3,'Datos - Objetivos de países'!$J$5:$J$510,$A7)+COUNTIFS('Datos - Objetivos de países'!$B$5:$B$510,"Singapur",'Datos - Objetivos de países'!$F$5:$F$510,AQ$3,'Datos - Objetivos de países'!$K$5:$K$510,$A7)</f>
        <v/>
      </c>
      <c r="AR7" s="11">
        <f>COUNTIFS('Datos - Objetivos de países'!$B$5:$B$510,"Singapur",'Datos - Objetivos de países'!$F$5:$F$510,AR$3,'Datos - Objetivos de países'!$J$5:$J$510,$A7)+COUNTIFS('Datos - Objetivos de países'!$B$5:$B$510,"Singapur",'Datos - Objetivos de países'!$F$5:$F$510,AR$3,'Datos - Objetivos de países'!$K$5:$K$510,$A7)</f>
        <v/>
      </c>
      <c r="AS7" s="11">
        <f>COUNTIFS('Datos - Objetivos de países'!$B$5:$B$510,"Singapur",'Datos - Objetivos de países'!$F$5:$F$510,AS$3,'Datos - Objetivos de países'!$J$5:$J$510,$A7)+COUNTIFS('Datos - Objetivos de países'!$B$5:$B$510,"Singapur",'Datos - Objetivos de países'!$F$5:$F$510,AS$3,'Datos - Objetivos de países'!$K$5:$K$510,$A7)</f>
        <v/>
      </c>
      <c r="AT7" s="11">
        <f>COUNTIFS('Datos - Objetivos de países'!$B$5:$B$510,"Singapur",'Datos - Objetivos de países'!$F$5:$F$510,AT$3,'Datos - Objetivos de países'!$J$5:$J$510,$A7)+COUNTIFS('Datos - Objetivos de países'!$B$5:$B$510,"Singapur",'Datos - Objetivos de países'!$F$5:$F$510,AT$3,'Datos - Objetivos de países'!$K$5:$K$510,$A7)</f>
        <v/>
      </c>
      <c r="AU7" s="11">
        <f>COUNTIFS('Datos - Objetivos de países'!$B$5:$B$510,"Singapur",'Datos - Objetivos de países'!$F$5:$F$510,AU$3,'Datos - Objetivos de países'!$J$5:$J$510,$A7)+COUNTIFS('Datos - Objetivos de países'!$B$5:$B$510,"Singapur",'Datos - Objetivos de países'!$F$5:$F$510,AU$3,'Datos - Objetivos de países'!$K$5:$K$510,$A7)</f>
        <v/>
      </c>
      <c r="AV7" s="11">
        <f>COUNTIFS('Datos - Objetivos de países'!$B$5:$B$510,"Singapur",'Datos - Objetivos de países'!$F$5:$F$510,AV$3,'Datos - Objetivos de países'!$J$5:$J$510,$A7)+COUNTIFS('Datos - Objetivos de países'!$B$5:$B$510,"Singapur",'Datos - Objetivos de países'!$F$5:$F$510,AV$3,'Datos - Objetivos de países'!$K$5:$K$510,$A7)</f>
        <v/>
      </c>
      <c r="AW7" s="11">
        <f>COUNTIFS('Datos - Objetivos de países'!$B$5:$B$510,"Singapur",'Datos - Objetivos de países'!$F$5:$F$510,AW$3,'Datos - Objetivos de países'!$J$5:$J$510,$A7)+COUNTIFS('Datos - Objetivos de países'!$B$5:$B$510,"Singapur",'Datos - Objetivos de países'!$F$5:$F$510,AW$3,'Datos - Objetivos de países'!$K$5:$K$510,$A7)</f>
        <v/>
      </c>
    </row>
    <row r="8">
      <c r="A8" s="30" t="inlineStr">
        <is>
          <t>T4_27-B1.4</t>
        </is>
      </c>
      <c r="B8" s="30" t="inlineStr">
        <is>
          <t>T4_27</t>
        </is>
      </c>
      <c r="C8" s="30" t="inlineStr">
        <is>
          <t>Biología</t>
        </is>
      </c>
      <c r="D8" s="30" t="inlineStr">
        <is>
          <t>Obtención de alimento y respuesta de los seres vivos a cambios externos</t>
        </is>
      </c>
      <c r="E8" s="30">
        <f>IFERROR(MAX($L$3,INDEX($N$3:$V$3,MATCH(TRUE,INDEX(N8:V8&gt;0,0),0))),"—")</f>
        <v/>
      </c>
      <c r="F8" s="30">
        <f>IFERROR(MAX($L$3,INDEX($W$3:$AE$3,MATCH(TRUE,INDEX(W8:AE8&gt;0,0),0))),"—")</f>
        <v/>
      </c>
      <c r="G8" s="30">
        <f>IFERROR(MAX($L$3,INDEX($AF$3:$AN$3,MATCH(TRUE,INDEX(AF8:AN8&gt;0,0),0))),"—")</f>
        <v/>
      </c>
      <c r="H8" s="30">
        <f>IFERROR(MAX($L$3,INDEX($AO$3:$AW$3,MATCH(TRUE,INDEX(AO8:AW8&gt;0,0),0))),"—")</f>
        <v/>
      </c>
      <c r="I8" s="36">
        <f>IF(L8=0,"—",MEDIAN(F8:H8))</f>
        <v/>
      </c>
      <c r="J8" s="36">
        <f>IF(OR(E8="—",I8="—"),"—",E8-I8)</f>
        <v/>
      </c>
      <c r="K8" s="19">
        <f>IF(E8="—",IF(L8=0,"Nadie lo trabaja","El Salvador no llega"),IF(L8=0,"Solo El Salvador",IF(J8&gt;0,"El Salvador llega más tarde",IF(J8&lt;0,"El Salvador va adelantado","Mismo grado"))))</f>
        <v/>
      </c>
      <c r="L8" s="30">
        <f>COUNT(F8:H8)</f>
        <v/>
      </c>
      <c r="N8" s="11">
        <f>COUNTIFS('Datos - Temas'!$C$5:$C$1264,"Ciencias",'Datos - Temas'!$B$5:$B$1264,N$3,'Datos - Temas'!$K$5:$K$1264,$A8)+COUNTIFS('Datos - Temas'!$C$5:$C$1264,"Ciencias",'Datos - Temas'!$B$5:$B$1264,N$3,'Datos - Temas'!$L$5:$L$1264,$A8)</f>
        <v/>
      </c>
      <c r="O8" s="11">
        <f>COUNTIFS('Datos - Temas'!$C$5:$C$1264,"Ciencias",'Datos - Temas'!$B$5:$B$1264,O$3,'Datos - Temas'!$K$5:$K$1264,$A8)+COUNTIFS('Datos - Temas'!$C$5:$C$1264,"Ciencias",'Datos - Temas'!$B$5:$B$1264,O$3,'Datos - Temas'!$L$5:$L$1264,$A8)</f>
        <v/>
      </c>
      <c r="P8" s="11">
        <f>COUNTIFS('Datos - Temas'!$C$5:$C$1264,"Ciencias",'Datos - Temas'!$B$5:$B$1264,P$3,'Datos - Temas'!$K$5:$K$1264,$A8)+COUNTIFS('Datos - Temas'!$C$5:$C$1264,"Ciencias",'Datos - Temas'!$B$5:$B$1264,P$3,'Datos - Temas'!$L$5:$L$1264,$A8)</f>
        <v/>
      </c>
      <c r="Q8" s="11">
        <f>COUNTIFS('Datos - Temas'!$C$5:$C$1264,"Ciencias",'Datos - Temas'!$B$5:$B$1264,Q$3,'Datos - Temas'!$K$5:$K$1264,$A8)+COUNTIFS('Datos - Temas'!$C$5:$C$1264,"Ciencias",'Datos - Temas'!$B$5:$B$1264,Q$3,'Datos - Temas'!$L$5:$L$1264,$A8)</f>
        <v/>
      </c>
      <c r="R8" s="11">
        <f>COUNTIFS('Datos - Temas'!$C$5:$C$1264,"Ciencias",'Datos - Temas'!$B$5:$B$1264,R$3,'Datos - Temas'!$K$5:$K$1264,$A8)+COUNTIFS('Datos - Temas'!$C$5:$C$1264,"Ciencias",'Datos - Temas'!$B$5:$B$1264,R$3,'Datos - Temas'!$L$5:$L$1264,$A8)</f>
        <v/>
      </c>
      <c r="S8" s="11">
        <f>COUNTIFS('Datos - Temas'!$C$5:$C$1264,"Ciencias",'Datos - Temas'!$B$5:$B$1264,S$3,'Datos - Temas'!$K$5:$K$1264,$A8)+COUNTIFS('Datos - Temas'!$C$5:$C$1264,"Ciencias",'Datos - Temas'!$B$5:$B$1264,S$3,'Datos - Temas'!$L$5:$L$1264,$A8)</f>
        <v/>
      </c>
      <c r="T8" s="11">
        <f>COUNTIFS('Datos - Temas'!$C$5:$C$1264,"Ciencias",'Datos - Temas'!$B$5:$B$1264,T$3,'Datos - Temas'!$K$5:$K$1264,$A8)+COUNTIFS('Datos - Temas'!$C$5:$C$1264,"Ciencias",'Datos - Temas'!$B$5:$B$1264,T$3,'Datos - Temas'!$L$5:$L$1264,$A8)</f>
        <v/>
      </c>
      <c r="U8" s="11">
        <f>COUNTIFS('Datos - Temas'!$C$5:$C$1264,"Ciencias",'Datos - Temas'!$B$5:$B$1264,U$3,'Datos - Temas'!$K$5:$K$1264,$A8)+COUNTIFS('Datos - Temas'!$C$5:$C$1264,"Ciencias",'Datos - Temas'!$B$5:$B$1264,U$3,'Datos - Temas'!$L$5:$L$1264,$A8)</f>
        <v/>
      </c>
      <c r="V8" s="11">
        <f>COUNTIFS('Datos - Temas'!$C$5:$C$1264,"Ciencias",'Datos - Temas'!$B$5:$B$1264,V$3,'Datos - Temas'!$K$5:$K$1264,$A8)+COUNTIFS('Datos - Temas'!$C$5:$C$1264,"Ciencias",'Datos - Temas'!$B$5:$B$1264,V$3,'Datos - Temas'!$L$5:$L$1264,$A8)</f>
        <v/>
      </c>
      <c r="W8" s="11">
        <f>COUNTIFS('Datos - Objetivos de países'!$B$5:$B$510,"Uruguay",'Datos - Objetivos de países'!$F$5:$F$510,W$3,'Datos - Objetivos de países'!$J$5:$J$510,$A8)+COUNTIFS('Datos - Objetivos de países'!$B$5:$B$510,"Uruguay",'Datos - Objetivos de países'!$F$5:$F$510,W$3,'Datos - Objetivos de países'!$K$5:$K$510,$A8)</f>
        <v/>
      </c>
      <c r="X8" s="11">
        <f>COUNTIFS('Datos - Objetivos de países'!$B$5:$B$510,"Uruguay",'Datos - Objetivos de países'!$F$5:$F$510,X$3,'Datos - Objetivos de países'!$J$5:$J$510,$A8)+COUNTIFS('Datos - Objetivos de países'!$B$5:$B$510,"Uruguay",'Datos - Objetivos de países'!$F$5:$F$510,X$3,'Datos - Objetivos de países'!$K$5:$K$510,$A8)</f>
        <v/>
      </c>
      <c r="Y8" s="11">
        <f>COUNTIFS('Datos - Objetivos de países'!$B$5:$B$510,"Uruguay",'Datos - Objetivos de países'!$F$5:$F$510,Y$3,'Datos - Objetivos de países'!$J$5:$J$510,$A8)+COUNTIFS('Datos - Objetivos de países'!$B$5:$B$510,"Uruguay",'Datos - Objetivos de países'!$F$5:$F$510,Y$3,'Datos - Objetivos de países'!$K$5:$K$510,$A8)</f>
        <v/>
      </c>
      <c r="Z8" s="11">
        <f>COUNTIFS('Datos - Objetivos de países'!$B$5:$B$510,"Uruguay",'Datos - Objetivos de países'!$F$5:$F$510,Z$3,'Datos - Objetivos de países'!$J$5:$J$510,$A8)+COUNTIFS('Datos - Objetivos de países'!$B$5:$B$510,"Uruguay",'Datos - Objetivos de países'!$F$5:$F$510,Z$3,'Datos - Objetivos de países'!$K$5:$K$510,$A8)</f>
        <v/>
      </c>
      <c r="AA8" s="11">
        <f>COUNTIFS('Datos - Objetivos de países'!$B$5:$B$510,"Uruguay",'Datos - Objetivos de países'!$F$5:$F$510,AA$3,'Datos - Objetivos de países'!$J$5:$J$510,$A8)+COUNTIFS('Datos - Objetivos de países'!$B$5:$B$510,"Uruguay",'Datos - Objetivos de países'!$F$5:$F$510,AA$3,'Datos - Objetivos de países'!$K$5:$K$510,$A8)</f>
        <v/>
      </c>
      <c r="AB8" s="11">
        <f>COUNTIFS('Datos - Objetivos de países'!$B$5:$B$510,"Uruguay",'Datos - Objetivos de países'!$F$5:$F$510,AB$3,'Datos - Objetivos de países'!$J$5:$J$510,$A8)+COUNTIFS('Datos - Objetivos de países'!$B$5:$B$510,"Uruguay",'Datos - Objetivos de países'!$F$5:$F$510,AB$3,'Datos - Objetivos de países'!$K$5:$K$510,$A8)</f>
        <v/>
      </c>
      <c r="AC8" s="11">
        <f>COUNTIFS('Datos - Objetivos de países'!$B$5:$B$510,"Uruguay",'Datos - Objetivos de países'!$F$5:$F$510,AC$3,'Datos - Objetivos de países'!$J$5:$J$510,$A8)+COUNTIFS('Datos - Objetivos de países'!$B$5:$B$510,"Uruguay",'Datos - Objetivos de países'!$F$5:$F$510,AC$3,'Datos - Objetivos de países'!$K$5:$K$510,$A8)</f>
        <v/>
      </c>
      <c r="AD8" s="11">
        <f>COUNTIFS('Datos - Objetivos de países'!$B$5:$B$510,"Uruguay",'Datos - Objetivos de países'!$F$5:$F$510,AD$3,'Datos - Objetivos de países'!$J$5:$J$510,$A8)+COUNTIFS('Datos - Objetivos de países'!$B$5:$B$510,"Uruguay",'Datos - Objetivos de países'!$F$5:$F$510,AD$3,'Datos - Objetivos de países'!$K$5:$K$510,$A8)</f>
        <v/>
      </c>
      <c r="AE8" s="11">
        <f>COUNTIFS('Datos - Objetivos de países'!$B$5:$B$510,"Uruguay",'Datos - Objetivos de países'!$F$5:$F$510,AE$3,'Datos - Objetivos de países'!$J$5:$J$510,$A8)+COUNTIFS('Datos - Objetivos de países'!$B$5:$B$510,"Uruguay",'Datos - Objetivos de países'!$F$5:$F$510,AE$3,'Datos - Objetivos de países'!$K$5:$K$510,$A8)</f>
        <v/>
      </c>
      <c r="AF8" s="11">
        <f>COUNTIFS('Datos - Objetivos de países'!$B$5:$B$510,"Colombia",'Datos - Objetivos de países'!$F$5:$F$510,AF$3,'Datos - Objetivos de países'!$J$5:$J$510,$A8)+COUNTIFS('Datos - Objetivos de países'!$B$5:$B$510,"Colombia",'Datos - Objetivos de países'!$F$5:$F$510,AF$3,'Datos - Objetivos de países'!$K$5:$K$510,$A8)</f>
        <v/>
      </c>
      <c r="AG8" s="11">
        <f>COUNTIFS('Datos - Objetivos de países'!$B$5:$B$510,"Colombia",'Datos - Objetivos de países'!$F$5:$F$510,AG$3,'Datos - Objetivos de países'!$J$5:$J$510,$A8)+COUNTIFS('Datos - Objetivos de países'!$B$5:$B$510,"Colombia",'Datos - Objetivos de países'!$F$5:$F$510,AG$3,'Datos - Objetivos de países'!$K$5:$K$510,$A8)</f>
        <v/>
      </c>
      <c r="AH8" s="11">
        <f>COUNTIFS('Datos - Objetivos de países'!$B$5:$B$510,"Colombia",'Datos - Objetivos de países'!$F$5:$F$510,AH$3,'Datos - Objetivos de países'!$J$5:$J$510,$A8)+COUNTIFS('Datos - Objetivos de países'!$B$5:$B$510,"Colombia",'Datos - Objetivos de países'!$F$5:$F$510,AH$3,'Datos - Objetivos de países'!$K$5:$K$510,$A8)</f>
        <v/>
      </c>
      <c r="AI8" s="11">
        <f>COUNTIFS('Datos - Objetivos de países'!$B$5:$B$510,"Colombia",'Datos - Objetivos de países'!$F$5:$F$510,AI$3,'Datos - Objetivos de países'!$J$5:$J$510,$A8)+COUNTIFS('Datos - Objetivos de países'!$B$5:$B$510,"Colombia",'Datos - Objetivos de países'!$F$5:$F$510,AI$3,'Datos - Objetivos de países'!$K$5:$K$510,$A8)</f>
        <v/>
      </c>
      <c r="AJ8" s="11">
        <f>COUNTIFS('Datos - Objetivos de países'!$B$5:$B$510,"Colombia",'Datos - Objetivos de países'!$F$5:$F$510,AJ$3,'Datos - Objetivos de países'!$J$5:$J$510,$A8)+COUNTIFS('Datos - Objetivos de países'!$B$5:$B$510,"Colombia",'Datos - Objetivos de países'!$F$5:$F$510,AJ$3,'Datos - Objetivos de países'!$K$5:$K$510,$A8)</f>
        <v/>
      </c>
      <c r="AK8" s="11">
        <f>COUNTIFS('Datos - Objetivos de países'!$B$5:$B$510,"Colombia",'Datos - Objetivos de países'!$F$5:$F$510,AK$3,'Datos - Objetivos de países'!$J$5:$J$510,$A8)+COUNTIFS('Datos - Objetivos de países'!$B$5:$B$510,"Colombia",'Datos - Objetivos de países'!$F$5:$F$510,AK$3,'Datos - Objetivos de países'!$K$5:$K$510,$A8)</f>
        <v/>
      </c>
      <c r="AL8" s="11">
        <f>COUNTIFS('Datos - Objetivos de países'!$B$5:$B$510,"Colombia",'Datos - Objetivos de países'!$F$5:$F$510,AL$3,'Datos - Objetivos de países'!$J$5:$J$510,$A8)+COUNTIFS('Datos - Objetivos de países'!$B$5:$B$510,"Colombia",'Datos - Objetivos de países'!$F$5:$F$510,AL$3,'Datos - Objetivos de países'!$K$5:$K$510,$A8)</f>
        <v/>
      </c>
      <c r="AM8" s="11">
        <f>COUNTIFS('Datos - Objetivos de países'!$B$5:$B$510,"Colombia",'Datos - Objetivos de países'!$F$5:$F$510,AM$3,'Datos - Objetivos de países'!$J$5:$J$510,$A8)+COUNTIFS('Datos - Objetivos de países'!$B$5:$B$510,"Colombia",'Datos - Objetivos de países'!$F$5:$F$510,AM$3,'Datos - Objetivos de países'!$K$5:$K$510,$A8)</f>
        <v/>
      </c>
      <c r="AN8" s="11">
        <f>COUNTIFS('Datos - Objetivos de países'!$B$5:$B$510,"Colombia",'Datos - Objetivos de países'!$F$5:$F$510,AN$3,'Datos - Objetivos de países'!$J$5:$J$510,$A8)+COUNTIFS('Datos - Objetivos de países'!$B$5:$B$510,"Colombia",'Datos - Objetivos de países'!$F$5:$F$510,AN$3,'Datos - Objetivos de países'!$K$5:$K$510,$A8)</f>
        <v/>
      </c>
      <c r="AO8" s="11">
        <f>COUNTIFS('Datos - Objetivos de países'!$B$5:$B$510,"Singapur",'Datos - Objetivos de países'!$F$5:$F$510,AO$3,'Datos - Objetivos de países'!$J$5:$J$510,$A8)+COUNTIFS('Datos - Objetivos de países'!$B$5:$B$510,"Singapur",'Datos - Objetivos de países'!$F$5:$F$510,AO$3,'Datos - Objetivos de países'!$K$5:$K$510,$A8)</f>
        <v/>
      </c>
      <c r="AP8" s="11">
        <f>COUNTIFS('Datos - Objetivos de países'!$B$5:$B$510,"Singapur",'Datos - Objetivos de países'!$F$5:$F$510,AP$3,'Datos - Objetivos de países'!$J$5:$J$510,$A8)+COUNTIFS('Datos - Objetivos de países'!$B$5:$B$510,"Singapur",'Datos - Objetivos de países'!$F$5:$F$510,AP$3,'Datos - Objetivos de países'!$K$5:$K$510,$A8)</f>
        <v/>
      </c>
      <c r="AQ8" s="11">
        <f>COUNTIFS('Datos - Objetivos de países'!$B$5:$B$510,"Singapur",'Datos - Objetivos de países'!$F$5:$F$510,AQ$3,'Datos - Objetivos de países'!$J$5:$J$510,$A8)+COUNTIFS('Datos - Objetivos de países'!$B$5:$B$510,"Singapur",'Datos - Objetivos de países'!$F$5:$F$510,AQ$3,'Datos - Objetivos de países'!$K$5:$K$510,$A8)</f>
        <v/>
      </c>
      <c r="AR8" s="11">
        <f>COUNTIFS('Datos - Objetivos de países'!$B$5:$B$510,"Singapur",'Datos - Objetivos de países'!$F$5:$F$510,AR$3,'Datos - Objetivos de países'!$J$5:$J$510,$A8)+COUNTIFS('Datos - Objetivos de países'!$B$5:$B$510,"Singapur",'Datos - Objetivos de países'!$F$5:$F$510,AR$3,'Datos - Objetivos de países'!$K$5:$K$510,$A8)</f>
        <v/>
      </c>
      <c r="AS8" s="11">
        <f>COUNTIFS('Datos - Objetivos de países'!$B$5:$B$510,"Singapur",'Datos - Objetivos de países'!$F$5:$F$510,AS$3,'Datos - Objetivos de países'!$J$5:$J$510,$A8)+COUNTIFS('Datos - Objetivos de países'!$B$5:$B$510,"Singapur",'Datos - Objetivos de países'!$F$5:$F$510,AS$3,'Datos - Objetivos de países'!$K$5:$K$510,$A8)</f>
        <v/>
      </c>
      <c r="AT8" s="11">
        <f>COUNTIFS('Datos - Objetivos de países'!$B$5:$B$510,"Singapur",'Datos - Objetivos de países'!$F$5:$F$510,AT$3,'Datos - Objetivos de países'!$J$5:$J$510,$A8)+COUNTIFS('Datos - Objetivos de países'!$B$5:$B$510,"Singapur",'Datos - Objetivos de países'!$F$5:$F$510,AT$3,'Datos - Objetivos de países'!$K$5:$K$510,$A8)</f>
        <v/>
      </c>
      <c r="AU8" s="11">
        <f>COUNTIFS('Datos - Objetivos de países'!$B$5:$B$510,"Singapur",'Datos - Objetivos de países'!$F$5:$F$510,AU$3,'Datos - Objetivos de países'!$J$5:$J$510,$A8)+COUNTIFS('Datos - Objetivos de países'!$B$5:$B$510,"Singapur",'Datos - Objetivos de países'!$F$5:$F$510,AU$3,'Datos - Objetivos de países'!$K$5:$K$510,$A8)</f>
        <v/>
      </c>
      <c r="AV8" s="11">
        <f>COUNTIFS('Datos - Objetivos de países'!$B$5:$B$510,"Singapur",'Datos - Objetivos de países'!$F$5:$F$510,AV$3,'Datos - Objetivos de países'!$J$5:$J$510,$A8)+COUNTIFS('Datos - Objetivos de países'!$B$5:$B$510,"Singapur",'Datos - Objetivos de países'!$F$5:$F$510,AV$3,'Datos - Objetivos de países'!$K$5:$K$510,$A8)</f>
        <v/>
      </c>
      <c r="AW8" s="11">
        <f>COUNTIFS('Datos - Objetivos de países'!$B$5:$B$510,"Singapur",'Datos - Objetivos de países'!$F$5:$F$510,AW$3,'Datos - Objetivos de países'!$J$5:$J$510,$A8)+COUNTIFS('Datos - Objetivos de países'!$B$5:$B$510,"Singapur",'Datos - Objetivos de países'!$F$5:$F$510,AW$3,'Datos - Objetivos de países'!$K$5:$K$510,$A8)</f>
        <v/>
      </c>
    </row>
    <row r="9">
      <c r="A9" s="30" t="inlineStr">
        <is>
          <t>T4_27-B2.1</t>
        </is>
      </c>
      <c r="B9" s="30" t="inlineStr">
        <is>
          <t>T4_27</t>
        </is>
      </c>
      <c r="C9" s="30" t="inlineStr">
        <is>
          <t>Biología</t>
        </is>
      </c>
      <c r="D9" s="30" t="inlineStr">
        <is>
          <t>Etapas y diferencias de los ciclos de vida de plantas y animales comunes</t>
        </is>
      </c>
      <c r="E9" s="30">
        <f>IFERROR(MAX($L$3,INDEX($N$3:$V$3,MATCH(TRUE,INDEX(N9:V9&gt;0,0),0))),"—")</f>
        <v/>
      </c>
      <c r="F9" s="30">
        <f>IFERROR(MAX($L$3,INDEX($W$3:$AE$3,MATCH(TRUE,INDEX(W9:AE9&gt;0,0),0))),"—")</f>
        <v/>
      </c>
      <c r="G9" s="30">
        <f>IFERROR(MAX($L$3,INDEX($AF$3:$AN$3,MATCH(TRUE,INDEX(AF9:AN9&gt;0,0),0))),"—")</f>
        <v/>
      </c>
      <c r="H9" s="30">
        <f>IFERROR(MAX($L$3,INDEX($AO$3:$AW$3,MATCH(TRUE,INDEX(AO9:AW9&gt;0,0),0))),"—")</f>
        <v/>
      </c>
      <c r="I9" s="36">
        <f>IF(L9=0,"—",MEDIAN(F9:H9))</f>
        <v/>
      </c>
      <c r="J9" s="36">
        <f>IF(OR(E9="—",I9="—"),"—",E9-I9)</f>
        <v/>
      </c>
      <c r="K9" s="19">
        <f>IF(E9="—",IF(L9=0,"Nadie lo trabaja","El Salvador no llega"),IF(L9=0,"Solo El Salvador",IF(J9&gt;0,"El Salvador llega más tarde",IF(J9&lt;0,"El Salvador va adelantado","Mismo grado"))))</f>
        <v/>
      </c>
      <c r="L9" s="30">
        <f>COUNT(F9:H9)</f>
        <v/>
      </c>
      <c r="N9" s="11">
        <f>COUNTIFS('Datos - Temas'!$C$5:$C$1264,"Ciencias",'Datos - Temas'!$B$5:$B$1264,N$3,'Datos - Temas'!$K$5:$K$1264,$A9)+COUNTIFS('Datos - Temas'!$C$5:$C$1264,"Ciencias",'Datos - Temas'!$B$5:$B$1264,N$3,'Datos - Temas'!$L$5:$L$1264,$A9)</f>
        <v/>
      </c>
      <c r="O9" s="11">
        <f>COUNTIFS('Datos - Temas'!$C$5:$C$1264,"Ciencias",'Datos - Temas'!$B$5:$B$1264,O$3,'Datos - Temas'!$K$5:$K$1264,$A9)+COUNTIFS('Datos - Temas'!$C$5:$C$1264,"Ciencias",'Datos - Temas'!$B$5:$B$1264,O$3,'Datos - Temas'!$L$5:$L$1264,$A9)</f>
        <v/>
      </c>
      <c r="P9" s="11">
        <f>COUNTIFS('Datos - Temas'!$C$5:$C$1264,"Ciencias",'Datos - Temas'!$B$5:$B$1264,P$3,'Datos - Temas'!$K$5:$K$1264,$A9)+COUNTIFS('Datos - Temas'!$C$5:$C$1264,"Ciencias",'Datos - Temas'!$B$5:$B$1264,P$3,'Datos - Temas'!$L$5:$L$1264,$A9)</f>
        <v/>
      </c>
      <c r="Q9" s="11">
        <f>COUNTIFS('Datos - Temas'!$C$5:$C$1264,"Ciencias",'Datos - Temas'!$B$5:$B$1264,Q$3,'Datos - Temas'!$K$5:$K$1264,$A9)+COUNTIFS('Datos - Temas'!$C$5:$C$1264,"Ciencias",'Datos - Temas'!$B$5:$B$1264,Q$3,'Datos - Temas'!$L$5:$L$1264,$A9)</f>
        <v/>
      </c>
      <c r="R9" s="11">
        <f>COUNTIFS('Datos - Temas'!$C$5:$C$1264,"Ciencias",'Datos - Temas'!$B$5:$B$1264,R$3,'Datos - Temas'!$K$5:$K$1264,$A9)+COUNTIFS('Datos - Temas'!$C$5:$C$1264,"Ciencias",'Datos - Temas'!$B$5:$B$1264,R$3,'Datos - Temas'!$L$5:$L$1264,$A9)</f>
        <v/>
      </c>
      <c r="S9" s="11">
        <f>COUNTIFS('Datos - Temas'!$C$5:$C$1264,"Ciencias",'Datos - Temas'!$B$5:$B$1264,S$3,'Datos - Temas'!$K$5:$K$1264,$A9)+COUNTIFS('Datos - Temas'!$C$5:$C$1264,"Ciencias",'Datos - Temas'!$B$5:$B$1264,S$3,'Datos - Temas'!$L$5:$L$1264,$A9)</f>
        <v/>
      </c>
      <c r="T9" s="11">
        <f>COUNTIFS('Datos - Temas'!$C$5:$C$1264,"Ciencias",'Datos - Temas'!$B$5:$B$1264,T$3,'Datos - Temas'!$K$5:$K$1264,$A9)+COUNTIFS('Datos - Temas'!$C$5:$C$1264,"Ciencias",'Datos - Temas'!$B$5:$B$1264,T$3,'Datos - Temas'!$L$5:$L$1264,$A9)</f>
        <v/>
      </c>
      <c r="U9" s="11">
        <f>COUNTIFS('Datos - Temas'!$C$5:$C$1264,"Ciencias",'Datos - Temas'!$B$5:$B$1264,U$3,'Datos - Temas'!$K$5:$K$1264,$A9)+COUNTIFS('Datos - Temas'!$C$5:$C$1264,"Ciencias",'Datos - Temas'!$B$5:$B$1264,U$3,'Datos - Temas'!$L$5:$L$1264,$A9)</f>
        <v/>
      </c>
      <c r="V9" s="11">
        <f>COUNTIFS('Datos - Temas'!$C$5:$C$1264,"Ciencias",'Datos - Temas'!$B$5:$B$1264,V$3,'Datos - Temas'!$K$5:$K$1264,$A9)+COUNTIFS('Datos - Temas'!$C$5:$C$1264,"Ciencias",'Datos - Temas'!$B$5:$B$1264,V$3,'Datos - Temas'!$L$5:$L$1264,$A9)</f>
        <v/>
      </c>
      <c r="W9" s="11">
        <f>COUNTIFS('Datos - Objetivos de países'!$B$5:$B$510,"Uruguay",'Datos - Objetivos de países'!$F$5:$F$510,W$3,'Datos - Objetivos de países'!$J$5:$J$510,$A9)+COUNTIFS('Datos - Objetivos de países'!$B$5:$B$510,"Uruguay",'Datos - Objetivos de países'!$F$5:$F$510,W$3,'Datos - Objetivos de países'!$K$5:$K$510,$A9)</f>
        <v/>
      </c>
      <c r="X9" s="11">
        <f>COUNTIFS('Datos - Objetivos de países'!$B$5:$B$510,"Uruguay",'Datos - Objetivos de países'!$F$5:$F$510,X$3,'Datos - Objetivos de países'!$J$5:$J$510,$A9)+COUNTIFS('Datos - Objetivos de países'!$B$5:$B$510,"Uruguay",'Datos - Objetivos de países'!$F$5:$F$510,X$3,'Datos - Objetivos de países'!$K$5:$K$510,$A9)</f>
        <v/>
      </c>
      <c r="Y9" s="11">
        <f>COUNTIFS('Datos - Objetivos de países'!$B$5:$B$510,"Uruguay",'Datos - Objetivos de países'!$F$5:$F$510,Y$3,'Datos - Objetivos de países'!$J$5:$J$510,$A9)+COUNTIFS('Datos - Objetivos de países'!$B$5:$B$510,"Uruguay",'Datos - Objetivos de países'!$F$5:$F$510,Y$3,'Datos - Objetivos de países'!$K$5:$K$510,$A9)</f>
        <v/>
      </c>
      <c r="Z9" s="11">
        <f>COUNTIFS('Datos - Objetivos de países'!$B$5:$B$510,"Uruguay",'Datos - Objetivos de países'!$F$5:$F$510,Z$3,'Datos - Objetivos de países'!$J$5:$J$510,$A9)+COUNTIFS('Datos - Objetivos de países'!$B$5:$B$510,"Uruguay",'Datos - Objetivos de países'!$F$5:$F$510,Z$3,'Datos - Objetivos de países'!$K$5:$K$510,$A9)</f>
        <v/>
      </c>
      <c r="AA9" s="11">
        <f>COUNTIFS('Datos - Objetivos de países'!$B$5:$B$510,"Uruguay",'Datos - Objetivos de países'!$F$5:$F$510,AA$3,'Datos - Objetivos de países'!$J$5:$J$510,$A9)+COUNTIFS('Datos - Objetivos de países'!$B$5:$B$510,"Uruguay",'Datos - Objetivos de países'!$F$5:$F$510,AA$3,'Datos - Objetivos de países'!$K$5:$K$510,$A9)</f>
        <v/>
      </c>
      <c r="AB9" s="11">
        <f>COUNTIFS('Datos - Objetivos de países'!$B$5:$B$510,"Uruguay",'Datos - Objetivos de países'!$F$5:$F$510,AB$3,'Datos - Objetivos de países'!$J$5:$J$510,$A9)+COUNTIFS('Datos - Objetivos de países'!$B$5:$B$510,"Uruguay",'Datos - Objetivos de países'!$F$5:$F$510,AB$3,'Datos - Objetivos de países'!$K$5:$K$510,$A9)</f>
        <v/>
      </c>
      <c r="AC9" s="11">
        <f>COUNTIFS('Datos - Objetivos de países'!$B$5:$B$510,"Uruguay",'Datos - Objetivos de países'!$F$5:$F$510,AC$3,'Datos - Objetivos de países'!$J$5:$J$510,$A9)+COUNTIFS('Datos - Objetivos de países'!$B$5:$B$510,"Uruguay",'Datos - Objetivos de países'!$F$5:$F$510,AC$3,'Datos - Objetivos de países'!$K$5:$K$510,$A9)</f>
        <v/>
      </c>
      <c r="AD9" s="11">
        <f>COUNTIFS('Datos - Objetivos de países'!$B$5:$B$510,"Uruguay",'Datos - Objetivos de países'!$F$5:$F$510,AD$3,'Datos - Objetivos de países'!$J$5:$J$510,$A9)+COUNTIFS('Datos - Objetivos de países'!$B$5:$B$510,"Uruguay",'Datos - Objetivos de países'!$F$5:$F$510,AD$3,'Datos - Objetivos de países'!$K$5:$K$510,$A9)</f>
        <v/>
      </c>
      <c r="AE9" s="11">
        <f>COUNTIFS('Datos - Objetivos de países'!$B$5:$B$510,"Uruguay",'Datos - Objetivos de países'!$F$5:$F$510,AE$3,'Datos - Objetivos de países'!$J$5:$J$510,$A9)+COUNTIFS('Datos - Objetivos de países'!$B$5:$B$510,"Uruguay",'Datos - Objetivos de países'!$F$5:$F$510,AE$3,'Datos - Objetivos de países'!$K$5:$K$510,$A9)</f>
        <v/>
      </c>
      <c r="AF9" s="11">
        <f>COUNTIFS('Datos - Objetivos de países'!$B$5:$B$510,"Colombia",'Datos - Objetivos de países'!$F$5:$F$510,AF$3,'Datos - Objetivos de países'!$J$5:$J$510,$A9)+COUNTIFS('Datos - Objetivos de países'!$B$5:$B$510,"Colombia",'Datos - Objetivos de países'!$F$5:$F$510,AF$3,'Datos - Objetivos de países'!$K$5:$K$510,$A9)</f>
        <v/>
      </c>
      <c r="AG9" s="11">
        <f>COUNTIFS('Datos - Objetivos de países'!$B$5:$B$510,"Colombia",'Datos - Objetivos de países'!$F$5:$F$510,AG$3,'Datos - Objetivos de países'!$J$5:$J$510,$A9)+COUNTIFS('Datos - Objetivos de países'!$B$5:$B$510,"Colombia",'Datos - Objetivos de países'!$F$5:$F$510,AG$3,'Datos - Objetivos de países'!$K$5:$K$510,$A9)</f>
        <v/>
      </c>
      <c r="AH9" s="11">
        <f>COUNTIFS('Datos - Objetivos de países'!$B$5:$B$510,"Colombia",'Datos - Objetivos de países'!$F$5:$F$510,AH$3,'Datos - Objetivos de países'!$J$5:$J$510,$A9)+COUNTIFS('Datos - Objetivos de países'!$B$5:$B$510,"Colombia",'Datos - Objetivos de países'!$F$5:$F$510,AH$3,'Datos - Objetivos de países'!$K$5:$K$510,$A9)</f>
        <v/>
      </c>
      <c r="AI9" s="11">
        <f>COUNTIFS('Datos - Objetivos de países'!$B$5:$B$510,"Colombia",'Datos - Objetivos de países'!$F$5:$F$510,AI$3,'Datos - Objetivos de países'!$J$5:$J$510,$A9)+COUNTIFS('Datos - Objetivos de países'!$B$5:$B$510,"Colombia",'Datos - Objetivos de países'!$F$5:$F$510,AI$3,'Datos - Objetivos de países'!$K$5:$K$510,$A9)</f>
        <v/>
      </c>
      <c r="AJ9" s="11">
        <f>COUNTIFS('Datos - Objetivos de países'!$B$5:$B$510,"Colombia",'Datos - Objetivos de países'!$F$5:$F$510,AJ$3,'Datos - Objetivos de países'!$J$5:$J$510,$A9)+COUNTIFS('Datos - Objetivos de países'!$B$5:$B$510,"Colombia",'Datos - Objetivos de países'!$F$5:$F$510,AJ$3,'Datos - Objetivos de países'!$K$5:$K$510,$A9)</f>
        <v/>
      </c>
      <c r="AK9" s="11">
        <f>COUNTIFS('Datos - Objetivos de países'!$B$5:$B$510,"Colombia",'Datos - Objetivos de países'!$F$5:$F$510,AK$3,'Datos - Objetivos de países'!$J$5:$J$510,$A9)+COUNTIFS('Datos - Objetivos de países'!$B$5:$B$510,"Colombia",'Datos - Objetivos de países'!$F$5:$F$510,AK$3,'Datos - Objetivos de países'!$K$5:$K$510,$A9)</f>
        <v/>
      </c>
      <c r="AL9" s="11">
        <f>COUNTIFS('Datos - Objetivos de países'!$B$5:$B$510,"Colombia",'Datos - Objetivos de países'!$F$5:$F$510,AL$3,'Datos - Objetivos de países'!$J$5:$J$510,$A9)+COUNTIFS('Datos - Objetivos de países'!$B$5:$B$510,"Colombia",'Datos - Objetivos de países'!$F$5:$F$510,AL$3,'Datos - Objetivos de países'!$K$5:$K$510,$A9)</f>
        <v/>
      </c>
      <c r="AM9" s="11">
        <f>COUNTIFS('Datos - Objetivos de países'!$B$5:$B$510,"Colombia",'Datos - Objetivos de países'!$F$5:$F$510,AM$3,'Datos - Objetivos de países'!$J$5:$J$510,$A9)+COUNTIFS('Datos - Objetivos de países'!$B$5:$B$510,"Colombia",'Datos - Objetivos de países'!$F$5:$F$510,AM$3,'Datos - Objetivos de países'!$K$5:$K$510,$A9)</f>
        <v/>
      </c>
      <c r="AN9" s="11">
        <f>COUNTIFS('Datos - Objetivos de países'!$B$5:$B$510,"Colombia",'Datos - Objetivos de países'!$F$5:$F$510,AN$3,'Datos - Objetivos de países'!$J$5:$J$510,$A9)+COUNTIFS('Datos - Objetivos de países'!$B$5:$B$510,"Colombia",'Datos - Objetivos de países'!$F$5:$F$510,AN$3,'Datos - Objetivos de países'!$K$5:$K$510,$A9)</f>
        <v/>
      </c>
      <c r="AO9" s="11">
        <f>COUNTIFS('Datos - Objetivos de países'!$B$5:$B$510,"Singapur",'Datos - Objetivos de países'!$F$5:$F$510,AO$3,'Datos - Objetivos de países'!$J$5:$J$510,$A9)+COUNTIFS('Datos - Objetivos de países'!$B$5:$B$510,"Singapur",'Datos - Objetivos de países'!$F$5:$F$510,AO$3,'Datos - Objetivos de países'!$K$5:$K$510,$A9)</f>
        <v/>
      </c>
      <c r="AP9" s="11">
        <f>COUNTIFS('Datos - Objetivos de países'!$B$5:$B$510,"Singapur",'Datos - Objetivos de países'!$F$5:$F$510,AP$3,'Datos - Objetivos de países'!$J$5:$J$510,$A9)+COUNTIFS('Datos - Objetivos de países'!$B$5:$B$510,"Singapur",'Datos - Objetivos de países'!$F$5:$F$510,AP$3,'Datos - Objetivos de países'!$K$5:$K$510,$A9)</f>
        <v/>
      </c>
      <c r="AQ9" s="11">
        <f>COUNTIFS('Datos - Objetivos de países'!$B$5:$B$510,"Singapur",'Datos - Objetivos de países'!$F$5:$F$510,AQ$3,'Datos - Objetivos de países'!$J$5:$J$510,$A9)+COUNTIFS('Datos - Objetivos de países'!$B$5:$B$510,"Singapur",'Datos - Objetivos de países'!$F$5:$F$510,AQ$3,'Datos - Objetivos de países'!$K$5:$K$510,$A9)</f>
        <v/>
      </c>
      <c r="AR9" s="11">
        <f>COUNTIFS('Datos - Objetivos de países'!$B$5:$B$510,"Singapur",'Datos - Objetivos de países'!$F$5:$F$510,AR$3,'Datos - Objetivos de países'!$J$5:$J$510,$A9)+COUNTIFS('Datos - Objetivos de países'!$B$5:$B$510,"Singapur",'Datos - Objetivos de países'!$F$5:$F$510,AR$3,'Datos - Objetivos de países'!$K$5:$K$510,$A9)</f>
        <v/>
      </c>
      <c r="AS9" s="11">
        <f>COUNTIFS('Datos - Objetivos de países'!$B$5:$B$510,"Singapur",'Datos - Objetivos de países'!$F$5:$F$510,AS$3,'Datos - Objetivos de países'!$J$5:$J$510,$A9)+COUNTIFS('Datos - Objetivos de países'!$B$5:$B$510,"Singapur",'Datos - Objetivos de países'!$F$5:$F$510,AS$3,'Datos - Objetivos de países'!$K$5:$K$510,$A9)</f>
        <v/>
      </c>
      <c r="AT9" s="11">
        <f>COUNTIFS('Datos - Objetivos de países'!$B$5:$B$510,"Singapur",'Datos - Objetivos de países'!$F$5:$F$510,AT$3,'Datos - Objetivos de países'!$J$5:$J$510,$A9)+COUNTIFS('Datos - Objetivos de países'!$B$5:$B$510,"Singapur",'Datos - Objetivos de países'!$F$5:$F$510,AT$3,'Datos - Objetivos de países'!$K$5:$K$510,$A9)</f>
        <v/>
      </c>
      <c r="AU9" s="11">
        <f>COUNTIFS('Datos - Objetivos de países'!$B$5:$B$510,"Singapur",'Datos - Objetivos de países'!$F$5:$F$510,AU$3,'Datos - Objetivos de países'!$J$5:$J$510,$A9)+COUNTIFS('Datos - Objetivos de países'!$B$5:$B$510,"Singapur",'Datos - Objetivos de países'!$F$5:$F$510,AU$3,'Datos - Objetivos de países'!$K$5:$K$510,$A9)</f>
        <v/>
      </c>
      <c r="AV9" s="11">
        <f>COUNTIFS('Datos - Objetivos de países'!$B$5:$B$510,"Singapur",'Datos - Objetivos de países'!$F$5:$F$510,AV$3,'Datos - Objetivos de países'!$J$5:$J$510,$A9)+COUNTIFS('Datos - Objetivos de países'!$B$5:$B$510,"Singapur",'Datos - Objetivos de países'!$F$5:$F$510,AV$3,'Datos - Objetivos de países'!$K$5:$K$510,$A9)</f>
        <v/>
      </c>
      <c r="AW9" s="11">
        <f>COUNTIFS('Datos - Objetivos de países'!$B$5:$B$510,"Singapur",'Datos - Objetivos de países'!$F$5:$F$510,AW$3,'Datos - Objetivos de países'!$J$5:$J$510,$A9)+COUNTIFS('Datos - Objetivos de países'!$B$5:$B$510,"Singapur",'Datos - Objetivos de países'!$F$5:$F$510,AW$3,'Datos - Objetivos de países'!$K$5:$K$510,$A9)</f>
        <v/>
      </c>
    </row>
    <row r="10">
      <c r="A10" s="30" t="inlineStr">
        <is>
          <t>T4_27-B2.2</t>
        </is>
      </c>
      <c r="B10" s="30" t="inlineStr">
        <is>
          <t>T4_27</t>
        </is>
      </c>
      <c r="C10" s="30" t="inlineStr">
        <is>
          <t>Biología</t>
        </is>
      </c>
      <c r="D10" s="30" t="inlineStr">
        <is>
          <t>Herencia y estrategias de reproducción</t>
        </is>
      </c>
      <c r="E10" s="30">
        <f>IFERROR(MAX($L$3,INDEX($N$3:$V$3,MATCH(TRUE,INDEX(N10:V10&gt;0,0),0))),"—")</f>
        <v/>
      </c>
      <c r="F10" s="30">
        <f>IFERROR(MAX($L$3,INDEX($W$3:$AE$3,MATCH(TRUE,INDEX(W10:AE10&gt;0,0),0))),"—")</f>
        <v/>
      </c>
      <c r="G10" s="30">
        <f>IFERROR(MAX($L$3,INDEX($AF$3:$AN$3,MATCH(TRUE,INDEX(AF10:AN10&gt;0,0),0))),"—")</f>
        <v/>
      </c>
      <c r="H10" s="30">
        <f>IFERROR(MAX($L$3,INDEX($AO$3:$AW$3,MATCH(TRUE,INDEX(AO10:AW10&gt;0,0),0))),"—")</f>
        <v/>
      </c>
      <c r="I10" s="36">
        <f>IF(L10=0,"—",MEDIAN(F10:H10))</f>
        <v/>
      </c>
      <c r="J10" s="36">
        <f>IF(OR(E10="—",I10="—"),"—",E10-I10)</f>
        <v/>
      </c>
      <c r="K10" s="19">
        <f>IF(E10="—",IF(L10=0,"Nadie lo trabaja","El Salvador no llega"),IF(L10=0,"Solo El Salvador",IF(J10&gt;0,"El Salvador llega más tarde",IF(J10&lt;0,"El Salvador va adelantado","Mismo grado"))))</f>
        <v/>
      </c>
      <c r="L10" s="30">
        <f>COUNT(F10:H10)</f>
        <v/>
      </c>
      <c r="N10" s="11">
        <f>COUNTIFS('Datos - Temas'!$C$5:$C$1264,"Ciencias",'Datos - Temas'!$B$5:$B$1264,N$3,'Datos - Temas'!$K$5:$K$1264,$A10)+COUNTIFS('Datos - Temas'!$C$5:$C$1264,"Ciencias",'Datos - Temas'!$B$5:$B$1264,N$3,'Datos - Temas'!$L$5:$L$1264,$A10)</f>
        <v/>
      </c>
      <c r="O10" s="11">
        <f>COUNTIFS('Datos - Temas'!$C$5:$C$1264,"Ciencias",'Datos - Temas'!$B$5:$B$1264,O$3,'Datos - Temas'!$K$5:$K$1264,$A10)+COUNTIFS('Datos - Temas'!$C$5:$C$1264,"Ciencias",'Datos - Temas'!$B$5:$B$1264,O$3,'Datos - Temas'!$L$5:$L$1264,$A10)</f>
        <v/>
      </c>
      <c r="P10" s="11">
        <f>COUNTIFS('Datos - Temas'!$C$5:$C$1264,"Ciencias",'Datos - Temas'!$B$5:$B$1264,P$3,'Datos - Temas'!$K$5:$K$1264,$A10)+COUNTIFS('Datos - Temas'!$C$5:$C$1264,"Ciencias",'Datos - Temas'!$B$5:$B$1264,P$3,'Datos - Temas'!$L$5:$L$1264,$A10)</f>
        <v/>
      </c>
      <c r="Q10" s="11">
        <f>COUNTIFS('Datos - Temas'!$C$5:$C$1264,"Ciencias",'Datos - Temas'!$B$5:$B$1264,Q$3,'Datos - Temas'!$K$5:$K$1264,$A10)+COUNTIFS('Datos - Temas'!$C$5:$C$1264,"Ciencias",'Datos - Temas'!$B$5:$B$1264,Q$3,'Datos - Temas'!$L$5:$L$1264,$A10)</f>
        <v/>
      </c>
      <c r="R10" s="11">
        <f>COUNTIFS('Datos - Temas'!$C$5:$C$1264,"Ciencias",'Datos - Temas'!$B$5:$B$1264,R$3,'Datos - Temas'!$K$5:$K$1264,$A10)+COUNTIFS('Datos - Temas'!$C$5:$C$1264,"Ciencias",'Datos - Temas'!$B$5:$B$1264,R$3,'Datos - Temas'!$L$5:$L$1264,$A10)</f>
        <v/>
      </c>
      <c r="S10" s="11">
        <f>COUNTIFS('Datos - Temas'!$C$5:$C$1264,"Ciencias",'Datos - Temas'!$B$5:$B$1264,S$3,'Datos - Temas'!$K$5:$K$1264,$A10)+COUNTIFS('Datos - Temas'!$C$5:$C$1264,"Ciencias",'Datos - Temas'!$B$5:$B$1264,S$3,'Datos - Temas'!$L$5:$L$1264,$A10)</f>
        <v/>
      </c>
      <c r="T10" s="11">
        <f>COUNTIFS('Datos - Temas'!$C$5:$C$1264,"Ciencias",'Datos - Temas'!$B$5:$B$1264,T$3,'Datos - Temas'!$K$5:$K$1264,$A10)+COUNTIFS('Datos - Temas'!$C$5:$C$1264,"Ciencias",'Datos - Temas'!$B$5:$B$1264,T$3,'Datos - Temas'!$L$5:$L$1264,$A10)</f>
        <v/>
      </c>
      <c r="U10" s="11">
        <f>COUNTIFS('Datos - Temas'!$C$5:$C$1264,"Ciencias",'Datos - Temas'!$B$5:$B$1264,U$3,'Datos - Temas'!$K$5:$K$1264,$A10)+COUNTIFS('Datos - Temas'!$C$5:$C$1264,"Ciencias",'Datos - Temas'!$B$5:$B$1264,U$3,'Datos - Temas'!$L$5:$L$1264,$A10)</f>
        <v/>
      </c>
      <c r="V10" s="11">
        <f>COUNTIFS('Datos - Temas'!$C$5:$C$1264,"Ciencias",'Datos - Temas'!$B$5:$B$1264,V$3,'Datos - Temas'!$K$5:$K$1264,$A10)+COUNTIFS('Datos - Temas'!$C$5:$C$1264,"Ciencias",'Datos - Temas'!$B$5:$B$1264,V$3,'Datos - Temas'!$L$5:$L$1264,$A10)</f>
        <v/>
      </c>
      <c r="W10" s="11">
        <f>COUNTIFS('Datos - Objetivos de países'!$B$5:$B$510,"Uruguay",'Datos - Objetivos de países'!$F$5:$F$510,W$3,'Datos - Objetivos de países'!$J$5:$J$510,$A10)+COUNTIFS('Datos - Objetivos de países'!$B$5:$B$510,"Uruguay",'Datos - Objetivos de países'!$F$5:$F$510,W$3,'Datos - Objetivos de países'!$K$5:$K$510,$A10)</f>
        <v/>
      </c>
      <c r="X10" s="11">
        <f>COUNTIFS('Datos - Objetivos de países'!$B$5:$B$510,"Uruguay",'Datos - Objetivos de países'!$F$5:$F$510,X$3,'Datos - Objetivos de países'!$J$5:$J$510,$A10)+COUNTIFS('Datos - Objetivos de países'!$B$5:$B$510,"Uruguay",'Datos - Objetivos de países'!$F$5:$F$510,X$3,'Datos - Objetivos de países'!$K$5:$K$510,$A10)</f>
        <v/>
      </c>
      <c r="Y10" s="11">
        <f>COUNTIFS('Datos - Objetivos de países'!$B$5:$B$510,"Uruguay",'Datos - Objetivos de países'!$F$5:$F$510,Y$3,'Datos - Objetivos de países'!$J$5:$J$510,$A10)+COUNTIFS('Datos - Objetivos de países'!$B$5:$B$510,"Uruguay",'Datos - Objetivos de países'!$F$5:$F$510,Y$3,'Datos - Objetivos de países'!$K$5:$K$510,$A10)</f>
        <v/>
      </c>
      <c r="Z10" s="11">
        <f>COUNTIFS('Datos - Objetivos de países'!$B$5:$B$510,"Uruguay",'Datos - Objetivos de países'!$F$5:$F$510,Z$3,'Datos - Objetivos de países'!$J$5:$J$510,$A10)+COUNTIFS('Datos - Objetivos de países'!$B$5:$B$510,"Uruguay",'Datos - Objetivos de países'!$F$5:$F$510,Z$3,'Datos - Objetivos de países'!$K$5:$K$510,$A10)</f>
        <v/>
      </c>
      <c r="AA10" s="11">
        <f>COUNTIFS('Datos - Objetivos de países'!$B$5:$B$510,"Uruguay",'Datos - Objetivos de países'!$F$5:$F$510,AA$3,'Datos - Objetivos de países'!$J$5:$J$510,$A10)+COUNTIFS('Datos - Objetivos de países'!$B$5:$B$510,"Uruguay",'Datos - Objetivos de países'!$F$5:$F$510,AA$3,'Datos - Objetivos de países'!$K$5:$K$510,$A10)</f>
        <v/>
      </c>
      <c r="AB10" s="11">
        <f>COUNTIFS('Datos - Objetivos de países'!$B$5:$B$510,"Uruguay",'Datos - Objetivos de países'!$F$5:$F$510,AB$3,'Datos - Objetivos de países'!$J$5:$J$510,$A10)+COUNTIFS('Datos - Objetivos de países'!$B$5:$B$510,"Uruguay",'Datos - Objetivos de países'!$F$5:$F$510,AB$3,'Datos - Objetivos de países'!$K$5:$K$510,$A10)</f>
        <v/>
      </c>
      <c r="AC10" s="11">
        <f>COUNTIFS('Datos - Objetivos de países'!$B$5:$B$510,"Uruguay",'Datos - Objetivos de países'!$F$5:$F$510,AC$3,'Datos - Objetivos de países'!$J$5:$J$510,$A10)+COUNTIFS('Datos - Objetivos de países'!$B$5:$B$510,"Uruguay",'Datos - Objetivos de países'!$F$5:$F$510,AC$3,'Datos - Objetivos de países'!$K$5:$K$510,$A10)</f>
        <v/>
      </c>
      <c r="AD10" s="11">
        <f>COUNTIFS('Datos - Objetivos de países'!$B$5:$B$510,"Uruguay",'Datos - Objetivos de países'!$F$5:$F$510,AD$3,'Datos - Objetivos de países'!$J$5:$J$510,$A10)+COUNTIFS('Datos - Objetivos de países'!$B$5:$B$510,"Uruguay",'Datos - Objetivos de países'!$F$5:$F$510,AD$3,'Datos - Objetivos de países'!$K$5:$K$510,$A10)</f>
        <v/>
      </c>
      <c r="AE10" s="11">
        <f>COUNTIFS('Datos - Objetivos de países'!$B$5:$B$510,"Uruguay",'Datos - Objetivos de países'!$F$5:$F$510,AE$3,'Datos - Objetivos de países'!$J$5:$J$510,$A10)+COUNTIFS('Datos - Objetivos de países'!$B$5:$B$510,"Uruguay",'Datos - Objetivos de países'!$F$5:$F$510,AE$3,'Datos - Objetivos de países'!$K$5:$K$510,$A10)</f>
        <v/>
      </c>
      <c r="AF10" s="11">
        <f>COUNTIFS('Datos - Objetivos de países'!$B$5:$B$510,"Colombia",'Datos - Objetivos de países'!$F$5:$F$510,AF$3,'Datos - Objetivos de países'!$J$5:$J$510,$A10)+COUNTIFS('Datos - Objetivos de países'!$B$5:$B$510,"Colombia",'Datos - Objetivos de países'!$F$5:$F$510,AF$3,'Datos - Objetivos de países'!$K$5:$K$510,$A10)</f>
        <v/>
      </c>
      <c r="AG10" s="11">
        <f>COUNTIFS('Datos - Objetivos de países'!$B$5:$B$510,"Colombia",'Datos - Objetivos de países'!$F$5:$F$510,AG$3,'Datos - Objetivos de países'!$J$5:$J$510,$A10)+COUNTIFS('Datos - Objetivos de países'!$B$5:$B$510,"Colombia",'Datos - Objetivos de países'!$F$5:$F$510,AG$3,'Datos - Objetivos de países'!$K$5:$K$510,$A10)</f>
        <v/>
      </c>
      <c r="AH10" s="11">
        <f>COUNTIFS('Datos - Objetivos de países'!$B$5:$B$510,"Colombia",'Datos - Objetivos de países'!$F$5:$F$510,AH$3,'Datos - Objetivos de países'!$J$5:$J$510,$A10)+COUNTIFS('Datos - Objetivos de países'!$B$5:$B$510,"Colombia",'Datos - Objetivos de países'!$F$5:$F$510,AH$3,'Datos - Objetivos de países'!$K$5:$K$510,$A10)</f>
        <v/>
      </c>
      <c r="AI10" s="11">
        <f>COUNTIFS('Datos - Objetivos de países'!$B$5:$B$510,"Colombia",'Datos - Objetivos de países'!$F$5:$F$510,AI$3,'Datos - Objetivos de países'!$J$5:$J$510,$A10)+COUNTIFS('Datos - Objetivos de países'!$B$5:$B$510,"Colombia",'Datos - Objetivos de países'!$F$5:$F$510,AI$3,'Datos - Objetivos de países'!$K$5:$K$510,$A10)</f>
        <v/>
      </c>
      <c r="AJ10" s="11">
        <f>COUNTIFS('Datos - Objetivos de países'!$B$5:$B$510,"Colombia",'Datos - Objetivos de países'!$F$5:$F$510,AJ$3,'Datos - Objetivos de países'!$J$5:$J$510,$A10)+COUNTIFS('Datos - Objetivos de países'!$B$5:$B$510,"Colombia",'Datos - Objetivos de países'!$F$5:$F$510,AJ$3,'Datos - Objetivos de países'!$K$5:$K$510,$A10)</f>
        <v/>
      </c>
      <c r="AK10" s="11">
        <f>COUNTIFS('Datos - Objetivos de países'!$B$5:$B$510,"Colombia",'Datos - Objetivos de países'!$F$5:$F$510,AK$3,'Datos - Objetivos de países'!$J$5:$J$510,$A10)+COUNTIFS('Datos - Objetivos de países'!$B$5:$B$510,"Colombia",'Datos - Objetivos de países'!$F$5:$F$510,AK$3,'Datos - Objetivos de países'!$K$5:$K$510,$A10)</f>
        <v/>
      </c>
      <c r="AL10" s="11">
        <f>COUNTIFS('Datos - Objetivos de países'!$B$5:$B$510,"Colombia",'Datos - Objetivos de países'!$F$5:$F$510,AL$3,'Datos - Objetivos de países'!$J$5:$J$510,$A10)+COUNTIFS('Datos - Objetivos de países'!$B$5:$B$510,"Colombia",'Datos - Objetivos de países'!$F$5:$F$510,AL$3,'Datos - Objetivos de países'!$K$5:$K$510,$A10)</f>
        <v/>
      </c>
      <c r="AM10" s="11">
        <f>COUNTIFS('Datos - Objetivos de países'!$B$5:$B$510,"Colombia",'Datos - Objetivos de países'!$F$5:$F$510,AM$3,'Datos - Objetivos de países'!$J$5:$J$510,$A10)+COUNTIFS('Datos - Objetivos de países'!$B$5:$B$510,"Colombia",'Datos - Objetivos de países'!$F$5:$F$510,AM$3,'Datos - Objetivos de países'!$K$5:$K$510,$A10)</f>
        <v/>
      </c>
      <c r="AN10" s="11">
        <f>COUNTIFS('Datos - Objetivos de países'!$B$5:$B$510,"Colombia",'Datos - Objetivos de países'!$F$5:$F$510,AN$3,'Datos - Objetivos de países'!$J$5:$J$510,$A10)+COUNTIFS('Datos - Objetivos de países'!$B$5:$B$510,"Colombia",'Datos - Objetivos de países'!$F$5:$F$510,AN$3,'Datos - Objetivos de países'!$K$5:$K$510,$A10)</f>
        <v/>
      </c>
      <c r="AO10" s="11">
        <f>COUNTIFS('Datos - Objetivos de países'!$B$5:$B$510,"Singapur",'Datos - Objetivos de países'!$F$5:$F$510,AO$3,'Datos - Objetivos de países'!$J$5:$J$510,$A10)+COUNTIFS('Datos - Objetivos de países'!$B$5:$B$510,"Singapur",'Datos - Objetivos de países'!$F$5:$F$510,AO$3,'Datos - Objetivos de países'!$K$5:$K$510,$A10)</f>
        <v/>
      </c>
      <c r="AP10" s="11">
        <f>COUNTIFS('Datos - Objetivos de países'!$B$5:$B$510,"Singapur",'Datos - Objetivos de países'!$F$5:$F$510,AP$3,'Datos - Objetivos de países'!$J$5:$J$510,$A10)+COUNTIFS('Datos - Objetivos de países'!$B$5:$B$510,"Singapur",'Datos - Objetivos de países'!$F$5:$F$510,AP$3,'Datos - Objetivos de países'!$K$5:$K$510,$A10)</f>
        <v/>
      </c>
      <c r="AQ10" s="11">
        <f>COUNTIFS('Datos - Objetivos de países'!$B$5:$B$510,"Singapur",'Datos - Objetivos de países'!$F$5:$F$510,AQ$3,'Datos - Objetivos de países'!$J$5:$J$510,$A10)+COUNTIFS('Datos - Objetivos de países'!$B$5:$B$510,"Singapur",'Datos - Objetivos de países'!$F$5:$F$510,AQ$3,'Datos - Objetivos de países'!$K$5:$K$510,$A10)</f>
        <v/>
      </c>
      <c r="AR10" s="11">
        <f>COUNTIFS('Datos - Objetivos de países'!$B$5:$B$510,"Singapur",'Datos - Objetivos de países'!$F$5:$F$510,AR$3,'Datos - Objetivos de países'!$J$5:$J$510,$A10)+COUNTIFS('Datos - Objetivos de países'!$B$5:$B$510,"Singapur",'Datos - Objetivos de países'!$F$5:$F$510,AR$3,'Datos - Objetivos de países'!$K$5:$K$510,$A10)</f>
        <v/>
      </c>
      <c r="AS10" s="11">
        <f>COUNTIFS('Datos - Objetivos de países'!$B$5:$B$510,"Singapur",'Datos - Objetivos de países'!$F$5:$F$510,AS$3,'Datos - Objetivos de países'!$J$5:$J$510,$A10)+COUNTIFS('Datos - Objetivos de países'!$B$5:$B$510,"Singapur",'Datos - Objetivos de países'!$F$5:$F$510,AS$3,'Datos - Objetivos de países'!$K$5:$K$510,$A10)</f>
        <v/>
      </c>
      <c r="AT10" s="11">
        <f>COUNTIFS('Datos - Objetivos de países'!$B$5:$B$510,"Singapur",'Datos - Objetivos de países'!$F$5:$F$510,AT$3,'Datos - Objetivos de países'!$J$5:$J$510,$A10)+COUNTIFS('Datos - Objetivos de países'!$B$5:$B$510,"Singapur",'Datos - Objetivos de países'!$F$5:$F$510,AT$3,'Datos - Objetivos de países'!$K$5:$K$510,$A10)</f>
        <v/>
      </c>
      <c r="AU10" s="11">
        <f>COUNTIFS('Datos - Objetivos de países'!$B$5:$B$510,"Singapur",'Datos - Objetivos de países'!$F$5:$F$510,AU$3,'Datos - Objetivos de países'!$J$5:$J$510,$A10)+COUNTIFS('Datos - Objetivos de países'!$B$5:$B$510,"Singapur",'Datos - Objetivos de países'!$F$5:$F$510,AU$3,'Datos - Objetivos de países'!$K$5:$K$510,$A10)</f>
        <v/>
      </c>
      <c r="AV10" s="11">
        <f>COUNTIFS('Datos - Objetivos de países'!$B$5:$B$510,"Singapur",'Datos - Objetivos de países'!$F$5:$F$510,AV$3,'Datos - Objetivos de países'!$J$5:$J$510,$A10)+COUNTIFS('Datos - Objetivos de países'!$B$5:$B$510,"Singapur",'Datos - Objetivos de países'!$F$5:$F$510,AV$3,'Datos - Objetivos de países'!$K$5:$K$510,$A10)</f>
        <v/>
      </c>
      <c r="AW10" s="11">
        <f>COUNTIFS('Datos - Objetivos de países'!$B$5:$B$510,"Singapur",'Datos - Objetivos de países'!$F$5:$F$510,AW$3,'Datos - Objetivos de países'!$J$5:$J$510,$A10)+COUNTIFS('Datos - Objetivos de países'!$B$5:$B$510,"Singapur",'Datos - Objetivos de países'!$F$5:$F$510,AW$3,'Datos - Objetivos de países'!$K$5:$K$510,$A10)</f>
        <v/>
      </c>
    </row>
    <row r="11">
      <c r="A11" s="30" t="inlineStr">
        <is>
          <t>T4_27-B3.1</t>
        </is>
      </c>
      <c r="B11" s="30" t="inlineStr">
        <is>
          <t>T4_27</t>
        </is>
      </c>
      <c r="C11" s="30" t="inlineStr">
        <is>
          <t>Biología</t>
        </is>
      </c>
      <c r="D11" s="30" t="inlineStr">
        <is>
          <t>Rasgos físicos y conductas que ayudan a sobrevivir en el ambiente</t>
        </is>
      </c>
      <c r="E11" s="30">
        <f>IFERROR(MAX($L$3,INDEX($N$3:$V$3,MATCH(TRUE,INDEX(N11:V11&gt;0,0),0))),"—")</f>
        <v/>
      </c>
      <c r="F11" s="30">
        <f>IFERROR(MAX($L$3,INDEX($W$3:$AE$3,MATCH(TRUE,INDEX(W11:AE11&gt;0,0),0))),"—")</f>
        <v/>
      </c>
      <c r="G11" s="30">
        <f>IFERROR(MAX($L$3,INDEX($AF$3:$AN$3,MATCH(TRUE,INDEX(AF11:AN11&gt;0,0),0))),"—")</f>
        <v/>
      </c>
      <c r="H11" s="30">
        <f>IFERROR(MAX($L$3,INDEX($AO$3:$AW$3,MATCH(TRUE,INDEX(AO11:AW11&gt;0,0),0))),"—")</f>
        <v/>
      </c>
      <c r="I11" s="36">
        <f>IF(L11=0,"—",MEDIAN(F11:H11))</f>
        <v/>
      </c>
      <c r="J11" s="36">
        <f>IF(OR(E11="—",I11="—"),"—",E11-I11)</f>
        <v/>
      </c>
      <c r="K11" s="19">
        <f>IF(E11="—",IF(L11=0,"Nadie lo trabaja","El Salvador no llega"),IF(L11=0,"Solo El Salvador",IF(J11&gt;0,"El Salvador llega más tarde",IF(J11&lt;0,"El Salvador va adelantado","Mismo grado"))))</f>
        <v/>
      </c>
      <c r="L11" s="30">
        <f>COUNT(F11:H11)</f>
        <v/>
      </c>
      <c r="N11" s="11">
        <f>COUNTIFS('Datos - Temas'!$C$5:$C$1264,"Ciencias",'Datos - Temas'!$B$5:$B$1264,N$3,'Datos - Temas'!$K$5:$K$1264,$A11)+COUNTIFS('Datos - Temas'!$C$5:$C$1264,"Ciencias",'Datos - Temas'!$B$5:$B$1264,N$3,'Datos - Temas'!$L$5:$L$1264,$A11)</f>
        <v/>
      </c>
      <c r="O11" s="11">
        <f>COUNTIFS('Datos - Temas'!$C$5:$C$1264,"Ciencias",'Datos - Temas'!$B$5:$B$1264,O$3,'Datos - Temas'!$K$5:$K$1264,$A11)+COUNTIFS('Datos - Temas'!$C$5:$C$1264,"Ciencias",'Datos - Temas'!$B$5:$B$1264,O$3,'Datos - Temas'!$L$5:$L$1264,$A11)</f>
        <v/>
      </c>
      <c r="P11" s="11">
        <f>COUNTIFS('Datos - Temas'!$C$5:$C$1264,"Ciencias",'Datos - Temas'!$B$5:$B$1264,P$3,'Datos - Temas'!$K$5:$K$1264,$A11)+COUNTIFS('Datos - Temas'!$C$5:$C$1264,"Ciencias",'Datos - Temas'!$B$5:$B$1264,P$3,'Datos - Temas'!$L$5:$L$1264,$A11)</f>
        <v/>
      </c>
      <c r="Q11" s="11">
        <f>COUNTIFS('Datos - Temas'!$C$5:$C$1264,"Ciencias",'Datos - Temas'!$B$5:$B$1264,Q$3,'Datos - Temas'!$K$5:$K$1264,$A11)+COUNTIFS('Datos - Temas'!$C$5:$C$1264,"Ciencias",'Datos - Temas'!$B$5:$B$1264,Q$3,'Datos - Temas'!$L$5:$L$1264,$A11)</f>
        <v/>
      </c>
      <c r="R11" s="11">
        <f>COUNTIFS('Datos - Temas'!$C$5:$C$1264,"Ciencias",'Datos - Temas'!$B$5:$B$1264,R$3,'Datos - Temas'!$K$5:$K$1264,$A11)+COUNTIFS('Datos - Temas'!$C$5:$C$1264,"Ciencias",'Datos - Temas'!$B$5:$B$1264,R$3,'Datos - Temas'!$L$5:$L$1264,$A11)</f>
        <v/>
      </c>
      <c r="S11" s="11">
        <f>COUNTIFS('Datos - Temas'!$C$5:$C$1264,"Ciencias",'Datos - Temas'!$B$5:$B$1264,S$3,'Datos - Temas'!$K$5:$K$1264,$A11)+COUNTIFS('Datos - Temas'!$C$5:$C$1264,"Ciencias",'Datos - Temas'!$B$5:$B$1264,S$3,'Datos - Temas'!$L$5:$L$1264,$A11)</f>
        <v/>
      </c>
      <c r="T11" s="11">
        <f>COUNTIFS('Datos - Temas'!$C$5:$C$1264,"Ciencias",'Datos - Temas'!$B$5:$B$1264,T$3,'Datos - Temas'!$K$5:$K$1264,$A11)+COUNTIFS('Datos - Temas'!$C$5:$C$1264,"Ciencias",'Datos - Temas'!$B$5:$B$1264,T$3,'Datos - Temas'!$L$5:$L$1264,$A11)</f>
        <v/>
      </c>
      <c r="U11" s="11">
        <f>COUNTIFS('Datos - Temas'!$C$5:$C$1264,"Ciencias",'Datos - Temas'!$B$5:$B$1264,U$3,'Datos - Temas'!$K$5:$K$1264,$A11)+COUNTIFS('Datos - Temas'!$C$5:$C$1264,"Ciencias",'Datos - Temas'!$B$5:$B$1264,U$3,'Datos - Temas'!$L$5:$L$1264,$A11)</f>
        <v/>
      </c>
      <c r="V11" s="11">
        <f>COUNTIFS('Datos - Temas'!$C$5:$C$1264,"Ciencias",'Datos - Temas'!$B$5:$B$1264,V$3,'Datos - Temas'!$K$5:$K$1264,$A11)+COUNTIFS('Datos - Temas'!$C$5:$C$1264,"Ciencias",'Datos - Temas'!$B$5:$B$1264,V$3,'Datos - Temas'!$L$5:$L$1264,$A11)</f>
        <v/>
      </c>
      <c r="W11" s="11">
        <f>COUNTIFS('Datos - Objetivos de países'!$B$5:$B$510,"Uruguay",'Datos - Objetivos de países'!$F$5:$F$510,W$3,'Datos - Objetivos de países'!$J$5:$J$510,$A11)+COUNTIFS('Datos - Objetivos de países'!$B$5:$B$510,"Uruguay",'Datos - Objetivos de países'!$F$5:$F$510,W$3,'Datos - Objetivos de países'!$K$5:$K$510,$A11)</f>
        <v/>
      </c>
      <c r="X11" s="11">
        <f>COUNTIFS('Datos - Objetivos de países'!$B$5:$B$510,"Uruguay",'Datos - Objetivos de países'!$F$5:$F$510,X$3,'Datos - Objetivos de países'!$J$5:$J$510,$A11)+COUNTIFS('Datos - Objetivos de países'!$B$5:$B$510,"Uruguay",'Datos - Objetivos de países'!$F$5:$F$510,X$3,'Datos - Objetivos de países'!$K$5:$K$510,$A11)</f>
        <v/>
      </c>
      <c r="Y11" s="11">
        <f>COUNTIFS('Datos - Objetivos de países'!$B$5:$B$510,"Uruguay",'Datos - Objetivos de países'!$F$5:$F$510,Y$3,'Datos - Objetivos de países'!$J$5:$J$510,$A11)+COUNTIFS('Datos - Objetivos de países'!$B$5:$B$510,"Uruguay",'Datos - Objetivos de países'!$F$5:$F$510,Y$3,'Datos - Objetivos de países'!$K$5:$K$510,$A11)</f>
        <v/>
      </c>
      <c r="Z11" s="11">
        <f>COUNTIFS('Datos - Objetivos de países'!$B$5:$B$510,"Uruguay",'Datos - Objetivos de países'!$F$5:$F$510,Z$3,'Datos - Objetivos de países'!$J$5:$J$510,$A11)+COUNTIFS('Datos - Objetivos de países'!$B$5:$B$510,"Uruguay",'Datos - Objetivos de países'!$F$5:$F$510,Z$3,'Datos - Objetivos de países'!$K$5:$K$510,$A11)</f>
        <v/>
      </c>
      <c r="AA11" s="11">
        <f>COUNTIFS('Datos - Objetivos de países'!$B$5:$B$510,"Uruguay",'Datos - Objetivos de países'!$F$5:$F$510,AA$3,'Datos - Objetivos de países'!$J$5:$J$510,$A11)+COUNTIFS('Datos - Objetivos de países'!$B$5:$B$510,"Uruguay",'Datos - Objetivos de países'!$F$5:$F$510,AA$3,'Datos - Objetivos de países'!$K$5:$K$510,$A11)</f>
        <v/>
      </c>
      <c r="AB11" s="11">
        <f>COUNTIFS('Datos - Objetivos de países'!$B$5:$B$510,"Uruguay",'Datos - Objetivos de países'!$F$5:$F$510,AB$3,'Datos - Objetivos de países'!$J$5:$J$510,$A11)+COUNTIFS('Datos - Objetivos de países'!$B$5:$B$510,"Uruguay",'Datos - Objetivos de países'!$F$5:$F$510,AB$3,'Datos - Objetivos de países'!$K$5:$K$510,$A11)</f>
        <v/>
      </c>
      <c r="AC11" s="11">
        <f>COUNTIFS('Datos - Objetivos de países'!$B$5:$B$510,"Uruguay",'Datos - Objetivos de países'!$F$5:$F$510,AC$3,'Datos - Objetivos de países'!$J$5:$J$510,$A11)+COUNTIFS('Datos - Objetivos de países'!$B$5:$B$510,"Uruguay",'Datos - Objetivos de países'!$F$5:$F$510,AC$3,'Datos - Objetivos de países'!$K$5:$K$510,$A11)</f>
        <v/>
      </c>
      <c r="AD11" s="11">
        <f>COUNTIFS('Datos - Objetivos de países'!$B$5:$B$510,"Uruguay",'Datos - Objetivos de países'!$F$5:$F$510,AD$3,'Datos - Objetivos de países'!$J$5:$J$510,$A11)+COUNTIFS('Datos - Objetivos de países'!$B$5:$B$510,"Uruguay",'Datos - Objetivos de países'!$F$5:$F$510,AD$3,'Datos - Objetivos de países'!$K$5:$K$510,$A11)</f>
        <v/>
      </c>
      <c r="AE11" s="11">
        <f>COUNTIFS('Datos - Objetivos de países'!$B$5:$B$510,"Uruguay",'Datos - Objetivos de países'!$F$5:$F$510,AE$3,'Datos - Objetivos de países'!$J$5:$J$510,$A11)+COUNTIFS('Datos - Objetivos de países'!$B$5:$B$510,"Uruguay",'Datos - Objetivos de países'!$F$5:$F$510,AE$3,'Datos - Objetivos de países'!$K$5:$K$510,$A11)</f>
        <v/>
      </c>
      <c r="AF11" s="11">
        <f>COUNTIFS('Datos - Objetivos de países'!$B$5:$B$510,"Colombia",'Datos - Objetivos de países'!$F$5:$F$510,AF$3,'Datos - Objetivos de países'!$J$5:$J$510,$A11)+COUNTIFS('Datos - Objetivos de países'!$B$5:$B$510,"Colombia",'Datos - Objetivos de países'!$F$5:$F$510,AF$3,'Datos - Objetivos de países'!$K$5:$K$510,$A11)</f>
        <v/>
      </c>
      <c r="AG11" s="11">
        <f>COUNTIFS('Datos - Objetivos de países'!$B$5:$B$510,"Colombia",'Datos - Objetivos de países'!$F$5:$F$510,AG$3,'Datos - Objetivos de países'!$J$5:$J$510,$A11)+COUNTIFS('Datos - Objetivos de países'!$B$5:$B$510,"Colombia",'Datos - Objetivos de países'!$F$5:$F$510,AG$3,'Datos - Objetivos de países'!$K$5:$K$510,$A11)</f>
        <v/>
      </c>
      <c r="AH11" s="11">
        <f>COUNTIFS('Datos - Objetivos de países'!$B$5:$B$510,"Colombia",'Datos - Objetivos de países'!$F$5:$F$510,AH$3,'Datos - Objetivos de países'!$J$5:$J$510,$A11)+COUNTIFS('Datos - Objetivos de países'!$B$5:$B$510,"Colombia",'Datos - Objetivos de países'!$F$5:$F$510,AH$3,'Datos - Objetivos de países'!$K$5:$K$510,$A11)</f>
        <v/>
      </c>
      <c r="AI11" s="11">
        <f>COUNTIFS('Datos - Objetivos de países'!$B$5:$B$510,"Colombia",'Datos - Objetivos de países'!$F$5:$F$510,AI$3,'Datos - Objetivos de países'!$J$5:$J$510,$A11)+COUNTIFS('Datos - Objetivos de países'!$B$5:$B$510,"Colombia",'Datos - Objetivos de países'!$F$5:$F$510,AI$3,'Datos - Objetivos de países'!$K$5:$K$510,$A11)</f>
        <v/>
      </c>
      <c r="AJ11" s="11">
        <f>COUNTIFS('Datos - Objetivos de países'!$B$5:$B$510,"Colombia",'Datos - Objetivos de países'!$F$5:$F$510,AJ$3,'Datos - Objetivos de países'!$J$5:$J$510,$A11)+COUNTIFS('Datos - Objetivos de países'!$B$5:$B$510,"Colombia",'Datos - Objetivos de países'!$F$5:$F$510,AJ$3,'Datos - Objetivos de países'!$K$5:$K$510,$A11)</f>
        <v/>
      </c>
      <c r="AK11" s="11">
        <f>COUNTIFS('Datos - Objetivos de países'!$B$5:$B$510,"Colombia",'Datos - Objetivos de países'!$F$5:$F$510,AK$3,'Datos - Objetivos de países'!$J$5:$J$510,$A11)+COUNTIFS('Datos - Objetivos de países'!$B$5:$B$510,"Colombia",'Datos - Objetivos de países'!$F$5:$F$510,AK$3,'Datos - Objetivos de países'!$K$5:$K$510,$A11)</f>
        <v/>
      </c>
      <c r="AL11" s="11">
        <f>COUNTIFS('Datos - Objetivos de países'!$B$5:$B$510,"Colombia",'Datos - Objetivos de países'!$F$5:$F$510,AL$3,'Datos - Objetivos de países'!$J$5:$J$510,$A11)+COUNTIFS('Datos - Objetivos de países'!$B$5:$B$510,"Colombia",'Datos - Objetivos de países'!$F$5:$F$510,AL$3,'Datos - Objetivos de países'!$K$5:$K$510,$A11)</f>
        <v/>
      </c>
      <c r="AM11" s="11">
        <f>COUNTIFS('Datos - Objetivos de países'!$B$5:$B$510,"Colombia",'Datos - Objetivos de países'!$F$5:$F$510,AM$3,'Datos - Objetivos de países'!$J$5:$J$510,$A11)+COUNTIFS('Datos - Objetivos de países'!$B$5:$B$510,"Colombia",'Datos - Objetivos de países'!$F$5:$F$510,AM$3,'Datos - Objetivos de países'!$K$5:$K$510,$A11)</f>
        <v/>
      </c>
      <c r="AN11" s="11">
        <f>COUNTIFS('Datos - Objetivos de países'!$B$5:$B$510,"Colombia",'Datos - Objetivos de países'!$F$5:$F$510,AN$3,'Datos - Objetivos de países'!$J$5:$J$510,$A11)+COUNTIFS('Datos - Objetivos de países'!$B$5:$B$510,"Colombia",'Datos - Objetivos de países'!$F$5:$F$510,AN$3,'Datos - Objetivos de países'!$K$5:$K$510,$A11)</f>
        <v/>
      </c>
      <c r="AO11" s="11">
        <f>COUNTIFS('Datos - Objetivos de países'!$B$5:$B$510,"Singapur",'Datos - Objetivos de países'!$F$5:$F$510,AO$3,'Datos - Objetivos de países'!$J$5:$J$510,$A11)+COUNTIFS('Datos - Objetivos de países'!$B$5:$B$510,"Singapur",'Datos - Objetivos de países'!$F$5:$F$510,AO$3,'Datos - Objetivos de países'!$K$5:$K$510,$A11)</f>
        <v/>
      </c>
      <c r="AP11" s="11">
        <f>COUNTIFS('Datos - Objetivos de países'!$B$5:$B$510,"Singapur",'Datos - Objetivos de países'!$F$5:$F$510,AP$3,'Datos - Objetivos de países'!$J$5:$J$510,$A11)+COUNTIFS('Datos - Objetivos de países'!$B$5:$B$510,"Singapur",'Datos - Objetivos de países'!$F$5:$F$510,AP$3,'Datos - Objetivos de países'!$K$5:$K$510,$A11)</f>
        <v/>
      </c>
      <c r="AQ11" s="11">
        <f>COUNTIFS('Datos - Objetivos de países'!$B$5:$B$510,"Singapur",'Datos - Objetivos de países'!$F$5:$F$510,AQ$3,'Datos - Objetivos de países'!$J$5:$J$510,$A11)+COUNTIFS('Datos - Objetivos de países'!$B$5:$B$510,"Singapur",'Datos - Objetivos de países'!$F$5:$F$510,AQ$3,'Datos - Objetivos de países'!$K$5:$K$510,$A11)</f>
        <v/>
      </c>
      <c r="AR11" s="11">
        <f>COUNTIFS('Datos - Objetivos de países'!$B$5:$B$510,"Singapur",'Datos - Objetivos de países'!$F$5:$F$510,AR$3,'Datos - Objetivos de países'!$J$5:$J$510,$A11)+COUNTIFS('Datos - Objetivos de países'!$B$5:$B$510,"Singapur",'Datos - Objetivos de países'!$F$5:$F$510,AR$3,'Datos - Objetivos de países'!$K$5:$K$510,$A11)</f>
        <v/>
      </c>
      <c r="AS11" s="11">
        <f>COUNTIFS('Datos - Objetivos de países'!$B$5:$B$510,"Singapur",'Datos - Objetivos de países'!$F$5:$F$510,AS$3,'Datos - Objetivos de países'!$J$5:$J$510,$A11)+COUNTIFS('Datos - Objetivos de países'!$B$5:$B$510,"Singapur",'Datos - Objetivos de países'!$F$5:$F$510,AS$3,'Datos - Objetivos de países'!$K$5:$K$510,$A11)</f>
        <v/>
      </c>
      <c r="AT11" s="11">
        <f>COUNTIFS('Datos - Objetivos de países'!$B$5:$B$510,"Singapur",'Datos - Objetivos de países'!$F$5:$F$510,AT$3,'Datos - Objetivos de países'!$J$5:$J$510,$A11)+COUNTIFS('Datos - Objetivos de países'!$B$5:$B$510,"Singapur",'Datos - Objetivos de países'!$F$5:$F$510,AT$3,'Datos - Objetivos de países'!$K$5:$K$510,$A11)</f>
        <v/>
      </c>
      <c r="AU11" s="11">
        <f>COUNTIFS('Datos - Objetivos de países'!$B$5:$B$510,"Singapur",'Datos - Objetivos de países'!$F$5:$F$510,AU$3,'Datos - Objetivos de países'!$J$5:$J$510,$A11)+COUNTIFS('Datos - Objetivos de países'!$B$5:$B$510,"Singapur",'Datos - Objetivos de países'!$F$5:$F$510,AU$3,'Datos - Objetivos de países'!$K$5:$K$510,$A11)</f>
        <v/>
      </c>
      <c r="AV11" s="11">
        <f>COUNTIFS('Datos - Objetivos de países'!$B$5:$B$510,"Singapur",'Datos - Objetivos de países'!$F$5:$F$510,AV$3,'Datos - Objetivos de países'!$J$5:$J$510,$A11)+COUNTIFS('Datos - Objetivos de países'!$B$5:$B$510,"Singapur",'Datos - Objetivos de países'!$F$5:$F$510,AV$3,'Datos - Objetivos de países'!$K$5:$K$510,$A11)</f>
        <v/>
      </c>
      <c r="AW11" s="11">
        <f>COUNTIFS('Datos - Objetivos de países'!$B$5:$B$510,"Singapur",'Datos - Objetivos de países'!$F$5:$F$510,AW$3,'Datos - Objetivos de países'!$J$5:$J$510,$A11)+COUNTIFS('Datos - Objetivos de países'!$B$5:$B$510,"Singapur",'Datos - Objetivos de países'!$F$5:$F$510,AW$3,'Datos - Objetivos de países'!$K$5:$K$510,$A11)</f>
        <v/>
      </c>
    </row>
    <row r="12">
      <c r="A12" s="30" t="inlineStr">
        <is>
          <t>T4_27-B4.1</t>
        </is>
      </c>
      <c r="B12" s="30" t="inlineStr">
        <is>
          <t>T4_27</t>
        </is>
      </c>
      <c r="C12" s="30" t="inlineStr">
        <is>
          <t>Biología</t>
        </is>
      </c>
      <c r="D12" s="30" t="inlineStr">
        <is>
          <t>Ecosistemas comunes</t>
        </is>
      </c>
      <c r="E12" s="30">
        <f>IFERROR(MAX($L$3,INDEX($N$3:$V$3,MATCH(TRUE,INDEX(N12:V12&gt;0,0),0))),"—")</f>
        <v/>
      </c>
      <c r="F12" s="30">
        <f>IFERROR(MAX($L$3,INDEX($W$3:$AE$3,MATCH(TRUE,INDEX(W12:AE12&gt;0,0),0))),"—")</f>
        <v/>
      </c>
      <c r="G12" s="30">
        <f>IFERROR(MAX($L$3,INDEX($AF$3:$AN$3,MATCH(TRUE,INDEX(AF12:AN12&gt;0,0),0))),"—")</f>
        <v/>
      </c>
      <c r="H12" s="30">
        <f>IFERROR(MAX($L$3,INDEX($AO$3:$AW$3,MATCH(TRUE,INDEX(AO12:AW12&gt;0,0),0))),"—")</f>
        <v/>
      </c>
      <c r="I12" s="36">
        <f>IF(L12=0,"—",MEDIAN(F12:H12))</f>
        <v/>
      </c>
      <c r="J12" s="36">
        <f>IF(OR(E12="—",I12="—"),"—",E12-I12)</f>
        <v/>
      </c>
      <c r="K12" s="19">
        <f>IF(E12="—",IF(L12=0,"Nadie lo trabaja","El Salvador no llega"),IF(L12=0,"Solo El Salvador",IF(J12&gt;0,"El Salvador llega más tarde",IF(J12&lt;0,"El Salvador va adelantado","Mismo grado"))))</f>
        <v/>
      </c>
      <c r="L12" s="30">
        <f>COUNT(F12:H12)</f>
        <v/>
      </c>
      <c r="N12" s="11">
        <f>COUNTIFS('Datos - Temas'!$C$5:$C$1264,"Ciencias",'Datos - Temas'!$B$5:$B$1264,N$3,'Datos - Temas'!$K$5:$K$1264,$A12)+COUNTIFS('Datos - Temas'!$C$5:$C$1264,"Ciencias",'Datos - Temas'!$B$5:$B$1264,N$3,'Datos - Temas'!$L$5:$L$1264,$A12)</f>
        <v/>
      </c>
      <c r="O12" s="11">
        <f>COUNTIFS('Datos - Temas'!$C$5:$C$1264,"Ciencias",'Datos - Temas'!$B$5:$B$1264,O$3,'Datos - Temas'!$K$5:$K$1264,$A12)+COUNTIFS('Datos - Temas'!$C$5:$C$1264,"Ciencias",'Datos - Temas'!$B$5:$B$1264,O$3,'Datos - Temas'!$L$5:$L$1264,$A12)</f>
        <v/>
      </c>
      <c r="P12" s="11">
        <f>COUNTIFS('Datos - Temas'!$C$5:$C$1264,"Ciencias",'Datos - Temas'!$B$5:$B$1264,P$3,'Datos - Temas'!$K$5:$K$1264,$A12)+COUNTIFS('Datos - Temas'!$C$5:$C$1264,"Ciencias",'Datos - Temas'!$B$5:$B$1264,P$3,'Datos - Temas'!$L$5:$L$1264,$A12)</f>
        <v/>
      </c>
      <c r="Q12" s="11">
        <f>COUNTIFS('Datos - Temas'!$C$5:$C$1264,"Ciencias",'Datos - Temas'!$B$5:$B$1264,Q$3,'Datos - Temas'!$K$5:$K$1264,$A12)+COUNTIFS('Datos - Temas'!$C$5:$C$1264,"Ciencias",'Datos - Temas'!$B$5:$B$1264,Q$3,'Datos - Temas'!$L$5:$L$1264,$A12)</f>
        <v/>
      </c>
      <c r="R12" s="11">
        <f>COUNTIFS('Datos - Temas'!$C$5:$C$1264,"Ciencias",'Datos - Temas'!$B$5:$B$1264,R$3,'Datos - Temas'!$K$5:$K$1264,$A12)+COUNTIFS('Datos - Temas'!$C$5:$C$1264,"Ciencias",'Datos - Temas'!$B$5:$B$1264,R$3,'Datos - Temas'!$L$5:$L$1264,$A12)</f>
        <v/>
      </c>
      <c r="S12" s="11">
        <f>COUNTIFS('Datos - Temas'!$C$5:$C$1264,"Ciencias",'Datos - Temas'!$B$5:$B$1264,S$3,'Datos - Temas'!$K$5:$K$1264,$A12)+COUNTIFS('Datos - Temas'!$C$5:$C$1264,"Ciencias",'Datos - Temas'!$B$5:$B$1264,S$3,'Datos - Temas'!$L$5:$L$1264,$A12)</f>
        <v/>
      </c>
      <c r="T12" s="11">
        <f>COUNTIFS('Datos - Temas'!$C$5:$C$1264,"Ciencias",'Datos - Temas'!$B$5:$B$1264,T$3,'Datos - Temas'!$K$5:$K$1264,$A12)+COUNTIFS('Datos - Temas'!$C$5:$C$1264,"Ciencias",'Datos - Temas'!$B$5:$B$1264,T$3,'Datos - Temas'!$L$5:$L$1264,$A12)</f>
        <v/>
      </c>
      <c r="U12" s="11">
        <f>COUNTIFS('Datos - Temas'!$C$5:$C$1264,"Ciencias",'Datos - Temas'!$B$5:$B$1264,U$3,'Datos - Temas'!$K$5:$K$1264,$A12)+COUNTIFS('Datos - Temas'!$C$5:$C$1264,"Ciencias",'Datos - Temas'!$B$5:$B$1264,U$3,'Datos - Temas'!$L$5:$L$1264,$A12)</f>
        <v/>
      </c>
      <c r="V12" s="11">
        <f>COUNTIFS('Datos - Temas'!$C$5:$C$1264,"Ciencias",'Datos - Temas'!$B$5:$B$1264,V$3,'Datos - Temas'!$K$5:$K$1264,$A12)+COUNTIFS('Datos - Temas'!$C$5:$C$1264,"Ciencias",'Datos - Temas'!$B$5:$B$1264,V$3,'Datos - Temas'!$L$5:$L$1264,$A12)</f>
        <v/>
      </c>
      <c r="W12" s="11">
        <f>COUNTIFS('Datos - Objetivos de países'!$B$5:$B$510,"Uruguay",'Datos - Objetivos de países'!$F$5:$F$510,W$3,'Datos - Objetivos de países'!$J$5:$J$510,$A12)+COUNTIFS('Datos - Objetivos de países'!$B$5:$B$510,"Uruguay",'Datos - Objetivos de países'!$F$5:$F$510,W$3,'Datos - Objetivos de países'!$K$5:$K$510,$A12)</f>
        <v/>
      </c>
      <c r="X12" s="11">
        <f>COUNTIFS('Datos - Objetivos de países'!$B$5:$B$510,"Uruguay",'Datos - Objetivos de países'!$F$5:$F$510,X$3,'Datos - Objetivos de países'!$J$5:$J$510,$A12)+COUNTIFS('Datos - Objetivos de países'!$B$5:$B$510,"Uruguay",'Datos - Objetivos de países'!$F$5:$F$510,X$3,'Datos - Objetivos de países'!$K$5:$K$510,$A12)</f>
        <v/>
      </c>
      <c r="Y12" s="11">
        <f>COUNTIFS('Datos - Objetivos de países'!$B$5:$B$510,"Uruguay",'Datos - Objetivos de países'!$F$5:$F$510,Y$3,'Datos - Objetivos de países'!$J$5:$J$510,$A12)+COUNTIFS('Datos - Objetivos de países'!$B$5:$B$510,"Uruguay",'Datos - Objetivos de países'!$F$5:$F$510,Y$3,'Datos - Objetivos de países'!$K$5:$K$510,$A12)</f>
        <v/>
      </c>
      <c r="Z12" s="11">
        <f>COUNTIFS('Datos - Objetivos de países'!$B$5:$B$510,"Uruguay",'Datos - Objetivos de países'!$F$5:$F$510,Z$3,'Datos - Objetivos de países'!$J$5:$J$510,$A12)+COUNTIFS('Datos - Objetivos de países'!$B$5:$B$510,"Uruguay",'Datos - Objetivos de países'!$F$5:$F$510,Z$3,'Datos - Objetivos de países'!$K$5:$K$510,$A12)</f>
        <v/>
      </c>
      <c r="AA12" s="11">
        <f>COUNTIFS('Datos - Objetivos de países'!$B$5:$B$510,"Uruguay",'Datos - Objetivos de países'!$F$5:$F$510,AA$3,'Datos - Objetivos de países'!$J$5:$J$510,$A12)+COUNTIFS('Datos - Objetivos de países'!$B$5:$B$510,"Uruguay",'Datos - Objetivos de países'!$F$5:$F$510,AA$3,'Datos - Objetivos de países'!$K$5:$K$510,$A12)</f>
        <v/>
      </c>
      <c r="AB12" s="11">
        <f>COUNTIFS('Datos - Objetivos de países'!$B$5:$B$510,"Uruguay",'Datos - Objetivos de países'!$F$5:$F$510,AB$3,'Datos - Objetivos de países'!$J$5:$J$510,$A12)+COUNTIFS('Datos - Objetivos de países'!$B$5:$B$510,"Uruguay",'Datos - Objetivos de países'!$F$5:$F$510,AB$3,'Datos - Objetivos de países'!$K$5:$K$510,$A12)</f>
        <v/>
      </c>
      <c r="AC12" s="11">
        <f>COUNTIFS('Datos - Objetivos de países'!$B$5:$B$510,"Uruguay",'Datos - Objetivos de países'!$F$5:$F$510,AC$3,'Datos - Objetivos de países'!$J$5:$J$510,$A12)+COUNTIFS('Datos - Objetivos de países'!$B$5:$B$510,"Uruguay",'Datos - Objetivos de países'!$F$5:$F$510,AC$3,'Datos - Objetivos de países'!$K$5:$K$510,$A12)</f>
        <v/>
      </c>
      <c r="AD12" s="11">
        <f>COUNTIFS('Datos - Objetivos de países'!$B$5:$B$510,"Uruguay",'Datos - Objetivos de países'!$F$5:$F$510,AD$3,'Datos - Objetivos de países'!$J$5:$J$510,$A12)+COUNTIFS('Datos - Objetivos de países'!$B$5:$B$510,"Uruguay",'Datos - Objetivos de países'!$F$5:$F$510,AD$3,'Datos - Objetivos de países'!$K$5:$K$510,$A12)</f>
        <v/>
      </c>
      <c r="AE12" s="11">
        <f>COUNTIFS('Datos - Objetivos de países'!$B$5:$B$510,"Uruguay",'Datos - Objetivos de países'!$F$5:$F$510,AE$3,'Datos - Objetivos de países'!$J$5:$J$510,$A12)+COUNTIFS('Datos - Objetivos de países'!$B$5:$B$510,"Uruguay",'Datos - Objetivos de países'!$F$5:$F$510,AE$3,'Datos - Objetivos de países'!$K$5:$K$510,$A12)</f>
        <v/>
      </c>
      <c r="AF12" s="11">
        <f>COUNTIFS('Datos - Objetivos de países'!$B$5:$B$510,"Colombia",'Datos - Objetivos de países'!$F$5:$F$510,AF$3,'Datos - Objetivos de países'!$J$5:$J$510,$A12)+COUNTIFS('Datos - Objetivos de países'!$B$5:$B$510,"Colombia",'Datos - Objetivos de países'!$F$5:$F$510,AF$3,'Datos - Objetivos de países'!$K$5:$K$510,$A12)</f>
        <v/>
      </c>
      <c r="AG12" s="11">
        <f>COUNTIFS('Datos - Objetivos de países'!$B$5:$B$510,"Colombia",'Datos - Objetivos de países'!$F$5:$F$510,AG$3,'Datos - Objetivos de países'!$J$5:$J$510,$A12)+COUNTIFS('Datos - Objetivos de países'!$B$5:$B$510,"Colombia",'Datos - Objetivos de países'!$F$5:$F$510,AG$3,'Datos - Objetivos de países'!$K$5:$K$510,$A12)</f>
        <v/>
      </c>
      <c r="AH12" s="11">
        <f>COUNTIFS('Datos - Objetivos de países'!$B$5:$B$510,"Colombia",'Datos - Objetivos de países'!$F$5:$F$510,AH$3,'Datos - Objetivos de países'!$J$5:$J$510,$A12)+COUNTIFS('Datos - Objetivos de países'!$B$5:$B$510,"Colombia",'Datos - Objetivos de países'!$F$5:$F$510,AH$3,'Datos - Objetivos de países'!$K$5:$K$510,$A12)</f>
        <v/>
      </c>
      <c r="AI12" s="11">
        <f>COUNTIFS('Datos - Objetivos de países'!$B$5:$B$510,"Colombia",'Datos - Objetivos de países'!$F$5:$F$510,AI$3,'Datos - Objetivos de países'!$J$5:$J$510,$A12)+COUNTIFS('Datos - Objetivos de países'!$B$5:$B$510,"Colombia",'Datos - Objetivos de países'!$F$5:$F$510,AI$3,'Datos - Objetivos de países'!$K$5:$K$510,$A12)</f>
        <v/>
      </c>
      <c r="AJ12" s="11">
        <f>COUNTIFS('Datos - Objetivos de países'!$B$5:$B$510,"Colombia",'Datos - Objetivos de países'!$F$5:$F$510,AJ$3,'Datos - Objetivos de países'!$J$5:$J$510,$A12)+COUNTIFS('Datos - Objetivos de países'!$B$5:$B$510,"Colombia",'Datos - Objetivos de países'!$F$5:$F$510,AJ$3,'Datos - Objetivos de países'!$K$5:$K$510,$A12)</f>
        <v/>
      </c>
      <c r="AK12" s="11">
        <f>COUNTIFS('Datos - Objetivos de países'!$B$5:$B$510,"Colombia",'Datos - Objetivos de países'!$F$5:$F$510,AK$3,'Datos - Objetivos de países'!$J$5:$J$510,$A12)+COUNTIFS('Datos - Objetivos de países'!$B$5:$B$510,"Colombia",'Datos - Objetivos de países'!$F$5:$F$510,AK$3,'Datos - Objetivos de países'!$K$5:$K$510,$A12)</f>
        <v/>
      </c>
      <c r="AL12" s="11">
        <f>COUNTIFS('Datos - Objetivos de países'!$B$5:$B$510,"Colombia",'Datos - Objetivos de países'!$F$5:$F$510,AL$3,'Datos - Objetivos de países'!$J$5:$J$510,$A12)+COUNTIFS('Datos - Objetivos de países'!$B$5:$B$510,"Colombia",'Datos - Objetivos de países'!$F$5:$F$510,AL$3,'Datos - Objetivos de países'!$K$5:$K$510,$A12)</f>
        <v/>
      </c>
      <c r="AM12" s="11">
        <f>COUNTIFS('Datos - Objetivos de países'!$B$5:$B$510,"Colombia",'Datos - Objetivos de países'!$F$5:$F$510,AM$3,'Datos - Objetivos de países'!$J$5:$J$510,$A12)+COUNTIFS('Datos - Objetivos de países'!$B$5:$B$510,"Colombia",'Datos - Objetivos de países'!$F$5:$F$510,AM$3,'Datos - Objetivos de países'!$K$5:$K$510,$A12)</f>
        <v/>
      </c>
      <c r="AN12" s="11">
        <f>COUNTIFS('Datos - Objetivos de países'!$B$5:$B$510,"Colombia",'Datos - Objetivos de países'!$F$5:$F$510,AN$3,'Datos - Objetivos de países'!$J$5:$J$510,$A12)+COUNTIFS('Datos - Objetivos de países'!$B$5:$B$510,"Colombia",'Datos - Objetivos de países'!$F$5:$F$510,AN$3,'Datos - Objetivos de países'!$K$5:$K$510,$A12)</f>
        <v/>
      </c>
      <c r="AO12" s="11">
        <f>COUNTIFS('Datos - Objetivos de países'!$B$5:$B$510,"Singapur",'Datos - Objetivos de países'!$F$5:$F$510,AO$3,'Datos - Objetivos de países'!$J$5:$J$510,$A12)+COUNTIFS('Datos - Objetivos de países'!$B$5:$B$510,"Singapur",'Datos - Objetivos de países'!$F$5:$F$510,AO$3,'Datos - Objetivos de países'!$K$5:$K$510,$A12)</f>
        <v/>
      </c>
      <c r="AP12" s="11">
        <f>COUNTIFS('Datos - Objetivos de países'!$B$5:$B$510,"Singapur",'Datos - Objetivos de países'!$F$5:$F$510,AP$3,'Datos - Objetivos de países'!$J$5:$J$510,$A12)+COUNTIFS('Datos - Objetivos de países'!$B$5:$B$510,"Singapur",'Datos - Objetivos de países'!$F$5:$F$510,AP$3,'Datos - Objetivos de países'!$K$5:$K$510,$A12)</f>
        <v/>
      </c>
      <c r="AQ12" s="11">
        <f>COUNTIFS('Datos - Objetivos de países'!$B$5:$B$510,"Singapur",'Datos - Objetivos de países'!$F$5:$F$510,AQ$3,'Datos - Objetivos de países'!$J$5:$J$510,$A12)+COUNTIFS('Datos - Objetivos de países'!$B$5:$B$510,"Singapur",'Datos - Objetivos de países'!$F$5:$F$510,AQ$3,'Datos - Objetivos de países'!$K$5:$K$510,$A12)</f>
        <v/>
      </c>
      <c r="AR12" s="11">
        <f>COUNTIFS('Datos - Objetivos de países'!$B$5:$B$510,"Singapur",'Datos - Objetivos de países'!$F$5:$F$510,AR$3,'Datos - Objetivos de países'!$J$5:$J$510,$A12)+COUNTIFS('Datos - Objetivos de países'!$B$5:$B$510,"Singapur",'Datos - Objetivos de países'!$F$5:$F$510,AR$3,'Datos - Objetivos de países'!$K$5:$K$510,$A12)</f>
        <v/>
      </c>
      <c r="AS12" s="11">
        <f>COUNTIFS('Datos - Objetivos de países'!$B$5:$B$510,"Singapur",'Datos - Objetivos de países'!$F$5:$F$510,AS$3,'Datos - Objetivos de países'!$J$5:$J$510,$A12)+COUNTIFS('Datos - Objetivos de países'!$B$5:$B$510,"Singapur",'Datos - Objetivos de países'!$F$5:$F$510,AS$3,'Datos - Objetivos de países'!$K$5:$K$510,$A12)</f>
        <v/>
      </c>
      <c r="AT12" s="11">
        <f>COUNTIFS('Datos - Objetivos de países'!$B$5:$B$510,"Singapur",'Datos - Objetivos de países'!$F$5:$F$510,AT$3,'Datos - Objetivos de países'!$J$5:$J$510,$A12)+COUNTIFS('Datos - Objetivos de países'!$B$5:$B$510,"Singapur",'Datos - Objetivos de países'!$F$5:$F$510,AT$3,'Datos - Objetivos de países'!$K$5:$K$510,$A12)</f>
        <v/>
      </c>
      <c r="AU12" s="11">
        <f>COUNTIFS('Datos - Objetivos de países'!$B$5:$B$510,"Singapur",'Datos - Objetivos de países'!$F$5:$F$510,AU$3,'Datos - Objetivos de países'!$J$5:$J$510,$A12)+COUNTIFS('Datos - Objetivos de países'!$B$5:$B$510,"Singapur",'Datos - Objetivos de países'!$F$5:$F$510,AU$3,'Datos - Objetivos de países'!$K$5:$K$510,$A12)</f>
        <v/>
      </c>
      <c r="AV12" s="11">
        <f>COUNTIFS('Datos - Objetivos de países'!$B$5:$B$510,"Singapur",'Datos - Objetivos de países'!$F$5:$F$510,AV$3,'Datos - Objetivos de países'!$J$5:$J$510,$A12)+COUNTIFS('Datos - Objetivos de países'!$B$5:$B$510,"Singapur",'Datos - Objetivos de países'!$F$5:$F$510,AV$3,'Datos - Objetivos de países'!$K$5:$K$510,$A12)</f>
        <v/>
      </c>
      <c r="AW12" s="11">
        <f>COUNTIFS('Datos - Objetivos de países'!$B$5:$B$510,"Singapur",'Datos - Objetivos de países'!$F$5:$F$510,AW$3,'Datos - Objetivos de países'!$J$5:$J$510,$A12)+COUNTIFS('Datos - Objetivos de países'!$B$5:$B$510,"Singapur",'Datos - Objetivos de países'!$F$5:$F$510,AW$3,'Datos - Objetivos de países'!$K$5:$K$510,$A12)</f>
        <v/>
      </c>
    </row>
    <row r="13">
      <c r="A13" s="30" t="inlineStr">
        <is>
          <t>T4_27-B4.2</t>
        </is>
      </c>
      <c r="B13" s="30" t="inlineStr">
        <is>
          <t>T4_27</t>
        </is>
      </c>
      <c r="C13" s="30" t="inlineStr">
        <is>
          <t>Biología</t>
        </is>
      </c>
      <c r="D13" s="30" t="inlineStr">
        <is>
          <t>Relaciones en los ecosistemas</t>
        </is>
      </c>
      <c r="E13" s="30">
        <f>IFERROR(MAX($L$3,INDEX($N$3:$V$3,MATCH(TRUE,INDEX(N13:V13&gt;0,0),0))),"—")</f>
        <v/>
      </c>
      <c r="F13" s="30">
        <f>IFERROR(MAX($L$3,INDEX($W$3:$AE$3,MATCH(TRUE,INDEX(W13:AE13&gt;0,0),0))),"—")</f>
        <v/>
      </c>
      <c r="G13" s="30">
        <f>IFERROR(MAX($L$3,INDEX($AF$3:$AN$3,MATCH(TRUE,INDEX(AF13:AN13&gt;0,0),0))),"—")</f>
        <v/>
      </c>
      <c r="H13" s="30">
        <f>IFERROR(MAX($L$3,INDEX($AO$3:$AW$3,MATCH(TRUE,INDEX(AO13:AW13&gt;0,0),0))),"—")</f>
        <v/>
      </c>
      <c r="I13" s="36">
        <f>IF(L13=0,"—",MEDIAN(F13:H13))</f>
        <v/>
      </c>
      <c r="J13" s="36">
        <f>IF(OR(E13="—",I13="—"),"—",E13-I13)</f>
        <v/>
      </c>
      <c r="K13" s="19">
        <f>IF(E13="—",IF(L13=0,"Nadie lo trabaja","El Salvador no llega"),IF(L13=0,"Solo El Salvador",IF(J13&gt;0,"El Salvador llega más tarde",IF(J13&lt;0,"El Salvador va adelantado","Mismo grado"))))</f>
        <v/>
      </c>
      <c r="L13" s="30">
        <f>COUNT(F13:H13)</f>
        <v/>
      </c>
      <c r="N13" s="11">
        <f>COUNTIFS('Datos - Temas'!$C$5:$C$1264,"Ciencias",'Datos - Temas'!$B$5:$B$1264,N$3,'Datos - Temas'!$K$5:$K$1264,$A13)+COUNTIFS('Datos - Temas'!$C$5:$C$1264,"Ciencias",'Datos - Temas'!$B$5:$B$1264,N$3,'Datos - Temas'!$L$5:$L$1264,$A13)</f>
        <v/>
      </c>
      <c r="O13" s="11">
        <f>COUNTIFS('Datos - Temas'!$C$5:$C$1264,"Ciencias",'Datos - Temas'!$B$5:$B$1264,O$3,'Datos - Temas'!$K$5:$K$1264,$A13)+COUNTIFS('Datos - Temas'!$C$5:$C$1264,"Ciencias",'Datos - Temas'!$B$5:$B$1264,O$3,'Datos - Temas'!$L$5:$L$1264,$A13)</f>
        <v/>
      </c>
      <c r="P13" s="11">
        <f>COUNTIFS('Datos - Temas'!$C$5:$C$1264,"Ciencias",'Datos - Temas'!$B$5:$B$1264,P$3,'Datos - Temas'!$K$5:$K$1264,$A13)+COUNTIFS('Datos - Temas'!$C$5:$C$1264,"Ciencias",'Datos - Temas'!$B$5:$B$1264,P$3,'Datos - Temas'!$L$5:$L$1264,$A13)</f>
        <v/>
      </c>
      <c r="Q13" s="11">
        <f>COUNTIFS('Datos - Temas'!$C$5:$C$1264,"Ciencias",'Datos - Temas'!$B$5:$B$1264,Q$3,'Datos - Temas'!$K$5:$K$1264,$A13)+COUNTIFS('Datos - Temas'!$C$5:$C$1264,"Ciencias",'Datos - Temas'!$B$5:$B$1264,Q$3,'Datos - Temas'!$L$5:$L$1264,$A13)</f>
        <v/>
      </c>
      <c r="R13" s="11">
        <f>COUNTIFS('Datos - Temas'!$C$5:$C$1264,"Ciencias",'Datos - Temas'!$B$5:$B$1264,R$3,'Datos - Temas'!$K$5:$K$1264,$A13)+COUNTIFS('Datos - Temas'!$C$5:$C$1264,"Ciencias",'Datos - Temas'!$B$5:$B$1264,R$3,'Datos - Temas'!$L$5:$L$1264,$A13)</f>
        <v/>
      </c>
      <c r="S13" s="11">
        <f>COUNTIFS('Datos - Temas'!$C$5:$C$1264,"Ciencias",'Datos - Temas'!$B$5:$B$1264,S$3,'Datos - Temas'!$K$5:$K$1264,$A13)+COUNTIFS('Datos - Temas'!$C$5:$C$1264,"Ciencias",'Datos - Temas'!$B$5:$B$1264,S$3,'Datos - Temas'!$L$5:$L$1264,$A13)</f>
        <v/>
      </c>
      <c r="T13" s="11">
        <f>COUNTIFS('Datos - Temas'!$C$5:$C$1264,"Ciencias",'Datos - Temas'!$B$5:$B$1264,T$3,'Datos - Temas'!$K$5:$K$1264,$A13)+COUNTIFS('Datos - Temas'!$C$5:$C$1264,"Ciencias",'Datos - Temas'!$B$5:$B$1264,T$3,'Datos - Temas'!$L$5:$L$1264,$A13)</f>
        <v/>
      </c>
      <c r="U13" s="11">
        <f>COUNTIFS('Datos - Temas'!$C$5:$C$1264,"Ciencias",'Datos - Temas'!$B$5:$B$1264,U$3,'Datos - Temas'!$K$5:$K$1264,$A13)+COUNTIFS('Datos - Temas'!$C$5:$C$1264,"Ciencias",'Datos - Temas'!$B$5:$B$1264,U$3,'Datos - Temas'!$L$5:$L$1264,$A13)</f>
        <v/>
      </c>
      <c r="V13" s="11">
        <f>COUNTIFS('Datos - Temas'!$C$5:$C$1264,"Ciencias",'Datos - Temas'!$B$5:$B$1264,V$3,'Datos - Temas'!$K$5:$K$1264,$A13)+COUNTIFS('Datos - Temas'!$C$5:$C$1264,"Ciencias",'Datos - Temas'!$B$5:$B$1264,V$3,'Datos - Temas'!$L$5:$L$1264,$A13)</f>
        <v/>
      </c>
      <c r="W13" s="11">
        <f>COUNTIFS('Datos - Objetivos de países'!$B$5:$B$510,"Uruguay",'Datos - Objetivos de países'!$F$5:$F$510,W$3,'Datos - Objetivos de países'!$J$5:$J$510,$A13)+COUNTIFS('Datos - Objetivos de países'!$B$5:$B$510,"Uruguay",'Datos - Objetivos de países'!$F$5:$F$510,W$3,'Datos - Objetivos de países'!$K$5:$K$510,$A13)</f>
        <v/>
      </c>
      <c r="X13" s="11">
        <f>COUNTIFS('Datos - Objetivos de países'!$B$5:$B$510,"Uruguay",'Datos - Objetivos de países'!$F$5:$F$510,X$3,'Datos - Objetivos de países'!$J$5:$J$510,$A13)+COUNTIFS('Datos - Objetivos de países'!$B$5:$B$510,"Uruguay",'Datos - Objetivos de países'!$F$5:$F$510,X$3,'Datos - Objetivos de países'!$K$5:$K$510,$A13)</f>
        <v/>
      </c>
      <c r="Y13" s="11">
        <f>COUNTIFS('Datos - Objetivos de países'!$B$5:$B$510,"Uruguay",'Datos - Objetivos de países'!$F$5:$F$510,Y$3,'Datos - Objetivos de países'!$J$5:$J$510,$A13)+COUNTIFS('Datos - Objetivos de países'!$B$5:$B$510,"Uruguay",'Datos - Objetivos de países'!$F$5:$F$510,Y$3,'Datos - Objetivos de países'!$K$5:$K$510,$A13)</f>
        <v/>
      </c>
      <c r="Z13" s="11">
        <f>COUNTIFS('Datos - Objetivos de países'!$B$5:$B$510,"Uruguay",'Datos - Objetivos de países'!$F$5:$F$510,Z$3,'Datos - Objetivos de países'!$J$5:$J$510,$A13)+COUNTIFS('Datos - Objetivos de países'!$B$5:$B$510,"Uruguay",'Datos - Objetivos de países'!$F$5:$F$510,Z$3,'Datos - Objetivos de países'!$K$5:$K$510,$A13)</f>
        <v/>
      </c>
      <c r="AA13" s="11">
        <f>COUNTIFS('Datos - Objetivos de países'!$B$5:$B$510,"Uruguay",'Datos - Objetivos de países'!$F$5:$F$510,AA$3,'Datos - Objetivos de países'!$J$5:$J$510,$A13)+COUNTIFS('Datos - Objetivos de países'!$B$5:$B$510,"Uruguay",'Datos - Objetivos de países'!$F$5:$F$510,AA$3,'Datos - Objetivos de países'!$K$5:$K$510,$A13)</f>
        <v/>
      </c>
      <c r="AB13" s="11">
        <f>COUNTIFS('Datos - Objetivos de países'!$B$5:$B$510,"Uruguay",'Datos - Objetivos de países'!$F$5:$F$510,AB$3,'Datos - Objetivos de países'!$J$5:$J$510,$A13)+COUNTIFS('Datos - Objetivos de países'!$B$5:$B$510,"Uruguay",'Datos - Objetivos de países'!$F$5:$F$510,AB$3,'Datos - Objetivos de países'!$K$5:$K$510,$A13)</f>
        <v/>
      </c>
      <c r="AC13" s="11">
        <f>COUNTIFS('Datos - Objetivos de países'!$B$5:$B$510,"Uruguay",'Datos - Objetivos de países'!$F$5:$F$510,AC$3,'Datos - Objetivos de países'!$J$5:$J$510,$A13)+COUNTIFS('Datos - Objetivos de países'!$B$5:$B$510,"Uruguay",'Datos - Objetivos de países'!$F$5:$F$510,AC$3,'Datos - Objetivos de países'!$K$5:$K$510,$A13)</f>
        <v/>
      </c>
      <c r="AD13" s="11">
        <f>COUNTIFS('Datos - Objetivos de países'!$B$5:$B$510,"Uruguay",'Datos - Objetivos de países'!$F$5:$F$510,AD$3,'Datos - Objetivos de países'!$J$5:$J$510,$A13)+COUNTIFS('Datos - Objetivos de países'!$B$5:$B$510,"Uruguay",'Datos - Objetivos de países'!$F$5:$F$510,AD$3,'Datos - Objetivos de países'!$K$5:$K$510,$A13)</f>
        <v/>
      </c>
      <c r="AE13" s="11">
        <f>COUNTIFS('Datos - Objetivos de países'!$B$5:$B$510,"Uruguay",'Datos - Objetivos de países'!$F$5:$F$510,AE$3,'Datos - Objetivos de países'!$J$5:$J$510,$A13)+COUNTIFS('Datos - Objetivos de países'!$B$5:$B$510,"Uruguay",'Datos - Objetivos de países'!$F$5:$F$510,AE$3,'Datos - Objetivos de países'!$K$5:$K$510,$A13)</f>
        <v/>
      </c>
      <c r="AF13" s="11">
        <f>COUNTIFS('Datos - Objetivos de países'!$B$5:$B$510,"Colombia",'Datos - Objetivos de países'!$F$5:$F$510,AF$3,'Datos - Objetivos de países'!$J$5:$J$510,$A13)+COUNTIFS('Datos - Objetivos de países'!$B$5:$B$510,"Colombia",'Datos - Objetivos de países'!$F$5:$F$510,AF$3,'Datos - Objetivos de países'!$K$5:$K$510,$A13)</f>
        <v/>
      </c>
      <c r="AG13" s="11">
        <f>COUNTIFS('Datos - Objetivos de países'!$B$5:$B$510,"Colombia",'Datos - Objetivos de países'!$F$5:$F$510,AG$3,'Datos - Objetivos de países'!$J$5:$J$510,$A13)+COUNTIFS('Datos - Objetivos de países'!$B$5:$B$510,"Colombia",'Datos - Objetivos de países'!$F$5:$F$510,AG$3,'Datos - Objetivos de países'!$K$5:$K$510,$A13)</f>
        <v/>
      </c>
      <c r="AH13" s="11">
        <f>COUNTIFS('Datos - Objetivos de países'!$B$5:$B$510,"Colombia",'Datos - Objetivos de países'!$F$5:$F$510,AH$3,'Datos - Objetivos de países'!$J$5:$J$510,$A13)+COUNTIFS('Datos - Objetivos de países'!$B$5:$B$510,"Colombia",'Datos - Objetivos de países'!$F$5:$F$510,AH$3,'Datos - Objetivos de países'!$K$5:$K$510,$A13)</f>
        <v/>
      </c>
      <c r="AI13" s="11">
        <f>COUNTIFS('Datos - Objetivos de países'!$B$5:$B$510,"Colombia",'Datos - Objetivos de países'!$F$5:$F$510,AI$3,'Datos - Objetivos de países'!$J$5:$J$510,$A13)+COUNTIFS('Datos - Objetivos de países'!$B$5:$B$510,"Colombia",'Datos - Objetivos de países'!$F$5:$F$510,AI$3,'Datos - Objetivos de países'!$K$5:$K$510,$A13)</f>
        <v/>
      </c>
      <c r="AJ13" s="11">
        <f>COUNTIFS('Datos - Objetivos de países'!$B$5:$B$510,"Colombia",'Datos - Objetivos de países'!$F$5:$F$510,AJ$3,'Datos - Objetivos de países'!$J$5:$J$510,$A13)+COUNTIFS('Datos - Objetivos de países'!$B$5:$B$510,"Colombia",'Datos - Objetivos de países'!$F$5:$F$510,AJ$3,'Datos - Objetivos de países'!$K$5:$K$510,$A13)</f>
        <v/>
      </c>
      <c r="AK13" s="11">
        <f>COUNTIFS('Datos - Objetivos de países'!$B$5:$B$510,"Colombia",'Datos - Objetivos de países'!$F$5:$F$510,AK$3,'Datos - Objetivos de países'!$J$5:$J$510,$A13)+COUNTIFS('Datos - Objetivos de países'!$B$5:$B$510,"Colombia",'Datos - Objetivos de países'!$F$5:$F$510,AK$3,'Datos - Objetivos de países'!$K$5:$K$510,$A13)</f>
        <v/>
      </c>
      <c r="AL13" s="11">
        <f>COUNTIFS('Datos - Objetivos de países'!$B$5:$B$510,"Colombia",'Datos - Objetivos de países'!$F$5:$F$510,AL$3,'Datos - Objetivos de países'!$J$5:$J$510,$A13)+COUNTIFS('Datos - Objetivos de países'!$B$5:$B$510,"Colombia",'Datos - Objetivos de países'!$F$5:$F$510,AL$3,'Datos - Objetivos de países'!$K$5:$K$510,$A13)</f>
        <v/>
      </c>
      <c r="AM13" s="11">
        <f>COUNTIFS('Datos - Objetivos de países'!$B$5:$B$510,"Colombia",'Datos - Objetivos de países'!$F$5:$F$510,AM$3,'Datos - Objetivos de países'!$J$5:$J$510,$A13)+COUNTIFS('Datos - Objetivos de países'!$B$5:$B$510,"Colombia",'Datos - Objetivos de países'!$F$5:$F$510,AM$3,'Datos - Objetivos de países'!$K$5:$K$510,$A13)</f>
        <v/>
      </c>
      <c r="AN13" s="11">
        <f>COUNTIFS('Datos - Objetivos de países'!$B$5:$B$510,"Colombia",'Datos - Objetivos de países'!$F$5:$F$510,AN$3,'Datos - Objetivos de países'!$J$5:$J$510,$A13)+COUNTIFS('Datos - Objetivos de países'!$B$5:$B$510,"Colombia",'Datos - Objetivos de países'!$F$5:$F$510,AN$3,'Datos - Objetivos de países'!$K$5:$K$510,$A13)</f>
        <v/>
      </c>
      <c r="AO13" s="11">
        <f>COUNTIFS('Datos - Objetivos de países'!$B$5:$B$510,"Singapur",'Datos - Objetivos de países'!$F$5:$F$510,AO$3,'Datos - Objetivos de países'!$J$5:$J$510,$A13)+COUNTIFS('Datos - Objetivos de países'!$B$5:$B$510,"Singapur",'Datos - Objetivos de países'!$F$5:$F$510,AO$3,'Datos - Objetivos de países'!$K$5:$K$510,$A13)</f>
        <v/>
      </c>
      <c r="AP13" s="11">
        <f>COUNTIFS('Datos - Objetivos de países'!$B$5:$B$510,"Singapur",'Datos - Objetivos de países'!$F$5:$F$510,AP$3,'Datos - Objetivos de países'!$J$5:$J$510,$A13)+COUNTIFS('Datos - Objetivos de países'!$B$5:$B$510,"Singapur",'Datos - Objetivos de países'!$F$5:$F$510,AP$3,'Datos - Objetivos de países'!$K$5:$K$510,$A13)</f>
        <v/>
      </c>
      <c r="AQ13" s="11">
        <f>COUNTIFS('Datos - Objetivos de países'!$B$5:$B$510,"Singapur",'Datos - Objetivos de países'!$F$5:$F$510,AQ$3,'Datos - Objetivos de países'!$J$5:$J$510,$A13)+COUNTIFS('Datos - Objetivos de países'!$B$5:$B$510,"Singapur",'Datos - Objetivos de países'!$F$5:$F$510,AQ$3,'Datos - Objetivos de países'!$K$5:$K$510,$A13)</f>
        <v/>
      </c>
      <c r="AR13" s="11">
        <f>COUNTIFS('Datos - Objetivos de países'!$B$5:$B$510,"Singapur",'Datos - Objetivos de países'!$F$5:$F$510,AR$3,'Datos - Objetivos de países'!$J$5:$J$510,$A13)+COUNTIFS('Datos - Objetivos de países'!$B$5:$B$510,"Singapur",'Datos - Objetivos de países'!$F$5:$F$510,AR$3,'Datos - Objetivos de países'!$K$5:$K$510,$A13)</f>
        <v/>
      </c>
      <c r="AS13" s="11">
        <f>COUNTIFS('Datos - Objetivos de países'!$B$5:$B$510,"Singapur",'Datos - Objetivos de países'!$F$5:$F$510,AS$3,'Datos - Objetivos de países'!$J$5:$J$510,$A13)+COUNTIFS('Datos - Objetivos de países'!$B$5:$B$510,"Singapur",'Datos - Objetivos de países'!$F$5:$F$510,AS$3,'Datos - Objetivos de países'!$K$5:$K$510,$A13)</f>
        <v/>
      </c>
      <c r="AT13" s="11">
        <f>COUNTIFS('Datos - Objetivos de países'!$B$5:$B$510,"Singapur",'Datos - Objetivos de países'!$F$5:$F$510,AT$3,'Datos - Objetivos de países'!$J$5:$J$510,$A13)+COUNTIFS('Datos - Objetivos de países'!$B$5:$B$510,"Singapur",'Datos - Objetivos de países'!$F$5:$F$510,AT$3,'Datos - Objetivos de países'!$K$5:$K$510,$A13)</f>
        <v/>
      </c>
      <c r="AU13" s="11">
        <f>COUNTIFS('Datos - Objetivos de países'!$B$5:$B$510,"Singapur",'Datos - Objetivos de países'!$F$5:$F$510,AU$3,'Datos - Objetivos de países'!$J$5:$J$510,$A13)+COUNTIFS('Datos - Objetivos de países'!$B$5:$B$510,"Singapur",'Datos - Objetivos de países'!$F$5:$F$510,AU$3,'Datos - Objetivos de países'!$K$5:$K$510,$A13)</f>
        <v/>
      </c>
      <c r="AV13" s="11">
        <f>COUNTIFS('Datos - Objetivos de países'!$B$5:$B$510,"Singapur",'Datos - Objetivos de países'!$F$5:$F$510,AV$3,'Datos - Objetivos de países'!$J$5:$J$510,$A13)+COUNTIFS('Datos - Objetivos de países'!$B$5:$B$510,"Singapur",'Datos - Objetivos de países'!$F$5:$F$510,AV$3,'Datos - Objetivos de países'!$K$5:$K$510,$A13)</f>
        <v/>
      </c>
      <c r="AW13" s="11">
        <f>COUNTIFS('Datos - Objetivos de países'!$B$5:$B$510,"Singapur",'Datos - Objetivos de países'!$F$5:$F$510,AW$3,'Datos - Objetivos de países'!$J$5:$J$510,$A13)+COUNTIFS('Datos - Objetivos de países'!$B$5:$B$510,"Singapur",'Datos - Objetivos de países'!$F$5:$F$510,AW$3,'Datos - Objetivos de países'!$K$5:$K$510,$A13)</f>
        <v/>
      </c>
    </row>
    <row r="14">
      <c r="A14" s="30" t="inlineStr">
        <is>
          <t>T4_27-B4.3</t>
        </is>
      </c>
      <c r="B14" s="30" t="inlineStr">
        <is>
          <t>T4_27</t>
        </is>
      </c>
      <c r="C14" s="30" t="inlineStr">
        <is>
          <t>Biología</t>
        </is>
      </c>
      <c r="D14" s="30" t="inlineStr">
        <is>
          <t>Impacto humano en los ecosistemas</t>
        </is>
      </c>
      <c r="E14" s="30">
        <f>IFERROR(MAX($L$3,INDEX($N$3:$V$3,MATCH(TRUE,INDEX(N14:V14&gt;0,0),0))),"—")</f>
        <v/>
      </c>
      <c r="F14" s="30">
        <f>IFERROR(MAX($L$3,INDEX($W$3:$AE$3,MATCH(TRUE,INDEX(W14:AE14&gt;0,0),0))),"—")</f>
        <v/>
      </c>
      <c r="G14" s="30">
        <f>IFERROR(MAX($L$3,INDEX($AF$3:$AN$3,MATCH(TRUE,INDEX(AF14:AN14&gt;0,0),0))),"—")</f>
        <v/>
      </c>
      <c r="H14" s="30">
        <f>IFERROR(MAX($L$3,INDEX($AO$3:$AW$3,MATCH(TRUE,INDEX(AO14:AW14&gt;0,0),0))),"—")</f>
        <v/>
      </c>
      <c r="I14" s="36">
        <f>IF(L14=0,"—",MEDIAN(F14:H14))</f>
        <v/>
      </c>
      <c r="J14" s="36">
        <f>IF(OR(E14="—",I14="—"),"—",E14-I14)</f>
        <v/>
      </c>
      <c r="K14" s="19">
        <f>IF(E14="—",IF(L14=0,"Nadie lo trabaja","El Salvador no llega"),IF(L14=0,"Solo El Salvador",IF(J14&gt;0,"El Salvador llega más tarde",IF(J14&lt;0,"El Salvador va adelantado","Mismo grado"))))</f>
        <v/>
      </c>
      <c r="L14" s="30">
        <f>COUNT(F14:H14)</f>
        <v/>
      </c>
      <c r="N14" s="11">
        <f>COUNTIFS('Datos - Temas'!$C$5:$C$1264,"Ciencias",'Datos - Temas'!$B$5:$B$1264,N$3,'Datos - Temas'!$K$5:$K$1264,$A14)+COUNTIFS('Datos - Temas'!$C$5:$C$1264,"Ciencias",'Datos - Temas'!$B$5:$B$1264,N$3,'Datos - Temas'!$L$5:$L$1264,$A14)</f>
        <v/>
      </c>
      <c r="O14" s="11">
        <f>COUNTIFS('Datos - Temas'!$C$5:$C$1264,"Ciencias",'Datos - Temas'!$B$5:$B$1264,O$3,'Datos - Temas'!$K$5:$K$1264,$A14)+COUNTIFS('Datos - Temas'!$C$5:$C$1264,"Ciencias",'Datos - Temas'!$B$5:$B$1264,O$3,'Datos - Temas'!$L$5:$L$1264,$A14)</f>
        <v/>
      </c>
      <c r="P14" s="11">
        <f>COUNTIFS('Datos - Temas'!$C$5:$C$1264,"Ciencias",'Datos - Temas'!$B$5:$B$1264,P$3,'Datos - Temas'!$K$5:$K$1264,$A14)+COUNTIFS('Datos - Temas'!$C$5:$C$1264,"Ciencias",'Datos - Temas'!$B$5:$B$1264,P$3,'Datos - Temas'!$L$5:$L$1264,$A14)</f>
        <v/>
      </c>
      <c r="Q14" s="11">
        <f>COUNTIFS('Datos - Temas'!$C$5:$C$1264,"Ciencias",'Datos - Temas'!$B$5:$B$1264,Q$3,'Datos - Temas'!$K$5:$K$1264,$A14)+COUNTIFS('Datos - Temas'!$C$5:$C$1264,"Ciencias",'Datos - Temas'!$B$5:$B$1264,Q$3,'Datos - Temas'!$L$5:$L$1264,$A14)</f>
        <v/>
      </c>
      <c r="R14" s="11">
        <f>COUNTIFS('Datos - Temas'!$C$5:$C$1264,"Ciencias",'Datos - Temas'!$B$5:$B$1264,R$3,'Datos - Temas'!$K$5:$K$1264,$A14)+COUNTIFS('Datos - Temas'!$C$5:$C$1264,"Ciencias",'Datos - Temas'!$B$5:$B$1264,R$3,'Datos - Temas'!$L$5:$L$1264,$A14)</f>
        <v/>
      </c>
      <c r="S14" s="11">
        <f>COUNTIFS('Datos - Temas'!$C$5:$C$1264,"Ciencias",'Datos - Temas'!$B$5:$B$1264,S$3,'Datos - Temas'!$K$5:$K$1264,$A14)+COUNTIFS('Datos - Temas'!$C$5:$C$1264,"Ciencias",'Datos - Temas'!$B$5:$B$1264,S$3,'Datos - Temas'!$L$5:$L$1264,$A14)</f>
        <v/>
      </c>
      <c r="T14" s="11">
        <f>COUNTIFS('Datos - Temas'!$C$5:$C$1264,"Ciencias",'Datos - Temas'!$B$5:$B$1264,T$3,'Datos - Temas'!$K$5:$K$1264,$A14)+COUNTIFS('Datos - Temas'!$C$5:$C$1264,"Ciencias",'Datos - Temas'!$B$5:$B$1264,T$3,'Datos - Temas'!$L$5:$L$1264,$A14)</f>
        <v/>
      </c>
      <c r="U14" s="11">
        <f>COUNTIFS('Datos - Temas'!$C$5:$C$1264,"Ciencias",'Datos - Temas'!$B$5:$B$1264,U$3,'Datos - Temas'!$K$5:$K$1264,$A14)+COUNTIFS('Datos - Temas'!$C$5:$C$1264,"Ciencias",'Datos - Temas'!$B$5:$B$1264,U$3,'Datos - Temas'!$L$5:$L$1264,$A14)</f>
        <v/>
      </c>
      <c r="V14" s="11">
        <f>COUNTIFS('Datos - Temas'!$C$5:$C$1264,"Ciencias",'Datos - Temas'!$B$5:$B$1264,V$3,'Datos - Temas'!$K$5:$K$1264,$A14)+COUNTIFS('Datos - Temas'!$C$5:$C$1264,"Ciencias",'Datos - Temas'!$B$5:$B$1264,V$3,'Datos - Temas'!$L$5:$L$1264,$A14)</f>
        <v/>
      </c>
      <c r="W14" s="11">
        <f>COUNTIFS('Datos - Objetivos de países'!$B$5:$B$510,"Uruguay",'Datos - Objetivos de países'!$F$5:$F$510,W$3,'Datos - Objetivos de países'!$J$5:$J$510,$A14)+COUNTIFS('Datos - Objetivos de países'!$B$5:$B$510,"Uruguay",'Datos - Objetivos de países'!$F$5:$F$510,W$3,'Datos - Objetivos de países'!$K$5:$K$510,$A14)</f>
        <v/>
      </c>
      <c r="X14" s="11">
        <f>COUNTIFS('Datos - Objetivos de países'!$B$5:$B$510,"Uruguay",'Datos - Objetivos de países'!$F$5:$F$510,X$3,'Datos - Objetivos de países'!$J$5:$J$510,$A14)+COUNTIFS('Datos - Objetivos de países'!$B$5:$B$510,"Uruguay",'Datos - Objetivos de países'!$F$5:$F$510,X$3,'Datos - Objetivos de países'!$K$5:$K$510,$A14)</f>
        <v/>
      </c>
      <c r="Y14" s="11">
        <f>COUNTIFS('Datos - Objetivos de países'!$B$5:$B$510,"Uruguay",'Datos - Objetivos de países'!$F$5:$F$510,Y$3,'Datos - Objetivos de países'!$J$5:$J$510,$A14)+COUNTIFS('Datos - Objetivos de países'!$B$5:$B$510,"Uruguay",'Datos - Objetivos de países'!$F$5:$F$510,Y$3,'Datos - Objetivos de países'!$K$5:$K$510,$A14)</f>
        <v/>
      </c>
      <c r="Z14" s="11">
        <f>COUNTIFS('Datos - Objetivos de países'!$B$5:$B$510,"Uruguay",'Datos - Objetivos de países'!$F$5:$F$510,Z$3,'Datos - Objetivos de países'!$J$5:$J$510,$A14)+COUNTIFS('Datos - Objetivos de países'!$B$5:$B$510,"Uruguay",'Datos - Objetivos de países'!$F$5:$F$510,Z$3,'Datos - Objetivos de países'!$K$5:$K$510,$A14)</f>
        <v/>
      </c>
      <c r="AA14" s="11">
        <f>COUNTIFS('Datos - Objetivos de países'!$B$5:$B$510,"Uruguay",'Datos - Objetivos de países'!$F$5:$F$510,AA$3,'Datos - Objetivos de países'!$J$5:$J$510,$A14)+COUNTIFS('Datos - Objetivos de países'!$B$5:$B$510,"Uruguay",'Datos - Objetivos de países'!$F$5:$F$510,AA$3,'Datos - Objetivos de países'!$K$5:$K$510,$A14)</f>
        <v/>
      </c>
      <c r="AB14" s="11">
        <f>COUNTIFS('Datos - Objetivos de países'!$B$5:$B$510,"Uruguay",'Datos - Objetivos de países'!$F$5:$F$510,AB$3,'Datos - Objetivos de países'!$J$5:$J$510,$A14)+COUNTIFS('Datos - Objetivos de países'!$B$5:$B$510,"Uruguay",'Datos - Objetivos de países'!$F$5:$F$510,AB$3,'Datos - Objetivos de países'!$K$5:$K$510,$A14)</f>
        <v/>
      </c>
      <c r="AC14" s="11">
        <f>COUNTIFS('Datos - Objetivos de países'!$B$5:$B$510,"Uruguay",'Datos - Objetivos de países'!$F$5:$F$510,AC$3,'Datos - Objetivos de países'!$J$5:$J$510,$A14)+COUNTIFS('Datos - Objetivos de países'!$B$5:$B$510,"Uruguay",'Datos - Objetivos de países'!$F$5:$F$510,AC$3,'Datos - Objetivos de países'!$K$5:$K$510,$A14)</f>
        <v/>
      </c>
      <c r="AD14" s="11">
        <f>COUNTIFS('Datos - Objetivos de países'!$B$5:$B$510,"Uruguay",'Datos - Objetivos de países'!$F$5:$F$510,AD$3,'Datos - Objetivos de países'!$J$5:$J$510,$A14)+COUNTIFS('Datos - Objetivos de países'!$B$5:$B$510,"Uruguay",'Datos - Objetivos de países'!$F$5:$F$510,AD$3,'Datos - Objetivos de países'!$K$5:$K$510,$A14)</f>
        <v/>
      </c>
      <c r="AE14" s="11">
        <f>COUNTIFS('Datos - Objetivos de países'!$B$5:$B$510,"Uruguay",'Datos - Objetivos de países'!$F$5:$F$510,AE$3,'Datos - Objetivos de países'!$J$5:$J$510,$A14)+COUNTIFS('Datos - Objetivos de países'!$B$5:$B$510,"Uruguay",'Datos - Objetivos de países'!$F$5:$F$510,AE$3,'Datos - Objetivos de países'!$K$5:$K$510,$A14)</f>
        <v/>
      </c>
      <c r="AF14" s="11">
        <f>COUNTIFS('Datos - Objetivos de países'!$B$5:$B$510,"Colombia",'Datos - Objetivos de países'!$F$5:$F$510,AF$3,'Datos - Objetivos de países'!$J$5:$J$510,$A14)+COUNTIFS('Datos - Objetivos de países'!$B$5:$B$510,"Colombia",'Datos - Objetivos de países'!$F$5:$F$510,AF$3,'Datos - Objetivos de países'!$K$5:$K$510,$A14)</f>
        <v/>
      </c>
      <c r="AG14" s="11">
        <f>COUNTIFS('Datos - Objetivos de países'!$B$5:$B$510,"Colombia",'Datos - Objetivos de países'!$F$5:$F$510,AG$3,'Datos - Objetivos de países'!$J$5:$J$510,$A14)+COUNTIFS('Datos - Objetivos de países'!$B$5:$B$510,"Colombia",'Datos - Objetivos de países'!$F$5:$F$510,AG$3,'Datos - Objetivos de países'!$K$5:$K$510,$A14)</f>
        <v/>
      </c>
      <c r="AH14" s="11">
        <f>COUNTIFS('Datos - Objetivos de países'!$B$5:$B$510,"Colombia",'Datos - Objetivos de países'!$F$5:$F$510,AH$3,'Datos - Objetivos de países'!$J$5:$J$510,$A14)+COUNTIFS('Datos - Objetivos de países'!$B$5:$B$510,"Colombia",'Datos - Objetivos de países'!$F$5:$F$510,AH$3,'Datos - Objetivos de países'!$K$5:$K$510,$A14)</f>
        <v/>
      </c>
      <c r="AI14" s="11">
        <f>COUNTIFS('Datos - Objetivos de países'!$B$5:$B$510,"Colombia",'Datos - Objetivos de países'!$F$5:$F$510,AI$3,'Datos - Objetivos de países'!$J$5:$J$510,$A14)+COUNTIFS('Datos - Objetivos de países'!$B$5:$B$510,"Colombia",'Datos - Objetivos de países'!$F$5:$F$510,AI$3,'Datos - Objetivos de países'!$K$5:$K$510,$A14)</f>
        <v/>
      </c>
      <c r="AJ14" s="11">
        <f>COUNTIFS('Datos - Objetivos de países'!$B$5:$B$510,"Colombia",'Datos - Objetivos de países'!$F$5:$F$510,AJ$3,'Datos - Objetivos de países'!$J$5:$J$510,$A14)+COUNTIFS('Datos - Objetivos de países'!$B$5:$B$510,"Colombia",'Datos - Objetivos de países'!$F$5:$F$510,AJ$3,'Datos - Objetivos de países'!$K$5:$K$510,$A14)</f>
        <v/>
      </c>
      <c r="AK14" s="11">
        <f>COUNTIFS('Datos - Objetivos de países'!$B$5:$B$510,"Colombia",'Datos - Objetivos de países'!$F$5:$F$510,AK$3,'Datos - Objetivos de países'!$J$5:$J$510,$A14)+COUNTIFS('Datos - Objetivos de países'!$B$5:$B$510,"Colombia",'Datos - Objetivos de países'!$F$5:$F$510,AK$3,'Datos - Objetivos de países'!$K$5:$K$510,$A14)</f>
        <v/>
      </c>
      <c r="AL14" s="11">
        <f>COUNTIFS('Datos - Objetivos de países'!$B$5:$B$510,"Colombia",'Datos - Objetivos de países'!$F$5:$F$510,AL$3,'Datos - Objetivos de países'!$J$5:$J$510,$A14)+COUNTIFS('Datos - Objetivos de países'!$B$5:$B$510,"Colombia",'Datos - Objetivos de países'!$F$5:$F$510,AL$3,'Datos - Objetivos de países'!$K$5:$K$510,$A14)</f>
        <v/>
      </c>
      <c r="AM14" s="11">
        <f>COUNTIFS('Datos - Objetivos de países'!$B$5:$B$510,"Colombia",'Datos - Objetivos de países'!$F$5:$F$510,AM$3,'Datos - Objetivos de países'!$J$5:$J$510,$A14)+COUNTIFS('Datos - Objetivos de países'!$B$5:$B$510,"Colombia",'Datos - Objetivos de países'!$F$5:$F$510,AM$3,'Datos - Objetivos de países'!$K$5:$K$510,$A14)</f>
        <v/>
      </c>
      <c r="AN14" s="11">
        <f>COUNTIFS('Datos - Objetivos de países'!$B$5:$B$510,"Colombia",'Datos - Objetivos de países'!$F$5:$F$510,AN$3,'Datos - Objetivos de países'!$J$5:$J$510,$A14)+COUNTIFS('Datos - Objetivos de países'!$B$5:$B$510,"Colombia",'Datos - Objetivos de países'!$F$5:$F$510,AN$3,'Datos - Objetivos de países'!$K$5:$K$510,$A14)</f>
        <v/>
      </c>
      <c r="AO14" s="11">
        <f>COUNTIFS('Datos - Objetivos de países'!$B$5:$B$510,"Singapur",'Datos - Objetivos de países'!$F$5:$F$510,AO$3,'Datos - Objetivos de países'!$J$5:$J$510,$A14)+COUNTIFS('Datos - Objetivos de países'!$B$5:$B$510,"Singapur",'Datos - Objetivos de países'!$F$5:$F$510,AO$3,'Datos - Objetivos de países'!$K$5:$K$510,$A14)</f>
        <v/>
      </c>
      <c r="AP14" s="11">
        <f>COUNTIFS('Datos - Objetivos de países'!$B$5:$B$510,"Singapur",'Datos - Objetivos de países'!$F$5:$F$510,AP$3,'Datos - Objetivos de países'!$J$5:$J$510,$A14)+COUNTIFS('Datos - Objetivos de países'!$B$5:$B$510,"Singapur",'Datos - Objetivos de países'!$F$5:$F$510,AP$3,'Datos - Objetivos de países'!$K$5:$K$510,$A14)</f>
        <v/>
      </c>
      <c r="AQ14" s="11">
        <f>COUNTIFS('Datos - Objetivos de países'!$B$5:$B$510,"Singapur",'Datos - Objetivos de países'!$F$5:$F$510,AQ$3,'Datos - Objetivos de países'!$J$5:$J$510,$A14)+COUNTIFS('Datos - Objetivos de países'!$B$5:$B$510,"Singapur",'Datos - Objetivos de países'!$F$5:$F$510,AQ$3,'Datos - Objetivos de países'!$K$5:$K$510,$A14)</f>
        <v/>
      </c>
      <c r="AR14" s="11">
        <f>COUNTIFS('Datos - Objetivos de países'!$B$5:$B$510,"Singapur",'Datos - Objetivos de países'!$F$5:$F$510,AR$3,'Datos - Objetivos de países'!$J$5:$J$510,$A14)+COUNTIFS('Datos - Objetivos de países'!$B$5:$B$510,"Singapur",'Datos - Objetivos de países'!$F$5:$F$510,AR$3,'Datos - Objetivos de países'!$K$5:$K$510,$A14)</f>
        <v/>
      </c>
      <c r="AS14" s="11">
        <f>COUNTIFS('Datos - Objetivos de países'!$B$5:$B$510,"Singapur",'Datos - Objetivos de países'!$F$5:$F$510,AS$3,'Datos - Objetivos de países'!$J$5:$J$510,$A14)+COUNTIFS('Datos - Objetivos de países'!$B$5:$B$510,"Singapur",'Datos - Objetivos de países'!$F$5:$F$510,AS$3,'Datos - Objetivos de países'!$K$5:$K$510,$A14)</f>
        <v/>
      </c>
      <c r="AT14" s="11">
        <f>COUNTIFS('Datos - Objetivos de países'!$B$5:$B$510,"Singapur",'Datos - Objetivos de países'!$F$5:$F$510,AT$3,'Datos - Objetivos de países'!$J$5:$J$510,$A14)+COUNTIFS('Datos - Objetivos de países'!$B$5:$B$510,"Singapur",'Datos - Objetivos de países'!$F$5:$F$510,AT$3,'Datos - Objetivos de países'!$K$5:$K$510,$A14)</f>
        <v/>
      </c>
      <c r="AU14" s="11">
        <f>COUNTIFS('Datos - Objetivos de países'!$B$5:$B$510,"Singapur",'Datos - Objetivos de países'!$F$5:$F$510,AU$3,'Datos - Objetivos de países'!$J$5:$J$510,$A14)+COUNTIFS('Datos - Objetivos de países'!$B$5:$B$510,"Singapur",'Datos - Objetivos de países'!$F$5:$F$510,AU$3,'Datos - Objetivos de países'!$K$5:$K$510,$A14)</f>
        <v/>
      </c>
      <c r="AV14" s="11">
        <f>COUNTIFS('Datos - Objetivos de países'!$B$5:$B$510,"Singapur",'Datos - Objetivos de países'!$F$5:$F$510,AV$3,'Datos - Objetivos de países'!$J$5:$J$510,$A14)+COUNTIFS('Datos - Objetivos de países'!$B$5:$B$510,"Singapur",'Datos - Objetivos de países'!$F$5:$F$510,AV$3,'Datos - Objetivos de países'!$K$5:$K$510,$A14)</f>
        <v/>
      </c>
      <c r="AW14" s="11">
        <f>COUNTIFS('Datos - Objetivos de países'!$B$5:$B$510,"Singapur",'Datos - Objetivos de países'!$F$5:$F$510,AW$3,'Datos - Objetivos de países'!$J$5:$J$510,$A14)+COUNTIFS('Datos - Objetivos de países'!$B$5:$B$510,"Singapur",'Datos - Objetivos de países'!$F$5:$F$510,AW$3,'Datos - Objetivos de países'!$K$5:$K$510,$A14)</f>
        <v/>
      </c>
    </row>
    <row r="15">
      <c r="A15" s="30" t="inlineStr">
        <is>
          <t>T4_27-B5.1</t>
        </is>
      </c>
      <c r="B15" s="30" t="inlineStr">
        <is>
          <t>T4_27</t>
        </is>
      </c>
      <c r="C15" s="30" t="inlineStr">
        <is>
          <t>Biología</t>
        </is>
      </c>
      <c r="D15" s="30" t="inlineStr">
        <is>
          <t>Transmisión y prevención de enfermedades</t>
        </is>
      </c>
      <c r="E15" s="30">
        <f>IFERROR(MAX($L$3,INDEX($N$3:$V$3,MATCH(TRUE,INDEX(N15:V15&gt;0,0),0))),"—")</f>
        <v/>
      </c>
      <c r="F15" s="30">
        <f>IFERROR(MAX($L$3,INDEX($W$3:$AE$3,MATCH(TRUE,INDEX(W15:AE15&gt;0,0),0))),"—")</f>
        <v/>
      </c>
      <c r="G15" s="30">
        <f>IFERROR(MAX($L$3,INDEX($AF$3:$AN$3,MATCH(TRUE,INDEX(AF15:AN15&gt;0,0),0))),"—")</f>
        <v/>
      </c>
      <c r="H15" s="30">
        <f>IFERROR(MAX($L$3,INDEX($AO$3:$AW$3,MATCH(TRUE,INDEX(AO15:AW15&gt;0,0),0))),"—")</f>
        <v/>
      </c>
      <c r="I15" s="36">
        <f>IF(L15=0,"—",MEDIAN(F15:H15))</f>
        <v/>
      </c>
      <c r="J15" s="36">
        <f>IF(OR(E15="—",I15="—"),"—",E15-I15)</f>
        <v/>
      </c>
      <c r="K15" s="19">
        <f>IF(E15="—",IF(L15=0,"Nadie lo trabaja","El Salvador no llega"),IF(L15=0,"Solo El Salvador",IF(J15&gt;0,"El Salvador llega más tarde",IF(J15&lt;0,"El Salvador va adelantado","Mismo grado"))))</f>
        <v/>
      </c>
      <c r="L15" s="30">
        <f>COUNT(F15:H15)</f>
        <v/>
      </c>
      <c r="N15" s="11">
        <f>COUNTIFS('Datos - Temas'!$C$5:$C$1264,"Ciencias",'Datos - Temas'!$B$5:$B$1264,N$3,'Datos - Temas'!$K$5:$K$1264,$A15)+COUNTIFS('Datos - Temas'!$C$5:$C$1264,"Ciencias",'Datos - Temas'!$B$5:$B$1264,N$3,'Datos - Temas'!$L$5:$L$1264,$A15)</f>
        <v/>
      </c>
      <c r="O15" s="11">
        <f>COUNTIFS('Datos - Temas'!$C$5:$C$1264,"Ciencias",'Datos - Temas'!$B$5:$B$1264,O$3,'Datos - Temas'!$K$5:$K$1264,$A15)+COUNTIFS('Datos - Temas'!$C$5:$C$1264,"Ciencias",'Datos - Temas'!$B$5:$B$1264,O$3,'Datos - Temas'!$L$5:$L$1264,$A15)</f>
        <v/>
      </c>
      <c r="P15" s="11">
        <f>COUNTIFS('Datos - Temas'!$C$5:$C$1264,"Ciencias",'Datos - Temas'!$B$5:$B$1264,P$3,'Datos - Temas'!$K$5:$K$1264,$A15)+COUNTIFS('Datos - Temas'!$C$5:$C$1264,"Ciencias",'Datos - Temas'!$B$5:$B$1264,P$3,'Datos - Temas'!$L$5:$L$1264,$A15)</f>
        <v/>
      </c>
      <c r="Q15" s="11">
        <f>COUNTIFS('Datos - Temas'!$C$5:$C$1264,"Ciencias",'Datos - Temas'!$B$5:$B$1264,Q$3,'Datos - Temas'!$K$5:$K$1264,$A15)+COUNTIFS('Datos - Temas'!$C$5:$C$1264,"Ciencias",'Datos - Temas'!$B$5:$B$1264,Q$3,'Datos - Temas'!$L$5:$L$1264,$A15)</f>
        <v/>
      </c>
      <c r="R15" s="11">
        <f>COUNTIFS('Datos - Temas'!$C$5:$C$1264,"Ciencias",'Datos - Temas'!$B$5:$B$1264,R$3,'Datos - Temas'!$K$5:$K$1264,$A15)+COUNTIFS('Datos - Temas'!$C$5:$C$1264,"Ciencias",'Datos - Temas'!$B$5:$B$1264,R$3,'Datos - Temas'!$L$5:$L$1264,$A15)</f>
        <v/>
      </c>
      <c r="S15" s="11">
        <f>COUNTIFS('Datos - Temas'!$C$5:$C$1264,"Ciencias",'Datos - Temas'!$B$5:$B$1264,S$3,'Datos - Temas'!$K$5:$K$1264,$A15)+COUNTIFS('Datos - Temas'!$C$5:$C$1264,"Ciencias",'Datos - Temas'!$B$5:$B$1264,S$3,'Datos - Temas'!$L$5:$L$1264,$A15)</f>
        <v/>
      </c>
      <c r="T15" s="11">
        <f>COUNTIFS('Datos - Temas'!$C$5:$C$1264,"Ciencias",'Datos - Temas'!$B$5:$B$1264,T$3,'Datos - Temas'!$K$5:$K$1264,$A15)+COUNTIFS('Datos - Temas'!$C$5:$C$1264,"Ciencias",'Datos - Temas'!$B$5:$B$1264,T$3,'Datos - Temas'!$L$5:$L$1264,$A15)</f>
        <v/>
      </c>
      <c r="U15" s="11">
        <f>COUNTIFS('Datos - Temas'!$C$5:$C$1264,"Ciencias",'Datos - Temas'!$B$5:$B$1264,U$3,'Datos - Temas'!$K$5:$K$1264,$A15)+COUNTIFS('Datos - Temas'!$C$5:$C$1264,"Ciencias",'Datos - Temas'!$B$5:$B$1264,U$3,'Datos - Temas'!$L$5:$L$1264,$A15)</f>
        <v/>
      </c>
      <c r="V15" s="11">
        <f>COUNTIFS('Datos - Temas'!$C$5:$C$1264,"Ciencias",'Datos - Temas'!$B$5:$B$1264,V$3,'Datos - Temas'!$K$5:$K$1264,$A15)+COUNTIFS('Datos - Temas'!$C$5:$C$1264,"Ciencias",'Datos - Temas'!$B$5:$B$1264,V$3,'Datos - Temas'!$L$5:$L$1264,$A15)</f>
        <v/>
      </c>
      <c r="W15" s="11">
        <f>COUNTIFS('Datos - Objetivos de países'!$B$5:$B$510,"Uruguay",'Datos - Objetivos de países'!$F$5:$F$510,W$3,'Datos - Objetivos de países'!$J$5:$J$510,$A15)+COUNTIFS('Datos - Objetivos de países'!$B$5:$B$510,"Uruguay",'Datos - Objetivos de países'!$F$5:$F$510,W$3,'Datos - Objetivos de países'!$K$5:$K$510,$A15)</f>
        <v/>
      </c>
      <c r="X15" s="11">
        <f>COUNTIFS('Datos - Objetivos de países'!$B$5:$B$510,"Uruguay",'Datos - Objetivos de países'!$F$5:$F$510,X$3,'Datos - Objetivos de países'!$J$5:$J$510,$A15)+COUNTIFS('Datos - Objetivos de países'!$B$5:$B$510,"Uruguay",'Datos - Objetivos de países'!$F$5:$F$510,X$3,'Datos - Objetivos de países'!$K$5:$K$510,$A15)</f>
        <v/>
      </c>
      <c r="Y15" s="11">
        <f>COUNTIFS('Datos - Objetivos de países'!$B$5:$B$510,"Uruguay",'Datos - Objetivos de países'!$F$5:$F$510,Y$3,'Datos - Objetivos de países'!$J$5:$J$510,$A15)+COUNTIFS('Datos - Objetivos de países'!$B$5:$B$510,"Uruguay",'Datos - Objetivos de países'!$F$5:$F$510,Y$3,'Datos - Objetivos de países'!$K$5:$K$510,$A15)</f>
        <v/>
      </c>
      <c r="Z15" s="11">
        <f>COUNTIFS('Datos - Objetivos de países'!$B$5:$B$510,"Uruguay",'Datos - Objetivos de países'!$F$5:$F$510,Z$3,'Datos - Objetivos de países'!$J$5:$J$510,$A15)+COUNTIFS('Datos - Objetivos de países'!$B$5:$B$510,"Uruguay",'Datos - Objetivos de países'!$F$5:$F$510,Z$3,'Datos - Objetivos de países'!$K$5:$K$510,$A15)</f>
        <v/>
      </c>
      <c r="AA15" s="11">
        <f>COUNTIFS('Datos - Objetivos de países'!$B$5:$B$510,"Uruguay",'Datos - Objetivos de países'!$F$5:$F$510,AA$3,'Datos - Objetivos de países'!$J$5:$J$510,$A15)+COUNTIFS('Datos - Objetivos de países'!$B$5:$B$510,"Uruguay",'Datos - Objetivos de países'!$F$5:$F$510,AA$3,'Datos - Objetivos de países'!$K$5:$K$510,$A15)</f>
        <v/>
      </c>
      <c r="AB15" s="11">
        <f>COUNTIFS('Datos - Objetivos de países'!$B$5:$B$510,"Uruguay",'Datos - Objetivos de países'!$F$5:$F$510,AB$3,'Datos - Objetivos de países'!$J$5:$J$510,$A15)+COUNTIFS('Datos - Objetivos de países'!$B$5:$B$510,"Uruguay",'Datos - Objetivos de países'!$F$5:$F$510,AB$3,'Datos - Objetivos de países'!$K$5:$K$510,$A15)</f>
        <v/>
      </c>
      <c r="AC15" s="11">
        <f>COUNTIFS('Datos - Objetivos de países'!$B$5:$B$510,"Uruguay",'Datos - Objetivos de países'!$F$5:$F$510,AC$3,'Datos - Objetivos de países'!$J$5:$J$510,$A15)+COUNTIFS('Datos - Objetivos de países'!$B$5:$B$510,"Uruguay",'Datos - Objetivos de países'!$F$5:$F$510,AC$3,'Datos - Objetivos de países'!$K$5:$K$510,$A15)</f>
        <v/>
      </c>
      <c r="AD15" s="11">
        <f>COUNTIFS('Datos - Objetivos de países'!$B$5:$B$510,"Uruguay",'Datos - Objetivos de países'!$F$5:$F$510,AD$3,'Datos - Objetivos de países'!$J$5:$J$510,$A15)+COUNTIFS('Datos - Objetivos de países'!$B$5:$B$510,"Uruguay",'Datos - Objetivos de países'!$F$5:$F$510,AD$3,'Datos - Objetivos de países'!$K$5:$K$510,$A15)</f>
        <v/>
      </c>
      <c r="AE15" s="11">
        <f>COUNTIFS('Datos - Objetivos de países'!$B$5:$B$510,"Uruguay",'Datos - Objetivos de países'!$F$5:$F$510,AE$3,'Datos - Objetivos de países'!$J$5:$J$510,$A15)+COUNTIFS('Datos - Objetivos de países'!$B$5:$B$510,"Uruguay",'Datos - Objetivos de países'!$F$5:$F$510,AE$3,'Datos - Objetivos de países'!$K$5:$K$510,$A15)</f>
        <v/>
      </c>
      <c r="AF15" s="11">
        <f>COUNTIFS('Datos - Objetivos de países'!$B$5:$B$510,"Colombia",'Datos - Objetivos de países'!$F$5:$F$510,AF$3,'Datos - Objetivos de países'!$J$5:$J$510,$A15)+COUNTIFS('Datos - Objetivos de países'!$B$5:$B$510,"Colombia",'Datos - Objetivos de países'!$F$5:$F$510,AF$3,'Datos - Objetivos de países'!$K$5:$K$510,$A15)</f>
        <v/>
      </c>
      <c r="AG15" s="11">
        <f>COUNTIFS('Datos - Objetivos de países'!$B$5:$B$510,"Colombia",'Datos - Objetivos de países'!$F$5:$F$510,AG$3,'Datos - Objetivos de países'!$J$5:$J$510,$A15)+COUNTIFS('Datos - Objetivos de países'!$B$5:$B$510,"Colombia",'Datos - Objetivos de países'!$F$5:$F$510,AG$3,'Datos - Objetivos de países'!$K$5:$K$510,$A15)</f>
        <v/>
      </c>
      <c r="AH15" s="11">
        <f>COUNTIFS('Datos - Objetivos de países'!$B$5:$B$510,"Colombia",'Datos - Objetivos de países'!$F$5:$F$510,AH$3,'Datos - Objetivos de países'!$J$5:$J$510,$A15)+COUNTIFS('Datos - Objetivos de países'!$B$5:$B$510,"Colombia",'Datos - Objetivos de países'!$F$5:$F$510,AH$3,'Datos - Objetivos de países'!$K$5:$K$510,$A15)</f>
        <v/>
      </c>
      <c r="AI15" s="11">
        <f>COUNTIFS('Datos - Objetivos de países'!$B$5:$B$510,"Colombia",'Datos - Objetivos de países'!$F$5:$F$510,AI$3,'Datos - Objetivos de países'!$J$5:$J$510,$A15)+COUNTIFS('Datos - Objetivos de países'!$B$5:$B$510,"Colombia",'Datos - Objetivos de países'!$F$5:$F$510,AI$3,'Datos - Objetivos de países'!$K$5:$K$510,$A15)</f>
        <v/>
      </c>
      <c r="AJ15" s="11">
        <f>COUNTIFS('Datos - Objetivos de países'!$B$5:$B$510,"Colombia",'Datos - Objetivos de países'!$F$5:$F$510,AJ$3,'Datos - Objetivos de países'!$J$5:$J$510,$A15)+COUNTIFS('Datos - Objetivos de países'!$B$5:$B$510,"Colombia",'Datos - Objetivos de países'!$F$5:$F$510,AJ$3,'Datos - Objetivos de países'!$K$5:$K$510,$A15)</f>
        <v/>
      </c>
      <c r="AK15" s="11">
        <f>COUNTIFS('Datos - Objetivos de países'!$B$5:$B$510,"Colombia",'Datos - Objetivos de países'!$F$5:$F$510,AK$3,'Datos - Objetivos de países'!$J$5:$J$510,$A15)+COUNTIFS('Datos - Objetivos de países'!$B$5:$B$510,"Colombia",'Datos - Objetivos de países'!$F$5:$F$510,AK$3,'Datos - Objetivos de países'!$K$5:$K$510,$A15)</f>
        <v/>
      </c>
      <c r="AL15" s="11">
        <f>COUNTIFS('Datos - Objetivos de países'!$B$5:$B$510,"Colombia",'Datos - Objetivos de países'!$F$5:$F$510,AL$3,'Datos - Objetivos de países'!$J$5:$J$510,$A15)+COUNTIFS('Datos - Objetivos de países'!$B$5:$B$510,"Colombia",'Datos - Objetivos de países'!$F$5:$F$510,AL$3,'Datos - Objetivos de países'!$K$5:$K$510,$A15)</f>
        <v/>
      </c>
      <c r="AM15" s="11">
        <f>COUNTIFS('Datos - Objetivos de países'!$B$5:$B$510,"Colombia",'Datos - Objetivos de países'!$F$5:$F$510,AM$3,'Datos - Objetivos de países'!$J$5:$J$510,$A15)+COUNTIFS('Datos - Objetivos de países'!$B$5:$B$510,"Colombia",'Datos - Objetivos de países'!$F$5:$F$510,AM$3,'Datos - Objetivos de países'!$K$5:$K$510,$A15)</f>
        <v/>
      </c>
      <c r="AN15" s="11">
        <f>COUNTIFS('Datos - Objetivos de países'!$B$5:$B$510,"Colombia",'Datos - Objetivos de países'!$F$5:$F$510,AN$3,'Datos - Objetivos de países'!$J$5:$J$510,$A15)+COUNTIFS('Datos - Objetivos de países'!$B$5:$B$510,"Colombia",'Datos - Objetivos de países'!$F$5:$F$510,AN$3,'Datos - Objetivos de países'!$K$5:$K$510,$A15)</f>
        <v/>
      </c>
      <c r="AO15" s="11">
        <f>COUNTIFS('Datos - Objetivos de países'!$B$5:$B$510,"Singapur",'Datos - Objetivos de países'!$F$5:$F$510,AO$3,'Datos - Objetivos de países'!$J$5:$J$510,$A15)+COUNTIFS('Datos - Objetivos de países'!$B$5:$B$510,"Singapur",'Datos - Objetivos de países'!$F$5:$F$510,AO$3,'Datos - Objetivos de países'!$K$5:$K$510,$A15)</f>
        <v/>
      </c>
      <c r="AP15" s="11">
        <f>COUNTIFS('Datos - Objetivos de países'!$B$5:$B$510,"Singapur",'Datos - Objetivos de países'!$F$5:$F$510,AP$3,'Datos - Objetivos de países'!$J$5:$J$510,$A15)+COUNTIFS('Datos - Objetivos de países'!$B$5:$B$510,"Singapur",'Datos - Objetivos de países'!$F$5:$F$510,AP$3,'Datos - Objetivos de países'!$K$5:$K$510,$A15)</f>
        <v/>
      </c>
      <c r="AQ15" s="11">
        <f>COUNTIFS('Datos - Objetivos de países'!$B$5:$B$510,"Singapur",'Datos - Objetivos de países'!$F$5:$F$510,AQ$3,'Datos - Objetivos de países'!$J$5:$J$510,$A15)+COUNTIFS('Datos - Objetivos de países'!$B$5:$B$510,"Singapur",'Datos - Objetivos de países'!$F$5:$F$510,AQ$3,'Datos - Objetivos de países'!$K$5:$K$510,$A15)</f>
        <v/>
      </c>
      <c r="AR15" s="11">
        <f>COUNTIFS('Datos - Objetivos de países'!$B$5:$B$510,"Singapur",'Datos - Objetivos de países'!$F$5:$F$510,AR$3,'Datos - Objetivos de países'!$J$5:$J$510,$A15)+COUNTIFS('Datos - Objetivos de países'!$B$5:$B$510,"Singapur",'Datos - Objetivos de países'!$F$5:$F$510,AR$3,'Datos - Objetivos de países'!$K$5:$K$510,$A15)</f>
        <v/>
      </c>
      <c r="AS15" s="11">
        <f>COUNTIFS('Datos - Objetivos de países'!$B$5:$B$510,"Singapur",'Datos - Objetivos de países'!$F$5:$F$510,AS$3,'Datos - Objetivos de países'!$J$5:$J$510,$A15)+COUNTIFS('Datos - Objetivos de países'!$B$5:$B$510,"Singapur",'Datos - Objetivos de países'!$F$5:$F$510,AS$3,'Datos - Objetivos de países'!$K$5:$K$510,$A15)</f>
        <v/>
      </c>
      <c r="AT15" s="11">
        <f>COUNTIFS('Datos - Objetivos de países'!$B$5:$B$510,"Singapur",'Datos - Objetivos de países'!$F$5:$F$510,AT$3,'Datos - Objetivos de países'!$J$5:$J$510,$A15)+COUNTIFS('Datos - Objetivos de países'!$B$5:$B$510,"Singapur",'Datos - Objetivos de países'!$F$5:$F$510,AT$3,'Datos - Objetivos de países'!$K$5:$K$510,$A15)</f>
        <v/>
      </c>
      <c r="AU15" s="11">
        <f>COUNTIFS('Datos - Objetivos de países'!$B$5:$B$510,"Singapur",'Datos - Objetivos de países'!$F$5:$F$510,AU$3,'Datos - Objetivos de países'!$J$5:$J$510,$A15)+COUNTIFS('Datos - Objetivos de países'!$B$5:$B$510,"Singapur",'Datos - Objetivos de países'!$F$5:$F$510,AU$3,'Datos - Objetivos de países'!$K$5:$K$510,$A15)</f>
        <v/>
      </c>
      <c r="AV15" s="11">
        <f>COUNTIFS('Datos - Objetivos de países'!$B$5:$B$510,"Singapur",'Datos - Objetivos de países'!$F$5:$F$510,AV$3,'Datos - Objetivos de países'!$J$5:$J$510,$A15)+COUNTIFS('Datos - Objetivos de países'!$B$5:$B$510,"Singapur",'Datos - Objetivos de países'!$F$5:$F$510,AV$3,'Datos - Objetivos de países'!$K$5:$K$510,$A15)</f>
        <v/>
      </c>
      <c r="AW15" s="11">
        <f>COUNTIFS('Datos - Objetivos de países'!$B$5:$B$510,"Singapur",'Datos - Objetivos de países'!$F$5:$F$510,AW$3,'Datos - Objetivos de países'!$J$5:$J$510,$A15)+COUNTIFS('Datos - Objetivos de países'!$B$5:$B$510,"Singapur",'Datos - Objetivos de países'!$F$5:$F$510,AW$3,'Datos - Objetivos de países'!$K$5:$K$510,$A15)</f>
        <v/>
      </c>
    </row>
    <row r="16">
      <c r="A16" s="30" t="inlineStr">
        <is>
          <t>T4_27-B5.2</t>
        </is>
      </c>
      <c r="B16" s="30" t="inlineStr">
        <is>
          <t>T4_27</t>
        </is>
      </c>
      <c r="C16" s="30" t="inlineStr">
        <is>
          <t>Biología</t>
        </is>
      </c>
      <c r="D16" s="30" t="inlineStr">
        <is>
          <t>Hábitos para mantener una buena salud</t>
        </is>
      </c>
      <c r="E16" s="30">
        <f>IFERROR(MAX($L$3,INDEX($N$3:$V$3,MATCH(TRUE,INDEX(N16:V16&gt;0,0),0))),"—")</f>
        <v/>
      </c>
      <c r="F16" s="30">
        <f>IFERROR(MAX($L$3,INDEX($W$3:$AE$3,MATCH(TRUE,INDEX(W16:AE16&gt;0,0),0))),"—")</f>
        <v/>
      </c>
      <c r="G16" s="30">
        <f>IFERROR(MAX($L$3,INDEX($AF$3:$AN$3,MATCH(TRUE,INDEX(AF16:AN16&gt;0,0),0))),"—")</f>
        <v/>
      </c>
      <c r="H16" s="30">
        <f>IFERROR(MAX($L$3,INDEX($AO$3:$AW$3,MATCH(TRUE,INDEX(AO16:AW16&gt;0,0),0))),"—")</f>
        <v/>
      </c>
      <c r="I16" s="36">
        <f>IF(L16=0,"—",MEDIAN(F16:H16))</f>
        <v/>
      </c>
      <c r="J16" s="36">
        <f>IF(OR(E16="—",I16="—"),"—",E16-I16)</f>
        <v/>
      </c>
      <c r="K16" s="19">
        <f>IF(E16="—",IF(L16=0,"Nadie lo trabaja","El Salvador no llega"),IF(L16=0,"Solo El Salvador",IF(J16&gt;0,"El Salvador llega más tarde",IF(J16&lt;0,"El Salvador va adelantado","Mismo grado"))))</f>
        <v/>
      </c>
      <c r="L16" s="30">
        <f>COUNT(F16:H16)</f>
        <v/>
      </c>
      <c r="N16" s="11">
        <f>COUNTIFS('Datos - Temas'!$C$5:$C$1264,"Ciencias",'Datos - Temas'!$B$5:$B$1264,N$3,'Datos - Temas'!$K$5:$K$1264,$A16)+COUNTIFS('Datos - Temas'!$C$5:$C$1264,"Ciencias",'Datos - Temas'!$B$5:$B$1264,N$3,'Datos - Temas'!$L$5:$L$1264,$A16)</f>
        <v/>
      </c>
      <c r="O16" s="11">
        <f>COUNTIFS('Datos - Temas'!$C$5:$C$1264,"Ciencias",'Datos - Temas'!$B$5:$B$1264,O$3,'Datos - Temas'!$K$5:$K$1264,$A16)+COUNTIFS('Datos - Temas'!$C$5:$C$1264,"Ciencias",'Datos - Temas'!$B$5:$B$1264,O$3,'Datos - Temas'!$L$5:$L$1264,$A16)</f>
        <v/>
      </c>
      <c r="P16" s="11">
        <f>COUNTIFS('Datos - Temas'!$C$5:$C$1264,"Ciencias",'Datos - Temas'!$B$5:$B$1264,P$3,'Datos - Temas'!$K$5:$K$1264,$A16)+COUNTIFS('Datos - Temas'!$C$5:$C$1264,"Ciencias",'Datos - Temas'!$B$5:$B$1264,P$3,'Datos - Temas'!$L$5:$L$1264,$A16)</f>
        <v/>
      </c>
      <c r="Q16" s="11">
        <f>COUNTIFS('Datos - Temas'!$C$5:$C$1264,"Ciencias",'Datos - Temas'!$B$5:$B$1264,Q$3,'Datos - Temas'!$K$5:$K$1264,$A16)+COUNTIFS('Datos - Temas'!$C$5:$C$1264,"Ciencias",'Datos - Temas'!$B$5:$B$1264,Q$3,'Datos - Temas'!$L$5:$L$1264,$A16)</f>
        <v/>
      </c>
      <c r="R16" s="11">
        <f>COUNTIFS('Datos - Temas'!$C$5:$C$1264,"Ciencias",'Datos - Temas'!$B$5:$B$1264,R$3,'Datos - Temas'!$K$5:$K$1264,$A16)+COUNTIFS('Datos - Temas'!$C$5:$C$1264,"Ciencias",'Datos - Temas'!$B$5:$B$1264,R$3,'Datos - Temas'!$L$5:$L$1264,$A16)</f>
        <v/>
      </c>
      <c r="S16" s="11">
        <f>COUNTIFS('Datos - Temas'!$C$5:$C$1264,"Ciencias",'Datos - Temas'!$B$5:$B$1264,S$3,'Datos - Temas'!$K$5:$K$1264,$A16)+COUNTIFS('Datos - Temas'!$C$5:$C$1264,"Ciencias",'Datos - Temas'!$B$5:$B$1264,S$3,'Datos - Temas'!$L$5:$L$1264,$A16)</f>
        <v/>
      </c>
      <c r="T16" s="11">
        <f>COUNTIFS('Datos - Temas'!$C$5:$C$1264,"Ciencias",'Datos - Temas'!$B$5:$B$1264,T$3,'Datos - Temas'!$K$5:$K$1264,$A16)+COUNTIFS('Datos - Temas'!$C$5:$C$1264,"Ciencias",'Datos - Temas'!$B$5:$B$1264,T$3,'Datos - Temas'!$L$5:$L$1264,$A16)</f>
        <v/>
      </c>
      <c r="U16" s="11">
        <f>COUNTIFS('Datos - Temas'!$C$5:$C$1264,"Ciencias",'Datos - Temas'!$B$5:$B$1264,U$3,'Datos - Temas'!$K$5:$K$1264,$A16)+COUNTIFS('Datos - Temas'!$C$5:$C$1264,"Ciencias",'Datos - Temas'!$B$5:$B$1264,U$3,'Datos - Temas'!$L$5:$L$1264,$A16)</f>
        <v/>
      </c>
      <c r="V16" s="11">
        <f>COUNTIFS('Datos - Temas'!$C$5:$C$1264,"Ciencias",'Datos - Temas'!$B$5:$B$1264,V$3,'Datos - Temas'!$K$5:$K$1264,$A16)+COUNTIFS('Datos - Temas'!$C$5:$C$1264,"Ciencias",'Datos - Temas'!$B$5:$B$1264,V$3,'Datos - Temas'!$L$5:$L$1264,$A16)</f>
        <v/>
      </c>
      <c r="W16" s="11">
        <f>COUNTIFS('Datos - Objetivos de países'!$B$5:$B$510,"Uruguay",'Datos - Objetivos de países'!$F$5:$F$510,W$3,'Datos - Objetivos de países'!$J$5:$J$510,$A16)+COUNTIFS('Datos - Objetivos de países'!$B$5:$B$510,"Uruguay",'Datos - Objetivos de países'!$F$5:$F$510,W$3,'Datos - Objetivos de países'!$K$5:$K$510,$A16)</f>
        <v/>
      </c>
      <c r="X16" s="11">
        <f>COUNTIFS('Datos - Objetivos de países'!$B$5:$B$510,"Uruguay",'Datos - Objetivos de países'!$F$5:$F$510,X$3,'Datos - Objetivos de países'!$J$5:$J$510,$A16)+COUNTIFS('Datos - Objetivos de países'!$B$5:$B$510,"Uruguay",'Datos - Objetivos de países'!$F$5:$F$510,X$3,'Datos - Objetivos de países'!$K$5:$K$510,$A16)</f>
        <v/>
      </c>
      <c r="Y16" s="11">
        <f>COUNTIFS('Datos - Objetivos de países'!$B$5:$B$510,"Uruguay",'Datos - Objetivos de países'!$F$5:$F$510,Y$3,'Datos - Objetivos de países'!$J$5:$J$510,$A16)+COUNTIFS('Datos - Objetivos de países'!$B$5:$B$510,"Uruguay",'Datos - Objetivos de países'!$F$5:$F$510,Y$3,'Datos - Objetivos de países'!$K$5:$K$510,$A16)</f>
        <v/>
      </c>
      <c r="Z16" s="11">
        <f>COUNTIFS('Datos - Objetivos de países'!$B$5:$B$510,"Uruguay",'Datos - Objetivos de países'!$F$5:$F$510,Z$3,'Datos - Objetivos de países'!$J$5:$J$510,$A16)+COUNTIFS('Datos - Objetivos de países'!$B$5:$B$510,"Uruguay",'Datos - Objetivos de países'!$F$5:$F$510,Z$3,'Datos - Objetivos de países'!$K$5:$K$510,$A16)</f>
        <v/>
      </c>
      <c r="AA16" s="11">
        <f>COUNTIFS('Datos - Objetivos de países'!$B$5:$B$510,"Uruguay",'Datos - Objetivos de países'!$F$5:$F$510,AA$3,'Datos - Objetivos de países'!$J$5:$J$510,$A16)+COUNTIFS('Datos - Objetivos de países'!$B$5:$B$510,"Uruguay",'Datos - Objetivos de países'!$F$5:$F$510,AA$3,'Datos - Objetivos de países'!$K$5:$K$510,$A16)</f>
        <v/>
      </c>
      <c r="AB16" s="11">
        <f>COUNTIFS('Datos - Objetivos de países'!$B$5:$B$510,"Uruguay",'Datos - Objetivos de países'!$F$5:$F$510,AB$3,'Datos - Objetivos de países'!$J$5:$J$510,$A16)+COUNTIFS('Datos - Objetivos de países'!$B$5:$B$510,"Uruguay",'Datos - Objetivos de países'!$F$5:$F$510,AB$3,'Datos - Objetivos de países'!$K$5:$K$510,$A16)</f>
        <v/>
      </c>
      <c r="AC16" s="11">
        <f>COUNTIFS('Datos - Objetivos de países'!$B$5:$B$510,"Uruguay",'Datos - Objetivos de países'!$F$5:$F$510,AC$3,'Datos - Objetivos de países'!$J$5:$J$510,$A16)+COUNTIFS('Datos - Objetivos de países'!$B$5:$B$510,"Uruguay",'Datos - Objetivos de países'!$F$5:$F$510,AC$3,'Datos - Objetivos de países'!$K$5:$K$510,$A16)</f>
        <v/>
      </c>
      <c r="AD16" s="11">
        <f>COUNTIFS('Datos - Objetivos de países'!$B$5:$B$510,"Uruguay",'Datos - Objetivos de países'!$F$5:$F$510,AD$3,'Datos - Objetivos de países'!$J$5:$J$510,$A16)+COUNTIFS('Datos - Objetivos de países'!$B$5:$B$510,"Uruguay",'Datos - Objetivos de países'!$F$5:$F$510,AD$3,'Datos - Objetivos de países'!$K$5:$K$510,$A16)</f>
        <v/>
      </c>
      <c r="AE16" s="11">
        <f>COUNTIFS('Datos - Objetivos de países'!$B$5:$B$510,"Uruguay",'Datos - Objetivos de países'!$F$5:$F$510,AE$3,'Datos - Objetivos de países'!$J$5:$J$510,$A16)+COUNTIFS('Datos - Objetivos de países'!$B$5:$B$510,"Uruguay",'Datos - Objetivos de países'!$F$5:$F$510,AE$3,'Datos - Objetivos de países'!$K$5:$K$510,$A16)</f>
        <v/>
      </c>
      <c r="AF16" s="11">
        <f>COUNTIFS('Datos - Objetivos de países'!$B$5:$B$510,"Colombia",'Datos - Objetivos de países'!$F$5:$F$510,AF$3,'Datos - Objetivos de países'!$J$5:$J$510,$A16)+COUNTIFS('Datos - Objetivos de países'!$B$5:$B$510,"Colombia",'Datos - Objetivos de países'!$F$5:$F$510,AF$3,'Datos - Objetivos de países'!$K$5:$K$510,$A16)</f>
        <v/>
      </c>
      <c r="AG16" s="11">
        <f>COUNTIFS('Datos - Objetivos de países'!$B$5:$B$510,"Colombia",'Datos - Objetivos de países'!$F$5:$F$510,AG$3,'Datos - Objetivos de países'!$J$5:$J$510,$A16)+COUNTIFS('Datos - Objetivos de países'!$B$5:$B$510,"Colombia",'Datos - Objetivos de países'!$F$5:$F$510,AG$3,'Datos - Objetivos de países'!$K$5:$K$510,$A16)</f>
        <v/>
      </c>
      <c r="AH16" s="11">
        <f>COUNTIFS('Datos - Objetivos de países'!$B$5:$B$510,"Colombia",'Datos - Objetivos de países'!$F$5:$F$510,AH$3,'Datos - Objetivos de países'!$J$5:$J$510,$A16)+COUNTIFS('Datos - Objetivos de países'!$B$5:$B$510,"Colombia",'Datos - Objetivos de países'!$F$5:$F$510,AH$3,'Datos - Objetivos de países'!$K$5:$K$510,$A16)</f>
        <v/>
      </c>
      <c r="AI16" s="11">
        <f>COUNTIFS('Datos - Objetivos de países'!$B$5:$B$510,"Colombia",'Datos - Objetivos de países'!$F$5:$F$510,AI$3,'Datos - Objetivos de países'!$J$5:$J$510,$A16)+COUNTIFS('Datos - Objetivos de países'!$B$5:$B$510,"Colombia",'Datos - Objetivos de países'!$F$5:$F$510,AI$3,'Datos - Objetivos de países'!$K$5:$K$510,$A16)</f>
        <v/>
      </c>
      <c r="AJ16" s="11">
        <f>COUNTIFS('Datos - Objetivos de países'!$B$5:$B$510,"Colombia",'Datos - Objetivos de países'!$F$5:$F$510,AJ$3,'Datos - Objetivos de países'!$J$5:$J$510,$A16)+COUNTIFS('Datos - Objetivos de países'!$B$5:$B$510,"Colombia",'Datos - Objetivos de países'!$F$5:$F$510,AJ$3,'Datos - Objetivos de países'!$K$5:$K$510,$A16)</f>
        <v/>
      </c>
      <c r="AK16" s="11">
        <f>COUNTIFS('Datos - Objetivos de países'!$B$5:$B$510,"Colombia",'Datos - Objetivos de países'!$F$5:$F$510,AK$3,'Datos - Objetivos de países'!$J$5:$J$510,$A16)+COUNTIFS('Datos - Objetivos de países'!$B$5:$B$510,"Colombia",'Datos - Objetivos de países'!$F$5:$F$510,AK$3,'Datos - Objetivos de países'!$K$5:$K$510,$A16)</f>
        <v/>
      </c>
      <c r="AL16" s="11">
        <f>COUNTIFS('Datos - Objetivos de países'!$B$5:$B$510,"Colombia",'Datos - Objetivos de países'!$F$5:$F$510,AL$3,'Datos - Objetivos de países'!$J$5:$J$510,$A16)+COUNTIFS('Datos - Objetivos de países'!$B$5:$B$510,"Colombia",'Datos - Objetivos de países'!$F$5:$F$510,AL$3,'Datos - Objetivos de países'!$K$5:$K$510,$A16)</f>
        <v/>
      </c>
      <c r="AM16" s="11">
        <f>COUNTIFS('Datos - Objetivos de países'!$B$5:$B$510,"Colombia",'Datos - Objetivos de países'!$F$5:$F$510,AM$3,'Datos - Objetivos de países'!$J$5:$J$510,$A16)+COUNTIFS('Datos - Objetivos de países'!$B$5:$B$510,"Colombia",'Datos - Objetivos de países'!$F$5:$F$510,AM$3,'Datos - Objetivos de países'!$K$5:$K$510,$A16)</f>
        <v/>
      </c>
      <c r="AN16" s="11">
        <f>COUNTIFS('Datos - Objetivos de países'!$B$5:$B$510,"Colombia",'Datos - Objetivos de países'!$F$5:$F$510,AN$3,'Datos - Objetivos de países'!$J$5:$J$510,$A16)+COUNTIFS('Datos - Objetivos de países'!$B$5:$B$510,"Colombia",'Datos - Objetivos de países'!$F$5:$F$510,AN$3,'Datos - Objetivos de países'!$K$5:$K$510,$A16)</f>
        <v/>
      </c>
      <c r="AO16" s="11">
        <f>COUNTIFS('Datos - Objetivos de países'!$B$5:$B$510,"Singapur",'Datos - Objetivos de países'!$F$5:$F$510,AO$3,'Datos - Objetivos de países'!$J$5:$J$510,$A16)+COUNTIFS('Datos - Objetivos de países'!$B$5:$B$510,"Singapur",'Datos - Objetivos de países'!$F$5:$F$510,AO$3,'Datos - Objetivos de países'!$K$5:$K$510,$A16)</f>
        <v/>
      </c>
      <c r="AP16" s="11">
        <f>COUNTIFS('Datos - Objetivos de países'!$B$5:$B$510,"Singapur",'Datos - Objetivos de países'!$F$5:$F$510,AP$3,'Datos - Objetivos de países'!$J$5:$J$510,$A16)+COUNTIFS('Datos - Objetivos de países'!$B$5:$B$510,"Singapur",'Datos - Objetivos de países'!$F$5:$F$510,AP$3,'Datos - Objetivos de países'!$K$5:$K$510,$A16)</f>
        <v/>
      </c>
      <c r="AQ16" s="11">
        <f>COUNTIFS('Datos - Objetivos de países'!$B$5:$B$510,"Singapur",'Datos - Objetivos de países'!$F$5:$F$510,AQ$3,'Datos - Objetivos de países'!$J$5:$J$510,$A16)+COUNTIFS('Datos - Objetivos de países'!$B$5:$B$510,"Singapur",'Datos - Objetivos de países'!$F$5:$F$510,AQ$3,'Datos - Objetivos de países'!$K$5:$K$510,$A16)</f>
        <v/>
      </c>
      <c r="AR16" s="11">
        <f>COUNTIFS('Datos - Objetivos de países'!$B$5:$B$510,"Singapur",'Datos - Objetivos de países'!$F$5:$F$510,AR$3,'Datos - Objetivos de países'!$J$5:$J$510,$A16)+COUNTIFS('Datos - Objetivos de países'!$B$5:$B$510,"Singapur",'Datos - Objetivos de países'!$F$5:$F$510,AR$3,'Datos - Objetivos de países'!$K$5:$K$510,$A16)</f>
        <v/>
      </c>
      <c r="AS16" s="11">
        <f>COUNTIFS('Datos - Objetivos de países'!$B$5:$B$510,"Singapur",'Datos - Objetivos de países'!$F$5:$F$510,AS$3,'Datos - Objetivos de países'!$J$5:$J$510,$A16)+COUNTIFS('Datos - Objetivos de países'!$B$5:$B$510,"Singapur",'Datos - Objetivos de países'!$F$5:$F$510,AS$3,'Datos - Objetivos de países'!$K$5:$K$510,$A16)</f>
        <v/>
      </c>
      <c r="AT16" s="11">
        <f>COUNTIFS('Datos - Objetivos de países'!$B$5:$B$510,"Singapur",'Datos - Objetivos de países'!$F$5:$F$510,AT$3,'Datos - Objetivos de países'!$J$5:$J$510,$A16)+COUNTIFS('Datos - Objetivos de países'!$B$5:$B$510,"Singapur",'Datos - Objetivos de países'!$F$5:$F$510,AT$3,'Datos - Objetivos de países'!$K$5:$K$510,$A16)</f>
        <v/>
      </c>
      <c r="AU16" s="11">
        <f>COUNTIFS('Datos - Objetivos de países'!$B$5:$B$510,"Singapur",'Datos - Objetivos de países'!$F$5:$F$510,AU$3,'Datos - Objetivos de países'!$J$5:$J$510,$A16)+COUNTIFS('Datos - Objetivos de países'!$B$5:$B$510,"Singapur",'Datos - Objetivos de países'!$F$5:$F$510,AU$3,'Datos - Objetivos de países'!$K$5:$K$510,$A16)</f>
        <v/>
      </c>
      <c r="AV16" s="11">
        <f>COUNTIFS('Datos - Objetivos de países'!$B$5:$B$510,"Singapur",'Datos - Objetivos de países'!$F$5:$F$510,AV$3,'Datos - Objetivos de países'!$J$5:$J$510,$A16)+COUNTIFS('Datos - Objetivos de países'!$B$5:$B$510,"Singapur",'Datos - Objetivos de países'!$F$5:$F$510,AV$3,'Datos - Objetivos de países'!$K$5:$K$510,$A16)</f>
        <v/>
      </c>
      <c r="AW16" s="11">
        <f>COUNTIFS('Datos - Objetivos de países'!$B$5:$B$510,"Singapur",'Datos - Objetivos de países'!$F$5:$F$510,AW$3,'Datos - Objetivos de países'!$J$5:$J$510,$A16)+COUNTIFS('Datos - Objetivos de países'!$B$5:$B$510,"Singapur",'Datos - Objetivos de países'!$F$5:$F$510,AW$3,'Datos - Objetivos de países'!$K$5:$K$510,$A16)</f>
        <v/>
      </c>
    </row>
    <row r="17">
      <c r="A17" s="30" t="inlineStr">
        <is>
          <t>T4_27-B6.1</t>
        </is>
      </c>
      <c r="B17" s="30" t="inlineStr">
        <is>
          <t>T4_27</t>
        </is>
      </c>
      <c r="C17" s="30" t="inlineStr">
        <is>
          <t>Biología</t>
        </is>
      </c>
      <c r="D17" s="30" t="inlineStr">
        <is>
          <t>Rasgos y equipo de una investigación biológica</t>
        </is>
      </c>
      <c r="E17" s="30">
        <f>IFERROR(MAX($L$3,INDEX($N$3:$V$3,MATCH(TRUE,INDEX(N17:V17&gt;0,0),0))),"—")</f>
        <v/>
      </c>
      <c r="F17" s="30">
        <f>IFERROR(MAX($L$3,INDEX($W$3:$AE$3,MATCH(TRUE,INDEX(W17:AE17&gt;0,0),0))),"—")</f>
        <v/>
      </c>
      <c r="G17" s="30">
        <f>IFERROR(MAX($L$3,INDEX($AF$3:$AN$3,MATCH(TRUE,INDEX(AF17:AN17&gt;0,0),0))),"—")</f>
        <v/>
      </c>
      <c r="H17" s="30">
        <f>IFERROR(MAX($L$3,INDEX($AO$3:$AW$3,MATCH(TRUE,INDEX(AO17:AW17&gt;0,0),0))),"—")</f>
        <v/>
      </c>
      <c r="I17" s="36">
        <f>IF(L17=0,"—",MEDIAN(F17:H17))</f>
        <v/>
      </c>
      <c r="J17" s="36">
        <f>IF(OR(E17="—",I17="—"),"—",E17-I17)</f>
        <v/>
      </c>
      <c r="K17" s="19">
        <f>IF(E17="—",IF(L17=0,"Nadie lo trabaja","El Salvador no llega"),IF(L17=0,"Solo El Salvador",IF(J17&gt;0,"El Salvador llega más tarde",IF(J17&lt;0,"El Salvador va adelantado","Mismo grado"))))</f>
        <v/>
      </c>
      <c r="L17" s="30">
        <f>COUNT(F17:H17)</f>
        <v/>
      </c>
      <c r="N17" s="11">
        <f>COUNTIFS('Datos - Temas'!$C$5:$C$1264,"Ciencias",'Datos - Temas'!$B$5:$B$1264,N$3,'Datos - Temas'!$K$5:$K$1264,$A17)+COUNTIFS('Datos - Temas'!$C$5:$C$1264,"Ciencias",'Datos - Temas'!$B$5:$B$1264,N$3,'Datos - Temas'!$L$5:$L$1264,$A17)</f>
        <v/>
      </c>
      <c r="O17" s="11">
        <f>COUNTIFS('Datos - Temas'!$C$5:$C$1264,"Ciencias",'Datos - Temas'!$B$5:$B$1264,O$3,'Datos - Temas'!$K$5:$K$1264,$A17)+COUNTIFS('Datos - Temas'!$C$5:$C$1264,"Ciencias",'Datos - Temas'!$B$5:$B$1264,O$3,'Datos - Temas'!$L$5:$L$1264,$A17)</f>
        <v/>
      </c>
      <c r="P17" s="11">
        <f>COUNTIFS('Datos - Temas'!$C$5:$C$1264,"Ciencias",'Datos - Temas'!$B$5:$B$1264,P$3,'Datos - Temas'!$K$5:$K$1264,$A17)+COUNTIFS('Datos - Temas'!$C$5:$C$1264,"Ciencias",'Datos - Temas'!$B$5:$B$1264,P$3,'Datos - Temas'!$L$5:$L$1264,$A17)</f>
        <v/>
      </c>
      <c r="Q17" s="11">
        <f>COUNTIFS('Datos - Temas'!$C$5:$C$1264,"Ciencias",'Datos - Temas'!$B$5:$B$1264,Q$3,'Datos - Temas'!$K$5:$K$1264,$A17)+COUNTIFS('Datos - Temas'!$C$5:$C$1264,"Ciencias",'Datos - Temas'!$B$5:$B$1264,Q$3,'Datos - Temas'!$L$5:$L$1264,$A17)</f>
        <v/>
      </c>
      <c r="R17" s="11">
        <f>COUNTIFS('Datos - Temas'!$C$5:$C$1264,"Ciencias",'Datos - Temas'!$B$5:$B$1264,R$3,'Datos - Temas'!$K$5:$K$1264,$A17)+COUNTIFS('Datos - Temas'!$C$5:$C$1264,"Ciencias",'Datos - Temas'!$B$5:$B$1264,R$3,'Datos - Temas'!$L$5:$L$1264,$A17)</f>
        <v/>
      </c>
      <c r="S17" s="11">
        <f>COUNTIFS('Datos - Temas'!$C$5:$C$1264,"Ciencias",'Datos - Temas'!$B$5:$B$1264,S$3,'Datos - Temas'!$K$5:$K$1264,$A17)+COUNTIFS('Datos - Temas'!$C$5:$C$1264,"Ciencias",'Datos - Temas'!$B$5:$B$1264,S$3,'Datos - Temas'!$L$5:$L$1264,$A17)</f>
        <v/>
      </c>
      <c r="T17" s="11">
        <f>COUNTIFS('Datos - Temas'!$C$5:$C$1264,"Ciencias",'Datos - Temas'!$B$5:$B$1264,T$3,'Datos - Temas'!$K$5:$K$1264,$A17)+COUNTIFS('Datos - Temas'!$C$5:$C$1264,"Ciencias",'Datos - Temas'!$B$5:$B$1264,T$3,'Datos - Temas'!$L$5:$L$1264,$A17)</f>
        <v/>
      </c>
      <c r="U17" s="11">
        <f>COUNTIFS('Datos - Temas'!$C$5:$C$1264,"Ciencias",'Datos - Temas'!$B$5:$B$1264,U$3,'Datos - Temas'!$K$5:$K$1264,$A17)+COUNTIFS('Datos - Temas'!$C$5:$C$1264,"Ciencias",'Datos - Temas'!$B$5:$B$1264,U$3,'Datos - Temas'!$L$5:$L$1264,$A17)</f>
        <v/>
      </c>
      <c r="V17" s="11">
        <f>COUNTIFS('Datos - Temas'!$C$5:$C$1264,"Ciencias",'Datos - Temas'!$B$5:$B$1264,V$3,'Datos - Temas'!$K$5:$K$1264,$A17)+COUNTIFS('Datos - Temas'!$C$5:$C$1264,"Ciencias",'Datos - Temas'!$B$5:$B$1264,V$3,'Datos - Temas'!$L$5:$L$1264,$A17)</f>
        <v/>
      </c>
      <c r="W17" s="11">
        <f>COUNTIFS('Datos - Objetivos de países'!$B$5:$B$510,"Uruguay",'Datos - Objetivos de países'!$F$5:$F$510,W$3,'Datos - Objetivos de países'!$J$5:$J$510,$A17)+COUNTIFS('Datos - Objetivos de países'!$B$5:$B$510,"Uruguay",'Datos - Objetivos de países'!$F$5:$F$510,W$3,'Datos - Objetivos de países'!$K$5:$K$510,$A17)</f>
        <v/>
      </c>
      <c r="X17" s="11">
        <f>COUNTIFS('Datos - Objetivos de países'!$B$5:$B$510,"Uruguay",'Datos - Objetivos de países'!$F$5:$F$510,X$3,'Datos - Objetivos de países'!$J$5:$J$510,$A17)+COUNTIFS('Datos - Objetivos de países'!$B$5:$B$510,"Uruguay",'Datos - Objetivos de países'!$F$5:$F$510,X$3,'Datos - Objetivos de países'!$K$5:$K$510,$A17)</f>
        <v/>
      </c>
      <c r="Y17" s="11">
        <f>COUNTIFS('Datos - Objetivos de países'!$B$5:$B$510,"Uruguay",'Datos - Objetivos de países'!$F$5:$F$510,Y$3,'Datos - Objetivos de países'!$J$5:$J$510,$A17)+COUNTIFS('Datos - Objetivos de países'!$B$5:$B$510,"Uruguay",'Datos - Objetivos de países'!$F$5:$F$510,Y$3,'Datos - Objetivos de países'!$K$5:$K$510,$A17)</f>
        <v/>
      </c>
      <c r="Z17" s="11">
        <f>COUNTIFS('Datos - Objetivos de países'!$B$5:$B$510,"Uruguay",'Datos - Objetivos de países'!$F$5:$F$510,Z$3,'Datos - Objetivos de países'!$J$5:$J$510,$A17)+COUNTIFS('Datos - Objetivos de países'!$B$5:$B$510,"Uruguay",'Datos - Objetivos de países'!$F$5:$F$510,Z$3,'Datos - Objetivos de países'!$K$5:$K$510,$A17)</f>
        <v/>
      </c>
      <c r="AA17" s="11">
        <f>COUNTIFS('Datos - Objetivos de países'!$B$5:$B$510,"Uruguay",'Datos - Objetivos de países'!$F$5:$F$510,AA$3,'Datos - Objetivos de países'!$J$5:$J$510,$A17)+COUNTIFS('Datos - Objetivos de países'!$B$5:$B$510,"Uruguay",'Datos - Objetivos de países'!$F$5:$F$510,AA$3,'Datos - Objetivos de países'!$K$5:$K$510,$A17)</f>
        <v/>
      </c>
      <c r="AB17" s="11">
        <f>COUNTIFS('Datos - Objetivos de países'!$B$5:$B$510,"Uruguay",'Datos - Objetivos de países'!$F$5:$F$510,AB$3,'Datos - Objetivos de países'!$J$5:$J$510,$A17)+COUNTIFS('Datos - Objetivos de países'!$B$5:$B$510,"Uruguay",'Datos - Objetivos de países'!$F$5:$F$510,AB$3,'Datos - Objetivos de países'!$K$5:$K$510,$A17)</f>
        <v/>
      </c>
      <c r="AC17" s="11">
        <f>COUNTIFS('Datos - Objetivos de países'!$B$5:$B$510,"Uruguay",'Datos - Objetivos de países'!$F$5:$F$510,AC$3,'Datos - Objetivos de países'!$J$5:$J$510,$A17)+COUNTIFS('Datos - Objetivos de países'!$B$5:$B$510,"Uruguay",'Datos - Objetivos de países'!$F$5:$F$510,AC$3,'Datos - Objetivos de países'!$K$5:$K$510,$A17)</f>
        <v/>
      </c>
      <c r="AD17" s="11">
        <f>COUNTIFS('Datos - Objetivos de países'!$B$5:$B$510,"Uruguay",'Datos - Objetivos de países'!$F$5:$F$510,AD$3,'Datos - Objetivos de países'!$J$5:$J$510,$A17)+COUNTIFS('Datos - Objetivos de países'!$B$5:$B$510,"Uruguay",'Datos - Objetivos de países'!$F$5:$F$510,AD$3,'Datos - Objetivos de países'!$K$5:$K$510,$A17)</f>
        <v/>
      </c>
      <c r="AE17" s="11">
        <f>COUNTIFS('Datos - Objetivos de países'!$B$5:$B$510,"Uruguay",'Datos - Objetivos de países'!$F$5:$F$510,AE$3,'Datos - Objetivos de países'!$J$5:$J$510,$A17)+COUNTIFS('Datos - Objetivos de países'!$B$5:$B$510,"Uruguay",'Datos - Objetivos de países'!$F$5:$F$510,AE$3,'Datos - Objetivos de países'!$K$5:$K$510,$A17)</f>
        <v/>
      </c>
      <c r="AF17" s="11">
        <f>COUNTIFS('Datos - Objetivos de países'!$B$5:$B$510,"Colombia",'Datos - Objetivos de países'!$F$5:$F$510,AF$3,'Datos - Objetivos de países'!$J$5:$J$510,$A17)+COUNTIFS('Datos - Objetivos de países'!$B$5:$B$510,"Colombia",'Datos - Objetivos de países'!$F$5:$F$510,AF$3,'Datos - Objetivos de países'!$K$5:$K$510,$A17)</f>
        <v/>
      </c>
      <c r="AG17" s="11">
        <f>COUNTIFS('Datos - Objetivos de países'!$B$5:$B$510,"Colombia",'Datos - Objetivos de países'!$F$5:$F$510,AG$3,'Datos - Objetivos de países'!$J$5:$J$510,$A17)+COUNTIFS('Datos - Objetivos de países'!$B$5:$B$510,"Colombia",'Datos - Objetivos de países'!$F$5:$F$510,AG$3,'Datos - Objetivos de países'!$K$5:$K$510,$A17)</f>
        <v/>
      </c>
      <c r="AH17" s="11">
        <f>COUNTIFS('Datos - Objetivos de países'!$B$5:$B$510,"Colombia",'Datos - Objetivos de países'!$F$5:$F$510,AH$3,'Datos - Objetivos de países'!$J$5:$J$510,$A17)+COUNTIFS('Datos - Objetivos de países'!$B$5:$B$510,"Colombia",'Datos - Objetivos de países'!$F$5:$F$510,AH$3,'Datos - Objetivos de países'!$K$5:$K$510,$A17)</f>
        <v/>
      </c>
      <c r="AI17" s="11">
        <f>COUNTIFS('Datos - Objetivos de países'!$B$5:$B$510,"Colombia",'Datos - Objetivos de países'!$F$5:$F$510,AI$3,'Datos - Objetivos de países'!$J$5:$J$510,$A17)+COUNTIFS('Datos - Objetivos de países'!$B$5:$B$510,"Colombia",'Datos - Objetivos de países'!$F$5:$F$510,AI$3,'Datos - Objetivos de países'!$K$5:$K$510,$A17)</f>
        <v/>
      </c>
      <c r="AJ17" s="11">
        <f>COUNTIFS('Datos - Objetivos de países'!$B$5:$B$510,"Colombia",'Datos - Objetivos de países'!$F$5:$F$510,AJ$3,'Datos - Objetivos de países'!$J$5:$J$510,$A17)+COUNTIFS('Datos - Objetivos de países'!$B$5:$B$510,"Colombia",'Datos - Objetivos de países'!$F$5:$F$510,AJ$3,'Datos - Objetivos de países'!$K$5:$K$510,$A17)</f>
        <v/>
      </c>
      <c r="AK17" s="11">
        <f>COUNTIFS('Datos - Objetivos de países'!$B$5:$B$510,"Colombia",'Datos - Objetivos de países'!$F$5:$F$510,AK$3,'Datos - Objetivos de países'!$J$5:$J$510,$A17)+COUNTIFS('Datos - Objetivos de países'!$B$5:$B$510,"Colombia",'Datos - Objetivos de países'!$F$5:$F$510,AK$3,'Datos - Objetivos de países'!$K$5:$K$510,$A17)</f>
        <v/>
      </c>
      <c r="AL17" s="11">
        <f>COUNTIFS('Datos - Objetivos de países'!$B$5:$B$510,"Colombia",'Datos - Objetivos de países'!$F$5:$F$510,AL$3,'Datos - Objetivos de países'!$J$5:$J$510,$A17)+COUNTIFS('Datos - Objetivos de países'!$B$5:$B$510,"Colombia",'Datos - Objetivos de países'!$F$5:$F$510,AL$3,'Datos - Objetivos de países'!$K$5:$K$510,$A17)</f>
        <v/>
      </c>
      <c r="AM17" s="11">
        <f>COUNTIFS('Datos - Objetivos de países'!$B$5:$B$510,"Colombia",'Datos - Objetivos de países'!$F$5:$F$510,AM$3,'Datos - Objetivos de países'!$J$5:$J$510,$A17)+COUNTIFS('Datos - Objetivos de países'!$B$5:$B$510,"Colombia",'Datos - Objetivos de países'!$F$5:$F$510,AM$3,'Datos - Objetivos de países'!$K$5:$K$510,$A17)</f>
        <v/>
      </c>
      <c r="AN17" s="11">
        <f>COUNTIFS('Datos - Objetivos de países'!$B$5:$B$510,"Colombia",'Datos - Objetivos de países'!$F$5:$F$510,AN$3,'Datos - Objetivos de países'!$J$5:$J$510,$A17)+COUNTIFS('Datos - Objetivos de países'!$B$5:$B$510,"Colombia",'Datos - Objetivos de países'!$F$5:$F$510,AN$3,'Datos - Objetivos de países'!$K$5:$K$510,$A17)</f>
        <v/>
      </c>
      <c r="AO17" s="11">
        <f>COUNTIFS('Datos - Objetivos de países'!$B$5:$B$510,"Singapur",'Datos - Objetivos de países'!$F$5:$F$510,AO$3,'Datos - Objetivos de países'!$J$5:$J$510,$A17)+COUNTIFS('Datos - Objetivos de países'!$B$5:$B$510,"Singapur",'Datos - Objetivos de países'!$F$5:$F$510,AO$3,'Datos - Objetivos de países'!$K$5:$K$510,$A17)</f>
        <v/>
      </c>
      <c r="AP17" s="11">
        <f>COUNTIFS('Datos - Objetivos de países'!$B$5:$B$510,"Singapur",'Datos - Objetivos de países'!$F$5:$F$510,AP$3,'Datos - Objetivos de países'!$J$5:$J$510,$A17)+COUNTIFS('Datos - Objetivos de países'!$B$5:$B$510,"Singapur",'Datos - Objetivos de países'!$F$5:$F$510,AP$3,'Datos - Objetivos de países'!$K$5:$K$510,$A17)</f>
        <v/>
      </c>
      <c r="AQ17" s="11">
        <f>COUNTIFS('Datos - Objetivos de países'!$B$5:$B$510,"Singapur",'Datos - Objetivos de países'!$F$5:$F$510,AQ$3,'Datos - Objetivos de países'!$J$5:$J$510,$A17)+COUNTIFS('Datos - Objetivos de países'!$B$5:$B$510,"Singapur",'Datos - Objetivos de países'!$F$5:$F$510,AQ$3,'Datos - Objetivos de países'!$K$5:$K$510,$A17)</f>
        <v/>
      </c>
      <c r="AR17" s="11">
        <f>COUNTIFS('Datos - Objetivos de países'!$B$5:$B$510,"Singapur",'Datos - Objetivos de países'!$F$5:$F$510,AR$3,'Datos - Objetivos de países'!$J$5:$J$510,$A17)+COUNTIFS('Datos - Objetivos de países'!$B$5:$B$510,"Singapur",'Datos - Objetivos de países'!$F$5:$F$510,AR$3,'Datos - Objetivos de países'!$K$5:$K$510,$A17)</f>
        <v/>
      </c>
      <c r="AS17" s="11">
        <f>COUNTIFS('Datos - Objetivos de países'!$B$5:$B$510,"Singapur",'Datos - Objetivos de países'!$F$5:$F$510,AS$3,'Datos - Objetivos de países'!$J$5:$J$510,$A17)+COUNTIFS('Datos - Objetivos de países'!$B$5:$B$510,"Singapur",'Datos - Objetivos de países'!$F$5:$F$510,AS$3,'Datos - Objetivos de países'!$K$5:$K$510,$A17)</f>
        <v/>
      </c>
      <c r="AT17" s="11">
        <f>COUNTIFS('Datos - Objetivos de países'!$B$5:$B$510,"Singapur",'Datos - Objetivos de países'!$F$5:$F$510,AT$3,'Datos - Objetivos de países'!$J$5:$J$510,$A17)+COUNTIFS('Datos - Objetivos de países'!$B$5:$B$510,"Singapur",'Datos - Objetivos de países'!$F$5:$F$510,AT$3,'Datos - Objetivos de países'!$K$5:$K$510,$A17)</f>
        <v/>
      </c>
      <c r="AU17" s="11">
        <f>COUNTIFS('Datos - Objetivos de países'!$B$5:$B$510,"Singapur",'Datos - Objetivos de países'!$F$5:$F$510,AU$3,'Datos - Objetivos de países'!$J$5:$J$510,$A17)+COUNTIFS('Datos - Objetivos de países'!$B$5:$B$510,"Singapur",'Datos - Objetivos de países'!$F$5:$F$510,AU$3,'Datos - Objetivos de países'!$K$5:$K$510,$A17)</f>
        <v/>
      </c>
      <c r="AV17" s="11">
        <f>COUNTIFS('Datos - Objetivos de países'!$B$5:$B$510,"Singapur",'Datos - Objetivos de países'!$F$5:$F$510,AV$3,'Datos - Objetivos de países'!$J$5:$J$510,$A17)+COUNTIFS('Datos - Objetivos de países'!$B$5:$B$510,"Singapur",'Datos - Objetivos de países'!$F$5:$F$510,AV$3,'Datos - Objetivos de países'!$K$5:$K$510,$A17)</f>
        <v/>
      </c>
      <c r="AW17" s="11">
        <f>COUNTIFS('Datos - Objetivos de países'!$B$5:$B$510,"Singapur",'Datos - Objetivos de países'!$F$5:$F$510,AW$3,'Datos - Objetivos de países'!$J$5:$J$510,$A17)+COUNTIFS('Datos - Objetivos de países'!$B$5:$B$510,"Singapur",'Datos - Objetivos de países'!$F$5:$F$510,AW$3,'Datos - Objetivos de países'!$K$5:$K$510,$A17)</f>
        <v/>
      </c>
    </row>
    <row r="18">
      <c r="A18" s="30" t="inlineStr">
        <is>
          <t>T4_27-P1.1</t>
        </is>
      </c>
      <c r="B18" s="30" t="inlineStr">
        <is>
          <t>T4_27</t>
        </is>
      </c>
      <c r="C18" s="30" t="inlineStr">
        <is>
          <t>Ciencias físicas</t>
        </is>
      </c>
      <c r="D18" s="30" t="inlineStr">
        <is>
          <t>Estados de la materia</t>
        </is>
      </c>
      <c r="E18" s="30">
        <f>IFERROR(MAX($L$3,INDEX($N$3:$V$3,MATCH(TRUE,INDEX(N18:V18&gt;0,0),0))),"—")</f>
        <v/>
      </c>
      <c r="F18" s="30">
        <f>IFERROR(MAX($L$3,INDEX($W$3:$AE$3,MATCH(TRUE,INDEX(W18:AE18&gt;0,0),0))),"—")</f>
        <v/>
      </c>
      <c r="G18" s="30">
        <f>IFERROR(MAX($L$3,INDEX($AF$3:$AN$3,MATCH(TRUE,INDEX(AF18:AN18&gt;0,0),0))),"—")</f>
        <v/>
      </c>
      <c r="H18" s="30">
        <f>IFERROR(MAX($L$3,INDEX($AO$3:$AW$3,MATCH(TRUE,INDEX(AO18:AW18&gt;0,0),0))),"—")</f>
        <v/>
      </c>
      <c r="I18" s="36">
        <f>IF(L18=0,"—",MEDIAN(F18:H18))</f>
        <v/>
      </c>
      <c r="J18" s="36">
        <f>IF(OR(E18="—",I18="—"),"—",E18-I18)</f>
        <v/>
      </c>
      <c r="K18" s="19">
        <f>IF(E18="—",IF(L18=0,"Nadie lo trabaja","El Salvador no llega"),IF(L18=0,"Solo El Salvador",IF(J18&gt;0,"El Salvador llega más tarde",IF(J18&lt;0,"El Salvador va adelantado","Mismo grado"))))</f>
        <v/>
      </c>
      <c r="L18" s="30">
        <f>COUNT(F18:H18)</f>
        <v/>
      </c>
      <c r="N18" s="11">
        <f>COUNTIFS('Datos - Temas'!$C$5:$C$1264,"Ciencias",'Datos - Temas'!$B$5:$B$1264,N$3,'Datos - Temas'!$K$5:$K$1264,$A18)+COUNTIFS('Datos - Temas'!$C$5:$C$1264,"Ciencias",'Datos - Temas'!$B$5:$B$1264,N$3,'Datos - Temas'!$L$5:$L$1264,$A18)</f>
        <v/>
      </c>
      <c r="O18" s="11">
        <f>COUNTIFS('Datos - Temas'!$C$5:$C$1264,"Ciencias",'Datos - Temas'!$B$5:$B$1264,O$3,'Datos - Temas'!$K$5:$K$1264,$A18)+COUNTIFS('Datos - Temas'!$C$5:$C$1264,"Ciencias",'Datos - Temas'!$B$5:$B$1264,O$3,'Datos - Temas'!$L$5:$L$1264,$A18)</f>
        <v/>
      </c>
      <c r="P18" s="11">
        <f>COUNTIFS('Datos - Temas'!$C$5:$C$1264,"Ciencias",'Datos - Temas'!$B$5:$B$1264,P$3,'Datos - Temas'!$K$5:$K$1264,$A18)+COUNTIFS('Datos - Temas'!$C$5:$C$1264,"Ciencias",'Datos - Temas'!$B$5:$B$1264,P$3,'Datos - Temas'!$L$5:$L$1264,$A18)</f>
        <v/>
      </c>
      <c r="Q18" s="11">
        <f>COUNTIFS('Datos - Temas'!$C$5:$C$1264,"Ciencias",'Datos - Temas'!$B$5:$B$1264,Q$3,'Datos - Temas'!$K$5:$K$1264,$A18)+COUNTIFS('Datos - Temas'!$C$5:$C$1264,"Ciencias",'Datos - Temas'!$B$5:$B$1264,Q$3,'Datos - Temas'!$L$5:$L$1264,$A18)</f>
        <v/>
      </c>
      <c r="R18" s="11">
        <f>COUNTIFS('Datos - Temas'!$C$5:$C$1264,"Ciencias",'Datos - Temas'!$B$5:$B$1264,R$3,'Datos - Temas'!$K$5:$K$1264,$A18)+COUNTIFS('Datos - Temas'!$C$5:$C$1264,"Ciencias",'Datos - Temas'!$B$5:$B$1264,R$3,'Datos - Temas'!$L$5:$L$1264,$A18)</f>
        <v/>
      </c>
      <c r="S18" s="11">
        <f>COUNTIFS('Datos - Temas'!$C$5:$C$1264,"Ciencias",'Datos - Temas'!$B$5:$B$1264,S$3,'Datos - Temas'!$K$5:$K$1264,$A18)+COUNTIFS('Datos - Temas'!$C$5:$C$1264,"Ciencias",'Datos - Temas'!$B$5:$B$1264,S$3,'Datos - Temas'!$L$5:$L$1264,$A18)</f>
        <v/>
      </c>
      <c r="T18" s="11">
        <f>COUNTIFS('Datos - Temas'!$C$5:$C$1264,"Ciencias",'Datos - Temas'!$B$5:$B$1264,T$3,'Datos - Temas'!$K$5:$K$1264,$A18)+COUNTIFS('Datos - Temas'!$C$5:$C$1264,"Ciencias",'Datos - Temas'!$B$5:$B$1264,T$3,'Datos - Temas'!$L$5:$L$1264,$A18)</f>
        <v/>
      </c>
      <c r="U18" s="11">
        <f>COUNTIFS('Datos - Temas'!$C$5:$C$1264,"Ciencias",'Datos - Temas'!$B$5:$B$1264,U$3,'Datos - Temas'!$K$5:$K$1264,$A18)+COUNTIFS('Datos - Temas'!$C$5:$C$1264,"Ciencias",'Datos - Temas'!$B$5:$B$1264,U$3,'Datos - Temas'!$L$5:$L$1264,$A18)</f>
        <v/>
      </c>
      <c r="V18" s="11">
        <f>COUNTIFS('Datos - Temas'!$C$5:$C$1264,"Ciencias",'Datos - Temas'!$B$5:$B$1264,V$3,'Datos - Temas'!$K$5:$K$1264,$A18)+COUNTIFS('Datos - Temas'!$C$5:$C$1264,"Ciencias",'Datos - Temas'!$B$5:$B$1264,V$3,'Datos - Temas'!$L$5:$L$1264,$A18)</f>
        <v/>
      </c>
      <c r="W18" s="11">
        <f>COUNTIFS('Datos - Objetivos de países'!$B$5:$B$510,"Uruguay",'Datos - Objetivos de países'!$F$5:$F$510,W$3,'Datos - Objetivos de países'!$J$5:$J$510,$A18)+COUNTIFS('Datos - Objetivos de países'!$B$5:$B$510,"Uruguay",'Datos - Objetivos de países'!$F$5:$F$510,W$3,'Datos - Objetivos de países'!$K$5:$K$510,$A18)</f>
        <v/>
      </c>
      <c r="X18" s="11">
        <f>COUNTIFS('Datos - Objetivos de países'!$B$5:$B$510,"Uruguay",'Datos - Objetivos de países'!$F$5:$F$510,X$3,'Datos - Objetivos de países'!$J$5:$J$510,$A18)+COUNTIFS('Datos - Objetivos de países'!$B$5:$B$510,"Uruguay",'Datos - Objetivos de países'!$F$5:$F$510,X$3,'Datos - Objetivos de países'!$K$5:$K$510,$A18)</f>
        <v/>
      </c>
      <c r="Y18" s="11">
        <f>COUNTIFS('Datos - Objetivos de países'!$B$5:$B$510,"Uruguay",'Datos - Objetivos de países'!$F$5:$F$510,Y$3,'Datos - Objetivos de países'!$J$5:$J$510,$A18)+COUNTIFS('Datos - Objetivos de países'!$B$5:$B$510,"Uruguay",'Datos - Objetivos de países'!$F$5:$F$510,Y$3,'Datos - Objetivos de países'!$K$5:$K$510,$A18)</f>
        <v/>
      </c>
      <c r="Z18" s="11">
        <f>COUNTIFS('Datos - Objetivos de países'!$B$5:$B$510,"Uruguay",'Datos - Objetivos de países'!$F$5:$F$510,Z$3,'Datos - Objetivos de países'!$J$5:$J$510,$A18)+COUNTIFS('Datos - Objetivos de países'!$B$5:$B$510,"Uruguay",'Datos - Objetivos de países'!$F$5:$F$510,Z$3,'Datos - Objetivos de países'!$K$5:$K$510,$A18)</f>
        <v/>
      </c>
      <c r="AA18" s="11">
        <f>COUNTIFS('Datos - Objetivos de países'!$B$5:$B$510,"Uruguay",'Datos - Objetivos de países'!$F$5:$F$510,AA$3,'Datos - Objetivos de países'!$J$5:$J$510,$A18)+COUNTIFS('Datos - Objetivos de países'!$B$5:$B$510,"Uruguay",'Datos - Objetivos de países'!$F$5:$F$510,AA$3,'Datos - Objetivos de países'!$K$5:$K$510,$A18)</f>
        <v/>
      </c>
      <c r="AB18" s="11">
        <f>COUNTIFS('Datos - Objetivos de países'!$B$5:$B$510,"Uruguay",'Datos - Objetivos de países'!$F$5:$F$510,AB$3,'Datos - Objetivos de países'!$J$5:$J$510,$A18)+COUNTIFS('Datos - Objetivos de países'!$B$5:$B$510,"Uruguay",'Datos - Objetivos de países'!$F$5:$F$510,AB$3,'Datos - Objetivos de países'!$K$5:$K$510,$A18)</f>
        <v/>
      </c>
      <c r="AC18" s="11">
        <f>COUNTIFS('Datos - Objetivos de países'!$B$5:$B$510,"Uruguay",'Datos - Objetivos de países'!$F$5:$F$510,AC$3,'Datos - Objetivos de países'!$J$5:$J$510,$A18)+COUNTIFS('Datos - Objetivos de países'!$B$5:$B$510,"Uruguay",'Datos - Objetivos de países'!$F$5:$F$510,AC$3,'Datos - Objetivos de países'!$K$5:$K$510,$A18)</f>
        <v/>
      </c>
      <c r="AD18" s="11">
        <f>COUNTIFS('Datos - Objetivos de países'!$B$5:$B$510,"Uruguay",'Datos - Objetivos de países'!$F$5:$F$510,AD$3,'Datos - Objetivos de países'!$J$5:$J$510,$A18)+COUNTIFS('Datos - Objetivos de países'!$B$5:$B$510,"Uruguay",'Datos - Objetivos de países'!$F$5:$F$510,AD$3,'Datos - Objetivos de países'!$K$5:$K$510,$A18)</f>
        <v/>
      </c>
      <c r="AE18" s="11">
        <f>COUNTIFS('Datos - Objetivos de países'!$B$5:$B$510,"Uruguay",'Datos - Objetivos de países'!$F$5:$F$510,AE$3,'Datos - Objetivos de países'!$J$5:$J$510,$A18)+COUNTIFS('Datos - Objetivos de países'!$B$5:$B$510,"Uruguay",'Datos - Objetivos de países'!$F$5:$F$510,AE$3,'Datos - Objetivos de países'!$K$5:$K$510,$A18)</f>
        <v/>
      </c>
      <c r="AF18" s="11">
        <f>COUNTIFS('Datos - Objetivos de países'!$B$5:$B$510,"Colombia",'Datos - Objetivos de países'!$F$5:$F$510,AF$3,'Datos - Objetivos de países'!$J$5:$J$510,$A18)+COUNTIFS('Datos - Objetivos de países'!$B$5:$B$510,"Colombia",'Datos - Objetivos de países'!$F$5:$F$510,AF$3,'Datos - Objetivos de países'!$K$5:$K$510,$A18)</f>
        <v/>
      </c>
      <c r="AG18" s="11">
        <f>COUNTIFS('Datos - Objetivos de países'!$B$5:$B$510,"Colombia",'Datos - Objetivos de países'!$F$5:$F$510,AG$3,'Datos - Objetivos de países'!$J$5:$J$510,$A18)+COUNTIFS('Datos - Objetivos de países'!$B$5:$B$510,"Colombia",'Datos - Objetivos de países'!$F$5:$F$510,AG$3,'Datos - Objetivos de países'!$K$5:$K$510,$A18)</f>
        <v/>
      </c>
      <c r="AH18" s="11">
        <f>COUNTIFS('Datos - Objetivos de países'!$B$5:$B$510,"Colombia",'Datos - Objetivos de países'!$F$5:$F$510,AH$3,'Datos - Objetivos de países'!$J$5:$J$510,$A18)+COUNTIFS('Datos - Objetivos de países'!$B$5:$B$510,"Colombia",'Datos - Objetivos de países'!$F$5:$F$510,AH$3,'Datos - Objetivos de países'!$K$5:$K$510,$A18)</f>
        <v/>
      </c>
      <c r="AI18" s="11">
        <f>COUNTIFS('Datos - Objetivos de países'!$B$5:$B$510,"Colombia",'Datos - Objetivos de países'!$F$5:$F$510,AI$3,'Datos - Objetivos de países'!$J$5:$J$510,$A18)+COUNTIFS('Datos - Objetivos de países'!$B$5:$B$510,"Colombia",'Datos - Objetivos de países'!$F$5:$F$510,AI$3,'Datos - Objetivos de países'!$K$5:$K$510,$A18)</f>
        <v/>
      </c>
      <c r="AJ18" s="11">
        <f>COUNTIFS('Datos - Objetivos de países'!$B$5:$B$510,"Colombia",'Datos - Objetivos de países'!$F$5:$F$510,AJ$3,'Datos - Objetivos de países'!$J$5:$J$510,$A18)+COUNTIFS('Datos - Objetivos de países'!$B$5:$B$510,"Colombia",'Datos - Objetivos de países'!$F$5:$F$510,AJ$3,'Datos - Objetivos de países'!$K$5:$K$510,$A18)</f>
        <v/>
      </c>
      <c r="AK18" s="11">
        <f>COUNTIFS('Datos - Objetivos de países'!$B$5:$B$510,"Colombia",'Datos - Objetivos de países'!$F$5:$F$510,AK$3,'Datos - Objetivos de países'!$J$5:$J$510,$A18)+COUNTIFS('Datos - Objetivos de países'!$B$5:$B$510,"Colombia",'Datos - Objetivos de países'!$F$5:$F$510,AK$3,'Datos - Objetivos de países'!$K$5:$K$510,$A18)</f>
        <v/>
      </c>
      <c r="AL18" s="11">
        <f>COUNTIFS('Datos - Objetivos de países'!$B$5:$B$510,"Colombia",'Datos - Objetivos de países'!$F$5:$F$510,AL$3,'Datos - Objetivos de países'!$J$5:$J$510,$A18)+COUNTIFS('Datos - Objetivos de países'!$B$5:$B$510,"Colombia",'Datos - Objetivos de países'!$F$5:$F$510,AL$3,'Datos - Objetivos de países'!$K$5:$K$510,$A18)</f>
        <v/>
      </c>
      <c r="AM18" s="11">
        <f>COUNTIFS('Datos - Objetivos de países'!$B$5:$B$510,"Colombia",'Datos - Objetivos de países'!$F$5:$F$510,AM$3,'Datos - Objetivos de países'!$J$5:$J$510,$A18)+COUNTIFS('Datos - Objetivos de países'!$B$5:$B$510,"Colombia",'Datos - Objetivos de países'!$F$5:$F$510,AM$3,'Datos - Objetivos de países'!$K$5:$K$510,$A18)</f>
        <v/>
      </c>
      <c r="AN18" s="11">
        <f>COUNTIFS('Datos - Objetivos de países'!$B$5:$B$510,"Colombia",'Datos - Objetivos de países'!$F$5:$F$510,AN$3,'Datos - Objetivos de países'!$J$5:$J$510,$A18)+COUNTIFS('Datos - Objetivos de países'!$B$5:$B$510,"Colombia",'Datos - Objetivos de países'!$F$5:$F$510,AN$3,'Datos - Objetivos de países'!$K$5:$K$510,$A18)</f>
        <v/>
      </c>
      <c r="AO18" s="11">
        <f>COUNTIFS('Datos - Objetivos de países'!$B$5:$B$510,"Singapur",'Datos - Objetivos de países'!$F$5:$F$510,AO$3,'Datos - Objetivos de países'!$J$5:$J$510,$A18)+COUNTIFS('Datos - Objetivos de países'!$B$5:$B$510,"Singapur",'Datos - Objetivos de países'!$F$5:$F$510,AO$3,'Datos - Objetivos de países'!$K$5:$K$510,$A18)</f>
        <v/>
      </c>
      <c r="AP18" s="11">
        <f>COUNTIFS('Datos - Objetivos de países'!$B$5:$B$510,"Singapur",'Datos - Objetivos de países'!$F$5:$F$510,AP$3,'Datos - Objetivos de países'!$J$5:$J$510,$A18)+COUNTIFS('Datos - Objetivos de países'!$B$5:$B$510,"Singapur",'Datos - Objetivos de países'!$F$5:$F$510,AP$3,'Datos - Objetivos de países'!$K$5:$K$510,$A18)</f>
        <v/>
      </c>
      <c r="AQ18" s="11">
        <f>COUNTIFS('Datos - Objetivos de países'!$B$5:$B$510,"Singapur",'Datos - Objetivos de países'!$F$5:$F$510,AQ$3,'Datos - Objetivos de países'!$J$5:$J$510,$A18)+COUNTIFS('Datos - Objetivos de países'!$B$5:$B$510,"Singapur",'Datos - Objetivos de países'!$F$5:$F$510,AQ$3,'Datos - Objetivos de países'!$K$5:$K$510,$A18)</f>
        <v/>
      </c>
      <c r="AR18" s="11">
        <f>COUNTIFS('Datos - Objetivos de países'!$B$5:$B$510,"Singapur",'Datos - Objetivos de países'!$F$5:$F$510,AR$3,'Datos - Objetivos de países'!$J$5:$J$510,$A18)+COUNTIFS('Datos - Objetivos de países'!$B$5:$B$510,"Singapur",'Datos - Objetivos de países'!$F$5:$F$510,AR$3,'Datos - Objetivos de países'!$K$5:$K$510,$A18)</f>
        <v/>
      </c>
      <c r="AS18" s="11">
        <f>COUNTIFS('Datos - Objetivos de países'!$B$5:$B$510,"Singapur",'Datos - Objetivos de países'!$F$5:$F$510,AS$3,'Datos - Objetivos de países'!$J$5:$J$510,$A18)+COUNTIFS('Datos - Objetivos de países'!$B$5:$B$510,"Singapur",'Datos - Objetivos de países'!$F$5:$F$510,AS$3,'Datos - Objetivos de países'!$K$5:$K$510,$A18)</f>
        <v/>
      </c>
      <c r="AT18" s="11">
        <f>COUNTIFS('Datos - Objetivos de países'!$B$5:$B$510,"Singapur",'Datos - Objetivos de países'!$F$5:$F$510,AT$3,'Datos - Objetivos de países'!$J$5:$J$510,$A18)+COUNTIFS('Datos - Objetivos de países'!$B$5:$B$510,"Singapur",'Datos - Objetivos de países'!$F$5:$F$510,AT$3,'Datos - Objetivos de países'!$K$5:$K$510,$A18)</f>
        <v/>
      </c>
      <c r="AU18" s="11">
        <f>COUNTIFS('Datos - Objetivos de países'!$B$5:$B$510,"Singapur",'Datos - Objetivos de países'!$F$5:$F$510,AU$3,'Datos - Objetivos de países'!$J$5:$J$510,$A18)+COUNTIFS('Datos - Objetivos de países'!$B$5:$B$510,"Singapur",'Datos - Objetivos de países'!$F$5:$F$510,AU$3,'Datos - Objetivos de países'!$K$5:$K$510,$A18)</f>
        <v/>
      </c>
      <c r="AV18" s="11">
        <f>COUNTIFS('Datos - Objetivos de países'!$B$5:$B$510,"Singapur",'Datos - Objetivos de países'!$F$5:$F$510,AV$3,'Datos - Objetivos de países'!$J$5:$J$510,$A18)+COUNTIFS('Datos - Objetivos de países'!$B$5:$B$510,"Singapur",'Datos - Objetivos de países'!$F$5:$F$510,AV$3,'Datos - Objetivos de países'!$K$5:$K$510,$A18)</f>
        <v/>
      </c>
      <c r="AW18" s="11">
        <f>COUNTIFS('Datos - Objetivos de países'!$B$5:$B$510,"Singapur",'Datos - Objetivos de países'!$F$5:$F$510,AW$3,'Datos - Objetivos de países'!$J$5:$J$510,$A18)+COUNTIFS('Datos - Objetivos de países'!$B$5:$B$510,"Singapur",'Datos - Objetivos de países'!$F$5:$F$510,AW$3,'Datos - Objetivos de países'!$K$5:$K$510,$A18)</f>
        <v/>
      </c>
    </row>
    <row r="19">
      <c r="A19" s="30" t="inlineStr">
        <is>
          <t>T4_27-P1.2</t>
        </is>
      </c>
      <c r="B19" s="30" t="inlineStr">
        <is>
          <t>T4_27</t>
        </is>
      </c>
      <c r="C19" s="30" t="inlineStr">
        <is>
          <t>Ciencias físicas</t>
        </is>
      </c>
      <c r="D19" s="30" t="inlineStr">
        <is>
          <t>Propiedades físicas para clasificar la materia</t>
        </is>
      </c>
      <c r="E19" s="30">
        <f>IFERROR(MAX($L$3,INDEX($N$3:$V$3,MATCH(TRUE,INDEX(N19:V19&gt;0,0),0))),"—")</f>
        <v/>
      </c>
      <c r="F19" s="30">
        <f>IFERROR(MAX($L$3,INDEX($W$3:$AE$3,MATCH(TRUE,INDEX(W19:AE19&gt;0,0),0))),"—")</f>
        <v/>
      </c>
      <c r="G19" s="30">
        <f>IFERROR(MAX($L$3,INDEX($AF$3:$AN$3,MATCH(TRUE,INDEX(AF19:AN19&gt;0,0),0))),"—")</f>
        <v/>
      </c>
      <c r="H19" s="30">
        <f>IFERROR(MAX($L$3,INDEX($AO$3:$AW$3,MATCH(TRUE,INDEX(AO19:AW19&gt;0,0),0))),"—")</f>
        <v/>
      </c>
      <c r="I19" s="36">
        <f>IF(L19=0,"—",MEDIAN(F19:H19))</f>
        <v/>
      </c>
      <c r="J19" s="36">
        <f>IF(OR(E19="—",I19="—"),"—",E19-I19)</f>
        <v/>
      </c>
      <c r="K19" s="19">
        <f>IF(E19="—",IF(L19=0,"Nadie lo trabaja","El Salvador no llega"),IF(L19=0,"Solo El Salvador",IF(J19&gt;0,"El Salvador llega más tarde",IF(J19&lt;0,"El Salvador va adelantado","Mismo grado"))))</f>
        <v/>
      </c>
      <c r="L19" s="30">
        <f>COUNT(F19:H19)</f>
        <v/>
      </c>
      <c r="N19" s="11">
        <f>COUNTIFS('Datos - Temas'!$C$5:$C$1264,"Ciencias",'Datos - Temas'!$B$5:$B$1264,N$3,'Datos - Temas'!$K$5:$K$1264,$A19)+COUNTIFS('Datos - Temas'!$C$5:$C$1264,"Ciencias",'Datos - Temas'!$B$5:$B$1264,N$3,'Datos - Temas'!$L$5:$L$1264,$A19)</f>
        <v/>
      </c>
      <c r="O19" s="11">
        <f>COUNTIFS('Datos - Temas'!$C$5:$C$1264,"Ciencias",'Datos - Temas'!$B$5:$B$1264,O$3,'Datos - Temas'!$K$5:$K$1264,$A19)+COUNTIFS('Datos - Temas'!$C$5:$C$1264,"Ciencias",'Datos - Temas'!$B$5:$B$1264,O$3,'Datos - Temas'!$L$5:$L$1264,$A19)</f>
        <v/>
      </c>
      <c r="P19" s="11">
        <f>COUNTIFS('Datos - Temas'!$C$5:$C$1264,"Ciencias",'Datos - Temas'!$B$5:$B$1264,P$3,'Datos - Temas'!$K$5:$K$1264,$A19)+COUNTIFS('Datos - Temas'!$C$5:$C$1264,"Ciencias",'Datos - Temas'!$B$5:$B$1264,P$3,'Datos - Temas'!$L$5:$L$1264,$A19)</f>
        <v/>
      </c>
      <c r="Q19" s="11">
        <f>COUNTIFS('Datos - Temas'!$C$5:$C$1264,"Ciencias",'Datos - Temas'!$B$5:$B$1264,Q$3,'Datos - Temas'!$K$5:$K$1264,$A19)+COUNTIFS('Datos - Temas'!$C$5:$C$1264,"Ciencias",'Datos - Temas'!$B$5:$B$1264,Q$3,'Datos - Temas'!$L$5:$L$1264,$A19)</f>
        <v/>
      </c>
      <c r="R19" s="11">
        <f>COUNTIFS('Datos - Temas'!$C$5:$C$1264,"Ciencias",'Datos - Temas'!$B$5:$B$1264,R$3,'Datos - Temas'!$K$5:$K$1264,$A19)+COUNTIFS('Datos - Temas'!$C$5:$C$1264,"Ciencias",'Datos - Temas'!$B$5:$B$1264,R$3,'Datos - Temas'!$L$5:$L$1264,$A19)</f>
        <v/>
      </c>
      <c r="S19" s="11">
        <f>COUNTIFS('Datos - Temas'!$C$5:$C$1264,"Ciencias",'Datos - Temas'!$B$5:$B$1264,S$3,'Datos - Temas'!$K$5:$K$1264,$A19)+COUNTIFS('Datos - Temas'!$C$5:$C$1264,"Ciencias",'Datos - Temas'!$B$5:$B$1264,S$3,'Datos - Temas'!$L$5:$L$1264,$A19)</f>
        <v/>
      </c>
      <c r="T19" s="11">
        <f>COUNTIFS('Datos - Temas'!$C$5:$C$1264,"Ciencias",'Datos - Temas'!$B$5:$B$1264,T$3,'Datos - Temas'!$K$5:$K$1264,$A19)+COUNTIFS('Datos - Temas'!$C$5:$C$1264,"Ciencias",'Datos - Temas'!$B$5:$B$1264,T$3,'Datos - Temas'!$L$5:$L$1264,$A19)</f>
        <v/>
      </c>
      <c r="U19" s="11">
        <f>COUNTIFS('Datos - Temas'!$C$5:$C$1264,"Ciencias",'Datos - Temas'!$B$5:$B$1264,U$3,'Datos - Temas'!$K$5:$K$1264,$A19)+COUNTIFS('Datos - Temas'!$C$5:$C$1264,"Ciencias",'Datos - Temas'!$B$5:$B$1264,U$3,'Datos - Temas'!$L$5:$L$1264,$A19)</f>
        <v/>
      </c>
      <c r="V19" s="11">
        <f>COUNTIFS('Datos - Temas'!$C$5:$C$1264,"Ciencias",'Datos - Temas'!$B$5:$B$1264,V$3,'Datos - Temas'!$K$5:$K$1264,$A19)+COUNTIFS('Datos - Temas'!$C$5:$C$1264,"Ciencias",'Datos - Temas'!$B$5:$B$1264,V$3,'Datos - Temas'!$L$5:$L$1264,$A19)</f>
        <v/>
      </c>
      <c r="W19" s="11">
        <f>COUNTIFS('Datos - Objetivos de países'!$B$5:$B$510,"Uruguay",'Datos - Objetivos de países'!$F$5:$F$510,W$3,'Datos - Objetivos de países'!$J$5:$J$510,$A19)+COUNTIFS('Datos - Objetivos de países'!$B$5:$B$510,"Uruguay",'Datos - Objetivos de países'!$F$5:$F$510,W$3,'Datos - Objetivos de países'!$K$5:$K$510,$A19)</f>
        <v/>
      </c>
      <c r="X19" s="11">
        <f>COUNTIFS('Datos - Objetivos de países'!$B$5:$B$510,"Uruguay",'Datos - Objetivos de países'!$F$5:$F$510,X$3,'Datos - Objetivos de países'!$J$5:$J$510,$A19)+COUNTIFS('Datos - Objetivos de países'!$B$5:$B$510,"Uruguay",'Datos - Objetivos de países'!$F$5:$F$510,X$3,'Datos - Objetivos de países'!$K$5:$K$510,$A19)</f>
        <v/>
      </c>
      <c r="Y19" s="11">
        <f>COUNTIFS('Datos - Objetivos de países'!$B$5:$B$510,"Uruguay",'Datos - Objetivos de países'!$F$5:$F$510,Y$3,'Datos - Objetivos de países'!$J$5:$J$510,$A19)+COUNTIFS('Datos - Objetivos de países'!$B$5:$B$510,"Uruguay",'Datos - Objetivos de países'!$F$5:$F$510,Y$3,'Datos - Objetivos de países'!$K$5:$K$510,$A19)</f>
        <v/>
      </c>
      <c r="Z19" s="11">
        <f>COUNTIFS('Datos - Objetivos de países'!$B$5:$B$510,"Uruguay",'Datos - Objetivos de países'!$F$5:$F$510,Z$3,'Datos - Objetivos de países'!$J$5:$J$510,$A19)+COUNTIFS('Datos - Objetivos de países'!$B$5:$B$510,"Uruguay",'Datos - Objetivos de países'!$F$5:$F$510,Z$3,'Datos - Objetivos de países'!$K$5:$K$510,$A19)</f>
        <v/>
      </c>
      <c r="AA19" s="11">
        <f>COUNTIFS('Datos - Objetivos de países'!$B$5:$B$510,"Uruguay",'Datos - Objetivos de países'!$F$5:$F$510,AA$3,'Datos - Objetivos de países'!$J$5:$J$510,$A19)+COUNTIFS('Datos - Objetivos de países'!$B$5:$B$510,"Uruguay",'Datos - Objetivos de países'!$F$5:$F$510,AA$3,'Datos - Objetivos de países'!$K$5:$K$510,$A19)</f>
        <v/>
      </c>
      <c r="AB19" s="11">
        <f>COUNTIFS('Datos - Objetivos de países'!$B$5:$B$510,"Uruguay",'Datos - Objetivos de países'!$F$5:$F$510,AB$3,'Datos - Objetivos de países'!$J$5:$J$510,$A19)+COUNTIFS('Datos - Objetivos de países'!$B$5:$B$510,"Uruguay",'Datos - Objetivos de países'!$F$5:$F$510,AB$3,'Datos - Objetivos de países'!$K$5:$K$510,$A19)</f>
        <v/>
      </c>
      <c r="AC19" s="11">
        <f>COUNTIFS('Datos - Objetivos de países'!$B$5:$B$510,"Uruguay",'Datos - Objetivos de países'!$F$5:$F$510,AC$3,'Datos - Objetivos de países'!$J$5:$J$510,$A19)+COUNTIFS('Datos - Objetivos de países'!$B$5:$B$510,"Uruguay",'Datos - Objetivos de países'!$F$5:$F$510,AC$3,'Datos - Objetivos de países'!$K$5:$K$510,$A19)</f>
        <v/>
      </c>
      <c r="AD19" s="11">
        <f>COUNTIFS('Datos - Objetivos de países'!$B$5:$B$510,"Uruguay",'Datos - Objetivos de países'!$F$5:$F$510,AD$3,'Datos - Objetivos de países'!$J$5:$J$510,$A19)+COUNTIFS('Datos - Objetivos de países'!$B$5:$B$510,"Uruguay",'Datos - Objetivos de países'!$F$5:$F$510,AD$3,'Datos - Objetivos de países'!$K$5:$K$510,$A19)</f>
        <v/>
      </c>
      <c r="AE19" s="11">
        <f>COUNTIFS('Datos - Objetivos de países'!$B$5:$B$510,"Uruguay",'Datos - Objetivos de países'!$F$5:$F$510,AE$3,'Datos - Objetivos de países'!$J$5:$J$510,$A19)+COUNTIFS('Datos - Objetivos de países'!$B$5:$B$510,"Uruguay",'Datos - Objetivos de países'!$F$5:$F$510,AE$3,'Datos - Objetivos de países'!$K$5:$K$510,$A19)</f>
        <v/>
      </c>
      <c r="AF19" s="11">
        <f>COUNTIFS('Datos - Objetivos de países'!$B$5:$B$510,"Colombia",'Datos - Objetivos de países'!$F$5:$F$510,AF$3,'Datos - Objetivos de países'!$J$5:$J$510,$A19)+COUNTIFS('Datos - Objetivos de países'!$B$5:$B$510,"Colombia",'Datos - Objetivos de países'!$F$5:$F$510,AF$3,'Datos - Objetivos de países'!$K$5:$K$510,$A19)</f>
        <v/>
      </c>
      <c r="AG19" s="11">
        <f>COUNTIFS('Datos - Objetivos de países'!$B$5:$B$510,"Colombia",'Datos - Objetivos de países'!$F$5:$F$510,AG$3,'Datos - Objetivos de países'!$J$5:$J$510,$A19)+COUNTIFS('Datos - Objetivos de países'!$B$5:$B$510,"Colombia",'Datos - Objetivos de países'!$F$5:$F$510,AG$3,'Datos - Objetivos de países'!$K$5:$K$510,$A19)</f>
        <v/>
      </c>
      <c r="AH19" s="11">
        <f>COUNTIFS('Datos - Objetivos de países'!$B$5:$B$510,"Colombia",'Datos - Objetivos de países'!$F$5:$F$510,AH$3,'Datos - Objetivos de países'!$J$5:$J$510,$A19)+COUNTIFS('Datos - Objetivos de países'!$B$5:$B$510,"Colombia",'Datos - Objetivos de países'!$F$5:$F$510,AH$3,'Datos - Objetivos de países'!$K$5:$K$510,$A19)</f>
        <v/>
      </c>
      <c r="AI19" s="11">
        <f>COUNTIFS('Datos - Objetivos de países'!$B$5:$B$510,"Colombia",'Datos - Objetivos de países'!$F$5:$F$510,AI$3,'Datos - Objetivos de países'!$J$5:$J$510,$A19)+COUNTIFS('Datos - Objetivos de países'!$B$5:$B$510,"Colombia",'Datos - Objetivos de países'!$F$5:$F$510,AI$3,'Datos - Objetivos de países'!$K$5:$K$510,$A19)</f>
        <v/>
      </c>
      <c r="AJ19" s="11">
        <f>COUNTIFS('Datos - Objetivos de países'!$B$5:$B$510,"Colombia",'Datos - Objetivos de países'!$F$5:$F$510,AJ$3,'Datos - Objetivos de países'!$J$5:$J$510,$A19)+COUNTIFS('Datos - Objetivos de países'!$B$5:$B$510,"Colombia",'Datos - Objetivos de países'!$F$5:$F$510,AJ$3,'Datos - Objetivos de países'!$K$5:$K$510,$A19)</f>
        <v/>
      </c>
      <c r="AK19" s="11">
        <f>COUNTIFS('Datos - Objetivos de países'!$B$5:$B$510,"Colombia",'Datos - Objetivos de países'!$F$5:$F$510,AK$3,'Datos - Objetivos de países'!$J$5:$J$510,$A19)+COUNTIFS('Datos - Objetivos de países'!$B$5:$B$510,"Colombia",'Datos - Objetivos de países'!$F$5:$F$510,AK$3,'Datos - Objetivos de países'!$K$5:$K$510,$A19)</f>
        <v/>
      </c>
      <c r="AL19" s="11">
        <f>COUNTIFS('Datos - Objetivos de países'!$B$5:$B$510,"Colombia",'Datos - Objetivos de países'!$F$5:$F$510,AL$3,'Datos - Objetivos de países'!$J$5:$J$510,$A19)+COUNTIFS('Datos - Objetivos de países'!$B$5:$B$510,"Colombia",'Datos - Objetivos de países'!$F$5:$F$510,AL$3,'Datos - Objetivos de países'!$K$5:$K$510,$A19)</f>
        <v/>
      </c>
      <c r="AM19" s="11">
        <f>COUNTIFS('Datos - Objetivos de países'!$B$5:$B$510,"Colombia",'Datos - Objetivos de países'!$F$5:$F$510,AM$3,'Datos - Objetivos de países'!$J$5:$J$510,$A19)+COUNTIFS('Datos - Objetivos de países'!$B$5:$B$510,"Colombia",'Datos - Objetivos de países'!$F$5:$F$510,AM$3,'Datos - Objetivos de países'!$K$5:$K$510,$A19)</f>
        <v/>
      </c>
      <c r="AN19" s="11">
        <f>COUNTIFS('Datos - Objetivos de países'!$B$5:$B$510,"Colombia",'Datos - Objetivos de países'!$F$5:$F$510,AN$3,'Datos - Objetivos de países'!$J$5:$J$510,$A19)+COUNTIFS('Datos - Objetivos de países'!$B$5:$B$510,"Colombia",'Datos - Objetivos de países'!$F$5:$F$510,AN$3,'Datos - Objetivos de países'!$K$5:$K$510,$A19)</f>
        <v/>
      </c>
      <c r="AO19" s="11">
        <f>COUNTIFS('Datos - Objetivos de países'!$B$5:$B$510,"Singapur",'Datos - Objetivos de países'!$F$5:$F$510,AO$3,'Datos - Objetivos de países'!$J$5:$J$510,$A19)+COUNTIFS('Datos - Objetivos de países'!$B$5:$B$510,"Singapur",'Datos - Objetivos de países'!$F$5:$F$510,AO$3,'Datos - Objetivos de países'!$K$5:$K$510,$A19)</f>
        <v/>
      </c>
      <c r="AP19" s="11">
        <f>COUNTIFS('Datos - Objetivos de países'!$B$5:$B$510,"Singapur",'Datos - Objetivos de países'!$F$5:$F$510,AP$3,'Datos - Objetivos de países'!$J$5:$J$510,$A19)+COUNTIFS('Datos - Objetivos de países'!$B$5:$B$510,"Singapur",'Datos - Objetivos de países'!$F$5:$F$510,AP$3,'Datos - Objetivos de países'!$K$5:$K$510,$A19)</f>
        <v/>
      </c>
      <c r="AQ19" s="11">
        <f>COUNTIFS('Datos - Objetivos de países'!$B$5:$B$510,"Singapur",'Datos - Objetivos de países'!$F$5:$F$510,AQ$3,'Datos - Objetivos de países'!$J$5:$J$510,$A19)+COUNTIFS('Datos - Objetivos de países'!$B$5:$B$510,"Singapur",'Datos - Objetivos de países'!$F$5:$F$510,AQ$3,'Datos - Objetivos de países'!$K$5:$K$510,$A19)</f>
        <v/>
      </c>
      <c r="AR19" s="11">
        <f>COUNTIFS('Datos - Objetivos de países'!$B$5:$B$510,"Singapur",'Datos - Objetivos de países'!$F$5:$F$510,AR$3,'Datos - Objetivos de países'!$J$5:$J$510,$A19)+COUNTIFS('Datos - Objetivos de países'!$B$5:$B$510,"Singapur",'Datos - Objetivos de países'!$F$5:$F$510,AR$3,'Datos - Objetivos de países'!$K$5:$K$510,$A19)</f>
        <v/>
      </c>
      <c r="AS19" s="11">
        <f>COUNTIFS('Datos - Objetivos de países'!$B$5:$B$510,"Singapur",'Datos - Objetivos de países'!$F$5:$F$510,AS$3,'Datos - Objetivos de países'!$J$5:$J$510,$A19)+COUNTIFS('Datos - Objetivos de países'!$B$5:$B$510,"Singapur",'Datos - Objetivos de países'!$F$5:$F$510,AS$3,'Datos - Objetivos de países'!$K$5:$K$510,$A19)</f>
        <v/>
      </c>
      <c r="AT19" s="11">
        <f>COUNTIFS('Datos - Objetivos de países'!$B$5:$B$510,"Singapur",'Datos - Objetivos de países'!$F$5:$F$510,AT$3,'Datos - Objetivos de países'!$J$5:$J$510,$A19)+COUNTIFS('Datos - Objetivos de países'!$B$5:$B$510,"Singapur",'Datos - Objetivos de países'!$F$5:$F$510,AT$3,'Datos - Objetivos de países'!$K$5:$K$510,$A19)</f>
        <v/>
      </c>
      <c r="AU19" s="11">
        <f>COUNTIFS('Datos - Objetivos de países'!$B$5:$B$510,"Singapur",'Datos - Objetivos de países'!$F$5:$F$510,AU$3,'Datos - Objetivos de países'!$J$5:$J$510,$A19)+COUNTIFS('Datos - Objetivos de países'!$B$5:$B$510,"Singapur",'Datos - Objetivos de países'!$F$5:$F$510,AU$3,'Datos - Objetivos de países'!$K$5:$K$510,$A19)</f>
        <v/>
      </c>
      <c r="AV19" s="11">
        <f>COUNTIFS('Datos - Objetivos de países'!$B$5:$B$510,"Singapur",'Datos - Objetivos de países'!$F$5:$F$510,AV$3,'Datos - Objetivos de países'!$J$5:$J$510,$A19)+COUNTIFS('Datos - Objetivos de países'!$B$5:$B$510,"Singapur",'Datos - Objetivos de países'!$F$5:$F$510,AV$3,'Datos - Objetivos de países'!$K$5:$K$510,$A19)</f>
        <v/>
      </c>
      <c r="AW19" s="11">
        <f>COUNTIFS('Datos - Objetivos de países'!$B$5:$B$510,"Singapur",'Datos - Objetivos de países'!$F$5:$F$510,AW$3,'Datos - Objetivos de países'!$J$5:$J$510,$A19)+COUNTIFS('Datos - Objetivos de países'!$B$5:$B$510,"Singapur",'Datos - Objetivos de países'!$F$5:$F$510,AW$3,'Datos - Objetivos de países'!$K$5:$K$510,$A19)</f>
        <v/>
      </c>
    </row>
    <row r="20">
      <c r="A20" s="30" t="inlineStr">
        <is>
          <t>T4_27-P1.3</t>
        </is>
      </c>
      <c r="B20" s="30" t="inlineStr">
        <is>
          <t>T4_27</t>
        </is>
      </c>
      <c r="C20" s="30" t="inlineStr">
        <is>
          <t>Ciencias físicas</t>
        </is>
      </c>
      <c r="D20" s="30" t="inlineStr">
        <is>
          <t>Cambios físicos y químicos en la vida diaria</t>
        </is>
      </c>
      <c r="E20" s="30">
        <f>IFERROR(MAX($L$3,INDEX($N$3:$V$3,MATCH(TRUE,INDEX(N20:V20&gt;0,0),0))),"—")</f>
        <v/>
      </c>
      <c r="F20" s="30">
        <f>IFERROR(MAX($L$3,INDEX($W$3:$AE$3,MATCH(TRUE,INDEX(W20:AE20&gt;0,0),0))),"—")</f>
        <v/>
      </c>
      <c r="G20" s="30">
        <f>IFERROR(MAX($L$3,INDEX($AF$3:$AN$3,MATCH(TRUE,INDEX(AF20:AN20&gt;0,0),0))),"—")</f>
        <v/>
      </c>
      <c r="H20" s="30">
        <f>IFERROR(MAX($L$3,INDEX($AO$3:$AW$3,MATCH(TRUE,INDEX(AO20:AW20&gt;0,0),0))),"—")</f>
        <v/>
      </c>
      <c r="I20" s="36">
        <f>IF(L20=0,"—",MEDIAN(F20:H20))</f>
        <v/>
      </c>
      <c r="J20" s="36">
        <f>IF(OR(E20="—",I20="—"),"—",E20-I20)</f>
        <v/>
      </c>
      <c r="K20" s="19">
        <f>IF(E20="—",IF(L20=0,"Nadie lo trabaja","El Salvador no llega"),IF(L20=0,"Solo El Salvador",IF(J20&gt;0,"El Salvador llega más tarde",IF(J20&lt;0,"El Salvador va adelantado","Mismo grado"))))</f>
        <v/>
      </c>
      <c r="L20" s="30">
        <f>COUNT(F20:H20)</f>
        <v/>
      </c>
      <c r="N20" s="11">
        <f>COUNTIFS('Datos - Temas'!$C$5:$C$1264,"Ciencias",'Datos - Temas'!$B$5:$B$1264,N$3,'Datos - Temas'!$K$5:$K$1264,$A20)+COUNTIFS('Datos - Temas'!$C$5:$C$1264,"Ciencias",'Datos - Temas'!$B$5:$B$1264,N$3,'Datos - Temas'!$L$5:$L$1264,$A20)</f>
        <v/>
      </c>
      <c r="O20" s="11">
        <f>COUNTIFS('Datos - Temas'!$C$5:$C$1264,"Ciencias",'Datos - Temas'!$B$5:$B$1264,O$3,'Datos - Temas'!$K$5:$K$1264,$A20)+COUNTIFS('Datos - Temas'!$C$5:$C$1264,"Ciencias",'Datos - Temas'!$B$5:$B$1264,O$3,'Datos - Temas'!$L$5:$L$1264,$A20)</f>
        <v/>
      </c>
      <c r="P20" s="11">
        <f>COUNTIFS('Datos - Temas'!$C$5:$C$1264,"Ciencias",'Datos - Temas'!$B$5:$B$1264,P$3,'Datos - Temas'!$K$5:$K$1264,$A20)+COUNTIFS('Datos - Temas'!$C$5:$C$1264,"Ciencias",'Datos - Temas'!$B$5:$B$1264,P$3,'Datos - Temas'!$L$5:$L$1264,$A20)</f>
        <v/>
      </c>
      <c r="Q20" s="11">
        <f>COUNTIFS('Datos - Temas'!$C$5:$C$1264,"Ciencias",'Datos - Temas'!$B$5:$B$1264,Q$3,'Datos - Temas'!$K$5:$K$1264,$A20)+COUNTIFS('Datos - Temas'!$C$5:$C$1264,"Ciencias",'Datos - Temas'!$B$5:$B$1264,Q$3,'Datos - Temas'!$L$5:$L$1264,$A20)</f>
        <v/>
      </c>
      <c r="R20" s="11">
        <f>COUNTIFS('Datos - Temas'!$C$5:$C$1264,"Ciencias",'Datos - Temas'!$B$5:$B$1264,R$3,'Datos - Temas'!$K$5:$K$1264,$A20)+COUNTIFS('Datos - Temas'!$C$5:$C$1264,"Ciencias",'Datos - Temas'!$B$5:$B$1264,R$3,'Datos - Temas'!$L$5:$L$1264,$A20)</f>
        <v/>
      </c>
      <c r="S20" s="11">
        <f>COUNTIFS('Datos - Temas'!$C$5:$C$1264,"Ciencias",'Datos - Temas'!$B$5:$B$1264,S$3,'Datos - Temas'!$K$5:$K$1264,$A20)+COUNTIFS('Datos - Temas'!$C$5:$C$1264,"Ciencias",'Datos - Temas'!$B$5:$B$1264,S$3,'Datos - Temas'!$L$5:$L$1264,$A20)</f>
        <v/>
      </c>
      <c r="T20" s="11">
        <f>COUNTIFS('Datos - Temas'!$C$5:$C$1264,"Ciencias",'Datos - Temas'!$B$5:$B$1264,T$3,'Datos - Temas'!$K$5:$K$1264,$A20)+COUNTIFS('Datos - Temas'!$C$5:$C$1264,"Ciencias",'Datos - Temas'!$B$5:$B$1264,T$3,'Datos - Temas'!$L$5:$L$1264,$A20)</f>
        <v/>
      </c>
      <c r="U20" s="11">
        <f>COUNTIFS('Datos - Temas'!$C$5:$C$1264,"Ciencias",'Datos - Temas'!$B$5:$B$1264,U$3,'Datos - Temas'!$K$5:$K$1264,$A20)+COUNTIFS('Datos - Temas'!$C$5:$C$1264,"Ciencias",'Datos - Temas'!$B$5:$B$1264,U$3,'Datos - Temas'!$L$5:$L$1264,$A20)</f>
        <v/>
      </c>
      <c r="V20" s="11">
        <f>COUNTIFS('Datos - Temas'!$C$5:$C$1264,"Ciencias",'Datos - Temas'!$B$5:$B$1264,V$3,'Datos - Temas'!$K$5:$K$1264,$A20)+COUNTIFS('Datos - Temas'!$C$5:$C$1264,"Ciencias",'Datos - Temas'!$B$5:$B$1264,V$3,'Datos - Temas'!$L$5:$L$1264,$A20)</f>
        <v/>
      </c>
      <c r="W20" s="11">
        <f>COUNTIFS('Datos - Objetivos de países'!$B$5:$B$510,"Uruguay",'Datos - Objetivos de países'!$F$5:$F$510,W$3,'Datos - Objetivos de países'!$J$5:$J$510,$A20)+COUNTIFS('Datos - Objetivos de países'!$B$5:$B$510,"Uruguay",'Datos - Objetivos de países'!$F$5:$F$510,W$3,'Datos - Objetivos de países'!$K$5:$K$510,$A20)</f>
        <v/>
      </c>
      <c r="X20" s="11">
        <f>COUNTIFS('Datos - Objetivos de países'!$B$5:$B$510,"Uruguay",'Datos - Objetivos de países'!$F$5:$F$510,X$3,'Datos - Objetivos de países'!$J$5:$J$510,$A20)+COUNTIFS('Datos - Objetivos de países'!$B$5:$B$510,"Uruguay",'Datos - Objetivos de países'!$F$5:$F$510,X$3,'Datos - Objetivos de países'!$K$5:$K$510,$A20)</f>
        <v/>
      </c>
      <c r="Y20" s="11">
        <f>COUNTIFS('Datos - Objetivos de países'!$B$5:$B$510,"Uruguay",'Datos - Objetivos de países'!$F$5:$F$510,Y$3,'Datos - Objetivos de países'!$J$5:$J$510,$A20)+COUNTIFS('Datos - Objetivos de países'!$B$5:$B$510,"Uruguay",'Datos - Objetivos de países'!$F$5:$F$510,Y$3,'Datos - Objetivos de países'!$K$5:$K$510,$A20)</f>
        <v/>
      </c>
      <c r="Z20" s="11">
        <f>COUNTIFS('Datos - Objetivos de países'!$B$5:$B$510,"Uruguay",'Datos - Objetivos de países'!$F$5:$F$510,Z$3,'Datos - Objetivos de países'!$J$5:$J$510,$A20)+COUNTIFS('Datos - Objetivos de países'!$B$5:$B$510,"Uruguay",'Datos - Objetivos de países'!$F$5:$F$510,Z$3,'Datos - Objetivos de países'!$K$5:$K$510,$A20)</f>
        <v/>
      </c>
      <c r="AA20" s="11">
        <f>COUNTIFS('Datos - Objetivos de países'!$B$5:$B$510,"Uruguay",'Datos - Objetivos de países'!$F$5:$F$510,AA$3,'Datos - Objetivos de países'!$J$5:$J$510,$A20)+COUNTIFS('Datos - Objetivos de países'!$B$5:$B$510,"Uruguay",'Datos - Objetivos de países'!$F$5:$F$510,AA$3,'Datos - Objetivos de países'!$K$5:$K$510,$A20)</f>
        <v/>
      </c>
      <c r="AB20" s="11">
        <f>COUNTIFS('Datos - Objetivos de países'!$B$5:$B$510,"Uruguay",'Datos - Objetivos de países'!$F$5:$F$510,AB$3,'Datos - Objetivos de países'!$J$5:$J$510,$A20)+COUNTIFS('Datos - Objetivos de países'!$B$5:$B$510,"Uruguay",'Datos - Objetivos de países'!$F$5:$F$510,AB$3,'Datos - Objetivos de países'!$K$5:$K$510,$A20)</f>
        <v/>
      </c>
      <c r="AC20" s="11">
        <f>COUNTIFS('Datos - Objetivos de países'!$B$5:$B$510,"Uruguay",'Datos - Objetivos de países'!$F$5:$F$510,AC$3,'Datos - Objetivos de países'!$J$5:$J$510,$A20)+COUNTIFS('Datos - Objetivos de países'!$B$5:$B$510,"Uruguay",'Datos - Objetivos de países'!$F$5:$F$510,AC$3,'Datos - Objetivos de países'!$K$5:$K$510,$A20)</f>
        <v/>
      </c>
      <c r="AD20" s="11">
        <f>COUNTIFS('Datos - Objetivos de países'!$B$5:$B$510,"Uruguay",'Datos - Objetivos de países'!$F$5:$F$510,AD$3,'Datos - Objetivos de países'!$J$5:$J$510,$A20)+COUNTIFS('Datos - Objetivos de países'!$B$5:$B$510,"Uruguay",'Datos - Objetivos de países'!$F$5:$F$510,AD$3,'Datos - Objetivos de países'!$K$5:$K$510,$A20)</f>
        <v/>
      </c>
      <c r="AE20" s="11">
        <f>COUNTIFS('Datos - Objetivos de países'!$B$5:$B$510,"Uruguay",'Datos - Objetivos de países'!$F$5:$F$510,AE$3,'Datos - Objetivos de países'!$J$5:$J$510,$A20)+COUNTIFS('Datos - Objetivos de países'!$B$5:$B$510,"Uruguay",'Datos - Objetivos de países'!$F$5:$F$510,AE$3,'Datos - Objetivos de países'!$K$5:$K$510,$A20)</f>
        <v/>
      </c>
      <c r="AF20" s="11">
        <f>COUNTIFS('Datos - Objetivos de países'!$B$5:$B$510,"Colombia",'Datos - Objetivos de países'!$F$5:$F$510,AF$3,'Datos - Objetivos de países'!$J$5:$J$510,$A20)+COUNTIFS('Datos - Objetivos de países'!$B$5:$B$510,"Colombia",'Datos - Objetivos de países'!$F$5:$F$510,AF$3,'Datos - Objetivos de países'!$K$5:$K$510,$A20)</f>
        <v/>
      </c>
      <c r="AG20" s="11">
        <f>COUNTIFS('Datos - Objetivos de países'!$B$5:$B$510,"Colombia",'Datos - Objetivos de países'!$F$5:$F$510,AG$3,'Datos - Objetivos de países'!$J$5:$J$510,$A20)+COUNTIFS('Datos - Objetivos de países'!$B$5:$B$510,"Colombia",'Datos - Objetivos de países'!$F$5:$F$510,AG$3,'Datos - Objetivos de países'!$K$5:$K$510,$A20)</f>
        <v/>
      </c>
      <c r="AH20" s="11">
        <f>COUNTIFS('Datos - Objetivos de países'!$B$5:$B$510,"Colombia",'Datos - Objetivos de países'!$F$5:$F$510,AH$3,'Datos - Objetivos de países'!$J$5:$J$510,$A20)+COUNTIFS('Datos - Objetivos de países'!$B$5:$B$510,"Colombia",'Datos - Objetivos de países'!$F$5:$F$510,AH$3,'Datos - Objetivos de países'!$K$5:$K$510,$A20)</f>
        <v/>
      </c>
      <c r="AI20" s="11">
        <f>COUNTIFS('Datos - Objetivos de países'!$B$5:$B$510,"Colombia",'Datos - Objetivos de países'!$F$5:$F$510,AI$3,'Datos - Objetivos de países'!$J$5:$J$510,$A20)+COUNTIFS('Datos - Objetivos de países'!$B$5:$B$510,"Colombia",'Datos - Objetivos de países'!$F$5:$F$510,AI$3,'Datos - Objetivos de países'!$K$5:$K$510,$A20)</f>
        <v/>
      </c>
      <c r="AJ20" s="11">
        <f>COUNTIFS('Datos - Objetivos de países'!$B$5:$B$510,"Colombia",'Datos - Objetivos de países'!$F$5:$F$510,AJ$3,'Datos - Objetivos de países'!$J$5:$J$510,$A20)+COUNTIFS('Datos - Objetivos de países'!$B$5:$B$510,"Colombia",'Datos - Objetivos de países'!$F$5:$F$510,AJ$3,'Datos - Objetivos de países'!$K$5:$K$510,$A20)</f>
        <v/>
      </c>
      <c r="AK20" s="11">
        <f>COUNTIFS('Datos - Objetivos de países'!$B$5:$B$510,"Colombia",'Datos - Objetivos de países'!$F$5:$F$510,AK$3,'Datos - Objetivos de países'!$J$5:$J$510,$A20)+COUNTIFS('Datos - Objetivos de países'!$B$5:$B$510,"Colombia",'Datos - Objetivos de países'!$F$5:$F$510,AK$3,'Datos - Objetivos de países'!$K$5:$K$510,$A20)</f>
        <v/>
      </c>
      <c r="AL20" s="11">
        <f>COUNTIFS('Datos - Objetivos de países'!$B$5:$B$510,"Colombia",'Datos - Objetivos de países'!$F$5:$F$510,AL$3,'Datos - Objetivos de países'!$J$5:$J$510,$A20)+COUNTIFS('Datos - Objetivos de países'!$B$5:$B$510,"Colombia",'Datos - Objetivos de países'!$F$5:$F$510,AL$3,'Datos - Objetivos de países'!$K$5:$K$510,$A20)</f>
        <v/>
      </c>
      <c r="AM20" s="11">
        <f>COUNTIFS('Datos - Objetivos de países'!$B$5:$B$510,"Colombia",'Datos - Objetivos de países'!$F$5:$F$510,AM$3,'Datos - Objetivos de países'!$J$5:$J$510,$A20)+COUNTIFS('Datos - Objetivos de países'!$B$5:$B$510,"Colombia",'Datos - Objetivos de países'!$F$5:$F$510,AM$3,'Datos - Objetivos de países'!$K$5:$K$510,$A20)</f>
        <v/>
      </c>
      <c r="AN20" s="11">
        <f>COUNTIFS('Datos - Objetivos de países'!$B$5:$B$510,"Colombia",'Datos - Objetivos de países'!$F$5:$F$510,AN$3,'Datos - Objetivos de países'!$J$5:$J$510,$A20)+COUNTIFS('Datos - Objetivos de países'!$B$5:$B$510,"Colombia",'Datos - Objetivos de países'!$F$5:$F$510,AN$3,'Datos - Objetivos de países'!$K$5:$K$510,$A20)</f>
        <v/>
      </c>
      <c r="AO20" s="11">
        <f>COUNTIFS('Datos - Objetivos de países'!$B$5:$B$510,"Singapur",'Datos - Objetivos de países'!$F$5:$F$510,AO$3,'Datos - Objetivos de países'!$J$5:$J$510,$A20)+COUNTIFS('Datos - Objetivos de países'!$B$5:$B$510,"Singapur",'Datos - Objetivos de países'!$F$5:$F$510,AO$3,'Datos - Objetivos de países'!$K$5:$K$510,$A20)</f>
        <v/>
      </c>
      <c r="AP20" s="11">
        <f>COUNTIFS('Datos - Objetivos de países'!$B$5:$B$510,"Singapur",'Datos - Objetivos de países'!$F$5:$F$510,AP$3,'Datos - Objetivos de países'!$J$5:$J$510,$A20)+COUNTIFS('Datos - Objetivos de países'!$B$5:$B$510,"Singapur",'Datos - Objetivos de países'!$F$5:$F$510,AP$3,'Datos - Objetivos de países'!$K$5:$K$510,$A20)</f>
        <v/>
      </c>
      <c r="AQ20" s="11">
        <f>COUNTIFS('Datos - Objetivos de países'!$B$5:$B$510,"Singapur",'Datos - Objetivos de países'!$F$5:$F$510,AQ$3,'Datos - Objetivos de países'!$J$5:$J$510,$A20)+COUNTIFS('Datos - Objetivos de países'!$B$5:$B$510,"Singapur",'Datos - Objetivos de países'!$F$5:$F$510,AQ$3,'Datos - Objetivos de países'!$K$5:$K$510,$A20)</f>
        <v/>
      </c>
      <c r="AR20" s="11">
        <f>COUNTIFS('Datos - Objetivos de países'!$B$5:$B$510,"Singapur",'Datos - Objetivos de países'!$F$5:$F$510,AR$3,'Datos - Objetivos de países'!$J$5:$J$510,$A20)+COUNTIFS('Datos - Objetivos de países'!$B$5:$B$510,"Singapur",'Datos - Objetivos de países'!$F$5:$F$510,AR$3,'Datos - Objetivos de países'!$K$5:$K$510,$A20)</f>
        <v/>
      </c>
      <c r="AS20" s="11">
        <f>COUNTIFS('Datos - Objetivos de países'!$B$5:$B$510,"Singapur",'Datos - Objetivos de países'!$F$5:$F$510,AS$3,'Datos - Objetivos de países'!$J$5:$J$510,$A20)+COUNTIFS('Datos - Objetivos de países'!$B$5:$B$510,"Singapur",'Datos - Objetivos de países'!$F$5:$F$510,AS$3,'Datos - Objetivos de países'!$K$5:$K$510,$A20)</f>
        <v/>
      </c>
      <c r="AT20" s="11">
        <f>COUNTIFS('Datos - Objetivos de países'!$B$5:$B$510,"Singapur",'Datos - Objetivos de países'!$F$5:$F$510,AT$3,'Datos - Objetivos de países'!$J$5:$J$510,$A20)+COUNTIFS('Datos - Objetivos de países'!$B$5:$B$510,"Singapur",'Datos - Objetivos de países'!$F$5:$F$510,AT$3,'Datos - Objetivos de países'!$K$5:$K$510,$A20)</f>
        <v/>
      </c>
      <c r="AU20" s="11">
        <f>COUNTIFS('Datos - Objetivos de países'!$B$5:$B$510,"Singapur",'Datos - Objetivos de países'!$F$5:$F$510,AU$3,'Datos - Objetivos de países'!$J$5:$J$510,$A20)+COUNTIFS('Datos - Objetivos de países'!$B$5:$B$510,"Singapur",'Datos - Objetivos de países'!$F$5:$F$510,AU$3,'Datos - Objetivos de países'!$K$5:$K$510,$A20)</f>
        <v/>
      </c>
      <c r="AV20" s="11">
        <f>COUNTIFS('Datos - Objetivos de países'!$B$5:$B$510,"Singapur",'Datos - Objetivos de países'!$F$5:$F$510,AV$3,'Datos - Objetivos de países'!$J$5:$J$510,$A20)+COUNTIFS('Datos - Objetivos de países'!$B$5:$B$510,"Singapur",'Datos - Objetivos de países'!$F$5:$F$510,AV$3,'Datos - Objetivos de países'!$K$5:$K$510,$A20)</f>
        <v/>
      </c>
      <c r="AW20" s="11">
        <f>COUNTIFS('Datos - Objetivos de países'!$B$5:$B$510,"Singapur",'Datos - Objetivos de países'!$F$5:$F$510,AW$3,'Datos - Objetivos de países'!$J$5:$J$510,$A20)+COUNTIFS('Datos - Objetivos de países'!$B$5:$B$510,"Singapur",'Datos - Objetivos de países'!$F$5:$F$510,AW$3,'Datos - Objetivos de países'!$K$5:$K$510,$A20)</f>
        <v/>
      </c>
    </row>
    <row r="21">
      <c r="A21" s="30" t="inlineStr">
        <is>
          <t>T4_27-P2.1</t>
        </is>
      </c>
      <c r="B21" s="30" t="inlineStr">
        <is>
          <t>T4_27</t>
        </is>
      </c>
      <c r="C21" s="30" t="inlineStr">
        <is>
          <t>Ciencias físicas</t>
        </is>
      </c>
      <c r="D21" s="30" t="inlineStr">
        <is>
          <t>Usos de la energía en la vida diaria</t>
        </is>
      </c>
      <c r="E21" s="30">
        <f>IFERROR(MAX($L$3,INDEX($N$3:$V$3,MATCH(TRUE,INDEX(N21:V21&gt;0,0),0))),"—")</f>
        <v/>
      </c>
      <c r="F21" s="30">
        <f>IFERROR(MAX($L$3,INDEX($W$3:$AE$3,MATCH(TRUE,INDEX(W21:AE21&gt;0,0),0))),"—")</f>
        <v/>
      </c>
      <c r="G21" s="30">
        <f>IFERROR(MAX($L$3,INDEX($AF$3:$AN$3,MATCH(TRUE,INDEX(AF21:AN21&gt;0,0),0))),"—")</f>
        <v/>
      </c>
      <c r="H21" s="30">
        <f>IFERROR(MAX($L$3,INDEX($AO$3:$AW$3,MATCH(TRUE,INDEX(AO21:AW21&gt;0,0),0))),"—")</f>
        <v/>
      </c>
      <c r="I21" s="36">
        <f>IF(L21=0,"—",MEDIAN(F21:H21))</f>
        <v/>
      </c>
      <c r="J21" s="36">
        <f>IF(OR(E21="—",I21="—"),"—",E21-I21)</f>
        <v/>
      </c>
      <c r="K21" s="19">
        <f>IF(E21="—",IF(L21=0,"Nadie lo trabaja","El Salvador no llega"),IF(L21=0,"Solo El Salvador",IF(J21&gt;0,"El Salvador llega más tarde",IF(J21&lt;0,"El Salvador va adelantado","Mismo grado"))))</f>
        <v/>
      </c>
      <c r="L21" s="30">
        <f>COUNT(F21:H21)</f>
        <v/>
      </c>
      <c r="N21" s="11">
        <f>COUNTIFS('Datos - Temas'!$C$5:$C$1264,"Ciencias",'Datos - Temas'!$B$5:$B$1264,N$3,'Datos - Temas'!$K$5:$K$1264,$A21)+COUNTIFS('Datos - Temas'!$C$5:$C$1264,"Ciencias",'Datos - Temas'!$B$5:$B$1264,N$3,'Datos - Temas'!$L$5:$L$1264,$A21)</f>
        <v/>
      </c>
      <c r="O21" s="11">
        <f>COUNTIFS('Datos - Temas'!$C$5:$C$1264,"Ciencias",'Datos - Temas'!$B$5:$B$1264,O$3,'Datos - Temas'!$K$5:$K$1264,$A21)+COUNTIFS('Datos - Temas'!$C$5:$C$1264,"Ciencias",'Datos - Temas'!$B$5:$B$1264,O$3,'Datos - Temas'!$L$5:$L$1264,$A21)</f>
        <v/>
      </c>
      <c r="P21" s="11">
        <f>COUNTIFS('Datos - Temas'!$C$5:$C$1264,"Ciencias",'Datos - Temas'!$B$5:$B$1264,P$3,'Datos - Temas'!$K$5:$K$1264,$A21)+COUNTIFS('Datos - Temas'!$C$5:$C$1264,"Ciencias",'Datos - Temas'!$B$5:$B$1264,P$3,'Datos - Temas'!$L$5:$L$1264,$A21)</f>
        <v/>
      </c>
      <c r="Q21" s="11">
        <f>COUNTIFS('Datos - Temas'!$C$5:$C$1264,"Ciencias",'Datos - Temas'!$B$5:$B$1264,Q$3,'Datos - Temas'!$K$5:$K$1264,$A21)+COUNTIFS('Datos - Temas'!$C$5:$C$1264,"Ciencias",'Datos - Temas'!$B$5:$B$1264,Q$3,'Datos - Temas'!$L$5:$L$1264,$A21)</f>
        <v/>
      </c>
      <c r="R21" s="11">
        <f>COUNTIFS('Datos - Temas'!$C$5:$C$1264,"Ciencias",'Datos - Temas'!$B$5:$B$1264,R$3,'Datos - Temas'!$K$5:$K$1264,$A21)+COUNTIFS('Datos - Temas'!$C$5:$C$1264,"Ciencias",'Datos - Temas'!$B$5:$B$1264,R$3,'Datos - Temas'!$L$5:$L$1264,$A21)</f>
        <v/>
      </c>
      <c r="S21" s="11">
        <f>COUNTIFS('Datos - Temas'!$C$5:$C$1264,"Ciencias",'Datos - Temas'!$B$5:$B$1264,S$3,'Datos - Temas'!$K$5:$K$1264,$A21)+COUNTIFS('Datos - Temas'!$C$5:$C$1264,"Ciencias",'Datos - Temas'!$B$5:$B$1264,S$3,'Datos - Temas'!$L$5:$L$1264,$A21)</f>
        <v/>
      </c>
      <c r="T21" s="11">
        <f>COUNTIFS('Datos - Temas'!$C$5:$C$1264,"Ciencias",'Datos - Temas'!$B$5:$B$1264,T$3,'Datos - Temas'!$K$5:$K$1264,$A21)+COUNTIFS('Datos - Temas'!$C$5:$C$1264,"Ciencias",'Datos - Temas'!$B$5:$B$1264,T$3,'Datos - Temas'!$L$5:$L$1264,$A21)</f>
        <v/>
      </c>
      <c r="U21" s="11">
        <f>COUNTIFS('Datos - Temas'!$C$5:$C$1264,"Ciencias",'Datos - Temas'!$B$5:$B$1264,U$3,'Datos - Temas'!$K$5:$K$1264,$A21)+COUNTIFS('Datos - Temas'!$C$5:$C$1264,"Ciencias",'Datos - Temas'!$B$5:$B$1264,U$3,'Datos - Temas'!$L$5:$L$1264,$A21)</f>
        <v/>
      </c>
      <c r="V21" s="11">
        <f>COUNTIFS('Datos - Temas'!$C$5:$C$1264,"Ciencias",'Datos - Temas'!$B$5:$B$1264,V$3,'Datos - Temas'!$K$5:$K$1264,$A21)+COUNTIFS('Datos - Temas'!$C$5:$C$1264,"Ciencias",'Datos - Temas'!$B$5:$B$1264,V$3,'Datos - Temas'!$L$5:$L$1264,$A21)</f>
        <v/>
      </c>
      <c r="W21" s="11">
        <f>COUNTIFS('Datos - Objetivos de países'!$B$5:$B$510,"Uruguay",'Datos - Objetivos de países'!$F$5:$F$510,W$3,'Datos - Objetivos de países'!$J$5:$J$510,$A21)+COUNTIFS('Datos - Objetivos de países'!$B$5:$B$510,"Uruguay",'Datos - Objetivos de países'!$F$5:$F$510,W$3,'Datos - Objetivos de países'!$K$5:$K$510,$A21)</f>
        <v/>
      </c>
      <c r="X21" s="11">
        <f>COUNTIFS('Datos - Objetivos de países'!$B$5:$B$510,"Uruguay",'Datos - Objetivos de países'!$F$5:$F$510,X$3,'Datos - Objetivos de países'!$J$5:$J$510,$A21)+COUNTIFS('Datos - Objetivos de países'!$B$5:$B$510,"Uruguay",'Datos - Objetivos de países'!$F$5:$F$510,X$3,'Datos - Objetivos de países'!$K$5:$K$510,$A21)</f>
        <v/>
      </c>
      <c r="Y21" s="11">
        <f>COUNTIFS('Datos - Objetivos de países'!$B$5:$B$510,"Uruguay",'Datos - Objetivos de países'!$F$5:$F$510,Y$3,'Datos - Objetivos de países'!$J$5:$J$510,$A21)+COUNTIFS('Datos - Objetivos de países'!$B$5:$B$510,"Uruguay",'Datos - Objetivos de países'!$F$5:$F$510,Y$3,'Datos - Objetivos de países'!$K$5:$K$510,$A21)</f>
        <v/>
      </c>
      <c r="Z21" s="11">
        <f>COUNTIFS('Datos - Objetivos de países'!$B$5:$B$510,"Uruguay",'Datos - Objetivos de países'!$F$5:$F$510,Z$3,'Datos - Objetivos de países'!$J$5:$J$510,$A21)+COUNTIFS('Datos - Objetivos de países'!$B$5:$B$510,"Uruguay",'Datos - Objetivos de países'!$F$5:$F$510,Z$3,'Datos - Objetivos de países'!$K$5:$K$510,$A21)</f>
        <v/>
      </c>
      <c r="AA21" s="11">
        <f>COUNTIFS('Datos - Objetivos de países'!$B$5:$B$510,"Uruguay",'Datos - Objetivos de países'!$F$5:$F$510,AA$3,'Datos - Objetivos de países'!$J$5:$J$510,$A21)+COUNTIFS('Datos - Objetivos de países'!$B$5:$B$510,"Uruguay",'Datos - Objetivos de países'!$F$5:$F$510,AA$3,'Datos - Objetivos de países'!$K$5:$K$510,$A21)</f>
        <v/>
      </c>
      <c r="AB21" s="11">
        <f>COUNTIFS('Datos - Objetivos de países'!$B$5:$B$510,"Uruguay",'Datos - Objetivos de países'!$F$5:$F$510,AB$3,'Datos - Objetivos de países'!$J$5:$J$510,$A21)+COUNTIFS('Datos - Objetivos de países'!$B$5:$B$510,"Uruguay",'Datos - Objetivos de países'!$F$5:$F$510,AB$3,'Datos - Objetivos de países'!$K$5:$K$510,$A21)</f>
        <v/>
      </c>
      <c r="AC21" s="11">
        <f>COUNTIFS('Datos - Objetivos de países'!$B$5:$B$510,"Uruguay",'Datos - Objetivos de países'!$F$5:$F$510,AC$3,'Datos - Objetivos de países'!$J$5:$J$510,$A21)+COUNTIFS('Datos - Objetivos de países'!$B$5:$B$510,"Uruguay",'Datos - Objetivos de países'!$F$5:$F$510,AC$3,'Datos - Objetivos de países'!$K$5:$K$510,$A21)</f>
        <v/>
      </c>
      <c r="AD21" s="11">
        <f>COUNTIFS('Datos - Objetivos de países'!$B$5:$B$510,"Uruguay",'Datos - Objetivos de países'!$F$5:$F$510,AD$3,'Datos - Objetivos de países'!$J$5:$J$510,$A21)+COUNTIFS('Datos - Objetivos de países'!$B$5:$B$510,"Uruguay",'Datos - Objetivos de países'!$F$5:$F$510,AD$3,'Datos - Objetivos de países'!$K$5:$K$510,$A21)</f>
        <v/>
      </c>
      <c r="AE21" s="11">
        <f>COUNTIFS('Datos - Objetivos de países'!$B$5:$B$510,"Uruguay",'Datos - Objetivos de países'!$F$5:$F$510,AE$3,'Datos - Objetivos de países'!$J$5:$J$510,$A21)+COUNTIFS('Datos - Objetivos de países'!$B$5:$B$510,"Uruguay",'Datos - Objetivos de países'!$F$5:$F$510,AE$3,'Datos - Objetivos de países'!$K$5:$K$510,$A21)</f>
        <v/>
      </c>
      <c r="AF21" s="11">
        <f>COUNTIFS('Datos - Objetivos de países'!$B$5:$B$510,"Colombia",'Datos - Objetivos de países'!$F$5:$F$510,AF$3,'Datos - Objetivos de países'!$J$5:$J$510,$A21)+COUNTIFS('Datos - Objetivos de países'!$B$5:$B$510,"Colombia",'Datos - Objetivos de países'!$F$5:$F$510,AF$3,'Datos - Objetivos de países'!$K$5:$K$510,$A21)</f>
        <v/>
      </c>
      <c r="AG21" s="11">
        <f>COUNTIFS('Datos - Objetivos de países'!$B$5:$B$510,"Colombia",'Datos - Objetivos de países'!$F$5:$F$510,AG$3,'Datos - Objetivos de países'!$J$5:$J$510,$A21)+COUNTIFS('Datos - Objetivos de países'!$B$5:$B$510,"Colombia",'Datos - Objetivos de países'!$F$5:$F$510,AG$3,'Datos - Objetivos de países'!$K$5:$K$510,$A21)</f>
        <v/>
      </c>
      <c r="AH21" s="11">
        <f>COUNTIFS('Datos - Objetivos de países'!$B$5:$B$510,"Colombia",'Datos - Objetivos de países'!$F$5:$F$510,AH$3,'Datos - Objetivos de países'!$J$5:$J$510,$A21)+COUNTIFS('Datos - Objetivos de países'!$B$5:$B$510,"Colombia",'Datos - Objetivos de países'!$F$5:$F$510,AH$3,'Datos - Objetivos de países'!$K$5:$K$510,$A21)</f>
        <v/>
      </c>
      <c r="AI21" s="11">
        <f>COUNTIFS('Datos - Objetivos de países'!$B$5:$B$510,"Colombia",'Datos - Objetivos de países'!$F$5:$F$510,AI$3,'Datos - Objetivos de países'!$J$5:$J$510,$A21)+COUNTIFS('Datos - Objetivos de países'!$B$5:$B$510,"Colombia",'Datos - Objetivos de países'!$F$5:$F$510,AI$3,'Datos - Objetivos de países'!$K$5:$K$510,$A21)</f>
        <v/>
      </c>
      <c r="AJ21" s="11">
        <f>COUNTIFS('Datos - Objetivos de países'!$B$5:$B$510,"Colombia",'Datos - Objetivos de países'!$F$5:$F$510,AJ$3,'Datos - Objetivos de países'!$J$5:$J$510,$A21)+COUNTIFS('Datos - Objetivos de países'!$B$5:$B$510,"Colombia",'Datos - Objetivos de países'!$F$5:$F$510,AJ$3,'Datos - Objetivos de países'!$K$5:$K$510,$A21)</f>
        <v/>
      </c>
      <c r="AK21" s="11">
        <f>COUNTIFS('Datos - Objetivos de países'!$B$5:$B$510,"Colombia",'Datos - Objetivos de países'!$F$5:$F$510,AK$3,'Datos - Objetivos de países'!$J$5:$J$510,$A21)+COUNTIFS('Datos - Objetivos de países'!$B$5:$B$510,"Colombia",'Datos - Objetivos de países'!$F$5:$F$510,AK$3,'Datos - Objetivos de países'!$K$5:$K$510,$A21)</f>
        <v/>
      </c>
      <c r="AL21" s="11">
        <f>COUNTIFS('Datos - Objetivos de países'!$B$5:$B$510,"Colombia",'Datos - Objetivos de países'!$F$5:$F$510,AL$3,'Datos - Objetivos de países'!$J$5:$J$510,$A21)+COUNTIFS('Datos - Objetivos de países'!$B$5:$B$510,"Colombia",'Datos - Objetivos de países'!$F$5:$F$510,AL$3,'Datos - Objetivos de países'!$K$5:$K$510,$A21)</f>
        <v/>
      </c>
      <c r="AM21" s="11">
        <f>COUNTIFS('Datos - Objetivos de países'!$B$5:$B$510,"Colombia",'Datos - Objetivos de países'!$F$5:$F$510,AM$3,'Datos - Objetivos de países'!$J$5:$J$510,$A21)+COUNTIFS('Datos - Objetivos de países'!$B$5:$B$510,"Colombia",'Datos - Objetivos de países'!$F$5:$F$510,AM$3,'Datos - Objetivos de países'!$K$5:$K$510,$A21)</f>
        <v/>
      </c>
      <c r="AN21" s="11">
        <f>COUNTIFS('Datos - Objetivos de países'!$B$5:$B$510,"Colombia",'Datos - Objetivos de países'!$F$5:$F$510,AN$3,'Datos - Objetivos de países'!$J$5:$J$510,$A21)+COUNTIFS('Datos - Objetivos de países'!$B$5:$B$510,"Colombia",'Datos - Objetivos de países'!$F$5:$F$510,AN$3,'Datos - Objetivos de países'!$K$5:$K$510,$A21)</f>
        <v/>
      </c>
      <c r="AO21" s="11">
        <f>COUNTIFS('Datos - Objetivos de países'!$B$5:$B$510,"Singapur",'Datos - Objetivos de países'!$F$5:$F$510,AO$3,'Datos - Objetivos de países'!$J$5:$J$510,$A21)+COUNTIFS('Datos - Objetivos de países'!$B$5:$B$510,"Singapur",'Datos - Objetivos de países'!$F$5:$F$510,AO$3,'Datos - Objetivos de países'!$K$5:$K$510,$A21)</f>
        <v/>
      </c>
      <c r="AP21" s="11">
        <f>COUNTIFS('Datos - Objetivos de países'!$B$5:$B$510,"Singapur",'Datos - Objetivos de países'!$F$5:$F$510,AP$3,'Datos - Objetivos de países'!$J$5:$J$510,$A21)+COUNTIFS('Datos - Objetivos de países'!$B$5:$B$510,"Singapur",'Datos - Objetivos de países'!$F$5:$F$510,AP$3,'Datos - Objetivos de países'!$K$5:$K$510,$A21)</f>
        <v/>
      </c>
      <c r="AQ21" s="11">
        <f>COUNTIFS('Datos - Objetivos de países'!$B$5:$B$510,"Singapur",'Datos - Objetivos de países'!$F$5:$F$510,AQ$3,'Datos - Objetivos de países'!$J$5:$J$510,$A21)+COUNTIFS('Datos - Objetivos de países'!$B$5:$B$510,"Singapur",'Datos - Objetivos de países'!$F$5:$F$510,AQ$3,'Datos - Objetivos de países'!$K$5:$K$510,$A21)</f>
        <v/>
      </c>
      <c r="AR21" s="11">
        <f>COUNTIFS('Datos - Objetivos de países'!$B$5:$B$510,"Singapur",'Datos - Objetivos de países'!$F$5:$F$510,AR$3,'Datos - Objetivos de países'!$J$5:$J$510,$A21)+COUNTIFS('Datos - Objetivos de países'!$B$5:$B$510,"Singapur",'Datos - Objetivos de países'!$F$5:$F$510,AR$3,'Datos - Objetivos de países'!$K$5:$K$510,$A21)</f>
        <v/>
      </c>
      <c r="AS21" s="11">
        <f>COUNTIFS('Datos - Objetivos de países'!$B$5:$B$510,"Singapur",'Datos - Objetivos de países'!$F$5:$F$510,AS$3,'Datos - Objetivos de países'!$J$5:$J$510,$A21)+COUNTIFS('Datos - Objetivos de países'!$B$5:$B$510,"Singapur",'Datos - Objetivos de países'!$F$5:$F$510,AS$3,'Datos - Objetivos de países'!$K$5:$K$510,$A21)</f>
        <v/>
      </c>
      <c r="AT21" s="11">
        <f>COUNTIFS('Datos - Objetivos de países'!$B$5:$B$510,"Singapur",'Datos - Objetivos de países'!$F$5:$F$510,AT$3,'Datos - Objetivos de países'!$J$5:$J$510,$A21)+COUNTIFS('Datos - Objetivos de países'!$B$5:$B$510,"Singapur",'Datos - Objetivos de países'!$F$5:$F$510,AT$3,'Datos - Objetivos de países'!$K$5:$K$510,$A21)</f>
        <v/>
      </c>
      <c r="AU21" s="11">
        <f>COUNTIFS('Datos - Objetivos de países'!$B$5:$B$510,"Singapur",'Datos - Objetivos de países'!$F$5:$F$510,AU$3,'Datos - Objetivos de países'!$J$5:$J$510,$A21)+COUNTIFS('Datos - Objetivos de países'!$B$5:$B$510,"Singapur",'Datos - Objetivos de países'!$F$5:$F$510,AU$3,'Datos - Objetivos de países'!$K$5:$K$510,$A21)</f>
        <v/>
      </c>
      <c r="AV21" s="11">
        <f>COUNTIFS('Datos - Objetivos de países'!$B$5:$B$510,"Singapur",'Datos - Objetivos de países'!$F$5:$F$510,AV$3,'Datos - Objetivos de países'!$J$5:$J$510,$A21)+COUNTIFS('Datos - Objetivos de países'!$B$5:$B$510,"Singapur",'Datos - Objetivos de países'!$F$5:$F$510,AV$3,'Datos - Objetivos de países'!$K$5:$K$510,$A21)</f>
        <v/>
      </c>
      <c r="AW21" s="11">
        <f>COUNTIFS('Datos - Objetivos de países'!$B$5:$B$510,"Singapur",'Datos - Objetivos de países'!$F$5:$F$510,AW$3,'Datos - Objetivos de países'!$J$5:$J$510,$A21)+COUNTIFS('Datos - Objetivos de países'!$B$5:$B$510,"Singapur",'Datos - Objetivos de países'!$F$5:$F$510,AW$3,'Datos - Objetivos de países'!$K$5:$K$510,$A21)</f>
        <v/>
      </c>
    </row>
    <row r="22">
      <c r="A22" s="30" t="inlineStr">
        <is>
          <t>T4_27-P2.2</t>
        </is>
      </c>
      <c r="B22" s="30" t="inlineStr">
        <is>
          <t>T4_27</t>
        </is>
      </c>
      <c r="C22" s="30" t="inlineStr">
        <is>
          <t>Ciencias físicas</t>
        </is>
      </c>
      <c r="D22" s="30" t="inlineStr">
        <is>
          <t>Calentamiento y enfriamiento</t>
        </is>
      </c>
      <c r="E22" s="30">
        <f>IFERROR(MAX($L$3,INDEX($N$3:$V$3,MATCH(TRUE,INDEX(N22:V22&gt;0,0),0))),"—")</f>
        <v/>
      </c>
      <c r="F22" s="30">
        <f>IFERROR(MAX($L$3,INDEX($W$3:$AE$3,MATCH(TRUE,INDEX(W22:AE22&gt;0,0),0))),"—")</f>
        <v/>
      </c>
      <c r="G22" s="30">
        <f>IFERROR(MAX($L$3,INDEX($AF$3:$AN$3,MATCH(TRUE,INDEX(AF22:AN22&gt;0,0),0))),"—")</f>
        <v/>
      </c>
      <c r="H22" s="30">
        <f>IFERROR(MAX($L$3,INDEX($AO$3:$AW$3,MATCH(TRUE,INDEX(AO22:AW22&gt;0,0),0))),"—")</f>
        <v/>
      </c>
      <c r="I22" s="36">
        <f>IF(L22=0,"—",MEDIAN(F22:H22))</f>
        <v/>
      </c>
      <c r="J22" s="36">
        <f>IF(OR(E22="—",I22="—"),"—",E22-I22)</f>
        <v/>
      </c>
      <c r="K22" s="19">
        <f>IF(E22="—",IF(L22=0,"Nadie lo trabaja","El Salvador no llega"),IF(L22=0,"Solo El Salvador",IF(J22&gt;0,"El Salvador llega más tarde",IF(J22&lt;0,"El Salvador va adelantado","Mismo grado"))))</f>
        <v/>
      </c>
      <c r="L22" s="30">
        <f>COUNT(F22:H22)</f>
        <v/>
      </c>
      <c r="N22" s="11">
        <f>COUNTIFS('Datos - Temas'!$C$5:$C$1264,"Ciencias",'Datos - Temas'!$B$5:$B$1264,N$3,'Datos - Temas'!$K$5:$K$1264,$A22)+COUNTIFS('Datos - Temas'!$C$5:$C$1264,"Ciencias",'Datos - Temas'!$B$5:$B$1264,N$3,'Datos - Temas'!$L$5:$L$1264,$A22)</f>
        <v/>
      </c>
      <c r="O22" s="11">
        <f>COUNTIFS('Datos - Temas'!$C$5:$C$1264,"Ciencias",'Datos - Temas'!$B$5:$B$1264,O$3,'Datos - Temas'!$K$5:$K$1264,$A22)+COUNTIFS('Datos - Temas'!$C$5:$C$1264,"Ciencias",'Datos - Temas'!$B$5:$B$1264,O$3,'Datos - Temas'!$L$5:$L$1264,$A22)</f>
        <v/>
      </c>
      <c r="P22" s="11">
        <f>COUNTIFS('Datos - Temas'!$C$5:$C$1264,"Ciencias",'Datos - Temas'!$B$5:$B$1264,P$3,'Datos - Temas'!$K$5:$K$1264,$A22)+COUNTIFS('Datos - Temas'!$C$5:$C$1264,"Ciencias",'Datos - Temas'!$B$5:$B$1264,P$3,'Datos - Temas'!$L$5:$L$1264,$A22)</f>
        <v/>
      </c>
      <c r="Q22" s="11">
        <f>COUNTIFS('Datos - Temas'!$C$5:$C$1264,"Ciencias",'Datos - Temas'!$B$5:$B$1264,Q$3,'Datos - Temas'!$K$5:$K$1264,$A22)+COUNTIFS('Datos - Temas'!$C$5:$C$1264,"Ciencias",'Datos - Temas'!$B$5:$B$1264,Q$3,'Datos - Temas'!$L$5:$L$1264,$A22)</f>
        <v/>
      </c>
      <c r="R22" s="11">
        <f>COUNTIFS('Datos - Temas'!$C$5:$C$1264,"Ciencias",'Datos - Temas'!$B$5:$B$1264,R$3,'Datos - Temas'!$K$5:$K$1264,$A22)+COUNTIFS('Datos - Temas'!$C$5:$C$1264,"Ciencias",'Datos - Temas'!$B$5:$B$1264,R$3,'Datos - Temas'!$L$5:$L$1264,$A22)</f>
        <v/>
      </c>
      <c r="S22" s="11">
        <f>COUNTIFS('Datos - Temas'!$C$5:$C$1264,"Ciencias",'Datos - Temas'!$B$5:$B$1264,S$3,'Datos - Temas'!$K$5:$K$1264,$A22)+COUNTIFS('Datos - Temas'!$C$5:$C$1264,"Ciencias",'Datos - Temas'!$B$5:$B$1264,S$3,'Datos - Temas'!$L$5:$L$1264,$A22)</f>
        <v/>
      </c>
      <c r="T22" s="11">
        <f>COUNTIFS('Datos - Temas'!$C$5:$C$1264,"Ciencias",'Datos - Temas'!$B$5:$B$1264,T$3,'Datos - Temas'!$K$5:$K$1264,$A22)+COUNTIFS('Datos - Temas'!$C$5:$C$1264,"Ciencias",'Datos - Temas'!$B$5:$B$1264,T$3,'Datos - Temas'!$L$5:$L$1264,$A22)</f>
        <v/>
      </c>
      <c r="U22" s="11">
        <f>COUNTIFS('Datos - Temas'!$C$5:$C$1264,"Ciencias",'Datos - Temas'!$B$5:$B$1264,U$3,'Datos - Temas'!$K$5:$K$1264,$A22)+COUNTIFS('Datos - Temas'!$C$5:$C$1264,"Ciencias",'Datos - Temas'!$B$5:$B$1264,U$3,'Datos - Temas'!$L$5:$L$1264,$A22)</f>
        <v/>
      </c>
      <c r="V22" s="11">
        <f>COUNTIFS('Datos - Temas'!$C$5:$C$1264,"Ciencias",'Datos - Temas'!$B$5:$B$1264,V$3,'Datos - Temas'!$K$5:$K$1264,$A22)+COUNTIFS('Datos - Temas'!$C$5:$C$1264,"Ciencias",'Datos - Temas'!$B$5:$B$1264,V$3,'Datos - Temas'!$L$5:$L$1264,$A22)</f>
        <v/>
      </c>
      <c r="W22" s="11">
        <f>COUNTIFS('Datos - Objetivos de países'!$B$5:$B$510,"Uruguay",'Datos - Objetivos de países'!$F$5:$F$510,W$3,'Datos - Objetivos de países'!$J$5:$J$510,$A22)+COUNTIFS('Datos - Objetivos de países'!$B$5:$B$510,"Uruguay",'Datos - Objetivos de países'!$F$5:$F$510,W$3,'Datos - Objetivos de países'!$K$5:$K$510,$A22)</f>
        <v/>
      </c>
      <c r="X22" s="11">
        <f>COUNTIFS('Datos - Objetivos de países'!$B$5:$B$510,"Uruguay",'Datos - Objetivos de países'!$F$5:$F$510,X$3,'Datos - Objetivos de países'!$J$5:$J$510,$A22)+COUNTIFS('Datos - Objetivos de países'!$B$5:$B$510,"Uruguay",'Datos - Objetivos de países'!$F$5:$F$510,X$3,'Datos - Objetivos de países'!$K$5:$K$510,$A22)</f>
        <v/>
      </c>
      <c r="Y22" s="11">
        <f>COUNTIFS('Datos - Objetivos de países'!$B$5:$B$510,"Uruguay",'Datos - Objetivos de países'!$F$5:$F$510,Y$3,'Datos - Objetivos de países'!$J$5:$J$510,$A22)+COUNTIFS('Datos - Objetivos de países'!$B$5:$B$510,"Uruguay",'Datos - Objetivos de países'!$F$5:$F$510,Y$3,'Datos - Objetivos de países'!$K$5:$K$510,$A22)</f>
        <v/>
      </c>
      <c r="Z22" s="11">
        <f>COUNTIFS('Datos - Objetivos de países'!$B$5:$B$510,"Uruguay",'Datos - Objetivos de países'!$F$5:$F$510,Z$3,'Datos - Objetivos de países'!$J$5:$J$510,$A22)+COUNTIFS('Datos - Objetivos de países'!$B$5:$B$510,"Uruguay",'Datos - Objetivos de países'!$F$5:$F$510,Z$3,'Datos - Objetivos de países'!$K$5:$K$510,$A22)</f>
        <v/>
      </c>
      <c r="AA22" s="11">
        <f>COUNTIFS('Datos - Objetivos de países'!$B$5:$B$510,"Uruguay",'Datos - Objetivos de países'!$F$5:$F$510,AA$3,'Datos - Objetivos de países'!$J$5:$J$510,$A22)+COUNTIFS('Datos - Objetivos de países'!$B$5:$B$510,"Uruguay",'Datos - Objetivos de países'!$F$5:$F$510,AA$3,'Datos - Objetivos de países'!$K$5:$K$510,$A22)</f>
        <v/>
      </c>
      <c r="AB22" s="11">
        <f>COUNTIFS('Datos - Objetivos de países'!$B$5:$B$510,"Uruguay",'Datos - Objetivos de países'!$F$5:$F$510,AB$3,'Datos - Objetivos de países'!$J$5:$J$510,$A22)+COUNTIFS('Datos - Objetivos de países'!$B$5:$B$510,"Uruguay",'Datos - Objetivos de países'!$F$5:$F$510,AB$3,'Datos - Objetivos de países'!$K$5:$K$510,$A22)</f>
        <v/>
      </c>
      <c r="AC22" s="11">
        <f>COUNTIFS('Datos - Objetivos de países'!$B$5:$B$510,"Uruguay",'Datos - Objetivos de países'!$F$5:$F$510,AC$3,'Datos - Objetivos de países'!$J$5:$J$510,$A22)+COUNTIFS('Datos - Objetivos de países'!$B$5:$B$510,"Uruguay",'Datos - Objetivos de países'!$F$5:$F$510,AC$3,'Datos - Objetivos de países'!$K$5:$K$510,$A22)</f>
        <v/>
      </c>
      <c r="AD22" s="11">
        <f>COUNTIFS('Datos - Objetivos de países'!$B$5:$B$510,"Uruguay",'Datos - Objetivos de países'!$F$5:$F$510,AD$3,'Datos - Objetivos de países'!$J$5:$J$510,$A22)+COUNTIFS('Datos - Objetivos de países'!$B$5:$B$510,"Uruguay",'Datos - Objetivos de países'!$F$5:$F$510,AD$3,'Datos - Objetivos de países'!$K$5:$K$510,$A22)</f>
        <v/>
      </c>
      <c r="AE22" s="11">
        <f>COUNTIFS('Datos - Objetivos de países'!$B$5:$B$510,"Uruguay",'Datos - Objetivos de países'!$F$5:$F$510,AE$3,'Datos - Objetivos de países'!$J$5:$J$510,$A22)+COUNTIFS('Datos - Objetivos de países'!$B$5:$B$510,"Uruguay",'Datos - Objetivos de países'!$F$5:$F$510,AE$3,'Datos - Objetivos de países'!$K$5:$K$510,$A22)</f>
        <v/>
      </c>
      <c r="AF22" s="11">
        <f>COUNTIFS('Datos - Objetivos de países'!$B$5:$B$510,"Colombia",'Datos - Objetivos de países'!$F$5:$F$510,AF$3,'Datos - Objetivos de países'!$J$5:$J$510,$A22)+COUNTIFS('Datos - Objetivos de países'!$B$5:$B$510,"Colombia",'Datos - Objetivos de países'!$F$5:$F$510,AF$3,'Datos - Objetivos de países'!$K$5:$K$510,$A22)</f>
        <v/>
      </c>
      <c r="AG22" s="11">
        <f>COUNTIFS('Datos - Objetivos de países'!$B$5:$B$510,"Colombia",'Datos - Objetivos de países'!$F$5:$F$510,AG$3,'Datos - Objetivos de países'!$J$5:$J$510,$A22)+COUNTIFS('Datos - Objetivos de países'!$B$5:$B$510,"Colombia",'Datos - Objetivos de países'!$F$5:$F$510,AG$3,'Datos - Objetivos de países'!$K$5:$K$510,$A22)</f>
        <v/>
      </c>
      <c r="AH22" s="11">
        <f>COUNTIFS('Datos - Objetivos de países'!$B$5:$B$510,"Colombia",'Datos - Objetivos de países'!$F$5:$F$510,AH$3,'Datos - Objetivos de países'!$J$5:$J$510,$A22)+COUNTIFS('Datos - Objetivos de países'!$B$5:$B$510,"Colombia",'Datos - Objetivos de países'!$F$5:$F$510,AH$3,'Datos - Objetivos de países'!$K$5:$K$510,$A22)</f>
        <v/>
      </c>
      <c r="AI22" s="11">
        <f>COUNTIFS('Datos - Objetivos de países'!$B$5:$B$510,"Colombia",'Datos - Objetivos de países'!$F$5:$F$510,AI$3,'Datos - Objetivos de países'!$J$5:$J$510,$A22)+COUNTIFS('Datos - Objetivos de países'!$B$5:$B$510,"Colombia",'Datos - Objetivos de países'!$F$5:$F$510,AI$3,'Datos - Objetivos de países'!$K$5:$K$510,$A22)</f>
        <v/>
      </c>
      <c r="AJ22" s="11">
        <f>COUNTIFS('Datos - Objetivos de países'!$B$5:$B$510,"Colombia",'Datos - Objetivos de países'!$F$5:$F$510,AJ$3,'Datos - Objetivos de países'!$J$5:$J$510,$A22)+COUNTIFS('Datos - Objetivos de países'!$B$5:$B$510,"Colombia",'Datos - Objetivos de países'!$F$5:$F$510,AJ$3,'Datos - Objetivos de países'!$K$5:$K$510,$A22)</f>
        <v/>
      </c>
      <c r="AK22" s="11">
        <f>COUNTIFS('Datos - Objetivos de países'!$B$5:$B$510,"Colombia",'Datos - Objetivos de países'!$F$5:$F$510,AK$3,'Datos - Objetivos de países'!$J$5:$J$510,$A22)+COUNTIFS('Datos - Objetivos de países'!$B$5:$B$510,"Colombia",'Datos - Objetivos de países'!$F$5:$F$510,AK$3,'Datos - Objetivos de países'!$K$5:$K$510,$A22)</f>
        <v/>
      </c>
      <c r="AL22" s="11">
        <f>COUNTIFS('Datos - Objetivos de países'!$B$5:$B$510,"Colombia",'Datos - Objetivos de países'!$F$5:$F$510,AL$3,'Datos - Objetivos de países'!$J$5:$J$510,$A22)+COUNTIFS('Datos - Objetivos de países'!$B$5:$B$510,"Colombia",'Datos - Objetivos de países'!$F$5:$F$510,AL$3,'Datos - Objetivos de países'!$K$5:$K$510,$A22)</f>
        <v/>
      </c>
      <c r="AM22" s="11">
        <f>COUNTIFS('Datos - Objetivos de países'!$B$5:$B$510,"Colombia",'Datos - Objetivos de países'!$F$5:$F$510,AM$3,'Datos - Objetivos de países'!$J$5:$J$510,$A22)+COUNTIFS('Datos - Objetivos de países'!$B$5:$B$510,"Colombia",'Datos - Objetivos de países'!$F$5:$F$510,AM$3,'Datos - Objetivos de países'!$K$5:$K$510,$A22)</f>
        <v/>
      </c>
      <c r="AN22" s="11">
        <f>COUNTIFS('Datos - Objetivos de países'!$B$5:$B$510,"Colombia",'Datos - Objetivos de países'!$F$5:$F$510,AN$3,'Datos - Objetivos de países'!$J$5:$J$510,$A22)+COUNTIFS('Datos - Objetivos de países'!$B$5:$B$510,"Colombia",'Datos - Objetivos de países'!$F$5:$F$510,AN$3,'Datos - Objetivos de países'!$K$5:$K$510,$A22)</f>
        <v/>
      </c>
      <c r="AO22" s="11">
        <f>COUNTIFS('Datos - Objetivos de países'!$B$5:$B$510,"Singapur",'Datos - Objetivos de países'!$F$5:$F$510,AO$3,'Datos - Objetivos de países'!$J$5:$J$510,$A22)+COUNTIFS('Datos - Objetivos de países'!$B$5:$B$510,"Singapur",'Datos - Objetivos de países'!$F$5:$F$510,AO$3,'Datos - Objetivos de países'!$K$5:$K$510,$A22)</f>
        <v/>
      </c>
      <c r="AP22" s="11">
        <f>COUNTIFS('Datos - Objetivos de países'!$B$5:$B$510,"Singapur",'Datos - Objetivos de países'!$F$5:$F$510,AP$3,'Datos - Objetivos de países'!$J$5:$J$510,$A22)+COUNTIFS('Datos - Objetivos de países'!$B$5:$B$510,"Singapur",'Datos - Objetivos de países'!$F$5:$F$510,AP$3,'Datos - Objetivos de países'!$K$5:$K$510,$A22)</f>
        <v/>
      </c>
      <c r="AQ22" s="11">
        <f>COUNTIFS('Datos - Objetivos de países'!$B$5:$B$510,"Singapur",'Datos - Objetivos de países'!$F$5:$F$510,AQ$3,'Datos - Objetivos de países'!$J$5:$J$510,$A22)+COUNTIFS('Datos - Objetivos de países'!$B$5:$B$510,"Singapur",'Datos - Objetivos de países'!$F$5:$F$510,AQ$3,'Datos - Objetivos de países'!$K$5:$K$510,$A22)</f>
        <v/>
      </c>
      <c r="AR22" s="11">
        <f>COUNTIFS('Datos - Objetivos de países'!$B$5:$B$510,"Singapur",'Datos - Objetivos de países'!$F$5:$F$510,AR$3,'Datos - Objetivos de países'!$J$5:$J$510,$A22)+COUNTIFS('Datos - Objetivos de países'!$B$5:$B$510,"Singapur",'Datos - Objetivos de países'!$F$5:$F$510,AR$3,'Datos - Objetivos de países'!$K$5:$K$510,$A22)</f>
        <v/>
      </c>
      <c r="AS22" s="11">
        <f>COUNTIFS('Datos - Objetivos de países'!$B$5:$B$510,"Singapur",'Datos - Objetivos de países'!$F$5:$F$510,AS$3,'Datos - Objetivos de países'!$J$5:$J$510,$A22)+COUNTIFS('Datos - Objetivos de países'!$B$5:$B$510,"Singapur",'Datos - Objetivos de países'!$F$5:$F$510,AS$3,'Datos - Objetivos de países'!$K$5:$K$510,$A22)</f>
        <v/>
      </c>
      <c r="AT22" s="11">
        <f>COUNTIFS('Datos - Objetivos de países'!$B$5:$B$510,"Singapur",'Datos - Objetivos de países'!$F$5:$F$510,AT$3,'Datos - Objetivos de países'!$J$5:$J$510,$A22)+COUNTIFS('Datos - Objetivos de países'!$B$5:$B$510,"Singapur",'Datos - Objetivos de países'!$F$5:$F$510,AT$3,'Datos - Objetivos de países'!$K$5:$K$510,$A22)</f>
        <v/>
      </c>
      <c r="AU22" s="11">
        <f>COUNTIFS('Datos - Objetivos de países'!$B$5:$B$510,"Singapur",'Datos - Objetivos de países'!$F$5:$F$510,AU$3,'Datos - Objetivos de países'!$J$5:$J$510,$A22)+COUNTIFS('Datos - Objetivos de países'!$B$5:$B$510,"Singapur",'Datos - Objetivos de países'!$F$5:$F$510,AU$3,'Datos - Objetivos de países'!$K$5:$K$510,$A22)</f>
        <v/>
      </c>
      <c r="AV22" s="11">
        <f>COUNTIFS('Datos - Objetivos de países'!$B$5:$B$510,"Singapur",'Datos - Objetivos de países'!$F$5:$F$510,AV$3,'Datos - Objetivos de países'!$J$5:$J$510,$A22)+COUNTIFS('Datos - Objetivos de países'!$B$5:$B$510,"Singapur",'Datos - Objetivos de países'!$F$5:$F$510,AV$3,'Datos - Objetivos de países'!$K$5:$K$510,$A22)</f>
        <v/>
      </c>
      <c r="AW22" s="11">
        <f>COUNTIFS('Datos - Objetivos de países'!$B$5:$B$510,"Singapur",'Datos - Objetivos de países'!$F$5:$F$510,AW$3,'Datos - Objetivos de países'!$J$5:$J$510,$A22)+COUNTIFS('Datos - Objetivos de países'!$B$5:$B$510,"Singapur",'Datos - Objetivos de países'!$F$5:$F$510,AW$3,'Datos - Objetivos de países'!$K$5:$K$510,$A22)</f>
        <v/>
      </c>
    </row>
    <row r="23">
      <c r="A23" s="30" t="inlineStr">
        <is>
          <t>T4_27-P3.1</t>
        </is>
      </c>
      <c r="B23" s="30" t="inlineStr">
        <is>
          <t>T4_27</t>
        </is>
      </c>
      <c r="C23" s="30" t="inlineStr">
        <is>
          <t>Ciencias físicas</t>
        </is>
      </c>
      <c r="D23" s="30" t="inlineStr">
        <is>
          <t>La luz en la vida diaria</t>
        </is>
      </c>
      <c r="E23" s="30">
        <f>IFERROR(MAX($L$3,INDEX($N$3:$V$3,MATCH(TRUE,INDEX(N23:V23&gt;0,0),0))),"—")</f>
        <v/>
      </c>
      <c r="F23" s="30">
        <f>IFERROR(MAX($L$3,INDEX($W$3:$AE$3,MATCH(TRUE,INDEX(W23:AE23&gt;0,0),0))),"—")</f>
        <v/>
      </c>
      <c r="G23" s="30">
        <f>IFERROR(MAX($L$3,INDEX($AF$3:$AN$3,MATCH(TRUE,INDEX(AF23:AN23&gt;0,0),0))),"—")</f>
        <v/>
      </c>
      <c r="H23" s="30">
        <f>IFERROR(MAX($L$3,INDEX($AO$3:$AW$3,MATCH(TRUE,INDEX(AO23:AW23&gt;0,0),0))),"—")</f>
        <v/>
      </c>
      <c r="I23" s="36">
        <f>IF(L23=0,"—",MEDIAN(F23:H23))</f>
        <v/>
      </c>
      <c r="J23" s="36">
        <f>IF(OR(E23="—",I23="—"),"—",E23-I23)</f>
        <v/>
      </c>
      <c r="K23" s="19">
        <f>IF(E23="—",IF(L23=0,"Nadie lo trabaja","El Salvador no llega"),IF(L23=0,"Solo El Salvador",IF(J23&gt;0,"El Salvador llega más tarde",IF(J23&lt;0,"El Salvador va adelantado","Mismo grado"))))</f>
        <v/>
      </c>
      <c r="L23" s="30">
        <f>COUNT(F23:H23)</f>
        <v/>
      </c>
      <c r="N23" s="11">
        <f>COUNTIFS('Datos - Temas'!$C$5:$C$1264,"Ciencias",'Datos - Temas'!$B$5:$B$1264,N$3,'Datos - Temas'!$K$5:$K$1264,$A23)+COUNTIFS('Datos - Temas'!$C$5:$C$1264,"Ciencias",'Datos - Temas'!$B$5:$B$1264,N$3,'Datos - Temas'!$L$5:$L$1264,$A23)</f>
        <v/>
      </c>
      <c r="O23" s="11">
        <f>COUNTIFS('Datos - Temas'!$C$5:$C$1264,"Ciencias",'Datos - Temas'!$B$5:$B$1264,O$3,'Datos - Temas'!$K$5:$K$1264,$A23)+COUNTIFS('Datos - Temas'!$C$5:$C$1264,"Ciencias",'Datos - Temas'!$B$5:$B$1264,O$3,'Datos - Temas'!$L$5:$L$1264,$A23)</f>
        <v/>
      </c>
      <c r="P23" s="11">
        <f>COUNTIFS('Datos - Temas'!$C$5:$C$1264,"Ciencias",'Datos - Temas'!$B$5:$B$1264,P$3,'Datos - Temas'!$K$5:$K$1264,$A23)+COUNTIFS('Datos - Temas'!$C$5:$C$1264,"Ciencias",'Datos - Temas'!$B$5:$B$1264,P$3,'Datos - Temas'!$L$5:$L$1264,$A23)</f>
        <v/>
      </c>
      <c r="Q23" s="11">
        <f>COUNTIFS('Datos - Temas'!$C$5:$C$1264,"Ciencias",'Datos - Temas'!$B$5:$B$1264,Q$3,'Datos - Temas'!$K$5:$K$1264,$A23)+COUNTIFS('Datos - Temas'!$C$5:$C$1264,"Ciencias",'Datos - Temas'!$B$5:$B$1264,Q$3,'Datos - Temas'!$L$5:$L$1264,$A23)</f>
        <v/>
      </c>
      <c r="R23" s="11">
        <f>COUNTIFS('Datos - Temas'!$C$5:$C$1264,"Ciencias",'Datos - Temas'!$B$5:$B$1264,R$3,'Datos - Temas'!$K$5:$K$1264,$A23)+COUNTIFS('Datos - Temas'!$C$5:$C$1264,"Ciencias",'Datos - Temas'!$B$5:$B$1264,R$3,'Datos - Temas'!$L$5:$L$1264,$A23)</f>
        <v/>
      </c>
      <c r="S23" s="11">
        <f>COUNTIFS('Datos - Temas'!$C$5:$C$1264,"Ciencias",'Datos - Temas'!$B$5:$B$1264,S$3,'Datos - Temas'!$K$5:$K$1264,$A23)+COUNTIFS('Datos - Temas'!$C$5:$C$1264,"Ciencias",'Datos - Temas'!$B$5:$B$1264,S$3,'Datos - Temas'!$L$5:$L$1264,$A23)</f>
        <v/>
      </c>
      <c r="T23" s="11">
        <f>COUNTIFS('Datos - Temas'!$C$5:$C$1264,"Ciencias",'Datos - Temas'!$B$5:$B$1264,T$3,'Datos - Temas'!$K$5:$K$1264,$A23)+COUNTIFS('Datos - Temas'!$C$5:$C$1264,"Ciencias",'Datos - Temas'!$B$5:$B$1264,T$3,'Datos - Temas'!$L$5:$L$1264,$A23)</f>
        <v/>
      </c>
      <c r="U23" s="11">
        <f>COUNTIFS('Datos - Temas'!$C$5:$C$1264,"Ciencias",'Datos - Temas'!$B$5:$B$1264,U$3,'Datos - Temas'!$K$5:$K$1264,$A23)+COUNTIFS('Datos - Temas'!$C$5:$C$1264,"Ciencias",'Datos - Temas'!$B$5:$B$1264,U$3,'Datos - Temas'!$L$5:$L$1264,$A23)</f>
        <v/>
      </c>
      <c r="V23" s="11">
        <f>COUNTIFS('Datos - Temas'!$C$5:$C$1264,"Ciencias",'Datos - Temas'!$B$5:$B$1264,V$3,'Datos - Temas'!$K$5:$K$1264,$A23)+COUNTIFS('Datos - Temas'!$C$5:$C$1264,"Ciencias",'Datos - Temas'!$B$5:$B$1264,V$3,'Datos - Temas'!$L$5:$L$1264,$A23)</f>
        <v/>
      </c>
      <c r="W23" s="11">
        <f>COUNTIFS('Datos - Objetivos de países'!$B$5:$B$510,"Uruguay",'Datos - Objetivos de países'!$F$5:$F$510,W$3,'Datos - Objetivos de países'!$J$5:$J$510,$A23)+COUNTIFS('Datos - Objetivos de países'!$B$5:$B$510,"Uruguay",'Datos - Objetivos de países'!$F$5:$F$510,W$3,'Datos - Objetivos de países'!$K$5:$K$510,$A23)</f>
        <v/>
      </c>
      <c r="X23" s="11">
        <f>COUNTIFS('Datos - Objetivos de países'!$B$5:$B$510,"Uruguay",'Datos - Objetivos de países'!$F$5:$F$510,X$3,'Datos - Objetivos de países'!$J$5:$J$510,$A23)+COUNTIFS('Datos - Objetivos de países'!$B$5:$B$510,"Uruguay",'Datos - Objetivos de países'!$F$5:$F$510,X$3,'Datos - Objetivos de países'!$K$5:$K$510,$A23)</f>
        <v/>
      </c>
      <c r="Y23" s="11">
        <f>COUNTIFS('Datos - Objetivos de países'!$B$5:$B$510,"Uruguay",'Datos - Objetivos de países'!$F$5:$F$510,Y$3,'Datos - Objetivos de países'!$J$5:$J$510,$A23)+COUNTIFS('Datos - Objetivos de países'!$B$5:$B$510,"Uruguay",'Datos - Objetivos de países'!$F$5:$F$510,Y$3,'Datos - Objetivos de países'!$K$5:$K$510,$A23)</f>
        <v/>
      </c>
      <c r="Z23" s="11">
        <f>COUNTIFS('Datos - Objetivos de países'!$B$5:$B$510,"Uruguay",'Datos - Objetivos de países'!$F$5:$F$510,Z$3,'Datos - Objetivos de países'!$J$5:$J$510,$A23)+COUNTIFS('Datos - Objetivos de países'!$B$5:$B$510,"Uruguay",'Datos - Objetivos de países'!$F$5:$F$510,Z$3,'Datos - Objetivos de países'!$K$5:$K$510,$A23)</f>
        <v/>
      </c>
      <c r="AA23" s="11">
        <f>COUNTIFS('Datos - Objetivos de países'!$B$5:$B$510,"Uruguay",'Datos - Objetivos de países'!$F$5:$F$510,AA$3,'Datos - Objetivos de países'!$J$5:$J$510,$A23)+COUNTIFS('Datos - Objetivos de países'!$B$5:$B$510,"Uruguay",'Datos - Objetivos de países'!$F$5:$F$510,AA$3,'Datos - Objetivos de países'!$K$5:$K$510,$A23)</f>
        <v/>
      </c>
      <c r="AB23" s="11">
        <f>COUNTIFS('Datos - Objetivos de países'!$B$5:$B$510,"Uruguay",'Datos - Objetivos de países'!$F$5:$F$510,AB$3,'Datos - Objetivos de países'!$J$5:$J$510,$A23)+COUNTIFS('Datos - Objetivos de países'!$B$5:$B$510,"Uruguay",'Datos - Objetivos de países'!$F$5:$F$510,AB$3,'Datos - Objetivos de países'!$K$5:$K$510,$A23)</f>
        <v/>
      </c>
      <c r="AC23" s="11">
        <f>COUNTIFS('Datos - Objetivos de países'!$B$5:$B$510,"Uruguay",'Datos - Objetivos de países'!$F$5:$F$510,AC$3,'Datos - Objetivos de países'!$J$5:$J$510,$A23)+COUNTIFS('Datos - Objetivos de países'!$B$5:$B$510,"Uruguay",'Datos - Objetivos de países'!$F$5:$F$510,AC$3,'Datos - Objetivos de países'!$K$5:$K$510,$A23)</f>
        <v/>
      </c>
      <c r="AD23" s="11">
        <f>COUNTIFS('Datos - Objetivos de países'!$B$5:$B$510,"Uruguay",'Datos - Objetivos de países'!$F$5:$F$510,AD$3,'Datos - Objetivos de países'!$J$5:$J$510,$A23)+COUNTIFS('Datos - Objetivos de países'!$B$5:$B$510,"Uruguay",'Datos - Objetivos de países'!$F$5:$F$510,AD$3,'Datos - Objetivos de países'!$K$5:$K$510,$A23)</f>
        <v/>
      </c>
      <c r="AE23" s="11">
        <f>COUNTIFS('Datos - Objetivos de países'!$B$5:$B$510,"Uruguay",'Datos - Objetivos de países'!$F$5:$F$510,AE$3,'Datos - Objetivos de países'!$J$5:$J$510,$A23)+COUNTIFS('Datos - Objetivos de países'!$B$5:$B$510,"Uruguay",'Datos - Objetivos de países'!$F$5:$F$510,AE$3,'Datos - Objetivos de países'!$K$5:$K$510,$A23)</f>
        <v/>
      </c>
      <c r="AF23" s="11">
        <f>COUNTIFS('Datos - Objetivos de países'!$B$5:$B$510,"Colombia",'Datos - Objetivos de países'!$F$5:$F$510,AF$3,'Datos - Objetivos de países'!$J$5:$J$510,$A23)+COUNTIFS('Datos - Objetivos de países'!$B$5:$B$510,"Colombia",'Datos - Objetivos de países'!$F$5:$F$510,AF$3,'Datos - Objetivos de países'!$K$5:$K$510,$A23)</f>
        <v/>
      </c>
      <c r="AG23" s="11">
        <f>COUNTIFS('Datos - Objetivos de países'!$B$5:$B$510,"Colombia",'Datos - Objetivos de países'!$F$5:$F$510,AG$3,'Datos - Objetivos de países'!$J$5:$J$510,$A23)+COUNTIFS('Datos - Objetivos de países'!$B$5:$B$510,"Colombia",'Datos - Objetivos de países'!$F$5:$F$510,AG$3,'Datos - Objetivos de países'!$K$5:$K$510,$A23)</f>
        <v/>
      </c>
      <c r="AH23" s="11">
        <f>COUNTIFS('Datos - Objetivos de países'!$B$5:$B$510,"Colombia",'Datos - Objetivos de países'!$F$5:$F$510,AH$3,'Datos - Objetivos de países'!$J$5:$J$510,$A23)+COUNTIFS('Datos - Objetivos de países'!$B$5:$B$510,"Colombia",'Datos - Objetivos de países'!$F$5:$F$510,AH$3,'Datos - Objetivos de países'!$K$5:$K$510,$A23)</f>
        <v/>
      </c>
      <c r="AI23" s="11">
        <f>COUNTIFS('Datos - Objetivos de países'!$B$5:$B$510,"Colombia",'Datos - Objetivos de países'!$F$5:$F$510,AI$3,'Datos - Objetivos de países'!$J$5:$J$510,$A23)+COUNTIFS('Datos - Objetivos de países'!$B$5:$B$510,"Colombia",'Datos - Objetivos de países'!$F$5:$F$510,AI$3,'Datos - Objetivos de países'!$K$5:$K$510,$A23)</f>
        <v/>
      </c>
      <c r="AJ23" s="11">
        <f>COUNTIFS('Datos - Objetivos de países'!$B$5:$B$510,"Colombia",'Datos - Objetivos de países'!$F$5:$F$510,AJ$3,'Datos - Objetivos de países'!$J$5:$J$510,$A23)+COUNTIFS('Datos - Objetivos de países'!$B$5:$B$510,"Colombia",'Datos - Objetivos de países'!$F$5:$F$510,AJ$3,'Datos - Objetivos de países'!$K$5:$K$510,$A23)</f>
        <v/>
      </c>
      <c r="AK23" s="11">
        <f>COUNTIFS('Datos - Objetivos de países'!$B$5:$B$510,"Colombia",'Datos - Objetivos de países'!$F$5:$F$510,AK$3,'Datos - Objetivos de países'!$J$5:$J$510,$A23)+COUNTIFS('Datos - Objetivos de países'!$B$5:$B$510,"Colombia",'Datos - Objetivos de países'!$F$5:$F$510,AK$3,'Datos - Objetivos de países'!$K$5:$K$510,$A23)</f>
        <v/>
      </c>
      <c r="AL23" s="11">
        <f>COUNTIFS('Datos - Objetivos de países'!$B$5:$B$510,"Colombia",'Datos - Objetivos de países'!$F$5:$F$510,AL$3,'Datos - Objetivos de países'!$J$5:$J$510,$A23)+COUNTIFS('Datos - Objetivos de países'!$B$5:$B$510,"Colombia",'Datos - Objetivos de países'!$F$5:$F$510,AL$3,'Datos - Objetivos de países'!$K$5:$K$510,$A23)</f>
        <v/>
      </c>
      <c r="AM23" s="11">
        <f>COUNTIFS('Datos - Objetivos de países'!$B$5:$B$510,"Colombia",'Datos - Objetivos de países'!$F$5:$F$510,AM$3,'Datos - Objetivos de países'!$J$5:$J$510,$A23)+COUNTIFS('Datos - Objetivos de países'!$B$5:$B$510,"Colombia",'Datos - Objetivos de países'!$F$5:$F$510,AM$3,'Datos - Objetivos de países'!$K$5:$K$510,$A23)</f>
        <v/>
      </c>
      <c r="AN23" s="11">
        <f>COUNTIFS('Datos - Objetivos de países'!$B$5:$B$510,"Colombia",'Datos - Objetivos de países'!$F$5:$F$510,AN$3,'Datos - Objetivos de países'!$J$5:$J$510,$A23)+COUNTIFS('Datos - Objetivos de países'!$B$5:$B$510,"Colombia",'Datos - Objetivos de países'!$F$5:$F$510,AN$3,'Datos - Objetivos de países'!$K$5:$K$510,$A23)</f>
        <v/>
      </c>
      <c r="AO23" s="11">
        <f>COUNTIFS('Datos - Objetivos de países'!$B$5:$B$510,"Singapur",'Datos - Objetivos de países'!$F$5:$F$510,AO$3,'Datos - Objetivos de países'!$J$5:$J$510,$A23)+COUNTIFS('Datos - Objetivos de países'!$B$5:$B$510,"Singapur",'Datos - Objetivos de países'!$F$5:$F$510,AO$3,'Datos - Objetivos de países'!$K$5:$K$510,$A23)</f>
        <v/>
      </c>
      <c r="AP23" s="11">
        <f>COUNTIFS('Datos - Objetivos de países'!$B$5:$B$510,"Singapur",'Datos - Objetivos de países'!$F$5:$F$510,AP$3,'Datos - Objetivos de países'!$J$5:$J$510,$A23)+COUNTIFS('Datos - Objetivos de países'!$B$5:$B$510,"Singapur",'Datos - Objetivos de países'!$F$5:$F$510,AP$3,'Datos - Objetivos de países'!$K$5:$K$510,$A23)</f>
        <v/>
      </c>
      <c r="AQ23" s="11">
        <f>COUNTIFS('Datos - Objetivos de países'!$B$5:$B$510,"Singapur",'Datos - Objetivos de países'!$F$5:$F$510,AQ$3,'Datos - Objetivos de países'!$J$5:$J$510,$A23)+COUNTIFS('Datos - Objetivos de países'!$B$5:$B$510,"Singapur",'Datos - Objetivos de países'!$F$5:$F$510,AQ$3,'Datos - Objetivos de países'!$K$5:$K$510,$A23)</f>
        <v/>
      </c>
      <c r="AR23" s="11">
        <f>COUNTIFS('Datos - Objetivos de países'!$B$5:$B$510,"Singapur",'Datos - Objetivos de países'!$F$5:$F$510,AR$3,'Datos - Objetivos de países'!$J$5:$J$510,$A23)+COUNTIFS('Datos - Objetivos de países'!$B$5:$B$510,"Singapur",'Datos - Objetivos de países'!$F$5:$F$510,AR$3,'Datos - Objetivos de países'!$K$5:$K$510,$A23)</f>
        <v/>
      </c>
      <c r="AS23" s="11">
        <f>COUNTIFS('Datos - Objetivos de países'!$B$5:$B$510,"Singapur",'Datos - Objetivos de países'!$F$5:$F$510,AS$3,'Datos - Objetivos de países'!$J$5:$J$510,$A23)+COUNTIFS('Datos - Objetivos de países'!$B$5:$B$510,"Singapur",'Datos - Objetivos de países'!$F$5:$F$510,AS$3,'Datos - Objetivos de países'!$K$5:$K$510,$A23)</f>
        <v/>
      </c>
      <c r="AT23" s="11">
        <f>COUNTIFS('Datos - Objetivos de países'!$B$5:$B$510,"Singapur",'Datos - Objetivos de países'!$F$5:$F$510,AT$3,'Datos - Objetivos de países'!$J$5:$J$510,$A23)+COUNTIFS('Datos - Objetivos de países'!$B$5:$B$510,"Singapur",'Datos - Objetivos de países'!$F$5:$F$510,AT$3,'Datos - Objetivos de países'!$K$5:$K$510,$A23)</f>
        <v/>
      </c>
      <c r="AU23" s="11">
        <f>COUNTIFS('Datos - Objetivos de países'!$B$5:$B$510,"Singapur",'Datos - Objetivos de países'!$F$5:$F$510,AU$3,'Datos - Objetivos de países'!$J$5:$J$510,$A23)+COUNTIFS('Datos - Objetivos de países'!$B$5:$B$510,"Singapur",'Datos - Objetivos de países'!$F$5:$F$510,AU$3,'Datos - Objetivos de países'!$K$5:$K$510,$A23)</f>
        <v/>
      </c>
      <c r="AV23" s="11">
        <f>COUNTIFS('Datos - Objetivos de países'!$B$5:$B$510,"Singapur",'Datos - Objetivos de países'!$F$5:$F$510,AV$3,'Datos - Objetivos de países'!$J$5:$J$510,$A23)+COUNTIFS('Datos - Objetivos de países'!$B$5:$B$510,"Singapur",'Datos - Objetivos de países'!$F$5:$F$510,AV$3,'Datos - Objetivos de países'!$K$5:$K$510,$A23)</f>
        <v/>
      </c>
      <c r="AW23" s="11">
        <f>COUNTIFS('Datos - Objetivos de países'!$B$5:$B$510,"Singapur",'Datos - Objetivos de países'!$F$5:$F$510,AW$3,'Datos - Objetivos de países'!$J$5:$J$510,$A23)+COUNTIFS('Datos - Objetivos de países'!$B$5:$B$510,"Singapur",'Datos - Objetivos de países'!$F$5:$F$510,AW$3,'Datos - Objetivos de países'!$K$5:$K$510,$A23)</f>
        <v/>
      </c>
    </row>
    <row r="24">
      <c r="A24" s="30" t="inlineStr">
        <is>
          <t>T4_27-P3.2</t>
        </is>
      </c>
      <c r="B24" s="30" t="inlineStr">
        <is>
          <t>T4_27</t>
        </is>
      </c>
      <c r="C24" s="30" t="inlineStr">
        <is>
          <t>Ciencias físicas</t>
        </is>
      </c>
      <c r="D24" s="30" t="inlineStr">
        <is>
          <t>El sonido en la vida diaria</t>
        </is>
      </c>
      <c r="E24" s="30">
        <f>IFERROR(MAX($L$3,INDEX($N$3:$V$3,MATCH(TRUE,INDEX(N24:V24&gt;0,0),0))),"—")</f>
        <v/>
      </c>
      <c r="F24" s="30">
        <f>IFERROR(MAX($L$3,INDEX($W$3:$AE$3,MATCH(TRUE,INDEX(W24:AE24&gt;0,0),0))),"—")</f>
        <v/>
      </c>
      <c r="G24" s="30">
        <f>IFERROR(MAX($L$3,INDEX($AF$3:$AN$3,MATCH(TRUE,INDEX(AF24:AN24&gt;0,0),0))),"—")</f>
        <v/>
      </c>
      <c r="H24" s="30">
        <f>IFERROR(MAX($L$3,INDEX($AO$3:$AW$3,MATCH(TRUE,INDEX(AO24:AW24&gt;0,0),0))),"—")</f>
        <v/>
      </c>
      <c r="I24" s="36">
        <f>IF(L24=0,"—",MEDIAN(F24:H24))</f>
        <v/>
      </c>
      <c r="J24" s="36">
        <f>IF(OR(E24="—",I24="—"),"—",E24-I24)</f>
        <v/>
      </c>
      <c r="K24" s="19">
        <f>IF(E24="—",IF(L24=0,"Nadie lo trabaja","El Salvador no llega"),IF(L24=0,"Solo El Salvador",IF(J24&gt;0,"El Salvador llega más tarde",IF(J24&lt;0,"El Salvador va adelantado","Mismo grado"))))</f>
        <v/>
      </c>
      <c r="L24" s="30">
        <f>COUNT(F24:H24)</f>
        <v/>
      </c>
      <c r="N24" s="11">
        <f>COUNTIFS('Datos - Temas'!$C$5:$C$1264,"Ciencias",'Datos - Temas'!$B$5:$B$1264,N$3,'Datos - Temas'!$K$5:$K$1264,$A24)+COUNTIFS('Datos - Temas'!$C$5:$C$1264,"Ciencias",'Datos - Temas'!$B$5:$B$1264,N$3,'Datos - Temas'!$L$5:$L$1264,$A24)</f>
        <v/>
      </c>
      <c r="O24" s="11">
        <f>COUNTIFS('Datos - Temas'!$C$5:$C$1264,"Ciencias",'Datos - Temas'!$B$5:$B$1264,O$3,'Datos - Temas'!$K$5:$K$1264,$A24)+COUNTIFS('Datos - Temas'!$C$5:$C$1264,"Ciencias",'Datos - Temas'!$B$5:$B$1264,O$3,'Datos - Temas'!$L$5:$L$1264,$A24)</f>
        <v/>
      </c>
      <c r="P24" s="11">
        <f>COUNTIFS('Datos - Temas'!$C$5:$C$1264,"Ciencias",'Datos - Temas'!$B$5:$B$1264,P$3,'Datos - Temas'!$K$5:$K$1264,$A24)+COUNTIFS('Datos - Temas'!$C$5:$C$1264,"Ciencias",'Datos - Temas'!$B$5:$B$1264,P$3,'Datos - Temas'!$L$5:$L$1264,$A24)</f>
        <v/>
      </c>
      <c r="Q24" s="11">
        <f>COUNTIFS('Datos - Temas'!$C$5:$C$1264,"Ciencias",'Datos - Temas'!$B$5:$B$1264,Q$3,'Datos - Temas'!$K$5:$K$1264,$A24)+COUNTIFS('Datos - Temas'!$C$5:$C$1264,"Ciencias",'Datos - Temas'!$B$5:$B$1264,Q$3,'Datos - Temas'!$L$5:$L$1264,$A24)</f>
        <v/>
      </c>
      <c r="R24" s="11">
        <f>COUNTIFS('Datos - Temas'!$C$5:$C$1264,"Ciencias",'Datos - Temas'!$B$5:$B$1264,R$3,'Datos - Temas'!$K$5:$K$1264,$A24)+COUNTIFS('Datos - Temas'!$C$5:$C$1264,"Ciencias",'Datos - Temas'!$B$5:$B$1264,R$3,'Datos - Temas'!$L$5:$L$1264,$A24)</f>
        <v/>
      </c>
      <c r="S24" s="11">
        <f>COUNTIFS('Datos - Temas'!$C$5:$C$1264,"Ciencias",'Datos - Temas'!$B$5:$B$1264,S$3,'Datos - Temas'!$K$5:$K$1264,$A24)+COUNTIFS('Datos - Temas'!$C$5:$C$1264,"Ciencias",'Datos - Temas'!$B$5:$B$1264,S$3,'Datos - Temas'!$L$5:$L$1264,$A24)</f>
        <v/>
      </c>
      <c r="T24" s="11">
        <f>COUNTIFS('Datos - Temas'!$C$5:$C$1264,"Ciencias",'Datos - Temas'!$B$5:$B$1264,T$3,'Datos - Temas'!$K$5:$K$1264,$A24)+COUNTIFS('Datos - Temas'!$C$5:$C$1264,"Ciencias",'Datos - Temas'!$B$5:$B$1264,T$3,'Datos - Temas'!$L$5:$L$1264,$A24)</f>
        <v/>
      </c>
      <c r="U24" s="11">
        <f>COUNTIFS('Datos - Temas'!$C$5:$C$1264,"Ciencias",'Datos - Temas'!$B$5:$B$1264,U$3,'Datos - Temas'!$K$5:$K$1264,$A24)+COUNTIFS('Datos - Temas'!$C$5:$C$1264,"Ciencias",'Datos - Temas'!$B$5:$B$1264,U$3,'Datos - Temas'!$L$5:$L$1264,$A24)</f>
        <v/>
      </c>
      <c r="V24" s="11">
        <f>COUNTIFS('Datos - Temas'!$C$5:$C$1264,"Ciencias",'Datos - Temas'!$B$5:$B$1264,V$3,'Datos - Temas'!$K$5:$K$1264,$A24)+COUNTIFS('Datos - Temas'!$C$5:$C$1264,"Ciencias",'Datos - Temas'!$B$5:$B$1264,V$3,'Datos - Temas'!$L$5:$L$1264,$A24)</f>
        <v/>
      </c>
      <c r="W24" s="11">
        <f>COUNTIFS('Datos - Objetivos de países'!$B$5:$B$510,"Uruguay",'Datos - Objetivos de países'!$F$5:$F$510,W$3,'Datos - Objetivos de países'!$J$5:$J$510,$A24)+COUNTIFS('Datos - Objetivos de países'!$B$5:$B$510,"Uruguay",'Datos - Objetivos de países'!$F$5:$F$510,W$3,'Datos - Objetivos de países'!$K$5:$K$510,$A24)</f>
        <v/>
      </c>
      <c r="X24" s="11">
        <f>COUNTIFS('Datos - Objetivos de países'!$B$5:$B$510,"Uruguay",'Datos - Objetivos de países'!$F$5:$F$510,X$3,'Datos - Objetivos de países'!$J$5:$J$510,$A24)+COUNTIFS('Datos - Objetivos de países'!$B$5:$B$510,"Uruguay",'Datos - Objetivos de países'!$F$5:$F$510,X$3,'Datos - Objetivos de países'!$K$5:$K$510,$A24)</f>
        <v/>
      </c>
      <c r="Y24" s="11">
        <f>COUNTIFS('Datos - Objetivos de países'!$B$5:$B$510,"Uruguay",'Datos - Objetivos de países'!$F$5:$F$510,Y$3,'Datos - Objetivos de países'!$J$5:$J$510,$A24)+COUNTIFS('Datos - Objetivos de países'!$B$5:$B$510,"Uruguay",'Datos - Objetivos de países'!$F$5:$F$510,Y$3,'Datos - Objetivos de países'!$K$5:$K$510,$A24)</f>
        <v/>
      </c>
      <c r="Z24" s="11">
        <f>COUNTIFS('Datos - Objetivos de países'!$B$5:$B$510,"Uruguay",'Datos - Objetivos de países'!$F$5:$F$510,Z$3,'Datos - Objetivos de países'!$J$5:$J$510,$A24)+COUNTIFS('Datos - Objetivos de países'!$B$5:$B$510,"Uruguay",'Datos - Objetivos de países'!$F$5:$F$510,Z$3,'Datos - Objetivos de países'!$K$5:$K$510,$A24)</f>
        <v/>
      </c>
      <c r="AA24" s="11">
        <f>COUNTIFS('Datos - Objetivos de países'!$B$5:$B$510,"Uruguay",'Datos - Objetivos de países'!$F$5:$F$510,AA$3,'Datos - Objetivos de países'!$J$5:$J$510,$A24)+COUNTIFS('Datos - Objetivos de países'!$B$5:$B$510,"Uruguay",'Datos - Objetivos de países'!$F$5:$F$510,AA$3,'Datos - Objetivos de países'!$K$5:$K$510,$A24)</f>
        <v/>
      </c>
      <c r="AB24" s="11">
        <f>COUNTIFS('Datos - Objetivos de países'!$B$5:$B$510,"Uruguay",'Datos - Objetivos de países'!$F$5:$F$510,AB$3,'Datos - Objetivos de países'!$J$5:$J$510,$A24)+COUNTIFS('Datos - Objetivos de países'!$B$5:$B$510,"Uruguay",'Datos - Objetivos de países'!$F$5:$F$510,AB$3,'Datos - Objetivos de países'!$K$5:$K$510,$A24)</f>
        <v/>
      </c>
      <c r="AC24" s="11">
        <f>COUNTIFS('Datos - Objetivos de países'!$B$5:$B$510,"Uruguay",'Datos - Objetivos de países'!$F$5:$F$510,AC$3,'Datos - Objetivos de países'!$J$5:$J$510,$A24)+COUNTIFS('Datos - Objetivos de países'!$B$5:$B$510,"Uruguay",'Datos - Objetivos de países'!$F$5:$F$510,AC$3,'Datos - Objetivos de países'!$K$5:$K$510,$A24)</f>
        <v/>
      </c>
      <c r="AD24" s="11">
        <f>COUNTIFS('Datos - Objetivos de países'!$B$5:$B$510,"Uruguay",'Datos - Objetivos de países'!$F$5:$F$510,AD$3,'Datos - Objetivos de países'!$J$5:$J$510,$A24)+COUNTIFS('Datos - Objetivos de países'!$B$5:$B$510,"Uruguay",'Datos - Objetivos de países'!$F$5:$F$510,AD$3,'Datos - Objetivos de países'!$K$5:$K$510,$A24)</f>
        <v/>
      </c>
      <c r="AE24" s="11">
        <f>COUNTIFS('Datos - Objetivos de países'!$B$5:$B$510,"Uruguay",'Datos - Objetivos de países'!$F$5:$F$510,AE$3,'Datos - Objetivos de países'!$J$5:$J$510,$A24)+COUNTIFS('Datos - Objetivos de países'!$B$5:$B$510,"Uruguay",'Datos - Objetivos de países'!$F$5:$F$510,AE$3,'Datos - Objetivos de países'!$K$5:$K$510,$A24)</f>
        <v/>
      </c>
      <c r="AF24" s="11">
        <f>COUNTIFS('Datos - Objetivos de países'!$B$5:$B$510,"Colombia",'Datos - Objetivos de países'!$F$5:$F$510,AF$3,'Datos - Objetivos de países'!$J$5:$J$510,$A24)+COUNTIFS('Datos - Objetivos de países'!$B$5:$B$510,"Colombia",'Datos - Objetivos de países'!$F$5:$F$510,AF$3,'Datos - Objetivos de países'!$K$5:$K$510,$A24)</f>
        <v/>
      </c>
      <c r="AG24" s="11">
        <f>COUNTIFS('Datos - Objetivos de países'!$B$5:$B$510,"Colombia",'Datos - Objetivos de países'!$F$5:$F$510,AG$3,'Datos - Objetivos de países'!$J$5:$J$510,$A24)+COUNTIFS('Datos - Objetivos de países'!$B$5:$B$510,"Colombia",'Datos - Objetivos de países'!$F$5:$F$510,AG$3,'Datos - Objetivos de países'!$K$5:$K$510,$A24)</f>
        <v/>
      </c>
      <c r="AH24" s="11">
        <f>COUNTIFS('Datos - Objetivos de países'!$B$5:$B$510,"Colombia",'Datos - Objetivos de países'!$F$5:$F$510,AH$3,'Datos - Objetivos de países'!$J$5:$J$510,$A24)+COUNTIFS('Datos - Objetivos de países'!$B$5:$B$510,"Colombia",'Datos - Objetivos de países'!$F$5:$F$510,AH$3,'Datos - Objetivos de países'!$K$5:$K$510,$A24)</f>
        <v/>
      </c>
      <c r="AI24" s="11">
        <f>COUNTIFS('Datos - Objetivos de países'!$B$5:$B$510,"Colombia",'Datos - Objetivos de países'!$F$5:$F$510,AI$3,'Datos - Objetivos de países'!$J$5:$J$510,$A24)+COUNTIFS('Datos - Objetivos de países'!$B$5:$B$510,"Colombia",'Datos - Objetivos de países'!$F$5:$F$510,AI$3,'Datos - Objetivos de países'!$K$5:$K$510,$A24)</f>
        <v/>
      </c>
      <c r="AJ24" s="11">
        <f>COUNTIFS('Datos - Objetivos de países'!$B$5:$B$510,"Colombia",'Datos - Objetivos de países'!$F$5:$F$510,AJ$3,'Datos - Objetivos de países'!$J$5:$J$510,$A24)+COUNTIFS('Datos - Objetivos de países'!$B$5:$B$510,"Colombia",'Datos - Objetivos de países'!$F$5:$F$510,AJ$3,'Datos - Objetivos de países'!$K$5:$K$510,$A24)</f>
        <v/>
      </c>
      <c r="AK24" s="11">
        <f>COUNTIFS('Datos - Objetivos de países'!$B$5:$B$510,"Colombia",'Datos - Objetivos de países'!$F$5:$F$510,AK$3,'Datos - Objetivos de países'!$J$5:$J$510,$A24)+COUNTIFS('Datos - Objetivos de países'!$B$5:$B$510,"Colombia",'Datos - Objetivos de países'!$F$5:$F$510,AK$3,'Datos - Objetivos de países'!$K$5:$K$510,$A24)</f>
        <v/>
      </c>
      <c r="AL24" s="11">
        <f>COUNTIFS('Datos - Objetivos de países'!$B$5:$B$510,"Colombia",'Datos - Objetivos de países'!$F$5:$F$510,AL$3,'Datos - Objetivos de países'!$J$5:$J$510,$A24)+COUNTIFS('Datos - Objetivos de países'!$B$5:$B$510,"Colombia",'Datos - Objetivos de países'!$F$5:$F$510,AL$3,'Datos - Objetivos de países'!$K$5:$K$510,$A24)</f>
        <v/>
      </c>
      <c r="AM24" s="11">
        <f>COUNTIFS('Datos - Objetivos de países'!$B$5:$B$510,"Colombia",'Datos - Objetivos de países'!$F$5:$F$510,AM$3,'Datos - Objetivos de países'!$J$5:$J$510,$A24)+COUNTIFS('Datos - Objetivos de países'!$B$5:$B$510,"Colombia",'Datos - Objetivos de países'!$F$5:$F$510,AM$3,'Datos - Objetivos de países'!$K$5:$K$510,$A24)</f>
        <v/>
      </c>
      <c r="AN24" s="11">
        <f>COUNTIFS('Datos - Objetivos de países'!$B$5:$B$510,"Colombia",'Datos - Objetivos de países'!$F$5:$F$510,AN$3,'Datos - Objetivos de países'!$J$5:$J$510,$A24)+COUNTIFS('Datos - Objetivos de países'!$B$5:$B$510,"Colombia",'Datos - Objetivos de países'!$F$5:$F$510,AN$3,'Datos - Objetivos de países'!$K$5:$K$510,$A24)</f>
        <v/>
      </c>
      <c r="AO24" s="11">
        <f>COUNTIFS('Datos - Objetivos de países'!$B$5:$B$510,"Singapur",'Datos - Objetivos de países'!$F$5:$F$510,AO$3,'Datos - Objetivos de países'!$J$5:$J$510,$A24)+COUNTIFS('Datos - Objetivos de países'!$B$5:$B$510,"Singapur",'Datos - Objetivos de países'!$F$5:$F$510,AO$3,'Datos - Objetivos de países'!$K$5:$K$510,$A24)</f>
        <v/>
      </c>
      <c r="AP24" s="11">
        <f>COUNTIFS('Datos - Objetivos de países'!$B$5:$B$510,"Singapur",'Datos - Objetivos de países'!$F$5:$F$510,AP$3,'Datos - Objetivos de países'!$J$5:$J$510,$A24)+COUNTIFS('Datos - Objetivos de países'!$B$5:$B$510,"Singapur",'Datos - Objetivos de países'!$F$5:$F$510,AP$3,'Datos - Objetivos de países'!$K$5:$K$510,$A24)</f>
        <v/>
      </c>
      <c r="AQ24" s="11">
        <f>COUNTIFS('Datos - Objetivos de países'!$B$5:$B$510,"Singapur",'Datos - Objetivos de países'!$F$5:$F$510,AQ$3,'Datos - Objetivos de países'!$J$5:$J$510,$A24)+COUNTIFS('Datos - Objetivos de países'!$B$5:$B$510,"Singapur",'Datos - Objetivos de países'!$F$5:$F$510,AQ$3,'Datos - Objetivos de países'!$K$5:$K$510,$A24)</f>
        <v/>
      </c>
      <c r="AR24" s="11">
        <f>COUNTIFS('Datos - Objetivos de países'!$B$5:$B$510,"Singapur",'Datos - Objetivos de países'!$F$5:$F$510,AR$3,'Datos - Objetivos de países'!$J$5:$J$510,$A24)+COUNTIFS('Datos - Objetivos de países'!$B$5:$B$510,"Singapur",'Datos - Objetivos de países'!$F$5:$F$510,AR$3,'Datos - Objetivos de países'!$K$5:$K$510,$A24)</f>
        <v/>
      </c>
      <c r="AS24" s="11">
        <f>COUNTIFS('Datos - Objetivos de países'!$B$5:$B$510,"Singapur",'Datos - Objetivos de países'!$F$5:$F$510,AS$3,'Datos - Objetivos de países'!$J$5:$J$510,$A24)+COUNTIFS('Datos - Objetivos de países'!$B$5:$B$510,"Singapur",'Datos - Objetivos de países'!$F$5:$F$510,AS$3,'Datos - Objetivos de países'!$K$5:$K$510,$A24)</f>
        <v/>
      </c>
      <c r="AT24" s="11">
        <f>COUNTIFS('Datos - Objetivos de países'!$B$5:$B$510,"Singapur",'Datos - Objetivos de países'!$F$5:$F$510,AT$3,'Datos - Objetivos de países'!$J$5:$J$510,$A24)+COUNTIFS('Datos - Objetivos de países'!$B$5:$B$510,"Singapur",'Datos - Objetivos de países'!$F$5:$F$510,AT$3,'Datos - Objetivos de países'!$K$5:$K$510,$A24)</f>
        <v/>
      </c>
      <c r="AU24" s="11">
        <f>COUNTIFS('Datos - Objetivos de países'!$B$5:$B$510,"Singapur",'Datos - Objetivos de países'!$F$5:$F$510,AU$3,'Datos - Objetivos de países'!$J$5:$J$510,$A24)+COUNTIFS('Datos - Objetivos de países'!$B$5:$B$510,"Singapur",'Datos - Objetivos de países'!$F$5:$F$510,AU$3,'Datos - Objetivos de países'!$K$5:$K$510,$A24)</f>
        <v/>
      </c>
      <c r="AV24" s="11">
        <f>COUNTIFS('Datos - Objetivos de países'!$B$5:$B$510,"Singapur",'Datos - Objetivos de países'!$F$5:$F$510,AV$3,'Datos - Objetivos de países'!$J$5:$J$510,$A24)+COUNTIFS('Datos - Objetivos de países'!$B$5:$B$510,"Singapur",'Datos - Objetivos de países'!$F$5:$F$510,AV$3,'Datos - Objetivos de países'!$K$5:$K$510,$A24)</f>
        <v/>
      </c>
      <c r="AW24" s="11">
        <f>COUNTIFS('Datos - Objetivos de países'!$B$5:$B$510,"Singapur",'Datos - Objetivos de países'!$F$5:$F$510,AW$3,'Datos - Objetivos de países'!$J$5:$J$510,$A24)+COUNTIFS('Datos - Objetivos de países'!$B$5:$B$510,"Singapur",'Datos - Objetivos de países'!$F$5:$F$510,AW$3,'Datos - Objetivos de países'!$K$5:$K$510,$A24)</f>
        <v/>
      </c>
    </row>
    <row r="25">
      <c r="A25" s="30" t="inlineStr">
        <is>
          <t>T4_27-P4.1</t>
        </is>
      </c>
      <c r="B25" s="30" t="inlineStr">
        <is>
          <t>T4_27</t>
        </is>
      </c>
      <c r="C25" s="30" t="inlineStr">
        <is>
          <t>Ciencias físicas</t>
        </is>
      </c>
      <c r="D25" s="30" t="inlineStr">
        <is>
          <t>Electricidad y dispositivos eléctricos sencillos</t>
        </is>
      </c>
      <c r="E25" s="30">
        <f>IFERROR(MAX($L$3,INDEX($N$3:$V$3,MATCH(TRUE,INDEX(N25:V25&gt;0,0),0))),"—")</f>
        <v/>
      </c>
      <c r="F25" s="30">
        <f>IFERROR(MAX($L$3,INDEX($W$3:$AE$3,MATCH(TRUE,INDEX(W25:AE25&gt;0,0),0))),"—")</f>
        <v/>
      </c>
      <c r="G25" s="30">
        <f>IFERROR(MAX($L$3,INDEX($AF$3:$AN$3,MATCH(TRUE,INDEX(AF25:AN25&gt;0,0),0))),"—")</f>
        <v/>
      </c>
      <c r="H25" s="30">
        <f>IFERROR(MAX($L$3,INDEX($AO$3:$AW$3,MATCH(TRUE,INDEX(AO25:AW25&gt;0,0),0))),"—")</f>
        <v/>
      </c>
      <c r="I25" s="36">
        <f>IF(L25=0,"—",MEDIAN(F25:H25))</f>
        <v/>
      </c>
      <c r="J25" s="36">
        <f>IF(OR(E25="—",I25="—"),"—",E25-I25)</f>
        <v/>
      </c>
      <c r="K25" s="19">
        <f>IF(E25="—",IF(L25=0,"Nadie lo trabaja","El Salvador no llega"),IF(L25=0,"Solo El Salvador",IF(J25&gt;0,"El Salvador llega más tarde",IF(J25&lt;0,"El Salvador va adelantado","Mismo grado"))))</f>
        <v/>
      </c>
      <c r="L25" s="30">
        <f>COUNT(F25:H25)</f>
        <v/>
      </c>
      <c r="N25" s="11">
        <f>COUNTIFS('Datos - Temas'!$C$5:$C$1264,"Ciencias",'Datos - Temas'!$B$5:$B$1264,N$3,'Datos - Temas'!$K$5:$K$1264,$A25)+COUNTIFS('Datos - Temas'!$C$5:$C$1264,"Ciencias",'Datos - Temas'!$B$5:$B$1264,N$3,'Datos - Temas'!$L$5:$L$1264,$A25)</f>
        <v/>
      </c>
      <c r="O25" s="11">
        <f>COUNTIFS('Datos - Temas'!$C$5:$C$1264,"Ciencias",'Datos - Temas'!$B$5:$B$1264,O$3,'Datos - Temas'!$K$5:$K$1264,$A25)+COUNTIFS('Datos - Temas'!$C$5:$C$1264,"Ciencias",'Datos - Temas'!$B$5:$B$1264,O$3,'Datos - Temas'!$L$5:$L$1264,$A25)</f>
        <v/>
      </c>
      <c r="P25" s="11">
        <f>COUNTIFS('Datos - Temas'!$C$5:$C$1264,"Ciencias",'Datos - Temas'!$B$5:$B$1264,P$3,'Datos - Temas'!$K$5:$K$1264,$A25)+COUNTIFS('Datos - Temas'!$C$5:$C$1264,"Ciencias",'Datos - Temas'!$B$5:$B$1264,P$3,'Datos - Temas'!$L$5:$L$1264,$A25)</f>
        <v/>
      </c>
      <c r="Q25" s="11">
        <f>COUNTIFS('Datos - Temas'!$C$5:$C$1264,"Ciencias",'Datos - Temas'!$B$5:$B$1264,Q$3,'Datos - Temas'!$K$5:$K$1264,$A25)+COUNTIFS('Datos - Temas'!$C$5:$C$1264,"Ciencias",'Datos - Temas'!$B$5:$B$1264,Q$3,'Datos - Temas'!$L$5:$L$1264,$A25)</f>
        <v/>
      </c>
      <c r="R25" s="11">
        <f>COUNTIFS('Datos - Temas'!$C$5:$C$1264,"Ciencias",'Datos - Temas'!$B$5:$B$1264,R$3,'Datos - Temas'!$K$5:$K$1264,$A25)+COUNTIFS('Datos - Temas'!$C$5:$C$1264,"Ciencias",'Datos - Temas'!$B$5:$B$1264,R$3,'Datos - Temas'!$L$5:$L$1264,$A25)</f>
        <v/>
      </c>
      <c r="S25" s="11">
        <f>COUNTIFS('Datos - Temas'!$C$5:$C$1264,"Ciencias",'Datos - Temas'!$B$5:$B$1264,S$3,'Datos - Temas'!$K$5:$K$1264,$A25)+COUNTIFS('Datos - Temas'!$C$5:$C$1264,"Ciencias",'Datos - Temas'!$B$5:$B$1264,S$3,'Datos - Temas'!$L$5:$L$1264,$A25)</f>
        <v/>
      </c>
      <c r="T25" s="11">
        <f>COUNTIFS('Datos - Temas'!$C$5:$C$1264,"Ciencias",'Datos - Temas'!$B$5:$B$1264,T$3,'Datos - Temas'!$K$5:$K$1264,$A25)+COUNTIFS('Datos - Temas'!$C$5:$C$1264,"Ciencias",'Datos - Temas'!$B$5:$B$1264,T$3,'Datos - Temas'!$L$5:$L$1264,$A25)</f>
        <v/>
      </c>
      <c r="U25" s="11">
        <f>COUNTIFS('Datos - Temas'!$C$5:$C$1264,"Ciencias",'Datos - Temas'!$B$5:$B$1264,U$3,'Datos - Temas'!$K$5:$K$1264,$A25)+COUNTIFS('Datos - Temas'!$C$5:$C$1264,"Ciencias",'Datos - Temas'!$B$5:$B$1264,U$3,'Datos - Temas'!$L$5:$L$1264,$A25)</f>
        <v/>
      </c>
      <c r="V25" s="11">
        <f>COUNTIFS('Datos - Temas'!$C$5:$C$1264,"Ciencias",'Datos - Temas'!$B$5:$B$1264,V$3,'Datos - Temas'!$K$5:$K$1264,$A25)+COUNTIFS('Datos - Temas'!$C$5:$C$1264,"Ciencias",'Datos - Temas'!$B$5:$B$1264,V$3,'Datos - Temas'!$L$5:$L$1264,$A25)</f>
        <v/>
      </c>
      <c r="W25" s="11">
        <f>COUNTIFS('Datos - Objetivos de países'!$B$5:$B$510,"Uruguay",'Datos - Objetivos de países'!$F$5:$F$510,W$3,'Datos - Objetivos de países'!$J$5:$J$510,$A25)+COUNTIFS('Datos - Objetivos de países'!$B$5:$B$510,"Uruguay",'Datos - Objetivos de países'!$F$5:$F$510,W$3,'Datos - Objetivos de países'!$K$5:$K$510,$A25)</f>
        <v/>
      </c>
      <c r="X25" s="11">
        <f>COUNTIFS('Datos - Objetivos de países'!$B$5:$B$510,"Uruguay",'Datos - Objetivos de países'!$F$5:$F$510,X$3,'Datos - Objetivos de países'!$J$5:$J$510,$A25)+COUNTIFS('Datos - Objetivos de países'!$B$5:$B$510,"Uruguay",'Datos - Objetivos de países'!$F$5:$F$510,X$3,'Datos - Objetivos de países'!$K$5:$K$510,$A25)</f>
        <v/>
      </c>
      <c r="Y25" s="11">
        <f>COUNTIFS('Datos - Objetivos de países'!$B$5:$B$510,"Uruguay",'Datos - Objetivos de países'!$F$5:$F$510,Y$3,'Datos - Objetivos de países'!$J$5:$J$510,$A25)+COUNTIFS('Datos - Objetivos de países'!$B$5:$B$510,"Uruguay",'Datos - Objetivos de países'!$F$5:$F$510,Y$3,'Datos - Objetivos de países'!$K$5:$K$510,$A25)</f>
        <v/>
      </c>
      <c r="Z25" s="11">
        <f>COUNTIFS('Datos - Objetivos de países'!$B$5:$B$510,"Uruguay",'Datos - Objetivos de países'!$F$5:$F$510,Z$3,'Datos - Objetivos de países'!$J$5:$J$510,$A25)+COUNTIFS('Datos - Objetivos de países'!$B$5:$B$510,"Uruguay",'Datos - Objetivos de países'!$F$5:$F$510,Z$3,'Datos - Objetivos de países'!$K$5:$K$510,$A25)</f>
        <v/>
      </c>
      <c r="AA25" s="11">
        <f>COUNTIFS('Datos - Objetivos de países'!$B$5:$B$510,"Uruguay",'Datos - Objetivos de países'!$F$5:$F$510,AA$3,'Datos - Objetivos de países'!$J$5:$J$510,$A25)+COUNTIFS('Datos - Objetivos de países'!$B$5:$B$510,"Uruguay",'Datos - Objetivos de países'!$F$5:$F$510,AA$3,'Datos - Objetivos de países'!$K$5:$K$510,$A25)</f>
        <v/>
      </c>
      <c r="AB25" s="11">
        <f>COUNTIFS('Datos - Objetivos de países'!$B$5:$B$510,"Uruguay",'Datos - Objetivos de países'!$F$5:$F$510,AB$3,'Datos - Objetivos de países'!$J$5:$J$510,$A25)+COUNTIFS('Datos - Objetivos de países'!$B$5:$B$510,"Uruguay",'Datos - Objetivos de países'!$F$5:$F$510,AB$3,'Datos - Objetivos de países'!$K$5:$K$510,$A25)</f>
        <v/>
      </c>
      <c r="AC25" s="11">
        <f>COUNTIFS('Datos - Objetivos de países'!$B$5:$B$510,"Uruguay",'Datos - Objetivos de países'!$F$5:$F$510,AC$3,'Datos - Objetivos de países'!$J$5:$J$510,$A25)+COUNTIFS('Datos - Objetivos de países'!$B$5:$B$510,"Uruguay",'Datos - Objetivos de países'!$F$5:$F$510,AC$3,'Datos - Objetivos de países'!$K$5:$K$510,$A25)</f>
        <v/>
      </c>
      <c r="AD25" s="11">
        <f>COUNTIFS('Datos - Objetivos de países'!$B$5:$B$510,"Uruguay",'Datos - Objetivos de países'!$F$5:$F$510,AD$3,'Datos - Objetivos de países'!$J$5:$J$510,$A25)+COUNTIFS('Datos - Objetivos de países'!$B$5:$B$510,"Uruguay",'Datos - Objetivos de países'!$F$5:$F$510,AD$3,'Datos - Objetivos de países'!$K$5:$K$510,$A25)</f>
        <v/>
      </c>
      <c r="AE25" s="11">
        <f>COUNTIFS('Datos - Objetivos de países'!$B$5:$B$510,"Uruguay",'Datos - Objetivos de países'!$F$5:$F$510,AE$3,'Datos - Objetivos de países'!$J$5:$J$510,$A25)+COUNTIFS('Datos - Objetivos de países'!$B$5:$B$510,"Uruguay",'Datos - Objetivos de países'!$F$5:$F$510,AE$3,'Datos - Objetivos de países'!$K$5:$K$510,$A25)</f>
        <v/>
      </c>
      <c r="AF25" s="11">
        <f>COUNTIFS('Datos - Objetivos de países'!$B$5:$B$510,"Colombia",'Datos - Objetivos de países'!$F$5:$F$510,AF$3,'Datos - Objetivos de países'!$J$5:$J$510,$A25)+COUNTIFS('Datos - Objetivos de países'!$B$5:$B$510,"Colombia",'Datos - Objetivos de países'!$F$5:$F$510,AF$3,'Datos - Objetivos de países'!$K$5:$K$510,$A25)</f>
        <v/>
      </c>
      <c r="AG25" s="11">
        <f>COUNTIFS('Datos - Objetivos de países'!$B$5:$B$510,"Colombia",'Datos - Objetivos de países'!$F$5:$F$510,AG$3,'Datos - Objetivos de países'!$J$5:$J$510,$A25)+COUNTIFS('Datos - Objetivos de países'!$B$5:$B$510,"Colombia",'Datos - Objetivos de países'!$F$5:$F$510,AG$3,'Datos - Objetivos de países'!$K$5:$K$510,$A25)</f>
        <v/>
      </c>
      <c r="AH25" s="11">
        <f>COUNTIFS('Datos - Objetivos de países'!$B$5:$B$510,"Colombia",'Datos - Objetivos de países'!$F$5:$F$510,AH$3,'Datos - Objetivos de países'!$J$5:$J$510,$A25)+COUNTIFS('Datos - Objetivos de países'!$B$5:$B$510,"Colombia",'Datos - Objetivos de países'!$F$5:$F$510,AH$3,'Datos - Objetivos de países'!$K$5:$K$510,$A25)</f>
        <v/>
      </c>
      <c r="AI25" s="11">
        <f>COUNTIFS('Datos - Objetivos de países'!$B$5:$B$510,"Colombia",'Datos - Objetivos de países'!$F$5:$F$510,AI$3,'Datos - Objetivos de países'!$J$5:$J$510,$A25)+COUNTIFS('Datos - Objetivos de países'!$B$5:$B$510,"Colombia",'Datos - Objetivos de países'!$F$5:$F$510,AI$3,'Datos - Objetivos de países'!$K$5:$K$510,$A25)</f>
        <v/>
      </c>
      <c r="AJ25" s="11">
        <f>COUNTIFS('Datos - Objetivos de países'!$B$5:$B$510,"Colombia",'Datos - Objetivos de países'!$F$5:$F$510,AJ$3,'Datos - Objetivos de países'!$J$5:$J$510,$A25)+COUNTIFS('Datos - Objetivos de países'!$B$5:$B$510,"Colombia",'Datos - Objetivos de países'!$F$5:$F$510,AJ$3,'Datos - Objetivos de países'!$K$5:$K$510,$A25)</f>
        <v/>
      </c>
      <c r="AK25" s="11">
        <f>COUNTIFS('Datos - Objetivos de países'!$B$5:$B$510,"Colombia",'Datos - Objetivos de países'!$F$5:$F$510,AK$3,'Datos - Objetivos de países'!$J$5:$J$510,$A25)+COUNTIFS('Datos - Objetivos de países'!$B$5:$B$510,"Colombia",'Datos - Objetivos de países'!$F$5:$F$510,AK$3,'Datos - Objetivos de países'!$K$5:$K$510,$A25)</f>
        <v/>
      </c>
      <c r="AL25" s="11">
        <f>COUNTIFS('Datos - Objetivos de países'!$B$5:$B$510,"Colombia",'Datos - Objetivos de países'!$F$5:$F$510,AL$3,'Datos - Objetivos de países'!$J$5:$J$510,$A25)+COUNTIFS('Datos - Objetivos de países'!$B$5:$B$510,"Colombia",'Datos - Objetivos de países'!$F$5:$F$510,AL$3,'Datos - Objetivos de países'!$K$5:$K$510,$A25)</f>
        <v/>
      </c>
      <c r="AM25" s="11">
        <f>COUNTIFS('Datos - Objetivos de países'!$B$5:$B$510,"Colombia",'Datos - Objetivos de países'!$F$5:$F$510,AM$3,'Datos - Objetivos de países'!$J$5:$J$510,$A25)+COUNTIFS('Datos - Objetivos de países'!$B$5:$B$510,"Colombia",'Datos - Objetivos de países'!$F$5:$F$510,AM$3,'Datos - Objetivos de países'!$K$5:$K$510,$A25)</f>
        <v/>
      </c>
      <c r="AN25" s="11">
        <f>COUNTIFS('Datos - Objetivos de países'!$B$5:$B$510,"Colombia",'Datos - Objetivos de países'!$F$5:$F$510,AN$3,'Datos - Objetivos de países'!$J$5:$J$510,$A25)+COUNTIFS('Datos - Objetivos de países'!$B$5:$B$510,"Colombia",'Datos - Objetivos de países'!$F$5:$F$510,AN$3,'Datos - Objetivos de países'!$K$5:$K$510,$A25)</f>
        <v/>
      </c>
      <c r="AO25" s="11">
        <f>COUNTIFS('Datos - Objetivos de países'!$B$5:$B$510,"Singapur",'Datos - Objetivos de países'!$F$5:$F$510,AO$3,'Datos - Objetivos de países'!$J$5:$J$510,$A25)+COUNTIFS('Datos - Objetivos de países'!$B$5:$B$510,"Singapur",'Datos - Objetivos de países'!$F$5:$F$510,AO$3,'Datos - Objetivos de países'!$K$5:$K$510,$A25)</f>
        <v/>
      </c>
      <c r="AP25" s="11">
        <f>COUNTIFS('Datos - Objetivos de países'!$B$5:$B$510,"Singapur",'Datos - Objetivos de países'!$F$5:$F$510,AP$3,'Datos - Objetivos de países'!$J$5:$J$510,$A25)+COUNTIFS('Datos - Objetivos de países'!$B$5:$B$510,"Singapur",'Datos - Objetivos de países'!$F$5:$F$510,AP$3,'Datos - Objetivos de países'!$K$5:$K$510,$A25)</f>
        <v/>
      </c>
      <c r="AQ25" s="11">
        <f>COUNTIFS('Datos - Objetivos de países'!$B$5:$B$510,"Singapur",'Datos - Objetivos de países'!$F$5:$F$510,AQ$3,'Datos - Objetivos de países'!$J$5:$J$510,$A25)+COUNTIFS('Datos - Objetivos de países'!$B$5:$B$510,"Singapur",'Datos - Objetivos de países'!$F$5:$F$510,AQ$3,'Datos - Objetivos de países'!$K$5:$K$510,$A25)</f>
        <v/>
      </c>
      <c r="AR25" s="11">
        <f>COUNTIFS('Datos - Objetivos de países'!$B$5:$B$510,"Singapur",'Datos - Objetivos de países'!$F$5:$F$510,AR$3,'Datos - Objetivos de países'!$J$5:$J$510,$A25)+COUNTIFS('Datos - Objetivos de países'!$B$5:$B$510,"Singapur",'Datos - Objetivos de países'!$F$5:$F$510,AR$3,'Datos - Objetivos de países'!$K$5:$K$510,$A25)</f>
        <v/>
      </c>
      <c r="AS25" s="11">
        <f>COUNTIFS('Datos - Objetivos de países'!$B$5:$B$510,"Singapur",'Datos - Objetivos de países'!$F$5:$F$510,AS$3,'Datos - Objetivos de países'!$J$5:$J$510,$A25)+COUNTIFS('Datos - Objetivos de países'!$B$5:$B$510,"Singapur",'Datos - Objetivos de países'!$F$5:$F$510,AS$3,'Datos - Objetivos de países'!$K$5:$K$510,$A25)</f>
        <v/>
      </c>
      <c r="AT25" s="11">
        <f>COUNTIFS('Datos - Objetivos de países'!$B$5:$B$510,"Singapur",'Datos - Objetivos de países'!$F$5:$F$510,AT$3,'Datos - Objetivos de países'!$J$5:$J$510,$A25)+COUNTIFS('Datos - Objetivos de países'!$B$5:$B$510,"Singapur",'Datos - Objetivos de países'!$F$5:$F$510,AT$3,'Datos - Objetivos de países'!$K$5:$K$510,$A25)</f>
        <v/>
      </c>
      <c r="AU25" s="11">
        <f>COUNTIFS('Datos - Objetivos de países'!$B$5:$B$510,"Singapur",'Datos - Objetivos de países'!$F$5:$F$510,AU$3,'Datos - Objetivos de países'!$J$5:$J$510,$A25)+COUNTIFS('Datos - Objetivos de países'!$B$5:$B$510,"Singapur",'Datos - Objetivos de países'!$F$5:$F$510,AU$3,'Datos - Objetivos de países'!$K$5:$K$510,$A25)</f>
        <v/>
      </c>
      <c r="AV25" s="11">
        <f>COUNTIFS('Datos - Objetivos de países'!$B$5:$B$510,"Singapur",'Datos - Objetivos de países'!$F$5:$F$510,AV$3,'Datos - Objetivos de países'!$J$5:$J$510,$A25)+COUNTIFS('Datos - Objetivos de países'!$B$5:$B$510,"Singapur",'Datos - Objetivos de países'!$F$5:$F$510,AV$3,'Datos - Objetivos de países'!$K$5:$K$510,$A25)</f>
        <v/>
      </c>
      <c r="AW25" s="11">
        <f>COUNTIFS('Datos - Objetivos de países'!$B$5:$B$510,"Singapur",'Datos - Objetivos de países'!$F$5:$F$510,AW$3,'Datos - Objetivos de países'!$J$5:$J$510,$A25)+COUNTIFS('Datos - Objetivos de países'!$B$5:$B$510,"Singapur",'Datos - Objetivos de países'!$F$5:$F$510,AW$3,'Datos - Objetivos de países'!$K$5:$K$510,$A25)</f>
        <v/>
      </c>
    </row>
    <row r="26">
      <c r="A26" s="30" t="inlineStr">
        <is>
          <t>T4_27-P4.2</t>
        </is>
      </c>
      <c r="B26" s="30" t="inlineStr">
        <is>
          <t>T4_27</t>
        </is>
      </c>
      <c r="C26" s="30" t="inlineStr">
        <is>
          <t>Ciencias físicas</t>
        </is>
      </c>
      <c r="D26" s="30" t="inlineStr">
        <is>
          <t>Atracción y repulsión magnética</t>
        </is>
      </c>
      <c r="E26" s="30">
        <f>IFERROR(MAX($L$3,INDEX($N$3:$V$3,MATCH(TRUE,INDEX(N26:V26&gt;0,0),0))),"—")</f>
        <v/>
      </c>
      <c r="F26" s="30">
        <f>IFERROR(MAX($L$3,INDEX($W$3:$AE$3,MATCH(TRUE,INDEX(W26:AE26&gt;0,0),0))),"—")</f>
        <v/>
      </c>
      <c r="G26" s="30">
        <f>IFERROR(MAX($L$3,INDEX($AF$3:$AN$3,MATCH(TRUE,INDEX(AF26:AN26&gt;0,0),0))),"—")</f>
        <v/>
      </c>
      <c r="H26" s="30">
        <f>IFERROR(MAX($L$3,INDEX($AO$3:$AW$3,MATCH(TRUE,INDEX(AO26:AW26&gt;0,0),0))),"—")</f>
        <v/>
      </c>
      <c r="I26" s="36">
        <f>IF(L26=0,"—",MEDIAN(F26:H26))</f>
        <v/>
      </c>
      <c r="J26" s="36">
        <f>IF(OR(E26="—",I26="—"),"—",E26-I26)</f>
        <v/>
      </c>
      <c r="K26" s="19">
        <f>IF(E26="—",IF(L26=0,"Nadie lo trabaja","El Salvador no llega"),IF(L26=0,"Solo El Salvador",IF(J26&gt;0,"El Salvador llega más tarde",IF(J26&lt;0,"El Salvador va adelantado","Mismo grado"))))</f>
        <v/>
      </c>
      <c r="L26" s="30">
        <f>COUNT(F26:H26)</f>
        <v/>
      </c>
      <c r="N26" s="11">
        <f>COUNTIFS('Datos - Temas'!$C$5:$C$1264,"Ciencias",'Datos - Temas'!$B$5:$B$1264,N$3,'Datos - Temas'!$K$5:$K$1264,$A26)+COUNTIFS('Datos - Temas'!$C$5:$C$1264,"Ciencias",'Datos - Temas'!$B$5:$B$1264,N$3,'Datos - Temas'!$L$5:$L$1264,$A26)</f>
        <v/>
      </c>
      <c r="O26" s="11">
        <f>COUNTIFS('Datos - Temas'!$C$5:$C$1264,"Ciencias",'Datos - Temas'!$B$5:$B$1264,O$3,'Datos - Temas'!$K$5:$K$1264,$A26)+COUNTIFS('Datos - Temas'!$C$5:$C$1264,"Ciencias",'Datos - Temas'!$B$5:$B$1264,O$3,'Datos - Temas'!$L$5:$L$1264,$A26)</f>
        <v/>
      </c>
      <c r="P26" s="11">
        <f>COUNTIFS('Datos - Temas'!$C$5:$C$1264,"Ciencias",'Datos - Temas'!$B$5:$B$1264,P$3,'Datos - Temas'!$K$5:$K$1264,$A26)+COUNTIFS('Datos - Temas'!$C$5:$C$1264,"Ciencias",'Datos - Temas'!$B$5:$B$1264,P$3,'Datos - Temas'!$L$5:$L$1264,$A26)</f>
        <v/>
      </c>
      <c r="Q26" s="11">
        <f>COUNTIFS('Datos - Temas'!$C$5:$C$1264,"Ciencias",'Datos - Temas'!$B$5:$B$1264,Q$3,'Datos - Temas'!$K$5:$K$1264,$A26)+COUNTIFS('Datos - Temas'!$C$5:$C$1264,"Ciencias",'Datos - Temas'!$B$5:$B$1264,Q$3,'Datos - Temas'!$L$5:$L$1264,$A26)</f>
        <v/>
      </c>
      <c r="R26" s="11">
        <f>COUNTIFS('Datos - Temas'!$C$5:$C$1264,"Ciencias",'Datos - Temas'!$B$5:$B$1264,R$3,'Datos - Temas'!$K$5:$K$1264,$A26)+COUNTIFS('Datos - Temas'!$C$5:$C$1264,"Ciencias",'Datos - Temas'!$B$5:$B$1264,R$3,'Datos - Temas'!$L$5:$L$1264,$A26)</f>
        <v/>
      </c>
      <c r="S26" s="11">
        <f>COUNTIFS('Datos - Temas'!$C$5:$C$1264,"Ciencias",'Datos - Temas'!$B$5:$B$1264,S$3,'Datos - Temas'!$K$5:$K$1264,$A26)+COUNTIFS('Datos - Temas'!$C$5:$C$1264,"Ciencias",'Datos - Temas'!$B$5:$B$1264,S$3,'Datos - Temas'!$L$5:$L$1264,$A26)</f>
        <v/>
      </c>
      <c r="T26" s="11">
        <f>COUNTIFS('Datos - Temas'!$C$5:$C$1264,"Ciencias",'Datos - Temas'!$B$5:$B$1264,T$3,'Datos - Temas'!$K$5:$K$1264,$A26)+COUNTIFS('Datos - Temas'!$C$5:$C$1264,"Ciencias",'Datos - Temas'!$B$5:$B$1264,T$3,'Datos - Temas'!$L$5:$L$1264,$A26)</f>
        <v/>
      </c>
      <c r="U26" s="11">
        <f>COUNTIFS('Datos - Temas'!$C$5:$C$1264,"Ciencias",'Datos - Temas'!$B$5:$B$1264,U$3,'Datos - Temas'!$K$5:$K$1264,$A26)+COUNTIFS('Datos - Temas'!$C$5:$C$1264,"Ciencias",'Datos - Temas'!$B$5:$B$1264,U$3,'Datos - Temas'!$L$5:$L$1264,$A26)</f>
        <v/>
      </c>
      <c r="V26" s="11">
        <f>COUNTIFS('Datos - Temas'!$C$5:$C$1264,"Ciencias",'Datos - Temas'!$B$5:$B$1264,V$3,'Datos - Temas'!$K$5:$K$1264,$A26)+COUNTIFS('Datos - Temas'!$C$5:$C$1264,"Ciencias",'Datos - Temas'!$B$5:$B$1264,V$3,'Datos - Temas'!$L$5:$L$1264,$A26)</f>
        <v/>
      </c>
      <c r="W26" s="11">
        <f>COUNTIFS('Datos - Objetivos de países'!$B$5:$B$510,"Uruguay",'Datos - Objetivos de países'!$F$5:$F$510,W$3,'Datos - Objetivos de países'!$J$5:$J$510,$A26)+COUNTIFS('Datos - Objetivos de países'!$B$5:$B$510,"Uruguay",'Datos - Objetivos de países'!$F$5:$F$510,W$3,'Datos - Objetivos de países'!$K$5:$K$510,$A26)</f>
        <v/>
      </c>
      <c r="X26" s="11">
        <f>COUNTIFS('Datos - Objetivos de países'!$B$5:$B$510,"Uruguay",'Datos - Objetivos de países'!$F$5:$F$510,X$3,'Datos - Objetivos de países'!$J$5:$J$510,$A26)+COUNTIFS('Datos - Objetivos de países'!$B$5:$B$510,"Uruguay",'Datos - Objetivos de países'!$F$5:$F$510,X$3,'Datos - Objetivos de países'!$K$5:$K$510,$A26)</f>
        <v/>
      </c>
      <c r="Y26" s="11">
        <f>COUNTIFS('Datos - Objetivos de países'!$B$5:$B$510,"Uruguay",'Datos - Objetivos de países'!$F$5:$F$510,Y$3,'Datos - Objetivos de países'!$J$5:$J$510,$A26)+COUNTIFS('Datos - Objetivos de países'!$B$5:$B$510,"Uruguay",'Datos - Objetivos de países'!$F$5:$F$510,Y$3,'Datos - Objetivos de países'!$K$5:$K$510,$A26)</f>
        <v/>
      </c>
      <c r="Z26" s="11">
        <f>COUNTIFS('Datos - Objetivos de países'!$B$5:$B$510,"Uruguay",'Datos - Objetivos de países'!$F$5:$F$510,Z$3,'Datos - Objetivos de países'!$J$5:$J$510,$A26)+COUNTIFS('Datos - Objetivos de países'!$B$5:$B$510,"Uruguay",'Datos - Objetivos de países'!$F$5:$F$510,Z$3,'Datos - Objetivos de países'!$K$5:$K$510,$A26)</f>
        <v/>
      </c>
      <c r="AA26" s="11">
        <f>COUNTIFS('Datos - Objetivos de países'!$B$5:$B$510,"Uruguay",'Datos - Objetivos de países'!$F$5:$F$510,AA$3,'Datos - Objetivos de países'!$J$5:$J$510,$A26)+COUNTIFS('Datos - Objetivos de países'!$B$5:$B$510,"Uruguay",'Datos - Objetivos de países'!$F$5:$F$510,AA$3,'Datos - Objetivos de países'!$K$5:$K$510,$A26)</f>
        <v/>
      </c>
      <c r="AB26" s="11">
        <f>COUNTIFS('Datos - Objetivos de países'!$B$5:$B$510,"Uruguay",'Datos - Objetivos de países'!$F$5:$F$510,AB$3,'Datos - Objetivos de países'!$J$5:$J$510,$A26)+COUNTIFS('Datos - Objetivos de países'!$B$5:$B$510,"Uruguay",'Datos - Objetivos de países'!$F$5:$F$510,AB$3,'Datos - Objetivos de países'!$K$5:$K$510,$A26)</f>
        <v/>
      </c>
      <c r="AC26" s="11">
        <f>COUNTIFS('Datos - Objetivos de países'!$B$5:$B$510,"Uruguay",'Datos - Objetivos de países'!$F$5:$F$510,AC$3,'Datos - Objetivos de países'!$J$5:$J$510,$A26)+COUNTIFS('Datos - Objetivos de países'!$B$5:$B$510,"Uruguay",'Datos - Objetivos de países'!$F$5:$F$510,AC$3,'Datos - Objetivos de países'!$K$5:$K$510,$A26)</f>
        <v/>
      </c>
      <c r="AD26" s="11">
        <f>COUNTIFS('Datos - Objetivos de países'!$B$5:$B$510,"Uruguay",'Datos - Objetivos de países'!$F$5:$F$510,AD$3,'Datos - Objetivos de países'!$J$5:$J$510,$A26)+COUNTIFS('Datos - Objetivos de países'!$B$5:$B$510,"Uruguay",'Datos - Objetivos de países'!$F$5:$F$510,AD$3,'Datos - Objetivos de países'!$K$5:$K$510,$A26)</f>
        <v/>
      </c>
      <c r="AE26" s="11">
        <f>COUNTIFS('Datos - Objetivos de países'!$B$5:$B$510,"Uruguay",'Datos - Objetivos de países'!$F$5:$F$510,AE$3,'Datos - Objetivos de países'!$J$5:$J$510,$A26)+COUNTIFS('Datos - Objetivos de países'!$B$5:$B$510,"Uruguay",'Datos - Objetivos de países'!$F$5:$F$510,AE$3,'Datos - Objetivos de países'!$K$5:$K$510,$A26)</f>
        <v/>
      </c>
      <c r="AF26" s="11">
        <f>COUNTIFS('Datos - Objetivos de países'!$B$5:$B$510,"Colombia",'Datos - Objetivos de países'!$F$5:$F$510,AF$3,'Datos - Objetivos de países'!$J$5:$J$510,$A26)+COUNTIFS('Datos - Objetivos de países'!$B$5:$B$510,"Colombia",'Datos - Objetivos de países'!$F$5:$F$510,AF$3,'Datos - Objetivos de países'!$K$5:$K$510,$A26)</f>
        <v/>
      </c>
      <c r="AG26" s="11">
        <f>COUNTIFS('Datos - Objetivos de países'!$B$5:$B$510,"Colombia",'Datos - Objetivos de países'!$F$5:$F$510,AG$3,'Datos - Objetivos de países'!$J$5:$J$510,$A26)+COUNTIFS('Datos - Objetivos de países'!$B$5:$B$510,"Colombia",'Datos - Objetivos de países'!$F$5:$F$510,AG$3,'Datos - Objetivos de países'!$K$5:$K$510,$A26)</f>
        <v/>
      </c>
      <c r="AH26" s="11">
        <f>COUNTIFS('Datos - Objetivos de países'!$B$5:$B$510,"Colombia",'Datos - Objetivos de países'!$F$5:$F$510,AH$3,'Datos - Objetivos de países'!$J$5:$J$510,$A26)+COUNTIFS('Datos - Objetivos de países'!$B$5:$B$510,"Colombia",'Datos - Objetivos de países'!$F$5:$F$510,AH$3,'Datos - Objetivos de países'!$K$5:$K$510,$A26)</f>
        <v/>
      </c>
      <c r="AI26" s="11">
        <f>COUNTIFS('Datos - Objetivos de países'!$B$5:$B$510,"Colombia",'Datos - Objetivos de países'!$F$5:$F$510,AI$3,'Datos - Objetivos de países'!$J$5:$J$510,$A26)+COUNTIFS('Datos - Objetivos de países'!$B$5:$B$510,"Colombia",'Datos - Objetivos de países'!$F$5:$F$510,AI$3,'Datos - Objetivos de países'!$K$5:$K$510,$A26)</f>
        <v/>
      </c>
      <c r="AJ26" s="11">
        <f>COUNTIFS('Datos - Objetivos de países'!$B$5:$B$510,"Colombia",'Datos - Objetivos de países'!$F$5:$F$510,AJ$3,'Datos - Objetivos de países'!$J$5:$J$510,$A26)+COUNTIFS('Datos - Objetivos de países'!$B$5:$B$510,"Colombia",'Datos - Objetivos de países'!$F$5:$F$510,AJ$3,'Datos - Objetivos de países'!$K$5:$K$510,$A26)</f>
        <v/>
      </c>
      <c r="AK26" s="11">
        <f>COUNTIFS('Datos - Objetivos de países'!$B$5:$B$510,"Colombia",'Datos - Objetivos de países'!$F$5:$F$510,AK$3,'Datos - Objetivos de países'!$J$5:$J$510,$A26)+COUNTIFS('Datos - Objetivos de países'!$B$5:$B$510,"Colombia",'Datos - Objetivos de países'!$F$5:$F$510,AK$3,'Datos - Objetivos de países'!$K$5:$K$510,$A26)</f>
        <v/>
      </c>
      <c r="AL26" s="11">
        <f>COUNTIFS('Datos - Objetivos de países'!$B$5:$B$510,"Colombia",'Datos - Objetivos de países'!$F$5:$F$510,AL$3,'Datos - Objetivos de países'!$J$5:$J$510,$A26)+COUNTIFS('Datos - Objetivos de países'!$B$5:$B$510,"Colombia",'Datos - Objetivos de países'!$F$5:$F$510,AL$3,'Datos - Objetivos de países'!$K$5:$K$510,$A26)</f>
        <v/>
      </c>
      <c r="AM26" s="11">
        <f>COUNTIFS('Datos - Objetivos de países'!$B$5:$B$510,"Colombia",'Datos - Objetivos de países'!$F$5:$F$510,AM$3,'Datos - Objetivos de países'!$J$5:$J$510,$A26)+COUNTIFS('Datos - Objetivos de países'!$B$5:$B$510,"Colombia",'Datos - Objetivos de países'!$F$5:$F$510,AM$3,'Datos - Objetivos de países'!$K$5:$K$510,$A26)</f>
        <v/>
      </c>
      <c r="AN26" s="11">
        <f>COUNTIFS('Datos - Objetivos de países'!$B$5:$B$510,"Colombia",'Datos - Objetivos de países'!$F$5:$F$510,AN$3,'Datos - Objetivos de países'!$J$5:$J$510,$A26)+COUNTIFS('Datos - Objetivos de países'!$B$5:$B$510,"Colombia",'Datos - Objetivos de países'!$F$5:$F$510,AN$3,'Datos - Objetivos de países'!$K$5:$K$510,$A26)</f>
        <v/>
      </c>
      <c r="AO26" s="11">
        <f>COUNTIFS('Datos - Objetivos de países'!$B$5:$B$510,"Singapur",'Datos - Objetivos de países'!$F$5:$F$510,AO$3,'Datos - Objetivos de países'!$J$5:$J$510,$A26)+COUNTIFS('Datos - Objetivos de países'!$B$5:$B$510,"Singapur",'Datos - Objetivos de países'!$F$5:$F$510,AO$3,'Datos - Objetivos de países'!$K$5:$K$510,$A26)</f>
        <v/>
      </c>
      <c r="AP26" s="11">
        <f>COUNTIFS('Datos - Objetivos de países'!$B$5:$B$510,"Singapur",'Datos - Objetivos de países'!$F$5:$F$510,AP$3,'Datos - Objetivos de países'!$J$5:$J$510,$A26)+COUNTIFS('Datos - Objetivos de países'!$B$5:$B$510,"Singapur",'Datos - Objetivos de países'!$F$5:$F$510,AP$3,'Datos - Objetivos de países'!$K$5:$K$510,$A26)</f>
        <v/>
      </c>
      <c r="AQ26" s="11">
        <f>COUNTIFS('Datos - Objetivos de países'!$B$5:$B$510,"Singapur",'Datos - Objetivos de países'!$F$5:$F$510,AQ$3,'Datos - Objetivos de países'!$J$5:$J$510,$A26)+COUNTIFS('Datos - Objetivos de países'!$B$5:$B$510,"Singapur",'Datos - Objetivos de países'!$F$5:$F$510,AQ$3,'Datos - Objetivos de países'!$K$5:$K$510,$A26)</f>
        <v/>
      </c>
      <c r="AR26" s="11">
        <f>COUNTIFS('Datos - Objetivos de países'!$B$5:$B$510,"Singapur",'Datos - Objetivos de países'!$F$5:$F$510,AR$3,'Datos - Objetivos de países'!$J$5:$J$510,$A26)+COUNTIFS('Datos - Objetivos de países'!$B$5:$B$510,"Singapur",'Datos - Objetivos de países'!$F$5:$F$510,AR$3,'Datos - Objetivos de países'!$K$5:$K$510,$A26)</f>
        <v/>
      </c>
      <c r="AS26" s="11">
        <f>COUNTIFS('Datos - Objetivos de países'!$B$5:$B$510,"Singapur",'Datos - Objetivos de países'!$F$5:$F$510,AS$3,'Datos - Objetivos de países'!$J$5:$J$510,$A26)+COUNTIFS('Datos - Objetivos de países'!$B$5:$B$510,"Singapur",'Datos - Objetivos de países'!$F$5:$F$510,AS$3,'Datos - Objetivos de países'!$K$5:$K$510,$A26)</f>
        <v/>
      </c>
      <c r="AT26" s="11">
        <f>COUNTIFS('Datos - Objetivos de países'!$B$5:$B$510,"Singapur",'Datos - Objetivos de países'!$F$5:$F$510,AT$3,'Datos - Objetivos de países'!$J$5:$J$510,$A26)+COUNTIFS('Datos - Objetivos de países'!$B$5:$B$510,"Singapur",'Datos - Objetivos de países'!$F$5:$F$510,AT$3,'Datos - Objetivos de países'!$K$5:$K$510,$A26)</f>
        <v/>
      </c>
      <c r="AU26" s="11">
        <f>COUNTIFS('Datos - Objetivos de países'!$B$5:$B$510,"Singapur",'Datos - Objetivos de países'!$F$5:$F$510,AU$3,'Datos - Objetivos de países'!$J$5:$J$510,$A26)+COUNTIFS('Datos - Objetivos de países'!$B$5:$B$510,"Singapur",'Datos - Objetivos de países'!$F$5:$F$510,AU$3,'Datos - Objetivos de países'!$K$5:$K$510,$A26)</f>
        <v/>
      </c>
      <c r="AV26" s="11">
        <f>COUNTIFS('Datos - Objetivos de países'!$B$5:$B$510,"Singapur",'Datos - Objetivos de países'!$F$5:$F$510,AV$3,'Datos - Objetivos de países'!$J$5:$J$510,$A26)+COUNTIFS('Datos - Objetivos de países'!$B$5:$B$510,"Singapur",'Datos - Objetivos de países'!$F$5:$F$510,AV$3,'Datos - Objetivos de países'!$K$5:$K$510,$A26)</f>
        <v/>
      </c>
      <c r="AW26" s="11">
        <f>COUNTIFS('Datos - Objetivos de países'!$B$5:$B$510,"Singapur",'Datos - Objetivos de países'!$F$5:$F$510,AW$3,'Datos - Objetivos de países'!$J$5:$J$510,$A26)+COUNTIFS('Datos - Objetivos de países'!$B$5:$B$510,"Singapur",'Datos - Objetivos de países'!$F$5:$F$510,AW$3,'Datos - Objetivos de países'!$K$5:$K$510,$A26)</f>
        <v/>
      </c>
    </row>
    <row r="27">
      <c r="A27" s="30" t="inlineStr">
        <is>
          <t>T4_27-P5.1</t>
        </is>
      </c>
      <c r="B27" s="30" t="inlineStr">
        <is>
          <t>T4_27</t>
        </is>
      </c>
      <c r="C27" s="30" t="inlineStr">
        <is>
          <t>Ciencias físicas</t>
        </is>
      </c>
      <c r="D27" s="30" t="inlineStr">
        <is>
          <t>Fuerzas comunes y movimiento de los objetos</t>
        </is>
      </c>
      <c r="E27" s="30">
        <f>IFERROR(MAX($L$3,INDEX($N$3:$V$3,MATCH(TRUE,INDEX(N27:V27&gt;0,0),0))),"—")</f>
        <v/>
      </c>
      <c r="F27" s="30">
        <f>IFERROR(MAX($L$3,INDEX($W$3:$AE$3,MATCH(TRUE,INDEX(W27:AE27&gt;0,0),0))),"—")</f>
        <v/>
      </c>
      <c r="G27" s="30">
        <f>IFERROR(MAX($L$3,INDEX($AF$3:$AN$3,MATCH(TRUE,INDEX(AF27:AN27&gt;0,0),0))),"—")</f>
        <v/>
      </c>
      <c r="H27" s="30">
        <f>IFERROR(MAX($L$3,INDEX($AO$3:$AW$3,MATCH(TRUE,INDEX(AO27:AW27&gt;0,0),0))),"—")</f>
        <v/>
      </c>
      <c r="I27" s="36">
        <f>IF(L27=0,"—",MEDIAN(F27:H27))</f>
        <v/>
      </c>
      <c r="J27" s="36">
        <f>IF(OR(E27="—",I27="—"),"—",E27-I27)</f>
        <v/>
      </c>
      <c r="K27" s="19">
        <f>IF(E27="—",IF(L27=0,"Nadie lo trabaja","El Salvador no llega"),IF(L27=0,"Solo El Salvador",IF(J27&gt;0,"El Salvador llega más tarde",IF(J27&lt;0,"El Salvador va adelantado","Mismo grado"))))</f>
        <v/>
      </c>
      <c r="L27" s="30">
        <f>COUNT(F27:H27)</f>
        <v/>
      </c>
      <c r="N27" s="11">
        <f>COUNTIFS('Datos - Temas'!$C$5:$C$1264,"Ciencias",'Datos - Temas'!$B$5:$B$1264,N$3,'Datos - Temas'!$K$5:$K$1264,$A27)+COUNTIFS('Datos - Temas'!$C$5:$C$1264,"Ciencias",'Datos - Temas'!$B$5:$B$1264,N$3,'Datos - Temas'!$L$5:$L$1264,$A27)</f>
        <v/>
      </c>
      <c r="O27" s="11">
        <f>COUNTIFS('Datos - Temas'!$C$5:$C$1264,"Ciencias",'Datos - Temas'!$B$5:$B$1264,O$3,'Datos - Temas'!$K$5:$K$1264,$A27)+COUNTIFS('Datos - Temas'!$C$5:$C$1264,"Ciencias",'Datos - Temas'!$B$5:$B$1264,O$3,'Datos - Temas'!$L$5:$L$1264,$A27)</f>
        <v/>
      </c>
      <c r="P27" s="11">
        <f>COUNTIFS('Datos - Temas'!$C$5:$C$1264,"Ciencias",'Datos - Temas'!$B$5:$B$1264,P$3,'Datos - Temas'!$K$5:$K$1264,$A27)+COUNTIFS('Datos - Temas'!$C$5:$C$1264,"Ciencias",'Datos - Temas'!$B$5:$B$1264,P$3,'Datos - Temas'!$L$5:$L$1264,$A27)</f>
        <v/>
      </c>
      <c r="Q27" s="11">
        <f>COUNTIFS('Datos - Temas'!$C$5:$C$1264,"Ciencias",'Datos - Temas'!$B$5:$B$1264,Q$3,'Datos - Temas'!$K$5:$K$1264,$A27)+COUNTIFS('Datos - Temas'!$C$5:$C$1264,"Ciencias",'Datos - Temas'!$B$5:$B$1264,Q$3,'Datos - Temas'!$L$5:$L$1264,$A27)</f>
        <v/>
      </c>
      <c r="R27" s="11">
        <f>COUNTIFS('Datos - Temas'!$C$5:$C$1264,"Ciencias",'Datos - Temas'!$B$5:$B$1264,R$3,'Datos - Temas'!$K$5:$K$1264,$A27)+COUNTIFS('Datos - Temas'!$C$5:$C$1264,"Ciencias",'Datos - Temas'!$B$5:$B$1264,R$3,'Datos - Temas'!$L$5:$L$1264,$A27)</f>
        <v/>
      </c>
      <c r="S27" s="11">
        <f>COUNTIFS('Datos - Temas'!$C$5:$C$1264,"Ciencias",'Datos - Temas'!$B$5:$B$1264,S$3,'Datos - Temas'!$K$5:$K$1264,$A27)+COUNTIFS('Datos - Temas'!$C$5:$C$1264,"Ciencias",'Datos - Temas'!$B$5:$B$1264,S$3,'Datos - Temas'!$L$5:$L$1264,$A27)</f>
        <v/>
      </c>
      <c r="T27" s="11">
        <f>COUNTIFS('Datos - Temas'!$C$5:$C$1264,"Ciencias",'Datos - Temas'!$B$5:$B$1264,T$3,'Datos - Temas'!$K$5:$K$1264,$A27)+COUNTIFS('Datos - Temas'!$C$5:$C$1264,"Ciencias",'Datos - Temas'!$B$5:$B$1264,T$3,'Datos - Temas'!$L$5:$L$1264,$A27)</f>
        <v/>
      </c>
      <c r="U27" s="11">
        <f>COUNTIFS('Datos - Temas'!$C$5:$C$1264,"Ciencias",'Datos - Temas'!$B$5:$B$1264,U$3,'Datos - Temas'!$K$5:$K$1264,$A27)+COUNTIFS('Datos - Temas'!$C$5:$C$1264,"Ciencias",'Datos - Temas'!$B$5:$B$1264,U$3,'Datos - Temas'!$L$5:$L$1264,$A27)</f>
        <v/>
      </c>
      <c r="V27" s="11">
        <f>COUNTIFS('Datos - Temas'!$C$5:$C$1264,"Ciencias",'Datos - Temas'!$B$5:$B$1264,V$3,'Datos - Temas'!$K$5:$K$1264,$A27)+COUNTIFS('Datos - Temas'!$C$5:$C$1264,"Ciencias",'Datos - Temas'!$B$5:$B$1264,V$3,'Datos - Temas'!$L$5:$L$1264,$A27)</f>
        <v/>
      </c>
      <c r="W27" s="11">
        <f>COUNTIFS('Datos - Objetivos de países'!$B$5:$B$510,"Uruguay",'Datos - Objetivos de países'!$F$5:$F$510,W$3,'Datos - Objetivos de países'!$J$5:$J$510,$A27)+COUNTIFS('Datos - Objetivos de países'!$B$5:$B$510,"Uruguay",'Datos - Objetivos de países'!$F$5:$F$510,W$3,'Datos - Objetivos de países'!$K$5:$K$510,$A27)</f>
        <v/>
      </c>
      <c r="X27" s="11">
        <f>COUNTIFS('Datos - Objetivos de países'!$B$5:$B$510,"Uruguay",'Datos - Objetivos de países'!$F$5:$F$510,X$3,'Datos - Objetivos de países'!$J$5:$J$510,$A27)+COUNTIFS('Datos - Objetivos de países'!$B$5:$B$510,"Uruguay",'Datos - Objetivos de países'!$F$5:$F$510,X$3,'Datos - Objetivos de países'!$K$5:$K$510,$A27)</f>
        <v/>
      </c>
      <c r="Y27" s="11">
        <f>COUNTIFS('Datos - Objetivos de países'!$B$5:$B$510,"Uruguay",'Datos - Objetivos de países'!$F$5:$F$510,Y$3,'Datos - Objetivos de países'!$J$5:$J$510,$A27)+COUNTIFS('Datos - Objetivos de países'!$B$5:$B$510,"Uruguay",'Datos - Objetivos de países'!$F$5:$F$510,Y$3,'Datos - Objetivos de países'!$K$5:$K$510,$A27)</f>
        <v/>
      </c>
      <c r="Z27" s="11">
        <f>COUNTIFS('Datos - Objetivos de países'!$B$5:$B$510,"Uruguay",'Datos - Objetivos de países'!$F$5:$F$510,Z$3,'Datos - Objetivos de países'!$J$5:$J$510,$A27)+COUNTIFS('Datos - Objetivos de países'!$B$5:$B$510,"Uruguay",'Datos - Objetivos de países'!$F$5:$F$510,Z$3,'Datos - Objetivos de países'!$K$5:$K$510,$A27)</f>
        <v/>
      </c>
      <c r="AA27" s="11">
        <f>COUNTIFS('Datos - Objetivos de países'!$B$5:$B$510,"Uruguay",'Datos - Objetivos de países'!$F$5:$F$510,AA$3,'Datos - Objetivos de países'!$J$5:$J$510,$A27)+COUNTIFS('Datos - Objetivos de países'!$B$5:$B$510,"Uruguay",'Datos - Objetivos de países'!$F$5:$F$510,AA$3,'Datos - Objetivos de países'!$K$5:$K$510,$A27)</f>
        <v/>
      </c>
      <c r="AB27" s="11">
        <f>COUNTIFS('Datos - Objetivos de países'!$B$5:$B$510,"Uruguay",'Datos - Objetivos de países'!$F$5:$F$510,AB$3,'Datos - Objetivos de países'!$J$5:$J$510,$A27)+COUNTIFS('Datos - Objetivos de países'!$B$5:$B$510,"Uruguay",'Datos - Objetivos de países'!$F$5:$F$510,AB$3,'Datos - Objetivos de países'!$K$5:$K$510,$A27)</f>
        <v/>
      </c>
      <c r="AC27" s="11">
        <f>COUNTIFS('Datos - Objetivos de países'!$B$5:$B$510,"Uruguay",'Datos - Objetivos de países'!$F$5:$F$510,AC$3,'Datos - Objetivos de países'!$J$5:$J$510,$A27)+COUNTIFS('Datos - Objetivos de países'!$B$5:$B$510,"Uruguay",'Datos - Objetivos de países'!$F$5:$F$510,AC$3,'Datos - Objetivos de países'!$K$5:$K$510,$A27)</f>
        <v/>
      </c>
      <c r="AD27" s="11">
        <f>COUNTIFS('Datos - Objetivos de países'!$B$5:$B$510,"Uruguay",'Datos - Objetivos de países'!$F$5:$F$510,AD$3,'Datos - Objetivos de países'!$J$5:$J$510,$A27)+COUNTIFS('Datos - Objetivos de países'!$B$5:$B$510,"Uruguay",'Datos - Objetivos de países'!$F$5:$F$510,AD$3,'Datos - Objetivos de países'!$K$5:$K$510,$A27)</f>
        <v/>
      </c>
      <c r="AE27" s="11">
        <f>COUNTIFS('Datos - Objetivos de países'!$B$5:$B$510,"Uruguay",'Datos - Objetivos de países'!$F$5:$F$510,AE$3,'Datos - Objetivos de países'!$J$5:$J$510,$A27)+COUNTIFS('Datos - Objetivos de países'!$B$5:$B$510,"Uruguay",'Datos - Objetivos de países'!$F$5:$F$510,AE$3,'Datos - Objetivos de países'!$K$5:$K$510,$A27)</f>
        <v/>
      </c>
      <c r="AF27" s="11">
        <f>COUNTIFS('Datos - Objetivos de países'!$B$5:$B$510,"Colombia",'Datos - Objetivos de países'!$F$5:$F$510,AF$3,'Datos - Objetivos de países'!$J$5:$J$510,$A27)+COUNTIFS('Datos - Objetivos de países'!$B$5:$B$510,"Colombia",'Datos - Objetivos de países'!$F$5:$F$510,AF$3,'Datos - Objetivos de países'!$K$5:$K$510,$A27)</f>
        <v/>
      </c>
      <c r="AG27" s="11">
        <f>COUNTIFS('Datos - Objetivos de países'!$B$5:$B$510,"Colombia",'Datos - Objetivos de países'!$F$5:$F$510,AG$3,'Datos - Objetivos de países'!$J$5:$J$510,$A27)+COUNTIFS('Datos - Objetivos de países'!$B$5:$B$510,"Colombia",'Datos - Objetivos de países'!$F$5:$F$510,AG$3,'Datos - Objetivos de países'!$K$5:$K$510,$A27)</f>
        <v/>
      </c>
      <c r="AH27" s="11">
        <f>COUNTIFS('Datos - Objetivos de países'!$B$5:$B$510,"Colombia",'Datos - Objetivos de países'!$F$5:$F$510,AH$3,'Datos - Objetivos de países'!$J$5:$J$510,$A27)+COUNTIFS('Datos - Objetivos de países'!$B$5:$B$510,"Colombia",'Datos - Objetivos de países'!$F$5:$F$510,AH$3,'Datos - Objetivos de países'!$K$5:$K$510,$A27)</f>
        <v/>
      </c>
      <c r="AI27" s="11">
        <f>COUNTIFS('Datos - Objetivos de países'!$B$5:$B$510,"Colombia",'Datos - Objetivos de países'!$F$5:$F$510,AI$3,'Datos - Objetivos de países'!$J$5:$J$510,$A27)+COUNTIFS('Datos - Objetivos de países'!$B$5:$B$510,"Colombia",'Datos - Objetivos de países'!$F$5:$F$510,AI$3,'Datos - Objetivos de países'!$K$5:$K$510,$A27)</f>
        <v/>
      </c>
      <c r="AJ27" s="11">
        <f>COUNTIFS('Datos - Objetivos de países'!$B$5:$B$510,"Colombia",'Datos - Objetivos de países'!$F$5:$F$510,AJ$3,'Datos - Objetivos de países'!$J$5:$J$510,$A27)+COUNTIFS('Datos - Objetivos de países'!$B$5:$B$510,"Colombia",'Datos - Objetivos de países'!$F$5:$F$510,AJ$3,'Datos - Objetivos de países'!$K$5:$K$510,$A27)</f>
        <v/>
      </c>
      <c r="AK27" s="11">
        <f>COUNTIFS('Datos - Objetivos de países'!$B$5:$B$510,"Colombia",'Datos - Objetivos de países'!$F$5:$F$510,AK$3,'Datos - Objetivos de países'!$J$5:$J$510,$A27)+COUNTIFS('Datos - Objetivos de países'!$B$5:$B$510,"Colombia",'Datos - Objetivos de países'!$F$5:$F$510,AK$3,'Datos - Objetivos de países'!$K$5:$K$510,$A27)</f>
        <v/>
      </c>
      <c r="AL27" s="11">
        <f>COUNTIFS('Datos - Objetivos de países'!$B$5:$B$510,"Colombia",'Datos - Objetivos de países'!$F$5:$F$510,AL$3,'Datos - Objetivos de países'!$J$5:$J$510,$A27)+COUNTIFS('Datos - Objetivos de países'!$B$5:$B$510,"Colombia",'Datos - Objetivos de países'!$F$5:$F$510,AL$3,'Datos - Objetivos de países'!$K$5:$K$510,$A27)</f>
        <v/>
      </c>
      <c r="AM27" s="11">
        <f>COUNTIFS('Datos - Objetivos de países'!$B$5:$B$510,"Colombia",'Datos - Objetivos de países'!$F$5:$F$510,AM$3,'Datos - Objetivos de países'!$J$5:$J$510,$A27)+COUNTIFS('Datos - Objetivos de países'!$B$5:$B$510,"Colombia",'Datos - Objetivos de países'!$F$5:$F$510,AM$3,'Datos - Objetivos de países'!$K$5:$K$510,$A27)</f>
        <v/>
      </c>
      <c r="AN27" s="11">
        <f>COUNTIFS('Datos - Objetivos de países'!$B$5:$B$510,"Colombia",'Datos - Objetivos de países'!$F$5:$F$510,AN$3,'Datos - Objetivos de países'!$J$5:$J$510,$A27)+COUNTIFS('Datos - Objetivos de países'!$B$5:$B$510,"Colombia",'Datos - Objetivos de países'!$F$5:$F$510,AN$3,'Datos - Objetivos de países'!$K$5:$K$510,$A27)</f>
        <v/>
      </c>
      <c r="AO27" s="11">
        <f>COUNTIFS('Datos - Objetivos de países'!$B$5:$B$510,"Singapur",'Datos - Objetivos de países'!$F$5:$F$510,AO$3,'Datos - Objetivos de países'!$J$5:$J$510,$A27)+COUNTIFS('Datos - Objetivos de países'!$B$5:$B$510,"Singapur",'Datos - Objetivos de países'!$F$5:$F$510,AO$3,'Datos - Objetivos de países'!$K$5:$K$510,$A27)</f>
        <v/>
      </c>
      <c r="AP27" s="11">
        <f>COUNTIFS('Datos - Objetivos de países'!$B$5:$B$510,"Singapur",'Datos - Objetivos de países'!$F$5:$F$510,AP$3,'Datos - Objetivos de países'!$J$5:$J$510,$A27)+COUNTIFS('Datos - Objetivos de países'!$B$5:$B$510,"Singapur",'Datos - Objetivos de países'!$F$5:$F$510,AP$3,'Datos - Objetivos de países'!$K$5:$K$510,$A27)</f>
        <v/>
      </c>
      <c r="AQ27" s="11">
        <f>COUNTIFS('Datos - Objetivos de países'!$B$5:$B$510,"Singapur",'Datos - Objetivos de países'!$F$5:$F$510,AQ$3,'Datos - Objetivos de países'!$J$5:$J$510,$A27)+COUNTIFS('Datos - Objetivos de países'!$B$5:$B$510,"Singapur",'Datos - Objetivos de países'!$F$5:$F$510,AQ$3,'Datos - Objetivos de países'!$K$5:$K$510,$A27)</f>
        <v/>
      </c>
      <c r="AR27" s="11">
        <f>COUNTIFS('Datos - Objetivos de países'!$B$5:$B$510,"Singapur",'Datos - Objetivos de países'!$F$5:$F$510,AR$3,'Datos - Objetivos de países'!$J$5:$J$510,$A27)+COUNTIFS('Datos - Objetivos de países'!$B$5:$B$510,"Singapur",'Datos - Objetivos de países'!$F$5:$F$510,AR$3,'Datos - Objetivos de países'!$K$5:$K$510,$A27)</f>
        <v/>
      </c>
      <c r="AS27" s="11">
        <f>COUNTIFS('Datos - Objetivos de países'!$B$5:$B$510,"Singapur",'Datos - Objetivos de países'!$F$5:$F$510,AS$3,'Datos - Objetivos de países'!$J$5:$J$510,$A27)+COUNTIFS('Datos - Objetivos de países'!$B$5:$B$510,"Singapur",'Datos - Objetivos de países'!$F$5:$F$510,AS$3,'Datos - Objetivos de países'!$K$5:$K$510,$A27)</f>
        <v/>
      </c>
      <c r="AT27" s="11">
        <f>COUNTIFS('Datos - Objetivos de países'!$B$5:$B$510,"Singapur",'Datos - Objetivos de países'!$F$5:$F$510,AT$3,'Datos - Objetivos de países'!$J$5:$J$510,$A27)+COUNTIFS('Datos - Objetivos de países'!$B$5:$B$510,"Singapur",'Datos - Objetivos de países'!$F$5:$F$510,AT$3,'Datos - Objetivos de países'!$K$5:$K$510,$A27)</f>
        <v/>
      </c>
      <c r="AU27" s="11">
        <f>COUNTIFS('Datos - Objetivos de países'!$B$5:$B$510,"Singapur",'Datos - Objetivos de países'!$F$5:$F$510,AU$3,'Datos - Objetivos de países'!$J$5:$J$510,$A27)+COUNTIFS('Datos - Objetivos de países'!$B$5:$B$510,"Singapur",'Datos - Objetivos de países'!$F$5:$F$510,AU$3,'Datos - Objetivos de países'!$K$5:$K$510,$A27)</f>
        <v/>
      </c>
      <c r="AV27" s="11">
        <f>COUNTIFS('Datos - Objetivos de países'!$B$5:$B$510,"Singapur",'Datos - Objetivos de países'!$F$5:$F$510,AV$3,'Datos - Objetivos de países'!$J$5:$J$510,$A27)+COUNTIFS('Datos - Objetivos de países'!$B$5:$B$510,"Singapur",'Datos - Objetivos de países'!$F$5:$F$510,AV$3,'Datos - Objetivos de países'!$K$5:$K$510,$A27)</f>
        <v/>
      </c>
      <c r="AW27" s="11">
        <f>COUNTIFS('Datos - Objetivos de países'!$B$5:$B$510,"Singapur",'Datos - Objetivos de países'!$F$5:$F$510,AW$3,'Datos - Objetivos de países'!$J$5:$J$510,$A27)+COUNTIFS('Datos - Objetivos de países'!$B$5:$B$510,"Singapur",'Datos - Objetivos de países'!$F$5:$F$510,AW$3,'Datos - Objetivos de países'!$K$5:$K$510,$A27)</f>
        <v/>
      </c>
    </row>
    <row r="28">
      <c r="A28" s="30" t="inlineStr">
        <is>
          <t>T4_27-P5.2</t>
        </is>
      </c>
      <c r="B28" s="30" t="inlineStr">
        <is>
          <t>T4_27</t>
        </is>
      </c>
      <c r="C28" s="30" t="inlineStr">
        <is>
          <t>Ciencias físicas</t>
        </is>
      </c>
      <c r="D28" s="30" t="inlineStr">
        <is>
          <t>Máquinas simples</t>
        </is>
      </c>
      <c r="E28" s="30">
        <f>IFERROR(MAX($L$3,INDEX($N$3:$V$3,MATCH(TRUE,INDEX(N28:V28&gt;0,0),0))),"—")</f>
        <v/>
      </c>
      <c r="F28" s="30">
        <f>IFERROR(MAX($L$3,INDEX($W$3:$AE$3,MATCH(TRUE,INDEX(W28:AE28&gt;0,0),0))),"—")</f>
        <v/>
      </c>
      <c r="G28" s="30">
        <f>IFERROR(MAX($L$3,INDEX($AF$3:$AN$3,MATCH(TRUE,INDEX(AF28:AN28&gt;0,0),0))),"—")</f>
        <v/>
      </c>
      <c r="H28" s="30">
        <f>IFERROR(MAX($L$3,INDEX($AO$3:$AW$3,MATCH(TRUE,INDEX(AO28:AW28&gt;0,0),0))),"—")</f>
        <v/>
      </c>
      <c r="I28" s="36">
        <f>IF(L28=0,"—",MEDIAN(F28:H28))</f>
        <v/>
      </c>
      <c r="J28" s="36">
        <f>IF(OR(E28="—",I28="—"),"—",E28-I28)</f>
        <v/>
      </c>
      <c r="K28" s="19">
        <f>IF(E28="—",IF(L28=0,"Nadie lo trabaja","El Salvador no llega"),IF(L28=0,"Solo El Salvador",IF(J28&gt;0,"El Salvador llega más tarde",IF(J28&lt;0,"El Salvador va adelantado","Mismo grado"))))</f>
        <v/>
      </c>
      <c r="L28" s="30">
        <f>COUNT(F28:H28)</f>
        <v/>
      </c>
      <c r="N28" s="11">
        <f>COUNTIFS('Datos - Temas'!$C$5:$C$1264,"Ciencias",'Datos - Temas'!$B$5:$B$1264,N$3,'Datos - Temas'!$K$5:$K$1264,$A28)+COUNTIFS('Datos - Temas'!$C$5:$C$1264,"Ciencias",'Datos - Temas'!$B$5:$B$1264,N$3,'Datos - Temas'!$L$5:$L$1264,$A28)</f>
        <v/>
      </c>
      <c r="O28" s="11">
        <f>COUNTIFS('Datos - Temas'!$C$5:$C$1264,"Ciencias",'Datos - Temas'!$B$5:$B$1264,O$3,'Datos - Temas'!$K$5:$K$1264,$A28)+COUNTIFS('Datos - Temas'!$C$5:$C$1264,"Ciencias",'Datos - Temas'!$B$5:$B$1264,O$3,'Datos - Temas'!$L$5:$L$1264,$A28)</f>
        <v/>
      </c>
      <c r="P28" s="11">
        <f>COUNTIFS('Datos - Temas'!$C$5:$C$1264,"Ciencias",'Datos - Temas'!$B$5:$B$1264,P$3,'Datos - Temas'!$K$5:$K$1264,$A28)+COUNTIFS('Datos - Temas'!$C$5:$C$1264,"Ciencias",'Datos - Temas'!$B$5:$B$1264,P$3,'Datos - Temas'!$L$5:$L$1264,$A28)</f>
        <v/>
      </c>
      <c r="Q28" s="11">
        <f>COUNTIFS('Datos - Temas'!$C$5:$C$1264,"Ciencias",'Datos - Temas'!$B$5:$B$1264,Q$3,'Datos - Temas'!$K$5:$K$1264,$A28)+COUNTIFS('Datos - Temas'!$C$5:$C$1264,"Ciencias",'Datos - Temas'!$B$5:$B$1264,Q$3,'Datos - Temas'!$L$5:$L$1264,$A28)</f>
        <v/>
      </c>
      <c r="R28" s="11">
        <f>COUNTIFS('Datos - Temas'!$C$5:$C$1264,"Ciencias",'Datos - Temas'!$B$5:$B$1264,R$3,'Datos - Temas'!$K$5:$K$1264,$A28)+COUNTIFS('Datos - Temas'!$C$5:$C$1264,"Ciencias",'Datos - Temas'!$B$5:$B$1264,R$3,'Datos - Temas'!$L$5:$L$1264,$A28)</f>
        <v/>
      </c>
      <c r="S28" s="11">
        <f>COUNTIFS('Datos - Temas'!$C$5:$C$1264,"Ciencias",'Datos - Temas'!$B$5:$B$1264,S$3,'Datos - Temas'!$K$5:$K$1264,$A28)+COUNTIFS('Datos - Temas'!$C$5:$C$1264,"Ciencias",'Datos - Temas'!$B$5:$B$1264,S$3,'Datos - Temas'!$L$5:$L$1264,$A28)</f>
        <v/>
      </c>
      <c r="T28" s="11">
        <f>COUNTIFS('Datos - Temas'!$C$5:$C$1264,"Ciencias",'Datos - Temas'!$B$5:$B$1264,T$3,'Datos - Temas'!$K$5:$K$1264,$A28)+COUNTIFS('Datos - Temas'!$C$5:$C$1264,"Ciencias",'Datos - Temas'!$B$5:$B$1264,T$3,'Datos - Temas'!$L$5:$L$1264,$A28)</f>
        <v/>
      </c>
      <c r="U28" s="11">
        <f>COUNTIFS('Datos - Temas'!$C$5:$C$1264,"Ciencias",'Datos - Temas'!$B$5:$B$1264,U$3,'Datos - Temas'!$K$5:$K$1264,$A28)+COUNTIFS('Datos - Temas'!$C$5:$C$1264,"Ciencias",'Datos - Temas'!$B$5:$B$1264,U$3,'Datos - Temas'!$L$5:$L$1264,$A28)</f>
        <v/>
      </c>
      <c r="V28" s="11">
        <f>COUNTIFS('Datos - Temas'!$C$5:$C$1264,"Ciencias",'Datos - Temas'!$B$5:$B$1264,V$3,'Datos - Temas'!$K$5:$K$1264,$A28)+COUNTIFS('Datos - Temas'!$C$5:$C$1264,"Ciencias",'Datos - Temas'!$B$5:$B$1264,V$3,'Datos - Temas'!$L$5:$L$1264,$A28)</f>
        <v/>
      </c>
      <c r="W28" s="11">
        <f>COUNTIFS('Datos - Objetivos de países'!$B$5:$B$510,"Uruguay",'Datos - Objetivos de países'!$F$5:$F$510,W$3,'Datos - Objetivos de países'!$J$5:$J$510,$A28)+COUNTIFS('Datos - Objetivos de países'!$B$5:$B$510,"Uruguay",'Datos - Objetivos de países'!$F$5:$F$510,W$3,'Datos - Objetivos de países'!$K$5:$K$510,$A28)</f>
        <v/>
      </c>
      <c r="X28" s="11">
        <f>COUNTIFS('Datos - Objetivos de países'!$B$5:$B$510,"Uruguay",'Datos - Objetivos de países'!$F$5:$F$510,X$3,'Datos - Objetivos de países'!$J$5:$J$510,$A28)+COUNTIFS('Datos - Objetivos de países'!$B$5:$B$510,"Uruguay",'Datos - Objetivos de países'!$F$5:$F$510,X$3,'Datos - Objetivos de países'!$K$5:$K$510,$A28)</f>
        <v/>
      </c>
      <c r="Y28" s="11">
        <f>COUNTIFS('Datos - Objetivos de países'!$B$5:$B$510,"Uruguay",'Datos - Objetivos de países'!$F$5:$F$510,Y$3,'Datos - Objetivos de países'!$J$5:$J$510,$A28)+COUNTIFS('Datos - Objetivos de países'!$B$5:$B$510,"Uruguay",'Datos - Objetivos de países'!$F$5:$F$510,Y$3,'Datos - Objetivos de países'!$K$5:$K$510,$A28)</f>
        <v/>
      </c>
      <c r="Z28" s="11">
        <f>COUNTIFS('Datos - Objetivos de países'!$B$5:$B$510,"Uruguay",'Datos - Objetivos de países'!$F$5:$F$510,Z$3,'Datos - Objetivos de países'!$J$5:$J$510,$A28)+COUNTIFS('Datos - Objetivos de países'!$B$5:$B$510,"Uruguay",'Datos - Objetivos de países'!$F$5:$F$510,Z$3,'Datos - Objetivos de países'!$K$5:$K$510,$A28)</f>
        <v/>
      </c>
      <c r="AA28" s="11">
        <f>COUNTIFS('Datos - Objetivos de países'!$B$5:$B$510,"Uruguay",'Datos - Objetivos de países'!$F$5:$F$510,AA$3,'Datos - Objetivos de países'!$J$5:$J$510,$A28)+COUNTIFS('Datos - Objetivos de países'!$B$5:$B$510,"Uruguay",'Datos - Objetivos de países'!$F$5:$F$510,AA$3,'Datos - Objetivos de países'!$K$5:$K$510,$A28)</f>
        <v/>
      </c>
      <c r="AB28" s="11">
        <f>COUNTIFS('Datos - Objetivos de países'!$B$5:$B$510,"Uruguay",'Datos - Objetivos de países'!$F$5:$F$510,AB$3,'Datos - Objetivos de países'!$J$5:$J$510,$A28)+COUNTIFS('Datos - Objetivos de países'!$B$5:$B$510,"Uruguay",'Datos - Objetivos de países'!$F$5:$F$510,AB$3,'Datos - Objetivos de países'!$K$5:$K$510,$A28)</f>
        <v/>
      </c>
      <c r="AC28" s="11">
        <f>COUNTIFS('Datos - Objetivos de países'!$B$5:$B$510,"Uruguay",'Datos - Objetivos de países'!$F$5:$F$510,AC$3,'Datos - Objetivos de países'!$J$5:$J$510,$A28)+COUNTIFS('Datos - Objetivos de países'!$B$5:$B$510,"Uruguay",'Datos - Objetivos de países'!$F$5:$F$510,AC$3,'Datos - Objetivos de países'!$K$5:$K$510,$A28)</f>
        <v/>
      </c>
      <c r="AD28" s="11">
        <f>COUNTIFS('Datos - Objetivos de países'!$B$5:$B$510,"Uruguay",'Datos - Objetivos de países'!$F$5:$F$510,AD$3,'Datos - Objetivos de países'!$J$5:$J$510,$A28)+COUNTIFS('Datos - Objetivos de países'!$B$5:$B$510,"Uruguay",'Datos - Objetivos de países'!$F$5:$F$510,AD$3,'Datos - Objetivos de países'!$K$5:$K$510,$A28)</f>
        <v/>
      </c>
      <c r="AE28" s="11">
        <f>COUNTIFS('Datos - Objetivos de países'!$B$5:$B$510,"Uruguay",'Datos - Objetivos de países'!$F$5:$F$510,AE$3,'Datos - Objetivos de países'!$J$5:$J$510,$A28)+COUNTIFS('Datos - Objetivos de países'!$B$5:$B$510,"Uruguay",'Datos - Objetivos de países'!$F$5:$F$510,AE$3,'Datos - Objetivos de países'!$K$5:$K$510,$A28)</f>
        <v/>
      </c>
      <c r="AF28" s="11">
        <f>COUNTIFS('Datos - Objetivos de países'!$B$5:$B$510,"Colombia",'Datos - Objetivos de países'!$F$5:$F$510,AF$3,'Datos - Objetivos de países'!$J$5:$J$510,$A28)+COUNTIFS('Datos - Objetivos de países'!$B$5:$B$510,"Colombia",'Datos - Objetivos de países'!$F$5:$F$510,AF$3,'Datos - Objetivos de países'!$K$5:$K$510,$A28)</f>
        <v/>
      </c>
      <c r="AG28" s="11">
        <f>COUNTIFS('Datos - Objetivos de países'!$B$5:$B$510,"Colombia",'Datos - Objetivos de países'!$F$5:$F$510,AG$3,'Datos - Objetivos de países'!$J$5:$J$510,$A28)+COUNTIFS('Datos - Objetivos de países'!$B$5:$B$510,"Colombia",'Datos - Objetivos de países'!$F$5:$F$510,AG$3,'Datos - Objetivos de países'!$K$5:$K$510,$A28)</f>
        <v/>
      </c>
      <c r="AH28" s="11">
        <f>COUNTIFS('Datos - Objetivos de países'!$B$5:$B$510,"Colombia",'Datos - Objetivos de países'!$F$5:$F$510,AH$3,'Datos - Objetivos de países'!$J$5:$J$510,$A28)+COUNTIFS('Datos - Objetivos de países'!$B$5:$B$510,"Colombia",'Datos - Objetivos de países'!$F$5:$F$510,AH$3,'Datos - Objetivos de países'!$K$5:$K$510,$A28)</f>
        <v/>
      </c>
      <c r="AI28" s="11">
        <f>COUNTIFS('Datos - Objetivos de países'!$B$5:$B$510,"Colombia",'Datos - Objetivos de países'!$F$5:$F$510,AI$3,'Datos - Objetivos de países'!$J$5:$J$510,$A28)+COUNTIFS('Datos - Objetivos de países'!$B$5:$B$510,"Colombia",'Datos - Objetivos de países'!$F$5:$F$510,AI$3,'Datos - Objetivos de países'!$K$5:$K$510,$A28)</f>
        <v/>
      </c>
      <c r="AJ28" s="11">
        <f>COUNTIFS('Datos - Objetivos de países'!$B$5:$B$510,"Colombia",'Datos - Objetivos de países'!$F$5:$F$510,AJ$3,'Datos - Objetivos de países'!$J$5:$J$510,$A28)+COUNTIFS('Datos - Objetivos de países'!$B$5:$B$510,"Colombia",'Datos - Objetivos de países'!$F$5:$F$510,AJ$3,'Datos - Objetivos de países'!$K$5:$K$510,$A28)</f>
        <v/>
      </c>
      <c r="AK28" s="11">
        <f>COUNTIFS('Datos - Objetivos de países'!$B$5:$B$510,"Colombia",'Datos - Objetivos de países'!$F$5:$F$510,AK$3,'Datos - Objetivos de países'!$J$5:$J$510,$A28)+COUNTIFS('Datos - Objetivos de países'!$B$5:$B$510,"Colombia",'Datos - Objetivos de países'!$F$5:$F$510,AK$3,'Datos - Objetivos de países'!$K$5:$K$510,$A28)</f>
        <v/>
      </c>
      <c r="AL28" s="11">
        <f>COUNTIFS('Datos - Objetivos de países'!$B$5:$B$510,"Colombia",'Datos - Objetivos de países'!$F$5:$F$510,AL$3,'Datos - Objetivos de países'!$J$5:$J$510,$A28)+COUNTIFS('Datos - Objetivos de países'!$B$5:$B$510,"Colombia",'Datos - Objetivos de países'!$F$5:$F$510,AL$3,'Datos - Objetivos de países'!$K$5:$K$510,$A28)</f>
        <v/>
      </c>
      <c r="AM28" s="11">
        <f>COUNTIFS('Datos - Objetivos de países'!$B$5:$B$510,"Colombia",'Datos - Objetivos de países'!$F$5:$F$510,AM$3,'Datos - Objetivos de países'!$J$5:$J$510,$A28)+COUNTIFS('Datos - Objetivos de países'!$B$5:$B$510,"Colombia",'Datos - Objetivos de países'!$F$5:$F$510,AM$3,'Datos - Objetivos de países'!$K$5:$K$510,$A28)</f>
        <v/>
      </c>
      <c r="AN28" s="11">
        <f>COUNTIFS('Datos - Objetivos de países'!$B$5:$B$510,"Colombia",'Datos - Objetivos de países'!$F$5:$F$510,AN$3,'Datos - Objetivos de países'!$J$5:$J$510,$A28)+COUNTIFS('Datos - Objetivos de países'!$B$5:$B$510,"Colombia",'Datos - Objetivos de países'!$F$5:$F$510,AN$3,'Datos - Objetivos de países'!$K$5:$K$510,$A28)</f>
        <v/>
      </c>
      <c r="AO28" s="11">
        <f>COUNTIFS('Datos - Objetivos de países'!$B$5:$B$510,"Singapur",'Datos - Objetivos de países'!$F$5:$F$510,AO$3,'Datos - Objetivos de países'!$J$5:$J$510,$A28)+COUNTIFS('Datos - Objetivos de países'!$B$5:$B$510,"Singapur",'Datos - Objetivos de países'!$F$5:$F$510,AO$3,'Datos - Objetivos de países'!$K$5:$K$510,$A28)</f>
        <v/>
      </c>
      <c r="AP28" s="11">
        <f>COUNTIFS('Datos - Objetivos de países'!$B$5:$B$510,"Singapur",'Datos - Objetivos de países'!$F$5:$F$510,AP$3,'Datos - Objetivos de países'!$J$5:$J$510,$A28)+COUNTIFS('Datos - Objetivos de países'!$B$5:$B$510,"Singapur",'Datos - Objetivos de países'!$F$5:$F$510,AP$3,'Datos - Objetivos de países'!$K$5:$K$510,$A28)</f>
        <v/>
      </c>
      <c r="AQ28" s="11">
        <f>COUNTIFS('Datos - Objetivos de países'!$B$5:$B$510,"Singapur",'Datos - Objetivos de países'!$F$5:$F$510,AQ$3,'Datos - Objetivos de países'!$J$5:$J$510,$A28)+COUNTIFS('Datos - Objetivos de países'!$B$5:$B$510,"Singapur",'Datos - Objetivos de países'!$F$5:$F$510,AQ$3,'Datos - Objetivos de países'!$K$5:$K$510,$A28)</f>
        <v/>
      </c>
      <c r="AR28" s="11">
        <f>COUNTIFS('Datos - Objetivos de países'!$B$5:$B$510,"Singapur",'Datos - Objetivos de países'!$F$5:$F$510,AR$3,'Datos - Objetivos de países'!$J$5:$J$510,$A28)+COUNTIFS('Datos - Objetivos de países'!$B$5:$B$510,"Singapur",'Datos - Objetivos de países'!$F$5:$F$510,AR$3,'Datos - Objetivos de países'!$K$5:$K$510,$A28)</f>
        <v/>
      </c>
      <c r="AS28" s="11">
        <f>COUNTIFS('Datos - Objetivos de países'!$B$5:$B$510,"Singapur",'Datos - Objetivos de países'!$F$5:$F$510,AS$3,'Datos - Objetivos de países'!$J$5:$J$510,$A28)+COUNTIFS('Datos - Objetivos de países'!$B$5:$B$510,"Singapur",'Datos - Objetivos de países'!$F$5:$F$510,AS$3,'Datos - Objetivos de países'!$K$5:$K$510,$A28)</f>
        <v/>
      </c>
      <c r="AT28" s="11">
        <f>COUNTIFS('Datos - Objetivos de países'!$B$5:$B$510,"Singapur",'Datos - Objetivos de países'!$F$5:$F$510,AT$3,'Datos - Objetivos de países'!$J$5:$J$510,$A28)+COUNTIFS('Datos - Objetivos de países'!$B$5:$B$510,"Singapur",'Datos - Objetivos de países'!$F$5:$F$510,AT$3,'Datos - Objetivos de países'!$K$5:$K$510,$A28)</f>
        <v/>
      </c>
      <c r="AU28" s="11">
        <f>COUNTIFS('Datos - Objetivos de países'!$B$5:$B$510,"Singapur",'Datos - Objetivos de países'!$F$5:$F$510,AU$3,'Datos - Objetivos de países'!$J$5:$J$510,$A28)+COUNTIFS('Datos - Objetivos de países'!$B$5:$B$510,"Singapur",'Datos - Objetivos de países'!$F$5:$F$510,AU$3,'Datos - Objetivos de países'!$K$5:$K$510,$A28)</f>
        <v/>
      </c>
      <c r="AV28" s="11">
        <f>COUNTIFS('Datos - Objetivos de países'!$B$5:$B$510,"Singapur",'Datos - Objetivos de países'!$F$5:$F$510,AV$3,'Datos - Objetivos de países'!$J$5:$J$510,$A28)+COUNTIFS('Datos - Objetivos de países'!$B$5:$B$510,"Singapur",'Datos - Objetivos de países'!$F$5:$F$510,AV$3,'Datos - Objetivos de países'!$K$5:$K$510,$A28)</f>
        <v/>
      </c>
      <c r="AW28" s="11">
        <f>COUNTIFS('Datos - Objetivos de países'!$B$5:$B$510,"Singapur",'Datos - Objetivos de países'!$F$5:$F$510,AW$3,'Datos - Objetivos de países'!$J$5:$J$510,$A28)+COUNTIFS('Datos - Objetivos de países'!$B$5:$B$510,"Singapur",'Datos - Objetivos de países'!$F$5:$F$510,AW$3,'Datos - Objetivos de países'!$K$5:$K$510,$A28)</f>
        <v/>
      </c>
    </row>
    <row r="29">
      <c r="A29" s="30" t="inlineStr">
        <is>
          <t>T4_27-P6.1</t>
        </is>
      </c>
      <c r="B29" s="30" t="inlineStr">
        <is>
          <t>T4_27</t>
        </is>
      </c>
      <c r="C29" s="30" t="inlineStr">
        <is>
          <t>Ciencias físicas</t>
        </is>
      </c>
      <c r="D29" s="30" t="inlineStr">
        <is>
          <t>Rasgos y uso de equipo en una investigación de ciencias físicas</t>
        </is>
      </c>
      <c r="E29" s="30">
        <f>IFERROR(MAX($L$3,INDEX($N$3:$V$3,MATCH(TRUE,INDEX(N29:V29&gt;0,0),0))),"—")</f>
        <v/>
      </c>
      <c r="F29" s="30">
        <f>IFERROR(MAX($L$3,INDEX($W$3:$AE$3,MATCH(TRUE,INDEX(W29:AE29&gt;0,0),0))),"—")</f>
        <v/>
      </c>
      <c r="G29" s="30">
        <f>IFERROR(MAX($L$3,INDEX($AF$3:$AN$3,MATCH(TRUE,INDEX(AF29:AN29&gt;0,0),0))),"—")</f>
        <v/>
      </c>
      <c r="H29" s="30">
        <f>IFERROR(MAX($L$3,INDEX($AO$3:$AW$3,MATCH(TRUE,INDEX(AO29:AW29&gt;0,0),0))),"—")</f>
        <v/>
      </c>
      <c r="I29" s="36">
        <f>IF(L29=0,"—",MEDIAN(F29:H29))</f>
        <v/>
      </c>
      <c r="J29" s="36">
        <f>IF(OR(E29="—",I29="—"),"—",E29-I29)</f>
        <v/>
      </c>
      <c r="K29" s="19">
        <f>IF(E29="—",IF(L29=0,"Nadie lo trabaja","El Salvador no llega"),IF(L29=0,"Solo El Salvador",IF(J29&gt;0,"El Salvador llega más tarde",IF(J29&lt;0,"El Salvador va adelantado","Mismo grado"))))</f>
        <v/>
      </c>
      <c r="L29" s="30">
        <f>COUNT(F29:H29)</f>
        <v/>
      </c>
      <c r="N29" s="11">
        <f>COUNTIFS('Datos - Temas'!$C$5:$C$1264,"Ciencias",'Datos - Temas'!$B$5:$B$1264,N$3,'Datos - Temas'!$K$5:$K$1264,$A29)+COUNTIFS('Datos - Temas'!$C$5:$C$1264,"Ciencias",'Datos - Temas'!$B$5:$B$1264,N$3,'Datos - Temas'!$L$5:$L$1264,$A29)</f>
        <v/>
      </c>
      <c r="O29" s="11">
        <f>COUNTIFS('Datos - Temas'!$C$5:$C$1264,"Ciencias",'Datos - Temas'!$B$5:$B$1264,O$3,'Datos - Temas'!$K$5:$K$1264,$A29)+COUNTIFS('Datos - Temas'!$C$5:$C$1264,"Ciencias",'Datos - Temas'!$B$5:$B$1264,O$3,'Datos - Temas'!$L$5:$L$1264,$A29)</f>
        <v/>
      </c>
      <c r="P29" s="11">
        <f>COUNTIFS('Datos - Temas'!$C$5:$C$1264,"Ciencias",'Datos - Temas'!$B$5:$B$1264,P$3,'Datos - Temas'!$K$5:$K$1264,$A29)+COUNTIFS('Datos - Temas'!$C$5:$C$1264,"Ciencias",'Datos - Temas'!$B$5:$B$1264,P$3,'Datos - Temas'!$L$5:$L$1264,$A29)</f>
        <v/>
      </c>
      <c r="Q29" s="11">
        <f>COUNTIFS('Datos - Temas'!$C$5:$C$1264,"Ciencias",'Datos - Temas'!$B$5:$B$1264,Q$3,'Datos - Temas'!$K$5:$K$1264,$A29)+COUNTIFS('Datos - Temas'!$C$5:$C$1264,"Ciencias",'Datos - Temas'!$B$5:$B$1264,Q$3,'Datos - Temas'!$L$5:$L$1264,$A29)</f>
        <v/>
      </c>
      <c r="R29" s="11">
        <f>COUNTIFS('Datos - Temas'!$C$5:$C$1264,"Ciencias",'Datos - Temas'!$B$5:$B$1264,R$3,'Datos - Temas'!$K$5:$K$1264,$A29)+COUNTIFS('Datos - Temas'!$C$5:$C$1264,"Ciencias",'Datos - Temas'!$B$5:$B$1264,R$3,'Datos - Temas'!$L$5:$L$1264,$A29)</f>
        <v/>
      </c>
      <c r="S29" s="11">
        <f>COUNTIFS('Datos - Temas'!$C$5:$C$1264,"Ciencias",'Datos - Temas'!$B$5:$B$1264,S$3,'Datos - Temas'!$K$5:$K$1264,$A29)+COUNTIFS('Datos - Temas'!$C$5:$C$1264,"Ciencias",'Datos - Temas'!$B$5:$B$1264,S$3,'Datos - Temas'!$L$5:$L$1264,$A29)</f>
        <v/>
      </c>
      <c r="T29" s="11">
        <f>COUNTIFS('Datos - Temas'!$C$5:$C$1264,"Ciencias",'Datos - Temas'!$B$5:$B$1264,T$3,'Datos - Temas'!$K$5:$K$1264,$A29)+COUNTIFS('Datos - Temas'!$C$5:$C$1264,"Ciencias",'Datos - Temas'!$B$5:$B$1264,T$3,'Datos - Temas'!$L$5:$L$1264,$A29)</f>
        <v/>
      </c>
      <c r="U29" s="11">
        <f>COUNTIFS('Datos - Temas'!$C$5:$C$1264,"Ciencias",'Datos - Temas'!$B$5:$B$1264,U$3,'Datos - Temas'!$K$5:$K$1264,$A29)+COUNTIFS('Datos - Temas'!$C$5:$C$1264,"Ciencias",'Datos - Temas'!$B$5:$B$1264,U$3,'Datos - Temas'!$L$5:$L$1264,$A29)</f>
        <v/>
      </c>
      <c r="V29" s="11">
        <f>COUNTIFS('Datos - Temas'!$C$5:$C$1264,"Ciencias",'Datos - Temas'!$B$5:$B$1264,V$3,'Datos - Temas'!$K$5:$K$1264,$A29)+COUNTIFS('Datos - Temas'!$C$5:$C$1264,"Ciencias",'Datos - Temas'!$B$5:$B$1264,V$3,'Datos - Temas'!$L$5:$L$1264,$A29)</f>
        <v/>
      </c>
      <c r="W29" s="11">
        <f>COUNTIFS('Datos - Objetivos de países'!$B$5:$B$510,"Uruguay",'Datos - Objetivos de países'!$F$5:$F$510,W$3,'Datos - Objetivos de países'!$J$5:$J$510,$A29)+COUNTIFS('Datos - Objetivos de países'!$B$5:$B$510,"Uruguay",'Datos - Objetivos de países'!$F$5:$F$510,W$3,'Datos - Objetivos de países'!$K$5:$K$510,$A29)</f>
        <v/>
      </c>
      <c r="X29" s="11">
        <f>COUNTIFS('Datos - Objetivos de países'!$B$5:$B$510,"Uruguay",'Datos - Objetivos de países'!$F$5:$F$510,X$3,'Datos - Objetivos de países'!$J$5:$J$510,$A29)+COUNTIFS('Datos - Objetivos de países'!$B$5:$B$510,"Uruguay",'Datos - Objetivos de países'!$F$5:$F$510,X$3,'Datos - Objetivos de países'!$K$5:$K$510,$A29)</f>
        <v/>
      </c>
      <c r="Y29" s="11">
        <f>COUNTIFS('Datos - Objetivos de países'!$B$5:$B$510,"Uruguay",'Datos - Objetivos de países'!$F$5:$F$510,Y$3,'Datos - Objetivos de países'!$J$5:$J$510,$A29)+COUNTIFS('Datos - Objetivos de países'!$B$5:$B$510,"Uruguay",'Datos - Objetivos de países'!$F$5:$F$510,Y$3,'Datos - Objetivos de países'!$K$5:$K$510,$A29)</f>
        <v/>
      </c>
      <c r="Z29" s="11">
        <f>COUNTIFS('Datos - Objetivos de países'!$B$5:$B$510,"Uruguay",'Datos - Objetivos de países'!$F$5:$F$510,Z$3,'Datos - Objetivos de países'!$J$5:$J$510,$A29)+COUNTIFS('Datos - Objetivos de países'!$B$5:$B$510,"Uruguay",'Datos - Objetivos de países'!$F$5:$F$510,Z$3,'Datos - Objetivos de países'!$K$5:$K$510,$A29)</f>
        <v/>
      </c>
      <c r="AA29" s="11">
        <f>COUNTIFS('Datos - Objetivos de países'!$B$5:$B$510,"Uruguay",'Datos - Objetivos de países'!$F$5:$F$510,AA$3,'Datos - Objetivos de países'!$J$5:$J$510,$A29)+COUNTIFS('Datos - Objetivos de países'!$B$5:$B$510,"Uruguay",'Datos - Objetivos de países'!$F$5:$F$510,AA$3,'Datos - Objetivos de países'!$K$5:$K$510,$A29)</f>
        <v/>
      </c>
      <c r="AB29" s="11">
        <f>COUNTIFS('Datos - Objetivos de países'!$B$5:$B$510,"Uruguay",'Datos - Objetivos de países'!$F$5:$F$510,AB$3,'Datos - Objetivos de países'!$J$5:$J$510,$A29)+COUNTIFS('Datos - Objetivos de países'!$B$5:$B$510,"Uruguay",'Datos - Objetivos de países'!$F$5:$F$510,AB$3,'Datos - Objetivos de países'!$K$5:$K$510,$A29)</f>
        <v/>
      </c>
      <c r="AC29" s="11">
        <f>COUNTIFS('Datos - Objetivos de países'!$B$5:$B$510,"Uruguay",'Datos - Objetivos de países'!$F$5:$F$510,AC$3,'Datos - Objetivos de países'!$J$5:$J$510,$A29)+COUNTIFS('Datos - Objetivos de países'!$B$5:$B$510,"Uruguay",'Datos - Objetivos de países'!$F$5:$F$510,AC$3,'Datos - Objetivos de países'!$K$5:$K$510,$A29)</f>
        <v/>
      </c>
      <c r="AD29" s="11">
        <f>COUNTIFS('Datos - Objetivos de países'!$B$5:$B$510,"Uruguay",'Datos - Objetivos de países'!$F$5:$F$510,AD$3,'Datos - Objetivos de países'!$J$5:$J$510,$A29)+COUNTIFS('Datos - Objetivos de países'!$B$5:$B$510,"Uruguay",'Datos - Objetivos de países'!$F$5:$F$510,AD$3,'Datos - Objetivos de países'!$K$5:$K$510,$A29)</f>
        <v/>
      </c>
      <c r="AE29" s="11">
        <f>COUNTIFS('Datos - Objetivos de países'!$B$5:$B$510,"Uruguay",'Datos - Objetivos de países'!$F$5:$F$510,AE$3,'Datos - Objetivos de países'!$J$5:$J$510,$A29)+COUNTIFS('Datos - Objetivos de países'!$B$5:$B$510,"Uruguay",'Datos - Objetivos de países'!$F$5:$F$510,AE$3,'Datos - Objetivos de países'!$K$5:$K$510,$A29)</f>
        <v/>
      </c>
      <c r="AF29" s="11">
        <f>COUNTIFS('Datos - Objetivos de países'!$B$5:$B$510,"Colombia",'Datos - Objetivos de países'!$F$5:$F$510,AF$3,'Datos - Objetivos de países'!$J$5:$J$510,$A29)+COUNTIFS('Datos - Objetivos de países'!$B$5:$B$510,"Colombia",'Datos - Objetivos de países'!$F$5:$F$510,AF$3,'Datos - Objetivos de países'!$K$5:$K$510,$A29)</f>
        <v/>
      </c>
      <c r="AG29" s="11">
        <f>COUNTIFS('Datos - Objetivos de países'!$B$5:$B$510,"Colombia",'Datos - Objetivos de países'!$F$5:$F$510,AG$3,'Datos - Objetivos de países'!$J$5:$J$510,$A29)+COUNTIFS('Datos - Objetivos de países'!$B$5:$B$510,"Colombia",'Datos - Objetivos de países'!$F$5:$F$510,AG$3,'Datos - Objetivos de países'!$K$5:$K$510,$A29)</f>
        <v/>
      </c>
      <c r="AH29" s="11">
        <f>COUNTIFS('Datos - Objetivos de países'!$B$5:$B$510,"Colombia",'Datos - Objetivos de países'!$F$5:$F$510,AH$3,'Datos - Objetivos de países'!$J$5:$J$510,$A29)+COUNTIFS('Datos - Objetivos de países'!$B$5:$B$510,"Colombia",'Datos - Objetivos de países'!$F$5:$F$510,AH$3,'Datos - Objetivos de países'!$K$5:$K$510,$A29)</f>
        <v/>
      </c>
      <c r="AI29" s="11">
        <f>COUNTIFS('Datos - Objetivos de países'!$B$5:$B$510,"Colombia",'Datos - Objetivos de países'!$F$5:$F$510,AI$3,'Datos - Objetivos de países'!$J$5:$J$510,$A29)+COUNTIFS('Datos - Objetivos de países'!$B$5:$B$510,"Colombia",'Datos - Objetivos de países'!$F$5:$F$510,AI$3,'Datos - Objetivos de países'!$K$5:$K$510,$A29)</f>
        <v/>
      </c>
      <c r="AJ29" s="11">
        <f>COUNTIFS('Datos - Objetivos de países'!$B$5:$B$510,"Colombia",'Datos - Objetivos de países'!$F$5:$F$510,AJ$3,'Datos - Objetivos de países'!$J$5:$J$510,$A29)+COUNTIFS('Datos - Objetivos de países'!$B$5:$B$510,"Colombia",'Datos - Objetivos de países'!$F$5:$F$510,AJ$3,'Datos - Objetivos de países'!$K$5:$K$510,$A29)</f>
        <v/>
      </c>
      <c r="AK29" s="11">
        <f>COUNTIFS('Datos - Objetivos de países'!$B$5:$B$510,"Colombia",'Datos - Objetivos de países'!$F$5:$F$510,AK$3,'Datos - Objetivos de países'!$J$5:$J$510,$A29)+COUNTIFS('Datos - Objetivos de países'!$B$5:$B$510,"Colombia",'Datos - Objetivos de países'!$F$5:$F$510,AK$3,'Datos - Objetivos de países'!$K$5:$K$510,$A29)</f>
        <v/>
      </c>
      <c r="AL29" s="11">
        <f>COUNTIFS('Datos - Objetivos de países'!$B$5:$B$510,"Colombia",'Datos - Objetivos de países'!$F$5:$F$510,AL$3,'Datos - Objetivos de países'!$J$5:$J$510,$A29)+COUNTIFS('Datos - Objetivos de países'!$B$5:$B$510,"Colombia",'Datos - Objetivos de países'!$F$5:$F$510,AL$3,'Datos - Objetivos de países'!$K$5:$K$510,$A29)</f>
        <v/>
      </c>
      <c r="AM29" s="11">
        <f>COUNTIFS('Datos - Objetivos de países'!$B$5:$B$510,"Colombia",'Datos - Objetivos de países'!$F$5:$F$510,AM$3,'Datos - Objetivos de países'!$J$5:$J$510,$A29)+COUNTIFS('Datos - Objetivos de países'!$B$5:$B$510,"Colombia",'Datos - Objetivos de países'!$F$5:$F$510,AM$3,'Datos - Objetivos de países'!$K$5:$K$510,$A29)</f>
        <v/>
      </c>
      <c r="AN29" s="11">
        <f>COUNTIFS('Datos - Objetivos de países'!$B$5:$B$510,"Colombia",'Datos - Objetivos de países'!$F$5:$F$510,AN$3,'Datos - Objetivos de países'!$J$5:$J$510,$A29)+COUNTIFS('Datos - Objetivos de países'!$B$5:$B$510,"Colombia",'Datos - Objetivos de países'!$F$5:$F$510,AN$3,'Datos - Objetivos de países'!$K$5:$K$510,$A29)</f>
        <v/>
      </c>
      <c r="AO29" s="11">
        <f>COUNTIFS('Datos - Objetivos de países'!$B$5:$B$510,"Singapur",'Datos - Objetivos de países'!$F$5:$F$510,AO$3,'Datos - Objetivos de países'!$J$5:$J$510,$A29)+COUNTIFS('Datos - Objetivos de países'!$B$5:$B$510,"Singapur",'Datos - Objetivos de países'!$F$5:$F$510,AO$3,'Datos - Objetivos de países'!$K$5:$K$510,$A29)</f>
        <v/>
      </c>
      <c r="AP29" s="11">
        <f>COUNTIFS('Datos - Objetivos de países'!$B$5:$B$510,"Singapur",'Datos - Objetivos de países'!$F$5:$F$510,AP$3,'Datos - Objetivos de países'!$J$5:$J$510,$A29)+COUNTIFS('Datos - Objetivos de países'!$B$5:$B$510,"Singapur",'Datos - Objetivos de países'!$F$5:$F$510,AP$3,'Datos - Objetivos de países'!$K$5:$K$510,$A29)</f>
        <v/>
      </c>
      <c r="AQ29" s="11">
        <f>COUNTIFS('Datos - Objetivos de países'!$B$5:$B$510,"Singapur",'Datos - Objetivos de países'!$F$5:$F$510,AQ$3,'Datos - Objetivos de países'!$J$5:$J$510,$A29)+COUNTIFS('Datos - Objetivos de países'!$B$5:$B$510,"Singapur",'Datos - Objetivos de países'!$F$5:$F$510,AQ$3,'Datos - Objetivos de países'!$K$5:$K$510,$A29)</f>
        <v/>
      </c>
      <c r="AR29" s="11">
        <f>COUNTIFS('Datos - Objetivos de países'!$B$5:$B$510,"Singapur",'Datos - Objetivos de países'!$F$5:$F$510,AR$3,'Datos - Objetivos de países'!$J$5:$J$510,$A29)+COUNTIFS('Datos - Objetivos de países'!$B$5:$B$510,"Singapur",'Datos - Objetivos de países'!$F$5:$F$510,AR$3,'Datos - Objetivos de países'!$K$5:$K$510,$A29)</f>
        <v/>
      </c>
      <c r="AS29" s="11">
        <f>COUNTIFS('Datos - Objetivos de países'!$B$5:$B$510,"Singapur",'Datos - Objetivos de países'!$F$5:$F$510,AS$3,'Datos - Objetivos de países'!$J$5:$J$510,$A29)+COUNTIFS('Datos - Objetivos de países'!$B$5:$B$510,"Singapur",'Datos - Objetivos de países'!$F$5:$F$510,AS$3,'Datos - Objetivos de países'!$K$5:$K$510,$A29)</f>
        <v/>
      </c>
      <c r="AT29" s="11">
        <f>COUNTIFS('Datos - Objetivos de países'!$B$5:$B$510,"Singapur",'Datos - Objetivos de países'!$F$5:$F$510,AT$3,'Datos - Objetivos de países'!$J$5:$J$510,$A29)+COUNTIFS('Datos - Objetivos de países'!$B$5:$B$510,"Singapur",'Datos - Objetivos de países'!$F$5:$F$510,AT$3,'Datos - Objetivos de países'!$K$5:$K$510,$A29)</f>
        <v/>
      </c>
      <c r="AU29" s="11">
        <f>COUNTIFS('Datos - Objetivos de países'!$B$5:$B$510,"Singapur",'Datos - Objetivos de países'!$F$5:$F$510,AU$3,'Datos - Objetivos de países'!$J$5:$J$510,$A29)+COUNTIFS('Datos - Objetivos de países'!$B$5:$B$510,"Singapur",'Datos - Objetivos de países'!$F$5:$F$510,AU$3,'Datos - Objetivos de países'!$K$5:$K$510,$A29)</f>
        <v/>
      </c>
      <c r="AV29" s="11">
        <f>COUNTIFS('Datos - Objetivos de países'!$B$5:$B$510,"Singapur",'Datos - Objetivos de países'!$F$5:$F$510,AV$3,'Datos - Objetivos de países'!$J$5:$J$510,$A29)+COUNTIFS('Datos - Objetivos de países'!$B$5:$B$510,"Singapur",'Datos - Objetivos de países'!$F$5:$F$510,AV$3,'Datos - Objetivos de países'!$K$5:$K$510,$A29)</f>
        <v/>
      </c>
      <c r="AW29" s="11">
        <f>COUNTIFS('Datos - Objetivos de países'!$B$5:$B$510,"Singapur",'Datos - Objetivos de países'!$F$5:$F$510,AW$3,'Datos - Objetivos de países'!$J$5:$J$510,$A29)+COUNTIFS('Datos - Objetivos de países'!$B$5:$B$510,"Singapur",'Datos - Objetivos de países'!$F$5:$F$510,AW$3,'Datos - Objetivos de países'!$K$5:$K$510,$A29)</f>
        <v/>
      </c>
    </row>
    <row r="30">
      <c r="A30" s="30" t="inlineStr">
        <is>
          <t>T4_27-E1.1</t>
        </is>
      </c>
      <c r="B30" s="30" t="inlineStr">
        <is>
          <t>T4_27</t>
        </is>
      </c>
      <c r="C30" s="30" t="inlineStr">
        <is>
          <t>Ciencias de la Tierra</t>
        </is>
      </c>
      <c r="D30" s="30" t="inlineStr">
        <is>
          <t>Características físicas de la superficie terrestre</t>
        </is>
      </c>
      <c r="E30" s="30">
        <f>IFERROR(MAX($L$3,INDEX($N$3:$V$3,MATCH(TRUE,INDEX(N30:V30&gt;0,0),0))),"—")</f>
        <v/>
      </c>
      <c r="F30" s="30">
        <f>IFERROR(MAX($L$3,INDEX($W$3:$AE$3,MATCH(TRUE,INDEX(W30:AE30&gt;0,0),0))),"—")</f>
        <v/>
      </c>
      <c r="G30" s="30">
        <f>IFERROR(MAX($L$3,INDEX($AF$3:$AN$3,MATCH(TRUE,INDEX(AF30:AN30&gt;0,0),0))),"—")</f>
        <v/>
      </c>
      <c r="H30" s="30">
        <f>IFERROR(MAX($L$3,INDEX($AO$3:$AW$3,MATCH(TRUE,INDEX(AO30:AW30&gt;0,0),0))),"—")</f>
        <v/>
      </c>
      <c r="I30" s="36">
        <f>IF(L30=0,"—",MEDIAN(F30:H30))</f>
        <v/>
      </c>
      <c r="J30" s="36">
        <f>IF(OR(E30="—",I30="—"),"—",E30-I30)</f>
        <v/>
      </c>
      <c r="K30" s="19">
        <f>IF(E30="—",IF(L30=0,"Nadie lo trabaja","El Salvador no llega"),IF(L30=0,"Solo El Salvador",IF(J30&gt;0,"El Salvador llega más tarde",IF(J30&lt;0,"El Salvador va adelantado","Mismo grado"))))</f>
        <v/>
      </c>
      <c r="L30" s="30">
        <f>COUNT(F30:H30)</f>
        <v/>
      </c>
      <c r="N30" s="11">
        <f>COUNTIFS('Datos - Temas'!$C$5:$C$1264,"Ciencias",'Datos - Temas'!$B$5:$B$1264,N$3,'Datos - Temas'!$K$5:$K$1264,$A30)+COUNTIFS('Datos - Temas'!$C$5:$C$1264,"Ciencias",'Datos - Temas'!$B$5:$B$1264,N$3,'Datos - Temas'!$L$5:$L$1264,$A30)</f>
        <v/>
      </c>
      <c r="O30" s="11">
        <f>COUNTIFS('Datos - Temas'!$C$5:$C$1264,"Ciencias",'Datos - Temas'!$B$5:$B$1264,O$3,'Datos - Temas'!$K$5:$K$1264,$A30)+COUNTIFS('Datos - Temas'!$C$5:$C$1264,"Ciencias",'Datos - Temas'!$B$5:$B$1264,O$3,'Datos - Temas'!$L$5:$L$1264,$A30)</f>
        <v/>
      </c>
      <c r="P30" s="11">
        <f>COUNTIFS('Datos - Temas'!$C$5:$C$1264,"Ciencias",'Datos - Temas'!$B$5:$B$1264,P$3,'Datos - Temas'!$K$5:$K$1264,$A30)+COUNTIFS('Datos - Temas'!$C$5:$C$1264,"Ciencias",'Datos - Temas'!$B$5:$B$1264,P$3,'Datos - Temas'!$L$5:$L$1264,$A30)</f>
        <v/>
      </c>
      <c r="Q30" s="11">
        <f>COUNTIFS('Datos - Temas'!$C$5:$C$1264,"Ciencias",'Datos - Temas'!$B$5:$B$1264,Q$3,'Datos - Temas'!$K$5:$K$1264,$A30)+COUNTIFS('Datos - Temas'!$C$5:$C$1264,"Ciencias",'Datos - Temas'!$B$5:$B$1264,Q$3,'Datos - Temas'!$L$5:$L$1264,$A30)</f>
        <v/>
      </c>
      <c r="R30" s="11">
        <f>COUNTIFS('Datos - Temas'!$C$5:$C$1264,"Ciencias",'Datos - Temas'!$B$5:$B$1264,R$3,'Datos - Temas'!$K$5:$K$1264,$A30)+COUNTIFS('Datos - Temas'!$C$5:$C$1264,"Ciencias",'Datos - Temas'!$B$5:$B$1264,R$3,'Datos - Temas'!$L$5:$L$1264,$A30)</f>
        <v/>
      </c>
      <c r="S30" s="11">
        <f>COUNTIFS('Datos - Temas'!$C$5:$C$1264,"Ciencias",'Datos - Temas'!$B$5:$B$1264,S$3,'Datos - Temas'!$K$5:$K$1264,$A30)+COUNTIFS('Datos - Temas'!$C$5:$C$1264,"Ciencias",'Datos - Temas'!$B$5:$B$1264,S$3,'Datos - Temas'!$L$5:$L$1264,$A30)</f>
        <v/>
      </c>
      <c r="T30" s="11">
        <f>COUNTIFS('Datos - Temas'!$C$5:$C$1264,"Ciencias",'Datos - Temas'!$B$5:$B$1264,T$3,'Datos - Temas'!$K$5:$K$1264,$A30)+COUNTIFS('Datos - Temas'!$C$5:$C$1264,"Ciencias",'Datos - Temas'!$B$5:$B$1264,T$3,'Datos - Temas'!$L$5:$L$1264,$A30)</f>
        <v/>
      </c>
      <c r="U30" s="11">
        <f>COUNTIFS('Datos - Temas'!$C$5:$C$1264,"Ciencias",'Datos - Temas'!$B$5:$B$1264,U$3,'Datos - Temas'!$K$5:$K$1264,$A30)+COUNTIFS('Datos - Temas'!$C$5:$C$1264,"Ciencias",'Datos - Temas'!$B$5:$B$1264,U$3,'Datos - Temas'!$L$5:$L$1264,$A30)</f>
        <v/>
      </c>
      <c r="V30" s="11">
        <f>COUNTIFS('Datos - Temas'!$C$5:$C$1264,"Ciencias",'Datos - Temas'!$B$5:$B$1264,V$3,'Datos - Temas'!$K$5:$K$1264,$A30)+COUNTIFS('Datos - Temas'!$C$5:$C$1264,"Ciencias",'Datos - Temas'!$B$5:$B$1264,V$3,'Datos - Temas'!$L$5:$L$1264,$A30)</f>
        <v/>
      </c>
      <c r="W30" s="11">
        <f>COUNTIFS('Datos - Objetivos de países'!$B$5:$B$510,"Uruguay",'Datos - Objetivos de países'!$F$5:$F$510,W$3,'Datos - Objetivos de países'!$J$5:$J$510,$A30)+COUNTIFS('Datos - Objetivos de países'!$B$5:$B$510,"Uruguay",'Datos - Objetivos de países'!$F$5:$F$510,W$3,'Datos - Objetivos de países'!$K$5:$K$510,$A30)</f>
        <v/>
      </c>
      <c r="X30" s="11">
        <f>COUNTIFS('Datos - Objetivos de países'!$B$5:$B$510,"Uruguay",'Datos - Objetivos de países'!$F$5:$F$510,X$3,'Datos - Objetivos de países'!$J$5:$J$510,$A30)+COUNTIFS('Datos - Objetivos de países'!$B$5:$B$510,"Uruguay",'Datos - Objetivos de países'!$F$5:$F$510,X$3,'Datos - Objetivos de países'!$K$5:$K$510,$A30)</f>
        <v/>
      </c>
      <c r="Y30" s="11">
        <f>COUNTIFS('Datos - Objetivos de países'!$B$5:$B$510,"Uruguay",'Datos - Objetivos de países'!$F$5:$F$510,Y$3,'Datos - Objetivos de países'!$J$5:$J$510,$A30)+COUNTIFS('Datos - Objetivos de países'!$B$5:$B$510,"Uruguay",'Datos - Objetivos de países'!$F$5:$F$510,Y$3,'Datos - Objetivos de países'!$K$5:$K$510,$A30)</f>
        <v/>
      </c>
      <c r="Z30" s="11">
        <f>COUNTIFS('Datos - Objetivos de países'!$B$5:$B$510,"Uruguay",'Datos - Objetivos de países'!$F$5:$F$510,Z$3,'Datos - Objetivos de países'!$J$5:$J$510,$A30)+COUNTIFS('Datos - Objetivos de países'!$B$5:$B$510,"Uruguay",'Datos - Objetivos de países'!$F$5:$F$510,Z$3,'Datos - Objetivos de países'!$K$5:$K$510,$A30)</f>
        <v/>
      </c>
      <c r="AA30" s="11">
        <f>COUNTIFS('Datos - Objetivos de países'!$B$5:$B$510,"Uruguay",'Datos - Objetivos de países'!$F$5:$F$510,AA$3,'Datos - Objetivos de países'!$J$5:$J$510,$A30)+COUNTIFS('Datos - Objetivos de países'!$B$5:$B$510,"Uruguay",'Datos - Objetivos de países'!$F$5:$F$510,AA$3,'Datos - Objetivos de países'!$K$5:$K$510,$A30)</f>
        <v/>
      </c>
      <c r="AB30" s="11">
        <f>COUNTIFS('Datos - Objetivos de países'!$B$5:$B$510,"Uruguay",'Datos - Objetivos de países'!$F$5:$F$510,AB$3,'Datos - Objetivos de países'!$J$5:$J$510,$A30)+COUNTIFS('Datos - Objetivos de países'!$B$5:$B$510,"Uruguay",'Datos - Objetivos de países'!$F$5:$F$510,AB$3,'Datos - Objetivos de países'!$K$5:$K$510,$A30)</f>
        <v/>
      </c>
      <c r="AC30" s="11">
        <f>COUNTIFS('Datos - Objetivos de países'!$B$5:$B$510,"Uruguay",'Datos - Objetivos de países'!$F$5:$F$510,AC$3,'Datos - Objetivos de países'!$J$5:$J$510,$A30)+COUNTIFS('Datos - Objetivos de países'!$B$5:$B$510,"Uruguay",'Datos - Objetivos de países'!$F$5:$F$510,AC$3,'Datos - Objetivos de países'!$K$5:$K$510,$A30)</f>
        <v/>
      </c>
      <c r="AD30" s="11">
        <f>COUNTIFS('Datos - Objetivos de países'!$B$5:$B$510,"Uruguay",'Datos - Objetivos de países'!$F$5:$F$510,AD$3,'Datos - Objetivos de países'!$J$5:$J$510,$A30)+COUNTIFS('Datos - Objetivos de países'!$B$5:$B$510,"Uruguay",'Datos - Objetivos de países'!$F$5:$F$510,AD$3,'Datos - Objetivos de países'!$K$5:$K$510,$A30)</f>
        <v/>
      </c>
      <c r="AE30" s="11">
        <f>COUNTIFS('Datos - Objetivos de países'!$B$5:$B$510,"Uruguay",'Datos - Objetivos de países'!$F$5:$F$510,AE$3,'Datos - Objetivos de países'!$J$5:$J$510,$A30)+COUNTIFS('Datos - Objetivos de países'!$B$5:$B$510,"Uruguay",'Datos - Objetivos de países'!$F$5:$F$510,AE$3,'Datos - Objetivos de países'!$K$5:$K$510,$A30)</f>
        <v/>
      </c>
      <c r="AF30" s="11">
        <f>COUNTIFS('Datos - Objetivos de países'!$B$5:$B$510,"Colombia",'Datos - Objetivos de países'!$F$5:$F$510,AF$3,'Datos - Objetivos de países'!$J$5:$J$510,$A30)+COUNTIFS('Datos - Objetivos de países'!$B$5:$B$510,"Colombia",'Datos - Objetivos de países'!$F$5:$F$510,AF$3,'Datos - Objetivos de países'!$K$5:$K$510,$A30)</f>
        <v/>
      </c>
      <c r="AG30" s="11">
        <f>COUNTIFS('Datos - Objetivos de países'!$B$5:$B$510,"Colombia",'Datos - Objetivos de países'!$F$5:$F$510,AG$3,'Datos - Objetivos de países'!$J$5:$J$510,$A30)+COUNTIFS('Datos - Objetivos de países'!$B$5:$B$510,"Colombia",'Datos - Objetivos de países'!$F$5:$F$510,AG$3,'Datos - Objetivos de países'!$K$5:$K$510,$A30)</f>
        <v/>
      </c>
      <c r="AH30" s="11">
        <f>COUNTIFS('Datos - Objetivos de países'!$B$5:$B$510,"Colombia",'Datos - Objetivos de países'!$F$5:$F$510,AH$3,'Datos - Objetivos de países'!$J$5:$J$510,$A30)+COUNTIFS('Datos - Objetivos de países'!$B$5:$B$510,"Colombia",'Datos - Objetivos de países'!$F$5:$F$510,AH$3,'Datos - Objetivos de países'!$K$5:$K$510,$A30)</f>
        <v/>
      </c>
      <c r="AI30" s="11">
        <f>COUNTIFS('Datos - Objetivos de países'!$B$5:$B$510,"Colombia",'Datos - Objetivos de países'!$F$5:$F$510,AI$3,'Datos - Objetivos de países'!$J$5:$J$510,$A30)+COUNTIFS('Datos - Objetivos de países'!$B$5:$B$510,"Colombia",'Datos - Objetivos de países'!$F$5:$F$510,AI$3,'Datos - Objetivos de países'!$K$5:$K$510,$A30)</f>
        <v/>
      </c>
      <c r="AJ30" s="11">
        <f>COUNTIFS('Datos - Objetivos de países'!$B$5:$B$510,"Colombia",'Datos - Objetivos de países'!$F$5:$F$510,AJ$3,'Datos - Objetivos de países'!$J$5:$J$510,$A30)+COUNTIFS('Datos - Objetivos de países'!$B$5:$B$510,"Colombia",'Datos - Objetivos de países'!$F$5:$F$510,AJ$3,'Datos - Objetivos de países'!$K$5:$K$510,$A30)</f>
        <v/>
      </c>
      <c r="AK30" s="11">
        <f>COUNTIFS('Datos - Objetivos de países'!$B$5:$B$510,"Colombia",'Datos - Objetivos de países'!$F$5:$F$510,AK$3,'Datos - Objetivos de países'!$J$5:$J$510,$A30)+COUNTIFS('Datos - Objetivos de países'!$B$5:$B$510,"Colombia",'Datos - Objetivos de países'!$F$5:$F$510,AK$3,'Datos - Objetivos de países'!$K$5:$K$510,$A30)</f>
        <v/>
      </c>
      <c r="AL30" s="11">
        <f>COUNTIFS('Datos - Objetivos de países'!$B$5:$B$510,"Colombia",'Datos - Objetivos de países'!$F$5:$F$510,AL$3,'Datos - Objetivos de países'!$J$5:$J$510,$A30)+COUNTIFS('Datos - Objetivos de países'!$B$5:$B$510,"Colombia",'Datos - Objetivos de países'!$F$5:$F$510,AL$3,'Datos - Objetivos de países'!$K$5:$K$510,$A30)</f>
        <v/>
      </c>
      <c r="AM30" s="11">
        <f>COUNTIFS('Datos - Objetivos de países'!$B$5:$B$510,"Colombia",'Datos - Objetivos de países'!$F$5:$F$510,AM$3,'Datos - Objetivos de países'!$J$5:$J$510,$A30)+COUNTIFS('Datos - Objetivos de países'!$B$5:$B$510,"Colombia",'Datos - Objetivos de países'!$F$5:$F$510,AM$3,'Datos - Objetivos de países'!$K$5:$K$510,$A30)</f>
        <v/>
      </c>
      <c r="AN30" s="11">
        <f>COUNTIFS('Datos - Objetivos de países'!$B$5:$B$510,"Colombia",'Datos - Objetivos de países'!$F$5:$F$510,AN$3,'Datos - Objetivos de países'!$J$5:$J$510,$A30)+COUNTIFS('Datos - Objetivos de países'!$B$5:$B$510,"Colombia",'Datos - Objetivos de países'!$F$5:$F$510,AN$3,'Datos - Objetivos de países'!$K$5:$K$510,$A30)</f>
        <v/>
      </c>
      <c r="AO30" s="11">
        <f>COUNTIFS('Datos - Objetivos de países'!$B$5:$B$510,"Singapur",'Datos - Objetivos de países'!$F$5:$F$510,AO$3,'Datos - Objetivos de países'!$J$5:$J$510,$A30)+COUNTIFS('Datos - Objetivos de países'!$B$5:$B$510,"Singapur",'Datos - Objetivos de países'!$F$5:$F$510,AO$3,'Datos - Objetivos de países'!$K$5:$K$510,$A30)</f>
        <v/>
      </c>
      <c r="AP30" s="11">
        <f>COUNTIFS('Datos - Objetivos de países'!$B$5:$B$510,"Singapur",'Datos - Objetivos de países'!$F$5:$F$510,AP$3,'Datos - Objetivos de países'!$J$5:$J$510,$A30)+COUNTIFS('Datos - Objetivos de países'!$B$5:$B$510,"Singapur",'Datos - Objetivos de países'!$F$5:$F$510,AP$3,'Datos - Objetivos de países'!$K$5:$K$510,$A30)</f>
        <v/>
      </c>
      <c r="AQ30" s="11">
        <f>COUNTIFS('Datos - Objetivos de países'!$B$5:$B$510,"Singapur",'Datos - Objetivos de países'!$F$5:$F$510,AQ$3,'Datos - Objetivos de países'!$J$5:$J$510,$A30)+COUNTIFS('Datos - Objetivos de países'!$B$5:$B$510,"Singapur",'Datos - Objetivos de países'!$F$5:$F$510,AQ$3,'Datos - Objetivos de países'!$K$5:$K$510,$A30)</f>
        <v/>
      </c>
      <c r="AR30" s="11">
        <f>COUNTIFS('Datos - Objetivos de países'!$B$5:$B$510,"Singapur",'Datos - Objetivos de países'!$F$5:$F$510,AR$3,'Datos - Objetivos de países'!$J$5:$J$510,$A30)+COUNTIFS('Datos - Objetivos de países'!$B$5:$B$510,"Singapur",'Datos - Objetivos de países'!$F$5:$F$510,AR$3,'Datos - Objetivos de países'!$K$5:$K$510,$A30)</f>
        <v/>
      </c>
      <c r="AS30" s="11">
        <f>COUNTIFS('Datos - Objetivos de países'!$B$5:$B$510,"Singapur",'Datos - Objetivos de países'!$F$5:$F$510,AS$3,'Datos - Objetivos de países'!$J$5:$J$510,$A30)+COUNTIFS('Datos - Objetivos de países'!$B$5:$B$510,"Singapur",'Datos - Objetivos de países'!$F$5:$F$510,AS$3,'Datos - Objetivos de países'!$K$5:$K$510,$A30)</f>
        <v/>
      </c>
      <c r="AT30" s="11">
        <f>COUNTIFS('Datos - Objetivos de países'!$B$5:$B$510,"Singapur",'Datos - Objetivos de países'!$F$5:$F$510,AT$3,'Datos - Objetivos de países'!$J$5:$J$510,$A30)+COUNTIFS('Datos - Objetivos de países'!$B$5:$B$510,"Singapur",'Datos - Objetivos de países'!$F$5:$F$510,AT$3,'Datos - Objetivos de países'!$K$5:$K$510,$A30)</f>
        <v/>
      </c>
      <c r="AU30" s="11">
        <f>COUNTIFS('Datos - Objetivos de países'!$B$5:$B$510,"Singapur",'Datos - Objetivos de países'!$F$5:$F$510,AU$3,'Datos - Objetivos de países'!$J$5:$J$510,$A30)+COUNTIFS('Datos - Objetivos de países'!$B$5:$B$510,"Singapur",'Datos - Objetivos de países'!$F$5:$F$510,AU$3,'Datos - Objetivos de países'!$K$5:$K$510,$A30)</f>
        <v/>
      </c>
      <c r="AV30" s="11">
        <f>COUNTIFS('Datos - Objetivos de países'!$B$5:$B$510,"Singapur",'Datos - Objetivos de países'!$F$5:$F$510,AV$3,'Datos - Objetivos de países'!$J$5:$J$510,$A30)+COUNTIFS('Datos - Objetivos de países'!$B$5:$B$510,"Singapur",'Datos - Objetivos de países'!$F$5:$F$510,AV$3,'Datos - Objetivos de países'!$K$5:$K$510,$A30)</f>
        <v/>
      </c>
      <c r="AW30" s="11">
        <f>COUNTIFS('Datos - Objetivos de países'!$B$5:$B$510,"Singapur",'Datos - Objetivos de países'!$F$5:$F$510,AW$3,'Datos - Objetivos de países'!$J$5:$J$510,$A30)+COUNTIFS('Datos - Objetivos de países'!$B$5:$B$510,"Singapur",'Datos - Objetivos de países'!$F$5:$F$510,AW$3,'Datos - Objetivos de países'!$K$5:$K$510,$A30)</f>
        <v/>
      </c>
    </row>
    <row r="31">
      <c r="A31" s="30" t="inlineStr">
        <is>
          <t>T4_27-E1.2</t>
        </is>
      </c>
      <c r="B31" s="30" t="inlineStr">
        <is>
          <t>T4_27</t>
        </is>
      </c>
      <c r="C31" s="30" t="inlineStr">
        <is>
          <t>Ciencias de la Tierra</t>
        </is>
      </c>
      <c r="D31" s="30" t="inlineStr">
        <is>
          <t>Historia de la Tierra</t>
        </is>
      </c>
      <c r="E31" s="30">
        <f>IFERROR(MAX($L$3,INDEX($N$3:$V$3,MATCH(TRUE,INDEX(N31:V31&gt;0,0),0))),"—")</f>
        <v/>
      </c>
      <c r="F31" s="30">
        <f>IFERROR(MAX($L$3,INDEX($W$3:$AE$3,MATCH(TRUE,INDEX(W31:AE31&gt;0,0),0))),"—")</f>
        <v/>
      </c>
      <c r="G31" s="30">
        <f>IFERROR(MAX($L$3,INDEX($AF$3:$AN$3,MATCH(TRUE,INDEX(AF31:AN31&gt;0,0),0))),"—")</f>
        <v/>
      </c>
      <c r="H31" s="30">
        <f>IFERROR(MAX($L$3,INDEX($AO$3:$AW$3,MATCH(TRUE,INDEX(AO31:AW31&gt;0,0),0))),"—")</f>
        <v/>
      </c>
      <c r="I31" s="36">
        <f>IF(L31=0,"—",MEDIAN(F31:H31))</f>
        <v/>
      </c>
      <c r="J31" s="36">
        <f>IF(OR(E31="—",I31="—"),"—",E31-I31)</f>
        <v/>
      </c>
      <c r="K31" s="19">
        <f>IF(E31="—",IF(L31=0,"Nadie lo trabaja","El Salvador no llega"),IF(L31=0,"Solo El Salvador",IF(J31&gt;0,"El Salvador llega más tarde",IF(J31&lt;0,"El Salvador va adelantado","Mismo grado"))))</f>
        <v/>
      </c>
      <c r="L31" s="30">
        <f>COUNT(F31:H31)</f>
        <v/>
      </c>
      <c r="N31" s="11">
        <f>COUNTIFS('Datos - Temas'!$C$5:$C$1264,"Ciencias",'Datos - Temas'!$B$5:$B$1264,N$3,'Datos - Temas'!$K$5:$K$1264,$A31)+COUNTIFS('Datos - Temas'!$C$5:$C$1264,"Ciencias",'Datos - Temas'!$B$5:$B$1264,N$3,'Datos - Temas'!$L$5:$L$1264,$A31)</f>
        <v/>
      </c>
      <c r="O31" s="11">
        <f>COUNTIFS('Datos - Temas'!$C$5:$C$1264,"Ciencias",'Datos - Temas'!$B$5:$B$1264,O$3,'Datos - Temas'!$K$5:$K$1264,$A31)+COUNTIFS('Datos - Temas'!$C$5:$C$1264,"Ciencias",'Datos - Temas'!$B$5:$B$1264,O$3,'Datos - Temas'!$L$5:$L$1264,$A31)</f>
        <v/>
      </c>
      <c r="P31" s="11">
        <f>COUNTIFS('Datos - Temas'!$C$5:$C$1264,"Ciencias",'Datos - Temas'!$B$5:$B$1264,P$3,'Datos - Temas'!$K$5:$K$1264,$A31)+COUNTIFS('Datos - Temas'!$C$5:$C$1264,"Ciencias",'Datos - Temas'!$B$5:$B$1264,P$3,'Datos - Temas'!$L$5:$L$1264,$A31)</f>
        <v/>
      </c>
      <c r="Q31" s="11">
        <f>COUNTIFS('Datos - Temas'!$C$5:$C$1264,"Ciencias",'Datos - Temas'!$B$5:$B$1264,Q$3,'Datos - Temas'!$K$5:$K$1264,$A31)+COUNTIFS('Datos - Temas'!$C$5:$C$1264,"Ciencias",'Datos - Temas'!$B$5:$B$1264,Q$3,'Datos - Temas'!$L$5:$L$1264,$A31)</f>
        <v/>
      </c>
      <c r="R31" s="11">
        <f>COUNTIFS('Datos - Temas'!$C$5:$C$1264,"Ciencias",'Datos - Temas'!$B$5:$B$1264,R$3,'Datos - Temas'!$K$5:$K$1264,$A31)+COUNTIFS('Datos - Temas'!$C$5:$C$1264,"Ciencias",'Datos - Temas'!$B$5:$B$1264,R$3,'Datos - Temas'!$L$5:$L$1264,$A31)</f>
        <v/>
      </c>
      <c r="S31" s="11">
        <f>COUNTIFS('Datos - Temas'!$C$5:$C$1264,"Ciencias",'Datos - Temas'!$B$5:$B$1264,S$3,'Datos - Temas'!$K$5:$K$1264,$A31)+COUNTIFS('Datos - Temas'!$C$5:$C$1264,"Ciencias",'Datos - Temas'!$B$5:$B$1264,S$3,'Datos - Temas'!$L$5:$L$1264,$A31)</f>
        <v/>
      </c>
      <c r="T31" s="11">
        <f>COUNTIFS('Datos - Temas'!$C$5:$C$1264,"Ciencias",'Datos - Temas'!$B$5:$B$1264,T$3,'Datos - Temas'!$K$5:$K$1264,$A31)+COUNTIFS('Datos - Temas'!$C$5:$C$1264,"Ciencias",'Datos - Temas'!$B$5:$B$1264,T$3,'Datos - Temas'!$L$5:$L$1264,$A31)</f>
        <v/>
      </c>
      <c r="U31" s="11">
        <f>COUNTIFS('Datos - Temas'!$C$5:$C$1264,"Ciencias",'Datos - Temas'!$B$5:$B$1264,U$3,'Datos - Temas'!$K$5:$K$1264,$A31)+COUNTIFS('Datos - Temas'!$C$5:$C$1264,"Ciencias",'Datos - Temas'!$B$5:$B$1264,U$3,'Datos - Temas'!$L$5:$L$1264,$A31)</f>
        <v/>
      </c>
      <c r="V31" s="11">
        <f>COUNTIFS('Datos - Temas'!$C$5:$C$1264,"Ciencias",'Datos - Temas'!$B$5:$B$1264,V$3,'Datos - Temas'!$K$5:$K$1264,$A31)+COUNTIFS('Datos - Temas'!$C$5:$C$1264,"Ciencias",'Datos - Temas'!$B$5:$B$1264,V$3,'Datos - Temas'!$L$5:$L$1264,$A31)</f>
        <v/>
      </c>
      <c r="W31" s="11">
        <f>COUNTIFS('Datos - Objetivos de países'!$B$5:$B$510,"Uruguay",'Datos - Objetivos de países'!$F$5:$F$510,W$3,'Datos - Objetivos de países'!$J$5:$J$510,$A31)+COUNTIFS('Datos - Objetivos de países'!$B$5:$B$510,"Uruguay",'Datos - Objetivos de países'!$F$5:$F$510,W$3,'Datos - Objetivos de países'!$K$5:$K$510,$A31)</f>
        <v/>
      </c>
      <c r="X31" s="11">
        <f>COUNTIFS('Datos - Objetivos de países'!$B$5:$B$510,"Uruguay",'Datos - Objetivos de países'!$F$5:$F$510,X$3,'Datos - Objetivos de países'!$J$5:$J$510,$A31)+COUNTIFS('Datos - Objetivos de países'!$B$5:$B$510,"Uruguay",'Datos - Objetivos de países'!$F$5:$F$510,X$3,'Datos - Objetivos de países'!$K$5:$K$510,$A31)</f>
        <v/>
      </c>
      <c r="Y31" s="11">
        <f>COUNTIFS('Datos - Objetivos de países'!$B$5:$B$510,"Uruguay",'Datos - Objetivos de países'!$F$5:$F$510,Y$3,'Datos - Objetivos de países'!$J$5:$J$510,$A31)+COUNTIFS('Datos - Objetivos de países'!$B$5:$B$510,"Uruguay",'Datos - Objetivos de países'!$F$5:$F$510,Y$3,'Datos - Objetivos de países'!$K$5:$K$510,$A31)</f>
        <v/>
      </c>
      <c r="Z31" s="11">
        <f>COUNTIFS('Datos - Objetivos de países'!$B$5:$B$510,"Uruguay",'Datos - Objetivos de países'!$F$5:$F$510,Z$3,'Datos - Objetivos de países'!$J$5:$J$510,$A31)+COUNTIFS('Datos - Objetivos de países'!$B$5:$B$510,"Uruguay",'Datos - Objetivos de países'!$F$5:$F$510,Z$3,'Datos - Objetivos de países'!$K$5:$K$510,$A31)</f>
        <v/>
      </c>
      <c r="AA31" s="11">
        <f>COUNTIFS('Datos - Objetivos de países'!$B$5:$B$510,"Uruguay",'Datos - Objetivos de países'!$F$5:$F$510,AA$3,'Datos - Objetivos de países'!$J$5:$J$510,$A31)+COUNTIFS('Datos - Objetivos de países'!$B$5:$B$510,"Uruguay",'Datos - Objetivos de países'!$F$5:$F$510,AA$3,'Datos - Objetivos de países'!$K$5:$K$510,$A31)</f>
        <v/>
      </c>
      <c r="AB31" s="11">
        <f>COUNTIFS('Datos - Objetivos de países'!$B$5:$B$510,"Uruguay",'Datos - Objetivos de países'!$F$5:$F$510,AB$3,'Datos - Objetivos de países'!$J$5:$J$510,$A31)+COUNTIFS('Datos - Objetivos de países'!$B$5:$B$510,"Uruguay",'Datos - Objetivos de países'!$F$5:$F$510,AB$3,'Datos - Objetivos de países'!$K$5:$K$510,$A31)</f>
        <v/>
      </c>
      <c r="AC31" s="11">
        <f>COUNTIFS('Datos - Objetivos de países'!$B$5:$B$510,"Uruguay",'Datos - Objetivos de países'!$F$5:$F$510,AC$3,'Datos - Objetivos de países'!$J$5:$J$510,$A31)+COUNTIFS('Datos - Objetivos de países'!$B$5:$B$510,"Uruguay",'Datos - Objetivos de países'!$F$5:$F$510,AC$3,'Datos - Objetivos de países'!$K$5:$K$510,$A31)</f>
        <v/>
      </c>
      <c r="AD31" s="11">
        <f>COUNTIFS('Datos - Objetivos de países'!$B$5:$B$510,"Uruguay",'Datos - Objetivos de países'!$F$5:$F$510,AD$3,'Datos - Objetivos de países'!$J$5:$J$510,$A31)+COUNTIFS('Datos - Objetivos de países'!$B$5:$B$510,"Uruguay",'Datos - Objetivos de países'!$F$5:$F$510,AD$3,'Datos - Objetivos de países'!$K$5:$K$510,$A31)</f>
        <v/>
      </c>
      <c r="AE31" s="11">
        <f>COUNTIFS('Datos - Objetivos de países'!$B$5:$B$510,"Uruguay",'Datos - Objetivos de países'!$F$5:$F$510,AE$3,'Datos - Objetivos de países'!$J$5:$J$510,$A31)+COUNTIFS('Datos - Objetivos de países'!$B$5:$B$510,"Uruguay",'Datos - Objetivos de países'!$F$5:$F$510,AE$3,'Datos - Objetivos de países'!$K$5:$K$510,$A31)</f>
        <v/>
      </c>
      <c r="AF31" s="11">
        <f>COUNTIFS('Datos - Objetivos de países'!$B$5:$B$510,"Colombia",'Datos - Objetivos de países'!$F$5:$F$510,AF$3,'Datos - Objetivos de países'!$J$5:$J$510,$A31)+COUNTIFS('Datos - Objetivos de países'!$B$5:$B$510,"Colombia",'Datos - Objetivos de países'!$F$5:$F$510,AF$3,'Datos - Objetivos de países'!$K$5:$K$510,$A31)</f>
        <v/>
      </c>
      <c r="AG31" s="11">
        <f>COUNTIFS('Datos - Objetivos de países'!$B$5:$B$510,"Colombia",'Datos - Objetivos de países'!$F$5:$F$510,AG$3,'Datos - Objetivos de países'!$J$5:$J$510,$A31)+COUNTIFS('Datos - Objetivos de países'!$B$5:$B$510,"Colombia",'Datos - Objetivos de países'!$F$5:$F$510,AG$3,'Datos - Objetivos de países'!$K$5:$K$510,$A31)</f>
        <v/>
      </c>
      <c r="AH31" s="11">
        <f>COUNTIFS('Datos - Objetivos de países'!$B$5:$B$510,"Colombia",'Datos - Objetivos de países'!$F$5:$F$510,AH$3,'Datos - Objetivos de países'!$J$5:$J$510,$A31)+COUNTIFS('Datos - Objetivos de países'!$B$5:$B$510,"Colombia",'Datos - Objetivos de países'!$F$5:$F$510,AH$3,'Datos - Objetivos de países'!$K$5:$K$510,$A31)</f>
        <v/>
      </c>
      <c r="AI31" s="11">
        <f>COUNTIFS('Datos - Objetivos de países'!$B$5:$B$510,"Colombia",'Datos - Objetivos de países'!$F$5:$F$510,AI$3,'Datos - Objetivos de países'!$J$5:$J$510,$A31)+COUNTIFS('Datos - Objetivos de países'!$B$5:$B$510,"Colombia",'Datos - Objetivos de países'!$F$5:$F$510,AI$3,'Datos - Objetivos de países'!$K$5:$K$510,$A31)</f>
        <v/>
      </c>
      <c r="AJ31" s="11">
        <f>COUNTIFS('Datos - Objetivos de países'!$B$5:$B$510,"Colombia",'Datos - Objetivos de países'!$F$5:$F$510,AJ$3,'Datos - Objetivos de países'!$J$5:$J$510,$A31)+COUNTIFS('Datos - Objetivos de países'!$B$5:$B$510,"Colombia",'Datos - Objetivos de países'!$F$5:$F$510,AJ$3,'Datos - Objetivos de países'!$K$5:$K$510,$A31)</f>
        <v/>
      </c>
      <c r="AK31" s="11">
        <f>COUNTIFS('Datos - Objetivos de países'!$B$5:$B$510,"Colombia",'Datos - Objetivos de países'!$F$5:$F$510,AK$3,'Datos - Objetivos de países'!$J$5:$J$510,$A31)+COUNTIFS('Datos - Objetivos de países'!$B$5:$B$510,"Colombia",'Datos - Objetivos de países'!$F$5:$F$510,AK$3,'Datos - Objetivos de países'!$K$5:$K$510,$A31)</f>
        <v/>
      </c>
      <c r="AL31" s="11">
        <f>COUNTIFS('Datos - Objetivos de países'!$B$5:$B$510,"Colombia",'Datos - Objetivos de países'!$F$5:$F$510,AL$3,'Datos - Objetivos de países'!$J$5:$J$510,$A31)+COUNTIFS('Datos - Objetivos de países'!$B$5:$B$510,"Colombia",'Datos - Objetivos de países'!$F$5:$F$510,AL$3,'Datos - Objetivos de países'!$K$5:$K$510,$A31)</f>
        <v/>
      </c>
      <c r="AM31" s="11">
        <f>COUNTIFS('Datos - Objetivos de países'!$B$5:$B$510,"Colombia",'Datos - Objetivos de países'!$F$5:$F$510,AM$3,'Datos - Objetivos de países'!$J$5:$J$510,$A31)+COUNTIFS('Datos - Objetivos de países'!$B$5:$B$510,"Colombia",'Datos - Objetivos de países'!$F$5:$F$510,AM$3,'Datos - Objetivos de países'!$K$5:$K$510,$A31)</f>
        <v/>
      </c>
      <c r="AN31" s="11">
        <f>COUNTIFS('Datos - Objetivos de países'!$B$5:$B$510,"Colombia",'Datos - Objetivos de países'!$F$5:$F$510,AN$3,'Datos - Objetivos de países'!$J$5:$J$510,$A31)+COUNTIFS('Datos - Objetivos de países'!$B$5:$B$510,"Colombia",'Datos - Objetivos de países'!$F$5:$F$510,AN$3,'Datos - Objetivos de países'!$K$5:$K$510,$A31)</f>
        <v/>
      </c>
      <c r="AO31" s="11">
        <f>COUNTIFS('Datos - Objetivos de países'!$B$5:$B$510,"Singapur",'Datos - Objetivos de países'!$F$5:$F$510,AO$3,'Datos - Objetivos de países'!$J$5:$J$510,$A31)+COUNTIFS('Datos - Objetivos de países'!$B$5:$B$510,"Singapur",'Datos - Objetivos de países'!$F$5:$F$510,AO$3,'Datos - Objetivos de países'!$K$5:$K$510,$A31)</f>
        <v/>
      </c>
      <c r="AP31" s="11">
        <f>COUNTIFS('Datos - Objetivos de países'!$B$5:$B$510,"Singapur",'Datos - Objetivos de países'!$F$5:$F$510,AP$3,'Datos - Objetivos de países'!$J$5:$J$510,$A31)+COUNTIFS('Datos - Objetivos de países'!$B$5:$B$510,"Singapur",'Datos - Objetivos de países'!$F$5:$F$510,AP$3,'Datos - Objetivos de países'!$K$5:$K$510,$A31)</f>
        <v/>
      </c>
      <c r="AQ31" s="11">
        <f>COUNTIFS('Datos - Objetivos de países'!$B$5:$B$510,"Singapur",'Datos - Objetivos de países'!$F$5:$F$510,AQ$3,'Datos - Objetivos de países'!$J$5:$J$510,$A31)+COUNTIFS('Datos - Objetivos de países'!$B$5:$B$510,"Singapur",'Datos - Objetivos de países'!$F$5:$F$510,AQ$3,'Datos - Objetivos de países'!$K$5:$K$510,$A31)</f>
        <v/>
      </c>
      <c r="AR31" s="11">
        <f>COUNTIFS('Datos - Objetivos de países'!$B$5:$B$510,"Singapur",'Datos - Objetivos de países'!$F$5:$F$510,AR$3,'Datos - Objetivos de países'!$J$5:$J$510,$A31)+COUNTIFS('Datos - Objetivos de países'!$B$5:$B$510,"Singapur",'Datos - Objetivos de países'!$F$5:$F$510,AR$3,'Datos - Objetivos de países'!$K$5:$K$510,$A31)</f>
        <v/>
      </c>
      <c r="AS31" s="11">
        <f>COUNTIFS('Datos - Objetivos de países'!$B$5:$B$510,"Singapur",'Datos - Objetivos de países'!$F$5:$F$510,AS$3,'Datos - Objetivos de países'!$J$5:$J$510,$A31)+COUNTIFS('Datos - Objetivos de países'!$B$5:$B$510,"Singapur",'Datos - Objetivos de países'!$F$5:$F$510,AS$3,'Datos - Objetivos de países'!$K$5:$K$510,$A31)</f>
        <v/>
      </c>
      <c r="AT31" s="11">
        <f>COUNTIFS('Datos - Objetivos de países'!$B$5:$B$510,"Singapur",'Datos - Objetivos de países'!$F$5:$F$510,AT$3,'Datos - Objetivos de países'!$J$5:$J$510,$A31)+COUNTIFS('Datos - Objetivos de países'!$B$5:$B$510,"Singapur",'Datos - Objetivos de países'!$F$5:$F$510,AT$3,'Datos - Objetivos de países'!$K$5:$K$510,$A31)</f>
        <v/>
      </c>
      <c r="AU31" s="11">
        <f>COUNTIFS('Datos - Objetivos de países'!$B$5:$B$510,"Singapur",'Datos - Objetivos de países'!$F$5:$F$510,AU$3,'Datos - Objetivos de países'!$J$5:$J$510,$A31)+COUNTIFS('Datos - Objetivos de países'!$B$5:$B$510,"Singapur",'Datos - Objetivos de países'!$F$5:$F$510,AU$3,'Datos - Objetivos de países'!$K$5:$K$510,$A31)</f>
        <v/>
      </c>
      <c r="AV31" s="11">
        <f>COUNTIFS('Datos - Objetivos de países'!$B$5:$B$510,"Singapur",'Datos - Objetivos de países'!$F$5:$F$510,AV$3,'Datos - Objetivos de países'!$J$5:$J$510,$A31)+COUNTIFS('Datos - Objetivos de países'!$B$5:$B$510,"Singapur",'Datos - Objetivos de países'!$F$5:$F$510,AV$3,'Datos - Objetivos de países'!$K$5:$K$510,$A31)</f>
        <v/>
      </c>
      <c r="AW31" s="11">
        <f>COUNTIFS('Datos - Objetivos de países'!$B$5:$B$510,"Singapur",'Datos - Objetivos de países'!$F$5:$F$510,AW$3,'Datos - Objetivos de países'!$J$5:$J$510,$A31)+COUNTIFS('Datos - Objetivos de países'!$B$5:$B$510,"Singapur",'Datos - Objetivos de países'!$F$5:$F$510,AW$3,'Datos - Objetivos de países'!$K$5:$K$510,$A31)</f>
        <v/>
      </c>
    </row>
    <row r="32">
      <c r="A32" s="30" t="inlineStr">
        <is>
          <t>T4_27-E2.1</t>
        </is>
      </c>
      <c r="B32" s="30" t="inlineStr">
        <is>
          <t>T4_27</t>
        </is>
      </c>
      <c r="C32" s="30" t="inlineStr">
        <is>
          <t>Ciencias de la Tierra</t>
        </is>
      </c>
      <c r="D32" s="30" t="inlineStr">
        <is>
          <t>Tiempo atmosférico y climas</t>
        </is>
      </c>
      <c r="E32" s="30">
        <f>IFERROR(MAX($L$3,INDEX($N$3:$V$3,MATCH(TRUE,INDEX(N32:V32&gt;0,0),0))),"—")</f>
        <v/>
      </c>
      <c r="F32" s="30">
        <f>IFERROR(MAX($L$3,INDEX($W$3:$AE$3,MATCH(TRUE,INDEX(W32:AE32&gt;0,0),0))),"—")</f>
        <v/>
      </c>
      <c r="G32" s="30">
        <f>IFERROR(MAX($L$3,INDEX($AF$3:$AN$3,MATCH(TRUE,INDEX(AF32:AN32&gt;0,0),0))),"—")</f>
        <v/>
      </c>
      <c r="H32" s="30">
        <f>IFERROR(MAX($L$3,INDEX($AO$3:$AW$3,MATCH(TRUE,INDEX(AO32:AW32&gt;0,0),0))),"—")</f>
        <v/>
      </c>
      <c r="I32" s="36">
        <f>IF(L32=0,"—",MEDIAN(F32:H32))</f>
        <v/>
      </c>
      <c r="J32" s="36">
        <f>IF(OR(E32="—",I32="—"),"—",E32-I32)</f>
        <v/>
      </c>
      <c r="K32" s="19">
        <f>IF(E32="—",IF(L32=0,"Nadie lo trabaja","El Salvador no llega"),IF(L32=0,"Solo El Salvador",IF(J32&gt;0,"El Salvador llega más tarde",IF(J32&lt;0,"El Salvador va adelantado","Mismo grado"))))</f>
        <v/>
      </c>
      <c r="L32" s="30">
        <f>COUNT(F32:H32)</f>
        <v/>
      </c>
      <c r="N32" s="11">
        <f>COUNTIFS('Datos - Temas'!$C$5:$C$1264,"Ciencias",'Datos - Temas'!$B$5:$B$1264,N$3,'Datos - Temas'!$K$5:$K$1264,$A32)+COUNTIFS('Datos - Temas'!$C$5:$C$1264,"Ciencias",'Datos - Temas'!$B$5:$B$1264,N$3,'Datos - Temas'!$L$5:$L$1264,$A32)</f>
        <v/>
      </c>
      <c r="O32" s="11">
        <f>COUNTIFS('Datos - Temas'!$C$5:$C$1264,"Ciencias",'Datos - Temas'!$B$5:$B$1264,O$3,'Datos - Temas'!$K$5:$K$1264,$A32)+COUNTIFS('Datos - Temas'!$C$5:$C$1264,"Ciencias",'Datos - Temas'!$B$5:$B$1264,O$3,'Datos - Temas'!$L$5:$L$1264,$A32)</f>
        <v/>
      </c>
      <c r="P32" s="11">
        <f>COUNTIFS('Datos - Temas'!$C$5:$C$1264,"Ciencias",'Datos - Temas'!$B$5:$B$1264,P$3,'Datos - Temas'!$K$5:$K$1264,$A32)+COUNTIFS('Datos - Temas'!$C$5:$C$1264,"Ciencias",'Datos - Temas'!$B$5:$B$1264,P$3,'Datos - Temas'!$L$5:$L$1264,$A32)</f>
        <v/>
      </c>
      <c r="Q32" s="11">
        <f>COUNTIFS('Datos - Temas'!$C$5:$C$1264,"Ciencias",'Datos - Temas'!$B$5:$B$1264,Q$3,'Datos - Temas'!$K$5:$K$1264,$A32)+COUNTIFS('Datos - Temas'!$C$5:$C$1264,"Ciencias",'Datos - Temas'!$B$5:$B$1264,Q$3,'Datos - Temas'!$L$5:$L$1264,$A32)</f>
        <v/>
      </c>
      <c r="R32" s="11">
        <f>COUNTIFS('Datos - Temas'!$C$5:$C$1264,"Ciencias",'Datos - Temas'!$B$5:$B$1264,R$3,'Datos - Temas'!$K$5:$K$1264,$A32)+COUNTIFS('Datos - Temas'!$C$5:$C$1264,"Ciencias",'Datos - Temas'!$B$5:$B$1264,R$3,'Datos - Temas'!$L$5:$L$1264,$A32)</f>
        <v/>
      </c>
      <c r="S32" s="11">
        <f>COUNTIFS('Datos - Temas'!$C$5:$C$1264,"Ciencias",'Datos - Temas'!$B$5:$B$1264,S$3,'Datos - Temas'!$K$5:$K$1264,$A32)+COUNTIFS('Datos - Temas'!$C$5:$C$1264,"Ciencias",'Datos - Temas'!$B$5:$B$1264,S$3,'Datos - Temas'!$L$5:$L$1264,$A32)</f>
        <v/>
      </c>
      <c r="T32" s="11">
        <f>COUNTIFS('Datos - Temas'!$C$5:$C$1264,"Ciencias",'Datos - Temas'!$B$5:$B$1264,T$3,'Datos - Temas'!$K$5:$K$1264,$A32)+COUNTIFS('Datos - Temas'!$C$5:$C$1264,"Ciencias",'Datos - Temas'!$B$5:$B$1264,T$3,'Datos - Temas'!$L$5:$L$1264,$A32)</f>
        <v/>
      </c>
      <c r="U32" s="11">
        <f>COUNTIFS('Datos - Temas'!$C$5:$C$1264,"Ciencias",'Datos - Temas'!$B$5:$B$1264,U$3,'Datos - Temas'!$K$5:$K$1264,$A32)+COUNTIFS('Datos - Temas'!$C$5:$C$1264,"Ciencias",'Datos - Temas'!$B$5:$B$1264,U$3,'Datos - Temas'!$L$5:$L$1264,$A32)</f>
        <v/>
      </c>
      <c r="V32" s="11">
        <f>COUNTIFS('Datos - Temas'!$C$5:$C$1264,"Ciencias",'Datos - Temas'!$B$5:$B$1264,V$3,'Datos - Temas'!$K$5:$K$1264,$A32)+COUNTIFS('Datos - Temas'!$C$5:$C$1264,"Ciencias",'Datos - Temas'!$B$5:$B$1264,V$3,'Datos - Temas'!$L$5:$L$1264,$A32)</f>
        <v/>
      </c>
      <c r="W32" s="11">
        <f>COUNTIFS('Datos - Objetivos de países'!$B$5:$B$510,"Uruguay",'Datos - Objetivos de países'!$F$5:$F$510,W$3,'Datos - Objetivos de países'!$J$5:$J$510,$A32)+COUNTIFS('Datos - Objetivos de países'!$B$5:$B$510,"Uruguay",'Datos - Objetivos de países'!$F$5:$F$510,W$3,'Datos - Objetivos de países'!$K$5:$K$510,$A32)</f>
        <v/>
      </c>
      <c r="X32" s="11">
        <f>COUNTIFS('Datos - Objetivos de países'!$B$5:$B$510,"Uruguay",'Datos - Objetivos de países'!$F$5:$F$510,X$3,'Datos - Objetivos de países'!$J$5:$J$510,$A32)+COUNTIFS('Datos - Objetivos de países'!$B$5:$B$510,"Uruguay",'Datos - Objetivos de países'!$F$5:$F$510,X$3,'Datos - Objetivos de países'!$K$5:$K$510,$A32)</f>
        <v/>
      </c>
      <c r="Y32" s="11">
        <f>COUNTIFS('Datos - Objetivos de países'!$B$5:$B$510,"Uruguay",'Datos - Objetivos de países'!$F$5:$F$510,Y$3,'Datos - Objetivos de países'!$J$5:$J$510,$A32)+COUNTIFS('Datos - Objetivos de países'!$B$5:$B$510,"Uruguay",'Datos - Objetivos de países'!$F$5:$F$510,Y$3,'Datos - Objetivos de países'!$K$5:$K$510,$A32)</f>
        <v/>
      </c>
      <c r="Z32" s="11">
        <f>COUNTIFS('Datos - Objetivos de países'!$B$5:$B$510,"Uruguay",'Datos - Objetivos de países'!$F$5:$F$510,Z$3,'Datos - Objetivos de países'!$J$5:$J$510,$A32)+COUNTIFS('Datos - Objetivos de países'!$B$5:$B$510,"Uruguay",'Datos - Objetivos de países'!$F$5:$F$510,Z$3,'Datos - Objetivos de países'!$K$5:$K$510,$A32)</f>
        <v/>
      </c>
      <c r="AA32" s="11">
        <f>COUNTIFS('Datos - Objetivos de países'!$B$5:$B$510,"Uruguay",'Datos - Objetivos de países'!$F$5:$F$510,AA$3,'Datos - Objetivos de países'!$J$5:$J$510,$A32)+COUNTIFS('Datos - Objetivos de países'!$B$5:$B$510,"Uruguay",'Datos - Objetivos de países'!$F$5:$F$510,AA$3,'Datos - Objetivos de países'!$K$5:$K$510,$A32)</f>
        <v/>
      </c>
      <c r="AB32" s="11">
        <f>COUNTIFS('Datos - Objetivos de países'!$B$5:$B$510,"Uruguay",'Datos - Objetivos de países'!$F$5:$F$510,AB$3,'Datos - Objetivos de países'!$J$5:$J$510,$A32)+COUNTIFS('Datos - Objetivos de países'!$B$5:$B$510,"Uruguay",'Datos - Objetivos de países'!$F$5:$F$510,AB$3,'Datos - Objetivos de países'!$K$5:$K$510,$A32)</f>
        <v/>
      </c>
      <c r="AC32" s="11">
        <f>COUNTIFS('Datos - Objetivos de países'!$B$5:$B$510,"Uruguay",'Datos - Objetivos de países'!$F$5:$F$510,AC$3,'Datos - Objetivos de países'!$J$5:$J$510,$A32)+COUNTIFS('Datos - Objetivos de países'!$B$5:$B$510,"Uruguay",'Datos - Objetivos de países'!$F$5:$F$510,AC$3,'Datos - Objetivos de países'!$K$5:$K$510,$A32)</f>
        <v/>
      </c>
      <c r="AD32" s="11">
        <f>COUNTIFS('Datos - Objetivos de países'!$B$5:$B$510,"Uruguay",'Datos - Objetivos de países'!$F$5:$F$510,AD$3,'Datos - Objetivos de países'!$J$5:$J$510,$A32)+COUNTIFS('Datos - Objetivos de países'!$B$5:$B$510,"Uruguay",'Datos - Objetivos de países'!$F$5:$F$510,AD$3,'Datos - Objetivos de países'!$K$5:$K$510,$A32)</f>
        <v/>
      </c>
      <c r="AE32" s="11">
        <f>COUNTIFS('Datos - Objetivos de países'!$B$5:$B$510,"Uruguay",'Datos - Objetivos de países'!$F$5:$F$510,AE$3,'Datos - Objetivos de países'!$J$5:$J$510,$A32)+COUNTIFS('Datos - Objetivos de países'!$B$5:$B$510,"Uruguay",'Datos - Objetivos de países'!$F$5:$F$510,AE$3,'Datos - Objetivos de países'!$K$5:$K$510,$A32)</f>
        <v/>
      </c>
      <c r="AF32" s="11">
        <f>COUNTIFS('Datos - Objetivos de países'!$B$5:$B$510,"Colombia",'Datos - Objetivos de países'!$F$5:$F$510,AF$3,'Datos - Objetivos de países'!$J$5:$J$510,$A32)+COUNTIFS('Datos - Objetivos de países'!$B$5:$B$510,"Colombia",'Datos - Objetivos de países'!$F$5:$F$510,AF$3,'Datos - Objetivos de países'!$K$5:$K$510,$A32)</f>
        <v/>
      </c>
      <c r="AG32" s="11">
        <f>COUNTIFS('Datos - Objetivos de países'!$B$5:$B$510,"Colombia",'Datos - Objetivos de países'!$F$5:$F$510,AG$3,'Datos - Objetivos de países'!$J$5:$J$510,$A32)+COUNTIFS('Datos - Objetivos de países'!$B$5:$B$510,"Colombia",'Datos - Objetivos de países'!$F$5:$F$510,AG$3,'Datos - Objetivos de países'!$K$5:$K$510,$A32)</f>
        <v/>
      </c>
      <c r="AH32" s="11">
        <f>COUNTIFS('Datos - Objetivos de países'!$B$5:$B$510,"Colombia",'Datos - Objetivos de países'!$F$5:$F$510,AH$3,'Datos - Objetivos de países'!$J$5:$J$510,$A32)+COUNTIFS('Datos - Objetivos de países'!$B$5:$B$510,"Colombia",'Datos - Objetivos de países'!$F$5:$F$510,AH$3,'Datos - Objetivos de países'!$K$5:$K$510,$A32)</f>
        <v/>
      </c>
      <c r="AI32" s="11">
        <f>COUNTIFS('Datos - Objetivos de países'!$B$5:$B$510,"Colombia",'Datos - Objetivos de países'!$F$5:$F$510,AI$3,'Datos - Objetivos de países'!$J$5:$J$510,$A32)+COUNTIFS('Datos - Objetivos de países'!$B$5:$B$510,"Colombia",'Datos - Objetivos de países'!$F$5:$F$510,AI$3,'Datos - Objetivos de países'!$K$5:$K$510,$A32)</f>
        <v/>
      </c>
      <c r="AJ32" s="11">
        <f>COUNTIFS('Datos - Objetivos de países'!$B$5:$B$510,"Colombia",'Datos - Objetivos de países'!$F$5:$F$510,AJ$3,'Datos - Objetivos de países'!$J$5:$J$510,$A32)+COUNTIFS('Datos - Objetivos de países'!$B$5:$B$510,"Colombia",'Datos - Objetivos de países'!$F$5:$F$510,AJ$3,'Datos - Objetivos de países'!$K$5:$K$510,$A32)</f>
        <v/>
      </c>
      <c r="AK32" s="11">
        <f>COUNTIFS('Datos - Objetivos de países'!$B$5:$B$510,"Colombia",'Datos - Objetivos de países'!$F$5:$F$510,AK$3,'Datos - Objetivos de países'!$J$5:$J$510,$A32)+COUNTIFS('Datos - Objetivos de países'!$B$5:$B$510,"Colombia",'Datos - Objetivos de países'!$F$5:$F$510,AK$3,'Datos - Objetivos de países'!$K$5:$K$510,$A32)</f>
        <v/>
      </c>
      <c r="AL32" s="11">
        <f>COUNTIFS('Datos - Objetivos de países'!$B$5:$B$510,"Colombia",'Datos - Objetivos de países'!$F$5:$F$510,AL$3,'Datos - Objetivos de países'!$J$5:$J$510,$A32)+COUNTIFS('Datos - Objetivos de países'!$B$5:$B$510,"Colombia",'Datos - Objetivos de países'!$F$5:$F$510,AL$3,'Datos - Objetivos de países'!$K$5:$K$510,$A32)</f>
        <v/>
      </c>
      <c r="AM32" s="11">
        <f>COUNTIFS('Datos - Objetivos de países'!$B$5:$B$510,"Colombia",'Datos - Objetivos de países'!$F$5:$F$510,AM$3,'Datos - Objetivos de países'!$J$5:$J$510,$A32)+COUNTIFS('Datos - Objetivos de países'!$B$5:$B$510,"Colombia",'Datos - Objetivos de países'!$F$5:$F$510,AM$3,'Datos - Objetivos de países'!$K$5:$K$510,$A32)</f>
        <v/>
      </c>
      <c r="AN32" s="11">
        <f>COUNTIFS('Datos - Objetivos de países'!$B$5:$B$510,"Colombia",'Datos - Objetivos de países'!$F$5:$F$510,AN$3,'Datos - Objetivos de países'!$J$5:$J$510,$A32)+COUNTIFS('Datos - Objetivos de países'!$B$5:$B$510,"Colombia",'Datos - Objetivos de países'!$F$5:$F$510,AN$3,'Datos - Objetivos de países'!$K$5:$K$510,$A32)</f>
        <v/>
      </c>
      <c r="AO32" s="11">
        <f>COUNTIFS('Datos - Objetivos de países'!$B$5:$B$510,"Singapur",'Datos - Objetivos de países'!$F$5:$F$510,AO$3,'Datos - Objetivos de países'!$J$5:$J$510,$A32)+COUNTIFS('Datos - Objetivos de países'!$B$5:$B$510,"Singapur",'Datos - Objetivos de países'!$F$5:$F$510,AO$3,'Datos - Objetivos de países'!$K$5:$K$510,$A32)</f>
        <v/>
      </c>
      <c r="AP32" s="11">
        <f>COUNTIFS('Datos - Objetivos de países'!$B$5:$B$510,"Singapur",'Datos - Objetivos de países'!$F$5:$F$510,AP$3,'Datos - Objetivos de países'!$J$5:$J$510,$A32)+COUNTIFS('Datos - Objetivos de países'!$B$5:$B$510,"Singapur",'Datos - Objetivos de países'!$F$5:$F$510,AP$3,'Datos - Objetivos de países'!$K$5:$K$510,$A32)</f>
        <v/>
      </c>
      <c r="AQ32" s="11">
        <f>COUNTIFS('Datos - Objetivos de países'!$B$5:$B$510,"Singapur",'Datos - Objetivos de países'!$F$5:$F$510,AQ$3,'Datos - Objetivos de países'!$J$5:$J$510,$A32)+COUNTIFS('Datos - Objetivos de países'!$B$5:$B$510,"Singapur",'Datos - Objetivos de países'!$F$5:$F$510,AQ$3,'Datos - Objetivos de países'!$K$5:$K$510,$A32)</f>
        <v/>
      </c>
      <c r="AR32" s="11">
        <f>COUNTIFS('Datos - Objetivos de países'!$B$5:$B$510,"Singapur",'Datos - Objetivos de países'!$F$5:$F$510,AR$3,'Datos - Objetivos de países'!$J$5:$J$510,$A32)+COUNTIFS('Datos - Objetivos de países'!$B$5:$B$510,"Singapur",'Datos - Objetivos de países'!$F$5:$F$510,AR$3,'Datos - Objetivos de países'!$K$5:$K$510,$A32)</f>
        <v/>
      </c>
      <c r="AS32" s="11">
        <f>COUNTIFS('Datos - Objetivos de países'!$B$5:$B$510,"Singapur",'Datos - Objetivos de países'!$F$5:$F$510,AS$3,'Datos - Objetivos de países'!$J$5:$J$510,$A32)+COUNTIFS('Datos - Objetivos de países'!$B$5:$B$510,"Singapur",'Datos - Objetivos de países'!$F$5:$F$510,AS$3,'Datos - Objetivos de países'!$K$5:$K$510,$A32)</f>
        <v/>
      </c>
      <c r="AT32" s="11">
        <f>COUNTIFS('Datos - Objetivos de países'!$B$5:$B$510,"Singapur",'Datos - Objetivos de países'!$F$5:$F$510,AT$3,'Datos - Objetivos de países'!$J$5:$J$510,$A32)+COUNTIFS('Datos - Objetivos de países'!$B$5:$B$510,"Singapur",'Datos - Objetivos de países'!$F$5:$F$510,AT$3,'Datos - Objetivos de países'!$K$5:$K$510,$A32)</f>
        <v/>
      </c>
      <c r="AU32" s="11">
        <f>COUNTIFS('Datos - Objetivos de países'!$B$5:$B$510,"Singapur",'Datos - Objetivos de países'!$F$5:$F$510,AU$3,'Datos - Objetivos de países'!$J$5:$J$510,$A32)+COUNTIFS('Datos - Objetivos de países'!$B$5:$B$510,"Singapur",'Datos - Objetivos de países'!$F$5:$F$510,AU$3,'Datos - Objetivos de países'!$K$5:$K$510,$A32)</f>
        <v/>
      </c>
      <c r="AV32" s="11">
        <f>COUNTIFS('Datos - Objetivos de países'!$B$5:$B$510,"Singapur",'Datos - Objetivos de países'!$F$5:$F$510,AV$3,'Datos - Objetivos de países'!$J$5:$J$510,$A32)+COUNTIFS('Datos - Objetivos de países'!$B$5:$B$510,"Singapur",'Datos - Objetivos de países'!$F$5:$F$510,AV$3,'Datos - Objetivos de países'!$K$5:$K$510,$A32)</f>
        <v/>
      </c>
      <c r="AW32" s="11">
        <f>COUNTIFS('Datos - Objetivos de países'!$B$5:$B$510,"Singapur",'Datos - Objetivos de países'!$F$5:$F$510,AW$3,'Datos - Objetivos de países'!$J$5:$J$510,$A32)+COUNTIFS('Datos - Objetivos de países'!$B$5:$B$510,"Singapur",'Datos - Objetivos de países'!$F$5:$F$510,AW$3,'Datos - Objetivos de países'!$K$5:$K$510,$A32)</f>
        <v/>
      </c>
    </row>
    <row r="33">
      <c r="A33" s="30" t="inlineStr">
        <is>
          <t>T4_27-E3.1</t>
        </is>
      </c>
      <c r="B33" s="30" t="inlineStr">
        <is>
          <t>T4_27</t>
        </is>
      </c>
      <c r="C33" s="30" t="inlineStr">
        <is>
          <t>Ciencias de la Tierra</t>
        </is>
      </c>
      <c r="D33" s="30" t="inlineStr">
        <is>
          <t>Recursos de la Tierra</t>
        </is>
      </c>
      <c r="E33" s="30">
        <f>IFERROR(MAX($L$3,INDEX($N$3:$V$3,MATCH(TRUE,INDEX(N33:V33&gt;0,0),0))),"—")</f>
        <v/>
      </c>
      <c r="F33" s="30">
        <f>IFERROR(MAX($L$3,INDEX($W$3:$AE$3,MATCH(TRUE,INDEX(W33:AE33&gt;0,0),0))),"—")</f>
        <v/>
      </c>
      <c r="G33" s="30">
        <f>IFERROR(MAX($L$3,INDEX($AF$3:$AN$3,MATCH(TRUE,INDEX(AF33:AN33&gt;0,0),0))),"—")</f>
        <v/>
      </c>
      <c r="H33" s="30">
        <f>IFERROR(MAX($L$3,INDEX($AO$3:$AW$3,MATCH(TRUE,INDEX(AO33:AW33&gt;0,0),0))),"—")</f>
        <v/>
      </c>
      <c r="I33" s="36">
        <f>IF(L33=0,"—",MEDIAN(F33:H33))</f>
        <v/>
      </c>
      <c r="J33" s="36">
        <f>IF(OR(E33="—",I33="—"),"—",E33-I33)</f>
        <v/>
      </c>
      <c r="K33" s="19">
        <f>IF(E33="—",IF(L33=0,"Nadie lo trabaja","El Salvador no llega"),IF(L33=0,"Solo El Salvador",IF(J33&gt;0,"El Salvador llega más tarde",IF(J33&lt;0,"El Salvador va adelantado","Mismo grado"))))</f>
        <v/>
      </c>
      <c r="L33" s="30">
        <f>COUNT(F33:H33)</f>
        <v/>
      </c>
      <c r="N33" s="11">
        <f>COUNTIFS('Datos - Temas'!$C$5:$C$1264,"Ciencias",'Datos - Temas'!$B$5:$B$1264,N$3,'Datos - Temas'!$K$5:$K$1264,$A33)+COUNTIFS('Datos - Temas'!$C$5:$C$1264,"Ciencias",'Datos - Temas'!$B$5:$B$1264,N$3,'Datos - Temas'!$L$5:$L$1264,$A33)</f>
        <v/>
      </c>
      <c r="O33" s="11">
        <f>COUNTIFS('Datos - Temas'!$C$5:$C$1264,"Ciencias",'Datos - Temas'!$B$5:$B$1264,O$3,'Datos - Temas'!$K$5:$K$1264,$A33)+COUNTIFS('Datos - Temas'!$C$5:$C$1264,"Ciencias",'Datos - Temas'!$B$5:$B$1264,O$3,'Datos - Temas'!$L$5:$L$1264,$A33)</f>
        <v/>
      </c>
      <c r="P33" s="11">
        <f>COUNTIFS('Datos - Temas'!$C$5:$C$1264,"Ciencias",'Datos - Temas'!$B$5:$B$1264,P$3,'Datos - Temas'!$K$5:$K$1264,$A33)+COUNTIFS('Datos - Temas'!$C$5:$C$1264,"Ciencias",'Datos - Temas'!$B$5:$B$1264,P$3,'Datos - Temas'!$L$5:$L$1264,$A33)</f>
        <v/>
      </c>
      <c r="Q33" s="11">
        <f>COUNTIFS('Datos - Temas'!$C$5:$C$1264,"Ciencias",'Datos - Temas'!$B$5:$B$1264,Q$3,'Datos - Temas'!$K$5:$K$1264,$A33)+COUNTIFS('Datos - Temas'!$C$5:$C$1264,"Ciencias",'Datos - Temas'!$B$5:$B$1264,Q$3,'Datos - Temas'!$L$5:$L$1264,$A33)</f>
        <v/>
      </c>
      <c r="R33" s="11">
        <f>COUNTIFS('Datos - Temas'!$C$5:$C$1264,"Ciencias",'Datos - Temas'!$B$5:$B$1264,R$3,'Datos - Temas'!$K$5:$K$1264,$A33)+COUNTIFS('Datos - Temas'!$C$5:$C$1264,"Ciencias",'Datos - Temas'!$B$5:$B$1264,R$3,'Datos - Temas'!$L$5:$L$1264,$A33)</f>
        <v/>
      </c>
      <c r="S33" s="11">
        <f>COUNTIFS('Datos - Temas'!$C$5:$C$1264,"Ciencias",'Datos - Temas'!$B$5:$B$1264,S$3,'Datos - Temas'!$K$5:$K$1264,$A33)+COUNTIFS('Datos - Temas'!$C$5:$C$1264,"Ciencias",'Datos - Temas'!$B$5:$B$1264,S$3,'Datos - Temas'!$L$5:$L$1264,$A33)</f>
        <v/>
      </c>
      <c r="T33" s="11">
        <f>COUNTIFS('Datos - Temas'!$C$5:$C$1264,"Ciencias",'Datos - Temas'!$B$5:$B$1264,T$3,'Datos - Temas'!$K$5:$K$1264,$A33)+COUNTIFS('Datos - Temas'!$C$5:$C$1264,"Ciencias",'Datos - Temas'!$B$5:$B$1264,T$3,'Datos - Temas'!$L$5:$L$1264,$A33)</f>
        <v/>
      </c>
      <c r="U33" s="11">
        <f>COUNTIFS('Datos - Temas'!$C$5:$C$1264,"Ciencias",'Datos - Temas'!$B$5:$B$1264,U$3,'Datos - Temas'!$K$5:$K$1264,$A33)+COUNTIFS('Datos - Temas'!$C$5:$C$1264,"Ciencias",'Datos - Temas'!$B$5:$B$1264,U$3,'Datos - Temas'!$L$5:$L$1264,$A33)</f>
        <v/>
      </c>
      <c r="V33" s="11">
        <f>COUNTIFS('Datos - Temas'!$C$5:$C$1264,"Ciencias",'Datos - Temas'!$B$5:$B$1264,V$3,'Datos - Temas'!$K$5:$K$1264,$A33)+COUNTIFS('Datos - Temas'!$C$5:$C$1264,"Ciencias",'Datos - Temas'!$B$5:$B$1264,V$3,'Datos - Temas'!$L$5:$L$1264,$A33)</f>
        <v/>
      </c>
      <c r="W33" s="11">
        <f>COUNTIFS('Datos - Objetivos de países'!$B$5:$B$510,"Uruguay",'Datos - Objetivos de países'!$F$5:$F$510,W$3,'Datos - Objetivos de países'!$J$5:$J$510,$A33)+COUNTIFS('Datos - Objetivos de países'!$B$5:$B$510,"Uruguay",'Datos - Objetivos de países'!$F$5:$F$510,W$3,'Datos - Objetivos de países'!$K$5:$K$510,$A33)</f>
        <v/>
      </c>
      <c r="X33" s="11">
        <f>COUNTIFS('Datos - Objetivos de países'!$B$5:$B$510,"Uruguay",'Datos - Objetivos de países'!$F$5:$F$510,X$3,'Datos - Objetivos de países'!$J$5:$J$510,$A33)+COUNTIFS('Datos - Objetivos de países'!$B$5:$B$510,"Uruguay",'Datos - Objetivos de países'!$F$5:$F$510,X$3,'Datos - Objetivos de países'!$K$5:$K$510,$A33)</f>
        <v/>
      </c>
      <c r="Y33" s="11">
        <f>COUNTIFS('Datos - Objetivos de países'!$B$5:$B$510,"Uruguay",'Datos - Objetivos de países'!$F$5:$F$510,Y$3,'Datos - Objetivos de países'!$J$5:$J$510,$A33)+COUNTIFS('Datos - Objetivos de países'!$B$5:$B$510,"Uruguay",'Datos - Objetivos de países'!$F$5:$F$510,Y$3,'Datos - Objetivos de países'!$K$5:$K$510,$A33)</f>
        <v/>
      </c>
      <c r="Z33" s="11">
        <f>COUNTIFS('Datos - Objetivos de países'!$B$5:$B$510,"Uruguay",'Datos - Objetivos de países'!$F$5:$F$510,Z$3,'Datos - Objetivos de países'!$J$5:$J$510,$A33)+COUNTIFS('Datos - Objetivos de países'!$B$5:$B$510,"Uruguay",'Datos - Objetivos de países'!$F$5:$F$510,Z$3,'Datos - Objetivos de países'!$K$5:$K$510,$A33)</f>
        <v/>
      </c>
      <c r="AA33" s="11">
        <f>COUNTIFS('Datos - Objetivos de países'!$B$5:$B$510,"Uruguay",'Datos - Objetivos de países'!$F$5:$F$510,AA$3,'Datos - Objetivos de países'!$J$5:$J$510,$A33)+COUNTIFS('Datos - Objetivos de países'!$B$5:$B$510,"Uruguay",'Datos - Objetivos de países'!$F$5:$F$510,AA$3,'Datos - Objetivos de países'!$K$5:$K$510,$A33)</f>
        <v/>
      </c>
      <c r="AB33" s="11">
        <f>COUNTIFS('Datos - Objetivos de países'!$B$5:$B$510,"Uruguay",'Datos - Objetivos de países'!$F$5:$F$510,AB$3,'Datos - Objetivos de países'!$J$5:$J$510,$A33)+COUNTIFS('Datos - Objetivos de países'!$B$5:$B$510,"Uruguay",'Datos - Objetivos de países'!$F$5:$F$510,AB$3,'Datos - Objetivos de países'!$K$5:$K$510,$A33)</f>
        <v/>
      </c>
      <c r="AC33" s="11">
        <f>COUNTIFS('Datos - Objetivos de países'!$B$5:$B$510,"Uruguay",'Datos - Objetivos de países'!$F$5:$F$510,AC$3,'Datos - Objetivos de países'!$J$5:$J$510,$A33)+COUNTIFS('Datos - Objetivos de países'!$B$5:$B$510,"Uruguay",'Datos - Objetivos de países'!$F$5:$F$510,AC$3,'Datos - Objetivos de países'!$K$5:$K$510,$A33)</f>
        <v/>
      </c>
      <c r="AD33" s="11">
        <f>COUNTIFS('Datos - Objetivos de países'!$B$5:$B$510,"Uruguay",'Datos - Objetivos de países'!$F$5:$F$510,AD$3,'Datos - Objetivos de países'!$J$5:$J$510,$A33)+COUNTIFS('Datos - Objetivos de países'!$B$5:$B$510,"Uruguay",'Datos - Objetivos de países'!$F$5:$F$510,AD$3,'Datos - Objetivos de países'!$K$5:$K$510,$A33)</f>
        <v/>
      </c>
      <c r="AE33" s="11">
        <f>COUNTIFS('Datos - Objetivos de países'!$B$5:$B$510,"Uruguay",'Datos - Objetivos de países'!$F$5:$F$510,AE$3,'Datos - Objetivos de países'!$J$5:$J$510,$A33)+COUNTIFS('Datos - Objetivos de países'!$B$5:$B$510,"Uruguay",'Datos - Objetivos de países'!$F$5:$F$510,AE$3,'Datos - Objetivos de países'!$K$5:$K$510,$A33)</f>
        <v/>
      </c>
      <c r="AF33" s="11">
        <f>COUNTIFS('Datos - Objetivos de países'!$B$5:$B$510,"Colombia",'Datos - Objetivos de países'!$F$5:$F$510,AF$3,'Datos - Objetivos de países'!$J$5:$J$510,$A33)+COUNTIFS('Datos - Objetivos de países'!$B$5:$B$510,"Colombia",'Datos - Objetivos de países'!$F$5:$F$510,AF$3,'Datos - Objetivos de países'!$K$5:$K$510,$A33)</f>
        <v/>
      </c>
      <c r="AG33" s="11">
        <f>COUNTIFS('Datos - Objetivos de países'!$B$5:$B$510,"Colombia",'Datos - Objetivos de países'!$F$5:$F$510,AG$3,'Datos - Objetivos de países'!$J$5:$J$510,$A33)+COUNTIFS('Datos - Objetivos de países'!$B$5:$B$510,"Colombia",'Datos - Objetivos de países'!$F$5:$F$510,AG$3,'Datos - Objetivos de países'!$K$5:$K$510,$A33)</f>
        <v/>
      </c>
      <c r="AH33" s="11">
        <f>COUNTIFS('Datos - Objetivos de países'!$B$5:$B$510,"Colombia",'Datos - Objetivos de países'!$F$5:$F$510,AH$3,'Datos - Objetivos de países'!$J$5:$J$510,$A33)+COUNTIFS('Datos - Objetivos de países'!$B$5:$B$510,"Colombia",'Datos - Objetivos de países'!$F$5:$F$510,AH$3,'Datos - Objetivos de países'!$K$5:$K$510,$A33)</f>
        <v/>
      </c>
      <c r="AI33" s="11">
        <f>COUNTIFS('Datos - Objetivos de países'!$B$5:$B$510,"Colombia",'Datos - Objetivos de países'!$F$5:$F$510,AI$3,'Datos - Objetivos de países'!$J$5:$J$510,$A33)+COUNTIFS('Datos - Objetivos de países'!$B$5:$B$510,"Colombia",'Datos - Objetivos de países'!$F$5:$F$510,AI$3,'Datos - Objetivos de países'!$K$5:$K$510,$A33)</f>
        <v/>
      </c>
      <c r="AJ33" s="11">
        <f>COUNTIFS('Datos - Objetivos de países'!$B$5:$B$510,"Colombia",'Datos - Objetivos de países'!$F$5:$F$510,AJ$3,'Datos - Objetivos de países'!$J$5:$J$510,$A33)+COUNTIFS('Datos - Objetivos de países'!$B$5:$B$510,"Colombia",'Datos - Objetivos de países'!$F$5:$F$510,AJ$3,'Datos - Objetivos de países'!$K$5:$K$510,$A33)</f>
        <v/>
      </c>
      <c r="AK33" s="11">
        <f>COUNTIFS('Datos - Objetivos de países'!$B$5:$B$510,"Colombia",'Datos - Objetivos de países'!$F$5:$F$510,AK$3,'Datos - Objetivos de países'!$J$5:$J$510,$A33)+COUNTIFS('Datos - Objetivos de países'!$B$5:$B$510,"Colombia",'Datos - Objetivos de países'!$F$5:$F$510,AK$3,'Datos - Objetivos de países'!$K$5:$K$510,$A33)</f>
        <v/>
      </c>
      <c r="AL33" s="11">
        <f>COUNTIFS('Datos - Objetivos de países'!$B$5:$B$510,"Colombia",'Datos - Objetivos de países'!$F$5:$F$510,AL$3,'Datos - Objetivos de países'!$J$5:$J$510,$A33)+COUNTIFS('Datos - Objetivos de países'!$B$5:$B$510,"Colombia",'Datos - Objetivos de países'!$F$5:$F$510,AL$3,'Datos - Objetivos de países'!$K$5:$K$510,$A33)</f>
        <v/>
      </c>
      <c r="AM33" s="11">
        <f>COUNTIFS('Datos - Objetivos de países'!$B$5:$B$510,"Colombia",'Datos - Objetivos de países'!$F$5:$F$510,AM$3,'Datos - Objetivos de países'!$J$5:$J$510,$A33)+COUNTIFS('Datos - Objetivos de países'!$B$5:$B$510,"Colombia",'Datos - Objetivos de países'!$F$5:$F$510,AM$3,'Datos - Objetivos de países'!$K$5:$K$510,$A33)</f>
        <v/>
      </c>
      <c r="AN33" s="11">
        <f>COUNTIFS('Datos - Objetivos de países'!$B$5:$B$510,"Colombia",'Datos - Objetivos de países'!$F$5:$F$510,AN$3,'Datos - Objetivos de países'!$J$5:$J$510,$A33)+COUNTIFS('Datos - Objetivos de países'!$B$5:$B$510,"Colombia",'Datos - Objetivos de países'!$F$5:$F$510,AN$3,'Datos - Objetivos de países'!$K$5:$K$510,$A33)</f>
        <v/>
      </c>
      <c r="AO33" s="11">
        <f>COUNTIFS('Datos - Objetivos de países'!$B$5:$B$510,"Singapur",'Datos - Objetivos de países'!$F$5:$F$510,AO$3,'Datos - Objetivos de países'!$J$5:$J$510,$A33)+COUNTIFS('Datos - Objetivos de países'!$B$5:$B$510,"Singapur",'Datos - Objetivos de países'!$F$5:$F$510,AO$3,'Datos - Objetivos de países'!$K$5:$K$510,$A33)</f>
        <v/>
      </c>
      <c r="AP33" s="11">
        <f>COUNTIFS('Datos - Objetivos de países'!$B$5:$B$510,"Singapur",'Datos - Objetivos de países'!$F$5:$F$510,AP$3,'Datos - Objetivos de países'!$J$5:$J$510,$A33)+COUNTIFS('Datos - Objetivos de países'!$B$5:$B$510,"Singapur",'Datos - Objetivos de países'!$F$5:$F$510,AP$3,'Datos - Objetivos de países'!$K$5:$K$510,$A33)</f>
        <v/>
      </c>
      <c r="AQ33" s="11">
        <f>COUNTIFS('Datos - Objetivos de países'!$B$5:$B$510,"Singapur",'Datos - Objetivos de países'!$F$5:$F$510,AQ$3,'Datos - Objetivos de países'!$J$5:$J$510,$A33)+COUNTIFS('Datos - Objetivos de países'!$B$5:$B$510,"Singapur",'Datos - Objetivos de países'!$F$5:$F$510,AQ$3,'Datos - Objetivos de países'!$K$5:$K$510,$A33)</f>
        <v/>
      </c>
      <c r="AR33" s="11">
        <f>COUNTIFS('Datos - Objetivos de países'!$B$5:$B$510,"Singapur",'Datos - Objetivos de países'!$F$5:$F$510,AR$3,'Datos - Objetivos de países'!$J$5:$J$510,$A33)+COUNTIFS('Datos - Objetivos de países'!$B$5:$B$510,"Singapur",'Datos - Objetivos de países'!$F$5:$F$510,AR$3,'Datos - Objetivos de países'!$K$5:$K$510,$A33)</f>
        <v/>
      </c>
      <c r="AS33" s="11">
        <f>COUNTIFS('Datos - Objetivos de países'!$B$5:$B$510,"Singapur",'Datos - Objetivos de países'!$F$5:$F$510,AS$3,'Datos - Objetivos de países'!$J$5:$J$510,$A33)+COUNTIFS('Datos - Objetivos de países'!$B$5:$B$510,"Singapur",'Datos - Objetivos de países'!$F$5:$F$510,AS$3,'Datos - Objetivos de países'!$K$5:$K$510,$A33)</f>
        <v/>
      </c>
      <c r="AT33" s="11">
        <f>COUNTIFS('Datos - Objetivos de países'!$B$5:$B$510,"Singapur",'Datos - Objetivos de países'!$F$5:$F$510,AT$3,'Datos - Objetivos de países'!$J$5:$J$510,$A33)+COUNTIFS('Datos - Objetivos de países'!$B$5:$B$510,"Singapur",'Datos - Objetivos de países'!$F$5:$F$510,AT$3,'Datos - Objetivos de países'!$K$5:$K$510,$A33)</f>
        <v/>
      </c>
      <c r="AU33" s="11">
        <f>COUNTIFS('Datos - Objetivos de países'!$B$5:$B$510,"Singapur",'Datos - Objetivos de países'!$F$5:$F$510,AU$3,'Datos - Objetivos de países'!$J$5:$J$510,$A33)+COUNTIFS('Datos - Objetivos de países'!$B$5:$B$510,"Singapur",'Datos - Objetivos de países'!$F$5:$F$510,AU$3,'Datos - Objetivos de países'!$K$5:$K$510,$A33)</f>
        <v/>
      </c>
      <c r="AV33" s="11">
        <f>COUNTIFS('Datos - Objetivos de países'!$B$5:$B$510,"Singapur",'Datos - Objetivos de países'!$F$5:$F$510,AV$3,'Datos - Objetivos de países'!$J$5:$J$510,$A33)+COUNTIFS('Datos - Objetivos de países'!$B$5:$B$510,"Singapur",'Datos - Objetivos de países'!$F$5:$F$510,AV$3,'Datos - Objetivos de países'!$K$5:$K$510,$A33)</f>
        <v/>
      </c>
      <c r="AW33" s="11">
        <f>COUNTIFS('Datos - Objetivos de países'!$B$5:$B$510,"Singapur",'Datos - Objetivos de países'!$F$5:$F$510,AW$3,'Datos - Objetivos de países'!$J$5:$J$510,$A33)+COUNTIFS('Datos - Objetivos de países'!$B$5:$B$510,"Singapur",'Datos - Objetivos de países'!$F$5:$F$510,AW$3,'Datos - Objetivos de países'!$K$5:$K$510,$A33)</f>
        <v/>
      </c>
    </row>
    <row r="34">
      <c r="A34" s="30" t="inlineStr">
        <is>
          <t>T4_27-E4.1</t>
        </is>
      </c>
      <c r="B34" s="30" t="inlineStr">
        <is>
          <t>T4_27</t>
        </is>
      </c>
      <c r="C34" s="30" t="inlineStr">
        <is>
          <t>Ciencias de la Tierra</t>
        </is>
      </c>
      <c r="D34" s="30" t="inlineStr">
        <is>
          <t>Objetos del sistema solar y sus movimientos</t>
        </is>
      </c>
      <c r="E34" s="30">
        <f>IFERROR(MAX($L$3,INDEX($N$3:$V$3,MATCH(TRUE,INDEX(N34:V34&gt;0,0),0))),"—")</f>
        <v/>
      </c>
      <c r="F34" s="30">
        <f>IFERROR(MAX($L$3,INDEX($W$3:$AE$3,MATCH(TRUE,INDEX(W34:AE34&gt;0,0),0))),"—")</f>
        <v/>
      </c>
      <c r="G34" s="30">
        <f>IFERROR(MAX($L$3,INDEX($AF$3:$AN$3,MATCH(TRUE,INDEX(AF34:AN34&gt;0,0),0))),"—")</f>
        <v/>
      </c>
      <c r="H34" s="30">
        <f>IFERROR(MAX($L$3,INDEX($AO$3:$AW$3,MATCH(TRUE,INDEX(AO34:AW34&gt;0,0),0))),"—")</f>
        <v/>
      </c>
      <c r="I34" s="36">
        <f>IF(L34=0,"—",MEDIAN(F34:H34))</f>
        <v/>
      </c>
      <c r="J34" s="36">
        <f>IF(OR(E34="—",I34="—"),"—",E34-I34)</f>
        <v/>
      </c>
      <c r="K34" s="19">
        <f>IF(E34="—",IF(L34=0,"Nadie lo trabaja","El Salvador no llega"),IF(L34=0,"Solo El Salvador",IF(J34&gt;0,"El Salvador llega más tarde",IF(J34&lt;0,"El Salvador va adelantado","Mismo grado"))))</f>
        <v/>
      </c>
      <c r="L34" s="30">
        <f>COUNT(F34:H34)</f>
        <v/>
      </c>
      <c r="N34" s="11">
        <f>COUNTIFS('Datos - Temas'!$C$5:$C$1264,"Ciencias",'Datos - Temas'!$B$5:$B$1264,N$3,'Datos - Temas'!$K$5:$K$1264,$A34)+COUNTIFS('Datos - Temas'!$C$5:$C$1264,"Ciencias",'Datos - Temas'!$B$5:$B$1264,N$3,'Datos - Temas'!$L$5:$L$1264,$A34)</f>
        <v/>
      </c>
      <c r="O34" s="11">
        <f>COUNTIFS('Datos - Temas'!$C$5:$C$1264,"Ciencias",'Datos - Temas'!$B$5:$B$1264,O$3,'Datos - Temas'!$K$5:$K$1264,$A34)+COUNTIFS('Datos - Temas'!$C$5:$C$1264,"Ciencias",'Datos - Temas'!$B$5:$B$1264,O$3,'Datos - Temas'!$L$5:$L$1264,$A34)</f>
        <v/>
      </c>
      <c r="P34" s="11">
        <f>COUNTIFS('Datos - Temas'!$C$5:$C$1264,"Ciencias",'Datos - Temas'!$B$5:$B$1264,P$3,'Datos - Temas'!$K$5:$K$1264,$A34)+COUNTIFS('Datos - Temas'!$C$5:$C$1264,"Ciencias",'Datos - Temas'!$B$5:$B$1264,P$3,'Datos - Temas'!$L$5:$L$1264,$A34)</f>
        <v/>
      </c>
      <c r="Q34" s="11">
        <f>COUNTIFS('Datos - Temas'!$C$5:$C$1264,"Ciencias",'Datos - Temas'!$B$5:$B$1264,Q$3,'Datos - Temas'!$K$5:$K$1264,$A34)+COUNTIFS('Datos - Temas'!$C$5:$C$1264,"Ciencias",'Datos - Temas'!$B$5:$B$1264,Q$3,'Datos - Temas'!$L$5:$L$1264,$A34)</f>
        <v/>
      </c>
      <c r="R34" s="11">
        <f>COUNTIFS('Datos - Temas'!$C$5:$C$1264,"Ciencias",'Datos - Temas'!$B$5:$B$1264,R$3,'Datos - Temas'!$K$5:$K$1264,$A34)+COUNTIFS('Datos - Temas'!$C$5:$C$1264,"Ciencias",'Datos - Temas'!$B$5:$B$1264,R$3,'Datos - Temas'!$L$5:$L$1264,$A34)</f>
        <v/>
      </c>
      <c r="S34" s="11">
        <f>COUNTIFS('Datos - Temas'!$C$5:$C$1264,"Ciencias",'Datos - Temas'!$B$5:$B$1264,S$3,'Datos - Temas'!$K$5:$K$1264,$A34)+COUNTIFS('Datos - Temas'!$C$5:$C$1264,"Ciencias",'Datos - Temas'!$B$5:$B$1264,S$3,'Datos - Temas'!$L$5:$L$1264,$A34)</f>
        <v/>
      </c>
      <c r="T34" s="11">
        <f>COUNTIFS('Datos - Temas'!$C$5:$C$1264,"Ciencias",'Datos - Temas'!$B$5:$B$1264,T$3,'Datos - Temas'!$K$5:$K$1264,$A34)+COUNTIFS('Datos - Temas'!$C$5:$C$1264,"Ciencias",'Datos - Temas'!$B$5:$B$1264,T$3,'Datos - Temas'!$L$5:$L$1264,$A34)</f>
        <v/>
      </c>
      <c r="U34" s="11">
        <f>COUNTIFS('Datos - Temas'!$C$5:$C$1264,"Ciencias",'Datos - Temas'!$B$5:$B$1264,U$3,'Datos - Temas'!$K$5:$K$1264,$A34)+COUNTIFS('Datos - Temas'!$C$5:$C$1264,"Ciencias",'Datos - Temas'!$B$5:$B$1264,U$3,'Datos - Temas'!$L$5:$L$1264,$A34)</f>
        <v/>
      </c>
      <c r="V34" s="11">
        <f>COUNTIFS('Datos - Temas'!$C$5:$C$1264,"Ciencias",'Datos - Temas'!$B$5:$B$1264,V$3,'Datos - Temas'!$K$5:$K$1264,$A34)+COUNTIFS('Datos - Temas'!$C$5:$C$1264,"Ciencias",'Datos - Temas'!$B$5:$B$1264,V$3,'Datos - Temas'!$L$5:$L$1264,$A34)</f>
        <v/>
      </c>
      <c r="W34" s="11">
        <f>COUNTIFS('Datos - Objetivos de países'!$B$5:$B$510,"Uruguay",'Datos - Objetivos de países'!$F$5:$F$510,W$3,'Datos - Objetivos de países'!$J$5:$J$510,$A34)+COUNTIFS('Datos - Objetivos de países'!$B$5:$B$510,"Uruguay",'Datos - Objetivos de países'!$F$5:$F$510,W$3,'Datos - Objetivos de países'!$K$5:$K$510,$A34)</f>
        <v/>
      </c>
      <c r="X34" s="11">
        <f>COUNTIFS('Datos - Objetivos de países'!$B$5:$B$510,"Uruguay",'Datos - Objetivos de países'!$F$5:$F$510,X$3,'Datos - Objetivos de países'!$J$5:$J$510,$A34)+COUNTIFS('Datos - Objetivos de países'!$B$5:$B$510,"Uruguay",'Datos - Objetivos de países'!$F$5:$F$510,X$3,'Datos - Objetivos de países'!$K$5:$K$510,$A34)</f>
        <v/>
      </c>
      <c r="Y34" s="11">
        <f>COUNTIFS('Datos - Objetivos de países'!$B$5:$B$510,"Uruguay",'Datos - Objetivos de países'!$F$5:$F$510,Y$3,'Datos - Objetivos de países'!$J$5:$J$510,$A34)+COUNTIFS('Datos - Objetivos de países'!$B$5:$B$510,"Uruguay",'Datos - Objetivos de países'!$F$5:$F$510,Y$3,'Datos - Objetivos de países'!$K$5:$K$510,$A34)</f>
        <v/>
      </c>
      <c r="Z34" s="11">
        <f>COUNTIFS('Datos - Objetivos de países'!$B$5:$B$510,"Uruguay",'Datos - Objetivos de países'!$F$5:$F$510,Z$3,'Datos - Objetivos de países'!$J$5:$J$510,$A34)+COUNTIFS('Datos - Objetivos de países'!$B$5:$B$510,"Uruguay",'Datos - Objetivos de países'!$F$5:$F$510,Z$3,'Datos - Objetivos de países'!$K$5:$K$510,$A34)</f>
        <v/>
      </c>
      <c r="AA34" s="11">
        <f>COUNTIFS('Datos - Objetivos de países'!$B$5:$B$510,"Uruguay",'Datos - Objetivos de países'!$F$5:$F$510,AA$3,'Datos - Objetivos de países'!$J$5:$J$510,$A34)+COUNTIFS('Datos - Objetivos de países'!$B$5:$B$510,"Uruguay",'Datos - Objetivos de países'!$F$5:$F$510,AA$3,'Datos - Objetivos de países'!$K$5:$K$510,$A34)</f>
        <v/>
      </c>
      <c r="AB34" s="11">
        <f>COUNTIFS('Datos - Objetivos de países'!$B$5:$B$510,"Uruguay",'Datos - Objetivos de países'!$F$5:$F$510,AB$3,'Datos - Objetivos de países'!$J$5:$J$510,$A34)+COUNTIFS('Datos - Objetivos de países'!$B$5:$B$510,"Uruguay",'Datos - Objetivos de países'!$F$5:$F$510,AB$3,'Datos - Objetivos de países'!$K$5:$K$510,$A34)</f>
        <v/>
      </c>
      <c r="AC34" s="11">
        <f>COUNTIFS('Datos - Objetivos de países'!$B$5:$B$510,"Uruguay",'Datos - Objetivos de países'!$F$5:$F$510,AC$3,'Datos - Objetivos de países'!$J$5:$J$510,$A34)+COUNTIFS('Datos - Objetivos de países'!$B$5:$B$510,"Uruguay",'Datos - Objetivos de países'!$F$5:$F$510,AC$3,'Datos - Objetivos de países'!$K$5:$K$510,$A34)</f>
        <v/>
      </c>
      <c r="AD34" s="11">
        <f>COUNTIFS('Datos - Objetivos de países'!$B$5:$B$510,"Uruguay",'Datos - Objetivos de países'!$F$5:$F$510,AD$3,'Datos - Objetivos de países'!$J$5:$J$510,$A34)+COUNTIFS('Datos - Objetivos de países'!$B$5:$B$510,"Uruguay",'Datos - Objetivos de países'!$F$5:$F$510,AD$3,'Datos - Objetivos de países'!$K$5:$K$510,$A34)</f>
        <v/>
      </c>
      <c r="AE34" s="11">
        <f>COUNTIFS('Datos - Objetivos de países'!$B$5:$B$510,"Uruguay",'Datos - Objetivos de países'!$F$5:$F$510,AE$3,'Datos - Objetivos de países'!$J$5:$J$510,$A34)+COUNTIFS('Datos - Objetivos de países'!$B$5:$B$510,"Uruguay",'Datos - Objetivos de países'!$F$5:$F$510,AE$3,'Datos - Objetivos de países'!$K$5:$K$510,$A34)</f>
        <v/>
      </c>
      <c r="AF34" s="11">
        <f>COUNTIFS('Datos - Objetivos de países'!$B$5:$B$510,"Colombia",'Datos - Objetivos de países'!$F$5:$F$510,AF$3,'Datos - Objetivos de países'!$J$5:$J$510,$A34)+COUNTIFS('Datos - Objetivos de países'!$B$5:$B$510,"Colombia",'Datos - Objetivos de países'!$F$5:$F$510,AF$3,'Datos - Objetivos de países'!$K$5:$K$510,$A34)</f>
        <v/>
      </c>
      <c r="AG34" s="11">
        <f>COUNTIFS('Datos - Objetivos de países'!$B$5:$B$510,"Colombia",'Datos - Objetivos de países'!$F$5:$F$510,AG$3,'Datos - Objetivos de países'!$J$5:$J$510,$A34)+COUNTIFS('Datos - Objetivos de países'!$B$5:$B$510,"Colombia",'Datos - Objetivos de países'!$F$5:$F$510,AG$3,'Datos - Objetivos de países'!$K$5:$K$510,$A34)</f>
        <v/>
      </c>
      <c r="AH34" s="11">
        <f>COUNTIFS('Datos - Objetivos de países'!$B$5:$B$510,"Colombia",'Datos - Objetivos de países'!$F$5:$F$510,AH$3,'Datos - Objetivos de países'!$J$5:$J$510,$A34)+COUNTIFS('Datos - Objetivos de países'!$B$5:$B$510,"Colombia",'Datos - Objetivos de países'!$F$5:$F$510,AH$3,'Datos - Objetivos de países'!$K$5:$K$510,$A34)</f>
        <v/>
      </c>
      <c r="AI34" s="11">
        <f>COUNTIFS('Datos - Objetivos de países'!$B$5:$B$510,"Colombia",'Datos - Objetivos de países'!$F$5:$F$510,AI$3,'Datos - Objetivos de países'!$J$5:$J$510,$A34)+COUNTIFS('Datos - Objetivos de países'!$B$5:$B$510,"Colombia",'Datos - Objetivos de países'!$F$5:$F$510,AI$3,'Datos - Objetivos de países'!$K$5:$K$510,$A34)</f>
        <v/>
      </c>
      <c r="AJ34" s="11">
        <f>COUNTIFS('Datos - Objetivos de países'!$B$5:$B$510,"Colombia",'Datos - Objetivos de países'!$F$5:$F$510,AJ$3,'Datos - Objetivos de países'!$J$5:$J$510,$A34)+COUNTIFS('Datos - Objetivos de países'!$B$5:$B$510,"Colombia",'Datos - Objetivos de países'!$F$5:$F$510,AJ$3,'Datos - Objetivos de países'!$K$5:$K$510,$A34)</f>
        <v/>
      </c>
      <c r="AK34" s="11">
        <f>COUNTIFS('Datos - Objetivos de países'!$B$5:$B$510,"Colombia",'Datos - Objetivos de países'!$F$5:$F$510,AK$3,'Datos - Objetivos de países'!$J$5:$J$510,$A34)+COUNTIFS('Datos - Objetivos de países'!$B$5:$B$510,"Colombia",'Datos - Objetivos de países'!$F$5:$F$510,AK$3,'Datos - Objetivos de países'!$K$5:$K$510,$A34)</f>
        <v/>
      </c>
      <c r="AL34" s="11">
        <f>COUNTIFS('Datos - Objetivos de países'!$B$5:$B$510,"Colombia",'Datos - Objetivos de países'!$F$5:$F$510,AL$3,'Datos - Objetivos de países'!$J$5:$J$510,$A34)+COUNTIFS('Datos - Objetivos de países'!$B$5:$B$510,"Colombia",'Datos - Objetivos de países'!$F$5:$F$510,AL$3,'Datos - Objetivos de países'!$K$5:$K$510,$A34)</f>
        <v/>
      </c>
      <c r="AM34" s="11">
        <f>COUNTIFS('Datos - Objetivos de países'!$B$5:$B$510,"Colombia",'Datos - Objetivos de países'!$F$5:$F$510,AM$3,'Datos - Objetivos de países'!$J$5:$J$510,$A34)+COUNTIFS('Datos - Objetivos de países'!$B$5:$B$510,"Colombia",'Datos - Objetivos de países'!$F$5:$F$510,AM$3,'Datos - Objetivos de países'!$K$5:$K$510,$A34)</f>
        <v/>
      </c>
      <c r="AN34" s="11">
        <f>COUNTIFS('Datos - Objetivos de países'!$B$5:$B$510,"Colombia",'Datos - Objetivos de países'!$F$5:$F$510,AN$3,'Datos - Objetivos de países'!$J$5:$J$510,$A34)+COUNTIFS('Datos - Objetivos de países'!$B$5:$B$510,"Colombia",'Datos - Objetivos de países'!$F$5:$F$510,AN$3,'Datos - Objetivos de países'!$K$5:$K$510,$A34)</f>
        <v/>
      </c>
      <c r="AO34" s="11">
        <f>COUNTIFS('Datos - Objetivos de países'!$B$5:$B$510,"Singapur",'Datos - Objetivos de países'!$F$5:$F$510,AO$3,'Datos - Objetivos de países'!$J$5:$J$510,$A34)+COUNTIFS('Datos - Objetivos de países'!$B$5:$B$510,"Singapur",'Datos - Objetivos de países'!$F$5:$F$510,AO$3,'Datos - Objetivos de países'!$K$5:$K$510,$A34)</f>
        <v/>
      </c>
      <c r="AP34" s="11">
        <f>COUNTIFS('Datos - Objetivos de países'!$B$5:$B$510,"Singapur",'Datos - Objetivos de países'!$F$5:$F$510,AP$3,'Datos - Objetivos de países'!$J$5:$J$510,$A34)+COUNTIFS('Datos - Objetivos de países'!$B$5:$B$510,"Singapur",'Datos - Objetivos de países'!$F$5:$F$510,AP$3,'Datos - Objetivos de países'!$K$5:$K$510,$A34)</f>
        <v/>
      </c>
      <c r="AQ34" s="11">
        <f>COUNTIFS('Datos - Objetivos de países'!$B$5:$B$510,"Singapur",'Datos - Objetivos de países'!$F$5:$F$510,AQ$3,'Datos - Objetivos de países'!$J$5:$J$510,$A34)+COUNTIFS('Datos - Objetivos de países'!$B$5:$B$510,"Singapur",'Datos - Objetivos de países'!$F$5:$F$510,AQ$3,'Datos - Objetivos de países'!$K$5:$K$510,$A34)</f>
        <v/>
      </c>
      <c r="AR34" s="11">
        <f>COUNTIFS('Datos - Objetivos de países'!$B$5:$B$510,"Singapur",'Datos - Objetivos de países'!$F$5:$F$510,AR$3,'Datos - Objetivos de países'!$J$5:$J$510,$A34)+COUNTIFS('Datos - Objetivos de países'!$B$5:$B$510,"Singapur",'Datos - Objetivos de países'!$F$5:$F$510,AR$3,'Datos - Objetivos de países'!$K$5:$K$510,$A34)</f>
        <v/>
      </c>
      <c r="AS34" s="11">
        <f>COUNTIFS('Datos - Objetivos de países'!$B$5:$B$510,"Singapur",'Datos - Objetivos de países'!$F$5:$F$510,AS$3,'Datos - Objetivos de países'!$J$5:$J$510,$A34)+COUNTIFS('Datos - Objetivos de países'!$B$5:$B$510,"Singapur",'Datos - Objetivos de países'!$F$5:$F$510,AS$3,'Datos - Objetivos de países'!$K$5:$K$510,$A34)</f>
        <v/>
      </c>
      <c r="AT34" s="11">
        <f>COUNTIFS('Datos - Objetivos de países'!$B$5:$B$510,"Singapur",'Datos - Objetivos de países'!$F$5:$F$510,AT$3,'Datos - Objetivos de países'!$J$5:$J$510,$A34)+COUNTIFS('Datos - Objetivos de países'!$B$5:$B$510,"Singapur",'Datos - Objetivos de países'!$F$5:$F$510,AT$3,'Datos - Objetivos de países'!$K$5:$K$510,$A34)</f>
        <v/>
      </c>
      <c r="AU34" s="11">
        <f>COUNTIFS('Datos - Objetivos de países'!$B$5:$B$510,"Singapur",'Datos - Objetivos de países'!$F$5:$F$510,AU$3,'Datos - Objetivos de países'!$J$5:$J$510,$A34)+COUNTIFS('Datos - Objetivos de países'!$B$5:$B$510,"Singapur",'Datos - Objetivos de países'!$F$5:$F$510,AU$3,'Datos - Objetivos de países'!$K$5:$K$510,$A34)</f>
        <v/>
      </c>
      <c r="AV34" s="11">
        <f>COUNTIFS('Datos - Objetivos de países'!$B$5:$B$510,"Singapur",'Datos - Objetivos de países'!$F$5:$F$510,AV$3,'Datos - Objetivos de países'!$J$5:$J$510,$A34)+COUNTIFS('Datos - Objetivos de países'!$B$5:$B$510,"Singapur",'Datos - Objetivos de países'!$F$5:$F$510,AV$3,'Datos - Objetivos de países'!$K$5:$K$510,$A34)</f>
        <v/>
      </c>
      <c r="AW34" s="11">
        <f>COUNTIFS('Datos - Objetivos de países'!$B$5:$B$510,"Singapur",'Datos - Objetivos de países'!$F$5:$F$510,AW$3,'Datos - Objetivos de países'!$J$5:$J$510,$A34)+COUNTIFS('Datos - Objetivos de países'!$B$5:$B$510,"Singapur",'Datos - Objetivos de países'!$F$5:$F$510,AW$3,'Datos - Objetivos de países'!$K$5:$K$510,$A34)</f>
        <v/>
      </c>
    </row>
    <row r="35">
      <c r="A35" s="30" t="inlineStr">
        <is>
          <t>T4_27-E4.2</t>
        </is>
      </c>
      <c r="B35" s="30" t="inlineStr">
        <is>
          <t>T4_27</t>
        </is>
      </c>
      <c r="C35" s="30" t="inlineStr">
        <is>
          <t>Ciencias de la Tierra</t>
        </is>
      </c>
      <c r="D35" s="30" t="inlineStr">
        <is>
          <t>Movimientos de la Tierra y patrones observables</t>
        </is>
      </c>
      <c r="E35" s="30">
        <f>IFERROR(MAX($L$3,INDEX($N$3:$V$3,MATCH(TRUE,INDEX(N35:V35&gt;0,0),0))),"—")</f>
        <v/>
      </c>
      <c r="F35" s="30">
        <f>IFERROR(MAX($L$3,INDEX($W$3:$AE$3,MATCH(TRUE,INDEX(W35:AE35&gt;0,0),0))),"—")</f>
        <v/>
      </c>
      <c r="G35" s="30">
        <f>IFERROR(MAX($L$3,INDEX($AF$3:$AN$3,MATCH(TRUE,INDEX(AF35:AN35&gt;0,0),0))),"—")</f>
        <v/>
      </c>
      <c r="H35" s="30">
        <f>IFERROR(MAX($L$3,INDEX($AO$3:$AW$3,MATCH(TRUE,INDEX(AO35:AW35&gt;0,0),0))),"—")</f>
        <v/>
      </c>
      <c r="I35" s="36">
        <f>IF(L35=0,"—",MEDIAN(F35:H35))</f>
        <v/>
      </c>
      <c r="J35" s="36">
        <f>IF(OR(E35="—",I35="—"),"—",E35-I35)</f>
        <v/>
      </c>
      <c r="K35" s="19">
        <f>IF(E35="—",IF(L35=0,"Nadie lo trabaja","El Salvador no llega"),IF(L35=0,"Solo El Salvador",IF(J35&gt;0,"El Salvador llega más tarde",IF(J35&lt;0,"El Salvador va adelantado","Mismo grado"))))</f>
        <v/>
      </c>
      <c r="L35" s="30">
        <f>COUNT(F35:H35)</f>
        <v/>
      </c>
      <c r="N35" s="11">
        <f>COUNTIFS('Datos - Temas'!$C$5:$C$1264,"Ciencias",'Datos - Temas'!$B$5:$B$1264,N$3,'Datos - Temas'!$K$5:$K$1264,$A35)+COUNTIFS('Datos - Temas'!$C$5:$C$1264,"Ciencias",'Datos - Temas'!$B$5:$B$1264,N$3,'Datos - Temas'!$L$5:$L$1264,$A35)</f>
        <v/>
      </c>
      <c r="O35" s="11">
        <f>COUNTIFS('Datos - Temas'!$C$5:$C$1264,"Ciencias",'Datos - Temas'!$B$5:$B$1264,O$3,'Datos - Temas'!$K$5:$K$1264,$A35)+COUNTIFS('Datos - Temas'!$C$5:$C$1264,"Ciencias",'Datos - Temas'!$B$5:$B$1264,O$3,'Datos - Temas'!$L$5:$L$1264,$A35)</f>
        <v/>
      </c>
      <c r="P35" s="11">
        <f>COUNTIFS('Datos - Temas'!$C$5:$C$1264,"Ciencias",'Datos - Temas'!$B$5:$B$1264,P$3,'Datos - Temas'!$K$5:$K$1264,$A35)+COUNTIFS('Datos - Temas'!$C$5:$C$1264,"Ciencias",'Datos - Temas'!$B$5:$B$1264,P$3,'Datos - Temas'!$L$5:$L$1264,$A35)</f>
        <v/>
      </c>
      <c r="Q35" s="11">
        <f>COUNTIFS('Datos - Temas'!$C$5:$C$1264,"Ciencias",'Datos - Temas'!$B$5:$B$1264,Q$3,'Datos - Temas'!$K$5:$K$1264,$A35)+COUNTIFS('Datos - Temas'!$C$5:$C$1264,"Ciencias",'Datos - Temas'!$B$5:$B$1264,Q$3,'Datos - Temas'!$L$5:$L$1264,$A35)</f>
        <v/>
      </c>
      <c r="R35" s="11">
        <f>COUNTIFS('Datos - Temas'!$C$5:$C$1264,"Ciencias",'Datos - Temas'!$B$5:$B$1264,R$3,'Datos - Temas'!$K$5:$K$1264,$A35)+COUNTIFS('Datos - Temas'!$C$5:$C$1264,"Ciencias",'Datos - Temas'!$B$5:$B$1264,R$3,'Datos - Temas'!$L$5:$L$1264,$A35)</f>
        <v/>
      </c>
      <c r="S35" s="11">
        <f>COUNTIFS('Datos - Temas'!$C$5:$C$1264,"Ciencias",'Datos - Temas'!$B$5:$B$1264,S$3,'Datos - Temas'!$K$5:$K$1264,$A35)+COUNTIFS('Datos - Temas'!$C$5:$C$1264,"Ciencias",'Datos - Temas'!$B$5:$B$1264,S$3,'Datos - Temas'!$L$5:$L$1264,$A35)</f>
        <v/>
      </c>
      <c r="T35" s="11">
        <f>COUNTIFS('Datos - Temas'!$C$5:$C$1264,"Ciencias",'Datos - Temas'!$B$5:$B$1264,T$3,'Datos - Temas'!$K$5:$K$1264,$A35)+COUNTIFS('Datos - Temas'!$C$5:$C$1264,"Ciencias",'Datos - Temas'!$B$5:$B$1264,T$3,'Datos - Temas'!$L$5:$L$1264,$A35)</f>
        <v/>
      </c>
      <c r="U35" s="11">
        <f>COUNTIFS('Datos - Temas'!$C$5:$C$1264,"Ciencias",'Datos - Temas'!$B$5:$B$1264,U$3,'Datos - Temas'!$K$5:$K$1264,$A35)+COUNTIFS('Datos - Temas'!$C$5:$C$1264,"Ciencias",'Datos - Temas'!$B$5:$B$1264,U$3,'Datos - Temas'!$L$5:$L$1264,$A35)</f>
        <v/>
      </c>
      <c r="V35" s="11">
        <f>COUNTIFS('Datos - Temas'!$C$5:$C$1264,"Ciencias",'Datos - Temas'!$B$5:$B$1264,V$3,'Datos - Temas'!$K$5:$K$1264,$A35)+COUNTIFS('Datos - Temas'!$C$5:$C$1264,"Ciencias",'Datos - Temas'!$B$5:$B$1264,V$3,'Datos - Temas'!$L$5:$L$1264,$A35)</f>
        <v/>
      </c>
      <c r="W35" s="11">
        <f>COUNTIFS('Datos - Objetivos de países'!$B$5:$B$510,"Uruguay",'Datos - Objetivos de países'!$F$5:$F$510,W$3,'Datos - Objetivos de países'!$J$5:$J$510,$A35)+COUNTIFS('Datos - Objetivos de países'!$B$5:$B$510,"Uruguay",'Datos - Objetivos de países'!$F$5:$F$510,W$3,'Datos - Objetivos de países'!$K$5:$K$510,$A35)</f>
        <v/>
      </c>
      <c r="X35" s="11">
        <f>COUNTIFS('Datos - Objetivos de países'!$B$5:$B$510,"Uruguay",'Datos - Objetivos de países'!$F$5:$F$510,X$3,'Datos - Objetivos de países'!$J$5:$J$510,$A35)+COUNTIFS('Datos - Objetivos de países'!$B$5:$B$510,"Uruguay",'Datos - Objetivos de países'!$F$5:$F$510,X$3,'Datos - Objetivos de países'!$K$5:$K$510,$A35)</f>
        <v/>
      </c>
      <c r="Y35" s="11">
        <f>COUNTIFS('Datos - Objetivos de países'!$B$5:$B$510,"Uruguay",'Datos - Objetivos de países'!$F$5:$F$510,Y$3,'Datos - Objetivos de países'!$J$5:$J$510,$A35)+COUNTIFS('Datos - Objetivos de países'!$B$5:$B$510,"Uruguay",'Datos - Objetivos de países'!$F$5:$F$510,Y$3,'Datos - Objetivos de países'!$K$5:$K$510,$A35)</f>
        <v/>
      </c>
      <c r="Z35" s="11">
        <f>COUNTIFS('Datos - Objetivos de países'!$B$5:$B$510,"Uruguay",'Datos - Objetivos de países'!$F$5:$F$510,Z$3,'Datos - Objetivos de países'!$J$5:$J$510,$A35)+COUNTIFS('Datos - Objetivos de países'!$B$5:$B$510,"Uruguay",'Datos - Objetivos de países'!$F$5:$F$510,Z$3,'Datos - Objetivos de países'!$K$5:$K$510,$A35)</f>
        <v/>
      </c>
      <c r="AA35" s="11">
        <f>COUNTIFS('Datos - Objetivos de países'!$B$5:$B$510,"Uruguay",'Datos - Objetivos de países'!$F$5:$F$510,AA$3,'Datos - Objetivos de países'!$J$5:$J$510,$A35)+COUNTIFS('Datos - Objetivos de países'!$B$5:$B$510,"Uruguay",'Datos - Objetivos de países'!$F$5:$F$510,AA$3,'Datos - Objetivos de países'!$K$5:$K$510,$A35)</f>
        <v/>
      </c>
      <c r="AB35" s="11">
        <f>COUNTIFS('Datos - Objetivos de países'!$B$5:$B$510,"Uruguay",'Datos - Objetivos de países'!$F$5:$F$510,AB$3,'Datos - Objetivos de países'!$J$5:$J$510,$A35)+COUNTIFS('Datos - Objetivos de países'!$B$5:$B$510,"Uruguay",'Datos - Objetivos de países'!$F$5:$F$510,AB$3,'Datos - Objetivos de países'!$K$5:$K$510,$A35)</f>
        <v/>
      </c>
      <c r="AC35" s="11">
        <f>COUNTIFS('Datos - Objetivos de países'!$B$5:$B$510,"Uruguay",'Datos - Objetivos de países'!$F$5:$F$510,AC$3,'Datos - Objetivos de países'!$J$5:$J$510,$A35)+COUNTIFS('Datos - Objetivos de países'!$B$5:$B$510,"Uruguay",'Datos - Objetivos de países'!$F$5:$F$510,AC$3,'Datos - Objetivos de países'!$K$5:$K$510,$A35)</f>
        <v/>
      </c>
      <c r="AD35" s="11">
        <f>COUNTIFS('Datos - Objetivos de países'!$B$5:$B$510,"Uruguay",'Datos - Objetivos de países'!$F$5:$F$510,AD$3,'Datos - Objetivos de países'!$J$5:$J$510,$A35)+COUNTIFS('Datos - Objetivos de países'!$B$5:$B$510,"Uruguay",'Datos - Objetivos de países'!$F$5:$F$510,AD$3,'Datos - Objetivos de países'!$K$5:$K$510,$A35)</f>
        <v/>
      </c>
      <c r="AE35" s="11">
        <f>COUNTIFS('Datos - Objetivos de países'!$B$5:$B$510,"Uruguay",'Datos - Objetivos de países'!$F$5:$F$510,AE$3,'Datos - Objetivos de países'!$J$5:$J$510,$A35)+COUNTIFS('Datos - Objetivos de países'!$B$5:$B$510,"Uruguay",'Datos - Objetivos de países'!$F$5:$F$510,AE$3,'Datos - Objetivos de países'!$K$5:$K$510,$A35)</f>
        <v/>
      </c>
      <c r="AF35" s="11">
        <f>COUNTIFS('Datos - Objetivos de países'!$B$5:$B$510,"Colombia",'Datos - Objetivos de países'!$F$5:$F$510,AF$3,'Datos - Objetivos de países'!$J$5:$J$510,$A35)+COUNTIFS('Datos - Objetivos de países'!$B$5:$B$510,"Colombia",'Datos - Objetivos de países'!$F$5:$F$510,AF$3,'Datos - Objetivos de países'!$K$5:$K$510,$A35)</f>
        <v/>
      </c>
      <c r="AG35" s="11">
        <f>COUNTIFS('Datos - Objetivos de países'!$B$5:$B$510,"Colombia",'Datos - Objetivos de países'!$F$5:$F$510,AG$3,'Datos - Objetivos de países'!$J$5:$J$510,$A35)+COUNTIFS('Datos - Objetivos de países'!$B$5:$B$510,"Colombia",'Datos - Objetivos de países'!$F$5:$F$510,AG$3,'Datos - Objetivos de países'!$K$5:$K$510,$A35)</f>
        <v/>
      </c>
      <c r="AH35" s="11">
        <f>COUNTIFS('Datos - Objetivos de países'!$B$5:$B$510,"Colombia",'Datos - Objetivos de países'!$F$5:$F$510,AH$3,'Datos - Objetivos de países'!$J$5:$J$510,$A35)+COUNTIFS('Datos - Objetivos de países'!$B$5:$B$510,"Colombia",'Datos - Objetivos de países'!$F$5:$F$510,AH$3,'Datos - Objetivos de países'!$K$5:$K$510,$A35)</f>
        <v/>
      </c>
      <c r="AI35" s="11">
        <f>COUNTIFS('Datos - Objetivos de países'!$B$5:$B$510,"Colombia",'Datos - Objetivos de países'!$F$5:$F$510,AI$3,'Datos - Objetivos de países'!$J$5:$J$510,$A35)+COUNTIFS('Datos - Objetivos de países'!$B$5:$B$510,"Colombia",'Datos - Objetivos de países'!$F$5:$F$510,AI$3,'Datos - Objetivos de países'!$K$5:$K$510,$A35)</f>
        <v/>
      </c>
      <c r="AJ35" s="11">
        <f>COUNTIFS('Datos - Objetivos de países'!$B$5:$B$510,"Colombia",'Datos - Objetivos de países'!$F$5:$F$510,AJ$3,'Datos - Objetivos de países'!$J$5:$J$510,$A35)+COUNTIFS('Datos - Objetivos de países'!$B$5:$B$510,"Colombia",'Datos - Objetivos de países'!$F$5:$F$510,AJ$3,'Datos - Objetivos de países'!$K$5:$K$510,$A35)</f>
        <v/>
      </c>
      <c r="AK35" s="11">
        <f>COUNTIFS('Datos - Objetivos de países'!$B$5:$B$510,"Colombia",'Datos - Objetivos de países'!$F$5:$F$510,AK$3,'Datos - Objetivos de países'!$J$5:$J$510,$A35)+COUNTIFS('Datos - Objetivos de países'!$B$5:$B$510,"Colombia",'Datos - Objetivos de países'!$F$5:$F$510,AK$3,'Datos - Objetivos de países'!$K$5:$K$510,$A35)</f>
        <v/>
      </c>
      <c r="AL35" s="11">
        <f>COUNTIFS('Datos - Objetivos de países'!$B$5:$B$510,"Colombia",'Datos - Objetivos de países'!$F$5:$F$510,AL$3,'Datos - Objetivos de países'!$J$5:$J$510,$A35)+COUNTIFS('Datos - Objetivos de países'!$B$5:$B$510,"Colombia",'Datos - Objetivos de países'!$F$5:$F$510,AL$3,'Datos - Objetivos de países'!$K$5:$K$510,$A35)</f>
        <v/>
      </c>
      <c r="AM35" s="11">
        <f>COUNTIFS('Datos - Objetivos de países'!$B$5:$B$510,"Colombia",'Datos - Objetivos de países'!$F$5:$F$510,AM$3,'Datos - Objetivos de países'!$J$5:$J$510,$A35)+COUNTIFS('Datos - Objetivos de países'!$B$5:$B$510,"Colombia",'Datos - Objetivos de países'!$F$5:$F$510,AM$3,'Datos - Objetivos de países'!$K$5:$K$510,$A35)</f>
        <v/>
      </c>
      <c r="AN35" s="11">
        <f>COUNTIFS('Datos - Objetivos de países'!$B$5:$B$510,"Colombia",'Datos - Objetivos de países'!$F$5:$F$510,AN$3,'Datos - Objetivos de países'!$J$5:$J$510,$A35)+COUNTIFS('Datos - Objetivos de países'!$B$5:$B$510,"Colombia",'Datos - Objetivos de países'!$F$5:$F$510,AN$3,'Datos - Objetivos de países'!$K$5:$K$510,$A35)</f>
        <v/>
      </c>
      <c r="AO35" s="11">
        <f>COUNTIFS('Datos - Objetivos de países'!$B$5:$B$510,"Singapur",'Datos - Objetivos de países'!$F$5:$F$510,AO$3,'Datos - Objetivos de países'!$J$5:$J$510,$A35)+COUNTIFS('Datos - Objetivos de países'!$B$5:$B$510,"Singapur",'Datos - Objetivos de países'!$F$5:$F$510,AO$3,'Datos - Objetivos de países'!$K$5:$K$510,$A35)</f>
        <v/>
      </c>
      <c r="AP35" s="11">
        <f>COUNTIFS('Datos - Objetivos de países'!$B$5:$B$510,"Singapur",'Datos - Objetivos de países'!$F$5:$F$510,AP$3,'Datos - Objetivos de países'!$J$5:$J$510,$A35)+COUNTIFS('Datos - Objetivos de países'!$B$5:$B$510,"Singapur",'Datos - Objetivos de países'!$F$5:$F$510,AP$3,'Datos - Objetivos de países'!$K$5:$K$510,$A35)</f>
        <v/>
      </c>
      <c r="AQ35" s="11">
        <f>COUNTIFS('Datos - Objetivos de países'!$B$5:$B$510,"Singapur",'Datos - Objetivos de países'!$F$5:$F$510,AQ$3,'Datos - Objetivos de países'!$J$5:$J$510,$A35)+COUNTIFS('Datos - Objetivos de países'!$B$5:$B$510,"Singapur",'Datos - Objetivos de países'!$F$5:$F$510,AQ$3,'Datos - Objetivos de países'!$K$5:$K$510,$A35)</f>
        <v/>
      </c>
      <c r="AR35" s="11">
        <f>COUNTIFS('Datos - Objetivos de países'!$B$5:$B$510,"Singapur",'Datos - Objetivos de países'!$F$5:$F$510,AR$3,'Datos - Objetivos de países'!$J$5:$J$510,$A35)+COUNTIFS('Datos - Objetivos de países'!$B$5:$B$510,"Singapur",'Datos - Objetivos de países'!$F$5:$F$510,AR$3,'Datos - Objetivos de países'!$K$5:$K$510,$A35)</f>
        <v/>
      </c>
      <c r="AS35" s="11">
        <f>COUNTIFS('Datos - Objetivos de países'!$B$5:$B$510,"Singapur",'Datos - Objetivos de países'!$F$5:$F$510,AS$3,'Datos - Objetivos de países'!$J$5:$J$510,$A35)+COUNTIFS('Datos - Objetivos de países'!$B$5:$B$510,"Singapur",'Datos - Objetivos de países'!$F$5:$F$510,AS$3,'Datos - Objetivos de países'!$K$5:$K$510,$A35)</f>
        <v/>
      </c>
      <c r="AT35" s="11">
        <f>COUNTIFS('Datos - Objetivos de países'!$B$5:$B$510,"Singapur",'Datos - Objetivos de países'!$F$5:$F$510,AT$3,'Datos - Objetivos de países'!$J$5:$J$510,$A35)+COUNTIFS('Datos - Objetivos de países'!$B$5:$B$510,"Singapur",'Datos - Objetivos de países'!$F$5:$F$510,AT$3,'Datos - Objetivos de países'!$K$5:$K$510,$A35)</f>
        <v/>
      </c>
      <c r="AU35" s="11">
        <f>COUNTIFS('Datos - Objetivos de países'!$B$5:$B$510,"Singapur",'Datos - Objetivos de países'!$F$5:$F$510,AU$3,'Datos - Objetivos de países'!$J$5:$J$510,$A35)+COUNTIFS('Datos - Objetivos de países'!$B$5:$B$510,"Singapur",'Datos - Objetivos de países'!$F$5:$F$510,AU$3,'Datos - Objetivos de países'!$K$5:$K$510,$A35)</f>
        <v/>
      </c>
      <c r="AV35" s="11">
        <f>COUNTIFS('Datos - Objetivos de países'!$B$5:$B$510,"Singapur",'Datos - Objetivos de países'!$F$5:$F$510,AV$3,'Datos - Objetivos de países'!$J$5:$J$510,$A35)+COUNTIFS('Datos - Objetivos de países'!$B$5:$B$510,"Singapur",'Datos - Objetivos de países'!$F$5:$F$510,AV$3,'Datos - Objetivos de países'!$K$5:$K$510,$A35)</f>
        <v/>
      </c>
      <c r="AW35" s="11">
        <f>COUNTIFS('Datos - Objetivos de países'!$B$5:$B$510,"Singapur",'Datos - Objetivos de países'!$F$5:$F$510,AW$3,'Datos - Objetivos de países'!$J$5:$J$510,$A35)+COUNTIFS('Datos - Objetivos de países'!$B$5:$B$510,"Singapur",'Datos - Objetivos de países'!$F$5:$F$510,AW$3,'Datos - Objetivos de países'!$K$5:$K$510,$A35)</f>
        <v/>
      </c>
    </row>
    <row r="36">
      <c r="A36" s="30" t="inlineStr">
        <is>
          <t>T4_27-E5.1</t>
        </is>
      </c>
      <c r="B36" s="30" t="inlineStr">
        <is>
          <t>T4_27</t>
        </is>
      </c>
      <c r="C36" s="30" t="inlineStr">
        <is>
          <t>Ciencias de la Tierra</t>
        </is>
      </c>
      <c r="D36" s="30" t="inlineStr">
        <is>
          <t>Uso de equipo en investigaciones de ciencias de la Tierra</t>
        </is>
      </c>
      <c r="E36" s="30">
        <f>IFERROR(MAX($L$3,INDEX($N$3:$V$3,MATCH(TRUE,INDEX(N36:V36&gt;0,0),0))),"—")</f>
        <v/>
      </c>
      <c r="F36" s="30">
        <f>IFERROR(MAX($L$3,INDEX($W$3:$AE$3,MATCH(TRUE,INDEX(W36:AE36&gt;0,0),0))),"—")</f>
        <v/>
      </c>
      <c r="G36" s="30">
        <f>IFERROR(MAX($L$3,INDEX($AF$3:$AN$3,MATCH(TRUE,INDEX(AF36:AN36&gt;0,0),0))),"—")</f>
        <v/>
      </c>
      <c r="H36" s="30">
        <f>IFERROR(MAX($L$3,INDEX($AO$3:$AW$3,MATCH(TRUE,INDEX(AO36:AW36&gt;0,0),0))),"—")</f>
        <v/>
      </c>
      <c r="I36" s="36">
        <f>IF(L36=0,"—",MEDIAN(F36:H36))</f>
        <v/>
      </c>
      <c r="J36" s="36">
        <f>IF(OR(E36="—",I36="—"),"—",E36-I36)</f>
        <v/>
      </c>
      <c r="K36" s="19">
        <f>IF(E36="—",IF(L36=0,"Nadie lo trabaja","El Salvador no llega"),IF(L36=0,"Solo El Salvador",IF(J36&gt;0,"El Salvador llega más tarde",IF(J36&lt;0,"El Salvador va adelantado","Mismo grado"))))</f>
        <v/>
      </c>
      <c r="L36" s="30">
        <f>COUNT(F36:H36)</f>
        <v/>
      </c>
      <c r="N36" s="11">
        <f>COUNTIFS('Datos - Temas'!$C$5:$C$1264,"Ciencias",'Datos - Temas'!$B$5:$B$1264,N$3,'Datos - Temas'!$K$5:$K$1264,$A36)+COUNTIFS('Datos - Temas'!$C$5:$C$1264,"Ciencias",'Datos - Temas'!$B$5:$B$1264,N$3,'Datos - Temas'!$L$5:$L$1264,$A36)</f>
        <v/>
      </c>
      <c r="O36" s="11">
        <f>COUNTIFS('Datos - Temas'!$C$5:$C$1264,"Ciencias",'Datos - Temas'!$B$5:$B$1264,O$3,'Datos - Temas'!$K$5:$K$1264,$A36)+COUNTIFS('Datos - Temas'!$C$5:$C$1264,"Ciencias",'Datos - Temas'!$B$5:$B$1264,O$3,'Datos - Temas'!$L$5:$L$1264,$A36)</f>
        <v/>
      </c>
      <c r="P36" s="11">
        <f>COUNTIFS('Datos - Temas'!$C$5:$C$1264,"Ciencias",'Datos - Temas'!$B$5:$B$1264,P$3,'Datos - Temas'!$K$5:$K$1264,$A36)+COUNTIFS('Datos - Temas'!$C$5:$C$1264,"Ciencias",'Datos - Temas'!$B$5:$B$1264,P$3,'Datos - Temas'!$L$5:$L$1264,$A36)</f>
        <v/>
      </c>
      <c r="Q36" s="11">
        <f>COUNTIFS('Datos - Temas'!$C$5:$C$1264,"Ciencias",'Datos - Temas'!$B$5:$B$1264,Q$3,'Datos - Temas'!$K$5:$K$1264,$A36)+COUNTIFS('Datos - Temas'!$C$5:$C$1264,"Ciencias",'Datos - Temas'!$B$5:$B$1264,Q$3,'Datos - Temas'!$L$5:$L$1264,$A36)</f>
        <v/>
      </c>
      <c r="R36" s="11">
        <f>COUNTIFS('Datos - Temas'!$C$5:$C$1264,"Ciencias",'Datos - Temas'!$B$5:$B$1264,R$3,'Datos - Temas'!$K$5:$K$1264,$A36)+COUNTIFS('Datos - Temas'!$C$5:$C$1264,"Ciencias",'Datos - Temas'!$B$5:$B$1264,R$3,'Datos - Temas'!$L$5:$L$1264,$A36)</f>
        <v/>
      </c>
      <c r="S36" s="11">
        <f>COUNTIFS('Datos - Temas'!$C$5:$C$1264,"Ciencias",'Datos - Temas'!$B$5:$B$1264,S$3,'Datos - Temas'!$K$5:$K$1264,$A36)+COUNTIFS('Datos - Temas'!$C$5:$C$1264,"Ciencias",'Datos - Temas'!$B$5:$B$1264,S$3,'Datos - Temas'!$L$5:$L$1264,$A36)</f>
        <v/>
      </c>
      <c r="T36" s="11">
        <f>COUNTIFS('Datos - Temas'!$C$5:$C$1264,"Ciencias",'Datos - Temas'!$B$5:$B$1264,T$3,'Datos - Temas'!$K$5:$K$1264,$A36)+COUNTIFS('Datos - Temas'!$C$5:$C$1264,"Ciencias",'Datos - Temas'!$B$5:$B$1264,T$3,'Datos - Temas'!$L$5:$L$1264,$A36)</f>
        <v/>
      </c>
      <c r="U36" s="11">
        <f>COUNTIFS('Datos - Temas'!$C$5:$C$1264,"Ciencias",'Datos - Temas'!$B$5:$B$1264,U$3,'Datos - Temas'!$K$5:$K$1264,$A36)+COUNTIFS('Datos - Temas'!$C$5:$C$1264,"Ciencias",'Datos - Temas'!$B$5:$B$1264,U$3,'Datos - Temas'!$L$5:$L$1264,$A36)</f>
        <v/>
      </c>
      <c r="V36" s="11">
        <f>COUNTIFS('Datos - Temas'!$C$5:$C$1264,"Ciencias",'Datos - Temas'!$B$5:$B$1264,V$3,'Datos - Temas'!$K$5:$K$1264,$A36)+COUNTIFS('Datos - Temas'!$C$5:$C$1264,"Ciencias",'Datos - Temas'!$B$5:$B$1264,V$3,'Datos - Temas'!$L$5:$L$1264,$A36)</f>
        <v/>
      </c>
      <c r="W36" s="11">
        <f>COUNTIFS('Datos - Objetivos de países'!$B$5:$B$510,"Uruguay",'Datos - Objetivos de países'!$F$5:$F$510,W$3,'Datos - Objetivos de países'!$J$5:$J$510,$A36)+COUNTIFS('Datos - Objetivos de países'!$B$5:$B$510,"Uruguay",'Datos - Objetivos de países'!$F$5:$F$510,W$3,'Datos - Objetivos de países'!$K$5:$K$510,$A36)</f>
        <v/>
      </c>
      <c r="X36" s="11">
        <f>COUNTIFS('Datos - Objetivos de países'!$B$5:$B$510,"Uruguay",'Datos - Objetivos de países'!$F$5:$F$510,X$3,'Datos - Objetivos de países'!$J$5:$J$510,$A36)+COUNTIFS('Datos - Objetivos de países'!$B$5:$B$510,"Uruguay",'Datos - Objetivos de países'!$F$5:$F$510,X$3,'Datos - Objetivos de países'!$K$5:$K$510,$A36)</f>
        <v/>
      </c>
      <c r="Y36" s="11">
        <f>COUNTIFS('Datos - Objetivos de países'!$B$5:$B$510,"Uruguay",'Datos - Objetivos de países'!$F$5:$F$510,Y$3,'Datos - Objetivos de países'!$J$5:$J$510,$A36)+COUNTIFS('Datos - Objetivos de países'!$B$5:$B$510,"Uruguay",'Datos - Objetivos de países'!$F$5:$F$510,Y$3,'Datos - Objetivos de países'!$K$5:$K$510,$A36)</f>
        <v/>
      </c>
      <c r="Z36" s="11">
        <f>COUNTIFS('Datos - Objetivos de países'!$B$5:$B$510,"Uruguay",'Datos - Objetivos de países'!$F$5:$F$510,Z$3,'Datos - Objetivos de países'!$J$5:$J$510,$A36)+COUNTIFS('Datos - Objetivos de países'!$B$5:$B$510,"Uruguay",'Datos - Objetivos de países'!$F$5:$F$510,Z$3,'Datos - Objetivos de países'!$K$5:$K$510,$A36)</f>
        <v/>
      </c>
      <c r="AA36" s="11">
        <f>COUNTIFS('Datos - Objetivos de países'!$B$5:$B$510,"Uruguay",'Datos - Objetivos de países'!$F$5:$F$510,AA$3,'Datos - Objetivos de países'!$J$5:$J$510,$A36)+COUNTIFS('Datos - Objetivos de países'!$B$5:$B$510,"Uruguay",'Datos - Objetivos de países'!$F$5:$F$510,AA$3,'Datos - Objetivos de países'!$K$5:$K$510,$A36)</f>
        <v/>
      </c>
      <c r="AB36" s="11">
        <f>COUNTIFS('Datos - Objetivos de países'!$B$5:$B$510,"Uruguay",'Datos - Objetivos de países'!$F$5:$F$510,AB$3,'Datos - Objetivos de países'!$J$5:$J$510,$A36)+COUNTIFS('Datos - Objetivos de países'!$B$5:$B$510,"Uruguay",'Datos - Objetivos de países'!$F$5:$F$510,AB$3,'Datos - Objetivos de países'!$K$5:$K$510,$A36)</f>
        <v/>
      </c>
      <c r="AC36" s="11">
        <f>COUNTIFS('Datos - Objetivos de países'!$B$5:$B$510,"Uruguay",'Datos - Objetivos de países'!$F$5:$F$510,AC$3,'Datos - Objetivos de países'!$J$5:$J$510,$A36)+COUNTIFS('Datos - Objetivos de países'!$B$5:$B$510,"Uruguay",'Datos - Objetivos de países'!$F$5:$F$510,AC$3,'Datos - Objetivos de países'!$K$5:$K$510,$A36)</f>
        <v/>
      </c>
      <c r="AD36" s="11">
        <f>COUNTIFS('Datos - Objetivos de países'!$B$5:$B$510,"Uruguay",'Datos - Objetivos de países'!$F$5:$F$510,AD$3,'Datos - Objetivos de países'!$J$5:$J$510,$A36)+COUNTIFS('Datos - Objetivos de países'!$B$5:$B$510,"Uruguay",'Datos - Objetivos de países'!$F$5:$F$510,AD$3,'Datos - Objetivos de países'!$K$5:$K$510,$A36)</f>
        <v/>
      </c>
      <c r="AE36" s="11">
        <f>COUNTIFS('Datos - Objetivos de países'!$B$5:$B$510,"Uruguay",'Datos - Objetivos de países'!$F$5:$F$510,AE$3,'Datos - Objetivos de países'!$J$5:$J$510,$A36)+COUNTIFS('Datos - Objetivos de países'!$B$5:$B$510,"Uruguay",'Datos - Objetivos de países'!$F$5:$F$510,AE$3,'Datos - Objetivos de países'!$K$5:$K$510,$A36)</f>
        <v/>
      </c>
      <c r="AF36" s="11">
        <f>COUNTIFS('Datos - Objetivos de países'!$B$5:$B$510,"Colombia",'Datos - Objetivos de países'!$F$5:$F$510,AF$3,'Datos - Objetivos de países'!$J$5:$J$510,$A36)+COUNTIFS('Datos - Objetivos de países'!$B$5:$B$510,"Colombia",'Datos - Objetivos de países'!$F$5:$F$510,AF$3,'Datos - Objetivos de países'!$K$5:$K$510,$A36)</f>
        <v/>
      </c>
      <c r="AG36" s="11">
        <f>COUNTIFS('Datos - Objetivos de países'!$B$5:$B$510,"Colombia",'Datos - Objetivos de países'!$F$5:$F$510,AG$3,'Datos - Objetivos de países'!$J$5:$J$510,$A36)+COUNTIFS('Datos - Objetivos de países'!$B$5:$B$510,"Colombia",'Datos - Objetivos de países'!$F$5:$F$510,AG$3,'Datos - Objetivos de países'!$K$5:$K$510,$A36)</f>
        <v/>
      </c>
      <c r="AH36" s="11">
        <f>COUNTIFS('Datos - Objetivos de países'!$B$5:$B$510,"Colombia",'Datos - Objetivos de países'!$F$5:$F$510,AH$3,'Datos - Objetivos de países'!$J$5:$J$510,$A36)+COUNTIFS('Datos - Objetivos de países'!$B$5:$B$510,"Colombia",'Datos - Objetivos de países'!$F$5:$F$510,AH$3,'Datos - Objetivos de países'!$K$5:$K$510,$A36)</f>
        <v/>
      </c>
      <c r="AI36" s="11">
        <f>COUNTIFS('Datos - Objetivos de países'!$B$5:$B$510,"Colombia",'Datos - Objetivos de países'!$F$5:$F$510,AI$3,'Datos - Objetivos de países'!$J$5:$J$510,$A36)+COUNTIFS('Datos - Objetivos de países'!$B$5:$B$510,"Colombia",'Datos - Objetivos de países'!$F$5:$F$510,AI$3,'Datos - Objetivos de países'!$K$5:$K$510,$A36)</f>
        <v/>
      </c>
      <c r="AJ36" s="11">
        <f>COUNTIFS('Datos - Objetivos de países'!$B$5:$B$510,"Colombia",'Datos - Objetivos de países'!$F$5:$F$510,AJ$3,'Datos - Objetivos de países'!$J$5:$J$510,$A36)+COUNTIFS('Datos - Objetivos de países'!$B$5:$B$510,"Colombia",'Datos - Objetivos de países'!$F$5:$F$510,AJ$3,'Datos - Objetivos de países'!$K$5:$K$510,$A36)</f>
        <v/>
      </c>
      <c r="AK36" s="11">
        <f>COUNTIFS('Datos - Objetivos de países'!$B$5:$B$510,"Colombia",'Datos - Objetivos de países'!$F$5:$F$510,AK$3,'Datos - Objetivos de países'!$J$5:$J$510,$A36)+COUNTIFS('Datos - Objetivos de países'!$B$5:$B$510,"Colombia",'Datos - Objetivos de países'!$F$5:$F$510,AK$3,'Datos - Objetivos de países'!$K$5:$K$510,$A36)</f>
        <v/>
      </c>
      <c r="AL36" s="11">
        <f>COUNTIFS('Datos - Objetivos de países'!$B$5:$B$510,"Colombia",'Datos - Objetivos de países'!$F$5:$F$510,AL$3,'Datos - Objetivos de países'!$J$5:$J$510,$A36)+COUNTIFS('Datos - Objetivos de países'!$B$5:$B$510,"Colombia",'Datos - Objetivos de países'!$F$5:$F$510,AL$3,'Datos - Objetivos de países'!$K$5:$K$510,$A36)</f>
        <v/>
      </c>
      <c r="AM36" s="11">
        <f>COUNTIFS('Datos - Objetivos de países'!$B$5:$B$510,"Colombia",'Datos - Objetivos de países'!$F$5:$F$510,AM$3,'Datos - Objetivos de países'!$J$5:$J$510,$A36)+COUNTIFS('Datos - Objetivos de países'!$B$5:$B$510,"Colombia",'Datos - Objetivos de países'!$F$5:$F$510,AM$3,'Datos - Objetivos de países'!$K$5:$K$510,$A36)</f>
        <v/>
      </c>
      <c r="AN36" s="11">
        <f>COUNTIFS('Datos - Objetivos de países'!$B$5:$B$510,"Colombia",'Datos - Objetivos de países'!$F$5:$F$510,AN$3,'Datos - Objetivos de países'!$J$5:$J$510,$A36)+COUNTIFS('Datos - Objetivos de países'!$B$5:$B$510,"Colombia",'Datos - Objetivos de países'!$F$5:$F$510,AN$3,'Datos - Objetivos de países'!$K$5:$K$510,$A36)</f>
        <v/>
      </c>
      <c r="AO36" s="11">
        <f>COUNTIFS('Datos - Objetivos de países'!$B$5:$B$510,"Singapur",'Datos - Objetivos de países'!$F$5:$F$510,AO$3,'Datos - Objetivos de países'!$J$5:$J$510,$A36)+COUNTIFS('Datos - Objetivos de países'!$B$5:$B$510,"Singapur",'Datos - Objetivos de países'!$F$5:$F$510,AO$3,'Datos - Objetivos de países'!$K$5:$K$510,$A36)</f>
        <v/>
      </c>
      <c r="AP36" s="11">
        <f>COUNTIFS('Datos - Objetivos de países'!$B$5:$B$510,"Singapur",'Datos - Objetivos de países'!$F$5:$F$510,AP$3,'Datos - Objetivos de países'!$J$5:$J$510,$A36)+COUNTIFS('Datos - Objetivos de países'!$B$5:$B$510,"Singapur",'Datos - Objetivos de países'!$F$5:$F$510,AP$3,'Datos - Objetivos de países'!$K$5:$K$510,$A36)</f>
        <v/>
      </c>
      <c r="AQ36" s="11">
        <f>COUNTIFS('Datos - Objetivos de países'!$B$5:$B$510,"Singapur",'Datos - Objetivos de países'!$F$5:$F$510,AQ$3,'Datos - Objetivos de países'!$J$5:$J$510,$A36)+COUNTIFS('Datos - Objetivos de países'!$B$5:$B$510,"Singapur",'Datos - Objetivos de países'!$F$5:$F$510,AQ$3,'Datos - Objetivos de países'!$K$5:$K$510,$A36)</f>
        <v/>
      </c>
      <c r="AR36" s="11">
        <f>COUNTIFS('Datos - Objetivos de países'!$B$5:$B$510,"Singapur",'Datos - Objetivos de países'!$F$5:$F$510,AR$3,'Datos - Objetivos de países'!$J$5:$J$510,$A36)+COUNTIFS('Datos - Objetivos de países'!$B$5:$B$510,"Singapur",'Datos - Objetivos de países'!$F$5:$F$510,AR$3,'Datos - Objetivos de países'!$K$5:$K$510,$A36)</f>
        <v/>
      </c>
      <c r="AS36" s="11">
        <f>COUNTIFS('Datos - Objetivos de países'!$B$5:$B$510,"Singapur",'Datos - Objetivos de países'!$F$5:$F$510,AS$3,'Datos - Objetivos de países'!$J$5:$J$510,$A36)+COUNTIFS('Datos - Objetivos de países'!$B$5:$B$510,"Singapur",'Datos - Objetivos de países'!$F$5:$F$510,AS$3,'Datos - Objetivos de países'!$K$5:$K$510,$A36)</f>
        <v/>
      </c>
      <c r="AT36" s="11">
        <f>COUNTIFS('Datos - Objetivos de países'!$B$5:$B$510,"Singapur",'Datos - Objetivos de países'!$F$5:$F$510,AT$3,'Datos - Objetivos de países'!$J$5:$J$510,$A36)+COUNTIFS('Datos - Objetivos de países'!$B$5:$B$510,"Singapur",'Datos - Objetivos de países'!$F$5:$F$510,AT$3,'Datos - Objetivos de países'!$K$5:$K$510,$A36)</f>
        <v/>
      </c>
      <c r="AU36" s="11">
        <f>COUNTIFS('Datos - Objetivos de países'!$B$5:$B$510,"Singapur",'Datos - Objetivos de países'!$F$5:$F$510,AU$3,'Datos - Objetivos de países'!$J$5:$J$510,$A36)+COUNTIFS('Datos - Objetivos de países'!$B$5:$B$510,"Singapur",'Datos - Objetivos de países'!$F$5:$F$510,AU$3,'Datos - Objetivos de países'!$K$5:$K$510,$A36)</f>
        <v/>
      </c>
      <c r="AV36" s="11">
        <f>COUNTIFS('Datos - Objetivos de países'!$B$5:$B$510,"Singapur",'Datos - Objetivos de países'!$F$5:$F$510,AV$3,'Datos - Objetivos de países'!$J$5:$J$510,$A36)+COUNTIFS('Datos - Objetivos de países'!$B$5:$B$510,"Singapur",'Datos - Objetivos de países'!$F$5:$F$510,AV$3,'Datos - Objetivos de países'!$K$5:$K$510,$A36)</f>
        <v/>
      </c>
      <c r="AW36" s="11">
        <f>COUNTIFS('Datos - Objetivos de países'!$B$5:$B$510,"Singapur",'Datos - Objetivos de países'!$F$5:$F$510,AW$3,'Datos - Objetivos de países'!$J$5:$J$510,$A36)+COUNTIFS('Datos - Objetivos de países'!$B$5:$B$510,"Singapur",'Datos - Objetivos de países'!$F$5:$F$510,AW$3,'Datos - Objetivos de países'!$K$5:$K$510,$A36)</f>
        <v/>
      </c>
    </row>
    <row r="37">
      <c r="A37" s="30" t="inlineStr">
        <is>
          <t>T8_27-B1.1</t>
        </is>
      </c>
      <c r="B37" s="30" t="inlineStr">
        <is>
          <t>T8_27</t>
        </is>
      </c>
      <c r="C37" s="30" t="inlineStr">
        <is>
          <t>Biología</t>
        </is>
      </c>
      <c r="D37" s="30" t="inlineStr">
        <is>
          <t>Diferencias entre los grandes grupos taxonómicos</t>
        </is>
      </c>
      <c r="E37" s="30">
        <f>IFERROR(MAX($L$3,INDEX($N$3:$V$3,MATCH(TRUE,INDEX(N37:V37&gt;0,0),0))),"—")</f>
        <v/>
      </c>
      <c r="F37" s="30">
        <f>IFERROR(MAX($L$3,INDEX($W$3:$AE$3,MATCH(TRUE,INDEX(W37:AE37&gt;0,0),0))),"—")</f>
        <v/>
      </c>
      <c r="G37" s="30">
        <f>IFERROR(MAX($L$3,INDEX($AF$3:$AN$3,MATCH(TRUE,INDEX(AF37:AN37&gt;0,0),0))),"—")</f>
        <v/>
      </c>
      <c r="H37" s="30">
        <f>IFERROR(MAX($L$3,INDEX($AO$3:$AW$3,MATCH(TRUE,INDEX(AO37:AW37&gt;0,0),0))),"—")</f>
        <v/>
      </c>
      <c r="I37" s="36">
        <f>IF(L37=0,"—",MEDIAN(F37:H37))</f>
        <v/>
      </c>
      <c r="J37" s="36">
        <f>IF(OR(E37="—",I37="—"),"—",E37-I37)</f>
        <v/>
      </c>
      <c r="K37" s="19">
        <f>IF(E37="—",IF(L37=0,"Nadie lo trabaja","El Salvador no llega"),IF(L37=0,"Solo El Salvador",IF(J37&gt;0,"El Salvador llega más tarde",IF(J37&lt;0,"El Salvador va adelantado","Mismo grado"))))</f>
        <v/>
      </c>
      <c r="L37" s="30">
        <f>COUNT(F37:H37)</f>
        <v/>
      </c>
      <c r="N37" s="11">
        <f>COUNTIFS('Datos - Temas'!$C$5:$C$1264,"Ciencias",'Datos - Temas'!$B$5:$B$1264,N$3,'Datos - Temas'!$K$5:$K$1264,$A37)+COUNTIFS('Datos - Temas'!$C$5:$C$1264,"Ciencias",'Datos - Temas'!$B$5:$B$1264,N$3,'Datos - Temas'!$L$5:$L$1264,$A37)</f>
        <v/>
      </c>
      <c r="O37" s="11">
        <f>COUNTIFS('Datos - Temas'!$C$5:$C$1264,"Ciencias",'Datos - Temas'!$B$5:$B$1264,O$3,'Datos - Temas'!$K$5:$K$1264,$A37)+COUNTIFS('Datos - Temas'!$C$5:$C$1264,"Ciencias",'Datos - Temas'!$B$5:$B$1264,O$3,'Datos - Temas'!$L$5:$L$1264,$A37)</f>
        <v/>
      </c>
      <c r="P37" s="11">
        <f>COUNTIFS('Datos - Temas'!$C$5:$C$1264,"Ciencias",'Datos - Temas'!$B$5:$B$1264,P$3,'Datos - Temas'!$K$5:$K$1264,$A37)+COUNTIFS('Datos - Temas'!$C$5:$C$1264,"Ciencias",'Datos - Temas'!$B$5:$B$1264,P$3,'Datos - Temas'!$L$5:$L$1264,$A37)</f>
        <v/>
      </c>
      <c r="Q37" s="11">
        <f>COUNTIFS('Datos - Temas'!$C$5:$C$1264,"Ciencias",'Datos - Temas'!$B$5:$B$1264,Q$3,'Datos - Temas'!$K$5:$K$1264,$A37)+COUNTIFS('Datos - Temas'!$C$5:$C$1264,"Ciencias",'Datos - Temas'!$B$5:$B$1264,Q$3,'Datos - Temas'!$L$5:$L$1264,$A37)</f>
        <v/>
      </c>
      <c r="R37" s="11">
        <f>COUNTIFS('Datos - Temas'!$C$5:$C$1264,"Ciencias",'Datos - Temas'!$B$5:$B$1264,R$3,'Datos - Temas'!$K$5:$K$1264,$A37)+COUNTIFS('Datos - Temas'!$C$5:$C$1264,"Ciencias",'Datos - Temas'!$B$5:$B$1264,R$3,'Datos - Temas'!$L$5:$L$1264,$A37)</f>
        <v/>
      </c>
      <c r="S37" s="11">
        <f>COUNTIFS('Datos - Temas'!$C$5:$C$1264,"Ciencias",'Datos - Temas'!$B$5:$B$1264,S$3,'Datos - Temas'!$K$5:$K$1264,$A37)+COUNTIFS('Datos - Temas'!$C$5:$C$1264,"Ciencias",'Datos - Temas'!$B$5:$B$1264,S$3,'Datos - Temas'!$L$5:$L$1264,$A37)</f>
        <v/>
      </c>
      <c r="T37" s="11">
        <f>COUNTIFS('Datos - Temas'!$C$5:$C$1264,"Ciencias",'Datos - Temas'!$B$5:$B$1264,T$3,'Datos - Temas'!$K$5:$K$1264,$A37)+COUNTIFS('Datos - Temas'!$C$5:$C$1264,"Ciencias",'Datos - Temas'!$B$5:$B$1264,T$3,'Datos - Temas'!$L$5:$L$1264,$A37)</f>
        <v/>
      </c>
      <c r="U37" s="11">
        <f>COUNTIFS('Datos - Temas'!$C$5:$C$1264,"Ciencias",'Datos - Temas'!$B$5:$B$1264,U$3,'Datos - Temas'!$K$5:$K$1264,$A37)+COUNTIFS('Datos - Temas'!$C$5:$C$1264,"Ciencias",'Datos - Temas'!$B$5:$B$1264,U$3,'Datos - Temas'!$L$5:$L$1264,$A37)</f>
        <v/>
      </c>
      <c r="V37" s="11">
        <f>COUNTIFS('Datos - Temas'!$C$5:$C$1264,"Ciencias",'Datos - Temas'!$B$5:$B$1264,V$3,'Datos - Temas'!$K$5:$K$1264,$A37)+COUNTIFS('Datos - Temas'!$C$5:$C$1264,"Ciencias",'Datos - Temas'!$B$5:$B$1264,V$3,'Datos - Temas'!$L$5:$L$1264,$A37)</f>
        <v/>
      </c>
      <c r="W37" s="11">
        <f>COUNTIFS('Datos - Objetivos de países'!$B$5:$B$510,"Uruguay",'Datos - Objetivos de países'!$F$5:$F$510,W$3,'Datos - Objetivos de países'!$J$5:$J$510,$A37)+COUNTIFS('Datos - Objetivos de países'!$B$5:$B$510,"Uruguay",'Datos - Objetivos de países'!$F$5:$F$510,W$3,'Datos - Objetivos de países'!$K$5:$K$510,$A37)</f>
        <v/>
      </c>
      <c r="X37" s="11">
        <f>COUNTIFS('Datos - Objetivos de países'!$B$5:$B$510,"Uruguay",'Datos - Objetivos de países'!$F$5:$F$510,X$3,'Datos - Objetivos de países'!$J$5:$J$510,$A37)+COUNTIFS('Datos - Objetivos de países'!$B$5:$B$510,"Uruguay",'Datos - Objetivos de países'!$F$5:$F$510,X$3,'Datos - Objetivos de países'!$K$5:$K$510,$A37)</f>
        <v/>
      </c>
      <c r="Y37" s="11">
        <f>COUNTIFS('Datos - Objetivos de países'!$B$5:$B$510,"Uruguay",'Datos - Objetivos de países'!$F$5:$F$510,Y$3,'Datos - Objetivos de países'!$J$5:$J$510,$A37)+COUNTIFS('Datos - Objetivos de países'!$B$5:$B$510,"Uruguay",'Datos - Objetivos de países'!$F$5:$F$510,Y$3,'Datos - Objetivos de países'!$K$5:$K$510,$A37)</f>
        <v/>
      </c>
      <c r="Z37" s="11">
        <f>COUNTIFS('Datos - Objetivos de países'!$B$5:$B$510,"Uruguay",'Datos - Objetivos de países'!$F$5:$F$510,Z$3,'Datos - Objetivos de países'!$J$5:$J$510,$A37)+COUNTIFS('Datos - Objetivos de países'!$B$5:$B$510,"Uruguay",'Datos - Objetivos de países'!$F$5:$F$510,Z$3,'Datos - Objetivos de países'!$K$5:$K$510,$A37)</f>
        <v/>
      </c>
      <c r="AA37" s="11">
        <f>COUNTIFS('Datos - Objetivos de países'!$B$5:$B$510,"Uruguay",'Datos - Objetivos de países'!$F$5:$F$510,AA$3,'Datos - Objetivos de países'!$J$5:$J$510,$A37)+COUNTIFS('Datos - Objetivos de países'!$B$5:$B$510,"Uruguay",'Datos - Objetivos de países'!$F$5:$F$510,AA$3,'Datos - Objetivos de países'!$K$5:$K$510,$A37)</f>
        <v/>
      </c>
      <c r="AB37" s="11">
        <f>COUNTIFS('Datos - Objetivos de países'!$B$5:$B$510,"Uruguay",'Datos - Objetivos de países'!$F$5:$F$510,AB$3,'Datos - Objetivos de países'!$J$5:$J$510,$A37)+COUNTIFS('Datos - Objetivos de países'!$B$5:$B$510,"Uruguay",'Datos - Objetivos de países'!$F$5:$F$510,AB$3,'Datos - Objetivos de países'!$K$5:$K$510,$A37)</f>
        <v/>
      </c>
      <c r="AC37" s="11">
        <f>COUNTIFS('Datos - Objetivos de países'!$B$5:$B$510,"Uruguay",'Datos - Objetivos de países'!$F$5:$F$510,AC$3,'Datos - Objetivos de países'!$J$5:$J$510,$A37)+COUNTIFS('Datos - Objetivos de países'!$B$5:$B$510,"Uruguay",'Datos - Objetivos de países'!$F$5:$F$510,AC$3,'Datos - Objetivos de países'!$K$5:$K$510,$A37)</f>
        <v/>
      </c>
      <c r="AD37" s="11">
        <f>COUNTIFS('Datos - Objetivos de países'!$B$5:$B$510,"Uruguay",'Datos - Objetivos de países'!$F$5:$F$510,AD$3,'Datos - Objetivos de países'!$J$5:$J$510,$A37)+COUNTIFS('Datos - Objetivos de países'!$B$5:$B$510,"Uruguay",'Datos - Objetivos de países'!$F$5:$F$510,AD$3,'Datos - Objetivos de países'!$K$5:$K$510,$A37)</f>
        <v/>
      </c>
      <c r="AE37" s="11">
        <f>COUNTIFS('Datos - Objetivos de países'!$B$5:$B$510,"Uruguay",'Datos - Objetivos de países'!$F$5:$F$510,AE$3,'Datos - Objetivos de países'!$J$5:$J$510,$A37)+COUNTIFS('Datos - Objetivos de países'!$B$5:$B$510,"Uruguay",'Datos - Objetivos de países'!$F$5:$F$510,AE$3,'Datos - Objetivos de países'!$K$5:$K$510,$A37)</f>
        <v/>
      </c>
      <c r="AF37" s="11">
        <f>COUNTIFS('Datos - Objetivos de países'!$B$5:$B$510,"Colombia",'Datos - Objetivos de países'!$F$5:$F$510,AF$3,'Datos - Objetivos de países'!$J$5:$J$510,$A37)+COUNTIFS('Datos - Objetivos de países'!$B$5:$B$510,"Colombia",'Datos - Objetivos de países'!$F$5:$F$510,AF$3,'Datos - Objetivos de países'!$K$5:$K$510,$A37)</f>
        <v/>
      </c>
      <c r="AG37" s="11">
        <f>COUNTIFS('Datos - Objetivos de países'!$B$5:$B$510,"Colombia",'Datos - Objetivos de países'!$F$5:$F$510,AG$3,'Datos - Objetivos de países'!$J$5:$J$510,$A37)+COUNTIFS('Datos - Objetivos de países'!$B$5:$B$510,"Colombia",'Datos - Objetivos de países'!$F$5:$F$510,AG$3,'Datos - Objetivos de países'!$K$5:$K$510,$A37)</f>
        <v/>
      </c>
      <c r="AH37" s="11">
        <f>COUNTIFS('Datos - Objetivos de países'!$B$5:$B$510,"Colombia",'Datos - Objetivos de países'!$F$5:$F$510,AH$3,'Datos - Objetivos de países'!$J$5:$J$510,$A37)+COUNTIFS('Datos - Objetivos de países'!$B$5:$B$510,"Colombia",'Datos - Objetivos de países'!$F$5:$F$510,AH$3,'Datos - Objetivos de países'!$K$5:$K$510,$A37)</f>
        <v/>
      </c>
      <c r="AI37" s="11">
        <f>COUNTIFS('Datos - Objetivos de países'!$B$5:$B$510,"Colombia",'Datos - Objetivos de países'!$F$5:$F$510,AI$3,'Datos - Objetivos de países'!$J$5:$J$510,$A37)+COUNTIFS('Datos - Objetivos de países'!$B$5:$B$510,"Colombia",'Datos - Objetivos de países'!$F$5:$F$510,AI$3,'Datos - Objetivos de países'!$K$5:$K$510,$A37)</f>
        <v/>
      </c>
      <c r="AJ37" s="11">
        <f>COUNTIFS('Datos - Objetivos de países'!$B$5:$B$510,"Colombia",'Datos - Objetivos de países'!$F$5:$F$510,AJ$3,'Datos - Objetivos de países'!$J$5:$J$510,$A37)+COUNTIFS('Datos - Objetivos de países'!$B$5:$B$510,"Colombia",'Datos - Objetivos de países'!$F$5:$F$510,AJ$3,'Datos - Objetivos de países'!$K$5:$K$510,$A37)</f>
        <v/>
      </c>
      <c r="AK37" s="11">
        <f>COUNTIFS('Datos - Objetivos de países'!$B$5:$B$510,"Colombia",'Datos - Objetivos de países'!$F$5:$F$510,AK$3,'Datos - Objetivos de países'!$J$5:$J$510,$A37)+COUNTIFS('Datos - Objetivos de países'!$B$5:$B$510,"Colombia",'Datos - Objetivos de países'!$F$5:$F$510,AK$3,'Datos - Objetivos de países'!$K$5:$K$510,$A37)</f>
        <v/>
      </c>
      <c r="AL37" s="11">
        <f>COUNTIFS('Datos - Objetivos de países'!$B$5:$B$510,"Colombia",'Datos - Objetivos de países'!$F$5:$F$510,AL$3,'Datos - Objetivos de países'!$J$5:$J$510,$A37)+COUNTIFS('Datos - Objetivos de países'!$B$5:$B$510,"Colombia",'Datos - Objetivos de países'!$F$5:$F$510,AL$3,'Datos - Objetivos de países'!$K$5:$K$510,$A37)</f>
        <v/>
      </c>
      <c r="AM37" s="11">
        <f>COUNTIFS('Datos - Objetivos de países'!$B$5:$B$510,"Colombia",'Datos - Objetivos de países'!$F$5:$F$510,AM$3,'Datos - Objetivos de países'!$J$5:$J$510,$A37)+COUNTIFS('Datos - Objetivos de países'!$B$5:$B$510,"Colombia",'Datos - Objetivos de países'!$F$5:$F$510,AM$3,'Datos - Objetivos de países'!$K$5:$K$510,$A37)</f>
        <v/>
      </c>
      <c r="AN37" s="11">
        <f>COUNTIFS('Datos - Objetivos de países'!$B$5:$B$510,"Colombia",'Datos - Objetivos de países'!$F$5:$F$510,AN$3,'Datos - Objetivos de países'!$J$5:$J$510,$A37)+COUNTIFS('Datos - Objetivos de países'!$B$5:$B$510,"Colombia",'Datos - Objetivos de países'!$F$5:$F$510,AN$3,'Datos - Objetivos de países'!$K$5:$K$510,$A37)</f>
        <v/>
      </c>
      <c r="AO37" s="11">
        <f>COUNTIFS('Datos - Objetivos de países'!$B$5:$B$510,"Singapur",'Datos - Objetivos de países'!$F$5:$F$510,AO$3,'Datos - Objetivos de países'!$J$5:$J$510,$A37)+COUNTIFS('Datos - Objetivos de países'!$B$5:$B$510,"Singapur",'Datos - Objetivos de países'!$F$5:$F$510,AO$3,'Datos - Objetivos de países'!$K$5:$K$510,$A37)</f>
        <v/>
      </c>
      <c r="AP37" s="11">
        <f>COUNTIFS('Datos - Objetivos de países'!$B$5:$B$510,"Singapur",'Datos - Objetivos de países'!$F$5:$F$510,AP$3,'Datos - Objetivos de países'!$J$5:$J$510,$A37)+COUNTIFS('Datos - Objetivos de países'!$B$5:$B$510,"Singapur",'Datos - Objetivos de países'!$F$5:$F$510,AP$3,'Datos - Objetivos de países'!$K$5:$K$510,$A37)</f>
        <v/>
      </c>
      <c r="AQ37" s="11">
        <f>COUNTIFS('Datos - Objetivos de países'!$B$5:$B$510,"Singapur",'Datos - Objetivos de países'!$F$5:$F$510,AQ$3,'Datos - Objetivos de países'!$J$5:$J$510,$A37)+COUNTIFS('Datos - Objetivos de países'!$B$5:$B$510,"Singapur",'Datos - Objetivos de países'!$F$5:$F$510,AQ$3,'Datos - Objetivos de países'!$K$5:$K$510,$A37)</f>
        <v/>
      </c>
      <c r="AR37" s="11">
        <f>COUNTIFS('Datos - Objetivos de países'!$B$5:$B$510,"Singapur",'Datos - Objetivos de países'!$F$5:$F$510,AR$3,'Datos - Objetivos de países'!$J$5:$J$510,$A37)+COUNTIFS('Datos - Objetivos de países'!$B$5:$B$510,"Singapur",'Datos - Objetivos de países'!$F$5:$F$510,AR$3,'Datos - Objetivos de países'!$K$5:$K$510,$A37)</f>
        <v/>
      </c>
      <c r="AS37" s="11">
        <f>COUNTIFS('Datos - Objetivos de países'!$B$5:$B$510,"Singapur",'Datos - Objetivos de países'!$F$5:$F$510,AS$3,'Datos - Objetivos de países'!$J$5:$J$510,$A37)+COUNTIFS('Datos - Objetivos de países'!$B$5:$B$510,"Singapur",'Datos - Objetivos de países'!$F$5:$F$510,AS$3,'Datos - Objetivos de países'!$K$5:$K$510,$A37)</f>
        <v/>
      </c>
      <c r="AT37" s="11">
        <f>COUNTIFS('Datos - Objetivos de países'!$B$5:$B$510,"Singapur",'Datos - Objetivos de países'!$F$5:$F$510,AT$3,'Datos - Objetivos de países'!$J$5:$J$510,$A37)+COUNTIFS('Datos - Objetivos de países'!$B$5:$B$510,"Singapur",'Datos - Objetivos de países'!$F$5:$F$510,AT$3,'Datos - Objetivos de países'!$K$5:$K$510,$A37)</f>
        <v/>
      </c>
      <c r="AU37" s="11">
        <f>COUNTIFS('Datos - Objetivos de países'!$B$5:$B$510,"Singapur",'Datos - Objetivos de países'!$F$5:$F$510,AU$3,'Datos - Objetivos de países'!$J$5:$J$510,$A37)+COUNTIFS('Datos - Objetivos de países'!$B$5:$B$510,"Singapur",'Datos - Objetivos de países'!$F$5:$F$510,AU$3,'Datos - Objetivos de países'!$K$5:$K$510,$A37)</f>
        <v/>
      </c>
      <c r="AV37" s="11">
        <f>COUNTIFS('Datos - Objetivos de países'!$B$5:$B$510,"Singapur",'Datos - Objetivos de países'!$F$5:$F$510,AV$3,'Datos - Objetivos de países'!$J$5:$J$510,$A37)+COUNTIFS('Datos - Objetivos de países'!$B$5:$B$510,"Singapur",'Datos - Objetivos de países'!$F$5:$F$510,AV$3,'Datos - Objetivos de países'!$K$5:$K$510,$A37)</f>
        <v/>
      </c>
      <c r="AW37" s="11">
        <f>COUNTIFS('Datos - Objetivos de países'!$B$5:$B$510,"Singapur",'Datos - Objetivos de países'!$F$5:$F$510,AW$3,'Datos - Objetivos de países'!$J$5:$J$510,$A37)+COUNTIFS('Datos - Objetivos de países'!$B$5:$B$510,"Singapur",'Datos - Objetivos de países'!$F$5:$F$510,AW$3,'Datos - Objetivos de países'!$K$5:$K$510,$A37)</f>
        <v/>
      </c>
    </row>
    <row r="38">
      <c r="A38" s="30" t="inlineStr">
        <is>
          <t>T8_27-B1.2</t>
        </is>
      </c>
      <c r="B38" s="30" t="inlineStr">
        <is>
          <t>T8_27</t>
        </is>
      </c>
      <c r="C38" s="30" t="inlineStr">
        <is>
          <t>Biología</t>
        </is>
      </c>
      <c r="D38" s="30" t="inlineStr">
        <is>
          <t>Estructura y función de los principales sistemas de órganos</t>
        </is>
      </c>
      <c r="E38" s="30">
        <f>IFERROR(MAX($L$3,INDEX($N$3:$V$3,MATCH(TRUE,INDEX(N38:V38&gt;0,0),0))),"—")</f>
        <v/>
      </c>
      <c r="F38" s="30">
        <f>IFERROR(MAX($L$3,INDEX($W$3:$AE$3,MATCH(TRUE,INDEX(W38:AE38&gt;0,0),0))),"—")</f>
        <v/>
      </c>
      <c r="G38" s="30">
        <f>IFERROR(MAX($L$3,INDEX($AF$3:$AN$3,MATCH(TRUE,INDEX(AF38:AN38&gt;0,0),0))),"—")</f>
        <v/>
      </c>
      <c r="H38" s="30">
        <f>IFERROR(MAX($L$3,INDEX($AO$3:$AW$3,MATCH(TRUE,INDEX(AO38:AW38&gt;0,0),0))),"—")</f>
        <v/>
      </c>
      <c r="I38" s="36">
        <f>IF(L38=0,"—",MEDIAN(F38:H38))</f>
        <v/>
      </c>
      <c r="J38" s="36">
        <f>IF(OR(E38="—",I38="—"),"—",E38-I38)</f>
        <v/>
      </c>
      <c r="K38" s="19">
        <f>IF(E38="—",IF(L38=0,"Nadie lo trabaja","El Salvador no llega"),IF(L38=0,"Solo El Salvador",IF(J38&gt;0,"El Salvador llega más tarde",IF(J38&lt;0,"El Salvador va adelantado","Mismo grado"))))</f>
        <v/>
      </c>
      <c r="L38" s="30">
        <f>COUNT(F38:H38)</f>
        <v/>
      </c>
      <c r="N38" s="11">
        <f>COUNTIFS('Datos - Temas'!$C$5:$C$1264,"Ciencias",'Datos - Temas'!$B$5:$B$1264,N$3,'Datos - Temas'!$K$5:$K$1264,$A38)+COUNTIFS('Datos - Temas'!$C$5:$C$1264,"Ciencias",'Datos - Temas'!$B$5:$B$1264,N$3,'Datos - Temas'!$L$5:$L$1264,$A38)</f>
        <v/>
      </c>
      <c r="O38" s="11">
        <f>COUNTIFS('Datos - Temas'!$C$5:$C$1264,"Ciencias",'Datos - Temas'!$B$5:$B$1264,O$3,'Datos - Temas'!$K$5:$K$1264,$A38)+COUNTIFS('Datos - Temas'!$C$5:$C$1264,"Ciencias",'Datos - Temas'!$B$5:$B$1264,O$3,'Datos - Temas'!$L$5:$L$1264,$A38)</f>
        <v/>
      </c>
      <c r="P38" s="11">
        <f>COUNTIFS('Datos - Temas'!$C$5:$C$1264,"Ciencias",'Datos - Temas'!$B$5:$B$1264,P$3,'Datos - Temas'!$K$5:$K$1264,$A38)+COUNTIFS('Datos - Temas'!$C$5:$C$1264,"Ciencias",'Datos - Temas'!$B$5:$B$1264,P$3,'Datos - Temas'!$L$5:$L$1264,$A38)</f>
        <v/>
      </c>
      <c r="Q38" s="11">
        <f>COUNTIFS('Datos - Temas'!$C$5:$C$1264,"Ciencias",'Datos - Temas'!$B$5:$B$1264,Q$3,'Datos - Temas'!$K$5:$K$1264,$A38)+COUNTIFS('Datos - Temas'!$C$5:$C$1264,"Ciencias",'Datos - Temas'!$B$5:$B$1264,Q$3,'Datos - Temas'!$L$5:$L$1264,$A38)</f>
        <v/>
      </c>
      <c r="R38" s="11">
        <f>COUNTIFS('Datos - Temas'!$C$5:$C$1264,"Ciencias",'Datos - Temas'!$B$5:$B$1264,R$3,'Datos - Temas'!$K$5:$K$1264,$A38)+COUNTIFS('Datos - Temas'!$C$5:$C$1264,"Ciencias",'Datos - Temas'!$B$5:$B$1264,R$3,'Datos - Temas'!$L$5:$L$1264,$A38)</f>
        <v/>
      </c>
      <c r="S38" s="11">
        <f>COUNTIFS('Datos - Temas'!$C$5:$C$1264,"Ciencias",'Datos - Temas'!$B$5:$B$1264,S$3,'Datos - Temas'!$K$5:$K$1264,$A38)+COUNTIFS('Datos - Temas'!$C$5:$C$1264,"Ciencias",'Datos - Temas'!$B$5:$B$1264,S$3,'Datos - Temas'!$L$5:$L$1264,$A38)</f>
        <v/>
      </c>
      <c r="T38" s="11">
        <f>COUNTIFS('Datos - Temas'!$C$5:$C$1264,"Ciencias",'Datos - Temas'!$B$5:$B$1264,T$3,'Datos - Temas'!$K$5:$K$1264,$A38)+COUNTIFS('Datos - Temas'!$C$5:$C$1264,"Ciencias",'Datos - Temas'!$B$5:$B$1264,T$3,'Datos - Temas'!$L$5:$L$1264,$A38)</f>
        <v/>
      </c>
      <c r="U38" s="11">
        <f>COUNTIFS('Datos - Temas'!$C$5:$C$1264,"Ciencias",'Datos - Temas'!$B$5:$B$1264,U$3,'Datos - Temas'!$K$5:$K$1264,$A38)+COUNTIFS('Datos - Temas'!$C$5:$C$1264,"Ciencias",'Datos - Temas'!$B$5:$B$1264,U$3,'Datos - Temas'!$L$5:$L$1264,$A38)</f>
        <v/>
      </c>
      <c r="V38" s="11">
        <f>COUNTIFS('Datos - Temas'!$C$5:$C$1264,"Ciencias",'Datos - Temas'!$B$5:$B$1264,V$3,'Datos - Temas'!$K$5:$K$1264,$A38)+COUNTIFS('Datos - Temas'!$C$5:$C$1264,"Ciencias",'Datos - Temas'!$B$5:$B$1264,V$3,'Datos - Temas'!$L$5:$L$1264,$A38)</f>
        <v/>
      </c>
      <c r="W38" s="11">
        <f>COUNTIFS('Datos - Objetivos de países'!$B$5:$B$510,"Uruguay",'Datos - Objetivos de países'!$F$5:$F$510,W$3,'Datos - Objetivos de países'!$J$5:$J$510,$A38)+COUNTIFS('Datos - Objetivos de países'!$B$5:$B$510,"Uruguay",'Datos - Objetivos de países'!$F$5:$F$510,W$3,'Datos - Objetivos de países'!$K$5:$K$510,$A38)</f>
        <v/>
      </c>
      <c r="X38" s="11">
        <f>COUNTIFS('Datos - Objetivos de países'!$B$5:$B$510,"Uruguay",'Datos - Objetivos de países'!$F$5:$F$510,X$3,'Datos - Objetivos de países'!$J$5:$J$510,$A38)+COUNTIFS('Datos - Objetivos de países'!$B$5:$B$510,"Uruguay",'Datos - Objetivos de países'!$F$5:$F$510,X$3,'Datos - Objetivos de países'!$K$5:$K$510,$A38)</f>
        <v/>
      </c>
      <c r="Y38" s="11">
        <f>COUNTIFS('Datos - Objetivos de países'!$B$5:$B$510,"Uruguay",'Datos - Objetivos de países'!$F$5:$F$510,Y$3,'Datos - Objetivos de países'!$J$5:$J$510,$A38)+COUNTIFS('Datos - Objetivos de países'!$B$5:$B$510,"Uruguay",'Datos - Objetivos de países'!$F$5:$F$510,Y$3,'Datos - Objetivos de países'!$K$5:$K$510,$A38)</f>
        <v/>
      </c>
      <c r="Z38" s="11">
        <f>COUNTIFS('Datos - Objetivos de países'!$B$5:$B$510,"Uruguay",'Datos - Objetivos de países'!$F$5:$F$510,Z$3,'Datos - Objetivos de países'!$J$5:$J$510,$A38)+COUNTIFS('Datos - Objetivos de países'!$B$5:$B$510,"Uruguay",'Datos - Objetivos de países'!$F$5:$F$510,Z$3,'Datos - Objetivos de países'!$K$5:$K$510,$A38)</f>
        <v/>
      </c>
      <c r="AA38" s="11">
        <f>COUNTIFS('Datos - Objetivos de países'!$B$5:$B$510,"Uruguay",'Datos - Objetivos de países'!$F$5:$F$510,AA$3,'Datos - Objetivos de países'!$J$5:$J$510,$A38)+COUNTIFS('Datos - Objetivos de países'!$B$5:$B$510,"Uruguay",'Datos - Objetivos de países'!$F$5:$F$510,AA$3,'Datos - Objetivos de países'!$K$5:$K$510,$A38)</f>
        <v/>
      </c>
      <c r="AB38" s="11">
        <f>COUNTIFS('Datos - Objetivos de países'!$B$5:$B$510,"Uruguay",'Datos - Objetivos de países'!$F$5:$F$510,AB$3,'Datos - Objetivos de países'!$J$5:$J$510,$A38)+COUNTIFS('Datos - Objetivos de países'!$B$5:$B$510,"Uruguay",'Datos - Objetivos de países'!$F$5:$F$510,AB$3,'Datos - Objetivos de países'!$K$5:$K$510,$A38)</f>
        <v/>
      </c>
      <c r="AC38" s="11">
        <f>COUNTIFS('Datos - Objetivos de países'!$B$5:$B$510,"Uruguay",'Datos - Objetivos de países'!$F$5:$F$510,AC$3,'Datos - Objetivos de países'!$J$5:$J$510,$A38)+COUNTIFS('Datos - Objetivos de países'!$B$5:$B$510,"Uruguay",'Datos - Objetivos de países'!$F$5:$F$510,AC$3,'Datos - Objetivos de países'!$K$5:$K$510,$A38)</f>
        <v/>
      </c>
      <c r="AD38" s="11">
        <f>COUNTIFS('Datos - Objetivos de países'!$B$5:$B$510,"Uruguay",'Datos - Objetivos de países'!$F$5:$F$510,AD$3,'Datos - Objetivos de países'!$J$5:$J$510,$A38)+COUNTIFS('Datos - Objetivos de países'!$B$5:$B$510,"Uruguay",'Datos - Objetivos de países'!$F$5:$F$510,AD$3,'Datos - Objetivos de países'!$K$5:$K$510,$A38)</f>
        <v/>
      </c>
      <c r="AE38" s="11">
        <f>COUNTIFS('Datos - Objetivos de países'!$B$5:$B$510,"Uruguay",'Datos - Objetivos de países'!$F$5:$F$510,AE$3,'Datos - Objetivos de países'!$J$5:$J$510,$A38)+COUNTIFS('Datos - Objetivos de países'!$B$5:$B$510,"Uruguay",'Datos - Objetivos de países'!$F$5:$F$510,AE$3,'Datos - Objetivos de países'!$K$5:$K$510,$A38)</f>
        <v/>
      </c>
      <c r="AF38" s="11">
        <f>COUNTIFS('Datos - Objetivos de países'!$B$5:$B$510,"Colombia",'Datos - Objetivos de países'!$F$5:$F$510,AF$3,'Datos - Objetivos de países'!$J$5:$J$510,$A38)+COUNTIFS('Datos - Objetivos de países'!$B$5:$B$510,"Colombia",'Datos - Objetivos de países'!$F$5:$F$510,AF$3,'Datos - Objetivos de países'!$K$5:$K$510,$A38)</f>
        <v/>
      </c>
      <c r="AG38" s="11">
        <f>COUNTIFS('Datos - Objetivos de países'!$B$5:$B$510,"Colombia",'Datos - Objetivos de países'!$F$5:$F$510,AG$3,'Datos - Objetivos de países'!$J$5:$J$510,$A38)+COUNTIFS('Datos - Objetivos de países'!$B$5:$B$510,"Colombia",'Datos - Objetivos de países'!$F$5:$F$510,AG$3,'Datos - Objetivos de países'!$K$5:$K$510,$A38)</f>
        <v/>
      </c>
      <c r="AH38" s="11">
        <f>COUNTIFS('Datos - Objetivos de países'!$B$5:$B$510,"Colombia",'Datos - Objetivos de países'!$F$5:$F$510,AH$3,'Datos - Objetivos de países'!$J$5:$J$510,$A38)+COUNTIFS('Datos - Objetivos de países'!$B$5:$B$510,"Colombia",'Datos - Objetivos de países'!$F$5:$F$510,AH$3,'Datos - Objetivos de países'!$K$5:$K$510,$A38)</f>
        <v/>
      </c>
      <c r="AI38" s="11">
        <f>COUNTIFS('Datos - Objetivos de países'!$B$5:$B$510,"Colombia",'Datos - Objetivos de países'!$F$5:$F$510,AI$3,'Datos - Objetivos de países'!$J$5:$J$510,$A38)+COUNTIFS('Datos - Objetivos de países'!$B$5:$B$510,"Colombia",'Datos - Objetivos de países'!$F$5:$F$510,AI$3,'Datos - Objetivos de países'!$K$5:$K$510,$A38)</f>
        <v/>
      </c>
      <c r="AJ38" s="11">
        <f>COUNTIFS('Datos - Objetivos de países'!$B$5:$B$510,"Colombia",'Datos - Objetivos de países'!$F$5:$F$510,AJ$3,'Datos - Objetivos de países'!$J$5:$J$510,$A38)+COUNTIFS('Datos - Objetivos de países'!$B$5:$B$510,"Colombia",'Datos - Objetivos de países'!$F$5:$F$510,AJ$3,'Datos - Objetivos de países'!$K$5:$K$510,$A38)</f>
        <v/>
      </c>
      <c r="AK38" s="11">
        <f>COUNTIFS('Datos - Objetivos de países'!$B$5:$B$510,"Colombia",'Datos - Objetivos de países'!$F$5:$F$510,AK$3,'Datos - Objetivos de países'!$J$5:$J$510,$A38)+COUNTIFS('Datos - Objetivos de países'!$B$5:$B$510,"Colombia",'Datos - Objetivos de países'!$F$5:$F$510,AK$3,'Datos - Objetivos de países'!$K$5:$K$510,$A38)</f>
        <v/>
      </c>
      <c r="AL38" s="11">
        <f>COUNTIFS('Datos - Objetivos de países'!$B$5:$B$510,"Colombia",'Datos - Objetivos de países'!$F$5:$F$510,AL$3,'Datos - Objetivos de países'!$J$5:$J$510,$A38)+COUNTIFS('Datos - Objetivos de países'!$B$5:$B$510,"Colombia",'Datos - Objetivos de países'!$F$5:$F$510,AL$3,'Datos - Objetivos de países'!$K$5:$K$510,$A38)</f>
        <v/>
      </c>
      <c r="AM38" s="11">
        <f>COUNTIFS('Datos - Objetivos de países'!$B$5:$B$510,"Colombia",'Datos - Objetivos de países'!$F$5:$F$510,AM$3,'Datos - Objetivos de países'!$J$5:$J$510,$A38)+COUNTIFS('Datos - Objetivos de países'!$B$5:$B$510,"Colombia",'Datos - Objetivos de países'!$F$5:$F$510,AM$3,'Datos - Objetivos de países'!$K$5:$K$510,$A38)</f>
        <v/>
      </c>
      <c r="AN38" s="11">
        <f>COUNTIFS('Datos - Objetivos de países'!$B$5:$B$510,"Colombia",'Datos - Objetivos de países'!$F$5:$F$510,AN$3,'Datos - Objetivos de países'!$J$5:$J$510,$A38)+COUNTIFS('Datos - Objetivos de países'!$B$5:$B$510,"Colombia",'Datos - Objetivos de países'!$F$5:$F$510,AN$3,'Datos - Objetivos de países'!$K$5:$K$510,$A38)</f>
        <v/>
      </c>
      <c r="AO38" s="11">
        <f>COUNTIFS('Datos - Objetivos de países'!$B$5:$B$510,"Singapur",'Datos - Objetivos de países'!$F$5:$F$510,AO$3,'Datos - Objetivos de países'!$J$5:$J$510,$A38)+COUNTIFS('Datos - Objetivos de países'!$B$5:$B$510,"Singapur",'Datos - Objetivos de países'!$F$5:$F$510,AO$3,'Datos - Objetivos de países'!$K$5:$K$510,$A38)</f>
        <v/>
      </c>
      <c r="AP38" s="11">
        <f>COUNTIFS('Datos - Objetivos de países'!$B$5:$B$510,"Singapur",'Datos - Objetivos de países'!$F$5:$F$510,AP$3,'Datos - Objetivos de países'!$J$5:$J$510,$A38)+COUNTIFS('Datos - Objetivos de países'!$B$5:$B$510,"Singapur",'Datos - Objetivos de países'!$F$5:$F$510,AP$3,'Datos - Objetivos de países'!$K$5:$K$510,$A38)</f>
        <v/>
      </c>
      <c r="AQ38" s="11">
        <f>COUNTIFS('Datos - Objetivos de países'!$B$5:$B$510,"Singapur",'Datos - Objetivos de países'!$F$5:$F$510,AQ$3,'Datos - Objetivos de países'!$J$5:$J$510,$A38)+COUNTIFS('Datos - Objetivos de países'!$B$5:$B$510,"Singapur",'Datos - Objetivos de países'!$F$5:$F$510,AQ$3,'Datos - Objetivos de países'!$K$5:$K$510,$A38)</f>
        <v/>
      </c>
      <c r="AR38" s="11">
        <f>COUNTIFS('Datos - Objetivos de países'!$B$5:$B$510,"Singapur",'Datos - Objetivos de países'!$F$5:$F$510,AR$3,'Datos - Objetivos de países'!$J$5:$J$510,$A38)+COUNTIFS('Datos - Objetivos de países'!$B$5:$B$510,"Singapur",'Datos - Objetivos de países'!$F$5:$F$510,AR$3,'Datos - Objetivos de países'!$K$5:$K$510,$A38)</f>
        <v/>
      </c>
      <c r="AS38" s="11">
        <f>COUNTIFS('Datos - Objetivos de países'!$B$5:$B$510,"Singapur",'Datos - Objetivos de países'!$F$5:$F$510,AS$3,'Datos - Objetivos de países'!$J$5:$J$510,$A38)+COUNTIFS('Datos - Objetivos de países'!$B$5:$B$510,"Singapur",'Datos - Objetivos de países'!$F$5:$F$510,AS$3,'Datos - Objetivos de países'!$K$5:$K$510,$A38)</f>
        <v/>
      </c>
      <c r="AT38" s="11">
        <f>COUNTIFS('Datos - Objetivos de países'!$B$5:$B$510,"Singapur",'Datos - Objetivos de países'!$F$5:$F$510,AT$3,'Datos - Objetivos de países'!$J$5:$J$510,$A38)+COUNTIFS('Datos - Objetivos de países'!$B$5:$B$510,"Singapur",'Datos - Objetivos de países'!$F$5:$F$510,AT$3,'Datos - Objetivos de países'!$K$5:$K$510,$A38)</f>
        <v/>
      </c>
      <c r="AU38" s="11">
        <f>COUNTIFS('Datos - Objetivos de países'!$B$5:$B$510,"Singapur",'Datos - Objetivos de países'!$F$5:$F$510,AU$3,'Datos - Objetivos de países'!$J$5:$J$510,$A38)+COUNTIFS('Datos - Objetivos de países'!$B$5:$B$510,"Singapur",'Datos - Objetivos de países'!$F$5:$F$510,AU$3,'Datos - Objetivos de países'!$K$5:$K$510,$A38)</f>
        <v/>
      </c>
      <c r="AV38" s="11">
        <f>COUNTIFS('Datos - Objetivos de países'!$B$5:$B$510,"Singapur",'Datos - Objetivos de países'!$F$5:$F$510,AV$3,'Datos - Objetivos de países'!$J$5:$J$510,$A38)+COUNTIFS('Datos - Objetivos de países'!$B$5:$B$510,"Singapur",'Datos - Objetivos de países'!$F$5:$F$510,AV$3,'Datos - Objetivos de países'!$K$5:$K$510,$A38)</f>
        <v/>
      </c>
      <c r="AW38" s="11">
        <f>COUNTIFS('Datos - Objetivos de países'!$B$5:$B$510,"Singapur",'Datos - Objetivos de países'!$F$5:$F$510,AW$3,'Datos - Objetivos de países'!$J$5:$J$510,$A38)+COUNTIFS('Datos - Objetivos de países'!$B$5:$B$510,"Singapur",'Datos - Objetivos de países'!$F$5:$F$510,AW$3,'Datos - Objetivos de países'!$K$5:$K$510,$A38)</f>
        <v/>
      </c>
    </row>
    <row r="39">
      <c r="A39" s="30" t="inlineStr">
        <is>
          <t>T8_27-B1.3</t>
        </is>
      </c>
      <c r="B39" s="30" t="inlineStr">
        <is>
          <t>T8_27</t>
        </is>
      </c>
      <c r="C39" s="30" t="inlineStr">
        <is>
          <t>Biología</t>
        </is>
      </c>
      <c r="D39" s="30" t="inlineStr">
        <is>
          <t>Procesos fisiológicos en plantas y animales</t>
        </is>
      </c>
      <c r="E39" s="30">
        <f>IFERROR(MAX($L$3,INDEX($N$3:$V$3,MATCH(TRUE,INDEX(N39:V39&gt;0,0),0))),"—")</f>
        <v/>
      </c>
      <c r="F39" s="30">
        <f>IFERROR(MAX($L$3,INDEX($W$3:$AE$3,MATCH(TRUE,INDEX(W39:AE39&gt;0,0),0))),"—")</f>
        <v/>
      </c>
      <c r="G39" s="30">
        <f>IFERROR(MAX($L$3,INDEX($AF$3:$AN$3,MATCH(TRUE,INDEX(AF39:AN39&gt;0,0),0))),"—")</f>
        <v/>
      </c>
      <c r="H39" s="30">
        <f>IFERROR(MAX($L$3,INDEX($AO$3:$AW$3,MATCH(TRUE,INDEX(AO39:AW39&gt;0,0),0))),"—")</f>
        <v/>
      </c>
      <c r="I39" s="36">
        <f>IF(L39=0,"—",MEDIAN(F39:H39))</f>
        <v/>
      </c>
      <c r="J39" s="36">
        <f>IF(OR(E39="—",I39="—"),"—",E39-I39)</f>
        <v/>
      </c>
      <c r="K39" s="19">
        <f>IF(E39="—",IF(L39=0,"Nadie lo trabaja","El Salvador no llega"),IF(L39=0,"Solo El Salvador",IF(J39&gt;0,"El Salvador llega más tarde",IF(J39&lt;0,"El Salvador va adelantado","Mismo grado"))))</f>
        <v/>
      </c>
      <c r="L39" s="30">
        <f>COUNT(F39:H39)</f>
        <v/>
      </c>
      <c r="N39" s="11">
        <f>COUNTIFS('Datos - Temas'!$C$5:$C$1264,"Ciencias",'Datos - Temas'!$B$5:$B$1264,N$3,'Datos - Temas'!$K$5:$K$1264,$A39)+COUNTIFS('Datos - Temas'!$C$5:$C$1264,"Ciencias",'Datos - Temas'!$B$5:$B$1264,N$3,'Datos - Temas'!$L$5:$L$1264,$A39)</f>
        <v/>
      </c>
      <c r="O39" s="11">
        <f>COUNTIFS('Datos - Temas'!$C$5:$C$1264,"Ciencias",'Datos - Temas'!$B$5:$B$1264,O$3,'Datos - Temas'!$K$5:$K$1264,$A39)+COUNTIFS('Datos - Temas'!$C$5:$C$1264,"Ciencias",'Datos - Temas'!$B$5:$B$1264,O$3,'Datos - Temas'!$L$5:$L$1264,$A39)</f>
        <v/>
      </c>
      <c r="P39" s="11">
        <f>COUNTIFS('Datos - Temas'!$C$5:$C$1264,"Ciencias",'Datos - Temas'!$B$5:$B$1264,P$3,'Datos - Temas'!$K$5:$K$1264,$A39)+COUNTIFS('Datos - Temas'!$C$5:$C$1264,"Ciencias",'Datos - Temas'!$B$5:$B$1264,P$3,'Datos - Temas'!$L$5:$L$1264,$A39)</f>
        <v/>
      </c>
      <c r="Q39" s="11">
        <f>COUNTIFS('Datos - Temas'!$C$5:$C$1264,"Ciencias",'Datos - Temas'!$B$5:$B$1264,Q$3,'Datos - Temas'!$K$5:$K$1264,$A39)+COUNTIFS('Datos - Temas'!$C$5:$C$1264,"Ciencias",'Datos - Temas'!$B$5:$B$1264,Q$3,'Datos - Temas'!$L$5:$L$1264,$A39)</f>
        <v/>
      </c>
      <c r="R39" s="11">
        <f>COUNTIFS('Datos - Temas'!$C$5:$C$1264,"Ciencias",'Datos - Temas'!$B$5:$B$1264,R$3,'Datos - Temas'!$K$5:$K$1264,$A39)+COUNTIFS('Datos - Temas'!$C$5:$C$1264,"Ciencias",'Datos - Temas'!$B$5:$B$1264,R$3,'Datos - Temas'!$L$5:$L$1264,$A39)</f>
        <v/>
      </c>
      <c r="S39" s="11">
        <f>COUNTIFS('Datos - Temas'!$C$5:$C$1264,"Ciencias",'Datos - Temas'!$B$5:$B$1264,S$3,'Datos - Temas'!$K$5:$K$1264,$A39)+COUNTIFS('Datos - Temas'!$C$5:$C$1264,"Ciencias",'Datos - Temas'!$B$5:$B$1264,S$3,'Datos - Temas'!$L$5:$L$1264,$A39)</f>
        <v/>
      </c>
      <c r="T39" s="11">
        <f>COUNTIFS('Datos - Temas'!$C$5:$C$1264,"Ciencias",'Datos - Temas'!$B$5:$B$1264,T$3,'Datos - Temas'!$K$5:$K$1264,$A39)+COUNTIFS('Datos - Temas'!$C$5:$C$1264,"Ciencias",'Datos - Temas'!$B$5:$B$1264,T$3,'Datos - Temas'!$L$5:$L$1264,$A39)</f>
        <v/>
      </c>
      <c r="U39" s="11">
        <f>COUNTIFS('Datos - Temas'!$C$5:$C$1264,"Ciencias",'Datos - Temas'!$B$5:$B$1264,U$3,'Datos - Temas'!$K$5:$K$1264,$A39)+COUNTIFS('Datos - Temas'!$C$5:$C$1264,"Ciencias",'Datos - Temas'!$B$5:$B$1264,U$3,'Datos - Temas'!$L$5:$L$1264,$A39)</f>
        <v/>
      </c>
      <c r="V39" s="11">
        <f>COUNTIFS('Datos - Temas'!$C$5:$C$1264,"Ciencias",'Datos - Temas'!$B$5:$B$1264,V$3,'Datos - Temas'!$K$5:$K$1264,$A39)+COUNTIFS('Datos - Temas'!$C$5:$C$1264,"Ciencias",'Datos - Temas'!$B$5:$B$1264,V$3,'Datos - Temas'!$L$5:$L$1264,$A39)</f>
        <v/>
      </c>
      <c r="W39" s="11">
        <f>COUNTIFS('Datos - Objetivos de países'!$B$5:$B$510,"Uruguay",'Datos - Objetivos de países'!$F$5:$F$510,W$3,'Datos - Objetivos de países'!$J$5:$J$510,$A39)+COUNTIFS('Datos - Objetivos de países'!$B$5:$B$510,"Uruguay",'Datos - Objetivos de países'!$F$5:$F$510,W$3,'Datos - Objetivos de países'!$K$5:$K$510,$A39)</f>
        <v/>
      </c>
      <c r="X39" s="11">
        <f>COUNTIFS('Datos - Objetivos de países'!$B$5:$B$510,"Uruguay",'Datos - Objetivos de países'!$F$5:$F$510,X$3,'Datos - Objetivos de países'!$J$5:$J$510,$A39)+COUNTIFS('Datos - Objetivos de países'!$B$5:$B$510,"Uruguay",'Datos - Objetivos de países'!$F$5:$F$510,X$3,'Datos - Objetivos de países'!$K$5:$K$510,$A39)</f>
        <v/>
      </c>
      <c r="Y39" s="11">
        <f>COUNTIFS('Datos - Objetivos de países'!$B$5:$B$510,"Uruguay",'Datos - Objetivos de países'!$F$5:$F$510,Y$3,'Datos - Objetivos de países'!$J$5:$J$510,$A39)+COUNTIFS('Datos - Objetivos de países'!$B$5:$B$510,"Uruguay",'Datos - Objetivos de países'!$F$5:$F$510,Y$3,'Datos - Objetivos de países'!$K$5:$K$510,$A39)</f>
        <v/>
      </c>
      <c r="Z39" s="11">
        <f>COUNTIFS('Datos - Objetivos de países'!$B$5:$B$510,"Uruguay",'Datos - Objetivos de países'!$F$5:$F$510,Z$3,'Datos - Objetivos de países'!$J$5:$J$510,$A39)+COUNTIFS('Datos - Objetivos de países'!$B$5:$B$510,"Uruguay",'Datos - Objetivos de países'!$F$5:$F$510,Z$3,'Datos - Objetivos de países'!$K$5:$K$510,$A39)</f>
        <v/>
      </c>
      <c r="AA39" s="11">
        <f>COUNTIFS('Datos - Objetivos de países'!$B$5:$B$510,"Uruguay",'Datos - Objetivos de países'!$F$5:$F$510,AA$3,'Datos - Objetivos de países'!$J$5:$J$510,$A39)+COUNTIFS('Datos - Objetivos de países'!$B$5:$B$510,"Uruguay",'Datos - Objetivos de países'!$F$5:$F$510,AA$3,'Datos - Objetivos de países'!$K$5:$K$510,$A39)</f>
        <v/>
      </c>
      <c r="AB39" s="11">
        <f>COUNTIFS('Datos - Objetivos de países'!$B$5:$B$510,"Uruguay",'Datos - Objetivos de países'!$F$5:$F$510,AB$3,'Datos - Objetivos de países'!$J$5:$J$510,$A39)+COUNTIFS('Datos - Objetivos de países'!$B$5:$B$510,"Uruguay",'Datos - Objetivos de países'!$F$5:$F$510,AB$3,'Datos - Objetivos de países'!$K$5:$K$510,$A39)</f>
        <v/>
      </c>
      <c r="AC39" s="11">
        <f>COUNTIFS('Datos - Objetivos de países'!$B$5:$B$510,"Uruguay",'Datos - Objetivos de países'!$F$5:$F$510,AC$3,'Datos - Objetivos de países'!$J$5:$J$510,$A39)+COUNTIFS('Datos - Objetivos de países'!$B$5:$B$510,"Uruguay",'Datos - Objetivos de países'!$F$5:$F$510,AC$3,'Datos - Objetivos de países'!$K$5:$K$510,$A39)</f>
        <v/>
      </c>
      <c r="AD39" s="11">
        <f>COUNTIFS('Datos - Objetivos de países'!$B$5:$B$510,"Uruguay",'Datos - Objetivos de países'!$F$5:$F$510,AD$3,'Datos - Objetivos de países'!$J$5:$J$510,$A39)+COUNTIFS('Datos - Objetivos de países'!$B$5:$B$510,"Uruguay",'Datos - Objetivos de países'!$F$5:$F$510,AD$3,'Datos - Objetivos de países'!$K$5:$K$510,$A39)</f>
        <v/>
      </c>
      <c r="AE39" s="11">
        <f>COUNTIFS('Datos - Objetivos de países'!$B$5:$B$510,"Uruguay",'Datos - Objetivos de países'!$F$5:$F$510,AE$3,'Datos - Objetivos de países'!$J$5:$J$510,$A39)+COUNTIFS('Datos - Objetivos de países'!$B$5:$B$510,"Uruguay",'Datos - Objetivos de países'!$F$5:$F$510,AE$3,'Datos - Objetivos de países'!$K$5:$K$510,$A39)</f>
        <v/>
      </c>
      <c r="AF39" s="11">
        <f>COUNTIFS('Datos - Objetivos de países'!$B$5:$B$510,"Colombia",'Datos - Objetivos de países'!$F$5:$F$510,AF$3,'Datos - Objetivos de países'!$J$5:$J$510,$A39)+COUNTIFS('Datos - Objetivos de países'!$B$5:$B$510,"Colombia",'Datos - Objetivos de países'!$F$5:$F$510,AF$3,'Datos - Objetivos de países'!$K$5:$K$510,$A39)</f>
        <v/>
      </c>
      <c r="AG39" s="11">
        <f>COUNTIFS('Datos - Objetivos de países'!$B$5:$B$510,"Colombia",'Datos - Objetivos de países'!$F$5:$F$510,AG$3,'Datos - Objetivos de países'!$J$5:$J$510,$A39)+COUNTIFS('Datos - Objetivos de países'!$B$5:$B$510,"Colombia",'Datos - Objetivos de países'!$F$5:$F$510,AG$3,'Datos - Objetivos de países'!$K$5:$K$510,$A39)</f>
        <v/>
      </c>
      <c r="AH39" s="11">
        <f>COUNTIFS('Datos - Objetivos de países'!$B$5:$B$510,"Colombia",'Datos - Objetivos de países'!$F$5:$F$510,AH$3,'Datos - Objetivos de países'!$J$5:$J$510,$A39)+COUNTIFS('Datos - Objetivos de países'!$B$5:$B$510,"Colombia",'Datos - Objetivos de países'!$F$5:$F$510,AH$3,'Datos - Objetivos de países'!$K$5:$K$510,$A39)</f>
        <v/>
      </c>
      <c r="AI39" s="11">
        <f>COUNTIFS('Datos - Objetivos de países'!$B$5:$B$510,"Colombia",'Datos - Objetivos de países'!$F$5:$F$510,AI$3,'Datos - Objetivos de países'!$J$5:$J$510,$A39)+COUNTIFS('Datos - Objetivos de países'!$B$5:$B$510,"Colombia",'Datos - Objetivos de países'!$F$5:$F$510,AI$3,'Datos - Objetivos de países'!$K$5:$K$510,$A39)</f>
        <v/>
      </c>
      <c r="AJ39" s="11">
        <f>COUNTIFS('Datos - Objetivos de países'!$B$5:$B$510,"Colombia",'Datos - Objetivos de países'!$F$5:$F$510,AJ$3,'Datos - Objetivos de países'!$J$5:$J$510,$A39)+COUNTIFS('Datos - Objetivos de países'!$B$5:$B$510,"Colombia",'Datos - Objetivos de países'!$F$5:$F$510,AJ$3,'Datos - Objetivos de países'!$K$5:$K$510,$A39)</f>
        <v/>
      </c>
      <c r="AK39" s="11">
        <f>COUNTIFS('Datos - Objetivos de países'!$B$5:$B$510,"Colombia",'Datos - Objetivos de países'!$F$5:$F$510,AK$3,'Datos - Objetivos de países'!$J$5:$J$510,$A39)+COUNTIFS('Datos - Objetivos de países'!$B$5:$B$510,"Colombia",'Datos - Objetivos de países'!$F$5:$F$510,AK$3,'Datos - Objetivos de países'!$K$5:$K$510,$A39)</f>
        <v/>
      </c>
      <c r="AL39" s="11">
        <f>COUNTIFS('Datos - Objetivos de países'!$B$5:$B$510,"Colombia",'Datos - Objetivos de países'!$F$5:$F$510,AL$3,'Datos - Objetivos de países'!$J$5:$J$510,$A39)+COUNTIFS('Datos - Objetivos de países'!$B$5:$B$510,"Colombia",'Datos - Objetivos de países'!$F$5:$F$510,AL$3,'Datos - Objetivos de países'!$K$5:$K$510,$A39)</f>
        <v/>
      </c>
      <c r="AM39" s="11">
        <f>COUNTIFS('Datos - Objetivos de países'!$B$5:$B$510,"Colombia",'Datos - Objetivos de países'!$F$5:$F$510,AM$3,'Datos - Objetivos de países'!$J$5:$J$510,$A39)+COUNTIFS('Datos - Objetivos de países'!$B$5:$B$510,"Colombia",'Datos - Objetivos de países'!$F$5:$F$510,AM$3,'Datos - Objetivos de países'!$K$5:$K$510,$A39)</f>
        <v/>
      </c>
      <c r="AN39" s="11">
        <f>COUNTIFS('Datos - Objetivos de países'!$B$5:$B$510,"Colombia",'Datos - Objetivos de países'!$F$5:$F$510,AN$3,'Datos - Objetivos de países'!$J$5:$J$510,$A39)+COUNTIFS('Datos - Objetivos de países'!$B$5:$B$510,"Colombia",'Datos - Objetivos de países'!$F$5:$F$510,AN$3,'Datos - Objetivos de países'!$K$5:$K$510,$A39)</f>
        <v/>
      </c>
      <c r="AO39" s="11">
        <f>COUNTIFS('Datos - Objetivos de países'!$B$5:$B$510,"Singapur",'Datos - Objetivos de países'!$F$5:$F$510,AO$3,'Datos - Objetivos de países'!$J$5:$J$510,$A39)+COUNTIFS('Datos - Objetivos de países'!$B$5:$B$510,"Singapur",'Datos - Objetivos de países'!$F$5:$F$510,AO$3,'Datos - Objetivos de países'!$K$5:$K$510,$A39)</f>
        <v/>
      </c>
      <c r="AP39" s="11">
        <f>COUNTIFS('Datos - Objetivos de países'!$B$5:$B$510,"Singapur",'Datos - Objetivos de países'!$F$5:$F$510,AP$3,'Datos - Objetivos de países'!$J$5:$J$510,$A39)+COUNTIFS('Datos - Objetivos de países'!$B$5:$B$510,"Singapur",'Datos - Objetivos de países'!$F$5:$F$510,AP$3,'Datos - Objetivos de países'!$K$5:$K$510,$A39)</f>
        <v/>
      </c>
      <c r="AQ39" s="11">
        <f>COUNTIFS('Datos - Objetivos de países'!$B$5:$B$510,"Singapur",'Datos - Objetivos de países'!$F$5:$F$510,AQ$3,'Datos - Objetivos de países'!$J$5:$J$510,$A39)+COUNTIFS('Datos - Objetivos de países'!$B$5:$B$510,"Singapur",'Datos - Objetivos de países'!$F$5:$F$510,AQ$3,'Datos - Objetivos de países'!$K$5:$K$510,$A39)</f>
        <v/>
      </c>
      <c r="AR39" s="11">
        <f>COUNTIFS('Datos - Objetivos de países'!$B$5:$B$510,"Singapur",'Datos - Objetivos de países'!$F$5:$F$510,AR$3,'Datos - Objetivos de países'!$J$5:$J$510,$A39)+COUNTIFS('Datos - Objetivos de países'!$B$5:$B$510,"Singapur",'Datos - Objetivos de países'!$F$5:$F$510,AR$3,'Datos - Objetivos de países'!$K$5:$K$510,$A39)</f>
        <v/>
      </c>
      <c r="AS39" s="11">
        <f>COUNTIFS('Datos - Objetivos de países'!$B$5:$B$510,"Singapur",'Datos - Objetivos de países'!$F$5:$F$510,AS$3,'Datos - Objetivos de países'!$J$5:$J$510,$A39)+COUNTIFS('Datos - Objetivos de países'!$B$5:$B$510,"Singapur",'Datos - Objetivos de países'!$F$5:$F$510,AS$3,'Datos - Objetivos de países'!$K$5:$K$510,$A39)</f>
        <v/>
      </c>
      <c r="AT39" s="11">
        <f>COUNTIFS('Datos - Objetivos de países'!$B$5:$B$510,"Singapur",'Datos - Objetivos de países'!$F$5:$F$510,AT$3,'Datos - Objetivos de países'!$J$5:$J$510,$A39)+COUNTIFS('Datos - Objetivos de países'!$B$5:$B$510,"Singapur",'Datos - Objetivos de países'!$F$5:$F$510,AT$3,'Datos - Objetivos de países'!$K$5:$K$510,$A39)</f>
        <v/>
      </c>
      <c r="AU39" s="11">
        <f>COUNTIFS('Datos - Objetivos de países'!$B$5:$B$510,"Singapur",'Datos - Objetivos de países'!$F$5:$F$510,AU$3,'Datos - Objetivos de países'!$J$5:$J$510,$A39)+COUNTIFS('Datos - Objetivos de países'!$B$5:$B$510,"Singapur",'Datos - Objetivos de países'!$F$5:$F$510,AU$3,'Datos - Objetivos de países'!$K$5:$K$510,$A39)</f>
        <v/>
      </c>
      <c r="AV39" s="11">
        <f>COUNTIFS('Datos - Objetivos de países'!$B$5:$B$510,"Singapur",'Datos - Objetivos de países'!$F$5:$F$510,AV$3,'Datos - Objetivos de países'!$J$5:$J$510,$A39)+COUNTIFS('Datos - Objetivos de países'!$B$5:$B$510,"Singapur",'Datos - Objetivos de países'!$F$5:$F$510,AV$3,'Datos - Objetivos de países'!$K$5:$K$510,$A39)</f>
        <v/>
      </c>
      <c r="AW39" s="11">
        <f>COUNTIFS('Datos - Objetivos de países'!$B$5:$B$510,"Singapur",'Datos - Objetivos de países'!$F$5:$F$510,AW$3,'Datos - Objetivos de países'!$J$5:$J$510,$A39)+COUNTIFS('Datos - Objetivos de países'!$B$5:$B$510,"Singapur",'Datos - Objetivos de países'!$F$5:$F$510,AW$3,'Datos - Objetivos de países'!$K$5:$K$510,$A39)</f>
        <v/>
      </c>
    </row>
    <row r="40">
      <c r="A40" s="30" t="inlineStr">
        <is>
          <t>T8_27-B2.1</t>
        </is>
      </c>
      <c r="B40" s="30" t="inlineStr">
        <is>
          <t>T8_27</t>
        </is>
      </c>
      <c r="C40" s="30" t="inlineStr">
        <is>
          <t>Biología</t>
        </is>
      </c>
      <c r="D40" s="30" t="inlineStr">
        <is>
          <t>Estructura y funciones de la célula</t>
        </is>
      </c>
      <c r="E40" s="30">
        <f>IFERROR(MAX($L$3,INDEX($N$3:$V$3,MATCH(TRUE,INDEX(N40:V40&gt;0,0),0))),"—")</f>
        <v/>
      </c>
      <c r="F40" s="30">
        <f>IFERROR(MAX($L$3,INDEX($W$3:$AE$3,MATCH(TRUE,INDEX(W40:AE40&gt;0,0),0))),"—")</f>
        <v/>
      </c>
      <c r="G40" s="30">
        <f>IFERROR(MAX($L$3,INDEX($AF$3:$AN$3,MATCH(TRUE,INDEX(AF40:AN40&gt;0,0),0))),"—")</f>
        <v/>
      </c>
      <c r="H40" s="30">
        <f>IFERROR(MAX($L$3,INDEX($AO$3:$AW$3,MATCH(TRUE,INDEX(AO40:AW40&gt;0,0),0))),"—")</f>
        <v/>
      </c>
      <c r="I40" s="36">
        <f>IF(L40=0,"—",MEDIAN(F40:H40))</f>
        <v/>
      </c>
      <c r="J40" s="36">
        <f>IF(OR(E40="—",I40="—"),"—",E40-I40)</f>
        <v/>
      </c>
      <c r="K40" s="19">
        <f>IF(E40="—",IF(L40=0,"Nadie lo trabaja","El Salvador no llega"),IF(L40=0,"Solo El Salvador",IF(J40&gt;0,"El Salvador llega más tarde",IF(J40&lt;0,"El Salvador va adelantado","Mismo grado"))))</f>
        <v/>
      </c>
      <c r="L40" s="30">
        <f>COUNT(F40:H40)</f>
        <v/>
      </c>
      <c r="N40" s="11">
        <f>COUNTIFS('Datos - Temas'!$C$5:$C$1264,"Ciencias",'Datos - Temas'!$B$5:$B$1264,N$3,'Datos - Temas'!$K$5:$K$1264,$A40)+COUNTIFS('Datos - Temas'!$C$5:$C$1264,"Ciencias",'Datos - Temas'!$B$5:$B$1264,N$3,'Datos - Temas'!$L$5:$L$1264,$A40)</f>
        <v/>
      </c>
      <c r="O40" s="11">
        <f>COUNTIFS('Datos - Temas'!$C$5:$C$1264,"Ciencias",'Datos - Temas'!$B$5:$B$1264,O$3,'Datos - Temas'!$K$5:$K$1264,$A40)+COUNTIFS('Datos - Temas'!$C$5:$C$1264,"Ciencias",'Datos - Temas'!$B$5:$B$1264,O$3,'Datos - Temas'!$L$5:$L$1264,$A40)</f>
        <v/>
      </c>
      <c r="P40" s="11">
        <f>COUNTIFS('Datos - Temas'!$C$5:$C$1264,"Ciencias",'Datos - Temas'!$B$5:$B$1264,P$3,'Datos - Temas'!$K$5:$K$1264,$A40)+COUNTIFS('Datos - Temas'!$C$5:$C$1264,"Ciencias",'Datos - Temas'!$B$5:$B$1264,P$3,'Datos - Temas'!$L$5:$L$1264,$A40)</f>
        <v/>
      </c>
      <c r="Q40" s="11">
        <f>COUNTIFS('Datos - Temas'!$C$5:$C$1264,"Ciencias",'Datos - Temas'!$B$5:$B$1264,Q$3,'Datos - Temas'!$K$5:$K$1264,$A40)+COUNTIFS('Datos - Temas'!$C$5:$C$1264,"Ciencias",'Datos - Temas'!$B$5:$B$1264,Q$3,'Datos - Temas'!$L$5:$L$1264,$A40)</f>
        <v/>
      </c>
      <c r="R40" s="11">
        <f>COUNTIFS('Datos - Temas'!$C$5:$C$1264,"Ciencias",'Datos - Temas'!$B$5:$B$1264,R$3,'Datos - Temas'!$K$5:$K$1264,$A40)+COUNTIFS('Datos - Temas'!$C$5:$C$1264,"Ciencias",'Datos - Temas'!$B$5:$B$1264,R$3,'Datos - Temas'!$L$5:$L$1264,$A40)</f>
        <v/>
      </c>
      <c r="S40" s="11">
        <f>COUNTIFS('Datos - Temas'!$C$5:$C$1264,"Ciencias",'Datos - Temas'!$B$5:$B$1264,S$3,'Datos - Temas'!$K$5:$K$1264,$A40)+COUNTIFS('Datos - Temas'!$C$5:$C$1264,"Ciencias",'Datos - Temas'!$B$5:$B$1264,S$3,'Datos - Temas'!$L$5:$L$1264,$A40)</f>
        <v/>
      </c>
      <c r="T40" s="11">
        <f>COUNTIFS('Datos - Temas'!$C$5:$C$1264,"Ciencias",'Datos - Temas'!$B$5:$B$1264,T$3,'Datos - Temas'!$K$5:$K$1264,$A40)+COUNTIFS('Datos - Temas'!$C$5:$C$1264,"Ciencias",'Datos - Temas'!$B$5:$B$1264,T$3,'Datos - Temas'!$L$5:$L$1264,$A40)</f>
        <v/>
      </c>
      <c r="U40" s="11">
        <f>COUNTIFS('Datos - Temas'!$C$5:$C$1264,"Ciencias",'Datos - Temas'!$B$5:$B$1264,U$3,'Datos - Temas'!$K$5:$K$1264,$A40)+COUNTIFS('Datos - Temas'!$C$5:$C$1264,"Ciencias",'Datos - Temas'!$B$5:$B$1264,U$3,'Datos - Temas'!$L$5:$L$1264,$A40)</f>
        <v/>
      </c>
      <c r="V40" s="11">
        <f>COUNTIFS('Datos - Temas'!$C$5:$C$1264,"Ciencias",'Datos - Temas'!$B$5:$B$1264,V$3,'Datos - Temas'!$K$5:$K$1264,$A40)+COUNTIFS('Datos - Temas'!$C$5:$C$1264,"Ciencias",'Datos - Temas'!$B$5:$B$1264,V$3,'Datos - Temas'!$L$5:$L$1264,$A40)</f>
        <v/>
      </c>
      <c r="W40" s="11">
        <f>COUNTIFS('Datos - Objetivos de países'!$B$5:$B$510,"Uruguay",'Datos - Objetivos de países'!$F$5:$F$510,W$3,'Datos - Objetivos de países'!$J$5:$J$510,$A40)+COUNTIFS('Datos - Objetivos de países'!$B$5:$B$510,"Uruguay",'Datos - Objetivos de países'!$F$5:$F$510,W$3,'Datos - Objetivos de países'!$K$5:$K$510,$A40)</f>
        <v/>
      </c>
      <c r="X40" s="11">
        <f>COUNTIFS('Datos - Objetivos de países'!$B$5:$B$510,"Uruguay",'Datos - Objetivos de países'!$F$5:$F$510,X$3,'Datos - Objetivos de países'!$J$5:$J$510,$A40)+COUNTIFS('Datos - Objetivos de países'!$B$5:$B$510,"Uruguay",'Datos - Objetivos de países'!$F$5:$F$510,X$3,'Datos - Objetivos de países'!$K$5:$K$510,$A40)</f>
        <v/>
      </c>
      <c r="Y40" s="11">
        <f>COUNTIFS('Datos - Objetivos de países'!$B$5:$B$510,"Uruguay",'Datos - Objetivos de países'!$F$5:$F$510,Y$3,'Datos - Objetivos de países'!$J$5:$J$510,$A40)+COUNTIFS('Datos - Objetivos de países'!$B$5:$B$510,"Uruguay",'Datos - Objetivos de países'!$F$5:$F$510,Y$3,'Datos - Objetivos de países'!$K$5:$K$510,$A40)</f>
        <v/>
      </c>
      <c r="Z40" s="11">
        <f>COUNTIFS('Datos - Objetivos de países'!$B$5:$B$510,"Uruguay",'Datos - Objetivos de países'!$F$5:$F$510,Z$3,'Datos - Objetivos de países'!$J$5:$J$510,$A40)+COUNTIFS('Datos - Objetivos de países'!$B$5:$B$510,"Uruguay",'Datos - Objetivos de países'!$F$5:$F$510,Z$3,'Datos - Objetivos de países'!$K$5:$K$510,$A40)</f>
        <v/>
      </c>
      <c r="AA40" s="11">
        <f>COUNTIFS('Datos - Objetivos de países'!$B$5:$B$510,"Uruguay",'Datos - Objetivos de países'!$F$5:$F$510,AA$3,'Datos - Objetivos de países'!$J$5:$J$510,$A40)+COUNTIFS('Datos - Objetivos de países'!$B$5:$B$510,"Uruguay",'Datos - Objetivos de países'!$F$5:$F$510,AA$3,'Datos - Objetivos de países'!$K$5:$K$510,$A40)</f>
        <v/>
      </c>
      <c r="AB40" s="11">
        <f>COUNTIFS('Datos - Objetivos de países'!$B$5:$B$510,"Uruguay",'Datos - Objetivos de países'!$F$5:$F$510,AB$3,'Datos - Objetivos de países'!$J$5:$J$510,$A40)+COUNTIFS('Datos - Objetivos de países'!$B$5:$B$510,"Uruguay",'Datos - Objetivos de países'!$F$5:$F$510,AB$3,'Datos - Objetivos de países'!$K$5:$K$510,$A40)</f>
        <v/>
      </c>
      <c r="AC40" s="11">
        <f>COUNTIFS('Datos - Objetivos de países'!$B$5:$B$510,"Uruguay",'Datos - Objetivos de países'!$F$5:$F$510,AC$3,'Datos - Objetivos de países'!$J$5:$J$510,$A40)+COUNTIFS('Datos - Objetivos de países'!$B$5:$B$510,"Uruguay",'Datos - Objetivos de países'!$F$5:$F$510,AC$3,'Datos - Objetivos de países'!$K$5:$K$510,$A40)</f>
        <v/>
      </c>
      <c r="AD40" s="11">
        <f>COUNTIFS('Datos - Objetivos de países'!$B$5:$B$510,"Uruguay",'Datos - Objetivos de países'!$F$5:$F$510,AD$3,'Datos - Objetivos de países'!$J$5:$J$510,$A40)+COUNTIFS('Datos - Objetivos de países'!$B$5:$B$510,"Uruguay",'Datos - Objetivos de países'!$F$5:$F$510,AD$3,'Datos - Objetivos de países'!$K$5:$K$510,$A40)</f>
        <v/>
      </c>
      <c r="AE40" s="11">
        <f>COUNTIFS('Datos - Objetivos de países'!$B$5:$B$510,"Uruguay",'Datos - Objetivos de países'!$F$5:$F$510,AE$3,'Datos - Objetivos de países'!$J$5:$J$510,$A40)+COUNTIFS('Datos - Objetivos de países'!$B$5:$B$510,"Uruguay",'Datos - Objetivos de países'!$F$5:$F$510,AE$3,'Datos - Objetivos de países'!$K$5:$K$510,$A40)</f>
        <v/>
      </c>
      <c r="AF40" s="11">
        <f>COUNTIFS('Datos - Objetivos de países'!$B$5:$B$510,"Colombia",'Datos - Objetivos de países'!$F$5:$F$510,AF$3,'Datos - Objetivos de países'!$J$5:$J$510,$A40)+COUNTIFS('Datos - Objetivos de países'!$B$5:$B$510,"Colombia",'Datos - Objetivos de países'!$F$5:$F$510,AF$3,'Datos - Objetivos de países'!$K$5:$K$510,$A40)</f>
        <v/>
      </c>
      <c r="AG40" s="11">
        <f>COUNTIFS('Datos - Objetivos de países'!$B$5:$B$510,"Colombia",'Datos - Objetivos de países'!$F$5:$F$510,AG$3,'Datos - Objetivos de países'!$J$5:$J$510,$A40)+COUNTIFS('Datos - Objetivos de países'!$B$5:$B$510,"Colombia",'Datos - Objetivos de países'!$F$5:$F$510,AG$3,'Datos - Objetivos de países'!$K$5:$K$510,$A40)</f>
        <v/>
      </c>
      <c r="AH40" s="11">
        <f>COUNTIFS('Datos - Objetivos de países'!$B$5:$B$510,"Colombia",'Datos - Objetivos de países'!$F$5:$F$510,AH$3,'Datos - Objetivos de países'!$J$5:$J$510,$A40)+COUNTIFS('Datos - Objetivos de países'!$B$5:$B$510,"Colombia",'Datos - Objetivos de países'!$F$5:$F$510,AH$3,'Datos - Objetivos de países'!$K$5:$K$510,$A40)</f>
        <v/>
      </c>
      <c r="AI40" s="11">
        <f>COUNTIFS('Datos - Objetivos de países'!$B$5:$B$510,"Colombia",'Datos - Objetivos de países'!$F$5:$F$510,AI$3,'Datos - Objetivos de países'!$J$5:$J$510,$A40)+COUNTIFS('Datos - Objetivos de países'!$B$5:$B$510,"Colombia",'Datos - Objetivos de países'!$F$5:$F$510,AI$3,'Datos - Objetivos de países'!$K$5:$K$510,$A40)</f>
        <v/>
      </c>
      <c r="AJ40" s="11">
        <f>COUNTIFS('Datos - Objetivos de países'!$B$5:$B$510,"Colombia",'Datos - Objetivos de países'!$F$5:$F$510,AJ$3,'Datos - Objetivos de países'!$J$5:$J$510,$A40)+COUNTIFS('Datos - Objetivos de países'!$B$5:$B$510,"Colombia",'Datos - Objetivos de países'!$F$5:$F$510,AJ$3,'Datos - Objetivos de países'!$K$5:$K$510,$A40)</f>
        <v/>
      </c>
      <c r="AK40" s="11">
        <f>COUNTIFS('Datos - Objetivos de países'!$B$5:$B$510,"Colombia",'Datos - Objetivos de países'!$F$5:$F$510,AK$3,'Datos - Objetivos de países'!$J$5:$J$510,$A40)+COUNTIFS('Datos - Objetivos de países'!$B$5:$B$510,"Colombia",'Datos - Objetivos de países'!$F$5:$F$510,AK$3,'Datos - Objetivos de países'!$K$5:$K$510,$A40)</f>
        <v/>
      </c>
      <c r="AL40" s="11">
        <f>COUNTIFS('Datos - Objetivos de países'!$B$5:$B$510,"Colombia",'Datos - Objetivos de países'!$F$5:$F$510,AL$3,'Datos - Objetivos de países'!$J$5:$J$510,$A40)+COUNTIFS('Datos - Objetivos de países'!$B$5:$B$510,"Colombia",'Datos - Objetivos de países'!$F$5:$F$510,AL$3,'Datos - Objetivos de países'!$K$5:$K$510,$A40)</f>
        <v/>
      </c>
      <c r="AM40" s="11">
        <f>COUNTIFS('Datos - Objetivos de países'!$B$5:$B$510,"Colombia",'Datos - Objetivos de países'!$F$5:$F$510,AM$3,'Datos - Objetivos de países'!$J$5:$J$510,$A40)+COUNTIFS('Datos - Objetivos de países'!$B$5:$B$510,"Colombia",'Datos - Objetivos de países'!$F$5:$F$510,AM$3,'Datos - Objetivos de países'!$K$5:$K$510,$A40)</f>
        <v/>
      </c>
      <c r="AN40" s="11">
        <f>COUNTIFS('Datos - Objetivos de países'!$B$5:$B$510,"Colombia",'Datos - Objetivos de países'!$F$5:$F$510,AN$3,'Datos - Objetivos de países'!$J$5:$J$510,$A40)+COUNTIFS('Datos - Objetivos de países'!$B$5:$B$510,"Colombia",'Datos - Objetivos de países'!$F$5:$F$510,AN$3,'Datos - Objetivos de países'!$K$5:$K$510,$A40)</f>
        <v/>
      </c>
      <c r="AO40" s="11">
        <f>COUNTIFS('Datos - Objetivos de países'!$B$5:$B$510,"Singapur",'Datos - Objetivos de países'!$F$5:$F$510,AO$3,'Datos - Objetivos de países'!$J$5:$J$510,$A40)+COUNTIFS('Datos - Objetivos de países'!$B$5:$B$510,"Singapur",'Datos - Objetivos de países'!$F$5:$F$510,AO$3,'Datos - Objetivos de países'!$K$5:$K$510,$A40)</f>
        <v/>
      </c>
      <c r="AP40" s="11">
        <f>COUNTIFS('Datos - Objetivos de países'!$B$5:$B$510,"Singapur",'Datos - Objetivos de países'!$F$5:$F$510,AP$3,'Datos - Objetivos de países'!$J$5:$J$510,$A40)+COUNTIFS('Datos - Objetivos de países'!$B$5:$B$510,"Singapur",'Datos - Objetivos de países'!$F$5:$F$510,AP$3,'Datos - Objetivos de países'!$K$5:$K$510,$A40)</f>
        <v/>
      </c>
      <c r="AQ40" s="11">
        <f>COUNTIFS('Datos - Objetivos de países'!$B$5:$B$510,"Singapur",'Datos - Objetivos de países'!$F$5:$F$510,AQ$3,'Datos - Objetivos de países'!$J$5:$J$510,$A40)+COUNTIFS('Datos - Objetivos de países'!$B$5:$B$510,"Singapur",'Datos - Objetivos de países'!$F$5:$F$510,AQ$3,'Datos - Objetivos de países'!$K$5:$K$510,$A40)</f>
        <v/>
      </c>
      <c r="AR40" s="11">
        <f>COUNTIFS('Datos - Objetivos de países'!$B$5:$B$510,"Singapur",'Datos - Objetivos de países'!$F$5:$F$510,AR$3,'Datos - Objetivos de países'!$J$5:$J$510,$A40)+COUNTIFS('Datos - Objetivos de países'!$B$5:$B$510,"Singapur",'Datos - Objetivos de países'!$F$5:$F$510,AR$3,'Datos - Objetivos de países'!$K$5:$K$510,$A40)</f>
        <v/>
      </c>
      <c r="AS40" s="11">
        <f>COUNTIFS('Datos - Objetivos de países'!$B$5:$B$510,"Singapur",'Datos - Objetivos de países'!$F$5:$F$510,AS$3,'Datos - Objetivos de países'!$J$5:$J$510,$A40)+COUNTIFS('Datos - Objetivos de países'!$B$5:$B$510,"Singapur",'Datos - Objetivos de países'!$F$5:$F$510,AS$3,'Datos - Objetivos de países'!$K$5:$K$510,$A40)</f>
        <v/>
      </c>
      <c r="AT40" s="11">
        <f>COUNTIFS('Datos - Objetivos de países'!$B$5:$B$510,"Singapur",'Datos - Objetivos de países'!$F$5:$F$510,AT$3,'Datos - Objetivos de países'!$J$5:$J$510,$A40)+COUNTIFS('Datos - Objetivos de países'!$B$5:$B$510,"Singapur",'Datos - Objetivos de países'!$F$5:$F$510,AT$3,'Datos - Objetivos de países'!$K$5:$K$510,$A40)</f>
        <v/>
      </c>
      <c r="AU40" s="11">
        <f>COUNTIFS('Datos - Objetivos de países'!$B$5:$B$510,"Singapur",'Datos - Objetivos de países'!$F$5:$F$510,AU$3,'Datos - Objetivos de países'!$J$5:$J$510,$A40)+COUNTIFS('Datos - Objetivos de países'!$B$5:$B$510,"Singapur",'Datos - Objetivos de países'!$F$5:$F$510,AU$3,'Datos - Objetivos de países'!$K$5:$K$510,$A40)</f>
        <v/>
      </c>
      <c r="AV40" s="11">
        <f>COUNTIFS('Datos - Objetivos de países'!$B$5:$B$510,"Singapur",'Datos - Objetivos de países'!$F$5:$F$510,AV$3,'Datos - Objetivos de países'!$J$5:$J$510,$A40)+COUNTIFS('Datos - Objetivos de países'!$B$5:$B$510,"Singapur",'Datos - Objetivos de países'!$F$5:$F$510,AV$3,'Datos - Objetivos de países'!$K$5:$K$510,$A40)</f>
        <v/>
      </c>
      <c r="AW40" s="11">
        <f>COUNTIFS('Datos - Objetivos de países'!$B$5:$B$510,"Singapur",'Datos - Objetivos de países'!$F$5:$F$510,AW$3,'Datos - Objetivos de países'!$J$5:$J$510,$A40)+COUNTIFS('Datos - Objetivos de países'!$B$5:$B$510,"Singapur",'Datos - Objetivos de países'!$F$5:$F$510,AW$3,'Datos - Objetivos de países'!$K$5:$K$510,$A40)</f>
        <v/>
      </c>
    </row>
    <row r="41">
      <c r="A41" s="30" t="inlineStr">
        <is>
          <t>T8_27-B3.1</t>
        </is>
      </c>
      <c r="B41" s="30" t="inlineStr">
        <is>
          <t>T8_27</t>
        </is>
      </c>
      <c r="C41" s="30" t="inlineStr">
        <is>
          <t>Biología</t>
        </is>
      </c>
      <c r="D41" s="30" t="inlineStr">
        <is>
          <t>Reproducción sexual y herencia en plantas y animales</t>
        </is>
      </c>
      <c r="E41" s="30">
        <f>IFERROR(MAX($L$3,INDEX($N$3:$V$3,MATCH(TRUE,INDEX(N41:V41&gt;0,0),0))),"—")</f>
        <v/>
      </c>
      <c r="F41" s="30">
        <f>IFERROR(MAX($L$3,INDEX($W$3:$AE$3,MATCH(TRUE,INDEX(W41:AE41&gt;0,0),0))),"—")</f>
        <v/>
      </c>
      <c r="G41" s="30">
        <f>IFERROR(MAX($L$3,INDEX($AF$3:$AN$3,MATCH(TRUE,INDEX(AF41:AN41&gt;0,0),0))),"—")</f>
        <v/>
      </c>
      <c r="H41" s="30">
        <f>IFERROR(MAX($L$3,INDEX($AO$3:$AW$3,MATCH(TRUE,INDEX(AO41:AW41&gt;0,0),0))),"—")</f>
        <v/>
      </c>
      <c r="I41" s="36">
        <f>IF(L41=0,"—",MEDIAN(F41:H41))</f>
        <v/>
      </c>
      <c r="J41" s="36">
        <f>IF(OR(E41="—",I41="—"),"—",E41-I41)</f>
        <v/>
      </c>
      <c r="K41" s="19">
        <f>IF(E41="—",IF(L41=0,"Nadie lo trabaja","El Salvador no llega"),IF(L41=0,"Solo El Salvador",IF(J41&gt;0,"El Salvador llega más tarde",IF(J41&lt;0,"El Salvador va adelantado","Mismo grado"))))</f>
        <v/>
      </c>
      <c r="L41" s="30">
        <f>COUNT(F41:H41)</f>
        <v/>
      </c>
      <c r="N41" s="11">
        <f>COUNTIFS('Datos - Temas'!$C$5:$C$1264,"Ciencias",'Datos - Temas'!$B$5:$B$1264,N$3,'Datos - Temas'!$K$5:$K$1264,$A41)+COUNTIFS('Datos - Temas'!$C$5:$C$1264,"Ciencias",'Datos - Temas'!$B$5:$B$1264,N$3,'Datos - Temas'!$L$5:$L$1264,$A41)</f>
        <v/>
      </c>
      <c r="O41" s="11">
        <f>COUNTIFS('Datos - Temas'!$C$5:$C$1264,"Ciencias",'Datos - Temas'!$B$5:$B$1264,O$3,'Datos - Temas'!$K$5:$K$1264,$A41)+COUNTIFS('Datos - Temas'!$C$5:$C$1264,"Ciencias",'Datos - Temas'!$B$5:$B$1264,O$3,'Datos - Temas'!$L$5:$L$1264,$A41)</f>
        <v/>
      </c>
      <c r="P41" s="11">
        <f>COUNTIFS('Datos - Temas'!$C$5:$C$1264,"Ciencias",'Datos - Temas'!$B$5:$B$1264,P$3,'Datos - Temas'!$K$5:$K$1264,$A41)+COUNTIFS('Datos - Temas'!$C$5:$C$1264,"Ciencias",'Datos - Temas'!$B$5:$B$1264,P$3,'Datos - Temas'!$L$5:$L$1264,$A41)</f>
        <v/>
      </c>
      <c r="Q41" s="11">
        <f>COUNTIFS('Datos - Temas'!$C$5:$C$1264,"Ciencias",'Datos - Temas'!$B$5:$B$1264,Q$3,'Datos - Temas'!$K$5:$K$1264,$A41)+COUNTIFS('Datos - Temas'!$C$5:$C$1264,"Ciencias",'Datos - Temas'!$B$5:$B$1264,Q$3,'Datos - Temas'!$L$5:$L$1264,$A41)</f>
        <v/>
      </c>
      <c r="R41" s="11">
        <f>COUNTIFS('Datos - Temas'!$C$5:$C$1264,"Ciencias",'Datos - Temas'!$B$5:$B$1264,R$3,'Datos - Temas'!$K$5:$K$1264,$A41)+COUNTIFS('Datos - Temas'!$C$5:$C$1264,"Ciencias",'Datos - Temas'!$B$5:$B$1264,R$3,'Datos - Temas'!$L$5:$L$1264,$A41)</f>
        <v/>
      </c>
      <c r="S41" s="11">
        <f>COUNTIFS('Datos - Temas'!$C$5:$C$1264,"Ciencias",'Datos - Temas'!$B$5:$B$1264,S$3,'Datos - Temas'!$K$5:$K$1264,$A41)+COUNTIFS('Datos - Temas'!$C$5:$C$1264,"Ciencias",'Datos - Temas'!$B$5:$B$1264,S$3,'Datos - Temas'!$L$5:$L$1264,$A41)</f>
        <v/>
      </c>
      <c r="T41" s="11">
        <f>COUNTIFS('Datos - Temas'!$C$5:$C$1264,"Ciencias",'Datos - Temas'!$B$5:$B$1264,T$3,'Datos - Temas'!$K$5:$K$1264,$A41)+COUNTIFS('Datos - Temas'!$C$5:$C$1264,"Ciencias",'Datos - Temas'!$B$5:$B$1264,T$3,'Datos - Temas'!$L$5:$L$1264,$A41)</f>
        <v/>
      </c>
      <c r="U41" s="11">
        <f>COUNTIFS('Datos - Temas'!$C$5:$C$1264,"Ciencias",'Datos - Temas'!$B$5:$B$1264,U$3,'Datos - Temas'!$K$5:$K$1264,$A41)+COUNTIFS('Datos - Temas'!$C$5:$C$1264,"Ciencias",'Datos - Temas'!$B$5:$B$1264,U$3,'Datos - Temas'!$L$5:$L$1264,$A41)</f>
        <v/>
      </c>
      <c r="V41" s="11">
        <f>COUNTIFS('Datos - Temas'!$C$5:$C$1264,"Ciencias",'Datos - Temas'!$B$5:$B$1264,V$3,'Datos - Temas'!$K$5:$K$1264,$A41)+COUNTIFS('Datos - Temas'!$C$5:$C$1264,"Ciencias",'Datos - Temas'!$B$5:$B$1264,V$3,'Datos - Temas'!$L$5:$L$1264,$A41)</f>
        <v/>
      </c>
      <c r="W41" s="11">
        <f>COUNTIFS('Datos - Objetivos de países'!$B$5:$B$510,"Uruguay",'Datos - Objetivos de países'!$F$5:$F$510,W$3,'Datos - Objetivos de países'!$J$5:$J$510,$A41)+COUNTIFS('Datos - Objetivos de países'!$B$5:$B$510,"Uruguay",'Datos - Objetivos de países'!$F$5:$F$510,W$3,'Datos - Objetivos de países'!$K$5:$K$510,$A41)</f>
        <v/>
      </c>
      <c r="X41" s="11">
        <f>COUNTIFS('Datos - Objetivos de países'!$B$5:$B$510,"Uruguay",'Datos - Objetivos de países'!$F$5:$F$510,X$3,'Datos - Objetivos de países'!$J$5:$J$510,$A41)+COUNTIFS('Datos - Objetivos de países'!$B$5:$B$510,"Uruguay",'Datos - Objetivos de países'!$F$5:$F$510,X$3,'Datos - Objetivos de países'!$K$5:$K$510,$A41)</f>
        <v/>
      </c>
      <c r="Y41" s="11">
        <f>COUNTIFS('Datos - Objetivos de países'!$B$5:$B$510,"Uruguay",'Datos - Objetivos de países'!$F$5:$F$510,Y$3,'Datos - Objetivos de países'!$J$5:$J$510,$A41)+COUNTIFS('Datos - Objetivos de países'!$B$5:$B$510,"Uruguay",'Datos - Objetivos de países'!$F$5:$F$510,Y$3,'Datos - Objetivos de países'!$K$5:$K$510,$A41)</f>
        <v/>
      </c>
      <c r="Z41" s="11">
        <f>COUNTIFS('Datos - Objetivos de países'!$B$5:$B$510,"Uruguay",'Datos - Objetivos de países'!$F$5:$F$510,Z$3,'Datos - Objetivos de países'!$J$5:$J$510,$A41)+COUNTIFS('Datos - Objetivos de países'!$B$5:$B$510,"Uruguay",'Datos - Objetivos de países'!$F$5:$F$510,Z$3,'Datos - Objetivos de países'!$K$5:$K$510,$A41)</f>
        <v/>
      </c>
      <c r="AA41" s="11">
        <f>COUNTIFS('Datos - Objetivos de países'!$B$5:$B$510,"Uruguay",'Datos - Objetivos de países'!$F$5:$F$510,AA$3,'Datos - Objetivos de países'!$J$5:$J$510,$A41)+COUNTIFS('Datos - Objetivos de países'!$B$5:$B$510,"Uruguay",'Datos - Objetivos de países'!$F$5:$F$510,AA$3,'Datos - Objetivos de países'!$K$5:$K$510,$A41)</f>
        <v/>
      </c>
      <c r="AB41" s="11">
        <f>COUNTIFS('Datos - Objetivos de países'!$B$5:$B$510,"Uruguay",'Datos - Objetivos de países'!$F$5:$F$510,AB$3,'Datos - Objetivos de países'!$J$5:$J$510,$A41)+COUNTIFS('Datos - Objetivos de países'!$B$5:$B$510,"Uruguay",'Datos - Objetivos de países'!$F$5:$F$510,AB$3,'Datos - Objetivos de países'!$K$5:$K$510,$A41)</f>
        <v/>
      </c>
      <c r="AC41" s="11">
        <f>COUNTIFS('Datos - Objetivos de países'!$B$5:$B$510,"Uruguay",'Datos - Objetivos de países'!$F$5:$F$510,AC$3,'Datos - Objetivos de países'!$J$5:$J$510,$A41)+COUNTIFS('Datos - Objetivos de países'!$B$5:$B$510,"Uruguay",'Datos - Objetivos de países'!$F$5:$F$510,AC$3,'Datos - Objetivos de países'!$K$5:$K$510,$A41)</f>
        <v/>
      </c>
      <c r="AD41" s="11">
        <f>COUNTIFS('Datos - Objetivos de países'!$B$5:$B$510,"Uruguay",'Datos - Objetivos de países'!$F$5:$F$510,AD$3,'Datos - Objetivos de países'!$J$5:$J$510,$A41)+COUNTIFS('Datos - Objetivos de países'!$B$5:$B$510,"Uruguay",'Datos - Objetivos de países'!$F$5:$F$510,AD$3,'Datos - Objetivos de países'!$K$5:$K$510,$A41)</f>
        <v/>
      </c>
      <c r="AE41" s="11">
        <f>COUNTIFS('Datos - Objetivos de países'!$B$5:$B$510,"Uruguay",'Datos - Objetivos de países'!$F$5:$F$510,AE$3,'Datos - Objetivos de países'!$J$5:$J$510,$A41)+COUNTIFS('Datos - Objetivos de países'!$B$5:$B$510,"Uruguay",'Datos - Objetivos de países'!$F$5:$F$510,AE$3,'Datos - Objetivos de países'!$K$5:$K$510,$A41)</f>
        <v/>
      </c>
      <c r="AF41" s="11">
        <f>COUNTIFS('Datos - Objetivos de países'!$B$5:$B$510,"Colombia",'Datos - Objetivos de países'!$F$5:$F$510,AF$3,'Datos - Objetivos de países'!$J$5:$J$510,$A41)+COUNTIFS('Datos - Objetivos de países'!$B$5:$B$510,"Colombia",'Datos - Objetivos de países'!$F$5:$F$510,AF$3,'Datos - Objetivos de países'!$K$5:$K$510,$A41)</f>
        <v/>
      </c>
      <c r="AG41" s="11">
        <f>COUNTIFS('Datos - Objetivos de países'!$B$5:$B$510,"Colombia",'Datos - Objetivos de países'!$F$5:$F$510,AG$3,'Datos - Objetivos de países'!$J$5:$J$510,$A41)+COUNTIFS('Datos - Objetivos de países'!$B$5:$B$510,"Colombia",'Datos - Objetivos de países'!$F$5:$F$510,AG$3,'Datos - Objetivos de países'!$K$5:$K$510,$A41)</f>
        <v/>
      </c>
      <c r="AH41" s="11">
        <f>COUNTIFS('Datos - Objetivos de países'!$B$5:$B$510,"Colombia",'Datos - Objetivos de países'!$F$5:$F$510,AH$3,'Datos - Objetivos de países'!$J$5:$J$510,$A41)+COUNTIFS('Datos - Objetivos de países'!$B$5:$B$510,"Colombia",'Datos - Objetivos de países'!$F$5:$F$510,AH$3,'Datos - Objetivos de países'!$K$5:$K$510,$A41)</f>
        <v/>
      </c>
      <c r="AI41" s="11">
        <f>COUNTIFS('Datos - Objetivos de países'!$B$5:$B$510,"Colombia",'Datos - Objetivos de países'!$F$5:$F$510,AI$3,'Datos - Objetivos de países'!$J$5:$J$510,$A41)+COUNTIFS('Datos - Objetivos de países'!$B$5:$B$510,"Colombia",'Datos - Objetivos de países'!$F$5:$F$510,AI$3,'Datos - Objetivos de países'!$K$5:$K$510,$A41)</f>
        <v/>
      </c>
      <c r="AJ41" s="11">
        <f>COUNTIFS('Datos - Objetivos de países'!$B$5:$B$510,"Colombia",'Datos - Objetivos de países'!$F$5:$F$510,AJ$3,'Datos - Objetivos de países'!$J$5:$J$510,$A41)+COUNTIFS('Datos - Objetivos de países'!$B$5:$B$510,"Colombia",'Datos - Objetivos de países'!$F$5:$F$510,AJ$3,'Datos - Objetivos de países'!$K$5:$K$510,$A41)</f>
        <v/>
      </c>
      <c r="AK41" s="11">
        <f>COUNTIFS('Datos - Objetivos de países'!$B$5:$B$510,"Colombia",'Datos - Objetivos de países'!$F$5:$F$510,AK$3,'Datos - Objetivos de países'!$J$5:$J$510,$A41)+COUNTIFS('Datos - Objetivos de países'!$B$5:$B$510,"Colombia",'Datos - Objetivos de países'!$F$5:$F$510,AK$3,'Datos - Objetivos de países'!$K$5:$K$510,$A41)</f>
        <v/>
      </c>
      <c r="AL41" s="11">
        <f>COUNTIFS('Datos - Objetivos de países'!$B$5:$B$510,"Colombia",'Datos - Objetivos de países'!$F$5:$F$510,AL$3,'Datos - Objetivos de países'!$J$5:$J$510,$A41)+COUNTIFS('Datos - Objetivos de países'!$B$5:$B$510,"Colombia",'Datos - Objetivos de países'!$F$5:$F$510,AL$3,'Datos - Objetivos de países'!$K$5:$K$510,$A41)</f>
        <v/>
      </c>
      <c r="AM41" s="11">
        <f>COUNTIFS('Datos - Objetivos de países'!$B$5:$B$510,"Colombia",'Datos - Objetivos de países'!$F$5:$F$510,AM$3,'Datos - Objetivos de países'!$J$5:$J$510,$A41)+COUNTIFS('Datos - Objetivos de países'!$B$5:$B$510,"Colombia",'Datos - Objetivos de países'!$F$5:$F$510,AM$3,'Datos - Objetivos de países'!$K$5:$K$510,$A41)</f>
        <v/>
      </c>
      <c r="AN41" s="11">
        <f>COUNTIFS('Datos - Objetivos de países'!$B$5:$B$510,"Colombia",'Datos - Objetivos de países'!$F$5:$F$510,AN$3,'Datos - Objetivos de países'!$J$5:$J$510,$A41)+COUNTIFS('Datos - Objetivos de países'!$B$5:$B$510,"Colombia",'Datos - Objetivos de países'!$F$5:$F$510,AN$3,'Datos - Objetivos de países'!$K$5:$K$510,$A41)</f>
        <v/>
      </c>
      <c r="AO41" s="11">
        <f>COUNTIFS('Datos - Objetivos de países'!$B$5:$B$510,"Singapur",'Datos - Objetivos de países'!$F$5:$F$510,AO$3,'Datos - Objetivos de países'!$J$5:$J$510,$A41)+COUNTIFS('Datos - Objetivos de países'!$B$5:$B$510,"Singapur",'Datos - Objetivos de países'!$F$5:$F$510,AO$3,'Datos - Objetivos de países'!$K$5:$K$510,$A41)</f>
        <v/>
      </c>
      <c r="AP41" s="11">
        <f>COUNTIFS('Datos - Objetivos de países'!$B$5:$B$510,"Singapur",'Datos - Objetivos de países'!$F$5:$F$510,AP$3,'Datos - Objetivos de países'!$J$5:$J$510,$A41)+COUNTIFS('Datos - Objetivos de países'!$B$5:$B$510,"Singapur",'Datos - Objetivos de países'!$F$5:$F$510,AP$3,'Datos - Objetivos de países'!$K$5:$K$510,$A41)</f>
        <v/>
      </c>
      <c r="AQ41" s="11">
        <f>COUNTIFS('Datos - Objetivos de países'!$B$5:$B$510,"Singapur",'Datos - Objetivos de países'!$F$5:$F$510,AQ$3,'Datos - Objetivos de países'!$J$5:$J$510,$A41)+COUNTIFS('Datos - Objetivos de países'!$B$5:$B$510,"Singapur",'Datos - Objetivos de países'!$F$5:$F$510,AQ$3,'Datos - Objetivos de países'!$K$5:$K$510,$A41)</f>
        <v/>
      </c>
      <c r="AR41" s="11">
        <f>COUNTIFS('Datos - Objetivos de países'!$B$5:$B$510,"Singapur",'Datos - Objetivos de países'!$F$5:$F$510,AR$3,'Datos - Objetivos de países'!$J$5:$J$510,$A41)+COUNTIFS('Datos - Objetivos de países'!$B$5:$B$510,"Singapur",'Datos - Objetivos de países'!$F$5:$F$510,AR$3,'Datos - Objetivos de países'!$K$5:$K$510,$A41)</f>
        <v/>
      </c>
      <c r="AS41" s="11">
        <f>COUNTIFS('Datos - Objetivos de países'!$B$5:$B$510,"Singapur",'Datos - Objetivos de países'!$F$5:$F$510,AS$3,'Datos - Objetivos de países'!$J$5:$J$510,$A41)+COUNTIFS('Datos - Objetivos de países'!$B$5:$B$510,"Singapur",'Datos - Objetivos de países'!$F$5:$F$510,AS$3,'Datos - Objetivos de países'!$K$5:$K$510,$A41)</f>
        <v/>
      </c>
      <c r="AT41" s="11">
        <f>COUNTIFS('Datos - Objetivos de países'!$B$5:$B$510,"Singapur",'Datos - Objetivos de países'!$F$5:$F$510,AT$3,'Datos - Objetivos de países'!$J$5:$J$510,$A41)+COUNTIFS('Datos - Objetivos de países'!$B$5:$B$510,"Singapur",'Datos - Objetivos de países'!$F$5:$F$510,AT$3,'Datos - Objetivos de países'!$K$5:$K$510,$A41)</f>
        <v/>
      </c>
      <c r="AU41" s="11">
        <f>COUNTIFS('Datos - Objetivos de países'!$B$5:$B$510,"Singapur",'Datos - Objetivos de países'!$F$5:$F$510,AU$3,'Datos - Objetivos de países'!$J$5:$J$510,$A41)+COUNTIFS('Datos - Objetivos de países'!$B$5:$B$510,"Singapur",'Datos - Objetivos de países'!$F$5:$F$510,AU$3,'Datos - Objetivos de países'!$K$5:$K$510,$A41)</f>
        <v/>
      </c>
      <c r="AV41" s="11">
        <f>COUNTIFS('Datos - Objetivos de países'!$B$5:$B$510,"Singapur",'Datos - Objetivos de países'!$F$5:$F$510,AV$3,'Datos - Objetivos de países'!$J$5:$J$510,$A41)+COUNTIFS('Datos - Objetivos de países'!$B$5:$B$510,"Singapur",'Datos - Objetivos de países'!$F$5:$F$510,AV$3,'Datos - Objetivos de países'!$K$5:$K$510,$A41)</f>
        <v/>
      </c>
      <c r="AW41" s="11">
        <f>COUNTIFS('Datos - Objetivos de países'!$B$5:$B$510,"Singapur",'Datos - Objetivos de países'!$F$5:$F$510,AW$3,'Datos - Objetivos de países'!$J$5:$J$510,$A41)+COUNTIFS('Datos - Objetivos de países'!$B$5:$B$510,"Singapur",'Datos - Objetivos de países'!$F$5:$F$510,AW$3,'Datos - Objetivos de países'!$K$5:$K$510,$A41)</f>
        <v/>
      </c>
    </row>
    <row r="42">
      <c r="A42" s="30" t="inlineStr">
        <is>
          <t>T8_27-B4.1</t>
        </is>
      </c>
      <c r="B42" s="30" t="inlineStr">
        <is>
          <t>T8_27</t>
        </is>
      </c>
      <c r="C42" s="30" t="inlineStr">
        <is>
          <t>Biología</t>
        </is>
      </c>
      <c r="D42" s="30" t="inlineStr">
        <is>
          <t>La variación como base de la selección natural</t>
        </is>
      </c>
      <c r="E42" s="30">
        <f>IFERROR(MAX($L$3,INDEX($N$3:$V$3,MATCH(TRUE,INDEX(N42:V42&gt;0,0),0))),"—")</f>
        <v/>
      </c>
      <c r="F42" s="30">
        <f>IFERROR(MAX($L$3,INDEX($W$3:$AE$3,MATCH(TRUE,INDEX(W42:AE42&gt;0,0),0))),"—")</f>
        <v/>
      </c>
      <c r="G42" s="30">
        <f>IFERROR(MAX($L$3,INDEX($AF$3:$AN$3,MATCH(TRUE,INDEX(AF42:AN42&gt;0,0),0))),"—")</f>
        <v/>
      </c>
      <c r="H42" s="30">
        <f>IFERROR(MAX($L$3,INDEX($AO$3:$AW$3,MATCH(TRUE,INDEX(AO42:AW42&gt;0,0),0))),"—")</f>
        <v/>
      </c>
      <c r="I42" s="36">
        <f>IF(L42=0,"—",MEDIAN(F42:H42))</f>
        <v/>
      </c>
      <c r="J42" s="36">
        <f>IF(OR(E42="—",I42="—"),"—",E42-I42)</f>
        <v/>
      </c>
      <c r="K42" s="19">
        <f>IF(E42="—",IF(L42=0,"Nadie lo trabaja","El Salvador no llega"),IF(L42=0,"Solo El Salvador",IF(J42&gt;0,"El Salvador llega más tarde",IF(J42&lt;0,"El Salvador va adelantado","Mismo grado"))))</f>
        <v/>
      </c>
      <c r="L42" s="30">
        <f>COUNT(F42:H42)</f>
        <v/>
      </c>
      <c r="N42" s="11">
        <f>COUNTIFS('Datos - Temas'!$C$5:$C$1264,"Ciencias",'Datos - Temas'!$B$5:$B$1264,N$3,'Datos - Temas'!$K$5:$K$1264,$A42)+COUNTIFS('Datos - Temas'!$C$5:$C$1264,"Ciencias",'Datos - Temas'!$B$5:$B$1264,N$3,'Datos - Temas'!$L$5:$L$1264,$A42)</f>
        <v/>
      </c>
      <c r="O42" s="11">
        <f>COUNTIFS('Datos - Temas'!$C$5:$C$1264,"Ciencias",'Datos - Temas'!$B$5:$B$1264,O$3,'Datos - Temas'!$K$5:$K$1264,$A42)+COUNTIFS('Datos - Temas'!$C$5:$C$1264,"Ciencias",'Datos - Temas'!$B$5:$B$1264,O$3,'Datos - Temas'!$L$5:$L$1264,$A42)</f>
        <v/>
      </c>
      <c r="P42" s="11">
        <f>COUNTIFS('Datos - Temas'!$C$5:$C$1264,"Ciencias",'Datos - Temas'!$B$5:$B$1264,P$3,'Datos - Temas'!$K$5:$K$1264,$A42)+COUNTIFS('Datos - Temas'!$C$5:$C$1264,"Ciencias",'Datos - Temas'!$B$5:$B$1264,P$3,'Datos - Temas'!$L$5:$L$1264,$A42)</f>
        <v/>
      </c>
      <c r="Q42" s="11">
        <f>COUNTIFS('Datos - Temas'!$C$5:$C$1264,"Ciencias",'Datos - Temas'!$B$5:$B$1264,Q$3,'Datos - Temas'!$K$5:$K$1264,$A42)+COUNTIFS('Datos - Temas'!$C$5:$C$1264,"Ciencias",'Datos - Temas'!$B$5:$B$1264,Q$3,'Datos - Temas'!$L$5:$L$1264,$A42)</f>
        <v/>
      </c>
      <c r="R42" s="11">
        <f>COUNTIFS('Datos - Temas'!$C$5:$C$1264,"Ciencias",'Datos - Temas'!$B$5:$B$1264,R$3,'Datos - Temas'!$K$5:$K$1264,$A42)+COUNTIFS('Datos - Temas'!$C$5:$C$1264,"Ciencias",'Datos - Temas'!$B$5:$B$1264,R$3,'Datos - Temas'!$L$5:$L$1264,$A42)</f>
        <v/>
      </c>
      <c r="S42" s="11">
        <f>COUNTIFS('Datos - Temas'!$C$5:$C$1264,"Ciencias",'Datos - Temas'!$B$5:$B$1264,S$3,'Datos - Temas'!$K$5:$K$1264,$A42)+COUNTIFS('Datos - Temas'!$C$5:$C$1264,"Ciencias",'Datos - Temas'!$B$5:$B$1264,S$3,'Datos - Temas'!$L$5:$L$1264,$A42)</f>
        <v/>
      </c>
      <c r="T42" s="11">
        <f>COUNTIFS('Datos - Temas'!$C$5:$C$1264,"Ciencias",'Datos - Temas'!$B$5:$B$1264,T$3,'Datos - Temas'!$K$5:$K$1264,$A42)+COUNTIFS('Datos - Temas'!$C$5:$C$1264,"Ciencias",'Datos - Temas'!$B$5:$B$1264,T$3,'Datos - Temas'!$L$5:$L$1264,$A42)</f>
        <v/>
      </c>
      <c r="U42" s="11">
        <f>COUNTIFS('Datos - Temas'!$C$5:$C$1264,"Ciencias",'Datos - Temas'!$B$5:$B$1264,U$3,'Datos - Temas'!$K$5:$K$1264,$A42)+COUNTIFS('Datos - Temas'!$C$5:$C$1264,"Ciencias",'Datos - Temas'!$B$5:$B$1264,U$3,'Datos - Temas'!$L$5:$L$1264,$A42)</f>
        <v/>
      </c>
      <c r="V42" s="11">
        <f>COUNTIFS('Datos - Temas'!$C$5:$C$1264,"Ciencias",'Datos - Temas'!$B$5:$B$1264,V$3,'Datos - Temas'!$K$5:$K$1264,$A42)+COUNTIFS('Datos - Temas'!$C$5:$C$1264,"Ciencias",'Datos - Temas'!$B$5:$B$1264,V$3,'Datos - Temas'!$L$5:$L$1264,$A42)</f>
        <v/>
      </c>
      <c r="W42" s="11">
        <f>COUNTIFS('Datos - Objetivos de países'!$B$5:$B$510,"Uruguay",'Datos - Objetivos de países'!$F$5:$F$510,W$3,'Datos - Objetivos de países'!$J$5:$J$510,$A42)+COUNTIFS('Datos - Objetivos de países'!$B$5:$B$510,"Uruguay",'Datos - Objetivos de países'!$F$5:$F$510,W$3,'Datos - Objetivos de países'!$K$5:$K$510,$A42)</f>
        <v/>
      </c>
      <c r="X42" s="11">
        <f>COUNTIFS('Datos - Objetivos de países'!$B$5:$B$510,"Uruguay",'Datos - Objetivos de países'!$F$5:$F$510,X$3,'Datos - Objetivos de países'!$J$5:$J$510,$A42)+COUNTIFS('Datos - Objetivos de países'!$B$5:$B$510,"Uruguay",'Datos - Objetivos de países'!$F$5:$F$510,X$3,'Datos - Objetivos de países'!$K$5:$K$510,$A42)</f>
        <v/>
      </c>
      <c r="Y42" s="11">
        <f>COUNTIFS('Datos - Objetivos de países'!$B$5:$B$510,"Uruguay",'Datos - Objetivos de países'!$F$5:$F$510,Y$3,'Datos - Objetivos de países'!$J$5:$J$510,$A42)+COUNTIFS('Datos - Objetivos de países'!$B$5:$B$510,"Uruguay",'Datos - Objetivos de países'!$F$5:$F$510,Y$3,'Datos - Objetivos de países'!$K$5:$K$510,$A42)</f>
        <v/>
      </c>
      <c r="Z42" s="11">
        <f>COUNTIFS('Datos - Objetivos de países'!$B$5:$B$510,"Uruguay",'Datos - Objetivos de países'!$F$5:$F$510,Z$3,'Datos - Objetivos de países'!$J$5:$J$510,$A42)+COUNTIFS('Datos - Objetivos de países'!$B$5:$B$510,"Uruguay",'Datos - Objetivos de países'!$F$5:$F$510,Z$3,'Datos - Objetivos de países'!$K$5:$K$510,$A42)</f>
        <v/>
      </c>
      <c r="AA42" s="11">
        <f>COUNTIFS('Datos - Objetivos de países'!$B$5:$B$510,"Uruguay",'Datos - Objetivos de países'!$F$5:$F$510,AA$3,'Datos - Objetivos de países'!$J$5:$J$510,$A42)+COUNTIFS('Datos - Objetivos de países'!$B$5:$B$510,"Uruguay",'Datos - Objetivos de países'!$F$5:$F$510,AA$3,'Datos - Objetivos de países'!$K$5:$K$510,$A42)</f>
        <v/>
      </c>
      <c r="AB42" s="11">
        <f>COUNTIFS('Datos - Objetivos de países'!$B$5:$B$510,"Uruguay",'Datos - Objetivos de países'!$F$5:$F$510,AB$3,'Datos - Objetivos de países'!$J$5:$J$510,$A42)+COUNTIFS('Datos - Objetivos de países'!$B$5:$B$510,"Uruguay",'Datos - Objetivos de países'!$F$5:$F$510,AB$3,'Datos - Objetivos de países'!$K$5:$K$510,$A42)</f>
        <v/>
      </c>
      <c r="AC42" s="11">
        <f>COUNTIFS('Datos - Objetivos de países'!$B$5:$B$510,"Uruguay",'Datos - Objetivos de países'!$F$5:$F$510,AC$3,'Datos - Objetivos de países'!$J$5:$J$510,$A42)+COUNTIFS('Datos - Objetivos de países'!$B$5:$B$510,"Uruguay",'Datos - Objetivos de países'!$F$5:$F$510,AC$3,'Datos - Objetivos de países'!$K$5:$K$510,$A42)</f>
        <v/>
      </c>
      <c r="AD42" s="11">
        <f>COUNTIFS('Datos - Objetivos de países'!$B$5:$B$510,"Uruguay",'Datos - Objetivos de países'!$F$5:$F$510,AD$3,'Datos - Objetivos de países'!$J$5:$J$510,$A42)+COUNTIFS('Datos - Objetivos de países'!$B$5:$B$510,"Uruguay",'Datos - Objetivos de países'!$F$5:$F$510,AD$3,'Datos - Objetivos de países'!$K$5:$K$510,$A42)</f>
        <v/>
      </c>
      <c r="AE42" s="11">
        <f>COUNTIFS('Datos - Objetivos de países'!$B$5:$B$510,"Uruguay",'Datos - Objetivos de países'!$F$5:$F$510,AE$3,'Datos - Objetivos de países'!$J$5:$J$510,$A42)+COUNTIFS('Datos - Objetivos de países'!$B$5:$B$510,"Uruguay",'Datos - Objetivos de países'!$F$5:$F$510,AE$3,'Datos - Objetivos de países'!$K$5:$K$510,$A42)</f>
        <v/>
      </c>
      <c r="AF42" s="11">
        <f>COUNTIFS('Datos - Objetivos de países'!$B$5:$B$510,"Colombia",'Datos - Objetivos de países'!$F$5:$F$510,AF$3,'Datos - Objetivos de países'!$J$5:$J$510,$A42)+COUNTIFS('Datos - Objetivos de países'!$B$5:$B$510,"Colombia",'Datos - Objetivos de países'!$F$5:$F$510,AF$3,'Datos - Objetivos de países'!$K$5:$K$510,$A42)</f>
        <v/>
      </c>
      <c r="AG42" s="11">
        <f>COUNTIFS('Datos - Objetivos de países'!$B$5:$B$510,"Colombia",'Datos - Objetivos de países'!$F$5:$F$510,AG$3,'Datos - Objetivos de países'!$J$5:$J$510,$A42)+COUNTIFS('Datos - Objetivos de países'!$B$5:$B$510,"Colombia",'Datos - Objetivos de países'!$F$5:$F$510,AG$3,'Datos - Objetivos de países'!$K$5:$K$510,$A42)</f>
        <v/>
      </c>
      <c r="AH42" s="11">
        <f>COUNTIFS('Datos - Objetivos de países'!$B$5:$B$510,"Colombia",'Datos - Objetivos de países'!$F$5:$F$510,AH$3,'Datos - Objetivos de países'!$J$5:$J$510,$A42)+COUNTIFS('Datos - Objetivos de países'!$B$5:$B$510,"Colombia",'Datos - Objetivos de países'!$F$5:$F$510,AH$3,'Datos - Objetivos de países'!$K$5:$K$510,$A42)</f>
        <v/>
      </c>
      <c r="AI42" s="11">
        <f>COUNTIFS('Datos - Objetivos de países'!$B$5:$B$510,"Colombia",'Datos - Objetivos de países'!$F$5:$F$510,AI$3,'Datos - Objetivos de países'!$J$5:$J$510,$A42)+COUNTIFS('Datos - Objetivos de países'!$B$5:$B$510,"Colombia",'Datos - Objetivos de países'!$F$5:$F$510,AI$3,'Datos - Objetivos de países'!$K$5:$K$510,$A42)</f>
        <v/>
      </c>
      <c r="AJ42" s="11">
        <f>COUNTIFS('Datos - Objetivos de países'!$B$5:$B$510,"Colombia",'Datos - Objetivos de países'!$F$5:$F$510,AJ$3,'Datos - Objetivos de países'!$J$5:$J$510,$A42)+COUNTIFS('Datos - Objetivos de países'!$B$5:$B$510,"Colombia",'Datos - Objetivos de países'!$F$5:$F$510,AJ$3,'Datos - Objetivos de países'!$K$5:$K$510,$A42)</f>
        <v/>
      </c>
      <c r="AK42" s="11">
        <f>COUNTIFS('Datos - Objetivos de países'!$B$5:$B$510,"Colombia",'Datos - Objetivos de países'!$F$5:$F$510,AK$3,'Datos - Objetivos de países'!$J$5:$J$510,$A42)+COUNTIFS('Datos - Objetivos de países'!$B$5:$B$510,"Colombia",'Datos - Objetivos de países'!$F$5:$F$510,AK$3,'Datos - Objetivos de países'!$K$5:$K$510,$A42)</f>
        <v/>
      </c>
      <c r="AL42" s="11">
        <f>COUNTIFS('Datos - Objetivos de países'!$B$5:$B$510,"Colombia",'Datos - Objetivos de países'!$F$5:$F$510,AL$3,'Datos - Objetivos de países'!$J$5:$J$510,$A42)+COUNTIFS('Datos - Objetivos de países'!$B$5:$B$510,"Colombia",'Datos - Objetivos de países'!$F$5:$F$510,AL$3,'Datos - Objetivos de países'!$K$5:$K$510,$A42)</f>
        <v/>
      </c>
      <c r="AM42" s="11">
        <f>COUNTIFS('Datos - Objetivos de países'!$B$5:$B$510,"Colombia",'Datos - Objetivos de países'!$F$5:$F$510,AM$3,'Datos - Objetivos de países'!$J$5:$J$510,$A42)+COUNTIFS('Datos - Objetivos de países'!$B$5:$B$510,"Colombia",'Datos - Objetivos de países'!$F$5:$F$510,AM$3,'Datos - Objetivos de países'!$K$5:$K$510,$A42)</f>
        <v/>
      </c>
      <c r="AN42" s="11">
        <f>COUNTIFS('Datos - Objetivos de países'!$B$5:$B$510,"Colombia",'Datos - Objetivos de países'!$F$5:$F$510,AN$3,'Datos - Objetivos de países'!$J$5:$J$510,$A42)+COUNTIFS('Datos - Objetivos de países'!$B$5:$B$510,"Colombia",'Datos - Objetivos de países'!$F$5:$F$510,AN$3,'Datos - Objetivos de países'!$K$5:$K$510,$A42)</f>
        <v/>
      </c>
      <c r="AO42" s="11">
        <f>COUNTIFS('Datos - Objetivos de países'!$B$5:$B$510,"Singapur",'Datos - Objetivos de países'!$F$5:$F$510,AO$3,'Datos - Objetivos de países'!$J$5:$J$510,$A42)+COUNTIFS('Datos - Objetivos de países'!$B$5:$B$510,"Singapur",'Datos - Objetivos de países'!$F$5:$F$510,AO$3,'Datos - Objetivos de países'!$K$5:$K$510,$A42)</f>
        <v/>
      </c>
      <c r="AP42" s="11">
        <f>COUNTIFS('Datos - Objetivos de países'!$B$5:$B$510,"Singapur",'Datos - Objetivos de países'!$F$5:$F$510,AP$3,'Datos - Objetivos de países'!$J$5:$J$510,$A42)+COUNTIFS('Datos - Objetivos de países'!$B$5:$B$510,"Singapur",'Datos - Objetivos de países'!$F$5:$F$510,AP$3,'Datos - Objetivos de países'!$K$5:$K$510,$A42)</f>
        <v/>
      </c>
      <c r="AQ42" s="11">
        <f>COUNTIFS('Datos - Objetivos de países'!$B$5:$B$510,"Singapur",'Datos - Objetivos de países'!$F$5:$F$510,AQ$3,'Datos - Objetivos de países'!$J$5:$J$510,$A42)+COUNTIFS('Datos - Objetivos de países'!$B$5:$B$510,"Singapur",'Datos - Objetivos de países'!$F$5:$F$510,AQ$3,'Datos - Objetivos de países'!$K$5:$K$510,$A42)</f>
        <v/>
      </c>
      <c r="AR42" s="11">
        <f>COUNTIFS('Datos - Objetivos de países'!$B$5:$B$510,"Singapur",'Datos - Objetivos de países'!$F$5:$F$510,AR$3,'Datos - Objetivos de países'!$J$5:$J$510,$A42)+COUNTIFS('Datos - Objetivos de países'!$B$5:$B$510,"Singapur",'Datos - Objetivos de países'!$F$5:$F$510,AR$3,'Datos - Objetivos de países'!$K$5:$K$510,$A42)</f>
        <v/>
      </c>
      <c r="AS42" s="11">
        <f>COUNTIFS('Datos - Objetivos de países'!$B$5:$B$510,"Singapur",'Datos - Objetivos de países'!$F$5:$F$510,AS$3,'Datos - Objetivos de países'!$J$5:$J$510,$A42)+COUNTIFS('Datos - Objetivos de países'!$B$5:$B$510,"Singapur",'Datos - Objetivos de países'!$F$5:$F$510,AS$3,'Datos - Objetivos de países'!$K$5:$K$510,$A42)</f>
        <v/>
      </c>
      <c r="AT42" s="11">
        <f>COUNTIFS('Datos - Objetivos de países'!$B$5:$B$510,"Singapur",'Datos - Objetivos de países'!$F$5:$F$510,AT$3,'Datos - Objetivos de países'!$J$5:$J$510,$A42)+COUNTIFS('Datos - Objetivos de países'!$B$5:$B$510,"Singapur",'Datos - Objetivos de países'!$F$5:$F$510,AT$3,'Datos - Objetivos de países'!$K$5:$K$510,$A42)</f>
        <v/>
      </c>
      <c r="AU42" s="11">
        <f>COUNTIFS('Datos - Objetivos de países'!$B$5:$B$510,"Singapur",'Datos - Objetivos de países'!$F$5:$F$510,AU$3,'Datos - Objetivos de países'!$J$5:$J$510,$A42)+COUNTIFS('Datos - Objetivos de países'!$B$5:$B$510,"Singapur",'Datos - Objetivos de países'!$F$5:$F$510,AU$3,'Datos - Objetivos de países'!$K$5:$K$510,$A42)</f>
        <v/>
      </c>
      <c r="AV42" s="11">
        <f>COUNTIFS('Datos - Objetivos de países'!$B$5:$B$510,"Singapur",'Datos - Objetivos de países'!$F$5:$F$510,AV$3,'Datos - Objetivos de países'!$J$5:$J$510,$A42)+COUNTIFS('Datos - Objetivos de países'!$B$5:$B$510,"Singapur",'Datos - Objetivos de países'!$F$5:$F$510,AV$3,'Datos - Objetivos de países'!$K$5:$K$510,$A42)</f>
        <v/>
      </c>
      <c r="AW42" s="11">
        <f>COUNTIFS('Datos - Objetivos de países'!$B$5:$B$510,"Singapur",'Datos - Objetivos de países'!$F$5:$F$510,AW$3,'Datos - Objetivos de países'!$J$5:$J$510,$A42)+COUNTIFS('Datos - Objetivos de países'!$B$5:$B$510,"Singapur",'Datos - Objetivos de países'!$F$5:$F$510,AW$3,'Datos - Objetivos de países'!$K$5:$K$510,$A42)</f>
        <v/>
      </c>
    </row>
    <row r="43">
      <c r="A43" s="30" t="inlineStr">
        <is>
          <t>T8_27-B4.2</t>
        </is>
      </c>
      <c r="B43" s="30" t="inlineStr">
        <is>
          <t>T8_27</t>
        </is>
      </c>
      <c r="C43" s="30" t="inlineStr">
        <is>
          <t>Biología</t>
        </is>
      </c>
      <c r="D43" s="30" t="inlineStr">
        <is>
          <t>Evidencias del cambio de la vida en la Tierra</t>
        </is>
      </c>
      <c r="E43" s="30">
        <f>IFERROR(MAX($L$3,INDEX($N$3:$V$3,MATCH(TRUE,INDEX(N43:V43&gt;0,0),0))),"—")</f>
        <v/>
      </c>
      <c r="F43" s="30">
        <f>IFERROR(MAX($L$3,INDEX($W$3:$AE$3,MATCH(TRUE,INDEX(W43:AE43&gt;0,0),0))),"—")</f>
        <v/>
      </c>
      <c r="G43" s="30">
        <f>IFERROR(MAX($L$3,INDEX($AF$3:$AN$3,MATCH(TRUE,INDEX(AF43:AN43&gt;0,0),0))),"—")</f>
        <v/>
      </c>
      <c r="H43" s="30">
        <f>IFERROR(MAX($L$3,INDEX($AO$3:$AW$3,MATCH(TRUE,INDEX(AO43:AW43&gt;0,0),0))),"—")</f>
        <v/>
      </c>
      <c r="I43" s="36">
        <f>IF(L43=0,"—",MEDIAN(F43:H43))</f>
        <v/>
      </c>
      <c r="J43" s="36">
        <f>IF(OR(E43="—",I43="—"),"—",E43-I43)</f>
        <v/>
      </c>
      <c r="K43" s="19">
        <f>IF(E43="—",IF(L43=0,"Nadie lo trabaja","El Salvador no llega"),IF(L43=0,"Solo El Salvador",IF(J43&gt;0,"El Salvador llega más tarde",IF(J43&lt;0,"El Salvador va adelantado","Mismo grado"))))</f>
        <v/>
      </c>
      <c r="L43" s="30">
        <f>COUNT(F43:H43)</f>
        <v/>
      </c>
      <c r="N43" s="11">
        <f>COUNTIFS('Datos - Temas'!$C$5:$C$1264,"Ciencias",'Datos - Temas'!$B$5:$B$1264,N$3,'Datos - Temas'!$K$5:$K$1264,$A43)+COUNTIFS('Datos - Temas'!$C$5:$C$1264,"Ciencias",'Datos - Temas'!$B$5:$B$1264,N$3,'Datos - Temas'!$L$5:$L$1264,$A43)</f>
        <v/>
      </c>
      <c r="O43" s="11">
        <f>COUNTIFS('Datos - Temas'!$C$5:$C$1264,"Ciencias",'Datos - Temas'!$B$5:$B$1264,O$3,'Datos - Temas'!$K$5:$K$1264,$A43)+COUNTIFS('Datos - Temas'!$C$5:$C$1264,"Ciencias",'Datos - Temas'!$B$5:$B$1264,O$3,'Datos - Temas'!$L$5:$L$1264,$A43)</f>
        <v/>
      </c>
      <c r="P43" s="11">
        <f>COUNTIFS('Datos - Temas'!$C$5:$C$1264,"Ciencias",'Datos - Temas'!$B$5:$B$1264,P$3,'Datos - Temas'!$K$5:$K$1264,$A43)+COUNTIFS('Datos - Temas'!$C$5:$C$1264,"Ciencias",'Datos - Temas'!$B$5:$B$1264,P$3,'Datos - Temas'!$L$5:$L$1264,$A43)</f>
        <v/>
      </c>
      <c r="Q43" s="11">
        <f>COUNTIFS('Datos - Temas'!$C$5:$C$1264,"Ciencias",'Datos - Temas'!$B$5:$B$1264,Q$3,'Datos - Temas'!$K$5:$K$1264,$A43)+COUNTIFS('Datos - Temas'!$C$5:$C$1264,"Ciencias",'Datos - Temas'!$B$5:$B$1264,Q$3,'Datos - Temas'!$L$5:$L$1264,$A43)</f>
        <v/>
      </c>
      <c r="R43" s="11">
        <f>COUNTIFS('Datos - Temas'!$C$5:$C$1264,"Ciencias",'Datos - Temas'!$B$5:$B$1264,R$3,'Datos - Temas'!$K$5:$K$1264,$A43)+COUNTIFS('Datos - Temas'!$C$5:$C$1264,"Ciencias",'Datos - Temas'!$B$5:$B$1264,R$3,'Datos - Temas'!$L$5:$L$1264,$A43)</f>
        <v/>
      </c>
      <c r="S43" s="11">
        <f>COUNTIFS('Datos - Temas'!$C$5:$C$1264,"Ciencias",'Datos - Temas'!$B$5:$B$1264,S$3,'Datos - Temas'!$K$5:$K$1264,$A43)+COUNTIFS('Datos - Temas'!$C$5:$C$1264,"Ciencias",'Datos - Temas'!$B$5:$B$1264,S$3,'Datos - Temas'!$L$5:$L$1264,$A43)</f>
        <v/>
      </c>
      <c r="T43" s="11">
        <f>COUNTIFS('Datos - Temas'!$C$5:$C$1264,"Ciencias",'Datos - Temas'!$B$5:$B$1264,T$3,'Datos - Temas'!$K$5:$K$1264,$A43)+COUNTIFS('Datos - Temas'!$C$5:$C$1264,"Ciencias",'Datos - Temas'!$B$5:$B$1264,T$3,'Datos - Temas'!$L$5:$L$1264,$A43)</f>
        <v/>
      </c>
      <c r="U43" s="11">
        <f>COUNTIFS('Datos - Temas'!$C$5:$C$1264,"Ciencias",'Datos - Temas'!$B$5:$B$1264,U$3,'Datos - Temas'!$K$5:$K$1264,$A43)+COUNTIFS('Datos - Temas'!$C$5:$C$1264,"Ciencias",'Datos - Temas'!$B$5:$B$1264,U$3,'Datos - Temas'!$L$5:$L$1264,$A43)</f>
        <v/>
      </c>
      <c r="V43" s="11">
        <f>COUNTIFS('Datos - Temas'!$C$5:$C$1264,"Ciencias",'Datos - Temas'!$B$5:$B$1264,V$3,'Datos - Temas'!$K$5:$K$1264,$A43)+COUNTIFS('Datos - Temas'!$C$5:$C$1264,"Ciencias",'Datos - Temas'!$B$5:$B$1264,V$3,'Datos - Temas'!$L$5:$L$1264,$A43)</f>
        <v/>
      </c>
      <c r="W43" s="11">
        <f>COUNTIFS('Datos - Objetivos de países'!$B$5:$B$510,"Uruguay",'Datos - Objetivos de países'!$F$5:$F$510,W$3,'Datos - Objetivos de países'!$J$5:$J$510,$A43)+COUNTIFS('Datos - Objetivos de países'!$B$5:$B$510,"Uruguay",'Datos - Objetivos de países'!$F$5:$F$510,W$3,'Datos - Objetivos de países'!$K$5:$K$510,$A43)</f>
        <v/>
      </c>
      <c r="X43" s="11">
        <f>COUNTIFS('Datos - Objetivos de países'!$B$5:$B$510,"Uruguay",'Datos - Objetivos de países'!$F$5:$F$510,X$3,'Datos - Objetivos de países'!$J$5:$J$510,$A43)+COUNTIFS('Datos - Objetivos de países'!$B$5:$B$510,"Uruguay",'Datos - Objetivos de países'!$F$5:$F$510,X$3,'Datos - Objetivos de países'!$K$5:$K$510,$A43)</f>
        <v/>
      </c>
      <c r="Y43" s="11">
        <f>COUNTIFS('Datos - Objetivos de países'!$B$5:$B$510,"Uruguay",'Datos - Objetivos de países'!$F$5:$F$510,Y$3,'Datos - Objetivos de países'!$J$5:$J$510,$A43)+COUNTIFS('Datos - Objetivos de países'!$B$5:$B$510,"Uruguay",'Datos - Objetivos de países'!$F$5:$F$510,Y$3,'Datos - Objetivos de países'!$K$5:$K$510,$A43)</f>
        <v/>
      </c>
      <c r="Z43" s="11">
        <f>COUNTIFS('Datos - Objetivos de países'!$B$5:$B$510,"Uruguay",'Datos - Objetivos de países'!$F$5:$F$510,Z$3,'Datos - Objetivos de países'!$J$5:$J$510,$A43)+COUNTIFS('Datos - Objetivos de países'!$B$5:$B$510,"Uruguay",'Datos - Objetivos de países'!$F$5:$F$510,Z$3,'Datos - Objetivos de países'!$K$5:$K$510,$A43)</f>
        <v/>
      </c>
      <c r="AA43" s="11">
        <f>COUNTIFS('Datos - Objetivos de países'!$B$5:$B$510,"Uruguay",'Datos - Objetivos de países'!$F$5:$F$510,AA$3,'Datos - Objetivos de países'!$J$5:$J$510,$A43)+COUNTIFS('Datos - Objetivos de países'!$B$5:$B$510,"Uruguay",'Datos - Objetivos de países'!$F$5:$F$510,AA$3,'Datos - Objetivos de países'!$K$5:$K$510,$A43)</f>
        <v/>
      </c>
      <c r="AB43" s="11">
        <f>COUNTIFS('Datos - Objetivos de países'!$B$5:$B$510,"Uruguay",'Datos - Objetivos de países'!$F$5:$F$510,AB$3,'Datos - Objetivos de países'!$J$5:$J$510,$A43)+COUNTIFS('Datos - Objetivos de países'!$B$5:$B$510,"Uruguay",'Datos - Objetivos de países'!$F$5:$F$510,AB$3,'Datos - Objetivos de países'!$K$5:$K$510,$A43)</f>
        <v/>
      </c>
      <c r="AC43" s="11">
        <f>COUNTIFS('Datos - Objetivos de países'!$B$5:$B$510,"Uruguay",'Datos - Objetivos de países'!$F$5:$F$510,AC$3,'Datos - Objetivos de países'!$J$5:$J$510,$A43)+COUNTIFS('Datos - Objetivos de países'!$B$5:$B$510,"Uruguay",'Datos - Objetivos de países'!$F$5:$F$510,AC$3,'Datos - Objetivos de países'!$K$5:$K$510,$A43)</f>
        <v/>
      </c>
      <c r="AD43" s="11">
        <f>COUNTIFS('Datos - Objetivos de países'!$B$5:$B$510,"Uruguay",'Datos - Objetivos de países'!$F$5:$F$510,AD$3,'Datos - Objetivos de países'!$J$5:$J$510,$A43)+COUNTIFS('Datos - Objetivos de países'!$B$5:$B$510,"Uruguay",'Datos - Objetivos de países'!$F$5:$F$510,AD$3,'Datos - Objetivos de países'!$K$5:$K$510,$A43)</f>
        <v/>
      </c>
      <c r="AE43" s="11">
        <f>COUNTIFS('Datos - Objetivos de países'!$B$5:$B$510,"Uruguay",'Datos - Objetivos de países'!$F$5:$F$510,AE$3,'Datos - Objetivos de países'!$J$5:$J$510,$A43)+COUNTIFS('Datos - Objetivos de países'!$B$5:$B$510,"Uruguay",'Datos - Objetivos de países'!$F$5:$F$510,AE$3,'Datos - Objetivos de países'!$K$5:$K$510,$A43)</f>
        <v/>
      </c>
      <c r="AF43" s="11">
        <f>COUNTIFS('Datos - Objetivos de países'!$B$5:$B$510,"Colombia",'Datos - Objetivos de países'!$F$5:$F$510,AF$3,'Datos - Objetivos de países'!$J$5:$J$510,$A43)+COUNTIFS('Datos - Objetivos de países'!$B$5:$B$510,"Colombia",'Datos - Objetivos de países'!$F$5:$F$510,AF$3,'Datos - Objetivos de países'!$K$5:$K$510,$A43)</f>
        <v/>
      </c>
      <c r="AG43" s="11">
        <f>COUNTIFS('Datos - Objetivos de países'!$B$5:$B$510,"Colombia",'Datos - Objetivos de países'!$F$5:$F$510,AG$3,'Datos - Objetivos de países'!$J$5:$J$510,$A43)+COUNTIFS('Datos - Objetivos de países'!$B$5:$B$510,"Colombia",'Datos - Objetivos de países'!$F$5:$F$510,AG$3,'Datos - Objetivos de países'!$K$5:$K$510,$A43)</f>
        <v/>
      </c>
      <c r="AH43" s="11">
        <f>COUNTIFS('Datos - Objetivos de países'!$B$5:$B$510,"Colombia",'Datos - Objetivos de países'!$F$5:$F$510,AH$3,'Datos - Objetivos de países'!$J$5:$J$510,$A43)+COUNTIFS('Datos - Objetivos de países'!$B$5:$B$510,"Colombia",'Datos - Objetivos de países'!$F$5:$F$510,AH$3,'Datos - Objetivos de países'!$K$5:$K$510,$A43)</f>
        <v/>
      </c>
      <c r="AI43" s="11">
        <f>COUNTIFS('Datos - Objetivos de países'!$B$5:$B$510,"Colombia",'Datos - Objetivos de países'!$F$5:$F$510,AI$3,'Datos - Objetivos de países'!$J$5:$J$510,$A43)+COUNTIFS('Datos - Objetivos de países'!$B$5:$B$510,"Colombia",'Datos - Objetivos de países'!$F$5:$F$510,AI$3,'Datos - Objetivos de países'!$K$5:$K$510,$A43)</f>
        <v/>
      </c>
      <c r="AJ43" s="11">
        <f>COUNTIFS('Datos - Objetivos de países'!$B$5:$B$510,"Colombia",'Datos - Objetivos de países'!$F$5:$F$510,AJ$3,'Datos - Objetivos de países'!$J$5:$J$510,$A43)+COUNTIFS('Datos - Objetivos de países'!$B$5:$B$510,"Colombia",'Datos - Objetivos de países'!$F$5:$F$510,AJ$3,'Datos - Objetivos de países'!$K$5:$K$510,$A43)</f>
        <v/>
      </c>
      <c r="AK43" s="11">
        <f>COUNTIFS('Datos - Objetivos de países'!$B$5:$B$510,"Colombia",'Datos - Objetivos de países'!$F$5:$F$510,AK$3,'Datos - Objetivos de países'!$J$5:$J$510,$A43)+COUNTIFS('Datos - Objetivos de países'!$B$5:$B$510,"Colombia",'Datos - Objetivos de países'!$F$5:$F$510,AK$3,'Datos - Objetivos de países'!$K$5:$K$510,$A43)</f>
        <v/>
      </c>
      <c r="AL43" s="11">
        <f>COUNTIFS('Datos - Objetivos de países'!$B$5:$B$510,"Colombia",'Datos - Objetivos de países'!$F$5:$F$510,AL$3,'Datos - Objetivos de países'!$J$5:$J$510,$A43)+COUNTIFS('Datos - Objetivos de países'!$B$5:$B$510,"Colombia",'Datos - Objetivos de países'!$F$5:$F$510,AL$3,'Datos - Objetivos de países'!$K$5:$K$510,$A43)</f>
        <v/>
      </c>
      <c r="AM43" s="11">
        <f>COUNTIFS('Datos - Objetivos de países'!$B$5:$B$510,"Colombia",'Datos - Objetivos de países'!$F$5:$F$510,AM$3,'Datos - Objetivos de países'!$J$5:$J$510,$A43)+COUNTIFS('Datos - Objetivos de países'!$B$5:$B$510,"Colombia",'Datos - Objetivos de países'!$F$5:$F$510,AM$3,'Datos - Objetivos de países'!$K$5:$K$510,$A43)</f>
        <v/>
      </c>
      <c r="AN43" s="11">
        <f>COUNTIFS('Datos - Objetivos de países'!$B$5:$B$510,"Colombia",'Datos - Objetivos de países'!$F$5:$F$510,AN$3,'Datos - Objetivos de países'!$J$5:$J$510,$A43)+COUNTIFS('Datos - Objetivos de países'!$B$5:$B$510,"Colombia",'Datos - Objetivos de países'!$F$5:$F$510,AN$3,'Datos - Objetivos de países'!$K$5:$K$510,$A43)</f>
        <v/>
      </c>
      <c r="AO43" s="11">
        <f>COUNTIFS('Datos - Objetivos de países'!$B$5:$B$510,"Singapur",'Datos - Objetivos de países'!$F$5:$F$510,AO$3,'Datos - Objetivos de países'!$J$5:$J$510,$A43)+COUNTIFS('Datos - Objetivos de países'!$B$5:$B$510,"Singapur",'Datos - Objetivos de países'!$F$5:$F$510,AO$3,'Datos - Objetivos de países'!$K$5:$K$510,$A43)</f>
        <v/>
      </c>
      <c r="AP43" s="11">
        <f>COUNTIFS('Datos - Objetivos de países'!$B$5:$B$510,"Singapur",'Datos - Objetivos de países'!$F$5:$F$510,AP$3,'Datos - Objetivos de países'!$J$5:$J$510,$A43)+COUNTIFS('Datos - Objetivos de países'!$B$5:$B$510,"Singapur",'Datos - Objetivos de países'!$F$5:$F$510,AP$3,'Datos - Objetivos de países'!$K$5:$K$510,$A43)</f>
        <v/>
      </c>
      <c r="AQ43" s="11">
        <f>COUNTIFS('Datos - Objetivos de países'!$B$5:$B$510,"Singapur",'Datos - Objetivos de países'!$F$5:$F$510,AQ$3,'Datos - Objetivos de países'!$J$5:$J$510,$A43)+COUNTIFS('Datos - Objetivos de países'!$B$5:$B$510,"Singapur",'Datos - Objetivos de países'!$F$5:$F$510,AQ$3,'Datos - Objetivos de países'!$K$5:$K$510,$A43)</f>
        <v/>
      </c>
      <c r="AR43" s="11">
        <f>COUNTIFS('Datos - Objetivos de países'!$B$5:$B$510,"Singapur",'Datos - Objetivos de países'!$F$5:$F$510,AR$3,'Datos - Objetivos de países'!$J$5:$J$510,$A43)+COUNTIFS('Datos - Objetivos de países'!$B$5:$B$510,"Singapur",'Datos - Objetivos de países'!$F$5:$F$510,AR$3,'Datos - Objetivos de países'!$K$5:$K$510,$A43)</f>
        <v/>
      </c>
      <c r="AS43" s="11">
        <f>COUNTIFS('Datos - Objetivos de países'!$B$5:$B$510,"Singapur",'Datos - Objetivos de países'!$F$5:$F$510,AS$3,'Datos - Objetivos de países'!$J$5:$J$510,$A43)+COUNTIFS('Datos - Objetivos de países'!$B$5:$B$510,"Singapur",'Datos - Objetivos de países'!$F$5:$F$510,AS$3,'Datos - Objetivos de países'!$K$5:$K$510,$A43)</f>
        <v/>
      </c>
      <c r="AT43" s="11">
        <f>COUNTIFS('Datos - Objetivos de países'!$B$5:$B$510,"Singapur",'Datos - Objetivos de países'!$F$5:$F$510,AT$3,'Datos - Objetivos de países'!$J$5:$J$510,$A43)+COUNTIFS('Datos - Objetivos de países'!$B$5:$B$510,"Singapur",'Datos - Objetivos de países'!$F$5:$F$510,AT$3,'Datos - Objetivos de países'!$K$5:$K$510,$A43)</f>
        <v/>
      </c>
      <c r="AU43" s="11">
        <f>COUNTIFS('Datos - Objetivos de países'!$B$5:$B$510,"Singapur",'Datos - Objetivos de países'!$F$5:$F$510,AU$3,'Datos - Objetivos de países'!$J$5:$J$510,$A43)+COUNTIFS('Datos - Objetivos de países'!$B$5:$B$510,"Singapur",'Datos - Objetivos de países'!$F$5:$F$510,AU$3,'Datos - Objetivos de países'!$K$5:$K$510,$A43)</f>
        <v/>
      </c>
      <c r="AV43" s="11">
        <f>COUNTIFS('Datos - Objetivos de países'!$B$5:$B$510,"Singapur",'Datos - Objetivos de países'!$F$5:$F$510,AV$3,'Datos - Objetivos de países'!$J$5:$J$510,$A43)+COUNTIFS('Datos - Objetivos de países'!$B$5:$B$510,"Singapur",'Datos - Objetivos de países'!$F$5:$F$510,AV$3,'Datos - Objetivos de países'!$K$5:$K$510,$A43)</f>
        <v/>
      </c>
      <c r="AW43" s="11">
        <f>COUNTIFS('Datos - Objetivos de países'!$B$5:$B$510,"Singapur",'Datos - Objetivos de países'!$F$5:$F$510,AW$3,'Datos - Objetivos de países'!$J$5:$J$510,$A43)+COUNTIFS('Datos - Objetivos de países'!$B$5:$B$510,"Singapur",'Datos - Objetivos de países'!$F$5:$F$510,AW$3,'Datos - Objetivos de países'!$K$5:$K$510,$A43)</f>
        <v/>
      </c>
    </row>
    <row r="44">
      <c r="A44" s="30" t="inlineStr">
        <is>
          <t>T8_27-B5.1</t>
        </is>
      </c>
      <c r="B44" s="30" t="inlineStr">
        <is>
          <t>T8_27</t>
        </is>
      </c>
      <c r="C44" s="30" t="inlineStr">
        <is>
          <t>Biología</t>
        </is>
      </c>
      <c r="D44" s="30" t="inlineStr">
        <is>
          <t>Ecosistemas naturales, urbanos y rurales</t>
        </is>
      </c>
      <c r="E44" s="30">
        <f>IFERROR(MAX($L$3,INDEX($N$3:$V$3,MATCH(TRUE,INDEX(N44:V44&gt;0,0),0))),"—")</f>
        <v/>
      </c>
      <c r="F44" s="30">
        <f>IFERROR(MAX($L$3,INDEX($W$3:$AE$3,MATCH(TRUE,INDEX(W44:AE44&gt;0,0),0))),"—")</f>
        <v/>
      </c>
      <c r="G44" s="30">
        <f>IFERROR(MAX($L$3,INDEX($AF$3:$AN$3,MATCH(TRUE,INDEX(AF44:AN44&gt;0,0),0))),"—")</f>
        <v/>
      </c>
      <c r="H44" s="30">
        <f>IFERROR(MAX($L$3,INDEX($AO$3:$AW$3,MATCH(TRUE,INDEX(AO44:AW44&gt;0,0),0))),"—")</f>
        <v/>
      </c>
      <c r="I44" s="36">
        <f>IF(L44=0,"—",MEDIAN(F44:H44))</f>
        <v/>
      </c>
      <c r="J44" s="36">
        <f>IF(OR(E44="—",I44="—"),"—",E44-I44)</f>
        <v/>
      </c>
      <c r="K44" s="19">
        <f>IF(E44="—",IF(L44=0,"Nadie lo trabaja","El Salvador no llega"),IF(L44=0,"Solo El Salvador",IF(J44&gt;0,"El Salvador llega más tarde",IF(J44&lt;0,"El Salvador va adelantado","Mismo grado"))))</f>
        <v/>
      </c>
      <c r="L44" s="30">
        <f>COUNT(F44:H44)</f>
        <v/>
      </c>
      <c r="N44" s="11">
        <f>COUNTIFS('Datos - Temas'!$C$5:$C$1264,"Ciencias",'Datos - Temas'!$B$5:$B$1264,N$3,'Datos - Temas'!$K$5:$K$1264,$A44)+COUNTIFS('Datos - Temas'!$C$5:$C$1264,"Ciencias",'Datos - Temas'!$B$5:$B$1264,N$3,'Datos - Temas'!$L$5:$L$1264,$A44)</f>
        <v/>
      </c>
      <c r="O44" s="11">
        <f>COUNTIFS('Datos - Temas'!$C$5:$C$1264,"Ciencias",'Datos - Temas'!$B$5:$B$1264,O$3,'Datos - Temas'!$K$5:$K$1264,$A44)+COUNTIFS('Datos - Temas'!$C$5:$C$1264,"Ciencias",'Datos - Temas'!$B$5:$B$1264,O$3,'Datos - Temas'!$L$5:$L$1264,$A44)</f>
        <v/>
      </c>
      <c r="P44" s="11">
        <f>COUNTIFS('Datos - Temas'!$C$5:$C$1264,"Ciencias",'Datos - Temas'!$B$5:$B$1264,P$3,'Datos - Temas'!$K$5:$K$1264,$A44)+COUNTIFS('Datos - Temas'!$C$5:$C$1264,"Ciencias",'Datos - Temas'!$B$5:$B$1264,P$3,'Datos - Temas'!$L$5:$L$1264,$A44)</f>
        <v/>
      </c>
      <c r="Q44" s="11">
        <f>COUNTIFS('Datos - Temas'!$C$5:$C$1264,"Ciencias",'Datos - Temas'!$B$5:$B$1264,Q$3,'Datos - Temas'!$K$5:$K$1264,$A44)+COUNTIFS('Datos - Temas'!$C$5:$C$1264,"Ciencias",'Datos - Temas'!$B$5:$B$1264,Q$3,'Datos - Temas'!$L$5:$L$1264,$A44)</f>
        <v/>
      </c>
      <c r="R44" s="11">
        <f>COUNTIFS('Datos - Temas'!$C$5:$C$1264,"Ciencias",'Datos - Temas'!$B$5:$B$1264,R$3,'Datos - Temas'!$K$5:$K$1264,$A44)+COUNTIFS('Datos - Temas'!$C$5:$C$1264,"Ciencias",'Datos - Temas'!$B$5:$B$1264,R$3,'Datos - Temas'!$L$5:$L$1264,$A44)</f>
        <v/>
      </c>
      <c r="S44" s="11">
        <f>COUNTIFS('Datos - Temas'!$C$5:$C$1264,"Ciencias",'Datos - Temas'!$B$5:$B$1264,S$3,'Datos - Temas'!$K$5:$K$1264,$A44)+COUNTIFS('Datos - Temas'!$C$5:$C$1264,"Ciencias",'Datos - Temas'!$B$5:$B$1264,S$3,'Datos - Temas'!$L$5:$L$1264,$A44)</f>
        <v/>
      </c>
      <c r="T44" s="11">
        <f>COUNTIFS('Datos - Temas'!$C$5:$C$1264,"Ciencias",'Datos - Temas'!$B$5:$B$1264,T$3,'Datos - Temas'!$K$5:$K$1264,$A44)+COUNTIFS('Datos - Temas'!$C$5:$C$1264,"Ciencias",'Datos - Temas'!$B$5:$B$1264,T$3,'Datos - Temas'!$L$5:$L$1264,$A44)</f>
        <v/>
      </c>
      <c r="U44" s="11">
        <f>COUNTIFS('Datos - Temas'!$C$5:$C$1264,"Ciencias",'Datos - Temas'!$B$5:$B$1264,U$3,'Datos - Temas'!$K$5:$K$1264,$A44)+COUNTIFS('Datos - Temas'!$C$5:$C$1264,"Ciencias",'Datos - Temas'!$B$5:$B$1264,U$3,'Datos - Temas'!$L$5:$L$1264,$A44)</f>
        <v/>
      </c>
      <c r="V44" s="11">
        <f>COUNTIFS('Datos - Temas'!$C$5:$C$1264,"Ciencias",'Datos - Temas'!$B$5:$B$1264,V$3,'Datos - Temas'!$K$5:$K$1264,$A44)+COUNTIFS('Datos - Temas'!$C$5:$C$1264,"Ciencias",'Datos - Temas'!$B$5:$B$1264,V$3,'Datos - Temas'!$L$5:$L$1264,$A44)</f>
        <v/>
      </c>
      <c r="W44" s="11">
        <f>COUNTIFS('Datos - Objetivos de países'!$B$5:$B$510,"Uruguay",'Datos - Objetivos de países'!$F$5:$F$510,W$3,'Datos - Objetivos de países'!$J$5:$J$510,$A44)+COUNTIFS('Datos - Objetivos de países'!$B$5:$B$510,"Uruguay",'Datos - Objetivos de países'!$F$5:$F$510,W$3,'Datos - Objetivos de países'!$K$5:$K$510,$A44)</f>
        <v/>
      </c>
      <c r="X44" s="11">
        <f>COUNTIFS('Datos - Objetivos de países'!$B$5:$B$510,"Uruguay",'Datos - Objetivos de países'!$F$5:$F$510,X$3,'Datos - Objetivos de países'!$J$5:$J$510,$A44)+COUNTIFS('Datos - Objetivos de países'!$B$5:$B$510,"Uruguay",'Datos - Objetivos de países'!$F$5:$F$510,X$3,'Datos - Objetivos de países'!$K$5:$K$510,$A44)</f>
        <v/>
      </c>
      <c r="Y44" s="11">
        <f>COUNTIFS('Datos - Objetivos de países'!$B$5:$B$510,"Uruguay",'Datos - Objetivos de países'!$F$5:$F$510,Y$3,'Datos - Objetivos de países'!$J$5:$J$510,$A44)+COUNTIFS('Datos - Objetivos de países'!$B$5:$B$510,"Uruguay",'Datos - Objetivos de países'!$F$5:$F$510,Y$3,'Datos - Objetivos de países'!$K$5:$K$510,$A44)</f>
        <v/>
      </c>
      <c r="Z44" s="11">
        <f>COUNTIFS('Datos - Objetivos de países'!$B$5:$B$510,"Uruguay",'Datos - Objetivos de países'!$F$5:$F$510,Z$3,'Datos - Objetivos de países'!$J$5:$J$510,$A44)+COUNTIFS('Datos - Objetivos de países'!$B$5:$B$510,"Uruguay",'Datos - Objetivos de países'!$F$5:$F$510,Z$3,'Datos - Objetivos de países'!$K$5:$K$510,$A44)</f>
        <v/>
      </c>
      <c r="AA44" s="11">
        <f>COUNTIFS('Datos - Objetivos de países'!$B$5:$B$510,"Uruguay",'Datos - Objetivos de países'!$F$5:$F$510,AA$3,'Datos - Objetivos de países'!$J$5:$J$510,$A44)+COUNTIFS('Datos - Objetivos de países'!$B$5:$B$510,"Uruguay",'Datos - Objetivos de países'!$F$5:$F$510,AA$3,'Datos - Objetivos de países'!$K$5:$K$510,$A44)</f>
        <v/>
      </c>
      <c r="AB44" s="11">
        <f>COUNTIFS('Datos - Objetivos de países'!$B$5:$B$510,"Uruguay",'Datos - Objetivos de países'!$F$5:$F$510,AB$3,'Datos - Objetivos de países'!$J$5:$J$510,$A44)+COUNTIFS('Datos - Objetivos de países'!$B$5:$B$510,"Uruguay",'Datos - Objetivos de países'!$F$5:$F$510,AB$3,'Datos - Objetivos de países'!$K$5:$K$510,$A44)</f>
        <v/>
      </c>
      <c r="AC44" s="11">
        <f>COUNTIFS('Datos - Objetivos de países'!$B$5:$B$510,"Uruguay",'Datos - Objetivos de países'!$F$5:$F$510,AC$3,'Datos - Objetivos de países'!$J$5:$J$510,$A44)+COUNTIFS('Datos - Objetivos de países'!$B$5:$B$510,"Uruguay",'Datos - Objetivos de países'!$F$5:$F$510,AC$3,'Datos - Objetivos de países'!$K$5:$K$510,$A44)</f>
        <v/>
      </c>
      <c r="AD44" s="11">
        <f>COUNTIFS('Datos - Objetivos de países'!$B$5:$B$510,"Uruguay",'Datos - Objetivos de países'!$F$5:$F$510,AD$3,'Datos - Objetivos de países'!$J$5:$J$510,$A44)+COUNTIFS('Datos - Objetivos de países'!$B$5:$B$510,"Uruguay",'Datos - Objetivos de países'!$F$5:$F$510,AD$3,'Datos - Objetivos de países'!$K$5:$K$510,$A44)</f>
        <v/>
      </c>
      <c r="AE44" s="11">
        <f>COUNTIFS('Datos - Objetivos de países'!$B$5:$B$510,"Uruguay",'Datos - Objetivos de países'!$F$5:$F$510,AE$3,'Datos - Objetivos de países'!$J$5:$J$510,$A44)+COUNTIFS('Datos - Objetivos de países'!$B$5:$B$510,"Uruguay",'Datos - Objetivos de países'!$F$5:$F$510,AE$3,'Datos - Objetivos de países'!$K$5:$K$510,$A44)</f>
        <v/>
      </c>
      <c r="AF44" s="11">
        <f>COUNTIFS('Datos - Objetivos de países'!$B$5:$B$510,"Colombia",'Datos - Objetivos de países'!$F$5:$F$510,AF$3,'Datos - Objetivos de países'!$J$5:$J$510,$A44)+COUNTIFS('Datos - Objetivos de países'!$B$5:$B$510,"Colombia",'Datos - Objetivos de países'!$F$5:$F$510,AF$3,'Datos - Objetivos de países'!$K$5:$K$510,$A44)</f>
        <v/>
      </c>
      <c r="AG44" s="11">
        <f>COUNTIFS('Datos - Objetivos de países'!$B$5:$B$510,"Colombia",'Datos - Objetivos de países'!$F$5:$F$510,AG$3,'Datos - Objetivos de países'!$J$5:$J$510,$A44)+COUNTIFS('Datos - Objetivos de países'!$B$5:$B$510,"Colombia",'Datos - Objetivos de países'!$F$5:$F$510,AG$3,'Datos - Objetivos de países'!$K$5:$K$510,$A44)</f>
        <v/>
      </c>
      <c r="AH44" s="11">
        <f>COUNTIFS('Datos - Objetivos de países'!$B$5:$B$510,"Colombia",'Datos - Objetivos de países'!$F$5:$F$510,AH$3,'Datos - Objetivos de países'!$J$5:$J$510,$A44)+COUNTIFS('Datos - Objetivos de países'!$B$5:$B$510,"Colombia",'Datos - Objetivos de países'!$F$5:$F$510,AH$3,'Datos - Objetivos de países'!$K$5:$K$510,$A44)</f>
        <v/>
      </c>
      <c r="AI44" s="11">
        <f>COUNTIFS('Datos - Objetivos de países'!$B$5:$B$510,"Colombia",'Datos - Objetivos de países'!$F$5:$F$510,AI$3,'Datos - Objetivos de países'!$J$5:$J$510,$A44)+COUNTIFS('Datos - Objetivos de países'!$B$5:$B$510,"Colombia",'Datos - Objetivos de países'!$F$5:$F$510,AI$3,'Datos - Objetivos de países'!$K$5:$K$510,$A44)</f>
        <v/>
      </c>
      <c r="AJ44" s="11">
        <f>COUNTIFS('Datos - Objetivos de países'!$B$5:$B$510,"Colombia",'Datos - Objetivos de países'!$F$5:$F$510,AJ$3,'Datos - Objetivos de países'!$J$5:$J$510,$A44)+COUNTIFS('Datos - Objetivos de países'!$B$5:$B$510,"Colombia",'Datos - Objetivos de países'!$F$5:$F$510,AJ$3,'Datos - Objetivos de países'!$K$5:$K$510,$A44)</f>
        <v/>
      </c>
      <c r="AK44" s="11">
        <f>COUNTIFS('Datos - Objetivos de países'!$B$5:$B$510,"Colombia",'Datos - Objetivos de países'!$F$5:$F$510,AK$3,'Datos - Objetivos de países'!$J$5:$J$510,$A44)+COUNTIFS('Datos - Objetivos de países'!$B$5:$B$510,"Colombia",'Datos - Objetivos de países'!$F$5:$F$510,AK$3,'Datos - Objetivos de países'!$K$5:$K$510,$A44)</f>
        <v/>
      </c>
      <c r="AL44" s="11">
        <f>COUNTIFS('Datos - Objetivos de países'!$B$5:$B$510,"Colombia",'Datos - Objetivos de países'!$F$5:$F$510,AL$3,'Datos - Objetivos de países'!$J$5:$J$510,$A44)+COUNTIFS('Datos - Objetivos de países'!$B$5:$B$510,"Colombia",'Datos - Objetivos de países'!$F$5:$F$510,AL$3,'Datos - Objetivos de países'!$K$5:$K$510,$A44)</f>
        <v/>
      </c>
      <c r="AM44" s="11">
        <f>COUNTIFS('Datos - Objetivos de países'!$B$5:$B$510,"Colombia",'Datos - Objetivos de países'!$F$5:$F$510,AM$3,'Datos - Objetivos de países'!$J$5:$J$510,$A44)+COUNTIFS('Datos - Objetivos de países'!$B$5:$B$510,"Colombia",'Datos - Objetivos de países'!$F$5:$F$510,AM$3,'Datos - Objetivos de países'!$K$5:$K$510,$A44)</f>
        <v/>
      </c>
      <c r="AN44" s="11">
        <f>COUNTIFS('Datos - Objetivos de países'!$B$5:$B$510,"Colombia",'Datos - Objetivos de países'!$F$5:$F$510,AN$3,'Datos - Objetivos de países'!$J$5:$J$510,$A44)+COUNTIFS('Datos - Objetivos de países'!$B$5:$B$510,"Colombia",'Datos - Objetivos de países'!$F$5:$F$510,AN$3,'Datos - Objetivos de países'!$K$5:$K$510,$A44)</f>
        <v/>
      </c>
      <c r="AO44" s="11">
        <f>COUNTIFS('Datos - Objetivos de países'!$B$5:$B$510,"Singapur",'Datos - Objetivos de países'!$F$5:$F$510,AO$3,'Datos - Objetivos de países'!$J$5:$J$510,$A44)+COUNTIFS('Datos - Objetivos de países'!$B$5:$B$510,"Singapur",'Datos - Objetivos de países'!$F$5:$F$510,AO$3,'Datos - Objetivos de países'!$K$5:$K$510,$A44)</f>
        <v/>
      </c>
      <c r="AP44" s="11">
        <f>COUNTIFS('Datos - Objetivos de países'!$B$5:$B$510,"Singapur",'Datos - Objetivos de países'!$F$5:$F$510,AP$3,'Datos - Objetivos de países'!$J$5:$J$510,$A44)+COUNTIFS('Datos - Objetivos de países'!$B$5:$B$510,"Singapur",'Datos - Objetivos de países'!$F$5:$F$510,AP$3,'Datos - Objetivos de países'!$K$5:$K$510,$A44)</f>
        <v/>
      </c>
      <c r="AQ44" s="11">
        <f>COUNTIFS('Datos - Objetivos de países'!$B$5:$B$510,"Singapur",'Datos - Objetivos de países'!$F$5:$F$510,AQ$3,'Datos - Objetivos de países'!$J$5:$J$510,$A44)+COUNTIFS('Datos - Objetivos de países'!$B$5:$B$510,"Singapur",'Datos - Objetivos de países'!$F$5:$F$510,AQ$3,'Datos - Objetivos de países'!$K$5:$K$510,$A44)</f>
        <v/>
      </c>
      <c r="AR44" s="11">
        <f>COUNTIFS('Datos - Objetivos de países'!$B$5:$B$510,"Singapur",'Datos - Objetivos de países'!$F$5:$F$510,AR$3,'Datos - Objetivos de países'!$J$5:$J$510,$A44)+COUNTIFS('Datos - Objetivos de países'!$B$5:$B$510,"Singapur",'Datos - Objetivos de países'!$F$5:$F$510,AR$3,'Datos - Objetivos de países'!$K$5:$K$510,$A44)</f>
        <v/>
      </c>
      <c r="AS44" s="11">
        <f>COUNTIFS('Datos - Objetivos de países'!$B$5:$B$510,"Singapur",'Datos - Objetivos de países'!$F$5:$F$510,AS$3,'Datos - Objetivos de países'!$J$5:$J$510,$A44)+COUNTIFS('Datos - Objetivos de países'!$B$5:$B$510,"Singapur",'Datos - Objetivos de países'!$F$5:$F$510,AS$3,'Datos - Objetivos de países'!$K$5:$K$510,$A44)</f>
        <v/>
      </c>
      <c r="AT44" s="11">
        <f>COUNTIFS('Datos - Objetivos de países'!$B$5:$B$510,"Singapur",'Datos - Objetivos de países'!$F$5:$F$510,AT$3,'Datos - Objetivos de países'!$J$5:$J$510,$A44)+COUNTIFS('Datos - Objetivos de países'!$B$5:$B$510,"Singapur",'Datos - Objetivos de países'!$F$5:$F$510,AT$3,'Datos - Objetivos de países'!$K$5:$K$510,$A44)</f>
        <v/>
      </c>
      <c r="AU44" s="11">
        <f>COUNTIFS('Datos - Objetivos de países'!$B$5:$B$510,"Singapur",'Datos - Objetivos de países'!$F$5:$F$510,AU$3,'Datos - Objetivos de países'!$J$5:$J$510,$A44)+COUNTIFS('Datos - Objetivos de países'!$B$5:$B$510,"Singapur",'Datos - Objetivos de países'!$F$5:$F$510,AU$3,'Datos - Objetivos de países'!$K$5:$K$510,$A44)</f>
        <v/>
      </c>
      <c r="AV44" s="11">
        <f>COUNTIFS('Datos - Objetivos de países'!$B$5:$B$510,"Singapur",'Datos - Objetivos de países'!$F$5:$F$510,AV$3,'Datos - Objetivos de países'!$J$5:$J$510,$A44)+COUNTIFS('Datos - Objetivos de países'!$B$5:$B$510,"Singapur",'Datos - Objetivos de países'!$F$5:$F$510,AV$3,'Datos - Objetivos de países'!$K$5:$K$510,$A44)</f>
        <v/>
      </c>
      <c r="AW44" s="11">
        <f>COUNTIFS('Datos - Objetivos de países'!$B$5:$B$510,"Singapur",'Datos - Objetivos de países'!$F$5:$F$510,AW$3,'Datos - Objetivos de países'!$J$5:$J$510,$A44)+COUNTIFS('Datos - Objetivos de países'!$B$5:$B$510,"Singapur",'Datos - Objetivos de países'!$F$5:$F$510,AW$3,'Datos - Objetivos de países'!$K$5:$K$510,$A44)</f>
        <v/>
      </c>
    </row>
    <row r="45">
      <c r="A45" s="30" t="inlineStr">
        <is>
          <t>T8_27-B5.2</t>
        </is>
      </c>
      <c r="B45" s="30" t="inlineStr">
        <is>
          <t>T8_27</t>
        </is>
      </c>
      <c r="C45" s="30" t="inlineStr">
        <is>
          <t>Biología</t>
        </is>
      </c>
      <c r="D45" s="30" t="inlineStr">
        <is>
          <t>Flujo de energía en los ecosistemas</t>
        </is>
      </c>
      <c r="E45" s="30">
        <f>IFERROR(MAX($L$3,INDEX($N$3:$V$3,MATCH(TRUE,INDEX(N45:V45&gt;0,0),0))),"—")</f>
        <v/>
      </c>
      <c r="F45" s="30">
        <f>IFERROR(MAX($L$3,INDEX($W$3:$AE$3,MATCH(TRUE,INDEX(W45:AE45&gt;0,0),0))),"—")</f>
        <v/>
      </c>
      <c r="G45" s="30">
        <f>IFERROR(MAX($L$3,INDEX($AF$3:$AN$3,MATCH(TRUE,INDEX(AF45:AN45&gt;0,0),0))),"—")</f>
        <v/>
      </c>
      <c r="H45" s="30">
        <f>IFERROR(MAX($L$3,INDEX($AO$3:$AW$3,MATCH(TRUE,INDEX(AO45:AW45&gt;0,0),0))),"—")</f>
        <v/>
      </c>
      <c r="I45" s="36">
        <f>IF(L45=0,"—",MEDIAN(F45:H45))</f>
        <v/>
      </c>
      <c r="J45" s="36">
        <f>IF(OR(E45="—",I45="—"),"—",E45-I45)</f>
        <v/>
      </c>
      <c r="K45" s="19">
        <f>IF(E45="—",IF(L45=0,"Nadie lo trabaja","El Salvador no llega"),IF(L45=0,"Solo El Salvador",IF(J45&gt;0,"El Salvador llega más tarde",IF(J45&lt;0,"El Salvador va adelantado","Mismo grado"))))</f>
        <v/>
      </c>
      <c r="L45" s="30">
        <f>COUNT(F45:H45)</f>
        <v/>
      </c>
      <c r="N45" s="11">
        <f>COUNTIFS('Datos - Temas'!$C$5:$C$1264,"Ciencias",'Datos - Temas'!$B$5:$B$1264,N$3,'Datos - Temas'!$K$5:$K$1264,$A45)+COUNTIFS('Datos - Temas'!$C$5:$C$1264,"Ciencias",'Datos - Temas'!$B$5:$B$1264,N$3,'Datos - Temas'!$L$5:$L$1264,$A45)</f>
        <v/>
      </c>
      <c r="O45" s="11">
        <f>COUNTIFS('Datos - Temas'!$C$5:$C$1264,"Ciencias",'Datos - Temas'!$B$5:$B$1264,O$3,'Datos - Temas'!$K$5:$K$1264,$A45)+COUNTIFS('Datos - Temas'!$C$5:$C$1264,"Ciencias",'Datos - Temas'!$B$5:$B$1264,O$3,'Datos - Temas'!$L$5:$L$1264,$A45)</f>
        <v/>
      </c>
      <c r="P45" s="11">
        <f>COUNTIFS('Datos - Temas'!$C$5:$C$1264,"Ciencias",'Datos - Temas'!$B$5:$B$1264,P$3,'Datos - Temas'!$K$5:$K$1264,$A45)+COUNTIFS('Datos - Temas'!$C$5:$C$1264,"Ciencias",'Datos - Temas'!$B$5:$B$1264,P$3,'Datos - Temas'!$L$5:$L$1264,$A45)</f>
        <v/>
      </c>
      <c r="Q45" s="11">
        <f>COUNTIFS('Datos - Temas'!$C$5:$C$1264,"Ciencias",'Datos - Temas'!$B$5:$B$1264,Q$3,'Datos - Temas'!$K$5:$K$1264,$A45)+COUNTIFS('Datos - Temas'!$C$5:$C$1264,"Ciencias",'Datos - Temas'!$B$5:$B$1264,Q$3,'Datos - Temas'!$L$5:$L$1264,$A45)</f>
        <v/>
      </c>
      <c r="R45" s="11">
        <f>COUNTIFS('Datos - Temas'!$C$5:$C$1264,"Ciencias",'Datos - Temas'!$B$5:$B$1264,R$3,'Datos - Temas'!$K$5:$K$1264,$A45)+COUNTIFS('Datos - Temas'!$C$5:$C$1264,"Ciencias",'Datos - Temas'!$B$5:$B$1264,R$3,'Datos - Temas'!$L$5:$L$1264,$A45)</f>
        <v/>
      </c>
      <c r="S45" s="11">
        <f>COUNTIFS('Datos - Temas'!$C$5:$C$1264,"Ciencias",'Datos - Temas'!$B$5:$B$1264,S$3,'Datos - Temas'!$K$5:$K$1264,$A45)+COUNTIFS('Datos - Temas'!$C$5:$C$1264,"Ciencias",'Datos - Temas'!$B$5:$B$1264,S$3,'Datos - Temas'!$L$5:$L$1264,$A45)</f>
        <v/>
      </c>
      <c r="T45" s="11">
        <f>COUNTIFS('Datos - Temas'!$C$5:$C$1264,"Ciencias",'Datos - Temas'!$B$5:$B$1264,T$3,'Datos - Temas'!$K$5:$K$1264,$A45)+COUNTIFS('Datos - Temas'!$C$5:$C$1264,"Ciencias",'Datos - Temas'!$B$5:$B$1264,T$3,'Datos - Temas'!$L$5:$L$1264,$A45)</f>
        <v/>
      </c>
      <c r="U45" s="11">
        <f>COUNTIFS('Datos - Temas'!$C$5:$C$1264,"Ciencias",'Datos - Temas'!$B$5:$B$1264,U$3,'Datos - Temas'!$K$5:$K$1264,$A45)+COUNTIFS('Datos - Temas'!$C$5:$C$1264,"Ciencias",'Datos - Temas'!$B$5:$B$1264,U$3,'Datos - Temas'!$L$5:$L$1264,$A45)</f>
        <v/>
      </c>
      <c r="V45" s="11">
        <f>COUNTIFS('Datos - Temas'!$C$5:$C$1264,"Ciencias",'Datos - Temas'!$B$5:$B$1264,V$3,'Datos - Temas'!$K$5:$K$1264,$A45)+COUNTIFS('Datos - Temas'!$C$5:$C$1264,"Ciencias",'Datos - Temas'!$B$5:$B$1264,V$3,'Datos - Temas'!$L$5:$L$1264,$A45)</f>
        <v/>
      </c>
      <c r="W45" s="11">
        <f>COUNTIFS('Datos - Objetivos de países'!$B$5:$B$510,"Uruguay",'Datos - Objetivos de países'!$F$5:$F$510,W$3,'Datos - Objetivos de países'!$J$5:$J$510,$A45)+COUNTIFS('Datos - Objetivos de países'!$B$5:$B$510,"Uruguay",'Datos - Objetivos de países'!$F$5:$F$510,W$3,'Datos - Objetivos de países'!$K$5:$K$510,$A45)</f>
        <v/>
      </c>
      <c r="X45" s="11">
        <f>COUNTIFS('Datos - Objetivos de países'!$B$5:$B$510,"Uruguay",'Datos - Objetivos de países'!$F$5:$F$510,X$3,'Datos - Objetivos de países'!$J$5:$J$510,$A45)+COUNTIFS('Datos - Objetivos de países'!$B$5:$B$510,"Uruguay",'Datos - Objetivos de países'!$F$5:$F$510,X$3,'Datos - Objetivos de países'!$K$5:$K$510,$A45)</f>
        <v/>
      </c>
      <c r="Y45" s="11">
        <f>COUNTIFS('Datos - Objetivos de países'!$B$5:$B$510,"Uruguay",'Datos - Objetivos de países'!$F$5:$F$510,Y$3,'Datos - Objetivos de países'!$J$5:$J$510,$A45)+COUNTIFS('Datos - Objetivos de países'!$B$5:$B$510,"Uruguay",'Datos - Objetivos de países'!$F$5:$F$510,Y$3,'Datos - Objetivos de países'!$K$5:$K$510,$A45)</f>
        <v/>
      </c>
      <c r="Z45" s="11">
        <f>COUNTIFS('Datos - Objetivos de países'!$B$5:$B$510,"Uruguay",'Datos - Objetivos de países'!$F$5:$F$510,Z$3,'Datos - Objetivos de países'!$J$5:$J$510,$A45)+COUNTIFS('Datos - Objetivos de países'!$B$5:$B$510,"Uruguay",'Datos - Objetivos de países'!$F$5:$F$510,Z$3,'Datos - Objetivos de países'!$K$5:$K$510,$A45)</f>
        <v/>
      </c>
      <c r="AA45" s="11">
        <f>COUNTIFS('Datos - Objetivos de países'!$B$5:$B$510,"Uruguay",'Datos - Objetivos de países'!$F$5:$F$510,AA$3,'Datos - Objetivos de países'!$J$5:$J$510,$A45)+COUNTIFS('Datos - Objetivos de países'!$B$5:$B$510,"Uruguay",'Datos - Objetivos de países'!$F$5:$F$510,AA$3,'Datos - Objetivos de países'!$K$5:$K$510,$A45)</f>
        <v/>
      </c>
      <c r="AB45" s="11">
        <f>COUNTIFS('Datos - Objetivos de países'!$B$5:$B$510,"Uruguay",'Datos - Objetivos de países'!$F$5:$F$510,AB$3,'Datos - Objetivos de países'!$J$5:$J$510,$A45)+COUNTIFS('Datos - Objetivos de países'!$B$5:$B$510,"Uruguay",'Datos - Objetivos de países'!$F$5:$F$510,AB$3,'Datos - Objetivos de países'!$K$5:$K$510,$A45)</f>
        <v/>
      </c>
      <c r="AC45" s="11">
        <f>COUNTIFS('Datos - Objetivos de países'!$B$5:$B$510,"Uruguay",'Datos - Objetivos de países'!$F$5:$F$510,AC$3,'Datos - Objetivos de países'!$J$5:$J$510,$A45)+COUNTIFS('Datos - Objetivos de países'!$B$5:$B$510,"Uruguay",'Datos - Objetivos de países'!$F$5:$F$510,AC$3,'Datos - Objetivos de países'!$K$5:$K$510,$A45)</f>
        <v/>
      </c>
      <c r="AD45" s="11">
        <f>COUNTIFS('Datos - Objetivos de países'!$B$5:$B$510,"Uruguay",'Datos - Objetivos de países'!$F$5:$F$510,AD$3,'Datos - Objetivos de países'!$J$5:$J$510,$A45)+COUNTIFS('Datos - Objetivos de países'!$B$5:$B$510,"Uruguay",'Datos - Objetivos de países'!$F$5:$F$510,AD$3,'Datos - Objetivos de países'!$K$5:$K$510,$A45)</f>
        <v/>
      </c>
      <c r="AE45" s="11">
        <f>COUNTIFS('Datos - Objetivos de países'!$B$5:$B$510,"Uruguay",'Datos - Objetivos de países'!$F$5:$F$510,AE$3,'Datos - Objetivos de países'!$J$5:$J$510,$A45)+COUNTIFS('Datos - Objetivos de países'!$B$5:$B$510,"Uruguay",'Datos - Objetivos de países'!$F$5:$F$510,AE$3,'Datos - Objetivos de países'!$K$5:$K$510,$A45)</f>
        <v/>
      </c>
      <c r="AF45" s="11">
        <f>COUNTIFS('Datos - Objetivos de países'!$B$5:$B$510,"Colombia",'Datos - Objetivos de países'!$F$5:$F$510,AF$3,'Datos - Objetivos de países'!$J$5:$J$510,$A45)+COUNTIFS('Datos - Objetivos de países'!$B$5:$B$510,"Colombia",'Datos - Objetivos de países'!$F$5:$F$510,AF$3,'Datos - Objetivos de países'!$K$5:$K$510,$A45)</f>
        <v/>
      </c>
      <c r="AG45" s="11">
        <f>COUNTIFS('Datos - Objetivos de países'!$B$5:$B$510,"Colombia",'Datos - Objetivos de países'!$F$5:$F$510,AG$3,'Datos - Objetivos de países'!$J$5:$J$510,$A45)+COUNTIFS('Datos - Objetivos de países'!$B$5:$B$510,"Colombia",'Datos - Objetivos de países'!$F$5:$F$510,AG$3,'Datos - Objetivos de países'!$K$5:$K$510,$A45)</f>
        <v/>
      </c>
      <c r="AH45" s="11">
        <f>COUNTIFS('Datos - Objetivos de países'!$B$5:$B$510,"Colombia",'Datos - Objetivos de países'!$F$5:$F$510,AH$3,'Datos - Objetivos de países'!$J$5:$J$510,$A45)+COUNTIFS('Datos - Objetivos de países'!$B$5:$B$510,"Colombia",'Datos - Objetivos de países'!$F$5:$F$510,AH$3,'Datos - Objetivos de países'!$K$5:$K$510,$A45)</f>
        <v/>
      </c>
      <c r="AI45" s="11">
        <f>COUNTIFS('Datos - Objetivos de países'!$B$5:$B$510,"Colombia",'Datos - Objetivos de países'!$F$5:$F$510,AI$3,'Datos - Objetivos de países'!$J$5:$J$510,$A45)+COUNTIFS('Datos - Objetivos de países'!$B$5:$B$510,"Colombia",'Datos - Objetivos de países'!$F$5:$F$510,AI$3,'Datos - Objetivos de países'!$K$5:$K$510,$A45)</f>
        <v/>
      </c>
      <c r="AJ45" s="11">
        <f>COUNTIFS('Datos - Objetivos de países'!$B$5:$B$510,"Colombia",'Datos - Objetivos de países'!$F$5:$F$510,AJ$3,'Datos - Objetivos de países'!$J$5:$J$510,$A45)+COUNTIFS('Datos - Objetivos de países'!$B$5:$B$510,"Colombia",'Datos - Objetivos de países'!$F$5:$F$510,AJ$3,'Datos - Objetivos de países'!$K$5:$K$510,$A45)</f>
        <v/>
      </c>
      <c r="AK45" s="11">
        <f>COUNTIFS('Datos - Objetivos de países'!$B$5:$B$510,"Colombia",'Datos - Objetivos de países'!$F$5:$F$510,AK$3,'Datos - Objetivos de países'!$J$5:$J$510,$A45)+COUNTIFS('Datos - Objetivos de países'!$B$5:$B$510,"Colombia",'Datos - Objetivos de países'!$F$5:$F$510,AK$3,'Datos - Objetivos de países'!$K$5:$K$510,$A45)</f>
        <v/>
      </c>
      <c r="AL45" s="11">
        <f>COUNTIFS('Datos - Objetivos de países'!$B$5:$B$510,"Colombia",'Datos - Objetivos de países'!$F$5:$F$510,AL$3,'Datos - Objetivos de países'!$J$5:$J$510,$A45)+COUNTIFS('Datos - Objetivos de países'!$B$5:$B$510,"Colombia",'Datos - Objetivos de países'!$F$5:$F$510,AL$3,'Datos - Objetivos de países'!$K$5:$K$510,$A45)</f>
        <v/>
      </c>
      <c r="AM45" s="11">
        <f>COUNTIFS('Datos - Objetivos de países'!$B$5:$B$510,"Colombia",'Datos - Objetivos de países'!$F$5:$F$510,AM$3,'Datos - Objetivos de países'!$J$5:$J$510,$A45)+COUNTIFS('Datos - Objetivos de países'!$B$5:$B$510,"Colombia",'Datos - Objetivos de países'!$F$5:$F$510,AM$3,'Datos - Objetivos de países'!$K$5:$K$510,$A45)</f>
        <v/>
      </c>
      <c r="AN45" s="11">
        <f>COUNTIFS('Datos - Objetivos de países'!$B$5:$B$510,"Colombia",'Datos - Objetivos de países'!$F$5:$F$510,AN$3,'Datos - Objetivos de países'!$J$5:$J$510,$A45)+COUNTIFS('Datos - Objetivos de países'!$B$5:$B$510,"Colombia",'Datos - Objetivos de países'!$F$5:$F$510,AN$3,'Datos - Objetivos de países'!$K$5:$K$510,$A45)</f>
        <v/>
      </c>
      <c r="AO45" s="11">
        <f>COUNTIFS('Datos - Objetivos de países'!$B$5:$B$510,"Singapur",'Datos - Objetivos de países'!$F$5:$F$510,AO$3,'Datos - Objetivos de países'!$J$5:$J$510,$A45)+COUNTIFS('Datos - Objetivos de países'!$B$5:$B$510,"Singapur",'Datos - Objetivos de países'!$F$5:$F$510,AO$3,'Datos - Objetivos de países'!$K$5:$K$510,$A45)</f>
        <v/>
      </c>
      <c r="AP45" s="11">
        <f>COUNTIFS('Datos - Objetivos de países'!$B$5:$B$510,"Singapur",'Datos - Objetivos de países'!$F$5:$F$510,AP$3,'Datos - Objetivos de países'!$J$5:$J$510,$A45)+COUNTIFS('Datos - Objetivos de países'!$B$5:$B$510,"Singapur",'Datos - Objetivos de países'!$F$5:$F$510,AP$3,'Datos - Objetivos de países'!$K$5:$K$510,$A45)</f>
        <v/>
      </c>
      <c r="AQ45" s="11">
        <f>COUNTIFS('Datos - Objetivos de países'!$B$5:$B$510,"Singapur",'Datos - Objetivos de países'!$F$5:$F$510,AQ$3,'Datos - Objetivos de países'!$J$5:$J$510,$A45)+COUNTIFS('Datos - Objetivos de países'!$B$5:$B$510,"Singapur",'Datos - Objetivos de países'!$F$5:$F$510,AQ$3,'Datos - Objetivos de países'!$K$5:$K$510,$A45)</f>
        <v/>
      </c>
      <c r="AR45" s="11">
        <f>COUNTIFS('Datos - Objetivos de países'!$B$5:$B$510,"Singapur",'Datos - Objetivos de países'!$F$5:$F$510,AR$3,'Datos - Objetivos de países'!$J$5:$J$510,$A45)+COUNTIFS('Datos - Objetivos de países'!$B$5:$B$510,"Singapur",'Datos - Objetivos de países'!$F$5:$F$510,AR$3,'Datos - Objetivos de países'!$K$5:$K$510,$A45)</f>
        <v/>
      </c>
      <c r="AS45" s="11">
        <f>COUNTIFS('Datos - Objetivos de países'!$B$5:$B$510,"Singapur",'Datos - Objetivos de países'!$F$5:$F$510,AS$3,'Datos - Objetivos de países'!$J$5:$J$510,$A45)+COUNTIFS('Datos - Objetivos de países'!$B$5:$B$510,"Singapur",'Datos - Objetivos de países'!$F$5:$F$510,AS$3,'Datos - Objetivos de países'!$K$5:$K$510,$A45)</f>
        <v/>
      </c>
      <c r="AT45" s="11">
        <f>COUNTIFS('Datos - Objetivos de países'!$B$5:$B$510,"Singapur",'Datos - Objetivos de países'!$F$5:$F$510,AT$3,'Datos - Objetivos de países'!$J$5:$J$510,$A45)+COUNTIFS('Datos - Objetivos de países'!$B$5:$B$510,"Singapur",'Datos - Objetivos de países'!$F$5:$F$510,AT$3,'Datos - Objetivos de países'!$K$5:$K$510,$A45)</f>
        <v/>
      </c>
      <c r="AU45" s="11">
        <f>COUNTIFS('Datos - Objetivos de países'!$B$5:$B$510,"Singapur",'Datos - Objetivos de países'!$F$5:$F$510,AU$3,'Datos - Objetivos de países'!$J$5:$J$510,$A45)+COUNTIFS('Datos - Objetivos de países'!$B$5:$B$510,"Singapur",'Datos - Objetivos de países'!$F$5:$F$510,AU$3,'Datos - Objetivos de países'!$K$5:$K$510,$A45)</f>
        <v/>
      </c>
      <c r="AV45" s="11">
        <f>COUNTIFS('Datos - Objetivos de países'!$B$5:$B$510,"Singapur",'Datos - Objetivos de países'!$F$5:$F$510,AV$3,'Datos - Objetivos de países'!$J$5:$J$510,$A45)+COUNTIFS('Datos - Objetivos de países'!$B$5:$B$510,"Singapur",'Datos - Objetivos de países'!$F$5:$F$510,AV$3,'Datos - Objetivos de países'!$K$5:$K$510,$A45)</f>
        <v/>
      </c>
      <c r="AW45" s="11">
        <f>COUNTIFS('Datos - Objetivos de países'!$B$5:$B$510,"Singapur",'Datos - Objetivos de países'!$F$5:$F$510,AW$3,'Datos - Objetivos de países'!$J$5:$J$510,$A45)+COUNTIFS('Datos - Objetivos de países'!$B$5:$B$510,"Singapur",'Datos - Objetivos de países'!$F$5:$F$510,AW$3,'Datos - Objetivos de países'!$K$5:$K$510,$A45)</f>
        <v/>
      </c>
    </row>
    <row r="46">
      <c r="A46" s="30" t="inlineStr">
        <is>
          <t>T8_27-B5.3</t>
        </is>
      </c>
      <c r="B46" s="30" t="inlineStr">
        <is>
          <t>T8_27</t>
        </is>
      </c>
      <c r="C46" s="30" t="inlineStr">
        <is>
          <t>Biología</t>
        </is>
      </c>
      <c r="D46" s="30" t="inlineStr">
        <is>
          <t>Ciclos del agua, el oxígeno y el carbono en los ecosistemas</t>
        </is>
      </c>
      <c r="E46" s="30">
        <f>IFERROR(MAX($L$3,INDEX($N$3:$V$3,MATCH(TRUE,INDEX(N46:V46&gt;0,0),0))),"—")</f>
        <v/>
      </c>
      <c r="F46" s="30">
        <f>IFERROR(MAX($L$3,INDEX($W$3:$AE$3,MATCH(TRUE,INDEX(W46:AE46&gt;0,0),0))),"—")</f>
        <v/>
      </c>
      <c r="G46" s="30">
        <f>IFERROR(MAX($L$3,INDEX($AF$3:$AN$3,MATCH(TRUE,INDEX(AF46:AN46&gt;0,0),0))),"—")</f>
        <v/>
      </c>
      <c r="H46" s="30">
        <f>IFERROR(MAX($L$3,INDEX($AO$3:$AW$3,MATCH(TRUE,INDEX(AO46:AW46&gt;0,0),0))),"—")</f>
        <v/>
      </c>
      <c r="I46" s="36">
        <f>IF(L46=0,"—",MEDIAN(F46:H46))</f>
        <v/>
      </c>
      <c r="J46" s="36">
        <f>IF(OR(E46="—",I46="—"),"—",E46-I46)</f>
        <v/>
      </c>
      <c r="K46" s="19">
        <f>IF(E46="—",IF(L46=0,"Nadie lo trabaja","El Salvador no llega"),IF(L46=0,"Solo El Salvador",IF(J46&gt;0,"El Salvador llega más tarde",IF(J46&lt;0,"El Salvador va adelantado","Mismo grado"))))</f>
        <v/>
      </c>
      <c r="L46" s="30">
        <f>COUNT(F46:H46)</f>
        <v/>
      </c>
      <c r="N46" s="11">
        <f>COUNTIFS('Datos - Temas'!$C$5:$C$1264,"Ciencias",'Datos - Temas'!$B$5:$B$1264,N$3,'Datos - Temas'!$K$5:$K$1264,$A46)+COUNTIFS('Datos - Temas'!$C$5:$C$1264,"Ciencias",'Datos - Temas'!$B$5:$B$1264,N$3,'Datos - Temas'!$L$5:$L$1264,$A46)</f>
        <v/>
      </c>
      <c r="O46" s="11">
        <f>COUNTIFS('Datos - Temas'!$C$5:$C$1264,"Ciencias",'Datos - Temas'!$B$5:$B$1264,O$3,'Datos - Temas'!$K$5:$K$1264,$A46)+COUNTIFS('Datos - Temas'!$C$5:$C$1264,"Ciencias",'Datos - Temas'!$B$5:$B$1264,O$3,'Datos - Temas'!$L$5:$L$1264,$A46)</f>
        <v/>
      </c>
      <c r="P46" s="11">
        <f>COUNTIFS('Datos - Temas'!$C$5:$C$1264,"Ciencias",'Datos - Temas'!$B$5:$B$1264,P$3,'Datos - Temas'!$K$5:$K$1264,$A46)+COUNTIFS('Datos - Temas'!$C$5:$C$1264,"Ciencias",'Datos - Temas'!$B$5:$B$1264,P$3,'Datos - Temas'!$L$5:$L$1264,$A46)</f>
        <v/>
      </c>
      <c r="Q46" s="11">
        <f>COUNTIFS('Datos - Temas'!$C$5:$C$1264,"Ciencias",'Datos - Temas'!$B$5:$B$1264,Q$3,'Datos - Temas'!$K$5:$K$1264,$A46)+COUNTIFS('Datos - Temas'!$C$5:$C$1264,"Ciencias",'Datos - Temas'!$B$5:$B$1264,Q$3,'Datos - Temas'!$L$5:$L$1264,$A46)</f>
        <v/>
      </c>
      <c r="R46" s="11">
        <f>COUNTIFS('Datos - Temas'!$C$5:$C$1264,"Ciencias",'Datos - Temas'!$B$5:$B$1264,R$3,'Datos - Temas'!$K$5:$K$1264,$A46)+COUNTIFS('Datos - Temas'!$C$5:$C$1264,"Ciencias",'Datos - Temas'!$B$5:$B$1264,R$3,'Datos - Temas'!$L$5:$L$1264,$A46)</f>
        <v/>
      </c>
      <c r="S46" s="11">
        <f>COUNTIFS('Datos - Temas'!$C$5:$C$1264,"Ciencias",'Datos - Temas'!$B$5:$B$1264,S$3,'Datos - Temas'!$K$5:$K$1264,$A46)+COUNTIFS('Datos - Temas'!$C$5:$C$1264,"Ciencias",'Datos - Temas'!$B$5:$B$1264,S$3,'Datos - Temas'!$L$5:$L$1264,$A46)</f>
        <v/>
      </c>
      <c r="T46" s="11">
        <f>COUNTIFS('Datos - Temas'!$C$5:$C$1264,"Ciencias",'Datos - Temas'!$B$5:$B$1264,T$3,'Datos - Temas'!$K$5:$K$1264,$A46)+COUNTIFS('Datos - Temas'!$C$5:$C$1264,"Ciencias",'Datos - Temas'!$B$5:$B$1264,T$3,'Datos - Temas'!$L$5:$L$1264,$A46)</f>
        <v/>
      </c>
      <c r="U46" s="11">
        <f>COUNTIFS('Datos - Temas'!$C$5:$C$1264,"Ciencias",'Datos - Temas'!$B$5:$B$1264,U$3,'Datos - Temas'!$K$5:$K$1264,$A46)+COUNTIFS('Datos - Temas'!$C$5:$C$1264,"Ciencias",'Datos - Temas'!$B$5:$B$1264,U$3,'Datos - Temas'!$L$5:$L$1264,$A46)</f>
        <v/>
      </c>
      <c r="V46" s="11">
        <f>COUNTIFS('Datos - Temas'!$C$5:$C$1264,"Ciencias",'Datos - Temas'!$B$5:$B$1264,V$3,'Datos - Temas'!$K$5:$K$1264,$A46)+COUNTIFS('Datos - Temas'!$C$5:$C$1264,"Ciencias",'Datos - Temas'!$B$5:$B$1264,V$3,'Datos - Temas'!$L$5:$L$1264,$A46)</f>
        <v/>
      </c>
      <c r="W46" s="11">
        <f>COUNTIFS('Datos - Objetivos de países'!$B$5:$B$510,"Uruguay",'Datos - Objetivos de países'!$F$5:$F$510,W$3,'Datos - Objetivos de países'!$J$5:$J$510,$A46)+COUNTIFS('Datos - Objetivos de países'!$B$5:$B$510,"Uruguay",'Datos - Objetivos de países'!$F$5:$F$510,W$3,'Datos - Objetivos de países'!$K$5:$K$510,$A46)</f>
        <v/>
      </c>
      <c r="X46" s="11">
        <f>COUNTIFS('Datos - Objetivos de países'!$B$5:$B$510,"Uruguay",'Datos - Objetivos de países'!$F$5:$F$510,X$3,'Datos - Objetivos de países'!$J$5:$J$510,$A46)+COUNTIFS('Datos - Objetivos de países'!$B$5:$B$510,"Uruguay",'Datos - Objetivos de países'!$F$5:$F$510,X$3,'Datos - Objetivos de países'!$K$5:$K$510,$A46)</f>
        <v/>
      </c>
      <c r="Y46" s="11">
        <f>COUNTIFS('Datos - Objetivos de países'!$B$5:$B$510,"Uruguay",'Datos - Objetivos de países'!$F$5:$F$510,Y$3,'Datos - Objetivos de países'!$J$5:$J$510,$A46)+COUNTIFS('Datos - Objetivos de países'!$B$5:$B$510,"Uruguay",'Datos - Objetivos de países'!$F$5:$F$510,Y$3,'Datos - Objetivos de países'!$K$5:$K$510,$A46)</f>
        <v/>
      </c>
      <c r="Z46" s="11">
        <f>COUNTIFS('Datos - Objetivos de países'!$B$5:$B$510,"Uruguay",'Datos - Objetivos de países'!$F$5:$F$510,Z$3,'Datos - Objetivos de países'!$J$5:$J$510,$A46)+COUNTIFS('Datos - Objetivos de países'!$B$5:$B$510,"Uruguay",'Datos - Objetivos de países'!$F$5:$F$510,Z$3,'Datos - Objetivos de países'!$K$5:$K$510,$A46)</f>
        <v/>
      </c>
      <c r="AA46" s="11">
        <f>COUNTIFS('Datos - Objetivos de países'!$B$5:$B$510,"Uruguay",'Datos - Objetivos de países'!$F$5:$F$510,AA$3,'Datos - Objetivos de países'!$J$5:$J$510,$A46)+COUNTIFS('Datos - Objetivos de países'!$B$5:$B$510,"Uruguay",'Datos - Objetivos de países'!$F$5:$F$510,AA$3,'Datos - Objetivos de países'!$K$5:$K$510,$A46)</f>
        <v/>
      </c>
      <c r="AB46" s="11">
        <f>COUNTIFS('Datos - Objetivos de países'!$B$5:$B$510,"Uruguay",'Datos - Objetivos de países'!$F$5:$F$510,AB$3,'Datos - Objetivos de países'!$J$5:$J$510,$A46)+COUNTIFS('Datos - Objetivos de países'!$B$5:$B$510,"Uruguay",'Datos - Objetivos de países'!$F$5:$F$510,AB$3,'Datos - Objetivos de países'!$K$5:$K$510,$A46)</f>
        <v/>
      </c>
      <c r="AC46" s="11">
        <f>COUNTIFS('Datos - Objetivos de países'!$B$5:$B$510,"Uruguay",'Datos - Objetivos de países'!$F$5:$F$510,AC$3,'Datos - Objetivos de países'!$J$5:$J$510,$A46)+COUNTIFS('Datos - Objetivos de países'!$B$5:$B$510,"Uruguay",'Datos - Objetivos de países'!$F$5:$F$510,AC$3,'Datos - Objetivos de países'!$K$5:$K$510,$A46)</f>
        <v/>
      </c>
      <c r="AD46" s="11">
        <f>COUNTIFS('Datos - Objetivos de países'!$B$5:$B$510,"Uruguay",'Datos - Objetivos de países'!$F$5:$F$510,AD$3,'Datos - Objetivos de países'!$J$5:$J$510,$A46)+COUNTIFS('Datos - Objetivos de países'!$B$5:$B$510,"Uruguay",'Datos - Objetivos de países'!$F$5:$F$510,AD$3,'Datos - Objetivos de países'!$K$5:$K$510,$A46)</f>
        <v/>
      </c>
      <c r="AE46" s="11">
        <f>COUNTIFS('Datos - Objetivos de países'!$B$5:$B$510,"Uruguay",'Datos - Objetivos de países'!$F$5:$F$510,AE$3,'Datos - Objetivos de países'!$J$5:$J$510,$A46)+COUNTIFS('Datos - Objetivos de países'!$B$5:$B$510,"Uruguay",'Datos - Objetivos de países'!$F$5:$F$510,AE$3,'Datos - Objetivos de países'!$K$5:$K$510,$A46)</f>
        <v/>
      </c>
      <c r="AF46" s="11">
        <f>COUNTIFS('Datos - Objetivos de países'!$B$5:$B$510,"Colombia",'Datos - Objetivos de países'!$F$5:$F$510,AF$3,'Datos - Objetivos de países'!$J$5:$J$510,$A46)+COUNTIFS('Datos - Objetivos de países'!$B$5:$B$510,"Colombia",'Datos - Objetivos de países'!$F$5:$F$510,AF$3,'Datos - Objetivos de países'!$K$5:$K$510,$A46)</f>
        <v/>
      </c>
      <c r="AG46" s="11">
        <f>COUNTIFS('Datos - Objetivos de países'!$B$5:$B$510,"Colombia",'Datos - Objetivos de países'!$F$5:$F$510,AG$3,'Datos - Objetivos de países'!$J$5:$J$510,$A46)+COUNTIFS('Datos - Objetivos de países'!$B$5:$B$510,"Colombia",'Datos - Objetivos de países'!$F$5:$F$510,AG$3,'Datos - Objetivos de países'!$K$5:$K$510,$A46)</f>
        <v/>
      </c>
      <c r="AH46" s="11">
        <f>COUNTIFS('Datos - Objetivos de países'!$B$5:$B$510,"Colombia",'Datos - Objetivos de países'!$F$5:$F$510,AH$3,'Datos - Objetivos de países'!$J$5:$J$510,$A46)+COUNTIFS('Datos - Objetivos de países'!$B$5:$B$510,"Colombia",'Datos - Objetivos de países'!$F$5:$F$510,AH$3,'Datos - Objetivos de países'!$K$5:$K$510,$A46)</f>
        <v/>
      </c>
      <c r="AI46" s="11">
        <f>COUNTIFS('Datos - Objetivos de países'!$B$5:$B$510,"Colombia",'Datos - Objetivos de países'!$F$5:$F$510,AI$3,'Datos - Objetivos de países'!$J$5:$J$510,$A46)+COUNTIFS('Datos - Objetivos de países'!$B$5:$B$510,"Colombia",'Datos - Objetivos de países'!$F$5:$F$510,AI$3,'Datos - Objetivos de países'!$K$5:$K$510,$A46)</f>
        <v/>
      </c>
      <c r="AJ46" s="11">
        <f>COUNTIFS('Datos - Objetivos de países'!$B$5:$B$510,"Colombia",'Datos - Objetivos de países'!$F$5:$F$510,AJ$3,'Datos - Objetivos de países'!$J$5:$J$510,$A46)+COUNTIFS('Datos - Objetivos de países'!$B$5:$B$510,"Colombia",'Datos - Objetivos de países'!$F$5:$F$510,AJ$3,'Datos - Objetivos de países'!$K$5:$K$510,$A46)</f>
        <v/>
      </c>
      <c r="AK46" s="11">
        <f>COUNTIFS('Datos - Objetivos de países'!$B$5:$B$510,"Colombia",'Datos - Objetivos de países'!$F$5:$F$510,AK$3,'Datos - Objetivos de países'!$J$5:$J$510,$A46)+COUNTIFS('Datos - Objetivos de países'!$B$5:$B$510,"Colombia",'Datos - Objetivos de países'!$F$5:$F$510,AK$3,'Datos - Objetivos de países'!$K$5:$K$510,$A46)</f>
        <v/>
      </c>
      <c r="AL46" s="11">
        <f>COUNTIFS('Datos - Objetivos de países'!$B$5:$B$510,"Colombia",'Datos - Objetivos de países'!$F$5:$F$510,AL$3,'Datos - Objetivos de países'!$J$5:$J$510,$A46)+COUNTIFS('Datos - Objetivos de países'!$B$5:$B$510,"Colombia",'Datos - Objetivos de países'!$F$5:$F$510,AL$3,'Datos - Objetivos de países'!$K$5:$K$510,$A46)</f>
        <v/>
      </c>
      <c r="AM46" s="11">
        <f>COUNTIFS('Datos - Objetivos de países'!$B$5:$B$510,"Colombia",'Datos - Objetivos de países'!$F$5:$F$510,AM$3,'Datos - Objetivos de países'!$J$5:$J$510,$A46)+COUNTIFS('Datos - Objetivos de países'!$B$5:$B$510,"Colombia",'Datos - Objetivos de países'!$F$5:$F$510,AM$3,'Datos - Objetivos de países'!$K$5:$K$510,$A46)</f>
        <v/>
      </c>
      <c r="AN46" s="11">
        <f>COUNTIFS('Datos - Objetivos de países'!$B$5:$B$510,"Colombia",'Datos - Objetivos de países'!$F$5:$F$510,AN$3,'Datos - Objetivos de países'!$J$5:$J$510,$A46)+COUNTIFS('Datos - Objetivos de países'!$B$5:$B$510,"Colombia",'Datos - Objetivos de países'!$F$5:$F$510,AN$3,'Datos - Objetivos de países'!$K$5:$K$510,$A46)</f>
        <v/>
      </c>
      <c r="AO46" s="11">
        <f>COUNTIFS('Datos - Objetivos de países'!$B$5:$B$510,"Singapur",'Datos - Objetivos de países'!$F$5:$F$510,AO$3,'Datos - Objetivos de países'!$J$5:$J$510,$A46)+COUNTIFS('Datos - Objetivos de países'!$B$5:$B$510,"Singapur",'Datos - Objetivos de países'!$F$5:$F$510,AO$3,'Datos - Objetivos de países'!$K$5:$K$510,$A46)</f>
        <v/>
      </c>
      <c r="AP46" s="11">
        <f>COUNTIFS('Datos - Objetivos de países'!$B$5:$B$510,"Singapur",'Datos - Objetivos de países'!$F$5:$F$510,AP$3,'Datos - Objetivos de países'!$J$5:$J$510,$A46)+COUNTIFS('Datos - Objetivos de países'!$B$5:$B$510,"Singapur",'Datos - Objetivos de países'!$F$5:$F$510,AP$3,'Datos - Objetivos de países'!$K$5:$K$510,$A46)</f>
        <v/>
      </c>
      <c r="AQ46" s="11">
        <f>COUNTIFS('Datos - Objetivos de países'!$B$5:$B$510,"Singapur",'Datos - Objetivos de países'!$F$5:$F$510,AQ$3,'Datos - Objetivos de países'!$J$5:$J$510,$A46)+COUNTIFS('Datos - Objetivos de países'!$B$5:$B$510,"Singapur",'Datos - Objetivos de países'!$F$5:$F$510,AQ$3,'Datos - Objetivos de países'!$K$5:$K$510,$A46)</f>
        <v/>
      </c>
      <c r="AR46" s="11">
        <f>COUNTIFS('Datos - Objetivos de países'!$B$5:$B$510,"Singapur",'Datos - Objetivos de países'!$F$5:$F$510,AR$3,'Datos - Objetivos de países'!$J$5:$J$510,$A46)+COUNTIFS('Datos - Objetivos de países'!$B$5:$B$510,"Singapur",'Datos - Objetivos de países'!$F$5:$F$510,AR$3,'Datos - Objetivos de países'!$K$5:$K$510,$A46)</f>
        <v/>
      </c>
      <c r="AS46" s="11">
        <f>COUNTIFS('Datos - Objetivos de países'!$B$5:$B$510,"Singapur",'Datos - Objetivos de países'!$F$5:$F$510,AS$3,'Datos - Objetivos de países'!$J$5:$J$510,$A46)+COUNTIFS('Datos - Objetivos de países'!$B$5:$B$510,"Singapur",'Datos - Objetivos de países'!$F$5:$F$510,AS$3,'Datos - Objetivos de países'!$K$5:$K$510,$A46)</f>
        <v/>
      </c>
      <c r="AT46" s="11">
        <f>COUNTIFS('Datos - Objetivos de países'!$B$5:$B$510,"Singapur",'Datos - Objetivos de países'!$F$5:$F$510,AT$3,'Datos - Objetivos de países'!$J$5:$J$510,$A46)+COUNTIFS('Datos - Objetivos de países'!$B$5:$B$510,"Singapur",'Datos - Objetivos de países'!$F$5:$F$510,AT$3,'Datos - Objetivos de países'!$K$5:$K$510,$A46)</f>
        <v/>
      </c>
      <c r="AU46" s="11">
        <f>COUNTIFS('Datos - Objetivos de países'!$B$5:$B$510,"Singapur",'Datos - Objetivos de países'!$F$5:$F$510,AU$3,'Datos - Objetivos de países'!$J$5:$J$510,$A46)+COUNTIFS('Datos - Objetivos de países'!$B$5:$B$510,"Singapur",'Datos - Objetivos de países'!$F$5:$F$510,AU$3,'Datos - Objetivos de países'!$K$5:$K$510,$A46)</f>
        <v/>
      </c>
      <c r="AV46" s="11">
        <f>COUNTIFS('Datos - Objetivos de países'!$B$5:$B$510,"Singapur",'Datos - Objetivos de países'!$F$5:$F$510,AV$3,'Datos - Objetivos de países'!$J$5:$J$510,$A46)+COUNTIFS('Datos - Objetivos de países'!$B$5:$B$510,"Singapur",'Datos - Objetivos de países'!$F$5:$F$510,AV$3,'Datos - Objetivos de países'!$K$5:$K$510,$A46)</f>
        <v/>
      </c>
      <c r="AW46" s="11">
        <f>COUNTIFS('Datos - Objetivos de países'!$B$5:$B$510,"Singapur",'Datos - Objetivos de países'!$F$5:$F$510,AW$3,'Datos - Objetivos de países'!$J$5:$J$510,$A46)+COUNTIFS('Datos - Objetivos de países'!$B$5:$B$510,"Singapur",'Datos - Objetivos de países'!$F$5:$F$510,AW$3,'Datos - Objetivos de países'!$K$5:$K$510,$A46)</f>
        <v/>
      </c>
    </row>
    <row r="47">
      <c r="A47" s="30" t="inlineStr">
        <is>
          <t>T8_27-B5.4</t>
        </is>
      </c>
      <c r="B47" s="30" t="inlineStr">
        <is>
          <t>T8_27</t>
        </is>
      </c>
      <c r="C47" s="30" t="inlineStr">
        <is>
          <t>Biología</t>
        </is>
      </c>
      <c r="D47" s="30" t="inlineStr">
        <is>
          <t>Relaciones en los ecosistemas</t>
        </is>
      </c>
      <c r="E47" s="30">
        <f>IFERROR(MAX($L$3,INDEX($N$3:$V$3,MATCH(TRUE,INDEX(N47:V47&gt;0,0),0))),"—")</f>
        <v/>
      </c>
      <c r="F47" s="30">
        <f>IFERROR(MAX($L$3,INDEX($W$3:$AE$3,MATCH(TRUE,INDEX(W47:AE47&gt;0,0),0))),"—")</f>
        <v/>
      </c>
      <c r="G47" s="30">
        <f>IFERROR(MAX($L$3,INDEX($AF$3:$AN$3,MATCH(TRUE,INDEX(AF47:AN47&gt;0,0),0))),"—")</f>
        <v/>
      </c>
      <c r="H47" s="30">
        <f>IFERROR(MAX($L$3,INDEX($AO$3:$AW$3,MATCH(TRUE,INDEX(AO47:AW47&gt;0,0),0))),"—")</f>
        <v/>
      </c>
      <c r="I47" s="36">
        <f>IF(L47=0,"—",MEDIAN(F47:H47))</f>
        <v/>
      </c>
      <c r="J47" s="36">
        <f>IF(OR(E47="—",I47="—"),"—",E47-I47)</f>
        <v/>
      </c>
      <c r="K47" s="19">
        <f>IF(E47="—",IF(L47=0,"Nadie lo trabaja","El Salvador no llega"),IF(L47=0,"Solo El Salvador",IF(J47&gt;0,"El Salvador llega más tarde",IF(J47&lt;0,"El Salvador va adelantado","Mismo grado"))))</f>
        <v/>
      </c>
      <c r="L47" s="30">
        <f>COUNT(F47:H47)</f>
        <v/>
      </c>
      <c r="N47" s="11">
        <f>COUNTIFS('Datos - Temas'!$C$5:$C$1264,"Ciencias",'Datos - Temas'!$B$5:$B$1264,N$3,'Datos - Temas'!$K$5:$K$1264,$A47)+COUNTIFS('Datos - Temas'!$C$5:$C$1264,"Ciencias",'Datos - Temas'!$B$5:$B$1264,N$3,'Datos - Temas'!$L$5:$L$1264,$A47)</f>
        <v/>
      </c>
      <c r="O47" s="11">
        <f>COUNTIFS('Datos - Temas'!$C$5:$C$1264,"Ciencias",'Datos - Temas'!$B$5:$B$1264,O$3,'Datos - Temas'!$K$5:$K$1264,$A47)+COUNTIFS('Datos - Temas'!$C$5:$C$1264,"Ciencias",'Datos - Temas'!$B$5:$B$1264,O$3,'Datos - Temas'!$L$5:$L$1264,$A47)</f>
        <v/>
      </c>
      <c r="P47" s="11">
        <f>COUNTIFS('Datos - Temas'!$C$5:$C$1264,"Ciencias",'Datos - Temas'!$B$5:$B$1264,P$3,'Datos - Temas'!$K$5:$K$1264,$A47)+COUNTIFS('Datos - Temas'!$C$5:$C$1264,"Ciencias",'Datos - Temas'!$B$5:$B$1264,P$3,'Datos - Temas'!$L$5:$L$1264,$A47)</f>
        <v/>
      </c>
      <c r="Q47" s="11">
        <f>COUNTIFS('Datos - Temas'!$C$5:$C$1264,"Ciencias",'Datos - Temas'!$B$5:$B$1264,Q$3,'Datos - Temas'!$K$5:$K$1264,$A47)+COUNTIFS('Datos - Temas'!$C$5:$C$1264,"Ciencias",'Datos - Temas'!$B$5:$B$1264,Q$3,'Datos - Temas'!$L$5:$L$1264,$A47)</f>
        <v/>
      </c>
      <c r="R47" s="11">
        <f>COUNTIFS('Datos - Temas'!$C$5:$C$1264,"Ciencias",'Datos - Temas'!$B$5:$B$1264,R$3,'Datos - Temas'!$K$5:$K$1264,$A47)+COUNTIFS('Datos - Temas'!$C$5:$C$1264,"Ciencias",'Datos - Temas'!$B$5:$B$1264,R$3,'Datos - Temas'!$L$5:$L$1264,$A47)</f>
        <v/>
      </c>
      <c r="S47" s="11">
        <f>COUNTIFS('Datos - Temas'!$C$5:$C$1264,"Ciencias",'Datos - Temas'!$B$5:$B$1264,S$3,'Datos - Temas'!$K$5:$K$1264,$A47)+COUNTIFS('Datos - Temas'!$C$5:$C$1264,"Ciencias",'Datos - Temas'!$B$5:$B$1264,S$3,'Datos - Temas'!$L$5:$L$1264,$A47)</f>
        <v/>
      </c>
      <c r="T47" s="11">
        <f>COUNTIFS('Datos - Temas'!$C$5:$C$1264,"Ciencias",'Datos - Temas'!$B$5:$B$1264,T$3,'Datos - Temas'!$K$5:$K$1264,$A47)+COUNTIFS('Datos - Temas'!$C$5:$C$1264,"Ciencias",'Datos - Temas'!$B$5:$B$1264,T$3,'Datos - Temas'!$L$5:$L$1264,$A47)</f>
        <v/>
      </c>
      <c r="U47" s="11">
        <f>COUNTIFS('Datos - Temas'!$C$5:$C$1264,"Ciencias",'Datos - Temas'!$B$5:$B$1264,U$3,'Datos - Temas'!$K$5:$K$1264,$A47)+COUNTIFS('Datos - Temas'!$C$5:$C$1264,"Ciencias",'Datos - Temas'!$B$5:$B$1264,U$3,'Datos - Temas'!$L$5:$L$1264,$A47)</f>
        <v/>
      </c>
      <c r="V47" s="11">
        <f>COUNTIFS('Datos - Temas'!$C$5:$C$1264,"Ciencias",'Datos - Temas'!$B$5:$B$1264,V$3,'Datos - Temas'!$K$5:$K$1264,$A47)+COUNTIFS('Datos - Temas'!$C$5:$C$1264,"Ciencias",'Datos - Temas'!$B$5:$B$1264,V$3,'Datos - Temas'!$L$5:$L$1264,$A47)</f>
        <v/>
      </c>
      <c r="W47" s="11">
        <f>COUNTIFS('Datos - Objetivos de países'!$B$5:$B$510,"Uruguay",'Datos - Objetivos de países'!$F$5:$F$510,W$3,'Datos - Objetivos de países'!$J$5:$J$510,$A47)+COUNTIFS('Datos - Objetivos de países'!$B$5:$B$510,"Uruguay",'Datos - Objetivos de países'!$F$5:$F$510,W$3,'Datos - Objetivos de países'!$K$5:$K$510,$A47)</f>
        <v/>
      </c>
      <c r="X47" s="11">
        <f>COUNTIFS('Datos - Objetivos de países'!$B$5:$B$510,"Uruguay",'Datos - Objetivos de países'!$F$5:$F$510,X$3,'Datos - Objetivos de países'!$J$5:$J$510,$A47)+COUNTIFS('Datos - Objetivos de países'!$B$5:$B$510,"Uruguay",'Datos - Objetivos de países'!$F$5:$F$510,X$3,'Datos - Objetivos de países'!$K$5:$K$510,$A47)</f>
        <v/>
      </c>
      <c r="Y47" s="11">
        <f>COUNTIFS('Datos - Objetivos de países'!$B$5:$B$510,"Uruguay",'Datos - Objetivos de países'!$F$5:$F$510,Y$3,'Datos - Objetivos de países'!$J$5:$J$510,$A47)+COUNTIFS('Datos - Objetivos de países'!$B$5:$B$510,"Uruguay",'Datos - Objetivos de países'!$F$5:$F$510,Y$3,'Datos - Objetivos de países'!$K$5:$K$510,$A47)</f>
        <v/>
      </c>
      <c r="Z47" s="11">
        <f>COUNTIFS('Datos - Objetivos de países'!$B$5:$B$510,"Uruguay",'Datos - Objetivos de países'!$F$5:$F$510,Z$3,'Datos - Objetivos de países'!$J$5:$J$510,$A47)+COUNTIFS('Datos - Objetivos de países'!$B$5:$B$510,"Uruguay",'Datos - Objetivos de países'!$F$5:$F$510,Z$3,'Datos - Objetivos de países'!$K$5:$K$510,$A47)</f>
        <v/>
      </c>
      <c r="AA47" s="11">
        <f>COUNTIFS('Datos - Objetivos de países'!$B$5:$B$510,"Uruguay",'Datos - Objetivos de países'!$F$5:$F$510,AA$3,'Datos - Objetivos de países'!$J$5:$J$510,$A47)+COUNTIFS('Datos - Objetivos de países'!$B$5:$B$510,"Uruguay",'Datos - Objetivos de países'!$F$5:$F$510,AA$3,'Datos - Objetivos de países'!$K$5:$K$510,$A47)</f>
        <v/>
      </c>
      <c r="AB47" s="11">
        <f>COUNTIFS('Datos - Objetivos de países'!$B$5:$B$510,"Uruguay",'Datos - Objetivos de países'!$F$5:$F$510,AB$3,'Datos - Objetivos de países'!$J$5:$J$510,$A47)+COUNTIFS('Datos - Objetivos de países'!$B$5:$B$510,"Uruguay",'Datos - Objetivos de países'!$F$5:$F$510,AB$3,'Datos - Objetivos de países'!$K$5:$K$510,$A47)</f>
        <v/>
      </c>
      <c r="AC47" s="11">
        <f>COUNTIFS('Datos - Objetivos de países'!$B$5:$B$510,"Uruguay",'Datos - Objetivos de países'!$F$5:$F$510,AC$3,'Datos - Objetivos de países'!$J$5:$J$510,$A47)+COUNTIFS('Datos - Objetivos de países'!$B$5:$B$510,"Uruguay",'Datos - Objetivos de países'!$F$5:$F$510,AC$3,'Datos - Objetivos de países'!$K$5:$K$510,$A47)</f>
        <v/>
      </c>
      <c r="AD47" s="11">
        <f>COUNTIFS('Datos - Objetivos de países'!$B$5:$B$510,"Uruguay",'Datos - Objetivos de países'!$F$5:$F$510,AD$3,'Datos - Objetivos de países'!$J$5:$J$510,$A47)+COUNTIFS('Datos - Objetivos de países'!$B$5:$B$510,"Uruguay",'Datos - Objetivos de países'!$F$5:$F$510,AD$3,'Datos - Objetivos de países'!$K$5:$K$510,$A47)</f>
        <v/>
      </c>
      <c r="AE47" s="11">
        <f>COUNTIFS('Datos - Objetivos de países'!$B$5:$B$510,"Uruguay",'Datos - Objetivos de países'!$F$5:$F$510,AE$3,'Datos - Objetivos de países'!$J$5:$J$510,$A47)+COUNTIFS('Datos - Objetivos de países'!$B$5:$B$510,"Uruguay",'Datos - Objetivos de países'!$F$5:$F$510,AE$3,'Datos - Objetivos de países'!$K$5:$K$510,$A47)</f>
        <v/>
      </c>
      <c r="AF47" s="11">
        <f>COUNTIFS('Datos - Objetivos de países'!$B$5:$B$510,"Colombia",'Datos - Objetivos de países'!$F$5:$F$510,AF$3,'Datos - Objetivos de países'!$J$5:$J$510,$A47)+COUNTIFS('Datos - Objetivos de países'!$B$5:$B$510,"Colombia",'Datos - Objetivos de países'!$F$5:$F$510,AF$3,'Datos - Objetivos de países'!$K$5:$K$510,$A47)</f>
        <v/>
      </c>
      <c r="AG47" s="11">
        <f>COUNTIFS('Datos - Objetivos de países'!$B$5:$B$510,"Colombia",'Datos - Objetivos de países'!$F$5:$F$510,AG$3,'Datos - Objetivos de países'!$J$5:$J$510,$A47)+COUNTIFS('Datos - Objetivos de países'!$B$5:$B$510,"Colombia",'Datos - Objetivos de países'!$F$5:$F$510,AG$3,'Datos - Objetivos de países'!$K$5:$K$510,$A47)</f>
        <v/>
      </c>
      <c r="AH47" s="11">
        <f>COUNTIFS('Datos - Objetivos de países'!$B$5:$B$510,"Colombia",'Datos - Objetivos de países'!$F$5:$F$510,AH$3,'Datos - Objetivos de países'!$J$5:$J$510,$A47)+COUNTIFS('Datos - Objetivos de países'!$B$5:$B$510,"Colombia",'Datos - Objetivos de países'!$F$5:$F$510,AH$3,'Datos - Objetivos de países'!$K$5:$K$510,$A47)</f>
        <v/>
      </c>
      <c r="AI47" s="11">
        <f>COUNTIFS('Datos - Objetivos de países'!$B$5:$B$510,"Colombia",'Datos - Objetivos de países'!$F$5:$F$510,AI$3,'Datos - Objetivos de países'!$J$5:$J$510,$A47)+COUNTIFS('Datos - Objetivos de países'!$B$5:$B$510,"Colombia",'Datos - Objetivos de países'!$F$5:$F$510,AI$3,'Datos - Objetivos de países'!$K$5:$K$510,$A47)</f>
        <v/>
      </c>
      <c r="AJ47" s="11">
        <f>COUNTIFS('Datos - Objetivos de países'!$B$5:$B$510,"Colombia",'Datos - Objetivos de países'!$F$5:$F$510,AJ$3,'Datos - Objetivos de países'!$J$5:$J$510,$A47)+COUNTIFS('Datos - Objetivos de países'!$B$5:$B$510,"Colombia",'Datos - Objetivos de países'!$F$5:$F$510,AJ$3,'Datos - Objetivos de países'!$K$5:$K$510,$A47)</f>
        <v/>
      </c>
      <c r="AK47" s="11">
        <f>COUNTIFS('Datos - Objetivos de países'!$B$5:$B$510,"Colombia",'Datos - Objetivos de países'!$F$5:$F$510,AK$3,'Datos - Objetivos de países'!$J$5:$J$510,$A47)+COUNTIFS('Datos - Objetivos de países'!$B$5:$B$510,"Colombia",'Datos - Objetivos de países'!$F$5:$F$510,AK$3,'Datos - Objetivos de países'!$K$5:$K$510,$A47)</f>
        <v/>
      </c>
      <c r="AL47" s="11">
        <f>COUNTIFS('Datos - Objetivos de países'!$B$5:$B$510,"Colombia",'Datos - Objetivos de países'!$F$5:$F$510,AL$3,'Datos - Objetivos de países'!$J$5:$J$510,$A47)+COUNTIFS('Datos - Objetivos de países'!$B$5:$B$510,"Colombia",'Datos - Objetivos de países'!$F$5:$F$510,AL$3,'Datos - Objetivos de países'!$K$5:$K$510,$A47)</f>
        <v/>
      </c>
      <c r="AM47" s="11">
        <f>COUNTIFS('Datos - Objetivos de países'!$B$5:$B$510,"Colombia",'Datos - Objetivos de países'!$F$5:$F$510,AM$3,'Datos - Objetivos de países'!$J$5:$J$510,$A47)+COUNTIFS('Datos - Objetivos de países'!$B$5:$B$510,"Colombia",'Datos - Objetivos de países'!$F$5:$F$510,AM$3,'Datos - Objetivos de países'!$K$5:$K$510,$A47)</f>
        <v/>
      </c>
      <c r="AN47" s="11">
        <f>COUNTIFS('Datos - Objetivos de países'!$B$5:$B$510,"Colombia",'Datos - Objetivos de países'!$F$5:$F$510,AN$3,'Datos - Objetivos de países'!$J$5:$J$510,$A47)+COUNTIFS('Datos - Objetivos de países'!$B$5:$B$510,"Colombia",'Datos - Objetivos de países'!$F$5:$F$510,AN$3,'Datos - Objetivos de países'!$K$5:$K$510,$A47)</f>
        <v/>
      </c>
      <c r="AO47" s="11">
        <f>COUNTIFS('Datos - Objetivos de países'!$B$5:$B$510,"Singapur",'Datos - Objetivos de países'!$F$5:$F$510,AO$3,'Datos - Objetivos de países'!$J$5:$J$510,$A47)+COUNTIFS('Datos - Objetivos de países'!$B$5:$B$510,"Singapur",'Datos - Objetivos de países'!$F$5:$F$510,AO$3,'Datos - Objetivos de países'!$K$5:$K$510,$A47)</f>
        <v/>
      </c>
      <c r="AP47" s="11">
        <f>COUNTIFS('Datos - Objetivos de países'!$B$5:$B$510,"Singapur",'Datos - Objetivos de países'!$F$5:$F$510,AP$3,'Datos - Objetivos de países'!$J$5:$J$510,$A47)+COUNTIFS('Datos - Objetivos de países'!$B$5:$B$510,"Singapur",'Datos - Objetivos de países'!$F$5:$F$510,AP$3,'Datos - Objetivos de países'!$K$5:$K$510,$A47)</f>
        <v/>
      </c>
      <c r="AQ47" s="11">
        <f>COUNTIFS('Datos - Objetivos de países'!$B$5:$B$510,"Singapur",'Datos - Objetivos de países'!$F$5:$F$510,AQ$3,'Datos - Objetivos de países'!$J$5:$J$510,$A47)+COUNTIFS('Datos - Objetivos de países'!$B$5:$B$510,"Singapur",'Datos - Objetivos de países'!$F$5:$F$510,AQ$3,'Datos - Objetivos de países'!$K$5:$K$510,$A47)</f>
        <v/>
      </c>
      <c r="AR47" s="11">
        <f>COUNTIFS('Datos - Objetivos de países'!$B$5:$B$510,"Singapur",'Datos - Objetivos de países'!$F$5:$F$510,AR$3,'Datos - Objetivos de países'!$J$5:$J$510,$A47)+COUNTIFS('Datos - Objetivos de países'!$B$5:$B$510,"Singapur",'Datos - Objetivos de países'!$F$5:$F$510,AR$3,'Datos - Objetivos de países'!$K$5:$K$510,$A47)</f>
        <v/>
      </c>
      <c r="AS47" s="11">
        <f>COUNTIFS('Datos - Objetivos de países'!$B$5:$B$510,"Singapur",'Datos - Objetivos de países'!$F$5:$F$510,AS$3,'Datos - Objetivos de países'!$J$5:$J$510,$A47)+COUNTIFS('Datos - Objetivos de países'!$B$5:$B$510,"Singapur",'Datos - Objetivos de países'!$F$5:$F$510,AS$3,'Datos - Objetivos de países'!$K$5:$K$510,$A47)</f>
        <v/>
      </c>
      <c r="AT47" s="11">
        <f>COUNTIFS('Datos - Objetivos de países'!$B$5:$B$510,"Singapur",'Datos - Objetivos de países'!$F$5:$F$510,AT$3,'Datos - Objetivos de países'!$J$5:$J$510,$A47)+COUNTIFS('Datos - Objetivos de países'!$B$5:$B$510,"Singapur",'Datos - Objetivos de países'!$F$5:$F$510,AT$3,'Datos - Objetivos de países'!$K$5:$K$510,$A47)</f>
        <v/>
      </c>
      <c r="AU47" s="11">
        <f>COUNTIFS('Datos - Objetivos de países'!$B$5:$B$510,"Singapur",'Datos - Objetivos de países'!$F$5:$F$510,AU$3,'Datos - Objetivos de países'!$J$5:$J$510,$A47)+COUNTIFS('Datos - Objetivos de países'!$B$5:$B$510,"Singapur",'Datos - Objetivos de países'!$F$5:$F$510,AU$3,'Datos - Objetivos de países'!$K$5:$K$510,$A47)</f>
        <v/>
      </c>
      <c r="AV47" s="11">
        <f>COUNTIFS('Datos - Objetivos de países'!$B$5:$B$510,"Singapur",'Datos - Objetivos de países'!$F$5:$F$510,AV$3,'Datos - Objetivos de países'!$J$5:$J$510,$A47)+COUNTIFS('Datos - Objetivos de países'!$B$5:$B$510,"Singapur",'Datos - Objetivos de países'!$F$5:$F$510,AV$3,'Datos - Objetivos de países'!$K$5:$K$510,$A47)</f>
        <v/>
      </c>
      <c r="AW47" s="11">
        <f>COUNTIFS('Datos - Objetivos de países'!$B$5:$B$510,"Singapur",'Datos - Objetivos de países'!$F$5:$F$510,AW$3,'Datos - Objetivos de países'!$J$5:$J$510,$A47)+COUNTIFS('Datos - Objetivos de países'!$B$5:$B$510,"Singapur",'Datos - Objetivos de países'!$F$5:$F$510,AW$3,'Datos - Objetivos de países'!$K$5:$K$510,$A47)</f>
        <v/>
      </c>
    </row>
    <row r="48">
      <c r="A48" s="30" t="inlineStr">
        <is>
          <t>T8_27-B5.5</t>
        </is>
      </c>
      <c r="B48" s="30" t="inlineStr">
        <is>
          <t>T8_27</t>
        </is>
      </c>
      <c r="C48" s="30" t="inlineStr">
        <is>
          <t>Biología</t>
        </is>
      </c>
      <c r="D48" s="30" t="inlineStr">
        <is>
          <t>Factores que afectan el tamaño de las poblaciones</t>
        </is>
      </c>
      <c r="E48" s="30">
        <f>IFERROR(MAX($L$3,INDEX($N$3:$V$3,MATCH(TRUE,INDEX(N48:V48&gt;0,0),0))),"—")</f>
        <v/>
      </c>
      <c r="F48" s="30">
        <f>IFERROR(MAX($L$3,INDEX($W$3:$AE$3,MATCH(TRUE,INDEX(W48:AE48&gt;0,0),0))),"—")</f>
        <v/>
      </c>
      <c r="G48" s="30">
        <f>IFERROR(MAX($L$3,INDEX($AF$3:$AN$3,MATCH(TRUE,INDEX(AF48:AN48&gt;0,0),0))),"—")</f>
        <v/>
      </c>
      <c r="H48" s="30">
        <f>IFERROR(MAX($L$3,INDEX($AO$3:$AW$3,MATCH(TRUE,INDEX(AO48:AW48&gt;0,0),0))),"—")</f>
        <v/>
      </c>
      <c r="I48" s="36">
        <f>IF(L48=0,"—",MEDIAN(F48:H48))</f>
        <v/>
      </c>
      <c r="J48" s="36">
        <f>IF(OR(E48="—",I48="—"),"—",E48-I48)</f>
        <v/>
      </c>
      <c r="K48" s="19">
        <f>IF(E48="—",IF(L48=0,"Nadie lo trabaja","El Salvador no llega"),IF(L48=0,"Solo El Salvador",IF(J48&gt;0,"El Salvador llega más tarde",IF(J48&lt;0,"El Salvador va adelantado","Mismo grado"))))</f>
        <v/>
      </c>
      <c r="L48" s="30">
        <f>COUNT(F48:H48)</f>
        <v/>
      </c>
      <c r="N48" s="11">
        <f>COUNTIFS('Datos - Temas'!$C$5:$C$1264,"Ciencias",'Datos - Temas'!$B$5:$B$1264,N$3,'Datos - Temas'!$K$5:$K$1264,$A48)+COUNTIFS('Datos - Temas'!$C$5:$C$1264,"Ciencias",'Datos - Temas'!$B$5:$B$1264,N$3,'Datos - Temas'!$L$5:$L$1264,$A48)</f>
        <v/>
      </c>
      <c r="O48" s="11">
        <f>COUNTIFS('Datos - Temas'!$C$5:$C$1264,"Ciencias",'Datos - Temas'!$B$5:$B$1264,O$3,'Datos - Temas'!$K$5:$K$1264,$A48)+COUNTIFS('Datos - Temas'!$C$5:$C$1264,"Ciencias",'Datos - Temas'!$B$5:$B$1264,O$3,'Datos - Temas'!$L$5:$L$1264,$A48)</f>
        <v/>
      </c>
      <c r="P48" s="11">
        <f>COUNTIFS('Datos - Temas'!$C$5:$C$1264,"Ciencias",'Datos - Temas'!$B$5:$B$1264,P$3,'Datos - Temas'!$K$5:$K$1264,$A48)+COUNTIFS('Datos - Temas'!$C$5:$C$1264,"Ciencias",'Datos - Temas'!$B$5:$B$1264,P$3,'Datos - Temas'!$L$5:$L$1264,$A48)</f>
        <v/>
      </c>
      <c r="Q48" s="11">
        <f>COUNTIFS('Datos - Temas'!$C$5:$C$1264,"Ciencias",'Datos - Temas'!$B$5:$B$1264,Q$3,'Datos - Temas'!$K$5:$K$1264,$A48)+COUNTIFS('Datos - Temas'!$C$5:$C$1264,"Ciencias",'Datos - Temas'!$B$5:$B$1264,Q$3,'Datos - Temas'!$L$5:$L$1264,$A48)</f>
        <v/>
      </c>
      <c r="R48" s="11">
        <f>COUNTIFS('Datos - Temas'!$C$5:$C$1264,"Ciencias",'Datos - Temas'!$B$5:$B$1264,R$3,'Datos - Temas'!$K$5:$K$1264,$A48)+COUNTIFS('Datos - Temas'!$C$5:$C$1264,"Ciencias",'Datos - Temas'!$B$5:$B$1264,R$3,'Datos - Temas'!$L$5:$L$1264,$A48)</f>
        <v/>
      </c>
      <c r="S48" s="11">
        <f>COUNTIFS('Datos - Temas'!$C$5:$C$1264,"Ciencias",'Datos - Temas'!$B$5:$B$1264,S$3,'Datos - Temas'!$K$5:$K$1264,$A48)+COUNTIFS('Datos - Temas'!$C$5:$C$1264,"Ciencias",'Datos - Temas'!$B$5:$B$1264,S$3,'Datos - Temas'!$L$5:$L$1264,$A48)</f>
        <v/>
      </c>
      <c r="T48" s="11">
        <f>COUNTIFS('Datos - Temas'!$C$5:$C$1264,"Ciencias",'Datos - Temas'!$B$5:$B$1264,T$3,'Datos - Temas'!$K$5:$K$1264,$A48)+COUNTIFS('Datos - Temas'!$C$5:$C$1264,"Ciencias",'Datos - Temas'!$B$5:$B$1264,T$3,'Datos - Temas'!$L$5:$L$1264,$A48)</f>
        <v/>
      </c>
      <c r="U48" s="11">
        <f>COUNTIFS('Datos - Temas'!$C$5:$C$1264,"Ciencias",'Datos - Temas'!$B$5:$B$1264,U$3,'Datos - Temas'!$K$5:$K$1264,$A48)+COUNTIFS('Datos - Temas'!$C$5:$C$1264,"Ciencias",'Datos - Temas'!$B$5:$B$1264,U$3,'Datos - Temas'!$L$5:$L$1264,$A48)</f>
        <v/>
      </c>
      <c r="V48" s="11">
        <f>COUNTIFS('Datos - Temas'!$C$5:$C$1264,"Ciencias",'Datos - Temas'!$B$5:$B$1264,V$3,'Datos - Temas'!$K$5:$K$1264,$A48)+COUNTIFS('Datos - Temas'!$C$5:$C$1264,"Ciencias",'Datos - Temas'!$B$5:$B$1264,V$3,'Datos - Temas'!$L$5:$L$1264,$A48)</f>
        <v/>
      </c>
      <c r="W48" s="11">
        <f>COUNTIFS('Datos - Objetivos de países'!$B$5:$B$510,"Uruguay",'Datos - Objetivos de países'!$F$5:$F$510,W$3,'Datos - Objetivos de países'!$J$5:$J$510,$A48)+COUNTIFS('Datos - Objetivos de países'!$B$5:$B$510,"Uruguay",'Datos - Objetivos de países'!$F$5:$F$510,W$3,'Datos - Objetivos de países'!$K$5:$K$510,$A48)</f>
        <v/>
      </c>
      <c r="X48" s="11">
        <f>COUNTIFS('Datos - Objetivos de países'!$B$5:$B$510,"Uruguay",'Datos - Objetivos de países'!$F$5:$F$510,X$3,'Datos - Objetivos de países'!$J$5:$J$510,$A48)+COUNTIFS('Datos - Objetivos de países'!$B$5:$B$510,"Uruguay",'Datos - Objetivos de países'!$F$5:$F$510,X$3,'Datos - Objetivos de países'!$K$5:$K$510,$A48)</f>
        <v/>
      </c>
      <c r="Y48" s="11">
        <f>COUNTIFS('Datos - Objetivos de países'!$B$5:$B$510,"Uruguay",'Datos - Objetivos de países'!$F$5:$F$510,Y$3,'Datos - Objetivos de países'!$J$5:$J$510,$A48)+COUNTIFS('Datos - Objetivos de países'!$B$5:$B$510,"Uruguay",'Datos - Objetivos de países'!$F$5:$F$510,Y$3,'Datos - Objetivos de países'!$K$5:$K$510,$A48)</f>
        <v/>
      </c>
      <c r="Z48" s="11">
        <f>COUNTIFS('Datos - Objetivos de países'!$B$5:$B$510,"Uruguay",'Datos - Objetivos de países'!$F$5:$F$510,Z$3,'Datos - Objetivos de países'!$J$5:$J$510,$A48)+COUNTIFS('Datos - Objetivos de países'!$B$5:$B$510,"Uruguay",'Datos - Objetivos de países'!$F$5:$F$510,Z$3,'Datos - Objetivos de países'!$K$5:$K$510,$A48)</f>
        <v/>
      </c>
      <c r="AA48" s="11">
        <f>COUNTIFS('Datos - Objetivos de países'!$B$5:$B$510,"Uruguay",'Datos - Objetivos de países'!$F$5:$F$510,AA$3,'Datos - Objetivos de países'!$J$5:$J$510,$A48)+COUNTIFS('Datos - Objetivos de países'!$B$5:$B$510,"Uruguay",'Datos - Objetivos de países'!$F$5:$F$510,AA$3,'Datos - Objetivos de países'!$K$5:$K$510,$A48)</f>
        <v/>
      </c>
      <c r="AB48" s="11">
        <f>COUNTIFS('Datos - Objetivos de países'!$B$5:$B$510,"Uruguay",'Datos - Objetivos de países'!$F$5:$F$510,AB$3,'Datos - Objetivos de países'!$J$5:$J$510,$A48)+COUNTIFS('Datos - Objetivos de países'!$B$5:$B$510,"Uruguay",'Datos - Objetivos de países'!$F$5:$F$510,AB$3,'Datos - Objetivos de países'!$K$5:$K$510,$A48)</f>
        <v/>
      </c>
      <c r="AC48" s="11">
        <f>COUNTIFS('Datos - Objetivos de países'!$B$5:$B$510,"Uruguay",'Datos - Objetivos de países'!$F$5:$F$510,AC$3,'Datos - Objetivos de países'!$J$5:$J$510,$A48)+COUNTIFS('Datos - Objetivos de países'!$B$5:$B$510,"Uruguay",'Datos - Objetivos de países'!$F$5:$F$510,AC$3,'Datos - Objetivos de países'!$K$5:$K$510,$A48)</f>
        <v/>
      </c>
      <c r="AD48" s="11">
        <f>COUNTIFS('Datos - Objetivos de países'!$B$5:$B$510,"Uruguay",'Datos - Objetivos de países'!$F$5:$F$510,AD$3,'Datos - Objetivos de países'!$J$5:$J$510,$A48)+COUNTIFS('Datos - Objetivos de países'!$B$5:$B$510,"Uruguay",'Datos - Objetivos de países'!$F$5:$F$510,AD$3,'Datos - Objetivos de países'!$K$5:$K$510,$A48)</f>
        <v/>
      </c>
      <c r="AE48" s="11">
        <f>COUNTIFS('Datos - Objetivos de países'!$B$5:$B$510,"Uruguay",'Datos - Objetivos de países'!$F$5:$F$510,AE$3,'Datos - Objetivos de países'!$J$5:$J$510,$A48)+COUNTIFS('Datos - Objetivos de países'!$B$5:$B$510,"Uruguay",'Datos - Objetivos de países'!$F$5:$F$510,AE$3,'Datos - Objetivos de países'!$K$5:$K$510,$A48)</f>
        <v/>
      </c>
      <c r="AF48" s="11">
        <f>COUNTIFS('Datos - Objetivos de países'!$B$5:$B$510,"Colombia",'Datos - Objetivos de países'!$F$5:$F$510,AF$3,'Datos - Objetivos de países'!$J$5:$J$510,$A48)+COUNTIFS('Datos - Objetivos de países'!$B$5:$B$510,"Colombia",'Datos - Objetivos de países'!$F$5:$F$510,AF$3,'Datos - Objetivos de países'!$K$5:$K$510,$A48)</f>
        <v/>
      </c>
      <c r="AG48" s="11">
        <f>COUNTIFS('Datos - Objetivos de países'!$B$5:$B$510,"Colombia",'Datos - Objetivos de países'!$F$5:$F$510,AG$3,'Datos - Objetivos de países'!$J$5:$J$510,$A48)+COUNTIFS('Datos - Objetivos de países'!$B$5:$B$510,"Colombia",'Datos - Objetivos de países'!$F$5:$F$510,AG$3,'Datos - Objetivos de países'!$K$5:$K$510,$A48)</f>
        <v/>
      </c>
      <c r="AH48" s="11">
        <f>COUNTIFS('Datos - Objetivos de países'!$B$5:$B$510,"Colombia",'Datos - Objetivos de países'!$F$5:$F$510,AH$3,'Datos - Objetivos de países'!$J$5:$J$510,$A48)+COUNTIFS('Datos - Objetivos de países'!$B$5:$B$510,"Colombia",'Datos - Objetivos de países'!$F$5:$F$510,AH$3,'Datos - Objetivos de países'!$K$5:$K$510,$A48)</f>
        <v/>
      </c>
      <c r="AI48" s="11">
        <f>COUNTIFS('Datos - Objetivos de países'!$B$5:$B$510,"Colombia",'Datos - Objetivos de países'!$F$5:$F$510,AI$3,'Datos - Objetivos de países'!$J$5:$J$510,$A48)+COUNTIFS('Datos - Objetivos de países'!$B$5:$B$510,"Colombia",'Datos - Objetivos de países'!$F$5:$F$510,AI$3,'Datos - Objetivos de países'!$K$5:$K$510,$A48)</f>
        <v/>
      </c>
      <c r="AJ48" s="11">
        <f>COUNTIFS('Datos - Objetivos de países'!$B$5:$B$510,"Colombia",'Datos - Objetivos de países'!$F$5:$F$510,AJ$3,'Datos - Objetivos de países'!$J$5:$J$510,$A48)+COUNTIFS('Datos - Objetivos de países'!$B$5:$B$510,"Colombia",'Datos - Objetivos de países'!$F$5:$F$510,AJ$3,'Datos - Objetivos de países'!$K$5:$K$510,$A48)</f>
        <v/>
      </c>
      <c r="AK48" s="11">
        <f>COUNTIFS('Datos - Objetivos de países'!$B$5:$B$510,"Colombia",'Datos - Objetivos de países'!$F$5:$F$510,AK$3,'Datos - Objetivos de países'!$J$5:$J$510,$A48)+COUNTIFS('Datos - Objetivos de países'!$B$5:$B$510,"Colombia",'Datos - Objetivos de países'!$F$5:$F$510,AK$3,'Datos - Objetivos de países'!$K$5:$K$510,$A48)</f>
        <v/>
      </c>
      <c r="AL48" s="11">
        <f>COUNTIFS('Datos - Objetivos de países'!$B$5:$B$510,"Colombia",'Datos - Objetivos de países'!$F$5:$F$510,AL$3,'Datos - Objetivos de países'!$J$5:$J$510,$A48)+COUNTIFS('Datos - Objetivos de países'!$B$5:$B$510,"Colombia",'Datos - Objetivos de países'!$F$5:$F$510,AL$3,'Datos - Objetivos de países'!$K$5:$K$510,$A48)</f>
        <v/>
      </c>
      <c r="AM48" s="11">
        <f>COUNTIFS('Datos - Objetivos de países'!$B$5:$B$510,"Colombia",'Datos - Objetivos de países'!$F$5:$F$510,AM$3,'Datos - Objetivos de países'!$J$5:$J$510,$A48)+COUNTIFS('Datos - Objetivos de países'!$B$5:$B$510,"Colombia",'Datos - Objetivos de países'!$F$5:$F$510,AM$3,'Datos - Objetivos de países'!$K$5:$K$510,$A48)</f>
        <v/>
      </c>
      <c r="AN48" s="11">
        <f>COUNTIFS('Datos - Objetivos de países'!$B$5:$B$510,"Colombia",'Datos - Objetivos de países'!$F$5:$F$510,AN$3,'Datos - Objetivos de países'!$J$5:$J$510,$A48)+COUNTIFS('Datos - Objetivos de países'!$B$5:$B$510,"Colombia",'Datos - Objetivos de países'!$F$5:$F$510,AN$3,'Datos - Objetivos de países'!$K$5:$K$510,$A48)</f>
        <v/>
      </c>
      <c r="AO48" s="11">
        <f>COUNTIFS('Datos - Objetivos de países'!$B$5:$B$510,"Singapur",'Datos - Objetivos de países'!$F$5:$F$510,AO$3,'Datos - Objetivos de países'!$J$5:$J$510,$A48)+COUNTIFS('Datos - Objetivos de países'!$B$5:$B$510,"Singapur",'Datos - Objetivos de países'!$F$5:$F$510,AO$3,'Datos - Objetivos de países'!$K$5:$K$510,$A48)</f>
        <v/>
      </c>
      <c r="AP48" s="11">
        <f>COUNTIFS('Datos - Objetivos de países'!$B$5:$B$510,"Singapur",'Datos - Objetivos de países'!$F$5:$F$510,AP$3,'Datos - Objetivos de países'!$J$5:$J$510,$A48)+COUNTIFS('Datos - Objetivos de países'!$B$5:$B$510,"Singapur",'Datos - Objetivos de países'!$F$5:$F$510,AP$3,'Datos - Objetivos de países'!$K$5:$K$510,$A48)</f>
        <v/>
      </c>
      <c r="AQ48" s="11">
        <f>COUNTIFS('Datos - Objetivos de países'!$B$5:$B$510,"Singapur",'Datos - Objetivos de países'!$F$5:$F$510,AQ$3,'Datos - Objetivos de países'!$J$5:$J$510,$A48)+COUNTIFS('Datos - Objetivos de países'!$B$5:$B$510,"Singapur",'Datos - Objetivos de países'!$F$5:$F$510,AQ$3,'Datos - Objetivos de países'!$K$5:$K$510,$A48)</f>
        <v/>
      </c>
      <c r="AR48" s="11">
        <f>COUNTIFS('Datos - Objetivos de países'!$B$5:$B$510,"Singapur",'Datos - Objetivos de países'!$F$5:$F$510,AR$3,'Datos - Objetivos de países'!$J$5:$J$510,$A48)+COUNTIFS('Datos - Objetivos de países'!$B$5:$B$510,"Singapur",'Datos - Objetivos de países'!$F$5:$F$510,AR$3,'Datos - Objetivos de países'!$K$5:$K$510,$A48)</f>
        <v/>
      </c>
      <c r="AS48" s="11">
        <f>COUNTIFS('Datos - Objetivos de países'!$B$5:$B$510,"Singapur",'Datos - Objetivos de países'!$F$5:$F$510,AS$3,'Datos - Objetivos de países'!$J$5:$J$510,$A48)+COUNTIFS('Datos - Objetivos de países'!$B$5:$B$510,"Singapur",'Datos - Objetivos de países'!$F$5:$F$510,AS$3,'Datos - Objetivos de países'!$K$5:$K$510,$A48)</f>
        <v/>
      </c>
      <c r="AT48" s="11">
        <f>COUNTIFS('Datos - Objetivos de países'!$B$5:$B$510,"Singapur",'Datos - Objetivos de países'!$F$5:$F$510,AT$3,'Datos - Objetivos de países'!$J$5:$J$510,$A48)+COUNTIFS('Datos - Objetivos de países'!$B$5:$B$510,"Singapur",'Datos - Objetivos de países'!$F$5:$F$510,AT$3,'Datos - Objetivos de países'!$K$5:$K$510,$A48)</f>
        <v/>
      </c>
      <c r="AU48" s="11">
        <f>COUNTIFS('Datos - Objetivos de países'!$B$5:$B$510,"Singapur",'Datos - Objetivos de países'!$F$5:$F$510,AU$3,'Datos - Objetivos de países'!$J$5:$J$510,$A48)+COUNTIFS('Datos - Objetivos de países'!$B$5:$B$510,"Singapur",'Datos - Objetivos de países'!$F$5:$F$510,AU$3,'Datos - Objetivos de países'!$K$5:$K$510,$A48)</f>
        <v/>
      </c>
      <c r="AV48" s="11">
        <f>COUNTIFS('Datos - Objetivos de países'!$B$5:$B$510,"Singapur",'Datos - Objetivos de países'!$F$5:$F$510,AV$3,'Datos - Objetivos de países'!$J$5:$J$510,$A48)+COUNTIFS('Datos - Objetivos de países'!$B$5:$B$510,"Singapur",'Datos - Objetivos de países'!$F$5:$F$510,AV$3,'Datos - Objetivos de países'!$K$5:$K$510,$A48)</f>
        <v/>
      </c>
      <c r="AW48" s="11">
        <f>COUNTIFS('Datos - Objetivos de países'!$B$5:$B$510,"Singapur",'Datos - Objetivos de países'!$F$5:$F$510,AW$3,'Datos - Objetivos de países'!$J$5:$J$510,$A48)+COUNTIFS('Datos - Objetivos de países'!$B$5:$B$510,"Singapur",'Datos - Objetivos de países'!$F$5:$F$510,AW$3,'Datos - Objetivos de países'!$K$5:$K$510,$A48)</f>
        <v/>
      </c>
    </row>
    <row r="49">
      <c r="A49" s="30" t="inlineStr">
        <is>
          <t>T8_27-B5.6</t>
        </is>
      </c>
      <c r="B49" s="30" t="inlineStr">
        <is>
          <t>T8_27</t>
        </is>
      </c>
      <c r="C49" s="30" t="inlineStr">
        <is>
          <t>Biología</t>
        </is>
      </c>
      <c r="D49" s="30" t="inlineStr">
        <is>
          <t>Impacto humano en los ecosistemas</t>
        </is>
      </c>
      <c r="E49" s="30">
        <f>IFERROR(MAX($L$3,INDEX($N$3:$V$3,MATCH(TRUE,INDEX(N49:V49&gt;0,0),0))),"—")</f>
        <v/>
      </c>
      <c r="F49" s="30">
        <f>IFERROR(MAX($L$3,INDEX($W$3:$AE$3,MATCH(TRUE,INDEX(W49:AE49&gt;0,0),0))),"—")</f>
        <v/>
      </c>
      <c r="G49" s="30">
        <f>IFERROR(MAX($L$3,INDEX($AF$3:$AN$3,MATCH(TRUE,INDEX(AF49:AN49&gt;0,0),0))),"—")</f>
        <v/>
      </c>
      <c r="H49" s="30">
        <f>IFERROR(MAX($L$3,INDEX($AO$3:$AW$3,MATCH(TRUE,INDEX(AO49:AW49&gt;0,0),0))),"—")</f>
        <v/>
      </c>
      <c r="I49" s="36">
        <f>IF(L49=0,"—",MEDIAN(F49:H49))</f>
        <v/>
      </c>
      <c r="J49" s="36">
        <f>IF(OR(E49="—",I49="—"),"—",E49-I49)</f>
        <v/>
      </c>
      <c r="K49" s="19">
        <f>IF(E49="—",IF(L49=0,"Nadie lo trabaja","El Salvador no llega"),IF(L49=0,"Solo El Salvador",IF(J49&gt;0,"El Salvador llega más tarde",IF(J49&lt;0,"El Salvador va adelantado","Mismo grado"))))</f>
        <v/>
      </c>
      <c r="L49" s="30">
        <f>COUNT(F49:H49)</f>
        <v/>
      </c>
      <c r="N49" s="11">
        <f>COUNTIFS('Datos - Temas'!$C$5:$C$1264,"Ciencias",'Datos - Temas'!$B$5:$B$1264,N$3,'Datos - Temas'!$K$5:$K$1264,$A49)+COUNTIFS('Datos - Temas'!$C$5:$C$1264,"Ciencias",'Datos - Temas'!$B$5:$B$1264,N$3,'Datos - Temas'!$L$5:$L$1264,$A49)</f>
        <v/>
      </c>
      <c r="O49" s="11">
        <f>COUNTIFS('Datos - Temas'!$C$5:$C$1264,"Ciencias",'Datos - Temas'!$B$5:$B$1264,O$3,'Datos - Temas'!$K$5:$K$1264,$A49)+COUNTIFS('Datos - Temas'!$C$5:$C$1264,"Ciencias",'Datos - Temas'!$B$5:$B$1264,O$3,'Datos - Temas'!$L$5:$L$1264,$A49)</f>
        <v/>
      </c>
      <c r="P49" s="11">
        <f>COUNTIFS('Datos - Temas'!$C$5:$C$1264,"Ciencias",'Datos - Temas'!$B$5:$B$1264,P$3,'Datos - Temas'!$K$5:$K$1264,$A49)+COUNTIFS('Datos - Temas'!$C$5:$C$1264,"Ciencias",'Datos - Temas'!$B$5:$B$1264,P$3,'Datos - Temas'!$L$5:$L$1264,$A49)</f>
        <v/>
      </c>
      <c r="Q49" s="11">
        <f>COUNTIFS('Datos - Temas'!$C$5:$C$1264,"Ciencias",'Datos - Temas'!$B$5:$B$1264,Q$3,'Datos - Temas'!$K$5:$K$1264,$A49)+COUNTIFS('Datos - Temas'!$C$5:$C$1264,"Ciencias",'Datos - Temas'!$B$5:$B$1264,Q$3,'Datos - Temas'!$L$5:$L$1264,$A49)</f>
        <v/>
      </c>
      <c r="R49" s="11">
        <f>COUNTIFS('Datos - Temas'!$C$5:$C$1264,"Ciencias",'Datos - Temas'!$B$5:$B$1264,R$3,'Datos - Temas'!$K$5:$K$1264,$A49)+COUNTIFS('Datos - Temas'!$C$5:$C$1264,"Ciencias",'Datos - Temas'!$B$5:$B$1264,R$3,'Datos - Temas'!$L$5:$L$1264,$A49)</f>
        <v/>
      </c>
      <c r="S49" s="11">
        <f>COUNTIFS('Datos - Temas'!$C$5:$C$1264,"Ciencias",'Datos - Temas'!$B$5:$B$1264,S$3,'Datos - Temas'!$K$5:$K$1264,$A49)+COUNTIFS('Datos - Temas'!$C$5:$C$1264,"Ciencias",'Datos - Temas'!$B$5:$B$1264,S$3,'Datos - Temas'!$L$5:$L$1264,$A49)</f>
        <v/>
      </c>
      <c r="T49" s="11">
        <f>COUNTIFS('Datos - Temas'!$C$5:$C$1264,"Ciencias",'Datos - Temas'!$B$5:$B$1264,T$3,'Datos - Temas'!$K$5:$K$1264,$A49)+COUNTIFS('Datos - Temas'!$C$5:$C$1264,"Ciencias",'Datos - Temas'!$B$5:$B$1264,T$3,'Datos - Temas'!$L$5:$L$1264,$A49)</f>
        <v/>
      </c>
      <c r="U49" s="11">
        <f>COUNTIFS('Datos - Temas'!$C$5:$C$1264,"Ciencias",'Datos - Temas'!$B$5:$B$1264,U$3,'Datos - Temas'!$K$5:$K$1264,$A49)+COUNTIFS('Datos - Temas'!$C$5:$C$1264,"Ciencias",'Datos - Temas'!$B$5:$B$1264,U$3,'Datos - Temas'!$L$5:$L$1264,$A49)</f>
        <v/>
      </c>
      <c r="V49" s="11">
        <f>COUNTIFS('Datos - Temas'!$C$5:$C$1264,"Ciencias",'Datos - Temas'!$B$5:$B$1264,V$3,'Datos - Temas'!$K$5:$K$1264,$A49)+COUNTIFS('Datos - Temas'!$C$5:$C$1264,"Ciencias",'Datos - Temas'!$B$5:$B$1264,V$3,'Datos - Temas'!$L$5:$L$1264,$A49)</f>
        <v/>
      </c>
      <c r="W49" s="11">
        <f>COUNTIFS('Datos - Objetivos de países'!$B$5:$B$510,"Uruguay",'Datos - Objetivos de países'!$F$5:$F$510,W$3,'Datos - Objetivos de países'!$J$5:$J$510,$A49)+COUNTIFS('Datos - Objetivos de países'!$B$5:$B$510,"Uruguay",'Datos - Objetivos de países'!$F$5:$F$510,W$3,'Datos - Objetivos de países'!$K$5:$K$510,$A49)</f>
        <v/>
      </c>
      <c r="X49" s="11">
        <f>COUNTIFS('Datos - Objetivos de países'!$B$5:$B$510,"Uruguay",'Datos - Objetivos de países'!$F$5:$F$510,X$3,'Datos - Objetivos de países'!$J$5:$J$510,$A49)+COUNTIFS('Datos - Objetivos de países'!$B$5:$B$510,"Uruguay",'Datos - Objetivos de países'!$F$5:$F$510,X$3,'Datos - Objetivos de países'!$K$5:$K$510,$A49)</f>
        <v/>
      </c>
      <c r="Y49" s="11">
        <f>COUNTIFS('Datos - Objetivos de países'!$B$5:$B$510,"Uruguay",'Datos - Objetivos de países'!$F$5:$F$510,Y$3,'Datos - Objetivos de países'!$J$5:$J$510,$A49)+COUNTIFS('Datos - Objetivos de países'!$B$5:$B$510,"Uruguay",'Datos - Objetivos de países'!$F$5:$F$510,Y$3,'Datos - Objetivos de países'!$K$5:$K$510,$A49)</f>
        <v/>
      </c>
      <c r="Z49" s="11">
        <f>COUNTIFS('Datos - Objetivos de países'!$B$5:$B$510,"Uruguay",'Datos - Objetivos de países'!$F$5:$F$510,Z$3,'Datos - Objetivos de países'!$J$5:$J$510,$A49)+COUNTIFS('Datos - Objetivos de países'!$B$5:$B$510,"Uruguay",'Datos - Objetivos de países'!$F$5:$F$510,Z$3,'Datos - Objetivos de países'!$K$5:$K$510,$A49)</f>
        <v/>
      </c>
      <c r="AA49" s="11">
        <f>COUNTIFS('Datos - Objetivos de países'!$B$5:$B$510,"Uruguay",'Datos - Objetivos de países'!$F$5:$F$510,AA$3,'Datos - Objetivos de países'!$J$5:$J$510,$A49)+COUNTIFS('Datos - Objetivos de países'!$B$5:$B$510,"Uruguay",'Datos - Objetivos de países'!$F$5:$F$510,AA$3,'Datos - Objetivos de países'!$K$5:$K$510,$A49)</f>
        <v/>
      </c>
      <c r="AB49" s="11">
        <f>COUNTIFS('Datos - Objetivos de países'!$B$5:$B$510,"Uruguay",'Datos - Objetivos de países'!$F$5:$F$510,AB$3,'Datos - Objetivos de países'!$J$5:$J$510,$A49)+COUNTIFS('Datos - Objetivos de países'!$B$5:$B$510,"Uruguay",'Datos - Objetivos de países'!$F$5:$F$510,AB$3,'Datos - Objetivos de países'!$K$5:$K$510,$A49)</f>
        <v/>
      </c>
      <c r="AC49" s="11">
        <f>COUNTIFS('Datos - Objetivos de países'!$B$5:$B$510,"Uruguay",'Datos - Objetivos de países'!$F$5:$F$510,AC$3,'Datos - Objetivos de países'!$J$5:$J$510,$A49)+COUNTIFS('Datos - Objetivos de países'!$B$5:$B$510,"Uruguay",'Datos - Objetivos de países'!$F$5:$F$510,AC$3,'Datos - Objetivos de países'!$K$5:$K$510,$A49)</f>
        <v/>
      </c>
      <c r="AD49" s="11">
        <f>COUNTIFS('Datos - Objetivos de países'!$B$5:$B$510,"Uruguay",'Datos - Objetivos de países'!$F$5:$F$510,AD$3,'Datos - Objetivos de países'!$J$5:$J$510,$A49)+COUNTIFS('Datos - Objetivos de países'!$B$5:$B$510,"Uruguay",'Datos - Objetivos de países'!$F$5:$F$510,AD$3,'Datos - Objetivos de países'!$K$5:$K$510,$A49)</f>
        <v/>
      </c>
      <c r="AE49" s="11">
        <f>COUNTIFS('Datos - Objetivos de países'!$B$5:$B$510,"Uruguay",'Datos - Objetivos de países'!$F$5:$F$510,AE$3,'Datos - Objetivos de países'!$J$5:$J$510,$A49)+COUNTIFS('Datos - Objetivos de países'!$B$5:$B$510,"Uruguay",'Datos - Objetivos de países'!$F$5:$F$510,AE$3,'Datos - Objetivos de países'!$K$5:$K$510,$A49)</f>
        <v/>
      </c>
      <c r="AF49" s="11">
        <f>COUNTIFS('Datos - Objetivos de países'!$B$5:$B$510,"Colombia",'Datos - Objetivos de países'!$F$5:$F$510,AF$3,'Datos - Objetivos de países'!$J$5:$J$510,$A49)+COUNTIFS('Datos - Objetivos de países'!$B$5:$B$510,"Colombia",'Datos - Objetivos de países'!$F$5:$F$510,AF$3,'Datos - Objetivos de países'!$K$5:$K$510,$A49)</f>
        <v/>
      </c>
      <c r="AG49" s="11">
        <f>COUNTIFS('Datos - Objetivos de países'!$B$5:$B$510,"Colombia",'Datos - Objetivos de países'!$F$5:$F$510,AG$3,'Datos - Objetivos de países'!$J$5:$J$510,$A49)+COUNTIFS('Datos - Objetivos de países'!$B$5:$B$510,"Colombia",'Datos - Objetivos de países'!$F$5:$F$510,AG$3,'Datos - Objetivos de países'!$K$5:$K$510,$A49)</f>
        <v/>
      </c>
      <c r="AH49" s="11">
        <f>COUNTIFS('Datos - Objetivos de países'!$B$5:$B$510,"Colombia",'Datos - Objetivos de países'!$F$5:$F$510,AH$3,'Datos - Objetivos de países'!$J$5:$J$510,$A49)+COUNTIFS('Datos - Objetivos de países'!$B$5:$B$510,"Colombia",'Datos - Objetivos de países'!$F$5:$F$510,AH$3,'Datos - Objetivos de países'!$K$5:$K$510,$A49)</f>
        <v/>
      </c>
      <c r="AI49" s="11">
        <f>COUNTIFS('Datos - Objetivos de países'!$B$5:$B$510,"Colombia",'Datos - Objetivos de países'!$F$5:$F$510,AI$3,'Datos - Objetivos de países'!$J$5:$J$510,$A49)+COUNTIFS('Datos - Objetivos de países'!$B$5:$B$510,"Colombia",'Datos - Objetivos de países'!$F$5:$F$510,AI$3,'Datos - Objetivos de países'!$K$5:$K$510,$A49)</f>
        <v/>
      </c>
      <c r="AJ49" s="11">
        <f>COUNTIFS('Datos - Objetivos de países'!$B$5:$B$510,"Colombia",'Datos - Objetivos de países'!$F$5:$F$510,AJ$3,'Datos - Objetivos de países'!$J$5:$J$510,$A49)+COUNTIFS('Datos - Objetivos de países'!$B$5:$B$510,"Colombia",'Datos - Objetivos de países'!$F$5:$F$510,AJ$3,'Datos - Objetivos de países'!$K$5:$K$510,$A49)</f>
        <v/>
      </c>
      <c r="AK49" s="11">
        <f>COUNTIFS('Datos - Objetivos de países'!$B$5:$B$510,"Colombia",'Datos - Objetivos de países'!$F$5:$F$510,AK$3,'Datos - Objetivos de países'!$J$5:$J$510,$A49)+COUNTIFS('Datos - Objetivos de países'!$B$5:$B$510,"Colombia",'Datos - Objetivos de países'!$F$5:$F$510,AK$3,'Datos - Objetivos de países'!$K$5:$K$510,$A49)</f>
        <v/>
      </c>
      <c r="AL49" s="11">
        <f>COUNTIFS('Datos - Objetivos de países'!$B$5:$B$510,"Colombia",'Datos - Objetivos de países'!$F$5:$F$510,AL$3,'Datos - Objetivos de países'!$J$5:$J$510,$A49)+COUNTIFS('Datos - Objetivos de países'!$B$5:$B$510,"Colombia",'Datos - Objetivos de países'!$F$5:$F$510,AL$3,'Datos - Objetivos de países'!$K$5:$K$510,$A49)</f>
        <v/>
      </c>
      <c r="AM49" s="11">
        <f>COUNTIFS('Datos - Objetivos de países'!$B$5:$B$510,"Colombia",'Datos - Objetivos de países'!$F$5:$F$510,AM$3,'Datos - Objetivos de países'!$J$5:$J$510,$A49)+COUNTIFS('Datos - Objetivos de países'!$B$5:$B$510,"Colombia",'Datos - Objetivos de países'!$F$5:$F$510,AM$3,'Datos - Objetivos de países'!$K$5:$K$510,$A49)</f>
        <v/>
      </c>
      <c r="AN49" s="11">
        <f>COUNTIFS('Datos - Objetivos de países'!$B$5:$B$510,"Colombia",'Datos - Objetivos de países'!$F$5:$F$510,AN$3,'Datos - Objetivos de países'!$J$5:$J$510,$A49)+COUNTIFS('Datos - Objetivos de países'!$B$5:$B$510,"Colombia",'Datos - Objetivos de países'!$F$5:$F$510,AN$3,'Datos - Objetivos de países'!$K$5:$K$510,$A49)</f>
        <v/>
      </c>
      <c r="AO49" s="11">
        <f>COUNTIFS('Datos - Objetivos de países'!$B$5:$B$510,"Singapur",'Datos - Objetivos de países'!$F$5:$F$510,AO$3,'Datos - Objetivos de países'!$J$5:$J$510,$A49)+COUNTIFS('Datos - Objetivos de países'!$B$5:$B$510,"Singapur",'Datos - Objetivos de países'!$F$5:$F$510,AO$3,'Datos - Objetivos de países'!$K$5:$K$510,$A49)</f>
        <v/>
      </c>
      <c r="AP49" s="11">
        <f>COUNTIFS('Datos - Objetivos de países'!$B$5:$B$510,"Singapur",'Datos - Objetivos de países'!$F$5:$F$510,AP$3,'Datos - Objetivos de países'!$J$5:$J$510,$A49)+COUNTIFS('Datos - Objetivos de países'!$B$5:$B$510,"Singapur",'Datos - Objetivos de países'!$F$5:$F$510,AP$3,'Datos - Objetivos de países'!$K$5:$K$510,$A49)</f>
        <v/>
      </c>
      <c r="AQ49" s="11">
        <f>COUNTIFS('Datos - Objetivos de países'!$B$5:$B$510,"Singapur",'Datos - Objetivos de países'!$F$5:$F$510,AQ$3,'Datos - Objetivos de países'!$J$5:$J$510,$A49)+COUNTIFS('Datos - Objetivos de países'!$B$5:$B$510,"Singapur",'Datos - Objetivos de países'!$F$5:$F$510,AQ$3,'Datos - Objetivos de países'!$K$5:$K$510,$A49)</f>
        <v/>
      </c>
      <c r="AR49" s="11">
        <f>COUNTIFS('Datos - Objetivos de países'!$B$5:$B$510,"Singapur",'Datos - Objetivos de países'!$F$5:$F$510,AR$3,'Datos - Objetivos de países'!$J$5:$J$510,$A49)+COUNTIFS('Datos - Objetivos de países'!$B$5:$B$510,"Singapur",'Datos - Objetivos de países'!$F$5:$F$510,AR$3,'Datos - Objetivos de países'!$K$5:$K$510,$A49)</f>
        <v/>
      </c>
      <c r="AS49" s="11">
        <f>COUNTIFS('Datos - Objetivos de países'!$B$5:$B$510,"Singapur",'Datos - Objetivos de países'!$F$5:$F$510,AS$3,'Datos - Objetivos de países'!$J$5:$J$510,$A49)+COUNTIFS('Datos - Objetivos de países'!$B$5:$B$510,"Singapur",'Datos - Objetivos de países'!$F$5:$F$510,AS$3,'Datos - Objetivos de países'!$K$5:$K$510,$A49)</f>
        <v/>
      </c>
      <c r="AT49" s="11">
        <f>COUNTIFS('Datos - Objetivos de países'!$B$5:$B$510,"Singapur",'Datos - Objetivos de países'!$F$5:$F$510,AT$3,'Datos - Objetivos de países'!$J$5:$J$510,$A49)+COUNTIFS('Datos - Objetivos de países'!$B$5:$B$510,"Singapur",'Datos - Objetivos de países'!$F$5:$F$510,AT$3,'Datos - Objetivos de países'!$K$5:$K$510,$A49)</f>
        <v/>
      </c>
      <c r="AU49" s="11">
        <f>COUNTIFS('Datos - Objetivos de países'!$B$5:$B$510,"Singapur",'Datos - Objetivos de países'!$F$5:$F$510,AU$3,'Datos - Objetivos de países'!$J$5:$J$510,$A49)+COUNTIFS('Datos - Objetivos de países'!$B$5:$B$510,"Singapur",'Datos - Objetivos de países'!$F$5:$F$510,AU$3,'Datos - Objetivos de países'!$K$5:$K$510,$A49)</f>
        <v/>
      </c>
      <c r="AV49" s="11">
        <f>COUNTIFS('Datos - Objetivos de países'!$B$5:$B$510,"Singapur",'Datos - Objetivos de países'!$F$5:$F$510,AV$3,'Datos - Objetivos de países'!$J$5:$J$510,$A49)+COUNTIFS('Datos - Objetivos de países'!$B$5:$B$510,"Singapur",'Datos - Objetivos de países'!$F$5:$F$510,AV$3,'Datos - Objetivos de países'!$K$5:$K$510,$A49)</f>
        <v/>
      </c>
      <c r="AW49" s="11">
        <f>COUNTIFS('Datos - Objetivos de países'!$B$5:$B$510,"Singapur",'Datos - Objetivos de países'!$F$5:$F$510,AW$3,'Datos - Objetivos de países'!$J$5:$J$510,$A49)+COUNTIFS('Datos - Objetivos de países'!$B$5:$B$510,"Singapur",'Datos - Objetivos de países'!$F$5:$F$510,AW$3,'Datos - Objetivos de países'!$K$5:$K$510,$A49)</f>
        <v/>
      </c>
    </row>
    <row r="50">
      <c r="A50" s="30" t="inlineStr">
        <is>
          <t>T8_27-B6.1</t>
        </is>
      </c>
      <c r="B50" s="30" t="inlineStr">
        <is>
          <t>T8_27</t>
        </is>
      </c>
      <c r="C50" s="30" t="inlineStr">
        <is>
          <t>Biología</t>
        </is>
      </c>
      <c r="D50" s="30" t="inlineStr">
        <is>
          <t>Causas, transmisión, prevención y resistencia a enfermedades</t>
        </is>
      </c>
      <c r="E50" s="30">
        <f>IFERROR(MAX($L$3,INDEX($N$3:$V$3,MATCH(TRUE,INDEX(N50:V50&gt;0,0),0))),"—")</f>
        <v/>
      </c>
      <c r="F50" s="30">
        <f>IFERROR(MAX($L$3,INDEX($W$3:$AE$3,MATCH(TRUE,INDEX(W50:AE50&gt;0,0),0))),"—")</f>
        <v/>
      </c>
      <c r="G50" s="30">
        <f>IFERROR(MAX($L$3,INDEX($AF$3:$AN$3,MATCH(TRUE,INDEX(AF50:AN50&gt;0,0),0))),"—")</f>
        <v/>
      </c>
      <c r="H50" s="30">
        <f>IFERROR(MAX($L$3,INDEX($AO$3:$AW$3,MATCH(TRUE,INDEX(AO50:AW50&gt;0,0),0))),"—")</f>
        <v/>
      </c>
      <c r="I50" s="36">
        <f>IF(L50=0,"—",MEDIAN(F50:H50))</f>
        <v/>
      </c>
      <c r="J50" s="36">
        <f>IF(OR(E50="—",I50="—"),"—",E50-I50)</f>
        <v/>
      </c>
      <c r="K50" s="19">
        <f>IF(E50="—",IF(L50=0,"Nadie lo trabaja","El Salvador no llega"),IF(L50=0,"Solo El Salvador",IF(J50&gt;0,"El Salvador llega más tarde",IF(J50&lt;0,"El Salvador va adelantado","Mismo grado"))))</f>
        <v/>
      </c>
      <c r="L50" s="30">
        <f>COUNT(F50:H50)</f>
        <v/>
      </c>
      <c r="N50" s="11">
        <f>COUNTIFS('Datos - Temas'!$C$5:$C$1264,"Ciencias",'Datos - Temas'!$B$5:$B$1264,N$3,'Datos - Temas'!$K$5:$K$1264,$A50)+COUNTIFS('Datos - Temas'!$C$5:$C$1264,"Ciencias",'Datos - Temas'!$B$5:$B$1264,N$3,'Datos - Temas'!$L$5:$L$1264,$A50)</f>
        <v/>
      </c>
      <c r="O50" s="11">
        <f>COUNTIFS('Datos - Temas'!$C$5:$C$1264,"Ciencias",'Datos - Temas'!$B$5:$B$1264,O$3,'Datos - Temas'!$K$5:$K$1264,$A50)+COUNTIFS('Datos - Temas'!$C$5:$C$1264,"Ciencias",'Datos - Temas'!$B$5:$B$1264,O$3,'Datos - Temas'!$L$5:$L$1264,$A50)</f>
        <v/>
      </c>
      <c r="P50" s="11">
        <f>COUNTIFS('Datos - Temas'!$C$5:$C$1264,"Ciencias",'Datos - Temas'!$B$5:$B$1264,P$3,'Datos - Temas'!$K$5:$K$1264,$A50)+COUNTIFS('Datos - Temas'!$C$5:$C$1264,"Ciencias",'Datos - Temas'!$B$5:$B$1264,P$3,'Datos - Temas'!$L$5:$L$1264,$A50)</f>
        <v/>
      </c>
      <c r="Q50" s="11">
        <f>COUNTIFS('Datos - Temas'!$C$5:$C$1264,"Ciencias",'Datos - Temas'!$B$5:$B$1264,Q$3,'Datos - Temas'!$K$5:$K$1264,$A50)+COUNTIFS('Datos - Temas'!$C$5:$C$1264,"Ciencias",'Datos - Temas'!$B$5:$B$1264,Q$3,'Datos - Temas'!$L$5:$L$1264,$A50)</f>
        <v/>
      </c>
      <c r="R50" s="11">
        <f>COUNTIFS('Datos - Temas'!$C$5:$C$1264,"Ciencias",'Datos - Temas'!$B$5:$B$1264,R$3,'Datos - Temas'!$K$5:$K$1264,$A50)+COUNTIFS('Datos - Temas'!$C$5:$C$1264,"Ciencias",'Datos - Temas'!$B$5:$B$1264,R$3,'Datos - Temas'!$L$5:$L$1264,$A50)</f>
        <v/>
      </c>
      <c r="S50" s="11">
        <f>COUNTIFS('Datos - Temas'!$C$5:$C$1264,"Ciencias",'Datos - Temas'!$B$5:$B$1264,S$3,'Datos - Temas'!$K$5:$K$1264,$A50)+COUNTIFS('Datos - Temas'!$C$5:$C$1264,"Ciencias",'Datos - Temas'!$B$5:$B$1264,S$3,'Datos - Temas'!$L$5:$L$1264,$A50)</f>
        <v/>
      </c>
      <c r="T50" s="11">
        <f>COUNTIFS('Datos - Temas'!$C$5:$C$1264,"Ciencias",'Datos - Temas'!$B$5:$B$1264,T$3,'Datos - Temas'!$K$5:$K$1264,$A50)+COUNTIFS('Datos - Temas'!$C$5:$C$1264,"Ciencias",'Datos - Temas'!$B$5:$B$1264,T$3,'Datos - Temas'!$L$5:$L$1264,$A50)</f>
        <v/>
      </c>
      <c r="U50" s="11">
        <f>COUNTIFS('Datos - Temas'!$C$5:$C$1264,"Ciencias",'Datos - Temas'!$B$5:$B$1264,U$3,'Datos - Temas'!$K$5:$K$1264,$A50)+COUNTIFS('Datos - Temas'!$C$5:$C$1264,"Ciencias",'Datos - Temas'!$B$5:$B$1264,U$3,'Datos - Temas'!$L$5:$L$1264,$A50)</f>
        <v/>
      </c>
      <c r="V50" s="11">
        <f>COUNTIFS('Datos - Temas'!$C$5:$C$1264,"Ciencias",'Datos - Temas'!$B$5:$B$1264,V$3,'Datos - Temas'!$K$5:$K$1264,$A50)+COUNTIFS('Datos - Temas'!$C$5:$C$1264,"Ciencias",'Datos - Temas'!$B$5:$B$1264,V$3,'Datos - Temas'!$L$5:$L$1264,$A50)</f>
        <v/>
      </c>
      <c r="W50" s="11">
        <f>COUNTIFS('Datos - Objetivos de países'!$B$5:$B$510,"Uruguay",'Datos - Objetivos de países'!$F$5:$F$510,W$3,'Datos - Objetivos de países'!$J$5:$J$510,$A50)+COUNTIFS('Datos - Objetivos de países'!$B$5:$B$510,"Uruguay",'Datos - Objetivos de países'!$F$5:$F$510,W$3,'Datos - Objetivos de países'!$K$5:$K$510,$A50)</f>
        <v/>
      </c>
      <c r="X50" s="11">
        <f>COUNTIFS('Datos - Objetivos de países'!$B$5:$B$510,"Uruguay",'Datos - Objetivos de países'!$F$5:$F$510,X$3,'Datos - Objetivos de países'!$J$5:$J$510,$A50)+COUNTIFS('Datos - Objetivos de países'!$B$5:$B$510,"Uruguay",'Datos - Objetivos de países'!$F$5:$F$510,X$3,'Datos - Objetivos de países'!$K$5:$K$510,$A50)</f>
        <v/>
      </c>
      <c r="Y50" s="11">
        <f>COUNTIFS('Datos - Objetivos de países'!$B$5:$B$510,"Uruguay",'Datos - Objetivos de países'!$F$5:$F$510,Y$3,'Datos - Objetivos de países'!$J$5:$J$510,$A50)+COUNTIFS('Datos - Objetivos de países'!$B$5:$B$510,"Uruguay",'Datos - Objetivos de países'!$F$5:$F$510,Y$3,'Datos - Objetivos de países'!$K$5:$K$510,$A50)</f>
        <v/>
      </c>
      <c r="Z50" s="11">
        <f>COUNTIFS('Datos - Objetivos de países'!$B$5:$B$510,"Uruguay",'Datos - Objetivos de países'!$F$5:$F$510,Z$3,'Datos - Objetivos de países'!$J$5:$J$510,$A50)+COUNTIFS('Datos - Objetivos de países'!$B$5:$B$510,"Uruguay",'Datos - Objetivos de países'!$F$5:$F$510,Z$3,'Datos - Objetivos de países'!$K$5:$K$510,$A50)</f>
        <v/>
      </c>
      <c r="AA50" s="11">
        <f>COUNTIFS('Datos - Objetivos de países'!$B$5:$B$510,"Uruguay",'Datos - Objetivos de países'!$F$5:$F$510,AA$3,'Datos - Objetivos de países'!$J$5:$J$510,$A50)+COUNTIFS('Datos - Objetivos de países'!$B$5:$B$510,"Uruguay",'Datos - Objetivos de países'!$F$5:$F$510,AA$3,'Datos - Objetivos de países'!$K$5:$K$510,$A50)</f>
        <v/>
      </c>
      <c r="AB50" s="11">
        <f>COUNTIFS('Datos - Objetivos de países'!$B$5:$B$510,"Uruguay",'Datos - Objetivos de países'!$F$5:$F$510,AB$3,'Datos - Objetivos de países'!$J$5:$J$510,$A50)+COUNTIFS('Datos - Objetivos de países'!$B$5:$B$510,"Uruguay",'Datos - Objetivos de países'!$F$5:$F$510,AB$3,'Datos - Objetivos de países'!$K$5:$K$510,$A50)</f>
        <v/>
      </c>
      <c r="AC50" s="11">
        <f>COUNTIFS('Datos - Objetivos de países'!$B$5:$B$510,"Uruguay",'Datos - Objetivos de países'!$F$5:$F$510,AC$3,'Datos - Objetivos de países'!$J$5:$J$510,$A50)+COUNTIFS('Datos - Objetivos de países'!$B$5:$B$510,"Uruguay",'Datos - Objetivos de países'!$F$5:$F$510,AC$3,'Datos - Objetivos de países'!$K$5:$K$510,$A50)</f>
        <v/>
      </c>
      <c r="AD50" s="11">
        <f>COUNTIFS('Datos - Objetivos de países'!$B$5:$B$510,"Uruguay",'Datos - Objetivos de países'!$F$5:$F$510,AD$3,'Datos - Objetivos de países'!$J$5:$J$510,$A50)+COUNTIFS('Datos - Objetivos de países'!$B$5:$B$510,"Uruguay",'Datos - Objetivos de países'!$F$5:$F$510,AD$3,'Datos - Objetivos de países'!$K$5:$K$510,$A50)</f>
        <v/>
      </c>
      <c r="AE50" s="11">
        <f>COUNTIFS('Datos - Objetivos de países'!$B$5:$B$510,"Uruguay",'Datos - Objetivos de países'!$F$5:$F$510,AE$3,'Datos - Objetivos de países'!$J$5:$J$510,$A50)+COUNTIFS('Datos - Objetivos de países'!$B$5:$B$510,"Uruguay",'Datos - Objetivos de países'!$F$5:$F$510,AE$3,'Datos - Objetivos de países'!$K$5:$K$510,$A50)</f>
        <v/>
      </c>
      <c r="AF50" s="11">
        <f>COUNTIFS('Datos - Objetivos de países'!$B$5:$B$510,"Colombia",'Datos - Objetivos de países'!$F$5:$F$510,AF$3,'Datos - Objetivos de países'!$J$5:$J$510,$A50)+COUNTIFS('Datos - Objetivos de países'!$B$5:$B$510,"Colombia",'Datos - Objetivos de países'!$F$5:$F$510,AF$3,'Datos - Objetivos de países'!$K$5:$K$510,$A50)</f>
        <v/>
      </c>
      <c r="AG50" s="11">
        <f>COUNTIFS('Datos - Objetivos de países'!$B$5:$B$510,"Colombia",'Datos - Objetivos de países'!$F$5:$F$510,AG$3,'Datos - Objetivos de países'!$J$5:$J$510,$A50)+COUNTIFS('Datos - Objetivos de países'!$B$5:$B$510,"Colombia",'Datos - Objetivos de países'!$F$5:$F$510,AG$3,'Datos - Objetivos de países'!$K$5:$K$510,$A50)</f>
        <v/>
      </c>
      <c r="AH50" s="11">
        <f>COUNTIFS('Datos - Objetivos de países'!$B$5:$B$510,"Colombia",'Datos - Objetivos de países'!$F$5:$F$510,AH$3,'Datos - Objetivos de países'!$J$5:$J$510,$A50)+COUNTIFS('Datos - Objetivos de países'!$B$5:$B$510,"Colombia",'Datos - Objetivos de países'!$F$5:$F$510,AH$3,'Datos - Objetivos de países'!$K$5:$K$510,$A50)</f>
        <v/>
      </c>
      <c r="AI50" s="11">
        <f>COUNTIFS('Datos - Objetivos de países'!$B$5:$B$510,"Colombia",'Datos - Objetivos de países'!$F$5:$F$510,AI$3,'Datos - Objetivos de países'!$J$5:$J$510,$A50)+COUNTIFS('Datos - Objetivos de países'!$B$5:$B$510,"Colombia",'Datos - Objetivos de países'!$F$5:$F$510,AI$3,'Datos - Objetivos de países'!$K$5:$K$510,$A50)</f>
        <v/>
      </c>
      <c r="AJ50" s="11">
        <f>COUNTIFS('Datos - Objetivos de países'!$B$5:$B$510,"Colombia",'Datos - Objetivos de países'!$F$5:$F$510,AJ$3,'Datos - Objetivos de países'!$J$5:$J$510,$A50)+COUNTIFS('Datos - Objetivos de países'!$B$5:$B$510,"Colombia",'Datos - Objetivos de países'!$F$5:$F$510,AJ$3,'Datos - Objetivos de países'!$K$5:$K$510,$A50)</f>
        <v/>
      </c>
      <c r="AK50" s="11">
        <f>COUNTIFS('Datos - Objetivos de países'!$B$5:$B$510,"Colombia",'Datos - Objetivos de países'!$F$5:$F$510,AK$3,'Datos - Objetivos de países'!$J$5:$J$510,$A50)+COUNTIFS('Datos - Objetivos de países'!$B$5:$B$510,"Colombia",'Datos - Objetivos de países'!$F$5:$F$510,AK$3,'Datos - Objetivos de países'!$K$5:$K$510,$A50)</f>
        <v/>
      </c>
      <c r="AL50" s="11">
        <f>COUNTIFS('Datos - Objetivos de países'!$B$5:$B$510,"Colombia",'Datos - Objetivos de países'!$F$5:$F$510,AL$3,'Datos - Objetivos de países'!$J$5:$J$510,$A50)+COUNTIFS('Datos - Objetivos de países'!$B$5:$B$510,"Colombia",'Datos - Objetivos de países'!$F$5:$F$510,AL$3,'Datos - Objetivos de países'!$K$5:$K$510,$A50)</f>
        <v/>
      </c>
      <c r="AM50" s="11">
        <f>COUNTIFS('Datos - Objetivos de países'!$B$5:$B$510,"Colombia",'Datos - Objetivos de países'!$F$5:$F$510,AM$3,'Datos - Objetivos de países'!$J$5:$J$510,$A50)+COUNTIFS('Datos - Objetivos de países'!$B$5:$B$510,"Colombia",'Datos - Objetivos de países'!$F$5:$F$510,AM$3,'Datos - Objetivos de países'!$K$5:$K$510,$A50)</f>
        <v/>
      </c>
      <c r="AN50" s="11">
        <f>COUNTIFS('Datos - Objetivos de países'!$B$5:$B$510,"Colombia",'Datos - Objetivos de países'!$F$5:$F$510,AN$3,'Datos - Objetivos de países'!$J$5:$J$510,$A50)+COUNTIFS('Datos - Objetivos de países'!$B$5:$B$510,"Colombia",'Datos - Objetivos de países'!$F$5:$F$510,AN$3,'Datos - Objetivos de países'!$K$5:$K$510,$A50)</f>
        <v/>
      </c>
      <c r="AO50" s="11">
        <f>COUNTIFS('Datos - Objetivos de países'!$B$5:$B$510,"Singapur",'Datos - Objetivos de países'!$F$5:$F$510,AO$3,'Datos - Objetivos de países'!$J$5:$J$510,$A50)+COUNTIFS('Datos - Objetivos de países'!$B$5:$B$510,"Singapur",'Datos - Objetivos de países'!$F$5:$F$510,AO$3,'Datos - Objetivos de países'!$K$5:$K$510,$A50)</f>
        <v/>
      </c>
      <c r="AP50" s="11">
        <f>COUNTIFS('Datos - Objetivos de países'!$B$5:$B$510,"Singapur",'Datos - Objetivos de países'!$F$5:$F$510,AP$3,'Datos - Objetivos de países'!$J$5:$J$510,$A50)+COUNTIFS('Datos - Objetivos de países'!$B$5:$B$510,"Singapur",'Datos - Objetivos de países'!$F$5:$F$510,AP$3,'Datos - Objetivos de países'!$K$5:$K$510,$A50)</f>
        <v/>
      </c>
      <c r="AQ50" s="11">
        <f>COUNTIFS('Datos - Objetivos de países'!$B$5:$B$510,"Singapur",'Datos - Objetivos de países'!$F$5:$F$510,AQ$3,'Datos - Objetivos de países'!$J$5:$J$510,$A50)+COUNTIFS('Datos - Objetivos de países'!$B$5:$B$510,"Singapur",'Datos - Objetivos de países'!$F$5:$F$510,AQ$3,'Datos - Objetivos de países'!$K$5:$K$510,$A50)</f>
        <v/>
      </c>
      <c r="AR50" s="11">
        <f>COUNTIFS('Datos - Objetivos de países'!$B$5:$B$510,"Singapur",'Datos - Objetivos de países'!$F$5:$F$510,AR$3,'Datos - Objetivos de países'!$J$5:$J$510,$A50)+COUNTIFS('Datos - Objetivos de países'!$B$5:$B$510,"Singapur",'Datos - Objetivos de países'!$F$5:$F$510,AR$3,'Datos - Objetivos de países'!$K$5:$K$510,$A50)</f>
        <v/>
      </c>
      <c r="AS50" s="11">
        <f>COUNTIFS('Datos - Objetivos de países'!$B$5:$B$510,"Singapur",'Datos - Objetivos de países'!$F$5:$F$510,AS$3,'Datos - Objetivos de países'!$J$5:$J$510,$A50)+COUNTIFS('Datos - Objetivos de países'!$B$5:$B$510,"Singapur",'Datos - Objetivos de países'!$F$5:$F$510,AS$3,'Datos - Objetivos de países'!$K$5:$K$510,$A50)</f>
        <v/>
      </c>
      <c r="AT50" s="11">
        <f>COUNTIFS('Datos - Objetivos de países'!$B$5:$B$510,"Singapur",'Datos - Objetivos de países'!$F$5:$F$510,AT$3,'Datos - Objetivos de países'!$J$5:$J$510,$A50)+COUNTIFS('Datos - Objetivos de países'!$B$5:$B$510,"Singapur",'Datos - Objetivos de países'!$F$5:$F$510,AT$3,'Datos - Objetivos de países'!$K$5:$K$510,$A50)</f>
        <v/>
      </c>
      <c r="AU50" s="11">
        <f>COUNTIFS('Datos - Objetivos de países'!$B$5:$B$510,"Singapur",'Datos - Objetivos de países'!$F$5:$F$510,AU$3,'Datos - Objetivos de países'!$J$5:$J$510,$A50)+COUNTIFS('Datos - Objetivos de países'!$B$5:$B$510,"Singapur",'Datos - Objetivos de países'!$F$5:$F$510,AU$3,'Datos - Objetivos de países'!$K$5:$K$510,$A50)</f>
        <v/>
      </c>
      <c r="AV50" s="11">
        <f>COUNTIFS('Datos - Objetivos de países'!$B$5:$B$510,"Singapur",'Datos - Objetivos de países'!$F$5:$F$510,AV$3,'Datos - Objetivos de países'!$J$5:$J$510,$A50)+COUNTIFS('Datos - Objetivos de países'!$B$5:$B$510,"Singapur",'Datos - Objetivos de países'!$F$5:$F$510,AV$3,'Datos - Objetivos de países'!$K$5:$K$510,$A50)</f>
        <v/>
      </c>
      <c r="AW50" s="11">
        <f>COUNTIFS('Datos - Objetivos de países'!$B$5:$B$510,"Singapur",'Datos - Objetivos de países'!$F$5:$F$510,AW$3,'Datos - Objetivos de países'!$J$5:$J$510,$A50)+COUNTIFS('Datos - Objetivos de países'!$B$5:$B$510,"Singapur",'Datos - Objetivos de países'!$F$5:$F$510,AW$3,'Datos - Objetivos de países'!$K$5:$K$510,$A50)</f>
        <v/>
      </c>
    </row>
    <row r="51">
      <c r="A51" s="30" t="inlineStr">
        <is>
          <t>T8_27-B6.2</t>
        </is>
      </c>
      <c r="B51" s="30" t="inlineStr">
        <is>
          <t>T8_27</t>
        </is>
      </c>
      <c r="C51" s="30" t="inlineStr">
        <is>
          <t>Biología</t>
        </is>
      </c>
      <c r="D51" s="30" t="inlineStr">
        <is>
          <t>Hábitos para mantener una buena salud</t>
        </is>
      </c>
      <c r="E51" s="30">
        <f>IFERROR(MAX($L$3,INDEX($N$3:$V$3,MATCH(TRUE,INDEX(N51:V51&gt;0,0),0))),"—")</f>
        <v/>
      </c>
      <c r="F51" s="30">
        <f>IFERROR(MAX($L$3,INDEX($W$3:$AE$3,MATCH(TRUE,INDEX(W51:AE51&gt;0,0),0))),"—")</f>
        <v/>
      </c>
      <c r="G51" s="30">
        <f>IFERROR(MAX($L$3,INDEX($AF$3:$AN$3,MATCH(TRUE,INDEX(AF51:AN51&gt;0,0),0))),"—")</f>
        <v/>
      </c>
      <c r="H51" s="30">
        <f>IFERROR(MAX($L$3,INDEX($AO$3:$AW$3,MATCH(TRUE,INDEX(AO51:AW51&gt;0,0),0))),"—")</f>
        <v/>
      </c>
      <c r="I51" s="36">
        <f>IF(L51=0,"—",MEDIAN(F51:H51))</f>
        <v/>
      </c>
      <c r="J51" s="36">
        <f>IF(OR(E51="—",I51="—"),"—",E51-I51)</f>
        <v/>
      </c>
      <c r="K51" s="19">
        <f>IF(E51="—",IF(L51=0,"Nadie lo trabaja","El Salvador no llega"),IF(L51=0,"Solo El Salvador",IF(J51&gt;0,"El Salvador llega más tarde",IF(J51&lt;0,"El Salvador va adelantado","Mismo grado"))))</f>
        <v/>
      </c>
      <c r="L51" s="30">
        <f>COUNT(F51:H51)</f>
        <v/>
      </c>
      <c r="N51" s="11">
        <f>COUNTIFS('Datos - Temas'!$C$5:$C$1264,"Ciencias",'Datos - Temas'!$B$5:$B$1264,N$3,'Datos - Temas'!$K$5:$K$1264,$A51)+COUNTIFS('Datos - Temas'!$C$5:$C$1264,"Ciencias",'Datos - Temas'!$B$5:$B$1264,N$3,'Datos - Temas'!$L$5:$L$1264,$A51)</f>
        <v/>
      </c>
      <c r="O51" s="11">
        <f>COUNTIFS('Datos - Temas'!$C$5:$C$1264,"Ciencias",'Datos - Temas'!$B$5:$B$1264,O$3,'Datos - Temas'!$K$5:$K$1264,$A51)+COUNTIFS('Datos - Temas'!$C$5:$C$1264,"Ciencias",'Datos - Temas'!$B$5:$B$1264,O$3,'Datos - Temas'!$L$5:$L$1264,$A51)</f>
        <v/>
      </c>
      <c r="P51" s="11">
        <f>COUNTIFS('Datos - Temas'!$C$5:$C$1264,"Ciencias",'Datos - Temas'!$B$5:$B$1264,P$3,'Datos - Temas'!$K$5:$K$1264,$A51)+COUNTIFS('Datos - Temas'!$C$5:$C$1264,"Ciencias",'Datos - Temas'!$B$5:$B$1264,P$3,'Datos - Temas'!$L$5:$L$1264,$A51)</f>
        <v/>
      </c>
      <c r="Q51" s="11">
        <f>COUNTIFS('Datos - Temas'!$C$5:$C$1264,"Ciencias",'Datos - Temas'!$B$5:$B$1264,Q$3,'Datos - Temas'!$K$5:$K$1264,$A51)+COUNTIFS('Datos - Temas'!$C$5:$C$1264,"Ciencias",'Datos - Temas'!$B$5:$B$1264,Q$3,'Datos - Temas'!$L$5:$L$1264,$A51)</f>
        <v/>
      </c>
      <c r="R51" s="11">
        <f>COUNTIFS('Datos - Temas'!$C$5:$C$1264,"Ciencias",'Datos - Temas'!$B$5:$B$1264,R$3,'Datos - Temas'!$K$5:$K$1264,$A51)+COUNTIFS('Datos - Temas'!$C$5:$C$1264,"Ciencias",'Datos - Temas'!$B$5:$B$1264,R$3,'Datos - Temas'!$L$5:$L$1264,$A51)</f>
        <v/>
      </c>
      <c r="S51" s="11">
        <f>COUNTIFS('Datos - Temas'!$C$5:$C$1264,"Ciencias",'Datos - Temas'!$B$5:$B$1264,S$3,'Datos - Temas'!$K$5:$K$1264,$A51)+COUNTIFS('Datos - Temas'!$C$5:$C$1264,"Ciencias",'Datos - Temas'!$B$5:$B$1264,S$3,'Datos - Temas'!$L$5:$L$1264,$A51)</f>
        <v/>
      </c>
      <c r="T51" s="11">
        <f>COUNTIFS('Datos - Temas'!$C$5:$C$1264,"Ciencias",'Datos - Temas'!$B$5:$B$1264,T$3,'Datos - Temas'!$K$5:$K$1264,$A51)+COUNTIFS('Datos - Temas'!$C$5:$C$1264,"Ciencias",'Datos - Temas'!$B$5:$B$1264,T$3,'Datos - Temas'!$L$5:$L$1264,$A51)</f>
        <v/>
      </c>
      <c r="U51" s="11">
        <f>COUNTIFS('Datos - Temas'!$C$5:$C$1264,"Ciencias",'Datos - Temas'!$B$5:$B$1264,U$3,'Datos - Temas'!$K$5:$K$1264,$A51)+COUNTIFS('Datos - Temas'!$C$5:$C$1264,"Ciencias",'Datos - Temas'!$B$5:$B$1264,U$3,'Datos - Temas'!$L$5:$L$1264,$A51)</f>
        <v/>
      </c>
      <c r="V51" s="11">
        <f>COUNTIFS('Datos - Temas'!$C$5:$C$1264,"Ciencias",'Datos - Temas'!$B$5:$B$1264,V$3,'Datos - Temas'!$K$5:$K$1264,$A51)+COUNTIFS('Datos - Temas'!$C$5:$C$1264,"Ciencias",'Datos - Temas'!$B$5:$B$1264,V$3,'Datos - Temas'!$L$5:$L$1264,$A51)</f>
        <v/>
      </c>
      <c r="W51" s="11">
        <f>COUNTIFS('Datos - Objetivos de países'!$B$5:$B$510,"Uruguay",'Datos - Objetivos de países'!$F$5:$F$510,W$3,'Datos - Objetivos de países'!$J$5:$J$510,$A51)+COUNTIFS('Datos - Objetivos de países'!$B$5:$B$510,"Uruguay",'Datos - Objetivos de países'!$F$5:$F$510,W$3,'Datos - Objetivos de países'!$K$5:$K$510,$A51)</f>
        <v/>
      </c>
      <c r="X51" s="11">
        <f>COUNTIFS('Datos - Objetivos de países'!$B$5:$B$510,"Uruguay",'Datos - Objetivos de países'!$F$5:$F$510,X$3,'Datos - Objetivos de países'!$J$5:$J$510,$A51)+COUNTIFS('Datos - Objetivos de países'!$B$5:$B$510,"Uruguay",'Datos - Objetivos de países'!$F$5:$F$510,X$3,'Datos - Objetivos de países'!$K$5:$K$510,$A51)</f>
        <v/>
      </c>
      <c r="Y51" s="11">
        <f>COUNTIFS('Datos - Objetivos de países'!$B$5:$B$510,"Uruguay",'Datos - Objetivos de países'!$F$5:$F$510,Y$3,'Datos - Objetivos de países'!$J$5:$J$510,$A51)+COUNTIFS('Datos - Objetivos de países'!$B$5:$B$510,"Uruguay",'Datos - Objetivos de países'!$F$5:$F$510,Y$3,'Datos - Objetivos de países'!$K$5:$K$510,$A51)</f>
        <v/>
      </c>
      <c r="Z51" s="11">
        <f>COUNTIFS('Datos - Objetivos de países'!$B$5:$B$510,"Uruguay",'Datos - Objetivos de países'!$F$5:$F$510,Z$3,'Datos - Objetivos de países'!$J$5:$J$510,$A51)+COUNTIFS('Datos - Objetivos de países'!$B$5:$B$510,"Uruguay",'Datos - Objetivos de países'!$F$5:$F$510,Z$3,'Datos - Objetivos de países'!$K$5:$K$510,$A51)</f>
        <v/>
      </c>
      <c r="AA51" s="11">
        <f>COUNTIFS('Datos - Objetivos de países'!$B$5:$B$510,"Uruguay",'Datos - Objetivos de países'!$F$5:$F$510,AA$3,'Datos - Objetivos de países'!$J$5:$J$510,$A51)+COUNTIFS('Datos - Objetivos de países'!$B$5:$B$510,"Uruguay",'Datos - Objetivos de países'!$F$5:$F$510,AA$3,'Datos - Objetivos de países'!$K$5:$K$510,$A51)</f>
        <v/>
      </c>
      <c r="AB51" s="11">
        <f>COUNTIFS('Datos - Objetivos de países'!$B$5:$B$510,"Uruguay",'Datos - Objetivos de países'!$F$5:$F$510,AB$3,'Datos - Objetivos de países'!$J$5:$J$510,$A51)+COUNTIFS('Datos - Objetivos de países'!$B$5:$B$510,"Uruguay",'Datos - Objetivos de países'!$F$5:$F$510,AB$3,'Datos - Objetivos de países'!$K$5:$K$510,$A51)</f>
        <v/>
      </c>
      <c r="AC51" s="11">
        <f>COUNTIFS('Datos - Objetivos de países'!$B$5:$B$510,"Uruguay",'Datos - Objetivos de países'!$F$5:$F$510,AC$3,'Datos - Objetivos de países'!$J$5:$J$510,$A51)+COUNTIFS('Datos - Objetivos de países'!$B$5:$B$510,"Uruguay",'Datos - Objetivos de países'!$F$5:$F$510,AC$3,'Datos - Objetivos de países'!$K$5:$K$510,$A51)</f>
        <v/>
      </c>
      <c r="AD51" s="11">
        <f>COUNTIFS('Datos - Objetivos de países'!$B$5:$B$510,"Uruguay",'Datos - Objetivos de países'!$F$5:$F$510,AD$3,'Datos - Objetivos de países'!$J$5:$J$510,$A51)+COUNTIFS('Datos - Objetivos de países'!$B$5:$B$510,"Uruguay",'Datos - Objetivos de países'!$F$5:$F$510,AD$3,'Datos - Objetivos de países'!$K$5:$K$510,$A51)</f>
        <v/>
      </c>
      <c r="AE51" s="11">
        <f>COUNTIFS('Datos - Objetivos de países'!$B$5:$B$510,"Uruguay",'Datos - Objetivos de países'!$F$5:$F$510,AE$3,'Datos - Objetivos de países'!$J$5:$J$510,$A51)+COUNTIFS('Datos - Objetivos de países'!$B$5:$B$510,"Uruguay",'Datos - Objetivos de países'!$F$5:$F$510,AE$3,'Datos - Objetivos de países'!$K$5:$K$510,$A51)</f>
        <v/>
      </c>
      <c r="AF51" s="11">
        <f>COUNTIFS('Datos - Objetivos de países'!$B$5:$B$510,"Colombia",'Datos - Objetivos de países'!$F$5:$F$510,AF$3,'Datos - Objetivos de países'!$J$5:$J$510,$A51)+COUNTIFS('Datos - Objetivos de países'!$B$5:$B$510,"Colombia",'Datos - Objetivos de países'!$F$5:$F$510,AF$3,'Datos - Objetivos de países'!$K$5:$K$510,$A51)</f>
        <v/>
      </c>
      <c r="AG51" s="11">
        <f>COUNTIFS('Datos - Objetivos de países'!$B$5:$B$510,"Colombia",'Datos - Objetivos de países'!$F$5:$F$510,AG$3,'Datos - Objetivos de países'!$J$5:$J$510,$A51)+COUNTIFS('Datos - Objetivos de países'!$B$5:$B$510,"Colombia",'Datos - Objetivos de países'!$F$5:$F$510,AG$3,'Datos - Objetivos de países'!$K$5:$K$510,$A51)</f>
        <v/>
      </c>
      <c r="AH51" s="11">
        <f>COUNTIFS('Datos - Objetivos de países'!$B$5:$B$510,"Colombia",'Datos - Objetivos de países'!$F$5:$F$510,AH$3,'Datos - Objetivos de países'!$J$5:$J$510,$A51)+COUNTIFS('Datos - Objetivos de países'!$B$5:$B$510,"Colombia",'Datos - Objetivos de países'!$F$5:$F$510,AH$3,'Datos - Objetivos de países'!$K$5:$K$510,$A51)</f>
        <v/>
      </c>
      <c r="AI51" s="11">
        <f>COUNTIFS('Datos - Objetivos de países'!$B$5:$B$510,"Colombia",'Datos - Objetivos de países'!$F$5:$F$510,AI$3,'Datos - Objetivos de países'!$J$5:$J$510,$A51)+COUNTIFS('Datos - Objetivos de países'!$B$5:$B$510,"Colombia",'Datos - Objetivos de países'!$F$5:$F$510,AI$3,'Datos - Objetivos de países'!$K$5:$K$510,$A51)</f>
        <v/>
      </c>
      <c r="AJ51" s="11">
        <f>COUNTIFS('Datos - Objetivos de países'!$B$5:$B$510,"Colombia",'Datos - Objetivos de países'!$F$5:$F$510,AJ$3,'Datos - Objetivos de países'!$J$5:$J$510,$A51)+COUNTIFS('Datos - Objetivos de países'!$B$5:$B$510,"Colombia",'Datos - Objetivos de países'!$F$5:$F$510,AJ$3,'Datos - Objetivos de países'!$K$5:$K$510,$A51)</f>
        <v/>
      </c>
      <c r="AK51" s="11">
        <f>COUNTIFS('Datos - Objetivos de países'!$B$5:$B$510,"Colombia",'Datos - Objetivos de países'!$F$5:$F$510,AK$3,'Datos - Objetivos de países'!$J$5:$J$510,$A51)+COUNTIFS('Datos - Objetivos de países'!$B$5:$B$510,"Colombia",'Datos - Objetivos de países'!$F$5:$F$510,AK$3,'Datos - Objetivos de países'!$K$5:$K$510,$A51)</f>
        <v/>
      </c>
      <c r="AL51" s="11">
        <f>COUNTIFS('Datos - Objetivos de países'!$B$5:$B$510,"Colombia",'Datos - Objetivos de países'!$F$5:$F$510,AL$3,'Datos - Objetivos de países'!$J$5:$J$510,$A51)+COUNTIFS('Datos - Objetivos de países'!$B$5:$B$510,"Colombia",'Datos - Objetivos de países'!$F$5:$F$510,AL$3,'Datos - Objetivos de países'!$K$5:$K$510,$A51)</f>
        <v/>
      </c>
      <c r="AM51" s="11">
        <f>COUNTIFS('Datos - Objetivos de países'!$B$5:$B$510,"Colombia",'Datos - Objetivos de países'!$F$5:$F$510,AM$3,'Datos - Objetivos de países'!$J$5:$J$510,$A51)+COUNTIFS('Datos - Objetivos de países'!$B$5:$B$510,"Colombia",'Datos - Objetivos de países'!$F$5:$F$510,AM$3,'Datos - Objetivos de países'!$K$5:$K$510,$A51)</f>
        <v/>
      </c>
      <c r="AN51" s="11">
        <f>COUNTIFS('Datos - Objetivos de países'!$B$5:$B$510,"Colombia",'Datos - Objetivos de países'!$F$5:$F$510,AN$3,'Datos - Objetivos de países'!$J$5:$J$510,$A51)+COUNTIFS('Datos - Objetivos de países'!$B$5:$B$510,"Colombia",'Datos - Objetivos de países'!$F$5:$F$510,AN$3,'Datos - Objetivos de países'!$K$5:$K$510,$A51)</f>
        <v/>
      </c>
      <c r="AO51" s="11">
        <f>COUNTIFS('Datos - Objetivos de países'!$B$5:$B$510,"Singapur",'Datos - Objetivos de países'!$F$5:$F$510,AO$3,'Datos - Objetivos de países'!$J$5:$J$510,$A51)+COUNTIFS('Datos - Objetivos de países'!$B$5:$B$510,"Singapur",'Datos - Objetivos de países'!$F$5:$F$510,AO$3,'Datos - Objetivos de países'!$K$5:$K$510,$A51)</f>
        <v/>
      </c>
      <c r="AP51" s="11">
        <f>COUNTIFS('Datos - Objetivos de países'!$B$5:$B$510,"Singapur",'Datos - Objetivos de países'!$F$5:$F$510,AP$3,'Datos - Objetivos de países'!$J$5:$J$510,$A51)+COUNTIFS('Datos - Objetivos de países'!$B$5:$B$510,"Singapur",'Datos - Objetivos de países'!$F$5:$F$510,AP$3,'Datos - Objetivos de países'!$K$5:$K$510,$A51)</f>
        <v/>
      </c>
      <c r="AQ51" s="11">
        <f>COUNTIFS('Datos - Objetivos de países'!$B$5:$B$510,"Singapur",'Datos - Objetivos de países'!$F$5:$F$510,AQ$3,'Datos - Objetivos de países'!$J$5:$J$510,$A51)+COUNTIFS('Datos - Objetivos de países'!$B$5:$B$510,"Singapur",'Datos - Objetivos de países'!$F$5:$F$510,AQ$3,'Datos - Objetivos de países'!$K$5:$K$510,$A51)</f>
        <v/>
      </c>
      <c r="AR51" s="11">
        <f>COUNTIFS('Datos - Objetivos de países'!$B$5:$B$510,"Singapur",'Datos - Objetivos de países'!$F$5:$F$510,AR$3,'Datos - Objetivos de países'!$J$5:$J$510,$A51)+COUNTIFS('Datos - Objetivos de países'!$B$5:$B$510,"Singapur",'Datos - Objetivos de países'!$F$5:$F$510,AR$3,'Datos - Objetivos de países'!$K$5:$K$510,$A51)</f>
        <v/>
      </c>
      <c r="AS51" s="11">
        <f>COUNTIFS('Datos - Objetivos de países'!$B$5:$B$510,"Singapur",'Datos - Objetivos de países'!$F$5:$F$510,AS$3,'Datos - Objetivos de países'!$J$5:$J$510,$A51)+COUNTIFS('Datos - Objetivos de países'!$B$5:$B$510,"Singapur",'Datos - Objetivos de países'!$F$5:$F$510,AS$3,'Datos - Objetivos de países'!$K$5:$K$510,$A51)</f>
        <v/>
      </c>
      <c r="AT51" s="11">
        <f>COUNTIFS('Datos - Objetivos de países'!$B$5:$B$510,"Singapur",'Datos - Objetivos de países'!$F$5:$F$510,AT$3,'Datos - Objetivos de países'!$J$5:$J$510,$A51)+COUNTIFS('Datos - Objetivos de países'!$B$5:$B$510,"Singapur",'Datos - Objetivos de países'!$F$5:$F$510,AT$3,'Datos - Objetivos de países'!$K$5:$K$510,$A51)</f>
        <v/>
      </c>
      <c r="AU51" s="11">
        <f>COUNTIFS('Datos - Objetivos de países'!$B$5:$B$510,"Singapur",'Datos - Objetivos de países'!$F$5:$F$510,AU$3,'Datos - Objetivos de países'!$J$5:$J$510,$A51)+COUNTIFS('Datos - Objetivos de países'!$B$5:$B$510,"Singapur",'Datos - Objetivos de países'!$F$5:$F$510,AU$3,'Datos - Objetivos de países'!$K$5:$K$510,$A51)</f>
        <v/>
      </c>
      <c r="AV51" s="11">
        <f>COUNTIFS('Datos - Objetivos de países'!$B$5:$B$510,"Singapur",'Datos - Objetivos de países'!$F$5:$F$510,AV$3,'Datos - Objetivos de países'!$J$5:$J$510,$A51)+COUNTIFS('Datos - Objetivos de países'!$B$5:$B$510,"Singapur",'Datos - Objetivos de países'!$F$5:$F$510,AV$3,'Datos - Objetivos de países'!$K$5:$K$510,$A51)</f>
        <v/>
      </c>
      <c r="AW51" s="11">
        <f>COUNTIFS('Datos - Objetivos de países'!$B$5:$B$510,"Singapur",'Datos - Objetivos de países'!$F$5:$F$510,AW$3,'Datos - Objetivos de países'!$J$5:$J$510,$A51)+COUNTIFS('Datos - Objetivos de países'!$B$5:$B$510,"Singapur",'Datos - Objetivos de países'!$F$5:$F$510,AW$3,'Datos - Objetivos de países'!$K$5:$K$510,$A51)</f>
        <v/>
      </c>
    </row>
    <row r="52">
      <c r="A52" s="30" t="inlineStr">
        <is>
          <t>T8_27-B7.1</t>
        </is>
      </c>
      <c r="B52" s="30" t="inlineStr">
        <is>
          <t>T8_27</t>
        </is>
      </c>
      <c r="C52" s="30" t="inlineStr">
        <is>
          <t>Biología</t>
        </is>
      </c>
      <c r="D52" s="30" t="inlineStr">
        <is>
          <t>Rasgos y equipo de una investigación biológica</t>
        </is>
      </c>
      <c r="E52" s="30">
        <f>IFERROR(MAX($L$3,INDEX($N$3:$V$3,MATCH(TRUE,INDEX(N52:V52&gt;0,0),0))),"—")</f>
        <v/>
      </c>
      <c r="F52" s="30">
        <f>IFERROR(MAX($L$3,INDEX($W$3:$AE$3,MATCH(TRUE,INDEX(W52:AE52&gt;0,0),0))),"—")</f>
        <v/>
      </c>
      <c r="G52" s="30">
        <f>IFERROR(MAX($L$3,INDEX($AF$3:$AN$3,MATCH(TRUE,INDEX(AF52:AN52&gt;0,0),0))),"—")</f>
        <v/>
      </c>
      <c r="H52" s="30">
        <f>IFERROR(MAX($L$3,INDEX($AO$3:$AW$3,MATCH(TRUE,INDEX(AO52:AW52&gt;0,0),0))),"—")</f>
        <v/>
      </c>
      <c r="I52" s="36">
        <f>IF(L52=0,"—",MEDIAN(F52:H52))</f>
        <v/>
      </c>
      <c r="J52" s="36">
        <f>IF(OR(E52="—",I52="—"),"—",E52-I52)</f>
        <v/>
      </c>
      <c r="K52" s="19">
        <f>IF(E52="—",IF(L52=0,"Nadie lo trabaja","El Salvador no llega"),IF(L52=0,"Solo El Salvador",IF(J52&gt;0,"El Salvador llega más tarde",IF(J52&lt;0,"El Salvador va adelantado","Mismo grado"))))</f>
        <v/>
      </c>
      <c r="L52" s="30">
        <f>COUNT(F52:H52)</f>
        <v/>
      </c>
      <c r="N52" s="11">
        <f>COUNTIFS('Datos - Temas'!$C$5:$C$1264,"Ciencias",'Datos - Temas'!$B$5:$B$1264,N$3,'Datos - Temas'!$K$5:$K$1264,$A52)+COUNTIFS('Datos - Temas'!$C$5:$C$1264,"Ciencias",'Datos - Temas'!$B$5:$B$1264,N$3,'Datos - Temas'!$L$5:$L$1264,$A52)</f>
        <v/>
      </c>
      <c r="O52" s="11">
        <f>COUNTIFS('Datos - Temas'!$C$5:$C$1264,"Ciencias",'Datos - Temas'!$B$5:$B$1264,O$3,'Datos - Temas'!$K$5:$K$1264,$A52)+COUNTIFS('Datos - Temas'!$C$5:$C$1264,"Ciencias",'Datos - Temas'!$B$5:$B$1264,O$3,'Datos - Temas'!$L$5:$L$1264,$A52)</f>
        <v/>
      </c>
      <c r="P52" s="11">
        <f>COUNTIFS('Datos - Temas'!$C$5:$C$1264,"Ciencias",'Datos - Temas'!$B$5:$B$1264,P$3,'Datos - Temas'!$K$5:$K$1264,$A52)+COUNTIFS('Datos - Temas'!$C$5:$C$1264,"Ciencias",'Datos - Temas'!$B$5:$B$1264,P$3,'Datos - Temas'!$L$5:$L$1264,$A52)</f>
        <v/>
      </c>
      <c r="Q52" s="11">
        <f>COUNTIFS('Datos - Temas'!$C$5:$C$1264,"Ciencias",'Datos - Temas'!$B$5:$B$1264,Q$3,'Datos - Temas'!$K$5:$K$1264,$A52)+COUNTIFS('Datos - Temas'!$C$5:$C$1264,"Ciencias",'Datos - Temas'!$B$5:$B$1264,Q$3,'Datos - Temas'!$L$5:$L$1264,$A52)</f>
        <v/>
      </c>
      <c r="R52" s="11">
        <f>COUNTIFS('Datos - Temas'!$C$5:$C$1264,"Ciencias",'Datos - Temas'!$B$5:$B$1264,R$3,'Datos - Temas'!$K$5:$K$1264,$A52)+COUNTIFS('Datos - Temas'!$C$5:$C$1264,"Ciencias",'Datos - Temas'!$B$5:$B$1264,R$3,'Datos - Temas'!$L$5:$L$1264,$A52)</f>
        <v/>
      </c>
      <c r="S52" s="11">
        <f>COUNTIFS('Datos - Temas'!$C$5:$C$1264,"Ciencias",'Datos - Temas'!$B$5:$B$1264,S$3,'Datos - Temas'!$K$5:$K$1264,$A52)+COUNTIFS('Datos - Temas'!$C$5:$C$1264,"Ciencias",'Datos - Temas'!$B$5:$B$1264,S$3,'Datos - Temas'!$L$5:$L$1264,$A52)</f>
        <v/>
      </c>
      <c r="T52" s="11">
        <f>COUNTIFS('Datos - Temas'!$C$5:$C$1264,"Ciencias",'Datos - Temas'!$B$5:$B$1264,T$3,'Datos - Temas'!$K$5:$K$1264,$A52)+COUNTIFS('Datos - Temas'!$C$5:$C$1264,"Ciencias",'Datos - Temas'!$B$5:$B$1264,T$3,'Datos - Temas'!$L$5:$L$1264,$A52)</f>
        <v/>
      </c>
      <c r="U52" s="11">
        <f>COUNTIFS('Datos - Temas'!$C$5:$C$1264,"Ciencias",'Datos - Temas'!$B$5:$B$1264,U$3,'Datos - Temas'!$K$5:$K$1264,$A52)+COUNTIFS('Datos - Temas'!$C$5:$C$1264,"Ciencias",'Datos - Temas'!$B$5:$B$1264,U$3,'Datos - Temas'!$L$5:$L$1264,$A52)</f>
        <v/>
      </c>
      <c r="V52" s="11">
        <f>COUNTIFS('Datos - Temas'!$C$5:$C$1264,"Ciencias",'Datos - Temas'!$B$5:$B$1264,V$3,'Datos - Temas'!$K$5:$K$1264,$A52)+COUNTIFS('Datos - Temas'!$C$5:$C$1264,"Ciencias",'Datos - Temas'!$B$5:$B$1264,V$3,'Datos - Temas'!$L$5:$L$1264,$A52)</f>
        <v/>
      </c>
      <c r="W52" s="11">
        <f>COUNTIFS('Datos - Objetivos de países'!$B$5:$B$510,"Uruguay",'Datos - Objetivos de países'!$F$5:$F$510,W$3,'Datos - Objetivos de países'!$J$5:$J$510,$A52)+COUNTIFS('Datos - Objetivos de países'!$B$5:$B$510,"Uruguay",'Datos - Objetivos de países'!$F$5:$F$510,W$3,'Datos - Objetivos de países'!$K$5:$K$510,$A52)</f>
        <v/>
      </c>
      <c r="X52" s="11">
        <f>COUNTIFS('Datos - Objetivos de países'!$B$5:$B$510,"Uruguay",'Datos - Objetivos de países'!$F$5:$F$510,X$3,'Datos - Objetivos de países'!$J$5:$J$510,$A52)+COUNTIFS('Datos - Objetivos de países'!$B$5:$B$510,"Uruguay",'Datos - Objetivos de países'!$F$5:$F$510,X$3,'Datos - Objetivos de países'!$K$5:$K$510,$A52)</f>
        <v/>
      </c>
      <c r="Y52" s="11">
        <f>COUNTIFS('Datos - Objetivos de países'!$B$5:$B$510,"Uruguay",'Datos - Objetivos de países'!$F$5:$F$510,Y$3,'Datos - Objetivos de países'!$J$5:$J$510,$A52)+COUNTIFS('Datos - Objetivos de países'!$B$5:$B$510,"Uruguay",'Datos - Objetivos de países'!$F$5:$F$510,Y$3,'Datos - Objetivos de países'!$K$5:$K$510,$A52)</f>
        <v/>
      </c>
      <c r="Z52" s="11">
        <f>COUNTIFS('Datos - Objetivos de países'!$B$5:$B$510,"Uruguay",'Datos - Objetivos de países'!$F$5:$F$510,Z$3,'Datos - Objetivos de países'!$J$5:$J$510,$A52)+COUNTIFS('Datos - Objetivos de países'!$B$5:$B$510,"Uruguay",'Datos - Objetivos de países'!$F$5:$F$510,Z$3,'Datos - Objetivos de países'!$K$5:$K$510,$A52)</f>
        <v/>
      </c>
      <c r="AA52" s="11">
        <f>COUNTIFS('Datos - Objetivos de países'!$B$5:$B$510,"Uruguay",'Datos - Objetivos de países'!$F$5:$F$510,AA$3,'Datos - Objetivos de países'!$J$5:$J$510,$A52)+COUNTIFS('Datos - Objetivos de países'!$B$5:$B$510,"Uruguay",'Datos - Objetivos de países'!$F$5:$F$510,AA$3,'Datos - Objetivos de países'!$K$5:$K$510,$A52)</f>
        <v/>
      </c>
      <c r="AB52" s="11">
        <f>COUNTIFS('Datos - Objetivos de países'!$B$5:$B$510,"Uruguay",'Datos - Objetivos de países'!$F$5:$F$510,AB$3,'Datos - Objetivos de países'!$J$5:$J$510,$A52)+COUNTIFS('Datos - Objetivos de países'!$B$5:$B$510,"Uruguay",'Datos - Objetivos de países'!$F$5:$F$510,AB$3,'Datos - Objetivos de países'!$K$5:$K$510,$A52)</f>
        <v/>
      </c>
      <c r="AC52" s="11">
        <f>COUNTIFS('Datos - Objetivos de países'!$B$5:$B$510,"Uruguay",'Datos - Objetivos de países'!$F$5:$F$510,AC$3,'Datos - Objetivos de países'!$J$5:$J$510,$A52)+COUNTIFS('Datos - Objetivos de países'!$B$5:$B$510,"Uruguay",'Datos - Objetivos de países'!$F$5:$F$510,AC$3,'Datos - Objetivos de países'!$K$5:$K$510,$A52)</f>
        <v/>
      </c>
      <c r="AD52" s="11">
        <f>COUNTIFS('Datos - Objetivos de países'!$B$5:$B$510,"Uruguay",'Datos - Objetivos de países'!$F$5:$F$510,AD$3,'Datos - Objetivos de países'!$J$5:$J$510,$A52)+COUNTIFS('Datos - Objetivos de países'!$B$5:$B$510,"Uruguay",'Datos - Objetivos de países'!$F$5:$F$510,AD$3,'Datos - Objetivos de países'!$K$5:$K$510,$A52)</f>
        <v/>
      </c>
      <c r="AE52" s="11">
        <f>COUNTIFS('Datos - Objetivos de países'!$B$5:$B$510,"Uruguay",'Datos - Objetivos de países'!$F$5:$F$510,AE$3,'Datos - Objetivos de países'!$J$5:$J$510,$A52)+COUNTIFS('Datos - Objetivos de países'!$B$5:$B$510,"Uruguay",'Datos - Objetivos de países'!$F$5:$F$510,AE$3,'Datos - Objetivos de países'!$K$5:$K$510,$A52)</f>
        <v/>
      </c>
      <c r="AF52" s="11">
        <f>COUNTIFS('Datos - Objetivos de países'!$B$5:$B$510,"Colombia",'Datos - Objetivos de países'!$F$5:$F$510,AF$3,'Datos - Objetivos de países'!$J$5:$J$510,$A52)+COUNTIFS('Datos - Objetivos de países'!$B$5:$B$510,"Colombia",'Datos - Objetivos de países'!$F$5:$F$510,AF$3,'Datos - Objetivos de países'!$K$5:$K$510,$A52)</f>
        <v/>
      </c>
      <c r="AG52" s="11">
        <f>COUNTIFS('Datos - Objetivos de países'!$B$5:$B$510,"Colombia",'Datos - Objetivos de países'!$F$5:$F$510,AG$3,'Datos - Objetivos de países'!$J$5:$J$510,$A52)+COUNTIFS('Datos - Objetivos de países'!$B$5:$B$510,"Colombia",'Datos - Objetivos de países'!$F$5:$F$510,AG$3,'Datos - Objetivos de países'!$K$5:$K$510,$A52)</f>
        <v/>
      </c>
      <c r="AH52" s="11">
        <f>COUNTIFS('Datos - Objetivos de países'!$B$5:$B$510,"Colombia",'Datos - Objetivos de países'!$F$5:$F$510,AH$3,'Datos - Objetivos de países'!$J$5:$J$510,$A52)+COUNTIFS('Datos - Objetivos de países'!$B$5:$B$510,"Colombia",'Datos - Objetivos de países'!$F$5:$F$510,AH$3,'Datos - Objetivos de países'!$K$5:$K$510,$A52)</f>
        <v/>
      </c>
      <c r="AI52" s="11">
        <f>COUNTIFS('Datos - Objetivos de países'!$B$5:$B$510,"Colombia",'Datos - Objetivos de países'!$F$5:$F$510,AI$3,'Datos - Objetivos de países'!$J$5:$J$510,$A52)+COUNTIFS('Datos - Objetivos de países'!$B$5:$B$510,"Colombia",'Datos - Objetivos de países'!$F$5:$F$510,AI$3,'Datos - Objetivos de países'!$K$5:$K$510,$A52)</f>
        <v/>
      </c>
      <c r="AJ52" s="11">
        <f>COUNTIFS('Datos - Objetivos de países'!$B$5:$B$510,"Colombia",'Datos - Objetivos de países'!$F$5:$F$510,AJ$3,'Datos - Objetivos de países'!$J$5:$J$510,$A52)+COUNTIFS('Datos - Objetivos de países'!$B$5:$B$510,"Colombia",'Datos - Objetivos de países'!$F$5:$F$510,AJ$3,'Datos - Objetivos de países'!$K$5:$K$510,$A52)</f>
        <v/>
      </c>
      <c r="AK52" s="11">
        <f>COUNTIFS('Datos - Objetivos de países'!$B$5:$B$510,"Colombia",'Datos - Objetivos de países'!$F$5:$F$510,AK$3,'Datos - Objetivos de países'!$J$5:$J$510,$A52)+COUNTIFS('Datos - Objetivos de países'!$B$5:$B$510,"Colombia",'Datos - Objetivos de países'!$F$5:$F$510,AK$3,'Datos - Objetivos de países'!$K$5:$K$510,$A52)</f>
        <v/>
      </c>
      <c r="AL52" s="11">
        <f>COUNTIFS('Datos - Objetivos de países'!$B$5:$B$510,"Colombia",'Datos - Objetivos de países'!$F$5:$F$510,AL$3,'Datos - Objetivos de países'!$J$5:$J$510,$A52)+COUNTIFS('Datos - Objetivos de países'!$B$5:$B$510,"Colombia",'Datos - Objetivos de países'!$F$5:$F$510,AL$3,'Datos - Objetivos de países'!$K$5:$K$510,$A52)</f>
        <v/>
      </c>
      <c r="AM52" s="11">
        <f>COUNTIFS('Datos - Objetivos de países'!$B$5:$B$510,"Colombia",'Datos - Objetivos de países'!$F$5:$F$510,AM$3,'Datos - Objetivos de países'!$J$5:$J$510,$A52)+COUNTIFS('Datos - Objetivos de países'!$B$5:$B$510,"Colombia",'Datos - Objetivos de países'!$F$5:$F$510,AM$3,'Datos - Objetivos de países'!$K$5:$K$510,$A52)</f>
        <v/>
      </c>
      <c r="AN52" s="11">
        <f>COUNTIFS('Datos - Objetivos de países'!$B$5:$B$510,"Colombia",'Datos - Objetivos de países'!$F$5:$F$510,AN$3,'Datos - Objetivos de países'!$J$5:$J$510,$A52)+COUNTIFS('Datos - Objetivos de países'!$B$5:$B$510,"Colombia",'Datos - Objetivos de países'!$F$5:$F$510,AN$3,'Datos - Objetivos de países'!$K$5:$K$510,$A52)</f>
        <v/>
      </c>
      <c r="AO52" s="11">
        <f>COUNTIFS('Datos - Objetivos de países'!$B$5:$B$510,"Singapur",'Datos - Objetivos de países'!$F$5:$F$510,AO$3,'Datos - Objetivos de países'!$J$5:$J$510,$A52)+COUNTIFS('Datos - Objetivos de países'!$B$5:$B$510,"Singapur",'Datos - Objetivos de países'!$F$5:$F$510,AO$3,'Datos - Objetivos de países'!$K$5:$K$510,$A52)</f>
        <v/>
      </c>
      <c r="AP52" s="11">
        <f>COUNTIFS('Datos - Objetivos de países'!$B$5:$B$510,"Singapur",'Datos - Objetivos de países'!$F$5:$F$510,AP$3,'Datos - Objetivos de países'!$J$5:$J$510,$A52)+COUNTIFS('Datos - Objetivos de países'!$B$5:$B$510,"Singapur",'Datos - Objetivos de países'!$F$5:$F$510,AP$3,'Datos - Objetivos de países'!$K$5:$K$510,$A52)</f>
        <v/>
      </c>
      <c r="AQ52" s="11">
        <f>COUNTIFS('Datos - Objetivos de países'!$B$5:$B$510,"Singapur",'Datos - Objetivos de países'!$F$5:$F$510,AQ$3,'Datos - Objetivos de países'!$J$5:$J$510,$A52)+COUNTIFS('Datos - Objetivos de países'!$B$5:$B$510,"Singapur",'Datos - Objetivos de países'!$F$5:$F$510,AQ$3,'Datos - Objetivos de países'!$K$5:$K$510,$A52)</f>
        <v/>
      </c>
      <c r="AR52" s="11">
        <f>COUNTIFS('Datos - Objetivos de países'!$B$5:$B$510,"Singapur",'Datos - Objetivos de países'!$F$5:$F$510,AR$3,'Datos - Objetivos de países'!$J$5:$J$510,$A52)+COUNTIFS('Datos - Objetivos de países'!$B$5:$B$510,"Singapur",'Datos - Objetivos de países'!$F$5:$F$510,AR$3,'Datos - Objetivos de países'!$K$5:$K$510,$A52)</f>
        <v/>
      </c>
      <c r="AS52" s="11">
        <f>COUNTIFS('Datos - Objetivos de países'!$B$5:$B$510,"Singapur",'Datos - Objetivos de países'!$F$5:$F$510,AS$3,'Datos - Objetivos de países'!$J$5:$J$510,$A52)+COUNTIFS('Datos - Objetivos de países'!$B$5:$B$510,"Singapur",'Datos - Objetivos de países'!$F$5:$F$510,AS$3,'Datos - Objetivos de países'!$K$5:$K$510,$A52)</f>
        <v/>
      </c>
      <c r="AT52" s="11">
        <f>COUNTIFS('Datos - Objetivos de países'!$B$5:$B$510,"Singapur",'Datos - Objetivos de países'!$F$5:$F$510,AT$3,'Datos - Objetivos de países'!$J$5:$J$510,$A52)+COUNTIFS('Datos - Objetivos de países'!$B$5:$B$510,"Singapur",'Datos - Objetivos de países'!$F$5:$F$510,AT$3,'Datos - Objetivos de países'!$K$5:$K$510,$A52)</f>
        <v/>
      </c>
      <c r="AU52" s="11">
        <f>COUNTIFS('Datos - Objetivos de países'!$B$5:$B$510,"Singapur",'Datos - Objetivos de países'!$F$5:$F$510,AU$3,'Datos - Objetivos de países'!$J$5:$J$510,$A52)+COUNTIFS('Datos - Objetivos de países'!$B$5:$B$510,"Singapur",'Datos - Objetivos de países'!$F$5:$F$510,AU$3,'Datos - Objetivos de países'!$K$5:$K$510,$A52)</f>
        <v/>
      </c>
      <c r="AV52" s="11">
        <f>COUNTIFS('Datos - Objetivos de países'!$B$5:$B$510,"Singapur",'Datos - Objetivos de países'!$F$5:$F$510,AV$3,'Datos - Objetivos de países'!$J$5:$J$510,$A52)+COUNTIFS('Datos - Objetivos de países'!$B$5:$B$510,"Singapur",'Datos - Objetivos de países'!$F$5:$F$510,AV$3,'Datos - Objetivos de países'!$K$5:$K$510,$A52)</f>
        <v/>
      </c>
      <c r="AW52" s="11">
        <f>COUNTIFS('Datos - Objetivos de países'!$B$5:$B$510,"Singapur",'Datos - Objetivos de países'!$F$5:$F$510,AW$3,'Datos - Objetivos de países'!$J$5:$J$510,$A52)+COUNTIFS('Datos - Objetivos de países'!$B$5:$B$510,"Singapur",'Datos - Objetivos de países'!$F$5:$F$510,AW$3,'Datos - Objetivos de países'!$K$5:$K$510,$A52)</f>
        <v/>
      </c>
    </row>
    <row r="53">
      <c r="A53" s="30" t="inlineStr">
        <is>
          <t>T8_27-C1.1</t>
        </is>
      </c>
      <c r="B53" s="30" t="inlineStr">
        <is>
          <t>T8_27</t>
        </is>
      </c>
      <c r="C53" s="30" t="inlineStr">
        <is>
          <t>Química</t>
        </is>
      </c>
      <c r="D53" s="30" t="inlineStr">
        <is>
          <t>Estructura de átomos y moléculas</t>
        </is>
      </c>
      <c r="E53" s="30">
        <f>IFERROR(MAX($L$3,INDEX($N$3:$V$3,MATCH(TRUE,INDEX(N53:V53&gt;0,0),0))),"—")</f>
        <v/>
      </c>
      <c r="F53" s="30">
        <f>IFERROR(MAX($L$3,INDEX($W$3:$AE$3,MATCH(TRUE,INDEX(W53:AE53&gt;0,0),0))),"—")</f>
        <v/>
      </c>
      <c r="G53" s="30">
        <f>IFERROR(MAX($L$3,INDEX($AF$3:$AN$3,MATCH(TRUE,INDEX(AF53:AN53&gt;0,0),0))),"—")</f>
        <v/>
      </c>
      <c r="H53" s="30">
        <f>IFERROR(MAX($L$3,INDEX($AO$3:$AW$3,MATCH(TRUE,INDEX(AO53:AW53&gt;0,0),0))),"—")</f>
        <v/>
      </c>
      <c r="I53" s="36">
        <f>IF(L53=0,"—",MEDIAN(F53:H53))</f>
        <v/>
      </c>
      <c r="J53" s="36">
        <f>IF(OR(E53="—",I53="—"),"—",E53-I53)</f>
        <v/>
      </c>
      <c r="K53" s="19">
        <f>IF(E53="—",IF(L53=0,"Nadie lo trabaja","El Salvador no llega"),IF(L53=0,"Solo El Salvador",IF(J53&gt;0,"El Salvador llega más tarde",IF(J53&lt;0,"El Salvador va adelantado","Mismo grado"))))</f>
        <v/>
      </c>
      <c r="L53" s="30">
        <f>COUNT(F53:H53)</f>
        <v/>
      </c>
      <c r="N53" s="11">
        <f>COUNTIFS('Datos - Temas'!$C$5:$C$1264,"Ciencias",'Datos - Temas'!$B$5:$B$1264,N$3,'Datos - Temas'!$K$5:$K$1264,$A53)+COUNTIFS('Datos - Temas'!$C$5:$C$1264,"Ciencias",'Datos - Temas'!$B$5:$B$1264,N$3,'Datos - Temas'!$L$5:$L$1264,$A53)</f>
        <v/>
      </c>
      <c r="O53" s="11">
        <f>COUNTIFS('Datos - Temas'!$C$5:$C$1264,"Ciencias",'Datos - Temas'!$B$5:$B$1264,O$3,'Datos - Temas'!$K$5:$K$1264,$A53)+COUNTIFS('Datos - Temas'!$C$5:$C$1264,"Ciencias",'Datos - Temas'!$B$5:$B$1264,O$3,'Datos - Temas'!$L$5:$L$1264,$A53)</f>
        <v/>
      </c>
      <c r="P53" s="11">
        <f>COUNTIFS('Datos - Temas'!$C$5:$C$1264,"Ciencias",'Datos - Temas'!$B$5:$B$1264,P$3,'Datos - Temas'!$K$5:$K$1264,$A53)+COUNTIFS('Datos - Temas'!$C$5:$C$1264,"Ciencias",'Datos - Temas'!$B$5:$B$1264,P$3,'Datos - Temas'!$L$5:$L$1264,$A53)</f>
        <v/>
      </c>
      <c r="Q53" s="11">
        <f>COUNTIFS('Datos - Temas'!$C$5:$C$1264,"Ciencias",'Datos - Temas'!$B$5:$B$1264,Q$3,'Datos - Temas'!$K$5:$K$1264,$A53)+COUNTIFS('Datos - Temas'!$C$5:$C$1264,"Ciencias",'Datos - Temas'!$B$5:$B$1264,Q$3,'Datos - Temas'!$L$5:$L$1264,$A53)</f>
        <v/>
      </c>
      <c r="R53" s="11">
        <f>COUNTIFS('Datos - Temas'!$C$5:$C$1264,"Ciencias",'Datos - Temas'!$B$5:$B$1264,R$3,'Datos - Temas'!$K$5:$K$1264,$A53)+COUNTIFS('Datos - Temas'!$C$5:$C$1264,"Ciencias",'Datos - Temas'!$B$5:$B$1264,R$3,'Datos - Temas'!$L$5:$L$1264,$A53)</f>
        <v/>
      </c>
      <c r="S53" s="11">
        <f>COUNTIFS('Datos - Temas'!$C$5:$C$1264,"Ciencias",'Datos - Temas'!$B$5:$B$1264,S$3,'Datos - Temas'!$K$5:$K$1264,$A53)+COUNTIFS('Datos - Temas'!$C$5:$C$1264,"Ciencias",'Datos - Temas'!$B$5:$B$1264,S$3,'Datos - Temas'!$L$5:$L$1264,$A53)</f>
        <v/>
      </c>
      <c r="T53" s="11">
        <f>COUNTIFS('Datos - Temas'!$C$5:$C$1264,"Ciencias",'Datos - Temas'!$B$5:$B$1264,T$3,'Datos - Temas'!$K$5:$K$1264,$A53)+COUNTIFS('Datos - Temas'!$C$5:$C$1264,"Ciencias",'Datos - Temas'!$B$5:$B$1264,T$3,'Datos - Temas'!$L$5:$L$1264,$A53)</f>
        <v/>
      </c>
      <c r="U53" s="11">
        <f>COUNTIFS('Datos - Temas'!$C$5:$C$1264,"Ciencias",'Datos - Temas'!$B$5:$B$1264,U$3,'Datos - Temas'!$K$5:$K$1264,$A53)+COUNTIFS('Datos - Temas'!$C$5:$C$1264,"Ciencias",'Datos - Temas'!$B$5:$B$1264,U$3,'Datos - Temas'!$L$5:$L$1264,$A53)</f>
        <v/>
      </c>
      <c r="V53" s="11">
        <f>COUNTIFS('Datos - Temas'!$C$5:$C$1264,"Ciencias",'Datos - Temas'!$B$5:$B$1264,V$3,'Datos - Temas'!$K$5:$K$1264,$A53)+COUNTIFS('Datos - Temas'!$C$5:$C$1264,"Ciencias",'Datos - Temas'!$B$5:$B$1264,V$3,'Datos - Temas'!$L$5:$L$1264,$A53)</f>
        <v/>
      </c>
      <c r="W53" s="11">
        <f>COUNTIFS('Datos - Objetivos de países'!$B$5:$B$510,"Uruguay",'Datos - Objetivos de países'!$F$5:$F$510,W$3,'Datos - Objetivos de países'!$J$5:$J$510,$A53)+COUNTIFS('Datos - Objetivos de países'!$B$5:$B$510,"Uruguay",'Datos - Objetivos de países'!$F$5:$F$510,W$3,'Datos - Objetivos de países'!$K$5:$K$510,$A53)</f>
        <v/>
      </c>
      <c r="X53" s="11">
        <f>COUNTIFS('Datos - Objetivos de países'!$B$5:$B$510,"Uruguay",'Datos - Objetivos de países'!$F$5:$F$510,X$3,'Datos - Objetivos de países'!$J$5:$J$510,$A53)+COUNTIFS('Datos - Objetivos de países'!$B$5:$B$510,"Uruguay",'Datos - Objetivos de países'!$F$5:$F$510,X$3,'Datos - Objetivos de países'!$K$5:$K$510,$A53)</f>
        <v/>
      </c>
      <c r="Y53" s="11">
        <f>COUNTIFS('Datos - Objetivos de países'!$B$5:$B$510,"Uruguay",'Datos - Objetivos de países'!$F$5:$F$510,Y$3,'Datos - Objetivos de países'!$J$5:$J$510,$A53)+COUNTIFS('Datos - Objetivos de países'!$B$5:$B$510,"Uruguay",'Datos - Objetivos de países'!$F$5:$F$510,Y$3,'Datos - Objetivos de países'!$K$5:$K$510,$A53)</f>
        <v/>
      </c>
      <c r="Z53" s="11">
        <f>COUNTIFS('Datos - Objetivos de países'!$B$5:$B$510,"Uruguay",'Datos - Objetivos de países'!$F$5:$F$510,Z$3,'Datos - Objetivos de países'!$J$5:$J$510,$A53)+COUNTIFS('Datos - Objetivos de países'!$B$5:$B$510,"Uruguay",'Datos - Objetivos de países'!$F$5:$F$510,Z$3,'Datos - Objetivos de países'!$K$5:$K$510,$A53)</f>
        <v/>
      </c>
      <c r="AA53" s="11">
        <f>COUNTIFS('Datos - Objetivos de países'!$B$5:$B$510,"Uruguay",'Datos - Objetivos de países'!$F$5:$F$510,AA$3,'Datos - Objetivos de países'!$J$5:$J$510,$A53)+COUNTIFS('Datos - Objetivos de países'!$B$5:$B$510,"Uruguay",'Datos - Objetivos de países'!$F$5:$F$510,AA$3,'Datos - Objetivos de países'!$K$5:$K$510,$A53)</f>
        <v/>
      </c>
      <c r="AB53" s="11">
        <f>COUNTIFS('Datos - Objetivos de países'!$B$5:$B$510,"Uruguay",'Datos - Objetivos de países'!$F$5:$F$510,AB$3,'Datos - Objetivos de países'!$J$5:$J$510,$A53)+COUNTIFS('Datos - Objetivos de países'!$B$5:$B$510,"Uruguay",'Datos - Objetivos de países'!$F$5:$F$510,AB$3,'Datos - Objetivos de países'!$K$5:$K$510,$A53)</f>
        <v/>
      </c>
      <c r="AC53" s="11">
        <f>COUNTIFS('Datos - Objetivos de países'!$B$5:$B$510,"Uruguay",'Datos - Objetivos de países'!$F$5:$F$510,AC$3,'Datos - Objetivos de países'!$J$5:$J$510,$A53)+COUNTIFS('Datos - Objetivos de países'!$B$5:$B$510,"Uruguay",'Datos - Objetivos de países'!$F$5:$F$510,AC$3,'Datos - Objetivos de países'!$K$5:$K$510,$A53)</f>
        <v/>
      </c>
      <c r="AD53" s="11">
        <f>COUNTIFS('Datos - Objetivos de países'!$B$5:$B$510,"Uruguay",'Datos - Objetivos de países'!$F$5:$F$510,AD$3,'Datos - Objetivos de países'!$J$5:$J$510,$A53)+COUNTIFS('Datos - Objetivos de países'!$B$5:$B$510,"Uruguay",'Datos - Objetivos de países'!$F$5:$F$510,AD$3,'Datos - Objetivos de países'!$K$5:$K$510,$A53)</f>
        <v/>
      </c>
      <c r="AE53" s="11">
        <f>COUNTIFS('Datos - Objetivos de países'!$B$5:$B$510,"Uruguay",'Datos - Objetivos de países'!$F$5:$F$510,AE$3,'Datos - Objetivos de países'!$J$5:$J$510,$A53)+COUNTIFS('Datos - Objetivos de países'!$B$5:$B$510,"Uruguay",'Datos - Objetivos de países'!$F$5:$F$510,AE$3,'Datos - Objetivos de países'!$K$5:$K$510,$A53)</f>
        <v/>
      </c>
      <c r="AF53" s="11">
        <f>COUNTIFS('Datos - Objetivos de países'!$B$5:$B$510,"Colombia",'Datos - Objetivos de países'!$F$5:$F$510,AF$3,'Datos - Objetivos de países'!$J$5:$J$510,$A53)+COUNTIFS('Datos - Objetivos de países'!$B$5:$B$510,"Colombia",'Datos - Objetivos de países'!$F$5:$F$510,AF$3,'Datos - Objetivos de países'!$K$5:$K$510,$A53)</f>
        <v/>
      </c>
      <c r="AG53" s="11">
        <f>COUNTIFS('Datos - Objetivos de países'!$B$5:$B$510,"Colombia",'Datos - Objetivos de países'!$F$5:$F$510,AG$3,'Datos - Objetivos de países'!$J$5:$J$510,$A53)+COUNTIFS('Datos - Objetivos de países'!$B$5:$B$510,"Colombia",'Datos - Objetivos de países'!$F$5:$F$510,AG$3,'Datos - Objetivos de países'!$K$5:$K$510,$A53)</f>
        <v/>
      </c>
      <c r="AH53" s="11">
        <f>COUNTIFS('Datos - Objetivos de países'!$B$5:$B$510,"Colombia",'Datos - Objetivos de países'!$F$5:$F$510,AH$3,'Datos - Objetivos de países'!$J$5:$J$510,$A53)+COUNTIFS('Datos - Objetivos de países'!$B$5:$B$510,"Colombia",'Datos - Objetivos de países'!$F$5:$F$510,AH$3,'Datos - Objetivos de países'!$K$5:$K$510,$A53)</f>
        <v/>
      </c>
      <c r="AI53" s="11">
        <f>COUNTIFS('Datos - Objetivos de países'!$B$5:$B$510,"Colombia",'Datos - Objetivos de países'!$F$5:$F$510,AI$3,'Datos - Objetivos de países'!$J$5:$J$510,$A53)+COUNTIFS('Datos - Objetivos de países'!$B$5:$B$510,"Colombia",'Datos - Objetivos de países'!$F$5:$F$510,AI$3,'Datos - Objetivos de países'!$K$5:$K$510,$A53)</f>
        <v/>
      </c>
      <c r="AJ53" s="11">
        <f>COUNTIFS('Datos - Objetivos de países'!$B$5:$B$510,"Colombia",'Datos - Objetivos de países'!$F$5:$F$510,AJ$3,'Datos - Objetivos de países'!$J$5:$J$510,$A53)+COUNTIFS('Datos - Objetivos de países'!$B$5:$B$510,"Colombia",'Datos - Objetivos de países'!$F$5:$F$510,AJ$3,'Datos - Objetivos de países'!$K$5:$K$510,$A53)</f>
        <v/>
      </c>
      <c r="AK53" s="11">
        <f>COUNTIFS('Datos - Objetivos de países'!$B$5:$B$510,"Colombia",'Datos - Objetivos de países'!$F$5:$F$510,AK$3,'Datos - Objetivos de países'!$J$5:$J$510,$A53)+COUNTIFS('Datos - Objetivos de países'!$B$5:$B$510,"Colombia",'Datos - Objetivos de países'!$F$5:$F$510,AK$3,'Datos - Objetivos de países'!$K$5:$K$510,$A53)</f>
        <v/>
      </c>
      <c r="AL53" s="11">
        <f>COUNTIFS('Datos - Objetivos de países'!$B$5:$B$510,"Colombia",'Datos - Objetivos de países'!$F$5:$F$510,AL$3,'Datos - Objetivos de países'!$J$5:$J$510,$A53)+COUNTIFS('Datos - Objetivos de países'!$B$5:$B$510,"Colombia",'Datos - Objetivos de países'!$F$5:$F$510,AL$3,'Datos - Objetivos de países'!$K$5:$K$510,$A53)</f>
        <v/>
      </c>
      <c r="AM53" s="11">
        <f>COUNTIFS('Datos - Objetivos de países'!$B$5:$B$510,"Colombia",'Datos - Objetivos de países'!$F$5:$F$510,AM$3,'Datos - Objetivos de países'!$J$5:$J$510,$A53)+COUNTIFS('Datos - Objetivos de países'!$B$5:$B$510,"Colombia",'Datos - Objetivos de países'!$F$5:$F$510,AM$3,'Datos - Objetivos de países'!$K$5:$K$510,$A53)</f>
        <v/>
      </c>
      <c r="AN53" s="11">
        <f>COUNTIFS('Datos - Objetivos de países'!$B$5:$B$510,"Colombia",'Datos - Objetivos de países'!$F$5:$F$510,AN$3,'Datos - Objetivos de países'!$J$5:$J$510,$A53)+COUNTIFS('Datos - Objetivos de países'!$B$5:$B$510,"Colombia",'Datos - Objetivos de países'!$F$5:$F$510,AN$3,'Datos - Objetivos de países'!$K$5:$K$510,$A53)</f>
        <v/>
      </c>
      <c r="AO53" s="11">
        <f>COUNTIFS('Datos - Objetivos de países'!$B$5:$B$510,"Singapur",'Datos - Objetivos de países'!$F$5:$F$510,AO$3,'Datos - Objetivos de países'!$J$5:$J$510,$A53)+COUNTIFS('Datos - Objetivos de países'!$B$5:$B$510,"Singapur",'Datos - Objetivos de países'!$F$5:$F$510,AO$3,'Datos - Objetivos de países'!$K$5:$K$510,$A53)</f>
        <v/>
      </c>
      <c r="AP53" s="11">
        <f>COUNTIFS('Datos - Objetivos de países'!$B$5:$B$510,"Singapur",'Datos - Objetivos de países'!$F$5:$F$510,AP$3,'Datos - Objetivos de países'!$J$5:$J$510,$A53)+COUNTIFS('Datos - Objetivos de países'!$B$5:$B$510,"Singapur",'Datos - Objetivos de países'!$F$5:$F$510,AP$3,'Datos - Objetivos de países'!$K$5:$K$510,$A53)</f>
        <v/>
      </c>
      <c r="AQ53" s="11">
        <f>COUNTIFS('Datos - Objetivos de países'!$B$5:$B$510,"Singapur",'Datos - Objetivos de países'!$F$5:$F$510,AQ$3,'Datos - Objetivos de países'!$J$5:$J$510,$A53)+COUNTIFS('Datos - Objetivos de países'!$B$5:$B$510,"Singapur",'Datos - Objetivos de países'!$F$5:$F$510,AQ$3,'Datos - Objetivos de países'!$K$5:$K$510,$A53)</f>
        <v/>
      </c>
      <c r="AR53" s="11">
        <f>COUNTIFS('Datos - Objetivos de países'!$B$5:$B$510,"Singapur",'Datos - Objetivos de países'!$F$5:$F$510,AR$3,'Datos - Objetivos de países'!$J$5:$J$510,$A53)+COUNTIFS('Datos - Objetivos de países'!$B$5:$B$510,"Singapur",'Datos - Objetivos de países'!$F$5:$F$510,AR$3,'Datos - Objetivos de países'!$K$5:$K$510,$A53)</f>
        <v/>
      </c>
      <c r="AS53" s="11">
        <f>COUNTIFS('Datos - Objetivos de países'!$B$5:$B$510,"Singapur",'Datos - Objetivos de países'!$F$5:$F$510,AS$3,'Datos - Objetivos de países'!$J$5:$J$510,$A53)+COUNTIFS('Datos - Objetivos de países'!$B$5:$B$510,"Singapur",'Datos - Objetivos de países'!$F$5:$F$510,AS$3,'Datos - Objetivos de países'!$K$5:$K$510,$A53)</f>
        <v/>
      </c>
      <c r="AT53" s="11">
        <f>COUNTIFS('Datos - Objetivos de países'!$B$5:$B$510,"Singapur",'Datos - Objetivos de países'!$F$5:$F$510,AT$3,'Datos - Objetivos de países'!$J$5:$J$510,$A53)+COUNTIFS('Datos - Objetivos de países'!$B$5:$B$510,"Singapur",'Datos - Objetivos de países'!$F$5:$F$510,AT$3,'Datos - Objetivos de países'!$K$5:$K$510,$A53)</f>
        <v/>
      </c>
      <c r="AU53" s="11">
        <f>COUNTIFS('Datos - Objetivos de países'!$B$5:$B$510,"Singapur",'Datos - Objetivos de países'!$F$5:$F$510,AU$3,'Datos - Objetivos de países'!$J$5:$J$510,$A53)+COUNTIFS('Datos - Objetivos de países'!$B$5:$B$510,"Singapur",'Datos - Objetivos de países'!$F$5:$F$510,AU$3,'Datos - Objetivos de países'!$K$5:$K$510,$A53)</f>
        <v/>
      </c>
      <c r="AV53" s="11">
        <f>COUNTIFS('Datos - Objetivos de países'!$B$5:$B$510,"Singapur",'Datos - Objetivos de países'!$F$5:$F$510,AV$3,'Datos - Objetivos de países'!$J$5:$J$510,$A53)+COUNTIFS('Datos - Objetivos de países'!$B$5:$B$510,"Singapur",'Datos - Objetivos de países'!$F$5:$F$510,AV$3,'Datos - Objetivos de países'!$K$5:$K$510,$A53)</f>
        <v/>
      </c>
      <c r="AW53" s="11">
        <f>COUNTIFS('Datos - Objetivos de países'!$B$5:$B$510,"Singapur",'Datos - Objetivos de países'!$F$5:$F$510,AW$3,'Datos - Objetivos de países'!$J$5:$J$510,$A53)+COUNTIFS('Datos - Objetivos de países'!$B$5:$B$510,"Singapur",'Datos - Objetivos de países'!$F$5:$F$510,AW$3,'Datos - Objetivos de países'!$K$5:$K$510,$A53)</f>
        <v/>
      </c>
    </row>
    <row r="54">
      <c r="A54" s="30" t="inlineStr">
        <is>
          <t>T8_27-C1.2</t>
        </is>
      </c>
      <c r="B54" s="30" t="inlineStr">
        <is>
          <t>T8_27</t>
        </is>
      </c>
      <c r="C54" s="30" t="inlineStr">
        <is>
          <t>Química</t>
        </is>
      </c>
      <c r="D54" s="30" t="inlineStr">
        <is>
          <t>Elementos, compuestos y mezclas</t>
        </is>
      </c>
      <c r="E54" s="30">
        <f>IFERROR(MAX($L$3,INDEX($N$3:$V$3,MATCH(TRUE,INDEX(N54:V54&gt;0,0),0))),"—")</f>
        <v/>
      </c>
      <c r="F54" s="30">
        <f>IFERROR(MAX($L$3,INDEX($W$3:$AE$3,MATCH(TRUE,INDEX(W54:AE54&gt;0,0),0))),"—")</f>
        <v/>
      </c>
      <c r="G54" s="30">
        <f>IFERROR(MAX($L$3,INDEX($AF$3:$AN$3,MATCH(TRUE,INDEX(AF54:AN54&gt;0,0),0))),"—")</f>
        <v/>
      </c>
      <c r="H54" s="30">
        <f>IFERROR(MAX($L$3,INDEX($AO$3:$AW$3,MATCH(TRUE,INDEX(AO54:AW54&gt;0,0),0))),"—")</f>
        <v/>
      </c>
      <c r="I54" s="36">
        <f>IF(L54=0,"—",MEDIAN(F54:H54))</f>
        <v/>
      </c>
      <c r="J54" s="36">
        <f>IF(OR(E54="—",I54="—"),"—",E54-I54)</f>
        <v/>
      </c>
      <c r="K54" s="19">
        <f>IF(E54="—",IF(L54=0,"Nadie lo trabaja","El Salvador no llega"),IF(L54=0,"Solo El Salvador",IF(J54&gt;0,"El Salvador llega más tarde",IF(J54&lt;0,"El Salvador va adelantado","Mismo grado"))))</f>
        <v/>
      </c>
      <c r="L54" s="30">
        <f>COUNT(F54:H54)</f>
        <v/>
      </c>
      <c r="N54" s="11">
        <f>COUNTIFS('Datos - Temas'!$C$5:$C$1264,"Ciencias",'Datos - Temas'!$B$5:$B$1264,N$3,'Datos - Temas'!$K$5:$K$1264,$A54)+COUNTIFS('Datos - Temas'!$C$5:$C$1264,"Ciencias",'Datos - Temas'!$B$5:$B$1264,N$3,'Datos - Temas'!$L$5:$L$1264,$A54)</f>
        <v/>
      </c>
      <c r="O54" s="11">
        <f>COUNTIFS('Datos - Temas'!$C$5:$C$1264,"Ciencias",'Datos - Temas'!$B$5:$B$1264,O$3,'Datos - Temas'!$K$5:$K$1264,$A54)+COUNTIFS('Datos - Temas'!$C$5:$C$1264,"Ciencias",'Datos - Temas'!$B$5:$B$1264,O$3,'Datos - Temas'!$L$5:$L$1264,$A54)</f>
        <v/>
      </c>
      <c r="P54" s="11">
        <f>COUNTIFS('Datos - Temas'!$C$5:$C$1264,"Ciencias",'Datos - Temas'!$B$5:$B$1264,P$3,'Datos - Temas'!$K$5:$K$1264,$A54)+COUNTIFS('Datos - Temas'!$C$5:$C$1264,"Ciencias",'Datos - Temas'!$B$5:$B$1264,P$3,'Datos - Temas'!$L$5:$L$1264,$A54)</f>
        <v/>
      </c>
      <c r="Q54" s="11">
        <f>COUNTIFS('Datos - Temas'!$C$5:$C$1264,"Ciencias",'Datos - Temas'!$B$5:$B$1264,Q$3,'Datos - Temas'!$K$5:$K$1264,$A54)+COUNTIFS('Datos - Temas'!$C$5:$C$1264,"Ciencias",'Datos - Temas'!$B$5:$B$1264,Q$3,'Datos - Temas'!$L$5:$L$1264,$A54)</f>
        <v/>
      </c>
      <c r="R54" s="11">
        <f>COUNTIFS('Datos - Temas'!$C$5:$C$1264,"Ciencias",'Datos - Temas'!$B$5:$B$1264,R$3,'Datos - Temas'!$K$5:$K$1264,$A54)+COUNTIFS('Datos - Temas'!$C$5:$C$1264,"Ciencias",'Datos - Temas'!$B$5:$B$1264,R$3,'Datos - Temas'!$L$5:$L$1264,$A54)</f>
        <v/>
      </c>
      <c r="S54" s="11">
        <f>COUNTIFS('Datos - Temas'!$C$5:$C$1264,"Ciencias",'Datos - Temas'!$B$5:$B$1264,S$3,'Datos - Temas'!$K$5:$K$1264,$A54)+COUNTIFS('Datos - Temas'!$C$5:$C$1264,"Ciencias",'Datos - Temas'!$B$5:$B$1264,S$3,'Datos - Temas'!$L$5:$L$1264,$A54)</f>
        <v/>
      </c>
      <c r="T54" s="11">
        <f>COUNTIFS('Datos - Temas'!$C$5:$C$1264,"Ciencias",'Datos - Temas'!$B$5:$B$1264,T$3,'Datos - Temas'!$K$5:$K$1264,$A54)+COUNTIFS('Datos - Temas'!$C$5:$C$1264,"Ciencias",'Datos - Temas'!$B$5:$B$1264,T$3,'Datos - Temas'!$L$5:$L$1264,$A54)</f>
        <v/>
      </c>
      <c r="U54" s="11">
        <f>COUNTIFS('Datos - Temas'!$C$5:$C$1264,"Ciencias",'Datos - Temas'!$B$5:$B$1264,U$3,'Datos - Temas'!$K$5:$K$1264,$A54)+COUNTIFS('Datos - Temas'!$C$5:$C$1264,"Ciencias",'Datos - Temas'!$B$5:$B$1264,U$3,'Datos - Temas'!$L$5:$L$1264,$A54)</f>
        <v/>
      </c>
      <c r="V54" s="11">
        <f>COUNTIFS('Datos - Temas'!$C$5:$C$1264,"Ciencias",'Datos - Temas'!$B$5:$B$1264,V$3,'Datos - Temas'!$K$5:$K$1264,$A54)+COUNTIFS('Datos - Temas'!$C$5:$C$1264,"Ciencias",'Datos - Temas'!$B$5:$B$1264,V$3,'Datos - Temas'!$L$5:$L$1264,$A54)</f>
        <v/>
      </c>
      <c r="W54" s="11">
        <f>COUNTIFS('Datos - Objetivos de países'!$B$5:$B$510,"Uruguay",'Datos - Objetivos de países'!$F$5:$F$510,W$3,'Datos - Objetivos de países'!$J$5:$J$510,$A54)+COUNTIFS('Datos - Objetivos de países'!$B$5:$B$510,"Uruguay",'Datos - Objetivos de países'!$F$5:$F$510,W$3,'Datos - Objetivos de países'!$K$5:$K$510,$A54)</f>
        <v/>
      </c>
      <c r="X54" s="11">
        <f>COUNTIFS('Datos - Objetivos de países'!$B$5:$B$510,"Uruguay",'Datos - Objetivos de países'!$F$5:$F$510,X$3,'Datos - Objetivos de países'!$J$5:$J$510,$A54)+COUNTIFS('Datos - Objetivos de países'!$B$5:$B$510,"Uruguay",'Datos - Objetivos de países'!$F$5:$F$510,X$3,'Datos - Objetivos de países'!$K$5:$K$510,$A54)</f>
        <v/>
      </c>
      <c r="Y54" s="11">
        <f>COUNTIFS('Datos - Objetivos de países'!$B$5:$B$510,"Uruguay",'Datos - Objetivos de países'!$F$5:$F$510,Y$3,'Datos - Objetivos de países'!$J$5:$J$510,$A54)+COUNTIFS('Datos - Objetivos de países'!$B$5:$B$510,"Uruguay",'Datos - Objetivos de países'!$F$5:$F$510,Y$3,'Datos - Objetivos de países'!$K$5:$K$510,$A54)</f>
        <v/>
      </c>
      <c r="Z54" s="11">
        <f>COUNTIFS('Datos - Objetivos de países'!$B$5:$B$510,"Uruguay",'Datos - Objetivos de países'!$F$5:$F$510,Z$3,'Datos - Objetivos de países'!$J$5:$J$510,$A54)+COUNTIFS('Datos - Objetivos de países'!$B$5:$B$510,"Uruguay",'Datos - Objetivos de países'!$F$5:$F$510,Z$3,'Datos - Objetivos de países'!$K$5:$K$510,$A54)</f>
        <v/>
      </c>
      <c r="AA54" s="11">
        <f>COUNTIFS('Datos - Objetivos de países'!$B$5:$B$510,"Uruguay",'Datos - Objetivos de países'!$F$5:$F$510,AA$3,'Datos - Objetivos de países'!$J$5:$J$510,$A54)+COUNTIFS('Datos - Objetivos de países'!$B$5:$B$510,"Uruguay",'Datos - Objetivos de países'!$F$5:$F$510,AA$3,'Datos - Objetivos de países'!$K$5:$K$510,$A54)</f>
        <v/>
      </c>
      <c r="AB54" s="11">
        <f>COUNTIFS('Datos - Objetivos de países'!$B$5:$B$510,"Uruguay",'Datos - Objetivos de países'!$F$5:$F$510,AB$3,'Datos - Objetivos de países'!$J$5:$J$510,$A54)+COUNTIFS('Datos - Objetivos de países'!$B$5:$B$510,"Uruguay",'Datos - Objetivos de países'!$F$5:$F$510,AB$3,'Datos - Objetivos de países'!$K$5:$K$510,$A54)</f>
        <v/>
      </c>
      <c r="AC54" s="11">
        <f>COUNTIFS('Datos - Objetivos de países'!$B$5:$B$510,"Uruguay",'Datos - Objetivos de países'!$F$5:$F$510,AC$3,'Datos - Objetivos de países'!$J$5:$J$510,$A54)+COUNTIFS('Datos - Objetivos de países'!$B$5:$B$510,"Uruguay",'Datos - Objetivos de países'!$F$5:$F$510,AC$3,'Datos - Objetivos de países'!$K$5:$K$510,$A54)</f>
        <v/>
      </c>
      <c r="AD54" s="11">
        <f>COUNTIFS('Datos - Objetivos de países'!$B$5:$B$510,"Uruguay",'Datos - Objetivos de países'!$F$5:$F$510,AD$3,'Datos - Objetivos de países'!$J$5:$J$510,$A54)+COUNTIFS('Datos - Objetivos de países'!$B$5:$B$510,"Uruguay",'Datos - Objetivos de países'!$F$5:$F$510,AD$3,'Datos - Objetivos de países'!$K$5:$K$510,$A54)</f>
        <v/>
      </c>
      <c r="AE54" s="11">
        <f>COUNTIFS('Datos - Objetivos de países'!$B$5:$B$510,"Uruguay",'Datos - Objetivos de países'!$F$5:$F$510,AE$3,'Datos - Objetivos de países'!$J$5:$J$510,$A54)+COUNTIFS('Datos - Objetivos de países'!$B$5:$B$510,"Uruguay",'Datos - Objetivos de países'!$F$5:$F$510,AE$3,'Datos - Objetivos de países'!$K$5:$K$510,$A54)</f>
        <v/>
      </c>
      <c r="AF54" s="11">
        <f>COUNTIFS('Datos - Objetivos de países'!$B$5:$B$510,"Colombia",'Datos - Objetivos de países'!$F$5:$F$510,AF$3,'Datos - Objetivos de países'!$J$5:$J$510,$A54)+COUNTIFS('Datos - Objetivos de países'!$B$5:$B$510,"Colombia",'Datos - Objetivos de países'!$F$5:$F$510,AF$3,'Datos - Objetivos de países'!$K$5:$K$510,$A54)</f>
        <v/>
      </c>
      <c r="AG54" s="11">
        <f>COUNTIFS('Datos - Objetivos de países'!$B$5:$B$510,"Colombia",'Datos - Objetivos de países'!$F$5:$F$510,AG$3,'Datos - Objetivos de países'!$J$5:$J$510,$A54)+COUNTIFS('Datos - Objetivos de países'!$B$5:$B$510,"Colombia",'Datos - Objetivos de países'!$F$5:$F$510,AG$3,'Datos - Objetivos de países'!$K$5:$K$510,$A54)</f>
        <v/>
      </c>
      <c r="AH54" s="11">
        <f>COUNTIFS('Datos - Objetivos de países'!$B$5:$B$510,"Colombia",'Datos - Objetivos de países'!$F$5:$F$510,AH$3,'Datos - Objetivos de países'!$J$5:$J$510,$A54)+COUNTIFS('Datos - Objetivos de países'!$B$5:$B$510,"Colombia",'Datos - Objetivos de países'!$F$5:$F$510,AH$3,'Datos - Objetivos de países'!$K$5:$K$510,$A54)</f>
        <v/>
      </c>
      <c r="AI54" s="11">
        <f>COUNTIFS('Datos - Objetivos de países'!$B$5:$B$510,"Colombia",'Datos - Objetivos de países'!$F$5:$F$510,AI$3,'Datos - Objetivos de países'!$J$5:$J$510,$A54)+COUNTIFS('Datos - Objetivos de países'!$B$5:$B$510,"Colombia",'Datos - Objetivos de países'!$F$5:$F$510,AI$3,'Datos - Objetivos de países'!$K$5:$K$510,$A54)</f>
        <v/>
      </c>
      <c r="AJ54" s="11">
        <f>COUNTIFS('Datos - Objetivos de países'!$B$5:$B$510,"Colombia",'Datos - Objetivos de países'!$F$5:$F$510,AJ$3,'Datos - Objetivos de países'!$J$5:$J$510,$A54)+COUNTIFS('Datos - Objetivos de países'!$B$5:$B$510,"Colombia",'Datos - Objetivos de países'!$F$5:$F$510,AJ$3,'Datos - Objetivos de países'!$K$5:$K$510,$A54)</f>
        <v/>
      </c>
      <c r="AK54" s="11">
        <f>COUNTIFS('Datos - Objetivos de países'!$B$5:$B$510,"Colombia",'Datos - Objetivos de países'!$F$5:$F$510,AK$3,'Datos - Objetivos de países'!$J$5:$J$510,$A54)+COUNTIFS('Datos - Objetivos de países'!$B$5:$B$510,"Colombia",'Datos - Objetivos de países'!$F$5:$F$510,AK$3,'Datos - Objetivos de países'!$K$5:$K$510,$A54)</f>
        <v/>
      </c>
      <c r="AL54" s="11">
        <f>COUNTIFS('Datos - Objetivos de países'!$B$5:$B$510,"Colombia",'Datos - Objetivos de países'!$F$5:$F$510,AL$3,'Datos - Objetivos de países'!$J$5:$J$510,$A54)+COUNTIFS('Datos - Objetivos de países'!$B$5:$B$510,"Colombia",'Datos - Objetivos de países'!$F$5:$F$510,AL$3,'Datos - Objetivos de países'!$K$5:$K$510,$A54)</f>
        <v/>
      </c>
      <c r="AM54" s="11">
        <f>COUNTIFS('Datos - Objetivos de países'!$B$5:$B$510,"Colombia",'Datos - Objetivos de países'!$F$5:$F$510,AM$3,'Datos - Objetivos de países'!$J$5:$J$510,$A54)+COUNTIFS('Datos - Objetivos de países'!$B$5:$B$510,"Colombia",'Datos - Objetivos de países'!$F$5:$F$510,AM$3,'Datos - Objetivos de países'!$K$5:$K$510,$A54)</f>
        <v/>
      </c>
      <c r="AN54" s="11">
        <f>COUNTIFS('Datos - Objetivos de países'!$B$5:$B$510,"Colombia",'Datos - Objetivos de países'!$F$5:$F$510,AN$3,'Datos - Objetivos de países'!$J$5:$J$510,$A54)+COUNTIFS('Datos - Objetivos de países'!$B$5:$B$510,"Colombia",'Datos - Objetivos de países'!$F$5:$F$510,AN$3,'Datos - Objetivos de países'!$K$5:$K$510,$A54)</f>
        <v/>
      </c>
      <c r="AO54" s="11">
        <f>COUNTIFS('Datos - Objetivos de países'!$B$5:$B$510,"Singapur",'Datos - Objetivos de países'!$F$5:$F$510,AO$3,'Datos - Objetivos de países'!$J$5:$J$510,$A54)+COUNTIFS('Datos - Objetivos de países'!$B$5:$B$510,"Singapur",'Datos - Objetivos de países'!$F$5:$F$510,AO$3,'Datos - Objetivos de países'!$K$5:$K$510,$A54)</f>
        <v/>
      </c>
      <c r="AP54" s="11">
        <f>COUNTIFS('Datos - Objetivos de países'!$B$5:$B$510,"Singapur",'Datos - Objetivos de países'!$F$5:$F$510,AP$3,'Datos - Objetivos de países'!$J$5:$J$510,$A54)+COUNTIFS('Datos - Objetivos de países'!$B$5:$B$510,"Singapur",'Datos - Objetivos de países'!$F$5:$F$510,AP$3,'Datos - Objetivos de países'!$K$5:$K$510,$A54)</f>
        <v/>
      </c>
      <c r="AQ54" s="11">
        <f>COUNTIFS('Datos - Objetivos de países'!$B$5:$B$510,"Singapur",'Datos - Objetivos de países'!$F$5:$F$510,AQ$3,'Datos - Objetivos de países'!$J$5:$J$510,$A54)+COUNTIFS('Datos - Objetivos de países'!$B$5:$B$510,"Singapur",'Datos - Objetivos de países'!$F$5:$F$510,AQ$3,'Datos - Objetivos de países'!$K$5:$K$510,$A54)</f>
        <v/>
      </c>
      <c r="AR54" s="11">
        <f>COUNTIFS('Datos - Objetivos de países'!$B$5:$B$510,"Singapur",'Datos - Objetivos de países'!$F$5:$F$510,AR$3,'Datos - Objetivos de países'!$J$5:$J$510,$A54)+COUNTIFS('Datos - Objetivos de países'!$B$5:$B$510,"Singapur",'Datos - Objetivos de países'!$F$5:$F$510,AR$3,'Datos - Objetivos de países'!$K$5:$K$510,$A54)</f>
        <v/>
      </c>
      <c r="AS54" s="11">
        <f>COUNTIFS('Datos - Objetivos de países'!$B$5:$B$510,"Singapur",'Datos - Objetivos de países'!$F$5:$F$510,AS$3,'Datos - Objetivos de países'!$J$5:$J$510,$A54)+COUNTIFS('Datos - Objetivos de países'!$B$5:$B$510,"Singapur",'Datos - Objetivos de países'!$F$5:$F$510,AS$3,'Datos - Objetivos de países'!$K$5:$K$510,$A54)</f>
        <v/>
      </c>
      <c r="AT54" s="11">
        <f>COUNTIFS('Datos - Objetivos de países'!$B$5:$B$510,"Singapur",'Datos - Objetivos de países'!$F$5:$F$510,AT$3,'Datos - Objetivos de países'!$J$5:$J$510,$A54)+COUNTIFS('Datos - Objetivos de países'!$B$5:$B$510,"Singapur",'Datos - Objetivos de países'!$F$5:$F$510,AT$3,'Datos - Objetivos de países'!$K$5:$K$510,$A54)</f>
        <v/>
      </c>
      <c r="AU54" s="11">
        <f>COUNTIFS('Datos - Objetivos de países'!$B$5:$B$510,"Singapur",'Datos - Objetivos de países'!$F$5:$F$510,AU$3,'Datos - Objetivos de países'!$J$5:$J$510,$A54)+COUNTIFS('Datos - Objetivos de países'!$B$5:$B$510,"Singapur",'Datos - Objetivos de países'!$F$5:$F$510,AU$3,'Datos - Objetivos de países'!$K$5:$K$510,$A54)</f>
        <v/>
      </c>
      <c r="AV54" s="11">
        <f>COUNTIFS('Datos - Objetivos de países'!$B$5:$B$510,"Singapur",'Datos - Objetivos de países'!$F$5:$F$510,AV$3,'Datos - Objetivos de países'!$J$5:$J$510,$A54)+COUNTIFS('Datos - Objetivos de países'!$B$5:$B$510,"Singapur",'Datos - Objetivos de países'!$F$5:$F$510,AV$3,'Datos - Objetivos de países'!$K$5:$K$510,$A54)</f>
        <v/>
      </c>
      <c r="AW54" s="11">
        <f>COUNTIFS('Datos - Objetivos de países'!$B$5:$B$510,"Singapur",'Datos - Objetivos de países'!$F$5:$F$510,AW$3,'Datos - Objetivos de países'!$J$5:$J$510,$A54)+COUNTIFS('Datos - Objetivos de países'!$B$5:$B$510,"Singapur",'Datos - Objetivos de países'!$F$5:$F$510,AW$3,'Datos - Objetivos de países'!$K$5:$K$510,$A54)</f>
        <v/>
      </c>
    </row>
    <row r="55">
      <c r="A55" s="30" t="inlineStr">
        <is>
          <t>T8_27-C1.3</t>
        </is>
      </c>
      <c r="B55" s="30" t="inlineStr">
        <is>
          <t>T8_27</t>
        </is>
      </c>
      <c r="C55" s="30" t="inlineStr">
        <is>
          <t>Química</t>
        </is>
      </c>
      <c r="D55" s="30" t="inlineStr">
        <is>
          <t>La tabla periódica</t>
        </is>
      </c>
      <c r="E55" s="30">
        <f>IFERROR(MAX($L$3,INDEX($N$3:$V$3,MATCH(TRUE,INDEX(N55:V55&gt;0,0),0))),"—")</f>
        <v/>
      </c>
      <c r="F55" s="30">
        <f>IFERROR(MAX($L$3,INDEX($W$3:$AE$3,MATCH(TRUE,INDEX(W55:AE55&gt;0,0),0))),"—")</f>
        <v/>
      </c>
      <c r="G55" s="30">
        <f>IFERROR(MAX($L$3,INDEX($AF$3:$AN$3,MATCH(TRUE,INDEX(AF55:AN55&gt;0,0),0))),"—")</f>
        <v/>
      </c>
      <c r="H55" s="30">
        <f>IFERROR(MAX($L$3,INDEX($AO$3:$AW$3,MATCH(TRUE,INDEX(AO55:AW55&gt;0,0),0))),"—")</f>
        <v/>
      </c>
      <c r="I55" s="36">
        <f>IF(L55=0,"—",MEDIAN(F55:H55))</f>
        <v/>
      </c>
      <c r="J55" s="36">
        <f>IF(OR(E55="—",I55="—"),"—",E55-I55)</f>
        <v/>
      </c>
      <c r="K55" s="19">
        <f>IF(E55="—",IF(L55=0,"Nadie lo trabaja","El Salvador no llega"),IF(L55=0,"Solo El Salvador",IF(J55&gt;0,"El Salvador llega más tarde",IF(J55&lt;0,"El Salvador va adelantado","Mismo grado"))))</f>
        <v/>
      </c>
      <c r="L55" s="30">
        <f>COUNT(F55:H55)</f>
        <v/>
      </c>
      <c r="N55" s="11">
        <f>COUNTIFS('Datos - Temas'!$C$5:$C$1264,"Ciencias",'Datos - Temas'!$B$5:$B$1264,N$3,'Datos - Temas'!$K$5:$K$1264,$A55)+COUNTIFS('Datos - Temas'!$C$5:$C$1264,"Ciencias",'Datos - Temas'!$B$5:$B$1264,N$3,'Datos - Temas'!$L$5:$L$1264,$A55)</f>
        <v/>
      </c>
      <c r="O55" s="11">
        <f>COUNTIFS('Datos - Temas'!$C$5:$C$1264,"Ciencias",'Datos - Temas'!$B$5:$B$1264,O$3,'Datos - Temas'!$K$5:$K$1264,$A55)+COUNTIFS('Datos - Temas'!$C$5:$C$1264,"Ciencias",'Datos - Temas'!$B$5:$B$1264,O$3,'Datos - Temas'!$L$5:$L$1264,$A55)</f>
        <v/>
      </c>
      <c r="P55" s="11">
        <f>COUNTIFS('Datos - Temas'!$C$5:$C$1264,"Ciencias",'Datos - Temas'!$B$5:$B$1264,P$3,'Datos - Temas'!$K$5:$K$1264,$A55)+COUNTIFS('Datos - Temas'!$C$5:$C$1264,"Ciencias",'Datos - Temas'!$B$5:$B$1264,P$3,'Datos - Temas'!$L$5:$L$1264,$A55)</f>
        <v/>
      </c>
      <c r="Q55" s="11">
        <f>COUNTIFS('Datos - Temas'!$C$5:$C$1264,"Ciencias",'Datos - Temas'!$B$5:$B$1264,Q$3,'Datos - Temas'!$K$5:$K$1264,$A55)+COUNTIFS('Datos - Temas'!$C$5:$C$1264,"Ciencias",'Datos - Temas'!$B$5:$B$1264,Q$3,'Datos - Temas'!$L$5:$L$1264,$A55)</f>
        <v/>
      </c>
      <c r="R55" s="11">
        <f>COUNTIFS('Datos - Temas'!$C$5:$C$1264,"Ciencias",'Datos - Temas'!$B$5:$B$1264,R$3,'Datos - Temas'!$K$5:$K$1264,$A55)+COUNTIFS('Datos - Temas'!$C$5:$C$1264,"Ciencias",'Datos - Temas'!$B$5:$B$1264,R$3,'Datos - Temas'!$L$5:$L$1264,$A55)</f>
        <v/>
      </c>
      <c r="S55" s="11">
        <f>COUNTIFS('Datos - Temas'!$C$5:$C$1264,"Ciencias",'Datos - Temas'!$B$5:$B$1264,S$3,'Datos - Temas'!$K$5:$K$1264,$A55)+COUNTIFS('Datos - Temas'!$C$5:$C$1264,"Ciencias",'Datos - Temas'!$B$5:$B$1264,S$3,'Datos - Temas'!$L$5:$L$1264,$A55)</f>
        <v/>
      </c>
      <c r="T55" s="11">
        <f>COUNTIFS('Datos - Temas'!$C$5:$C$1264,"Ciencias",'Datos - Temas'!$B$5:$B$1264,T$3,'Datos - Temas'!$K$5:$K$1264,$A55)+COUNTIFS('Datos - Temas'!$C$5:$C$1264,"Ciencias",'Datos - Temas'!$B$5:$B$1264,T$3,'Datos - Temas'!$L$5:$L$1264,$A55)</f>
        <v/>
      </c>
      <c r="U55" s="11">
        <f>COUNTIFS('Datos - Temas'!$C$5:$C$1264,"Ciencias",'Datos - Temas'!$B$5:$B$1264,U$3,'Datos - Temas'!$K$5:$K$1264,$A55)+COUNTIFS('Datos - Temas'!$C$5:$C$1264,"Ciencias",'Datos - Temas'!$B$5:$B$1264,U$3,'Datos - Temas'!$L$5:$L$1264,$A55)</f>
        <v/>
      </c>
      <c r="V55" s="11">
        <f>COUNTIFS('Datos - Temas'!$C$5:$C$1264,"Ciencias",'Datos - Temas'!$B$5:$B$1264,V$3,'Datos - Temas'!$K$5:$K$1264,$A55)+COUNTIFS('Datos - Temas'!$C$5:$C$1264,"Ciencias",'Datos - Temas'!$B$5:$B$1264,V$3,'Datos - Temas'!$L$5:$L$1264,$A55)</f>
        <v/>
      </c>
      <c r="W55" s="11">
        <f>COUNTIFS('Datos - Objetivos de países'!$B$5:$B$510,"Uruguay",'Datos - Objetivos de países'!$F$5:$F$510,W$3,'Datos - Objetivos de países'!$J$5:$J$510,$A55)+COUNTIFS('Datos - Objetivos de países'!$B$5:$B$510,"Uruguay",'Datos - Objetivos de países'!$F$5:$F$510,W$3,'Datos - Objetivos de países'!$K$5:$K$510,$A55)</f>
        <v/>
      </c>
      <c r="X55" s="11">
        <f>COUNTIFS('Datos - Objetivos de países'!$B$5:$B$510,"Uruguay",'Datos - Objetivos de países'!$F$5:$F$510,X$3,'Datos - Objetivos de países'!$J$5:$J$510,$A55)+COUNTIFS('Datos - Objetivos de países'!$B$5:$B$510,"Uruguay",'Datos - Objetivos de países'!$F$5:$F$510,X$3,'Datos - Objetivos de países'!$K$5:$K$510,$A55)</f>
        <v/>
      </c>
      <c r="Y55" s="11">
        <f>COUNTIFS('Datos - Objetivos de países'!$B$5:$B$510,"Uruguay",'Datos - Objetivos de países'!$F$5:$F$510,Y$3,'Datos - Objetivos de países'!$J$5:$J$510,$A55)+COUNTIFS('Datos - Objetivos de países'!$B$5:$B$510,"Uruguay",'Datos - Objetivos de países'!$F$5:$F$510,Y$3,'Datos - Objetivos de países'!$K$5:$K$510,$A55)</f>
        <v/>
      </c>
      <c r="Z55" s="11">
        <f>COUNTIFS('Datos - Objetivos de países'!$B$5:$B$510,"Uruguay",'Datos - Objetivos de países'!$F$5:$F$510,Z$3,'Datos - Objetivos de países'!$J$5:$J$510,$A55)+COUNTIFS('Datos - Objetivos de países'!$B$5:$B$510,"Uruguay",'Datos - Objetivos de países'!$F$5:$F$510,Z$3,'Datos - Objetivos de países'!$K$5:$K$510,$A55)</f>
        <v/>
      </c>
      <c r="AA55" s="11">
        <f>COUNTIFS('Datos - Objetivos de países'!$B$5:$B$510,"Uruguay",'Datos - Objetivos de países'!$F$5:$F$510,AA$3,'Datos - Objetivos de países'!$J$5:$J$510,$A55)+COUNTIFS('Datos - Objetivos de países'!$B$5:$B$510,"Uruguay",'Datos - Objetivos de países'!$F$5:$F$510,AA$3,'Datos - Objetivos de países'!$K$5:$K$510,$A55)</f>
        <v/>
      </c>
      <c r="AB55" s="11">
        <f>COUNTIFS('Datos - Objetivos de países'!$B$5:$B$510,"Uruguay",'Datos - Objetivos de países'!$F$5:$F$510,AB$3,'Datos - Objetivos de países'!$J$5:$J$510,$A55)+COUNTIFS('Datos - Objetivos de países'!$B$5:$B$510,"Uruguay",'Datos - Objetivos de países'!$F$5:$F$510,AB$3,'Datos - Objetivos de países'!$K$5:$K$510,$A55)</f>
        <v/>
      </c>
      <c r="AC55" s="11">
        <f>COUNTIFS('Datos - Objetivos de países'!$B$5:$B$510,"Uruguay",'Datos - Objetivos de países'!$F$5:$F$510,AC$3,'Datos - Objetivos de países'!$J$5:$J$510,$A55)+COUNTIFS('Datos - Objetivos de países'!$B$5:$B$510,"Uruguay",'Datos - Objetivos de países'!$F$5:$F$510,AC$3,'Datos - Objetivos de países'!$K$5:$K$510,$A55)</f>
        <v/>
      </c>
      <c r="AD55" s="11">
        <f>COUNTIFS('Datos - Objetivos de países'!$B$5:$B$510,"Uruguay",'Datos - Objetivos de países'!$F$5:$F$510,AD$3,'Datos - Objetivos de países'!$J$5:$J$510,$A55)+COUNTIFS('Datos - Objetivos de países'!$B$5:$B$510,"Uruguay",'Datos - Objetivos de países'!$F$5:$F$510,AD$3,'Datos - Objetivos de países'!$K$5:$K$510,$A55)</f>
        <v/>
      </c>
      <c r="AE55" s="11">
        <f>COUNTIFS('Datos - Objetivos de países'!$B$5:$B$510,"Uruguay",'Datos - Objetivos de países'!$F$5:$F$510,AE$3,'Datos - Objetivos de países'!$J$5:$J$510,$A55)+COUNTIFS('Datos - Objetivos de países'!$B$5:$B$510,"Uruguay",'Datos - Objetivos de países'!$F$5:$F$510,AE$3,'Datos - Objetivos de países'!$K$5:$K$510,$A55)</f>
        <v/>
      </c>
      <c r="AF55" s="11">
        <f>COUNTIFS('Datos - Objetivos de países'!$B$5:$B$510,"Colombia",'Datos - Objetivos de países'!$F$5:$F$510,AF$3,'Datos - Objetivos de países'!$J$5:$J$510,$A55)+COUNTIFS('Datos - Objetivos de países'!$B$5:$B$510,"Colombia",'Datos - Objetivos de países'!$F$5:$F$510,AF$3,'Datos - Objetivos de países'!$K$5:$K$510,$A55)</f>
        <v/>
      </c>
      <c r="AG55" s="11">
        <f>COUNTIFS('Datos - Objetivos de países'!$B$5:$B$510,"Colombia",'Datos - Objetivos de países'!$F$5:$F$510,AG$3,'Datos - Objetivos de países'!$J$5:$J$510,$A55)+COUNTIFS('Datos - Objetivos de países'!$B$5:$B$510,"Colombia",'Datos - Objetivos de países'!$F$5:$F$510,AG$3,'Datos - Objetivos de países'!$K$5:$K$510,$A55)</f>
        <v/>
      </c>
      <c r="AH55" s="11">
        <f>COUNTIFS('Datos - Objetivos de países'!$B$5:$B$510,"Colombia",'Datos - Objetivos de países'!$F$5:$F$510,AH$3,'Datos - Objetivos de países'!$J$5:$J$510,$A55)+COUNTIFS('Datos - Objetivos de países'!$B$5:$B$510,"Colombia",'Datos - Objetivos de países'!$F$5:$F$510,AH$3,'Datos - Objetivos de países'!$K$5:$K$510,$A55)</f>
        <v/>
      </c>
      <c r="AI55" s="11">
        <f>COUNTIFS('Datos - Objetivos de países'!$B$5:$B$510,"Colombia",'Datos - Objetivos de países'!$F$5:$F$510,AI$3,'Datos - Objetivos de países'!$J$5:$J$510,$A55)+COUNTIFS('Datos - Objetivos de países'!$B$5:$B$510,"Colombia",'Datos - Objetivos de países'!$F$5:$F$510,AI$3,'Datos - Objetivos de países'!$K$5:$K$510,$A55)</f>
        <v/>
      </c>
      <c r="AJ55" s="11">
        <f>COUNTIFS('Datos - Objetivos de países'!$B$5:$B$510,"Colombia",'Datos - Objetivos de países'!$F$5:$F$510,AJ$3,'Datos - Objetivos de países'!$J$5:$J$510,$A55)+COUNTIFS('Datos - Objetivos de países'!$B$5:$B$510,"Colombia",'Datos - Objetivos de países'!$F$5:$F$510,AJ$3,'Datos - Objetivos de países'!$K$5:$K$510,$A55)</f>
        <v/>
      </c>
      <c r="AK55" s="11">
        <f>COUNTIFS('Datos - Objetivos de países'!$B$5:$B$510,"Colombia",'Datos - Objetivos de países'!$F$5:$F$510,AK$3,'Datos - Objetivos de países'!$J$5:$J$510,$A55)+COUNTIFS('Datos - Objetivos de países'!$B$5:$B$510,"Colombia",'Datos - Objetivos de países'!$F$5:$F$510,AK$3,'Datos - Objetivos de países'!$K$5:$K$510,$A55)</f>
        <v/>
      </c>
      <c r="AL55" s="11">
        <f>COUNTIFS('Datos - Objetivos de países'!$B$5:$B$510,"Colombia",'Datos - Objetivos de países'!$F$5:$F$510,AL$3,'Datos - Objetivos de países'!$J$5:$J$510,$A55)+COUNTIFS('Datos - Objetivos de países'!$B$5:$B$510,"Colombia",'Datos - Objetivos de países'!$F$5:$F$510,AL$3,'Datos - Objetivos de países'!$K$5:$K$510,$A55)</f>
        <v/>
      </c>
      <c r="AM55" s="11">
        <f>COUNTIFS('Datos - Objetivos de países'!$B$5:$B$510,"Colombia",'Datos - Objetivos de países'!$F$5:$F$510,AM$3,'Datos - Objetivos de países'!$J$5:$J$510,$A55)+COUNTIFS('Datos - Objetivos de países'!$B$5:$B$510,"Colombia",'Datos - Objetivos de países'!$F$5:$F$510,AM$3,'Datos - Objetivos de países'!$K$5:$K$510,$A55)</f>
        <v/>
      </c>
      <c r="AN55" s="11">
        <f>COUNTIFS('Datos - Objetivos de países'!$B$5:$B$510,"Colombia",'Datos - Objetivos de países'!$F$5:$F$510,AN$3,'Datos - Objetivos de países'!$J$5:$J$510,$A55)+COUNTIFS('Datos - Objetivos de países'!$B$5:$B$510,"Colombia",'Datos - Objetivos de países'!$F$5:$F$510,AN$3,'Datos - Objetivos de países'!$K$5:$K$510,$A55)</f>
        <v/>
      </c>
      <c r="AO55" s="11">
        <f>COUNTIFS('Datos - Objetivos de países'!$B$5:$B$510,"Singapur",'Datos - Objetivos de países'!$F$5:$F$510,AO$3,'Datos - Objetivos de países'!$J$5:$J$510,$A55)+COUNTIFS('Datos - Objetivos de países'!$B$5:$B$510,"Singapur",'Datos - Objetivos de países'!$F$5:$F$510,AO$3,'Datos - Objetivos de países'!$K$5:$K$510,$A55)</f>
        <v/>
      </c>
      <c r="AP55" s="11">
        <f>COUNTIFS('Datos - Objetivos de países'!$B$5:$B$510,"Singapur",'Datos - Objetivos de países'!$F$5:$F$510,AP$3,'Datos - Objetivos de países'!$J$5:$J$510,$A55)+COUNTIFS('Datos - Objetivos de países'!$B$5:$B$510,"Singapur",'Datos - Objetivos de países'!$F$5:$F$510,AP$3,'Datos - Objetivos de países'!$K$5:$K$510,$A55)</f>
        <v/>
      </c>
      <c r="AQ55" s="11">
        <f>COUNTIFS('Datos - Objetivos de países'!$B$5:$B$510,"Singapur",'Datos - Objetivos de países'!$F$5:$F$510,AQ$3,'Datos - Objetivos de países'!$J$5:$J$510,$A55)+COUNTIFS('Datos - Objetivos de países'!$B$5:$B$510,"Singapur",'Datos - Objetivos de países'!$F$5:$F$510,AQ$3,'Datos - Objetivos de países'!$K$5:$K$510,$A55)</f>
        <v/>
      </c>
      <c r="AR55" s="11">
        <f>COUNTIFS('Datos - Objetivos de países'!$B$5:$B$510,"Singapur",'Datos - Objetivos de países'!$F$5:$F$510,AR$3,'Datos - Objetivos de países'!$J$5:$J$510,$A55)+COUNTIFS('Datos - Objetivos de países'!$B$5:$B$510,"Singapur",'Datos - Objetivos de países'!$F$5:$F$510,AR$3,'Datos - Objetivos de países'!$K$5:$K$510,$A55)</f>
        <v/>
      </c>
      <c r="AS55" s="11">
        <f>COUNTIFS('Datos - Objetivos de países'!$B$5:$B$510,"Singapur",'Datos - Objetivos de países'!$F$5:$F$510,AS$3,'Datos - Objetivos de países'!$J$5:$J$510,$A55)+COUNTIFS('Datos - Objetivos de países'!$B$5:$B$510,"Singapur",'Datos - Objetivos de países'!$F$5:$F$510,AS$3,'Datos - Objetivos de países'!$K$5:$K$510,$A55)</f>
        <v/>
      </c>
      <c r="AT55" s="11">
        <f>COUNTIFS('Datos - Objetivos de países'!$B$5:$B$510,"Singapur",'Datos - Objetivos de países'!$F$5:$F$510,AT$3,'Datos - Objetivos de países'!$J$5:$J$510,$A55)+COUNTIFS('Datos - Objetivos de países'!$B$5:$B$510,"Singapur",'Datos - Objetivos de países'!$F$5:$F$510,AT$3,'Datos - Objetivos de países'!$K$5:$K$510,$A55)</f>
        <v/>
      </c>
      <c r="AU55" s="11">
        <f>COUNTIFS('Datos - Objetivos de países'!$B$5:$B$510,"Singapur",'Datos - Objetivos de países'!$F$5:$F$510,AU$3,'Datos - Objetivos de países'!$J$5:$J$510,$A55)+COUNTIFS('Datos - Objetivos de países'!$B$5:$B$510,"Singapur",'Datos - Objetivos de países'!$F$5:$F$510,AU$3,'Datos - Objetivos de países'!$K$5:$K$510,$A55)</f>
        <v/>
      </c>
      <c r="AV55" s="11">
        <f>COUNTIFS('Datos - Objetivos de países'!$B$5:$B$510,"Singapur",'Datos - Objetivos de países'!$F$5:$F$510,AV$3,'Datos - Objetivos de países'!$J$5:$J$510,$A55)+COUNTIFS('Datos - Objetivos de países'!$B$5:$B$510,"Singapur",'Datos - Objetivos de países'!$F$5:$F$510,AV$3,'Datos - Objetivos de países'!$K$5:$K$510,$A55)</f>
        <v/>
      </c>
      <c r="AW55" s="11">
        <f>COUNTIFS('Datos - Objetivos de países'!$B$5:$B$510,"Singapur",'Datos - Objetivos de países'!$F$5:$F$510,AW$3,'Datos - Objetivos de países'!$J$5:$J$510,$A55)+COUNTIFS('Datos - Objetivos de países'!$B$5:$B$510,"Singapur",'Datos - Objetivos de países'!$F$5:$F$510,AW$3,'Datos - Objetivos de países'!$K$5:$K$510,$A55)</f>
        <v/>
      </c>
    </row>
    <row r="56">
      <c r="A56" s="30" t="inlineStr">
        <is>
          <t>T8_27-C2.1</t>
        </is>
      </c>
      <c r="B56" s="30" t="inlineStr">
        <is>
          <t>T8_27</t>
        </is>
      </c>
      <c r="C56" s="30" t="inlineStr">
        <is>
          <t>Química</t>
        </is>
      </c>
      <c r="D56" s="30" t="inlineStr">
        <is>
          <t>Propiedades físicas y químicas para clasificar y usar materiales</t>
        </is>
      </c>
      <c r="E56" s="30">
        <f>IFERROR(MAX($L$3,INDEX($N$3:$V$3,MATCH(TRUE,INDEX(N56:V56&gt;0,0),0))),"—")</f>
        <v/>
      </c>
      <c r="F56" s="30">
        <f>IFERROR(MAX($L$3,INDEX($W$3:$AE$3,MATCH(TRUE,INDEX(W56:AE56&gt;0,0),0))),"—")</f>
        <v/>
      </c>
      <c r="G56" s="30">
        <f>IFERROR(MAX($L$3,INDEX($AF$3:$AN$3,MATCH(TRUE,INDEX(AF56:AN56&gt;0,0),0))),"—")</f>
        <v/>
      </c>
      <c r="H56" s="30">
        <f>IFERROR(MAX($L$3,INDEX($AO$3:$AW$3,MATCH(TRUE,INDEX(AO56:AW56&gt;0,0),0))),"—")</f>
        <v/>
      </c>
      <c r="I56" s="36">
        <f>IF(L56=0,"—",MEDIAN(F56:H56))</f>
        <v/>
      </c>
      <c r="J56" s="36">
        <f>IF(OR(E56="—",I56="—"),"—",E56-I56)</f>
        <v/>
      </c>
      <c r="K56" s="19">
        <f>IF(E56="—",IF(L56=0,"Nadie lo trabaja","El Salvador no llega"),IF(L56=0,"Solo El Salvador",IF(J56&gt;0,"El Salvador llega más tarde",IF(J56&lt;0,"El Salvador va adelantado","Mismo grado"))))</f>
        <v/>
      </c>
      <c r="L56" s="30">
        <f>COUNT(F56:H56)</f>
        <v/>
      </c>
      <c r="N56" s="11">
        <f>COUNTIFS('Datos - Temas'!$C$5:$C$1264,"Ciencias",'Datos - Temas'!$B$5:$B$1264,N$3,'Datos - Temas'!$K$5:$K$1264,$A56)+COUNTIFS('Datos - Temas'!$C$5:$C$1264,"Ciencias",'Datos - Temas'!$B$5:$B$1264,N$3,'Datos - Temas'!$L$5:$L$1264,$A56)</f>
        <v/>
      </c>
      <c r="O56" s="11">
        <f>COUNTIFS('Datos - Temas'!$C$5:$C$1264,"Ciencias",'Datos - Temas'!$B$5:$B$1264,O$3,'Datos - Temas'!$K$5:$K$1264,$A56)+COUNTIFS('Datos - Temas'!$C$5:$C$1264,"Ciencias",'Datos - Temas'!$B$5:$B$1264,O$3,'Datos - Temas'!$L$5:$L$1264,$A56)</f>
        <v/>
      </c>
      <c r="P56" s="11">
        <f>COUNTIFS('Datos - Temas'!$C$5:$C$1264,"Ciencias",'Datos - Temas'!$B$5:$B$1264,P$3,'Datos - Temas'!$K$5:$K$1264,$A56)+COUNTIFS('Datos - Temas'!$C$5:$C$1264,"Ciencias",'Datos - Temas'!$B$5:$B$1264,P$3,'Datos - Temas'!$L$5:$L$1264,$A56)</f>
        <v/>
      </c>
      <c r="Q56" s="11">
        <f>COUNTIFS('Datos - Temas'!$C$5:$C$1264,"Ciencias",'Datos - Temas'!$B$5:$B$1264,Q$3,'Datos - Temas'!$K$5:$K$1264,$A56)+COUNTIFS('Datos - Temas'!$C$5:$C$1264,"Ciencias",'Datos - Temas'!$B$5:$B$1264,Q$3,'Datos - Temas'!$L$5:$L$1264,$A56)</f>
        <v/>
      </c>
      <c r="R56" s="11">
        <f>COUNTIFS('Datos - Temas'!$C$5:$C$1264,"Ciencias",'Datos - Temas'!$B$5:$B$1264,R$3,'Datos - Temas'!$K$5:$K$1264,$A56)+COUNTIFS('Datos - Temas'!$C$5:$C$1264,"Ciencias",'Datos - Temas'!$B$5:$B$1264,R$3,'Datos - Temas'!$L$5:$L$1264,$A56)</f>
        <v/>
      </c>
      <c r="S56" s="11">
        <f>COUNTIFS('Datos - Temas'!$C$5:$C$1264,"Ciencias",'Datos - Temas'!$B$5:$B$1264,S$3,'Datos - Temas'!$K$5:$K$1264,$A56)+COUNTIFS('Datos - Temas'!$C$5:$C$1264,"Ciencias",'Datos - Temas'!$B$5:$B$1264,S$3,'Datos - Temas'!$L$5:$L$1264,$A56)</f>
        <v/>
      </c>
      <c r="T56" s="11">
        <f>COUNTIFS('Datos - Temas'!$C$5:$C$1264,"Ciencias",'Datos - Temas'!$B$5:$B$1264,T$3,'Datos - Temas'!$K$5:$K$1264,$A56)+COUNTIFS('Datos - Temas'!$C$5:$C$1264,"Ciencias",'Datos - Temas'!$B$5:$B$1264,T$3,'Datos - Temas'!$L$5:$L$1264,$A56)</f>
        <v/>
      </c>
      <c r="U56" s="11">
        <f>COUNTIFS('Datos - Temas'!$C$5:$C$1264,"Ciencias",'Datos - Temas'!$B$5:$B$1264,U$3,'Datos - Temas'!$K$5:$K$1264,$A56)+COUNTIFS('Datos - Temas'!$C$5:$C$1264,"Ciencias",'Datos - Temas'!$B$5:$B$1264,U$3,'Datos - Temas'!$L$5:$L$1264,$A56)</f>
        <v/>
      </c>
      <c r="V56" s="11">
        <f>COUNTIFS('Datos - Temas'!$C$5:$C$1264,"Ciencias",'Datos - Temas'!$B$5:$B$1264,V$3,'Datos - Temas'!$K$5:$K$1264,$A56)+COUNTIFS('Datos - Temas'!$C$5:$C$1264,"Ciencias",'Datos - Temas'!$B$5:$B$1264,V$3,'Datos - Temas'!$L$5:$L$1264,$A56)</f>
        <v/>
      </c>
      <c r="W56" s="11">
        <f>COUNTIFS('Datos - Objetivos de países'!$B$5:$B$510,"Uruguay",'Datos - Objetivos de países'!$F$5:$F$510,W$3,'Datos - Objetivos de países'!$J$5:$J$510,$A56)+COUNTIFS('Datos - Objetivos de países'!$B$5:$B$510,"Uruguay",'Datos - Objetivos de países'!$F$5:$F$510,W$3,'Datos - Objetivos de países'!$K$5:$K$510,$A56)</f>
        <v/>
      </c>
      <c r="X56" s="11">
        <f>COUNTIFS('Datos - Objetivos de países'!$B$5:$B$510,"Uruguay",'Datos - Objetivos de países'!$F$5:$F$510,X$3,'Datos - Objetivos de países'!$J$5:$J$510,$A56)+COUNTIFS('Datos - Objetivos de países'!$B$5:$B$510,"Uruguay",'Datos - Objetivos de países'!$F$5:$F$510,X$3,'Datos - Objetivos de países'!$K$5:$K$510,$A56)</f>
        <v/>
      </c>
      <c r="Y56" s="11">
        <f>COUNTIFS('Datos - Objetivos de países'!$B$5:$B$510,"Uruguay",'Datos - Objetivos de países'!$F$5:$F$510,Y$3,'Datos - Objetivos de países'!$J$5:$J$510,$A56)+COUNTIFS('Datos - Objetivos de países'!$B$5:$B$510,"Uruguay",'Datos - Objetivos de países'!$F$5:$F$510,Y$3,'Datos - Objetivos de países'!$K$5:$K$510,$A56)</f>
        <v/>
      </c>
      <c r="Z56" s="11">
        <f>COUNTIFS('Datos - Objetivos de países'!$B$5:$B$510,"Uruguay",'Datos - Objetivos de países'!$F$5:$F$510,Z$3,'Datos - Objetivos de países'!$J$5:$J$510,$A56)+COUNTIFS('Datos - Objetivos de países'!$B$5:$B$510,"Uruguay",'Datos - Objetivos de países'!$F$5:$F$510,Z$3,'Datos - Objetivos de países'!$K$5:$K$510,$A56)</f>
        <v/>
      </c>
      <c r="AA56" s="11">
        <f>COUNTIFS('Datos - Objetivos de países'!$B$5:$B$510,"Uruguay",'Datos - Objetivos de países'!$F$5:$F$510,AA$3,'Datos - Objetivos de países'!$J$5:$J$510,$A56)+COUNTIFS('Datos - Objetivos de países'!$B$5:$B$510,"Uruguay",'Datos - Objetivos de países'!$F$5:$F$510,AA$3,'Datos - Objetivos de países'!$K$5:$K$510,$A56)</f>
        <v/>
      </c>
      <c r="AB56" s="11">
        <f>COUNTIFS('Datos - Objetivos de países'!$B$5:$B$510,"Uruguay",'Datos - Objetivos de países'!$F$5:$F$510,AB$3,'Datos - Objetivos de países'!$J$5:$J$510,$A56)+COUNTIFS('Datos - Objetivos de países'!$B$5:$B$510,"Uruguay",'Datos - Objetivos de países'!$F$5:$F$510,AB$3,'Datos - Objetivos de países'!$K$5:$K$510,$A56)</f>
        <v/>
      </c>
      <c r="AC56" s="11">
        <f>COUNTIFS('Datos - Objetivos de países'!$B$5:$B$510,"Uruguay",'Datos - Objetivos de países'!$F$5:$F$510,AC$3,'Datos - Objetivos de países'!$J$5:$J$510,$A56)+COUNTIFS('Datos - Objetivos de países'!$B$5:$B$510,"Uruguay",'Datos - Objetivos de países'!$F$5:$F$510,AC$3,'Datos - Objetivos de países'!$K$5:$K$510,$A56)</f>
        <v/>
      </c>
      <c r="AD56" s="11">
        <f>COUNTIFS('Datos - Objetivos de países'!$B$5:$B$510,"Uruguay",'Datos - Objetivos de países'!$F$5:$F$510,AD$3,'Datos - Objetivos de países'!$J$5:$J$510,$A56)+COUNTIFS('Datos - Objetivos de países'!$B$5:$B$510,"Uruguay",'Datos - Objetivos de países'!$F$5:$F$510,AD$3,'Datos - Objetivos de países'!$K$5:$K$510,$A56)</f>
        <v/>
      </c>
      <c r="AE56" s="11">
        <f>COUNTIFS('Datos - Objetivos de países'!$B$5:$B$510,"Uruguay",'Datos - Objetivos de países'!$F$5:$F$510,AE$3,'Datos - Objetivos de países'!$J$5:$J$510,$A56)+COUNTIFS('Datos - Objetivos de países'!$B$5:$B$510,"Uruguay",'Datos - Objetivos de países'!$F$5:$F$510,AE$3,'Datos - Objetivos de países'!$K$5:$K$510,$A56)</f>
        <v/>
      </c>
      <c r="AF56" s="11">
        <f>COUNTIFS('Datos - Objetivos de países'!$B$5:$B$510,"Colombia",'Datos - Objetivos de países'!$F$5:$F$510,AF$3,'Datos - Objetivos de países'!$J$5:$J$510,$A56)+COUNTIFS('Datos - Objetivos de países'!$B$5:$B$510,"Colombia",'Datos - Objetivos de países'!$F$5:$F$510,AF$3,'Datos - Objetivos de países'!$K$5:$K$510,$A56)</f>
        <v/>
      </c>
      <c r="AG56" s="11">
        <f>COUNTIFS('Datos - Objetivos de países'!$B$5:$B$510,"Colombia",'Datos - Objetivos de países'!$F$5:$F$510,AG$3,'Datos - Objetivos de países'!$J$5:$J$510,$A56)+COUNTIFS('Datos - Objetivos de países'!$B$5:$B$510,"Colombia",'Datos - Objetivos de países'!$F$5:$F$510,AG$3,'Datos - Objetivos de países'!$K$5:$K$510,$A56)</f>
        <v/>
      </c>
      <c r="AH56" s="11">
        <f>COUNTIFS('Datos - Objetivos de países'!$B$5:$B$510,"Colombia",'Datos - Objetivos de países'!$F$5:$F$510,AH$3,'Datos - Objetivos de países'!$J$5:$J$510,$A56)+COUNTIFS('Datos - Objetivos de países'!$B$5:$B$510,"Colombia",'Datos - Objetivos de países'!$F$5:$F$510,AH$3,'Datos - Objetivos de países'!$K$5:$K$510,$A56)</f>
        <v/>
      </c>
      <c r="AI56" s="11">
        <f>COUNTIFS('Datos - Objetivos de países'!$B$5:$B$510,"Colombia",'Datos - Objetivos de países'!$F$5:$F$510,AI$3,'Datos - Objetivos de países'!$J$5:$J$510,$A56)+COUNTIFS('Datos - Objetivos de países'!$B$5:$B$510,"Colombia",'Datos - Objetivos de países'!$F$5:$F$510,AI$3,'Datos - Objetivos de países'!$K$5:$K$510,$A56)</f>
        <v/>
      </c>
      <c r="AJ56" s="11">
        <f>COUNTIFS('Datos - Objetivos de países'!$B$5:$B$510,"Colombia",'Datos - Objetivos de países'!$F$5:$F$510,AJ$3,'Datos - Objetivos de países'!$J$5:$J$510,$A56)+COUNTIFS('Datos - Objetivos de países'!$B$5:$B$510,"Colombia",'Datos - Objetivos de países'!$F$5:$F$510,AJ$3,'Datos - Objetivos de países'!$K$5:$K$510,$A56)</f>
        <v/>
      </c>
      <c r="AK56" s="11">
        <f>COUNTIFS('Datos - Objetivos de países'!$B$5:$B$510,"Colombia",'Datos - Objetivos de países'!$F$5:$F$510,AK$3,'Datos - Objetivos de países'!$J$5:$J$510,$A56)+COUNTIFS('Datos - Objetivos de países'!$B$5:$B$510,"Colombia",'Datos - Objetivos de países'!$F$5:$F$510,AK$3,'Datos - Objetivos de países'!$K$5:$K$510,$A56)</f>
        <v/>
      </c>
      <c r="AL56" s="11">
        <f>COUNTIFS('Datos - Objetivos de países'!$B$5:$B$510,"Colombia",'Datos - Objetivos de países'!$F$5:$F$510,AL$3,'Datos - Objetivos de países'!$J$5:$J$510,$A56)+COUNTIFS('Datos - Objetivos de países'!$B$5:$B$510,"Colombia",'Datos - Objetivos de países'!$F$5:$F$510,AL$3,'Datos - Objetivos de países'!$K$5:$K$510,$A56)</f>
        <v/>
      </c>
      <c r="AM56" s="11">
        <f>COUNTIFS('Datos - Objetivos de países'!$B$5:$B$510,"Colombia",'Datos - Objetivos de países'!$F$5:$F$510,AM$3,'Datos - Objetivos de países'!$J$5:$J$510,$A56)+COUNTIFS('Datos - Objetivos de países'!$B$5:$B$510,"Colombia",'Datos - Objetivos de países'!$F$5:$F$510,AM$3,'Datos - Objetivos de países'!$K$5:$K$510,$A56)</f>
        <v/>
      </c>
      <c r="AN56" s="11">
        <f>COUNTIFS('Datos - Objetivos de países'!$B$5:$B$510,"Colombia",'Datos - Objetivos de países'!$F$5:$F$510,AN$3,'Datos - Objetivos de países'!$J$5:$J$510,$A56)+COUNTIFS('Datos - Objetivos de países'!$B$5:$B$510,"Colombia",'Datos - Objetivos de países'!$F$5:$F$510,AN$3,'Datos - Objetivos de países'!$K$5:$K$510,$A56)</f>
        <v/>
      </c>
      <c r="AO56" s="11">
        <f>COUNTIFS('Datos - Objetivos de países'!$B$5:$B$510,"Singapur",'Datos - Objetivos de países'!$F$5:$F$510,AO$3,'Datos - Objetivos de países'!$J$5:$J$510,$A56)+COUNTIFS('Datos - Objetivos de países'!$B$5:$B$510,"Singapur",'Datos - Objetivos de países'!$F$5:$F$510,AO$3,'Datos - Objetivos de países'!$K$5:$K$510,$A56)</f>
        <v/>
      </c>
      <c r="AP56" s="11">
        <f>COUNTIFS('Datos - Objetivos de países'!$B$5:$B$510,"Singapur",'Datos - Objetivos de países'!$F$5:$F$510,AP$3,'Datos - Objetivos de países'!$J$5:$J$510,$A56)+COUNTIFS('Datos - Objetivos de países'!$B$5:$B$510,"Singapur",'Datos - Objetivos de países'!$F$5:$F$510,AP$3,'Datos - Objetivos de países'!$K$5:$K$510,$A56)</f>
        <v/>
      </c>
      <c r="AQ56" s="11">
        <f>COUNTIFS('Datos - Objetivos de países'!$B$5:$B$510,"Singapur",'Datos - Objetivos de países'!$F$5:$F$510,AQ$3,'Datos - Objetivos de países'!$J$5:$J$510,$A56)+COUNTIFS('Datos - Objetivos de países'!$B$5:$B$510,"Singapur",'Datos - Objetivos de países'!$F$5:$F$510,AQ$3,'Datos - Objetivos de países'!$K$5:$K$510,$A56)</f>
        <v/>
      </c>
      <c r="AR56" s="11">
        <f>COUNTIFS('Datos - Objetivos de países'!$B$5:$B$510,"Singapur",'Datos - Objetivos de países'!$F$5:$F$510,AR$3,'Datos - Objetivos de países'!$J$5:$J$510,$A56)+COUNTIFS('Datos - Objetivos de países'!$B$5:$B$510,"Singapur",'Datos - Objetivos de países'!$F$5:$F$510,AR$3,'Datos - Objetivos de países'!$K$5:$K$510,$A56)</f>
        <v/>
      </c>
      <c r="AS56" s="11">
        <f>COUNTIFS('Datos - Objetivos de países'!$B$5:$B$510,"Singapur",'Datos - Objetivos de países'!$F$5:$F$510,AS$3,'Datos - Objetivos de países'!$J$5:$J$510,$A56)+COUNTIFS('Datos - Objetivos de países'!$B$5:$B$510,"Singapur",'Datos - Objetivos de países'!$F$5:$F$510,AS$3,'Datos - Objetivos de países'!$K$5:$K$510,$A56)</f>
        <v/>
      </c>
      <c r="AT56" s="11">
        <f>COUNTIFS('Datos - Objetivos de países'!$B$5:$B$510,"Singapur",'Datos - Objetivos de países'!$F$5:$F$510,AT$3,'Datos - Objetivos de países'!$J$5:$J$510,$A56)+COUNTIFS('Datos - Objetivos de países'!$B$5:$B$510,"Singapur",'Datos - Objetivos de países'!$F$5:$F$510,AT$3,'Datos - Objetivos de países'!$K$5:$K$510,$A56)</f>
        <v/>
      </c>
      <c r="AU56" s="11">
        <f>COUNTIFS('Datos - Objetivos de países'!$B$5:$B$510,"Singapur",'Datos - Objetivos de países'!$F$5:$F$510,AU$3,'Datos - Objetivos de países'!$J$5:$J$510,$A56)+COUNTIFS('Datos - Objetivos de países'!$B$5:$B$510,"Singapur",'Datos - Objetivos de países'!$F$5:$F$510,AU$3,'Datos - Objetivos de países'!$K$5:$K$510,$A56)</f>
        <v/>
      </c>
      <c r="AV56" s="11">
        <f>COUNTIFS('Datos - Objetivos de países'!$B$5:$B$510,"Singapur",'Datos - Objetivos de países'!$F$5:$F$510,AV$3,'Datos - Objetivos de países'!$J$5:$J$510,$A56)+COUNTIFS('Datos - Objetivos de países'!$B$5:$B$510,"Singapur",'Datos - Objetivos de países'!$F$5:$F$510,AV$3,'Datos - Objetivos de países'!$K$5:$K$510,$A56)</f>
        <v/>
      </c>
      <c r="AW56" s="11">
        <f>COUNTIFS('Datos - Objetivos de países'!$B$5:$B$510,"Singapur",'Datos - Objetivos de países'!$F$5:$F$510,AW$3,'Datos - Objetivos de países'!$J$5:$J$510,$A56)+COUNTIFS('Datos - Objetivos de países'!$B$5:$B$510,"Singapur",'Datos - Objetivos de países'!$F$5:$F$510,AW$3,'Datos - Objetivos de países'!$K$5:$K$510,$A56)</f>
        <v/>
      </c>
    </row>
    <row r="57">
      <c r="A57" s="30" t="inlineStr">
        <is>
          <t>T8_27-C2.2</t>
        </is>
      </c>
      <c r="B57" s="30" t="inlineStr">
        <is>
          <t>T8_27</t>
        </is>
      </c>
      <c r="C57" s="30" t="inlineStr">
        <is>
          <t>Química</t>
        </is>
      </c>
      <c r="D57" s="30" t="inlineStr">
        <is>
          <t>Mezclas y disoluciones</t>
        </is>
      </c>
      <c r="E57" s="30">
        <f>IFERROR(MAX($L$3,INDEX($N$3:$V$3,MATCH(TRUE,INDEX(N57:V57&gt;0,0),0))),"—")</f>
        <v/>
      </c>
      <c r="F57" s="30">
        <f>IFERROR(MAX($L$3,INDEX($W$3:$AE$3,MATCH(TRUE,INDEX(W57:AE57&gt;0,0),0))),"—")</f>
        <v/>
      </c>
      <c r="G57" s="30">
        <f>IFERROR(MAX($L$3,INDEX($AF$3:$AN$3,MATCH(TRUE,INDEX(AF57:AN57&gt;0,0),0))),"—")</f>
        <v/>
      </c>
      <c r="H57" s="30">
        <f>IFERROR(MAX($L$3,INDEX($AO$3:$AW$3,MATCH(TRUE,INDEX(AO57:AW57&gt;0,0),0))),"—")</f>
        <v/>
      </c>
      <c r="I57" s="36">
        <f>IF(L57=0,"—",MEDIAN(F57:H57))</f>
        <v/>
      </c>
      <c r="J57" s="36">
        <f>IF(OR(E57="—",I57="—"),"—",E57-I57)</f>
        <v/>
      </c>
      <c r="K57" s="19">
        <f>IF(E57="—",IF(L57=0,"Nadie lo trabaja","El Salvador no llega"),IF(L57=0,"Solo El Salvador",IF(J57&gt;0,"El Salvador llega más tarde",IF(J57&lt;0,"El Salvador va adelantado","Mismo grado"))))</f>
        <v/>
      </c>
      <c r="L57" s="30">
        <f>COUNT(F57:H57)</f>
        <v/>
      </c>
      <c r="N57" s="11">
        <f>COUNTIFS('Datos - Temas'!$C$5:$C$1264,"Ciencias",'Datos - Temas'!$B$5:$B$1264,N$3,'Datos - Temas'!$K$5:$K$1264,$A57)+COUNTIFS('Datos - Temas'!$C$5:$C$1264,"Ciencias",'Datos - Temas'!$B$5:$B$1264,N$3,'Datos - Temas'!$L$5:$L$1264,$A57)</f>
        <v/>
      </c>
      <c r="O57" s="11">
        <f>COUNTIFS('Datos - Temas'!$C$5:$C$1264,"Ciencias",'Datos - Temas'!$B$5:$B$1264,O$3,'Datos - Temas'!$K$5:$K$1264,$A57)+COUNTIFS('Datos - Temas'!$C$5:$C$1264,"Ciencias",'Datos - Temas'!$B$5:$B$1264,O$3,'Datos - Temas'!$L$5:$L$1264,$A57)</f>
        <v/>
      </c>
      <c r="P57" s="11">
        <f>COUNTIFS('Datos - Temas'!$C$5:$C$1264,"Ciencias",'Datos - Temas'!$B$5:$B$1264,P$3,'Datos - Temas'!$K$5:$K$1264,$A57)+COUNTIFS('Datos - Temas'!$C$5:$C$1264,"Ciencias",'Datos - Temas'!$B$5:$B$1264,P$3,'Datos - Temas'!$L$5:$L$1264,$A57)</f>
        <v/>
      </c>
      <c r="Q57" s="11">
        <f>COUNTIFS('Datos - Temas'!$C$5:$C$1264,"Ciencias",'Datos - Temas'!$B$5:$B$1264,Q$3,'Datos - Temas'!$K$5:$K$1264,$A57)+COUNTIFS('Datos - Temas'!$C$5:$C$1264,"Ciencias",'Datos - Temas'!$B$5:$B$1264,Q$3,'Datos - Temas'!$L$5:$L$1264,$A57)</f>
        <v/>
      </c>
      <c r="R57" s="11">
        <f>COUNTIFS('Datos - Temas'!$C$5:$C$1264,"Ciencias",'Datos - Temas'!$B$5:$B$1264,R$3,'Datos - Temas'!$K$5:$K$1264,$A57)+COUNTIFS('Datos - Temas'!$C$5:$C$1264,"Ciencias",'Datos - Temas'!$B$5:$B$1264,R$3,'Datos - Temas'!$L$5:$L$1264,$A57)</f>
        <v/>
      </c>
      <c r="S57" s="11">
        <f>COUNTIFS('Datos - Temas'!$C$5:$C$1264,"Ciencias",'Datos - Temas'!$B$5:$B$1264,S$3,'Datos - Temas'!$K$5:$K$1264,$A57)+COUNTIFS('Datos - Temas'!$C$5:$C$1264,"Ciencias",'Datos - Temas'!$B$5:$B$1264,S$3,'Datos - Temas'!$L$5:$L$1264,$A57)</f>
        <v/>
      </c>
      <c r="T57" s="11">
        <f>COUNTIFS('Datos - Temas'!$C$5:$C$1264,"Ciencias",'Datos - Temas'!$B$5:$B$1264,T$3,'Datos - Temas'!$K$5:$K$1264,$A57)+COUNTIFS('Datos - Temas'!$C$5:$C$1264,"Ciencias",'Datos - Temas'!$B$5:$B$1264,T$3,'Datos - Temas'!$L$5:$L$1264,$A57)</f>
        <v/>
      </c>
      <c r="U57" s="11">
        <f>COUNTIFS('Datos - Temas'!$C$5:$C$1264,"Ciencias",'Datos - Temas'!$B$5:$B$1264,U$3,'Datos - Temas'!$K$5:$K$1264,$A57)+COUNTIFS('Datos - Temas'!$C$5:$C$1264,"Ciencias",'Datos - Temas'!$B$5:$B$1264,U$3,'Datos - Temas'!$L$5:$L$1264,$A57)</f>
        <v/>
      </c>
      <c r="V57" s="11">
        <f>COUNTIFS('Datos - Temas'!$C$5:$C$1264,"Ciencias",'Datos - Temas'!$B$5:$B$1264,V$3,'Datos - Temas'!$K$5:$K$1264,$A57)+COUNTIFS('Datos - Temas'!$C$5:$C$1264,"Ciencias",'Datos - Temas'!$B$5:$B$1264,V$3,'Datos - Temas'!$L$5:$L$1264,$A57)</f>
        <v/>
      </c>
      <c r="W57" s="11">
        <f>COUNTIFS('Datos - Objetivos de países'!$B$5:$B$510,"Uruguay",'Datos - Objetivos de países'!$F$5:$F$510,W$3,'Datos - Objetivos de países'!$J$5:$J$510,$A57)+COUNTIFS('Datos - Objetivos de países'!$B$5:$B$510,"Uruguay",'Datos - Objetivos de países'!$F$5:$F$510,W$3,'Datos - Objetivos de países'!$K$5:$K$510,$A57)</f>
        <v/>
      </c>
      <c r="X57" s="11">
        <f>COUNTIFS('Datos - Objetivos de países'!$B$5:$B$510,"Uruguay",'Datos - Objetivos de países'!$F$5:$F$510,X$3,'Datos - Objetivos de países'!$J$5:$J$510,$A57)+COUNTIFS('Datos - Objetivos de países'!$B$5:$B$510,"Uruguay",'Datos - Objetivos de países'!$F$5:$F$510,X$3,'Datos - Objetivos de países'!$K$5:$K$510,$A57)</f>
        <v/>
      </c>
      <c r="Y57" s="11">
        <f>COUNTIFS('Datos - Objetivos de países'!$B$5:$B$510,"Uruguay",'Datos - Objetivos de países'!$F$5:$F$510,Y$3,'Datos - Objetivos de países'!$J$5:$J$510,$A57)+COUNTIFS('Datos - Objetivos de países'!$B$5:$B$510,"Uruguay",'Datos - Objetivos de países'!$F$5:$F$510,Y$3,'Datos - Objetivos de países'!$K$5:$K$510,$A57)</f>
        <v/>
      </c>
      <c r="Z57" s="11">
        <f>COUNTIFS('Datos - Objetivos de países'!$B$5:$B$510,"Uruguay",'Datos - Objetivos de países'!$F$5:$F$510,Z$3,'Datos - Objetivos de países'!$J$5:$J$510,$A57)+COUNTIFS('Datos - Objetivos de países'!$B$5:$B$510,"Uruguay",'Datos - Objetivos de países'!$F$5:$F$510,Z$3,'Datos - Objetivos de países'!$K$5:$K$510,$A57)</f>
        <v/>
      </c>
      <c r="AA57" s="11">
        <f>COUNTIFS('Datos - Objetivos de países'!$B$5:$B$510,"Uruguay",'Datos - Objetivos de países'!$F$5:$F$510,AA$3,'Datos - Objetivos de países'!$J$5:$J$510,$A57)+COUNTIFS('Datos - Objetivos de países'!$B$5:$B$510,"Uruguay",'Datos - Objetivos de países'!$F$5:$F$510,AA$3,'Datos - Objetivos de países'!$K$5:$K$510,$A57)</f>
        <v/>
      </c>
      <c r="AB57" s="11">
        <f>COUNTIFS('Datos - Objetivos de países'!$B$5:$B$510,"Uruguay",'Datos - Objetivos de países'!$F$5:$F$510,AB$3,'Datos - Objetivos de países'!$J$5:$J$510,$A57)+COUNTIFS('Datos - Objetivos de países'!$B$5:$B$510,"Uruguay",'Datos - Objetivos de países'!$F$5:$F$510,AB$3,'Datos - Objetivos de países'!$K$5:$K$510,$A57)</f>
        <v/>
      </c>
      <c r="AC57" s="11">
        <f>COUNTIFS('Datos - Objetivos de países'!$B$5:$B$510,"Uruguay",'Datos - Objetivos de países'!$F$5:$F$510,AC$3,'Datos - Objetivos de países'!$J$5:$J$510,$A57)+COUNTIFS('Datos - Objetivos de países'!$B$5:$B$510,"Uruguay",'Datos - Objetivos de países'!$F$5:$F$510,AC$3,'Datos - Objetivos de países'!$K$5:$K$510,$A57)</f>
        <v/>
      </c>
      <c r="AD57" s="11">
        <f>COUNTIFS('Datos - Objetivos de países'!$B$5:$B$510,"Uruguay",'Datos - Objetivos de países'!$F$5:$F$510,AD$3,'Datos - Objetivos de países'!$J$5:$J$510,$A57)+COUNTIFS('Datos - Objetivos de países'!$B$5:$B$510,"Uruguay",'Datos - Objetivos de países'!$F$5:$F$510,AD$3,'Datos - Objetivos de países'!$K$5:$K$510,$A57)</f>
        <v/>
      </c>
      <c r="AE57" s="11">
        <f>COUNTIFS('Datos - Objetivos de países'!$B$5:$B$510,"Uruguay",'Datos - Objetivos de países'!$F$5:$F$510,AE$3,'Datos - Objetivos de países'!$J$5:$J$510,$A57)+COUNTIFS('Datos - Objetivos de países'!$B$5:$B$510,"Uruguay",'Datos - Objetivos de países'!$F$5:$F$510,AE$3,'Datos - Objetivos de países'!$K$5:$K$510,$A57)</f>
        <v/>
      </c>
      <c r="AF57" s="11">
        <f>COUNTIFS('Datos - Objetivos de países'!$B$5:$B$510,"Colombia",'Datos - Objetivos de países'!$F$5:$F$510,AF$3,'Datos - Objetivos de países'!$J$5:$J$510,$A57)+COUNTIFS('Datos - Objetivos de países'!$B$5:$B$510,"Colombia",'Datos - Objetivos de países'!$F$5:$F$510,AF$3,'Datos - Objetivos de países'!$K$5:$K$510,$A57)</f>
        <v/>
      </c>
      <c r="AG57" s="11">
        <f>COUNTIFS('Datos - Objetivos de países'!$B$5:$B$510,"Colombia",'Datos - Objetivos de países'!$F$5:$F$510,AG$3,'Datos - Objetivos de países'!$J$5:$J$510,$A57)+COUNTIFS('Datos - Objetivos de países'!$B$5:$B$510,"Colombia",'Datos - Objetivos de países'!$F$5:$F$510,AG$3,'Datos - Objetivos de países'!$K$5:$K$510,$A57)</f>
        <v/>
      </c>
      <c r="AH57" s="11">
        <f>COUNTIFS('Datos - Objetivos de países'!$B$5:$B$510,"Colombia",'Datos - Objetivos de países'!$F$5:$F$510,AH$3,'Datos - Objetivos de países'!$J$5:$J$510,$A57)+COUNTIFS('Datos - Objetivos de países'!$B$5:$B$510,"Colombia",'Datos - Objetivos de países'!$F$5:$F$510,AH$3,'Datos - Objetivos de países'!$K$5:$K$510,$A57)</f>
        <v/>
      </c>
      <c r="AI57" s="11">
        <f>COUNTIFS('Datos - Objetivos de países'!$B$5:$B$510,"Colombia",'Datos - Objetivos de países'!$F$5:$F$510,AI$3,'Datos - Objetivos de países'!$J$5:$J$510,$A57)+COUNTIFS('Datos - Objetivos de países'!$B$5:$B$510,"Colombia",'Datos - Objetivos de países'!$F$5:$F$510,AI$3,'Datos - Objetivos de países'!$K$5:$K$510,$A57)</f>
        <v/>
      </c>
      <c r="AJ57" s="11">
        <f>COUNTIFS('Datos - Objetivos de países'!$B$5:$B$510,"Colombia",'Datos - Objetivos de países'!$F$5:$F$510,AJ$3,'Datos - Objetivos de países'!$J$5:$J$510,$A57)+COUNTIFS('Datos - Objetivos de países'!$B$5:$B$510,"Colombia",'Datos - Objetivos de países'!$F$5:$F$510,AJ$3,'Datos - Objetivos de países'!$K$5:$K$510,$A57)</f>
        <v/>
      </c>
      <c r="AK57" s="11">
        <f>COUNTIFS('Datos - Objetivos de países'!$B$5:$B$510,"Colombia",'Datos - Objetivos de países'!$F$5:$F$510,AK$3,'Datos - Objetivos de países'!$J$5:$J$510,$A57)+COUNTIFS('Datos - Objetivos de países'!$B$5:$B$510,"Colombia",'Datos - Objetivos de países'!$F$5:$F$510,AK$3,'Datos - Objetivos de países'!$K$5:$K$510,$A57)</f>
        <v/>
      </c>
      <c r="AL57" s="11">
        <f>COUNTIFS('Datos - Objetivos de países'!$B$5:$B$510,"Colombia",'Datos - Objetivos de países'!$F$5:$F$510,AL$3,'Datos - Objetivos de países'!$J$5:$J$510,$A57)+COUNTIFS('Datos - Objetivos de países'!$B$5:$B$510,"Colombia",'Datos - Objetivos de países'!$F$5:$F$510,AL$3,'Datos - Objetivos de países'!$K$5:$K$510,$A57)</f>
        <v/>
      </c>
      <c r="AM57" s="11">
        <f>COUNTIFS('Datos - Objetivos de países'!$B$5:$B$510,"Colombia",'Datos - Objetivos de países'!$F$5:$F$510,AM$3,'Datos - Objetivos de países'!$J$5:$J$510,$A57)+COUNTIFS('Datos - Objetivos de países'!$B$5:$B$510,"Colombia",'Datos - Objetivos de países'!$F$5:$F$510,AM$3,'Datos - Objetivos de países'!$K$5:$K$510,$A57)</f>
        <v/>
      </c>
      <c r="AN57" s="11">
        <f>COUNTIFS('Datos - Objetivos de países'!$B$5:$B$510,"Colombia",'Datos - Objetivos de países'!$F$5:$F$510,AN$3,'Datos - Objetivos de países'!$J$5:$J$510,$A57)+COUNTIFS('Datos - Objetivos de países'!$B$5:$B$510,"Colombia",'Datos - Objetivos de países'!$F$5:$F$510,AN$3,'Datos - Objetivos de países'!$K$5:$K$510,$A57)</f>
        <v/>
      </c>
      <c r="AO57" s="11">
        <f>COUNTIFS('Datos - Objetivos de países'!$B$5:$B$510,"Singapur",'Datos - Objetivos de países'!$F$5:$F$510,AO$3,'Datos - Objetivos de países'!$J$5:$J$510,$A57)+COUNTIFS('Datos - Objetivos de países'!$B$5:$B$510,"Singapur",'Datos - Objetivos de países'!$F$5:$F$510,AO$3,'Datos - Objetivos de países'!$K$5:$K$510,$A57)</f>
        <v/>
      </c>
      <c r="AP57" s="11">
        <f>COUNTIFS('Datos - Objetivos de países'!$B$5:$B$510,"Singapur",'Datos - Objetivos de países'!$F$5:$F$510,AP$3,'Datos - Objetivos de países'!$J$5:$J$510,$A57)+COUNTIFS('Datos - Objetivos de países'!$B$5:$B$510,"Singapur",'Datos - Objetivos de países'!$F$5:$F$510,AP$3,'Datos - Objetivos de países'!$K$5:$K$510,$A57)</f>
        <v/>
      </c>
      <c r="AQ57" s="11">
        <f>COUNTIFS('Datos - Objetivos de países'!$B$5:$B$510,"Singapur",'Datos - Objetivos de países'!$F$5:$F$510,AQ$3,'Datos - Objetivos de países'!$J$5:$J$510,$A57)+COUNTIFS('Datos - Objetivos de países'!$B$5:$B$510,"Singapur",'Datos - Objetivos de países'!$F$5:$F$510,AQ$3,'Datos - Objetivos de países'!$K$5:$K$510,$A57)</f>
        <v/>
      </c>
      <c r="AR57" s="11">
        <f>COUNTIFS('Datos - Objetivos de países'!$B$5:$B$510,"Singapur",'Datos - Objetivos de países'!$F$5:$F$510,AR$3,'Datos - Objetivos de países'!$J$5:$J$510,$A57)+COUNTIFS('Datos - Objetivos de países'!$B$5:$B$510,"Singapur",'Datos - Objetivos de países'!$F$5:$F$510,AR$3,'Datos - Objetivos de países'!$K$5:$K$510,$A57)</f>
        <v/>
      </c>
      <c r="AS57" s="11">
        <f>COUNTIFS('Datos - Objetivos de países'!$B$5:$B$510,"Singapur",'Datos - Objetivos de países'!$F$5:$F$510,AS$3,'Datos - Objetivos de países'!$J$5:$J$510,$A57)+COUNTIFS('Datos - Objetivos de países'!$B$5:$B$510,"Singapur",'Datos - Objetivos de países'!$F$5:$F$510,AS$3,'Datos - Objetivos de países'!$K$5:$K$510,$A57)</f>
        <v/>
      </c>
      <c r="AT57" s="11">
        <f>COUNTIFS('Datos - Objetivos de países'!$B$5:$B$510,"Singapur",'Datos - Objetivos de países'!$F$5:$F$510,AT$3,'Datos - Objetivos de países'!$J$5:$J$510,$A57)+COUNTIFS('Datos - Objetivos de países'!$B$5:$B$510,"Singapur",'Datos - Objetivos de países'!$F$5:$F$510,AT$3,'Datos - Objetivos de países'!$K$5:$K$510,$A57)</f>
        <v/>
      </c>
      <c r="AU57" s="11">
        <f>COUNTIFS('Datos - Objetivos de países'!$B$5:$B$510,"Singapur",'Datos - Objetivos de países'!$F$5:$F$510,AU$3,'Datos - Objetivos de países'!$J$5:$J$510,$A57)+COUNTIFS('Datos - Objetivos de países'!$B$5:$B$510,"Singapur",'Datos - Objetivos de países'!$F$5:$F$510,AU$3,'Datos - Objetivos de países'!$K$5:$K$510,$A57)</f>
        <v/>
      </c>
      <c r="AV57" s="11">
        <f>COUNTIFS('Datos - Objetivos de países'!$B$5:$B$510,"Singapur",'Datos - Objetivos de países'!$F$5:$F$510,AV$3,'Datos - Objetivos de países'!$J$5:$J$510,$A57)+COUNTIFS('Datos - Objetivos de países'!$B$5:$B$510,"Singapur",'Datos - Objetivos de países'!$F$5:$F$510,AV$3,'Datos - Objetivos de países'!$K$5:$K$510,$A57)</f>
        <v/>
      </c>
      <c r="AW57" s="11">
        <f>COUNTIFS('Datos - Objetivos de países'!$B$5:$B$510,"Singapur",'Datos - Objetivos de países'!$F$5:$F$510,AW$3,'Datos - Objetivos de países'!$J$5:$J$510,$A57)+COUNTIFS('Datos - Objetivos de países'!$B$5:$B$510,"Singapur",'Datos - Objetivos de países'!$F$5:$F$510,AW$3,'Datos - Objetivos de países'!$K$5:$K$510,$A57)</f>
        <v/>
      </c>
    </row>
    <row r="58">
      <c r="A58" s="30" t="inlineStr">
        <is>
          <t>T8_27-C2.3</t>
        </is>
      </c>
      <c r="B58" s="30" t="inlineStr">
        <is>
          <t>T8_27</t>
        </is>
      </c>
      <c r="C58" s="30" t="inlineStr">
        <is>
          <t>Química</t>
        </is>
      </c>
      <c r="D58" s="30" t="inlineStr">
        <is>
          <t>Propiedades de ácidos y bases</t>
        </is>
      </c>
      <c r="E58" s="30">
        <f>IFERROR(MAX($L$3,INDEX($N$3:$V$3,MATCH(TRUE,INDEX(N58:V58&gt;0,0),0))),"—")</f>
        <v/>
      </c>
      <c r="F58" s="30">
        <f>IFERROR(MAX($L$3,INDEX($W$3:$AE$3,MATCH(TRUE,INDEX(W58:AE58&gt;0,0),0))),"—")</f>
        <v/>
      </c>
      <c r="G58" s="30">
        <f>IFERROR(MAX($L$3,INDEX($AF$3:$AN$3,MATCH(TRUE,INDEX(AF58:AN58&gt;0,0),0))),"—")</f>
        <v/>
      </c>
      <c r="H58" s="30">
        <f>IFERROR(MAX($L$3,INDEX($AO$3:$AW$3,MATCH(TRUE,INDEX(AO58:AW58&gt;0,0),0))),"—")</f>
        <v/>
      </c>
      <c r="I58" s="36">
        <f>IF(L58=0,"—",MEDIAN(F58:H58))</f>
        <v/>
      </c>
      <c r="J58" s="36">
        <f>IF(OR(E58="—",I58="—"),"—",E58-I58)</f>
        <v/>
      </c>
      <c r="K58" s="19">
        <f>IF(E58="—",IF(L58=0,"Nadie lo trabaja","El Salvador no llega"),IF(L58=0,"Solo El Salvador",IF(J58&gt;0,"El Salvador llega más tarde",IF(J58&lt;0,"El Salvador va adelantado","Mismo grado"))))</f>
        <v/>
      </c>
      <c r="L58" s="30">
        <f>COUNT(F58:H58)</f>
        <v/>
      </c>
      <c r="N58" s="11">
        <f>COUNTIFS('Datos - Temas'!$C$5:$C$1264,"Ciencias",'Datos - Temas'!$B$5:$B$1264,N$3,'Datos - Temas'!$K$5:$K$1264,$A58)+COUNTIFS('Datos - Temas'!$C$5:$C$1264,"Ciencias",'Datos - Temas'!$B$5:$B$1264,N$3,'Datos - Temas'!$L$5:$L$1264,$A58)</f>
        <v/>
      </c>
      <c r="O58" s="11">
        <f>COUNTIFS('Datos - Temas'!$C$5:$C$1264,"Ciencias",'Datos - Temas'!$B$5:$B$1264,O$3,'Datos - Temas'!$K$5:$K$1264,$A58)+COUNTIFS('Datos - Temas'!$C$5:$C$1264,"Ciencias",'Datos - Temas'!$B$5:$B$1264,O$3,'Datos - Temas'!$L$5:$L$1264,$A58)</f>
        <v/>
      </c>
      <c r="P58" s="11">
        <f>COUNTIFS('Datos - Temas'!$C$5:$C$1264,"Ciencias",'Datos - Temas'!$B$5:$B$1264,P$3,'Datos - Temas'!$K$5:$K$1264,$A58)+COUNTIFS('Datos - Temas'!$C$5:$C$1264,"Ciencias",'Datos - Temas'!$B$5:$B$1264,P$3,'Datos - Temas'!$L$5:$L$1264,$A58)</f>
        <v/>
      </c>
      <c r="Q58" s="11">
        <f>COUNTIFS('Datos - Temas'!$C$5:$C$1264,"Ciencias",'Datos - Temas'!$B$5:$B$1264,Q$3,'Datos - Temas'!$K$5:$K$1264,$A58)+COUNTIFS('Datos - Temas'!$C$5:$C$1264,"Ciencias",'Datos - Temas'!$B$5:$B$1264,Q$3,'Datos - Temas'!$L$5:$L$1264,$A58)</f>
        <v/>
      </c>
      <c r="R58" s="11">
        <f>COUNTIFS('Datos - Temas'!$C$5:$C$1264,"Ciencias",'Datos - Temas'!$B$5:$B$1264,R$3,'Datos - Temas'!$K$5:$K$1264,$A58)+COUNTIFS('Datos - Temas'!$C$5:$C$1264,"Ciencias",'Datos - Temas'!$B$5:$B$1264,R$3,'Datos - Temas'!$L$5:$L$1264,$A58)</f>
        <v/>
      </c>
      <c r="S58" s="11">
        <f>COUNTIFS('Datos - Temas'!$C$5:$C$1264,"Ciencias",'Datos - Temas'!$B$5:$B$1264,S$3,'Datos - Temas'!$K$5:$K$1264,$A58)+COUNTIFS('Datos - Temas'!$C$5:$C$1264,"Ciencias",'Datos - Temas'!$B$5:$B$1264,S$3,'Datos - Temas'!$L$5:$L$1264,$A58)</f>
        <v/>
      </c>
      <c r="T58" s="11">
        <f>COUNTIFS('Datos - Temas'!$C$5:$C$1264,"Ciencias",'Datos - Temas'!$B$5:$B$1264,T$3,'Datos - Temas'!$K$5:$K$1264,$A58)+COUNTIFS('Datos - Temas'!$C$5:$C$1264,"Ciencias",'Datos - Temas'!$B$5:$B$1264,T$3,'Datos - Temas'!$L$5:$L$1264,$A58)</f>
        <v/>
      </c>
      <c r="U58" s="11">
        <f>COUNTIFS('Datos - Temas'!$C$5:$C$1264,"Ciencias",'Datos - Temas'!$B$5:$B$1264,U$3,'Datos - Temas'!$K$5:$K$1264,$A58)+COUNTIFS('Datos - Temas'!$C$5:$C$1264,"Ciencias",'Datos - Temas'!$B$5:$B$1264,U$3,'Datos - Temas'!$L$5:$L$1264,$A58)</f>
        <v/>
      </c>
      <c r="V58" s="11">
        <f>COUNTIFS('Datos - Temas'!$C$5:$C$1264,"Ciencias",'Datos - Temas'!$B$5:$B$1264,V$3,'Datos - Temas'!$K$5:$K$1264,$A58)+COUNTIFS('Datos - Temas'!$C$5:$C$1264,"Ciencias",'Datos - Temas'!$B$5:$B$1264,V$3,'Datos - Temas'!$L$5:$L$1264,$A58)</f>
        <v/>
      </c>
      <c r="W58" s="11">
        <f>COUNTIFS('Datos - Objetivos de países'!$B$5:$B$510,"Uruguay",'Datos - Objetivos de países'!$F$5:$F$510,W$3,'Datos - Objetivos de países'!$J$5:$J$510,$A58)+COUNTIFS('Datos - Objetivos de países'!$B$5:$B$510,"Uruguay",'Datos - Objetivos de países'!$F$5:$F$510,W$3,'Datos - Objetivos de países'!$K$5:$K$510,$A58)</f>
        <v/>
      </c>
      <c r="X58" s="11">
        <f>COUNTIFS('Datos - Objetivos de países'!$B$5:$B$510,"Uruguay",'Datos - Objetivos de países'!$F$5:$F$510,X$3,'Datos - Objetivos de países'!$J$5:$J$510,$A58)+COUNTIFS('Datos - Objetivos de países'!$B$5:$B$510,"Uruguay",'Datos - Objetivos de países'!$F$5:$F$510,X$3,'Datos - Objetivos de países'!$K$5:$K$510,$A58)</f>
        <v/>
      </c>
      <c r="Y58" s="11">
        <f>COUNTIFS('Datos - Objetivos de países'!$B$5:$B$510,"Uruguay",'Datos - Objetivos de países'!$F$5:$F$510,Y$3,'Datos - Objetivos de países'!$J$5:$J$510,$A58)+COUNTIFS('Datos - Objetivos de países'!$B$5:$B$510,"Uruguay",'Datos - Objetivos de países'!$F$5:$F$510,Y$3,'Datos - Objetivos de países'!$K$5:$K$510,$A58)</f>
        <v/>
      </c>
      <c r="Z58" s="11">
        <f>COUNTIFS('Datos - Objetivos de países'!$B$5:$B$510,"Uruguay",'Datos - Objetivos de países'!$F$5:$F$510,Z$3,'Datos - Objetivos de países'!$J$5:$J$510,$A58)+COUNTIFS('Datos - Objetivos de países'!$B$5:$B$510,"Uruguay",'Datos - Objetivos de países'!$F$5:$F$510,Z$3,'Datos - Objetivos de países'!$K$5:$K$510,$A58)</f>
        <v/>
      </c>
      <c r="AA58" s="11">
        <f>COUNTIFS('Datos - Objetivos de países'!$B$5:$B$510,"Uruguay",'Datos - Objetivos de países'!$F$5:$F$510,AA$3,'Datos - Objetivos de países'!$J$5:$J$510,$A58)+COUNTIFS('Datos - Objetivos de países'!$B$5:$B$510,"Uruguay",'Datos - Objetivos de países'!$F$5:$F$510,AA$3,'Datos - Objetivos de países'!$K$5:$K$510,$A58)</f>
        <v/>
      </c>
      <c r="AB58" s="11">
        <f>COUNTIFS('Datos - Objetivos de países'!$B$5:$B$510,"Uruguay",'Datos - Objetivos de países'!$F$5:$F$510,AB$3,'Datos - Objetivos de países'!$J$5:$J$510,$A58)+COUNTIFS('Datos - Objetivos de países'!$B$5:$B$510,"Uruguay",'Datos - Objetivos de países'!$F$5:$F$510,AB$3,'Datos - Objetivos de países'!$K$5:$K$510,$A58)</f>
        <v/>
      </c>
      <c r="AC58" s="11">
        <f>COUNTIFS('Datos - Objetivos de países'!$B$5:$B$510,"Uruguay",'Datos - Objetivos de países'!$F$5:$F$510,AC$3,'Datos - Objetivos de países'!$J$5:$J$510,$A58)+COUNTIFS('Datos - Objetivos de países'!$B$5:$B$510,"Uruguay",'Datos - Objetivos de países'!$F$5:$F$510,AC$3,'Datos - Objetivos de países'!$K$5:$K$510,$A58)</f>
        <v/>
      </c>
      <c r="AD58" s="11">
        <f>COUNTIFS('Datos - Objetivos de países'!$B$5:$B$510,"Uruguay",'Datos - Objetivos de países'!$F$5:$F$510,AD$3,'Datos - Objetivos de países'!$J$5:$J$510,$A58)+COUNTIFS('Datos - Objetivos de países'!$B$5:$B$510,"Uruguay",'Datos - Objetivos de países'!$F$5:$F$510,AD$3,'Datos - Objetivos de países'!$K$5:$K$510,$A58)</f>
        <v/>
      </c>
      <c r="AE58" s="11">
        <f>COUNTIFS('Datos - Objetivos de países'!$B$5:$B$510,"Uruguay",'Datos - Objetivos de países'!$F$5:$F$510,AE$3,'Datos - Objetivos de países'!$J$5:$J$510,$A58)+COUNTIFS('Datos - Objetivos de países'!$B$5:$B$510,"Uruguay",'Datos - Objetivos de países'!$F$5:$F$510,AE$3,'Datos - Objetivos de países'!$K$5:$K$510,$A58)</f>
        <v/>
      </c>
      <c r="AF58" s="11">
        <f>COUNTIFS('Datos - Objetivos de países'!$B$5:$B$510,"Colombia",'Datos - Objetivos de países'!$F$5:$F$510,AF$3,'Datos - Objetivos de países'!$J$5:$J$510,$A58)+COUNTIFS('Datos - Objetivos de países'!$B$5:$B$510,"Colombia",'Datos - Objetivos de países'!$F$5:$F$510,AF$3,'Datos - Objetivos de países'!$K$5:$K$510,$A58)</f>
        <v/>
      </c>
      <c r="AG58" s="11">
        <f>COUNTIFS('Datos - Objetivos de países'!$B$5:$B$510,"Colombia",'Datos - Objetivos de países'!$F$5:$F$510,AG$3,'Datos - Objetivos de países'!$J$5:$J$510,$A58)+COUNTIFS('Datos - Objetivos de países'!$B$5:$B$510,"Colombia",'Datos - Objetivos de países'!$F$5:$F$510,AG$3,'Datos - Objetivos de países'!$K$5:$K$510,$A58)</f>
        <v/>
      </c>
      <c r="AH58" s="11">
        <f>COUNTIFS('Datos - Objetivos de países'!$B$5:$B$510,"Colombia",'Datos - Objetivos de países'!$F$5:$F$510,AH$3,'Datos - Objetivos de países'!$J$5:$J$510,$A58)+COUNTIFS('Datos - Objetivos de países'!$B$5:$B$510,"Colombia",'Datos - Objetivos de países'!$F$5:$F$510,AH$3,'Datos - Objetivos de países'!$K$5:$K$510,$A58)</f>
        <v/>
      </c>
      <c r="AI58" s="11">
        <f>COUNTIFS('Datos - Objetivos de países'!$B$5:$B$510,"Colombia",'Datos - Objetivos de países'!$F$5:$F$510,AI$3,'Datos - Objetivos de países'!$J$5:$J$510,$A58)+COUNTIFS('Datos - Objetivos de países'!$B$5:$B$510,"Colombia",'Datos - Objetivos de países'!$F$5:$F$510,AI$3,'Datos - Objetivos de países'!$K$5:$K$510,$A58)</f>
        <v/>
      </c>
      <c r="AJ58" s="11">
        <f>COUNTIFS('Datos - Objetivos de países'!$B$5:$B$510,"Colombia",'Datos - Objetivos de países'!$F$5:$F$510,AJ$3,'Datos - Objetivos de países'!$J$5:$J$510,$A58)+COUNTIFS('Datos - Objetivos de países'!$B$5:$B$510,"Colombia",'Datos - Objetivos de países'!$F$5:$F$510,AJ$3,'Datos - Objetivos de países'!$K$5:$K$510,$A58)</f>
        <v/>
      </c>
      <c r="AK58" s="11">
        <f>COUNTIFS('Datos - Objetivos de países'!$B$5:$B$510,"Colombia",'Datos - Objetivos de países'!$F$5:$F$510,AK$3,'Datos - Objetivos de países'!$J$5:$J$510,$A58)+COUNTIFS('Datos - Objetivos de países'!$B$5:$B$510,"Colombia",'Datos - Objetivos de países'!$F$5:$F$510,AK$3,'Datos - Objetivos de países'!$K$5:$K$510,$A58)</f>
        <v/>
      </c>
      <c r="AL58" s="11">
        <f>COUNTIFS('Datos - Objetivos de países'!$B$5:$B$510,"Colombia",'Datos - Objetivos de países'!$F$5:$F$510,AL$3,'Datos - Objetivos de países'!$J$5:$J$510,$A58)+COUNTIFS('Datos - Objetivos de países'!$B$5:$B$510,"Colombia",'Datos - Objetivos de países'!$F$5:$F$510,AL$3,'Datos - Objetivos de países'!$K$5:$K$510,$A58)</f>
        <v/>
      </c>
      <c r="AM58" s="11">
        <f>COUNTIFS('Datos - Objetivos de países'!$B$5:$B$510,"Colombia",'Datos - Objetivos de países'!$F$5:$F$510,AM$3,'Datos - Objetivos de países'!$J$5:$J$510,$A58)+COUNTIFS('Datos - Objetivos de países'!$B$5:$B$510,"Colombia",'Datos - Objetivos de países'!$F$5:$F$510,AM$3,'Datos - Objetivos de países'!$K$5:$K$510,$A58)</f>
        <v/>
      </c>
      <c r="AN58" s="11">
        <f>COUNTIFS('Datos - Objetivos de países'!$B$5:$B$510,"Colombia",'Datos - Objetivos de países'!$F$5:$F$510,AN$3,'Datos - Objetivos de países'!$J$5:$J$510,$A58)+COUNTIFS('Datos - Objetivos de países'!$B$5:$B$510,"Colombia",'Datos - Objetivos de países'!$F$5:$F$510,AN$3,'Datos - Objetivos de países'!$K$5:$K$510,$A58)</f>
        <v/>
      </c>
      <c r="AO58" s="11">
        <f>COUNTIFS('Datos - Objetivos de países'!$B$5:$B$510,"Singapur",'Datos - Objetivos de países'!$F$5:$F$510,AO$3,'Datos - Objetivos de países'!$J$5:$J$510,$A58)+COUNTIFS('Datos - Objetivos de países'!$B$5:$B$510,"Singapur",'Datos - Objetivos de países'!$F$5:$F$510,AO$3,'Datos - Objetivos de países'!$K$5:$K$510,$A58)</f>
        <v/>
      </c>
      <c r="AP58" s="11">
        <f>COUNTIFS('Datos - Objetivos de países'!$B$5:$B$510,"Singapur",'Datos - Objetivos de países'!$F$5:$F$510,AP$3,'Datos - Objetivos de países'!$J$5:$J$510,$A58)+COUNTIFS('Datos - Objetivos de países'!$B$5:$B$510,"Singapur",'Datos - Objetivos de países'!$F$5:$F$510,AP$3,'Datos - Objetivos de países'!$K$5:$K$510,$A58)</f>
        <v/>
      </c>
      <c r="AQ58" s="11">
        <f>COUNTIFS('Datos - Objetivos de países'!$B$5:$B$510,"Singapur",'Datos - Objetivos de países'!$F$5:$F$510,AQ$3,'Datos - Objetivos de países'!$J$5:$J$510,$A58)+COUNTIFS('Datos - Objetivos de países'!$B$5:$B$510,"Singapur",'Datos - Objetivos de países'!$F$5:$F$510,AQ$3,'Datos - Objetivos de países'!$K$5:$K$510,$A58)</f>
        <v/>
      </c>
      <c r="AR58" s="11">
        <f>COUNTIFS('Datos - Objetivos de países'!$B$5:$B$510,"Singapur",'Datos - Objetivos de países'!$F$5:$F$510,AR$3,'Datos - Objetivos de países'!$J$5:$J$510,$A58)+COUNTIFS('Datos - Objetivos de países'!$B$5:$B$510,"Singapur",'Datos - Objetivos de países'!$F$5:$F$510,AR$3,'Datos - Objetivos de países'!$K$5:$K$510,$A58)</f>
        <v/>
      </c>
      <c r="AS58" s="11">
        <f>COUNTIFS('Datos - Objetivos de países'!$B$5:$B$510,"Singapur",'Datos - Objetivos de países'!$F$5:$F$510,AS$3,'Datos - Objetivos de países'!$J$5:$J$510,$A58)+COUNTIFS('Datos - Objetivos de países'!$B$5:$B$510,"Singapur",'Datos - Objetivos de países'!$F$5:$F$510,AS$3,'Datos - Objetivos de países'!$K$5:$K$510,$A58)</f>
        <v/>
      </c>
      <c r="AT58" s="11">
        <f>COUNTIFS('Datos - Objetivos de países'!$B$5:$B$510,"Singapur",'Datos - Objetivos de países'!$F$5:$F$510,AT$3,'Datos - Objetivos de países'!$J$5:$J$510,$A58)+COUNTIFS('Datos - Objetivos de países'!$B$5:$B$510,"Singapur",'Datos - Objetivos de países'!$F$5:$F$510,AT$3,'Datos - Objetivos de países'!$K$5:$K$510,$A58)</f>
        <v/>
      </c>
      <c r="AU58" s="11">
        <f>COUNTIFS('Datos - Objetivos de países'!$B$5:$B$510,"Singapur",'Datos - Objetivos de países'!$F$5:$F$510,AU$3,'Datos - Objetivos de países'!$J$5:$J$510,$A58)+COUNTIFS('Datos - Objetivos de países'!$B$5:$B$510,"Singapur",'Datos - Objetivos de países'!$F$5:$F$510,AU$3,'Datos - Objetivos de países'!$K$5:$K$510,$A58)</f>
        <v/>
      </c>
      <c r="AV58" s="11">
        <f>COUNTIFS('Datos - Objetivos de países'!$B$5:$B$510,"Singapur",'Datos - Objetivos de países'!$F$5:$F$510,AV$3,'Datos - Objetivos de países'!$J$5:$J$510,$A58)+COUNTIFS('Datos - Objetivos de países'!$B$5:$B$510,"Singapur",'Datos - Objetivos de países'!$F$5:$F$510,AV$3,'Datos - Objetivos de países'!$K$5:$K$510,$A58)</f>
        <v/>
      </c>
      <c r="AW58" s="11">
        <f>COUNTIFS('Datos - Objetivos de países'!$B$5:$B$510,"Singapur",'Datos - Objetivos de países'!$F$5:$F$510,AW$3,'Datos - Objetivos de países'!$J$5:$J$510,$A58)+COUNTIFS('Datos - Objetivos de países'!$B$5:$B$510,"Singapur",'Datos - Objetivos de países'!$F$5:$F$510,AW$3,'Datos - Objetivos de países'!$K$5:$K$510,$A58)</f>
        <v/>
      </c>
    </row>
    <row r="59">
      <c r="A59" s="30" t="inlineStr">
        <is>
          <t>T8_27-C3.1</t>
        </is>
      </c>
      <c r="B59" s="30" t="inlineStr">
        <is>
          <t>T8_27</t>
        </is>
      </c>
      <c r="C59" s="30" t="inlineStr">
        <is>
          <t>Química</t>
        </is>
      </c>
      <c r="D59" s="30" t="inlineStr">
        <is>
          <t>Características de las reacciones químicas</t>
        </is>
      </c>
      <c r="E59" s="30">
        <f>IFERROR(MAX($L$3,INDEX($N$3:$V$3,MATCH(TRUE,INDEX(N59:V59&gt;0,0),0))),"—")</f>
        <v/>
      </c>
      <c r="F59" s="30">
        <f>IFERROR(MAX($L$3,INDEX($W$3:$AE$3,MATCH(TRUE,INDEX(W59:AE59&gt;0,0),0))),"—")</f>
        <v/>
      </c>
      <c r="G59" s="30">
        <f>IFERROR(MAX($L$3,INDEX($AF$3:$AN$3,MATCH(TRUE,INDEX(AF59:AN59&gt;0,0),0))),"—")</f>
        <v/>
      </c>
      <c r="H59" s="30">
        <f>IFERROR(MAX($L$3,INDEX($AO$3:$AW$3,MATCH(TRUE,INDEX(AO59:AW59&gt;0,0),0))),"—")</f>
        <v/>
      </c>
      <c r="I59" s="36">
        <f>IF(L59=0,"—",MEDIAN(F59:H59))</f>
        <v/>
      </c>
      <c r="J59" s="36">
        <f>IF(OR(E59="—",I59="—"),"—",E59-I59)</f>
        <v/>
      </c>
      <c r="K59" s="19">
        <f>IF(E59="—",IF(L59=0,"Nadie lo trabaja","El Salvador no llega"),IF(L59=0,"Solo El Salvador",IF(J59&gt;0,"El Salvador llega más tarde",IF(J59&lt;0,"El Salvador va adelantado","Mismo grado"))))</f>
        <v/>
      </c>
      <c r="L59" s="30">
        <f>COUNT(F59:H59)</f>
        <v/>
      </c>
      <c r="N59" s="11">
        <f>COUNTIFS('Datos - Temas'!$C$5:$C$1264,"Ciencias",'Datos - Temas'!$B$5:$B$1264,N$3,'Datos - Temas'!$K$5:$K$1264,$A59)+COUNTIFS('Datos - Temas'!$C$5:$C$1264,"Ciencias",'Datos - Temas'!$B$5:$B$1264,N$3,'Datos - Temas'!$L$5:$L$1264,$A59)</f>
        <v/>
      </c>
      <c r="O59" s="11">
        <f>COUNTIFS('Datos - Temas'!$C$5:$C$1264,"Ciencias",'Datos - Temas'!$B$5:$B$1264,O$3,'Datos - Temas'!$K$5:$K$1264,$A59)+COUNTIFS('Datos - Temas'!$C$5:$C$1264,"Ciencias",'Datos - Temas'!$B$5:$B$1264,O$3,'Datos - Temas'!$L$5:$L$1264,$A59)</f>
        <v/>
      </c>
      <c r="P59" s="11">
        <f>COUNTIFS('Datos - Temas'!$C$5:$C$1264,"Ciencias",'Datos - Temas'!$B$5:$B$1264,P$3,'Datos - Temas'!$K$5:$K$1264,$A59)+COUNTIFS('Datos - Temas'!$C$5:$C$1264,"Ciencias",'Datos - Temas'!$B$5:$B$1264,P$3,'Datos - Temas'!$L$5:$L$1264,$A59)</f>
        <v/>
      </c>
      <c r="Q59" s="11">
        <f>COUNTIFS('Datos - Temas'!$C$5:$C$1264,"Ciencias",'Datos - Temas'!$B$5:$B$1264,Q$3,'Datos - Temas'!$K$5:$K$1264,$A59)+COUNTIFS('Datos - Temas'!$C$5:$C$1264,"Ciencias",'Datos - Temas'!$B$5:$B$1264,Q$3,'Datos - Temas'!$L$5:$L$1264,$A59)</f>
        <v/>
      </c>
      <c r="R59" s="11">
        <f>COUNTIFS('Datos - Temas'!$C$5:$C$1264,"Ciencias",'Datos - Temas'!$B$5:$B$1264,R$3,'Datos - Temas'!$K$5:$K$1264,$A59)+COUNTIFS('Datos - Temas'!$C$5:$C$1264,"Ciencias",'Datos - Temas'!$B$5:$B$1264,R$3,'Datos - Temas'!$L$5:$L$1264,$A59)</f>
        <v/>
      </c>
      <c r="S59" s="11">
        <f>COUNTIFS('Datos - Temas'!$C$5:$C$1264,"Ciencias",'Datos - Temas'!$B$5:$B$1264,S$3,'Datos - Temas'!$K$5:$K$1264,$A59)+COUNTIFS('Datos - Temas'!$C$5:$C$1264,"Ciencias",'Datos - Temas'!$B$5:$B$1264,S$3,'Datos - Temas'!$L$5:$L$1264,$A59)</f>
        <v/>
      </c>
      <c r="T59" s="11">
        <f>COUNTIFS('Datos - Temas'!$C$5:$C$1264,"Ciencias",'Datos - Temas'!$B$5:$B$1264,T$3,'Datos - Temas'!$K$5:$K$1264,$A59)+COUNTIFS('Datos - Temas'!$C$5:$C$1264,"Ciencias",'Datos - Temas'!$B$5:$B$1264,T$3,'Datos - Temas'!$L$5:$L$1264,$A59)</f>
        <v/>
      </c>
      <c r="U59" s="11">
        <f>COUNTIFS('Datos - Temas'!$C$5:$C$1264,"Ciencias",'Datos - Temas'!$B$5:$B$1264,U$3,'Datos - Temas'!$K$5:$K$1264,$A59)+COUNTIFS('Datos - Temas'!$C$5:$C$1264,"Ciencias",'Datos - Temas'!$B$5:$B$1264,U$3,'Datos - Temas'!$L$5:$L$1264,$A59)</f>
        <v/>
      </c>
      <c r="V59" s="11">
        <f>COUNTIFS('Datos - Temas'!$C$5:$C$1264,"Ciencias",'Datos - Temas'!$B$5:$B$1264,V$3,'Datos - Temas'!$K$5:$K$1264,$A59)+COUNTIFS('Datos - Temas'!$C$5:$C$1264,"Ciencias",'Datos - Temas'!$B$5:$B$1264,V$3,'Datos - Temas'!$L$5:$L$1264,$A59)</f>
        <v/>
      </c>
      <c r="W59" s="11">
        <f>COUNTIFS('Datos - Objetivos de países'!$B$5:$B$510,"Uruguay",'Datos - Objetivos de países'!$F$5:$F$510,W$3,'Datos - Objetivos de países'!$J$5:$J$510,$A59)+COUNTIFS('Datos - Objetivos de países'!$B$5:$B$510,"Uruguay",'Datos - Objetivos de países'!$F$5:$F$510,W$3,'Datos - Objetivos de países'!$K$5:$K$510,$A59)</f>
        <v/>
      </c>
      <c r="X59" s="11">
        <f>COUNTIFS('Datos - Objetivos de países'!$B$5:$B$510,"Uruguay",'Datos - Objetivos de países'!$F$5:$F$510,X$3,'Datos - Objetivos de países'!$J$5:$J$510,$A59)+COUNTIFS('Datos - Objetivos de países'!$B$5:$B$510,"Uruguay",'Datos - Objetivos de países'!$F$5:$F$510,X$3,'Datos - Objetivos de países'!$K$5:$K$510,$A59)</f>
        <v/>
      </c>
      <c r="Y59" s="11">
        <f>COUNTIFS('Datos - Objetivos de países'!$B$5:$B$510,"Uruguay",'Datos - Objetivos de países'!$F$5:$F$510,Y$3,'Datos - Objetivos de países'!$J$5:$J$510,$A59)+COUNTIFS('Datos - Objetivos de países'!$B$5:$B$510,"Uruguay",'Datos - Objetivos de países'!$F$5:$F$510,Y$3,'Datos - Objetivos de países'!$K$5:$K$510,$A59)</f>
        <v/>
      </c>
      <c r="Z59" s="11">
        <f>COUNTIFS('Datos - Objetivos de países'!$B$5:$B$510,"Uruguay",'Datos - Objetivos de países'!$F$5:$F$510,Z$3,'Datos - Objetivos de países'!$J$5:$J$510,$A59)+COUNTIFS('Datos - Objetivos de países'!$B$5:$B$510,"Uruguay",'Datos - Objetivos de países'!$F$5:$F$510,Z$3,'Datos - Objetivos de países'!$K$5:$K$510,$A59)</f>
        <v/>
      </c>
      <c r="AA59" s="11">
        <f>COUNTIFS('Datos - Objetivos de países'!$B$5:$B$510,"Uruguay",'Datos - Objetivos de países'!$F$5:$F$510,AA$3,'Datos - Objetivos de países'!$J$5:$J$510,$A59)+COUNTIFS('Datos - Objetivos de países'!$B$5:$B$510,"Uruguay",'Datos - Objetivos de países'!$F$5:$F$510,AA$3,'Datos - Objetivos de países'!$K$5:$K$510,$A59)</f>
        <v/>
      </c>
      <c r="AB59" s="11">
        <f>COUNTIFS('Datos - Objetivos de países'!$B$5:$B$510,"Uruguay",'Datos - Objetivos de países'!$F$5:$F$510,AB$3,'Datos - Objetivos de países'!$J$5:$J$510,$A59)+COUNTIFS('Datos - Objetivos de países'!$B$5:$B$510,"Uruguay",'Datos - Objetivos de países'!$F$5:$F$510,AB$3,'Datos - Objetivos de países'!$K$5:$K$510,$A59)</f>
        <v/>
      </c>
      <c r="AC59" s="11">
        <f>COUNTIFS('Datos - Objetivos de países'!$B$5:$B$510,"Uruguay",'Datos - Objetivos de países'!$F$5:$F$510,AC$3,'Datos - Objetivos de países'!$J$5:$J$510,$A59)+COUNTIFS('Datos - Objetivos de países'!$B$5:$B$510,"Uruguay",'Datos - Objetivos de países'!$F$5:$F$510,AC$3,'Datos - Objetivos de países'!$K$5:$K$510,$A59)</f>
        <v/>
      </c>
      <c r="AD59" s="11">
        <f>COUNTIFS('Datos - Objetivos de países'!$B$5:$B$510,"Uruguay",'Datos - Objetivos de países'!$F$5:$F$510,AD$3,'Datos - Objetivos de países'!$J$5:$J$510,$A59)+COUNTIFS('Datos - Objetivos de países'!$B$5:$B$510,"Uruguay",'Datos - Objetivos de países'!$F$5:$F$510,AD$3,'Datos - Objetivos de países'!$K$5:$K$510,$A59)</f>
        <v/>
      </c>
      <c r="AE59" s="11">
        <f>COUNTIFS('Datos - Objetivos de países'!$B$5:$B$510,"Uruguay",'Datos - Objetivos de países'!$F$5:$F$510,AE$3,'Datos - Objetivos de países'!$J$5:$J$510,$A59)+COUNTIFS('Datos - Objetivos de países'!$B$5:$B$510,"Uruguay",'Datos - Objetivos de países'!$F$5:$F$510,AE$3,'Datos - Objetivos de países'!$K$5:$K$510,$A59)</f>
        <v/>
      </c>
      <c r="AF59" s="11">
        <f>COUNTIFS('Datos - Objetivos de países'!$B$5:$B$510,"Colombia",'Datos - Objetivos de países'!$F$5:$F$510,AF$3,'Datos - Objetivos de países'!$J$5:$J$510,$A59)+COUNTIFS('Datos - Objetivos de países'!$B$5:$B$510,"Colombia",'Datos - Objetivos de países'!$F$5:$F$510,AF$3,'Datos - Objetivos de países'!$K$5:$K$510,$A59)</f>
        <v/>
      </c>
      <c r="AG59" s="11">
        <f>COUNTIFS('Datos - Objetivos de países'!$B$5:$B$510,"Colombia",'Datos - Objetivos de países'!$F$5:$F$510,AG$3,'Datos - Objetivos de países'!$J$5:$J$510,$A59)+COUNTIFS('Datos - Objetivos de países'!$B$5:$B$510,"Colombia",'Datos - Objetivos de países'!$F$5:$F$510,AG$3,'Datos - Objetivos de países'!$K$5:$K$510,$A59)</f>
        <v/>
      </c>
      <c r="AH59" s="11">
        <f>COUNTIFS('Datos - Objetivos de países'!$B$5:$B$510,"Colombia",'Datos - Objetivos de países'!$F$5:$F$510,AH$3,'Datos - Objetivos de países'!$J$5:$J$510,$A59)+COUNTIFS('Datos - Objetivos de países'!$B$5:$B$510,"Colombia",'Datos - Objetivos de países'!$F$5:$F$510,AH$3,'Datos - Objetivos de países'!$K$5:$K$510,$A59)</f>
        <v/>
      </c>
      <c r="AI59" s="11">
        <f>COUNTIFS('Datos - Objetivos de países'!$B$5:$B$510,"Colombia",'Datos - Objetivos de países'!$F$5:$F$510,AI$3,'Datos - Objetivos de países'!$J$5:$J$510,$A59)+COUNTIFS('Datos - Objetivos de países'!$B$5:$B$510,"Colombia",'Datos - Objetivos de países'!$F$5:$F$510,AI$3,'Datos - Objetivos de países'!$K$5:$K$510,$A59)</f>
        <v/>
      </c>
      <c r="AJ59" s="11">
        <f>COUNTIFS('Datos - Objetivos de países'!$B$5:$B$510,"Colombia",'Datos - Objetivos de países'!$F$5:$F$510,AJ$3,'Datos - Objetivos de países'!$J$5:$J$510,$A59)+COUNTIFS('Datos - Objetivos de países'!$B$5:$B$510,"Colombia",'Datos - Objetivos de países'!$F$5:$F$510,AJ$3,'Datos - Objetivos de países'!$K$5:$K$510,$A59)</f>
        <v/>
      </c>
      <c r="AK59" s="11">
        <f>COUNTIFS('Datos - Objetivos de países'!$B$5:$B$510,"Colombia",'Datos - Objetivos de países'!$F$5:$F$510,AK$3,'Datos - Objetivos de países'!$J$5:$J$510,$A59)+COUNTIFS('Datos - Objetivos de países'!$B$5:$B$510,"Colombia",'Datos - Objetivos de países'!$F$5:$F$510,AK$3,'Datos - Objetivos de países'!$K$5:$K$510,$A59)</f>
        <v/>
      </c>
      <c r="AL59" s="11">
        <f>COUNTIFS('Datos - Objetivos de países'!$B$5:$B$510,"Colombia",'Datos - Objetivos de países'!$F$5:$F$510,AL$3,'Datos - Objetivos de países'!$J$5:$J$510,$A59)+COUNTIFS('Datos - Objetivos de países'!$B$5:$B$510,"Colombia",'Datos - Objetivos de países'!$F$5:$F$510,AL$3,'Datos - Objetivos de países'!$K$5:$K$510,$A59)</f>
        <v/>
      </c>
      <c r="AM59" s="11">
        <f>COUNTIFS('Datos - Objetivos de países'!$B$5:$B$510,"Colombia",'Datos - Objetivos de países'!$F$5:$F$510,AM$3,'Datos - Objetivos de países'!$J$5:$J$510,$A59)+COUNTIFS('Datos - Objetivos de países'!$B$5:$B$510,"Colombia",'Datos - Objetivos de países'!$F$5:$F$510,AM$3,'Datos - Objetivos de países'!$K$5:$K$510,$A59)</f>
        <v/>
      </c>
      <c r="AN59" s="11">
        <f>COUNTIFS('Datos - Objetivos de países'!$B$5:$B$510,"Colombia",'Datos - Objetivos de países'!$F$5:$F$510,AN$3,'Datos - Objetivos de países'!$J$5:$J$510,$A59)+COUNTIFS('Datos - Objetivos de países'!$B$5:$B$510,"Colombia",'Datos - Objetivos de países'!$F$5:$F$510,AN$3,'Datos - Objetivos de países'!$K$5:$K$510,$A59)</f>
        <v/>
      </c>
      <c r="AO59" s="11">
        <f>COUNTIFS('Datos - Objetivos de países'!$B$5:$B$510,"Singapur",'Datos - Objetivos de países'!$F$5:$F$510,AO$3,'Datos - Objetivos de países'!$J$5:$J$510,$A59)+COUNTIFS('Datos - Objetivos de países'!$B$5:$B$510,"Singapur",'Datos - Objetivos de países'!$F$5:$F$510,AO$3,'Datos - Objetivos de países'!$K$5:$K$510,$A59)</f>
        <v/>
      </c>
      <c r="AP59" s="11">
        <f>COUNTIFS('Datos - Objetivos de países'!$B$5:$B$510,"Singapur",'Datos - Objetivos de países'!$F$5:$F$510,AP$3,'Datos - Objetivos de países'!$J$5:$J$510,$A59)+COUNTIFS('Datos - Objetivos de países'!$B$5:$B$510,"Singapur",'Datos - Objetivos de países'!$F$5:$F$510,AP$3,'Datos - Objetivos de países'!$K$5:$K$510,$A59)</f>
        <v/>
      </c>
      <c r="AQ59" s="11">
        <f>COUNTIFS('Datos - Objetivos de países'!$B$5:$B$510,"Singapur",'Datos - Objetivos de países'!$F$5:$F$510,AQ$3,'Datos - Objetivos de países'!$J$5:$J$510,$A59)+COUNTIFS('Datos - Objetivos de países'!$B$5:$B$510,"Singapur",'Datos - Objetivos de países'!$F$5:$F$510,AQ$3,'Datos - Objetivos de países'!$K$5:$K$510,$A59)</f>
        <v/>
      </c>
      <c r="AR59" s="11">
        <f>COUNTIFS('Datos - Objetivos de países'!$B$5:$B$510,"Singapur",'Datos - Objetivos de países'!$F$5:$F$510,AR$3,'Datos - Objetivos de países'!$J$5:$J$510,$A59)+COUNTIFS('Datos - Objetivos de países'!$B$5:$B$510,"Singapur",'Datos - Objetivos de países'!$F$5:$F$510,AR$3,'Datos - Objetivos de países'!$K$5:$K$510,$A59)</f>
        <v/>
      </c>
      <c r="AS59" s="11">
        <f>COUNTIFS('Datos - Objetivos de países'!$B$5:$B$510,"Singapur",'Datos - Objetivos de países'!$F$5:$F$510,AS$3,'Datos - Objetivos de países'!$J$5:$J$510,$A59)+COUNTIFS('Datos - Objetivos de países'!$B$5:$B$510,"Singapur",'Datos - Objetivos de países'!$F$5:$F$510,AS$3,'Datos - Objetivos de países'!$K$5:$K$510,$A59)</f>
        <v/>
      </c>
      <c r="AT59" s="11">
        <f>COUNTIFS('Datos - Objetivos de países'!$B$5:$B$510,"Singapur",'Datos - Objetivos de países'!$F$5:$F$510,AT$3,'Datos - Objetivos de países'!$J$5:$J$510,$A59)+COUNTIFS('Datos - Objetivos de países'!$B$5:$B$510,"Singapur",'Datos - Objetivos de países'!$F$5:$F$510,AT$3,'Datos - Objetivos de países'!$K$5:$K$510,$A59)</f>
        <v/>
      </c>
      <c r="AU59" s="11">
        <f>COUNTIFS('Datos - Objetivos de países'!$B$5:$B$510,"Singapur",'Datos - Objetivos de países'!$F$5:$F$510,AU$3,'Datos - Objetivos de países'!$J$5:$J$510,$A59)+COUNTIFS('Datos - Objetivos de países'!$B$5:$B$510,"Singapur",'Datos - Objetivos de países'!$F$5:$F$510,AU$3,'Datos - Objetivos de países'!$K$5:$K$510,$A59)</f>
        <v/>
      </c>
      <c r="AV59" s="11">
        <f>COUNTIFS('Datos - Objetivos de países'!$B$5:$B$510,"Singapur",'Datos - Objetivos de países'!$F$5:$F$510,AV$3,'Datos - Objetivos de países'!$J$5:$J$510,$A59)+COUNTIFS('Datos - Objetivos de países'!$B$5:$B$510,"Singapur",'Datos - Objetivos de países'!$F$5:$F$510,AV$3,'Datos - Objetivos de países'!$K$5:$K$510,$A59)</f>
        <v/>
      </c>
      <c r="AW59" s="11">
        <f>COUNTIFS('Datos - Objetivos de países'!$B$5:$B$510,"Singapur",'Datos - Objetivos de países'!$F$5:$F$510,AW$3,'Datos - Objetivos de países'!$J$5:$J$510,$A59)+COUNTIFS('Datos - Objetivos de países'!$B$5:$B$510,"Singapur",'Datos - Objetivos de países'!$F$5:$F$510,AW$3,'Datos - Objetivos de países'!$K$5:$K$510,$A59)</f>
        <v/>
      </c>
    </row>
    <row r="60">
      <c r="A60" s="30" t="inlineStr">
        <is>
          <t>T8_27-C3.2</t>
        </is>
      </c>
      <c r="B60" s="30" t="inlineStr">
        <is>
          <t>T8_27</t>
        </is>
      </c>
      <c r="C60" s="30" t="inlineStr">
        <is>
          <t>Química</t>
        </is>
      </c>
      <c r="D60" s="30" t="inlineStr">
        <is>
          <t>Materia y energía en las reacciones químicas</t>
        </is>
      </c>
      <c r="E60" s="30">
        <f>IFERROR(MAX($L$3,INDEX($N$3:$V$3,MATCH(TRUE,INDEX(N60:V60&gt;0,0),0))),"—")</f>
        <v/>
      </c>
      <c r="F60" s="30">
        <f>IFERROR(MAX($L$3,INDEX($W$3:$AE$3,MATCH(TRUE,INDEX(W60:AE60&gt;0,0),0))),"—")</f>
        <v/>
      </c>
      <c r="G60" s="30">
        <f>IFERROR(MAX($L$3,INDEX($AF$3:$AN$3,MATCH(TRUE,INDEX(AF60:AN60&gt;0,0),0))),"—")</f>
        <v/>
      </c>
      <c r="H60" s="30">
        <f>IFERROR(MAX($L$3,INDEX($AO$3:$AW$3,MATCH(TRUE,INDEX(AO60:AW60&gt;0,0),0))),"—")</f>
        <v/>
      </c>
      <c r="I60" s="36">
        <f>IF(L60=0,"—",MEDIAN(F60:H60))</f>
        <v/>
      </c>
      <c r="J60" s="36">
        <f>IF(OR(E60="—",I60="—"),"—",E60-I60)</f>
        <v/>
      </c>
      <c r="K60" s="19">
        <f>IF(E60="—",IF(L60=0,"Nadie lo trabaja","El Salvador no llega"),IF(L60=0,"Solo El Salvador",IF(J60&gt;0,"El Salvador llega más tarde",IF(J60&lt;0,"El Salvador va adelantado","Mismo grado"))))</f>
        <v/>
      </c>
      <c r="L60" s="30">
        <f>COUNT(F60:H60)</f>
        <v/>
      </c>
      <c r="N60" s="11">
        <f>COUNTIFS('Datos - Temas'!$C$5:$C$1264,"Ciencias",'Datos - Temas'!$B$5:$B$1264,N$3,'Datos - Temas'!$K$5:$K$1264,$A60)+COUNTIFS('Datos - Temas'!$C$5:$C$1264,"Ciencias",'Datos - Temas'!$B$5:$B$1264,N$3,'Datos - Temas'!$L$5:$L$1264,$A60)</f>
        <v/>
      </c>
      <c r="O60" s="11">
        <f>COUNTIFS('Datos - Temas'!$C$5:$C$1264,"Ciencias",'Datos - Temas'!$B$5:$B$1264,O$3,'Datos - Temas'!$K$5:$K$1264,$A60)+COUNTIFS('Datos - Temas'!$C$5:$C$1264,"Ciencias",'Datos - Temas'!$B$5:$B$1264,O$3,'Datos - Temas'!$L$5:$L$1264,$A60)</f>
        <v/>
      </c>
      <c r="P60" s="11">
        <f>COUNTIFS('Datos - Temas'!$C$5:$C$1264,"Ciencias",'Datos - Temas'!$B$5:$B$1264,P$3,'Datos - Temas'!$K$5:$K$1264,$A60)+COUNTIFS('Datos - Temas'!$C$5:$C$1264,"Ciencias",'Datos - Temas'!$B$5:$B$1264,P$3,'Datos - Temas'!$L$5:$L$1264,$A60)</f>
        <v/>
      </c>
      <c r="Q60" s="11">
        <f>COUNTIFS('Datos - Temas'!$C$5:$C$1264,"Ciencias",'Datos - Temas'!$B$5:$B$1264,Q$3,'Datos - Temas'!$K$5:$K$1264,$A60)+COUNTIFS('Datos - Temas'!$C$5:$C$1264,"Ciencias",'Datos - Temas'!$B$5:$B$1264,Q$3,'Datos - Temas'!$L$5:$L$1264,$A60)</f>
        <v/>
      </c>
      <c r="R60" s="11">
        <f>COUNTIFS('Datos - Temas'!$C$5:$C$1264,"Ciencias",'Datos - Temas'!$B$5:$B$1264,R$3,'Datos - Temas'!$K$5:$K$1264,$A60)+COUNTIFS('Datos - Temas'!$C$5:$C$1264,"Ciencias",'Datos - Temas'!$B$5:$B$1264,R$3,'Datos - Temas'!$L$5:$L$1264,$A60)</f>
        <v/>
      </c>
      <c r="S60" s="11">
        <f>COUNTIFS('Datos - Temas'!$C$5:$C$1264,"Ciencias",'Datos - Temas'!$B$5:$B$1264,S$3,'Datos - Temas'!$K$5:$K$1264,$A60)+COUNTIFS('Datos - Temas'!$C$5:$C$1264,"Ciencias",'Datos - Temas'!$B$5:$B$1264,S$3,'Datos - Temas'!$L$5:$L$1264,$A60)</f>
        <v/>
      </c>
      <c r="T60" s="11">
        <f>COUNTIFS('Datos - Temas'!$C$5:$C$1264,"Ciencias",'Datos - Temas'!$B$5:$B$1264,T$3,'Datos - Temas'!$K$5:$K$1264,$A60)+COUNTIFS('Datos - Temas'!$C$5:$C$1264,"Ciencias",'Datos - Temas'!$B$5:$B$1264,T$3,'Datos - Temas'!$L$5:$L$1264,$A60)</f>
        <v/>
      </c>
      <c r="U60" s="11">
        <f>COUNTIFS('Datos - Temas'!$C$5:$C$1264,"Ciencias",'Datos - Temas'!$B$5:$B$1264,U$3,'Datos - Temas'!$K$5:$K$1264,$A60)+COUNTIFS('Datos - Temas'!$C$5:$C$1264,"Ciencias",'Datos - Temas'!$B$5:$B$1264,U$3,'Datos - Temas'!$L$5:$L$1264,$A60)</f>
        <v/>
      </c>
      <c r="V60" s="11">
        <f>COUNTIFS('Datos - Temas'!$C$5:$C$1264,"Ciencias",'Datos - Temas'!$B$5:$B$1264,V$3,'Datos - Temas'!$K$5:$K$1264,$A60)+COUNTIFS('Datos - Temas'!$C$5:$C$1264,"Ciencias",'Datos - Temas'!$B$5:$B$1264,V$3,'Datos - Temas'!$L$5:$L$1264,$A60)</f>
        <v/>
      </c>
      <c r="W60" s="11">
        <f>COUNTIFS('Datos - Objetivos de países'!$B$5:$B$510,"Uruguay",'Datos - Objetivos de países'!$F$5:$F$510,W$3,'Datos - Objetivos de países'!$J$5:$J$510,$A60)+COUNTIFS('Datos - Objetivos de países'!$B$5:$B$510,"Uruguay",'Datos - Objetivos de países'!$F$5:$F$510,W$3,'Datos - Objetivos de países'!$K$5:$K$510,$A60)</f>
        <v/>
      </c>
      <c r="X60" s="11">
        <f>COUNTIFS('Datos - Objetivos de países'!$B$5:$B$510,"Uruguay",'Datos - Objetivos de países'!$F$5:$F$510,X$3,'Datos - Objetivos de países'!$J$5:$J$510,$A60)+COUNTIFS('Datos - Objetivos de países'!$B$5:$B$510,"Uruguay",'Datos - Objetivos de países'!$F$5:$F$510,X$3,'Datos - Objetivos de países'!$K$5:$K$510,$A60)</f>
        <v/>
      </c>
      <c r="Y60" s="11">
        <f>COUNTIFS('Datos - Objetivos de países'!$B$5:$B$510,"Uruguay",'Datos - Objetivos de países'!$F$5:$F$510,Y$3,'Datos - Objetivos de países'!$J$5:$J$510,$A60)+COUNTIFS('Datos - Objetivos de países'!$B$5:$B$510,"Uruguay",'Datos - Objetivos de países'!$F$5:$F$510,Y$3,'Datos - Objetivos de países'!$K$5:$K$510,$A60)</f>
        <v/>
      </c>
      <c r="Z60" s="11">
        <f>COUNTIFS('Datos - Objetivos de países'!$B$5:$B$510,"Uruguay",'Datos - Objetivos de países'!$F$5:$F$510,Z$3,'Datos - Objetivos de países'!$J$5:$J$510,$A60)+COUNTIFS('Datos - Objetivos de países'!$B$5:$B$510,"Uruguay",'Datos - Objetivos de países'!$F$5:$F$510,Z$3,'Datos - Objetivos de países'!$K$5:$K$510,$A60)</f>
        <v/>
      </c>
      <c r="AA60" s="11">
        <f>COUNTIFS('Datos - Objetivos de países'!$B$5:$B$510,"Uruguay",'Datos - Objetivos de países'!$F$5:$F$510,AA$3,'Datos - Objetivos de países'!$J$5:$J$510,$A60)+COUNTIFS('Datos - Objetivos de países'!$B$5:$B$510,"Uruguay",'Datos - Objetivos de países'!$F$5:$F$510,AA$3,'Datos - Objetivos de países'!$K$5:$K$510,$A60)</f>
        <v/>
      </c>
      <c r="AB60" s="11">
        <f>COUNTIFS('Datos - Objetivos de países'!$B$5:$B$510,"Uruguay",'Datos - Objetivos de países'!$F$5:$F$510,AB$3,'Datos - Objetivos de países'!$J$5:$J$510,$A60)+COUNTIFS('Datos - Objetivos de países'!$B$5:$B$510,"Uruguay",'Datos - Objetivos de países'!$F$5:$F$510,AB$3,'Datos - Objetivos de países'!$K$5:$K$510,$A60)</f>
        <v/>
      </c>
      <c r="AC60" s="11">
        <f>COUNTIFS('Datos - Objetivos de países'!$B$5:$B$510,"Uruguay",'Datos - Objetivos de países'!$F$5:$F$510,AC$3,'Datos - Objetivos de países'!$J$5:$J$510,$A60)+COUNTIFS('Datos - Objetivos de países'!$B$5:$B$510,"Uruguay",'Datos - Objetivos de países'!$F$5:$F$510,AC$3,'Datos - Objetivos de países'!$K$5:$K$510,$A60)</f>
        <v/>
      </c>
      <c r="AD60" s="11">
        <f>COUNTIFS('Datos - Objetivos de países'!$B$5:$B$510,"Uruguay",'Datos - Objetivos de países'!$F$5:$F$510,AD$3,'Datos - Objetivos de países'!$J$5:$J$510,$A60)+COUNTIFS('Datos - Objetivos de países'!$B$5:$B$510,"Uruguay",'Datos - Objetivos de países'!$F$5:$F$510,AD$3,'Datos - Objetivos de países'!$K$5:$K$510,$A60)</f>
        <v/>
      </c>
      <c r="AE60" s="11">
        <f>COUNTIFS('Datos - Objetivos de países'!$B$5:$B$510,"Uruguay",'Datos - Objetivos de países'!$F$5:$F$510,AE$3,'Datos - Objetivos de países'!$J$5:$J$510,$A60)+COUNTIFS('Datos - Objetivos de países'!$B$5:$B$510,"Uruguay",'Datos - Objetivos de países'!$F$5:$F$510,AE$3,'Datos - Objetivos de países'!$K$5:$K$510,$A60)</f>
        <v/>
      </c>
      <c r="AF60" s="11">
        <f>COUNTIFS('Datos - Objetivos de países'!$B$5:$B$510,"Colombia",'Datos - Objetivos de países'!$F$5:$F$510,AF$3,'Datos - Objetivos de países'!$J$5:$J$510,$A60)+COUNTIFS('Datos - Objetivos de países'!$B$5:$B$510,"Colombia",'Datos - Objetivos de países'!$F$5:$F$510,AF$3,'Datos - Objetivos de países'!$K$5:$K$510,$A60)</f>
        <v/>
      </c>
      <c r="AG60" s="11">
        <f>COUNTIFS('Datos - Objetivos de países'!$B$5:$B$510,"Colombia",'Datos - Objetivos de países'!$F$5:$F$510,AG$3,'Datos - Objetivos de países'!$J$5:$J$510,$A60)+COUNTIFS('Datos - Objetivos de países'!$B$5:$B$510,"Colombia",'Datos - Objetivos de países'!$F$5:$F$510,AG$3,'Datos - Objetivos de países'!$K$5:$K$510,$A60)</f>
        <v/>
      </c>
      <c r="AH60" s="11">
        <f>COUNTIFS('Datos - Objetivos de países'!$B$5:$B$510,"Colombia",'Datos - Objetivos de países'!$F$5:$F$510,AH$3,'Datos - Objetivos de países'!$J$5:$J$510,$A60)+COUNTIFS('Datos - Objetivos de países'!$B$5:$B$510,"Colombia",'Datos - Objetivos de países'!$F$5:$F$510,AH$3,'Datos - Objetivos de países'!$K$5:$K$510,$A60)</f>
        <v/>
      </c>
      <c r="AI60" s="11">
        <f>COUNTIFS('Datos - Objetivos de países'!$B$5:$B$510,"Colombia",'Datos - Objetivos de países'!$F$5:$F$510,AI$3,'Datos - Objetivos de países'!$J$5:$J$510,$A60)+COUNTIFS('Datos - Objetivos de países'!$B$5:$B$510,"Colombia",'Datos - Objetivos de países'!$F$5:$F$510,AI$3,'Datos - Objetivos de países'!$K$5:$K$510,$A60)</f>
        <v/>
      </c>
      <c r="AJ60" s="11">
        <f>COUNTIFS('Datos - Objetivos de países'!$B$5:$B$510,"Colombia",'Datos - Objetivos de países'!$F$5:$F$510,AJ$3,'Datos - Objetivos de países'!$J$5:$J$510,$A60)+COUNTIFS('Datos - Objetivos de países'!$B$5:$B$510,"Colombia",'Datos - Objetivos de países'!$F$5:$F$510,AJ$3,'Datos - Objetivos de países'!$K$5:$K$510,$A60)</f>
        <v/>
      </c>
      <c r="AK60" s="11">
        <f>COUNTIFS('Datos - Objetivos de países'!$B$5:$B$510,"Colombia",'Datos - Objetivos de países'!$F$5:$F$510,AK$3,'Datos - Objetivos de países'!$J$5:$J$510,$A60)+COUNTIFS('Datos - Objetivos de países'!$B$5:$B$510,"Colombia",'Datos - Objetivos de países'!$F$5:$F$510,AK$3,'Datos - Objetivos de países'!$K$5:$K$510,$A60)</f>
        <v/>
      </c>
      <c r="AL60" s="11">
        <f>COUNTIFS('Datos - Objetivos de países'!$B$5:$B$510,"Colombia",'Datos - Objetivos de países'!$F$5:$F$510,AL$3,'Datos - Objetivos de países'!$J$5:$J$510,$A60)+COUNTIFS('Datos - Objetivos de países'!$B$5:$B$510,"Colombia",'Datos - Objetivos de países'!$F$5:$F$510,AL$3,'Datos - Objetivos de países'!$K$5:$K$510,$A60)</f>
        <v/>
      </c>
      <c r="AM60" s="11">
        <f>COUNTIFS('Datos - Objetivos de países'!$B$5:$B$510,"Colombia",'Datos - Objetivos de países'!$F$5:$F$510,AM$3,'Datos - Objetivos de países'!$J$5:$J$510,$A60)+COUNTIFS('Datos - Objetivos de países'!$B$5:$B$510,"Colombia",'Datos - Objetivos de países'!$F$5:$F$510,AM$3,'Datos - Objetivos de países'!$K$5:$K$510,$A60)</f>
        <v/>
      </c>
      <c r="AN60" s="11">
        <f>COUNTIFS('Datos - Objetivos de países'!$B$5:$B$510,"Colombia",'Datos - Objetivos de países'!$F$5:$F$510,AN$3,'Datos - Objetivos de países'!$J$5:$J$510,$A60)+COUNTIFS('Datos - Objetivos de países'!$B$5:$B$510,"Colombia",'Datos - Objetivos de países'!$F$5:$F$510,AN$3,'Datos - Objetivos de países'!$K$5:$K$510,$A60)</f>
        <v/>
      </c>
      <c r="AO60" s="11">
        <f>COUNTIFS('Datos - Objetivos de países'!$B$5:$B$510,"Singapur",'Datos - Objetivos de países'!$F$5:$F$510,AO$3,'Datos - Objetivos de países'!$J$5:$J$510,$A60)+COUNTIFS('Datos - Objetivos de países'!$B$5:$B$510,"Singapur",'Datos - Objetivos de países'!$F$5:$F$510,AO$3,'Datos - Objetivos de países'!$K$5:$K$510,$A60)</f>
        <v/>
      </c>
      <c r="AP60" s="11">
        <f>COUNTIFS('Datos - Objetivos de países'!$B$5:$B$510,"Singapur",'Datos - Objetivos de países'!$F$5:$F$510,AP$3,'Datos - Objetivos de países'!$J$5:$J$510,$A60)+COUNTIFS('Datos - Objetivos de países'!$B$5:$B$510,"Singapur",'Datos - Objetivos de países'!$F$5:$F$510,AP$3,'Datos - Objetivos de países'!$K$5:$K$510,$A60)</f>
        <v/>
      </c>
      <c r="AQ60" s="11">
        <f>COUNTIFS('Datos - Objetivos de países'!$B$5:$B$510,"Singapur",'Datos - Objetivos de países'!$F$5:$F$510,AQ$3,'Datos - Objetivos de países'!$J$5:$J$510,$A60)+COUNTIFS('Datos - Objetivos de países'!$B$5:$B$510,"Singapur",'Datos - Objetivos de países'!$F$5:$F$510,AQ$3,'Datos - Objetivos de países'!$K$5:$K$510,$A60)</f>
        <v/>
      </c>
      <c r="AR60" s="11">
        <f>COUNTIFS('Datos - Objetivos de países'!$B$5:$B$510,"Singapur",'Datos - Objetivos de países'!$F$5:$F$510,AR$3,'Datos - Objetivos de países'!$J$5:$J$510,$A60)+COUNTIFS('Datos - Objetivos de países'!$B$5:$B$510,"Singapur",'Datos - Objetivos de países'!$F$5:$F$510,AR$3,'Datos - Objetivos de países'!$K$5:$K$510,$A60)</f>
        <v/>
      </c>
      <c r="AS60" s="11">
        <f>COUNTIFS('Datos - Objetivos de países'!$B$5:$B$510,"Singapur",'Datos - Objetivos de países'!$F$5:$F$510,AS$3,'Datos - Objetivos de países'!$J$5:$J$510,$A60)+COUNTIFS('Datos - Objetivos de países'!$B$5:$B$510,"Singapur",'Datos - Objetivos de países'!$F$5:$F$510,AS$3,'Datos - Objetivos de países'!$K$5:$K$510,$A60)</f>
        <v/>
      </c>
      <c r="AT60" s="11">
        <f>COUNTIFS('Datos - Objetivos de países'!$B$5:$B$510,"Singapur",'Datos - Objetivos de países'!$F$5:$F$510,AT$3,'Datos - Objetivos de países'!$J$5:$J$510,$A60)+COUNTIFS('Datos - Objetivos de países'!$B$5:$B$510,"Singapur",'Datos - Objetivos de países'!$F$5:$F$510,AT$3,'Datos - Objetivos de países'!$K$5:$K$510,$A60)</f>
        <v/>
      </c>
      <c r="AU60" s="11">
        <f>COUNTIFS('Datos - Objetivos de países'!$B$5:$B$510,"Singapur",'Datos - Objetivos de países'!$F$5:$F$510,AU$3,'Datos - Objetivos de países'!$J$5:$J$510,$A60)+COUNTIFS('Datos - Objetivos de países'!$B$5:$B$510,"Singapur",'Datos - Objetivos de países'!$F$5:$F$510,AU$3,'Datos - Objetivos de países'!$K$5:$K$510,$A60)</f>
        <v/>
      </c>
      <c r="AV60" s="11">
        <f>COUNTIFS('Datos - Objetivos de países'!$B$5:$B$510,"Singapur",'Datos - Objetivos de países'!$F$5:$F$510,AV$3,'Datos - Objetivos de países'!$J$5:$J$510,$A60)+COUNTIFS('Datos - Objetivos de países'!$B$5:$B$510,"Singapur",'Datos - Objetivos de países'!$F$5:$F$510,AV$3,'Datos - Objetivos de países'!$K$5:$K$510,$A60)</f>
        <v/>
      </c>
      <c r="AW60" s="11">
        <f>COUNTIFS('Datos - Objetivos de países'!$B$5:$B$510,"Singapur",'Datos - Objetivos de países'!$F$5:$F$510,AW$3,'Datos - Objetivos de países'!$J$5:$J$510,$A60)+COUNTIFS('Datos - Objetivos de países'!$B$5:$B$510,"Singapur",'Datos - Objetivos de países'!$F$5:$F$510,AW$3,'Datos - Objetivos de países'!$K$5:$K$510,$A60)</f>
        <v/>
      </c>
    </row>
    <row r="61">
      <c r="A61" s="30" t="inlineStr">
        <is>
          <t>T8_27-C4.1</t>
        </is>
      </c>
      <c r="B61" s="30" t="inlineStr">
        <is>
          <t>T8_27</t>
        </is>
      </c>
      <c r="C61" s="30" t="inlineStr">
        <is>
          <t>Química</t>
        </is>
      </c>
      <c r="D61" s="30" t="inlineStr">
        <is>
          <t>Rasgos y equipo de una investigación química</t>
        </is>
      </c>
      <c r="E61" s="30">
        <f>IFERROR(MAX($L$3,INDEX($N$3:$V$3,MATCH(TRUE,INDEX(N61:V61&gt;0,0),0))),"—")</f>
        <v/>
      </c>
      <c r="F61" s="30">
        <f>IFERROR(MAX($L$3,INDEX($W$3:$AE$3,MATCH(TRUE,INDEX(W61:AE61&gt;0,0),0))),"—")</f>
        <v/>
      </c>
      <c r="G61" s="30">
        <f>IFERROR(MAX($L$3,INDEX($AF$3:$AN$3,MATCH(TRUE,INDEX(AF61:AN61&gt;0,0),0))),"—")</f>
        <v/>
      </c>
      <c r="H61" s="30">
        <f>IFERROR(MAX($L$3,INDEX($AO$3:$AW$3,MATCH(TRUE,INDEX(AO61:AW61&gt;0,0),0))),"—")</f>
        <v/>
      </c>
      <c r="I61" s="36">
        <f>IF(L61=0,"—",MEDIAN(F61:H61))</f>
        <v/>
      </c>
      <c r="J61" s="36">
        <f>IF(OR(E61="—",I61="—"),"—",E61-I61)</f>
        <v/>
      </c>
      <c r="K61" s="19">
        <f>IF(E61="—",IF(L61=0,"Nadie lo trabaja","El Salvador no llega"),IF(L61=0,"Solo El Salvador",IF(J61&gt;0,"El Salvador llega más tarde",IF(J61&lt;0,"El Salvador va adelantado","Mismo grado"))))</f>
        <v/>
      </c>
      <c r="L61" s="30">
        <f>COUNT(F61:H61)</f>
        <v/>
      </c>
      <c r="N61" s="11">
        <f>COUNTIFS('Datos - Temas'!$C$5:$C$1264,"Ciencias",'Datos - Temas'!$B$5:$B$1264,N$3,'Datos - Temas'!$K$5:$K$1264,$A61)+COUNTIFS('Datos - Temas'!$C$5:$C$1264,"Ciencias",'Datos - Temas'!$B$5:$B$1264,N$3,'Datos - Temas'!$L$5:$L$1264,$A61)</f>
        <v/>
      </c>
      <c r="O61" s="11">
        <f>COUNTIFS('Datos - Temas'!$C$5:$C$1264,"Ciencias",'Datos - Temas'!$B$5:$B$1264,O$3,'Datos - Temas'!$K$5:$K$1264,$A61)+COUNTIFS('Datos - Temas'!$C$5:$C$1264,"Ciencias",'Datos - Temas'!$B$5:$B$1264,O$3,'Datos - Temas'!$L$5:$L$1264,$A61)</f>
        <v/>
      </c>
      <c r="P61" s="11">
        <f>COUNTIFS('Datos - Temas'!$C$5:$C$1264,"Ciencias",'Datos - Temas'!$B$5:$B$1264,P$3,'Datos - Temas'!$K$5:$K$1264,$A61)+COUNTIFS('Datos - Temas'!$C$5:$C$1264,"Ciencias",'Datos - Temas'!$B$5:$B$1264,P$3,'Datos - Temas'!$L$5:$L$1264,$A61)</f>
        <v/>
      </c>
      <c r="Q61" s="11">
        <f>COUNTIFS('Datos - Temas'!$C$5:$C$1264,"Ciencias",'Datos - Temas'!$B$5:$B$1264,Q$3,'Datos - Temas'!$K$5:$K$1264,$A61)+COUNTIFS('Datos - Temas'!$C$5:$C$1264,"Ciencias",'Datos - Temas'!$B$5:$B$1264,Q$3,'Datos - Temas'!$L$5:$L$1264,$A61)</f>
        <v/>
      </c>
      <c r="R61" s="11">
        <f>COUNTIFS('Datos - Temas'!$C$5:$C$1264,"Ciencias",'Datos - Temas'!$B$5:$B$1264,R$3,'Datos - Temas'!$K$5:$K$1264,$A61)+COUNTIFS('Datos - Temas'!$C$5:$C$1264,"Ciencias",'Datos - Temas'!$B$5:$B$1264,R$3,'Datos - Temas'!$L$5:$L$1264,$A61)</f>
        <v/>
      </c>
      <c r="S61" s="11">
        <f>COUNTIFS('Datos - Temas'!$C$5:$C$1264,"Ciencias",'Datos - Temas'!$B$5:$B$1264,S$3,'Datos - Temas'!$K$5:$K$1264,$A61)+COUNTIFS('Datos - Temas'!$C$5:$C$1264,"Ciencias",'Datos - Temas'!$B$5:$B$1264,S$3,'Datos - Temas'!$L$5:$L$1264,$A61)</f>
        <v/>
      </c>
      <c r="T61" s="11">
        <f>COUNTIFS('Datos - Temas'!$C$5:$C$1264,"Ciencias",'Datos - Temas'!$B$5:$B$1264,T$3,'Datos - Temas'!$K$5:$K$1264,$A61)+COUNTIFS('Datos - Temas'!$C$5:$C$1264,"Ciencias",'Datos - Temas'!$B$5:$B$1264,T$3,'Datos - Temas'!$L$5:$L$1264,$A61)</f>
        <v/>
      </c>
      <c r="U61" s="11">
        <f>COUNTIFS('Datos - Temas'!$C$5:$C$1264,"Ciencias",'Datos - Temas'!$B$5:$B$1264,U$3,'Datos - Temas'!$K$5:$K$1264,$A61)+COUNTIFS('Datos - Temas'!$C$5:$C$1264,"Ciencias",'Datos - Temas'!$B$5:$B$1264,U$3,'Datos - Temas'!$L$5:$L$1264,$A61)</f>
        <v/>
      </c>
      <c r="V61" s="11">
        <f>COUNTIFS('Datos - Temas'!$C$5:$C$1264,"Ciencias",'Datos - Temas'!$B$5:$B$1264,V$3,'Datos - Temas'!$K$5:$K$1264,$A61)+COUNTIFS('Datos - Temas'!$C$5:$C$1264,"Ciencias",'Datos - Temas'!$B$5:$B$1264,V$3,'Datos - Temas'!$L$5:$L$1264,$A61)</f>
        <v/>
      </c>
      <c r="W61" s="11">
        <f>COUNTIFS('Datos - Objetivos de países'!$B$5:$B$510,"Uruguay",'Datos - Objetivos de países'!$F$5:$F$510,W$3,'Datos - Objetivos de países'!$J$5:$J$510,$A61)+COUNTIFS('Datos - Objetivos de países'!$B$5:$B$510,"Uruguay",'Datos - Objetivos de países'!$F$5:$F$510,W$3,'Datos - Objetivos de países'!$K$5:$K$510,$A61)</f>
        <v/>
      </c>
      <c r="X61" s="11">
        <f>COUNTIFS('Datos - Objetivos de países'!$B$5:$B$510,"Uruguay",'Datos - Objetivos de países'!$F$5:$F$510,X$3,'Datos - Objetivos de países'!$J$5:$J$510,$A61)+COUNTIFS('Datos - Objetivos de países'!$B$5:$B$510,"Uruguay",'Datos - Objetivos de países'!$F$5:$F$510,X$3,'Datos - Objetivos de países'!$K$5:$K$510,$A61)</f>
        <v/>
      </c>
      <c r="Y61" s="11">
        <f>COUNTIFS('Datos - Objetivos de países'!$B$5:$B$510,"Uruguay",'Datos - Objetivos de países'!$F$5:$F$510,Y$3,'Datos - Objetivos de países'!$J$5:$J$510,$A61)+COUNTIFS('Datos - Objetivos de países'!$B$5:$B$510,"Uruguay",'Datos - Objetivos de países'!$F$5:$F$510,Y$3,'Datos - Objetivos de países'!$K$5:$K$510,$A61)</f>
        <v/>
      </c>
      <c r="Z61" s="11">
        <f>COUNTIFS('Datos - Objetivos de países'!$B$5:$B$510,"Uruguay",'Datos - Objetivos de países'!$F$5:$F$510,Z$3,'Datos - Objetivos de países'!$J$5:$J$510,$A61)+COUNTIFS('Datos - Objetivos de países'!$B$5:$B$510,"Uruguay",'Datos - Objetivos de países'!$F$5:$F$510,Z$3,'Datos - Objetivos de países'!$K$5:$K$510,$A61)</f>
        <v/>
      </c>
      <c r="AA61" s="11">
        <f>COUNTIFS('Datos - Objetivos de países'!$B$5:$B$510,"Uruguay",'Datos - Objetivos de países'!$F$5:$F$510,AA$3,'Datos - Objetivos de países'!$J$5:$J$510,$A61)+COUNTIFS('Datos - Objetivos de países'!$B$5:$B$510,"Uruguay",'Datos - Objetivos de países'!$F$5:$F$510,AA$3,'Datos - Objetivos de países'!$K$5:$K$510,$A61)</f>
        <v/>
      </c>
      <c r="AB61" s="11">
        <f>COUNTIFS('Datos - Objetivos de países'!$B$5:$B$510,"Uruguay",'Datos - Objetivos de países'!$F$5:$F$510,AB$3,'Datos - Objetivos de países'!$J$5:$J$510,$A61)+COUNTIFS('Datos - Objetivos de países'!$B$5:$B$510,"Uruguay",'Datos - Objetivos de países'!$F$5:$F$510,AB$3,'Datos - Objetivos de países'!$K$5:$K$510,$A61)</f>
        <v/>
      </c>
      <c r="AC61" s="11">
        <f>COUNTIFS('Datos - Objetivos de países'!$B$5:$B$510,"Uruguay",'Datos - Objetivos de países'!$F$5:$F$510,AC$3,'Datos - Objetivos de países'!$J$5:$J$510,$A61)+COUNTIFS('Datos - Objetivos de países'!$B$5:$B$510,"Uruguay",'Datos - Objetivos de países'!$F$5:$F$510,AC$3,'Datos - Objetivos de países'!$K$5:$K$510,$A61)</f>
        <v/>
      </c>
      <c r="AD61" s="11">
        <f>COUNTIFS('Datos - Objetivos de países'!$B$5:$B$510,"Uruguay",'Datos - Objetivos de países'!$F$5:$F$510,AD$3,'Datos - Objetivos de países'!$J$5:$J$510,$A61)+COUNTIFS('Datos - Objetivos de países'!$B$5:$B$510,"Uruguay",'Datos - Objetivos de países'!$F$5:$F$510,AD$3,'Datos - Objetivos de países'!$K$5:$K$510,$A61)</f>
        <v/>
      </c>
      <c r="AE61" s="11">
        <f>COUNTIFS('Datos - Objetivos de países'!$B$5:$B$510,"Uruguay",'Datos - Objetivos de países'!$F$5:$F$510,AE$3,'Datos - Objetivos de países'!$J$5:$J$510,$A61)+COUNTIFS('Datos - Objetivos de países'!$B$5:$B$510,"Uruguay",'Datos - Objetivos de países'!$F$5:$F$510,AE$3,'Datos - Objetivos de países'!$K$5:$K$510,$A61)</f>
        <v/>
      </c>
      <c r="AF61" s="11">
        <f>COUNTIFS('Datos - Objetivos de países'!$B$5:$B$510,"Colombia",'Datos - Objetivos de países'!$F$5:$F$510,AF$3,'Datos - Objetivos de países'!$J$5:$J$510,$A61)+COUNTIFS('Datos - Objetivos de países'!$B$5:$B$510,"Colombia",'Datos - Objetivos de países'!$F$5:$F$510,AF$3,'Datos - Objetivos de países'!$K$5:$K$510,$A61)</f>
        <v/>
      </c>
      <c r="AG61" s="11">
        <f>COUNTIFS('Datos - Objetivos de países'!$B$5:$B$510,"Colombia",'Datos - Objetivos de países'!$F$5:$F$510,AG$3,'Datos - Objetivos de países'!$J$5:$J$510,$A61)+COUNTIFS('Datos - Objetivos de países'!$B$5:$B$510,"Colombia",'Datos - Objetivos de países'!$F$5:$F$510,AG$3,'Datos - Objetivos de países'!$K$5:$K$510,$A61)</f>
        <v/>
      </c>
      <c r="AH61" s="11">
        <f>COUNTIFS('Datos - Objetivos de países'!$B$5:$B$510,"Colombia",'Datos - Objetivos de países'!$F$5:$F$510,AH$3,'Datos - Objetivos de países'!$J$5:$J$510,$A61)+COUNTIFS('Datos - Objetivos de países'!$B$5:$B$510,"Colombia",'Datos - Objetivos de países'!$F$5:$F$510,AH$3,'Datos - Objetivos de países'!$K$5:$K$510,$A61)</f>
        <v/>
      </c>
      <c r="AI61" s="11">
        <f>COUNTIFS('Datos - Objetivos de países'!$B$5:$B$510,"Colombia",'Datos - Objetivos de países'!$F$5:$F$510,AI$3,'Datos - Objetivos de países'!$J$5:$J$510,$A61)+COUNTIFS('Datos - Objetivos de países'!$B$5:$B$510,"Colombia",'Datos - Objetivos de países'!$F$5:$F$510,AI$3,'Datos - Objetivos de países'!$K$5:$K$510,$A61)</f>
        <v/>
      </c>
      <c r="AJ61" s="11">
        <f>COUNTIFS('Datos - Objetivos de países'!$B$5:$B$510,"Colombia",'Datos - Objetivos de países'!$F$5:$F$510,AJ$3,'Datos - Objetivos de países'!$J$5:$J$510,$A61)+COUNTIFS('Datos - Objetivos de países'!$B$5:$B$510,"Colombia",'Datos - Objetivos de países'!$F$5:$F$510,AJ$3,'Datos - Objetivos de países'!$K$5:$K$510,$A61)</f>
        <v/>
      </c>
      <c r="AK61" s="11">
        <f>COUNTIFS('Datos - Objetivos de países'!$B$5:$B$510,"Colombia",'Datos - Objetivos de países'!$F$5:$F$510,AK$3,'Datos - Objetivos de países'!$J$5:$J$510,$A61)+COUNTIFS('Datos - Objetivos de países'!$B$5:$B$510,"Colombia",'Datos - Objetivos de países'!$F$5:$F$510,AK$3,'Datos - Objetivos de países'!$K$5:$K$510,$A61)</f>
        <v/>
      </c>
      <c r="AL61" s="11">
        <f>COUNTIFS('Datos - Objetivos de países'!$B$5:$B$510,"Colombia",'Datos - Objetivos de países'!$F$5:$F$510,AL$3,'Datos - Objetivos de países'!$J$5:$J$510,$A61)+COUNTIFS('Datos - Objetivos de países'!$B$5:$B$510,"Colombia",'Datos - Objetivos de países'!$F$5:$F$510,AL$3,'Datos - Objetivos de países'!$K$5:$K$510,$A61)</f>
        <v/>
      </c>
      <c r="AM61" s="11">
        <f>COUNTIFS('Datos - Objetivos de países'!$B$5:$B$510,"Colombia",'Datos - Objetivos de países'!$F$5:$F$510,AM$3,'Datos - Objetivos de países'!$J$5:$J$510,$A61)+COUNTIFS('Datos - Objetivos de países'!$B$5:$B$510,"Colombia",'Datos - Objetivos de países'!$F$5:$F$510,AM$3,'Datos - Objetivos de países'!$K$5:$K$510,$A61)</f>
        <v/>
      </c>
      <c r="AN61" s="11">
        <f>COUNTIFS('Datos - Objetivos de países'!$B$5:$B$510,"Colombia",'Datos - Objetivos de países'!$F$5:$F$510,AN$3,'Datos - Objetivos de países'!$J$5:$J$510,$A61)+COUNTIFS('Datos - Objetivos de países'!$B$5:$B$510,"Colombia",'Datos - Objetivos de países'!$F$5:$F$510,AN$3,'Datos - Objetivos de países'!$K$5:$K$510,$A61)</f>
        <v/>
      </c>
      <c r="AO61" s="11">
        <f>COUNTIFS('Datos - Objetivos de países'!$B$5:$B$510,"Singapur",'Datos - Objetivos de países'!$F$5:$F$510,AO$3,'Datos - Objetivos de países'!$J$5:$J$510,$A61)+COUNTIFS('Datos - Objetivos de países'!$B$5:$B$510,"Singapur",'Datos - Objetivos de países'!$F$5:$F$510,AO$3,'Datos - Objetivos de países'!$K$5:$K$510,$A61)</f>
        <v/>
      </c>
      <c r="AP61" s="11">
        <f>COUNTIFS('Datos - Objetivos de países'!$B$5:$B$510,"Singapur",'Datos - Objetivos de países'!$F$5:$F$510,AP$3,'Datos - Objetivos de países'!$J$5:$J$510,$A61)+COUNTIFS('Datos - Objetivos de países'!$B$5:$B$510,"Singapur",'Datos - Objetivos de países'!$F$5:$F$510,AP$3,'Datos - Objetivos de países'!$K$5:$K$510,$A61)</f>
        <v/>
      </c>
      <c r="AQ61" s="11">
        <f>COUNTIFS('Datos - Objetivos de países'!$B$5:$B$510,"Singapur",'Datos - Objetivos de países'!$F$5:$F$510,AQ$3,'Datos - Objetivos de países'!$J$5:$J$510,$A61)+COUNTIFS('Datos - Objetivos de países'!$B$5:$B$510,"Singapur",'Datos - Objetivos de países'!$F$5:$F$510,AQ$3,'Datos - Objetivos de países'!$K$5:$K$510,$A61)</f>
        <v/>
      </c>
      <c r="AR61" s="11">
        <f>COUNTIFS('Datos - Objetivos de países'!$B$5:$B$510,"Singapur",'Datos - Objetivos de países'!$F$5:$F$510,AR$3,'Datos - Objetivos de países'!$J$5:$J$510,$A61)+COUNTIFS('Datos - Objetivos de países'!$B$5:$B$510,"Singapur",'Datos - Objetivos de países'!$F$5:$F$510,AR$3,'Datos - Objetivos de países'!$K$5:$K$510,$A61)</f>
        <v/>
      </c>
      <c r="AS61" s="11">
        <f>COUNTIFS('Datos - Objetivos de países'!$B$5:$B$510,"Singapur",'Datos - Objetivos de países'!$F$5:$F$510,AS$3,'Datos - Objetivos de países'!$J$5:$J$510,$A61)+COUNTIFS('Datos - Objetivos de países'!$B$5:$B$510,"Singapur",'Datos - Objetivos de países'!$F$5:$F$510,AS$3,'Datos - Objetivos de países'!$K$5:$K$510,$A61)</f>
        <v/>
      </c>
      <c r="AT61" s="11">
        <f>COUNTIFS('Datos - Objetivos de países'!$B$5:$B$510,"Singapur",'Datos - Objetivos de países'!$F$5:$F$510,AT$3,'Datos - Objetivos de países'!$J$5:$J$510,$A61)+COUNTIFS('Datos - Objetivos de países'!$B$5:$B$510,"Singapur",'Datos - Objetivos de países'!$F$5:$F$510,AT$3,'Datos - Objetivos de países'!$K$5:$K$510,$A61)</f>
        <v/>
      </c>
      <c r="AU61" s="11">
        <f>COUNTIFS('Datos - Objetivos de países'!$B$5:$B$510,"Singapur",'Datos - Objetivos de países'!$F$5:$F$510,AU$3,'Datos - Objetivos de países'!$J$5:$J$510,$A61)+COUNTIFS('Datos - Objetivos de países'!$B$5:$B$510,"Singapur",'Datos - Objetivos de países'!$F$5:$F$510,AU$3,'Datos - Objetivos de países'!$K$5:$K$510,$A61)</f>
        <v/>
      </c>
      <c r="AV61" s="11">
        <f>COUNTIFS('Datos - Objetivos de países'!$B$5:$B$510,"Singapur",'Datos - Objetivos de países'!$F$5:$F$510,AV$3,'Datos - Objetivos de países'!$J$5:$J$510,$A61)+COUNTIFS('Datos - Objetivos de países'!$B$5:$B$510,"Singapur",'Datos - Objetivos de países'!$F$5:$F$510,AV$3,'Datos - Objetivos de países'!$K$5:$K$510,$A61)</f>
        <v/>
      </c>
      <c r="AW61" s="11">
        <f>COUNTIFS('Datos - Objetivos de países'!$B$5:$B$510,"Singapur",'Datos - Objetivos de países'!$F$5:$F$510,AW$3,'Datos - Objetivos de países'!$J$5:$J$510,$A61)+COUNTIFS('Datos - Objetivos de países'!$B$5:$B$510,"Singapur",'Datos - Objetivos de países'!$F$5:$F$510,AW$3,'Datos - Objetivos de países'!$K$5:$K$510,$A61)</f>
        <v/>
      </c>
    </row>
    <row r="62">
      <c r="A62" s="30" t="inlineStr">
        <is>
          <t>T8_27-P1.1</t>
        </is>
      </c>
      <c r="B62" s="30" t="inlineStr">
        <is>
          <t>T8_27</t>
        </is>
      </c>
      <c r="C62" s="30" t="inlineStr">
        <is>
          <t>Física</t>
        </is>
      </c>
      <c r="D62" s="30" t="inlineStr">
        <is>
          <t>Movimiento de partículas en sólidos, líquidos y gases</t>
        </is>
      </c>
      <c r="E62" s="30">
        <f>IFERROR(MAX($L$3,INDEX($N$3:$V$3,MATCH(TRUE,INDEX(N62:V62&gt;0,0),0))),"—")</f>
        <v/>
      </c>
      <c r="F62" s="30">
        <f>IFERROR(MAX($L$3,INDEX($W$3:$AE$3,MATCH(TRUE,INDEX(W62:AE62&gt;0,0),0))),"—")</f>
        <v/>
      </c>
      <c r="G62" s="30">
        <f>IFERROR(MAX($L$3,INDEX($AF$3:$AN$3,MATCH(TRUE,INDEX(AF62:AN62&gt;0,0),0))),"—")</f>
        <v/>
      </c>
      <c r="H62" s="30">
        <f>IFERROR(MAX($L$3,INDEX($AO$3:$AW$3,MATCH(TRUE,INDEX(AO62:AW62&gt;0,0),0))),"—")</f>
        <v/>
      </c>
      <c r="I62" s="36">
        <f>IF(L62=0,"—",MEDIAN(F62:H62))</f>
        <v/>
      </c>
      <c r="J62" s="36">
        <f>IF(OR(E62="—",I62="—"),"—",E62-I62)</f>
        <v/>
      </c>
      <c r="K62" s="19">
        <f>IF(E62="—",IF(L62=0,"Nadie lo trabaja","El Salvador no llega"),IF(L62=0,"Solo El Salvador",IF(J62&gt;0,"El Salvador llega más tarde",IF(J62&lt;0,"El Salvador va adelantado","Mismo grado"))))</f>
        <v/>
      </c>
      <c r="L62" s="30">
        <f>COUNT(F62:H62)</f>
        <v/>
      </c>
      <c r="N62" s="11">
        <f>COUNTIFS('Datos - Temas'!$C$5:$C$1264,"Ciencias",'Datos - Temas'!$B$5:$B$1264,N$3,'Datos - Temas'!$K$5:$K$1264,$A62)+COUNTIFS('Datos - Temas'!$C$5:$C$1264,"Ciencias",'Datos - Temas'!$B$5:$B$1264,N$3,'Datos - Temas'!$L$5:$L$1264,$A62)</f>
        <v/>
      </c>
      <c r="O62" s="11">
        <f>COUNTIFS('Datos - Temas'!$C$5:$C$1264,"Ciencias",'Datos - Temas'!$B$5:$B$1264,O$3,'Datos - Temas'!$K$5:$K$1264,$A62)+COUNTIFS('Datos - Temas'!$C$5:$C$1264,"Ciencias",'Datos - Temas'!$B$5:$B$1264,O$3,'Datos - Temas'!$L$5:$L$1264,$A62)</f>
        <v/>
      </c>
      <c r="P62" s="11">
        <f>COUNTIFS('Datos - Temas'!$C$5:$C$1264,"Ciencias",'Datos - Temas'!$B$5:$B$1264,P$3,'Datos - Temas'!$K$5:$K$1264,$A62)+COUNTIFS('Datos - Temas'!$C$5:$C$1264,"Ciencias",'Datos - Temas'!$B$5:$B$1264,P$3,'Datos - Temas'!$L$5:$L$1264,$A62)</f>
        <v/>
      </c>
      <c r="Q62" s="11">
        <f>COUNTIFS('Datos - Temas'!$C$5:$C$1264,"Ciencias",'Datos - Temas'!$B$5:$B$1264,Q$3,'Datos - Temas'!$K$5:$K$1264,$A62)+COUNTIFS('Datos - Temas'!$C$5:$C$1264,"Ciencias",'Datos - Temas'!$B$5:$B$1264,Q$3,'Datos - Temas'!$L$5:$L$1264,$A62)</f>
        <v/>
      </c>
      <c r="R62" s="11">
        <f>COUNTIFS('Datos - Temas'!$C$5:$C$1264,"Ciencias",'Datos - Temas'!$B$5:$B$1264,R$3,'Datos - Temas'!$K$5:$K$1264,$A62)+COUNTIFS('Datos - Temas'!$C$5:$C$1264,"Ciencias",'Datos - Temas'!$B$5:$B$1264,R$3,'Datos - Temas'!$L$5:$L$1264,$A62)</f>
        <v/>
      </c>
      <c r="S62" s="11">
        <f>COUNTIFS('Datos - Temas'!$C$5:$C$1264,"Ciencias",'Datos - Temas'!$B$5:$B$1264,S$3,'Datos - Temas'!$K$5:$K$1264,$A62)+COUNTIFS('Datos - Temas'!$C$5:$C$1264,"Ciencias",'Datos - Temas'!$B$5:$B$1264,S$3,'Datos - Temas'!$L$5:$L$1264,$A62)</f>
        <v/>
      </c>
      <c r="T62" s="11">
        <f>COUNTIFS('Datos - Temas'!$C$5:$C$1264,"Ciencias",'Datos - Temas'!$B$5:$B$1264,T$3,'Datos - Temas'!$K$5:$K$1264,$A62)+COUNTIFS('Datos - Temas'!$C$5:$C$1264,"Ciencias",'Datos - Temas'!$B$5:$B$1264,T$3,'Datos - Temas'!$L$5:$L$1264,$A62)</f>
        <v/>
      </c>
      <c r="U62" s="11">
        <f>COUNTIFS('Datos - Temas'!$C$5:$C$1264,"Ciencias",'Datos - Temas'!$B$5:$B$1264,U$3,'Datos - Temas'!$K$5:$K$1264,$A62)+COUNTIFS('Datos - Temas'!$C$5:$C$1264,"Ciencias",'Datos - Temas'!$B$5:$B$1264,U$3,'Datos - Temas'!$L$5:$L$1264,$A62)</f>
        <v/>
      </c>
      <c r="V62" s="11">
        <f>COUNTIFS('Datos - Temas'!$C$5:$C$1264,"Ciencias",'Datos - Temas'!$B$5:$B$1264,V$3,'Datos - Temas'!$K$5:$K$1264,$A62)+COUNTIFS('Datos - Temas'!$C$5:$C$1264,"Ciencias",'Datos - Temas'!$B$5:$B$1264,V$3,'Datos - Temas'!$L$5:$L$1264,$A62)</f>
        <v/>
      </c>
      <c r="W62" s="11">
        <f>COUNTIFS('Datos - Objetivos de países'!$B$5:$B$510,"Uruguay",'Datos - Objetivos de países'!$F$5:$F$510,W$3,'Datos - Objetivos de países'!$J$5:$J$510,$A62)+COUNTIFS('Datos - Objetivos de países'!$B$5:$B$510,"Uruguay",'Datos - Objetivos de países'!$F$5:$F$510,W$3,'Datos - Objetivos de países'!$K$5:$K$510,$A62)</f>
        <v/>
      </c>
      <c r="X62" s="11">
        <f>COUNTIFS('Datos - Objetivos de países'!$B$5:$B$510,"Uruguay",'Datos - Objetivos de países'!$F$5:$F$510,X$3,'Datos - Objetivos de países'!$J$5:$J$510,$A62)+COUNTIFS('Datos - Objetivos de países'!$B$5:$B$510,"Uruguay",'Datos - Objetivos de países'!$F$5:$F$510,X$3,'Datos - Objetivos de países'!$K$5:$K$510,$A62)</f>
        <v/>
      </c>
      <c r="Y62" s="11">
        <f>COUNTIFS('Datos - Objetivos de países'!$B$5:$B$510,"Uruguay",'Datos - Objetivos de países'!$F$5:$F$510,Y$3,'Datos - Objetivos de países'!$J$5:$J$510,$A62)+COUNTIFS('Datos - Objetivos de países'!$B$5:$B$510,"Uruguay",'Datos - Objetivos de países'!$F$5:$F$510,Y$3,'Datos - Objetivos de países'!$K$5:$K$510,$A62)</f>
        <v/>
      </c>
      <c r="Z62" s="11">
        <f>COUNTIFS('Datos - Objetivos de países'!$B$5:$B$510,"Uruguay",'Datos - Objetivos de países'!$F$5:$F$510,Z$3,'Datos - Objetivos de países'!$J$5:$J$510,$A62)+COUNTIFS('Datos - Objetivos de países'!$B$5:$B$510,"Uruguay",'Datos - Objetivos de países'!$F$5:$F$510,Z$3,'Datos - Objetivos de países'!$K$5:$K$510,$A62)</f>
        <v/>
      </c>
      <c r="AA62" s="11">
        <f>COUNTIFS('Datos - Objetivos de países'!$B$5:$B$510,"Uruguay",'Datos - Objetivos de países'!$F$5:$F$510,AA$3,'Datos - Objetivos de países'!$J$5:$J$510,$A62)+COUNTIFS('Datos - Objetivos de países'!$B$5:$B$510,"Uruguay",'Datos - Objetivos de países'!$F$5:$F$510,AA$3,'Datos - Objetivos de países'!$K$5:$K$510,$A62)</f>
        <v/>
      </c>
      <c r="AB62" s="11">
        <f>COUNTIFS('Datos - Objetivos de países'!$B$5:$B$510,"Uruguay",'Datos - Objetivos de países'!$F$5:$F$510,AB$3,'Datos - Objetivos de países'!$J$5:$J$510,$A62)+COUNTIFS('Datos - Objetivos de países'!$B$5:$B$510,"Uruguay",'Datos - Objetivos de países'!$F$5:$F$510,AB$3,'Datos - Objetivos de países'!$K$5:$K$510,$A62)</f>
        <v/>
      </c>
      <c r="AC62" s="11">
        <f>COUNTIFS('Datos - Objetivos de países'!$B$5:$B$510,"Uruguay",'Datos - Objetivos de países'!$F$5:$F$510,AC$3,'Datos - Objetivos de países'!$J$5:$J$510,$A62)+COUNTIFS('Datos - Objetivos de países'!$B$5:$B$510,"Uruguay",'Datos - Objetivos de países'!$F$5:$F$510,AC$3,'Datos - Objetivos de países'!$K$5:$K$510,$A62)</f>
        <v/>
      </c>
      <c r="AD62" s="11">
        <f>COUNTIFS('Datos - Objetivos de países'!$B$5:$B$510,"Uruguay",'Datos - Objetivos de países'!$F$5:$F$510,AD$3,'Datos - Objetivos de países'!$J$5:$J$510,$A62)+COUNTIFS('Datos - Objetivos de países'!$B$5:$B$510,"Uruguay",'Datos - Objetivos de países'!$F$5:$F$510,AD$3,'Datos - Objetivos de países'!$K$5:$K$510,$A62)</f>
        <v/>
      </c>
      <c r="AE62" s="11">
        <f>COUNTIFS('Datos - Objetivos de países'!$B$5:$B$510,"Uruguay",'Datos - Objetivos de países'!$F$5:$F$510,AE$3,'Datos - Objetivos de países'!$J$5:$J$510,$A62)+COUNTIFS('Datos - Objetivos de países'!$B$5:$B$510,"Uruguay",'Datos - Objetivos de países'!$F$5:$F$510,AE$3,'Datos - Objetivos de países'!$K$5:$K$510,$A62)</f>
        <v/>
      </c>
      <c r="AF62" s="11">
        <f>COUNTIFS('Datos - Objetivos de países'!$B$5:$B$510,"Colombia",'Datos - Objetivos de países'!$F$5:$F$510,AF$3,'Datos - Objetivos de países'!$J$5:$J$510,$A62)+COUNTIFS('Datos - Objetivos de países'!$B$5:$B$510,"Colombia",'Datos - Objetivos de países'!$F$5:$F$510,AF$3,'Datos - Objetivos de países'!$K$5:$K$510,$A62)</f>
        <v/>
      </c>
      <c r="AG62" s="11">
        <f>COUNTIFS('Datos - Objetivos de países'!$B$5:$B$510,"Colombia",'Datos - Objetivos de países'!$F$5:$F$510,AG$3,'Datos - Objetivos de países'!$J$5:$J$510,$A62)+COUNTIFS('Datos - Objetivos de países'!$B$5:$B$510,"Colombia",'Datos - Objetivos de países'!$F$5:$F$510,AG$3,'Datos - Objetivos de países'!$K$5:$K$510,$A62)</f>
        <v/>
      </c>
      <c r="AH62" s="11">
        <f>COUNTIFS('Datos - Objetivos de países'!$B$5:$B$510,"Colombia",'Datos - Objetivos de países'!$F$5:$F$510,AH$3,'Datos - Objetivos de países'!$J$5:$J$510,$A62)+COUNTIFS('Datos - Objetivos de países'!$B$5:$B$510,"Colombia",'Datos - Objetivos de países'!$F$5:$F$510,AH$3,'Datos - Objetivos de países'!$K$5:$K$510,$A62)</f>
        <v/>
      </c>
      <c r="AI62" s="11">
        <f>COUNTIFS('Datos - Objetivos de países'!$B$5:$B$510,"Colombia",'Datos - Objetivos de países'!$F$5:$F$510,AI$3,'Datos - Objetivos de países'!$J$5:$J$510,$A62)+COUNTIFS('Datos - Objetivos de países'!$B$5:$B$510,"Colombia",'Datos - Objetivos de países'!$F$5:$F$510,AI$3,'Datos - Objetivos de países'!$K$5:$K$510,$A62)</f>
        <v/>
      </c>
      <c r="AJ62" s="11">
        <f>COUNTIFS('Datos - Objetivos de países'!$B$5:$B$510,"Colombia",'Datos - Objetivos de países'!$F$5:$F$510,AJ$3,'Datos - Objetivos de países'!$J$5:$J$510,$A62)+COUNTIFS('Datos - Objetivos de países'!$B$5:$B$510,"Colombia",'Datos - Objetivos de países'!$F$5:$F$510,AJ$3,'Datos - Objetivos de países'!$K$5:$K$510,$A62)</f>
        <v/>
      </c>
      <c r="AK62" s="11">
        <f>COUNTIFS('Datos - Objetivos de países'!$B$5:$B$510,"Colombia",'Datos - Objetivos de países'!$F$5:$F$510,AK$3,'Datos - Objetivos de países'!$J$5:$J$510,$A62)+COUNTIFS('Datos - Objetivos de países'!$B$5:$B$510,"Colombia",'Datos - Objetivos de países'!$F$5:$F$510,AK$3,'Datos - Objetivos de países'!$K$5:$K$510,$A62)</f>
        <v/>
      </c>
      <c r="AL62" s="11">
        <f>COUNTIFS('Datos - Objetivos de países'!$B$5:$B$510,"Colombia",'Datos - Objetivos de países'!$F$5:$F$510,AL$3,'Datos - Objetivos de países'!$J$5:$J$510,$A62)+COUNTIFS('Datos - Objetivos de países'!$B$5:$B$510,"Colombia",'Datos - Objetivos de países'!$F$5:$F$510,AL$3,'Datos - Objetivos de países'!$K$5:$K$510,$A62)</f>
        <v/>
      </c>
      <c r="AM62" s="11">
        <f>COUNTIFS('Datos - Objetivos de países'!$B$5:$B$510,"Colombia",'Datos - Objetivos de países'!$F$5:$F$510,AM$3,'Datos - Objetivos de países'!$J$5:$J$510,$A62)+COUNTIFS('Datos - Objetivos de países'!$B$5:$B$510,"Colombia",'Datos - Objetivos de países'!$F$5:$F$510,AM$3,'Datos - Objetivos de países'!$K$5:$K$510,$A62)</f>
        <v/>
      </c>
      <c r="AN62" s="11">
        <f>COUNTIFS('Datos - Objetivos de países'!$B$5:$B$510,"Colombia",'Datos - Objetivos de países'!$F$5:$F$510,AN$3,'Datos - Objetivos de países'!$J$5:$J$510,$A62)+COUNTIFS('Datos - Objetivos de países'!$B$5:$B$510,"Colombia",'Datos - Objetivos de países'!$F$5:$F$510,AN$3,'Datos - Objetivos de países'!$K$5:$K$510,$A62)</f>
        <v/>
      </c>
      <c r="AO62" s="11">
        <f>COUNTIFS('Datos - Objetivos de países'!$B$5:$B$510,"Singapur",'Datos - Objetivos de países'!$F$5:$F$510,AO$3,'Datos - Objetivos de países'!$J$5:$J$510,$A62)+COUNTIFS('Datos - Objetivos de países'!$B$5:$B$510,"Singapur",'Datos - Objetivos de países'!$F$5:$F$510,AO$3,'Datos - Objetivos de países'!$K$5:$K$510,$A62)</f>
        <v/>
      </c>
      <c r="AP62" s="11">
        <f>COUNTIFS('Datos - Objetivos de países'!$B$5:$B$510,"Singapur",'Datos - Objetivos de países'!$F$5:$F$510,AP$3,'Datos - Objetivos de países'!$J$5:$J$510,$A62)+COUNTIFS('Datos - Objetivos de países'!$B$5:$B$510,"Singapur",'Datos - Objetivos de países'!$F$5:$F$510,AP$3,'Datos - Objetivos de países'!$K$5:$K$510,$A62)</f>
        <v/>
      </c>
      <c r="AQ62" s="11">
        <f>COUNTIFS('Datos - Objetivos de países'!$B$5:$B$510,"Singapur",'Datos - Objetivos de países'!$F$5:$F$510,AQ$3,'Datos - Objetivos de países'!$J$5:$J$510,$A62)+COUNTIFS('Datos - Objetivos de países'!$B$5:$B$510,"Singapur",'Datos - Objetivos de países'!$F$5:$F$510,AQ$3,'Datos - Objetivos de países'!$K$5:$K$510,$A62)</f>
        <v/>
      </c>
      <c r="AR62" s="11">
        <f>COUNTIFS('Datos - Objetivos de países'!$B$5:$B$510,"Singapur",'Datos - Objetivos de países'!$F$5:$F$510,AR$3,'Datos - Objetivos de países'!$J$5:$J$510,$A62)+COUNTIFS('Datos - Objetivos de países'!$B$5:$B$510,"Singapur",'Datos - Objetivos de países'!$F$5:$F$510,AR$3,'Datos - Objetivos de países'!$K$5:$K$510,$A62)</f>
        <v/>
      </c>
      <c r="AS62" s="11">
        <f>COUNTIFS('Datos - Objetivos de países'!$B$5:$B$510,"Singapur",'Datos - Objetivos de países'!$F$5:$F$510,AS$3,'Datos - Objetivos de países'!$J$5:$J$510,$A62)+COUNTIFS('Datos - Objetivos de países'!$B$5:$B$510,"Singapur",'Datos - Objetivos de países'!$F$5:$F$510,AS$3,'Datos - Objetivos de países'!$K$5:$K$510,$A62)</f>
        <v/>
      </c>
      <c r="AT62" s="11">
        <f>COUNTIFS('Datos - Objetivos de países'!$B$5:$B$510,"Singapur",'Datos - Objetivos de países'!$F$5:$F$510,AT$3,'Datos - Objetivos de países'!$J$5:$J$510,$A62)+COUNTIFS('Datos - Objetivos de países'!$B$5:$B$510,"Singapur",'Datos - Objetivos de países'!$F$5:$F$510,AT$3,'Datos - Objetivos de países'!$K$5:$K$510,$A62)</f>
        <v/>
      </c>
      <c r="AU62" s="11">
        <f>COUNTIFS('Datos - Objetivos de países'!$B$5:$B$510,"Singapur",'Datos - Objetivos de países'!$F$5:$F$510,AU$3,'Datos - Objetivos de países'!$J$5:$J$510,$A62)+COUNTIFS('Datos - Objetivos de países'!$B$5:$B$510,"Singapur",'Datos - Objetivos de países'!$F$5:$F$510,AU$3,'Datos - Objetivos de países'!$K$5:$K$510,$A62)</f>
        <v/>
      </c>
      <c r="AV62" s="11">
        <f>COUNTIFS('Datos - Objetivos de países'!$B$5:$B$510,"Singapur",'Datos - Objetivos de países'!$F$5:$F$510,AV$3,'Datos - Objetivos de países'!$J$5:$J$510,$A62)+COUNTIFS('Datos - Objetivos de países'!$B$5:$B$510,"Singapur",'Datos - Objetivos de países'!$F$5:$F$510,AV$3,'Datos - Objetivos de países'!$K$5:$K$510,$A62)</f>
        <v/>
      </c>
      <c r="AW62" s="11">
        <f>COUNTIFS('Datos - Objetivos de países'!$B$5:$B$510,"Singapur",'Datos - Objetivos de países'!$F$5:$F$510,AW$3,'Datos - Objetivos de países'!$J$5:$J$510,$A62)+COUNTIFS('Datos - Objetivos de países'!$B$5:$B$510,"Singapur",'Datos - Objetivos de países'!$F$5:$F$510,AW$3,'Datos - Objetivos de países'!$K$5:$K$510,$A62)</f>
        <v/>
      </c>
    </row>
    <row r="63">
      <c r="A63" s="30" t="inlineStr">
        <is>
          <t>T8_27-P1.2</t>
        </is>
      </c>
      <c r="B63" s="30" t="inlineStr">
        <is>
          <t>T8_27</t>
        </is>
      </c>
      <c r="C63" s="30" t="inlineStr">
        <is>
          <t>Física</t>
        </is>
      </c>
      <c r="D63" s="30" t="inlineStr">
        <is>
          <t>Cambios de estado</t>
        </is>
      </c>
      <c r="E63" s="30">
        <f>IFERROR(MAX($L$3,INDEX($N$3:$V$3,MATCH(TRUE,INDEX(N63:V63&gt;0,0),0))),"—")</f>
        <v/>
      </c>
      <c r="F63" s="30">
        <f>IFERROR(MAX($L$3,INDEX($W$3:$AE$3,MATCH(TRUE,INDEX(W63:AE63&gt;0,0),0))),"—")</f>
        <v/>
      </c>
      <c r="G63" s="30">
        <f>IFERROR(MAX($L$3,INDEX($AF$3:$AN$3,MATCH(TRUE,INDEX(AF63:AN63&gt;0,0),0))),"—")</f>
        <v/>
      </c>
      <c r="H63" s="30">
        <f>IFERROR(MAX($L$3,INDEX($AO$3:$AW$3,MATCH(TRUE,INDEX(AO63:AW63&gt;0,0),0))),"—")</f>
        <v/>
      </c>
      <c r="I63" s="36">
        <f>IF(L63=0,"—",MEDIAN(F63:H63))</f>
        <v/>
      </c>
      <c r="J63" s="36">
        <f>IF(OR(E63="—",I63="—"),"—",E63-I63)</f>
        <v/>
      </c>
      <c r="K63" s="19">
        <f>IF(E63="—",IF(L63=0,"Nadie lo trabaja","El Salvador no llega"),IF(L63=0,"Solo El Salvador",IF(J63&gt;0,"El Salvador llega más tarde",IF(J63&lt;0,"El Salvador va adelantado","Mismo grado"))))</f>
        <v/>
      </c>
      <c r="L63" s="30">
        <f>COUNT(F63:H63)</f>
        <v/>
      </c>
      <c r="N63" s="11">
        <f>COUNTIFS('Datos - Temas'!$C$5:$C$1264,"Ciencias",'Datos - Temas'!$B$5:$B$1264,N$3,'Datos - Temas'!$K$5:$K$1264,$A63)+COUNTIFS('Datos - Temas'!$C$5:$C$1264,"Ciencias",'Datos - Temas'!$B$5:$B$1264,N$3,'Datos - Temas'!$L$5:$L$1264,$A63)</f>
        <v/>
      </c>
      <c r="O63" s="11">
        <f>COUNTIFS('Datos - Temas'!$C$5:$C$1264,"Ciencias",'Datos - Temas'!$B$5:$B$1264,O$3,'Datos - Temas'!$K$5:$K$1264,$A63)+COUNTIFS('Datos - Temas'!$C$5:$C$1264,"Ciencias",'Datos - Temas'!$B$5:$B$1264,O$3,'Datos - Temas'!$L$5:$L$1264,$A63)</f>
        <v/>
      </c>
      <c r="P63" s="11">
        <f>COUNTIFS('Datos - Temas'!$C$5:$C$1264,"Ciencias",'Datos - Temas'!$B$5:$B$1264,P$3,'Datos - Temas'!$K$5:$K$1264,$A63)+COUNTIFS('Datos - Temas'!$C$5:$C$1264,"Ciencias",'Datos - Temas'!$B$5:$B$1264,P$3,'Datos - Temas'!$L$5:$L$1264,$A63)</f>
        <v/>
      </c>
      <c r="Q63" s="11">
        <f>COUNTIFS('Datos - Temas'!$C$5:$C$1264,"Ciencias",'Datos - Temas'!$B$5:$B$1264,Q$3,'Datos - Temas'!$K$5:$K$1264,$A63)+COUNTIFS('Datos - Temas'!$C$5:$C$1264,"Ciencias",'Datos - Temas'!$B$5:$B$1264,Q$3,'Datos - Temas'!$L$5:$L$1264,$A63)</f>
        <v/>
      </c>
      <c r="R63" s="11">
        <f>COUNTIFS('Datos - Temas'!$C$5:$C$1264,"Ciencias",'Datos - Temas'!$B$5:$B$1264,R$3,'Datos - Temas'!$K$5:$K$1264,$A63)+COUNTIFS('Datos - Temas'!$C$5:$C$1264,"Ciencias",'Datos - Temas'!$B$5:$B$1264,R$3,'Datos - Temas'!$L$5:$L$1264,$A63)</f>
        <v/>
      </c>
      <c r="S63" s="11">
        <f>COUNTIFS('Datos - Temas'!$C$5:$C$1264,"Ciencias",'Datos - Temas'!$B$5:$B$1264,S$3,'Datos - Temas'!$K$5:$K$1264,$A63)+COUNTIFS('Datos - Temas'!$C$5:$C$1264,"Ciencias",'Datos - Temas'!$B$5:$B$1264,S$3,'Datos - Temas'!$L$5:$L$1264,$A63)</f>
        <v/>
      </c>
      <c r="T63" s="11">
        <f>COUNTIFS('Datos - Temas'!$C$5:$C$1264,"Ciencias",'Datos - Temas'!$B$5:$B$1264,T$3,'Datos - Temas'!$K$5:$K$1264,$A63)+COUNTIFS('Datos - Temas'!$C$5:$C$1264,"Ciencias",'Datos - Temas'!$B$5:$B$1264,T$3,'Datos - Temas'!$L$5:$L$1264,$A63)</f>
        <v/>
      </c>
      <c r="U63" s="11">
        <f>COUNTIFS('Datos - Temas'!$C$5:$C$1264,"Ciencias",'Datos - Temas'!$B$5:$B$1264,U$3,'Datos - Temas'!$K$5:$K$1264,$A63)+COUNTIFS('Datos - Temas'!$C$5:$C$1264,"Ciencias",'Datos - Temas'!$B$5:$B$1264,U$3,'Datos - Temas'!$L$5:$L$1264,$A63)</f>
        <v/>
      </c>
      <c r="V63" s="11">
        <f>COUNTIFS('Datos - Temas'!$C$5:$C$1264,"Ciencias",'Datos - Temas'!$B$5:$B$1264,V$3,'Datos - Temas'!$K$5:$K$1264,$A63)+COUNTIFS('Datos - Temas'!$C$5:$C$1264,"Ciencias",'Datos - Temas'!$B$5:$B$1264,V$3,'Datos - Temas'!$L$5:$L$1264,$A63)</f>
        <v/>
      </c>
      <c r="W63" s="11">
        <f>COUNTIFS('Datos - Objetivos de países'!$B$5:$B$510,"Uruguay",'Datos - Objetivos de países'!$F$5:$F$510,W$3,'Datos - Objetivos de países'!$J$5:$J$510,$A63)+COUNTIFS('Datos - Objetivos de países'!$B$5:$B$510,"Uruguay",'Datos - Objetivos de países'!$F$5:$F$510,W$3,'Datos - Objetivos de países'!$K$5:$K$510,$A63)</f>
        <v/>
      </c>
      <c r="X63" s="11">
        <f>COUNTIFS('Datos - Objetivos de países'!$B$5:$B$510,"Uruguay",'Datos - Objetivos de países'!$F$5:$F$510,X$3,'Datos - Objetivos de países'!$J$5:$J$510,$A63)+COUNTIFS('Datos - Objetivos de países'!$B$5:$B$510,"Uruguay",'Datos - Objetivos de países'!$F$5:$F$510,X$3,'Datos - Objetivos de países'!$K$5:$K$510,$A63)</f>
        <v/>
      </c>
      <c r="Y63" s="11">
        <f>COUNTIFS('Datos - Objetivos de países'!$B$5:$B$510,"Uruguay",'Datos - Objetivos de países'!$F$5:$F$510,Y$3,'Datos - Objetivos de países'!$J$5:$J$510,$A63)+COUNTIFS('Datos - Objetivos de países'!$B$5:$B$510,"Uruguay",'Datos - Objetivos de países'!$F$5:$F$510,Y$3,'Datos - Objetivos de países'!$K$5:$K$510,$A63)</f>
        <v/>
      </c>
      <c r="Z63" s="11">
        <f>COUNTIFS('Datos - Objetivos de países'!$B$5:$B$510,"Uruguay",'Datos - Objetivos de países'!$F$5:$F$510,Z$3,'Datos - Objetivos de países'!$J$5:$J$510,$A63)+COUNTIFS('Datos - Objetivos de países'!$B$5:$B$510,"Uruguay",'Datos - Objetivos de países'!$F$5:$F$510,Z$3,'Datos - Objetivos de países'!$K$5:$K$510,$A63)</f>
        <v/>
      </c>
      <c r="AA63" s="11">
        <f>COUNTIFS('Datos - Objetivos de países'!$B$5:$B$510,"Uruguay",'Datos - Objetivos de países'!$F$5:$F$510,AA$3,'Datos - Objetivos de países'!$J$5:$J$510,$A63)+COUNTIFS('Datos - Objetivos de países'!$B$5:$B$510,"Uruguay",'Datos - Objetivos de países'!$F$5:$F$510,AA$3,'Datos - Objetivos de países'!$K$5:$K$510,$A63)</f>
        <v/>
      </c>
      <c r="AB63" s="11">
        <f>COUNTIFS('Datos - Objetivos de países'!$B$5:$B$510,"Uruguay",'Datos - Objetivos de países'!$F$5:$F$510,AB$3,'Datos - Objetivos de países'!$J$5:$J$510,$A63)+COUNTIFS('Datos - Objetivos de países'!$B$5:$B$510,"Uruguay",'Datos - Objetivos de países'!$F$5:$F$510,AB$3,'Datos - Objetivos de países'!$K$5:$K$510,$A63)</f>
        <v/>
      </c>
      <c r="AC63" s="11">
        <f>COUNTIFS('Datos - Objetivos de países'!$B$5:$B$510,"Uruguay",'Datos - Objetivos de países'!$F$5:$F$510,AC$3,'Datos - Objetivos de países'!$J$5:$J$510,$A63)+COUNTIFS('Datos - Objetivos de países'!$B$5:$B$510,"Uruguay",'Datos - Objetivos de países'!$F$5:$F$510,AC$3,'Datos - Objetivos de países'!$K$5:$K$510,$A63)</f>
        <v/>
      </c>
      <c r="AD63" s="11">
        <f>COUNTIFS('Datos - Objetivos de países'!$B$5:$B$510,"Uruguay",'Datos - Objetivos de países'!$F$5:$F$510,AD$3,'Datos - Objetivos de países'!$J$5:$J$510,$A63)+COUNTIFS('Datos - Objetivos de países'!$B$5:$B$510,"Uruguay",'Datos - Objetivos de países'!$F$5:$F$510,AD$3,'Datos - Objetivos de países'!$K$5:$K$510,$A63)</f>
        <v/>
      </c>
      <c r="AE63" s="11">
        <f>COUNTIFS('Datos - Objetivos de países'!$B$5:$B$510,"Uruguay",'Datos - Objetivos de países'!$F$5:$F$510,AE$3,'Datos - Objetivos de países'!$J$5:$J$510,$A63)+COUNTIFS('Datos - Objetivos de países'!$B$5:$B$510,"Uruguay",'Datos - Objetivos de países'!$F$5:$F$510,AE$3,'Datos - Objetivos de países'!$K$5:$K$510,$A63)</f>
        <v/>
      </c>
      <c r="AF63" s="11">
        <f>COUNTIFS('Datos - Objetivos de países'!$B$5:$B$510,"Colombia",'Datos - Objetivos de países'!$F$5:$F$510,AF$3,'Datos - Objetivos de países'!$J$5:$J$510,$A63)+COUNTIFS('Datos - Objetivos de países'!$B$5:$B$510,"Colombia",'Datos - Objetivos de países'!$F$5:$F$510,AF$3,'Datos - Objetivos de países'!$K$5:$K$510,$A63)</f>
        <v/>
      </c>
      <c r="AG63" s="11">
        <f>COUNTIFS('Datos - Objetivos de países'!$B$5:$B$510,"Colombia",'Datos - Objetivos de países'!$F$5:$F$510,AG$3,'Datos - Objetivos de países'!$J$5:$J$510,$A63)+COUNTIFS('Datos - Objetivos de países'!$B$5:$B$510,"Colombia",'Datos - Objetivos de países'!$F$5:$F$510,AG$3,'Datos - Objetivos de países'!$K$5:$K$510,$A63)</f>
        <v/>
      </c>
      <c r="AH63" s="11">
        <f>COUNTIFS('Datos - Objetivos de países'!$B$5:$B$510,"Colombia",'Datos - Objetivos de países'!$F$5:$F$510,AH$3,'Datos - Objetivos de países'!$J$5:$J$510,$A63)+COUNTIFS('Datos - Objetivos de países'!$B$5:$B$510,"Colombia",'Datos - Objetivos de países'!$F$5:$F$510,AH$3,'Datos - Objetivos de países'!$K$5:$K$510,$A63)</f>
        <v/>
      </c>
      <c r="AI63" s="11">
        <f>COUNTIFS('Datos - Objetivos de países'!$B$5:$B$510,"Colombia",'Datos - Objetivos de países'!$F$5:$F$510,AI$3,'Datos - Objetivos de países'!$J$5:$J$510,$A63)+COUNTIFS('Datos - Objetivos de países'!$B$5:$B$510,"Colombia",'Datos - Objetivos de países'!$F$5:$F$510,AI$3,'Datos - Objetivos de países'!$K$5:$K$510,$A63)</f>
        <v/>
      </c>
      <c r="AJ63" s="11">
        <f>COUNTIFS('Datos - Objetivos de países'!$B$5:$B$510,"Colombia",'Datos - Objetivos de países'!$F$5:$F$510,AJ$3,'Datos - Objetivos de países'!$J$5:$J$510,$A63)+COUNTIFS('Datos - Objetivos de países'!$B$5:$B$510,"Colombia",'Datos - Objetivos de países'!$F$5:$F$510,AJ$3,'Datos - Objetivos de países'!$K$5:$K$510,$A63)</f>
        <v/>
      </c>
      <c r="AK63" s="11">
        <f>COUNTIFS('Datos - Objetivos de países'!$B$5:$B$510,"Colombia",'Datos - Objetivos de países'!$F$5:$F$510,AK$3,'Datos - Objetivos de países'!$J$5:$J$510,$A63)+COUNTIFS('Datos - Objetivos de países'!$B$5:$B$510,"Colombia",'Datos - Objetivos de países'!$F$5:$F$510,AK$3,'Datos - Objetivos de países'!$K$5:$K$510,$A63)</f>
        <v/>
      </c>
      <c r="AL63" s="11">
        <f>COUNTIFS('Datos - Objetivos de países'!$B$5:$B$510,"Colombia",'Datos - Objetivos de países'!$F$5:$F$510,AL$3,'Datos - Objetivos de países'!$J$5:$J$510,$A63)+COUNTIFS('Datos - Objetivos de países'!$B$5:$B$510,"Colombia",'Datos - Objetivos de países'!$F$5:$F$510,AL$3,'Datos - Objetivos de países'!$K$5:$K$510,$A63)</f>
        <v/>
      </c>
      <c r="AM63" s="11">
        <f>COUNTIFS('Datos - Objetivos de países'!$B$5:$B$510,"Colombia",'Datos - Objetivos de países'!$F$5:$F$510,AM$3,'Datos - Objetivos de países'!$J$5:$J$510,$A63)+COUNTIFS('Datos - Objetivos de países'!$B$5:$B$510,"Colombia",'Datos - Objetivos de países'!$F$5:$F$510,AM$3,'Datos - Objetivos de países'!$K$5:$K$510,$A63)</f>
        <v/>
      </c>
      <c r="AN63" s="11">
        <f>COUNTIFS('Datos - Objetivos de países'!$B$5:$B$510,"Colombia",'Datos - Objetivos de países'!$F$5:$F$510,AN$3,'Datos - Objetivos de países'!$J$5:$J$510,$A63)+COUNTIFS('Datos - Objetivos de países'!$B$5:$B$510,"Colombia",'Datos - Objetivos de países'!$F$5:$F$510,AN$3,'Datos - Objetivos de países'!$K$5:$K$510,$A63)</f>
        <v/>
      </c>
      <c r="AO63" s="11">
        <f>COUNTIFS('Datos - Objetivos de países'!$B$5:$B$510,"Singapur",'Datos - Objetivos de países'!$F$5:$F$510,AO$3,'Datos - Objetivos de países'!$J$5:$J$510,$A63)+COUNTIFS('Datos - Objetivos de países'!$B$5:$B$510,"Singapur",'Datos - Objetivos de países'!$F$5:$F$510,AO$3,'Datos - Objetivos de países'!$K$5:$K$510,$A63)</f>
        <v/>
      </c>
      <c r="AP63" s="11">
        <f>COUNTIFS('Datos - Objetivos de países'!$B$5:$B$510,"Singapur",'Datos - Objetivos de países'!$F$5:$F$510,AP$3,'Datos - Objetivos de países'!$J$5:$J$510,$A63)+COUNTIFS('Datos - Objetivos de países'!$B$5:$B$510,"Singapur",'Datos - Objetivos de países'!$F$5:$F$510,AP$3,'Datos - Objetivos de países'!$K$5:$K$510,$A63)</f>
        <v/>
      </c>
      <c r="AQ63" s="11">
        <f>COUNTIFS('Datos - Objetivos de países'!$B$5:$B$510,"Singapur",'Datos - Objetivos de países'!$F$5:$F$510,AQ$3,'Datos - Objetivos de países'!$J$5:$J$510,$A63)+COUNTIFS('Datos - Objetivos de países'!$B$5:$B$510,"Singapur",'Datos - Objetivos de países'!$F$5:$F$510,AQ$3,'Datos - Objetivos de países'!$K$5:$K$510,$A63)</f>
        <v/>
      </c>
      <c r="AR63" s="11">
        <f>COUNTIFS('Datos - Objetivos de países'!$B$5:$B$510,"Singapur",'Datos - Objetivos de países'!$F$5:$F$510,AR$3,'Datos - Objetivos de países'!$J$5:$J$510,$A63)+COUNTIFS('Datos - Objetivos de países'!$B$5:$B$510,"Singapur",'Datos - Objetivos de países'!$F$5:$F$510,AR$3,'Datos - Objetivos de países'!$K$5:$K$510,$A63)</f>
        <v/>
      </c>
      <c r="AS63" s="11">
        <f>COUNTIFS('Datos - Objetivos de países'!$B$5:$B$510,"Singapur",'Datos - Objetivos de países'!$F$5:$F$510,AS$3,'Datos - Objetivos de países'!$J$5:$J$510,$A63)+COUNTIFS('Datos - Objetivos de países'!$B$5:$B$510,"Singapur",'Datos - Objetivos de países'!$F$5:$F$510,AS$3,'Datos - Objetivos de países'!$K$5:$K$510,$A63)</f>
        <v/>
      </c>
      <c r="AT63" s="11">
        <f>COUNTIFS('Datos - Objetivos de países'!$B$5:$B$510,"Singapur",'Datos - Objetivos de países'!$F$5:$F$510,AT$3,'Datos - Objetivos de países'!$J$5:$J$510,$A63)+COUNTIFS('Datos - Objetivos de países'!$B$5:$B$510,"Singapur",'Datos - Objetivos de países'!$F$5:$F$510,AT$3,'Datos - Objetivos de países'!$K$5:$K$510,$A63)</f>
        <v/>
      </c>
      <c r="AU63" s="11">
        <f>COUNTIFS('Datos - Objetivos de países'!$B$5:$B$510,"Singapur",'Datos - Objetivos de países'!$F$5:$F$510,AU$3,'Datos - Objetivos de países'!$J$5:$J$510,$A63)+COUNTIFS('Datos - Objetivos de países'!$B$5:$B$510,"Singapur",'Datos - Objetivos de países'!$F$5:$F$510,AU$3,'Datos - Objetivos de países'!$K$5:$K$510,$A63)</f>
        <v/>
      </c>
      <c r="AV63" s="11">
        <f>COUNTIFS('Datos - Objetivos de países'!$B$5:$B$510,"Singapur",'Datos - Objetivos de países'!$F$5:$F$510,AV$3,'Datos - Objetivos de países'!$J$5:$J$510,$A63)+COUNTIFS('Datos - Objetivos de países'!$B$5:$B$510,"Singapur",'Datos - Objetivos de países'!$F$5:$F$510,AV$3,'Datos - Objetivos de países'!$K$5:$K$510,$A63)</f>
        <v/>
      </c>
      <c r="AW63" s="11">
        <f>COUNTIFS('Datos - Objetivos de países'!$B$5:$B$510,"Singapur",'Datos - Objetivos de países'!$F$5:$F$510,AW$3,'Datos - Objetivos de países'!$J$5:$J$510,$A63)+COUNTIFS('Datos - Objetivos de países'!$B$5:$B$510,"Singapur",'Datos - Objetivos de países'!$F$5:$F$510,AW$3,'Datos - Objetivos de países'!$K$5:$K$510,$A63)</f>
        <v/>
      </c>
    </row>
    <row r="64">
      <c r="A64" s="30" t="inlineStr">
        <is>
          <t>T8_27-P2.1</t>
        </is>
      </c>
      <c r="B64" s="30" t="inlineStr">
        <is>
          <t>T8_27</t>
        </is>
      </c>
      <c r="C64" s="30" t="inlineStr">
        <is>
          <t>Física</t>
        </is>
      </c>
      <c r="D64" s="30" t="inlineStr">
        <is>
          <t>Formas de energía y conservación de la energía</t>
        </is>
      </c>
      <c r="E64" s="30">
        <f>IFERROR(MAX($L$3,INDEX($N$3:$V$3,MATCH(TRUE,INDEX(N64:V64&gt;0,0),0))),"—")</f>
        <v/>
      </c>
      <c r="F64" s="30">
        <f>IFERROR(MAX($L$3,INDEX($W$3:$AE$3,MATCH(TRUE,INDEX(W64:AE64&gt;0,0),0))),"—")</f>
        <v/>
      </c>
      <c r="G64" s="30">
        <f>IFERROR(MAX($L$3,INDEX($AF$3:$AN$3,MATCH(TRUE,INDEX(AF64:AN64&gt;0,0),0))),"—")</f>
        <v/>
      </c>
      <c r="H64" s="30">
        <f>IFERROR(MAX($L$3,INDEX($AO$3:$AW$3,MATCH(TRUE,INDEX(AO64:AW64&gt;0,0),0))),"—")</f>
        <v/>
      </c>
      <c r="I64" s="36">
        <f>IF(L64=0,"—",MEDIAN(F64:H64))</f>
        <v/>
      </c>
      <c r="J64" s="36">
        <f>IF(OR(E64="—",I64="—"),"—",E64-I64)</f>
        <v/>
      </c>
      <c r="K64" s="19">
        <f>IF(E64="—",IF(L64=0,"Nadie lo trabaja","El Salvador no llega"),IF(L64=0,"Solo El Salvador",IF(J64&gt;0,"El Salvador llega más tarde",IF(J64&lt;0,"El Salvador va adelantado","Mismo grado"))))</f>
        <v/>
      </c>
      <c r="L64" s="30">
        <f>COUNT(F64:H64)</f>
        <v/>
      </c>
      <c r="N64" s="11">
        <f>COUNTIFS('Datos - Temas'!$C$5:$C$1264,"Ciencias",'Datos - Temas'!$B$5:$B$1264,N$3,'Datos - Temas'!$K$5:$K$1264,$A64)+COUNTIFS('Datos - Temas'!$C$5:$C$1264,"Ciencias",'Datos - Temas'!$B$5:$B$1264,N$3,'Datos - Temas'!$L$5:$L$1264,$A64)</f>
        <v/>
      </c>
      <c r="O64" s="11">
        <f>COUNTIFS('Datos - Temas'!$C$5:$C$1264,"Ciencias",'Datos - Temas'!$B$5:$B$1264,O$3,'Datos - Temas'!$K$5:$K$1264,$A64)+COUNTIFS('Datos - Temas'!$C$5:$C$1264,"Ciencias",'Datos - Temas'!$B$5:$B$1264,O$3,'Datos - Temas'!$L$5:$L$1264,$A64)</f>
        <v/>
      </c>
      <c r="P64" s="11">
        <f>COUNTIFS('Datos - Temas'!$C$5:$C$1264,"Ciencias",'Datos - Temas'!$B$5:$B$1264,P$3,'Datos - Temas'!$K$5:$K$1264,$A64)+COUNTIFS('Datos - Temas'!$C$5:$C$1264,"Ciencias",'Datos - Temas'!$B$5:$B$1264,P$3,'Datos - Temas'!$L$5:$L$1264,$A64)</f>
        <v/>
      </c>
      <c r="Q64" s="11">
        <f>COUNTIFS('Datos - Temas'!$C$5:$C$1264,"Ciencias",'Datos - Temas'!$B$5:$B$1264,Q$3,'Datos - Temas'!$K$5:$K$1264,$A64)+COUNTIFS('Datos - Temas'!$C$5:$C$1264,"Ciencias",'Datos - Temas'!$B$5:$B$1264,Q$3,'Datos - Temas'!$L$5:$L$1264,$A64)</f>
        <v/>
      </c>
      <c r="R64" s="11">
        <f>COUNTIFS('Datos - Temas'!$C$5:$C$1264,"Ciencias",'Datos - Temas'!$B$5:$B$1264,R$3,'Datos - Temas'!$K$5:$K$1264,$A64)+COUNTIFS('Datos - Temas'!$C$5:$C$1264,"Ciencias",'Datos - Temas'!$B$5:$B$1264,R$3,'Datos - Temas'!$L$5:$L$1264,$A64)</f>
        <v/>
      </c>
      <c r="S64" s="11">
        <f>COUNTIFS('Datos - Temas'!$C$5:$C$1264,"Ciencias",'Datos - Temas'!$B$5:$B$1264,S$3,'Datos - Temas'!$K$5:$K$1264,$A64)+COUNTIFS('Datos - Temas'!$C$5:$C$1264,"Ciencias",'Datos - Temas'!$B$5:$B$1264,S$3,'Datos - Temas'!$L$5:$L$1264,$A64)</f>
        <v/>
      </c>
      <c r="T64" s="11">
        <f>COUNTIFS('Datos - Temas'!$C$5:$C$1264,"Ciencias",'Datos - Temas'!$B$5:$B$1264,T$3,'Datos - Temas'!$K$5:$K$1264,$A64)+COUNTIFS('Datos - Temas'!$C$5:$C$1264,"Ciencias",'Datos - Temas'!$B$5:$B$1264,T$3,'Datos - Temas'!$L$5:$L$1264,$A64)</f>
        <v/>
      </c>
      <c r="U64" s="11">
        <f>COUNTIFS('Datos - Temas'!$C$5:$C$1264,"Ciencias",'Datos - Temas'!$B$5:$B$1264,U$3,'Datos - Temas'!$K$5:$K$1264,$A64)+COUNTIFS('Datos - Temas'!$C$5:$C$1264,"Ciencias",'Datos - Temas'!$B$5:$B$1264,U$3,'Datos - Temas'!$L$5:$L$1264,$A64)</f>
        <v/>
      </c>
      <c r="V64" s="11">
        <f>COUNTIFS('Datos - Temas'!$C$5:$C$1264,"Ciencias",'Datos - Temas'!$B$5:$B$1264,V$3,'Datos - Temas'!$K$5:$K$1264,$A64)+COUNTIFS('Datos - Temas'!$C$5:$C$1264,"Ciencias",'Datos - Temas'!$B$5:$B$1264,V$3,'Datos - Temas'!$L$5:$L$1264,$A64)</f>
        <v/>
      </c>
      <c r="W64" s="11">
        <f>COUNTIFS('Datos - Objetivos de países'!$B$5:$B$510,"Uruguay",'Datos - Objetivos de países'!$F$5:$F$510,W$3,'Datos - Objetivos de países'!$J$5:$J$510,$A64)+COUNTIFS('Datos - Objetivos de países'!$B$5:$B$510,"Uruguay",'Datos - Objetivos de países'!$F$5:$F$510,W$3,'Datos - Objetivos de países'!$K$5:$K$510,$A64)</f>
        <v/>
      </c>
      <c r="X64" s="11">
        <f>COUNTIFS('Datos - Objetivos de países'!$B$5:$B$510,"Uruguay",'Datos - Objetivos de países'!$F$5:$F$510,X$3,'Datos - Objetivos de países'!$J$5:$J$510,$A64)+COUNTIFS('Datos - Objetivos de países'!$B$5:$B$510,"Uruguay",'Datos - Objetivos de países'!$F$5:$F$510,X$3,'Datos - Objetivos de países'!$K$5:$K$510,$A64)</f>
        <v/>
      </c>
      <c r="Y64" s="11">
        <f>COUNTIFS('Datos - Objetivos de países'!$B$5:$B$510,"Uruguay",'Datos - Objetivos de países'!$F$5:$F$510,Y$3,'Datos - Objetivos de países'!$J$5:$J$510,$A64)+COUNTIFS('Datos - Objetivos de países'!$B$5:$B$510,"Uruguay",'Datos - Objetivos de países'!$F$5:$F$510,Y$3,'Datos - Objetivos de países'!$K$5:$K$510,$A64)</f>
        <v/>
      </c>
      <c r="Z64" s="11">
        <f>COUNTIFS('Datos - Objetivos de países'!$B$5:$B$510,"Uruguay",'Datos - Objetivos de países'!$F$5:$F$510,Z$3,'Datos - Objetivos de países'!$J$5:$J$510,$A64)+COUNTIFS('Datos - Objetivos de países'!$B$5:$B$510,"Uruguay",'Datos - Objetivos de países'!$F$5:$F$510,Z$3,'Datos - Objetivos de países'!$K$5:$K$510,$A64)</f>
        <v/>
      </c>
      <c r="AA64" s="11">
        <f>COUNTIFS('Datos - Objetivos de países'!$B$5:$B$510,"Uruguay",'Datos - Objetivos de países'!$F$5:$F$510,AA$3,'Datos - Objetivos de países'!$J$5:$J$510,$A64)+COUNTIFS('Datos - Objetivos de países'!$B$5:$B$510,"Uruguay",'Datos - Objetivos de países'!$F$5:$F$510,AA$3,'Datos - Objetivos de países'!$K$5:$K$510,$A64)</f>
        <v/>
      </c>
      <c r="AB64" s="11">
        <f>COUNTIFS('Datos - Objetivos de países'!$B$5:$B$510,"Uruguay",'Datos - Objetivos de países'!$F$5:$F$510,AB$3,'Datos - Objetivos de países'!$J$5:$J$510,$A64)+COUNTIFS('Datos - Objetivos de países'!$B$5:$B$510,"Uruguay",'Datos - Objetivos de países'!$F$5:$F$510,AB$3,'Datos - Objetivos de países'!$K$5:$K$510,$A64)</f>
        <v/>
      </c>
      <c r="AC64" s="11">
        <f>COUNTIFS('Datos - Objetivos de países'!$B$5:$B$510,"Uruguay",'Datos - Objetivos de países'!$F$5:$F$510,AC$3,'Datos - Objetivos de países'!$J$5:$J$510,$A64)+COUNTIFS('Datos - Objetivos de países'!$B$5:$B$510,"Uruguay",'Datos - Objetivos de países'!$F$5:$F$510,AC$3,'Datos - Objetivos de países'!$K$5:$K$510,$A64)</f>
        <v/>
      </c>
      <c r="AD64" s="11">
        <f>COUNTIFS('Datos - Objetivos de países'!$B$5:$B$510,"Uruguay",'Datos - Objetivos de países'!$F$5:$F$510,AD$3,'Datos - Objetivos de países'!$J$5:$J$510,$A64)+COUNTIFS('Datos - Objetivos de países'!$B$5:$B$510,"Uruguay",'Datos - Objetivos de países'!$F$5:$F$510,AD$3,'Datos - Objetivos de países'!$K$5:$K$510,$A64)</f>
        <v/>
      </c>
      <c r="AE64" s="11">
        <f>COUNTIFS('Datos - Objetivos de países'!$B$5:$B$510,"Uruguay",'Datos - Objetivos de países'!$F$5:$F$510,AE$3,'Datos - Objetivos de países'!$J$5:$J$510,$A64)+COUNTIFS('Datos - Objetivos de países'!$B$5:$B$510,"Uruguay",'Datos - Objetivos de países'!$F$5:$F$510,AE$3,'Datos - Objetivos de países'!$K$5:$K$510,$A64)</f>
        <v/>
      </c>
      <c r="AF64" s="11">
        <f>COUNTIFS('Datos - Objetivos de países'!$B$5:$B$510,"Colombia",'Datos - Objetivos de países'!$F$5:$F$510,AF$3,'Datos - Objetivos de países'!$J$5:$J$510,$A64)+COUNTIFS('Datos - Objetivos de países'!$B$5:$B$510,"Colombia",'Datos - Objetivos de países'!$F$5:$F$510,AF$3,'Datos - Objetivos de países'!$K$5:$K$510,$A64)</f>
        <v/>
      </c>
      <c r="AG64" s="11">
        <f>COUNTIFS('Datos - Objetivos de países'!$B$5:$B$510,"Colombia",'Datos - Objetivos de países'!$F$5:$F$510,AG$3,'Datos - Objetivos de países'!$J$5:$J$510,$A64)+COUNTIFS('Datos - Objetivos de países'!$B$5:$B$510,"Colombia",'Datos - Objetivos de países'!$F$5:$F$510,AG$3,'Datos - Objetivos de países'!$K$5:$K$510,$A64)</f>
        <v/>
      </c>
      <c r="AH64" s="11">
        <f>COUNTIFS('Datos - Objetivos de países'!$B$5:$B$510,"Colombia",'Datos - Objetivos de países'!$F$5:$F$510,AH$3,'Datos - Objetivos de países'!$J$5:$J$510,$A64)+COUNTIFS('Datos - Objetivos de países'!$B$5:$B$510,"Colombia",'Datos - Objetivos de países'!$F$5:$F$510,AH$3,'Datos - Objetivos de países'!$K$5:$K$510,$A64)</f>
        <v/>
      </c>
      <c r="AI64" s="11">
        <f>COUNTIFS('Datos - Objetivos de países'!$B$5:$B$510,"Colombia",'Datos - Objetivos de países'!$F$5:$F$510,AI$3,'Datos - Objetivos de países'!$J$5:$J$510,$A64)+COUNTIFS('Datos - Objetivos de países'!$B$5:$B$510,"Colombia",'Datos - Objetivos de países'!$F$5:$F$510,AI$3,'Datos - Objetivos de países'!$K$5:$K$510,$A64)</f>
        <v/>
      </c>
      <c r="AJ64" s="11">
        <f>COUNTIFS('Datos - Objetivos de países'!$B$5:$B$510,"Colombia",'Datos - Objetivos de países'!$F$5:$F$510,AJ$3,'Datos - Objetivos de países'!$J$5:$J$510,$A64)+COUNTIFS('Datos - Objetivos de países'!$B$5:$B$510,"Colombia",'Datos - Objetivos de países'!$F$5:$F$510,AJ$3,'Datos - Objetivos de países'!$K$5:$K$510,$A64)</f>
        <v/>
      </c>
      <c r="AK64" s="11">
        <f>COUNTIFS('Datos - Objetivos de países'!$B$5:$B$510,"Colombia",'Datos - Objetivos de países'!$F$5:$F$510,AK$3,'Datos - Objetivos de países'!$J$5:$J$510,$A64)+COUNTIFS('Datos - Objetivos de países'!$B$5:$B$510,"Colombia",'Datos - Objetivos de países'!$F$5:$F$510,AK$3,'Datos - Objetivos de países'!$K$5:$K$510,$A64)</f>
        <v/>
      </c>
      <c r="AL64" s="11">
        <f>COUNTIFS('Datos - Objetivos de países'!$B$5:$B$510,"Colombia",'Datos - Objetivos de países'!$F$5:$F$510,AL$3,'Datos - Objetivos de países'!$J$5:$J$510,$A64)+COUNTIFS('Datos - Objetivos de países'!$B$5:$B$510,"Colombia",'Datos - Objetivos de países'!$F$5:$F$510,AL$3,'Datos - Objetivos de países'!$K$5:$K$510,$A64)</f>
        <v/>
      </c>
      <c r="AM64" s="11">
        <f>COUNTIFS('Datos - Objetivos de países'!$B$5:$B$510,"Colombia",'Datos - Objetivos de países'!$F$5:$F$510,AM$3,'Datos - Objetivos de países'!$J$5:$J$510,$A64)+COUNTIFS('Datos - Objetivos de países'!$B$5:$B$510,"Colombia",'Datos - Objetivos de países'!$F$5:$F$510,AM$3,'Datos - Objetivos de países'!$K$5:$K$510,$A64)</f>
        <v/>
      </c>
      <c r="AN64" s="11">
        <f>COUNTIFS('Datos - Objetivos de países'!$B$5:$B$510,"Colombia",'Datos - Objetivos de países'!$F$5:$F$510,AN$3,'Datos - Objetivos de países'!$J$5:$J$510,$A64)+COUNTIFS('Datos - Objetivos de países'!$B$5:$B$510,"Colombia",'Datos - Objetivos de países'!$F$5:$F$510,AN$3,'Datos - Objetivos de países'!$K$5:$K$510,$A64)</f>
        <v/>
      </c>
      <c r="AO64" s="11">
        <f>COUNTIFS('Datos - Objetivos de países'!$B$5:$B$510,"Singapur",'Datos - Objetivos de países'!$F$5:$F$510,AO$3,'Datos - Objetivos de países'!$J$5:$J$510,$A64)+COUNTIFS('Datos - Objetivos de países'!$B$5:$B$510,"Singapur",'Datos - Objetivos de países'!$F$5:$F$510,AO$3,'Datos - Objetivos de países'!$K$5:$K$510,$A64)</f>
        <v/>
      </c>
      <c r="AP64" s="11">
        <f>COUNTIFS('Datos - Objetivos de países'!$B$5:$B$510,"Singapur",'Datos - Objetivos de países'!$F$5:$F$510,AP$3,'Datos - Objetivos de países'!$J$5:$J$510,$A64)+COUNTIFS('Datos - Objetivos de países'!$B$5:$B$510,"Singapur",'Datos - Objetivos de países'!$F$5:$F$510,AP$3,'Datos - Objetivos de países'!$K$5:$K$510,$A64)</f>
        <v/>
      </c>
      <c r="AQ64" s="11">
        <f>COUNTIFS('Datos - Objetivos de países'!$B$5:$B$510,"Singapur",'Datos - Objetivos de países'!$F$5:$F$510,AQ$3,'Datos - Objetivos de países'!$J$5:$J$510,$A64)+COUNTIFS('Datos - Objetivos de países'!$B$5:$B$510,"Singapur",'Datos - Objetivos de países'!$F$5:$F$510,AQ$3,'Datos - Objetivos de países'!$K$5:$K$510,$A64)</f>
        <v/>
      </c>
      <c r="AR64" s="11">
        <f>COUNTIFS('Datos - Objetivos de países'!$B$5:$B$510,"Singapur",'Datos - Objetivos de países'!$F$5:$F$510,AR$3,'Datos - Objetivos de países'!$J$5:$J$510,$A64)+COUNTIFS('Datos - Objetivos de países'!$B$5:$B$510,"Singapur",'Datos - Objetivos de países'!$F$5:$F$510,AR$3,'Datos - Objetivos de países'!$K$5:$K$510,$A64)</f>
        <v/>
      </c>
      <c r="AS64" s="11">
        <f>COUNTIFS('Datos - Objetivos de países'!$B$5:$B$510,"Singapur",'Datos - Objetivos de países'!$F$5:$F$510,AS$3,'Datos - Objetivos de países'!$J$5:$J$510,$A64)+COUNTIFS('Datos - Objetivos de países'!$B$5:$B$510,"Singapur",'Datos - Objetivos de países'!$F$5:$F$510,AS$3,'Datos - Objetivos de países'!$K$5:$K$510,$A64)</f>
        <v/>
      </c>
      <c r="AT64" s="11">
        <f>COUNTIFS('Datos - Objetivos de países'!$B$5:$B$510,"Singapur",'Datos - Objetivos de países'!$F$5:$F$510,AT$3,'Datos - Objetivos de países'!$J$5:$J$510,$A64)+COUNTIFS('Datos - Objetivos de países'!$B$5:$B$510,"Singapur",'Datos - Objetivos de países'!$F$5:$F$510,AT$3,'Datos - Objetivos de países'!$K$5:$K$510,$A64)</f>
        <v/>
      </c>
      <c r="AU64" s="11">
        <f>COUNTIFS('Datos - Objetivos de países'!$B$5:$B$510,"Singapur",'Datos - Objetivos de países'!$F$5:$F$510,AU$3,'Datos - Objetivos de países'!$J$5:$J$510,$A64)+COUNTIFS('Datos - Objetivos de países'!$B$5:$B$510,"Singapur",'Datos - Objetivos de países'!$F$5:$F$510,AU$3,'Datos - Objetivos de países'!$K$5:$K$510,$A64)</f>
        <v/>
      </c>
      <c r="AV64" s="11">
        <f>COUNTIFS('Datos - Objetivos de países'!$B$5:$B$510,"Singapur",'Datos - Objetivos de países'!$F$5:$F$510,AV$3,'Datos - Objetivos de países'!$J$5:$J$510,$A64)+COUNTIFS('Datos - Objetivos de países'!$B$5:$B$510,"Singapur",'Datos - Objetivos de países'!$F$5:$F$510,AV$3,'Datos - Objetivos de países'!$K$5:$K$510,$A64)</f>
        <v/>
      </c>
      <c r="AW64" s="11">
        <f>COUNTIFS('Datos - Objetivos de países'!$B$5:$B$510,"Singapur",'Datos - Objetivos de países'!$F$5:$F$510,AW$3,'Datos - Objetivos de países'!$J$5:$J$510,$A64)+COUNTIFS('Datos - Objetivos de países'!$B$5:$B$510,"Singapur",'Datos - Objetivos de países'!$F$5:$F$510,AW$3,'Datos - Objetivos de países'!$K$5:$K$510,$A64)</f>
        <v/>
      </c>
    </row>
    <row r="65">
      <c r="A65" s="30" t="inlineStr">
        <is>
          <t>T8_27-P2.2</t>
        </is>
      </c>
      <c r="B65" s="30" t="inlineStr">
        <is>
          <t>T8_27</t>
        </is>
      </c>
      <c r="C65" s="30" t="inlineStr">
        <is>
          <t>Física</t>
        </is>
      </c>
      <c r="D65" s="30" t="inlineStr">
        <is>
          <t>Transferencia de energía térmica</t>
        </is>
      </c>
      <c r="E65" s="30">
        <f>IFERROR(MAX($L$3,INDEX($N$3:$V$3,MATCH(TRUE,INDEX(N65:V65&gt;0,0),0))),"—")</f>
        <v/>
      </c>
      <c r="F65" s="30">
        <f>IFERROR(MAX($L$3,INDEX($W$3:$AE$3,MATCH(TRUE,INDEX(W65:AE65&gt;0,0),0))),"—")</f>
        <v/>
      </c>
      <c r="G65" s="30">
        <f>IFERROR(MAX($L$3,INDEX($AF$3:$AN$3,MATCH(TRUE,INDEX(AF65:AN65&gt;0,0),0))),"—")</f>
        <v/>
      </c>
      <c r="H65" s="30">
        <f>IFERROR(MAX($L$3,INDEX($AO$3:$AW$3,MATCH(TRUE,INDEX(AO65:AW65&gt;0,0),0))),"—")</f>
        <v/>
      </c>
      <c r="I65" s="36">
        <f>IF(L65=0,"—",MEDIAN(F65:H65))</f>
        <v/>
      </c>
      <c r="J65" s="36">
        <f>IF(OR(E65="—",I65="—"),"—",E65-I65)</f>
        <v/>
      </c>
      <c r="K65" s="19">
        <f>IF(E65="—",IF(L65=0,"Nadie lo trabaja","El Salvador no llega"),IF(L65=0,"Solo El Salvador",IF(J65&gt;0,"El Salvador llega más tarde",IF(J65&lt;0,"El Salvador va adelantado","Mismo grado"))))</f>
        <v/>
      </c>
      <c r="L65" s="30">
        <f>COUNT(F65:H65)</f>
        <v/>
      </c>
      <c r="N65" s="11">
        <f>COUNTIFS('Datos - Temas'!$C$5:$C$1264,"Ciencias",'Datos - Temas'!$B$5:$B$1264,N$3,'Datos - Temas'!$K$5:$K$1264,$A65)+COUNTIFS('Datos - Temas'!$C$5:$C$1264,"Ciencias",'Datos - Temas'!$B$5:$B$1264,N$3,'Datos - Temas'!$L$5:$L$1264,$A65)</f>
        <v/>
      </c>
      <c r="O65" s="11">
        <f>COUNTIFS('Datos - Temas'!$C$5:$C$1264,"Ciencias",'Datos - Temas'!$B$5:$B$1264,O$3,'Datos - Temas'!$K$5:$K$1264,$A65)+COUNTIFS('Datos - Temas'!$C$5:$C$1264,"Ciencias",'Datos - Temas'!$B$5:$B$1264,O$3,'Datos - Temas'!$L$5:$L$1264,$A65)</f>
        <v/>
      </c>
      <c r="P65" s="11">
        <f>COUNTIFS('Datos - Temas'!$C$5:$C$1264,"Ciencias",'Datos - Temas'!$B$5:$B$1264,P$3,'Datos - Temas'!$K$5:$K$1264,$A65)+COUNTIFS('Datos - Temas'!$C$5:$C$1264,"Ciencias",'Datos - Temas'!$B$5:$B$1264,P$3,'Datos - Temas'!$L$5:$L$1264,$A65)</f>
        <v/>
      </c>
      <c r="Q65" s="11">
        <f>COUNTIFS('Datos - Temas'!$C$5:$C$1264,"Ciencias",'Datos - Temas'!$B$5:$B$1264,Q$3,'Datos - Temas'!$K$5:$K$1264,$A65)+COUNTIFS('Datos - Temas'!$C$5:$C$1264,"Ciencias",'Datos - Temas'!$B$5:$B$1264,Q$3,'Datos - Temas'!$L$5:$L$1264,$A65)</f>
        <v/>
      </c>
      <c r="R65" s="11">
        <f>COUNTIFS('Datos - Temas'!$C$5:$C$1264,"Ciencias",'Datos - Temas'!$B$5:$B$1264,R$3,'Datos - Temas'!$K$5:$K$1264,$A65)+COUNTIFS('Datos - Temas'!$C$5:$C$1264,"Ciencias",'Datos - Temas'!$B$5:$B$1264,R$3,'Datos - Temas'!$L$5:$L$1264,$A65)</f>
        <v/>
      </c>
      <c r="S65" s="11">
        <f>COUNTIFS('Datos - Temas'!$C$5:$C$1264,"Ciencias",'Datos - Temas'!$B$5:$B$1264,S$3,'Datos - Temas'!$K$5:$K$1264,$A65)+COUNTIFS('Datos - Temas'!$C$5:$C$1264,"Ciencias",'Datos - Temas'!$B$5:$B$1264,S$3,'Datos - Temas'!$L$5:$L$1264,$A65)</f>
        <v/>
      </c>
      <c r="T65" s="11">
        <f>COUNTIFS('Datos - Temas'!$C$5:$C$1264,"Ciencias",'Datos - Temas'!$B$5:$B$1264,T$3,'Datos - Temas'!$K$5:$K$1264,$A65)+COUNTIFS('Datos - Temas'!$C$5:$C$1264,"Ciencias",'Datos - Temas'!$B$5:$B$1264,T$3,'Datos - Temas'!$L$5:$L$1264,$A65)</f>
        <v/>
      </c>
      <c r="U65" s="11">
        <f>COUNTIFS('Datos - Temas'!$C$5:$C$1264,"Ciencias",'Datos - Temas'!$B$5:$B$1264,U$3,'Datos - Temas'!$K$5:$K$1264,$A65)+COUNTIFS('Datos - Temas'!$C$5:$C$1264,"Ciencias",'Datos - Temas'!$B$5:$B$1264,U$3,'Datos - Temas'!$L$5:$L$1264,$A65)</f>
        <v/>
      </c>
      <c r="V65" s="11">
        <f>COUNTIFS('Datos - Temas'!$C$5:$C$1264,"Ciencias",'Datos - Temas'!$B$5:$B$1264,V$3,'Datos - Temas'!$K$5:$K$1264,$A65)+COUNTIFS('Datos - Temas'!$C$5:$C$1264,"Ciencias",'Datos - Temas'!$B$5:$B$1264,V$3,'Datos - Temas'!$L$5:$L$1264,$A65)</f>
        <v/>
      </c>
      <c r="W65" s="11">
        <f>COUNTIFS('Datos - Objetivos de países'!$B$5:$B$510,"Uruguay",'Datos - Objetivos de países'!$F$5:$F$510,W$3,'Datos - Objetivos de países'!$J$5:$J$510,$A65)+COUNTIFS('Datos - Objetivos de países'!$B$5:$B$510,"Uruguay",'Datos - Objetivos de países'!$F$5:$F$510,W$3,'Datos - Objetivos de países'!$K$5:$K$510,$A65)</f>
        <v/>
      </c>
      <c r="X65" s="11">
        <f>COUNTIFS('Datos - Objetivos de países'!$B$5:$B$510,"Uruguay",'Datos - Objetivos de países'!$F$5:$F$510,X$3,'Datos - Objetivos de países'!$J$5:$J$510,$A65)+COUNTIFS('Datos - Objetivos de países'!$B$5:$B$510,"Uruguay",'Datos - Objetivos de países'!$F$5:$F$510,X$3,'Datos - Objetivos de países'!$K$5:$K$510,$A65)</f>
        <v/>
      </c>
      <c r="Y65" s="11">
        <f>COUNTIFS('Datos - Objetivos de países'!$B$5:$B$510,"Uruguay",'Datos - Objetivos de países'!$F$5:$F$510,Y$3,'Datos - Objetivos de países'!$J$5:$J$510,$A65)+COUNTIFS('Datos - Objetivos de países'!$B$5:$B$510,"Uruguay",'Datos - Objetivos de países'!$F$5:$F$510,Y$3,'Datos - Objetivos de países'!$K$5:$K$510,$A65)</f>
        <v/>
      </c>
      <c r="Z65" s="11">
        <f>COUNTIFS('Datos - Objetivos de países'!$B$5:$B$510,"Uruguay",'Datos - Objetivos de países'!$F$5:$F$510,Z$3,'Datos - Objetivos de países'!$J$5:$J$510,$A65)+COUNTIFS('Datos - Objetivos de países'!$B$5:$B$510,"Uruguay",'Datos - Objetivos de países'!$F$5:$F$510,Z$3,'Datos - Objetivos de países'!$K$5:$K$510,$A65)</f>
        <v/>
      </c>
      <c r="AA65" s="11">
        <f>COUNTIFS('Datos - Objetivos de países'!$B$5:$B$510,"Uruguay",'Datos - Objetivos de países'!$F$5:$F$510,AA$3,'Datos - Objetivos de países'!$J$5:$J$510,$A65)+COUNTIFS('Datos - Objetivos de países'!$B$5:$B$510,"Uruguay",'Datos - Objetivos de países'!$F$5:$F$510,AA$3,'Datos - Objetivos de países'!$K$5:$K$510,$A65)</f>
        <v/>
      </c>
      <c r="AB65" s="11">
        <f>COUNTIFS('Datos - Objetivos de países'!$B$5:$B$510,"Uruguay",'Datos - Objetivos de países'!$F$5:$F$510,AB$3,'Datos - Objetivos de países'!$J$5:$J$510,$A65)+COUNTIFS('Datos - Objetivos de países'!$B$5:$B$510,"Uruguay",'Datos - Objetivos de países'!$F$5:$F$510,AB$3,'Datos - Objetivos de países'!$K$5:$K$510,$A65)</f>
        <v/>
      </c>
      <c r="AC65" s="11">
        <f>COUNTIFS('Datos - Objetivos de países'!$B$5:$B$510,"Uruguay",'Datos - Objetivos de países'!$F$5:$F$510,AC$3,'Datos - Objetivos de países'!$J$5:$J$510,$A65)+COUNTIFS('Datos - Objetivos de países'!$B$5:$B$510,"Uruguay",'Datos - Objetivos de países'!$F$5:$F$510,AC$3,'Datos - Objetivos de países'!$K$5:$K$510,$A65)</f>
        <v/>
      </c>
      <c r="AD65" s="11">
        <f>COUNTIFS('Datos - Objetivos de países'!$B$5:$B$510,"Uruguay",'Datos - Objetivos de países'!$F$5:$F$510,AD$3,'Datos - Objetivos de países'!$J$5:$J$510,$A65)+COUNTIFS('Datos - Objetivos de países'!$B$5:$B$510,"Uruguay",'Datos - Objetivos de países'!$F$5:$F$510,AD$3,'Datos - Objetivos de países'!$K$5:$K$510,$A65)</f>
        <v/>
      </c>
      <c r="AE65" s="11">
        <f>COUNTIFS('Datos - Objetivos de países'!$B$5:$B$510,"Uruguay",'Datos - Objetivos de países'!$F$5:$F$510,AE$3,'Datos - Objetivos de países'!$J$5:$J$510,$A65)+COUNTIFS('Datos - Objetivos de países'!$B$5:$B$510,"Uruguay",'Datos - Objetivos de países'!$F$5:$F$510,AE$3,'Datos - Objetivos de países'!$K$5:$K$510,$A65)</f>
        <v/>
      </c>
      <c r="AF65" s="11">
        <f>COUNTIFS('Datos - Objetivos de países'!$B$5:$B$510,"Colombia",'Datos - Objetivos de países'!$F$5:$F$510,AF$3,'Datos - Objetivos de países'!$J$5:$J$510,$A65)+COUNTIFS('Datos - Objetivos de países'!$B$5:$B$510,"Colombia",'Datos - Objetivos de países'!$F$5:$F$510,AF$3,'Datos - Objetivos de países'!$K$5:$K$510,$A65)</f>
        <v/>
      </c>
      <c r="AG65" s="11">
        <f>COUNTIFS('Datos - Objetivos de países'!$B$5:$B$510,"Colombia",'Datos - Objetivos de países'!$F$5:$F$510,AG$3,'Datos - Objetivos de países'!$J$5:$J$510,$A65)+COUNTIFS('Datos - Objetivos de países'!$B$5:$B$510,"Colombia",'Datos - Objetivos de países'!$F$5:$F$510,AG$3,'Datos - Objetivos de países'!$K$5:$K$510,$A65)</f>
        <v/>
      </c>
      <c r="AH65" s="11">
        <f>COUNTIFS('Datos - Objetivos de países'!$B$5:$B$510,"Colombia",'Datos - Objetivos de países'!$F$5:$F$510,AH$3,'Datos - Objetivos de países'!$J$5:$J$510,$A65)+COUNTIFS('Datos - Objetivos de países'!$B$5:$B$510,"Colombia",'Datos - Objetivos de países'!$F$5:$F$510,AH$3,'Datos - Objetivos de países'!$K$5:$K$510,$A65)</f>
        <v/>
      </c>
      <c r="AI65" s="11">
        <f>COUNTIFS('Datos - Objetivos de países'!$B$5:$B$510,"Colombia",'Datos - Objetivos de países'!$F$5:$F$510,AI$3,'Datos - Objetivos de países'!$J$5:$J$510,$A65)+COUNTIFS('Datos - Objetivos de países'!$B$5:$B$510,"Colombia",'Datos - Objetivos de países'!$F$5:$F$510,AI$3,'Datos - Objetivos de países'!$K$5:$K$510,$A65)</f>
        <v/>
      </c>
      <c r="AJ65" s="11">
        <f>COUNTIFS('Datos - Objetivos de países'!$B$5:$B$510,"Colombia",'Datos - Objetivos de países'!$F$5:$F$510,AJ$3,'Datos - Objetivos de países'!$J$5:$J$510,$A65)+COUNTIFS('Datos - Objetivos de países'!$B$5:$B$510,"Colombia",'Datos - Objetivos de países'!$F$5:$F$510,AJ$3,'Datos - Objetivos de países'!$K$5:$K$510,$A65)</f>
        <v/>
      </c>
      <c r="AK65" s="11">
        <f>COUNTIFS('Datos - Objetivos de países'!$B$5:$B$510,"Colombia",'Datos - Objetivos de países'!$F$5:$F$510,AK$3,'Datos - Objetivos de países'!$J$5:$J$510,$A65)+COUNTIFS('Datos - Objetivos de países'!$B$5:$B$510,"Colombia",'Datos - Objetivos de países'!$F$5:$F$510,AK$3,'Datos - Objetivos de países'!$K$5:$K$510,$A65)</f>
        <v/>
      </c>
      <c r="AL65" s="11">
        <f>COUNTIFS('Datos - Objetivos de países'!$B$5:$B$510,"Colombia",'Datos - Objetivos de países'!$F$5:$F$510,AL$3,'Datos - Objetivos de países'!$J$5:$J$510,$A65)+COUNTIFS('Datos - Objetivos de países'!$B$5:$B$510,"Colombia",'Datos - Objetivos de países'!$F$5:$F$510,AL$3,'Datos - Objetivos de países'!$K$5:$K$510,$A65)</f>
        <v/>
      </c>
      <c r="AM65" s="11">
        <f>COUNTIFS('Datos - Objetivos de países'!$B$5:$B$510,"Colombia",'Datos - Objetivos de países'!$F$5:$F$510,AM$3,'Datos - Objetivos de países'!$J$5:$J$510,$A65)+COUNTIFS('Datos - Objetivos de países'!$B$5:$B$510,"Colombia",'Datos - Objetivos de países'!$F$5:$F$510,AM$3,'Datos - Objetivos de países'!$K$5:$K$510,$A65)</f>
        <v/>
      </c>
      <c r="AN65" s="11">
        <f>COUNTIFS('Datos - Objetivos de países'!$B$5:$B$510,"Colombia",'Datos - Objetivos de países'!$F$5:$F$510,AN$3,'Datos - Objetivos de países'!$J$5:$J$510,$A65)+COUNTIFS('Datos - Objetivos de países'!$B$5:$B$510,"Colombia",'Datos - Objetivos de países'!$F$5:$F$510,AN$3,'Datos - Objetivos de países'!$K$5:$K$510,$A65)</f>
        <v/>
      </c>
      <c r="AO65" s="11">
        <f>COUNTIFS('Datos - Objetivos de países'!$B$5:$B$510,"Singapur",'Datos - Objetivos de países'!$F$5:$F$510,AO$3,'Datos - Objetivos de países'!$J$5:$J$510,$A65)+COUNTIFS('Datos - Objetivos de países'!$B$5:$B$510,"Singapur",'Datos - Objetivos de países'!$F$5:$F$510,AO$3,'Datos - Objetivos de países'!$K$5:$K$510,$A65)</f>
        <v/>
      </c>
      <c r="AP65" s="11">
        <f>COUNTIFS('Datos - Objetivos de países'!$B$5:$B$510,"Singapur",'Datos - Objetivos de países'!$F$5:$F$510,AP$3,'Datos - Objetivos de países'!$J$5:$J$510,$A65)+COUNTIFS('Datos - Objetivos de países'!$B$5:$B$510,"Singapur",'Datos - Objetivos de países'!$F$5:$F$510,AP$3,'Datos - Objetivos de países'!$K$5:$K$510,$A65)</f>
        <v/>
      </c>
      <c r="AQ65" s="11">
        <f>COUNTIFS('Datos - Objetivos de países'!$B$5:$B$510,"Singapur",'Datos - Objetivos de países'!$F$5:$F$510,AQ$3,'Datos - Objetivos de países'!$J$5:$J$510,$A65)+COUNTIFS('Datos - Objetivos de países'!$B$5:$B$510,"Singapur",'Datos - Objetivos de países'!$F$5:$F$510,AQ$3,'Datos - Objetivos de países'!$K$5:$K$510,$A65)</f>
        <v/>
      </c>
      <c r="AR65" s="11">
        <f>COUNTIFS('Datos - Objetivos de países'!$B$5:$B$510,"Singapur",'Datos - Objetivos de países'!$F$5:$F$510,AR$3,'Datos - Objetivos de países'!$J$5:$J$510,$A65)+COUNTIFS('Datos - Objetivos de países'!$B$5:$B$510,"Singapur",'Datos - Objetivos de países'!$F$5:$F$510,AR$3,'Datos - Objetivos de países'!$K$5:$K$510,$A65)</f>
        <v/>
      </c>
      <c r="AS65" s="11">
        <f>COUNTIFS('Datos - Objetivos de países'!$B$5:$B$510,"Singapur",'Datos - Objetivos de países'!$F$5:$F$510,AS$3,'Datos - Objetivos de países'!$J$5:$J$510,$A65)+COUNTIFS('Datos - Objetivos de países'!$B$5:$B$510,"Singapur",'Datos - Objetivos de países'!$F$5:$F$510,AS$3,'Datos - Objetivos de países'!$K$5:$K$510,$A65)</f>
        <v/>
      </c>
      <c r="AT65" s="11">
        <f>COUNTIFS('Datos - Objetivos de países'!$B$5:$B$510,"Singapur",'Datos - Objetivos de países'!$F$5:$F$510,AT$3,'Datos - Objetivos de países'!$J$5:$J$510,$A65)+COUNTIFS('Datos - Objetivos de países'!$B$5:$B$510,"Singapur",'Datos - Objetivos de países'!$F$5:$F$510,AT$3,'Datos - Objetivos de países'!$K$5:$K$510,$A65)</f>
        <v/>
      </c>
      <c r="AU65" s="11">
        <f>COUNTIFS('Datos - Objetivos de países'!$B$5:$B$510,"Singapur",'Datos - Objetivos de países'!$F$5:$F$510,AU$3,'Datos - Objetivos de países'!$J$5:$J$510,$A65)+COUNTIFS('Datos - Objetivos de países'!$B$5:$B$510,"Singapur",'Datos - Objetivos de países'!$F$5:$F$510,AU$3,'Datos - Objetivos de países'!$K$5:$K$510,$A65)</f>
        <v/>
      </c>
      <c r="AV65" s="11">
        <f>COUNTIFS('Datos - Objetivos de países'!$B$5:$B$510,"Singapur",'Datos - Objetivos de países'!$F$5:$F$510,AV$3,'Datos - Objetivos de países'!$J$5:$J$510,$A65)+COUNTIFS('Datos - Objetivos de países'!$B$5:$B$510,"Singapur",'Datos - Objetivos de países'!$F$5:$F$510,AV$3,'Datos - Objetivos de países'!$K$5:$K$510,$A65)</f>
        <v/>
      </c>
      <c r="AW65" s="11">
        <f>COUNTIFS('Datos - Objetivos de países'!$B$5:$B$510,"Singapur",'Datos - Objetivos de países'!$F$5:$F$510,AW$3,'Datos - Objetivos de países'!$J$5:$J$510,$A65)+COUNTIFS('Datos - Objetivos de países'!$B$5:$B$510,"Singapur",'Datos - Objetivos de países'!$F$5:$F$510,AW$3,'Datos - Objetivos de países'!$K$5:$K$510,$A65)</f>
        <v/>
      </c>
    </row>
    <row r="66">
      <c r="A66" s="30" t="inlineStr">
        <is>
          <t>T8_27-P3.1</t>
        </is>
      </c>
      <c r="B66" s="30" t="inlineStr">
        <is>
          <t>T8_27</t>
        </is>
      </c>
      <c r="C66" s="30" t="inlineStr">
        <is>
          <t>Física</t>
        </is>
      </c>
      <c r="D66" s="30" t="inlineStr">
        <is>
          <t>Propiedades de la luz</t>
        </is>
      </c>
      <c r="E66" s="30">
        <f>IFERROR(MAX($L$3,INDEX($N$3:$V$3,MATCH(TRUE,INDEX(N66:V66&gt;0,0),0))),"—")</f>
        <v/>
      </c>
      <c r="F66" s="30">
        <f>IFERROR(MAX($L$3,INDEX($W$3:$AE$3,MATCH(TRUE,INDEX(W66:AE66&gt;0,0),0))),"—")</f>
        <v/>
      </c>
      <c r="G66" s="30">
        <f>IFERROR(MAX($L$3,INDEX($AF$3:$AN$3,MATCH(TRUE,INDEX(AF66:AN66&gt;0,0),0))),"—")</f>
        <v/>
      </c>
      <c r="H66" s="30">
        <f>IFERROR(MAX($L$3,INDEX($AO$3:$AW$3,MATCH(TRUE,INDEX(AO66:AW66&gt;0,0),0))),"—")</f>
        <v/>
      </c>
      <c r="I66" s="36">
        <f>IF(L66=0,"—",MEDIAN(F66:H66))</f>
        <v/>
      </c>
      <c r="J66" s="36">
        <f>IF(OR(E66="—",I66="—"),"—",E66-I66)</f>
        <v/>
      </c>
      <c r="K66" s="19">
        <f>IF(E66="—",IF(L66=0,"Nadie lo trabaja","El Salvador no llega"),IF(L66=0,"Solo El Salvador",IF(J66&gt;0,"El Salvador llega más tarde",IF(J66&lt;0,"El Salvador va adelantado","Mismo grado"))))</f>
        <v/>
      </c>
      <c r="L66" s="30">
        <f>COUNT(F66:H66)</f>
        <v/>
      </c>
      <c r="N66" s="11">
        <f>COUNTIFS('Datos - Temas'!$C$5:$C$1264,"Ciencias",'Datos - Temas'!$B$5:$B$1264,N$3,'Datos - Temas'!$K$5:$K$1264,$A66)+COUNTIFS('Datos - Temas'!$C$5:$C$1264,"Ciencias",'Datos - Temas'!$B$5:$B$1264,N$3,'Datos - Temas'!$L$5:$L$1264,$A66)</f>
        <v/>
      </c>
      <c r="O66" s="11">
        <f>COUNTIFS('Datos - Temas'!$C$5:$C$1264,"Ciencias",'Datos - Temas'!$B$5:$B$1264,O$3,'Datos - Temas'!$K$5:$K$1264,$A66)+COUNTIFS('Datos - Temas'!$C$5:$C$1264,"Ciencias",'Datos - Temas'!$B$5:$B$1264,O$3,'Datos - Temas'!$L$5:$L$1264,$A66)</f>
        <v/>
      </c>
      <c r="P66" s="11">
        <f>COUNTIFS('Datos - Temas'!$C$5:$C$1264,"Ciencias",'Datos - Temas'!$B$5:$B$1264,P$3,'Datos - Temas'!$K$5:$K$1264,$A66)+COUNTIFS('Datos - Temas'!$C$5:$C$1264,"Ciencias",'Datos - Temas'!$B$5:$B$1264,P$3,'Datos - Temas'!$L$5:$L$1264,$A66)</f>
        <v/>
      </c>
      <c r="Q66" s="11">
        <f>COUNTIFS('Datos - Temas'!$C$5:$C$1264,"Ciencias",'Datos - Temas'!$B$5:$B$1264,Q$3,'Datos - Temas'!$K$5:$K$1264,$A66)+COUNTIFS('Datos - Temas'!$C$5:$C$1264,"Ciencias",'Datos - Temas'!$B$5:$B$1264,Q$3,'Datos - Temas'!$L$5:$L$1264,$A66)</f>
        <v/>
      </c>
      <c r="R66" s="11">
        <f>COUNTIFS('Datos - Temas'!$C$5:$C$1264,"Ciencias",'Datos - Temas'!$B$5:$B$1264,R$3,'Datos - Temas'!$K$5:$K$1264,$A66)+COUNTIFS('Datos - Temas'!$C$5:$C$1264,"Ciencias",'Datos - Temas'!$B$5:$B$1264,R$3,'Datos - Temas'!$L$5:$L$1264,$A66)</f>
        <v/>
      </c>
      <c r="S66" s="11">
        <f>COUNTIFS('Datos - Temas'!$C$5:$C$1264,"Ciencias",'Datos - Temas'!$B$5:$B$1264,S$3,'Datos - Temas'!$K$5:$K$1264,$A66)+COUNTIFS('Datos - Temas'!$C$5:$C$1264,"Ciencias",'Datos - Temas'!$B$5:$B$1264,S$3,'Datos - Temas'!$L$5:$L$1264,$A66)</f>
        <v/>
      </c>
      <c r="T66" s="11">
        <f>COUNTIFS('Datos - Temas'!$C$5:$C$1264,"Ciencias",'Datos - Temas'!$B$5:$B$1264,T$3,'Datos - Temas'!$K$5:$K$1264,$A66)+COUNTIFS('Datos - Temas'!$C$5:$C$1264,"Ciencias",'Datos - Temas'!$B$5:$B$1264,T$3,'Datos - Temas'!$L$5:$L$1264,$A66)</f>
        <v/>
      </c>
      <c r="U66" s="11">
        <f>COUNTIFS('Datos - Temas'!$C$5:$C$1264,"Ciencias",'Datos - Temas'!$B$5:$B$1264,U$3,'Datos - Temas'!$K$5:$K$1264,$A66)+COUNTIFS('Datos - Temas'!$C$5:$C$1264,"Ciencias",'Datos - Temas'!$B$5:$B$1264,U$3,'Datos - Temas'!$L$5:$L$1264,$A66)</f>
        <v/>
      </c>
      <c r="V66" s="11">
        <f>COUNTIFS('Datos - Temas'!$C$5:$C$1264,"Ciencias",'Datos - Temas'!$B$5:$B$1264,V$3,'Datos - Temas'!$K$5:$K$1264,$A66)+COUNTIFS('Datos - Temas'!$C$5:$C$1264,"Ciencias",'Datos - Temas'!$B$5:$B$1264,V$3,'Datos - Temas'!$L$5:$L$1264,$A66)</f>
        <v/>
      </c>
      <c r="W66" s="11">
        <f>COUNTIFS('Datos - Objetivos de países'!$B$5:$B$510,"Uruguay",'Datos - Objetivos de países'!$F$5:$F$510,W$3,'Datos - Objetivos de países'!$J$5:$J$510,$A66)+COUNTIFS('Datos - Objetivos de países'!$B$5:$B$510,"Uruguay",'Datos - Objetivos de países'!$F$5:$F$510,W$3,'Datos - Objetivos de países'!$K$5:$K$510,$A66)</f>
        <v/>
      </c>
      <c r="X66" s="11">
        <f>COUNTIFS('Datos - Objetivos de países'!$B$5:$B$510,"Uruguay",'Datos - Objetivos de países'!$F$5:$F$510,X$3,'Datos - Objetivos de países'!$J$5:$J$510,$A66)+COUNTIFS('Datos - Objetivos de países'!$B$5:$B$510,"Uruguay",'Datos - Objetivos de países'!$F$5:$F$510,X$3,'Datos - Objetivos de países'!$K$5:$K$510,$A66)</f>
        <v/>
      </c>
      <c r="Y66" s="11">
        <f>COUNTIFS('Datos - Objetivos de países'!$B$5:$B$510,"Uruguay",'Datos - Objetivos de países'!$F$5:$F$510,Y$3,'Datos - Objetivos de países'!$J$5:$J$510,$A66)+COUNTIFS('Datos - Objetivos de países'!$B$5:$B$510,"Uruguay",'Datos - Objetivos de países'!$F$5:$F$510,Y$3,'Datos - Objetivos de países'!$K$5:$K$510,$A66)</f>
        <v/>
      </c>
      <c r="Z66" s="11">
        <f>COUNTIFS('Datos - Objetivos de países'!$B$5:$B$510,"Uruguay",'Datos - Objetivos de países'!$F$5:$F$510,Z$3,'Datos - Objetivos de países'!$J$5:$J$510,$A66)+COUNTIFS('Datos - Objetivos de países'!$B$5:$B$510,"Uruguay",'Datos - Objetivos de países'!$F$5:$F$510,Z$3,'Datos - Objetivos de países'!$K$5:$K$510,$A66)</f>
        <v/>
      </c>
      <c r="AA66" s="11">
        <f>COUNTIFS('Datos - Objetivos de países'!$B$5:$B$510,"Uruguay",'Datos - Objetivos de países'!$F$5:$F$510,AA$3,'Datos - Objetivos de países'!$J$5:$J$510,$A66)+COUNTIFS('Datos - Objetivos de países'!$B$5:$B$510,"Uruguay",'Datos - Objetivos de países'!$F$5:$F$510,AA$3,'Datos - Objetivos de países'!$K$5:$K$510,$A66)</f>
        <v/>
      </c>
      <c r="AB66" s="11">
        <f>COUNTIFS('Datos - Objetivos de países'!$B$5:$B$510,"Uruguay",'Datos - Objetivos de países'!$F$5:$F$510,AB$3,'Datos - Objetivos de países'!$J$5:$J$510,$A66)+COUNTIFS('Datos - Objetivos de países'!$B$5:$B$510,"Uruguay",'Datos - Objetivos de países'!$F$5:$F$510,AB$3,'Datos - Objetivos de países'!$K$5:$K$510,$A66)</f>
        <v/>
      </c>
      <c r="AC66" s="11">
        <f>COUNTIFS('Datos - Objetivos de países'!$B$5:$B$510,"Uruguay",'Datos - Objetivos de países'!$F$5:$F$510,AC$3,'Datos - Objetivos de países'!$J$5:$J$510,$A66)+COUNTIFS('Datos - Objetivos de países'!$B$5:$B$510,"Uruguay",'Datos - Objetivos de países'!$F$5:$F$510,AC$3,'Datos - Objetivos de países'!$K$5:$K$510,$A66)</f>
        <v/>
      </c>
      <c r="AD66" s="11">
        <f>COUNTIFS('Datos - Objetivos de países'!$B$5:$B$510,"Uruguay",'Datos - Objetivos de países'!$F$5:$F$510,AD$3,'Datos - Objetivos de países'!$J$5:$J$510,$A66)+COUNTIFS('Datos - Objetivos de países'!$B$5:$B$510,"Uruguay",'Datos - Objetivos de países'!$F$5:$F$510,AD$3,'Datos - Objetivos de países'!$K$5:$K$510,$A66)</f>
        <v/>
      </c>
      <c r="AE66" s="11">
        <f>COUNTIFS('Datos - Objetivos de países'!$B$5:$B$510,"Uruguay",'Datos - Objetivos de países'!$F$5:$F$510,AE$3,'Datos - Objetivos de países'!$J$5:$J$510,$A66)+COUNTIFS('Datos - Objetivos de países'!$B$5:$B$510,"Uruguay",'Datos - Objetivos de países'!$F$5:$F$510,AE$3,'Datos - Objetivos de países'!$K$5:$K$510,$A66)</f>
        <v/>
      </c>
      <c r="AF66" s="11">
        <f>COUNTIFS('Datos - Objetivos de países'!$B$5:$B$510,"Colombia",'Datos - Objetivos de países'!$F$5:$F$510,AF$3,'Datos - Objetivos de países'!$J$5:$J$510,$A66)+COUNTIFS('Datos - Objetivos de países'!$B$5:$B$510,"Colombia",'Datos - Objetivos de países'!$F$5:$F$510,AF$3,'Datos - Objetivos de países'!$K$5:$K$510,$A66)</f>
        <v/>
      </c>
      <c r="AG66" s="11">
        <f>COUNTIFS('Datos - Objetivos de países'!$B$5:$B$510,"Colombia",'Datos - Objetivos de países'!$F$5:$F$510,AG$3,'Datos - Objetivos de países'!$J$5:$J$510,$A66)+COUNTIFS('Datos - Objetivos de países'!$B$5:$B$510,"Colombia",'Datos - Objetivos de países'!$F$5:$F$510,AG$3,'Datos - Objetivos de países'!$K$5:$K$510,$A66)</f>
        <v/>
      </c>
      <c r="AH66" s="11">
        <f>COUNTIFS('Datos - Objetivos de países'!$B$5:$B$510,"Colombia",'Datos - Objetivos de países'!$F$5:$F$510,AH$3,'Datos - Objetivos de países'!$J$5:$J$510,$A66)+COUNTIFS('Datos - Objetivos de países'!$B$5:$B$510,"Colombia",'Datos - Objetivos de países'!$F$5:$F$510,AH$3,'Datos - Objetivos de países'!$K$5:$K$510,$A66)</f>
        <v/>
      </c>
      <c r="AI66" s="11">
        <f>COUNTIFS('Datos - Objetivos de países'!$B$5:$B$510,"Colombia",'Datos - Objetivos de países'!$F$5:$F$510,AI$3,'Datos - Objetivos de países'!$J$5:$J$510,$A66)+COUNTIFS('Datos - Objetivos de países'!$B$5:$B$510,"Colombia",'Datos - Objetivos de países'!$F$5:$F$510,AI$3,'Datos - Objetivos de países'!$K$5:$K$510,$A66)</f>
        <v/>
      </c>
      <c r="AJ66" s="11">
        <f>COUNTIFS('Datos - Objetivos de países'!$B$5:$B$510,"Colombia",'Datos - Objetivos de países'!$F$5:$F$510,AJ$3,'Datos - Objetivos de países'!$J$5:$J$510,$A66)+COUNTIFS('Datos - Objetivos de países'!$B$5:$B$510,"Colombia",'Datos - Objetivos de países'!$F$5:$F$510,AJ$3,'Datos - Objetivos de países'!$K$5:$K$510,$A66)</f>
        <v/>
      </c>
      <c r="AK66" s="11">
        <f>COUNTIFS('Datos - Objetivos de países'!$B$5:$B$510,"Colombia",'Datos - Objetivos de países'!$F$5:$F$510,AK$3,'Datos - Objetivos de países'!$J$5:$J$510,$A66)+COUNTIFS('Datos - Objetivos de países'!$B$5:$B$510,"Colombia",'Datos - Objetivos de países'!$F$5:$F$510,AK$3,'Datos - Objetivos de países'!$K$5:$K$510,$A66)</f>
        <v/>
      </c>
      <c r="AL66" s="11">
        <f>COUNTIFS('Datos - Objetivos de países'!$B$5:$B$510,"Colombia",'Datos - Objetivos de países'!$F$5:$F$510,AL$3,'Datos - Objetivos de países'!$J$5:$J$510,$A66)+COUNTIFS('Datos - Objetivos de países'!$B$5:$B$510,"Colombia",'Datos - Objetivos de países'!$F$5:$F$510,AL$3,'Datos - Objetivos de países'!$K$5:$K$510,$A66)</f>
        <v/>
      </c>
      <c r="AM66" s="11">
        <f>COUNTIFS('Datos - Objetivos de países'!$B$5:$B$510,"Colombia",'Datos - Objetivos de países'!$F$5:$F$510,AM$3,'Datos - Objetivos de países'!$J$5:$J$510,$A66)+COUNTIFS('Datos - Objetivos de países'!$B$5:$B$510,"Colombia",'Datos - Objetivos de países'!$F$5:$F$510,AM$3,'Datos - Objetivos de países'!$K$5:$K$510,$A66)</f>
        <v/>
      </c>
      <c r="AN66" s="11">
        <f>COUNTIFS('Datos - Objetivos de países'!$B$5:$B$510,"Colombia",'Datos - Objetivos de países'!$F$5:$F$510,AN$3,'Datos - Objetivos de países'!$J$5:$J$510,$A66)+COUNTIFS('Datos - Objetivos de países'!$B$5:$B$510,"Colombia",'Datos - Objetivos de países'!$F$5:$F$510,AN$3,'Datos - Objetivos de países'!$K$5:$K$510,$A66)</f>
        <v/>
      </c>
      <c r="AO66" s="11">
        <f>COUNTIFS('Datos - Objetivos de países'!$B$5:$B$510,"Singapur",'Datos - Objetivos de países'!$F$5:$F$510,AO$3,'Datos - Objetivos de países'!$J$5:$J$510,$A66)+COUNTIFS('Datos - Objetivos de países'!$B$5:$B$510,"Singapur",'Datos - Objetivos de países'!$F$5:$F$510,AO$3,'Datos - Objetivos de países'!$K$5:$K$510,$A66)</f>
        <v/>
      </c>
      <c r="AP66" s="11">
        <f>COUNTIFS('Datos - Objetivos de países'!$B$5:$B$510,"Singapur",'Datos - Objetivos de países'!$F$5:$F$510,AP$3,'Datos - Objetivos de países'!$J$5:$J$510,$A66)+COUNTIFS('Datos - Objetivos de países'!$B$5:$B$510,"Singapur",'Datos - Objetivos de países'!$F$5:$F$510,AP$3,'Datos - Objetivos de países'!$K$5:$K$510,$A66)</f>
        <v/>
      </c>
      <c r="AQ66" s="11">
        <f>COUNTIFS('Datos - Objetivos de países'!$B$5:$B$510,"Singapur",'Datos - Objetivos de países'!$F$5:$F$510,AQ$3,'Datos - Objetivos de países'!$J$5:$J$510,$A66)+COUNTIFS('Datos - Objetivos de países'!$B$5:$B$510,"Singapur",'Datos - Objetivos de países'!$F$5:$F$510,AQ$3,'Datos - Objetivos de países'!$K$5:$K$510,$A66)</f>
        <v/>
      </c>
      <c r="AR66" s="11">
        <f>COUNTIFS('Datos - Objetivos de países'!$B$5:$B$510,"Singapur",'Datos - Objetivos de países'!$F$5:$F$510,AR$3,'Datos - Objetivos de países'!$J$5:$J$510,$A66)+COUNTIFS('Datos - Objetivos de países'!$B$5:$B$510,"Singapur",'Datos - Objetivos de países'!$F$5:$F$510,AR$3,'Datos - Objetivos de países'!$K$5:$K$510,$A66)</f>
        <v/>
      </c>
      <c r="AS66" s="11">
        <f>COUNTIFS('Datos - Objetivos de países'!$B$5:$B$510,"Singapur",'Datos - Objetivos de países'!$F$5:$F$510,AS$3,'Datos - Objetivos de países'!$J$5:$J$510,$A66)+COUNTIFS('Datos - Objetivos de países'!$B$5:$B$510,"Singapur",'Datos - Objetivos de países'!$F$5:$F$510,AS$3,'Datos - Objetivos de países'!$K$5:$K$510,$A66)</f>
        <v/>
      </c>
      <c r="AT66" s="11">
        <f>COUNTIFS('Datos - Objetivos de países'!$B$5:$B$510,"Singapur",'Datos - Objetivos de países'!$F$5:$F$510,AT$3,'Datos - Objetivos de países'!$J$5:$J$510,$A66)+COUNTIFS('Datos - Objetivos de países'!$B$5:$B$510,"Singapur",'Datos - Objetivos de países'!$F$5:$F$510,AT$3,'Datos - Objetivos de países'!$K$5:$K$510,$A66)</f>
        <v/>
      </c>
      <c r="AU66" s="11">
        <f>COUNTIFS('Datos - Objetivos de países'!$B$5:$B$510,"Singapur",'Datos - Objetivos de países'!$F$5:$F$510,AU$3,'Datos - Objetivos de países'!$J$5:$J$510,$A66)+COUNTIFS('Datos - Objetivos de países'!$B$5:$B$510,"Singapur",'Datos - Objetivos de países'!$F$5:$F$510,AU$3,'Datos - Objetivos de países'!$K$5:$K$510,$A66)</f>
        <v/>
      </c>
      <c r="AV66" s="11">
        <f>COUNTIFS('Datos - Objetivos de países'!$B$5:$B$510,"Singapur",'Datos - Objetivos de países'!$F$5:$F$510,AV$3,'Datos - Objetivos de países'!$J$5:$J$510,$A66)+COUNTIFS('Datos - Objetivos de países'!$B$5:$B$510,"Singapur",'Datos - Objetivos de países'!$F$5:$F$510,AV$3,'Datos - Objetivos de países'!$K$5:$K$510,$A66)</f>
        <v/>
      </c>
      <c r="AW66" s="11">
        <f>COUNTIFS('Datos - Objetivos de países'!$B$5:$B$510,"Singapur",'Datos - Objetivos de países'!$F$5:$F$510,AW$3,'Datos - Objetivos de países'!$J$5:$J$510,$A66)+COUNTIFS('Datos - Objetivos de países'!$B$5:$B$510,"Singapur",'Datos - Objetivos de países'!$F$5:$F$510,AW$3,'Datos - Objetivos de países'!$K$5:$K$510,$A66)</f>
        <v/>
      </c>
    </row>
    <row r="67">
      <c r="A67" s="30" t="inlineStr">
        <is>
          <t>T8_27-P3.2</t>
        </is>
      </c>
      <c r="B67" s="30" t="inlineStr">
        <is>
          <t>T8_27</t>
        </is>
      </c>
      <c r="C67" s="30" t="inlineStr">
        <is>
          <t>Física</t>
        </is>
      </c>
      <c r="D67" s="30" t="inlineStr">
        <is>
          <t>Propiedades del sonido</t>
        </is>
      </c>
      <c r="E67" s="30">
        <f>IFERROR(MAX($L$3,INDEX($N$3:$V$3,MATCH(TRUE,INDEX(N67:V67&gt;0,0),0))),"—")</f>
        <v/>
      </c>
      <c r="F67" s="30">
        <f>IFERROR(MAX($L$3,INDEX($W$3:$AE$3,MATCH(TRUE,INDEX(W67:AE67&gt;0,0),0))),"—")</f>
        <v/>
      </c>
      <c r="G67" s="30">
        <f>IFERROR(MAX($L$3,INDEX($AF$3:$AN$3,MATCH(TRUE,INDEX(AF67:AN67&gt;0,0),0))),"—")</f>
        <v/>
      </c>
      <c r="H67" s="30">
        <f>IFERROR(MAX($L$3,INDEX($AO$3:$AW$3,MATCH(TRUE,INDEX(AO67:AW67&gt;0,0),0))),"—")</f>
        <v/>
      </c>
      <c r="I67" s="36">
        <f>IF(L67=0,"—",MEDIAN(F67:H67))</f>
        <v/>
      </c>
      <c r="J67" s="36">
        <f>IF(OR(E67="—",I67="—"),"—",E67-I67)</f>
        <v/>
      </c>
      <c r="K67" s="19">
        <f>IF(E67="—",IF(L67=0,"Nadie lo trabaja","El Salvador no llega"),IF(L67=0,"Solo El Salvador",IF(J67&gt;0,"El Salvador llega más tarde",IF(J67&lt;0,"El Salvador va adelantado","Mismo grado"))))</f>
        <v/>
      </c>
      <c r="L67" s="30">
        <f>COUNT(F67:H67)</f>
        <v/>
      </c>
      <c r="N67" s="11">
        <f>COUNTIFS('Datos - Temas'!$C$5:$C$1264,"Ciencias",'Datos - Temas'!$B$5:$B$1264,N$3,'Datos - Temas'!$K$5:$K$1264,$A67)+COUNTIFS('Datos - Temas'!$C$5:$C$1264,"Ciencias",'Datos - Temas'!$B$5:$B$1264,N$3,'Datos - Temas'!$L$5:$L$1264,$A67)</f>
        <v/>
      </c>
      <c r="O67" s="11">
        <f>COUNTIFS('Datos - Temas'!$C$5:$C$1264,"Ciencias",'Datos - Temas'!$B$5:$B$1264,O$3,'Datos - Temas'!$K$5:$K$1264,$A67)+COUNTIFS('Datos - Temas'!$C$5:$C$1264,"Ciencias",'Datos - Temas'!$B$5:$B$1264,O$3,'Datos - Temas'!$L$5:$L$1264,$A67)</f>
        <v/>
      </c>
      <c r="P67" s="11">
        <f>COUNTIFS('Datos - Temas'!$C$5:$C$1264,"Ciencias",'Datos - Temas'!$B$5:$B$1264,P$3,'Datos - Temas'!$K$5:$K$1264,$A67)+COUNTIFS('Datos - Temas'!$C$5:$C$1264,"Ciencias",'Datos - Temas'!$B$5:$B$1264,P$3,'Datos - Temas'!$L$5:$L$1264,$A67)</f>
        <v/>
      </c>
      <c r="Q67" s="11">
        <f>COUNTIFS('Datos - Temas'!$C$5:$C$1264,"Ciencias",'Datos - Temas'!$B$5:$B$1264,Q$3,'Datos - Temas'!$K$5:$K$1264,$A67)+COUNTIFS('Datos - Temas'!$C$5:$C$1264,"Ciencias",'Datos - Temas'!$B$5:$B$1264,Q$3,'Datos - Temas'!$L$5:$L$1264,$A67)</f>
        <v/>
      </c>
      <c r="R67" s="11">
        <f>COUNTIFS('Datos - Temas'!$C$5:$C$1264,"Ciencias",'Datos - Temas'!$B$5:$B$1264,R$3,'Datos - Temas'!$K$5:$K$1264,$A67)+COUNTIFS('Datos - Temas'!$C$5:$C$1264,"Ciencias",'Datos - Temas'!$B$5:$B$1264,R$3,'Datos - Temas'!$L$5:$L$1264,$A67)</f>
        <v/>
      </c>
      <c r="S67" s="11">
        <f>COUNTIFS('Datos - Temas'!$C$5:$C$1264,"Ciencias",'Datos - Temas'!$B$5:$B$1264,S$3,'Datos - Temas'!$K$5:$K$1264,$A67)+COUNTIFS('Datos - Temas'!$C$5:$C$1264,"Ciencias",'Datos - Temas'!$B$5:$B$1264,S$3,'Datos - Temas'!$L$5:$L$1264,$A67)</f>
        <v/>
      </c>
      <c r="T67" s="11">
        <f>COUNTIFS('Datos - Temas'!$C$5:$C$1264,"Ciencias",'Datos - Temas'!$B$5:$B$1264,T$3,'Datos - Temas'!$K$5:$K$1264,$A67)+COUNTIFS('Datos - Temas'!$C$5:$C$1264,"Ciencias",'Datos - Temas'!$B$5:$B$1264,T$3,'Datos - Temas'!$L$5:$L$1264,$A67)</f>
        <v/>
      </c>
      <c r="U67" s="11">
        <f>COUNTIFS('Datos - Temas'!$C$5:$C$1264,"Ciencias",'Datos - Temas'!$B$5:$B$1264,U$3,'Datos - Temas'!$K$5:$K$1264,$A67)+COUNTIFS('Datos - Temas'!$C$5:$C$1264,"Ciencias",'Datos - Temas'!$B$5:$B$1264,U$3,'Datos - Temas'!$L$5:$L$1264,$A67)</f>
        <v/>
      </c>
      <c r="V67" s="11">
        <f>COUNTIFS('Datos - Temas'!$C$5:$C$1264,"Ciencias",'Datos - Temas'!$B$5:$B$1264,V$3,'Datos - Temas'!$K$5:$K$1264,$A67)+COUNTIFS('Datos - Temas'!$C$5:$C$1264,"Ciencias",'Datos - Temas'!$B$5:$B$1264,V$3,'Datos - Temas'!$L$5:$L$1264,$A67)</f>
        <v/>
      </c>
      <c r="W67" s="11">
        <f>COUNTIFS('Datos - Objetivos de países'!$B$5:$B$510,"Uruguay",'Datos - Objetivos de países'!$F$5:$F$510,W$3,'Datos - Objetivos de países'!$J$5:$J$510,$A67)+COUNTIFS('Datos - Objetivos de países'!$B$5:$B$510,"Uruguay",'Datos - Objetivos de países'!$F$5:$F$510,W$3,'Datos - Objetivos de países'!$K$5:$K$510,$A67)</f>
        <v/>
      </c>
      <c r="X67" s="11">
        <f>COUNTIFS('Datos - Objetivos de países'!$B$5:$B$510,"Uruguay",'Datos - Objetivos de países'!$F$5:$F$510,X$3,'Datos - Objetivos de países'!$J$5:$J$510,$A67)+COUNTIFS('Datos - Objetivos de países'!$B$5:$B$510,"Uruguay",'Datos - Objetivos de países'!$F$5:$F$510,X$3,'Datos - Objetivos de países'!$K$5:$K$510,$A67)</f>
        <v/>
      </c>
      <c r="Y67" s="11">
        <f>COUNTIFS('Datos - Objetivos de países'!$B$5:$B$510,"Uruguay",'Datos - Objetivos de países'!$F$5:$F$510,Y$3,'Datos - Objetivos de países'!$J$5:$J$510,$A67)+COUNTIFS('Datos - Objetivos de países'!$B$5:$B$510,"Uruguay",'Datos - Objetivos de países'!$F$5:$F$510,Y$3,'Datos - Objetivos de países'!$K$5:$K$510,$A67)</f>
        <v/>
      </c>
      <c r="Z67" s="11">
        <f>COUNTIFS('Datos - Objetivos de países'!$B$5:$B$510,"Uruguay",'Datos - Objetivos de países'!$F$5:$F$510,Z$3,'Datos - Objetivos de países'!$J$5:$J$510,$A67)+COUNTIFS('Datos - Objetivos de países'!$B$5:$B$510,"Uruguay",'Datos - Objetivos de países'!$F$5:$F$510,Z$3,'Datos - Objetivos de países'!$K$5:$K$510,$A67)</f>
        <v/>
      </c>
      <c r="AA67" s="11">
        <f>COUNTIFS('Datos - Objetivos de países'!$B$5:$B$510,"Uruguay",'Datos - Objetivos de países'!$F$5:$F$510,AA$3,'Datos - Objetivos de países'!$J$5:$J$510,$A67)+COUNTIFS('Datos - Objetivos de países'!$B$5:$B$510,"Uruguay",'Datos - Objetivos de países'!$F$5:$F$510,AA$3,'Datos - Objetivos de países'!$K$5:$K$510,$A67)</f>
        <v/>
      </c>
      <c r="AB67" s="11">
        <f>COUNTIFS('Datos - Objetivos de países'!$B$5:$B$510,"Uruguay",'Datos - Objetivos de países'!$F$5:$F$510,AB$3,'Datos - Objetivos de países'!$J$5:$J$510,$A67)+COUNTIFS('Datos - Objetivos de países'!$B$5:$B$510,"Uruguay",'Datos - Objetivos de países'!$F$5:$F$510,AB$3,'Datos - Objetivos de países'!$K$5:$K$510,$A67)</f>
        <v/>
      </c>
      <c r="AC67" s="11">
        <f>COUNTIFS('Datos - Objetivos de países'!$B$5:$B$510,"Uruguay",'Datos - Objetivos de países'!$F$5:$F$510,AC$3,'Datos - Objetivos de países'!$J$5:$J$510,$A67)+COUNTIFS('Datos - Objetivos de países'!$B$5:$B$510,"Uruguay",'Datos - Objetivos de países'!$F$5:$F$510,AC$3,'Datos - Objetivos de países'!$K$5:$K$510,$A67)</f>
        <v/>
      </c>
      <c r="AD67" s="11">
        <f>COUNTIFS('Datos - Objetivos de países'!$B$5:$B$510,"Uruguay",'Datos - Objetivos de países'!$F$5:$F$510,AD$3,'Datos - Objetivos de países'!$J$5:$J$510,$A67)+COUNTIFS('Datos - Objetivos de países'!$B$5:$B$510,"Uruguay",'Datos - Objetivos de países'!$F$5:$F$510,AD$3,'Datos - Objetivos de países'!$K$5:$K$510,$A67)</f>
        <v/>
      </c>
      <c r="AE67" s="11">
        <f>COUNTIFS('Datos - Objetivos de países'!$B$5:$B$510,"Uruguay",'Datos - Objetivos de países'!$F$5:$F$510,AE$3,'Datos - Objetivos de países'!$J$5:$J$510,$A67)+COUNTIFS('Datos - Objetivos de países'!$B$5:$B$510,"Uruguay",'Datos - Objetivos de países'!$F$5:$F$510,AE$3,'Datos - Objetivos de países'!$K$5:$K$510,$A67)</f>
        <v/>
      </c>
      <c r="AF67" s="11">
        <f>COUNTIFS('Datos - Objetivos de países'!$B$5:$B$510,"Colombia",'Datos - Objetivos de países'!$F$5:$F$510,AF$3,'Datos - Objetivos de países'!$J$5:$J$510,$A67)+COUNTIFS('Datos - Objetivos de países'!$B$5:$B$510,"Colombia",'Datos - Objetivos de países'!$F$5:$F$510,AF$3,'Datos - Objetivos de países'!$K$5:$K$510,$A67)</f>
        <v/>
      </c>
      <c r="AG67" s="11">
        <f>COUNTIFS('Datos - Objetivos de países'!$B$5:$B$510,"Colombia",'Datos - Objetivos de países'!$F$5:$F$510,AG$3,'Datos - Objetivos de países'!$J$5:$J$510,$A67)+COUNTIFS('Datos - Objetivos de países'!$B$5:$B$510,"Colombia",'Datos - Objetivos de países'!$F$5:$F$510,AG$3,'Datos - Objetivos de países'!$K$5:$K$510,$A67)</f>
        <v/>
      </c>
      <c r="AH67" s="11">
        <f>COUNTIFS('Datos - Objetivos de países'!$B$5:$B$510,"Colombia",'Datos - Objetivos de países'!$F$5:$F$510,AH$3,'Datos - Objetivos de países'!$J$5:$J$510,$A67)+COUNTIFS('Datos - Objetivos de países'!$B$5:$B$510,"Colombia",'Datos - Objetivos de países'!$F$5:$F$510,AH$3,'Datos - Objetivos de países'!$K$5:$K$510,$A67)</f>
        <v/>
      </c>
      <c r="AI67" s="11">
        <f>COUNTIFS('Datos - Objetivos de países'!$B$5:$B$510,"Colombia",'Datos - Objetivos de países'!$F$5:$F$510,AI$3,'Datos - Objetivos de países'!$J$5:$J$510,$A67)+COUNTIFS('Datos - Objetivos de países'!$B$5:$B$510,"Colombia",'Datos - Objetivos de países'!$F$5:$F$510,AI$3,'Datos - Objetivos de países'!$K$5:$K$510,$A67)</f>
        <v/>
      </c>
      <c r="AJ67" s="11">
        <f>COUNTIFS('Datos - Objetivos de países'!$B$5:$B$510,"Colombia",'Datos - Objetivos de países'!$F$5:$F$510,AJ$3,'Datos - Objetivos de países'!$J$5:$J$510,$A67)+COUNTIFS('Datos - Objetivos de países'!$B$5:$B$510,"Colombia",'Datos - Objetivos de países'!$F$5:$F$510,AJ$3,'Datos - Objetivos de países'!$K$5:$K$510,$A67)</f>
        <v/>
      </c>
      <c r="AK67" s="11">
        <f>COUNTIFS('Datos - Objetivos de países'!$B$5:$B$510,"Colombia",'Datos - Objetivos de países'!$F$5:$F$510,AK$3,'Datos - Objetivos de países'!$J$5:$J$510,$A67)+COUNTIFS('Datos - Objetivos de países'!$B$5:$B$510,"Colombia",'Datos - Objetivos de países'!$F$5:$F$510,AK$3,'Datos - Objetivos de países'!$K$5:$K$510,$A67)</f>
        <v/>
      </c>
      <c r="AL67" s="11">
        <f>COUNTIFS('Datos - Objetivos de países'!$B$5:$B$510,"Colombia",'Datos - Objetivos de países'!$F$5:$F$510,AL$3,'Datos - Objetivos de países'!$J$5:$J$510,$A67)+COUNTIFS('Datos - Objetivos de países'!$B$5:$B$510,"Colombia",'Datos - Objetivos de países'!$F$5:$F$510,AL$3,'Datos - Objetivos de países'!$K$5:$K$510,$A67)</f>
        <v/>
      </c>
      <c r="AM67" s="11">
        <f>COUNTIFS('Datos - Objetivos de países'!$B$5:$B$510,"Colombia",'Datos - Objetivos de países'!$F$5:$F$510,AM$3,'Datos - Objetivos de países'!$J$5:$J$510,$A67)+COUNTIFS('Datos - Objetivos de países'!$B$5:$B$510,"Colombia",'Datos - Objetivos de países'!$F$5:$F$510,AM$3,'Datos - Objetivos de países'!$K$5:$K$510,$A67)</f>
        <v/>
      </c>
      <c r="AN67" s="11">
        <f>COUNTIFS('Datos - Objetivos de países'!$B$5:$B$510,"Colombia",'Datos - Objetivos de países'!$F$5:$F$510,AN$3,'Datos - Objetivos de países'!$J$5:$J$510,$A67)+COUNTIFS('Datos - Objetivos de países'!$B$5:$B$510,"Colombia",'Datos - Objetivos de países'!$F$5:$F$510,AN$3,'Datos - Objetivos de países'!$K$5:$K$510,$A67)</f>
        <v/>
      </c>
      <c r="AO67" s="11">
        <f>COUNTIFS('Datos - Objetivos de países'!$B$5:$B$510,"Singapur",'Datos - Objetivos de países'!$F$5:$F$510,AO$3,'Datos - Objetivos de países'!$J$5:$J$510,$A67)+COUNTIFS('Datos - Objetivos de países'!$B$5:$B$510,"Singapur",'Datos - Objetivos de países'!$F$5:$F$510,AO$3,'Datos - Objetivos de países'!$K$5:$K$510,$A67)</f>
        <v/>
      </c>
      <c r="AP67" s="11">
        <f>COUNTIFS('Datos - Objetivos de países'!$B$5:$B$510,"Singapur",'Datos - Objetivos de países'!$F$5:$F$510,AP$3,'Datos - Objetivos de países'!$J$5:$J$510,$A67)+COUNTIFS('Datos - Objetivos de países'!$B$5:$B$510,"Singapur",'Datos - Objetivos de países'!$F$5:$F$510,AP$3,'Datos - Objetivos de países'!$K$5:$K$510,$A67)</f>
        <v/>
      </c>
      <c r="AQ67" s="11">
        <f>COUNTIFS('Datos - Objetivos de países'!$B$5:$B$510,"Singapur",'Datos - Objetivos de países'!$F$5:$F$510,AQ$3,'Datos - Objetivos de países'!$J$5:$J$510,$A67)+COUNTIFS('Datos - Objetivos de países'!$B$5:$B$510,"Singapur",'Datos - Objetivos de países'!$F$5:$F$510,AQ$3,'Datos - Objetivos de países'!$K$5:$K$510,$A67)</f>
        <v/>
      </c>
      <c r="AR67" s="11">
        <f>COUNTIFS('Datos - Objetivos de países'!$B$5:$B$510,"Singapur",'Datos - Objetivos de países'!$F$5:$F$510,AR$3,'Datos - Objetivos de países'!$J$5:$J$510,$A67)+COUNTIFS('Datos - Objetivos de países'!$B$5:$B$510,"Singapur",'Datos - Objetivos de países'!$F$5:$F$510,AR$3,'Datos - Objetivos de países'!$K$5:$K$510,$A67)</f>
        <v/>
      </c>
      <c r="AS67" s="11">
        <f>COUNTIFS('Datos - Objetivos de países'!$B$5:$B$510,"Singapur",'Datos - Objetivos de países'!$F$5:$F$510,AS$3,'Datos - Objetivos de países'!$J$5:$J$510,$A67)+COUNTIFS('Datos - Objetivos de países'!$B$5:$B$510,"Singapur",'Datos - Objetivos de países'!$F$5:$F$510,AS$3,'Datos - Objetivos de países'!$K$5:$K$510,$A67)</f>
        <v/>
      </c>
      <c r="AT67" s="11">
        <f>COUNTIFS('Datos - Objetivos de países'!$B$5:$B$510,"Singapur",'Datos - Objetivos de países'!$F$5:$F$510,AT$3,'Datos - Objetivos de países'!$J$5:$J$510,$A67)+COUNTIFS('Datos - Objetivos de países'!$B$5:$B$510,"Singapur",'Datos - Objetivos de países'!$F$5:$F$510,AT$3,'Datos - Objetivos de países'!$K$5:$K$510,$A67)</f>
        <v/>
      </c>
      <c r="AU67" s="11">
        <f>COUNTIFS('Datos - Objetivos de países'!$B$5:$B$510,"Singapur",'Datos - Objetivos de países'!$F$5:$F$510,AU$3,'Datos - Objetivos de países'!$J$5:$J$510,$A67)+COUNTIFS('Datos - Objetivos de países'!$B$5:$B$510,"Singapur",'Datos - Objetivos de países'!$F$5:$F$510,AU$3,'Datos - Objetivos de países'!$K$5:$K$510,$A67)</f>
        <v/>
      </c>
      <c r="AV67" s="11">
        <f>COUNTIFS('Datos - Objetivos de países'!$B$5:$B$510,"Singapur",'Datos - Objetivos de países'!$F$5:$F$510,AV$3,'Datos - Objetivos de países'!$J$5:$J$510,$A67)+COUNTIFS('Datos - Objetivos de países'!$B$5:$B$510,"Singapur",'Datos - Objetivos de países'!$F$5:$F$510,AV$3,'Datos - Objetivos de países'!$K$5:$K$510,$A67)</f>
        <v/>
      </c>
      <c r="AW67" s="11">
        <f>COUNTIFS('Datos - Objetivos de países'!$B$5:$B$510,"Singapur",'Datos - Objetivos de países'!$F$5:$F$510,AW$3,'Datos - Objetivos de países'!$J$5:$J$510,$A67)+COUNTIFS('Datos - Objetivos de países'!$B$5:$B$510,"Singapur",'Datos - Objetivos de países'!$F$5:$F$510,AW$3,'Datos - Objetivos de países'!$K$5:$K$510,$A67)</f>
        <v/>
      </c>
    </row>
    <row r="68">
      <c r="A68" s="30" t="inlineStr">
        <is>
          <t>T8_27-P4.1</t>
        </is>
      </c>
      <c r="B68" s="30" t="inlineStr">
        <is>
          <t>T8_27</t>
        </is>
      </c>
      <c r="C68" s="30" t="inlineStr">
        <is>
          <t>Física</t>
        </is>
      </c>
      <c r="D68" s="30" t="inlineStr">
        <is>
          <t>Conductores y corriente en circuitos eléctricos</t>
        </is>
      </c>
      <c r="E68" s="30">
        <f>IFERROR(MAX($L$3,INDEX($N$3:$V$3,MATCH(TRUE,INDEX(N68:V68&gt;0,0),0))),"—")</f>
        <v/>
      </c>
      <c r="F68" s="30">
        <f>IFERROR(MAX($L$3,INDEX($W$3:$AE$3,MATCH(TRUE,INDEX(W68:AE68&gt;0,0),0))),"—")</f>
        <v/>
      </c>
      <c r="G68" s="30">
        <f>IFERROR(MAX($L$3,INDEX($AF$3:$AN$3,MATCH(TRUE,INDEX(AF68:AN68&gt;0,0),0))),"—")</f>
        <v/>
      </c>
      <c r="H68" s="30">
        <f>IFERROR(MAX($L$3,INDEX($AO$3:$AW$3,MATCH(TRUE,INDEX(AO68:AW68&gt;0,0),0))),"—")</f>
        <v/>
      </c>
      <c r="I68" s="36">
        <f>IF(L68=0,"—",MEDIAN(F68:H68))</f>
        <v/>
      </c>
      <c r="J68" s="36">
        <f>IF(OR(E68="—",I68="—"),"—",E68-I68)</f>
        <v/>
      </c>
      <c r="K68" s="19">
        <f>IF(E68="—",IF(L68=0,"Nadie lo trabaja","El Salvador no llega"),IF(L68=0,"Solo El Salvador",IF(J68&gt;0,"El Salvador llega más tarde",IF(J68&lt;0,"El Salvador va adelantado","Mismo grado"))))</f>
        <v/>
      </c>
      <c r="L68" s="30">
        <f>COUNT(F68:H68)</f>
        <v/>
      </c>
      <c r="N68" s="11">
        <f>COUNTIFS('Datos - Temas'!$C$5:$C$1264,"Ciencias",'Datos - Temas'!$B$5:$B$1264,N$3,'Datos - Temas'!$K$5:$K$1264,$A68)+COUNTIFS('Datos - Temas'!$C$5:$C$1264,"Ciencias",'Datos - Temas'!$B$5:$B$1264,N$3,'Datos - Temas'!$L$5:$L$1264,$A68)</f>
        <v/>
      </c>
      <c r="O68" s="11">
        <f>COUNTIFS('Datos - Temas'!$C$5:$C$1264,"Ciencias",'Datos - Temas'!$B$5:$B$1264,O$3,'Datos - Temas'!$K$5:$K$1264,$A68)+COUNTIFS('Datos - Temas'!$C$5:$C$1264,"Ciencias",'Datos - Temas'!$B$5:$B$1264,O$3,'Datos - Temas'!$L$5:$L$1264,$A68)</f>
        <v/>
      </c>
      <c r="P68" s="11">
        <f>COUNTIFS('Datos - Temas'!$C$5:$C$1264,"Ciencias",'Datos - Temas'!$B$5:$B$1264,P$3,'Datos - Temas'!$K$5:$K$1264,$A68)+COUNTIFS('Datos - Temas'!$C$5:$C$1264,"Ciencias",'Datos - Temas'!$B$5:$B$1264,P$3,'Datos - Temas'!$L$5:$L$1264,$A68)</f>
        <v/>
      </c>
      <c r="Q68" s="11">
        <f>COUNTIFS('Datos - Temas'!$C$5:$C$1264,"Ciencias",'Datos - Temas'!$B$5:$B$1264,Q$3,'Datos - Temas'!$K$5:$K$1264,$A68)+COUNTIFS('Datos - Temas'!$C$5:$C$1264,"Ciencias",'Datos - Temas'!$B$5:$B$1264,Q$3,'Datos - Temas'!$L$5:$L$1264,$A68)</f>
        <v/>
      </c>
      <c r="R68" s="11">
        <f>COUNTIFS('Datos - Temas'!$C$5:$C$1264,"Ciencias",'Datos - Temas'!$B$5:$B$1264,R$3,'Datos - Temas'!$K$5:$K$1264,$A68)+COUNTIFS('Datos - Temas'!$C$5:$C$1264,"Ciencias",'Datos - Temas'!$B$5:$B$1264,R$3,'Datos - Temas'!$L$5:$L$1264,$A68)</f>
        <v/>
      </c>
      <c r="S68" s="11">
        <f>COUNTIFS('Datos - Temas'!$C$5:$C$1264,"Ciencias",'Datos - Temas'!$B$5:$B$1264,S$3,'Datos - Temas'!$K$5:$K$1264,$A68)+COUNTIFS('Datos - Temas'!$C$5:$C$1264,"Ciencias",'Datos - Temas'!$B$5:$B$1264,S$3,'Datos - Temas'!$L$5:$L$1264,$A68)</f>
        <v/>
      </c>
      <c r="T68" s="11">
        <f>COUNTIFS('Datos - Temas'!$C$5:$C$1264,"Ciencias",'Datos - Temas'!$B$5:$B$1264,T$3,'Datos - Temas'!$K$5:$K$1264,$A68)+COUNTIFS('Datos - Temas'!$C$5:$C$1264,"Ciencias",'Datos - Temas'!$B$5:$B$1264,T$3,'Datos - Temas'!$L$5:$L$1264,$A68)</f>
        <v/>
      </c>
      <c r="U68" s="11">
        <f>COUNTIFS('Datos - Temas'!$C$5:$C$1264,"Ciencias",'Datos - Temas'!$B$5:$B$1264,U$3,'Datos - Temas'!$K$5:$K$1264,$A68)+COUNTIFS('Datos - Temas'!$C$5:$C$1264,"Ciencias",'Datos - Temas'!$B$5:$B$1264,U$3,'Datos - Temas'!$L$5:$L$1264,$A68)</f>
        <v/>
      </c>
      <c r="V68" s="11">
        <f>COUNTIFS('Datos - Temas'!$C$5:$C$1264,"Ciencias",'Datos - Temas'!$B$5:$B$1264,V$3,'Datos - Temas'!$K$5:$K$1264,$A68)+COUNTIFS('Datos - Temas'!$C$5:$C$1264,"Ciencias",'Datos - Temas'!$B$5:$B$1264,V$3,'Datos - Temas'!$L$5:$L$1264,$A68)</f>
        <v/>
      </c>
      <c r="W68" s="11">
        <f>COUNTIFS('Datos - Objetivos de países'!$B$5:$B$510,"Uruguay",'Datos - Objetivos de países'!$F$5:$F$510,W$3,'Datos - Objetivos de países'!$J$5:$J$510,$A68)+COUNTIFS('Datos - Objetivos de países'!$B$5:$B$510,"Uruguay",'Datos - Objetivos de países'!$F$5:$F$510,W$3,'Datos - Objetivos de países'!$K$5:$K$510,$A68)</f>
        <v/>
      </c>
      <c r="X68" s="11">
        <f>COUNTIFS('Datos - Objetivos de países'!$B$5:$B$510,"Uruguay",'Datos - Objetivos de países'!$F$5:$F$510,X$3,'Datos - Objetivos de países'!$J$5:$J$510,$A68)+COUNTIFS('Datos - Objetivos de países'!$B$5:$B$510,"Uruguay",'Datos - Objetivos de países'!$F$5:$F$510,X$3,'Datos - Objetivos de países'!$K$5:$K$510,$A68)</f>
        <v/>
      </c>
      <c r="Y68" s="11">
        <f>COUNTIFS('Datos - Objetivos de países'!$B$5:$B$510,"Uruguay",'Datos - Objetivos de países'!$F$5:$F$510,Y$3,'Datos - Objetivos de países'!$J$5:$J$510,$A68)+COUNTIFS('Datos - Objetivos de países'!$B$5:$B$510,"Uruguay",'Datos - Objetivos de países'!$F$5:$F$510,Y$3,'Datos - Objetivos de países'!$K$5:$K$510,$A68)</f>
        <v/>
      </c>
      <c r="Z68" s="11">
        <f>COUNTIFS('Datos - Objetivos de países'!$B$5:$B$510,"Uruguay",'Datos - Objetivos de países'!$F$5:$F$510,Z$3,'Datos - Objetivos de países'!$J$5:$J$510,$A68)+COUNTIFS('Datos - Objetivos de países'!$B$5:$B$510,"Uruguay",'Datos - Objetivos de países'!$F$5:$F$510,Z$3,'Datos - Objetivos de países'!$K$5:$K$510,$A68)</f>
        <v/>
      </c>
      <c r="AA68" s="11">
        <f>COUNTIFS('Datos - Objetivos de países'!$B$5:$B$510,"Uruguay",'Datos - Objetivos de países'!$F$5:$F$510,AA$3,'Datos - Objetivos de países'!$J$5:$J$510,$A68)+COUNTIFS('Datos - Objetivos de países'!$B$5:$B$510,"Uruguay",'Datos - Objetivos de países'!$F$5:$F$510,AA$3,'Datos - Objetivos de países'!$K$5:$K$510,$A68)</f>
        <v/>
      </c>
      <c r="AB68" s="11">
        <f>COUNTIFS('Datos - Objetivos de países'!$B$5:$B$510,"Uruguay",'Datos - Objetivos de países'!$F$5:$F$510,AB$3,'Datos - Objetivos de países'!$J$5:$J$510,$A68)+COUNTIFS('Datos - Objetivos de países'!$B$5:$B$510,"Uruguay",'Datos - Objetivos de países'!$F$5:$F$510,AB$3,'Datos - Objetivos de países'!$K$5:$K$510,$A68)</f>
        <v/>
      </c>
      <c r="AC68" s="11">
        <f>COUNTIFS('Datos - Objetivos de países'!$B$5:$B$510,"Uruguay",'Datos - Objetivos de países'!$F$5:$F$510,AC$3,'Datos - Objetivos de países'!$J$5:$J$510,$A68)+COUNTIFS('Datos - Objetivos de países'!$B$5:$B$510,"Uruguay",'Datos - Objetivos de países'!$F$5:$F$510,AC$3,'Datos - Objetivos de países'!$K$5:$K$510,$A68)</f>
        <v/>
      </c>
      <c r="AD68" s="11">
        <f>COUNTIFS('Datos - Objetivos de países'!$B$5:$B$510,"Uruguay",'Datos - Objetivos de países'!$F$5:$F$510,AD$3,'Datos - Objetivos de países'!$J$5:$J$510,$A68)+COUNTIFS('Datos - Objetivos de países'!$B$5:$B$510,"Uruguay",'Datos - Objetivos de países'!$F$5:$F$510,AD$3,'Datos - Objetivos de países'!$K$5:$K$510,$A68)</f>
        <v/>
      </c>
      <c r="AE68" s="11">
        <f>COUNTIFS('Datos - Objetivos de países'!$B$5:$B$510,"Uruguay",'Datos - Objetivos de países'!$F$5:$F$510,AE$3,'Datos - Objetivos de países'!$J$5:$J$510,$A68)+COUNTIFS('Datos - Objetivos de países'!$B$5:$B$510,"Uruguay",'Datos - Objetivos de países'!$F$5:$F$510,AE$3,'Datos - Objetivos de países'!$K$5:$K$510,$A68)</f>
        <v/>
      </c>
      <c r="AF68" s="11">
        <f>COUNTIFS('Datos - Objetivos de países'!$B$5:$B$510,"Colombia",'Datos - Objetivos de países'!$F$5:$F$510,AF$3,'Datos - Objetivos de países'!$J$5:$J$510,$A68)+COUNTIFS('Datos - Objetivos de países'!$B$5:$B$510,"Colombia",'Datos - Objetivos de países'!$F$5:$F$510,AF$3,'Datos - Objetivos de países'!$K$5:$K$510,$A68)</f>
        <v/>
      </c>
      <c r="AG68" s="11">
        <f>COUNTIFS('Datos - Objetivos de países'!$B$5:$B$510,"Colombia",'Datos - Objetivos de países'!$F$5:$F$510,AG$3,'Datos - Objetivos de países'!$J$5:$J$510,$A68)+COUNTIFS('Datos - Objetivos de países'!$B$5:$B$510,"Colombia",'Datos - Objetivos de países'!$F$5:$F$510,AG$3,'Datos - Objetivos de países'!$K$5:$K$510,$A68)</f>
        <v/>
      </c>
      <c r="AH68" s="11">
        <f>COUNTIFS('Datos - Objetivos de países'!$B$5:$B$510,"Colombia",'Datos - Objetivos de países'!$F$5:$F$510,AH$3,'Datos - Objetivos de países'!$J$5:$J$510,$A68)+COUNTIFS('Datos - Objetivos de países'!$B$5:$B$510,"Colombia",'Datos - Objetivos de países'!$F$5:$F$510,AH$3,'Datos - Objetivos de países'!$K$5:$K$510,$A68)</f>
        <v/>
      </c>
      <c r="AI68" s="11">
        <f>COUNTIFS('Datos - Objetivos de países'!$B$5:$B$510,"Colombia",'Datos - Objetivos de países'!$F$5:$F$510,AI$3,'Datos - Objetivos de países'!$J$5:$J$510,$A68)+COUNTIFS('Datos - Objetivos de países'!$B$5:$B$510,"Colombia",'Datos - Objetivos de países'!$F$5:$F$510,AI$3,'Datos - Objetivos de países'!$K$5:$K$510,$A68)</f>
        <v/>
      </c>
      <c r="AJ68" s="11">
        <f>COUNTIFS('Datos - Objetivos de países'!$B$5:$B$510,"Colombia",'Datos - Objetivos de países'!$F$5:$F$510,AJ$3,'Datos - Objetivos de países'!$J$5:$J$510,$A68)+COUNTIFS('Datos - Objetivos de países'!$B$5:$B$510,"Colombia",'Datos - Objetivos de países'!$F$5:$F$510,AJ$3,'Datos - Objetivos de países'!$K$5:$K$510,$A68)</f>
        <v/>
      </c>
      <c r="AK68" s="11">
        <f>COUNTIFS('Datos - Objetivos de países'!$B$5:$B$510,"Colombia",'Datos - Objetivos de países'!$F$5:$F$510,AK$3,'Datos - Objetivos de países'!$J$5:$J$510,$A68)+COUNTIFS('Datos - Objetivos de países'!$B$5:$B$510,"Colombia",'Datos - Objetivos de países'!$F$5:$F$510,AK$3,'Datos - Objetivos de países'!$K$5:$K$510,$A68)</f>
        <v/>
      </c>
      <c r="AL68" s="11">
        <f>COUNTIFS('Datos - Objetivos de países'!$B$5:$B$510,"Colombia",'Datos - Objetivos de países'!$F$5:$F$510,AL$3,'Datos - Objetivos de países'!$J$5:$J$510,$A68)+COUNTIFS('Datos - Objetivos de países'!$B$5:$B$510,"Colombia",'Datos - Objetivos de países'!$F$5:$F$510,AL$3,'Datos - Objetivos de países'!$K$5:$K$510,$A68)</f>
        <v/>
      </c>
      <c r="AM68" s="11">
        <f>COUNTIFS('Datos - Objetivos de países'!$B$5:$B$510,"Colombia",'Datos - Objetivos de países'!$F$5:$F$510,AM$3,'Datos - Objetivos de países'!$J$5:$J$510,$A68)+COUNTIFS('Datos - Objetivos de países'!$B$5:$B$510,"Colombia",'Datos - Objetivos de países'!$F$5:$F$510,AM$3,'Datos - Objetivos de países'!$K$5:$K$510,$A68)</f>
        <v/>
      </c>
      <c r="AN68" s="11">
        <f>COUNTIFS('Datos - Objetivos de países'!$B$5:$B$510,"Colombia",'Datos - Objetivos de países'!$F$5:$F$510,AN$3,'Datos - Objetivos de países'!$J$5:$J$510,$A68)+COUNTIFS('Datos - Objetivos de países'!$B$5:$B$510,"Colombia",'Datos - Objetivos de países'!$F$5:$F$510,AN$3,'Datos - Objetivos de países'!$K$5:$K$510,$A68)</f>
        <v/>
      </c>
      <c r="AO68" s="11">
        <f>COUNTIFS('Datos - Objetivos de países'!$B$5:$B$510,"Singapur",'Datos - Objetivos de países'!$F$5:$F$510,AO$3,'Datos - Objetivos de países'!$J$5:$J$510,$A68)+COUNTIFS('Datos - Objetivos de países'!$B$5:$B$510,"Singapur",'Datos - Objetivos de países'!$F$5:$F$510,AO$3,'Datos - Objetivos de países'!$K$5:$K$510,$A68)</f>
        <v/>
      </c>
      <c r="AP68" s="11">
        <f>COUNTIFS('Datos - Objetivos de países'!$B$5:$B$510,"Singapur",'Datos - Objetivos de países'!$F$5:$F$510,AP$3,'Datos - Objetivos de países'!$J$5:$J$510,$A68)+COUNTIFS('Datos - Objetivos de países'!$B$5:$B$510,"Singapur",'Datos - Objetivos de países'!$F$5:$F$510,AP$3,'Datos - Objetivos de países'!$K$5:$K$510,$A68)</f>
        <v/>
      </c>
      <c r="AQ68" s="11">
        <f>COUNTIFS('Datos - Objetivos de países'!$B$5:$B$510,"Singapur",'Datos - Objetivos de países'!$F$5:$F$510,AQ$3,'Datos - Objetivos de países'!$J$5:$J$510,$A68)+COUNTIFS('Datos - Objetivos de países'!$B$5:$B$510,"Singapur",'Datos - Objetivos de países'!$F$5:$F$510,AQ$3,'Datos - Objetivos de países'!$K$5:$K$510,$A68)</f>
        <v/>
      </c>
      <c r="AR68" s="11">
        <f>COUNTIFS('Datos - Objetivos de países'!$B$5:$B$510,"Singapur",'Datos - Objetivos de países'!$F$5:$F$510,AR$3,'Datos - Objetivos de países'!$J$5:$J$510,$A68)+COUNTIFS('Datos - Objetivos de países'!$B$5:$B$510,"Singapur",'Datos - Objetivos de países'!$F$5:$F$510,AR$3,'Datos - Objetivos de países'!$K$5:$K$510,$A68)</f>
        <v/>
      </c>
      <c r="AS68" s="11">
        <f>COUNTIFS('Datos - Objetivos de países'!$B$5:$B$510,"Singapur",'Datos - Objetivos de países'!$F$5:$F$510,AS$3,'Datos - Objetivos de países'!$J$5:$J$510,$A68)+COUNTIFS('Datos - Objetivos de países'!$B$5:$B$510,"Singapur",'Datos - Objetivos de países'!$F$5:$F$510,AS$3,'Datos - Objetivos de países'!$K$5:$K$510,$A68)</f>
        <v/>
      </c>
      <c r="AT68" s="11">
        <f>COUNTIFS('Datos - Objetivos de países'!$B$5:$B$510,"Singapur",'Datos - Objetivos de países'!$F$5:$F$510,AT$3,'Datos - Objetivos de países'!$J$5:$J$510,$A68)+COUNTIFS('Datos - Objetivos de países'!$B$5:$B$510,"Singapur",'Datos - Objetivos de países'!$F$5:$F$510,AT$3,'Datos - Objetivos de países'!$K$5:$K$510,$A68)</f>
        <v/>
      </c>
      <c r="AU68" s="11">
        <f>COUNTIFS('Datos - Objetivos de países'!$B$5:$B$510,"Singapur",'Datos - Objetivos de países'!$F$5:$F$510,AU$3,'Datos - Objetivos de países'!$J$5:$J$510,$A68)+COUNTIFS('Datos - Objetivos de países'!$B$5:$B$510,"Singapur",'Datos - Objetivos de países'!$F$5:$F$510,AU$3,'Datos - Objetivos de países'!$K$5:$K$510,$A68)</f>
        <v/>
      </c>
      <c r="AV68" s="11">
        <f>COUNTIFS('Datos - Objetivos de países'!$B$5:$B$510,"Singapur",'Datos - Objetivos de países'!$F$5:$F$510,AV$3,'Datos - Objetivos de países'!$J$5:$J$510,$A68)+COUNTIFS('Datos - Objetivos de países'!$B$5:$B$510,"Singapur",'Datos - Objetivos de países'!$F$5:$F$510,AV$3,'Datos - Objetivos de países'!$K$5:$K$510,$A68)</f>
        <v/>
      </c>
      <c r="AW68" s="11">
        <f>COUNTIFS('Datos - Objetivos de países'!$B$5:$B$510,"Singapur",'Datos - Objetivos de países'!$F$5:$F$510,AW$3,'Datos - Objetivos de países'!$J$5:$J$510,$A68)+COUNTIFS('Datos - Objetivos de países'!$B$5:$B$510,"Singapur",'Datos - Objetivos de países'!$F$5:$F$510,AW$3,'Datos - Objetivos de países'!$K$5:$K$510,$A68)</f>
        <v/>
      </c>
    </row>
    <row r="69">
      <c r="A69" s="30" t="inlineStr">
        <is>
          <t>T8_27-P4.2</t>
        </is>
      </c>
      <c r="B69" s="30" t="inlineStr">
        <is>
          <t>T8_27</t>
        </is>
      </c>
      <c r="C69" s="30" t="inlineStr">
        <is>
          <t>Física</t>
        </is>
      </c>
      <c r="D69" s="30" t="inlineStr">
        <is>
          <t>Propiedades y usos de imanes permanentes y electroimanes</t>
        </is>
      </c>
      <c r="E69" s="30">
        <f>IFERROR(MAX($L$3,INDEX($N$3:$V$3,MATCH(TRUE,INDEX(N69:V69&gt;0,0),0))),"—")</f>
        <v/>
      </c>
      <c r="F69" s="30">
        <f>IFERROR(MAX($L$3,INDEX($W$3:$AE$3,MATCH(TRUE,INDEX(W69:AE69&gt;0,0),0))),"—")</f>
        <v/>
      </c>
      <c r="G69" s="30">
        <f>IFERROR(MAX($L$3,INDEX($AF$3:$AN$3,MATCH(TRUE,INDEX(AF69:AN69&gt;0,0),0))),"—")</f>
        <v/>
      </c>
      <c r="H69" s="30">
        <f>IFERROR(MAX($L$3,INDEX($AO$3:$AW$3,MATCH(TRUE,INDEX(AO69:AW69&gt;0,0),0))),"—")</f>
        <v/>
      </c>
      <c r="I69" s="36">
        <f>IF(L69=0,"—",MEDIAN(F69:H69))</f>
        <v/>
      </c>
      <c r="J69" s="36">
        <f>IF(OR(E69="—",I69="—"),"—",E69-I69)</f>
        <v/>
      </c>
      <c r="K69" s="19">
        <f>IF(E69="—",IF(L69=0,"Nadie lo trabaja","El Salvador no llega"),IF(L69=0,"Solo El Salvador",IF(J69&gt;0,"El Salvador llega más tarde",IF(J69&lt;0,"El Salvador va adelantado","Mismo grado"))))</f>
        <v/>
      </c>
      <c r="L69" s="30">
        <f>COUNT(F69:H69)</f>
        <v/>
      </c>
      <c r="N69" s="11">
        <f>COUNTIFS('Datos - Temas'!$C$5:$C$1264,"Ciencias",'Datos - Temas'!$B$5:$B$1264,N$3,'Datos - Temas'!$K$5:$K$1264,$A69)+COUNTIFS('Datos - Temas'!$C$5:$C$1264,"Ciencias",'Datos - Temas'!$B$5:$B$1264,N$3,'Datos - Temas'!$L$5:$L$1264,$A69)</f>
        <v/>
      </c>
      <c r="O69" s="11">
        <f>COUNTIFS('Datos - Temas'!$C$5:$C$1264,"Ciencias",'Datos - Temas'!$B$5:$B$1264,O$3,'Datos - Temas'!$K$5:$K$1264,$A69)+COUNTIFS('Datos - Temas'!$C$5:$C$1264,"Ciencias",'Datos - Temas'!$B$5:$B$1264,O$3,'Datos - Temas'!$L$5:$L$1264,$A69)</f>
        <v/>
      </c>
      <c r="P69" s="11">
        <f>COUNTIFS('Datos - Temas'!$C$5:$C$1264,"Ciencias",'Datos - Temas'!$B$5:$B$1264,P$3,'Datos - Temas'!$K$5:$K$1264,$A69)+COUNTIFS('Datos - Temas'!$C$5:$C$1264,"Ciencias",'Datos - Temas'!$B$5:$B$1264,P$3,'Datos - Temas'!$L$5:$L$1264,$A69)</f>
        <v/>
      </c>
      <c r="Q69" s="11">
        <f>COUNTIFS('Datos - Temas'!$C$5:$C$1264,"Ciencias",'Datos - Temas'!$B$5:$B$1264,Q$3,'Datos - Temas'!$K$5:$K$1264,$A69)+COUNTIFS('Datos - Temas'!$C$5:$C$1264,"Ciencias",'Datos - Temas'!$B$5:$B$1264,Q$3,'Datos - Temas'!$L$5:$L$1264,$A69)</f>
        <v/>
      </c>
      <c r="R69" s="11">
        <f>COUNTIFS('Datos - Temas'!$C$5:$C$1264,"Ciencias",'Datos - Temas'!$B$5:$B$1264,R$3,'Datos - Temas'!$K$5:$K$1264,$A69)+COUNTIFS('Datos - Temas'!$C$5:$C$1264,"Ciencias",'Datos - Temas'!$B$5:$B$1264,R$3,'Datos - Temas'!$L$5:$L$1264,$A69)</f>
        <v/>
      </c>
      <c r="S69" s="11">
        <f>COUNTIFS('Datos - Temas'!$C$5:$C$1264,"Ciencias",'Datos - Temas'!$B$5:$B$1264,S$3,'Datos - Temas'!$K$5:$K$1264,$A69)+COUNTIFS('Datos - Temas'!$C$5:$C$1264,"Ciencias",'Datos - Temas'!$B$5:$B$1264,S$3,'Datos - Temas'!$L$5:$L$1264,$A69)</f>
        <v/>
      </c>
      <c r="T69" s="11">
        <f>COUNTIFS('Datos - Temas'!$C$5:$C$1264,"Ciencias",'Datos - Temas'!$B$5:$B$1264,T$3,'Datos - Temas'!$K$5:$K$1264,$A69)+COUNTIFS('Datos - Temas'!$C$5:$C$1264,"Ciencias",'Datos - Temas'!$B$5:$B$1264,T$3,'Datos - Temas'!$L$5:$L$1264,$A69)</f>
        <v/>
      </c>
      <c r="U69" s="11">
        <f>COUNTIFS('Datos - Temas'!$C$5:$C$1264,"Ciencias",'Datos - Temas'!$B$5:$B$1264,U$3,'Datos - Temas'!$K$5:$K$1264,$A69)+COUNTIFS('Datos - Temas'!$C$5:$C$1264,"Ciencias",'Datos - Temas'!$B$5:$B$1264,U$3,'Datos - Temas'!$L$5:$L$1264,$A69)</f>
        <v/>
      </c>
      <c r="V69" s="11">
        <f>COUNTIFS('Datos - Temas'!$C$5:$C$1264,"Ciencias",'Datos - Temas'!$B$5:$B$1264,V$3,'Datos - Temas'!$K$5:$K$1264,$A69)+COUNTIFS('Datos - Temas'!$C$5:$C$1264,"Ciencias",'Datos - Temas'!$B$5:$B$1264,V$3,'Datos - Temas'!$L$5:$L$1264,$A69)</f>
        <v/>
      </c>
      <c r="W69" s="11">
        <f>COUNTIFS('Datos - Objetivos de países'!$B$5:$B$510,"Uruguay",'Datos - Objetivos de países'!$F$5:$F$510,W$3,'Datos - Objetivos de países'!$J$5:$J$510,$A69)+COUNTIFS('Datos - Objetivos de países'!$B$5:$B$510,"Uruguay",'Datos - Objetivos de países'!$F$5:$F$510,W$3,'Datos - Objetivos de países'!$K$5:$K$510,$A69)</f>
        <v/>
      </c>
      <c r="X69" s="11">
        <f>COUNTIFS('Datos - Objetivos de países'!$B$5:$B$510,"Uruguay",'Datos - Objetivos de países'!$F$5:$F$510,X$3,'Datos - Objetivos de países'!$J$5:$J$510,$A69)+COUNTIFS('Datos - Objetivos de países'!$B$5:$B$510,"Uruguay",'Datos - Objetivos de países'!$F$5:$F$510,X$3,'Datos - Objetivos de países'!$K$5:$K$510,$A69)</f>
        <v/>
      </c>
      <c r="Y69" s="11">
        <f>COUNTIFS('Datos - Objetivos de países'!$B$5:$B$510,"Uruguay",'Datos - Objetivos de países'!$F$5:$F$510,Y$3,'Datos - Objetivos de países'!$J$5:$J$510,$A69)+COUNTIFS('Datos - Objetivos de países'!$B$5:$B$510,"Uruguay",'Datos - Objetivos de países'!$F$5:$F$510,Y$3,'Datos - Objetivos de países'!$K$5:$K$510,$A69)</f>
        <v/>
      </c>
      <c r="Z69" s="11">
        <f>COUNTIFS('Datos - Objetivos de países'!$B$5:$B$510,"Uruguay",'Datos - Objetivos de países'!$F$5:$F$510,Z$3,'Datos - Objetivos de países'!$J$5:$J$510,$A69)+COUNTIFS('Datos - Objetivos de países'!$B$5:$B$510,"Uruguay",'Datos - Objetivos de países'!$F$5:$F$510,Z$3,'Datos - Objetivos de países'!$K$5:$K$510,$A69)</f>
        <v/>
      </c>
      <c r="AA69" s="11">
        <f>COUNTIFS('Datos - Objetivos de países'!$B$5:$B$510,"Uruguay",'Datos - Objetivos de países'!$F$5:$F$510,AA$3,'Datos - Objetivos de países'!$J$5:$J$510,$A69)+COUNTIFS('Datos - Objetivos de países'!$B$5:$B$510,"Uruguay",'Datos - Objetivos de países'!$F$5:$F$510,AA$3,'Datos - Objetivos de países'!$K$5:$K$510,$A69)</f>
        <v/>
      </c>
      <c r="AB69" s="11">
        <f>COUNTIFS('Datos - Objetivos de países'!$B$5:$B$510,"Uruguay",'Datos - Objetivos de países'!$F$5:$F$510,AB$3,'Datos - Objetivos de países'!$J$5:$J$510,$A69)+COUNTIFS('Datos - Objetivos de países'!$B$5:$B$510,"Uruguay",'Datos - Objetivos de países'!$F$5:$F$510,AB$3,'Datos - Objetivos de países'!$K$5:$K$510,$A69)</f>
        <v/>
      </c>
      <c r="AC69" s="11">
        <f>COUNTIFS('Datos - Objetivos de países'!$B$5:$B$510,"Uruguay",'Datos - Objetivos de países'!$F$5:$F$510,AC$3,'Datos - Objetivos de países'!$J$5:$J$510,$A69)+COUNTIFS('Datos - Objetivos de países'!$B$5:$B$510,"Uruguay",'Datos - Objetivos de países'!$F$5:$F$510,AC$3,'Datos - Objetivos de países'!$K$5:$K$510,$A69)</f>
        <v/>
      </c>
      <c r="AD69" s="11">
        <f>COUNTIFS('Datos - Objetivos de países'!$B$5:$B$510,"Uruguay",'Datos - Objetivos de países'!$F$5:$F$510,AD$3,'Datos - Objetivos de países'!$J$5:$J$510,$A69)+COUNTIFS('Datos - Objetivos de países'!$B$5:$B$510,"Uruguay",'Datos - Objetivos de países'!$F$5:$F$510,AD$3,'Datos - Objetivos de países'!$K$5:$K$510,$A69)</f>
        <v/>
      </c>
      <c r="AE69" s="11">
        <f>COUNTIFS('Datos - Objetivos de países'!$B$5:$B$510,"Uruguay",'Datos - Objetivos de países'!$F$5:$F$510,AE$3,'Datos - Objetivos de países'!$J$5:$J$510,$A69)+COUNTIFS('Datos - Objetivos de países'!$B$5:$B$510,"Uruguay",'Datos - Objetivos de países'!$F$5:$F$510,AE$3,'Datos - Objetivos de países'!$K$5:$K$510,$A69)</f>
        <v/>
      </c>
      <c r="AF69" s="11">
        <f>COUNTIFS('Datos - Objetivos de países'!$B$5:$B$510,"Colombia",'Datos - Objetivos de países'!$F$5:$F$510,AF$3,'Datos - Objetivos de países'!$J$5:$J$510,$A69)+COUNTIFS('Datos - Objetivos de países'!$B$5:$B$510,"Colombia",'Datos - Objetivos de países'!$F$5:$F$510,AF$3,'Datos - Objetivos de países'!$K$5:$K$510,$A69)</f>
        <v/>
      </c>
      <c r="AG69" s="11">
        <f>COUNTIFS('Datos - Objetivos de países'!$B$5:$B$510,"Colombia",'Datos - Objetivos de países'!$F$5:$F$510,AG$3,'Datos - Objetivos de países'!$J$5:$J$510,$A69)+COUNTIFS('Datos - Objetivos de países'!$B$5:$B$510,"Colombia",'Datos - Objetivos de países'!$F$5:$F$510,AG$3,'Datos - Objetivos de países'!$K$5:$K$510,$A69)</f>
        <v/>
      </c>
      <c r="AH69" s="11">
        <f>COUNTIFS('Datos - Objetivos de países'!$B$5:$B$510,"Colombia",'Datos - Objetivos de países'!$F$5:$F$510,AH$3,'Datos - Objetivos de países'!$J$5:$J$510,$A69)+COUNTIFS('Datos - Objetivos de países'!$B$5:$B$510,"Colombia",'Datos - Objetivos de países'!$F$5:$F$510,AH$3,'Datos - Objetivos de países'!$K$5:$K$510,$A69)</f>
        <v/>
      </c>
      <c r="AI69" s="11">
        <f>COUNTIFS('Datos - Objetivos de países'!$B$5:$B$510,"Colombia",'Datos - Objetivos de países'!$F$5:$F$510,AI$3,'Datos - Objetivos de países'!$J$5:$J$510,$A69)+COUNTIFS('Datos - Objetivos de países'!$B$5:$B$510,"Colombia",'Datos - Objetivos de países'!$F$5:$F$510,AI$3,'Datos - Objetivos de países'!$K$5:$K$510,$A69)</f>
        <v/>
      </c>
      <c r="AJ69" s="11">
        <f>COUNTIFS('Datos - Objetivos de países'!$B$5:$B$510,"Colombia",'Datos - Objetivos de países'!$F$5:$F$510,AJ$3,'Datos - Objetivos de países'!$J$5:$J$510,$A69)+COUNTIFS('Datos - Objetivos de países'!$B$5:$B$510,"Colombia",'Datos - Objetivos de países'!$F$5:$F$510,AJ$3,'Datos - Objetivos de países'!$K$5:$K$510,$A69)</f>
        <v/>
      </c>
      <c r="AK69" s="11">
        <f>COUNTIFS('Datos - Objetivos de países'!$B$5:$B$510,"Colombia",'Datos - Objetivos de países'!$F$5:$F$510,AK$3,'Datos - Objetivos de países'!$J$5:$J$510,$A69)+COUNTIFS('Datos - Objetivos de países'!$B$5:$B$510,"Colombia",'Datos - Objetivos de países'!$F$5:$F$510,AK$3,'Datos - Objetivos de países'!$K$5:$K$510,$A69)</f>
        <v/>
      </c>
      <c r="AL69" s="11">
        <f>COUNTIFS('Datos - Objetivos de países'!$B$5:$B$510,"Colombia",'Datos - Objetivos de países'!$F$5:$F$510,AL$3,'Datos - Objetivos de países'!$J$5:$J$510,$A69)+COUNTIFS('Datos - Objetivos de países'!$B$5:$B$510,"Colombia",'Datos - Objetivos de países'!$F$5:$F$510,AL$3,'Datos - Objetivos de países'!$K$5:$K$510,$A69)</f>
        <v/>
      </c>
      <c r="AM69" s="11">
        <f>COUNTIFS('Datos - Objetivos de países'!$B$5:$B$510,"Colombia",'Datos - Objetivos de países'!$F$5:$F$510,AM$3,'Datos - Objetivos de países'!$J$5:$J$510,$A69)+COUNTIFS('Datos - Objetivos de países'!$B$5:$B$510,"Colombia",'Datos - Objetivos de países'!$F$5:$F$510,AM$3,'Datos - Objetivos de países'!$K$5:$K$510,$A69)</f>
        <v/>
      </c>
      <c r="AN69" s="11">
        <f>COUNTIFS('Datos - Objetivos de países'!$B$5:$B$510,"Colombia",'Datos - Objetivos de países'!$F$5:$F$510,AN$3,'Datos - Objetivos de países'!$J$5:$J$510,$A69)+COUNTIFS('Datos - Objetivos de países'!$B$5:$B$510,"Colombia",'Datos - Objetivos de países'!$F$5:$F$510,AN$3,'Datos - Objetivos de países'!$K$5:$K$510,$A69)</f>
        <v/>
      </c>
      <c r="AO69" s="11">
        <f>COUNTIFS('Datos - Objetivos de países'!$B$5:$B$510,"Singapur",'Datos - Objetivos de países'!$F$5:$F$510,AO$3,'Datos - Objetivos de países'!$J$5:$J$510,$A69)+COUNTIFS('Datos - Objetivos de países'!$B$5:$B$510,"Singapur",'Datos - Objetivos de países'!$F$5:$F$510,AO$3,'Datos - Objetivos de países'!$K$5:$K$510,$A69)</f>
        <v/>
      </c>
      <c r="AP69" s="11">
        <f>COUNTIFS('Datos - Objetivos de países'!$B$5:$B$510,"Singapur",'Datos - Objetivos de países'!$F$5:$F$510,AP$3,'Datos - Objetivos de países'!$J$5:$J$510,$A69)+COUNTIFS('Datos - Objetivos de países'!$B$5:$B$510,"Singapur",'Datos - Objetivos de países'!$F$5:$F$510,AP$3,'Datos - Objetivos de países'!$K$5:$K$510,$A69)</f>
        <v/>
      </c>
      <c r="AQ69" s="11">
        <f>COUNTIFS('Datos - Objetivos de países'!$B$5:$B$510,"Singapur",'Datos - Objetivos de países'!$F$5:$F$510,AQ$3,'Datos - Objetivos de países'!$J$5:$J$510,$A69)+COUNTIFS('Datos - Objetivos de países'!$B$5:$B$510,"Singapur",'Datos - Objetivos de países'!$F$5:$F$510,AQ$3,'Datos - Objetivos de países'!$K$5:$K$510,$A69)</f>
        <v/>
      </c>
      <c r="AR69" s="11">
        <f>COUNTIFS('Datos - Objetivos de países'!$B$5:$B$510,"Singapur",'Datos - Objetivos de países'!$F$5:$F$510,AR$3,'Datos - Objetivos de países'!$J$5:$J$510,$A69)+COUNTIFS('Datos - Objetivos de países'!$B$5:$B$510,"Singapur",'Datos - Objetivos de países'!$F$5:$F$510,AR$3,'Datos - Objetivos de países'!$K$5:$K$510,$A69)</f>
        <v/>
      </c>
      <c r="AS69" s="11">
        <f>COUNTIFS('Datos - Objetivos de países'!$B$5:$B$510,"Singapur",'Datos - Objetivos de países'!$F$5:$F$510,AS$3,'Datos - Objetivos de países'!$J$5:$J$510,$A69)+COUNTIFS('Datos - Objetivos de países'!$B$5:$B$510,"Singapur",'Datos - Objetivos de países'!$F$5:$F$510,AS$3,'Datos - Objetivos de países'!$K$5:$K$510,$A69)</f>
        <v/>
      </c>
      <c r="AT69" s="11">
        <f>COUNTIFS('Datos - Objetivos de países'!$B$5:$B$510,"Singapur",'Datos - Objetivos de países'!$F$5:$F$510,AT$3,'Datos - Objetivos de países'!$J$5:$J$510,$A69)+COUNTIFS('Datos - Objetivos de países'!$B$5:$B$510,"Singapur",'Datos - Objetivos de países'!$F$5:$F$510,AT$3,'Datos - Objetivos de países'!$K$5:$K$510,$A69)</f>
        <v/>
      </c>
      <c r="AU69" s="11">
        <f>COUNTIFS('Datos - Objetivos de países'!$B$5:$B$510,"Singapur",'Datos - Objetivos de países'!$F$5:$F$510,AU$3,'Datos - Objetivos de países'!$J$5:$J$510,$A69)+COUNTIFS('Datos - Objetivos de países'!$B$5:$B$510,"Singapur",'Datos - Objetivos de países'!$F$5:$F$510,AU$3,'Datos - Objetivos de países'!$K$5:$K$510,$A69)</f>
        <v/>
      </c>
      <c r="AV69" s="11">
        <f>COUNTIFS('Datos - Objetivos de países'!$B$5:$B$510,"Singapur",'Datos - Objetivos de países'!$F$5:$F$510,AV$3,'Datos - Objetivos de países'!$J$5:$J$510,$A69)+COUNTIFS('Datos - Objetivos de países'!$B$5:$B$510,"Singapur",'Datos - Objetivos de países'!$F$5:$F$510,AV$3,'Datos - Objetivos de países'!$K$5:$K$510,$A69)</f>
        <v/>
      </c>
      <c r="AW69" s="11">
        <f>COUNTIFS('Datos - Objetivos de países'!$B$5:$B$510,"Singapur",'Datos - Objetivos de países'!$F$5:$F$510,AW$3,'Datos - Objetivos de países'!$J$5:$J$510,$A69)+COUNTIFS('Datos - Objetivos de países'!$B$5:$B$510,"Singapur",'Datos - Objetivos de países'!$F$5:$F$510,AW$3,'Datos - Objetivos de países'!$K$5:$K$510,$A69)</f>
        <v/>
      </c>
    </row>
    <row r="70">
      <c r="A70" s="30" t="inlineStr">
        <is>
          <t>T8_27-P5.1</t>
        </is>
      </c>
      <c r="B70" s="30" t="inlineStr">
        <is>
          <t>T8_27</t>
        </is>
      </c>
      <c r="C70" s="30" t="inlineStr">
        <is>
          <t>Física</t>
        </is>
      </c>
      <c r="D70" s="30" t="inlineStr">
        <is>
          <t>Movimiento</t>
        </is>
      </c>
      <c r="E70" s="30">
        <f>IFERROR(MAX($L$3,INDEX($N$3:$V$3,MATCH(TRUE,INDEX(N70:V70&gt;0,0),0))),"—")</f>
        <v/>
      </c>
      <c r="F70" s="30">
        <f>IFERROR(MAX($L$3,INDEX($W$3:$AE$3,MATCH(TRUE,INDEX(W70:AE70&gt;0,0),0))),"—")</f>
        <v/>
      </c>
      <c r="G70" s="30">
        <f>IFERROR(MAX($L$3,INDEX($AF$3:$AN$3,MATCH(TRUE,INDEX(AF70:AN70&gt;0,0),0))),"—")</f>
        <v/>
      </c>
      <c r="H70" s="30">
        <f>IFERROR(MAX($L$3,INDEX($AO$3:$AW$3,MATCH(TRUE,INDEX(AO70:AW70&gt;0,0),0))),"—")</f>
        <v/>
      </c>
      <c r="I70" s="36">
        <f>IF(L70=0,"—",MEDIAN(F70:H70))</f>
        <v/>
      </c>
      <c r="J70" s="36">
        <f>IF(OR(E70="—",I70="—"),"—",E70-I70)</f>
        <v/>
      </c>
      <c r="K70" s="19">
        <f>IF(E70="—",IF(L70=0,"Nadie lo trabaja","El Salvador no llega"),IF(L70=0,"Solo El Salvador",IF(J70&gt;0,"El Salvador llega más tarde",IF(J70&lt;0,"El Salvador va adelantado","Mismo grado"))))</f>
        <v/>
      </c>
      <c r="L70" s="30">
        <f>COUNT(F70:H70)</f>
        <v/>
      </c>
      <c r="N70" s="11">
        <f>COUNTIFS('Datos - Temas'!$C$5:$C$1264,"Ciencias",'Datos - Temas'!$B$5:$B$1264,N$3,'Datos - Temas'!$K$5:$K$1264,$A70)+COUNTIFS('Datos - Temas'!$C$5:$C$1264,"Ciencias",'Datos - Temas'!$B$5:$B$1264,N$3,'Datos - Temas'!$L$5:$L$1264,$A70)</f>
        <v/>
      </c>
      <c r="O70" s="11">
        <f>COUNTIFS('Datos - Temas'!$C$5:$C$1264,"Ciencias",'Datos - Temas'!$B$5:$B$1264,O$3,'Datos - Temas'!$K$5:$K$1264,$A70)+COUNTIFS('Datos - Temas'!$C$5:$C$1264,"Ciencias",'Datos - Temas'!$B$5:$B$1264,O$3,'Datos - Temas'!$L$5:$L$1264,$A70)</f>
        <v/>
      </c>
      <c r="P70" s="11">
        <f>COUNTIFS('Datos - Temas'!$C$5:$C$1264,"Ciencias",'Datos - Temas'!$B$5:$B$1264,P$3,'Datos - Temas'!$K$5:$K$1264,$A70)+COUNTIFS('Datos - Temas'!$C$5:$C$1264,"Ciencias",'Datos - Temas'!$B$5:$B$1264,P$3,'Datos - Temas'!$L$5:$L$1264,$A70)</f>
        <v/>
      </c>
      <c r="Q70" s="11">
        <f>COUNTIFS('Datos - Temas'!$C$5:$C$1264,"Ciencias",'Datos - Temas'!$B$5:$B$1264,Q$3,'Datos - Temas'!$K$5:$K$1264,$A70)+COUNTIFS('Datos - Temas'!$C$5:$C$1264,"Ciencias",'Datos - Temas'!$B$5:$B$1264,Q$3,'Datos - Temas'!$L$5:$L$1264,$A70)</f>
        <v/>
      </c>
      <c r="R70" s="11">
        <f>COUNTIFS('Datos - Temas'!$C$5:$C$1264,"Ciencias",'Datos - Temas'!$B$5:$B$1264,R$3,'Datos - Temas'!$K$5:$K$1264,$A70)+COUNTIFS('Datos - Temas'!$C$5:$C$1264,"Ciencias",'Datos - Temas'!$B$5:$B$1264,R$3,'Datos - Temas'!$L$5:$L$1264,$A70)</f>
        <v/>
      </c>
      <c r="S70" s="11">
        <f>COUNTIFS('Datos - Temas'!$C$5:$C$1264,"Ciencias",'Datos - Temas'!$B$5:$B$1264,S$3,'Datos - Temas'!$K$5:$K$1264,$A70)+COUNTIFS('Datos - Temas'!$C$5:$C$1264,"Ciencias",'Datos - Temas'!$B$5:$B$1264,S$3,'Datos - Temas'!$L$5:$L$1264,$A70)</f>
        <v/>
      </c>
      <c r="T70" s="11">
        <f>COUNTIFS('Datos - Temas'!$C$5:$C$1264,"Ciencias",'Datos - Temas'!$B$5:$B$1264,T$3,'Datos - Temas'!$K$5:$K$1264,$A70)+COUNTIFS('Datos - Temas'!$C$5:$C$1264,"Ciencias",'Datos - Temas'!$B$5:$B$1264,T$3,'Datos - Temas'!$L$5:$L$1264,$A70)</f>
        <v/>
      </c>
      <c r="U70" s="11">
        <f>COUNTIFS('Datos - Temas'!$C$5:$C$1264,"Ciencias",'Datos - Temas'!$B$5:$B$1264,U$3,'Datos - Temas'!$K$5:$K$1264,$A70)+COUNTIFS('Datos - Temas'!$C$5:$C$1264,"Ciencias",'Datos - Temas'!$B$5:$B$1264,U$3,'Datos - Temas'!$L$5:$L$1264,$A70)</f>
        <v/>
      </c>
      <c r="V70" s="11">
        <f>COUNTIFS('Datos - Temas'!$C$5:$C$1264,"Ciencias",'Datos - Temas'!$B$5:$B$1264,V$3,'Datos - Temas'!$K$5:$K$1264,$A70)+COUNTIFS('Datos - Temas'!$C$5:$C$1264,"Ciencias",'Datos - Temas'!$B$5:$B$1264,V$3,'Datos - Temas'!$L$5:$L$1264,$A70)</f>
        <v/>
      </c>
      <c r="W70" s="11">
        <f>COUNTIFS('Datos - Objetivos de países'!$B$5:$B$510,"Uruguay",'Datos - Objetivos de países'!$F$5:$F$510,W$3,'Datos - Objetivos de países'!$J$5:$J$510,$A70)+COUNTIFS('Datos - Objetivos de países'!$B$5:$B$510,"Uruguay",'Datos - Objetivos de países'!$F$5:$F$510,W$3,'Datos - Objetivos de países'!$K$5:$K$510,$A70)</f>
        <v/>
      </c>
      <c r="X70" s="11">
        <f>COUNTIFS('Datos - Objetivos de países'!$B$5:$B$510,"Uruguay",'Datos - Objetivos de países'!$F$5:$F$510,X$3,'Datos - Objetivos de países'!$J$5:$J$510,$A70)+COUNTIFS('Datos - Objetivos de países'!$B$5:$B$510,"Uruguay",'Datos - Objetivos de países'!$F$5:$F$510,X$3,'Datos - Objetivos de países'!$K$5:$K$510,$A70)</f>
        <v/>
      </c>
      <c r="Y70" s="11">
        <f>COUNTIFS('Datos - Objetivos de países'!$B$5:$B$510,"Uruguay",'Datos - Objetivos de países'!$F$5:$F$510,Y$3,'Datos - Objetivos de países'!$J$5:$J$510,$A70)+COUNTIFS('Datos - Objetivos de países'!$B$5:$B$510,"Uruguay",'Datos - Objetivos de países'!$F$5:$F$510,Y$3,'Datos - Objetivos de países'!$K$5:$K$510,$A70)</f>
        <v/>
      </c>
      <c r="Z70" s="11">
        <f>COUNTIFS('Datos - Objetivos de países'!$B$5:$B$510,"Uruguay",'Datos - Objetivos de países'!$F$5:$F$510,Z$3,'Datos - Objetivos de países'!$J$5:$J$510,$A70)+COUNTIFS('Datos - Objetivos de países'!$B$5:$B$510,"Uruguay",'Datos - Objetivos de países'!$F$5:$F$510,Z$3,'Datos - Objetivos de países'!$K$5:$K$510,$A70)</f>
        <v/>
      </c>
      <c r="AA70" s="11">
        <f>COUNTIFS('Datos - Objetivos de países'!$B$5:$B$510,"Uruguay",'Datos - Objetivos de países'!$F$5:$F$510,AA$3,'Datos - Objetivos de países'!$J$5:$J$510,$A70)+COUNTIFS('Datos - Objetivos de países'!$B$5:$B$510,"Uruguay",'Datos - Objetivos de países'!$F$5:$F$510,AA$3,'Datos - Objetivos de países'!$K$5:$K$510,$A70)</f>
        <v/>
      </c>
      <c r="AB70" s="11">
        <f>COUNTIFS('Datos - Objetivos de países'!$B$5:$B$510,"Uruguay",'Datos - Objetivos de países'!$F$5:$F$510,AB$3,'Datos - Objetivos de países'!$J$5:$J$510,$A70)+COUNTIFS('Datos - Objetivos de países'!$B$5:$B$510,"Uruguay",'Datos - Objetivos de países'!$F$5:$F$510,AB$3,'Datos - Objetivos de países'!$K$5:$K$510,$A70)</f>
        <v/>
      </c>
      <c r="AC70" s="11">
        <f>COUNTIFS('Datos - Objetivos de países'!$B$5:$B$510,"Uruguay",'Datos - Objetivos de países'!$F$5:$F$510,AC$3,'Datos - Objetivos de países'!$J$5:$J$510,$A70)+COUNTIFS('Datos - Objetivos de países'!$B$5:$B$510,"Uruguay",'Datos - Objetivos de países'!$F$5:$F$510,AC$3,'Datos - Objetivos de países'!$K$5:$K$510,$A70)</f>
        <v/>
      </c>
      <c r="AD70" s="11">
        <f>COUNTIFS('Datos - Objetivos de países'!$B$5:$B$510,"Uruguay",'Datos - Objetivos de países'!$F$5:$F$510,AD$3,'Datos - Objetivos de países'!$J$5:$J$510,$A70)+COUNTIFS('Datos - Objetivos de países'!$B$5:$B$510,"Uruguay",'Datos - Objetivos de países'!$F$5:$F$510,AD$3,'Datos - Objetivos de países'!$K$5:$K$510,$A70)</f>
        <v/>
      </c>
      <c r="AE70" s="11">
        <f>COUNTIFS('Datos - Objetivos de países'!$B$5:$B$510,"Uruguay",'Datos - Objetivos de países'!$F$5:$F$510,AE$3,'Datos - Objetivos de países'!$J$5:$J$510,$A70)+COUNTIFS('Datos - Objetivos de países'!$B$5:$B$510,"Uruguay",'Datos - Objetivos de países'!$F$5:$F$510,AE$3,'Datos - Objetivos de países'!$K$5:$K$510,$A70)</f>
        <v/>
      </c>
      <c r="AF70" s="11">
        <f>COUNTIFS('Datos - Objetivos de países'!$B$5:$B$510,"Colombia",'Datos - Objetivos de países'!$F$5:$F$510,AF$3,'Datos - Objetivos de países'!$J$5:$J$510,$A70)+COUNTIFS('Datos - Objetivos de países'!$B$5:$B$510,"Colombia",'Datos - Objetivos de países'!$F$5:$F$510,AF$3,'Datos - Objetivos de países'!$K$5:$K$510,$A70)</f>
        <v/>
      </c>
      <c r="AG70" s="11">
        <f>COUNTIFS('Datos - Objetivos de países'!$B$5:$B$510,"Colombia",'Datos - Objetivos de países'!$F$5:$F$510,AG$3,'Datos - Objetivos de países'!$J$5:$J$510,$A70)+COUNTIFS('Datos - Objetivos de países'!$B$5:$B$510,"Colombia",'Datos - Objetivos de países'!$F$5:$F$510,AG$3,'Datos - Objetivos de países'!$K$5:$K$510,$A70)</f>
        <v/>
      </c>
      <c r="AH70" s="11">
        <f>COUNTIFS('Datos - Objetivos de países'!$B$5:$B$510,"Colombia",'Datos - Objetivos de países'!$F$5:$F$510,AH$3,'Datos - Objetivos de países'!$J$5:$J$510,$A70)+COUNTIFS('Datos - Objetivos de países'!$B$5:$B$510,"Colombia",'Datos - Objetivos de países'!$F$5:$F$510,AH$3,'Datos - Objetivos de países'!$K$5:$K$510,$A70)</f>
        <v/>
      </c>
      <c r="AI70" s="11">
        <f>COUNTIFS('Datos - Objetivos de países'!$B$5:$B$510,"Colombia",'Datos - Objetivos de países'!$F$5:$F$510,AI$3,'Datos - Objetivos de países'!$J$5:$J$510,$A70)+COUNTIFS('Datos - Objetivos de países'!$B$5:$B$510,"Colombia",'Datos - Objetivos de países'!$F$5:$F$510,AI$3,'Datos - Objetivos de países'!$K$5:$K$510,$A70)</f>
        <v/>
      </c>
      <c r="AJ70" s="11">
        <f>COUNTIFS('Datos - Objetivos de países'!$B$5:$B$510,"Colombia",'Datos - Objetivos de países'!$F$5:$F$510,AJ$3,'Datos - Objetivos de países'!$J$5:$J$510,$A70)+COUNTIFS('Datos - Objetivos de países'!$B$5:$B$510,"Colombia",'Datos - Objetivos de países'!$F$5:$F$510,AJ$3,'Datos - Objetivos de países'!$K$5:$K$510,$A70)</f>
        <v/>
      </c>
      <c r="AK70" s="11">
        <f>COUNTIFS('Datos - Objetivos de países'!$B$5:$B$510,"Colombia",'Datos - Objetivos de países'!$F$5:$F$510,AK$3,'Datos - Objetivos de países'!$J$5:$J$510,$A70)+COUNTIFS('Datos - Objetivos de países'!$B$5:$B$510,"Colombia",'Datos - Objetivos de países'!$F$5:$F$510,AK$3,'Datos - Objetivos de países'!$K$5:$K$510,$A70)</f>
        <v/>
      </c>
      <c r="AL70" s="11">
        <f>COUNTIFS('Datos - Objetivos de países'!$B$5:$B$510,"Colombia",'Datos - Objetivos de países'!$F$5:$F$510,AL$3,'Datos - Objetivos de países'!$J$5:$J$510,$A70)+COUNTIFS('Datos - Objetivos de países'!$B$5:$B$510,"Colombia",'Datos - Objetivos de países'!$F$5:$F$510,AL$3,'Datos - Objetivos de países'!$K$5:$K$510,$A70)</f>
        <v/>
      </c>
      <c r="AM70" s="11">
        <f>COUNTIFS('Datos - Objetivos de países'!$B$5:$B$510,"Colombia",'Datos - Objetivos de países'!$F$5:$F$510,AM$3,'Datos - Objetivos de países'!$J$5:$J$510,$A70)+COUNTIFS('Datos - Objetivos de países'!$B$5:$B$510,"Colombia",'Datos - Objetivos de países'!$F$5:$F$510,AM$3,'Datos - Objetivos de países'!$K$5:$K$510,$A70)</f>
        <v/>
      </c>
      <c r="AN70" s="11">
        <f>COUNTIFS('Datos - Objetivos de países'!$B$5:$B$510,"Colombia",'Datos - Objetivos de países'!$F$5:$F$510,AN$3,'Datos - Objetivos de países'!$J$5:$J$510,$A70)+COUNTIFS('Datos - Objetivos de países'!$B$5:$B$510,"Colombia",'Datos - Objetivos de países'!$F$5:$F$510,AN$3,'Datos - Objetivos de países'!$K$5:$K$510,$A70)</f>
        <v/>
      </c>
      <c r="AO70" s="11">
        <f>COUNTIFS('Datos - Objetivos de países'!$B$5:$B$510,"Singapur",'Datos - Objetivos de países'!$F$5:$F$510,AO$3,'Datos - Objetivos de países'!$J$5:$J$510,$A70)+COUNTIFS('Datos - Objetivos de países'!$B$5:$B$510,"Singapur",'Datos - Objetivos de países'!$F$5:$F$510,AO$3,'Datos - Objetivos de países'!$K$5:$K$510,$A70)</f>
        <v/>
      </c>
      <c r="AP70" s="11">
        <f>COUNTIFS('Datos - Objetivos de países'!$B$5:$B$510,"Singapur",'Datos - Objetivos de países'!$F$5:$F$510,AP$3,'Datos - Objetivos de países'!$J$5:$J$510,$A70)+COUNTIFS('Datos - Objetivos de países'!$B$5:$B$510,"Singapur",'Datos - Objetivos de países'!$F$5:$F$510,AP$3,'Datos - Objetivos de países'!$K$5:$K$510,$A70)</f>
        <v/>
      </c>
      <c r="AQ70" s="11">
        <f>COUNTIFS('Datos - Objetivos de países'!$B$5:$B$510,"Singapur",'Datos - Objetivos de países'!$F$5:$F$510,AQ$3,'Datos - Objetivos de países'!$J$5:$J$510,$A70)+COUNTIFS('Datos - Objetivos de países'!$B$5:$B$510,"Singapur",'Datos - Objetivos de países'!$F$5:$F$510,AQ$3,'Datos - Objetivos de países'!$K$5:$K$510,$A70)</f>
        <v/>
      </c>
      <c r="AR70" s="11">
        <f>COUNTIFS('Datos - Objetivos de países'!$B$5:$B$510,"Singapur",'Datos - Objetivos de países'!$F$5:$F$510,AR$3,'Datos - Objetivos de países'!$J$5:$J$510,$A70)+COUNTIFS('Datos - Objetivos de países'!$B$5:$B$510,"Singapur",'Datos - Objetivos de países'!$F$5:$F$510,AR$3,'Datos - Objetivos de países'!$K$5:$K$510,$A70)</f>
        <v/>
      </c>
      <c r="AS70" s="11">
        <f>COUNTIFS('Datos - Objetivos de países'!$B$5:$B$510,"Singapur",'Datos - Objetivos de países'!$F$5:$F$510,AS$3,'Datos - Objetivos de países'!$J$5:$J$510,$A70)+COUNTIFS('Datos - Objetivos de países'!$B$5:$B$510,"Singapur",'Datos - Objetivos de países'!$F$5:$F$510,AS$3,'Datos - Objetivos de países'!$K$5:$K$510,$A70)</f>
        <v/>
      </c>
      <c r="AT70" s="11">
        <f>COUNTIFS('Datos - Objetivos de países'!$B$5:$B$510,"Singapur",'Datos - Objetivos de países'!$F$5:$F$510,AT$3,'Datos - Objetivos de países'!$J$5:$J$510,$A70)+COUNTIFS('Datos - Objetivos de países'!$B$5:$B$510,"Singapur",'Datos - Objetivos de países'!$F$5:$F$510,AT$3,'Datos - Objetivos de países'!$K$5:$K$510,$A70)</f>
        <v/>
      </c>
      <c r="AU70" s="11">
        <f>COUNTIFS('Datos - Objetivos de países'!$B$5:$B$510,"Singapur",'Datos - Objetivos de países'!$F$5:$F$510,AU$3,'Datos - Objetivos de países'!$J$5:$J$510,$A70)+COUNTIFS('Datos - Objetivos de países'!$B$5:$B$510,"Singapur",'Datos - Objetivos de países'!$F$5:$F$510,AU$3,'Datos - Objetivos de países'!$K$5:$K$510,$A70)</f>
        <v/>
      </c>
      <c r="AV70" s="11">
        <f>COUNTIFS('Datos - Objetivos de países'!$B$5:$B$510,"Singapur",'Datos - Objetivos de países'!$F$5:$F$510,AV$3,'Datos - Objetivos de países'!$J$5:$J$510,$A70)+COUNTIFS('Datos - Objetivos de países'!$B$5:$B$510,"Singapur",'Datos - Objetivos de países'!$F$5:$F$510,AV$3,'Datos - Objetivos de países'!$K$5:$K$510,$A70)</f>
        <v/>
      </c>
      <c r="AW70" s="11">
        <f>COUNTIFS('Datos - Objetivos de países'!$B$5:$B$510,"Singapur",'Datos - Objetivos de países'!$F$5:$F$510,AW$3,'Datos - Objetivos de países'!$J$5:$J$510,$A70)+COUNTIFS('Datos - Objetivos de países'!$B$5:$B$510,"Singapur",'Datos - Objetivos de países'!$F$5:$F$510,AW$3,'Datos - Objetivos de países'!$K$5:$K$510,$A70)</f>
        <v/>
      </c>
    </row>
    <row r="71">
      <c r="A71" s="30" t="inlineStr">
        <is>
          <t>T8_27-P5.2</t>
        </is>
      </c>
      <c r="B71" s="30" t="inlineStr">
        <is>
          <t>T8_27</t>
        </is>
      </c>
      <c r="C71" s="30" t="inlineStr">
        <is>
          <t>Física</t>
        </is>
      </c>
      <c r="D71" s="30" t="inlineStr">
        <is>
          <t>Fuerzas comunes y sus características</t>
        </is>
      </c>
      <c r="E71" s="30">
        <f>IFERROR(MAX($L$3,INDEX($N$3:$V$3,MATCH(TRUE,INDEX(N71:V71&gt;0,0),0))),"—")</f>
        <v/>
      </c>
      <c r="F71" s="30">
        <f>IFERROR(MAX($L$3,INDEX($W$3:$AE$3,MATCH(TRUE,INDEX(W71:AE71&gt;0,0),0))),"—")</f>
        <v/>
      </c>
      <c r="G71" s="30">
        <f>IFERROR(MAX($L$3,INDEX($AF$3:$AN$3,MATCH(TRUE,INDEX(AF71:AN71&gt;0,0),0))),"—")</f>
        <v/>
      </c>
      <c r="H71" s="30">
        <f>IFERROR(MAX($L$3,INDEX($AO$3:$AW$3,MATCH(TRUE,INDEX(AO71:AW71&gt;0,0),0))),"—")</f>
        <v/>
      </c>
      <c r="I71" s="36">
        <f>IF(L71=0,"—",MEDIAN(F71:H71))</f>
        <v/>
      </c>
      <c r="J71" s="36">
        <f>IF(OR(E71="—",I71="—"),"—",E71-I71)</f>
        <v/>
      </c>
      <c r="K71" s="19">
        <f>IF(E71="—",IF(L71=0,"Nadie lo trabaja","El Salvador no llega"),IF(L71=0,"Solo El Salvador",IF(J71&gt;0,"El Salvador llega más tarde",IF(J71&lt;0,"El Salvador va adelantado","Mismo grado"))))</f>
        <v/>
      </c>
      <c r="L71" s="30">
        <f>COUNT(F71:H71)</f>
        <v/>
      </c>
      <c r="N71" s="11">
        <f>COUNTIFS('Datos - Temas'!$C$5:$C$1264,"Ciencias",'Datos - Temas'!$B$5:$B$1264,N$3,'Datos - Temas'!$K$5:$K$1264,$A71)+COUNTIFS('Datos - Temas'!$C$5:$C$1264,"Ciencias",'Datos - Temas'!$B$5:$B$1264,N$3,'Datos - Temas'!$L$5:$L$1264,$A71)</f>
        <v/>
      </c>
      <c r="O71" s="11">
        <f>COUNTIFS('Datos - Temas'!$C$5:$C$1264,"Ciencias",'Datos - Temas'!$B$5:$B$1264,O$3,'Datos - Temas'!$K$5:$K$1264,$A71)+COUNTIFS('Datos - Temas'!$C$5:$C$1264,"Ciencias",'Datos - Temas'!$B$5:$B$1264,O$3,'Datos - Temas'!$L$5:$L$1264,$A71)</f>
        <v/>
      </c>
      <c r="P71" s="11">
        <f>COUNTIFS('Datos - Temas'!$C$5:$C$1264,"Ciencias",'Datos - Temas'!$B$5:$B$1264,P$3,'Datos - Temas'!$K$5:$K$1264,$A71)+COUNTIFS('Datos - Temas'!$C$5:$C$1264,"Ciencias",'Datos - Temas'!$B$5:$B$1264,P$3,'Datos - Temas'!$L$5:$L$1264,$A71)</f>
        <v/>
      </c>
      <c r="Q71" s="11">
        <f>COUNTIFS('Datos - Temas'!$C$5:$C$1264,"Ciencias",'Datos - Temas'!$B$5:$B$1264,Q$3,'Datos - Temas'!$K$5:$K$1264,$A71)+COUNTIFS('Datos - Temas'!$C$5:$C$1264,"Ciencias",'Datos - Temas'!$B$5:$B$1264,Q$3,'Datos - Temas'!$L$5:$L$1264,$A71)</f>
        <v/>
      </c>
      <c r="R71" s="11">
        <f>COUNTIFS('Datos - Temas'!$C$5:$C$1264,"Ciencias",'Datos - Temas'!$B$5:$B$1264,R$3,'Datos - Temas'!$K$5:$K$1264,$A71)+COUNTIFS('Datos - Temas'!$C$5:$C$1264,"Ciencias",'Datos - Temas'!$B$5:$B$1264,R$3,'Datos - Temas'!$L$5:$L$1264,$A71)</f>
        <v/>
      </c>
      <c r="S71" s="11">
        <f>COUNTIFS('Datos - Temas'!$C$5:$C$1264,"Ciencias",'Datos - Temas'!$B$5:$B$1264,S$3,'Datos - Temas'!$K$5:$K$1264,$A71)+COUNTIFS('Datos - Temas'!$C$5:$C$1264,"Ciencias",'Datos - Temas'!$B$5:$B$1264,S$3,'Datos - Temas'!$L$5:$L$1264,$A71)</f>
        <v/>
      </c>
      <c r="T71" s="11">
        <f>COUNTIFS('Datos - Temas'!$C$5:$C$1264,"Ciencias",'Datos - Temas'!$B$5:$B$1264,T$3,'Datos - Temas'!$K$5:$K$1264,$A71)+COUNTIFS('Datos - Temas'!$C$5:$C$1264,"Ciencias",'Datos - Temas'!$B$5:$B$1264,T$3,'Datos - Temas'!$L$5:$L$1264,$A71)</f>
        <v/>
      </c>
      <c r="U71" s="11">
        <f>COUNTIFS('Datos - Temas'!$C$5:$C$1264,"Ciencias",'Datos - Temas'!$B$5:$B$1264,U$3,'Datos - Temas'!$K$5:$K$1264,$A71)+COUNTIFS('Datos - Temas'!$C$5:$C$1264,"Ciencias",'Datos - Temas'!$B$5:$B$1264,U$3,'Datos - Temas'!$L$5:$L$1264,$A71)</f>
        <v/>
      </c>
      <c r="V71" s="11">
        <f>COUNTIFS('Datos - Temas'!$C$5:$C$1264,"Ciencias",'Datos - Temas'!$B$5:$B$1264,V$3,'Datos - Temas'!$K$5:$K$1264,$A71)+COUNTIFS('Datos - Temas'!$C$5:$C$1264,"Ciencias",'Datos - Temas'!$B$5:$B$1264,V$3,'Datos - Temas'!$L$5:$L$1264,$A71)</f>
        <v/>
      </c>
      <c r="W71" s="11">
        <f>COUNTIFS('Datos - Objetivos de países'!$B$5:$B$510,"Uruguay",'Datos - Objetivos de países'!$F$5:$F$510,W$3,'Datos - Objetivos de países'!$J$5:$J$510,$A71)+COUNTIFS('Datos - Objetivos de países'!$B$5:$B$510,"Uruguay",'Datos - Objetivos de países'!$F$5:$F$510,W$3,'Datos - Objetivos de países'!$K$5:$K$510,$A71)</f>
        <v/>
      </c>
      <c r="X71" s="11">
        <f>COUNTIFS('Datos - Objetivos de países'!$B$5:$B$510,"Uruguay",'Datos - Objetivos de países'!$F$5:$F$510,X$3,'Datos - Objetivos de países'!$J$5:$J$510,$A71)+COUNTIFS('Datos - Objetivos de países'!$B$5:$B$510,"Uruguay",'Datos - Objetivos de países'!$F$5:$F$510,X$3,'Datos - Objetivos de países'!$K$5:$K$510,$A71)</f>
        <v/>
      </c>
      <c r="Y71" s="11">
        <f>COUNTIFS('Datos - Objetivos de países'!$B$5:$B$510,"Uruguay",'Datos - Objetivos de países'!$F$5:$F$510,Y$3,'Datos - Objetivos de países'!$J$5:$J$510,$A71)+COUNTIFS('Datos - Objetivos de países'!$B$5:$B$510,"Uruguay",'Datos - Objetivos de países'!$F$5:$F$510,Y$3,'Datos - Objetivos de países'!$K$5:$K$510,$A71)</f>
        <v/>
      </c>
      <c r="Z71" s="11">
        <f>COUNTIFS('Datos - Objetivos de países'!$B$5:$B$510,"Uruguay",'Datos - Objetivos de países'!$F$5:$F$510,Z$3,'Datos - Objetivos de países'!$J$5:$J$510,$A71)+COUNTIFS('Datos - Objetivos de países'!$B$5:$B$510,"Uruguay",'Datos - Objetivos de países'!$F$5:$F$510,Z$3,'Datos - Objetivos de países'!$K$5:$K$510,$A71)</f>
        <v/>
      </c>
      <c r="AA71" s="11">
        <f>COUNTIFS('Datos - Objetivos de países'!$B$5:$B$510,"Uruguay",'Datos - Objetivos de países'!$F$5:$F$510,AA$3,'Datos - Objetivos de países'!$J$5:$J$510,$A71)+COUNTIFS('Datos - Objetivos de países'!$B$5:$B$510,"Uruguay",'Datos - Objetivos de países'!$F$5:$F$510,AA$3,'Datos - Objetivos de países'!$K$5:$K$510,$A71)</f>
        <v/>
      </c>
      <c r="AB71" s="11">
        <f>COUNTIFS('Datos - Objetivos de países'!$B$5:$B$510,"Uruguay",'Datos - Objetivos de países'!$F$5:$F$510,AB$3,'Datos - Objetivos de países'!$J$5:$J$510,$A71)+COUNTIFS('Datos - Objetivos de países'!$B$5:$B$510,"Uruguay",'Datos - Objetivos de países'!$F$5:$F$510,AB$3,'Datos - Objetivos de países'!$K$5:$K$510,$A71)</f>
        <v/>
      </c>
      <c r="AC71" s="11">
        <f>COUNTIFS('Datos - Objetivos de países'!$B$5:$B$510,"Uruguay",'Datos - Objetivos de países'!$F$5:$F$510,AC$3,'Datos - Objetivos de países'!$J$5:$J$510,$A71)+COUNTIFS('Datos - Objetivos de países'!$B$5:$B$510,"Uruguay",'Datos - Objetivos de países'!$F$5:$F$510,AC$3,'Datos - Objetivos de países'!$K$5:$K$510,$A71)</f>
        <v/>
      </c>
      <c r="AD71" s="11">
        <f>COUNTIFS('Datos - Objetivos de países'!$B$5:$B$510,"Uruguay",'Datos - Objetivos de países'!$F$5:$F$510,AD$3,'Datos - Objetivos de países'!$J$5:$J$510,$A71)+COUNTIFS('Datos - Objetivos de países'!$B$5:$B$510,"Uruguay",'Datos - Objetivos de países'!$F$5:$F$510,AD$3,'Datos - Objetivos de países'!$K$5:$K$510,$A71)</f>
        <v/>
      </c>
      <c r="AE71" s="11">
        <f>COUNTIFS('Datos - Objetivos de países'!$B$5:$B$510,"Uruguay",'Datos - Objetivos de países'!$F$5:$F$510,AE$3,'Datos - Objetivos de países'!$J$5:$J$510,$A71)+COUNTIFS('Datos - Objetivos de países'!$B$5:$B$510,"Uruguay",'Datos - Objetivos de países'!$F$5:$F$510,AE$3,'Datos - Objetivos de países'!$K$5:$K$510,$A71)</f>
        <v/>
      </c>
      <c r="AF71" s="11">
        <f>COUNTIFS('Datos - Objetivos de países'!$B$5:$B$510,"Colombia",'Datos - Objetivos de países'!$F$5:$F$510,AF$3,'Datos - Objetivos de países'!$J$5:$J$510,$A71)+COUNTIFS('Datos - Objetivos de países'!$B$5:$B$510,"Colombia",'Datos - Objetivos de países'!$F$5:$F$510,AF$3,'Datos - Objetivos de países'!$K$5:$K$510,$A71)</f>
        <v/>
      </c>
      <c r="AG71" s="11">
        <f>COUNTIFS('Datos - Objetivos de países'!$B$5:$B$510,"Colombia",'Datos - Objetivos de países'!$F$5:$F$510,AG$3,'Datos - Objetivos de países'!$J$5:$J$510,$A71)+COUNTIFS('Datos - Objetivos de países'!$B$5:$B$510,"Colombia",'Datos - Objetivos de países'!$F$5:$F$510,AG$3,'Datos - Objetivos de países'!$K$5:$K$510,$A71)</f>
        <v/>
      </c>
      <c r="AH71" s="11">
        <f>COUNTIFS('Datos - Objetivos de países'!$B$5:$B$510,"Colombia",'Datos - Objetivos de países'!$F$5:$F$510,AH$3,'Datos - Objetivos de países'!$J$5:$J$510,$A71)+COUNTIFS('Datos - Objetivos de países'!$B$5:$B$510,"Colombia",'Datos - Objetivos de países'!$F$5:$F$510,AH$3,'Datos - Objetivos de países'!$K$5:$K$510,$A71)</f>
        <v/>
      </c>
      <c r="AI71" s="11">
        <f>COUNTIFS('Datos - Objetivos de países'!$B$5:$B$510,"Colombia",'Datos - Objetivos de países'!$F$5:$F$510,AI$3,'Datos - Objetivos de países'!$J$5:$J$510,$A71)+COUNTIFS('Datos - Objetivos de países'!$B$5:$B$510,"Colombia",'Datos - Objetivos de países'!$F$5:$F$510,AI$3,'Datos - Objetivos de países'!$K$5:$K$510,$A71)</f>
        <v/>
      </c>
      <c r="AJ71" s="11">
        <f>COUNTIFS('Datos - Objetivos de países'!$B$5:$B$510,"Colombia",'Datos - Objetivos de países'!$F$5:$F$510,AJ$3,'Datos - Objetivos de países'!$J$5:$J$510,$A71)+COUNTIFS('Datos - Objetivos de países'!$B$5:$B$510,"Colombia",'Datos - Objetivos de países'!$F$5:$F$510,AJ$3,'Datos - Objetivos de países'!$K$5:$K$510,$A71)</f>
        <v/>
      </c>
      <c r="AK71" s="11">
        <f>COUNTIFS('Datos - Objetivos de países'!$B$5:$B$510,"Colombia",'Datos - Objetivos de países'!$F$5:$F$510,AK$3,'Datos - Objetivos de países'!$J$5:$J$510,$A71)+COUNTIFS('Datos - Objetivos de países'!$B$5:$B$510,"Colombia",'Datos - Objetivos de países'!$F$5:$F$510,AK$3,'Datos - Objetivos de países'!$K$5:$K$510,$A71)</f>
        <v/>
      </c>
      <c r="AL71" s="11">
        <f>COUNTIFS('Datos - Objetivos de países'!$B$5:$B$510,"Colombia",'Datos - Objetivos de países'!$F$5:$F$510,AL$3,'Datos - Objetivos de países'!$J$5:$J$510,$A71)+COUNTIFS('Datos - Objetivos de países'!$B$5:$B$510,"Colombia",'Datos - Objetivos de países'!$F$5:$F$510,AL$3,'Datos - Objetivos de países'!$K$5:$K$510,$A71)</f>
        <v/>
      </c>
      <c r="AM71" s="11">
        <f>COUNTIFS('Datos - Objetivos de países'!$B$5:$B$510,"Colombia",'Datos - Objetivos de países'!$F$5:$F$510,AM$3,'Datos - Objetivos de países'!$J$5:$J$510,$A71)+COUNTIFS('Datos - Objetivos de países'!$B$5:$B$510,"Colombia",'Datos - Objetivos de países'!$F$5:$F$510,AM$3,'Datos - Objetivos de países'!$K$5:$K$510,$A71)</f>
        <v/>
      </c>
      <c r="AN71" s="11">
        <f>COUNTIFS('Datos - Objetivos de países'!$B$5:$B$510,"Colombia",'Datos - Objetivos de países'!$F$5:$F$510,AN$3,'Datos - Objetivos de países'!$J$5:$J$510,$A71)+COUNTIFS('Datos - Objetivos de países'!$B$5:$B$510,"Colombia",'Datos - Objetivos de países'!$F$5:$F$510,AN$3,'Datos - Objetivos de países'!$K$5:$K$510,$A71)</f>
        <v/>
      </c>
      <c r="AO71" s="11">
        <f>COUNTIFS('Datos - Objetivos de países'!$B$5:$B$510,"Singapur",'Datos - Objetivos de países'!$F$5:$F$510,AO$3,'Datos - Objetivos de países'!$J$5:$J$510,$A71)+COUNTIFS('Datos - Objetivos de países'!$B$5:$B$510,"Singapur",'Datos - Objetivos de países'!$F$5:$F$510,AO$3,'Datos - Objetivos de países'!$K$5:$K$510,$A71)</f>
        <v/>
      </c>
      <c r="AP71" s="11">
        <f>COUNTIFS('Datos - Objetivos de países'!$B$5:$B$510,"Singapur",'Datos - Objetivos de países'!$F$5:$F$510,AP$3,'Datos - Objetivos de países'!$J$5:$J$510,$A71)+COUNTIFS('Datos - Objetivos de países'!$B$5:$B$510,"Singapur",'Datos - Objetivos de países'!$F$5:$F$510,AP$3,'Datos - Objetivos de países'!$K$5:$K$510,$A71)</f>
        <v/>
      </c>
      <c r="AQ71" s="11">
        <f>COUNTIFS('Datos - Objetivos de países'!$B$5:$B$510,"Singapur",'Datos - Objetivos de países'!$F$5:$F$510,AQ$3,'Datos - Objetivos de países'!$J$5:$J$510,$A71)+COUNTIFS('Datos - Objetivos de países'!$B$5:$B$510,"Singapur",'Datos - Objetivos de países'!$F$5:$F$510,AQ$3,'Datos - Objetivos de países'!$K$5:$K$510,$A71)</f>
        <v/>
      </c>
      <c r="AR71" s="11">
        <f>COUNTIFS('Datos - Objetivos de países'!$B$5:$B$510,"Singapur",'Datos - Objetivos de países'!$F$5:$F$510,AR$3,'Datos - Objetivos de países'!$J$5:$J$510,$A71)+COUNTIFS('Datos - Objetivos de países'!$B$5:$B$510,"Singapur",'Datos - Objetivos de países'!$F$5:$F$510,AR$3,'Datos - Objetivos de países'!$K$5:$K$510,$A71)</f>
        <v/>
      </c>
      <c r="AS71" s="11">
        <f>COUNTIFS('Datos - Objetivos de países'!$B$5:$B$510,"Singapur",'Datos - Objetivos de países'!$F$5:$F$510,AS$3,'Datos - Objetivos de países'!$J$5:$J$510,$A71)+COUNTIFS('Datos - Objetivos de países'!$B$5:$B$510,"Singapur",'Datos - Objetivos de países'!$F$5:$F$510,AS$3,'Datos - Objetivos de países'!$K$5:$K$510,$A71)</f>
        <v/>
      </c>
      <c r="AT71" s="11">
        <f>COUNTIFS('Datos - Objetivos de países'!$B$5:$B$510,"Singapur",'Datos - Objetivos de países'!$F$5:$F$510,AT$3,'Datos - Objetivos de países'!$J$5:$J$510,$A71)+COUNTIFS('Datos - Objetivos de países'!$B$5:$B$510,"Singapur",'Datos - Objetivos de países'!$F$5:$F$510,AT$3,'Datos - Objetivos de países'!$K$5:$K$510,$A71)</f>
        <v/>
      </c>
      <c r="AU71" s="11">
        <f>COUNTIFS('Datos - Objetivos de países'!$B$5:$B$510,"Singapur",'Datos - Objetivos de países'!$F$5:$F$510,AU$3,'Datos - Objetivos de países'!$J$5:$J$510,$A71)+COUNTIFS('Datos - Objetivos de países'!$B$5:$B$510,"Singapur",'Datos - Objetivos de países'!$F$5:$F$510,AU$3,'Datos - Objetivos de países'!$K$5:$K$510,$A71)</f>
        <v/>
      </c>
      <c r="AV71" s="11">
        <f>COUNTIFS('Datos - Objetivos de países'!$B$5:$B$510,"Singapur",'Datos - Objetivos de países'!$F$5:$F$510,AV$3,'Datos - Objetivos de países'!$J$5:$J$510,$A71)+COUNTIFS('Datos - Objetivos de países'!$B$5:$B$510,"Singapur",'Datos - Objetivos de países'!$F$5:$F$510,AV$3,'Datos - Objetivos de países'!$K$5:$K$510,$A71)</f>
        <v/>
      </c>
      <c r="AW71" s="11">
        <f>COUNTIFS('Datos - Objetivos de países'!$B$5:$B$510,"Singapur",'Datos - Objetivos de países'!$F$5:$F$510,AW$3,'Datos - Objetivos de países'!$J$5:$J$510,$A71)+COUNTIFS('Datos - Objetivos de países'!$B$5:$B$510,"Singapur",'Datos - Objetivos de países'!$F$5:$F$510,AW$3,'Datos - Objetivos de países'!$K$5:$K$510,$A71)</f>
        <v/>
      </c>
    </row>
    <row r="72">
      <c r="A72" s="30" t="inlineStr">
        <is>
          <t>T8_27-P5.3</t>
        </is>
      </c>
      <c r="B72" s="30" t="inlineStr">
        <is>
          <t>T8_27</t>
        </is>
      </c>
      <c r="C72" s="30" t="inlineStr">
        <is>
          <t>Física</t>
        </is>
      </c>
      <c r="D72" s="30" t="inlineStr">
        <is>
          <t>Efectos de las fuerzas</t>
        </is>
      </c>
      <c r="E72" s="30">
        <f>IFERROR(MAX($L$3,INDEX($N$3:$V$3,MATCH(TRUE,INDEX(N72:V72&gt;0,0),0))),"—")</f>
        <v/>
      </c>
      <c r="F72" s="30">
        <f>IFERROR(MAX($L$3,INDEX($W$3:$AE$3,MATCH(TRUE,INDEX(W72:AE72&gt;0,0),0))),"—")</f>
        <v/>
      </c>
      <c r="G72" s="30">
        <f>IFERROR(MAX($L$3,INDEX($AF$3:$AN$3,MATCH(TRUE,INDEX(AF72:AN72&gt;0,0),0))),"—")</f>
        <v/>
      </c>
      <c r="H72" s="30">
        <f>IFERROR(MAX($L$3,INDEX($AO$3:$AW$3,MATCH(TRUE,INDEX(AO72:AW72&gt;0,0),0))),"—")</f>
        <v/>
      </c>
      <c r="I72" s="36">
        <f>IF(L72=0,"—",MEDIAN(F72:H72))</f>
        <v/>
      </c>
      <c r="J72" s="36">
        <f>IF(OR(E72="—",I72="—"),"—",E72-I72)</f>
        <v/>
      </c>
      <c r="K72" s="19">
        <f>IF(E72="—",IF(L72=0,"Nadie lo trabaja","El Salvador no llega"),IF(L72=0,"Solo El Salvador",IF(J72&gt;0,"El Salvador llega más tarde",IF(J72&lt;0,"El Salvador va adelantado","Mismo grado"))))</f>
        <v/>
      </c>
      <c r="L72" s="30">
        <f>COUNT(F72:H72)</f>
        <v/>
      </c>
      <c r="N72" s="11">
        <f>COUNTIFS('Datos - Temas'!$C$5:$C$1264,"Ciencias",'Datos - Temas'!$B$5:$B$1264,N$3,'Datos - Temas'!$K$5:$K$1264,$A72)+COUNTIFS('Datos - Temas'!$C$5:$C$1264,"Ciencias",'Datos - Temas'!$B$5:$B$1264,N$3,'Datos - Temas'!$L$5:$L$1264,$A72)</f>
        <v/>
      </c>
      <c r="O72" s="11">
        <f>COUNTIFS('Datos - Temas'!$C$5:$C$1264,"Ciencias",'Datos - Temas'!$B$5:$B$1264,O$3,'Datos - Temas'!$K$5:$K$1264,$A72)+COUNTIFS('Datos - Temas'!$C$5:$C$1264,"Ciencias",'Datos - Temas'!$B$5:$B$1264,O$3,'Datos - Temas'!$L$5:$L$1264,$A72)</f>
        <v/>
      </c>
      <c r="P72" s="11">
        <f>COUNTIFS('Datos - Temas'!$C$5:$C$1264,"Ciencias",'Datos - Temas'!$B$5:$B$1264,P$3,'Datos - Temas'!$K$5:$K$1264,$A72)+COUNTIFS('Datos - Temas'!$C$5:$C$1264,"Ciencias",'Datos - Temas'!$B$5:$B$1264,P$3,'Datos - Temas'!$L$5:$L$1264,$A72)</f>
        <v/>
      </c>
      <c r="Q72" s="11">
        <f>COUNTIFS('Datos - Temas'!$C$5:$C$1264,"Ciencias",'Datos - Temas'!$B$5:$B$1264,Q$3,'Datos - Temas'!$K$5:$K$1264,$A72)+COUNTIFS('Datos - Temas'!$C$5:$C$1264,"Ciencias",'Datos - Temas'!$B$5:$B$1264,Q$3,'Datos - Temas'!$L$5:$L$1264,$A72)</f>
        <v/>
      </c>
      <c r="R72" s="11">
        <f>COUNTIFS('Datos - Temas'!$C$5:$C$1264,"Ciencias",'Datos - Temas'!$B$5:$B$1264,R$3,'Datos - Temas'!$K$5:$K$1264,$A72)+COUNTIFS('Datos - Temas'!$C$5:$C$1264,"Ciencias",'Datos - Temas'!$B$5:$B$1264,R$3,'Datos - Temas'!$L$5:$L$1264,$A72)</f>
        <v/>
      </c>
      <c r="S72" s="11">
        <f>COUNTIFS('Datos - Temas'!$C$5:$C$1264,"Ciencias",'Datos - Temas'!$B$5:$B$1264,S$3,'Datos - Temas'!$K$5:$K$1264,$A72)+COUNTIFS('Datos - Temas'!$C$5:$C$1264,"Ciencias",'Datos - Temas'!$B$5:$B$1264,S$3,'Datos - Temas'!$L$5:$L$1264,$A72)</f>
        <v/>
      </c>
      <c r="T72" s="11">
        <f>COUNTIFS('Datos - Temas'!$C$5:$C$1264,"Ciencias",'Datos - Temas'!$B$5:$B$1264,T$3,'Datos - Temas'!$K$5:$K$1264,$A72)+COUNTIFS('Datos - Temas'!$C$5:$C$1264,"Ciencias",'Datos - Temas'!$B$5:$B$1264,T$3,'Datos - Temas'!$L$5:$L$1264,$A72)</f>
        <v/>
      </c>
      <c r="U72" s="11">
        <f>COUNTIFS('Datos - Temas'!$C$5:$C$1264,"Ciencias",'Datos - Temas'!$B$5:$B$1264,U$3,'Datos - Temas'!$K$5:$K$1264,$A72)+COUNTIFS('Datos - Temas'!$C$5:$C$1264,"Ciencias",'Datos - Temas'!$B$5:$B$1264,U$3,'Datos - Temas'!$L$5:$L$1264,$A72)</f>
        <v/>
      </c>
      <c r="V72" s="11">
        <f>COUNTIFS('Datos - Temas'!$C$5:$C$1264,"Ciencias",'Datos - Temas'!$B$5:$B$1264,V$3,'Datos - Temas'!$K$5:$K$1264,$A72)+COUNTIFS('Datos - Temas'!$C$5:$C$1264,"Ciencias",'Datos - Temas'!$B$5:$B$1264,V$3,'Datos - Temas'!$L$5:$L$1264,$A72)</f>
        <v/>
      </c>
      <c r="W72" s="11">
        <f>COUNTIFS('Datos - Objetivos de países'!$B$5:$B$510,"Uruguay",'Datos - Objetivos de países'!$F$5:$F$510,W$3,'Datos - Objetivos de países'!$J$5:$J$510,$A72)+COUNTIFS('Datos - Objetivos de países'!$B$5:$B$510,"Uruguay",'Datos - Objetivos de países'!$F$5:$F$510,W$3,'Datos - Objetivos de países'!$K$5:$K$510,$A72)</f>
        <v/>
      </c>
      <c r="X72" s="11">
        <f>COUNTIFS('Datos - Objetivos de países'!$B$5:$B$510,"Uruguay",'Datos - Objetivos de países'!$F$5:$F$510,X$3,'Datos - Objetivos de países'!$J$5:$J$510,$A72)+COUNTIFS('Datos - Objetivos de países'!$B$5:$B$510,"Uruguay",'Datos - Objetivos de países'!$F$5:$F$510,X$3,'Datos - Objetivos de países'!$K$5:$K$510,$A72)</f>
        <v/>
      </c>
      <c r="Y72" s="11">
        <f>COUNTIFS('Datos - Objetivos de países'!$B$5:$B$510,"Uruguay",'Datos - Objetivos de países'!$F$5:$F$510,Y$3,'Datos - Objetivos de países'!$J$5:$J$510,$A72)+COUNTIFS('Datos - Objetivos de países'!$B$5:$B$510,"Uruguay",'Datos - Objetivos de países'!$F$5:$F$510,Y$3,'Datos - Objetivos de países'!$K$5:$K$510,$A72)</f>
        <v/>
      </c>
      <c r="Z72" s="11">
        <f>COUNTIFS('Datos - Objetivos de países'!$B$5:$B$510,"Uruguay",'Datos - Objetivos de países'!$F$5:$F$510,Z$3,'Datos - Objetivos de países'!$J$5:$J$510,$A72)+COUNTIFS('Datos - Objetivos de países'!$B$5:$B$510,"Uruguay",'Datos - Objetivos de países'!$F$5:$F$510,Z$3,'Datos - Objetivos de países'!$K$5:$K$510,$A72)</f>
        <v/>
      </c>
      <c r="AA72" s="11">
        <f>COUNTIFS('Datos - Objetivos de países'!$B$5:$B$510,"Uruguay",'Datos - Objetivos de países'!$F$5:$F$510,AA$3,'Datos - Objetivos de países'!$J$5:$J$510,$A72)+COUNTIFS('Datos - Objetivos de países'!$B$5:$B$510,"Uruguay",'Datos - Objetivos de países'!$F$5:$F$510,AA$3,'Datos - Objetivos de países'!$K$5:$K$510,$A72)</f>
        <v/>
      </c>
      <c r="AB72" s="11">
        <f>COUNTIFS('Datos - Objetivos de países'!$B$5:$B$510,"Uruguay",'Datos - Objetivos de países'!$F$5:$F$510,AB$3,'Datos - Objetivos de países'!$J$5:$J$510,$A72)+COUNTIFS('Datos - Objetivos de países'!$B$5:$B$510,"Uruguay",'Datos - Objetivos de países'!$F$5:$F$510,AB$3,'Datos - Objetivos de países'!$K$5:$K$510,$A72)</f>
        <v/>
      </c>
      <c r="AC72" s="11">
        <f>COUNTIFS('Datos - Objetivos de países'!$B$5:$B$510,"Uruguay",'Datos - Objetivos de países'!$F$5:$F$510,AC$3,'Datos - Objetivos de países'!$J$5:$J$510,$A72)+COUNTIFS('Datos - Objetivos de países'!$B$5:$B$510,"Uruguay",'Datos - Objetivos de países'!$F$5:$F$510,AC$3,'Datos - Objetivos de países'!$K$5:$K$510,$A72)</f>
        <v/>
      </c>
      <c r="AD72" s="11">
        <f>COUNTIFS('Datos - Objetivos de países'!$B$5:$B$510,"Uruguay",'Datos - Objetivos de países'!$F$5:$F$510,AD$3,'Datos - Objetivos de países'!$J$5:$J$510,$A72)+COUNTIFS('Datos - Objetivos de países'!$B$5:$B$510,"Uruguay",'Datos - Objetivos de países'!$F$5:$F$510,AD$3,'Datos - Objetivos de países'!$K$5:$K$510,$A72)</f>
        <v/>
      </c>
      <c r="AE72" s="11">
        <f>COUNTIFS('Datos - Objetivos de países'!$B$5:$B$510,"Uruguay",'Datos - Objetivos de países'!$F$5:$F$510,AE$3,'Datos - Objetivos de países'!$J$5:$J$510,$A72)+COUNTIFS('Datos - Objetivos de países'!$B$5:$B$510,"Uruguay",'Datos - Objetivos de países'!$F$5:$F$510,AE$3,'Datos - Objetivos de países'!$K$5:$K$510,$A72)</f>
        <v/>
      </c>
      <c r="AF72" s="11">
        <f>COUNTIFS('Datos - Objetivos de países'!$B$5:$B$510,"Colombia",'Datos - Objetivos de países'!$F$5:$F$510,AF$3,'Datos - Objetivos de países'!$J$5:$J$510,$A72)+COUNTIFS('Datos - Objetivos de países'!$B$5:$B$510,"Colombia",'Datos - Objetivos de países'!$F$5:$F$510,AF$3,'Datos - Objetivos de países'!$K$5:$K$510,$A72)</f>
        <v/>
      </c>
      <c r="AG72" s="11">
        <f>COUNTIFS('Datos - Objetivos de países'!$B$5:$B$510,"Colombia",'Datos - Objetivos de países'!$F$5:$F$510,AG$3,'Datos - Objetivos de países'!$J$5:$J$510,$A72)+COUNTIFS('Datos - Objetivos de países'!$B$5:$B$510,"Colombia",'Datos - Objetivos de países'!$F$5:$F$510,AG$3,'Datos - Objetivos de países'!$K$5:$K$510,$A72)</f>
        <v/>
      </c>
      <c r="AH72" s="11">
        <f>COUNTIFS('Datos - Objetivos de países'!$B$5:$B$510,"Colombia",'Datos - Objetivos de países'!$F$5:$F$510,AH$3,'Datos - Objetivos de países'!$J$5:$J$510,$A72)+COUNTIFS('Datos - Objetivos de países'!$B$5:$B$510,"Colombia",'Datos - Objetivos de países'!$F$5:$F$510,AH$3,'Datos - Objetivos de países'!$K$5:$K$510,$A72)</f>
        <v/>
      </c>
      <c r="AI72" s="11">
        <f>COUNTIFS('Datos - Objetivos de países'!$B$5:$B$510,"Colombia",'Datos - Objetivos de países'!$F$5:$F$510,AI$3,'Datos - Objetivos de países'!$J$5:$J$510,$A72)+COUNTIFS('Datos - Objetivos de países'!$B$5:$B$510,"Colombia",'Datos - Objetivos de países'!$F$5:$F$510,AI$3,'Datos - Objetivos de países'!$K$5:$K$510,$A72)</f>
        <v/>
      </c>
      <c r="AJ72" s="11">
        <f>COUNTIFS('Datos - Objetivos de países'!$B$5:$B$510,"Colombia",'Datos - Objetivos de países'!$F$5:$F$510,AJ$3,'Datos - Objetivos de países'!$J$5:$J$510,$A72)+COUNTIFS('Datos - Objetivos de países'!$B$5:$B$510,"Colombia",'Datos - Objetivos de países'!$F$5:$F$510,AJ$3,'Datos - Objetivos de países'!$K$5:$K$510,$A72)</f>
        <v/>
      </c>
      <c r="AK72" s="11">
        <f>COUNTIFS('Datos - Objetivos de países'!$B$5:$B$510,"Colombia",'Datos - Objetivos de países'!$F$5:$F$510,AK$3,'Datos - Objetivos de países'!$J$5:$J$510,$A72)+COUNTIFS('Datos - Objetivos de países'!$B$5:$B$510,"Colombia",'Datos - Objetivos de países'!$F$5:$F$510,AK$3,'Datos - Objetivos de países'!$K$5:$K$510,$A72)</f>
        <v/>
      </c>
      <c r="AL72" s="11">
        <f>COUNTIFS('Datos - Objetivos de países'!$B$5:$B$510,"Colombia",'Datos - Objetivos de países'!$F$5:$F$510,AL$3,'Datos - Objetivos de países'!$J$5:$J$510,$A72)+COUNTIFS('Datos - Objetivos de países'!$B$5:$B$510,"Colombia",'Datos - Objetivos de países'!$F$5:$F$510,AL$3,'Datos - Objetivos de países'!$K$5:$K$510,$A72)</f>
        <v/>
      </c>
      <c r="AM72" s="11">
        <f>COUNTIFS('Datos - Objetivos de países'!$B$5:$B$510,"Colombia",'Datos - Objetivos de países'!$F$5:$F$510,AM$3,'Datos - Objetivos de países'!$J$5:$J$510,$A72)+COUNTIFS('Datos - Objetivos de países'!$B$5:$B$510,"Colombia",'Datos - Objetivos de países'!$F$5:$F$510,AM$3,'Datos - Objetivos de países'!$K$5:$K$510,$A72)</f>
        <v/>
      </c>
      <c r="AN72" s="11">
        <f>COUNTIFS('Datos - Objetivos de países'!$B$5:$B$510,"Colombia",'Datos - Objetivos de países'!$F$5:$F$510,AN$3,'Datos - Objetivos de países'!$J$5:$J$510,$A72)+COUNTIFS('Datos - Objetivos de países'!$B$5:$B$510,"Colombia",'Datos - Objetivos de países'!$F$5:$F$510,AN$3,'Datos - Objetivos de países'!$K$5:$K$510,$A72)</f>
        <v/>
      </c>
      <c r="AO72" s="11">
        <f>COUNTIFS('Datos - Objetivos de países'!$B$5:$B$510,"Singapur",'Datos - Objetivos de países'!$F$5:$F$510,AO$3,'Datos - Objetivos de países'!$J$5:$J$510,$A72)+COUNTIFS('Datos - Objetivos de países'!$B$5:$B$510,"Singapur",'Datos - Objetivos de países'!$F$5:$F$510,AO$3,'Datos - Objetivos de países'!$K$5:$K$510,$A72)</f>
        <v/>
      </c>
      <c r="AP72" s="11">
        <f>COUNTIFS('Datos - Objetivos de países'!$B$5:$B$510,"Singapur",'Datos - Objetivos de países'!$F$5:$F$510,AP$3,'Datos - Objetivos de países'!$J$5:$J$510,$A72)+COUNTIFS('Datos - Objetivos de países'!$B$5:$B$510,"Singapur",'Datos - Objetivos de países'!$F$5:$F$510,AP$3,'Datos - Objetivos de países'!$K$5:$K$510,$A72)</f>
        <v/>
      </c>
      <c r="AQ72" s="11">
        <f>COUNTIFS('Datos - Objetivos de países'!$B$5:$B$510,"Singapur",'Datos - Objetivos de países'!$F$5:$F$510,AQ$3,'Datos - Objetivos de países'!$J$5:$J$510,$A72)+COUNTIFS('Datos - Objetivos de países'!$B$5:$B$510,"Singapur",'Datos - Objetivos de países'!$F$5:$F$510,AQ$3,'Datos - Objetivos de países'!$K$5:$K$510,$A72)</f>
        <v/>
      </c>
      <c r="AR72" s="11">
        <f>COUNTIFS('Datos - Objetivos de países'!$B$5:$B$510,"Singapur",'Datos - Objetivos de países'!$F$5:$F$510,AR$3,'Datos - Objetivos de países'!$J$5:$J$510,$A72)+COUNTIFS('Datos - Objetivos de países'!$B$5:$B$510,"Singapur",'Datos - Objetivos de países'!$F$5:$F$510,AR$3,'Datos - Objetivos de países'!$K$5:$K$510,$A72)</f>
        <v/>
      </c>
      <c r="AS72" s="11">
        <f>COUNTIFS('Datos - Objetivos de países'!$B$5:$B$510,"Singapur",'Datos - Objetivos de países'!$F$5:$F$510,AS$3,'Datos - Objetivos de países'!$J$5:$J$510,$A72)+COUNTIFS('Datos - Objetivos de países'!$B$5:$B$510,"Singapur",'Datos - Objetivos de países'!$F$5:$F$510,AS$3,'Datos - Objetivos de países'!$K$5:$K$510,$A72)</f>
        <v/>
      </c>
      <c r="AT72" s="11">
        <f>COUNTIFS('Datos - Objetivos de países'!$B$5:$B$510,"Singapur",'Datos - Objetivos de países'!$F$5:$F$510,AT$3,'Datos - Objetivos de países'!$J$5:$J$510,$A72)+COUNTIFS('Datos - Objetivos de países'!$B$5:$B$510,"Singapur",'Datos - Objetivos de países'!$F$5:$F$510,AT$3,'Datos - Objetivos de países'!$K$5:$K$510,$A72)</f>
        <v/>
      </c>
      <c r="AU72" s="11">
        <f>COUNTIFS('Datos - Objetivos de países'!$B$5:$B$510,"Singapur",'Datos - Objetivos de países'!$F$5:$F$510,AU$3,'Datos - Objetivos de países'!$J$5:$J$510,$A72)+COUNTIFS('Datos - Objetivos de países'!$B$5:$B$510,"Singapur",'Datos - Objetivos de países'!$F$5:$F$510,AU$3,'Datos - Objetivos de países'!$K$5:$K$510,$A72)</f>
        <v/>
      </c>
      <c r="AV72" s="11">
        <f>COUNTIFS('Datos - Objetivos de países'!$B$5:$B$510,"Singapur",'Datos - Objetivos de países'!$F$5:$F$510,AV$3,'Datos - Objetivos de países'!$J$5:$J$510,$A72)+COUNTIFS('Datos - Objetivos de países'!$B$5:$B$510,"Singapur",'Datos - Objetivos de países'!$F$5:$F$510,AV$3,'Datos - Objetivos de países'!$K$5:$K$510,$A72)</f>
        <v/>
      </c>
      <c r="AW72" s="11">
        <f>COUNTIFS('Datos - Objetivos de países'!$B$5:$B$510,"Singapur",'Datos - Objetivos de países'!$F$5:$F$510,AW$3,'Datos - Objetivos de países'!$J$5:$J$510,$A72)+COUNTIFS('Datos - Objetivos de países'!$B$5:$B$510,"Singapur",'Datos - Objetivos de países'!$F$5:$F$510,AW$3,'Datos - Objetivos de países'!$K$5:$K$510,$A72)</f>
        <v/>
      </c>
    </row>
    <row r="73">
      <c r="A73" s="30" t="inlineStr">
        <is>
          <t>T8_27-P6.1</t>
        </is>
      </c>
      <c r="B73" s="30" t="inlineStr">
        <is>
          <t>T8_27</t>
        </is>
      </c>
      <c r="C73" s="30" t="inlineStr">
        <is>
          <t>Física</t>
        </is>
      </c>
      <c r="D73" s="30" t="inlineStr">
        <is>
          <t>Rasgos y equipo de una investigación en física</t>
        </is>
      </c>
      <c r="E73" s="30">
        <f>IFERROR(MAX($L$3,INDEX($N$3:$V$3,MATCH(TRUE,INDEX(N73:V73&gt;0,0),0))),"—")</f>
        <v/>
      </c>
      <c r="F73" s="30">
        <f>IFERROR(MAX($L$3,INDEX($W$3:$AE$3,MATCH(TRUE,INDEX(W73:AE73&gt;0,0),0))),"—")</f>
        <v/>
      </c>
      <c r="G73" s="30">
        <f>IFERROR(MAX($L$3,INDEX($AF$3:$AN$3,MATCH(TRUE,INDEX(AF73:AN73&gt;0,0),0))),"—")</f>
        <v/>
      </c>
      <c r="H73" s="30">
        <f>IFERROR(MAX($L$3,INDEX($AO$3:$AW$3,MATCH(TRUE,INDEX(AO73:AW73&gt;0,0),0))),"—")</f>
        <v/>
      </c>
      <c r="I73" s="36">
        <f>IF(L73=0,"—",MEDIAN(F73:H73))</f>
        <v/>
      </c>
      <c r="J73" s="36">
        <f>IF(OR(E73="—",I73="—"),"—",E73-I73)</f>
        <v/>
      </c>
      <c r="K73" s="19">
        <f>IF(E73="—",IF(L73=0,"Nadie lo trabaja","El Salvador no llega"),IF(L73=0,"Solo El Salvador",IF(J73&gt;0,"El Salvador llega más tarde",IF(J73&lt;0,"El Salvador va adelantado","Mismo grado"))))</f>
        <v/>
      </c>
      <c r="L73" s="30">
        <f>COUNT(F73:H73)</f>
        <v/>
      </c>
      <c r="N73" s="11">
        <f>COUNTIFS('Datos - Temas'!$C$5:$C$1264,"Ciencias",'Datos - Temas'!$B$5:$B$1264,N$3,'Datos - Temas'!$K$5:$K$1264,$A73)+COUNTIFS('Datos - Temas'!$C$5:$C$1264,"Ciencias",'Datos - Temas'!$B$5:$B$1264,N$3,'Datos - Temas'!$L$5:$L$1264,$A73)</f>
        <v/>
      </c>
      <c r="O73" s="11">
        <f>COUNTIFS('Datos - Temas'!$C$5:$C$1264,"Ciencias",'Datos - Temas'!$B$5:$B$1264,O$3,'Datos - Temas'!$K$5:$K$1264,$A73)+COUNTIFS('Datos - Temas'!$C$5:$C$1264,"Ciencias",'Datos - Temas'!$B$5:$B$1264,O$3,'Datos - Temas'!$L$5:$L$1264,$A73)</f>
        <v/>
      </c>
      <c r="P73" s="11">
        <f>COUNTIFS('Datos - Temas'!$C$5:$C$1264,"Ciencias",'Datos - Temas'!$B$5:$B$1264,P$3,'Datos - Temas'!$K$5:$K$1264,$A73)+COUNTIFS('Datos - Temas'!$C$5:$C$1264,"Ciencias",'Datos - Temas'!$B$5:$B$1264,P$3,'Datos - Temas'!$L$5:$L$1264,$A73)</f>
        <v/>
      </c>
      <c r="Q73" s="11">
        <f>COUNTIFS('Datos - Temas'!$C$5:$C$1264,"Ciencias",'Datos - Temas'!$B$5:$B$1264,Q$3,'Datos - Temas'!$K$5:$K$1264,$A73)+COUNTIFS('Datos - Temas'!$C$5:$C$1264,"Ciencias",'Datos - Temas'!$B$5:$B$1264,Q$3,'Datos - Temas'!$L$5:$L$1264,$A73)</f>
        <v/>
      </c>
      <c r="R73" s="11">
        <f>COUNTIFS('Datos - Temas'!$C$5:$C$1264,"Ciencias",'Datos - Temas'!$B$5:$B$1264,R$3,'Datos - Temas'!$K$5:$K$1264,$A73)+COUNTIFS('Datos - Temas'!$C$5:$C$1264,"Ciencias",'Datos - Temas'!$B$5:$B$1264,R$3,'Datos - Temas'!$L$5:$L$1264,$A73)</f>
        <v/>
      </c>
      <c r="S73" s="11">
        <f>COUNTIFS('Datos - Temas'!$C$5:$C$1264,"Ciencias",'Datos - Temas'!$B$5:$B$1264,S$3,'Datos - Temas'!$K$5:$K$1264,$A73)+COUNTIFS('Datos - Temas'!$C$5:$C$1264,"Ciencias",'Datos - Temas'!$B$5:$B$1264,S$3,'Datos - Temas'!$L$5:$L$1264,$A73)</f>
        <v/>
      </c>
      <c r="T73" s="11">
        <f>COUNTIFS('Datos - Temas'!$C$5:$C$1264,"Ciencias",'Datos - Temas'!$B$5:$B$1264,T$3,'Datos - Temas'!$K$5:$K$1264,$A73)+COUNTIFS('Datos - Temas'!$C$5:$C$1264,"Ciencias",'Datos - Temas'!$B$5:$B$1264,T$3,'Datos - Temas'!$L$5:$L$1264,$A73)</f>
        <v/>
      </c>
      <c r="U73" s="11">
        <f>COUNTIFS('Datos - Temas'!$C$5:$C$1264,"Ciencias",'Datos - Temas'!$B$5:$B$1264,U$3,'Datos - Temas'!$K$5:$K$1264,$A73)+COUNTIFS('Datos - Temas'!$C$5:$C$1264,"Ciencias",'Datos - Temas'!$B$5:$B$1264,U$3,'Datos - Temas'!$L$5:$L$1264,$A73)</f>
        <v/>
      </c>
      <c r="V73" s="11">
        <f>COUNTIFS('Datos - Temas'!$C$5:$C$1264,"Ciencias",'Datos - Temas'!$B$5:$B$1264,V$3,'Datos - Temas'!$K$5:$K$1264,$A73)+COUNTIFS('Datos - Temas'!$C$5:$C$1264,"Ciencias",'Datos - Temas'!$B$5:$B$1264,V$3,'Datos - Temas'!$L$5:$L$1264,$A73)</f>
        <v/>
      </c>
      <c r="W73" s="11">
        <f>COUNTIFS('Datos - Objetivos de países'!$B$5:$B$510,"Uruguay",'Datos - Objetivos de países'!$F$5:$F$510,W$3,'Datos - Objetivos de países'!$J$5:$J$510,$A73)+COUNTIFS('Datos - Objetivos de países'!$B$5:$B$510,"Uruguay",'Datos - Objetivos de países'!$F$5:$F$510,W$3,'Datos - Objetivos de países'!$K$5:$K$510,$A73)</f>
        <v/>
      </c>
      <c r="X73" s="11">
        <f>COUNTIFS('Datos - Objetivos de países'!$B$5:$B$510,"Uruguay",'Datos - Objetivos de países'!$F$5:$F$510,X$3,'Datos - Objetivos de países'!$J$5:$J$510,$A73)+COUNTIFS('Datos - Objetivos de países'!$B$5:$B$510,"Uruguay",'Datos - Objetivos de países'!$F$5:$F$510,X$3,'Datos - Objetivos de países'!$K$5:$K$510,$A73)</f>
        <v/>
      </c>
      <c r="Y73" s="11">
        <f>COUNTIFS('Datos - Objetivos de países'!$B$5:$B$510,"Uruguay",'Datos - Objetivos de países'!$F$5:$F$510,Y$3,'Datos - Objetivos de países'!$J$5:$J$510,$A73)+COUNTIFS('Datos - Objetivos de países'!$B$5:$B$510,"Uruguay",'Datos - Objetivos de países'!$F$5:$F$510,Y$3,'Datos - Objetivos de países'!$K$5:$K$510,$A73)</f>
        <v/>
      </c>
      <c r="Z73" s="11">
        <f>COUNTIFS('Datos - Objetivos de países'!$B$5:$B$510,"Uruguay",'Datos - Objetivos de países'!$F$5:$F$510,Z$3,'Datos - Objetivos de países'!$J$5:$J$510,$A73)+COUNTIFS('Datos - Objetivos de países'!$B$5:$B$510,"Uruguay",'Datos - Objetivos de países'!$F$5:$F$510,Z$3,'Datos - Objetivos de países'!$K$5:$K$510,$A73)</f>
        <v/>
      </c>
      <c r="AA73" s="11">
        <f>COUNTIFS('Datos - Objetivos de países'!$B$5:$B$510,"Uruguay",'Datos - Objetivos de países'!$F$5:$F$510,AA$3,'Datos - Objetivos de países'!$J$5:$J$510,$A73)+COUNTIFS('Datos - Objetivos de países'!$B$5:$B$510,"Uruguay",'Datos - Objetivos de países'!$F$5:$F$510,AA$3,'Datos - Objetivos de países'!$K$5:$K$510,$A73)</f>
        <v/>
      </c>
      <c r="AB73" s="11">
        <f>COUNTIFS('Datos - Objetivos de países'!$B$5:$B$510,"Uruguay",'Datos - Objetivos de países'!$F$5:$F$510,AB$3,'Datos - Objetivos de países'!$J$5:$J$510,$A73)+COUNTIFS('Datos - Objetivos de países'!$B$5:$B$510,"Uruguay",'Datos - Objetivos de países'!$F$5:$F$510,AB$3,'Datos - Objetivos de países'!$K$5:$K$510,$A73)</f>
        <v/>
      </c>
      <c r="AC73" s="11">
        <f>COUNTIFS('Datos - Objetivos de países'!$B$5:$B$510,"Uruguay",'Datos - Objetivos de países'!$F$5:$F$510,AC$3,'Datos - Objetivos de países'!$J$5:$J$510,$A73)+COUNTIFS('Datos - Objetivos de países'!$B$5:$B$510,"Uruguay",'Datos - Objetivos de países'!$F$5:$F$510,AC$3,'Datos - Objetivos de países'!$K$5:$K$510,$A73)</f>
        <v/>
      </c>
      <c r="AD73" s="11">
        <f>COUNTIFS('Datos - Objetivos de países'!$B$5:$B$510,"Uruguay",'Datos - Objetivos de países'!$F$5:$F$510,AD$3,'Datos - Objetivos de países'!$J$5:$J$510,$A73)+COUNTIFS('Datos - Objetivos de países'!$B$5:$B$510,"Uruguay",'Datos - Objetivos de países'!$F$5:$F$510,AD$3,'Datos - Objetivos de países'!$K$5:$K$510,$A73)</f>
        <v/>
      </c>
      <c r="AE73" s="11">
        <f>COUNTIFS('Datos - Objetivos de países'!$B$5:$B$510,"Uruguay",'Datos - Objetivos de países'!$F$5:$F$510,AE$3,'Datos - Objetivos de países'!$J$5:$J$510,$A73)+COUNTIFS('Datos - Objetivos de países'!$B$5:$B$510,"Uruguay",'Datos - Objetivos de países'!$F$5:$F$510,AE$3,'Datos - Objetivos de países'!$K$5:$K$510,$A73)</f>
        <v/>
      </c>
      <c r="AF73" s="11">
        <f>COUNTIFS('Datos - Objetivos de países'!$B$5:$B$510,"Colombia",'Datos - Objetivos de países'!$F$5:$F$510,AF$3,'Datos - Objetivos de países'!$J$5:$J$510,$A73)+COUNTIFS('Datos - Objetivos de países'!$B$5:$B$510,"Colombia",'Datos - Objetivos de países'!$F$5:$F$510,AF$3,'Datos - Objetivos de países'!$K$5:$K$510,$A73)</f>
        <v/>
      </c>
      <c r="AG73" s="11">
        <f>COUNTIFS('Datos - Objetivos de países'!$B$5:$B$510,"Colombia",'Datos - Objetivos de países'!$F$5:$F$510,AG$3,'Datos - Objetivos de países'!$J$5:$J$510,$A73)+COUNTIFS('Datos - Objetivos de países'!$B$5:$B$510,"Colombia",'Datos - Objetivos de países'!$F$5:$F$510,AG$3,'Datos - Objetivos de países'!$K$5:$K$510,$A73)</f>
        <v/>
      </c>
      <c r="AH73" s="11">
        <f>COUNTIFS('Datos - Objetivos de países'!$B$5:$B$510,"Colombia",'Datos - Objetivos de países'!$F$5:$F$510,AH$3,'Datos - Objetivos de países'!$J$5:$J$510,$A73)+COUNTIFS('Datos - Objetivos de países'!$B$5:$B$510,"Colombia",'Datos - Objetivos de países'!$F$5:$F$510,AH$3,'Datos - Objetivos de países'!$K$5:$K$510,$A73)</f>
        <v/>
      </c>
      <c r="AI73" s="11">
        <f>COUNTIFS('Datos - Objetivos de países'!$B$5:$B$510,"Colombia",'Datos - Objetivos de países'!$F$5:$F$510,AI$3,'Datos - Objetivos de países'!$J$5:$J$510,$A73)+COUNTIFS('Datos - Objetivos de países'!$B$5:$B$510,"Colombia",'Datos - Objetivos de países'!$F$5:$F$510,AI$3,'Datos - Objetivos de países'!$K$5:$K$510,$A73)</f>
        <v/>
      </c>
      <c r="AJ73" s="11">
        <f>COUNTIFS('Datos - Objetivos de países'!$B$5:$B$510,"Colombia",'Datos - Objetivos de países'!$F$5:$F$510,AJ$3,'Datos - Objetivos de países'!$J$5:$J$510,$A73)+COUNTIFS('Datos - Objetivos de países'!$B$5:$B$510,"Colombia",'Datos - Objetivos de países'!$F$5:$F$510,AJ$3,'Datos - Objetivos de países'!$K$5:$K$510,$A73)</f>
        <v/>
      </c>
      <c r="AK73" s="11">
        <f>COUNTIFS('Datos - Objetivos de países'!$B$5:$B$510,"Colombia",'Datos - Objetivos de países'!$F$5:$F$510,AK$3,'Datos - Objetivos de países'!$J$5:$J$510,$A73)+COUNTIFS('Datos - Objetivos de países'!$B$5:$B$510,"Colombia",'Datos - Objetivos de países'!$F$5:$F$510,AK$3,'Datos - Objetivos de países'!$K$5:$K$510,$A73)</f>
        <v/>
      </c>
      <c r="AL73" s="11">
        <f>COUNTIFS('Datos - Objetivos de países'!$B$5:$B$510,"Colombia",'Datos - Objetivos de países'!$F$5:$F$510,AL$3,'Datos - Objetivos de países'!$J$5:$J$510,$A73)+COUNTIFS('Datos - Objetivos de países'!$B$5:$B$510,"Colombia",'Datos - Objetivos de países'!$F$5:$F$510,AL$3,'Datos - Objetivos de países'!$K$5:$K$510,$A73)</f>
        <v/>
      </c>
      <c r="AM73" s="11">
        <f>COUNTIFS('Datos - Objetivos de países'!$B$5:$B$510,"Colombia",'Datos - Objetivos de países'!$F$5:$F$510,AM$3,'Datos - Objetivos de países'!$J$5:$J$510,$A73)+COUNTIFS('Datos - Objetivos de países'!$B$5:$B$510,"Colombia",'Datos - Objetivos de países'!$F$5:$F$510,AM$3,'Datos - Objetivos de países'!$K$5:$K$510,$A73)</f>
        <v/>
      </c>
      <c r="AN73" s="11">
        <f>COUNTIFS('Datos - Objetivos de países'!$B$5:$B$510,"Colombia",'Datos - Objetivos de países'!$F$5:$F$510,AN$3,'Datos - Objetivos de países'!$J$5:$J$510,$A73)+COUNTIFS('Datos - Objetivos de países'!$B$5:$B$510,"Colombia",'Datos - Objetivos de países'!$F$5:$F$510,AN$3,'Datos - Objetivos de países'!$K$5:$K$510,$A73)</f>
        <v/>
      </c>
      <c r="AO73" s="11">
        <f>COUNTIFS('Datos - Objetivos de países'!$B$5:$B$510,"Singapur",'Datos - Objetivos de países'!$F$5:$F$510,AO$3,'Datos - Objetivos de países'!$J$5:$J$510,$A73)+COUNTIFS('Datos - Objetivos de países'!$B$5:$B$510,"Singapur",'Datos - Objetivos de países'!$F$5:$F$510,AO$3,'Datos - Objetivos de países'!$K$5:$K$510,$A73)</f>
        <v/>
      </c>
      <c r="AP73" s="11">
        <f>COUNTIFS('Datos - Objetivos de países'!$B$5:$B$510,"Singapur",'Datos - Objetivos de países'!$F$5:$F$510,AP$3,'Datos - Objetivos de países'!$J$5:$J$510,$A73)+COUNTIFS('Datos - Objetivos de países'!$B$5:$B$510,"Singapur",'Datos - Objetivos de países'!$F$5:$F$510,AP$3,'Datos - Objetivos de países'!$K$5:$K$510,$A73)</f>
        <v/>
      </c>
      <c r="AQ73" s="11">
        <f>COUNTIFS('Datos - Objetivos de países'!$B$5:$B$510,"Singapur",'Datos - Objetivos de países'!$F$5:$F$510,AQ$3,'Datos - Objetivos de países'!$J$5:$J$510,$A73)+COUNTIFS('Datos - Objetivos de países'!$B$5:$B$510,"Singapur",'Datos - Objetivos de países'!$F$5:$F$510,AQ$3,'Datos - Objetivos de países'!$K$5:$K$510,$A73)</f>
        <v/>
      </c>
      <c r="AR73" s="11">
        <f>COUNTIFS('Datos - Objetivos de países'!$B$5:$B$510,"Singapur",'Datos - Objetivos de países'!$F$5:$F$510,AR$3,'Datos - Objetivos de países'!$J$5:$J$510,$A73)+COUNTIFS('Datos - Objetivos de países'!$B$5:$B$510,"Singapur",'Datos - Objetivos de países'!$F$5:$F$510,AR$3,'Datos - Objetivos de países'!$K$5:$K$510,$A73)</f>
        <v/>
      </c>
      <c r="AS73" s="11">
        <f>COUNTIFS('Datos - Objetivos de países'!$B$5:$B$510,"Singapur",'Datos - Objetivos de países'!$F$5:$F$510,AS$3,'Datos - Objetivos de países'!$J$5:$J$510,$A73)+COUNTIFS('Datos - Objetivos de países'!$B$5:$B$510,"Singapur",'Datos - Objetivos de países'!$F$5:$F$510,AS$3,'Datos - Objetivos de países'!$K$5:$K$510,$A73)</f>
        <v/>
      </c>
      <c r="AT73" s="11">
        <f>COUNTIFS('Datos - Objetivos de países'!$B$5:$B$510,"Singapur",'Datos - Objetivos de países'!$F$5:$F$510,AT$3,'Datos - Objetivos de países'!$J$5:$J$510,$A73)+COUNTIFS('Datos - Objetivos de países'!$B$5:$B$510,"Singapur",'Datos - Objetivos de países'!$F$5:$F$510,AT$3,'Datos - Objetivos de países'!$K$5:$K$510,$A73)</f>
        <v/>
      </c>
      <c r="AU73" s="11">
        <f>COUNTIFS('Datos - Objetivos de países'!$B$5:$B$510,"Singapur",'Datos - Objetivos de países'!$F$5:$F$510,AU$3,'Datos - Objetivos de países'!$J$5:$J$510,$A73)+COUNTIFS('Datos - Objetivos de países'!$B$5:$B$510,"Singapur",'Datos - Objetivos de países'!$F$5:$F$510,AU$3,'Datos - Objetivos de países'!$K$5:$K$510,$A73)</f>
        <v/>
      </c>
      <c r="AV73" s="11">
        <f>COUNTIFS('Datos - Objetivos de países'!$B$5:$B$510,"Singapur",'Datos - Objetivos de países'!$F$5:$F$510,AV$3,'Datos - Objetivos de países'!$J$5:$J$510,$A73)+COUNTIFS('Datos - Objetivos de países'!$B$5:$B$510,"Singapur",'Datos - Objetivos de países'!$F$5:$F$510,AV$3,'Datos - Objetivos de países'!$K$5:$K$510,$A73)</f>
        <v/>
      </c>
      <c r="AW73" s="11">
        <f>COUNTIFS('Datos - Objetivos de países'!$B$5:$B$510,"Singapur",'Datos - Objetivos de países'!$F$5:$F$510,AW$3,'Datos - Objetivos de países'!$J$5:$J$510,$A73)+COUNTIFS('Datos - Objetivos de países'!$B$5:$B$510,"Singapur",'Datos - Objetivos de países'!$F$5:$F$510,AW$3,'Datos - Objetivos de países'!$K$5:$K$510,$A73)</f>
        <v/>
      </c>
    </row>
    <row r="74">
      <c r="A74" s="30" t="inlineStr">
        <is>
          <t>T8_27-E1.1</t>
        </is>
      </c>
      <c r="B74" s="30" t="inlineStr">
        <is>
          <t>T8_27</t>
        </is>
      </c>
      <c r="C74" s="30" t="inlineStr">
        <is>
          <t>Ciencias de la Tierra</t>
        </is>
      </c>
      <c r="D74" s="30" t="inlineStr">
        <is>
          <t>Estructura de la Tierra y distribución del agua</t>
        </is>
      </c>
      <c r="E74" s="30">
        <f>IFERROR(MAX($L$3,INDEX($N$3:$V$3,MATCH(TRUE,INDEX(N74:V74&gt;0,0),0))),"—")</f>
        <v/>
      </c>
      <c r="F74" s="30">
        <f>IFERROR(MAX($L$3,INDEX($W$3:$AE$3,MATCH(TRUE,INDEX(W74:AE74&gt;0,0),0))),"—")</f>
        <v/>
      </c>
      <c r="G74" s="30">
        <f>IFERROR(MAX($L$3,INDEX($AF$3:$AN$3,MATCH(TRUE,INDEX(AF74:AN74&gt;0,0),0))),"—")</f>
        <v/>
      </c>
      <c r="H74" s="30">
        <f>IFERROR(MAX($L$3,INDEX($AO$3:$AW$3,MATCH(TRUE,INDEX(AO74:AW74&gt;0,0),0))),"—")</f>
        <v/>
      </c>
      <c r="I74" s="36">
        <f>IF(L74=0,"—",MEDIAN(F74:H74))</f>
        <v/>
      </c>
      <c r="J74" s="36">
        <f>IF(OR(E74="—",I74="—"),"—",E74-I74)</f>
        <v/>
      </c>
      <c r="K74" s="19">
        <f>IF(E74="—",IF(L74=0,"Nadie lo trabaja","El Salvador no llega"),IF(L74=0,"Solo El Salvador",IF(J74&gt;0,"El Salvador llega más tarde",IF(J74&lt;0,"El Salvador va adelantado","Mismo grado"))))</f>
        <v/>
      </c>
      <c r="L74" s="30">
        <f>COUNT(F74:H74)</f>
        <v/>
      </c>
      <c r="N74" s="11">
        <f>COUNTIFS('Datos - Temas'!$C$5:$C$1264,"Ciencias",'Datos - Temas'!$B$5:$B$1264,N$3,'Datos - Temas'!$K$5:$K$1264,$A74)+COUNTIFS('Datos - Temas'!$C$5:$C$1264,"Ciencias",'Datos - Temas'!$B$5:$B$1264,N$3,'Datos - Temas'!$L$5:$L$1264,$A74)</f>
        <v/>
      </c>
      <c r="O74" s="11">
        <f>COUNTIFS('Datos - Temas'!$C$5:$C$1264,"Ciencias",'Datos - Temas'!$B$5:$B$1264,O$3,'Datos - Temas'!$K$5:$K$1264,$A74)+COUNTIFS('Datos - Temas'!$C$5:$C$1264,"Ciencias",'Datos - Temas'!$B$5:$B$1264,O$3,'Datos - Temas'!$L$5:$L$1264,$A74)</f>
        <v/>
      </c>
      <c r="P74" s="11">
        <f>COUNTIFS('Datos - Temas'!$C$5:$C$1264,"Ciencias",'Datos - Temas'!$B$5:$B$1264,P$3,'Datos - Temas'!$K$5:$K$1264,$A74)+COUNTIFS('Datos - Temas'!$C$5:$C$1264,"Ciencias",'Datos - Temas'!$B$5:$B$1264,P$3,'Datos - Temas'!$L$5:$L$1264,$A74)</f>
        <v/>
      </c>
      <c r="Q74" s="11">
        <f>COUNTIFS('Datos - Temas'!$C$5:$C$1264,"Ciencias",'Datos - Temas'!$B$5:$B$1264,Q$3,'Datos - Temas'!$K$5:$K$1264,$A74)+COUNTIFS('Datos - Temas'!$C$5:$C$1264,"Ciencias",'Datos - Temas'!$B$5:$B$1264,Q$3,'Datos - Temas'!$L$5:$L$1264,$A74)</f>
        <v/>
      </c>
      <c r="R74" s="11">
        <f>COUNTIFS('Datos - Temas'!$C$5:$C$1264,"Ciencias",'Datos - Temas'!$B$5:$B$1264,R$3,'Datos - Temas'!$K$5:$K$1264,$A74)+COUNTIFS('Datos - Temas'!$C$5:$C$1264,"Ciencias",'Datos - Temas'!$B$5:$B$1264,R$3,'Datos - Temas'!$L$5:$L$1264,$A74)</f>
        <v/>
      </c>
      <c r="S74" s="11">
        <f>COUNTIFS('Datos - Temas'!$C$5:$C$1264,"Ciencias",'Datos - Temas'!$B$5:$B$1264,S$3,'Datos - Temas'!$K$5:$K$1264,$A74)+COUNTIFS('Datos - Temas'!$C$5:$C$1264,"Ciencias",'Datos - Temas'!$B$5:$B$1264,S$3,'Datos - Temas'!$L$5:$L$1264,$A74)</f>
        <v/>
      </c>
      <c r="T74" s="11">
        <f>COUNTIFS('Datos - Temas'!$C$5:$C$1264,"Ciencias",'Datos - Temas'!$B$5:$B$1264,T$3,'Datos - Temas'!$K$5:$K$1264,$A74)+COUNTIFS('Datos - Temas'!$C$5:$C$1264,"Ciencias",'Datos - Temas'!$B$5:$B$1264,T$3,'Datos - Temas'!$L$5:$L$1264,$A74)</f>
        <v/>
      </c>
      <c r="U74" s="11">
        <f>COUNTIFS('Datos - Temas'!$C$5:$C$1264,"Ciencias",'Datos - Temas'!$B$5:$B$1264,U$3,'Datos - Temas'!$K$5:$K$1264,$A74)+COUNTIFS('Datos - Temas'!$C$5:$C$1264,"Ciencias",'Datos - Temas'!$B$5:$B$1264,U$3,'Datos - Temas'!$L$5:$L$1264,$A74)</f>
        <v/>
      </c>
      <c r="V74" s="11">
        <f>COUNTIFS('Datos - Temas'!$C$5:$C$1264,"Ciencias",'Datos - Temas'!$B$5:$B$1264,V$3,'Datos - Temas'!$K$5:$K$1264,$A74)+COUNTIFS('Datos - Temas'!$C$5:$C$1264,"Ciencias",'Datos - Temas'!$B$5:$B$1264,V$3,'Datos - Temas'!$L$5:$L$1264,$A74)</f>
        <v/>
      </c>
      <c r="W74" s="11">
        <f>COUNTIFS('Datos - Objetivos de países'!$B$5:$B$510,"Uruguay",'Datos - Objetivos de países'!$F$5:$F$510,W$3,'Datos - Objetivos de países'!$J$5:$J$510,$A74)+COUNTIFS('Datos - Objetivos de países'!$B$5:$B$510,"Uruguay",'Datos - Objetivos de países'!$F$5:$F$510,W$3,'Datos - Objetivos de países'!$K$5:$K$510,$A74)</f>
        <v/>
      </c>
      <c r="X74" s="11">
        <f>COUNTIFS('Datos - Objetivos de países'!$B$5:$B$510,"Uruguay",'Datos - Objetivos de países'!$F$5:$F$510,X$3,'Datos - Objetivos de países'!$J$5:$J$510,$A74)+COUNTIFS('Datos - Objetivos de países'!$B$5:$B$510,"Uruguay",'Datos - Objetivos de países'!$F$5:$F$510,X$3,'Datos - Objetivos de países'!$K$5:$K$510,$A74)</f>
        <v/>
      </c>
      <c r="Y74" s="11">
        <f>COUNTIFS('Datos - Objetivos de países'!$B$5:$B$510,"Uruguay",'Datos - Objetivos de países'!$F$5:$F$510,Y$3,'Datos - Objetivos de países'!$J$5:$J$510,$A74)+COUNTIFS('Datos - Objetivos de países'!$B$5:$B$510,"Uruguay",'Datos - Objetivos de países'!$F$5:$F$510,Y$3,'Datos - Objetivos de países'!$K$5:$K$510,$A74)</f>
        <v/>
      </c>
      <c r="Z74" s="11">
        <f>COUNTIFS('Datos - Objetivos de países'!$B$5:$B$510,"Uruguay",'Datos - Objetivos de países'!$F$5:$F$510,Z$3,'Datos - Objetivos de países'!$J$5:$J$510,$A74)+COUNTIFS('Datos - Objetivos de países'!$B$5:$B$510,"Uruguay",'Datos - Objetivos de países'!$F$5:$F$510,Z$3,'Datos - Objetivos de países'!$K$5:$K$510,$A74)</f>
        <v/>
      </c>
      <c r="AA74" s="11">
        <f>COUNTIFS('Datos - Objetivos de países'!$B$5:$B$510,"Uruguay",'Datos - Objetivos de países'!$F$5:$F$510,AA$3,'Datos - Objetivos de países'!$J$5:$J$510,$A74)+COUNTIFS('Datos - Objetivos de países'!$B$5:$B$510,"Uruguay",'Datos - Objetivos de países'!$F$5:$F$510,AA$3,'Datos - Objetivos de países'!$K$5:$K$510,$A74)</f>
        <v/>
      </c>
      <c r="AB74" s="11">
        <f>COUNTIFS('Datos - Objetivos de países'!$B$5:$B$510,"Uruguay",'Datos - Objetivos de países'!$F$5:$F$510,AB$3,'Datos - Objetivos de países'!$J$5:$J$510,$A74)+COUNTIFS('Datos - Objetivos de países'!$B$5:$B$510,"Uruguay",'Datos - Objetivos de países'!$F$5:$F$510,AB$3,'Datos - Objetivos de países'!$K$5:$K$510,$A74)</f>
        <v/>
      </c>
      <c r="AC74" s="11">
        <f>COUNTIFS('Datos - Objetivos de países'!$B$5:$B$510,"Uruguay",'Datos - Objetivos de países'!$F$5:$F$510,AC$3,'Datos - Objetivos de países'!$J$5:$J$510,$A74)+COUNTIFS('Datos - Objetivos de países'!$B$5:$B$510,"Uruguay",'Datos - Objetivos de países'!$F$5:$F$510,AC$3,'Datos - Objetivos de países'!$K$5:$K$510,$A74)</f>
        <v/>
      </c>
      <c r="AD74" s="11">
        <f>COUNTIFS('Datos - Objetivos de países'!$B$5:$B$510,"Uruguay",'Datos - Objetivos de países'!$F$5:$F$510,AD$3,'Datos - Objetivos de países'!$J$5:$J$510,$A74)+COUNTIFS('Datos - Objetivos de países'!$B$5:$B$510,"Uruguay",'Datos - Objetivos de países'!$F$5:$F$510,AD$3,'Datos - Objetivos de países'!$K$5:$K$510,$A74)</f>
        <v/>
      </c>
      <c r="AE74" s="11">
        <f>COUNTIFS('Datos - Objetivos de países'!$B$5:$B$510,"Uruguay",'Datos - Objetivos de países'!$F$5:$F$510,AE$3,'Datos - Objetivos de países'!$J$5:$J$510,$A74)+COUNTIFS('Datos - Objetivos de países'!$B$5:$B$510,"Uruguay",'Datos - Objetivos de países'!$F$5:$F$510,AE$3,'Datos - Objetivos de países'!$K$5:$K$510,$A74)</f>
        <v/>
      </c>
      <c r="AF74" s="11">
        <f>COUNTIFS('Datos - Objetivos de países'!$B$5:$B$510,"Colombia",'Datos - Objetivos de países'!$F$5:$F$510,AF$3,'Datos - Objetivos de países'!$J$5:$J$510,$A74)+COUNTIFS('Datos - Objetivos de países'!$B$5:$B$510,"Colombia",'Datos - Objetivos de países'!$F$5:$F$510,AF$3,'Datos - Objetivos de países'!$K$5:$K$510,$A74)</f>
        <v/>
      </c>
      <c r="AG74" s="11">
        <f>COUNTIFS('Datos - Objetivos de países'!$B$5:$B$510,"Colombia",'Datos - Objetivos de países'!$F$5:$F$510,AG$3,'Datos - Objetivos de países'!$J$5:$J$510,$A74)+COUNTIFS('Datos - Objetivos de países'!$B$5:$B$510,"Colombia",'Datos - Objetivos de países'!$F$5:$F$510,AG$3,'Datos - Objetivos de países'!$K$5:$K$510,$A74)</f>
        <v/>
      </c>
      <c r="AH74" s="11">
        <f>COUNTIFS('Datos - Objetivos de países'!$B$5:$B$510,"Colombia",'Datos - Objetivos de países'!$F$5:$F$510,AH$3,'Datos - Objetivos de países'!$J$5:$J$510,$A74)+COUNTIFS('Datos - Objetivos de países'!$B$5:$B$510,"Colombia",'Datos - Objetivos de países'!$F$5:$F$510,AH$3,'Datos - Objetivos de países'!$K$5:$K$510,$A74)</f>
        <v/>
      </c>
      <c r="AI74" s="11">
        <f>COUNTIFS('Datos - Objetivos de países'!$B$5:$B$510,"Colombia",'Datos - Objetivos de países'!$F$5:$F$510,AI$3,'Datos - Objetivos de países'!$J$5:$J$510,$A74)+COUNTIFS('Datos - Objetivos de países'!$B$5:$B$510,"Colombia",'Datos - Objetivos de países'!$F$5:$F$510,AI$3,'Datos - Objetivos de países'!$K$5:$K$510,$A74)</f>
        <v/>
      </c>
      <c r="AJ74" s="11">
        <f>COUNTIFS('Datos - Objetivos de países'!$B$5:$B$510,"Colombia",'Datos - Objetivos de países'!$F$5:$F$510,AJ$3,'Datos - Objetivos de países'!$J$5:$J$510,$A74)+COUNTIFS('Datos - Objetivos de países'!$B$5:$B$510,"Colombia",'Datos - Objetivos de países'!$F$5:$F$510,AJ$3,'Datos - Objetivos de países'!$K$5:$K$510,$A74)</f>
        <v/>
      </c>
      <c r="AK74" s="11">
        <f>COUNTIFS('Datos - Objetivos de países'!$B$5:$B$510,"Colombia",'Datos - Objetivos de países'!$F$5:$F$510,AK$3,'Datos - Objetivos de países'!$J$5:$J$510,$A74)+COUNTIFS('Datos - Objetivos de países'!$B$5:$B$510,"Colombia",'Datos - Objetivos de países'!$F$5:$F$510,AK$3,'Datos - Objetivos de países'!$K$5:$K$510,$A74)</f>
        <v/>
      </c>
      <c r="AL74" s="11">
        <f>COUNTIFS('Datos - Objetivos de países'!$B$5:$B$510,"Colombia",'Datos - Objetivos de países'!$F$5:$F$510,AL$3,'Datos - Objetivos de países'!$J$5:$J$510,$A74)+COUNTIFS('Datos - Objetivos de países'!$B$5:$B$510,"Colombia",'Datos - Objetivos de países'!$F$5:$F$510,AL$3,'Datos - Objetivos de países'!$K$5:$K$510,$A74)</f>
        <v/>
      </c>
      <c r="AM74" s="11">
        <f>COUNTIFS('Datos - Objetivos de países'!$B$5:$B$510,"Colombia",'Datos - Objetivos de países'!$F$5:$F$510,AM$3,'Datos - Objetivos de países'!$J$5:$J$510,$A74)+COUNTIFS('Datos - Objetivos de países'!$B$5:$B$510,"Colombia",'Datos - Objetivos de países'!$F$5:$F$510,AM$3,'Datos - Objetivos de países'!$K$5:$K$510,$A74)</f>
        <v/>
      </c>
      <c r="AN74" s="11">
        <f>COUNTIFS('Datos - Objetivos de países'!$B$5:$B$510,"Colombia",'Datos - Objetivos de países'!$F$5:$F$510,AN$3,'Datos - Objetivos de países'!$J$5:$J$510,$A74)+COUNTIFS('Datos - Objetivos de países'!$B$5:$B$510,"Colombia",'Datos - Objetivos de países'!$F$5:$F$510,AN$3,'Datos - Objetivos de países'!$K$5:$K$510,$A74)</f>
        <v/>
      </c>
      <c r="AO74" s="11">
        <f>COUNTIFS('Datos - Objetivos de países'!$B$5:$B$510,"Singapur",'Datos - Objetivos de países'!$F$5:$F$510,AO$3,'Datos - Objetivos de países'!$J$5:$J$510,$A74)+COUNTIFS('Datos - Objetivos de países'!$B$5:$B$510,"Singapur",'Datos - Objetivos de países'!$F$5:$F$510,AO$3,'Datos - Objetivos de países'!$K$5:$K$510,$A74)</f>
        <v/>
      </c>
      <c r="AP74" s="11">
        <f>COUNTIFS('Datos - Objetivos de países'!$B$5:$B$510,"Singapur",'Datos - Objetivos de países'!$F$5:$F$510,AP$3,'Datos - Objetivos de países'!$J$5:$J$510,$A74)+COUNTIFS('Datos - Objetivos de países'!$B$5:$B$510,"Singapur",'Datos - Objetivos de países'!$F$5:$F$510,AP$3,'Datos - Objetivos de países'!$K$5:$K$510,$A74)</f>
        <v/>
      </c>
      <c r="AQ74" s="11">
        <f>COUNTIFS('Datos - Objetivos de países'!$B$5:$B$510,"Singapur",'Datos - Objetivos de países'!$F$5:$F$510,AQ$3,'Datos - Objetivos de países'!$J$5:$J$510,$A74)+COUNTIFS('Datos - Objetivos de países'!$B$5:$B$510,"Singapur",'Datos - Objetivos de países'!$F$5:$F$510,AQ$3,'Datos - Objetivos de países'!$K$5:$K$510,$A74)</f>
        <v/>
      </c>
      <c r="AR74" s="11">
        <f>COUNTIFS('Datos - Objetivos de países'!$B$5:$B$510,"Singapur",'Datos - Objetivos de países'!$F$5:$F$510,AR$3,'Datos - Objetivos de países'!$J$5:$J$510,$A74)+COUNTIFS('Datos - Objetivos de países'!$B$5:$B$510,"Singapur",'Datos - Objetivos de países'!$F$5:$F$510,AR$3,'Datos - Objetivos de países'!$K$5:$K$510,$A74)</f>
        <v/>
      </c>
      <c r="AS74" s="11">
        <f>COUNTIFS('Datos - Objetivos de países'!$B$5:$B$510,"Singapur",'Datos - Objetivos de países'!$F$5:$F$510,AS$3,'Datos - Objetivos de países'!$J$5:$J$510,$A74)+COUNTIFS('Datos - Objetivos de países'!$B$5:$B$510,"Singapur",'Datos - Objetivos de países'!$F$5:$F$510,AS$3,'Datos - Objetivos de países'!$K$5:$K$510,$A74)</f>
        <v/>
      </c>
      <c r="AT74" s="11">
        <f>COUNTIFS('Datos - Objetivos de países'!$B$5:$B$510,"Singapur",'Datos - Objetivos de países'!$F$5:$F$510,AT$3,'Datos - Objetivos de países'!$J$5:$J$510,$A74)+COUNTIFS('Datos - Objetivos de países'!$B$5:$B$510,"Singapur",'Datos - Objetivos de países'!$F$5:$F$510,AT$3,'Datos - Objetivos de países'!$K$5:$K$510,$A74)</f>
        <v/>
      </c>
      <c r="AU74" s="11">
        <f>COUNTIFS('Datos - Objetivos de países'!$B$5:$B$510,"Singapur",'Datos - Objetivos de países'!$F$5:$F$510,AU$3,'Datos - Objetivos de países'!$J$5:$J$510,$A74)+COUNTIFS('Datos - Objetivos de países'!$B$5:$B$510,"Singapur",'Datos - Objetivos de países'!$F$5:$F$510,AU$3,'Datos - Objetivos de países'!$K$5:$K$510,$A74)</f>
        <v/>
      </c>
      <c r="AV74" s="11">
        <f>COUNTIFS('Datos - Objetivos de países'!$B$5:$B$510,"Singapur",'Datos - Objetivos de países'!$F$5:$F$510,AV$3,'Datos - Objetivos de países'!$J$5:$J$510,$A74)+COUNTIFS('Datos - Objetivos de países'!$B$5:$B$510,"Singapur",'Datos - Objetivos de países'!$F$5:$F$510,AV$3,'Datos - Objetivos de países'!$K$5:$K$510,$A74)</f>
        <v/>
      </c>
      <c r="AW74" s="11">
        <f>COUNTIFS('Datos - Objetivos de países'!$B$5:$B$510,"Singapur",'Datos - Objetivos de países'!$F$5:$F$510,AW$3,'Datos - Objetivos de países'!$J$5:$J$510,$A74)+COUNTIFS('Datos - Objetivos de países'!$B$5:$B$510,"Singapur",'Datos - Objetivos de países'!$F$5:$F$510,AW$3,'Datos - Objetivos de países'!$K$5:$K$510,$A74)</f>
        <v/>
      </c>
    </row>
    <row r="75">
      <c r="A75" s="30" t="inlineStr">
        <is>
          <t>T8_27-E1.2</t>
        </is>
      </c>
      <c r="B75" s="30" t="inlineStr">
        <is>
          <t>T8_27</t>
        </is>
      </c>
      <c r="C75" s="30" t="inlineStr">
        <is>
          <t>Ciencias de la Tierra</t>
        </is>
      </c>
      <c r="D75" s="30" t="inlineStr">
        <is>
          <t>Procesos geológicos</t>
        </is>
      </c>
      <c r="E75" s="30">
        <f>IFERROR(MAX($L$3,INDEX($N$3:$V$3,MATCH(TRUE,INDEX(N75:V75&gt;0,0),0))),"—")</f>
        <v/>
      </c>
      <c r="F75" s="30">
        <f>IFERROR(MAX($L$3,INDEX($W$3:$AE$3,MATCH(TRUE,INDEX(W75:AE75&gt;0,0),0))),"—")</f>
        <v/>
      </c>
      <c r="G75" s="30">
        <f>IFERROR(MAX($L$3,INDEX($AF$3:$AN$3,MATCH(TRUE,INDEX(AF75:AN75&gt;0,0),0))),"—")</f>
        <v/>
      </c>
      <c r="H75" s="30">
        <f>IFERROR(MAX($L$3,INDEX($AO$3:$AW$3,MATCH(TRUE,INDEX(AO75:AW75&gt;0,0),0))),"—")</f>
        <v/>
      </c>
      <c r="I75" s="36">
        <f>IF(L75=0,"—",MEDIAN(F75:H75))</f>
        <v/>
      </c>
      <c r="J75" s="36">
        <f>IF(OR(E75="—",I75="—"),"—",E75-I75)</f>
        <v/>
      </c>
      <c r="K75" s="19">
        <f>IF(E75="—",IF(L75=0,"Nadie lo trabaja","El Salvador no llega"),IF(L75=0,"Solo El Salvador",IF(J75&gt;0,"El Salvador llega más tarde",IF(J75&lt;0,"El Salvador va adelantado","Mismo grado"))))</f>
        <v/>
      </c>
      <c r="L75" s="30">
        <f>COUNT(F75:H75)</f>
        <v/>
      </c>
      <c r="N75" s="11">
        <f>COUNTIFS('Datos - Temas'!$C$5:$C$1264,"Ciencias",'Datos - Temas'!$B$5:$B$1264,N$3,'Datos - Temas'!$K$5:$K$1264,$A75)+COUNTIFS('Datos - Temas'!$C$5:$C$1264,"Ciencias",'Datos - Temas'!$B$5:$B$1264,N$3,'Datos - Temas'!$L$5:$L$1264,$A75)</f>
        <v/>
      </c>
      <c r="O75" s="11">
        <f>COUNTIFS('Datos - Temas'!$C$5:$C$1264,"Ciencias",'Datos - Temas'!$B$5:$B$1264,O$3,'Datos - Temas'!$K$5:$K$1264,$A75)+COUNTIFS('Datos - Temas'!$C$5:$C$1264,"Ciencias",'Datos - Temas'!$B$5:$B$1264,O$3,'Datos - Temas'!$L$5:$L$1264,$A75)</f>
        <v/>
      </c>
      <c r="P75" s="11">
        <f>COUNTIFS('Datos - Temas'!$C$5:$C$1264,"Ciencias",'Datos - Temas'!$B$5:$B$1264,P$3,'Datos - Temas'!$K$5:$K$1264,$A75)+COUNTIFS('Datos - Temas'!$C$5:$C$1264,"Ciencias",'Datos - Temas'!$B$5:$B$1264,P$3,'Datos - Temas'!$L$5:$L$1264,$A75)</f>
        <v/>
      </c>
      <c r="Q75" s="11">
        <f>COUNTIFS('Datos - Temas'!$C$5:$C$1264,"Ciencias",'Datos - Temas'!$B$5:$B$1264,Q$3,'Datos - Temas'!$K$5:$K$1264,$A75)+COUNTIFS('Datos - Temas'!$C$5:$C$1264,"Ciencias",'Datos - Temas'!$B$5:$B$1264,Q$3,'Datos - Temas'!$L$5:$L$1264,$A75)</f>
        <v/>
      </c>
      <c r="R75" s="11">
        <f>COUNTIFS('Datos - Temas'!$C$5:$C$1264,"Ciencias",'Datos - Temas'!$B$5:$B$1264,R$3,'Datos - Temas'!$K$5:$K$1264,$A75)+COUNTIFS('Datos - Temas'!$C$5:$C$1264,"Ciencias",'Datos - Temas'!$B$5:$B$1264,R$3,'Datos - Temas'!$L$5:$L$1264,$A75)</f>
        <v/>
      </c>
      <c r="S75" s="11">
        <f>COUNTIFS('Datos - Temas'!$C$5:$C$1264,"Ciencias",'Datos - Temas'!$B$5:$B$1264,S$3,'Datos - Temas'!$K$5:$K$1264,$A75)+COUNTIFS('Datos - Temas'!$C$5:$C$1264,"Ciencias",'Datos - Temas'!$B$5:$B$1264,S$3,'Datos - Temas'!$L$5:$L$1264,$A75)</f>
        <v/>
      </c>
      <c r="T75" s="11">
        <f>COUNTIFS('Datos - Temas'!$C$5:$C$1264,"Ciencias",'Datos - Temas'!$B$5:$B$1264,T$3,'Datos - Temas'!$K$5:$K$1264,$A75)+COUNTIFS('Datos - Temas'!$C$5:$C$1264,"Ciencias",'Datos - Temas'!$B$5:$B$1264,T$3,'Datos - Temas'!$L$5:$L$1264,$A75)</f>
        <v/>
      </c>
      <c r="U75" s="11">
        <f>COUNTIFS('Datos - Temas'!$C$5:$C$1264,"Ciencias",'Datos - Temas'!$B$5:$B$1264,U$3,'Datos - Temas'!$K$5:$K$1264,$A75)+COUNTIFS('Datos - Temas'!$C$5:$C$1264,"Ciencias",'Datos - Temas'!$B$5:$B$1264,U$3,'Datos - Temas'!$L$5:$L$1264,$A75)</f>
        <v/>
      </c>
      <c r="V75" s="11">
        <f>COUNTIFS('Datos - Temas'!$C$5:$C$1264,"Ciencias",'Datos - Temas'!$B$5:$B$1264,V$3,'Datos - Temas'!$K$5:$K$1264,$A75)+COUNTIFS('Datos - Temas'!$C$5:$C$1264,"Ciencias",'Datos - Temas'!$B$5:$B$1264,V$3,'Datos - Temas'!$L$5:$L$1264,$A75)</f>
        <v/>
      </c>
      <c r="W75" s="11">
        <f>COUNTIFS('Datos - Objetivos de países'!$B$5:$B$510,"Uruguay",'Datos - Objetivos de países'!$F$5:$F$510,W$3,'Datos - Objetivos de países'!$J$5:$J$510,$A75)+COUNTIFS('Datos - Objetivos de países'!$B$5:$B$510,"Uruguay",'Datos - Objetivos de países'!$F$5:$F$510,W$3,'Datos - Objetivos de países'!$K$5:$K$510,$A75)</f>
        <v/>
      </c>
      <c r="X75" s="11">
        <f>COUNTIFS('Datos - Objetivos de países'!$B$5:$B$510,"Uruguay",'Datos - Objetivos de países'!$F$5:$F$510,X$3,'Datos - Objetivos de países'!$J$5:$J$510,$A75)+COUNTIFS('Datos - Objetivos de países'!$B$5:$B$510,"Uruguay",'Datos - Objetivos de países'!$F$5:$F$510,X$3,'Datos - Objetivos de países'!$K$5:$K$510,$A75)</f>
        <v/>
      </c>
      <c r="Y75" s="11">
        <f>COUNTIFS('Datos - Objetivos de países'!$B$5:$B$510,"Uruguay",'Datos - Objetivos de países'!$F$5:$F$510,Y$3,'Datos - Objetivos de países'!$J$5:$J$510,$A75)+COUNTIFS('Datos - Objetivos de países'!$B$5:$B$510,"Uruguay",'Datos - Objetivos de países'!$F$5:$F$510,Y$3,'Datos - Objetivos de países'!$K$5:$K$510,$A75)</f>
        <v/>
      </c>
      <c r="Z75" s="11">
        <f>COUNTIFS('Datos - Objetivos de países'!$B$5:$B$510,"Uruguay",'Datos - Objetivos de países'!$F$5:$F$510,Z$3,'Datos - Objetivos de países'!$J$5:$J$510,$A75)+COUNTIFS('Datos - Objetivos de países'!$B$5:$B$510,"Uruguay",'Datos - Objetivos de países'!$F$5:$F$510,Z$3,'Datos - Objetivos de países'!$K$5:$K$510,$A75)</f>
        <v/>
      </c>
      <c r="AA75" s="11">
        <f>COUNTIFS('Datos - Objetivos de países'!$B$5:$B$510,"Uruguay",'Datos - Objetivos de países'!$F$5:$F$510,AA$3,'Datos - Objetivos de países'!$J$5:$J$510,$A75)+COUNTIFS('Datos - Objetivos de países'!$B$5:$B$510,"Uruguay",'Datos - Objetivos de países'!$F$5:$F$510,AA$3,'Datos - Objetivos de países'!$K$5:$K$510,$A75)</f>
        <v/>
      </c>
      <c r="AB75" s="11">
        <f>COUNTIFS('Datos - Objetivos de países'!$B$5:$B$510,"Uruguay",'Datos - Objetivos de países'!$F$5:$F$510,AB$3,'Datos - Objetivos de países'!$J$5:$J$510,$A75)+COUNTIFS('Datos - Objetivos de países'!$B$5:$B$510,"Uruguay",'Datos - Objetivos de países'!$F$5:$F$510,AB$3,'Datos - Objetivos de países'!$K$5:$K$510,$A75)</f>
        <v/>
      </c>
      <c r="AC75" s="11">
        <f>COUNTIFS('Datos - Objetivos de países'!$B$5:$B$510,"Uruguay",'Datos - Objetivos de países'!$F$5:$F$510,AC$3,'Datos - Objetivos de países'!$J$5:$J$510,$A75)+COUNTIFS('Datos - Objetivos de países'!$B$5:$B$510,"Uruguay",'Datos - Objetivos de países'!$F$5:$F$510,AC$3,'Datos - Objetivos de países'!$K$5:$K$510,$A75)</f>
        <v/>
      </c>
      <c r="AD75" s="11">
        <f>COUNTIFS('Datos - Objetivos de países'!$B$5:$B$510,"Uruguay",'Datos - Objetivos de países'!$F$5:$F$510,AD$3,'Datos - Objetivos de países'!$J$5:$J$510,$A75)+COUNTIFS('Datos - Objetivos de países'!$B$5:$B$510,"Uruguay",'Datos - Objetivos de países'!$F$5:$F$510,AD$3,'Datos - Objetivos de países'!$K$5:$K$510,$A75)</f>
        <v/>
      </c>
      <c r="AE75" s="11">
        <f>COUNTIFS('Datos - Objetivos de países'!$B$5:$B$510,"Uruguay",'Datos - Objetivos de países'!$F$5:$F$510,AE$3,'Datos - Objetivos de países'!$J$5:$J$510,$A75)+COUNTIFS('Datos - Objetivos de países'!$B$5:$B$510,"Uruguay",'Datos - Objetivos de países'!$F$5:$F$510,AE$3,'Datos - Objetivos de países'!$K$5:$K$510,$A75)</f>
        <v/>
      </c>
      <c r="AF75" s="11">
        <f>COUNTIFS('Datos - Objetivos de países'!$B$5:$B$510,"Colombia",'Datos - Objetivos de países'!$F$5:$F$510,AF$3,'Datos - Objetivos de países'!$J$5:$J$510,$A75)+COUNTIFS('Datos - Objetivos de países'!$B$5:$B$510,"Colombia",'Datos - Objetivos de países'!$F$5:$F$510,AF$3,'Datos - Objetivos de países'!$K$5:$K$510,$A75)</f>
        <v/>
      </c>
      <c r="AG75" s="11">
        <f>COUNTIFS('Datos - Objetivos de países'!$B$5:$B$510,"Colombia",'Datos - Objetivos de países'!$F$5:$F$510,AG$3,'Datos - Objetivos de países'!$J$5:$J$510,$A75)+COUNTIFS('Datos - Objetivos de países'!$B$5:$B$510,"Colombia",'Datos - Objetivos de países'!$F$5:$F$510,AG$3,'Datos - Objetivos de países'!$K$5:$K$510,$A75)</f>
        <v/>
      </c>
      <c r="AH75" s="11">
        <f>COUNTIFS('Datos - Objetivos de países'!$B$5:$B$510,"Colombia",'Datos - Objetivos de países'!$F$5:$F$510,AH$3,'Datos - Objetivos de países'!$J$5:$J$510,$A75)+COUNTIFS('Datos - Objetivos de países'!$B$5:$B$510,"Colombia",'Datos - Objetivos de países'!$F$5:$F$510,AH$3,'Datos - Objetivos de países'!$K$5:$K$510,$A75)</f>
        <v/>
      </c>
      <c r="AI75" s="11">
        <f>COUNTIFS('Datos - Objetivos de países'!$B$5:$B$510,"Colombia",'Datos - Objetivos de países'!$F$5:$F$510,AI$3,'Datos - Objetivos de países'!$J$5:$J$510,$A75)+COUNTIFS('Datos - Objetivos de países'!$B$5:$B$510,"Colombia",'Datos - Objetivos de países'!$F$5:$F$510,AI$3,'Datos - Objetivos de países'!$K$5:$K$510,$A75)</f>
        <v/>
      </c>
      <c r="AJ75" s="11">
        <f>COUNTIFS('Datos - Objetivos de países'!$B$5:$B$510,"Colombia",'Datos - Objetivos de países'!$F$5:$F$510,AJ$3,'Datos - Objetivos de países'!$J$5:$J$510,$A75)+COUNTIFS('Datos - Objetivos de países'!$B$5:$B$510,"Colombia",'Datos - Objetivos de países'!$F$5:$F$510,AJ$3,'Datos - Objetivos de países'!$K$5:$K$510,$A75)</f>
        <v/>
      </c>
      <c r="AK75" s="11">
        <f>COUNTIFS('Datos - Objetivos de países'!$B$5:$B$510,"Colombia",'Datos - Objetivos de países'!$F$5:$F$510,AK$3,'Datos - Objetivos de países'!$J$5:$J$510,$A75)+COUNTIFS('Datos - Objetivos de países'!$B$5:$B$510,"Colombia",'Datos - Objetivos de países'!$F$5:$F$510,AK$3,'Datos - Objetivos de países'!$K$5:$K$510,$A75)</f>
        <v/>
      </c>
      <c r="AL75" s="11">
        <f>COUNTIFS('Datos - Objetivos de países'!$B$5:$B$510,"Colombia",'Datos - Objetivos de países'!$F$5:$F$510,AL$3,'Datos - Objetivos de países'!$J$5:$J$510,$A75)+COUNTIFS('Datos - Objetivos de países'!$B$5:$B$510,"Colombia",'Datos - Objetivos de países'!$F$5:$F$510,AL$3,'Datos - Objetivos de países'!$K$5:$K$510,$A75)</f>
        <v/>
      </c>
      <c r="AM75" s="11">
        <f>COUNTIFS('Datos - Objetivos de países'!$B$5:$B$510,"Colombia",'Datos - Objetivos de países'!$F$5:$F$510,AM$3,'Datos - Objetivos de países'!$J$5:$J$510,$A75)+COUNTIFS('Datos - Objetivos de países'!$B$5:$B$510,"Colombia",'Datos - Objetivos de países'!$F$5:$F$510,AM$3,'Datos - Objetivos de países'!$K$5:$K$510,$A75)</f>
        <v/>
      </c>
      <c r="AN75" s="11">
        <f>COUNTIFS('Datos - Objetivos de países'!$B$5:$B$510,"Colombia",'Datos - Objetivos de países'!$F$5:$F$510,AN$3,'Datos - Objetivos de países'!$J$5:$J$510,$A75)+COUNTIFS('Datos - Objetivos de países'!$B$5:$B$510,"Colombia",'Datos - Objetivos de países'!$F$5:$F$510,AN$3,'Datos - Objetivos de países'!$K$5:$K$510,$A75)</f>
        <v/>
      </c>
      <c r="AO75" s="11">
        <f>COUNTIFS('Datos - Objetivos de países'!$B$5:$B$510,"Singapur",'Datos - Objetivos de países'!$F$5:$F$510,AO$3,'Datos - Objetivos de países'!$J$5:$J$510,$A75)+COUNTIFS('Datos - Objetivos de países'!$B$5:$B$510,"Singapur",'Datos - Objetivos de países'!$F$5:$F$510,AO$3,'Datos - Objetivos de países'!$K$5:$K$510,$A75)</f>
        <v/>
      </c>
      <c r="AP75" s="11">
        <f>COUNTIFS('Datos - Objetivos de países'!$B$5:$B$510,"Singapur",'Datos - Objetivos de países'!$F$5:$F$510,AP$3,'Datos - Objetivos de países'!$J$5:$J$510,$A75)+COUNTIFS('Datos - Objetivos de países'!$B$5:$B$510,"Singapur",'Datos - Objetivos de países'!$F$5:$F$510,AP$3,'Datos - Objetivos de países'!$K$5:$K$510,$A75)</f>
        <v/>
      </c>
      <c r="AQ75" s="11">
        <f>COUNTIFS('Datos - Objetivos de países'!$B$5:$B$510,"Singapur",'Datos - Objetivos de países'!$F$5:$F$510,AQ$3,'Datos - Objetivos de países'!$J$5:$J$510,$A75)+COUNTIFS('Datos - Objetivos de países'!$B$5:$B$510,"Singapur",'Datos - Objetivos de países'!$F$5:$F$510,AQ$3,'Datos - Objetivos de países'!$K$5:$K$510,$A75)</f>
        <v/>
      </c>
      <c r="AR75" s="11">
        <f>COUNTIFS('Datos - Objetivos de países'!$B$5:$B$510,"Singapur",'Datos - Objetivos de países'!$F$5:$F$510,AR$3,'Datos - Objetivos de países'!$J$5:$J$510,$A75)+COUNTIFS('Datos - Objetivos de países'!$B$5:$B$510,"Singapur",'Datos - Objetivos de países'!$F$5:$F$510,AR$3,'Datos - Objetivos de países'!$K$5:$K$510,$A75)</f>
        <v/>
      </c>
      <c r="AS75" s="11">
        <f>COUNTIFS('Datos - Objetivos de países'!$B$5:$B$510,"Singapur",'Datos - Objetivos de países'!$F$5:$F$510,AS$3,'Datos - Objetivos de países'!$J$5:$J$510,$A75)+COUNTIFS('Datos - Objetivos de países'!$B$5:$B$510,"Singapur",'Datos - Objetivos de países'!$F$5:$F$510,AS$3,'Datos - Objetivos de países'!$K$5:$K$510,$A75)</f>
        <v/>
      </c>
      <c r="AT75" s="11">
        <f>COUNTIFS('Datos - Objetivos de países'!$B$5:$B$510,"Singapur",'Datos - Objetivos de países'!$F$5:$F$510,AT$3,'Datos - Objetivos de países'!$J$5:$J$510,$A75)+COUNTIFS('Datos - Objetivos de países'!$B$5:$B$510,"Singapur",'Datos - Objetivos de países'!$F$5:$F$510,AT$3,'Datos - Objetivos de países'!$K$5:$K$510,$A75)</f>
        <v/>
      </c>
      <c r="AU75" s="11">
        <f>COUNTIFS('Datos - Objetivos de países'!$B$5:$B$510,"Singapur",'Datos - Objetivos de países'!$F$5:$F$510,AU$3,'Datos - Objetivos de países'!$J$5:$J$510,$A75)+COUNTIFS('Datos - Objetivos de países'!$B$5:$B$510,"Singapur",'Datos - Objetivos de países'!$F$5:$F$510,AU$3,'Datos - Objetivos de países'!$K$5:$K$510,$A75)</f>
        <v/>
      </c>
      <c r="AV75" s="11">
        <f>COUNTIFS('Datos - Objetivos de países'!$B$5:$B$510,"Singapur",'Datos - Objetivos de países'!$F$5:$F$510,AV$3,'Datos - Objetivos de países'!$J$5:$J$510,$A75)+COUNTIFS('Datos - Objetivos de países'!$B$5:$B$510,"Singapur",'Datos - Objetivos de países'!$F$5:$F$510,AV$3,'Datos - Objetivos de países'!$K$5:$K$510,$A75)</f>
        <v/>
      </c>
      <c r="AW75" s="11">
        <f>COUNTIFS('Datos - Objetivos de países'!$B$5:$B$510,"Singapur",'Datos - Objetivos de países'!$F$5:$F$510,AW$3,'Datos - Objetivos de países'!$J$5:$J$510,$A75)+COUNTIFS('Datos - Objetivos de países'!$B$5:$B$510,"Singapur",'Datos - Objetivos de países'!$F$5:$F$510,AW$3,'Datos - Objetivos de países'!$K$5:$K$510,$A75)</f>
        <v/>
      </c>
    </row>
    <row r="76">
      <c r="A76" s="30" t="inlineStr">
        <is>
          <t>T8_27-E2.1</t>
        </is>
      </c>
      <c r="B76" s="30" t="inlineStr">
        <is>
          <t>T8_27</t>
        </is>
      </c>
      <c r="C76" s="30" t="inlineStr">
        <is>
          <t>Ciencias de la Tierra</t>
        </is>
      </c>
      <c r="D76" s="30" t="inlineStr">
        <is>
          <t>Componentes de la atmósfera y condiciones atmosféricas</t>
        </is>
      </c>
      <c r="E76" s="30">
        <f>IFERROR(MAX($L$3,INDEX($N$3:$V$3,MATCH(TRUE,INDEX(N76:V76&gt;0,0),0))),"—")</f>
        <v/>
      </c>
      <c r="F76" s="30">
        <f>IFERROR(MAX($L$3,INDEX($W$3:$AE$3,MATCH(TRUE,INDEX(W76:AE76&gt;0,0),0))),"—")</f>
        <v/>
      </c>
      <c r="G76" s="30">
        <f>IFERROR(MAX($L$3,INDEX($AF$3:$AN$3,MATCH(TRUE,INDEX(AF76:AN76&gt;0,0),0))),"—")</f>
        <v/>
      </c>
      <c r="H76" s="30">
        <f>IFERROR(MAX($L$3,INDEX($AO$3:$AW$3,MATCH(TRUE,INDEX(AO76:AW76&gt;0,0),0))),"—")</f>
        <v/>
      </c>
      <c r="I76" s="36">
        <f>IF(L76=0,"—",MEDIAN(F76:H76))</f>
        <v/>
      </c>
      <c r="J76" s="36">
        <f>IF(OR(E76="—",I76="—"),"—",E76-I76)</f>
        <v/>
      </c>
      <c r="K76" s="19">
        <f>IF(E76="—",IF(L76=0,"Nadie lo trabaja","El Salvador no llega"),IF(L76=0,"Solo El Salvador",IF(J76&gt;0,"El Salvador llega más tarde",IF(J76&lt;0,"El Salvador va adelantado","Mismo grado"))))</f>
        <v/>
      </c>
      <c r="L76" s="30">
        <f>COUNT(F76:H76)</f>
        <v/>
      </c>
      <c r="N76" s="11">
        <f>COUNTIFS('Datos - Temas'!$C$5:$C$1264,"Ciencias",'Datos - Temas'!$B$5:$B$1264,N$3,'Datos - Temas'!$K$5:$K$1264,$A76)+COUNTIFS('Datos - Temas'!$C$5:$C$1264,"Ciencias",'Datos - Temas'!$B$5:$B$1264,N$3,'Datos - Temas'!$L$5:$L$1264,$A76)</f>
        <v/>
      </c>
      <c r="O76" s="11">
        <f>COUNTIFS('Datos - Temas'!$C$5:$C$1264,"Ciencias",'Datos - Temas'!$B$5:$B$1264,O$3,'Datos - Temas'!$K$5:$K$1264,$A76)+COUNTIFS('Datos - Temas'!$C$5:$C$1264,"Ciencias",'Datos - Temas'!$B$5:$B$1264,O$3,'Datos - Temas'!$L$5:$L$1264,$A76)</f>
        <v/>
      </c>
      <c r="P76" s="11">
        <f>COUNTIFS('Datos - Temas'!$C$5:$C$1264,"Ciencias",'Datos - Temas'!$B$5:$B$1264,P$3,'Datos - Temas'!$K$5:$K$1264,$A76)+COUNTIFS('Datos - Temas'!$C$5:$C$1264,"Ciencias",'Datos - Temas'!$B$5:$B$1264,P$3,'Datos - Temas'!$L$5:$L$1264,$A76)</f>
        <v/>
      </c>
      <c r="Q76" s="11">
        <f>COUNTIFS('Datos - Temas'!$C$5:$C$1264,"Ciencias",'Datos - Temas'!$B$5:$B$1264,Q$3,'Datos - Temas'!$K$5:$K$1264,$A76)+COUNTIFS('Datos - Temas'!$C$5:$C$1264,"Ciencias",'Datos - Temas'!$B$5:$B$1264,Q$3,'Datos - Temas'!$L$5:$L$1264,$A76)</f>
        <v/>
      </c>
      <c r="R76" s="11">
        <f>COUNTIFS('Datos - Temas'!$C$5:$C$1264,"Ciencias",'Datos - Temas'!$B$5:$B$1264,R$3,'Datos - Temas'!$K$5:$K$1264,$A76)+COUNTIFS('Datos - Temas'!$C$5:$C$1264,"Ciencias",'Datos - Temas'!$B$5:$B$1264,R$3,'Datos - Temas'!$L$5:$L$1264,$A76)</f>
        <v/>
      </c>
      <c r="S76" s="11">
        <f>COUNTIFS('Datos - Temas'!$C$5:$C$1264,"Ciencias",'Datos - Temas'!$B$5:$B$1264,S$3,'Datos - Temas'!$K$5:$K$1264,$A76)+COUNTIFS('Datos - Temas'!$C$5:$C$1264,"Ciencias",'Datos - Temas'!$B$5:$B$1264,S$3,'Datos - Temas'!$L$5:$L$1264,$A76)</f>
        <v/>
      </c>
      <c r="T76" s="11">
        <f>COUNTIFS('Datos - Temas'!$C$5:$C$1264,"Ciencias",'Datos - Temas'!$B$5:$B$1264,T$3,'Datos - Temas'!$K$5:$K$1264,$A76)+COUNTIFS('Datos - Temas'!$C$5:$C$1264,"Ciencias",'Datos - Temas'!$B$5:$B$1264,T$3,'Datos - Temas'!$L$5:$L$1264,$A76)</f>
        <v/>
      </c>
      <c r="U76" s="11">
        <f>COUNTIFS('Datos - Temas'!$C$5:$C$1264,"Ciencias",'Datos - Temas'!$B$5:$B$1264,U$3,'Datos - Temas'!$K$5:$K$1264,$A76)+COUNTIFS('Datos - Temas'!$C$5:$C$1264,"Ciencias",'Datos - Temas'!$B$5:$B$1264,U$3,'Datos - Temas'!$L$5:$L$1264,$A76)</f>
        <v/>
      </c>
      <c r="V76" s="11">
        <f>COUNTIFS('Datos - Temas'!$C$5:$C$1264,"Ciencias",'Datos - Temas'!$B$5:$B$1264,V$3,'Datos - Temas'!$K$5:$K$1264,$A76)+COUNTIFS('Datos - Temas'!$C$5:$C$1264,"Ciencias",'Datos - Temas'!$B$5:$B$1264,V$3,'Datos - Temas'!$L$5:$L$1264,$A76)</f>
        <v/>
      </c>
      <c r="W76" s="11">
        <f>COUNTIFS('Datos - Objetivos de países'!$B$5:$B$510,"Uruguay",'Datos - Objetivos de países'!$F$5:$F$510,W$3,'Datos - Objetivos de países'!$J$5:$J$510,$A76)+COUNTIFS('Datos - Objetivos de países'!$B$5:$B$510,"Uruguay",'Datos - Objetivos de países'!$F$5:$F$510,W$3,'Datos - Objetivos de países'!$K$5:$K$510,$A76)</f>
        <v/>
      </c>
      <c r="X76" s="11">
        <f>COUNTIFS('Datos - Objetivos de países'!$B$5:$B$510,"Uruguay",'Datos - Objetivos de países'!$F$5:$F$510,X$3,'Datos - Objetivos de países'!$J$5:$J$510,$A76)+COUNTIFS('Datos - Objetivos de países'!$B$5:$B$510,"Uruguay",'Datos - Objetivos de países'!$F$5:$F$510,X$3,'Datos - Objetivos de países'!$K$5:$K$510,$A76)</f>
        <v/>
      </c>
      <c r="Y76" s="11">
        <f>COUNTIFS('Datos - Objetivos de países'!$B$5:$B$510,"Uruguay",'Datos - Objetivos de países'!$F$5:$F$510,Y$3,'Datos - Objetivos de países'!$J$5:$J$510,$A76)+COUNTIFS('Datos - Objetivos de países'!$B$5:$B$510,"Uruguay",'Datos - Objetivos de países'!$F$5:$F$510,Y$3,'Datos - Objetivos de países'!$K$5:$K$510,$A76)</f>
        <v/>
      </c>
      <c r="Z76" s="11">
        <f>COUNTIFS('Datos - Objetivos de países'!$B$5:$B$510,"Uruguay",'Datos - Objetivos de países'!$F$5:$F$510,Z$3,'Datos - Objetivos de países'!$J$5:$J$510,$A76)+COUNTIFS('Datos - Objetivos de países'!$B$5:$B$510,"Uruguay",'Datos - Objetivos de países'!$F$5:$F$510,Z$3,'Datos - Objetivos de países'!$K$5:$K$510,$A76)</f>
        <v/>
      </c>
      <c r="AA76" s="11">
        <f>COUNTIFS('Datos - Objetivos de países'!$B$5:$B$510,"Uruguay",'Datos - Objetivos de países'!$F$5:$F$510,AA$3,'Datos - Objetivos de países'!$J$5:$J$510,$A76)+COUNTIFS('Datos - Objetivos de países'!$B$5:$B$510,"Uruguay",'Datos - Objetivos de países'!$F$5:$F$510,AA$3,'Datos - Objetivos de países'!$K$5:$K$510,$A76)</f>
        <v/>
      </c>
      <c r="AB76" s="11">
        <f>COUNTIFS('Datos - Objetivos de países'!$B$5:$B$510,"Uruguay",'Datos - Objetivos de países'!$F$5:$F$510,AB$3,'Datos - Objetivos de países'!$J$5:$J$510,$A76)+COUNTIFS('Datos - Objetivos de países'!$B$5:$B$510,"Uruguay",'Datos - Objetivos de países'!$F$5:$F$510,AB$3,'Datos - Objetivos de países'!$K$5:$K$510,$A76)</f>
        <v/>
      </c>
      <c r="AC76" s="11">
        <f>COUNTIFS('Datos - Objetivos de países'!$B$5:$B$510,"Uruguay",'Datos - Objetivos de países'!$F$5:$F$510,AC$3,'Datos - Objetivos de países'!$J$5:$J$510,$A76)+COUNTIFS('Datos - Objetivos de países'!$B$5:$B$510,"Uruguay",'Datos - Objetivos de países'!$F$5:$F$510,AC$3,'Datos - Objetivos de países'!$K$5:$K$510,$A76)</f>
        <v/>
      </c>
      <c r="AD76" s="11">
        <f>COUNTIFS('Datos - Objetivos de países'!$B$5:$B$510,"Uruguay",'Datos - Objetivos de países'!$F$5:$F$510,AD$3,'Datos - Objetivos de países'!$J$5:$J$510,$A76)+COUNTIFS('Datos - Objetivos de países'!$B$5:$B$510,"Uruguay",'Datos - Objetivos de países'!$F$5:$F$510,AD$3,'Datos - Objetivos de países'!$K$5:$K$510,$A76)</f>
        <v/>
      </c>
      <c r="AE76" s="11">
        <f>COUNTIFS('Datos - Objetivos de países'!$B$5:$B$510,"Uruguay",'Datos - Objetivos de países'!$F$5:$F$510,AE$3,'Datos - Objetivos de países'!$J$5:$J$510,$A76)+COUNTIFS('Datos - Objetivos de países'!$B$5:$B$510,"Uruguay",'Datos - Objetivos de países'!$F$5:$F$510,AE$3,'Datos - Objetivos de países'!$K$5:$K$510,$A76)</f>
        <v/>
      </c>
      <c r="AF76" s="11">
        <f>COUNTIFS('Datos - Objetivos de países'!$B$5:$B$510,"Colombia",'Datos - Objetivos de países'!$F$5:$F$510,AF$3,'Datos - Objetivos de países'!$J$5:$J$510,$A76)+COUNTIFS('Datos - Objetivos de países'!$B$5:$B$510,"Colombia",'Datos - Objetivos de países'!$F$5:$F$510,AF$3,'Datos - Objetivos de países'!$K$5:$K$510,$A76)</f>
        <v/>
      </c>
      <c r="AG76" s="11">
        <f>COUNTIFS('Datos - Objetivos de países'!$B$5:$B$510,"Colombia",'Datos - Objetivos de países'!$F$5:$F$510,AG$3,'Datos - Objetivos de países'!$J$5:$J$510,$A76)+COUNTIFS('Datos - Objetivos de países'!$B$5:$B$510,"Colombia",'Datos - Objetivos de países'!$F$5:$F$510,AG$3,'Datos - Objetivos de países'!$K$5:$K$510,$A76)</f>
        <v/>
      </c>
      <c r="AH76" s="11">
        <f>COUNTIFS('Datos - Objetivos de países'!$B$5:$B$510,"Colombia",'Datos - Objetivos de países'!$F$5:$F$510,AH$3,'Datos - Objetivos de países'!$J$5:$J$510,$A76)+COUNTIFS('Datos - Objetivos de países'!$B$5:$B$510,"Colombia",'Datos - Objetivos de países'!$F$5:$F$510,AH$3,'Datos - Objetivos de países'!$K$5:$K$510,$A76)</f>
        <v/>
      </c>
      <c r="AI76" s="11">
        <f>COUNTIFS('Datos - Objetivos de países'!$B$5:$B$510,"Colombia",'Datos - Objetivos de países'!$F$5:$F$510,AI$3,'Datos - Objetivos de países'!$J$5:$J$510,$A76)+COUNTIFS('Datos - Objetivos de países'!$B$5:$B$510,"Colombia",'Datos - Objetivos de países'!$F$5:$F$510,AI$3,'Datos - Objetivos de países'!$K$5:$K$510,$A76)</f>
        <v/>
      </c>
      <c r="AJ76" s="11">
        <f>COUNTIFS('Datos - Objetivos de países'!$B$5:$B$510,"Colombia",'Datos - Objetivos de países'!$F$5:$F$510,AJ$3,'Datos - Objetivos de países'!$J$5:$J$510,$A76)+COUNTIFS('Datos - Objetivos de países'!$B$5:$B$510,"Colombia",'Datos - Objetivos de países'!$F$5:$F$510,AJ$3,'Datos - Objetivos de países'!$K$5:$K$510,$A76)</f>
        <v/>
      </c>
      <c r="AK76" s="11">
        <f>COUNTIFS('Datos - Objetivos de países'!$B$5:$B$510,"Colombia",'Datos - Objetivos de países'!$F$5:$F$510,AK$3,'Datos - Objetivos de países'!$J$5:$J$510,$A76)+COUNTIFS('Datos - Objetivos de países'!$B$5:$B$510,"Colombia",'Datos - Objetivos de países'!$F$5:$F$510,AK$3,'Datos - Objetivos de países'!$K$5:$K$510,$A76)</f>
        <v/>
      </c>
      <c r="AL76" s="11">
        <f>COUNTIFS('Datos - Objetivos de países'!$B$5:$B$510,"Colombia",'Datos - Objetivos de países'!$F$5:$F$510,AL$3,'Datos - Objetivos de países'!$J$5:$J$510,$A76)+COUNTIFS('Datos - Objetivos de países'!$B$5:$B$510,"Colombia",'Datos - Objetivos de países'!$F$5:$F$510,AL$3,'Datos - Objetivos de países'!$K$5:$K$510,$A76)</f>
        <v/>
      </c>
      <c r="AM76" s="11">
        <f>COUNTIFS('Datos - Objetivos de países'!$B$5:$B$510,"Colombia",'Datos - Objetivos de países'!$F$5:$F$510,AM$3,'Datos - Objetivos de países'!$J$5:$J$510,$A76)+COUNTIFS('Datos - Objetivos de países'!$B$5:$B$510,"Colombia",'Datos - Objetivos de países'!$F$5:$F$510,AM$3,'Datos - Objetivos de países'!$K$5:$K$510,$A76)</f>
        <v/>
      </c>
      <c r="AN76" s="11">
        <f>COUNTIFS('Datos - Objetivos de países'!$B$5:$B$510,"Colombia",'Datos - Objetivos de países'!$F$5:$F$510,AN$3,'Datos - Objetivos de países'!$J$5:$J$510,$A76)+COUNTIFS('Datos - Objetivos de países'!$B$5:$B$510,"Colombia",'Datos - Objetivos de países'!$F$5:$F$510,AN$3,'Datos - Objetivos de países'!$K$5:$K$510,$A76)</f>
        <v/>
      </c>
      <c r="AO76" s="11">
        <f>COUNTIFS('Datos - Objetivos de países'!$B$5:$B$510,"Singapur",'Datos - Objetivos de países'!$F$5:$F$510,AO$3,'Datos - Objetivos de países'!$J$5:$J$510,$A76)+COUNTIFS('Datos - Objetivos de países'!$B$5:$B$510,"Singapur",'Datos - Objetivos de países'!$F$5:$F$510,AO$3,'Datos - Objetivos de países'!$K$5:$K$510,$A76)</f>
        <v/>
      </c>
      <c r="AP76" s="11">
        <f>COUNTIFS('Datos - Objetivos de países'!$B$5:$B$510,"Singapur",'Datos - Objetivos de países'!$F$5:$F$510,AP$3,'Datos - Objetivos de países'!$J$5:$J$510,$A76)+COUNTIFS('Datos - Objetivos de países'!$B$5:$B$510,"Singapur",'Datos - Objetivos de países'!$F$5:$F$510,AP$3,'Datos - Objetivos de países'!$K$5:$K$510,$A76)</f>
        <v/>
      </c>
      <c r="AQ76" s="11">
        <f>COUNTIFS('Datos - Objetivos de países'!$B$5:$B$510,"Singapur",'Datos - Objetivos de países'!$F$5:$F$510,AQ$3,'Datos - Objetivos de países'!$J$5:$J$510,$A76)+COUNTIFS('Datos - Objetivos de países'!$B$5:$B$510,"Singapur",'Datos - Objetivos de países'!$F$5:$F$510,AQ$3,'Datos - Objetivos de países'!$K$5:$K$510,$A76)</f>
        <v/>
      </c>
      <c r="AR76" s="11">
        <f>COUNTIFS('Datos - Objetivos de países'!$B$5:$B$510,"Singapur",'Datos - Objetivos de países'!$F$5:$F$510,AR$3,'Datos - Objetivos de países'!$J$5:$J$510,$A76)+COUNTIFS('Datos - Objetivos de países'!$B$5:$B$510,"Singapur",'Datos - Objetivos de países'!$F$5:$F$510,AR$3,'Datos - Objetivos de países'!$K$5:$K$510,$A76)</f>
        <v/>
      </c>
      <c r="AS76" s="11">
        <f>COUNTIFS('Datos - Objetivos de países'!$B$5:$B$510,"Singapur",'Datos - Objetivos de países'!$F$5:$F$510,AS$3,'Datos - Objetivos de países'!$J$5:$J$510,$A76)+COUNTIFS('Datos - Objetivos de países'!$B$5:$B$510,"Singapur",'Datos - Objetivos de países'!$F$5:$F$510,AS$3,'Datos - Objetivos de países'!$K$5:$K$510,$A76)</f>
        <v/>
      </c>
      <c r="AT76" s="11">
        <f>COUNTIFS('Datos - Objetivos de países'!$B$5:$B$510,"Singapur",'Datos - Objetivos de países'!$F$5:$F$510,AT$3,'Datos - Objetivos de países'!$J$5:$J$510,$A76)+COUNTIFS('Datos - Objetivos de países'!$B$5:$B$510,"Singapur",'Datos - Objetivos de países'!$F$5:$F$510,AT$3,'Datos - Objetivos de países'!$K$5:$K$510,$A76)</f>
        <v/>
      </c>
      <c r="AU76" s="11">
        <f>COUNTIFS('Datos - Objetivos de países'!$B$5:$B$510,"Singapur",'Datos - Objetivos de países'!$F$5:$F$510,AU$3,'Datos - Objetivos de países'!$J$5:$J$510,$A76)+COUNTIFS('Datos - Objetivos de países'!$B$5:$B$510,"Singapur",'Datos - Objetivos de países'!$F$5:$F$510,AU$3,'Datos - Objetivos de países'!$K$5:$K$510,$A76)</f>
        <v/>
      </c>
      <c r="AV76" s="11">
        <f>COUNTIFS('Datos - Objetivos de países'!$B$5:$B$510,"Singapur",'Datos - Objetivos de países'!$F$5:$F$510,AV$3,'Datos - Objetivos de países'!$J$5:$J$510,$A76)+COUNTIFS('Datos - Objetivos de países'!$B$5:$B$510,"Singapur",'Datos - Objetivos de países'!$F$5:$F$510,AV$3,'Datos - Objetivos de países'!$K$5:$K$510,$A76)</f>
        <v/>
      </c>
      <c r="AW76" s="11">
        <f>COUNTIFS('Datos - Objetivos de países'!$B$5:$B$510,"Singapur",'Datos - Objetivos de países'!$F$5:$F$510,AW$3,'Datos - Objetivos de países'!$J$5:$J$510,$A76)+COUNTIFS('Datos - Objetivos de países'!$B$5:$B$510,"Singapur",'Datos - Objetivos de países'!$F$5:$F$510,AW$3,'Datos - Objetivos de países'!$K$5:$K$510,$A76)</f>
        <v/>
      </c>
    </row>
    <row r="77">
      <c r="A77" s="30" t="inlineStr">
        <is>
          <t>T8_27-E2.2</t>
        </is>
      </c>
      <c r="B77" s="30" t="inlineStr">
        <is>
          <t>T8_27</t>
        </is>
      </c>
      <c r="C77" s="30" t="inlineStr">
        <is>
          <t>Ciencias de la Tierra</t>
        </is>
      </c>
      <c r="D77" s="30" t="inlineStr">
        <is>
          <t>El ciclo del agua</t>
        </is>
      </c>
      <c r="E77" s="30">
        <f>IFERROR(MAX($L$3,INDEX($N$3:$V$3,MATCH(TRUE,INDEX(N77:V77&gt;0,0),0))),"—")</f>
        <v/>
      </c>
      <c r="F77" s="30">
        <f>IFERROR(MAX($L$3,INDEX($W$3:$AE$3,MATCH(TRUE,INDEX(W77:AE77&gt;0,0),0))),"—")</f>
        <v/>
      </c>
      <c r="G77" s="30">
        <f>IFERROR(MAX($L$3,INDEX($AF$3:$AN$3,MATCH(TRUE,INDEX(AF77:AN77&gt;0,0),0))),"—")</f>
        <v/>
      </c>
      <c r="H77" s="30">
        <f>IFERROR(MAX($L$3,INDEX($AO$3:$AW$3,MATCH(TRUE,INDEX(AO77:AW77&gt;0,0),0))),"—")</f>
        <v/>
      </c>
      <c r="I77" s="36">
        <f>IF(L77=0,"—",MEDIAN(F77:H77))</f>
        <v/>
      </c>
      <c r="J77" s="36">
        <f>IF(OR(E77="—",I77="—"),"—",E77-I77)</f>
        <v/>
      </c>
      <c r="K77" s="19">
        <f>IF(E77="—",IF(L77=0,"Nadie lo trabaja","El Salvador no llega"),IF(L77=0,"Solo El Salvador",IF(J77&gt;0,"El Salvador llega más tarde",IF(J77&lt;0,"El Salvador va adelantado","Mismo grado"))))</f>
        <v/>
      </c>
      <c r="L77" s="30">
        <f>COUNT(F77:H77)</f>
        <v/>
      </c>
      <c r="N77" s="11">
        <f>COUNTIFS('Datos - Temas'!$C$5:$C$1264,"Ciencias",'Datos - Temas'!$B$5:$B$1264,N$3,'Datos - Temas'!$K$5:$K$1264,$A77)+COUNTIFS('Datos - Temas'!$C$5:$C$1264,"Ciencias",'Datos - Temas'!$B$5:$B$1264,N$3,'Datos - Temas'!$L$5:$L$1264,$A77)</f>
        <v/>
      </c>
      <c r="O77" s="11">
        <f>COUNTIFS('Datos - Temas'!$C$5:$C$1264,"Ciencias",'Datos - Temas'!$B$5:$B$1264,O$3,'Datos - Temas'!$K$5:$K$1264,$A77)+COUNTIFS('Datos - Temas'!$C$5:$C$1264,"Ciencias",'Datos - Temas'!$B$5:$B$1264,O$3,'Datos - Temas'!$L$5:$L$1264,$A77)</f>
        <v/>
      </c>
      <c r="P77" s="11">
        <f>COUNTIFS('Datos - Temas'!$C$5:$C$1264,"Ciencias",'Datos - Temas'!$B$5:$B$1264,P$3,'Datos - Temas'!$K$5:$K$1264,$A77)+COUNTIFS('Datos - Temas'!$C$5:$C$1264,"Ciencias",'Datos - Temas'!$B$5:$B$1264,P$3,'Datos - Temas'!$L$5:$L$1264,$A77)</f>
        <v/>
      </c>
      <c r="Q77" s="11">
        <f>COUNTIFS('Datos - Temas'!$C$5:$C$1264,"Ciencias",'Datos - Temas'!$B$5:$B$1264,Q$3,'Datos - Temas'!$K$5:$K$1264,$A77)+COUNTIFS('Datos - Temas'!$C$5:$C$1264,"Ciencias",'Datos - Temas'!$B$5:$B$1264,Q$3,'Datos - Temas'!$L$5:$L$1264,$A77)</f>
        <v/>
      </c>
      <c r="R77" s="11">
        <f>COUNTIFS('Datos - Temas'!$C$5:$C$1264,"Ciencias",'Datos - Temas'!$B$5:$B$1264,R$3,'Datos - Temas'!$K$5:$K$1264,$A77)+COUNTIFS('Datos - Temas'!$C$5:$C$1264,"Ciencias",'Datos - Temas'!$B$5:$B$1264,R$3,'Datos - Temas'!$L$5:$L$1264,$A77)</f>
        <v/>
      </c>
      <c r="S77" s="11">
        <f>COUNTIFS('Datos - Temas'!$C$5:$C$1264,"Ciencias",'Datos - Temas'!$B$5:$B$1264,S$3,'Datos - Temas'!$K$5:$K$1264,$A77)+COUNTIFS('Datos - Temas'!$C$5:$C$1264,"Ciencias",'Datos - Temas'!$B$5:$B$1264,S$3,'Datos - Temas'!$L$5:$L$1264,$A77)</f>
        <v/>
      </c>
      <c r="T77" s="11">
        <f>COUNTIFS('Datos - Temas'!$C$5:$C$1264,"Ciencias",'Datos - Temas'!$B$5:$B$1264,T$3,'Datos - Temas'!$K$5:$K$1264,$A77)+COUNTIFS('Datos - Temas'!$C$5:$C$1264,"Ciencias",'Datos - Temas'!$B$5:$B$1264,T$3,'Datos - Temas'!$L$5:$L$1264,$A77)</f>
        <v/>
      </c>
      <c r="U77" s="11">
        <f>COUNTIFS('Datos - Temas'!$C$5:$C$1264,"Ciencias",'Datos - Temas'!$B$5:$B$1264,U$3,'Datos - Temas'!$K$5:$K$1264,$A77)+COUNTIFS('Datos - Temas'!$C$5:$C$1264,"Ciencias",'Datos - Temas'!$B$5:$B$1264,U$3,'Datos - Temas'!$L$5:$L$1264,$A77)</f>
        <v/>
      </c>
      <c r="V77" s="11">
        <f>COUNTIFS('Datos - Temas'!$C$5:$C$1264,"Ciencias",'Datos - Temas'!$B$5:$B$1264,V$3,'Datos - Temas'!$K$5:$K$1264,$A77)+COUNTIFS('Datos - Temas'!$C$5:$C$1264,"Ciencias",'Datos - Temas'!$B$5:$B$1264,V$3,'Datos - Temas'!$L$5:$L$1264,$A77)</f>
        <v/>
      </c>
      <c r="W77" s="11">
        <f>COUNTIFS('Datos - Objetivos de países'!$B$5:$B$510,"Uruguay",'Datos - Objetivos de países'!$F$5:$F$510,W$3,'Datos - Objetivos de países'!$J$5:$J$510,$A77)+COUNTIFS('Datos - Objetivos de países'!$B$5:$B$510,"Uruguay",'Datos - Objetivos de países'!$F$5:$F$510,W$3,'Datos - Objetivos de países'!$K$5:$K$510,$A77)</f>
        <v/>
      </c>
      <c r="X77" s="11">
        <f>COUNTIFS('Datos - Objetivos de países'!$B$5:$B$510,"Uruguay",'Datos - Objetivos de países'!$F$5:$F$510,X$3,'Datos - Objetivos de países'!$J$5:$J$510,$A77)+COUNTIFS('Datos - Objetivos de países'!$B$5:$B$510,"Uruguay",'Datos - Objetivos de países'!$F$5:$F$510,X$3,'Datos - Objetivos de países'!$K$5:$K$510,$A77)</f>
        <v/>
      </c>
      <c r="Y77" s="11">
        <f>COUNTIFS('Datos - Objetivos de países'!$B$5:$B$510,"Uruguay",'Datos - Objetivos de países'!$F$5:$F$510,Y$3,'Datos - Objetivos de países'!$J$5:$J$510,$A77)+COUNTIFS('Datos - Objetivos de países'!$B$5:$B$510,"Uruguay",'Datos - Objetivos de países'!$F$5:$F$510,Y$3,'Datos - Objetivos de países'!$K$5:$K$510,$A77)</f>
        <v/>
      </c>
      <c r="Z77" s="11">
        <f>COUNTIFS('Datos - Objetivos de países'!$B$5:$B$510,"Uruguay",'Datos - Objetivos de países'!$F$5:$F$510,Z$3,'Datos - Objetivos de países'!$J$5:$J$510,$A77)+COUNTIFS('Datos - Objetivos de países'!$B$5:$B$510,"Uruguay",'Datos - Objetivos de países'!$F$5:$F$510,Z$3,'Datos - Objetivos de países'!$K$5:$K$510,$A77)</f>
        <v/>
      </c>
      <c r="AA77" s="11">
        <f>COUNTIFS('Datos - Objetivos de países'!$B$5:$B$510,"Uruguay",'Datos - Objetivos de países'!$F$5:$F$510,AA$3,'Datos - Objetivos de países'!$J$5:$J$510,$A77)+COUNTIFS('Datos - Objetivos de países'!$B$5:$B$510,"Uruguay",'Datos - Objetivos de países'!$F$5:$F$510,AA$3,'Datos - Objetivos de países'!$K$5:$K$510,$A77)</f>
        <v/>
      </c>
      <c r="AB77" s="11">
        <f>COUNTIFS('Datos - Objetivos de países'!$B$5:$B$510,"Uruguay",'Datos - Objetivos de países'!$F$5:$F$510,AB$3,'Datos - Objetivos de países'!$J$5:$J$510,$A77)+COUNTIFS('Datos - Objetivos de países'!$B$5:$B$510,"Uruguay",'Datos - Objetivos de países'!$F$5:$F$510,AB$3,'Datos - Objetivos de países'!$K$5:$K$510,$A77)</f>
        <v/>
      </c>
      <c r="AC77" s="11">
        <f>COUNTIFS('Datos - Objetivos de países'!$B$5:$B$510,"Uruguay",'Datos - Objetivos de países'!$F$5:$F$510,AC$3,'Datos - Objetivos de países'!$J$5:$J$510,$A77)+COUNTIFS('Datos - Objetivos de países'!$B$5:$B$510,"Uruguay",'Datos - Objetivos de países'!$F$5:$F$510,AC$3,'Datos - Objetivos de países'!$K$5:$K$510,$A77)</f>
        <v/>
      </c>
      <c r="AD77" s="11">
        <f>COUNTIFS('Datos - Objetivos de países'!$B$5:$B$510,"Uruguay",'Datos - Objetivos de países'!$F$5:$F$510,AD$3,'Datos - Objetivos de países'!$J$5:$J$510,$A77)+COUNTIFS('Datos - Objetivos de países'!$B$5:$B$510,"Uruguay",'Datos - Objetivos de países'!$F$5:$F$510,AD$3,'Datos - Objetivos de países'!$K$5:$K$510,$A77)</f>
        <v/>
      </c>
      <c r="AE77" s="11">
        <f>COUNTIFS('Datos - Objetivos de países'!$B$5:$B$510,"Uruguay",'Datos - Objetivos de países'!$F$5:$F$510,AE$3,'Datos - Objetivos de países'!$J$5:$J$510,$A77)+COUNTIFS('Datos - Objetivos de países'!$B$5:$B$510,"Uruguay",'Datos - Objetivos de países'!$F$5:$F$510,AE$3,'Datos - Objetivos de países'!$K$5:$K$510,$A77)</f>
        <v/>
      </c>
      <c r="AF77" s="11">
        <f>COUNTIFS('Datos - Objetivos de países'!$B$5:$B$510,"Colombia",'Datos - Objetivos de países'!$F$5:$F$510,AF$3,'Datos - Objetivos de países'!$J$5:$J$510,$A77)+COUNTIFS('Datos - Objetivos de países'!$B$5:$B$510,"Colombia",'Datos - Objetivos de países'!$F$5:$F$510,AF$3,'Datos - Objetivos de países'!$K$5:$K$510,$A77)</f>
        <v/>
      </c>
      <c r="AG77" s="11">
        <f>COUNTIFS('Datos - Objetivos de países'!$B$5:$B$510,"Colombia",'Datos - Objetivos de países'!$F$5:$F$510,AG$3,'Datos - Objetivos de países'!$J$5:$J$510,$A77)+COUNTIFS('Datos - Objetivos de países'!$B$5:$B$510,"Colombia",'Datos - Objetivos de países'!$F$5:$F$510,AG$3,'Datos - Objetivos de países'!$K$5:$K$510,$A77)</f>
        <v/>
      </c>
      <c r="AH77" s="11">
        <f>COUNTIFS('Datos - Objetivos de países'!$B$5:$B$510,"Colombia",'Datos - Objetivos de países'!$F$5:$F$510,AH$3,'Datos - Objetivos de países'!$J$5:$J$510,$A77)+COUNTIFS('Datos - Objetivos de países'!$B$5:$B$510,"Colombia",'Datos - Objetivos de países'!$F$5:$F$510,AH$3,'Datos - Objetivos de países'!$K$5:$K$510,$A77)</f>
        <v/>
      </c>
      <c r="AI77" s="11">
        <f>COUNTIFS('Datos - Objetivos de países'!$B$5:$B$510,"Colombia",'Datos - Objetivos de países'!$F$5:$F$510,AI$3,'Datos - Objetivos de países'!$J$5:$J$510,$A77)+COUNTIFS('Datos - Objetivos de países'!$B$5:$B$510,"Colombia",'Datos - Objetivos de países'!$F$5:$F$510,AI$3,'Datos - Objetivos de países'!$K$5:$K$510,$A77)</f>
        <v/>
      </c>
      <c r="AJ77" s="11">
        <f>COUNTIFS('Datos - Objetivos de países'!$B$5:$B$510,"Colombia",'Datos - Objetivos de países'!$F$5:$F$510,AJ$3,'Datos - Objetivos de países'!$J$5:$J$510,$A77)+COUNTIFS('Datos - Objetivos de países'!$B$5:$B$510,"Colombia",'Datos - Objetivos de países'!$F$5:$F$510,AJ$3,'Datos - Objetivos de países'!$K$5:$K$510,$A77)</f>
        <v/>
      </c>
      <c r="AK77" s="11">
        <f>COUNTIFS('Datos - Objetivos de países'!$B$5:$B$510,"Colombia",'Datos - Objetivos de países'!$F$5:$F$510,AK$3,'Datos - Objetivos de países'!$J$5:$J$510,$A77)+COUNTIFS('Datos - Objetivos de países'!$B$5:$B$510,"Colombia",'Datos - Objetivos de países'!$F$5:$F$510,AK$3,'Datos - Objetivos de países'!$K$5:$K$510,$A77)</f>
        <v/>
      </c>
      <c r="AL77" s="11">
        <f>COUNTIFS('Datos - Objetivos de países'!$B$5:$B$510,"Colombia",'Datos - Objetivos de países'!$F$5:$F$510,AL$3,'Datos - Objetivos de países'!$J$5:$J$510,$A77)+COUNTIFS('Datos - Objetivos de países'!$B$5:$B$510,"Colombia",'Datos - Objetivos de países'!$F$5:$F$510,AL$3,'Datos - Objetivos de países'!$K$5:$K$510,$A77)</f>
        <v/>
      </c>
      <c r="AM77" s="11">
        <f>COUNTIFS('Datos - Objetivos de países'!$B$5:$B$510,"Colombia",'Datos - Objetivos de países'!$F$5:$F$510,AM$3,'Datos - Objetivos de países'!$J$5:$J$510,$A77)+COUNTIFS('Datos - Objetivos de países'!$B$5:$B$510,"Colombia",'Datos - Objetivos de países'!$F$5:$F$510,AM$3,'Datos - Objetivos de países'!$K$5:$K$510,$A77)</f>
        <v/>
      </c>
      <c r="AN77" s="11">
        <f>COUNTIFS('Datos - Objetivos de países'!$B$5:$B$510,"Colombia",'Datos - Objetivos de países'!$F$5:$F$510,AN$3,'Datos - Objetivos de países'!$J$5:$J$510,$A77)+COUNTIFS('Datos - Objetivos de países'!$B$5:$B$510,"Colombia",'Datos - Objetivos de países'!$F$5:$F$510,AN$3,'Datos - Objetivos de países'!$K$5:$K$510,$A77)</f>
        <v/>
      </c>
      <c r="AO77" s="11">
        <f>COUNTIFS('Datos - Objetivos de países'!$B$5:$B$510,"Singapur",'Datos - Objetivos de países'!$F$5:$F$510,AO$3,'Datos - Objetivos de países'!$J$5:$J$510,$A77)+COUNTIFS('Datos - Objetivos de países'!$B$5:$B$510,"Singapur",'Datos - Objetivos de países'!$F$5:$F$510,AO$3,'Datos - Objetivos de países'!$K$5:$K$510,$A77)</f>
        <v/>
      </c>
      <c r="AP77" s="11">
        <f>COUNTIFS('Datos - Objetivos de países'!$B$5:$B$510,"Singapur",'Datos - Objetivos de países'!$F$5:$F$510,AP$3,'Datos - Objetivos de países'!$J$5:$J$510,$A77)+COUNTIFS('Datos - Objetivos de países'!$B$5:$B$510,"Singapur",'Datos - Objetivos de países'!$F$5:$F$510,AP$3,'Datos - Objetivos de países'!$K$5:$K$510,$A77)</f>
        <v/>
      </c>
      <c r="AQ77" s="11">
        <f>COUNTIFS('Datos - Objetivos de países'!$B$5:$B$510,"Singapur",'Datos - Objetivos de países'!$F$5:$F$510,AQ$3,'Datos - Objetivos de países'!$J$5:$J$510,$A77)+COUNTIFS('Datos - Objetivos de países'!$B$5:$B$510,"Singapur",'Datos - Objetivos de países'!$F$5:$F$510,AQ$3,'Datos - Objetivos de países'!$K$5:$K$510,$A77)</f>
        <v/>
      </c>
      <c r="AR77" s="11">
        <f>COUNTIFS('Datos - Objetivos de países'!$B$5:$B$510,"Singapur",'Datos - Objetivos de países'!$F$5:$F$510,AR$3,'Datos - Objetivos de países'!$J$5:$J$510,$A77)+COUNTIFS('Datos - Objetivos de países'!$B$5:$B$510,"Singapur",'Datos - Objetivos de países'!$F$5:$F$510,AR$3,'Datos - Objetivos de países'!$K$5:$K$510,$A77)</f>
        <v/>
      </c>
      <c r="AS77" s="11">
        <f>COUNTIFS('Datos - Objetivos de países'!$B$5:$B$510,"Singapur",'Datos - Objetivos de países'!$F$5:$F$510,AS$3,'Datos - Objetivos de países'!$J$5:$J$510,$A77)+COUNTIFS('Datos - Objetivos de países'!$B$5:$B$510,"Singapur",'Datos - Objetivos de países'!$F$5:$F$510,AS$3,'Datos - Objetivos de países'!$K$5:$K$510,$A77)</f>
        <v/>
      </c>
      <c r="AT77" s="11">
        <f>COUNTIFS('Datos - Objetivos de países'!$B$5:$B$510,"Singapur",'Datos - Objetivos de países'!$F$5:$F$510,AT$3,'Datos - Objetivos de países'!$J$5:$J$510,$A77)+COUNTIFS('Datos - Objetivos de países'!$B$5:$B$510,"Singapur",'Datos - Objetivos de países'!$F$5:$F$510,AT$3,'Datos - Objetivos de países'!$K$5:$K$510,$A77)</f>
        <v/>
      </c>
      <c r="AU77" s="11">
        <f>COUNTIFS('Datos - Objetivos de países'!$B$5:$B$510,"Singapur",'Datos - Objetivos de países'!$F$5:$F$510,AU$3,'Datos - Objetivos de países'!$J$5:$J$510,$A77)+COUNTIFS('Datos - Objetivos de países'!$B$5:$B$510,"Singapur",'Datos - Objetivos de países'!$F$5:$F$510,AU$3,'Datos - Objetivos de países'!$K$5:$K$510,$A77)</f>
        <v/>
      </c>
      <c r="AV77" s="11">
        <f>COUNTIFS('Datos - Objetivos de países'!$B$5:$B$510,"Singapur",'Datos - Objetivos de países'!$F$5:$F$510,AV$3,'Datos - Objetivos de países'!$J$5:$J$510,$A77)+COUNTIFS('Datos - Objetivos de países'!$B$5:$B$510,"Singapur",'Datos - Objetivos de países'!$F$5:$F$510,AV$3,'Datos - Objetivos de países'!$K$5:$K$510,$A77)</f>
        <v/>
      </c>
      <c r="AW77" s="11">
        <f>COUNTIFS('Datos - Objetivos de países'!$B$5:$B$510,"Singapur",'Datos - Objetivos de países'!$F$5:$F$510,AW$3,'Datos - Objetivos de países'!$J$5:$J$510,$A77)+COUNTIFS('Datos - Objetivos de países'!$B$5:$B$510,"Singapur",'Datos - Objetivos de países'!$F$5:$F$510,AW$3,'Datos - Objetivos de países'!$K$5:$K$510,$A77)</f>
        <v/>
      </c>
    </row>
    <row r="78">
      <c r="A78" s="30" t="inlineStr">
        <is>
          <t>T8_27-E2.3</t>
        </is>
      </c>
      <c r="B78" s="30" t="inlineStr">
        <is>
          <t>T8_27</t>
        </is>
      </c>
      <c r="C78" s="30" t="inlineStr">
        <is>
          <t>Ciencias de la Tierra</t>
        </is>
      </c>
      <c r="D78" s="30" t="inlineStr">
        <is>
          <t>Tiempo atmosférico y clima</t>
        </is>
      </c>
      <c r="E78" s="30">
        <f>IFERROR(MAX($L$3,INDEX($N$3:$V$3,MATCH(TRUE,INDEX(N78:V78&gt;0,0),0))),"—")</f>
        <v/>
      </c>
      <c r="F78" s="30">
        <f>IFERROR(MAX($L$3,INDEX($W$3:$AE$3,MATCH(TRUE,INDEX(W78:AE78&gt;0,0),0))),"—")</f>
        <v/>
      </c>
      <c r="G78" s="30">
        <f>IFERROR(MAX($L$3,INDEX($AF$3:$AN$3,MATCH(TRUE,INDEX(AF78:AN78&gt;0,0),0))),"—")</f>
        <v/>
      </c>
      <c r="H78" s="30">
        <f>IFERROR(MAX($L$3,INDEX($AO$3:$AW$3,MATCH(TRUE,INDEX(AO78:AW78&gt;0,0),0))),"—")</f>
        <v/>
      </c>
      <c r="I78" s="36">
        <f>IF(L78=0,"—",MEDIAN(F78:H78))</f>
        <v/>
      </c>
      <c r="J78" s="36">
        <f>IF(OR(E78="—",I78="—"),"—",E78-I78)</f>
        <v/>
      </c>
      <c r="K78" s="19">
        <f>IF(E78="—",IF(L78=0,"Nadie lo trabaja","El Salvador no llega"),IF(L78=0,"Solo El Salvador",IF(J78&gt;0,"El Salvador llega más tarde",IF(J78&lt;0,"El Salvador va adelantado","Mismo grado"))))</f>
        <v/>
      </c>
      <c r="L78" s="30">
        <f>COUNT(F78:H78)</f>
        <v/>
      </c>
      <c r="N78" s="11">
        <f>COUNTIFS('Datos - Temas'!$C$5:$C$1264,"Ciencias",'Datos - Temas'!$B$5:$B$1264,N$3,'Datos - Temas'!$K$5:$K$1264,$A78)+COUNTIFS('Datos - Temas'!$C$5:$C$1264,"Ciencias",'Datos - Temas'!$B$5:$B$1264,N$3,'Datos - Temas'!$L$5:$L$1264,$A78)</f>
        <v/>
      </c>
      <c r="O78" s="11">
        <f>COUNTIFS('Datos - Temas'!$C$5:$C$1264,"Ciencias",'Datos - Temas'!$B$5:$B$1264,O$3,'Datos - Temas'!$K$5:$K$1264,$A78)+COUNTIFS('Datos - Temas'!$C$5:$C$1264,"Ciencias",'Datos - Temas'!$B$5:$B$1264,O$3,'Datos - Temas'!$L$5:$L$1264,$A78)</f>
        <v/>
      </c>
      <c r="P78" s="11">
        <f>COUNTIFS('Datos - Temas'!$C$5:$C$1264,"Ciencias",'Datos - Temas'!$B$5:$B$1264,P$3,'Datos - Temas'!$K$5:$K$1264,$A78)+COUNTIFS('Datos - Temas'!$C$5:$C$1264,"Ciencias",'Datos - Temas'!$B$5:$B$1264,P$3,'Datos - Temas'!$L$5:$L$1264,$A78)</f>
        <v/>
      </c>
      <c r="Q78" s="11">
        <f>COUNTIFS('Datos - Temas'!$C$5:$C$1264,"Ciencias",'Datos - Temas'!$B$5:$B$1264,Q$3,'Datos - Temas'!$K$5:$K$1264,$A78)+COUNTIFS('Datos - Temas'!$C$5:$C$1264,"Ciencias",'Datos - Temas'!$B$5:$B$1264,Q$3,'Datos - Temas'!$L$5:$L$1264,$A78)</f>
        <v/>
      </c>
      <c r="R78" s="11">
        <f>COUNTIFS('Datos - Temas'!$C$5:$C$1264,"Ciencias",'Datos - Temas'!$B$5:$B$1264,R$3,'Datos - Temas'!$K$5:$K$1264,$A78)+COUNTIFS('Datos - Temas'!$C$5:$C$1264,"Ciencias",'Datos - Temas'!$B$5:$B$1264,R$3,'Datos - Temas'!$L$5:$L$1264,$A78)</f>
        <v/>
      </c>
      <c r="S78" s="11">
        <f>COUNTIFS('Datos - Temas'!$C$5:$C$1264,"Ciencias",'Datos - Temas'!$B$5:$B$1264,S$3,'Datos - Temas'!$K$5:$K$1264,$A78)+COUNTIFS('Datos - Temas'!$C$5:$C$1264,"Ciencias",'Datos - Temas'!$B$5:$B$1264,S$3,'Datos - Temas'!$L$5:$L$1264,$A78)</f>
        <v/>
      </c>
      <c r="T78" s="11">
        <f>COUNTIFS('Datos - Temas'!$C$5:$C$1264,"Ciencias",'Datos - Temas'!$B$5:$B$1264,T$3,'Datos - Temas'!$K$5:$K$1264,$A78)+COUNTIFS('Datos - Temas'!$C$5:$C$1264,"Ciencias",'Datos - Temas'!$B$5:$B$1264,T$3,'Datos - Temas'!$L$5:$L$1264,$A78)</f>
        <v/>
      </c>
      <c r="U78" s="11">
        <f>COUNTIFS('Datos - Temas'!$C$5:$C$1264,"Ciencias",'Datos - Temas'!$B$5:$B$1264,U$3,'Datos - Temas'!$K$5:$K$1264,$A78)+COUNTIFS('Datos - Temas'!$C$5:$C$1264,"Ciencias",'Datos - Temas'!$B$5:$B$1264,U$3,'Datos - Temas'!$L$5:$L$1264,$A78)</f>
        <v/>
      </c>
      <c r="V78" s="11">
        <f>COUNTIFS('Datos - Temas'!$C$5:$C$1264,"Ciencias",'Datos - Temas'!$B$5:$B$1264,V$3,'Datos - Temas'!$K$5:$K$1264,$A78)+COUNTIFS('Datos - Temas'!$C$5:$C$1264,"Ciencias",'Datos - Temas'!$B$5:$B$1264,V$3,'Datos - Temas'!$L$5:$L$1264,$A78)</f>
        <v/>
      </c>
      <c r="W78" s="11">
        <f>COUNTIFS('Datos - Objetivos de países'!$B$5:$B$510,"Uruguay",'Datos - Objetivos de países'!$F$5:$F$510,W$3,'Datos - Objetivos de países'!$J$5:$J$510,$A78)+COUNTIFS('Datos - Objetivos de países'!$B$5:$B$510,"Uruguay",'Datos - Objetivos de países'!$F$5:$F$510,W$3,'Datos - Objetivos de países'!$K$5:$K$510,$A78)</f>
        <v/>
      </c>
      <c r="X78" s="11">
        <f>COUNTIFS('Datos - Objetivos de países'!$B$5:$B$510,"Uruguay",'Datos - Objetivos de países'!$F$5:$F$510,X$3,'Datos - Objetivos de países'!$J$5:$J$510,$A78)+COUNTIFS('Datos - Objetivos de países'!$B$5:$B$510,"Uruguay",'Datos - Objetivos de países'!$F$5:$F$510,X$3,'Datos - Objetivos de países'!$K$5:$K$510,$A78)</f>
        <v/>
      </c>
      <c r="Y78" s="11">
        <f>COUNTIFS('Datos - Objetivos de países'!$B$5:$B$510,"Uruguay",'Datos - Objetivos de países'!$F$5:$F$510,Y$3,'Datos - Objetivos de países'!$J$5:$J$510,$A78)+COUNTIFS('Datos - Objetivos de países'!$B$5:$B$510,"Uruguay",'Datos - Objetivos de países'!$F$5:$F$510,Y$3,'Datos - Objetivos de países'!$K$5:$K$510,$A78)</f>
        <v/>
      </c>
      <c r="Z78" s="11">
        <f>COUNTIFS('Datos - Objetivos de países'!$B$5:$B$510,"Uruguay",'Datos - Objetivos de países'!$F$5:$F$510,Z$3,'Datos - Objetivos de países'!$J$5:$J$510,$A78)+COUNTIFS('Datos - Objetivos de países'!$B$5:$B$510,"Uruguay",'Datos - Objetivos de países'!$F$5:$F$510,Z$3,'Datos - Objetivos de países'!$K$5:$K$510,$A78)</f>
        <v/>
      </c>
      <c r="AA78" s="11">
        <f>COUNTIFS('Datos - Objetivos de países'!$B$5:$B$510,"Uruguay",'Datos - Objetivos de países'!$F$5:$F$510,AA$3,'Datos - Objetivos de países'!$J$5:$J$510,$A78)+COUNTIFS('Datos - Objetivos de países'!$B$5:$B$510,"Uruguay",'Datos - Objetivos de países'!$F$5:$F$510,AA$3,'Datos - Objetivos de países'!$K$5:$K$510,$A78)</f>
        <v/>
      </c>
      <c r="AB78" s="11">
        <f>COUNTIFS('Datos - Objetivos de países'!$B$5:$B$510,"Uruguay",'Datos - Objetivos de países'!$F$5:$F$510,AB$3,'Datos - Objetivos de países'!$J$5:$J$510,$A78)+COUNTIFS('Datos - Objetivos de países'!$B$5:$B$510,"Uruguay",'Datos - Objetivos de países'!$F$5:$F$510,AB$3,'Datos - Objetivos de países'!$K$5:$K$510,$A78)</f>
        <v/>
      </c>
      <c r="AC78" s="11">
        <f>COUNTIFS('Datos - Objetivos de países'!$B$5:$B$510,"Uruguay",'Datos - Objetivos de países'!$F$5:$F$510,AC$3,'Datos - Objetivos de países'!$J$5:$J$510,$A78)+COUNTIFS('Datos - Objetivos de países'!$B$5:$B$510,"Uruguay",'Datos - Objetivos de países'!$F$5:$F$510,AC$3,'Datos - Objetivos de países'!$K$5:$K$510,$A78)</f>
        <v/>
      </c>
      <c r="AD78" s="11">
        <f>COUNTIFS('Datos - Objetivos de países'!$B$5:$B$510,"Uruguay",'Datos - Objetivos de países'!$F$5:$F$510,AD$3,'Datos - Objetivos de países'!$J$5:$J$510,$A78)+COUNTIFS('Datos - Objetivos de países'!$B$5:$B$510,"Uruguay",'Datos - Objetivos de países'!$F$5:$F$510,AD$3,'Datos - Objetivos de países'!$K$5:$K$510,$A78)</f>
        <v/>
      </c>
      <c r="AE78" s="11">
        <f>COUNTIFS('Datos - Objetivos de países'!$B$5:$B$510,"Uruguay",'Datos - Objetivos de países'!$F$5:$F$510,AE$3,'Datos - Objetivos de países'!$J$5:$J$510,$A78)+COUNTIFS('Datos - Objetivos de países'!$B$5:$B$510,"Uruguay",'Datos - Objetivos de países'!$F$5:$F$510,AE$3,'Datos - Objetivos de países'!$K$5:$K$510,$A78)</f>
        <v/>
      </c>
      <c r="AF78" s="11">
        <f>COUNTIFS('Datos - Objetivos de países'!$B$5:$B$510,"Colombia",'Datos - Objetivos de países'!$F$5:$F$510,AF$3,'Datos - Objetivos de países'!$J$5:$J$510,$A78)+COUNTIFS('Datos - Objetivos de países'!$B$5:$B$510,"Colombia",'Datos - Objetivos de países'!$F$5:$F$510,AF$3,'Datos - Objetivos de países'!$K$5:$K$510,$A78)</f>
        <v/>
      </c>
      <c r="AG78" s="11">
        <f>COUNTIFS('Datos - Objetivos de países'!$B$5:$B$510,"Colombia",'Datos - Objetivos de países'!$F$5:$F$510,AG$3,'Datos - Objetivos de países'!$J$5:$J$510,$A78)+COUNTIFS('Datos - Objetivos de países'!$B$5:$B$510,"Colombia",'Datos - Objetivos de países'!$F$5:$F$510,AG$3,'Datos - Objetivos de países'!$K$5:$K$510,$A78)</f>
        <v/>
      </c>
      <c r="AH78" s="11">
        <f>COUNTIFS('Datos - Objetivos de países'!$B$5:$B$510,"Colombia",'Datos - Objetivos de países'!$F$5:$F$510,AH$3,'Datos - Objetivos de países'!$J$5:$J$510,$A78)+COUNTIFS('Datos - Objetivos de países'!$B$5:$B$510,"Colombia",'Datos - Objetivos de países'!$F$5:$F$510,AH$3,'Datos - Objetivos de países'!$K$5:$K$510,$A78)</f>
        <v/>
      </c>
      <c r="AI78" s="11">
        <f>COUNTIFS('Datos - Objetivos de países'!$B$5:$B$510,"Colombia",'Datos - Objetivos de países'!$F$5:$F$510,AI$3,'Datos - Objetivos de países'!$J$5:$J$510,$A78)+COUNTIFS('Datos - Objetivos de países'!$B$5:$B$510,"Colombia",'Datos - Objetivos de países'!$F$5:$F$510,AI$3,'Datos - Objetivos de países'!$K$5:$K$510,$A78)</f>
        <v/>
      </c>
      <c r="AJ78" s="11">
        <f>COUNTIFS('Datos - Objetivos de países'!$B$5:$B$510,"Colombia",'Datos - Objetivos de países'!$F$5:$F$510,AJ$3,'Datos - Objetivos de países'!$J$5:$J$510,$A78)+COUNTIFS('Datos - Objetivos de países'!$B$5:$B$510,"Colombia",'Datos - Objetivos de países'!$F$5:$F$510,AJ$3,'Datos - Objetivos de países'!$K$5:$K$510,$A78)</f>
        <v/>
      </c>
      <c r="AK78" s="11">
        <f>COUNTIFS('Datos - Objetivos de países'!$B$5:$B$510,"Colombia",'Datos - Objetivos de países'!$F$5:$F$510,AK$3,'Datos - Objetivos de países'!$J$5:$J$510,$A78)+COUNTIFS('Datos - Objetivos de países'!$B$5:$B$510,"Colombia",'Datos - Objetivos de países'!$F$5:$F$510,AK$3,'Datos - Objetivos de países'!$K$5:$K$510,$A78)</f>
        <v/>
      </c>
      <c r="AL78" s="11">
        <f>COUNTIFS('Datos - Objetivos de países'!$B$5:$B$510,"Colombia",'Datos - Objetivos de países'!$F$5:$F$510,AL$3,'Datos - Objetivos de países'!$J$5:$J$510,$A78)+COUNTIFS('Datos - Objetivos de países'!$B$5:$B$510,"Colombia",'Datos - Objetivos de países'!$F$5:$F$510,AL$3,'Datos - Objetivos de países'!$K$5:$K$510,$A78)</f>
        <v/>
      </c>
      <c r="AM78" s="11">
        <f>COUNTIFS('Datos - Objetivos de países'!$B$5:$B$510,"Colombia",'Datos - Objetivos de países'!$F$5:$F$510,AM$3,'Datos - Objetivos de países'!$J$5:$J$510,$A78)+COUNTIFS('Datos - Objetivos de países'!$B$5:$B$510,"Colombia",'Datos - Objetivos de países'!$F$5:$F$510,AM$3,'Datos - Objetivos de países'!$K$5:$K$510,$A78)</f>
        <v/>
      </c>
      <c r="AN78" s="11">
        <f>COUNTIFS('Datos - Objetivos de países'!$B$5:$B$510,"Colombia",'Datos - Objetivos de países'!$F$5:$F$510,AN$3,'Datos - Objetivos de países'!$J$5:$J$510,$A78)+COUNTIFS('Datos - Objetivos de países'!$B$5:$B$510,"Colombia",'Datos - Objetivos de países'!$F$5:$F$510,AN$3,'Datos - Objetivos de países'!$K$5:$K$510,$A78)</f>
        <v/>
      </c>
      <c r="AO78" s="11">
        <f>COUNTIFS('Datos - Objetivos de países'!$B$5:$B$510,"Singapur",'Datos - Objetivos de países'!$F$5:$F$510,AO$3,'Datos - Objetivos de países'!$J$5:$J$510,$A78)+COUNTIFS('Datos - Objetivos de países'!$B$5:$B$510,"Singapur",'Datos - Objetivos de países'!$F$5:$F$510,AO$3,'Datos - Objetivos de países'!$K$5:$K$510,$A78)</f>
        <v/>
      </c>
      <c r="AP78" s="11">
        <f>COUNTIFS('Datos - Objetivos de países'!$B$5:$B$510,"Singapur",'Datos - Objetivos de países'!$F$5:$F$510,AP$3,'Datos - Objetivos de países'!$J$5:$J$510,$A78)+COUNTIFS('Datos - Objetivos de países'!$B$5:$B$510,"Singapur",'Datos - Objetivos de países'!$F$5:$F$510,AP$3,'Datos - Objetivos de países'!$K$5:$K$510,$A78)</f>
        <v/>
      </c>
      <c r="AQ78" s="11">
        <f>COUNTIFS('Datos - Objetivos de países'!$B$5:$B$510,"Singapur",'Datos - Objetivos de países'!$F$5:$F$510,AQ$3,'Datos - Objetivos de países'!$J$5:$J$510,$A78)+COUNTIFS('Datos - Objetivos de países'!$B$5:$B$510,"Singapur",'Datos - Objetivos de países'!$F$5:$F$510,AQ$3,'Datos - Objetivos de países'!$K$5:$K$510,$A78)</f>
        <v/>
      </c>
      <c r="AR78" s="11">
        <f>COUNTIFS('Datos - Objetivos de países'!$B$5:$B$510,"Singapur",'Datos - Objetivos de países'!$F$5:$F$510,AR$3,'Datos - Objetivos de países'!$J$5:$J$510,$A78)+COUNTIFS('Datos - Objetivos de países'!$B$5:$B$510,"Singapur",'Datos - Objetivos de países'!$F$5:$F$510,AR$3,'Datos - Objetivos de países'!$K$5:$K$510,$A78)</f>
        <v/>
      </c>
      <c r="AS78" s="11">
        <f>COUNTIFS('Datos - Objetivos de países'!$B$5:$B$510,"Singapur",'Datos - Objetivos de países'!$F$5:$F$510,AS$3,'Datos - Objetivos de países'!$J$5:$J$510,$A78)+COUNTIFS('Datos - Objetivos de países'!$B$5:$B$510,"Singapur",'Datos - Objetivos de países'!$F$5:$F$510,AS$3,'Datos - Objetivos de países'!$K$5:$K$510,$A78)</f>
        <v/>
      </c>
      <c r="AT78" s="11">
        <f>COUNTIFS('Datos - Objetivos de países'!$B$5:$B$510,"Singapur",'Datos - Objetivos de países'!$F$5:$F$510,AT$3,'Datos - Objetivos de países'!$J$5:$J$510,$A78)+COUNTIFS('Datos - Objetivos de países'!$B$5:$B$510,"Singapur",'Datos - Objetivos de países'!$F$5:$F$510,AT$3,'Datos - Objetivos de países'!$K$5:$K$510,$A78)</f>
        <v/>
      </c>
      <c r="AU78" s="11">
        <f>COUNTIFS('Datos - Objetivos de países'!$B$5:$B$510,"Singapur",'Datos - Objetivos de países'!$F$5:$F$510,AU$3,'Datos - Objetivos de países'!$J$5:$J$510,$A78)+COUNTIFS('Datos - Objetivos de países'!$B$5:$B$510,"Singapur",'Datos - Objetivos de países'!$F$5:$F$510,AU$3,'Datos - Objetivos de países'!$K$5:$K$510,$A78)</f>
        <v/>
      </c>
      <c r="AV78" s="11">
        <f>COUNTIFS('Datos - Objetivos de países'!$B$5:$B$510,"Singapur",'Datos - Objetivos de países'!$F$5:$F$510,AV$3,'Datos - Objetivos de países'!$J$5:$J$510,$A78)+COUNTIFS('Datos - Objetivos de países'!$B$5:$B$510,"Singapur",'Datos - Objetivos de países'!$F$5:$F$510,AV$3,'Datos - Objetivos de países'!$K$5:$K$510,$A78)</f>
        <v/>
      </c>
      <c r="AW78" s="11">
        <f>COUNTIFS('Datos - Objetivos de países'!$B$5:$B$510,"Singapur",'Datos - Objetivos de países'!$F$5:$F$510,AW$3,'Datos - Objetivos de países'!$J$5:$J$510,$A78)+COUNTIFS('Datos - Objetivos de países'!$B$5:$B$510,"Singapur",'Datos - Objetivos de países'!$F$5:$F$510,AW$3,'Datos - Objetivos de países'!$K$5:$K$510,$A78)</f>
        <v/>
      </c>
    </row>
    <row r="79">
      <c r="A79" s="30" t="inlineStr">
        <is>
          <t>T8_27-E2.4</t>
        </is>
      </c>
      <c r="B79" s="30" t="inlineStr">
        <is>
          <t>T8_27</t>
        </is>
      </c>
      <c r="C79" s="30" t="inlineStr">
        <is>
          <t>Ciencias de la Tierra</t>
        </is>
      </c>
      <c r="D79" s="30" t="inlineStr">
        <is>
          <t>Cambio climático</t>
        </is>
      </c>
      <c r="E79" s="30">
        <f>IFERROR(MAX($L$3,INDEX($N$3:$V$3,MATCH(TRUE,INDEX(N79:V79&gt;0,0),0))),"—")</f>
        <v/>
      </c>
      <c r="F79" s="30">
        <f>IFERROR(MAX($L$3,INDEX($W$3:$AE$3,MATCH(TRUE,INDEX(W79:AE79&gt;0,0),0))),"—")</f>
        <v/>
      </c>
      <c r="G79" s="30">
        <f>IFERROR(MAX($L$3,INDEX($AF$3:$AN$3,MATCH(TRUE,INDEX(AF79:AN79&gt;0,0),0))),"—")</f>
        <v/>
      </c>
      <c r="H79" s="30">
        <f>IFERROR(MAX($L$3,INDEX($AO$3:$AW$3,MATCH(TRUE,INDEX(AO79:AW79&gt;0,0),0))),"—")</f>
        <v/>
      </c>
      <c r="I79" s="36">
        <f>IF(L79=0,"—",MEDIAN(F79:H79))</f>
        <v/>
      </c>
      <c r="J79" s="36">
        <f>IF(OR(E79="—",I79="—"),"—",E79-I79)</f>
        <v/>
      </c>
      <c r="K79" s="19">
        <f>IF(E79="—",IF(L79=0,"Nadie lo trabaja","El Salvador no llega"),IF(L79=0,"Solo El Salvador",IF(J79&gt;0,"El Salvador llega más tarde",IF(J79&lt;0,"El Salvador va adelantado","Mismo grado"))))</f>
        <v/>
      </c>
      <c r="L79" s="30">
        <f>COUNT(F79:H79)</f>
        <v/>
      </c>
      <c r="N79" s="11">
        <f>COUNTIFS('Datos - Temas'!$C$5:$C$1264,"Ciencias",'Datos - Temas'!$B$5:$B$1264,N$3,'Datos - Temas'!$K$5:$K$1264,$A79)+COUNTIFS('Datos - Temas'!$C$5:$C$1264,"Ciencias",'Datos - Temas'!$B$5:$B$1264,N$3,'Datos - Temas'!$L$5:$L$1264,$A79)</f>
        <v/>
      </c>
      <c r="O79" s="11">
        <f>COUNTIFS('Datos - Temas'!$C$5:$C$1264,"Ciencias",'Datos - Temas'!$B$5:$B$1264,O$3,'Datos - Temas'!$K$5:$K$1264,$A79)+COUNTIFS('Datos - Temas'!$C$5:$C$1264,"Ciencias",'Datos - Temas'!$B$5:$B$1264,O$3,'Datos - Temas'!$L$5:$L$1264,$A79)</f>
        <v/>
      </c>
      <c r="P79" s="11">
        <f>COUNTIFS('Datos - Temas'!$C$5:$C$1264,"Ciencias",'Datos - Temas'!$B$5:$B$1264,P$3,'Datos - Temas'!$K$5:$K$1264,$A79)+COUNTIFS('Datos - Temas'!$C$5:$C$1264,"Ciencias",'Datos - Temas'!$B$5:$B$1264,P$3,'Datos - Temas'!$L$5:$L$1264,$A79)</f>
        <v/>
      </c>
      <c r="Q79" s="11">
        <f>COUNTIFS('Datos - Temas'!$C$5:$C$1264,"Ciencias",'Datos - Temas'!$B$5:$B$1264,Q$3,'Datos - Temas'!$K$5:$K$1264,$A79)+COUNTIFS('Datos - Temas'!$C$5:$C$1264,"Ciencias",'Datos - Temas'!$B$5:$B$1264,Q$3,'Datos - Temas'!$L$5:$L$1264,$A79)</f>
        <v/>
      </c>
      <c r="R79" s="11">
        <f>COUNTIFS('Datos - Temas'!$C$5:$C$1264,"Ciencias",'Datos - Temas'!$B$5:$B$1264,R$3,'Datos - Temas'!$K$5:$K$1264,$A79)+COUNTIFS('Datos - Temas'!$C$5:$C$1264,"Ciencias",'Datos - Temas'!$B$5:$B$1264,R$3,'Datos - Temas'!$L$5:$L$1264,$A79)</f>
        <v/>
      </c>
      <c r="S79" s="11">
        <f>COUNTIFS('Datos - Temas'!$C$5:$C$1264,"Ciencias",'Datos - Temas'!$B$5:$B$1264,S$3,'Datos - Temas'!$K$5:$K$1264,$A79)+COUNTIFS('Datos - Temas'!$C$5:$C$1264,"Ciencias",'Datos - Temas'!$B$5:$B$1264,S$3,'Datos - Temas'!$L$5:$L$1264,$A79)</f>
        <v/>
      </c>
      <c r="T79" s="11">
        <f>COUNTIFS('Datos - Temas'!$C$5:$C$1264,"Ciencias",'Datos - Temas'!$B$5:$B$1264,T$3,'Datos - Temas'!$K$5:$K$1264,$A79)+COUNTIFS('Datos - Temas'!$C$5:$C$1264,"Ciencias",'Datos - Temas'!$B$5:$B$1264,T$3,'Datos - Temas'!$L$5:$L$1264,$A79)</f>
        <v/>
      </c>
      <c r="U79" s="11">
        <f>COUNTIFS('Datos - Temas'!$C$5:$C$1264,"Ciencias",'Datos - Temas'!$B$5:$B$1264,U$3,'Datos - Temas'!$K$5:$K$1264,$A79)+COUNTIFS('Datos - Temas'!$C$5:$C$1264,"Ciencias",'Datos - Temas'!$B$5:$B$1264,U$3,'Datos - Temas'!$L$5:$L$1264,$A79)</f>
        <v/>
      </c>
      <c r="V79" s="11">
        <f>COUNTIFS('Datos - Temas'!$C$5:$C$1264,"Ciencias",'Datos - Temas'!$B$5:$B$1264,V$3,'Datos - Temas'!$K$5:$K$1264,$A79)+COUNTIFS('Datos - Temas'!$C$5:$C$1264,"Ciencias",'Datos - Temas'!$B$5:$B$1264,V$3,'Datos - Temas'!$L$5:$L$1264,$A79)</f>
        <v/>
      </c>
      <c r="W79" s="11">
        <f>COUNTIFS('Datos - Objetivos de países'!$B$5:$B$510,"Uruguay",'Datos - Objetivos de países'!$F$5:$F$510,W$3,'Datos - Objetivos de países'!$J$5:$J$510,$A79)+COUNTIFS('Datos - Objetivos de países'!$B$5:$B$510,"Uruguay",'Datos - Objetivos de países'!$F$5:$F$510,W$3,'Datos - Objetivos de países'!$K$5:$K$510,$A79)</f>
        <v/>
      </c>
      <c r="X79" s="11">
        <f>COUNTIFS('Datos - Objetivos de países'!$B$5:$B$510,"Uruguay",'Datos - Objetivos de países'!$F$5:$F$510,X$3,'Datos - Objetivos de países'!$J$5:$J$510,$A79)+COUNTIFS('Datos - Objetivos de países'!$B$5:$B$510,"Uruguay",'Datos - Objetivos de países'!$F$5:$F$510,X$3,'Datos - Objetivos de países'!$K$5:$K$510,$A79)</f>
        <v/>
      </c>
      <c r="Y79" s="11">
        <f>COUNTIFS('Datos - Objetivos de países'!$B$5:$B$510,"Uruguay",'Datos - Objetivos de países'!$F$5:$F$510,Y$3,'Datos - Objetivos de países'!$J$5:$J$510,$A79)+COUNTIFS('Datos - Objetivos de países'!$B$5:$B$510,"Uruguay",'Datos - Objetivos de países'!$F$5:$F$510,Y$3,'Datos - Objetivos de países'!$K$5:$K$510,$A79)</f>
        <v/>
      </c>
      <c r="Z79" s="11">
        <f>COUNTIFS('Datos - Objetivos de países'!$B$5:$B$510,"Uruguay",'Datos - Objetivos de países'!$F$5:$F$510,Z$3,'Datos - Objetivos de países'!$J$5:$J$510,$A79)+COUNTIFS('Datos - Objetivos de países'!$B$5:$B$510,"Uruguay",'Datos - Objetivos de países'!$F$5:$F$510,Z$3,'Datos - Objetivos de países'!$K$5:$K$510,$A79)</f>
        <v/>
      </c>
      <c r="AA79" s="11">
        <f>COUNTIFS('Datos - Objetivos de países'!$B$5:$B$510,"Uruguay",'Datos - Objetivos de países'!$F$5:$F$510,AA$3,'Datos - Objetivos de países'!$J$5:$J$510,$A79)+COUNTIFS('Datos - Objetivos de países'!$B$5:$B$510,"Uruguay",'Datos - Objetivos de países'!$F$5:$F$510,AA$3,'Datos - Objetivos de países'!$K$5:$K$510,$A79)</f>
        <v/>
      </c>
      <c r="AB79" s="11">
        <f>COUNTIFS('Datos - Objetivos de países'!$B$5:$B$510,"Uruguay",'Datos - Objetivos de países'!$F$5:$F$510,AB$3,'Datos - Objetivos de países'!$J$5:$J$510,$A79)+COUNTIFS('Datos - Objetivos de países'!$B$5:$B$510,"Uruguay",'Datos - Objetivos de países'!$F$5:$F$510,AB$3,'Datos - Objetivos de países'!$K$5:$K$510,$A79)</f>
        <v/>
      </c>
      <c r="AC79" s="11">
        <f>COUNTIFS('Datos - Objetivos de países'!$B$5:$B$510,"Uruguay",'Datos - Objetivos de países'!$F$5:$F$510,AC$3,'Datos - Objetivos de países'!$J$5:$J$510,$A79)+COUNTIFS('Datos - Objetivos de países'!$B$5:$B$510,"Uruguay",'Datos - Objetivos de países'!$F$5:$F$510,AC$3,'Datos - Objetivos de países'!$K$5:$K$510,$A79)</f>
        <v/>
      </c>
      <c r="AD79" s="11">
        <f>COUNTIFS('Datos - Objetivos de países'!$B$5:$B$510,"Uruguay",'Datos - Objetivos de países'!$F$5:$F$510,AD$3,'Datos - Objetivos de países'!$J$5:$J$510,$A79)+COUNTIFS('Datos - Objetivos de países'!$B$5:$B$510,"Uruguay",'Datos - Objetivos de países'!$F$5:$F$510,AD$3,'Datos - Objetivos de países'!$K$5:$K$510,$A79)</f>
        <v/>
      </c>
      <c r="AE79" s="11">
        <f>COUNTIFS('Datos - Objetivos de países'!$B$5:$B$510,"Uruguay",'Datos - Objetivos de países'!$F$5:$F$510,AE$3,'Datos - Objetivos de países'!$J$5:$J$510,$A79)+COUNTIFS('Datos - Objetivos de países'!$B$5:$B$510,"Uruguay",'Datos - Objetivos de países'!$F$5:$F$510,AE$3,'Datos - Objetivos de países'!$K$5:$K$510,$A79)</f>
        <v/>
      </c>
      <c r="AF79" s="11">
        <f>COUNTIFS('Datos - Objetivos de países'!$B$5:$B$510,"Colombia",'Datos - Objetivos de países'!$F$5:$F$510,AF$3,'Datos - Objetivos de países'!$J$5:$J$510,$A79)+COUNTIFS('Datos - Objetivos de países'!$B$5:$B$510,"Colombia",'Datos - Objetivos de países'!$F$5:$F$510,AF$3,'Datos - Objetivos de países'!$K$5:$K$510,$A79)</f>
        <v/>
      </c>
      <c r="AG79" s="11">
        <f>COUNTIFS('Datos - Objetivos de países'!$B$5:$B$510,"Colombia",'Datos - Objetivos de países'!$F$5:$F$510,AG$3,'Datos - Objetivos de países'!$J$5:$J$510,$A79)+COUNTIFS('Datos - Objetivos de países'!$B$5:$B$510,"Colombia",'Datos - Objetivos de países'!$F$5:$F$510,AG$3,'Datos - Objetivos de países'!$K$5:$K$510,$A79)</f>
        <v/>
      </c>
      <c r="AH79" s="11">
        <f>COUNTIFS('Datos - Objetivos de países'!$B$5:$B$510,"Colombia",'Datos - Objetivos de países'!$F$5:$F$510,AH$3,'Datos - Objetivos de países'!$J$5:$J$510,$A79)+COUNTIFS('Datos - Objetivos de países'!$B$5:$B$510,"Colombia",'Datos - Objetivos de países'!$F$5:$F$510,AH$3,'Datos - Objetivos de países'!$K$5:$K$510,$A79)</f>
        <v/>
      </c>
      <c r="AI79" s="11">
        <f>COUNTIFS('Datos - Objetivos de países'!$B$5:$B$510,"Colombia",'Datos - Objetivos de países'!$F$5:$F$510,AI$3,'Datos - Objetivos de países'!$J$5:$J$510,$A79)+COUNTIFS('Datos - Objetivos de países'!$B$5:$B$510,"Colombia",'Datos - Objetivos de países'!$F$5:$F$510,AI$3,'Datos - Objetivos de países'!$K$5:$K$510,$A79)</f>
        <v/>
      </c>
      <c r="AJ79" s="11">
        <f>COUNTIFS('Datos - Objetivos de países'!$B$5:$B$510,"Colombia",'Datos - Objetivos de países'!$F$5:$F$510,AJ$3,'Datos - Objetivos de países'!$J$5:$J$510,$A79)+COUNTIFS('Datos - Objetivos de países'!$B$5:$B$510,"Colombia",'Datos - Objetivos de países'!$F$5:$F$510,AJ$3,'Datos - Objetivos de países'!$K$5:$K$510,$A79)</f>
        <v/>
      </c>
      <c r="AK79" s="11">
        <f>COUNTIFS('Datos - Objetivos de países'!$B$5:$B$510,"Colombia",'Datos - Objetivos de países'!$F$5:$F$510,AK$3,'Datos - Objetivos de países'!$J$5:$J$510,$A79)+COUNTIFS('Datos - Objetivos de países'!$B$5:$B$510,"Colombia",'Datos - Objetivos de países'!$F$5:$F$510,AK$3,'Datos - Objetivos de países'!$K$5:$K$510,$A79)</f>
        <v/>
      </c>
      <c r="AL79" s="11">
        <f>COUNTIFS('Datos - Objetivos de países'!$B$5:$B$510,"Colombia",'Datos - Objetivos de países'!$F$5:$F$510,AL$3,'Datos - Objetivos de países'!$J$5:$J$510,$A79)+COUNTIFS('Datos - Objetivos de países'!$B$5:$B$510,"Colombia",'Datos - Objetivos de países'!$F$5:$F$510,AL$3,'Datos - Objetivos de países'!$K$5:$K$510,$A79)</f>
        <v/>
      </c>
      <c r="AM79" s="11">
        <f>COUNTIFS('Datos - Objetivos de países'!$B$5:$B$510,"Colombia",'Datos - Objetivos de países'!$F$5:$F$510,AM$3,'Datos - Objetivos de países'!$J$5:$J$510,$A79)+COUNTIFS('Datos - Objetivos de países'!$B$5:$B$510,"Colombia",'Datos - Objetivos de países'!$F$5:$F$510,AM$3,'Datos - Objetivos de países'!$K$5:$K$510,$A79)</f>
        <v/>
      </c>
      <c r="AN79" s="11">
        <f>COUNTIFS('Datos - Objetivos de países'!$B$5:$B$510,"Colombia",'Datos - Objetivos de países'!$F$5:$F$510,AN$3,'Datos - Objetivos de países'!$J$5:$J$510,$A79)+COUNTIFS('Datos - Objetivos de países'!$B$5:$B$510,"Colombia",'Datos - Objetivos de países'!$F$5:$F$510,AN$3,'Datos - Objetivos de países'!$K$5:$K$510,$A79)</f>
        <v/>
      </c>
      <c r="AO79" s="11">
        <f>COUNTIFS('Datos - Objetivos de países'!$B$5:$B$510,"Singapur",'Datos - Objetivos de países'!$F$5:$F$510,AO$3,'Datos - Objetivos de países'!$J$5:$J$510,$A79)+COUNTIFS('Datos - Objetivos de países'!$B$5:$B$510,"Singapur",'Datos - Objetivos de países'!$F$5:$F$510,AO$3,'Datos - Objetivos de países'!$K$5:$K$510,$A79)</f>
        <v/>
      </c>
      <c r="AP79" s="11">
        <f>COUNTIFS('Datos - Objetivos de países'!$B$5:$B$510,"Singapur",'Datos - Objetivos de países'!$F$5:$F$510,AP$3,'Datos - Objetivos de países'!$J$5:$J$510,$A79)+COUNTIFS('Datos - Objetivos de países'!$B$5:$B$510,"Singapur",'Datos - Objetivos de países'!$F$5:$F$510,AP$3,'Datos - Objetivos de países'!$K$5:$K$510,$A79)</f>
        <v/>
      </c>
      <c r="AQ79" s="11">
        <f>COUNTIFS('Datos - Objetivos de países'!$B$5:$B$510,"Singapur",'Datos - Objetivos de países'!$F$5:$F$510,AQ$3,'Datos - Objetivos de países'!$J$5:$J$510,$A79)+COUNTIFS('Datos - Objetivos de países'!$B$5:$B$510,"Singapur",'Datos - Objetivos de países'!$F$5:$F$510,AQ$3,'Datos - Objetivos de países'!$K$5:$K$510,$A79)</f>
        <v/>
      </c>
      <c r="AR79" s="11">
        <f>COUNTIFS('Datos - Objetivos de países'!$B$5:$B$510,"Singapur",'Datos - Objetivos de países'!$F$5:$F$510,AR$3,'Datos - Objetivos de países'!$J$5:$J$510,$A79)+COUNTIFS('Datos - Objetivos de países'!$B$5:$B$510,"Singapur",'Datos - Objetivos de países'!$F$5:$F$510,AR$3,'Datos - Objetivos de países'!$K$5:$K$510,$A79)</f>
        <v/>
      </c>
      <c r="AS79" s="11">
        <f>COUNTIFS('Datos - Objetivos de países'!$B$5:$B$510,"Singapur",'Datos - Objetivos de países'!$F$5:$F$510,AS$3,'Datos - Objetivos de países'!$J$5:$J$510,$A79)+COUNTIFS('Datos - Objetivos de países'!$B$5:$B$510,"Singapur",'Datos - Objetivos de países'!$F$5:$F$510,AS$3,'Datos - Objetivos de países'!$K$5:$K$510,$A79)</f>
        <v/>
      </c>
      <c r="AT79" s="11">
        <f>COUNTIFS('Datos - Objetivos de países'!$B$5:$B$510,"Singapur",'Datos - Objetivos de países'!$F$5:$F$510,AT$3,'Datos - Objetivos de países'!$J$5:$J$510,$A79)+COUNTIFS('Datos - Objetivos de países'!$B$5:$B$510,"Singapur",'Datos - Objetivos de países'!$F$5:$F$510,AT$3,'Datos - Objetivos de países'!$K$5:$K$510,$A79)</f>
        <v/>
      </c>
      <c r="AU79" s="11">
        <f>COUNTIFS('Datos - Objetivos de países'!$B$5:$B$510,"Singapur",'Datos - Objetivos de países'!$F$5:$F$510,AU$3,'Datos - Objetivos de países'!$J$5:$J$510,$A79)+COUNTIFS('Datos - Objetivos de países'!$B$5:$B$510,"Singapur",'Datos - Objetivos de países'!$F$5:$F$510,AU$3,'Datos - Objetivos de países'!$K$5:$K$510,$A79)</f>
        <v/>
      </c>
      <c r="AV79" s="11">
        <f>COUNTIFS('Datos - Objetivos de países'!$B$5:$B$510,"Singapur",'Datos - Objetivos de países'!$F$5:$F$510,AV$3,'Datos - Objetivos de países'!$J$5:$J$510,$A79)+COUNTIFS('Datos - Objetivos de países'!$B$5:$B$510,"Singapur",'Datos - Objetivos de países'!$F$5:$F$510,AV$3,'Datos - Objetivos de países'!$K$5:$K$510,$A79)</f>
        <v/>
      </c>
      <c r="AW79" s="11">
        <f>COUNTIFS('Datos - Objetivos de países'!$B$5:$B$510,"Singapur",'Datos - Objetivos de países'!$F$5:$F$510,AW$3,'Datos - Objetivos de países'!$J$5:$J$510,$A79)+COUNTIFS('Datos - Objetivos de países'!$B$5:$B$510,"Singapur",'Datos - Objetivos de países'!$F$5:$F$510,AW$3,'Datos - Objetivos de países'!$K$5:$K$510,$A79)</f>
        <v/>
      </c>
    </row>
    <row r="80">
      <c r="A80" s="30" t="inlineStr">
        <is>
          <t>T8_27-E3.1</t>
        </is>
      </c>
      <c r="B80" s="30" t="inlineStr">
        <is>
          <t>T8_27</t>
        </is>
      </c>
      <c r="C80" s="30" t="inlineStr">
        <is>
          <t>Ciencias de la Tierra</t>
        </is>
      </c>
      <c r="D80" s="30" t="inlineStr">
        <is>
          <t>Fuentes de energía</t>
        </is>
      </c>
      <c r="E80" s="30">
        <f>IFERROR(MAX($L$3,INDEX($N$3:$V$3,MATCH(TRUE,INDEX(N80:V80&gt;0,0),0))),"—")</f>
        <v/>
      </c>
      <c r="F80" s="30">
        <f>IFERROR(MAX($L$3,INDEX($W$3:$AE$3,MATCH(TRUE,INDEX(W80:AE80&gt;0,0),0))),"—")</f>
        <v/>
      </c>
      <c r="G80" s="30">
        <f>IFERROR(MAX($L$3,INDEX($AF$3:$AN$3,MATCH(TRUE,INDEX(AF80:AN80&gt;0,0),0))),"—")</f>
        <v/>
      </c>
      <c r="H80" s="30">
        <f>IFERROR(MAX($L$3,INDEX($AO$3:$AW$3,MATCH(TRUE,INDEX(AO80:AW80&gt;0,0),0))),"—")</f>
        <v/>
      </c>
      <c r="I80" s="36">
        <f>IF(L80=0,"—",MEDIAN(F80:H80))</f>
        <v/>
      </c>
      <c r="J80" s="36">
        <f>IF(OR(E80="—",I80="—"),"—",E80-I80)</f>
        <v/>
      </c>
      <c r="K80" s="19">
        <f>IF(E80="—",IF(L80=0,"Nadie lo trabaja","El Salvador no llega"),IF(L80=0,"Solo El Salvador",IF(J80&gt;0,"El Salvador llega más tarde",IF(J80&lt;0,"El Salvador va adelantado","Mismo grado"))))</f>
        <v/>
      </c>
      <c r="L80" s="30">
        <f>COUNT(F80:H80)</f>
        <v/>
      </c>
      <c r="N80" s="11">
        <f>COUNTIFS('Datos - Temas'!$C$5:$C$1264,"Ciencias",'Datos - Temas'!$B$5:$B$1264,N$3,'Datos - Temas'!$K$5:$K$1264,$A80)+COUNTIFS('Datos - Temas'!$C$5:$C$1264,"Ciencias",'Datos - Temas'!$B$5:$B$1264,N$3,'Datos - Temas'!$L$5:$L$1264,$A80)</f>
        <v/>
      </c>
      <c r="O80" s="11">
        <f>COUNTIFS('Datos - Temas'!$C$5:$C$1264,"Ciencias",'Datos - Temas'!$B$5:$B$1264,O$3,'Datos - Temas'!$K$5:$K$1264,$A80)+COUNTIFS('Datos - Temas'!$C$5:$C$1264,"Ciencias",'Datos - Temas'!$B$5:$B$1264,O$3,'Datos - Temas'!$L$5:$L$1264,$A80)</f>
        <v/>
      </c>
      <c r="P80" s="11">
        <f>COUNTIFS('Datos - Temas'!$C$5:$C$1264,"Ciencias",'Datos - Temas'!$B$5:$B$1264,P$3,'Datos - Temas'!$K$5:$K$1264,$A80)+COUNTIFS('Datos - Temas'!$C$5:$C$1264,"Ciencias",'Datos - Temas'!$B$5:$B$1264,P$3,'Datos - Temas'!$L$5:$L$1264,$A80)</f>
        <v/>
      </c>
      <c r="Q80" s="11">
        <f>COUNTIFS('Datos - Temas'!$C$5:$C$1264,"Ciencias",'Datos - Temas'!$B$5:$B$1264,Q$3,'Datos - Temas'!$K$5:$K$1264,$A80)+COUNTIFS('Datos - Temas'!$C$5:$C$1264,"Ciencias",'Datos - Temas'!$B$5:$B$1264,Q$3,'Datos - Temas'!$L$5:$L$1264,$A80)</f>
        <v/>
      </c>
      <c r="R80" s="11">
        <f>COUNTIFS('Datos - Temas'!$C$5:$C$1264,"Ciencias",'Datos - Temas'!$B$5:$B$1264,R$3,'Datos - Temas'!$K$5:$K$1264,$A80)+COUNTIFS('Datos - Temas'!$C$5:$C$1264,"Ciencias",'Datos - Temas'!$B$5:$B$1264,R$3,'Datos - Temas'!$L$5:$L$1264,$A80)</f>
        <v/>
      </c>
      <c r="S80" s="11">
        <f>COUNTIFS('Datos - Temas'!$C$5:$C$1264,"Ciencias",'Datos - Temas'!$B$5:$B$1264,S$3,'Datos - Temas'!$K$5:$K$1264,$A80)+COUNTIFS('Datos - Temas'!$C$5:$C$1264,"Ciencias",'Datos - Temas'!$B$5:$B$1264,S$3,'Datos - Temas'!$L$5:$L$1264,$A80)</f>
        <v/>
      </c>
      <c r="T80" s="11">
        <f>COUNTIFS('Datos - Temas'!$C$5:$C$1264,"Ciencias",'Datos - Temas'!$B$5:$B$1264,T$3,'Datos - Temas'!$K$5:$K$1264,$A80)+COUNTIFS('Datos - Temas'!$C$5:$C$1264,"Ciencias",'Datos - Temas'!$B$5:$B$1264,T$3,'Datos - Temas'!$L$5:$L$1264,$A80)</f>
        <v/>
      </c>
      <c r="U80" s="11">
        <f>COUNTIFS('Datos - Temas'!$C$5:$C$1264,"Ciencias",'Datos - Temas'!$B$5:$B$1264,U$3,'Datos - Temas'!$K$5:$K$1264,$A80)+COUNTIFS('Datos - Temas'!$C$5:$C$1264,"Ciencias",'Datos - Temas'!$B$5:$B$1264,U$3,'Datos - Temas'!$L$5:$L$1264,$A80)</f>
        <v/>
      </c>
      <c r="V80" s="11">
        <f>COUNTIFS('Datos - Temas'!$C$5:$C$1264,"Ciencias",'Datos - Temas'!$B$5:$B$1264,V$3,'Datos - Temas'!$K$5:$K$1264,$A80)+COUNTIFS('Datos - Temas'!$C$5:$C$1264,"Ciencias",'Datos - Temas'!$B$5:$B$1264,V$3,'Datos - Temas'!$L$5:$L$1264,$A80)</f>
        <v/>
      </c>
      <c r="W80" s="11">
        <f>COUNTIFS('Datos - Objetivos de países'!$B$5:$B$510,"Uruguay",'Datos - Objetivos de países'!$F$5:$F$510,W$3,'Datos - Objetivos de países'!$J$5:$J$510,$A80)+COUNTIFS('Datos - Objetivos de países'!$B$5:$B$510,"Uruguay",'Datos - Objetivos de países'!$F$5:$F$510,W$3,'Datos - Objetivos de países'!$K$5:$K$510,$A80)</f>
        <v/>
      </c>
      <c r="X80" s="11">
        <f>COUNTIFS('Datos - Objetivos de países'!$B$5:$B$510,"Uruguay",'Datos - Objetivos de países'!$F$5:$F$510,X$3,'Datos - Objetivos de países'!$J$5:$J$510,$A80)+COUNTIFS('Datos - Objetivos de países'!$B$5:$B$510,"Uruguay",'Datos - Objetivos de países'!$F$5:$F$510,X$3,'Datos - Objetivos de países'!$K$5:$K$510,$A80)</f>
        <v/>
      </c>
      <c r="Y80" s="11">
        <f>COUNTIFS('Datos - Objetivos de países'!$B$5:$B$510,"Uruguay",'Datos - Objetivos de países'!$F$5:$F$510,Y$3,'Datos - Objetivos de países'!$J$5:$J$510,$A80)+COUNTIFS('Datos - Objetivos de países'!$B$5:$B$510,"Uruguay",'Datos - Objetivos de países'!$F$5:$F$510,Y$3,'Datos - Objetivos de países'!$K$5:$K$510,$A80)</f>
        <v/>
      </c>
      <c r="Z80" s="11">
        <f>COUNTIFS('Datos - Objetivos de países'!$B$5:$B$510,"Uruguay",'Datos - Objetivos de países'!$F$5:$F$510,Z$3,'Datos - Objetivos de países'!$J$5:$J$510,$A80)+COUNTIFS('Datos - Objetivos de países'!$B$5:$B$510,"Uruguay",'Datos - Objetivos de países'!$F$5:$F$510,Z$3,'Datos - Objetivos de países'!$K$5:$K$510,$A80)</f>
        <v/>
      </c>
      <c r="AA80" s="11">
        <f>COUNTIFS('Datos - Objetivos de países'!$B$5:$B$510,"Uruguay",'Datos - Objetivos de países'!$F$5:$F$510,AA$3,'Datos - Objetivos de países'!$J$5:$J$510,$A80)+COUNTIFS('Datos - Objetivos de países'!$B$5:$B$510,"Uruguay",'Datos - Objetivos de países'!$F$5:$F$510,AA$3,'Datos - Objetivos de países'!$K$5:$K$510,$A80)</f>
        <v/>
      </c>
      <c r="AB80" s="11">
        <f>COUNTIFS('Datos - Objetivos de países'!$B$5:$B$510,"Uruguay",'Datos - Objetivos de países'!$F$5:$F$510,AB$3,'Datos - Objetivos de países'!$J$5:$J$510,$A80)+COUNTIFS('Datos - Objetivos de países'!$B$5:$B$510,"Uruguay",'Datos - Objetivos de países'!$F$5:$F$510,AB$3,'Datos - Objetivos de países'!$K$5:$K$510,$A80)</f>
        <v/>
      </c>
      <c r="AC80" s="11">
        <f>COUNTIFS('Datos - Objetivos de países'!$B$5:$B$510,"Uruguay",'Datos - Objetivos de países'!$F$5:$F$510,AC$3,'Datos - Objetivos de países'!$J$5:$J$510,$A80)+COUNTIFS('Datos - Objetivos de países'!$B$5:$B$510,"Uruguay",'Datos - Objetivos de países'!$F$5:$F$510,AC$3,'Datos - Objetivos de países'!$K$5:$K$510,$A80)</f>
        <v/>
      </c>
      <c r="AD80" s="11">
        <f>COUNTIFS('Datos - Objetivos de países'!$B$5:$B$510,"Uruguay",'Datos - Objetivos de países'!$F$5:$F$510,AD$3,'Datos - Objetivos de países'!$J$5:$J$510,$A80)+COUNTIFS('Datos - Objetivos de países'!$B$5:$B$510,"Uruguay",'Datos - Objetivos de países'!$F$5:$F$510,AD$3,'Datos - Objetivos de países'!$K$5:$K$510,$A80)</f>
        <v/>
      </c>
      <c r="AE80" s="11">
        <f>COUNTIFS('Datos - Objetivos de países'!$B$5:$B$510,"Uruguay",'Datos - Objetivos de países'!$F$5:$F$510,AE$3,'Datos - Objetivos de países'!$J$5:$J$510,$A80)+COUNTIFS('Datos - Objetivos de países'!$B$5:$B$510,"Uruguay",'Datos - Objetivos de países'!$F$5:$F$510,AE$3,'Datos - Objetivos de países'!$K$5:$K$510,$A80)</f>
        <v/>
      </c>
      <c r="AF80" s="11">
        <f>COUNTIFS('Datos - Objetivos de países'!$B$5:$B$510,"Colombia",'Datos - Objetivos de países'!$F$5:$F$510,AF$3,'Datos - Objetivos de países'!$J$5:$J$510,$A80)+COUNTIFS('Datos - Objetivos de países'!$B$5:$B$510,"Colombia",'Datos - Objetivos de países'!$F$5:$F$510,AF$3,'Datos - Objetivos de países'!$K$5:$K$510,$A80)</f>
        <v/>
      </c>
      <c r="AG80" s="11">
        <f>COUNTIFS('Datos - Objetivos de países'!$B$5:$B$510,"Colombia",'Datos - Objetivos de países'!$F$5:$F$510,AG$3,'Datos - Objetivos de países'!$J$5:$J$510,$A80)+COUNTIFS('Datos - Objetivos de países'!$B$5:$B$510,"Colombia",'Datos - Objetivos de países'!$F$5:$F$510,AG$3,'Datos - Objetivos de países'!$K$5:$K$510,$A80)</f>
        <v/>
      </c>
      <c r="AH80" s="11">
        <f>COUNTIFS('Datos - Objetivos de países'!$B$5:$B$510,"Colombia",'Datos - Objetivos de países'!$F$5:$F$510,AH$3,'Datos - Objetivos de países'!$J$5:$J$510,$A80)+COUNTIFS('Datos - Objetivos de países'!$B$5:$B$510,"Colombia",'Datos - Objetivos de países'!$F$5:$F$510,AH$3,'Datos - Objetivos de países'!$K$5:$K$510,$A80)</f>
        <v/>
      </c>
      <c r="AI80" s="11">
        <f>COUNTIFS('Datos - Objetivos de países'!$B$5:$B$510,"Colombia",'Datos - Objetivos de países'!$F$5:$F$510,AI$3,'Datos - Objetivos de países'!$J$5:$J$510,$A80)+COUNTIFS('Datos - Objetivos de países'!$B$5:$B$510,"Colombia",'Datos - Objetivos de países'!$F$5:$F$510,AI$3,'Datos - Objetivos de países'!$K$5:$K$510,$A80)</f>
        <v/>
      </c>
      <c r="AJ80" s="11">
        <f>COUNTIFS('Datos - Objetivos de países'!$B$5:$B$510,"Colombia",'Datos - Objetivos de países'!$F$5:$F$510,AJ$3,'Datos - Objetivos de países'!$J$5:$J$510,$A80)+COUNTIFS('Datos - Objetivos de países'!$B$5:$B$510,"Colombia",'Datos - Objetivos de países'!$F$5:$F$510,AJ$3,'Datos - Objetivos de países'!$K$5:$K$510,$A80)</f>
        <v/>
      </c>
      <c r="AK80" s="11">
        <f>COUNTIFS('Datos - Objetivos de países'!$B$5:$B$510,"Colombia",'Datos - Objetivos de países'!$F$5:$F$510,AK$3,'Datos - Objetivos de países'!$J$5:$J$510,$A80)+COUNTIFS('Datos - Objetivos de países'!$B$5:$B$510,"Colombia",'Datos - Objetivos de países'!$F$5:$F$510,AK$3,'Datos - Objetivos de países'!$K$5:$K$510,$A80)</f>
        <v/>
      </c>
      <c r="AL80" s="11">
        <f>COUNTIFS('Datos - Objetivos de países'!$B$5:$B$510,"Colombia",'Datos - Objetivos de países'!$F$5:$F$510,AL$3,'Datos - Objetivos de países'!$J$5:$J$510,$A80)+COUNTIFS('Datos - Objetivos de países'!$B$5:$B$510,"Colombia",'Datos - Objetivos de países'!$F$5:$F$510,AL$3,'Datos - Objetivos de países'!$K$5:$K$510,$A80)</f>
        <v/>
      </c>
      <c r="AM80" s="11">
        <f>COUNTIFS('Datos - Objetivos de países'!$B$5:$B$510,"Colombia",'Datos - Objetivos de países'!$F$5:$F$510,AM$3,'Datos - Objetivos de países'!$J$5:$J$510,$A80)+COUNTIFS('Datos - Objetivos de países'!$B$5:$B$510,"Colombia",'Datos - Objetivos de países'!$F$5:$F$510,AM$3,'Datos - Objetivos de países'!$K$5:$K$510,$A80)</f>
        <v/>
      </c>
      <c r="AN80" s="11">
        <f>COUNTIFS('Datos - Objetivos de países'!$B$5:$B$510,"Colombia",'Datos - Objetivos de países'!$F$5:$F$510,AN$3,'Datos - Objetivos de países'!$J$5:$J$510,$A80)+COUNTIFS('Datos - Objetivos de países'!$B$5:$B$510,"Colombia",'Datos - Objetivos de países'!$F$5:$F$510,AN$3,'Datos - Objetivos de países'!$K$5:$K$510,$A80)</f>
        <v/>
      </c>
      <c r="AO80" s="11">
        <f>COUNTIFS('Datos - Objetivos de países'!$B$5:$B$510,"Singapur",'Datos - Objetivos de países'!$F$5:$F$510,AO$3,'Datos - Objetivos de países'!$J$5:$J$510,$A80)+COUNTIFS('Datos - Objetivos de países'!$B$5:$B$510,"Singapur",'Datos - Objetivos de países'!$F$5:$F$510,AO$3,'Datos - Objetivos de países'!$K$5:$K$510,$A80)</f>
        <v/>
      </c>
      <c r="AP80" s="11">
        <f>COUNTIFS('Datos - Objetivos de países'!$B$5:$B$510,"Singapur",'Datos - Objetivos de países'!$F$5:$F$510,AP$3,'Datos - Objetivos de países'!$J$5:$J$510,$A80)+COUNTIFS('Datos - Objetivos de países'!$B$5:$B$510,"Singapur",'Datos - Objetivos de países'!$F$5:$F$510,AP$3,'Datos - Objetivos de países'!$K$5:$K$510,$A80)</f>
        <v/>
      </c>
      <c r="AQ80" s="11">
        <f>COUNTIFS('Datos - Objetivos de países'!$B$5:$B$510,"Singapur",'Datos - Objetivos de países'!$F$5:$F$510,AQ$3,'Datos - Objetivos de países'!$J$5:$J$510,$A80)+COUNTIFS('Datos - Objetivos de países'!$B$5:$B$510,"Singapur",'Datos - Objetivos de países'!$F$5:$F$510,AQ$3,'Datos - Objetivos de países'!$K$5:$K$510,$A80)</f>
        <v/>
      </c>
      <c r="AR80" s="11">
        <f>COUNTIFS('Datos - Objetivos de países'!$B$5:$B$510,"Singapur",'Datos - Objetivos de países'!$F$5:$F$510,AR$3,'Datos - Objetivos de países'!$J$5:$J$510,$A80)+COUNTIFS('Datos - Objetivos de países'!$B$5:$B$510,"Singapur",'Datos - Objetivos de países'!$F$5:$F$510,AR$3,'Datos - Objetivos de países'!$K$5:$K$510,$A80)</f>
        <v/>
      </c>
      <c r="AS80" s="11">
        <f>COUNTIFS('Datos - Objetivos de países'!$B$5:$B$510,"Singapur",'Datos - Objetivos de países'!$F$5:$F$510,AS$3,'Datos - Objetivos de países'!$J$5:$J$510,$A80)+COUNTIFS('Datos - Objetivos de países'!$B$5:$B$510,"Singapur",'Datos - Objetivos de países'!$F$5:$F$510,AS$3,'Datos - Objetivos de países'!$K$5:$K$510,$A80)</f>
        <v/>
      </c>
      <c r="AT80" s="11">
        <f>COUNTIFS('Datos - Objetivos de países'!$B$5:$B$510,"Singapur",'Datos - Objetivos de países'!$F$5:$F$510,AT$3,'Datos - Objetivos de países'!$J$5:$J$510,$A80)+COUNTIFS('Datos - Objetivos de países'!$B$5:$B$510,"Singapur",'Datos - Objetivos de países'!$F$5:$F$510,AT$3,'Datos - Objetivos de países'!$K$5:$K$510,$A80)</f>
        <v/>
      </c>
      <c r="AU80" s="11">
        <f>COUNTIFS('Datos - Objetivos de países'!$B$5:$B$510,"Singapur",'Datos - Objetivos de países'!$F$5:$F$510,AU$3,'Datos - Objetivos de países'!$J$5:$J$510,$A80)+COUNTIFS('Datos - Objetivos de países'!$B$5:$B$510,"Singapur",'Datos - Objetivos de países'!$F$5:$F$510,AU$3,'Datos - Objetivos de países'!$K$5:$K$510,$A80)</f>
        <v/>
      </c>
      <c r="AV80" s="11">
        <f>COUNTIFS('Datos - Objetivos de países'!$B$5:$B$510,"Singapur",'Datos - Objetivos de países'!$F$5:$F$510,AV$3,'Datos - Objetivos de países'!$J$5:$J$510,$A80)+COUNTIFS('Datos - Objetivos de países'!$B$5:$B$510,"Singapur",'Datos - Objetivos de países'!$F$5:$F$510,AV$3,'Datos - Objetivos de países'!$K$5:$K$510,$A80)</f>
        <v/>
      </c>
      <c r="AW80" s="11">
        <f>COUNTIFS('Datos - Objetivos de países'!$B$5:$B$510,"Singapur",'Datos - Objetivos de países'!$F$5:$F$510,AW$3,'Datos - Objetivos de países'!$J$5:$J$510,$A80)+COUNTIFS('Datos - Objetivos de países'!$B$5:$B$510,"Singapur",'Datos - Objetivos de países'!$F$5:$F$510,AW$3,'Datos - Objetivos de países'!$K$5:$K$510,$A80)</f>
        <v/>
      </c>
    </row>
    <row r="81">
      <c r="A81" s="30" t="inlineStr">
        <is>
          <t>T8_27-E3.2</t>
        </is>
      </c>
      <c r="B81" s="30" t="inlineStr">
        <is>
          <t>T8_27</t>
        </is>
      </c>
      <c r="C81" s="30" t="inlineStr">
        <is>
          <t>Ciencias de la Tierra</t>
        </is>
      </c>
      <c r="D81" s="30" t="inlineStr">
        <is>
          <t>Gestión de los recursos de la Tierra</t>
        </is>
      </c>
      <c r="E81" s="30">
        <f>IFERROR(MAX($L$3,INDEX($N$3:$V$3,MATCH(TRUE,INDEX(N81:V81&gt;0,0),0))),"—")</f>
        <v/>
      </c>
      <c r="F81" s="30">
        <f>IFERROR(MAX($L$3,INDEX($W$3:$AE$3,MATCH(TRUE,INDEX(W81:AE81&gt;0,0),0))),"—")</f>
        <v/>
      </c>
      <c r="G81" s="30">
        <f>IFERROR(MAX($L$3,INDEX($AF$3:$AN$3,MATCH(TRUE,INDEX(AF81:AN81&gt;0,0),0))),"—")</f>
        <v/>
      </c>
      <c r="H81" s="30">
        <f>IFERROR(MAX($L$3,INDEX($AO$3:$AW$3,MATCH(TRUE,INDEX(AO81:AW81&gt;0,0),0))),"—")</f>
        <v/>
      </c>
      <c r="I81" s="36">
        <f>IF(L81=0,"—",MEDIAN(F81:H81))</f>
        <v/>
      </c>
      <c r="J81" s="36">
        <f>IF(OR(E81="—",I81="—"),"—",E81-I81)</f>
        <v/>
      </c>
      <c r="K81" s="19">
        <f>IF(E81="—",IF(L81=0,"Nadie lo trabaja","El Salvador no llega"),IF(L81=0,"Solo El Salvador",IF(J81&gt;0,"El Salvador llega más tarde",IF(J81&lt;0,"El Salvador va adelantado","Mismo grado"))))</f>
        <v/>
      </c>
      <c r="L81" s="30">
        <f>COUNT(F81:H81)</f>
        <v/>
      </c>
      <c r="N81" s="11">
        <f>COUNTIFS('Datos - Temas'!$C$5:$C$1264,"Ciencias",'Datos - Temas'!$B$5:$B$1264,N$3,'Datos - Temas'!$K$5:$K$1264,$A81)+COUNTIFS('Datos - Temas'!$C$5:$C$1264,"Ciencias",'Datos - Temas'!$B$5:$B$1264,N$3,'Datos - Temas'!$L$5:$L$1264,$A81)</f>
        <v/>
      </c>
      <c r="O81" s="11">
        <f>COUNTIFS('Datos - Temas'!$C$5:$C$1264,"Ciencias",'Datos - Temas'!$B$5:$B$1264,O$3,'Datos - Temas'!$K$5:$K$1264,$A81)+COUNTIFS('Datos - Temas'!$C$5:$C$1264,"Ciencias",'Datos - Temas'!$B$5:$B$1264,O$3,'Datos - Temas'!$L$5:$L$1264,$A81)</f>
        <v/>
      </c>
      <c r="P81" s="11">
        <f>COUNTIFS('Datos - Temas'!$C$5:$C$1264,"Ciencias",'Datos - Temas'!$B$5:$B$1264,P$3,'Datos - Temas'!$K$5:$K$1264,$A81)+COUNTIFS('Datos - Temas'!$C$5:$C$1264,"Ciencias",'Datos - Temas'!$B$5:$B$1264,P$3,'Datos - Temas'!$L$5:$L$1264,$A81)</f>
        <v/>
      </c>
      <c r="Q81" s="11">
        <f>COUNTIFS('Datos - Temas'!$C$5:$C$1264,"Ciencias",'Datos - Temas'!$B$5:$B$1264,Q$3,'Datos - Temas'!$K$5:$K$1264,$A81)+COUNTIFS('Datos - Temas'!$C$5:$C$1264,"Ciencias",'Datos - Temas'!$B$5:$B$1264,Q$3,'Datos - Temas'!$L$5:$L$1264,$A81)</f>
        <v/>
      </c>
      <c r="R81" s="11">
        <f>COUNTIFS('Datos - Temas'!$C$5:$C$1264,"Ciencias",'Datos - Temas'!$B$5:$B$1264,R$3,'Datos - Temas'!$K$5:$K$1264,$A81)+COUNTIFS('Datos - Temas'!$C$5:$C$1264,"Ciencias",'Datos - Temas'!$B$5:$B$1264,R$3,'Datos - Temas'!$L$5:$L$1264,$A81)</f>
        <v/>
      </c>
      <c r="S81" s="11">
        <f>COUNTIFS('Datos - Temas'!$C$5:$C$1264,"Ciencias",'Datos - Temas'!$B$5:$B$1264,S$3,'Datos - Temas'!$K$5:$K$1264,$A81)+COUNTIFS('Datos - Temas'!$C$5:$C$1264,"Ciencias",'Datos - Temas'!$B$5:$B$1264,S$3,'Datos - Temas'!$L$5:$L$1264,$A81)</f>
        <v/>
      </c>
      <c r="T81" s="11">
        <f>COUNTIFS('Datos - Temas'!$C$5:$C$1264,"Ciencias",'Datos - Temas'!$B$5:$B$1264,T$3,'Datos - Temas'!$K$5:$K$1264,$A81)+COUNTIFS('Datos - Temas'!$C$5:$C$1264,"Ciencias",'Datos - Temas'!$B$5:$B$1264,T$3,'Datos - Temas'!$L$5:$L$1264,$A81)</f>
        <v/>
      </c>
      <c r="U81" s="11">
        <f>COUNTIFS('Datos - Temas'!$C$5:$C$1264,"Ciencias",'Datos - Temas'!$B$5:$B$1264,U$3,'Datos - Temas'!$K$5:$K$1264,$A81)+COUNTIFS('Datos - Temas'!$C$5:$C$1264,"Ciencias",'Datos - Temas'!$B$5:$B$1264,U$3,'Datos - Temas'!$L$5:$L$1264,$A81)</f>
        <v/>
      </c>
      <c r="V81" s="11">
        <f>COUNTIFS('Datos - Temas'!$C$5:$C$1264,"Ciencias",'Datos - Temas'!$B$5:$B$1264,V$3,'Datos - Temas'!$K$5:$K$1264,$A81)+COUNTIFS('Datos - Temas'!$C$5:$C$1264,"Ciencias",'Datos - Temas'!$B$5:$B$1264,V$3,'Datos - Temas'!$L$5:$L$1264,$A81)</f>
        <v/>
      </c>
      <c r="W81" s="11">
        <f>COUNTIFS('Datos - Objetivos de países'!$B$5:$B$510,"Uruguay",'Datos - Objetivos de países'!$F$5:$F$510,W$3,'Datos - Objetivos de países'!$J$5:$J$510,$A81)+COUNTIFS('Datos - Objetivos de países'!$B$5:$B$510,"Uruguay",'Datos - Objetivos de países'!$F$5:$F$510,W$3,'Datos - Objetivos de países'!$K$5:$K$510,$A81)</f>
        <v/>
      </c>
      <c r="X81" s="11">
        <f>COUNTIFS('Datos - Objetivos de países'!$B$5:$B$510,"Uruguay",'Datos - Objetivos de países'!$F$5:$F$510,X$3,'Datos - Objetivos de países'!$J$5:$J$510,$A81)+COUNTIFS('Datos - Objetivos de países'!$B$5:$B$510,"Uruguay",'Datos - Objetivos de países'!$F$5:$F$510,X$3,'Datos - Objetivos de países'!$K$5:$K$510,$A81)</f>
        <v/>
      </c>
      <c r="Y81" s="11">
        <f>COUNTIFS('Datos - Objetivos de países'!$B$5:$B$510,"Uruguay",'Datos - Objetivos de países'!$F$5:$F$510,Y$3,'Datos - Objetivos de países'!$J$5:$J$510,$A81)+COUNTIFS('Datos - Objetivos de países'!$B$5:$B$510,"Uruguay",'Datos - Objetivos de países'!$F$5:$F$510,Y$3,'Datos - Objetivos de países'!$K$5:$K$510,$A81)</f>
        <v/>
      </c>
      <c r="Z81" s="11">
        <f>COUNTIFS('Datos - Objetivos de países'!$B$5:$B$510,"Uruguay",'Datos - Objetivos de países'!$F$5:$F$510,Z$3,'Datos - Objetivos de países'!$J$5:$J$510,$A81)+COUNTIFS('Datos - Objetivos de países'!$B$5:$B$510,"Uruguay",'Datos - Objetivos de países'!$F$5:$F$510,Z$3,'Datos - Objetivos de países'!$K$5:$K$510,$A81)</f>
        <v/>
      </c>
      <c r="AA81" s="11">
        <f>COUNTIFS('Datos - Objetivos de países'!$B$5:$B$510,"Uruguay",'Datos - Objetivos de países'!$F$5:$F$510,AA$3,'Datos - Objetivos de países'!$J$5:$J$510,$A81)+COUNTIFS('Datos - Objetivos de países'!$B$5:$B$510,"Uruguay",'Datos - Objetivos de países'!$F$5:$F$510,AA$3,'Datos - Objetivos de países'!$K$5:$K$510,$A81)</f>
        <v/>
      </c>
      <c r="AB81" s="11">
        <f>COUNTIFS('Datos - Objetivos de países'!$B$5:$B$510,"Uruguay",'Datos - Objetivos de países'!$F$5:$F$510,AB$3,'Datos - Objetivos de países'!$J$5:$J$510,$A81)+COUNTIFS('Datos - Objetivos de países'!$B$5:$B$510,"Uruguay",'Datos - Objetivos de países'!$F$5:$F$510,AB$3,'Datos - Objetivos de países'!$K$5:$K$510,$A81)</f>
        <v/>
      </c>
      <c r="AC81" s="11">
        <f>COUNTIFS('Datos - Objetivos de países'!$B$5:$B$510,"Uruguay",'Datos - Objetivos de países'!$F$5:$F$510,AC$3,'Datos - Objetivos de países'!$J$5:$J$510,$A81)+COUNTIFS('Datos - Objetivos de países'!$B$5:$B$510,"Uruguay",'Datos - Objetivos de países'!$F$5:$F$510,AC$3,'Datos - Objetivos de países'!$K$5:$K$510,$A81)</f>
        <v/>
      </c>
      <c r="AD81" s="11">
        <f>COUNTIFS('Datos - Objetivos de países'!$B$5:$B$510,"Uruguay",'Datos - Objetivos de países'!$F$5:$F$510,AD$3,'Datos - Objetivos de países'!$J$5:$J$510,$A81)+COUNTIFS('Datos - Objetivos de países'!$B$5:$B$510,"Uruguay",'Datos - Objetivos de países'!$F$5:$F$510,AD$3,'Datos - Objetivos de países'!$K$5:$K$510,$A81)</f>
        <v/>
      </c>
      <c r="AE81" s="11">
        <f>COUNTIFS('Datos - Objetivos de países'!$B$5:$B$510,"Uruguay",'Datos - Objetivos de países'!$F$5:$F$510,AE$3,'Datos - Objetivos de países'!$J$5:$J$510,$A81)+COUNTIFS('Datos - Objetivos de países'!$B$5:$B$510,"Uruguay",'Datos - Objetivos de países'!$F$5:$F$510,AE$3,'Datos - Objetivos de países'!$K$5:$K$510,$A81)</f>
        <v/>
      </c>
      <c r="AF81" s="11">
        <f>COUNTIFS('Datos - Objetivos de países'!$B$5:$B$510,"Colombia",'Datos - Objetivos de países'!$F$5:$F$510,AF$3,'Datos - Objetivos de países'!$J$5:$J$510,$A81)+COUNTIFS('Datos - Objetivos de países'!$B$5:$B$510,"Colombia",'Datos - Objetivos de países'!$F$5:$F$510,AF$3,'Datos - Objetivos de países'!$K$5:$K$510,$A81)</f>
        <v/>
      </c>
      <c r="AG81" s="11">
        <f>COUNTIFS('Datos - Objetivos de países'!$B$5:$B$510,"Colombia",'Datos - Objetivos de países'!$F$5:$F$510,AG$3,'Datos - Objetivos de países'!$J$5:$J$510,$A81)+COUNTIFS('Datos - Objetivos de países'!$B$5:$B$510,"Colombia",'Datos - Objetivos de países'!$F$5:$F$510,AG$3,'Datos - Objetivos de países'!$K$5:$K$510,$A81)</f>
        <v/>
      </c>
      <c r="AH81" s="11">
        <f>COUNTIFS('Datos - Objetivos de países'!$B$5:$B$510,"Colombia",'Datos - Objetivos de países'!$F$5:$F$510,AH$3,'Datos - Objetivos de países'!$J$5:$J$510,$A81)+COUNTIFS('Datos - Objetivos de países'!$B$5:$B$510,"Colombia",'Datos - Objetivos de países'!$F$5:$F$510,AH$3,'Datos - Objetivos de países'!$K$5:$K$510,$A81)</f>
        <v/>
      </c>
      <c r="AI81" s="11">
        <f>COUNTIFS('Datos - Objetivos de países'!$B$5:$B$510,"Colombia",'Datos - Objetivos de países'!$F$5:$F$510,AI$3,'Datos - Objetivos de países'!$J$5:$J$510,$A81)+COUNTIFS('Datos - Objetivos de países'!$B$5:$B$510,"Colombia",'Datos - Objetivos de países'!$F$5:$F$510,AI$3,'Datos - Objetivos de países'!$K$5:$K$510,$A81)</f>
        <v/>
      </c>
      <c r="AJ81" s="11">
        <f>COUNTIFS('Datos - Objetivos de países'!$B$5:$B$510,"Colombia",'Datos - Objetivos de países'!$F$5:$F$510,AJ$3,'Datos - Objetivos de países'!$J$5:$J$510,$A81)+COUNTIFS('Datos - Objetivos de países'!$B$5:$B$510,"Colombia",'Datos - Objetivos de países'!$F$5:$F$510,AJ$3,'Datos - Objetivos de países'!$K$5:$K$510,$A81)</f>
        <v/>
      </c>
      <c r="AK81" s="11">
        <f>COUNTIFS('Datos - Objetivos de países'!$B$5:$B$510,"Colombia",'Datos - Objetivos de países'!$F$5:$F$510,AK$3,'Datos - Objetivos de países'!$J$5:$J$510,$A81)+COUNTIFS('Datos - Objetivos de países'!$B$5:$B$510,"Colombia",'Datos - Objetivos de países'!$F$5:$F$510,AK$3,'Datos - Objetivos de países'!$K$5:$K$510,$A81)</f>
        <v/>
      </c>
      <c r="AL81" s="11">
        <f>COUNTIFS('Datos - Objetivos de países'!$B$5:$B$510,"Colombia",'Datos - Objetivos de países'!$F$5:$F$510,AL$3,'Datos - Objetivos de países'!$J$5:$J$510,$A81)+COUNTIFS('Datos - Objetivos de países'!$B$5:$B$510,"Colombia",'Datos - Objetivos de países'!$F$5:$F$510,AL$3,'Datos - Objetivos de países'!$K$5:$K$510,$A81)</f>
        <v/>
      </c>
      <c r="AM81" s="11">
        <f>COUNTIFS('Datos - Objetivos de países'!$B$5:$B$510,"Colombia",'Datos - Objetivos de países'!$F$5:$F$510,AM$3,'Datos - Objetivos de países'!$J$5:$J$510,$A81)+COUNTIFS('Datos - Objetivos de países'!$B$5:$B$510,"Colombia",'Datos - Objetivos de países'!$F$5:$F$510,AM$3,'Datos - Objetivos de países'!$K$5:$K$510,$A81)</f>
        <v/>
      </c>
      <c r="AN81" s="11">
        <f>COUNTIFS('Datos - Objetivos de países'!$B$5:$B$510,"Colombia",'Datos - Objetivos de países'!$F$5:$F$510,AN$3,'Datos - Objetivos de países'!$J$5:$J$510,$A81)+COUNTIFS('Datos - Objetivos de países'!$B$5:$B$510,"Colombia",'Datos - Objetivos de países'!$F$5:$F$510,AN$3,'Datos - Objetivos de países'!$K$5:$K$510,$A81)</f>
        <v/>
      </c>
      <c r="AO81" s="11">
        <f>COUNTIFS('Datos - Objetivos de países'!$B$5:$B$510,"Singapur",'Datos - Objetivos de países'!$F$5:$F$510,AO$3,'Datos - Objetivos de países'!$J$5:$J$510,$A81)+COUNTIFS('Datos - Objetivos de países'!$B$5:$B$510,"Singapur",'Datos - Objetivos de países'!$F$5:$F$510,AO$3,'Datos - Objetivos de países'!$K$5:$K$510,$A81)</f>
        <v/>
      </c>
      <c r="AP81" s="11">
        <f>COUNTIFS('Datos - Objetivos de países'!$B$5:$B$510,"Singapur",'Datos - Objetivos de países'!$F$5:$F$510,AP$3,'Datos - Objetivos de países'!$J$5:$J$510,$A81)+COUNTIFS('Datos - Objetivos de países'!$B$5:$B$510,"Singapur",'Datos - Objetivos de países'!$F$5:$F$510,AP$3,'Datos - Objetivos de países'!$K$5:$K$510,$A81)</f>
        <v/>
      </c>
      <c r="AQ81" s="11">
        <f>COUNTIFS('Datos - Objetivos de países'!$B$5:$B$510,"Singapur",'Datos - Objetivos de países'!$F$5:$F$510,AQ$3,'Datos - Objetivos de países'!$J$5:$J$510,$A81)+COUNTIFS('Datos - Objetivos de países'!$B$5:$B$510,"Singapur",'Datos - Objetivos de países'!$F$5:$F$510,AQ$3,'Datos - Objetivos de países'!$K$5:$K$510,$A81)</f>
        <v/>
      </c>
      <c r="AR81" s="11">
        <f>COUNTIFS('Datos - Objetivos de países'!$B$5:$B$510,"Singapur",'Datos - Objetivos de países'!$F$5:$F$510,AR$3,'Datos - Objetivos de países'!$J$5:$J$510,$A81)+COUNTIFS('Datos - Objetivos de países'!$B$5:$B$510,"Singapur",'Datos - Objetivos de países'!$F$5:$F$510,AR$3,'Datos - Objetivos de países'!$K$5:$K$510,$A81)</f>
        <v/>
      </c>
      <c r="AS81" s="11">
        <f>COUNTIFS('Datos - Objetivos de países'!$B$5:$B$510,"Singapur",'Datos - Objetivos de países'!$F$5:$F$510,AS$3,'Datos - Objetivos de países'!$J$5:$J$510,$A81)+COUNTIFS('Datos - Objetivos de países'!$B$5:$B$510,"Singapur",'Datos - Objetivos de países'!$F$5:$F$510,AS$3,'Datos - Objetivos de países'!$K$5:$K$510,$A81)</f>
        <v/>
      </c>
      <c r="AT81" s="11">
        <f>COUNTIFS('Datos - Objetivos de países'!$B$5:$B$510,"Singapur",'Datos - Objetivos de países'!$F$5:$F$510,AT$3,'Datos - Objetivos de países'!$J$5:$J$510,$A81)+COUNTIFS('Datos - Objetivos de países'!$B$5:$B$510,"Singapur",'Datos - Objetivos de países'!$F$5:$F$510,AT$3,'Datos - Objetivos de países'!$K$5:$K$510,$A81)</f>
        <v/>
      </c>
      <c r="AU81" s="11">
        <f>COUNTIFS('Datos - Objetivos de países'!$B$5:$B$510,"Singapur",'Datos - Objetivos de países'!$F$5:$F$510,AU$3,'Datos - Objetivos de países'!$J$5:$J$510,$A81)+COUNTIFS('Datos - Objetivos de países'!$B$5:$B$510,"Singapur",'Datos - Objetivos de países'!$F$5:$F$510,AU$3,'Datos - Objetivos de países'!$K$5:$K$510,$A81)</f>
        <v/>
      </c>
      <c r="AV81" s="11">
        <f>COUNTIFS('Datos - Objetivos de países'!$B$5:$B$510,"Singapur",'Datos - Objetivos de países'!$F$5:$F$510,AV$3,'Datos - Objetivos de países'!$J$5:$J$510,$A81)+COUNTIFS('Datos - Objetivos de países'!$B$5:$B$510,"Singapur",'Datos - Objetivos de países'!$F$5:$F$510,AV$3,'Datos - Objetivos de países'!$K$5:$K$510,$A81)</f>
        <v/>
      </c>
      <c r="AW81" s="11">
        <f>COUNTIFS('Datos - Objetivos de países'!$B$5:$B$510,"Singapur",'Datos - Objetivos de países'!$F$5:$F$510,AW$3,'Datos - Objetivos de países'!$J$5:$J$510,$A81)+COUNTIFS('Datos - Objetivos de países'!$B$5:$B$510,"Singapur",'Datos - Objetivos de países'!$F$5:$F$510,AW$3,'Datos - Objetivos de países'!$K$5:$K$510,$A81)</f>
        <v/>
      </c>
    </row>
    <row r="82">
      <c r="A82" s="30" t="inlineStr">
        <is>
          <t>T8_27-E4.1</t>
        </is>
      </c>
      <c r="B82" s="30" t="inlineStr">
        <is>
          <t>T8_27</t>
        </is>
      </c>
      <c r="C82" s="30" t="inlineStr">
        <is>
          <t>Ciencias de la Tierra</t>
        </is>
      </c>
      <c r="D82" s="30" t="inlineStr">
        <is>
          <t>Fenómenos observables por los movimientos de la Tierra y la Luna</t>
        </is>
      </c>
      <c r="E82" s="30">
        <f>IFERROR(MAX($L$3,INDEX($N$3:$V$3,MATCH(TRUE,INDEX(N82:V82&gt;0,0),0))),"—")</f>
        <v/>
      </c>
      <c r="F82" s="30">
        <f>IFERROR(MAX($L$3,INDEX($W$3:$AE$3,MATCH(TRUE,INDEX(W82:AE82&gt;0,0),0))),"—")</f>
        <v/>
      </c>
      <c r="G82" s="30">
        <f>IFERROR(MAX($L$3,INDEX($AF$3:$AN$3,MATCH(TRUE,INDEX(AF82:AN82&gt;0,0),0))),"—")</f>
        <v/>
      </c>
      <c r="H82" s="30">
        <f>IFERROR(MAX($L$3,INDEX($AO$3:$AW$3,MATCH(TRUE,INDEX(AO82:AW82&gt;0,0),0))),"—")</f>
        <v/>
      </c>
      <c r="I82" s="36">
        <f>IF(L82=0,"—",MEDIAN(F82:H82))</f>
        <v/>
      </c>
      <c r="J82" s="36">
        <f>IF(OR(E82="—",I82="—"),"—",E82-I82)</f>
        <v/>
      </c>
      <c r="K82" s="19">
        <f>IF(E82="—",IF(L82=0,"Nadie lo trabaja","El Salvador no llega"),IF(L82=0,"Solo El Salvador",IF(J82&gt;0,"El Salvador llega más tarde",IF(J82&lt;0,"El Salvador va adelantado","Mismo grado"))))</f>
        <v/>
      </c>
      <c r="L82" s="30">
        <f>COUNT(F82:H82)</f>
        <v/>
      </c>
      <c r="N82" s="11">
        <f>COUNTIFS('Datos - Temas'!$C$5:$C$1264,"Ciencias",'Datos - Temas'!$B$5:$B$1264,N$3,'Datos - Temas'!$K$5:$K$1264,$A82)+COUNTIFS('Datos - Temas'!$C$5:$C$1264,"Ciencias",'Datos - Temas'!$B$5:$B$1264,N$3,'Datos - Temas'!$L$5:$L$1264,$A82)</f>
        <v/>
      </c>
      <c r="O82" s="11">
        <f>COUNTIFS('Datos - Temas'!$C$5:$C$1264,"Ciencias",'Datos - Temas'!$B$5:$B$1264,O$3,'Datos - Temas'!$K$5:$K$1264,$A82)+COUNTIFS('Datos - Temas'!$C$5:$C$1264,"Ciencias",'Datos - Temas'!$B$5:$B$1264,O$3,'Datos - Temas'!$L$5:$L$1264,$A82)</f>
        <v/>
      </c>
      <c r="P82" s="11">
        <f>COUNTIFS('Datos - Temas'!$C$5:$C$1264,"Ciencias",'Datos - Temas'!$B$5:$B$1264,P$3,'Datos - Temas'!$K$5:$K$1264,$A82)+COUNTIFS('Datos - Temas'!$C$5:$C$1264,"Ciencias",'Datos - Temas'!$B$5:$B$1264,P$3,'Datos - Temas'!$L$5:$L$1264,$A82)</f>
        <v/>
      </c>
      <c r="Q82" s="11">
        <f>COUNTIFS('Datos - Temas'!$C$5:$C$1264,"Ciencias",'Datos - Temas'!$B$5:$B$1264,Q$3,'Datos - Temas'!$K$5:$K$1264,$A82)+COUNTIFS('Datos - Temas'!$C$5:$C$1264,"Ciencias",'Datos - Temas'!$B$5:$B$1264,Q$3,'Datos - Temas'!$L$5:$L$1264,$A82)</f>
        <v/>
      </c>
      <c r="R82" s="11">
        <f>COUNTIFS('Datos - Temas'!$C$5:$C$1264,"Ciencias",'Datos - Temas'!$B$5:$B$1264,R$3,'Datos - Temas'!$K$5:$K$1264,$A82)+COUNTIFS('Datos - Temas'!$C$5:$C$1264,"Ciencias",'Datos - Temas'!$B$5:$B$1264,R$3,'Datos - Temas'!$L$5:$L$1264,$A82)</f>
        <v/>
      </c>
      <c r="S82" s="11">
        <f>COUNTIFS('Datos - Temas'!$C$5:$C$1264,"Ciencias",'Datos - Temas'!$B$5:$B$1264,S$3,'Datos - Temas'!$K$5:$K$1264,$A82)+COUNTIFS('Datos - Temas'!$C$5:$C$1264,"Ciencias",'Datos - Temas'!$B$5:$B$1264,S$3,'Datos - Temas'!$L$5:$L$1264,$A82)</f>
        <v/>
      </c>
      <c r="T82" s="11">
        <f>COUNTIFS('Datos - Temas'!$C$5:$C$1264,"Ciencias",'Datos - Temas'!$B$5:$B$1264,T$3,'Datos - Temas'!$K$5:$K$1264,$A82)+COUNTIFS('Datos - Temas'!$C$5:$C$1264,"Ciencias",'Datos - Temas'!$B$5:$B$1264,T$3,'Datos - Temas'!$L$5:$L$1264,$A82)</f>
        <v/>
      </c>
      <c r="U82" s="11">
        <f>COUNTIFS('Datos - Temas'!$C$5:$C$1264,"Ciencias",'Datos - Temas'!$B$5:$B$1264,U$3,'Datos - Temas'!$K$5:$K$1264,$A82)+COUNTIFS('Datos - Temas'!$C$5:$C$1264,"Ciencias",'Datos - Temas'!$B$5:$B$1264,U$3,'Datos - Temas'!$L$5:$L$1264,$A82)</f>
        <v/>
      </c>
      <c r="V82" s="11">
        <f>COUNTIFS('Datos - Temas'!$C$5:$C$1264,"Ciencias",'Datos - Temas'!$B$5:$B$1264,V$3,'Datos - Temas'!$K$5:$K$1264,$A82)+COUNTIFS('Datos - Temas'!$C$5:$C$1264,"Ciencias",'Datos - Temas'!$B$5:$B$1264,V$3,'Datos - Temas'!$L$5:$L$1264,$A82)</f>
        <v/>
      </c>
      <c r="W82" s="11">
        <f>COUNTIFS('Datos - Objetivos de países'!$B$5:$B$510,"Uruguay",'Datos - Objetivos de países'!$F$5:$F$510,W$3,'Datos - Objetivos de países'!$J$5:$J$510,$A82)+COUNTIFS('Datos - Objetivos de países'!$B$5:$B$510,"Uruguay",'Datos - Objetivos de países'!$F$5:$F$510,W$3,'Datos - Objetivos de países'!$K$5:$K$510,$A82)</f>
        <v/>
      </c>
      <c r="X82" s="11">
        <f>COUNTIFS('Datos - Objetivos de países'!$B$5:$B$510,"Uruguay",'Datos - Objetivos de países'!$F$5:$F$510,X$3,'Datos - Objetivos de países'!$J$5:$J$510,$A82)+COUNTIFS('Datos - Objetivos de países'!$B$5:$B$510,"Uruguay",'Datos - Objetivos de países'!$F$5:$F$510,X$3,'Datos - Objetivos de países'!$K$5:$K$510,$A82)</f>
        <v/>
      </c>
      <c r="Y82" s="11">
        <f>COUNTIFS('Datos - Objetivos de países'!$B$5:$B$510,"Uruguay",'Datos - Objetivos de países'!$F$5:$F$510,Y$3,'Datos - Objetivos de países'!$J$5:$J$510,$A82)+COUNTIFS('Datos - Objetivos de países'!$B$5:$B$510,"Uruguay",'Datos - Objetivos de países'!$F$5:$F$510,Y$3,'Datos - Objetivos de países'!$K$5:$K$510,$A82)</f>
        <v/>
      </c>
      <c r="Z82" s="11">
        <f>COUNTIFS('Datos - Objetivos de países'!$B$5:$B$510,"Uruguay",'Datos - Objetivos de países'!$F$5:$F$510,Z$3,'Datos - Objetivos de países'!$J$5:$J$510,$A82)+COUNTIFS('Datos - Objetivos de países'!$B$5:$B$510,"Uruguay",'Datos - Objetivos de países'!$F$5:$F$510,Z$3,'Datos - Objetivos de países'!$K$5:$K$510,$A82)</f>
        <v/>
      </c>
      <c r="AA82" s="11">
        <f>COUNTIFS('Datos - Objetivos de países'!$B$5:$B$510,"Uruguay",'Datos - Objetivos de países'!$F$5:$F$510,AA$3,'Datos - Objetivos de países'!$J$5:$J$510,$A82)+COUNTIFS('Datos - Objetivos de países'!$B$5:$B$510,"Uruguay",'Datos - Objetivos de países'!$F$5:$F$510,AA$3,'Datos - Objetivos de países'!$K$5:$K$510,$A82)</f>
        <v/>
      </c>
      <c r="AB82" s="11">
        <f>COUNTIFS('Datos - Objetivos de países'!$B$5:$B$510,"Uruguay",'Datos - Objetivos de países'!$F$5:$F$510,AB$3,'Datos - Objetivos de países'!$J$5:$J$510,$A82)+COUNTIFS('Datos - Objetivos de países'!$B$5:$B$510,"Uruguay",'Datos - Objetivos de países'!$F$5:$F$510,AB$3,'Datos - Objetivos de países'!$K$5:$K$510,$A82)</f>
        <v/>
      </c>
      <c r="AC82" s="11">
        <f>COUNTIFS('Datos - Objetivos de países'!$B$5:$B$510,"Uruguay",'Datos - Objetivos de países'!$F$5:$F$510,AC$3,'Datos - Objetivos de países'!$J$5:$J$510,$A82)+COUNTIFS('Datos - Objetivos de países'!$B$5:$B$510,"Uruguay",'Datos - Objetivos de países'!$F$5:$F$510,AC$3,'Datos - Objetivos de países'!$K$5:$K$510,$A82)</f>
        <v/>
      </c>
      <c r="AD82" s="11">
        <f>COUNTIFS('Datos - Objetivos de países'!$B$5:$B$510,"Uruguay",'Datos - Objetivos de países'!$F$5:$F$510,AD$3,'Datos - Objetivos de países'!$J$5:$J$510,$A82)+COUNTIFS('Datos - Objetivos de países'!$B$5:$B$510,"Uruguay",'Datos - Objetivos de países'!$F$5:$F$510,AD$3,'Datos - Objetivos de países'!$K$5:$K$510,$A82)</f>
        <v/>
      </c>
      <c r="AE82" s="11">
        <f>COUNTIFS('Datos - Objetivos de países'!$B$5:$B$510,"Uruguay",'Datos - Objetivos de países'!$F$5:$F$510,AE$3,'Datos - Objetivos de países'!$J$5:$J$510,$A82)+COUNTIFS('Datos - Objetivos de países'!$B$5:$B$510,"Uruguay",'Datos - Objetivos de países'!$F$5:$F$510,AE$3,'Datos - Objetivos de países'!$K$5:$K$510,$A82)</f>
        <v/>
      </c>
      <c r="AF82" s="11">
        <f>COUNTIFS('Datos - Objetivos de países'!$B$5:$B$510,"Colombia",'Datos - Objetivos de países'!$F$5:$F$510,AF$3,'Datos - Objetivos de países'!$J$5:$J$510,$A82)+COUNTIFS('Datos - Objetivos de países'!$B$5:$B$510,"Colombia",'Datos - Objetivos de países'!$F$5:$F$510,AF$3,'Datos - Objetivos de países'!$K$5:$K$510,$A82)</f>
        <v/>
      </c>
      <c r="AG82" s="11">
        <f>COUNTIFS('Datos - Objetivos de países'!$B$5:$B$510,"Colombia",'Datos - Objetivos de países'!$F$5:$F$510,AG$3,'Datos - Objetivos de países'!$J$5:$J$510,$A82)+COUNTIFS('Datos - Objetivos de países'!$B$5:$B$510,"Colombia",'Datos - Objetivos de países'!$F$5:$F$510,AG$3,'Datos - Objetivos de países'!$K$5:$K$510,$A82)</f>
        <v/>
      </c>
      <c r="AH82" s="11">
        <f>COUNTIFS('Datos - Objetivos de países'!$B$5:$B$510,"Colombia",'Datos - Objetivos de países'!$F$5:$F$510,AH$3,'Datos - Objetivos de países'!$J$5:$J$510,$A82)+COUNTIFS('Datos - Objetivos de países'!$B$5:$B$510,"Colombia",'Datos - Objetivos de países'!$F$5:$F$510,AH$3,'Datos - Objetivos de países'!$K$5:$K$510,$A82)</f>
        <v/>
      </c>
      <c r="AI82" s="11">
        <f>COUNTIFS('Datos - Objetivos de países'!$B$5:$B$510,"Colombia",'Datos - Objetivos de países'!$F$5:$F$510,AI$3,'Datos - Objetivos de países'!$J$5:$J$510,$A82)+COUNTIFS('Datos - Objetivos de países'!$B$5:$B$510,"Colombia",'Datos - Objetivos de países'!$F$5:$F$510,AI$3,'Datos - Objetivos de países'!$K$5:$K$510,$A82)</f>
        <v/>
      </c>
      <c r="AJ82" s="11">
        <f>COUNTIFS('Datos - Objetivos de países'!$B$5:$B$510,"Colombia",'Datos - Objetivos de países'!$F$5:$F$510,AJ$3,'Datos - Objetivos de países'!$J$5:$J$510,$A82)+COUNTIFS('Datos - Objetivos de países'!$B$5:$B$510,"Colombia",'Datos - Objetivos de países'!$F$5:$F$510,AJ$3,'Datos - Objetivos de países'!$K$5:$K$510,$A82)</f>
        <v/>
      </c>
      <c r="AK82" s="11">
        <f>COUNTIFS('Datos - Objetivos de países'!$B$5:$B$510,"Colombia",'Datos - Objetivos de países'!$F$5:$F$510,AK$3,'Datos - Objetivos de países'!$J$5:$J$510,$A82)+COUNTIFS('Datos - Objetivos de países'!$B$5:$B$510,"Colombia",'Datos - Objetivos de países'!$F$5:$F$510,AK$3,'Datos - Objetivos de países'!$K$5:$K$510,$A82)</f>
        <v/>
      </c>
      <c r="AL82" s="11">
        <f>COUNTIFS('Datos - Objetivos de países'!$B$5:$B$510,"Colombia",'Datos - Objetivos de países'!$F$5:$F$510,AL$3,'Datos - Objetivos de países'!$J$5:$J$510,$A82)+COUNTIFS('Datos - Objetivos de países'!$B$5:$B$510,"Colombia",'Datos - Objetivos de países'!$F$5:$F$510,AL$3,'Datos - Objetivos de países'!$K$5:$K$510,$A82)</f>
        <v/>
      </c>
      <c r="AM82" s="11">
        <f>COUNTIFS('Datos - Objetivos de países'!$B$5:$B$510,"Colombia",'Datos - Objetivos de países'!$F$5:$F$510,AM$3,'Datos - Objetivos de países'!$J$5:$J$510,$A82)+COUNTIFS('Datos - Objetivos de países'!$B$5:$B$510,"Colombia",'Datos - Objetivos de países'!$F$5:$F$510,AM$3,'Datos - Objetivos de países'!$K$5:$K$510,$A82)</f>
        <v/>
      </c>
      <c r="AN82" s="11">
        <f>COUNTIFS('Datos - Objetivos de países'!$B$5:$B$510,"Colombia",'Datos - Objetivos de países'!$F$5:$F$510,AN$3,'Datos - Objetivos de países'!$J$5:$J$510,$A82)+COUNTIFS('Datos - Objetivos de países'!$B$5:$B$510,"Colombia",'Datos - Objetivos de países'!$F$5:$F$510,AN$3,'Datos - Objetivos de países'!$K$5:$K$510,$A82)</f>
        <v/>
      </c>
      <c r="AO82" s="11">
        <f>COUNTIFS('Datos - Objetivos de países'!$B$5:$B$510,"Singapur",'Datos - Objetivos de países'!$F$5:$F$510,AO$3,'Datos - Objetivos de países'!$J$5:$J$510,$A82)+COUNTIFS('Datos - Objetivos de países'!$B$5:$B$510,"Singapur",'Datos - Objetivos de países'!$F$5:$F$510,AO$3,'Datos - Objetivos de países'!$K$5:$K$510,$A82)</f>
        <v/>
      </c>
      <c r="AP82" s="11">
        <f>COUNTIFS('Datos - Objetivos de países'!$B$5:$B$510,"Singapur",'Datos - Objetivos de países'!$F$5:$F$510,AP$3,'Datos - Objetivos de países'!$J$5:$J$510,$A82)+COUNTIFS('Datos - Objetivos de países'!$B$5:$B$510,"Singapur",'Datos - Objetivos de países'!$F$5:$F$510,AP$3,'Datos - Objetivos de países'!$K$5:$K$510,$A82)</f>
        <v/>
      </c>
      <c r="AQ82" s="11">
        <f>COUNTIFS('Datos - Objetivos de países'!$B$5:$B$510,"Singapur",'Datos - Objetivos de países'!$F$5:$F$510,AQ$3,'Datos - Objetivos de países'!$J$5:$J$510,$A82)+COUNTIFS('Datos - Objetivos de países'!$B$5:$B$510,"Singapur",'Datos - Objetivos de países'!$F$5:$F$510,AQ$3,'Datos - Objetivos de países'!$K$5:$K$510,$A82)</f>
        <v/>
      </c>
      <c r="AR82" s="11">
        <f>COUNTIFS('Datos - Objetivos de países'!$B$5:$B$510,"Singapur",'Datos - Objetivos de países'!$F$5:$F$510,AR$3,'Datos - Objetivos de países'!$J$5:$J$510,$A82)+COUNTIFS('Datos - Objetivos de países'!$B$5:$B$510,"Singapur",'Datos - Objetivos de países'!$F$5:$F$510,AR$3,'Datos - Objetivos de países'!$K$5:$K$510,$A82)</f>
        <v/>
      </c>
      <c r="AS82" s="11">
        <f>COUNTIFS('Datos - Objetivos de países'!$B$5:$B$510,"Singapur",'Datos - Objetivos de países'!$F$5:$F$510,AS$3,'Datos - Objetivos de países'!$J$5:$J$510,$A82)+COUNTIFS('Datos - Objetivos de países'!$B$5:$B$510,"Singapur",'Datos - Objetivos de países'!$F$5:$F$510,AS$3,'Datos - Objetivos de países'!$K$5:$K$510,$A82)</f>
        <v/>
      </c>
      <c r="AT82" s="11">
        <f>COUNTIFS('Datos - Objetivos de países'!$B$5:$B$510,"Singapur",'Datos - Objetivos de países'!$F$5:$F$510,AT$3,'Datos - Objetivos de países'!$J$5:$J$510,$A82)+COUNTIFS('Datos - Objetivos de países'!$B$5:$B$510,"Singapur",'Datos - Objetivos de países'!$F$5:$F$510,AT$3,'Datos - Objetivos de países'!$K$5:$K$510,$A82)</f>
        <v/>
      </c>
      <c r="AU82" s="11">
        <f>COUNTIFS('Datos - Objetivos de países'!$B$5:$B$510,"Singapur",'Datos - Objetivos de países'!$F$5:$F$510,AU$3,'Datos - Objetivos de países'!$J$5:$J$510,$A82)+COUNTIFS('Datos - Objetivos de países'!$B$5:$B$510,"Singapur",'Datos - Objetivos de países'!$F$5:$F$510,AU$3,'Datos - Objetivos de países'!$K$5:$K$510,$A82)</f>
        <v/>
      </c>
      <c r="AV82" s="11">
        <f>COUNTIFS('Datos - Objetivos de países'!$B$5:$B$510,"Singapur",'Datos - Objetivos de países'!$F$5:$F$510,AV$3,'Datos - Objetivos de países'!$J$5:$J$510,$A82)+COUNTIFS('Datos - Objetivos de países'!$B$5:$B$510,"Singapur",'Datos - Objetivos de países'!$F$5:$F$510,AV$3,'Datos - Objetivos de países'!$K$5:$K$510,$A82)</f>
        <v/>
      </c>
      <c r="AW82" s="11">
        <f>COUNTIFS('Datos - Objetivos de países'!$B$5:$B$510,"Singapur",'Datos - Objetivos de países'!$F$5:$F$510,AW$3,'Datos - Objetivos de países'!$J$5:$J$510,$A82)+COUNTIFS('Datos - Objetivos de países'!$B$5:$B$510,"Singapur",'Datos - Objetivos de países'!$F$5:$F$510,AW$3,'Datos - Objetivos de países'!$K$5:$K$510,$A82)</f>
        <v/>
      </c>
    </row>
    <row r="83">
      <c r="A83" s="30" t="inlineStr">
        <is>
          <t>T8_27-E4.2</t>
        </is>
      </c>
      <c r="B83" s="30" t="inlineStr">
        <is>
          <t>T8_27</t>
        </is>
      </c>
      <c r="C83" s="30" t="inlineStr">
        <is>
          <t>Ciencias de la Tierra</t>
        </is>
      </c>
      <c r="D83" s="30" t="inlineStr">
        <is>
          <t>El Sol, la Tierra, la Luna y los planetas</t>
        </is>
      </c>
      <c r="E83" s="30">
        <f>IFERROR(MAX($L$3,INDEX($N$3:$V$3,MATCH(TRUE,INDEX(N83:V83&gt;0,0),0))),"—")</f>
        <v/>
      </c>
      <c r="F83" s="30">
        <f>IFERROR(MAX($L$3,INDEX($W$3:$AE$3,MATCH(TRUE,INDEX(W83:AE83&gt;0,0),0))),"—")</f>
        <v/>
      </c>
      <c r="G83" s="30">
        <f>IFERROR(MAX($L$3,INDEX($AF$3:$AN$3,MATCH(TRUE,INDEX(AF83:AN83&gt;0,0),0))),"—")</f>
        <v/>
      </c>
      <c r="H83" s="30">
        <f>IFERROR(MAX($L$3,INDEX($AO$3:$AW$3,MATCH(TRUE,INDEX(AO83:AW83&gt;0,0),0))),"—")</f>
        <v/>
      </c>
      <c r="I83" s="36">
        <f>IF(L83=0,"—",MEDIAN(F83:H83))</f>
        <v/>
      </c>
      <c r="J83" s="36">
        <f>IF(OR(E83="—",I83="—"),"—",E83-I83)</f>
        <v/>
      </c>
      <c r="K83" s="19">
        <f>IF(E83="—",IF(L83=0,"Nadie lo trabaja","El Salvador no llega"),IF(L83=0,"Solo El Salvador",IF(J83&gt;0,"El Salvador llega más tarde",IF(J83&lt;0,"El Salvador va adelantado","Mismo grado"))))</f>
        <v/>
      </c>
      <c r="L83" s="30">
        <f>COUNT(F83:H83)</f>
        <v/>
      </c>
      <c r="N83" s="11">
        <f>COUNTIFS('Datos - Temas'!$C$5:$C$1264,"Ciencias",'Datos - Temas'!$B$5:$B$1264,N$3,'Datos - Temas'!$K$5:$K$1264,$A83)+COUNTIFS('Datos - Temas'!$C$5:$C$1264,"Ciencias",'Datos - Temas'!$B$5:$B$1264,N$3,'Datos - Temas'!$L$5:$L$1264,$A83)</f>
        <v/>
      </c>
      <c r="O83" s="11">
        <f>COUNTIFS('Datos - Temas'!$C$5:$C$1264,"Ciencias",'Datos - Temas'!$B$5:$B$1264,O$3,'Datos - Temas'!$K$5:$K$1264,$A83)+COUNTIFS('Datos - Temas'!$C$5:$C$1264,"Ciencias",'Datos - Temas'!$B$5:$B$1264,O$3,'Datos - Temas'!$L$5:$L$1264,$A83)</f>
        <v/>
      </c>
      <c r="P83" s="11">
        <f>COUNTIFS('Datos - Temas'!$C$5:$C$1264,"Ciencias",'Datos - Temas'!$B$5:$B$1264,P$3,'Datos - Temas'!$K$5:$K$1264,$A83)+COUNTIFS('Datos - Temas'!$C$5:$C$1264,"Ciencias",'Datos - Temas'!$B$5:$B$1264,P$3,'Datos - Temas'!$L$5:$L$1264,$A83)</f>
        <v/>
      </c>
      <c r="Q83" s="11">
        <f>COUNTIFS('Datos - Temas'!$C$5:$C$1264,"Ciencias",'Datos - Temas'!$B$5:$B$1264,Q$3,'Datos - Temas'!$K$5:$K$1264,$A83)+COUNTIFS('Datos - Temas'!$C$5:$C$1264,"Ciencias",'Datos - Temas'!$B$5:$B$1264,Q$3,'Datos - Temas'!$L$5:$L$1264,$A83)</f>
        <v/>
      </c>
      <c r="R83" s="11">
        <f>COUNTIFS('Datos - Temas'!$C$5:$C$1264,"Ciencias",'Datos - Temas'!$B$5:$B$1264,R$3,'Datos - Temas'!$K$5:$K$1264,$A83)+COUNTIFS('Datos - Temas'!$C$5:$C$1264,"Ciencias",'Datos - Temas'!$B$5:$B$1264,R$3,'Datos - Temas'!$L$5:$L$1264,$A83)</f>
        <v/>
      </c>
      <c r="S83" s="11">
        <f>COUNTIFS('Datos - Temas'!$C$5:$C$1264,"Ciencias",'Datos - Temas'!$B$5:$B$1264,S$3,'Datos - Temas'!$K$5:$K$1264,$A83)+COUNTIFS('Datos - Temas'!$C$5:$C$1264,"Ciencias",'Datos - Temas'!$B$5:$B$1264,S$3,'Datos - Temas'!$L$5:$L$1264,$A83)</f>
        <v/>
      </c>
      <c r="T83" s="11">
        <f>COUNTIFS('Datos - Temas'!$C$5:$C$1264,"Ciencias",'Datos - Temas'!$B$5:$B$1264,T$3,'Datos - Temas'!$K$5:$K$1264,$A83)+COUNTIFS('Datos - Temas'!$C$5:$C$1264,"Ciencias",'Datos - Temas'!$B$5:$B$1264,T$3,'Datos - Temas'!$L$5:$L$1264,$A83)</f>
        <v/>
      </c>
      <c r="U83" s="11">
        <f>COUNTIFS('Datos - Temas'!$C$5:$C$1264,"Ciencias",'Datos - Temas'!$B$5:$B$1264,U$3,'Datos - Temas'!$K$5:$K$1264,$A83)+COUNTIFS('Datos - Temas'!$C$5:$C$1264,"Ciencias",'Datos - Temas'!$B$5:$B$1264,U$3,'Datos - Temas'!$L$5:$L$1264,$A83)</f>
        <v/>
      </c>
      <c r="V83" s="11">
        <f>COUNTIFS('Datos - Temas'!$C$5:$C$1264,"Ciencias",'Datos - Temas'!$B$5:$B$1264,V$3,'Datos - Temas'!$K$5:$K$1264,$A83)+COUNTIFS('Datos - Temas'!$C$5:$C$1264,"Ciencias",'Datos - Temas'!$B$5:$B$1264,V$3,'Datos - Temas'!$L$5:$L$1264,$A83)</f>
        <v/>
      </c>
      <c r="W83" s="11">
        <f>COUNTIFS('Datos - Objetivos de países'!$B$5:$B$510,"Uruguay",'Datos - Objetivos de países'!$F$5:$F$510,W$3,'Datos - Objetivos de países'!$J$5:$J$510,$A83)+COUNTIFS('Datos - Objetivos de países'!$B$5:$B$510,"Uruguay",'Datos - Objetivos de países'!$F$5:$F$510,W$3,'Datos - Objetivos de países'!$K$5:$K$510,$A83)</f>
        <v/>
      </c>
      <c r="X83" s="11">
        <f>COUNTIFS('Datos - Objetivos de países'!$B$5:$B$510,"Uruguay",'Datos - Objetivos de países'!$F$5:$F$510,X$3,'Datos - Objetivos de países'!$J$5:$J$510,$A83)+COUNTIFS('Datos - Objetivos de países'!$B$5:$B$510,"Uruguay",'Datos - Objetivos de países'!$F$5:$F$510,X$3,'Datos - Objetivos de países'!$K$5:$K$510,$A83)</f>
        <v/>
      </c>
      <c r="Y83" s="11">
        <f>COUNTIFS('Datos - Objetivos de países'!$B$5:$B$510,"Uruguay",'Datos - Objetivos de países'!$F$5:$F$510,Y$3,'Datos - Objetivos de países'!$J$5:$J$510,$A83)+COUNTIFS('Datos - Objetivos de países'!$B$5:$B$510,"Uruguay",'Datos - Objetivos de países'!$F$5:$F$510,Y$3,'Datos - Objetivos de países'!$K$5:$K$510,$A83)</f>
        <v/>
      </c>
      <c r="Z83" s="11">
        <f>COUNTIFS('Datos - Objetivos de países'!$B$5:$B$510,"Uruguay",'Datos - Objetivos de países'!$F$5:$F$510,Z$3,'Datos - Objetivos de países'!$J$5:$J$510,$A83)+COUNTIFS('Datos - Objetivos de países'!$B$5:$B$510,"Uruguay",'Datos - Objetivos de países'!$F$5:$F$510,Z$3,'Datos - Objetivos de países'!$K$5:$K$510,$A83)</f>
        <v/>
      </c>
      <c r="AA83" s="11">
        <f>COUNTIFS('Datos - Objetivos de países'!$B$5:$B$510,"Uruguay",'Datos - Objetivos de países'!$F$5:$F$510,AA$3,'Datos - Objetivos de países'!$J$5:$J$510,$A83)+COUNTIFS('Datos - Objetivos de países'!$B$5:$B$510,"Uruguay",'Datos - Objetivos de países'!$F$5:$F$510,AA$3,'Datos - Objetivos de países'!$K$5:$K$510,$A83)</f>
        <v/>
      </c>
      <c r="AB83" s="11">
        <f>COUNTIFS('Datos - Objetivos de países'!$B$5:$B$510,"Uruguay",'Datos - Objetivos de países'!$F$5:$F$510,AB$3,'Datos - Objetivos de países'!$J$5:$J$510,$A83)+COUNTIFS('Datos - Objetivos de países'!$B$5:$B$510,"Uruguay",'Datos - Objetivos de países'!$F$5:$F$510,AB$3,'Datos - Objetivos de países'!$K$5:$K$510,$A83)</f>
        <v/>
      </c>
      <c r="AC83" s="11">
        <f>COUNTIFS('Datos - Objetivos de países'!$B$5:$B$510,"Uruguay",'Datos - Objetivos de países'!$F$5:$F$510,AC$3,'Datos - Objetivos de países'!$J$5:$J$510,$A83)+COUNTIFS('Datos - Objetivos de países'!$B$5:$B$510,"Uruguay",'Datos - Objetivos de países'!$F$5:$F$510,AC$3,'Datos - Objetivos de países'!$K$5:$K$510,$A83)</f>
        <v/>
      </c>
      <c r="AD83" s="11">
        <f>COUNTIFS('Datos - Objetivos de países'!$B$5:$B$510,"Uruguay",'Datos - Objetivos de países'!$F$5:$F$510,AD$3,'Datos - Objetivos de países'!$J$5:$J$510,$A83)+COUNTIFS('Datos - Objetivos de países'!$B$5:$B$510,"Uruguay",'Datos - Objetivos de países'!$F$5:$F$510,AD$3,'Datos - Objetivos de países'!$K$5:$K$510,$A83)</f>
        <v/>
      </c>
      <c r="AE83" s="11">
        <f>COUNTIFS('Datos - Objetivos de países'!$B$5:$B$510,"Uruguay",'Datos - Objetivos de países'!$F$5:$F$510,AE$3,'Datos - Objetivos de países'!$J$5:$J$510,$A83)+COUNTIFS('Datos - Objetivos de países'!$B$5:$B$510,"Uruguay",'Datos - Objetivos de países'!$F$5:$F$510,AE$3,'Datos - Objetivos de países'!$K$5:$K$510,$A83)</f>
        <v/>
      </c>
      <c r="AF83" s="11">
        <f>COUNTIFS('Datos - Objetivos de países'!$B$5:$B$510,"Colombia",'Datos - Objetivos de países'!$F$5:$F$510,AF$3,'Datos - Objetivos de países'!$J$5:$J$510,$A83)+COUNTIFS('Datos - Objetivos de países'!$B$5:$B$510,"Colombia",'Datos - Objetivos de países'!$F$5:$F$510,AF$3,'Datos - Objetivos de países'!$K$5:$K$510,$A83)</f>
        <v/>
      </c>
      <c r="AG83" s="11">
        <f>COUNTIFS('Datos - Objetivos de países'!$B$5:$B$510,"Colombia",'Datos - Objetivos de países'!$F$5:$F$510,AG$3,'Datos - Objetivos de países'!$J$5:$J$510,$A83)+COUNTIFS('Datos - Objetivos de países'!$B$5:$B$510,"Colombia",'Datos - Objetivos de países'!$F$5:$F$510,AG$3,'Datos - Objetivos de países'!$K$5:$K$510,$A83)</f>
        <v/>
      </c>
      <c r="AH83" s="11">
        <f>COUNTIFS('Datos - Objetivos de países'!$B$5:$B$510,"Colombia",'Datos - Objetivos de países'!$F$5:$F$510,AH$3,'Datos - Objetivos de países'!$J$5:$J$510,$A83)+COUNTIFS('Datos - Objetivos de países'!$B$5:$B$510,"Colombia",'Datos - Objetivos de países'!$F$5:$F$510,AH$3,'Datos - Objetivos de países'!$K$5:$K$510,$A83)</f>
        <v/>
      </c>
      <c r="AI83" s="11">
        <f>COUNTIFS('Datos - Objetivos de países'!$B$5:$B$510,"Colombia",'Datos - Objetivos de países'!$F$5:$F$510,AI$3,'Datos - Objetivos de países'!$J$5:$J$510,$A83)+COUNTIFS('Datos - Objetivos de países'!$B$5:$B$510,"Colombia",'Datos - Objetivos de países'!$F$5:$F$510,AI$3,'Datos - Objetivos de países'!$K$5:$K$510,$A83)</f>
        <v/>
      </c>
      <c r="AJ83" s="11">
        <f>COUNTIFS('Datos - Objetivos de países'!$B$5:$B$510,"Colombia",'Datos - Objetivos de países'!$F$5:$F$510,AJ$3,'Datos - Objetivos de países'!$J$5:$J$510,$A83)+COUNTIFS('Datos - Objetivos de países'!$B$5:$B$510,"Colombia",'Datos - Objetivos de países'!$F$5:$F$510,AJ$3,'Datos - Objetivos de países'!$K$5:$K$510,$A83)</f>
        <v/>
      </c>
      <c r="AK83" s="11">
        <f>COUNTIFS('Datos - Objetivos de países'!$B$5:$B$510,"Colombia",'Datos - Objetivos de países'!$F$5:$F$510,AK$3,'Datos - Objetivos de países'!$J$5:$J$510,$A83)+COUNTIFS('Datos - Objetivos de países'!$B$5:$B$510,"Colombia",'Datos - Objetivos de países'!$F$5:$F$510,AK$3,'Datos - Objetivos de países'!$K$5:$K$510,$A83)</f>
        <v/>
      </c>
      <c r="AL83" s="11">
        <f>COUNTIFS('Datos - Objetivos de países'!$B$5:$B$510,"Colombia",'Datos - Objetivos de países'!$F$5:$F$510,AL$3,'Datos - Objetivos de países'!$J$5:$J$510,$A83)+COUNTIFS('Datos - Objetivos de países'!$B$5:$B$510,"Colombia",'Datos - Objetivos de países'!$F$5:$F$510,AL$3,'Datos - Objetivos de países'!$K$5:$K$510,$A83)</f>
        <v/>
      </c>
      <c r="AM83" s="11">
        <f>COUNTIFS('Datos - Objetivos de países'!$B$5:$B$510,"Colombia",'Datos - Objetivos de países'!$F$5:$F$510,AM$3,'Datos - Objetivos de países'!$J$5:$J$510,$A83)+COUNTIFS('Datos - Objetivos de países'!$B$5:$B$510,"Colombia",'Datos - Objetivos de países'!$F$5:$F$510,AM$3,'Datos - Objetivos de países'!$K$5:$K$510,$A83)</f>
        <v/>
      </c>
      <c r="AN83" s="11">
        <f>COUNTIFS('Datos - Objetivos de países'!$B$5:$B$510,"Colombia",'Datos - Objetivos de países'!$F$5:$F$510,AN$3,'Datos - Objetivos de países'!$J$5:$J$510,$A83)+COUNTIFS('Datos - Objetivos de países'!$B$5:$B$510,"Colombia",'Datos - Objetivos de países'!$F$5:$F$510,AN$3,'Datos - Objetivos de países'!$K$5:$K$510,$A83)</f>
        <v/>
      </c>
      <c r="AO83" s="11">
        <f>COUNTIFS('Datos - Objetivos de países'!$B$5:$B$510,"Singapur",'Datos - Objetivos de países'!$F$5:$F$510,AO$3,'Datos - Objetivos de países'!$J$5:$J$510,$A83)+COUNTIFS('Datos - Objetivos de países'!$B$5:$B$510,"Singapur",'Datos - Objetivos de países'!$F$5:$F$510,AO$3,'Datos - Objetivos de países'!$K$5:$K$510,$A83)</f>
        <v/>
      </c>
      <c r="AP83" s="11">
        <f>COUNTIFS('Datos - Objetivos de países'!$B$5:$B$510,"Singapur",'Datos - Objetivos de países'!$F$5:$F$510,AP$3,'Datos - Objetivos de países'!$J$5:$J$510,$A83)+COUNTIFS('Datos - Objetivos de países'!$B$5:$B$510,"Singapur",'Datos - Objetivos de países'!$F$5:$F$510,AP$3,'Datos - Objetivos de países'!$K$5:$K$510,$A83)</f>
        <v/>
      </c>
      <c r="AQ83" s="11">
        <f>COUNTIFS('Datos - Objetivos de países'!$B$5:$B$510,"Singapur",'Datos - Objetivos de países'!$F$5:$F$510,AQ$3,'Datos - Objetivos de países'!$J$5:$J$510,$A83)+COUNTIFS('Datos - Objetivos de países'!$B$5:$B$510,"Singapur",'Datos - Objetivos de países'!$F$5:$F$510,AQ$3,'Datos - Objetivos de países'!$K$5:$K$510,$A83)</f>
        <v/>
      </c>
      <c r="AR83" s="11">
        <f>COUNTIFS('Datos - Objetivos de países'!$B$5:$B$510,"Singapur",'Datos - Objetivos de países'!$F$5:$F$510,AR$3,'Datos - Objetivos de países'!$J$5:$J$510,$A83)+COUNTIFS('Datos - Objetivos de países'!$B$5:$B$510,"Singapur",'Datos - Objetivos de países'!$F$5:$F$510,AR$3,'Datos - Objetivos de países'!$K$5:$K$510,$A83)</f>
        <v/>
      </c>
      <c r="AS83" s="11">
        <f>COUNTIFS('Datos - Objetivos de países'!$B$5:$B$510,"Singapur",'Datos - Objetivos de países'!$F$5:$F$510,AS$3,'Datos - Objetivos de países'!$J$5:$J$510,$A83)+COUNTIFS('Datos - Objetivos de países'!$B$5:$B$510,"Singapur",'Datos - Objetivos de países'!$F$5:$F$510,AS$3,'Datos - Objetivos de países'!$K$5:$K$510,$A83)</f>
        <v/>
      </c>
      <c r="AT83" s="11">
        <f>COUNTIFS('Datos - Objetivos de países'!$B$5:$B$510,"Singapur",'Datos - Objetivos de países'!$F$5:$F$510,AT$3,'Datos - Objetivos de países'!$J$5:$J$510,$A83)+COUNTIFS('Datos - Objetivos de países'!$B$5:$B$510,"Singapur",'Datos - Objetivos de países'!$F$5:$F$510,AT$3,'Datos - Objetivos de países'!$K$5:$K$510,$A83)</f>
        <v/>
      </c>
      <c r="AU83" s="11">
        <f>COUNTIFS('Datos - Objetivos de países'!$B$5:$B$510,"Singapur",'Datos - Objetivos de países'!$F$5:$F$510,AU$3,'Datos - Objetivos de países'!$J$5:$J$510,$A83)+COUNTIFS('Datos - Objetivos de países'!$B$5:$B$510,"Singapur",'Datos - Objetivos de países'!$F$5:$F$510,AU$3,'Datos - Objetivos de países'!$K$5:$K$510,$A83)</f>
        <v/>
      </c>
      <c r="AV83" s="11">
        <f>COUNTIFS('Datos - Objetivos de países'!$B$5:$B$510,"Singapur",'Datos - Objetivos de países'!$F$5:$F$510,AV$3,'Datos - Objetivos de países'!$J$5:$J$510,$A83)+COUNTIFS('Datos - Objetivos de países'!$B$5:$B$510,"Singapur",'Datos - Objetivos de países'!$F$5:$F$510,AV$3,'Datos - Objetivos de países'!$K$5:$K$510,$A83)</f>
        <v/>
      </c>
      <c r="AW83" s="11">
        <f>COUNTIFS('Datos - Objetivos de países'!$B$5:$B$510,"Singapur",'Datos - Objetivos de países'!$F$5:$F$510,AW$3,'Datos - Objetivos de países'!$J$5:$J$510,$A83)+COUNTIFS('Datos - Objetivos de países'!$B$5:$B$510,"Singapur",'Datos - Objetivos de países'!$F$5:$F$510,AW$3,'Datos - Objetivos de países'!$K$5:$K$510,$A83)</f>
        <v/>
      </c>
    </row>
    <row r="84">
      <c r="A84" s="30" t="inlineStr">
        <is>
          <t>T8_27-E5.1</t>
        </is>
      </c>
      <c r="B84" s="30" t="inlineStr">
        <is>
          <t>T8_27</t>
        </is>
      </c>
      <c r="C84" s="30" t="inlineStr">
        <is>
          <t>Ciencias de la Tierra</t>
        </is>
      </c>
      <c r="D84" s="30" t="inlineStr">
        <is>
          <t>Equipo usado en investigaciones de ciencias de la Tierra</t>
        </is>
      </c>
      <c r="E84" s="30">
        <f>IFERROR(MAX($L$3,INDEX($N$3:$V$3,MATCH(TRUE,INDEX(N84:V84&gt;0,0),0))),"—")</f>
        <v/>
      </c>
      <c r="F84" s="30">
        <f>IFERROR(MAX($L$3,INDEX($W$3:$AE$3,MATCH(TRUE,INDEX(W84:AE84&gt;0,0),0))),"—")</f>
        <v/>
      </c>
      <c r="G84" s="30">
        <f>IFERROR(MAX($L$3,INDEX($AF$3:$AN$3,MATCH(TRUE,INDEX(AF84:AN84&gt;0,0),0))),"—")</f>
        <v/>
      </c>
      <c r="H84" s="30">
        <f>IFERROR(MAX($L$3,INDEX($AO$3:$AW$3,MATCH(TRUE,INDEX(AO84:AW84&gt;0,0),0))),"—")</f>
        <v/>
      </c>
      <c r="I84" s="36">
        <f>IF(L84=0,"—",MEDIAN(F84:H84))</f>
        <v/>
      </c>
      <c r="J84" s="36">
        <f>IF(OR(E84="—",I84="—"),"—",E84-I84)</f>
        <v/>
      </c>
      <c r="K84" s="19">
        <f>IF(E84="—",IF(L84=0,"Nadie lo trabaja","El Salvador no llega"),IF(L84=0,"Solo El Salvador",IF(J84&gt;0,"El Salvador llega más tarde",IF(J84&lt;0,"El Salvador va adelantado","Mismo grado"))))</f>
        <v/>
      </c>
      <c r="L84" s="30">
        <f>COUNT(F84:H84)</f>
        <v/>
      </c>
      <c r="N84" s="11">
        <f>COUNTIFS('Datos - Temas'!$C$5:$C$1264,"Ciencias",'Datos - Temas'!$B$5:$B$1264,N$3,'Datos - Temas'!$K$5:$K$1264,$A84)+COUNTIFS('Datos - Temas'!$C$5:$C$1264,"Ciencias",'Datos - Temas'!$B$5:$B$1264,N$3,'Datos - Temas'!$L$5:$L$1264,$A84)</f>
        <v/>
      </c>
      <c r="O84" s="11">
        <f>COUNTIFS('Datos - Temas'!$C$5:$C$1264,"Ciencias",'Datos - Temas'!$B$5:$B$1264,O$3,'Datos - Temas'!$K$5:$K$1264,$A84)+COUNTIFS('Datos - Temas'!$C$5:$C$1264,"Ciencias",'Datos - Temas'!$B$5:$B$1264,O$3,'Datos - Temas'!$L$5:$L$1264,$A84)</f>
        <v/>
      </c>
      <c r="P84" s="11">
        <f>COUNTIFS('Datos - Temas'!$C$5:$C$1264,"Ciencias",'Datos - Temas'!$B$5:$B$1264,P$3,'Datos - Temas'!$K$5:$K$1264,$A84)+COUNTIFS('Datos - Temas'!$C$5:$C$1264,"Ciencias",'Datos - Temas'!$B$5:$B$1264,P$3,'Datos - Temas'!$L$5:$L$1264,$A84)</f>
        <v/>
      </c>
      <c r="Q84" s="11">
        <f>COUNTIFS('Datos - Temas'!$C$5:$C$1264,"Ciencias",'Datos - Temas'!$B$5:$B$1264,Q$3,'Datos - Temas'!$K$5:$K$1264,$A84)+COUNTIFS('Datos - Temas'!$C$5:$C$1264,"Ciencias",'Datos - Temas'!$B$5:$B$1264,Q$3,'Datos - Temas'!$L$5:$L$1264,$A84)</f>
        <v/>
      </c>
      <c r="R84" s="11">
        <f>COUNTIFS('Datos - Temas'!$C$5:$C$1264,"Ciencias",'Datos - Temas'!$B$5:$B$1264,R$3,'Datos - Temas'!$K$5:$K$1264,$A84)+COUNTIFS('Datos - Temas'!$C$5:$C$1264,"Ciencias",'Datos - Temas'!$B$5:$B$1264,R$3,'Datos - Temas'!$L$5:$L$1264,$A84)</f>
        <v/>
      </c>
      <c r="S84" s="11">
        <f>COUNTIFS('Datos - Temas'!$C$5:$C$1264,"Ciencias",'Datos - Temas'!$B$5:$B$1264,S$3,'Datos - Temas'!$K$5:$K$1264,$A84)+COUNTIFS('Datos - Temas'!$C$5:$C$1264,"Ciencias",'Datos - Temas'!$B$5:$B$1264,S$3,'Datos - Temas'!$L$5:$L$1264,$A84)</f>
        <v/>
      </c>
      <c r="T84" s="11">
        <f>COUNTIFS('Datos - Temas'!$C$5:$C$1264,"Ciencias",'Datos - Temas'!$B$5:$B$1264,T$3,'Datos - Temas'!$K$5:$K$1264,$A84)+COUNTIFS('Datos - Temas'!$C$5:$C$1264,"Ciencias",'Datos - Temas'!$B$5:$B$1264,T$3,'Datos - Temas'!$L$5:$L$1264,$A84)</f>
        <v/>
      </c>
      <c r="U84" s="11">
        <f>COUNTIFS('Datos - Temas'!$C$5:$C$1264,"Ciencias",'Datos - Temas'!$B$5:$B$1264,U$3,'Datos - Temas'!$K$5:$K$1264,$A84)+COUNTIFS('Datos - Temas'!$C$5:$C$1264,"Ciencias",'Datos - Temas'!$B$5:$B$1264,U$3,'Datos - Temas'!$L$5:$L$1264,$A84)</f>
        <v/>
      </c>
      <c r="V84" s="11">
        <f>COUNTIFS('Datos - Temas'!$C$5:$C$1264,"Ciencias",'Datos - Temas'!$B$5:$B$1264,V$3,'Datos - Temas'!$K$5:$K$1264,$A84)+COUNTIFS('Datos - Temas'!$C$5:$C$1264,"Ciencias",'Datos - Temas'!$B$5:$B$1264,V$3,'Datos - Temas'!$L$5:$L$1264,$A84)</f>
        <v/>
      </c>
      <c r="W84" s="11">
        <f>COUNTIFS('Datos - Objetivos de países'!$B$5:$B$510,"Uruguay",'Datos - Objetivos de países'!$F$5:$F$510,W$3,'Datos - Objetivos de países'!$J$5:$J$510,$A84)+COUNTIFS('Datos - Objetivos de países'!$B$5:$B$510,"Uruguay",'Datos - Objetivos de países'!$F$5:$F$510,W$3,'Datos - Objetivos de países'!$K$5:$K$510,$A84)</f>
        <v/>
      </c>
      <c r="X84" s="11">
        <f>COUNTIFS('Datos - Objetivos de países'!$B$5:$B$510,"Uruguay",'Datos - Objetivos de países'!$F$5:$F$510,X$3,'Datos - Objetivos de países'!$J$5:$J$510,$A84)+COUNTIFS('Datos - Objetivos de países'!$B$5:$B$510,"Uruguay",'Datos - Objetivos de países'!$F$5:$F$510,X$3,'Datos - Objetivos de países'!$K$5:$K$510,$A84)</f>
        <v/>
      </c>
      <c r="Y84" s="11">
        <f>COUNTIFS('Datos - Objetivos de países'!$B$5:$B$510,"Uruguay",'Datos - Objetivos de países'!$F$5:$F$510,Y$3,'Datos - Objetivos de países'!$J$5:$J$510,$A84)+COUNTIFS('Datos - Objetivos de países'!$B$5:$B$510,"Uruguay",'Datos - Objetivos de países'!$F$5:$F$510,Y$3,'Datos - Objetivos de países'!$K$5:$K$510,$A84)</f>
        <v/>
      </c>
      <c r="Z84" s="11">
        <f>COUNTIFS('Datos - Objetivos de países'!$B$5:$B$510,"Uruguay",'Datos - Objetivos de países'!$F$5:$F$510,Z$3,'Datos - Objetivos de países'!$J$5:$J$510,$A84)+COUNTIFS('Datos - Objetivos de países'!$B$5:$B$510,"Uruguay",'Datos - Objetivos de países'!$F$5:$F$510,Z$3,'Datos - Objetivos de países'!$K$5:$K$510,$A84)</f>
        <v/>
      </c>
      <c r="AA84" s="11">
        <f>COUNTIFS('Datos - Objetivos de países'!$B$5:$B$510,"Uruguay",'Datos - Objetivos de países'!$F$5:$F$510,AA$3,'Datos - Objetivos de países'!$J$5:$J$510,$A84)+COUNTIFS('Datos - Objetivos de países'!$B$5:$B$510,"Uruguay",'Datos - Objetivos de países'!$F$5:$F$510,AA$3,'Datos - Objetivos de países'!$K$5:$K$510,$A84)</f>
        <v/>
      </c>
      <c r="AB84" s="11">
        <f>COUNTIFS('Datos - Objetivos de países'!$B$5:$B$510,"Uruguay",'Datos - Objetivos de países'!$F$5:$F$510,AB$3,'Datos - Objetivos de países'!$J$5:$J$510,$A84)+COUNTIFS('Datos - Objetivos de países'!$B$5:$B$510,"Uruguay",'Datos - Objetivos de países'!$F$5:$F$510,AB$3,'Datos - Objetivos de países'!$K$5:$K$510,$A84)</f>
        <v/>
      </c>
      <c r="AC84" s="11">
        <f>COUNTIFS('Datos - Objetivos de países'!$B$5:$B$510,"Uruguay",'Datos - Objetivos de países'!$F$5:$F$510,AC$3,'Datos - Objetivos de países'!$J$5:$J$510,$A84)+COUNTIFS('Datos - Objetivos de países'!$B$5:$B$510,"Uruguay",'Datos - Objetivos de países'!$F$5:$F$510,AC$3,'Datos - Objetivos de países'!$K$5:$K$510,$A84)</f>
        <v/>
      </c>
      <c r="AD84" s="11">
        <f>COUNTIFS('Datos - Objetivos de países'!$B$5:$B$510,"Uruguay",'Datos - Objetivos de países'!$F$5:$F$510,AD$3,'Datos - Objetivos de países'!$J$5:$J$510,$A84)+COUNTIFS('Datos - Objetivos de países'!$B$5:$B$510,"Uruguay",'Datos - Objetivos de países'!$F$5:$F$510,AD$3,'Datos - Objetivos de países'!$K$5:$K$510,$A84)</f>
        <v/>
      </c>
      <c r="AE84" s="11">
        <f>COUNTIFS('Datos - Objetivos de países'!$B$5:$B$510,"Uruguay",'Datos - Objetivos de países'!$F$5:$F$510,AE$3,'Datos - Objetivos de países'!$J$5:$J$510,$A84)+COUNTIFS('Datos - Objetivos de países'!$B$5:$B$510,"Uruguay",'Datos - Objetivos de países'!$F$5:$F$510,AE$3,'Datos - Objetivos de países'!$K$5:$K$510,$A84)</f>
        <v/>
      </c>
      <c r="AF84" s="11">
        <f>COUNTIFS('Datos - Objetivos de países'!$B$5:$B$510,"Colombia",'Datos - Objetivos de países'!$F$5:$F$510,AF$3,'Datos - Objetivos de países'!$J$5:$J$510,$A84)+COUNTIFS('Datos - Objetivos de países'!$B$5:$B$510,"Colombia",'Datos - Objetivos de países'!$F$5:$F$510,AF$3,'Datos - Objetivos de países'!$K$5:$K$510,$A84)</f>
        <v/>
      </c>
      <c r="AG84" s="11">
        <f>COUNTIFS('Datos - Objetivos de países'!$B$5:$B$510,"Colombia",'Datos - Objetivos de países'!$F$5:$F$510,AG$3,'Datos - Objetivos de países'!$J$5:$J$510,$A84)+COUNTIFS('Datos - Objetivos de países'!$B$5:$B$510,"Colombia",'Datos - Objetivos de países'!$F$5:$F$510,AG$3,'Datos - Objetivos de países'!$K$5:$K$510,$A84)</f>
        <v/>
      </c>
      <c r="AH84" s="11">
        <f>COUNTIFS('Datos - Objetivos de países'!$B$5:$B$510,"Colombia",'Datos - Objetivos de países'!$F$5:$F$510,AH$3,'Datos - Objetivos de países'!$J$5:$J$510,$A84)+COUNTIFS('Datos - Objetivos de países'!$B$5:$B$510,"Colombia",'Datos - Objetivos de países'!$F$5:$F$510,AH$3,'Datos - Objetivos de países'!$K$5:$K$510,$A84)</f>
        <v/>
      </c>
      <c r="AI84" s="11">
        <f>COUNTIFS('Datos - Objetivos de países'!$B$5:$B$510,"Colombia",'Datos - Objetivos de países'!$F$5:$F$510,AI$3,'Datos - Objetivos de países'!$J$5:$J$510,$A84)+COUNTIFS('Datos - Objetivos de países'!$B$5:$B$510,"Colombia",'Datos - Objetivos de países'!$F$5:$F$510,AI$3,'Datos - Objetivos de países'!$K$5:$K$510,$A84)</f>
        <v/>
      </c>
      <c r="AJ84" s="11">
        <f>COUNTIFS('Datos - Objetivos de países'!$B$5:$B$510,"Colombia",'Datos - Objetivos de países'!$F$5:$F$510,AJ$3,'Datos - Objetivos de países'!$J$5:$J$510,$A84)+COUNTIFS('Datos - Objetivos de países'!$B$5:$B$510,"Colombia",'Datos - Objetivos de países'!$F$5:$F$510,AJ$3,'Datos - Objetivos de países'!$K$5:$K$510,$A84)</f>
        <v/>
      </c>
      <c r="AK84" s="11">
        <f>COUNTIFS('Datos - Objetivos de países'!$B$5:$B$510,"Colombia",'Datos - Objetivos de países'!$F$5:$F$510,AK$3,'Datos - Objetivos de países'!$J$5:$J$510,$A84)+COUNTIFS('Datos - Objetivos de países'!$B$5:$B$510,"Colombia",'Datos - Objetivos de países'!$F$5:$F$510,AK$3,'Datos - Objetivos de países'!$K$5:$K$510,$A84)</f>
        <v/>
      </c>
      <c r="AL84" s="11">
        <f>COUNTIFS('Datos - Objetivos de países'!$B$5:$B$510,"Colombia",'Datos - Objetivos de países'!$F$5:$F$510,AL$3,'Datos - Objetivos de países'!$J$5:$J$510,$A84)+COUNTIFS('Datos - Objetivos de países'!$B$5:$B$510,"Colombia",'Datos - Objetivos de países'!$F$5:$F$510,AL$3,'Datos - Objetivos de países'!$K$5:$K$510,$A84)</f>
        <v/>
      </c>
      <c r="AM84" s="11">
        <f>COUNTIFS('Datos - Objetivos de países'!$B$5:$B$510,"Colombia",'Datos - Objetivos de países'!$F$5:$F$510,AM$3,'Datos - Objetivos de países'!$J$5:$J$510,$A84)+COUNTIFS('Datos - Objetivos de países'!$B$5:$B$510,"Colombia",'Datos - Objetivos de países'!$F$5:$F$510,AM$3,'Datos - Objetivos de países'!$K$5:$K$510,$A84)</f>
        <v/>
      </c>
      <c r="AN84" s="11">
        <f>COUNTIFS('Datos - Objetivos de países'!$B$5:$B$510,"Colombia",'Datos - Objetivos de países'!$F$5:$F$510,AN$3,'Datos - Objetivos de países'!$J$5:$J$510,$A84)+COUNTIFS('Datos - Objetivos de países'!$B$5:$B$510,"Colombia",'Datos - Objetivos de países'!$F$5:$F$510,AN$3,'Datos - Objetivos de países'!$K$5:$K$510,$A84)</f>
        <v/>
      </c>
      <c r="AO84" s="11">
        <f>COUNTIFS('Datos - Objetivos de países'!$B$5:$B$510,"Singapur",'Datos - Objetivos de países'!$F$5:$F$510,AO$3,'Datos - Objetivos de países'!$J$5:$J$510,$A84)+COUNTIFS('Datos - Objetivos de países'!$B$5:$B$510,"Singapur",'Datos - Objetivos de países'!$F$5:$F$510,AO$3,'Datos - Objetivos de países'!$K$5:$K$510,$A84)</f>
        <v/>
      </c>
      <c r="AP84" s="11">
        <f>COUNTIFS('Datos - Objetivos de países'!$B$5:$B$510,"Singapur",'Datos - Objetivos de países'!$F$5:$F$510,AP$3,'Datos - Objetivos de países'!$J$5:$J$510,$A84)+COUNTIFS('Datos - Objetivos de países'!$B$5:$B$510,"Singapur",'Datos - Objetivos de países'!$F$5:$F$510,AP$3,'Datos - Objetivos de países'!$K$5:$K$510,$A84)</f>
        <v/>
      </c>
      <c r="AQ84" s="11">
        <f>COUNTIFS('Datos - Objetivos de países'!$B$5:$B$510,"Singapur",'Datos - Objetivos de países'!$F$5:$F$510,AQ$3,'Datos - Objetivos de países'!$J$5:$J$510,$A84)+COUNTIFS('Datos - Objetivos de países'!$B$5:$B$510,"Singapur",'Datos - Objetivos de países'!$F$5:$F$510,AQ$3,'Datos - Objetivos de países'!$K$5:$K$510,$A84)</f>
        <v/>
      </c>
      <c r="AR84" s="11">
        <f>COUNTIFS('Datos - Objetivos de países'!$B$5:$B$510,"Singapur",'Datos - Objetivos de países'!$F$5:$F$510,AR$3,'Datos - Objetivos de países'!$J$5:$J$510,$A84)+COUNTIFS('Datos - Objetivos de países'!$B$5:$B$510,"Singapur",'Datos - Objetivos de países'!$F$5:$F$510,AR$3,'Datos - Objetivos de países'!$K$5:$K$510,$A84)</f>
        <v/>
      </c>
      <c r="AS84" s="11">
        <f>COUNTIFS('Datos - Objetivos de países'!$B$5:$B$510,"Singapur",'Datos - Objetivos de países'!$F$5:$F$510,AS$3,'Datos - Objetivos de países'!$J$5:$J$510,$A84)+COUNTIFS('Datos - Objetivos de países'!$B$5:$B$510,"Singapur",'Datos - Objetivos de países'!$F$5:$F$510,AS$3,'Datos - Objetivos de países'!$K$5:$K$510,$A84)</f>
        <v/>
      </c>
      <c r="AT84" s="11">
        <f>COUNTIFS('Datos - Objetivos de países'!$B$5:$B$510,"Singapur",'Datos - Objetivos de países'!$F$5:$F$510,AT$3,'Datos - Objetivos de países'!$J$5:$J$510,$A84)+COUNTIFS('Datos - Objetivos de países'!$B$5:$B$510,"Singapur",'Datos - Objetivos de países'!$F$5:$F$510,AT$3,'Datos - Objetivos de países'!$K$5:$K$510,$A84)</f>
        <v/>
      </c>
      <c r="AU84" s="11">
        <f>COUNTIFS('Datos - Objetivos de países'!$B$5:$B$510,"Singapur",'Datos - Objetivos de países'!$F$5:$F$510,AU$3,'Datos - Objetivos de países'!$J$5:$J$510,$A84)+COUNTIFS('Datos - Objetivos de países'!$B$5:$B$510,"Singapur",'Datos - Objetivos de países'!$F$5:$F$510,AU$3,'Datos - Objetivos de países'!$K$5:$K$510,$A84)</f>
        <v/>
      </c>
      <c r="AV84" s="11">
        <f>COUNTIFS('Datos - Objetivos de países'!$B$5:$B$510,"Singapur",'Datos - Objetivos de países'!$F$5:$F$510,AV$3,'Datos - Objetivos de países'!$J$5:$J$510,$A84)+COUNTIFS('Datos - Objetivos de países'!$B$5:$B$510,"Singapur",'Datos - Objetivos de países'!$F$5:$F$510,AV$3,'Datos - Objetivos de países'!$K$5:$K$510,$A84)</f>
        <v/>
      </c>
      <c r="AW84" s="11">
        <f>COUNTIFS('Datos - Objetivos de países'!$B$5:$B$510,"Singapur",'Datos - Objetivos de países'!$F$5:$F$510,AW$3,'Datos - Objetivos de países'!$J$5:$J$510,$A84)+COUNTIFS('Datos - Objetivos de países'!$B$5:$B$510,"Singapur",'Datos - Objetivos de países'!$F$5:$F$510,AW$3,'Datos - Objetivos de países'!$K$5:$K$510,$A84)</f>
        <v/>
      </c>
    </row>
    <row r="85"/>
    <row r="86"/>
    <row r="87">
      <c r="A87" s="16" t="inlineStr">
        <is>
          <t>Resumen por país</t>
        </is>
      </c>
    </row>
    <row r="88" ht="40" customHeight="1">
      <c r="A88" s="10" t="inlineStr">
        <is>
          <t>País</t>
        </is>
      </c>
      <c r="B88" s="10" t="inlineStr">
        <is>
          <t>Objetivos alineados (1.°–9.°)</t>
        </is>
      </c>
      <c r="C88" s="10" t="inlineStr">
        <is>
          <t>Fuera de TIMSS</t>
        </is>
      </c>
      <c r="D88" s="10" t="inlineStr">
        <is>
          <t>Confianza baja</t>
        </is>
      </c>
      <c r="E88" s="10" t="inlineStr">
        <is>
          <t>Objetivos TIMSS 2027 que trabaja (de 80)</t>
        </is>
      </c>
    </row>
    <row r="89">
      <c r="A89" s="11" t="inlineStr">
        <is>
          <t>El Salvador</t>
        </is>
      </c>
      <c r="B89" s="11">
        <f>COUNTIFS('Datos - Temas'!$C$5:$C$1264,"Ciencias")</f>
        <v/>
      </c>
      <c r="C89" s="11">
        <f>COUNTIFS('Datos - Temas'!$C$5:$C$1264,"Ciencias",'Datos - Temas'!$K$5:$K$1264,"FUERA")</f>
        <v/>
      </c>
      <c r="D89" s="11">
        <f>COUNTIFS('Datos - Temas'!$C$5:$C$1264,"Ciencias",'Datos - Temas'!$P$5:$P$1264,"baja")</f>
        <v/>
      </c>
      <c r="E89" s="11">
        <f>COUNT(E5:E84)</f>
        <v/>
      </c>
    </row>
    <row r="90">
      <c r="A90" s="11" t="inlineStr">
        <is>
          <t>Uruguay</t>
        </is>
      </c>
      <c r="B90" s="11">
        <f>COUNTIFS('Datos - Objetivos de países'!$B$5:$B$510,$A90)</f>
        <v/>
      </c>
      <c r="C90" s="11">
        <f>COUNTIFS('Datos - Objetivos de países'!$B$5:$B$510,$A90,'Datos - Objetivos de países'!$J$5:$J$510,"FUERA")</f>
        <v/>
      </c>
      <c r="D90" s="11">
        <f>COUNTIFS('Datos - Objetivos de países'!$B$5:$B$510,$A90,'Datos - Objetivos de países'!$L$5:$L$510,"baja")</f>
        <v/>
      </c>
      <c r="E90" s="11">
        <f>COUNT(F5:F84)</f>
        <v/>
      </c>
    </row>
    <row r="91">
      <c r="A91" s="11" t="inlineStr">
        <is>
          <t>Colombia</t>
        </is>
      </c>
      <c r="B91" s="11">
        <f>COUNTIFS('Datos - Objetivos de países'!$B$5:$B$510,$A91)</f>
        <v/>
      </c>
      <c r="C91" s="11">
        <f>COUNTIFS('Datos - Objetivos de países'!$B$5:$B$510,$A91,'Datos - Objetivos de países'!$J$5:$J$510,"FUERA")</f>
        <v/>
      </c>
      <c r="D91" s="11">
        <f>COUNTIFS('Datos - Objetivos de países'!$B$5:$B$510,$A91,'Datos - Objetivos de países'!$L$5:$L$510,"baja")</f>
        <v/>
      </c>
      <c r="E91" s="11">
        <f>COUNT(G5:G84)</f>
        <v/>
      </c>
    </row>
    <row r="92">
      <c r="A92" s="11" t="inlineStr">
        <is>
          <t>Singapur</t>
        </is>
      </c>
      <c r="B92" s="11">
        <f>COUNTIFS('Datos - Objetivos de países'!$B$5:$B$510,$A92)</f>
        <v/>
      </c>
      <c r="C92" s="11">
        <f>COUNTIFS('Datos - Objetivos de países'!$B$5:$B$510,$A92,'Datos - Objetivos de países'!$J$5:$J$510,"FUERA")</f>
        <v/>
      </c>
      <c r="D92" s="11">
        <f>COUNTIFS('Datos - Objetivos de países'!$B$5:$B$510,$A92,'Datos - Objetivos de países'!$L$5:$L$510,"baja")</f>
        <v/>
      </c>
      <c r="E92" s="11">
        <f>COUNT(H5:H84)</f>
        <v/>
      </c>
    </row>
    <row r="93"/>
    <row r="94" ht="30" customHeight="1">
      <c r="A94" s="10" t="inlineStr">
        <is>
          <t>Lectura</t>
        </is>
      </c>
      <c r="B94" s="10" t="inlineStr">
        <is>
          <t>Objetivos TIMSS 2027</t>
        </is>
      </c>
    </row>
    <row r="95">
      <c r="A95" s="11" t="inlineStr">
        <is>
          <t>El Salvador llega más tarde</t>
        </is>
      </c>
      <c r="B95" s="11">
        <f>COUNTIFS($K$5:$K$84,$A95)</f>
        <v/>
      </c>
    </row>
    <row r="96">
      <c r="A96" s="11" t="inlineStr">
        <is>
          <t>El Salvador va adelantado</t>
        </is>
      </c>
      <c r="B96" s="11">
        <f>COUNTIFS($K$5:$K$84,$A96)</f>
        <v/>
      </c>
    </row>
    <row r="97">
      <c r="A97" s="11" t="inlineStr">
        <is>
          <t>Mismo grado</t>
        </is>
      </c>
      <c r="B97" s="11">
        <f>COUNTIFS($K$5:$K$84,$A97)</f>
        <v/>
      </c>
    </row>
    <row r="98">
      <c r="A98" s="11" t="inlineStr">
        <is>
          <t>El Salvador no llega</t>
        </is>
      </c>
      <c r="B98" s="11">
        <f>COUNTIFS($K$5:$K$84,$A98)</f>
        <v/>
      </c>
    </row>
    <row r="99">
      <c r="A99" s="11" t="inlineStr">
        <is>
          <t>Solo El Salvador</t>
        </is>
      </c>
      <c r="B99" s="11">
        <f>COUNTIFS($K$5:$K$84,$A99)</f>
        <v/>
      </c>
    </row>
    <row r="100">
      <c r="A100" s="11" t="inlineStr">
        <is>
          <t>Nadie lo trabaja</t>
        </is>
      </c>
      <c r="B100" s="11">
        <f>COUNTIFS($K$5:$K$84,$A100)</f>
        <v/>
      </c>
    </row>
    <row r="101"/>
    <row r="102" ht="56" customHeight="1">
      <c r="A102" s="2" t="inlineStr">
        <is>
          <t>Cómo se calcula: Primer grado = el grado más bajo con al menos un tema (El Salvador) u objetivo (otros países) que trabaja el objetivo TIMSS como principal o secundario. Oportunidad = grado El Salvador − mediana de los demás países que lo tienen: positivo = El Salvador llega más tarde; negativo = va adelantado. Las columnas de la derecha (n.º por grado) son la base de cada «primer grado».</t>
        </is>
      </c>
    </row>
  </sheetData>
  <autoFilter ref="A4:L84"/>
  <mergeCells count="2">
    <mergeCell ref="A2:L2"/>
    <mergeCell ref="A102:L102"/>
  </mergeCells>
  <conditionalFormatting sqref="K5:K84">
    <cfRule type="cellIs" priority="1" operator="equal" dxfId="2">
      <formula>"El Salvador no llega"</formula>
    </cfRule>
    <cfRule type="cellIs" priority="2" operator="equal" dxfId="1">
      <formula>"El Salvador llega más tarde"</formula>
    </cfRule>
    <cfRule type="cellIs" priority="3" operator="equal" dxfId="4">
      <formula>"El Salvador va adelantado"</formula>
    </cfRule>
  </conditionalFormatting>
  <conditionalFormatting sqref="N5:AW84">
    <cfRule type="cellIs" priority="4" operator="equal" dxfId="9">
      <formula>0</formula>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1F6F5C"/>
    <outlinePr summaryBelow="1" summaryRight="1"/>
    <pageSetUpPr/>
  </sheetPr>
  <dimension ref="A1:O57"/>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0" customWidth="1" min="3" max="3"/>
    <col width="11" customWidth="1" min="4" max="4"/>
    <col width="13" customWidth="1" min="5" max="5"/>
    <col width="9" customWidth="1" min="6" max="6"/>
    <col width="9" customWidth="1" min="7" max="7"/>
    <col width="11" customWidth="1" min="8" max="8"/>
    <col width="13" customWidth="1" min="9" max="9"/>
    <col width="10" customWidth="1" min="10" max="10"/>
    <col width="22" customWidth="1" min="11" max="11"/>
    <col width="14" customWidth="1" min="12" max="12"/>
    <col width="14" customWidth="1" min="13" max="13"/>
    <col width="12" customWidth="1" min="14" max="14"/>
    <col width="16" customWidth="1" min="15" max="15"/>
  </cols>
  <sheetData>
    <row r="1">
      <c r="A1" s="6" t="inlineStr">
        <is>
          <t>PISA 2025 · Contenido: reparto por sistema (7.°, 8.°, 9.° y acumulado 7.°–9.°)</t>
        </is>
      </c>
    </row>
    <row r="2">
      <c r="A2" s="20" t="inlineStr">
        <is>
          <t>Tolerancia para considerar «en meta» (± puntos porcentuales):</t>
        </is>
      </c>
      <c r="H2" s="21" t="n">
        <v>0.05</v>
      </c>
    </row>
    <row r="3" ht="68" customHeight="1">
      <c r="A3" s="7">
        <f>"PISA 2025 (7.°–9.°)"&amp;"
"&amp;IF(COUNTIF($K$21:$K$23,"En meta")=3,"BIEN · ","OJO · ")&amp;"7.°–9.°: sobran "&amp;FIXED(-I21,0)&amp;" temas de sistemas físicos; faltan "&amp;FIXED(I22,0)&amp;" de sistemas vivos y "&amp;FIXED(I23,0)&amp;" de Tierra y espacio."&amp;"
"&amp;"OJO · 9.° tiene solo "&amp;D17&amp;" temas de biología; 8.° solo "&amp;D13&amp;" de Tierra y espacio."&amp;"
"&amp;"● Contenidos de PISA presentes: "&amp;C55&amp;" de "&amp;B55&amp;". La cobertura TIMSS está en «TIMSS - Semáforo de objetivos»."</f>
        <v/>
      </c>
      <c r="B3" s="8" t="n"/>
      <c r="C3" s="8" t="n"/>
      <c r="D3" s="8" t="n"/>
      <c r="E3" s="8" t="n"/>
      <c r="F3" s="8" t="n"/>
      <c r="G3" s="8" t="n"/>
      <c r="H3" s="8" t="n"/>
      <c r="I3" s="8" t="n"/>
      <c r="J3" s="8" t="n"/>
      <c r="K3" s="8" t="n"/>
      <c r="L3" s="8" t="n"/>
      <c r="M3" s="8" t="n"/>
      <c r="N3" s="9" t="n"/>
    </row>
    <row r="4"/>
    <row r="5" ht="66" customHeight="1">
      <c r="A5" s="10" t="inlineStr">
        <is>
          <t>Grupo</t>
        </is>
      </c>
      <c r="B5" s="10" t="inlineStr">
        <is>
          <t>Marco de referencia</t>
        </is>
      </c>
      <c r="C5" s="10" t="inlineStr">
        <is>
          <t>Sistema</t>
        </is>
      </c>
      <c r="D5" s="10" t="inlineStr">
        <is>
          <t>Temas actuales en el sistema</t>
        </is>
      </c>
      <c r="E5" s="10" t="inlineStr">
        <is>
          <t>Temas evaluables del grupo (sin «fuera»)</t>
        </is>
      </c>
      <c r="F5" s="10" t="inlineStr">
        <is>
          <t>% actual</t>
        </is>
      </c>
      <c r="G5" s="10" t="inlineStr">
        <is>
          <t>Meta PISA (%)</t>
        </is>
      </c>
      <c r="H5" s="10" t="inlineStr">
        <is>
          <t>Temas esperados según meta</t>
        </is>
      </c>
      <c r="I5" s="10" t="inlineStr">
        <is>
          <t>Brecha (temas): + faltan / − sobran</t>
        </is>
      </c>
      <c r="J5" s="10" t="inlineStr">
        <is>
          <t>Brecha (pp)</t>
        </is>
      </c>
      <c r="K5" s="10" t="inlineStr">
        <is>
          <t>Estado</t>
        </is>
      </c>
      <c r="L5" s="10" t="inlineStr">
        <is>
          <t>Escala para cumplir sin quitar temas (total evaluables)</t>
        </is>
      </c>
      <c r="M5" s="10" t="inlineStr">
        <is>
          <t>Temas a AGREGAR para llegar a la meta sin quitar</t>
        </is>
      </c>
      <c r="N5" s="10" t="inlineStr">
        <is>
          <t>Temas «fuera del marco» del grupo</t>
        </is>
      </c>
      <c r="O5" s="10" t="inlineStr">
        <is>
          <t>Desvío |actual − meta| (fila) · COINCIDENCIA con la meta (fila total)</t>
        </is>
      </c>
    </row>
    <row r="6">
      <c r="A6" s="11" t="inlineStr">
        <is>
          <t>7°</t>
        </is>
      </c>
      <c r="B6" s="11" t="inlineStr">
        <is>
          <t>PISA 2025</t>
        </is>
      </c>
      <c r="C6" s="11" t="inlineStr">
        <is>
          <t>Sistemas físicos</t>
        </is>
      </c>
      <c r="D6" s="11">
        <f>COUNTIFS('Datos - Temas'!$V$5:$V$1264,$A6,'Datos - Temas'!$AM$5:$AM$1264,$C6)</f>
        <v/>
      </c>
      <c r="E6" s="11">
        <f>COUNTIFS('Datos - Temas'!$V$5:$V$1264,$A6)-COUNTIFS('Datos - Temas'!$V$5:$V$1264,$A6,'Datos - Temas'!$AK$5:$AK$1264,"FUERA")-COUNTIFS('Datos - Temas'!$V$5:$V$1264,$A6,'Datos - Temas'!$AK$5:$AK$1264,"PENDIENTE")</f>
        <v/>
      </c>
      <c r="F6" s="13">
        <f>IF(E6=0,0,D6/E6)</f>
        <v/>
      </c>
      <c r="G6" s="21" t="n">
        <v>0.37</v>
      </c>
      <c r="H6" s="28">
        <f>G6*E6</f>
        <v/>
      </c>
      <c r="I6" s="28">
        <f>H6-D6</f>
        <v/>
      </c>
      <c r="J6" s="32">
        <f>(G6-F6)*100</f>
        <v/>
      </c>
      <c r="K6" s="33">
        <f>IF(ABS(G6-F6)&lt;=$H$2,"En meta",IF(I6&gt;0,"Faltan "&amp;FIXED(I6,0)&amp;" temas","Sobran "&amp;FIXED(-I6,0)&amp;" temas"))</f>
        <v/>
      </c>
      <c r="L6" s="28">
        <f>MAX(D6/G6,D7/G7,D8/G8)</f>
        <v/>
      </c>
      <c r="M6" s="11">
        <f>MAX(0,ROUNDUP(G6*L6-D6,0))</f>
        <v/>
      </c>
      <c r="N6" s="11">
        <f>COUNTIFS('Datos - Temas'!$V$5:$V$1264,$A6,'Datos - Temas'!$AK$5:$AK$1264,"FUERA")</f>
        <v/>
      </c>
      <c r="O6" s="13">
        <f>ABS(F6-G6)</f>
        <v/>
      </c>
    </row>
    <row r="7">
      <c r="A7" s="11" t="inlineStr">
        <is>
          <t>7°</t>
        </is>
      </c>
      <c r="B7" s="11" t="inlineStr">
        <is>
          <t>PISA 2025</t>
        </is>
      </c>
      <c r="C7" s="11" t="inlineStr">
        <is>
          <t>Sistemas vivos</t>
        </is>
      </c>
      <c r="D7" s="11">
        <f>COUNTIFS('Datos - Temas'!$V$5:$V$1264,$A7,'Datos - Temas'!$AM$5:$AM$1264,$C7)</f>
        <v/>
      </c>
      <c r="E7" s="11">
        <f>COUNTIFS('Datos - Temas'!$V$5:$V$1264,$A7)-COUNTIFS('Datos - Temas'!$V$5:$V$1264,$A7,'Datos - Temas'!$AK$5:$AK$1264,"FUERA")-COUNTIFS('Datos - Temas'!$V$5:$V$1264,$A7,'Datos - Temas'!$AK$5:$AK$1264,"PENDIENTE")</f>
        <v/>
      </c>
      <c r="F7" s="13">
        <f>IF(E7=0,0,D7/E7)</f>
        <v/>
      </c>
      <c r="G7" s="21" t="n">
        <v>0.37</v>
      </c>
      <c r="H7" s="28">
        <f>G7*E7</f>
        <v/>
      </c>
      <c r="I7" s="28">
        <f>H7-D7</f>
        <v/>
      </c>
      <c r="J7" s="32">
        <f>(G7-F7)*100</f>
        <v/>
      </c>
      <c r="K7" s="33">
        <f>IF(ABS(G7-F7)&lt;=$H$2,"En meta",IF(I7&gt;0,"Faltan "&amp;FIXED(I7,0)&amp;" temas","Sobran "&amp;FIXED(-I7,0)&amp;" temas"))</f>
        <v/>
      </c>
      <c r="L7" s="28">
        <f>MAX(D6/G6,D7/G7,D8/G8)</f>
        <v/>
      </c>
      <c r="M7" s="11">
        <f>MAX(0,ROUNDUP(G7*L7-D7,0))</f>
        <v/>
      </c>
      <c r="N7" s="11">
        <f>COUNTIFS('Datos - Temas'!$V$5:$V$1264,$A7,'Datos - Temas'!$AK$5:$AK$1264,"FUERA")</f>
        <v/>
      </c>
      <c r="O7" s="13">
        <f>ABS(F7-G7)</f>
        <v/>
      </c>
    </row>
    <row r="8">
      <c r="A8" s="11" t="inlineStr">
        <is>
          <t>7°</t>
        </is>
      </c>
      <c r="B8" s="11" t="inlineStr">
        <is>
          <t>PISA 2025</t>
        </is>
      </c>
      <c r="C8" s="11" t="inlineStr">
        <is>
          <t>Sistemas de la Tierra y el espacio</t>
        </is>
      </c>
      <c r="D8" s="11">
        <f>COUNTIFS('Datos - Temas'!$V$5:$V$1264,$A8,'Datos - Temas'!$AM$5:$AM$1264,$C8)</f>
        <v/>
      </c>
      <c r="E8" s="11">
        <f>COUNTIFS('Datos - Temas'!$V$5:$V$1264,$A8)-COUNTIFS('Datos - Temas'!$V$5:$V$1264,$A8,'Datos - Temas'!$AK$5:$AK$1264,"FUERA")-COUNTIFS('Datos - Temas'!$V$5:$V$1264,$A8,'Datos - Temas'!$AK$5:$AK$1264,"PENDIENTE")</f>
        <v/>
      </c>
      <c r="F8" s="13">
        <f>IF(E8=0,0,D8/E8)</f>
        <v/>
      </c>
      <c r="G8" s="21" t="n">
        <v>0.26</v>
      </c>
      <c r="H8" s="28">
        <f>G8*E8</f>
        <v/>
      </c>
      <c r="I8" s="28">
        <f>H8-D8</f>
        <v/>
      </c>
      <c r="J8" s="32">
        <f>(G8-F8)*100</f>
        <v/>
      </c>
      <c r="K8" s="33">
        <f>IF(ABS(G8-F8)&lt;=$H$2,"En meta",IF(I8&gt;0,"Faltan "&amp;FIXED(I8,0)&amp;" temas","Sobran "&amp;FIXED(-I8,0)&amp;" temas"))</f>
        <v/>
      </c>
      <c r="L8" s="28">
        <f>MAX(D6/G6,D7/G7,D8/G8)</f>
        <v/>
      </c>
      <c r="M8" s="11">
        <f>MAX(0,ROUNDUP(G8*L8-D8,0))</f>
        <v/>
      </c>
      <c r="N8" s="11">
        <f>COUNTIFS('Datos - Temas'!$V$5:$V$1264,$A8,'Datos - Temas'!$AK$5:$AK$1264,"FUERA")</f>
        <v/>
      </c>
      <c r="O8" s="13">
        <f>ABS(F8-G8)</f>
        <v/>
      </c>
    </row>
    <row r="9">
      <c r="A9" s="23" t="n"/>
      <c r="B9" s="23" t="n"/>
      <c r="C9" s="23" t="inlineStr">
        <is>
          <t>Total del grupo</t>
        </is>
      </c>
      <c r="D9" s="23">
        <f>SUM(D6:D8)</f>
        <v/>
      </c>
      <c r="E9" s="23" t="n"/>
      <c r="F9" s="23" t="n"/>
      <c r="G9" s="34">
        <f>SUM(G6:G8)</f>
        <v/>
      </c>
      <c r="H9" s="23" t="n"/>
      <c r="I9" s="23" t="n"/>
      <c r="J9" s="23" t="n"/>
      <c r="K9" s="23" t="n"/>
      <c r="L9" s="23" t="n"/>
      <c r="M9" s="23">
        <f>SUM(M6:M8)</f>
        <v/>
      </c>
      <c r="N9" s="23" t="n"/>
      <c r="O9" s="24">
        <f>1-SUM(O6:O8)/2</f>
        <v/>
      </c>
    </row>
    <row r="10"/>
    <row r="11">
      <c r="A11" s="11" t="inlineStr">
        <is>
          <t>8°</t>
        </is>
      </c>
      <c r="B11" s="11" t="inlineStr">
        <is>
          <t>PISA 2025</t>
        </is>
      </c>
      <c r="C11" s="11" t="inlineStr">
        <is>
          <t>Sistemas físicos</t>
        </is>
      </c>
      <c r="D11" s="11">
        <f>COUNTIFS('Datos - Temas'!$V$5:$V$1264,$A11,'Datos - Temas'!$AM$5:$AM$1264,$C11)</f>
        <v/>
      </c>
      <c r="E11" s="11">
        <f>COUNTIFS('Datos - Temas'!$V$5:$V$1264,$A11)-COUNTIFS('Datos - Temas'!$V$5:$V$1264,$A11,'Datos - Temas'!$AK$5:$AK$1264,"FUERA")-COUNTIFS('Datos - Temas'!$V$5:$V$1264,$A11,'Datos - Temas'!$AK$5:$AK$1264,"PENDIENTE")</f>
        <v/>
      </c>
      <c r="F11" s="13">
        <f>IF(E11=0,0,D11/E11)</f>
        <v/>
      </c>
      <c r="G11" s="21" t="n">
        <v>0.37</v>
      </c>
      <c r="H11" s="28">
        <f>G11*E11</f>
        <v/>
      </c>
      <c r="I11" s="28">
        <f>H11-D11</f>
        <v/>
      </c>
      <c r="J11" s="32">
        <f>(G11-F11)*100</f>
        <v/>
      </c>
      <c r="K11" s="33">
        <f>IF(ABS(G11-F11)&lt;=$H$2,"En meta",IF(I11&gt;0,"Faltan "&amp;FIXED(I11,0)&amp;" temas","Sobran "&amp;FIXED(-I11,0)&amp;" temas"))</f>
        <v/>
      </c>
      <c r="L11" s="28">
        <f>MAX(D11/G11,D12/G12,D13/G13)</f>
        <v/>
      </c>
      <c r="M11" s="11">
        <f>MAX(0,ROUNDUP(G11*L11-D11,0))</f>
        <v/>
      </c>
      <c r="N11" s="11">
        <f>COUNTIFS('Datos - Temas'!$V$5:$V$1264,$A11,'Datos - Temas'!$AK$5:$AK$1264,"FUERA")</f>
        <v/>
      </c>
      <c r="O11" s="13">
        <f>ABS(F11-G11)</f>
        <v/>
      </c>
    </row>
    <row r="12">
      <c r="A12" s="11" t="inlineStr">
        <is>
          <t>8°</t>
        </is>
      </c>
      <c r="B12" s="11" t="inlineStr">
        <is>
          <t>PISA 2025</t>
        </is>
      </c>
      <c r="C12" s="11" t="inlineStr">
        <is>
          <t>Sistemas vivos</t>
        </is>
      </c>
      <c r="D12" s="11">
        <f>COUNTIFS('Datos - Temas'!$V$5:$V$1264,$A12,'Datos - Temas'!$AM$5:$AM$1264,$C12)</f>
        <v/>
      </c>
      <c r="E12" s="11">
        <f>COUNTIFS('Datos - Temas'!$V$5:$V$1264,$A12)-COUNTIFS('Datos - Temas'!$V$5:$V$1264,$A12,'Datos - Temas'!$AK$5:$AK$1264,"FUERA")-COUNTIFS('Datos - Temas'!$V$5:$V$1264,$A12,'Datos - Temas'!$AK$5:$AK$1264,"PENDIENTE")</f>
        <v/>
      </c>
      <c r="F12" s="13">
        <f>IF(E12=0,0,D12/E12)</f>
        <v/>
      </c>
      <c r="G12" s="21" t="n">
        <v>0.37</v>
      </c>
      <c r="H12" s="28">
        <f>G12*E12</f>
        <v/>
      </c>
      <c r="I12" s="28">
        <f>H12-D12</f>
        <v/>
      </c>
      <c r="J12" s="32">
        <f>(G12-F12)*100</f>
        <v/>
      </c>
      <c r="K12" s="33">
        <f>IF(ABS(G12-F12)&lt;=$H$2,"En meta",IF(I12&gt;0,"Faltan "&amp;FIXED(I12,0)&amp;" temas","Sobran "&amp;FIXED(-I12,0)&amp;" temas"))</f>
        <v/>
      </c>
      <c r="L12" s="28">
        <f>MAX(D11/G11,D12/G12,D13/G13)</f>
        <v/>
      </c>
      <c r="M12" s="11">
        <f>MAX(0,ROUNDUP(G12*L12-D12,0))</f>
        <v/>
      </c>
      <c r="N12" s="11">
        <f>COUNTIFS('Datos - Temas'!$V$5:$V$1264,$A12,'Datos - Temas'!$AK$5:$AK$1264,"FUERA")</f>
        <v/>
      </c>
      <c r="O12" s="13">
        <f>ABS(F12-G12)</f>
        <v/>
      </c>
    </row>
    <row r="13">
      <c r="A13" s="11" t="inlineStr">
        <is>
          <t>8°</t>
        </is>
      </c>
      <c r="B13" s="11" t="inlineStr">
        <is>
          <t>PISA 2025</t>
        </is>
      </c>
      <c r="C13" s="11" t="inlineStr">
        <is>
          <t>Sistemas de la Tierra y el espacio</t>
        </is>
      </c>
      <c r="D13" s="11">
        <f>COUNTIFS('Datos - Temas'!$V$5:$V$1264,$A13,'Datos - Temas'!$AM$5:$AM$1264,$C13)</f>
        <v/>
      </c>
      <c r="E13" s="11">
        <f>COUNTIFS('Datos - Temas'!$V$5:$V$1264,$A13)-COUNTIFS('Datos - Temas'!$V$5:$V$1264,$A13,'Datos - Temas'!$AK$5:$AK$1264,"FUERA")-COUNTIFS('Datos - Temas'!$V$5:$V$1264,$A13,'Datos - Temas'!$AK$5:$AK$1264,"PENDIENTE")</f>
        <v/>
      </c>
      <c r="F13" s="13">
        <f>IF(E13=0,0,D13/E13)</f>
        <v/>
      </c>
      <c r="G13" s="21" t="n">
        <v>0.26</v>
      </c>
      <c r="H13" s="28">
        <f>G13*E13</f>
        <v/>
      </c>
      <c r="I13" s="28">
        <f>H13-D13</f>
        <v/>
      </c>
      <c r="J13" s="32">
        <f>(G13-F13)*100</f>
        <v/>
      </c>
      <c r="K13" s="33">
        <f>IF(ABS(G13-F13)&lt;=$H$2,"En meta",IF(I13&gt;0,"Faltan "&amp;FIXED(I13,0)&amp;" temas","Sobran "&amp;FIXED(-I13,0)&amp;" temas"))</f>
        <v/>
      </c>
      <c r="L13" s="28">
        <f>MAX(D11/G11,D12/G12,D13/G13)</f>
        <v/>
      </c>
      <c r="M13" s="11">
        <f>MAX(0,ROUNDUP(G13*L13-D13,0))</f>
        <v/>
      </c>
      <c r="N13" s="11">
        <f>COUNTIFS('Datos - Temas'!$V$5:$V$1264,$A13,'Datos - Temas'!$AK$5:$AK$1264,"FUERA")</f>
        <v/>
      </c>
      <c r="O13" s="13">
        <f>ABS(F13-G13)</f>
        <v/>
      </c>
    </row>
    <row r="14">
      <c r="A14" s="23" t="n"/>
      <c r="B14" s="23" t="n"/>
      <c r="C14" s="23" t="inlineStr">
        <is>
          <t>Total del grupo</t>
        </is>
      </c>
      <c r="D14" s="23">
        <f>SUM(D11:D13)</f>
        <v/>
      </c>
      <c r="E14" s="23" t="n"/>
      <c r="F14" s="23" t="n"/>
      <c r="G14" s="34">
        <f>SUM(G11:G13)</f>
        <v/>
      </c>
      <c r="H14" s="23" t="n"/>
      <c r="I14" s="23" t="n"/>
      <c r="J14" s="23" t="n"/>
      <c r="K14" s="23" t="n"/>
      <c r="L14" s="23" t="n"/>
      <c r="M14" s="23">
        <f>SUM(M11:M13)</f>
        <v/>
      </c>
      <c r="N14" s="23" t="n"/>
      <c r="O14" s="24">
        <f>1-SUM(O11:O13)/2</f>
        <v/>
      </c>
    </row>
    <row r="15"/>
    <row r="16">
      <c r="A16" s="11" t="inlineStr">
        <is>
          <t>9°</t>
        </is>
      </c>
      <c r="B16" s="11" t="inlineStr">
        <is>
          <t>PISA 2025</t>
        </is>
      </c>
      <c r="C16" s="11" t="inlineStr">
        <is>
          <t>Sistemas físicos</t>
        </is>
      </c>
      <c r="D16" s="11">
        <f>COUNTIFS('Datos - Temas'!$V$5:$V$1264,$A16,'Datos - Temas'!$AM$5:$AM$1264,$C16)</f>
        <v/>
      </c>
      <c r="E16" s="11">
        <f>COUNTIFS('Datos - Temas'!$V$5:$V$1264,$A16)-COUNTIFS('Datos - Temas'!$V$5:$V$1264,$A16,'Datos - Temas'!$AK$5:$AK$1264,"FUERA")-COUNTIFS('Datos - Temas'!$V$5:$V$1264,$A16,'Datos - Temas'!$AK$5:$AK$1264,"PENDIENTE")</f>
        <v/>
      </c>
      <c r="F16" s="13">
        <f>IF(E16=0,0,D16/E16)</f>
        <v/>
      </c>
      <c r="G16" s="21" t="n">
        <v>0.37</v>
      </c>
      <c r="H16" s="28">
        <f>G16*E16</f>
        <v/>
      </c>
      <c r="I16" s="28">
        <f>H16-D16</f>
        <v/>
      </c>
      <c r="J16" s="32">
        <f>(G16-F16)*100</f>
        <v/>
      </c>
      <c r="K16" s="33">
        <f>IF(ABS(G16-F16)&lt;=$H$2,"En meta",IF(I16&gt;0,"Faltan "&amp;FIXED(I16,0)&amp;" temas","Sobran "&amp;FIXED(-I16,0)&amp;" temas"))</f>
        <v/>
      </c>
      <c r="L16" s="28">
        <f>MAX(D16/G16,D17/G17,D18/G18)</f>
        <v/>
      </c>
      <c r="M16" s="11">
        <f>MAX(0,ROUNDUP(G16*L16-D16,0))</f>
        <v/>
      </c>
      <c r="N16" s="11">
        <f>COUNTIFS('Datos - Temas'!$V$5:$V$1264,$A16,'Datos - Temas'!$AK$5:$AK$1264,"FUERA")</f>
        <v/>
      </c>
      <c r="O16" s="13">
        <f>ABS(F16-G16)</f>
        <v/>
      </c>
    </row>
    <row r="17">
      <c r="A17" s="11" t="inlineStr">
        <is>
          <t>9°</t>
        </is>
      </c>
      <c r="B17" s="11" t="inlineStr">
        <is>
          <t>PISA 2025</t>
        </is>
      </c>
      <c r="C17" s="11" t="inlineStr">
        <is>
          <t>Sistemas vivos</t>
        </is>
      </c>
      <c r="D17" s="11">
        <f>COUNTIFS('Datos - Temas'!$V$5:$V$1264,$A17,'Datos - Temas'!$AM$5:$AM$1264,$C17)</f>
        <v/>
      </c>
      <c r="E17" s="11">
        <f>COUNTIFS('Datos - Temas'!$V$5:$V$1264,$A17)-COUNTIFS('Datos - Temas'!$V$5:$V$1264,$A17,'Datos - Temas'!$AK$5:$AK$1264,"FUERA")-COUNTIFS('Datos - Temas'!$V$5:$V$1264,$A17,'Datos - Temas'!$AK$5:$AK$1264,"PENDIENTE")</f>
        <v/>
      </c>
      <c r="F17" s="13">
        <f>IF(E17=0,0,D17/E17)</f>
        <v/>
      </c>
      <c r="G17" s="21" t="n">
        <v>0.37</v>
      </c>
      <c r="H17" s="28">
        <f>G17*E17</f>
        <v/>
      </c>
      <c r="I17" s="28">
        <f>H17-D17</f>
        <v/>
      </c>
      <c r="J17" s="32">
        <f>(G17-F17)*100</f>
        <v/>
      </c>
      <c r="K17" s="33">
        <f>IF(ABS(G17-F17)&lt;=$H$2,"En meta",IF(I17&gt;0,"Faltan "&amp;FIXED(I17,0)&amp;" temas","Sobran "&amp;FIXED(-I17,0)&amp;" temas"))</f>
        <v/>
      </c>
      <c r="L17" s="28">
        <f>MAX(D16/G16,D17/G17,D18/G18)</f>
        <v/>
      </c>
      <c r="M17" s="11">
        <f>MAX(0,ROUNDUP(G17*L17-D17,0))</f>
        <v/>
      </c>
      <c r="N17" s="11">
        <f>COUNTIFS('Datos - Temas'!$V$5:$V$1264,$A17,'Datos - Temas'!$AK$5:$AK$1264,"FUERA")</f>
        <v/>
      </c>
      <c r="O17" s="13">
        <f>ABS(F17-G17)</f>
        <v/>
      </c>
    </row>
    <row r="18">
      <c r="A18" s="11" t="inlineStr">
        <is>
          <t>9°</t>
        </is>
      </c>
      <c r="B18" s="11" t="inlineStr">
        <is>
          <t>PISA 2025</t>
        </is>
      </c>
      <c r="C18" s="11" t="inlineStr">
        <is>
          <t>Sistemas de la Tierra y el espacio</t>
        </is>
      </c>
      <c r="D18" s="11">
        <f>COUNTIFS('Datos - Temas'!$V$5:$V$1264,$A18,'Datos - Temas'!$AM$5:$AM$1264,$C18)</f>
        <v/>
      </c>
      <c r="E18" s="11">
        <f>COUNTIFS('Datos - Temas'!$V$5:$V$1264,$A18)-COUNTIFS('Datos - Temas'!$V$5:$V$1264,$A18,'Datos - Temas'!$AK$5:$AK$1264,"FUERA")-COUNTIFS('Datos - Temas'!$V$5:$V$1264,$A18,'Datos - Temas'!$AK$5:$AK$1264,"PENDIENTE")</f>
        <v/>
      </c>
      <c r="F18" s="13">
        <f>IF(E18=0,0,D18/E18)</f>
        <v/>
      </c>
      <c r="G18" s="21" t="n">
        <v>0.26</v>
      </c>
      <c r="H18" s="28">
        <f>G18*E18</f>
        <v/>
      </c>
      <c r="I18" s="28">
        <f>H18-D18</f>
        <v/>
      </c>
      <c r="J18" s="32">
        <f>(G18-F18)*100</f>
        <v/>
      </c>
      <c r="K18" s="33">
        <f>IF(ABS(G18-F18)&lt;=$H$2,"En meta",IF(I18&gt;0,"Faltan "&amp;FIXED(I18,0)&amp;" temas","Sobran "&amp;FIXED(-I18,0)&amp;" temas"))</f>
        <v/>
      </c>
      <c r="L18" s="28">
        <f>MAX(D16/G16,D17/G17,D18/G18)</f>
        <v/>
      </c>
      <c r="M18" s="11">
        <f>MAX(0,ROUNDUP(G18*L18-D18,0))</f>
        <v/>
      </c>
      <c r="N18" s="11">
        <f>COUNTIFS('Datos - Temas'!$V$5:$V$1264,$A18,'Datos - Temas'!$AK$5:$AK$1264,"FUERA")</f>
        <v/>
      </c>
      <c r="O18" s="13">
        <f>ABS(F18-G18)</f>
        <v/>
      </c>
    </row>
    <row r="19">
      <c r="A19" s="23" t="n"/>
      <c r="B19" s="23" t="n"/>
      <c r="C19" s="23" t="inlineStr">
        <is>
          <t>Total del grupo</t>
        </is>
      </c>
      <c r="D19" s="23">
        <f>SUM(D16:D18)</f>
        <v/>
      </c>
      <c r="E19" s="23" t="n"/>
      <c r="F19" s="23" t="n"/>
      <c r="G19" s="34">
        <f>SUM(G16:G18)</f>
        <v/>
      </c>
      <c r="H19" s="23" t="n"/>
      <c r="I19" s="23" t="n"/>
      <c r="J19" s="23" t="n"/>
      <c r="K19" s="23" t="n"/>
      <c r="L19" s="23" t="n"/>
      <c r="M19" s="23">
        <f>SUM(M16:M18)</f>
        <v/>
      </c>
      <c r="N19" s="23" t="n"/>
      <c r="O19" s="24">
        <f>1-SUM(O16:O18)/2</f>
        <v/>
      </c>
    </row>
    <row r="20"/>
    <row r="21">
      <c r="A21" s="11" t="inlineStr">
        <is>
          <t>Ciclo 7°–9°</t>
        </is>
      </c>
      <c r="B21" s="11" t="inlineStr">
        <is>
          <t>PISA 2025</t>
        </is>
      </c>
      <c r="C21" s="11" t="inlineStr">
        <is>
          <t>Sistemas físicos</t>
        </is>
      </c>
      <c r="D21" s="11">
        <f>COUNTIFS('Datos - Temas'!$AV$5:$AV$1264,$A21,'Datos - Temas'!$AM$5:$AM$1264,$C21)</f>
        <v/>
      </c>
      <c r="E21" s="11">
        <f>COUNTIFS('Datos - Temas'!$AV$5:$AV$1264,$A21)-COUNTIFS('Datos - Temas'!$AV$5:$AV$1264,$A21,'Datos - Temas'!$AK$5:$AK$1264,"FUERA")-COUNTIFS('Datos - Temas'!$AV$5:$AV$1264,$A21,'Datos - Temas'!$AK$5:$AK$1264,"PENDIENTE")</f>
        <v/>
      </c>
      <c r="F21" s="13">
        <f>IF(E21=0,0,D21/E21)</f>
        <v/>
      </c>
      <c r="G21" s="21" t="n">
        <v>0.37</v>
      </c>
      <c r="H21" s="28">
        <f>G21*E21</f>
        <v/>
      </c>
      <c r="I21" s="28">
        <f>H21-D21</f>
        <v/>
      </c>
      <c r="J21" s="32">
        <f>(G21-F21)*100</f>
        <v/>
      </c>
      <c r="K21" s="33">
        <f>IF(ABS(G21-F21)&lt;=$H$2,"En meta",IF(I21&gt;0,"Faltan "&amp;FIXED(I21,0)&amp;" temas","Sobran "&amp;FIXED(-I21,0)&amp;" temas"))</f>
        <v/>
      </c>
      <c r="L21" s="28">
        <f>MAX(D21/G21,D22/G22,D23/G23)</f>
        <v/>
      </c>
      <c r="M21" s="11">
        <f>MAX(0,ROUNDUP(G21*L21-D21,0))</f>
        <v/>
      </c>
      <c r="N21" s="11">
        <f>COUNTIFS('Datos - Temas'!$AV$5:$AV$1264,$A21,'Datos - Temas'!$AK$5:$AK$1264,"FUERA")</f>
        <v/>
      </c>
      <c r="O21" s="13">
        <f>ABS(F21-G21)</f>
        <v/>
      </c>
    </row>
    <row r="22">
      <c r="A22" s="11" t="inlineStr">
        <is>
          <t>Ciclo 7°–9°</t>
        </is>
      </c>
      <c r="B22" s="11" t="inlineStr">
        <is>
          <t>PISA 2025</t>
        </is>
      </c>
      <c r="C22" s="11" t="inlineStr">
        <is>
          <t>Sistemas vivos</t>
        </is>
      </c>
      <c r="D22" s="11">
        <f>COUNTIFS('Datos - Temas'!$AV$5:$AV$1264,$A22,'Datos - Temas'!$AM$5:$AM$1264,$C22)</f>
        <v/>
      </c>
      <c r="E22" s="11">
        <f>COUNTIFS('Datos - Temas'!$AV$5:$AV$1264,$A22)-COUNTIFS('Datos - Temas'!$AV$5:$AV$1264,$A22,'Datos - Temas'!$AK$5:$AK$1264,"FUERA")-COUNTIFS('Datos - Temas'!$AV$5:$AV$1264,$A22,'Datos - Temas'!$AK$5:$AK$1264,"PENDIENTE")</f>
        <v/>
      </c>
      <c r="F22" s="13">
        <f>IF(E22=0,0,D22/E22)</f>
        <v/>
      </c>
      <c r="G22" s="21" t="n">
        <v>0.37</v>
      </c>
      <c r="H22" s="28">
        <f>G22*E22</f>
        <v/>
      </c>
      <c r="I22" s="28">
        <f>H22-D22</f>
        <v/>
      </c>
      <c r="J22" s="32">
        <f>(G22-F22)*100</f>
        <v/>
      </c>
      <c r="K22" s="33">
        <f>IF(ABS(G22-F22)&lt;=$H$2,"En meta",IF(I22&gt;0,"Faltan "&amp;FIXED(I22,0)&amp;" temas","Sobran "&amp;FIXED(-I22,0)&amp;" temas"))</f>
        <v/>
      </c>
      <c r="L22" s="28">
        <f>MAX(D21/G21,D22/G22,D23/G23)</f>
        <v/>
      </c>
      <c r="M22" s="11">
        <f>MAX(0,ROUNDUP(G22*L22-D22,0))</f>
        <v/>
      </c>
      <c r="N22" s="11">
        <f>COUNTIFS('Datos - Temas'!$AV$5:$AV$1264,$A22,'Datos - Temas'!$AK$5:$AK$1264,"FUERA")</f>
        <v/>
      </c>
      <c r="O22" s="13">
        <f>ABS(F22-G22)</f>
        <v/>
      </c>
    </row>
    <row r="23">
      <c r="A23" s="11" t="inlineStr">
        <is>
          <t>Ciclo 7°–9°</t>
        </is>
      </c>
      <c r="B23" s="11" t="inlineStr">
        <is>
          <t>PISA 2025</t>
        </is>
      </c>
      <c r="C23" s="11" t="inlineStr">
        <is>
          <t>Sistemas de la Tierra y el espacio</t>
        </is>
      </c>
      <c r="D23" s="11">
        <f>COUNTIFS('Datos - Temas'!$AV$5:$AV$1264,$A23,'Datos - Temas'!$AM$5:$AM$1264,$C23)</f>
        <v/>
      </c>
      <c r="E23" s="11">
        <f>COUNTIFS('Datos - Temas'!$AV$5:$AV$1264,$A23)-COUNTIFS('Datos - Temas'!$AV$5:$AV$1264,$A23,'Datos - Temas'!$AK$5:$AK$1264,"FUERA")-COUNTIFS('Datos - Temas'!$AV$5:$AV$1264,$A23,'Datos - Temas'!$AK$5:$AK$1264,"PENDIENTE")</f>
        <v/>
      </c>
      <c r="F23" s="13">
        <f>IF(E23=0,0,D23/E23)</f>
        <v/>
      </c>
      <c r="G23" s="21" t="n">
        <v>0.26</v>
      </c>
      <c r="H23" s="28">
        <f>G23*E23</f>
        <v/>
      </c>
      <c r="I23" s="28">
        <f>H23-D23</f>
        <v/>
      </c>
      <c r="J23" s="32">
        <f>(G23-F23)*100</f>
        <v/>
      </c>
      <c r="K23" s="33">
        <f>IF(ABS(G23-F23)&lt;=$H$2,"En meta",IF(I23&gt;0,"Faltan "&amp;FIXED(I23,0)&amp;" temas","Sobran "&amp;FIXED(-I23,0)&amp;" temas"))</f>
        <v/>
      </c>
      <c r="L23" s="28">
        <f>MAX(D21/G21,D22/G22,D23/G23)</f>
        <v/>
      </c>
      <c r="M23" s="11">
        <f>MAX(0,ROUNDUP(G23*L23-D23,0))</f>
        <v/>
      </c>
      <c r="N23" s="11">
        <f>COUNTIFS('Datos - Temas'!$AV$5:$AV$1264,$A23,'Datos - Temas'!$AK$5:$AK$1264,"FUERA")</f>
        <v/>
      </c>
      <c r="O23" s="13">
        <f>ABS(F23-G23)</f>
        <v/>
      </c>
    </row>
    <row r="24">
      <c r="A24" s="23" t="n"/>
      <c r="B24" s="23" t="n"/>
      <c r="C24" s="23" t="inlineStr">
        <is>
          <t>Total del grupo</t>
        </is>
      </c>
      <c r="D24" s="23">
        <f>SUM(D21:D23)</f>
        <v/>
      </c>
      <c r="E24" s="23" t="n"/>
      <c r="F24" s="23" t="n"/>
      <c r="G24" s="34">
        <f>SUM(G21:G23)</f>
        <v/>
      </c>
      <c r="H24" s="23" t="n"/>
      <c r="I24" s="23" t="n"/>
      <c r="J24" s="23" t="n"/>
      <c r="K24" s="23" t="n"/>
      <c r="L24" s="23" t="n"/>
      <c r="M24" s="23">
        <f>SUM(M21:M23)</f>
        <v/>
      </c>
      <c r="N24" s="23" t="n"/>
      <c r="O24" s="24">
        <f>1-SUM(O21:O23)/2</f>
        <v/>
      </c>
    </row>
    <row r="25"/>
    <row r="26"/>
    <row r="27">
      <c r="A27" s="16" t="inlineStr">
        <is>
          <t>Cobertura de las 21 categorías de contenido de PISA (Box 2.6): n.º de temas por grado (principal o secundario)</t>
        </is>
      </c>
    </row>
    <row r="28" ht="32" customHeight="1">
      <c r="A28" s="10" t="inlineStr">
        <is>
          <t>Código</t>
        </is>
      </c>
      <c r="B28" s="10" t="inlineStr">
        <is>
          <t>Sistema</t>
        </is>
      </c>
      <c r="C28" s="10" t="inlineStr">
        <is>
          <t>Categoría de contenido (paráfrasis)</t>
        </is>
      </c>
      <c r="D28" s="10" t="inlineStr">
        <is>
          <t>7°</t>
        </is>
      </c>
      <c r="E28" s="10" t="inlineStr">
        <is>
          <t>8°</t>
        </is>
      </c>
      <c r="F28" s="10" t="inlineStr">
        <is>
          <t>9°</t>
        </is>
      </c>
      <c r="G28" s="10" t="inlineStr">
        <is>
          <t>Total 7°–9°</t>
        </is>
      </c>
      <c r="H28" s="10" t="inlineStr">
        <is>
          <t>Estado (semáforo)</t>
        </is>
      </c>
      <c r="I28" s="10" t="inlineStr">
        <is>
          <t>Primer grado</t>
        </is>
      </c>
    </row>
    <row r="29">
      <c r="A29" s="30" t="inlineStr">
        <is>
          <t>PISA-F1</t>
        </is>
      </c>
      <c r="B29" s="30" t="inlineStr">
        <is>
          <t>Sistemas físicos</t>
        </is>
      </c>
      <c r="C29" s="30" t="inlineStr">
        <is>
          <t>Estructura y propiedades de la materia (modelo de partículas, enlaces, cambios de estado, conductividad térmica y eléctrica)</t>
        </is>
      </c>
      <c r="D29" s="30">
        <f>COUNTIFS('Datos - Temas'!$V$5:$V$1264,D$28,'Datos - Temas'!$AK$5:$AK$1264,$A29)+COUNTIFS('Datos - Temas'!$V$5:$V$1264,D$28,'Datos - Temas'!$AL$5:$AL$1264,$A29)</f>
        <v/>
      </c>
      <c r="E29" s="30">
        <f>COUNTIFS('Datos - Temas'!$V$5:$V$1264,E$28,'Datos - Temas'!$AK$5:$AK$1264,$A29)+COUNTIFS('Datos - Temas'!$V$5:$V$1264,E$28,'Datos - Temas'!$AL$5:$AL$1264,$A29)</f>
        <v/>
      </c>
      <c r="F29" s="30">
        <f>COUNTIFS('Datos - Temas'!$V$5:$V$1264,F$28,'Datos - Temas'!$AK$5:$AK$1264,$A29)+COUNTIFS('Datos - Temas'!$V$5:$V$1264,F$28,'Datos - Temas'!$AL$5:$AL$1264,$A29)</f>
        <v/>
      </c>
      <c r="G29" s="30">
        <f>SUM(D29:F29)</f>
        <v/>
      </c>
      <c r="H29" s="30">
        <f>IF(G29=0,"No cubierto",IF(G29=1,"Débil (1 tema)",IF(G29&lt;=3,"Básica (2–3)","Sólida (4+)")))</f>
        <v/>
      </c>
      <c r="I29" s="30">
        <f>IFERROR(INDEX($D$28:$F$28,MATCH(TRUE,INDEX(D29:F29&gt;0,0),0)),"—")</f>
        <v/>
      </c>
    </row>
    <row r="30">
      <c r="A30" s="30" t="inlineStr">
        <is>
          <t>PISA-F2</t>
        </is>
      </c>
      <c r="B30" s="30" t="inlineStr">
        <is>
          <t>Sistemas físicos</t>
        </is>
      </c>
      <c r="C30" s="30" t="inlineStr">
        <is>
          <t>Cambios químicos de la materia (reacciones químicas, transferencia de energía, ácidos y bases)</t>
        </is>
      </c>
      <c r="D30" s="30">
        <f>COUNTIFS('Datos - Temas'!$V$5:$V$1264,D$28,'Datos - Temas'!$AK$5:$AK$1264,$A30)+COUNTIFS('Datos - Temas'!$V$5:$V$1264,D$28,'Datos - Temas'!$AL$5:$AL$1264,$A30)</f>
        <v/>
      </c>
      <c r="E30" s="30">
        <f>COUNTIFS('Datos - Temas'!$V$5:$V$1264,E$28,'Datos - Temas'!$AK$5:$AK$1264,$A30)+COUNTIFS('Datos - Temas'!$V$5:$V$1264,E$28,'Datos - Temas'!$AL$5:$AL$1264,$A30)</f>
        <v/>
      </c>
      <c r="F30" s="30">
        <f>COUNTIFS('Datos - Temas'!$V$5:$V$1264,F$28,'Datos - Temas'!$AK$5:$AK$1264,$A30)+COUNTIFS('Datos - Temas'!$V$5:$V$1264,F$28,'Datos - Temas'!$AL$5:$AL$1264,$A30)</f>
        <v/>
      </c>
      <c r="G30" s="30">
        <f>SUM(D30:F30)</f>
        <v/>
      </c>
      <c r="H30" s="30">
        <f>IF(G30=0,"No cubierto",IF(G30=1,"Débil (1 tema)",IF(G30&lt;=3,"Básica (2–3)","Sólida (4+)")))</f>
        <v/>
      </c>
      <c r="I30" s="30">
        <f>IFERROR(INDEX($D$28:$F$28,MATCH(TRUE,INDEX(D30:F30&gt;0,0),0)),"—")</f>
        <v/>
      </c>
    </row>
    <row r="31">
      <c r="A31" s="30" t="inlineStr">
        <is>
          <t>PISA-F3</t>
        </is>
      </c>
      <c r="B31" s="30" t="inlineStr">
        <is>
          <t>Sistemas físicos</t>
        </is>
      </c>
      <c r="C31" s="30" t="inlineStr">
        <is>
          <t>Movimiento y fuerzas (velocidad, fricción) y acción a distancia (fuerzas magnéticas, gravitatorias y electrostáticas)</t>
        </is>
      </c>
      <c r="D31" s="30">
        <f>COUNTIFS('Datos - Temas'!$V$5:$V$1264,D$28,'Datos - Temas'!$AK$5:$AK$1264,$A31)+COUNTIFS('Datos - Temas'!$V$5:$V$1264,D$28,'Datos - Temas'!$AL$5:$AL$1264,$A31)</f>
        <v/>
      </c>
      <c r="E31" s="30">
        <f>COUNTIFS('Datos - Temas'!$V$5:$V$1264,E$28,'Datos - Temas'!$AK$5:$AK$1264,$A31)+COUNTIFS('Datos - Temas'!$V$5:$V$1264,E$28,'Datos - Temas'!$AL$5:$AL$1264,$A31)</f>
        <v/>
      </c>
      <c r="F31" s="30">
        <f>COUNTIFS('Datos - Temas'!$V$5:$V$1264,F$28,'Datos - Temas'!$AK$5:$AK$1264,$A31)+COUNTIFS('Datos - Temas'!$V$5:$V$1264,F$28,'Datos - Temas'!$AL$5:$AL$1264,$A31)</f>
        <v/>
      </c>
      <c r="G31" s="30">
        <f>SUM(D31:F31)</f>
        <v/>
      </c>
      <c r="H31" s="30">
        <f>IF(G31=0,"No cubierto",IF(G31=1,"Débil (1 tema)",IF(G31&lt;=3,"Básica (2–3)","Sólida (4+)")))</f>
        <v/>
      </c>
      <c r="I31" s="30">
        <f>IFERROR(INDEX($D$28:$F$28,MATCH(TRUE,INDEX(D31:F31&gt;0,0),0)),"—")</f>
        <v/>
      </c>
    </row>
    <row r="32">
      <c r="A32" s="30" t="inlineStr">
        <is>
          <t>PISA-F4</t>
        </is>
      </c>
      <c r="B32" s="30" t="inlineStr">
        <is>
          <t>Sistemas físicos</t>
        </is>
      </c>
      <c r="C32" s="30" t="inlineStr">
        <is>
          <t>La energía y su transferencia (conservación, disipación, reacciones químicas)</t>
        </is>
      </c>
      <c r="D32" s="30">
        <f>COUNTIFS('Datos - Temas'!$V$5:$V$1264,D$28,'Datos - Temas'!$AK$5:$AK$1264,$A32)+COUNTIFS('Datos - Temas'!$V$5:$V$1264,D$28,'Datos - Temas'!$AL$5:$AL$1264,$A32)</f>
        <v/>
      </c>
      <c r="E32" s="30">
        <f>COUNTIFS('Datos - Temas'!$V$5:$V$1264,E$28,'Datos - Temas'!$AK$5:$AK$1264,$A32)+COUNTIFS('Datos - Temas'!$V$5:$V$1264,E$28,'Datos - Temas'!$AL$5:$AL$1264,$A32)</f>
        <v/>
      </c>
      <c r="F32" s="30">
        <f>COUNTIFS('Datos - Temas'!$V$5:$V$1264,F$28,'Datos - Temas'!$AK$5:$AK$1264,$A32)+COUNTIFS('Datos - Temas'!$V$5:$V$1264,F$28,'Datos - Temas'!$AL$5:$AL$1264,$A32)</f>
        <v/>
      </c>
      <c r="G32" s="30">
        <f>SUM(D32:F32)</f>
        <v/>
      </c>
      <c r="H32" s="30">
        <f>IF(G32=0,"No cubierto",IF(G32=1,"Débil (1 tema)",IF(G32&lt;=3,"Básica (2–3)","Sólida (4+)")))</f>
        <v/>
      </c>
      <c r="I32" s="30">
        <f>IFERROR(INDEX($D$28:$F$28,MATCH(TRUE,INDEX(D32:F32&gt;0,0),0)),"—")</f>
        <v/>
      </c>
    </row>
    <row r="33">
      <c r="A33" s="30" t="inlineStr">
        <is>
          <t>PISA-F5</t>
        </is>
      </c>
      <c r="B33" s="30" t="inlineStr">
        <is>
          <t>Sistemas físicos</t>
        </is>
      </c>
      <c r="C33" s="30" t="inlineStr">
        <is>
          <t>Interacciones entre energía y materia (luz y ondas de radio, sonido y ondas sísmicas, absorción de radiación por el CO2)</t>
        </is>
      </c>
      <c r="D33" s="30">
        <f>COUNTIFS('Datos - Temas'!$V$5:$V$1264,D$28,'Datos - Temas'!$AK$5:$AK$1264,$A33)+COUNTIFS('Datos - Temas'!$V$5:$V$1264,D$28,'Datos - Temas'!$AL$5:$AL$1264,$A33)</f>
        <v/>
      </c>
      <c r="E33" s="30">
        <f>COUNTIFS('Datos - Temas'!$V$5:$V$1264,E$28,'Datos - Temas'!$AK$5:$AK$1264,$A33)+COUNTIFS('Datos - Temas'!$V$5:$V$1264,E$28,'Datos - Temas'!$AL$5:$AL$1264,$A33)</f>
        <v/>
      </c>
      <c r="F33" s="30">
        <f>COUNTIFS('Datos - Temas'!$V$5:$V$1264,F$28,'Datos - Temas'!$AK$5:$AK$1264,$A33)+COUNTIFS('Datos - Temas'!$V$5:$V$1264,F$28,'Datos - Temas'!$AL$5:$AL$1264,$A33)</f>
        <v/>
      </c>
      <c r="G33" s="30">
        <f>SUM(D33:F33)</f>
        <v/>
      </c>
      <c r="H33" s="30">
        <f>IF(G33=0,"No cubierto",IF(G33=1,"Débil (1 tema)",IF(G33&lt;=3,"Básica (2–3)","Sólida (4+)")))</f>
        <v/>
      </c>
      <c r="I33" s="30">
        <f>IFERROR(INDEX($D$28:$F$28,MATCH(TRUE,INDEX(D33:F33&gt;0,0),0)),"—")</f>
        <v/>
      </c>
    </row>
    <row r="34">
      <c r="A34" s="30" t="inlineStr">
        <is>
          <t>PISA-V1</t>
        </is>
      </c>
      <c r="B34" s="30" t="inlineStr">
        <is>
          <t>Sistemas vivos</t>
        </is>
      </c>
      <c r="C34" s="30" t="inlineStr">
        <is>
          <t>El concepto de organismo (animales, plantas y microorganismos como virus y bacterias)</t>
        </is>
      </c>
      <c r="D34" s="30">
        <f>COUNTIFS('Datos - Temas'!$V$5:$V$1264,D$28,'Datos - Temas'!$AK$5:$AK$1264,$A34)+COUNTIFS('Datos - Temas'!$V$5:$V$1264,D$28,'Datos - Temas'!$AL$5:$AL$1264,$A34)</f>
        <v/>
      </c>
      <c r="E34" s="30">
        <f>COUNTIFS('Datos - Temas'!$V$5:$V$1264,E$28,'Datos - Temas'!$AK$5:$AK$1264,$A34)+COUNTIFS('Datos - Temas'!$V$5:$V$1264,E$28,'Datos - Temas'!$AL$5:$AL$1264,$A34)</f>
        <v/>
      </c>
      <c r="F34" s="30">
        <f>COUNTIFS('Datos - Temas'!$V$5:$V$1264,F$28,'Datos - Temas'!$AK$5:$AK$1264,$A34)+COUNTIFS('Datos - Temas'!$V$5:$V$1264,F$28,'Datos - Temas'!$AL$5:$AL$1264,$A34)</f>
        <v/>
      </c>
      <c r="G34" s="30">
        <f>SUM(D34:F34)</f>
        <v/>
      </c>
      <c r="H34" s="30">
        <f>IF(G34=0,"No cubierto",IF(G34=1,"Débil (1 tema)",IF(G34&lt;=3,"Básica (2–3)","Sólida (4+)")))</f>
        <v/>
      </c>
      <c r="I34" s="30">
        <f>IFERROR(INDEX($D$28:$F$28,MATCH(TRUE,INDEX(D34:F34&gt;0,0),0)),"—")</f>
        <v/>
      </c>
    </row>
    <row r="35">
      <c r="A35" s="30" t="inlineStr">
        <is>
          <t>PISA-V2</t>
        </is>
      </c>
      <c r="B35" s="30" t="inlineStr">
        <is>
          <t>Sistemas vivos</t>
        </is>
      </c>
      <c r="C35" s="30" t="inlineStr">
        <is>
          <t>Genes (expresión, herencia, biotecnología) y su interacción con el ambiente</t>
        </is>
      </c>
      <c r="D35" s="30">
        <f>COUNTIFS('Datos - Temas'!$V$5:$V$1264,D$28,'Datos - Temas'!$AK$5:$AK$1264,$A35)+COUNTIFS('Datos - Temas'!$V$5:$V$1264,D$28,'Datos - Temas'!$AL$5:$AL$1264,$A35)</f>
        <v/>
      </c>
      <c r="E35" s="30">
        <f>COUNTIFS('Datos - Temas'!$V$5:$V$1264,E$28,'Datos - Temas'!$AK$5:$AK$1264,$A35)+COUNTIFS('Datos - Temas'!$V$5:$V$1264,E$28,'Datos - Temas'!$AL$5:$AL$1264,$A35)</f>
        <v/>
      </c>
      <c r="F35" s="30">
        <f>COUNTIFS('Datos - Temas'!$V$5:$V$1264,F$28,'Datos - Temas'!$AK$5:$AK$1264,$A35)+COUNTIFS('Datos - Temas'!$V$5:$V$1264,F$28,'Datos - Temas'!$AL$5:$AL$1264,$A35)</f>
        <v/>
      </c>
      <c r="G35" s="30">
        <f>SUM(D35:F35)</f>
        <v/>
      </c>
      <c r="H35" s="30">
        <f>IF(G35=0,"No cubierto",IF(G35=1,"Débil (1 tema)",IF(G35&lt;=3,"Básica (2–3)","Sólida (4+)")))</f>
        <v/>
      </c>
      <c r="I35" s="30">
        <f>IFERROR(INDEX($D$28:$F$28,MATCH(TRUE,INDEX(D35:F35&gt;0,0),0)),"—")</f>
        <v/>
      </c>
    </row>
    <row r="36">
      <c r="A36" s="30" t="inlineStr">
        <is>
          <t>PISA-V3</t>
        </is>
      </c>
      <c r="B36" s="30" t="inlineStr">
        <is>
          <t>Sistemas vivos</t>
        </is>
      </c>
      <c r="C36" s="30" t="inlineStr">
        <is>
          <t>Células: estructura y función, energía, respiración, fotosíntesis, crecimiento</t>
        </is>
      </c>
      <c r="D36" s="30">
        <f>COUNTIFS('Datos - Temas'!$V$5:$V$1264,D$28,'Datos - Temas'!$AK$5:$AK$1264,$A36)+COUNTIFS('Datos - Temas'!$V$5:$V$1264,D$28,'Datos - Temas'!$AL$5:$AL$1264,$A36)</f>
        <v/>
      </c>
      <c r="E36" s="30">
        <f>COUNTIFS('Datos - Temas'!$V$5:$V$1264,E$28,'Datos - Temas'!$AK$5:$AK$1264,$A36)+COUNTIFS('Datos - Temas'!$V$5:$V$1264,E$28,'Datos - Temas'!$AL$5:$AL$1264,$A36)</f>
        <v/>
      </c>
      <c r="F36" s="30">
        <f>COUNTIFS('Datos - Temas'!$V$5:$V$1264,F$28,'Datos - Temas'!$AK$5:$AK$1264,$A36)+COUNTIFS('Datos - Temas'!$V$5:$V$1264,F$28,'Datos - Temas'!$AL$5:$AL$1264,$A36)</f>
        <v/>
      </c>
      <c r="G36" s="30">
        <f>SUM(D36:F36)</f>
        <v/>
      </c>
      <c r="H36" s="30">
        <f>IF(G36=0,"No cubierto",IF(G36=1,"Débil (1 tema)",IF(G36&lt;=3,"Básica (2–3)","Sólida (4+)")))</f>
        <v/>
      </c>
      <c r="I36" s="30">
        <f>IFERROR(INDEX($D$28:$F$28,MATCH(TRUE,INDEX(D36:F36&gt;0,0),0)),"—")</f>
        <v/>
      </c>
    </row>
    <row r="37">
      <c r="A37" s="30" t="inlineStr">
        <is>
          <t>PISA-V4</t>
        </is>
      </c>
      <c r="B37" s="30" t="inlineStr">
        <is>
          <t>Sistemas vivos</t>
        </is>
      </c>
      <c r="C37" s="30" t="inlineStr">
        <is>
          <t>Sistemas de plantas y animales, su salud y mantenimiento (circulación, reproducción, respiración, excreción, nutrición)</t>
        </is>
      </c>
      <c r="D37" s="30">
        <f>COUNTIFS('Datos - Temas'!$V$5:$V$1264,D$28,'Datos - Temas'!$AK$5:$AK$1264,$A37)+COUNTIFS('Datos - Temas'!$V$5:$V$1264,D$28,'Datos - Temas'!$AL$5:$AL$1264,$A37)</f>
        <v/>
      </c>
      <c r="E37" s="30">
        <f>COUNTIFS('Datos - Temas'!$V$5:$V$1264,E$28,'Datos - Temas'!$AK$5:$AK$1264,$A37)+COUNTIFS('Datos - Temas'!$V$5:$V$1264,E$28,'Datos - Temas'!$AL$5:$AL$1264,$A37)</f>
        <v/>
      </c>
      <c r="F37" s="30">
        <f>COUNTIFS('Datos - Temas'!$V$5:$V$1264,F$28,'Datos - Temas'!$AK$5:$AK$1264,$A37)+COUNTIFS('Datos - Temas'!$V$5:$V$1264,F$28,'Datos - Temas'!$AL$5:$AL$1264,$A37)</f>
        <v/>
      </c>
      <c r="G37" s="30">
        <f>SUM(D37:F37)</f>
        <v/>
      </c>
      <c r="H37" s="30">
        <f>IF(G37=0,"No cubierto",IF(G37=1,"Débil (1 tema)",IF(G37&lt;=3,"Básica (2–3)","Sólida (4+)")))</f>
        <v/>
      </c>
      <c r="I37" s="30">
        <f>IFERROR(INDEX($D$28:$F$28,MATCH(TRUE,INDEX(D37:F37&gt;0,0),0)),"—")</f>
        <v/>
      </c>
    </row>
    <row r="38">
      <c r="A38" s="30" t="inlineStr">
        <is>
          <t>PISA-V5</t>
        </is>
      </c>
      <c r="B38" s="30" t="inlineStr">
        <is>
          <t>Sistemas vivos</t>
        </is>
      </c>
      <c r="C38" s="30" t="inlineStr">
        <is>
          <t>Evolución biológica (biodiversidad, variación genética, adaptación y selección natural)</t>
        </is>
      </c>
      <c r="D38" s="30">
        <f>COUNTIFS('Datos - Temas'!$V$5:$V$1264,D$28,'Datos - Temas'!$AK$5:$AK$1264,$A38)+COUNTIFS('Datos - Temas'!$V$5:$V$1264,D$28,'Datos - Temas'!$AL$5:$AL$1264,$A38)</f>
        <v/>
      </c>
      <c r="E38" s="30">
        <f>COUNTIFS('Datos - Temas'!$V$5:$V$1264,E$28,'Datos - Temas'!$AK$5:$AK$1264,$A38)+COUNTIFS('Datos - Temas'!$V$5:$V$1264,E$28,'Datos - Temas'!$AL$5:$AL$1264,$A38)</f>
        <v/>
      </c>
      <c r="F38" s="30">
        <f>COUNTIFS('Datos - Temas'!$V$5:$V$1264,F$28,'Datos - Temas'!$AK$5:$AK$1264,$A38)+COUNTIFS('Datos - Temas'!$V$5:$V$1264,F$28,'Datos - Temas'!$AL$5:$AL$1264,$A38)</f>
        <v/>
      </c>
      <c r="G38" s="30">
        <f>SUM(D38:F38)</f>
        <v/>
      </c>
      <c r="H38" s="30">
        <f>IF(G38=0,"No cubierto",IF(G38=1,"Débil (1 tema)",IF(G38&lt;=3,"Básica (2–3)","Sólida (4+)")))</f>
        <v/>
      </c>
      <c r="I38" s="30">
        <f>IFERROR(INDEX($D$28:$F$28,MATCH(TRUE,INDEX(D38:F38&gt;0,0),0)),"—")</f>
        <v/>
      </c>
    </row>
    <row r="39">
      <c r="A39" s="30" t="inlineStr">
        <is>
          <t>PISA-V6</t>
        </is>
      </c>
      <c r="B39" s="30" t="inlineStr">
        <is>
          <t>Sistemas vivos</t>
        </is>
      </c>
      <c r="C39" s="30" t="inlineStr">
        <is>
          <t>Ecosistemas (flujo de materia y energía, cadenas alimentarias, hábitat, perturbaciones como la contaminación)</t>
        </is>
      </c>
      <c r="D39" s="30">
        <f>COUNTIFS('Datos - Temas'!$V$5:$V$1264,D$28,'Datos - Temas'!$AK$5:$AK$1264,$A39)+COUNTIFS('Datos - Temas'!$V$5:$V$1264,D$28,'Datos - Temas'!$AL$5:$AL$1264,$A39)</f>
        <v/>
      </c>
      <c r="E39" s="30">
        <f>COUNTIFS('Datos - Temas'!$V$5:$V$1264,E$28,'Datos - Temas'!$AK$5:$AK$1264,$A39)+COUNTIFS('Datos - Temas'!$V$5:$V$1264,E$28,'Datos - Temas'!$AL$5:$AL$1264,$A39)</f>
        <v/>
      </c>
      <c r="F39" s="30">
        <f>COUNTIFS('Datos - Temas'!$V$5:$V$1264,F$28,'Datos - Temas'!$AK$5:$AK$1264,$A39)+COUNTIFS('Datos - Temas'!$V$5:$V$1264,F$28,'Datos - Temas'!$AL$5:$AL$1264,$A39)</f>
        <v/>
      </c>
      <c r="G39" s="30">
        <f>SUM(D39:F39)</f>
        <v/>
      </c>
      <c r="H39" s="30">
        <f>IF(G39=0,"No cubierto",IF(G39=1,"Débil (1 tema)",IF(G39&lt;=3,"Básica (2–3)","Sólida (4+)")))</f>
        <v/>
      </c>
      <c r="I39" s="30">
        <f>IFERROR(INDEX($D$28:$F$28,MATCH(TRUE,INDEX(D39:F39&gt;0,0),0)),"—")</f>
        <v/>
      </c>
    </row>
    <row r="40">
      <c r="A40" s="30" t="inlineStr">
        <is>
          <t>PISA-V7</t>
        </is>
      </c>
      <c r="B40" s="30" t="inlineStr">
        <is>
          <t>Sistemas vivos</t>
        </is>
      </c>
      <c r="C40" s="30" t="inlineStr">
        <is>
          <t>La biosfera (sostenibilidad del ecosistema global)</t>
        </is>
      </c>
      <c r="D40" s="30">
        <f>COUNTIFS('Datos - Temas'!$V$5:$V$1264,D$28,'Datos - Temas'!$AK$5:$AK$1264,$A40)+COUNTIFS('Datos - Temas'!$V$5:$V$1264,D$28,'Datos - Temas'!$AL$5:$AL$1264,$A40)</f>
        <v/>
      </c>
      <c r="E40" s="30">
        <f>COUNTIFS('Datos - Temas'!$V$5:$V$1264,E$28,'Datos - Temas'!$AK$5:$AK$1264,$A40)+COUNTIFS('Datos - Temas'!$V$5:$V$1264,E$28,'Datos - Temas'!$AL$5:$AL$1264,$A40)</f>
        <v/>
      </c>
      <c r="F40" s="30">
        <f>COUNTIFS('Datos - Temas'!$V$5:$V$1264,F$28,'Datos - Temas'!$AK$5:$AK$1264,$A40)+COUNTIFS('Datos - Temas'!$V$5:$V$1264,F$28,'Datos - Temas'!$AL$5:$AL$1264,$A40)</f>
        <v/>
      </c>
      <c r="G40" s="30">
        <f>SUM(D40:F40)</f>
        <v/>
      </c>
      <c r="H40" s="30">
        <f>IF(G40=0,"No cubierto",IF(G40=1,"Débil (1 tema)",IF(G40&lt;=3,"Básica (2–3)","Sólida (4+)")))</f>
        <v/>
      </c>
      <c r="I40" s="30">
        <f>IFERROR(INDEX($D$28:$F$28,MATCH(TRUE,INDEX(D40:F40&gt;0,0),0)),"—")</f>
        <v/>
      </c>
    </row>
    <row r="41">
      <c r="A41" s="30" t="inlineStr">
        <is>
          <t>PISA-V8</t>
        </is>
      </c>
      <c r="B41" s="30" t="inlineStr">
        <is>
          <t>Sistemas vivos</t>
        </is>
      </c>
      <c r="C41" s="30" t="inlineStr">
        <is>
          <t>Interacciones de los seres humanos y su impacto en el ambiente, otras especies y la sostenibilidad</t>
        </is>
      </c>
      <c r="D41" s="30">
        <f>COUNTIFS('Datos - Temas'!$V$5:$V$1264,D$28,'Datos - Temas'!$AK$5:$AK$1264,$A41)+COUNTIFS('Datos - Temas'!$V$5:$V$1264,D$28,'Datos - Temas'!$AL$5:$AL$1264,$A41)</f>
        <v/>
      </c>
      <c r="E41" s="30">
        <f>COUNTIFS('Datos - Temas'!$V$5:$V$1264,E$28,'Datos - Temas'!$AK$5:$AK$1264,$A41)+COUNTIFS('Datos - Temas'!$V$5:$V$1264,E$28,'Datos - Temas'!$AL$5:$AL$1264,$A41)</f>
        <v/>
      </c>
      <c r="F41" s="30">
        <f>COUNTIFS('Datos - Temas'!$V$5:$V$1264,F$28,'Datos - Temas'!$AK$5:$AK$1264,$A41)+COUNTIFS('Datos - Temas'!$V$5:$V$1264,F$28,'Datos - Temas'!$AL$5:$AL$1264,$A41)</f>
        <v/>
      </c>
      <c r="G41" s="30">
        <f>SUM(D41:F41)</f>
        <v/>
      </c>
      <c r="H41" s="30">
        <f>IF(G41=0,"No cubierto",IF(G41=1,"Débil (1 tema)",IF(G41&lt;=3,"Básica (2–3)","Sólida (4+)")))</f>
        <v/>
      </c>
      <c r="I41" s="30">
        <f>IFERROR(INDEX($D$28:$F$28,MATCH(TRUE,INDEX(D41:F41&gt;0,0),0)),"—")</f>
        <v/>
      </c>
    </row>
    <row r="42">
      <c r="A42" s="30" t="inlineStr">
        <is>
          <t>PISA-T1</t>
        </is>
      </c>
      <c r="B42" s="30" t="inlineStr">
        <is>
          <t>Sistemas de la Tierra y el espacio</t>
        </is>
      </c>
      <c r="C42" s="30" t="inlineStr">
        <is>
          <t>Estructura de los sistemas terrestres (atmósfera, hidrosfera, geosfera; tectónica de placas, sismología)</t>
        </is>
      </c>
      <c r="D42" s="30">
        <f>COUNTIFS('Datos - Temas'!$V$5:$V$1264,D$28,'Datos - Temas'!$AK$5:$AK$1264,$A42)+COUNTIFS('Datos - Temas'!$V$5:$V$1264,D$28,'Datos - Temas'!$AL$5:$AL$1264,$A42)</f>
        <v/>
      </c>
      <c r="E42" s="30">
        <f>COUNTIFS('Datos - Temas'!$V$5:$V$1264,E$28,'Datos - Temas'!$AK$5:$AK$1264,$A42)+COUNTIFS('Datos - Temas'!$V$5:$V$1264,E$28,'Datos - Temas'!$AL$5:$AL$1264,$A42)</f>
        <v/>
      </c>
      <c r="F42" s="30">
        <f>COUNTIFS('Datos - Temas'!$V$5:$V$1264,F$28,'Datos - Temas'!$AK$5:$AK$1264,$A42)+COUNTIFS('Datos - Temas'!$V$5:$V$1264,F$28,'Datos - Temas'!$AL$5:$AL$1264,$A42)</f>
        <v/>
      </c>
      <c r="G42" s="30">
        <f>SUM(D42:F42)</f>
        <v/>
      </c>
      <c r="H42" s="30">
        <f>IF(G42=0,"No cubierto",IF(G42=1,"Débil (1 tema)",IF(G42&lt;=3,"Básica (2–3)","Sólida (4+)")))</f>
        <v/>
      </c>
      <c r="I42" s="30">
        <f>IFERROR(INDEX($D$28:$F$28,MATCH(TRUE,INDEX(D42:F42&gt;0,0),0)),"—")</f>
        <v/>
      </c>
    </row>
    <row r="43">
      <c r="A43" s="30" t="inlineStr">
        <is>
          <t>PISA-T2</t>
        </is>
      </c>
      <c r="B43" s="30" t="inlineStr">
        <is>
          <t>Sistemas de la Tierra y el espacio</t>
        </is>
      </c>
      <c r="C43" s="30" t="inlineStr">
        <is>
          <t>Carácter finito de los recursos minerales, su uso y los efectos ambientales de su explotación</t>
        </is>
      </c>
      <c r="D43" s="30">
        <f>COUNTIFS('Datos - Temas'!$V$5:$V$1264,D$28,'Datos - Temas'!$AK$5:$AK$1264,$A43)+COUNTIFS('Datos - Temas'!$V$5:$V$1264,D$28,'Datos - Temas'!$AL$5:$AL$1264,$A43)</f>
        <v/>
      </c>
      <c r="E43" s="30">
        <f>COUNTIFS('Datos - Temas'!$V$5:$V$1264,E$28,'Datos - Temas'!$AK$5:$AK$1264,$A43)+COUNTIFS('Datos - Temas'!$V$5:$V$1264,E$28,'Datos - Temas'!$AL$5:$AL$1264,$A43)</f>
        <v/>
      </c>
      <c r="F43" s="30">
        <f>COUNTIFS('Datos - Temas'!$V$5:$V$1264,F$28,'Datos - Temas'!$AK$5:$AK$1264,$A43)+COUNTIFS('Datos - Temas'!$V$5:$V$1264,F$28,'Datos - Temas'!$AL$5:$AL$1264,$A43)</f>
        <v/>
      </c>
      <c r="G43" s="30">
        <f>SUM(D43:F43)</f>
        <v/>
      </c>
      <c r="H43" s="30">
        <f>IF(G43=0,"No cubierto",IF(G43=1,"Débil (1 tema)",IF(G43&lt;=3,"Básica (2–3)","Sólida (4+)")))</f>
        <v/>
      </c>
      <c r="I43" s="30">
        <f>IFERROR(INDEX($D$28:$F$28,MATCH(TRUE,INDEX(D43:F43&gt;0,0),0)),"—")</f>
        <v/>
      </c>
    </row>
    <row r="44">
      <c r="A44" s="30" t="inlineStr">
        <is>
          <t>PISA-T3</t>
        </is>
      </c>
      <c r="B44" s="30" t="inlineStr">
        <is>
          <t>Sistemas de la Tierra y el espacio</t>
        </is>
      </c>
      <c r="C44" s="30" t="inlineStr">
        <is>
          <t>Energía en los sistemas terrestres (fuentes, calentamiento global, tectónica, ciclos geológicos, ciclo del agua)</t>
        </is>
      </c>
      <c r="D44" s="30">
        <f>COUNTIFS('Datos - Temas'!$V$5:$V$1264,D$28,'Datos - Temas'!$AK$5:$AK$1264,$A44)+COUNTIFS('Datos - Temas'!$V$5:$V$1264,D$28,'Datos - Temas'!$AL$5:$AL$1264,$A44)</f>
        <v/>
      </c>
      <c r="E44" s="30">
        <f>COUNTIFS('Datos - Temas'!$V$5:$V$1264,E$28,'Datos - Temas'!$AK$5:$AK$1264,$A44)+COUNTIFS('Datos - Temas'!$V$5:$V$1264,E$28,'Datos - Temas'!$AL$5:$AL$1264,$A44)</f>
        <v/>
      </c>
      <c r="F44" s="30">
        <f>COUNTIFS('Datos - Temas'!$V$5:$V$1264,F$28,'Datos - Temas'!$AK$5:$AK$1264,$A44)+COUNTIFS('Datos - Temas'!$V$5:$V$1264,F$28,'Datos - Temas'!$AL$5:$AL$1264,$A44)</f>
        <v/>
      </c>
      <c r="G44" s="30">
        <f>SUM(D44:F44)</f>
        <v/>
      </c>
      <c r="H44" s="30">
        <f>IF(G44=0,"No cubierto",IF(G44=1,"Débil (1 tema)",IF(G44&lt;=3,"Básica (2–3)","Sólida (4+)")))</f>
        <v/>
      </c>
      <c r="I44" s="30">
        <f>IFERROR(INDEX($D$28:$F$28,MATCH(TRUE,INDEX(D44:F44&gt;0,0),0)),"—")</f>
        <v/>
      </c>
    </row>
    <row r="45">
      <c r="A45" s="30" t="inlineStr">
        <is>
          <t>PISA-T4</t>
        </is>
      </c>
      <c r="B45" s="30" t="inlineStr">
        <is>
          <t>Sistemas de la Tierra y el espacio</t>
        </is>
      </c>
      <c r="C45" s="30" t="inlineStr">
        <is>
          <t>Agua: abastecimiento y conservación (agua dulce, acuíferos)</t>
        </is>
      </c>
      <c r="D45" s="30">
        <f>COUNTIFS('Datos - Temas'!$V$5:$V$1264,D$28,'Datos - Temas'!$AK$5:$AK$1264,$A45)+COUNTIFS('Datos - Temas'!$V$5:$V$1264,D$28,'Datos - Temas'!$AL$5:$AL$1264,$A45)</f>
        <v/>
      </c>
      <c r="E45" s="30">
        <f>COUNTIFS('Datos - Temas'!$V$5:$V$1264,E$28,'Datos - Temas'!$AK$5:$AK$1264,$A45)+COUNTIFS('Datos - Temas'!$V$5:$V$1264,E$28,'Datos - Temas'!$AL$5:$AL$1264,$A45)</f>
        <v/>
      </c>
      <c r="F45" s="30">
        <f>COUNTIFS('Datos - Temas'!$V$5:$V$1264,F$28,'Datos - Temas'!$AK$5:$AK$1264,$A45)+COUNTIFS('Datos - Temas'!$V$5:$V$1264,F$28,'Datos - Temas'!$AL$5:$AL$1264,$A45)</f>
        <v/>
      </c>
      <c r="G45" s="30">
        <f>SUM(D45:F45)</f>
        <v/>
      </c>
      <c r="H45" s="30">
        <f>IF(G45=0,"No cubierto",IF(G45=1,"Débil (1 tema)",IF(G45&lt;=3,"Básica (2–3)","Sólida (4+)")))</f>
        <v/>
      </c>
      <c r="I45" s="30">
        <f>IFERROR(INDEX($D$28:$F$28,MATCH(TRUE,INDEX(D45:F45&gt;0,0),0)),"—")</f>
        <v/>
      </c>
    </row>
    <row r="46">
      <c r="A46" s="30" t="inlineStr">
        <is>
          <t>PISA-T5</t>
        </is>
      </c>
      <c r="B46" s="30" t="inlineStr">
        <is>
          <t>Sistemas de la Tierra y el espacio</t>
        </is>
      </c>
      <c r="C46" s="30" t="inlineStr">
        <is>
          <t>Interacciones y cambios entre sistemas terrestres (cambio climático, ciclos geoquímicos, fuerzas tectónicas, acidificación del océano)</t>
        </is>
      </c>
      <c r="D46" s="30">
        <f>COUNTIFS('Datos - Temas'!$V$5:$V$1264,D$28,'Datos - Temas'!$AK$5:$AK$1264,$A46)+COUNTIFS('Datos - Temas'!$V$5:$V$1264,D$28,'Datos - Temas'!$AL$5:$AL$1264,$A46)</f>
        <v/>
      </c>
      <c r="E46" s="30">
        <f>COUNTIFS('Datos - Temas'!$V$5:$V$1264,E$28,'Datos - Temas'!$AK$5:$AK$1264,$A46)+COUNTIFS('Datos - Temas'!$V$5:$V$1264,E$28,'Datos - Temas'!$AL$5:$AL$1264,$A46)</f>
        <v/>
      </c>
      <c r="F46" s="30">
        <f>COUNTIFS('Datos - Temas'!$V$5:$V$1264,F$28,'Datos - Temas'!$AK$5:$AK$1264,$A46)+COUNTIFS('Datos - Temas'!$V$5:$V$1264,F$28,'Datos - Temas'!$AL$5:$AL$1264,$A46)</f>
        <v/>
      </c>
      <c r="G46" s="30">
        <f>SUM(D46:F46)</f>
        <v/>
      </c>
      <c r="H46" s="30">
        <f>IF(G46=0,"No cubierto",IF(G46=1,"Débil (1 tema)",IF(G46&lt;=3,"Básica (2–3)","Sólida (4+)")))</f>
        <v/>
      </c>
      <c r="I46" s="30">
        <f>IFERROR(INDEX($D$28:$F$28,MATCH(TRUE,INDEX(D46:F46&gt;0,0),0)),"—")</f>
        <v/>
      </c>
    </row>
    <row r="47">
      <c r="A47" s="30" t="inlineStr">
        <is>
          <t>PISA-T6</t>
        </is>
      </c>
      <c r="B47" s="30" t="inlineStr">
        <is>
          <t>Sistemas de la Tierra y el espacio</t>
        </is>
      </c>
      <c r="C47" s="30" t="inlineStr">
        <is>
          <t>Historia de la Tierra (fósiles, origen y evolución, erosión y sedimentación)</t>
        </is>
      </c>
      <c r="D47" s="30">
        <f>COUNTIFS('Datos - Temas'!$V$5:$V$1264,D$28,'Datos - Temas'!$AK$5:$AK$1264,$A47)+COUNTIFS('Datos - Temas'!$V$5:$V$1264,D$28,'Datos - Temas'!$AL$5:$AL$1264,$A47)</f>
        <v/>
      </c>
      <c r="E47" s="30">
        <f>COUNTIFS('Datos - Temas'!$V$5:$V$1264,E$28,'Datos - Temas'!$AK$5:$AK$1264,$A47)+COUNTIFS('Datos - Temas'!$V$5:$V$1264,E$28,'Datos - Temas'!$AL$5:$AL$1264,$A47)</f>
        <v/>
      </c>
      <c r="F47" s="30">
        <f>COUNTIFS('Datos - Temas'!$V$5:$V$1264,F$28,'Datos - Temas'!$AK$5:$AK$1264,$A47)+COUNTIFS('Datos - Temas'!$V$5:$V$1264,F$28,'Datos - Temas'!$AL$5:$AL$1264,$A47)</f>
        <v/>
      </c>
      <c r="G47" s="30">
        <f>SUM(D47:F47)</f>
        <v/>
      </c>
      <c r="H47" s="30">
        <f>IF(G47=0,"No cubierto",IF(G47=1,"Débil (1 tema)",IF(G47&lt;=3,"Básica (2–3)","Sólida (4+)")))</f>
        <v/>
      </c>
      <c r="I47" s="30">
        <f>IFERROR(INDEX($D$28:$F$28,MATCH(TRUE,INDEX(D47:F47&gt;0,0),0)),"—")</f>
        <v/>
      </c>
    </row>
    <row r="48">
      <c r="A48" s="30" t="inlineStr">
        <is>
          <t>PISA-T7</t>
        </is>
      </c>
      <c r="B48" s="30" t="inlineStr">
        <is>
          <t>Sistemas de la Tierra y el espacio</t>
        </is>
      </c>
      <c r="C48" s="30" t="inlineStr">
        <is>
          <t>La Tierra en el espacio (fases de la Luna, sistema solar, galaxias)</t>
        </is>
      </c>
      <c r="D48" s="30">
        <f>COUNTIFS('Datos - Temas'!$V$5:$V$1264,D$28,'Datos - Temas'!$AK$5:$AK$1264,$A48)+COUNTIFS('Datos - Temas'!$V$5:$V$1264,D$28,'Datos - Temas'!$AL$5:$AL$1264,$A48)</f>
        <v/>
      </c>
      <c r="E48" s="30">
        <f>COUNTIFS('Datos - Temas'!$V$5:$V$1264,E$28,'Datos - Temas'!$AK$5:$AK$1264,$A48)+COUNTIFS('Datos - Temas'!$V$5:$V$1264,E$28,'Datos - Temas'!$AL$5:$AL$1264,$A48)</f>
        <v/>
      </c>
      <c r="F48" s="30">
        <f>COUNTIFS('Datos - Temas'!$V$5:$V$1264,F$28,'Datos - Temas'!$AK$5:$AK$1264,$A48)+COUNTIFS('Datos - Temas'!$V$5:$V$1264,F$28,'Datos - Temas'!$AL$5:$AL$1264,$A48)</f>
        <v/>
      </c>
      <c r="G48" s="30">
        <f>SUM(D48:F48)</f>
        <v/>
      </c>
      <c r="H48" s="30">
        <f>IF(G48=0,"No cubierto",IF(G48=1,"Débil (1 tema)",IF(G48&lt;=3,"Básica (2–3)","Sólida (4+)")))</f>
        <v/>
      </c>
      <c r="I48" s="30">
        <f>IFERROR(INDEX($D$28:$F$28,MATCH(TRUE,INDEX(D48:F48&gt;0,0),0)),"—")</f>
        <v/>
      </c>
    </row>
    <row r="49">
      <c r="A49" s="30" t="inlineStr">
        <is>
          <t>PISA-T8</t>
        </is>
      </c>
      <c r="B49" s="30" t="inlineStr">
        <is>
          <t>Sistemas de la Tierra y el espacio</t>
        </is>
      </c>
      <c r="C49" s="30" t="inlineStr">
        <is>
          <t>Origen del universo y del sistema solar (evolución estelar, formación de planetas, Big Bang)</t>
        </is>
      </c>
      <c r="D49" s="30">
        <f>COUNTIFS('Datos - Temas'!$V$5:$V$1264,D$28,'Datos - Temas'!$AK$5:$AK$1264,$A49)+COUNTIFS('Datos - Temas'!$V$5:$V$1264,D$28,'Datos - Temas'!$AL$5:$AL$1264,$A49)</f>
        <v/>
      </c>
      <c r="E49" s="30">
        <f>COUNTIFS('Datos - Temas'!$V$5:$V$1264,E$28,'Datos - Temas'!$AK$5:$AK$1264,$A49)+COUNTIFS('Datos - Temas'!$V$5:$V$1264,E$28,'Datos - Temas'!$AL$5:$AL$1264,$A49)</f>
        <v/>
      </c>
      <c r="F49" s="30">
        <f>COUNTIFS('Datos - Temas'!$V$5:$V$1264,F$28,'Datos - Temas'!$AK$5:$AK$1264,$A49)+COUNTIFS('Datos - Temas'!$V$5:$V$1264,F$28,'Datos - Temas'!$AL$5:$AL$1264,$A49)</f>
        <v/>
      </c>
      <c r="G49" s="30">
        <f>SUM(D49:F49)</f>
        <v/>
      </c>
      <c r="H49" s="30">
        <f>IF(G49=0,"No cubierto",IF(G49=1,"Débil (1 tema)",IF(G49&lt;=3,"Básica (2–3)","Sólida (4+)")))</f>
        <v/>
      </c>
      <c r="I49" s="30">
        <f>IFERROR(INDEX($D$28:$F$28,MATCH(TRUE,INDEX(D49:F49&gt;0,0),0)),"—")</f>
        <v/>
      </c>
    </row>
    <row r="50"/>
    <row r="51" ht="30" customHeight="1">
      <c r="A51" s="10" t="inlineStr">
        <is>
          <t>Sistema</t>
        </is>
      </c>
      <c r="B51" s="10" t="inlineStr">
        <is>
          <t>Categorías</t>
        </is>
      </c>
      <c r="C51" s="10" t="inlineStr">
        <is>
          <t>Cubiertas (≥1 tema)</t>
        </is>
      </c>
      <c r="D51" s="10" t="inlineStr">
        <is>
          <t>% cubierto</t>
        </is>
      </c>
      <c r="E51" s="10" t="inlineStr">
        <is>
          <t>No cubiertas</t>
        </is>
      </c>
      <c r="F51" s="10" t="inlineStr">
        <is>
          <t>Débiles (1 tema)</t>
        </is>
      </c>
    </row>
    <row r="52">
      <c r="A52" s="11" t="inlineStr">
        <is>
          <t>Sistemas físicos</t>
        </is>
      </c>
      <c r="B52" s="11">
        <f>COUNTIFS($B$29:$B$49,$A52)</f>
        <v/>
      </c>
      <c r="C52" s="11">
        <f>COUNTIFS($B$29:$B$49,$A52,$G$29:$G$49,"&gt;0")</f>
        <v/>
      </c>
      <c r="D52" s="13">
        <f>IF(B52=0,0,C52/B52)</f>
        <v/>
      </c>
      <c r="E52" s="11">
        <f>B52-C52</f>
        <v/>
      </c>
      <c r="F52" s="11">
        <f>COUNTIFS($B$29:$B$49,$A52,$H$29:$H$49,"Débil (1 tema)")</f>
        <v/>
      </c>
    </row>
    <row r="53">
      <c r="A53" s="11" t="inlineStr">
        <is>
          <t>Sistemas vivos</t>
        </is>
      </c>
      <c r="B53" s="11">
        <f>COUNTIFS($B$29:$B$49,$A53)</f>
        <v/>
      </c>
      <c r="C53" s="11">
        <f>COUNTIFS($B$29:$B$49,$A53,$G$29:$G$49,"&gt;0")</f>
        <v/>
      </c>
      <c r="D53" s="13">
        <f>IF(B53=0,0,C53/B53)</f>
        <v/>
      </c>
      <c r="E53" s="11">
        <f>B53-C53</f>
        <v/>
      </c>
      <c r="F53" s="11">
        <f>COUNTIFS($B$29:$B$49,$A53,$H$29:$H$49,"Débil (1 tema)")</f>
        <v/>
      </c>
    </row>
    <row r="54">
      <c r="A54" s="11" t="inlineStr">
        <is>
          <t>Sistemas de la Tierra y el espacio</t>
        </is>
      </c>
      <c r="B54" s="11">
        <f>COUNTIFS($B$29:$B$49,$A54)</f>
        <v/>
      </c>
      <c r="C54" s="11">
        <f>COUNTIFS($B$29:$B$49,$A54,$G$29:$G$49,"&gt;0")</f>
        <v/>
      </c>
      <c r="D54" s="13">
        <f>IF(B54=0,0,C54/B54)</f>
        <v/>
      </c>
      <c r="E54" s="11">
        <f>B54-C54</f>
        <v/>
      </c>
      <c r="F54" s="11">
        <f>COUNTIFS($B$29:$B$49,$A54,$H$29:$H$49,"Débil (1 tema)")</f>
        <v/>
      </c>
    </row>
    <row r="55">
      <c r="A55" s="23" t="inlineStr">
        <is>
          <t>(todos)</t>
        </is>
      </c>
      <c r="B55" s="23">
        <f>COUNTIFS($B$29:$B$49,"*")</f>
        <v/>
      </c>
      <c r="C55" s="23">
        <f>COUNTIFS($B$29:$B$49,"*",$G$29:$G$49,"&gt;0")</f>
        <v/>
      </c>
      <c r="D55" s="24">
        <f>IF(B55=0,0,C55/B55)</f>
        <v/>
      </c>
      <c r="E55" s="23">
        <f>B55-C55</f>
        <v/>
      </c>
      <c r="F55" s="23">
        <f>COUNTIFS($B$29:$B$49,"*",$H$29:$H$49,"Débil (1 tema)")</f>
        <v/>
      </c>
    </row>
    <row r="56"/>
    <row r="57" ht="70" customHeight="1">
      <c r="A57" s="2" t="inlineStr">
        <is>
          <t>Cómo se calcula: PISA evalúa a los 15 años lo acumulado (≈ 9.° en El Salvador): la fila «Ciclo 7°–9°» es la comparación más fiel. Meta = peso de cada sistema en la prueba (Tabla 2.3, total por tipo de conocimiento: 37 / 37 / 26 %). «Sistemas físicos» reúne Física y Química. Los temas sin contenido del Box 2.6 (p. ej. solo medición o electrónica digital) quedan fuera del cálculo. Columnas AK-AM de la hoja Temas (clasificación asistida por IA, revisable).</t>
        </is>
      </c>
    </row>
  </sheetData>
  <mergeCells count="2">
    <mergeCell ref="A57:N57"/>
    <mergeCell ref="A3:N3"/>
  </mergeCells>
  <conditionalFormatting sqref="K6:K26">
    <cfRule type="expression" priority="1" dxfId="2">
      <formula>LEFT(K6,6)="Faltan"</formula>
    </cfRule>
    <cfRule type="expression" priority="2" dxfId="1">
      <formula>LEFT(K6,6)="Sobran"</formula>
    </cfRule>
    <cfRule type="cellIs" priority="3" operator="equal" dxfId="4">
      <formula>"En meta"</formula>
    </cfRule>
  </conditionalFormatting>
  <conditionalFormatting sqref="H29:H49">
    <cfRule type="cellIs" priority="4" operator="equal" dxfId="2">
      <formula>"No cubierto"</formula>
    </cfRule>
    <cfRule type="cellIs" priority="5" operator="equal" dxfId="1">
      <formula>"Débil (1 tema)"</formula>
    </cfRule>
    <cfRule type="cellIs" priority="6" operator="equal" dxfId="8">
      <formula>"Básica (2–3)"</formula>
    </cfRule>
    <cfRule type="cellIs" priority="7" operator="equal" dxfId="0">
      <formula>"Sólida (4+)"</formula>
    </cfRule>
  </conditionalFormatting>
  <conditionalFormatting sqref="D29:F49">
    <cfRule type="cellIs" priority="8" operator="equal" dxfId="9">
      <formula>0</formula>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1F6F5C"/>
    <outlinePr summaryBelow="1" summaryRight="1"/>
    <pageSetUpPr/>
  </sheetPr>
  <dimension ref="A1:L6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0" customWidth="1" min="3" max="3"/>
    <col width="10" customWidth="1" min="4" max="4"/>
    <col width="10" customWidth="1" min="5" max="5"/>
    <col width="9" customWidth="1" min="6" max="6"/>
    <col width="9" customWidth="1" min="7" max="7"/>
    <col width="9" customWidth="1" min="8" max="8"/>
    <col width="18" customWidth="1" min="9" max="9"/>
    <col width="18" customWidth="1" min="10" max="10"/>
    <col width="18" customWidth="1" min="11" max="11"/>
    <col width="14" customWidth="1" min="12" max="12"/>
  </cols>
  <sheetData>
    <row r="1">
      <c r="A1" s="6" t="inlineStr">
        <is>
          <t>PISA 2025 · Competencias científicas y subcompetencias (según la propia malla)</t>
        </is>
      </c>
    </row>
    <row r="2" ht="83" customHeight="1">
      <c r="A2" s="7">
        <f>"PISA 2025 (7.°–9.°)"&amp;"
"&amp;IF(H16&gt;=$B$8,"BIEN · ","OJO · ")&amp;"Competencia 3 (evaluar información y decidir): "&amp;FIXED((H16)*100,0)&amp;" %"&amp;" de los temas. PISA pide 24–36 %."&amp;"
"&amp;IF(J16="Dentro del rango","BIEN · ","OJO · ")&amp;"Competencia 2 (diseñar y leer datos): "&amp;FIXED((G16)*100,0)&amp;" %"&amp;", "&amp;LOWER(J16)&amp;" (24–36 %)."&amp;"
"&amp;"● Subcompetencias débiles o ausentes: "&amp;(COUNTIF($I$27:$I$41,"Débil")+COUNTIF($I$27:$I$41,"No trabajada"))&amp;" de 15: distinguir evidencia de opinión, criticar argumentos y plantear hipótesis."&amp;"
"&amp;"→ Dato de la propia malla (columnas Competencia y Microhabilidades), sin IA."</f>
        <v/>
      </c>
      <c r="B2" s="8" t="n"/>
      <c r="C2" s="8" t="n"/>
      <c r="D2" s="8" t="n"/>
      <c r="E2" s="8" t="n"/>
      <c r="F2" s="8" t="n"/>
      <c r="G2" s="8" t="n"/>
      <c r="H2" s="8" t="n"/>
      <c r="I2" s="8" t="n"/>
      <c r="J2" s="8" t="n"/>
      <c r="K2" s="8" t="n"/>
      <c r="L2" s="9" t="n"/>
    </row>
    <row r="3"/>
    <row r="4">
      <c r="A4" s="16" t="inlineStr">
        <is>
          <t>Metas de PISA por competencia (Tabla 2.4, % de puntos de la prueba)</t>
        </is>
      </c>
    </row>
    <row r="5" ht="32" customHeight="1">
      <c r="A5" s="10" t="inlineStr"/>
      <c r="B5" s="10" t="inlineStr">
        <is>
          <t>Mínimo del marco</t>
        </is>
      </c>
      <c r="C5" s="10" t="inlineStr">
        <is>
          <t>Máximo del marco</t>
        </is>
      </c>
      <c r="D5" s="10" t="inlineStr">
        <is>
          <t>Meta (punto medio, normalizado)</t>
        </is>
      </c>
    </row>
    <row r="6">
      <c r="A6" s="11" t="inlineStr">
        <is>
          <t>1. Explicar fenómenos</t>
        </is>
      </c>
      <c r="B6" s="21" t="n">
        <v>0.36</v>
      </c>
      <c r="C6" s="21" t="n">
        <v>0.44</v>
      </c>
      <c r="D6" s="13">
        <f>AVERAGE(B6:C6)/((SUM($B$6:$B$8)+SUM($C$6:$C$8))/2)</f>
        <v/>
      </c>
    </row>
    <row r="7">
      <c r="A7" s="11" t="inlineStr">
        <is>
          <t>2. Diseñar indagación e interpretar datos</t>
        </is>
      </c>
      <c r="B7" s="21" t="n">
        <v>0.24</v>
      </c>
      <c r="C7" s="21" t="n">
        <v>0.36</v>
      </c>
      <c r="D7" s="13">
        <f>AVERAGE(B7:C7)/((SUM($B$6:$B$8)+SUM($C$6:$C$8))/2)</f>
        <v/>
      </c>
    </row>
    <row r="8">
      <c r="A8" s="11" t="inlineStr">
        <is>
          <t>3. Investigar, evaluar y usar información</t>
        </is>
      </c>
      <c r="B8" s="21" t="n">
        <v>0.24</v>
      </c>
      <c r="C8" s="21" t="n">
        <v>0.36</v>
      </c>
      <c r="D8" s="13">
        <f>AVERAGE(B8:C8)/((SUM($B$6:$B$8)+SUM($C$6:$C$8))/2)</f>
        <v/>
      </c>
    </row>
    <row r="9" ht="28" customHeight="1">
      <c r="A9" s="2" t="inlineStr">
        <is>
          <t>Celdas ámbar editables. «Dentro del rango» = el % de temas cae entre el mínimo y el máximo del marco. La coincidencia se mide contra el punto medio normalizado (40 / 30 / 30).</t>
        </is>
      </c>
    </row>
    <row r="10"/>
    <row r="11">
      <c r="A11" s="16" t="inlineStr">
        <is>
          <t>Bloque 1 · Competencia declarada en cada tema</t>
        </is>
      </c>
    </row>
    <row r="12" ht="40" customHeight="1">
      <c r="A12" s="10" t="inlineStr">
        <is>
          <t>Grado / ciclo</t>
        </is>
      </c>
      <c r="B12" s="10" t="inlineStr">
        <is>
          <t>Temas</t>
        </is>
      </c>
      <c r="C12" s="10" t="inlineStr">
        <is>
          <t>C1 (temas)</t>
        </is>
      </c>
      <c r="D12" s="10" t="inlineStr">
        <is>
          <t>C2 (temas)</t>
        </is>
      </c>
      <c r="E12" s="10" t="inlineStr">
        <is>
          <t>C3 (temas)</t>
        </is>
      </c>
      <c r="F12" s="10" t="inlineStr">
        <is>
          <t>% C1</t>
        </is>
      </c>
      <c r="G12" s="10" t="inlineStr">
        <is>
          <t>% C2</t>
        </is>
      </c>
      <c r="H12" s="10" t="inlineStr">
        <is>
          <t>% C3</t>
        </is>
      </c>
      <c r="I12" s="10" t="inlineStr">
        <is>
          <t>Estado C1</t>
        </is>
      </c>
      <c r="J12" s="10" t="inlineStr">
        <is>
          <t>Estado C2</t>
        </is>
      </c>
      <c r="K12" s="10" t="inlineStr">
        <is>
          <t>Estado C3</t>
        </is>
      </c>
      <c r="L12" s="10" t="inlineStr">
        <is>
          <t>COINCIDENCIA con la meta</t>
        </is>
      </c>
    </row>
    <row r="13">
      <c r="A13" s="11" t="inlineStr">
        <is>
          <t>7°</t>
        </is>
      </c>
      <c r="B13" s="11">
        <f>COUNTIFS('Datos - Temas'!$V$5:$V$1264,$A13,'Datos - Temas'!$C$5:$C$1264,"Ciencias")</f>
        <v/>
      </c>
      <c r="C13" s="11">
        <f>COUNTIFS('Datos - Temas'!$V$5:$V$1264,$A13,'Datos - Temas'!$C$5:$C$1264,"Ciencias",'Datos - Temas'!$AE$5:$AE$1264,"C1")</f>
        <v/>
      </c>
      <c r="D13" s="11">
        <f>COUNTIFS('Datos - Temas'!$V$5:$V$1264,$A13,'Datos - Temas'!$C$5:$C$1264,"Ciencias",'Datos - Temas'!$AE$5:$AE$1264,"C2")</f>
        <v/>
      </c>
      <c r="E13" s="11">
        <f>COUNTIFS('Datos - Temas'!$V$5:$V$1264,$A13,'Datos - Temas'!$C$5:$C$1264,"Ciencias",'Datos - Temas'!$AE$5:$AE$1264,"C3")</f>
        <v/>
      </c>
      <c r="F13" s="13">
        <f>IF($B13=0,0,C13/$B13)</f>
        <v/>
      </c>
      <c r="G13" s="13">
        <f>IF($B13=0,0,D13/$B13)</f>
        <v/>
      </c>
      <c r="H13" s="13">
        <f>IF($B13=0,0,E13/$B13)</f>
        <v/>
      </c>
      <c r="I13" s="11">
        <f>IF(F13&lt;$B$6,"Por debajo del rango",IF(F13&gt;$C$6,"Por encima del rango","Dentro del rango"))</f>
        <v/>
      </c>
      <c r="J13" s="11">
        <f>IF(G13&lt;$B$7,"Por debajo del rango",IF(G13&gt;$C$7,"Por encima del rango","Dentro del rango"))</f>
        <v/>
      </c>
      <c r="K13" s="11">
        <f>IF(H13&lt;$B$8,"Por debajo del rango",IF(H13&gt;$C$8,"Por encima del rango","Dentro del rango"))</f>
        <v/>
      </c>
      <c r="L13" s="13">
        <f>1-(ABS(F13-$D$6)+ABS(G13-$D$7)+ABS(H13-$D$8))/2</f>
        <v/>
      </c>
    </row>
    <row r="14">
      <c r="A14" s="11" t="inlineStr">
        <is>
          <t>8°</t>
        </is>
      </c>
      <c r="B14" s="11">
        <f>COUNTIFS('Datos - Temas'!$V$5:$V$1264,$A14,'Datos - Temas'!$C$5:$C$1264,"Ciencias")</f>
        <v/>
      </c>
      <c r="C14" s="11">
        <f>COUNTIFS('Datos - Temas'!$V$5:$V$1264,$A14,'Datos - Temas'!$C$5:$C$1264,"Ciencias",'Datos - Temas'!$AE$5:$AE$1264,"C1")</f>
        <v/>
      </c>
      <c r="D14" s="11">
        <f>COUNTIFS('Datos - Temas'!$V$5:$V$1264,$A14,'Datos - Temas'!$C$5:$C$1264,"Ciencias",'Datos - Temas'!$AE$5:$AE$1264,"C2")</f>
        <v/>
      </c>
      <c r="E14" s="11">
        <f>COUNTIFS('Datos - Temas'!$V$5:$V$1264,$A14,'Datos - Temas'!$C$5:$C$1264,"Ciencias",'Datos - Temas'!$AE$5:$AE$1264,"C3")</f>
        <v/>
      </c>
      <c r="F14" s="13">
        <f>IF($B14=0,0,C14/$B14)</f>
        <v/>
      </c>
      <c r="G14" s="13">
        <f>IF($B14=0,0,D14/$B14)</f>
        <v/>
      </c>
      <c r="H14" s="13">
        <f>IF($B14=0,0,E14/$B14)</f>
        <v/>
      </c>
      <c r="I14" s="11">
        <f>IF(F14&lt;$B$6,"Por debajo del rango",IF(F14&gt;$C$6,"Por encima del rango","Dentro del rango"))</f>
        <v/>
      </c>
      <c r="J14" s="11">
        <f>IF(G14&lt;$B$7,"Por debajo del rango",IF(G14&gt;$C$7,"Por encima del rango","Dentro del rango"))</f>
        <v/>
      </c>
      <c r="K14" s="11">
        <f>IF(H14&lt;$B$8,"Por debajo del rango",IF(H14&gt;$C$8,"Por encima del rango","Dentro del rango"))</f>
        <v/>
      </c>
      <c r="L14" s="13">
        <f>1-(ABS(F14-$D$6)+ABS(G14-$D$7)+ABS(H14-$D$8))/2</f>
        <v/>
      </c>
    </row>
    <row r="15">
      <c r="A15" s="11" t="inlineStr">
        <is>
          <t>9°</t>
        </is>
      </c>
      <c r="B15" s="11">
        <f>COUNTIFS('Datos - Temas'!$V$5:$V$1264,$A15,'Datos - Temas'!$C$5:$C$1264,"Ciencias")</f>
        <v/>
      </c>
      <c r="C15" s="11">
        <f>COUNTIFS('Datos - Temas'!$V$5:$V$1264,$A15,'Datos - Temas'!$C$5:$C$1264,"Ciencias",'Datos - Temas'!$AE$5:$AE$1264,"C1")</f>
        <v/>
      </c>
      <c r="D15" s="11">
        <f>COUNTIFS('Datos - Temas'!$V$5:$V$1264,$A15,'Datos - Temas'!$C$5:$C$1264,"Ciencias",'Datos - Temas'!$AE$5:$AE$1264,"C2")</f>
        <v/>
      </c>
      <c r="E15" s="11">
        <f>COUNTIFS('Datos - Temas'!$V$5:$V$1264,$A15,'Datos - Temas'!$C$5:$C$1264,"Ciencias",'Datos - Temas'!$AE$5:$AE$1264,"C3")</f>
        <v/>
      </c>
      <c r="F15" s="13">
        <f>IF($B15=0,0,C15/$B15)</f>
        <v/>
      </c>
      <c r="G15" s="13">
        <f>IF($B15=0,0,D15/$B15)</f>
        <v/>
      </c>
      <c r="H15" s="13">
        <f>IF($B15=0,0,E15/$B15)</f>
        <v/>
      </c>
      <c r="I15" s="11">
        <f>IF(F15&lt;$B$6,"Por debajo del rango",IF(F15&gt;$C$6,"Por encima del rango","Dentro del rango"))</f>
        <v/>
      </c>
      <c r="J15" s="11">
        <f>IF(G15&lt;$B$7,"Por debajo del rango",IF(G15&gt;$C$7,"Por encima del rango","Dentro del rango"))</f>
        <v/>
      </c>
      <c r="K15" s="11">
        <f>IF(H15&lt;$B$8,"Por debajo del rango",IF(H15&gt;$C$8,"Por encima del rango","Dentro del rango"))</f>
        <v/>
      </c>
      <c r="L15" s="13">
        <f>1-(ABS(F15-$D$6)+ABS(G15-$D$7)+ABS(H15-$D$8))/2</f>
        <v/>
      </c>
    </row>
    <row r="16">
      <c r="A16" s="11" t="inlineStr">
        <is>
          <t>Ciclo 7°–9°</t>
        </is>
      </c>
      <c r="B16" s="11">
        <f>COUNTIFS('Datos - Temas'!$AV$5:$AV$1264,$A16,'Datos - Temas'!$C$5:$C$1264,"Ciencias")</f>
        <v/>
      </c>
      <c r="C16" s="11">
        <f>COUNTIFS('Datos - Temas'!$AV$5:$AV$1264,$A16,'Datos - Temas'!$C$5:$C$1264,"Ciencias",'Datos - Temas'!$AE$5:$AE$1264,"C1")</f>
        <v/>
      </c>
      <c r="D16" s="11">
        <f>COUNTIFS('Datos - Temas'!$AV$5:$AV$1264,$A16,'Datos - Temas'!$C$5:$C$1264,"Ciencias",'Datos - Temas'!$AE$5:$AE$1264,"C2")</f>
        <v/>
      </c>
      <c r="E16" s="11">
        <f>COUNTIFS('Datos - Temas'!$AV$5:$AV$1264,$A16,'Datos - Temas'!$C$5:$C$1264,"Ciencias",'Datos - Temas'!$AE$5:$AE$1264,"C3")</f>
        <v/>
      </c>
      <c r="F16" s="13">
        <f>IF($B16=0,0,C16/$B16)</f>
        <v/>
      </c>
      <c r="G16" s="13">
        <f>IF($B16=0,0,D16/$B16)</f>
        <v/>
      </c>
      <c r="H16" s="13">
        <f>IF($B16=0,0,E16/$B16)</f>
        <v/>
      </c>
      <c r="I16" s="11">
        <f>IF(F16&lt;$B$6,"Por debajo del rango",IF(F16&gt;$C$6,"Por encima del rango","Dentro del rango"))</f>
        <v/>
      </c>
      <c r="J16" s="11">
        <f>IF(G16&lt;$B$7,"Por debajo del rango",IF(G16&gt;$C$7,"Por encima del rango","Dentro del rango"))</f>
        <v/>
      </c>
      <c r="K16" s="11">
        <f>IF(H16&lt;$B$8,"Por debajo del rango",IF(H16&gt;$C$8,"Por encima del rango","Dentro del rango"))</f>
        <v/>
      </c>
      <c r="L16" s="13">
        <f>1-(ABS(F16-$D$6)+ABS(G16-$D$7)+ABS(H16-$D$8))/2</f>
        <v/>
      </c>
    </row>
    <row r="17">
      <c r="A17" s="25" t="inlineStr">
        <is>
          <t>Grados anteriores (solo referencia: PISA evalúa a los 15 años)</t>
        </is>
      </c>
    </row>
    <row r="18">
      <c r="A18" s="11" t="inlineStr">
        <is>
          <t>2°</t>
        </is>
      </c>
      <c r="B18" s="11">
        <f>COUNTIFS('Datos - Temas'!$V$5:$V$1264,$A18,'Datos - Temas'!$C$5:$C$1264,"Ciencias")</f>
        <v/>
      </c>
      <c r="C18" s="11">
        <f>COUNTIFS('Datos - Temas'!$V$5:$V$1264,$A18,'Datos - Temas'!$C$5:$C$1264,"Ciencias",'Datos - Temas'!$AE$5:$AE$1264,"C1")</f>
        <v/>
      </c>
      <c r="D18" s="11">
        <f>COUNTIFS('Datos - Temas'!$V$5:$V$1264,$A18,'Datos - Temas'!$C$5:$C$1264,"Ciencias",'Datos - Temas'!$AE$5:$AE$1264,"C2")</f>
        <v/>
      </c>
      <c r="E18" s="11">
        <f>COUNTIFS('Datos - Temas'!$V$5:$V$1264,$A18,'Datos - Temas'!$C$5:$C$1264,"Ciencias",'Datos - Temas'!$AE$5:$AE$1264,"C3")</f>
        <v/>
      </c>
      <c r="F18" s="13">
        <f>IF($B18=0,0,C18/$B18)</f>
        <v/>
      </c>
      <c r="G18" s="13">
        <f>IF($B18=0,0,D18/$B18)</f>
        <v/>
      </c>
      <c r="H18" s="13">
        <f>IF($B18=0,0,E18/$B18)</f>
        <v/>
      </c>
      <c r="I18" s="11">
        <f>IF(F18&lt;$B$6,"Por debajo del rango",IF(F18&gt;$C$6,"Por encima del rango","Dentro del rango"))</f>
        <v/>
      </c>
      <c r="J18" s="11">
        <f>IF(G18&lt;$B$7,"Por debajo del rango",IF(G18&gt;$C$7,"Por encima del rango","Dentro del rango"))</f>
        <v/>
      </c>
      <c r="K18" s="11">
        <f>IF(H18&lt;$B$8,"Por debajo del rango",IF(H18&gt;$C$8,"Por encima del rango","Dentro del rango"))</f>
        <v/>
      </c>
      <c r="L18" s="13">
        <f>1-(ABS(F18-$D$6)+ABS(G18-$D$7)+ABS(H18-$D$8))/2</f>
        <v/>
      </c>
    </row>
    <row r="19">
      <c r="A19" s="11" t="inlineStr">
        <is>
          <t>3°</t>
        </is>
      </c>
      <c r="B19" s="11">
        <f>COUNTIFS('Datos - Temas'!$V$5:$V$1264,$A19,'Datos - Temas'!$C$5:$C$1264,"Ciencias")</f>
        <v/>
      </c>
      <c r="C19" s="11">
        <f>COUNTIFS('Datos - Temas'!$V$5:$V$1264,$A19,'Datos - Temas'!$C$5:$C$1264,"Ciencias",'Datos - Temas'!$AE$5:$AE$1264,"C1")</f>
        <v/>
      </c>
      <c r="D19" s="11">
        <f>COUNTIFS('Datos - Temas'!$V$5:$V$1264,$A19,'Datos - Temas'!$C$5:$C$1264,"Ciencias",'Datos - Temas'!$AE$5:$AE$1264,"C2")</f>
        <v/>
      </c>
      <c r="E19" s="11">
        <f>COUNTIFS('Datos - Temas'!$V$5:$V$1264,$A19,'Datos - Temas'!$C$5:$C$1264,"Ciencias",'Datos - Temas'!$AE$5:$AE$1264,"C3")</f>
        <v/>
      </c>
      <c r="F19" s="13">
        <f>IF($B19=0,0,C19/$B19)</f>
        <v/>
      </c>
      <c r="G19" s="13">
        <f>IF($B19=0,0,D19/$B19)</f>
        <v/>
      </c>
      <c r="H19" s="13">
        <f>IF($B19=0,0,E19/$B19)</f>
        <v/>
      </c>
      <c r="I19" s="11">
        <f>IF(F19&lt;$B$6,"Por debajo del rango",IF(F19&gt;$C$6,"Por encima del rango","Dentro del rango"))</f>
        <v/>
      </c>
      <c r="J19" s="11">
        <f>IF(G19&lt;$B$7,"Por debajo del rango",IF(G19&gt;$C$7,"Por encima del rango","Dentro del rango"))</f>
        <v/>
      </c>
      <c r="K19" s="11">
        <f>IF(H19&lt;$B$8,"Por debajo del rango",IF(H19&gt;$C$8,"Por encima del rango","Dentro del rango"))</f>
        <v/>
      </c>
      <c r="L19" s="13">
        <f>1-(ABS(F19-$D$6)+ABS(G19-$D$7)+ABS(H19-$D$8))/2</f>
        <v/>
      </c>
    </row>
    <row r="20">
      <c r="A20" s="11" t="inlineStr">
        <is>
          <t>4°</t>
        </is>
      </c>
      <c r="B20" s="11">
        <f>COUNTIFS('Datos - Temas'!$V$5:$V$1264,$A20,'Datos - Temas'!$C$5:$C$1264,"Ciencias")</f>
        <v/>
      </c>
      <c r="C20" s="11">
        <f>COUNTIFS('Datos - Temas'!$V$5:$V$1264,$A20,'Datos - Temas'!$C$5:$C$1264,"Ciencias",'Datos - Temas'!$AE$5:$AE$1264,"C1")</f>
        <v/>
      </c>
      <c r="D20" s="11">
        <f>COUNTIFS('Datos - Temas'!$V$5:$V$1264,$A20,'Datos - Temas'!$C$5:$C$1264,"Ciencias",'Datos - Temas'!$AE$5:$AE$1264,"C2")</f>
        <v/>
      </c>
      <c r="E20" s="11">
        <f>COUNTIFS('Datos - Temas'!$V$5:$V$1264,$A20,'Datos - Temas'!$C$5:$C$1264,"Ciencias",'Datos - Temas'!$AE$5:$AE$1264,"C3")</f>
        <v/>
      </c>
      <c r="F20" s="13">
        <f>IF($B20=0,0,C20/$B20)</f>
        <v/>
      </c>
      <c r="G20" s="13">
        <f>IF($B20=0,0,D20/$B20)</f>
        <v/>
      </c>
      <c r="H20" s="13">
        <f>IF($B20=0,0,E20/$B20)</f>
        <v/>
      </c>
      <c r="I20" s="11">
        <f>IF(F20&lt;$B$6,"Por debajo del rango",IF(F20&gt;$C$6,"Por encima del rango","Dentro del rango"))</f>
        <v/>
      </c>
      <c r="J20" s="11">
        <f>IF(G20&lt;$B$7,"Por debajo del rango",IF(G20&gt;$C$7,"Por encima del rango","Dentro del rango"))</f>
        <v/>
      </c>
      <c r="K20" s="11">
        <f>IF(H20&lt;$B$8,"Por debajo del rango",IF(H20&gt;$C$8,"Por encima del rango","Dentro del rango"))</f>
        <v/>
      </c>
      <c r="L20" s="13">
        <f>1-(ABS(F20-$D$6)+ABS(G20-$D$7)+ABS(H20-$D$8))/2</f>
        <v/>
      </c>
    </row>
    <row r="21">
      <c r="A21" s="11" t="inlineStr">
        <is>
          <t>5°</t>
        </is>
      </c>
      <c r="B21" s="11">
        <f>COUNTIFS('Datos - Temas'!$V$5:$V$1264,$A21,'Datos - Temas'!$C$5:$C$1264,"Ciencias")</f>
        <v/>
      </c>
      <c r="C21" s="11">
        <f>COUNTIFS('Datos - Temas'!$V$5:$V$1264,$A21,'Datos - Temas'!$C$5:$C$1264,"Ciencias",'Datos - Temas'!$AE$5:$AE$1264,"C1")</f>
        <v/>
      </c>
      <c r="D21" s="11">
        <f>COUNTIFS('Datos - Temas'!$V$5:$V$1264,$A21,'Datos - Temas'!$C$5:$C$1264,"Ciencias",'Datos - Temas'!$AE$5:$AE$1264,"C2")</f>
        <v/>
      </c>
      <c r="E21" s="11">
        <f>COUNTIFS('Datos - Temas'!$V$5:$V$1264,$A21,'Datos - Temas'!$C$5:$C$1264,"Ciencias",'Datos - Temas'!$AE$5:$AE$1264,"C3")</f>
        <v/>
      </c>
      <c r="F21" s="13">
        <f>IF($B21=0,0,C21/$B21)</f>
        <v/>
      </c>
      <c r="G21" s="13">
        <f>IF($B21=0,0,D21/$B21)</f>
        <v/>
      </c>
      <c r="H21" s="13">
        <f>IF($B21=0,0,E21/$B21)</f>
        <v/>
      </c>
      <c r="I21" s="11">
        <f>IF(F21&lt;$B$6,"Por debajo del rango",IF(F21&gt;$C$6,"Por encima del rango","Dentro del rango"))</f>
        <v/>
      </c>
      <c r="J21" s="11">
        <f>IF(G21&lt;$B$7,"Por debajo del rango",IF(G21&gt;$C$7,"Por encima del rango","Dentro del rango"))</f>
        <v/>
      </c>
      <c r="K21" s="11">
        <f>IF(H21&lt;$B$8,"Por debajo del rango",IF(H21&gt;$C$8,"Por encima del rango","Dentro del rango"))</f>
        <v/>
      </c>
      <c r="L21" s="13">
        <f>1-(ABS(F21-$D$6)+ABS(G21-$D$7)+ABS(H21-$D$8))/2</f>
        <v/>
      </c>
    </row>
    <row r="22">
      <c r="A22" s="11" t="inlineStr">
        <is>
          <t>6°</t>
        </is>
      </c>
      <c r="B22" s="11">
        <f>COUNTIFS('Datos - Temas'!$V$5:$V$1264,$A22,'Datos - Temas'!$C$5:$C$1264,"Ciencias")</f>
        <v/>
      </c>
      <c r="C22" s="11">
        <f>COUNTIFS('Datos - Temas'!$V$5:$V$1264,$A22,'Datos - Temas'!$C$5:$C$1264,"Ciencias",'Datos - Temas'!$AE$5:$AE$1264,"C1")</f>
        <v/>
      </c>
      <c r="D22" s="11">
        <f>COUNTIFS('Datos - Temas'!$V$5:$V$1264,$A22,'Datos - Temas'!$C$5:$C$1264,"Ciencias",'Datos - Temas'!$AE$5:$AE$1264,"C2")</f>
        <v/>
      </c>
      <c r="E22" s="11">
        <f>COUNTIFS('Datos - Temas'!$V$5:$V$1264,$A22,'Datos - Temas'!$C$5:$C$1264,"Ciencias",'Datos - Temas'!$AE$5:$AE$1264,"C3")</f>
        <v/>
      </c>
      <c r="F22" s="13">
        <f>IF($B22=0,0,C22/$B22)</f>
        <v/>
      </c>
      <c r="G22" s="13">
        <f>IF($B22=0,0,D22/$B22)</f>
        <v/>
      </c>
      <c r="H22" s="13">
        <f>IF($B22=0,0,E22/$B22)</f>
        <v/>
      </c>
      <c r="I22" s="11">
        <f>IF(F22&lt;$B$6,"Por debajo del rango",IF(F22&gt;$C$6,"Por encima del rango","Dentro del rango"))</f>
        <v/>
      </c>
      <c r="J22" s="11">
        <f>IF(G22&lt;$B$7,"Por debajo del rango",IF(G22&gt;$C$7,"Por encima del rango","Dentro del rango"))</f>
        <v/>
      </c>
      <c r="K22" s="11">
        <f>IF(H22&lt;$B$8,"Por debajo del rango",IF(H22&gt;$C$8,"Por encima del rango","Dentro del rango"))</f>
        <v/>
      </c>
      <c r="L22" s="13">
        <f>1-(ABS(F22-$D$6)+ABS(G22-$D$7)+ABS(H22-$D$8))/2</f>
        <v/>
      </c>
    </row>
    <row r="23"/>
    <row r="24">
      <c r="A24" s="16" t="inlineStr">
        <is>
          <t>Bloque 2 · Subcompetencias: en cuántos temas se trabaja cada una (en al menos una de las 5 fases)</t>
        </is>
      </c>
    </row>
    <row r="25">
      <c r="A25" s="20" t="inlineStr">
        <is>
          <t>Umbrales del semáforo (% de temas del ciclo):</t>
        </is>
      </c>
      <c r="E25" t="inlineStr">
        <is>
          <t>débil si menos de</t>
        </is>
      </c>
      <c r="F25" s="21" t="n">
        <v>0.05</v>
      </c>
      <c r="G25" t="inlineStr">
        <is>
          <t>sólida desde</t>
        </is>
      </c>
      <c r="H25" s="21" t="n">
        <v>0.15</v>
      </c>
    </row>
    <row r="26" ht="36" customHeight="1">
      <c r="A26" s="10" t="inlineStr">
        <is>
          <t>Código</t>
        </is>
      </c>
      <c r="B26" s="10" t="inlineStr">
        <is>
          <t>Competencia</t>
        </is>
      </c>
      <c r="C26" s="10" t="inlineStr">
        <is>
          <t>Subcompetencia (paráfrasis)</t>
        </is>
      </c>
      <c r="D26" s="10" t="inlineStr">
        <is>
          <t>7°</t>
        </is>
      </c>
      <c r="E26" s="10" t="inlineStr">
        <is>
          <t>8°</t>
        </is>
      </c>
      <c r="F26" s="10" t="inlineStr">
        <is>
          <t>9°</t>
        </is>
      </c>
      <c r="G26" s="10" t="inlineStr">
        <is>
          <t>Total 7°–9°</t>
        </is>
      </c>
      <c r="H26" s="10" t="inlineStr">
        <is>
          <t>% de temas del ciclo</t>
        </is>
      </c>
      <c r="I26" s="10" t="inlineStr">
        <is>
          <t>Estado (semáforo)</t>
        </is>
      </c>
    </row>
    <row r="27">
      <c r="A27" s="30" t="inlineStr">
        <is>
          <t>E1</t>
        </is>
      </c>
      <c r="B27" s="30" t="inlineStr">
        <is>
          <t>1. Explicar fenómenos</t>
        </is>
      </c>
      <c r="C27" s="30" t="inlineStr">
        <is>
          <t>Recordar y aplicar el conocimiento científico apropiado</t>
        </is>
      </c>
      <c r="D27" s="30">
        <f>COUNTIFS('Datos - Temas'!$V$5:$V$1264,D$26,'Datos - Temas'!$C$5:$C$1264,"Ciencias",'Datos - Temas'!$AW$5:$AW$1264,"*"&amp;$A27&amp;"*")</f>
        <v/>
      </c>
      <c r="E27" s="30">
        <f>COUNTIFS('Datos - Temas'!$V$5:$V$1264,E$26,'Datos - Temas'!$C$5:$C$1264,"Ciencias",'Datos - Temas'!$AW$5:$AW$1264,"*"&amp;$A27&amp;"*")</f>
        <v/>
      </c>
      <c r="F27" s="30">
        <f>COUNTIFS('Datos - Temas'!$V$5:$V$1264,F$26,'Datos - Temas'!$C$5:$C$1264,"Ciencias",'Datos - Temas'!$AW$5:$AW$1264,"*"&amp;$A27&amp;"*")</f>
        <v/>
      </c>
      <c r="G27" s="30">
        <f>SUM(D27:F27)</f>
        <v/>
      </c>
      <c r="H27" s="37">
        <f>IF($B$16=0,0,G27/$B$16)</f>
        <v/>
      </c>
      <c r="I27" s="30">
        <f>IF(G27=0,"No trabajada",IF(H27&lt;$F$25,"Débil",IF(H27&lt;$H$25,"Básica","Sólida")))</f>
        <v/>
      </c>
    </row>
    <row r="28">
      <c r="A28" s="30" t="inlineStr">
        <is>
          <t>E2</t>
        </is>
      </c>
      <c r="B28" s="30" t="inlineStr">
        <is>
          <t>1. Explicar fenómenos</t>
        </is>
      </c>
      <c r="C28" s="30" t="inlineStr">
        <is>
          <t>Usar distintas representaciones y pasar de una a otra</t>
        </is>
      </c>
      <c r="D28" s="30">
        <f>COUNTIFS('Datos - Temas'!$V$5:$V$1264,D$26,'Datos - Temas'!$C$5:$C$1264,"Ciencias",'Datos - Temas'!$AW$5:$AW$1264,"*"&amp;$A28&amp;"*")</f>
        <v/>
      </c>
      <c r="E28" s="30">
        <f>COUNTIFS('Datos - Temas'!$V$5:$V$1264,E$26,'Datos - Temas'!$C$5:$C$1264,"Ciencias",'Datos - Temas'!$AW$5:$AW$1264,"*"&amp;$A28&amp;"*")</f>
        <v/>
      </c>
      <c r="F28" s="30">
        <f>COUNTIFS('Datos - Temas'!$V$5:$V$1264,F$26,'Datos - Temas'!$C$5:$C$1264,"Ciencias",'Datos - Temas'!$AW$5:$AW$1264,"*"&amp;$A28&amp;"*")</f>
        <v/>
      </c>
      <c r="G28" s="30">
        <f>SUM(D28:F28)</f>
        <v/>
      </c>
      <c r="H28" s="37">
        <f>IF($B$16=0,0,G28/$B$16)</f>
        <v/>
      </c>
      <c r="I28" s="30">
        <f>IF(G28=0,"No trabajada",IF(H28&lt;$F$25,"Débil",IF(H28&lt;$H$25,"Básica","Sólida")))</f>
        <v/>
      </c>
    </row>
    <row r="29">
      <c r="A29" s="30" t="inlineStr">
        <is>
          <t>E3</t>
        </is>
      </c>
      <c r="B29" s="30" t="inlineStr">
        <is>
          <t>1. Explicar fenómenos</t>
        </is>
      </c>
      <c r="C29" s="30" t="inlineStr">
        <is>
          <t>Hacer y justificar predicciones y soluciones científicas</t>
        </is>
      </c>
      <c r="D29" s="30">
        <f>COUNTIFS('Datos - Temas'!$V$5:$V$1264,D$26,'Datos - Temas'!$C$5:$C$1264,"Ciencias",'Datos - Temas'!$AW$5:$AW$1264,"*"&amp;$A29&amp;"*")</f>
        <v/>
      </c>
      <c r="E29" s="30">
        <f>COUNTIFS('Datos - Temas'!$V$5:$V$1264,E$26,'Datos - Temas'!$C$5:$C$1264,"Ciencias",'Datos - Temas'!$AW$5:$AW$1264,"*"&amp;$A29&amp;"*")</f>
        <v/>
      </c>
      <c r="F29" s="30">
        <f>COUNTIFS('Datos - Temas'!$V$5:$V$1264,F$26,'Datos - Temas'!$C$5:$C$1264,"Ciencias",'Datos - Temas'!$AW$5:$AW$1264,"*"&amp;$A29&amp;"*")</f>
        <v/>
      </c>
      <c r="G29" s="30">
        <f>SUM(D29:F29)</f>
        <v/>
      </c>
      <c r="H29" s="37">
        <f>IF($B$16=0,0,G29/$B$16)</f>
        <v/>
      </c>
      <c r="I29" s="30">
        <f>IF(G29=0,"No trabajada",IF(H29&lt;$F$25,"Débil",IF(H29&lt;$H$25,"Básica","Sólida")))</f>
        <v/>
      </c>
    </row>
    <row r="30">
      <c r="A30" s="30" t="inlineStr">
        <is>
          <t>E4</t>
        </is>
      </c>
      <c r="B30" s="30" t="inlineStr">
        <is>
          <t>1. Explicar fenómenos</t>
        </is>
      </c>
      <c r="C30" s="30" t="inlineStr">
        <is>
          <t>Identificar, construir y evaluar modelos</t>
        </is>
      </c>
      <c r="D30" s="30">
        <f>COUNTIFS('Datos - Temas'!$V$5:$V$1264,D$26,'Datos - Temas'!$C$5:$C$1264,"Ciencias",'Datos - Temas'!$AW$5:$AW$1264,"*"&amp;$A30&amp;"*")</f>
        <v/>
      </c>
      <c r="E30" s="30">
        <f>COUNTIFS('Datos - Temas'!$V$5:$V$1264,E$26,'Datos - Temas'!$C$5:$C$1264,"Ciencias",'Datos - Temas'!$AW$5:$AW$1264,"*"&amp;$A30&amp;"*")</f>
        <v/>
      </c>
      <c r="F30" s="30">
        <f>COUNTIFS('Datos - Temas'!$V$5:$V$1264,F$26,'Datos - Temas'!$C$5:$C$1264,"Ciencias",'Datos - Temas'!$AW$5:$AW$1264,"*"&amp;$A30&amp;"*")</f>
        <v/>
      </c>
      <c r="G30" s="30">
        <f>SUM(D30:F30)</f>
        <v/>
      </c>
      <c r="H30" s="37">
        <f>IF($B$16=0,0,G30/$B$16)</f>
        <v/>
      </c>
      <c r="I30" s="30">
        <f>IF(G30=0,"No trabajada",IF(H30&lt;$F$25,"Débil",IF(H30&lt;$H$25,"Básica","Sólida")))</f>
        <v/>
      </c>
    </row>
    <row r="31">
      <c r="A31" s="30" t="inlineStr">
        <is>
          <t>E5</t>
        </is>
      </c>
      <c r="B31" s="30" t="inlineStr">
        <is>
          <t>1. Explicar fenómenos</t>
        </is>
      </c>
      <c r="C31" s="30" t="inlineStr">
        <is>
          <t>Reconocer y desarrollar hipótesis explicativas</t>
        </is>
      </c>
      <c r="D31" s="30">
        <f>COUNTIFS('Datos - Temas'!$V$5:$V$1264,D$26,'Datos - Temas'!$C$5:$C$1264,"Ciencias",'Datos - Temas'!$AW$5:$AW$1264,"*"&amp;$A31&amp;"*")</f>
        <v/>
      </c>
      <c r="E31" s="30">
        <f>COUNTIFS('Datos - Temas'!$V$5:$V$1264,E$26,'Datos - Temas'!$C$5:$C$1264,"Ciencias",'Datos - Temas'!$AW$5:$AW$1264,"*"&amp;$A31&amp;"*")</f>
        <v/>
      </c>
      <c r="F31" s="30">
        <f>COUNTIFS('Datos - Temas'!$V$5:$V$1264,F$26,'Datos - Temas'!$C$5:$C$1264,"Ciencias",'Datos - Temas'!$AW$5:$AW$1264,"*"&amp;$A31&amp;"*")</f>
        <v/>
      </c>
      <c r="G31" s="30">
        <f>SUM(D31:F31)</f>
        <v/>
      </c>
      <c r="H31" s="37">
        <f>IF($B$16=0,0,G31/$B$16)</f>
        <v/>
      </c>
      <c r="I31" s="30">
        <f>IF(G31=0,"No trabajada",IF(H31&lt;$F$25,"Débil",IF(H31&lt;$H$25,"Básica","Sólida")))</f>
        <v/>
      </c>
    </row>
    <row r="32">
      <c r="A32" s="30" t="inlineStr">
        <is>
          <t>E6</t>
        </is>
      </c>
      <c r="B32" s="30" t="inlineStr">
        <is>
          <t>1. Explicar fenómenos</t>
        </is>
      </c>
      <c r="C32" s="30" t="inlineStr">
        <is>
          <t>Explicar las implicaciones del conocimiento científico para la sociedad</t>
        </is>
      </c>
      <c r="D32" s="30">
        <f>COUNTIFS('Datos - Temas'!$V$5:$V$1264,D$26,'Datos - Temas'!$C$5:$C$1264,"Ciencias",'Datos - Temas'!$AW$5:$AW$1264,"*"&amp;$A32&amp;"*")</f>
        <v/>
      </c>
      <c r="E32" s="30">
        <f>COUNTIFS('Datos - Temas'!$V$5:$V$1264,E$26,'Datos - Temas'!$C$5:$C$1264,"Ciencias",'Datos - Temas'!$AW$5:$AW$1264,"*"&amp;$A32&amp;"*")</f>
        <v/>
      </c>
      <c r="F32" s="30">
        <f>COUNTIFS('Datos - Temas'!$V$5:$V$1264,F$26,'Datos - Temas'!$C$5:$C$1264,"Ciencias",'Datos - Temas'!$AW$5:$AW$1264,"*"&amp;$A32&amp;"*")</f>
        <v/>
      </c>
      <c r="G32" s="30">
        <f>SUM(D32:F32)</f>
        <v/>
      </c>
      <c r="H32" s="37">
        <f>IF($B$16=0,0,G32/$B$16)</f>
        <v/>
      </c>
      <c r="I32" s="30">
        <f>IF(G32=0,"No trabajada",IF(H32&lt;$F$25,"Débil",IF(H32&lt;$H$25,"Básica","Sólida")))</f>
        <v/>
      </c>
    </row>
    <row r="33">
      <c r="A33" s="30" t="inlineStr">
        <is>
          <t>D1</t>
        </is>
      </c>
      <c r="B33" s="30" t="inlineStr">
        <is>
          <t>2. Diseñar indagación e interpretar datos</t>
        </is>
      </c>
      <c r="C33" s="30" t="inlineStr">
        <is>
          <t>Identificar la pregunta de un estudio científico</t>
        </is>
      </c>
      <c r="D33" s="30">
        <f>COUNTIFS('Datos - Temas'!$V$5:$V$1264,D$26,'Datos - Temas'!$C$5:$C$1264,"Ciencias",'Datos - Temas'!$AW$5:$AW$1264,"*"&amp;$A33&amp;"*")</f>
        <v/>
      </c>
      <c r="E33" s="30">
        <f>COUNTIFS('Datos - Temas'!$V$5:$V$1264,E$26,'Datos - Temas'!$C$5:$C$1264,"Ciencias",'Datos - Temas'!$AW$5:$AW$1264,"*"&amp;$A33&amp;"*")</f>
        <v/>
      </c>
      <c r="F33" s="30">
        <f>COUNTIFS('Datos - Temas'!$V$5:$V$1264,F$26,'Datos - Temas'!$C$5:$C$1264,"Ciencias",'Datos - Temas'!$AW$5:$AW$1264,"*"&amp;$A33&amp;"*")</f>
        <v/>
      </c>
      <c r="G33" s="30">
        <f>SUM(D33:F33)</f>
        <v/>
      </c>
      <c r="H33" s="37">
        <f>IF($B$16=0,0,G33/$B$16)</f>
        <v/>
      </c>
      <c r="I33" s="30">
        <f>IF(G33=0,"No trabajada",IF(H33&lt;$F$25,"Débil",IF(H33&lt;$H$25,"Básica","Sólida")))</f>
        <v/>
      </c>
    </row>
    <row r="34">
      <c r="A34" s="30" t="inlineStr">
        <is>
          <t>D2</t>
        </is>
      </c>
      <c r="B34" s="30" t="inlineStr">
        <is>
          <t>2. Diseñar indagación e interpretar datos</t>
        </is>
      </c>
      <c r="C34" s="30" t="inlineStr">
        <is>
          <t>Proponer un diseño experimental apropiado</t>
        </is>
      </c>
      <c r="D34" s="30">
        <f>COUNTIFS('Datos - Temas'!$V$5:$V$1264,D$26,'Datos - Temas'!$C$5:$C$1264,"Ciencias",'Datos - Temas'!$AW$5:$AW$1264,"*"&amp;$A34&amp;"*")</f>
        <v/>
      </c>
      <c r="E34" s="30">
        <f>COUNTIFS('Datos - Temas'!$V$5:$V$1264,E$26,'Datos - Temas'!$C$5:$C$1264,"Ciencias",'Datos - Temas'!$AW$5:$AW$1264,"*"&amp;$A34&amp;"*")</f>
        <v/>
      </c>
      <c r="F34" s="30">
        <f>COUNTIFS('Datos - Temas'!$V$5:$V$1264,F$26,'Datos - Temas'!$C$5:$C$1264,"Ciencias",'Datos - Temas'!$AW$5:$AW$1264,"*"&amp;$A34&amp;"*")</f>
        <v/>
      </c>
      <c r="G34" s="30">
        <f>SUM(D34:F34)</f>
        <v/>
      </c>
      <c r="H34" s="37">
        <f>IF($B$16=0,0,G34/$B$16)</f>
        <v/>
      </c>
      <c r="I34" s="30">
        <f>IF(G34=0,"No trabajada",IF(H34&lt;$F$25,"Débil",IF(H34&lt;$H$25,"Básica","Sólida")))</f>
        <v/>
      </c>
    </row>
    <row r="35">
      <c r="A35" s="30" t="inlineStr">
        <is>
          <t>D3</t>
        </is>
      </c>
      <c r="B35" s="30" t="inlineStr">
        <is>
          <t>2. Diseñar indagación e interpretar datos</t>
        </is>
      </c>
      <c r="C35" s="30" t="inlineStr">
        <is>
          <t>Evaluar si un diseño es el más adecuado para la pregunta</t>
        </is>
      </c>
      <c r="D35" s="30">
        <f>COUNTIFS('Datos - Temas'!$V$5:$V$1264,D$26,'Datos - Temas'!$C$5:$C$1264,"Ciencias",'Datos - Temas'!$AW$5:$AW$1264,"*"&amp;$A35&amp;"*")</f>
        <v/>
      </c>
      <c r="E35" s="30">
        <f>COUNTIFS('Datos - Temas'!$V$5:$V$1264,E$26,'Datos - Temas'!$C$5:$C$1264,"Ciencias",'Datos - Temas'!$AW$5:$AW$1264,"*"&amp;$A35&amp;"*")</f>
        <v/>
      </c>
      <c r="F35" s="30">
        <f>COUNTIFS('Datos - Temas'!$V$5:$V$1264,F$26,'Datos - Temas'!$C$5:$C$1264,"Ciencias",'Datos - Temas'!$AW$5:$AW$1264,"*"&amp;$A35&amp;"*")</f>
        <v/>
      </c>
      <c r="G35" s="30">
        <f>SUM(D35:F35)</f>
        <v/>
      </c>
      <c r="H35" s="37">
        <f>IF($B$16=0,0,G35/$B$16)</f>
        <v/>
      </c>
      <c r="I35" s="30">
        <f>IF(G35=0,"No trabajada",IF(H35&lt;$F$25,"Débil",IF(H35&lt;$H$25,"Básica","Sólida")))</f>
        <v/>
      </c>
    </row>
    <row r="36">
      <c r="A36" s="30" t="inlineStr">
        <is>
          <t>D4</t>
        </is>
      </c>
      <c r="B36" s="30" t="inlineStr">
        <is>
          <t>2. Diseñar indagación e interpretar datos</t>
        </is>
      </c>
      <c r="C36" s="30" t="inlineStr">
        <is>
          <t>Interpretar datos en distintas representaciones y sacar y evaluar conclusiones</t>
        </is>
      </c>
      <c r="D36" s="30">
        <f>COUNTIFS('Datos - Temas'!$V$5:$V$1264,D$26,'Datos - Temas'!$C$5:$C$1264,"Ciencias",'Datos - Temas'!$AW$5:$AW$1264,"*"&amp;$A36&amp;"*")</f>
        <v/>
      </c>
      <c r="E36" s="30">
        <f>COUNTIFS('Datos - Temas'!$V$5:$V$1264,E$26,'Datos - Temas'!$C$5:$C$1264,"Ciencias",'Datos - Temas'!$AW$5:$AW$1264,"*"&amp;$A36&amp;"*")</f>
        <v/>
      </c>
      <c r="F36" s="30">
        <f>COUNTIFS('Datos - Temas'!$V$5:$V$1264,F$26,'Datos - Temas'!$C$5:$C$1264,"Ciencias",'Datos - Temas'!$AW$5:$AW$1264,"*"&amp;$A36&amp;"*")</f>
        <v/>
      </c>
      <c r="G36" s="30">
        <f>SUM(D36:F36)</f>
        <v/>
      </c>
      <c r="H36" s="37">
        <f>IF($B$16=0,0,G36/$B$16)</f>
        <v/>
      </c>
      <c r="I36" s="30">
        <f>IF(G36=0,"No trabajada",IF(H36&lt;$F$25,"Débil",IF(H36&lt;$H$25,"Básica","Sólida")))</f>
        <v/>
      </c>
    </row>
    <row r="37">
      <c r="A37" s="30" t="inlineStr">
        <is>
          <t>I1</t>
        </is>
      </c>
      <c r="B37" s="30" t="inlineStr">
        <is>
          <t>3. Investigar, evaluar y usar información</t>
        </is>
      </c>
      <c r="C37" s="30" t="inlineStr">
        <is>
          <t>Buscar, evaluar y comunicar el valor de distintas fuentes de información</t>
        </is>
      </c>
      <c r="D37" s="30">
        <f>COUNTIFS('Datos - Temas'!$V$5:$V$1264,D$26,'Datos - Temas'!$C$5:$C$1264,"Ciencias",'Datos - Temas'!$AW$5:$AW$1264,"*"&amp;$A37&amp;"*")</f>
        <v/>
      </c>
      <c r="E37" s="30">
        <f>COUNTIFS('Datos - Temas'!$V$5:$V$1264,E$26,'Datos - Temas'!$C$5:$C$1264,"Ciencias",'Datos - Temas'!$AW$5:$AW$1264,"*"&amp;$A37&amp;"*")</f>
        <v/>
      </c>
      <c r="F37" s="30">
        <f>COUNTIFS('Datos - Temas'!$V$5:$V$1264,F$26,'Datos - Temas'!$C$5:$C$1264,"Ciencias",'Datos - Temas'!$AW$5:$AW$1264,"*"&amp;$A37&amp;"*")</f>
        <v/>
      </c>
      <c r="G37" s="30">
        <f>SUM(D37:F37)</f>
        <v/>
      </c>
      <c r="H37" s="37">
        <f>IF($B$16=0,0,G37/$B$16)</f>
        <v/>
      </c>
      <c r="I37" s="30">
        <f>IF(G37=0,"No trabajada",IF(H37&lt;$F$25,"Débil",IF(H37&lt;$H$25,"Básica","Sólida")))</f>
        <v/>
      </c>
    </row>
    <row r="38">
      <c r="A38" s="30" t="inlineStr">
        <is>
          <t>I2</t>
        </is>
      </c>
      <c r="B38" s="30" t="inlineStr">
        <is>
          <t>3. Investigar, evaluar y usar información</t>
        </is>
      </c>
      <c r="C38" s="30" t="inlineStr">
        <is>
          <t>Distinguir afirmaciones con evidencia sólida, de expertos o no expertos, y opiniones</t>
        </is>
      </c>
      <c r="D38" s="30">
        <f>COUNTIFS('Datos - Temas'!$V$5:$V$1264,D$26,'Datos - Temas'!$C$5:$C$1264,"Ciencias",'Datos - Temas'!$AW$5:$AW$1264,"*"&amp;$A38&amp;"*")</f>
        <v/>
      </c>
      <c r="E38" s="30">
        <f>COUNTIFS('Datos - Temas'!$V$5:$V$1264,E$26,'Datos - Temas'!$C$5:$C$1264,"Ciencias",'Datos - Temas'!$AW$5:$AW$1264,"*"&amp;$A38&amp;"*")</f>
        <v/>
      </c>
      <c r="F38" s="30">
        <f>COUNTIFS('Datos - Temas'!$V$5:$V$1264,F$26,'Datos - Temas'!$C$5:$C$1264,"Ciencias",'Datos - Temas'!$AW$5:$AW$1264,"*"&amp;$A38&amp;"*")</f>
        <v/>
      </c>
      <c r="G38" s="30">
        <f>SUM(D38:F38)</f>
        <v/>
      </c>
      <c r="H38" s="37">
        <f>IF($B$16=0,0,G38/$B$16)</f>
        <v/>
      </c>
      <c r="I38" s="30">
        <f>IF(G38=0,"No trabajada",IF(H38&lt;$F$25,"Débil",IF(H38&lt;$H$25,"Básica","Sólida")))</f>
        <v/>
      </c>
    </row>
    <row r="39">
      <c r="A39" s="30" t="inlineStr">
        <is>
          <t>I3</t>
        </is>
      </c>
      <c r="B39" s="30" t="inlineStr">
        <is>
          <t>3. Investigar, evaluar y usar información</t>
        </is>
      </c>
      <c r="C39" s="30" t="inlineStr">
        <is>
          <t>Construir un argumento a partir de datos</t>
        </is>
      </c>
      <c r="D39" s="30">
        <f>COUNTIFS('Datos - Temas'!$V$5:$V$1264,D$26,'Datos - Temas'!$C$5:$C$1264,"Ciencias",'Datos - Temas'!$AW$5:$AW$1264,"*"&amp;$A39&amp;"*")</f>
        <v/>
      </c>
      <c r="E39" s="30">
        <f>COUNTIFS('Datos - Temas'!$V$5:$V$1264,E$26,'Datos - Temas'!$C$5:$C$1264,"Ciencias",'Datos - Temas'!$AW$5:$AW$1264,"*"&amp;$A39&amp;"*")</f>
        <v/>
      </c>
      <c r="F39" s="30">
        <f>COUNTIFS('Datos - Temas'!$V$5:$V$1264,F$26,'Datos - Temas'!$C$5:$C$1264,"Ciencias",'Datos - Temas'!$AW$5:$AW$1264,"*"&amp;$A39&amp;"*")</f>
        <v/>
      </c>
      <c r="G39" s="30">
        <f>SUM(D39:F39)</f>
        <v/>
      </c>
      <c r="H39" s="37">
        <f>IF($B$16=0,0,G39/$B$16)</f>
        <v/>
      </c>
      <c r="I39" s="30">
        <f>IF(G39=0,"No trabajada",IF(H39&lt;$F$25,"Débil",IF(H39&lt;$H$25,"Básica","Sólida")))</f>
        <v/>
      </c>
    </row>
    <row r="40">
      <c r="A40" s="30" t="inlineStr">
        <is>
          <t>I4</t>
        </is>
      </c>
      <c r="B40" s="30" t="inlineStr">
        <is>
          <t>3. Investigar, evaluar y usar información</t>
        </is>
      </c>
      <c r="C40" s="30" t="inlineStr">
        <is>
          <t>Criticar fallas comunes en argumentos científicos</t>
        </is>
      </c>
      <c r="D40" s="30">
        <f>COUNTIFS('Datos - Temas'!$V$5:$V$1264,D$26,'Datos - Temas'!$C$5:$C$1264,"Ciencias",'Datos - Temas'!$AW$5:$AW$1264,"*"&amp;$A40&amp;"*")</f>
        <v/>
      </c>
      <c r="E40" s="30">
        <f>COUNTIFS('Datos - Temas'!$V$5:$V$1264,E$26,'Datos - Temas'!$C$5:$C$1264,"Ciencias",'Datos - Temas'!$AW$5:$AW$1264,"*"&amp;$A40&amp;"*")</f>
        <v/>
      </c>
      <c r="F40" s="30">
        <f>COUNTIFS('Datos - Temas'!$V$5:$V$1264,F$26,'Datos - Temas'!$C$5:$C$1264,"Ciencias",'Datos - Temas'!$AW$5:$AW$1264,"*"&amp;$A40&amp;"*")</f>
        <v/>
      </c>
      <c r="G40" s="30">
        <f>SUM(D40:F40)</f>
        <v/>
      </c>
      <c r="H40" s="37">
        <f>IF($B$16=0,0,G40/$B$16)</f>
        <v/>
      </c>
      <c r="I40" s="30">
        <f>IF(G40=0,"No trabajada",IF(H40&lt;$F$25,"Débil",IF(H40&lt;$H$25,"Básica","Sólida")))</f>
        <v/>
      </c>
    </row>
    <row r="41">
      <c r="A41" s="30" t="inlineStr">
        <is>
          <t>I5</t>
        </is>
      </c>
      <c r="B41" s="30" t="inlineStr">
        <is>
          <t>3. Investigar, evaluar y usar información</t>
        </is>
      </c>
      <c r="C41" s="30" t="inlineStr">
        <is>
          <t>Justificar decisiones con argumentos científicos, individuales o comunitarios</t>
        </is>
      </c>
      <c r="D41" s="30">
        <f>COUNTIFS('Datos - Temas'!$V$5:$V$1264,D$26,'Datos - Temas'!$C$5:$C$1264,"Ciencias",'Datos - Temas'!$AW$5:$AW$1264,"*"&amp;$A41&amp;"*")</f>
        <v/>
      </c>
      <c r="E41" s="30">
        <f>COUNTIFS('Datos - Temas'!$V$5:$V$1264,E$26,'Datos - Temas'!$C$5:$C$1264,"Ciencias",'Datos - Temas'!$AW$5:$AW$1264,"*"&amp;$A41&amp;"*")</f>
        <v/>
      </c>
      <c r="F41" s="30">
        <f>COUNTIFS('Datos - Temas'!$V$5:$V$1264,F$26,'Datos - Temas'!$C$5:$C$1264,"Ciencias",'Datos - Temas'!$AW$5:$AW$1264,"*"&amp;$A41&amp;"*")</f>
        <v/>
      </c>
      <c r="G41" s="30">
        <f>SUM(D41:F41)</f>
        <v/>
      </c>
      <c r="H41" s="37">
        <f>IF($B$16=0,0,G41/$B$16)</f>
        <v/>
      </c>
      <c r="I41" s="30">
        <f>IF(G41=0,"No trabajada",IF(H41&lt;$F$25,"Débil",IF(H41&lt;$H$25,"Básica","Sólida")))</f>
        <v/>
      </c>
    </row>
    <row r="42"/>
    <row r="43">
      <c r="A43" s="16" t="inlineStr">
        <is>
          <t>Bloque 3 · Peso de cada competencia según las microhabilidades (5 por tema), ciclo 7.°–9.°</t>
        </is>
      </c>
    </row>
    <row r="44" ht="32" customHeight="1">
      <c r="A44" s="10" t="inlineStr">
        <is>
          <t>Competencia</t>
        </is>
      </c>
      <c r="B44" s="10" t="inlineStr">
        <is>
          <t>Microhabilidades (veces)</t>
        </is>
      </c>
      <c r="C44" s="10" t="inlineStr">
        <is>
          <t>% del total</t>
        </is>
      </c>
      <c r="D44" s="10" t="inlineStr">
        <is>
          <t>Meta (punto medio)</t>
        </is>
      </c>
      <c r="E44" s="10" t="inlineStr">
        <is>
          <t>Diferencia (pp)</t>
        </is>
      </c>
    </row>
    <row r="45">
      <c r="A45" s="11" t="inlineStr">
        <is>
          <t>1. Explicar fenómenos</t>
        </is>
      </c>
      <c r="B45" s="11">
        <f>SUM(C51:G56)</f>
        <v/>
      </c>
      <c r="C45" s="13">
        <f>IF(SUM($B$45:$B$47)=0,0,B45/SUM($B$45:$B$47))</f>
        <v/>
      </c>
      <c r="D45" s="13">
        <f>$D$6</f>
        <v/>
      </c>
      <c r="E45" s="32">
        <f>(C45-D45)*100</f>
        <v/>
      </c>
    </row>
    <row r="46">
      <c r="A46" s="11" t="inlineStr">
        <is>
          <t>2. Diseñar indagación e interpretar datos</t>
        </is>
      </c>
      <c r="B46" s="11">
        <f>SUM(C57:G60)</f>
        <v/>
      </c>
      <c r="C46" s="13">
        <f>IF(SUM($B$45:$B$47)=0,0,B46/SUM($B$45:$B$47))</f>
        <v/>
      </c>
      <c r="D46" s="13">
        <f>$D$7</f>
        <v/>
      </c>
      <c r="E46" s="32">
        <f>(C46-D46)*100</f>
        <v/>
      </c>
    </row>
    <row r="47">
      <c r="A47" s="11" t="inlineStr">
        <is>
          <t>3. Investigar, evaluar y usar información</t>
        </is>
      </c>
      <c r="B47" s="11">
        <f>SUM(C61:G65)</f>
        <v/>
      </c>
      <c r="C47" s="13">
        <f>IF(SUM($B$45:$B$47)=0,0,B47/SUM($B$45:$B$47))</f>
        <v/>
      </c>
      <c r="D47" s="13">
        <f>$D$8</f>
        <v/>
      </c>
      <c r="E47" s="32">
        <f>(C47-D47)*100</f>
        <v/>
      </c>
    </row>
    <row r="48"/>
    <row r="49">
      <c r="A49" s="16" t="inlineStr">
        <is>
          <t>Bloque 4 · Qué código lleva cada fase (ciclo 7.°–9.°): muestra cuánto fija la plantilla</t>
        </is>
      </c>
    </row>
    <row r="50" ht="30" customHeight="1">
      <c r="A50" s="10" t="inlineStr">
        <is>
          <t>Código</t>
        </is>
      </c>
      <c r="B50" s="10" t="inlineStr">
        <is>
          <t>Subcompetencia</t>
        </is>
      </c>
      <c r="C50" s="10" t="inlineStr">
        <is>
          <t>Aproximar</t>
        </is>
      </c>
      <c r="D50" s="10" t="inlineStr">
        <is>
          <t>Explorar</t>
        </is>
      </c>
      <c r="E50" s="10" t="inlineStr">
        <is>
          <t>Explicar</t>
        </is>
      </c>
      <c r="F50" s="10" t="inlineStr">
        <is>
          <t>Indagar</t>
        </is>
      </c>
      <c r="G50" s="10" t="inlineStr">
        <is>
          <t>Reforzar</t>
        </is>
      </c>
    </row>
    <row r="51">
      <c r="A51" s="11" t="inlineStr">
        <is>
          <t>E1</t>
        </is>
      </c>
      <c r="B51" s="11" t="inlineStr">
        <is>
          <t>Recordar y aplicar el conocimiento científico apropiado</t>
        </is>
      </c>
      <c r="C51" s="11">
        <f>COUNTIFS('Datos - Temas'!$AV$5:$AV$1264,"Ciclo 7°–9°",'Datos - Temas'!$AF$5:$AF$1264,"*"&amp;$A51&amp;"*")</f>
        <v/>
      </c>
      <c r="D51" s="11">
        <f>COUNTIFS('Datos - Temas'!$AV$5:$AV$1264,"Ciclo 7°–9°",'Datos - Temas'!$AG$5:$AG$1264,"*"&amp;$A51&amp;"*")</f>
        <v/>
      </c>
      <c r="E51" s="11">
        <f>COUNTIFS('Datos - Temas'!$AV$5:$AV$1264,"Ciclo 7°–9°",'Datos - Temas'!$AH$5:$AH$1264,"*"&amp;$A51&amp;"*")</f>
        <v/>
      </c>
      <c r="F51" s="11">
        <f>COUNTIFS('Datos - Temas'!$AV$5:$AV$1264,"Ciclo 7°–9°",'Datos - Temas'!$AI$5:$AI$1264,"*"&amp;$A51&amp;"*")</f>
        <v/>
      </c>
      <c r="G51" s="11">
        <f>COUNTIFS('Datos - Temas'!$AV$5:$AV$1264,"Ciclo 7°–9°",'Datos - Temas'!$AJ$5:$AJ$1264,"*"&amp;$A51&amp;"*")</f>
        <v/>
      </c>
    </row>
    <row r="52">
      <c r="A52" s="11" t="inlineStr">
        <is>
          <t>E2</t>
        </is>
      </c>
      <c r="B52" s="11" t="inlineStr">
        <is>
          <t>Usar distintas representaciones y pasar de una a otra</t>
        </is>
      </c>
      <c r="C52" s="11">
        <f>COUNTIFS('Datos - Temas'!$AV$5:$AV$1264,"Ciclo 7°–9°",'Datos - Temas'!$AF$5:$AF$1264,"*"&amp;$A52&amp;"*")</f>
        <v/>
      </c>
      <c r="D52" s="11">
        <f>COUNTIFS('Datos - Temas'!$AV$5:$AV$1264,"Ciclo 7°–9°",'Datos - Temas'!$AG$5:$AG$1264,"*"&amp;$A52&amp;"*")</f>
        <v/>
      </c>
      <c r="E52" s="11">
        <f>COUNTIFS('Datos - Temas'!$AV$5:$AV$1264,"Ciclo 7°–9°",'Datos - Temas'!$AH$5:$AH$1264,"*"&amp;$A52&amp;"*")</f>
        <v/>
      </c>
      <c r="F52" s="11">
        <f>COUNTIFS('Datos - Temas'!$AV$5:$AV$1264,"Ciclo 7°–9°",'Datos - Temas'!$AI$5:$AI$1264,"*"&amp;$A52&amp;"*")</f>
        <v/>
      </c>
      <c r="G52" s="11">
        <f>COUNTIFS('Datos - Temas'!$AV$5:$AV$1264,"Ciclo 7°–9°",'Datos - Temas'!$AJ$5:$AJ$1264,"*"&amp;$A52&amp;"*")</f>
        <v/>
      </c>
    </row>
    <row r="53">
      <c r="A53" s="11" t="inlineStr">
        <is>
          <t>E3</t>
        </is>
      </c>
      <c r="B53" s="11" t="inlineStr">
        <is>
          <t>Hacer y justificar predicciones y soluciones científicas</t>
        </is>
      </c>
      <c r="C53" s="11">
        <f>COUNTIFS('Datos - Temas'!$AV$5:$AV$1264,"Ciclo 7°–9°",'Datos - Temas'!$AF$5:$AF$1264,"*"&amp;$A53&amp;"*")</f>
        <v/>
      </c>
      <c r="D53" s="11">
        <f>COUNTIFS('Datos - Temas'!$AV$5:$AV$1264,"Ciclo 7°–9°",'Datos - Temas'!$AG$5:$AG$1264,"*"&amp;$A53&amp;"*")</f>
        <v/>
      </c>
      <c r="E53" s="11">
        <f>COUNTIFS('Datos - Temas'!$AV$5:$AV$1264,"Ciclo 7°–9°",'Datos - Temas'!$AH$5:$AH$1264,"*"&amp;$A53&amp;"*")</f>
        <v/>
      </c>
      <c r="F53" s="11">
        <f>COUNTIFS('Datos - Temas'!$AV$5:$AV$1264,"Ciclo 7°–9°",'Datos - Temas'!$AI$5:$AI$1264,"*"&amp;$A53&amp;"*")</f>
        <v/>
      </c>
      <c r="G53" s="11">
        <f>COUNTIFS('Datos - Temas'!$AV$5:$AV$1264,"Ciclo 7°–9°",'Datos - Temas'!$AJ$5:$AJ$1264,"*"&amp;$A53&amp;"*")</f>
        <v/>
      </c>
    </row>
    <row r="54">
      <c r="A54" s="11" t="inlineStr">
        <is>
          <t>E4</t>
        </is>
      </c>
      <c r="B54" s="11" t="inlineStr">
        <is>
          <t>Identificar, construir y evaluar modelos</t>
        </is>
      </c>
      <c r="C54" s="11">
        <f>COUNTIFS('Datos - Temas'!$AV$5:$AV$1264,"Ciclo 7°–9°",'Datos - Temas'!$AF$5:$AF$1264,"*"&amp;$A54&amp;"*")</f>
        <v/>
      </c>
      <c r="D54" s="11">
        <f>COUNTIFS('Datos - Temas'!$AV$5:$AV$1264,"Ciclo 7°–9°",'Datos - Temas'!$AG$5:$AG$1264,"*"&amp;$A54&amp;"*")</f>
        <v/>
      </c>
      <c r="E54" s="11">
        <f>COUNTIFS('Datos - Temas'!$AV$5:$AV$1264,"Ciclo 7°–9°",'Datos - Temas'!$AH$5:$AH$1264,"*"&amp;$A54&amp;"*")</f>
        <v/>
      </c>
      <c r="F54" s="11">
        <f>COUNTIFS('Datos - Temas'!$AV$5:$AV$1264,"Ciclo 7°–9°",'Datos - Temas'!$AI$5:$AI$1264,"*"&amp;$A54&amp;"*")</f>
        <v/>
      </c>
      <c r="G54" s="11">
        <f>COUNTIFS('Datos - Temas'!$AV$5:$AV$1264,"Ciclo 7°–9°",'Datos - Temas'!$AJ$5:$AJ$1264,"*"&amp;$A54&amp;"*")</f>
        <v/>
      </c>
    </row>
    <row r="55">
      <c r="A55" s="11" t="inlineStr">
        <is>
          <t>E5</t>
        </is>
      </c>
      <c r="B55" s="11" t="inlineStr">
        <is>
          <t>Reconocer y desarrollar hipótesis explicativas</t>
        </is>
      </c>
      <c r="C55" s="11">
        <f>COUNTIFS('Datos - Temas'!$AV$5:$AV$1264,"Ciclo 7°–9°",'Datos - Temas'!$AF$5:$AF$1264,"*"&amp;$A55&amp;"*")</f>
        <v/>
      </c>
      <c r="D55" s="11">
        <f>COUNTIFS('Datos - Temas'!$AV$5:$AV$1264,"Ciclo 7°–9°",'Datos - Temas'!$AG$5:$AG$1264,"*"&amp;$A55&amp;"*")</f>
        <v/>
      </c>
      <c r="E55" s="11">
        <f>COUNTIFS('Datos - Temas'!$AV$5:$AV$1264,"Ciclo 7°–9°",'Datos - Temas'!$AH$5:$AH$1264,"*"&amp;$A55&amp;"*")</f>
        <v/>
      </c>
      <c r="F55" s="11">
        <f>COUNTIFS('Datos - Temas'!$AV$5:$AV$1264,"Ciclo 7°–9°",'Datos - Temas'!$AI$5:$AI$1264,"*"&amp;$A55&amp;"*")</f>
        <v/>
      </c>
      <c r="G55" s="11">
        <f>COUNTIFS('Datos - Temas'!$AV$5:$AV$1264,"Ciclo 7°–9°",'Datos - Temas'!$AJ$5:$AJ$1264,"*"&amp;$A55&amp;"*")</f>
        <v/>
      </c>
    </row>
    <row r="56">
      <c r="A56" s="11" t="inlineStr">
        <is>
          <t>E6</t>
        </is>
      </c>
      <c r="B56" s="11" t="inlineStr">
        <is>
          <t>Explicar las implicaciones del conocimiento científico para la sociedad</t>
        </is>
      </c>
      <c r="C56" s="11">
        <f>COUNTIFS('Datos - Temas'!$AV$5:$AV$1264,"Ciclo 7°–9°",'Datos - Temas'!$AF$5:$AF$1264,"*"&amp;$A56&amp;"*")</f>
        <v/>
      </c>
      <c r="D56" s="11">
        <f>COUNTIFS('Datos - Temas'!$AV$5:$AV$1264,"Ciclo 7°–9°",'Datos - Temas'!$AG$5:$AG$1264,"*"&amp;$A56&amp;"*")</f>
        <v/>
      </c>
      <c r="E56" s="11">
        <f>COUNTIFS('Datos - Temas'!$AV$5:$AV$1264,"Ciclo 7°–9°",'Datos - Temas'!$AH$5:$AH$1264,"*"&amp;$A56&amp;"*")</f>
        <v/>
      </c>
      <c r="F56" s="11">
        <f>COUNTIFS('Datos - Temas'!$AV$5:$AV$1264,"Ciclo 7°–9°",'Datos - Temas'!$AI$5:$AI$1264,"*"&amp;$A56&amp;"*")</f>
        <v/>
      </c>
      <c r="G56" s="11">
        <f>COUNTIFS('Datos - Temas'!$AV$5:$AV$1264,"Ciclo 7°–9°",'Datos - Temas'!$AJ$5:$AJ$1264,"*"&amp;$A56&amp;"*")</f>
        <v/>
      </c>
    </row>
    <row r="57">
      <c r="A57" s="11" t="inlineStr">
        <is>
          <t>D1</t>
        </is>
      </c>
      <c r="B57" s="11" t="inlineStr">
        <is>
          <t>Identificar la pregunta de un estudio científico</t>
        </is>
      </c>
      <c r="C57" s="11">
        <f>COUNTIFS('Datos - Temas'!$AV$5:$AV$1264,"Ciclo 7°–9°",'Datos - Temas'!$AF$5:$AF$1264,"*"&amp;$A57&amp;"*")</f>
        <v/>
      </c>
      <c r="D57" s="11">
        <f>COUNTIFS('Datos - Temas'!$AV$5:$AV$1264,"Ciclo 7°–9°",'Datos - Temas'!$AG$5:$AG$1264,"*"&amp;$A57&amp;"*")</f>
        <v/>
      </c>
      <c r="E57" s="11">
        <f>COUNTIFS('Datos - Temas'!$AV$5:$AV$1264,"Ciclo 7°–9°",'Datos - Temas'!$AH$5:$AH$1264,"*"&amp;$A57&amp;"*")</f>
        <v/>
      </c>
      <c r="F57" s="11">
        <f>COUNTIFS('Datos - Temas'!$AV$5:$AV$1264,"Ciclo 7°–9°",'Datos - Temas'!$AI$5:$AI$1264,"*"&amp;$A57&amp;"*")</f>
        <v/>
      </c>
      <c r="G57" s="11">
        <f>COUNTIFS('Datos - Temas'!$AV$5:$AV$1264,"Ciclo 7°–9°",'Datos - Temas'!$AJ$5:$AJ$1264,"*"&amp;$A57&amp;"*")</f>
        <v/>
      </c>
    </row>
    <row r="58">
      <c r="A58" s="11" t="inlineStr">
        <is>
          <t>D2</t>
        </is>
      </c>
      <c r="B58" s="11" t="inlineStr">
        <is>
          <t>Proponer un diseño experimental apropiado</t>
        </is>
      </c>
      <c r="C58" s="11">
        <f>COUNTIFS('Datos - Temas'!$AV$5:$AV$1264,"Ciclo 7°–9°",'Datos - Temas'!$AF$5:$AF$1264,"*"&amp;$A58&amp;"*")</f>
        <v/>
      </c>
      <c r="D58" s="11">
        <f>COUNTIFS('Datos - Temas'!$AV$5:$AV$1264,"Ciclo 7°–9°",'Datos - Temas'!$AG$5:$AG$1264,"*"&amp;$A58&amp;"*")</f>
        <v/>
      </c>
      <c r="E58" s="11">
        <f>COUNTIFS('Datos - Temas'!$AV$5:$AV$1264,"Ciclo 7°–9°",'Datos - Temas'!$AH$5:$AH$1264,"*"&amp;$A58&amp;"*")</f>
        <v/>
      </c>
      <c r="F58" s="11">
        <f>COUNTIFS('Datos - Temas'!$AV$5:$AV$1264,"Ciclo 7°–9°",'Datos - Temas'!$AI$5:$AI$1264,"*"&amp;$A58&amp;"*")</f>
        <v/>
      </c>
      <c r="G58" s="11">
        <f>COUNTIFS('Datos - Temas'!$AV$5:$AV$1264,"Ciclo 7°–9°",'Datos - Temas'!$AJ$5:$AJ$1264,"*"&amp;$A58&amp;"*")</f>
        <v/>
      </c>
    </row>
    <row r="59">
      <c r="A59" s="11" t="inlineStr">
        <is>
          <t>D3</t>
        </is>
      </c>
      <c r="B59" s="11" t="inlineStr">
        <is>
          <t>Evaluar si un diseño es el más adecuado para la pregunta</t>
        </is>
      </c>
      <c r="C59" s="11">
        <f>COUNTIFS('Datos - Temas'!$AV$5:$AV$1264,"Ciclo 7°–9°",'Datos - Temas'!$AF$5:$AF$1264,"*"&amp;$A59&amp;"*")</f>
        <v/>
      </c>
      <c r="D59" s="11">
        <f>COUNTIFS('Datos - Temas'!$AV$5:$AV$1264,"Ciclo 7°–9°",'Datos - Temas'!$AG$5:$AG$1264,"*"&amp;$A59&amp;"*")</f>
        <v/>
      </c>
      <c r="E59" s="11">
        <f>COUNTIFS('Datos - Temas'!$AV$5:$AV$1264,"Ciclo 7°–9°",'Datos - Temas'!$AH$5:$AH$1264,"*"&amp;$A59&amp;"*")</f>
        <v/>
      </c>
      <c r="F59" s="11">
        <f>COUNTIFS('Datos - Temas'!$AV$5:$AV$1264,"Ciclo 7°–9°",'Datos - Temas'!$AI$5:$AI$1264,"*"&amp;$A59&amp;"*")</f>
        <v/>
      </c>
      <c r="G59" s="11">
        <f>COUNTIFS('Datos - Temas'!$AV$5:$AV$1264,"Ciclo 7°–9°",'Datos - Temas'!$AJ$5:$AJ$1264,"*"&amp;$A59&amp;"*")</f>
        <v/>
      </c>
    </row>
    <row r="60">
      <c r="A60" s="11" t="inlineStr">
        <is>
          <t>D4</t>
        </is>
      </c>
      <c r="B60" s="11" t="inlineStr">
        <is>
          <t>Interpretar datos en distintas representaciones y sacar y evaluar conclusiones</t>
        </is>
      </c>
      <c r="C60" s="11">
        <f>COUNTIFS('Datos - Temas'!$AV$5:$AV$1264,"Ciclo 7°–9°",'Datos - Temas'!$AF$5:$AF$1264,"*"&amp;$A60&amp;"*")</f>
        <v/>
      </c>
      <c r="D60" s="11">
        <f>COUNTIFS('Datos - Temas'!$AV$5:$AV$1264,"Ciclo 7°–9°",'Datos - Temas'!$AG$5:$AG$1264,"*"&amp;$A60&amp;"*")</f>
        <v/>
      </c>
      <c r="E60" s="11">
        <f>COUNTIFS('Datos - Temas'!$AV$5:$AV$1264,"Ciclo 7°–9°",'Datos - Temas'!$AH$5:$AH$1264,"*"&amp;$A60&amp;"*")</f>
        <v/>
      </c>
      <c r="F60" s="11">
        <f>COUNTIFS('Datos - Temas'!$AV$5:$AV$1264,"Ciclo 7°–9°",'Datos - Temas'!$AI$5:$AI$1264,"*"&amp;$A60&amp;"*")</f>
        <v/>
      </c>
      <c r="G60" s="11">
        <f>COUNTIFS('Datos - Temas'!$AV$5:$AV$1264,"Ciclo 7°–9°",'Datos - Temas'!$AJ$5:$AJ$1264,"*"&amp;$A60&amp;"*")</f>
        <v/>
      </c>
    </row>
    <row r="61">
      <c r="A61" s="11" t="inlineStr">
        <is>
          <t>I1</t>
        </is>
      </c>
      <c r="B61" s="11" t="inlineStr">
        <is>
          <t>Buscar, evaluar y comunicar el valor de distintas fuentes de información</t>
        </is>
      </c>
      <c r="C61" s="11">
        <f>COUNTIFS('Datos - Temas'!$AV$5:$AV$1264,"Ciclo 7°–9°",'Datos - Temas'!$AF$5:$AF$1264,"*"&amp;$A61&amp;"*")</f>
        <v/>
      </c>
      <c r="D61" s="11">
        <f>COUNTIFS('Datos - Temas'!$AV$5:$AV$1264,"Ciclo 7°–9°",'Datos - Temas'!$AG$5:$AG$1264,"*"&amp;$A61&amp;"*")</f>
        <v/>
      </c>
      <c r="E61" s="11">
        <f>COUNTIFS('Datos - Temas'!$AV$5:$AV$1264,"Ciclo 7°–9°",'Datos - Temas'!$AH$5:$AH$1264,"*"&amp;$A61&amp;"*")</f>
        <v/>
      </c>
      <c r="F61" s="11">
        <f>COUNTIFS('Datos - Temas'!$AV$5:$AV$1264,"Ciclo 7°–9°",'Datos - Temas'!$AI$5:$AI$1264,"*"&amp;$A61&amp;"*")</f>
        <v/>
      </c>
      <c r="G61" s="11">
        <f>COUNTIFS('Datos - Temas'!$AV$5:$AV$1264,"Ciclo 7°–9°",'Datos - Temas'!$AJ$5:$AJ$1264,"*"&amp;$A61&amp;"*")</f>
        <v/>
      </c>
    </row>
    <row r="62">
      <c r="A62" s="11" t="inlineStr">
        <is>
          <t>I2</t>
        </is>
      </c>
      <c r="B62" s="11" t="inlineStr">
        <is>
          <t>Distinguir afirmaciones con evidencia sólida, de expertos o no expertos, y opiniones</t>
        </is>
      </c>
      <c r="C62" s="11">
        <f>COUNTIFS('Datos - Temas'!$AV$5:$AV$1264,"Ciclo 7°–9°",'Datos - Temas'!$AF$5:$AF$1264,"*"&amp;$A62&amp;"*")</f>
        <v/>
      </c>
      <c r="D62" s="11">
        <f>COUNTIFS('Datos - Temas'!$AV$5:$AV$1264,"Ciclo 7°–9°",'Datos - Temas'!$AG$5:$AG$1264,"*"&amp;$A62&amp;"*")</f>
        <v/>
      </c>
      <c r="E62" s="11">
        <f>COUNTIFS('Datos - Temas'!$AV$5:$AV$1264,"Ciclo 7°–9°",'Datos - Temas'!$AH$5:$AH$1264,"*"&amp;$A62&amp;"*")</f>
        <v/>
      </c>
      <c r="F62" s="11">
        <f>COUNTIFS('Datos - Temas'!$AV$5:$AV$1264,"Ciclo 7°–9°",'Datos - Temas'!$AI$5:$AI$1264,"*"&amp;$A62&amp;"*")</f>
        <v/>
      </c>
      <c r="G62" s="11">
        <f>COUNTIFS('Datos - Temas'!$AV$5:$AV$1264,"Ciclo 7°–9°",'Datos - Temas'!$AJ$5:$AJ$1264,"*"&amp;$A62&amp;"*")</f>
        <v/>
      </c>
    </row>
    <row r="63">
      <c r="A63" s="11" t="inlineStr">
        <is>
          <t>I3</t>
        </is>
      </c>
      <c r="B63" s="11" t="inlineStr">
        <is>
          <t>Construir un argumento a partir de datos</t>
        </is>
      </c>
      <c r="C63" s="11">
        <f>COUNTIFS('Datos - Temas'!$AV$5:$AV$1264,"Ciclo 7°–9°",'Datos - Temas'!$AF$5:$AF$1264,"*"&amp;$A63&amp;"*")</f>
        <v/>
      </c>
      <c r="D63" s="11">
        <f>COUNTIFS('Datos - Temas'!$AV$5:$AV$1264,"Ciclo 7°–9°",'Datos - Temas'!$AG$5:$AG$1264,"*"&amp;$A63&amp;"*")</f>
        <v/>
      </c>
      <c r="E63" s="11">
        <f>COUNTIFS('Datos - Temas'!$AV$5:$AV$1264,"Ciclo 7°–9°",'Datos - Temas'!$AH$5:$AH$1264,"*"&amp;$A63&amp;"*")</f>
        <v/>
      </c>
      <c r="F63" s="11">
        <f>COUNTIFS('Datos - Temas'!$AV$5:$AV$1264,"Ciclo 7°–9°",'Datos - Temas'!$AI$5:$AI$1264,"*"&amp;$A63&amp;"*")</f>
        <v/>
      </c>
      <c r="G63" s="11">
        <f>COUNTIFS('Datos - Temas'!$AV$5:$AV$1264,"Ciclo 7°–9°",'Datos - Temas'!$AJ$5:$AJ$1264,"*"&amp;$A63&amp;"*")</f>
        <v/>
      </c>
    </row>
    <row r="64">
      <c r="A64" s="11" t="inlineStr">
        <is>
          <t>I4</t>
        </is>
      </c>
      <c r="B64" s="11" t="inlineStr">
        <is>
          <t>Criticar fallas comunes en argumentos científicos</t>
        </is>
      </c>
      <c r="C64" s="11">
        <f>COUNTIFS('Datos - Temas'!$AV$5:$AV$1264,"Ciclo 7°–9°",'Datos - Temas'!$AF$5:$AF$1264,"*"&amp;$A64&amp;"*")</f>
        <v/>
      </c>
      <c r="D64" s="11">
        <f>COUNTIFS('Datos - Temas'!$AV$5:$AV$1264,"Ciclo 7°–9°",'Datos - Temas'!$AG$5:$AG$1264,"*"&amp;$A64&amp;"*")</f>
        <v/>
      </c>
      <c r="E64" s="11">
        <f>COUNTIFS('Datos - Temas'!$AV$5:$AV$1264,"Ciclo 7°–9°",'Datos - Temas'!$AH$5:$AH$1264,"*"&amp;$A64&amp;"*")</f>
        <v/>
      </c>
      <c r="F64" s="11">
        <f>COUNTIFS('Datos - Temas'!$AV$5:$AV$1264,"Ciclo 7°–9°",'Datos - Temas'!$AI$5:$AI$1264,"*"&amp;$A64&amp;"*")</f>
        <v/>
      </c>
      <c r="G64" s="11">
        <f>COUNTIFS('Datos - Temas'!$AV$5:$AV$1264,"Ciclo 7°–9°",'Datos - Temas'!$AJ$5:$AJ$1264,"*"&amp;$A64&amp;"*")</f>
        <v/>
      </c>
    </row>
    <row r="65">
      <c r="A65" s="11" t="inlineStr">
        <is>
          <t>I5</t>
        </is>
      </c>
      <c r="B65" s="11" t="inlineStr">
        <is>
          <t>Justificar decisiones con argumentos científicos, individuales o comunitarios</t>
        </is>
      </c>
      <c r="C65" s="11">
        <f>COUNTIFS('Datos - Temas'!$AV$5:$AV$1264,"Ciclo 7°–9°",'Datos - Temas'!$AF$5:$AF$1264,"*"&amp;$A65&amp;"*")</f>
        <v/>
      </c>
      <c r="D65" s="11">
        <f>COUNTIFS('Datos - Temas'!$AV$5:$AV$1264,"Ciclo 7°–9°",'Datos - Temas'!$AG$5:$AG$1264,"*"&amp;$A65&amp;"*")</f>
        <v/>
      </c>
      <c r="E65" s="11">
        <f>COUNTIFS('Datos - Temas'!$AV$5:$AV$1264,"Ciclo 7°–9°",'Datos - Temas'!$AH$5:$AH$1264,"*"&amp;$A65&amp;"*")</f>
        <v/>
      </c>
      <c r="F65" s="11">
        <f>COUNTIFS('Datos - Temas'!$AV$5:$AV$1264,"Ciclo 7°–9°",'Datos - Temas'!$AI$5:$AI$1264,"*"&amp;$A65&amp;"*")</f>
        <v/>
      </c>
      <c r="G65" s="11">
        <f>COUNTIFS('Datos - Temas'!$AV$5:$AV$1264,"Ciclo 7°–9°",'Datos - Temas'!$AJ$5:$AJ$1264,"*"&amp;$A65&amp;"*")</f>
        <v/>
      </c>
    </row>
    <row r="66"/>
    <row r="67" ht="84" customHeight="1">
      <c r="A67" s="2" t="inlineStr">
        <is>
          <t>Cómo se calcula: Fuente: columnas «Competencia PISA 2025» y «Microhabilidades PISA por fase» de cada malla (equipo de Ciencias, MINED). No hay clasificación de IA aquí. Cada tema declara UNA competencia y una microhabilidad por fase (Aproximar, Explorar, Explicar, Indagar, Reforzar) con los códigos de las 15 subcompetencias del marco (E1–E6 = competencia 1, D1–D4 = competencia 2, I1–I5 = competencia 3). Ojo: la plantilla de la secuencia asigna códigos por fase (p. ej. Explorar casi siempre D1), así que las subcompetencias reflejan en parte la plantilla y no solo el contenido (bloque 4).</t>
        </is>
      </c>
    </row>
  </sheetData>
  <mergeCells count="3">
    <mergeCell ref="A2:L2"/>
    <mergeCell ref="A9:L9"/>
    <mergeCell ref="A67:L67"/>
  </mergeCells>
  <conditionalFormatting sqref="I13:K23">
    <cfRule type="cellIs" priority="1" operator="equal" dxfId="2">
      <formula>"Por debajo del rango"</formula>
    </cfRule>
    <cfRule type="cellIs" priority="2" operator="equal" dxfId="1">
      <formula>"Por encima del rango"</formula>
    </cfRule>
    <cfRule type="cellIs" priority="3" operator="equal" dxfId="8">
      <formula>"Dentro del rango"</formula>
    </cfRule>
  </conditionalFormatting>
  <conditionalFormatting sqref="I27:I41">
    <cfRule type="cellIs" priority="4" operator="equal" dxfId="2">
      <formula>"No trabajada"</formula>
    </cfRule>
    <cfRule type="cellIs" priority="5" operator="equal" dxfId="1">
      <formula>"Débil"</formula>
    </cfRule>
    <cfRule type="cellIs" priority="6" operator="equal" dxfId="8">
      <formula>"Básica"</formula>
    </cfRule>
    <cfRule type="cellIs" priority="7" operator="equal" dxfId="0">
      <formula>"Sólida"</formula>
    </cfRule>
  </conditionalFormatting>
  <conditionalFormatting sqref="C51:G65">
    <cfRule type="cellIs" priority="8" operator="equal" dxfId="9">
      <formula>0</formula>
    </cfRule>
    <cfRule type="cellIs" priority="9" operator="greaterThanOrEqual" dxfId="0">
      <formula>30</formula>
    </cfRule>
  </conditionalFormatting>
  <pageMargins left="0.75" right="0.75" top="1" bottom="1" header="0.5" footer="0.5"/>
</worksheet>
</file>

<file path=xl/worksheets/sheet14.xml><?xml version="1.0" encoding="utf-8"?>
<worksheet xmlns="http://schemas.openxmlformats.org/spreadsheetml/2006/main">
  <sheetPr>
    <tabColor rgb="001F6F5C"/>
    <outlinePr summaryBelow="1" summaryRight="1"/>
    <pageSetUpPr/>
  </sheetPr>
  <dimension ref="A1:M59"/>
  <sheetViews>
    <sheetView showGridLines="0" workbookViewId="0">
      <selection activeCell="A1" sqref="A1"/>
    </sheetView>
  </sheetViews>
  <sheetFormatPr baseColWidth="8" defaultRowHeight="15"/>
  <cols>
    <col width="16" customWidth="1" min="1" max="1"/>
    <col width="9" customWidth="1" min="2" max="2"/>
    <col width="10" customWidth="1" min="3" max="3"/>
    <col width="50" customWidth="1" min="4" max="4"/>
    <col width="11" customWidth="1" min="5" max="5"/>
    <col width="10" customWidth="1" min="6" max="6"/>
    <col width="12" customWidth="1" min="7" max="7"/>
    <col width="11" customWidth="1" min="8" max="8"/>
    <col width="18" customWidth="1" min="9" max="9"/>
    <col width="18" customWidth="1" min="10" max="10"/>
    <col width="15" customWidth="1" min="11" max="11"/>
    <col width="15" customWidth="1" min="12" max="12"/>
    <col width="13" customWidth="1" min="13" max="13"/>
  </cols>
  <sheetData>
    <row r="1">
      <c r="A1" s="6" t="inlineStr">
        <is>
          <t>PISA 2025 · Tipos de conocimiento: contenido, procedimental y epistémico</t>
        </is>
      </c>
    </row>
    <row r="2" ht="83" customHeight="1">
      <c r="A2" s="7">
        <f>"PISA 2025 (7.°–9.°)"&amp;"
"&amp;IF(G16&gt;=$B$7,"BIEN · ","OJO · ")&amp;"Temas centrados en cómo se obtienen datos (procedimental): "&amp;FIXED((G16)*100,0)&amp;" %"&amp;". PISA: 27–33 %."&amp;"
"&amp;IF(H16&gt;=$B$8,"BIEN · ","OJO · ")&amp;"Temas centrados en por qué confiamos en la ciencia (epistémico): "&amp;FIXED((H16)*100,0)&amp;" %"&amp;". PISA: 24–30 %."&amp;"
"&amp;"● "&amp;E57&amp;" de "&amp;B57&amp;" ideas epistémicas no aparecen (modelo vs. realidad, consenso, revisión por pares)."&amp;"
"&amp;"→ No hacen falta temas nuevos: basta una fase «Reforzar» por unidad que trabaje el porqué."</f>
        <v/>
      </c>
      <c r="B2" s="8" t="n"/>
      <c r="C2" s="8" t="n"/>
      <c r="D2" s="8" t="n"/>
      <c r="E2" s="8" t="n"/>
      <c r="F2" s="8" t="n"/>
      <c r="G2" s="8" t="n"/>
      <c r="H2" s="8" t="n"/>
      <c r="I2" s="8" t="n"/>
      <c r="J2" s="8" t="n"/>
      <c r="K2" s="8" t="n"/>
      <c r="L2" s="9" t="n"/>
    </row>
    <row r="3"/>
    <row r="4">
      <c r="A4" s="16" t="inlineStr">
        <is>
          <t>Metas de PISA por tipo de conocimiento (Tabla 2.3, total sobre sistemas)</t>
        </is>
      </c>
    </row>
    <row r="5" ht="32" customHeight="1">
      <c r="A5" s="10" t="inlineStr"/>
      <c r="B5" s="10" t="inlineStr">
        <is>
          <t>Mínimo del marco</t>
        </is>
      </c>
      <c r="C5" s="10" t="inlineStr">
        <is>
          <t>Máximo del marco</t>
        </is>
      </c>
      <c r="D5" s="10" t="inlineStr">
        <is>
          <t>Meta (punto medio, normalizado)</t>
        </is>
      </c>
    </row>
    <row r="6">
      <c r="A6" s="11" t="inlineStr">
        <is>
          <t>Contenido</t>
        </is>
      </c>
      <c r="B6" s="21" t="n">
        <v>0.38</v>
      </c>
      <c r="C6" s="21" t="n">
        <v>0.48</v>
      </c>
      <c r="D6" s="13">
        <f>AVERAGE(B6:C6)/((SUM($B$6:$B$8)+SUM($C$6:$C$8))/2)</f>
        <v/>
      </c>
    </row>
    <row r="7">
      <c r="A7" s="11" t="inlineStr">
        <is>
          <t>Procedimental</t>
        </is>
      </c>
      <c r="B7" s="21" t="n">
        <v>0.27</v>
      </c>
      <c r="C7" s="21" t="n">
        <v>0.33</v>
      </c>
      <c r="D7" s="13">
        <f>AVERAGE(B7:C7)/((SUM($B$6:$B$8)+SUM($C$6:$C$8))/2)</f>
        <v/>
      </c>
    </row>
    <row r="8">
      <c r="A8" s="11" t="inlineStr">
        <is>
          <t>Epistémico</t>
        </is>
      </c>
      <c r="B8" s="21" t="n">
        <v>0.24</v>
      </c>
      <c r="C8" s="21" t="n">
        <v>0.3</v>
      </c>
      <c r="D8" s="13">
        <f>AVERAGE(B8:C8)/((SUM($B$6:$B$8)+SUM($C$6:$C$8))/2)</f>
        <v/>
      </c>
    </row>
    <row r="9" ht="28" customHeight="1">
      <c r="A9" s="2" t="inlineStr">
        <is>
          <t>PISA reparte la PRUEBA por tipo de conocimiento; en un currículo es esperable que domine el contenido. Úsalo como referencia de lo que falta, no como meta estricta.</t>
        </is>
      </c>
    </row>
    <row r="10"/>
    <row r="11">
      <c r="A11" s="16" t="inlineStr">
        <is>
          <t>Bloque 1 · Tipo de conocimiento predominante por grado</t>
        </is>
      </c>
    </row>
    <row r="12" ht="48" customHeight="1">
      <c r="A12" s="10" t="inlineStr">
        <is>
          <t>Grado / ciclo</t>
        </is>
      </c>
      <c r="B12" s="10" t="inlineStr">
        <is>
          <t>Temas</t>
        </is>
      </c>
      <c r="C12" s="10" t="inlineStr">
        <is>
          <t>Contenido</t>
        </is>
      </c>
      <c r="D12" s="10" t="inlineStr">
        <is>
          <t>Procedimental</t>
        </is>
      </c>
      <c r="E12" s="10" t="inlineStr">
        <is>
          <t>Epistémico</t>
        </is>
      </c>
      <c r="F12" s="10" t="inlineStr">
        <is>
          <t>% Contenido</t>
        </is>
      </c>
      <c r="G12" s="10" t="inlineStr">
        <is>
          <t>% Procedimental</t>
        </is>
      </c>
      <c r="H12" s="10" t="inlineStr">
        <is>
          <t>% Epistémico</t>
        </is>
      </c>
      <c r="I12" s="10" t="inlineStr">
        <is>
          <t>Estado procedimental</t>
        </is>
      </c>
      <c r="J12" s="10" t="inlineStr">
        <is>
          <t>Estado epistémico</t>
        </is>
      </c>
      <c r="K12" s="10" t="inlineStr">
        <is>
          <t>Temas con algún procedimental explícito</t>
        </is>
      </c>
      <c r="L12" s="10" t="inlineStr">
        <is>
          <t>Temas con algún epistémico explícito</t>
        </is>
      </c>
      <c r="M12" s="10" t="inlineStr">
        <is>
          <t>COINCIDENCIA con la meta</t>
        </is>
      </c>
    </row>
    <row r="13">
      <c r="A13" s="11" t="inlineStr">
        <is>
          <t>7°</t>
        </is>
      </c>
      <c r="B13" s="11">
        <f>COUNTIFS('Datos - Temas'!$V$5:$V$1264,$A13,'Datos - Temas'!$AN$5:$AN$1264,"&lt;&gt;")</f>
        <v/>
      </c>
      <c r="C13" s="11">
        <f>COUNTIFS('Datos - Temas'!$V$5:$V$1264,$A13,'Datos - Temas'!$AN$5:$AN$1264,"Contenido")</f>
        <v/>
      </c>
      <c r="D13" s="11">
        <f>COUNTIFS('Datos - Temas'!$V$5:$V$1264,$A13,'Datos - Temas'!$AN$5:$AN$1264,"Procedimental")</f>
        <v/>
      </c>
      <c r="E13" s="11">
        <f>COUNTIFS('Datos - Temas'!$V$5:$V$1264,$A13,'Datos - Temas'!$AN$5:$AN$1264,"Epistémico")</f>
        <v/>
      </c>
      <c r="F13" s="13">
        <f>IF($B13=0,0,C13/$B13)</f>
        <v/>
      </c>
      <c r="G13" s="13">
        <f>IF($B13=0,0,D13/$B13)</f>
        <v/>
      </c>
      <c r="H13" s="13">
        <f>IF($B13=0,0,E13/$B13)</f>
        <v/>
      </c>
      <c r="I13" s="11">
        <f>IF(G13&lt;$B$7,"Por debajo del rango",IF(G13&gt;$C$7,"Por encima del rango","Dentro del rango"))</f>
        <v/>
      </c>
      <c r="J13" s="11">
        <f>IF(H13&lt;$B$8,"Por debajo del rango",IF(H13&gt;$C$8,"Por encima del rango","Dentro del rango"))</f>
        <v/>
      </c>
      <c r="K13" s="11">
        <f>COUNTIFS('Datos - Temas'!$V$5:$V$1264,$A13,'Datos - Temas'!$AO$5:$AO$1264,"&lt;&gt;")</f>
        <v/>
      </c>
      <c r="L13" s="11">
        <f>COUNTIFS('Datos - Temas'!$V$5:$V$1264,$A13,'Datos - Temas'!$AP$5:$AP$1264,"&lt;&gt;")</f>
        <v/>
      </c>
      <c r="M13" s="13">
        <f>1-(ABS(F13-$D$6)+ABS(G13-$D$7)+ABS(H13-$D$8))/2</f>
        <v/>
      </c>
    </row>
    <row r="14">
      <c r="A14" s="11" t="inlineStr">
        <is>
          <t>8°</t>
        </is>
      </c>
      <c r="B14" s="11">
        <f>COUNTIFS('Datos - Temas'!$V$5:$V$1264,$A14,'Datos - Temas'!$AN$5:$AN$1264,"&lt;&gt;")</f>
        <v/>
      </c>
      <c r="C14" s="11">
        <f>COUNTIFS('Datos - Temas'!$V$5:$V$1264,$A14,'Datos - Temas'!$AN$5:$AN$1264,"Contenido")</f>
        <v/>
      </c>
      <c r="D14" s="11">
        <f>COUNTIFS('Datos - Temas'!$V$5:$V$1264,$A14,'Datos - Temas'!$AN$5:$AN$1264,"Procedimental")</f>
        <v/>
      </c>
      <c r="E14" s="11">
        <f>COUNTIFS('Datos - Temas'!$V$5:$V$1264,$A14,'Datos - Temas'!$AN$5:$AN$1264,"Epistémico")</f>
        <v/>
      </c>
      <c r="F14" s="13">
        <f>IF($B14=0,0,C14/$B14)</f>
        <v/>
      </c>
      <c r="G14" s="13">
        <f>IF($B14=0,0,D14/$B14)</f>
        <v/>
      </c>
      <c r="H14" s="13">
        <f>IF($B14=0,0,E14/$B14)</f>
        <v/>
      </c>
      <c r="I14" s="11">
        <f>IF(G14&lt;$B$7,"Por debajo del rango",IF(G14&gt;$C$7,"Por encima del rango","Dentro del rango"))</f>
        <v/>
      </c>
      <c r="J14" s="11">
        <f>IF(H14&lt;$B$8,"Por debajo del rango",IF(H14&gt;$C$8,"Por encima del rango","Dentro del rango"))</f>
        <v/>
      </c>
      <c r="K14" s="11">
        <f>COUNTIFS('Datos - Temas'!$V$5:$V$1264,$A14,'Datos - Temas'!$AO$5:$AO$1264,"&lt;&gt;")</f>
        <v/>
      </c>
      <c r="L14" s="11">
        <f>COUNTIFS('Datos - Temas'!$V$5:$V$1264,$A14,'Datos - Temas'!$AP$5:$AP$1264,"&lt;&gt;")</f>
        <v/>
      </c>
      <c r="M14" s="13">
        <f>1-(ABS(F14-$D$6)+ABS(G14-$D$7)+ABS(H14-$D$8))/2</f>
        <v/>
      </c>
    </row>
    <row r="15">
      <c r="A15" s="11" t="inlineStr">
        <is>
          <t>9°</t>
        </is>
      </c>
      <c r="B15" s="11">
        <f>COUNTIFS('Datos - Temas'!$V$5:$V$1264,$A15,'Datos - Temas'!$AN$5:$AN$1264,"&lt;&gt;")</f>
        <v/>
      </c>
      <c r="C15" s="11">
        <f>COUNTIFS('Datos - Temas'!$V$5:$V$1264,$A15,'Datos - Temas'!$AN$5:$AN$1264,"Contenido")</f>
        <v/>
      </c>
      <c r="D15" s="11">
        <f>COUNTIFS('Datos - Temas'!$V$5:$V$1264,$A15,'Datos - Temas'!$AN$5:$AN$1264,"Procedimental")</f>
        <v/>
      </c>
      <c r="E15" s="11">
        <f>COUNTIFS('Datos - Temas'!$V$5:$V$1264,$A15,'Datos - Temas'!$AN$5:$AN$1264,"Epistémico")</f>
        <v/>
      </c>
      <c r="F15" s="13">
        <f>IF($B15=0,0,C15/$B15)</f>
        <v/>
      </c>
      <c r="G15" s="13">
        <f>IF($B15=0,0,D15/$B15)</f>
        <v/>
      </c>
      <c r="H15" s="13">
        <f>IF($B15=0,0,E15/$B15)</f>
        <v/>
      </c>
      <c r="I15" s="11">
        <f>IF(G15&lt;$B$7,"Por debajo del rango",IF(G15&gt;$C$7,"Por encima del rango","Dentro del rango"))</f>
        <v/>
      </c>
      <c r="J15" s="11">
        <f>IF(H15&lt;$B$8,"Por debajo del rango",IF(H15&gt;$C$8,"Por encima del rango","Dentro del rango"))</f>
        <v/>
      </c>
      <c r="K15" s="11">
        <f>COUNTIFS('Datos - Temas'!$V$5:$V$1264,$A15,'Datos - Temas'!$AO$5:$AO$1264,"&lt;&gt;")</f>
        <v/>
      </c>
      <c r="L15" s="11">
        <f>COUNTIFS('Datos - Temas'!$V$5:$V$1264,$A15,'Datos - Temas'!$AP$5:$AP$1264,"&lt;&gt;")</f>
        <v/>
      </c>
      <c r="M15" s="13">
        <f>1-(ABS(F15-$D$6)+ABS(G15-$D$7)+ABS(H15-$D$8))/2</f>
        <v/>
      </c>
    </row>
    <row r="16">
      <c r="A16" s="11" t="inlineStr">
        <is>
          <t>Ciclo 7°–9°</t>
        </is>
      </c>
      <c r="B16" s="11">
        <f>COUNTIFS('Datos - Temas'!$AV$5:$AV$1264,$A16,'Datos - Temas'!$AN$5:$AN$1264,"&lt;&gt;")</f>
        <v/>
      </c>
      <c r="C16" s="11">
        <f>COUNTIFS('Datos - Temas'!$AV$5:$AV$1264,$A16,'Datos - Temas'!$AN$5:$AN$1264,"Contenido")</f>
        <v/>
      </c>
      <c r="D16" s="11">
        <f>COUNTIFS('Datos - Temas'!$AV$5:$AV$1264,$A16,'Datos - Temas'!$AN$5:$AN$1264,"Procedimental")</f>
        <v/>
      </c>
      <c r="E16" s="11">
        <f>COUNTIFS('Datos - Temas'!$AV$5:$AV$1264,$A16,'Datos - Temas'!$AN$5:$AN$1264,"Epistémico")</f>
        <v/>
      </c>
      <c r="F16" s="13">
        <f>IF($B16=0,0,C16/$B16)</f>
        <v/>
      </c>
      <c r="G16" s="13">
        <f>IF($B16=0,0,D16/$B16)</f>
        <v/>
      </c>
      <c r="H16" s="13">
        <f>IF($B16=0,0,E16/$B16)</f>
        <v/>
      </c>
      <c r="I16" s="11">
        <f>IF(G16&lt;$B$7,"Por debajo del rango",IF(G16&gt;$C$7,"Por encima del rango","Dentro del rango"))</f>
        <v/>
      </c>
      <c r="J16" s="11">
        <f>IF(H16&lt;$B$8,"Por debajo del rango",IF(H16&gt;$C$8,"Por encima del rango","Dentro del rango"))</f>
        <v/>
      </c>
      <c r="K16" s="11">
        <f>COUNTIFS('Datos - Temas'!$AV$5:$AV$1264,$A16,'Datos - Temas'!$AO$5:$AO$1264,"&lt;&gt;")</f>
        <v/>
      </c>
      <c r="L16" s="11">
        <f>COUNTIFS('Datos - Temas'!$AV$5:$AV$1264,$A16,'Datos - Temas'!$AP$5:$AP$1264,"&lt;&gt;")</f>
        <v/>
      </c>
      <c r="M16" s="13">
        <f>1-(ABS(F16-$D$6)+ABS(G16-$D$7)+ABS(H16-$D$8))/2</f>
        <v/>
      </c>
    </row>
    <row r="17"/>
    <row r="18">
      <c r="A18" s="16" t="inlineStr">
        <is>
          <t>Bloque 2 · Tabla 2.3 de PISA en el acumulado 7.°–9.°: % de temas por tipo de conocimiento × sistema (vs. rango del marco)</t>
        </is>
      </c>
    </row>
    <row r="19" ht="48" customHeight="1">
      <c r="A19" s="10" t="inlineStr">
        <is>
          <t>Tipo de conocimiento</t>
        </is>
      </c>
      <c r="B19" s="10" t="inlineStr">
        <is>
          <t>Sistemas físicos · actual</t>
        </is>
      </c>
      <c r="C19" s="10" t="inlineStr">
        <is>
          <t>Sistemas vivos · actual</t>
        </is>
      </c>
      <c r="D19" s="10" t="inlineStr">
        <is>
          <t>Sistemas de la Tierra y el espacio · actual</t>
        </is>
      </c>
      <c r="E19" s="10" t="inlineStr">
        <is>
          <t>Sistemas físicos · rango PISA</t>
        </is>
      </c>
      <c r="F19" s="10" t="inlineStr">
        <is>
          <t>Sistemas vivos · rango PISA</t>
        </is>
      </c>
      <c r="G19" s="10" t="inlineStr">
        <is>
          <t>Sistemas de la Tierra y el espacio · rango PISA</t>
        </is>
      </c>
    </row>
    <row r="20">
      <c r="A20" s="11" t="inlineStr">
        <is>
          <t>Contenido</t>
        </is>
      </c>
      <c r="B20" s="13">
        <f>IF((COUNTIFS('Datos - Temas'!$AV$5:$AV$1264,"Ciclo 7°–9°")-COUNTIFS('Datos - Temas'!$AV$5:$AV$1264,"Ciclo 7°–9°",'Datos - Temas'!$AK$5:$AK$1264,"FUERA"))=0,0,COUNTIFS('Datos - Temas'!$AV$5:$AV$1264,"Ciclo 7°–9°",'Datos - Temas'!$AN$5:$AN$1264,$A20,'Datos - Temas'!$AM$5:$AM$1264,"Sistemas físicos")/(COUNTIFS('Datos - Temas'!$AV$5:$AV$1264,"Ciclo 7°–9°")-COUNTIFS('Datos - Temas'!$AV$5:$AV$1264,"Ciclo 7°–9°",'Datos - Temas'!$AK$5:$AK$1264,"FUERA")))</f>
        <v/>
      </c>
      <c r="C20" s="13">
        <f>IF((COUNTIFS('Datos - Temas'!$AV$5:$AV$1264,"Ciclo 7°–9°")-COUNTIFS('Datos - Temas'!$AV$5:$AV$1264,"Ciclo 7°–9°",'Datos - Temas'!$AK$5:$AK$1264,"FUERA"))=0,0,COUNTIFS('Datos - Temas'!$AV$5:$AV$1264,"Ciclo 7°–9°",'Datos - Temas'!$AN$5:$AN$1264,$A20,'Datos - Temas'!$AM$5:$AM$1264,"Sistemas vivos")/(COUNTIFS('Datos - Temas'!$AV$5:$AV$1264,"Ciclo 7°–9°")-COUNTIFS('Datos - Temas'!$AV$5:$AV$1264,"Ciclo 7°–9°",'Datos - Temas'!$AK$5:$AK$1264,"FUERA")))</f>
        <v/>
      </c>
      <c r="D20" s="13">
        <f>IF((COUNTIFS('Datos - Temas'!$AV$5:$AV$1264,"Ciclo 7°–9°")-COUNTIFS('Datos - Temas'!$AV$5:$AV$1264,"Ciclo 7°–9°",'Datos - Temas'!$AK$5:$AK$1264,"FUERA"))=0,0,COUNTIFS('Datos - Temas'!$AV$5:$AV$1264,"Ciclo 7°–9°",'Datos - Temas'!$AN$5:$AN$1264,$A20,'Datos - Temas'!$AM$5:$AM$1264,"Sistemas de la Tierra y el espacio")/(COUNTIFS('Datos - Temas'!$AV$5:$AV$1264,"Ciclo 7°–9°")-COUNTIFS('Datos - Temas'!$AV$5:$AV$1264,"Ciclo 7°–9°",'Datos - Temas'!$AK$5:$AK$1264,"FUERA")))</f>
        <v/>
      </c>
      <c r="E20" s="11" t="inlineStr">
        <is>
          <t>15–20 %</t>
        </is>
      </c>
      <c r="F20" s="11" t="inlineStr">
        <is>
          <t>15–20 %</t>
        </is>
      </c>
      <c r="G20" s="11" t="inlineStr">
        <is>
          <t>10–15 %</t>
        </is>
      </c>
    </row>
    <row r="21">
      <c r="A21" s="11" t="inlineStr">
        <is>
          <t>Procedimental</t>
        </is>
      </c>
      <c r="B21" s="13">
        <f>IF((COUNTIFS('Datos - Temas'!$AV$5:$AV$1264,"Ciclo 7°–9°")-COUNTIFS('Datos - Temas'!$AV$5:$AV$1264,"Ciclo 7°–9°",'Datos - Temas'!$AK$5:$AK$1264,"FUERA"))=0,0,COUNTIFS('Datos - Temas'!$AV$5:$AV$1264,"Ciclo 7°–9°",'Datos - Temas'!$AN$5:$AN$1264,$A21,'Datos - Temas'!$AM$5:$AM$1264,"Sistemas físicos")/(COUNTIFS('Datos - Temas'!$AV$5:$AV$1264,"Ciclo 7°–9°")-COUNTIFS('Datos - Temas'!$AV$5:$AV$1264,"Ciclo 7°–9°",'Datos - Temas'!$AK$5:$AK$1264,"FUERA")))</f>
        <v/>
      </c>
      <c r="C21" s="13">
        <f>IF((COUNTIFS('Datos - Temas'!$AV$5:$AV$1264,"Ciclo 7°–9°")-COUNTIFS('Datos - Temas'!$AV$5:$AV$1264,"Ciclo 7°–9°",'Datos - Temas'!$AK$5:$AK$1264,"FUERA"))=0,0,COUNTIFS('Datos - Temas'!$AV$5:$AV$1264,"Ciclo 7°–9°",'Datos - Temas'!$AN$5:$AN$1264,$A21,'Datos - Temas'!$AM$5:$AM$1264,"Sistemas vivos")/(COUNTIFS('Datos - Temas'!$AV$5:$AV$1264,"Ciclo 7°–9°")-COUNTIFS('Datos - Temas'!$AV$5:$AV$1264,"Ciclo 7°–9°",'Datos - Temas'!$AK$5:$AK$1264,"FUERA")))</f>
        <v/>
      </c>
      <c r="D21" s="13">
        <f>IF((COUNTIFS('Datos - Temas'!$AV$5:$AV$1264,"Ciclo 7°–9°")-COUNTIFS('Datos - Temas'!$AV$5:$AV$1264,"Ciclo 7°–9°",'Datos - Temas'!$AK$5:$AK$1264,"FUERA"))=0,0,COUNTIFS('Datos - Temas'!$AV$5:$AV$1264,"Ciclo 7°–9°",'Datos - Temas'!$AN$5:$AN$1264,$A21,'Datos - Temas'!$AM$5:$AM$1264,"Sistemas de la Tierra y el espacio")/(COUNTIFS('Datos - Temas'!$AV$5:$AV$1264,"Ciclo 7°–9°")-COUNTIFS('Datos - Temas'!$AV$5:$AV$1264,"Ciclo 7°–9°",'Datos - Temas'!$AK$5:$AK$1264,"FUERA")))</f>
        <v/>
      </c>
      <c r="E21" s="11" t="inlineStr">
        <is>
          <t>10–13 %</t>
        </is>
      </c>
      <c r="F21" s="11" t="inlineStr">
        <is>
          <t>10–13 %</t>
        </is>
      </c>
      <c r="G21" s="11" t="inlineStr">
        <is>
          <t>7–10 %</t>
        </is>
      </c>
    </row>
    <row r="22">
      <c r="A22" s="11" t="inlineStr">
        <is>
          <t>Epistémico</t>
        </is>
      </c>
      <c r="B22" s="13">
        <f>IF((COUNTIFS('Datos - Temas'!$AV$5:$AV$1264,"Ciclo 7°–9°")-COUNTIFS('Datos - Temas'!$AV$5:$AV$1264,"Ciclo 7°–9°",'Datos - Temas'!$AK$5:$AK$1264,"FUERA"))=0,0,COUNTIFS('Datos - Temas'!$AV$5:$AV$1264,"Ciclo 7°–9°",'Datos - Temas'!$AN$5:$AN$1264,$A22,'Datos - Temas'!$AM$5:$AM$1264,"Sistemas físicos")/(COUNTIFS('Datos - Temas'!$AV$5:$AV$1264,"Ciclo 7°–9°")-COUNTIFS('Datos - Temas'!$AV$5:$AV$1264,"Ciclo 7°–9°",'Datos - Temas'!$AK$5:$AK$1264,"FUERA")))</f>
        <v/>
      </c>
      <c r="C22" s="13">
        <f>IF((COUNTIFS('Datos - Temas'!$AV$5:$AV$1264,"Ciclo 7°–9°")-COUNTIFS('Datos - Temas'!$AV$5:$AV$1264,"Ciclo 7°–9°",'Datos - Temas'!$AK$5:$AK$1264,"FUERA"))=0,0,COUNTIFS('Datos - Temas'!$AV$5:$AV$1264,"Ciclo 7°–9°",'Datos - Temas'!$AN$5:$AN$1264,$A22,'Datos - Temas'!$AM$5:$AM$1264,"Sistemas vivos")/(COUNTIFS('Datos - Temas'!$AV$5:$AV$1264,"Ciclo 7°–9°")-COUNTIFS('Datos - Temas'!$AV$5:$AV$1264,"Ciclo 7°–9°",'Datos - Temas'!$AK$5:$AK$1264,"FUERA")))</f>
        <v/>
      </c>
      <c r="D22" s="13">
        <f>IF((COUNTIFS('Datos - Temas'!$AV$5:$AV$1264,"Ciclo 7°–9°")-COUNTIFS('Datos - Temas'!$AV$5:$AV$1264,"Ciclo 7°–9°",'Datos - Temas'!$AK$5:$AK$1264,"FUERA"))=0,0,COUNTIFS('Datos - Temas'!$AV$5:$AV$1264,"Ciclo 7°–9°",'Datos - Temas'!$AN$5:$AN$1264,$A22,'Datos - Temas'!$AM$5:$AM$1264,"Sistemas de la Tierra y el espacio")/(COUNTIFS('Datos - Temas'!$AV$5:$AV$1264,"Ciclo 7°–9°")-COUNTIFS('Datos - Temas'!$AV$5:$AV$1264,"Ciclo 7°–9°",'Datos - Temas'!$AK$5:$AK$1264,"FUERA")))</f>
        <v/>
      </c>
      <c r="E22" s="11" t="inlineStr">
        <is>
          <t>8–11 %</t>
        </is>
      </c>
      <c r="F22" s="11" t="inlineStr">
        <is>
          <t>8–11 %</t>
        </is>
      </c>
      <c r="G22" s="11" t="inlineStr">
        <is>
          <t>7–10 %</t>
        </is>
      </c>
    </row>
    <row r="23"/>
    <row r="24">
      <c r="A24" s="16" t="inlineStr">
        <is>
          <t>Bloque 3 · Elementos procedimentales (Box 2.7) y epistémicos (Box 2.8): temas que los trabajan de forma explícita</t>
        </is>
      </c>
    </row>
    <row r="25" ht="32" customHeight="1">
      <c r="A25" s="10" t="inlineStr">
        <is>
          <t>Código</t>
        </is>
      </c>
      <c r="B25" s="10" t="inlineStr">
        <is>
          <t>Tipo</t>
        </is>
      </c>
      <c r="C25" s="10" t="inlineStr">
        <is>
          <t>Bloque</t>
        </is>
      </c>
      <c r="D25" s="10" t="inlineStr">
        <is>
          <t>Elemento (paráfrasis)</t>
        </is>
      </c>
      <c r="E25" s="10" t="inlineStr">
        <is>
          <t>7°</t>
        </is>
      </c>
      <c r="F25" s="10" t="inlineStr">
        <is>
          <t>8°</t>
        </is>
      </c>
      <c r="G25" s="10" t="inlineStr">
        <is>
          <t>9°</t>
        </is>
      </c>
      <c r="H25" s="10" t="inlineStr">
        <is>
          <t>Total 7°–9°</t>
        </is>
      </c>
      <c r="I25" s="10" t="inlineStr">
        <is>
          <t>Estado (semáforo)</t>
        </is>
      </c>
    </row>
    <row r="26">
      <c r="A26" s="30" t="inlineStr">
        <is>
          <t>PISA-PR1</t>
        </is>
      </c>
      <c r="B26" s="30" t="inlineStr">
        <is>
          <t>Procedimental</t>
        </is>
      </c>
      <c r="C26" s="30" t="inlineStr">
        <is>
          <t>Conocimiento procedimental</t>
        </is>
      </c>
      <c r="D26" s="30" t="inlineStr">
        <is>
          <t>Variables dependientes, independientes y de control</t>
        </is>
      </c>
      <c r="E26" s="30">
        <f>COUNTIFS('Datos - Temas'!$V$5:$V$1264,E$25,'Datos - Temas'!$AO$5:$AO$1264,"*"&amp;$A26&amp;";*")</f>
        <v/>
      </c>
      <c r="F26" s="30">
        <f>COUNTIFS('Datos - Temas'!$V$5:$V$1264,F$25,'Datos - Temas'!$AO$5:$AO$1264,"*"&amp;$A26&amp;";*")</f>
        <v/>
      </c>
      <c r="G26" s="30">
        <f>COUNTIFS('Datos - Temas'!$V$5:$V$1264,G$25,'Datos - Temas'!$AO$5:$AO$1264,"*"&amp;$A26&amp;";*")</f>
        <v/>
      </c>
      <c r="H26" s="30">
        <f>SUM(E26:G26)</f>
        <v/>
      </c>
      <c r="I26" s="30">
        <f>IF(H26=0,"No cubierto",IF(H26=1,"Débil (1 tema)",IF(H26&lt;=3,"Básica (2–3)","Sólida (4+)")))</f>
        <v/>
      </c>
    </row>
    <row r="27">
      <c r="A27" s="30" t="inlineStr">
        <is>
          <t>PISA-PR2</t>
        </is>
      </c>
      <c r="B27" s="30" t="inlineStr">
        <is>
          <t>Procedimental</t>
        </is>
      </c>
      <c r="C27" s="30" t="inlineStr">
        <is>
          <t>Conocimiento procedimental</t>
        </is>
      </c>
      <c r="D27" s="30" t="inlineStr">
        <is>
          <t>Conceptos de medición: cuantitativa y cualitativa, uso de escalas, variables categóricas y continuas</t>
        </is>
      </c>
      <c r="E27" s="30">
        <f>COUNTIFS('Datos - Temas'!$V$5:$V$1264,E$25,'Datos - Temas'!$AO$5:$AO$1264,"*"&amp;$A27&amp;";*")</f>
        <v/>
      </c>
      <c r="F27" s="30">
        <f>COUNTIFS('Datos - Temas'!$V$5:$V$1264,F$25,'Datos - Temas'!$AO$5:$AO$1264,"*"&amp;$A27&amp;";*")</f>
        <v/>
      </c>
      <c r="G27" s="30">
        <f>COUNTIFS('Datos - Temas'!$V$5:$V$1264,G$25,'Datos - Temas'!$AO$5:$AO$1264,"*"&amp;$A27&amp;";*")</f>
        <v/>
      </c>
      <c r="H27" s="30">
        <f>SUM(E27:G27)</f>
        <v/>
      </c>
      <c r="I27" s="30">
        <f>IF(H27=0,"No cubierto",IF(H27=1,"Débil (1 tema)",IF(H27&lt;=3,"Básica (2–3)","Sólida (4+)")))</f>
        <v/>
      </c>
    </row>
    <row r="28">
      <c r="A28" s="30" t="inlineStr">
        <is>
          <t>PISA-PR3</t>
        </is>
      </c>
      <c r="B28" s="30" t="inlineStr">
        <is>
          <t>Procedimental</t>
        </is>
      </c>
      <c r="C28" s="30" t="inlineStr">
        <is>
          <t>Conocimiento procedimental</t>
        </is>
      </c>
      <c r="D28" s="30" t="inlineStr">
        <is>
          <t>Formas de estimar y reducir la incertidumbre (repetir mediciones y promediar)</t>
        </is>
      </c>
      <c r="E28" s="30">
        <f>COUNTIFS('Datos - Temas'!$V$5:$V$1264,E$25,'Datos - Temas'!$AO$5:$AO$1264,"*"&amp;$A28&amp;";*")</f>
        <v/>
      </c>
      <c r="F28" s="30">
        <f>COUNTIFS('Datos - Temas'!$V$5:$V$1264,F$25,'Datos - Temas'!$AO$5:$AO$1264,"*"&amp;$A28&amp;";*")</f>
        <v/>
      </c>
      <c r="G28" s="30">
        <f>COUNTIFS('Datos - Temas'!$V$5:$V$1264,G$25,'Datos - Temas'!$AO$5:$AO$1264,"*"&amp;$A28&amp;";*")</f>
        <v/>
      </c>
      <c r="H28" s="30">
        <f>SUM(E28:G28)</f>
        <v/>
      </c>
      <c r="I28" s="30">
        <f>IF(H28=0,"No cubierto",IF(H28=1,"Débil (1 tema)",IF(H28&lt;=3,"Básica (2–3)","Sólida (4+)")))</f>
        <v/>
      </c>
    </row>
    <row r="29">
      <c r="A29" s="30" t="inlineStr">
        <is>
          <t>PISA-PR4</t>
        </is>
      </c>
      <c r="B29" s="30" t="inlineStr">
        <is>
          <t>Procedimental</t>
        </is>
      </c>
      <c r="C29" s="30" t="inlineStr">
        <is>
          <t>Conocimiento procedimental</t>
        </is>
      </c>
      <c r="D29" s="30" t="inlineStr">
        <is>
          <t>Mecanismos para asegurar la precisión y la exactitud de los datos</t>
        </is>
      </c>
      <c r="E29" s="30">
        <f>COUNTIFS('Datos - Temas'!$V$5:$V$1264,E$25,'Datos - Temas'!$AO$5:$AO$1264,"*"&amp;$A29&amp;";*")</f>
        <v/>
      </c>
      <c r="F29" s="30">
        <f>COUNTIFS('Datos - Temas'!$V$5:$V$1264,F$25,'Datos - Temas'!$AO$5:$AO$1264,"*"&amp;$A29&amp;";*")</f>
        <v/>
      </c>
      <c r="G29" s="30">
        <f>COUNTIFS('Datos - Temas'!$V$5:$V$1264,G$25,'Datos - Temas'!$AO$5:$AO$1264,"*"&amp;$A29&amp;";*")</f>
        <v/>
      </c>
      <c r="H29" s="30">
        <f>SUM(E29:G29)</f>
        <v/>
      </c>
      <c r="I29" s="30">
        <f>IF(H29=0,"No cubierto",IF(H29=1,"Débil (1 tema)",IF(H29&lt;=3,"Básica (2–3)","Sólida (4+)")))</f>
        <v/>
      </c>
    </row>
    <row r="30">
      <c r="A30" s="30" t="inlineStr">
        <is>
          <t>PISA-PR5</t>
        </is>
      </c>
      <c r="B30" s="30" t="inlineStr">
        <is>
          <t>Procedimental</t>
        </is>
      </c>
      <c r="C30" s="30" t="inlineStr">
        <is>
          <t>Conocimiento procedimental</t>
        </is>
      </c>
      <c r="D30" s="30" t="inlineStr">
        <is>
          <t>Formas de representar datos en tablas, gráficos y diagramas, y su uso adecuado</t>
        </is>
      </c>
      <c r="E30" s="30">
        <f>COUNTIFS('Datos - Temas'!$V$5:$V$1264,E$25,'Datos - Temas'!$AO$5:$AO$1264,"*"&amp;$A30&amp;";*")</f>
        <v/>
      </c>
      <c r="F30" s="30">
        <f>COUNTIFS('Datos - Temas'!$V$5:$V$1264,F$25,'Datos - Temas'!$AO$5:$AO$1264,"*"&amp;$A30&amp;";*")</f>
        <v/>
      </c>
      <c r="G30" s="30">
        <f>COUNTIFS('Datos - Temas'!$V$5:$V$1264,G$25,'Datos - Temas'!$AO$5:$AO$1264,"*"&amp;$A30&amp;";*")</f>
        <v/>
      </c>
      <c r="H30" s="30">
        <f>SUM(E30:G30)</f>
        <v/>
      </c>
      <c r="I30" s="30">
        <f>IF(H30=0,"No cubierto",IF(H30=1,"Débil (1 tema)",IF(H30&lt;=3,"Básica (2–3)","Sólida (4+)")))</f>
        <v/>
      </c>
    </row>
    <row r="31">
      <c r="A31" s="30" t="inlineStr">
        <is>
          <t>PISA-PR6</t>
        </is>
      </c>
      <c r="B31" s="30" t="inlineStr">
        <is>
          <t>Procedimental</t>
        </is>
      </c>
      <c r="C31" s="30" t="inlineStr">
        <is>
          <t>Conocimiento procedimental</t>
        </is>
      </c>
      <c r="D31" s="30" t="inlineStr">
        <is>
          <t>Estrategia de control de variables en el diseño experimental (o ensayos aleatorizados) para identificar causas</t>
        </is>
      </c>
      <c r="E31" s="30">
        <f>COUNTIFS('Datos - Temas'!$V$5:$V$1264,E$25,'Datos - Temas'!$AO$5:$AO$1264,"*"&amp;$A31&amp;";*")</f>
        <v/>
      </c>
      <c r="F31" s="30">
        <f>COUNTIFS('Datos - Temas'!$V$5:$V$1264,F$25,'Datos - Temas'!$AO$5:$AO$1264,"*"&amp;$A31&amp;";*")</f>
        <v/>
      </c>
      <c r="G31" s="30">
        <f>COUNTIFS('Datos - Temas'!$V$5:$V$1264,G$25,'Datos - Temas'!$AO$5:$AO$1264,"*"&amp;$A31&amp;";*")</f>
        <v/>
      </c>
      <c r="H31" s="30">
        <f>SUM(E31:G31)</f>
        <v/>
      </c>
      <c r="I31" s="30">
        <f>IF(H31=0,"No cubierto",IF(H31=1,"Débil (1 tema)",IF(H31&lt;=3,"Básica (2–3)","Sólida (4+)")))</f>
        <v/>
      </c>
    </row>
    <row r="32">
      <c r="A32" s="30" t="inlineStr">
        <is>
          <t>PISA-PR7</t>
        </is>
      </c>
      <c r="B32" s="30" t="inlineStr">
        <is>
          <t>Procedimental</t>
        </is>
      </c>
      <c r="C32" s="30" t="inlineStr">
        <is>
          <t>Conocimiento procedimental</t>
        </is>
      </c>
      <c r="D32" s="30" t="inlineStr">
        <is>
          <t>Diseño adecuado para una pregunta (experimental, de campo, búsqueda de patrones) y papel de los controles</t>
        </is>
      </c>
      <c r="E32" s="30">
        <f>COUNTIFS('Datos - Temas'!$V$5:$V$1264,E$25,'Datos - Temas'!$AO$5:$AO$1264,"*"&amp;$A32&amp;";*")</f>
        <v/>
      </c>
      <c r="F32" s="30">
        <f>COUNTIFS('Datos - Temas'!$V$5:$V$1264,F$25,'Datos - Temas'!$AO$5:$AO$1264,"*"&amp;$A32&amp;";*")</f>
        <v/>
      </c>
      <c r="G32" s="30">
        <f>COUNTIFS('Datos - Temas'!$V$5:$V$1264,G$25,'Datos - Temas'!$AO$5:$AO$1264,"*"&amp;$A32&amp;";*")</f>
        <v/>
      </c>
      <c r="H32" s="30">
        <f>SUM(E32:G32)</f>
        <v/>
      </c>
      <c r="I32" s="30">
        <f>IF(H32=0,"No cubierto",IF(H32=1,"Débil (1 tema)",IF(H32&lt;=3,"Básica (2–3)","Sólida (4+)")))</f>
        <v/>
      </c>
    </row>
    <row r="33">
      <c r="A33" s="30" t="inlineStr">
        <is>
          <t>PISA-PR8</t>
        </is>
      </c>
      <c r="B33" s="30" t="inlineStr">
        <is>
          <t>Procedimental</t>
        </is>
      </c>
      <c r="C33" s="30" t="inlineStr">
        <is>
          <t>Conocimiento procedimental</t>
        </is>
      </c>
      <c r="D33" s="30" t="inlineStr">
        <is>
          <t>Procesos de revisión entre pares que hacen confiables las afirmaciones</t>
        </is>
      </c>
      <c r="E33" s="30">
        <f>COUNTIFS('Datos - Temas'!$V$5:$V$1264,E$25,'Datos - Temas'!$AO$5:$AO$1264,"*"&amp;$A33&amp;";*")</f>
        <v/>
      </c>
      <c r="F33" s="30">
        <f>COUNTIFS('Datos - Temas'!$V$5:$V$1264,F$25,'Datos - Temas'!$AO$5:$AO$1264,"*"&amp;$A33&amp;";*")</f>
        <v/>
      </c>
      <c r="G33" s="30">
        <f>COUNTIFS('Datos - Temas'!$V$5:$V$1264,G$25,'Datos - Temas'!$AO$5:$AO$1264,"*"&amp;$A33&amp;";*")</f>
        <v/>
      </c>
      <c r="H33" s="30">
        <f>SUM(E33:G33)</f>
        <v/>
      </c>
      <c r="I33" s="30">
        <f>IF(H33=0,"No cubierto",IF(H33=1,"Débil (1 tema)",IF(H33&lt;=3,"Básica (2–3)","Sólida (4+)")))</f>
        <v/>
      </c>
    </row>
    <row r="34">
      <c r="A34" s="30" t="inlineStr">
        <is>
          <t>PISA-EP1</t>
        </is>
      </c>
      <c r="B34" s="30" t="inlineStr">
        <is>
          <t>Epistémico</t>
        </is>
      </c>
      <c r="C34" s="30" t="inlineStr">
        <is>
          <t>Rasgos de la ciencia</t>
        </is>
      </c>
      <c r="D34" s="30" t="inlineStr">
        <is>
          <t>Naturaleza de observaciones, hechos, hipótesis, modelos y teorías</t>
        </is>
      </c>
      <c r="E34" s="30">
        <f>COUNTIFS('Datos - Temas'!$V$5:$V$1264,E$25,'Datos - Temas'!$AP$5:$AP$1264,"*"&amp;$A34&amp;";*")</f>
        <v/>
      </c>
      <c r="F34" s="30">
        <f>COUNTIFS('Datos - Temas'!$V$5:$V$1264,F$25,'Datos - Temas'!$AP$5:$AP$1264,"*"&amp;$A34&amp;";*")</f>
        <v/>
      </c>
      <c r="G34" s="30">
        <f>COUNTIFS('Datos - Temas'!$V$5:$V$1264,G$25,'Datos - Temas'!$AP$5:$AP$1264,"*"&amp;$A34&amp;";*")</f>
        <v/>
      </c>
      <c r="H34" s="30">
        <f>SUM(E34:G34)</f>
        <v/>
      </c>
      <c r="I34" s="30">
        <f>IF(H34=0,"No cubierto",IF(H34=1,"Débil (1 tema)",IF(H34&lt;=3,"Básica (2–3)","Sólida (4+)")))</f>
        <v/>
      </c>
    </row>
    <row r="35">
      <c r="A35" s="30" t="inlineStr">
        <is>
          <t>PISA-EP2</t>
        </is>
      </c>
      <c r="B35" s="30" t="inlineStr">
        <is>
          <t>Epistémico</t>
        </is>
      </c>
      <c r="C35" s="30" t="inlineStr">
        <is>
          <t>Rasgos de la ciencia</t>
        </is>
      </c>
      <c r="D35" s="30" t="inlineStr">
        <is>
          <t>Propósito de la ciencia (explicar y predecir) frente al de la tecnología (soluciones óptimas)</t>
        </is>
      </c>
      <c r="E35" s="30">
        <f>COUNTIFS('Datos - Temas'!$V$5:$V$1264,E$25,'Datos - Temas'!$AP$5:$AP$1264,"*"&amp;$A35&amp;";*")</f>
        <v/>
      </c>
      <c r="F35" s="30">
        <f>COUNTIFS('Datos - Temas'!$V$5:$V$1264,F$25,'Datos - Temas'!$AP$5:$AP$1264,"*"&amp;$A35&amp;";*")</f>
        <v/>
      </c>
      <c r="G35" s="30">
        <f>COUNTIFS('Datos - Temas'!$V$5:$V$1264,G$25,'Datos - Temas'!$AP$5:$AP$1264,"*"&amp;$A35&amp;";*")</f>
        <v/>
      </c>
      <c r="H35" s="30">
        <f>SUM(E35:G35)</f>
        <v/>
      </c>
      <c r="I35" s="30">
        <f>IF(H35=0,"No cubierto",IF(H35=1,"Débil (1 tema)",IF(H35&lt;=3,"Básica (2–3)","Sólida (4+)")))</f>
        <v/>
      </c>
    </row>
    <row r="36">
      <c r="A36" s="30" t="inlineStr">
        <is>
          <t>PISA-EP3</t>
        </is>
      </c>
      <c r="B36" s="30" t="inlineStr">
        <is>
          <t>Epistémico</t>
        </is>
      </c>
      <c r="C36" s="30" t="inlineStr">
        <is>
          <t>Rasgos de la ciencia</t>
        </is>
      </c>
      <c r="D36" s="30" t="inlineStr">
        <is>
          <t>Valores de la ciencia: publicación revisada por pares, objetividad, eliminar sesgos</t>
        </is>
      </c>
      <c r="E36" s="30">
        <f>COUNTIFS('Datos - Temas'!$V$5:$V$1264,E$25,'Datos - Temas'!$AP$5:$AP$1264,"*"&amp;$A36&amp;";*")</f>
        <v/>
      </c>
      <c r="F36" s="30">
        <f>COUNTIFS('Datos - Temas'!$V$5:$V$1264,F$25,'Datos - Temas'!$AP$5:$AP$1264,"*"&amp;$A36&amp;";*")</f>
        <v/>
      </c>
      <c r="G36" s="30">
        <f>COUNTIFS('Datos - Temas'!$V$5:$V$1264,G$25,'Datos - Temas'!$AP$5:$AP$1264,"*"&amp;$A36&amp;";*")</f>
        <v/>
      </c>
      <c r="H36" s="30">
        <f>SUM(E36:G36)</f>
        <v/>
      </c>
      <c r="I36" s="30">
        <f>IF(H36=0,"No cubierto",IF(H36=1,"Débil (1 tema)",IF(H36&lt;=3,"Básica (2–3)","Sólida (4+)")))</f>
        <v/>
      </c>
    </row>
    <row r="37">
      <c r="A37" s="30" t="inlineStr">
        <is>
          <t>PISA-EP4</t>
        </is>
      </c>
      <c r="B37" s="30" t="inlineStr">
        <is>
          <t>Epistémico</t>
        </is>
      </c>
      <c r="C37" s="30" t="inlineStr">
        <is>
          <t>Modelos</t>
        </is>
      </c>
      <c r="D37" s="30" t="inlineStr">
        <is>
          <t>Uso de modelos físicos, conceptuales, de sistemas y matemáticos para comprender el mundo</t>
        </is>
      </c>
      <c r="E37" s="30">
        <f>COUNTIFS('Datos - Temas'!$V$5:$V$1264,E$25,'Datos - Temas'!$AP$5:$AP$1264,"*"&amp;$A37&amp;";*")</f>
        <v/>
      </c>
      <c r="F37" s="30">
        <f>COUNTIFS('Datos - Temas'!$V$5:$V$1264,F$25,'Datos - Temas'!$AP$5:$AP$1264,"*"&amp;$A37&amp;";*")</f>
        <v/>
      </c>
      <c r="G37" s="30">
        <f>COUNTIFS('Datos - Temas'!$V$5:$V$1264,G$25,'Datos - Temas'!$AP$5:$AP$1264,"*"&amp;$A37&amp;";*")</f>
        <v/>
      </c>
      <c r="H37" s="30">
        <f>SUM(E37:G37)</f>
        <v/>
      </c>
      <c r="I37" s="30">
        <f>IF(H37=0,"No cubierto",IF(H37=1,"Débil (1 tema)",IF(H37&lt;=3,"Básica (2–3)","Sólida (4+)")))</f>
        <v/>
      </c>
    </row>
    <row r="38">
      <c r="A38" s="30" t="inlineStr">
        <is>
          <t>PISA-EP5</t>
        </is>
      </c>
      <c r="B38" s="30" t="inlineStr">
        <is>
          <t>Epistémico</t>
        </is>
      </c>
      <c r="C38" s="30" t="inlineStr">
        <is>
          <t>Modelos</t>
        </is>
      </c>
      <c r="D38" s="30" t="inlineStr">
        <is>
          <t>Distinción entre modelo y realidad</t>
        </is>
      </c>
      <c r="E38" s="30">
        <f>COUNTIFS('Datos - Temas'!$V$5:$V$1264,E$25,'Datos - Temas'!$AP$5:$AP$1264,"*"&amp;$A38&amp;";*")</f>
        <v/>
      </c>
      <c r="F38" s="30">
        <f>COUNTIFS('Datos - Temas'!$V$5:$V$1264,F$25,'Datos - Temas'!$AP$5:$AP$1264,"*"&amp;$A38&amp;";*")</f>
        <v/>
      </c>
      <c r="G38" s="30">
        <f>COUNTIFS('Datos - Temas'!$V$5:$V$1264,G$25,'Datos - Temas'!$AP$5:$AP$1264,"*"&amp;$A38&amp;";*")</f>
        <v/>
      </c>
      <c r="H38" s="30">
        <f>SUM(E38:G38)</f>
        <v/>
      </c>
      <c r="I38" s="30">
        <f>IF(H38=0,"No cubierto",IF(H38=1,"Débil (1 tema)",IF(H38&lt;=3,"Básica (2–3)","Sólida (4+)")))</f>
        <v/>
      </c>
    </row>
    <row r="39">
      <c r="A39" s="30" t="inlineStr">
        <is>
          <t>PISA-EP6</t>
        </is>
      </c>
      <c r="B39" s="30" t="inlineStr">
        <is>
          <t>Epistémico</t>
        </is>
      </c>
      <c r="C39" s="30" t="inlineStr">
        <is>
          <t>Modelos</t>
        </is>
      </c>
      <c r="D39" s="30" t="inlineStr">
        <is>
          <t>Cómo los modelos permiten predecir y explicar</t>
        </is>
      </c>
      <c r="E39" s="30">
        <f>COUNTIFS('Datos - Temas'!$V$5:$V$1264,E$25,'Datos - Temas'!$AP$5:$AP$1264,"*"&amp;$A39&amp;";*")</f>
        <v/>
      </c>
      <c r="F39" s="30">
        <f>COUNTIFS('Datos - Temas'!$V$5:$V$1264,F$25,'Datos - Temas'!$AP$5:$AP$1264,"*"&amp;$A39&amp;";*")</f>
        <v/>
      </c>
      <c r="G39" s="30">
        <f>COUNTIFS('Datos - Temas'!$V$5:$V$1264,G$25,'Datos - Temas'!$AP$5:$AP$1264,"*"&amp;$A39&amp;";*")</f>
        <v/>
      </c>
      <c r="H39" s="30">
        <f>SUM(E39:G39)</f>
        <v/>
      </c>
      <c r="I39" s="30">
        <f>IF(H39=0,"No cubierto",IF(H39=1,"Débil (1 tema)",IF(H39&lt;=3,"Básica (2–3)","Sólida (4+)")))</f>
        <v/>
      </c>
    </row>
    <row r="40">
      <c r="A40" s="30" t="inlineStr">
        <is>
          <t>PISA-EP7</t>
        </is>
      </c>
      <c r="B40" s="30" t="inlineStr">
        <is>
          <t>Epistémico</t>
        </is>
      </c>
      <c r="C40" s="30" t="inlineStr">
        <is>
          <t>Modelos</t>
        </is>
      </c>
      <c r="D40" s="30" t="inlineStr">
        <is>
          <t>Cómo las limitaciones de un modelo restringen su uso</t>
        </is>
      </c>
      <c r="E40" s="30">
        <f>COUNTIFS('Datos - Temas'!$V$5:$V$1264,E$25,'Datos - Temas'!$AP$5:$AP$1264,"*"&amp;$A40&amp;";*")</f>
        <v/>
      </c>
      <c r="F40" s="30">
        <f>COUNTIFS('Datos - Temas'!$V$5:$V$1264,F$25,'Datos - Temas'!$AP$5:$AP$1264,"*"&amp;$A40&amp;";*")</f>
        <v/>
      </c>
      <c r="G40" s="30">
        <f>COUNTIFS('Datos - Temas'!$V$5:$V$1264,G$25,'Datos - Temas'!$AP$5:$AP$1264,"*"&amp;$A40&amp;";*")</f>
        <v/>
      </c>
      <c r="H40" s="30">
        <f>SUM(E40:G40)</f>
        <v/>
      </c>
      <c r="I40" s="30">
        <f>IF(H40=0,"No cubierto",IF(H40=1,"Débil (1 tema)",IF(H40&lt;=3,"Básica (2–3)","Sólida (4+)")))</f>
        <v/>
      </c>
    </row>
    <row r="41">
      <c r="A41" s="30" t="inlineStr">
        <is>
          <t>PISA-EP8</t>
        </is>
      </c>
      <c r="B41" s="30" t="inlineStr">
        <is>
          <t>Epistémico</t>
        </is>
      </c>
      <c r="C41" s="30" t="inlineStr">
        <is>
          <t>Datos y evidencia</t>
        </is>
      </c>
      <c r="D41" s="30" t="inlineStr">
        <is>
          <t>Cómo los datos, métodos y razonamientos sustentan las afirmaciones científicas</t>
        </is>
      </c>
      <c r="E41" s="30">
        <f>COUNTIFS('Datos - Temas'!$V$5:$V$1264,E$25,'Datos - Temas'!$AP$5:$AP$1264,"*"&amp;$A41&amp;";*")</f>
        <v/>
      </c>
      <c r="F41" s="30">
        <f>COUNTIFS('Datos - Temas'!$V$5:$V$1264,F$25,'Datos - Temas'!$AP$5:$AP$1264,"*"&amp;$A41&amp;";*")</f>
        <v/>
      </c>
      <c r="G41" s="30">
        <f>COUNTIFS('Datos - Temas'!$V$5:$V$1264,G$25,'Datos - Temas'!$AP$5:$AP$1264,"*"&amp;$A41&amp;";*")</f>
        <v/>
      </c>
      <c r="H41" s="30">
        <f>SUM(E41:G41)</f>
        <v/>
      </c>
      <c r="I41" s="30">
        <f>IF(H41=0,"No cubierto",IF(H41=1,"Débil (1 tema)",IF(H41&lt;=3,"Básica (2–3)","Sólida (4+)")))</f>
        <v/>
      </c>
    </row>
    <row r="42">
      <c r="A42" s="30" t="inlineStr">
        <is>
          <t>PISA-EP9</t>
        </is>
      </c>
      <c r="B42" s="30" t="inlineStr">
        <is>
          <t>Epistémico</t>
        </is>
      </c>
      <c r="C42" s="30" t="inlineStr">
        <is>
          <t>Datos y evidencia</t>
        </is>
      </c>
      <c r="D42" s="30" t="inlineStr">
        <is>
          <t>Cómo se genera la evidencia científica (prácticas de los científicos)</t>
        </is>
      </c>
      <c r="E42" s="30">
        <f>COUNTIFS('Datos - Temas'!$V$5:$V$1264,E$25,'Datos - Temas'!$AP$5:$AP$1264,"*"&amp;$A42&amp;";*")</f>
        <v/>
      </c>
      <c r="F42" s="30">
        <f>COUNTIFS('Datos - Temas'!$V$5:$V$1264,F$25,'Datos - Temas'!$AP$5:$AP$1264,"*"&amp;$A42&amp;";*")</f>
        <v/>
      </c>
      <c r="G42" s="30">
        <f>COUNTIFS('Datos - Temas'!$V$5:$V$1264,G$25,'Datos - Temas'!$AP$5:$AP$1264,"*"&amp;$A42&amp;";*")</f>
        <v/>
      </c>
      <c r="H42" s="30">
        <f>SUM(E42:G42)</f>
        <v/>
      </c>
      <c r="I42" s="30">
        <f>IF(H42=0,"No cubierto",IF(H42=1,"Débil (1 tema)",IF(H42&lt;=3,"Básica (2–3)","Sólida (4+)")))</f>
        <v/>
      </c>
    </row>
    <row r="43">
      <c r="A43" s="30" t="inlineStr">
        <is>
          <t>PISA-EP10</t>
        </is>
      </c>
      <c r="B43" s="30" t="inlineStr">
        <is>
          <t>Epistémico</t>
        </is>
      </c>
      <c r="C43" s="30" t="inlineStr">
        <is>
          <t>Datos y evidencia</t>
        </is>
      </c>
      <c r="D43" s="30" t="inlineStr">
        <is>
          <t>Cómo el error de medición afecta la confianza en el conocimiento</t>
        </is>
      </c>
      <c r="E43" s="30">
        <f>COUNTIFS('Datos - Temas'!$V$5:$V$1264,E$25,'Datos - Temas'!$AP$5:$AP$1264,"*"&amp;$A43&amp;";*")</f>
        <v/>
      </c>
      <c r="F43" s="30">
        <f>COUNTIFS('Datos - Temas'!$V$5:$V$1264,F$25,'Datos - Temas'!$AP$5:$AP$1264,"*"&amp;$A43&amp;";*")</f>
        <v/>
      </c>
      <c r="G43" s="30">
        <f>COUNTIFS('Datos - Temas'!$V$5:$V$1264,G$25,'Datos - Temas'!$AP$5:$AP$1264,"*"&amp;$A43&amp;";*")</f>
        <v/>
      </c>
      <c r="H43" s="30">
        <f>SUM(E43:G43)</f>
        <v/>
      </c>
      <c r="I43" s="30">
        <f>IF(H43=0,"No cubierto",IF(H43=1,"Débil (1 tema)",IF(H43&lt;=3,"Básica (2–3)","Sólida (4+)")))</f>
        <v/>
      </c>
    </row>
    <row r="44">
      <c r="A44" s="30" t="inlineStr">
        <is>
          <t>PISA-EP11</t>
        </is>
      </c>
      <c r="B44" s="30" t="inlineStr">
        <is>
          <t>Epistémico</t>
        </is>
      </c>
      <c r="C44" s="30" t="inlineStr">
        <is>
          <t>Razonamiento científico</t>
        </is>
      </c>
      <c r="D44" s="30" t="inlineStr">
        <is>
          <t>Formas de indagación empírica: experimento, trabajo de campo, búsqueda de patrones</t>
        </is>
      </c>
      <c r="E44" s="30">
        <f>COUNTIFS('Datos - Temas'!$V$5:$V$1264,E$25,'Datos - Temas'!$AP$5:$AP$1264,"*"&amp;$A44&amp;";*")</f>
        <v/>
      </c>
      <c r="F44" s="30">
        <f>COUNTIFS('Datos - Temas'!$V$5:$V$1264,F$25,'Datos - Temas'!$AP$5:$AP$1264,"*"&amp;$A44&amp;";*")</f>
        <v/>
      </c>
      <c r="G44" s="30">
        <f>COUNTIFS('Datos - Temas'!$V$5:$V$1264,G$25,'Datos - Temas'!$AP$5:$AP$1264,"*"&amp;$A44&amp;";*")</f>
        <v/>
      </c>
      <c r="H44" s="30">
        <f>SUM(E44:G44)</f>
        <v/>
      </c>
      <c r="I44" s="30">
        <f>IF(H44=0,"No cubierto",IF(H44=1,"Débil (1 tema)",IF(H44&lt;=3,"Básica (2–3)","Sólida (4+)")))</f>
        <v/>
      </c>
    </row>
    <row r="45">
      <c r="A45" s="30" t="inlineStr">
        <is>
          <t>PISA-EP12</t>
        </is>
      </c>
      <c r="B45" s="30" t="inlineStr">
        <is>
          <t>Epistémico</t>
        </is>
      </c>
      <c r="C45" s="30" t="inlineStr">
        <is>
          <t>Razonamiento científico</t>
        </is>
      </c>
      <c r="D45" s="30" t="inlineStr">
        <is>
          <t>Tipos de razonamiento (deducción, abducción, inducción, probabilidad) y su finalidad</t>
        </is>
      </c>
      <c r="E45" s="30">
        <f>COUNTIFS('Datos - Temas'!$V$5:$V$1264,E$25,'Datos - Temas'!$AP$5:$AP$1264,"*"&amp;$A45&amp;";*")</f>
        <v/>
      </c>
      <c r="F45" s="30">
        <f>COUNTIFS('Datos - Temas'!$V$5:$V$1264,F$25,'Datos - Temas'!$AP$5:$AP$1264,"*"&amp;$A45&amp;";*")</f>
        <v/>
      </c>
      <c r="G45" s="30">
        <f>COUNTIFS('Datos - Temas'!$V$5:$V$1264,G$25,'Datos - Temas'!$AP$5:$AP$1264,"*"&amp;$A45&amp;";*")</f>
        <v/>
      </c>
      <c r="H45" s="30">
        <f>SUM(E45:G45)</f>
        <v/>
      </c>
      <c r="I45" s="30">
        <f>IF(H45=0,"No cubierto",IF(H45=1,"Débil (1 tema)",IF(H45&lt;=3,"Básica (2–3)","Sólida (4+)")))</f>
        <v/>
      </c>
    </row>
    <row r="46">
      <c r="A46" s="30" t="inlineStr">
        <is>
          <t>PISA-EP13</t>
        </is>
      </c>
      <c r="B46" s="30" t="inlineStr">
        <is>
          <t>Epistémico</t>
        </is>
      </c>
      <c r="C46" s="30" t="inlineStr">
        <is>
          <t>Razonamiento científico</t>
        </is>
      </c>
      <c r="D46" s="30" t="inlineStr">
        <is>
          <t>Dilemas éticos de la práctica científica</t>
        </is>
      </c>
      <c r="E46" s="30">
        <f>COUNTIFS('Datos - Temas'!$V$5:$V$1264,E$25,'Datos - Temas'!$AP$5:$AP$1264,"*"&amp;$A46&amp;";*")</f>
        <v/>
      </c>
      <c r="F46" s="30">
        <f>COUNTIFS('Datos - Temas'!$V$5:$V$1264,F$25,'Datos - Temas'!$AP$5:$AP$1264,"*"&amp;$A46&amp;";*")</f>
        <v/>
      </c>
      <c r="G46" s="30">
        <f>COUNTIFS('Datos - Temas'!$V$5:$V$1264,G$25,'Datos - Temas'!$AP$5:$AP$1264,"*"&amp;$A46&amp;";*")</f>
        <v/>
      </c>
      <c r="H46" s="30">
        <f>SUM(E46:G46)</f>
        <v/>
      </c>
      <c r="I46" s="30">
        <f>IF(H46=0,"No cubierto",IF(H46=1,"Débil (1 tema)",IF(H46&lt;=3,"Básica (2–3)","Sólida (4+)")))</f>
        <v/>
      </c>
    </row>
    <row r="47">
      <c r="A47" s="30" t="inlineStr">
        <is>
          <t>PISA-EP14</t>
        </is>
      </c>
      <c r="B47" s="30" t="inlineStr">
        <is>
          <t>Epistémico</t>
        </is>
      </c>
      <c r="C47" s="30" t="inlineStr">
        <is>
          <t>Razonamiento científico</t>
        </is>
      </c>
      <c r="D47" s="30" t="inlineStr">
        <is>
          <t>Papel y límites del conocimiento científico, junto con otros saberes, ante problemas sociales y tecnológicos</t>
        </is>
      </c>
      <c r="E47" s="30">
        <f>COUNTIFS('Datos - Temas'!$V$5:$V$1264,E$25,'Datos - Temas'!$AP$5:$AP$1264,"*"&amp;$A47&amp;";*")</f>
        <v/>
      </c>
      <c r="F47" s="30">
        <f>COUNTIFS('Datos - Temas'!$V$5:$V$1264,F$25,'Datos - Temas'!$AP$5:$AP$1264,"*"&amp;$A47&amp;";*")</f>
        <v/>
      </c>
      <c r="G47" s="30">
        <f>COUNTIFS('Datos - Temas'!$V$5:$V$1264,G$25,'Datos - Temas'!$AP$5:$AP$1264,"*"&amp;$A47&amp;";*")</f>
        <v/>
      </c>
      <c r="H47" s="30">
        <f>SUM(E47:G47)</f>
        <v/>
      </c>
      <c r="I47" s="30">
        <f>IF(H47=0,"No cubierto",IF(H47=1,"Débil (1 tema)",IF(H47&lt;=3,"Básica (2–3)","Sólida (4+)")))</f>
        <v/>
      </c>
    </row>
    <row r="48">
      <c r="A48" s="30" t="inlineStr">
        <is>
          <t>PISA-EP15</t>
        </is>
      </c>
      <c r="B48" s="30" t="inlineStr">
        <is>
          <t>Epistémico</t>
        </is>
      </c>
      <c r="C48" s="30" t="inlineStr">
        <is>
          <t>Naturaleza colectiva</t>
        </is>
      </c>
      <c r="D48" s="30" t="inlineStr">
        <is>
          <t>Cómo se financia y apoya la investigación</t>
        </is>
      </c>
      <c r="E48" s="30">
        <f>COUNTIFS('Datos - Temas'!$V$5:$V$1264,E$25,'Datos - Temas'!$AP$5:$AP$1264,"*"&amp;$A48&amp;";*")</f>
        <v/>
      </c>
      <c r="F48" s="30">
        <f>COUNTIFS('Datos - Temas'!$V$5:$V$1264,F$25,'Datos - Temas'!$AP$5:$AP$1264,"*"&amp;$A48&amp;";*")</f>
        <v/>
      </c>
      <c r="G48" s="30">
        <f>COUNTIFS('Datos - Temas'!$V$5:$V$1264,G$25,'Datos - Temas'!$AP$5:$AP$1264,"*"&amp;$A48&amp;";*")</f>
        <v/>
      </c>
      <c r="H48" s="30">
        <f>SUM(E48:G48)</f>
        <v/>
      </c>
      <c r="I48" s="30">
        <f>IF(H48=0,"No cubierto",IF(H48=1,"Débil (1 tema)",IF(H48&lt;=3,"Básica (2–3)","Sólida (4+)")))</f>
        <v/>
      </c>
    </row>
    <row r="49">
      <c r="A49" s="30" t="inlineStr">
        <is>
          <t>PISA-EP16</t>
        </is>
      </c>
      <c r="B49" s="30" t="inlineStr">
        <is>
          <t>Epistémico</t>
        </is>
      </c>
      <c r="C49" s="30" t="inlineStr">
        <is>
          <t>Naturaleza colectiva</t>
        </is>
      </c>
      <c r="D49" s="30" t="inlineStr">
        <is>
          <t>Importancia del consenso</t>
        </is>
      </c>
      <c r="E49" s="30">
        <f>COUNTIFS('Datos - Temas'!$V$5:$V$1264,E$25,'Datos - Temas'!$AP$5:$AP$1264,"*"&amp;$A49&amp;";*")</f>
        <v/>
      </c>
      <c r="F49" s="30">
        <f>COUNTIFS('Datos - Temas'!$V$5:$V$1264,F$25,'Datos - Temas'!$AP$5:$AP$1264,"*"&amp;$A49&amp;";*")</f>
        <v/>
      </c>
      <c r="G49" s="30">
        <f>COUNTIFS('Datos - Temas'!$V$5:$V$1264,G$25,'Datos - Temas'!$AP$5:$AP$1264,"*"&amp;$A49&amp;";*")</f>
        <v/>
      </c>
      <c r="H49" s="30">
        <f>SUM(E49:G49)</f>
        <v/>
      </c>
      <c r="I49" s="30">
        <f>IF(H49=0,"No cubierto",IF(H49=1,"Débil (1 tema)",IF(H49&lt;=3,"Básica (2–3)","Sólida (4+)")))</f>
        <v/>
      </c>
    </row>
    <row r="50">
      <c r="A50" s="30" t="inlineStr">
        <is>
          <t>PISA-EP17</t>
        </is>
      </c>
      <c r="B50" s="30" t="inlineStr">
        <is>
          <t>Epistémico</t>
        </is>
      </c>
      <c r="C50" s="30" t="inlineStr">
        <is>
          <t>Naturaleza colectiva</t>
        </is>
      </c>
      <c r="D50" s="30" t="inlineStr">
        <is>
          <t>La revisión por pares y la comunidad científica dan confianza a las afirmaciones</t>
        </is>
      </c>
      <c r="E50" s="30">
        <f>COUNTIFS('Datos - Temas'!$V$5:$V$1264,E$25,'Datos - Temas'!$AP$5:$AP$1264,"*"&amp;$A50&amp;";*")</f>
        <v/>
      </c>
      <c r="F50" s="30">
        <f>COUNTIFS('Datos - Temas'!$V$5:$V$1264,F$25,'Datos - Temas'!$AP$5:$AP$1264,"*"&amp;$A50&amp;";*")</f>
        <v/>
      </c>
      <c r="G50" s="30">
        <f>COUNTIFS('Datos - Temas'!$V$5:$V$1264,G$25,'Datos - Temas'!$AP$5:$AP$1264,"*"&amp;$A50&amp;";*")</f>
        <v/>
      </c>
      <c r="H50" s="30">
        <f>SUM(E50:G50)</f>
        <v/>
      </c>
      <c r="I50" s="30">
        <f>IF(H50=0,"No cubierto",IF(H50=1,"Débil (1 tema)",IF(H50&lt;=3,"Básica (2–3)","Sólida (4+)")))</f>
        <v/>
      </c>
    </row>
    <row r="51">
      <c r="A51" s="30" t="inlineStr">
        <is>
          <t>PISA-EP18</t>
        </is>
      </c>
      <c r="B51" s="30" t="inlineStr">
        <is>
          <t>Epistémico</t>
        </is>
      </c>
      <c r="C51" s="30" t="inlineStr">
        <is>
          <t>Naturaleza colectiva</t>
        </is>
      </c>
      <c r="D51" s="30" t="inlineStr">
        <is>
          <t>Prácticas científicas clave para producir conocimiento compartido y su carácter colaborativo</t>
        </is>
      </c>
      <c r="E51" s="30">
        <f>COUNTIFS('Datos - Temas'!$V$5:$V$1264,E$25,'Datos - Temas'!$AP$5:$AP$1264,"*"&amp;$A51&amp;";*")</f>
        <v/>
      </c>
      <c r="F51" s="30">
        <f>COUNTIFS('Datos - Temas'!$V$5:$V$1264,F$25,'Datos - Temas'!$AP$5:$AP$1264,"*"&amp;$A51&amp;";*")</f>
        <v/>
      </c>
      <c r="G51" s="30">
        <f>COUNTIFS('Datos - Temas'!$V$5:$V$1264,G$25,'Datos - Temas'!$AP$5:$AP$1264,"*"&amp;$A51&amp;";*")</f>
        <v/>
      </c>
      <c r="H51" s="30">
        <f>SUM(E51:G51)</f>
        <v/>
      </c>
      <c r="I51" s="30">
        <f>IF(H51=0,"No cubierto",IF(H51=1,"Débil (1 tema)",IF(H51&lt;=3,"Básica (2–3)","Sólida (4+)")))</f>
        <v/>
      </c>
    </row>
    <row r="52">
      <c r="A52" s="30" t="inlineStr">
        <is>
          <t>PISA-EP19</t>
        </is>
      </c>
      <c r="B52" s="30" t="inlineStr">
        <is>
          <t>Epistémico</t>
        </is>
      </c>
      <c r="C52" s="30" t="inlineStr">
        <is>
          <t>Naturaleza colectiva</t>
        </is>
      </c>
      <c r="D52" s="30" t="inlineStr">
        <is>
          <t>Límites de la certeza, cómo se expresa y cómo evoluciona</t>
        </is>
      </c>
      <c r="E52" s="30">
        <f>COUNTIFS('Datos - Temas'!$V$5:$V$1264,E$25,'Datos - Temas'!$AP$5:$AP$1264,"*"&amp;$A52&amp;";*")</f>
        <v/>
      </c>
      <c r="F52" s="30">
        <f>COUNTIFS('Datos - Temas'!$V$5:$V$1264,F$25,'Datos - Temas'!$AP$5:$AP$1264,"*"&amp;$A52&amp;";*")</f>
        <v/>
      </c>
      <c r="G52" s="30">
        <f>COUNTIFS('Datos - Temas'!$V$5:$V$1264,G$25,'Datos - Temas'!$AP$5:$AP$1264,"*"&amp;$A52&amp;";*")</f>
        <v/>
      </c>
      <c r="H52" s="30">
        <f>SUM(E52:G52)</f>
        <v/>
      </c>
      <c r="I52" s="30">
        <f>IF(H52=0,"No cubierto",IF(H52=1,"Débil (1 tema)",IF(H52&lt;=3,"Básica (2–3)","Sólida (4+)")))</f>
        <v/>
      </c>
    </row>
    <row r="53">
      <c r="A53" s="30" t="inlineStr">
        <is>
          <t>PISA-EP20</t>
        </is>
      </c>
      <c r="B53" s="30" t="inlineStr">
        <is>
          <t>Epistémico</t>
        </is>
      </c>
      <c r="C53" s="30" t="inlineStr">
        <is>
          <t>Naturaleza colectiva</t>
        </is>
      </c>
      <c r="D53" s="30" t="inlineStr">
        <is>
          <t>Cómo se comunican los hallazgos a la comunidad y al público</t>
        </is>
      </c>
      <c r="E53" s="30">
        <f>COUNTIFS('Datos - Temas'!$V$5:$V$1264,E$25,'Datos - Temas'!$AP$5:$AP$1264,"*"&amp;$A53&amp;";*")</f>
        <v/>
      </c>
      <c r="F53" s="30">
        <f>COUNTIFS('Datos - Temas'!$V$5:$V$1264,F$25,'Datos - Temas'!$AP$5:$AP$1264,"*"&amp;$A53&amp;";*")</f>
        <v/>
      </c>
      <c r="G53" s="30">
        <f>COUNTIFS('Datos - Temas'!$V$5:$V$1264,G$25,'Datos - Temas'!$AP$5:$AP$1264,"*"&amp;$A53&amp;";*")</f>
        <v/>
      </c>
      <c r="H53" s="30">
        <f>SUM(E53:G53)</f>
        <v/>
      </c>
      <c r="I53" s="30">
        <f>IF(H53=0,"No cubierto",IF(H53=1,"Débil (1 tema)",IF(H53&lt;=3,"Básica (2–3)","Sólida (4+)")))</f>
        <v/>
      </c>
    </row>
    <row r="54"/>
    <row r="55" ht="30" customHeight="1">
      <c r="A55" s="10" t="inlineStr">
        <is>
          <t>Tipo</t>
        </is>
      </c>
      <c r="B55" s="10" t="inlineStr">
        <is>
          <t>Elementos</t>
        </is>
      </c>
      <c r="C55" s="10" t="inlineStr">
        <is>
          <t>Trabajados (≥1 tema)</t>
        </is>
      </c>
      <c r="D55" s="10" t="inlineStr">
        <is>
          <t>% trabajado</t>
        </is>
      </c>
      <c r="E55" s="10" t="inlineStr">
        <is>
          <t>No trabajados</t>
        </is>
      </c>
    </row>
    <row r="56">
      <c r="A56" s="23" t="inlineStr">
        <is>
          <t>Procedimental</t>
        </is>
      </c>
      <c r="B56" s="23">
        <f>COUNTIFS($B$26:$B$53,$A56)</f>
        <v/>
      </c>
      <c r="C56" s="23">
        <f>COUNTIFS($B$26:$B$53,$A56,$H$26:$H$53,"&gt;0")</f>
        <v/>
      </c>
      <c r="D56" s="24">
        <f>IF(B56=0,0,C56/B56)</f>
        <v/>
      </c>
      <c r="E56" s="23">
        <f>B56-C56</f>
        <v/>
      </c>
    </row>
    <row r="57">
      <c r="A57" s="23" t="inlineStr">
        <is>
          <t>Epistémico</t>
        </is>
      </c>
      <c r="B57" s="23">
        <f>COUNTIFS($B$26:$B$53,$A57)</f>
        <v/>
      </c>
      <c r="C57" s="23">
        <f>COUNTIFS($B$26:$B$53,$A57,$H$26:$H$53,"&gt;0")</f>
        <v/>
      </c>
      <c r="D57" s="24">
        <f>IF(B57=0,0,C57/B57)</f>
        <v/>
      </c>
      <c r="E57" s="23">
        <f>B57-C57</f>
        <v/>
      </c>
    </row>
    <row r="58"/>
    <row r="59" ht="70" customHeight="1">
      <c r="A59" s="2" t="inlineStr">
        <is>
          <t>Cómo se calcula: PISA reparte la prueba entre conocimiento de CONTENIDO (qué sabemos), PROCEDIMENTAL (cómo se obtienen datos confiables: variables, medición, incertidumbre, representación de datos, diseño) y EPISTÉMICO (por qué creemos lo que la ciencia afirma: modelos, evidencia, razonamiento, consenso). La malla no tiene una columna para esto: la clasificación es asistida por IA (hoja Datos - Temas, columnas AN-AP). Un tema cuenta en el tipo PREDOMINANTE; aparte se cuentan los temas que trabajan algún elemento procedimental o epistémico de forma explícita.</t>
        </is>
      </c>
    </row>
  </sheetData>
  <mergeCells count="3">
    <mergeCell ref="A59:L59"/>
    <mergeCell ref="A2:L2"/>
    <mergeCell ref="A9:L9"/>
  </mergeCells>
  <conditionalFormatting sqref="I13:J17">
    <cfRule type="cellIs" priority="1" operator="equal" dxfId="2">
      <formula>"Por debajo del rango"</formula>
    </cfRule>
    <cfRule type="cellIs" priority="2" operator="equal" dxfId="1">
      <formula>"Por encima del rango"</formula>
    </cfRule>
    <cfRule type="cellIs" priority="3" operator="equal" dxfId="8">
      <formula>"Dentro del rango"</formula>
    </cfRule>
  </conditionalFormatting>
  <conditionalFormatting sqref="I26:I53">
    <cfRule type="cellIs" priority="4" operator="equal" dxfId="2">
      <formula>"No cubierto"</formula>
    </cfRule>
    <cfRule type="cellIs" priority="5" operator="equal" dxfId="1">
      <formula>"Débil (1 tema)"</formula>
    </cfRule>
    <cfRule type="cellIs" priority="6" operator="equal" dxfId="8">
      <formula>"Básica (2–3)"</formula>
    </cfRule>
    <cfRule type="cellIs" priority="7" operator="equal" dxfId="0">
      <formula>"Sólida (4+)"</formula>
    </cfRule>
  </conditionalFormatting>
  <conditionalFormatting sqref="E26:G53">
    <cfRule type="cellIs" priority="8" operator="equal" dxfId="9">
      <formula>0</formula>
    </cfRule>
  </conditionalFormatting>
  <pageMargins left="0.75" right="0.75" top="1" bottom="1" header="0.5" footer="0.5"/>
</worksheet>
</file>

<file path=xl/worksheets/sheet15.xml><?xml version="1.0" encoding="utf-8"?>
<worksheet xmlns="http://schemas.openxmlformats.org/spreadsheetml/2006/main">
  <sheetPr>
    <tabColor rgb="001F6F5C"/>
    <outlinePr summaryBelow="1" summaryRight="1"/>
    <pageSetUpPr/>
  </sheetPr>
  <dimension ref="A1:L33"/>
  <sheetViews>
    <sheetView showGridLines="0" workbookViewId="0">
      <selection activeCell="A1" sqref="A1"/>
    </sheetView>
  </sheetViews>
  <sheetFormatPr baseColWidth="8" defaultRowHeight="15"/>
  <cols>
    <col width="40" customWidth="1" min="1" max="1"/>
    <col width="9" customWidth="1" min="2" max="2"/>
    <col width="10" customWidth="1" min="3" max="3"/>
    <col width="12" customWidth="1" min="4" max="4"/>
    <col width="10" customWidth="1" min="5" max="5"/>
    <col width="11" customWidth="1" min="6" max="6"/>
    <col width="11" customWidth="1" min="7" max="7"/>
    <col width="13" customWidth="1" min="8" max="8"/>
    <col width="13" customWidth="1" min="9" max="9"/>
    <col width="11" customWidth="1" min="10" max="10"/>
    <col width="13" customWidth="1" min="11" max="11"/>
  </cols>
  <sheetData>
    <row r="1">
      <c r="A1" s="6" t="inlineStr">
        <is>
          <t>PISA 2025 · Contextos, áreas de aplicación y demanda cognitiva (capas propias de PISA)</t>
        </is>
      </c>
    </row>
    <row r="2" ht="68" customHeight="1">
      <c r="A2" s="7">
        <f>"PISA 2025 (7.°–9.°)"&amp;"
"&amp;IF(G16&lt;=0.5,"BIEN · ","OJO · ")&amp;FIXED((G16)*100,0)&amp;" %"&amp;" de los temas no se conectan con una situación real ("&amp;FIXED((G14)*100,0)&amp;" %"&amp;" en 8.°)."&amp;"
"&amp;"● Con contexto, el reparto personal / local / global coincide "&amp;FIXED((K16)*100,0)&amp;" %"&amp;" con el 1:2:1 de PISA."&amp;"
"&amp;"● Área menos trabajada: "&amp;INDEX($A$20:$A$24,MATCH(MIN($E$20:$E$24),$E$20:$E$24,0))&amp;" ("&amp;MIN($E$20:$E$24)&amp;" temas)."</f>
        <v/>
      </c>
      <c r="B2" s="8" t="n"/>
      <c r="C2" s="8" t="n"/>
      <c r="D2" s="8" t="n"/>
      <c r="E2" s="8" t="n"/>
      <c r="F2" s="8" t="n"/>
      <c r="G2" s="8" t="n"/>
      <c r="H2" s="8" t="n"/>
      <c r="I2" s="8" t="n"/>
      <c r="J2" s="8" t="n"/>
      <c r="K2" s="8" t="n"/>
      <c r="L2" s="9" t="n"/>
    </row>
    <row r="3"/>
    <row r="4">
      <c r="A4" s="16" t="inlineStr">
        <is>
          <t>Proporción de contextos en la prueba (1:2:1)</t>
        </is>
      </c>
    </row>
    <row r="5" ht="32" customHeight="1">
      <c r="A5" s="10" t="inlineStr"/>
      <c r="B5" s="10" t="inlineStr">
        <is>
          <t>Mínimo del marco</t>
        </is>
      </c>
      <c r="C5" s="10" t="inlineStr">
        <is>
          <t>Máximo del marco</t>
        </is>
      </c>
      <c r="D5" s="10" t="inlineStr">
        <is>
          <t>Meta (punto medio, normalizado)</t>
        </is>
      </c>
    </row>
    <row r="6">
      <c r="A6" s="11" t="inlineStr">
        <is>
          <t>Personal</t>
        </is>
      </c>
      <c r="B6" s="21" t="n">
        <v>0.25</v>
      </c>
      <c r="C6" s="21" t="n">
        <v>0.25</v>
      </c>
      <c r="D6" s="13">
        <f>AVERAGE(B6:C6)/((SUM($B$6:$B$8)+SUM($C$6:$C$8))/2)</f>
        <v/>
      </c>
    </row>
    <row r="7">
      <c r="A7" s="11" t="inlineStr">
        <is>
          <t>Local/nacional</t>
        </is>
      </c>
      <c r="B7" s="21" t="n">
        <v>0.5</v>
      </c>
      <c r="C7" s="21" t="n">
        <v>0.5</v>
      </c>
      <c r="D7" s="13">
        <f>AVERAGE(B7:C7)/((SUM($B$6:$B$8)+SUM($C$6:$C$8))/2)</f>
        <v/>
      </c>
    </row>
    <row r="8">
      <c r="A8" s="11" t="inlineStr">
        <is>
          <t>Global</t>
        </is>
      </c>
      <c r="B8" s="21" t="n">
        <v>0.25</v>
      </c>
      <c r="C8" s="21" t="n">
        <v>0.25</v>
      </c>
      <c r="D8" s="13">
        <f>AVERAGE(B8:C8)/((SUM($B$6:$B$8)+SUM($C$6:$C$8))/2)</f>
        <v/>
      </c>
    </row>
    <row r="9" ht="28" customHeight="1">
      <c r="A9" s="2" t="inlineStr">
        <is>
          <t>Celdas ámbar editables. Se compara el reparto ENTRE los temas que sí tienen contexto.</t>
        </is>
      </c>
    </row>
    <row r="10"/>
    <row r="11">
      <c r="A11" s="16" t="inlineStr">
        <is>
          <t>Bloque 1 · Contexto de los temas</t>
        </is>
      </c>
    </row>
    <row r="12" ht="48" customHeight="1">
      <c r="A12" s="10" t="inlineStr">
        <is>
          <t>Grado / ciclo</t>
        </is>
      </c>
      <c r="B12" s="10" t="inlineStr">
        <is>
          <t>Temas</t>
        </is>
      </c>
      <c r="C12" s="10" t="inlineStr">
        <is>
          <t>Personal</t>
        </is>
      </c>
      <c r="D12" s="10" t="inlineStr">
        <is>
          <t>Local/nacional</t>
        </is>
      </c>
      <c r="E12" s="10" t="inlineStr">
        <is>
          <t>Global</t>
        </is>
      </c>
      <c r="F12" s="10" t="inlineStr">
        <is>
          <t>Sin contexto</t>
        </is>
      </c>
      <c r="G12" s="10" t="inlineStr">
        <is>
          <t>% sin contexto</t>
        </is>
      </c>
      <c r="H12" s="10" t="inlineStr">
        <is>
          <t>% personal (de los con contexto)</t>
        </is>
      </c>
      <c r="I12" s="10" t="inlineStr">
        <is>
          <t>% local/nacional</t>
        </is>
      </c>
      <c r="J12" s="10" t="inlineStr">
        <is>
          <t>% global</t>
        </is>
      </c>
      <c r="K12" s="10" t="inlineStr">
        <is>
          <t>COINCIDENCIA 1:2:1</t>
        </is>
      </c>
    </row>
    <row r="13">
      <c r="A13" s="11" t="inlineStr">
        <is>
          <t>7°</t>
        </is>
      </c>
      <c r="B13" s="11">
        <f>COUNTIFS('Datos - Temas'!$V$5:$V$1264,$A13,'Datos - Temas'!$AQ$5:$AQ$1264,"&lt;&gt;")</f>
        <v/>
      </c>
      <c r="C13" s="11">
        <f>COUNTIFS('Datos - Temas'!$V$5:$V$1264,$A13,'Datos - Temas'!$AQ$5:$AQ$1264,"Personal")</f>
        <v/>
      </c>
      <c r="D13" s="11">
        <f>COUNTIFS('Datos - Temas'!$V$5:$V$1264,$A13,'Datos - Temas'!$AQ$5:$AQ$1264,"Local/nacional")</f>
        <v/>
      </c>
      <c r="E13" s="11">
        <f>COUNTIFS('Datos - Temas'!$V$5:$V$1264,$A13,'Datos - Temas'!$AQ$5:$AQ$1264,"Global")</f>
        <v/>
      </c>
      <c r="F13" s="11">
        <f>COUNTIFS('Datos - Temas'!$V$5:$V$1264,$A13,'Datos - Temas'!$AQ$5:$AQ$1264,"Sin contexto")</f>
        <v/>
      </c>
      <c r="G13" s="13">
        <f>IF(B13=0,0,F13/B13)</f>
        <v/>
      </c>
      <c r="H13" s="13">
        <f>IF(SUM($C13:$E13)=0,0,C13/SUM($C13:$E13))</f>
        <v/>
      </c>
      <c r="I13" s="13">
        <f>IF(SUM($C13:$E13)=0,0,D13/SUM($C13:$E13))</f>
        <v/>
      </c>
      <c r="J13" s="13">
        <f>IF(SUM($C13:$E13)=0,0,E13/SUM($C13:$E13))</f>
        <v/>
      </c>
      <c r="K13" s="13">
        <f>1-(ABS(H13-$D$6)+ABS(I13-$D$7)+ABS(J13-$D$8))/2</f>
        <v/>
      </c>
    </row>
    <row r="14">
      <c r="A14" s="11" t="inlineStr">
        <is>
          <t>8°</t>
        </is>
      </c>
      <c r="B14" s="11">
        <f>COUNTIFS('Datos - Temas'!$V$5:$V$1264,$A14,'Datos - Temas'!$AQ$5:$AQ$1264,"&lt;&gt;")</f>
        <v/>
      </c>
      <c r="C14" s="11">
        <f>COUNTIFS('Datos - Temas'!$V$5:$V$1264,$A14,'Datos - Temas'!$AQ$5:$AQ$1264,"Personal")</f>
        <v/>
      </c>
      <c r="D14" s="11">
        <f>COUNTIFS('Datos - Temas'!$V$5:$V$1264,$A14,'Datos - Temas'!$AQ$5:$AQ$1264,"Local/nacional")</f>
        <v/>
      </c>
      <c r="E14" s="11">
        <f>COUNTIFS('Datos - Temas'!$V$5:$V$1264,$A14,'Datos - Temas'!$AQ$5:$AQ$1264,"Global")</f>
        <v/>
      </c>
      <c r="F14" s="11">
        <f>COUNTIFS('Datos - Temas'!$V$5:$V$1264,$A14,'Datos - Temas'!$AQ$5:$AQ$1264,"Sin contexto")</f>
        <v/>
      </c>
      <c r="G14" s="13">
        <f>IF(B14=0,0,F14/B14)</f>
        <v/>
      </c>
      <c r="H14" s="13">
        <f>IF(SUM($C14:$E14)=0,0,C14/SUM($C14:$E14))</f>
        <v/>
      </c>
      <c r="I14" s="13">
        <f>IF(SUM($C14:$E14)=0,0,D14/SUM($C14:$E14))</f>
        <v/>
      </c>
      <c r="J14" s="13">
        <f>IF(SUM($C14:$E14)=0,0,E14/SUM($C14:$E14))</f>
        <v/>
      </c>
      <c r="K14" s="13">
        <f>1-(ABS(H14-$D$6)+ABS(I14-$D$7)+ABS(J14-$D$8))/2</f>
        <v/>
      </c>
    </row>
    <row r="15">
      <c r="A15" s="11" t="inlineStr">
        <is>
          <t>9°</t>
        </is>
      </c>
      <c r="B15" s="11">
        <f>COUNTIFS('Datos - Temas'!$V$5:$V$1264,$A15,'Datos - Temas'!$AQ$5:$AQ$1264,"&lt;&gt;")</f>
        <v/>
      </c>
      <c r="C15" s="11">
        <f>COUNTIFS('Datos - Temas'!$V$5:$V$1264,$A15,'Datos - Temas'!$AQ$5:$AQ$1264,"Personal")</f>
        <v/>
      </c>
      <c r="D15" s="11">
        <f>COUNTIFS('Datos - Temas'!$V$5:$V$1264,$A15,'Datos - Temas'!$AQ$5:$AQ$1264,"Local/nacional")</f>
        <v/>
      </c>
      <c r="E15" s="11">
        <f>COUNTIFS('Datos - Temas'!$V$5:$V$1264,$A15,'Datos - Temas'!$AQ$5:$AQ$1264,"Global")</f>
        <v/>
      </c>
      <c r="F15" s="11">
        <f>COUNTIFS('Datos - Temas'!$V$5:$V$1264,$A15,'Datos - Temas'!$AQ$5:$AQ$1264,"Sin contexto")</f>
        <v/>
      </c>
      <c r="G15" s="13">
        <f>IF(B15=0,0,F15/B15)</f>
        <v/>
      </c>
      <c r="H15" s="13">
        <f>IF(SUM($C15:$E15)=0,0,C15/SUM($C15:$E15))</f>
        <v/>
      </c>
      <c r="I15" s="13">
        <f>IF(SUM($C15:$E15)=0,0,D15/SUM($C15:$E15))</f>
        <v/>
      </c>
      <c r="J15" s="13">
        <f>IF(SUM($C15:$E15)=0,0,E15/SUM($C15:$E15))</f>
        <v/>
      </c>
      <c r="K15" s="13">
        <f>1-(ABS(H15-$D$6)+ABS(I15-$D$7)+ABS(J15-$D$8))/2</f>
        <v/>
      </c>
    </row>
    <row r="16">
      <c r="A16" s="11" t="inlineStr">
        <is>
          <t>Ciclo 7°–9°</t>
        </is>
      </c>
      <c r="B16" s="11">
        <f>COUNTIFS('Datos - Temas'!$AV$5:$AV$1264,$A16,'Datos - Temas'!$AQ$5:$AQ$1264,"&lt;&gt;")</f>
        <v/>
      </c>
      <c r="C16" s="11">
        <f>COUNTIFS('Datos - Temas'!$AV$5:$AV$1264,$A16,'Datos - Temas'!$AQ$5:$AQ$1264,"Personal")</f>
        <v/>
      </c>
      <c r="D16" s="11">
        <f>COUNTIFS('Datos - Temas'!$AV$5:$AV$1264,$A16,'Datos - Temas'!$AQ$5:$AQ$1264,"Local/nacional")</f>
        <v/>
      </c>
      <c r="E16" s="11">
        <f>COUNTIFS('Datos - Temas'!$AV$5:$AV$1264,$A16,'Datos - Temas'!$AQ$5:$AQ$1264,"Global")</f>
        <v/>
      </c>
      <c r="F16" s="11">
        <f>COUNTIFS('Datos - Temas'!$AV$5:$AV$1264,$A16,'Datos - Temas'!$AQ$5:$AQ$1264,"Sin contexto")</f>
        <v/>
      </c>
      <c r="G16" s="13">
        <f>IF(B16=0,0,F16/B16)</f>
        <v/>
      </c>
      <c r="H16" s="13">
        <f>IF(SUM($C16:$E16)=0,0,C16/SUM($C16:$E16))</f>
        <v/>
      </c>
      <c r="I16" s="13">
        <f>IF(SUM($C16:$E16)=0,0,D16/SUM($C16:$E16))</f>
        <v/>
      </c>
      <c r="J16" s="13">
        <f>IF(SUM($C16:$E16)=0,0,E16/SUM($C16:$E16))</f>
        <v/>
      </c>
      <c r="K16" s="13">
        <f>1-(ABS(H16-$D$6)+ABS(I16-$D$7)+ABS(J16-$D$8))/2</f>
        <v/>
      </c>
    </row>
    <row r="17"/>
    <row r="18">
      <c r="A18" s="16" t="inlineStr">
        <is>
          <t>Bloque 2 · Áreas de aplicación (Tabla 2.2): n.º de temas</t>
        </is>
      </c>
    </row>
    <row r="19" ht="30" customHeight="1">
      <c r="A19" s="10" t="inlineStr">
        <is>
          <t>Área de aplicación</t>
        </is>
      </c>
      <c r="B19" s="10" t="inlineStr">
        <is>
          <t>7°</t>
        </is>
      </c>
      <c r="C19" s="10" t="inlineStr">
        <is>
          <t>8°</t>
        </is>
      </c>
      <c r="D19" s="10" t="inlineStr">
        <is>
          <t>9°</t>
        </is>
      </c>
      <c r="E19" s="10" t="inlineStr">
        <is>
          <t>Total 7°–9°</t>
        </is>
      </c>
    </row>
    <row r="20">
      <c r="A20" s="11" t="inlineStr">
        <is>
          <t>Salud y enfermedad</t>
        </is>
      </c>
      <c r="B20" s="11">
        <f>COUNTIFS('Datos - Temas'!$V$5:$V$1264,B$19,'Datos - Temas'!$AR$5:$AR$1264,$A20)</f>
        <v/>
      </c>
      <c r="C20" s="11">
        <f>COUNTIFS('Datos - Temas'!$V$5:$V$1264,C$19,'Datos - Temas'!$AR$5:$AR$1264,$A20)</f>
        <v/>
      </c>
      <c r="D20" s="11">
        <f>COUNTIFS('Datos - Temas'!$V$5:$V$1264,D$19,'Datos - Temas'!$AR$5:$AR$1264,$A20)</f>
        <v/>
      </c>
      <c r="E20" s="11">
        <f>SUM(B20:D20)</f>
        <v/>
      </c>
    </row>
    <row r="21">
      <c r="A21" s="11" t="inlineStr">
        <is>
          <t>Recursos naturales</t>
        </is>
      </c>
      <c r="B21" s="11">
        <f>COUNTIFS('Datos - Temas'!$V$5:$V$1264,B$19,'Datos - Temas'!$AR$5:$AR$1264,$A21)</f>
        <v/>
      </c>
      <c r="C21" s="11">
        <f>COUNTIFS('Datos - Temas'!$V$5:$V$1264,C$19,'Datos - Temas'!$AR$5:$AR$1264,$A21)</f>
        <v/>
      </c>
      <c r="D21" s="11">
        <f>COUNTIFS('Datos - Temas'!$V$5:$V$1264,D$19,'Datos - Temas'!$AR$5:$AR$1264,$A21)</f>
        <v/>
      </c>
      <c r="E21" s="11">
        <f>SUM(B21:D21)</f>
        <v/>
      </c>
    </row>
    <row r="22">
      <c r="A22" s="11" t="inlineStr">
        <is>
          <t>Impactos ambientales y cambio climático</t>
        </is>
      </c>
      <c r="B22" s="11">
        <f>COUNTIFS('Datos - Temas'!$V$5:$V$1264,B$19,'Datos - Temas'!$AR$5:$AR$1264,$A22)</f>
        <v/>
      </c>
      <c r="C22" s="11">
        <f>COUNTIFS('Datos - Temas'!$V$5:$V$1264,C$19,'Datos - Temas'!$AR$5:$AR$1264,$A22)</f>
        <v/>
      </c>
      <c r="D22" s="11">
        <f>COUNTIFS('Datos - Temas'!$V$5:$V$1264,D$19,'Datos - Temas'!$AR$5:$AR$1264,$A22)</f>
        <v/>
      </c>
      <c r="E22" s="11">
        <f>SUM(B22:D22)</f>
        <v/>
      </c>
    </row>
    <row r="23">
      <c r="A23" s="11" t="inlineStr">
        <is>
          <t>Riesgos</t>
        </is>
      </c>
      <c r="B23" s="11">
        <f>COUNTIFS('Datos - Temas'!$V$5:$V$1264,B$19,'Datos - Temas'!$AR$5:$AR$1264,$A23)</f>
        <v/>
      </c>
      <c r="C23" s="11">
        <f>COUNTIFS('Datos - Temas'!$V$5:$V$1264,C$19,'Datos - Temas'!$AR$5:$AR$1264,$A23)</f>
        <v/>
      </c>
      <c r="D23" s="11">
        <f>COUNTIFS('Datos - Temas'!$V$5:$V$1264,D$19,'Datos - Temas'!$AR$5:$AR$1264,$A23)</f>
        <v/>
      </c>
      <c r="E23" s="11">
        <f>SUM(B23:D23)</f>
        <v/>
      </c>
    </row>
    <row r="24">
      <c r="A24" s="11" t="inlineStr">
        <is>
          <t>Avances y desafíos científicos y tecnológicos</t>
        </is>
      </c>
      <c r="B24" s="11">
        <f>COUNTIFS('Datos - Temas'!$V$5:$V$1264,B$19,'Datos - Temas'!$AR$5:$AR$1264,$A24)</f>
        <v/>
      </c>
      <c r="C24" s="11">
        <f>COUNTIFS('Datos - Temas'!$V$5:$V$1264,C$19,'Datos - Temas'!$AR$5:$AR$1264,$A24)</f>
        <v/>
      </c>
      <c r="D24" s="11">
        <f>COUNTIFS('Datos - Temas'!$V$5:$V$1264,D$19,'Datos - Temas'!$AR$5:$AR$1264,$A24)</f>
        <v/>
      </c>
      <c r="E24" s="11">
        <f>SUM(B24:D24)</f>
        <v/>
      </c>
    </row>
    <row r="25"/>
    <row r="26">
      <c r="A26" s="16" t="inlineStr">
        <is>
          <t>Bloque 3 · Demanda cognitiva de lo que pide cada tema (Figura 2.2; sin meta en el marco)</t>
        </is>
      </c>
    </row>
    <row r="27" ht="40" customHeight="1">
      <c r="A27" s="10" t="inlineStr">
        <is>
          <t>Grado / ciclo</t>
        </is>
      </c>
      <c r="B27" s="10" t="inlineStr">
        <is>
          <t>Temas</t>
        </is>
      </c>
      <c r="C27" s="10" t="inlineStr">
        <is>
          <t>Baja</t>
        </is>
      </c>
      <c r="D27" s="10" t="inlineStr">
        <is>
          <t>Media</t>
        </is>
      </c>
      <c r="E27" s="10" t="inlineStr">
        <is>
          <t>Alta</t>
        </is>
      </c>
      <c r="F27" s="10" t="inlineStr">
        <is>
          <t>% baja</t>
        </is>
      </c>
      <c r="G27" s="10" t="inlineStr">
        <is>
          <t>% media</t>
        </is>
      </c>
      <c r="H27" s="10" t="inlineStr">
        <is>
          <t>% alta</t>
        </is>
      </c>
      <c r="I27" s="10" t="inlineStr">
        <is>
          <t>% Razonar en la malla (TIMSS, mismo grupo)</t>
        </is>
      </c>
    </row>
    <row r="28">
      <c r="A28" s="11" t="inlineStr">
        <is>
          <t>7°</t>
        </is>
      </c>
      <c r="B28" s="11">
        <f>COUNTIFS('Datos - Temas'!$V$5:$V$1264,$A28,'Datos - Temas'!$AS$5:$AS$1264,"&lt;&gt;")</f>
        <v/>
      </c>
      <c r="C28" s="11">
        <f>COUNTIFS('Datos - Temas'!$V$5:$V$1264,$A28,'Datos - Temas'!$AS$5:$AS$1264,"Baja")</f>
        <v/>
      </c>
      <c r="D28" s="11">
        <f>COUNTIFS('Datos - Temas'!$V$5:$V$1264,$A28,'Datos - Temas'!$AS$5:$AS$1264,"Media")</f>
        <v/>
      </c>
      <c r="E28" s="11">
        <f>COUNTIFS('Datos - Temas'!$V$5:$V$1264,$A28,'Datos - Temas'!$AS$5:$AS$1264,"Alta")</f>
        <v/>
      </c>
      <c r="F28" s="13">
        <f>IF($B28=0,0,C28/$B28)</f>
        <v/>
      </c>
      <c r="G28" s="13">
        <f>IF($B28=0,0,D28/$B28)</f>
        <v/>
      </c>
      <c r="H28" s="13">
        <f>IF($B28=0,0,E28/$B28)</f>
        <v/>
      </c>
      <c r="I28" s="13">
        <f>IF(COUNTIFS('Datos - Temas'!$V$5:$V$1264,$A28,'Datos - Temas'!$C$5:$C$1264,"Ciencias")=0,0,SUMIFS('Datos - Temas'!$U$5:$U$1264,'Datos - Temas'!$V$5:$V$1264,$A28,'Datos - Temas'!$C$5:$C$1264,"Ciencias")/COUNTIFS('Datos - Temas'!$V$5:$V$1264,$A28,'Datos - Temas'!$C$5:$C$1264,"Ciencias"))</f>
        <v/>
      </c>
    </row>
    <row r="29">
      <c r="A29" s="11" t="inlineStr">
        <is>
          <t>8°</t>
        </is>
      </c>
      <c r="B29" s="11">
        <f>COUNTIFS('Datos - Temas'!$V$5:$V$1264,$A29,'Datos - Temas'!$AS$5:$AS$1264,"&lt;&gt;")</f>
        <v/>
      </c>
      <c r="C29" s="11">
        <f>COUNTIFS('Datos - Temas'!$V$5:$V$1264,$A29,'Datos - Temas'!$AS$5:$AS$1264,"Baja")</f>
        <v/>
      </c>
      <c r="D29" s="11">
        <f>COUNTIFS('Datos - Temas'!$V$5:$V$1264,$A29,'Datos - Temas'!$AS$5:$AS$1264,"Media")</f>
        <v/>
      </c>
      <c r="E29" s="11">
        <f>COUNTIFS('Datos - Temas'!$V$5:$V$1264,$A29,'Datos - Temas'!$AS$5:$AS$1264,"Alta")</f>
        <v/>
      </c>
      <c r="F29" s="13">
        <f>IF($B29=0,0,C29/$B29)</f>
        <v/>
      </c>
      <c r="G29" s="13">
        <f>IF($B29=0,0,D29/$B29)</f>
        <v/>
      </c>
      <c r="H29" s="13">
        <f>IF($B29=0,0,E29/$B29)</f>
        <v/>
      </c>
      <c r="I29" s="13">
        <f>IF(COUNTIFS('Datos - Temas'!$V$5:$V$1264,$A29,'Datos - Temas'!$C$5:$C$1264,"Ciencias")=0,0,SUMIFS('Datos - Temas'!$U$5:$U$1264,'Datos - Temas'!$V$5:$V$1264,$A29,'Datos - Temas'!$C$5:$C$1264,"Ciencias")/COUNTIFS('Datos - Temas'!$V$5:$V$1264,$A29,'Datos - Temas'!$C$5:$C$1264,"Ciencias"))</f>
        <v/>
      </c>
    </row>
    <row r="30">
      <c r="A30" s="11" t="inlineStr">
        <is>
          <t>9°</t>
        </is>
      </c>
      <c r="B30" s="11">
        <f>COUNTIFS('Datos - Temas'!$V$5:$V$1264,$A30,'Datos - Temas'!$AS$5:$AS$1264,"&lt;&gt;")</f>
        <v/>
      </c>
      <c r="C30" s="11">
        <f>COUNTIFS('Datos - Temas'!$V$5:$V$1264,$A30,'Datos - Temas'!$AS$5:$AS$1264,"Baja")</f>
        <v/>
      </c>
      <c r="D30" s="11">
        <f>COUNTIFS('Datos - Temas'!$V$5:$V$1264,$A30,'Datos - Temas'!$AS$5:$AS$1264,"Media")</f>
        <v/>
      </c>
      <c r="E30" s="11">
        <f>COUNTIFS('Datos - Temas'!$V$5:$V$1264,$A30,'Datos - Temas'!$AS$5:$AS$1264,"Alta")</f>
        <v/>
      </c>
      <c r="F30" s="13">
        <f>IF($B30=0,0,C30/$B30)</f>
        <v/>
      </c>
      <c r="G30" s="13">
        <f>IF($B30=0,0,D30/$B30)</f>
        <v/>
      </c>
      <c r="H30" s="13">
        <f>IF($B30=0,0,E30/$B30)</f>
        <v/>
      </c>
      <c r="I30" s="13">
        <f>IF(COUNTIFS('Datos - Temas'!$V$5:$V$1264,$A30,'Datos - Temas'!$C$5:$C$1264,"Ciencias")=0,0,SUMIFS('Datos - Temas'!$U$5:$U$1264,'Datos - Temas'!$V$5:$V$1264,$A30,'Datos - Temas'!$C$5:$C$1264,"Ciencias")/COUNTIFS('Datos - Temas'!$V$5:$V$1264,$A30,'Datos - Temas'!$C$5:$C$1264,"Ciencias"))</f>
        <v/>
      </c>
    </row>
    <row r="31">
      <c r="A31" s="11" t="inlineStr">
        <is>
          <t>Ciclo 7°–9°</t>
        </is>
      </c>
      <c r="B31" s="11">
        <f>COUNTIFS('Datos - Temas'!$AV$5:$AV$1264,$A31,'Datos - Temas'!$AS$5:$AS$1264,"&lt;&gt;")</f>
        <v/>
      </c>
      <c r="C31" s="11">
        <f>COUNTIFS('Datos - Temas'!$AV$5:$AV$1264,$A31,'Datos - Temas'!$AS$5:$AS$1264,"Baja")</f>
        <v/>
      </c>
      <c r="D31" s="11">
        <f>COUNTIFS('Datos - Temas'!$AV$5:$AV$1264,$A31,'Datos - Temas'!$AS$5:$AS$1264,"Media")</f>
        <v/>
      </c>
      <c r="E31" s="11">
        <f>COUNTIFS('Datos - Temas'!$AV$5:$AV$1264,$A31,'Datos - Temas'!$AS$5:$AS$1264,"Alta")</f>
        <v/>
      </c>
      <c r="F31" s="13">
        <f>IF($B31=0,0,C31/$B31)</f>
        <v/>
      </c>
      <c r="G31" s="13">
        <f>IF($B31=0,0,D31/$B31)</f>
        <v/>
      </c>
      <c r="H31" s="13">
        <f>IF($B31=0,0,E31/$B31)</f>
        <v/>
      </c>
      <c r="I31" s="13">
        <f>IF(COUNTIFS('Datos - Temas'!$AV$5:$AV$1264,$A31,'Datos - Temas'!$C$5:$C$1264,"Ciencias")=0,0,SUMIFS('Datos - Temas'!$U$5:$U$1264,'Datos - Temas'!$AV$5:$AV$1264,$A31,'Datos - Temas'!$C$5:$C$1264,"Ciencias")/COUNTIFS('Datos - Temas'!$AV$5:$AV$1264,$A31,'Datos - Temas'!$C$5:$C$1264,"Ciencias"))</f>
        <v/>
      </c>
    </row>
    <row r="32"/>
    <row r="33" ht="70" customHeight="1">
      <c r="A33" s="2" t="inlineStr">
        <is>
          <t>Cómo se calcula: PISA sitúa sus preguntas en contextos personales, locales/nacionales y globales en proporción ≈ 1:2:1 (p. 53), dentro de cinco áreas de aplicación (Tabla 2.2). No es una meta curricular, pero indica si la malla enseña la ciencia conectada con situaciones reales. «Sin contexto» = el tema es conceptual o de laboratorio, sin situación de vida real. La demanda cognitiva (baja/media/alta, Figura 2.2) no tiene meta en el marco. Clasificación asistida por IA (hoja Datos - Temas, columnas AQ-AS).</t>
        </is>
      </c>
    </row>
  </sheetData>
  <mergeCells count="3">
    <mergeCell ref="A33:L33"/>
    <mergeCell ref="A2:L2"/>
    <mergeCell ref="A9:L9"/>
  </mergeCells>
  <conditionalFormatting sqref="G13:G17">
    <cfRule type="cellIs" priority="1" operator="greaterThan" dxfId="2">
      <formula>0.5</formula>
    </cfRule>
  </conditionalFormatting>
  <conditionalFormatting sqref="B20:D24">
    <cfRule type="cellIs" priority="2" operator="equal" dxfId="1">
      <formula>0</formula>
    </cfRule>
  </conditionalFormatting>
  <pageMargins left="0.75" right="0.75" top="1" bottom="1" header="0.5" footer="0.5"/>
</worksheet>
</file>

<file path=xl/worksheets/sheet16.xml><?xml version="1.0" encoding="utf-8"?>
<worksheet xmlns="http://schemas.openxmlformats.org/spreadsheetml/2006/main">
  <sheetPr>
    <tabColor rgb="00595959"/>
    <outlinePr summaryBelow="1" summaryRight="1"/>
    <pageSetUpPr/>
  </sheetPr>
  <dimension ref="A1:AW126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7" customWidth="1" min="2" max="2"/>
    <col width="10" customWidth="1" min="3" max="3"/>
    <col width="30" customWidth="1" min="4" max="4"/>
    <col width="22" customWidth="1" min="5" max="5"/>
    <col width="6" customWidth="1" min="6" max="6"/>
    <col width="28" customWidth="1" min="7" max="7"/>
    <col width="26" customWidth="1" min="8" max="8"/>
    <col width="55" customWidth="1" min="9" max="9"/>
    <col width="9" customWidth="1" min="10" max="10"/>
    <col width="13" customWidth="1" min="11" max="11"/>
    <col width="13" customWidth="1" min="12" max="12"/>
    <col width="22" customWidth="1" min="13" max="13"/>
    <col width="32" customWidth="1" min="14" max="14"/>
    <col width="20" customWidth="1" min="15" max="15"/>
    <col width="10" customWidth="1" min="16" max="16"/>
    <col width="45" customWidth="1" min="17" max="17"/>
    <col width="45" customWidth="1" min="18" max="18"/>
    <col width="9" customWidth="1" min="19" max="19"/>
    <col width="9" customWidth="1" min="20" max="20"/>
    <col width="9" customWidth="1" min="21" max="21"/>
    <col width="12" customWidth="1" min="22" max="22"/>
    <col width="15" customWidth="1" min="23" max="23"/>
    <col width="11" customWidth="1" min="24" max="24"/>
    <col width="12" customWidth="1" min="25" max="25"/>
    <col width="12" customWidth="1" min="26" max="26"/>
    <col width="13" customWidth="1" min="27" max="27"/>
    <col width="13" customWidth="1" min="28" max="28"/>
    <col width="22" customWidth="1" min="29" max="29"/>
    <col width="40" customWidth="1" min="30" max="30"/>
    <col width="9" customWidth="1" min="31" max="31"/>
    <col width="9" customWidth="1" min="32" max="32"/>
    <col width="9" customWidth="1" min="33" max="33"/>
    <col width="9" customWidth="1" min="34" max="34"/>
    <col width="9" customWidth="1" min="35" max="35"/>
    <col width="9" customWidth="1" min="36" max="36"/>
    <col width="11" customWidth="1" min="37" max="37"/>
    <col width="11" customWidth="1" min="38" max="38"/>
    <col width="22" customWidth="1" min="39" max="39"/>
    <col width="14" customWidth="1" min="40" max="40"/>
    <col width="18" customWidth="1" min="41" max="41"/>
    <col width="18" customWidth="1" min="42" max="42"/>
    <col width="14" customWidth="1" min="43" max="43"/>
    <col width="22" customWidth="1" min="44" max="44"/>
    <col width="11" customWidth="1" min="45" max="45"/>
    <col width="10" customWidth="1" min="46" max="46"/>
    <col width="40" customWidth="1" min="47" max="47"/>
    <col width="12" customWidth="1" min="48" max="48"/>
    <col width="18" customWidth="1" min="49" max="49"/>
  </cols>
  <sheetData>
    <row r="1">
      <c r="A1" s="6" t="inlineStr">
        <is>
          <t>Trazabilidad: cada tema de las mallas y su clasificación contra TIMSS</t>
        </is>
      </c>
    </row>
    <row r="2" ht="68" customHeight="1">
      <c r="A2" s="7">
        <f>"TIMSS 2027 (columnas K–AC) y PISA 2025 (columnas AD–AW)"&amp;"
"&amp;"● Un tema por fila: "&amp;COUNTA($A$5:$A$1264)&amp;" en total; "&amp;(COUNTA($K$5:$K$1264)-COUNTIF($K$5:$K$1264,"N/A"))&amp;" con clasificación TIMSS y "&amp;COUNTA($AK$5:$AK$1264)&amp;" con PISA (7.°–9.°)."&amp;"
"&amp;"● Confianza baja (para revisar primero): "&amp;COUNTIF($P$5:$P$1264,"baja")&amp;" en TIMSS (incluye Física de Bachillerato) y "&amp;COUNTIF($AT$5:$AT$1264,"baja")&amp;" en PISA."&amp;"
"&amp;"→ Cambia un código en K–L (TIMSS) o AK–AL (PISA) y todo el libro se recalcula."</f>
        <v/>
      </c>
      <c r="B2" s="8" t="n"/>
      <c r="C2" s="8" t="n"/>
      <c r="D2" s="8" t="n"/>
      <c r="E2" s="8" t="n"/>
      <c r="F2" s="8" t="n"/>
      <c r="G2" s="8" t="n"/>
      <c r="H2" s="8" t="n"/>
      <c r="I2" s="8" t="n"/>
      <c r="J2" s="8" t="n"/>
      <c r="K2" s="8" t="n"/>
      <c r="L2" s="8" t="n"/>
      <c r="M2" s="8" t="n"/>
      <c r="N2" s="9" t="n"/>
    </row>
    <row r="3"/>
    <row r="4" ht="54" customHeight="1">
      <c r="A4" s="10" t="inlineStr">
        <is>
          <t>ID tema</t>
        </is>
      </c>
      <c r="B4" s="10" t="inlineStr">
        <is>
          <t>Grado</t>
        </is>
      </c>
      <c r="C4" s="10" t="inlineStr">
        <is>
          <t>Asignatura</t>
        </is>
      </c>
      <c r="D4" s="10" t="inlineStr">
        <is>
          <t>Archivo de origen</t>
        </is>
      </c>
      <c r="E4" s="10" t="inlineStr">
        <is>
          <t>Hoja</t>
        </is>
      </c>
      <c r="F4" s="10" t="inlineStr">
        <is>
          <t>Fila</t>
        </is>
      </c>
      <c r="G4" s="10" t="inlineStr">
        <is>
          <t>Unidad</t>
        </is>
      </c>
      <c r="H4" s="10" t="inlineStr">
        <is>
          <t>Contenido</t>
        </is>
      </c>
      <c r="I4" s="10" t="inlineStr">
        <is>
          <t>Procedimental (tema)</t>
        </is>
      </c>
      <c r="J4" s="10" t="inlineStr">
        <is>
          <t>Marco</t>
        </is>
      </c>
      <c r="K4" s="10" t="inlineStr">
        <is>
          <t>Objetivo TIMSS principal</t>
        </is>
      </c>
      <c r="L4" s="10" t="inlineStr">
        <is>
          <t>Objetivo TIMSS secundario</t>
        </is>
      </c>
      <c r="M4" s="10" t="inlineStr">
        <is>
          <t>Dominio (principal)</t>
        </is>
      </c>
      <c r="N4" s="10" t="inlineStr">
        <is>
          <t>Área temática (principal)</t>
        </is>
      </c>
      <c r="O4" s="10" t="inlineStr">
        <is>
          <t>Dominio (secundario)</t>
        </is>
      </c>
      <c r="P4" s="10" t="inlineStr">
        <is>
          <t>Confianza</t>
        </is>
      </c>
      <c r="Q4" s="10" t="inlineStr">
        <is>
          <t>Justificación de la clasificación</t>
        </is>
      </c>
      <c r="R4" s="10" t="inlineStr">
        <is>
          <t>Habilidad TIMSS (texto de la malla)</t>
        </is>
      </c>
      <c r="S4" s="10" t="inlineStr">
        <is>
          <t>Conocer (fracción)</t>
        </is>
      </c>
      <c r="T4" s="10" t="inlineStr">
        <is>
          <t>Aplicar (fracción)</t>
        </is>
      </c>
      <c r="U4" s="10" t="inlineStr">
        <is>
          <t>Razonar (fracción)</t>
        </is>
      </c>
      <c r="V4" s="10" t="inlineStr">
        <is>
          <t>Grupo</t>
        </is>
      </c>
      <c r="W4" s="10" t="inlineStr">
        <is>
          <t>Ciclo</t>
        </is>
      </c>
      <c r="X4" s="10" t="inlineStr">
        <is>
          <t>Ambiental (obj. principal o secundario: 1 = sí)</t>
        </is>
      </c>
      <c r="Y4" s="10" t="inlineStr">
        <is>
          <t>Investigaciones como principal (1 = sí)</t>
        </is>
      </c>
      <c r="Z4" s="10" t="inlineStr">
        <is>
          <t>Investigaciones como secundario (1 = sí)</t>
        </is>
      </c>
      <c r="AA4" s="10" t="inlineStr">
        <is>
          <t>Objetivo principal v1 (TIMSS 2023)</t>
        </is>
      </c>
      <c r="AB4" s="10" t="inlineStr">
        <is>
          <t>Objetivo secundario v1 (TIMSS 2023)</t>
        </is>
      </c>
      <c r="AC4" s="10" t="inlineStr">
        <is>
          <t>Dominio principal v1 (TIMSS 2023)</t>
        </is>
      </c>
      <c r="AD4" s="10" t="inlineStr">
        <is>
          <t>Competencia PISA (malla)</t>
        </is>
      </c>
      <c r="AE4" s="10" t="inlineStr">
        <is>
          <t>Competencia (código)</t>
        </is>
      </c>
      <c r="AF4" s="10" t="inlineStr">
        <is>
          <t>Microhabilidad PISA · Aproximar</t>
        </is>
      </c>
      <c r="AG4" s="10" t="inlineStr">
        <is>
          <t>Microhabilidad PISA · Explorar</t>
        </is>
      </c>
      <c r="AH4" s="10" t="inlineStr">
        <is>
          <t>Microhabilidad PISA · Explicar</t>
        </is>
      </c>
      <c r="AI4" s="10" t="inlineStr">
        <is>
          <t>Microhabilidad PISA · Indagar</t>
        </is>
      </c>
      <c r="AJ4" s="10" t="inlineStr">
        <is>
          <t>Microhabilidad PISA · Reforzar</t>
        </is>
      </c>
      <c r="AK4" s="10" t="inlineStr">
        <is>
          <t>Contenido PISA principal</t>
        </is>
      </c>
      <c r="AL4" s="10" t="inlineStr">
        <is>
          <t>Contenido PISA secundario</t>
        </is>
      </c>
      <c r="AM4" s="10" t="inlineStr">
        <is>
          <t>Sistema PISA (principal)</t>
        </is>
      </c>
      <c r="AN4" s="10" t="inlineStr">
        <is>
          <t>Tipo de conocimiento predominante</t>
        </is>
      </c>
      <c r="AO4" s="10" t="inlineStr">
        <is>
          <t>Conocimiento procedimental (códigos)</t>
        </is>
      </c>
      <c r="AP4" s="10" t="inlineStr">
        <is>
          <t>Conocimiento epistémico (códigos)</t>
        </is>
      </c>
      <c r="AQ4" s="10" t="inlineStr">
        <is>
          <t>Contexto PISA</t>
        </is>
      </c>
      <c r="AR4" s="10" t="inlineStr">
        <is>
          <t>Área de aplicación</t>
        </is>
      </c>
      <c r="AS4" s="10" t="inlineStr">
        <is>
          <t>Demanda cognitiva</t>
        </is>
      </c>
      <c r="AT4" s="10" t="inlineStr">
        <is>
          <t>Confianza PISA</t>
        </is>
      </c>
      <c r="AU4" s="10" t="inlineStr">
        <is>
          <t>Justificación PISA</t>
        </is>
      </c>
      <c r="AV4" s="10" t="inlineStr">
        <is>
          <t>Ciclo PISA</t>
        </is>
      </c>
      <c r="AW4" s="10" t="inlineStr">
        <is>
          <t>Microhabilidades PISA (las 5 fases)</t>
        </is>
      </c>
    </row>
    <row r="5">
      <c r="A5" s="11" t="inlineStr">
        <is>
          <t>T0639-G02-CIE</t>
        </is>
      </c>
      <c r="B5" s="11" t="n">
        <v>2</v>
      </c>
      <c r="C5" s="11" t="inlineStr">
        <is>
          <t>Ciencias</t>
        </is>
      </c>
      <c r="D5" s="11" t="inlineStr">
        <is>
          <t>Matriz_Ciencias_2do_Grado_U1_U6_3.xlsx</t>
        </is>
      </c>
      <c r="E5" s="11" t="inlineStr">
        <is>
          <t>Unidad 1 - Materia</t>
        </is>
      </c>
      <c r="F5" s="11" t="n">
        <v>3</v>
      </c>
      <c r="G5" s="11" t="inlineStr">
        <is>
          <t>1. Materia.</t>
        </is>
      </c>
      <c r="H5" s="11" t="inlineStr">
        <is>
          <t>¿Qué es medir?</t>
        </is>
      </c>
      <c r="I5" s="38" t="inlineStr">
        <is>
          <t>1.1. Manipulación de distintos instrumentos de medición.</t>
        </is>
      </c>
      <c r="J5" s="11" t="inlineStr">
        <is>
          <t>T4_27</t>
        </is>
      </c>
      <c r="K5" s="11" t="inlineStr">
        <is>
          <t>T4_27-P6.1</t>
        </is>
      </c>
      <c r="L5" s="11" t="inlineStr"/>
      <c r="M5" s="11">
        <f>IF(K5="FUERA","Fuera del marco",IF(K5="N/A","Sin marco",IFERROR(INDEX('Datos - Catálogo TIMSS'!$C$5:$C$107,MATCH(K5,'Datos - Catálogo TIMSS'!$A$5:$A$107,0)),"Pendiente de clasificar")))</f>
        <v/>
      </c>
      <c r="N5" s="11">
        <f>IF(K5="FUERA","Fuera del marco",IF(K5="N/A","Sin marco",IFERROR(INDEX('Datos - Catálogo TIMSS'!$F$5:$F$107,MATCH(K5,'Datos - Catálogo TIMSS'!$A$5:$A$107,0)),"Pendiente de clasificar")))</f>
        <v/>
      </c>
      <c r="O5" s="11">
        <f>IF(L5="","",IFERROR(INDEX('Datos - Catálogo TIMSS'!$C$5:$C$107,MATCH(L5,'Datos - Catálogo TIMSS'!$A$5:$A$107,0)),"?"))</f>
        <v/>
      </c>
      <c r="P5" s="11" t="inlineStr">
        <is>
          <t>media</t>
        </is>
      </c>
      <c r="Q5" s="38" t="inlineStr">
        <is>
          <t>Uso de regla, balanza y termómetro sin contenido disciplinar: equipo de investigación.</t>
        </is>
      </c>
      <c r="R5" s="38" t="inlineStr">
        <is>
          <t>Conocer: reconocer instrumentos. Aplicar: usar instrumentos sencillos</t>
        </is>
      </c>
      <c r="S5" s="39">
        <f>IFERROR(ISNUMBER(SEARCH("Conocer",$R5))/(ISNUMBER(SEARCH("Conocer",$R5))+ISNUMBER(SEARCH("Aplicar",$R5))+ISNUMBER(SEARCH("Razonar",$R5))),0)</f>
        <v/>
      </c>
      <c r="T5" s="39">
        <f>IFERROR(ISNUMBER(SEARCH("Aplicar",$R5))/(ISNUMBER(SEARCH("Conocer",$R5))+ISNUMBER(SEARCH("Aplicar",$R5))+ISNUMBER(SEARCH("Razonar",$R5))),0)</f>
        <v/>
      </c>
      <c r="U5" s="39">
        <f>IFERROR(ISNUMBER(SEARCH("Razonar",$R5))/(ISNUMBER(SEARCH("Conocer",$R5))+ISNUMBER(SEARCH("Aplicar",$R5))+ISNUMBER(SEARCH("Razonar",$R5))),0)</f>
        <v/>
      </c>
      <c r="V5" s="11" t="inlineStr">
        <is>
          <t>2°</t>
        </is>
      </c>
      <c r="W5" s="11" t="inlineStr">
        <is>
          <t>Ciclo 2°–4°</t>
        </is>
      </c>
      <c r="X5" s="11">
        <f>IF(OR(IFERROR(INDEX('Datos - Catálogo TIMSS'!$I$5:$I$107,MATCH(K5,'Datos - Catálogo TIMSS'!$A$5:$A$107,0)),"No")="Sí",IFERROR(INDEX('Datos - Catálogo TIMSS'!$I$5:$I$107,MATCH(L5,'Datos - Catálogo TIMSS'!$A$5:$A$107,0)),"No")="Sí"),1,0)</f>
        <v/>
      </c>
      <c r="Y5" s="11">
        <f>IF(IFERROR(INDEX('Datos - Catálogo TIMSS'!$J$5:$J$107,MATCH(K5,'Datos - Catálogo TIMSS'!$A$5:$A$107,0)),"No")="Sí",1,0)</f>
        <v/>
      </c>
      <c r="Z5" s="11">
        <f>IF(IFERROR(INDEX('Datos - Catálogo TIMSS'!$J$5:$J$107,MATCH(L5,'Datos - Catálogo TIMSS'!$A$5:$A$107,0)),"No")="Sí",1,0)</f>
        <v/>
      </c>
      <c r="AA5" s="11" t="inlineStr">
        <is>
          <t>FUERA</t>
        </is>
      </c>
      <c r="AB5" s="11" t="inlineStr"/>
      <c r="AC5" s="11">
        <f>IF(AA5="FUERA","Fuera del marco",IF(AA5="N/A","Sin marco",IFERROR(INDEX('Datos - TIMSS 2023'!$C$5:$C$105,MATCH(AA5,'Datos - TIMSS 2023'!$A$5:$A$105,0)),"Pendiente de clasificar")))</f>
        <v/>
      </c>
      <c r="AD5" s="11" t="inlineStr">
        <is>
          <t>2. Construir y evaluar diseños para la indagación científica e interpretar datos y evidencia de forma crítica</t>
        </is>
      </c>
      <c r="AE5" s="11">
        <f>IF(AD5="","",IF(LEFT(AD5,1)="1","C1",IF(LEFT(AD5,1)="2","C2",IF(LEFT(AD5,1)="3","C3",""))))</f>
        <v/>
      </c>
      <c r="AF5" s="11" t="inlineStr">
        <is>
          <t>E1</t>
        </is>
      </c>
      <c r="AG5" s="11" t="inlineStr">
        <is>
          <t>D1</t>
        </is>
      </c>
      <c r="AH5" s="11" t="inlineStr">
        <is>
          <t>E2</t>
        </is>
      </c>
      <c r="AI5" s="11" t="inlineStr">
        <is>
          <t>D2</t>
        </is>
      </c>
      <c r="AJ5" s="11" t="inlineStr">
        <is>
          <t>E3</t>
        </is>
      </c>
      <c r="AK5" s="11" t="n"/>
      <c r="AL5" s="11" t="n"/>
      <c r="AM5" s="11" t="n"/>
      <c r="AN5" s="11" t="n"/>
      <c r="AO5" s="11" t="n"/>
      <c r="AP5" s="11" t="n"/>
      <c r="AQ5" s="11" t="n"/>
      <c r="AR5" s="11" t="n"/>
      <c r="AS5" s="11" t="n"/>
      <c r="AT5" s="11" t="n"/>
      <c r="AU5" s="11" t="n"/>
      <c r="AV5" s="11" t="n"/>
      <c r="AW5" s="11">
        <f>AF5&amp;"; "&amp;AG5&amp;"; "&amp;AH5&amp;"; "&amp;AI5&amp;"; "&amp;AJ5</f>
        <v/>
      </c>
    </row>
    <row r="6">
      <c r="A6" s="11" t="inlineStr">
        <is>
          <t>T0640-G02-CIE</t>
        </is>
      </c>
      <c r="B6" s="11" t="n">
        <v>2</v>
      </c>
      <c r="C6" s="11" t="inlineStr">
        <is>
          <t>Ciencias</t>
        </is>
      </c>
      <c r="D6" s="11" t="inlineStr">
        <is>
          <t>Matriz_Ciencias_2do_Grado_U1_U6_3.xlsx</t>
        </is>
      </c>
      <c r="E6" s="11" t="inlineStr">
        <is>
          <t>Unidad 1 - Materia</t>
        </is>
      </c>
      <c r="F6" s="11" t="n">
        <v>4</v>
      </c>
      <c r="G6" s="11" t="inlineStr">
        <is>
          <t>1. Materia.</t>
        </is>
      </c>
      <c r="H6" s="11" t="inlineStr">
        <is>
          <t>¿Qué es medir?</t>
        </is>
      </c>
      <c r="I6" s="38" t="inlineStr">
        <is>
          <t>1.2. Indagación de los conceptos de medición, magnitudes cuantitativas y cualitativas.</t>
        </is>
      </c>
      <c r="J6" s="11" t="inlineStr">
        <is>
          <t>T4_27</t>
        </is>
      </c>
      <c r="K6" s="11" t="inlineStr">
        <is>
          <t>T4_27-P6.1</t>
        </is>
      </c>
      <c r="L6" s="11" t="inlineStr"/>
      <c r="M6" s="11">
        <f>IF(K6="FUERA","Fuera del marco",IF(K6="N/A","Sin marco",IFERROR(INDEX('Datos - Catálogo TIMSS'!$C$5:$C$107,MATCH(K6,'Datos - Catálogo TIMSS'!$A$5:$A$107,0)),"Pendiente de clasificar")))</f>
        <v/>
      </c>
      <c r="N6" s="11">
        <f>IF(K6="FUERA","Fuera del marco",IF(K6="N/A","Sin marco",IFERROR(INDEX('Datos - Catálogo TIMSS'!$F$5:$F$107,MATCH(K6,'Datos - Catálogo TIMSS'!$A$5:$A$107,0)),"Pendiente de clasificar")))</f>
        <v/>
      </c>
      <c r="O6" s="11">
        <f>IF(L6="","",IFERROR(INDEX('Datos - Catálogo TIMSS'!$C$5:$C$107,MATCH(L6,'Datos - Catálogo TIMSS'!$A$5:$A$107,0)),"?"))</f>
        <v/>
      </c>
      <c r="P6" s="11" t="inlineStr">
        <is>
          <t>baja</t>
        </is>
      </c>
      <c r="Q6" s="38" t="inlineStr">
        <is>
          <t>Concepto de medir y observación cualitativa/cuantitativa; práctica científica general.</t>
        </is>
      </c>
      <c r="R6" s="38" t="inlineStr">
        <is>
          <t>Conocer: describir. Aplicar: comparar</t>
        </is>
      </c>
      <c r="S6" s="39">
        <f>IFERROR(ISNUMBER(SEARCH("Conocer",$R6))/(ISNUMBER(SEARCH("Conocer",$R6))+ISNUMBER(SEARCH("Aplicar",$R6))+ISNUMBER(SEARCH("Razonar",$R6))),0)</f>
        <v/>
      </c>
      <c r="T6" s="39">
        <f>IFERROR(ISNUMBER(SEARCH("Aplicar",$R6))/(ISNUMBER(SEARCH("Conocer",$R6))+ISNUMBER(SEARCH("Aplicar",$R6))+ISNUMBER(SEARCH("Razonar",$R6))),0)</f>
        <v/>
      </c>
      <c r="U6" s="39">
        <f>IFERROR(ISNUMBER(SEARCH("Razonar",$R6))/(ISNUMBER(SEARCH("Conocer",$R6))+ISNUMBER(SEARCH("Aplicar",$R6))+ISNUMBER(SEARCH("Razonar",$R6))),0)</f>
        <v/>
      </c>
      <c r="V6" s="11" t="inlineStr">
        <is>
          <t>2°</t>
        </is>
      </c>
      <c r="W6" s="11" t="inlineStr">
        <is>
          <t>Ciclo 2°–4°</t>
        </is>
      </c>
      <c r="X6" s="11">
        <f>IF(OR(IFERROR(INDEX('Datos - Catálogo TIMSS'!$I$5:$I$107,MATCH(K6,'Datos - Catálogo TIMSS'!$A$5:$A$107,0)),"No")="Sí",IFERROR(INDEX('Datos - Catálogo TIMSS'!$I$5:$I$107,MATCH(L6,'Datos - Catálogo TIMSS'!$A$5:$A$107,0)),"No")="Sí"),1,0)</f>
        <v/>
      </c>
      <c r="Y6" s="11">
        <f>IF(IFERROR(INDEX('Datos - Catálogo TIMSS'!$J$5:$J$107,MATCH(K6,'Datos - Catálogo TIMSS'!$A$5:$A$107,0)),"No")="Sí",1,0)</f>
        <v/>
      </c>
      <c r="Z6" s="11">
        <f>IF(IFERROR(INDEX('Datos - Catálogo TIMSS'!$J$5:$J$107,MATCH(L6,'Datos - Catálogo TIMSS'!$A$5:$A$107,0)),"No")="Sí",1,0)</f>
        <v/>
      </c>
      <c r="AA6" s="11" t="inlineStr">
        <is>
          <t>FUERA</t>
        </is>
      </c>
      <c r="AB6" s="11" t="inlineStr"/>
      <c r="AC6" s="11">
        <f>IF(AA6="FUERA","Fuera del marco",IF(AA6="N/A","Sin marco",IFERROR(INDEX('Datos - TIMSS 2023'!$C$5:$C$105,MATCH(AA6,'Datos - TIMSS 2023'!$A$5:$A$105,0)),"Pendiente de clasificar")))</f>
        <v/>
      </c>
      <c r="AD6" s="11" t="inlineStr">
        <is>
          <t>2. Construir y evaluar diseños para la indagación científica e interpretar datos y evidencia de forma crítica</t>
        </is>
      </c>
      <c r="AE6" s="11">
        <f>IF(AD6="","",IF(LEFT(AD6,1)="1","C1",IF(LEFT(AD6,1)="2","C2",IF(LEFT(AD6,1)="3","C3",""))))</f>
        <v/>
      </c>
      <c r="AF6" s="11" t="inlineStr">
        <is>
          <t>E1</t>
        </is>
      </c>
      <c r="AG6" s="11" t="inlineStr">
        <is>
          <t>D1</t>
        </is>
      </c>
      <c r="AH6" s="11" t="inlineStr">
        <is>
          <t>E2</t>
        </is>
      </c>
      <c r="AI6" s="11" t="inlineStr">
        <is>
          <t>D4</t>
        </is>
      </c>
      <c r="AJ6" s="11" t="inlineStr">
        <is>
          <t>I2</t>
        </is>
      </c>
      <c r="AK6" s="11" t="n"/>
      <c r="AL6" s="11" t="n"/>
      <c r="AM6" s="11" t="n"/>
      <c r="AN6" s="11" t="n"/>
      <c r="AO6" s="11" t="n"/>
      <c r="AP6" s="11" t="n"/>
      <c r="AQ6" s="11" t="n"/>
      <c r="AR6" s="11" t="n"/>
      <c r="AS6" s="11" t="n"/>
      <c r="AT6" s="11" t="n"/>
      <c r="AU6" s="11" t="n"/>
      <c r="AV6" s="11" t="n"/>
      <c r="AW6" s="11">
        <f>AF6&amp;"; "&amp;AG6&amp;"; "&amp;AH6&amp;"; "&amp;AI6&amp;"; "&amp;AJ6</f>
        <v/>
      </c>
    </row>
    <row r="7">
      <c r="A7" s="11" t="inlineStr">
        <is>
          <t>T0641-G02-CIE</t>
        </is>
      </c>
      <c r="B7" s="11" t="n">
        <v>2</v>
      </c>
      <c r="C7" s="11" t="inlineStr">
        <is>
          <t>Ciencias</t>
        </is>
      </c>
      <c r="D7" s="11" t="inlineStr">
        <is>
          <t>Matriz_Ciencias_2do_Grado_U1_U6_3.xlsx</t>
        </is>
      </c>
      <c r="E7" s="11" t="inlineStr">
        <is>
          <t>Unidad 1 - Materia</t>
        </is>
      </c>
      <c r="F7" s="11" t="n">
        <v>5</v>
      </c>
      <c r="G7" s="11" t="inlineStr">
        <is>
          <t>1. Materia.</t>
        </is>
      </c>
      <c r="H7" s="11" t="inlineStr">
        <is>
          <t>La materia y sus propiedades.</t>
        </is>
      </c>
      <c r="I7" s="38" t="inlineStr">
        <is>
          <t>1.3. Organización de materiales del entorno por sus propiedades físicas y procedencia.</t>
        </is>
      </c>
      <c r="J7" s="11" t="inlineStr">
        <is>
          <t>T4_27</t>
        </is>
      </c>
      <c r="K7" s="11" t="inlineStr">
        <is>
          <t>T4_27-P1.2</t>
        </is>
      </c>
      <c r="L7" s="11" t="inlineStr"/>
      <c r="M7" s="11">
        <f>IF(K7="FUERA","Fuera del marco",IF(K7="N/A","Sin marco",IFERROR(INDEX('Datos - Catálogo TIMSS'!$C$5:$C$107,MATCH(K7,'Datos - Catálogo TIMSS'!$A$5:$A$107,0)),"Pendiente de clasificar")))</f>
        <v/>
      </c>
      <c r="N7" s="11">
        <f>IF(K7="FUERA","Fuera del marco",IF(K7="N/A","Sin marco",IFERROR(INDEX('Datos - Catálogo TIMSS'!$F$5:$F$107,MATCH(K7,'Datos - Catálogo TIMSS'!$A$5:$A$107,0)),"Pendiente de clasificar")))</f>
        <v/>
      </c>
      <c r="O7" s="11">
        <f>IF(L7="","",IFERROR(INDEX('Datos - Catálogo TIMSS'!$C$5:$C$107,MATCH(L7,'Datos - Catálogo TIMSS'!$A$5:$A$107,0)),"?"))</f>
        <v/>
      </c>
      <c r="P7" s="11" t="inlineStr">
        <is>
          <t>alta</t>
        </is>
      </c>
      <c r="Q7" s="38" t="inlineStr">
        <is>
          <t>Agrupa materiales según propiedades físicas observables.</t>
        </is>
      </c>
      <c r="R7" s="38" t="inlineStr">
        <is>
          <t>Aplicar: clasificar</t>
        </is>
      </c>
      <c r="S7" s="39">
        <f>IFERROR(ISNUMBER(SEARCH("Conocer",$R7))/(ISNUMBER(SEARCH("Conocer",$R7))+ISNUMBER(SEARCH("Aplicar",$R7))+ISNUMBER(SEARCH("Razonar",$R7))),0)</f>
        <v/>
      </c>
      <c r="T7" s="39">
        <f>IFERROR(ISNUMBER(SEARCH("Aplicar",$R7))/(ISNUMBER(SEARCH("Conocer",$R7))+ISNUMBER(SEARCH("Aplicar",$R7))+ISNUMBER(SEARCH("Razonar",$R7))),0)</f>
        <v/>
      </c>
      <c r="U7" s="39">
        <f>IFERROR(ISNUMBER(SEARCH("Razonar",$R7))/(ISNUMBER(SEARCH("Conocer",$R7))+ISNUMBER(SEARCH("Aplicar",$R7))+ISNUMBER(SEARCH("Razonar",$R7))),0)</f>
        <v/>
      </c>
      <c r="V7" s="11" t="inlineStr">
        <is>
          <t>2°</t>
        </is>
      </c>
      <c r="W7" s="11" t="inlineStr">
        <is>
          <t>Ciclo 2°–4°</t>
        </is>
      </c>
      <c r="X7" s="11">
        <f>IF(OR(IFERROR(INDEX('Datos - Catálogo TIMSS'!$I$5:$I$107,MATCH(K7,'Datos - Catálogo TIMSS'!$A$5:$A$107,0)),"No")="Sí",IFERROR(INDEX('Datos - Catálogo TIMSS'!$I$5:$I$107,MATCH(L7,'Datos - Catálogo TIMSS'!$A$5:$A$107,0)),"No")="Sí"),1,0)</f>
        <v/>
      </c>
      <c r="Y7" s="11">
        <f>IF(IFERROR(INDEX('Datos - Catálogo TIMSS'!$J$5:$J$107,MATCH(K7,'Datos - Catálogo TIMSS'!$A$5:$A$107,0)),"No")="Sí",1,0)</f>
        <v/>
      </c>
      <c r="Z7" s="11">
        <f>IF(IFERROR(INDEX('Datos - Catálogo TIMSS'!$J$5:$J$107,MATCH(L7,'Datos - Catálogo TIMSS'!$A$5:$A$107,0)),"No")="Sí",1,0)</f>
        <v/>
      </c>
      <c r="AA7" s="11" t="inlineStr">
        <is>
          <t>T4-F1.2</t>
        </is>
      </c>
      <c r="AB7" s="11" t="inlineStr"/>
      <c r="AC7" s="11">
        <f>IF(AA7="FUERA","Fuera del marco",IF(AA7="N/A","Sin marco",IFERROR(INDEX('Datos - TIMSS 2023'!$C$5:$C$105,MATCH(AA7,'Datos - TIMSS 2023'!$A$5:$A$105,0)),"Pendiente de clasificar")))</f>
        <v/>
      </c>
      <c r="AD7" s="11" t="inlineStr">
        <is>
          <t>2. Construir y evaluar diseños para la indagación científica e interpretar datos y evidencia de forma crítica</t>
        </is>
      </c>
      <c r="AE7" s="11">
        <f>IF(AD7="","",IF(LEFT(AD7,1)="1","C1",IF(LEFT(AD7,1)="2","C2",IF(LEFT(AD7,1)="3","C3",""))))</f>
        <v/>
      </c>
      <c r="AF7" s="11" t="inlineStr">
        <is>
          <t>E1</t>
        </is>
      </c>
      <c r="AG7" s="11" t="inlineStr">
        <is>
          <t>D1</t>
        </is>
      </c>
      <c r="AH7" s="11" t="inlineStr">
        <is>
          <t>E2</t>
        </is>
      </c>
      <c r="AI7" s="11" t="inlineStr">
        <is>
          <t>D4</t>
        </is>
      </c>
      <c r="AJ7" s="11" t="inlineStr">
        <is>
          <t>E1</t>
        </is>
      </c>
      <c r="AK7" s="11" t="n"/>
      <c r="AL7" s="11" t="n"/>
      <c r="AM7" s="11" t="n"/>
      <c r="AN7" s="11" t="n"/>
      <c r="AO7" s="11" t="n"/>
      <c r="AP7" s="11" t="n"/>
      <c r="AQ7" s="11" t="n"/>
      <c r="AR7" s="11" t="n"/>
      <c r="AS7" s="11" t="n"/>
      <c r="AT7" s="11" t="n"/>
      <c r="AU7" s="11" t="n"/>
      <c r="AV7" s="11" t="n"/>
      <c r="AW7" s="11">
        <f>AF7&amp;"; "&amp;AG7&amp;"; "&amp;AH7&amp;"; "&amp;AI7&amp;"; "&amp;AJ7</f>
        <v/>
      </c>
    </row>
    <row r="8">
      <c r="A8" s="11" t="inlineStr">
        <is>
          <t>T0642-G02-CIE</t>
        </is>
      </c>
      <c r="B8" s="11" t="n">
        <v>2</v>
      </c>
      <c r="C8" s="11" t="inlineStr">
        <is>
          <t>Ciencias</t>
        </is>
      </c>
      <c r="D8" s="11" t="inlineStr">
        <is>
          <t>Matriz_Ciencias_2do_Grado_U1_U6_3.xlsx</t>
        </is>
      </c>
      <c r="E8" s="11" t="inlineStr">
        <is>
          <t>Unidad 1 - Materia</t>
        </is>
      </c>
      <c r="F8" s="11" t="n">
        <v>6</v>
      </c>
      <c r="G8" s="11" t="inlineStr">
        <is>
          <t>1. Materia.</t>
        </is>
      </c>
      <c r="H8" s="11" t="inlineStr">
        <is>
          <t>La materia y sus propiedades.</t>
        </is>
      </c>
      <c r="I8" s="38" t="inlineStr">
        <is>
          <t>1.4. Manipulación de materiales del entorno para identificar sus propiedades físicas.</t>
        </is>
      </c>
      <c r="J8" s="11" t="inlineStr">
        <is>
          <t>T4_27</t>
        </is>
      </c>
      <c r="K8" s="11" t="inlineStr">
        <is>
          <t>T4_27-P1.2</t>
        </is>
      </c>
      <c r="L8" s="11" t="inlineStr"/>
      <c r="M8" s="11">
        <f>IF(K8="FUERA","Fuera del marco",IF(K8="N/A","Sin marco",IFERROR(INDEX('Datos - Catálogo TIMSS'!$C$5:$C$107,MATCH(K8,'Datos - Catálogo TIMSS'!$A$5:$A$107,0)),"Pendiente de clasificar")))</f>
        <v/>
      </c>
      <c r="N8" s="11">
        <f>IF(K8="FUERA","Fuera del marco",IF(K8="N/A","Sin marco",IFERROR(INDEX('Datos - Catálogo TIMSS'!$F$5:$F$107,MATCH(K8,'Datos - Catálogo TIMSS'!$A$5:$A$107,0)),"Pendiente de clasificar")))</f>
        <v/>
      </c>
      <c r="O8" s="11">
        <f>IF(L8="","",IFERROR(INDEX('Datos - Catálogo TIMSS'!$C$5:$C$107,MATCH(L8,'Datos - Catálogo TIMSS'!$A$5:$A$107,0)),"?"))</f>
        <v/>
      </c>
      <c r="P8" s="11" t="inlineStr">
        <is>
          <t>alta</t>
        </is>
      </c>
      <c r="Q8" s="38" t="inlineStr">
        <is>
          <t>Pruebas sencillas de propiedades: flexibilidad, dureza, magnetismo, transparencia.</t>
        </is>
      </c>
      <c r="R8" s="38" t="inlineStr">
        <is>
          <t>Conocer: identificar. Aplicar: comparar</t>
        </is>
      </c>
      <c r="S8" s="39">
        <f>IFERROR(ISNUMBER(SEARCH("Conocer",$R8))/(ISNUMBER(SEARCH("Conocer",$R8))+ISNUMBER(SEARCH("Aplicar",$R8))+ISNUMBER(SEARCH("Razonar",$R8))),0)</f>
        <v/>
      </c>
      <c r="T8" s="39">
        <f>IFERROR(ISNUMBER(SEARCH("Aplicar",$R8))/(ISNUMBER(SEARCH("Conocer",$R8))+ISNUMBER(SEARCH("Aplicar",$R8))+ISNUMBER(SEARCH("Razonar",$R8))),0)</f>
        <v/>
      </c>
      <c r="U8" s="39">
        <f>IFERROR(ISNUMBER(SEARCH("Razonar",$R8))/(ISNUMBER(SEARCH("Conocer",$R8))+ISNUMBER(SEARCH("Aplicar",$R8))+ISNUMBER(SEARCH("Razonar",$R8))),0)</f>
        <v/>
      </c>
      <c r="V8" s="11" t="inlineStr">
        <is>
          <t>2°</t>
        </is>
      </c>
      <c r="W8" s="11" t="inlineStr">
        <is>
          <t>Ciclo 2°–4°</t>
        </is>
      </c>
      <c r="X8" s="11">
        <f>IF(OR(IFERROR(INDEX('Datos - Catálogo TIMSS'!$I$5:$I$107,MATCH(K8,'Datos - Catálogo TIMSS'!$A$5:$A$107,0)),"No")="Sí",IFERROR(INDEX('Datos - Catálogo TIMSS'!$I$5:$I$107,MATCH(L8,'Datos - Catálogo TIMSS'!$A$5:$A$107,0)),"No")="Sí"),1,0)</f>
        <v/>
      </c>
      <c r="Y8" s="11">
        <f>IF(IFERROR(INDEX('Datos - Catálogo TIMSS'!$J$5:$J$107,MATCH(K8,'Datos - Catálogo TIMSS'!$A$5:$A$107,0)),"No")="Sí",1,0)</f>
        <v/>
      </c>
      <c r="Z8" s="11">
        <f>IF(IFERROR(INDEX('Datos - Catálogo TIMSS'!$J$5:$J$107,MATCH(L8,'Datos - Catálogo TIMSS'!$A$5:$A$107,0)),"No")="Sí",1,0)</f>
        <v/>
      </c>
      <c r="AA8" s="11" t="inlineStr">
        <is>
          <t>T4-F1.2</t>
        </is>
      </c>
      <c r="AB8" s="11" t="inlineStr"/>
      <c r="AC8" s="11">
        <f>IF(AA8="FUERA","Fuera del marco",IF(AA8="N/A","Sin marco",IFERROR(INDEX('Datos - TIMSS 2023'!$C$5:$C$105,MATCH(AA8,'Datos - TIMSS 2023'!$A$5:$A$105,0)),"Pendiente de clasificar")))</f>
        <v/>
      </c>
      <c r="AD8" s="11" t="inlineStr">
        <is>
          <t>2. Construir y evaluar diseños para la indagación científica e interpretar datos y evidencia de forma crítica</t>
        </is>
      </c>
      <c r="AE8" s="11">
        <f>IF(AD8="","",IF(LEFT(AD8,1)="1","C1",IF(LEFT(AD8,1)="2","C2",IF(LEFT(AD8,1)="3","C3",""))))</f>
        <v/>
      </c>
      <c r="AF8" s="11" t="inlineStr">
        <is>
          <t>E1</t>
        </is>
      </c>
      <c r="AG8" s="11" t="inlineStr">
        <is>
          <t>E5</t>
        </is>
      </c>
      <c r="AH8" s="11" t="inlineStr">
        <is>
          <t>E1</t>
        </is>
      </c>
      <c r="AI8" s="11" t="inlineStr">
        <is>
          <t>D2</t>
        </is>
      </c>
      <c r="AJ8" s="11" t="inlineStr">
        <is>
          <t>E3</t>
        </is>
      </c>
      <c r="AK8" s="11" t="n"/>
      <c r="AL8" s="11" t="n"/>
      <c r="AM8" s="11" t="n"/>
      <c r="AN8" s="11" t="n"/>
      <c r="AO8" s="11" t="n"/>
      <c r="AP8" s="11" t="n"/>
      <c r="AQ8" s="11" t="n"/>
      <c r="AR8" s="11" t="n"/>
      <c r="AS8" s="11" t="n"/>
      <c r="AT8" s="11" t="n"/>
      <c r="AU8" s="11" t="n"/>
      <c r="AV8" s="11" t="n"/>
      <c r="AW8" s="11">
        <f>AF8&amp;"; "&amp;AG8&amp;"; "&amp;AH8&amp;"; "&amp;AI8&amp;"; "&amp;AJ8</f>
        <v/>
      </c>
    </row>
    <row r="9">
      <c r="A9" s="11" t="inlineStr">
        <is>
          <t>T0643-G02-CIE</t>
        </is>
      </c>
      <c r="B9" s="11" t="n">
        <v>2</v>
      </c>
      <c r="C9" s="11" t="inlineStr">
        <is>
          <t>Ciencias</t>
        </is>
      </c>
      <c r="D9" s="11" t="inlineStr">
        <is>
          <t>Matriz_Ciencias_2do_Grado_U1_U6_3.xlsx</t>
        </is>
      </c>
      <c r="E9" s="11" t="inlineStr">
        <is>
          <t>Unidad 1 - Materia</t>
        </is>
      </c>
      <c r="F9" s="11" t="n">
        <v>7</v>
      </c>
      <c r="G9" s="11" t="inlineStr">
        <is>
          <t>1. Materia.</t>
        </is>
      </c>
      <c r="H9" s="11" t="inlineStr">
        <is>
          <t>La materia y sus propiedades.</t>
        </is>
      </c>
      <c r="I9" s="38" t="inlineStr">
        <is>
          <t>1.5. Relación entre las propiedades físicas y la utilidad de los materiales.</t>
        </is>
      </c>
      <c r="J9" s="11" t="inlineStr">
        <is>
          <t>T4_27</t>
        </is>
      </c>
      <c r="K9" s="11" t="inlineStr">
        <is>
          <t>T4_27-P1.2</t>
        </is>
      </c>
      <c r="L9" s="11" t="inlineStr"/>
      <c r="M9" s="11">
        <f>IF(K9="FUERA","Fuera del marco",IF(K9="N/A","Sin marco",IFERROR(INDEX('Datos - Catálogo TIMSS'!$C$5:$C$107,MATCH(K9,'Datos - Catálogo TIMSS'!$A$5:$A$107,0)),"Pendiente de clasificar")))</f>
        <v/>
      </c>
      <c r="N9" s="11">
        <f>IF(K9="FUERA","Fuera del marco",IF(K9="N/A","Sin marco",IFERROR(INDEX('Datos - Catálogo TIMSS'!$F$5:$F$107,MATCH(K9,'Datos - Catálogo TIMSS'!$A$5:$A$107,0)),"Pendiente de clasificar")))</f>
        <v/>
      </c>
      <c r="O9" s="11">
        <f>IF(L9="","",IFERROR(INDEX('Datos - Catálogo TIMSS'!$C$5:$C$107,MATCH(L9,'Datos - Catálogo TIMSS'!$A$5:$A$107,0)),"?"))</f>
        <v/>
      </c>
      <c r="P9" s="11" t="inlineStr">
        <is>
          <t>alta</t>
        </is>
      </c>
      <c r="Q9" s="38" t="inlineStr">
        <is>
          <t>Relaciona propiedades de materiales con sus usos.</t>
        </is>
      </c>
      <c r="R9" s="38" t="inlineStr">
        <is>
          <t>Aplicar: relacionar. Razonar: justificar con sus palabras</t>
        </is>
      </c>
      <c r="S9" s="39">
        <f>IFERROR(ISNUMBER(SEARCH("Conocer",$R9))/(ISNUMBER(SEARCH("Conocer",$R9))+ISNUMBER(SEARCH("Aplicar",$R9))+ISNUMBER(SEARCH("Razonar",$R9))),0)</f>
        <v/>
      </c>
      <c r="T9" s="39">
        <f>IFERROR(ISNUMBER(SEARCH("Aplicar",$R9))/(ISNUMBER(SEARCH("Conocer",$R9))+ISNUMBER(SEARCH("Aplicar",$R9))+ISNUMBER(SEARCH("Razonar",$R9))),0)</f>
        <v/>
      </c>
      <c r="U9" s="39">
        <f>IFERROR(ISNUMBER(SEARCH("Razonar",$R9))/(ISNUMBER(SEARCH("Conocer",$R9))+ISNUMBER(SEARCH("Aplicar",$R9))+ISNUMBER(SEARCH("Razonar",$R9))),0)</f>
        <v/>
      </c>
      <c r="V9" s="11" t="inlineStr">
        <is>
          <t>2°</t>
        </is>
      </c>
      <c r="W9" s="11" t="inlineStr">
        <is>
          <t>Ciclo 2°–4°</t>
        </is>
      </c>
      <c r="X9" s="11">
        <f>IF(OR(IFERROR(INDEX('Datos - Catálogo TIMSS'!$I$5:$I$107,MATCH(K9,'Datos - Catálogo TIMSS'!$A$5:$A$107,0)),"No")="Sí",IFERROR(INDEX('Datos - Catálogo TIMSS'!$I$5:$I$107,MATCH(L9,'Datos - Catálogo TIMSS'!$A$5:$A$107,0)),"No")="Sí"),1,0)</f>
        <v/>
      </c>
      <c r="Y9" s="11">
        <f>IF(IFERROR(INDEX('Datos - Catálogo TIMSS'!$J$5:$J$107,MATCH(K9,'Datos - Catálogo TIMSS'!$A$5:$A$107,0)),"No")="Sí",1,0)</f>
        <v/>
      </c>
      <c r="Z9" s="11">
        <f>IF(IFERROR(INDEX('Datos - Catálogo TIMSS'!$J$5:$J$107,MATCH(L9,'Datos - Catálogo TIMSS'!$A$5:$A$107,0)),"No")="Sí",1,0)</f>
        <v/>
      </c>
      <c r="AA9" s="11" t="inlineStr">
        <is>
          <t>T4-F1.2</t>
        </is>
      </c>
      <c r="AB9" s="11" t="inlineStr"/>
      <c r="AC9" s="11">
        <f>IF(AA9="FUERA","Fuera del marco",IF(AA9="N/A","Sin marco",IFERROR(INDEX('Datos - TIMSS 2023'!$C$5:$C$105,MATCH(AA9,'Datos - TIMSS 2023'!$A$5:$A$105,0)),"Pendiente de clasificar")))</f>
        <v/>
      </c>
      <c r="AD9" s="11" t="inlineStr">
        <is>
          <t>1. Explicar fenómenos científicamente</t>
        </is>
      </c>
      <c r="AE9" s="11">
        <f>IF(AD9="","",IF(LEFT(AD9,1)="1","C1",IF(LEFT(AD9,1)="2","C2",IF(LEFT(AD9,1)="3","C3",""))))</f>
        <v/>
      </c>
      <c r="AF9" s="11" t="inlineStr">
        <is>
          <t>E1</t>
        </is>
      </c>
      <c r="AG9" s="11" t="inlineStr">
        <is>
          <t>E5</t>
        </is>
      </c>
      <c r="AH9" s="11" t="inlineStr">
        <is>
          <t>E1</t>
        </is>
      </c>
      <c r="AI9" s="11" t="inlineStr">
        <is>
          <t>D2</t>
        </is>
      </c>
      <c r="AJ9" s="11" t="inlineStr">
        <is>
          <t>I5</t>
        </is>
      </c>
      <c r="AK9" s="11" t="n"/>
      <c r="AL9" s="11" t="n"/>
      <c r="AM9" s="11" t="n"/>
      <c r="AN9" s="11" t="n"/>
      <c r="AO9" s="11" t="n"/>
      <c r="AP9" s="11" t="n"/>
      <c r="AQ9" s="11" t="n"/>
      <c r="AR9" s="11" t="n"/>
      <c r="AS9" s="11" t="n"/>
      <c r="AT9" s="11" t="n"/>
      <c r="AU9" s="11" t="n"/>
      <c r="AV9" s="11" t="n"/>
      <c r="AW9" s="11">
        <f>AF9&amp;"; "&amp;AG9&amp;"; "&amp;AH9&amp;"; "&amp;AI9&amp;"; "&amp;AJ9</f>
        <v/>
      </c>
    </row>
    <row r="10">
      <c r="A10" s="11" t="inlineStr">
        <is>
          <t>T0644-G02-CIE</t>
        </is>
      </c>
      <c r="B10" s="11" t="n">
        <v>2</v>
      </c>
      <c r="C10" s="11" t="inlineStr">
        <is>
          <t>Ciencias</t>
        </is>
      </c>
      <c r="D10" s="11" t="inlineStr">
        <is>
          <t>Matriz_Ciencias_2do_Grado_U1_U6_3.xlsx</t>
        </is>
      </c>
      <c r="E10" s="11" t="inlineStr">
        <is>
          <t>Unidad 1 - Materia</t>
        </is>
      </c>
      <c r="F10" s="11" t="n">
        <v>8</v>
      </c>
      <c r="G10" s="11" t="inlineStr">
        <is>
          <t>1. Materia.</t>
        </is>
      </c>
      <c r="H10" s="11" t="inlineStr">
        <is>
          <t>Transformaciones de la materia.</t>
        </is>
      </c>
      <c r="I10" s="38" t="inlineStr">
        <is>
          <t>1.6. Reconocimiento de las propiedades químicas de la materia.</t>
        </is>
      </c>
      <c r="J10" s="11" t="inlineStr">
        <is>
          <t>T4_27</t>
        </is>
      </c>
      <c r="K10" s="11" t="inlineStr">
        <is>
          <t>T4_27-P1.3</t>
        </is>
      </c>
      <c r="L10" s="11" t="inlineStr"/>
      <c r="M10" s="11">
        <f>IF(K10="FUERA","Fuera del marco",IF(K10="N/A","Sin marco",IFERROR(INDEX('Datos - Catálogo TIMSS'!$C$5:$C$107,MATCH(K10,'Datos - Catálogo TIMSS'!$A$5:$A$107,0)),"Pendiente de clasificar")))</f>
        <v/>
      </c>
      <c r="N10" s="11">
        <f>IF(K10="FUERA","Fuera del marco",IF(K10="N/A","Sin marco",IFERROR(INDEX('Datos - Catálogo TIMSS'!$F$5:$F$107,MATCH(K10,'Datos - Catálogo TIMSS'!$A$5:$A$107,0)),"Pendiente de clasificar")))</f>
        <v/>
      </c>
      <c r="O10" s="11">
        <f>IF(L10="","",IFERROR(INDEX('Datos - Catálogo TIMSS'!$C$5:$C$107,MATCH(L10,'Datos - Catálogo TIMSS'!$A$5:$A$107,0)),"?"))</f>
        <v/>
      </c>
      <c r="P10" s="11" t="inlineStr">
        <is>
          <t>alta</t>
        </is>
      </c>
      <c r="Q10" s="38" t="inlineStr">
        <is>
          <t>Cambios que producen materiales nuevos: tostado, oxidación, combustión.</t>
        </is>
      </c>
      <c r="R10" s="38" t="inlineStr">
        <is>
          <t>Conocer: reconocer y dar ejemplos</t>
        </is>
      </c>
      <c r="S10" s="39">
        <f>IFERROR(ISNUMBER(SEARCH("Conocer",$R10))/(ISNUMBER(SEARCH("Conocer",$R10))+ISNUMBER(SEARCH("Aplicar",$R10))+ISNUMBER(SEARCH("Razonar",$R10))),0)</f>
        <v/>
      </c>
      <c r="T10" s="39">
        <f>IFERROR(ISNUMBER(SEARCH("Aplicar",$R10))/(ISNUMBER(SEARCH("Conocer",$R10))+ISNUMBER(SEARCH("Aplicar",$R10))+ISNUMBER(SEARCH("Razonar",$R10))),0)</f>
        <v/>
      </c>
      <c r="U10" s="39">
        <f>IFERROR(ISNUMBER(SEARCH("Razonar",$R10))/(ISNUMBER(SEARCH("Conocer",$R10))+ISNUMBER(SEARCH("Aplicar",$R10))+ISNUMBER(SEARCH("Razonar",$R10))),0)</f>
        <v/>
      </c>
      <c r="V10" s="11" t="inlineStr">
        <is>
          <t>2°</t>
        </is>
      </c>
      <c r="W10" s="11" t="inlineStr">
        <is>
          <t>Ciclo 2°–4°</t>
        </is>
      </c>
      <c r="X10" s="11">
        <f>IF(OR(IFERROR(INDEX('Datos - Catálogo TIMSS'!$I$5:$I$107,MATCH(K10,'Datos - Catálogo TIMSS'!$A$5:$A$107,0)),"No")="Sí",IFERROR(INDEX('Datos - Catálogo TIMSS'!$I$5:$I$107,MATCH(L10,'Datos - Catálogo TIMSS'!$A$5:$A$107,0)),"No")="Sí"),1,0)</f>
        <v/>
      </c>
      <c r="Y10" s="11">
        <f>IF(IFERROR(INDEX('Datos - Catálogo TIMSS'!$J$5:$J$107,MATCH(K10,'Datos - Catálogo TIMSS'!$A$5:$A$107,0)),"No")="Sí",1,0)</f>
        <v/>
      </c>
      <c r="Z10" s="11">
        <f>IF(IFERROR(INDEX('Datos - Catálogo TIMSS'!$J$5:$J$107,MATCH(L10,'Datos - Catálogo TIMSS'!$A$5:$A$107,0)),"No")="Sí",1,0)</f>
        <v/>
      </c>
      <c r="AA10" s="11" t="inlineStr">
        <is>
          <t>T4-F1.5</t>
        </is>
      </c>
      <c r="AB10" s="11" t="inlineStr"/>
      <c r="AC10" s="11">
        <f>IF(AA10="FUERA","Fuera del marco",IF(AA10="N/A","Sin marco",IFERROR(INDEX('Datos - TIMSS 2023'!$C$5:$C$105,MATCH(AA10,'Datos - TIMSS 2023'!$A$5:$A$105,0)),"Pendiente de clasificar")))</f>
        <v/>
      </c>
      <c r="AD10" s="11" t="inlineStr">
        <is>
          <t>1. Explicar fenómenos científicamente</t>
        </is>
      </c>
      <c r="AE10" s="11">
        <f>IF(AD10="","",IF(LEFT(AD10,1)="1","C1",IF(LEFT(AD10,1)="2","C2",IF(LEFT(AD10,1)="3","C3",""))))</f>
        <v/>
      </c>
      <c r="AF10" s="11" t="inlineStr">
        <is>
          <t>E1</t>
        </is>
      </c>
      <c r="AG10" s="11" t="inlineStr">
        <is>
          <t>D1</t>
        </is>
      </c>
      <c r="AH10" s="11" t="inlineStr">
        <is>
          <t>E2</t>
        </is>
      </c>
      <c r="AI10" s="11" t="inlineStr">
        <is>
          <t>D4</t>
        </is>
      </c>
      <c r="AJ10" s="11" t="inlineStr">
        <is>
          <t>E6</t>
        </is>
      </c>
      <c r="AK10" s="11" t="n"/>
      <c r="AL10" s="11" t="n"/>
      <c r="AM10" s="11" t="n"/>
      <c r="AN10" s="11" t="n"/>
      <c r="AO10" s="11" t="n"/>
      <c r="AP10" s="11" t="n"/>
      <c r="AQ10" s="11" t="n"/>
      <c r="AR10" s="11" t="n"/>
      <c r="AS10" s="11" t="n"/>
      <c r="AT10" s="11" t="n"/>
      <c r="AU10" s="11" t="n"/>
      <c r="AV10" s="11" t="n"/>
      <c r="AW10" s="11">
        <f>AF10&amp;"; "&amp;AG10&amp;"; "&amp;AH10&amp;"; "&amp;AI10&amp;"; "&amp;AJ10</f>
        <v/>
      </c>
    </row>
    <row r="11">
      <c r="A11" s="11" t="inlineStr">
        <is>
          <t>T0645-G02-CIE</t>
        </is>
      </c>
      <c r="B11" s="11" t="n">
        <v>2</v>
      </c>
      <c r="C11" s="11" t="inlineStr">
        <is>
          <t>Ciencias</t>
        </is>
      </c>
      <c r="D11" s="11" t="inlineStr">
        <is>
          <t>Matriz_Ciencias_2do_Grado_U1_U6_3.xlsx</t>
        </is>
      </c>
      <c r="E11" s="11" t="inlineStr">
        <is>
          <t>Unidad 1 - Materia</t>
        </is>
      </c>
      <c r="F11" s="11" t="n">
        <v>9</v>
      </c>
      <c r="G11" s="11" t="inlineStr">
        <is>
          <t>1. Materia.</t>
        </is>
      </c>
      <c r="H11" s="11" t="inlineStr">
        <is>
          <t>Transformaciones de la materia.</t>
        </is>
      </c>
      <c r="I11" s="38" t="inlineStr">
        <is>
          <t>1.7. Experimentación con las propiedades químicas de la materia.</t>
        </is>
      </c>
      <c r="J11" s="11" t="inlineStr">
        <is>
          <t>T4_27</t>
        </is>
      </c>
      <c r="K11" s="11" t="inlineStr">
        <is>
          <t>T4_27-P1.3</t>
        </is>
      </c>
      <c r="L11" s="11" t="inlineStr">
        <is>
          <t>T4_27-P6.1</t>
        </is>
      </c>
      <c r="M11" s="11">
        <f>IF(K11="FUERA","Fuera del marco",IF(K11="N/A","Sin marco",IFERROR(INDEX('Datos - Catálogo TIMSS'!$C$5:$C$107,MATCH(K11,'Datos - Catálogo TIMSS'!$A$5:$A$107,0)),"Pendiente de clasificar")))</f>
        <v/>
      </c>
      <c r="N11" s="11">
        <f>IF(K11="FUERA","Fuera del marco",IF(K11="N/A","Sin marco",IFERROR(INDEX('Datos - Catálogo TIMSS'!$F$5:$F$107,MATCH(K11,'Datos - Catálogo TIMSS'!$A$5:$A$107,0)),"Pendiente de clasificar")))</f>
        <v/>
      </c>
      <c r="O11" s="11">
        <f>IF(L11="","",IFERROR(INDEX('Datos - Catálogo TIMSS'!$C$5:$C$107,MATCH(L11,'Datos - Catálogo TIMSS'!$A$5:$A$107,0)),"?"))</f>
        <v/>
      </c>
      <c r="P11" s="11" t="inlineStr">
        <is>
          <t>alta</t>
        </is>
      </c>
      <c r="Q11" s="38" t="inlineStr">
        <is>
          <t>Reacción bicarbonato-vinagre como cambio químico; predicción y registro antes-después.</t>
        </is>
      </c>
      <c r="R11" s="38" t="inlineStr">
        <is>
          <t>Razonar: predecir y extraer conclusiones sencillas</t>
        </is>
      </c>
      <c r="S11" s="39">
        <f>IFERROR(ISNUMBER(SEARCH("Conocer",$R11))/(ISNUMBER(SEARCH("Conocer",$R11))+ISNUMBER(SEARCH("Aplicar",$R11))+ISNUMBER(SEARCH("Razonar",$R11))),0)</f>
        <v/>
      </c>
      <c r="T11" s="39">
        <f>IFERROR(ISNUMBER(SEARCH("Aplicar",$R11))/(ISNUMBER(SEARCH("Conocer",$R11))+ISNUMBER(SEARCH("Aplicar",$R11))+ISNUMBER(SEARCH("Razonar",$R11))),0)</f>
        <v/>
      </c>
      <c r="U11" s="39">
        <f>IFERROR(ISNUMBER(SEARCH("Razonar",$R11))/(ISNUMBER(SEARCH("Conocer",$R11))+ISNUMBER(SEARCH("Aplicar",$R11))+ISNUMBER(SEARCH("Razonar",$R11))),0)</f>
        <v/>
      </c>
      <c r="V11" s="11" t="inlineStr">
        <is>
          <t>2°</t>
        </is>
      </c>
      <c r="W11" s="11" t="inlineStr">
        <is>
          <t>Ciclo 2°–4°</t>
        </is>
      </c>
      <c r="X11" s="11">
        <f>IF(OR(IFERROR(INDEX('Datos - Catálogo TIMSS'!$I$5:$I$107,MATCH(K11,'Datos - Catálogo TIMSS'!$A$5:$A$107,0)),"No")="Sí",IFERROR(INDEX('Datos - Catálogo TIMSS'!$I$5:$I$107,MATCH(L11,'Datos - Catálogo TIMSS'!$A$5:$A$107,0)),"No")="Sí"),1,0)</f>
        <v/>
      </c>
      <c r="Y11" s="11">
        <f>IF(IFERROR(INDEX('Datos - Catálogo TIMSS'!$J$5:$J$107,MATCH(K11,'Datos - Catálogo TIMSS'!$A$5:$A$107,0)),"No")="Sí",1,0)</f>
        <v/>
      </c>
      <c r="Z11" s="11">
        <f>IF(IFERROR(INDEX('Datos - Catálogo TIMSS'!$J$5:$J$107,MATCH(L11,'Datos - Catálogo TIMSS'!$A$5:$A$107,0)),"No")="Sí",1,0)</f>
        <v/>
      </c>
      <c r="AA11" s="11" t="inlineStr">
        <is>
          <t>T4-F1.5</t>
        </is>
      </c>
      <c r="AB11" s="11" t="inlineStr"/>
      <c r="AC11" s="11">
        <f>IF(AA11="FUERA","Fuera del marco",IF(AA11="N/A","Sin marco",IFERROR(INDEX('Datos - TIMSS 2023'!$C$5:$C$105,MATCH(AA11,'Datos - TIMSS 2023'!$A$5:$A$105,0)),"Pendiente de clasificar")))</f>
        <v/>
      </c>
      <c r="AD11" s="11" t="inlineStr">
        <is>
          <t>2. Construir y evaluar diseños para la indagación científica e interpretar datos y evidencia de forma crítica</t>
        </is>
      </c>
      <c r="AE11" s="11">
        <f>IF(AD11="","",IF(LEFT(AD11,1)="1","C1",IF(LEFT(AD11,1)="2","C2",IF(LEFT(AD11,1)="3","C3",""))))</f>
        <v/>
      </c>
      <c r="AF11" s="11" t="inlineStr">
        <is>
          <t>E1</t>
        </is>
      </c>
      <c r="AG11" s="11" t="inlineStr">
        <is>
          <t>E3</t>
        </is>
      </c>
      <c r="AH11" s="11" t="inlineStr">
        <is>
          <t>E1</t>
        </is>
      </c>
      <c r="AI11" s="11" t="inlineStr">
        <is>
          <t>D4</t>
        </is>
      </c>
      <c r="AJ11" s="11" t="inlineStr">
        <is>
          <t>D3</t>
        </is>
      </c>
      <c r="AK11" s="11" t="n"/>
      <c r="AL11" s="11" t="n"/>
      <c r="AM11" s="11" t="n"/>
      <c r="AN11" s="11" t="n"/>
      <c r="AO11" s="11" t="n"/>
      <c r="AP11" s="11" t="n"/>
      <c r="AQ11" s="11" t="n"/>
      <c r="AR11" s="11" t="n"/>
      <c r="AS11" s="11" t="n"/>
      <c r="AT11" s="11" t="n"/>
      <c r="AU11" s="11" t="n"/>
      <c r="AV11" s="11" t="n"/>
      <c r="AW11" s="11">
        <f>AF11&amp;"; "&amp;AG11&amp;"; "&amp;AH11&amp;"; "&amp;AI11&amp;"; "&amp;AJ11</f>
        <v/>
      </c>
    </row>
    <row r="12">
      <c r="A12" s="11" t="inlineStr">
        <is>
          <t>T0646-G02-CIE</t>
        </is>
      </c>
      <c r="B12" s="11" t="n">
        <v>2</v>
      </c>
      <c r="C12" s="11" t="inlineStr">
        <is>
          <t>Ciencias</t>
        </is>
      </c>
      <c r="D12" s="11" t="inlineStr">
        <is>
          <t>Matriz_Ciencias_2do_Grado_U1_U6_3.xlsx</t>
        </is>
      </c>
      <c r="E12" s="11" t="inlineStr">
        <is>
          <t>Unidad 1 - Materia</t>
        </is>
      </c>
      <c r="F12" s="11" t="n">
        <v>10</v>
      </c>
      <c r="G12" s="11" t="inlineStr">
        <is>
          <t>1. Materia.</t>
        </is>
      </c>
      <c r="H12" s="11" t="inlineStr">
        <is>
          <t>Estados de la materia y sus cambios.</t>
        </is>
      </c>
      <c r="I12" s="38" t="inlineStr">
        <is>
          <t>1.8. Observación de los cambios de estado del agua al calentarla o enfriarla.</t>
        </is>
      </c>
      <c r="J12" s="11" t="inlineStr">
        <is>
          <t>T4_27</t>
        </is>
      </c>
      <c r="K12" s="11" t="inlineStr">
        <is>
          <t>T4_27-P1.1</t>
        </is>
      </c>
      <c r="L12" s="11" t="inlineStr"/>
      <c r="M12" s="11">
        <f>IF(K12="FUERA","Fuera del marco",IF(K12="N/A","Sin marco",IFERROR(INDEX('Datos - Catálogo TIMSS'!$C$5:$C$107,MATCH(K12,'Datos - Catálogo TIMSS'!$A$5:$A$107,0)),"Pendiente de clasificar")))</f>
        <v/>
      </c>
      <c r="N12" s="11">
        <f>IF(K12="FUERA","Fuera del marco",IF(K12="N/A","Sin marco",IFERROR(INDEX('Datos - Catálogo TIMSS'!$F$5:$F$107,MATCH(K12,'Datos - Catálogo TIMSS'!$A$5:$A$107,0)),"Pendiente de clasificar")))</f>
        <v/>
      </c>
      <c r="O12" s="11">
        <f>IF(L12="","",IFERROR(INDEX('Datos - Catálogo TIMSS'!$C$5:$C$107,MATCH(L12,'Datos - Catálogo TIMSS'!$A$5:$A$107,0)),"?"))</f>
        <v/>
      </c>
      <c r="P12" s="11" t="inlineStr">
        <is>
          <t>alta</t>
        </is>
      </c>
      <c r="Q12" s="38" t="inlineStr">
        <is>
          <t>Cambios de estado del agua al calentar o enfriar.</t>
        </is>
      </c>
      <c r="R12" s="38" t="inlineStr">
        <is>
          <t>Aplicar: relacionar</t>
        </is>
      </c>
      <c r="S12" s="39">
        <f>IFERROR(ISNUMBER(SEARCH("Conocer",$R12))/(ISNUMBER(SEARCH("Conocer",$R12))+ISNUMBER(SEARCH("Aplicar",$R12))+ISNUMBER(SEARCH("Razonar",$R12))),0)</f>
        <v/>
      </c>
      <c r="T12" s="39">
        <f>IFERROR(ISNUMBER(SEARCH("Aplicar",$R12))/(ISNUMBER(SEARCH("Conocer",$R12))+ISNUMBER(SEARCH("Aplicar",$R12))+ISNUMBER(SEARCH("Razonar",$R12))),0)</f>
        <v/>
      </c>
      <c r="U12" s="39">
        <f>IFERROR(ISNUMBER(SEARCH("Razonar",$R12))/(ISNUMBER(SEARCH("Conocer",$R12))+ISNUMBER(SEARCH("Aplicar",$R12))+ISNUMBER(SEARCH("Razonar",$R12))),0)</f>
        <v/>
      </c>
      <c r="V12" s="11" t="inlineStr">
        <is>
          <t>2°</t>
        </is>
      </c>
      <c r="W12" s="11" t="inlineStr">
        <is>
          <t>Ciclo 2°–4°</t>
        </is>
      </c>
      <c r="X12" s="11">
        <f>IF(OR(IFERROR(INDEX('Datos - Catálogo TIMSS'!$I$5:$I$107,MATCH(K12,'Datos - Catálogo TIMSS'!$A$5:$A$107,0)),"No")="Sí",IFERROR(INDEX('Datos - Catálogo TIMSS'!$I$5:$I$107,MATCH(L12,'Datos - Catálogo TIMSS'!$A$5:$A$107,0)),"No")="Sí"),1,0)</f>
        <v/>
      </c>
      <c r="Y12" s="11">
        <f>IF(IFERROR(INDEX('Datos - Catálogo TIMSS'!$J$5:$J$107,MATCH(K12,'Datos - Catálogo TIMSS'!$A$5:$A$107,0)),"No")="Sí",1,0)</f>
        <v/>
      </c>
      <c r="Z12" s="11">
        <f>IF(IFERROR(INDEX('Datos - Catálogo TIMSS'!$J$5:$J$107,MATCH(L12,'Datos - Catálogo TIMSS'!$A$5:$A$107,0)),"No")="Sí",1,0)</f>
        <v/>
      </c>
      <c r="AA12" s="11" t="inlineStr">
        <is>
          <t>T4-F1.4</t>
        </is>
      </c>
      <c r="AB12" s="11" t="inlineStr">
        <is>
          <t>T4-F1.1</t>
        </is>
      </c>
      <c r="AC12" s="11">
        <f>IF(AA12="FUERA","Fuera del marco",IF(AA12="N/A","Sin marco",IFERROR(INDEX('Datos - TIMSS 2023'!$C$5:$C$105,MATCH(AA12,'Datos - TIMSS 2023'!$A$5:$A$105,0)),"Pendiente de clasificar")))</f>
        <v/>
      </c>
      <c r="AD12" s="11" t="inlineStr">
        <is>
          <t>1. Explicar fenómenos científicamente</t>
        </is>
      </c>
      <c r="AE12" s="11">
        <f>IF(AD12="","",IF(LEFT(AD12,1)="1","C1",IF(LEFT(AD12,1)="2","C2",IF(LEFT(AD12,1)="3","C3",""))))</f>
        <v/>
      </c>
      <c r="AF12" s="11" t="inlineStr">
        <is>
          <t>E1</t>
        </is>
      </c>
      <c r="AG12" s="11" t="inlineStr">
        <is>
          <t>E5</t>
        </is>
      </c>
      <c r="AH12" s="11" t="inlineStr">
        <is>
          <t>E4</t>
        </is>
      </c>
      <c r="AI12" s="11" t="inlineStr">
        <is>
          <t>D4</t>
        </is>
      </c>
      <c r="AJ12" s="11" t="inlineStr">
        <is>
          <t>E3</t>
        </is>
      </c>
      <c r="AK12" s="11" t="n"/>
      <c r="AL12" s="11" t="n"/>
      <c r="AM12" s="11" t="n"/>
      <c r="AN12" s="11" t="n"/>
      <c r="AO12" s="11" t="n"/>
      <c r="AP12" s="11" t="n"/>
      <c r="AQ12" s="11" t="n"/>
      <c r="AR12" s="11" t="n"/>
      <c r="AS12" s="11" t="n"/>
      <c r="AT12" s="11" t="n"/>
      <c r="AU12" s="11" t="n"/>
      <c r="AV12" s="11" t="n"/>
      <c r="AW12" s="11">
        <f>AF12&amp;"; "&amp;AG12&amp;"; "&amp;AH12&amp;"; "&amp;AI12&amp;"; "&amp;AJ12</f>
        <v/>
      </c>
    </row>
    <row r="13">
      <c r="A13" s="11" t="inlineStr">
        <is>
          <t>T0647-G02-CIE</t>
        </is>
      </c>
      <c r="B13" s="11" t="n">
        <v>2</v>
      </c>
      <c r="C13" s="11" t="inlineStr">
        <is>
          <t>Ciencias</t>
        </is>
      </c>
      <c r="D13" s="11" t="inlineStr">
        <is>
          <t>Matriz_Ciencias_2do_Grado_U1_U6_3.xlsx</t>
        </is>
      </c>
      <c r="E13" s="11" t="inlineStr">
        <is>
          <t>Unidad 1 - Materia</t>
        </is>
      </c>
      <c r="F13" s="11" t="n">
        <v>11</v>
      </c>
      <c r="G13" s="11" t="inlineStr">
        <is>
          <t>1. Materia.</t>
        </is>
      </c>
      <c r="H13" s="11" t="inlineStr">
        <is>
          <t>Mezclas.</t>
        </is>
      </c>
      <c r="I13" s="38" t="inlineStr">
        <is>
          <t>1.9. Preparación de mezclas sencillas y separación de sus componentes a mano, con colador o tamiz.</t>
        </is>
      </c>
      <c r="J13" s="11" t="inlineStr">
        <is>
          <t>T4_27</t>
        </is>
      </c>
      <c r="K13" s="11" t="inlineStr">
        <is>
          <t>T4_27-P1.3</t>
        </is>
      </c>
      <c r="L13" s="11" t="inlineStr"/>
      <c r="M13" s="11">
        <f>IF(K13="FUERA","Fuera del marco",IF(K13="N/A","Sin marco",IFERROR(INDEX('Datos - Catálogo TIMSS'!$C$5:$C$107,MATCH(K13,'Datos - Catálogo TIMSS'!$A$5:$A$107,0)),"Pendiente de clasificar")))</f>
        <v/>
      </c>
      <c r="N13" s="11">
        <f>IF(K13="FUERA","Fuera del marco",IF(K13="N/A","Sin marco",IFERROR(INDEX('Datos - Catálogo TIMSS'!$F$5:$F$107,MATCH(K13,'Datos - Catálogo TIMSS'!$A$5:$A$107,0)),"Pendiente de clasificar")))</f>
        <v/>
      </c>
      <c r="O13" s="11">
        <f>IF(L13="","",IFERROR(INDEX('Datos - Catálogo TIMSS'!$C$5:$C$107,MATCH(L13,'Datos - Catálogo TIMSS'!$A$5:$A$107,0)),"?"))</f>
        <v/>
      </c>
      <c r="P13" s="11" t="inlineStr">
        <is>
          <t>alta</t>
        </is>
      </c>
      <c r="Q13" s="38" t="inlineStr">
        <is>
          <t>Mezclas y separación física con colador o tamiz.</t>
        </is>
      </c>
      <c r="R13" s="38" t="inlineStr">
        <is>
          <t>Aplicar: clasificar. Razonar: elegir un procedimiento</t>
        </is>
      </c>
      <c r="S13" s="39">
        <f>IFERROR(ISNUMBER(SEARCH("Conocer",$R13))/(ISNUMBER(SEARCH("Conocer",$R13))+ISNUMBER(SEARCH("Aplicar",$R13))+ISNUMBER(SEARCH("Razonar",$R13))),0)</f>
        <v/>
      </c>
      <c r="T13" s="39">
        <f>IFERROR(ISNUMBER(SEARCH("Aplicar",$R13))/(ISNUMBER(SEARCH("Conocer",$R13))+ISNUMBER(SEARCH("Aplicar",$R13))+ISNUMBER(SEARCH("Razonar",$R13))),0)</f>
        <v/>
      </c>
      <c r="U13" s="39">
        <f>IFERROR(ISNUMBER(SEARCH("Razonar",$R13))/(ISNUMBER(SEARCH("Conocer",$R13))+ISNUMBER(SEARCH("Aplicar",$R13))+ISNUMBER(SEARCH("Razonar",$R13))),0)</f>
        <v/>
      </c>
      <c r="V13" s="11" t="inlineStr">
        <is>
          <t>2°</t>
        </is>
      </c>
      <c r="W13" s="11" t="inlineStr">
        <is>
          <t>Ciclo 2°–4°</t>
        </is>
      </c>
      <c r="X13" s="11">
        <f>IF(OR(IFERROR(INDEX('Datos - Catálogo TIMSS'!$I$5:$I$107,MATCH(K13,'Datos - Catálogo TIMSS'!$A$5:$A$107,0)),"No")="Sí",IFERROR(INDEX('Datos - Catálogo TIMSS'!$I$5:$I$107,MATCH(L13,'Datos - Catálogo TIMSS'!$A$5:$A$107,0)),"No")="Sí"),1,0)</f>
        <v/>
      </c>
      <c r="Y13" s="11">
        <f>IF(IFERROR(INDEX('Datos - Catálogo TIMSS'!$J$5:$J$107,MATCH(K13,'Datos - Catálogo TIMSS'!$A$5:$A$107,0)),"No")="Sí",1,0)</f>
        <v/>
      </c>
      <c r="Z13" s="11">
        <f>IF(IFERROR(INDEX('Datos - Catálogo TIMSS'!$J$5:$J$107,MATCH(L13,'Datos - Catálogo TIMSS'!$A$5:$A$107,0)),"No")="Sí",1,0)</f>
        <v/>
      </c>
      <c r="AA13" s="11" t="inlineStr">
        <is>
          <t>T4-F1.2</t>
        </is>
      </c>
      <c r="AB13" s="11" t="inlineStr"/>
      <c r="AC13" s="11">
        <f>IF(AA13="FUERA","Fuera del marco",IF(AA13="N/A","Sin marco",IFERROR(INDEX('Datos - TIMSS 2023'!$C$5:$C$105,MATCH(AA13,'Datos - TIMSS 2023'!$A$5:$A$105,0)),"Pendiente de clasificar")))</f>
        <v/>
      </c>
      <c r="AD13" s="11" t="inlineStr">
        <is>
          <t>2. Construir y evaluar diseños para la indagación científica e interpretar datos y evidencia de forma crítica</t>
        </is>
      </c>
      <c r="AE13" s="11">
        <f>IF(AD13="","",IF(LEFT(AD13,1)="1","C1",IF(LEFT(AD13,1)="2","C2",IF(LEFT(AD13,1)="3","C3",""))))</f>
        <v/>
      </c>
      <c r="AF13" s="11" t="inlineStr">
        <is>
          <t>E1</t>
        </is>
      </c>
      <c r="AG13" s="11" t="inlineStr">
        <is>
          <t>D1</t>
        </is>
      </c>
      <c r="AH13" s="11" t="inlineStr">
        <is>
          <t>E1</t>
        </is>
      </c>
      <c r="AI13" s="11" t="inlineStr">
        <is>
          <t>D2</t>
        </is>
      </c>
      <c r="AJ13" s="11" t="inlineStr">
        <is>
          <t>D3</t>
        </is>
      </c>
      <c r="AK13" s="11" t="n"/>
      <c r="AL13" s="11" t="n"/>
      <c r="AM13" s="11" t="n"/>
      <c r="AN13" s="11" t="n"/>
      <c r="AO13" s="11" t="n"/>
      <c r="AP13" s="11" t="n"/>
      <c r="AQ13" s="11" t="n"/>
      <c r="AR13" s="11" t="n"/>
      <c r="AS13" s="11" t="n"/>
      <c r="AT13" s="11" t="n"/>
      <c r="AU13" s="11" t="n"/>
      <c r="AV13" s="11" t="n"/>
      <c r="AW13" s="11">
        <f>AF13&amp;"; "&amp;AG13&amp;"; "&amp;AH13&amp;"; "&amp;AI13&amp;"; "&amp;AJ13</f>
        <v/>
      </c>
    </row>
    <row r="14">
      <c r="A14" s="11" t="inlineStr">
        <is>
          <t>T0648-G02-CIE</t>
        </is>
      </c>
      <c r="B14" s="11" t="n">
        <v>2</v>
      </c>
      <c r="C14" s="11" t="inlineStr">
        <is>
          <t>Ciencias</t>
        </is>
      </c>
      <c r="D14" s="11" t="inlineStr">
        <is>
          <t>Matriz_Ciencias_2do_Grado_U1_U6_3.xlsx</t>
        </is>
      </c>
      <c r="E14" s="11" t="inlineStr">
        <is>
          <t>Unidad 1 - Materia</t>
        </is>
      </c>
      <c r="F14" s="11" t="n">
        <v>12</v>
      </c>
      <c r="G14" s="11" t="inlineStr">
        <is>
          <t>1. Materia.</t>
        </is>
      </c>
      <c r="H14" s="11" t="inlineStr">
        <is>
          <t>¿Flota o se hunde?</t>
        </is>
      </c>
      <c r="I14" s="38" t="inlineStr">
        <is>
          <t>1.10. Predicción y comprobación de objetos que flotan o se hunden en el agua.</t>
        </is>
      </c>
      <c r="J14" s="11" t="inlineStr">
        <is>
          <t>T4_27</t>
        </is>
      </c>
      <c r="K14" s="11" t="inlineStr">
        <is>
          <t>T4_27-P1.2</t>
        </is>
      </c>
      <c r="L14" s="11" t="inlineStr">
        <is>
          <t>T4_27-P6.1</t>
        </is>
      </c>
      <c r="M14" s="11">
        <f>IF(K14="FUERA","Fuera del marco",IF(K14="N/A","Sin marco",IFERROR(INDEX('Datos - Catálogo TIMSS'!$C$5:$C$107,MATCH(K14,'Datos - Catálogo TIMSS'!$A$5:$A$107,0)),"Pendiente de clasificar")))</f>
        <v/>
      </c>
      <c r="N14" s="11">
        <f>IF(K14="FUERA","Fuera del marco",IF(K14="N/A","Sin marco",IFERROR(INDEX('Datos - Catálogo TIMSS'!$F$5:$F$107,MATCH(K14,'Datos - Catálogo TIMSS'!$A$5:$A$107,0)),"Pendiente de clasificar")))</f>
        <v/>
      </c>
      <c r="O14" s="11">
        <f>IF(L14="","",IFERROR(INDEX('Datos - Catálogo TIMSS'!$C$5:$C$107,MATCH(L14,'Datos - Catálogo TIMSS'!$A$5:$A$107,0)),"?"))</f>
        <v/>
      </c>
      <c r="P14" s="11" t="inlineStr">
        <is>
          <t>alta</t>
        </is>
      </c>
      <c r="Q14" s="38" t="inlineStr">
        <is>
          <t>Flotación como propiedad; compara predicciones con resultados.</t>
        </is>
      </c>
      <c r="R14" s="38" t="inlineStr">
        <is>
          <t>Razonar: predecir y comprobar</t>
        </is>
      </c>
      <c r="S14" s="39">
        <f>IFERROR(ISNUMBER(SEARCH("Conocer",$R14))/(ISNUMBER(SEARCH("Conocer",$R14))+ISNUMBER(SEARCH("Aplicar",$R14))+ISNUMBER(SEARCH("Razonar",$R14))),0)</f>
        <v/>
      </c>
      <c r="T14" s="39">
        <f>IFERROR(ISNUMBER(SEARCH("Aplicar",$R14))/(ISNUMBER(SEARCH("Conocer",$R14))+ISNUMBER(SEARCH("Aplicar",$R14))+ISNUMBER(SEARCH("Razonar",$R14))),0)</f>
        <v/>
      </c>
      <c r="U14" s="39">
        <f>IFERROR(ISNUMBER(SEARCH("Razonar",$R14))/(ISNUMBER(SEARCH("Conocer",$R14))+ISNUMBER(SEARCH("Aplicar",$R14))+ISNUMBER(SEARCH("Razonar",$R14))),0)</f>
        <v/>
      </c>
      <c r="V14" s="11" t="inlineStr">
        <is>
          <t>2°</t>
        </is>
      </c>
      <c r="W14" s="11" t="inlineStr">
        <is>
          <t>Ciclo 2°–4°</t>
        </is>
      </c>
      <c r="X14" s="11">
        <f>IF(OR(IFERROR(INDEX('Datos - Catálogo TIMSS'!$I$5:$I$107,MATCH(K14,'Datos - Catálogo TIMSS'!$A$5:$A$107,0)),"No")="Sí",IFERROR(INDEX('Datos - Catálogo TIMSS'!$I$5:$I$107,MATCH(L14,'Datos - Catálogo TIMSS'!$A$5:$A$107,0)),"No")="Sí"),1,0)</f>
        <v/>
      </c>
      <c r="Y14" s="11">
        <f>IF(IFERROR(INDEX('Datos - Catálogo TIMSS'!$J$5:$J$107,MATCH(K14,'Datos - Catálogo TIMSS'!$A$5:$A$107,0)),"No")="Sí",1,0)</f>
        <v/>
      </c>
      <c r="Z14" s="11">
        <f>IF(IFERROR(INDEX('Datos - Catálogo TIMSS'!$J$5:$J$107,MATCH(L14,'Datos - Catálogo TIMSS'!$A$5:$A$107,0)),"No")="Sí",1,0)</f>
        <v/>
      </c>
      <c r="AA14" s="11" t="inlineStr">
        <is>
          <t>T4-F1.2</t>
        </is>
      </c>
      <c r="AB14" s="11" t="inlineStr"/>
      <c r="AC14" s="11">
        <f>IF(AA14="FUERA","Fuera del marco",IF(AA14="N/A","Sin marco",IFERROR(INDEX('Datos - TIMSS 2023'!$C$5:$C$105,MATCH(AA14,'Datos - TIMSS 2023'!$A$5:$A$105,0)),"Pendiente de clasificar")))</f>
        <v/>
      </c>
      <c r="AD14" s="11" t="inlineStr">
        <is>
          <t>2. Construir y evaluar diseños para la indagación científica e interpretar datos y evidencia de forma crítica</t>
        </is>
      </c>
      <c r="AE14" s="11">
        <f>IF(AD14="","",IF(LEFT(AD14,1)="1","C1",IF(LEFT(AD14,1)="2","C2",IF(LEFT(AD14,1)="3","C3",""))))</f>
        <v/>
      </c>
      <c r="AF14" s="11" t="inlineStr">
        <is>
          <t>E1</t>
        </is>
      </c>
      <c r="AG14" s="11" t="inlineStr">
        <is>
          <t>E3</t>
        </is>
      </c>
      <c r="AH14" s="11" t="inlineStr">
        <is>
          <t>E1</t>
        </is>
      </c>
      <c r="AI14" s="11" t="inlineStr">
        <is>
          <t>D4</t>
        </is>
      </c>
      <c r="AJ14" s="11" t="inlineStr">
        <is>
          <t>I4</t>
        </is>
      </c>
      <c r="AK14" s="11" t="n"/>
      <c r="AL14" s="11" t="n"/>
      <c r="AM14" s="11" t="n"/>
      <c r="AN14" s="11" t="n"/>
      <c r="AO14" s="11" t="n"/>
      <c r="AP14" s="11" t="n"/>
      <c r="AQ14" s="11" t="n"/>
      <c r="AR14" s="11" t="n"/>
      <c r="AS14" s="11" t="n"/>
      <c r="AT14" s="11" t="n"/>
      <c r="AU14" s="11" t="n"/>
      <c r="AV14" s="11" t="n"/>
      <c r="AW14" s="11">
        <f>AF14&amp;"; "&amp;AG14&amp;"; "&amp;AH14&amp;"; "&amp;AI14&amp;"; "&amp;AJ14</f>
        <v/>
      </c>
    </row>
    <row r="15">
      <c r="A15" s="11" t="inlineStr">
        <is>
          <t>T0649-G02-CIE</t>
        </is>
      </c>
      <c r="B15" s="11" t="n">
        <v>2</v>
      </c>
      <c r="C15" s="11" t="inlineStr">
        <is>
          <t>Ciencias</t>
        </is>
      </c>
      <c r="D15" s="11" t="inlineStr">
        <is>
          <t>Matriz_Ciencias_2do_Grado_U1_U6_3.xlsx</t>
        </is>
      </c>
      <c r="E15" s="11" t="inlineStr">
        <is>
          <t>Unidad 1 - Materia</t>
        </is>
      </c>
      <c r="F15" s="11" t="n">
        <v>13</v>
      </c>
      <c r="G15" s="11" t="inlineStr">
        <is>
          <t>1. Materia.</t>
        </is>
      </c>
      <c r="H15" s="11" t="inlineStr">
        <is>
          <t>Los materiales y el ambiente.</t>
        </is>
      </c>
      <c r="I15" s="38" t="inlineStr">
        <is>
          <t>1.11. Reutilización de materiales de desecho según sus propiedades para darles un nuevo uso.</t>
        </is>
      </c>
      <c r="J15" s="11" t="inlineStr">
        <is>
          <t>T4_27</t>
        </is>
      </c>
      <c r="K15" s="11" t="inlineStr">
        <is>
          <t>T4_27-P1.2</t>
        </is>
      </c>
      <c r="L15" s="11" t="inlineStr"/>
      <c r="M15" s="11">
        <f>IF(K15="FUERA","Fuera del marco",IF(K15="N/A","Sin marco",IFERROR(INDEX('Datos - Catálogo TIMSS'!$C$5:$C$107,MATCH(K15,'Datos - Catálogo TIMSS'!$A$5:$A$107,0)),"Pendiente de clasificar")))</f>
        <v/>
      </c>
      <c r="N15" s="11">
        <f>IF(K15="FUERA","Fuera del marco",IF(K15="N/A","Sin marco",IFERROR(INDEX('Datos - Catálogo TIMSS'!$F$5:$F$107,MATCH(K15,'Datos - Catálogo TIMSS'!$A$5:$A$107,0)),"Pendiente de clasificar")))</f>
        <v/>
      </c>
      <c r="O15" s="11">
        <f>IF(L15="","",IFERROR(INDEX('Datos - Catálogo TIMSS'!$C$5:$C$107,MATCH(L15,'Datos - Catálogo TIMSS'!$A$5:$A$107,0)),"?"))</f>
        <v/>
      </c>
      <c r="P15" s="11" t="inlineStr">
        <is>
          <t>media</t>
        </is>
      </c>
      <c r="Q15" s="38" t="inlineStr">
        <is>
          <t>Elige material de desecho según sus propiedades para nuevo uso.</t>
        </is>
      </c>
      <c r="R15" s="38" t="inlineStr">
        <is>
          <t>Aplicar: relacionar propiedades y usos. Razonar: justificar con sus palabras</t>
        </is>
      </c>
      <c r="S15" s="39">
        <f>IFERROR(ISNUMBER(SEARCH("Conocer",$R15))/(ISNUMBER(SEARCH("Conocer",$R15))+ISNUMBER(SEARCH("Aplicar",$R15))+ISNUMBER(SEARCH("Razonar",$R15))),0)</f>
        <v/>
      </c>
      <c r="T15" s="39">
        <f>IFERROR(ISNUMBER(SEARCH("Aplicar",$R15))/(ISNUMBER(SEARCH("Conocer",$R15))+ISNUMBER(SEARCH("Aplicar",$R15))+ISNUMBER(SEARCH("Razonar",$R15))),0)</f>
        <v/>
      </c>
      <c r="U15" s="39">
        <f>IFERROR(ISNUMBER(SEARCH("Razonar",$R15))/(ISNUMBER(SEARCH("Conocer",$R15))+ISNUMBER(SEARCH("Aplicar",$R15))+ISNUMBER(SEARCH("Razonar",$R15))),0)</f>
        <v/>
      </c>
      <c r="V15" s="11" t="inlineStr">
        <is>
          <t>2°</t>
        </is>
      </c>
      <c r="W15" s="11" t="inlineStr">
        <is>
          <t>Ciclo 2°–4°</t>
        </is>
      </c>
      <c r="X15" s="11">
        <f>IF(OR(IFERROR(INDEX('Datos - Catálogo TIMSS'!$I$5:$I$107,MATCH(K15,'Datos - Catálogo TIMSS'!$A$5:$A$107,0)),"No")="Sí",IFERROR(INDEX('Datos - Catálogo TIMSS'!$I$5:$I$107,MATCH(L15,'Datos - Catálogo TIMSS'!$A$5:$A$107,0)),"No")="Sí"),1,0)</f>
        <v/>
      </c>
      <c r="Y15" s="11">
        <f>IF(IFERROR(INDEX('Datos - Catálogo TIMSS'!$J$5:$J$107,MATCH(K15,'Datos - Catálogo TIMSS'!$A$5:$A$107,0)),"No")="Sí",1,0)</f>
        <v/>
      </c>
      <c r="Z15" s="11">
        <f>IF(IFERROR(INDEX('Datos - Catálogo TIMSS'!$J$5:$J$107,MATCH(L15,'Datos - Catálogo TIMSS'!$A$5:$A$107,0)),"No")="Sí",1,0)</f>
        <v/>
      </c>
      <c r="AA15" s="11" t="inlineStr">
        <is>
          <t>T4-F1.2</t>
        </is>
      </c>
      <c r="AB15" s="11" t="inlineStr">
        <is>
          <t>T4-T1.2</t>
        </is>
      </c>
      <c r="AC15" s="11">
        <f>IF(AA15="FUERA","Fuera del marco",IF(AA15="N/A","Sin marco",IFERROR(INDEX('Datos - TIMSS 2023'!$C$5:$C$105,MATCH(AA15,'Datos - TIMSS 2023'!$A$5:$A$105,0)),"Pendiente de clasificar")))</f>
        <v/>
      </c>
      <c r="AD15" s="11" t="inlineStr">
        <is>
          <t>3. Investigar, evaluar y usar información científica para tomar decisiones y actuar</t>
        </is>
      </c>
      <c r="AE15" s="11">
        <f>IF(AD15="","",IF(LEFT(AD15,1)="1","C1",IF(LEFT(AD15,1)="2","C2",IF(LEFT(AD15,1)="3","C3",""))))</f>
        <v/>
      </c>
      <c r="AF15" s="11" t="inlineStr">
        <is>
          <t>E1</t>
        </is>
      </c>
      <c r="AG15" s="11" t="inlineStr">
        <is>
          <t>D1</t>
        </is>
      </c>
      <c r="AH15" s="11" t="inlineStr">
        <is>
          <t>E1</t>
        </is>
      </c>
      <c r="AI15" s="11" t="inlineStr">
        <is>
          <t>D2</t>
        </is>
      </c>
      <c r="AJ15" s="11" t="inlineStr">
        <is>
          <t>I5</t>
        </is>
      </c>
      <c r="AK15" s="11" t="n"/>
      <c r="AL15" s="11" t="n"/>
      <c r="AM15" s="11" t="n"/>
      <c r="AN15" s="11" t="n"/>
      <c r="AO15" s="11" t="n"/>
      <c r="AP15" s="11" t="n"/>
      <c r="AQ15" s="11" t="n"/>
      <c r="AR15" s="11" t="n"/>
      <c r="AS15" s="11" t="n"/>
      <c r="AT15" s="11" t="n"/>
      <c r="AU15" s="11" t="n"/>
      <c r="AV15" s="11" t="n"/>
      <c r="AW15" s="11">
        <f>AF15&amp;"; "&amp;AG15&amp;"; "&amp;AH15&amp;"; "&amp;AI15&amp;"; "&amp;AJ15</f>
        <v/>
      </c>
    </row>
    <row r="16">
      <c r="A16" s="11" t="inlineStr">
        <is>
          <t>T0650-G02-CIE</t>
        </is>
      </c>
      <c r="B16" s="11" t="n">
        <v>2</v>
      </c>
      <c r="C16" s="11" t="inlineStr">
        <is>
          <t>Ciencias</t>
        </is>
      </c>
      <c r="D16" s="11" t="inlineStr">
        <is>
          <t>Matriz_Ciencias_2do_Grado_U1_U6_3.xlsx</t>
        </is>
      </c>
      <c r="E16" s="11" t="inlineStr">
        <is>
          <t>Unidad 2 - Energía</t>
        </is>
      </c>
      <c r="F16" s="11" t="n">
        <v>3</v>
      </c>
      <c r="G16" s="11" t="inlineStr">
        <is>
          <t>2. Energía.</t>
        </is>
      </c>
      <c r="H16" s="11" t="inlineStr">
        <is>
          <t>La energía</t>
        </is>
      </c>
      <c r="I16" s="38" t="inlineStr">
        <is>
          <t>2.1. Observación de fenómenos donde la energía es visible.</t>
        </is>
      </c>
      <c r="J16" s="11" t="inlineStr">
        <is>
          <t>T4_27</t>
        </is>
      </c>
      <c r="K16" s="11" t="inlineStr">
        <is>
          <t>T4_27-P2.1</t>
        </is>
      </c>
      <c r="L16" s="11" t="inlineStr"/>
      <c r="M16" s="11">
        <f>IF(K16="FUERA","Fuera del marco",IF(K16="N/A","Sin marco",IFERROR(INDEX('Datos - Catálogo TIMSS'!$C$5:$C$107,MATCH(K16,'Datos - Catálogo TIMSS'!$A$5:$A$107,0)),"Pendiente de clasificar")))</f>
        <v/>
      </c>
      <c r="N16" s="11">
        <f>IF(K16="FUERA","Fuera del marco",IF(K16="N/A","Sin marco",IFERROR(INDEX('Datos - Catálogo TIMSS'!$F$5:$F$107,MATCH(K16,'Datos - Catálogo TIMSS'!$A$5:$A$107,0)),"Pendiente de clasificar")))</f>
        <v/>
      </c>
      <c r="O16" s="11">
        <f>IF(L16="","",IFERROR(INDEX('Datos - Catálogo TIMSS'!$C$5:$C$107,MATCH(L16,'Datos - Catálogo TIMSS'!$A$5:$A$107,0)),"?"))</f>
        <v/>
      </c>
      <c r="P16" s="11" t="inlineStr">
        <is>
          <t>media</t>
        </is>
      </c>
      <c r="Q16" s="38" t="inlineStr">
        <is>
          <t>Reconoce formas de energía en situaciones cotidianas.</t>
        </is>
      </c>
      <c r="R16" s="38" t="inlineStr">
        <is>
          <t>Conocer: identificar y dar ejemplos</t>
        </is>
      </c>
      <c r="S16" s="39">
        <f>IFERROR(ISNUMBER(SEARCH("Conocer",$R16))/(ISNUMBER(SEARCH("Conocer",$R16))+ISNUMBER(SEARCH("Aplicar",$R16))+ISNUMBER(SEARCH("Razonar",$R16))),0)</f>
        <v/>
      </c>
      <c r="T16" s="39">
        <f>IFERROR(ISNUMBER(SEARCH("Aplicar",$R16))/(ISNUMBER(SEARCH("Conocer",$R16))+ISNUMBER(SEARCH("Aplicar",$R16))+ISNUMBER(SEARCH("Razonar",$R16))),0)</f>
        <v/>
      </c>
      <c r="U16" s="39">
        <f>IFERROR(ISNUMBER(SEARCH("Razonar",$R16))/(ISNUMBER(SEARCH("Conocer",$R16))+ISNUMBER(SEARCH("Aplicar",$R16))+ISNUMBER(SEARCH("Razonar",$R16))),0)</f>
        <v/>
      </c>
      <c r="V16" s="11" t="inlineStr">
        <is>
          <t>2°</t>
        </is>
      </c>
      <c r="W16" s="11" t="inlineStr">
        <is>
          <t>Ciclo 2°–4°</t>
        </is>
      </c>
      <c r="X16" s="11">
        <f>IF(OR(IFERROR(INDEX('Datos - Catálogo TIMSS'!$I$5:$I$107,MATCH(K16,'Datos - Catálogo TIMSS'!$A$5:$A$107,0)),"No")="Sí",IFERROR(INDEX('Datos - Catálogo TIMSS'!$I$5:$I$107,MATCH(L16,'Datos - Catálogo TIMSS'!$A$5:$A$107,0)),"No")="Sí"),1,0)</f>
        <v/>
      </c>
      <c r="Y16" s="11">
        <f>IF(IFERROR(INDEX('Datos - Catálogo TIMSS'!$J$5:$J$107,MATCH(K16,'Datos - Catálogo TIMSS'!$A$5:$A$107,0)),"No")="Sí",1,0)</f>
        <v/>
      </c>
      <c r="Z16" s="11">
        <f>IF(IFERROR(INDEX('Datos - Catálogo TIMSS'!$J$5:$J$107,MATCH(L16,'Datos - Catálogo TIMSS'!$A$5:$A$107,0)),"No")="Sí",1,0)</f>
        <v/>
      </c>
      <c r="AA16" s="11" t="inlineStr">
        <is>
          <t>T4-F2.1</t>
        </is>
      </c>
      <c r="AB16" s="11" t="inlineStr"/>
      <c r="AC16" s="11">
        <f>IF(AA16="FUERA","Fuera del marco",IF(AA16="N/A","Sin marco",IFERROR(INDEX('Datos - TIMSS 2023'!$C$5:$C$105,MATCH(AA16,'Datos - TIMSS 2023'!$A$5:$A$105,0)),"Pendiente de clasificar")))</f>
        <v/>
      </c>
      <c r="AD16" s="11" t="inlineStr">
        <is>
          <t>1. Explicar fenómenos científicamente</t>
        </is>
      </c>
      <c r="AE16" s="11">
        <f>IF(AD16="","",IF(LEFT(AD16,1)="1","C1",IF(LEFT(AD16,1)="2","C2",IF(LEFT(AD16,1)="3","C3",""))))</f>
        <v/>
      </c>
      <c r="AF16" s="11" t="inlineStr">
        <is>
          <t>E1</t>
        </is>
      </c>
      <c r="AG16" s="11" t="inlineStr">
        <is>
          <t>E5</t>
        </is>
      </c>
      <c r="AH16" s="11" t="inlineStr">
        <is>
          <t>E2</t>
        </is>
      </c>
      <c r="AI16" s="11" t="inlineStr">
        <is>
          <t>D4</t>
        </is>
      </c>
      <c r="AJ16" s="11" t="inlineStr">
        <is>
          <t>E1</t>
        </is>
      </c>
      <c r="AK16" s="11" t="n"/>
      <c r="AL16" s="11" t="n"/>
      <c r="AM16" s="11" t="n"/>
      <c r="AN16" s="11" t="n"/>
      <c r="AO16" s="11" t="n"/>
      <c r="AP16" s="11" t="n"/>
      <c r="AQ16" s="11" t="n"/>
      <c r="AR16" s="11" t="n"/>
      <c r="AS16" s="11" t="n"/>
      <c r="AT16" s="11" t="n"/>
      <c r="AU16" s="11" t="n"/>
      <c r="AV16" s="11" t="n"/>
      <c r="AW16" s="11">
        <f>AF16&amp;"; "&amp;AG16&amp;"; "&amp;AH16&amp;"; "&amp;AI16&amp;"; "&amp;AJ16</f>
        <v/>
      </c>
    </row>
    <row r="17">
      <c r="A17" s="11" t="inlineStr">
        <is>
          <t>T0651-G02-CIE</t>
        </is>
      </c>
      <c r="B17" s="11" t="n">
        <v>2</v>
      </c>
      <c r="C17" s="11" t="inlineStr">
        <is>
          <t>Ciencias</t>
        </is>
      </c>
      <c r="D17" s="11" t="inlineStr">
        <is>
          <t>Matriz_Ciencias_2do_Grado_U1_U6_3.xlsx</t>
        </is>
      </c>
      <c r="E17" s="11" t="inlineStr">
        <is>
          <t>Unidad 2 - Energía</t>
        </is>
      </c>
      <c r="F17" s="11" t="n">
        <v>4</v>
      </c>
      <c r="G17" s="11" t="inlineStr">
        <is>
          <t>2. Energía.</t>
        </is>
      </c>
      <c r="H17" s="11" t="inlineStr">
        <is>
          <t>Formas de energía.</t>
        </is>
      </c>
      <c r="I17" s="38" t="inlineStr">
        <is>
          <t>2.1. Experimentación con la energía mecánica, utilizando objetos de su entorno.</t>
        </is>
      </c>
      <c r="J17" s="11" t="inlineStr">
        <is>
          <t>T4_27</t>
        </is>
      </c>
      <c r="K17" s="11" t="inlineStr">
        <is>
          <t>T4_27-P5.1</t>
        </is>
      </c>
      <c r="L17" s="11" t="inlineStr"/>
      <c r="M17" s="11">
        <f>IF(K17="FUERA","Fuera del marco",IF(K17="N/A","Sin marco",IFERROR(INDEX('Datos - Catálogo TIMSS'!$C$5:$C$107,MATCH(K17,'Datos - Catálogo TIMSS'!$A$5:$A$107,0)),"Pendiente de clasificar")))</f>
        <v/>
      </c>
      <c r="N17" s="11">
        <f>IF(K17="FUERA","Fuera del marco",IF(K17="N/A","Sin marco",IFERROR(INDEX('Datos - Catálogo TIMSS'!$F$5:$F$107,MATCH(K17,'Datos - Catálogo TIMSS'!$A$5:$A$107,0)),"Pendiente de clasificar")))</f>
        <v/>
      </c>
      <c r="O17" s="11">
        <f>IF(L17="","",IFERROR(INDEX('Datos - Catálogo TIMSS'!$C$5:$C$107,MATCH(L17,'Datos - Catálogo TIMSS'!$A$5:$A$107,0)),"?"))</f>
        <v/>
      </c>
      <c r="P17" s="11" t="inlineStr">
        <is>
          <t>alta</t>
        </is>
      </c>
      <c r="Q17" s="38" t="inlineStr">
        <is>
          <t>Empujar con más fuerza cambia el movimiento del objeto.</t>
        </is>
      </c>
      <c r="R17" s="38" t="inlineStr">
        <is>
          <t>Aplicar: comparar. Razonar: predecir</t>
        </is>
      </c>
      <c r="S17" s="39">
        <f>IFERROR(ISNUMBER(SEARCH("Conocer",$R17))/(ISNUMBER(SEARCH("Conocer",$R17))+ISNUMBER(SEARCH("Aplicar",$R17))+ISNUMBER(SEARCH("Razonar",$R17))),0)</f>
        <v/>
      </c>
      <c r="T17" s="39">
        <f>IFERROR(ISNUMBER(SEARCH("Aplicar",$R17))/(ISNUMBER(SEARCH("Conocer",$R17))+ISNUMBER(SEARCH("Aplicar",$R17))+ISNUMBER(SEARCH("Razonar",$R17))),0)</f>
        <v/>
      </c>
      <c r="U17" s="39">
        <f>IFERROR(ISNUMBER(SEARCH("Razonar",$R17))/(ISNUMBER(SEARCH("Conocer",$R17))+ISNUMBER(SEARCH("Aplicar",$R17))+ISNUMBER(SEARCH("Razonar",$R17))),0)</f>
        <v/>
      </c>
      <c r="V17" s="11" t="inlineStr">
        <is>
          <t>2°</t>
        </is>
      </c>
      <c r="W17" s="11" t="inlineStr">
        <is>
          <t>Ciclo 2°–4°</t>
        </is>
      </c>
      <c r="X17" s="11">
        <f>IF(OR(IFERROR(INDEX('Datos - Catálogo TIMSS'!$I$5:$I$107,MATCH(K17,'Datos - Catálogo TIMSS'!$A$5:$A$107,0)),"No")="Sí",IFERROR(INDEX('Datos - Catálogo TIMSS'!$I$5:$I$107,MATCH(L17,'Datos - Catálogo TIMSS'!$A$5:$A$107,0)),"No")="Sí"),1,0)</f>
        <v/>
      </c>
      <c r="Y17" s="11">
        <f>IF(IFERROR(INDEX('Datos - Catálogo TIMSS'!$J$5:$J$107,MATCH(K17,'Datos - Catálogo TIMSS'!$A$5:$A$107,0)),"No")="Sí",1,0)</f>
        <v/>
      </c>
      <c r="Z17" s="11">
        <f>IF(IFERROR(INDEX('Datos - Catálogo TIMSS'!$J$5:$J$107,MATCH(L17,'Datos - Catálogo TIMSS'!$A$5:$A$107,0)),"No")="Sí",1,0)</f>
        <v/>
      </c>
      <c r="AA17" s="11" t="inlineStr">
        <is>
          <t>T4-F3.1</t>
        </is>
      </c>
      <c r="AB17" s="11" t="inlineStr"/>
      <c r="AC17" s="11">
        <f>IF(AA17="FUERA","Fuera del marco",IF(AA17="N/A","Sin marco",IFERROR(INDEX('Datos - TIMSS 2023'!$C$5:$C$105,MATCH(AA17,'Datos - TIMSS 2023'!$A$5:$A$105,0)),"Pendiente de clasificar")))</f>
        <v/>
      </c>
      <c r="AD17" s="11" t="inlineStr">
        <is>
          <t>2. Construir y evaluar diseños para la indagación científica e interpretar datos y evidencia de forma crítica</t>
        </is>
      </c>
      <c r="AE17" s="11">
        <f>IF(AD17="","",IF(LEFT(AD17,1)="1","C1",IF(LEFT(AD17,1)="2","C2",IF(LEFT(AD17,1)="3","C3",""))))</f>
        <v/>
      </c>
      <c r="AF17" s="11" t="inlineStr">
        <is>
          <t>E1</t>
        </is>
      </c>
      <c r="AG17" s="11" t="inlineStr">
        <is>
          <t>E3</t>
        </is>
      </c>
      <c r="AH17" s="11" t="inlineStr">
        <is>
          <t>E1</t>
        </is>
      </c>
      <c r="AI17" s="11" t="inlineStr">
        <is>
          <t>D2</t>
        </is>
      </c>
      <c r="AJ17" s="11" t="inlineStr">
        <is>
          <t>D3</t>
        </is>
      </c>
      <c r="AK17" s="11" t="n"/>
      <c r="AL17" s="11" t="n"/>
      <c r="AM17" s="11" t="n"/>
      <c r="AN17" s="11" t="n"/>
      <c r="AO17" s="11" t="n"/>
      <c r="AP17" s="11" t="n"/>
      <c r="AQ17" s="11" t="n"/>
      <c r="AR17" s="11" t="n"/>
      <c r="AS17" s="11" t="n"/>
      <c r="AT17" s="11" t="n"/>
      <c r="AU17" s="11" t="n"/>
      <c r="AV17" s="11" t="n"/>
      <c r="AW17" s="11">
        <f>AF17&amp;"; "&amp;AG17&amp;"; "&amp;AH17&amp;"; "&amp;AI17&amp;"; "&amp;AJ17</f>
        <v/>
      </c>
    </row>
    <row r="18">
      <c r="A18" s="11" t="inlineStr">
        <is>
          <t>T0652-G02-CIE</t>
        </is>
      </c>
      <c r="B18" s="11" t="n">
        <v>2</v>
      </c>
      <c r="C18" s="11" t="inlineStr">
        <is>
          <t>Ciencias</t>
        </is>
      </c>
      <c r="D18" s="11" t="inlineStr">
        <is>
          <t>Matriz_Ciencias_2do_Grado_U1_U6_3.xlsx</t>
        </is>
      </c>
      <c r="E18" s="11" t="inlineStr">
        <is>
          <t>Unidad 2 - Energía</t>
        </is>
      </c>
      <c r="F18" s="11" t="n">
        <v>5</v>
      </c>
      <c r="G18" s="11" t="inlineStr">
        <is>
          <t>2. Energía.</t>
        </is>
      </c>
      <c r="H18" s="11" t="inlineStr">
        <is>
          <t>Formas de energía.</t>
        </is>
      </c>
      <c r="I18" s="38" t="inlineStr">
        <is>
          <t>2.2. Indagación de los dispositivos que requieren electricidad y su fuente de energía.</t>
        </is>
      </c>
      <c r="J18" s="11" t="inlineStr">
        <is>
          <t>T4_27</t>
        </is>
      </c>
      <c r="K18" s="11" t="inlineStr">
        <is>
          <t>T4_27-P2.1</t>
        </is>
      </c>
      <c r="L18" s="11" t="inlineStr"/>
      <c r="M18" s="11">
        <f>IF(K18="FUERA","Fuera del marco",IF(K18="N/A","Sin marco",IFERROR(INDEX('Datos - Catálogo TIMSS'!$C$5:$C$107,MATCH(K18,'Datos - Catálogo TIMSS'!$A$5:$A$107,0)),"Pendiente de clasificar")))</f>
        <v/>
      </c>
      <c r="N18" s="11">
        <f>IF(K18="FUERA","Fuera del marco",IF(K18="N/A","Sin marco",IFERROR(INDEX('Datos - Catálogo TIMSS'!$F$5:$F$107,MATCH(K18,'Datos - Catálogo TIMSS'!$A$5:$A$107,0)),"Pendiente de clasificar")))</f>
        <v/>
      </c>
      <c r="O18" s="11">
        <f>IF(L18="","",IFERROR(INDEX('Datos - Catálogo TIMSS'!$C$5:$C$107,MATCH(L18,'Datos - Catálogo TIMSS'!$A$5:$A$107,0)),"?"))</f>
        <v/>
      </c>
      <c r="P18" s="11" t="inlineStr">
        <is>
          <t>alta</t>
        </is>
      </c>
      <c r="Q18" s="38" t="inlineStr">
        <is>
          <t>Aparatos que usan energía eléctrica en la vida diaria.</t>
        </is>
      </c>
      <c r="R18" s="38" t="inlineStr">
        <is>
          <t>Aplicar: clasificar</t>
        </is>
      </c>
      <c r="S18" s="39">
        <f>IFERROR(ISNUMBER(SEARCH("Conocer",$R18))/(ISNUMBER(SEARCH("Conocer",$R18))+ISNUMBER(SEARCH("Aplicar",$R18))+ISNUMBER(SEARCH("Razonar",$R18))),0)</f>
        <v/>
      </c>
      <c r="T18" s="39">
        <f>IFERROR(ISNUMBER(SEARCH("Aplicar",$R18))/(ISNUMBER(SEARCH("Conocer",$R18))+ISNUMBER(SEARCH("Aplicar",$R18))+ISNUMBER(SEARCH("Razonar",$R18))),0)</f>
        <v/>
      </c>
      <c r="U18" s="39">
        <f>IFERROR(ISNUMBER(SEARCH("Razonar",$R18))/(ISNUMBER(SEARCH("Conocer",$R18))+ISNUMBER(SEARCH("Aplicar",$R18))+ISNUMBER(SEARCH("Razonar",$R18))),0)</f>
        <v/>
      </c>
      <c r="V18" s="11" t="inlineStr">
        <is>
          <t>2°</t>
        </is>
      </c>
      <c r="W18" s="11" t="inlineStr">
        <is>
          <t>Ciclo 2°–4°</t>
        </is>
      </c>
      <c r="X18" s="11">
        <f>IF(OR(IFERROR(INDEX('Datos - Catálogo TIMSS'!$I$5:$I$107,MATCH(K18,'Datos - Catálogo TIMSS'!$A$5:$A$107,0)),"No")="Sí",IFERROR(INDEX('Datos - Catálogo TIMSS'!$I$5:$I$107,MATCH(L18,'Datos - Catálogo TIMSS'!$A$5:$A$107,0)),"No")="Sí"),1,0)</f>
        <v/>
      </c>
      <c r="Y18" s="11">
        <f>IF(IFERROR(INDEX('Datos - Catálogo TIMSS'!$J$5:$J$107,MATCH(K18,'Datos - Catálogo TIMSS'!$A$5:$A$107,0)),"No")="Sí",1,0)</f>
        <v/>
      </c>
      <c r="Z18" s="11">
        <f>IF(IFERROR(INDEX('Datos - Catálogo TIMSS'!$J$5:$J$107,MATCH(L18,'Datos - Catálogo TIMSS'!$A$5:$A$107,0)),"No")="Sí",1,0)</f>
        <v/>
      </c>
      <c r="AA18" s="11" t="inlineStr">
        <is>
          <t>T4-F2.1</t>
        </is>
      </c>
      <c r="AB18" s="11" t="inlineStr">
        <is>
          <t>T4-F2.4</t>
        </is>
      </c>
      <c r="AC18" s="11">
        <f>IF(AA18="FUERA","Fuera del marco",IF(AA18="N/A","Sin marco",IFERROR(INDEX('Datos - TIMSS 2023'!$C$5:$C$105,MATCH(AA18,'Datos - TIMSS 2023'!$A$5:$A$105,0)),"Pendiente de clasificar")))</f>
        <v/>
      </c>
      <c r="AD18" s="11" t="inlineStr">
        <is>
          <t>1. Explicar fenómenos científicamente</t>
        </is>
      </c>
      <c r="AE18" s="11">
        <f>IF(AD18="","",IF(LEFT(AD18,1)="1","C1",IF(LEFT(AD18,1)="2","C2",IF(LEFT(AD18,1)="3","C3",""))))</f>
        <v/>
      </c>
      <c r="AF18" s="11" t="inlineStr">
        <is>
          <t>E1</t>
        </is>
      </c>
      <c r="AG18" s="11" t="inlineStr">
        <is>
          <t>D1</t>
        </is>
      </c>
      <c r="AH18" s="11" t="inlineStr">
        <is>
          <t>E1</t>
        </is>
      </c>
      <c r="AI18" s="11" t="inlineStr">
        <is>
          <t>D4</t>
        </is>
      </c>
      <c r="AJ18" s="11" t="inlineStr">
        <is>
          <t>E6</t>
        </is>
      </c>
      <c r="AK18" s="11" t="n"/>
      <c r="AL18" s="11" t="n"/>
      <c r="AM18" s="11" t="n"/>
      <c r="AN18" s="11" t="n"/>
      <c r="AO18" s="11" t="n"/>
      <c r="AP18" s="11" t="n"/>
      <c r="AQ18" s="11" t="n"/>
      <c r="AR18" s="11" t="n"/>
      <c r="AS18" s="11" t="n"/>
      <c r="AT18" s="11" t="n"/>
      <c r="AU18" s="11" t="n"/>
      <c r="AV18" s="11" t="n"/>
      <c r="AW18" s="11">
        <f>AF18&amp;"; "&amp;AG18&amp;"; "&amp;AH18&amp;"; "&amp;AI18&amp;"; "&amp;AJ18</f>
        <v/>
      </c>
    </row>
    <row r="19">
      <c r="A19" s="11" t="inlineStr">
        <is>
          <t>T0653-G02-CIE</t>
        </is>
      </c>
      <c r="B19" s="11" t="n">
        <v>2</v>
      </c>
      <c r="C19" s="11" t="inlineStr">
        <is>
          <t>Ciencias</t>
        </is>
      </c>
      <c r="D19" s="11" t="inlineStr">
        <is>
          <t>Matriz_Ciencias_2do_Grado_U1_U6_3.xlsx</t>
        </is>
      </c>
      <c r="E19" s="11" t="inlineStr">
        <is>
          <t>Unidad 2 - Energía</t>
        </is>
      </c>
      <c r="F19" s="11" t="n">
        <v>6</v>
      </c>
      <c r="G19" s="11" t="inlineStr">
        <is>
          <t>2. Energía.</t>
        </is>
      </c>
      <c r="H19" s="11" t="inlineStr">
        <is>
          <t>Formas de energía.</t>
        </is>
      </c>
      <c r="I19" s="38" t="inlineStr">
        <is>
          <t>2.3. Identificación de fuentes naturales de energía eléctrica.</t>
        </is>
      </c>
      <c r="J19" s="11" t="inlineStr">
        <is>
          <t>T4_27</t>
        </is>
      </c>
      <c r="K19" s="11" t="inlineStr">
        <is>
          <t>T4_27-E3.1</t>
        </is>
      </c>
      <c r="L19" s="11" t="inlineStr">
        <is>
          <t>T4_27-P2.1</t>
        </is>
      </c>
      <c r="M19" s="11">
        <f>IF(K19="FUERA","Fuera del marco",IF(K19="N/A","Sin marco",IFERROR(INDEX('Datos - Catálogo TIMSS'!$C$5:$C$107,MATCH(K19,'Datos - Catálogo TIMSS'!$A$5:$A$107,0)),"Pendiente de clasificar")))</f>
        <v/>
      </c>
      <c r="N19" s="11">
        <f>IF(K19="FUERA","Fuera del marco",IF(K19="N/A","Sin marco",IFERROR(INDEX('Datos - Catálogo TIMSS'!$F$5:$F$107,MATCH(K19,'Datos - Catálogo TIMSS'!$A$5:$A$107,0)),"Pendiente de clasificar")))</f>
        <v/>
      </c>
      <c r="O19" s="11">
        <f>IF(L19="","",IFERROR(INDEX('Datos - Catálogo TIMSS'!$C$5:$C$107,MATCH(L19,'Datos - Catálogo TIMSS'!$A$5:$A$107,0)),"?"))</f>
        <v/>
      </c>
      <c r="P19" s="11" t="inlineStr">
        <is>
          <t>media</t>
        </is>
      </c>
      <c r="Q19" s="38" t="inlineStr">
        <is>
          <t>Agua, sol y geotermia como recursos para generar electricidad.</t>
        </is>
      </c>
      <c r="R19" s="38" t="inlineStr">
        <is>
          <t>Conocer: reconocer. Aplicar: relacionar</t>
        </is>
      </c>
      <c r="S19" s="39">
        <f>IFERROR(ISNUMBER(SEARCH("Conocer",$R19))/(ISNUMBER(SEARCH("Conocer",$R19))+ISNUMBER(SEARCH("Aplicar",$R19))+ISNUMBER(SEARCH("Razonar",$R19))),0)</f>
        <v/>
      </c>
      <c r="T19" s="39">
        <f>IFERROR(ISNUMBER(SEARCH("Aplicar",$R19))/(ISNUMBER(SEARCH("Conocer",$R19))+ISNUMBER(SEARCH("Aplicar",$R19))+ISNUMBER(SEARCH("Razonar",$R19))),0)</f>
        <v/>
      </c>
      <c r="U19" s="39">
        <f>IFERROR(ISNUMBER(SEARCH("Razonar",$R19))/(ISNUMBER(SEARCH("Conocer",$R19))+ISNUMBER(SEARCH("Aplicar",$R19))+ISNUMBER(SEARCH("Razonar",$R19))),0)</f>
        <v/>
      </c>
      <c r="V19" s="11" t="inlineStr">
        <is>
          <t>2°</t>
        </is>
      </c>
      <c r="W19" s="11" t="inlineStr">
        <is>
          <t>Ciclo 2°–4°</t>
        </is>
      </c>
      <c r="X19" s="11">
        <f>IF(OR(IFERROR(INDEX('Datos - Catálogo TIMSS'!$I$5:$I$107,MATCH(K19,'Datos - Catálogo TIMSS'!$A$5:$A$107,0)),"No")="Sí",IFERROR(INDEX('Datos - Catálogo TIMSS'!$I$5:$I$107,MATCH(L19,'Datos - Catálogo TIMSS'!$A$5:$A$107,0)),"No")="Sí"),1,0)</f>
        <v/>
      </c>
      <c r="Y19" s="11">
        <f>IF(IFERROR(INDEX('Datos - Catálogo TIMSS'!$J$5:$J$107,MATCH(K19,'Datos - Catálogo TIMSS'!$A$5:$A$107,0)),"No")="Sí",1,0)</f>
        <v/>
      </c>
      <c r="Z19" s="11">
        <f>IF(IFERROR(INDEX('Datos - Catálogo TIMSS'!$J$5:$J$107,MATCH(L19,'Datos - Catálogo TIMSS'!$A$5:$A$107,0)),"No")="Sí",1,0)</f>
        <v/>
      </c>
      <c r="AA19" s="11" t="inlineStr">
        <is>
          <t>T4-F2.1</t>
        </is>
      </c>
      <c r="AB19" s="11" t="inlineStr"/>
      <c r="AC19" s="11">
        <f>IF(AA19="FUERA","Fuera del marco",IF(AA19="N/A","Sin marco",IFERROR(INDEX('Datos - TIMSS 2023'!$C$5:$C$105,MATCH(AA19,'Datos - TIMSS 2023'!$A$5:$A$105,0)),"Pendiente de clasificar")))</f>
        <v/>
      </c>
      <c r="AD19" s="11" t="inlineStr">
        <is>
          <t>3. Investigar, evaluar y usar información científica para tomar decisiones y actuar</t>
        </is>
      </c>
      <c r="AE19" s="11">
        <f>IF(AD19="","",IF(LEFT(AD19,1)="1","C1",IF(LEFT(AD19,1)="2","C2",IF(LEFT(AD19,1)="3","C3",""))))</f>
        <v/>
      </c>
      <c r="AF19" s="11" t="inlineStr">
        <is>
          <t>E6</t>
        </is>
      </c>
      <c r="AG19" s="11" t="inlineStr">
        <is>
          <t>E5</t>
        </is>
      </c>
      <c r="AH19" s="11" t="inlineStr">
        <is>
          <t>E2</t>
        </is>
      </c>
      <c r="AI19" s="11" t="inlineStr">
        <is>
          <t>I1</t>
        </is>
      </c>
      <c r="AJ19" s="11" t="inlineStr">
        <is>
          <t>I5</t>
        </is>
      </c>
      <c r="AK19" s="11" t="n"/>
      <c r="AL19" s="11" t="n"/>
      <c r="AM19" s="11" t="n"/>
      <c r="AN19" s="11" t="n"/>
      <c r="AO19" s="11" t="n"/>
      <c r="AP19" s="11" t="n"/>
      <c r="AQ19" s="11" t="n"/>
      <c r="AR19" s="11" t="n"/>
      <c r="AS19" s="11" t="n"/>
      <c r="AT19" s="11" t="n"/>
      <c r="AU19" s="11" t="n"/>
      <c r="AV19" s="11" t="n"/>
      <c r="AW19" s="11">
        <f>AF19&amp;"; "&amp;AG19&amp;"; "&amp;AH19&amp;"; "&amp;AI19&amp;"; "&amp;AJ19</f>
        <v/>
      </c>
    </row>
    <row r="20">
      <c r="A20" s="11" t="inlineStr">
        <is>
          <t>T0654-G02-CIE</t>
        </is>
      </c>
      <c r="B20" s="11" t="n">
        <v>2</v>
      </c>
      <c r="C20" s="11" t="inlineStr">
        <is>
          <t>Ciencias</t>
        </is>
      </c>
      <c r="D20" s="11" t="inlineStr">
        <is>
          <t>Matriz_Ciencias_2do_Grado_U1_U6_3.xlsx</t>
        </is>
      </c>
      <c r="E20" s="11" t="inlineStr">
        <is>
          <t>Unidad 2 - Energía</t>
        </is>
      </c>
      <c r="F20" s="11" t="n">
        <v>7</v>
      </c>
      <c r="G20" s="11" t="inlineStr">
        <is>
          <t>2. Energía.</t>
        </is>
      </c>
      <c r="H20" s="11" t="inlineStr">
        <is>
          <t>Formas de energía.</t>
        </is>
      </c>
      <c r="I20" s="38" t="inlineStr">
        <is>
          <t>2.4. Indagación de las fuentes de energía térmica del entorno.</t>
        </is>
      </c>
      <c r="J20" s="11" t="inlineStr">
        <is>
          <t>T4_27</t>
        </is>
      </c>
      <c r="K20" s="11" t="inlineStr">
        <is>
          <t>T4_27-P2.1</t>
        </is>
      </c>
      <c r="L20" s="11" t="inlineStr"/>
      <c r="M20" s="11">
        <f>IF(K20="FUERA","Fuera del marco",IF(K20="N/A","Sin marco",IFERROR(INDEX('Datos - Catálogo TIMSS'!$C$5:$C$107,MATCH(K20,'Datos - Catálogo TIMSS'!$A$5:$A$107,0)),"Pendiente de clasificar")))</f>
        <v/>
      </c>
      <c r="N20" s="11">
        <f>IF(K20="FUERA","Fuera del marco",IF(K20="N/A","Sin marco",IFERROR(INDEX('Datos - Catálogo TIMSS'!$F$5:$F$107,MATCH(K20,'Datos - Catálogo TIMSS'!$A$5:$A$107,0)),"Pendiente de clasificar")))</f>
        <v/>
      </c>
      <c r="O20" s="11">
        <f>IF(L20="","",IFERROR(INDEX('Datos - Catálogo TIMSS'!$C$5:$C$107,MATCH(L20,'Datos - Catálogo TIMSS'!$A$5:$A$107,0)),"?"))</f>
        <v/>
      </c>
      <c r="P20" s="11" t="inlineStr">
        <is>
          <t>media</t>
        </is>
      </c>
      <c r="Q20" s="38" t="inlineStr">
        <is>
          <t>Fuentes de calor cotidianas y su uso seguro.</t>
        </is>
      </c>
      <c r="R20" s="38" t="inlineStr">
        <is>
          <t>Conocer: identificar. Aplicar: comparar</t>
        </is>
      </c>
      <c r="S20" s="39">
        <f>IFERROR(ISNUMBER(SEARCH("Conocer",$R20))/(ISNUMBER(SEARCH("Conocer",$R20))+ISNUMBER(SEARCH("Aplicar",$R20))+ISNUMBER(SEARCH("Razonar",$R20))),0)</f>
        <v/>
      </c>
      <c r="T20" s="39">
        <f>IFERROR(ISNUMBER(SEARCH("Aplicar",$R20))/(ISNUMBER(SEARCH("Conocer",$R20))+ISNUMBER(SEARCH("Aplicar",$R20))+ISNUMBER(SEARCH("Razonar",$R20))),0)</f>
        <v/>
      </c>
      <c r="U20" s="39">
        <f>IFERROR(ISNUMBER(SEARCH("Razonar",$R20))/(ISNUMBER(SEARCH("Conocer",$R20))+ISNUMBER(SEARCH("Aplicar",$R20))+ISNUMBER(SEARCH("Razonar",$R20))),0)</f>
        <v/>
      </c>
      <c r="V20" s="11" t="inlineStr">
        <is>
          <t>2°</t>
        </is>
      </c>
      <c r="W20" s="11" t="inlineStr">
        <is>
          <t>Ciclo 2°–4°</t>
        </is>
      </c>
      <c r="X20" s="11">
        <f>IF(OR(IFERROR(INDEX('Datos - Catálogo TIMSS'!$I$5:$I$107,MATCH(K20,'Datos - Catálogo TIMSS'!$A$5:$A$107,0)),"No")="Sí",IFERROR(INDEX('Datos - Catálogo TIMSS'!$I$5:$I$107,MATCH(L20,'Datos - Catálogo TIMSS'!$A$5:$A$107,0)),"No")="Sí"),1,0)</f>
        <v/>
      </c>
      <c r="Y20" s="11">
        <f>IF(IFERROR(INDEX('Datos - Catálogo TIMSS'!$J$5:$J$107,MATCH(K20,'Datos - Catálogo TIMSS'!$A$5:$A$107,0)),"No")="Sí",1,0)</f>
        <v/>
      </c>
      <c r="Z20" s="11">
        <f>IF(IFERROR(INDEX('Datos - Catálogo TIMSS'!$J$5:$J$107,MATCH(L20,'Datos - Catálogo TIMSS'!$A$5:$A$107,0)),"No")="Sí",1,0)</f>
        <v/>
      </c>
      <c r="AA20" s="11" t="inlineStr">
        <is>
          <t>T4-F2.1</t>
        </is>
      </c>
      <c r="AB20" s="11" t="inlineStr"/>
      <c r="AC20" s="11">
        <f>IF(AA20="FUERA","Fuera del marco",IF(AA20="N/A","Sin marco",IFERROR(INDEX('Datos - TIMSS 2023'!$C$5:$C$105,MATCH(AA20,'Datos - TIMSS 2023'!$A$5:$A$105,0)),"Pendiente de clasificar")))</f>
        <v/>
      </c>
      <c r="AD20" s="11" t="inlineStr">
        <is>
          <t>1. Explicar fenómenos científicamente</t>
        </is>
      </c>
      <c r="AE20" s="11">
        <f>IF(AD20="","",IF(LEFT(AD20,1)="1","C1",IF(LEFT(AD20,1)="2","C2",IF(LEFT(AD20,1)="3","C3",""))))</f>
        <v/>
      </c>
      <c r="AF20" s="11" t="inlineStr">
        <is>
          <t>E1</t>
        </is>
      </c>
      <c r="AG20" s="11" t="inlineStr">
        <is>
          <t>D1</t>
        </is>
      </c>
      <c r="AH20" s="11" t="inlineStr">
        <is>
          <t>E1</t>
        </is>
      </c>
      <c r="AI20" s="11" t="inlineStr">
        <is>
          <t>D4</t>
        </is>
      </c>
      <c r="AJ20" s="11" t="inlineStr">
        <is>
          <t>I5</t>
        </is>
      </c>
      <c r="AK20" s="11" t="n"/>
      <c r="AL20" s="11" t="n"/>
      <c r="AM20" s="11" t="n"/>
      <c r="AN20" s="11" t="n"/>
      <c r="AO20" s="11" t="n"/>
      <c r="AP20" s="11" t="n"/>
      <c r="AQ20" s="11" t="n"/>
      <c r="AR20" s="11" t="n"/>
      <c r="AS20" s="11" t="n"/>
      <c r="AT20" s="11" t="n"/>
      <c r="AU20" s="11" t="n"/>
      <c r="AV20" s="11" t="n"/>
      <c r="AW20" s="11">
        <f>AF20&amp;"; "&amp;AG20&amp;"; "&amp;AH20&amp;"; "&amp;AI20&amp;"; "&amp;AJ20</f>
        <v/>
      </c>
    </row>
    <row r="21">
      <c r="A21" s="11" t="inlineStr">
        <is>
          <t>T0655-G02-CIE</t>
        </is>
      </c>
      <c r="B21" s="11" t="n">
        <v>2</v>
      </c>
      <c r="C21" s="11" t="inlineStr">
        <is>
          <t>Ciencias</t>
        </is>
      </c>
      <c r="D21" s="11" t="inlineStr">
        <is>
          <t>Matriz_Ciencias_2do_Grado_U1_U6_3.xlsx</t>
        </is>
      </c>
      <c r="E21" s="11" t="inlineStr">
        <is>
          <t>Unidad 2 - Energía</t>
        </is>
      </c>
      <c r="F21" s="11" t="n">
        <v>8</v>
      </c>
      <c r="G21" s="11" t="inlineStr">
        <is>
          <t>2. Energía.</t>
        </is>
      </c>
      <c r="H21" s="11" t="inlineStr">
        <is>
          <t>Formas de energía.</t>
        </is>
      </c>
      <c r="I21" s="38" t="inlineStr">
        <is>
          <t>2.5. Exploración de sonidos producidos al hacer vibrar objetos del entorno (ligas, vasos con agua, tambores caseros).</t>
        </is>
      </c>
      <c r="J21" s="11" t="inlineStr">
        <is>
          <t>T4_27</t>
        </is>
      </c>
      <c r="K21" s="11" t="inlineStr">
        <is>
          <t>T4_27-P3.2</t>
        </is>
      </c>
      <c r="L21" s="11" t="inlineStr"/>
      <c r="M21" s="11">
        <f>IF(K21="FUERA","Fuera del marco",IF(K21="N/A","Sin marco",IFERROR(INDEX('Datos - Catálogo TIMSS'!$C$5:$C$107,MATCH(K21,'Datos - Catálogo TIMSS'!$A$5:$A$107,0)),"Pendiente de clasificar")))</f>
        <v/>
      </c>
      <c r="N21" s="11">
        <f>IF(K21="FUERA","Fuera del marco",IF(K21="N/A","Sin marco",IFERROR(INDEX('Datos - Catálogo TIMSS'!$F$5:$F$107,MATCH(K21,'Datos - Catálogo TIMSS'!$A$5:$A$107,0)),"Pendiente de clasificar")))</f>
        <v/>
      </c>
      <c r="O21" s="11">
        <f>IF(L21="","",IFERROR(INDEX('Datos - Catálogo TIMSS'!$C$5:$C$107,MATCH(L21,'Datos - Catálogo TIMSS'!$A$5:$A$107,0)),"?"))</f>
        <v/>
      </c>
      <c r="P21" s="11" t="inlineStr">
        <is>
          <t>alta</t>
        </is>
      </c>
      <c r="Q21" s="38" t="inlineStr">
        <is>
          <t>Sonido producido por objetos que vibran; fuerte, suave, agudo, grave.</t>
        </is>
      </c>
      <c r="R21" s="38" t="inlineStr">
        <is>
          <t>Conocer: identificar y describir. Aplicar: comparar</t>
        </is>
      </c>
      <c r="S21" s="39">
        <f>IFERROR(ISNUMBER(SEARCH("Conocer",$R21))/(ISNUMBER(SEARCH("Conocer",$R21))+ISNUMBER(SEARCH("Aplicar",$R21))+ISNUMBER(SEARCH("Razonar",$R21))),0)</f>
        <v/>
      </c>
      <c r="T21" s="39">
        <f>IFERROR(ISNUMBER(SEARCH("Aplicar",$R21))/(ISNUMBER(SEARCH("Conocer",$R21))+ISNUMBER(SEARCH("Aplicar",$R21))+ISNUMBER(SEARCH("Razonar",$R21))),0)</f>
        <v/>
      </c>
      <c r="U21" s="39">
        <f>IFERROR(ISNUMBER(SEARCH("Razonar",$R21))/(ISNUMBER(SEARCH("Conocer",$R21))+ISNUMBER(SEARCH("Aplicar",$R21))+ISNUMBER(SEARCH("Razonar",$R21))),0)</f>
        <v/>
      </c>
      <c r="V21" s="11" t="inlineStr">
        <is>
          <t>2°</t>
        </is>
      </c>
      <c r="W21" s="11" t="inlineStr">
        <is>
          <t>Ciclo 2°–4°</t>
        </is>
      </c>
      <c r="X21" s="11">
        <f>IF(OR(IFERROR(INDEX('Datos - Catálogo TIMSS'!$I$5:$I$107,MATCH(K21,'Datos - Catálogo TIMSS'!$A$5:$A$107,0)),"No")="Sí",IFERROR(INDEX('Datos - Catálogo TIMSS'!$I$5:$I$107,MATCH(L21,'Datos - Catálogo TIMSS'!$A$5:$A$107,0)),"No")="Sí"),1,0)</f>
        <v/>
      </c>
      <c r="Y21" s="11">
        <f>IF(IFERROR(INDEX('Datos - Catálogo TIMSS'!$J$5:$J$107,MATCH(K21,'Datos - Catálogo TIMSS'!$A$5:$A$107,0)),"No")="Sí",1,0)</f>
        <v/>
      </c>
      <c r="Z21" s="11">
        <f>IF(IFERROR(INDEX('Datos - Catálogo TIMSS'!$J$5:$J$107,MATCH(L21,'Datos - Catálogo TIMSS'!$A$5:$A$107,0)),"No")="Sí",1,0)</f>
        <v/>
      </c>
      <c r="AA21" s="11" t="inlineStr">
        <is>
          <t>T4-F2.2</t>
        </is>
      </c>
      <c r="AB21" s="11" t="inlineStr"/>
      <c r="AC21" s="11">
        <f>IF(AA21="FUERA","Fuera del marco",IF(AA21="N/A","Sin marco",IFERROR(INDEX('Datos - TIMSS 2023'!$C$5:$C$105,MATCH(AA21,'Datos - TIMSS 2023'!$A$5:$A$105,0)),"Pendiente de clasificar")))</f>
        <v/>
      </c>
      <c r="AD21" s="11" t="inlineStr">
        <is>
          <t>1. Explicar fenómenos científicamente</t>
        </is>
      </c>
      <c r="AE21" s="11">
        <f>IF(AD21="","",IF(LEFT(AD21,1)="1","C1",IF(LEFT(AD21,1)="2","C2",IF(LEFT(AD21,1)="3","C3",""))))</f>
        <v/>
      </c>
      <c r="AF21" s="11" t="inlineStr">
        <is>
          <t>E1</t>
        </is>
      </c>
      <c r="AG21" s="11" t="inlineStr">
        <is>
          <t>E5</t>
        </is>
      </c>
      <c r="AH21" s="11" t="inlineStr">
        <is>
          <t>E1</t>
        </is>
      </c>
      <c r="AI21" s="11" t="inlineStr">
        <is>
          <t>D2</t>
        </is>
      </c>
      <c r="AJ21" s="11" t="inlineStr">
        <is>
          <t>E3</t>
        </is>
      </c>
      <c r="AK21" s="11" t="n"/>
      <c r="AL21" s="11" t="n"/>
      <c r="AM21" s="11" t="n"/>
      <c r="AN21" s="11" t="n"/>
      <c r="AO21" s="11" t="n"/>
      <c r="AP21" s="11" t="n"/>
      <c r="AQ21" s="11" t="n"/>
      <c r="AR21" s="11" t="n"/>
      <c r="AS21" s="11" t="n"/>
      <c r="AT21" s="11" t="n"/>
      <c r="AU21" s="11" t="n"/>
      <c r="AV21" s="11" t="n"/>
      <c r="AW21" s="11">
        <f>AF21&amp;"; "&amp;AG21&amp;"; "&amp;AH21&amp;"; "&amp;AI21&amp;"; "&amp;AJ21</f>
        <v/>
      </c>
    </row>
    <row r="22">
      <c r="A22" s="11" t="inlineStr">
        <is>
          <t>T0656-G02-CIE</t>
        </is>
      </c>
      <c r="B22" s="11" t="n">
        <v>2</v>
      </c>
      <c r="C22" s="11" t="inlineStr">
        <is>
          <t>Ciencias</t>
        </is>
      </c>
      <c r="D22" s="11" t="inlineStr">
        <is>
          <t>Matriz_Ciencias_2do_Grado_U1_U6_3.xlsx</t>
        </is>
      </c>
      <c r="E22" s="11" t="inlineStr">
        <is>
          <t>Unidad 2 - Energía</t>
        </is>
      </c>
      <c r="F22" s="11" t="n">
        <v>9</v>
      </c>
      <c r="G22" s="11" t="inlineStr">
        <is>
          <t>2. Energía.</t>
        </is>
      </c>
      <c r="H22" s="11" t="inlineStr">
        <is>
          <t>Fuentes de energía.</t>
        </is>
      </c>
      <c r="I22" s="38" t="inlineStr">
        <is>
          <t>2.6. Comparación de objetos colocados al sol y a la sombra para observar el efecto de la energía solar.</t>
        </is>
      </c>
      <c r="J22" s="11" t="inlineStr">
        <is>
          <t>T4_27</t>
        </is>
      </c>
      <c r="K22" s="11" t="inlineStr">
        <is>
          <t>T4_27-P2.2</t>
        </is>
      </c>
      <c r="L22" s="11" t="inlineStr">
        <is>
          <t>T4_27-P6.1</t>
        </is>
      </c>
      <c r="M22" s="11">
        <f>IF(K22="FUERA","Fuera del marco",IF(K22="N/A","Sin marco",IFERROR(INDEX('Datos - Catálogo TIMSS'!$C$5:$C$107,MATCH(K22,'Datos - Catálogo TIMSS'!$A$5:$A$107,0)),"Pendiente de clasificar")))</f>
        <v/>
      </c>
      <c r="N22" s="11">
        <f>IF(K22="FUERA","Fuera del marco",IF(K22="N/A","Sin marco",IFERROR(INDEX('Datos - Catálogo TIMSS'!$F$5:$F$107,MATCH(K22,'Datos - Catálogo TIMSS'!$A$5:$A$107,0)),"Pendiente de clasificar")))</f>
        <v/>
      </c>
      <c r="O22" s="11">
        <f>IF(L22="","",IFERROR(INDEX('Datos - Catálogo TIMSS'!$C$5:$C$107,MATCH(L22,'Datos - Catálogo TIMSS'!$A$5:$A$107,0)),"?"))</f>
        <v/>
      </c>
      <c r="P22" s="11" t="inlineStr">
        <is>
          <t>media</t>
        </is>
      </c>
      <c r="Q22" s="38" t="inlineStr">
        <is>
          <t>Calentamiento al sol frente a sombra; comparación controlada con predicción.</t>
        </is>
      </c>
      <c r="R22" s="38" t="inlineStr">
        <is>
          <t>Razonar: predecir y extraer conclusiones sencillas</t>
        </is>
      </c>
      <c r="S22" s="39">
        <f>IFERROR(ISNUMBER(SEARCH("Conocer",$R22))/(ISNUMBER(SEARCH("Conocer",$R22))+ISNUMBER(SEARCH("Aplicar",$R22))+ISNUMBER(SEARCH("Razonar",$R22))),0)</f>
        <v/>
      </c>
      <c r="T22" s="39">
        <f>IFERROR(ISNUMBER(SEARCH("Aplicar",$R22))/(ISNUMBER(SEARCH("Conocer",$R22))+ISNUMBER(SEARCH("Aplicar",$R22))+ISNUMBER(SEARCH("Razonar",$R22))),0)</f>
        <v/>
      </c>
      <c r="U22" s="39">
        <f>IFERROR(ISNUMBER(SEARCH("Razonar",$R22))/(ISNUMBER(SEARCH("Conocer",$R22))+ISNUMBER(SEARCH("Aplicar",$R22))+ISNUMBER(SEARCH("Razonar",$R22))),0)</f>
        <v/>
      </c>
      <c r="V22" s="11" t="inlineStr">
        <is>
          <t>2°</t>
        </is>
      </c>
      <c r="W22" s="11" t="inlineStr">
        <is>
          <t>Ciclo 2°–4°</t>
        </is>
      </c>
      <c r="X22" s="11">
        <f>IF(OR(IFERROR(INDEX('Datos - Catálogo TIMSS'!$I$5:$I$107,MATCH(K22,'Datos - Catálogo TIMSS'!$A$5:$A$107,0)),"No")="Sí",IFERROR(INDEX('Datos - Catálogo TIMSS'!$I$5:$I$107,MATCH(L22,'Datos - Catálogo TIMSS'!$A$5:$A$107,0)),"No")="Sí"),1,0)</f>
        <v/>
      </c>
      <c r="Y22" s="11">
        <f>IF(IFERROR(INDEX('Datos - Catálogo TIMSS'!$J$5:$J$107,MATCH(K22,'Datos - Catálogo TIMSS'!$A$5:$A$107,0)),"No")="Sí",1,0)</f>
        <v/>
      </c>
      <c r="Z22" s="11">
        <f>IF(IFERROR(INDEX('Datos - Catálogo TIMSS'!$J$5:$J$107,MATCH(L22,'Datos - Catálogo TIMSS'!$A$5:$A$107,0)),"No")="Sí",1,0)</f>
        <v/>
      </c>
      <c r="AA22" s="11" t="inlineStr">
        <is>
          <t>T4-F2.1</t>
        </is>
      </c>
      <c r="AB22" s="11" t="inlineStr">
        <is>
          <t>T4-F2.3</t>
        </is>
      </c>
      <c r="AC22" s="11">
        <f>IF(AA22="FUERA","Fuera del marco",IF(AA22="N/A","Sin marco",IFERROR(INDEX('Datos - TIMSS 2023'!$C$5:$C$105,MATCH(AA22,'Datos - TIMSS 2023'!$A$5:$A$105,0)),"Pendiente de clasificar")))</f>
        <v/>
      </c>
      <c r="AD22" s="11" t="inlineStr">
        <is>
          <t>2. Construir y evaluar diseños para la indagación científica e interpretar datos y evidencia de forma crítica</t>
        </is>
      </c>
      <c r="AE22" s="11">
        <f>IF(AD22="","",IF(LEFT(AD22,1)="1","C1",IF(LEFT(AD22,1)="2","C2",IF(LEFT(AD22,1)="3","C3",""))))</f>
        <v/>
      </c>
      <c r="AF22" s="11" t="inlineStr">
        <is>
          <t>E1</t>
        </is>
      </c>
      <c r="AG22" s="11" t="inlineStr">
        <is>
          <t>E3</t>
        </is>
      </c>
      <c r="AH22" s="11" t="inlineStr">
        <is>
          <t>E1</t>
        </is>
      </c>
      <c r="AI22" s="11" t="inlineStr">
        <is>
          <t>D3</t>
        </is>
      </c>
      <c r="AJ22" s="11" t="inlineStr">
        <is>
          <t>E6</t>
        </is>
      </c>
      <c r="AK22" s="11" t="n"/>
      <c r="AL22" s="11" t="n"/>
      <c r="AM22" s="11" t="n"/>
      <c r="AN22" s="11" t="n"/>
      <c r="AO22" s="11" t="n"/>
      <c r="AP22" s="11" t="n"/>
      <c r="AQ22" s="11" t="n"/>
      <c r="AR22" s="11" t="n"/>
      <c r="AS22" s="11" t="n"/>
      <c r="AT22" s="11" t="n"/>
      <c r="AU22" s="11" t="n"/>
      <c r="AV22" s="11" t="n"/>
      <c r="AW22" s="11">
        <f>AF22&amp;"; "&amp;AG22&amp;"; "&amp;AH22&amp;"; "&amp;AI22&amp;"; "&amp;AJ22</f>
        <v/>
      </c>
    </row>
    <row r="23">
      <c r="A23" s="11" t="inlineStr">
        <is>
          <t>T0657-G02-CIE</t>
        </is>
      </c>
      <c r="B23" s="11" t="n">
        <v>2</v>
      </c>
      <c r="C23" s="11" t="inlineStr">
        <is>
          <t>Ciencias</t>
        </is>
      </c>
      <c r="D23" s="11" t="inlineStr">
        <is>
          <t>Matriz_Ciencias_2do_Grado_U1_U6_3.xlsx</t>
        </is>
      </c>
      <c r="E23" s="11" t="inlineStr">
        <is>
          <t>Unidad 2 - Energía</t>
        </is>
      </c>
      <c r="F23" s="11" t="n">
        <v>10</v>
      </c>
      <c r="G23" s="11" t="inlineStr">
        <is>
          <t>2. Energía.</t>
        </is>
      </c>
      <c r="H23" s="11" t="inlineStr">
        <is>
          <t>Uso responsable de la energía.</t>
        </is>
      </c>
      <c r="I23" s="38" t="inlineStr">
        <is>
          <t>2.7. Identificación de acciones sencillas para ahorrar energía eléctrica en el hogar y la escuela.</t>
        </is>
      </c>
      <c r="J23" s="11" t="inlineStr">
        <is>
          <t>T4_27</t>
        </is>
      </c>
      <c r="K23" s="11" t="inlineStr">
        <is>
          <t>T4_27-E3.1</t>
        </is>
      </c>
      <c r="L23" s="11" t="inlineStr"/>
      <c r="M23" s="11">
        <f>IF(K23="FUERA","Fuera del marco",IF(K23="N/A","Sin marco",IFERROR(INDEX('Datos - Catálogo TIMSS'!$C$5:$C$107,MATCH(K23,'Datos - Catálogo TIMSS'!$A$5:$A$107,0)),"Pendiente de clasificar")))</f>
        <v/>
      </c>
      <c r="N23" s="11">
        <f>IF(K23="FUERA","Fuera del marco",IF(K23="N/A","Sin marco",IFERROR(INDEX('Datos - Catálogo TIMSS'!$F$5:$F$107,MATCH(K23,'Datos - Catálogo TIMSS'!$A$5:$A$107,0)),"Pendiente de clasificar")))</f>
        <v/>
      </c>
      <c r="O23" s="11">
        <f>IF(L23="","",IFERROR(INDEX('Datos - Catálogo TIMSS'!$C$5:$C$107,MATCH(L23,'Datos - Catálogo TIMSS'!$A$5:$A$107,0)),"?"))</f>
        <v/>
      </c>
      <c r="P23" s="11" t="inlineStr">
        <is>
          <t>media</t>
        </is>
      </c>
      <c r="Q23" s="38" t="inlineStr">
        <is>
          <t>Uso responsable de la energía eléctrica en casa y escuela.</t>
        </is>
      </c>
      <c r="R23" s="38" t="inlineStr">
        <is>
          <t>Aplicar: relacionar. Razonar: justificar con sus palabras</t>
        </is>
      </c>
      <c r="S23" s="39">
        <f>IFERROR(ISNUMBER(SEARCH("Conocer",$R23))/(ISNUMBER(SEARCH("Conocer",$R23))+ISNUMBER(SEARCH("Aplicar",$R23))+ISNUMBER(SEARCH("Razonar",$R23))),0)</f>
        <v/>
      </c>
      <c r="T23" s="39">
        <f>IFERROR(ISNUMBER(SEARCH("Aplicar",$R23))/(ISNUMBER(SEARCH("Conocer",$R23))+ISNUMBER(SEARCH("Aplicar",$R23))+ISNUMBER(SEARCH("Razonar",$R23))),0)</f>
        <v/>
      </c>
      <c r="U23" s="39">
        <f>IFERROR(ISNUMBER(SEARCH("Razonar",$R23))/(ISNUMBER(SEARCH("Conocer",$R23))+ISNUMBER(SEARCH("Aplicar",$R23))+ISNUMBER(SEARCH("Razonar",$R23))),0)</f>
        <v/>
      </c>
      <c r="V23" s="11" t="inlineStr">
        <is>
          <t>2°</t>
        </is>
      </c>
      <c r="W23" s="11" t="inlineStr">
        <is>
          <t>Ciclo 2°–4°</t>
        </is>
      </c>
      <c r="X23" s="11">
        <f>IF(OR(IFERROR(INDEX('Datos - Catálogo TIMSS'!$I$5:$I$107,MATCH(K23,'Datos - Catálogo TIMSS'!$A$5:$A$107,0)),"No")="Sí",IFERROR(INDEX('Datos - Catálogo TIMSS'!$I$5:$I$107,MATCH(L23,'Datos - Catálogo TIMSS'!$A$5:$A$107,0)),"No")="Sí"),1,0)</f>
        <v/>
      </c>
      <c r="Y23" s="11">
        <f>IF(IFERROR(INDEX('Datos - Catálogo TIMSS'!$J$5:$J$107,MATCH(K23,'Datos - Catálogo TIMSS'!$A$5:$A$107,0)),"No")="Sí",1,0)</f>
        <v/>
      </c>
      <c r="Z23" s="11">
        <f>IF(IFERROR(INDEX('Datos - Catálogo TIMSS'!$J$5:$J$107,MATCH(L23,'Datos - Catálogo TIMSS'!$A$5:$A$107,0)),"No")="Sí",1,0)</f>
        <v/>
      </c>
      <c r="AA23" s="11" t="inlineStr">
        <is>
          <t>T4-T1.2</t>
        </is>
      </c>
      <c r="AB23" s="11" t="inlineStr"/>
      <c r="AC23" s="11">
        <f>IF(AA23="FUERA","Fuera del marco",IF(AA23="N/A","Sin marco",IFERROR(INDEX('Datos - TIMSS 2023'!$C$5:$C$105,MATCH(AA23,'Datos - TIMSS 2023'!$A$5:$A$105,0)),"Pendiente de clasificar")))</f>
        <v/>
      </c>
      <c r="AD23" s="11" t="inlineStr">
        <is>
          <t>3. Investigar, evaluar y usar información científica para tomar decisiones y actuar</t>
        </is>
      </c>
      <c r="AE23" s="11">
        <f>IF(AD23="","",IF(LEFT(AD23,1)="1","C1",IF(LEFT(AD23,1)="2","C2",IF(LEFT(AD23,1)="3","C3",""))))</f>
        <v/>
      </c>
      <c r="AF23" s="11" t="inlineStr">
        <is>
          <t>E6</t>
        </is>
      </c>
      <c r="AG23" s="11" t="inlineStr">
        <is>
          <t>D1</t>
        </is>
      </c>
      <c r="AH23" s="11" t="inlineStr">
        <is>
          <t>E1</t>
        </is>
      </c>
      <c r="AI23" s="11" t="inlineStr">
        <is>
          <t>I3</t>
        </is>
      </c>
      <c r="AJ23" s="11" t="inlineStr">
        <is>
          <t>I5</t>
        </is>
      </c>
      <c r="AK23" s="11" t="n"/>
      <c r="AL23" s="11" t="n"/>
      <c r="AM23" s="11" t="n"/>
      <c r="AN23" s="11" t="n"/>
      <c r="AO23" s="11" t="n"/>
      <c r="AP23" s="11" t="n"/>
      <c r="AQ23" s="11" t="n"/>
      <c r="AR23" s="11" t="n"/>
      <c r="AS23" s="11" t="n"/>
      <c r="AT23" s="11" t="n"/>
      <c r="AU23" s="11" t="n"/>
      <c r="AV23" s="11" t="n"/>
      <c r="AW23" s="11">
        <f>AF23&amp;"; "&amp;AG23&amp;"; "&amp;AH23&amp;"; "&amp;AI23&amp;"; "&amp;AJ23</f>
        <v/>
      </c>
    </row>
    <row r="24">
      <c r="A24" s="11" t="inlineStr">
        <is>
          <t>T0658-G02-CIE</t>
        </is>
      </c>
      <c r="B24" s="11" t="n">
        <v>2</v>
      </c>
      <c r="C24" s="11" t="inlineStr">
        <is>
          <t>Ciencias</t>
        </is>
      </c>
      <c r="D24" s="11" t="inlineStr">
        <is>
          <t>Matriz_Ciencias_2do_Grado_U1_U6_3.xlsx</t>
        </is>
      </c>
      <c r="E24" s="11" t="inlineStr">
        <is>
          <t>Unidad 2 - Energía</t>
        </is>
      </c>
      <c r="F24" s="11" t="n">
        <v>11</v>
      </c>
      <c r="G24" s="11" t="inlineStr">
        <is>
          <t>2. Energía.</t>
        </is>
      </c>
      <c r="H24" s="11" t="inlineStr">
        <is>
          <t>Transformaciones de la energía.</t>
        </is>
      </c>
      <c r="I24" s="38" t="inlineStr">
        <is>
          <t>2.8. Experimentación con distintas transformaciones energéticas comunes.</t>
        </is>
      </c>
      <c r="J24" s="11" t="inlineStr">
        <is>
          <t>T4_27</t>
        </is>
      </c>
      <c r="K24" s="11" t="inlineStr">
        <is>
          <t>T4_27-P4.1</t>
        </is>
      </c>
      <c r="L24" s="11" t="inlineStr"/>
      <c r="M24" s="11">
        <f>IF(K24="FUERA","Fuera del marco",IF(K24="N/A","Sin marco",IFERROR(INDEX('Datos - Catálogo TIMSS'!$C$5:$C$107,MATCH(K24,'Datos - Catálogo TIMSS'!$A$5:$A$107,0)),"Pendiente de clasificar")))</f>
        <v/>
      </c>
      <c r="N24" s="11">
        <f>IF(K24="FUERA","Fuera del marco",IF(K24="N/A","Sin marco",IFERROR(INDEX('Datos - Catálogo TIMSS'!$F$5:$F$107,MATCH(K24,'Datos - Catálogo TIMSS'!$A$5:$A$107,0)),"Pendiente de clasificar")))</f>
        <v/>
      </c>
      <c r="O24" s="11">
        <f>IF(L24="","",IFERROR(INDEX('Datos - Catálogo TIMSS'!$C$5:$C$107,MATCH(L24,'Datos - Catálogo TIMSS'!$A$5:$A$107,0)),"?"))</f>
        <v/>
      </c>
      <c r="P24" s="11" t="inlineStr">
        <is>
          <t>alta</t>
        </is>
      </c>
      <c r="Q24" s="38" t="inlineStr">
        <is>
          <t>Energía eléctrica transformada en luz o movimiento en aparatos.</t>
        </is>
      </c>
      <c r="R24" s="38" t="inlineStr">
        <is>
          <t>Aplicar: relacionar y usar modelos sencillos (secuencias)</t>
        </is>
      </c>
      <c r="S24" s="39">
        <f>IFERROR(ISNUMBER(SEARCH("Conocer",$R24))/(ISNUMBER(SEARCH("Conocer",$R24))+ISNUMBER(SEARCH("Aplicar",$R24))+ISNUMBER(SEARCH("Razonar",$R24))),0)</f>
        <v/>
      </c>
      <c r="T24" s="39">
        <f>IFERROR(ISNUMBER(SEARCH("Aplicar",$R24))/(ISNUMBER(SEARCH("Conocer",$R24))+ISNUMBER(SEARCH("Aplicar",$R24))+ISNUMBER(SEARCH("Razonar",$R24))),0)</f>
        <v/>
      </c>
      <c r="U24" s="39">
        <f>IFERROR(ISNUMBER(SEARCH("Razonar",$R24))/(ISNUMBER(SEARCH("Conocer",$R24))+ISNUMBER(SEARCH("Aplicar",$R24))+ISNUMBER(SEARCH("Razonar",$R24))),0)</f>
        <v/>
      </c>
      <c r="V24" s="11" t="inlineStr">
        <is>
          <t>2°</t>
        </is>
      </c>
      <c r="W24" s="11" t="inlineStr">
        <is>
          <t>Ciclo 2°–4°</t>
        </is>
      </c>
      <c r="X24" s="11">
        <f>IF(OR(IFERROR(INDEX('Datos - Catálogo TIMSS'!$I$5:$I$107,MATCH(K24,'Datos - Catálogo TIMSS'!$A$5:$A$107,0)),"No")="Sí",IFERROR(INDEX('Datos - Catálogo TIMSS'!$I$5:$I$107,MATCH(L24,'Datos - Catálogo TIMSS'!$A$5:$A$107,0)),"No")="Sí"),1,0)</f>
        <v/>
      </c>
      <c r="Y24" s="11">
        <f>IF(IFERROR(INDEX('Datos - Catálogo TIMSS'!$J$5:$J$107,MATCH(K24,'Datos - Catálogo TIMSS'!$A$5:$A$107,0)),"No")="Sí",1,0)</f>
        <v/>
      </c>
      <c r="Z24" s="11">
        <f>IF(IFERROR(INDEX('Datos - Catálogo TIMSS'!$J$5:$J$107,MATCH(L24,'Datos - Catálogo TIMSS'!$A$5:$A$107,0)),"No")="Sí",1,0)</f>
        <v/>
      </c>
      <c r="AA24" s="11" t="inlineStr">
        <is>
          <t>T4-F2.4</t>
        </is>
      </c>
      <c r="AB24" s="11" t="inlineStr"/>
      <c r="AC24" s="11">
        <f>IF(AA24="FUERA","Fuera del marco",IF(AA24="N/A","Sin marco",IFERROR(INDEX('Datos - TIMSS 2023'!$C$5:$C$105,MATCH(AA24,'Datos - TIMSS 2023'!$A$5:$A$105,0)),"Pendiente de clasificar")))</f>
        <v/>
      </c>
      <c r="AD24" s="11" t="inlineStr">
        <is>
          <t>1. Explicar fenómenos científicamente</t>
        </is>
      </c>
      <c r="AE24" s="11">
        <f>IF(AD24="","",IF(LEFT(AD24,1)="1","C1",IF(LEFT(AD24,1)="2","C2",IF(LEFT(AD24,1)="3","C3",""))))</f>
        <v/>
      </c>
      <c r="AF24" s="11" t="inlineStr">
        <is>
          <t>E1</t>
        </is>
      </c>
      <c r="AG24" s="11" t="inlineStr">
        <is>
          <t>E5</t>
        </is>
      </c>
      <c r="AH24" s="11" t="inlineStr">
        <is>
          <t>E4</t>
        </is>
      </c>
      <c r="AI24" s="11" t="inlineStr">
        <is>
          <t>D4</t>
        </is>
      </c>
      <c r="AJ24" s="11" t="inlineStr">
        <is>
          <t>E4</t>
        </is>
      </c>
      <c r="AK24" s="11" t="n"/>
      <c r="AL24" s="11" t="n"/>
      <c r="AM24" s="11" t="n"/>
      <c r="AN24" s="11" t="n"/>
      <c r="AO24" s="11" t="n"/>
      <c r="AP24" s="11" t="n"/>
      <c r="AQ24" s="11" t="n"/>
      <c r="AR24" s="11" t="n"/>
      <c r="AS24" s="11" t="n"/>
      <c r="AT24" s="11" t="n"/>
      <c r="AU24" s="11" t="n"/>
      <c r="AV24" s="11" t="n"/>
      <c r="AW24" s="11">
        <f>AF24&amp;"; "&amp;AG24&amp;"; "&amp;AH24&amp;"; "&amp;AI24&amp;"; "&amp;AJ24</f>
        <v/>
      </c>
    </row>
    <row r="25">
      <c r="A25" s="11" t="inlineStr">
        <is>
          <t>T0659-G02-CIE</t>
        </is>
      </c>
      <c r="B25" s="11" t="n">
        <v>2</v>
      </c>
      <c r="C25" s="11" t="inlineStr">
        <is>
          <t>Ciencias</t>
        </is>
      </c>
      <c r="D25" s="11" t="inlineStr">
        <is>
          <t>Matriz_Ciencias_2do_Grado_U1_U6_3.xlsx</t>
        </is>
      </c>
      <c r="E25" s="11" t="inlineStr">
        <is>
          <t>Unidad 2 - Energía</t>
        </is>
      </c>
      <c r="F25" s="11" t="n">
        <v>12</v>
      </c>
      <c r="G25" s="11" t="inlineStr">
        <is>
          <t>2. Energía.</t>
        </is>
      </c>
      <c r="H25" s="11" t="inlineStr">
        <is>
          <t>La luz.</t>
        </is>
      </c>
      <c r="I25" s="38" t="inlineStr">
        <is>
          <t>2.9. Registro de las diferentes fuentes de energía lumínica, naturales y artificiales.</t>
        </is>
      </c>
      <c r="J25" s="11" t="inlineStr">
        <is>
          <t>T4_27</t>
        </is>
      </c>
      <c r="K25" s="11" t="inlineStr">
        <is>
          <t>T4_27-P3.1</t>
        </is>
      </c>
      <c r="L25" s="11" t="inlineStr"/>
      <c r="M25" s="11">
        <f>IF(K25="FUERA","Fuera del marco",IF(K25="N/A","Sin marco",IFERROR(INDEX('Datos - Catálogo TIMSS'!$C$5:$C$107,MATCH(K25,'Datos - Catálogo TIMSS'!$A$5:$A$107,0)),"Pendiente de clasificar")))</f>
        <v/>
      </c>
      <c r="N25" s="11">
        <f>IF(K25="FUERA","Fuera del marco",IF(K25="N/A","Sin marco",IFERROR(INDEX('Datos - Catálogo TIMSS'!$F$5:$F$107,MATCH(K25,'Datos - Catálogo TIMSS'!$A$5:$A$107,0)),"Pendiente de clasificar")))</f>
        <v/>
      </c>
      <c r="O25" s="11">
        <f>IF(L25="","",IFERROR(INDEX('Datos - Catálogo TIMSS'!$C$5:$C$107,MATCH(L25,'Datos - Catálogo TIMSS'!$A$5:$A$107,0)),"?"))</f>
        <v/>
      </c>
      <c r="P25" s="11" t="inlineStr">
        <is>
          <t>media</t>
        </is>
      </c>
      <c r="Q25" s="38" t="inlineStr">
        <is>
          <t>Fuentes de luz naturales y artificiales en la vida diaria.</t>
        </is>
      </c>
      <c r="R25" s="38" t="inlineStr">
        <is>
          <t>Aplicar: clasificar</t>
        </is>
      </c>
      <c r="S25" s="39">
        <f>IFERROR(ISNUMBER(SEARCH("Conocer",$R25))/(ISNUMBER(SEARCH("Conocer",$R25))+ISNUMBER(SEARCH("Aplicar",$R25))+ISNUMBER(SEARCH("Razonar",$R25))),0)</f>
        <v/>
      </c>
      <c r="T25" s="39">
        <f>IFERROR(ISNUMBER(SEARCH("Aplicar",$R25))/(ISNUMBER(SEARCH("Conocer",$R25))+ISNUMBER(SEARCH("Aplicar",$R25))+ISNUMBER(SEARCH("Razonar",$R25))),0)</f>
        <v/>
      </c>
      <c r="U25" s="39">
        <f>IFERROR(ISNUMBER(SEARCH("Razonar",$R25))/(ISNUMBER(SEARCH("Conocer",$R25))+ISNUMBER(SEARCH("Aplicar",$R25))+ISNUMBER(SEARCH("Razonar",$R25))),0)</f>
        <v/>
      </c>
      <c r="V25" s="11" t="inlineStr">
        <is>
          <t>2°</t>
        </is>
      </c>
      <c r="W25" s="11" t="inlineStr">
        <is>
          <t>Ciclo 2°–4°</t>
        </is>
      </c>
      <c r="X25" s="11">
        <f>IF(OR(IFERROR(INDEX('Datos - Catálogo TIMSS'!$I$5:$I$107,MATCH(K25,'Datos - Catálogo TIMSS'!$A$5:$A$107,0)),"No")="Sí",IFERROR(INDEX('Datos - Catálogo TIMSS'!$I$5:$I$107,MATCH(L25,'Datos - Catálogo TIMSS'!$A$5:$A$107,0)),"No")="Sí"),1,0)</f>
        <v/>
      </c>
      <c r="Y25" s="11">
        <f>IF(IFERROR(INDEX('Datos - Catálogo TIMSS'!$J$5:$J$107,MATCH(K25,'Datos - Catálogo TIMSS'!$A$5:$A$107,0)),"No")="Sí",1,0)</f>
        <v/>
      </c>
      <c r="Z25" s="11">
        <f>IF(IFERROR(INDEX('Datos - Catálogo TIMSS'!$J$5:$J$107,MATCH(L25,'Datos - Catálogo TIMSS'!$A$5:$A$107,0)),"No")="Sí",1,0)</f>
        <v/>
      </c>
      <c r="AA25" s="11" t="inlineStr">
        <is>
          <t>T4-F2.2</t>
        </is>
      </c>
      <c r="AB25" s="11" t="inlineStr"/>
      <c r="AC25" s="11">
        <f>IF(AA25="FUERA","Fuera del marco",IF(AA25="N/A","Sin marco",IFERROR(INDEX('Datos - TIMSS 2023'!$C$5:$C$105,MATCH(AA25,'Datos - TIMSS 2023'!$A$5:$A$105,0)),"Pendiente de clasificar")))</f>
        <v/>
      </c>
      <c r="AD25" s="11" t="inlineStr">
        <is>
          <t>2. Construir y evaluar diseños para la indagación científica e interpretar datos y evidencia de forma crítica</t>
        </is>
      </c>
      <c r="AE25" s="11">
        <f>IF(AD25="","",IF(LEFT(AD25,1)="1","C1",IF(LEFT(AD25,1)="2","C2",IF(LEFT(AD25,1)="3","C3",""))))</f>
        <v/>
      </c>
      <c r="AF25" s="11" t="inlineStr">
        <is>
          <t>E1</t>
        </is>
      </c>
      <c r="AG25" s="11" t="inlineStr">
        <is>
          <t>D1</t>
        </is>
      </c>
      <c r="AH25" s="11" t="inlineStr">
        <is>
          <t>E1</t>
        </is>
      </c>
      <c r="AI25" s="11" t="inlineStr">
        <is>
          <t>D4</t>
        </is>
      </c>
      <c r="AJ25" s="11" t="inlineStr">
        <is>
          <t>E6</t>
        </is>
      </c>
      <c r="AK25" s="11" t="n"/>
      <c r="AL25" s="11" t="n"/>
      <c r="AM25" s="11" t="n"/>
      <c r="AN25" s="11" t="n"/>
      <c r="AO25" s="11" t="n"/>
      <c r="AP25" s="11" t="n"/>
      <c r="AQ25" s="11" t="n"/>
      <c r="AR25" s="11" t="n"/>
      <c r="AS25" s="11" t="n"/>
      <c r="AT25" s="11" t="n"/>
      <c r="AU25" s="11" t="n"/>
      <c r="AV25" s="11" t="n"/>
      <c r="AW25" s="11">
        <f>AF25&amp;"; "&amp;AG25&amp;"; "&amp;AH25&amp;"; "&amp;AI25&amp;"; "&amp;AJ25</f>
        <v/>
      </c>
    </row>
    <row r="26">
      <c r="A26" s="11" t="inlineStr">
        <is>
          <t>T0660-G02-CIE</t>
        </is>
      </c>
      <c r="B26" s="11" t="n">
        <v>2</v>
      </c>
      <c r="C26" s="11" t="inlineStr">
        <is>
          <t>Ciencias</t>
        </is>
      </c>
      <c r="D26" s="11" t="inlineStr">
        <is>
          <t>Matriz_Ciencias_2do_Grado_U1_U6_3.xlsx</t>
        </is>
      </c>
      <c r="E26" s="11" t="inlineStr">
        <is>
          <t>Unidad 2 - Energía</t>
        </is>
      </c>
      <c r="F26" s="11" t="n">
        <v>13</v>
      </c>
      <c r="G26" s="11" t="inlineStr">
        <is>
          <t>2. Energía.</t>
        </is>
      </c>
      <c r="H26" s="11" t="inlineStr">
        <is>
          <t>La luz.</t>
        </is>
      </c>
      <c r="I26" s="38" t="inlineStr">
        <is>
          <t>2.10. Experimentación con colores primarios a partir de la mezcla de pinturas.</t>
        </is>
      </c>
      <c r="J26" s="11" t="inlineStr">
        <is>
          <t>T4_27</t>
        </is>
      </c>
      <c r="K26" s="11" t="inlineStr">
        <is>
          <t>FUERA</t>
        </is>
      </c>
      <c r="L26" s="11" t="inlineStr"/>
      <c r="M26" s="11">
        <f>IF(K26="FUERA","Fuera del marco",IF(K26="N/A","Sin marco",IFERROR(INDEX('Datos - Catálogo TIMSS'!$C$5:$C$107,MATCH(K26,'Datos - Catálogo TIMSS'!$A$5:$A$107,0)),"Pendiente de clasificar")))</f>
        <v/>
      </c>
      <c r="N26" s="11">
        <f>IF(K26="FUERA","Fuera del marco",IF(K26="N/A","Sin marco",IFERROR(INDEX('Datos - Catálogo TIMSS'!$F$5:$F$107,MATCH(K26,'Datos - Catálogo TIMSS'!$A$5:$A$107,0)),"Pendiente de clasificar")))</f>
        <v/>
      </c>
      <c r="O26" s="11">
        <f>IF(L26="","",IFERROR(INDEX('Datos - Catálogo TIMSS'!$C$5:$C$107,MATCH(L26,'Datos - Catálogo TIMSS'!$A$5:$A$107,0)),"?"))</f>
        <v/>
      </c>
      <c r="P26" s="11" t="inlineStr">
        <is>
          <t>media</t>
        </is>
      </c>
      <c r="Q26" s="38" t="inlineStr">
        <is>
          <t>Mezcla de pigmentos; no corresponde a luz ni cambios de materia.</t>
        </is>
      </c>
      <c r="R26" s="38" t="inlineStr">
        <is>
          <t>Razonar: predecir y comprobar</t>
        </is>
      </c>
      <c r="S26" s="39">
        <f>IFERROR(ISNUMBER(SEARCH("Conocer",$R26))/(ISNUMBER(SEARCH("Conocer",$R26))+ISNUMBER(SEARCH("Aplicar",$R26))+ISNUMBER(SEARCH("Razonar",$R26))),0)</f>
        <v/>
      </c>
      <c r="T26" s="39">
        <f>IFERROR(ISNUMBER(SEARCH("Aplicar",$R26))/(ISNUMBER(SEARCH("Conocer",$R26))+ISNUMBER(SEARCH("Aplicar",$R26))+ISNUMBER(SEARCH("Razonar",$R26))),0)</f>
        <v/>
      </c>
      <c r="U26" s="39">
        <f>IFERROR(ISNUMBER(SEARCH("Razonar",$R26))/(ISNUMBER(SEARCH("Conocer",$R26))+ISNUMBER(SEARCH("Aplicar",$R26))+ISNUMBER(SEARCH("Razonar",$R26))),0)</f>
        <v/>
      </c>
      <c r="V26" s="11" t="inlineStr">
        <is>
          <t>2°</t>
        </is>
      </c>
      <c r="W26" s="11" t="inlineStr">
        <is>
          <t>Ciclo 2°–4°</t>
        </is>
      </c>
      <c r="X26" s="11">
        <f>IF(OR(IFERROR(INDEX('Datos - Catálogo TIMSS'!$I$5:$I$107,MATCH(K26,'Datos - Catálogo TIMSS'!$A$5:$A$107,0)),"No")="Sí",IFERROR(INDEX('Datos - Catálogo TIMSS'!$I$5:$I$107,MATCH(L26,'Datos - Catálogo TIMSS'!$A$5:$A$107,0)),"No")="Sí"),1,0)</f>
        <v/>
      </c>
      <c r="Y26" s="11">
        <f>IF(IFERROR(INDEX('Datos - Catálogo TIMSS'!$J$5:$J$107,MATCH(K26,'Datos - Catálogo TIMSS'!$A$5:$A$107,0)),"No")="Sí",1,0)</f>
        <v/>
      </c>
      <c r="Z26" s="11">
        <f>IF(IFERROR(INDEX('Datos - Catálogo TIMSS'!$J$5:$J$107,MATCH(L26,'Datos - Catálogo TIMSS'!$A$5:$A$107,0)),"No")="Sí",1,0)</f>
        <v/>
      </c>
      <c r="AA26" s="11" t="inlineStr">
        <is>
          <t>FUERA</t>
        </is>
      </c>
      <c r="AB26" s="11" t="inlineStr"/>
      <c r="AC26" s="11">
        <f>IF(AA26="FUERA","Fuera del marco",IF(AA26="N/A","Sin marco",IFERROR(INDEX('Datos - TIMSS 2023'!$C$5:$C$105,MATCH(AA26,'Datos - TIMSS 2023'!$A$5:$A$105,0)),"Pendiente de clasificar")))</f>
        <v/>
      </c>
      <c r="AD26" s="11" t="inlineStr">
        <is>
          <t>2. Construir y evaluar diseños para la indagación científica e interpretar datos y evidencia de forma crítica</t>
        </is>
      </c>
      <c r="AE26" s="11">
        <f>IF(AD26="","",IF(LEFT(AD26,1)="1","C1",IF(LEFT(AD26,1)="2","C2",IF(LEFT(AD26,1)="3","C3",""))))</f>
        <v/>
      </c>
      <c r="AF26" s="11" t="inlineStr">
        <is>
          <t>E1</t>
        </is>
      </c>
      <c r="AG26" s="11" t="inlineStr">
        <is>
          <t>E3</t>
        </is>
      </c>
      <c r="AH26" s="11" t="inlineStr">
        <is>
          <t>E1</t>
        </is>
      </c>
      <c r="AI26" s="11" t="inlineStr">
        <is>
          <t>D4</t>
        </is>
      </c>
      <c r="AJ26" s="11" t="inlineStr">
        <is>
          <t>E3</t>
        </is>
      </c>
      <c r="AK26" s="11" t="n"/>
      <c r="AL26" s="11" t="n"/>
      <c r="AM26" s="11" t="n"/>
      <c r="AN26" s="11" t="n"/>
      <c r="AO26" s="11" t="n"/>
      <c r="AP26" s="11" t="n"/>
      <c r="AQ26" s="11" t="n"/>
      <c r="AR26" s="11" t="n"/>
      <c r="AS26" s="11" t="n"/>
      <c r="AT26" s="11" t="n"/>
      <c r="AU26" s="11" t="n"/>
      <c r="AV26" s="11" t="n"/>
      <c r="AW26" s="11">
        <f>AF26&amp;"; "&amp;AG26&amp;"; "&amp;AH26&amp;"; "&amp;AI26&amp;"; "&amp;AJ26</f>
        <v/>
      </c>
    </row>
    <row r="27">
      <c r="A27" s="11" t="inlineStr">
        <is>
          <t>T0661-G02-CIE</t>
        </is>
      </c>
      <c r="B27" s="11" t="n">
        <v>2</v>
      </c>
      <c r="C27" s="11" t="inlineStr">
        <is>
          <t>Ciencias</t>
        </is>
      </c>
      <c r="D27" s="11" t="inlineStr">
        <is>
          <t>Matriz_Ciencias_2do_Grado_U1_U6_3.xlsx</t>
        </is>
      </c>
      <c r="E27" s="11" t="inlineStr">
        <is>
          <t>Unidad 2 - Energía</t>
        </is>
      </c>
      <c r="F27" s="11" t="n">
        <v>14</v>
      </c>
      <c r="G27" s="11" t="inlineStr">
        <is>
          <t>2. Energía.</t>
        </is>
      </c>
      <c r="H27" s="11" t="inlineStr">
        <is>
          <t>La luz.</t>
        </is>
      </c>
      <c r="I27" s="38" t="inlineStr">
        <is>
          <t>2.11. Experimentación con materiales que dejan pasar la luz, la dejan pasar en parte o no la dejan pasar.</t>
        </is>
      </c>
      <c r="J27" s="11" t="inlineStr">
        <is>
          <t>T4_27</t>
        </is>
      </c>
      <c r="K27" s="11" t="inlineStr">
        <is>
          <t>T4_27-P3.1</t>
        </is>
      </c>
      <c r="L27" s="11" t="inlineStr">
        <is>
          <t>T4_27-P1.2</t>
        </is>
      </c>
      <c r="M27" s="11">
        <f>IF(K27="FUERA","Fuera del marco",IF(K27="N/A","Sin marco",IFERROR(INDEX('Datos - Catálogo TIMSS'!$C$5:$C$107,MATCH(K27,'Datos - Catálogo TIMSS'!$A$5:$A$107,0)),"Pendiente de clasificar")))</f>
        <v/>
      </c>
      <c r="N27" s="11">
        <f>IF(K27="FUERA","Fuera del marco",IF(K27="N/A","Sin marco",IFERROR(INDEX('Datos - Catálogo TIMSS'!$F$5:$F$107,MATCH(K27,'Datos - Catálogo TIMSS'!$A$5:$A$107,0)),"Pendiente de clasificar")))</f>
        <v/>
      </c>
      <c r="O27" s="11">
        <f>IF(L27="","",IFERROR(INDEX('Datos - Catálogo TIMSS'!$C$5:$C$107,MATCH(L27,'Datos - Catálogo TIMSS'!$A$5:$A$107,0)),"?"))</f>
        <v/>
      </c>
      <c r="P27" s="11" t="inlineStr">
        <is>
          <t>media</t>
        </is>
      </c>
      <c r="Q27" s="38" t="inlineStr">
        <is>
          <t>Paso de la luz por materiales; clasifica opacos, transparentes, translúcidos.</t>
        </is>
      </c>
      <c r="R27" s="38" t="inlineStr">
        <is>
          <t>Aplicar: clasificar</t>
        </is>
      </c>
      <c r="S27" s="39">
        <f>IFERROR(ISNUMBER(SEARCH("Conocer",$R27))/(ISNUMBER(SEARCH("Conocer",$R27))+ISNUMBER(SEARCH("Aplicar",$R27))+ISNUMBER(SEARCH("Razonar",$R27))),0)</f>
        <v/>
      </c>
      <c r="T27" s="39">
        <f>IFERROR(ISNUMBER(SEARCH("Aplicar",$R27))/(ISNUMBER(SEARCH("Conocer",$R27))+ISNUMBER(SEARCH("Aplicar",$R27))+ISNUMBER(SEARCH("Razonar",$R27))),0)</f>
        <v/>
      </c>
      <c r="U27" s="39">
        <f>IFERROR(ISNUMBER(SEARCH("Razonar",$R27))/(ISNUMBER(SEARCH("Conocer",$R27))+ISNUMBER(SEARCH("Aplicar",$R27))+ISNUMBER(SEARCH("Razonar",$R27))),0)</f>
        <v/>
      </c>
      <c r="V27" s="11" t="inlineStr">
        <is>
          <t>2°</t>
        </is>
      </c>
      <c r="W27" s="11" t="inlineStr">
        <is>
          <t>Ciclo 2°–4°</t>
        </is>
      </c>
      <c r="X27" s="11">
        <f>IF(OR(IFERROR(INDEX('Datos - Catálogo TIMSS'!$I$5:$I$107,MATCH(K27,'Datos - Catálogo TIMSS'!$A$5:$A$107,0)),"No")="Sí",IFERROR(INDEX('Datos - Catálogo TIMSS'!$I$5:$I$107,MATCH(L27,'Datos - Catálogo TIMSS'!$A$5:$A$107,0)),"No")="Sí"),1,0)</f>
        <v/>
      </c>
      <c r="Y27" s="11">
        <f>IF(IFERROR(INDEX('Datos - Catálogo TIMSS'!$J$5:$J$107,MATCH(K27,'Datos - Catálogo TIMSS'!$A$5:$A$107,0)),"No")="Sí",1,0)</f>
        <v/>
      </c>
      <c r="Z27" s="11">
        <f>IF(IFERROR(INDEX('Datos - Catálogo TIMSS'!$J$5:$J$107,MATCH(L27,'Datos - Catálogo TIMSS'!$A$5:$A$107,0)),"No")="Sí",1,0)</f>
        <v/>
      </c>
      <c r="AA27" s="11" t="inlineStr">
        <is>
          <t>T4-F2.2</t>
        </is>
      </c>
      <c r="AB27" s="11" t="inlineStr">
        <is>
          <t>T4-F1.2</t>
        </is>
      </c>
      <c r="AC27" s="11">
        <f>IF(AA27="FUERA","Fuera del marco",IF(AA27="N/A","Sin marco",IFERROR(INDEX('Datos - TIMSS 2023'!$C$5:$C$105,MATCH(AA27,'Datos - TIMSS 2023'!$A$5:$A$105,0)),"Pendiente de clasificar")))</f>
        <v/>
      </c>
      <c r="AD27" s="11" t="inlineStr">
        <is>
          <t>2. Construir y evaluar diseños para la indagación científica e interpretar datos y evidencia de forma crítica</t>
        </is>
      </c>
      <c r="AE27" s="11">
        <f>IF(AD27="","",IF(LEFT(AD27,1)="1","C1",IF(LEFT(AD27,1)="2","C2",IF(LEFT(AD27,1)="3","C3",""))))</f>
        <v/>
      </c>
      <c r="AF27" s="11" t="inlineStr">
        <is>
          <t>E1</t>
        </is>
      </c>
      <c r="AG27" s="11" t="inlineStr">
        <is>
          <t>E5</t>
        </is>
      </c>
      <c r="AH27" s="11" t="inlineStr">
        <is>
          <t>E1</t>
        </is>
      </c>
      <c r="AI27" s="11" t="inlineStr">
        <is>
          <t>D2</t>
        </is>
      </c>
      <c r="AJ27" s="11" t="inlineStr">
        <is>
          <t>I5</t>
        </is>
      </c>
      <c r="AK27" s="11" t="n"/>
      <c r="AL27" s="11" t="n"/>
      <c r="AM27" s="11" t="n"/>
      <c r="AN27" s="11" t="n"/>
      <c r="AO27" s="11" t="n"/>
      <c r="AP27" s="11" t="n"/>
      <c r="AQ27" s="11" t="n"/>
      <c r="AR27" s="11" t="n"/>
      <c r="AS27" s="11" t="n"/>
      <c r="AT27" s="11" t="n"/>
      <c r="AU27" s="11" t="n"/>
      <c r="AV27" s="11" t="n"/>
      <c r="AW27" s="11">
        <f>AF27&amp;"; "&amp;AG27&amp;"; "&amp;AH27&amp;"; "&amp;AI27&amp;"; "&amp;AJ27</f>
        <v/>
      </c>
    </row>
    <row r="28">
      <c r="A28" s="11" t="inlineStr">
        <is>
          <t>T0662-G02-CIE</t>
        </is>
      </c>
      <c r="B28" s="11" t="n">
        <v>2</v>
      </c>
      <c r="C28" s="11" t="inlineStr">
        <is>
          <t>Ciencias</t>
        </is>
      </c>
      <c r="D28" s="11" t="inlineStr">
        <is>
          <t>Matriz_Ciencias_2do_Grado_U1_U6_3.xlsx</t>
        </is>
      </c>
      <c r="E28" s="11" t="inlineStr">
        <is>
          <t>Unidad 3 - Movimiento</t>
        </is>
      </c>
      <c r="F28" s="11" t="n">
        <v>3</v>
      </c>
      <c r="G28" s="11" t="inlineStr">
        <is>
          <t>3. El movimiento</t>
        </is>
      </c>
      <c r="H28" s="11" t="inlineStr">
        <is>
          <t>¿Qué es el movimiento?</t>
        </is>
      </c>
      <c r="I28" s="38" t="inlineStr">
        <is>
          <t>3.1. Observación de objetos y seres vivos del entorno que se mueven o están en reposo.</t>
        </is>
      </c>
      <c r="J28" s="11" t="inlineStr">
        <is>
          <t>T4_27</t>
        </is>
      </c>
      <c r="K28" s="11" t="inlineStr">
        <is>
          <t>T4_27-P5.1</t>
        </is>
      </c>
      <c r="L28" s="11" t="inlineStr"/>
      <c r="M28" s="11">
        <f>IF(K28="FUERA","Fuera del marco",IF(K28="N/A","Sin marco",IFERROR(INDEX('Datos - Catálogo TIMSS'!$C$5:$C$107,MATCH(K28,'Datos - Catálogo TIMSS'!$A$5:$A$107,0)),"Pendiente de clasificar")))</f>
        <v/>
      </c>
      <c r="N28" s="11">
        <f>IF(K28="FUERA","Fuera del marco",IF(K28="N/A","Sin marco",IFERROR(INDEX('Datos - Catálogo TIMSS'!$F$5:$F$107,MATCH(K28,'Datos - Catálogo TIMSS'!$A$5:$A$107,0)),"Pendiente de clasificar")))</f>
        <v/>
      </c>
      <c r="O28" s="11">
        <f>IF(L28="","",IFERROR(INDEX('Datos - Catálogo TIMSS'!$C$5:$C$107,MATCH(L28,'Datos - Catálogo TIMSS'!$A$5:$A$107,0)),"?"))</f>
        <v/>
      </c>
      <c r="P28" s="11" t="inlineStr">
        <is>
          <t>media</t>
        </is>
      </c>
      <c r="Q28" s="38" t="inlineStr">
        <is>
          <t>Distingue objetos en movimiento y en reposo.</t>
        </is>
      </c>
      <c r="R28" s="38" t="inlineStr">
        <is>
          <t>Conocer: identificar y dar ejemplos</t>
        </is>
      </c>
      <c r="S28" s="39">
        <f>IFERROR(ISNUMBER(SEARCH("Conocer",$R28))/(ISNUMBER(SEARCH("Conocer",$R28))+ISNUMBER(SEARCH("Aplicar",$R28))+ISNUMBER(SEARCH("Razonar",$R28))),0)</f>
        <v/>
      </c>
      <c r="T28" s="39">
        <f>IFERROR(ISNUMBER(SEARCH("Aplicar",$R28))/(ISNUMBER(SEARCH("Conocer",$R28))+ISNUMBER(SEARCH("Aplicar",$R28))+ISNUMBER(SEARCH("Razonar",$R28))),0)</f>
        <v/>
      </c>
      <c r="U28" s="39">
        <f>IFERROR(ISNUMBER(SEARCH("Razonar",$R28))/(ISNUMBER(SEARCH("Conocer",$R28))+ISNUMBER(SEARCH("Aplicar",$R28))+ISNUMBER(SEARCH("Razonar",$R28))),0)</f>
        <v/>
      </c>
      <c r="V28" s="11" t="inlineStr">
        <is>
          <t>2°</t>
        </is>
      </c>
      <c r="W28" s="11" t="inlineStr">
        <is>
          <t>Ciclo 2°–4°</t>
        </is>
      </c>
      <c r="X28" s="11">
        <f>IF(OR(IFERROR(INDEX('Datos - Catálogo TIMSS'!$I$5:$I$107,MATCH(K28,'Datos - Catálogo TIMSS'!$A$5:$A$107,0)),"No")="Sí",IFERROR(INDEX('Datos - Catálogo TIMSS'!$I$5:$I$107,MATCH(L28,'Datos - Catálogo TIMSS'!$A$5:$A$107,0)),"No")="Sí"),1,0)</f>
        <v/>
      </c>
      <c r="Y28" s="11">
        <f>IF(IFERROR(INDEX('Datos - Catálogo TIMSS'!$J$5:$J$107,MATCH(K28,'Datos - Catálogo TIMSS'!$A$5:$A$107,0)),"No")="Sí",1,0)</f>
        <v/>
      </c>
      <c r="Z28" s="11">
        <f>IF(IFERROR(INDEX('Datos - Catálogo TIMSS'!$J$5:$J$107,MATCH(L28,'Datos - Catálogo TIMSS'!$A$5:$A$107,0)),"No")="Sí",1,0)</f>
        <v/>
      </c>
      <c r="AA28" s="11" t="inlineStr">
        <is>
          <t>T4-F3.1</t>
        </is>
      </c>
      <c r="AB28" s="11" t="inlineStr"/>
      <c r="AC28" s="11">
        <f>IF(AA28="FUERA","Fuera del marco",IF(AA28="N/A","Sin marco",IFERROR(INDEX('Datos - TIMSS 2023'!$C$5:$C$105,MATCH(AA28,'Datos - TIMSS 2023'!$A$5:$A$105,0)),"Pendiente de clasificar")))</f>
        <v/>
      </c>
      <c r="AD28" s="11" t="inlineStr">
        <is>
          <t>1. Explicar fenómenos científicamente</t>
        </is>
      </c>
      <c r="AE28" s="11">
        <f>IF(AD28="","",IF(LEFT(AD28,1)="1","C1",IF(LEFT(AD28,1)="2","C2",IF(LEFT(AD28,1)="3","C3",""))))</f>
        <v/>
      </c>
      <c r="AF28" s="11" t="inlineStr">
        <is>
          <t>E1</t>
        </is>
      </c>
      <c r="AG28" s="11" t="inlineStr">
        <is>
          <t>D1</t>
        </is>
      </c>
      <c r="AH28" s="11" t="inlineStr">
        <is>
          <t>E1</t>
        </is>
      </c>
      <c r="AI28" s="11" t="inlineStr">
        <is>
          <t>D4</t>
        </is>
      </c>
      <c r="AJ28" s="11" t="inlineStr">
        <is>
          <t>E1</t>
        </is>
      </c>
      <c r="AK28" s="11" t="n"/>
      <c r="AL28" s="11" t="n"/>
      <c r="AM28" s="11" t="n"/>
      <c r="AN28" s="11" t="n"/>
      <c r="AO28" s="11" t="n"/>
      <c r="AP28" s="11" t="n"/>
      <c r="AQ28" s="11" t="n"/>
      <c r="AR28" s="11" t="n"/>
      <c r="AS28" s="11" t="n"/>
      <c r="AT28" s="11" t="n"/>
      <c r="AU28" s="11" t="n"/>
      <c r="AV28" s="11" t="n"/>
      <c r="AW28" s="11">
        <f>AF28&amp;"; "&amp;AG28&amp;"; "&amp;AH28&amp;"; "&amp;AI28&amp;"; "&amp;AJ28</f>
        <v/>
      </c>
    </row>
    <row r="29">
      <c r="A29" s="11" t="inlineStr">
        <is>
          <t>T0663-G02-CIE</t>
        </is>
      </c>
      <c r="B29" s="11" t="n">
        <v>2</v>
      </c>
      <c r="C29" s="11" t="inlineStr">
        <is>
          <t>Ciencias</t>
        </is>
      </c>
      <c r="D29" s="11" t="inlineStr">
        <is>
          <t>Matriz_Ciencias_2do_Grado_U1_U6_3.xlsx</t>
        </is>
      </c>
      <c r="E29" s="11" t="inlineStr">
        <is>
          <t>Unidad 3 - Movimiento</t>
        </is>
      </c>
      <c r="F29" s="11" t="n">
        <v>4</v>
      </c>
      <c r="G29" s="11" t="inlineStr">
        <is>
          <t>3. El movimiento</t>
        </is>
      </c>
      <c r="H29" s="11" t="inlineStr">
        <is>
          <t>Las características del movimiento</t>
        </is>
      </c>
      <c r="I29" s="38" t="inlineStr">
        <is>
          <t>3.2. Comparación de la rapidez y la dirección del movimiento de objetos y personas.</t>
        </is>
      </c>
      <c r="J29" s="11" t="inlineStr">
        <is>
          <t>T4_27</t>
        </is>
      </c>
      <c r="K29" s="11" t="inlineStr">
        <is>
          <t>T4_27-P5.1</t>
        </is>
      </c>
      <c r="L29" s="11" t="inlineStr"/>
      <c r="M29" s="11">
        <f>IF(K29="FUERA","Fuera del marco",IF(K29="N/A","Sin marco",IFERROR(INDEX('Datos - Catálogo TIMSS'!$C$5:$C$107,MATCH(K29,'Datos - Catálogo TIMSS'!$A$5:$A$107,0)),"Pendiente de clasificar")))</f>
        <v/>
      </c>
      <c r="N29" s="11">
        <f>IF(K29="FUERA","Fuera del marco",IF(K29="N/A","Sin marco",IFERROR(INDEX('Datos - Catálogo TIMSS'!$F$5:$F$107,MATCH(K29,'Datos - Catálogo TIMSS'!$A$5:$A$107,0)),"Pendiente de clasificar")))</f>
        <v/>
      </c>
      <c r="O29" s="11">
        <f>IF(L29="","",IFERROR(INDEX('Datos - Catálogo TIMSS'!$C$5:$C$107,MATCH(L29,'Datos - Catálogo TIMSS'!$A$5:$A$107,0)),"?"))</f>
        <v/>
      </c>
      <c r="P29" s="11" t="inlineStr">
        <is>
          <t>media</t>
        </is>
      </c>
      <c r="Q29" s="38" t="inlineStr">
        <is>
          <t>Compara rapidez y dirección del movimiento de objetos.</t>
        </is>
      </c>
      <c r="R29" s="38" t="inlineStr">
        <is>
          <t>Aplicar: comparar. Razonar: predecir</t>
        </is>
      </c>
      <c r="S29" s="39">
        <f>IFERROR(ISNUMBER(SEARCH("Conocer",$R29))/(ISNUMBER(SEARCH("Conocer",$R29))+ISNUMBER(SEARCH("Aplicar",$R29))+ISNUMBER(SEARCH("Razonar",$R29))),0)</f>
        <v/>
      </c>
      <c r="T29" s="39">
        <f>IFERROR(ISNUMBER(SEARCH("Aplicar",$R29))/(ISNUMBER(SEARCH("Conocer",$R29))+ISNUMBER(SEARCH("Aplicar",$R29))+ISNUMBER(SEARCH("Razonar",$R29))),0)</f>
        <v/>
      </c>
      <c r="U29" s="39">
        <f>IFERROR(ISNUMBER(SEARCH("Razonar",$R29))/(ISNUMBER(SEARCH("Conocer",$R29))+ISNUMBER(SEARCH("Aplicar",$R29))+ISNUMBER(SEARCH("Razonar",$R29))),0)</f>
        <v/>
      </c>
      <c r="V29" s="11" t="inlineStr">
        <is>
          <t>2°</t>
        </is>
      </c>
      <c r="W29" s="11" t="inlineStr">
        <is>
          <t>Ciclo 2°–4°</t>
        </is>
      </c>
      <c r="X29" s="11">
        <f>IF(OR(IFERROR(INDEX('Datos - Catálogo TIMSS'!$I$5:$I$107,MATCH(K29,'Datos - Catálogo TIMSS'!$A$5:$A$107,0)),"No")="Sí",IFERROR(INDEX('Datos - Catálogo TIMSS'!$I$5:$I$107,MATCH(L29,'Datos - Catálogo TIMSS'!$A$5:$A$107,0)),"No")="Sí"),1,0)</f>
        <v/>
      </c>
      <c r="Y29" s="11">
        <f>IF(IFERROR(INDEX('Datos - Catálogo TIMSS'!$J$5:$J$107,MATCH(K29,'Datos - Catálogo TIMSS'!$A$5:$A$107,0)),"No")="Sí",1,0)</f>
        <v/>
      </c>
      <c r="Z29" s="11">
        <f>IF(IFERROR(INDEX('Datos - Catálogo TIMSS'!$J$5:$J$107,MATCH(L29,'Datos - Catálogo TIMSS'!$A$5:$A$107,0)),"No")="Sí",1,0)</f>
        <v/>
      </c>
      <c r="AA29" s="11" t="inlineStr">
        <is>
          <t>T4-F3.1</t>
        </is>
      </c>
      <c r="AB29" s="11" t="inlineStr"/>
      <c r="AC29" s="11">
        <f>IF(AA29="FUERA","Fuera del marco",IF(AA29="N/A","Sin marco",IFERROR(INDEX('Datos - TIMSS 2023'!$C$5:$C$105,MATCH(AA29,'Datos - TIMSS 2023'!$A$5:$A$105,0)),"Pendiente de clasificar")))</f>
        <v/>
      </c>
      <c r="AD29" s="11" t="inlineStr">
        <is>
          <t>2. Construir y evaluar diseños para la indagación científica e interpretar datos y evidencia de forma crítica</t>
        </is>
      </c>
      <c r="AE29" s="11">
        <f>IF(AD29="","",IF(LEFT(AD29,1)="1","C1",IF(LEFT(AD29,1)="2","C2",IF(LEFT(AD29,1)="3","C3",""))))</f>
        <v/>
      </c>
      <c r="AF29" s="11" t="inlineStr">
        <is>
          <t>E1</t>
        </is>
      </c>
      <c r="AG29" s="11" t="inlineStr">
        <is>
          <t>E3</t>
        </is>
      </c>
      <c r="AH29" s="11" t="inlineStr">
        <is>
          <t>E2</t>
        </is>
      </c>
      <c r="AI29" s="11" t="inlineStr">
        <is>
          <t>D3</t>
        </is>
      </c>
      <c r="AJ29" s="11" t="inlineStr">
        <is>
          <t>E6</t>
        </is>
      </c>
      <c r="AK29" s="11" t="n"/>
      <c r="AL29" s="11" t="n"/>
      <c r="AM29" s="11" t="n"/>
      <c r="AN29" s="11" t="n"/>
      <c r="AO29" s="11" t="n"/>
      <c r="AP29" s="11" t="n"/>
      <c r="AQ29" s="11" t="n"/>
      <c r="AR29" s="11" t="n"/>
      <c r="AS29" s="11" t="n"/>
      <c r="AT29" s="11" t="n"/>
      <c r="AU29" s="11" t="n"/>
      <c r="AV29" s="11" t="n"/>
      <c r="AW29" s="11">
        <f>AF29&amp;"; "&amp;AG29&amp;"; "&amp;AH29&amp;"; "&amp;AI29&amp;"; "&amp;AJ29</f>
        <v/>
      </c>
    </row>
    <row r="30">
      <c r="A30" s="11" t="inlineStr">
        <is>
          <t>T0664-G02-CIE</t>
        </is>
      </c>
      <c r="B30" s="11" t="n">
        <v>2</v>
      </c>
      <c r="C30" s="11" t="inlineStr">
        <is>
          <t>Ciencias</t>
        </is>
      </c>
      <c r="D30" s="11" t="inlineStr">
        <is>
          <t>Matriz_Ciencias_2do_Grado_U1_U6_3.xlsx</t>
        </is>
      </c>
      <c r="E30" s="11" t="inlineStr">
        <is>
          <t>Unidad 3 - Movimiento</t>
        </is>
      </c>
      <c r="F30" s="11" t="n">
        <v>5</v>
      </c>
      <c r="G30" s="11" t="inlineStr">
        <is>
          <t>3. El movimiento</t>
        </is>
      </c>
      <c r="H30" s="11" t="inlineStr">
        <is>
          <t>Los tipos de movimiento</t>
        </is>
      </c>
      <c r="I30" s="38" t="inlineStr">
        <is>
          <t>3.3. Clasificación de movimientos de objetos del entorno según el camino que siguen.</t>
        </is>
      </c>
      <c r="J30" s="11" t="inlineStr">
        <is>
          <t>T4_27</t>
        </is>
      </c>
      <c r="K30" s="11" t="inlineStr">
        <is>
          <t>T4_27-P5.1</t>
        </is>
      </c>
      <c r="L30" s="11" t="inlineStr"/>
      <c r="M30" s="11">
        <f>IF(K30="FUERA","Fuera del marco",IF(K30="N/A","Sin marco",IFERROR(INDEX('Datos - Catálogo TIMSS'!$C$5:$C$107,MATCH(K30,'Datos - Catálogo TIMSS'!$A$5:$A$107,0)),"Pendiente de clasificar")))</f>
        <v/>
      </c>
      <c r="N30" s="11">
        <f>IF(K30="FUERA","Fuera del marco",IF(K30="N/A","Sin marco",IFERROR(INDEX('Datos - Catálogo TIMSS'!$F$5:$F$107,MATCH(K30,'Datos - Catálogo TIMSS'!$A$5:$A$107,0)),"Pendiente de clasificar")))</f>
        <v/>
      </c>
      <c r="O30" s="11">
        <f>IF(L30="","",IFERROR(INDEX('Datos - Catálogo TIMSS'!$C$5:$C$107,MATCH(L30,'Datos - Catálogo TIMSS'!$A$5:$A$107,0)),"?"))</f>
        <v/>
      </c>
      <c r="P30" s="11" t="inlineStr">
        <is>
          <t>media</t>
        </is>
      </c>
      <c r="Q30" s="38" t="inlineStr">
        <is>
          <t>Describe trayectorias de movimiento de objetos cotidianos.</t>
        </is>
      </c>
      <c r="R30" s="38" t="inlineStr">
        <is>
          <t>Aplicar: clasificar</t>
        </is>
      </c>
      <c r="S30" s="39">
        <f>IFERROR(ISNUMBER(SEARCH("Conocer",$R30))/(ISNUMBER(SEARCH("Conocer",$R30))+ISNUMBER(SEARCH("Aplicar",$R30))+ISNUMBER(SEARCH("Razonar",$R30))),0)</f>
        <v/>
      </c>
      <c r="T30" s="39">
        <f>IFERROR(ISNUMBER(SEARCH("Aplicar",$R30))/(ISNUMBER(SEARCH("Conocer",$R30))+ISNUMBER(SEARCH("Aplicar",$R30))+ISNUMBER(SEARCH("Razonar",$R30))),0)</f>
        <v/>
      </c>
      <c r="U30" s="39">
        <f>IFERROR(ISNUMBER(SEARCH("Razonar",$R30))/(ISNUMBER(SEARCH("Conocer",$R30))+ISNUMBER(SEARCH("Aplicar",$R30))+ISNUMBER(SEARCH("Razonar",$R30))),0)</f>
        <v/>
      </c>
      <c r="V30" s="11" t="inlineStr">
        <is>
          <t>2°</t>
        </is>
      </c>
      <c r="W30" s="11" t="inlineStr">
        <is>
          <t>Ciclo 2°–4°</t>
        </is>
      </c>
      <c r="X30" s="11">
        <f>IF(OR(IFERROR(INDEX('Datos - Catálogo TIMSS'!$I$5:$I$107,MATCH(K30,'Datos - Catálogo TIMSS'!$A$5:$A$107,0)),"No")="Sí",IFERROR(INDEX('Datos - Catálogo TIMSS'!$I$5:$I$107,MATCH(L30,'Datos - Catálogo TIMSS'!$A$5:$A$107,0)),"No")="Sí"),1,0)</f>
        <v/>
      </c>
      <c r="Y30" s="11">
        <f>IF(IFERROR(INDEX('Datos - Catálogo TIMSS'!$J$5:$J$107,MATCH(K30,'Datos - Catálogo TIMSS'!$A$5:$A$107,0)),"No")="Sí",1,0)</f>
        <v/>
      </c>
      <c r="Z30" s="11">
        <f>IF(IFERROR(INDEX('Datos - Catálogo TIMSS'!$J$5:$J$107,MATCH(L30,'Datos - Catálogo TIMSS'!$A$5:$A$107,0)),"No")="Sí",1,0)</f>
        <v/>
      </c>
      <c r="AA30" s="11" t="inlineStr">
        <is>
          <t>T4-F3.1</t>
        </is>
      </c>
      <c r="AB30" s="11" t="inlineStr"/>
      <c r="AC30" s="11">
        <f>IF(AA30="FUERA","Fuera del marco",IF(AA30="N/A","Sin marco",IFERROR(INDEX('Datos - TIMSS 2023'!$C$5:$C$105,MATCH(AA30,'Datos - TIMSS 2023'!$A$5:$A$105,0)),"Pendiente de clasificar")))</f>
        <v/>
      </c>
      <c r="AD30" s="11" t="inlineStr">
        <is>
          <t>2. Construir y evaluar diseños para la indagación científica e interpretar datos y evidencia de forma crítica</t>
        </is>
      </c>
      <c r="AE30" s="11">
        <f>IF(AD30="","",IF(LEFT(AD30,1)="1","C1",IF(LEFT(AD30,1)="2","C2",IF(LEFT(AD30,1)="3","C3",""))))</f>
        <v/>
      </c>
      <c r="AF30" s="11" t="inlineStr">
        <is>
          <t>E1</t>
        </is>
      </c>
      <c r="AG30" s="11" t="inlineStr">
        <is>
          <t>D1</t>
        </is>
      </c>
      <c r="AH30" s="11" t="inlineStr">
        <is>
          <t>E2</t>
        </is>
      </c>
      <c r="AI30" s="11" t="inlineStr">
        <is>
          <t>D4</t>
        </is>
      </c>
      <c r="AJ30" s="11" t="inlineStr">
        <is>
          <t>E1</t>
        </is>
      </c>
      <c r="AK30" s="11" t="n"/>
      <c r="AL30" s="11" t="n"/>
      <c r="AM30" s="11" t="n"/>
      <c r="AN30" s="11" t="n"/>
      <c r="AO30" s="11" t="n"/>
      <c r="AP30" s="11" t="n"/>
      <c r="AQ30" s="11" t="n"/>
      <c r="AR30" s="11" t="n"/>
      <c r="AS30" s="11" t="n"/>
      <c r="AT30" s="11" t="n"/>
      <c r="AU30" s="11" t="n"/>
      <c r="AV30" s="11" t="n"/>
      <c r="AW30" s="11">
        <f>AF30&amp;"; "&amp;AG30&amp;"; "&amp;AH30&amp;"; "&amp;AI30&amp;"; "&amp;AJ30</f>
        <v/>
      </c>
    </row>
    <row r="31">
      <c r="A31" s="11" t="inlineStr">
        <is>
          <t>T0665-G02-CIE</t>
        </is>
      </c>
      <c r="B31" s="11" t="n">
        <v>2</v>
      </c>
      <c r="C31" s="11" t="inlineStr">
        <is>
          <t>Ciencias</t>
        </is>
      </c>
      <c r="D31" s="11" t="inlineStr">
        <is>
          <t>Matriz_Ciencias_2do_Grado_U1_U6_3.xlsx</t>
        </is>
      </c>
      <c r="E31" s="11" t="inlineStr">
        <is>
          <t>Unidad 3 - Movimiento</t>
        </is>
      </c>
      <c r="F31" s="11" t="n">
        <v>6</v>
      </c>
      <c r="G31" s="11" t="inlineStr">
        <is>
          <t>3. El movimiento</t>
        </is>
      </c>
      <c r="H31" s="11" t="inlineStr">
        <is>
          <t>Movimiento de rotación de la Tierra.</t>
        </is>
      </c>
      <c r="I31" s="38" t="inlineStr">
        <is>
          <t>3.4. Indagación de la percepción del día y la noche.</t>
        </is>
      </c>
      <c r="J31" s="11" t="inlineStr">
        <is>
          <t>T4_27</t>
        </is>
      </c>
      <c r="K31" s="11" t="inlineStr">
        <is>
          <t>T4_27-E4.2</t>
        </is>
      </c>
      <c r="L31" s="11" t="inlineStr"/>
      <c r="M31" s="11">
        <f>IF(K31="FUERA","Fuera del marco",IF(K31="N/A","Sin marco",IFERROR(INDEX('Datos - Catálogo TIMSS'!$C$5:$C$107,MATCH(K31,'Datos - Catálogo TIMSS'!$A$5:$A$107,0)),"Pendiente de clasificar")))</f>
        <v/>
      </c>
      <c r="N31" s="11">
        <f>IF(K31="FUERA","Fuera del marco",IF(K31="N/A","Sin marco",IFERROR(INDEX('Datos - Catálogo TIMSS'!$F$5:$F$107,MATCH(K31,'Datos - Catálogo TIMSS'!$A$5:$A$107,0)),"Pendiente de clasificar")))</f>
        <v/>
      </c>
      <c r="O31" s="11">
        <f>IF(L31="","",IFERROR(INDEX('Datos - Catálogo TIMSS'!$C$5:$C$107,MATCH(L31,'Datos - Catálogo TIMSS'!$A$5:$A$107,0)),"?"))</f>
        <v/>
      </c>
      <c r="P31" s="11" t="inlineStr">
        <is>
          <t>media</t>
        </is>
      </c>
      <c r="Q31" s="38" t="inlineStr">
        <is>
          <t>Patrones observables del día y la noche.</t>
        </is>
      </c>
      <c r="R31" s="38" t="inlineStr">
        <is>
          <t>Conocer: describir</t>
        </is>
      </c>
      <c r="S31" s="39">
        <f>IFERROR(ISNUMBER(SEARCH("Conocer",$R31))/(ISNUMBER(SEARCH("Conocer",$R31))+ISNUMBER(SEARCH("Aplicar",$R31))+ISNUMBER(SEARCH("Razonar",$R31))),0)</f>
        <v/>
      </c>
      <c r="T31" s="39">
        <f>IFERROR(ISNUMBER(SEARCH("Aplicar",$R31))/(ISNUMBER(SEARCH("Conocer",$R31))+ISNUMBER(SEARCH("Aplicar",$R31))+ISNUMBER(SEARCH("Razonar",$R31))),0)</f>
        <v/>
      </c>
      <c r="U31" s="39">
        <f>IFERROR(ISNUMBER(SEARCH("Razonar",$R31))/(ISNUMBER(SEARCH("Conocer",$R31))+ISNUMBER(SEARCH("Aplicar",$R31))+ISNUMBER(SEARCH("Razonar",$R31))),0)</f>
        <v/>
      </c>
      <c r="V31" s="11" t="inlineStr">
        <is>
          <t>2°</t>
        </is>
      </c>
      <c r="W31" s="11" t="inlineStr">
        <is>
          <t>Ciclo 2°–4°</t>
        </is>
      </c>
      <c r="X31" s="11">
        <f>IF(OR(IFERROR(INDEX('Datos - Catálogo TIMSS'!$I$5:$I$107,MATCH(K31,'Datos - Catálogo TIMSS'!$A$5:$A$107,0)),"No")="Sí",IFERROR(INDEX('Datos - Catálogo TIMSS'!$I$5:$I$107,MATCH(L31,'Datos - Catálogo TIMSS'!$A$5:$A$107,0)),"No")="Sí"),1,0)</f>
        <v/>
      </c>
      <c r="Y31" s="11">
        <f>IF(IFERROR(INDEX('Datos - Catálogo TIMSS'!$J$5:$J$107,MATCH(K31,'Datos - Catálogo TIMSS'!$A$5:$A$107,0)),"No")="Sí",1,0)</f>
        <v/>
      </c>
      <c r="Z31" s="11">
        <f>IF(IFERROR(INDEX('Datos - Catálogo TIMSS'!$J$5:$J$107,MATCH(L31,'Datos - Catálogo TIMSS'!$A$5:$A$107,0)),"No")="Sí",1,0)</f>
        <v/>
      </c>
      <c r="AA31" s="11" t="inlineStr">
        <is>
          <t>T4-T3.2</t>
        </is>
      </c>
      <c r="AB31" s="11" t="inlineStr"/>
      <c r="AC31" s="11">
        <f>IF(AA31="FUERA","Fuera del marco",IF(AA31="N/A","Sin marco",IFERROR(INDEX('Datos - TIMSS 2023'!$C$5:$C$105,MATCH(AA31,'Datos - TIMSS 2023'!$A$5:$A$105,0)),"Pendiente de clasificar")))</f>
        <v/>
      </c>
      <c r="AD31" s="11" t="inlineStr">
        <is>
          <t>1. Explicar fenómenos científicamente</t>
        </is>
      </c>
      <c r="AE31" s="11">
        <f>IF(AD31="","",IF(LEFT(AD31,1)="1","C1",IF(LEFT(AD31,1)="2","C2",IF(LEFT(AD31,1)="3","C3",""))))</f>
        <v/>
      </c>
      <c r="AF31" s="11" t="inlineStr">
        <is>
          <t>E1</t>
        </is>
      </c>
      <c r="AG31" s="11" t="inlineStr">
        <is>
          <t>E5</t>
        </is>
      </c>
      <c r="AH31" s="11" t="inlineStr">
        <is>
          <t>E1</t>
        </is>
      </c>
      <c r="AI31" s="11" t="inlineStr">
        <is>
          <t>D4</t>
        </is>
      </c>
      <c r="AJ31" s="11" t="inlineStr">
        <is>
          <t>I4</t>
        </is>
      </c>
      <c r="AK31" s="11" t="n"/>
      <c r="AL31" s="11" t="n"/>
      <c r="AM31" s="11" t="n"/>
      <c r="AN31" s="11" t="n"/>
      <c r="AO31" s="11" t="n"/>
      <c r="AP31" s="11" t="n"/>
      <c r="AQ31" s="11" t="n"/>
      <c r="AR31" s="11" t="n"/>
      <c r="AS31" s="11" t="n"/>
      <c r="AT31" s="11" t="n"/>
      <c r="AU31" s="11" t="n"/>
      <c r="AV31" s="11" t="n"/>
      <c r="AW31" s="11">
        <f>AF31&amp;"; "&amp;AG31&amp;"; "&amp;AH31&amp;"; "&amp;AI31&amp;"; "&amp;AJ31</f>
        <v/>
      </c>
    </row>
    <row r="32">
      <c r="A32" s="11" t="inlineStr">
        <is>
          <t>T0666-G02-CIE</t>
        </is>
      </c>
      <c r="B32" s="11" t="n">
        <v>2</v>
      </c>
      <c r="C32" s="11" t="inlineStr">
        <is>
          <t>Ciencias</t>
        </is>
      </c>
      <c r="D32" s="11" t="inlineStr">
        <is>
          <t>Matriz_Ciencias_2do_Grado_U1_U6_3.xlsx</t>
        </is>
      </c>
      <c r="E32" s="11" t="inlineStr">
        <is>
          <t>Unidad 3 - Movimiento</t>
        </is>
      </c>
      <c r="F32" s="11" t="n">
        <v>7</v>
      </c>
      <c r="G32" s="11" t="inlineStr">
        <is>
          <t>3. El movimiento</t>
        </is>
      </c>
      <c r="H32" s="11" t="inlineStr">
        <is>
          <t>Movimiento de rotación de la Tierra.</t>
        </is>
      </c>
      <c r="I32" s="38" t="inlineStr">
        <is>
          <t>3.5. Modelación de la interacción Sol-Tierra para representar la sucesión del día y la noche por la rotación de la Tierra.</t>
        </is>
      </c>
      <c r="J32" s="11" t="inlineStr">
        <is>
          <t>T4_27</t>
        </is>
      </c>
      <c r="K32" s="11" t="inlineStr">
        <is>
          <t>T4_27-E4.2</t>
        </is>
      </c>
      <c r="L32" s="11" t="inlineStr"/>
      <c r="M32" s="11">
        <f>IF(K32="FUERA","Fuera del marco",IF(K32="N/A","Sin marco",IFERROR(INDEX('Datos - Catálogo TIMSS'!$C$5:$C$107,MATCH(K32,'Datos - Catálogo TIMSS'!$A$5:$A$107,0)),"Pendiente de clasificar")))</f>
        <v/>
      </c>
      <c r="N32" s="11">
        <f>IF(K32="FUERA","Fuera del marco",IF(K32="N/A","Sin marco",IFERROR(INDEX('Datos - Catálogo TIMSS'!$F$5:$F$107,MATCH(K32,'Datos - Catálogo TIMSS'!$A$5:$A$107,0)),"Pendiente de clasificar")))</f>
        <v/>
      </c>
      <c r="O32" s="11">
        <f>IF(L32="","",IFERROR(INDEX('Datos - Catálogo TIMSS'!$C$5:$C$107,MATCH(L32,'Datos - Catálogo TIMSS'!$A$5:$A$107,0)),"?"))</f>
        <v/>
      </c>
      <c r="P32" s="11" t="inlineStr">
        <is>
          <t>alta</t>
        </is>
      </c>
      <c r="Q32" s="38" t="inlineStr">
        <is>
          <t>Modelo de rotación terrestre que explica día y noche.</t>
        </is>
      </c>
      <c r="R32" s="38" t="inlineStr">
        <is>
          <t>Aplicar: usar modelos sencillos</t>
        </is>
      </c>
      <c r="S32" s="39">
        <f>IFERROR(ISNUMBER(SEARCH("Conocer",$R32))/(ISNUMBER(SEARCH("Conocer",$R32))+ISNUMBER(SEARCH("Aplicar",$R32))+ISNUMBER(SEARCH("Razonar",$R32))),0)</f>
        <v/>
      </c>
      <c r="T32" s="39">
        <f>IFERROR(ISNUMBER(SEARCH("Aplicar",$R32))/(ISNUMBER(SEARCH("Conocer",$R32))+ISNUMBER(SEARCH("Aplicar",$R32))+ISNUMBER(SEARCH("Razonar",$R32))),0)</f>
        <v/>
      </c>
      <c r="U32" s="39">
        <f>IFERROR(ISNUMBER(SEARCH("Razonar",$R32))/(ISNUMBER(SEARCH("Conocer",$R32))+ISNUMBER(SEARCH("Aplicar",$R32))+ISNUMBER(SEARCH("Razonar",$R32))),0)</f>
        <v/>
      </c>
      <c r="V32" s="11" t="inlineStr">
        <is>
          <t>2°</t>
        </is>
      </c>
      <c r="W32" s="11" t="inlineStr">
        <is>
          <t>Ciclo 2°–4°</t>
        </is>
      </c>
      <c r="X32" s="11">
        <f>IF(OR(IFERROR(INDEX('Datos - Catálogo TIMSS'!$I$5:$I$107,MATCH(K32,'Datos - Catálogo TIMSS'!$A$5:$A$107,0)),"No")="Sí",IFERROR(INDEX('Datos - Catálogo TIMSS'!$I$5:$I$107,MATCH(L32,'Datos - Catálogo TIMSS'!$A$5:$A$107,0)),"No")="Sí"),1,0)</f>
        <v/>
      </c>
      <c r="Y32" s="11">
        <f>IF(IFERROR(INDEX('Datos - Catálogo TIMSS'!$J$5:$J$107,MATCH(K32,'Datos - Catálogo TIMSS'!$A$5:$A$107,0)),"No")="Sí",1,0)</f>
        <v/>
      </c>
      <c r="Z32" s="11">
        <f>IF(IFERROR(INDEX('Datos - Catálogo TIMSS'!$J$5:$J$107,MATCH(L32,'Datos - Catálogo TIMSS'!$A$5:$A$107,0)),"No")="Sí",1,0)</f>
        <v/>
      </c>
      <c r="AA32" s="11" t="inlineStr">
        <is>
          <t>T4-T3.2</t>
        </is>
      </c>
      <c r="AB32" s="11" t="inlineStr"/>
      <c r="AC32" s="11">
        <f>IF(AA32="FUERA","Fuera del marco",IF(AA32="N/A","Sin marco",IFERROR(INDEX('Datos - TIMSS 2023'!$C$5:$C$105,MATCH(AA32,'Datos - TIMSS 2023'!$A$5:$A$105,0)),"Pendiente de clasificar")))</f>
        <v/>
      </c>
      <c r="AD32" s="11" t="inlineStr">
        <is>
          <t>1. Explicar fenómenos científicamente</t>
        </is>
      </c>
      <c r="AE32" s="11">
        <f>IF(AD32="","",IF(LEFT(AD32,1)="1","C1",IF(LEFT(AD32,1)="2","C2",IF(LEFT(AD32,1)="3","C3",""))))</f>
        <v/>
      </c>
      <c r="AF32" s="11" t="inlineStr">
        <is>
          <t>E1</t>
        </is>
      </c>
      <c r="AG32" s="11" t="inlineStr">
        <is>
          <t>E5</t>
        </is>
      </c>
      <c r="AH32" s="11" t="inlineStr">
        <is>
          <t>E4</t>
        </is>
      </c>
      <c r="AI32" s="11" t="inlineStr">
        <is>
          <t>E4</t>
        </is>
      </c>
      <c r="AJ32" s="11" t="inlineStr">
        <is>
          <t>E3</t>
        </is>
      </c>
      <c r="AK32" s="11" t="n"/>
      <c r="AL32" s="11" t="n"/>
      <c r="AM32" s="11" t="n"/>
      <c r="AN32" s="11" t="n"/>
      <c r="AO32" s="11" t="n"/>
      <c r="AP32" s="11" t="n"/>
      <c r="AQ32" s="11" t="n"/>
      <c r="AR32" s="11" t="n"/>
      <c r="AS32" s="11" t="n"/>
      <c r="AT32" s="11" t="n"/>
      <c r="AU32" s="11" t="n"/>
      <c r="AV32" s="11" t="n"/>
      <c r="AW32" s="11">
        <f>AF32&amp;"; "&amp;AG32&amp;"; "&amp;AH32&amp;"; "&amp;AI32&amp;"; "&amp;AJ32</f>
        <v/>
      </c>
    </row>
    <row r="33">
      <c r="A33" s="11" t="inlineStr">
        <is>
          <t>T0667-G02-CIE</t>
        </is>
      </c>
      <c r="B33" s="11" t="n">
        <v>2</v>
      </c>
      <c r="C33" s="11" t="inlineStr">
        <is>
          <t>Ciencias</t>
        </is>
      </c>
      <c r="D33" s="11" t="inlineStr">
        <is>
          <t>Matriz_Ciencias_2do_Grado_U1_U6_3.xlsx</t>
        </is>
      </c>
      <c r="E33" s="11" t="inlineStr">
        <is>
          <t>Unidad 3 - Movimiento</t>
        </is>
      </c>
      <c r="F33" s="11" t="n">
        <v>8</v>
      </c>
      <c r="G33" s="11" t="inlineStr">
        <is>
          <t>3. El movimiento</t>
        </is>
      </c>
      <c r="H33" s="11" t="inlineStr">
        <is>
          <t>Movimiento de traslación de la Tierra.</t>
        </is>
      </c>
      <c r="I33" s="38" t="inlineStr">
        <is>
          <t>3.6. Relación del movimiento de traslación de la Tierra con el calendario.</t>
        </is>
      </c>
      <c r="J33" s="11" t="inlineStr">
        <is>
          <t>T4_27</t>
        </is>
      </c>
      <c r="K33" s="11" t="inlineStr">
        <is>
          <t>T4_27-E4.2</t>
        </is>
      </c>
      <c r="L33" s="11" t="inlineStr"/>
      <c r="M33" s="11">
        <f>IF(K33="FUERA","Fuera del marco",IF(K33="N/A","Sin marco",IFERROR(INDEX('Datos - Catálogo TIMSS'!$C$5:$C$107,MATCH(K33,'Datos - Catálogo TIMSS'!$A$5:$A$107,0)),"Pendiente de clasificar")))</f>
        <v/>
      </c>
      <c r="N33" s="11">
        <f>IF(K33="FUERA","Fuera del marco",IF(K33="N/A","Sin marco",IFERROR(INDEX('Datos - Catálogo TIMSS'!$F$5:$F$107,MATCH(K33,'Datos - Catálogo TIMSS'!$A$5:$A$107,0)),"Pendiente de clasificar")))</f>
        <v/>
      </c>
      <c r="O33" s="11">
        <f>IF(L33="","",IFERROR(INDEX('Datos - Catálogo TIMSS'!$C$5:$C$107,MATCH(L33,'Datos - Catálogo TIMSS'!$A$5:$A$107,0)),"?"))</f>
        <v/>
      </c>
      <c r="P33" s="11" t="inlineStr">
        <is>
          <t>alta</t>
        </is>
      </c>
      <c r="Q33" s="38" t="inlineStr">
        <is>
          <t>Una vuelta de la Tierra al Sol equivale a un año.</t>
        </is>
      </c>
      <c r="R33" s="38" t="inlineStr">
        <is>
          <t>Aplicar: relacionar</t>
        </is>
      </c>
      <c r="S33" s="39">
        <f>IFERROR(ISNUMBER(SEARCH("Conocer",$R33))/(ISNUMBER(SEARCH("Conocer",$R33))+ISNUMBER(SEARCH("Aplicar",$R33))+ISNUMBER(SEARCH("Razonar",$R33))),0)</f>
        <v/>
      </c>
      <c r="T33" s="39">
        <f>IFERROR(ISNUMBER(SEARCH("Aplicar",$R33))/(ISNUMBER(SEARCH("Conocer",$R33))+ISNUMBER(SEARCH("Aplicar",$R33))+ISNUMBER(SEARCH("Razonar",$R33))),0)</f>
        <v/>
      </c>
      <c r="U33" s="39">
        <f>IFERROR(ISNUMBER(SEARCH("Razonar",$R33))/(ISNUMBER(SEARCH("Conocer",$R33))+ISNUMBER(SEARCH("Aplicar",$R33))+ISNUMBER(SEARCH("Razonar",$R33))),0)</f>
        <v/>
      </c>
      <c r="V33" s="11" t="inlineStr">
        <is>
          <t>2°</t>
        </is>
      </c>
      <c r="W33" s="11" t="inlineStr">
        <is>
          <t>Ciclo 2°–4°</t>
        </is>
      </c>
      <c r="X33" s="11">
        <f>IF(OR(IFERROR(INDEX('Datos - Catálogo TIMSS'!$I$5:$I$107,MATCH(K33,'Datos - Catálogo TIMSS'!$A$5:$A$107,0)),"No")="Sí",IFERROR(INDEX('Datos - Catálogo TIMSS'!$I$5:$I$107,MATCH(L33,'Datos - Catálogo TIMSS'!$A$5:$A$107,0)),"No")="Sí"),1,0)</f>
        <v/>
      </c>
      <c r="Y33" s="11">
        <f>IF(IFERROR(INDEX('Datos - Catálogo TIMSS'!$J$5:$J$107,MATCH(K33,'Datos - Catálogo TIMSS'!$A$5:$A$107,0)),"No")="Sí",1,0)</f>
        <v/>
      </c>
      <c r="Z33" s="11">
        <f>IF(IFERROR(INDEX('Datos - Catálogo TIMSS'!$J$5:$J$107,MATCH(L33,'Datos - Catálogo TIMSS'!$A$5:$A$107,0)),"No")="Sí",1,0)</f>
        <v/>
      </c>
      <c r="AA33" s="11" t="inlineStr">
        <is>
          <t>T4-T3.1</t>
        </is>
      </c>
      <c r="AB33" s="11" t="inlineStr"/>
      <c r="AC33" s="11">
        <f>IF(AA33="FUERA","Fuera del marco",IF(AA33="N/A","Sin marco",IFERROR(INDEX('Datos - TIMSS 2023'!$C$5:$C$105,MATCH(AA33,'Datos - TIMSS 2023'!$A$5:$A$105,0)),"Pendiente de clasificar")))</f>
        <v/>
      </c>
      <c r="AD33" s="11" t="inlineStr">
        <is>
          <t>2. Construir y evaluar diseños para la indagación científica e interpretar datos y evidencia de forma crítica</t>
        </is>
      </c>
      <c r="AE33" s="11">
        <f>IF(AD33="","",IF(LEFT(AD33,1)="1","C1",IF(LEFT(AD33,1)="2","C2",IF(LEFT(AD33,1)="3","C3",""))))</f>
        <v/>
      </c>
      <c r="AF33" s="11" t="inlineStr">
        <is>
          <t>E1</t>
        </is>
      </c>
      <c r="AG33" s="11" t="inlineStr">
        <is>
          <t>D1</t>
        </is>
      </c>
      <c r="AH33" s="11" t="inlineStr">
        <is>
          <t>E4</t>
        </is>
      </c>
      <c r="AI33" s="11" t="inlineStr">
        <is>
          <t>D4</t>
        </is>
      </c>
      <c r="AJ33" s="11" t="inlineStr">
        <is>
          <t>E1</t>
        </is>
      </c>
      <c r="AK33" s="11" t="n"/>
      <c r="AL33" s="11" t="n"/>
      <c r="AM33" s="11" t="n"/>
      <c r="AN33" s="11" t="n"/>
      <c r="AO33" s="11" t="n"/>
      <c r="AP33" s="11" t="n"/>
      <c r="AQ33" s="11" t="n"/>
      <c r="AR33" s="11" t="n"/>
      <c r="AS33" s="11" t="n"/>
      <c r="AT33" s="11" t="n"/>
      <c r="AU33" s="11" t="n"/>
      <c r="AV33" s="11" t="n"/>
      <c r="AW33" s="11">
        <f>AF33&amp;"; "&amp;AG33&amp;"; "&amp;AH33&amp;"; "&amp;AI33&amp;"; "&amp;AJ33</f>
        <v/>
      </c>
    </row>
    <row r="34">
      <c r="A34" s="11" t="inlineStr">
        <is>
          <t>T0668-G02-CIE</t>
        </is>
      </c>
      <c r="B34" s="11" t="n">
        <v>2</v>
      </c>
      <c r="C34" s="11" t="inlineStr">
        <is>
          <t>Ciencias</t>
        </is>
      </c>
      <c r="D34" s="11" t="inlineStr">
        <is>
          <t>Matriz_Ciencias_2do_Grado_U1_U6_3.xlsx</t>
        </is>
      </c>
      <c r="E34" s="11" t="inlineStr">
        <is>
          <t>Unidad 3 - Movimiento</t>
        </is>
      </c>
      <c r="F34" s="11" t="n">
        <v>9</v>
      </c>
      <c r="G34" s="11" t="inlineStr">
        <is>
          <t>3. El movimiento</t>
        </is>
      </c>
      <c r="H34" s="11" t="inlineStr">
        <is>
          <t>Movimiento de traslación de la Tierra.</t>
        </is>
      </c>
      <c r="I34" s="38" t="inlineStr">
        <is>
          <t>3.7. Identificación de las características de las estaciones del año.</t>
        </is>
      </c>
      <c r="J34" s="11" t="inlineStr">
        <is>
          <t>T4_27</t>
        </is>
      </c>
      <c r="K34" s="11" t="inlineStr">
        <is>
          <t>T4_27-E2.1</t>
        </is>
      </c>
      <c r="L34" s="11" t="inlineStr"/>
      <c r="M34" s="11">
        <f>IF(K34="FUERA","Fuera del marco",IF(K34="N/A","Sin marco",IFERROR(INDEX('Datos - Catálogo TIMSS'!$C$5:$C$107,MATCH(K34,'Datos - Catálogo TIMSS'!$A$5:$A$107,0)),"Pendiente de clasificar")))</f>
        <v/>
      </c>
      <c r="N34" s="11">
        <f>IF(K34="FUERA","Fuera del marco",IF(K34="N/A","Sin marco",IFERROR(INDEX('Datos - Catálogo TIMSS'!$F$5:$F$107,MATCH(K34,'Datos - Catálogo TIMSS'!$A$5:$A$107,0)),"Pendiente de clasificar")))</f>
        <v/>
      </c>
      <c r="O34" s="11">
        <f>IF(L34="","",IFERROR(INDEX('Datos - Catálogo TIMSS'!$C$5:$C$107,MATCH(L34,'Datos - Catálogo TIMSS'!$A$5:$A$107,0)),"?"))</f>
        <v/>
      </c>
      <c r="P34" s="11" t="inlineStr">
        <is>
          <t>alta</t>
        </is>
      </c>
      <c r="Q34" s="38" t="inlineStr">
        <is>
          <t>Cambios estacionales de temperatura y lluvia.</t>
        </is>
      </c>
      <c r="R34" s="38" t="inlineStr">
        <is>
          <t>Conocer: describir. Aplicar: comparar</t>
        </is>
      </c>
      <c r="S34" s="39">
        <f>IFERROR(ISNUMBER(SEARCH("Conocer",$R34))/(ISNUMBER(SEARCH("Conocer",$R34))+ISNUMBER(SEARCH("Aplicar",$R34))+ISNUMBER(SEARCH("Razonar",$R34))),0)</f>
        <v/>
      </c>
      <c r="T34" s="39">
        <f>IFERROR(ISNUMBER(SEARCH("Aplicar",$R34))/(ISNUMBER(SEARCH("Conocer",$R34))+ISNUMBER(SEARCH("Aplicar",$R34))+ISNUMBER(SEARCH("Razonar",$R34))),0)</f>
        <v/>
      </c>
      <c r="U34" s="39">
        <f>IFERROR(ISNUMBER(SEARCH("Razonar",$R34))/(ISNUMBER(SEARCH("Conocer",$R34))+ISNUMBER(SEARCH("Aplicar",$R34))+ISNUMBER(SEARCH("Razonar",$R34))),0)</f>
        <v/>
      </c>
      <c r="V34" s="11" t="inlineStr">
        <is>
          <t>2°</t>
        </is>
      </c>
      <c r="W34" s="11" t="inlineStr">
        <is>
          <t>Ciclo 2°–4°</t>
        </is>
      </c>
      <c r="X34" s="11">
        <f>IF(OR(IFERROR(INDEX('Datos - Catálogo TIMSS'!$I$5:$I$107,MATCH(K34,'Datos - Catálogo TIMSS'!$A$5:$A$107,0)),"No")="Sí",IFERROR(INDEX('Datos - Catálogo TIMSS'!$I$5:$I$107,MATCH(L34,'Datos - Catálogo TIMSS'!$A$5:$A$107,0)),"No")="Sí"),1,0)</f>
        <v/>
      </c>
      <c r="Y34" s="11">
        <f>IF(IFERROR(INDEX('Datos - Catálogo TIMSS'!$J$5:$J$107,MATCH(K34,'Datos - Catálogo TIMSS'!$A$5:$A$107,0)),"No")="Sí",1,0)</f>
        <v/>
      </c>
      <c r="Z34" s="11">
        <f>IF(IFERROR(INDEX('Datos - Catálogo TIMSS'!$J$5:$J$107,MATCH(L34,'Datos - Catálogo TIMSS'!$A$5:$A$107,0)),"No")="Sí",1,0)</f>
        <v/>
      </c>
      <c r="AA34" s="11" t="inlineStr">
        <is>
          <t>T4-T2.3</t>
        </is>
      </c>
      <c r="AB34" s="11" t="inlineStr">
        <is>
          <t>T4-T2.2</t>
        </is>
      </c>
      <c r="AC34" s="11">
        <f>IF(AA34="FUERA","Fuera del marco",IF(AA34="N/A","Sin marco",IFERROR(INDEX('Datos - TIMSS 2023'!$C$5:$C$105,MATCH(AA34,'Datos - TIMSS 2023'!$A$5:$A$105,0)),"Pendiente de clasificar")))</f>
        <v/>
      </c>
      <c r="AD34" s="11" t="inlineStr">
        <is>
          <t>1. Explicar fenómenos científicamente</t>
        </is>
      </c>
      <c r="AE34" s="11">
        <f>IF(AD34="","",IF(LEFT(AD34,1)="1","C1",IF(LEFT(AD34,1)="2","C2",IF(LEFT(AD34,1)="3","C3",""))))</f>
        <v/>
      </c>
      <c r="AF34" s="11" t="inlineStr">
        <is>
          <t>E1</t>
        </is>
      </c>
      <c r="AG34" s="11" t="inlineStr">
        <is>
          <t>D1</t>
        </is>
      </c>
      <c r="AH34" s="11" t="inlineStr">
        <is>
          <t>E2</t>
        </is>
      </c>
      <c r="AI34" s="11" t="inlineStr">
        <is>
          <t>I2</t>
        </is>
      </c>
      <c r="AJ34" s="11" t="inlineStr">
        <is>
          <t>I4</t>
        </is>
      </c>
      <c r="AK34" s="11" t="n"/>
      <c r="AL34" s="11" t="n"/>
      <c r="AM34" s="11" t="n"/>
      <c r="AN34" s="11" t="n"/>
      <c r="AO34" s="11" t="n"/>
      <c r="AP34" s="11" t="n"/>
      <c r="AQ34" s="11" t="n"/>
      <c r="AR34" s="11" t="n"/>
      <c r="AS34" s="11" t="n"/>
      <c r="AT34" s="11" t="n"/>
      <c r="AU34" s="11" t="n"/>
      <c r="AV34" s="11" t="n"/>
      <c r="AW34" s="11">
        <f>AF34&amp;"; "&amp;AG34&amp;"; "&amp;AH34&amp;"; "&amp;AI34&amp;"; "&amp;AJ34</f>
        <v/>
      </c>
    </row>
    <row r="35">
      <c r="A35" s="11" t="inlineStr">
        <is>
          <t>T0669-G02-CIE</t>
        </is>
      </c>
      <c r="B35" s="11" t="n">
        <v>2</v>
      </c>
      <c r="C35" s="11" t="inlineStr">
        <is>
          <t>Ciencias</t>
        </is>
      </c>
      <c r="D35" s="11" t="inlineStr">
        <is>
          <t>Matriz_Ciencias_2do_Grado_U1_U6_3.xlsx</t>
        </is>
      </c>
      <c r="E35" s="11" t="inlineStr">
        <is>
          <t>Unidad 3 - Movimiento</t>
        </is>
      </c>
      <c r="F35" s="11" t="n">
        <v>10</v>
      </c>
      <c r="G35" s="11" t="inlineStr">
        <is>
          <t>3. El movimiento</t>
        </is>
      </c>
      <c r="H35" s="11" t="inlineStr">
        <is>
          <t>Movimiento de traslación de la Tierra.</t>
        </is>
      </c>
      <c r="I35" s="38" t="inlineStr">
        <is>
          <t>3.8. Descripción de los fenómenos que caracterizan las estaciones del año percibidas en El Salvador.</t>
        </is>
      </c>
      <c r="J35" s="11" t="inlineStr">
        <is>
          <t>T4_27</t>
        </is>
      </c>
      <c r="K35" s="11" t="inlineStr">
        <is>
          <t>T4_27-E2.1</t>
        </is>
      </c>
      <c r="L35" s="11" t="inlineStr"/>
      <c r="M35" s="11">
        <f>IF(K35="FUERA","Fuera del marco",IF(K35="N/A","Sin marco",IFERROR(INDEX('Datos - Catálogo TIMSS'!$C$5:$C$107,MATCH(K35,'Datos - Catálogo TIMSS'!$A$5:$A$107,0)),"Pendiente de clasificar")))</f>
        <v/>
      </c>
      <c r="N35" s="11">
        <f>IF(K35="FUERA","Fuera del marco",IF(K35="N/A","Sin marco",IFERROR(INDEX('Datos - Catálogo TIMSS'!$F$5:$F$107,MATCH(K35,'Datos - Catálogo TIMSS'!$A$5:$A$107,0)),"Pendiente de clasificar")))</f>
        <v/>
      </c>
      <c r="O35" s="11">
        <f>IF(L35="","",IFERROR(INDEX('Datos - Catálogo TIMSS'!$C$5:$C$107,MATCH(L35,'Datos - Catálogo TIMSS'!$A$5:$A$107,0)),"?"))</f>
        <v/>
      </c>
      <c r="P35" s="11" t="inlineStr">
        <is>
          <t>alta</t>
        </is>
      </c>
      <c r="Q35" s="38" t="inlineStr">
        <is>
          <t>Época seca y lluviosa; registro diario del tiempo atmosférico.</t>
        </is>
      </c>
      <c r="R35" s="38" t="inlineStr">
        <is>
          <t>Razonar: extraer conclusiones sencillas a partir de registros</t>
        </is>
      </c>
      <c r="S35" s="39">
        <f>IFERROR(ISNUMBER(SEARCH("Conocer",$R35))/(ISNUMBER(SEARCH("Conocer",$R35))+ISNUMBER(SEARCH("Aplicar",$R35))+ISNUMBER(SEARCH("Razonar",$R35))),0)</f>
        <v/>
      </c>
      <c r="T35" s="39">
        <f>IFERROR(ISNUMBER(SEARCH("Aplicar",$R35))/(ISNUMBER(SEARCH("Conocer",$R35))+ISNUMBER(SEARCH("Aplicar",$R35))+ISNUMBER(SEARCH("Razonar",$R35))),0)</f>
        <v/>
      </c>
      <c r="U35" s="39">
        <f>IFERROR(ISNUMBER(SEARCH("Razonar",$R35))/(ISNUMBER(SEARCH("Conocer",$R35))+ISNUMBER(SEARCH("Aplicar",$R35))+ISNUMBER(SEARCH("Razonar",$R35))),0)</f>
        <v/>
      </c>
      <c r="V35" s="11" t="inlineStr">
        <is>
          <t>2°</t>
        </is>
      </c>
      <c r="W35" s="11" t="inlineStr">
        <is>
          <t>Ciclo 2°–4°</t>
        </is>
      </c>
      <c r="X35" s="11">
        <f>IF(OR(IFERROR(INDEX('Datos - Catálogo TIMSS'!$I$5:$I$107,MATCH(K35,'Datos - Catálogo TIMSS'!$A$5:$A$107,0)),"No")="Sí",IFERROR(INDEX('Datos - Catálogo TIMSS'!$I$5:$I$107,MATCH(L35,'Datos - Catálogo TIMSS'!$A$5:$A$107,0)),"No")="Sí"),1,0)</f>
        <v/>
      </c>
      <c r="Y35" s="11">
        <f>IF(IFERROR(INDEX('Datos - Catálogo TIMSS'!$J$5:$J$107,MATCH(K35,'Datos - Catálogo TIMSS'!$A$5:$A$107,0)),"No")="Sí",1,0)</f>
        <v/>
      </c>
      <c r="Z35" s="11">
        <f>IF(IFERROR(INDEX('Datos - Catálogo TIMSS'!$J$5:$J$107,MATCH(L35,'Datos - Catálogo TIMSS'!$A$5:$A$107,0)),"No")="Sí",1,0)</f>
        <v/>
      </c>
      <c r="AA35" s="11" t="inlineStr">
        <is>
          <t>T4-T2.3</t>
        </is>
      </c>
      <c r="AB35" s="11" t="inlineStr"/>
      <c r="AC35" s="11">
        <f>IF(AA35="FUERA","Fuera del marco",IF(AA35="N/A","Sin marco",IFERROR(INDEX('Datos - TIMSS 2023'!$C$5:$C$105,MATCH(AA35,'Datos - TIMSS 2023'!$A$5:$A$105,0)),"Pendiente de clasificar")))</f>
        <v/>
      </c>
      <c r="AD35" s="11" t="inlineStr">
        <is>
          <t>3. Investigar, evaluar y usar información científica para tomar decisiones y actuar</t>
        </is>
      </c>
      <c r="AE35" s="11">
        <f>IF(AD35="","",IF(LEFT(AD35,1)="1","C1",IF(LEFT(AD35,1)="2","C2",IF(LEFT(AD35,1)="3","C3",""))))</f>
        <v/>
      </c>
      <c r="AF35" s="11" t="inlineStr">
        <is>
          <t>E1</t>
        </is>
      </c>
      <c r="AG35" s="11" t="inlineStr">
        <is>
          <t>E3</t>
        </is>
      </c>
      <c r="AH35" s="11" t="inlineStr">
        <is>
          <t>E1</t>
        </is>
      </c>
      <c r="AI35" s="11" t="inlineStr">
        <is>
          <t>I3</t>
        </is>
      </c>
      <c r="AJ35" s="11" t="inlineStr">
        <is>
          <t>I5</t>
        </is>
      </c>
      <c r="AK35" s="11" t="n"/>
      <c r="AL35" s="11" t="n"/>
      <c r="AM35" s="11" t="n"/>
      <c r="AN35" s="11" t="n"/>
      <c r="AO35" s="11" t="n"/>
      <c r="AP35" s="11" t="n"/>
      <c r="AQ35" s="11" t="n"/>
      <c r="AR35" s="11" t="n"/>
      <c r="AS35" s="11" t="n"/>
      <c r="AT35" s="11" t="n"/>
      <c r="AU35" s="11" t="n"/>
      <c r="AV35" s="11" t="n"/>
      <c r="AW35" s="11">
        <f>AF35&amp;"; "&amp;AG35&amp;"; "&amp;AH35&amp;"; "&amp;AI35&amp;"; "&amp;AJ35</f>
        <v/>
      </c>
    </row>
    <row r="36">
      <c r="A36" s="11" t="inlineStr">
        <is>
          <t>T0670-G02-CIE</t>
        </is>
      </c>
      <c r="B36" s="11" t="n">
        <v>2</v>
      </c>
      <c r="C36" s="11" t="inlineStr">
        <is>
          <t>Ciencias</t>
        </is>
      </c>
      <c r="D36" s="11" t="inlineStr">
        <is>
          <t>Matriz_Ciencias_2do_Grado_U1_U6_3.xlsx</t>
        </is>
      </c>
      <c r="E36" s="11" t="inlineStr">
        <is>
          <t>Unidad 4 - Seres vivos</t>
        </is>
      </c>
      <c r="F36" s="11" t="n">
        <v>3</v>
      </c>
      <c r="G36" s="11" t="inlineStr">
        <is>
          <t>4. Seres vivos.</t>
        </is>
      </c>
      <c r="H36" s="11" t="inlineStr">
        <is>
          <t>¿Qué es un ser vivo?</t>
        </is>
      </c>
      <c r="I36" s="38" t="inlineStr">
        <is>
          <t>1.8. Comparación entre las características unificadoras de los seres vivos.</t>
        </is>
      </c>
      <c r="J36" s="11" t="inlineStr">
        <is>
          <t>T4_27</t>
        </is>
      </c>
      <c r="K36" s="11" t="inlineStr">
        <is>
          <t>T4_27-B1.1</t>
        </is>
      </c>
      <c r="L36" s="11" t="inlineStr"/>
      <c r="M36" s="11">
        <f>IF(K36="FUERA","Fuera del marco",IF(K36="N/A","Sin marco",IFERROR(INDEX('Datos - Catálogo TIMSS'!$C$5:$C$107,MATCH(K36,'Datos - Catálogo TIMSS'!$A$5:$A$107,0)),"Pendiente de clasificar")))</f>
        <v/>
      </c>
      <c r="N36" s="11">
        <f>IF(K36="FUERA","Fuera del marco",IF(K36="N/A","Sin marco",IFERROR(INDEX('Datos - Catálogo TIMSS'!$F$5:$F$107,MATCH(K36,'Datos - Catálogo TIMSS'!$A$5:$A$107,0)),"Pendiente de clasificar")))</f>
        <v/>
      </c>
      <c r="O36" s="11">
        <f>IF(L36="","",IFERROR(INDEX('Datos - Catálogo TIMSS'!$C$5:$C$107,MATCH(L36,'Datos - Catálogo TIMSS'!$A$5:$A$107,0)),"?"))</f>
        <v/>
      </c>
      <c r="P36" s="11" t="inlineStr">
        <is>
          <t>alta</t>
        </is>
      </c>
      <c r="Q36" s="38" t="inlineStr">
        <is>
          <t>Distingue seres vivos de no vivos por sus características.</t>
        </is>
      </c>
      <c r="R36" s="38" t="inlineStr">
        <is>
          <t>Conocer: identificar. Aplicar: comparar</t>
        </is>
      </c>
      <c r="S36" s="39">
        <f>IFERROR(ISNUMBER(SEARCH("Conocer",$R36))/(ISNUMBER(SEARCH("Conocer",$R36))+ISNUMBER(SEARCH("Aplicar",$R36))+ISNUMBER(SEARCH("Razonar",$R36))),0)</f>
        <v/>
      </c>
      <c r="T36" s="39">
        <f>IFERROR(ISNUMBER(SEARCH("Aplicar",$R36))/(ISNUMBER(SEARCH("Conocer",$R36))+ISNUMBER(SEARCH("Aplicar",$R36))+ISNUMBER(SEARCH("Razonar",$R36))),0)</f>
        <v/>
      </c>
      <c r="U36" s="39">
        <f>IFERROR(ISNUMBER(SEARCH("Razonar",$R36))/(ISNUMBER(SEARCH("Conocer",$R36))+ISNUMBER(SEARCH("Aplicar",$R36))+ISNUMBER(SEARCH("Razonar",$R36))),0)</f>
        <v/>
      </c>
      <c r="V36" s="11" t="inlineStr">
        <is>
          <t>2°</t>
        </is>
      </c>
      <c r="W36" s="11" t="inlineStr">
        <is>
          <t>Ciclo 2°–4°</t>
        </is>
      </c>
      <c r="X36" s="11">
        <f>IF(OR(IFERROR(INDEX('Datos - Catálogo TIMSS'!$I$5:$I$107,MATCH(K36,'Datos - Catálogo TIMSS'!$A$5:$A$107,0)),"No")="Sí",IFERROR(INDEX('Datos - Catálogo TIMSS'!$I$5:$I$107,MATCH(L36,'Datos - Catálogo TIMSS'!$A$5:$A$107,0)),"No")="Sí"),1,0)</f>
        <v/>
      </c>
      <c r="Y36" s="11">
        <f>IF(IFERROR(INDEX('Datos - Catálogo TIMSS'!$J$5:$J$107,MATCH(K36,'Datos - Catálogo TIMSS'!$A$5:$A$107,0)),"No")="Sí",1,0)</f>
        <v/>
      </c>
      <c r="Z36" s="11">
        <f>IF(IFERROR(INDEX('Datos - Catálogo TIMSS'!$J$5:$J$107,MATCH(L36,'Datos - Catálogo TIMSS'!$A$5:$A$107,0)),"No")="Sí",1,0)</f>
        <v/>
      </c>
      <c r="AA36" s="11" t="inlineStr">
        <is>
          <t>T4-V1.1</t>
        </is>
      </c>
      <c r="AB36" s="11" t="inlineStr"/>
      <c r="AC36" s="11">
        <f>IF(AA36="FUERA","Fuera del marco",IF(AA36="N/A","Sin marco",IFERROR(INDEX('Datos - TIMSS 2023'!$C$5:$C$105,MATCH(AA36,'Datos - TIMSS 2023'!$A$5:$A$105,0)),"Pendiente de clasificar")))</f>
        <v/>
      </c>
      <c r="AD36" s="11" t="inlineStr">
        <is>
          <t>1. Explicar fenómenos científicamente</t>
        </is>
      </c>
      <c r="AE36" s="11">
        <f>IF(AD36="","",IF(LEFT(AD36,1)="1","C1",IF(LEFT(AD36,1)="2","C2",IF(LEFT(AD36,1)="3","C3",""))))</f>
        <v/>
      </c>
      <c r="AF36" s="11" t="inlineStr">
        <is>
          <t>E1</t>
        </is>
      </c>
      <c r="AG36" s="11" t="inlineStr">
        <is>
          <t>D1</t>
        </is>
      </c>
      <c r="AH36" s="11" t="inlineStr">
        <is>
          <t>E1</t>
        </is>
      </c>
      <c r="AI36" s="11" t="inlineStr">
        <is>
          <t>D4</t>
        </is>
      </c>
      <c r="AJ36" s="11" t="inlineStr">
        <is>
          <t>I4</t>
        </is>
      </c>
      <c r="AK36" s="11" t="n"/>
      <c r="AL36" s="11" t="n"/>
      <c r="AM36" s="11" t="n"/>
      <c r="AN36" s="11" t="n"/>
      <c r="AO36" s="11" t="n"/>
      <c r="AP36" s="11" t="n"/>
      <c r="AQ36" s="11" t="n"/>
      <c r="AR36" s="11" t="n"/>
      <c r="AS36" s="11" t="n"/>
      <c r="AT36" s="11" t="n"/>
      <c r="AU36" s="11" t="n"/>
      <c r="AV36" s="11" t="n"/>
      <c r="AW36" s="11">
        <f>AF36&amp;"; "&amp;AG36&amp;"; "&amp;AH36&amp;"; "&amp;AI36&amp;"; "&amp;AJ36</f>
        <v/>
      </c>
    </row>
    <row r="37">
      <c r="A37" s="11" t="inlineStr">
        <is>
          <t>T0671-G02-CIE</t>
        </is>
      </c>
      <c r="B37" s="11" t="n">
        <v>2</v>
      </c>
      <c r="C37" s="11" t="inlineStr">
        <is>
          <t>Ciencias</t>
        </is>
      </c>
      <c r="D37" s="11" t="inlineStr">
        <is>
          <t>Matriz_Ciencias_2do_Grado_U1_U6_3.xlsx</t>
        </is>
      </c>
      <c r="E37" s="11" t="inlineStr">
        <is>
          <t>Unidad 4 - Seres vivos</t>
        </is>
      </c>
      <c r="F37" s="11" t="n">
        <v>4</v>
      </c>
      <c r="G37" s="11" t="inlineStr">
        <is>
          <t>4. Seres vivos.</t>
        </is>
      </c>
      <c r="H37" s="11" t="inlineStr">
        <is>
          <t>Características de los seres vivos.</t>
        </is>
      </c>
      <c r="I37" s="38" t="inlineStr">
        <is>
          <t>1.9. Experimentación con la forma en que los seres vivos reaccionan a lo que ocurre a su alrededor (luz, tacto, calor).</t>
        </is>
      </c>
      <c r="J37" s="11" t="inlineStr">
        <is>
          <t>T4_27</t>
        </is>
      </c>
      <c r="K37" s="11" t="inlineStr">
        <is>
          <t>T4_27-B1.4</t>
        </is>
      </c>
      <c r="L37" s="11" t="inlineStr"/>
      <c r="M37" s="11">
        <f>IF(K37="FUERA","Fuera del marco",IF(K37="N/A","Sin marco",IFERROR(INDEX('Datos - Catálogo TIMSS'!$C$5:$C$107,MATCH(K37,'Datos - Catálogo TIMSS'!$A$5:$A$107,0)),"Pendiente de clasificar")))</f>
        <v/>
      </c>
      <c r="N37" s="11">
        <f>IF(K37="FUERA","Fuera del marco",IF(K37="N/A","Sin marco",IFERROR(INDEX('Datos - Catálogo TIMSS'!$F$5:$F$107,MATCH(K37,'Datos - Catálogo TIMSS'!$A$5:$A$107,0)),"Pendiente de clasificar")))</f>
        <v/>
      </c>
      <c r="O37" s="11">
        <f>IF(L37="","",IFERROR(INDEX('Datos - Catálogo TIMSS'!$C$5:$C$107,MATCH(L37,'Datos - Catálogo TIMSS'!$A$5:$A$107,0)),"?"))</f>
        <v/>
      </c>
      <c r="P37" s="11" t="inlineStr">
        <is>
          <t>media</t>
        </is>
      </c>
      <c r="Q37" s="38" t="inlineStr">
        <is>
          <t>Respuesta de seres vivos a estímulos externos: tacto, luz.</t>
        </is>
      </c>
      <c r="R37" s="38" t="inlineStr">
        <is>
          <t>Aplicar: relacionar. Razonar: predecir</t>
        </is>
      </c>
      <c r="S37" s="39">
        <f>IFERROR(ISNUMBER(SEARCH("Conocer",$R37))/(ISNUMBER(SEARCH("Conocer",$R37))+ISNUMBER(SEARCH("Aplicar",$R37))+ISNUMBER(SEARCH("Razonar",$R37))),0)</f>
        <v/>
      </c>
      <c r="T37" s="39">
        <f>IFERROR(ISNUMBER(SEARCH("Aplicar",$R37))/(ISNUMBER(SEARCH("Conocer",$R37))+ISNUMBER(SEARCH("Aplicar",$R37))+ISNUMBER(SEARCH("Razonar",$R37))),0)</f>
        <v/>
      </c>
      <c r="U37" s="39">
        <f>IFERROR(ISNUMBER(SEARCH("Razonar",$R37))/(ISNUMBER(SEARCH("Conocer",$R37))+ISNUMBER(SEARCH("Aplicar",$R37))+ISNUMBER(SEARCH("Razonar",$R37))),0)</f>
        <v/>
      </c>
      <c r="V37" s="11" t="inlineStr">
        <is>
          <t>2°</t>
        </is>
      </c>
      <c r="W37" s="11" t="inlineStr">
        <is>
          <t>Ciclo 2°–4°</t>
        </is>
      </c>
      <c r="X37" s="11">
        <f>IF(OR(IFERROR(INDEX('Datos - Catálogo TIMSS'!$I$5:$I$107,MATCH(K37,'Datos - Catálogo TIMSS'!$A$5:$A$107,0)),"No")="Sí",IFERROR(INDEX('Datos - Catálogo TIMSS'!$I$5:$I$107,MATCH(L37,'Datos - Catálogo TIMSS'!$A$5:$A$107,0)),"No")="Sí"),1,0)</f>
        <v/>
      </c>
      <c r="Y37" s="11">
        <f>IF(IFERROR(INDEX('Datos - Catálogo TIMSS'!$J$5:$J$107,MATCH(K37,'Datos - Catálogo TIMSS'!$A$5:$A$107,0)),"No")="Sí",1,0)</f>
        <v/>
      </c>
      <c r="Z37" s="11">
        <f>IF(IFERROR(INDEX('Datos - Catálogo TIMSS'!$J$5:$J$107,MATCH(L37,'Datos - Catálogo TIMSS'!$A$5:$A$107,0)),"No")="Sí",1,0)</f>
        <v/>
      </c>
      <c r="AA37" s="11" t="inlineStr">
        <is>
          <t>T4-V3.2</t>
        </is>
      </c>
      <c r="AB37" s="11" t="inlineStr"/>
      <c r="AC37" s="11">
        <f>IF(AA37="FUERA","Fuera del marco",IF(AA37="N/A","Sin marco",IFERROR(INDEX('Datos - TIMSS 2023'!$C$5:$C$105,MATCH(AA37,'Datos - TIMSS 2023'!$A$5:$A$105,0)),"Pendiente de clasificar")))</f>
        <v/>
      </c>
      <c r="AD37" s="11" t="inlineStr">
        <is>
          <t>1. Explicar fenómenos científicamente</t>
        </is>
      </c>
      <c r="AE37" s="11">
        <f>IF(AD37="","",IF(LEFT(AD37,1)="1","C1",IF(LEFT(AD37,1)="2","C2",IF(LEFT(AD37,1)="3","C3",""))))</f>
        <v/>
      </c>
      <c r="AF37" s="11" t="inlineStr">
        <is>
          <t>E1</t>
        </is>
      </c>
      <c r="AG37" s="11" t="inlineStr">
        <is>
          <t>E3</t>
        </is>
      </c>
      <c r="AH37" s="11" t="inlineStr">
        <is>
          <t>E1</t>
        </is>
      </c>
      <c r="AI37" s="11" t="inlineStr">
        <is>
          <t>D4</t>
        </is>
      </c>
      <c r="AJ37" s="11" t="inlineStr">
        <is>
          <t>E1</t>
        </is>
      </c>
      <c r="AK37" s="11" t="n"/>
      <c r="AL37" s="11" t="n"/>
      <c r="AM37" s="11" t="n"/>
      <c r="AN37" s="11" t="n"/>
      <c r="AO37" s="11" t="n"/>
      <c r="AP37" s="11" t="n"/>
      <c r="AQ37" s="11" t="n"/>
      <c r="AR37" s="11" t="n"/>
      <c r="AS37" s="11" t="n"/>
      <c r="AT37" s="11" t="n"/>
      <c r="AU37" s="11" t="n"/>
      <c r="AV37" s="11" t="n"/>
      <c r="AW37" s="11">
        <f>AF37&amp;"; "&amp;AG37&amp;"; "&amp;AH37&amp;"; "&amp;AI37&amp;"; "&amp;AJ37</f>
        <v/>
      </c>
    </row>
    <row r="38">
      <c r="A38" s="11" t="inlineStr">
        <is>
          <t>T0672-G02-CIE</t>
        </is>
      </c>
      <c r="B38" s="11" t="n">
        <v>2</v>
      </c>
      <c r="C38" s="11" t="inlineStr">
        <is>
          <t>Ciencias</t>
        </is>
      </c>
      <c r="D38" s="11" t="inlineStr">
        <is>
          <t>Matriz_Ciencias_2do_Grado_U1_U6_3.xlsx</t>
        </is>
      </c>
      <c r="E38" s="11" t="inlineStr">
        <is>
          <t>Unidad 4 - Seres vivos</t>
        </is>
      </c>
      <c r="F38" s="11" t="n">
        <v>5</v>
      </c>
      <c r="G38" s="11" t="inlineStr">
        <is>
          <t>4. Seres vivos.</t>
        </is>
      </c>
      <c r="H38" s="11" t="inlineStr">
        <is>
          <t>Características de los seres vivos.</t>
        </is>
      </c>
      <c r="I38" s="38" t="inlineStr">
        <is>
          <t>1.10. Registro con dibujos de los cambios en el crecimiento de un ser vivo.</t>
        </is>
      </c>
      <c r="J38" s="11" t="inlineStr">
        <is>
          <t>T4_27</t>
        </is>
      </c>
      <c r="K38" s="11" t="inlineStr">
        <is>
          <t>T4_27-B2.1</t>
        </is>
      </c>
      <c r="L38" s="11" t="inlineStr"/>
      <c r="M38" s="11">
        <f>IF(K38="FUERA","Fuera del marco",IF(K38="N/A","Sin marco",IFERROR(INDEX('Datos - Catálogo TIMSS'!$C$5:$C$107,MATCH(K38,'Datos - Catálogo TIMSS'!$A$5:$A$107,0)),"Pendiente de clasificar")))</f>
        <v/>
      </c>
      <c r="N38" s="11">
        <f>IF(K38="FUERA","Fuera del marco",IF(K38="N/A","Sin marco",IFERROR(INDEX('Datos - Catálogo TIMSS'!$F$5:$F$107,MATCH(K38,'Datos - Catálogo TIMSS'!$A$5:$A$107,0)),"Pendiente de clasificar")))</f>
        <v/>
      </c>
      <c r="O38" s="11">
        <f>IF(L38="","",IFERROR(INDEX('Datos - Catálogo TIMSS'!$C$5:$C$107,MATCH(L38,'Datos - Catálogo TIMSS'!$A$5:$A$107,0)),"?"))</f>
        <v/>
      </c>
      <c r="P38" s="11" t="inlineStr">
        <is>
          <t>alta</t>
        </is>
      </c>
      <c r="Q38" s="38" t="inlineStr">
        <is>
          <t>Etapas del ciclo de vida de una planta de frijol.</t>
        </is>
      </c>
      <c r="R38" s="38" t="inlineStr">
        <is>
          <t>Aplicar: usar secuencias. Razonar: extraer conclusiones sencillas</t>
        </is>
      </c>
      <c r="S38" s="39">
        <f>IFERROR(ISNUMBER(SEARCH("Conocer",$R38))/(ISNUMBER(SEARCH("Conocer",$R38))+ISNUMBER(SEARCH("Aplicar",$R38))+ISNUMBER(SEARCH("Razonar",$R38))),0)</f>
        <v/>
      </c>
      <c r="T38" s="39">
        <f>IFERROR(ISNUMBER(SEARCH("Aplicar",$R38))/(ISNUMBER(SEARCH("Conocer",$R38))+ISNUMBER(SEARCH("Aplicar",$R38))+ISNUMBER(SEARCH("Razonar",$R38))),0)</f>
        <v/>
      </c>
      <c r="U38" s="39">
        <f>IFERROR(ISNUMBER(SEARCH("Razonar",$R38))/(ISNUMBER(SEARCH("Conocer",$R38))+ISNUMBER(SEARCH("Aplicar",$R38))+ISNUMBER(SEARCH("Razonar",$R38))),0)</f>
        <v/>
      </c>
      <c r="V38" s="11" t="inlineStr">
        <is>
          <t>2°</t>
        </is>
      </c>
      <c r="W38" s="11" t="inlineStr">
        <is>
          <t>Ciclo 2°–4°</t>
        </is>
      </c>
      <c r="X38" s="11">
        <f>IF(OR(IFERROR(INDEX('Datos - Catálogo TIMSS'!$I$5:$I$107,MATCH(K38,'Datos - Catálogo TIMSS'!$A$5:$A$107,0)),"No")="Sí",IFERROR(INDEX('Datos - Catálogo TIMSS'!$I$5:$I$107,MATCH(L38,'Datos - Catálogo TIMSS'!$A$5:$A$107,0)),"No")="Sí"),1,0)</f>
        <v/>
      </c>
      <c r="Y38" s="11">
        <f>IF(IFERROR(INDEX('Datos - Catálogo TIMSS'!$J$5:$J$107,MATCH(K38,'Datos - Catálogo TIMSS'!$A$5:$A$107,0)),"No")="Sí",1,0)</f>
        <v/>
      </c>
      <c r="Z38" s="11">
        <f>IF(IFERROR(INDEX('Datos - Catálogo TIMSS'!$J$5:$J$107,MATCH(L38,'Datos - Catálogo TIMSS'!$A$5:$A$107,0)),"No")="Sí",1,0)</f>
        <v/>
      </c>
      <c r="AA38" s="11" t="inlineStr">
        <is>
          <t>T4-V2.1</t>
        </is>
      </c>
      <c r="AB38" s="11" t="inlineStr"/>
      <c r="AC38" s="11">
        <f>IF(AA38="FUERA","Fuera del marco",IF(AA38="N/A","Sin marco",IFERROR(INDEX('Datos - TIMSS 2023'!$C$5:$C$105,MATCH(AA38,'Datos - TIMSS 2023'!$A$5:$A$105,0)),"Pendiente de clasificar")))</f>
        <v/>
      </c>
      <c r="AD38" s="11" t="inlineStr">
        <is>
          <t>2. Construir y evaluar diseños para la indagación científica e interpretar datos y evidencia de forma crítica</t>
        </is>
      </c>
      <c r="AE38" s="11">
        <f>IF(AD38="","",IF(LEFT(AD38,1)="1","C1",IF(LEFT(AD38,1)="2","C2",IF(LEFT(AD38,1)="3","C3",""))))</f>
        <v/>
      </c>
      <c r="AF38" s="11" t="inlineStr">
        <is>
          <t>E1</t>
        </is>
      </c>
      <c r="AG38" s="11" t="inlineStr">
        <is>
          <t>E3</t>
        </is>
      </c>
      <c r="AH38" s="11" t="inlineStr">
        <is>
          <t>E2</t>
        </is>
      </c>
      <c r="AI38" s="11" t="inlineStr">
        <is>
          <t>D4</t>
        </is>
      </c>
      <c r="AJ38" s="11" t="inlineStr">
        <is>
          <t>E1</t>
        </is>
      </c>
      <c r="AK38" s="11" t="n"/>
      <c r="AL38" s="11" t="n"/>
      <c r="AM38" s="11" t="n"/>
      <c r="AN38" s="11" t="n"/>
      <c r="AO38" s="11" t="n"/>
      <c r="AP38" s="11" t="n"/>
      <c r="AQ38" s="11" t="n"/>
      <c r="AR38" s="11" t="n"/>
      <c r="AS38" s="11" t="n"/>
      <c r="AT38" s="11" t="n"/>
      <c r="AU38" s="11" t="n"/>
      <c r="AV38" s="11" t="n"/>
      <c r="AW38" s="11">
        <f>AF38&amp;"; "&amp;AG38&amp;"; "&amp;AH38&amp;"; "&amp;AI38&amp;"; "&amp;AJ38</f>
        <v/>
      </c>
    </row>
    <row r="39">
      <c r="A39" s="11" t="inlineStr">
        <is>
          <t>T0673-G02-CIE</t>
        </is>
      </c>
      <c r="B39" s="11" t="n">
        <v>2</v>
      </c>
      <c r="C39" s="11" t="inlineStr">
        <is>
          <t>Ciencias</t>
        </is>
      </c>
      <c r="D39" s="11" t="inlineStr">
        <is>
          <t>Matriz_Ciencias_2do_Grado_U1_U6_3.xlsx</t>
        </is>
      </c>
      <c r="E39" s="11" t="inlineStr">
        <is>
          <t>Unidad 4 - Seres vivos</t>
        </is>
      </c>
      <c r="F39" s="11" t="n">
        <v>6</v>
      </c>
      <c r="G39" s="11" t="inlineStr">
        <is>
          <t>4. Seres vivos.</t>
        </is>
      </c>
      <c r="H39" s="11" t="inlineStr">
        <is>
          <t>¿Dónde se encuentran los seres vivos?</t>
        </is>
      </c>
      <c r="I39" s="38" t="inlineStr">
        <is>
          <t>1.11. Observación de los lugares del entorno donde viven los seres vivos.</t>
        </is>
      </c>
      <c r="J39" s="11" t="inlineStr">
        <is>
          <t>T4_27</t>
        </is>
      </c>
      <c r="K39" s="11" t="inlineStr">
        <is>
          <t>T4_27-B4.1</t>
        </is>
      </c>
      <c r="L39" s="11" t="inlineStr">
        <is>
          <t>T4_27-B3.1</t>
        </is>
      </c>
      <c r="M39" s="11">
        <f>IF(K39="FUERA","Fuera del marco",IF(K39="N/A","Sin marco",IFERROR(INDEX('Datos - Catálogo TIMSS'!$C$5:$C$107,MATCH(K39,'Datos - Catálogo TIMSS'!$A$5:$A$107,0)),"Pendiente de clasificar")))</f>
        <v/>
      </c>
      <c r="N39" s="11">
        <f>IF(K39="FUERA","Fuera del marco",IF(K39="N/A","Sin marco",IFERROR(INDEX('Datos - Catálogo TIMSS'!$F$5:$F$107,MATCH(K39,'Datos - Catálogo TIMSS'!$A$5:$A$107,0)),"Pendiente de clasificar")))</f>
        <v/>
      </c>
      <c r="O39" s="11">
        <f>IF(L39="","",IFERROR(INDEX('Datos - Catálogo TIMSS'!$C$5:$C$107,MATCH(L39,'Datos - Catálogo TIMSS'!$A$5:$A$107,0)),"?"))</f>
        <v/>
      </c>
      <c r="P39" s="11" t="inlineStr">
        <is>
          <t>media</t>
        </is>
      </c>
      <c r="Q39" s="38" t="inlineStr">
        <is>
          <t>Lugares donde viven seres vivos y rasgos relacionados con ellos.</t>
        </is>
      </c>
      <c r="R39" s="38" t="inlineStr">
        <is>
          <t>Aplicar: relacionar</t>
        </is>
      </c>
      <c r="S39" s="39">
        <f>IFERROR(ISNUMBER(SEARCH("Conocer",$R39))/(ISNUMBER(SEARCH("Conocer",$R39))+ISNUMBER(SEARCH("Aplicar",$R39))+ISNUMBER(SEARCH("Razonar",$R39))),0)</f>
        <v/>
      </c>
      <c r="T39" s="39">
        <f>IFERROR(ISNUMBER(SEARCH("Aplicar",$R39))/(ISNUMBER(SEARCH("Conocer",$R39))+ISNUMBER(SEARCH("Aplicar",$R39))+ISNUMBER(SEARCH("Razonar",$R39))),0)</f>
        <v/>
      </c>
      <c r="U39" s="39">
        <f>IFERROR(ISNUMBER(SEARCH("Razonar",$R39))/(ISNUMBER(SEARCH("Conocer",$R39))+ISNUMBER(SEARCH("Aplicar",$R39))+ISNUMBER(SEARCH("Razonar",$R39))),0)</f>
        <v/>
      </c>
      <c r="V39" s="11" t="inlineStr">
        <is>
          <t>2°</t>
        </is>
      </c>
      <c r="W39" s="11" t="inlineStr">
        <is>
          <t>Ciclo 2°–4°</t>
        </is>
      </c>
      <c r="X39" s="11">
        <f>IF(OR(IFERROR(INDEX('Datos - Catálogo TIMSS'!$I$5:$I$107,MATCH(K39,'Datos - Catálogo TIMSS'!$A$5:$A$107,0)),"No")="Sí",IFERROR(INDEX('Datos - Catálogo TIMSS'!$I$5:$I$107,MATCH(L39,'Datos - Catálogo TIMSS'!$A$5:$A$107,0)),"No")="Sí"),1,0)</f>
        <v/>
      </c>
      <c r="Y39" s="11">
        <f>IF(IFERROR(INDEX('Datos - Catálogo TIMSS'!$J$5:$J$107,MATCH(K39,'Datos - Catálogo TIMSS'!$A$5:$A$107,0)),"No")="Sí",1,0)</f>
        <v/>
      </c>
      <c r="Z39" s="11">
        <f>IF(IFERROR(INDEX('Datos - Catálogo TIMSS'!$J$5:$J$107,MATCH(L39,'Datos - Catálogo TIMSS'!$A$5:$A$107,0)),"No")="Sí",1,0)</f>
        <v/>
      </c>
      <c r="AA39" s="11" t="inlineStr">
        <is>
          <t>T4-V4.1</t>
        </is>
      </c>
      <c r="AB39" s="11" t="inlineStr">
        <is>
          <t>T4-V1.1</t>
        </is>
      </c>
      <c r="AC39" s="11">
        <f>IF(AA39="FUERA","Fuera del marco",IF(AA39="N/A","Sin marco",IFERROR(INDEX('Datos - TIMSS 2023'!$C$5:$C$105,MATCH(AA39,'Datos - TIMSS 2023'!$A$5:$A$105,0)),"Pendiente de clasificar")))</f>
        <v/>
      </c>
      <c r="AD39" s="11" t="inlineStr">
        <is>
          <t>1. Explicar fenómenos científicamente</t>
        </is>
      </c>
      <c r="AE39" s="11">
        <f>IF(AD39="","",IF(LEFT(AD39,1)="1","C1",IF(LEFT(AD39,1)="2","C2",IF(LEFT(AD39,1)="3","C3",""))))</f>
        <v/>
      </c>
      <c r="AF39" s="11" t="inlineStr">
        <is>
          <t>E1</t>
        </is>
      </c>
      <c r="AG39" s="11" t="inlineStr">
        <is>
          <t>D1</t>
        </is>
      </c>
      <c r="AH39" s="11" t="inlineStr">
        <is>
          <t>E1</t>
        </is>
      </c>
      <c r="AI39" s="11" t="inlineStr">
        <is>
          <t>D4</t>
        </is>
      </c>
      <c r="AJ39" s="11" t="inlineStr">
        <is>
          <t>E3</t>
        </is>
      </c>
      <c r="AK39" s="11" t="n"/>
      <c r="AL39" s="11" t="n"/>
      <c r="AM39" s="11" t="n"/>
      <c r="AN39" s="11" t="n"/>
      <c r="AO39" s="11" t="n"/>
      <c r="AP39" s="11" t="n"/>
      <c r="AQ39" s="11" t="n"/>
      <c r="AR39" s="11" t="n"/>
      <c r="AS39" s="11" t="n"/>
      <c r="AT39" s="11" t="n"/>
      <c r="AU39" s="11" t="n"/>
      <c r="AV39" s="11" t="n"/>
      <c r="AW39" s="11">
        <f>AF39&amp;"; "&amp;AG39&amp;"; "&amp;AH39&amp;"; "&amp;AI39&amp;"; "&amp;AJ39</f>
        <v/>
      </c>
    </row>
    <row r="40">
      <c r="A40" s="11" t="inlineStr">
        <is>
          <t>T0674-G02-CIE</t>
        </is>
      </c>
      <c r="B40" s="11" t="n">
        <v>2</v>
      </c>
      <c r="C40" s="11" t="inlineStr">
        <is>
          <t>Ciencias</t>
        </is>
      </c>
      <c r="D40" s="11" t="inlineStr">
        <is>
          <t>Matriz_Ciencias_2do_Grado_U1_U6_3.xlsx</t>
        </is>
      </c>
      <c r="E40" s="11" t="inlineStr">
        <is>
          <t>Unidad 4 - Seres vivos</t>
        </is>
      </c>
      <c r="F40" s="11" t="n">
        <v>7</v>
      </c>
      <c r="G40" s="11" t="inlineStr">
        <is>
          <t>4. Seres vivos.</t>
        </is>
      </c>
      <c r="H40" s="11" t="inlineStr">
        <is>
          <t>¿Cuántos tipos de organismos existen?</t>
        </is>
      </c>
      <c r="I40" s="38" t="inlineStr">
        <is>
          <t>4.1. Observación de la variedad de seres vivos del entorno (biodiversidad).</t>
        </is>
      </c>
      <c r="J40" s="11" t="inlineStr">
        <is>
          <t>T4_27</t>
        </is>
      </c>
      <c r="K40" s="11" t="inlineStr">
        <is>
          <t>T4_27-B1.2</t>
        </is>
      </c>
      <c r="L40" s="11" t="inlineStr"/>
      <c r="M40" s="11">
        <f>IF(K40="FUERA","Fuera del marco",IF(K40="N/A","Sin marco",IFERROR(INDEX('Datos - Catálogo TIMSS'!$C$5:$C$107,MATCH(K40,'Datos - Catálogo TIMSS'!$A$5:$A$107,0)),"Pendiente de clasificar")))</f>
        <v/>
      </c>
      <c r="N40" s="11">
        <f>IF(K40="FUERA","Fuera del marco",IF(K40="N/A","Sin marco",IFERROR(INDEX('Datos - Catálogo TIMSS'!$F$5:$F$107,MATCH(K40,'Datos - Catálogo TIMSS'!$A$5:$A$107,0)),"Pendiente de clasificar")))</f>
        <v/>
      </c>
      <c r="O40" s="11">
        <f>IF(L40="","",IFERROR(INDEX('Datos - Catálogo TIMSS'!$C$5:$C$107,MATCH(L40,'Datos - Catálogo TIMSS'!$A$5:$A$107,0)),"?"))</f>
        <v/>
      </c>
      <c r="P40" s="11" t="inlineStr">
        <is>
          <t>media</t>
        </is>
      </c>
      <c r="Q40" s="38" t="inlineStr">
        <is>
          <t>Variedad de seres vivos del entorno; reconoce distintos tipos.</t>
        </is>
      </c>
      <c r="R40" s="38" t="inlineStr">
        <is>
          <t>Conocer: dar ejemplos</t>
        </is>
      </c>
      <c r="S40" s="39">
        <f>IFERROR(ISNUMBER(SEARCH("Conocer",$R40))/(ISNUMBER(SEARCH("Conocer",$R40))+ISNUMBER(SEARCH("Aplicar",$R40))+ISNUMBER(SEARCH("Razonar",$R40))),0)</f>
        <v/>
      </c>
      <c r="T40" s="39">
        <f>IFERROR(ISNUMBER(SEARCH("Aplicar",$R40))/(ISNUMBER(SEARCH("Conocer",$R40))+ISNUMBER(SEARCH("Aplicar",$R40))+ISNUMBER(SEARCH("Razonar",$R40))),0)</f>
        <v/>
      </c>
      <c r="U40" s="39">
        <f>IFERROR(ISNUMBER(SEARCH("Razonar",$R40))/(ISNUMBER(SEARCH("Conocer",$R40))+ISNUMBER(SEARCH("Aplicar",$R40))+ISNUMBER(SEARCH("Razonar",$R40))),0)</f>
        <v/>
      </c>
      <c r="V40" s="11" t="inlineStr">
        <is>
          <t>2°</t>
        </is>
      </c>
      <c r="W40" s="11" t="inlineStr">
        <is>
          <t>Ciclo 2°–4°</t>
        </is>
      </c>
      <c r="X40" s="11">
        <f>IF(OR(IFERROR(INDEX('Datos - Catálogo TIMSS'!$I$5:$I$107,MATCH(K40,'Datos - Catálogo TIMSS'!$A$5:$A$107,0)),"No")="Sí",IFERROR(INDEX('Datos - Catálogo TIMSS'!$I$5:$I$107,MATCH(L40,'Datos - Catálogo TIMSS'!$A$5:$A$107,0)),"No")="Sí"),1,0)</f>
        <v/>
      </c>
      <c r="Y40" s="11">
        <f>IF(IFERROR(INDEX('Datos - Catálogo TIMSS'!$J$5:$J$107,MATCH(K40,'Datos - Catálogo TIMSS'!$A$5:$A$107,0)),"No")="Sí",1,0)</f>
        <v/>
      </c>
      <c r="Z40" s="11">
        <f>IF(IFERROR(INDEX('Datos - Catálogo TIMSS'!$J$5:$J$107,MATCH(L40,'Datos - Catálogo TIMSS'!$A$5:$A$107,0)),"No")="Sí",1,0)</f>
        <v/>
      </c>
      <c r="AA40" s="11" t="inlineStr">
        <is>
          <t>T4-V1.2</t>
        </is>
      </c>
      <c r="AB40" s="11" t="inlineStr"/>
      <c r="AC40" s="11">
        <f>IF(AA40="FUERA","Fuera del marco",IF(AA40="N/A","Sin marco",IFERROR(INDEX('Datos - TIMSS 2023'!$C$5:$C$105,MATCH(AA40,'Datos - TIMSS 2023'!$A$5:$A$105,0)),"Pendiente de clasificar")))</f>
        <v/>
      </c>
      <c r="AD40" s="11" t="inlineStr">
        <is>
          <t>1. Explicar fenómenos científicamente</t>
        </is>
      </c>
      <c r="AE40" s="11">
        <f>IF(AD40="","",IF(LEFT(AD40,1)="1","C1",IF(LEFT(AD40,1)="2","C2",IF(LEFT(AD40,1)="3","C3",""))))</f>
        <v/>
      </c>
      <c r="AF40" s="11" t="inlineStr">
        <is>
          <t>E1</t>
        </is>
      </c>
      <c r="AG40" s="11" t="inlineStr">
        <is>
          <t>D1</t>
        </is>
      </c>
      <c r="AH40" s="11" t="inlineStr">
        <is>
          <t>E1</t>
        </is>
      </c>
      <c r="AI40" s="11" t="inlineStr">
        <is>
          <t>D4</t>
        </is>
      </c>
      <c r="AJ40" s="11" t="inlineStr">
        <is>
          <t>E6</t>
        </is>
      </c>
      <c r="AK40" s="11" t="n"/>
      <c r="AL40" s="11" t="n"/>
      <c r="AM40" s="11" t="n"/>
      <c r="AN40" s="11" t="n"/>
      <c r="AO40" s="11" t="n"/>
      <c r="AP40" s="11" t="n"/>
      <c r="AQ40" s="11" t="n"/>
      <c r="AR40" s="11" t="n"/>
      <c r="AS40" s="11" t="n"/>
      <c r="AT40" s="11" t="n"/>
      <c r="AU40" s="11" t="n"/>
      <c r="AV40" s="11" t="n"/>
      <c r="AW40" s="11">
        <f>AF40&amp;"; "&amp;AG40&amp;"; "&amp;AH40&amp;"; "&amp;AI40&amp;"; "&amp;AJ40</f>
        <v/>
      </c>
    </row>
    <row r="41">
      <c r="A41" s="11" t="inlineStr">
        <is>
          <t>T0675-G02-CIE</t>
        </is>
      </c>
      <c r="B41" s="11" t="n">
        <v>2</v>
      </c>
      <c r="C41" s="11" t="inlineStr">
        <is>
          <t>Ciencias</t>
        </is>
      </c>
      <c r="D41" s="11" t="inlineStr">
        <is>
          <t>Matriz_Ciencias_2do_Grado_U1_U6_3.xlsx</t>
        </is>
      </c>
      <c r="E41" s="11" t="inlineStr">
        <is>
          <t>Unidad 4 - Seres vivos</t>
        </is>
      </c>
      <c r="F41" s="11" t="n">
        <v>8</v>
      </c>
      <c r="G41" s="11" t="inlineStr">
        <is>
          <t>4. Seres vivos.</t>
        </is>
      </c>
      <c r="H41" s="11" t="inlineStr">
        <is>
          <t>¿Cuántos tipos de organismos existen?</t>
        </is>
      </c>
      <c r="I41" s="38" t="inlineStr">
        <is>
          <t>4.2. Clasificación de seres vivos en grupos, según sus características.</t>
        </is>
      </c>
      <c r="J41" s="11" t="inlineStr">
        <is>
          <t>T4_27</t>
        </is>
      </c>
      <c r="K41" s="11" t="inlineStr">
        <is>
          <t>T4_27-B1.2</t>
        </is>
      </c>
      <c r="L41" s="11" t="inlineStr"/>
      <c r="M41" s="11">
        <f>IF(K41="FUERA","Fuera del marco",IF(K41="N/A","Sin marco",IFERROR(INDEX('Datos - Catálogo TIMSS'!$C$5:$C$107,MATCH(K41,'Datos - Catálogo TIMSS'!$A$5:$A$107,0)),"Pendiente de clasificar")))</f>
        <v/>
      </c>
      <c r="N41" s="11">
        <f>IF(K41="FUERA","Fuera del marco",IF(K41="N/A","Sin marco",IFERROR(INDEX('Datos - Catálogo TIMSS'!$F$5:$F$107,MATCH(K41,'Datos - Catálogo TIMSS'!$A$5:$A$107,0)),"Pendiente de clasificar")))</f>
        <v/>
      </c>
      <c r="O41" s="11">
        <f>IF(L41="","",IFERROR(INDEX('Datos - Catálogo TIMSS'!$C$5:$C$107,MATCH(L41,'Datos - Catálogo TIMSS'!$A$5:$A$107,0)),"?"))</f>
        <v/>
      </c>
      <c r="P41" s="11" t="inlineStr">
        <is>
          <t>alta</t>
        </is>
      </c>
      <c r="Q41" s="38" t="inlineStr">
        <is>
          <t>Clasifica seres vivos por rasgos observables.</t>
        </is>
      </c>
      <c r="R41" s="38" t="inlineStr">
        <is>
          <t>Aplicar: clasificar</t>
        </is>
      </c>
      <c r="S41" s="39">
        <f>IFERROR(ISNUMBER(SEARCH("Conocer",$R41))/(ISNUMBER(SEARCH("Conocer",$R41))+ISNUMBER(SEARCH("Aplicar",$R41))+ISNUMBER(SEARCH("Razonar",$R41))),0)</f>
        <v/>
      </c>
      <c r="T41" s="39">
        <f>IFERROR(ISNUMBER(SEARCH("Aplicar",$R41))/(ISNUMBER(SEARCH("Conocer",$R41))+ISNUMBER(SEARCH("Aplicar",$R41))+ISNUMBER(SEARCH("Razonar",$R41))),0)</f>
        <v/>
      </c>
      <c r="U41" s="39">
        <f>IFERROR(ISNUMBER(SEARCH("Razonar",$R41))/(ISNUMBER(SEARCH("Conocer",$R41))+ISNUMBER(SEARCH("Aplicar",$R41))+ISNUMBER(SEARCH("Razonar",$R41))),0)</f>
        <v/>
      </c>
      <c r="V41" s="11" t="inlineStr">
        <is>
          <t>2°</t>
        </is>
      </c>
      <c r="W41" s="11" t="inlineStr">
        <is>
          <t>Ciclo 2°–4°</t>
        </is>
      </c>
      <c r="X41" s="11">
        <f>IF(OR(IFERROR(INDEX('Datos - Catálogo TIMSS'!$I$5:$I$107,MATCH(K41,'Datos - Catálogo TIMSS'!$A$5:$A$107,0)),"No")="Sí",IFERROR(INDEX('Datos - Catálogo TIMSS'!$I$5:$I$107,MATCH(L41,'Datos - Catálogo TIMSS'!$A$5:$A$107,0)),"No")="Sí"),1,0)</f>
        <v/>
      </c>
      <c r="Y41" s="11">
        <f>IF(IFERROR(INDEX('Datos - Catálogo TIMSS'!$J$5:$J$107,MATCH(K41,'Datos - Catálogo TIMSS'!$A$5:$A$107,0)),"No")="Sí",1,0)</f>
        <v/>
      </c>
      <c r="Z41" s="11">
        <f>IF(IFERROR(INDEX('Datos - Catálogo TIMSS'!$J$5:$J$107,MATCH(L41,'Datos - Catálogo TIMSS'!$A$5:$A$107,0)),"No")="Sí",1,0)</f>
        <v/>
      </c>
      <c r="AA41" s="11" t="inlineStr">
        <is>
          <t>T4-V1.2</t>
        </is>
      </c>
      <c r="AB41" s="11" t="inlineStr"/>
      <c r="AC41" s="11">
        <f>IF(AA41="FUERA","Fuera del marco",IF(AA41="N/A","Sin marco",IFERROR(INDEX('Datos - TIMSS 2023'!$C$5:$C$105,MATCH(AA41,'Datos - TIMSS 2023'!$A$5:$A$105,0)),"Pendiente de clasificar")))</f>
        <v/>
      </c>
      <c r="AD41" s="11" t="inlineStr">
        <is>
          <t>2. Construir y evaluar diseños para la indagación científica e interpretar datos y evidencia de forma crítica</t>
        </is>
      </c>
      <c r="AE41" s="11">
        <f>IF(AD41="","",IF(LEFT(AD41,1)="1","C1",IF(LEFT(AD41,1)="2","C2",IF(LEFT(AD41,1)="3","C3",""))))</f>
        <v/>
      </c>
      <c r="AF41" s="11" t="inlineStr">
        <is>
          <t>E1</t>
        </is>
      </c>
      <c r="AG41" s="11" t="inlineStr">
        <is>
          <t>D1</t>
        </is>
      </c>
      <c r="AH41" s="11" t="inlineStr">
        <is>
          <t>E2</t>
        </is>
      </c>
      <c r="AI41" s="11" t="inlineStr">
        <is>
          <t>D4</t>
        </is>
      </c>
      <c r="AJ41" s="11" t="inlineStr">
        <is>
          <t>E1</t>
        </is>
      </c>
      <c r="AK41" s="11" t="n"/>
      <c r="AL41" s="11" t="n"/>
      <c r="AM41" s="11" t="n"/>
      <c r="AN41" s="11" t="n"/>
      <c r="AO41" s="11" t="n"/>
      <c r="AP41" s="11" t="n"/>
      <c r="AQ41" s="11" t="n"/>
      <c r="AR41" s="11" t="n"/>
      <c r="AS41" s="11" t="n"/>
      <c r="AT41" s="11" t="n"/>
      <c r="AU41" s="11" t="n"/>
      <c r="AV41" s="11" t="n"/>
      <c r="AW41" s="11">
        <f>AF41&amp;"; "&amp;AG41&amp;"; "&amp;AH41&amp;"; "&amp;AI41&amp;"; "&amp;AJ41</f>
        <v/>
      </c>
    </row>
    <row r="42">
      <c r="A42" s="11" t="inlineStr">
        <is>
          <t>T0676-G02-CIE</t>
        </is>
      </c>
      <c r="B42" s="11" t="n">
        <v>2</v>
      </c>
      <c r="C42" s="11" t="inlineStr">
        <is>
          <t>Ciencias</t>
        </is>
      </c>
      <c r="D42" s="11" t="inlineStr">
        <is>
          <t>Matriz_Ciencias_2do_Grado_U1_U6_3.xlsx</t>
        </is>
      </c>
      <c r="E42" s="11" t="inlineStr">
        <is>
          <t>Unidad 4 - Seres vivos</t>
        </is>
      </c>
      <c r="F42" s="11" t="n">
        <v>9</v>
      </c>
      <c r="G42" s="11" t="inlineStr">
        <is>
          <t>4. Seres vivos.</t>
        </is>
      </c>
      <c r="H42" s="11" t="inlineStr">
        <is>
          <t>Reconociendo plantas.</t>
        </is>
      </c>
      <c r="I42" s="38" t="inlineStr">
        <is>
          <t>4.3. Reconocimiento de las características físicas y la nutrición de las plantas.</t>
        </is>
      </c>
      <c r="J42" s="11" t="inlineStr">
        <is>
          <t>T4_27</t>
        </is>
      </c>
      <c r="K42" s="11" t="inlineStr">
        <is>
          <t>T4_27-B1.3</t>
        </is>
      </c>
      <c r="L42" s="11" t="inlineStr">
        <is>
          <t>T4_27-B1.1</t>
        </is>
      </c>
      <c r="M42" s="11">
        <f>IF(K42="FUERA","Fuera del marco",IF(K42="N/A","Sin marco",IFERROR(INDEX('Datos - Catálogo TIMSS'!$C$5:$C$107,MATCH(K42,'Datos - Catálogo TIMSS'!$A$5:$A$107,0)),"Pendiente de clasificar")))</f>
        <v/>
      </c>
      <c r="N42" s="11">
        <f>IF(K42="FUERA","Fuera del marco",IF(K42="N/A","Sin marco",IFERROR(INDEX('Datos - Catálogo TIMSS'!$F$5:$F$107,MATCH(K42,'Datos - Catálogo TIMSS'!$A$5:$A$107,0)),"Pendiente de clasificar")))</f>
        <v/>
      </c>
      <c r="O42" s="11">
        <f>IF(L42="","",IFERROR(INDEX('Datos - Catálogo TIMSS'!$C$5:$C$107,MATCH(L42,'Datos - Catálogo TIMSS'!$A$5:$A$107,0)),"?"))</f>
        <v/>
      </c>
      <c r="P42" s="11" t="inlineStr">
        <is>
          <t>alta</t>
        </is>
      </c>
      <c r="Q42" s="38" t="inlineStr">
        <is>
          <t>Partes de la planta y sus necesidades para vivir.</t>
        </is>
      </c>
      <c r="R42" s="38" t="inlineStr">
        <is>
          <t>Conocer: identificar partes. Aplicar: relacionar</t>
        </is>
      </c>
      <c r="S42" s="39">
        <f>IFERROR(ISNUMBER(SEARCH("Conocer",$R42))/(ISNUMBER(SEARCH("Conocer",$R42))+ISNUMBER(SEARCH("Aplicar",$R42))+ISNUMBER(SEARCH("Razonar",$R42))),0)</f>
        <v/>
      </c>
      <c r="T42" s="39">
        <f>IFERROR(ISNUMBER(SEARCH("Aplicar",$R42))/(ISNUMBER(SEARCH("Conocer",$R42))+ISNUMBER(SEARCH("Aplicar",$R42))+ISNUMBER(SEARCH("Razonar",$R42))),0)</f>
        <v/>
      </c>
      <c r="U42" s="39">
        <f>IFERROR(ISNUMBER(SEARCH("Razonar",$R42))/(ISNUMBER(SEARCH("Conocer",$R42))+ISNUMBER(SEARCH("Aplicar",$R42))+ISNUMBER(SEARCH("Razonar",$R42))),0)</f>
        <v/>
      </c>
      <c r="V42" s="11" t="inlineStr">
        <is>
          <t>2°</t>
        </is>
      </c>
      <c r="W42" s="11" t="inlineStr">
        <is>
          <t>Ciclo 2°–4°</t>
        </is>
      </c>
      <c r="X42" s="11">
        <f>IF(OR(IFERROR(INDEX('Datos - Catálogo TIMSS'!$I$5:$I$107,MATCH(K42,'Datos - Catálogo TIMSS'!$A$5:$A$107,0)),"No")="Sí",IFERROR(INDEX('Datos - Catálogo TIMSS'!$I$5:$I$107,MATCH(L42,'Datos - Catálogo TIMSS'!$A$5:$A$107,0)),"No")="Sí"),1,0)</f>
        <v/>
      </c>
      <c r="Y42" s="11">
        <f>IF(IFERROR(INDEX('Datos - Catálogo TIMSS'!$J$5:$J$107,MATCH(K42,'Datos - Catálogo TIMSS'!$A$5:$A$107,0)),"No")="Sí",1,0)</f>
        <v/>
      </c>
      <c r="Z42" s="11">
        <f>IF(IFERROR(INDEX('Datos - Catálogo TIMSS'!$J$5:$J$107,MATCH(L42,'Datos - Catálogo TIMSS'!$A$5:$A$107,0)),"No")="Sí",1,0)</f>
        <v/>
      </c>
      <c r="AA42" s="11" t="inlineStr">
        <is>
          <t>T4-V1.3</t>
        </is>
      </c>
      <c r="AB42" s="11" t="inlineStr">
        <is>
          <t>T4-V1.1</t>
        </is>
      </c>
      <c r="AC42" s="11">
        <f>IF(AA42="FUERA","Fuera del marco",IF(AA42="N/A","Sin marco",IFERROR(INDEX('Datos - TIMSS 2023'!$C$5:$C$105,MATCH(AA42,'Datos - TIMSS 2023'!$A$5:$A$105,0)),"Pendiente de clasificar")))</f>
        <v/>
      </c>
      <c r="AD42" s="11" t="inlineStr">
        <is>
          <t>1. Explicar fenómenos científicamente</t>
        </is>
      </c>
      <c r="AE42" s="11">
        <f>IF(AD42="","",IF(LEFT(AD42,1)="1","C1",IF(LEFT(AD42,1)="2","C2",IF(LEFT(AD42,1)="3","C3",""))))</f>
        <v/>
      </c>
      <c r="AF42" s="11" t="inlineStr">
        <is>
          <t>E1</t>
        </is>
      </c>
      <c r="AG42" s="11" t="inlineStr">
        <is>
          <t>E5</t>
        </is>
      </c>
      <c r="AH42" s="11" t="inlineStr">
        <is>
          <t>E4</t>
        </is>
      </c>
      <c r="AI42" s="11" t="inlineStr">
        <is>
          <t>D2</t>
        </is>
      </c>
      <c r="AJ42" s="11" t="inlineStr">
        <is>
          <t>I5</t>
        </is>
      </c>
      <c r="AK42" s="11" t="n"/>
      <c r="AL42" s="11" t="n"/>
      <c r="AM42" s="11" t="n"/>
      <c r="AN42" s="11" t="n"/>
      <c r="AO42" s="11" t="n"/>
      <c r="AP42" s="11" t="n"/>
      <c r="AQ42" s="11" t="n"/>
      <c r="AR42" s="11" t="n"/>
      <c r="AS42" s="11" t="n"/>
      <c r="AT42" s="11" t="n"/>
      <c r="AU42" s="11" t="n"/>
      <c r="AV42" s="11" t="n"/>
      <c r="AW42" s="11">
        <f>AF42&amp;"; "&amp;AG42&amp;"; "&amp;AH42&amp;"; "&amp;AI42&amp;"; "&amp;AJ42</f>
        <v/>
      </c>
    </row>
    <row r="43">
      <c r="A43" s="11" t="inlineStr">
        <is>
          <t>T0677-G02-CIE</t>
        </is>
      </c>
      <c r="B43" s="11" t="n">
        <v>2</v>
      </c>
      <c r="C43" s="11" t="inlineStr">
        <is>
          <t>Ciencias</t>
        </is>
      </c>
      <c r="D43" s="11" t="inlineStr">
        <is>
          <t>Matriz_Ciencias_2do_Grado_U1_U6_3.xlsx</t>
        </is>
      </c>
      <c r="E43" s="11" t="inlineStr">
        <is>
          <t>Unidad 4 - Seres vivos</t>
        </is>
      </c>
      <c r="F43" s="11" t="n">
        <v>10</v>
      </c>
      <c r="G43" s="11" t="inlineStr">
        <is>
          <t>4. Seres vivos.</t>
        </is>
      </c>
      <c r="H43" s="11" t="inlineStr">
        <is>
          <t>Reconociendo plantas.</t>
        </is>
      </c>
      <c r="I43" s="38" t="inlineStr">
        <is>
          <t>4.4. Comparación entre plantas silvestres y de cultivo.</t>
        </is>
      </c>
      <c r="J43" s="11" t="inlineStr">
        <is>
          <t>T4_27</t>
        </is>
      </c>
      <c r="K43" s="11" t="inlineStr">
        <is>
          <t>T4_27-B4.1</t>
        </is>
      </c>
      <c r="L43" s="11" t="inlineStr"/>
      <c r="M43" s="11">
        <f>IF(K43="FUERA","Fuera del marco",IF(K43="N/A","Sin marco",IFERROR(INDEX('Datos - Catálogo TIMSS'!$C$5:$C$107,MATCH(K43,'Datos - Catálogo TIMSS'!$A$5:$A$107,0)),"Pendiente de clasificar")))</f>
        <v/>
      </c>
      <c r="N43" s="11">
        <f>IF(K43="FUERA","Fuera del marco",IF(K43="N/A","Sin marco",IFERROR(INDEX('Datos - Catálogo TIMSS'!$F$5:$F$107,MATCH(K43,'Datos - Catálogo TIMSS'!$A$5:$A$107,0)),"Pendiente de clasificar")))</f>
        <v/>
      </c>
      <c r="O43" s="11">
        <f>IF(L43="","",IFERROR(INDEX('Datos - Catálogo TIMSS'!$C$5:$C$107,MATCH(L43,'Datos - Catálogo TIMSS'!$A$5:$A$107,0)),"?"))</f>
        <v/>
      </c>
      <c r="P43" s="11" t="inlineStr">
        <is>
          <t>baja</t>
        </is>
      </c>
      <c r="Q43" s="38" t="inlineStr">
        <is>
          <t>Plantas silvestres y cultivadas; encaje débil con ecosistemas comunes.</t>
        </is>
      </c>
      <c r="R43" s="38" t="inlineStr">
        <is>
          <t>Aplicar: comparar</t>
        </is>
      </c>
      <c r="S43" s="39">
        <f>IFERROR(ISNUMBER(SEARCH("Conocer",$R43))/(ISNUMBER(SEARCH("Conocer",$R43))+ISNUMBER(SEARCH("Aplicar",$R43))+ISNUMBER(SEARCH("Razonar",$R43))),0)</f>
        <v/>
      </c>
      <c r="T43" s="39">
        <f>IFERROR(ISNUMBER(SEARCH("Aplicar",$R43))/(ISNUMBER(SEARCH("Conocer",$R43))+ISNUMBER(SEARCH("Aplicar",$R43))+ISNUMBER(SEARCH("Razonar",$R43))),0)</f>
        <v/>
      </c>
      <c r="U43" s="39">
        <f>IFERROR(ISNUMBER(SEARCH("Razonar",$R43))/(ISNUMBER(SEARCH("Conocer",$R43))+ISNUMBER(SEARCH("Aplicar",$R43))+ISNUMBER(SEARCH("Razonar",$R43))),0)</f>
        <v/>
      </c>
      <c r="V43" s="11" t="inlineStr">
        <is>
          <t>2°</t>
        </is>
      </c>
      <c r="W43" s="11" t="inlineStr">
        <is>
          <t>Ciclo 2°–4°</t>
        </is>
      </c>
      <c r="X43" s="11">
        <f>IF(OR(IFERROR(INDEX('Datos - Catálogo TIMSS'!$I$5:$I$107,MATCH(K43,'Datos - Catálogo TIMSS'!$A$5:$A$107,0)),"No")="Sí",IFERROR(INDEX('Datos - Catálogo TIMSS'!$I$5:$I$107,MATCH(L43,'Datos - Catálogo TIMSS'!$A$5:$A$107,0)),"No")="Sí"),1,0)</f>
        <v/>
      </c>
      <c r="Y43" s="11">
        <f>IF(IFERROR(INDEX('Datos - Catálogo TIMSS'!$J$5:$J$107,MATCH(K43,'Datos - Catálogo TIMSS'!$A$5:$A$107,0)),"No")="Sí",1,0)</f>
        <v/>
      </c>
      <c r="Z43" s="11">
        <f>IF(IFERROR(INDEX('Datos - Catálogo TIMSS'!$J$5:$J$107,MATCH(L43,'Datos - Catálogo TIMSS'!$A$5:$A$107,0)),"No")="Sí",1,0)</f>
        <v/>
      </c>
      <c r="AA43" s="11" t="inlineStr">
        <is>
          <t>T4-V4.1</t>
        </is>
      </c>
      <c r="AB43" s="11" t="inlineStr"/>
      <c r="AC43" s="11">
        <f>IF(AA43="FUERA","Fuera del marco",IF(AA43="N/A","Sin marco",IFERROR(INDEX('Datos - TIMSS 2023'!$C$5:$C$105,MATCH(AA43,'Datos - TIMSS 2023'!$A$5:$A$105,0)),"Pendiente de clasificar")))</f>
        <v/>
      </c>
      <c r="AD43" s="11" t="inlineStr">
        <is>
          <t>2. Construir y evaluar diseños para la indagación científica e interpretar datos y evidencia de forma crítica</t>
        </is>
      </c>
      <c r="AE43" s="11">
        <f>IF(AD43="","",IF(LEFT(AD43,1)="1","C1",IF(LEFT(AD43,1)="2","C2",IF(LEFT(AD43,1)="3","C3",""))))</f>
        <v/>
      </c>
      <c r="AF43" s="11" t="inlineStr">
        <is>
          <t>E1</t>
        </is>
      </c>
      <c r="AG43" s="11" t="inlineStr">
        <is>
          <t>D1</t>
        </is>
      </c>
      <c r="AH43" s="11" t="inlineStr">
        <is>
          <t>E1</t>
        </is>
      </c>
      <c r="AI43" s="11" t="inlineStr">
        <is>
          <t>I1</t>
        </is>
      </c>
      <c r="AJ43" s="11" t="inlineStr">
        <is>
          <t>E6</t>
        </is>
      </c>
      <c r="AK43" s="11" t="n"/>
      <c r="AL43" s="11" t="n"/>
      <c r="AM43" s="11" t="n"/>
      <c r="AN43" s="11" t="n"/>
      <c r="AO43" s="11" t="n"/>
      <c r="AP43" s="11" t="n"/>
      <c r="AQ43" s="11" t="n"/>
      <c r="AR43" s="11" t="n"/>
      <c r="AS43" s="11" t="n"/>
      <c r="AT43" s="11" t="n"/>
      <c r="AU43" s="11" t="n"/>
      <c r="AV43" s="11" t="n"/>
      <c r="AW43" s="11">
        <f>AF43&amp;"; "&amp;AG43&amp;"; "&amp;AH43&amp;"; "&amp;AI43&amp;"; "&amp;AJ43</f>
        <v/>
      </c>
    </row>
    <row r="44">
      <c r="A44" s="11" t="inlineStr">
        <is>
          <t>T0678-G02-CIE</t>
        </is>
      </c>
      <c r="B44" s="11" t="n">
        <v>2</v>
      </c>
      <c r="C44" s="11" t="inlineStr">
        <is>
          <t>Ciencias</t>
        </is>
      </c>
      <c r="D44" s="11" t="inlineStr">
        <is>
          <t>Matriz_Ciencias_2do_Grado_U1_U6_3.xlsx</t>
        </is>
      </c>
      <c r="E44" s="11" t="inlineStr">
        <is>
          <t>Unidad 4 - Seres vivos</t>
        </is>
      </c>
      <c r="F44" s="11" t="n">
        <v>11</v>
      </c>
      <c r="G44" s="11" t="inlineStr">
        <is>
          <t>4. Seres vivos.</t>
        </is>
      </c>
      <c r="H44" s="11" t="inlineStr">
        <is>
          <t>Importancia de las plantas.</t>
        </is>
      </c>
      <c r="I44" s="38" t="inlineStr">
        <is>
          <t>4.5. Identificación y registro de los productos de origen vegetal.</t>
        </is>
      </c>
      <c r="J44" s="11" t="inlineStr">
        <is>
          <t>T4_27</t>
        </is>
      </c>
      <c r="K44" s="11" t="inlineStr">
        <is>
          <t>FUERA</t>
        </is>
      </c>
      <c r="L44" s="11" t="inlineStr"/>
      <c r="M44" s="11">
        <f>IF(K44="FUERA","Fuera del marco",IF(K44="N/A","Sin marco",IFERROR(INDEX('Datos - Catálogo TIMSS'!$C$5:$C$107,MATCH(K44,'Datos - Catálogo TIMSS'!$A$5:$A$107,0)),"Pendiente de clasificar")))</f>
        <v/>
      </c>
      <c r="N44" s="11">
        <f>IF(K44="FUERA","Fuera del marco",IF(K44="N/A","Sin marco",IFERROR(INDEX('Datos - Catálogo TIMSS'!$F$5:$F$107,MATCH(K44,'Datos - Catálogo TIMSS'!$A$5:$A$107,0)),"Pendiente de clasificar")))</f>
        <v/>
      </c>
      <c r="O44" s="11">
        <f>IF(L44="","",IFERROR(INDEX('Datos - Catálogo TIMSS'!$C$5:$C$107,MATCH(L44,'Datos - Catálogo TIMSS'!$A$5:$A$107,0)),"?"))</f>
        <v/>
      </c>
      <c r="P44" s="11" t="inlineStr">
        <is>
          <t>baja</t>
        </is>
      </c>
      <c r="Q44" s="38" t="inlineStr">
        <is>
          <t>Productos vegetales cotidianos; recursos 2027 no incluyen cultivos ni alimentos.</t>
        </is>
      </c>
      <c r="R44" s="38" t="inlineStr">
        <is>
          <t>Aplicar: clasificar</t>
        </is>
      </c>
      <c r="S44" s="39">
        <f>IFERROR(ISNUMBER(SEARCH("Conocer",$R44))/(ISNUMBER(SEARCH("Conocer",$R44))+ISNUMBER(SEARCH("Aplicar",$R44))+ISNUMBER(SEARCH("Razonar",$R44))),0)</f>
        <v/>
      </c>
      <c r="T44" s="39">
        <f>IFERROR(ISNUMBER(SEARCH("Aplicar",$R44))/(ISNUMBER(SEARCH("Conocer",$R44))+ISNUMBER(SEARCH("Aplicar",$R44))+ISNUMBER(SEARCH("Razonar",$R44))),0)</f>
        <v/>
      </c>
      <c r="U44" s="39">
        <f>IFERROR(ISNUMBER(SEARCH("Razonar",$R44))/(ISNUMBER(SEARCH("Conocer",$R44))+ISNUMBER(SEARCH("Aplicar",$R44))+ISNUMBER(SEARCH("Razonar",$R44))),0)</f>
        <v/>
      </c>
      <c r="V44" s="11" t="inlineStr">
        <is>
          <t>2°</t>
        </is>
      </c>
      <c r="W44" s="11" t="inlineStr">
        <is>
          <t>Ciclo 2°–4°</t>
        </is>
      </c>
      <c r="X44" s="11">
        <f>IF(OR(IFERROR(INDEX('Datos - Catálogo TIMSS'!$I$5:$I$107,MATCH(K44,'Datos - Catálogo TIMSS'!$A$5:$A$107,0)),"No")="Sí",IFERROR(INDEX('Datos - Catálogo TIMSS'!$I$5:$I$107,MATCH(L44,'Datos - Catálogo TIMSS'!$A$5:$A$107,0)),"No")="Sí"),1,0)</f>
        <v/>
      </c>
      <c r="Y44" s="11">
        <f>IF(IFERROR(INDEX('Datos - Catálogo TIMSS'!$J$5:$J$107,MATCH(K44,'Datos - Catálogo TIMSS'!$A$5:$A$107,0)),"No")="Sí",1,0)</f>
        <v/>
      </c>
      <c r="Z44" s="11">
        <f>IF(IFERROR(INDEX('Datos - Catálogo TIMSS'!$J$5:$J$107,MATCH(L44,'Datos - Catálogo TIMSS'!$A$5:$A$107,0)),"No")="Sí",1,0)</f>
        <v/>
      </c>
      <c r="AA44" s="11" t="inlineStr">
        <is>
          <t>T4-T1.2</t>
        </is>
      </c>
      <c r="AB44" s="11" t="inlineStr"/>
      <c r="AC44" s="11">
        <f>IF(AA44="FUERA","Fuera del marco",IF(AA44="N/A","Sin marco",IFERROR(INDEX('Datos - TIMSS 2023'!$C$5:$C$105,MATCH(AA44,'Datos - TIMSS 2023'!$A$5:$A$105,0)),"Pendiente de clasificar")))</f>
        <v/>
      </c>
      <c r="AD44" s="11" t="inlineStr">
        <is>
          <t>2. Construir y evaluar diseños para la indagación científica e interpretar datos y evidencia de forma crítica</t>
        </is>
      </c>
      <c r="AE44" s="11">
        <f>IF(AD44="","",IF(LEFT(AD44,1)="1","C1",IF(LEFT(AD44,1)="2","C2",IF(LEFT(AD44,1)="3","C3",""))))</f>
        <v/>
      </c>
      <c r="AF44" s="11" t="inlineStr">
        <is>
          <t>E1</t>
        </is>
      </c>
      <c r="AG44" s="11" t="inlineStr">
        <is>
          <t>D1</t>
        </is>
      </c>
      <c r="AH44" s="11" t="inlineStr">
        <is>
          <t>E2</t>
        </is>
      </c>
      <c r="AI44" s="11" t="inlineStr">
        <is>
          <t>D4</t>
        </is>
      </c>
      <c r="AJ44" s="11" t="inlineStr">
        <is>
          <t>E6</t>
        </is>
      </c>
      <c r="AK44" s="11" t="n"/>
      <c r="AL44" s="11" t="n"/>
      <c r="AM44" s="11" t="n"/>
      <c r="AN44" s="11" t="n"/>
      <c r="AO44" s="11" t="n"/>
      <c r="AP44" s="11" t="n"/>
      <c r="AQ44" s="11" t="n"/>
      <c r="AR44" s="11" t="n"/>
      <c r="AS44" s="11" t="n"/>
      <c r="AT44" s="11" t="n"/>
      <c r="AU44" s="11" t="n"/>
      <c r="AV44" s="11" t="n"/>
      <c r="AW44" s="11">
        <f>AF44&amp;"; "&amp;AG44&amp;"; "&amp;AH44&amp;"; "&amp;AI44&amp;"; "&amp;AJ44</f>
        <v/>
      </c>
    </row>
    <row r="45">
      <c r="A45" s="11" t="inlineStr">
        <is>
          <t>T0679-G02-CIE</t>
        </is>
      </c>
      <c r="B45" s="11" t="n">
        <v>2</v>
      </c>
      <c r="C45" s="11" t="inlineStr">
        <is>
          <t>Ciencias</t>
        </is>
      </c>
      <c r="D45" s="11" t="inlineStr">
        <is>
          <t>Matriz_Ciencias_2do_Grado_U1_U6_3.xlsx</t>
        </is>
      </c>
      <c r="E45" s="11" t="inlineStr">
        <is>
          <t>Unidad 4 - Seres vivos</t>
        </is>
      </c>
      <c r="F45" s="11" t="n">
        <v>12</v>
      </c>
      <c r="G45" s="11" t="inlineStr">
        <is>
          <t>4. Seres vivos.</t>
        </is>
      </c>
      <c r="H45" s="11" t="inlineStr">
        <is>
          <t>Importancia de las plantas.</t>
        </is>
      </c>
      <c r="I45" s="38" t="inlineStr">
        <is>
          <t>4.6. Clasificación de plantas según su uso: alimenticias, ornamentales, medicinales y otros.</t>
        </is>
      </c>
      <c r="J45" s="11" t="inlineStr">
        <is>
          <t>T4_27</t>
        </is>
      </c>
      <c r="K45" s="11" t="inlineStr">
        <is>
          <t>FUERA</t>
        </is>
      </c>
      <c r="L45" s="11" t="inlineStr"/>
      <c r="M45" s="11">
        <f>IF(K45="FUERA","Fuera del marco",IF(K45="N/A","Sin marco",IFERROR(INDEX('Datos - Catálogo TIMSS'!$C$5:$C$107,MATCH(K45,'Datos - Catálogo TIMSS'!$A$5:$A$107,0)),"Pendiente de clasificar")))</f>
        <v/>
      </c>
      <c r="N45" s="11">
        <f>IF(K45="FUERA","Fuera del marco",IF(K45="N/A","Sin marco",IFERROR(INDEX('Datos - Catálogo TIMSS'!$F$5:$F$107,MATCH(K45,'Datos - Catálogo TIMSS'!$A$5:$A$107,0)),"Pendiente de clasificar")))</f>
        <v/>
      </c>
      <c r="O45" s="11">
        <f>IF(L45="","",IFERROR(INDEX('Datos - Catálogo TIMSS'!$C$5:$C$107,MATCH(L45,'Datos - Catálogo TIMSS'!$A$5:$A$107,0)),"?"))</f>
        <v/>
      </c>
      <c r="P45" s="11" t="inlineStr">
        <is>
          <t>baja</t>
        </is>
      </c>
      <c r="Q45" s="38" t="inlineStr">
        <is>
          <t>Usos humanos de plantas; fuera de la lista cerrada de recursos 2027.</t>
        </is>
      </c>
      <c r="R45" s="38" t="inlineStr">
        <is>
          <t>Aplicar: clasificar. Razonar: justificar</t>
        </is>
      </c>
      <c r="S45" s="39">
        <f>IFERROR(ISNUMBER(SEARCH("Conocer",$R45))/(ISNUMBER(SEARCH("Conocer",$R45))+ISNUMBER(SEARCH("Aplicar",$R45))+ISNUMBER(SEARCH("Razonar",$R45))),0)</f>
        <v/>
      </c>
      <c r="T45" s="39">
        <f>IFERROR(ISNUMBER(SEARCH("Aplicar",$R45))/(ISNUMBER(SEARCH("Conocer",$R45))+ISNUMBER(SEARCH("Aplicar",$R45))+ISNUMBER(SEARCH("Razonar",$R45))),0)</f>
        <v/>
      </c>
      <c r="U45" s="39">
        <f>IFERROR(ISNUMBER(SEARCH("Razonar",$R45))/(ISNUMBER(SEARCH("Conocer",$R45))+ISNUMBER(SEARCH("Aplicar",$R45))+ISNUMBER(SEARCH("Razonar",$R45))),0)</f>
        <v/>
      </c>
      <c r="V45" s="11" t="inlineStr">
        <is>
          <t>2°</t>
        </is>
      </c>
      <c r="W45" s="11" t="inlineStr">
        <is>
          <t>Ciclo 2°–4°</t>
        </is>
      </c>
      <c r="X45" s="11">
        <f>IF(OR(IFERROR(INDEX('Datos - Catálogo TIMSS'!$I$5:$I$107,MATCH(K45,'Datos - Catálogo TIMSS'!$A$5:$A$107,0)),"No")="Sí",IFERROR(INDEX('Datos - Catálogo TIMSS'!$I$5:$I$107,MATCH(L45,'Datos - Catálogo TIMSS'!$A$5:$A$107,0)),"No")="Sí"),1,0)</f>
        <v/>
      </c>
      <c r="Y45" s="11">
        <f>IF(IFERROR(INDEX('Datos - Catálogo TIMSS'!$J$5:$J$107,MATCH(K45,'Datos - Catálogo TIMSS'!$A$5:$A$107,0)),"No")="Sí",1,0)</f>
        <v/>
      </c>
      <c r="Z45" s="11">
        <f>IF(IFERROR(INDEX('Datos - Catálogo TIMSS'!$J$5:$J$107,MATCH(L45,'Datos - Catálogo TIMSS'!$A$5:$A$107,0)),"No")="Sí",1,0)</f>
        <v/>
      </c>
      <c r="AA45" s="11" t="inlineStr">
        <is>
          <t>T4-T1.2</t>
        </is>
      </c>
      <c r="AB45" s="11" t="inlineStr"/>
      <c r="AC45" s="11">
        <f>IF(AA45="FUERA","Fuera del marco",IF(AA45="N/A","Sin marco",IFERROR(INDEX('Datos - TIMSS 2023'!$C$5:$C$105,MATCH(AA45,'Datos - TIMSS 2023'!$A$5:$A$105,0)),"Pendiente de clasificar")))</f>
        <v/>
      </c>
      <c r="AD45" s="11" t="inlineStr">
        <is>
          <t>3. Investigar, evaluar y usar información científica para tomar decisiones y actuar</t>
        </is>
      </c>
      <c r="AE45" s="11">
        <f>IF(AD45="","",IF(LEFT(AD45,1)="1","C1",IF(LEFT(AD45,1)="2","C2",IF(LEFT(AD45,1)="3","C3",""))))</f>
        <v/>
      </c>
      <c r="AF45" s="11" t="inlineStr">
        <is>
          <t>E1</t>
        </is>
      </c>
      <c r="AG45" s="11" t="inlineStr">
        <is>
          <t>D1</t>
        </is>
      </c>
      <c r="AH45" s="11" t="inlineStr">
        <is>
          <t>E1</t>
        </is>
      </c>
      <c r="AI45" s="11" t="inlineStr">
        <is>
          <t>I2</t>
        </is>
      </c>
      <c r="AJ45" s="11" t="inlineStr">
        <is>
          <t>I5</t>
        </is>
      </c>
      <c r="AK45" s="11" t="n"/>
      <c r="AL45" s="11" t="n"/>
      <c r="AM45" s="11" t="n"/>
      <c r="AN45" s="11" t="n"/>
      <c r="AO45" s="11" t="n"/>
      <c r="AP45" s="11" t="n"/>
      <c r="AQ45" s="11" t="n"/>
      <c r="AR45" s="11" t="n"/>
      <c r="AS45" s="11" t="n"/>
      <c r="AT45" s="11" t="n"/>
      <c r="AU45" s="11" t="n"/>
      <c r="AV45" s="11" t="n"/>
      <c r="AW45" s="11">
        <f>AF45&amp;"; "&amp;AG45&amp;"; "&amp;AH45&amp;"; "&amp;AI45&amp;"; "&amp;AJ45</f>
        <v/>
      </c>
    </row>
    <row r="46">
      <c r="A46" s="11" t="inlineStr">
        <is>
          <t>T0680-G02-CIE</t>
        </is>
      </c>
      <c r="B46" s="11" t="n">
        <v>2</v>
      </c>
      <c r="C46" s="11" t="inlineStr">
        <is>
          <t>Ciencias</t>
        </is>
      </c>
      <c r="D46" s="11" t="inlineStr">
        <is>
          <t>Matriz_Ciencias_2do_Grado_U1_U6_3.xlsx</t>
        </is>
      </c>
      <c r="E46" s="11" t="inlineStr">
        <is>
          <t>Unidad 4 - Seres vivos</t>
        </is>
      </c>
      <c r="F46" s="11" t="n">
        <v>13</v>
      </c>
      <c r="G46" s="11" t="inlineStr">
        <is>
          <t>4. Seres vivos.</t>
        </is>
      </c>
      <c r="H46" s="11" t="inlineStr">
        <is>
          <t>Reconociendo animales.</t>
        </is>
      </c>
      <c r="I46" s="38" t="inlineStr">
        <is>
          <t>4.7. Reconocimiento de las características físicas de grupos comunes de animales.</t>
        </is>
      </c>
      <c r="J46" s="11" t="inlineStr">
        <is>
          <t>T4_27</t>
        </is>
      </c>
      <c r="K46" s="11" t="inlineStr">
        <is>
          <t>T4_27-B1.2</t>
        </is>
      </c>
      <c r="L46" s="11" t="inlineStr"/>
      <c r="M46" s="11">
        <f>IF(K46="FUERA","Fuera del marco",IF(K46="N/A","Sin marco",IFERROR(INDEX('Datos - Catálogo TIMSS'!$C$5:$C$107,MATCH(K46,'Datos - Catálogo TIMSS'!$A$5:$A$107,0)),"Pendiente de clasificar")))</f>
        <v/>
      </c>
      <c r="N46" s="11">
        <f>IF(K46="FUERA","Fuera del marco",IF(K46="N/A","Sin marco",IFERROR(INDEX('Datos - Catálogo TIMSS'!$F$5:$F$107,MATCH(K46,'Datos - Catálogo TIMSS'!$A$5:$A$107,0)),"Pendiente de clasificar")))</f>
        <v/>
      </c>
      <c r="O46" s="11">
        <f>IF(L46="","",IFERROR(INDEX('Datos - Catálogo TIMSS'!$C$5:$C$107,MATCH(L46,'Datos - Catálogo TIMSS'!$A$5:$A$107,0)),"?"))</f>
        <v/>
      </c>
      <c r="P46" s="11" t="inlineStr">
        <is>
          <t>alta</t>
        </is>
      </c>
      <c r="Q46" s="38" t="inlineStr">
        <is>
          <t>Rasgos físicos de grupos de animales: pelo, plumas, escamas.</t>
        </is>
      </c>
      <c r="R46" s="38" t="inlineStr">
        <is>
          <t>Conocer: describir. Aplicar: clasificar</t>
        </is>
      </c>
      <c r="S46" s="39">
        <f>IFERROR(ISNUMBER(SEARCH("Conocer",$R46))/(ISNUMBER(SEARCH("Conocer",$R46))+ISNUMBER(SEARCH("Aplicar",$R46))+ISNUMBER(SEARCH("Razonar",$R46))),0)</f>
        <v/>
      </c>
      <c r="T46" s="39">
        <f>IFERROR(ISNUMBER(SEARCH("Aplicar",$R46))/(ISNUMBER(SEARCH("Conocer",$R46))+ISNUMBER(SEARCH("Aplicar",$R46))+ISNUMBER(SEARCH("Razonar",$R46))),0)</f>
        <v/>
      </c>
      <c r="U46" s="39">
        <f>IFERROR(ISNUMBER(SEARCH("Razonar",$R46))/(ISNUMBER(SEARCH("Conocer",$R46))+ISNUMBER(SEARCH("Aplicar",$R46))+ISNUMBER(SEARCH("Razonar",$R46))),0)</f>
        <v/>
      </c>
      <c r="V46" s="11" t="inlineStr">
        <is>
          <t>2°</t>
        </is>
      </c>
      <c r="W46" s="11" t="inlineStr">
        <is>
          <t>Ciclo 2°–4°</t>
        </is>
      </c>
      <c r="X46" s="11">
        <f>IF(OR(IFERROR(INDEX('Datos - Catálogo TIMSS'!$I$5:$I$107,MATCH(K46,'Datos - Catálogo TIMSS'!$A$5:$A$107,0)),"No")="Sí",IFERROR(INDEX('Datos - Catálogo TIMSS'!$I$5:$I$107,MATCH(L46,'Datos - Catálogo TIMSS'!$A$5:$A$107,0)),"No")="Sí"),1,0)</f>
        <v/>
      </c>
      <c r="Y46" s="11">
        <f>IF(IFERROR(INDEX('Datos - Catálogo TIMSS'!$J$5:$J$107,MATCH(K46,'Datos - Catálogo TIMSS'!$A$5:$A$107,0)),"No")="Sí",1,0)</f>
        <v/>
      </c>
      <c r="Z46" s="11">
        <f>IF(IFERROR(INDEX('Datos - Catálogo TIMSS'!$J$5:$J$107,MATCH(L46,'Datos - Catálogo TIMSS'!$A$5:$A$107,0)),"No")="Sí",1,0)</f>
        <v/>
      </c>
      <c r="AA46" s="11" t="inlineStr">
        <is>
          <t>T4-V1.2</t>
        </is>
      </c>
      <c r="AB46" s="11" t="inlineStr"/>
      <c r="AC46" s="11">
        <f>IF(AA46="FUERA","Fuera del marco",IF(AA46="N/A","Sin marco",IFERROR(INDEX('Datos - TIMSS 2023'!$C$5:$C$105,MATCH(AA46,'Datos - TIMSS 2023'!$A$5:$A$105,0)),"Pendiente de clasificar")))</f>
        <v/>
      </c>
      <c r="AD46" s="11" t="inlineStr">
        <is>
          <t>1. Explicar fenómenos científicamente</t>
        </is>
      </c>
      <c r="AE46" s="11">
        <f>IF(AD46="","",IF(LEFT(AD46,1)="1","C1",IF(LEFT(AD46,1)="2","C2",IF(LEFT(AD46,1)="3","C3",""))))</f>
        <v/>
      </c>
      <c r="AF46" s="11" t="inlineStr">
        <is>
          <t>E1</t>
        </is>
      </c>
      <c r="AG46" s="11" t="inlineStr">
        <is>
          <t>D1</t>
        </is>
      </c>
      <c r="AH46" s="11" t="inlineStr">
        <is>
          <t>E1</t>
        </is>
      </c>
      <c r="AI46" s="11" t="inlineStr">
        <is>
          <t>D4</t>
        </is>
      </c>
      <c r="AJ46" s="11" t="inlineStr">
        <is>
          <t>E1</t>
        </is>
      </c>
      <c r="AK46" s="11" t="n"/>
      <c r="AL46" s="11" t="n"/>
      <c r="AM46" s="11" t="n"/>
      <c r="AN46" s="11" t="n"/>
      <c r="AO46" s="11" t="n"/>
      <c r="AP46" s="11" t="n"/>
      <c r="AQ46" s="11" t="n"/>
      <c r="AR46" s="11" t="n"/>
      <c r="AS46" s="11" t="n"/>
      <c r="AT46" s="11" t="n"/>
      <c r="AU46" s="11" t="n"/>
      <c r="AV46" s="11" t="n"/>
      <c r="AW46" s="11">
        <f>AF46&amp;"; "&amp;AG46&amp;"; "&amp;AH46&amp;"; "&amp;AI46&amp;"; "&amp;AJ46</f>
        <v/>
      </c>
    </row>
    <row r="47">
      <c r="A47" s="11" t="inlineStr">
        <is>
          <t>T0681-G02-CIE</t>
        </is>
      </c>
      <c r="B47" s="11" t="n">
        <v>2</v>
      </c>
      <c r="C47" s="11" t="inlineStr">
        <is>
          <t>Ciencias</t>
        </is>
      </c>
      <c r="D47" s="11" t="inlineStr">
        <is>
          <t>Matriz_Ciencias_2do_Grado_U1_U6_3.xlsx</t>
        </is>
      </c>
      <c r="E47" s="11" t="inlineStr">
        <is>
          <t>Unidad 4 - Seres vivos</t>
        </is>
      </c>
      <c r="F47" s="11" t="n">
        <v>14</v>
      </c>
      <c r="G47" s="11" t="inlineStr">
        <is>
          <t>4. Seres vivos.</t>
        </is>
      </c>
      <c r="H47" s="11" t="inlineStr">
        <is>
          <t>Reconociendo animales.</t>
        </is>
      </c>
      <c r="I47" s="38" t="inlineStr">
        <is>
          <t>4.8. Relación de las características físicas de un animal con su alimentación y su hábitat.</t>
        </is>
      </c>
      <c r="J47" s="11" t="inlineStr">
        <is>
          <t>T4_27</t>
        </is>
      </c>
      <c r="K47" s="11" t="inlineStr">
        <is>
          <t>T4_27-B3.1</t>
        </is>
      </c>
      <c r="L47" s="11" t="inlineStr">
        <is>
          <t>T4_27-B1.4</t>
        </is>
      </c>
      <c r="M47" s="11">
        <f>IF(K47="FUERA","Fuera del marco",IF(K47="N/A","Sin marco",IFERROR(INDEX('Datos - Catálogo TIMSS'!$C$5:$C$107,MATCH(K47,'Datos - Catálogo TIMSS'!$A$5:$A$107,0)),"Pendiente de clasificar")))</f>
        <v/>
      </c>
      <c r="N47" s="11">
        <f>IF(K47="FUERA","Fuera del marco",IF(K47="N/A","Sin marco",IFERROR(INDEX('Datos - Catálogo TIMSS'!$F$5:$F$107,MATCH(K47,'Datos - Catálogo TIMSS'!$A$5:$A$107,0)),"Pendiente de clasificar")))</f>
        <v/>
      </c>
      <c r="O47" s="11">
        <f>IF(L47="","",IFERROR(INDEX('Datos - Catálogo TIMSS'!$C$5:$C$107,MATCH(L47,'Datos - Catálogo TIMSS'!$A$5:$A$107,0)),"?"))</f>
        <v/>
      </c>
      <c r="P47" s="11" t="inlineStr">
        <is>
          <t>alta</t>
        </is>
      </c>
      <c r="Q47" s="38" t="inlineStr">
        <is>
          <t>Rasgos físicos asociados a alimentación y hábitat del animal.</t>
        </is>
      </c>
      <c r="R47" s="38" t="inlineStr">
        <is>
          <t>Aplicar: relacionar. Razonar: justificar</t>
        </is>
      </c>
      <c r="S47" s="39">
        <f>IFERROR(ISNUMBER(SEARCH("Conocer",$R47))/(ISNUMBER(SEARCH("Conocer",$R47))+ISNUMBER(SEARCH("Aplicar",$R47))+ISNUMBER(SEARCH("Razonar",$R47))),0)</f>
        <v/>
      </c>
      <c r="T47" s="39">
        <f>IFERROR(ISNUMBER(SEARCH("Aplicar",$R47))/(ISNUMBER(SEARCH("Conocer",$R47))+ISNUMBER(SEARCH("Aplicar",$R47))+ISNUMBER(SEARCH("Razonar",$R47))),0)</f>
        <v/>
      </c>
      <c r="U47" s="39">
        <f>IFERROR(ISNUMBER(SEARCH("Razonar",$R47))/(ISNUMBER(SEARCH("Conocer",$R47))+ISNUMBER(SEARCH("Aplicar",$R47))+ISNUMBER(SEARCH("Razonar",$R47))),0)</f>
        <v/>
      </c>
      <c r="V47" s="11" t="inlineStr">
        <is>
          <t>2°</t>
        </is>
      </c>
      <c r="W47" s="11" t="inlineStr">
        <is>
          <t>Ciclo 2°–4°</t>
        </is>
      </c>
      <c r="X47" s="11">
        <f>IF(OR(IFERROR(INDEX('Datos - Catálogo TIMSS'!$I$5:$I$107,MATCH(K47,'Datos - Catálogo TIMSS'!$A$5:$A$107,0)),"No")="Sí",IFERROR(INDEX('Datos - Catálogo TIMSS'!$I$5:$I$107,MATCH(L47,'Datos - Catálogo TIMSS'!$A$5:$A$107,0)),"No")="Sí"),1,0)</f>
        <v/>
      </c>
      <c r="Y47" s="11">
        <f>IF(IFERROR(INDEX('Datos - Catálogo TIMSS'!$J$5:$J$107,MATCH(K47,'Datos - Catálogo TIMSS'!$A$5:$A$107,0)),"No")="Sí",1,0)</f>
        <v/>
      </c>
      <c r="Z47" s="11">
        <f>IF(IFERROR(INDEX('Datos - Catálogo TIMSS'!$J$5:$J$107,MATCH(L47,'Datos - Catálogo TIMSS'!$A$5:$A$107,0)),"No")="Sí",1,0)</f>
        <v/>
      </c>
      <c r="AA47" s="11" t="inlineStr">
        <is>
          <t>T4-V3.1</t>
        </is>
      </c>
      <c r="AB47" s="11" t="inlineStr">
        <is>
          <t>T4-V1.3</t>
        </is>
      </c>
      <c r="AC47" s="11">
        <f>IF(AA47="FUERA","Fuera del marco",IF(AA47="N/A","Sin marco",IFERROR(INDEX('Datos - TIMSS 2023'!$C$5:$C$105,MATCH(AA47,'Datos - TIMSS 2023'!$A$5:$A$105,0)),"Pendiente de clasificar")))</f>
        <v/>
      </c>
      <c r="AD47" s="11" t="inlineStr">
        <is>
          <t>1. Explicar fenómenos científicamente</t>
        </is>
      </c>
      <c r="AE47" s="11">
        <f>IF(AD47="","",IF(LEFT(AD47,1)="1","C1",IF(LEFT(AD47,1)="2","C2",IF(LEFT(AD47,1)="3","C3",""))))</f>
        <v/>
      </c>
      <c r="AF47" s="11" t="inlineStr">
        <is>
          <t>E1</t>
        </is>
      </c>
      <c r="AG47" s="11" t="inlineStr">
        <is>
          <t>E5</t>
        </is>
      </c>
      <c r="AH47" s="11" t="inlineStr">
        <is>
          <t>E1</t>
        </is>
      </c>
      <c r="AI47" s="11" t="inlineStr">
        <is>
          <t>I4</t>
        </is>
      </c>
      <c r="AJ47" s="11" t="inlineStr">
        <is>
          <t>E3</t>
        </is>
      </c>
      <c r="AK47" s="11" t="n"/>
      <c r="AL47" s="11" t="n"/>
      <c r="AM47" s="11" t="n"/>
      <c r="AN47" s="11" t="n"/>
      <c r="AO47" s="11" t="n"/>
      <c r="AP47" s="11" t="n"/>
      <c r="AQ47" s="11" t="n"/>
      <c r="AR47" s="11" t="n"/>
      <c r="AS47" s="11" t="n"/>
      <c r="AT47" s="11" t="n"/>
      <c r="AU47" s="11" t="n"/>
      <c r="AV47" s="11" t="n"/>
      <c r="AW47" s="11">
        <f>AF47&amp;"; "&amp;AG47&amp;"; "&amp;AH47&amp;"; "&amp;AI47&amp;"; "&amp;AJ47</f>
        <v/>
      </c>
    </row>
    <row r="48">
      <c r="A48" s="11" t="inlineStr">
        <is>
          <t>T0682-G02-CIE</t>
        </is>
      </c>
      <c r="B48" s="11" t="n">
        <v>2</v>
      </c>
      <c r="C48" s="11" t="inlineStr">
        <is>
          <t>Ciencias</t>
        </is>
      </c>
      <c r="D48" s="11" t="inlineStr">
        <is>
          <t>Matriz_Ciencias_2do_Grado_U1_U6_3.xlsx</t>
        </is>
      </c>
      <c r="E48" s="11" t="inlineStr">
        <is>
          <t>Unidad 4 - Seres vivos</t>
        </is>
      </c>
      <c r="F48" s="11" t="n">
        <v>15</v>
      </c>
      <c r="G48" s="11" t="inlineStr">
        <is>
          <t>4. Seres vivos.</t>
        </is>
      </c>
      <c r="H48" s="11" t="inlineStr">
        <is>
          <t>Reconociendo animales.</t>
        </is>
      </c>
      <c r="I48" s="38" t="inlineStr">
        <is>
          <t>4.9. Clasificación de las formas de desplazamiento de los animales.</t>
        </is>
      </c>
      <c r="J48" s="11" t="inlineStr">
        <is>
          <t>T4_27</t>
        </is>
      </c>
      <c r="K48" s="11" t="inlineStr">
        <is>
          <t>T4_27-B1.2</t>
        </is>
      </c>
      <c r="L48" s="11" t="inlineStr"/>
      <c r="M48" s="11">
        <f>IF(K48="FUERA","Fuera del marco",IF(K48="N/A","Sin marco",IFERROR(INDEX('Datos - Catálogo TIMSS'!$C$5:$C$107,MATCH(K48,'Datos - Catálogo TIMSS'!$A$5:$A$107,0)),"Pendiente de clasificar")))</f>
        <v/>
      </c>
      <c r="N48" s="11">
        <f>IF(K48="FUERA","Fuera del marco",IF(K48="N/A","Sin marco",IFERROR(INDEX('Datos - Catálogo TIMSS'!$F$5:$F$107,MATCH(K48,'Datos - Catálogo TIMSS'!$A$5:$A$107,0)),"Pendiente de clasificar")))</f>
        <v/>
      </c>
      <c r="O48" s="11">
        <f>IF(L48="","",IFERROR(INDEX('Datos - Catálogo TIMSS'!$C$5:$C$107,MATCH(L48,'Datos - Catálogo TIMSS'!$A$5:$A$107,0)),"?"))</f>
        <v/>
      </c>
      <c r="P48" s="11" t="inlineStr">
        <is>
          <t>media</t>
        </is>
      </c>
      <c r="Q48" s="38" t="inlineStr">
        <is>
          <t>Clasifica animales por su forma de desplazarse.</t>
        </is>
      </c>
      <c r="R48" s="38" t="inlineStr">
        <is>
          <t>Aplicar: clasificar</t>
        </is>
      </c>
      <c r="S48" s="39">
        <f>IFERROR(ISNUMBER(SEARCH("Conocer",$R48))/(ISNUMBER(SEARCH("Conocer",$R48))+ISNUMBER(SEARCH("Aplicar",$R48))+ISNUMBER(SEARCH("Razonar",$R48))),0)</f>
        <v/>
      </c>
      <c r="T48" s="39">
        <f>IFERROR(ISNUMBER(SEARCH("Aplicar",$R48))/(ISNUMBER(SEARCH("Conocer",$R48))+ISNUMBER(SEARCH("Aplicar",$R48))+ISNUMBER(SEARCH("Razonar",$R48))),0)</f>
        <v/>
      </c>
      <c r="U48" s="39">
        <f>IFERROR(ISNUMBER(SEARCH("Razonar",$R48))/(ISNUMBER(SEARCH("Conocer",$R48))+ISNUMBER(SEARCH("Aplicar",$R48))+ISNUMBER(SEARCH("Razonar",$R48))),0)</f>
        <v/>
      </c>
      <c r="V48" s="11" t="inlineStr">
        <is>
          <t>2°</t>
        </is>
      </c>
      <c r="W48" s="11" t="inlineStr">
        <is>
          <t>Ciclo 2°–4°</t>
        </is>
      </c>
      <c r="X48" s="11">
        <f>IF(OR(IFERROR(INDEX('Datos - Catálogo TIMSS'!$I$5:$I$107,MATCH(K48,'Datos - Catálogo TIMSS'!$A$5:$A$107,0)),"No")="Sí",IFERROR(INDEX('Datos - Catálogo TIMSS'!$I$5:$I$107,MATCH(L48,'Datos - Catálogo TIMSS'!$A$5:$A$107,0)),"No")="Sí"),1,0)</f>
        <v/>
      </c>
      <c r="Y48" s="11">
        <f>IF(IFERROR(INDEX('Datos - Catálogo TIMSS'!$J$5:$J$107,MATCH(K48,'Datos - Catálogo TIMSS'!$A$5:$A$107,0)),"No")="Sí",1,0)</f>
        <v/>
      </c>
      <c r="Z48" s="11">
        <f>IF(IFERROR(INDEX('Datos - Catálogo TIMSS'!$J$5:$J$107,MATCH(L48,'Datos - Catálogo TIMSS'!$A$5:$A$107,0)),"No")="Sí",1,0)</f>
        <v/>
      </c>
      <c r="AA48" s="11" t="inlineStr">
        <is>
          <t>T4-V1.2</t>
        </is>
      </c>
      <c r="AB48" s="11" t="inlineStr"/>
      <c r="AC48" s="11">
        <f>IF(AA48="FUERA","Fuera del marco",IF(AA48="N/A","Sin marco",IFERROR(INDEX('Datos - TIMSS 2023'!$C$5:$C$105,MATCH(AA48,'Datos - TIMSS 2023'!$A$5:$A$105,0)),"Pendiente de clasificar")))</f>
        <v/>
      </c>
      <c r="AD48" s="11" t="inlineStr">
        <is>
          <t>2. Construir y evaluar diseños para la indagación científica e interpretar datos y evidencia de forma crítica</t>
        </is>
      </c>
      <c r="AE48" s="11">
        <f>IF(AD48="","",IF(LEFT(AD48,1)="1","C1",IF(LEFT(AD48,1)="2","C2",IF(LEFT(AD48,1)="3","C3",""))))</f>
        <v/>
      </c>
      <c r="AF48" s="11" t="inlineStr">
        <is>
          <t>E1</t>
        </is>
      </c>
      <c r="AG48" s="11" t="inlineStr">
        <is>
          <t>D1</t>
        </is>
      </c>
      <c r="AH48" s="11" t="inlineStr">
        <is>
          <t>E2</t>
        </is>
      </c>
      <c r="AI48" s="11" t="inlineStr">
        <is>
          <t>D4</t>
        </is>
      </c>
      <c r="AJ48" s="11" t="inlineStr">
        <is>
          <t>E3</t>
        </is>
      </c>
      <c r="AK48" s="11" t="n"/>
      <c r="AL48" s="11" t="n"/>
      <c r="AM48" s="11" t="n"/>
      <c r="AN48" s="11" t="n"/>
      <c r="AO48" s="11" t="n"/>
      <c r="AP48" s="11" t="n"/>
      <c r="AQ48" s="11" t="n"/>
      <c r="AR48" s="11" t="n"/>
      <c r="AS48" s="11" t="n"/>
      <c r="AT48" s="11" t="n"/>
      <c r="AU48" s="11" t="n"/>
      <c r="AV48" s="11" t="n"/>
      <c r="AW48" s="11">
        <f>AF48&amp;"; "&amp;AG48&amp;"; "&amp;AH48&amp;"; "&amp;AI48&amp;"; "&amp;AJ48</f>
        <v/>
      </c>
    </row>
    <row r="49">
      <c r="A49" s="11" t="inlineStr">
        <is>
          <t>T0683-G02-CIE</t>
        </is>
      </c>
      <c r="B49" s="11" t="n">
        <v>2</v>
      </c>
      <c r="C49" s="11" t="inlineStr">
        <is>
          <t>Ciencias</t>
        </is>
      </c>
      <c r="D49" s="11" t="inlineStr">
        <is>
          <t>Matriz_Ciencias_2do_Grado_U1_U6_3.xlsx</t>
        </is>
      </c>
      <c r="E49" s="11" t="inlineStr">
        <is>
          <t>Unidad 4 - Seres vivos</t>
        </is>
      </c>
      <c r="F49" s="11" t="n">
        <v>16</v>
      </c>
      <c r="G49" s="11" t="inlineStr">
        <is>
          <t>4. Seres vivos.</t>
        </is>
      </c>
      <c r="H49" s="11" t="inlineStr">
        <is>
          <t>Importancia de los animales.</t>
        </is>
      </c>
      <c r="I49" s="38" t="inlineStr">
        <is>
          <t>4.10. Identificación y registro de los productos de origen animal.</t>
        </is>
      </c>
      <c r="J49" s="11" t="inlineStr">
        <is>
          <t>T4_27</t>
        </is>
      </c>
      <c r="K49" s="11" t="inlineStr">
        <is>
          <t>FUERA</t>
        </is>
      </c>
      <c r="L49" s="11" t="inlineStr"/>
      <c r="M49" s="11">
        <f>IF(K49="FUERA","Fuera del marco",IF(K49="N/A","Sin marco",IFERROR(INDEX('Datos - Catálogo TIMSS'!$C$5:$C$107,MATCH(K49,'Datos - Catálogo TIMSS'!$A$5:$A$107,0)),"Pendiente de clasificar")))</f>
        <v/>
      </c>
      <c r="N49" s="11">
        <f>IF(K49="FUERA","Fuera del marco",IF(K49="N/A","Sin marco",IFERROR(INDEX('Datos - Catálogo TIMSS'!$F$5:$F$107,MATCH(K49,'Datos - Catálogo TIMSS'!$A$5:$A$107,0)),"Pendiente de clasificar")))</f>
        <v/>
      </c>
      <c r="O49" s="11">
        <f>IF(L49="","",IFERROR(INDEX('Datos - Catálogo TIMSS'!$C$5:$C$107,MATCH(L49,'Datos - Catálogo TIMSS'!$A$5:$A$107,0)),"?"))</f>
        <v/>
      </c>
      <c r="P49" s="11" t="inlineStr">
        <is>
          <t>baja</t>
        </is>
      </c>
      <c r="Q49" s="38" t="inlineStr">
        <is>
          <t>Productos de origen animal; fuera de la lista cerrada de recursos 2027.</t>
        </is>
      </c>
      <c r="R49" s="38" t="inlineStr">
        <is>
          <t>Aplicar: relacionar</t>
        </is>
      </c>
      <c r="S49" s="39">
        <f>IFERROR(ISNUMBER(SEARCH("Conocer",$R49))/(ISNUMBER(SEARCH("Conocer",$R49))+ISNUMBER(SEARCH("Aplicar",$R49))+ISNUMBER(SEARCH("Razonar",$R49))),0)</f>
        <v/>
      </c>
      <c r="T49" s="39">
        <f>IFERROR(ISNUMBER(SEARCH("Aplicar",$R49))/(ISNUMBER(SEARCH("Conocer",$R49))+ISNUMBER(SEARCH("Aplicar",$R49))+ISNUMBER(SEARCH("Razonar",$R49))),0)</f>
        <v/>
      </c>
      <c r="U49" s="39">
        <f>IFERROR(ISNUMBER(SEARCH("Razonar",$R49))/(ISNUMBER(SEARCH("Conocer",$R49))+ISNUMBER(SEARCH("Aplicar",$R49))+ISNUMBER(SEARCH("Razonar",$R49))),0)</f>
        <v/>
      </c>
      <c r="V49" s="11" t="inlineStr">
        <is>
          <t>2°</t>
        </is>
      </c>
      <c r="W49" s="11" t="inlineStr">
        <is>
          <t>Ciclo 2°–4°</t>
        </is>
      </c>
      <c r="X49" s="11">
        <f>IF(OR(IFERROR(INDEX('Datos - Catálogo TIMSS'!$I$5:$I$107,MATCH(K49,'Datos - Catálogo TIMSS'!$A$5:$A$107,0)),"No")="Sí",IFERROR(INDEX('Datos - Catálogo TIMSS'!$I$5:$I$107,MATCH(L49,'Datos - Catálogo TIMSS'!$A$5:$A$107,0)),"No")="Sí"),1,0)</f>
        <v/>
      </c>
      <c r="Y49" s="11">
        <f>IF(IFERROR(INDEX('Datos - Catálogo TIMSS'!$J$5:$J$107,MATCH(K49,'Datos - Catálogo TIMSS'!$A$5:$A$107,0)),"No")="Sí",1,0)</f>
        <v/>
      </c>
      <c r="Z49" s="11">
        <f>IF(IFERROR(INDEX('Datos - Catálogo TIMSS'!$J$5:$J$107,MATCH(L49,'Datos - Catálogo TIMSS'!$A$5:$A$107,0)),"No")="Sí",1,0)</f>
        <v/>
      </c>
      <c r="AA49" s="11" t="inlineStr">
        <is>
          <t>T4-T1.2</t>
        </is>
      </c>
      <c r="AB49" s="11" t="inlineStr"/>
      <c r="AC49" s="11">
        <f>IF(AA49="FUERA","Fuera del marco",IF(AA49="N/A","Sin marco",IFERROR(INDEX('Datos - TIMSS 2023'!$C$5:$C$105,MATCH(AA49,'Datos - TIMSS 2023'!$A$5:$A$105,0)),"Pendiente de clasificar")))</f>
        <v/>
      </c>
      <c r="AD49" s="11" t="inlineStr">
        <is>
          <t>2. Construir y evaluar diseños para la indagación científica e interpretar datos y evidencia de forma crítica</t>
        </is>
      </c>
      <c r="AE49" s="11">
        <f>IF(AD49="","",IF(LEFT(AD49,1)="1","C1",IF(LEFT(AD49,1)="2","C2",IF(LEFT(AD49,1)="3","C3",""))))</f>
        <v/>
      </c>
      <c r="AF49" s="11" t="inlineStr">
        <is>
          <t>E1</t>
        </is>
      </c>
      <c r="AG49" s="11" t="inlineStr">
        <is>
          <t>D1</t>
        </is>
      </c>
      <c r="AH49" s="11" t="inlineStr">
        <is>
          <t>E2</t>
        </is>
      </c>
      <c r="AI49" s="11" t="inlineStr">
        <is>
          <t>D4</t>
        </is>
      </c>
      <c r="AJ49" s="11" t="inlineStr">
        <is>
          <t>E6</t>
        </is>
      </c>
      <c r="AK49" s="11" t="n"/>
      <c r="AL49" s="11" t="n"/>
      <c r="AM49" s="11" t="n"/>
      <c r="AN49" s="11" t="n"/>
      <c r="AO49" s="11" t="n"/>
      <c r="AP49" s="11" t="n"/>
      <c r="AQ49" s="11" t="n"/>
      <c r="AR49" s="11" t="n"/>
      <c r="AS49" s="11" t="n"/>
      <c r="AT49" s="11" t="n"/>
      <c r="AU49" s="11" t="n"/>
      <c r="AV49" s="11" t="n"/>
      <c r="AW49" s="11">
        <f>AF49&amp;"; "&amp;AG49&amp;"; "&amp;AH49&amp;"; "&amp;AI49&amp;"; "&amp;AJ49</f>
        <v/>
      </c>
    </row>
    <row r="50">
      <c r="A50" s="11" t="inlineStr">
        <is>
          <t>T0684-G02-CIE</t>
        </is>
      </c>
      <c r="B50" s="11" t="n">
        <v>2</v>
      </c>
      <c r="C50" s="11" t="inlineStr">
        <is>
          <t>Ciencias</t>
        </is>
      </c>
      <c r="D50" s="11" t="inlineStr">
        <is>
          <t>Matriz_Ciencias_2do_Grado_U1_U6_3.xlsx</t>
        </is>
      </c>
      <c r="E50" s="11" t="inlineStr">
        <is>
          <t>Unidad 4 - Seres vivos</t>
        </is>
      </c>
      <c r="F50" s="11" t="n">
        <v>17</v>
      </c>
      <c r="G50" s="11" t="inlineStr">
        <is>
          <t>4. Seres vivos.</t>
        </is>
      </c>
      <c r="H50" s="11" t="inlineStr">
        <is>
          <t>Importancia de los animales.</t>
        </is>
      </c>
      <c r="I50" s="38" t="inlineStr">
        <is>
          <t>4.11. Comparación entre animales silvestres y domésticos.</t>
        </is>
      </c>
      <c r="J50" s="11" t="inlineStr">
        <is>
          <t>T4_27</t>
        </is>
      </c>
      <c r="K50" s="11" t="inlineStr">
        <is>
          <t>T4_27-B4.1</t>
        </is>
      </c>
      <c r="L50" s="11" t="inlineStr"/>
      <c r="M50" s="11">
        <f>IF(K50="FUERA","Fuera del marco",IF(K50="N/A","Sin marco",IFERROR(INDEX('Datos - Catálogo TIMSS'!$C$5:$C$107,MATCH(K50,'Datos - Catálogo TIMSS'!$A$5:$A$107,0)),"Pendiente de clasificar")))</f>
        <v/>
      </c>
      <c r="N50" s="11">
        <f>IF(K50="FUERA","Fuera del marco",IF(K50="N/A","Sin marco",IFERROR(INDEX('Datos - Catálogo TIMSS'!$F$5:$F$107,MATCH(K50,'Datos - Catálogo TIMSS'!$A$5:$A$107,0)),"Pendiente de clasificar")))</f>
        <v/>
      </c>
      <c r="O50" s="11">
        <f>IF(L50="","",IFERROR(INDEX('Datos - Catálogo TIMSS'!$C$5:$C$107,MATCH(L50,'Datos - Catálogo TIMSS'!$A$5:$A$107,0)),"?"))</f>
        <v/>
      </c>
      <c r="P50" s="11" t="inlineStr">
        <is>
          <t>baja</t>
        </is>
      </c>
      <c r="Q50" s="38" t="inlineStr">
        <is>
          <t>Animales silvestres y domésticos; encaje débil con ecosistemas comunes.</t>
        </is>
      </c>
      <c r="R50" s="38" t="inlineStr">
        <is>
          <t>Aplicar: comparar</t>
        </is>
      </c>
      <c r="S50" s="39">
        <f>IFERROR(ISNUMBER(SEARCH("Conocer",$R50))/(ISNUMBER(SEARCH("Conocer",$R50))+ISNUMBER(SEARCH("Aplicar",$R50))+ISNUMBER(SEARCH("Razonar",$R50))),0)</f>
        <v/>
      </c>
      <c r="T50" s="39">
        <f>IFERROR(ISNUMBER(SEARCH("Aplicar",$R50))/(ISNUMBER(SEARCH("Conocer",$R50))+ISNUMBER(SEARCH("Aplicar",$R50))+ISNUMBER(SEARCH("Razonar",$R50))),0)</f>
        <v/>
      </c>
      <c r="U50" s="39">
        <f>IFERROR(ISNUMBER(SEARCH("Razonar",$R50))/(ISNUMBER(SEARCH("Conocer",$R50))+ISNUMBER(SEARCH("Aplicar",$R50))+ISNUMBER(SEARCH("Razonar",$R50))),0)</f>
        <v/>
      </c>
      <c r="V50" s="11" t="inlineStr">
        <is>
          <t>2°</t>
        </is>
      </c>
      <c r="W50" s="11" t="inlineStr">
        <is>
          <t>Ciclo 2°–4°</t>
        </is>
      </c>
      <c r="X50" s="11">
        <f>IF(OR(IFERROR(INDEX('Datos - Catálogo TIMSS'!$I$5:$I$107,MATCH(K50,'Datos - Catálogo TIMSS'!$A$5:$A$107,0)),"No")="Sí",IFERROR(INDEX('Datos - Catálogo TIMSS'!$I$5:$I$107,MATCH(L50,'Datos - Catálogo TIMSS'!$A$5:$A$107,0)),"No")="Sí"),1,0)</f>
        <v/>
      </c>
      <c r="Y50" s="11">
        <f>IF(IFERROR(INDEX('Datos - Catálogo TIMSS'!$J$5:$J$107,MATCH(K50,'Datos - Catálogo TIMSS'!$A$5:$A$107,0)),"No")="Sí",1,0)</f>
        <v/>
      </c>
      <c r="Z50" s="11">
        <f>IF(IFERROR(INDEX('Datos - Catálogo TIMSS'!$J$5:$J$107,MATCH(L50,'Datos - Catálogo TIMSS'!$A$5:$A$107,0)),"No")="Sí",1,0)</f>
        <v/>
      </c>
      <c r="AA50" s="11" t="inlineStr">
        <is>
          <t>T4-V4.1</t>
        </is>
      </c>
      <c r="AB50" s="11" t="inlineStr"/>
      <c r="AC50" s="11">
        <f>IF(AA50="FUERA","Fuera del marco",IF(AA50="N/A","Sin marco",IFERROR(INDEX('Datos - TIMSS 2023'!$C$5:$C$105,MATCH(AA50,'Datos - TIMSS 2023'!$A$5:$A$105,0)),"Pendiente de clasificar")))</f>
        <v/>
      </c>
      <c r="AD50" s="11" t="inlineStr">
        <is>
          <t>1. Explicar fenómenos científicamente</t>
        </is>
      </c>
      <c r="AE50" s="11">
        <f>IF(AD50="","",IF(LEFT(AD50,1)="1","C1",IF(LEFT(AD50,1)="2","C2",IF(LEFT(AD50,1)="3","C3",""))))</f>
        <v/>
      </c>
      <c r="AF50" s="11" t="inlineStr">
        <is>
          <t>E1</t>
        </is>
      </c>
      <c r="AG50" s="11" t="inlineStr">
        <is>
          <t>D1</t>
        </is>
      </c>
      <c r="AH50" s="11" t="inlineStr">
        <is>
          <t>E1</t>
        </is>
      </c>
      <c r="AI50" s="11" t="inlineStr">
        <is>
          <t>D4</t>
        </is>
      </c>
      <c r="AJ50" s="11" t="inlineStr">
        <is>
          <t>I5</t>
        </is>
      </c>
      <c r="AK50" s="11" t="n"/>
      <c r="AL50" s="11" t="n"/>
      <c r="AM50" s="11" t="n"/>
      <c r="AN50" s="11" t="n"/>
      <c r="AO50" s="11" t="n"/>
      <c r="AP50" s="11" t="n"/>
      <c r="AQ50" s="11" t="n"/>
      <c r="AR50" s="11" t="n"/>
      <c r="AS50" s="11" t="n"/>
      <c r="AT50" s="11" t="n"/>
      <c r="AU50" s="11" t="n"/>
      <c r="AV50" s="11" t="n"/>
      <c r="AW50" s="11">
        <f>AF50&amp;"; "&amp;AG50&amp;"; "&amp;AH50&amp;"; "&amp;AI50&amp;"; "&amp;AJ50</f>
        <v/>
      </c>
    </row>
    <row r="51">
      <c r="A51" s="11" t="inlineStr">
        <is>
          <t>T0685-G02-CIE</t>
        </is>
      </c>
      <c r="B51" s="11" t="n">
        <v>2</v>
      </c>
      <c r="C51" s="11" t="inlineStr">
        <is>
          <t>Ciencias</t>
        </is>
      </c>
      <c r="D51" s="11" t="inlineStr">
        <is>
          <t>Matriz_Ciencias_2do_Grado_U1_U6_3.xlsx</t>
        </is>
      </c>
      <c r="E51" s="11" t="inlineStr">
        <is>
          <t>Unidad 4 - Seres vivos</t>
        </is>
      </c>
      <c r="F51" s="11" t="n">
        <v>18</v>
      </c>
      <c r="G51" s="11" t="inlineStr">
        <is>
          <t>4. Seres vivos.</t>
        </is>
      </c>
      <c r="H51" s="11" t="inlineStr">
        <is>
          <t>Importancia de los animales.</t>
        </is>
      </c>
      <c r="I51" s="38" t="inlineStr">
        <is>
          <t>4.12. Identificación de amenazas y formas de protección de los animales.</t>
        </is>
      </c>
      <c r="J51" s="11" t="inlineStr">
        <is>
          <t>T4_27</t>
        </is>
      </c>
      <c r="K51" s="11" t="inlineStr">
        <is>
          <t>T4_27-B4.3</t>
        </is>
      </c>
      <c r="L51" s="11" t="inlineStr"/>
      <c r="M51" s="11">
        <f>IF(K51="FUERA","Fuera del marco",IF(K51="N/A","Sin marco",IFERROR(INDEX('Datos - Catálogo TIMSS'!$C$5:$C$107,MATCH(K51,'Datos - Catálogo TIMSS'!$A$5:$A$107,0)),"Pendiente de clasificar")))</f>
        <v/>
      </c>
      <c r="N51" s="11">
        <f>IF(K51="FUERA","Fuera del marco",IF(K51="N/A","Sin marco",IFERROR(INDEX('Datos - Catálogo TIMSS'!$F$5:$F$107,MATCH(K51,'Datos - Catálogo TIMSS'!$A$5:$A$107,0)),"Pendiente de clasificar")))</f>
        <v/>
      </c>
      <c r="O51" s="11">
        <f>IF(L51="","",IFERROR(INDEX('Datos - Catálogo TIMSS'!$C$5:$C$107,MATCH(L51,'Datos - Catálogo TIMSS'!$A$5:$A$107,0)),"?"))</f>
        <v/>
      </c>
      <c r="P51" s="11" t="inlineStr">
        <is>
          <t>alta</t>
        </is>
      </c>
      <c r="Q51" s="38" t="inlineStr">
        <is>
          <t>Amenazas humanas a los animales y acciones de protección.</t>
        </is>
      </c>
      <c r="R51" s="38" t="inlineStr">
        <is>
          <t>Razonar: justificar con sus palabras</t>
        </is>
      </c>
      <c r="S51" s="39">
        <f>IFERROR(ISNUMBER(SEARCH("Conocer",$R51))/(ISNUMBER(SEARCH("Conocer",$R51))+ISNUMBER(SEARCH("Aplicar",$R51))+ISNUMBER(SEARCH("Razonar",$R51))),0)</f>
        <v/>
      </c>
      <c r="T51" s="39">
        <f>IFERROR(ISNUMBER(SEARCH("Aplicar",$R51))/(ISNUMBER(SEARCH("Conocer",$R51))+ISNUMBER(SEARCH("Aplicar",$R51))+ISNUMBER(SEARCH("Razonar",$R51))),0)</f>
        <v/>
      </c>
      <c r="U51" s="39">
        <f>IFERROR(ISNUMBER(SEARCH("Razonar",$R51))/(ISNUMBER(SEARCH("Conocer",$R51))+ISNUMBER(SEARCH("Aplicar",$R51))+ISNUMBER(SEARCH("Razonar",$R51))),0)</f>
        <v/>
      </c>
      <c r="V51" s="11" t="inlineStr">
        <is>
          <t>2°</t>
        </is>
      </c>
      <c r="W51" s="11" t="inlineStr">
        <is>
          <t>Ciclo 2°–4°</t>
        </is>
      </c>
      <c r="X51" s="11">
        <f>IF(OR(IFERROR(INDEX('Datos - Catálogo TIMSS'!$I$5:$I$107,MATCH(K51,'Datos - Catálogo TIMSS'!$A$5:$A$107,0)),"No")="Sí",IFERROR(INDEX('Datos - Catálogo TIMSS'!$I$5:$I$107,MATCH(L51,'Datos - Catálogo TIMSS'!$A$5:$A$107,0)),"No")="Sí"),1,0)</f>
        <v/>
      </c>
      <c r="Y51" s="11">
        <f>IF(IFERROR(INDEX('Datos - Catálogo TIMSS'!$J$5:$J$107,MATCH(K51,'Datos - Catálogo TIMSS'!$A$5:$A$107,0)),"No")="Sí",1,0)</f>
        <v/>
      </c>
      <c r="Z51" s="11">
        <f>IF(IFERROR(INDEX('Datos - Catálogo TIMSS'!$J$5:$J$107,MATCH(L51,'Datos - Catálogo TIMSS'!$A$5:$A$107,0)),"No")="Sí",1,0)</f>
        <v/>
      </c>
      <c r="AA51" s="11" t="inlineStr">
        <is>
          <t>T4-V3.3</t>
        </is>
      </c>
      <c r="AB51" s="11" t="inlineStr"/>
      <c r="AC51" s="11">
        <f>IF(AA51="FUERA","Fuera del marco",IF(AA51="N/A","Sin marco",IFERROR(INDEX('Datos - TIMSS 2023'!$C$5:$C$105,MATCH(AA51,'Datos - TIMSS 2023'!$A$5:$A$105,0)),"Pendiente de clasificar")))</f>
        <v/>
      </c>
      <c r="AD51" s="11" t="inlineStr">
        <is>
          <t>3. Investigar, evaluar y usar información científica para tomar decisiones y actuar</t>
        </is>
      </c>
      <c r="AE51" s="11">
        <f>IF(AD51="","",IF(LEFT(AD51,1)="1","C1",IF(LEFT(AD51,1)="2","C2",IF(LEFT(AD51,1)="3","C3",""))))</f>
        <v/>
      </c>
      <c r="AF51" s="11" t="inlineStr">
        <is>
          <t>E6</t>
        </is>
      </c>
      <c r="AG51" s="11" t="inlineStr">
        <is>
          <t>D1</t>
        </is>
      </c>
      <c r="AH51" s="11" t="inlineStr">
        <is>
          <t>E6</t>
        </is>
      </c>
      <c r="AI51" s="11" t="inlineStr">
        <is>
          <t>I3</t>
        </is>
      </c>
      <c r="AJ51" s="11" t="inlineStr">
        <is>
          <t>I5</t>
        </is>
      </c>
      <c r="AK51" s="11" t="n"/>
      <c r="AL51" s="11" t="n"/>
      <c r="AM51" s="11" t="n"/>
      <c r="AN51" s="11" t="n"/>
      <c r="AO51" s="11" t="n"/>
      <c r="AP51" s="11" t="n"/>
      <c r="AQ51" s="11" t="n"/>
      <c r="AR51" s="11" t="n"/>
      <c r="AS51" s="11" t="n"/>
      <c r="AT51" s="11" t="n"/>
      <c r="AU51" s="11" t="n"/>
      <c r="AV51" s="11" t="n"/>
      <c r="AW51" s="11">
        <f>AF51&amp;"; "&amp;AG51&amp;"; "&amp;AH51&amp;"; "&amp;AI51&amp;"; "&amp;AJ51</f>
        <v/>
      </c>
    </row>
    <row r="52">
      <c r="A52" s="11" t="inlineStr">
        <is>
          <t>T0686-G02-CIE</t>
        </is>
      </c>
      <c r="B52" s="11" t="n">
        <v>2</v>
      </c>
      <c r="C52" s="11" t="inlineStr">
        <is>
          <t>Ciencias</t>
        </is>
      </c>
      <c r="D52" s="11" t="inlineStr">
        <is>
          <t>Matriz_Ciencias_2do_Grado_U1_U6_3.xlsx</t>
        </is>
      </c>
      <c r="E52" s="11" t="inlineStr">
        <is>
          <t>Unidad 4 - Seres vivos</t>
        </is>
      </c>
      <c r="F52" s="11" t="n">
        <v>19</v>
      </c>
      <c r="G52" s="11" t="inlineStr">
        <is>
          <t>4. Seres vivos.</t>
        </is>
      </c>
      <c r="H52" s="11" t="inlineStr">
        <is>
          <t>Reconociendo los microorganismos.</t>
        </is>
      </c>
      <c r="I52" s="38" t="inlineStr">
        <is>
          <t>4.13. Observación, sin abrir las bolsas, del moho que aparece en el pan (efecto de los microorganismos en los alimentos).</t>
        </is>
      </c>
      <c r="J52" s="11" t="inlineStr">
        <is>
          <t>T4_27</t>
        </is>
      </c>
      <c r="K52" s="11" t="inlineStr">
        <is>
          <t>T4_27-B1.1</t>
        </is>
      </c>
      <c r="L52" s="11" t="inlineStr">
        <is>
          <t>T4_27-B6.1</t>
        </is>
      </c>
      <c r="M52" s="11">
        <f>IF(K52="FUERA","Fuera del marco",IF(K52="N/A","Sin marco",IFERROR(INDEX('Datos - Catálogo TIMSS'!$C$5:$C$107,MATCH(K52,'Datos - Catálogo TIMSS'!$A$5:$A$107,0)),"Pendiente de clasificar")))</f>
        <v/>
      </c>
      <c r="N52" s="11">
        <f>IF(K52="FUERA","Fuera del marco",IF(K52="N/A","Sin marco",IFERROR(INDEX('Datos - Catálogo TIMSS'!$F$5:$F$107,MATCH(K52,'Datos - Catálogo TIMSS'!$A$5:$A$107,0)),"Pendiente de clasificar")))</f>
        <v/>
      </c>
      <c r="O52" s="11">
        <f>IF(L52="","",IFERROR(INDEX('Datos - Catálogo TIMSS'!$C$5:$C$107,MATCH(L52,'Datos - Catálogo TIMSS'!$A$5:$A$107,0)),"?"))</f>
        <v/>
      </c>
      <c r="P52" s="11" t="inlineStr">
        <is>
          <t>baja</t>
        </is>
      </c>
      <c r="Q52" s="38" t="inlineStr">
        <is>
          <t>Moho crece con humedad; microorganismos no figuran en grupos 2027.</t>
        </is>
      </c>
      <c r="R52" s="38" t="inlineStr">
        <is>
          <t>Razonar: predecir y extraer conclusiones sencillas</t>
        </is>
      </c>
      <c r="S52" s="39">
        <f>IFERROR(ISNUMBER(SEARCH("Conocer",$R52))/(ISNUMBER(SEARCH("Conocer",$R52))+ISNUMBER(SEARCH("Aplicar",$R52))+ISNUMBER(SEARCH("Razonar",$R52))),0)</f>
        <v/>
      </c>
      <c r="T52" s="39">
        <f>IFERROR(ISNUMBER(SEARCH("Aplicar",$R52))/(ISNUMBER(SEARCH("Conocer",$R52))+ISNUMBER(SEARCH("Aplicar",$R52))+ISNUMBER(SEARCH("Razonar",$R52))),0)</f>
        <v/>
      </c>
      <c r="U52" s="39">
        <f>IFERROR(ISNUMBER(SEARCH("Razonar",$R52))/(ISNUMBER(SEARCH("Conocer",$R52))+ISNUMBER(SEARCH("Aplicar",$R52))+ISNUMBER(SEARCH("Razonar",$R52))),0)</f>
        <v/>
      </c>
      <c r="V52" s="11" t="inlineStr">
        <is>
          <t>2°</t>
        </is>
      </c>
      <c r="W52" s="11" t="inlineStr">
        <is>
          <t>Ciclo 2°–4°</t>
        </is>
      </c>
      <c r="X52" s="11">
        <f>IF(OR(IFERROR(INDEX('Datos - Catálogo TIMSS'!$I$5:$I$107,MATCH(K52,'Datos - Catálogo TIMSS'!$A$5:$A$107,0)),"No")="Sí",IFERROR(INDEX('Datos - Catálogo TIMSS'!$I$5:$I$107,MATCH(L52,'Datos - Catálogo TIMSS'!$A$5:$A$107,0)),"No")="Sí"),1,0)</f>
        <v/>
      </c>
      <c r="Y52" s="11">
        <f>IF(IFERROR(INDEX('Datos - Catálogo TIMSS'!$J$5:$J$107,MATCH(K52,'Datos - Catálogo TIMSS'!$A$5:$A$107,0)),"No")="Sí",1,0)</f>
        <v/>
      </c>
      <c r="Z52" s="11">
        <f>IF(IFERROR(INDEX('Datos - Catálogo TIMSS'!$J$5:$J$107,MATCH(L52,'Datos - Catálogo TIMSS'!$A$5:$A$107,0)),"No")="Sí",1,0)</f>
        <v/>
      </c>
      <c r="AA52" s="11" t="inlineStr">
        <is>
          <t>T4-V1.2</t>
        </is>
      </c>
      <c r="AB52" s="11" t="inlineStr">
        <is>
          <t>T4-V5.2</t>
        </is>
      </c>
      <c r="AC52" s="11">
        <f>IF(AA52="FUERA","Fuera del marco",IF(AA52="N/A","Sin marco",IFERROR(INDEX('Datos - TIMSS 2023'!$C$5:$C$105,MATCH(AA52,'Datos - TIMSS 2023'!$A$5:$A$105,0)),"Pendiente de clasificar")))</f>
        <v/>
      </c>
      <c r="AD52" s="11" t="inlineStr">
        <is>
          <t>2. Construir y evaluar diseños para la indagación científica e interpretar datos y evidencia de forma crítica</t>
        </is>
      </c>
      <c r="AE52" s="11">
        <f>IF(AD52="","",IF(LEFT(AD52,1)="1","C1",IF(LEFT(AD52,1)="2","C2",IF(LEFT(AD52,1)="3","C3",""))))</f>
        <v/>
      </c>
      <c r="AF52" s="11" t="inlineStr">
        <is>
          <t>E1</t>
        </is>
      </c>
      <c r="AG52" s="11" t="inlineStr">
        <is>
          <t>E5</t>
        </is>
      </c>
      <c r="AH52" s="11" t="inlineStr">
        <is>
          <t>E1</t>
        </is>
      </c>
      <c r="AI52" s="11" t="inlineStr">
        <is>
          <t>D3</t>
        </is>
      </c>
      <c r="AJ52" s="11" t="inlineStr">
        <is>
          <t>E6</t>
        </is>
      </c>
      <c r="AK52" s="11" t="n"/>
      <c r="AL52" s="11" t="n"/>
      <c r="AM52" s="11" t="n"/>
      <c r="AN52" s="11" t="n"/>
      <c r="AO52" s="11" t="n"/>
      <c r="AP52" s="11" t="n"/>
      <c r="AQ52" s="11" t="n"/>
      <c r="AR52" s="11" t="n"/>
      <c r="AS52" s="11" t="n"/>
      <c r="AT52" s="11" t="n"/>
      <c r="AU52" s="11" t="n"/>
      <c r="AV52" s="11" t="n"/>
      <c r="AW52" s="11">
        <f>AF52&amp;"; "&amp;AG52&amp;"; "&amp;AH52&amp;"; "&amp;AI52&amp;"; "&amp;AJ52</f>
        <v/>
      </c>
    </row>
    <row r="53">
      <c r="A53" s="11" t="inlineStr">
        <is>
          <t>T0687-G02-CIE</t>
        </is>
      </c>
      <c r="B53" s="11" t="n">
        <v>2</v>
      </c>
      <c r="C53" s="11" t="inlineStr">
        <is>
          <t>Ciencias</t>
        </is>
      </c>
      <c r="D53" s="11" t="inlineStr">
        <is>
          <t>Matriz_Ciencias_2do_Grado_U1_U6_3.xlsx</t>
        </is>
      </c>
      <c r="E53" s="11" t="inlineStr">
        <is>
          <t>Unidad 4 - Seres vivos</t>
        </is>
      </c>
      <c r="F53" s="11" t="n">
        <v>20</v>
      </c>
      <c r="G53" s="11" t="inlineStr">
        <is>
          <t>4. Seres vivos.</t>
        </is>
      </c>
      <c r="H53" s="11" t="inlineStr">
        <is>
          <t>Reconociendo hongos.</t>
        </is>
      </c>
      <c r="I53" s="38" t="inlineStr">
        <is>
          <t>4.14. Reconocimiento de las características físicas y el hábitat de los hongos macroscópicos.</t>
        </is>
      </c>
      <c r="J53" s="11" t="inlineStr">
        <is>
          <t>T4_27</t>
        </is>
      </c>
      <c r="K53" s="11" t="inlineStr">
        <is>
          <t>T4_27-B1.2</t>
        </is>
      </c>
      <c r="L53" s="11" t="inlineStr"/>
      <c r="M53" s="11">
        <f>IF(K53="FUERA","Fuera del marco",IF(K53="N/A","Sin marco",IFERROR(INDEX('Datos - Catálogo TIMSS'!$C$5:$C$107,MATCH(K53,'Datos - Catálogo TIMSS'!$A$5:$A$107,0)),"Pendiente de clasificar")))</f>
        <v/>
      </c>
      <c r="N53" s="11">
        <f>IF(K53="FUERA","Fuera del marco",IF(K53="N/A","Sin marco",IFERROR(INDEX('Datos - Catálogo TIMSS'!$F$5:$F$107,MATCH(K53,'Datos - Catálogo TIMSS'!$A$5:$A$107,0)),"Pendiente de clasificar")))</f>
        <v/>
      </c>
      <c r="O53" s="11">
        <f>IF(L53="","",IFERROR(INDEX('Datos - Catálogo TIMSS'!$C$5:$C$107,MATCH(L53,'Datos - Catálogo TIMSS'!$A$5:$A$107,0)),"?"))</f>
        <v/>
      </c>
      <c r="P53" s="11" t="inlineStr">
        <is>
          <t>baja</t>
        </is>
      </c>
      <c r="Q53" s="38" t="inlineStr">
        <is>
          <t>Rasgos y hábitat de hongos; grupos 2027 solo plantas y animales.</t>
        </is>
      </c>
      <c r="R53" s="38" t="inlineStr">
        <is>
          <t>Conocer: describir. Aplicar: comparar</t>
        </is>
      </c>
      <c r="S53" s="39">
        <f>IFERROR(ISNUMBER(SEARCH("Conocer",$R53))/(ISNUMBER(SEARCH("Conocer",$R53))+ISNUMBER(SEARCH("Aplicar",$R53))+ISNUMBER(SEARCH("Razonar",$R53))),0)</f>
        <v/>
      </c>
      <c r="T53" s="39">
        <f>IFERROR(ISNUMBER(SEARCH("Aplicar",$R53))/(ISNUMBER(SEARCH("Conocer",$R53))+ISNUMBER(SEARCH("Aplicar",$R53))+ISNUMBER(SEARCH("Razonar",$R53))),0)</f>
        <v/>
      </c>
      <c r="U53" s="39">
        <f>IFERROR(ISNUMBER(SEARCH("Razonar",$R53))/(ISNUMBER(SEARCH("Conocer",$R53))+ISNUMBER(SEARCH("Aplicar",$R53))+ISNUMBER(SEARCH("Razonar",$R53))),0)</f>
        <v/>
      </c>
      <c r="V53" s="11" t="inlineStr">
        <is>
          <t>2°</t>
        </is>
      </c>
      <c r="W53" s="11" t="inlineStr">
        <is>
          <t>Ciclo 2°–4°</t>
        </is>
      </c>
      <c r="X53" s="11">
        <f>IF(OR(IFERROR(INDEX('Datos - Catálogo TIMSS'!$I$5:$I$107,MATCH(K53,'Datos - Catálogo TIMSS'!$A$5:$A$107,0)),"No")="Sí",IFERROR(INDEX('Datos - Catálogo TIMSS'!$I$5:$I$107,MATCH(L53,'Datos - Catálogo TIMSS'!$A$5:$A$107,0)),"No")="Sí"),1,0)</f>
        <v/>
      </c>
      <c r="Y53" s="11">
        <f>IF(IFERROR(INDEX('Datos - Catálogo TIMSS'!$J$5:$J$107,MATCH(K53,'Datos - Catálogo TIMSS'!$A$5:$A$107,0)),"No")="Sí",1,0)</f>
        <v/>
      </c>
      <c r="Z53" s="11">
        <f>IF(IFERROR(INDEX('Datos - Catálogo TIMSS'!$J$5:$J$107,MATCH(L53,'Datos - Catálogo TIMSS'!$A$5:$A$107,0)),"No")="Sí",1,0)</f>
        <v/>
      </c>
      <c r="AA53" s="11" t="inlineStr">
        <is>
          <t>T4-V1.2</t>
        </is>
      </c>
      <c r="AB53" s="11" t="inlineStr">
        <is>
          <t>T4-V4.1</t>
        </is>
      </c>
      <c r="AC53" s="11">
        <f>IF(AA53="FUERA","Fuera del marco",IF(AA53="N/A","Sin marco",IFERROR(INDEX('Datos - TIMSS 2023'!$C$5:$C$105,MATCH(AA53,'Datos - TIMSS 2023'!$A$5:$A$105,0)),"Pendiente de clasificar")))</f>
        <v/>
      </c>
      <c r="AD53" s="11" t="inlineStr">
        <is>
          <t>1. Explicar fenómenos científicamente</t>
        </is>
      </c>
      <c r="AE53" s="11">
        <f>IF(AD53="","",IF(LEFT(AD53,1)="1","C1",IF(LEFT(AD53,1)="2","C2",IF(LEFT(AD53,1)="3","C3",""))))</f>
        <v/>
      </c>
      <c r="AF53" s="11" t="inlineStr">
        <is>
          <t>E1</t>
        </is>
      </c>
      <c r="AG53" s="11" t="inlineStr">
        <is>
          <t>D1</t>
        </is>
      </c>
      <c r="AH53" s="11" t="inlineStr">
        <is>
          <t>E1</t>
        </is>
      </c>
      <c r="AI53" s="11" t="inlineStr">
        <is>
          <t>I2</t>
        </is>
      </c>
      <c r="AJ53" s="11" t="inlineStr">
        <is>
          <t>I5</t>
        </is>
      </c>
      <c r="AK53" s="11" t="n"/>
      <c r="AL53" s="11" t="n"/>
      <c r="AM53" s="11" t="n"/>
      <c r="AN53" s="11" t="n"/>
      <c r="AO53" s="11" t="n"/>
      <c r="AP53" s="11" t="n"/>
      <c r="AQ53" s="11" t="n"/>
      <c r="AR53" s="11" t="n"/>
      <c r="AS53" s="11" t="n"/>
      <c r="AT53" s="11" t="n"/>
      <c r="AU53" s="11" t="n"/>
      <c r="AV53" s="11" t="n"/>
      <c r="AW53" s="11">
        <f>AF53&amp;"; "&amp;AG53&amp;"; "&amp;AH53&amp;"; "&amp;AI53&amp;"; "&amp;AJ53</f>
        <v/>
      </c>
    </row>
    <row r="54">
      <c r="A54" s="11" t="inlineStr">
        <is>
          <t>T0688-G02-CIE</t>
        </is>
      </c>
      <c r="B54" s="11" t="n">
        <v>2</v>
      </c>
      <c r="C54" s="11" t="inlineStr">
        <is>
          <t>Ciencias</t>
        </is>
      </c>
      <c r="D54" s="11" t="inlineStr">
        <is>
          <t>Matriz_Ciencias_2do_Grado_U1_U6_3.xlsx</t>
        </is>
      </c>
      <c r="E54" s="11" t="inlineStr">
        <is>
          <t>Unidad 5 - Objetos técnicos</t>
        </is>
      </c>
      <c r="F54" s="11" t="n">
        <v>3</v>
      </c>
      <c r="G54" s="11" t="inlineStr">
        <is>
          <t>5. Objetos técnicos.</t>
        </is>
      </c>
      <c r="H54" s="11" t="inlineStr">
        <is>
          <t>Equilibrio.</t>
        </is>
      </c>
      <c r="I54" s="38" t="inlineStr">
        <is>
          <t>5.1. Construcción de balanzas.</t>
        </is>
      </c>
      <c r="J54" s="11" t="inlineStr">
        <is>
          <t>T4_27</t>
        </is>
      </c>
      <c r="K54" s="11" t="inlineStr">
        <is>
          <t>FUERA</t>
        </is>
      </c>
      <c r="L54" s="11" t="inlineStr"/>
      <c r="M54" s="11">
        <f>IF(K54="FUERA","Fuera del marco",IF(K54="N/A","Sin marco",IFERROR(INDEX('Datos - Catálogo TIMSS'!$C$5:$C$107,MATCH(K54,'Datos - Catálogo TIMSS'!$A$5:$A$107,0)),"Pendiente de clasificar")))</f>
        <v/>
      </c>
      <c r="N54" s="11">
        <f>IF(K54="FUERA","Fuera del marco",IF(K54="N/A","Sin marco",IFERROR(INDEX('Datos - Catálogo TIMSS'!$F$5:$F$107,MATCH(K54,'Datos - Catálogo TIMSS'!$A$5:$A$107,0)),"Pendiente de clasificar")))</f>
        <v/>
      </c>
      <c r="O54" s="11">
        <f>IF(L54="","",IFERROR(INDEX('Datos - Catálogo TIMSS'!$C$5:$C$107,MATCH(L54,'Datos - Catálogo TIMSS'!$A$5:$A$107,0)),"?"))</f>
        <v/>
      </c>
      <c r="P54" s="11" t="inlineStr">
        <is>
          <t>media</t>
        </is>
      </c>
      <c r="Q54" s="38" t="inlineStr">
        <is>
          <t>Construcción de balanza: diseño de objeto tecnológico.</t>
        </is>
      </c>
      <c r="R54" s="38" t="inlineStr">
        <is>
          <t>Aplicar: usar instrumentos sencillos</t>
        </is>
      </c>
      <c r="S54" s="39">
        <f>IFERROR(ISNUMBER(SEARCH("Conocer",$R54))/(ISNUMBER(SEARCH("Conocer",$R54))+ISNUMBER(SEARCH("Aplicar",$R54))+ISNUMBER(SEARCH("Razonar",$R54))),0)</f>
        <v/>
      </c>
      <c r="T54" s="39">
        <f>IFERROR(ISNUMBER(SEARCH("Aplicar",$R54))/(ISNUMBER(SEARCH("Conocer",$R54))+ISNUMBER(SEARCH("Aplicar",$R54))+ISNUMBER(SEARCH("Razonar",$R54))),0)</f>
        <v/>
      </c>
      <c r="U54" s="39">
        <f>IFERROR(ISNUMBER(SEARCH("Razonar",$R54))/(ISNUMBER(SEARCH("Conocer",$R54))+ISNUMBER(SEARCH("Aplicar",$R54))+ISNUMBER(SEARCH("Razonar",$R54))),0)</f>
        <v/>
      </c>
      <c r="V54" s="11" t="inlineStr">
        <is>
          <t>2°</t>
        </is>
      </c>
      <c r="W54" s="11" t="inlineStr">
        <is>
          <t>Ciclo 2°–4°</t>
        </is>
      </c>
      <c r="X54" s="11">
        <f>IF(OR(IFERROR(INDEX('Datos - Catálogo TIMSS'!$I$5:$I$107,MATCH(K54,'Datos - Catálogo TIMSS'!$A$5:$A$107,0)),"No")="Sí",IFERROR(INDEX('Datos - Catálogo TIMSS'!$I$5:$I$107,MATCH(L54,'Datos - Catálogo TIMSS'!$A$5:$A$107,0)),"No")="Sí"),1,0)</f>
        <v/>
      </c>
      <c r="Y54" s="11">
        <f>IF(IFERROR(INDEX('Datos - Catálogo TIMSS'!$J$5:$J$107,MATCH(K54,'Datos - Catálogo TIMSS'!$A$5:$A$107,0)),"No")="Sí",1,0)</f>
        <v/>
      </c>
      <c r="Z54" s="11">
        <f>IF(IFERROR(INDEX('Datos - Catálogo TIMSS'!$J$5:$J$107,MATCH(L54,'Datos - Catálogo TIMSS'!$A$5:$A$107,0)),"No")="Sí",1,0)</f>
        <v/>
      </c>
      <c r="AA54" s="11" t="inlineStr">
        <is>
          <t>FUERA</t>
        </is>
      </c>
      <c r="AB54" s="11" t="inlineStr"/>
      <c r="AC54" s="11">
        <f>IF(AA54="FUERA","Fuera del marco",IF(AA54="N/A","Sin marco",IFERROR(INDEX('Datos - TIMSS 2023'!$C$5:$C$105,MATCH(AA54,'Datos - TIMSS 2023'!$A$5:$A$105,0)),"Pendiente de clasificar")))</f>
        <v/>
      </c>
      <c r="AD54" s="11" t="inlineStr">
        <is>
          <t>2. Construir y evaluar diseños para la indagación científica e interpretar datos y evidencia de forma crítica</t>
        </is>
      </c>
      <c r="AE54" s="11">
        <f>IF(AD54="","",IF(LEFT(AD54,1)="1","C1",IF(LEFT(AD54,1)="2","C2",IF(LEFT(AD54,1)="3","C3",""))))</f>
        <v/>
      </c>
      <c r="AF54" s="11" t="inlineStr">
        <is>
          <t>E1</t>
        </is>
      </c>
      <c r="AG54" s="11" t="inlineStr">
        <is>
          <t>D1</t>
        </is>
      </c>
      <c r="AH54" s="11" t="inlineStr">
        <is>
          <t>E4</t>
        </is>
      </c>
      <c r="AI54" s="11" t="inlineStr">
        <is>
          <t>D2</t>
        </is>
      </c>
      <c r="AJ54" s="11" t="inlineStr">
        <is>
          <t>D3</t>
        </is>
      </c>
      <c r="AK54" s="11" t="n"/>
      <c r="AL54" s="11" t="n"/>
      <c r="AM54" s="11" t="n"/>
      <c r="AN54" s="11" t="n"/>
      <c r="AO54" s="11" t="n"/>
      <c r="AP54" s="11" t="n"/>
      <c r="AQ54" s="11" t="n"/>
      <c r="AR54" s="11" t="n"/>
      <c r="AS54" s="11" t="n"/>
      <c r="AT54" s="11" t="n"/>
      <c r="AU54" s="11" t="n"/>
      <c r="AV54" s="11" t="n"/>
      <c r="AW54" s="11">
        <f>AF54&amp;"; "&amp;AG54&amp;"; "&amp;AH54&amp;"; "&amp;AI54&amp;"; "&amp;AJ54</f>
        <v/>
      </c>
    </row>
    <row r="55">
      <c r="A55" s="11" t="inlineStr">
        <is>
          <t>T0689-G02-CIE</t>
        </is>
      </c>
      <c r="B55" s="11" t="n">
        <v>2</v>
      </c>
      <c r="C55" s="11" t="inlineStr">
        <is>
          <t>Ciencias</t>
        </is>
      </c>
      <c r="D55" s="11" t="inlineStr">
        <is>
          <t>Matriz_Ciencias_2do_Grado_U1_U6_3.xlsx</t>
        </is>
      </c>
      <c r="E55" s="11" t="inlineStr">
        <is>
          <t>Unidad 5 - Objetos técnicos</t>
        </is>
      </c>
      <c r="F55" s="11" t="n">
        <v>4</v>
      </c>
      <c r="G55" s="11" t="inlineStr">
        <is>
          <t>5. Objetos técnicos.</t>
        </is>
      </c>
      <c r="H55" s="11" t="inlineStr">
        <is>
          <t>Equilibrio.</t>
        </is>
      </c>
      <c r="I55" s="38" t="inlineStr">
        <is>
          <t>5.2. Registro de valores de magnitud empleando una balanza.</t>
        </is>
      </c>
      <c r="J55" s="11" t="inlineStr">
        <is>
          <t>T4_27</t>
        </is>
      </c>
      <c r="K55" s="11" t="inlineStr">
        <is>
          <t>T4_27-P6.1</t>
        </is>
      </c>
      <c r="L55" s="11" t="inlineStr"/>
      <c r="M55" s="11">
        <f>IF(K55="FUERA","Fuera del marco",IF(K55="N/A","Sin marco",IFERROR(INDEX('Datos - Catálogo TIMSS'!$C$5:$C$107,MATCH(K55,'Datos - Catálogo TIMSS'!$A$5:$A$107,0)),"Pendiente de clasificar")))</f>
        <v/>
      </c>
      <c r="N55" s="11">
        <f>IF(K55="FUERA","Fuera del marco",IF(K55="N/A","Sin marco",IFERROR(INDEX('Datos - Catálogo TIMSS'!$F$5:$F$107,MATCH(K55,'Datos - Catálogo TIMSS'!$A$5:$A$107,0)),"Pendiente de clasificar")))</f>
        <v/>
      </c>
      <c r="O55" s="11">
        <f>IF(L55="","",IFERROR(INDEX('Datos - Catálogo TIMSS'!$C$5:$C$107,MATCH(L55,'Datos - Catálogo TIMSS'!$A$5:$A$107,0)),"?"))</f>
        <v/>
      </c>
      <c r="P55" s="11" t="inlineStr">
        <is>
          <t>media</t>
        </is>
      </c>
      <c r="Q55" s="38" t="inlineStr">
        <is>
          <t>Estima y comprueba masa con balanza: uso de equipo de medición.</t>
        </is>
      </c>
      <c r="R55" s="38" t="inlineStr">
        <is>
          <t>Aplicar: medir. Razonar: estimar</t>
        </is>
      </c>
      <c r="S55" s="39">
        <f>IFERROR(ISNUMBER(SEARCH("Conocer",$R55))/(ISNUMBER(SEARCH("Conocer",$R55))+ISNUMBER(SEARCH("Aplicar",$R55))+ISNUMBER(SEARCH("Razonar",$R55))),0)</f>
        <v/>
      </c>
      <c r="T55" s="39">
        <f>IFERROR(ISNUMBER(SEARCH("Aplicar",$R55))/(ISNUMBER(SEARCH("Conocer",$R55))+ISNUMBER(SEARCH("Aplicar",$R55))+ISNUMBER(SEARCH("Razonar",$R55))),0)</f>
        <v/>
      </c>
      <c r="U55" s="39">
        <f>IFERROR(ISNUMBER(SEARCH("Razonar",$R55))/(ISNUMBER(SEARCH("Conocer",$R55))+ISNUMBER(SEARCH("Aplicar",$R55))+ISNUMBER(SEARCH("Razonar",$R55))),0)</f>
        <v/>
      </c>
      <c r="V55" s="11" t="inlineStr">
        <is>
          <t>2°</t>
        </is>
      </c>
      <c r="W55" s="11" t="inlineStr">
        <is>
          <t>Ciclo 2°–4°</t>
        </is>
      </c>
      <c r="X55" s="11">
        <f>IF(OR(IFERROR(INDEX('Datos - Catálogo TIMSS'!$I$5:$I$107,MATCH(K55,'Datos - Catálogo TIMSS'!$A$5:$A$107,0)),"No")="Sí",IFERROR(INDEX('Datos - Catálogo TIMSS'!$I$5:$I$107,MATCH(L55,'Datos - Catálogo TIMSS'!$A$5:$A$107,0)),"No")="Sí"),1,0)</f>
        <v/>
      </c>
      <c r="Y55" s="11">
        <f>IF(IFERROR(INDEX('Datos - Catálogo TIMSS'!$J$5:$J$107,MATCH(K55,'Datos - Catálogo TIMSS'!$A$5:$A$107,0)),"No")="Sí",1,0)</f>
        <v/>
      </c>
      <c r="Z55" s="11">
        <f>IF(IFERROR(INDEX('Datos - Catálogo TIMSS'!$J$5:$J$107,MATCH(L55,'Datos - Catálogo TIMSS'!$A$5:$A$107,0)),"No")="Sí",1,0)</f>
        <v/>
      </c>
      <c r="AA55" s="11" t="inlineStr">
        <is>
          <t>FUERA</t>
        </is>
      </c>
      <c r="AB55" s="11" t="inlineStr"/>
      <c r="AC55" s="11">
        <f>IF(AA55="FUERA","Fuera del marco",IF(AA55="N/A","Sin marco",IFERROR(INDEX('Datos - TIMSS 2023'!$C$5:$C$105,MATCH(AA55,'Datos - TIMSS 2023'!$A$5:$A$105,0)),"Pendiente de clasificar")))</f>
        <v/>
      </c>
      <c r="AD55" s="11" t="inlineStr">
        <is>
          <t>2. Construir y evaluar diseños para la indagación científica e interpretar datos y evidencia de forma crítica</t>
        </is>
      </c>
      <c r="AE55" s="11">
        <f>IF(AD55="","",IF(LEFT(AD55,1)="1","C1",IF(LEFT(AD55,1)="2","C2",IF(LEFT(AD55,1)="3","C3",""))))</f>
        <v/>
      </c>
      <c r="AF55" s="11" t="inlineStr">
        <is>
          <t>E1</t>
        </is>
      </c>
      <c r="AG55" s="11" t="inlineStr">
        <is>
          <t>E3</t>
        </is>
      </c>
      <c r="AH55" s="11" t="inlineStr">
        <is>
          <t>E1</t>
        </is>
      </c>
      <c r="AI55" s="11" t="inlineStr">
        <is>
          <t>D4</t>
        </is>
      </c>
      <c r="AJ55" s="11" t="inlineStr">
        <is>
          <t>I4</t>
        </is>
      </c>
      <c r="AK55" s="11" t="n"/>
      <c r="AL55" s="11" t="n"/>
      <c r="AM55" s="11" t="n"/>
      <c r="AN55" s="11" t="n"/>
      <c r="AO55" s="11" t="n"/>
      <c r="AP55" s="11" t="n"/>
      <c r="AQ55" s="11" t="n"/>
      <c r="AR55" s="11" t="n"/>
      <c r="AS55" s="11" t="n"/>
      <c r="AT55" s="11" t="n"/>
      <c r="AU55" s="11" t="n"/>
      <c r="AV55" s="11" t="n"/>
      <c r="AW55" s="11">
        <f>AF55&amp;"; "&amp;AG55&amp;"; "&amp;AH55&amp;"; "&amp;AI55&amp;"; "&amp;AJ55</f>
        <v/>
      </c>
    </row>
    <row r="56">
      <c r="A56" s="11" t="inlineStr">
        <is>
          <t>T0690-G02-CIE</t>
        </is>
      </c>
      <c r="B56" s="11" t="n">
        <v>2</v>
      </c>
      <c r="C56" s="11" t="inlineStr">
        <is>
          <t>Ciencias</t>
        </is>
      </c>
      <c r="D56" s="11" t="inlineStr">
        <is>
          <t>Matriz_Ciencias_2do_Grado_U1_U6_3.xlsx</t>
        </is>
      </c>
      <c r="E56" s="11" t="inlineStr">
        <is>
          <t>Unidad 5 - Objetos técnicos</t>
        </is>
      </c>
      <c r="F56" s="11" t="n">
        <v>5</v>
      </c>
      <c r="G56" s="11" t="inlineStr">
        <is>
          <t>5. Objetos técnicos.</t>
        </is>
      </c>
      <c r="H56" s="11" t="inlineStr">
        <is>
          <t>Estructuras.</t>
        </is>
      </c>
      <c r="I56" s="38" t="inlineStr">
        <is>
          <t>5.3. Construcción de una estructura rígida: modelo de puente o torre.</t>
        </is>
      </c>
      <c r="J56" s="11" t="inlineStr">
        <is>
          <t>T4_27</t>
        </is>
      </c>
      <c r="K56" s="11" t="inlineStr">
        <is>
          <t>FUERA</t>
        </is>
      </c>
      <c r="L56" s="11" t="inlineStr"/>
      <c r="M56" s="11">
        <f>IF(K56="FUERA","Fuera del marco",IF(K56="N/A","Sin marco",IFERROR(INDEX('Datos - Catálogo TIMSS'!$C$5:$C$107,MATCH(K56,'Datos - Catálogo TIMSS'!$A$5:$A$107,0)),"Pendiente de clasificar")))</f>
        <v/>
      </c>
      <c r="N56" s="11">
        <f>IF(K56="FUERA","Fuera del marco",IF(K56="N/A","Sin marco",IFERROR(INDEX('Datos - Catálogo TIMSS'!$F$5:$F$107,MATCH(K56,'Datos - Catálogo TIMSS'!$A$5:$A$107,0)),"Pendiente de clasificar")))</f>
        <v/>
      </c>
      <c r="O56" s="11">
        <f>IF(L56="","",IFERROR(INDEX('Datos - Catálogo TIMSS'!$C$5:$C$107,MATCH(L56,'Datos - Catálogo TIMSS'!$A$5:$A$107,0)),"?"))</f>
        <v/>
      </c>
      <c r="P56" s="11" t="inlineStr">
        <is>
          <t>alta</t>
        </is>
      </c>
      <c r="Q56" s="38" t="inlineStr">
        <is>
          <t>Construcción de estructuras rígidas: tecnología y diseño.</t>
        </is>
      </c>
      <c r="R56" s="38" t="inlineStr">
        <is>
          <t>Aplicar: usar modelos</t>
        </is>
      </c>
      <c r="S56" s="39">
        <f>IFERROR(ISNUMBER(SEARCH("Conocer",$R56))/(ISNUMBER(SEARCH("Conocer",$R56))+ISNUMBER(SEARCH("Aplicar",$R56))+ISNUMBER(SEARCH("Razonar",$R56))),0)</f>
        <v/>
      </c>
      <c r="T56" s="39">
        <f>IFERROR(ISNUMBER(SEARCH("Aplicar",$R56))/(ISNUMBER(SEARCH("Conocer",$R56))+ISNUMBER(SEARCH("Aplicar",$R56))+ISNUMBER(SEARCH("Razonar",$R56))),0)</f>
        <v/>
      </c>
      <c r="U56" s="39">
        <f>IFERROR(ISNUMBER(SEARCH("Razonar",$R56))/(ISNUMBER(SEARCH("Conocer",$R56))+ISNUMBER(SEARCH("Aplicar",$R56))+ISNUMBER(SEARCH("Razonar",$R56))),0)</f>
        <v/>
      </c>
      <c r="V56" s="11" t="inlineStr">
        <is>
          <t>2°</t>
        </is>
      </c>
      <c r="W56" s="11" t="inlineStr">
        <is>
          <t>Ciclo 2°–4°</t>
        </is>
      </c>
      <c r="X56" s="11">
        <f>IF(OR(IFERROR(INDEX('Datos - Catálogo TIMSS'!$I$5:$I$107,MATCH(K56,'Datos - Catálogo TIMSS'!$A$5:$A$107,0)),"No")="Sí",IFERROR(INDEX('Datos - Catálogo TIMSS'!$I$5:$I$107,MATCH(L56,'Datos - Catálogo TIMSS'!$A$5:$A$107,0)),"No")="Sí"),1,0)</f>
        <v/>
      </c>
      <c r="Y56" s="11">
        <f>IF(IFERROR(INDEX('Datos - Catálogo TIMSS'!$J$5:$J$107,MATCH(K56,'Datos - Catálogo TIMSS'!$A$5:$A$107,0)),"No")="Sí",1,0)</f>
        <v/>
      </c>
      <c r="Z56" s="11">
        <f>IF(IFERROR(INDEX('Datos - Catálogo TIMSS'!$J$5:$J$107,MATCH(L56,'Datos - Catálogo TIMSS'!$A$5:$A$107,0)),"No")="Sí",1,0)</f>
        <v/>
      </c>
      <c r="AA56" s="11" t="inlineStr">
        <is>
          <t>FUERA</t>
        </is>
      </c>
      <c r="AB56" s="11" t="inlineStr"/>
      <c r="AC56" s="11">
        <f>IF(AA56="FUERA","Fuera del marco",IF(AA56="N/A","Sin marco",IFERROR(INDEX('Datos - TIMSS 2023'!$C$5:$C$105,MATCH(AA56,'Datos - TIMSS 2023'!$A$5:$A$105,0)),"Pendiente de clasificar")))</f>
        <v/>
      </c>
      <c r="AD56" s="11" t="inlineStr">
        <is>
          <t>2. Construir y evaluar diseños para la indagación científica e interpretar datos y evidencia de forma crítica</t>
        </is>
      </c>
      <c r="AE56" s="11">
        <f>IF(AD56="","",IF(LEFT(AD56,1)="1","C1",IF(LEFT(AD56,1)="2","C2",IF(LEFT(AD56,1)="3","C3",""))))</f>
        <v/>
      </c>
      <c r="AF56" s="11" t="inlineStr">
        <is>
          <t>E1</t>
        </is>
      </c>
      <c r="AG56" s="11" t="inlineStr">
        <is>
          <t>D1</t>
        </is>
      </c>
      <c r="AH56" s="11" t="inlineStr">
        <is>
          <t>E4</t>
        </is>
      </c>
      <c r="AI56" s="11" t="inlineStr">
        <is>
          <t>D3</t>
        </is>
      </c>
      <c r="AJ56" s="11" t="inlineStr">
        <is>
          <t>E3</t>
        </is>
      </c>
      <c r="AK56" s="11" t="n"/>
      <c r="AL56" s="11" t="n"/>
      <c r="AM56" s="11" t="n"/>
      <c r="AN56" s="11" t="n"/>
      <c r="AO56" s="11" t="n"/>
      <c r="AP56" s="11" t="n"/>
      <c r="AQ56" s="11" t="n"/>
      <c r="AR56" s="11" t="n"/>
      <c r="AS56" s="11" t="n"/>
      <c r="AT56" s="11" t="n"/>
      <c r="AU56" s="11" t="n"/>
      <c r="AV56" s="11" t="n"/>
      <c r="AW56" s="11">
        <f>AF56&amp;"; "&amp;AG56&amp;"; "&amp;AH56&amp;"; "&amp;AI56&amp;"; "&amp;AJ56</f>
        <v/>
      </c>
    </row>
    <row r="57">
      <c r="A57" s="11" t="inlineStr">
        <is>
          <t>T0691-G02-CIE</t>
        </is>
      </c>
      <c r="B57" s="11" t="n">
        <v>2</v>
      </c>
      <c r="C57" s="11" t="inlineStr">
        <is>
          <t>Ciencias</t>
        </is>
      </c>
      <c r="D57" s="11" t="inlineStr">
        <is>
          <t>Matriz_Ciencias_2do_Grado_U1_U6_3.xlsx</t>
        </is>
      </c>
      <c r="E57" s="11" t="inlineStr">
        <is>
          <t>Unidad 5 - Objetos técnicos</t>
        </is>
      </c>
      <c r="F57" s="11" t="n">
        <v>6</v>
      </c>
      <c r="G57" s="11" t="inlineStr">
        <is>
          <t>5. Objetos técnicos.</t>
        </is>
      </c>
      <c r="H57" s="11" t="inlineStr">
        <is>
          <t>Estructuras.</t>
        </is>
      </c>
      <c r="I57" s="38" t="inlineStr">
        <is>
          <t>5.4. Registro de valores de la máxima resistencia que soporta una estructura.</t>
        </is>
      </c>
      <c r="J57" s="11" t="inlineStr">
        <is>
          <t>T4_27</t>
        </is>
      </c>
      <c r="K57" s="11" t="inlineStr">
        <is>
          <t>T4_27-P6.1</t>
        </is>
      </c>
      <c r="L57" s="11" t="inlineStr"/>
      <c r="M57" s="11">
        <f>IF(K57="FUERA","Fuera del marco",IF(K57="N/A","Sin marco",IFERROR(INDEX('Datos - Catálogo TIMSS'!$C$5:$C$107,MATCH(K57,'Datos - Catálogo TIMSS'!$A$5:$A$107,0)),"Pendiente de clasificar")))</f>
        <v/>
      </c>
      <c r="N57" s="11">
        <f>IF(K57="FUERA","Fuera del marco",IF(K57="N/A","Sin marco",IFERROR(INDEX('Datos - Catálogo TIMSS'!$F$5:$F$107,MATCH(K57,'Datos - Catálogo TIMSS'!$A$5:$A$107,0)),"Pendiente de clasificar")))</f>
        <v/>
      </c>
      <c r="O57" s="11">
        <f>IF(L57="","",IFERROR(INDEX('Datos - Catálogo TIMSS'!$C$5:$C$107,MATCH(L57,'Datos - Catálogo TIMSS'!$A$5:$A$107,0)),"?"))</f>
        <v/>
      </c>
      <c r="P57" s="11" t="inlineStr">
        <is>
          <t>baja</t>
        </is>
      </c>
      <c r="Q57" s="38" t="inlineStr">
        <is>
          <t>Predice, prueba y registra carga; práctica investigativa en contexto tecnológico.</t>
        </is>
      </c>
      <c r="R57" s="38" t="inlineStr">
        <is>
          <t>Razonar: predecir y extraer conclusiones sencillas</t>
        </is>
      </c>
      <c r="S57" s="39">
        <f>IFERROR(ISNUMBER(SEARCH("Conocer",$R57))/(ISNUMBER(SEARCH("Conocer",$R57))+ISNUMBER(SEARCH("Aplicar",$R57))+ISNUMBER(SEARCH("Razonar",$R57))),0)</f>
        <v/>
      </c>
      <c r="T57" s="39">
        <f>IFERROR(ISNUMBER(SEARCH("Aplicar",$R57))/(ISNUMBER(SEARCH("Conocer",$R57))+ISNUMBER(SEARCH("Aplicar",$R57))+ISNUMBER(SEARCH("Razonar",$R57))),0)</f>
        <v/>
      </c>
      <c r="U57" s="39">
        <f>IFERROR(ISNUMBER(SEARCH("Razonar",$R57))/(ISNUMBER(SEARCH("Conocer",$R57))+ISNUMBER(SEARCH("Aplicar",$R57))+ISNUMBER(SEARCH("Razonar",$R57))),0)</f>
        <v/>
      </c>
      <c r="V57" s="11" t="inlineStr">
        <is>
          <t>2°</t>
        </is>
      </c>
      <c r="W57" s="11" t="inlineStr">
        <is>
          <t>Ciclo 2°–4°</t>
        </is>
      </c>
      <c r="X57" s="11">
        <f>IF(OR(IFERROR(INDEX('Datos - Catálogo TIMSS'!$I$5:$I$107,MATCH(K57,'Datos - Catálogo TIMSS'!$A$5:$A$107,0)),"No")="Sí",IFERROR(INDEX('Datos - Catálogo TIMSS'!$I$5:$I$107,MATCH(L57,'Datos - Catálogo TIMSS'!$A$5:$A$107,0)),"No")="Sí"),1,0)</f>
        <v/>
      </c>
      <c r="Y57" s="11">
        <f>IF(IFERROR(INDEX('Datos - Catálogo TIMSS'!$J$5:$J$107,MATCH(K57,'Datos - Catálogo TIMSS'!$A$5:$A$107,0)),"No")="Sí",1,0)</f>
        <v/>
      </c>
      <c r="Z57" s="11">
        <f>IF(IFERROR(INDEX('Datos - Catálogo TIMSS'!$J$5:$J$107,MATCH(L57,'Datos - Catálogo TIMSS'!$A$5:$A$107,0)),"No")="Sí",1,0)</f>
        <v/>
      </c>
      <c r="AA57" s="11" t="inlineStr">
        <is>
          <t>FUERA</t>
        </is>
      </c>
      <c r="AB57" s="11" t="inlineStr"/>
      <c r="AC57" s="11">
        <f>IF(AA57="FUERA","Fuera del marco",IF(AA57="N/A","Sin marco",IFERROR(INDEX('Datos - TIMSS 2023'!$C$5:$C$105,MATCH(AA57,'Datos - TIMSS 2023'!$A$5:$A$105,0)),"Pendiente de clasificar")))</f>
        <v/>
      </c>
      <c r="AD57" s="11" t="inlineStr">
        <is>
          <t>2. Construir y evaluar diseños para la indagación científica e interpretar datos y evidencia de forma crítica</t>
        </is>
      </c>
      <c r="AE57" s="11">
        <f>IF(AD57="","",IF(LEFT(AD57,1)="1","C1",IF(LEFT(AD57,1)="2","C2",IF(LEFT(AD57,1)="3","C3",""))))</f>
        <v/>
      </c>
      <c r="AF57" s="11" t="inlineStr">
        <is>
          <t>E1</t>
        </is>
      </c>
      <c r="AG57" s="11" t="inlineStr">
        <is>
          <t>E3</t>
        </is>
      </c>
      <c r="AH57" s="11" t="inlineStr">
        <is>
          <t>E1</t>
        </is>
      </c>
      <c r="AI57" s="11" t="inlineStr">
        <is>
          <t>D4</t>
        </is>
      </c>
      <c r="AJ57" s="11" t="inlineStr">
        <is>
          <t>I3</t>
        </is>
      </c>
      <c r="AK57" s="11" t="n"/>
      <c r="AL57" s="11" t="n"/>
      <c r="AM57" s="11" t="n"/>
      <c r="AN57" s="11" t="n"/>
      <c r="AO57" s="11" t="n"/>
      <c r="AP57" s="11" t="n"/>
      <c r="AQ57" s="11" t="n"/>
      <c r="AR57" s="11" t="n"/>
      <c r="AS57" s="11" t="n"/>
      <c r="AT57" s="11" t="n"/>
      <c r="AU57" s="11" t="n"/>
      <c r="AV57" s="11" t="n"/>
      <c r="AW57" s="11">
        <f>AF57&amp;"; "&amp;AG57&amp;"; "&amp;AH57&amp;"; "&amp;AI57&amp;"; "&amp;AJ57</f>
        <v/>
      </c>
    </row>
    <row r="58">
      <c r="A58" s="11" t="inlineStr">
        <is>
          <t>T0692-G02-CIE</t>
        </is>
      </c>
      <c r="B58" s="11" t="n">
        <v>2</v>
      </c>
      <c r="C58" s="11" t="inlineStr">
        <is>
          <t>Ciencias</t>
        </is>
      </c>
      <c r="D58" s="11" t="inlineStr">
        <is>
          <t>Matriz_Ciencias_2do_Grado_U1_U6_3.xlsx</t>
        </is>
      </c>
      <c r="E58" s="11" t="inlineStr">
        <is>
          <t>Unidad 5 - Objetos técnicos</t>
        </is>
      </c>
      <c r="F58" s="11" t="n">
        <v>7</v>
      </c>
      <c r="G58" s="11" t="inlineStr">
        <is>
          <t>5. Objetos técnicos.</t>
        </is>
      </c>
      <c r="H58" s="11" t="inlineStr">
        <is>
          <t>Transformaciones.</t>
        </is>
      </c>
      <c r="I58" s="38" t="inlineStr">
        <is>
          <t>5.5. Construcción de un dispositivo transformador de energía (molinete de viento).</t>
        </is>
      </c>
      <c r="J58" s="11" t="inlineStr">
        <is>
          <t>T4_27</t>
        </is>
      </c>
      <c r="K58" s="11" t="inlineStr">
        <is>
          <t>T4_27-P2.1</t>
        </is>
      </c>
      <c r="L58" s="11" t="inlineStr"/>
      <c r="M58" s="11">
        <f>IF(K58="FUERA","Fuera del marco",IF(K58="N/A","Sin marco",IFERROR(INDEX('Datos - Catálogo TIMSS'!$C$5:$C$107,MATCH(K58,'Datos - Catálogo TIMSS'!$A$5:$A$107,0)),"Pendiente de clasificar")))</f>
        <v/>
      </c>
      <c r="N58" s="11">
        <f>IF(K58="FUERA","Fuera del marco",IF(K58="N/A","Sin marco",IFERROR(INDEX('Datos - Catálogo TIMSS'!$F$5:$F$107,MATCH(K58,'Datos - Catálogo TIMSS'!$A$5:$A$107,0)),"Pendiente de clasificar")))</f>
        <v/>
      </c>
      <c r="O58" s="11">
        <f>IF(L58="","",IFERROR(INDEX('Datos - Catálogo TIMSS'!$C$5:$C$107,MATCH(L58,'Datos - Catálogo TIMSS'!$A$5:$A$107,0)),"?"))</f>
        <v/>
      </c>
      <c r="P58" s="11" t="inlineStr">
        <is>
          <t>media</t>
        </is>
      </c>
      <c r="Q58" s="38" t="inlineStr">
        <is>
          <t>Molinete: energía del viento transformada en movimiento.</t>
        </is>
      </c>
      <c r="R58" s="38" t="inlineStr">
        <is>
          <t>Aplicar: relacionar</t>
        </is>
      </c>
      <c r="S58" s="39">
        <f>IFERROR(ISNUMBER(SEARCH("Conocer",$R58))/(ISNUMBER(SEARCH("Conocer",$R58))+ISNUMBER(SEARCH("Aplicar",$R58))+ISNUMBER(SEARCH("Razonar",$R58))),0)</f>
        <v/>
      </c>
      <c r="T58" s="39">
        <f>IFERROR(ISNUMBER(SEARCH("Aplicar",$R58))/(ISNUMBER(SEARCH("Conocer",$R58))+ISNUMBER(SEARCH("Aplicar",$R58))+ISNUMBER(SEARCH("Razonar",$R58))),0)</f>
        <v/>
      </c>
      <c r="U58" s="39">
        <f>IFERROR(ISNUMBER(SEARCH("Razonar",$R58))/(ISNUMBER(SEARCH("Conocer",$R58))+ISNUMBER(SEARCH("Aplicar",$R58))+ISNUMBER(SEARCH("Razonar",$R58))),0)</f>
        <v/>
      </c>
      <c r="V58" s="11" t="inlineStr">
        <is>
          <t>2°</t>
        </is>
      </c>
      <c r="W58" s="11" t="inlineStr">
        <is>
          <t>Ciclo 2°–4°</t>
        </is>
      </c>
      <c r="X58" s="11">
        <f>IF(OR(IFERROR(INDEX('Datos - Catálogo TIMSS'!$I$5:$I$107,MATCH(K58,'Datos - Catálogo TIMSS'!$A$5:$A$107,0)),"No")="Sí",IFERROR(INDEX('Datos - Catálogo TIMSS'!$I$5:$I$107,MATCH(L58,'Datos - Catálogo TIMSS'!$A$5:$A$107,0)),"No")="Sí"),1,0)</f>
        <v/>
      </c>
      <c r="Y58" s="11">
        <f>IF(IFERROR(INDEX('Datos - Catálogo TIMSS'!$J$5:$J$107,MATCH(K58,'Datos - Catálogo TIMSS'!$A$5:$A$107,0)),"No")="Sí",1,0)</f>
        <v/>
      </c>
      <c r="Z58" s="11">
        <f>IF(IFERROR(INDEX('Datos - Catálogo TIMSS'!$J$5:$J$107,MATCH(L58,'Datos - Catálogo TIMSS'!$A$5:$A$107,0)),"No")="Sí",1,0)</f>
        <v/>
      </c>
      <c r="AA58" s="11" t="inlineStr">
        <is>
          <t>T4-F2.1</t>
        </is>
      </c>
      <c r="AB58" s="11" t="inlineStr"/>
      <c r="AC58" s="11">
        <f>IF(AA58="FUERA","Fuera del marco",IF(AA58="N/A","Sin marco",IFERROR(INDEX('Datos - TIMSS 2023'!$C$5:$C$105,MATCH(AA58,'Datos - TIMSS 2023'!$A$5:$A$105,0)),"Pendiente de clasificar")))</f>
        <v/>
      </c>
      <c r="AD58" s="11" t="inlineStr">
        <is>
          <t>1. Explicar fenómenos científicamente</t>
        </is>
      </c>
      <c r="AE58" s="11">
        <f>IF(AD58="","",IF(LEFT(AD58,1)="1","C1",IF(LEFT(AD58,1)="2","C2",IF(LEFT(AD58,1)="3","C3",""))))</f>
        <v/>
      </c>
      <c r="AF58" s="11" t="inlineStr">
        <is>
          <t>E1</t>
        </is>
      </c>
      <c r="AG58" s="11" t="inlineStr">
        <is>
          <t>E5</t>
        </is>
      </c>
      <c r="AH58" s="11" t="inlineStr">
        <is>
          <t>E4</t>
        </is>
      </c>
      <c r="AI58" s="11" t="inlineStr">
        <is>
          <t>D2</t>
        </is>
      </c>
      <c r="AJ58" s="11" t="inlineStr">
        <is>
          <t>E6</t>
        </is>
      </c>
      <c r="AK58" s="11" t="n"/>
      <c r="AL58" s="11" t="n"/>
      <c r="AM58" s="11" t="n"/>
      <c r="AN58" s="11" t="n"/>
      <c r="AO58" s="11" t="n"/>
      <c r="AP58" s="11" t="n"/>
      <c r="AQ58" s="11" t="n"/>
      <c r="AR58" s="11" t="n"/>
      <c r="AS58" s="11" t="n"/>
      <c r="AT58" s="11" t="n"/>
      <c r="AU58" s="11" t="n"/>
      <c r="AV58" s="11" t="n"/>
      <c r="AW58" s="11">
        <f>AF58&amp;"; "&amp;AG58&amp;"; "&amp;AH58&amp;"; "&amp;AI58&amp;"; "&amp;AJ58</f>
        <v/>
      </c>
    </row>
    <row r="59">
      <c r="A59" s="11" t="inlineStr">
        <is>
          <t>T0693-G02-CIE</t>
        </is>
      </c>
      <c r="B59" s="11" t="n">
        <v>2</v>
      </c>
      <c r="C59" s="11" t="inlineStr">
        <is>
          <t>Ciencias</t>
        </is>
      </c>
      <c r="D59" s="11" t="inlineStr">
        <is>
          <t>Matriz_Ciencias_2do_Grado_U1_U6_3.xlsx</t>
        </is>
      </c>
      <c r="E59" s="11" t="inlineStr">
        <is>
          <t>Unidad 5 - Objetos técnicos</t>
        </is>
      </c>
      <c r="F59" s="11" t="n">
        <v>8</v>
      </c>
      <c r="G59" s="11" t="inlineStr">
        <is>
          <t>5. Objetos técnicos.</t>
        </is>
      </c>
      <c r="H59" s="11" t="inlineStr">
        <is>
          <t>Transformaciones.</t>
        </is>
      </c>
      <c r="I59" s="38" t="inlineStr">
        <is>
          <t>5.6. Indagación de cómo optimizar un dispositivo de transformación de energía.</t>
        </is>
      </c>
      <c r="J59" s="11" t="inlineStr">
        <is>
          <t>T4_27</t>
        </is>
      </c>
      <c r="K59" s="11" t="inlineStr">
        <is>
          <t>T4_27-P6.1</t>
        </is>
      </c>
      <c r="L59" s="11" t="inlineStr"/>
      <c r="M59" s="11">
        <f>IF(K59="FUERA","Fuera del marco",IF(K59="N/A","Sin marco",IFERROR(INDEX('Datos - Catálogo TIMSS'!$C$5:$C$107,MATCH(K59,'Datos - Catálogo TIMSS'!$A$5:$A$107,0)),"Pendiente de clasificar")))</f>
        <v/>
      </c>
      <c r="N59" s="11">
        <f>IF(K59="FUERA","Fuera del marco",IF(K59="N/A","Sin marco",IFERROR(INDEX('Datos - Catálogo TIMSS'!$F$5:$F$107,MATCH(K59,'Datos - Catálogo TIMSS'!$A$5:$A$107,0)),"Pendiente de clasificar")))</f>
        <v/>
      </c>
      <c r="O59" s="11">
        <f>IF(L59="","",IFERROR(INDEX('Datos - Catálogo TIMSS'!$C$5:$C$107,MATCH(L59,'Datos - Catálogo TIMSS'!$A$5:$A$107,0)),"?"))</f>
        <v/>
      </c>
      <c r="P59" s="11" t="inlineStr">
        <is>
          <t>baja</t>
        </is>
      </c>
      <c r="Q59" s="38" t="inlineStr">
        <is>
          <t>Prueba variables del molinete y compara; diseño tecnológico con indagación.</t>
        </is>
      </c>
      <c r="R59" s="38" t="inlineStr">
        <is>
          <t>Razonar: evaluar y mejorar</t>
        </is>
      </c>
      <c r="S59" s="39">
        <f>IFERROR(ISNUMBER(SEARCH("Conocer",$R59))/(ISNUMBER(SEARCH("Conocer",$R59))+ISNUMBER(SEARCH("Aplicar",$R59))+ISNUMBER(SEARCH("Razonar",$R59))),0)</f>
        <v/>
      </c>
      <c r="T59" s="39">
        <f>IFERROR(ISNUMBER(SEARCH("Aplicar",$R59))/(ISNUMBER(SEARCH("Conocer",$R59))+ISNUMBER(SEARCH("Aplicar",$R59))+ISNUMBER(SEARCH("Razonar",$R59))),0)</f>
        <v/>
      </c>
      <c r="U59" s="39">
        <f>IFERROR(ISNUMBER(SEARCH("Razonar",$R59))/(ISNUMBER(SEARCH("Conocer",$R59))+ISNUMBER(SEARCH("Aplicar",$R59))+ISNUMBER(SEARCH("Razonar",$R59))),0)</f>
        <v/>
      </c>
      <c r="V59" s="11" t="inlineStr">
        <is>
          <t>2°</t>
        </is>
      </c>
      <c r="W59" s="11" t="inlineStr">
        <is>
          <t>Ciclo 2°–4°</t>
        </is>
      </c>
      <c r="X59" s="11">
        <f>IF(OR(IFERROR(INDEX('Datos - Catálogo TIMSS'!$I$5:$I$107,MATCH(K59,'Datos - Catálogo TIMSS'!$A$5:$A$107,0)),"No")="Sí",IFERROR(INDEX('Datos - Catálogo TIMSS'!$I$5:$I$107,MATCH(L59,'Datos - Catálogo TIMSS'!$A$5:$A$107,0)),"No")="Sí"),1,0)</f>
        <v/>
      </c>
      <c r="Y59" s="11">
        <f>IF(IFERROR(INDEX('Datos - Catálogo TIMSS'!$J$5:$J$107,MATCH(K59,'Datos - Catálogo TIMSS'!$A$5:$A$107,0)),"No")="Sí",1,0)</f>
        <v/>
      </c>
      <c r="Z59" s="11">
        <f>IF(IFERROR(INDEX('Datos - Catálogo TIMSS'!$J$5:$J$107,MATCH(L59,'Datos - Catálogo TIMSS'!$A$5:$A$107,0)),"No")="Sí",1,0)</f>
        <v/>
      </c>
      <c r="AA59" s="11" t="inlineStr">
        <is>
          <t>FUERA</t>
        </is>
      </c>
      <c r="AB59" s="11" t="inlineStr"/>
      <c r="AC59" s="11">
        <f>IF(AA59="FUERA","Fuera del marco",IF(AA59="N/A","Sin marco",IFERROR(INDEX('Datos - TIMSS 2023'!$C$5:$C$105,MATCH(AA59,'Datos - TIMSS 2023'!$A$5:$A$105,0)),"Pendiente de clasificar")))</f>
        <v/>
      </c>
      <c r="AD59" s="11" t="inlineStr">
        <is>
          <t>2. Construir y evaluar diseños para la indagación científica e interpretar datos y evidencia de forma crítica</t>
        </is>
      </c>
      <c r="AE59" s="11">
        <f>IF(AD59="","",IF(LEFT(AD59,1)="1","C1",IF(LEFT(AD59,1)="2","C2",IF(LEFT(AD59,1)="3","C3",""))))</f>
        <v/>
      </c>
      <c r="AF59" s="11" t="inlineStr">
        <is>
          <t>E1</t>
        </is>
      </c>
      <c r="AG59" s="11" t="inlineStr">
        <is>
          <t>D1</t>
        </is>
      </c>
      <c r="AH59" s="11" t="inlineStr">
        <is>
          <t>E1</t>
        </is>
      </c>
      <c r="AI59" s="11" t="inlineStr">
        <is>
          <t>D3</t>
        </is>
      </c>
      <c r="AJ59" s="11" t="inlineStr">
        <is>
          <t>I5</t>
        </is>
      </c>
      <c r="AK59" s="11" t="n"/>
      <c r="AL59" s="11" t="n"/>
      <c r="AM59" s="11" t="n"/>
      <c r="AN59" s="11" t="n"/>
      <c r="AO59" s="11" t="n"/>
      <c r="AP59" s="11" t="n"/>
      <c r="AQ59" s="11" t="n"/>
      <c r="AR59" s="11" t="n"/>
      <c r="AS59" s="11" t="n"/>
      <c r="AT59" s="11" t="n"/>
      <c r="AU59" s="11" t="n"/>
      <c r="AV59" s="11" t="n"/>
      <c r="AW59" s="11">
        <f>AF59&amp;"; "&amp;AG59&amp;"; "&amp;AH59&amp;"; "&amp;AI59&amp;"; "&amp;AJ59</f>
        <v/>
      </c>
    </row>
    <row r="60">
      <c r="A60" s="11" t="inlineStr">
        <is>
          <t>T0694-G02-CIE</t>
        </is>
      </c>
      <c r="B60" s="11" t="n">
        <v>2</v>
      </c>
      <c r="C60" s="11" t="inlineStr">
        <is>
          <t>Ciencias</t>
        </is>
      </c>
      <c r="D60" s="11" t="inlineStr">
        <is>
          <t>Matriz_Ciencias_2do_Grado_U1_U6_3.xlsx</t>
        </is>
      </c>
      <c r="E60" s="11" t="inlineStr">
        <is>
          <t>Unidad 5 - Objetos técnicos</t>
        </is>
      </c>
      <c r="F60" s="11" t="n">
        <v>9</v>
      </c>
      <c r="G60" s="11" t="inlineStr">
        <is>
          <t>5. Objetos técnicos.</t>
        </is>
      </c>
      <c r="H60" s="11" t="inlineStr">
        <is>
          <t>Cuidado de plantas y animales.</t>
        </is>
      </c>
      <c r="I60" s="38" t="inlineStr">
        <is>
          <t>5.7. Registro de tareas para el cuidado de un animal.</t>
        </is>
      </c>
      <c r="J60" s="11" t="inlineStr">
        <is>
          <t>T4_27</t>
        </is>
      </c>
      <c r="K60" s="11" t="inlineStr">
        <is>
          <t>T4_27-B1.1</t>
        </is>
      </c>
      <c r="L60" s="11" t="inlineStr"/>
      <c r="M60" s="11">
        <f>IF(K60="FUERA","Fuera del marco",IF(K60="N/A","Sin marco",IFERROR(INDEX('Datos - Catálogo TIMSS'!$C$5:$C$107,MATCH(K60,'Datos - Catálogo TIMSS'!$A$5:$A$107,0)),"Pendiente de clasificar")))</f>
        <v/>
      </c>
      <c r="N60" s="11">
        <f>IF(K60="FUERA","Fuera del marco",IF(K60="N/A","Sin marco",IFERROR(INDEX('Datos - Catálogo TIMSS'!$F$5:$F$107,MATCH(K60,'Datos - Catálogo TIMSS'!$A$5:$A$107,0)),"Pendiente de clasificar")))</f>
        <v/>
      </c>
      <c r="O60" s="11">
        <f>IF(L60="","",IFERROR(INDEX('Datos - Catálogo TIMSS'!$C$5:$C$107,MATCH(L60,'Datos - Catálogo TIMSS'!$A$5:$A$107,0)),"?"))</f>
        <v/>
      </c>
      <c r="P60" s="11" t="inlineStr">
        <is>
          <t>media</t>
        </is>
      </c>
      <c r="Q60" s="38" t="inlineStr">
        <is>
          <t>Cuidado de un animal según sus necesidades: agua y alimento.</t>
        </is>
      </c>
      <c r="R60" s="38" t="inlineStr">
        <is>
          <t>Aplicar: relacionar</t>
        </is>
      </c>
      <c r="S60" s="39">
        <f>IFERROR(ISNUMBER(SEARCH("Conocer",$R60))/(ISNUMBER(SEARCH("Conocer",$R60))+ISNUMBER(SEARCH("Aplicar",$R60))+ISNUMBER(SEARCH("Razonar",$R60))),0)</f>
        <v/>
      </c>
      <c r="T60" s="39">
        <f>IFERROR(ISNUMBER(SEARCH("Aplicar",$R60))/(ISNUMBER(SEARCH("Conocer",$R60))+ISNUMBER(SEARCH("Aplicar",$R60))+ISNUMBER(SEARCH("Razonar",$R60))),0)</f>
        <v/>
      </c>
      <c r="U60" s="39">
        <f>IFERROR(ISNUMBER(SEARCH("Razonar",$R60))/(ISNUMBER(SEARCH("Conocer",$R60))+ISNUMBER(SEARCH("Aplicar",$R60))+ISNUMBER(SEARCH("Razonar",$R60))),0)</f>
        <v/>
      </c>
      <c r="V60" s="11" t="inlineStr">
        <is>
          <t>2°</t>
        </is>
      </c>
      <c r="W60" s="11" t="inlineStr">
        <is>
          <t>Ciclo 2°–4°</t>
        </is>
      </c>
      <c r="X60" s="11">
        <f>IF(OR(IFERROR(INDEX('Datos - Catálogo TIMSS'!$I$5:$I$107,MATCH(K60,'Datos - Catálogo TIMSS'!$A$5:$A$107,0)),"No")="Sí",IFERROR(INDEX('Datos - Catálogo TIMSS'!$I$5:$I$107,MATCH(L60,'Datos - Catálogo TIMSS'!$A$5:$A$107,0)),"No")="Sí"),1,0)</f>
        <v/>
      </c>
      <c r="Y60" s="11">
        <f>IF(IFERROR(INDEX('Datos - Catálogo TIMSS'!$J$5:$J$107,MATCH(K60,'Datos - Catálogo TIMSS'!$A$5:$A$107,0)),"No")="Sí",1,0)</f>
        <v/>
      </c>
      <c r="Z60" s="11">
        <f>IF(IFERROR(INDEX('Datos - Catálogo TIMSS'!$J$5:$J$107,MATCH(L60,'Datos - Catálogo TIMSS'!$A$5:$A$107,0)),"No")="Sí",1,0)</f>
        <v/>
      </c>
      <c r="AA60" s="11" t="inlineStr">
        <is>
          <t>T4-V1.1</t>
        </is>
      </c>
      <c r="AB60" s="11" t="inlineStr"/>
      <c r="AC60" s="11">
        <f>IF(AA60="FUERA","Fuera del marco",IF(AA60="N/A","Sin marco",IFERROR(INDEX('Datos - TIMSS 2023'!$C$5:$C$105,MATCH(AA60,'Datos - TIMSS 2023'!$A$5:$A$105,0)),"Pendiente de clasificar")))</f>
        <v/>
      </c>
      <c r="AD60" s="11" t="inlineStr">
        <is>
          <t>3. Investigar, evaluar y usar información científica para tomar decisiones y actuar</t>
        </is>
      </c>
      <c r="AE60" s="11">
        <f>IF(AD60="","",IF(LEFT(AD60,1)="1","C1",IF(LEFT(AD60,1)="2","C2",IF(LEFT(AD60,1)="3","C3",""))))</f>
        <v/>
      </c>
      <c r="AF60" s="11" t="inlineStr">
        <is>
          <t>E1</t>
        </is>
      </c>
      <c r="AG60" s="11" t="inlineStr">
        <is>
          <t>D1</t>
        </is>
      </c>
      <c r="AH60" s="11" t="inlineStr">
        <is>
          <t>E1</t>
        </is>
      </c>
      <c r="AI60" s="11" t="inlineStr">
        <is>
          <t>D4</t>
        </is>
      </c>
      <c r="AJ60" s="11" t="inlineStr">
        <is>
          <t>I5</t>
        </is>
      </c>
      <c r="AK60" s="11" t="n"/>
      <c r="AL60" s="11" t="n"/>
      <c r="AM60" s="11" t="n"/>
      <c r="AN60" s="11" t="n"/>
      <c r="AO60" s="11" t="n"/>
      <c r="AP60" s="11" t="n"/>
      <c r="AQ60" s="11" t="n"/>
      <c r="AR60" s="11" t="n"/>
      <c r="AS60" s="11" t="n"/>
      <c r="AT60" s="11" t="n"/>
      <c r="AU60" s="11" t="n"/>
      <c r="AV60" s="11" t="n"/>
      <c r="AW60" s="11">
        <f>AF60&amp;"; "&amp;AG60&amp;"; "&amp;AH60&amp;"; "&amp;AI60&amp;"; "&amp;AJ60</f>
        <v/>
      </c>
    </row>
    <row r="61">
      <c r="A61" s="11" t="inlineStr">
        <is>
          <t>T0695-G02-CIE</t>
        </is>
      </c>
      <c r="B61" s="11" t="n">
        <v>2</v>
      </c>
      <c r="C61" s="11" t="inlineStr">
        <is>
          <t>Ciencias</t>
        </is>
      </c>
      <c r="D61" s="11" t="inlineStr">
        <is>
          <t>Matriz_Ciencias_2do_Grado_U1_U6_3.xlsx</t>
        </is>
      </c>
      <c r="E61" s="11" t="inlineStr">
        <is>
          <t>Unidad 5 - Objetos técnicos</t>
        </is>
      </c>
      <c r="F61" s="11" t="n">
        <v>10</v>
      </c>
      <c r="G61" s="11" t="inlineStr">
        <is>
          <t>5. Objetos técnicos.</t>
        </is>
      </c>
      <c r="H61" s="11" t="inlineStr">
        <is>
          <t>Cuidado de plantas y animales.</t>
        </is>
      </c>
      <c r="I61" s="38" t="inlineStr">
        <is>
          <t>5.8. Construcción de una estructura para cuidar animales silvestres (bebedero o comedero de aves).</t>
        </is>
      </c>
      <c r="J61" s="11" t="inlineStr">
        <is>
          <t>T4_27</t>
        </is>
      </c>
      <c r="K61" s="11" t="inlineStr">
        <is>
          <t>T4_27-B4.3</t>
        </is>
      </c>
      <c r="L61" s="11" t="inlineStr"/>
      <c r="M61" s="11">
        <f>IF(K61="FUERA","Fuera del marco",IF(K61="N/A","Sin marco",IFERROR(INDEX('Datos - Catálogo TIMSS'!$C$5:$C$107,MATCH(K61,'Datos - Catálogo TIMSS'!$A$5:$A$107,0)),"Pendiente de clasificar")))</f>
        <v/>
      </c>
      <c r="N61" s="11">
        <f>IF(K61="FUERA","Fuera del marco",IF(K61="N/A","Sin marco",IFERROR(INDEX('Datos - Catálogo TIMSS'!$F$5:$F$107,MATCH(K61,'Datos - Catálogo TIMSS'!$A$5:$A$107,0)),"Pendiente de clasificar")))</f>
        <v/>
      </c>
      <c r="O61" s="11">
        <f>IF(L61="","",IFERROR(INDEX('Datos - Catálogo TIMSS'!$C$5:$C$107,MATCH(L61,'Datos - Catálogo TIMSS'!$A$5:$A$107,0)),"?"))</f>
        <v/>
      </c>
      <c r="P61" s="11" t="inlineStr">
        <is>
          <t>media</t>
        </is>
      </c>
      <c r="Q61" s="38" t="inlineStr">
        <is>
          <t>Acción humana positiva para animales silvestres.</t>
        </is>
      </c>
      <c r="R61" s="38" t="inlineStr">
        <is>
          <t>Razonar: diseñar y evaluar</t>
        </is>
      </c>
      <c r="S61" s="39">
        <f>IFERROR(ISNUMBER(SEARCH("Conocer",$R61))/(ISNUMBER(SEARCH("Conocer",$R61))+ISNUMBER(SEARCH("Aplicar",$R61))+ISNUMBER(SEARCH("Razonar",$R61))),0)</f>
        <v/>
      </c>
      <c r="T61" s="39">
        <f>IFERROR(ISNUMBER(SEARCH("Aplicar",$R61))/(ISNUMBER(SEARCH("Conocer",$R61))+ISNUMBER(SEARCH("Aplicar",$R61))+ISNUMBER(SEARCH("Razonar",$R61))),0)</f>
        <v/>
      </c>
      <c r="U61" s="39">
        <f>IFERROR(ISNUMBER(SEARCH("Razonar",$R61))/(ISNUMBER(SEARCH("Conocer",$R61))+ISNUMBER(SEARCH("Aplicar",$R61))+ISNUMBER(SEARCH("Razonar",$R61))),0)</f>
        <v/>
      </c>
      <c r="V61" s="11" t="inlineStr">
        <is>
          <t>2°</t>
        </is>
      </c>
      <c r="W61" s="11" t="inlineStr">
        <is>
          <t>Ciclo 2°–4°</t>
        </is>
      </c>
      <c r="X61" s="11">
        <f>IF(OR(IFERROR(INDEX('Datos - Catálogo TIMSS'!$I$5:$I$107,MATCH(K61,'Datos - Catálogo TIMSS'!$A$5:$A$107,0)),"No")="Sí",IFERROR(INDEX('Datos - Catálogo TIMSS'!$I$5:$I$107,MATCH(L61,'Datos - Catálogo TIMSS'!$A$5:$A$107,0)),"No")="Sí"),1,0)</f>
        <v/>
      </c>
      <c r="Y61" s="11">
        <f>IF(IFERROR(INDEX('Datos - Catálogo TIMSS'!$J$5:$J$107,MATCH(K61,'Datos - Catálogo TIMSS'!$A$5:$A$107,0)),"No")="Sí",1,0)</f>
        <v/>
      </c>
      <c r="Z61" s="11">
        <f>IF(IFERROR(INDEX('Datos - Catálogo TIMSS'!$J$5:$J$107,MATCH(L61,'Datos - Catálogo TIMSS'!$A$5:$A$107,0)),"No")="Sí",1,0)</f>
        <v/>
      </c>
      <c r="AA61" s="11" t="inlineStr">
        <is>
          <t>T4-V3.3</t>
        </is>
      </c>
      <c r="AB61" s="11" t="inlineStr"/>
      <c r="AC61" s="11">
        <f>IF(AA61="FUERA","Fuera del marco",IF(AA61="N/A","Sin marco",IFERROR(INDEX('Datos - TIMSS 2023'!$C$5:$C$105,MATCH(AA61,'Datos - TIMSS 2023'!$A$5:$A$105,0)),"Pendiente de clasificar")))</f>
        <v/>
      </c>
      <c r="AD61" s="11" t="inlineStr">
        <is>
          <t>2. Construir y evaluar diseños para la indagación científica e interpretar datos y evidencia de forma crítica</t>
        </is>
      </c>
      <c r="AE61" s="11">
        <f>IF(AD61="","",IF(LEFT(AD61,1)="1","C1",IF(LEFT(AD61,1)="2","C2",IF(LEFT(AD61,1)="3","C3",""))))</f>
        <v/>
      </c>
      <c r="AF61" s="11" t="inlineStr">
        <is>
          <t>E1</t>
        </is>
      </c>
      <c r="AG61" s="11" t="inlineStr">
        <is>
          <t>D1</t>
        </is>
      </c>
      <c r="AH61" s="11" t="inlineStr">
        <is>
          <t>E1</t>
        </is>
      </c>
      <c r="AI61" s="11" t="inlineStr">
        <is>
          <t>D3</t>
        </is>
      </c>
      <c r="AJ61" s="11" t="inlineStr">
        <is>
          <t>E6</t>
        </is>
      </c>
      <c r="AK61" s="11" t="n"/>
      <c r="AL61" s="11" t="n"/>
      <c r="AM61" s="11" t="n"/>
      <c r="AN61" s="11" t="n"/>
      <c r="AO61" s="11" t="n"/>
      <c r="AP61" s="11" t="n"/>
      <c r="AQ61" s="11" t="n"/>
      <c r="AR61" s="11" t="n"/>
      <c r="AS61" s="11" t="n"/>
      <c r="AT61" s="11" t="n"/>
      <c r="AU61" s="11" t="n"/>
      <c r="AV61" s="11" t="n"/>
      <c r="AW61" s="11">
        <f>AF61&amp;"; "&amp;AG61&amp;"; "&amp;AH61&amp;"; "&amp;AI61&amp;"; "&amp;AJ61</f>
        <v/>
      </c>
    </row>
    <row r="62">
      <c r="A62" s="11" t="inlineStr">
        <is>
          <t>T0696-G02-CIE</t>
        </is>
      </c>
      <c r="B62" s="11" t="n">
        <v>2</v>
      </c>
      <c r="C62" s="11" t="inlineStr">
        <is>
          <t>Ciencias</t>
        </is>
      </c>
      <c r="D62" s="11" t="inlineStr">
        <is>
          <t>Matriz_Ciencias_2do_Grado_U1_U6_3.xlsx</t>
        </is>
      </c>
      <c r="E62" s="11" t="inlineStr">
        <is>
          <t>Unidad 5 - Objetos técnicos</t>
        </is>
      </c>
      <c r="F62" s="11" t="n">
        <v>11</v>
      </c>
      <c r="G62" s="11" t="inlineStr">
        <is>
          <t>5. Objetos técnicos.</t>
        </is>
      </c>
      <c r="H62" s="11" t="inlineStr">
        <is>
          <t>Cuidado de plantas y animales.</t>
        </is>
      </c>
      <c r="I62" s="38" t="inlineStr">
        <is>
          <t>5.9. Construcción y uso de terrarios.</t>
        </is>
      </c>
      <c r="J62" s="11" t="inlineStr">
        <is>
          <t>T4_27</t>
        </is>
      </c>
      <c r="K62" s="11" t="inlineStr">
        <is>
          <t>T4_27-B1.1</t>
        </is>
      </c>
      <c r="L62" s="11" t="inlineStr"/>
      <c r="M62" s="11">
        <f>IF(K62="FUERA","Fuera del marco",IF(K62="N/A","Sin marco",IFERROR(INDEX('Datos - Catálogo TIMSS'!$C$5:$C$107,MATCH(K62,'Datos - Catálogo TIMSS'!$A$5:$A$107,0)),"Pendiente de clasificar")))</f>
        <v/>
      </c>
      <c r="N62" s="11">
        <f>IF(K62="FUERA","Fuera del marco",IF(K62="N/A","Sin marco",IFERROR(INDEX('Datos - Catálogo TIMSS'!$F$5:$F$107,MATCH(K62,'Datos - Catálogo TIMSS'!$A$5:$A$107,0)),"Pendiente de clasificar")))</f>
        <v/>
      </c>
      <c r="O62" s="11">
        <f>IF(L62="","",IFERROR(INDEX('Datos - Catálogo TIMSS'!$C$5:$C$107,MATCH(L62,'Datos - Catálogo TIMSS'!$A$5:$A$107,0)),"?"))</f>
        <v/>
      </c>
      <c r="P62" s="11" t="inlineStr">
        <is>
          <t>alta</t>
        </is>
      </c>
      <c r="Q62" s="38" t="inlineStr">
        <is>
          <t>Terrario: lo que las plantas necesitan para vivir.</t>
        </is>
      </c>
      <c r="R62" s="38" t="inlineStr">
        <is>
          <t>Razonar: predecir</t>
        </is>
      </c>
      <c r="S62" s="39">
        <f>IFERROR(ISNUMBER(SEARCH("Conocer",$R62))/(ISNUMBER(SEARCH("Conocer",$R62))+ISNUMBER(SEARCH("Aplicar",$R62))+ISNUMBER(SEARCH("Razonar",$R62))),0)</f>
        <v/>
      </c>
      <c r="T62" s="39">
        <f>IFERROR(ISNUMBER(SEARCH("Aplicar",$R62))/(ISNUMBER(SEARCH("Conocer",$R62))+ISNUMBER(SEARCH("Aplicar",$R62))+ISNUMBER(SEARCH("Razonar",$R62))),0)</f>
        <v/>
      </c>
      <c r="U62" s="39">
        <f>IFERROR(ISNUMBER(SEARCH("Razonar",$R62))/(ISNUMBER(SEARCH("Conocer",$R62))+ISNUMBER(SEARCH("Aplicar",$R62))+ISNUMBER(SEARCH("Razonar",$R62))),0)</f>
        <v/>
      </c>
      <c r="V62" s="11" t="inlineStr">
        <is>
          <t>2°</t>
        </is>
      </c>
      <c r="W62" s="11" t="inlineStr">
        <is>
          <t>Ciclo 2°–4°</t>
        </is>
      </c>
      <c r="X62" s="11">
        <f>IF(OR(IFERROR(INDEX('Datos - Catálogo TIMSS'!$I$5:$I$107,MATCH(K62,'Datos - Catálogo TIMSS'!$A$5:$A$107,0)),"No")="Sí",IFERROR(INDEX('Datos - Catálogo TIMSS'!$I$5:$I$107,MATCH(L62,'Datos - Catálogo TIMSS'!$A$5:$A$107,0)),"No")="Sí"),1,0)</f>
        <v/>
      </c>
      <c r="Y62" s="11">
        <f>IF(IFERROR(INDEX('Datos - Catálogo TIMSS'!$J$5:$J$107,MATCH(K62,'Datos - Catálogo TIMSS'!$A$5:$A$107,0)),"No")="Sí",1,0)</f>
        <v/>
      </c>
      <c r="Z62" s="11">
        <f>IF(IFERROR(INDEX('Datos - Catálogo TIMSS'!$J$5:$J$107,MATCH(L62,'Datos - Catálogo TIMSS'!$A$5:$A$107,0)),"No")="Sí",1,0)</f>
        <v/>
      </c>
      <c r="AA62" s="11" t="inlineStr">
        <is>
          <t>T4-V1.1</t>
        </is>
      </c>
      <c r="AB62" s="11" t="inlineStr">
        <is>
          <t>T4-V4.1</t>
        </is>
      </c>
      <c r="AC62" s="11">
        <f>IF(AA62="FUERA","Fuera del marco",IF(AA62="N/A","Sin marco",IFERROR(INDEX('Datos - TIMSS 2023'!$C$5:$C$105,MATCH(AA62,'Datos - TIMSS 2023'!$A$5:$A$105,0)),"Pendiente de clasificar")))</f>
        <v/>
      </c>
      <c r="AD62" s="11" t="inlineStr">
        <is>
          <t>2. Construir y evaluar diseños para la indagación científica e interpretar datos y evidencia de forma crítica</t>
        </is>
      </c>
      <c r="AE62" s="11">
        <f>IF(AD62="","",IF(LEFT(AD62,1)="1","C1",IF(LEFT(AD62,1)="2","C2",IF(LEFT(AD62,1)="3","C3",""))))</f>
        <v/>
      </c>
      <c r="AF62" s="11" t="inlineStr">
        <is>
          <t>E1</t>
        </is>
      </c>
      <c r="AG62" s="11" t="inlineStr">
        <is>
          <t>E3</t>
        </is>
      </c>
      <c r="AH62" s="11" t="inlineStr">
        <is>
          <t>E4</t>
        </is>
      </c>
      <c r="AI62" s="11" t="inlineStr">
        <is>
          <t>D4</t>
        </is>
      </c>
      <c r="AJ62" s="11" t="inlineStr">
        <is>
          <t>E4</t>
        </is>
      </c>
      <c r="AK62" s="11" t="n"/>
      <c r="AL62" s="11" t="n"/>
      <c r="AM62" s="11" t="n"/>
      <c r="AN62" s="11" t="n"/>
      <c r="AO62" s="11" t="n"/>
      <c r="AP62" s="11" t="n"/>
      <c r="AQ62" s="11" t="n"/>
      <c r="AR62" s="11" t="n"/>
      <c r="AS62" s="11" t="n"/>
      <c r="AT62" s="11" t="n"/>
      <c r="AU62" s="11" t="n"/>
      <c r="AV62" s="11" t="n"/>
      <c r="AW62" s="11">
        <f>AF62&amp;"; "&amp;AG62&amp;"; "&amp;AH62&amp;"; "&amp;AI62&amp;"; "&amp;AJ62</f>
        <v/>
      </c>
    </row>
    <row r="63">
      <c r="A63" s="11" t="inlineStr">
        <is>
          <t>T0697-G02-CIE</t>
        </is>
      </c>
      <c r="B63" s="11" t="n">
        <v>2</v>
      </c>
      <c r="C63" s="11" t="inlineStr">
        <is>
          <t>Ciencias</t>
        </is>
      </c>
      <c r="D63" s="11" t="inlineStr">
        <is>
          <t>Matriz_Ciencias_2do_Grado_U1_U6_3.xlsx</t>
        </is>
      </c>
      <c r="E63" s="11" t="inlineStr">
        <is>
          <t>Unidad 6 - Ambiente y salud</t>
        </is>
      </c>
      <c r="F63" s="11" t="n">
        <v>3</v>
      </c>
      <c r="G63" s="11" t="inlineStr">
        <is>
          <t>6. Ambiente y salud.</t>
        </is>
      </c>
      <c r="H63" s="11" t="inlineStr">
        <is>
          <t>Peligros en la escuela y el hogar.</t>
        </is>
      </c>
      <c r="I63" s="38" t="inlineStr">
        <is>
          <t>6.1. Reconocimiento y prevención de accidentes comunes.</t>
        </is>
      </c>
      <c r="J63" s="11" t="inlineStr">
        <is>
          <t>T4_27</t>
        </is>
      </c>
      <c r="K63" s="11" t="inlineStr">
        <is>
          <t>FUERA</t>
        </is>
      </c>
      <c r="L63" s="11" t="inlineStr"/>
      <c r="M63" s="11">
        <f>IF(K63="FUERA","Fuera del marco",IF(K63="N/A","Sin marco",IFERROR(INDEX('Datos - Catálogo TIMSS'!$C$5:$C$107,MATCH(K63,'Datos - Catálogo TIMSS'!$A$5:$A$107,0)),"Pendiente de clasificar")))</f>
        <v/>
      </c>
      <c r="N63" s="11">
        <f>IF(K63="FUERA","Fuera del marco",IF(K63="N/A","Sin marco",IFERROR(INDEX('Datos - Catálogo TIMSS'!$F$5:$F$107,MATCH(K63,'Datos - Catálogo TIMSS'!$A$5:$A$107,0)),"Pendiente de clasificar")))</f>
        <v/>
      </c>
      <c r="O63" s="11">
        <f>IF(L63="","",IFERROR(INDEX('Datos - Catálogo TIMSS'!$C$5:$C$107,MATCH(L63,'Datos - Catálogo TIMSS'!$A$5:$A$107,0)),"?"))</f>
        <v/>
      </c>
      <c r="P63" s="11" t="inlineStr">
        <is>
          <t>alta</t>
        </is>
      </c>
      <c r="Q63" s="38" t="inlineStr">
        <is>
          <t>Prevención de accidentes: gestión de riesgos.</t>
        </is>
      </c>
      <c r="R63" s="38" t="inlineStr">
        <is>
          <t>Aplicar: relacionar</t>
        </is>
      </c>
      <c r="S63" s="39">
        <f>IFERROR(ISNUMBER(SEARCH("Conocer",$R63))/(ISNUMBER(SEARCH("Conocer",$R63))+ISNUMBER(SEARCH("Aplicar",$R63))+ISNUMBER(SEARCH("Razonar",$R63))),0)</f>
        <v/>
      </c>
      <c r="T63" s="39">
        <f>IFERROR(ISNUMBER(SEARCH("Aplicar",$R63))/(ISNUMBER(SEARCH("Conocer",$R63))+ISNUMBER(SEARCH("Aplicar",$R63))+ISNUMBER(SEARCH("Razonar",$R63))),0)</f>
        <v/>
      </c>
      <c r="U63" s="39">
        <f>IFERROR(ISNUMBER(SEARCH("Razonar",$R63))/(ISNUMBER(SEARCH("Conocer",$R63))+ISNUMBER(SEARCH("Aplicar",$R63))+ISNUMBER(SEARCH("Razonar",$R63))),0)</f>
        <v/>
      </c>
      <c r="V63" s="11" t="inlineStr">
        <is>
          <t>2°</t>
        </is>
      </c>
      <c r="W63" s="11" t="inlineStr">
        <is>
          <t>Ciclo 2°–4°</t>
        </is>
      </c>
      <c r="X63" s="11">
        <f>IF(OR(IFERROR(INDEX('Datos - Catálogo TIMSS'!$I$5:$I$107,MATCH(K63,'Datos - Catálogo TIMSS'!$A$5:$A$107,0)),"No")="Sí",IFERROR(INDEX('Datos - Catálogo TIMSS'!$I$5:$I$107,MATCH(L63,'Datos - Catálogo TIMSS'!$A$5:$A$107,0)),"No")="Sí"),1,0)</f>
        <v/>
      </c>
      <c r="Y63" s="11">
        <f>IF(IFERROR(INDEX('Datos - Catálogo TIMSS'!$J$5:$J$107,MATCH(K63,'Datos - Catálogo TIMSS'!$A$5:$A$107,0)),"No")="Sí",1,0)</f>
        <v/>
      </c>
      <c r="Z63" s="11">
        <f>IF(IFERROR(INDEX('Datos - Catálogo TIMSS'!$J$5:$J$107,MATCH(L63,'Datos - Catálogo TIMSS'!$A$5:$A$107,0)),"No")="Sí",1,0)</f>
        <v/>
      </c>
      <c r="AA63" s="11" t="inlineStr">
        <is>
          <t>FUERA</t>
        </is>
      </c>
      <c r="AB63" s="11" t="inlineStr"/>
      <c r="AC63" s="11">
        <f>IF(AA63="FUERA","Fuera del marco",IF(AA63="N/A","Sin marco",IFERROR(INDEX('Datos - TIMSS 2023'!$C$5:$C$105,MATCH(AA63,'Datos - TIMSS 2023'!$A$5:$A$105,0)),"Pendiente de clasificar")))</f>
        <v/>
      </c>
      <c r="AD63" s="11" t="inlineStr">
        <is>
          <t>3. Investigar, evaluar y usar información científica para tomar decisiones y actuar</t>
        </is>
      </c>
      <c r="AE63" s="11">
        <f>IF(AD63="","",IF(LEFT(AD63,1)="1","C1",IF(LEFT(AD63,1)="2","C2",IF(LEFT(AD63,1)="3","C3",""))))</f>
        <v/>
      </c>
      <c r="AF63" s="11" t="inlineStr">
        <is>
          <t>E1</t>
        </is>
      </c>
      <c r="AG63" s="11" t="inlineStr">
        <is>
          <t>D1</t>
        </is>
      </c>
      <c r="AH63" s="11" t="inlineStr">
        <is>
          <t>E1</t>
        </is>
      </c>
      <c r="AI63" s="11" t="inlineStr">
        <is>
          <t>I3</t>
        </is>
      </c>
      <c r="AJ63" s="11" t="inlineStr">
        <is>
          <t>I5</t>
        </is>
      </c>
      <c r="AK63" s="11" t="n"/>
      <c r="AL63" s="11" t="n"/>
      <c r="AM63" s="11" t="n"/>
      <c r="AN63" s="11" t="n"/>
      <c r="AO63" s="11" t="n"/>
      <c r="AP63" s="11" t="n"/>
      <c r="AQ63" s="11" t="n"/>
      <c r="AR63" s="11" t="n"/>
      <c r="AS63" s="11" t="n"/>
      <c r="AT63" s="11" t="n"/>
      <c r="AU63" s="11" t="n"/>
      <c r="AV63" s="11" t="n"/>
      <c r="AW63" s="11">
        <f>AF63&amp;"; "&amp;AG63&amp;"; "&amp;AH63&amp;"; "&amp;AI63&amp;"; "&amp;AJ63</f>
        <v/>
      </c>
    </row>
    <row r="64">
      <c r="A64" s="11" t="inlineStr">
        <is>
          <t>T0698-G02-CIE</t>
        </is>
      </c>
      <c r="B64" s="11" t="n">
        <v>2</v>
      </c>
      <c r="C64" s="11" t="inlineStr">
        <is>
          <t>Ciencias</t>
        </is>
      </c>
      <c r="D64" s="11" t="inlineStr">
        <is>
          <t>Matriz_Ciencias_2do_Grado_U1_U6_3.xlsx</t>
        </is>
      </c>
      <c r="E64" s="11" t="inlineStr">
        <is>
          <t>Unidad 6 - Ambiente y salud</t>
        </is>
      </c>
      <c r="F64" s="11" t="n">
        <v>4</v>
      </c>
      <c r="G64" s="11" t="inlineStr">
        <is>
          <t>6. Ambiente y salud.</t>
        </is>
      </c>
      <c r="H64" s="11" t="inlineStr">
        <is>
          <t>Peligros en la escuela y el hogar.</t>
        </is>
      </c>
      <c r="I64" s="38" t="inlineStr">
        <is>
          <t>6.2. Identificación de los factores de peligro en el hogar y la escuela.</t>
        </is>
      </c>
      <c r="J64" s="11" t="inlineStr">
        <is>
          <t>T4_27</t>
        </is>
      </c>
      <c r="K64" s="11" t="inlineStr">
        <is>
          <t>FUERA</t>
        </is>
      </c>
      <c r="L64" s="11" t="inlineStr"/>
      <c r="M64" s="11">
        <f>IF(K64="FUERA","Fuera del marco",IF(K64="N/A","Sin marco",IFERROR(INDEX('Datos - Catálogo TIMSS'!$C$5:$C$107,MATCH(K64,'Datos - Catálogo TIMSS'!$A$5:$A$107,0)),"Pendiente de clasificar")))</f>
        <v/>
      </c>
      <c r="N64" s="11">
        <f>IF(K64="FUERA","Fuera del marco",IF(K64="N/A","Sin marco",IFERROR(INDEX('Datos - Catálogo TIMSS'!$F$5:$F$107,MATCH(K64,'Datos - Catálogo TIMSS'!$A$5:$A$107,0)),"Pendiente de clasificar")))</f>
        <v/>
      </c>
      <c r="O64" s="11">
        <f>IF(L64="","",IFERROR(INDEX('Datos - Catálogo TIMSS'!$C$5:$C$107,MATCH(L64,'Datos - Catálogo TIMSS'!$A$5:$A$107,0)),"?"))</f>
        <v/>
      </c>
      <c r="P64" s="11" t="inlineStr">
        <is>
          <t>alta</t>
        </is>
      </c>
      <c r="Q64" s="38" t="inlineStr">
        <is>
          <t>Zonas de riesgo: gestión de riesgos.</t>
        </is>
      </c>
      <c r="R64" s="38" t="inlineStr">
        <is>
          <t>Aplicar: identificar y ubicar</t>
        </is>
      </c>
      <c r="S64" s="39">
        <f>IFERROR(ISNUMBER(SEARCH("Conocer",$R64))/(ISNUMBER(SEARCH("Conocer",$R64))+ISNUMBER(SEARCH("Aplicar",$R64))+ISNUMBER(SEARCH("Razonar",$R64))),0)</f>
        <v/>
      </c>
      <c r="T64" s="39">
        <f>IFERROR(ISNUMBER(SEARCH("Aplicar",$R64))/(ISNUMBER(SEARCH("Conocer",$R64))+ISNUMBER(SEARCH("Aplicar",$R64))+ISNUMBER(SEARCH("Razonar",$R64))),0)</f>
        <v/>
      </c>
      <c r="U64" s="39">
        <f>IFERROR(ISNUMBER(SEARCH("Razonar",$R64))/(ISNUMBER(SEARCH("Conocer",$R64))+ISNUMBER(SEARCH("Aplicar",$R64))+ISNUMBER(SEARCH("Razonar",$R64))),0)</f>
        <v/>
      </c>
      <c r="V64" s="11" t="inlineStr">
        <is>
          <t>2°</t>
        </is>
      </c>
      <c r="W64" s="11" t="inlineStr">
        <is>
          <t>Ciclo 2°–4°</t>
        </is>
      </c>
      <c r="X64" s="11">
        <f>IF(OR(IFERROR(INDEX('Datos - Catálogo TIMSS'!$I$5:$I$107,MATCH(K64,'Datos - Catálogo TIMSS'!$A$5:$A$107,0)),"No")="Sí",IFERROR(INDEX('Datos - Catálogo TIMSS'!$I$5:$I$107,MATCH(L64,'Datos - Catálogo TIMSS'!$A$5:$A$107,0)),"No")="Sí"),1,0)</f>
        <v/>
      </c>
      <c r="Y64" s="11">
        <f>IF(IFERROR(INDEX('Datos - Catálogo TIMSS'!$J$5:$J$107,MATCH(K64,'Datos - Catálogo TIMSS'!$A$5:$A$107,0)),"No")="Sí",1,0)</f>
        <v/>
      </c>
      <c r="Z64" s="11">
        <f>IF(IFERROR(INDEX('Datos - Catálogo TIMSS'!$J$5:$J$107,MATCH(L64,'Datos - Catálogo TIMSS'!$A$5:$A$107,0)),"No")="Sí",1,0)</f>
        <v/>
      </c>
      <c r="AA64" s="11" t="inlineStr">
        <is>
          <t>FUERA</t>
        </is>
      </c>
      <c r="AB64" s="11" t="inlineStr"/>
      <c r="AC64" s="11">
        <f>IF(AA64="FUERA","Fuera del marco",IF(AA64="N/A","Sin marco",IFERROR(INDEX('Datos - TIMSS 2023'!$C$5:$C$105,MATCH(AA64,'Datos - TIMSS 2023'!$A$5:$A$105,0)),"Pendiente de clasificar")))</f>
        <v/>
      </c>
      <c r="AD64" s="11" t="inlineStr">
        <is>
          <t>2. Construir y evaluar diseños para la indagación científica e interpretar datos y evidencia de forma crítica</t>
        </is>
      </c>
      <c r="AE64" s="11">
        <f>IF(AD64="","",IF(LEFT(AD64,1)="1","C1",IF(LEFT(AD64,1)="2","C2",IF(LEFT(AD64,1)="3","C3",""))))</f>
        <v/>
      </c>
      <c r="AF64" s="11" t="inlineStr">
        <is>
          <t>E1</t>
        </is>
      </c>
      <c r="AG64" s="11" t="inlineStr">
        <is>
          <t>D1</t>
        </is>
      </c>
      <c r="AH64" s="11" t="inlineStr">
        <is>
          <t>E2</t>
        </is>
      </c>
      <c r="AI64" s="11" t="inlineStr">
        <is>
          <t>D4</t>
        </is>
      </c>
      <c r="AJ64" s="11" t="inlineStr">
        <is>
          <t>I5</t>
        </is>
      </c>
      <c r="AK64" s="11" t="n"/>
      <c r="AL64" s="11" t="n"/>
      <c r="AM64" s="11" t="n"/>
      <c r="AN64" s="11" t="n"/>
      <c r="AO64" s="11" t="n"/>
      <c r="AP64" s="11" t="n"/>
      <c r="AQ64" s="11" t="n"/>
      <c r="AR64" s="11" t="n"/>
      <c r="AS64" s="11" t="n"/>
      <c r="AT64" s="11" t="n"/>
      <c r="AU64" s="11" t="n"/>
      <c r="AV64" s="11" t="n"/>
      <c r="AW64" s="11">
        <f>AF64&amp;"; "&amp;AG64&amp;"; "&amp;AH64&amp;"; "&amp;AI64&amp;"; "&amp;AJ64</f>
        <v/>
      </c>
    </row>
    <row r="65">
      <c r="A65" s="11" t="inlineStr">
        <is>
          <t>T0699-G02-CIE</t>
        </is>
      </c>
      <c r="B65" s="11" t="n">
        <v>2</v>
      </c>
      <c r="C65" s="11" t="inlineStr">
        <is>
          <t>Ciencias</t>
        </is>
      </c>
      <c r="D65" s="11" t="inlineStr">
        <is>
          <t>Matriz_Ciencias_2do_Grado_U1_U6_3.xlsx</t>
        </is>
      </c>
      <c r="E65" s="11" t="inlineStr">
        <is>
          <t>Unidad 6 - Ambiente y salud</t>
        </is>
      </c>
      <c r="F65" s="11" t="n">
        <v>5</v>
      </c>
      <c r="G65" s="11" t="inlineStr">
        <is>
          <t>6. Ambiente y salud.</t>
        </is>
      </c>
      <c r="H65" s="11" t="inlineStr">
        <is>
          <t>Amenazas naturales.</t>
        </is>
      </c>
      <c r="I65" s="38" t="inlineStr">
        <is>
          <t>6.3. Reconocimiento de amenazas naturales comunes en El Salvador.</t>
        </is>
      </c>
      <c r="J65" s="11" t="inlineStr">
        <is>
          <t>T4_27</t>
        </is>
      </c>
      <c r="K65" s="11" t="inlineStr">
        <is>
          <t>FUERA</t>
        </is>
      </c>
      <c r="L65" s="11" t="inlineStr"/>
      <c r="M65" s="11">
        <f>IF(K65="FUERA","Fuera del marco",IF(K65="N/A","Sin marco",IFERROR(INDEX('Datos - Catálogo TIMSS'!$C$5:$C$107,MATCH(K65,'Datos - Catálogo TIMSS'!$A$5:$A$107,0)),"Pendiente de clasificar")))</f>
        <v/>
      </c>
      <c r="N65" s="11">
        <f>IF(K65="FUERA","Fuera del marco",IF(K65="N/A","Sin marco",IFERROR(INDEX('Datos - Catálogo TIMSS'!$F$5:$F$107,MATCH(K65,'Datos - Catálogo TIMSS'!$A$5:$A$107,0)),"Pendiente de clasificar")))</f>
        <v/>
      </c>
      <c r="O65" s="11">
        <f>IF(L65="","",IFERROR(INDEX('Datos - Catálogo TIMSS'!$C$5:$C$107,MATCH(L65,'Datos - Catálogo TIMSS'!$A$5:$A$107,0)),"?"))</f>
        <v/>
      </c>
      <c r="P65" s="11" t="inlineStr">
        <is>
          <t>media</t>
        </is>
      </c>
      <c r="Q65" s="38" t="inlineStr">
        <is>
          <t>Amenazas naturales; sin objetivo 2027 de sismos o volcanes.</t>
        </is>
      </c>
      <c r="R65" s="38" t="inlineStr">
        <is>
          <t>Conocer: reconocer</t>
        </is>
      </c>
      <c r="S65" s="39">
        <f>IFERROR(ISNUMBER(SEARCH("Conocer",$R65))/(ISNUMBER(SEARCH("Conocer",$R65))+ISNUMBER(SEARCH("Aplicar",$R65))+ISNUMBER(SEARCH("Razonar",$R65))),0)</f>
        <v/>
      </c>
      <c r="T65" s="39">
        <f>IFERROR(ISNUMBER(SEARCH("Aplicar",$R65))/(ISNUMBER(SEARCH("Conocer",$R65))+ISNUMBER(SEARCH("Aplicar",$R65))+ISNUMBER(SEARCH("Razonar",$R65))),0)</f>
        <v/>
      </c>
      <c r="U65" s="39">
        <f>IFERROR(ISNUMBER(SEARCH("Razonar",$R65))/(ISNUMBER(SEARCH("Conocer",$R65))+ISNUMBER(SEARCH("Aplicar",$R65))+ISNUMBER(SEARCH("Razonar",$R65))),0)</f>
        <v/>
      </c>
      <c r="V65" s="11" t="inlineStr">
        <is>
          <t>2°</t>
        </is>
      </c>
      <c r="W65" s="11" t="inlineStr">
        <is>
          <t>Ciclo 2°–4°</t>
        </is>
      </c>
      <c r="X65" s="11">
        <f>IF(OR(IFERROR(INDEX('Datos - Catálogo TIMSS'!$I$5:$I$107,MATCH(K65,'Datos - Catálogo TIMSS'!$A$5:$A$107,0)),"No")="Sí",IFERROR(INDEX('Datos - Catálogo TIMSS'!$I$5:$I$107,MATCH(L65,'Datos - Catálogo TIMSS'!$A$5:$A$107,0)),"No")="Sí"),1,0)</f>
        <v/>
      </c>
      <c r="Y65" s="11">
        <f>IF(IFERROR(INDEX('Datos - Catálogo TIMSS'!$J$5:$J$107,MATCH(K65,'Datos - Catálogo TIMSS'!$A$5:$A$107,0)),"No")="Sí",1,0)</f>
        <v/>
      </c>
      <c r="Z65" s="11">
        <f>IF(IFERROR(INDEX('Datos - Catálogo TIMSS'!$J$5:$J$107,MATCH(L65,'Datos - Catálogo TIMSS'!$A$5:$A$107,0)),"No")="Sí",1,0)</f>
        <v/>
      </c>
      <c r="AA65" s="11" t="inlineStr">
        <is>
          <t>FUERA</t>
        </is>
      </c>
      <c r="AB65" s="11" t="inlineStr"/>
      <c r="AC65" s="11">
        <f>IF(AA65="FUERA","Fuera del marco",IF(AA65="N/A","Sin marco",IFERROR(INDEX('Datos - TIMSS 2023'!$C$5:$C$105,MATCH(AA65,'Datos - TIMSS 2023'!$A$5:$A$105,0)),"Pendiente de clasificar")))</f>
        <v/>
      </c>
      <c r="AD65" s="11" t="inlineStr">
        <is>
          <t>1. Explicar fenómenos científicamente</t>
        </is>
      </c>
      <c r="AE65" s="11">
        <f>IF(AD65="","",IF(LEFT(AD65,1)="1","C1",IF(LEFT(AD65,1)="2","C2",IF(LEFT(AD65,1)="3","C3",""))))</f>
        <v/>
      </c>
      <c r="AF65" s="11" t="inlineStr">
        <is>
          <t>E1</t>
        </is>
      </c>
      <c r="AG65" s="11" t="inlineStr">
        <is>
          <t>D1</t>
        </is>
      </c>
      <c r="AH65" s="11" t="inlineStr">
        <is>
          <t>E1</t>
        </is>
      </c>
      <c r="AI65" s="11" t="inlineStr">
        <is>
          <t>I2</t>
        </is>
      </c>
      <c r="AJ65" s="11" t="inlineStr">
        <is>
          <t>I1</t>
        </is>
      </c>
      <c r="AK65" s="11" t="n"/>
      <c r="AL65" s="11" t="n"/>
      <c r="AM65" s="11" t="n"/>
      <c r="AN65" s="11" t="n"/>
      <c r="AO65" s="11" t="n"/>
      <c r="AP65" s="11" t="n"/>
      <c r="AQ65" s="11" t="n"/>
      <c r="AR65" s="11" t="n"/>
      <c r="AS65" s="11" t="n"/>
      <c r="AT65" s="11" t="n"/>
      <c r="AU65" s="11" t="n"/>
      <c r="AV65" s="11" t="n"/>
      <c r="AW65" s="11">
        <f>AF65&amp;"; "&amp;AG65&amp;"; "&amp;AH65&amp;"; "&amp;AI65&amp;"; "&amp;AJ65</f>
        <v/>
      </c>
    </row>
    <row r="66">
      <c r="A66" s="11" t="inlineStr">
        <is>
          <t>T0700-G02-CIE</t>
        </is>
      </c>
      <c r="B66" s="11" t="n">
        <v>2</v>
      </c>
      <c r="C66" s="11" t="inlineStr">
        <is>
          <t>Ciencias</t>
        </is>
      </c>
      <c r="D66" s="11" t="inlineStr">
        <is>
          <t>Matriz_Ciencias_2do_Grado_U1_U6_3.xlsx</t>
        </is>
      </c>
      <c r="E66" s="11" t="inlineStr">
        <is>
          <t>Unidad 6 - Ambiente y salud</t>
        </is>
      </c>
      <c r="F66" s="11" t="n">
        <v>6</v>
      </c>
      <c r="G66" s="11" t="inlineStr">
        <is>
          <t>6. Ambiente y salud.</t>
        </is>
      </c>
      <c r="H66" s="11" t="inlineStr">
        <is>
          <t>Amenazas naturales.</t>
        </is>
      </c>
      <c r="I66" s="38" t="inlineStr">
        <is>
          <t>6.4. Clasificación de las amenazas naturales comunes en El Salvador.</t>
        </is>
      </c>
      <c r="J66" s="11" t="inlineStr">
        <is>
          <t>T4_27</t>
        </is>
      </c>
      <c r="K66" s="11" t="inlineStr">
        <is>
          <t>FUERA</t>
        </is>
      </c>
      <c r="L66" s="11" t="inlineStr"/>
      <c r="M66" s="11">
        <f>IF(K66="FUERA","Fuera del marco",IF(K66="N/A","Sin marco",IFERROR(INDEX('Datos - Catálogo TIMSS'!$C$5:$C$107,MATCH(K66,'Datos - Catálogo TIMSS'!$A$5:$A$107,0)),"Pendiente de clasificar")))</f>
        <v/>
      </c>
      <c r="N66" s="11">
        <f>IF(K66="FUERA","Fuera del marco",IF(K66="N/A","Sin marco",IFERROR(INDEX('Datos - Catálogo TIMSS'!$F$5:$F$107,MATCH(K66,'Datos - Catálogo TIMSS'!$A$5:$A$107,0)),"Pendiente de clasificar")))</f>
        <v/>
      </c>
      <c r="O66" s="11">
        <f>IF(L66="","",IFERROR(INDEX('Datos - Catálogo TIMSS'!$C$5:$C$107,MATCH(L66,'Datos - Catálogo TIMSS'!$A$5:$A$107,0)),"?"))</f>
        <v/>
      </c>
      <c r="P66" s="11" t="inlineStr">
        <is>
          <t>media</t>
        </is>
      </c>
      <c r="Q66" s="38" t="inlineStr">
        <is>
          <t>Clasificación de amenazas naturales: gestión de riesgos.</t>
        </is>
      </c>
      <c r="R66" s="38" t="inlineStr">
        <is>
          <t>Aplicar: clasificar</t>
        </is>
      </c>
      <c r="S66" s="39">
        <f>IFERROR(ISNUMBER(SEARCH("Conocer",$R66))/(ISNUMBER(SEARCH("Conocer",$R66))+ISNUMBER(SEARCH("Aplicar",$R66))+ISNUMBER(SEARCH("Razonar",$R66))),0)</f>
        <v/>
      </c>
      <c r="T66" s="39">
        <f>IFERROR(ISNUMBER(SEARCH("Aplicar",$R66))/(ISNUMBER(SEARCH("Conocer",$R66))+ISNUMBER(SEARCH("Aplicar",$R66))+ISNUMBER(SEARCH("Razonar",$R66))),0)</f>
        <v/>
      </c>
      <c r="U66" s="39">
        <f>IFERROR(ISNUMBER(SEARCH("Razonar",$R66))/(ISNUMBER(SEARCH("Conocer",$R66))+ISNUMBER(SEARCH("Aplicar",$R66))+ISNUMBER(SEARCH("Razonar",$R66))),0)</f>
        <v/>
      </c>
      <c r="V66" s="11" t="inlineStr">
        <is>
          <t>2°</t>
        </is>
      </c>
      <c r="W66" s="11" t="inlineStr">
        <is>
          <t>Ciclo 2°–4°</t>
        </is>
      </c>
      <c r="X66" s="11">
        <f>IF(OR(IFERROR(INDEX('Datos - Catálogo TIMSS'!$I$5:$I$107,MATCH(K66,'Datos - Catálogo TIMSS'!$A$5:$A$107,0)),"No")="Sí",IFERROR(INDEX('Datos - Catálogo TIMSS'!$I$5:$I$107,MATCH(L66,'Datos - Catálogo TIMSS'!$A$5:$A$107,0)),"No")="Sí"),1,0)</f>
        <v/>
      </c>
      <c r="Y66" s="11">
        <f>IF(IFERROR(INDEX('Datos - Catálogo TIMSS'!$J$5:$J$107,MATCH(K66,'Datos - Catálogo TIMSS'!$A$5:$A$107,0)),"No")="Sí",1,0)</f>
        <v/>
      </c>
      <c r="Z66" s="11">
        <f>IF(IFERROR(INDEX('Datos - Catálogo TIMSS'!$J$5:$J$107,MATCH(L66,'Datos - Catálogo TIMSS'!$A$5:$A$107,0)),"No")="Sí",1,0)</f>
        <v/>
      </c>
      <c r="AA66" s="11" t="inlineStr">
        <is>
          <t>FUERA</t>
        </is>
      </c>
      <c r="AB66" s="11" t="inlineStr"/>
      <c r="AC66" s="11">
        <f>IF(AA66="FUERA","Fuera del marco",IF(AA66="N/A","Sin marco",IFERROR(INDEX('Datos - TIMSS 2023'!$C$5:$C$105,MATCH(AA66,'Datos - TIMSS 2023'!$A$5:$A$105,0)),"Pendiente de clasificar")))</f>
        <v/>
      </c>
      <c r="AD66" s="11" t="inlineStr">
        <is>
          <t>2. Construir y evaluar diseños para la indagación científica e interpretar datos y evidencia de forma crítica</t>
        </is>
      </c>
      <c r="AE66" s="11">
        <f>IF(AD66="","",IF(LEFT(AD66,1)="1","C1",IF(LEFT(AD66,1)="2","C2",IF(LEFT(AD66,1)="3","C3",""))))</f>
        <v/>
      </c>
      <c r="AF66" s="11" t="inlineStr">
        <is>
          <t>E1</t>
        </is>
      </c>
      <c r="AG66" s="11" t="inlineStr">
        <is>
          <t>D1</t>
        </is>
      </c>
      <c r="AH66" s="11" t="inlineStr">
        <is>
          <t>E1</t>
        </is>
      </c>
      <c r="AI66" s="11" t="inlineStr">
        <is>
          <t>D4</t>
        </is>
      </c>
      <c r="AJ66" s="11" t="inlineStr">
        <is>
          <t>E1</t>
        </is>
      </c>
      <c r="AK66" s="11" t="n"/>
      <c r="AL66" s="11" t="n"/>
      <c r="AM66" s="11" t="n"/>
      <c r="AN66" s="11" t="n"/>
      <c r="AO66" s="11" t="n"/>
      <c r="AP66" s="11" t="n"/>
      <c r="AQ66" s="11" t="n"/>
      <c r="AR66" s="11" t="n"/>
      <c r="AS66" s="11" t="n"/>
      <c r="AT66" s="11" t="n"/>
      <c r="AU66" s="11" t="n"/>
      <c r="AV66" s="11" t="n"/>
      <c r="AW66" s="11">
        <f>AF66&amp;"; "&amp;AG66&amp;"; "&amp;AH66&amp;"; "&amp;AI66&amp;"; "&amp;AJ66</f>
        <v/>
      </c>
    </row>
    <row r="67">
      <c r="A67" s="11" t="inlineStr">
        <is>
          <t>T0701-G02-CIE</t>
        </is>
      </c>
      <c r="B67" s="11" t="n">
        <v>2</v>
      </c>
      <c r="C67" s="11" t="inlineStr">
        <is>
          <t>Ciencias</t>
        </is>
      </c>
      <c r="D67" s="11" t="inlineStr">
        <is>
          <t>Matriz_Ciencias_2do_Grado_U1_U6_3.xlsx</t>
        </is>
      </c>
      <c r="E67" s="11" t="inlineStr">
        <is>
          <t>Unidad 6 - Ambiente y salud</t>
        </is>
      </c>
      <c r="F67" s="11" t="n">
        <v>7</v>
      </c>
      <c r="G67" s="11" t="inlineStr">
        <is>
          <t>6. Ambiente y salud.</t>
        </is>
      </c>
      <c r="H67" s="11" t="inlineStr">
        <is>
          <t>Amenazas naturales.</t>
        </is>
      </c>
      <c r="I67" s="38" t="inlineStr">
        <is>
          <t>6.5. Simulación de acciones a seguir durante una emergencia (sismo).</t>
        </is>
      </c>
      <c r="J67" s="11" t="inlineStr">
        <is>
          <t>T4_27</t>
        </is>
      </c>
      <c r="K67" s="11" t="inlineStr">
        <is>
          <t>FUERA</t>
        </is>
      </c>
      <c r="L67" s="11" t="inlineStr"/>
      <c r="M67" s="11">
        <f>IF(K67="FUERA","Fuera del marco",IF(K67="N/A","Sin marco",IFERROR(INDEX('Datos - Catálogo TIMSS'!$C$5:$C$107,MATCH(K67,'Datos - Catálogo TIMSS'!$A$5:$A$107,0)),"Pendiente de clasificar")))</f>
        <v/>
      </c>
      <c r="N67" s="11">
        <f>IF(K67="FUERA","Fuera del marco",IF(K67="N/A","Sin marco",IFERROR(INDEX('Datos - Catálogo TIMSS'!$F$5:$F$107,MATCH(K67,'Datos - Catálogo TIMSS'!$A$5:$A$107,0)),"Pendiente de clasificar")))</f>
        <v/>
      </c>
      <c r="O67" s="11">
        <f>IF(L67="","",IFERROR(INDEX('Datos - Catálogo TIMSS'!$C$5:$C$107,MATCH(L67,'Datos - Catálogo TIMSS'!$A$5:$A$107,0)),"?"))</f>
        <v/>
      </c>
      <c r="P67" s="11" t="inlineStr">
        <is>
          <t>alta</t>
        </is>
      </c>
      <c r="Q67" s="38" t="inlineStr">
        <is>
          <t>Simulacro de sismo: gestión de riesgos.</t>
        </is>
      </c>
      <c r="R67" s="38" t="inlineStr">
        <is>
          <t>Aplicar: usar modelos (simulacro). Razonar: justificar</t>
        </is>
      </c>
      <c r="S67" s="39">
        <f>IFERROR(ISNUMBER(SEARCH("Conocer",$R67))/(ISNUMBER(SEARCH("Conocer",$R67))+ISNUMBER(SEARCH("Aplicar",$R67))+ISNUMBER(SEARCH("Razonar",$R67))),0)</f>
        <v/>
      </c>
      <c r="T67" s="39">
        <f>IFERROR(ISNUMBER(SEARCH("Aplicar",$R67))/(ISNUMBER(SEARCH("Conocer",$R67))+ISNUMBER(SEARCH("Aplicar",$R67))+ISNUMBER(SEARCH("Razonar",$R67))),0)</f>
        <v/>
      </c>
      <c r="U67" s="39">
        <f>IFERROR(ISNUMBER(SEARCH("Razonar",$R67))/(ISNUMBER(SEARCH("Conocer",$R67))+ISNUMBER(SEARCH("Aplicar",$R67))+ISNUMBER(SEARCH("Razonar",$R67))),0)</f>
        <v/>
      </c>
      <c r="V67" s="11" t="inlineStr">
        <is>
          <t>2°</t>
        </is>
      </c>
      <c r="W67" s="11" t="inlineStr">
        <is>
          <t>Ciclo 2°–4°</t>
        </is>
      </c>
      <c r="X67" s="11">
        <f>IF(OR(IFERROR(INDEX('Datos - Catálogo TIMSS'!$I$5:$I$107,MATCH(K67,'Datos - Catálogo TIMSS'!$A$5:$A$107,0)),"No")="Sí",IFERROR(INDEX('Datos - Catálogo TIMSS'!$I$5:$I$107,MATCH(L67,'Datos - Catálogo TIMSS'!$A$5:$A$107,0)),"No")="Sí"),1,0)</f>
        <v/>
      </c>
      <c r="Y67" s="11">
        <f>IF(IFERROR(INDEX('Datos - Catálogo TIMSS'!$J$5:$J$107,MATCH(K67,'Datos - Catálogo TIMSS'!$A$5:$A$107,0)),"No")="Sí",1,0)</f>
        <v/>
      </c>
      <c r="Z67" s="11">
        <f>IF(IFERROR(INDEX('Datos - Catálogo TIMSS'!$J$5:$J$107,MATCH(L67,'Datos - Catálogo TIMSS'!$A$5:$A$107,0)),"No")="Sí",1,0)</f>
        <v/>
      </c>
      <c r="AA67" s="11" t="inlineStr">
        <is>
          <t>FUERA</t>
        </is>
      </c>
      <c r="AB67" s="11" t="inlineStr"/>
      <c r="AC67" s="11">
        <f>IF(AA67="FUERA","Fuera del marco",IF(AA67="N/A","Sin marco",IFERROR(INDEX('Datos - TIMSS 2023'!$C$5:$C$105,MATCH(AA67,'Datos - TIMSS 2023'!$A$5:$A$105,0)),"Pendiente de clasificar")))</f>
        <v/>
      </c>
      <c r="AD67" s="11" t="inlineStr">
        <is>
          <t>3. Investigar, evaluar y usar información científica para tomar decisiones y actuar</t>
        </is>
      </c>
      <c r="AE67" s="11">
        <f>IF(AD67="","",IF(LEFT(AD67,1)="1","C1",IF(LEFT(AD67,1)="2","C2",IF(LEFT(AD67,1)="3","C3",""))))</f>
        <v/>
      </c>
      <c r="AF67" s="11" t="inlineStr">
        <is>
          <t>E1</t>
        </is>
      </c>
      <c r="AG67" s="11" t="inlineStr">
        <is>
          <t>D1</t>
        </is>
      </c>
      <c r="AH67" s="11" t="inlineStr">
        <is>
          <t>E4</t>
        </is>
      </c>
      <c r="AI67" s="11" t="inlineStr">
        <is>
          <t>D3</t>
        </is>
      </c>
      <c r="AJ67" s="11" t="inlineStr">
        <is>
          <t>I5</t>
        </is>
      </c>
      <c r="AK67" s="11" t="n"/>
      <c r="AL67" s="11" t="n"/>
      <c r="AM67" s="11" t="n"/>
      <c r="AN67" s="11" t="n"/>
      <c r="AO67" s="11" t="n"/>
      <c r="AP67" s="11" t="n"/>
      <c r="AQ67" s="11" t="n"/>
      <c r="AR67" s="11" t="n"/>
      <c r="AS67" s="11" t="n"/>
      <c r="AT67" s="11" t="n"/>
      <c r="AU67" s="11" t="n"/>
      <c r="AV67" s="11" t="n"/>
      <c r="AW67" s="11">
        <f>AF67&amp;"; "&amp;AG67&amp;"; "&amp;AH67&amp;"; "&amp;AI67&amp;"; "&amp;AJ67</f>
        <v/>
      </c>
    </row>
    <row r="68">
      <c r="A68" s="11" t="inlineStr">
        <is>
          <t>T0702-G02-CIE</t>
        </is>
      </c>
      <c r="B68" s="11" t="n">
        <v>2</v>
      </c>
      <c r="C68" s="11" t="inlineStr">
        <is>
          <t>Ciencias</t>
        </is>
      </c>
      <c r="D68" s="11" t="inlineStr">
        <is>
          <t>Matriz_Ciencias_2do_Grado_U1_U6_3.xlsx</t>
        </is>
      </c>
      <c r="E68" s="11" t="inlineStr">
        <is>
          <t>Unidad 6 - Ambiente y salud</t>
        </is>
      </c>
      <c r="F68" s="11" t="n">
        <v>8</v>
      </c>
      <c r="G68" s="11" t="inlineStr">
        <is>
          <t>6. Ambiente y salud.</t>
        </is>
      </c>
      <c r="H68" s="11" t="inlineStr">
        <is>
          <t>Acciones humanas que transforman el entorno.</t>
        </is>
      </c>
      <c r="I68" s="38" t="inlineStr">
        <is>
          <t>6.6. Reconocimiento de acciones humanas que transforman el entorno.</t>
        </is>
      </c>
      <c r="J68" s="11" t="inlineStr">
        <is>
          <t>T4_27</t>
        </is>
      </c>
      <c r="K68" s="11" t="inlineStr">
        <is>
          <t>T4_27-B4.3</t>
        </is>
      </c>
      <c r="L68" s="11" t="inlineStr"/>
      <c r="M68" s="11">
        <f>IF(K68="FUERA","Fuera del marco",IF(K68="N/A","Sin marco",IFERROR(INDEX('Datos - Catálogo TIMSS'!$C$5:$C$107,MATCH(K68,'Datos - Catálogo TIMSS'!$A$5:$A$107,0)),"Pendiente de clasificar")))</f>
        <v/>
      </c>
      <c r="N68" s="11">
        <f>IF(K68="FUERA","Fuera del marco",IF(K68="N/A","Sin marco",IFERROR(INDEX('Datos - Catálogo TIMSS'!$F$5:$F$107,MATCH(K68,'Datos - Catálogo TIMSS'!$A$5:$A$107,0)),"Pendiente de clasificar")))</f>
        <v/>
      </c>
      <c r="O68" s="11">
        <f>IF(L68="","",IFERROR(INDEX('Datos - Catálogo TIMSS'!$C$5:$C$107,MATCH(L68,'Datos - Catálogo TIMSS'!$A$5:$A$107,0)),"?"))</f>
        <v/>
      </c>
      <c r="P68" s="11" t="inlineStr">
        <is>
          <t>alta</t>
        </is>
      </c>
      <c r="Q68" s="38" t="inlineStr">
        <is>
          <t>Acciones humanas que transforman el ecosistema.</t>
        </is>
      </c>
      <c r="R68" s="38" t="inlineStr">
        <is>
          <t>Aplicar: comparar</t>
        </is>
      </c>
      <c r="S68" s="39">
        <f>IFERROR(ISNUMBER(SEARCH("Conocer",$R68))/(ISNUMBER(SEARCH("Conocer",$R68))+ISNUMBER(SEARCH("Aplicar",$R68))+ISNUMBER(SEARCH("Razonar",$R68))),0)</f>
        <v/>
      </c>
      <c r="T68" s="39">
        <f>IFERROR(ISNUMBER(SEARCH("Aplicar",$R68))/(ISNUMBER(SEARCH("Conocer",$R68))+ISNUMBER(SEARCH("Aplicar",$R68))+ISNUMBER(SEARCH("Razonar",$R68))),0)</f>
        <v/>
      </c>
      <c r="U68" s="39">
        <f>IFERROR(ISNUMBER(SEARCH("Razonar",$R68))/(ISNUMBER(SEARCH("Conocer",$R68))+ISNUMBER(SEARCH("Aplicar",$R68))+ISNUMBER(SEARCH("Razonar",$R68))),0)</f>
        <v/>
      </c>
      <c r="V68" s="11" t="inlineStr">
        <is>
          <t>2°</t>
        </is>
      </c>
      <c r="W68" s="11" t="inlineStr">
        <is>
          <t>Ciclo 2°–4°</t>
        </is>
      </c>
      <c r="X68" s="11">
        <f>IF(OR(IFERROR(INDEX('Datos - Catálogo TIMSS'!$I$5:$I$107,MATCH(K68,'Datos - Catálogo TIMSS'!$A$5:$A$107,0)),"No")="Sí",IFERROR(INDEX('Datos - Catálogo TIMSS'!$I$5:$I$107,MATCH(L68,'Datos - Catálogo TIMSS'!$A$5:$A$107,0)),"No")="Sí"),1,0)</f>
        <v/>
      </c>
      <c r="Y68" s="11">
        <f>IF(IFERROR(INDEX('Datos - Catálogo TIMSS'!$J$5:$J$107,MATCH(K68,'Datos - Catálogo TIMSS'!$A$5:$A$107,0)),"No")="Sí",1,0)</f>
        <v/>
      </c>
      <c r="Z68" s="11">
        <f>IF(IFERROR(INDEX('Datos - Catálogo TIMSS'!$J$5:$J$107,MATCH(L68,'Datos - Catálogo TIMSS'!$A$5:$A$107,0)),"No")="Sí",1,0)</f>
        <v/>
      </c>
      <c r="AA68" s="11" t="inlineStr">
        <is>
          <t>T4-V3.3</t>
        </is>
      </c>
      <c r="AB68" s="11" t="inlineStr"/>
      <c r="AC68" s="11">
        <f>IF(AA68="FUERA","Fuera del marco",IF(AA68="N/A","Sin marco",IFERROR(INDEX('Datos - TIMSS 2023'!$C$5:$C$105,MATCH(AA68,'Datos - TIMSS 2023'!$A$5:$A$105,0)),"Pendiente de clasificar")))</f>
        <v/>
      </c>
      <c r="AD68" s="11" t="inlineStr">
        <is>
          <t>1. Explicar fenómenos científicamente</t>
        </is>
      </c>
      <c r="AE68" s="11">
        <f>IF(AD68="","",IF(LEFT(AD68,1)="1","C1",IF(LEFT(AD68,1)="2","C2",IF(LEFT(AD68,1)="3","C3",""))))</f>
        <v/>
      </c>
      <c r="AF68" s="11" t="inlineStr">
        <is>
          <t>E1</t>
        </is>
      </c>
      <c r="AG68" s="11" t="inlineStr">
        <is>
          <t>D1</t>
        </is>
      </c>
      <c r="AH68" s="11" t="inlineStr">
        <is>
          <t>E2</t>
        </is>
      </c>
      <c r="AI68" s="11" t="inlineStr">
        <is>
          <t>D4</t>
        </is>
      </c>
      <c r="AJ68" s="11" t="inlineStr">
        <is>
          <t>E6</t>
        </is>
      </c>
      <c r="AK68" s="11" t="n"/>
      <c r="AL68" s="11" t="n"/>
      <c r="AM68" s="11" t="n"/>
      <c r="AN68" s="11" t="n"/>
      <c r="AO68" s="11" t="n"/>
      <c r="AP68" s="11" t="n"/>
      <c r="AQ68" s="11" t="n"/>
      <c r="AR68" s="11" t="n"/>
      <c r="AS68" s="11" t="n"/>
      <c r="AT68" s="11" t="n"/>
      <c r="AU68" s="11" t="n"/>
      <c r="AV68" s="11" t="n"/>
      <c r="AW68" s="11">
        <f>AF68&amp;"; "&amp;AG68&amp;"; "&amp;AH68&amp;"; "&amp;AI68&amp;"; "&amp;AJ68</f>
        <v/>
      </c>
    </row>
    <row r="69">
      <c r="A69" s="11" t="inlineStr">
        <is>
          <t>T0703-G02-CIE</t>
        </is>
      </c>
      <c r="B69" s="11" t="n">
        <v>2</v>
      </c>
      <c r="C69" s="11" t="inlineStr">
        <is>
          <t>Ciencias</t>
        </is>
      </c>
      <c r="D69" s="11" t="inlineStr">
        <is>
          <t>Matriz_Ciencias_2do_Grado_U1_U6_3.xlsx</t>
        </is>
      </c>
      <c r="E69" s="11" t="inlineStr">
        <is>
          <t>Unidad 6 - Ambiente y salud</t>
        </is>
      </c>
      <c r="F69" s="11" t="n">
        <v>9</v>
      </c>
      <c r="G69" s="11" t="inlineStr">
        <is>
          <t>6. Ambiente y salud.</t>
        </is>
      </c>
      <c r="H69" s="11" t="inlineStr">
        <is>
          <t>Acciones humanas que transforman el entorno.</t>
        </is>
      </c>
      <c r="I69" s="38" t="inlineStr">
        <is>
          <t>6.7. Explicación de la procedencia y descarte de los materiales.</t>
        </is>
      </c>
      <c r="J69" s="11" t="inlineStr">
        <is>
          <t>T4_27</t>
        </is>
      </c>
      <c r="K69" s="11" t="inlineStr">
        <is>
          <t>T4_27-E3.1</t>
        </is>
      </c>
      <c r="L69" s="11" t="inlineStr">
        <is>
          <t>T4_27-B4.3</t>
        </is>
      </c>
      <c r="M69" s="11">
        <f>IF(K69="FUERA","Fuera del marco",IF(K69="N/A","Sin marco",IFERROR(INDEX('Datos - Catálogo TIMSS'!$C$5:$C$107,MATCH(K69,'Datos - Catálogo TIMSS'!$A$5:$A$107,0)),"Pendiente de clasificar")))</f>
        <v/>
      </c>
      <c r="N69" s="11">
        <f>IF(K69="FUERA","Fuera del marco",IF(K69="N/A","Sin marco",IFERROR(INDEX('Datos - Catálogo TIMSS'!$F$5:$F$107,MATCH(K69,'Datos - Catálogo TIMSS'!$A$5:$A$107,0)),"Pendiente de clasificar")))</f>
        <v/>
      </c>
      <c r="O69" s="11">
        <f>IF(L69="","",IFERROR(INDEX('Datos - Catálogo TIMSS'!$C$5:$C$107,MATCH(L69,'Datos - Catálogo TIMSS'!$A$5:$A$107,0)),"?"))</f>
        <v/>
      </c>
      <c r="P69" s="11" t="inlineStr">
        <is>
          <t>media</t>
        </is>
      </c>
      <c r="Q69" s="38" t="inlineStr">
        <is>
          <t>Procedencia y descarte de materiales; uso responsable de recursos.</t>
        </is>
      </c>
      <c r="R69" s="38" t="inlineStr">
        <is>
          <t>Aplicar: relacionar</t>
        </is>
      </c>
      <c r="S69" s="39">
        <f>IFERROR(ISNUMBER(SEARCH("Conocer",$R69))/(ISNUMBER(SEARCH("Conocer",$R69))+ISNUMBER(SEARCH("Aplicar",$R69))+ISNUMBER(SEARCH("Razonar",$R69))),0)</f>
        <v/>
      </c>
      <c r="T69" s="39">
        <f>IFERROR(ISNUMBER(SEARCH("Aplicar",$R69))/(ISNUMBER(SEARCH("Conocer",$R69))+ISNUMBER(SEARCH("Aplicar",$R69))+ISNUMBER(SEARCH("Razonar",$R69))),0)</f>
        <v/>
      </c>
      <c r="U69" s="39">
        <f>IFERROR(ISNUMBER(SEARCH("Razonar",$R69))/(ISNUMBER(SEARCH("Conocer",$R69))+ISNUMBER(SEARCH("Aplicar",$R69))+ISNUMBER(SEARCH("Razonar",$R69))),0)</f>
        <v/>
      </c>
      <c r="V69" s="11" t="inlineStr">
        <is>
          <t>2°</t>
        </is>
      </c>
      <c r="W69" s="11" t="inlineStr">
        <is>
          <t>Ciclo 2°–4°</t>
        </is>
      </c>
      <c r="X69" s="11">
        <f>IF(OR(IFERROR(INDEX('Datos - Catálogo TIMSS'!$I$5:$I$107,MATCH(K69,'Datos - Catálogo TIMSS'!$A$5:$A$107,0)),"No")="Sí",IFERROR(INDEX('Datos - Catálogo TIMSS'!$I$5:$I$107,MATCH(L69,'Datos - Catálogo TIMSS'!$A$5:$A$107,0)),"No")="Sí"),1,0)</f>
        <v/>
      </c>
      <c r="Y69" s="11">
        <f>IF(IFERROR(INDEX('Datos - Catálogo TIMSS'!$J$5:$J$107,MATCH(K69,'Datos - Catálogo TIMSS'!$A$5:$A$107,0)),"No")="Sí",1,0)</f>
        <v/>
      </c>
      <c r="Z69" s="11">
        <f>IF(IFERROR(INDEX('Datos - Catálogo TIMSS'!$J$5:$J$107,MATCH(L69,'Datos - Catálogo TIMSS'!$A$5:$A$107,0)),"No")="Sí",1,0)</f>
        <v/>
      </c>
      <c r="AA69" s="11" t="inlineStr">
        <is>
          <t>T4-T1.2</t>
        </is>
      </c>
      <c r="AB69" s="11" t="inlineStr">
        <is>
          <t>T4-V3.3</t>
        </is>
      </c>
      <c r="AC69" s="11">
        <f>IF(AA69="FUERA","Fuera del marco",IF(AA69="N/A","Sin marco",IFERROR(INDEX('Datos - TIMSS 2023'!$C$5:$C$105,MATCH(AA69,'Datos - TIMSS 2023'!$A$5:$A$105,0)),"Pendiente de clasificar")))</f>
        <v/>
      </c>
      <c r="AD69" s="11" t="inlineStr">
        <is>
          <t>3. Investigar, evaluar y usar información científica para tomar decisiones y actuar</t>
        </is>
      </c>
      <c r="AE69" s="11">
        <f>IF(AD69="","",IF(LEFT(AD69,1)="1","C1",IF(LEFT(AD69,1)="2","C2",IF(LEFT(AD69,1)="3","C3",""))))</f>
        <v/>
      </c>
      <c r="AF69" s="11" t="inlineStr">
        <is>
          <t>E1</t>
        </is>
      </c>
      <c r="AG69" s="11" t="inlineStr">
        <is>
          <t>D1</t>
        </is>
      </c>
      <c r="AH69" s="11" t="inlineStr">
        <is>
          <t>E2</t>
        </is>
      </c>
      <c r="AI69" s="11" t="inlineStr">
        <is>
          <t>I3</t>
        </is>
      </c>
      <c r="AJ69" s="11" t="inlineStr">
        <is>
          <t>I5</t>
        </is>
      </c>
      <c r="AK69" s="11" t="n"/>
      <c r="AL69" s="11" t="n"/>
      <c r="AM69" s="11" t="n"/>
      <c r="AN69" s="11" t="n"/>
      <c r="AO69" s="11" t="n"/>
      <c r="AP69" s="11" t="n"/>
      <c r="AQ69" s="11" t="n"/>
      <c r="AR69" s="11" t="n"/>
      <c r="AS69" s="11" t="n"/>
      <c r="AT69" s="11" t="n"/>
      <c r="AU69" s="11" t="n"/>
      <c r="AV69" s="11" t="n"/>
      <c r="AW69" s="11">
        <f>AF69&amp;"; "&amp;AG69&amp;"; "&amp;AH69&amp;"; "&amp;AI69&amp;"; "&amp;AJ69</f>
        <v/>
      </c>
    </row>
    <row r="70">
      <c r="A70" s="11" t="inlineStr">
        <is>
          <t>T0704-G02-CIE</t>
        </is>
      </c>
      <c r="B70" s="11" t="n">
        <v>2</v>
      </c>
      <c r="C70" s="11" t="inlineStr">
        <is>
          <t>Ciencias</t>
        </is>
      </c>
      <c r="D70" s="11" t="inlineStr">
        <is>
          <t>Matriz_Ciencias_2do_Grado_U1_U6_3.xlsx</t>
        </is>
      </c>
      <c r="E70" s="11" t="inlineStr">
        <is>
          <t>Unidad 6 - Ambiente y salud</t>
        </is>
      </c>
      <c r="F70" s="11" t="n">
        <v>10</v>
      </c>
      <c r="G70" s="11" t="inlineStr">
        <is>
          <t>6. Ambiente y salud.</t>
        </is>
      </c>
      <c r="H70" s="11" t="inlineStr">
        <is>
          <t>Acciones humanas que transforman el entorno.</t>
        </is>
      </c>
      <c r="I70" s="38" t="inlineStr">
        <is>
          <t>6.8. Registro de los residuos generados en la vida diaria.</t>
        </is>
      </c>
      <c r="J70" s="11" t="inlineStr">
        <is>
          <t>T4_27</t>
        </is>
      </c>
      <c r="K70" s="11" t="inlineStr">
        <is>
          <t>T4_27-B4.3</t>
        </is>
      </c>
      <c r="L70" s="11" t="inlineStr">
        <is>
          <t>T4_27-E3.1</t>
        </is>
      </c>
      <c r="M70" s="11">
        <f>IF(K70="FUERA","Fuera del marco",IF(K70="N/A","Sin marco",IFERROR(INDEX('Datos - Catálogo TIMSS'!$C$5:$C$107,MATCH(K70,'Datos - Catálogo TIMSS'!$A$5:$A$107,0)),"Pendiente de clasificar")))</f>
        <v/>
      </c>
      <c r="N70" s="11">
        <f>IF(K70="FUERA","Fuera del marco",IF(K70="N/A","Sin marco",IFERROR(INDEX('Datos - Catálogo TIMSS'!$F$5:$F$107,MATCH(K70,'Datos - Catálogo TIMSS'!$A$5:$A$107,0)),"Pendiente de clasificar")))</f>
        <v/>
      </c>
      <c r="O70" s="11">
        <f>IF(L70="","",IFERROR(INDEX('Datos - Catálogo TIMSS'!$C$5:$C$107,MATCH(L70,'Datos - Catálogo TIMSS'!$A$5:$A$107,0)),"?"))</f>
        <v/>
      </c>
      <c r="P70" s="11" t="inlineStr">
        <is>
          <t>media</t>
        </is>
      </c>
      <c r="Q70" s="38" t="inlineStr">
        <is>
          <t>Residuos y su reducción; impacto humano en el entorno.</t>
        </is>
      </c>
      <c r="R70" s="38" t="inlineStr">
        <is>
          <t>Razonar: extraer conclusiones sencillas</t>
        </is>
      </c>
      <c r="S70" s="39">
        <f>IFERROR(ISNUMBER(SEARCH("Conocer",$R70))/(ISNUMBER(SEARCH("Conocer",$R70))+ISNUMBER(SEARCH("Aplicar",$R70))+ISNUMBER(SEARCH("Razonar",$R70))),0)</f>
        <v/>
      </c>
      <c r="T70" s="39">
        <f>IFERROR(ISNUMBER(SEARCH("Aplicar",$R70))/(ISNUMBER(SEARCH("Conocer",$R70))+ISNUMBER(SEARCH("Aplicar",$R70))+ISNUMBER(SEARCH("Razonar",$R70))),0)</f>
        <v/>
      </c>
      <c r="U70" s="39">
        <f>IFERROR(ISNUMBER(SEARCH("Razonar",$R70))/(ISNUMBER(SEARCH("Conocer",$R70))+ISNUMBER(SEARCH("Aplicar",$R70))+ISNUMBER(SEARCH("Razonar",$R70))),0)</f>
        <v/>
      </c>
      <c r="V70" s="11" t="inlineStr">
        <is>
          <t>2°</t>
        </is>
      </c>
      <c r="W70" s="11" t="inlineStr">
        <is>
          <t>Ciclo 2°–4°</t>
        </is>
      </c>
      <c r="X70" s="11">
        <f>IF(OR(IFERROR(INDEX('Datos - Catálogo TIMSS'!$I$5:$I$107,MATCH(K70,'Datos - Catálogo TIMSS'!$A$5:$A$107,0)),"No")="Sí",IFERROR(INDEX('Datos - Catálogo TIMSS'!$I$5:$I$107,MATCH(L70,'Datos - Catálogo TIMSS'!$A$5:$A$107,0)),"No")="Sí"),1,0)</f>
        <v/>
      </c>
      <c r="Y70" s="11">
        <f>IF(IFERROR(INDEX('Datos - Catálogo TIMSS'!$J$5:$J$107,MATCH(K70,'Datos - Catálogo TIMSS'!$A$5:$A$107,0)),"No")="Sí",1,0)</f>
        <v/>
      </c>
      <c r="Z70" s="11">
        <f>IF(IFERROR(INDEX('Datos - Catálogo TIMSS'!$J$5:$J$107,MATCH(L70,'Datos - Catálogo TIMSS'!$A$5:$A$107,0)),"No")="Sí",1,0)</f>
        <v/>
      </c>
      <c r="AA70" s="11" t="inlineStr">
        <is>
          <t>T4-V3.3</t>
        </is>
      </c>
      <c r="AB70" s="11" t="inlineStr">
        <is>
          <t>T4-T1.2</t>
        </is>
      </c>
      <c r="AC70" s="11">
        <f>IF(AA70="FUERA","Fuera del marco",IF(AA70="N/A","Sin marco",IFERROR(INDEX('Datos - TIMSS 2023'!$C$5:$C$105,MATCH(AA70,'Datos - TIMSS 2023'!$A$5:$A$105,0)),"Pendiente de clasificar")))</f>
        <v/>
      </c>
      <c r="AD70" s="11" t="inlineStr">
        <is>
          <t>2. Construir y evaluar diseños para la indagación científica e interpretar datos y evidencia de forma crítica</t>
        </is>
      </c>
      <c r="AE70" s="11">
        <f>IF(AD70="","",IF(LEFT(AD70,1)="1","C1",IF(LEFT(AD70,1)="2","C2",IF(LEFT(AD70,1)="3","C3",""))))</f>
        <v/>
      </c>
      <c r="AF70" s="11" t="inlineStr">
        <is>
          <t>E6</t>
        </is>
      </c>
      <c r="AG70" s="11" t="inlineStr">
        <is>
          <t>E3</t>
        </is>
      </c>
      <c r="AH70" s="11" t="inlineStr">
        <is>
          <t>E1</t>
        </is>
      </c>
      <c r="AI70" s="11" t="inlineStr">
        <is>
          <t>D4</t>
        </is>
      </c>
      <c r="AJ70" s="11" t="inlineStr">
        <is>
          <t>I5</t>
        </is>
      </c>
      <c r="AK70" s="11" t="n"/>
      <c r="AL70" s="11" t="n"/>
      <c r="AM70" s="11" t="n"/>
      <c r="AN70" s="11" t="n"/>
      <c r="AO70" s="11" t="n"/>
      <c r="AP70" s="11" t="n"/>
      <c r="AQ70" s="11" t="n"/>
      <c r="AR70" s="11" t="n"/>
      <c r="AS70" s="11" t="n"/>
      <c r="AT70" s="11" t="n"/>
      <c r="AU70" s="11" t="n"/>
      <c r="AV70" s="11" t="n"/>
      <c r="AW70" s="11">
        <f>AF70&amp;"; "&amp;AG70&amp;"; "&amp;AH70&amp;"; "&amp;AI70&amp;"; "&amp;AJ70</f>
        <v/>
      </c>
    </row>
    <row r="71">
      <c r="A71" s="11" t="inlineStr">
        <is>
          <t>T0705-G02-CIE</t>
        </is>
      </c>
      <c r="B71" s="11" t="n">
        <v>2</v>
      </c>
      <c r="C71" s="11" t="inlineStr">
        <is>
          <t>Ciencias</t>
        </is>
      </c>
      <c r="D71" s="11" t="inlineStr">
        <is>
          <t>Matriz_Ciencias_2do_Grado_U1_U6_3.xlsx</t>
        </is>
      </c>
      <c r="E71" s="11" t="inlineStr">
        <is>
          <t>Unidad 6 - Ambiente y salud</t>
        </is>
      </c>
      <c r="F71" s="11" t="n">
        <v>11</v>
      </c>
      <c r="G71" s="11" t="inlineStr">
        <is>
          <t>6. Ambiente y salud.</t>
        </is>
      </c>
      <c r="H71" s="11" t="inlineStr">
        <is>
          <t>Cuidado personal.</t>
        </is>
      </c>
      <c r="I71" s="38" t="inlineStr">
        <is>
          <t>6.9. Relación de los hábitos higiénicos con la buena salud.</t>
        </is>
      </c>
      <c r="J71" s="11" t="inlineStr">
        <is>
          <t>T4_27</t>
        </is>
      </c>
      <c r="K71" s="11" t="inlineStr">
        <is>
          <t>T4_27-B5.1</t>
        </is>
      </c>
      <c r="L71" s="11" t="inlineStr"/>
      <c r="M71" s="11">
        <f>IF(K71="FUERA","Fuera del marco",IF(K71="N/A","Sin marco",IFERROR(INDEX('Datos - Catálogo TIMSS'!$C$5:$C$107,MATCH(K71,'Datos - Catálogo TIMSS'!$A$5:$A$107,0)),"Pendiente de clasificar")))</f>
        <v/>
      </c>
      <c r="N71" s="11">
        <f>IF(K71="FUERA","Fuera del marco",IF(K71="N/A","Sin marco",IFERROR(INDEX('Datos - Catálogo TIMSS'!$F$5:$F$107,MATCH(K71,'Datos - Catálogo TIMSS'!$A$5:$A$107,0)),"Pendiente de clasificar")))</f>
        <v/>
      </c>
      <c r="O71" s="11">
        <f>IF(L71="","",IFERROR(INDEX('Datos - Catálogo TIMSS'!$C$5:$C$107,MATCH(L71,'Datos - Catálogo TIMSS'!$A$5:$A$107,0)),"?"))</f>
        <v/>
      </c>
      <c r="P71" s="11" t="inlineStr">
        <is>
          <t>alta</t>
        </is>
      </c>
      <c r="Q71" s="38" t="inlineStr">
        <is>
          <t>Lavado de manos para prevenir contagio de enfermedades.</t>
        </is>
      </c>
      <c r="R71" s="38" t="inlineStr">
        <is>
          <t>Aplicar: relacionar</t>
        </is>
      </c>
      <c r="S71" s="39">
        <f>IFERROR(ISNUMBER(SEARCH("Conocer",$R71))/(ISNUMBER(SEARCH("Conocer",$R71))+ISNUMBER(SEARCH("Aplicar",$R71))+ISNUMBER(SEARCH("Razonar",$R71))),0)</f>
        <v/>
      </c>
      <c r="T71" s="39">
        <f>IFERROR(ISNUMBER(SEARCH("Aplicar",$R71))/(ISNUMBER(SEARCH("Conocer",$R71))+ISNUMBER(SEARCH("Aplicar",$R71))+ISNUMBER(SEARCH("Razonar",$R71))),0)</f>
        <v/>
      </c>
      <c r="U71" s="39">
        <f>IFERROR(ISNUMBER(SEARCH("Razonar",$R71))/(ISNUMBER(SEARCH("Conocer",$R71))+ISNUMBER(SEARCH("Aplicar",$R71))+ISNUMBER(SEARCH("Razonar",$R71))),0)</f>
        <v/>
      </c>
      <c r="V71" s="11" t="inlineStr">
        <is>
          <t>2°</t>
        </is>
      </c>
      <c r="W71" s="11" t="inlineStr">
        <is>
          <t>Ciclo 2°–4°</t>
        </is>
      </c>
      <c r="X71" s="11">
        <f>IF(OR(IFERROR(INDEX('Datos - Catálogo TIMSS'!$I$5:$I$107,MATCH(K71,'Datos - Catálogo TIMSS'!$A$5:$A$107,0)),"No")="Sí",IFERROR(INDEX('Datos - Catálogo TIMSS'!$I$5:$I$107,MATCH(L71,'Datos - Catálogo TIMSS'!$A$5:$A$107,0)),"No")="Sí"),1,0)</f>
        <v/>
      </c>
      <c r="Y71" s="11">
        <f>IF(IFERROR(INDEX('Datos - Catálogo TIMSS'!$J$5:$J$107,MATCH(K71,'Datos - Catálogo TIMSS'!$A$5:$A$107,0)),"No")="Sí",1,0)</f>
        <v/>
      </c>
      <c r="Z71" s="11">
        <f>IF(IFERROR(INDEX('Datos - Catálogo TIMSS'!$J$5:$J$107,MATCH(L71,'Datos - Catálogo TIMSS'!$A$5:$A$107,0)),"No")="Sí",1,0)</f>
        <v/>
      </c>
      <c r="AA71" s="11" t="inlineStr">
        <is>
          <t>T4-V5.2</t>
        </is>
      </c>
      <c r="AB71" s="11" t="inlineStr"/>
      <c r="AC71" s="11">
        <f>IF(AA71="FUERA","Fuera del marco",IF(AA71="N/A","Sin marco",IFERROR(INDEX('Datos - TIMSS 2023'!$C$5:$C$105,MATCH(AA71,'Datos - TIMSS 2023'!$A$5:$A$105,0)),"Pendiente de clasificar")))</f>
        <v/>
      </c>
      <c r="AD71" s="11" t="inlineStr">
        <is>
          <t>1. Explicar fenómenos científicamente</t>
        </is>
      </c>
      <c r="AE71" s="11">
        <f>IF(AD71="","",IF(LEFT(AD71,1)="1","C1",IF(LEFT(AD71,1)="2","C2",IF(LEFT(AD71,1)="3","C3",""))))</f>
        <v/>
      </c>
      <c r="AF71" s="11" t="inlineStr">
        <is>
          <t>E1</t>
        </is>
      </c>
      <c r="AG71" s="11" t="inlineStr">
        <is>
          <t>E5</t>
        </is>
      </c>
      <c r="AH71" s="11" t="inlineStr">
        <is>
          <t>E4</t>
        </is>
      </c>
      <c r="AI71" s="11" t="inlineStr">
        <is>
          <t>D4</t>
        </is>
      </c>
      <c r="AJ71" s="11" t="inlineStr">
        <is>
          <t>I5</t>
        </is>
      </c>
      <c r="AK71" s="11" t="n"/>
      <c r="AL71" s="11" t="n"/>
      <c r="AM71" s="11" t="n"/>
      <c r="AN71" s="11" t="n"/>
      <c r="AO71" s="11" t="n"/>
      <c r="AP71" s="11" t="n"/>
      <c r="AQ71" s="11" t="n"/>
      <c r="AR71" s="11" t="n"/>
      <c r="AS71" s="11" t="n"/>
      <c r="AT71" s="11" t="n"/>
      <c r="AU71" s="11" t="n"/>
      <c r="AV71" s="11" t="n"/>
      <c r="AW71" s="11">
        <f>AF71&amp;"; "&amp;AG71&amp;"; "&amp;AH71&amp;"; "&amp;AI71&amp;"; "&amp;AJ71</f>
        <v/>
      </c>
    </row>
    <row r="72">
      <c r="A72" s="11" t="inlineStr">
        <is>
          <t>T0706-G02-CIE</t>
        </is>
      </c>
      <c r="B72" s="11" t="n">
        <v>2</v>
      </c>
      <c r="C72" s="11" t="inlineStr">
        <is>
          <t>Ciencias</t>
        </is>
      </c>
      <c r="D72" s="11" t="inlineStr">
        <is>
          <t>Matriz_Ciencias_2do_Grado_U1_U6_3.xlsx</t>
        </is>
      </c>
      <c r="E72" s="11" t="inlineStr">
        <is>
          <t>Unidad 6 - Ambiente y salud</t>
        </is>
      </c>
      <c r="F72" s="11" t="n">
        <v>12</v>
      </c>
      <c r="G72" s="11" t="inlineStr">
        <is>
          <t>6. Ambiente y salud.</t>
        </is>
      </c>
      <c r="H72" s="11" t="inlineStr">
        <is>
          <t>Cuidado personal.</t>
        </is>
      </c>
      <c r="I72" s="38" t="inlineStr">
        <is>
          <t>6.10. Reconocimiento de las vacunas como una forma de prevenir enfermedades.</t>
        </is>
      </c>
      <c r="J72" s="11" t="inlineStr">
        <is>
          <t>T4_27</t>
        </is>
      </c>
      <c r="K72" s="11" t="inlineStr">
        <is>
          <t>T4_27-B5.1</t>
        </is>
      </c>
      <c r="L72" s="11" t="inlineStr"/>
      <c r="M72" s="11">
        <f>IF(K72="FUERA","Fuera del marco",IF(K72="N/A","Sin marco",IFERROR(INDEX('Datos - Catálogo TIMSS'!$C$5:$C$107,MATCH(K72,'Datos - Catálogo TIMSS'!$A$5:$A$107,0)),"Pendiente de clasificar")))</f>
        <v/>
      </c>
      <c r="N72" s="11">
        <f>IF(K72="FUERA","Fuera del marco",IF(K72="N/A","Sin marco",IFERROR(INDEX('Datos - Catálogo TIMSS'!$F$5:$F$107,MATCH(K72,'Datos - Catálogo TIMSS'!$A$5:$A$107,0)),"Pendiente de clasificar")))</f>
        <v/>
      </c>
      <c r="O72" s="11">
        <f>IF(L72="","",IFERROR(INDEX('Datos - Catálogo TIMSS'!$C$5:$C$107,MATCH(L72,'Datos - Catálogo TIMSS'!$A$5:$A$107,0)),"?"))</f>
        <v/>
      </c>
      <c r="P72" s="11" t="inlineStr">
        <is>
          <t>alta</t>
        </is>
      </c>
      <c r="Q72" s="38" t="inlineStr">
        <is>
          <t>Vacunas como forma de prevención de enfermedades.</t>
        </is>
      </c>
      <c r="R72" s="38" t="inlineStr">
        <is>
          <t>Conocer: reconocer</t>
        </is>
      </c>
      <c r="S72" s="39">
        <f>IFERROR(ISNUMBER(SEARCH("Conocer",$R72))/(ISNUMBER(SEARCH("Conocer",$R72))+ISNUMBER(SEARCH("Aplicar",$R72))+ISNUMBER(SEARCH("Razonar",$R72))),0)</f>
        <v/>
      </c>
      <c r="T72" s="39">
        <f>IFERROR(ISNUMBER(SEARCH("Aplicar",$R72))/(ISNUMBER(SEARCH("Conocer",$R72))+ISNUMBER(SEARCH("Aplicar",$R72))+ISNUMBER(SEARCH("Razonar",$R72))),0)</f>
        <v/>
      </c>
      <c r="U72" s="39">
        <f>IFERROR(ISNUMBER(SEARCH("Razonar",$R72))/(ISNUMBER(SEARCH("Conocer",$R72))+ISNUMBER(SEARCH("Aplicar",$R72))+ISNUMBER(SEARCH("Razonar",$R72))),0)</f>
        <v/>
      </c>
      <c r="V72" s="11" t="inlineStr">
        <is>
          <t>2°</t>
        </is>
      </c>
      <c r="W72" s="11" t="inlineStr">
        <is>
          <t>Ciclo 2°–4°</t>
        </is>
      </c>
      <c r="X72" s="11">
        <f>IF(OR(IFERROR(INDEX('Datos - Catálogo TIMSS'!$I$5:$I$107,MATCH(K72,'Datos - Catálogo TIMSS'!$A$5:$A$107,0)),"No")="Sí",IFERROR(INDEX('Datos - Catálogo TIMSS'!$I$5:$I$107,MATCH(L72,'Datos - Catálogo TIMSS'!$A$5:$A$107,0)),"No")="Sí"),1,0)</f>
        <v/>
      </c>
      <c r="Y72" s="11">
        <f>IF(IFERROR(INDEX('Datos - Catálogo TIMSS'!$J$5:$J$107,MATCH(K72,'Datos - Catálogo TIMSS'!$A$5:$A$107,0)),"No")="Sí",1,0)</f>
        <v/>
      </c>
      <c r="Z72" s="11">
        <f>IF(IFERROR(INDEX('Datos - Catálogo TIMSS'!$J$5:$J$107,MATCH(L72,'Datos - Catálogo TIMSS'!$A$5:$A$107,0)),"No")="Sí",1,0)</f>
        <v/>
      </c>
      <c r="AA72" s="11" t="inlineStr">
        <is>
          <t>T4-V5.2</t>
        </is>
      </c>
      <c r="AB72" s="11" t="inlineStr"/>
      <c r="AC72" s="11">
        <f>IF(AA72="FUERA","Fuera del marco",IF(AA72="N/A","Sin marco",IFERROR(INDEX('Datos - TIMSS 2023'!$C$5:$C$105,MATCH(AA72,'Datos - TIMSS 2023'!$A$5:$A$105,0)),"Pendiente de clasificar")))</f>
        <v/>
      </c>
      <c r="AD72" s="11" t="inlineStr">
        <is>
          <t>3. Investigar, evaluar y usar información científica para tomar decisiones y actuar</t>
        </is>
      </c>
      <c r="AE72" s="11">
        <f>IF(AD72="","",IF(LEFT(AD72,1)="1","C1",IF(LEFT(AD72,1)="2","C2",IF(LEFT(AD72,1)="3","C3",""))))</f>
        <v/>
      </c>
      <c r="AF72" s="11" t="inlineStr">
        <is>
          <t>E1</t>
        </is>
      </c>
      <c r="AG72" s="11" t="inlineStr">
        <is>
          <t>D1</t>
        </is>
      </c>
      <c r="AH72" s="11" t="inlineStr">
        <is>
          <t>E1</t>
        </is>
      </c>
      <c r="AI72" s="11" t="inlineStr">
        <is>
          <t>I2</t>
        </is>
      </c>
      <c r="AJ72" s="11" t="inlineStr">
        <is>
          <t>E6</t>
        </is>
      </c>
      <c r="AK72" s="11" t="n"/>
      <c r="AL72" s="11" t="n"/>
      <c r="AM72" s="11" t="n"/>
      <c r="AN72" s="11" t="n"/>
      <c r="AO72" s="11" t="n"/>
      <c r="AP72" s="11" t="n"/>
      <c r="AQ72" s="11" t="n"/>
      <c r="AR72" s="11" t="n"/>
      <c r="AS72" s="11" t="n"/>
      <c r="AT72" s="11" t="n"/>
      <c r="AU72" s="11" t="n"/>
      <c r="AV72" s="11" t="n"/>
      <c r="AW72" s="11">
        <f>AF72&amp;"; "&amp;AG72&amp;"; "&amp;AH72&amp;"; "&amp;AI72&amp;"; "&amp;AJ72</f>
        <v/>
      </c>
    </row>
    <row r="73">
      <c r="A73" s="11" t="inlineStr">
        <is>
          <t>T0707-G02-CIE</t>
        </is>
      </c>
      <c r="B73" s="11" t="n">
        <v>2</v>
      </c>
      <c r="C73" s="11" t="inlineStr">
        <is>
          <t>Ciencias</t>
        </is>
      </c>
      <c r="D73" s="11" t="inlineStr">
        <is>
          <t>Matriz_Ciencias_2do_Grado_U1_U6_3.xlsx</t>
        </is>
      </c>
      <c r="E73" s="11" t="inlineStr">
        <is>
          <t>Unidad 6 - Ambiente y salud</t>
        </is>
      </c>
      <c r="F73" s="11" t="n">
        <v>13</v>
      </c>
      <c r="G73" s="11" t="inlineStr">
        <is>
          <t>6. Ambiente y salud.</t>
        </is>
      </c>
      <c r="H73" s="11" t="inlineStr">
        <is>
          <t>Alimentación saludable.</t>
        </is>
      </c>
      <c r="I73" s="38" t="inlineStr">
        <is>
          <t>6.11. Reconocimiento de prácticas higiénicas al preparar alimentos.</t>
        </is>
      </c>
      <c r="J73" s="11" t="inlineStr">
        <is>
          <t>T4_27</t>
        </is>
      </c>
      <c r="K73" s="11" t="inlineStr">
        <is>
          <t>T4_27-B5.1</t>
        </is>
      </c>
      <c r="L73" s="11" t="inlineStr"/>
      <c r="M73" s="11">
        <f>IF(K73="FUERA","Fuera del marco",IF(K73="N/A","Sin marco",IFERROR(INDEX('Datos - Catálogo TIMSS'!$C$5:$C$107,MATCH(K73,'Datos - Catálogo TIMSS'!$A$5:$A$107,0)),"Pendiente de clasificar")))</f>
        <v/>
      </c>
      <c r="N73" s="11">
        <f>IF(K73="FUERA","Fuera del marco",IF(K73="N/A","Sin marco",IFERROR(INDEX('Datos - Catálogo TIMSS'!$F$5:$F$107,MATCH(K73,'Datos - Catálogo TIMSS'!$A$5:$A$107,0)),"Pendiente de clasificar")))</f>
        <v/>
      </c>
      <c r="O73" s="11">
        <f>IF(L73="","",IFERROR(INDEX('Datos - Catálogo TIMSS'!$C$5:$C$107,MATCH(L73,'Datos - Catálogo TIMSS'!$A$5:$A$107,0)),"?"))</f>
        <v/>
      </c>
      <c r="P73" s="11" t="inlineStr">
        <is>
          <t>media</t>
        </is>
      </c>
      <c r="Q73" s="38" t="inlineStr">
        <is>
          <t>Higiene al preparar alimentos para prevenir enfermedades.</t>
        </is>
      </c>
      <c r="R73" s="38" t="inlineStr">
        <is>
          <t>Aplicar: relacionar</t>
        </is>
      </c>
      <c r="S73" s="39">
        <f>IFERROR(ISNUMBER(SEARCH("Conocer",$R73))/(ISNUMBER(SEARCH("Conocer",$R73))+ISNUMBER(SEARCH("Aplicar",$R73))+ISNUMBER(SEARCH("Razonar",$R73))),0)</f>
        <v/>
      </c>
      <c r="T73" s="39">
        <f>IFERROR(ISNUMBER(SEARCH("Aplicar",$R73))/(ISNUMBER(SEARCH("Conocer",$R73))+ISNUMBER(SEARCH("Aplicar",$R73))+ISNUMBER(SEARCH("Razonar",$R73))),0)</f>
        <v/>
      </c>
      <c r="U73" s="39">
        <f>IFERROR(ISNUMBER(SEARCH("Razonar",$R73))/(ISNUMBER(SEARCH("Conocer",$R73))+ISNUMBER(SEARCH("Aplicar",$R73))+ISNUMBER(SEARCH("Razonar",$R73))),0)</f>
        <v/>
      </c>
      <c r="V73" s="11" t="inlineStr">
        <is>
          <t>2°</t>
        </is>
      </c>
      <c r="W73" s="11" t="inlineStr">
        <is>
          <t>Ciclo 2°–4°</t>
        </is>
      </c>
      <c r="X73" s="11">
        <f>IF(OR(IFERROR(INDEX('Datos - Catálogo TIMSS'!$I$5:$I$107,MATCH(K73,'Datos - Catálogo TIMSS'!$A$5:$A$107,0)),"No")="Sí",IFERROR(INDEX('Datos - Catálogo TIMSS'!$I$5:$I$107,MATCH(L73,'Datos - Catálogo TIMSS'!$A$5:$A$107,0)),"No")="Sí"),1,0)</f>
        <v/>
      </c>
      <c r="Y73" s="11">
        <f>IF(IFERROR(INDEX('Datos - Catálogo TIMSS'!$J$5:$J$107,MATCH(K73,'Datos - Catálogo TIMSS'!$A$5:$A$107,0)),"No")="Sí",1,0)</f>
        <v/>
      </c>
      <c r="Z73" s="11">
        <f>IF(IFERROR(INDEX('Datos - Catálogo TIMSS'!$J$5:$J$107,MATCH(L73,'Datos - Catálogo TIMSS'!$A$5:$A$107,0)),"No")="Sí",1,0)</f>
        <v/>
      </c>
      <c r="AA73" s="11" t="inlineStr">
        <is>
          <t>T4-V5.2</t>
        </is>
      </c>
      <c r="AB73" s="11" t="inlineStr">
        <is>
          <t>T4-V5.1</t>
        </is>
      </c>
      <c r="AC73" s="11">
        <f>IF(AA73="FUERA","Fuera del marco",IF(AA73="N/A","Sin marco",IFERROR(INDEX('Datos - TIMSS 2023'!$C$5:$C$105,MATCH(AA73,'Datos - TIMSS 2023'!$A$5:$A$105,0)),"Pendiente de clasificar")))</f>
        <v/>
      </c>
      <c r="AD73" s="11" t="inlineStr">
        <is>
          <t>3. Investigar, evaluar y usar información científica para tomar decisiones y actuar</t>
        </is>
      </c>
      <c r="AE73" s="11">
        <f>IF(AD73="","",IF(LEFT(AD73,1)="1","C1",IF(LEFT(AD73,1)="2","C2",IF(LEFT(AD73,1)="3","C3",""))))</f>
        <v/>
      </c>
      <c r="AF73" s="11" t="inlineStr">
        <is>
          <t>E1</t>
        </is>
      </c>
      <c r="AG73" s="11" t="inlineStr">
        <is>
          <t>D1</t>
        </is>
      </c>
      <c r="AH73" s="11" t="inlineStr">
        <is>
          <t>E1</t>
        </is>
      </c>
      <c r="AI73" s="11" t="inlineStr">
        <is>
          <t>D3</t>
        </is>
      </c>
      <c r="AJ73" s="11" t="inlineStr">
        <is>
          <t>I5</t>
        </is>
      </c>
      <c r="AK73" s="11" t="n"/>
      <c r="AL73" s="11" t="n"/>
      <c r="AM73" s="11" t="n"/>
      <c r="AN73" s="11" t="n"/>
      <c r="AO73" s="11" t="n"/>
      <c r="AP73" s="11" t="n"/>
      <c r="AQ73" s="11" t="n"/>
      <c r="AR73" s="11" t="n"/>
      <c r="AS73" s="11" t="n"/>
      <c r="AT73" s="11" t="n"/>
      <c r="AU73" s="11" t="n"/>
      <c r="AV73" s="11" t="n"/>
      <c r="AW73" s="11">
        <f>AF73&amp;"; "&amp;AG73&amp;"; "&amp;AH73&amp;"; "&amp;AI73&amp;"; "&amp;AJ73</f>
        <v/>
      </c>
    </row>
    <row r="74">
      <c r="A74" s="11" t="inlineStr">
        <is>
          <t>T0708-G02-CIE</t>
        </is>
      </c>
      <c r="B74" s="11" t="n">
        <v>2</v>
      </c>
      <c r="C74" s="11" t="inlineStr">
        <is>
          <t>Ciencias</t>
        </is>
      </c>
      <c r="D74" s="11" t="inlineStr">
        <is>
          <t>Matriz_Ciencias_2do_Grado_U1_U6_3.xlsx</t>
        </is>
      </c>
      <c r="E74" s="11" t="inlineStr">
        <is>
          <t>Unidad 6 - Ambiente y salud</t>
        </is>
      </c>
      <c r="F74" s="11" t="n">
        <v>14</v>
      </c>
      <c r="G74" s="11" t="inlineStr">
        <is>
          <t>6. Ambiente y salud.</t>
        </is>
      </c>
      <c r="H74" s="11" t="inlineStr">
        <is>
          <t>Alimentación saludable.</t>
        </is>
      </c>
      <c r="I74" s="38" t="inlineStr">
        <is>
          <t>6.12. Explicación de los beneficios del consumo variado de alimentos.</t>
        </is>
      </c>
      <c r="J74" s="11" t="inlineStr">
        <is>
          <t>T4_27</t>
        </is>
      </c>
      <c r="K74" s="11" t="inlineStr">
        <is>
          <t>T4_27-B5.2</t>
        </is>
      </c>
      <c r="L74" s="11" t="inlineStr"/>
      <c r="M74" s="11">
        <f>IF(K74="FUERA","Fuera del marco",IF(K74="N/A","Sin marco",IFERROR(INDEX('Datos - Catálogo TIMSS'!$C$5:$C$107,MATCH(K74,'Datos - Catálogo TIMSS'!$A$5:$A$107,0)),"Pendiente de clasificar")))</f>
        <v/>
      </c>
      <c r="N74" s="11">
        <f>IF(K74="FUERA","Fuera del marco",IF(K74="N/A","Sin marco",IFERROR(INDEX('Datos - Catálogo TIMSS'!$F$5:$F$107,MATCH(K74,'Datos - Catálogo TIMSS'!$A$5:$A$107,0)),"Pendiente de clasificar")))</f>
        <v/>
      </c>
      <c r="O74" s="11">
        <f>IF(L74="","",IFERROR(INDEX('Datos - Catálogo TIMSS'!$C$5:$C$107,MATCH(L74,'Datos - Catálogo TIMSS'!$A$5:$A$107,0)),"?"))</f>
        <v/>
      </c>
      <c r="P74" s="11" t="inlineStr">
        <is>
          <t>alta</t>
        </is>
      </c>
      <c r="Q74" s="38" t="inlineStr">
        <is>
          <t>Dieta variada y balanceada para la salud.</t>
        </is>
      </c>
      <c r="R74" s="38" t="inlineStr">
        <is>
          <t>Razonar: justificar con sus palabras</t>
        </is>
      </c>
      <c r="S74" s="39">
        <f>IFERROR(ISNUMBER(SEARCH("Conocer",$R74))/(ISNUMBER(SEARCH("Conocer",$R74))+ISNUMBER(SEARCH("Aplicar",$R74))+ISNUMBER(SEARCH("Razonar",$R74))),0)</f>
        <v/>
      </c>
      <c r="T74" s="39">
        <f>IFERROR(ISNUMBER(SEARCH("Aplicar",$R74))/(ISNUMBER(SEARCH("Conocer",$R74))+ISNUMBER(SEARCH("Aplicar",$R74))+ISNUMBER(SEARCH("Razonar",$R74))),0)</f>
        <v/>
      </c>
      <c r="U74" s="39">
        <f>IFERROR(ISNUMBER(SEARCH("Razonar",$R74))/(ISNUMBER(SEARCH("Conocer",$R74))+ISNUMBER(SEARCH("Aplicar",$R74))+ISNUMBER(SEARCH("Razonar",$R74))),0)</f>
        <v/>
      </c>
      <c r="V74" s="11" t="inlineStr">
        <is>
          <t>2°</t>
        </is>
      </c>
      <c r="W74" s="11" t="inlineStr">
        <is>
          <t>Ciclo 2°–4°</t>
        </is>
      </c>
      <c r="X74" s="11">
        <f>IF(OR(IFERROR(INDEX('Datos - Catálogo TIMSS'!$I$5:$I$107,MATCH(K74,'Datos - Catálogo TIMSS'!$A$5:$A$107,0)),"No")="Sí",IFERROR(INDEX('Datos - Catálogo TIMSS'!$I$5:$I$107,MATCH(L74,'Datos - Catálogo TIMSS'!$A$5:$A$107,0)),"No")="Sí"),1,0)</f>
        <v/>
      </c>
      <c r="Y74" s="11">
        <f>IF(IFERROR(INDEX('Datos - Catálogo TIMSS'!$J$5:$J$107,MATCH(K74,'Datos - Catálogo TIMSS'!$A$5:$A$107,0)),"No")="Sí",1,0)</f>
        <v/>
      </c>
      <c r="Z74" s="11">
        <f>IF(IFERROR(INDEX('Datos - Catálogo TIMSS'!$J$5:$J$107,MATCH(L74,'Datos - Catálogo TIMSS'!$A$5:$A$107,0)),"No")="Sí",1,0)</f>
        <v/>
      </c>
      <c r="AA74" s="11" t="inlineStr">
        <is>
          <t>T4-V5.1</t>
        </is>
      </c>
      <c r="AB74" s="11" t="inlineStr"/>
      <c r="AC74" s="11">
        <f>IF(AA74="FUERA","Fuera del marco",IF(AA74="N/A","Sin marco",IFERROR(INDEX('Datos - TIMSS 2023'!$C$5:$C$105,MATCH(AA74,'Datos - TIMSS 2023'!$A$5:$A$105,0)),"Pendiente de clasificar")))</f>
        <v/>
      </c>
      <c r="AD74" s="11" t="inlineStr">
        <is>
          <t>3. Investigar, evaluar y usar información científica para tomar decisiones y actuar</t>
        </is>
      </c>
      <c r="AE74" s="11">
        <f>IF(AD74="","",IF(LEFT(AD74,1)="1","C1",IF(LEFT(AD74,1)="2","C2",IF(LEFT(AD74,1)="3","C3",""))))</f>
        <v/>
      </c>
      <c r="AF74" s="11" t="inlineStr">
        <is>
          <t>E1</t>
        </is>
      </c>
      <c r="AG74" s="11" t="inlineStr">
        <is>
          <t>D1</t>
        </is>
      </c>
      <c r="AH74" s="11" t="inlineStr">
        <is>
          <t>E1</t>
        </is>
      </c>
      <c r="AI74" s="11" t="inlineStr">
        <is>
          <t>I2</t>
        </is>
      </c>
      <c r="AJ74" s="11" t="inlineStr">
        <is>
          <t>I5</t>
        </is>
      </c>
      <c r="AK74" s="11" t="n"/>
      <c r="AL74" s="11" t="n"/>
      <c r="AM74" s="11" t="n"/>
      <c r="AN74" s="11" t="n"/>
      <c r="AO74" s="11" t="n"/>
      <c r="AP74" s="11" t="n"/>
      <c r="AQ74" s="11" t="n"/>
      <c r="AR74" s="11" t="n"/>
      <c r="AS74" s="11" t="n"/>
      <c r="AT74" s="11" t="n"/>
      <c r="AU74" s="11" t="n"/>
      <c r="AV74" s="11" t="n"/>
      <c r="AW74" s="11">
        <f>AF74&amp;"; "&amp;AG74&amp;"; "&amp;AH74&amp;"; "&amp;AI74&amp;"; "&amp;AJ74</f>
        <v/>
      </c>
    </row>
    <row r="75">
      <c r="A75" s="11" t="inlineStr">
        <is>
          <t>T0709-G03-CIE</t>
        </is>
      </c>
      <c r="B75" s="11" t="n">
        <v>3</v>
      </c>
      <c r="C75" s="11" t="inlineStr">
        <is>
          <t>Ciencias</t>
        </is>
      </c>
      <c r="D75" s="11" t="inlineStr">
        <is>
          <t>Matriz_Ciencias_3er_Grado_U1_U6.xlsx</t>
        </is>
      </c>
      <c r="E75" s="11" t="inlineStr">
        <is>
          <t>Unidad 1 - Medidas y fuerzas</t>
        </is>
      </c>
      <c r="F75" s="11" t="n">
        <v>3</v>
      </c>
      <c r="G75" s="11" t="inlineStr">
        <is>
          <t>1. Medidas y fuerzas.</t>
        </is>
      </c>
      <c r="H75" s="11" t="inlineStr">
        <is>
          <t>Instrumentos de medición.</t>
        </is>
      </c>
      <c r="I75" s="38" t="inlineStr">
        <is>
          <t>1.1. Medición directa empleando diferentes instrumentos.</t>
        </is>
      </c>
      <c r="J75" s="11" t="inlineStr">
        <is>
          <t>T4_27</t>
        </is>
      </c>
      <c r="K75" s="11" t="inlineStr">
        <is>
          <t>T4_27-P6.1</t>
        </is>
      </c>
      <c r="L75" s="11" t="inlineStr"/>
      <c r="M75" s="11">
        <f>IF(K75="FUERA","Fuera del marco",IF(K75="N/A","Sin marco",IFERROR(INDEX('Datos - Catálogo TIMSS'!$C$5:$C$107,MATCH(K75,'Datos - Catálogo TIMSS'!$A$5:$A$107,0)),"Pendiente de clasificar")))</f>
        <v/>
      </c>
      <c r="N75" s="11">
        <f>IF(K75="FUERA","Fuera del marco",IF(K75="N/A","Sin marco",IFERROR(INDEX('Datos - Catálogo TIMSS'!$F$5:$F$107,MATCH(K75,'Datos - Catálogo TIMSS'!$A$5:$A$107,0)),"Pendiente de clasificar")))</f>
        <v/>
      </c>
      <c r="O75" s="11">
        <f>IF(L75="","",IFERROR(INDEX('Datos - Catálogo TIMSS'!$C$5:$C$107,MATCH(L75,'Datos - Catálogo TIMSS'!$A$5:$A$107,0)),"?"))</f>
        <v/>
      </c>
      <c r="P75" s="11" t="inlineStr">
        <is>
          <t>media</t>
        </is>
      </c>
      <c r="Q75" s="38" t="inlineStr">
        <is>
          <t>Uso de instrumentos de medición sin contenido disciplinar; equipo de investigación</t>
        </is>
      </c>
      <c r="R75" s="38" t="inlineStr">
        <is>
          <t>Aplicar: medir con instrumentos. Razonar: comparar resultados</t>
        </is>
      </c>
      <c r="S75" s="39">
        <f>IFERROR(ISNUMBER(SEARCH("Conocer",$R75))/(ISNUMBER(SEARCH("Conocer",$R75))+ISNUMBER(SEARCH("Aplicar",$R75))+ISNUMBER(SEARCH("Razonar",$R75))),0)</f>
        <v/>
      </c>
      <c r="T75" s="39">
        <f>IFERROR(ISNUMBER(SEARCH("Aplicar",$R75))/(ISNUMBER(SEARCH("Conocer",$R75))+ISNUMBER(SEARCH("Aplicar",$R75))+ISNUMBER(SEARCH("Razonar",$R75))),0)</f>
        <v/>
      </c>
      <c r="U75" s="39">
        <f>IFERROR(ISNUMBER(SEARCH("Razonar",$R75))/(ISNUMBER(SEARCH("Conocer",$R75))+ISNUMBER(SEARCH("Aplicar",$R75))+ISNUMBER(SEARCH("Razonar",$R75))),0)</f>
        <v/>
      </c>
      <c r="V75" s="11" t="inlineStr">
        <is>
          <t>3°</t>
        </is>
      </c>
      <c r="W75" s="11" t="inlineStr">
        <is>
          <t>Ciclo 2°–4°</t>
        </is>
      </c>
      <c r="X75" s="11">
        <f>IF(OR(IFERROR(INDEX('Datos - Catálogo TIMSS'!$I$5:$I$107,MATCH(K75,'Datos - Catálogo TIMSS'!$A$5:$A$107,0)),"No")="Sí",IFERROR(INDEX('Datos - Catálogo TIMSS'!$I$5:$I$107,MATCH(L75,'Datos - Catálogo TIMSS'!$A$5:$A$107,0)),"No")="Sí"),1,0)</f>
        <v/>
      </c>
      <c r="Y75" s="11">
        <f>IF(IFERROR(INDEX('Datos - Catálogo TIMSS'!$J$5:$J$107,MATCH(K75,'Datos - Catálogo TIMSS'!$A$5:$A$107,0)),"No")="Sí",1,0)</f>
        <v/>
      </c>
      <c r="Z75" s="11">
        <f>IF(IFERROR(INDEX('Datos - Catálogo TIMSS'!$J$5:$J$107,MATCH(L75,'Datos - Catálogo TIMSS'!$A$5:$A$107,0)),"No")="Sí",1,0)</f>
        <v/>
      </c>
      <c r="AA75" s="11" t="inlineStr">
        <is>
          <t>FUERA</t>
        </is>
      </c>
      <c r="AB75" s="11" t="inlineStr"/>
      <c r="AC75" s="11">
        <f>IF(AA75="FUERA","Fuera del marco",IF(AA75="N/A","Sin marco",IFERROR(INDEX('Datos - TIMSS 2023'!$C$5:$C$105,MATCH(AA75,'Datos - TIMSS 2023'!$A$5:$A$105,0)),"Pendiente de clasificar")))</f>
        <v/>
      </c>
      <c r="AD75" s="11" t="inlineStr">
        <is>
          <t>2. Construir y evaluar diseños para la indagación científica e interpretar datos y evidencia de forma crítica</t>
        </is>
      </c>
      <c r="AE75" s="11">
        <f>IF(AD75="","",IF(LEFT(AD75,1)="1","C1",IF(LEFT(AD75,1)="2","C2",IF(LEFT(AD75,1)="3","C3",""))))</f>
        <v/>
      </c>
      <c r="AF75" s="11" t="inlineStr">
        <is>
          <t>E1</t>
        </is>
      </c>
      <c r="AG75" s="11" t="inlineStr">
        <is>
          <t>D1</t>
        </is>
      </c>
      <c r="AH75" s="11" t="inlineStr">
        <is>
          <t>E1</t>
        </is>
      </c>
      <c r="AI75" s="11" t="inlineStr">
        <is>
          <t>D4</t>
        </is>
      </c>
      <c r="AJ75" s="11" t="inlineStr">
        <is>
          <t>E3</t>
        </is>
      </c>
      <c r="AK75" s="11" t="n"/>
      <c r="AL75" s="11" t="n"/>
      <c r="AM75" s="11" t="n"/>
      <c r="AN75" s="11" t="n"/>
      <c r="AO75" s="11" t="n"/>
      <c r="AP75" s="11" t="n"/>
      <c r="AQ75" s="11" t="n"/>
      <c r="AR75" s="11" t="n"/>
      <c r="AS75" s="11" t="n"/>
      <c r="AT75" s="11" t="n"/>
      <c r="AU75" s="11" t="n"/>
      <c r="AV75" s="11" t="n"/>
      <c r="AW75" s="11">
        <f>AF75&amp;"; "&amp;AG75&amp;"; "&amp;AH75&amp;"; "&amp;AI75&amp;"; "&amp;AJ75</f>
        <v/>
      </c>
    </row>
    <row r="76">
      <c r="A76" s="11" t="inlineStr">
        <is>
          <t>T0710-G03-CIE</t>
        </is>
      </c>
      <c r="B76" s="11" t="n">
        <v>3</v>
      </c>
      <c r="C76" s="11" t="inlineStr">
        <is>
          <t>Ciencias</t>
        </is>
      </c>
      <c r="D76" s="11" t="inlineStr">
        <is>
          <t>Matriz_Ciencias_3er_Grado_U1_U6.xlsx</t>
        </is>
      </c>
      <c r="E76" s="11" t="inlineStr">
        <is>
          <t>Unidad 1 - Medidas y fuerzas</t>
        </is>
      </c>
      <c r="F76" s="11" t="n">
        <v>4</v>
      </c>
      <c r="G76" s="11" t="inlineStr">
        <is>
          <t>1. Medidas y fuerzas.</t>
        </is>
      </c>
      <c r="H76" s="11" t="inlineStr">
        <is>
          <t>Instrumentos de medición.</t>
        </is>
      </c>
      <c r="I76" s="38" t="inlineStr">
        <is>
          <t>1.2. Selección del instrumento de medición apropiado según el objeto a medir.</t>
        </is>
      </c>
      <c r="J76" s="11" t="inlineStr">
        <is>
          <t>T4_27</t>
        </is>
      </c>
      <c r="K76" s="11" t="inlineStr">
        <is>
          <t>T4_27-P6.1</t>
        </is>
      </c>
      <c r="L76" s="11" t="inlineStr"/>
      <c r="M76" s="11">
        <f>IF(K76="FUERA","Fuera del marco",IF(K76="N/A","Sin marco",IFERROR(INDEX('Datos - Catálogo TIMSS'!$C$5:$C$107,MATCH(K76,'Datos - Catálogo TIMSS'!$A$5:$A$107,0)),"Pendiente de clasificar")))</f>
        <v/>
      </c>
      <c r="N76" s="11">
        <f>IF(K76="FUERA","Fuera del marco",IF(K76="N/A","Sin marco",IFERROR(INDEX('Datos - Catálogo TIMSS'!$F$5:$F$107,MATCH(K76,'Datos - Catálogo TIMSS'!$A$5:$A$107,0)),"Pendiente de clasificar")))</f>
        <v/>
      </c>
      <c r="O76" s="11">
        <f>IF(L76="","",IFERROR(INDEX('Datos - Catálogo TIMSS'!$C$5:$C$107,MATCH(L76,'Datos - Catálogo TIMSS'!$A$5:$A$107,0)),"?"))</f>
        <v/>
      </c>
      <c r="P76" s="11" t="inlineStr">
        <is>
          <t>media</t>
        </is>
      </c>
      <c r="Q76" s="38" t="inlineStr">
        <is>
          <t>Elegir instrumento adecuado para medir; uso de equipo común</t>
        </is>
      </c>
      <c r="R76" s="38" t="inlineStr">
        <is>
          <t>Aplicar: seleccionar instrumentos. Razonar: justificar</t>
        </is>
      </c>
      <c r="S76" s="39">
        <f>IFERROR(ISNUMBER(SEARCH("Conocer",$R76))/(ISNUMBER(SEARCH("Conocer",$R76))+ISNUMBER(SEARCH("Aplicar",$R76))+ISNUMBER(SEARCH("Razonar",$R76))),0)</f>
        <v/>
      </c>
      <c r="T76" s="39">
        <f>IFERROR(ISNUMBER(SEARCH("Aplicar",$R76))/(ISNUMBER(SEARCH("Conocer",$R76))+ISNUMBER(SEARCH("Aplicar",$R76))+ISNUMBER(SEARCH("Razonar",$R76))),0)</f>
        <v/>
      </c>
      <c r="U76" s="39">
        <f>IFERROR(ISNUMBER(SEARCH("Razonar",$R76))/(ISNUMBER(SEARCH("Conocer",$R76))+ISNUMBER(SEARCH("Aplicar",$R76))+ISNUMBER(SEARCH("Razonar",$R76))),0)</f>
        <v/>
      </c>
      <c r="V76" s="11" t="inlineStr">
        <is>
          <t>3°</t>
        </is>
      </c>
      <c r="W76" s="11" t="inlineStr">
        <is>
          <t>Ciclo 2°–4°</t>
        </is>
      </c>
      <c r="X76" s="11">
        <f>IF(OR(IFERROR(INDEX('Datos - Catálogo TIMSS'!$I$5:$I$107,MATCH(K76,'Datos - Catálogo TIMSS'!$A$5:$A$107,0)),"No")="Sí",IFERROR(INDEX('Datos - Catálogo TIMSS'!$I$5:$I$107,MATCH(L76,'Datos - Catálogo TIMSS'!$A$5:$A$107,0)),"No")="Sí"),1,0)</f>
        <v/>
      </c>
      <c r="Y76" s="11">
        <f>IF(IFERROR(INDEX('Datos - Catálogo TIMSS'!$J$5:$J$107,MATCH(K76,'Datos - Catálogo TIMSS'!$A$5:$A$107,0)),"No")="Sí",1,0)</f>
        <v/>
      </c>
      <c r="Z76" s="11">
        <f>IF(IFERROR(INDEX('Datos - Catálogo TIMSS'!$J$5:$J$107,MATCH(L76,'Datos - Catálogo TIMSS'!$A$5:$A$107,0)),"No")="Sí",1,0)</f>
        <v/>
      </c>
      <c r="AA76" s="11" t="inlineStr">
        <is>
          <t>FUERA</t>
        </is>
      </c>
      <c r="AB76" s="11" t="inlineStr"/>
      <c r="AC76" s="11">
        <f>IF(AA76="FUERA","Fuera del marco",IF(AA76="N/A","Sin marco",IFERROR(INDEX('Datos - TIMSS 2023'!$C$5:$C$105,MATCH(AA76,'Datos - TIMSS 2023'!$A$5:$A$105,0)),"Pendiente de clasificar")))</f>
        <v/>
      </c>
      <c r="AD76" s="11" t="inlineStr">
        <is>
          <t>2. Construir y evaluar diseños para la indagación científica e interpretar datos y evidencia de forma crítica</t>
        </is>
      </c>
      <c r="AE76" s="11">
        <f>IF(AD76="","",IF(LEFT(AD76,1)="1","C1",IF(LEFT(AD76,1)="2","C2",IF(LEFT(AD76,1)="3","C3",""))))</f>
        <v/>
      </c>
      <c r="AF76" s="11" t="inlineStr">
        <is>
          <t>E1</t>
        </is>
      </c>
      <c r="AG76" s="11" t="inlineStr">
        <is>
          <t>D1</t>
        </is>
      </c>
      <c r="AH76" s="11" t="inlineStr">
        <is>
          <t>E2</t>
        </is>
      </c>
      <c r="AI76" s="11" t="inlineStr">
        <is>
          <t>D3</t>
        </is>
      </c>
      <c r="AJ76" s="11" t="inlineStr">
        <is>
          <t>I5</t>
        </is>
      </c>
      <c r="AK76" s="11" t="n"/>
      <c r="AL76" s="11" t="n"/>
      <c r="AM76" s="11" t="n"/>
      <c r="AN76" s="11" t="n"/>
      <c r="AO76" s="11" t="n"/>
      <c r="AP76" s="11" t="n"/>
      <c r="AQ76" s="11" t="n"/>
      <c r="AR76" s="11" t="n"/>
      <c r="AS76" s="11" t="n"/>
      <c r="AT76" s="11" t="n"/>
      <c r="AU76" s="11" t="n"/>
      <c r="AV76" s="11" t="n"/>
      <c r="AW76" s="11">
        <f>AF76&amp;"; "&amp;AG76&amp;"; "&amp;AH76&amp;"; "&amp;AI76&amp;"; "&amp;AJ76</f>
        <v/>
      </c>
    </row>
    <row r="77">
      <c r="A77" s="11" t="inlineStr">
        <is>
          <t>T0711-G03-CIE</t>
        </is>
      </c>
      <c r="B77" s="11" t="n">
        <v>3</v>
      </c>
      <c r="C77" s="11" t="inlineStr">
        <is>
          <t>Ciencias</t>
        </is>
      </c>
      <c r="D77" s="11" t="inlineStr">
        <is>
          <t>Matriz_Ciencias_3er_Grado_U1_U6.xlsx</t>
        </is>
      </c>
      <c r="E77" s="11" t="inlineStr">
        <is>
          <t>Unidad 1 - Medidas y fuerzas</t>
        </is>
      </c>
      <c r="F77" s="11" t="n">
        <v>5</v>
      </c>
      <c r="G77" s="11" t="inlineStr">
        <is>
          <t>1. Medidas y fuerzas.</t>
        </is>
      </c>
      <c r="H77" s="11" t="inlineStr">
        <is>
          <t>Tipos de fuerza.</t>
        </is>
      </c>
      <c r="I77" s="38" t="inlineStr">
        <is>
          <t>1.3. Experimentación con fuerzas de contacto.</t>
        </is>
      </c>
      <c r="J77" s="11" t="inlineStr">
        <is>
          <t>T4_27</t>
        </is>
      </c>
      <c r="K77" s="11" t="inlineStr">
        <is>
          <t>T4_27-P5.1</t>
        </is>
      </c>
      <c r="L77" s="11" t="inlineStr">
        <is>
          <t>T4_27-P6.1</t>
        </is>
      </c>
      <c r="M77" s="11">
        <f>IF(K77="FUERA","Fuera del marco",IF(K77="N/A","Sin marco",IFERROR(INDEX('Datos - Catálogo TIMSS'!$C$5:$C$107,MATCH(K77,'Datos - Catálogo TIMSS'!$A$5:$A$107,0)),"Pendiente de clasificar")))</f>
        <v/>
      </c>
      <c r="N77" s="11">
        <f>IF(K77="FUERA","Fuera del marco",IF(K77="N/A","Sin marco",IFERROR(INDEX('Datos - Catálogo TIMSS'!$F$5:$F$107,MATCH(K77,'Datos - Catálogo TIMSS'!$A$5:$A$107,0)),"Pendiente de clasificar")))</f>
        <v/>
      </c>
      <c r="O77" s="11">
        <f>IF(L77="","",IFERROR(INDEX('Datos - Catálogo TIMSS'!$C$5:$C$107,MATCH(L77,'Datos - Catálogo TIMSS'!$A$5:$A$107,0)),"?"))</f>
        <v/>
      </c>
      <c r="P77" s="11" t="inlineStr">
        <is>
          <t>alta</t>
        </is>
      </c>
      <c r="Q77" s="38" t="inlineStr">
        <is>
          <t>Fuerzas de contacto y fricción; registro de mediciones con dinamómetro</t>
        </is>
      </c>
      <c r="R77" s="38" t="inlineStr">
        <is>
          <t>Aplicar: medir. Razonar: comparar condiciones</t>
        </is>
      </c>
      <c r="S77" s="39">
        <f>IFERROR(ISNUMBER(SEARCH("Conocer",$R77))/(ISNUMBER(SEARCH("Conocer",$R77))+ISNUMBER(SEARCH("Aplicar",$R77))+ISNUMBER(SEARCH("Razonar",$R77))),0)</f>
        <v/>
      </c>
      <c r="T77" s="39">
        <f>IFERROR(ISNUMBER(SEARCH("Aplicar",$R77))/(ISNUMBER(SEARCH("Conocer",$R77))+ISNUMBER(SEARCH("Aplicar",$R77))+ISNUMBER(SEARCH("Razonar",$R77))),0)</f>
        <v/>
      </c>
      <c r="U77" s="39">
        <f>IFERROR(ISNUMBER(SEARCH("Razonar",$R77))/(ISNUMBER(SEARCH("Conocer",$R77))+ISNUMBER(SEARCH("Aplicar",$R77))+ISNUMBER(SEARCH("Razonar",$R77))),0)</f>
        <v/>
      </c>
      <c r="V77" s="11" t="inlineStr">
        <is>
          <t>3°</t>
        </is>
      </c>
      <c r="W77" s="11" t="inlineStr">
        <is>
          <t>Ciclo 2°–4°</t>
        </is>
      </c>
      <c r="X77" s="11">
        <f>IF(OR(IFERROR(INDEX('Datos - Catálogo TIMSS'!$I$5:$I$107,MATCH(K77,'Datos - Catálogo TIMSS'!$A$5:$A$107,0)),"No")="Sí",IFERROR(INDEX('Datos - Catálogo TIMSS'!$I$5:$I$107,MATCH(L77,'Datos - Catálogo TIMSS'!$A$5:$A$107,0)),"No")="Sí"),1,0)</f>
        <v/>
      </c>
      <c r="Y77" s="11">
        <f>IF(IFERROR(INDEX('Datos - Catálogo TIMSS'!$J$5:$J$107,MATCH(K77,'Datos - Catálogo TIMSS'!$A$5:$A$107,0)),"No")="Sí",1,0)</f>
        <v/>
      </c>
      <c r="Z77" s="11">
        <f>IF(IFERROR(INDEX('Datos - Catálogo TIMSS'!$J$5:$J$107,MATCH(L77,'Datos - Catálogo TIMSS'!$A$5:$A$107,0)),"No")="Sí",1,0)</f>
        <v/>
      </c>
      <c r="AA77" s="11" t="inlineStr">
        <is>
          <t>T4-F3.1</t>
        </is>
      </c>
      <c r="AB77" s="11" t="inlineStr"/>
      <c r="AC77" s="11">
        <f>IF(AA77="FUERA","Fuera del marco",IF(AA77="N/A","Sin marco",IFERROR(INDEX('Datos - TIMSS 2023'!$C$5:$C$105,MATCH(AA77,'Datos - TIMSS 2023'!$A$5:$A$105,0)),"Pendiente de clasificar")))</f>
        <v/>
      </c>
      <c r="AD77" s="11" t="inlineStr">
        <is>
          <t>2. Construir y evaluar diseños para la indagación científica e interpretar datos y evidencia de forma crítica</t>
        </is>
      </c>
      <c r="AE77" s="11">
        <f>IF(AD77="","",IF(LEFT(AD77,1)="1","C1",IF(LEFT(AD77,1)="2","C2",IF(LEFT(AD77,1)="3","C3",""))))</f>
        <v/>
      </c>
      <c r="AF77" s="11" t="inlineStr">
        <is>
          <t>E1</t>
        </is>
      </c>
      <c r="AG77" s="11" t="inlineStr">
        <is>
          <t>E3</t>
        </is>
      </c>
      <c r="AH77" s="11" t="inlineStr">
        <is>
          <t>E1</t>
        </is>
      </c>
      <c r="AI77" s="11" t="inlineStr">
        <is>
          <t>D2</t>
        </is>
      </c>
      <c r="AJ77" s="11" t="inlineStr">
        <is>
          <t>E6</t>
        </is>
      </c>
      <c r="AK77" s="11" t="n"/>
      <c r="AL77" s="11" t="n"/>
      <c r="AM77" s="11" t="n"/>
      <c r="AN77" s="11" t="n"/>
      <c r="AO77" s="11" t="n"/>
      <c r="AP77" s="11" t="n"/>
      <c r="AQ77" s="11" t="n"/>
      <c r="AR77" s="11" t="n"/>
      <c r="AS77" s="11" t="n"/>
      <c r="AT77" s="11" t="n"/>
      <c r="AU77" s="11" t="n"/>
      <c r="AV77" s="11" t="n"/>
      <c r="AW77" s="11">
        <f>AF77&amp;"; "&amp;AG77&amp;"; "&amp;AH77&amp;"; "&amp;AI77&amp;"; "&amp;AJ77</f>
        <v/>
      </c>
    </row>
    <row r="78">
      <c r="A78" s="11" t="inlineStr">
        <is>
          <t>T0712-G03-CIE</t>
        </is>
      </c>
      <c r="B78" s="11" t="n">
        <v>3</v>
      </c>
      <c r="C78" s="11" t="inlineStr">
        <is>
          <t>Ciencias</t>
        </is>
      </c>
      <c r="D78" s="11" t="inlineStr">
        <is>
          <t>Matriz_Ciencias_3er_Grado_U1_U6.xlsx</t>
        </is>
      </c>
      <c r="E78" s="11" t="inlineStr">
        <is>
          <t>Unidad 1 - Medidas y fuerzas</t>
        </is>
      </c>
      <c r="F78" s="11" t="n">
        <v>6</v>
      </c>
      <c r="G78" s="11" t="inlineStr">
        <is>
          <t>1. Medidas y fuerzas.</t>
        </is>
      </c>
      <c r="H78" s="11" t="inlineStr">
        <is>
          <t>Tipos de fuerza.</t>
        </is>
      </c>
      <c r="I78" s="38" t="inlineStr">
        <is>
          <t>1.4. Experimentación con fuerzas a distancia.</t>
        </is>
      </c>
      <c r="J78" s="11" t="inlineStr">
        <is>
          <t>T4_27</t>
        </is>
      </c>
      <c r="K78" s="11" t="inlineStr">
        <is>
          <t>T4_27-P4.2</t>
        </is>
      </c>
      <c r="L78" s="11" t="inlineStr">
        <is>
          <t>T4_27-P5.1</t>
        </is>
      </c>
      <c r="M78" s="11">
        <f>IF(K78="FUERA","Fuera del marco",IF(K78="N/A","Sin marco",IFERROR(INDEX('Datos - Catálogo TIMSS'!$C$5:$C$107,MATCH(K78,'Datos - Catálogo TIMSS'!$A$5:$A$107,0)),"Pendiente de clasificar")))</f>
        <v/>
      </c>
      <c r="N78" s="11">
        <f>IF(K78="FUERA","Fuera del marco",IF(K78="N/A","Sin marco",IFERROR(INDEX('Datos - Catálogo TIMSS'!$F$5:$F$107,MATCH(K78,'Datos - Catálogo TIMSS'!$A$5:$A$107,0)),"Pendiente de clasificar")))</f>
        <v/>
      </c>
      <c r="O78" s="11">
        <f>IF(L78="","",IFERROR(INDEX('Datos - Catálogo TIMSS'!$C$5:$C$107,MATCH(L78,'Datos - Catálogo TIMSS'!$A$5:$A$107,0)),"?"))</f>
        <v/>
      </c>
      <c r="P78" s="11" t="inlineStr">
        <is>
          <t>media</t>
        </is>
      </c>
      <c r="Q78" s="38" t="inlineStr">
        <is>
          <t>Fuerza a distancia trabajada con imán y clip; atracción magnética</t>
        </is>
      </c>
      <c r="R78" s="38" t="inlineStr">
        <is>
          <t>Conocer: describir. Razonar: comprobar</t>
        </is>
      </c>
      <c r="S78" s="39">
        <f>IFERROR(ISNUMBER(SEARCH("Conocer",$R78))/(ISNUMBER(SEARCH("Conocer",$R78))+ISNUMBER(SEARCH("Aplicar",$R78))+ISNUMBER(SEARCH("Razonar",$R78))),0)</f>
        <v/>
      </c>
      <c r="T78" s="39">
        <f>IFERROR(ISNUMBER(SEARCH("Aplicar",$R78))/(ISNUMBER(SEARCH("Conocer",$R78))+ISNUMBER(SEARCH("Aplicar",$R78))+ISNUMBER(SEARCH("Razonar",$R78))),0)</f>
        <v/>
      </c>
      <c r="U78" s="39">
        <f>IFERROR(ISNUMBER(SEARCH("Razonar",$R78))/(ISNUMBER(SEARCH("Conocer",$R78))+ISNUMBER(SEARCH("Aplicar",$R78))+ISNUMBER(SEARCH("Razonar",$R78))),0)</f>
        <v/>
      </c>
      <c r="V78" s="11" t="inlineStr">
        <is>
          <t>3°</t>
        </is>
      </c>
      <c r="W78" s="11" t="inlineStr">
        <is>
          <t>Ciclo 2°–4°</t>
        </is>
      </c>
      <c r="X78" s="11">
        <f>IF(OR(IFERROR(INDEX('Datos - Catálogo TIMSS'!$I$5:$I$107,MATCH(K78,'Datos - Catálogo TIMSS'!$A$5:$A$107,0)),"No")="Sí",IFERROR(INDEX('Datos - Catálogo TIMSS'!$I$5:$I$107,MATCH(L78,'Datos - Catálogo TIMSS'!$A$5:$A$107,0)),"No")="Sí"),1,0)</f>
        <v/>
      </c>
      <c r="Y78" s="11">
        <f>IF(IFERROR(INDEX('Datos - Catálogo TIMSS'!$J$5:$J$107,MATCH(K78,'Datos - Catálogo TIMSS'!$A$5:$A$107,0)),"No")="Sí",1,0)</f>
        <v/>
      </c>
      <c r="Z78" s="11">
        <f>IF(IFERROR(INDEX('Datos - Catálogo TIMSS'!$J$5:$J$107,MATCH(L78,'Datos - Catálogo TIMSS'!$A$5:$A$107,0)),"No")="Sí",1,0)</f>
        <v/>
      </c>
      <c r="AA78" s="11" t="inlineStr">
        <is>
          <t>T4-F1.3</t>
        </is>
      </c>
      <c r="AB78" s="11" t="inlineStr">
        <is>
          <t>T4-F3.1</t>
        </is>
      </c>
      <c r="AC78" s="11">
        <f>IF(AA78="FUERA","Fuera del marco",IF(AA78="N/A","Sin marco",IFERROR(INDEX('Datos - TIMSS 2023'!$C$5:$C$105,MATCH(AA78,'Datos - TIMSS 2023'!$A$5:$A$105,0)),"Pendiente de clasificar")))</f>
        <v/>
      </c>
      <c r="AD78" s="11" t="inlineStr">
        <is>
          <t>2. Construir y evaluar diseños para la indagación científica e interpretar datos y evidencia de forma crítica</t>
        </is>
      </c>
      <c r="AE78" s="11">
        <f>IF(AD78="","",IF(LEFT(AD78,1)="1","C1",IF(LEFT(AD78,1)="2","C2",IF(LEFT(AD78,1)="3","C3",""))))</f>
        <v/>
      </c>
      <c r="AF78" s="11" t="inlineStr">
        <is>
          <t>E1</t>
        </is>
      </c>
      <c r="AG78" s="11" t="inlineStr">
        <is>
          <t>E5</t>
        </is>
      </c>
      <c r="AH78" s="11" t="inlineStr">
        <is>
          <t>E1</t>
        </is>
      </c>
      <c r="AI78" s="11" t="inlineStr">
        <is>
          <t>D2</t>
        </is>
      </c>
      <c r="AJ78" s="11" t="inlineStr">
        <is>
          <t>E3</t>
        </is>
      </c>
      <c r="AK78" s="11" t="n"/>
      <c r="AL78" s="11" t="n"/>
      <c r="AM78" s="11" t="n"/>
      <c r="AN78" s="11" t="n"/>
      <c r="AO78" s="11" t="n"/>
      <c r="AP78" s="11" t="n"/>
      <c r="AQ78" s="11" t="n"/>
      <c r="AR78" s="11" t="n"/>
      <c r="AS78" s="11" t="n"/>
      <c r="AT78" s="11" t="n"/>
      <c r="AU78" s="11" t="n"/>
      <c r="AV78" s="11" t="n"/>
      <c r="AW78" s="11">
        <f>AF78&amp;"; "&amp;AG78&amp;"; "&amp;AH78&amp;"; "&amp;AI78&amp;"; "&amp;AJ78</f>
        <v/>
      </c>
    </row>
    <row r="79">
      <c r="A79" s="11" t="inlineStr">
        <is>
          <t>T0713-G03-CIE</t>
        </is>
      </c>
      <c r="B79" s="11" t="n">
        <v>3</v>
      </c>
      <c r="C79" s="11" t="inlineStr">
        <is>
          <t>Ciencias</t>
        </is>
      </c>
      <c r="D79" s="11" t="inlineStr">
        <is>
          <t>Matriz_Ciencias_3er_Grado_U1_U6.xlsx</t>
        </is>
      </c>
      <c r="E79" s="11" t="inlineStr">
        <is>
          <t>Unidad 1 - Medidas y fuerzas</t>
        </is>
      </c>
      <c r="F79" s="11" t="n">
        <v>7</v>
      </c>
      <c r="G79" s="11" t="inlineStr">
        <is>
          <t>1. Medidas y fuerzas.</t>
        </is>
      </c>
      <c r="H79" s="11" t="inlineStr">
        <is>
          <t>Tipos de fuerza.</t>
        </is>
      </c>
      <c r="I79" s="38" t="inlineStr">
        <is>
          <t>1.5. Comparación del comportamiento de las fuerzas por contacto y a distancia.</t>
        </is>
      </c>
      <c r="J79" s="11" t="inlineStr">
        <is>
          <t>T4_27</t>
        </is>
      </c>
      <c r="K79" s="11" t="inlineStr">
        <is>
          <t>T4_27-P5.1</t>
        </is>
      </c>
      <c r="L79" s="11" t="inlineStr"/>
      <c r="M79" s="11">
        <f>IF(K79="FUERA","Fuera del marco",IF(K79="N/A","Sin marco",IFERROR(INDEX('Datos - Catálogo TIMSS'!$C$5:$C$107,MATCH(K79,'Datos - Catálogo TIMSS'!$A$5:$A$107,0)),"Pendiente de clasificar")))</f>
        <v/>
      </c>
      <c r="N79" s="11">
        <f>IF(K79="FUERA","Fuera del marco",IF(K79="N/A","Sin marco",IFERROR(INDEX('Datos - Catálogo TIMSS'!$F$5:$F$107,MATCH(K79,'Datos - Catálogo TIMSS'!$A$5:$A$107,0)),"Pendiente de clasificar")))</f>
        <v/>
      </c>
      <c r="O79" s="11">
        <f>IF(L79="","",IFERROR(INDEX('Datos - Catálogo TIMSS'!$C$5:$C$107,MATCH(L79,'Datos - Catálogo TIMSS'!$A$5:$A$107,0)),"?"))</f>
        <v/>
      </c>
      <c r="P79" s="11" t="inlineStr">
        <is>
          <t>media</t>
        </is>
      </c>
      <c r="Q79" s="38" t="inlineStr">
        <is>
          <t>Compara empujar, halar y fuerzas a distancia como gravedad</t>
        </is>
      </c>
      <c r="R79" s="38" t="inlineStr">
        <is>
          <t>Aplicar: comparar y clasificar</t>
        </is>
      </c>
      <c r="S79" s="39">
        <f>IFERROR(ISNUMBER(SEARCH("Conocer",$R79))/(ISNUMBER(SEARCH("Conocer",$R79))+ISNUMBER(SEARCH("Aplicar",$R79))+ISNUMBER(SEARCH("Razonar",$R79))),0)</f>
        <v/>
      </c>
      <c r="T79" s="39">
        <f>IFERROR(ISNUMBER(SEARCH("Aplicar",$R79))/(ISNUMBER(SEARCH("Conocer",$R79))+ISNUMBER(SEARCH("Aplicar",$R79))+ISNUMBER(SEARCH("Razonar",$R79))),0)</f>
        <v/>
      </c>
      <c r="U79" s="39">
        <f>IFERROR(ISNUMBER(SEARCH("Razonar",$R79))/(ISNUMBER(SEARCH("Conocer",$R79))+ISNUMBER(SEARCH("Aplicar",$R79))+ISNUMBER(SEARCH("Razonar",$R79))),0)</f>
        <v/>
      </c>
      <c r="V79" s="11" t="inlineStr">
        <is>
          <t>3°</t>
        </is>
      </c>
      <c r="W79" s="11" t="inlineStr">
        <is>
          <t>Ciclo 2°–4°</t>
        </is>
      </c>
      <c r="X79" s="11">
        <f>IF(OR(IFERROR(INDEX('Datos - Catálogo TIMSS'!$I$5:$I$107,MATCH(K79,'Datos - Catálogo TIMSS'!$A$5:$A$107,0)),"No")="Sí",IFERROR(INDEX('Datos - Catálogo TIMSS'!$I$5:$I$107,MATCH(L79,'Datos - Catálogo TIMSS'!$A$5:$A$107,0)),"No")="Sí"),1,0)</f>
        <v/>
      </c>
      <c r="Y79" s="11">
        <f>IF(IFERROR(INDEX('Datos - Catálogo TIMSS'!$J$5:$J$107,MATCH(K79,'Datos - Catálogo TIMSS'!$A$5:$A$107,0)),"No")="Sí",1,0)</f>
        <v/>
      </c>
      <c r="Z79" s="11">
        <f>IF(IFERROR(INDEX('Datos - Catálogo TIMSS'!$J$5:$J$107,MATCH(L79,'Datos - Catálogo TIMSS'!$A$5:$A$107,0)),"No")="Sí",1,0)</f>
        <v/>
      </c>
      <c r="AA79" s="11" t="inlineStr">
        <is>
          <t>T4-F3.1</t>
        </is>
      </c>
      <c r="AB79" s="11" t="inlineStr">
        <is>
          <t>T4-F1.3</t>
        </is>
      </c>
      <c r="AC79" s="11">
        <f>IF(AA79="FUERA","Fuera del marco",IF(AA79="N/A","Sin marco",IFERROR(INDEX('Datos - TIMSS 2023'!$C$5:$C$105,MATCH(AA79,'Datos - TIMSS 2023'!$A$5:$A$105,0)),"Pendiente de clasificar")))</f>
        <v/>
      </c>
      <c r="AD79" s="11" t="inlineStr">
        <is>
          <t>1. Explicar fenómenos científicamente</t>
        </is>
      </c>
      <c r="AE79" s="11">
        <f>IF(AD79="","",IF(LEFT(AD79,1)="1","C1",IF(LEFT(AD79,1)="2","C2",IF(LEFT(AD79,1)="3","C3",""))))</f>
        <v/>
      </c>
      <c r="AF79" s="11" t="inlineStr">
        <is>
          <t>E1</t>
        </is>
      </c>
      <c r="AG79" s="11" t="inlineStr">
        <is>
          <t>D1</t>
        </is>
      </c>
      <c r="AH79" s="11" t="inlineStr">
        <is>
          <t>E2</t>
        </is>
      </c>
      <c r="AI79" s="11" t="inlineStr">
        <is>
          <t>D4</t>
        </is>
      </c>
      <c r="AJ79" s="11" t="inlineStr">
        <is>
          <t>I4</t>
        </is>
      </c>
      <c r="AK79" s="11" t="n"/>
      <c r="AL79" s="11" t="n"/>
      <c r="AM79" s="11" t="n"/>
      <c r="AN79" s="11" t="n"/>
      <c r="AO79" s="11" t="n"/>
      <c r="AP79" s="11" t="n"/>
      <c r="AQ79" s="11" t="n"/>
      <c r="AR79" s="11" t="n"/>
      <c r="AS79" s="11" t="n"/>
      <c r="AT79" s="11" t="n"/>
      <c r="AU79" s="11" t="n"/>
      <c r="AV79" s="11" t="n"/>
      <c r="AW79" s="11">
        <f>AF79&amp;"; "&amp;AG79&amp;"; "&amp;AH79&amp;"; "&amp;AI79&amp;"; "&amp;AJ79</f>
        <v/>
      </c>
    </row>
    <row r="80">
      <c r="A80" s="11" t="inlineStr">
        <is>
          <t>T0714-G03-CIE</t>
        </is>
      </c>
      <c r="B80" s="11" t="n">
        <v>3</v>
      </c>
      <c r="C80" s="11" t="inlineStr">
        <is>
          <t>Ciencias</t>
        </is>
      </c>
      <c r="D80" s="11" t="inlineStr">
        <is>
          <t>Matriz_Ciencias_3er_Grado_U1_U6.xlsx</t>
        </is>
      </c>
      <c r="E80" s="11" t="inlineStr">
        <is>
          <t>Unidad 1 - Medidas y fuerzas</t>
        </is>
      </c>
      <c r="F80" s="11" t="n">
        <v>8</v>
      </c>
      <c r="G80" s="11" t="inlineStr">
        <is>
          <t>1. Medidas y fuerzas.</t>
        </is>
      </c>
      <c r="H80" s="11" t="inlineStr">
        <is>
          <t>Movimiento.</t>
        </is>
      </c>
      <c r="I80" s="38" t="inlineStr">
        <is>
          <t>1.6. Comunicación de observaciones acerca de los efectos de las fuerzas sobre el estado de movimiento de los objetos.</t>
        </is>
      </c>
      <c r="J80" s="11" t="inlineStr">
        <is>
          <t>T4_27</t>
        </is>
      </c>
      <c r="K80" s="11" t="inlineStr">
        <is>
          <t>T4_27-P5.1</t>
        </is>
      </c>
      <c r="L80" s="11" t="inlineStr"/>
      <c r="M80" s="11">
        <f>IF(K80="FUERA","Fuera del marco",IF(K80="N/A","Sin marco",IFERROR(INDEX('Datos - Catálogo TIMSS'!$C$5:$C$107,MATCH(K80,'Datos - Catálogo TIMSS'!$A$5:$A$107,0)),"Pendiente de clasificar")))</f>
        <v/>
      </c>
      <c r="N80" s="11">
        <f>IF(K80="FUERA","Fuera del marco",IF(K80="N/A","Sin marco",IFERROR(INDEX('Datos - Catálogo TIMSS'!$F$5:$F$107,MATCH(K80,'Datos - Catálogo TIMSS'!$A$5:$A$107,0)),"Pendiente de clasificar")))</f>
        <v/>
      </c>
      <c r="O80" s="11">
        <f>IF(L80="","",IFERROR(INDEX('Datos - Catálogo TIMSS'!$C$5:$C$107,MATCH(L80,'Datos - Catálogo TIMSS'!$A$5:$A$107,0)),"?"))</f>
        <v/>
      </c>
      <c r="P80" s="11" t="inlineStr">
        <is>
          <t>alta</t>
        </is>
      </c>
      <c r="Q80" s="38" t="inlineStr">
        <is>
          <t>Efectos de las fuerzas sobre el movimiento de objetos</t>
        </is>
      </c>
      <c r="R80" s="38" t="inlineStr">
        <is>
          <t>Conocer: describir. Aplicar: representar</t>
        </is>
      </c>
      <c r="S80" s="39">
        <f>IFERROR(ISNUMBER(SEARCH("Conocer",$R80))/(ISNUMBER(SEARCH("Conocer",$R80))+ISNUMBER(SEARCH("Aplicar",$R80))+ISNUMBER(SEARCH("Razonar",$R80))),0)</f>
        <v/>
      </c>
      <c r="T80" s="39">
        <f>IFERROR(ISNUMBER(SEARCH("Aplicar",$R80))/(ISNUMBER(SEARCH("Conocer",$R80))+ISNUMBER(SEARCH("Aplicar",$R80))+ISNUMBER(SEARCH("Razonar",$R80))),0)</f>
        <v/>
      </c>
      <c r="U80" s="39">
        <f>IFERROR(ISNUMBER(SEARCH("Razonar",$R80))/(ISNUMBER(SEARCH("Conocer",$R80))+ISNUMBER(SEARCH("Aplicar",$R80))+ISNUMBER(SEARCH("Razonar",$R80))),0)</f>
        <v/>
      </c>
      <c r="V80" s="11" t="inlineStr">
        <is>
          <t>3°</t>
        </is>
      </c>
      <c r="W80" s="11" t="inlineStr">
        <is>
          <t>Ciclo 2°–4°</t>
        </is>
      </c>
      <c r="X80" s="11">
        <f>IF(OR(IFERROR(INDEX('Datos - Catálogo TIMSS'!$I$5:$I$107,MATCH(K80,'Datos - Catálogo TIMSS'!$A$5:$A$107,0)),"No")="Sí",IFERROR(INDEX('Datos - Catálogo TIMSS'!$I$5:$I$107,MATCH(L80,'Datos - Catálogo TIMSS'!$A$5:$A$107,0)),"No")="Sí"),1,0)</f>
        <v/>
      </c>
      <c r="Y80" s="11">
        <f>IF(IFERROR(INDEX('Datos - Catálogo TIMSS'!$J$5:$J$107,MATCH(K80,'Datos - Catálogo TIMSS'!$A$5:$A$107,0)),"No")="Sí",1,0)</f>
        <v/>
      </c>
      <c r="Z80" s="11">
        <f>IF(IFERROR(INDEX('Datos - Catálogo TIMSS'!$J$5:$J$107,MATCH(L80,'Datos - Catálogo TIMSS'!$A$5:$A$107,0)),"No")="Sí",1,0)</f>
        <v/>
      </c>
      <c r="AA80" s="11" t="inlineStr">
        <is>
          <t>T4-F3.1</t>
        </is>
      </c>
      <c r="AB80" s="11" t="inlineStr"/>
      <c r="AC80" s="11">
        <f>IF(AA80="FUERA","Fuera del marco",IF(AA80="N/A","Sin marco",IFERROR(INDEX('Datos - TIMSS 2023'!$C$5:$C$105,MATCH(AA80,'Datos - TIMSS 2023'!$A$5:$A$105,0)),"Pendiente de clasificar")))</f>
        <v/>
      </c>
      <c r="AD80" s="11" t="inlineStr">
        <is>
          <t>1. Explicar fenómenos científicamente</t>
        </is>
      </c>
      <c r="AE80" s="11">
        <f>IF(AD80="","",IF(LEFT(AD80,1)="1","C1",IF(LEFT(AD80,1)="2","C2",IF(LEFT(AD80,1)="3","C3",""))))</f>
        <v/>
      </c>
      <c r="AF80" s="11" t="inlineStr">
        <is>
          <t>E1</t>
        </is>
      </c>
      <c r="AG80" s="11" t="inlineStr">
        <is>
          <t>E5</t>
        </is>
      </c>
      <c r="AH80" s="11" t="inlineStr">
        <is>
          <t>E1</t>
        </is>
      </c>
      <c r="AI80" s="11" t="inlineStr">
        <is>
          <t>D4</t>
        </is>
      </c>
      <c r="AJ80" s="11" t="inlineStr">
        <is>
          <t>E6</t>
        </is>
      </c>
      <c r="AK80" s="11" t="n"/>
      <c r="AL80" s="11" t="n"/>
      <c r="AM80" s="11" t="n"/>
      <c r="AN80" s="11" t="n"/>
      <c r="AO80" s="11" t="n"/>
      <c r="AP80" s="11" t="n"/>
      <c r="AQ80" s="11" t="n"/>
      <c r="AR80" s="11" t="n"/>
      <c r="AS80" s="11" t="n"/>
      <c r="AT80" s="11" t="n"/>
      <c r="AU80" s="11" t="n"/>
      <c r="AV80" s="11" t="n"/>
      <c r="AW80" s="11">
        <f>AF80&amp;"; "&amp;AG80&amp;"; "&amp;AH80&amp;"; "&amp;AI80&amp;"; "&amp;AJ80</f>
        <v/>
      </c>
    </row>
    <row r="81">
      <c r="A81" s="11" t="inlineStr">
        <is>
          <t>T0715-G03-CIE</t>
        </is>
      </c>
      <c r="B81" s="11" t="n">
        <v>3</v>
      </c>
      <c r="C81" s="11" t="inlineStr">
        <is>
          <t>Ciencias</t>
        </is>
      </c>
      <c r="D81" s="11" t="inlineStr">
        <is>
          <t>Matriz_Ciencias_3er_Grado_U1_U6.xlsx</t>
        </is>
      </c>
      <c r="E81" s="11" t="inlineStr">
        <is>
          <t>Unidad 2 - Interacciones terres</t>
        </is>
      </c>
      <c r="F81" s="11" t="n">
        <v>3</v>
      </c>
      <c r="G81" s="11" t="inlineStr">
        <is>
          <t>2. Interacciones terrestres.</t>
        </is>
      </c>
      <c r="H81" s="11" t="inlineStr">
        <is>
          <t>Cambios físicos y químicos.</t>
        </is>
      </c>
      <c r="I81" s="38" t="inlineStr">
        <is>
          <t>2.1. Identificación de cambios físicos y químicos.</t>
        </is>
      </c>
      <c r="J81" s="11" t="inlineStr">
        <is>
          <t>T4_27</t>
        </is>
      </c>
      <c r="K81" s="11" t="inlineStr">
        <is>
          <t>T4_27-P1.3</t>
        </is>
      </c>
      <c r="L81" s="11" t="inlineStr"/>
      <c r="M81" s="11">
        <f>IF(K81="FUERA","Fuera del marco",IF(K81="N/A","Sin marco",IFERROR(INDEX('Datos - Catálogo TIMSS'!$C$5:$C$107,MATCH(K81,'Datos - Catálogo TIMSS'!$A$5:$A$107,0)),"Pendiente de clasificar")))</f>
        <v/>
      </c>
      <c r="N81" s="11">
        <f>IF(K81="FUERA","Fuera del marco",IF(K81="N/A","Sin marco",IFERROR(INDEX('Datos - Catálogo TIMSS'!$F$5:$F$107,MATCH(K81,'Datos - Catálogo TIMSS'!$A$5:$A$107,0)),"Pendiente de clasificar")))</f>
        <v/>
      </c>
      <c r="O81" s="11">
        <f>IF(L81="","",IFERROR(INDEX('Datos - Catálogo TIMSS'!$C$5:$C$107,MATCH(L81,'Datos - Catálogo TIMSS'!$A$5:$A$107,0)),"?"))</f>
        <v/>
      </c>
      <c r="P81" s="11" t="inlineStr">
        <is>
          <t>alta</t>
        </is>
      </c>
      <c r="Q81" s="38" t="inlineStr">
        <is>
          <t>Distinguir cambios con y sin formación de materiales nuevos</t>
        </is>
      </c>
      <c r="R81" s="38" t="inlineStr">
        <is>
          <t>Conocer: reconocer. Aplicar: clasificar</t>
        </is>
      </c>
      <c r="S81" s="39">
        <f>IFERROR(ISNUMBER(SEARCH("Conocer",$R81))/(ISNUMBER(SEARCH("Conocer",$R81))+ISNUMBER(SEARCH("Aplicar",$R81))+ISNUMBER(SEARCH("Razonar",$R81))),0)</f>
        <v/>
      </c>
      <c r="T81" s="39">
        <f>IFERROR(ISNUMBER(SEARCH("Aplicar",$R81))/(ISNUMBER(SEARCH("Conocer",$R81))+ISNUMBER(SEARCH("Aplicar",$R81))+ISNUMBER(SEARCH("Razonar",$R81))),0)</f>
        <v/>
      </c>
      <c r="U81" s="39">
        <f>IFERROR(ISNUMBER(SEARCH("Razonar",$R81))/(ISNUMBER(SEARCH("Conocer",$R81))+ISNUMBER(SEARCH("Aplicar",$R81))+ISNUMBER(SEARCH("Razonar",$R81))),0)</f>
        <v/>
      </c>
      <c r="V81" s="11" t="inlineStr">
        <is>
          <t>3°</t>
        </is>
      </c>
      <c r="W81" s="11" t="inlineStr">
        <is>
          <t>Ciclo 2°–4°</t>
        </is>
      </c>
      <c r="X81" s="11">
        <f>IF(OR(IFERROR(INDEX('Datos - Catálogo TIMSS'!$I$5:$I$107,MATCH(K81,'Datos - Catálogo TIMSS'!$A$5:$A$107,0)),"No")="Sí",IFERROR(INDEX('Datos - Catálogo TIMSS'!$I$5:$I$107,MATCH(L81,'Datos - Catálogo TIMSS'!$A$5:$A$107,0)),"No")="Sí"),1,0)</f>
        <v/>
      </c>
      <c r="Y81" s="11">
        <f>IF(IFERROR(INDEX('Datos - Catálogo TIMSS'!$J$5:$J$107,MATCH(K81,'Datos - Catálogo TIMSS'!$A$5:$A$107,0)),"No")="Sí",1,0)</f>
        <v/>
      </c>
      <c r="Z81" s="11">
        <f>IF(IFERROR(INDEX('Datos - Catálogo TIMSS'!$J$5:$J$107,MATCH(L81,'Datos - Catálogo TIMSS'!$A$5:$A$107,0)),"No")="Sí",1,0)</f>
        <v/>
      </c>
      <c r="AA81" s="11" t="inlineStr">
        <is>
          <t>T4-F1.5</t>
        </is>
      </c>
      <c r="AB81" s="11" t="inlineStr">
        <is>
          <t>T4-F1.4</t>
        </is>
      </c>
      <c r="AC81" s="11">
        <f>IF(AA81="FUERA","Fuera del marco",IF(AA81="N/A","Sin marco",IFERROR(INDEX('Datos - TIMSS 2023'!$C$5:$C$105,MATCH(AA81,'Datos - TIMSS 2023'!$A$5:$A$105,0)),"Pendiente de clasificar")))</f>
        <v/>
      </c>
      <c r="AD81" s="11" t="inlineStr">
        <is>
          <t>1. Explicar fenómenos científicamente</t>
        </is>
      </c>
      <c r="AE81" s="11">
        <f>IF(AD81="","",IF(LEFT(AD81,1)="1","C1",IF(LEFT(AD81,1)="2","C2",IF(LEFT(AD81,1)="3","C3",""))))</f>
        <v/>
      </c>
      <c r="AF81" s="11" t="inlineStr">
        <is>
          <t>E1</t>
        </is>
      </c>
      <c r="AG81" s="11" t="inlineStr">
        <is>
          <t>D1</t>
        </is>
      </c>
      <c r="AH81" s="11" t="inlineStr">
        <is>
          <t>E1</t>
        </is>
      </c>
      <c r="AI81" s="11" t="inlineStr">
        <is>
          <t>D4</t>
        </is>
      </c>
      <c r="AJ81" s="11" t="inlineStr">
        <is>
          <t>E1</t>
        </is>
      </c>
      <c r="AK81" s="11" t="n"/>
      <c r="AL81" s="11" t="n"/>
      <c r="AM81" s="11" t="n"/>
      <c r="AN81" s="11" t="n"/>
      <c r="AO81" s="11" t="n"/>
      <c r="AP81" s="11" t="n"/>
      <c r="AQ81" s="11" t="n"/>
      <c r="AR81" s="11" t="n"/>
      <c r="AS81" s="11" t="n"/>
      <c r="AT81" s="11" t="n"/>
      <c r="AU81" s="11" t="n"/>
      <c r="AV81" s="11" t="n"/>
      <c r="AW81" s="11">
        <f>AF81&amp;"; "&amp;AG81&amp;"; "&amp;AH81&amp;"; "&amp;AI81&amp;"; "&amp;AJ81</f>
        <v/>
      </c>
    </row>
    <row r="82">
      <c r="A82" s="11" t="inlineStr">
        <is>
          <t>T0716-G03-CIE</t>
        </is>
      </c>
      <c r="B82" s="11" t="n">
        <v>3</v>
      </c>
      <c r="C82" s="11" t="inlineStr">
        <is>
          <t>Ciencias</t>
        </is>
      </c>
      <c r="D82" s="11" t="inlineStr">
        <is>
          <t>Matriz_Ciencias_3er_Grado_U1_U6.xlsx</t>
        </is>
      </c>
      <c r="E82" s="11" t="inlineStr">
        <is>
          <t>Unidad 2 - Interacciones terres</t>
        </is>
      </c>
      <c r="F82" s="11" t="n">
        <v>4</v>
      </c>
      <c r="G82" s="11" t="inlineStr">
        <is>
          <t>2. Interacciones terrestres.</t>
        </is>
      </c>
      <c r="H82" s="11" t="inlineStr">
        <is>
          <t>Cambios físicos y químicos.</t>
        </is>
      </c>
      <c r="I82" s="38" t="inlineStr">
        <is>
          <t>2.2. Experimentación con cambios físicos y químicos reversibles e irreversibles.</t>
        </is>
      </c>
      <c r="J82" s="11" t="inlineStr">
        <is>
          <t>T4_27</t>
        </is>
      </c>
      <c r="K82" s="11" t="inlineStr">
        <is>
          <t>T4_27-P1.3</t>
        </is>
      </c>
      <c r="L82" s="11" t="inlineStr">
        <is>
          <t>T4_27-P1.1</t>
        </is>
      </c>
      <c r="M82" s="11">
        <f>IF(K82="FUERA","Fuera del marco",IF(K82="N/A","Sin marco",IFERROR(INDEX('Datos - Catálogo TIMSS'!$C$5:$C$107,MATCH(K82,'Datos - Catálogo TIMSS'!$A$5:$A$107,0)),"Pendiente de clasificar")))</f>
        <v/>
      </c>
      <c r="N82" s="11">
        <f>IF(K82="FUERA","Fuera del marco",IF(K82="N/A","Sin marco",IFERROR(INDEX('Datos - Catálogo TIMSS'!$F$5:$F$107,MATCH(K82,'Datos - Catálogo TIMSS'!$A$5:$A$107,0)),"Pendiente de clasificar")))</f>
        <v/>
      </c>
      <c r="O82" s="11">
        <f>IF(L82="","",IFERROR(INDEX('Datos - Catálogo TIMSS'!$C$5:$C$107,MATCH(L82,'Datos - Catálogo TIMSS'!$A$5:$A$107,0)),"?"))</f>
        <v/>
      </c>
      <c r="P82" s="11" t="inlineStr">
        <is>
          <t>media</t>
        </is>
      </c>
      <c r="Q82" s="38" t="inlineStr">
        <is>
          <t>Cambios físicos y químicos; reversibles incluyen cambios de estado</t>
        </is>
      </c>
      <c r="R82" s="38" t="inlineStr">
        <is>
          <t>Razonar: predecir, comprobar y justificar</t>
        </is>
      </c>
      <c r="S82" s="39">
        <f>IFERROR(ISNUMBER(SEARCH("Conocer",$R82))/(ISNUMBER(SEARCH("Conocer",$R82))+ISNUMBER(SEARCH("Aplicar",$R82))+ISNUMBER(SEARCH("Razonar",$R82))),0)</f>
        <v/>
      </c>
      <c r="T82" s="39">
        <f>IFERROR(ISNUMBER(SEARCH("Aplicar",$R82))/(ISNUMBER(SEARCH("Conocer",$R82))+ISNUMBER(SEARCH("Aplicar",$R82))+ISNUMBER(SEARCH("Razonar",$R82))),0)</f>
        <v/>
      </c>
      <c r="U82" s="39">
        <f>IFERROR(ISNUMBER(SEARCH("Razonar",$R82))/(ISNUMBER(SEARCH("Conocer",$R82))+ISNUMBER(SEARCH("Aplicar",$R82))+ISNUMBER(SEARCH("Razonar",$R82))),0)</f>
        <v/>
      </c>
      <c r="V82" s="11" t="inlineStr">
        <is>
          <t>3°</t>
        </is>
      </c>
      <c r="W82" s="11" t="inlineStr">
        <is>
          <t>Ciclo 2°–4°</t>
        </is>
      </c>
      <c r="X82" s="11">
        <f>IF(OR(IFERROR(INDEX('Datos - Catálogo TIMSS'!$I$5:$I$107,MATCH(K82,'Datos - Catálogo TIMSS'!$A$5:$A$107,0)),"No")="Sí",IFERROR(INDEX('Datos - Catálogo TIMSS'!$I$5:$I$107,MATCH(L82,'Datos - Catálogo TIMSS'!$A$5:$A$107,0)),"No")="Sí"),1,0)</f>
        <v/>
      </c>
      <c r="Y82" s="11">
        <f>IF(IFERROR(INDEX('Datos - Catálogo TIMSS'!$J$5:$J$107,MATCH(K82,'Datos - Catálogo TIMSS'!$A$5:$A$107,0)),"No")="Sí",1,0)</f>
        <v/>
      </c>
      <c r="Z82" s="11">
        <f>IF(IFERROR(INDEX('Datos - Catálogo TIMSS'!$J$5:$J$107,MATCH(L82,'Datos - Catálogo TIMSS'!$A$5:$A$107,0)),"No")="Sí",1,0)</f>
        <v/>
      </c>
      <c r="AA82" s="11" t="inlineStr">
        <is>
          <t>T4-F1.5</t>
        </is>
      </c>
      <c r="AB82" s="11" t="inlineStr">
        <is>
          <t>T4-F1.4</t>
        </is>
      </c>
      <c r="AC82" s="11">
        <f>IF(AA82="FUERA","Fuera del marco",IF(AA82="N/A","Sin marco",IFERROR(INDEX('Datos - TIMSS 2023'!$C$5:$C$105,MATCH(AA82,'Datos - TIMSS 2023'!$A$5:$A$105,0)),"Pendiente de clasificar")))</f>
        <v/>
      </c>
      <c r="AD82" s="11" t="inlineStr">
        <is>
          <t>2. Construir y evaluar diseños para la indagación científica e interpretar datos y evidencia de forma crítica</t>
        </is>
      </c>
      <c r="AE82" s="11">
        <f>IF(AD82="","",IF(LEFT(AD82,1)="1","C1",IF(LEFT(AD82,1)="2","C2",IF(LEFT(AD82,1)="3","C3",""))))</f>
        <v/>
      </c>
      <c r="AF82" s="11" t="inlineStr">
        <is>
          <t>E1</t>
        </is>
      </c>
      <c r="AG82" s="11" t="inlineStr">
        <is>
          <t>E3</t>
        </is>
      </c>
      <c r="AH82" s="11" t="inlineStr">
        <is>
          <t>E1</t>
        </is>
      </c>
      <c r="AI82" s="11" t="inlineStr">
        <is>
          <t>D2</t>
        </is>
      </c>
      <c r="AJ82" s="11" t="inlineStr">
        <is>
          <t>I4</t>
        </is>
      </c>
      <c r="AK82" s="11" t="n"/>
      <c r="AL82" s="11" t="n"/>
      <c r="AM82" s="11" t="n"/>
      <c r="AN82" s="11" t="n"/>
      <c r="AO82" s="11" t="n"/>
      <c r="AP82" s="11" t="n"/>
      <c r="AQ82" s="11" t="n"/>
      <c r="AR82" s="11" t="n"/>
      <c r="AS82" s="11" t="n"/>
      <c r="AT82" s="11" t="n"/>
      <c r="AU82" s="11" t="n"/>
      <c r="AV82" s="11" t="n"/>
      <c r="AW82" s="11">
        <f>AF82&amp;"; "&amp;AG82&amp;"; "&amp;AH82&amp;"; "&amp;AI82&amp;"; "&amp;AJ82</f>
        <v/>
      </c>
    </row>
    <row r="83">
      <c r="A83" s="11" t="inlineStr">
        <is>
          <t>T0717-G03-CIE</t>
        </is>
      </c>
      <c r="B83" s="11" t="n">
        <v>3</v>
      </c>
      <c r="C83" s="11" t="inlineStr">
        <is>
          <t>Ciencias</t>
        </is>
      </c>
      <c r="D83" s="11" t="inlineStr">
        <is>
          <t>Matriz_Ciencias_3er_Grado_U1_U6.xlsx</t>
        </is>
      </c>
      <c r="E83" s="11" t="inlineStr">
        <is>
          <t>Unidad 2 - Interacciones terres</t>
        </is>
      </c>
      <c r="F83" s="11" t="n">
        <v>5</v>
      </c>
      <c r="G83" s="11" t="inlineStr">
        <is>
          <t>2. Interacciones terrestres.</t>
        </is>
      </c>
      <c r="H83" s="11" t="inlineStr">
        <is>
          <t>Mezclas.</t>
        </is>
      </c>
      <c r="I83" s="38" t="inlineStr">
        <is>
          <t>2.3. Preparación de distintos tipos de mezclas.</t>
        </is>
      </c>
      <c r="J83" s="11" t="inlineStr">
        <is>
          <t>T4_27</t>
        </is>
      </c>
      <c r="K83" s="11" t="inlineStr">
        <is>
          <t>T4_27-P1.3</t>
        </is>
      </c>
      <c r="L83" s="11" t="inlineStr"/>
      <c r="M83" s="11">
        <f>IF(K83="FUERA","Fuera del marco",IF(K83="N/A","Sin marco",IFERROR(INDEX('Datos - Catálogo TIMSS'!$C$5:$C$107,MATCH(K83,'Datos - Catálogo TIMSS'!$A$5:$A$107,0)),"Pendiente de clasificar")))</f>
        <v/>
      </c>
      <c r="N83" s="11">
        <f>IF(K83="FUERA","Fuera del marco",IF(K83="N/A","Sin marco",IFERROR(INDEX('Datos - Catálogo TIMSS'!$F$5:$F$107,MATCH(K83,'Datos - Catálogo TIMSS'!$A$5:$A$107,0)),"Pendiente de clasificar")))</f>
        <v/>
      </c>
      <c r="O83" s="11">
        <f>IF(L83="","",IFERROR(INDEX('Datos - Catálogo TIMSS'!$C$5:$C$107,MATCH(L83,'Datos - Catálogo TIMSS'!$A$5:$A$107,0)),"?"))</f>
        <v/>
      </c>
      <c r="P83" s="11" t="inlineStr">
        <is>
          <t>alta</t>
        </is>
      </c>
      <c r="Q83" s="38" t="inlineStr">
        <is>
          <t>Preparar y describir mezclas</t>
        </is>
      </c>
      <c r="R83" s="38" t="inlineStr">
        <is>
          <t>Aplicar: clasificar</t>
        </is>
      </c>
      <c r="S83" s="39">
        <f>IFERROR(ISNUMBER(SEARCH("Conocer",$R83))/(ISNUMBER(SEARCH("Conocer",$R83))+ISNUMBER(SEARCH("Aplicar",$R83))+ISNUMBER(SEARCH("Razonar",$R83))),0)</f>
        <v/>
      </c>
      <c r="T83" s="39">
        <f>IFERROR(ISNUMBER(SEARCH("Aplicar",$R83))/(ISNUMBER(SEARCH("Conocer",$R83))+ISNUMBER(SEARCH("Aplicar",$R83))+ISNUMBER(SEARCH("Razonar",$R83))),0)</f>
        <v/>
      </c>
      <c r="U83" s="39">
        <f>IFERROR(ISNUMBER(SEARCH("Razonar",$R83))/(ISNUMBER(SEARCH("Conocer",$R83))+ISNUMBER(SEARCH("Aplicar",$R83))+ISNUMBER(SEARCH("Razonar",$R83))),0)</f>
        <v/>
      </c>
      <c r="V83" s="11" t="inlineStr">
        <is>
          <t>3°</t>
        </is>
      </c>
      <c r="W83" s="11" t="inlineStr">
        <is>
          <t>Ciclo 2°–4°</t>
        </is>
      </c>
      <c r="X83" s="11">
        <f>IF(OR(IFERROR(INDEX('Datos - Catálogo TIMSS'!$I$5:$I$107,MATCH(K83,'Datos - Catálogo TIMSS'!$A$5:$A$107,0)),"No")="Sí",IFERROR(INDEX('Datos - Catálogo TIMSS'!$I$5:$I$107,MATCH(L83,'Datos - Catálogo TIMSS'!$A$5:$A$107,0)),"No")="Sí"),1,0)</f>
        <v/>
      </c>
      <c r="Y83" s="11">
        <f>IF(IFERROR(INDEX('Datos - Catálogo TIMSS'!$J$5:$J$107,MATCH(K83,'Datos - Catálogo TIMSS'!$A$5:$A$107,0)),"No")="Sí",1,0)</f>
        <v/>
      </c>
      <c r="Z83" s="11">
        <f>IF(IFERROR(INDEX('Datos - Catálogo TIMSS'!$J$5:$J$107,MATCH(L83,'Datos - Catálogo TIMSS'!$A$5:$A$107,0)),"No")="Sí",1,0)</f>
        <v/>
      </c>
      <c r="AA83" s="11" t="inlineStr">
        <is>
          <t>T4-F1.2</t>
        </is>
      </c>
      <c r="AB83" s="11" t="inlineStr"/>
      <c r="AC83" s="11">
        <f>IF(AA83="FUERA","Fuera del marco",IF(AA83="N/A","Sin marco",IFERROR(INDEX('Datos - TIMSS 2023'!$C$5:$C$105,MATCH(AA83,'Datos - TIMSS 2023'!$A$5:$A$105,0)),"Pendiente de clasificar")))</f>
        <v/>
      </c>
      <c r="AD83" s="11" t="inlineStr">
        <is>
          <t>2. Construir y evaluar diseños para la indagación científica e interpretar datos y evidencia de forma crítica</t>
        </is>
      </c>
      <c r="AE83" s="11">
        <f>IF(AD83="","",IF(LEFT(AD83,1)="1","C1",IF(LEFT(AD83,1)="2","C2",IF(LEFT(AD83,1)="3","C3",""))))</f>
        <v/>
      </c>
      <c r="AF83" s="11" t="inlineStr">
        <is>
          <t>E1</t>
        </is>
      </c>
      <c r="AG83" s="11" t="inlineStr">
        <is>
          <t>D1</t>
        </is>
      </c>
      <c r="AH83" s="11" t="inlineStr">
        <is>
          <t>E1</t>
        </is>
      </c>
      <c r="AI83" s="11" t="inlineStr">
        <is>
          <t>D4</t>
        </is>
      </c>
      <c r="AJ83" s="11" t="inlineStr">
        <is>
          <t>E1</t>
        </is>
      </c>
      <c r="AK83" s="11" t="n"/>
      <c r="AL83" s="11" t="n"/>
      <c r="AM83" s="11" t="n"/>
      <c r="AN83" s="11" t="n"/>
      <c r="AO83" s="11" t="n"/>
      <c r="AP83" s="11" t="n"/>
      <c r="AQ83" s="11" t="n"/>
      <c r="AR83" s="11" t="n"/>
      <c r="AS83" s="11" t="n"/>
      <c r="AT83" s="11" t="n"/>
      <c r="AU83" s="11" t="n"/>
      <c r="AV83" s="11" t="n"/>
      <c r="AW83" s="11">
        <f>AF83&amp;"; "&amp;AG83&amp;"; "&amp;AH83&amp;"; "&amp;AI83&amp;"; "&amp;AJ83</f>
        <v/>
      </c>
    </row>
    <row r="84">
      <c r="A84" s="11" t="inlineStr">
        <is>
          <t>T0718-G03-CIE</t>
        </is>
      </c>
      <c r="B84" s="11" t="n">
        <v>3</v>
      </c>
      <c r="C84" s="11" t="inlineStr">
        <is>
          <t>Ciencias</t>
        </is>
      </c>
      <c r="D84" s="11" t="inlineStr">
        <is>
          <t>Matriz_Ciencias_3er_Grado_U1_U6.xlsx</t>
        </is>
      </c>
      <c r="E84" s="11" t="inlineStr">
        <is>
          <t>Unidad 2 - Interacciones terres</t>
        </is>
      </c>
      <c r="F84" s="11" t="n">
        <v>6</v>
      </c>
      <c r="G84" s="11" t="inlineStr">
        <is>
          <t>2. Interacciones terrestres.</t>
        </is>
      </c>
      <c r="H84" s="11" t="inlineStr">
        <is>
          <t>Mezclas.</t>
        </is>
      </c>
      <c r="I84" s="38" t="inlineStr">
        <is>
          <t>2.4. Descripción de las principales características de los métodos de separación de mezclas.</t>
        </is>
      </c>
      <c r="J84" s="11" t="inlineStr">
        <is>
          <t>T4_27</t>
        </is>
      </c>
      <c r="K84" s="11" t="inlineStr">
        <is>
          <t>T4_27-P1.3</t>
        </is>
      </c>
      <c r="L84" s="11" t="inlineStr"/>
      <c r="M84" s="11">
        <f>IF(K84="FUERA","Fuera del marco",IF(K84="N/A","Sin marco",IFERROR(INDEX('Datos - Catálogo TIMSS'!$C$5:$C$107,MATCH(K84,'Datos - Catálogo TIMSS'!$A$5:$A$107,0)),"Pendiente de clasificar")))</f>
        <v/>
      </c>
      <c r="N84" s="11">
        <f>IF(K84="FUERA","Fuera del marco",IF(K84="N/A","Sin marco",IFERROR(INDEX('Datos - Catálogo TIMSS'!$F$5:$F$107,MATCH(K84,'Datos - Catálogo TIMSS'!$A$5:$A$107,0)),"Pendiente de clasificar")))</f>
        <v/>
      </c>
      <c r="O84" s="11">
        <f>IF(L84="","",IFERROR(INDEX('Datos - Catálogo TIMSS'!$C$5:$C$107,MATCH(L84,'Datos - Catálogo TIMSS'!$A$5:$A$107,0)),"?"))</f>
        <v/>
      </c>
      <c r="P84" s="11" t="inlineStr">
        <is>
          <t>alta</t>
        </is>
      </c>
      <c r="Q84" s="38" t="inlineStr">
        <is>
          <t>Métodos físicos de separación de mezclas</t>
        </is>
      </c>
      <c r="R84" s="38" t="inlineStr">
        <is>
          <t>Conocer: describir. Aplicar: relacionar</t>
        </is>
      </c>
      <c r="S84" s="39">
        <f>IFERROR(ISNUMBER(SEARCH("Conocer",$R84))/(ISNUMBER(SEARCH("Conocer",$R84))+ISNUMBER(SEARCH("Aplicar",$R84))+ISNUMBER(SEARCH("Razonar",$R84))),0)</f>
        <v/>
      </c>
      <c r="T84" s="39">
        <f>IFERROR(ISNUMBER(SEARCH("Aplicar",$R84))/(ISNUMBER(SEARCH("Conocer",$R84))+ISNUMBER(SEARCH("Aplicar",$R84))+ISNUMBER(SEARCH("Razonar",$R84))),0)</f>
        <v/>
      </c>
      <c r="U84" s="39">
        <f>IFERROR(ISNUMBER(SEARCH("Razonar",$R84))/(ISNUMBER(SEARCH("Conocer",$R84))+ISNUMBER(SEARCH("Aplicar",$R84))+ISNUMBER(SEARCH("Razonar",$R84))),0)</f>
        <v/>
      </c>
      <c r="V84" s="11" t="inlineStr">
        <is>
          <t>3°</t>
        </is>
      </c>
      <c r="W84" s="11" t="inlineStr">
        <is>
          <t>Ciclo 2°–4°</t>
        </is>
      </c>
      <c r="X84" s="11">
        <f>IF(OR(IFERROR(INDEX('Datos - Catálogo TIMSS'!$I$5:$I$107,MATCH(K84,'Datos - Catálogo TIMSS'!$A$5:$A$107,0)),"No")="Sí",IFERROR(INDEX('Datos - Catálogo TIMSS'!$I$5:$I$107,MATCH(L84,'Datos - Catálogo TIMSS'!$A$5:$A$107,0)),"No")="Sí"),1,0)</f>
        <v/>
      </c>
      <c r="Y84" s="11">
        <f>IF(IFERROR(INDEX('Datos - Catálogo TIMSS'!$J$5:$J$107,MATCH(K84,'Datos - Catálogo TIMSS'!$A$5:$A$107,0)),"No")="Sí",1,0)</f>
        <v/>
      </c>
      <c r="Z84" s="11">
        <f>IF(IFERROR(INDEX('Datos - Catálogo TIMSS'!$J$5:$J$107,MATCH(L84,'Datos - Catálogo TIMSS'!$A$5:$A$107,0)),"No")="Sí",1,0)</f>
        <v/>
      </c>
      <c r="AA84" s="11" t="inlineStr">
        <is>
          <t>T4-F1.2</t>
        </is>
      </c>
      <c r="AB84" s="11" t="inlineStr"/>
      <c r="AC84" s="11">
        <f>IF(AA84="FUERA","Fuera del marco",IF(AA84="N/A","Sin marco",IFERROR(INDEX('Datos - TIMSS 2023'!$C$5:$C$105,MATCH(AA84,'Datos - TIMSS 2023'!$A$5:$A$105,0)),"Pendiente de clasificar")))</f>
        <v/>
      </c>
      <c r="AD84" s="11" t="inlineStr">
        <is>
          <t>1. Explicar fenómenos científicamente</t>
        </is>
      </c>
      <c r="AE84" s="11">
        <f>IF(AD84="","",IF(LEFT(AD84,1)="1","C1",IF(LEFT(AD84,1)="2","C2",IF(LEFT(AD84,1)="3","C3",""))))</f>
        <v/>
      </c>
      <c r="AF84" s="11" t="inlineStr">
        <is>
          <t>E1</t>
        </is>
      </c>
      <c r="AG84" s="11" t="inlineStr">
        <is>
          <t>D1</t>
        </is>
      </c>
      <c r="AH84" s="11" t="inlineStr">
        <is>
          <t>E1</t>
        </is>
      </c>
      <c r="AI84" s="11" t="inlineStr">
        <is>
          <t>D4</t>
        </is>
      </c>
      <c r="AJ84" s="11" t="inlineStr">
        <is>
          <t>E3</t>
        </is>
      </c>
      <c r="AK84" s="11" t="n"/>
      <c r="AL84" s="11" t="n"/>
      <c r="AM84" s="11" t="n"/>
      <c r="AN84" s="11" t="n"/>
      <c r="AO84" s="11" t="n"/>
      <c r="AP84" s="11" t="n"/>
      <c r="AQ84" s="11" t="n"/>
      <c r="AR84" s="11" t="n"/>
      <c r="AS84" s="11" t="n"/>
      <c r="AT84" s="11" t="n"/>
      <c r="AU84" s="11" t="n"/>
      <c r="AV84" s="11" t="n"/>
      <c r="AW84" s="11">
        <f>AF84&amp;"; "&amp;AG84&amp;"; "&amp;AH84&amp;"; "&amp;AI84&amp;"; "&amp;AJ84</f>
        <v/>
      </c>
    </row>
    <row r="85">
      <c r="A85" s="11" t="inlineStr">
        <is>
          <t>T0719-G03-CIE</t>
        </is>
      </c>
      <c r="B85" s="11" t="n">
        <v>3</v>
      </c>
      <c r="C85" s="11" t="inlineStr">
        <is>
          <t>Ciencias</t>
        </is>
      </c>
      <c r="D85" s="11" t="inlineStr">
        <is>
          <t>Matriz_Ciencias_3er_Grado_U1_U6.xlsx</t>
        </is>
      </c>
      <c r="E85" s="11" t="inlineStr">
        <is>
          <t>Unidad 2 - Interacciones terres</t>
        </is>
      </c>
      <c r="F85" s="11" t="n">
        <v>7</v>
      </c>
      <c r="G85" s="11" t="inlineStr">
        <is>
          <t>2. Interacciones terrestres.</t>
        </is>
      </c>
      <c r="H85" s="11" t="inlineStr">
        <is>
          <t>Mezclas.</t>
        </is>
      </c>
      <c r="I85" s="38" t="inlineStr">
        <is>
          <t>2.5. Experimentación con los métodos de separación de mezclas.</t>
        </is>
      </c>
      <c r="J85" s="11" t="inlineStr">
        <is>
          <t>T4_27</t>
        </is>
      </c>
      <c r="K85" s="11" t="inlineStr">
        <is>
          <t>T4_27-P1.3</t>
        </is>
      </c>
      <c r="L85" s="11" t="inlineStr">
        <is>
          <t>T4_27-P6.1</t>
        </is>
      </c>
      <c r="M85" s="11">
        <f>IF(K85="FUERA","Fuera del marco",IF(K85="N/A","Sin marco",IFERROR(INDEX('Datos - Catálogo TIMSS'!$C$5:$C$107,MATCH(K85,'Datos - Catálogo TIMSS'!$A$5:$A$107,0)),"Pendiente de clasificar")))</f>
        <v/>
      </c>
      <c r="N85" s="11">
        <f>IF(K85="FUERA","Fuera del marco",IF(K85="N/A","Sin marco",IFERROR(INDEX('Datos - Catálogo TIMSS'!$F$5:$F$107,MATCH(K85,'Datos - Catálogo TIMSS'!$A$5:$A$107,0)),"Pendiente de clasificar")))</f>
        <v/>
      </c>
      <c r="O85" s="11">
        <f>IF(L85="","",IFERROR(INDEX('Datos - Catálogo TIMSS'!$C$5:$C$107,MATCH(L85,'Datos - Catálogo TIMSS'!$A$5:$A$107,0)),"?"))</f>
        <v/>
      </c>
      <c r="P85" s="11" t="inlineStr">
        <is>
          <t>alta</t>
        </is>
      </c>
      <c r="Q85" s="38" t="inlineStr">
        <is>
          <t>Separación de mezclas mediante experimento planificado y mejorado</t>
        </is>
      </c>
      <c r="R85" s="38" t="inlineStr">
        <is>
          <t>Razonar: diseñar, ejecutar y evaluar un procedimiento</t>
        </is>
      </c>
      <c r="S85" s="39">
        <f>IFERROR(ISNUMBER(SEARCH("Conocer",$R85))/(ISNUMBER(SEARCH("Conocer",$R85))+ISNUMBER(SEARCH("Aplicar",$R85))+ISNUMBER(SEARCH("Razonar",$R85))),0)</f>
        <v/>
      </c>
      <c r="T85" s="39">
        <f>IFERROR(ISNUMBER(SEARCH("Aplicar",$R85))/(ISNUMBER(SEARCH("Conocer",$R85))+ISNUMBER(SEARCH("Aplicar",$R85))+ISNUMBER(SEARCH("Razonar",$R85))),0)</f>
        <v/>
      </c>
      <c r="U85" s="39">
        <f>IFERROR(ISNUMBER(SEARCH("Razonar",$R85))/(ISNUMBER(SEARCH("Conocer",$R85))+ISNUMBER(SEARCH("Aplicar",$R85))+ISNUMBER(SEARCH("Razonar",$R85))),0)</f>
        <v/>
      </c>
      <c r="V85" s="11" t="inlineStr">
        <is>
          <t>3°</t>
        </is>
      </c>
      <c r="W85" s="11" t="inlineStr">
        <is>
          <t>Ciclo 2°–4°</t>
        </is>
      </c>
      <c r="X85" s="11">
        <f>IF(OR(IFERROR(INDEX('Datos - Catálogo TIMSS'!$I$5:$I$107,MATCH(K85,'Datos - Catálogo TIMSS'!$A$5:$A$107,0)),"No")="Sí",IFERROR(INDEX('Datos - Catálogo TIMSS'!$I$5:$I$107,MATCH(L85,'Datos - Catálogo TIMSS'!$A$5:$A$107,0)),"No")="Sí"),1,0)</f>
        <v/>
      </c>
      <c r="Y85" s="11">
        <f>IF(IFERROR(INDEX('Datos - Catálogo TIMSS'!$J$5:$J$107,MATCH(K85,'Datos - Catálogo TIMSS'!$A$5:$A$107,0)),"No")="Sí",1,0)</f>
        <v/>
      </c>
      <c r="Z85" s="11">
        <f>IF(IFERROR(INDEX('Datos - Catálogo TIMSS'!$J$5:$J$107,MATCH(L85,'Datos - Catálogo TIMSS'!$A$5:$A$107,0)),"No")="Sí",1,0)</f>
        <v/>
      </c>
      <c r="AA85" s="11" t="inlineStr">
        <is>
          <t>T4-F1.2</t>
        </is>
      </c>
      <c r="AB85" s="11" t="inlineStr"/>
      <c r="AC85" s="11">
        <f>IF(AA85="FUERA","Fuera del marco",IF(AA85="N/A","Sin marco",IFERROR(INDEX('Datos - TIMSS 2023'!$C$5:$C$105,MATCH(AA85,'Datos - TIMSS 2023'!$A$5:$A$105,0)),"Pendiente de clasificar")))</f>
        <v/>
      </c>
      <c r="AD85" s="11" t="inlineStr">
        <is>
          <t>2. Construir y evaluar diseños para la indagación científica e interpretar datos y evidencia de forma crítica</t>
        </is>
      </c>
      <c r="AE85" s="11">
        <f>IF(AD85="","",IF(LEFT(AD85,1)="1","C1",IF(LEFT(AD85,1)="2","C2",IF(LEFT(AD85,1)="3","C3",""))))</f>
        <v/>
      </c>
      <c r="AF85" s="11" t="inlineStr">
        <is>
          <t>E1</t>
        </is>
      </c>
      <c r="AG85" s="11" t="inlineStr">
        <is>
          <t>E3</t>
        </is>
      </c>
      <c r="AH85" s="11" t="inlineStr">
        <is>
          <t>E2</t>
        </is>
      </c>
      <c r="AI85" s="11" t="inlineStr">
        <is>
          <t>D3</t>
        </is>
      </c>
      <c r="AJ85" s="11" t="inlineStr">
        <is>
          <t>E3</t>
        </is>
      </c>
      <c r="AK85" s="11" t="n"/>
      <c r="AL85" s="11" t="n"/>
      <c r="AM85" s="11" t="n"/>
      <c r="AN85" s="11" t="n"/>
      <c r="AO85" s="11" t="n"/>
      <c r="AP85" s="11" t="n"/>
      <c r="AQ85" s="11" t="n"/>
      <c r="AR85" s="11" t="n"/>
      <c r="AS85" s="11" t="n"/>
      <c r="AT85" s="11" t="n"/>
      <c r="AU85" s="11" t="n"/>
      <c r="AV85" s="11" t="n"/>
      <c r="AW85" s="11">
        <f>AF85&amp;"; "&amp;AG85&amp;"; "&amp;AH85&amp;"; "&amp;AI85&amp;"; "&amp;AJ85</f>
        <v/>
      </c>
    </row>
    <row r="86">
      <c r="A86" s="11" t="inlineStr">
        <is>
          <t>T0720-G03-CIE</t>
        </is>
      </c>
      <c r="B86" s="11" t="n">
        <v>3</v>
      </c>
      <c r="C86" s="11" t="inlineStr">
        <is>
          <t>Ciencias</t>
        </is>
      </c>
      <c r="D86" s="11" t="inlineStr">
        <is>
          <t>Matriz_Ciencias_3er_Grado_U1_U6.xlsx</t>
        </is>
      </c>
      <c r="E86" s="11" t="inlineStr">
        <is>
          <t>Unidad 2 - Interacciones terres</t>
        </is>
      </c>
      <c r="F86" s="11" t="n">
        <v>8</v>
      </c>
      <c r="G86" s="11" t="inlineStr">
        <is>
          <t>2. Interacciones terrestres.</t>
        </is>
      </c>
      <c r="H86" s="11" t="inlineStr">
        <is>
          <t>Las rocas.</t>
        </is>
      </c>
      <c r="I86" s="38" t="inlineStr">
        <is>
          <t>2.6. Identificación de rocas como elementos de uso común</t>
        </is>
      </c>
      <c r="J86" s="11" t="inlineStr">
        <is>
          <t>T4_27</t>
        </is>
      </c>
      <c r="K86" s="11" t="inlineStr">
        <is>
          <t>T4_27-E3.1</t>
        </is>
      </c>
      <c r="L86" s="11" t="inlineStr"/>
      <c r="M86" s="11">
        <f>IF(K86="FUERA","Fuera del marco",IF(K86="N/A","Sin marco",IFERROR(INDEX('Datos - Catálogo TIMSS'!$C$5:$C$107,MATCH(K86,'Datos - Catálogo TIMSS'!$A$5:$A$107,0)),"Pendiente de clasificar")))</f>
        <v/>
      </c>
      <c r="N86" s="11">
        <f>IF(K86="FUERA","Fuera del marco",IF(K86="N/A","Sin marco",IFERROR(INDEX('Datos - Catálogo TIMSS'!$F$5:$F$107,MATCH(K86,'Datos - Catálogo TIMSS'!$A$5:$A$107,0)),"Pendiente de clasificar")))</f>
        <v/>
      </c>
      <c r="O86" s="11">
        <f>IF(L86="","",IFERROR(INDEX('Datos - Catálogo TIMSS'!$C$5:$C$107,MATCH(L86,'Datos - Catálogo TIMSS'!$A$5:$A$107,0)),"?"))</f>
        <v/>
      </c>
      <c r="P86" s="11" t="inlineStr">
        <is>
          <t>media</t>
        </is>
      </c>
      <c r="Q86" s="38" t="inlineStr">
        <is>
          <t>Rocas como recurso mineral de uso cotidiano</t>
        </is>
      </c>
      <c r="R86" s="38" t="inlineStr">
        <is>
          <t>Conocer: dar ejemplos. Aplicar: clasificar</t>
        </is>
      </c>
      <c r="S86" s="39">
        <f>IFERROR(ISNUMBER(SEARCH("Conocer",$R86))/(ISNUMBER(SEARCH("Conocer",$R86))+ISNUMBER(SEARCH("Aplicar",$R86))+ISNUMBER(SEARCH("Razonar",$R86))),0)</f>
        <v/>
      </c>
      <c r="T86" s="39">
        <f>IFERROR(ISNUMBER(SEARCH("Aplicar",$R86))/(ISNUMBER(SEARCH("Conocer",$R86))+ISNUMBER(SEARCH("Aplicar",$R86))+ISNUMBER(SEARCH("Razonar",$R86))),0)</f>
        <v/>
      </c>
      <c r="U86" s="39">
        <f>IFERROR(ISNUMBER(SEARCH("Razonar",$R86))/(ISNUMBER(SEARCH("Conocer",$R86))+ISNUMBER(SEARCH("Aplicar",$R86))+ISNUMBER(SEARCH("Razonar",$R86))),0)</f>
        <v/>
      </c>
      <c r="V86" s="11" t="inlineStr">
        <is>
          <t>3°</t>
        </is>
      </c>
      <c r="W86" s="11" t="inlineStr">
        <is>
          <t>Ciclo 2°–4°</t>
        </is>
      </c>
      <c r="X86" s="11">
        <f>IF(OR(IFERROR(INDEX('Datos - Catálogo TIMSS'!$I$5:$I$107,MATCH(K86,'Datos - Catálogo TIMSS'!$A$5:$A$107,0)),"No")="Sí",IFERROR(INDEX('Datos - Catálogo TIMSS'!$I$5:$I$107,MATCH(L86,'Datos - Catálogo TIMSS'!$A$5:$A$107,0)),"No")="Sí"),1,0)</f>
        <v/>
      </c>
      <c r="Y86" s="11">
        <f>IF(IFERROR(INDEX('Datos - Catálogo TIMSS'!$J$5:$J$107,MATCH(K86,'Datos - Catálogo TIMSS'!$A$5:$A$107,0)),"No")="Sí",1,0)</f>
        <v/>
      </c>
      <c r="Z86" s="11">
        <f>IF(IFERROR(INDEX('Datos - Catálogo TIMSS'!$J$5:$J$107,MATCH(L86,'Datos - Catálogo TIMSS'!$A$5:$A$107,0)),"No")="Sí",1,0)</f>
        <v/>
      </c>
      <c r="AA86" s="11" t="inlineStr">
        <is>
          <t>T4-T1.2</t>
        </is>
      </c>
      <c r="AB86" s="11" t="inlineStr"/>
      <c r="AC86" s="11">
        <f>IF(AA86="FUERA","Fuera del marco",IF(AA86="N/A","Sin marco",IFERROR(INDEX('Datos - TIMSS 2023'!$C$5:$C$105,MATCH(AA86,'Datos - TIMSS 2023'!$A$5:$A$105,0)),"Pendiente de clasificar")))</f>
        <v/>
      </c>
      <c r="AD86" s="11" t="inlineStr">
        <is>
          <t>1. Explicar fenómenos científicamente</t>
        </is>
      </c>
      <c r="AE86" s="11">
        <f>IF(AD86="","",IF(LEFT(AD86,1)="1","C1",IF(LEFT(AD86,1)="2","C2",IF(LEFT(AD86,1)="3","C3",""))))</f>
        <v/>
      </c>
      <c r="AF86" s="11" t="inlineStr">
        <is>
          <t>E1</t>
        </is>
      </c>
      <c r="AG86" s="11" t="inlineStr">
        <is>
          <t>D1</t>
        </is>
      </c>
      <c r="AH86" s="11" t="inlineStr">
        <is>
          <t>E1</t>
        </is>
      </c>
      <c r="AI86" s="11" t="inlineStr">
        <is>
          <t>D4</t>
        </is>
      </c>
      <c r="AJ86" s="11" t="inlineStr">
        <is>
          <t>E6</t>
        </is>
      </c>
      <c r="AK86" s="11" t="n"/>
      <c r="AL86" s="11" t="n"/>
      <c r="AM86" s="11" t="n"/>
      <c r="AN86" s="11" t="n"/>
      <c r="AO86" s="11" t="n"/>
      <c r="AP86" s="11" t="n"/>
      <c r="AQ86" s="11" t="n"/>
      <c r="AR86" s="11" t="n"/>
      <c r="AS86" s="11" t="n"/>
      <c r="AT86" s="11" t="n"/>
      <c r="AU86" s="11" t="n"/>
      <c r="AV86" s="11" t="n"/>
      <c r="AW86" s="11">
        <f>AF86&amp;"; "&amp;AG86&amp;"; "&amp;AH86&amp;"; "&amp;AI86&amp;"; "&amp;AJ86</f>
        <v/>
      </c>
    </row>
    <row r="87">
      <c r="A87" s="11" t="inlineStr">
        <is>
          <t>T0721-G03-CIE</t>
        </is>
      </c>
      <c r="B87" s="11" t="n">
        <v>3</v>
      </c>
      <c r="C87" s="11" t="inlineStr">
        <is>
          <t>Ciencias</t>
        </is>
      </c>
      <c r="D87" s="11" t="inlineStr">
        <is>
          <t>Matriz_Ciencias_3er_Grado_U1_U6.xlsx</t>
        </is>
      </c>
      <c r="E87" s="11" t="inlineStr">
        <is>
          <t>Unidad 2 - Interacciones terres</t>
        </is>
      </c>
      <c r="F87" s="11" t="n">
        <v>9</v>
      </c>
      <c r="G87" s="11" t="inlineStr">
        <is>
          <t>2. Interacciones terrestres.</t>
        </is>
      </c>
      <c r="H87" s="11" t="inlineStr">
        <is>
          <t>Las rocas.</t>
        </is>
      </c>
      <c r="I87" s="38" t="inlineStr">
        <is>
          <t>2.7. Clasificación de rocas por sus características y ambientes de formación</t>
        </is>
      </c>
      <c r="J87" s="11" t="inlineStr">
        <is>
          <t>T4_27</t>
        </is>
      </c>
      <c r="K87" s="11" t="inlineStr">
        <is>
          <t>T4_27-E1.2</t>
        </is>
      </c>
      <c r="L87" s="11" t="inlineStr"/>
      <c r="M87" s="11">
        <f>IF(K87="FUERA","Fuera del marco",IF(K87="N/A","Sin marco",IFERROR(INDEX('Datos - Catálogo TIMSS'!$C$5:$C$107,MATCH(K87,'Datos - Catálogo TIMSS'!$A$5:$A$107,0)),"Pendiente de clasificar")))</f>
        <v/>
      </c>
      <c r="N87" s="11">
        <f>IF(K87="FUERA","Fuera del marco",IF(K87="N/A","Sin marco",IFERROR(INDEX('Datos - Catálogo TIMSS'!$F$5:$F$107,MATCH(K87,'Datos - Catálogo TIMSS'!$A$5:$A$107,0)),"Pendiente de clasificar")))</f>
        <v/>
      </c>
      <c r="O87" s="11">
        <f>IF(L87="","",IFERROR(INDEX('Datos - Catálogo TIMSS'!$C$5:$C$107,MATCH(L87,'Datos - Catálogo TIMSS'!$A$5:$A$107,0)),"?"))</f>
        <v/>
      </c>
      <c r="P87" s="11" t="inlineStr">
        <is>
          <t>baja</t>
        </is>
      </c>
      <c r="Q87" s="38" t="inlineStr">
        <is>
          <t>Ambientes de formación de rocas; marco 2027 no trata tipos de roca</t>
        </is>
      </c>
      <c r="R87" s="38" t="inlineStr">
        <is>
          <t>Aplicar: clasificar según características observables</t>
        </is>
      </c>
      <c r="S87" s="39">
        <f>IFERROR(ISNUMBER(SEARCH("Conocer",$R87))/(ISNUMBER(SEARCH("Conocer",$R87))+ISNUMBER(SEARCH("Aplicar",$R87))+ISNUMBER(SEARCH("Razonar",$R87))),0)</f>
        <v/>
      </c>
      <c r="T87" s="39">
        <f>IFERROR(ISNUMBER(SEARCH("Aplicar",$R87))/(ISNUMBER(SEARCH("Conocer",$R87))+ISNUMBER(SEARCH("Aplicar",$R87))+ISNUMBER(SEARCH("Razonar",$R87))),0)</f>
        <v/>
      </c>
      <c r="U87" s="39">
        <f>IFERROR(ISNUMBER(SEARCH("Razonar",$R87))/(ISNUMBER(SEARCH("Conocer",$R87))+ISNUMBER(SEARCH("Aplicar",$R87))+ISNUMBER(SEARCH("Razonar",$R87))),0)</f>
        <v/>
      </c>
      <c r="V87" s="11" t="inlineStr">
        <is>
          <t>3°</t>
        </is>
      </c>
      <c r="W87" s="11" t="inlineStr">
        <is>
          <t>Ciclo 2°–4°</t>
        </is>
      </c>
      <c r="X87" s="11">
        <f>IF(OR(IFERROR(INDEX('Datos - Catálogo TIMSS'!$I$5:$I$107,MATCH(K87,'Datos - Catálogo TIMSS'!$A$5:$A$107,0)),"No")="Sí",IFERROR(INDEX('Datos - Catálogo TIMSS'!$I$5:$I$107,MATCH(L87,'Datos - Catálogo TIMSS'!$A$5:$A$107,0)),"No")="Sí"),1,0)</f>
        <v/>
      </c>
      <c r="Y87" s="11">
        <f>IF(IFERROR(INDEX('Datos - Catálogo TIMSS'!$J$5:$J$107,MATCH(K87,'Datos - Catálogo TIMSS'!$A$5:$A$107,0)),"No")="Sí",1,0)</f>
        <v/>
      </c>
      <c r="Z87" s="11">
        <f>IF(IFERROR(INDEX('Datos - Catálogo TIMSS'!$J$5:$J$107,MATCH(L87,'Datos - Catálogo TIMSS'!$A$5:$A$107,0)),"No")="Sí",1,0)</f>
        <v/>
      </c>
      <c r="AA87" s="11" t="inlineStr">
        <is>
          <t>T4-T1.3</t>
        </is>
      </c>
      <c r="AB87" s="11" t="inlineStr"/>
      <c r="AC87" s="11">
        <f>IF(AA87="FUERA","Fuera del marco",IF(AA87="N/A","Sin marco",IFERROR(INDEX('Datos - TIMSS 2023'!$C$5:$C$105,MATCH(AA87,'Datos - TIMSS 2023'!$A$5:$A$105,0)),"Pendiente de clasificar")))</f>
        <v/>
      </c>
      <c r="AD87" s="11" t="inlineStr">
        <is>
          <t>2. Construir y evaluar diseños para la indagación científica e interpretar datos y evidencia de forma crítica</t>
        </is>
      </c>
      <c r="AE87" s="11">
        <f>IF(AD87="","",IF(LEFT(AD87,1)="1","C1",IF(LEFT(AD87,1)="2","C2",IF(LEFT(AD87,1)="3","C3",""))))</f>
        <v/>
      </c>
      <c r="AF87" s="11" t="inlineStr">
        <is>
          <t>E1</t>
        </is>
      </c>
      <c r="AG87" s="11" t="inlineStr">
        <is>
          <t>D1</t>
        </is>
      </c>
      <c r="AH87" s="11" t="inlineStr">
        <is>
          <t>E1</t>
        </is>
      </c>
      <c r="AI87" s="11" t="inlineStr">
        <is>
          <t>D4</t>
        </is>
      </c>
      <c r="AJ87" s="11" t="inlineStr">
        <is>
          <t>E1</t>
        </is>
      </c>
      <c r="AK87" s="11" t="n"/>
      <c r="AL87" s="11" t="n"/>
      <c r="AM87" s="11" t="n"/>
      <c r="AN87" s="11" t="n"/>
      <c r="AO87" s="11" t="n"/>
      <c r="AP87" s="11" t="n"/>
      <c r="AQ87" s="11" t="n"/>
      <c r="AR87" s="11" t="n"/>
      <c r="AS87" s="11" t="n"/>
      <c r="AT87" s="11" t="n"/>
      <c r="AU87" s="11" t="n"/>
      <c r="AV87" s="11" t="n"/>
      <c r="AW87" s="11">
        <f>AF87&amp;"; "&amp;AG87&amp;"; "&amp;AH87&amp;"; "&amp;AI87&amp;"; "&amp;AJ87</f>
        <v/>
      </c>
    </row>
    <row r="88">
      <c r="A88" s="11" t="inlineStr">
        <is>
          <t>T0722-G03-CIE</t>
        </is>
      </c>
      <c r="B88" s="11" t="n">
        <v>3</v>
      </c>
      <c r="C88" s="11" t="inlineStr">
        <is>
          <t>Ciencias</t>
        </is>
      </c>
      <c r="D88" s="11" t="inlineStr">
        <is>
          <t>Matriz_Ciencias_3er_Grado_U1_U6.xlsx</t>
        </is>
      </c>
      <c r="E88" s="11" t="inlineStr">
        <is>
          <t>Unidad 2 - Interacciones terres</t>
        </is>
      </c>
      <c r="F88" s="11" t="n">
        <v>10</v>
      </c>
      <c r="G88" s="11" t="inlineStr">
        <is>
          <t>2. Interacciones terrestres.</t>
        </is>
      </c>
      <c r="H88" s="11" t="inlineStr">
        <is>
          <t>Rocas y volcanes.</t>
        </is>
      </c>
      <c r="I88" s="38" t="inlineStr">
        <is>
          <t>2.8. Reconocimiento de los procesos responsables de la formación de las rocas.</t>
        </is>
      </c>
      <c r="J88" s="11" t="inlineStr">
        <is>
          <t>T4_27</t>
        </is>
      </c>
      <c r="K88" s="11" t="inlineStr">
        <is>
          <t>T4_27-E1.2</t>
        </is>
      </c>
      <c r="L88" s="11" t="inlineStr"/>
      <c r="M88" s="11">
        <f>IF(K88="FUERA","Fuera del marco",IF(K88="N/A","Sin marco",IFERROR(INDEX('Datos - Catálogo TIMSS'!$C$5:$C$107,MATCH(K88,'Datos - Catálogo TIMSS'!$A$5:$A$107,0)),"Pendiente de clasificar")))</f>
        <v/>
      </c>
      <c r="N88" s="11">
        <f>IF(K88="FUERA","Fuera del marco",IF(K88="N/A","Sin marco",IFERROR(INDEX('Datos - Catálogo TIMSS'!$F$5:$F$107,MATCH(K88,'Datos - Catálogo TIMSS'!$A$5:$A$107,0)),"Pendiente de clasificar")))</f>
        <v/>
      </c>
      <c r="O88" s="11">
        <f>IF(L88="","",IFERROR(INDEX('Datos - Catálogo TIMSS'!$C$5:$C$107,MATCH(L88,'Datos - Catálogo TIMSS'!$A$5:$A$107,0)),"?"))</f>
        <v/>
      </c>
      <c r="P88" s="11" t="inlineStr">
        <is>
          <t>media</t>
        </is>
      </c>
      <c r="Q88" s="38" t="inlineStr">
        <is>
          <t>Procesos lentos de formación y modificación de rocas y paisaje</t>
        </is>
      </c>
      <c r="R88" s="38" t="inlineStr">
        <is>
          <t>Aplicar: usar modelos. Conocer: describir procesos</t>
        </is>
      </c>
      <c r="S88" s="39">
        <f>IFERROR(ISNUMBER(SEARCH("Conocer",$R88))/(ISNUMBER(SEARCH("Conocer",$R88))+ISNUMBER(SEARCH("Aplicar",$R88))+ISNUMBER(SEARCH("Razonar",$R88))),0)</f>
        <v/>
      </c>
      <c r="T88" s="39">
        <f>IFERROR(ISNUMBER(SEARCH("Aplicar",$R88))/(ISNUMBER(SEARCH("Conocer",$R88))+ISNUMBER(SEARCH("Aplicar",$R88))+ISNUMBER(SEARCH("Razonar",$R88))),0)</f>
        <v/>
      </c>
      <c r="U88" s="39">
        <f>IFERROR(ISNUMBER(SEARCH("Razonar",$R88))/(ISNUMBER(SEARCH("Conocer",$R88))+ISNUMBER(SEARCH("Aplicar",$R88))+ISNUMBER(SEARCH("Razonar",$R88))),0)</f>
        <v/>
      </c>
      <c r="V88" s="11" t="inlineStr">
        <is>
          <t>3°</t>
        </is>
      </c>
      <c r="W88" s="11" t="inlineStr">
        <is>
          <t>Ciclo 2°–4°</t>
        </is>
      </c>
      <c r="X88" s="11">
        <f>IF(OR(IFERROR(INDEX('Datos - Catálogo TIMSS'!$I$5:$I$107,MATCH(K88,'Datos - Catálogo TIMSS'!$A$5:$A$107,0)),"No")="Sí",IFERROR(INDEX('Datos - Catálogo TIMSS'!$I$5:$I$107,MATCH(L88,'Datos - Catálogo TIMSS'!$A$5:$A$107,0)),"No")="Sí"),1,0)</f>
        <v/>
      </c>
      <c r="Y88" s="11">
        <f>IF(IFERROR(INDEX('Datos - Catálogo TIMSS'!$J$5:$J$107,MATCH(K88,'Datos - Catálogo TIMSS'!$A$5:$A$107,0)),"No")="Sí",1,0)</f>
        <v/>
      </c>
      <c r="Z88" s="11">
        <f>IF(IFERROR(INDEX('Datos - Catálogo TIMSS'!$J$5:$J$107,MATCH(L88,'Datos - Catálogo TIMSS'!$A$5:$A$107,0)),"No")="Sí",1,0)</f>
        <v/>
      </c>
      <c r="AA88" s="11" t="inlineStr">
        <is>
          <t>T4-T1.3</t>
        </is>
      </c>
      <c r="AB88" s="11" t="inlineStr"/>
      <c r="AC88" s="11">
        <f>IF(AA88="FUERA","Fuera del marco",IF(AA88="N/A","Sin marco",IFERROR(INDEX('Datos - TIMSS 2023'!$C$5:$C$105,MATCH(AA88,'Datos - TIMSS 2023'!$A$5:$A$105,0)),"Pendiente de clasificar")))</f>
        <v/>
      </c>
      <c r="AD88" s="11" t="inlineStr">
        <is>
          <t>1. Explicar fenómenos científicamente</t>
        </is>
      </c>
      <c r="AE88" s="11">
        <f>IF(AD88="","",IF(LEFT(AD88,1)="1","C1",IF(LEFT(AD88,1)="2","C2",IF(LEFT(AD88,1)="3","C3",""))))</f>
        <v/>
      </c>
      <c r="AF88" s="11" t="inlineStr">
        <is>
          <t>E1</t>
        </is>
      </c>
      <c r="AG88" s="11" t="inlineStr">
        <is>
          <t>E5</t>
        </is>
      </c>
      <c r="AH88" s="11" t="inlineStr">
        <is>
          <t>E4</t>
        </is>
      </c>
      <c r="AI88" s="11" t="inlineStr">
        <is>
          <t>E4</t>
        </is>
      </c>
      <c r="AJ88" s="11" t="inlineStr">
        <is>
          <t>E1</t>
        </is>
      </c>
      <c r="AK88" s="11" t="n"/>
      <c r="AL88" s="11" t="n"/>
      <c r="AM88" s="11" t="n"/>
      <c r="AN88" s="11" t="n"/>
      <c r="AO88" s="11" t="n"/>
      <c r="AP88" s="11" t="n"/>
      <c r="AQ88" s="11" t="n"/>
      <c r="AR88" s="11" t="n"/>
      <c r="AS88" s="11" t="n"/>
      <c r="AT88" s="11" t="n"/>
      <c r="AU88" s="11" t="n"/>
      <c r="AV88" s="11" t="n"/>
      <c r="AW88" s="11">
        <f>AF88&amp;"; "&amp;AG88&amp;"; "&amp;AH88&amp;"; "&amp;AI88&amp;"; "&amp;AJ88</f>
        <v/>
      </c>
    </row>
    <row r="89">
      <c r="A89" s="11" t="inlineStr">
        <is>
          <t>T0723-G03-CIE</t>
        </is>
      </c>
      <c r="B89" s="11" t="n">
        <v>3</v>
      </c>
      <c r="C89" s="11" t="inlineStr">
        <is>
          <t>Ciencias</t>
        </is>
      </c>
      <c r="D89" s="11" t="inlineStr">
        <is>
          <t>Matriz_Ciencias_3er_Grado_U1_U6.xlsx</t>
        </is>
      </c>
      <c r="E89" s="11" t="inlineStr">
        <is>
          <t>Unidad 2 - Interacciones terres</t>
        </is>
      </c>
      <c r="F89" s="11" t="n">
        <v>11</v>
      </c>
      <c r="G89" s="11" t="inlineStr">
        <is>
          <t>2. Interacciones terrestres.</t>
        </is>
      </c>
      <c r="H89" s="11" t="inlineStr">
        <is>
          <t>Rocas y volcanes.</t>
        </is>
      </c>
      <c r="I89" s="38" t="inlineStr">
        <is>
          <t>2.9. Comparación de las características generales de los productos de origen volcánico.</t>
        </is>
      </c>
      <c r="J89" s="11" t="inlineStr">
        <is>
          <t>T4_27</t>
        </is>
      </c>
      <c r="K89" s="11" t="inlineStr">
        <is>
          <t>FUERA</t>
        </is>
      </c>
      <c r="L89" s="11" t="inlineStr"/>
      <c r="M89" s="11">
        <f>IF(K89="FUERA","Fuera del marco",IF(K89="N/A","Sin marco",IFERROR(INDEX('Datos - Catálogo TIMSS'!$C$5:$C$107,MATCH(K89,'Datos - Catálogo TIMSS'!$A$5:$A$107,0)),"Pendiente de clasificar")))</f>
        <v/>
      </c>
      <c r="N89" s="11">
        <f>IF(K89="FUERA","Fuera del marco",IF(K89="N/A","Sin marco",IFERROR(INDEX('Datos - Catálogo TIMSS'!$F$5:$F$107,MATCH(K89,'Datos - Catálogo TIMSS'!$A$5:$A$107,0)),"Pendiente de clasificar")))</f>
        <v/>
      </c>
      <c r="O89" s="11">
        <f>IF(L89="","",IFERROR(INDEX('Datos - Catálogo TIMSS'!$C$5:$C$107,MATCH(L89,'Datos - Catálogo TIMSS'!$A$5:$A$107,0)),"?"))</f>
        <v/>
      </c>
      <c r="P89" s="11" t="inlineStr">
        <is>
          <t>media</t>
        </is>
      </c>
      <c r="Q89" s="38" t="inlineStr">
        <is>
          <t>Productos volcánicos no figuran en objetivos de 4.° 2027</t>
        </is>
      </c>
      <c r="R89" s="38" t="inlineStr">
        <is>
          <t>Aplicar: comparar. Razonar: explicar</t>
        </is>
      </c>
      <c r="S89" s="39">
        <f>IFERROR(ISNUMBER(SEARCH("Conocer",$R89))/(ISNUMBER(SEARCH("Conocer",$R89))+ISNUMBER(SEARCH("Aplicar",$R89))+ISNUMBER(SEARCH("Razonar",$R89))),0)</f>
        <v/>
      </c>
      <c r="T89" s="39">
        <f>IFERROR(ISNUMBER(SEARCH("Aplicar",$R89))/(ISNUMBER(SEARCH("Conocer",$R89))+ISNUMBER(SEARCH("Aplicar",$R89))+ISNUMBER(SEARCH("Razonar",$R89))),0)</f>
        <v/>
      </c>
      <c r="U89" s="39">
        <f>IFERROR(ISNUMBER(SEARCH("Razonar",$R89))/(ISNUMBER(SEARCH("Conocer",$R89))+ISNUMBER(SEARCH("Aplicar",$R89))+ISNUMBER(SEARCH("Razonar",$R89))),0)</f>
        <v/>
      </c>
      <c r="V89" s="11" t="inlineStr">
        <is>
          <t>3°</t>
        </is>
      </c>
      <c r="W89" s="11" t="inlineStr">
        <is>
          <t>Ciclo 2°–4°</t>
        </is>
      </c>
      <c r="X89" s="11">
        <f>IF(OR(IFERROR(INDEX('Datos - Catálogo TIMSS'!$I$5:$I$107,MATCH(K89,'Datos - Catálogo TIMSS'!$A$5:$A$107,0)),"No")="Sí",IFERROR(INDEX('Datos - Catálogo TIMSS'!$I$5:$I$107,MATCH(L89,'Datos - Catálogo TIMSS'!$A$5:$A$107,0)),"No")="Sí"),1,0)</f>
        <v/>
      </c>
      <c r="Y89" s="11">
        <f>IF(IFERROR(INDEX('Datos - Catálogo TIMSS'!$J$5:$J$107,MATCH(K89,'Datos - Catálogo TIMSS'!$A$5:$A$107,0)),"No")="Sí",1,0)</f>
        <v/>
      </c>
      <c r="Z89" s="11">
        <f>IF(IFERROR(INDEX('Datos - Catálogo TIMSS'!$J$5:$J$107,MATCH(L89,'Datos - Catálogo TIMSS'!$A$5:$A$107,0)),"No")="Sí",1,0)</f>
        <v/>
      </c>
      <c r="AA89" s="11" t="inlineStr">
        <is>
          <t>FUERA</t>
        </is>
      </c>
      <c r="AB89" s="11" t="inlineStr"/>
      <c r="AC89" s="11">
        <f>IF(AA89="FUERA","Fuera del marco",IF(AA89="N/A","Sin marco",IFERROR(INDEX('Datos - TIMSS 2023'!$C$5:$C$105,MATCH(AA89,'Datos - TIMSS 2023'!$A$5:$A$105,0)),"Pendiente de clasificar")))</f>
        <v/>
      </c>
      <c r="AD89" s="11" t="inlineStr">
        <is>
          <t>1. Explicar fenómenos científicamente</t>
        </is>
      </c>
      <c r="AE89" s="11">
        <f>IF(AD89="","",IF(LEFT(AD89,1)="1","C1",IF(LEFT(AD89,1)="2","C2",IF(LEFT(AD89,1)="3","C3",""))))</f>
        <v/>
      </c>
      <c r="AF89" s="11" t="inlineStr">
        <is>
          <t>E6</t>
        </is>
      </c>
      <c r="AG89" s="11" t="inlineStr">
        <is>
          <t>D1</t>
        </is>
      </c>
      <c r="AH89" s="11" t="inlineStr">
        <is>
          <t>E1</t>
        </is>
      </c>
      <c r="AI89" s="11" t="inlineStr">
        <is>
          <t>D4</t>
        </is>
      </c>
      <c r="AJ89" s="11" t="inlineStr">
        <is>
          <t>E6</t>
        </is>
      </c>
      <c r="AK89" s="11" t="n"/>
      <c r="AL89" s="11" t="n"/>
      <c r="AM89" s="11" t="n"/>
      <c r="AN89" s="11" t="n"/>
      <c r="AO89" s="11" t="n"/>
      <c r="AP89" s="11" t="n"/>
      <c r="AQ89" s="11" t="n"/>
      <c r="AR89" s="11" t="n"/>
      <c r="AS89" s="11" t="n"/>
      <c r="AT89" s="11" t="n"/>
      <c r="AU89" s="11" t="n"/>
      <c r="AV89" s="11" t="n"/>
      <c r="AW89" s="11">
        <f>AF89&amp;"; "&amp;AG89&amp;"; "&amp;AH89&amp;"; "&amp;AI89&amp;"; "&amp;AJ89</f>
        <v/>
      </c>
    </row>
    <row r="90">
      <c r="A90" s="11" t="inlineStr">
        <is>
          <t>T0724-G03-CIE</t>
        </is>
      </c>
      <c r="B90" s="11" t="n">
        <v>3</v>
      </c>
      <c r="C90" s="11" t="inlineStr">
        <is>
          <t>Ciencias</t>
        </is>
      </c>
      <c r="D90" s="11" t="inlineStr">
        <is>
          <t>Matriz_Ciencias_3er_Grado_U1_U6.xlsx</t>
        </is>
      </c>
      <c r="E90" s="11" t="inlineStr">
        <is>
          <t>Unidad 2 - Interacciones terres</t>
        </is>
      </c>
      <c r="F90" s="11" t="n">
        <v>12</v>
      </c>
      <c r="G90" s="11" t="inlineStr">
        <is>
          <t>2. Interacciones terrestres.</t>
        </is>
      </c>
      <c r="H90" s="11" t="inlineStr">
        <is>
          <t>Tipos de volcanes.</t>
        </is>
      </c>
      <c r="I90" s="38" t="inlineStr">
        <is>
          <t>2.10. Clasificación de los volcanes por sus formas.</t>
        </is>
      </c>
      <c r="J90" s="11" t="inlineStr">
        <is>
          <t>T4_27</t>
        </is>
      </c>
      <c r="K90" s="11" t="inlineStr">
        <is>
          <t>FUERA</t>
        </is>
      </c>
      <c r="L90" s="11" t="inlineStr"/>
      <c r="M90" s="11">
        <f>IF(K90="FUERA","Fuera del marco",IF(K90="N/A","Sin marco",IFERROR(INDEX('Datos - Catálogo TIMSS'!$C$5:$C$107,MATCH(K90,'Datos - Catálogo TIMSS'!$A$5:$A$107,0)),"Pendiente de clasificar")))</f>
        <v/>
      </c>
      <c r="N90" s="11">
        <f>IF(K90="FUERA","Fuera del marco",IF(K90="N/A","Sin marco",IFERROR(INDEX('Datos - Catálogo TIMSS'!$F$5:$F$107,MATCH(K90,'Datos - Catálogo TIMSS'!$A$5:$A$107,0)),"Pendiente de clasificar")))</f>
        <v/>
      </c>
      <c r="O90" s="11">
        <f>IF(L90="","",IFERROR(INDEX('Datos - Catálogo TIMSS'!$C$5:$C$107,MATCH(L90,'Datos - Catálogo TIMSS'!$A$5:$A$107,0)),"?"))</f>
        <v/>
      </c>
      <c r="P90" s="11" t="inlineStr">
        <is>
          <t>media</t>
        </is>
      </c>
      <c r="Q90" s="38" t="inlineStr">
        <is>
          <t>Tipos de volcanes no figuran en objetivos de 4.° 2027</t>
        </is>
      </c>
      <c r="R90" s="38" t="inlineStr">
        <is>
          <t>Aplicar: clasificar</t>
        </is>
      </c>
      <c r="S90" s="39">
        <f>IFERROR(ISNUMBER(SEARCH("Conocer",$R90))/(ISNUMBER(SEARCH("Conocer",$R90))+ISNUMBER(SEARCH("Aplicar",$R90))+ISNUMBER(SEARCH("Razonar",$R90))),0)</f>
        <v/>
      </c>
      <c r="T90" s="39">
        <f>IFERROR(ISNUMBER(SEARCH("Aplicar",$R90))/(ISNUMBER(SEARCH("Conocer",$R90))+ISNUMBER(SEARCH("Aplicar",$R90))+ISNUMBER(SEARCH("Razonar",$R90))),0)</f>
        <v/>
      </c>
      <c r="U90" s="39">
        <f>IFERROR(ISNUMBER(SEARCH("Razonar",$R90))/(ISNUMBER(SEARCH("Conocer",$R90))+ISNUMBER(SEARCH("Aplicar",$R90))+ISNUMBER(SEARCH("Razonar",$R90))),0)</f>
        <v/>
      </c>
      <c r="V90" s="11" t="inlineStr">
        <is>
          <t>3°</t>
        </is>
      </c>
      <c r="W90" s="11" t="inlineStr">
        <is>
          <t>Ciclo 2°–4°</t>
        </is>
      </c>
      <c r="X90" s="11">
        <f>IF(OR(IFERROR(INDEX('Datos - Catálogo TIMSS'!$I$5:$I$107,MATCH(K90,'Datos - Catálogo TIMSS'!$A$5:$A$107,0)),"No")="Sí",IFERROR(INDEX('Datos - Catálogo TIMSS'!$I$5:$I$107,MATCH(L90,'Datos - Catálogo TIMSS'!$A$5:$A$107,0)),"No")="Sí"),1,0)</f>
        <v/>
      </c>
      <c r="Y90" s="11">
        <f>IF(IFERROR(INDEX('Datos - Catálogo TIMSS'!$J$5:$J$107,MATCH(K90,'Datos - Catálogo TIMSS'!$A$5:$A$107,0)),"No")="Sí",1,0)</f>
        <v/>
      </c>
      <c r="Z90" s="11">
        <f>IF(IFERROR(INDEX('Datos - Catálogo TIMSS'!$J$5:$J$107,MATCH(L90,'Datos - Catálogo TIMSS'!$A$5:$A$107,0)),"No")="Sí",1,0)</f>
        <v/>
      </c>
      <c r="AA90" s="11" t="inlineStr">
        <is>
          <t>FUERA</t>
        </is>
      </c>
      <c r="AB90" s="11" t="inlineStr"/>
      <c r="AC90" s="11">
        <f>IF(AA90="FUERA","Fuera del marco",IF(AA90="N/A","Sin marco",IFERROR(INDEX('Datos - TIMSS 2023'!$C$5:$C$105,MATCH(AA90,'Datos - TIMSS 2023'!$A$5:$A$105,0)),"Pendiente de clasificar")))</f>
        <v/>
      </c>
      <c r="AD90" s="11" t="inlineStr">
        <is>
          <t>2. Construir y evaluar diseños para la indagación científica e interpretar datos y evidencia de forma crítica</t>
        </is>
      </c>
      <c r="AE90" s="11">
        <f>IF(AD90="","",IF(LEFT(AD90,1)="1","C1",IF(LEFT(AD90,1)="2","C2",IF(LEFT(AD90,1)="3","C3",""))))</f>
        <v/>
      </c>
      <c r="AF90" s="11" t="inlineStr">
        <is>
          <t>E1</t>
        </is>
      </c>
      <c r="AG90" s="11" t="inlineStr">
        <is>
          <t>D1</t>
        </is>
      </c>
      <c r="AH90" s="11" t="inlineStr">
        <is>
          <t>E4</t>
        </is>
      </c>
      <c r="AI90" s="11" t="inlineStr">
        <is>
          <t>D4</t>
        </is>
      </c>
      <c r="AJ90" s="11" t="inlineStr">
        <is>
          <t>E1</t>
        </is>
      </c>
      <c r="AK90" s="11" t="n"/>
      <c r="AL90" s="11" t="n"/>
      <c r="AM90" s="11" t="n"/>
      <c r="AN90" s="11" t="n"/>
      <c r="AO90" s="11" t="n"/>
      <c r="AP90" s="11" t="n"/>
      <c r="AQ90" s="11" t="n"/>
      <c r="AR90" s="11" t="n"/>
      <c r="AS90" s="11" t="n"/>
      <c r="AT90" s="11" t="n"/>
      <c r="AU90" s="11" t="n"/>
      <c r="AV90" s="11" t="n"/>
      <c r="AW90" s="11">
        <f>AF90&amp;"; "&amp;AG90&amp;"; "&amp;AH90&amp;"; "&amp;AI90&amp;"; "&amp;AJ90</f>
        <v/>
      </c>
    </row>
    <row r="91">
      <c r="A91" s="11" t="inlineStr">
        <is>
          <t>T0725-G03-CIE</t>
        </is>
      </c>
      <c r="B91" s="11" t="n">
        <v>3</v>
      </c>
      <c r="C91" s="11" t="inlineStr">
        <is>
          <t>Ciencias</t>
        </is>
      </c>
      <c r="D91" s="11" t="inlineStr">
        <is>
          <t>Matriz_Ciencias_3er_Grado_U1_U6.xlsx</t>
        </is>
      </c>
      <c r="E91" s="11" t="inlineStr">
        <is>
          <t>Unidad 2 - Interacciones terres</t>
        </is>
      </c>
      <c r="F91" s="11" t="n">
        <v>13</v>
      </c>
      <c r="G91" s="11" t="inlineStr">
        <is>
          <t>2. Interacciones terrestres.</t>
        </is>
      </c>
      <c r="H91" s="11" t="inlineStr">
        <is>
          <t>Tipos de volcanes.</t>
        </is>
      </c>
      <c r="I91" s="38" t="inlineStr">
        <is>
          <t>2.11. Clasificación de los volcanes por su tipo de erupción.</t>
        </is>
      </c>
      <c r="J91" s="11" t="inlineStr">
        <is>
          <t>T4_27</t>
        </is>
      </c>
      <c r="K91" s="11" t="inlineStr">
        <is>
          <t>FUERA</t>
        </is>
      </c>
      <c r="L91" s="11" t="inlineStr"/>
      <c r="M91" s="11">
        <f>IF(K91="FUERA","Fuera del marco",IF(K91="N/A","Sin marco",IFERROR(INDEX('Datos - Catálogo TIMSS'!$C$5:$C$107,MATCH(K91,'Datos - Catálogo TIMSS'!$A$5:$A$107,0)),"Pendiente de clasificar")))</f>
        <v/>
      </c>
      <c r="N91" s="11">
        <f>IF(K91="FUERA","Fuera del marco",IF(K91="N/A","Sin marco",IFERROR(INDEX('Datos - Catálogo TIMSS'!$F$5:$F$107,MATCH(K91,'Datos - Catálogo TIMSS'!$A$5:$A$107,0)),"Pendiente de clasificar")))</f>
        <v/>
      </c>
      <c r="O91" s="11">
        <f>IF(L91="","",IFERROR(INDEX('Datos - Catálogo TIMSS'!$C$5:$C$107,MATCH(L91,'Datos - Catálogo TIMSS'!$A$5:$A$107,0)),"?"))</f>
        <v/>
      </c>
      <c r="P91" s="11" t="inlineStr">
        <is>
          <t>media</t>
        </is>
      </c>
      <c r="Q91" s="38" t="inlineStr">
        <is>
          <t>Tipos de erupción no figuran en objetivos de 4.° 2027</t>
        </is>
      </c>
      <c r="R91" s="38" t="inlineStr">
        <is>
          <t>Conocer: describir. Aplicar: clasificar</t>
        </is>
      </c>
      <c r="S91" s="39">
        <f>IFERROR(ISNUMBER(SEARCH("Conocer",$R91))/(ISNUMBER(SEARCH("Conocer",$R91))+ISNUMBER(SEARCH("Aplicar",$R91))+ISNUMBER(SEARCH("Razonar",$R91))),0)</f>
        <v/>
      </c>
      <c r="T91" s="39">
        <f>IFERROR(ISNUMBER(SEARCH("Aplicar",$R91))/(ISNUMBER(SEARCH("Conocer",$R91))+ISNUMBER(SEARCH("Aplicar",$R91))+ISNUMBER(SEARCH("Razonar",$R91))),0)</f>
        <v/>
      </c>
      <c r="U91" s="39">
        <f>IFERROR(ISNUMBER(SEARCH("Razonar",$R91))/(ISNUMBER(SEARCH("Conocer",$R91))+ISNUMBER(SEARCH("Aplicar",$R91))+ISNUMBER(SEARCH("Razonar",$R91))),0)</f>
        <v/>
      </c>
      <c r="V91" s="11" t="inlineStr">
        <is>
          <t>3°</t>
        </is>
      </c>
      <c r="W91" s="11" t="inlineStr">
        <is>
          <t>Ciclo 2°–4°</t>
        </is>
      </c>
      <c r="X91" s="11">
        <f>IF(OR(IFERROR(INDEX('Datos - Catálogo TIMSS'!$I$5:$I$107,MATCH(K91,'Datos - Catálogo TIMSS'!$A$5:$A$107,0)),"No")="Sí",IFERROR(INDEX('Datos - Catálogo TIMSS'!$I$5:$I$107,MATCH(L91,'Datos - Catálogo TIMSS'!$A$5:$A$107,0)),"No")="Sí"),1,0)</f>
        <v/>
      </c>
      <c r="Y91" s="11">
        <f>IF(IFERROR(INDEX('Datos - Catálogo TIMSS'!$J$5:$J$107,MATCH(K91,'Datos - Catálogo TIMSS'!$A$5:$A$107,0)),"No")="Sí",1,0)</f>
        <v/>
      </c>
      <c r="Z91" s="11">
        <f>IF(IFERROR(INDEX('Datos - Catálogo TIMSS'!$J$5:$J$107,MATCH(L91,'Datos - Catálogo TIMSS'!$A$5:$A$107,0)),"No")="Sí",1,0)</f>
        <v/>
      </c>
      <c r="AA91" s="11" t="inlineStr">
        <is>
          <t>FUERA</t>
        </is>
      </c>
      <c r="AB91" s="11" t="inlineStr"/>
      <c r="AC91" s="11">
        <f>IF(AA91="FUERA","Fuera del marco",IF(AA91="N/A","Sin marco",IFERROR(INDEX('Datos - TIMSS 2023'!$C$5:$C$105,MATCH(AA91,'Datos - TIMSS 2023'!$A$5:$A$105,0)),"Pendiente de clasificar")))</f>
        <v/>
      </c>
      <c r="AD91" s="11" t="inlineStr">
        <is>
          <t>1. Explicar fenómenos científicamente</t>
        </is>
      </c>
      <c r="AE91" s="11">
        <f>IF(AD91="","",IF(LEFT(AD91,1)="1","C1",IF(LEFT(AD91,1)="2","C2",IF(LEFT(AD91,1)="3","C3",""))))</f>
        <v/>
      </c>
      <c r="AF91" s="11" t="inlineStr">
        <is>
          <t>E1</t>
        </is>
      </c>
      <c r="AG91" s="11" t="inlineStr">
        <is>
          <t>E5</t>
        </is>
      </c>
      <c r="AH91" s="11" t="inlineStr">
        <is>
          <t>E1</t>
        </is>
      </c>
      <c r="AI91" s="11" t="inlineStr">
        <is>
          <t>D4</t>
        </is>
      </c>
      <c r="AJ91" s="11" t="inlineStr">
        <is>
          <t>E6</t>
        </is>
      </c>
      <c r="AK91" s="11" t="n"/>
      <c r="AL91" s="11" t="n"/>
      <c r="AM91" s="11" t="n"/>
      <c r="AN91" s="11" t="n"/>
      <c r="AO91" s="11" t="n"/>
      <c r="AP91" s="11" t="n"/>
      <c r="AQ91" s="11" t="n"/>
      <c r="AR91" s="11" t="n"/>
      <c r="AS91" s="11" t="n"/>
      <c r="AT91" s="11" t="n"/>
      <c r="AU91" s="11" t="n"/>
      <c r="AV91" s="11" t="n"/>
      <c r="AW91" s="11">
        <f>AF91&amp;"; "&amp;AG91&amp;"; "&amp;AH91&amp;"; "&amp;AI91&amp;"; "&amp;AJ91</f>
        <v/>
      </c>
    </row>
    <row r="92">
      <c r="A92" s="11" t="inlineStr">
        <is>
          <t>T0726-G03-CIE</t>
        </is>
      </c>
      <c r="B92" s="11" t="n">
        <v>3</v>
      </c>
      <c r="C92" s="11" t="inlineStr">
        <is>
          <t>Ciencias</t>
        </is>
      </c>
      <c r="D92" s="11" t="inlineStr">
        <is>
          <t>Matriz_Ciencias_3er_Grado_U1_U6.xlsx</t>
        </is>
      </c>
      <c r="E92" s="11" t="inlineStr">
        <is>
          <t>Unidad 2 - Interacciones terres</t>
        </is>
      </c>
      <c r="F92" s="11" t="n">
        <v>14</v>
      </c>
      <c r="G92" s="11" t="inlineStr">
        <is>
          <t>2. Interacciones terrestres.</t>
        </is>
      </c>
      <c r="H92" s="11" t="inlineStr">
        <is>
          <t>Capas de la Tierra.</t>
        </is>
      </c>
      <c r="I92" s="38" t="inlineStr">
        <is>
          <t>2.12. Comparación de las composiciones químicas y ubicación de las capas de la Tierra.</t>
        </is>
      </c>
      <c r="J92" s="11" t="inlineStr">
        <is>
          <t>T4_27</t>
        </is>
      </c>
      <c r="K92" s="11" t="inlineStr">
        <is>
          <t>FUERA</t>
        </is>
      </c>
      <c r="L92" s="11" t="inlineStr"/>
      <c r="M92" s="11">
        <f>IF(K92="FUERA","Fuera del marco",IF(K92="N/A","Sin marco",IFERROR(INDEX('Datos - Catálogo TIMSS'!$C$5:$C$107,MATCH(K92,'Datos - Catálogo TIMSS'!$A$5:$A$107,0)),"Pendiente de clasificar")))</f>
        <v/>
      </c>
      <c r="N92" s="11">
        <f>IF(K92="FUERA","Fuera del marco",IF(K92="N/A","Sin marco",IFERROR(INDEX('Datos - Catálogo TIMSS'!$F$5:$F$107,MATCH(K92,'Datos - Catálogo TIMSS'!$A$5:$A$107,0)),"Pendiente de clasificar")))</f>
        <v/>
      </c>
      <c r="O92" s="11">
        <f>IF(L92="","",IFERROR(INDEX('Datos - Catálogo TIMSS'!$C$5:$C$107,MATCH(L92,'Datos - Catálogo TIMSS'!$A$5:$A$107,0)),"?"))</f>
        <v/>
      </c>
      <c r="P92" s="11" t="inlineStr">
        <is>
          <t>media</t>
        </is>
      </c>
      <c r="Q92" s="38" t="inlineStr">
        <is>
          <t>Capas internas de la Tierra fuera del marco de 4.°</t>
        </is>
      </c>
      <c r="R92" s="38" t="inlineStr">
        <is>
          <t>Aplicar: usar modelos. Razonar: evaluar un modelo</t>
        </is>
      </c>
      <c r="S92" s="39">
        <f>IFERROR(ISNUMBER(SEARCH("Conocer",$R92))/(ISNUMBER(SEARCH("Conocer",$R92))+ISNUMBER(SEARCH("Aplicar",$R92))+ISNUMBER(SEARCH("Razonar",$R92))),0)</f>
        <v/>
      </c>
      <c r="T92" s="39">
        <f>IFERROR(ISNUMBER(SEARCH("Aplicar",$R92))/(ISNUMBER(SEARCH("Conocer",$R92))+ISNUMBER(SEARCH("Aplicar",$R92))+ISNUMBER(SEARCH("Razonar",$R92))),0)</f>
        <v/>
      </c>
      <c r="U92" s="39">
        <f>IFERROR(ISNUMBER(SEARCH("Razonar",$R92))/(ISNUMBER(SEARCH("Conocer",$R92))+ISNUMBER(SEARCH("Aplicar",$R92))+ISNUMBER(SEARCH("Razonar",$R92))),0)</f>
        <v/>
      </c>
      <c r="V92" s="11" t="inlineStr">
        <is>
          <t>3°</t>
        </is>
      </c>
      <c r="W92" s="11" t="inlineStr">
        <is>
          <t>Ciclo 2°–4°</t>
        </is>
      </c>
      <c r="X92" s="11">
        <f>IF(OR(IFERROR(INDEX('Datos - Catálogo TIMSS'!$I$5:$I$107,MATCH(K92,'Datos - Catálogo TIMSS'!$A$5:$A$107,0)),"No")="Sí",IFERROR(INDEX('Datos - Catálogo TIMSS'!$I$5:$I$107,MATCH(L92,'Datos - Catálogo TIMSS'!$A$5:$A$107,0)),"No")="Sí"),1,0)</f>
        <v/>
      </c>
      <c r="Y92" s="11">
        <f>IF(IFERROR(INDEX('Datos - Catálogo TIMSS'!$J$5:$J$107,MATCH(K92,'Datos - Catálogo TIMSS'!$A$5:$A$107,0)),"No")="Sí",1,0)</f>
        <v/>
      </c>
      <c r="Z92" s="11">
        <f>IF(IFERROR(INDEX('Datos - Catálogo TIMSS'!$J$5:$J$107,MATCH(L92,'Datos - Catálogo TIMSS'!$A$5:$A$107,0)),"No")="Sí",1,0)</f>
        <v/>
      </c>
      <c r="AA92" s="11" t="inlineStr">
        <is>
          <t>FUERA</t>
        </is>
      </c>
      <c r="AB92" s="11" t="inlineStr"/>
      <c r="AC92" s="11">
        <f>IF(AA92="FUERA","Fuera del marco",IF(AA92="N/A","Sin marco",IFERROR(INDEX('Datos - TIMSS 2023'!$C$5:$C$105,MATCH(AA92,'Datos - TIMSS 2023'!$A$5:$A$105,0)),"Pendiente de clasificar")))</f>
        <v/>
      </c>
      <c r="AD92" s="11" t="inlineStr">
        <is>
          <t>1. Explicar fenómenos científicamente</t>
        </is>
      </c>
      <c r="AE92" s="11">
        <f>IF(AD92="","",IF(LEFT(AD92,1)="1","C1",IF(LEFT(AD92,1)="2","C2",IF(LEFT(AD92,1)="3","C3",""))))</f>
        <v/>
      </c>
      <c r="AF92" s="11" t="inlineStr">
        <is>
          <t>E1</t>
        </is>
      </c>
      <c r="AG92" s="11" t="inlineStr">
        <is>
          <t>E5</t>
        </is>
      </c>
      <c r="AH92" s="11" t="inlineStr">
        <is>
          <t>E4</t>
        </is>
      </c>
      <c r="AI92" s="11" t="inlineStr">
        <is>
          <t>E4</t>
        </is>
      </c>
      <c r="AJ92" s="11" t="inlineStr">
        <is>
          <t>E1</t>
        </is>
      </c>
      <c r="AK92" s="11" t="n"/>
      <c r="AL92" s="11" t="n"/>
      <c r="AM92" s="11" t="n"/>
      <c r="AN92" s="11" t="n"/>
      <c r="AO92" s="11" t="n"/>
      <c r="AP92" s="11" t="n"/>
      <c r="AQ92" s="11" t="n"/>
      <c r="AR92" s="11" t="n"/>
      <c r="AS92" s="11" t="n"/>
      <c r="AT92" s="11" t="n"/>
      <c r="AU92" s="11" t="n"/>
      <c r="AV92" s="11" t="n"/>
      <c r="AW92" s="11">
        <f>AF92&amp;"; "&amp;AG92&amp;"; "&amp;AH92&amp;"; "&amp;AI92&amp;"; "&amp;AJ92</f>
        <v/>
      </c>
    </row>
    <row r="93">
      <c r="A93" s="11" t="inlineStr">
        <is>
          <t>T0727-G03-CIE</t>
        </is>
      </c>
      <c r="B93" s="11" t="n">
        <v>3</v>
      </c>
      <c r="C93" s="11" t="inlineStr">
        <is>
          <t>Ciencias</t>
        </is>
      </c>
      <c r="D93" s="11" t="inlineStr">
        <is>
          <t>Matriz_Ciencias_3er_Grado_U1_U6.xlsx</t>
        </is>
      </c>
      <c r="E93" s="11" t="inlineStr">
        <is>
          <t>Unidad 2 - Interacciones terres</t>
        </is>
      </c>
      <c r="F93" s="11" t="n">
        <v>15</v>
      </c>
      <c r="G93" s="11" t="inlineStr">
        <is>
          <t>2. Interacciones terrestres.</t>
        </is>
      </c>
      <c r="H93" s="11" t="inlineStr">
        <is>
          <t>Capas de la Tierra.</t>
        </is>
      </c>
      <c r="I93" s="38" t="inlineStr">
        <is>
          <t>2.13. Representación de la estructura interna de la Tierra según sus propiedades físicas.</t>
        </is>
      </c>
      <c r="J93" s="11" t="inlineStr">
        <is>
          <t>T4_27</t>
        </is>
      </c>
      <c r="K93" s="11" t="inlineStr">
        <is>
          <t>FUERA</t>
        </is>
      </c>
      <c r="L93" s="11" t="inlineStr"/>
      <c r="M93" s="11">
        <f>IF(K93="FUERA","Fuera del marco",IF(K93="N/A","Sin marco",IFERROR(INDEX('Datos - Catálogo TIMSS'!$C$5:$C$107,MATCH(K93,'Datos - Catálogo TIMSS'!$A$5:$A$107,0)),"Pendiente de clasificar")))</f>
        <v/>
      </c>
      <c r="N93" s="11">
        <f>IF(K93="FUERA","Fuera del marco",IF(K93="N/A","Sin marco",IFERROR(INDEX('Datos - Catálogo TIMSS'!$F$5:$F$107,MATCH(K93,'Datos - Catálogo TIMSS'!$A$5:$A$107,0)),"Pendiente de clasificar")))</f>
        <v/>
      </c>
      <c r="O93" s="11">
        <f>IF(L93="","",IFERROR(INDEX('Datos - Catálogo TIMSS'!$C$5:$C$107,MATCH(L93,'Datos - Catálogo TIMSS'!$A$5:$A$107,0)),"?"))</f>
        <v/>
      </c>
      <c r="P93" s="11" t="inlineStr">
        <is>
          <t>media</t>
        </is>
      </c>
      <c r="Q93" s="38" t="inlineStr">
        <is>
          <t>Estructura interna terrestre fuera del marco de 4.°</t>
        </is>
      </c>
      <c r="R93" s="38" t="inlineStr">
        <is>
          <t>Aplicar: usar modelos</t>
        </is>
      </c>
      <c r="S93" s="39">
        <f>IFERROR(ISNUMBER(SEARCH("Conocer",$R93))/(ISNUMBER(SEARCH("Conocer",$R93))+ISNUMBER(SEARCH("Aplicar",$R93))+ISNUMBER(SEARCH("Razonar",$R93))),0)</f>
        <v/>
      </c>
      <c r="T93" s="39">
        <f>IFERROR(ISNUMBER(SEARCH("Aplicar",$R93))/(ISNUMBER(SEARCH("Conocer",$R93))+ISNUMBER(SEARCH("Aplicar",$R93))+ISNUMBER(SEARCH("Razonar",$R93))),0)</f>
        <v/>
      </c>
      <c r="U93" s="39">
        <f>IFERROR(ISNUMBER(SEARCH("Razonar",$R93))/(ISNUMBER(SEARCH("Conocer",$R93))+ISNUMBER(SEARCH("Aplicar",$R93))+ISNUMBER(SEARCH("Razonar",$R93))),0)</f>
        <v/>
      </c>
      <c r="V93" s="11" t="inlineStr">
        <is>
          <t>3°</t>
        </is>
      </c>
      <c r="W93" s="11" t="inlineStr">
        <is>
          <t>Ciclo 2°–4°</t>
        </is>
      </c>
      <c r="X93" s="11">
        <f>IF(OR(IFERROR(INDEX('Datos - Catálogo TIMSS'!$I$5:$I$107,MATCH(K93,'Datos - Catálogo TIMSS'!$A$5:$A$107,0)),"No")="Sí",IFERROR(INDEX('Datos - Catálogo TIMSS'!$I$5:$I$107,MATCH(L93,'Datos - Catálogo TIMSS'!$A$5:$A$107,0)),"No")="Sí"),1,0)</f>
        <v/>
      </c>
      <c r="Y93" s="11">
        <f>IF(IFERROR(INDEX('Datos - Catálogo TIMSS'!$J$5:$J$107,MATCH(K93,'Datos - Catálogo TIMSS'!$A$5:$A$107,0)),"No")="Sí",1,0)</f>
        <v/>
      </c>
      <c r="Z93" s="11">
        <f>IF(IFERROR(INDEX('Datos - Catálogo TIMSS'!$J$5:$J$107,MATCH(L93,'Datos - Catálogo TIMSS'!$A$5:$A$107,0)),"No")="Sí",1,0)</f>
        <v/>
      </c>
      <c r="AA93" s="11" t="inlineStr">
        <is>
          <t>FUERA</t>
        </is>
      </c>
      <c r="AB93" s="11" t="inlineStr"/>
      <c r="AC93" s="11">
        <f>IF(AA93="FUERA","Fuera del marco",IF(AA93="N/A","Sin marco",IFERROR(INDEX('Datos - TIMSS 2023'!$C$5:$C$105,MATCH(AA93,'Datos - TIMSS 2023'!$A$5:$A$105,0)),"Pendiente de clasificar")))</f>
        <v/>
      </c>
      <c r="AD93" s="11" t="inlineStr">
        <is>
          <t>1. Explicar fenómenos científicamente</t>
        </is>
      </c>
      <c r="AE93" s="11">
        <f>IF(AD93="","",IF(LEFT(AD93,1)="1","C1",IF(LEFT(AD93,1)="2","C2",IF(LEFT(AD93,1)="3","C3",""))))</f>
        <v/>
      </c>
      <c r="AF93" s="11" t="inlineStr">
        <is>
          <t>E1</t>
        </is>
      </c>
      <c r="AG93" s="11" t="inlineStr">
        <is>
          <t>D1</t>
        </is>
      </c>
      <c r="AH93" s="11" t="inlineStr">
        <is>
          <t>E2</t>
        </is>
      </c>
      <c r="AI93" s="11" t="inlineStr">
        <is>
          <t>E4</t>
        </is>
      </c>
      <c r="AJ93" s="11" t="inlineStr">
        <is>
          <t>E3</t>
        </is>
      </c>
      <c r="AK93" s="11" t="n"/>
      <c r="AL93" s="11" t="n"/>
      <c r="AM93" s="11" t="n"/>
      <c r="AN93" s="11" t="n"/>
      <c r="AO93" s="11" t="n"/>
      <c r="AP93" s="11" t="n"/>
      <c r="AQ93" s="11" t="n"/>
      <c r="AR93" s="11" t="n"/>
      <c r="AS93" s="11" t="n"/>
      <c r="AT93" s="11" t="n"/>
      <c r="AU93" s="11" t="n"/>
      <c r="AV93" s="11" t="n"/>
      <c r="AW93" s="11">
        <f>AF93&amp;"; "&amp;AG93&amp;"; "&amp;AH93&amp;"; "&amp;AI93&amp;"; "&amp;AJ93</f>
        <v/>
      </c>
    </row>
    <row r="94">
      <c r="A94" s="11" t="inlineStr">
        <is>
          <t>T0728-G03-CIE</t>
        </is>
      </c>
      <c r="B94" s="11" t="n">
        <v>3</v>
      </c>
      <c r="C94" s="11" t="inlineStr">
        <is>
          <t>Ciencias</t>
        </is>
      </c>
      <c r="D94" s="11" t="inlineStr">
        <is>
          <t>Matriz_Ciencias_3er_Grado_U1_U6.xlsx</t>
        </is>
      </c>
      <c r="E94" s="11" t="inlineStr">
        <is>
          <t>Unidad 2 - Interacciones terres</t>
        </is>
      </c>
      <c r="F94" s="11" t="n">
        <v>16</v>
      </c>
      <c r="G94" s="11" t="inlineStr">
        <is>
          <t>2. Interacciones terrestres.</t>
        </is>
      </c>
      <c r="H94" s="11" t="inlineStr">
        <is>
          <t>Atmósfera terrestre.</t>
        </is>
      </c>
      <c r="I94" s="38" t="inlineStr">
        <is>
          <t>2.14. Explicación de la importancia de la atmósfera para la vida en la Tierra.</t>
        </is>
      </c>
      <c r="J94" s="11" t="inlineStr">
        <is>
          <t>T4_27</t>
        </is>
      </c>
      <c r="K94" s="11" t="inlineStr">
        <is>
          <t>T4_27-B1.1</t>
        </is>
      </c>
      <c r="L94" s="11" t="inlineStr">
        <is>
          <t>T4_27-E1.1</t>
        </is>
      </c>
      <c r="M94" s="11">
        <f>IF(K94="FUERA","Fuera del marco",IF(K94="N/A","Sin marco",IFERROR(INDEX('Datos - Catálogo TIMSS'!$C$5:$C$107,MATCH(K94,'Datos - Catálogo TIMSS'!$A$5:$A$107,0)),"Pendiente de clasificar")))</f>
        <v/>
      </c>
      <c r="N94" s="11">
        <f>IF(K94="FUERA","Fuera del marco",IF(K94="N/A","Sin marco",IFERROR(INDEX('Datos - Catálogo TIMSS'!$F$5:$F$107,MATCH(K94,'Datos - Catálogo TIMSS'!$A$5:$A$107,0)),"Pendiente de clasificar")))</f>
        <v/>
      </c>
      <c r="O94" s="11">
        <f>IF(L94="","",IFERROR(INDEX('Datos - Catálogo TIMSS'!$C$5:$C$107,MATCH(L94,'Datos - Catálogo TIMSS'!$A$5:$A$107,0)),"?"))</f>
        <v/>
      </c>
      <c r="P94" s="11" t="inlineStr">
        <is>
          <t>media</t>
        </is>
      </c>
      <c r="Q94" s="38" t="inlineStr">
        <is>
          <t>El aire como necesidad vital; atmósfera que rodea la Tierra</t>
        </is>
      </c>
      <c r="R94" s="38" t="inlineStr">
        <is>
          <t>Aplicar: relacionar. Razonar: justificar</t>
        </is>
      </c>
      <c r="S94" s="39">
        <f>IFERROR(ISNUMBER(SEARCH("Conocer",$R94))/(ISNUMBER(SEARCH("Conocer",$R94))+ISNUMBER(SEARCH("Aplicar",$R94))+ISNUMBER(SEARCH("Razonar",$R94))),0)</f>
        <v/>
      </c>
      <c r="T94" s="39">
        <f>IFERROR(ISNUMBER(SEARCH("Aplicar",$R94))/(ISNUMBER(SEARCH("Conocer",$R94))+ISNUMBER(SEARCH("Aplicar",$R94))+ISNUMBER(SEARCH("Razonar",$R94))),0)</f>
        <v/>
      </c>
      <c r="U94" s="39">
        <f>IFERROR(ISNUMBER(SEARCH("Razonar",$R94))/(ISNUMBER(SEARCH("Conocer",$R94))+ISNUMBER(SEARCH("Aplicar",$R94))+ISNUMBER(SEARCH("Razonar",$R94))),0)</f>
        <v/>
      </c>
      <c r="V94" s="11" t="inlineStr">
        <is>
          <t>3°</t>
        </is>
      </c>
      <c r="W94" s="11" t="inlineStr">
        <is>
          <t>Ciclo 2°–4°</t>
        </is>
      </c>
      <c r="X94" s="11">
        <f>IF(OR(IFERROR(INDEX('Datos - Catálogo TIMSS'!$I$5:$I$107,MATCH(K94,'Datos - Catálogo TIMSS'!$A$5:$A$107,0)),"No")="Sí",IFERROR(INDEX('Datos - Catálogo TIMSS'!$I$5:$I$107,MATCH(L94,'Datos - Catálogo TIMSS'!$A$5:$A$107,0)),"No")="Sí"),1,0)</f>
        <v/>
      </c>
      <c r="Y94" s="11">
        <f>IF(IFERROR(INDEX('Datos - Catálogo TIMSS'!$J$5:$J$107,MATCH(K94,'Datos - Catálogo TIMSS'!$A$5:$A$107,0)),"No")="Sí",1,0)</f>
        <v/>
      </c>
      <c r="Z94" s="11">
        <f>IF(IFERROR(INDEX('Datos - Catálogo TIMSS'!$J$5:$J$107,MATCH(L94,'Datos - Catálogo TIMSS'!$A$5:$A$107,0)),"No")="Sí",1,0)</f>
        <v/>
      </c>
      <c r="AA94" s="11" t="inlineStr">
        <is>
          <t>T4-T1.2</t>
        </is>
      </c>
      <c r="AB94" s="11" t="inlineStr">
        <is>
          <t>T4-V1.1</t>
        </is>
      </c>
      <c r="AC94" s="11">
        <f>IF(AA94="FUERA","Fuera del marco",IF(AA94="N/A","Sin marco",IFERROR(INDEX('Datos - TIMSS 2023'!$C$5:$C$105,MATCH(AA94,'Datos - TIMSS 2023'!$A$5:$A$105,0)),"Pendiente de clasificar")))</f>
        <v/>
      </c>
      <c r="AD94" s="11" t="inlineStr">
        <is>
          <t>3. Investigar, evaluar y usar información científica para tomar decisiones y actuar</t>
        </is>
      </c>
      <c r="AE94" s="11">
        <f>IF(AD94="","",IF(LEFT(AD94,1)="1","C1",IF(LEFT(AD94,1)="2","C2",IF(LEFT(AD94,1)="3","C3",""))))</f>
        <v/>
      </c>
      <c r="AF94" s="11" t="inlineStr">
        <is>
          <t>E1</t>
        </is>
      </c>
      <c r="AG94" s="11" t="inlineStr">
        <is>
          <t>D1</t>
        </is>
      </c>
      <c r="AH94" s="11" t="inlineStr">
        <is>
          <t>E1</t>
        </is>
      </c>
      <c r="AI94" s="11" t="inlineStr">
        <is>
          <t>I3</t>
        </is>
      </c>
      <c r="AJ94" s="11" t="inlineStr">
        <is>
          <t>I5</t>
        </is>
      </c>
      <c r="AK94" s="11" t="n"/>
      <c r="AL94" s="11" t="n"/>
      <c r="AM94" s="11" t="n"/>
      <c r="AN94" s="11" t="n"/>
      <c r="AO94" s="11" t="n"/>
      <c r="AP94" s="11" t="n"/>
      <c r="AQ94" s="11" t="n"/>
      <c r="AR94" s="11" t="n"/>
      <c r="AS94" s="11" t="n"/>
      <c r="AT94" s="11" t="n"/>
      <c r="AU94" s="11" t="n"/>
      <c r="AV94" s="11" t="n"/>
      <c r="AW94" s="11">
        <f>AF94&amp;"; "&amp;AG94&amp;"; "&amp;AH94&amp;"; "&amp;AI94&amp;"; "&amp;AJ94</f>
        <v/>
      </c>
    </row>
    <row r="95">
      <c r="A95" s="11" t="inlineStr">
        <is>
          <t>T0729-G03-CIE</t>
        </is>
      </c>
      <c r="B95" s="11" t="n">
        <v>3</v>
      </c>
      <c r="C95" s="11" t="inlineStr">
        <is>
          <t>Ciencias</t>
        </is>
      </c>
      <c r="D95" s="11" t="inlineStr">
        <is>
          <t>Matriz_Ciencias_3er_Grado_U1_U6.xlsx</t>
        </is>
      </c>
      <c r="E95" s="11" t="inlineStr">
        <is>
          <t>Unidad 2 - Interacciones terres</t>
        </is>
      </c>
      <c r="F95" s="11" t="n">
        <v>17</v>
      </c>
      <c r="G95" s="11" t="inlineStr">
        <is>
          <t>2. Interacciones terrestres.</t>
        </is>
      </c>
      <c r="H95" s="11" t="inlineStr">
        <is>
          <t>Atmósfera terrestre.</t>
        </is>
      </c>
      <c r="I95" s="38" t="inlineStr">
        <is>
          <t>2.15. Descripción de las características de las capas atmosféricas de la Tierra.</t>
        </is>
      </c>
      <c r="J95" s="11" t="inlineStr">
        <is>
          <t>T4_27</t>
        </is>
      </c>
      <c r="K95" s="11" t="inlineStr">
        <is>
          <t>FUERA</t>
        </is>
      </c>
      <c r="L95" s="11" t="inlineStr"/>
      <c r="M95" s="11">
        <f>IF(K95="FUERA","Fuera del marco",IF(K95="N/A","Sin marco",IFERROR(INDEX('Datos - Catálogo TIMSS'!$C$5:$C$107,MATCH(K95,'Datos - Catálogo TIMSS'!$A$5:$A$107,0)),"Pendiente de clasificar")))</f>
        <v/>
      </c>
      <c r="N95" s="11">
        <f>IF(K95="FUERA","Fuera del marco",IF(K95="N/A","Sin marco",IFERROR(INDEX('Datos - Catálogo TIMSS'!$F$5:$F$107,MATCH(K95,'Datos - Catálogo TIMSS'!$A$5:$A$107,0)),"Pendiente de clasificar")))</f>
        <v/>
      </c>
      <c r="O95" s="11">
        <f>IF(L95="","",IFERROR(INDEX('Datos - Catálogo TIMSS'!$C$5:$C$107,MATCH(L95,'Datos - Catálogo TIMSS'!$A$5:$A$107,0)),"?"))</f>
        <v/>
      </c>
      <c r="P95" s="11" t="inlineStr">
        <is>
          <t>media</t>
        </is>
      </c>
      <c r="Q95" s="38" t="inlineStr">
        <is>
          <t>Capas atmosféricas no incluidas en objetivos de 4.° 2027</t>
        </is>
      </c>
      <c r="R95" s="38" t="inlineStr">
        <is>
          <t>Conocer: describir. Aplicar: usar modelos</t>
        </is>
      </c>
      <c r="S95" s="39">
        <f>IFERROR(ISNUMBER(SEARCH("Conocer",$R95))/(ISNUMBER(SEARCH("Conocer",$R95))+ISNUMBER(SEARCH("Aplicar",$R95))+ISNUMBER(SEARCH("Razonar",$R95))),0)</f>
        <v/>
      </c>
      <c r="T95" s="39">
        <f>IFERROR(ISNUMBER(SEARCH("Aplicar",$R95))/(ISNUMBER(SEARCH("Conocer",$R95))+ISNUMBER(SEARCH("Aplicar",$R95))+ISNUMBER(SEARCH("Razonar",$R95))),0)</f>
        <v/>
      </c>
      <c r="U95" s="39">
        <f>IFERROR(ISNUMBER(SEARCH("Razonar",$R95))/(ISNUMBER(SEARCH("Conocer",$R95))+ISNUMBER(SEARCH("Aplicar",$R95))+ISNUMBER(SEARCH("Razonar",$R95))),0)</f>
        <v/>
      </c>
      <c r="V95" s="11" t="inlineStr">
        <is>
          <t>3°</t>
        </is>
      </c>
      <c r="W95" s="11" t="inlineStr">
        <is>
          <t>Ciclo 2°–4°</t>
        </is>
      </c>
      <c r="X95" s="11">
        <f>IF(OR(IFERROR(INDEX('Datos - Catálogo TIMSS'!$I$5:$I$107,MATCH(K95,'Datos - Catálogo TIMSS'!$A$5:$A$107,0)),"No")="Sí",IFERROR(INDEX('Datos - Catálogo TIMSS'!$I$5:$I$107,MATCH(L95,'Datos - Catálogo TIMSS'!$A$5:$A$107,0)),"No")="Sí"),1,0)</f>
        <v/>
      </c>
      <c r="Y95" s="11">
        <f>IF(IFERROR(INDEX('Datos - Catálogo TIMSS'!$J$5:$J$107,MATCH(K95,'Datos - Catálogo TIMSS'!$A$5:$A$107,0)),"No")="Sí",1,0)</f>
        <v/>
      </c>
      <c r="Z95" s="11">
        <f>IF(IFERROR(INDEX('Datos - Catálogo TIMSS'!$J$5:$J$107,MATCH(L95,'Datos - Catálogo TIMSS'!$A$5:$A$107,0)),"No")="Sí",1,0)</f>
        <v/>
      </c>
      <c r="AA95" s="11" t="inlineStr">
        <is>
          <t>FUERA</t>
        </is>
      </c>
      <c r="AB95" s="11" t="inlineStr"/>
      <c r="AC95" s="11">
        <f>IF(AA95="FUERA","Fuera del marco",IF(AA95="N/A","Sin marco",IFERROR(INDEX('Datos - TIMSS 2023'!$C$5:$C$105,MATCH(AA95,'Datos - TIMSS 2023'!$A$5:$A$105,0)),"Pendiente de clasificar")))</f>
        <v/>
      </c>
      <c r="AD95" s="11" t="inlineStr">
        <is>
          <t>1. Explicar fenómenos científicamente</t>
        </is>
      </c>
      <c r="AE95" s="11">
        <f>IF(AD95="","",IF(LEFT(AD95,1)="1","C1",IF(LEFT(AD95,1)="2","C2",IF(LEFT(AD95,1)="3","C3",""))))</f>
        <v/>
      </c>
      <c r="AF95" s="11" t="inlineStr">
        <is>
          <t>E1</t>
        </is>
      </c>
      <c r="AG95" s="11" t="inlineStr">
        <is>
          <t>D1</t>
        </is>
      </c>
      <c r="AH95" s="11" t="inlineStr">
        <is>
          <t>E4</t>
        </is>
      </c>
      <c r="AI95" s="11" t="inlineStr">
        <is>
          <t>D4</t>
        </is>
      </c>
      <c r="AJ95" s="11" t="inlineStr">
        <is>
          <t>E6</t>
        </is>
      </c>
      <c r="AK95" s="11" t="n"/>
      <c r="AL95" s="11" t="n"/>
      <c r="AM95" s="11" t="n"/>
      <c r="AN95" s="11" t="n"/>
      <c r="AO95" s="11" t="n"/>
      <c r="AP95" s="11" t="n"/>
      <c r="AQ95" s="11" t="n"/>
      <c r="AR95" s="11" t="n"/>
      <c r="AS95" s="11" t="n"/>
      <c r="AT95" s="11" t="n"/>
      <c r="AU95" s="11" t="n"/>
      <c r="AV95" s="11" t="n"/>
      <c r="AW95" s="11">
        <f>AF95&amp;"; "&amp;AG95&amp;"; "&amp;AH95&amp;"; "&amp;AI95&amp;"; "&amp;AJ95</f>
        <v/>
      </c>
    </row>
    <row r="96">
      <c r="A96" s="11" t="inlineStr">
        <is>
          <t>T0730-G03-CIE</t>
        </is>
      </c>
      <c r="B96" s="11" t="n">
        <v>3</v>
      </c>
      <c r="C96" s="11" t="inlineStr">
        <is>
          <t>Ciencias</t>
        </is>
      </c>
      <c r="D96" s="11" t="inlineStr">
        <is>
          <t>Matriz_Ciencias_3er_Grado_U1_U6.xlsx</t>
        </is>
      </c>
      <c r="E96" s="11" t="inlineStr">
        <is>
          <t>Unidad 3 - El agua</t>
        </is>
      </c>
      <c r="F96" s="11" t="n">
        <v>3</v>
      </c>
      <c r="G96" s="11" t="inlineStr">
        <is>
          <t>3. El agua.</t>
        </is>
      </c>
      <c r="H96" s="11" t="inlineStr">
        <is>
          <t>Hidrósfera terrestre.</t>
        </is>
      </c>
      <c r="I96" s="38" t="inlineStr">
        <is>
          <t>3.1. Representación de las principales características e importancia de los océanos.</t>
        </is>
      </c>
      <c r="J96" s="11" t="inlineStr">
        <is>
          <t>T4_27</t>
        </is>
      </c>
      <c r="K96" s="11" t="inlineStr">
        <is>
          <t>T4_27-E1.1</t>
        </is>
      </c>
      <c r="L96" s="11" t="inlineStr">
        <is>
          <t>T4_27-E3.1</t>
        </is>
      </c>
      <c r="M96" s="11">
        <f>IF(K96="FUERA","Fuera del marco",IF(K96="N/A","Sin marco",IFERROR(INDEX('Datos - Catálogo TIMSS'!$C$5:$C$107,MATCH(K96,'Datos - Catálogo TIMSS'!$A$5:$A$107,0)),"Pendiente de clasificar")))</f>
        <v/>
      </c>
      <c r="N96" s="11">
        <f>IF(K96="FUERA","Fuera del marco",IF(K96="N/A","Sin marco",IFERROR(INDEX('Datos - Catálogo TIMSS'!$F$5:$F$107,MATCH(K96,'Datos - Catálogo TIMSS'!$A$5:$A$107,0)),"Pendiente de clasificar")))</f>
        <v/>
      </c>
      <c r="O96" s="11">
        <f>IF(L96="","",IFERROR(INDEX('Datos - Catálogo TIMSS'!$C$5:$C$107,MATCH(L96,'Datos - Catálogo TIMSS'!$A$5:$A$107,0)),"?"))</f>
        <v/>
      </c>
      <c r="P96" s="11" t="inlineStr">
        <is>
          <t>alta</t>
        </is>
      </c>
      <c r="Q96" s="38" t="inlineStr">
        <is>
          <t>Océanos y agua salada en la superficie; importancia como recurso</t>
        </is>
      </c>
      <c r="R96" s="38" t="inlineStr">
        <is>
          <t>Conocer: describir. Aplicar: representar</t>
        </is>
      </c>
      <c r="S96" s="39">
        <f>IFERROR(ISNUMBER(SEARCH("Conocer",$R96))/(ISNUMBER(SEARCH("Conocer",$R96))+ISNUMBER(SEARCH("Aplicar",$R96))+ISNUMBER(SEARCH("Razonar",$R96))),0)</f>
        <v/>
      </c>
      <c r="T96" s="39">
        <f>IFERROR(ISNUMBER(SEARCH("Aplicar",$R96))/(ISNUMBER(SEARCH("Conocer",$R96))+ISNUMBER(SEARCH("Aplicar",$R96))+ISNUMBER(SEARCH("Razonar",$R96))),0)</f>
        <v/>
      </c>
      <c r="U96" s="39">
        <f>IFERROR(ISNUMBER(SEARCH("Razonar",$R96))/(ISNUMBER(SEARCH("Conocer",$R96))+ISNUMBER(SEARCH("Aplicar",$R96))+ISNUMBER(SEARCH("Razonar",$R96))),0)</f>
        <v/>
      </c>
      <c r="V96" s="11" t="inlineStr">
        <is>
          <t>3°</t>
        </is>
      </c>
      <c r="W96" s="11" t="inlineStr">
        <is>
          <t>Ciclo 2°–4°</t>
        </is>
      </c>
      <c r="X96" s="11">
        <f>IF(OR(IFERROR(INDEX('Datos - Catálogo TIMSS'!$I$5:$I$107,MATCH(K96,'Datos - Catálogo TIMSS'!$A$5:$A$107,0)),"No")="Sí",IFERROR(INDEX('Datos - Catálogo TIMSS'!$I$5:$I$107,MATCH(L96,'Datos - Catálogo TIMSS'!$A$5:$A$107,0)),"No")="Sí"),1,0)</f>
        <v/>
      </c>
      <c r="Y96" s="11">
        <f>IF(IFERROR(INDEX('Datos - Catálogo TIMSS'!$J$5:$J$107,MATCH(K96,'Datos - Catálogo TIMSS'!$A$5:$A$107,0)),"No")="Sí",1,0)</f>
        <v/>
      </c>
      <c r="Z96" s="11">
        <f>IF(IFERROR(INDEX('Datos - Catálogo TIMSS'!$J$5:$J$107,MATCH(L96,'Datos - Catálogo TIMSS'!$A$5:$A$107,0)),"No")="Sí",1,0)</f>
        <v/>
      </c>
      <c r="AA96" s="11" t="inlineStr">
        <is>
          <t>T4-T1.1</t>
        </is>
      </c>
      <c r="AB96" s="11" t="inlineStr"/>
      <c r="AC96" s="11">
        <f>IF(AA96="FUERA","Fuera del marco",IF(AA96="N/A","Sin marco",IFERROR(INDEX('Datos - TIMSS 2023'!$C$5:$C$105,MATCH(AA96,'Datos - TIMSS 2023'!$A$5:$A$105,0)),"Pendiente de clasificar")))</f>
        <v/>
      </c>
      <c r="AD96" s="11" t="inlineStr">
        <is>
          <t>1. Explicar fenómenos científicamente</t>
        </is>
      </c>
      <c r="AE96" s="11">
        <f>IF(AD96="","",IF(LEFT(AD96,1)="1","C1",IF(LEFT(AD96,1)="2","C2",IF(LEFT(AD96,1)="3","C3",""))))</f>
        <v/>
      </c>
      <c r="AF96" s="11" t="inlineStr">
        <is>
          <t>E6</t>
        </is>
      </c>
      <c r="AG96" s="11" t="inlineStr">
        <is>
          <t>D1</t>
        </is>
      </c>
      <c r="AH96" s="11" t="inlineStr">
        <is>
          <t>E2</t>
        </is>
      </c>
      <c r="AI96" s="11" t="inlineStr">
        <is>
          <t>D4</t>
        </is>
      </c>
      <c r="AJ96" s="11" t="inlineStr">
        <is>
          <t>E6</t>
        </is>
      </c>
      <c r="AK96" s="11" t="n"/>
      <c r="AL96" s="11" t="n"/>
      <c r="AM96" s="11" t="n"/>
      <c r="AN96" s="11" t="n"/>
      <c r="AO96" s="11" t="n"/>
      <c r="AP96" s="11" t="n"/>
      <c r="AQ96" s="11" t="n"/>
      <c r="AR96" s="11" t="n"/>
      <c r="AS96" s="11" t="n"/>
      <c r="AT96" s="11" t="n"/>
      <c r="AU96" s="11" t="n"/>
      <c r="AV96" s="11" t="n"/>
      <c r="AW96" s="11">
        <f>AF96&amp;"; "&amp;AG96&amp;"; "&amp;AH96&amp;"; "&amp;AI96&amp;"; "&amp;AJ96</f>
        <v/>
      </c>
    </row>
    <row r="97">
      <c r="A97" s="11" t="inlineStr">
        <is>
          <t>T0731-G03-CIE</t>
        </is>
      </c>
      <c r="B97" s="11" t="n">
        <v>3</v>
      </c>
      <c r="C97" s="11" t="inlineStr">
        <is>
          <t>Ciencias</t>
        </is>
      </c>
      <c r="D97" s="11" t="inlineStr">
        <is>
          <t>Matriz_Ciencias_3er_Grado_U1_U6.xlsx</t>
        </is>
      </c>
      <c r="E97" s="11" t="inlineStr">
        <is>
          <t>Unidad 3 - El agua</t>
        </is>
      </c>
      <c r="F97" s="11" t="n">
        <v>4</v>
      </c>
      <c r="G97" s="11" t="inlineStr">
        <is>
          <t>3. El agua.</t>
        </is>
      </c>
      <c r="H97" s="11" t="inlineStr">
        <is>
          <t>Hidrósfera terrestre.</t>
        </is>
      </c>
      <c r="I97" s="38" t="inlineStr">
        <is>
          <t>3.2. Descripción de las principales características e importancia de los lagos.</t>
        </is>
      </c>
      <c r="J97" s="11" t="inlineStr">
        <is>
          <t>T4_27</t>
        </is>
      </c>
      <c r="K97" s="11" t="inlineStr">
        <is>
          <t>T4_27-E1.1</t>
        </is>
      </c>
      <c r="L97" s="11" t="inlineStr">
        <is>
          <t>T4_27-E3.1</t>
        </is>
      </c>
      <c r="M97" s="11">
        <f>IF(K97="FUERA","Fuera del marco",IF(K97="N/A","Sin marco",IFERROR(INDEX('Datos - Catálogo TIMSS'!$C$5:$C$107,MATCH(K97,'Datos - Catálogo TIMSS'!$A$5:$A$107,0)),"Pendiente de clasificar")))</f>
        <v/>
      </c>
      <c r="N97" s="11">
        <f>IF(K97="FUERA","Fuera del marco",IF(K97="N/A","Sin marco",IFERROR(INDEX('Datos - Catálogo TIMSS'!$F$5:$F$107,MATCH(K97,'Datos - Catálogo TIMSS'!$A$5:$A$107,0)),"Pendiente de clasificar")))</f>
        <v/>
      </c>
      <c r="O97" s="11">
        <f>IF(L97="","",IFERROR(INDEX('Datos - Catálogo TIMSS'!$C$5:$C$107,MATCH(L97,'Datos - Catálogo TIMSS'!$A$5:$A$107,0)),"?"))</f>
        <v/>
      </c>
      <c r="P97" s="11" t="inlineStr">
        <is>
          <t>alta</t>
        </is>
      </c>
      <c r="Q97" s="38" t="inlineStr">
        <is>
          <t>Lagos como agua dulce superficial y su uso</t>
        </is>
      </c>
      <c r="R97" s="38" t="inlineStr">
        <is>
          <t>Aplicar: comparar</t>
        </is>
      </c>
      <c r="S97" s="39">
        <f>IFERROR(ISNUMBER(SEARCH("Conocer",$R97))/(ISNUMBER(SEARCH("Conocer",$R97))+ISNUMBER(SEARCH("Aplicar",$R97))+ISNUMBER(SEARCH("Razonar",$R97))),0)</f>
        <v/>
      </c>
      <c r="T97" s="39">
        <f>IFERROR(ISNUMBER(SEARCH("Aplicar",$R97))/(ISNUMBER(SEARCH("Conocer",$R97))+ISNUMBER(SEARCH("Aplicar",$R97))+ISNUMBER(SEARCH("Razonar",$R97))),0)</f>
        <v/>
      </c>
      <c r="U97" s="39">
        <f>IFERROR(ISNUMBER(SEARCH("Razonar",$R97))/(ISNUMBER(SEARCH("Conocer",$R97))+ISNUMBER(SEARCH("Aplicar",$R97))+ISNUMBER(SEARCH("Razonar",$R97))),0)</f>
        <v/>
      </c>
      <c r="V97" s="11" t="inlineStr">
        <is>
          <t>3°</t>
        </is>
      </c>
      <c r="W97" s="11" t="inlineStr">
        <is>
          <t>Ciclo 2°–4°</t>
        </is>
      </c>
      <c r="X97" s="11">
        <f>IF(OR(IFERROR(INDEX('Datos - Catálogo TIMSS'!$I$5:$I$107,MATCH(K97,'Datos - Catálogo TIMSS'!$A$5:$A$107,0)),"No")="Sí",IFERROR(INDEX('Datos - Catálogo TIMSS'!$I$5:$I$107,MATCH(L97,'Datos - Catálogo TIMSS'!$A$5:$A$107,0)),"No")="Sí"),1,0)</f>
        <v/>
      </c>
      <c r="Y97" s="11">
        <f>IF(IFERROR(INDEX('Datos - Catálogo TIMSS'!$J$5:$J$107,MATCH(K97,'Datos - Catálogo TIMSS'!$A$5:$A$107,0)),"No")="Sí",1,0)</f>
        <v/>
      </c>
      <c r="Z97" s="11">
        <f>IF(IFERROR(INDEX('Datos - Catálogo TIMSS'!$J$5:$J$107,MATCH(L97,'Datos - Catálogo TIMSS'!$A$5:$A$107,0)),"No")="Sí",1,0)</f>
        <v/>
      </c>
      <c r="AA97" s="11" t="inlineStr">
        <is>
          <t>T4-T1.1</t>
        </is>
      </c>
      <c r="AB97" s="11" t="inlineStr">
        <is>
          <t>T4-T1.2</t>
        </is>
      </c>
      <c r="AC97" s="11">
        <f>IF(AA97="FUERA","Fuera del marco",IF(AA97="N/A","Sin marco",IFERROR(INDEX('Datos - TIMSS 2023'!$C$5:$C$105,MATCH(AA97,'Datos - TIMSS 2023'!$A$5:$A$105,0)),"Pendiente de clasificar")))</f>
        <v/>
      </c>
      <c r="AD97" s="11" t="inlineStr">
        <is>
          <t>1. Explicar fenómenos científicamente</t>
        </is>
      </c>
      <c r="AE97" s="11">
        <f>IF(AD97="","",IF(LEFT(AD97,1)="1","C1",IF(LEFT(AD97,1)="2","C2",IF(LEFT(AD97,1)="3","C3",""))))</f>
        <v/>
      </c>
      <c r="AF97" s="11" t="inlineStr">
        <is>
          <t>E6</t>
        </is>
      </c>
      <c r="AG97" s="11" t="inlineStr">
        <is>
          <t>D1</t>
        </is>
      </c>
      <c r="AH97" s="11" t="inlineStr">
        <is>
          <t>E1</t>
        </is>
      </c>
      <c r="AI97" s="11" t="inlineStr">
        <is>
          <t>D4</t>
        </is>
      </c>
      <c r="AJ97" s="11" t="inlineStr">
        <is>
          <t>E6</t>
        </is>
      </c>
      <c r="AK97" s="11" t="n"/>
      <c r="AL97" s="11" t="n"/>
      <c r="AM97" s="11" t="n"/>
      <c r="AN97" s="11" t="n"/>
      <c r="AO97" s="11" t="n"/>
      <c r="AP97" s="11" t="n"/>
      <c r="AQ97" s="11" t="n"/>
      <c r="AR97" s="11" t="n"/>
      <c r="AS97" s="11" t="n"/>
      <c r="AT97" s="11" t="n"/>
      <c r="AU97" s="11" t="n"/>
      <c r="AV97" s="11" t="n"/>
      <c r="AW97" s="11">
        <f>AF97&amp;"; "&amp;AG97&amp;"; "&amp;AH97&amp;"; "&amp;AI97&amp;"; "&amp;AJ97</f>
        <v/>
      </c>
    </row>
    <row r="98">
      <c r="A98" s="11" t="inlineStr">
        <is>
          <t>T0732-G03-CIE</t>
        </is>
      </c>
      <c r="B98" s="11" t="n">
        <v>3</v>
      </c>
      <c r="C98" s="11" t="inlineStr">
        <is>
          <t>Ciencias</t>
        </is>
      </c>
      <c r="D98" s="11" t="inlineStr">
        <is>
          <t>Matriz_Ciencias_3er_Grado_U1_U6.xlsx</t>
        </is>
      </c>
      <c r="E98" s="11" t="inlineStr">
        <is>
          <t>Unidad 3 - El agua</t>
        </is>
      </c>
      <c r="F98" s="11" t="n">
        <v>5</v>
      </c>
      <c r="G98" s="11" t="inlineStr">
        <is>
          <t>3. El agua.</t>
        </is>
      </c>
      <c r="H98" s="11" t="inlineStr">
        <is>
          <t>Hidrósfera terrestre.</t>
        </is>
      </c>
      <c r="I98" s="38" t="inlineStr">
        <is>
          <t>3.3. Exploración de las principales características e importancia de los ríos.</t>
        </is>
      </c>
      <c r="J98" s="11" t="inlineStr">
        <is>
          <t>T4_27</t>
        </is>
      </c>
      <c r="K98" s="11" t="inlineStr">
        <is>
          <t>T4_27-E1.1</t>
        </is>
      </c>
      <c r="L98" s="11" t="inlineStr">
        <is>
          <t>T4_27-E3.1</t>
        </is>
      </c>
      <c r="M98" s="11">
        <f>IF(K98="FUERA","Fuera del marco",IF(K98="N/A","Sin marco",IFERROR(INDEX('Datos - Catálogo TIMSS'!$C$5:$C$107,MATCH(K98,'Datos - Catálogo TIMSS'!$A$5:$A$107,0)),"Pendiente de clasificar")))</f>
        <v/>
      </c>
      <c r="N98" s="11">
        <f>IF(K98="FUERA","Fuera del marco",IF(K98="N/A","Sin marco",IFERROR(INDEX('Datos - Catálogo TIMSS'!$F$5:$F$107,MATCH(K98,'Datos - Catálogo TIMSS'!$A$5:$A$107,0)),"Pendiente de clasificar")))</f>
        <v/>
      </c>
      <c r="O98" s="11">
        <f>IF(L98="","",IFERROR(INDEX('Datos - Catálogo TIMSS'!$C$5:$C$107,MATCH(L98,'Datos - Catálogo TIMSS'!$A$5:$A$107,0)),"?"))</f>
        <v/>
      </c>
      <c r="P98" s="11" t="inlineStr">
        <is>
          <t>alta</t>
        </is>
      </c>
      <c r="Q98" s="38" t="inlineStr">
        <is>
          <t>Ríos como agua dulce; partes y usos del agua</t>
        </is>
      </c>
      <c r="R98" s="38" t="inlineStr">
        <is>
          <t>Conocer: describir. Razonar: evaluar información</t>
        </is>
      </c>
      <c r="S98" s="39">
        <f>IFERROR(ISNUMBER(SEARCH("Conocer",$R98))/(ISNUMBER(SEARCH("Conocer",$R98))+ISNUMBER(SEARCH("Aplicar",$R98))+ISNUMBER(SEARCH("Razonar",$R98))),0)</f>
        <v/>
      </c>
      <c r="T98" s="39">
        <f>IFERROR(ISNUMBER(SEARCH("Aplicar",$R98))/(ISNUMBER(SEARCH("Conocer",$R98))+ISNUMBER(SEARCH("Aplicar",$R98))+ISNUMBER(SEARCH("Razonar",$R98))),0)</f>
        <v/>
      </c>
      <c r="U98" s="39">
        <f>IFERROR(ISNUMBER(SEARCH("Razonar",$R98))/(ISNUMBER(SEARCH("Conocer",$R98))+ISNUMBER(SEARCH("Aplicar",$R98))+ISNUMBER(SEARCH("Razonar",$R98))),0)</f>
        <v/>
      </c>
      <c r="V98" s="11" t="inlineStr">
        <is>
          <t>3°</t>
        </is>
      </c>
      <c r="W98" s="11" t="inlineStr">
        <is>
          <t>Ciclo 2°–4°</t>
        </is>
      </c>
      <c r="X98" s="11">
        <f>IF(OR(IFERROR(INDEX('Datos - Catálogo TIMSS'!$I$5:$I$107,MATCH(K98,'Datos - Catálogo TIMSS'!$A$5:$A$107,0)),"No")="Sí",IFERROR(INDEX('Datos - Catálogo TIMSS'!$I$5:$I$107,MATCH(L98,'Datos - Catálogo TIMSS'!$A$5:$A$107,0)),"No")="Sí"),1,0)</f>
        <v/>
      </c>
      <c r="Y98" s="11">
        <f>IF(IFERROR(INDEX('Datos - Catálogo TIMSS'!$J$5:$J$107,MATCH(K98,'Datos - Catálogo TIMSS'!$A$5:$A$107,0)),"No")="Sí",1,0)</f>
        <v/>
      </c>
      <c r="Z98" s="11">
        <f>IF(IFERROR(INDEX('Datos - Catálogo TIMSS'!$J$5:$J$107,MATCH(L98,'Datos - Catálogo TIMSS'!$A$5:$A$107,0)),"No")="Sí",1,0)</f>
        <v/>
      </c>
      <c r="AA98" s="11" t="inlineStr">
        <is>
          <t>T4-T1.1</t>
        </is>
      </c>
      <c r="AB98" s="11" t="inlineStr">
        <is>
          <t>T4-T1.2</t>
        </is>
      </c>
      <c r="AC98" s="11">
        <f>IF(AA98="FUERA","Fuera del marco",IF(AA98="N/A","Sin marco",IFERROR(INDEX('Datos - TIMSS 2023'!$C$5:$C$105,MATCH(AA98,'Datos - TIMSS 2023'!$A$5:$A$105,0)),"Pendiente de clasificar")))</f>
        <v/>
      </c>
      <c r="AD98" s="11" t="inlineStr">
        <is>
          <t>3. Investigar, evaluar y usar información científica para tomar decisiones y actuar</t>
        </is>
      </c>
      <c r="AE98" s="11">
        <f>IF(AD98="","",IF(LEFT(AD98,1)="1","C1",IF(LEFT(AD98,1)="2","C2",IF(LEFT(AD98,1)="3","C3",""))))</f>
        <v/>
      </c>
      <c r="AF98" s="11" t="inlineStr">
        <is>
          <t>E1</t>
        </is>
      </c>
      <c r="AG98" s="11" t="inlineStr">
        <is>
          <t>D1</t>
        </is>
      </c>
      <c r="AH98" s="11" t="inlineStr">
        <is>
          <t>E2</t>
        </is>
      </c>
      <c r="AI98" s="11" t="inlineStr">
        <is>
          <t>I1</t>
        </is>
      </c>
      <c r="AJ98" s="11" t="inlineStr">
        <is>
          <t>I5</t>
        </is>
      </c>
      <c r="AK98" s="11" t="n"/>
      <c r="AL98" s="11" t="n"/>
      <c r="AM98" s="11" t="n"/>
      <c r="AN98" s="11" t="n"/>
      <c r="AO98" s="11" t="n"/>
      <c r="AP98" s="11" t="n"/>
      <c r="AQ98" s="11" t="n"/>
      <c r="AR98" s="11" t="n"/>
      <c r="AS98" s="11" t="n"/>
      <c r="AT98" s="11" t="n"/>
      <c r="AU98" s="11" t="n"/>
      <c r="AV98" s="11" t="n"/>
      <c r="AW98" s="11">
        <f>AF98&amp;"; "&amp;AG98&amp;"; "&amp;AH98&amp;"; "&amp;AI98&amp;"; "&amp;AJ98</f>
        <v/>
      </c>
    </row>
    <row r="99">
      <c r="A99" s="11" t="inlineStr">
        <is>
          <t>T0733-G03-CIE</t>
        </is>
      </c>
      <c r="B99" s="11" t="n">
        <v>3</v>
      </c>
      <c r="C99" s="11" t="inlineStr">
        <is>
          <t>Ciencias</t>
        </is>
      </c>
      <c r="D99" s="11" t="inlineStr">
        <is>
          <t>Matriz_Ciencias_3er_Grado_U1_U6.xlsx</t>
        </is>
      </c>
      <c r="E99" s="11" t="inlineStr">
        <is>
          <t>Unidad 3 - El agua</t>
        </is>
      </c>
      <c r="F99" s="11" t="n">
        <v>6</v>
      </c>
      <c r="G99" s="11" t="inlineStr">
        <is>
          <t>3. El agua.</t>
        </is>
      </c>
      <c r="H99" s="11" t="inlineStr">
        <is>
          <t>Hidrósfera terrestre.</t>
        </is>
      </c>
      <c r="I99" s="38" t="inlineStr">
        <is>
          <t>3.4. Descripción de las principales características e importancia de los glaciares.</t>
        </is>
      </c>
      <c r="J99" s="11" t="inlineStr">
        <is>
          <t>T4_27</t>
        </is>
      </c>
      <c r="K99" s="11" t="inlineStr">
        <is>
          <t>T4_27-E1.1</t>
        </is>
      </c>
      <c r="L99" s="11" t="inlineStr"/>
      <c r="M99" s="11">
        <f>IF(K99="FUERA","Fuera del marco",IF(K99="N/A","Sin marco",IFERROR(INDEX('Datos - Catálogo TIMSS'!$C$5:$C$107,MATCH(K99,'Datos - Catálogo TIMSS'!$A$5:$A$107,0)),"Pendiente de clasificar")))</f>
        <v/>
      </c>
      <c r="N99" s="11">
        <f>IF(K99="FUERA","Fuera del marco",IF(K99="N/A","Sin marco",IFERROR(INDEX('Datos - Catálogo TIMSS'!$F$5:$F$107,MATCH(K99,'Datos - Catálogo TIMSS'!$A$5:$A$107,0)),"Pendiente de clasificar")))</f>
        <v/>
      </c>
      <c r="O99" s="11">
        <f>IF(L99="","",IFERROR(INDEX('Datos - Catálogo TIMSS'!$C$5:$C$107,MATCH(L99,'Datos - Catálogo TIMSS'!$A$5:$A$107,0)),"?"))</f>
        <v/>
      </c>
      <c r="P99" s="11" t="inlineStr">
        <is>
          <t>alta</t>
        </is>
      </c>
      <c r="Q99" s="38" t="inlineStr">
        <is>
          <t>Glaciares como reserva de agua dulce en la superficie</t>
        </is>
      </c>
      <c r="R99" s="38" t="inlineStr">
        <is>
          <t>Conocer: describir. Aplicar: relacionar</t>
        </is>
      </c>
      <c r="S99" s="39">
        <f>IFERROR(ISNUMBER(SEARCH("Conocer",$R99))/(ISNUMBER(SEARCH("Conocer",$R99))+ISNUMBER(SEARCH("Aplicar",$R99))+ISNUMBER(SEARCH("Razonar",$R99))),0)</f>
        <v/>
      </c>
      <c r="T99" s="39">
        <f>IFERROR(ISNUMBER(SEARCH("Aplicar",$R99))/(ISNUMBER(SEARCH("Conocer",$R99))+ISNUMBER(SEARCH("Aplicar",$R99))+ISNUMBER(SEARCH("Razonar",$R99))),0)</f>
        <v/>
      </c>
      <c r="U99" s="39">
        <f>IFERROR(ISNUMBER(SEARCH("Razonar",$R99))/(ISNUMBER(SEARCH("Conocer",$R99))+ISNUMBER(SEARCH("Aplicar",$R99))+ISNUMBER(SEARCH("Razonar",$R99))),0)</f>
        <v/>
      </c>
      <c r="V99" s="11" t="inlineStr">
        <is>
          <t>3°</t>
        </is>
      </c>
      <c r="W99" s="11" t="inlineStr">
        <is>
          <t>Ciclo 2°–4°</t>
        </is>
      </c>
      <c r="X99" s="11">
        <f>IF(OR(IFERROR(INDEX('Datos - Catálogo TIMSS'!$I$5:$I$107,MATCH(K99,'Datos - Catálogo TIMSS'!$A$5:$A$107,0)),"No")="Sí",IFERROR(INDEX('Datos - Catálogo TIMSS'!$I$5:$I$107,MATCH(L99,'Datos - Catálogo TIMSS'!$A$5:$A$107,0)),"No")="Sí"),1,0)</f>
        <v/>
      </c>
      <c r="Y99" s="11">
        <f>IF(IFERROR(INDEX('Datos - Catálogo TIMSS'!$J$5:$J$107,MATCH(K99,'Datos - Catálogo TIMSS'!$A$5:$A$107,0)),"No")="Sí",1,0)</f>
        <v/>
      </c>
      <c r="Z99" s="11">
        <f>IF(IFERROR(INDEX('Datos - Catálogo TIMSS'!$J$5:$J$107,MATCH(L99,'Datos - Catálogo TIMSS'!$A$5:$A$107,0)),"No")="Sí",1,0)</f>
        <v/>
      </c>
      <c r="AA99" s="11" t="inlineStr">
        <is>
          <t>T4-T1.1</t>
        </is>
      </c>
      <c r="AB99" s="11" t="inlineStr"/>
      <c r="AC99" s="11">
        <f>IF(AA99="FUERA","Fuera del marco",IF(AA99="N/A","Sin marco",IFERROR(INDEX('Datos - TIMSS 2023'!$C$5:$C$105,MATCH(AA99,'Datos - TIMSS 2023'!$A$5:$A$105,0)),"Pendiente de clasificar")))</f>
        <v/>
      </c>
      <c r="AD99" s="11" t="inlineStr">
        <is>
          <t>1. Explicar fenómenos científicamente</t>
        </is>
      </c>
      <c r="AE99" s="11">
        <f>IF(AD99="","",IF(LEFT(AD99,1)="1","C1",IF(LEFT(AD99,1)="2","C2",IF(LEFT(AD99,1)="3","C3",""))))</f>
        <v/>
      </c>
      <c r="AF99" s="11" t="inlineStr">
        <is>
          <t>E1</t>
        </is>
      </c>
      <c r="AG99" s="11" t="inlineStr">
        <is>
          <t>E5</t>
        </is>
      </c>
      <c r="AH99" s="11" t="inlineStr">
        <is>
          <t>E1</t>
        </is>
      </c>
      <c r="AI99" s="11" t="inlineStr">
        <is>
          <t>D4</t>
        </is>
      </c>
      <c r="AJ99" s="11" t="inlineStr">
        <is>
          <t>E6</t>
        </is>
      </c>
      <c r="AK99" s="11" t="n"/>
      <c r="AL99" s="11" t="n"/>
      <c r="AM99" s="11" t="n"/>
      <c r="AN99" s="11" t="n"/>
      <c r="AO99" s="11" t="n"/>
      <c r="AP99" s="11" t="n"/>
      <c r="AQ99" s="11" t="n"/>
      <c r="AR99" s="11" t="n"/>
      <c r="AS99" s="11" t="n"/>
      <c r="AT99" s="11" t="n"/>
      <c r="AU99" s="11" t="n"/>
      <c r="AV99" s="11" t="n"/>
      <c r="AW99" s="11">
        <f>AF99&amp;"; "&amp;AG99&amp;"; "&amp;AH99&amp;"; "&amp;AI99&amp;"; "&amp;AJ99</f>
        <v/>
      </c>
    </row>
    <row r="100">
      <c r="A100" s="11" t="inlineStr">
        <is>
          <t>T0734-G03-CIE</t>
        </is>
      </c>
      <c r="B100" s="11" t="n">
        <v>3</v>
      </c>
      <c r="C100" s="11" t="inlineStr">
        <is>
          <t>Ciencias</t>
        </is>
      </c>
      <c r="D100" s="11" t="inlineStr">
        <is>
          <t>Matriz_Ciencias_3er_Grado_U1_U6.xlsx</t>
        </is>
      </c>
      <c r="E100" s="11" t="inlineStr">
        <is>
          <t>Unidad 3 - El agua</t>
        </is>
      </c>
      <c r="F100" s="11" t="n">
        <v>7</v>
      </c>
      <c r="G100" s="11" t="inlineStr">
        <is>
          <t>3. El agua.</t>
        </is>
      </c>
      <c r="H100" s="11" t="inlineStr">
        <is>
          <t>Hidrósfera terrestre.</t>
        </is>
      </c>
      <c r="I100" s="38" t="inlineStr">
        <is>
          <t>3.5. Modelación de un acuífero para estudiar sus características e importancia.</t>
        </is>
      </c>
      <c r="J100" s="11" t="inlineStr">
        <is>
          <t>T4_27</t>
        </is>
      </c>
      <c r="K100" s="11" t="inlineStr">
        <is>
          <t>T4_27-E1.1</t>
        </is>
      </c>
      <c r="L100" s="11" t="inlineStr">
        <is>
          <t>T4_27-E3.1</t>
        </is>
      </c>
      <c r="M100" s="11">
        <f>IF(K100="FUERA","Fuera del marco",IF(K100="N/A","Sin marco",IFERROR(INDEX('Datos - Catálogo TIMSS'!$C$5:$C$107,MATCH(K100,'Datos - Catálogo TIMSS'!$A$5:$A$107,0)),"Pendiente de clasificar")))</f>
        <v/>
      </c>
      <c r="N100" s="11">
        <f>IF(K100="FUERA","Fuera del marco",IF(K100="N/A","Sin marco",IFERROR(INDEX('Datos - Catálogo TIMSS'!$F$5:$F$107,MATCH(K100,'Datos - Catálogo TIMSS'!$A$5:$A$107,0)),"Pendiente de clasificar")))</f>
        <v/>
      </c>
      <c r="O100" s="11">
        <f>IF(L100="","",IFERROR(INDEX('Datos - Catálogo TIMSS'!$C$5:$C$107,MATCH(L100,'Datos - Catálogo TIMSS'!$A$5:$A$107,0)),"?"))</f>
        <v/>
      </c>
      <c r="P100" s="11" t="inlineStr">
        <is>
          <t>media</t>
        </is>
      </c>
      <c r="Q100" s="38" t="inlineStr">
        <is>
          <t>Acuíferos como ubicación de agua dulce; importancia del recurso</t>
        </is>
      </c>
      <c r="R100" s="38" t="inlineStr">
        <is>
          <t>Aplicar: usar modelos</t>
        </is>
      </c>
      <c r="S100" s="39">
        <f>IFERROR(ISNUMBER(SEARCH("Conocer",$R100))/(ISNUMBER(SEARCH("Conocer",$R100))+ISNUMBER(SEARCH("Aplicar",$R100))+ISNUMBER(SEARCH("Razonar",$R100))),0)</f>
        <v/>
      </c>
      <c r="T100" s="39">
        <f>IFERROR(ISNUMBER(SEARCH("Aplicar",$R100))/(ISNUMBER(SEARCH("Conocer",$R100))+ISNUMBER(SEARCH("Aplicar",$R100))+ISNUMBER(SEARCH("Razonar",$R100))),0)</f>
        <v/>
      </c>
      <c r="U100" s="39">
        <f>IFERROR(ISNUMBER(SEARCH("Razonar",$R100))/(ISNUMBER(SEARCH("Conocer",$R100))+ISNUMBER(SEARCH("Aplicar",$R100))+ISNUMBER(SEARCH("Razonar",$R100))),0)</f>
        <v/>
      </c>
      <c r="V100" s="11" t="inlineStr">
        <is>
          <t>3°</t>
        </is>
      </c>
      <c r="W100" s="11" t="inlineStr">
        <is>
          <t>Ciclo 2°–4°</t>
        </is>
      </c>
      <c r="X100" s="11">
        <f>IF(OR(IFERROR(INDEX('Datos - Catálogo TIMSS'!$I$5:$I$107,MATCH(K100,'Datos - Catálogo TIMSS'!$A$5:$A$107,0)),"No")="Sí",IFERROR(INDEX('Datos - Catálogo TIMSS'!$I$5:$I$107,MATCH(L100,'Datos - Catálogo TIMSS'!$A$5:$A$107,0)),"No")="Sí"),1,0)</f>
        <v/>
      </c>
      <c r="Y100" s="11">
        <f>IF(IFERROR(INDEX('Datos - Catálogo TIMSS'!$J$5:$J$107,MATCH(K100,'Datos - Catálogo TIMSS'!$A$5:$A$107,0)),"No")="Sí",1,0)</f>
        <v/>
      </c>
      <c r="Z100" s="11">
        <f>IF(IFERROR(INDEX('Datos - Catálogo TIMSS'!$J$5:$J$107,MATCH(L100,'Datos - Catálogo TIMSS'!$A$5:$A$107,0)),"No")="Sí",1,0)</f>
        <v/>
      </c>
      <c r="AA100" s="11" t="inlineStr">
        <is>
          <t>T4-T1.1</t>
        </is>
      </c>
      <c r="AB100" s="11" t="inlineStr">
        <is>
          <t>T4-T1.2</t>
        </is>
      </c>
      <c r="AC100" s="11">
        <f>IF(AA100="FUERA","Fuera del marco",IF(AA100="N/A","Sin marco",IFERROR(INDEX('Datos - TIMSS 2023'!$C$5:$C$105,MATCH(AA100,'Datos - TIMSS 2023'!$A$5:$A$105,0)),"Pendiente de clasificar")))</f>
        <v/>
      </c>
      <c r="AD100" s="11" t="inlineStr">
        <is>
          <t>1. Explicar fenómenos científicamente</t>
        </is>
      </c>
      <c r="AE100" s="11">
        <f>IF(AD100="","",IF(LEFT(AD100,1)="1","C1",IF(LEFT(AD100,1)="2","C2",IF(LEFT(AD100,1)="3","C3",""))))</f>
        <v/>
      </c>
      <c r="AF100" s="11" t="inlineStr">
        <is>
          <t>E1</t>
        </is>
      </c>
      <c r="AG100" s="11" t="inlineStr">
        <is>
          <t>E5</t>
        </is>
      </c>
      <c r="AH100" s="11" t="inlineStr">
        <is>
          <t>E4</t>
        </is>
      </c>
      <c r="AI100" s="11" t="inlineStr">
        <is>
          <t>D4</t>
        </is>
      </c>
      <c r="AJ100" s="11" t="inlineStr">
        <is>
          <t>E6</t>
        </is>
      </c>
      <c r="AK100" s="11" t="n"/>
      <c r="AL100" s="11" t="n"/>
      <c r="AM100" s="11" t="n"/>
      <c r="AN100" s="11" t="n"/>
      <c r="AO100" s="11" t="n"/>
      <c r="AP100" s="11" t="n"/>
      <c r="AQ100" s="11" t="n"/>
      <c r="AR100" s="11" t="n"/>
      <c r="AS100" s="11" t="n"/>
      <c r="AT100" s="11" t="n"/>
      <c r="AU100" s="11" t="n"/>
      <c r="AV100" s="11" t="n"/>
      <c r="AW100" s="11">
        <f>AF100&amp;"; "&amp;AG100&amp;"; "&amp;AH100&amp;"; "&amp;AI100&amp;"; "&amp;AJ100</f>
        <v/>
      </c>
    </row>
    <row r="101">
      <c r="A101" s="11" t="inlineStr">
        <is>
          <t>T0735-G03-CIE</t>
        </is>
      </c>
      <c r="B101" s="11" t="n">
        <v>3</v>
      </c>
      <c r="C101" s="11" t="inlineStr">
        <is>
          <t>Ciencias</t>
        </is>
      </c>
      <c r="D101" s="11" t="inlineStr">
        <is>
          <t>Matriz_Ciencias_3er_Grado_U1_U6.xlsx</t>
        </is>
      </c>
      <c r="E101" s="11" t="inlineStr">
        <is>
          <t>Unidad 3 - El agua</t>
        </is>
      </c>
      <c r="F101" s="11" t="n">
        <v>8</v>
      </c>
      <c r="G101" s="11" t="inlineStr">
        <is>
          <t>3. El agua.</t>
        </is>
      </c>
      <c r="H101" s="11" t="inlineStr">
        <is>
          <t>Hidrósfera terrestre.</t>
        </is>
      </c>
      <c r="I101" s="38" t="inlineStr">
        <is>
          <t>3.6. Modelación de condiciones de sequía.</t>
        </is>
      </c>
      <c r="J101" s="11" t="inlineStr">
        <is>
          <t>T4_27</t>
        </is>
      </c>
      <c r="K101" s="11" t="inlineStr">
        <is>
          <t>T4_27-B1.1</t>
        </is>
      </c>
      <c r="L101" s="11" t="inlineStr">
        <is>
          <t>T4_27-B6.1</t>
        </is>
      </c>
      <c r="M101" s="11">
        <f>IF(K101="FUERA","Fuera del marco",IF(K101="N/A","Sin marco",IFERROR(INDEX('Datos - Catálogo TIMSS'!$C$5:$C$107,MATCH(K101,'Datos - Catálogo TIMSS'!$A$5:$A$107,0)),"Pendiente de clasificar")))</f>
        <v/>
      </c>
      <c r="N101" s="11">
        <f>IF(K101="FUERA","Fuera del marco",IF(K101="N/A","Sin marco",IFERROR(INDEX('Datos - Catálogo TIMSS'!$F$5:$F$107,MATCH(K101,'Datos - Catálogo TIMSS'!$A$5:$A$107,0)),"Pendiente de clasificar")))</f>
        <v/>
      </c>
      <c r="O101" s="11">
        <f>IF(L101="","",IFERROR(INDEX('Datos - Catálogo TIMSS'!$C$5:$C$107,MATCH(L101,'Datos - Catálogo TIMSS'!$A$5:$A$107,0)),"?"))</f>
        <v/>
      </c>
      <c r="P101" s="11" t="inlineStr">
        <is>
          <t>media</t>
        </is>
      </c>
      <c r="Q101" s="38" t="inlineStr">
        <is>
          <t>Necesidad de agua en plantas, observada en modelo con registro</t>
        </is>
      </c>
      <c r="R101" s="38" t="inlineStr">
        <is>
          <t>Razonar: identificar variables y extraer conclusiones</t>
        </is>
      </c>
      <c r="S101" s="39">
        <f>IFERROR(ISNUMBER(SEARCH("Conocer",$R101))/(ISNUMBER(SEARCH("Conocer",$R101))+ISNUMBER(SEARCH("Aplicar",$R101))+ISNUMBER(SEARCH("Razonar",$R101))),0)</f>
        <v/>
      </c>
      <c r="T101" s="39">
        <f>IFERROR(ISNUMBER(SEARCH("Aplicar",$R101))/(ISNUMBER(SEARCH("Conocer",$R101))+ISNUMBER(SEARCH("Aplicar",$R101))+ISNUMBER(SEARCH("Razonar",$R101))),0)</f>
        <v/>
      </c>
      <c r="U101" s="39">
        <f>IFERROR(ISNUMBER(SEARCH("Razonar",$R101))/(ISNUMBER(SEARCH("Conocer",$R101))+ISNUMBER(SEARCH("Aplicar",$R101))+ISNUMBER(SEARCH("Razonar",$R101))),0)</f>
        <v/>
      </c>
      <c r="V101" s="11" t="inlineStr">
        <is>
          <t>3°</t>
        </is>
      </c>
      <c r="W101" s="11" t="inlineStr">
        <is>
          <t>Ciclo 2°–4°</t>
        </is>
      </c>
      <c r="X101" s="11">
        <f>IF(OR(IFERROR(INDEX('Datos - Catálogo TIMSS'!$I$5:$I$107,MATCH(K101,'Datos - Catálogo TIMSS'!$A$5:$A$107,0)),"No")="Sí",IFERROR(INDEX('Datos - Catálogo TIMSS'!$I$5:$I$107,MATCH(L101,'Datos - Catálogo TIMSS'!$A$5:$A$107,0)),"No")="Sí"),1,0)</f>
        <v/>
      </c>
      <c r="Y101" s="11">
        <f>IF(IFERROR(INDEX('Datos - Catálogo TIMSS'!$J$5:$J$107,MATCH(K101,'Datos - Catálogo TIMSS'!$A$5:$A$107,0)),"No")="Sí",1,0)</f>
        <v/>
      </c>
      <c r="Z101" s="11">
        <f>IF(IFERROR(INDEX('Datos - Catálogo TIMSS'!$J$5:$J$107,MATCH(L101,'Datos - Catálogo TIMSS'!$A$5:$A$107,0)),"No")="Sí",1,0)</f>
        <v/>
      </c>
      <c r="AA101" s="11" t="inlineStr">
        <is>
          <t>T4-V3.2</t>
        </is>
      </c>
      <c r="AB101" s="11" t="inlineStr">
        <is>
          <t>T4-V1.1</t>
        </is>
      </c>
      <c r="AC101" s="11">
        <f>IF(AA101="FUERA","Fuera del marco",IF(AA101="N/A","Sin marco",IFERROR(INDEX('Datos - TIMSS 2023'!$C$5:$C$105,MATCH(AA101,'Datos - TIMSS 2023'!$A$5:$A$105,0)),"Pendiente de clasificar")))</f>
        <v/>
      </c>
      <c r="AD101" s="11" t="inlineStr">
        <is>
          <t>2. Construir y evaluar diseños para la indagación científica e interpretar datos y evidencia de forma crítica</t>
        </is>
      </c>
      <c r="AE101" s="11">
        <f>IF(AD101="","",IF(LEFT(AD101,1)="1","C1",IF(LEFT(AD101,1)="2","C2",IF(LEFT(AD101,1)="3","C3",""))))</f>
        <v/>
      </c>
      <c r="AF101" s="11" t="inlineStr">
        <is>
          <t>E6</t>
        </is>
      </c>
      <c r="AG101" s="11" t="inlineStr">
        <is>
          <t>E3</t>
        </is>
      </c>
      <c r="AH101" s="11" t="inlineStr">
        <is>
          <t>E4</t>
        </is>
      </c>
      <c r="AI101" s="11" t="inlineStr">
        <is>
          <t>D3</t>
        </is>
      </c>
      <c r="AJ101" s="11" t="inlineStr">
        <is>
          <t>I5</t>
        </is>
      </c>
      <c r="AK101" s="11" t="n"/>
      <c r="AL101" s="11" t="n"/>
      <c r="AM101" s="11" t="n"/>
      <c r="AN101" s="11" t="n"/>
      <c r="AO101" s="11" t="n"/>
      <c r="AP101" s="11" t="n"/>
      <c r="AQ101" s="11" t="n"/>
      <c r="AR101" s="11" t="n"/>
      <c r="AS101" s="11" t="n"/>
      <c r="AT101" s="11" t="n"/>
      <c r="AU101" s="11" t="n"/>
      <c r="AV101" s="11" t="n"/>
      <c r="AW101" s="11">
        <f>AF101&amp;"; "&amp;AG101&amp;"; "&amp;AH101&amp;"; "&amp;AI101&amp;"; "&amp;AJ101</f>
        <v/>
      </c>
    </row>
    <row r="102">
      <c r="A102" s="11" t="inlineStr">
        <is>
          <t>T0736-G03-CIE</t>
        </is>
      </c>
      <c r="B102" s="11" t="n">
        <v>3</v>
      </c>
      <c r="C102" s="11" t="inlineStr">
        <is>
          <t>Ciencias</t>
        </is>
      </c>
      <c r="D102" s="11" t="inlineStr">
        <is>
          <t>Matriz_Ciencias_3er_Grado_U1_U6.xlsx</t>
        </is>
      </c>
      <c r="E102" s="11" t="inlineStr">
        <is>
          <t>Unidad 3 - El agua</t>
        </is>
      </c>
      <c r="F102" s="11" t="n">
        <v>9</v>
      </c>
      <c r="G102" s="11" t="inlineStr">
        <is>
          <t>3. El agua.</t>
        </is>
      </c>
      <c r="H102" s="11" t="inlineStr">
        <is>
          <t>Propiedades del agua.</t>
        </is>
      </c>
      <c r="I102" s="38" t="inlineStr">
        <is>
          <t>3.7. Experimentación con las propiedades físicas del agua.</t>
        </is>
      </c>
      <c r="J102" s="11" t="inlineStr">
        <is>
          <t>T4_27</t>
        </is>
      </c>
      <c r="K102" s="11" t="inlineStr">
        <is>
          <t>T4_27-P1.2</t>
        </is>
      </c>
      <c r="L102" s="11" t="inlineStr">
        <is>
          <t>T4_27-P6.1</t>
        </is>
      </c>
      <c r="M102" s="11">
        <f>IF(K102="FUERA","Fuera del marco",IF(K102="N/A","Sin marco",IFERROR(INDEX('Datos - Catálogo TIMSS'!$C$5:$C$107,MATCH(K102,'Datos - Catálogo TIMSS'!$A$5:$A$107,0)),"Pendiente de clasificar")))</f>
        <v/>
      </c>
      <c r="N102" s="11">
        <f>IF(K102="FUERA","Fuera del marco",IF(K102="N/A","Sin marco",IFERROR(INDEX('Datos - Catálogo TIMSS'!$F$5:$F$107,MATCH(K102,'Datos - Catálogo TIMSS'!$A$5:$A$107,0)),"Pendiente de clasificar")))</f>
        <v/>
      </c>
      <c r="O102" s="11">
        <f>IF(L102="","",IFERROR(INDEX('Datos - Catálogo TIMSS'!$C$5:$C$107,MATCH(L102,'Datos - Catálogo TIMSS'!$A$5:$A$107,0)),"?"))</f>
        <v/>
      </c>
      <c r="P102" s="11" t="inlineStr">
        <is>
          <t>baja</t>
        </is>
      </c>
      <c r="Q102" s="38" t="inlineStr">
        <is>
          <t>Propiedades físicas del agua; tensión superficial no listada; mediciones repetidas</t>
        </is>
      </c>
      <c r="R102" s="38" t="inlineStr">
        <is>
          <t>Aplicar: medir. Razonar: comparar resultados</t>
        </is>
      </c>
      <c r="S102" s="39">
        <f>IFERROR(ISNUMBER(SEARCH("Conocer",$R102))/(ISNUMBER(SEARCH("Conocer",$R102))+ISNUMBER(SEARCH("Aplicar",$R102))+ISNUMBER(SEARCH("Razonar",$R102))),0)</f>
        <v/>
      </c>
      <c r="T102" s="39">
        <f>IFERROR(ISNUMBER(SEARCH("Aplicar",$R102))/(ISNUMBER(SEARCH("Conocer",$R102))+ISNUMBER(SEARCH("Aplicar",$R102))+ISNUMBER(SEARCH("Razonar",$R102))),0)</f>
        <v/>
      </c>
      <c r="U102" s="39">
        <f>IFERROR(ISNUMBER(SEARCH("Razonar",$R102))/(ISNUMBER(SEARCH("Conocer",$R102))+ISNUMBER(SEARCH("Aplicar",$R102))+ISNUMBER(SEARCH("Razonar",$R102))),0)</f>
        <v/>
      </c>
      <c r="V102" s="11" t="inlineStr">
        <is>
          <t>3°</t>
        </is>
      </c>
      <c r="W102" s="11" t="inlineStr">
        <is>
          <t>Ciclo 2°–4°</t>
        </is>
      </c>
      <c r="X102" s="11">
        <f>IF(OR(IFERROR(INDEX('Datos - Catálogo TIMSS'!$I$5:$I$107,MATCH(K102,'Datos - Catálogo TIMSS'!$A$5:$A$107,0)),"No")="Sí",IFERROR(INDEX('Datos - Catálogo TIMSS'!$I$5:$I$107,MATCH(L102,'Datos - Catálogo TIMSS'!$A$5:$A$107,0)),"No")="Sí"),1,0)</f>
        <v/>
      </c>
      <c r="Y102" s="11">
        <f>IF(IFERROR(INDEX('Datos - Catálogo TIMSS'!$J$5:$J$107,MATCH(K102,'Datos - Catálogo TIMSS'!$A$5:$A$107,0)),"No")="Sí",1,0)</f>
        <v/>
      </c>
      <c r="Z102" s="11">
        <f>IF(IFERROR(INDEX('Datos - Catálogo TIMSS'!$J$5:$J$107,MATCH(L102,'Datos - Catálogo TIMSS'!$A$5:$A$107,0)),"No")="Sí",1,0)</f>
        <v/>
      </c>
      <c r="AA102" s="11" t="inlineStr">
        <is>
          <t>T4-F1.2</t>
        </is>
      </c>
      <c r="AB102" s="11" t="inlineStr"/>
      <c r="AC102" s="11">
        <f>IF(AA102="FUERA","Fuera del marco",IF(AA102="N/A","Sin marco",IFERROR(INDEX('Datos - TIMSS 2023'!$C$5:$C$105,MATCH(AA102,'Datos - TIMSS 2023'!$A$5:$A$105,0)),"Pendiente de clasificar")))</f>
        <v/>
      </c>
      <c r="AD102" s="11" t="inlineStr">
        <is>
          <t>2. Construir y evaluar diseños para la indagación científica e interpretar datos y evidencia de forma crítica</t>
        </is>
      </c>
      <c r="AE102" s="11">
        <f>IF(AD102="","",IF(LEFT(AD102,1)="1","C1",IF(LEFT(AD102,1)="2","C2",IF(LEFT(AD102,1)="3","C3",""))))</f>
        <v/>
      </c>
      <c r="AF102" s="11" t="inlineStr">
        <is>
          <t>E1</t>
        </is>
      </c>
      <c r="AG102" s="11" t="inlineStr">
        <is>
          <t>D1</t>
        </is>
      </c>
      <c r="AH102" s="11" t="inlineStr">
        <is>
          <t>E1</t>
        </is>
      </c>
      <c r="AI102" s="11" t="inlineStr">
        <is>
          <t>D4</t>
        </is>
      </c>
      <c r="AJ102" s="11" t="inlineStr">
        <is>
          <t>E3</t>
        </is>
      </c>
      <c r="AK102" s="11" t="n"/>
      <c r="AL102" s="11" t="n"/>
      <c r="AM102" s="11" t="n"/>
      <c r="AN102" s="11" t="n"/>
      <c r="AO102" s="11" t="n"/>
      <c r="AP102" s="11" t="n"/>
      <c r="AQ102" s="11" t="n"/>
      <c r="AR102" s="11" t="n"/>
      <c r="AS102" s="11" t="n"/>
      <c r="AT102" s="11" t="n"/>
      <c r="AU102" s="11" t="n"/>
      <c r="AV102" s="11" t="n"/>
      <c r="AW102" s="11">
        <f>AF102&amp;"; "&amp;AG102&amp;"; "&amp;AH102&amp;"; "&amp;AI102&amp;"; "&amp;AJ102</f>
        <v/>
      </c>
    </row>
    <row r="103">
      <c r="A103" s="11" t="inlineStr">
        <is>
          <t>T0737-G03-CIE</t>
        </is>
      </c>
      <c r="B103" s="11" t="n">
        <v>3</v>
      </c>
      <c r="C103" s="11" t="inlineStr">
        <is>
          <t>Ciencias</t>
        </is>
      </c>
      <c r="D103" s="11" t="inlineStr">
        <is>
          <t>Matriz_Ciencias_3er_Grado_U1_U6.xlsx</t>
        </is>
      </c>
      <c r="E103" s="11" t="inlineStr">
        <is>
          <t>Unidad 3 - El agua</t>
        </is>
      </c>
      <c r="F103" s="11" t="n">
        <v>10</v>
      </c>
      <c r="G103" s="11" t="inlineStr">
        <is>
          <t>3. El agua.</t>
        </is>
      </c>
      <c r="H103" s="11" t="inlineStr">
        <is>
          <t>Propiedades del agua.</t>
        </is>
      </c>
      <c r="I103" s="38" t="inlineStr">
        <is>
          <t>3.8. Distinción entre mezclas acuosas y disoluciones.</t>
        </is>
      </c>
      <c r="J103" s="11" t="inlineStr">
        <is>
          <t>T4_27</t>
        </is>
      </c>
      <c r="K103" s="11" t="inlineStr">
        <is>
          <t>T4_27-P1.3</t>
        </is>
      </c>
      <c r="L103" s="11" t="inlineStr"/>
      <c r="M103" s="11">
        <f>IF(K103="FUERA","Fuera del marco",IF(K103="N/A","Sin marco",IFERROR(INDEX('Datos - Catálogo TIMSS'!$C$5:$C$107,MATCH(K103,'Datos - Catálogo TIMSS'!$A$5:$A$107,0)),"Pendiente de clasificar")))</f>
        <v/>
      </c>
      <c r="N103" s="11">
        <f>IF(K103="FUERA","Fuera del marco",IF(K103="N/A","Sin marco",IFERROR(INDEX('Datos - Catálogo TIMSS'!$F$5:$F$107,MATCH(K103,'Datos - Catálogo TIMSS'!$A$5:$A$107,0)),"Pendiente de clasificar")))</f>
        <v/>
      </c>
      <c r="O103" s="11">
        <f>IF(L103="","",IFERROR(INDEX('Datos - Catálogo TIMSS'!$C$5:$C$107,MATCH(L103,'Datos - Catálogo TIMSS'!$A$5:$A$107,0)),"?"))</f>
        <v/>
      </c>
      <c r="P103" s="11" t="inlineStr">
        <is>
          <t>alta</t>
        </is>
      </c>
      <c r="Q103" s="38" t="inlineStr">
        <is>
          <t>Distinguir mezclas y disoluciones acuosas</t>
        </is>
      </c>
      <c r="R103" s="38" t="inlineStr">
        <is>
          <t>Aplicar: clasificar</t>
        </is>
      </c>
      <c r="S103" s="39">
        <f>IFERROR(ISNUMBER(SEARCH("Conocer",$R103))/(ISNUMBER(SEARCH("Conocer",$R103))+ISNUMBER(SEARCH("Aplicar",$R103))+ISNUMBER(SEARCH("Razonar",$R103))),0)</f>
        <v/>
      </c>
      <c r="T103" s="39">
        <f>IFERROR(ISNUMBER(SEARCH("Aplicar",$R103))/(ISNUMBER(SEARCH("Conocer",$R103))+ISNUMBER(SEARCH("Aplicar",$R103))+ISNUMBER(SEARCH("Razonar",$R103))),0)</f>
        <v/>
      </c>
      <c r="U103" s="39">
        <f>IFERROR(ISNUMBER(SEARCH("Razonar",$R103))/(ISNUMBER(SEARCH("Conocer",$R103))+ISNUMBER(SEARCH("Aplicar",$R103))+ISNUMBER(SEARCH("Razonar",$R103))),0)</f>
        <v/>
      </c>
      <c r="V103" s="11" t="inlineStr">
        <is>
          <t>3°</t>
        </is>
      </c>
      <c r="W103" s="11" t="inlineStr">
        <is>
          <t>Ciclo 2°–4°</t>
        </is>
      </c>
      <c r="X103" s="11">
        <f>IF(OR(IFERROR(INDEX('Datos - Catálogo TIMSS'!$I$5:$I$107,MATCH(K103,'Datos - Catálogo TIMSS'!$A$5:$A$107,0)),"No")="Sí",IFERROR(INDEX('Datos - Catálogo TIMSS'!$I$5:$I$107,MATCH(L103,'Datos - Catálogo TIMSS'!$A$5:$A$107,0)),"No")="Sí"),1,0)</f>
        <v/>
      </c>
      <c r="Y103" s="11">
        <f>IF(IFERROR(INDEX('Datos - Catálogo TIMSS'!$J$5:$J$107,MATCH(K103,'Datos - Catálogo TIMSS'!$A$5:$A$107,0)),"No")="Sí",1,0)</f>
        <v/>
      </c>
      <c r="Z103" s="11">
        <f>IF(IFERROR(INDEX('Datos - Catálogo TIMSS'!$J$5:$J$107,MATCH(L103,'Datos - Catálogo TIMSS'!$A$5:$A$107,0)),"No")="Sí",1,0)</f>
        <v/>
      </c>
      <c r="AA103" s="11" t="inlineStr">
        <is>
          <t>T4-F1.2</t>
        </is>
      </c>
      <c r="AB103" s="11" t="inlineStr"/>
      <c r="AC103" s="11">
        <f>IF(AA103="FUERA","Fuera del marco",IF(AA103="N/A","Sin marco",IFERROR(INDEX('Datos - TIMSS 2023'!$C$5:$C$105,MATCH(AA103,'Datos - TIMSS 2023'!$A$5:$A$105,0)),"Pendiente de clasificar")))</f>
        <v/>
      </c>
      <c r="AD103" s="11" t="inlineStr">
        <is>
          <t>2. Construir y evaluar diseños para la indagación científica e interpretar datos y evidencia de forma crítica</t>
        </is>
      </c>
      <c r="AE103" s="11">
        <f>IF(AD103="","",IF(LEFT(AD103,1)="1","C1",IF(LEFT(AD103,1)="2","C2",IF(LEFT(AD103,1)="3","C3",""))))</f>
        <v/>
      </c>
      <c r="AF103" s="11" t="inlineStr">
        <is>
          <t>E1</t>
        </is>
      </c>
      <c r="AG103" s="11" t="inlineStr">
        <is>
          <t>D1</t>
        </is>
      </c>
      <c r="AH103" s="11" t="inlineStr">
        <is>
          <t>E1</t>
        </is>
      </c>
      <c r="AI103" s="11" t="inlineStr">
        <is>
          <t>D4</t>
        </is>
      </c>
      <c r="AJ103" s="11" t="inlineStr">
        <is>
          <t>E1</t>
        </is>
      </c>
      <c r="AK103" s="11" t="n"/>
      <c r="AL103" s="11" t="n"/>
      <c r="AM103" s="11" t="n"/>
      <c r="AN103" s="11" t="n"/>
      <c r="AO103" s="11" t="n"/>
      <c r="AP103" s="11" t="n"/>
      <c r="AQ103" s="11" t="n"/>
      <c r="AR103" s="11" t="n"/>
      <c r="AS103" s="11" t="n"/>
      <c r="AT103" s="11" t="n"/>
      <c r="AU103" s="11" t="n"/>
      <c r="AV103" s="11" t="n"/>
      <c r="AW103" s="11">
        <f>AF103&amp;"; "&amp;AG103&amp;"; "&amp;AH103&amp;"; "&amp;AI103&amp;"; "&amp;AJ103</f>
        <v/>
      </c>
    </row>
    <row r="104">
      <c r="A104" s="11" t="inlineStr">
        <is>
          <t>T0738-G03-CIE</t>
        </is>
      </c>
      <c r="B104" s="11" t="n">
        <v>3</v>
      </c>
      <c r="C104" s="11" t="inlineStr">
        <is>
          <t>Ciencias</t>
        </is>
      </c>
      <c r="D104" s="11" t="inlineStr">
        <is>
          <t>Matriz_Ciencias_3er_Grado_U1_U6.xlsx</t>
        </is>
      </c>
      <c r="E104" s="11" t="inlineStr">
        <is>
          <t>Unidad 3 - El agua</t>
        </is>
      </c>
      <c r="F104" s="11" t="n">
        <v>11</v>
      </c>
      <c r="G104" s="11" t="inlineStr">
        <is>
          <t>3. El agua.</t>
        </is>
      </c>
      <c r="H104" s="11" t="inlineStr">
        <is>
          <t>Disoluciones, suspensiones y coloides.</t>
        </is>
      </c>
      <c r="I104" s="38" t="inlineStr">
        <is>
          <t>3.9. Identificación de disoluciones, suspensiones y coloides en el ambiente.</t>
        </is>
      </c>
      <c r="J104" s="11" t="inlineStr">
        <is>
          <t>T4_27</t>
        </is>
      </c>
      <c r="K104" s="11" t="inlineStr">
        <is>
          <t>T4_27-P1.3</t>
        </is>
      </c>
      <c r="L104" s="11" t="inlineStr"/>
      <c r="M104" s="11">
        <f>IF(K104="FUERA","Fuera del marco",IF(K104="N/A","Sin marco",IFERROR(INDEX('Datos - Catálogo TIMSS'!$C$5:$C$107,MATCH(K104,'Datos - Catálogo TIMSS'!$A$5:$A$107,0)),"Pendiente de clasificar")))</f>
        <v/>
      </c>
      <c r="N104" s="11">
        <f>IF(K104="FUERA","Fuera del marco",IF(K104="N/A","Sin marco",IFERROR(INDEX('Datos - Catálogo TIMSS'!$F$5:$F$107,MATCH(K104,'Datos - Catálogo TIMSS'!$A$5:$A$107,0)),"Pendiente de clasificar")))</f>
        <v/>
      </c>
      <c r="O104" s="11">
        <f>IF(L104="","",IFERROR(INDEX('Datos - Catálogo TIMSS'!$C$5:$C$107,MATCH(L104,'Datos - Catálogo TIMSS'!$A$5:$A$107,0)),"?"))</f>
        <v/>
      </c>
      <c r="P104" s="11" t="inlineStr">
        <is>
          <t>media</t>
        </is>
      </c>
      <c r="Q104" s="38" t="inlineStr">
        <is>
          <t>Tipos de mezclas en el ambiente: disoluciones, suspensiones, coloides</t>
        </is>
      </c>
      <c r="R104" s="38" t="inlineStr">
        <is>
          <t>Aplicar: clasificar</t>
        </is>
      </c>
      <c r="S104" s="39">
        <f>IFERROR(ISNUMBER(SEARCH("Conocer",$R104))/(ISNUMBER(SEARCH("Conocer",$R104))+ISNUMBER(SEARCH("Aplicar",$R104))+ISNUMBER(SEARCH("Razonar",$R104))),0)</f>
        <v/>
      </c>
      <c r="T104" s="39">
        <f>IFERROR(ISNUMBER(SEARCH("Aplicar",$R104))/(ISNUMBER(SEARCH("Conocer",$R104))+ISNUMBER(SEARCH("Aplicar",$R104))+ISNUMBER(SEARCH("Razonar",$R104))),0)</f>
        <v/>
      </c>
      <c r="U104" s="39">
        <f>IFERROR(ISNUMBER(SEARCH("Razonar",$R104))/(ISNUMBER(SEARCH("Conocer",$R104))+ISNUMBER(SEARCH("Aplicar",$R104))+ISNUMBER(SEARCH("Razonar",$R104))),0)</f>
        <v/>
      </c>
      <c r="V104" s="11" t="inlineStr">
        <is>
          <t>3°</t>
        </is>
      </c>
      <c r="W104" s="11" t="inlineStr">
        <is>
          <t>Ciclo 2°–4°</t>
        </is>
      </c>
      <c r="X104" s="11">
        <f>IF(OR(IFERROR(INDEX('Datos - Catálogo TIMSS'!$I$5:$I$107,MATCH(K104,'Datos - Catálogo TIMSS'!$A$5:$A$107,0)),"No")="Sí",IFERROR(INDEX('Datos - Catálogo TIMSS'!$I$5:$I$107,MATCH(L104,'Datos - Catálogo TIMSS'!$A$5:$A$107,0)),"No")="Sí"),1,0)</f>
        <v/>
      </c>
      <c r="Y104" s="11">
        <f>IF(IFERROR(INDEX('Datos - Catálogo TIMSS'!$J$5:$J$107,MATCH(K104,'Datos - Catálogo TIMSS'!$A$5:$A$107,0)),"No")="Sí",1,0)</f>
        <v/>
      </c>
      <c r="Z104" s="11">
        <f>IF(IFERROR(INDEX('Datos - Catálogo TIMSS'!$J$5:$J$107,MATCH(L104,'Datos - Catálogo TIMSS'!$A$5:$A$107,0)),"No")="Sí",1,0)</f>
        <v/>
      </c>
      <c r="AA104" s="11" t="inlineStr">
        <is>
          <t>T4-F1.2</t>
        </is>
      </c>
      <c r="AB104" s="11" t="inlineStr"/>
      <c r="AC104" s="11">
        <f>IF(AA104="FUERA","Fuera del marco",IF(AA104="N/A","Sin marco",IFERROR(INDEX('Datos - TIMSS 2023'!$C$5:$C$105,MATCH(AA104,'Datos - TIMSS 2023'!$A$5:$A$105,0)),"Pendiente de clasificar")))</f>
        <v/>
      </c>
      <c r="AD104" s="11" t="inlineStr">
        <is>
          <t>1. Explicar fenómenos científicamente</t>
        </is>
      </c>
      <c r="AE104" s="11">
        <f>IF(AD104="","",IF(LEFT(AD104,1)="1","C1",IF(LEFT(AD104,1)="2","C2",IF(LEFT(AD104,1)="3","C3",""))))</f>
        <v/>
      </c>
      <c r="AF104" s="11" t="inlineStr">
        <is>
          <t>E1</t>
        </is>
      </c>
      <c r="AG104" s="11" t="inlineStr">
        <is>
          <t>D1</t>
        </is>
      </c>
      <c r="AH104" s="11" t="inlineStr">
        <is>
          <t>E1</t>
        </is>
      </c>
      <c r="AI104" s="11" t="inlineStr">
        <is>
          <t>D4</t>
        </is>
      </c>
      <c r="AJ104" s="11" t="inlineStr">
        <is>
          <t>E1</t>
        </is>
      </c>
      <c r="AK104" s="11" t="n"/>
      <c r="AL104" s="11" t="n"/>
      <c r="AM104" s="11" t="n"/>
      <c r="AN104" s="11" t="n"/>
      <c r="AO104" s="11" t="n"/>
      <c r="AP104" s="11" t="n"/>
      <c r="AQ104" s="11" t="n"/>
      <c r="AR104" s="11" t="n"/>
      <c r="AS104" s="11" t="n"/>
      <c r="AT104" s="11" t="n"/>
      <c r="AU104" s="11" t="n"/>
      <c r="AV104" s="11" t="n"/>
      <c r="AW104" s="11">
        <f>AF104&amp;"; "&amp;AG104&amp;"; "&amp;AH104&amp;"; "&amp;AI104&amp;"; "&amp;AJ104</f>
        <v/>
      </c>
    </row>
    <row r="105">
      <c r="A105" s="11" t="inlineStr">
        <is>
          <t>T0739-G03-CIE</t>
        </is>
      </c>
      <c r="B105" s="11" t="n">
        <v>3</v>
      </c>
      <c r="C105" s="11" t="inlineStr">
        <is>
          <t>Ciencias</t>
        </is>
      </c>
      <c r="D105" s="11" t="inlineStr">
        <is>
          <t>Matriz_Ciencias_3er_Grado_U1_U6.xlsx</t>
        </is>
      </c>
      <c r="E105" s="11" t="inlineStr">
        <is>
          <t>Unidad 3 - El agua</t>
        </is>
      </c>
      <c r="F105" s="11" t="n">
        <v>12</v>
      </c>
      <c r="G105" s="11" t="inlineStr">
        <is>
          <t>3. El agua.</t>
        </is>
      </c>
      <c r="H105" s="11" t="inlineStr">
        <is>
          <t>Disoluciones, suspensiones y coloides.</t>
        </is>
      </c>
      <c r="I105" s="38" t="inlineStr">
        <is>
          <t>3.10. Preparación de disoluciones con sustancias cotidianas.</t>
        </is>
      </c>
      <c r="J105" s="11" t="inlineStr">
        <is>
          <t>T4_27</t>
        </is>
      </c>
      <c r="K105" s="11" t="inlineStr">
        <is>
          <t>T4_27-P1.3</t>
        </is>
      </c>
      <c r="L105" s="11" t="inlineStr">
        <is>
          <t>T4_27-P6.1</t>
        </is>
      </c>
      <c r="M105" s="11">
        <f>IF(K105="FUERA","Fuera del marco",IF(K105="N/A","Sin marco",IFERROR(INDEX('Datos - Catálogo TIMSS'!$C$5:$C$107,MATCH(K105,'Datos - Catálogo TIMSS'!$A$5:$A$107,0)),"Pendiente de clasificar")))</f>
        <v/>
      </c>
      <c r="N105" s="11">
        <f>IF(K105="FUERA","Fuera del marco",IF(K105="N/A","Sin marco",IFERROR(INDEX('Datos - Catálogo TIMSS'!$F$5:$F$107,MATCH(K105,'Datos - Catálogo TIMSS'!$A$5:$A$107,0)),"Pendiente de clasificar")))</f>
        <v/>
      </c>
      <c r="O105" s="11">
        <f>IF(L105="","",IFERROR(INDEX('Datos - Catálogo TIMSS'!$C$5:$C$107,MATCH(L105,'Datos - Catálogo TIMSS'!$A$5:$A$107,0)),"?"))</f>
        <v/>
      </c>
      <c r="P105" s="11" t="inlineStr">
        <is>
          <t>alta</t>
        </is>
      </c>
      <c r="Q105" s="38" t="inlineStr">
        <is>
          <t>Acelerar disolución de sólidos; registro de tiempos por condición</t>
        </is>
      </c>
      <c r="R105" s="38" t="inlineStr">
        <is>
          <t>Razonar: identificar variables</t>
        </is>
      </c>
      <c r="S105" s="39">
        <f>IFERROR(ISNUMBER(SEARCH("Conocer",$R105))/(ISNUMBER(SEARCH("Conocer",$R105))+ISNUMBER(SEARCH("Aplicar",$R105))+ISNUMBER(SEARCH("Razonar",$R105))),0)</f>
        <v/>
      </c>
      <c r="T105" s="39">
        <f>IFERROR(ISNUMBER(SEARCH("Aplicar",$R105))/(ISNUMBER(SEARCH("Conocer",$R105))+ISNUMBER(SEARCH("Aplicar",$R105))+ISNUMBER(SEARCH("Razonar",$R105))),0)</f>
        <v/>
      </c>
      <c r="U105" s="39">
        <f>IFERROR(ISNUMBER(SEARCH("Razonar",$R105))/(ISNUMBER(SEARCH("Conocer",$R105))+ISNUMBER(SEARCH("Aplicar",$R105))+ISNUMBER(SEARCH("Razonar",$R105))),0)</f>
        <v/>
      </c>
      <c r="V105" s="11" t="inlineStr">
        <is>
          <t>3°</t>
        </is>
      </c>
      <c r="W105" s="11" t="inlineStr">
        <is>
          <t>Ciclo 2°–4°</t>
        </is>
      </c>
      <c r="X105" s="11">
        <f>IF(OR(IFERROR(INDEX('Datos - Catálogo TIMSS'!$I$5:$I$107,MATCH(K105,'Datos - Catálogo TIMSS'!$A$5:$A$107,0)),"No")="Sí",IFERROR(INDEX('Datos - Catálogo TIMSS'!$I$5:$I$107,MATCH(L105,'Datos - Catálogo TIMSS'!$A$5:$A$107,0)),"No")="Sí"),1,0)</f>
        <v/>
      </c>
      <c r="Y105" s="11">
        <f>IF(IFERROR(INDEX('Datos - Catálogo TIMSS'!$J$5:$J$107,MATCH(K105,'Datos - Catálogo TIMSS'!$A$5:$A$107,0)),"No")="Sí",1,0)</f>
        <v/>
      </c>
      <c r="Z105" s="11">
        <f>IF(IFERROR(INDEX('Datos - Catálogo TIMSS'!$J$5:$J$107,MATCH(L105,'Datos - Catálogo TIMSS'!$A$5:$A$107,0)),"No")="Sí",1,0)</f>
        <v/>
      </c>
      <c r="AA105" s="11" t="inlineStr">
        <is>
          <t>T4-F1.5</t>
        </is>
      </c>
      <c r="AB105" s="11" t="inlineStr"/>
      <c r="AC105" s="11">
        <f>IF(AA105="FUERA","Fuera del marco",IF(AA105="N/A","Sin marco",IFERROR(INDEX('Datos - TIMSS 2023'!$C$5:$C$105,MATCH(AA105,'Datos - TIMSS 2023'!$A$5:$A$105,0)),"Pendiente de clasificar")))</f>
        <v/>
      </c>
      <c r="AD105" s="11" t="inlineStr">
        <is>
          <t>2. Construir y evaluar diseños para la indagación científica e interpretar datos y evidencia de forma crítica</t>
        </is>
      </c>
      <c r="AE105" s="11">
        <f>IF(AD105="","",IF(LEFT(AD105,1)="1","C1",IF(LEFT(AD105,1)="2","C2",IF(LEFT(AD105,1)="3","C3",""))))</f>
        <v/>
      </c>
      <c r="AF105" s="11" t="inlineStr">
        <is>
          <t>E1</t>
        </is>
      </c>
      <c r="AG105" s="11" t="inlineStr">
        <is>
          <t>E3</t>
        </is>
      </c>
      <c r="AH105" s="11" t="inlineStr">
        <is>
          <t>E1</t>
        </is>
      </c>
      <c r="AI105" s="11" t="inlineStr">
        <is>
          <t>D2</t>
        </is>
      </c>
      <c r="AJ105" s="11" t="inlineStr">
        <is>
          <t>E3</t>
        </is>
      </c>
      <c r="AK105" s="11" t="n"/>
      <c r="AL105" s="11" t="n"/>
      <c r="AM105" s="11" t="n"/>
      <c r="AN105" s="11" t="n"/>
      <c r="AO105" s="11" t="n"/>
      <c r="AP105" s="11" t="n"/>
      <c r="AQ105" s="11" t="n"/>
      <c r="AR105" s="11" t="n"/>
      <c r="AS105" s="11" t="n"/>
      <c r="AT105" s="11" t="n"/>
      <c r="AU105" s="11" t="n"/>
      <c r="AV105" s="11" t="n"/>
      <c r="AW105" s="11">
        <f>AF105&amp;"; "&amp;AG105&amp;"; "&amp;AH105&amp;"; "&amp;AI105&amp;"; "&amp;AJ105</f>
        <v/>
      </c>
    </row>
    <row r="106">
      <c r="A106" s="11" t="inlineStr">
        <is>
          <t>T0740-G03-CIE</t>
        </is>
      </c>
      <c r="B106" s="11" t="n">
        <v>3</v>
      </c>
      <c r="C106" s="11" t="inlineStr">
        <is>
          <t>Ciencias</t>
        </is>
      </c>
      <c r="D106" s="11" t="inlineStr">
        <is>
          <t>Matriz_Ciencias_3er_Grado_U1_U6.xlsx</t>
        </is>
      </c>
      <c r="E106" s="11" t="inlineStr">
        <is>
          <t>Unidad 3 - El agua</t>
        </is>
      </c>
      <c r="F106" s="11" t="n">
        <v>13</v>
      </c>
      <c r="G106" s="11" t="inlineStr">
        <is>
          <t>3. El agua.</t>
        </is>
      </c>
      <c r="H106" s="11" t="inlineStr">
        <is>
          <t>Disoluciones, suspensiones y coloides.</t>
        </is>
      </c>
      <c r="I106" s="38" t="inlineStr">
        <is>
          <t>3.11. Clasificación de las disoluciones por su grado de saturación.</t>
        </is>
      </c>
      <c r="J106" s="11" t="inlineStr">
        <is>
          <t>T4_27</t>
        </is>
      </c>
      <c r="K106" s="11" t="inlineStr">
        <is>
          <t>T4_27-P1.3</t>
        </is>
      </c>
      <c r="L106" s="11" t="inlineStr"/>
      <c r="M106" s="11">
        <f>IF(K106="FUERA","Fuera del marco",IF(K106="N/A","Sin marco",IFERROR(INDEX('Datos - Catálogo TIMSS'!$C$5:$C$107,MATCH(K106,'Datos - Catálogo TIMSS'!$A$5:$A$107,0)),"Pendiente de clasificar")))</f>
        <v/>
      </c>
      <c r="N106" s="11">
        <f>IF(K106="FUERA","Fuera del marco",IF(K106="N/A","Sin marco",IFERROR(INDEX('Datos - Catálogo TIMSS'!$F$5:$F$107,MATCH(K106,'Datos - Catálogo TIMSS'!$A$5:$A$107,0)),"Pendiente de clasificar")))</f>
        <v/>
      </c>
      <c r="O106" s="11">
        <f>IF(L106="","",IFERROR(INDEX('Datos - Catálogo TIMSS'!$C$5:$C$107,MATCH(L106,'Datos - Catálogo TIMSS'!$A$5:$A$107,0)),"?"))</f>
        <v/>
      </c>
      <c r="P106" s="11" t="inlineStr">
        <is>
          <t>media</t>
        </is>
      </c>
      <c r="Q106" s="38" t="inlineStr">
        <is>
          <t>Soluciones débiles y concentradas según cantidad de soluto</t>
        </is>
      </c>
      <c r="R106" s="38" t="inlineStr">
        <is>
          <t>Aplicar: medir. Razonar: interpretar datos</t>
        </is>
      </c>
      <c r="S106" s="39">
        <f>IFERROR(ISNUMBER(SEARCH("Conocer",$R106))/(ISNUMBER(SEARCH("Conocer",$R106))+ISNUMBER(SEARCH("Aplicar",$R106))+ISNUMBER(SEARCH("Razonar",$R106))),0)</f>
        <v/>
      </c>
      <c r="T106" s="39">
        <f>IFERROR(ISNUMBER(SEARCH("Aplicar",$R106))/(ISNUMBER(SEARCH("Conocer",$R106))+ISNUMBER(SEARCH("Aplicar",$R106))+ISNUMBER(SEARCH("Razonar",$R106))),0)</f>
        <v/>
      </c>
      <c r="U106" s="39">
        <f>IFERROR(ISNUMBER(SEARCH("Razonar",$R106))/(ISNUMBER(SEARCH("Conocer",$R106))+ISNUMBER(SEARCH("Aplicar",$R106))+ISNUMBER(SEARCH("Razonar",$R106))),0)</f>
        <v/>
      </c>
      <c r="V106" s="11" t="inlineStr">
        <is>
          <t>3°</t>
        </is>
      </c>
      <c r="W106" s="11" t="inlineStr">
        <is>
          <t>Ciclo 2°–4°</t>
        </is>
      </c>
      <c r="X106" s="11">
        <f>IF(OR(IFERROR(INDEX('Datos - Catálogo TIMSS'!$I$5:$I$107,MATCH(K106,'Datos - Catálogo TIMSS'!$A$5:$A$107,0)),"No")="Sí",IFERROR(INDEX('Datos - Catálogo TIMSS'!$I$5:$I$107,MATCH(L106,'Datos - Catálogo TIMSS'!$A$5:$A$107,0)),"No")="Sí"),1,0)</f>
        <v/>
      </c>
      <c r="Y106" s="11">
        <f>IF(IFERROR(INDEX('Datos - Catálogo TIMSS'!$J$5:$J$107,MATCH(K106,'Datos - Catálogo TIMSS'!$A$5:$A$107,0)),"No")="Sí",1,0)</f>
        <v/>
      </c>
      <c r="Z106" s="11">
        <f>IF(IFERROR(INDEX('Datos - Catálogo TIMSS'!$J$5:$J$107,MATCH(L106,'Datos - Catálogo TIMSS'!$A$5:$A$107,0)),"No")="Sí",1,0)</f>
        <v/>
      </c>
      <c r="AA106" s="11" t="inlineStr">
        <is>
          <t>T4-F1.5</t>
        </is>
      </c>
      <c r="AB106" s="11" t="inlineStr">
        <is>
          <t>T4-F1.2</t>
        </is>
      </c>
      <c r="AC106" s="11">
        <f>IF(AA106="FUERA","Fuera del marco",IF(AA106="N/A","Sin marco",IFERROR(INDEX('Datos - TIMSS 2023'!$C$5:$C$105,MATCH(AA106,'Datos - TIMSS 2023'!$A$5:$A$105,0)),"Pendiente de clasificar")))</f>
        <v/>
      </c>
      <c r="AD106" s="11" t="inlineStr">
        <is>
          <t>2. Construir y evaluar diseños para la indagación científica e interpretar datos y evidencia de forma crítica</t>
        </is>
      </c>
      <c r="AE106" s="11">
        <f>IF(AD106="","",IF(LEFT(AD106,1)="1","C1",IF(LEFT(AD106,1)="2","C2",IF(LEFT(AD106,1)="3","C3",""))))</f>
        <v/>
      </c>
      <c r="AF106" s="11" t="inlineStr">
        <is>
          <t>E1</t>
        </is>
      </c>
      <c r="AG106" s="11" t="inlineStr">
        <is>
          <t>E3</t>
        </is>
      </c>
      <c r="AH106" s="11" t="inlineStr">
        <is>
          <t>E1</t>
        </is>
      </c>
      <c r="AI106" s="11" t="inlineStr">
        <is>
          <t>D4</t>
        </is>
      </c>
      <c r="AJ106" s="11" t="inlineStr">
        <is>
          <t>E1</t>
        </is>
      </c>
      <c r="AK106" s="11" t="n"/>
      <c r="AL106" s="11" t="n"/>
      <c r="AM106" s="11" t="n"/>
      <c r="AN106" s="11" t="n"/>
      <c r="AO106" s="11" t="n"/>
      <c r="AP106" s="11" t="n"/>
      <c r="AQ106" s="11" t="n"/>
      <c r="AR106" s="11" t="n"/>
      <c r="AS106" s="11" t="n"/>
      <c r="AT106" s="11" t="n"/>
      <c r="AU106" s="11" t="n"/>
      <c r="AV106" s="11" t="n"/>
      <c r="AW106" s="11">
        <f>AF106&amp;"; "&amp;AG106&amp;"; "&amp;AH106&amp;"; "&amp;AI106&amp;"; "&amp;AJ106</f>
        <v/>
      </c>
    </row>
    <row r="107">
      <c r="A107" s="11" t="inlineStr">
        <is>
          <t>T0741-G03-CIE</t>
        </is>
      </c>
      <c r="B107" s="11" t="n">
        <v>3</v>
      </c>
      <c r="C107" s="11" t="inlineStr">
        <is>
          <t>Ciencias</t>
        </is>
      </c>
      <c r="D107" s="11" t="inlineStr">
        <is>
          <t>Matriz_Ciencias_3er_Grado_U1_U6.xlsx</t>
        </is>
      </c>
      <c r="E107" s="11" t="inlineStr">
        <is>
          <t>Unidad 3 - El agua</t>
        </is>
      </c>
      <c r="F107" s="11" t="n">
        <v>14</v>
      </c>
      <c r="G107" s="11" t="inlineStr">
        <is>
          <t>3. El agua.</t>
        </is>
      </c>
      <c r="H107" s="11" t="inlineStr">
        <is>
          <t>Disoluciones, suspensiones y coloides.</t>
        </is>
      </c>
      <c r="I107" s="38" t="inlineStr">
        <is>
          <t>3.12. Exploración de las propiedades de los coloides y suspensiones, empleando muestras.</t>
        </is>
      </c>
      <c r="J107" s="11" t="inlineStr">
        <is>
          <t>T4_27</t>
        </is>
      </c>
      <c r="K107" s="11" t="inlineStr">
        <is>
          <t>T4_27-P1.3</t>
        </is>
      </c>
      <c r="L107" s="11" t="inlineStr"/>
      <c r="M107" s="11">
        <f>IF(K107="FUERA","Fuera del marco",IF(K107="N/A","Sin marco",IFERROR(INDEX('Datos - Catálogo TIMSS'!$C$5:$C$107,MATCH(K107,'Datos - Catálogo TIMSS'!$A$5:$A$107,0)),"Pendiente de clasificar")))</f>
        <v/>
      </c>
      <c r="N107" s="11">
        <f>IF(K107="FUERA","Fuera del marco",IF(K107="N/A","Sin marco",IFERROR(INDEX('Datos - Catálogo TIMSS'!$F$5:$F$107,MATCH(K107,'Datos - Catálogo TIMSS'!$A$5:$A$107,0)),"Pendiente de clasificar")))</f>
        <v/>
      </c>
      <c r="O107" s="11">
        <f>IF(L107="","",IFERROR(INDEX('Datos - Catálogo TIMSS'!$C$5:$C$107,MATCH(L107,'Datos - Catálogo TIMSS'!$A$5:$A$107,0)),"?"))</f>
        <v/>
      </c>
      <c r="P107" s="11" t="inlineStr">
        <is>
          <t>media</t>
        </is>
      </c>
      <c r="Q107" s="38" t="inlineStr">
        <is>
          <t>Propiedades de mezclas: suspensiones y coloides</t>
        </is>
      </c>
      <c r="R107" s="38" t="inlineStr">
        <is>
          <t>Razonar: comprobar y extraer conclusiones</t>
        </is>
      </c>
      <c r="S107" s="39">
        <f>IFERROR(ISNUMBER(SEARCH("Conocer",$R107))/(ISNUMBER(SEARCH("Conocer",$R107))+ISNUMBER(SEARCH("Aplicar",$R107))+ISNUMBER(SEARCH("Razonar",$R107))),0)</f>
        <v/>
      </c>
      <c r="T107" s="39">
        <f>IFERROR(ISNUMBER(SEARCH("Aplicar",$R107))/(ISNUMBER(SEARCH("Conocer",$R107))+ISNUMBER(SEARCH("Aplicar",$R107))+ISNUMBER(SEARCH("Razonar",$R107))),0)</f>
        <v/>
      </c>
      <c r="U107" s="39">
        <f>IFERROR(ISNUMBER(SEARCH("Razonar",$R107))/(ISNUMBER(SEARCH("Conocer",$R107))+ISNUMBER(SEARCH("Aplicar",$R107))+ISNUMBER(SEARCH("Razonar",$R107))),0)</f>
        <v/>
      </c>
      <c r="V107" s="11" t="inlineStr">
        <is>
          <t>3°</t>
        </is>
      </c>
      <c r="W107" s="11" t="inlineStr">
        <is>
          <t>Ciclo 2°–4°</t>
        </is>
      </c>
      <c r="X107" s="11">
        <f>IF(OR(IFERROR(INDEX('Datos - Catálogo TIMSS'!$I$5:$I$107,MATCH(K107,'Datos - Catálogo TIMSS'!$A$5:$A$107,0)),"No")="Sí",IFERROR(INDEX('Datos - Catálogo TIMSS'!$I$5:$I$107,MATCH(L107,'Datos - Catálogo TIMSS'!$A$5:$A$107,0)),"No")="Sí"),1,0)</f>
        <v/>
      </c>
      <c r="Y107" s="11">
        <f>IF(IFERROR(INDEX('Datos - Catálogo TIMSS'!$J$5:$J$107,MATCH(K107,'Datos - Catálogo TIMSS'!$A$5:$A$107,0)),"No")="Sí",1,0)</f>
        <v/>
      </c>
      <c r="Z107" s="11">
        <f>IF(IFERROR(INDEX('Datos - Catálogo TIMSS'!$J$5:$J$107,MATCH(L107,'Datos - Catálogo TIMSS'!$A$5:$A$107,0)),"No")="Sí",1,0)</f>
        <v/>
      </c>
      <c r="AA107" s="11" t="inlineStr">
        <is>
          <t>T4-F1.2</t>
        </is>
      </c>
      <c r="AB107" s="11" t="inlineStr"/>
      <c r="AC107" s="11">
        <f>IF(AA107="FUERA","Fuera del marco",IF(AA107="N/A","Sin marco",IFERROR(INDEX('Datos - TIMSS 2023'!$C$5:$C$105,MATCH(AA107,'Datos - TIMSS 2023'!$A$5:$A$105,0)),"Pendiente de clasificar")))</f>
        <v/>
      </c>
      <c r="AD107" s="11" t="inlineStr">
        <is>
          <t>2. Construir y evaluar diseños para la indagación científica e interpretar datos y evidencia de forma crítica</t>
        </is>
      </c>
      <c r="AE107" s="11">
        <f>IF(AD107="","",IF(LEFT(AD107,1)="1","C1",IF(LEFT(AD107,1)="2","C2",IF(LEFT(AD107,1)="3","C3",""))))</f>
        <v/>
      </c>
      <c r="AF107" s="11" t="inlineStr">
        <is>
          <t>E1</t>
        </is>
      </c>
      <c r="AG107" s="11" t="inlineStr">
        <is>
          <t>E3</t>
        </is>
      </c>
      <c r="AH107" s="11" t="inlineStr">
        <is>
          <t>E1</t>
        </is>
      </c>
      <c r="AI107" s="11" t="inlineStr">
        <is>
          <t>D2</t>
        </is>
      </c>
      <c r="AJ107" s="11" t="inlineStr">
        <is>
          <t>E1</t>
        </is>
      </c>
      <c r="AK107" s="11" t="n"/>
      <c r="AL107" s="11" t="n"/>
      <c r="AM107" s="11" t="n"/>
      <c r="AN107" s="11" t="n"/>
      <c r="AO107" s="11" t="n"/>
      <c r="AP107" s="11" t="n"/>
      <c r="AQ107" s="11" t="n"/>
      <c r="AR107" s="11" t="n"/>
      <c r="AS107" s="11" t="n"/>
      <c r="AT107" s="11" t="n"/>
      <c r="AU107" s="11" t="n"/>
      <c r="AV107" s="11" t="n"/>
      <c r="AW107" s="11">
        <f>AF107&amp;"; "&amp;AG107&amp;"; "&amp;AH107&amp;"; "&amp;AI107&amp;"; "&amp;AJ107</f>
        <v/>
      </c>
    </row>
    <row r="108">
      <c r="A108" s="11" t="inlineStr">
        <is>
          <t>T0742-G03-CIE</t>
        </is>
      </c>
      <c r="B108" s="11" t="n">
        <v>3</v>
      </c>
      <c r="C108" s="11" t="inlineStr">
        <is>
          <t>Ciencias</t>
        </is>
      </c>
      <c r="D108" s="11" t="inlineStr">
        <is>
          <t>Matriz_Ciencias_3er_Grado_U1_U6.xlsx</t>
        </is>
      </c>
      <c r="E108" s="11" t="inlineStr">
        <is>
          <t>Unidad 3 - El agua</t>
        </is>
      </c>
      <c r="F108" s="11" t="n">
        <v>15</v>
      </c>
      <c r="G108" s="11" t="inlineStr">
        <is>
          <t>3. El agua.</t>
        </is>
      </c>
      <c r="H108" s="11" t="inlineStr">
        <is>
          <t>Tratamiento del agua.</t>
        </is>
      </c>
      <c r="I108" s="38" t="inlineStr">
        <is>
          <t>3.13. Experimentación con procesos de potabilización del agua.</t>
        </is>
      </c>
      <c r="J108" s="11" t="inlineStr">
        <is>
          <t>T4_27</t>
        </is>
      </c>
      <c r="K108" s="11" t="inlineStr">
        <is>
          <t>T4_27-P1.3</t>
        </is>
      </c>
      <c r="L108" s="11" t="inlineStr">
        <is>
          <t>T4_27-E3.1</t>
        </is>
      </c>
      <c r="M108" s="11">
        <f>IF(K108="FUERA","Fuera del marco",IF(K108="N/A","Sin marco",IFERROR(INDEX('Datos - Catálogo TIMSS'!$C$5:$C$107,MATCH(K108,'Datos - Catálogo TIMSS'!$A$5:$A$107,0)),"Pendiente de clasificar")))</f>
        <v/>
      </c>
      <c r="N108" s="11">
        <f>IF(K108="FUERA","Fuera del marco",IF(K108="N/A","Sin marco",IFERROR(INDEX('Datos - Catálogo TIMSS'!$F$5:$F$107,MATCH(K108,'Datos - Catálogo TIMSS'!$A$5:$A$107,0)),"Pendiente de clasificar")))</f>
        <v/>
      </c>
      <c r="O108" s="11">
        <f>IF(L108="","",IFERROR(INDEX('Datos - Catálogo TIMSS'!$C$5:$C$107,MATCH(L108,'Datos - Catálogo TIMSS'!$A$5:$A$107,0)),"?"))</f>
        <v/>
      </c>
      <c r="P108" s="11" t="inlineStr">
        <is>
          <t>media</t>
        </is>
      </c>
      <c r="Q108" s="38" t="inlineStr">
        <is>
          <t>Filtración y separación para potabilizar; uso responsable del agua</t>
        </is>
      </c>
      <c r="R108" s="38" t="inlineStr">
        <is>
          <t>Aplicar: usar modelos. Razonar: evaluar</t>
        </is>
      </c>
      <c r="S108" s="39">
        <f>IFERROR(ISNUMBER(SEARCH("Conocer",$R108))/(ISNUMBER(SEARCH("Conocer",$R108))+ISNUMBER(SEARCH("Aplicar",$R108))+ISNUMBER(SEARCH("Razonar",$R108))),0)</f>
        <v/>
      </c>
      <c r="T108" s="39">
        <f>IFERROR(ISNUMBER(SEARCH("Aplicar",$R108))/(ISNUMBER(SEARCH("Conocer",$R108))+ISNUMBER(SEARCH("Aplicar",$R108))+ISNUMBER(SEARCH("Razonar",$R108))),0)</f>
        <v/>
      </c>
      <c r="U108" s="39">
        <f>IFERROR(ISNUMBER(SEARCH("Razonar",$R108))/(ISNUMBER(SEARCH("Conocer",$R108))+ISNUMBER(SEARCH("Aplicar",$R108))+ISNUMBER(SEARCH("Razonar",$R108))),0)</f>
        <v/>
      </c>
      <c r="V108" s="11" t="inlineStr">
        <is>
          <t>3°</t>
        </is>
      </c>
      <c r="W108" s="11" t="inlineStr">
        <is>
          <t>Ciclo 2°–4°</t>
        </is>
      </c>
      <c r="X108" s="11">
        <f>IF(OR(IFERROR(INDEX('Datos - Catálogo TIMSS'!$I$5:$I$107,MATCH(K108,'Datos - Catálogo TIMSS'!$A$5:$A$107,0)),"No")="Sí",IFERROR(INDEX('Datos - Catálogo TIMSS'!$I$5:$I$107,MATCH(L108,'Datos - Catálogo TIMSS'!$A$5:$A$107,0)),"No")="Sí"),1,0)</f>
        <v/>
      </c>
      <c r="Y108" s="11">
        <f>IF(IFERROR(INDEX('Datos - Catálogo TIMSS'!$J$5:$J$107,MATCH(K108,'Datos - Catálogo TIMSS'!$A$5:$A$107,0)),"No")="Sí",1,0)</f>
        <v/>
      </c>
      <c r="Z108" s="11">
        <f>IF(IFERROR(INDEX('Datos - Catálogo TIMSS'!$J$5:$J$107,MATCH(L108,'Datos - Catálogo TIMSS'!$A$5:$A$107,0)),"No")="Sí",1,0)</f>
        <v/>
      </c>
      <c r="AA108" s="11" t="inlineStr">
        <is>
          <t>T4-F1.2</t>
        </is>
      </c>
      <c r="AB108" s="11" t="inlineStr">
        <is>
          <t>T4-T1.2</t>
        </is>
      </c>
      <c r="AC108" s="11">
        <f>IF(AA108="FUERA","Fuera del marco",IF(AA108="N/A","Sin marco",IFERROR(INDEX('Datos - TIMSS 2023'!$C$5:$C$105,MATCH(AA108,'Datos - TIMSS 2023'!$A$5:$A$105,0)),"Pendiente de clasificar")))</f>
        <v/>
      </c>
      <c r="AD108" s="11" t="inlineStr">
        <is>
          <t>3. Investigar, evaluar y usar información científica para tomar decisiones y actuar</t>
        </is>
      </c>
      <c r="AE108" s="11">
        <f>IF(AD108="","",IF(LEFT(AD108,1)="1","C1",IF(LEFT(AD108,1)="2","C2",IF(LEFT(AD108,1)="3","C3",""))))</f>
        <v/>
      </c>
      <c r="AF108" s="11" t="inlineStr">
        <is>
          <t>E1</t>
        </is>
      </c>
      <c r="AG108" s="11" t="inlineStr">
        <is>
          <t>D1</t>
        </is>
      </c>
      <c r="AH108" s="11" t="inlineStr">
        <is>
          <t>E2</t>
        </is>
      </c>
      <c r="AI108" s="11" t="inlineStr">
        <is>
          <t>D2</t>
        </is>
      </c>
      <c r="AJ108" s="11" t="inlineStr">
        <is>
          <t>I4</t>
        </is>
      </c>
      <c r="AK108" s="11" t="n"/>
      <c r="AL108" s="11" t="n"/>
      <c r="AM108" s="11" t="n"/>
      <c r="AN108" s="11" t="n"/>
      <c r="AO108" s="11" t="n"/>
      <c r="AP108" s="11" t="n"/>
      <c r="AQ108" s="11" t="n"/>
      <c r="AR108" s="11" t="n"/>
      <c r="AS108" s="11" t="n"/>
      <c r="AT108" s="11" t="n"/>
      <c r="AU108" s="11" t="n"/>
      <c r="AV108" s="11" t="n"/>
      <c r="AW108" s="11">
        <f>AF108&amp;"; "&amp;AG108&amp;"; "&amp;AH108&amp;"; "&amp;AI108&amp;"; "&amp;AJ108</f>
        <v/>
      </c>
    </row>
    <row r="109">
      <c r="A109" s="11" t="inlineStr">
        <is>
          <t>T0743-G03-CIE</t>
        </is>
      </c>
      <c r="B109" s="11" t="n">
        <v>3</v>
      </c>
      <c r="C109" s="11" t="inlineStr">
        <is>
          <t>Ciencias</t>
        </is>
      </c>
      <c r="D109" s="11" t="inlineStr">
        <is>
          <t>Matriz_Ciencias_3er_Grado_U1_U6.xlsx</t>
        </is>
      </c>
      <c r="E109" s="11" t="inlineStr">
        <is>
          <t>Unidad 3 - El agua</t>
        </is>
      </c>
      <c r="F109" s="11" t="n">
        <v>16</v>
      </c>
      <c r="G109" s="11" t="inlineStr">
        <is>
          <t>3. El agua.</t>
        </is>
      </c>
      <c r="H109" s="11" t="inlineStr">
        <is>
          <t>Tratamiento del agua.</t>
        </is>
      </c>
      <c r="I109" s="38" t="inlineStr">
        <is>
          <t>3.14. Reconocimiento de la importancia de tratar las aguas residuales.</t>
        </is>
      </c>
      <c r="J109" s="11" t="inlineStr">
        <is>
          <t>T4_27</t>
        </is>
      </c>
      <c r="K109" s="11" t="inlineStr">
        <is>
          <t>T4_27-E3.1</t>
        </is>
      </c>
      <c r="L109" s="11" t="inlineStr">
        <is>
          <t>T4_27-B4.3</t>
        </is>
      </c>
      <c r="M109" s="11">
        <f>IF(K109="FUERA","Fuera del marco",IF(K109="N/A","Sin marco",IFERROR(INDEX('Datos - Catálogo TIMSS'!$C$5:$C$107,MATCH(K109,'Datos - Catálogo TIMSS'!$A$5:$A$107,0)),"Pendiente de clasificar")))</f>
        <v/>
      </c>
      <c r="N109" s="11">
        <f>IF(K109="FUERA","Fuera del marco",IF(K109="N/A","Sin marco",IFERROR(INDEX('Datos - Catálogo TIMSS'!$F$5:$F$107,MATCH(K109,'Datos - Catálogo TIMSS'!$A$5:$A$107,0)),"Pendiente de clasificar")))</f>
        <v/>
      </c>
      <c r="O109" s="11">
        <f>IF(L109="","",IFERROR(INDEX('Datos - Catálogo TIMSS'!$C$5:$C$107,MATCH(L109,'Datos - Catálogo TIMSS'!$A$5:$A$107,0)),"?"))</f>
        <v/>
      </c>
      <c r="P109" s="11" t="inlineStr">
        <is>
          <t>media</t>
        </is>
      </c>
      <c r="Q109" s="38" t="inlineStr">
        <is>
          <t>Uso responsable del agua; efectos de contaminación por aguas residuales</t>
        </is>
      </c>
      <c r="R109" s="38" t="inlineStr">
        <is>
          <t>Aplicar: relacionar causas y efectos. Razonar: justificar</t>
        </is>
      </c>
      <c r="S109" s="39">
        <f>IFERROR(ISNUMBER(SEARCH("Conocer",$R109))/(ISNUMBER(SEARCH("Conocer",$R109))+ISNUMBER(SEARCH("Aplicar",$R109))+ISNUMBER(SEARCH("Razonar",$R109))),0)</f>
        <v/>
      </c>
      <c r="T109" s="39">
        <f>IFERROR(ISNUMBER(SEARCH("Aplicar",$R109))/(ISNUMBER(SEARCH("Conocer",$R109))+ISNUMBER(SEARCH("Aplicar",$R109))+ISNUMBER(SEARCH("Razonar",$R109))),0)</f>
        <v/>
      </c>
      <c r="U109" s="39">
        <f>IFERROR(ISNUMBER(SEARCH("Razonar",$R109))/(ISNUMBER(SEARCH("Conocer",$R109))+ISNUMBER(SEARCH("Aplicar",$R109))+ISNUMBER(SEARCH("Razonar",$R109))),0)</f>
        <v/>
      </c>
      <c r="V109" s="11" t="inlineStr">
        <is>
          <t>3°</t>
        </is>
      </c>
      <c r="W109" s="11" t="inlineStr">
        <is>
          <t>Ciclo 2°–4°</t>
        </is>
      </c>
      <c r="X109" s="11">
        <f>IF(OR(IFERROR(INDEX('Datos - Catálogo TIMSS'!$I$5:$I$107,MATCH(K109,'Datos - Catálogo TIMSS'!$A$5:$A$107,0)),"No")="Sí",IFERROR(INDEX('Datos - Catálogo TIMSS'!$I$5:$I$107,MATCH(L109,'Datos - Catálogo TIMSS'!$A$5:$A$107,0)),"No")="Sí"),1,0)</f>
        <v/>
      </c>
      <c r="Y109" s="11">
        <f>IF(IFERROR(INDEX('Datos - Catálogo TIMSS'!$J$5:$J$107,MATCH(K109,'Datos - Catálogo TIMSS'!$A$5:$A$107,0)),"No")="Sí",1,0)</f>
        <v/>
      </c>
      <c r="Z109" s="11">
        <f>IF(IFERROR(INDEX('Datos - Catálogo TIMSS'!$J$5:$J$107,MATCH(L109,'Datos - Catálogo TIMSS'!$A$5:$A$107,0)),"No")="Sí",1,0)</f>
        <v/>
      </c>
      <c r="AA109" s="11" t="inlineStr">
        <is>
          <t>T4-V3.3</t>
        </is>
      </c>
      <c r="AB109" s="11" t="inlineStr">
        <is>
          <t>T4-T1.2</t>
        </is>
      </c>
      <c r="AC109" s="11">
        <f>IF(AA109="FUERA","Fuera del marco",IF(AA109="N/A","Sin marco",IFERROR(INDEX('Datos - TIMSS 2023'!$C$5:$C$105,MATCH(AA109,'Datos - TIMSS 2023'!$A$5:$A$105,0)),"Pendiente de clasificar")))</f>
        <v/>
      </c>
      <c r="AD109" s="11" t="inlineStr">
        <is>
          <t>3. Investigar, evaluar y usar información científica para tomar decisiones y actuar</t>
        </is>
      </c>
      <c r="AE109" s="11">
        <f>IF(AD109="","",IF(LEFT(AD109,1)="1","C1",IF(LEFT(AD109,1)="2","C2",IF(LEFT(AD109,1)="3","C3",""))))</f>
        <v/>
      </c>
      <c r="AF109" s="11" t="inlineStr">
        <is>
          <t>E6</t>
        </is>
      </c>
      <c r="AG109" s="11" t="inlineStr">
        <is>
          <t>D1</t>
        </is>
      </c>
      <c r="AH109" s="11" t="inlineStr">
        <is>
          <t>E1</t>
        </is>
      </c>
      <c r="AI109" s="11" t="inlineStr">
        <is>
          <t>I3</t>
        </is>
      </c>
      <c r="AJ109" s="11" t="inlineStr">
        <is>
          <t>I5</t>
        </is>
      </c>
      <c r="AK109" s="11" t="n"/>
      <c r="AL109" s="11" t="n"/>
      <c r="AM109" s="11" t="n"/>
      <c r="AN109" s="11" t="n"/>
      <c r="AO109" s="11" t="n"/>
      <c r="AP109" s="11" t="n"/>
      <c r="AQ109" s="11" t="n"/>
      <c r="AR109" s="11" t="n"/>
      <c r="AS109" s="11" t="n"/>
      <c r="AT109" s="11" t="n"/>
      <c r="AU109" s="11" t="n"/>
      <c r="AV109" s="11" t="n"/>
      <c r="AW109" s="11">
        <f>AF109&amp;"; "&amp;AG109&amp;"; "&amp;AH109&amp;"; "&amp;AI109&amp;"; "&amp;AJ109</f>
        <v/>
      </c>
    </row>
    <row r="110">
      <c r="A110" s="11" t="inlineStr">
        <is>
          <t>T0744-G03-CIE</t>
        </is>
      </c>
      <c r="B110" s="11" t="n">
        <v>3</v>
      </c>
      <c r="C110" s="11" t="inlineStr">
        <is>
          <t>Ciencias</t>
        </is>
      </c>
      <c r="D110" s="11" t="inlineStr">
        <is>
          <t>Matriz_Ciencias_3er_Grado_U1_U6.xlsx</t>
        </is>
      </c>
      <c r="E110" s="11" t="inlineStr">
        <is>
          <t>Unidad 4 - Las plantas</t>
        </is>
      </c>
      <c r="F110" s="11" t="n">
        <v>3</v>
      </c>
      <c r="G110" s="11" t="inlineStr">
        <is>
          <t>4. Las plantas.</t>
        </is>
      </c>
      <c r="H110" s="11" t="inlineStr">
        <is>
          <t>Morfología y funciones de los órganos de las plantas.</t>
        </is>
      </c>
      <c r="I110" s="38" t="inlineStr">
        <is>
          <t>4.1. Reconocimiento de los órganos presentes en las plantas con semilla.</t>
        </is>
      </c>
      <c r="J110" s="11" t="inlineStr">
        <is>
          <t>T4_27</t>
        </is>
      </c>
      <c r="K110" s="11" t="inlineStr">
        <is>
          <t>T4_27-B1.3</t>
        </is>
      </c>
      <c r="L110" s="11" t="inlineStr"/>
      <c r="M110" s="11">
        <f>IF(K110="FUERA","Fuera del marco",IF(K110="N/A","Sin marco",IFERROR(INDEX('Datos - Catálogo TIMSS'!$C$5:$C$107,MATCH(K110,'Datos - Catálogo TIMSS'!$A$5:$A$107,0)),"Pendiente de clasificar")))</f>
        <v/>
      </c>
      <c r="N110" s="11">
        <f>IF(K110="FUERA","Fuera del marco",IF(K110="N/A","Sin marco",IFERROR(INDEX('Datos - Catálogo TIMSS'!$F$5:$F$107,MATCH(K110,'Datos - Catálogo TIMSS'!$A$5:$A$107,0)),"Pendiente de clasificar")))</f>
        <v/>
      </c>
      <c r="O110" s="11">
        <f>IF(L110="","",IFERROR(INDEX('Datos - Catálogo TIMSS'!$C$5:$C$107,MATCH(L110,'Datos - Catálogo TIMSS'!$A$5:$A$107,0)),"?"))</f>
        <v/>
      </c>
      <c r="P110" s="11" t="inlineStr">
        <is>
          <t>alta</t>
        </is>
      </c>
      <c r="Q110" s="38" t="inlineStr">
        <is>
          <t>Estructuras principales de plantas con semilla</t>
        </is>
      </c>
      <c r="R110" s="38" t="inlineStr">
        <is>
          <t>Conocer: identificar estructuras</t>
        </is>
      </c>
      <c r="S110" s="39">
        <f>IFERROR(ISNUMBER(SEARCH("Conocer",$R110))/(ISNUMBER(SEARCH("Conocer",$R110))+ISNUMBER(SEARCH("Aplicar",$R110))+ISNUMBER(SEARCH("Razonar",$R110))),0)</f>
        <v/>
      </c>
      <c r="T110" s="39">
        <f>IFERROR(ISNUMBER(SEARCH("Aplicar",$R110))/(ISNUMBER(SEARCH("Conocer",$R110))+ISNUMBER(SEARCH("Aplicar",$R110))+ISNUMBER(SEARCH("Razonar",$R110))),0)</f>
        <v/>
      </c>
      <c r="U110" s="39">
        <f>IFERROR(ISNUMBER(SEARCH("Razonar",$R110))/(ISNUMBER(SEARCH("Conocer",$R110))+ISNUMBER(SEARCH("Aplicar",$R110))+ISNUMBER(SEARCH("Razonar",$R110))),0)</f>
        <v/>
      </c>
      <c r="V110" s="11" t="inlineStr">
        <is>
          <t>3°</t>
        </is>
      </c>
      <c r="W110" s="11" t="inlineStr">
        <is>
          <t>Ciclo 2°–4°</t>
        </is>
      </c>
      <c r="X110" s="11">
        <f>IF(OR(IFERROR(INDEX('Datos - Catálogo TIMSS'!$I$5:$I$107,MATCH(K110,'Datos - Catálogo TIMSS'!$A$5:$A$107,0)),"No")="Sí",IFERROR(INDEX('Datos - Catálogo TIMSS'!$I$5:$I$107,MATCH(L110,'Datos - Catálogo TIMSS'!$A$5:$A$107,0)),"No")="Sí"),1,0)</f>
        <v/>
      </c>
      <c r="Y110" s="11">
        <f>IF(IFERROR(INDEX('Datos - Catálogo TIMSS'!$J$5:$J$107,MATCH(K110,'Datos - Catálogo TIMSS'!$A$5:$A$107,0)),"No")="Sí",1,0)</f>
        <v/>
      </c>
      <c r="Z110" s="11">
        <f>IF(IFERROR(INDEX('Datos - Catálogo TIMSS'!$J$5:$J$107,MATCH(L110,'Datos - Catálogo TIMSS'!$A$5:$A$107,0)),"No")="Sí",1,0)</f>
        <v/>
      </c>
      <c r="AA110" s="11" t="inlineStr">
        <is>
          <t>T4-V1.3</t>
        </is>
      </c>
      <c r="AB110" s="11" t="inlineStr"/>
      <c r="AC110" s="11">
        <f>IF(AA110="FUERA","Fuera del marco",IF(AA110="N/A","Sin marco",IFERROR(INDEX('Datos - TIMSS 2023'!$C$5:$C$105,MATCH(AA110,'Datos - TIMSS 2023'!$A$5:$A$105,0)),"Pendiente de clasificar")))</f>
        <v/>
      </c>
      <c r="AD110" s="11" t="inlineStr">
        <is>
          <t>1. Explicar fenómenos científicamente</t>
        </is>
      </c>
      <c r="AE110" s="11">
        <f>IF(AD110="","",IF(LEFT(AD110,1)="1","C1",IF(LEFT(AD110,1)="2","C2",IF(LEFT(AD110,1)="3","C3",""))))</f>
        <v/>
      </c>
      <c r="AF110" s="11" t="inlineStr">
        <is>
          <t>E1</t>
        </is>
      </c>
      <c r="AG110" s="11" t="inlineStr">
        <is>
          <t>D1</t>
        </is>
      </c>
      <c r="AH110" s="11" t="inlineStr">
        <is>
          <t>E1</t>
        </is>
      </c>
      <c r="AI110" s="11" t="inlineStr">
        <is>
          <t>D4</t>
        </is>
      </c>
      <c r="AJ110" s="11" t="inlineStr">
        <is>
          <t>E1</t>
        </is>
      </c>
      <c r="AK110" s="11" t="n"/>
      <c r="AL110" s="11" t="n"/>
      <c r="AM110" s="11" t="n"/>
      <c r="AN110" s="11" t="n"/>
      <c r="AO110" s="11" t="n"/>
      <c r="AP110" s="11" t="n"/>
      <c r="AQ110" s="11" t="n"/>
      <c r="AR110" s="11" t="n"/>
      <c r="AS110" s="11" t="n"/>
      <c r="AT110" s="11" t="n"/>
      <c r="AU110" s="11" t="n"/>
      <c r="AV110" s="11" t="n"/>
      <c r="AW110" s="11">
        <f>AF110&amp;"; "&amp;AG110&amp;"; "&amp;AH110&amp;"; "&amp;AI110&amp;"; "&amp;AJ110</f>
        <v/>
      </c>
    </row>
    <row r="111">
      <c r="A111" s="11" t="inlineStr">
        <is>
          <t>T0745-G03-CIE</t>
        </is>
      </c>
      <c r="B111" s="11" t="n">
        <v>3</v>
      </c>
      <c r="C111" s="11" t="inlineStr">
        <is>
          <t>Ciencias</t>
        </is>
      </c>
      <c r="D111" s="11" t="inlineStr">
        <is>
          <t>Matriz_Ciencias_3er_Grado_U1_U6.xlsx</t>
        </is>
      </c>
      <c r="E111" s="11" t="inlineStr">
        <is>
          <t>Unidad 4 - Las plantas</t>
        </is>
      </c>
      <c r="F111" s="11" t="n">
        <v>4</v>
      </c>
      <c r="G111" s="11" t="inlineStr">
        <is>
          <t>4. Las plantas.</t>
        </is>
      </c>
      <c r="H111" s="11" t="inlineStr">
        <is>
          <t>Morfología y funciones de los órganos de las plantas.</t>
        </is>
      </c>
      <c r="I111" s="38" t="inlineStr">
        <is>
          <t>4.2. Relación de los órganos vegetales con sus funciones.</t>
        </is>
      </c>
      <c r="J111" s="11" t="inlineStr">
        <is>
          <t>T4_27</t>
        </is>
      </c>
      <c r="K111" s="11" t="inlineStr">
        <is>
          <t>T4_27-B1.3</t>
        </is>
      </c>
      <c r="L111" s="11" t="inlineStr"/>
      <c r="M111" s="11">
        <f>IF(K111="FUERA","Fuera del marco",IF(K111="N/A","Sin marco",IFERROR(INDEX('Datos - Catálogo TIMSS'!$C$5:$C$107,MATCH(K111,'Datos - Catálogo TIMSS'!$A$5:$A$107,0)),"Pendiente de clasificar")))</f>
        <v/>
      </c>
      <c r="N111" s="11">
        <f>IF(K111="FUERA","Fuera del marco",IF(K111="N/A","Sin marco",IFERROR(INDEX('Datos - Catálogo TIMSS'!$F$5:$F$107,MATCH(K111,'Datos - Catálogo TIMSS'!$A$5:$A$107,0)),"Pendiente de clasificar")))</f>
        <v/>
      </c>
      <c r="O111" s="11">
        <f>IF(L111="","",IFERROR(INDEX('Datos - Catálogo TIMSS'!$C$5:$C$107,MATCH(L111,'Datos - Catálogo TIMSS'!$A$5:$A$107,0)),"?"))</f>
        <v/>
      </c>
      <c r="P111" s="11" t="inlineStr">
        <is>
          <t>alta</t>
        </is>
      </c>
      <c r="Q111" s="38" t="inlineStr">
        <is>
          <t>Relaciona raíz, tallo y hoja con sus funciones</t>
        </is>
      </c>
      <c r="R111" s="38" t="inlineStr">
        <is>
          <t>Conocer: relacionar estructura y función</t>
        </is>
      </c>
      <c r="S111" s="39">
        <f>IFERROR(ISNUMBER(SEARCH("Conocer",$R111))/(ISNUMBER(SEARCH("Conocer",$R111))+ISNUMBER(SEARCH("Aplicar",$R111))+ISNUMBER(SEARCH("Razonar",$R111))),0)</f>
        <v/>
      </c>
      <c r="T111" s="39">
        <f>IFERROR(ISNUMBER(SEARCH("Aplicar",$R111))/(ISNUMBER(SEARCH("Conocer",$R111))+ISNUMBER(SEARCH("Aplicar",$R111))+ISNUMBER(SEARCH("Razonar",$R111))),0)</f>
        <v/>
      </c>
      <c r="U111" s="39">
        <f>IFERROR(ISNUMBER(SEARCH("Razonar",$R111))/(ISNUMBER(SEARCH("Conocer",$R111))+ISNUMBER(SEARCH("Aplicar",$R111))+ISNUMBER(SEARCH("Razonar",$R111))),0)</f>
        <v/>
      </c>
      <c r="V111" s="11" t="inlineStr">
        <is>
          <t>3°</t>
        </is>
      </c>
      <c r="W111" s="11" t="inlineStr">
        <is>
          <t>Ciclo 2°–4°</t>
        </is>
      </c>
      <c r="X111" s="11">
        <f>IF(OR(IFERROR(INDEX('Datos - Catálogo TIMSS'!$I$5:$I$107,MATCH(K111,'Datos - Catálogo TIMSS'!$A$5:$A$107,0)),"No")="Sí",IFERROR(INDEX('Datos - Catálogo TIMSS'!$I$5:$I$107,MATCH(L111,'Datos - Catálogo TIMSS'!$A$5:$A$107,0)),"No")="Sí"),1,0)</f>
        <v/>
      </c>
      <c r="Y111" s="11">
        <f>IF(IFERROR(INDEX('Datos - Catálogo TIMSS'!$J$5:$J$107,MATCH(K111,'Datos - Catálogo TIMSS'!$A$5:$A$107,0)),"No")="Sí",1,0)</f>
        <v/>
      </c>
      <c r="Z111" s="11">
        <f>IF(IFERROR(INDEX('Datos - Catálogo TIMSS'!$J$5:$J$107,MATCH(L111,'Datos - Catálogo TIMSS'!$A$5:$A$107,0)),"No")="Sí",1,0)</f>
        <v/>
      </c>
      <c r="AA111" s="11" t="inlineStr">
        <is>
          <t>T4-V1.3</t>
        </is>
      </c>
      <c r="AB111" s="11" t="inlineStr"/>
      <c r="AC111" s="11">
        <f>IF(AA111="FUERA","Fuera del marco",IF(AA111="N/A","Sin marco",IFERROR(INDEX('Datos - TIMSS 2023'!$C$5:$C$105,MATCH(AA111,'Datos - TIMSS 2023'!$A$5:$A$105,0)),"Pendiente de clasificar")))</f>
        <v/>
      </c>
      <c r="AD111" s="11" t="inlineStr">
        <is>
          <t>1. Explicar fenómenos científicamente</t>
        </is>
      </c>
      <c r="AE111" s="11">
        <f>IF(AD111="","",IF(LEFT(AD111,1)="1","C1",IF(LEFT(AD111,1)="2","C2",IF(LEFT(AD111,1)="3","C3",""))))</f>
        <v/>
      </c>
      <c r="AF111" s="11" t="inlineStr">
        <is>
          <t>E1</t>
        </is>
      </c>
      <c r="AG111" s="11" t="inlineStr">
        <is>
          <t>E5</t>
        </is>
      </c>
      <c r="AH111" s="11" t="inlineStr">
        <is>
          <t>E1</t>
        </is>
      </c>
      <c r="AI111" s="11" t="inlineStr">
        <is>
          <t>D4</t>
        </is>
      </c>
      <c r="AJ111" s="11" t="inlineStr">
        <is>
          <t>E1</t>
        </is>
      </c>
      <c r="AK111" s="11" t="n"/>
      <c r="AL111" s="11" t="n"/>
      <c r="AM111" s="11" t="n"/>
      <c r="AN111" s="11" t="n"/>
      <c r="AO111" s="11" t="n"/>
      <c r="AP111" s="11" t="n"/>
      <c r="AQ111" s="11" t="n"/>
      <c r="AR111" s="11" t="n"/>
      <c r="AS111" s="11" t="n"/>
      <c r="AT111" s="11" t="n"/>
      <c r="AU111" s="11" t="n"/>
      <c r="AV111" s="11" t="n"/>
      <c r="AW111" s="11">
        <f>AF111&amp;"; "&amp;AG111&amp;"; "&amp;AH111&amp;"; "&amp;AI111&amp;"; "&amp;AJ111</f>
        <v/>
      </c>
    </row>
    <row r="112">
      <c r="A112" s="11" t="inlineStr">
        <is>
          <t>T0746-G03-CIE</t>
        </is>
      </c>
      <c r="B112" s="11" t="n">
        <v>3</v>
      </c>
      <c r="C112" s="11" t="inlineStr">
        <is>
          <t>Ciencias</t>
        </is>
      </c>
      <c r="D112" s="11" t="inlineStr">
        <is>
          <t>Matriz_Ciencias_3er_Grado_U1_U6.xlsx</t>
        </is>
      </c>
      <c r="E112" s="11" t="inlineStr">
        <is>
          <t>Unidad 4 - Las plantas</t>
        </is>
      </c>
      <c r="F112" s="11" t="n">
        <v>5</v>
      </c>
      <c r="G112" s="11" t="inlineStr">
        <is>
          <t>4. Las plantas.</t>
        </is>
      </c>
      <c r="H112" s="11" t="inlineStr">
        <is>
          <t>Morfología y funciones de los órganos de las plantas.</t>
        </is>
      </c>
      <c r="I112" s="38" t="inlineStr">
        <is>
          <t>4.3. Clasificación de órganos vegetales por sus formas.</t>
        </is>
      </c>
      <c r="J112" s="11" t="inlineStr">
        <is>
          <t>T4_27</t>
        </is>
      </c>
      <c r="K112" s="11" t="inlineStr">
        <is>
          <t>T4_27-B1.3</t>
        </is>
      </c>
      <c r="L112" s="11" t="inlineStr"/>
      <c r="M112" s="11">
        <f>IF(K112="FUERA","Fuera del marco",IF(K112="N/A","Sin marco",IFERROR(INDEX('Datos - Catálogo TIMSS'!$C$5:$C$107,MATCH(K112,'Datos - Catálogo TIMSS'!$A$5:$A$107,0)),"Pendiente de clasificar")))</f>
        <v/>
      </c>
      <c r="N112" s="11">
        <f>IF(K112="FUERA","Fuera del marco",IF(K112="N/A","Sin marco",IFERROR(INDEX('Datos - Catálogo TIMSS'!$F$5:$F$107,MATCH(K112,'Datos - Catálogo TIMSS'!$A$5:$A$107,0)),"Pendiente de clasificar")))</f>
        <v/>
      </c>
      <c r="O112" s="11">
        <f>IF(L112="","",IFERROR(INDEX('Datos - Catálogo TIMSS'!$C$5:$C$107,MATCH(L112,'Datos - Catálogo TIMSS'!$A$5:$A$107,0)),"?"))</f>
        <v/>
      </c>
      <c r="P112" s="11" t="inlineStr">
        <is>
          <t>media</t>
        </is>
      </c>
      <c r="Q112" s="38" t="inlineStr">
        <is>
          <t>Forma de estructuras vegetales; clasificación de hojas por rasgos</t>
        </is>
      </c>
      <c r="R112" s="38" t="inlineStr">
        <is>
          <t>Aplicar: clasificar</t>
        </is>
      </c>
      <c r="S112" s="39">
        <f>IFERROR(ISNUMBER(SEARCH("Conocer",$R112))/(ISNUMBER(SEARCH("Conocer",$R112))+ISNUMBER(SEARCH("Aplicar",$R112))+ISNUMBER(SEARCH("Razonar",$R112))),0)</f>
        <v/>
      </c>
      <c r="T112" s="39">
        <f>IFERROR(ISNUMBER(SEARCH("Aplicar",$R112))/(ISNUMBER(SEARCH("Conocer",$R112))+ISNUMBER(SEARCH("Aplicar",$R112))+ISNUMBER(SEARCH("Razonar",$R112))),0)</f>
        <v/>
      </c>
      <c r="U112" s="39">
        <f>IFERROR(ISNUMBER(SEARCH("Razonar",$R112))/(ISNUMBER(SEARCH("Conocer",$R112))+ISNUMBER(SEARCH("Aplicar",$R112))+ISNUMBER(SEARCH("Razonar",$R112))),0)</f>
        <v/>
      </c>
      <c r="V112" s="11" t="inlineStr">
        <is>
          <t>3°</t>
        </is>
      </c>
      <c r="W112" s="11" t="inlineStr">
        <is>
          <t>Ciclo 2°–4°</t>
        </is>
      </c>
      <c r="X112" s="11">
        <f>IF(OR(IFERROR(INDEX('Datos - Catálogo TIMSS'!$I$5:$I$107,MATCH(K112,'Datos - Catálogo TIMSS'!$A$5:$A$107,0)),"No")="Sí",IFERROR(INDEX('Datos - Catálogo TIMSS'!$I$5:$I$107,MATCH(L112,'Datos - Catálogo TIMSS'!$A$5:$A$107,0)),"No")="Sí"),1,0)</f>
        <v/>
      </c>
      <c r="Y112" s="11">
        <f>IF(IFERROR(INDEX('Datos - Catálogo TIMSS'!$J$5:$J$107,MATCH(K112,'Datos - Catálogo TIMSS'!$A$5:$A$107,0)),"No")="Sí",1,0)</f>
        <v/>
      </c>
      <c r="Z112" s="11">
        <f>IF(IFERROR(INDEX('Datos - Catálogo TIMSS'!$J$5:$J$107,MATCH(L112,'Datos - Catálogo TIMSS'!$A$5:$A$107,0)),"No")="Sí",1,0)</f>
        <v/>
      </c>
      <c r="AA112" s="11" t="inlineStr">
        <is>
          <t>T4-V1.2</t>
        </is>
      </c>
      <c r="AB112" s="11" t="inlineStr"/>
      <c r="AC112" s="11">
        <f>IF(AA112="FUERA","Fuera del marco",IF(AA112="N/A","Sin marco",IFERROR(INDEX('Datos - TIMSS 2023'!$C$5:$C$105,MATCH(AA112,'Datos - TIMSS 2023'!$A$5:$A$105,0)),"Pendiente de clasificar")))</f>
        <v/>
      </c>
      <c r="AD112" s="11" t="inlineStr">
        <is>
          <t>2. Construir y evaluar diseños para la indagación científica e interpretar datos y evidencia de forma crítica</t>
        </is>
      </c>
      <c r="AE112" s="11">
        <f>IF(AD112="","",IF(LEFT(AD112,1)="1","C1",IF(LEFT(AD112,1)="2","C2",IF(LEFT(AD112,1)="3","C3",""))))</f>
        <v/>
      </c>
      <c r="AF112" s="11" t="inlineStr">
        <is>
          <t>E1</t>
        </is>
      </c>
      <c r="AG112" s="11" t="inlineStr">
        <is>
          <t>D1</t>
        </is>
      </c>
      <c r="AH112" s="11" t="inlineStr">
        <is>
          <t>E1</t>
        </is>
      </c>
      <c r="AI112" s="11" t="inlineStr">
        <is>
          <t>D4</t>
        </is>
      </c>
      <c r="AJ112" s="11" t="inlineStr">
        <is>
          <t>E1</t>
        </is>
      </c>
      <c r="AK112" s="11" t="n"/>
      <c r="AL112" s="11" t="n"/>
      <c r="AM112" s="11" t="n"/>
      <c r="AN112" s="11" t="n"/>
      <c r="AO112" s="11" t="n"/>
      <c r="AP112" s="11" t="n"/>
      <c r="AQ112" s="11" t="n"/>
      <c r="AR112" s="11" t="n"/>
      <c r="AS112" s="11" t="n"/>
      <c r="AT112" s="11" t="n"/>
      <c r="AU112" s="11" t="n"/>
      <c r="AV112" s="11" t="n"/>
      <c r="AW112" s="11">
        <f>AF112&amp;"; "&amp;AG112&amp;"; "&amp;AH112&amp;"; "&amp;AI112&amp;"; "&amp;AJ112</f>
        <v/>
      </c>
    </row>
    <row r="113">
      <c r="A113" s="11" t="inlineStr">
        <is>
          <t>T0747-G03-CIE</t>
        </is>
      </c>
      <c r="B113" s="11" t="n">
        <v>3</v>
      </c>
      <c r="C113" s="11" t="inlineStr">
        <is>
          <t>Ciencias</t>
        </is>
      </c>
      <c r="D113" s="11" t="inlineStr">
        <is>
          <t>Matriz_Ciencias_3er_Grado_U1_U6.xlsx</t>
        </is>
      </c>
      <c r="E113" s="11" t="inlineStr">
        <is>
          <t>Unidad 4 - Las plantas</t>
        </is>
      </c>
      <c r="F113" s="11" t="n">
        <v>6</v>
      </c>
      <c r="G113" s="11" t="inlineStr">
        <is>
          <t>4. Las plantas.</t>
        </is>
      </c>
      <c r="H113" s="11" t="inlineStr">
        <is>
          <t>Morfología y funciones de los órganos de las plantas.</t>
        </is>
      </c>
      <c r="I113" s="38" t="inlineStr">
        <is>
          <t>4.4. Elaboración de catálogo de estructuras vegetales presentes en plantas de la comunidad.</t>
        </is>
      </c>
      <c r="J113" s="11" t="inlineStr">
        <is>
          <t>T4_27</t>
        </is>
      </c>
      <c r="K113" s="11" t="inlineStr">
        <is>
          <t>T4_27-B1.3</t>
        </is>
      </c>
      <c r="L113" s="11" t="inlineStr">
        <is>
          <t>T4_27-B1.2</t>
        </is>
      </c>
      <c r="M113" s="11">
        <f>IF(K113="FUERA","Fuera del marco",IF(K113="N/A","Sin marco",IFERROR(INDEX('Datos - Catálogo TIMSS'!$C$5:$C$107,MATCH(K113,'Datos - Catálogo TIMSS'!$A$5:$A$107,0)),"Pendiente de clasificar")))</f>
        <v/>
      </c>
      <c r="N113" s="11">
        <f>IF(K113="FUERA","Fuera del marco",IF(K113="N/A","Sin marco",IFERROR(INDEX('Datos - Catálogo TIMSS'!$F$5:$F$107,MATCH(K113,'Datos - Catálogo TIMSS'!$A$5:$A$107,0)),"Pendiente de clasificar")))</f>
        <v/>
      </c>
      <c r="O113" s="11">
        <f>IF(L113="","",IFERROR(INDEX('Datos - Catálogo TIMSS'!$C$5:$C$107,MATCH(L113,'Datos - Catálogo TIMSS'!$A$5:$A$107,0)),"?"))</f>
        <v/>
      </c>
      <c r="P113" s="11" t="inlineStr">
        <is>
          <t>media</t>
        </is>
      </c>
      <c r="Q113" s="38" t="inlineStr">
        <is>
          <t>Estructuras de plantas comunitarias y rasgos para compararlas</t>
        </is>
      </c>
      <c r="R113" s="38" t="inlineStr">
        <is>
          <t>Aplicar: organizar información</t>
        </is>
      </c>
      <c r="S113" s="39">
        <f>IFERROR(ISNUMBER(SEARCH("Conocer",$R113))/(ISNUMBER(SEARCH("Conocer",$R113))+ISNUMBER(SEARCH("Aplicar",$R113))+ISNUMBER(SEARCH("Razonar",$R113))),0)</f>
        <v/>
      </c>
      <c r="T113" s="39">
        <f>IFERROR(ISNUMBER(SEARCH("Aplicar",$R113))/(ISNUMBER(SEARCH("Conocer",$R113))+ISNUMBER(SEARCH("Aplicar",$R113))+ISNUMBER(SEARCH("Razonar",$R113))),0)</f>
        <v/>
      </c>
      <c r="U113" s="39">
        <f>IFERROR(ISNUMBER(SEARCH("Razonar",$R113))/(ISNUMBER(SEARCH("Conocer",$R113))+ISNUMBER(SEARCH("Aplicar",$R113))+ISNUMBER(SEARCH("Razonar",$R113))),0)</f>
        <v/>
      </c>
      <c r="V113" s="11" t="inlineStr">
        <is>
          <t>3°</t>
        </is>
      </c>
      <c r="W113" s="11" t="inlineStr">
        <is>
          <t>Ciclo 2°–4°</t>
        </is>
      </c>
      <c r="X113" s="11">
        <f>IF(OR(IFERROR(INDEX('Datos - Catálogo TIMSS'!$I$5:$I$107,MATCH(K113,'Datos - Catálogo TIMSS'!$A$5:$A$107,0)),"No")="Sí",IFERROR(INDEX('Datos - Catálogo TIMSS'!$I$5:$I$107,MATCH(L113,'Datos - Catálogo TIMSS'!$A$5:$A$107,0)),"No")="Sí"),1,0)</f>
        <v/>
      </c>
      <c r="Y113" s="11">
        <f>IF(IFERROR(INDEX('Datos - Catálogo TIMSS'!$J$5:$J$107,MATCH(K113,'Datos - Catálogo TIMSS'!$A$5:$A$107,0)),"No")="Sí",1,0)</f>
        <v/>
      </c>
      <c r="Z113" s="11">
        <f>IF(IFERROR(INDEX('Datos - Catálogo TIMSS'!$J$5:$J$107,MATCH(L113,'Datos - Catálogo TIMSS'!$A$5:$A$107,0)),"No")="Sí",1,0)</f>
        <v/>
      </c>
      <c r="AA113" s="11" t="inlineStr">
        <is>
          <t>T4-V1.2</t>
        </is>
      </c>
      <c r="AB113" s="11" t="inlineStr">
        <is>
          <t>T4-V1.3</t>
        </is>
      </c>
      <c r="AC113" s="11">
        <f>IF(AA113="FUERA","Fuera del marco",IF(AA113="N/A","Sin marco",IFERROR(INDEX('Datos - TIMSS 2023'!$C$5:$C$105,MATCH(AA113,'Datos - TIMSS 2023'!$A$5:$A$105,0)),"Pendiente de clasificar")))</f>
        <v/>
      </c>
      <c r="AD113" s="11" t="inlineStr">
        <is>
          <t>3. Investigar, evaluar y usar información científica para tomar decisiones y actuar</t>
        </is>
      </c>
      <c r="AE113" s="11">
        <f>IF(AD113="","",IF(LEFT(AD113,1)="1","C1",IF(LEFT(AD113,1)="2","C2",IF(LEFT(AD113,1)="3","C3",""))))</f>
        <v/>
      </c>
      <c r="AF113" s="11" t="inlineStr">
        <is>
          <t>E6</t>
        </is>
      </c>
      <c r="AG113" s="11" t="inlineStr">
        <is>
          <t>D1</t>
        </is>
      </c>
      <c r="AH113" s="11" t="inlineStr">
        <is>
          <t>E2</t>
        </is>
      </c>
      <c r="AI113" s="11" t="inlineStr">
        <is>
          <t>I1</t>
        </is>
      </c>
      <c r="AJ113" s="11" t="inlineStr">
        <is>
          <t>I5</t>
        </is>
      </c>
      <c r="AK113" s="11" t="n"/>
      <c r="AL113" s="11" t="n"/>
      <c r="AM113" s="11" t="n"/>
      <c r="AN113" s="11" t="n"/>
      <c r="AO113" s="11" t="n"/>
      <c r="AP113" s="11" t="n"/>
      <c r="AQ113" s="11" t="n"/>
      <c r="AR113" s="11" t="n"/>
      <c r="AS113" s="11" t="n"/>
      <c r="AT113" s="11" t="n"/>
      <c r="AU113" s="11" t="n"/>
      <c r="AV113" s="11" t="n"/>
      <c r="AW113" s="11">
        <f>AF113&amp;"; "&amp;AG113&amp;"; "&amp;AH113&amp;"; "&amp;AI113&amp;"; "&amp;AJ113</f>
        <v/>
      </c>
    </row>
    <row r="114">
      <c r="A114" s="11" t="inlineStr">
        <is>
          <t>T0748-G03-CIE</t>
        </is>
      </c>
      <c r="B114" s="11" t="n">
        <v>3</v>
      </c>
      <c r="C114" s="11" t="inlineStr">
        <is>
          <t>Ciencias</t>
        </is>
      </c>
      <c r="D114" s="11" t="inlineStr">
        <is>
          <t>Matriz_Ciencias_3er_Grado_U1_U6.xlsx</t>
        </is>
      </c>
      <c r="E114" s="11" t="inlineStr">
        <is>
          <t>Unidad 4 - Las plantas</t>
        </is>
      </c>
      <c r="F114" s="11" t="n">
        <v>7</v>
      </c>
      <c r="G114" s="11" t="inlineStr">
        <is>
          <t>4. Las plantas.</t>
        </is>
      </c>
      <c r="H114" s="11" t="inlineStr">
        <is>
          <t>Grupos de plantas.</t>
        </is>
      </c>
      <c r="I114" s="38" t="inlineStr">
        <is>
          <t>4.5. Comparación de la anatomía de distintas plantas con semilla y sin semilla.</t>
        </is>
      </c>
      <c r="J114" s="11" t="inlineStr">
        <is>
          <t>T4_27</t>
        </is>
      </c>
      <c r="K114" s="11" t="inlineStr">
        <is>
          <t>T4_27-B1.2</t>
        </is>
      </c>
      <c r="L114" s="11" t="inlineStr"/>
      <c r="M114" s="11">
        <f>IF(K114="FUERA","Fuera del marco",IF(K114="N/A","Sin marco",IFERROR(INDEX('Datos - Catálogo TIMSS'!$C$5:$C$107,MATCH(K114,'Datos - Catálogo TIMSS'!$A$5:$A$107,0)),"Pendiente de clasificar")))</f>
        <v/>
      </c>
      <c r="N114" s="11">
        <f>IF(K114="FUERA","Fuera del marco",IF(K114="N/A","Sin marco",IFERROR(INDEX('Datos - Catálogo TIMSS'!$F$5:$F$107,MATCH(K114,'Datos - Catálogo TIMSS'!$A$5:$A$107,0)),"Pendiente de clasificar")))</f>
        <v/>
      </c>
      <c r="O114" s="11">
        <f>IF(L114="","",IFERROR(INDEX('Datos - Catálogo TIMSS'!$C$5:$C$107,MATCH(L114,'Datos - Catálogo TIMSS'!$A$5:$A$107,0)),"?"))</f>
        <v/>
      </c>
      <c r="P114" s="11" t="inlineStr">
        <is>
          <t>alta</t>
        </is>
      </c>
      <c r="Q114" s="38" t="inlineStr">
        <is>
          <t>Comparar grupos de plantas por sus rasgos físicos</t>
        </is>
      </c>
      <c r="R114" s="38" t="inlineStr">
        <is>
          <t>Aplicar: comparar</t>
        </is>
      </c>
      <c r="S114" s="39">
        <f>IFERROR(ISNUMBER(SEARCH("Conocer",$R114))/(ISNUMBER(SEARCH("Conocer",$R114))+ISNUMBER(SEARCH("Aplicar",$R114))+ISNUMBER(SEARCH("Razonar",$R114))),0)</f>
        <v/>
      </c>
      <c r="T114" s="39">
        <f>IFERROR(ISNUMBER(SEARCH("Aplicar",$R114))/(ISNUMBER(SEARCH("Conocer",$R114))+ISNUMBER(SEARCH("Aplicar",$R114))+ISNUMBER(SEARCH("Razonar",$R114))),0)</f>
        <v/>
      </c>
      <c r="U114" s="39">
        <f>IFERROR(ISNUMBER(SEARCH("Razonar",$R114))/(ISNUMBER(SEARCH("Conocer",$R114))+ISNUMBER(SEARCH("Aplicar",$R114))+ISNUMBER(SEARCH("Razonar",$R114))),0)</f>
        <v/>
      </c>
      <c r="V114" s="11" t="inlineStr">
        <is>
          <t>3°</t>
        </is>
      </c>
      <c r="W114" s="11" t="inlineStr">
        <is>
          <t>Ciclo 2°–4°</t>
        </is>
      </c>
      <c r="X114" s="11">
        <f>IF(OR(IFERROR(INDEX('Datos - Catálogo TIMSS'!$I$5:$I$107,MATCH(K114,'Datos - Catálogo TIMSS'!$A$5:$A$107,0)),"No")="Sí",IFERROR(INDEX('Datos - Catálogo TIMSS'!$I$5:$I$107,MATCH(L114,'Datos - Catálogo TIMSS'!$A$5:$A$107,0)),"No")="Sí"),1,0)</f>
        <v/>
      </c>
      <c r="Y114" s="11">
        <f>IF(IFERROR(INDEX('Datos - Catálogo TIMSS'!$J$5:$J$107,MATCH(K114,'Datos - Catálogo TIMSS'!$A$5:$A$107,0)),"No")="Sí",1,0)</f>
        <v/>
      </c>
      <c r="Z114" s="11">
        <f>IF(IFERROR(INDEX('Datos - Catálogo TIMSS'!$J$5:$J$107,MATCH(L114,'Datos - Catálogo TIMSS'!$A$5:$A$107,0)),"No")="Sí",1,0)</f>
        <v/>
      </c>
      <c r="AA114" s="11" t="inlineStr">
        <is>
          <t>T4-V1.2</t>
        </is>
      </c>
      <c r="AB114" s="11" t="inlineStr"/>
      <c r="AC114" s="11">
        <f>IF(AA114="FUERA","Fuera del marco",IF(AA114="N/A","Sin marco",IFERROR(INDEX('Datos - TIMSS 2023'!$C$5:$C$105,MATCH(AA114,'Datos - TIMSS 2023'!$A$5:$A$105,0)),"Pendiente de clasificar")))</f>
        <v/>
      </c>
      <c r="AD114" s="11" t="inlineStr">
        <is>
          <t>2. Construir y evaluar diseños para la indagación científica e interpretar datos y evidencia de forma crítica</t>
        </is>
      </c>
      <c r="AE114" s="11">
        <f>IF(AD114="","",IF(LEFT(AD114,1)="1","C1",IF(LEFT(AD114,1)="2","C2",IF(LEFT(AD114,1)="3","C3",""))))</f>
        <v/>
      </c>
      <c r="AF114" s="11" t="inlineStr">
        <is>
          <t>E1</t>
        </is>
      </c>
      <c r="AG114" s="11" t="inlineStr">
        <is>
          <t>D1</t>
        </is>
      </c>
      <c r="AH114" s="11" t="inlineStr">
        <is>
          <t>E1</t>
        </is>
      </c>
      <c r="AI114" s="11" t="inlineStr">
        <is>
          <t>D4</t>
        </is>
      </c>
      <c r="AJ114" s="11" t="inlineStr">
        <is>
          <t>E1</t>
        </is>
      </c>
      <c r="AK114" s="11" t="n"/>
      <c r="AL114" s="11" t="n"/>
      <c r="AM114" s="11" t="n"/>
      <c r="AN114" s="11" t="n"/>
      <c r="AO114" s="11" t="n"/>
      <c r="AP114" s="11" t="n"/>
      <c r="AQ114" s="11" t="n"/>
      <c r="AR114" s="11" t="n"/>
      <c r="AS114" s="11" t="n"/>
      <c r="AT114" s="11" t="n"/>
      <c r="AU114" s="11" t="n"/>
      <c r="AV114" s="11" t="n"/>
      <c r="AW114" s="11">
        <f>AF114&amp;"; "&amp;AG114&amp;"; "&amp;AH114&amp;"; "&amp;AI114&amp;"; "&amp;AJ114</f>
        <v/>
      </c>
    </row>
    <row r="115">
      <c r="A115" s="11" t="inlineStr">
        <is>
          <t>T0749-G03-CIE</t>
        </is>
      </c>
      <c r="B115" s="11" t="n">
        <v>3</v>
      </c>
      <c r="C115" s="11" t="inlineStr">
        <is>
          <t>Ciencias</t>
        </is>
      </c>
      <c r="D115" s="11" t="inlineStr">
        <is>
          <t>Matriz_Ciencias_3er_Grado_U1_U6.xlsx</t>
        </is>
      </c>
      <c r="E115" s="11" t="inlineStr">
        <is>
          <t>Unidad 4 - Las plantas</t>
        </is>
      </c>
      <c r="F115" s="11" t="n">
        <v>8</v>
      </c>
      <c r="G115" s="11" t="inlineStr">
        <is>
          <t>4. Las plantas.</t>
        </is>
      </c>
      <c r="H115" s="11" t="inlineStr">
        <is>
          <t>Grupos de plantas.</t>
        </is>
      </c>
      <c r="I115" s="38" t="inlineStr">
        <is>
          <t>4.6. Clasificación de los grupos de plantas terrestres por su anatomía.</t>
        </is>
      </c>
      <c r="J115" s="11" t="inlineStr">
        <is>
          <t>T4_27</t>
        </is>
      </c>
      <c r="K115" s="11" t="inlineStr">
        <is>
          <t>T4_27-B1.2</t>
        </is>
      </c>
      <c r="L115" s="11" t="inlineStr"/>
      <c r="M115" s="11">
        <f>IF(K115="FUERA","Fuera del marco",IF(K115="N/A","Sin marco",IFERROR(INDEX('Datos - Catálogo TIMSS'!$C$5:$C$107,MATCH(K115,'Datos - Catálogo TIMSS'!$A$5:$A$107,0)),"Pendiente de clasificar")))</f>
        <v/>
      </c>
      <c r="N115" s="11">
        <f>IF(K115="FUERA","Fuera del marco",IF(K115="N/A","Sin marco",IFERROR(INDEX('Datos - Catálogo TIMSS'!$F$5:$F$107,MATCH(K115,'Datos - Catálogo TIMSS'!$A$5:$A$107,0)),"Pendiente de clasificar")))</f>
        <v/>
      </c>
      <c r="O115" s="11">
        <f>IF(L115="","",IFERROR(INDEX('Datos - Catálogo TIMSS'!$C$5:$C$107,MATCH(L115,'Datos - Catálogo TIMSS'!$A$5:$A$107,0)),"?"))</f>
        <v/>
      </c>
      <c r="P115" s="11" t="inlineStr">
        <is>
          <t>alta</t>
        </is>
      </c>
      <c r="Q115" s="38" t="inlineStr">
        <is>
          <t>Clasificar plantas terrestres por rasgos anatómicos</t>
        </is>
      </c>
      <c r="R115" s="38" t="inlineStr">
        <is>
          <t>Aplicar: clasificar</t>
        </is>
      </c>
      <c r="S115" s="39">
        <f>IFERROR(ISNUMBER(SEARCH("Conocer",$R115))/(ISNUMBER(SEARCH("Conocer",$R115))+ISNUMBER(SEARCH("Aplicar",$R115))+ISNUMBER(SEARCH("Razonar",$R115))),0)</f>
        <v/>
      </c>
      <c r="T115" s="39">
        <f>IFERROR(ISNUMBER(SEARCH("Aplicar",$R115))/(ISNUMBER(SEARCH("Conocer",$R115))+ISNUMBER(SEARCH("Aplicar",$R115))+ISNUMBER(SEARCH("Razonar",$R115))),0)</f>
        <v/>
      </c>
      <c r="U115" s="39">
        <f>IFERROR(ISNUMBER(SEARCH("Razonar",$R115))/(ISNUMBER(SEARCH("Conocer",$R115))+ISNUMBER(SEARCH("Aplicar",$R115))+ISNUMBER(SEARCH("Razonar",$R115))),0)</f>
        <v/>
      </c>
      <c r="V115" s="11" t="inlineStr">
        <is>
          <t>3°</t>
        </is>
      </c>
      <c r="W115" s="11" t="inlineStr">
        <is>
          <t>Ciclo 2°–4°</t>
        </is>
      </c>
      <c r="X115" s="11">
        <f>IF(OR(IFERROR(INDEX('Datos - Catálogo TIMSS'!$I$5:$I$107,MATCH(K115,'Datos - Catálogo TIMSS'!$A$5:$A$107,0)),"No")="Sí",IFERROR(INDEX('Datos - Catálogo TIMSS'!$I$5:$I$107,MATCH(L115,'Datos - Catálogo TIMSS'!$A$5:$A$107,0)),"No")="Sí"),1,0)</f>
        <v/>
      </c>
      <c r="Y115" s="11">
        <f>IF(IFERROR(INDEX('Datos - Catálogo TIMSS'!$J$5:$J$107,MATCH(K115,'Datos - Catálogo TIMSS'!$A$5:$A$107,0)),"No")="Sí",1,0)</f>
        <v/>
      </c>
      <c r="Z115" s="11">
        <f>IF(IFERROR(INDEX('Datos - Catálogo TIMSS'!$J$5:$J$107,MATCH(L115,'Datos - Catálogo TIMSS'!$A$5:$A$107,0)),"No")="Sí",1,0)</f>
        <v/>
      </c>
      <c r="AA115" s="11" t="inlineStr">
        <is>
          <t>T4-V1.2</t>
        </is>
      </c>
      <c r="AB115" s="11" t="inlineStr"/>
      <c r="AC115" s="11">
        <f>IF(AA115="FUERA","Fuera del marco",IF(AA115="N/A","Sin marco",IFERROR(INDEX('Datos - TIMSS 2023'!$C$5:$C$105,MATCH(AA115,'Datos - TIMSS 2023'!$A$5:$A$105,0)),"Pendiente de clasificar")))</f>
        <v/>
      </c>
      <c r="AD115" s="11" t="inlineStr">
        <is>
          <t>2. Construir y evaluar diseños para la indagación científica e interpretar datos y evidencia de forma crítica</t>
        </is>
      </c>
      <c r="AE115" s="11">
        <f>IF(AD115="","",IF(LEFT(AD115,1)="1","C1",IF(LEFT(AD115,1)="2","C2",IF(LEFT(AD115,1)="3","C3",""))))</f>
        <v/>
      </c>
      <c r="AF115" s="11" t="inlineStr">
        <is>
          <t>E1</t>
        </is>
      </c>
      <c r="AG115" s="11" t="inlineStr">
        <is>
          <t>D1</t>
        </is>
      </c>
      <c r="AH115" s="11" t="inlineStr">
        <is>
          <t>E2</t>
        </is>
      </c>
      <c r="AI115" s="11" t="inlineStr">
        <is>
          <t>D4</t>
        </is>
      </c>
      <c r="AJ115" s="11" t="inlineStr">
        <is>
          <t>E1</t>
        </is>
      </c>
      <c r="AK115" s="11" t="n"/>
      <c r="AL115" s="11" t="n"/>
      <c r="AM115" s="11" t="n"/>
      <c r="AN115" s="11" t="n"/>
      <c r="AO115" s="11" t="n"/>
      <c r="AP115" s="11" t="n"/>
      <c r="AQ115" s="11" t="n"/>
      <c r="AR115" s="11" t="n"/>
      <c r="AS115" s="11" t="n"/>
      <c r="AT115" s="11" t="n"/>
      <c r="AU115" s="11" t="n"/>
      <c r="AV115" s="11" t="n"/>
      <c r="AW115" s="11">
        <f>AF115&amp;"; "&amp;AG115&amp;"; "&amp;AH115&amp;"; "&amp;AI115&amp;"; "&amp;AJ115</f>
        <v/>
      </c>
    </row>
    <row r="116">
      <c r="A116" s="11" t="inlineStr">
        <is>
          <t>T0750-G03-CIE</t>
        </is>
      </c>
      <c r="B116" s="11" t="n">
        <v>3</v>
      </c>
      <c r="C116" s="11" t="inlineStr">
        <is>
          <t>Ciencias</t>
        </is>
      </c>
      <c r="D116" s="11" t="inlineStr">
        <is>
          <t>Matriz_Ciencias_3er_Grado_U1_U6.xlsx</t>
        </is>
      </c>
      <c r="E116" s="11" t="inlineStr">
        <is>
          <t>Unidad 4 - Las plantas</t>
        </is>
      </c>
      <c r="F116" s="11" t="n">
        <v>9</v>
      </c>
      <c r="G116" s="11" t="inlineStr">
        <is>
          <t>4. Las plantas.</t>
        </is>
      </c>
      <c r="H116" s="11" t="inlineStr">
        <is>
          <t>Tropismos y nastias.</t>
        </is>
      </c>
      <c r="I116" s="38" t="inlineStr">
        <is>
          <t>4.7. Indagación de los conceptos de tropismo y nastia.</t>
        </is>
      </c>
      <c r="J116" s="11" t="inlineStr">
        <is>
          <t>T4_27</t>
        </is>
      </c>
      <c r="K116" s="11" t="inlineStr">
        <is>
          <t>T4_27-B1.4</t>
        </is>
      </c>
      <c r="L116" s="11" t="inlineStr"/>
      <c r="M116" s="11">
        <f>IF(K116="FUERA","Fuera del marco",IF(K116="N/A","Sin marco",IFERROR(INDEX('Datos - Catálogo TIMSS'!$C$5:$C$107,MATCH(K116,'Datos - Catálogo TIMSS'!$A$5:$A$107,0)),"Pendiente de clasificar")))</f>
        <v/>
      </c>
      <c r="N116" s="11">
        <f>IF(K116="FUERA","Fuera del marco",IF(K116="N/A","Sin marco",IFERROR(INDEX('Datos - Catálogo TIMSS'!$F$5:$F$107,MATCH(K116,'Datos - Catálogo TIMSS'!$A$5:$A$107,0)),"Pendiente de clasificar")))</f>
        <v/>
      </c>
      <c r="O116" s="11">
        <f>IF(L116="","",IFERROR(INDEX('Datos - Catálogo TIMSS'!$C$5:$C$107,MATCH(L116,'Datos - Catálogo TIMSS'!$A$5:$A$107,0)),"?"))</f>
        <v/>
      </c>
      <c r="P116" s="11" t="inlineStr">
        <is>
          <t>media</t>
        </is>
      </c>
      <c r="Q116" s="38" t="inlineStr">
        <is>
          <t>Respuesta de las plantas a estímulos externos</t>
        </is>
      </c>
      <c r="R116" s="38" t="inlineStr">
        <is>
          <t>Conocer: describir. Aplicar: clasificar</t>
        </is>
      </c>
      <c r="S116" s="39">
        <f>IFERROR(ISNUMBER(SEARCH("Conocer",$R116))/(ISNUMBER(SEARCH("Conocer",$R116))+ISNUMBER(SEARCH("Aplicar",$R116))+ISNUMBER(SEARCH("Razonar",$R116))),0)</f>
        <v/>
      </c>
      <c r="T116" s="39">
        <f>IFERROR(ISNUMBER(SEARCH("Aplicar",$R116))/(ISNUMBER(SEARCH("Conocer",$R116))+ISNUMBER(SEARCH("Aplicar",$R116))+ISNUMBER(SEARCH("Razonar",$R116))),0)</f>
        <v/>
      </c>
      <c r="U116" s="39">
        <f>IFERROR(ISNUMBER(SEARCH("Razonar",$R116))/(ISNUMBER(SEARCH("Conocer",$R116))+ISNUMBER(SEARCH("Aplicar",$R116))+ISNUMBER(SEARCH("Razonar",$R116))),0)</f>
        <v/>
      </c>
      <c r="V116" s="11" t="inlineStr">
        <is>
          <t>3°</t>
        </is>
      </c>
      <c r="W116" s="11" t="inlineStr">
        <is>
          <t>Ciclo 2°–4°</t>
        </is>
      </c>
      <c r="X116" s="11">
        <f>IF(OR(IFERROR(INDEX('Datos - Catálogo TIMSS'!$I$5:$I$107,MATCH(K116,'Datos - Catálogo TIMSS'!$A$5:$A$107,0)),"No")="Sí",IFERROR(INDEX('Datos - Catálogo TIMSS'!$I$5:$I$107,MATCH(L116,'Datos - Catálogo TIMSS'!$A$5:$A$107,0)),"No")="Sí"),1,0)</f>
        <v/>
      </c>
      <c r="Y116" s="11">
        <f>IF(IFERROR(INDEX('Datos - Catálogo TIMSS'!$J$5:$J$107,MATCH(K116,'Datos - Catálogo TIMSS'!$A$5:$A$107,0)),"No")="Sí",1,0)</f>
        <v/>
      </c>
      <c r="Z116" s="11">
        <f>IF(IFERROR(INDEX('Datos - Catálogo TIMSS'!$J$5:$J$107,MATCH(L116,'Datos - Catálogo TIMSS'!$A$5:$A$107,0)),"No")="Sí",1,0)</f>
        <v/>
      </c>
      <c r="AA116" s="11" t="inlineStr">
        <is>
          <t>T4-V3.2</t>
        </is>
      </c>
      <c r="AB116" s="11" t="inlineStr"/>
      <c r="AC116" s="11">
        <f>IF(AA116="FUERA","Fuera del marco",IF(AA116="N/A","Sin marco",IFERROR(INDEX('Datos - TIMSS 2023'!$C$5:$C$105,MATCH(AA116,'Datos - TIMSS 2023'!$A$5:$A$105,0)),"Pendiente de clasificar")))</f>
        <v/>
      </c>
      <c r="AD116" s="11" t="inlineStr">
        <is>
          <t>1. Explicar fenómenos científicamente</t>
        </is>
      </c>
      <c r="AE116" s="11">
        <f>IF(AD116="","",IF(LEFT(AD116,1)="1","C1",IF(LEFT(AD116,1)="2","C2",IF(LEFT(AD116,1)="3","C3",""))))</f>
        <v/>
      </c>
      <c r="AF116" s="11" t="inlineStr">
        <is>
          <t>E1</t>
        </is>
      </c>
      <c r="AG116" s="11" t="inlineStr">
        <is>
          <t>E5</t>
        </is>
      </c>
      <c r="AH116" s="11" t="inlineStr">
        <is>
          <t>E1</t>
        </is>
      </c>
      <c r="AI116" s="11" t="inlineStr">
        <is>
          <t>D4</t>
        </is>
      </c>
      <c r="AJ116" s="11" t="inlineStr">
        <is>
          <t>E1</t>
        </is>
      </c>
      <c r="AK116" s="11" t="n"/>
      <c r="AL116" s="11" t="n"/>
      <c r="AM116" s="11" t="n"/>
      <c r="AN116" s="11" t="n"/>
      <c r="AO116" s="11" t="n"/>
      <c r="AP116" s="11" t="n"/>
      <c r="AQ116" s="11" t="n"/>
      <c r="AR116" s="11" t="n"/>
      <c r="AS116" s="11" t="n"/>
      <c r="AT116" s="11" t="n"/>
      <c r="AU116" s="11" t="n"/>
      <c r="AV116" s="11" t="n"/>
      <c r="AW116" s="11">
        <f>AF116&amp;"; "&amp;AG116&amp;"; "&amp;AH116&amp;"; "&amp;AI116&amp;"; "&amp;AJ116</f>
        <v/>
      </c>
    </row>
    <row r="117">
      <c r="A117" s="11" t="inlineStr">
        <is>
          <t>T0751-G03-CIE</t>
        </is>
      </c>
      <c r="B117" s="11" t="n">
        <v>3</v>
      </c>
      <c r="C117" s="11" t="inlineStr">
        <is>
          <t>Ciencias</t>
        </is>
      </c>
      <c r="D117" s="11" t="inlineStr">
        <is>
          <t>Matriz_Ciencias_3er_Grado_U1_U6.xlsx</t>
        </is>
      </c>
      <c r="E117" s="11" t="inlineStr">
        <is>
          <t>Unidad 4 - Las plantas</t>
        </is>
      </c>
      <c r="F117" s="11" t="n">
        <v>10</v>
      </c>
      <c r="G117" s="11" t="inlineStr">
        <is>
          <t>4. Las plantas.</t>
        </is>
      </c>
      <c r="H117" s="11" t="inlineStr">
        <is>
          <t>Tropismos y nastias.</t>
        </is>
      </c>
      <c r="I117" s="38" t="inlineStr">
        <is>
          <t>4.8. Experimentación con tropismos.</t>
        </is>
      </c>
      <c r="J117" s="11" t="inlineStr">
        <is>
          <t>T4_27</t>
        </is>
      </c>
      <c r="K117" s="11" t="inlineStr">
        <is>
          <t>T4_27-B1.4</t>
        </is>
      </c>
      <c r="L117" s="11" t="inlineStr">
        <is>
          <t>T4_27-B6.1</t>
        </is>
      </c>
      <c r="M117" s="11">
        <f>IF(K117="FUERA","Fuera del marco",IF(K117="N/A","Sin marco",IFERROR(INDEX('Datos - Catálogo TIMSS'!$C$5:$C$107,MATCH(K117,'Datos - Catálogo TIMSS'!$A$5:$A$107,0)),"Pendiente de clasificar")))</f>
        <v/>
      </c>
      <c r="N117" s="11">
        <f>IF(K117="FUERA","Fuera del marco",IF(K117="N/A","Sin marco",IFERROR(INDEX('Datos - Catálogo TIMSS'!$F$5:$F$107,MATCH(K117,'Datos - Catálogo TIMSS'!$A$5:$A$107,0)),"Pendiente de clasificar")))</f>
        <v/>
      </c>
      <c r="O117" s="11">
        <f>IF(L117="","",IFERROR(INDEX('Datos - Catálogo TIMSS'!$C$5:$C$107,MATCH(L117,'Datos - Catálogo TIMSS'!$A$5:$A$107,0)),"?"))</f>
        <v/>
      </c>
      <c r="P117" s="11" t="inlineStr">
        <is>
          <t>media</t>
        </is>
      </c>
      <c r="Q117" s="38" t="inlineStr">
        <is>
          <t>Respuesta de plantas a estímulos mediante experimento con registro</t>
        </is>
      </c>
      <c r="R117" s="38" t="inlineStr">
        <is>
          <t>Razonar: diseñar una investigación y predecir</t>
        </is>
      </c>
      <c r="S117" s="39">
        <f>IFERROR(ISNUMBER(SEARCH("Conocer",$R117))/(ISNUMBER(SEARCH("Conocer",$R117))+ISNUMBER(SEARCH("Aplicar",$R117))+ISNUMBER(SEARCH("Razonar",$R117))),0)</f>
        <v/>
      </c>
      <c r="T117" s="39">
        <f>IFERROR(ISNUMBER(SEARCH("Aplicar",$R117))/(ISNUMBER(SEARCH("Conocer",$R117))+ISNUMBER(SEARCH("Aplicar",$R117))+ISNUMBER(SEARCH("Razonar",$R117))),0)</f>
        <v/>
      </c>
      <c r="U117" s="39">
        <f>IFERROR(ISNUMBER(SEARCH("Razonar",$R117))/(ISNUMBER(SEARCH("Conocer",$R117))+ISNUMBER(SEARCH("Aplicar",$R117))+ISNUMBER(SEARCH("Razonar",$R117))),0)</f>
        <v/>
      </c>
      <c r="V117" s="11" t="inlineStr">
        <is>
          <t>3°</t>
        </is>
      </c>
      <c r="W117" s="11" t="inlineStr">
        <is>
          <t>Ciclo 2°–4°</t>
        </is>
      </c>
      <c r="X117" s="11">
        <f>IF(OR(IFERROR(INDEX('Datos - Catálogo TIMSS'!$I$5:$I$107,MATCH(K117,'Datos - Catálogo TIMSS'!$A$5:$A$107,0)),"No")="Sí",IFERROR(INDEX('Datos - Catálogo TIMSS'!$I$5:$I$107,MATCH(L117,'Datos - Catálogo TIMSS'!$A$5:$A$107,0)),"No")="Sí"),1,0)</f>
        <v/>
      </c>
      <c r="Y117" s="11">
        <f>IF(IFERROR(INDEX('Datos - Catálogo TIMSS'!$J$5:$J$107,MATCH(K117,'Datos - Catálogo TIMSS'!$A$5:$A$107,0)),"No")="Sí",1,0)</f>
        <v/>
      </c>
      <c r="Z117" s="11">
        <f>IF(IFERROR(INDEX('Datos - Catálogo TIMSS'!$J$5:$J$107,MATCH(L117,'Datos - Catálogo TIMSS'!$A$5:$A$107,0)),"No")="Sí",1,0)</f>
        <v/>
      </c>
      <c r="AA117" s="11" t="inlineStr">
        <is>
          <t>T4-V3.2</t>
        </is>
      </c>
      <c r="AB117" s="11" t="inlineStr"/>
      <c r="AC117" s="11">
        <f>IF(AA117="FUERA","Fuera del marco",IF(AA117="N/A","Sin marco",IFERROR(INDEX('Datos - TIMSS 2023'!$C$5:$C$105,MATCH(AA117,'Datos - TIMSS 2023'!$A$5:$A$105,0)),"Pendiente de clasificar")))</f>
        <v/>
      </c>
      <c r="AD117" s="11" t="inlineStr">
        <is>
          <t>2. Construir y evaluar diseños para la indagación científica e interpretar datos y evidencia de forma crítica</t>
        </is>
      </c>
      <c r="AE117" s="11">
        <f>IF(AD117="","",IF(LEFT(AD117,1)="1","C1",IF(LEFT(AD117,1)="2","C2",IF(LEFT(AD117,1)="3","C3",""))))</f>
        <v/>
      </c>
      <c r="AF117" s="11" t="inlineStr">
        <is>
          <t>E1</t>
        </is>
      </c>
      <c r="AG117" s="11" t="inlineStr">
        <is>
          <t>E3</t>
        </is>
      </c>
      <c r="AH117" s="11" t="inlineStr">
        <is>
          <t>E1</t>
        </is>
      </c>
      <c r="AI117" s="11" t="inlineStr">
        <is>
          <t>D3</t>
        </is>
      </c>
      <c r="AJ117" s="11" t="inlineStr">
        <is>
          <t>E3</t>
        </is>
      </c>
      <c r="AK117" s="11" t="n"/>
      <c r="AL117" s="11" t="n"/>
      <c r="AM117" s="11" t="n"/>
      <c r="AN117" s="11" t="n"/>
      <c r="AO117" s="11" t="n"/>
      <c r="AP117" s="11" t="n"/>
      <c r="AQ117" s="11" t="n"/>
      <c r="AR117" s="11" t="n"/>
      <c r="AS117" s="11" t="n"/>
      <c r="AT117" s="11" t="n"/>
      <c r="AU117" s="11" t="n"/>
      <c r="AV117" s="11" t="n"/>
      <c r="AW117" s="11">
        <f>AF117&amp;"; "&amp;AG117&amp;"; "&amp;AH117&amp;"; "&amp;AI117&amp;"; "&amp;AJ117</f>
        <v/>
      </c>
    </row>
    <row r="118">
      <c r="A118" s="11" t="inlineStr">
        <is>
          <t>T0752-G03-CIE</t>
        </is>
      </c>
      <c r="B118" s="11" t="n">
        <v>3</v>
      </c>
      <c r="C118" s="11" t="inlineStr">
        <is>
          <t>Ciencias</t>
        </is>
      </c>
      <c r="D118" s="11" t="inlineStr">
        <is>
          <t>Matriz_Ciencias_3er_Grado_U1_U6.xlsx</t>
        </is>
      </c>
      <c r="E118" s="11" t="inlineStr">
        <is>
          <t>Unidad 4 - Las plantas</t>
        </is>
      </c>
      <c r="F118" s="11" t="n">
        <v>11</v>
      </c>
      <c r="G118" s="11" t="inlineStr">
        <is>
          <t>4. Las plantas.</t>
        </is>
      </c>
      <c r="H118" s="11" t="inlineStr">
        <is>
          <t>Tropismos y nastias.</t>
        </is>
      </c>
      <c r="I118" s="38" t="inlineStr">
        <is>
          <t>4.9. Experimentación con nastias.</t>
        </is>
      </c>
      <c r="J118" s="11" t="inlineStr">
        <is>
          <t>T4_27</t>
        </is>
      </c>
      <c r="K118" s="11" t="inlineStr">
        <is>
          <t>T4_27-B1.4</t>
        </is>
      </c>
      <c r="L118" s="11" t="inlineStr">
        <is>
          <t>T4_27-B6.1</t>
        </is>
      </c>
      <c r="M118" s="11">
        <f>IF(K118="FUERA","Fuera del marco",IF(K118="N/A","Sin marco",IFERROR(INDEX('Datos - Catálogo TIMSS'!$C$5:$C$107,MATCH(K118,'Datos - Catálogo TIMSS'!$A$5:$A$107,0)),"Pendiente de clasificar")))</f>
        <v/>
      </c>
      <c r="N118" s="11">
        <f>IF(K118="FUERA","Fuera del marco",IF(K118="N/A","Sin marco",IFERROR(INDEX('Datos - Catálogo TIMSS'!$F$5:$F$107,MATCH(K118,'Datos - Catálogo TIMSS'!$A$5:$A$107,0)),"Pendiente de clasificar")))</f>
        <v/>
      </c>
      <c r="O118" s="11">
        <f>IF(L118="","",IFERROR(INDEX('Datos - Catálogo TIMSS'!$C$5:$C$107,MATCH(L118,'Datos - Catálogo TIMSS'!$A$5:$A$107,0)),"?"))</f>
        <v/>
      </c>
      <c r="P118" s="11" t="inlineStr">
        <is>
          <t>media</t>
        </is>
      </c>
      <c r="Q118" s="38" t="inlineStr">
        <is>
          <t>Respuesta de plantas a estímulos; registro de tiempos</t>
        </is>
      </c>
      <c r="R118" s="38" t="inlineStr">
        <is>
          <t>Aplicar: medir. Razonar: interpretar datos</t>
        </is>
      </c>
      <c r="S118" s="39">
        <f>IFERROR(ISNUMBER(SEARCH("Conocer",$R118))/(ISNUMBER(SEARCH("Conocer",$R118))+ISNUMBER(SEARCH("Aplicar",$R118))+ISNUMBER(SEARCH("Razonar",$R118))),0)</f>
        <v/>
      </c>
      <c r="T118" s="39">
        <f>IFERROR(ISNUMBER(SEARCH("Aplicar",$R118))/(ISNUMBER(SEARCH("Conocer",$R118))+ISNUMBER(SEARCH("Aplicar",$R118))+ISNUMBER(SEARCH("Razonar",$R118))),0)</f>
        <v/>
      </c>
      <c r="U118" s="39">
        <f>IFERROR(ISNUMBER(SEARCH("Razonar",$R118))/(ISNUMBER(SEARCH("Conocer",$R118))+ISNUMBER(SEARCH("Aplicar",$R118))+ISNUMBER(SEARCH("Razonar",$R118))),0)</f>
        <v/>
      </c>
      <c r="V118" s="11" t="inlineStr">
        <is>
          <t>3°</t>
        </is>
      </c>
      <c r="W118" s="11" t="inlineStr">
        <is>
          <t>Ciclo 2°–4°</t>
        </is>
      </c>
      <c r="X118" s="11">
        <f>IF(OR(IFERROR(INDEX('Datos - Catálogo TIMSS'!$I$5:$I$107,MATCH(K118,'Datos - Catálogo TIMSS'!$A$5:$A$107,0)),"No")="Sí",IFERROR(INDEX('Datos - Catálogo TIMSS'!$I$5:$I$107,MATCH(L118,'Datos - Catálogo TIMSS'!$A$5:$A$107,0)),"No")="Sí"),1,0)</f>
        <v/>
      </c>
      <c r="Y118" s="11">
        <f>IF(IFERROR(INDEX('Datos - Catálogo TIMSS'!$J$5:$J$107,MATCH(K118,'Datos - Catálogo TIMSS'!$A$5:$A$107,0)),"No")="Sí",1,0)</f>
        <v/>
      </c>
      <c r="Z118" s="11">
        <f>IF(IFERROR(INDEX('Datos - Catálogo TIMSS'!$J$5:$J$107,MATCH(L118,'Datos - Catálogo TIMSS'!$A$5:$A$107,0)),"No")="Sí",1,0)</f>
        <v/>
      </c>
      <c r="AA118" s="11" t="inlineStr">
        <is>
          <t>T4-V3.2</t>
        </is>
      </c>
      <c r="AB118" s="11" t="inlineStr"/>
      <c r="AC118" s="11">
        <f>IF(AA118="FUERA","Fuera del marco",IF(AA118="N/A","Sin marco",IFERROR(INDEX('Datos - TIMSS 2023'!$C$5:$C$105,MATCH(AA118,'Datos - TIMSS 2023'!$A$5:$A$105,0)),"Pendiente de clasificar")))</f>
        <v/>
      </c>
      <c r="AD118" s="11" t="inlineStr">
        <is>
          <t>2. Construir y evaluar diseños para la indagación científica e interpretar datos y evidencia de forma crítica</t>
        </is>
      </c>
      <c r="AE118" s="11">
        <f>IF(AD118="","",IF(LEFT(AD118,1)="1","C1",IF(LEFT(AD118,1)="2","C2",IF(LEFT(AD118,1)="3","C3",""))))</f>
        <v/>
      </c>
      <c r="AF118" s="11" t="inlineStr">
        <is>
          <t>E1</t>
        </is>
      </c>
      <c r="AG118" s="11" t="inlineStr">
        <is>
          <t>E3</t>
        </is>
      </c>
      <c r="AH118" s="11" t="inlineStr">
        <is>
          <t>E1</t>
        </is>
      </c>
      <c r="AI118" s="11" t="inlineStr">
        <is>
          <t>D4</t>
        </is>
      </c>
      <c r="AJ118" s="11" t="inlineStr">
        <is>
          <t>E6</t>
        </is>
      </c>
      <c r="AK118" s="11" t="n"/>
      <c r="AL118" s="11" t="n"/>
      <c r="AM118" s="11" t="n"/>
      <c r="AN118" s="11" t="n"/>
      <c r="AO118" s="11" t="n"/>
      <c r="AP118" s="11" t="n"/>
      <c r="AQ118" s="11" t="n"/>
      <c r="AR118" s="11" t="n"/>
      <c r="AS118" s="11" t="n"/>
      <c r="AT118" s="11" t="n"/>
      <c r="AU118" s="11" t="n"/>
      <c r="AV118" s="11" t="n"/>
      <c r="AW118" s="11">
        <f>AF118&amp;"; "&amp;AG118&amp;"; "&amp;AH118&amp;"; "&amp;AI118&amp;"; "&amp;AJ118</f>
        <v/>
      </c>
    </row>
    <row r="119">
      <c r="A119" s="11" t="inlineStr">
        <is>
          <t>T0753-G03-CIE</t>
        </is>
      </c>
      <c r="B119" s="11" t="n">
        <v>3</v>
      </c>
      <c r="C119" s="11" t="inlineStr">
        <is>
          <t>Ciencias</t>
        </is>
      </c>
      <c r="D119" s="11" t="inlineStr">
        <is>
          <t>Matriz_Ciencias_3er_Grado_U1_U6.xlsx</t>
        </is>
      </c>
      <c r="E119" s="11" t="inlineStr">
        <is>
          <t>Unidad 5 - Los animales</t>
        </is>
      </c>
      <c r="F119" s="11" t="n">
        <v>3</v>
      </c>
      <c r="G119" s="11" t="inlineStr">
        <is>
          <t>5. Los animales.</t>
        </is>
      </c>
      <c r="H119" s="11" t="inlineStr">
        <is>
          <t>Características de los animales.</t>
        </is>
      </c>
      <c r="I119" s="38" t="inlineStr">
        <is>
          <t>5.1. Indagación sobre planos de simetría corporal en animales.</t>
        </is>
      </c>
      <c r="J119" s="11" t="inlineStr">
        <is>
          <t>T4_27</t>
        </is>
      </c>
      <c r="K119" s="11" t="inlineStr">
        <is>
          <t>T4_27-B1.2</t>
        </is>
      </c>
      <c r="L119" s="11" t="inlineStr"/>
      <c r="M119" s="11">
        <f>IF(K119="FUERA","Fuera del marco",IF(K119="N/A","Sin marco",IFERROR(INDEX('Datos - Catálogo TIMSS'!$C$5:$C$107,MATCH(K119,'Datos - Catálogo TIMSS'!$A$5:$A$107,0)),"Pendiente de clasificar")))</f>
        <v/>
      </c>
      <c r="N119" s="11">
        <f>IF(K119="FUERA","Fuera del marco",IF(K119="N/A","Sin marco",IFERROR(INDEX('Datos - Catálogo TIMSS'!$F$5:$F$107,MATCH(K119,'Datos - Catálogo TIMSS'!$A$5:$A$107,0)),"Pendiente de clasificar")))</f>
        <v/>
      </c>
      <c r="O119" s="11">
        <f>IF(L119="","",IFERROR(INDEX('Datos - Catálogo TIMSS'!$C$5:$C$107,MATCH(L119,'Datos - Catálogo TIMSS'!$A$5:$A$107,0)),"?"))</f>
        <v/>
      </c>
      <c r="P119" s="11" t="inlineStr">
        <is>
          <t>media</t>
        </is>
      </c>
      <c r="Q119" s="38" t="inlineStr">
        <is>
          <t>Simetría corporal como rasgo físico para clasificar animales</t>
        </is>
      </c>
      <c r="R119" s="38" t="inlineStr">
        <is>
          <t>Aplicar: clasificar según características</t>
        </is>
      </c>
      <c r="S119" s="39">
        <f>IFERROR(ISNUMBER(SEARCH("Conocer",$R119))/(ISNUMBER(SEARCH("Conocer",$R119))+ISNUMBER(SEARCH("Aplicar",$R119))+ISNUMBER(SEARCH("Razonar",$R119))),0)</f>
        <v/>
      </c>
      <c r="T119" s="39">
        <f>IFERROR(ISNUMBER(SEARCH("Aplicar",$R119))/(ISNUMBER(SEARCH("Conocer",$R119))+ISNUMBER(SEARCH("Aplicar",$R119))+ISNUMBER(SEARCH("Razonar",$R119))),0)</f>
        <v/>
      </c>
      <c r="U119" s="39">
        <f>IFERROR(ISNUMBER(SEARCH("Razonar",$R119))/(ISNUMBER(SEARCH("Conocer",$R119))+ISNUMBER(SEARCH("Aplicar",$R119))+ISNUMBER(SEARCH("Razonar",$R119))),0)</f>
        <v/>
      </c>
      <c r="V119" s="11" t="inlineStr">
        <is>
          <t>3°</t>
        </is>
      </c>
      <c r="W119" s="11" t="inlineStr">
        <is>
          <t>Ciclo 2°–4°</t>
        </is>
      </c>
      <c r="X119" s="11">
        <f>IF(OR(IFERROR(INDEX('Datos - Catálogo TIMSS'!$I$5:$I$107,MATCH(K119,'Datos - Catálogo TIMSS'!$A$5:$A$107,0)),"No")="Sí",IFERROR(INDEX('Datos - Catálogo TIMSS'!$I$5:$I$107,MATCH(L119,'Datos - Catálogo TIMSS'!$A$5:$A$107,0)),"No")="Sí"),1,0)</f>
        <v/>
      </c>
      <c r="Y119" s="11">
        <f>IF(IFERROR(INDEX('Datos - Catálogo TIMSS'!$J$5:$J$107,MATCH(K119,'Datos - Catálogo TIMSS'!$A$5:$A$107,0)),"No")="Sí",1,0)</f>
        <v/>
      </c>
      <c r="Z119" s="11">
        <f>IF(IFERROR(INDEX('Datos - Catálogo TIMSS'!$J$5:$J$107,MATCH(L119,'Datos - Catálogo TIMSS'!$A$5:$A$107,0)),"No")="Sí",1,0)</f>
        <v/>
      </c>
      <c r="AA119" s="11" t="inlineStr">
        <is>
          <t>T4-V1.2</t>
        </is>
      </c>
      <c r="AB119" s="11" t="inlineStr"/>
      <c r="AC119" s="11">
        <f>IF(AA119="FUERA","Fuera del marco",IF(AA119="N/A","Sin marco",IFERROR(INDEX('Datos - TIMSS 2023'!$C$5:$C$105,MATCH(AA119,'Datos - TIMSS 2023'!$A$5:$A$105,0)),"Pendiente de clasificar")))</f>
        <v/>
      </c>
      <c r="AD119" s="11" t="inlineStr">
        <is>
          <t>2. Construir y evaluar diseños para la indagación científica e interpretar datos y evidencia de forma crítica</t>
        </is>
      </c>
      <c r="AE119" s="11">
        <f>IF(AD119="","",IF(LEFT(AD119,1)="1","C1",IF(LEFT(AD119,1)="2","C2",IF(LEFT(AD119,1)="3","C3",""))))</f>
        <v/>
      </c>
      <c r="AF119" s="11" t="inlineStr">
        <is>
          <t>E1</t>
        </is>
      </c>
      <c r="AG119" s="11" t="inlineStr">
        <is>
          <t>D1</t>
        </is>
      </c>
      <c r="AH119" s="11" t="inlineStr">
        <is>
          <t>E1</t>
        </is>
      </c>
      <c r="AI119" s="11" t="inlineStr">
        <is>
          <t>D4</t>
        </is>
      </c>
      <c r="AJ119" s="11" t="inlineStr">
        <is>
          <t>E1</t>
        </is>
      </c>
      <c r="AK119" s="11" t="n"/>
      <c r="AL119" s="11" t="n"/>
      <c r="AM119" s="11" t="n"/>
      <c r="AN119" s="11" t="n"/>
      <c r="AO119" s="11" t="n"/>
      <c r="AP119" s="11" t="n"/>
      <c r="AQ119" s="11" t="n"/>
      <c r="AR119" s="11" t="n"/>
      <c r="AS119" s="11" t="n"/>
      <c r="AT119" s="11" t="n"/>
      <c r="AU119" s="11" t="n"/>
      <c r="AV119" s="11" t="n"/>
      <c r="AW119" s="11">
        <f>AF119&amp;"; "&amp;AG119&amp;"; "&amp;AH119&amp;"; "&amp;AI119&amp;"; "&amp;AJ119</f>
        <v/>
      </c>
    </row>
    <row r="120">
      <c r="A120" s="11" t="inlineStr">
        <is>
          <t>T0754-G03-CIE</t>
        </is>
      </c>
      <c r="B120" s="11" t="n">
        <v>3</v>
      </c>
      <c r="C120" s="11" t="inlineStr">
        <is>
          <t>Ciencias</t>
        </is>
      </c>
      <c r="D120" s="11" t="inlineStr">
        <is>
          <t>Matriz_Ciencias_3er_Grado_U1_U6.xlsx</t>
        </is>
      </c>
      <c r="E120" s="11" t="inlineStr">
        <is>
          <t>Unidad 5 - Los animales</t>
        </is>
      </c>
      <c r="F120" s="11" t="n">
        <v>4</v>
      </c>
      <c r="G120" s="11" t="inlineStr">
        <is>
          <t>5. Los animales.</t>
        </is>
      </c>
      <c r="H120" s="11" t="inlineStr">
        <is>
          <t>Características de los animales.</t>
        </is>
      </c>
      <c r="I120" s="38" t="inlineStr">
        <is>
          <t>5.2. Reconocimiento de etapas de desarrollo en los animales.</t>
        </is>
      </c>
      <c r="J120" s="11" t="inlineStr">
        <is>
          <t>T4_27</t>
        </is>
      </c>
      <c r="K120" s="11" t="inlineStr">
        <is>
          <t>T4_27-B2.1</t>
        </is>
      </c>
      <c r="L120" s="11" t="inlineStr"/>
      <c r="M120" s="11">
        <f>IF(K120="FUERA","Fuera del marco",IF(K120="N/A","Sin marco",IFERROR(INDEX('Datos - Catálogo TIMSS'!$C$5:$C$107,MATCH(K120,'Datos - Catálogo TIMSS'!$A$5:$A$107,0)),"Pendiente de clasificar")))</f>
        <v/>
      </c>
      <c r="N120" s="11">
        <f>IF(K120="FUERA","Fuera del marco",IF(K120="N/A","Sin marco",IFERROR(INDEX('Datos - Catálogo TIMSS'!$F$5:$F$107,MATCH(K120,'Datos - Catálogo TIMSS'!$A$5:$A$107,0)),"Pendiente de clasificar")))</f>
        <v/>
      </c>
      <c r="O120" s="11">
        <f>IF(L120="","",IFERROR(INDEX('Datos - Catálogo TIMSS'!$C$5:$C$107,MATCH(L120,'Datos - Catálogo TIMSS'!$A$5:$A$107,0)),"?"))</f>
        <v/>
      </c>
      <c r="P120" s="11" t="inlineStr">
        <is>
          <t>alta</t>
        </is>
      </c>
      <c r="Q120" s="38" t="inlineStr">
        <is>
          <t>Etapas de ciclos de vida de animales; comparación</t>
        </is>
      </c>
      <c r="R120" s="38" t="inlineStr">
        <is>
          <t>Conocer: describir ciclos de vida</t>
        </is>
      </c>
      <c r="S120" s="39">
        <f>IFERROR(ISNUMBER(SEARCH("Conocer",$R120))/(ISNUMBER(SEARCH("Conocer",$R120))+ISNUMBER(SEARCH("Aplicar",$R120))+ISNUMBER(SEARCH("Razonar",$R120))),0)</f>
        <v/>
      </c>
      <c r="T120" s="39">
        <f>IFERROR(ISNUMBER(SEARCH("Aplicar",$R120))/(ISNUMBER(SEARCH("Conocer",$R120))+ISNUMBER(SEARCH("Aplicar",$R120))+ISNUMBER(SEARCH("Razonar",$R120))),0)</f>
        <v/>
      </c>
      <c r="U120" s="39">
        <f>IFERROR(ISNUMBER(SEARCH("Razonar",$R120))/(ISNUMBER(SEARCH("Conocer",$R120))+ISNUMBER(SEARCH("Aplicar",$R120))+ISNUMBER(SEARCH("Razonar",$R120))),0)</f>
        <v/>
      </c>
      <c r="V120" s="11" t="inlineStr">
        <is>
          <t>3°</t>
        </is>
      </c>
      <c r="W120" s="11" t="inlineStr">
        <is>
          <t>Ciclo 2°–4°</t>
        </is>
      </c>
      <c r="X120" s="11">
        <f>IF(OR(IFERROR(INDEX('Datos - Catálogo TIMSS'!$I$5:$I$107,MATCH(K120,'Datos - Catálogo TIMSS'!$A$5:$A$107,0)),"No")="Sí",IFERROR(INDEX('Datos - Catálogo TIMSS'!$I$5:$I$107,MATCH(L120,'Datos - Catálogo TIMSS'!$A$5:$A$107,0)),"No")="Sí"),1,0)</f>
        <v/>
      </c>
      <c r="Y120" s="11">
        <f>IF(IFERROR(INDEX('Datos - Catálogo TIMSS'!$J$5:$J$107,MATCH(K120,'Datos - Catálogo TIMSS'!$A$5:$A$107,0)),"No")="Sí",1,0)</f>
        <v/>
      </c>
      <c r="Z120" s="11">
        <f>IF(IFERROR(INDEX('Datos - Catálogo TIMSS'!$J$5:$J$107,MATCH(L120,'Datos - Catálogo TIMSS'!$A$5:$A$107,0)),"No")="Sí",1,0)</f>
        <v/>
      </c>
      <c r="AA120" s="11" t="inlineStr">
        <is>
          <t>T4-V2.1</t>
        </is>
      </c>
      <c r="AB120" s="11" t="inlineStr"/>
      <c r="AC120" s="11">
        <f>IF(AA120="FUERA","Fuera del marco",IF(AA120="N/A","Sin marco",IFERROR(INDEX('Datos - TIMSS 2023'!$C$5:$C$105,MATCH(AA120,'Datos - TIMSS 2023'!$A$5:$A$105,0)),"Pendiente de clasificar")))</f>
        <v/>
      </c>
      <c r="AD120" s="11" t="inlineStr">
        <is>
          <t>1. Explicar fenómenos científicamente</t>
        </is>
      </c>
      <c r="AE120" s="11">
        <f>IF(AD120="","",IF(LEFT(AD120,1)="1","C1",IF(LEFT(AD120,1)="2","C2",IF(LEFT(AD120,1)="3","C3",""))))</f>
        <v/>
      </c>
      <c r="AF120" s="11" t="inlineStr">
        <is>
          <t>E1</t>
        </is>
      </c>
      <c r="AG120" s="11" t="inlineStr">
        <is>
          <t>D1</t>
        </is>
      </c>
      <c r="AH120" s="11" t="inlineStr">
        <is>
          <t>E2</t>
        </is>
      </c>
      <c r="AI120" s="11" t="inlineStr">
        <is>
          <t>D4</t>
        </is>
      </c>
      <c r="AJ120" s="11" t="inlineStr">
        <is>
          <t>E1</t>
        </is>
      </c>
      <c r="AK120" s="11" t="n"/>
      <c r="AL120" s="11" t="n"/>
      <c r="AM120" s="11" t="n"/>
      <c r="AN120" s="11" t="n"/>
      <c r="AO120" s="11" t="n"/>
      <c r="AP120" s="11" t="n"/>
      <c r="AQ120" s="11" t="n"/>
      <c r="AR120" s="11" t="n"/>
      <c r="AS120" s="11" t="n"/>
      <c r="AT120" s="11" t="n"/>
      <c r="AU120" s="11" t="n"/>
      <c r="AV120" s="11" t="n"/>
      <c r="AW120" s="11">
        <f>AF120&amp;"; "&amp;AG120&amp;"; "&amp;AH120&amp;"; "&amp;AI120&amp;"; "&amp;AJ120</f>
        <v/>
      </c>
    </row>
    <row r="121">
      <c r="A121" s="11" t="inlineStr">
        <is>
          <t>T0755-G03-CIE</t>
        </is>
      </c>
      <c r="B121" s="11" t="n">
        <v>3</v>
      </c>
      <c r="C121" s="11" t="inlineStr">
        <is>
          <t>Ciencias</t>
        </is>
      </c>
      <c r="D121" s="11" t="inlineStr">
        <is>
          <t>Matriz_Ciencias_3er_Grado_U1_U6.xlsx</t>
        </is>
      </c>
      <c r="E121" s="11" t="inlineStr">
        <is>
          <t>Unidad 5 - Los animales</t>
        </is>
      </c>
      <c r="F121" s="11" t="n">
        <v>5</v>
      </c>
      <c r="G121" s="11" t="inlineStr">
        <is>
          <t>5. Los animales.</t>
        </is>
      </c>
      <c r="H121" s="11" t="inlineStr">
        <is>
          <t>Características de los animales.</t>
        </is>
      </c>
      <c r="I121" s="38" t="inlineStr">
        <is>
          <t>5.3. Observación y registro de taxismos.</t>
        </is>
      </c>
      <c r="J121" s="11" t="inlineStr">
        <is>
          <t>T4_27</t>
        </is>
      </c>
      <c r="K121" s="11" t="inlineStr">
        <is>
          <t>T4_27-B1.4</t>
        </is>
      </c>
      <c r="L121" s="11" t="inlineStr">
        <is>
          <t>T4_27-B6.1</t>
        </is>
      </c>
      <c r="M121" s="11">
        <f>IF(K121="FUERA","Fuera del marco",IF(K121="N/A","Sin marco",IFERROR(INDEX('Datos - Catálogo TIMSS'!$C$5:$C$107,MATCH(K121,'Datos - Catálogo TIMSS'!$A$5:$A$107,0)),"Pendiente de clasificar")))</f>
        <v/>
      </c>
      <c r="N121" s="11">
        <f>IF(K121="FUERA","Fuera del marco",IF(K121="N/A","Sin marco",IFERROR(INDEX('Datos - Catálogo TIMSS'!$F$5:$F$107,MATCH(K121,'Datos - Catálogo TIMSS'!$A$5:$A$107,0)),"Pendiente de clasificar")))</f>
        <v/>
      </c>
      <c r="O121" s="11">
        <f>IF(L121="","",IFERROR(INDEX('Datos - Catálogo TIMSS'!$C$5:$C$107,MATCH(L121,'Datos - Catálogo TIMSS'!$A$5:$A$107,0)),"?"))</f>
        <v/>
      </c>
      <c r="P121" s="11" t="inlineStr">
        <is>
          <t>alta</t>
        </is>
      </c>
      <c r="Q121" s="38" t="inlineStr">
        <is>
          <t>Respuesta animal a cambios externos; conteo y conclusión</t>
        </is>
      </c>
      <c r="R121" s="38" t="inlineStr">
        <is>
          <t>Razonar: comprobar predicciones e interpretar datos</t>
        </is>
      </c>
      <c r="S121" s="39">
        <f>IFERROR(ISNUMBER(SEARCH("Conocer",$R121))/(ISNUMBER(SEARCH("Conocer",$R121))+ISNUMBER(SEARCH("Aplicar",$R121))+ISNUMBER(SEARCH("Razonar",$R121))),0)</f>
        <v/>
      </c>
      <c r="T121" s="39">
        <f>IFERROR(ISNUMBER(SEARCH("Aplicar",$R121))/(ISNUMBER(SEARCH("Conocer",$R121))+ISNUMBER(SEARCH("Aplicar",$R121))+ISNUMBER(SEARCH("Razonar",$R121))),0)</f>
        <v/>
      </c>
      <c r="U121" s="39">
        <f>IFERROR(ISNUMBER(SEARCH("Razonar",$R121))/(ISNUMBER(SEARCH("Conocer",$R121))+ISNUMBER(SEARCH("Aplicar",$R121))+ISNUMBER(SEARCH("Razonar",$R121))),0)</f>
        <v/>
      </c>
      <c r="V121" s="11" t="inlineStr">
        <is>
          <t>3°</t>
        </is>
      </c>
      <c r="W121" s="11" t="inlineStr">
        <is>
          <t>Ciclo 2°–4°</t>
        </is>
      </c>
      <c r="X121" s="11">
        <f>IF(OR(IFERROR(INDEX('Datos - Catálogo TIMSS'!$I$5:$I$107,MATCH(K121,'Datos - Catálogo TIMSS'!$A$5:$A$107,0)),"No")="Sí",IFERROR(INDEX('Datos - Catálogo TIMSS'!$I$5:$I$107,MATCH(L121,'Datos - Catálogo TIMSS'!$A$5:$A$107,0)),"No")="Sí"),1,0)</f>
        <v/>
      </c>
      <c r="Y121" s="11">
        <f>IF(IFERROR(INDEX('Datos - Catálogo TIMSS'!$J$5:$J$107,MATCH(K121,'Datos - Catálogo TIMSS'!$A$5:$A$107,0)),"No")="Sí",1,0)</f>
        <v/>
      </c>
      <c r="Z121" s="11">
        <f>IF(IFERROR(INDEX('Datos - Catálogo TIMSS'!$J$5:$J$107,MATCH(L121,'Datos - Catálogo TIMSS'!$A$5:$A$107,0)),"No")="Sí",1,0)</f>
        <v/>
      </c>
      <c r="AA121" s="11" t="inlineStr">
        <is>
          <t>T4-V3.2</t>
        </is>
      </c>
      <c r="AB121" s="11" t="inlineStr"/>
      <c r="AC121" s="11">
        <f>IF(AA121="FUERA","Fuera del marco",IF(AA121="N/A","Sin marco",IFERROR(INDEX('Datos - TIMSS 2023'!$C$5:$C$105,MATCH(AA121,'Datos - TIMSS 2023'!$A$5:$A$105,0)),"Pendiente de clasificar")))</f>
        <v/>
      </c>
      <c r="AD121" s="11" t="inlineStr">
        <is>
          <t>2. Construir y evaluar diseños para la indagación científica e interpretar datos y evidencia de forma crítica</t>
        </is>
      </c>
      <c r="AE121" s="11">
        <f>IF(AD121="","",IF(LEFT(AD121,1)="1","C1",IF(LEFT(AD121,1)="2","C2",IF(LEFT(AD121,1)="3","C3",""))))</f>
        <v/>
      </c>
      <c r="AF121" s="11" t="inlineStr">
        <is>
          <t>E1</t>
        </is>
      </c>
      <c r="AG121" s="11" t="inlineStr">
        <is>
          <t>E3</t>
        </is>
      </c>
      <c r="AH121" s="11" t="inlineStr">
        <is>
          <t>E1</t>
        </is>
      </c>
      <c r="AI121" s="11" t="inlineStr">
        <is>
          <t>D2</t>
        </is>
      </c>
      <c r="AJ121" s="11" t="inlineStr">
        <is>
          <t>E1</t>
        </is>
      </c>
      <c r="AK121" s="11" t="n"/>
      <c r="AL121" s="11" t="n"/>
      <c r="AM121" s="11" t="n"/>
      <c r="AN121" s="11" t="n"/>
      <c r="AO121" s="11" t="n"/>
      <c r="AP121" s="11" t="n"/>
      <c r="AQ121" s="11" t="n"/>
      <c r="AR121" s="11" t="n"/>
      <c r="AS121" s="11" t="n"/>
      <c r="AT121" s="11" t="n"/>
      <c r="AU121" s="11" t="n"/>
      <c r="AV121" s="11" t="n"/>
      <c r="AW121" s="11">
        <f>AF121&amp;"; "&amp;AG121&amp;"; "&amp;AH121&amp;"; "&amp;AI121&amp;"; "&amp;AJ121</f>
        <v/>
      </c>
    </row>
    <row r="122">
      <c r="A122" s="11" t="inlineStr">
        <is>
          <t>T0756-G03-CIE</t>
        </is>
      </c>
      <c r="B122" s="11" t="n">
        <v>3</v>
      </c>
      <c r="C122" s="11" t="inlineStr">
        <is>
          <t>Ciencias</t>
        </is>
      </c>
      <c r="D122" s="11" t="inlineStr">
        <is>
          <t>Matriz_Ciencias_3er_Grado_U1_U6.xlsx</t>
        </is>
      </c>
      <c r="E122" s="11" t="inlineStr">
        <is>
          <t>Unidad 5 - Los animales</t>
        </is>
      </c>
      <c r="F122" s="11" t="n">
        <v>6</v>
      </c>
      <c r="G122" s="11" t="inlineStr">
        <is>
          <t>5. Los animales.</t>
        </is>
      </c>
      <c r="H122" s="11" t="inlineStr">
        <is>
          <t>Características de los animales.</t>
        </is>
      </c>
      <c r="I122" s="38" t="inlineStr">
        <is>
          <t>5.4. Clasificación de las formas de nutrición e intercambio de gases en animales.</t>
        </is>
      </c>
      <c r="J122" s="11" t="inlineStr">
        <is>
          <t>T4_27</t>
        </is>
      </c>
      <c r="K122" s="11" t="inlineStr">
        <is>
          <t>T4_27-B1.3</t>
        </is>
      </c>
      <c r="L122" s="11" t="inlineStr">
        <is>
          <t>T4_27-B1.4</t>
        </is>
      </c>
      <c r="M122" s="11">
        <f>IF(K122="FUERA","Fuera del marco",IF(K122="N/A","Sin marco",IFERROR(INDEX('Datos - Catálogo TIMSS'!$C$5:$C$107,MATCH(K122,'Datos - Catálogo TIMSS'!$A$5:$A$107,0)),"Pendiente de clasificar")))</f>
        <v/>
      </c>
      <c r="N122" s="11">
        <f>IF(K122="FUERA","Fuera del marco",IF(K122="N/A","Sin marco",IFERROR(INDEX('Datos - Catálogo TIMSS'!$F$5:$F$107,MATCH(K122,'Datos - Catálogo TIMSS'!$A$5:$A$107,0)),"Pendiente de clasificar")))</f>
        <v/>
      </c>
      <c r="O122" s="11">
        <f>IF(L122="","",IFERROR(INDEX('Datos - Catálogo TIMSS'!$C$5:$C$107,MATCH(L122,'Datos - Catálogo TIMSS'!$A$5:$A$107,0)),"?"))</f>
        <v/>
      </c>
      <c r="P122" s="11" t="inlineStr">
        <is>
          <t>media</t>
        </is>
      </c>
      <c r="Q122" s="38" t="inlineStr">
        <is>
          <t>Estructuras de nutrición y respiración; cómo obtienen alimento</t>
        </is>
      </c>
      <c r="R122" s="38" t="inlineStr">
        <is>
          <t>Aplicar: clasificar. Conocer: relacionar estructura y función</t>
        </is>
      </c>
      <c r="S122" s="39">
        <f>IFERROR(ISNUMBER(SEARCH("Conocer",$R122))/(ISNUMBER(SEARCH("Conocer",$R122))+ISNUMBER(SEARCH("Aplicar",$R122))+ISNUMBER(SEARCH("Razonar",$R122))),0)</f>
        <v/>
      </c>
      <c r="T122" s="39">
        <f>IFERROR(ISNUMBER(SEARCH("Aplicar",$R122))/(ISNUMBER(SEARCH("Conocer",$R122))+ISNUMBER(SEARCH("Aplicar",$R122))+ISNUMBER(SEARCH("Razonar",$R122))),0)</f>
        <v/>
      </c>
      <c r="U122" s="39">
        <f>IFERROR(ISNUMBER(SEARCH("Razonar",$R122))/(ISNUMBER(SEARCH("Conocer",$R122))+ISNUMBER(SEARCH("Aplicar",$R122))+ISNUMBER(SEARCH("Razonar",$R122))),0)</f>
        <v/>
      </c>
      <c r="V122" s="11" t="inlineStr">
        <is>
          <t>3°</t>
        </is>
      </c>
      <c r="W122" s="11" t="inlineStr">
        <is>
          <t>Ciclo 2°–4°</t>
        </is>
      </c>
      <c r="X122" s="11">
        <f>IF(OR(IFERROR(INDEX('Datos - Catálogo TIMSS'!$I$5:$I$107,MATCH(K122,'Datos - Catálogo TIMSS'!$A$5:$A$107,0)),"No")="Sí",IFERROR(INDEX('Datos - Catálogo TIMSS'!$I$5:$I$107,MATCH(L122,'Datos - Catálogo TIMSS'!$A$5:$A$107,0)),"No")="Sí"),1,0)</f>
        <v/>
      </c>
      <c r="Y122" s="11">
        <f>IF(IFERROR(INDEX('Datos - Catálogo TIMSS'!$J$5:$J$107,MATCH(K122,'Datos - Catálogo TIMSS'!$A$5:$A$107,0)),"No")="Sí",1,0)</f>
        <v/>
      </c>
      <c r="Z122" s="11">
        <f>IF(IFERROR(INDEX('Datos - Catálogo TIMSS'!$J$5:$J$107,MATCH(L122,'Datos - Catálogo TIMSS'!$A$5:$A$107,0)),"No")="Sí",1,0)</f>
        <v/>
      </c>
      <c r="AA122" s="11" t="inlineStr">
        <is>
          <t>T4-V1.3</t>
        </is>
      </c>
      <c r="AB122" s="11" t="inlineStr">
        <is>
          <t>T4-V1.2</t>
        </is>
      </c>
      <c r="AC122" s="11">
        <f>IF(AA122="FUERA","Fuera del marco",IF(AA122="N/A","Sin marco",IFERROR(INDEX('Datos - TIMSS 2023'!$C$5:$C$105,MATCH(AA122,'Datos - TIMSS 2023'!$A$5:$A$105,0)),"Pendiente de clasificar")))</f>
        <v/>
      </c>
      <c r="AD122" s="11" t="inlineStr">
        <is>
          <t>2. Construir y evaluar diseños para la indagación científica e interpretar datos y evidencia de forma crítica</t>
        </is>
      </c>
      <c r="AE122" s="11">
        <f>IF(AD122="","",IF(LEFT(AD122,1)="1","C1",IF(LEFT(AD122,1)="2","C2",IF(LEFT(AD122,1)="3","C3",""))))</f>
        <v/>
      </c>
      <c r="AF122" s="11" t="inlineStr">
        <is>
          <t>E1</t>
        </is>
      </c>
      <c r="AG122" s="11" t="inlineStr">
        <is>
          <t>D1</t>
        </is>
      </c>
      <c r="AH122" s="11" t="inlineStr">
        <is>
          <t>E1</t>
        </is>
      </c>
      <c r="AI122" s="11" t="inlineStr">
        <is>
          <t>D4</t>
        </is>
      </c>
      <c r="AJ122" s="11" t="inlineStr">
        <is>
          <t>E1</t>
        </is>
      </c>
      <c r="AK122" s="11" t="n"/>
      <c r="AL122" s="11" t="n"/>
      <c r="AM122" s="11" t="n"/>
      <c r="AN122" s="11" t="n"/>
      <c r="AO122" s="11" t="n"/>
      <c r="AP122" s="11" t="n"/>
      <c r="AQ122" s="11" t="n"/>
      <c r="AR122" s="11" t="n"/>
      <c r="AS122" s="11" t="n"/>
      <c r="AT122" s="11" t="n"/>
      <c r="AU122" s="11" t="n"/>
      <c r="AV122" s="11" t="n"/>
      <c r="AW122" s="11">
        <f>AF122&amp;"; "&amp;AG122&amp;"; "&amp;AH122&amp;"; "&amp;AI122&amp;"; "&amp;AJ122</f>
        <v/>
      </c>
    </row>
    <row r="123">
      <c r="A123" s="11" t="inlineStr">
        <is>
          <t>T0757-G03-CIE</t>
        </is>
      </c>
      <c r="B123" s="11" t="n">
        <v>3</v>
      </c>
      <c r="C123" s="11" t="inlineStr">
        <is>
          <t>Ciencias</t>
        </is>
      </c>
      <c r="D123" s="11" t="inlineStr">
        <is>
          <t>Matriz_Ciencias_3er_Grado_U1_U6.xlsx</t>
        </is>
      </c>
      <c r="E123" s="11" t="inlineStr">
        <is>
          <t>Unidad 5 - Los animales</t>
        </is>
      </c>
      <c r="F123" s="11" t="n">
        <v>7</v>
      </c>
      <c r="G123" s="11" t="inlineStr">
        <is>
          <t>5. Los animales.</t>
        </is>
      </c>
      <c r="H123" s="11" t="inlineStr">
        <is>
          <t>Características de los animales.</t>
        </is>
      </c>
      <c r="I123" s="38" t="inlineStr">
        <is>
          <t>5.5. Elaboración de un resumen sobre las características unificadoras de los animales.</t>
        </is>
      </c>
      <c r="J123" s="11" t="inlineStr">
        <is>
          <t>T4_27</t>
        </is>
      </c>
      <c r="K123" s="11" t="inlineStr">
        <is>
          <t>T4_27-B1.2</t>
        </is>
      </c>
      <c r="L123" s="11" t="inlineStr">
        <is>
          <t>T4_27-B1.1</t>
        </is>
      </c>
      <c r="M123" s="11">
        <f>IF(K123="FUERA","Fuera del marco",IF(K123="N/A","Sin marco",IFERROR(INDEX('Datos - Catálogo TIMSS'!$C$5:$C$107,MATCH(K123,'Datos - Catálogo TIMSS'!$A$5:$A$107,0)),"Pendiente de clasificar")))</f>
        <v/>
      </c>
      <c r="N123" s="11">
        <f>IF(K123="FUERA","Fuera del marco",IF(K123="N/A","Sin marco",IFERROR(INDEX('Datos - Catálogo TIMSS'!$F$5:$F$107,MATCH(K123,'Datos - Catálogo TIMSS'!$A$5:$A$107,0)),"Pendiente de clasificar")))</f>
        <v/>
      </c>
      <c r="O123" s="11">
        <f>IF(L123="","",IFERROR(INDEX('Datos - Catálogo TIMSS'!$C$5:$C$107,MATCH(L123,'Datos - Catálogo TIMSS'!$A$5:$A$107,0)),"?"))</f>
        <v/>
      </c>
      <c r="P123" s="11" t="inlineStr">
        <is>
          <t>media</t>
        </is>
      </c>
      <c r="Q123" s="38" t="inlineStr">
        <is>
          <t>Rasgos comunes de animales y características de seres vivos</t>
        </is>
      </c>
      <c r="R123" s="38" t="inlineStr">
        <is>
          <t>Conocer: resumir características</t>
        </is>
      </c>
      <c r="S123" s="39">
        <f>IFERROR(ISNUMBER(SEARCH("Conocer",$R123))/(ISNUMBER(SEARCH("Conocer",$R123))+ISNUMBER(SEARCH("Aplicar",$R123))+ISNUMBER(SEARCH("Razonar",$R123))),0)</f>
        <v/>
      </c>
      <c r="T123" s="39">
        <f>IFERROR(ISNUMBER(SEARCH("Aplicar",$R123))/(ISNUMBER(SEARCH("Conocer",$R123))+ISNUMBER(SEARCH("Aplicar",$R123))+ISNUMBER(SEARCH("Razonar",$R123))),0)</f>
        <v/>
      </c>
      <c r="U123" s="39">
        <f>IFERROR(ISNUMBER(SEARCH("Razonar",$R123))/(ISNUMBER(SEARCH("Conocer",$R123))+ISNUMBER(SEARCH("Aplicar",$R123))+ISNUMBER(SEARCH("Razonar",$R123))),0)</f>
        <v/>
      </c>
      <c r="V123" s="11" t="inlineStr">
        <is>
          <t>3°</t>
        </is>
      </c>
      <c r="W123" s="11" t="inlineStr">
        <is>
          <t>Ciclo 2°–4°</t>
        </is>
      </c>
      <c r="X123" s="11">
        <f>IF(OR(IFERROR(INDEX('Datos - Catálogo TIMSS'!$I$5:$I$107,MATCH(K123,'Datos - Catálogo TIMSS'!$A$5:$A$107,0)),"No")="Sí",IFERROR(INDEX('Datos - Catálogo TIMSS'!$I$5:$I$107,MATCH(L123,'Datos - Catálogo TIMSS'!$A$5:$A$107,0)),"No")="Sí"),1,0)</f>
        <v/>
      </c>
      <c r="Y123" s="11">
        <f>IF(IFERROR(INDEX('Datos - Catálogo TIMSS'!$J$5:$J$107,MATCH(K123,'Datos - Catálogo TIMSS'!$A$5:$A$107,0)),"No")="Sí",1,0)</f>
        <v/>
      </c>
      <c r="Z123" s="11">
        <f>IF(IFERROR(INDEX('Datos - Catálogo TIMSS'!$J$5:$J$107,MATCH(L123,'Datos - Catálogo TIMSS'!$A$5:$A$107,0)),"No")="Sí",1,0)</f>
        <v/>
      </c>
      <c r="AA123" s="11" t="inlineStr">
        <is>
          <t>T4-V1.2</t>
        </is>
      </c>
      <c r="AB123" s="11" t="inlineStr">
        <is>
          <t>T4-V1.1</t>
        </is>
      </c>
      <c r="AC123" s="11">
        <f>IF(AA123="FUERA","Fuera del marco",IF(AA123="N/A","Sin marco",IFERROR(INDEX('Datos - TIMSS 2023'!$C$5:$C$105,MATCH(AA123,'Datos - TIMSS 2023'!$A$5:$A$105,0)),"Pendiente de clasificar")))</f>
        <v/>
      </c>
      <c r="AD123" s="11" t="inlineStr">
        <is>
          <t>1. Explicar fenómenos científicamente</t>
        </is>
      </c>
      <c r="AE123" s="11">
        <f>IF(AD123="","",IF(LEFT(AD123,1)="1","C1",IF(LEFT(AD123,1)="2","C2",IF(LEFT(AD123,1)="3","C3",""))))</f>
        <v/>
      </c>
      <c r="AF123" s="11" t="inlineStr">
        <is>
          <t>E1</t>
        </is>
      </c>
      <c r="AG123" s="11" t="inlineStr">
        <is>
          <t>D1</t>
        </is>
      </c>
      <c r="AH123" s="11" t="inlineStr">
        <is>
          <t>E2</t>
        </is>
      </c>
      <c r="AI123" s="11" t="inlineStr">
        <is>
          <t>D4</t>
        </is>
      </c>
      <c r="AJ123" s="11" t="inlineStr">
        <is>
          <t>E1</t>
        </is>
      </c>
      <c r="AK123" s="11" t="n"/>
      <c r="AL123" s="11" t="n"/>
      <c r="AM123" s="11" t="n"/>
      <c r="AN123" s="11" t="n"/>
      <c r="AO123" s="11" t="n"/>
      <c r="AP123" s="11" t="n"/>
      <c r="AQ123" s="11" t="n"/>
      <c r="AR123" s="11" t="n"/>
      <c r="AS123" s="11" t="n"/>
      <c r="AT123" s="11" t="n"/>
      <c r="AU123" s="11" t="n"/>
      <c r="AV123" s="11" t="n"/>
      <c r="AW123" s="11">
        <f>AF123&amp;"; "&amp;AG123&amp;"; "&amp;AH123&amp;"; "&amp;AI123&amp;"; "&amp;AJ123</f>
        <v/>
      </c>
    </row>
    <row r="124">
      <c r="A124" s="11" t="inlineStr">
        <is>
          <t>T0758-G03-CIE</t>
        </is>
      </c>
      <c r="B124" s="11" t="n">
        <v>3</v>
      </c>
      <c r="C124" s="11" t="inlineStr">
        <is>
          <t>Ciencias</t>
        </is>
      </c>
      <c r="D124" s="11" t="inlineStr">
        <is>
          <t>Matriz_Ciencias_3er_Grado_U1_U6.xlsx</t>
        </is>
      </c>
      <c r="E124" s="11" t="inlineStr">
        <is>
          <t>Unidad 5 - Los animales</t>
        </is>
      </c>
      <c r="F124" s="11" t="n">
        <v>8</v>
      </c>
      <c r="G124" s="11" t="inlineStr">
        <is>
          <t>5. Los animales.</t>
        </is>
      </c>
      <c r="H124" s="11" t="inlineStr">
        <is>
          <t>Grupos de animales.</t>
        </is>
      </c>
      <c r="I124" s="38" t="inlineStr">
        <is>
          <t>5.6. Descripción de las características distintivas de poríferos y cnidarios.</t>
        </is>
      </c>
      <c r="J124" s="11" t="inlineStr">
        <is>
          <t>T4_27</t>
        </is>
      </c>
      <c r="K124" s="11" t="inlineStr">
        <is>
          <t>T4_27-B1.2</t>
        </is>
      </c>
      <c r="L124" s="11" t="inlineStr"/>
      <c r="M124" s="11">
        <f>IF(K124="FUERA","Fuera del marco",IF(K124="N/A","Sin marco",IFERROR(INDEX('Datos - Catálogo TIMSS'!$C$5:$C$107,MATCH(K124,'Datos - Catálogo TIMSS'!$A$5:$A$107,0)),"Pendiente de clasificar")))</f>
        <v/>
      </c>
      <c r="N124" s="11">
        <f>IF(K124="FUERA","Fuera del marco",IF(K124="N/A","Sin marco",IFERROR(INDEX('Datos - Catálogo TIMSS'!$F$5:$F$107,MATCH(K124,'Datos - Catálogo TIMSS'!$A$5:$A$107,0)),"Pendiente de clasificar")))</f>
        <v/>
      </c>
      <c r="O124" s="11">
        <f>IF(L124="","",IFERROR(INDEX('Datos - Catálogo TIMSS'!$C$5:$C$107,MATCH(L124,'Datos - Catálogo TIMSS'!$A$5:$A$107,0)),"?"))</f>
        <v/>
      </c>
      <c r="P124" s="11" t="inlineStr">
        <is>
          <t>media</t>
        </is>
      </c>
      <c r="Q124" s="38" t="inlineStr">
        <is>
          <t>Rasgos físicos de grupos animales: poríferos y cnidarios</t>
        </is>
      </c>
      <c r="R124" s="38" t="inlineStr">
        <is>
          <t>Conocer: describir</t>
        </is>
      </c>
      <c r="S124" s="39">
        <f>IFERROR(ISNUMBER(SEARCH("Conocer",$R124))/(ISNUMBER(SEARCH("Conocer",$R124))+ISNUMBER(SEARCH("Aplicar",$R124))+ISNUMBER(SEARCH("Razonar",$R124))),0)</f>
        <v/>
      </c>
      <c r="T124" s="39">
        <f>IFERROR(ISNUMBER(SEARCH("Aplicar",$R124))/(ISNUMBER(SEARCH("Conocer",$R124))+ISNUMBER(SEARCH("Aplicar",$R124))+ISNUMBER(SEARCH("Razonar",$R124))),0)</f>
        <v/>
      </c>
      <c r="U124" s="39">
        <f>IFERROR(ISNUMBER(SEARCH("Razonar",$R124))/(ISNUMBER(SEARCH("Conocer",$R124))+ISNUMBER(SEARCH("Aplicar",$R124))+ISNUMBER(SEARCH("Razonar",$R124))),0)</f>
        <v/>
      </c>
      <c r="V124" s="11" t="inlineStr">
        <is>
          <t>3°</t>
        </is>
      </c>
      <c r="W124" s="11" t="inlineStr">
        <is>
          <t>Ciclo 2°–4°</t>
        </is>
      </c>
      <c r="X124" s="11">
        <f>IF(OR(IFERROR(INDEX('Datos - Catálogo TIMSS'!$I$5:$I$107,MATCH(K124,'Datos - Catálogo TIMSS'!$A$5:$A$107,0)),"No")="Sí",IFERROR(INDEX('Datos - Catálogo TIMSS'!$I$5:$I$107,MATCH(L124,'Datos - Catálogo TIMSS'!$A$5:$A$107,0)),"No")="Sí"),1,0)</f>
        <v/>
      </c>
      <c r="Y124" s="11">
        <f>IF(IFERROR(INDEX('Datos - Catálogo TIMSS'!$J$5:$J$107,MATCH(K124,'Datos - Catálogo TIMSS'!$A$5:$A$107,0)),"No")="Sí",1,0)</f>
        <v/>
      </c>
      <c r="Z124" s="11">
        <f>IF(IFERROR(INDEX('Datos - Catálogo TIMSS'!$J$5:$J$107,MATCH(L124,'Datos - Catálogo TIMSS'!$A$5:$A$107,0)),"No")="Sí",1,0)</f>
        <v/>
      </c>
      <c r="AA124" s="11" t="inlineStr">
        <is>
          <t>T4-V1.2</t>
        </is>
      </c>
      <c r="AB124" s="11" t="inlineStr"/>
      <c r="AC124" s="11">
        <f>IF(AA124="FUERA","Fuera del marco",IF(AA124="N/A","Sin marco",IFERROR(INDEX('Datos - TIMSS 2023'!$C$5:$C$105,MATCH(AA124,'Datos - TIMSS 2023'!$A$5:$A$105,0)),"Pendiente de clasificar")))</f>
        <v/>
      </c>
      <c r="AD124" s="11" t="inlineStr">
        <is>
          <t>1. Explicar fenómenos científicamente</t>
        </is>
      </c>
      <c r="AE124" s="11">
        <f>IF(AD124="","",IF(LEFT(AD124,1)="1","C1",IF(LEFT(AD124,1)="2","C2",IF(LEFT(AD124,1)="3","C3",""))))</f>
        <v/>
      </c>
      <c r="AF124" s="11" t="inlineStr">
        <is>
          <t>E6</t>
        </is>
      </c>
      <c r="AG124" s="11" t="inlineStr">
        <is>
          <t>D1</t>
        </is>
      </c>
      <c r="AH124" s="11" t="inlineStr">
        <is>
          <t>E1</t>
        </is>
      </c>
      <c r="AI124" s="11" t="inlineStr">
        <is>
          <t>D4</t>
        </is>
      </c>
      <c r="AJ124" s="11" t="inlineStr">
        <is>
          <t>E6</t>
        </is>
      </c>
      <c r="AK124" s="11" t="n"/>
      <c r="AL124" s="11" t="n"/>
      <c r="AM124" s="11" t="n"/>
      <c r="AN124" s="11" t="n"/>
      <c r="AO124" s="11" t="n"/>
      <c r="AP124" s="11" t="n"/>
      <c r="AQ124" s="11" t="n"/>
      <c r="AR124" s="11" t="n"/>
      <c r="AS124" s="11" t="n"/>
      <c r="AT124" s="11" t="n"/>
      <c r="AU124" s="11" t="n"/>
      <c r="AV124" s="11" t="n"/>
      <c r="AW124" s="11">
        <f>AF124&amp;"; "&amp;AG124&amp;"; "&amp;AH124&amp;"; "&amp;AI124&amp;"; "&amp;AJ124</f>
        <v/>
      </c>
    </row>
    <row r="125">
      <c r="A125" s="11" t="inlineStr">
        <is>
          <t>T0759-G03-CIE</t>
        </is>
      </c>
      <c r="B125" s="11" t="n">
        <v>3</v>
      </c>
      <c r="C125" s="11" t="inlineStr">
        <is>
          <t>Ciencias</t>
        </is>
      </c>
      <c r="D125" s="11" t="inlineStr">
        <is>
          <t>Matriz_Ciencias_3er_Grado_U1_U6.xlsx</t>
        </is>
      </c>
      <c r="E125" s="11" t="inlineStr">
        <is>
          <t>Unidad 5 - Los animales</t>
        </is>
      </c>
      <c r="F125" s="11" t="n">
        <v>9</v>
      </c>
      <c r="G125" s="11" t="inlineStr">
        <is>
          <t>5. Los animales.</t>
        </is>
      </c>
      <c r="H125" s="11" t="inlineStr">
        <is>
          <t>Grupos de animales.</t>
        </is>
      </c>
      <c r="I125" s="38" t="inlineStr">
        <is>
          <t>5.7. Reconocimiento de las características morfológicas de invertebrados vermiformes: platelmintos, nematelmintos, anélidos y rotíferos.</t>
        </is>
      </c>
      <c r="J125" s="11" t="inlineStr">
        <is>
          <t>T4_27</t>
        </is>
      </c>
      <c r="K125" s="11" t="inlineStr">
        <is>
          <t>T4_27-B1.2</t>
        </is>
      </c>
      <c r="L125" s="11" t="inlineStr"/>
      <c r="M125" s="11">
        <f>IF(K125="FUERA","Fuera del marco",IF(K125="N/A","Sin marco",IFERROR(INDEX('Datos - Catálogo TIMSS'!$C$5:$C$107,MATCH(K125,'Datos - Catálogo TIMSS'!$A$5:$A$107,0)),"Pendiente de clasificar")))</f>
        <v/>
      </c>
      <c r="N125" s="11">
        <f>IF(K125="FUERA","Fuera del marco",IF(K125="N/A","Sin marco",IFERROR(INDEX('Datos - Catálogo TIMSS'!$F$5:$F$107,MATCH(K125,'Datos - Catálogo TIMSS'!$A$5:$A$107,0)),"Pendiente de clasificar")))</f>
        <v/>
      </c>
      <c r="O125" s="11">
        <f>IF(L125="","",IFERROR(INDEX('Datos - Catálogo TIMSS'!$C$5:$C$107,MATCH(L125,'Datos - Catálogo TIMSS'!$A$5:$A$107,0)),"?"))</f>
        <v/>
      </c>
      <c r="P125" s="11" t="inlineStr">
        <is>
          <t>media</t>
        </is>
      </c>
      <c r="Q125" s="38" t="inlineStr">
        <is>
          <t>Rasgos físicos de grupos de invertebrados vermiformes</t>
        </is>
      </c>
      <c r="R125" s="38" t="inlineStr">
        <is>
          <t>Conocer: describir. Aplicar: comparar</t>
        </is>
      </c>
      <c r="S125" s="39">
        <f>IFERROR(ISNUMBER(SEARCH("Conocer",$R125))/(ISNUMBER(SEARCH("Conocer",$R125))+ISNUMBER(SEARCH("Aplicar",$R125))+ISNUMBER(SEARCH("Razonar",$R125))),0)</f>
        <v/>
      </c>
      <c r="T125" s="39">
        <f>IFERROR(ISNUMBER(SEARCH("Aplicar",$R125))/(ISNUMBER(SEARCH("Conocer",$R125))+ISNUMBER(SEARCH("Aplicar",$R125))+ISNUMBER(SEARCH("Razonar",$R125))),0)</f>
        <v/>
      </c>
      <c r="U125" s="39">
        <f>IFERROR(ISNUMBER(SEARCH("Razonar",$R125))/(ISNUMBER(SEARCH("Conocer",$R125))+ISNUMBER(SEARCH("Aplicar",$R125))+ISNUMBER(SEARCH("Razonar",$R125))),0)</f>
        <v/>
      </c>
      <c r="V125" s="11" t="inlineStr">
        <is>
          <t>3°</t>
        </is>
      </c>
      <c r="W125" s="11" t="inlineStr">
        <is>
          <t>Ciclo 2°–4°</t>
        </is>
      </c>
      <c r="X125" s="11">
        <f>IF(OR(IFERROR(INDEX('Datos - Catálogo TIMSS'!$I$5:$I$107,MATCH(K125,'Datos - Catálogo TIMSS'!$A$5:$A$107,0)),"No")="Sí",IFERROR(INDEX('Datos - Catálogo TIMSS'!$I$5:$I$107,MATCH(L125,'Datos - Catálogo TIMSS'!$A$5:$A$107,0)),"No")="Sí"),1,0)</f>
        <v/>
      </c>
      <c r="Y125" s="11">
        <f>IF(IFERROR(INDEX('Datos - Catálogo TIMSS'!$J$5:$J$107,MATCH(K125,'Datos - Catálogo TIMSS'!$A$5:$A$107,0)),"No")="Sí",1,0)</f>
        <v/>
      </c>
      <c r="Z125" s="11">
        <f>IF(IFERROR(INDEX('Datos - Catálogo TIMSS'!$J$5:$J$107,MATCH(L125,'Datos - Catálogo TIMSS'!$A$5:$A$107,0)),"No")="Sí",1,0)</f>
        <v/>
      </c>
      <c r="AA125" s="11" t="inlineStr">
        <is>
          <t>T4-V1.2</t>
        </is>
      </c>
      <c r="AB125" s="11" t="inlineStr"/>
      <c r="AC125" s="11">
        <f>IF(AA125="FUERA","Fuera del marco",IF(AA125="N/A","Sin marco",IFERROR(INDEX('Datos - TIMSS 2023'!$C$5:$C$105,MATCH(AA125,'Datos - TIMSS 2023'!$A$5:$A$105,0)),"Pendiente de clasificar")))</f>
        <v/>
      </c>
      <c r="AD125" s="11" t="inlineStr">
        <is>
          <t>1. Explicar fenómenos científicamente</t>
        </is>
      </c>
      <c r="AE125" s="11">
        <f>IF(AD125="","",IF(LEFT(AD125,1)="1","C1",IF(LEFT(AD125,1)="2","C2",IF(LEFT(AD125,1)="3","C3",""))))</f>
        <v/>
      </c>
      <c r="AF125" s="11" t="inlineStr">
        <is>
          <t>E1</t>
        </is>
      </c>
      <c r="AG125" s="11" t="inlineStr">
        <is>
          <t>D1</t>
        </is>
      </c>
      <c r="AH125" s="11" t="inlineStr">
        <is>
          <t>E1</t>
        </is>
      </c>
      <c r="AI125" s="11" t="inlineStr">
        <is>
          <t>D4</t>
        </is>
      </c>
      <c r="AJ125" s="11" t="inlineStr">
        <is>
          <t>E6</t>
        </is>
      </c>
      <c r="AK125" s="11" t="n"/>
      <c r="AL125" s="11" t="n"/>
      <c r="AM125" s="11" t="n"/>
      <c r="AN125" s="11" t="n"/>
      <c r="AO125" s="11" t="n"/>
      <c r="AP125" s="11" t="n"/>
      <c r="AQ125" s="11" t="n"/>
      <c r="AR125" s="11" t="n"/>
      <c r="AS125" s="11" t="n"/>
      <c r="AT125" s="11" t="n"/>
      <c r="AU125" s="11" t="n"/>
      <c r="AV125" s="11" t="n"/>
      <c r="AW125" s="11">
        <f>AF125&amp;"; "&amp;AG125&amp;"; "&amp;AH125&amp;"; "&amp;AI125&amp;"; "&amp;AJ125</f>
        <v/>
      </c>
    </row>
    <row r="126">
      <c r="A126" s="11" t="inlineStr">
        <is>
          <t>T0760-G03-CIE</t>
        </is>
      </c>
      <c r="B126" s="11" t="n">
        <v>3</v>
      </c>
      <c r="C126" s="11" t="inlineStr">
        <is>
          <t>Ciencias</t>
        </is>
      </c>
      <c r="D126" s="11" t="inlineStr">
        <is>
          <t>Matriz_Ciencias_3er_Grado_U1_U6.xlsx</t>
        </is>
      </c>
      <c r="E126" s="11" t="inlineStr">
        <is>
          <t>Unidad 5 - Los animales</t>
        </is>
      </c>
      <c r="F126" s="11" t="n">
        <v>10</v>
      </c>
      <c r="G126" s="11" t="inlineStr">
        <is>
          <t>5. Los animales.</t>
        </is>
      </c>
      <c r="H126" s="11" t="inlineStr">
        <is>
          <t>Grupos de animales.</t>
        </is>
      </c>
      <c r="I126" s="38" t="inlineStr">
        <is>
          <t>5.8. Observación de muestras en el microscopio estereoscópico.</t>
        </is>
      </c>
      <c r="J126" s="11" t="inlineStr">
        <is>
          <t>T4_27</t>
        </is>
      </c>
      <c r="K126" s="11" t="inlineStr">
        <is>
          <t>T4_27-B6.1</t>
        </is>
      </c>
      <c r="L126" s="11" t="inlineStr"/>
      <c r="M126" s="11">
        <f>IF(K126="FUERA","Fuera del marco",IF(K126="N/A","Sin marco",IFERROR(INDEX('Datos - Catálogo TIMSS'!$C$5:$C$107,MATCH(K126,'Datos - Catálogo TIMSS'!$A$5:$A$107,0)),"Pendiente de clasificar")))</f>
        <v/>
      </c>
      <c r="N126" s="11">
        <f>IF(K126="FUERA","Fuera del marco",IF(K126="N/A","Sin marco",IFERROR(INDEX('Datos - Catálogo TIMSS'!$F$5:$F$107,MATCH(K126,'Datos - Catálogo TIMSS'!$A$5:$A$107,0)),"Pendiente de clasificar")))</f>
        <v/>
      </c>
      <c r="O126" s="11">
        <f>IF(L126="","",IFERROR(INDEX('Datos - Catálogo TIMSS'!$C$5:$C$107,MATCH(L126,'Datos - Catálogo TIMSS'!$A$5:$A$107,0)),"?"))</f>
        <v/>
      </c>
      <c r="P126" s="11" t="inlineStr">
        <is>
          <t>media</t>
        </is>
      </c>
      <c r="Q126" s="38" t="inlineStr">
        <is>
          <t>Uso de equipo de observación biológica (lupa, estereoscopio)</t>
        </is>
      </c>
      <c r="R126" s="38" t="inlineStr">
        <is>
          <t>Aplicar: usar instrumentos</t>
        </is>
      </c>
      <c r="S126" s="39">
        <f>IFERROR(ISNUMBER(SEARCH("Conocer",$R126))/(ISNUMBER(SEARCH("Conocer",$R126))+ISNUMBER(SEARCH("Aplicar",$R126))+ISNUMBER(SEARCH("Razonar",$R126))),0)</f>
        <v/>
      </c>
      <c r="T126" s="39">
        <f>IFERROR(ISNUMBER(SEARCH("Aplicar",$R126))/(ISNUMBER(SEARCH("Conocer",$R126))+ISNUMBER(SEARCH("Aplicar",$R126))+ISNUMBER(SEARCH("Razonar",$R126))),0)</f>
        <v/>
      </c>
      <c r="U126" s="39">
        <f>IFERROR(ISNUMBER(SEARCH("Razonar",$R126))/(ISNUMBER(SEARCH("Conocer",$R126))+ISNUMBER(SEARCH("Aplicar",$R126))+ISNUMBER(SEARCH("Razonar",$R126))),0)</f>
        <v/>
      </c>
      <c r="V126" s="11" t="inlineStr">
        <is>
          <t>3°</t>
        </is>
      </c>
      <c r="W126" s="11" t="inlineStr">
        <is>
          <t>Ciclo 2°–4°</t>
        </is>
      </c>
      <c r="X126" s="11">
        <f>IF(OR(IFERROR(INDEX('Datos - Catálogo TIMSS'!$I$5:$I$107,MATCH(K126,'Datos - Catálogo TIMSS'!$A$5:$A$107,0)),"No")="Sí",IFERROR(INDEX('Datos - Catálogo TIMSS'!$I$5:$I$107,MATCH(L126,'Datos - Catálogo TIMSS'!$A$5:$A$107,0)),"No")="Sí"),1,0)</f>
        <v/>
      </c>
      <c r="Y126" s="11">
        <f>IF(IFERROR(INDEX('Datos - Catálogo TIMSS'!$J$5:$J$107,MATCH(K126,'Datos - Catálogo TIMSS'!$A$5:$A$107,0)),"No")="Sí",1,0)</f>
        <v/>
      </c>
      <c r="Z126" s="11">
        <f>IF(IFERROR(INDEX('Datos - Catálogo TIMSS'!$J$5:$J$107,MATCH(L126,'Datos - Catálogo TIMSS'!$A$5:$A$107,0)),"No")="Sí",1,0)</f>
        <v/>
      </c>
      <c r="AA126" s="11" t="inlineStr">
        <is>
          <t>FUERA</t>
        </is>
      </c>
      <c r="AB126" s="11" t="inlineStr"/>
      <c r="AC126" s="11">
        <f>IF(AA126="FUERA","Fuera del marco",IF(AA126="N/A","Sin marco",IFERROR(INDEX('Datos - TIMSS 2023'!$C$5:$C$105,MATCH(AA126,'Datos - TIMSS 2023'!$A$5:$A$105,0)),"Pendiente de clasificar")))</f>
        <v/>
      </c>
      <c r="AD126" s="11" t="inlineStr">
        <is>
          <t>2. Construir y evaluar diseños para la indagación científica e interpretar datos y evidencia de forma crítica</t>
        </is>
      </c>
      <c r="AE126" s="11">
        <f>IF(AD126="","",IF(LEFT(AD126,1)="1","C1",IF(LEFT(AD126,1)="2","C2",IF(LEFT(AD126,1)="3","C3",""))))</f>
        <v/>
      </c>
      <c r="AF126" s="11" t="inlineStr">
        <is>
          <t>E1</t>
        </is>
      </c>
      <c r="AG126" s="11" t="inlineStr">
        <is>
          <t>E3</t>
        </is>
      </c>
      <c r="AH126" s="11" t="inlineStr">
        <is>
          <t>E1</t>
        </is>
      </c>
      <c r="AI126" s="11" t="inlineStr">
        <is>
          <t>D4</t>
        </is>
      </c>
      <c r="AJ126" s="11" t="inlineStr">
        <is>
          <t>E1</t>
        </is>
      </c>
      <c r="AK126" s="11" t="n"/>
      <c r="AL126" s="11" t="n"/>
      <c r="AM126" s="11" t="n"/>
      <c r="AN126" s="11" t="n"/>
      <c r="AO126" s="11" t="n"/>
      <c r="AP126" s="11" t="n"/>
      <c r="AQ126" s="11" t="n"/>
      <c r="AR126" s="11" t="n"/>
      <c r="AS126" s="11" t="n"/>
      <c r="AT126" s="11" t="n"/>
      <c r="AU126" s="11" t="n"/>
      <c r="AV126" s="11" t="n"/>
      <c r="AW126" s="11">
        <f>AF126&amp;"; "&amp;AG126&amp;"; "&amp;AH126&amp;"; "&amp;AI126&amp;"; "&amp;AJ126</f>
        <v/>
      </c>
    </row>
    <row r="127">
      <c r="A127" s="11" t="inlineStr">
        <is>
          <t>T0761-G03-CIE</t>
        </is>
      </c>
      <c r="B127" s="11" t="n">
        <v>3</v>
      </c>
      <c r="C127" s="11" t="inlineStr">
        <is>
          <t>Ciencias</t>
        </is>
      </c>
      <c r="D127" s="11" t="inlineStr">
        <is>
          <t>Matriz_Ciencias_3er_Grado_U1_U6.xlsx</t>
        </is>
      </c>
      <c r="E127" s="11" t="inlineStr">
        <is>
          <t>Unidad 5 - Los animales</t>
        </is>
      </c>
      <c r="F127" s="11" t="n">
        <v>11</v>
      </c>
      <c r="G127" s="11" t="inlineStr">
        <is>
          <t>5. Los animales.</t>
        </is>
      </c>
      <c r="H127" s="11" t="inlineStr">
        <is>
          <t>Grupos de animales.</t>
        </is>
      </c>
      <c r="I127" s="38" t="inlineStr">
        <is>
          <t>5.9. Representación esquemática de distintos grupos de artrópodos.</t>
        </is>
      </c>
      <c r="J127" s="11" t="inlineStr">
        <is>
          <t>T4_27</t>
        </is>
      </c>
      <c r="K127" s="11" t="inlineStr">
        <is>
          <t>T4_27-B1.2</t>
        </is>
      </c>
      <c r="L127" s="11" t="inlineStr"/>
      <c r="M127" s="11">
        <f>IF(K127="FUERA","Fuera del marco",IF(K127="N/A","Sin marco",IFERROR(INDEX('Datos - Catálogo TIMSS'!$C$5:$C$107,MATCH(K127,'Datos - Catálogo TIMSS'!$A$5:$A$107,0)),"Pendiente de clasificar")))</f>
        <v/>
      </c>
      <c r="N127" s="11">
        <f>IF(K127="FUERA","Fuera del marco",IF(K127="N/A","Sin marco",IFERROR(INDEX('Datos - Catálogo TIMSS'!$F$5:$F$107,MATCH(K127,'Datos - Catálogo TIMSS'!$A$5:$A$107,0)),"Pendiente de clasificar")))</f>
        <v/>
      </c>
      <c r="O127" s="11">
        <f>IF(L127="","",IFERROR(INDEX('Datos - Catálogo TIMSS'!$C$5:$C$107,MATCH(L127,'Datos - Catálogo TIMSS'!$A$5:$A$107,0)),"?"))</f>
        <v/>
      </c>
      <c r="P127" s="11" t="inlineStr">
        <is>
          <t>alta</t>
        </is>
      </c>
      <c r="Q127" s="38" t="inlineStr">
        <is>
          <t>Rasgos de grupos de artrópodos, incluidos insectos</t>
        </is>
      </c>
      <c r="R127" s="38" t="inlineStr">
        <is>
          <t>Aplicar: clasificar</t>
        </is>
      </c>
      <c r="S127" s="39">
        <f>IFERROR(ISNUMBER(SEARCH("Conocer",$R127))/(ISNUMBER(SEARCH("Conocer",$R127))+ISNUMBER(SEARCH("Aplicar",$R127))+ISNUMBER(SEARCH("Razonar",$R127))),0)</f>
        <v/>
      </c>
      <c r="T127" s="39">
        <f>IFERROR(ISNUMBER(SEARCH("Aplicar",$R127))/(ISNUMBER(SEARCH("Conocer",$R127))+ISNUMBER(SEARCH("Aplicar",$R127))+ISNUMBER(SEARCH("Razonar",$R127))),0)</f>
        <v/>
      </c>
      <c r="U127" s="39">
        <f>IFERROR(ISNUMBER(SEARCH("Razonar",$R127))/(ISNUMBER(SEARCH("Conocer",$R127))+ISNUMBER(SEARCH("Aplicar",$R127))+ISNUMBER(SEARCH("Razonar",$R127))),0)</f>
        <v/>
      </c>
      <c r="V127" s="11" t="inlineStr">
        <is>
          <t>3°</t>
        </is>
      </c>
      <c r="W127" s="11" t="inlineStr">
        <is>
          <t>Ciclo 2°–4°</t>
        </is>
      </c>
      <c r="X127" s="11">
        <f>IF(OR(IFERROR(INDEX('Datos - Catálogo TIMSS'!$I$5:$I$107,MATCH(K127,'Datos - Catálogo TIMSS'!$A$5:$A$107,0)),"No")="Sí",IFERROR(INDEX('Datos - Catálogo TIMSS'!$I$5:$I$107,MATCH(L127,'Datos - Catálogo TIMSS'!$A$5:$A$107,0)),"No")="Sí"),1,0)</f>
        <v/>
      </c>
      <c r="Y127" s="11">
        <f>IF(IFERROR(INDEX('Datos - Catálogo TIMSS'!$J$5:$J$107,MATCH(K127,'Datos - Catálogo TIMSS'!$A$5:$A$107,0)),"No")="Sí",1,0)</f>
        <v/>
      </c>
      <c r="Z127" s="11">
        <f>IF(IFERROR(INDEX('Datos - Catálogo TIMSS'!$J$5:$J$107,MATCH(L127,'Datos - Catálogo TIMSS'!$A$5:$A$107,0)),"No")="Sí",1,0)</f>
        <v/>
      </c>
      <c r="AA127" s="11" t="inlineStr">
        <is>
          <t>T4-V1.2</t>
        </is>
      </c>
      <c r="AB127" s="11" t="inlineStr"/>
      <c r="AC127" s="11">
        <f>IF(AA127="FUERA","Fuera del marco",IF(AA127="N/A","Sin marco",IFERROR(INDEX('Datos - TIMSS 2023'!$C$5:$C$105,MATCH(AA127,'Datos - TIMSS 2023'!$A$5:$A$105,0)),"Pendiente de clasificar")))</f>
        <v/>
      </c>
      <c r="AD127" s="11" t="inlineStr">
        <is>
          <t>1. Explicar fenómenos científicamente</t>
        </is>
      </c>
      <c r="AE127" s="11">
        <f>IF(AD127="","",IF(LEFT(AD127,1)="1","C1",IF(LEFT(AD127,1)="2","C2",IF(LEFT(AD127,1)="3","C3",""))))</f>
        <v/>
      </c>
      <c r="AF127" s="11" t="inlineStr">
        <is>
          <t>E1</t>
        </is>
      </c>
      <c r="AG127" s="11" t="inlineStr">
        <is>
          <t>D1</t>
        </is>
      </c>
      <c r="AH127" s="11" t="inlineStr">
        <is>
          <t>E2</t>
        </is>
      </c>
      <c r="AI127" s="11" t="inlineStr">
        <is>
          <t>D4</t>
        </is>
      </c>
      <c r="AJ127" s="11" t="inlineStr">
        <is>
          <t>E1</t>
        </is>
      </c>
      <c r="AK127" s="11" t="n"/>
      <c r="AL127" s="11" t="n"/>
      <c r="AM127" s="11" t="n"/>
      <c r="AN127" s="11" t="n"/>
      <c r="AO127" s="11" t="n"/>
      <c r="AP127" s="11" t="n"/>
      <c r="AQ127" s="11" t="n"/>
      <c r="AR127" s="11" t="n"/>
      <c r="AS127" s="11" t="n"/>
      <c r="AT127" s="11" t="n"/>
      <c r="AU127" s="11" t="n"/>
      <c r="AV127" s="11" t="n"/>
      <c r="AW127" s="11">
        <f>AF127&amp;"; "&amp;AG127&amp;"; "&amp;AH127&amp;"; "&amp;AI127&amp;"; "&amp;AJ127</f>
        <v/>
      </c>
    </row>
    <row r="128">
      <c r="A128" s="11" t="inlineStr">
        <is>
          <t>T0762-G03-CIE</t>
        </is>
      </c>
      <c r="B128" s="11" t="n">
        <v>3</v>
      </c>
      <c r="C128" s="11" t="inlineStr">
        <is>
          <t>Ciencias</t>
        </is>
      </c>
      <c r="D128" s="11" t="inlineStr">
        <is>
          <t>Matriz_Ciencias_3er_Grado_U1_U6.xlsx</t>
        </is>
      </c>
      <c r="E128" s="11" t="inlineStr">
        <is>
          <t>Unidad 5 - Los animales</t>
        </is>
      </c>
      <c r="F128" s="11" t="n">
        <v>12</v>
      </c>
      <c r="G128" s="11" t="inlineStr">
        <is>
          <t>5. Los animales.</t>
        </is>
      </c>
      <c r="H128" s="11" t="inlineStr">
        <is>
          <t>Grupos de animales.</t>
        </is>
      </c>
      <c r="I128" s="38" t="inlineStr">
        <is>
          <t>5.10. Representación esquemática de distintos grupos de moluscos.</t>
        </is>
      </c>
      <c r="J128" s="11" t="inlineStr">
        <is>
          <t>T4_27</t>
        </is>
      </c>
      <c r="K128" s="11" t="inlineStr">
        <is>
          <t>T4_27-B1.2</t>
        </is>
      </c>
      <c r="L128" s="11" t="inlineStr"/>
      <c r="M128" s="11">
        <f>IF(K128="FUERA","Fuera del marco",IF(K128="N/A","Sin marco",IFERROR(INDEX('Datos - Catálogo TIMSS'!$C$5:$C$107,MATCH(K128,'Datos - Catálogo TIMSS'!$A$5:$A$107,0)),"Pendiente de clasificar")))</f>
        <v/>
      </c>
      <c r="N128" s="11">
        <f>IF(K128="FUERA","Fuera del marco",IF(K128="N/A","Sin marco",IFERROR(INDEX('Datos - Catálogo TIMSS'!$F$5:$F$107,MATCH(K128,'Datos - Catálogo TIMSS'!$A$5:$A$107,0)),"Pendiente de clasificar")))</f>
        <v/>
      </c>
      <c r="O128" s="11">
        <f>IF(L128="","",IFERROR(INDEX('Datos - Catálogo TIMSS'!$C$5:$C$107,MATCH(L128,'Datos - Catálogo TIMSS'!$A$5:$A$107,0)),"?"))</f>
        <v/>
      </c>
      <c r="P128" s="11" t="inlineStr">
        <is>
          <t>media</t>
        </is>
      </c>
      <c r="Q128" s="38" t="inlineStr">
        <is>
          <t>Rasgos físicos de grupos de moluscos</t>
        </is>
      </c>
      <c r="R128" s="38" t="inlineStr">
        <is>
          <t>Aplicar: comparar</t>
        </is>
      </c>
      <c r="S128" s="39">
        <f>IFERROR(ISNUMBER(SEARCH("Conocer",$R128))/(ISNUMBER(SEARCH("Conocer",$R128))+ISNUMBER(SEARCH("Aplicar",$R128))+ISNUMBER(SEARCH("Razonar",$R128))),0)</f>
        <v/>
      </c>
      <c r="T128" s="39">
        <f>IFERROR(ISNUMBER(SEARCH("Aplicar",$R128))/(ISNUMBER(SEARCH("Conocer",$R128))+ISNUMBER(SEARCH("Aplicar",$R128))+ISNUMBER(SEARCH("Razonar",$R128))),0)</f>
        <v/>
      </c>
      <c r="U128" s="39">
        <f>IFERROR(ISNUMBER(SEARCH("Razonar",$R128))/(ISNUMBER(SEARCH("Conocer",$R128))+ISNUMBER(SEARCH("Aplicar",$R128))+ISNUMBER(SEARCH("Razonar",$R128))),0)</f>
        <v/>
      </c>
      <c r="V128" s="11" t="inlineStr">
        <is>
          <t>3°</t>
        </is>
      </c>
      <c r="W128" s="11" t="inlineStr">
        <is>
          <t>Ciclo 2°–4°</t>
        </is>
      </c>
      <c r="X128" s="11">
        <f>IF(OR(IFERROR(INDEX('Datos - Catálogo TIMSS'!$I$5:$I$107,MATCH(K128,'Datos - Catálogo TIMSS'!$A$5:$A$107,0)),"No")="Sí",IFERROR(INDEX('Datos - Catálogo TIMSS'!$I$5:$I$107,MATCH(L128,'Datos - Catálogo TIMSS'!$A$5:$A$107,0)),"No")="Sí"),1,0)</f>
        <v/>
      </c>
      <c r="Y128" s="11">
        <f>IF(IFERROR(INDEX('Datos - Catálogo TIMSS'!$J$5:$J$107,MATCH(K128,'Datos - Catálogo TIMSS'!$A$5:$A$107,0)),"No")="Sí",1,0)</f>
        <v/>
      </c>
      <c r="Z128" s="11">
        <f>IF(IFERROR(INDEX('Datos - Catálogo TIMSS'!$J$5:$J$107,MATCH(L128,'Datos - Catálogo TIMSS'!$A$5:$A$107,0)),"No")="Sí",1,0)</f>
        <v/>
      </c>
      <c r="AA128" s="11" t="inlineStr">
        <is>
          <t>T4-V1.2</t>
        </is>
      </c>
      <c r="AB128" s="11" t="inlineStr"/>
      <c r="AC128" s="11">
        <f>IF(AA128="FUERA","Fuera del marco",IF(AA128="N/A","Sin marco",IFERROR(INDEX('Datos - TIMSS 2023'!$C$5:$C$105,MATCH(AA128,'Datos - TIMSS 2023'!$A$5:$A$105,0)),"Pendiente de clasificar")))</f>
        <v/>
      </c>
      <c r="AD128" s="11" t="inlineStr">
        <is>
          <t>1. Explicar fenómenos científicamente</t>
        </is>
      </c>
      <c r="AE128" s="11">
        <f>IF(AD128="","",IF(LEFT(AD128,1)="1","C1",IF(LEFT(AD128,1)="2","C2",IF(LEFT(AD128,1)="3","C3",""))))</f>
        <v/>
      </c>
      <c r="AF128" s="11" t="inlineStr">
        <is>
          <t>E1</t>
        </is>
      </c>
      <c r="AG128" s="11" t="inlineStr">
        <is>
          <t>D1</t>
        </is>
      </c>
      <c r="AH128" s="11" t="inlineStr">
        <is>
          <t>E2</t>
        </is>
      </c>
      <c r="AI128" s="11" t="inlineStr">
        <is>
          <t>D4</t>
        </is>
      </c>
      <c r="AJ128" s="11" t="inlineStr">
        <is>
          <t>E1</t>
        </is>
      </c>
      <c r="AK128" s="11" t="n"/>
      <c r="AL128" s="11" t="n"/>
      <c r="AM128" s="11" t="n"/>
      <c r="AN128" s="11" t="n"/>
      <c r="AO128" s="11" t="n"/>
      <c r="AP128" s="11" t="n"/>
      <c r="AQ128" s="11" t="n"/>
      <c r="AR128" s="11" t="n"/>
      <c r="AS128" s="11" t="n"/>
      <c r="AT128" s="11" t="n"/>
      <c r="AU128" s="11" t="n"/>
      <c r="AV128" s="11" t="n"/>
      <c r="AW128" s="11">
        <f>AF128&amp;"; "&amp;AG128&amp;"; "&amp;AH128&amp;"; "&amp;AI128&amp;"; "&amp;AJ128</f>
        <v/>
      </c>
    </row>
    <row r="129">
      <c r="A129" s="11" t="inlineStr">
        <is>
          <t>T0763-G03-CIE</t>
        </is>
      </c>
      <c r="B129" s="11" t="n">
        <v>3</v>
      </c>
      <c r="C129" s="11" t="inlineStr">
        <is>
          <t>Ciencias</t>
        </is>
      </c>
      <c r="D129" s="11" t="inlineStr">
        <is>
          <t>Matriz_Ciencias_3er_Grado_U1_U6.xlsx</t>
        </is>
      </c>
      <c r="E129" s="11" t="inlineStr">
        <is>
          <t>Unidad 5 - Los animales</t>
        </is>
      </c>
      <c r="F129" s="11" t="n">
        <v>13</v>
      </c>
      <c r="G129" s="11" t="inlineStr">
        <is>
          <t>5. Los animales.</t>
        </is>
      </c>
      <c r="H129" s="11" t="inlineStr">
        <is>
          <t>Grupos de animales.</t>
        </is>
      </c>
      <c r="I129" s="38" t="inlineStr">
        <is>
          <t>5.11. Descripción de las características morfológicas de los equinodermos.</t>
        </is>
      </c>
      <c r="J129" s="11" t="inlineStr">
        <is>
          <t>T4_27</t>
        </is>
      </c>
      <c r="K129" s="11" t="inlineStr">
        <is>
          <t>T4_27-B1.2</t>
        </is>
      </c>
      <c r="L129" s="11" t="inlineStr"/>
      <c r="M129" s="11">
        <f>IF(K129="FUERA","Fuera del marco",IF(K129="N/A","Sin marco",IFERROR(INDEX('Datos - Catálogo TIMSS'!$C$5:$C$107,MATCH(K129,'Datos - Catálogo TIMSS'!$A$5:$A$107,0)),"Pendiente de clasificar")))</f>
        <v/>
      </c>
      <c r="N129" s="11">
        <f>IF(K129="FUERA","Fuera del marco",IF(K129="N/A","Sin marco",IFERROR(INDEX('Datos - Catálogo TIMSS'!$F$5:$F$107,MATCH(K129,'Datos - Catálogo TIMSS'!$A$5:$A$107,0)),"Pendiente de clasificar")))</f>
        <v/>
      </c>
      <c r="O129" s="11">
        <f>IF(L129="","",IFERROR(INDEX('Datos - Catálogo TIMSS'!$C$5:$C$107,MATCH(L129,'Datos - Catálogo TIMSS'!$A$5:$A$107,0)),"?"))</f>
        <v/>
      </c>
      <c r="P129" s="11" t="inlineStr">
        <is>
          <t>media</t>
        </is>
      </c>
      <c r="Q129" s="38" t="inlineStr">
        <is>
          <t>Rasgos físicos de equinodermos como grupo animal</t>
        </is>
      </c>
      <c r="R129" s="38" t="inlineStr">
        <is>
          <t>Conocer: describir</t>
        </is>
      </c>
      <c r="S129" s="39">
        <f>IFERROR(ISNUMBER(SEARCH("Conocer",$R129))/(ISNUMBER(SEARCH("Conocer",$R129))+ISNUMBER(SEARCH("Aplicar",$R129))+ISNUMBER(SEARCH("Razonar",$R129))),0)</f>
        <v/>
      </c>
      <c r="T129" s="39">
        <f>IFERROR(ISNUMBER(SEARCH("Aplicar",$R129))/(ISNUMBER(SEARCH("Conocer",$R129))+ISNUMBER(SEARCH("Aplicar",$R129))+ISNUMBER(SEARCH("Razonar",$R129))),0)</f>
        <v/>
      </c>
      <c r="U129" s="39">
        <f>IFERROR(ISNUMBER(SEARCH("Razonar",$R129))/(ISNUMBER(SEARCH("Conocer",$R129))+ISNUMBER(SEARCH("Aplicar",$R129))+ISNUMBER(SEARCH("Razonar",$R129))),0)</f>
        <v/>
      </c>
      <c r="V129" s="11" t="inlineStr">
        <is>
          <t>3°</t>
        </is>
      </c>
      <c r="W129" s="11" t="inlineStr">
        <is>
          <t>Ciclo 2°–4°</t>
        </is>
      </c>
      <c r="X129" s="11">
        <f>IF(OR(IFERROR(INDEX('Datos - Catálogo TIMSS'!$I$5:$I$107,MATCH(K129,'Datos - Catálogo TIMSS'!$A$5:$A$107,0)),"No")="Sí",IFERROR(INDEX('Datos - Catálogo TIMSS'!$I$5:$I$107,MATCH(L129,'Datos - Catálogo TIMSS'!$A$5:$A$107,0)),"No")="Sí"),1,0)</f>
        <v/>
      </c>
      <c r="Y129" s="11">
        <f>IF(IFERROR(INDEX('Datos - Catálogo TIMSS'!$J$5:$J$107,MATCH(K129,'Datos - Catálogo TIMSS'!$A$5:$A$107,0)),"No")="Sí",1,0)</f>
        <v/>
      </c>
      <c r="Z129" s="11">
        <f>IF(IFERROR(INDEX('Datos - Catálogo TIMSS'!$J$5:$J$107,MATCH(L129,'Datos - Catálogo TIMSS'!$A$5:$A$107,0)),"No")="Sí",1,0)</f>
        <v/>
      </c>
      <c r="AA129" s="11" t="inlineStr">
        <is>
          <t>T4-V1.2</t>
        </is>
      </c>
      <c r="AB129" s="11" t="inlineStr"/>
      <c r="AC129" s="11">
        <f>IF(AA129="FUERA","Fuera del marco",IF(AA129="N/A","Sin marco",IFERROR(INDEX('Datos - TIMSS 2023'!$C$5:$C$105,MATCH(AA129,'Datos - TIMSS 2023'!$A$5:$A$105,0)),"Pendiente de clasificar")))</f>
        <v/>
      </c>
      <c r="AD129" s="11" t="inlineStr">
        <is>
          <t>1. Explicar fenómenos científicamente</t>
        </is>
      </c>
      <c r="AE129" s="11">
        <f>IF(AD129="","",IF(LEFT(AD129,1)="1","C1",IF(LEFT(AD129,1)="2","C2",IF(LEFT(AD129,1)="3","C3",""))))</f>
        <v/>
      </c>
      <c r="AF129" s="11" t="inlineStr">
        <is>
          <t>E1</t>
        </is>
      </c>
      <c r="AG129" s="11" t="inlineStr">
        <is>
          <t>E5</t>
        </is>
      </c>
      <c r="AH129" s="11" t="inlineStr">
        <is>
          <t>E1</t>
        </is>
      </c>
      <c r="AI129" s="11" t="inlineStr">
        <is>
          <t>D4</t>
        </is>
      </c>
      <c r="AJ129" s="11" t="inlineStr">
        <is>
          <t>E6</t>
        </is>
      </c>
      <c r="AK129" s="11" t="n"/>
      <c r="AL129" s="11" t="n"/>
      <c r="AM129" s="11" t="n"/>
      <c r="AN129" s="11" t="n"/>
      <c r="AO129" s="11" t="n"/>
      <c r="AP129" s="11" t="n"/>
      <c r="AQ129" s="11" t="n"/>
      <c r="AR129" s="11" t="n"/>
      <c r="AS129" s="11" t="n"/>
      <c r="AT129" s="11" t="n"/>
      <c r="AU129" s="11" t="n"/>
      <c r="AV129" s="11" t="n"/>
      <c r="AW129" s="11">
        <f>AF129&amp;"; "&amp;AG129&amp;"; "&amp;AH129&amp;"; "&amp;AI129&amp;"; "&amp;AJ129</f>
        <v/>
      </c>
    </row>
    <row r="130">
      <c r="A130" s="11" t="inlineStr">
        <is>
          <t>T0764-G03-CIE</t>
        </is>
      </c>
      <c r="B130" s="11" t="n">
        <v>3</v>
      </c>
      <c r="C130" s="11" t="inlineStr">
        <is>
          <t>Ciencias</t>
        </is>
      </c>
      <c r="D130" s="11" t="inlineStr">
        <is>
          <t>Matriz_Ciencias_3er_Grado_U1_U6.xlsx</t>
        </is>
      </c>
      <c r="E130" s="11" t="inlineStr">
        <is>
          <t>Unidad 5 - Los animales</t>
        </is>
      </c>
      <c r="F130" s="11" t="n">
        <v>14</v>
      </c>
      <c r="G130" s="11" t="inlineStr">
        <is>
          <t>5. Los animales.</t>
        </is>
      </c>
      <c r="H130" s="11" t="inlineStr">
        <is>
          <t>Los vertebrados.</t>
        </is>
      </c>
      <c r="I130" s="38" t="inlineStr">
        <is>
          <t>5.12. Descripción de las características morfológicas de los vertebrados.</t>
        </is>
      </c>
      <c r="J130" s="11" t="inlineStr">
        <is>
          <t>T4_27</t>
        </is>
      </c>
      <c r="K130" s="11" t="inlineStr">
        <is>
          <t>T4_27-B1.2</t>
        </is>
      </c>
      <c r="L130" s="11" t="inlineStr"/>
      <c r="M130" s="11">
        <f>IF(K130="FUERA","Fuera del marco",IF(K130="N/A","Sin marco",IFERROR(INDEX('Datos - Catálogo TIMSS'!$C$5:$C$107,MATCH(K130,'Datos - Catálogo TIMSS'!$A$5:$A$107,0)),"Pendiente de clasificar")))</f>
        <v/>
      </c>
      <c r="N130" s="11">
        <f>IF(K130="FUERA","Fuera del marco",IF(K130="N/A","Sin marco",IFERROR(INDEX('Datos - Catálogo TIMSS'!$F$5:$F$107,MATCH(K130,'Datos - Catálogo TIMSS'!$A$5:$A$107,0)),"Pendiente de clasificar")))</f>
        <v/>
      </c>
      <c r="O130" s="11">
        <f>IF(L130="","",IFERROR(INDEX('Datos - Catálogo TIMSS'!$C$5:$C$107,MATCH(L130,'Datos - Catálogo TIMSS'!$A$5:$A$107,0)),"?"))</f>
        <v/>
      </c>
      <c r="P130" s="11" t="inlineStr">
        <is>
          <t>alta</t>
        </is>
      </c>
      <c r="Q130" s="38" t="inlineStr">
        <is>
          <t>Clasificar animales en vertebrados e invertebrados</t>
        </is>
      </c>
      <c r="R130" s="38" t="inlineStr">
        <is>
          <t>Aplicar: clasificar</t>
        </is>
      </c>
      <c r="S130" s="39">
        <f>IFERROR(ISNUMBER(SEARCH("Conocer",$R130))/(ISNUMBER(SEARCH("Conocer",$R130))+ISNUMBER(SEARCH("Aplicar",$R130))+ISNUMBER(SEARCH("Razonar",$R130))),0)</f>
        <v/>
      </c>
      <c r="T130" s="39">
        <f>IFERROR(ISNUMBER(SEARCH("Aplicar",$R130))/(ISNUMBER(SEARCH("Conocer",$R130))+ISNUMBER(SEARCH("Aplicar",$R130))+ISNUMBER(SEARCH("Razonar",$R130))),0)</f>
        <v/>
      </c>
      <c r="U130" s="39">
        <f>IFERROR(ISNUMBER(SEARCH("Razonar",$R130))/(ISNUMBER(SEARCH("Conocer",$R130))+ISNUMBER(SEARCH("Aplicar",$R130))+ISNUMBER(SEARCH("Razonar",$R130))),0)</f>
        <v/>
      </c>
      <c r="V130" s="11" t="inlineStr">
        <is>
          <t>3°</t>
        </is>
      </c>
      <c r="W130" s="11" t="inlineStr">
        <is>
          <t>Ciclo 2°–4°</t>
        </is>
      </c>
      <c r="X130" s="11">
        <f>IF(OR(IFERROR(INDEX('Datos - Catálogo TIMSS'!$I$5:$I$107,MATCH(K130,'Datos - Catálogo TIMSS'!$A$5:$A$107,0)),"No")="Sí",IFERROR(INDEX('Datos - Catálogo TIMSS'!$I$5:$I$107,MATCH(L130,'Datos - Catálogo TIMSS'!$A$5:$A$107,0)),"No")="Sí"),1,0)</f>
        <v/>
      </c>
      <c r="Y130" s="11">
        <f>IF(IFERROR(INDEX('Datos - Catálogo TIMSS'!$J$5:$J$107,MATCH(K130,'Datos - Catálogo TIMSS'!$A$5:$A$107,0)),"No")="Sí",1,0)</f>
        <v/>
      </c>
      <c r="Z130" s="11">
        <f>IF(IFERROR(INDEX('Datos - Catálogo TIMSS'!$J$5:$J$107,MATCH(L130,'Datos - Catálogo TIMSS'!$A$5:$A$107,0)),"No")="Sí",1,0)</f>
        <v/>
      </c>
      <c r="AA130" s="11" t="inlineStr">
        <is>
          <t>T4-V1.2</t>
        </is>
      </c>
      <c r="AB130" s="11" t="inlineStr"/>
      <c r="AC130" s="11">
        <f>IF(AA130="FUERA","Fuera del marco",IF(AA130="N/A","Sin marco",IFERROR(INDEX('Datos - TIMSS 2023'!$C$5:$C$105,MATCH(AA130,'Datos - TIMSS 2023'!$A$5:$A$105,0)),"Pendiente de clasificar")))</f>
        <v/>
      </c>
      <c r="AD130" s="11" t="inlineStr">
        <is>
          <t>1. Explicar fenómenos científicamente</t>
        </is>
      </c>
      <c r="AE130" s="11">
        <f>IF(AD130="","",IF(LEFT(AD130,1)="1","C1",IF(LEFT(AD130,1)="2","C2",IF(LEFT(AD130,1)="3","C3",""))))</f>
        <v/>
      </c>
      <c r="AF130" s="11" t="inlineStr">
        <is>
          <t>E1</t>
        </is>
      </c>
      <c r="AG130" s="11" t="inlineStr">
        <is>
          <t>D1</t>
        </is>
      </c>
      <c r="AH130" s="11" t="inlineStr">
        <is>
          <t>E1</t>
        </is>
      </c>
      <c r="AI130" s="11" t="inlineStr">
        <is>
          <t>D4</t>
        </is>
      </c>
      <c r="AJ130" s="11" t="inlineStr">
        <is>
          <t>E1</t>
        </is>
      </c>
      <c r="AK130" s="11" t="n"/>
      <c r="AL130" s="11" t="n"/>
      <c r="AM130" s="11" t="n"/>
      <c r="AN130" s="11" t="n"/>
      <c r="AO130" s="11" t="n"/>
      <c r="AP130" s="11" t="n"/>
      <c r="AQ130" s="11" t="n"/>
      <c r="AR130" s="11" t="n"/>
      <c r="AS130" s="11" t="n"/>
      <c r="AT130" s="11" t="n"/>
      <c r="AU130" s="11" t="n"/>
      <c r="AV130" s="11" t="n"/>
      <c r="AW130" s="11">
        <f>AF130&amp;"; "&amp;AG130&amp;"; "&amp;AH130&amp;"; "&amp;AI130&amp;"; "&amp;AJ130</f>
        <v/>
      </c>
    </row>
    <row r="131">
      <c r="A131" s="11" t="inlineStr">
        <is>
          <t>T0765-G03-CIE</t>
        </is>
      </c>
      <c r="B131" s="11" t="n">
        <v>3</v>
      </c>
      <c r="C131" s="11" t="inlineStr">
        <is>
          <t>Ciencias</t>
        </is>
      </c>
      <c r="D131" s="11" t="inlineStr">
        <is>
          <t>Matriz_Ciencias_3er_Grado_U1_U6.xlsx</t>
        </is>
      </c>
      <c r="E131" s="11" t="inlineStr">
        <is>
          <t>Unidad 5 - Los animales</t>
        </is>
      </c>
      <c r="F131" s="11" t="n">
        <v>15</v>
      </c>
      <c r="G131" s="11" t="inlineStr">
        <is>
          <t>5. Los animales.</t>
        </is>
      </c>
      <c r="H131" s="11" t="inlineStr">
        <is>
          <t>Los vertebrados.</t>
        </is>
      </c>
      <c r="I131" s="38" t="inlineStr">
        <is>
          <t>5.13. Caracterización anatómica de los principales grupos de vertebrados.</t>
        </is>
      </c>
      <c r="J131" s="11" t="inlineStr">
        <is>
          <t>T4_27</t>
        </is>
      </c>
      <c r="K131" s="11" t="inlineStr">
        <is>
          <t>T4_27-B1.2</t>
        </is>
      </c>
      <c r="L131" s="11" t="inlineStr"/>
      <c r="M131" s="11">
        <f>IF(K131="FUERA","Fuera del marco",IF(K131="N/A","Sin marco",IFERROR(INDEX('Datos - Catálogo TIMSS'!$C$5:$C$107,MATCH(K131,'Datos - Catálogo TIMSS'!$A$5:$A$107,0)),"Pendiente de clasificar")))</f>
        <v/>
      </c>
      <c r="N131" s="11">
        <f>IF(K131="FUERA","Fuera del marco",IF(K131="N/A","Sin marco",IFERROR(INDEX('Datos - Catálogo TIMSS'!$F$5:$F$107,MATCH(K131,'Datos - Catálogo TIMSS'!$A$5:$A$107,0)),"Pendiente de clasificar")))</f>
        <v/>
      </c>
      <c r="O131" s="11">
        <f>IF(L131="","",IFERROR(INDEX('Datos - Catálogo TIMSS'!$C$5:$C$107,MATCH(L131,'Datos - Catálogo TIMSS'!$A$5:$A$107,0)),"?"))</f>
        <v/>
      </c>
      <c r="P131" s="11" t="inlineStr">
        <is>
          <t>alta</t>
        </is>
      </c>
      <c r="Q131" s="38" t="inlineStr">
        <is>
          <t>Comparar peces, anfibios, reptiles, aves y mamíferos</t>
        </is>
      </c>
      <c r="R131" s="38" t="inlineStr">
        <is>
          <t>Aplicar: comparar. Razonar: justificar</t>
        </is>
      </c>
      <c r="S131" s="39">
        <f>IFERROR(ISNUMBER(SEARCH("Conocer",$R131))/(ISNUMBER(SEARCH("Conocer",$R131))+ISNUMBER(SEARCH("Aplicar",$R131))+ISNUMBER(SEARCH("Razonar",$R131))),0)</f>
        <v/>
      </c>
      <c r="T131" s="39">
        <f>IFERROR(ISNUMBER(SEARCH("Aplicar",$R131))/(ISNUMBER(SEARCH("Conocer",$R131))+ISNUMBER(SEARCH("Aplicar",$R131))+ISNUMBER(SEARCH("Razonar",$R131))),0)</f>
        <v/>
      </c>
      <c r="U131" s="39">
        <f>IFERROR(ISNUMBER(SEARCH("Razonar",$R131))/(ISNUMBER(SEARCH("Conocer",$R131))+ISNUMBER(SEARCH("Aplicar",$R131))+ISNUMBER(SEARCH("Razonar",$R131))),0)</f>
        <v/>
      </c>
      <c r="V131" s="11" t="inlineStr">
        <is>
          <t>3°</t>
        </is>
      </c>
      <c r="W131" s="11" t="inlineStr">
        <is>
          <t>Ciclo 2°–4°</t>
        </is>
      </c>
      <c r="X131" s="11">
        <f>IF(OR(IFERROR(INDEX('Datos - Catálogo TIMSS'!$I$5:$I$107,MATCH(K131,'Datos - Catálogo TIMSS'!$A$5:$A$107,0)),"No")="Sí",IFERROR(INDEX('Datos - Catálogo TIMSS'!$I$5:$I$107,MATCH(L131,'Datos - Catálogo TIMSS'!$A$5:$A$107,0)),"No")="Sí"),1,0)</f>
        <v/>
      </c>
      <c r="Y131" s="11">
        <f>IF(IFERROR(INDEX('Datos - Catálogo TIMSS'!$J$5:$J$107,MATCH(K131,'Datos - Catálogo TIMSS'!$A$5:$A$107,0)),"No")="Sí",1,0)</f>
        <v/>
      </c>
      <c r="Z131" s="11">
        <f>IF(IFERROR(INDEX('Datos - Catálogo TIMSS'!$J$5:$J$107,MATCH(L131,'Datos - Catálogo TIMSS'!$A$5:$A$107,0)),"No")="Sí",1,0)</f>
        <v/>
      </c>
      <c r="AA131" s="11" t="inlineStr">
        <is>
          <t>T4-V1.2</t>
        </is>
      </c>
      <c r="AB131" s="11" t="inlineStr"/>
      <c r="AC131" s="11">
        <f>IF(AA131="FUERA","Fuera del marco",IF(AA131="N/A","Sin marco",IFERROR(INDEX('Datos - TIMSS 2023'!$C$5:$C$105,MATCH(AA131,'Datos - TIMSS 2023'!$A$5:$A$105,0)),"Pendiente de clasificar")))</f>
        <v/>
      </c>
      <c r="AD131" s="11" t="inlineStr">
        <is>
          <t>3. Investigar, evaluar y usar información científica para tomar decisiones y actuar</t>
        </is>
      </c>
      <c r="AE131" s="11">
        <f>IF(AD131="","",IF(LEFT(AD131,1)="1","C1",IF(LEFT(AD131,1)="2","C2",IF(LEFT(AD131,1)="3","C3",""))))</f>
        <v/>
      </c>
      <c r="AF131" s="11" t="inlineStr">
        <is>
          <t>E6</t>
        </is>
      </c>
      <c r="AG131" s="11" t="inlineStr">
        <is>
          <t>D1</t>
        </is>
      </c>
      <c r="AH131" s="11" t="inlineStr">
        <is>
          <t>E2</t>
        </is>
      </c>
      <c r="AI131" s="11" t="inlineStr">
        <is>
          <t>I1</t>
        </is>
      </c>
      <c r="AJ131" s="11" t="inlineStr">
        <is>
          <t>I5</t>
        </is>
      </c>
      <c r="AK131" s="11" t="n"/>
      <c r="AL131" s="11" t="n"/>
      <c r="AM131" s="11" t="n"/>
      <c r="AN131" s="11" t="n"/>
      <c r="AO131" s="11" t="n"/>
      <c r="AP131" s="11" t="n"/>
      <c r="AQ131" s="11" t="n"/>
      <c r="AR131" s="11" t="n"/>
      <c r="AS131" s="11" t="n"/>
      <c r="AT131" s="11" t="n"/>
      <c r="AU131" s="11" t="n"/>
      <c r="AV131" s="11" t="n"/>
      <c r="AW131" s="11">
        <f>AF131&amp;"; "&amp;AG131&amp;"; "&amp;AH131&amp;"; "&amp;AI131&amp;"; "&amp;AJ131</f>
        <v/>
      </c>
    </row>
    <row r="132">
      <c r="A132" s="11" t="inlineStr">
        <is>
          <t>T0766-G03-CIE</t>
        </is>
      </c>
      <c r="B132" s="11" t="n">
        <v>3</v>
      </c>
      <c r="C132" s="11" t="inlineStr">
        <is>
          <t>Ciencias</t>
        </is>
      </c>
      <c r="D132" s="11" t="inlineStr">
        <is>
          <t>Matriz_Ciencias_3er_Grado_U1_U6.xlsx</t>
        </is>
      </c>
      <c r="E132" s="11" t="inlineStr">
        <is>
          <t>Unidad 6 - Los microorganismos</t>
        </is>
      </c>
      <c r="F132" s="11" t="n">
        <v>3</v>
      </c>
      <c r="G132" s="11" t="inlineStr">
        <is>
          <t>6. Los microorganismos.</t>
        </is>
      </c>
      <c r="H132" s="11" t="inlineStr">
        <is>
          <t>Agentes patógenos.</t>
        </is>
      </c>
      <c r="I132" s="38" t="inlineStr">
        <is>
          <t>6.1. Indagación de los conceptos de infección y enfermedad.</t>
        </is>
      </c>
      <c r="J132" s="11" t="inlineStr">
        <is>
          <t>T4_27</t>
        </is>
      </c>
      <c r="K132" s="11" t="inlineStr">
        <is>
          <t>T4_27-B5.1</t>
        </is>
      </c>
      <c r="L132" s="11" t="inlineStr"/>
      <c r="M132" s="11">
        <f>IF(K132="FUERA","Fuera del marco",IF(K132="N/A","Sin marco",IFERROR(INDEX('Datos - Catálogo TIMSS'!$C$5:$C$107,MATCH(K132,'Datos - Catálogo TIMSS'!$A$5:$A$107,0)),"Pendiente de clasificar")))</f>
        <v/>
      </c>
      <c r="N132" s="11">
        <f>IF(K132="FUERA","Fuera del marco",IF(K132="N/A","Sin marco",IFERROR(INDEX('Datos - Catálogo TIMSS'!$F$5:$F$107,MATCH(K132,'Datos - Catálogo TIMSS'!$A$5:$A$107,0)),"Pendiente de clasificar")))</f>
        <v/>
      </c>
      <c r="O132" s="11">
        <f>IF(L132="","",IFERROR(INDEX('Datos - Catálogo TIMSS'!$C$5:$C$107,MATCH(L132,'Datos - Catálogo TIMSS'!$A$5:$A$107,0)),"?"))</f>
        <v/>
      </c>
      <c r="P132" s="11" t="inlineStr">
        <is>
          <t>alta</t>
        </is>
      </c>
      <c r="Q132" s="38" t="inlineStr">
        <is>
          <t>Contagio de enfermedades y su prevención</t>
        </is>
      </c>
      <c r="R132" s="38" t="inlineStr">
        <is>
          <t>Conocer: describir. Aplicar: relacionar</t>
        </is>
      </c>
      <c r="S132" s="39">
        <f>IFERROR(ISNUMBER(SEARCH("Conocer",$R132))/(ISNUMBER(SEARCH("Conocer",$R132))+ISNUMBER(SEARCH("Aplicar",$R132))+ISNUMBER(SEARCH("Razonar",$R132))),0)</f>
        <v/>
      </c>
      <c r="T132" s="39">
        <f>IFERROR(ISNUMBER(SEARCH("Aplicar",$R132))/(ISNUMBER(SEARCH("Conocer",$R132))+ISNUMBER(SEARCH("Aplicar",$R132))+ISNUMBER(SEARCH("Razonar",$R132))),0)</f>
        <v/>
      </c>
      <c r="U132" s="39">
        <f>IFERROR(ISNUMBER(SEARCH("Razonar",$R132))/(ISNUMBER(SEARCH("Conocer",$R132))+ISNUMBER(SEARCH("Aplicar",$R132))+ISNUMBER(SEARCH("Razonar",$R132))),0)</f>
        <v/>
      </c>
      <c r="V132" s="11" t="inlineStr">
        <is>
          <t>3°</t>
        </is>
      </c>
      <c r="W132" s="11" t="inlineStr">
        <is>
          <t>Ciclo 2°–4°</t>
        </is>
      </c>
      <c r="X132" s="11">
        <f>IF(OR(IFERROR(INDEX('Datos - Catálogo TIMSS'!$I$5:$I$107,MATCH(K132,'Datos - Catálogo TIMSS'!$A$5:$A$107,0)),"No")="Sí",IFERROR(INDEX('Datos - Catálogo TIMSS'!$I$5:$I$107,MATCH(L132,'Datos - Catálogo TIMSS'!$A$5:$A$107,0)),"No")="Sí"),1,0)</f>
        <v/>
      </c>
      <c r="Y132" s="11">
        <f>IF(IFERROR(INDEX('Datos - Catálogo TIMSS'!$J$5:$J$107,MATCH(K132,'Datos - Catálogo TIMSS'!$A$5:$A$107,0)),"No")="Sí",1,0)</f>
        <v/>
      </c>
      <c r="Z132" s="11">
        <f>IF(IFERROR(INDEX('Datos - Catálogo TIMSS'!$J$5:$J$107,MATCH(L132,'Datos - Catálogo TIMSS'!$A$5:$A$107,0)),"No")="Sí",1,0)</f>
        <v/>
      </c>
      <c r="AA132" s="11" t="inlineStr">
        <is>
          <t>T4-V5.2</t>
        </is>
      </c>
      <c r="AB132" s="11" t="inlineStr"/>
      <c r="AC132" s="11">
        <f>IF(AA132="FUERA","Fuera del marco",IF(AA132="N/A","Sin marco",IFERROR(INDEX('Datos - TIMSS 2023'!$C$5:$C$105,MATCH(AA132,'Datos - TIMSS 2023'!$A$5:$A$105,0)),"Pendiente de clasificar")))</f>
        <v/>
      </c>
      <c r="AD132" s="11" t="inlineStr">
        <is>
          <t>1. Explicar fenómenos científicamente</t>
        </is>
      </c>
      <c r="AE132" s="11">
        <f>IF(AD132="","",IF(LEFT(AD132,1)="1","C1",IF(LEFT(AD132,1)="2","C2",IF(LEFT(AD132,1)="3","C3",""))))</f>
        <v/>
      </c>
      <c r="AF132" s="11" t="inlineStr">
        <is>
          <t>E1</t>
        </is>
      </c>
      <c r="AG132" s="11" t="inlineStr">
        <is>
          <t>E5</t>
        </is>
      </c>
      <c r="AH132" s="11" t="inlineStr">
        <is>
          <t>E1</t>
        </is>
      </c>
      <c r="AI132" s="11" t="inlineStr">
        <is>
          <t>I2</t>
        </is>
      </c>
      <c r="AJ132" s="11" t="inlineStr">
        <is>
          <t>E6</t>
        </is>
      </c>
      <c r="AK132" s="11" t="n"/>
      <c r="AL132" s="11" t="n"/>
      <c r="AM132" s="11" t="n"/>
      <c r="AN132" s="11" t="n"/>
      <c r="AO132" s="11" t="n"/>
      <c r="AP132" s="11" t="n"/>
      <c r="AQ132" s="11" t="n"/>
      <c r="AR132" s="11" t="n"/>
      <c r="AS132" s="11" t="n"/>
      <c r="AT132" s="11" t="n"/>
      <c r="AU132" s="11" t="n"/>
      <c r="AV132" s="11" t="n"/>
      <c r="AW132" s="11">
        <f>AF132&amp;"; "&amp;AG132&amp;"; "&amp;AH132&amp;"; "&amp;AI132&amp;"; "&amp;AJ132</f>
        <v/>
      </c>
    </row>
    <row r="133">
      <c r="A133" s="11" t="inlineStr">
        <is>
          <t>T0767-G03-CIE</t>
        </is>
      </c>
      <c r="B133" s="11" t="n">
        <v>3</v>
      </c>
      <c r="C133" s="11" t="inlineStr">
        <is>
          <t>Ciencias</t>
        </is>
      </c>
      <c r="D133" s="11" t="inlineStr">
        <is>
          <t>Matriz_Ciencias_3er_Grado_U1_U6.xlsx</t>
        </is>
      </c>
      <c r="E133" s="11" t="inlineStr">
        <is>
          <t>Unidad 6 - Los microorganismos</t>
        </is>
      </c>
      <c r="F133" s="11" t="n">
        <v>4</v>
      </c>
      <c r="G133" s="11" t="inlineStr">
        <is>
          <t>6. Los microorganismos.</t>
        </is>
      </c>
      <c r="H133" s="11" t="inlineStr">
        <is>
          <t>Agentes patógenos.</t>
        </is>
      </c>
      <c r="I133" s="38" t="inlineStr">
        <is>
          <t>6.2. Observación de microorganismos en el microscopio..</t>
        </is>
      </c>
      <c r="J133" s="11" t="inlineStr">
        <is>
          <t>T4_27</t>
        </is>
      </c>
      <c r="K133" s="11" t="inlineStr">
        <is>
          <t>T4_27-B5.1</t>
        </is>
      </c>
      <c r="L133" s="11" t="inlineStr">
        <is>
          <t>T4_27-B6.1</t>
        </is>
      </c>
      <c r="M133" s="11">
        <f>IF(K133="FUERA","Fuera del marco",IF(K133="N/A","Sin marco",IFERROR(INDEX('Datos - Catálogo TIMSS'!$C$5:$C$107,MATCH(K133,'Datos - Catálogo TIMSS'!$A$5:$A$107,0)),"Pendiente de clasificar")))</f>
        <v/>
      </c>
      <c r="N133" s="11">
        <f>IF(K133="FUERA","Fuera del marco",IF(K133="N/A","Sin marco",IFERROR(INDEX('Datos - Catálogo TIMSS'!$F$5:$F$107,MATCH(K133,'Datos - Catálogo TIMSS'!$A$5:$A$107,0)),"Pendiente de clasificar")))</f>
        <v/>
      </c>
      <c r="O133" s="11">
        <f>IF(L133="","",IFERROR(INDEX('Datos - Catálogo TIMSS'!$C$5:$C$107,MATCH(L133,'Datos - Catálogo TIMSS'!$A$5:$A$107,0)),"?"))</f>
        <v/>
      </c>
      <c r="P133" s="11" t="inlineStr">
        <is>
          <t>baja</t>
        </is>
      </c>
      <c r="Q133" s="38" t="inlineStr">
        <is>
          <t>Agentes infecciosos al microscopio; foco en observación más que transmisión</t>
        </is>
      </c>
      <c r="R133" s="38" t="inlineStr">
        <is>
          <t>Aplicar: usar instrumentos</t>
        </is>
      </c>
      <c r="S133" s="39">
        <f>IFERROR(ISNUMBER(SEARCH("Conocer",$R133))/(ISNUMBER(SEARCH("Conocer",$R133))+ISNUMBER(SEARCH("Aplicar",$R133))+ISNUMBER(SEARCH("Razonar",$R133))),0)</f>
        <v/>
      </c>
      <c r="T133" s="39">
        <f>IFERROR(ISNUMBER(SEARCH("Aplicar",$R133))/(ISNUMBER(SEARCH("Conocer",$R133))+ISNUMBER(SEARCH("Aplicar",$R133))+ISNUMBER(SEARCH("Razonar",$R133))),0)</f>
        <v/>
      </c>
      <c r="U133" s="39">
        <f>IFERROR(ISNUMBER(SEARCH("Razonar",$R133))/(ISNUMBER(SEARCH("Conocer",$R133))+ISNUMBER(SEARCH("Aplicar",$R133))+ISNUMBER(SEARCH("Razonar",$R133))),0)</f>
        <v/>
      </c>
      <c r="V133" s="11" t="inlineStr">
        <is>
          <t>3°</t>
        </is>
      </c>
      <c r="W133" s="11" t="inlineStr">
        <is>
          <t>Ciclo 2°–4°</t>
        </is>
      </c>
      <c r="X133" s="11">
        <f>IF(OR(IFERROR(INDEX('Datos - Catálogo TIMSS'!$I$5:$I$107,MATCH(K133,'Datos - Catálogo TIMSS'!$A$5:$A$107,0)),"No")="Sí",IFERROR(INDEX('Datos - Catálogo TIMSS'!$I$5:$I$107,MATCH(L133,'Datos - Catálogo TIMSS'!$A$5:$A$107,0)),"No")="Sí"),1,0)</f>
        <v/>
      </c>
      <c r="Y133" s="11">
        <f>IF(IFERROR(INDEX('Datos - Catálogo TIMSS'!$J$5:$J$107,MATCH(K133,'Datos - Catálogo TIMSS'!$A$5:$A$107,0)),"No")="Sí",1,0)</f>
        <v/>
      </c>
      <c r="Z133" s="11">
        <f>IF(IFERROR(INDEX('Datos - Catálogo TIMSS'!$J$5:$J$107,MATCH(L133,'Datos - Catálogo TIMSS'!$A$5:$A$107,0)),"No")="Sí",1,0)</f>
        <v/>
      </c>
      <c r="AA133" s="11" t="inlineStr">
        <is>
          <t>T4-V5.2</t>
        </is>
      </c>
      <c r="AB133" s="11" t="inlineStr"/>
      <c r="AC133" s="11">
        <f>IF(AA133="FUERA","Fuera del marco",IF(AA133="N/A","Sin marco",IFERROR(INDEX('Datos - TIMSS 2023'!$C$5:$C$105,MATCH(AA133,'Datos - TIMSS 2023'!$A$5:$A$105,0)),"Pendiente de clasificar")))</f>
        <v/>
      </c>
      <c r="AD133" s="11" t="inlineStr">
        <is>
          <t>2. Construir y evaluar diseños para la indagación científica e interpretar datos y evidencia de forma crítica</t>
        </is>
      </c>
      <c r="AE133" s="11">
        <f>IF(AD133="","",IF(LEFT(AD133,1)="1","C1",IF(LEFT(AD133,1)="2","C2",IF(LEFT(AD133,1)="3","C3",""))))</f>
        <v/>
      </c>
      <c r="AF133" s="11" t="inlineStr">
        <is>
          <t>E1</t>
        </is>
      </c>
      <c r="AG133" s="11" t="inlineStr">
        <is>
          <t>E3</t>
        </is>
      </c>
      <c r="AH133" s="11" t="inlineStr">
        <is>
          <t>E1</t>
        </is>
      </c>
      <c r="AI133" s="11" t="inlineStr">
        <is>
          <t>D4</t>
        </is>
      </c>
      <c r="AJ133" s="11" t="inlineStr">
        <is>
          <t>E1</t>
        </is>
      </c>
      <c r="AK133" s="11" t="n"/>
      <c r="AL133" s="11" t="n"/>
      <c r="AM133" s="11" t="n"/>
      <c r="AN133" s="11" t="n"/>
      <c r="AO133" s="11" t="n"/>
      <c r="AP133" s="11" t="n"/>
      <c r="AQ133" s="11" t="n"/>
      <c r="AR133" s="11" t="n"/>
      <c r="AS133" s="11" t="n"/>
      <c r="AT133" s="11" t="n"/>
      <c r="AU133" s="11" t="n"/>
      <c r="AV133" s="11" t="n"/>
      <c r="AW133" s="11">
        <f>AF133&amp;"; "&amp;AG133&amp;"; "&amp;AH133&amp;"; "&amp;AI133&amp;"; "&amp;AJ133</f>
        <v/>
      </c>
    </row>
    <row r="134">
      <c r="A134" s="11" t="inlineStr">
        <is>
          <t>T0768-G03-CIE</t>
        </is>
      </c>
      <c r="B134" s="11" t="n">
        <v>3</v>
      </c>
      <c r="C134" s="11" t="inlineStr">
        <is>
          <t>Ciencias</t>
        </is>
      </c>
      <c r="D134" s="11" t="inlineStr">
        <is>
          <t>Matriz_Ciencias_3er_Grado_U1_U6.xlsx</t>
        </is>
      </c>
      <c r="E134" s="11" t="inlineStr">
        <is>
          <t>Unidad 6 - Los microorganismos</t>
        </is>
      </c>
      <c r="F134" s="11" t="n">
        <v>5</v>
      </c>
      <c r="G134" s="11" t="inlineStr">
        <is>
          <t>6. Los microorganismos.</t>
        </is>
      </c>
      <c r="H134" s="11" t="inlineStr">
        <is>
          <t>Agentes patógenos.</t>
        </is>
      </c>
      <c r="I134" s="38" t="inlineStr">
        <is>
          <t>6.3. Representación de agentes patógenos.</t>
        </is>
      </c>
      <c r="J134" s="11" t="inlineStr">
        <is>
          <t>T4_27</t>
        </is>
      </c>
      <c r="K134" s="11" t="inlineStr">
        <is>
          <t>T4_27-B5.1</t>
        </is>
      </c>
      <c r="L134" s="11" t="inlineStr"/>
      <c r="M134" s="11">
        <f>IF(K134="FUERA","Fuera del marco",IF(K134="N/A","Sin marco",IFERROR(INDEX('Datos - Catálogo TIMSS'!$C$5:$C$107,MATCH(K134,'Datos - Catálogo TIMSS'!$A$5:$A$107,0)),"Pendiente de clasificar")))</f>
        <v/>
      </c>
      <c r="N134" s="11">
        <f>IF(K134="FUERA","Fuera del marco",IF(K134="N/A","Sin marco",IFERROR(INDEX('Datos - Catálogo TIMSS'!$F$5:$F$107,MATCH(K134,'Datos - Catálogo TIMSS'!$A$5:$A$107,0)),"Pendiente de clasificar")))</f>
        <v/>
      </c>
      <c r="O134" s="11">
        <f>IF(L134="","",IFERROR(INDEX('Datos - Catálogo TIMSS'!$C$5:$C$107,MATCH(L134,'Datos - Catálogo TIMSS'!$A$5:$A$107,0)),"?"))</f>
        <v/>
      </c>
      <c r="P134" s="11" t="inlineStr">
        <is>
          <t>media</t>
        </is>
      </c>
      <c r="Q134" s="38" t="inlineStr">
        <is>
          <t>Patógenos y su forma de transmisión</t>
        </is>
      </c>
      <c r="R134" s="38" t="inlineStr">
        <is>
          <t>Aplicar: usar modelos</t>
        </is>
      </c>
      <c r="S134" s="39">
        <f>IFERROR(ISNUMBER(SEARCH("Conocer",$R134))/(ISNUMBER(SEARCH("Conocer",$R134))+ISNUMBER(SEARCH("Aplicar",$R134))+ISNUMBER(SEARCH("Razonar",$R134))),0)</f>
        <v/>
      </c>
      <c r="T134" s="39">
        <f>IFERROR(ISNUMBER(SEARCH("Aplicar",$R134))/(ISNUMBER(SEARCH("Conocer",$R134))+ISNUMBER(SEARCH("Aplicar",$R134))+ISNUMBER(SEARCH("Razonar",$R134))),0)</f>
        <v/>
      </c>
      <c r="U134" s="39">
        <f>IFERROR(ISNUMBER(SEARCH("Razonar",$R134))/(ISNUMBER(SEARCH("Conocer",$R134))+ISNUMBER(SEARCH("Aplicar",$R134))+ISNUMBER(SEARCH("Razonar",$R134))),0)</f>
        <v/>
      </c>
      <c r="V134" s="11" t="inlineStr">
        <is>
          <t>3°</t>
        </is>
      </c>
      <c r="W134" s="11" t="inlineStr">
        <is>
          <t>Ciclo 2°–4°</t>
        </is>
      </c>
      <c r="X134" s="11">
        <f>IF(OR(IFERROR(INDEX('Datos - Catálogo TIMSS'!$I$5:$I$107,MATCH(K134,'Datos - Catálogo TIMSS'!$A$5:$A$107,0)),"No")="Sí",IFERROR(INDEX('Datos - Catálogo TIMSS'!$I$5:$I$107,MATCH(L134,'Datos - Catálogo TIMSS'!$A$5:$A$107,0)),"No")="Sí"),1,0)</f>
        <v/>
      </c>
      <c r="Y134" s="11">
        <f>IF(IFERROR(INDEX('Datos - Catálogo TIMSS'!$J$5:$J$107,MATCH(K134,'Datos - Catálogo TIMSS'!$A$5:$A$107,0)),"No")="Sí",1,0)</f>
        <v/>
      </c>
      <c r="Z134" s="11">
        <f>IF(IFERROR(INDEX('Datos - Catálogo TIMSS'!$J$5:$J$107,MATCH(L134,'Datos - Catálogo TIMSS'!$A$5:$A$107,0)),"No")="Sí",1,0)</f>
        <v/>
      </c>
      <c r="AA134" s="11" t="inlineStr">
        <is>
          <t>T4-V5.2</t>
        </is>
      </c>
      <c r="AB134" s="11" t="inlineStr"/>
      <c r="AC134" s="11">
        <f>IF(AA134="FUERA","Fuera del marco",IF(AA134="N/A","Sin marco",IFERROR(INDEX('Datos - TIMSS 2023'!$C$5:$C$105,MATCH(AA134,'Datos - TIMSS 2023'!$A$5:$A$105,0)),"Pendiente de clasificar")))</f>
        <v/>
      </c>
      <c r="AD134" s="11" t="inlineStr">
        <is>
          <t>1. Explicar fenómenos científicamente</t>
        </is>
      </c>
      <c r="AE134" s="11">
        <f>IF(AD134="","",IF(LEFT(AD134,1)="1","C1",IF(LEFT(AD134,1)="2","C2",IF(LEFT(AD134,1)="3","C3",""))))</f>
        <v/>
      </c>
      <c r="AF134" s="11" t="inlineStr">
        <is>
          <t>E1</t>
        </is>
      </c>
      <c r="AG134" s="11" t="inlineStr">
        <is>
          <t>D1</t>
        </is>
      </c>
      <c r="AH134" s="11" t="inlineStr">
        <is>
          <t>E4</t>
        </is>
      </c>
      <c r="AI134" s="11" t="inlineStr">
        <is>
          <t>E4</t>
        </is>
      </c>
      <c r="AJ134" s="11" t="inlineStr">
        <is>
          <t>E6</t>
        </is>
      </c>
      <c r="AK134" s="11" t="n"/>
      <c r="AL134" s="11" t="n"/>
      <c r="AM134" s="11" t="n"/>
      <c r="AN134" s="11" t="n"/>
      <c r="AO134" s="11" t="n"/>
      <c r="AP134" s="11" t="n"/>
      <c r="AQ134" s="11" t="n"/>
      <c r="AR134" s="11" t="n"/>
      <c r="AS134" s="11" t="n"/>
      <c r="AT134" s="11" t="n"/>
      <c r="AU134" s="11" t="n"/>
      <c r="AV134" s="11" t="n"/>
      <c r="AW134" s="11">
        <f>AF134&amp;"; "&amp;AG134&amp;"; "&amp;AH134&amp;"; "&amp;AI134&amp;"; "&amp;AJ134</f>
        <v/>
      </c>
    </row>
    <row r="135">
      <c r="A135" s="11" t="inlineStr">
        <is>
          <t>T0769-G03-CIE</t>
        </is>
      </c>
      <c r="B135" s="11" t="n">
        <v>3</v>
      </c>
      <c r="C135" s="11" t="inlineStr">
        <is>
          <t>Ciencias</t>
        </is>
      </c>
      <c r="D135" s="11" t="inlineStr">
        <is>
          <t>Matriz_Ciencias_3er_Grado_U1_U6.xlsx</t>
        </is>
      </c>
      <c r="E135" s="11" t="inlineStr">
        <is>
          <t>Unidad 6 - Los microorganismos</t>
        </is>
      </c>
      <c r="F135" s="11" t="n">
        <v>6</v>
      </c>
      <c r="G135" s="11" t="inlineStr">
        <is>
          <t>6. Los microorganismos.</t>
        </is>
      </c>
      <c r="H135" s="11" t="inlineStr">
        <is>
          <t>Agentes patógenos.</t>
        </is>
      </c>
      <c r="I135" s="38" t="inlineStr">
        <is>
          <t>6.4. Reconocimiento de sustancias de acción desinfectante.</t>
        </is>
      </c>
      <c r="J135" s="11" t="inlineStr">
        <is>
          <t>T4_27</t>
        </is>
      </c>
      <c r="K135" s="11" t="inlineStr">
        <is>
          <t>T4_27-B5.1</t>
        </is>
      </c>
      <c r="L135" s="11" t="inlineStr">
        <is>
          <t>T4_27-B6.1</t>
        </is>
      </c>
      <c r="M135" s="11">
        <f>IF(K135="FUERA","Fuera del marco",IF(K135="N/A","Sin marco",IFERROR(INDEX('Datos - Catálogo TIMSS'!$C$5:$C$107,MATCH(K135,'Datos - Catálogo TIMSS'!$A$5:$A$107,0)),"Pendiente de clasificar")))</f>
        <v/>
      </c>
      <c r="N135" s="11">
        <f>IF(K135="FUERA","Fuera del marco",IF(K135="N/A","Sin marco",IFERROR(INDEX('Datos - Catálogo TIMSS'!$F$5:$F$107,MATCH(K135,'Datos - Catálogo TIMSS'!$A$5:$A$107,0)),"Pendiente de clasificar")))</f>
        <v/>
      </c>
      <c r="O135" s="11">
        <f>IF(L135="","",IFERROR(INDEX('Datos - Catálogo TIMSS'!$C$5:$C$107,MATCH(L135,'Datos - Catálogo TIMSS'!$A$5:$A$107,0)),"?"))</f>
        <v/>
      </c>
      <c r="P135" s="11" t="inlineStr">
        <is>
          <t>alta</t>
        </is>
      </c>
      <c r="Q135" s="38" t="inlineStr">
        <is>
          <t>Prevención con jabón y desinfectantes; comparación registrada</t>
        </is>
      </c>
      <c r="R135" s="38" t="inlineStr">
        <is>
          <t>Aplicar: relacionar. Razonar: comparar</t>
        </is>
      </c>
      <c r="S135" s="39">
        <f>IFERROR(ISNUMBER(SEARCH("Conocer",$R135))/(ISNUMBER(SEARCH("Conocer",$R135))+ISNUMBER(SEARCH("Aplicar",$R135))+ISNUMBER(SEARCH("Razonar",$R135))),0)</f>
        <v/>
      </c>
      <c r="T135" s="39">
        <f>IFERROR(ISNUMBER(SEARCH("Aplicar",$R135))/(ISNUMBER(SEARCH("Conocer",$R135))+ISNUMBER(SEARCH("Aplicar",$R135))+ISNUMBER(SEARCH("Razonar",$R135))),0)</f>
        <v/>
      </c>
      <c r="U135" s="39">
        <f>IFERROR(ISNUMBER(SEARCH("Razonar",$R135))/(ISNUMBER(SEARCH("Conocer",$R135))+ISNUMBER(SEARCH("Aplicar",$R135))+ISNUMBER(SEARCH("Razonar",$R135))),0)</f>
        <v/>
      </c>
      <c r="V135" s="11" t="inlineStr">
        <is>
          <t>3°</t>
        </is>
      </c>
      <c r="W135" s="11" t="inlineStr">
        <is>
          <t>Ciclo 2°–4°</t>
        </is>
      </c>
      <c r="X135" s="11">
        <f>IF(OR(IFERROR(INDEX('Datos - Catálogo TIMSS'!$I$5:$I$107,MATCH(K135,'Datos - Catálogo TIMSS'!$A$5:$A$107,0)),"No")="Sí",IFERROR(INDEX('Datos - Catálogo TIMSS'!$I$5:$I$107,MATCH(L135,'Datos - Catálogo TIMSS'!$A$5:$A$107,0)),"No")="Sí"),1,0)</f>
        <v/>
      </c>
      <c r="Y135" s="11">
        <f>IF(IFERROR(INDEX('Datos - Catálogo TIMSS'!$J$5:$J$107,MATCH(K135,'Datos - Catálogo TIMSS'!$A$5:$A$107,0)),"No")="Sí",1,0)</f>
        <v/>
      </c>
      <c r="Z135" s="11">
        <f>IF(IFERROR(INDEX('Datos - Catálogo TIMSS'!$J$5:$J$107,MATCH(L135,'Datos - Catálogo TIMSS'!$A$5:$A$107,0)),"No")="Sí",1,0)</f>
        <v/>
      </c>
      <c r="AA135" s="11" t="inlineStr">
        <is>
          <t>T4-V5.2</t>
        </is>
      </c>
      <c r="AB135" s="11" t="inlineStr"/>
      <c r="AC135" s="11">
        <f>IF(AA135="FUERA","Fuera del marco",IF(AA135="N/A","Sin marco",IFERROR(INDEX('Datos - TIMSS 2023'!$C$5:$C$105,MATCH(AA135,'Datos - TIMSS 2023'!$A$5:$A$105,0)),"Pendiente de clasificar")))</f>
        <v/>
      </c>
      <c r="AD135" s="11" t="inlineStr">
        <is>
          <t>3. Investigar, evaluar y usar información científica para tomar decisiones y actuar</t>
        </is>
      </c>
      <c r="AE135" s="11">
        <f>IF(AD135="","",IF(LEFT(AD135,1)="1","C1",IF(LEFT(AD135,1)="2","C2",IF(LEFT(AD135,1)="3","C3",""))))</f>
        <v/>
      </c>
      <c r="AF135" s="11" t="inlineStr">
        <is>
          <t>E1</t>
        </is>
      </c>
      <c r="AG135" s="11" t="inlineStr">
        <is>
          <t>D1</t>
        </is>
      </c>
      <c r="AH135" s="11" t="inlineStr">
        <is>
          <t>E1</t>
        </is>
      </c>
      <c r="AI135" s="11" t="inlineStr">
        <is>
          <t>D4</t>
        </is>
      </c>
      <c r="AJ135" s="11" t="inlineStr">
        <is>
          <t>I5</t>
        </is>
      </c>
      <c r="AK135" s="11" t="n"/>
      <c r="AL135" s="11" t="n"/>
      <c r="AM135" s="11" t="n"/>
      <c r="AN135" s="11" t="n"/>
      <c r="AO135" s="11" t="n"/>
      <c r="AP135" s="11" t="n"/>
      <c r="AQ135" s="11" t="n"/>
      <c r="AR135" s="11" t="n"/>
      <c r="AS135" s="11" t="n"/>
      <c r="AT135" s="11" t="n"/>
      <c r="AU135" s="11" t="n"/>
      <c r="AV135" s="11" t="n"/>
      <c r="AW135" s="11">
        <f>AF135&amp;"; "&amp;AG135&amp;"; "&amp;AH135&amp;"; "&amp;AI135&amp;"; "&amp;AJ135</f>
        <v/>
      </c>
    </row>
    <row r="136">
      <c r="A136" s="11" t="inlineStr">
        <is>
          <t>T0770-G03-CIE</t>
        </is>
      </c>
      <c r="B136" s="11" t="n">
        <v>3</v>
      </c>
      <c r="C136" s="11" t="inlineStr">
        <is>
          <t>Ciencias</t>
        </is>
      </c>
      <c r="D136" s="11" t="inlineStr">
        <is>
          <t>Matriz_Ciencias_3er_Grado_U1_U6.xlsx</t>
        </is>
      </c>
      <c r="E136" s="11" t="inlineStr">
        <is>
          <t>Unidad 6 - Los microorganismos</t>
        </is>
      </c>
      <c r="F136" s="11" t="n">
        <v>7</v>
      </c>
      <c r="G136" s="11" t="inlineStr">
        <is>
          <t>6. Los microorganismos.</t>
        </is>
      </c>
      <c r="H136" s="11" t="inlineStr">
        <is>
          <t>Tipos de microorganismos.</t>
        </is>
      </c>
      <c r="I136" s="38" t="inlineStr">
        <is>
          <t>6.5. Preparación de cultivos microbianos.</t>
        </is>
      </c>
      <c r="J136" s="11" t="inlineStr">
        <is>
          <t>T4_27</t>
        </is>
      </c>
      <c r="K136" s="11" t="inlineStr">
        <is>
          <t>T4_27-B1.1</t>
        </is>
      </c>
      <c r="L136" s="11" t="inlineStr">
        <is>
          <t>T4_27-B6.1</t>
        </is>
      </c>
      <c r="M136" s="11">
        <f>IF(K136="FUERA","Fuera del marco",IF(K136="N/A","Sin marco",IFERROR(INDEX('Datos - Catálogo TIMSS'!$C$5:$C$107,MATCH(K136,'Datos - Catálogo TIMSS'!$A$5:$A$107,0)),"Pendiente de clasificar")))</f>
        <v/>
      </c>
      <c r="N136" s="11">
        <f>IF(K136="FUERA","Fuera del marco",IF(K136="N/A","Sin marco",IFERROR(INDEX('Datos - Catálogo TIMSS'!$F$5:$F$107,MATCH(K136,'Datos - Catálogo TIMSS'!$A$5:$A$107,0)),"Pendiente de clasificar")))</f>
        <v/>
      </c>
      <c r="O136" s="11">
        <f>IF(L136="","",IFERROR(INDEX('Datos - Catálogo TIMSS'!$C$5:$C$107,MATCH(L136,'Datos - Catálogo TIMSS'!$A$5:$A$107,0)),"?"))</f>
        <v/>
      </c>
      <c r="P136" s="11" t="inlineStr">
        <is>
          <t>baja</t>
        </is>
      </c>
      <c r="Q136" s="38" t="inlineStr">
        <is>
          <t>Crecimiento de microorganismos con registro diario; no hay objetivo específico</t>
        </is>
      </c>
      <c r="R136" s="38" t="inlineStr">
        <is>
          <t>Razonar: identificar variables y extraer conclusiones</t>
        </is>
      </c>
      <c r="S136" s="39">
        <f>IFERROR(ISNUMBER(SEARCH("Conocer",$R136))/(ISNUMBER(SEARCH("Conocer",$R136))+ISNUMBER(SEARCH("Aplicar",$R136))+ISNUMBER(SEARCH("Razonar",$R136))),0)</f>
        <v/>
      </c>
      <c r="T136" s="39">
        <f>IFERROR(ISNUMBER(SEARCH("Aplicar",$R136))/(ISNUMBER(SEARCH("Conocer",$R136))+ISNUMBER(SEARCH("Aplicar",$R136))+ISNUMBER(SEARCH("Razonar",$R136))),0)</f>
        <v/>
      </c>
      <c r="U136" s="39">
        <f>IFERROR(ISNUMBER(SEARCH("Razonar",$R136))/(ISNUMBER(SEARCH("Conocer",$R136))+ISNUMBER(SEARCH("Aplicar",$R136))+ISNUMBER(SEARCH("Razonar",$R136))),0)</f>
        <v/>
      </c>
      <c r="V136" s="11" t="inlineStr">
        <is>
          <t>3°</t>
        </is>
      </c>
      <c r="W136" s="11" t="inlineStr">
        <is>
          <t>Ciclo 2°–4°</t>
        </is>
      </c>
      <c r="X136" s="11">
        <f>IF(OR(IFERROR(INDEX('Datos - Catálogo TIMSS'!$I$5:$I$107,MATCH(K136,'Datos - Catálogo TIMSS'!$A$5:$A$107,0)),"No")="Sí",IFERROR(INDEX('Datos - Catálogo TIMSS'!$I$5:$I$107,MATCH(L136,'Datos - Catálogo TIMSS'!$A$5:$A$107,0)),"No")="Sí"),1,0)</f>
        <v/>
      </c>
      <c r="Y136" s="11">
        <f>IF(IFERROR(INDEX('Datos - Catálogo TIMSS'!$J$5:$J$107,MATCH(K136,'Datos - Catálogo TIMSS'!$A$5:$A$107,0)),"No")="Sí",1,0)</f>
        <v/>
      </c>
      <c r="Z136" s="11">
        <f>IF(IFERROR(INDEX('Datos - Catálogo TIMSS'!$J$5:$J$107,MATCH(L136,'Datos - Catálogo TIMSS'!$A$5:$A$107,0)),"No")="Sí",1,0)</f>
        <v/>
      </c>
      <c r="AA136" s="11" t="inlineStr">
        <is>
          <t>T4-V1.1</t>
        </is>
      </c>
      <c r="AB136" s="11" t="inlineStr"/>
      <c r="AC136" s="11">
        <f>IF(AA136="FUERA","Fuera del marco",IF(AA136="N/A","Sin marco",IFERROR(INDEX('Datos - TIMSS 2023'!$C$5:$C$105,MATCH(AA136,'Datos - TIMSS 2023'!$A$5:$A$105,0)),"Pendiente de clasificar")))</f>
        <v/>
      </c>
      <c r="AD136" s="11" t="inlineStr">
        <is>
          <t>2. Construir y evaluar diseños para la indagación científica e interpretar datos y evidencia de forma crítica</t>
        </is>
      </c>
      <c r="AE136" s="11">
        <f>IF(AD136="","",IF(LEFT(AD136,1)="1","C1",IF(LEFT(AD136,1)="2","C2",IF(LEFT(AD136,1)="3","C3",""))))</f>
        <v/>
      </c>
      <c r="AF136" s="11" t="inlineStr">
        <is>
          <t>E1</t>
        </is>
      </c>
      <c r="AG136" s="11" t="inlineStr">
        <is>
          <t>E3</t>
        </is>
      </c>
      <c r="AH136" s="11" t="inlineStr">
        <is>
          <t>E1</t>
        </is>
      </c>
      <c r="AI136" s="11" t="inlineStr">
        <is>
          <t>D3</t>
        </is>
      </c>
      <c r="AJ136" s="11" t="inlineStr">
        <is>
          <t>E6</t>
        </is>
      </c>
      <c r="AK136" s="11" t="n"/>
      <c r="AL136" s="11" t="n"/>
      <c r="AM136" s="11" t="n"/>
      <c r="AN136" s="11" t="n"/>
      <c r="AO136" s="11" t="n"/>
      <c r="AP136" s="11" t="n"/>
      <c r="AQ136" s="11" t="n"/>
      <c r="AR136" s="11" t="n"/>
      <c r="AS136" s="11" t="n"/>
      <c r="AT136" s="11" t="n"/>
      <c r="AU136" s="11" t="n"/>
      <c r="AV136" s="11" t="n"/>
      <c r="AW136" s="11">
        <f>AF136&amp;"; "&amp;AG136&amp;"; "&amp;AH136&amp;"; "&amp;AI136&amp;"; "&amp;AJ136</f>
        <v/>
      </c>
    </row>
    <row r="137">
      <c r="A137" s="11" t="inlineStr">
        <is>
          <t>T0771-G03-CIE</t>
        </is>
      </c>
      <c r="B137" s="11" t="n">
        <v>3</v>
      </c>
      <c r="C137" s="11" t="inlineStr">
        <is>
          <t>Ciencias</t>
        </is>
      </c>
      <c r="D137" s="11" t="inlineStr">
        <is>
          <t>Matriz_Ciencias_3er_Grado_U1_U6.xlsx</t>
        </is>
      </c>
      <c r="E137" s="11" t="inlineStr">
        <is>
          <t>Unidad 6 - Los microorganismos</t>
        </is>
      </c>
      <c r="F137" s="11" t="n">
        <v>8</v>
      </c>
      <c r="G137" s="11" t="inlineStr">
        <is>
          <t>6. Los microorganismos.</t>
        </is>
      </c>
      <c r="H137" s="11" t="inlineStr">
        <is>
          <t>Tipos de microorganismos.</t>
        </is>
      </c>
      <c r="I137" s="38" t="inlineStr">
        <is>
          <t>6.6. Descripción de las características de hongos, protozoos y bacterias.</t>
        </is>
      </c>
      <c r="J137" s="11" t="inlineStr">
        <is>
          <t>T4_27</t>
        </is>
      </c>
      <c r="K137" s="11" t="inlineStr">
        <is>
          <t>T4_27-B1.2</t>
        </is>
      </c>
      <c r="L137" s="11" t="inlineStr"/>
      <c r="M137" s="11">
        <f>IF(K137="FUERA","Fuera del marco",IF(K137="N/A","Sin marco",IFERROR(INDEX('Datos - Catálogo TIMSS'!$C$5:$C$107,MATCH(K137,'Datos - Catálogo TIMSS'!$A$5:$A$107,0)),"Pendiente de clasificar")))</f>
        <v/>
      </c>
      <c r="N137" s="11">
        <f>IF(K137="FUERA","Fuera del marco",IF(K137="N/A","Sin marco",IFERROR(INDEX('Datos - Catálogo TIMSS'!$F$5:$F$107,MATCH(K137,'Datos - Catálogo TIMSS'!$A$5:$A$107,0)),"Pendiente de clasificar")))</f>
        <v/>
      </c>
      <c r="O137" s="11">
        <f>IF(L137="","",IFERROR(INDEX('Datos - Catálogo TIMSS'!$C$5:$C$107,MATCH(L137,'Datos - Catálogo TIMSS'!$A$5:$A$107,0)),"?"))</f>
        <v/>
      </c>
      <c r="P137" s="11" t="inlineStr">
        <is>
          <t>media</t>
        </is>
      </c>
      <c r="Q137" s="38" t="inlineStr">
        <is>
          <t>Rasgos distintivos de grupos de microorganismos</t>
        </is>
      </c>
      <c r="R137" s="38" t="inlineStr">
        <is>
          <t>Conocer: describir. Aplicar: comparar</t>
        </is>
      </c>
      <c r="S137" s="39">
        <f>IFERROR(ISNUMBER(SEARCH("Conocer",$R137))/(ISNUMBER(SEARCH("Conocer",$R137))+ISNUMBER(SEARCH("Aplicar",$R137))+ISNUMBER(SEARCH("Razonar",$R137))),0)</f>
        <v/>
      </c>
      <c r="T137" s="39">
        <f>IFERROR(ISNUMBER(SEARCH("Aplicar",$R137))/(ISNUMBER(SEARCH("Conocer",$R137))+ISNUMBER(SEARCH("Aplicar",$R137))+ISNUMBER(SEARCH("Razonar",$R137))),0)</f>
        <v/>
      </c>
      <c r="U137" s="39">
        <f>IFERROR(ISNUMBER(SEARCH("Razonar",$R137))/(ISNUMBER(SEARCH("Conocer",$R137))+ISNUMBER(SEARCH("Aplicar",$R137))+ISNUMBER(SEARCH("Razonar",$R137))),0)</f>
        <v/>
      </c>
      <c r="V137" s="11" t="inlineStr">
        <is>
          <t>3°</t>
        </is>
      </c>
      <c r="W137" s="11" t="inlineStr">
        <is>
          <t>Ciclo 2°–4°</t>
        </is>
      </c>
      <c r="X137" s="11">
        <f>IF(OR(IFERROR(INDEX('Datos - Catálogo TIMSS'!$I$5:$I$107,MATCH(K137,'Datos - Catálogo TIMSS'!$A$5:$A$107,0)),"No")="Sí",IFERROR(INDEX('Datos - Catálogo TIMSS'!$I$5:$I$107,MATCH(L137,'Datos - Catálogo TIMSS'!$A$5:$A$107,0)),"No")="Sí"),1,0)</f>
        <v/>
      </c>
      <c r="Y137" s="11">
        <f>IF(IFERROR(INDEX('Datos - Catálogo TIMSS'!$J$5:$J$107,MATCH(K137,'Datos - Catálogo TIMSS'!$A$5:$A$107,0)),"No")="Sí",1,0)</f>
        <v/>
      </c>
      <c r="Z137" s="11">
        <f>IF(IFERROR(INDEX('Datos - Catálogo TIMSS'!$J$5:$J$107,MATCH(L137,'Datos - Catálogo TIMSS'!$A$5:$A$107,0)),"No")="Sí",1,0)</f>
        <v/>
      </c>
      <c r="AA137" s="11" t="inlineStr">
        <is>
          <t>T4-V1.2</t>
        </is>
      </c>
      <c r="AB137" s="11" t="inlineStr"/>
      <c r="AC137" s="11">
        <f>IF(AA137="FUERA","Fuera del marco",IF(AA137="N/A","Sin marco",IFERROR(INDEX('Datos - TIMSS 2023'!$C$5:$C$105,MATCH(AA137,'Datos - TIMSS 2023'!$A$5:$A$105,0)),"Pendiente de clasificar")))</f>
        <v/>
      </c>
      <c r="AD137" s="11" t="inlineStr">
        <is>
          <t>1. Explicar fenómenos científicamente</t>
        </is>
      </c>
      <c r="AE137" s="11">
        <f>IF(AD137="","",IF(LEFT(AD137,1)="1","C1",IF(LEFT(AD137,1)="2","C2",IF(LEFT(AD137,1)="3","C3",""))))</f>
        <v/>
      </c>
      <c r="AF137" s="11" t="inlineStr">
        <is>
          <t>E1</t>
        </is>
      </c>
      <c r="AG137" s="11" t="inlineStr">
        <is>
          <t>D1</t>
        </is>
      </c>
      <c r="AH137" s="11" t="inlineStr">
        <is>
          <t>E1</t>
        </is>
      </c>
      <c r="AI137" s="11" t="inlineStr">
        <is>
          <t>D4</t>
        </is>
      </c>
      <c r="AJ137" s="11" t="inlineStr">
        <is>
          <t>E1</t>
        </is>
      </c>
      <c r="AK137" s="11" t="n"/>
      <c r="AL137" s="11" t="n"/>
      <c r="AM137" s="11" t="n"/>
      <c r="AN137" s="11" t="n"/>
      <c r="AO137" s="11" t="n"/>
      <c r="AP137" s="11" t="n"/>
      <c r="AQ137" s="11" t="n"/>
      <c r="AR137" s="11" t="n"/>
      <c r="AS137" s="11" t="n"/>
      <c r="AT137" s="11" t="n"/>
      <c r="AU137" s="11" t="n"/>
      <c r="AV137" s="11" t="n"/>
      <c r="AW137" s="11">
        <f>AF137&amp;"; "&amp;AG137&amp;"; "&amp;AH137&amp;"; "&amp;AI137&amp;"; "&amp;AJ137</f>
        <v/>
      </c>
    </row>
    <row r="138">
      <c r="A138" s="11" t="inlineStr">
        <is>
          <t>T0772-G03-CIE</t>
        </is>
      </c>
      <c r="B138" s="11" t="n">
        <v>3</v>
      </c>
      <c r="C138" s="11" t="inlineStr">
        <is>
          <t>Ciencias</t>
        </is>
      </c>
      <c r="D138" s="11" t="inlineStr">
        <is>
          <t>Matriz_Ciencias_3er_Grado_U1_U6.xlsx</t>
        </is>
      </c>
      <c r="E138" s="11" t="inlineStr">
        <is>
          <t>Unidad 6 - Los microorganismos</t>
        </is>
      </c>
      <c r="F138" s="11" t="n">
        <v>9</v>
      </c>
      <c r="G138" s="11" t="inlineStr">
        <is>
          <t>6. Los microorganismos.</t>
        </is>
      </c>
      <c r="H138" s="11" t="inlineStr">
        <is>
          <t>Importancia de los microorganismos.</t>
        </is>
      </c>
      <c r="I138" s="38" t="inlineStr">
        <is>
          <t>6.7. Experimentación del tiempo de degradación de residuos y alimentos.</t>
        </is>
      </c>
      <c r="J138" s="11" t="inlineStr">
        <is>
          <t>T4_27</t>
        </is>
      </c>
      <c r="K138" s="11" t="inlineStr">
        <is>
          <t>T4_27-B4.2</t>
        </is>
      </c>
      <c r="L138" s="11" t="inlineStr">
        <is>
          <t>T4_27-B6.1</t>
        </is>
      </c>
      <c r="M138" s="11">
        <f>IF(K138="FUERA","Fuera del marco",IF(K138="N/A","Sin marco",IFERROR(INDEX('Datos - Catálogo TIMSS'!$C$5:$C$107,MATCH(K138,'Datos - Catálogo TIMSS'!$A$5:$A$107,0)),"Pendiente de clasificar")))</f>
        <v/>
      </c>
      <c r="N138" s="11">
        <f>IF(K138="FUERA","Fuera del marco",IF(K138="N/A","Sin marco",IFERROR(INDEX('Datos - Catálogo TIMSS'!$F$5:$F$107,MATCH(K138,'Datos - Catálogo TIMSS'!$A$5:$A$107,0)),"Pendiente de clasificar")))</f>
        <v/>
      </c>
      <c r="O138" s="11">
        <f>IF(L138="","",IFERROR(INDEX('Datos - Catálogo TIMSS'!$C$5:$C$107,MATCH(L138,'Datos - Catálogo TIMSS'!$A$5:$A$107,0)),"?"))</f>
        <v/>
      </c>
      <c r="P138" s="11" t="inlineStr">
        <is>
          <t>baja</t>
        </is>
      </c>
      <c r="Q138" s="38" t="inlineStr">
        <is>
          <t>Papel de descomponedores; marco 2027 no los nombra explícitamente</t>
        </is>
      </c>
      <c r="R138" s="38" t="inlineStr">
        <is>
          <t>Aplicar: medir el tiempo. Razonar: interpretar datos</t>
        </is>
      </c>
      <c r="S138" s="39">
        <f>IFERROR(ISNUMBER(SEARCH("Conocer",$R138))/(ISNUMBER(SEARCH("Conocer",$R138))+ISNUMBER(SEARCH("Aplicar",$R138))+ISNUMBER(SEARCH("Razonar",$R138))),0)</f>
        <v/>
      </c>
      <c r="T138" s="39">
        <f>IFERROR(ISNUMBER(SEARCH("Aplicar",$R138))/(ISNUMBER(SEARCH("Conocer",$R138))+ISNUMBER(SEARCH("Aplicar",$R138))+ISNUMBER(SEARCH("Razonar",$R138))),0)</f>
        <v/>
      </c>
      <c r="U138" s="39">
        <f>IFERROR(ISNUMBER(SEARCH("Razonar",$R138))/(ISNUMBER(SEARCH("Conocer",$R138))+ISNUMBER(SEARCH("Aplicar",$R138))+ISNUMBER(SEARCH("Razonar",$R138))),0)</f>
        <v/>
      </c>
      <c r="V138" s="11" t="inlineStr">
        <is>
          <t>3°</t>
        </is>
      </c>
      <c r="W138" s="11" t="inlineStr">
        <is>
          <t>Ciclo 2°–4°</t>
        </is>
      </c>
      <c r="X138" s="11">
        <f>IF(OR(IFERROR(INDEX('Datos - Catálogo TIMSS'!$I$5:$I$107,MATCH(K138,'Datos - Catálogo TIMSS'!$A$5:$A$107,0)),"No")="Sí",IFERROR(INDEX('Datos - Catálogo TIMSS'!$I$5:$I$107,MATCH(L138,'Datos - Catálogo TIMSS'!$A$5:$A$107,0)),"No")="Sí"),1,0)</f>
        <v/>
      </c>
      <c r="Y138" s="11">
        <f>IF(IFERROR(INDEX('Datos - Catálogo TIMSS'!$J$5:$J$107,MATCH(K138,'Datos - Catálogo TIMSS'!$A$5:$A$107,0)),"No")="Sí",1,0)</f>
        <v/>
      </c>
      <c r="Z138" s="11">
        <f>IF(IFERROR(INDEX('Datos - Catálogo TIMSS'!$J$5:$J$107,MATCH(L138,'Datos - Catálogo TIMSS'!$A$5:$A$107,0)),"No")="Sí",1,0)</f>
        <v/>
      </c>
      <c r="AA138" s="11" t="inlineStr">
        <is>
          <t>T4-V4.2</t>
        </is>
      </c>
      <c r="AB138" s="11" t="inlineStr"/>
      <c r="AC138" s="11">
        <f>IF(AA138="FUERA","Fuera del marco",IF(AA138="N/A","Sin marco",IFERROR(INDEX('Datos - TIMSS 2023'!$C$5:$C$105,MATCH(AA138,'Datos - TIMSS 2023'!$A$5:$A$105,0)),"Pendiente de clasificar")))</f>
        <v/>
      </c>
      <c r="AD138" s="11" t="inlineStr">
        <is>
          <t>2. Construir y evaluar diseños para la indagación científica e interpretar datos y evidencia de forma crítica</t>
        </is>
      </c>
      <c r="AE138" s="11">
        <f>IF(AD138="","",IF(LEFT(AD138,1)="1","C1",IF(LEFT(AD138,1)="2","C2",IF(LEFT(AD138,1)="3","C3",""))))</f>
        <v/>
      </c>
      <c r="AF138" s="11" t="inlineStr">
        <is>
          <t>E6</t>
        </is>
      </c>
      <c r="AG138" s="11" t="inlineStr">
        <is>
          <t>E3</t>
        </is>
      </c>
      <c r="AH138" s="11" t="inlineStr">
        <is>
          <t>E1</t>
        </is>
      </c>
      <c r="AI138" s="11" t="inlineStr">
        <is>
          <t>D4</t>
        </is>
      </c>
      <c r="AJ138" s="11" t="inlineStr">
        <is>
          <t>I5</t>
        </is>
      </c>
      <c r="AK138" s="11" t="n"/>
      <c r="AL138" s="11" t="n"/>
      <c r="AM138" s="11" t="n"/>
      <c r="AN138" s="11" t="n"/>
      <c r="AO138" s="11" t="n"/>
      <c r="AP138" s="11" t="n"/>
      <c r="AQ138" s="11" t="n"/>
      <c r="AR138" s="11" t="n"/>
      <c r="AS138" s="11" t="n"/>
      <c r="AT138" s="11" t="n"/>
      <c r="AU138" s="11" t="n"/>
      <c r="AV138" s="11" t="n"/>
      <c r="AW138" s="11">
        <f>AF138&amp;"; "&amp;AG138&amp;"; "&amp;AH138&amp;"; "&amp;AI138&amp;"; "&amp;AJ138</f>
        <v/>
      </c>
    </row>
    <row r="139">
      <c r="A139" s="11" t="inlineStr">
        <is>
          <t>T0773-G03-CIE</t>
        </is>
      </c>
      <c r="B139" s="11" t="n">
        <v>3</v>
      </c>
      <c r="C139" s="11" t="inlineStr">
        <is>
          <t>Ciencias</t>
        </is>
      </c>
      <c r="D139" s="11" t="inlineStr">
        <is>
          <t>Matriz_Ciencias_3er_Grado_U1_U6.xlsx</t>
        </is>
      </c>
      <c r="E139" s="11" t="inlineStr">
        <is>
          <t>Unidad 6 - Los microorganismos</t>
        </is>
      </c>
      <c r="F139" s="11" t="n">
        <v>10</v>
      </c>
      <c r="G139" s="11" t="inlineStr">
        <is>
          <t>6. Los microorganismos.</t>
        </is>
      </c>
      <c r="H139" s="11" t="inlineStr">
        <is>
          <t>Importancia de los microorganismos.</t>
        </is>
      </c>
      <c r="I139" s="38" t="inlineStr">
        <is>
          <t>6.8. Reconocimiento de alimentos transformados por microorganismos.</t>
        </is>
      </c>
      <c r="J139" s="11" t="inlineStr">
        <is>
          <t>T4_27</t>
        </is>
      </c>
      <c r="K139" s="11" t="inlineStr">
        <is>
          <t>T4_27-P1.3</t>
        </is>
      </c>
      <c r="L139" s="11" t="inlineStr">
        <is>
          <t>T4_27-B1.1</t>
        </is>
      </c>
      <c r="M139" s="11">
        <f>IF(K139="FUERA","Fuera del marco",IF(K139="N/A","Sin marco",IFERROR(INDEX('Datos - Catálogo TIMSS'!$C$5:$C$107,MATCH(K139,'Datos - Catálogo TIMSS'!$A$5:$A$107,0)),"Pendiente de clasificar")))</f>
        <v/>
      </c>
      <c r="N139" s="11">
        <f>IF(K139="FUERA","Fuera del marco",IF(K139="N/A","Sin marco",IFERROR(INDEX('Datos - Catálogo TIMSS'!$F$5:$F$107,MATCH(K139,'Datos - Catálogo TIMSS'!$A$5:$A$107,0)),"Pendiente de clasificar")))</f>
        <v/>
      </c>
      <c r="O139" s="11">
        <f>IF(L139="","",IFERROR(INDEX('Datos - Catálogo TIMSS'!$C$5:$C$107,MATCH(L139,'Datos - Catálogo TIMSS'!$A$5:$A$107,0)),"?"))</f>
        <v/>
      </c>
      <c r="P139" s="11" t="inlineStr">
        <is>
          <t>baja</t>
        </is>
      </c>
      <c r="Q139" s="38" t="inlineStr">
        <is>
          <t>Fermentación produce materiales nuevos; levadura como ser vivo</t>
        </is>
      </c>
      <c r="R139" s="38" t="inlineStr">
        <is>
          <t>Conocer: dar ejemplos. Razonar: explicar</t>
        </is>
      </c>
      <c r="S139" s="39">
        <f>IFERROR(ISNUMBER(SEARCH("Conocer",$R139))/(ISNUMBER(SEARCH("Conocer",$R139))+ISNUMBER(SEARCH("Aplicar",$R139))+ISNUMBER(SEARCH("Razonar",$R139))),0)</f>
        <v/>
      </c>
      <c r="T139" s="39">
        <f>IFERROR(ISNUMBER(SEARCH("Aplicar",$R139))/(ISNUMBER(SEARCH("Conocer",$R139))+ISNUMBER(SEARCH("Aplicar",$R139))+ISNUMBER(SEARCH("Razonar",$R139))),0)</f>
        <v/>
      </c>
      <c r="U139" s="39">
        <f>IFERROR(ISNUMBER(SEARCH("Razonar",$R139))/(ISNUMBER(SEARCH("Conocer",$R139))+ISNUMBER(SEARCH("Aplicar",$R139))+ISNUMBER(SEARCH("Razonar",$R139))),0)</f>
        <v/>
      </c>
      <c r="V139" s="11" t="inlineStr">
        <is>
          <t>3°</t>
        </is>
      </c>
      <c r="W139" s="11" t="inlineStr">
        <is>
          <t>Ciclo 2°–4°</t>
        </is>
      </c>
      <c r="X139" s="11">
        <f>IF(OR(IFERROR(INDEX('Datos - Catálogo TIMSS'!$I$5:$I$107,MATCH(K139,'Datos - Catálogo TIMSS'!$A$5:$A$107,0)),"No")="Sí",IFERROR(INDEX('Datos - Catálogo TIMSS'!$I$5:$I$107,MATCH(L139,'Datos - Catálogo TIMSS'!$A$5:$A$107,0)),"No")="Sí"),1,0)</f>
        <v/>
      </c>
      <c r="Y139" s="11">
        <f>IF(IFERROR(INDEX('Datos - Catálogo TIMSS'!$J$5:$J$107,MATCH(K139,'Datos - Catálogo TIMSS'!$A$5:$A$107,0)),"No")="Sí",1,0)</f>
        <v/>
      </c>
      <c r="Z139" s="11">
        <f>IF(IFERROR(INDEX('Datos - Catálogo TIMSS'!$J$5:$J$107,MATCH(L139,'Datos - Catálogo TIMSS'!$A$5:$A$107,0)),"No")="Sí",1,0)</f>
        <v/>
      </c>
      <c r="AA139" s="11" t="inlineStr">
        <is>
          <t>T4-F1.5</t>
        </is>
      </c>
      <c r="AB139" s="11" t="inlineStr">
        <is>
          <t>T4-V1.1</t>
        </is>
      </c>
      <c r="AC139" s="11">
        <f>IF(AA139="FUERA","Fuera del marco",IF(AA139="N/A","Sin marco",IFERROR(INDEX('Datos - TIMSS 2023'!$C$5:$C$105,MATCH(AA139,'Datos - TIMSS 2023'!$A$5:$A$105,0)),"Pendiente de clasificar")))</f>
        <v/>
      </c>
      <c r="AD139" s="11" t="inlineStr">
        <is>
          <t>1. Explicar fenómenos científicamente</t>
        </is>
      </c>
      <c r="AE139" s="11">
        <f>IF(AD139="","",IF(LEFT(AD139,1)="1","C1",IF(LEFT(AD139,1)="2","C2",IF(LEFT(AD139,1)="3","C3",""))))</f>
        <v/>
      </c>
      <c r="AF139" s="11" t="inlineStr">
        <is>
          <t>E1</t>
        </is>
      </c>
      <c r="AG139" s="11" t="inlineStr">
        <is>
          <t>E5</t>
        </is>
      </c>
      <c r="AH139" s="11" t="inlineStr">
        <is>
          <t>E1</t>
        </is>
      </c>
      <c r="AI139" s="11" t="inlineStr">
        <is>
          <t>D4</t>
        </is>
      </c>
      <c r="AJ139" s="11" t="inlineStr">
        <is>
          <t>E6</t>
        </is>
      </c>
      <c r="AK139" s="11" t="n"/>
      <c r="AL139" s="11" t="n"/>
      <c r="AM139" s="11" t="n"/>
      <c r="AN139" s="11" t="n"/>
      <c r="AO139" s="11" t="n"/>
      <c r="AP139" s="11" t="n"/>
      <c r="AQ139" s="11" t="n"/>
      <c r="AR139" s="11" t="n"/>
      <c r="AS139" s="11" t="n"/>
      <c r="AT139" s="11" t="n"/>
      <c r="AU139" s="11" t="n"/>
      <c r="AV139" s="11" t="n"/>
      <c r="AW139" s="11">
        <f>AF139&amp;"; "&amp;AG139&amp;"; "&amp;AH139&amp;"; "&amp;AI139&amp;"; "&amp;AJ139</f>
        <v/>
      </c>
    </row>
    <row r="140">
      <c r="A140" s="11" t="inlineStr">
        <is>
          <t>T0774-G03-CIE</t>
        </is>
      </c>
      <c r="B140" s="11" t="n">
        <v>3</v>
      </c>
      <c r="C140" s="11" t="inlineStr">
        <is>
          <t>Ciencias</t>
        </is>
      </c>
      <c r="D140" s="11" t="inlineStr">
        <is>
          <t>Matriz_Ciencias_3er_Grado_U1_U6.xlsx</t>
        </is>
      </c>
      <c r="E140" s="11" t="inlineStr">
        <is>
          <t>Unidad 6 - Los microorganismos</t>
        </is>
      </c>
      <c r="F140" s="11" t="n">
        <v>11</v>
      </c>
      <c r="G140" s="11" t="inlineStr">
        <is>
          <t>6. Los microorganismos.</t>
        </is>
      </c>
      <c r="H140" s="11" t="inlineStr">
        <is>
          <t>Importancia de los microorganismos.</t>
        </is>
      </c>
      <c r="I140" s="38" t="inlineStr">
        <is>
          <t>6.9. Experimentación con métodos de conservación de alimentos.</t>
        </is>
      </c>
      <c r="J140" s="11" t="inlineStr">
        <is>
          <t>T4_27</t>
        </is>
      </c>
      <c r="K140" s="11" t="inlineStr">
        <is>
          <t>T4_27-B5.1</t>
        </is>
      </c>
      <c r="L140" s="11" t="inlineStr">
        <is>
          <t>T4_27-B6.1</t>
        </is>
      </c>
      <c r="M140" s="11">
        <f>IF(K140="FUERA","Fuera del marco",IF(K140="N/A","Sin marco",IFERROR(INDEX('Datos - Catálogo TIMSS'!$C$5:$C$107,MATCH(K140,'Datos - Catálogo TIMSS'!$A$5:$A$107,0)),"Pendiente de clasificar")))</f>
        <v/>
      </c>
      <c r="N140" s="11">
        <f>IF(K140="FUERA","Fuera del marco",IF(K140="N/A","Sin marco",IFERROR(INDEX('Datos - Catálogo TIMSS'!$F$5:$F$107,MATCH(K140,'Datos - Catálogo TIMSS'!$A$5:$A$107,0)),"Pendiente de clasificar")))</f>
        <v/>
      </c>
      <c r="O140" s="11">
        <f>IF(L140="","",IFERROR(INDEX('Datos - Catálogo TIMSS'!$C$5:$C$107,MATCH(L140,'Datos - Catálogo TIMSS'!$A$5:$A$107,0)),"?"))</f>
        <v/>
      </c>
      <c r="P140" s="11" t="inlineStr">
        <is>
          <t>baja</t>
        </is>
      </c>
      <c r="Q140" s="38" t="inlineStr">
        <is>
          <t>Conservar alimentos previene enfermedades; experimento con registro</t>
        </is>
      </c>
      <c r="R140" s="38" t="inlineStr">
        <is>
          <t>Razonar: identificar variables y extraer conclusiones</t>
        </is>
      </c>
      <c r="S140" s="39">
        <f>IFERROR(ISNUMBER(SEARCH("Conocer",$R140))/(ISNUMBER(SEARCH("Conocer",$R140))+ISNUMBER(SEARCH("Aplicar",$R140))+ISNUMBER(SEARCH("Razonar",$R140))),0)</f>
        <v/>
      </c>
      <c r="T140" s="39">
        <f>IFERROR(ISNUMBER(SEARCH("Aplicar",$R140))/(ISNUMBER(SEARCH("Conocer",$R140))+ISNUMBER(SEARCH("Aplicar",$R140))+ISNUMBER(SEARCH("Razonar",$R140))),0)</f>
        <v/>
      </c>
      <c r="U140" s="39">
        <f>IFERROR(ISNUMBER(SEARCH("Razonar",$R140))/(ISNUMBER(SEARCH("Conocer",$R140))+ISNUMBER(SEARCH("Aplicar",$R140))+ISNUMBER(SEARCH("Razonar",$R140))),0)</f>
        <v/>
      </c>
      <c r="V140" s="11" t="inlineStr">
        <is>
          <t>3°</t>
        </is>
      </c>
      <c r="W140" s="11" t="inlineStr">
        <is>
          <t>Ciclo 2°–4°</t>
        </is>
      </c>
      <c r="X140" s="11">
        <f>IF(OR(IFERROR(INDEX('Datos - Catálogo TIMSS'!$I$5:$I$107,MATCH(K140,'Datos - Catálogo TIMSS'!$A$5:$A$107,0)),"No")="Sí",IFERROR(INDEX('Datos - Catálogo TIMSS'!$I$5:$I$107,MATCH(L140,'Datos - Catálogo TIMSS'!$A$5:$A$107,0)),"No")="Sí"),1,0)</f>
        <v/>
      </c>
      <c r="Y140" s="11">
        <f>IF(IFERROR(INDEX('Datos - Catálogo TIMSS'!$J$5:$J$107,MATCH(K140,'Datos - Catálogo TIMSS'!$A$5:$A$107,0)),"No")="Sí",1,0)</f>
        <v/>
      </c>
      <c r="Z140" s="11">
        <f>IF(IFERROR(INDEX('Datos - Catálogo TIMSS'!$J$5:$J$107,MATCH(L140,'Datos - Catálogo TIMSS'!$A$5:$A$107,0)),"No")="Sí",1,0)</f>
        <v/>
      </c>
      <c r="AA140" s="11" t="inlineStr">
        <is>
          <t>T4-V5.2</t>
        </is>
      </c>
      <c r="AB140" s="11" t="inlineStr"/>
      <c r="AC140" s="11">
        <f>IF(AA140="FUERA","Fuera del marco",IF(AA140="N/A","Sin marco",IFERROR(INDEX('Datos - TIMSS 2023'!$C$5:$C$105,MATCH(AA140,'Datos - TIMSS 2023'!$A$5:$A$105,0)),"Pendiente de clasificar")))</f>
        <v/>
      </c>
      <c r="AD140" s="11" t="inlineStr">
        <is>
          <t>2. Construir y evaluar diseños para la indagación científica e interpretar datos y evidencia de forma crítica</t>
        </is>
      </c>
      <c r="AE140" s="11">
        <f>IF(AD140="","",IF(LEFT(AD140,1)="1","C1",IF(LEFT(AD140,1)="2","C2",IF(LEFT(AD140,1)="3","C3",""))))</f>
        <v/>
      </c>
      <c r="AF140" s="11" t="inlineStr">
        <is>
          <t>E1</t>
        </is>
      </c>
      <c r="AG140" s="11" t="inlineStr">
        <is>
          <t>E3</t>
        </is>
      </c>
      <c r="AH140" s="11" t="inlineStr">
        <is>
          <t>E1</t>
        </is>
      </c>
      <c r="AI140" s="11" t="inlineStr">
        <is>
          <t>D3</t>
        </is>
      </c>
      <c r="AJ140" s="11" t="inlineStr">
        <is>
          <t>E6</t>
        </is>
      </c>
      <c r="AK140" s="11" t="n"/>
      <c r="AL140" s="11" t="n"/>
      <c r="AM140" s="11" t="n"/>
      <c r="AN140" s="11" t="n"/>
      <c r="AO140" s="11" t="n"/>
      <c r="AP140" s="11" t="n"/>
      <c r="AQ140" s="11" t="n"/>
      <c r="AR140" s="11" t="n"/>
      <c r="AS140" s="11" t="n"/>
      <c r="AT140" s="11" t="n"/>
      <c r="AU140" s="11" t="n"/>
      <c r="AV140" s="11" t="n"/>
      <c r="AW140" s="11">
        <f>AF140&amp;"; "&amp;AG140&amp;"; "&amp;AH140&amp;"; "&amp;AI140&amp;"; "&amp;AJ140</f>
        <v/>
      </c>
    </row>
    <row r="141">
      <c r="A141" s="11" t="inlineStr">
        <is>
          <t>T0775-G04-CIE</t>
        </is>
      </c>
      <c r="B141" s="11" t="n">
        <v>4</v>
      </c>
      <c r="C141" s="11" t="inlineStr">
        <is>
          <t>Ciencias</t>
        </is>
      </c>
      <c r="D141" s="11" t="inlineStr">
        <is>
          <t>Matriz_Ciencias_4to_Grado_U1_U6.xlsx</t>
        </is>
      </c>
      <c r="E141" s="11" t="inlineStr">
        <is>
          <t>Unidad 1 - Máquinas y energía</t>
        </is>
      </c>
      <c r="F141" s="11" t="n">
        <v>3</v>
      </c>
      <c r="G141" s="11" t="inlineStr">
        <is>
          <t>1. Máquinas y energía.</t>
        </is>
      </c>
      <c r="H141" s="11" t="inlineStr">
        <is>
          <t>Máquinas simples.</t>
        </is>
      </c>
      <c r="I141" s="38" t="inlineStr">
        <is>
          <t>1.1. Indagación del concepto de máquinas simples, a partir de dispositivos del entorno.</t>
        </is>
      </c>
      <c r="J141" s="11" t="inlineStr">
        <is>
          <t>T4_27</t>
        </is>
      </c>
      <c r="K141" s="11" t="inlineStr">
        <is>
          <t>T4_27-P5.2</t>
        </is>
      </c>
      <c r="L141" s="11" t="inlineStr"/>
      <c r="M141" s="11">
        <f>IF(K141="FUERA","Fuera del marco",IF(K141="N/A","Sin marco",IFERROR(INDEX('Datos - Catálogo TIMSS'!$C$5:$C$107,MATCH(K141,'Datos - Catálogo TIMSS'!$A$5:$A$107,0)),"Pendiente de clasificar")))</f>
        <v/>
      </c>
      <c r="N141" s="11">
        <f>IF(K141="FUERA","Fuera del marco",IF(K141="N/A","Sin marco",IFERROR(INDEX('Datos - Catálogo TIMSS'!$F$5:$F$107,MATCH(K141,'Datos - Catálogo TIMSS'!$A$5:$A$107,0)),"Pendiente de clasificar")))</f>
        <v/>
      </c>
      <c r="O141" s="11">
        <f>IF(L141="","",IFERROR(INDEX('Datos - Catálogo TIMSS'!$C$5:$C$107,MATCH(L141,'Datos - Catálogo TIMSS'!$A$5:$A$107,0)),"?"))</f>
        <v/>
      </c>
      <c r="P141" s="11" t="inlineStr">
        <is>
          <t>alta</t>
        </is>
      </c>
      <c r="Q141" s="38" t="inlineStr">
        <is>
          <t>Máquinas simples del entorno y la tarea que facilitan</t>
        </is>
      </c>
      <c r="R141" s="38" t="inlineStr">
        <is>
          <t>Conocer: definir y dar ejemplos</t>
        </is>
      </c>
      <c r="S141" s="39">
        <f>IFERROR(ISNUMBER(SEARCH("Conocer",$R141))/(ISNUMBER(SEARCH("Conocer",$R141))+ISNUMBER(SEARCH("Aplicar",$R141))+ISNUMBER(SEARCH("Razonar",$R141))),0)</f>
        <v/>
      </c>
      <c r="T141" s="39">
        <f>IFERROR(ISNUMBER(SEARCH("Aplicar",$R141))/(ISNUMBER(SEARCH("Conocer",$R141))+ISNUMBER(SEARCH("Aplicar",$R141))+ISNUMBER(SEARCH("Razonar",$R141))),0)</f>
        <v/>
      </c>
      <c r="U141" s="39">
        <f>IFERROR(ISNUMBER(SEARCH("Razonar",$R141))/(ISNUMBER(SEARCH("Conocer",$R141))+ISNUMBER(SEARCH("Aplicar",$R141))+ISNUMBER(SEARCH("Razonar",$R141))),0)</f>
        <v/>
      </c>
      <c r="V141" s="11" t="inlineStr">
        <is>
          <t>4°</t>
        </is>
      </c>
      <c r="W141" s="11" t="inlineStr">
        <is>
          <t>Ciclo 2°–4°</t>
        </is>
      </c>
      <c r="X141" s="11">
        <f>IF(OR(IFERROR(INDEX('Datos - Catálogo TIMSS'!$I$5:$I$107,MATCH(K141,'Datos - Catálogo TIMSS'!$A$5:$A$107,0)),"No")="Sí",IFERROR(INDEX('Datos - Catálogo TIMSS'!$I$5:$I$107,MATCH(L141,'Datos - Catálogo TIMSS'!$A$5:$A$107,0)),"No")="Sí"),1,0)</f>
        <v/>
      </c>
      <c r="Y141" s="11">
        <f>IF(IFERROR(INDEX('Datos - Catálogo TIMSS'!$J$5:$J$107,MATCH(K141,'Datos - Catálogo TIMSS'!$A$5:$A$107,0)),"No")="Sí",1,0)</f>
        <v/>
      </c>
      <c r="Z141" s="11">
        <f>IF(IFERROR(INDEX('Datos - Catálogo TIMSS'!$J$5:$J$107,MATCH(L141,'Datos - Catálogo TIMSS'!$A$5:$A$107,0)),"No")="Sí",1,0)</f>
        <v/>
      </c>
      <c r="AA141" s="11" t="inlineStr">
        <is>
          <t>T4-F3.2</t>
        </is>
      </c>
      <c r="AB141" s="11" t="inlineStr"/>
      <c r="AC141" s="11">
        <f>IF(AA141="FUERA","Fuera del marco",IF(AA141="N/A","Sin marco",IFERROR(INDEX('Datos - TIMSS 2023'!$C$5:$C$105,MATCH(AA141,'Datos - TIMSS 2023'!$A$5:$A$105,0)),"Pendiente de clasificar")))</f>
        <v/>
      </c>
      <c r="AD141" s="11" t="inlineStr">
        <is>
          <t>1. Explicar fenómenos científicamente</t>
        </is>
      </c>
      <c r="AE141" s="11">
        <f>IF(AD141="","",IF(LEFT(AD141,1)="1","C1",IF(LEFT(AD141,1)="2","C2",IF(LEFT(AD141,1)="3","C3",""))))</f>
        <v/>
      </c>
      <c r="AF141" s="11" t="inlineStr">
        <is>
          <t>E1</t>
        </is>
      </c>
      <c r="AG141" s="11" t="inlineStr">
        <is>
          <t>D1</t>
        </is>
      </c>
      <c r="AH141" s="11" t="inlineStr">
        <is>
          <t>E1</t>
        </is>
      </c>
      <c r="AI141" s="11" t="inlineStr">
        <is>
          <t>D4</t>
        </is>
      </c>
      <c r="AJ141" s="11" t="inlineStr">
        <is>
          <t>E1</t>
        </is>
      </c>
      <c r="AK141" s="11" t="n"/>
      <c r="AL141" s="11" t="n"/>
      <c r="AM141" s="11" t="n"/>
      <c r="AN141" s="11" t="n"/>
      <c r="AO141" s="11" t="n"/>
      <c r="AP141" s="11" t="n"/>
      <c r="AQ141" s="11" t="n"/>
      <c r="AR141" s="11" t="n"/>
      <c r="AS141" s="11" t="n"/>
      <c r="AT141" s="11" t="n"/>
      <c r="AU141" s="11" t="n"/>
      <c r="AV141" s="11" t="n"/>
      <c r="AW141" s="11">
        <f>AF141&amp;"; "&amp;AG141&amp;"; "&amp;AH141&amp;"; "&amp;AI141&amp;"; "&amp;AJ141</f>
        <v/>
      </c>
    </row>
    <row r="142">
      <c r="A142" s="11" t="inlineStr">
        <is>
          <t>T0776-G04-CIE</t>
        </is>
      </c>
      <c r="B142" s="11" t="n">
        <v>4</v>
      </c>
      <c r="C142" s="11" t="inlineStr">
        <is>
          <t>Ciencias</t>
        </is>
      </c>
      <c r="D142" s="11" t="inlineStr">
        <is>
          <t>Matriz_Ciencias_4to_Grado_U1_U6.xlsx</t>
        </is>
      </c>
      <c r="E142" s="11" t="inlineStr">
        <is>
          <t>Unidad 1 - Máquinas y energía</t>
        </is>
      </c>
      <c r="F142" s="11" t="n">
        <v>4</v>
      </c>
      <c r="G142" s="11" t="inlineStr">
        <is>
          <t>1. Máquinas y energía.</t>
        </is>
      </c>
      <c r="H142" s="11" t="inlineStr">
        <is>
          <t>Máquinas simples.</t>
        </is>
      </c>
      <c r="I142" s="38" t="inlineStr">
        <is>
          <t>1.2. Clasificación de las máquinas simples, a partir de sus definiciones clásicas.</t>
        </is>
      </c>
      <c r="J142" s="11" t="inlineStr">
        <is>
          <t>T4_27</t>
        </is>
      </c>
      <c r="K142" s="11" t="inlineStr">
        <is>
          <t>T4_27-P5.2</t>
        </is>
      </c>
      <c r="L142" s="11" t="inlineStr"/>
      <c r="M142" s="11">
        <f>IF(K142="FUERA","Fuera del marco",IF(K142="N/A","Sin marco",IFERROR(INDEX('Datos - Catálogo TIMSS'!$C$5:$C$107,MATCH(K142,'Datos - Catálogo TIMSS'!$A$5:$A$107,0)),"Pendiente de clasificar")))</f>
        <v/>
      </c>
      <c r="N142" s="11">
        <f>IF(K142="FUERA","Fuera del marco",IF(K142="N/A","Sin marco",IFERROR(INDEX('Datos - Catálogo TIMSS'!$F$5:$F$107,MATCH(K142,'Datos - Catálogo TIMSS'!$A$5:$A$107,0)),"Pendiente de clasificar")))</f>
        <v/>
      </c>
      <c r="O142" s="11">
        <f>IF(L142="","",IFERROR(INDEX('Datos - Catálogo TIMSS'!$C$5:$C$107,MATCH(L142,'Datos - Catálogo TIMSS'!$A$5:$A$107,0)),"?"))</f>
        <v/>
      </c>
      <c r="P142" s="11" t="inlineStr">
        <is>
          <t>alta</t>
        </is>
      </c>
      <c r="Q142" s="38" t="inlineStr">
        <is>
          <t>Clasifica máquinas simples con ejemplos propios</t>
        </is>
      </c>
      <c r="R142" s="38" t="inlineStr">
        <is>
          <t>Aplicar: clasificar según definiciones</t>
        </is>
      </c>
      <c r="S142" s="39">
        <f>IFERROR(ISNUMBER(SEARCH("Conocer",$R142))/(ISNUMBER(SEARCH("Conocer",$R142))+ISNUMBER(SEARCH("Aplicar",$R142))+ISNUMBER(SEARCH("Razonar",$R142))),0)</f>
        <v/>
      </c>
      <c r="T142" s="39">
        <f>IFERROR(ISNUMBER(SEARCH("Aplicar",$R142))/(ISNUMBER(SEARCH("Conocer",$R142))+ISNUMBER(SEARCH("Aplicar",$R142))+ISNUMBER(SEARCH("Razonar",$R142))),0)</f>
        <v/>
      </c>
      <c r="U142" s="39">
        <f>IFERROR(ISNUMBER(SEARCH("Razonar",$R142))/(ISNUMBER(SEARCH("Conocer",$R142))+ISNUMBER(SEARCH("Aplicar",$R142))+ISNUMBER(SEARCH("Razonar",$R142))),0)</f>
        <v/>
      </c>
      <c r="V142" s="11" t="inlineStr">
        <is>
          <t>4°</t>
        </is>
      </c>
      <c r="W142" s="11" t="inlineStr">
        <is>
          <t>Ciclo 2°–4°</t>
        </is>
      </c>
      <c r="X142" s="11">
        <f>IF(OR(IFERROR(INDEX('Datos - Catálogo TIMSS'!$I$5:$I$107,MATCH(K142,'Datos - Catálogo TIMSS'!$A$5:$A$107,0)),"No")="Sí",IFERROR(INDEX('Datos - Catálogo TIMSS'!$I$5:$I$107,MATCH(L142,'Datos - Catálogo TIMSS'!$A$5:$A$107,0)),"No")="Sí"),1,0)</f>
        <v/>
      </c>
      <c r="Y142" s="11">
        <f>IF(IFERROR(INDEX('Datos - Catálogo TIMSS'!$J$5:$J$107,MATCH(K142,'Datos - Catálogo TIMSS'!$A$5:$A$107,0)),"No")="Sí",1,0)</f>
        <v/>
      </c>
      <c r="Z142" s="11">
        <f>IF(IFERROR(INDEX('Datos - Catálogo TIMSS'!$J$5:$J$107,MATCH(L142,'Datos - Catálogo TIMSS'!$A$5:$A$107,0)),"No")="Sí",1,0)</f>
        <v/>
      </c>
      <c r="AA142" s="11" t="inlineStr">
        <is>
          <t>T4-F3.2</t>
        </is>
      </c>
      <c r="AB142" s="11" t="inlineStr"/>
      <c r="AC142" s="11">
        <f>IF(AA142="FUERA","Fuera del marco",IF(AA142="N/A","Sin marco",IFERROR(INDEX('Datos - TIMSS 2023'!$C$5:$C$105,MATCH(AA142,'Datos - TIMSS 2023'!$A$5:$A$105,0)),"Pendiente de clasificar")))</f>
        <v/>
      </c>
      <c r="AD142" s="11" t="inlineStr">
        <is>
          <t>1. Explicar fenómenos científicamente</t>
        </is>
      </c>
      <c r="AE142" s="11">
        <f>IF(AD142="","",IF(LEFT(AD142,1)="1","C1",IF(LEFT(AD142,1)="2","C2",IF(LEFT(AD142,1)="3","C3",""))))</f>
        <v/>
      </c>
      <c r="AF142" s="11" t="inlineStr">
        <is>
          <t>E1</t>
        </is>
      </c>
      <c r="AG142" s="11" t="inlineStr">
        <is>
          <t>D1</t>
        </is>
      </c>
      <c r="AH142" s="11" t="inlineStr">
        <is>
          <t>E1</t>
        </is>
      </c>
      <c r="AI142" s="11" t="inlineStr">
        <is>
          <t>D4</t>
        </is>
      </c>
      <c r="AJ142" s="11" t="inlineStr">
        <is>
          <t>E1</t>
        </is>
      </c>
      <c r="AK142" s="11" t="n"/>
      <c r="AL142" s="11" t="n"/>
      <c r="AM142" s="11" t="n"/>
      <c r="AN142" s="11" t="n"/>
      <c r="AO142" s="11" t="n"/>
      <c r="AP142" s="11" t="n"/>
      <c r="AQ142" s="11" t="n"/>
      <c r="AR142" s="11" t="n"/>
      <c r="AS142" s="11" t="n"/>
      <c r="AT142" s="11" t="n"/>
      <c r="AU142" s="11" t="n"/>
      <c r="AV142" s="11" t="n"/>
      <c r="AW142" s="11">
        <f>AF142&amp;"; "&amp;AG142&amp;"; "&amp;AH142&amp;"; "&amp;AI142&amp;"; "&amp;AJ142</f>
        <v/>
      </c>
    </row>
    <row r="143">
      <c r="A143" s="11" t="inlineStr">
        <is>
          <t>T0777-G04-CIE</t>
        </is>
      </c>
      <c r="B143" s="11" t="n">
        <v>4</v>
      </c>
      <c r="C143" s="11" t="inlineStr">
        <is>
          <t>Ciencias</t>
        </is>
      </c>
      <c r="D143" s="11" t="inlineStr">
        <is>
          <t>Matriz_Ciencias_4to_Grado_U1_U6.xlsx</t>
        </is>
      </c>
      <c r="E143" s="11" t="inlineStr">
        <is>
          <t>Unidad 1 - Máquinas y energía</t>
        </is>
      </c>
      <c r="F143" s="11" t="n">
        <v>5</v>
      </c>
      <c r="G143" s="11" t="inlineStr">
        <is>
          <t>1. Máquinas y energía.</t>
        </is>
      </c>
      <c r="H143" s="11" t="inlineStr">
        <is>
          <t>Máquinas simples.</t>
        </is>
      </c>
      <c r="I143" s="38" t="inlineStr">
        <is>
          <t>1.3. Identificación de palancas de diferente clase en dispositivos cotidianos.</t>
        </is>
      </c>
      <c r="J143" s="11" t="inlineStr">
        <is>
          <t>T4_27</t>
        </is>
      </c>
      <c r="K143" s="11" t="inlineStr">
        <is>
          <t>T4_27-P5.2</t>
        </is>
      </c>
      <c r="L143" s="11" t="inlineStr"/>
      <c r="M143" s="11">
        <f>IF(K143="FUERA","Fuera del marco",IF(K143="N/A","Sin marco",IFERROR(INDEX('Datos - Catálogo TIMSS'!$C$5:$C$107,MATCH(K143,'Datos - Catálogo TIMSS'!$A$5:$A$107,0)),"Pendiente de clasificar")))</f>
        <v/>
      </c>
      <c r="N143" s="11">
        <f>IF(K143="FUERA","Fuera del marco",IF(K143="N/A","Sin marco",IFERROR(INDEX('Datos - Catálogo TIMSS'!$F$5:$F$107,MATCH(K143,'Datos - Catálogo TIMSS'!$A$5:$A$107,0)),"Pendiente de clasificar")))</f>
        <v/>
      </c>
      <c r="O143" s="11">
        <f>IF(L143="","",IFERROR(INDEX('Datos - Catálogo TIMSS'!$C$5:$C$107,MATCH(L143,'Datos - Catálogo TIMSS'!$A$5:$A$107,0)),"?"))</f>
        <v/>
      </c>
      <c r="P143" s="11" t="inlineStr">
        <is>
          <t>alta</t>
        </is>
      </c>
      <c r="Q143" s="38" t="inlineStr">
        <is>
          <t>Palancas: apoyo, fuerza y carga en dispositivos cotidianos</t>
        </is>
      </c>
      <c r="R143" s="38" t="inlineStr">
        <is>
          <t>Aplicar: clasificar. Razonar: justificar</t>
        </is>
      </c>
      <c r="S143" s="39">
        <f>IFERROR(ISNUMBER(SEARCH("Conocer",$R143))/(ISNUMBER(SEARCH("Conocer",$R143))+ISNUMBER(SEARCH("Aplicar",$R143))+ISNUMBER(SEARCH("Razonar",$R143))),0)</f>
        <v/>
      </c>
      <c r="T143" s="39">
        <f>IFERROR(ISNUMBER(SEARCH("Aplicar",$R143))/(ISNUMBER(SEARCH("Conocer",$R143))+ISNUMBER(SEARCH("Aplicar",$R143))+ISNUMBER(SEARCH("Razonar",$R143))),0)</f>
        <v/>
      </c>
      <c r="U143" s="39">
        <f>IFERROR(ISNUMBER(SEARCH("Razonar",$R143))/(ISNUMBER(SEARCH("Conocer",$R143))+ISNUMBER(SEARCH("Aplicar",$R143))+ISNUMBER(SEARCH("Razonar",$R143))),0)</f>
        <v/>
      </c>
      <c r="V143" s="11" t="inlineStr">
        <is>
          <t>4°</t>
        </is>
      </c>
      <c r="W143" s="11" t="inlineStr">
        <is>
          <t>Ciclo 2°–4°</t>
        </is>
      </c>
      <c r="X143" s="11">
        <f>IF(OR(IFERROR(INDEX('Datos - Catálogo TIMSS'!$I$5:$I$107,MATCH(K143,'Datos - Catálogo TIMSS'!$A$5:$A$107,0)),"No")="Sí",IFERROR(INDEX('Datos - Catálogo TIMSS'!$I$5:$I$107,MATCH(L143,'Datos - Catálogo TIMSS'!$A$5:$A$107,0)),"No")="Sí"),1,0)</f>
        <v/>
      </c>
      <c r="Y143" s="11">
        <f>IF(IFERROR(INDEX('Datos - Catálogo TIMSS'!$J$5:$J$107,MATCH(K143,'Datos - Catálogo TIMSS'!$A$5:$A$107,0)),"No")="Sí",1,0)</f>
        <v/>
      </c>
      <c r="Z143" s="11">
        <f>IF(IFERROR(INDEX('Datos - Catálogo TIMSS'!$J$5:$J$107,MATCH(L143,'Datos - Catálogo TIMSS'!$A$5:$A$107,0)),"No")="Sí",1,0)</f>
        <v/>
      </c>
      <c r="AA143" s="11" t="inlineStr">
        <is>
          <t>T4-F3.2</t>
        </is>
      </c>
      <c r="AB143" s="11" t="inlineStr"/>
      <c r="AC143" s="11">
        <f>IF(AA143="FUERA","Fuera del marco",IF(AA143="N/A","Sin marco",IFERROR(INDEX('Datos - TIMSS 2023'!$C$5:$C$105,MATCH(AA143,'Datos - TIMSS 2023'!$A$5:$A$105,0)),"Pendiente de clasificar")))</f>
        <v/>
      </c>
      <c r="AD143" s="11" t="inlineStr">
        <is>
          <t>2. Construir y evaluar diseños para la indagación científica e interpretar datos y evidencia de forma crítica</t>
        </is>
      </c>
      <c r="AE143" s="11">
        <f>IF(AD143="","",IF(LEFT(AD143,1)="1","C1",IF(LEFT(AD143,1)="2","C2",IF(LEFT(AD143,1)="3","C3",""))))</f>
        <v/>
      </c>
      <c r="AF143" s="11" t="inlineStr">
        <is>
          <t>E1</t>
        </is>
      </c>
      <c r="AG143" s="11" t="inlineStr">
        <is>
          <t>E5</t>
        </is>
      </c>
      <c r="AH143" s="11" t="inlineStr">
        <is>
          <t>E4</t>
        </is>
      </c>
      <c r="AI143" s="11" t="inlineStr">
        <is>
          <t>D4</t>
        </is>
      </c>
      <c r="AJ143" s="11" t="inlineStr">
        <is>
          <t>E3</t>
        </is>
      </c>
      <c r="AK143" s="11" t="n"/>
      <c r="AL143" s="11" t="n"/>
      <c r="AM143" s="11" t="n"/>
      <c r="AN143" s="11" t="n"/>
      <c r="AO143" s="11" t="n"/>
      <c r="AP143" s="11" t="n"/>
      <c r="AQ143" s="11" t="n"/>
      <c r="AR143" s="11" t="n"/>
      <c r="AS143" s="11" t="n"/>
      <c r="AT143" s="11" t="n"/>
      <c r="AU143" s="11" t="n"/>
      <c r="AV143" s="11" t="n"/>
      <c r="AW143" s="11">
        <f>AF143&amp;"; "&amp;AG143&amp;"; "&amp;AH143&amp;"; "&amp;AI143&amp;"; "&amp;AJ143</f>
        <v/>
      </c>
    </row>
    <row r="144">
      <c r="A144" s="11" t="inlineStr">
        <is>
          <t>T0778-G04-CIE</t>
        </is>
      </c>
      <c r="B144" s="11" t="n">
        <v>4</v>
      </c>
      <c r="C144" s="11" t="inlineStr">
        <is>
          <t>Ciencias</t>
        </is>
      </c>
      <c r="D144" s="11" t="inlineStr">
        <is>
          <t>Matriz_Ciencias_4to_Grado_U1_U6.xlsx</t>
        </is>
      </c>
      <c r="E144" s="11" t="inlineStr">
        <is>
          <t>Unidad 1 - Máquinas y energía</t>
        </is>
      </c>
      <c r="F144" s="11" t="n">
        <v>6</v>
      </c>
      <c r="G144" s="11" t="inlineStr">
        <is>
          <t>1. Máquinas y energía.</t>
        </is>
      </c>
      <c r="H144" s="11" t="inlineStr">
        <is>
          <t>Máquinas complejas.</t>
        </is>
      </c>
      <c r="I144" s="38" t="inlineStr">
        <is>
          <t>1.4. Indagación del concepto de máquinas complejas, a partir de dispositivos del entorno.</t>
        </is>
      </c>
      <c r="J144" s="11" t="inlineStr">
        <is>
          <t>T4_27</t>
        </is>
      </c>
      <c r="K144" s="11" t="inlineStr">
        <is>
          <t>T4_27-P5.2</t>
        </is>
      </c>
      <c r="L144" s="11" t="inlineStr"/>
      <c r="M144" s="11">
        <f>IF(K144="FUERA","Fuera del marco",IF(K144="N/A","Sin marco",IFERROR(INDEX('Datos - Catálogo TIMSS'!$C$5:$C$107,MATCH(K144,'Datos - Catálogo TIMSS'!$A$5:$A$107,0)),"Pendiente de clasificar")))</f>
        <v/>
      </c>
      <c r="N144" s="11">
        <f>IF(K144="FUERA","Fuera del marco",IF(K144="N/A","Sin marco",IFERROR(INDEX('Datos - Catálogo TIMSS'!$F$5:$F$107,MATCH(K144,'Datos - Catálogo TIMSS'!$A$5:$A$107,0)),"Pendiente de clasificar")))</f>
        <v/>
      </c>
      <c r="O144" s="11">
        <f>IF(L144="","",IFERROR(INDEX('Datos - Catálogo TIMSS'!$C$5:$C$107,MATCH(L144,'Datos - Catálogo TIMSS'!$A$5:$A$107,0)),"?"))</f>
        <v/>
      </c>
      <c r="P144" s="11" t="inlineStr">
        <is>
          <t>media</t>
        </is>
      </c>
      <c r="Q144" s="38" t="inlineStr">
        <is>
          <t>Máquinas complejas como combinación de máquinas simples</t>
        </is>
      </c>
      <c r="R144" s="38" t="inlineStr">
        <is>
          <t>Conocer: definir y dar ejemplos</t>
        </is>
      </c>
      <c r="S144" s="39">
        <f>IFERROR(ISNUMBER(SEARCH("Conocer",$R144))/(ISNUMBER(SEARCH("Conocer",$R144))+ISNUMBER(SEARCH("Aplicar",$R144))+ISNUMBER(SEARCH("Razonar",$R144))),0)</f>
        <v/>
      </c>
      <c r="T144" s="39">
        <f>IFERROR(ISNUMBER(SEARCH("Aplicar",$R144))/(ISNUMBER(SEARCH("Conocer",$R144))+ISNUMBER(SEARCH("Aplicar",$R144))+ISNUMBER(SEARCH("Razonar",$R144))),0)</f>
        <v/>
      </c>
      <c r="U144" s="39">
        <f>IFERROR(ISNUMBER(SEARCH("Razonar",$R144))/(ISNUMBER(SEARCH("Conocer",$R144))+ISNUMBER(SEARCH("Aplicar",$R144))+ISNUMBER(SEARCH("Razonar",$R144))),0)</f>
        <v/>
      </c>
      <c r="V144" s="11" t="inlineStr">
        <is>
          <t>4°</t>
        </is>
      </c>
      <c r="W144" s="11" t="inlineStr">
        <is>
          <t>Ciclo 2°–4°</t>
        </is>
      </c>
      <c r="X144" s="11">
        <f>IF(OR(IFERROR(INDEX('Datos - Catálogo TIMSS'!$I$5:$I$107,MATCH(K144,'Datos - Catálogo TIMSS'!$A$5:$A$107,0)),"No")="Sí",IFERROR(INDEX('Datos - Catálogo TIMSS'!$I$5:$I$107,MATCH(L144,'Datos - Catálogo TIMSS'!$A$5:$A$107,0)),"No")="Sí"),1,0)</f>
        <v/>
      </c>
      <c r="Y144" s="11">
        <f>IF(IFERROR(INDEX('Datos - Catálogo TIMSS'!$J$5:$J$107,MATCH(K144,'Datos - Catálogo TIMSS'!$A$5:$A$107,0)),"No")="Sí",1,0)</f>
        <v/>
      </c>
      <c r="Z144" s="11">
        <f>IF(IFERROR(INDEX('Datos - Catálogo TIMSS'!$J$5:$J$107,MATCH(L144,'Datos - Catálogo TIMSS'!$A$5:$A$107,0)),"No")="Sí",1,0)</f>
        <v/>
      </c>
      <c r="AA144" s="11" t="inlineStr">
        <is>
          <t>T4-F3.2</t>
        </is>
      </c>
      <c r="AB144" s="11" t="inlineStr"/>
      <c r="AC144" s="11">
        <f>IF(AA144="FUERA","Fuera del marco",IF(AA144="N/A","Sin marco",IFERROR(INDEX('Datos - TIMSS 2023'!$C$5:$C$105,MATCH(AA144,'Datos - TIMSS 2023'!$A$5:$A$105,0)),"Pendiente de clasificar")))</f>
        <v/>
      </c>
      <c r="AD144" s="11" t="inlineStr">
        <is>
          <t>1. Explicar fenómenos científicamente</t>
        </is>
      </c>
      <c r="AE144" s="11">
        <f>IF(AD144="","",IF(LEFT(AD144,1)="1","C1",IF(LEFT(AD144,1)="2","C2",IF(LEFT(AD144,1)="3","C3",""))))</f>
        <v/>
      </c>
      <c r="AF144" s="11" t="inlineStr">
        <is>
          <t>E1</t>
        </is>
      </c>
      <c r="AG144" s="11" t="inlineStr">
        <is>
          <t>D1</t>
        </is>
      </c>
      <c r="AH144" s="11" t="inlineStr">
        <is>
          <t>E1</t>
        </is>
      </c>
      <c r="AI144" s="11" t="inlineStr">
        <is>
          <t>D4</t>
        </is>
      </c>
      <c r="AJ144" s="11" t="inlineStr">
        <is>
          <t>E1</t>
        </is>
      </c>
      <c r="AK144" s="11" t="n"/>
      <c r="AL144" s="11" t="n"/>
      <c r="AM144" s="11" t="n"/>
      <c r="AN144" s="11" t="n"/>
      <c r="AO144" s="11" t="n"/>
      <c r="AP144" s="11" t="n"/>
      <c r="AQ144" s="11" t="n"/>
      <c r="AR144" s="11" t="n"/>
      <c r="AS144" s="11" t="n"/>
      <c r="AT144" s="11" t="n"/>
      <c r="AU144" s="11" t="n"/>
      <c r="AV144" s="11" t="n"/>
      <c r="AW144" s="11">
        <f>AF144&amp;"; "&amp;AG144&amp;"; "&amp;AH144&amp;"; "&amp;AI144&amp;"; "&amp;AJ144</f>
        <v/>
      </c>
    </row>
    <row r="145">
      <c r="A145" s="11" t="inlineStr">
        <is>
          <t>T0779-G04-CIE</t>
        </is>
      </c>
      <c r="B145" s="11" t="n">
        <v>4</v>
      </c>
      <c r="C145" s="11" t="inlineStr">
        <is>
          <t>Ciencias</t>
        </is>
      </c>
      <c r="D145" s="11" t="inlineStr">
        <is>
          <t>Matriz_Ciencias_4to_Grado_U1_U6.xlsx</t>
        </is>
      </c>
      <c r="E145" s="11" t="inlineStr">
        <is>
          <t>Unidad 1 - Máquinas y energía</t>
        </is>
      </c>
      <c r="F145" s="11" t="n">
        <v>7</v>
      </c>
      <c r="G145" s="11" t="inlineStr">
        <is>
          <t>1. Máquinas y energía.</t>
        </is>
      </c>
      <c r="H145" s="11" t="inlineStr">
        <is>
          <t>Máquinas complejas.</t>
        </is>
      </c>
      <c r="I145" s="38" t="inlineStr">
        <is>
          <t>1.5. Identificación de tipos de máquinas simples dentro de máquinas complejas.</t>
        </is>
      </c>
      <c r="J145" s="11" t="inlineStr">
        <is>
          <t>T4_27</t>
        </is>
      </c>
      <c r="K145" s="11" t="inlineStr">
        <is>
          <t>T4_27-P5.2</t>
        </is>
      </c>
      <c r="L145" s="11" t="inlineStr"/>
      <c r="M145" s="11">
        <f>IF(K145="FUERA","Fuera del marco",IF(K145="N/A","Sin marco",IFERROR(INDEX('Datos - Catálogo TIMSS'!$C$5:$C$107,MATCH(K145,'Datos - Catálogo TIMSS'!$A$5:$A$107,0)),"Pendiente de clasificar")))</f>
        <v/>
      </c>
      <c r="N145" s="11">
        <f>IF(K145="FUERA","Fuera del marco",IF(K145="N/A","Sin marco",IFERROR(INDEX('Datos - Catálogo TIMSS'!$F$5:$F$107,MATCH(K145,'Datos - Catálogo TIMSS'!$A$5:$A$107,0)),"Pendiente de clasificar")))</f>
        <v/>
      </c>
      <c r="O145" s="11">
        <f>IF(L145="","",IFERROR(INDEX('Datos - Catálogo TIMSS'!$C$5:$C$107,MATCH(L145,'Datos - Catálogo TIMSS'!$A$5:$A$107,0)),"?"))</f>
        <v/>
      </c>
      <c r="P145" s="11" t="inlineStr">
        <is>
          <t>alta</t>
        </is>
      </c>
      <c r="Q145" s="38" t="inlineStr">
        <is>
          <t>Identifica máquinas simples dentro de máquinas complejas</t>
        </is>
      </c>
      <c r="R145" s="38" t="inlineStr">
        <is>
          <t>Aplicar: analizar un sistema en sus partes</t>
        </is>
      </c>
      <c r="S145" s="39">
        <f>IFERROR(ISNUMBER(SEARCH("Conocer",$R145))/(ISNUMBER(SEARCH("Conocer",$R145))+ISNUMBER(SEARCH("Aplicar",$R145))+ISNUMBER(SEARCH("Razonar",$R145))),0)</f>
        <v/>
      </c>
      <c r="T145" s="39">
        <f>IFERROR(ISNUMBER(SEARCH("Aplicar",$R145))/(ISNUMBER(SEARCH("Conocer",$R145))+ISNUMBER(SEARCH("Aplicar",$R145))+ISNUMBER(SEARCH("Razonar",$R145))),0)</f>
        <v/>
      </c>
      <c r="U145" s="39">
        <f>IFERROR(ISNUMBER(SEARCH("Razonar",$R145))/(ISNUMBER(SEARCH("Conocer",$R145))+ISNUMBER(SEARCH("Aplicar",$R145))+ISNUMBER(SEARCH("Razonar",$R145))),0)</f>
        <v/>
      </c>
      <c r="V145" s="11" t="inlineStr">
        <is>
          <t>4°</t>
        </is>
      </c>
      <c r="W145" s="11" t="inlineStr">
        <is>
          <t>Ciclo 2°–4°</t>
        </is>
      </c>
      <c r="X145" s="11">
        <f>IF(OR(IFERROR(INDEX('Datos - Catálogo TIMSS'!$I$5:$I$107,MATCH(K145,'Datos - Catálogo TIMSS'!$A$5:$A$107,0)),"No")="Sí",IFERROR(INDEX('Datos - Catálogo TIMSS'!$I$5:$I$107,MATCH(L145,'Datos - Catálogo TIMSS'!$A$5:$A$107,0)),"No")="Sí"),1,0)</f>
        <v/>
      </c>
      <c r="Y145" s="11">
        <f>IF(IFERROR(INDEX('Datos - Catálogo TIMSS'!$J$5:$J$107,MATCH(K145,'Datos - Catálogo TIMSS'!$A$5:$A$107,0)),"No")="Sí",1,0)</f>
        <v/>
      </c>
      <c r="Z145" s="11">
        <f>IF(IFERROR(INDEX('Datos - Catálogo TIMSS'!$J$5:$J$107,MATCH(L145,'Datos - Catálogo TIMSS'!$A$5:$A$107,0)),"No")="Sí",1,0)</f>
        <v/>
      </c>
      <c r="AA145" s="11" t="inlineStr">
        <is>
          <t>T4-F3.2</t>
        </is>
      </c>
      <c r="AB145" s="11" t="inlineStr"/>
      <c r="AC145" s="11">
        <f>IF(AA145="FUERA","Fuera del marco",IF(AA145="N/A","Sin marco",IFERROR(INDEX('Datos - TIMSS 2023'!$C$5:$C$105,MATCH(AA145,'Datos - TIMSS 2023'!$A$5:$A$105,0)),"Pendiente de clasificar")))</f>
        <v/>
      </c>
      <c r="AD145" s="11" t="inlineStr">
        <is>
          <t>2. Construir y evaluar diseños para la indagación científica e interpretar datos y evidencia de forma crítica</t>
        </is>
      </c>
      <c r="AE145" s="11">
        <f>IF(AD145="","",IF(LEFT(AD145,1)="1","C1",IF(LEFT(AD145,1)="2","C2",IF(LEFT(AD145,1)="3","C3",""))))</f>
        <v/>
      </c>
      <c r="AF145" s="11" t="inlineStr">
        <is>
          <t>E1</t>
        </is>
      </c>
      <c r="AG145" s="11" t="inlineStr">
        <is>
          <t>E3</t>
        </is>
      </c>
      <c r="AH145" s="11" t="inlineStr">
        <is>
          <t>E4</t>
        </is>
      </c>
      <c r="AI145" s="11" t="inlineStr">
        <is>
          <t>D4</t>
        </is>
      </c>
      <c r="AJ145" s="11" t="inlineStr">
        <is>
          <t>E1</t>
        </is>
      </c>
      <c r="AK145" s="11" t="n"/>
      <c r="AL145" s="11" t="n"/>
      <c r="AM145" s="11" t="n"/>
      <c r="AN145" s="11" t="n"/>
      <c r="AO145" s="11" t="n"/>
      <c r="AP145" s="11" t="n"/>
      <c r="AQ145" s="11" t="n"/>
      <c r="AR145" s="11" t="n"/>
      <c r="AS145" s="11" t="n"/>
      <c r="AT145" s="11" t="n"/>
      <c r="AU145" s="11" t="n"/>
      <c r="AV145" s="11" t="n"/>
      <c r="AW145" s="11">
        <f>AF145&amp;"; "&amp;AG145&amp;"; "&amp;AH145&amp;"; "&amp;AI145&amp;"; "&amp;AJ145</f>
        <v/>
      </c>
    </row>
    <row r="146">
      <c r="A146" s="11" t="inlineStr">
        <is>
          <t>T0780-G04-CIE</t>
        </is>
      </c>
      <c r="B146" s="11" t="n">
        <v>4</v>
      </c>
      <c r="C146" s="11" t="inlineStr">
        <is>
          <t>Ciencias</t>
        </is>
      </c>
      <c r="D146" s="11" t="inlineStr">
        <is>
          <t>Matriz_Ciencias_4to_Grado_U1_U6.xlsx</t>
        </is>
      </c>
      <c r="E146" s="11" t="inlineStr">
        <is>
          <t>Unidad 1 - Máquinas y energía</t>
        </is>
      </c>
      <c r="F146" s="11" t="n">
        <v>8</v>
      </c>
      <c r="G146" s="11" t="inlineStr">
        <is>
          <t>1. Máquinas y energía.</t>
        </is>
      </c>
      <c r="H146" s="11" t="inlineStr">
        <is>
          <t>Máquinas complejas.</t>
        </is>
      </c>
      <c r="I146" s="38" t="inlineStr">
        <is>
          <t>1.6. Construcción de una máquina compleja.</t>
        </is>
      </c>
      <c r="J146" s="11" t="inlineStr">
        <is>
          <t>T4_27</t>
        </is>
      </c>
      <c r="K146" s="11" t="inlineStr">
        <is>
          <t>T4_27-P5.2</t>
        </is>
      </c>
      <c r="L146" s="11" t="inlineStr"/>
      <c r="M146" s="11">
        <f>IF(K146="FUERA","Fuera del marco",IF(K146="N/A","Sin marco",IFERROR(INDEX('Datos - Catálogo TIMSS'!$C$5:$C$107,MATCH(K146,'Datos - Catálogo TIMSS'!$A$5:$A$107,0)),"Pendiente de clasificar")))</f>
        <v/>
      </c>
      <c r="N146" s="11">
        <f>IF(K146="FUERA","Fuera del marco",IF(K146="N/A","Sin marco",IFERROR(INDEX('Datos - Catálogo TIMSS'!$F$5:$F$107,MATCH(K146,'Datos - Catálogo TIMSS'!$A$5:$A$107,0)),"Pendiente de clasificar")))</f>
        <v/>
      </c>
      <c r="O146" s="11">
        <f>IF(L146="","",IFERROR(INDEX('Datos - Catálogo TIMSS'!$C$5:$C$107,MATCH(L146,'Datos - Catálogo TIMSS'!$A$5:$A$107,0)),"?"))</f>
        <v/>
      </c>
      <c r="P146" s="11" t="inlineStr">
        <is>
          <t>media</t>
        </is>
      </c>
      <c r="Q146" s="38" t="inlineStr">
        <is>
          <t>Construcción de prototipo basado en máquinas simples; componente de diseño</t>
        </is>
      </c>
      <c r="R146" s="38" t="inlineStr">
        <is>
          <t>Razonar: diseñar, construir y evaluar</t>
        </is>
      </c>
      <c r="S146" s="39">
        <f>IFERROR(ISNUMBER(SEARCH("Conocer",$R146))/(ISNUMBER(SEARCH("Conocer",$R146))+ISNUMBER(SEARCH("Aplicar",$R146))+ISNUMBER(SEARCH("Razonar",$R146))),0)</f>
        <v/>
      </c>
      <c r="T146" s="39">
        <f>IFERROR(ISNUMBER(SEARCH("Aplicar",$R146))/(ISNUMBER(SEARCH("Conocer",$R146))+ISNUMBER(SEARCH("Aplicar",$R146))+ISNUMBER(SEARCH("Razonar",$R146))),0)</f>
        <v/>
      </c>
      <c r="U146" s="39">
        <f>IFERROR(ISNUMBER(SEARCH("Razonar",$R146))/(ISNUMBER(SEARCH("Conocer",$R146))+ISNUMBER(SEARCH("Aplicar",$R146))+ISNUMBER(SEARCH("Razonar",$R146))),0)</f>
        <v/>
      </c>
      <c r="V146" s="11" t="inlineStr">
        <is>
          <t>4°</t>
        </is>
      </c>
      <c r="W146" s="11" t="inlineStr">
        <is>
          <t>Ciclo 2°–4°</t>
        </is>
      </c>
      <c r="X146" s="11">
        <f>IF(OR(IFERROR(INDEX('Datos - Catálogo TIMSS'!$I$5:$I$107,MATCH(K146,'Datos - Catálogo TIMSS'!$A$5:$A$107,0)),"No")="Sí",IFERROR(INDEX('Datos - Catálogo TIMSS'!$I$5:$I$107,MATCH(L146,'Datos - Catálogo TIMSS'!$A$5:$A$107,0)),"No")="Sí"),1,0)</f>
        <v/>
      </c>
      <c r="Y146" s="11">
        <f>IF(IFERROR(INDEX('Datos - Catálogo TIMSS'!$J$5:$J$107,MATCH(K146,'Datos - Catálogo TIMSS'!$A$5:$A$107,0)),"No")="Sí",1,0)</f>
        <v/>
      </c>
      <c r="Z146" s="11">
        <f>IF(IFERROR(INDEX('Datos - Catálogo TIMSS'!$J$5:$J$107,MATCH(L146,'Datos - Catálogo TIMSS'!$A$5:$A$107,0)),"No")="Sí",1,0)</f>
        <v/>
      </c>
      <c r="AA146" s="11" t="inlineStr">
        <is>
          <t>T4-F3.2</t>
        </is>
      </c>
      <c r="AB146" s="11" t="inlineStr"/>
      <c r="AC146" s="11">
        <f>IF(AA146="FUERA","Fuera del marco",IF(AA146="N/A","Sin marco",IFERROR(INDEX('Datos - TIMSS 2023'!$C$5:$C$105,MATCH(AA146,'Datos - TIMSS 2023'!$A$5:$A$105,0)),"Pendiente de clasificar")))</f>
        <v/>
      </c>
      <c r="AD146" s="11" t="inlineStr">
        <is>
          <t>2. Construir y evaluar diseños para la indagación científica e interpretar datos y evidencia de forma crítica</t>
        </is>
      </c>
      <c r="AE146" s="11">
        <f>IF(AD146="","",IF(LEFT(AD146,1)="1","C1",IF(LEFT(AD146,1)="2","C2",IF(LEFT(AD146,1)="3","C3",""))))</f>
        <v/>
      </c>
      <c r="AF146" s="11" t="inlineStr">
        <is>
          <t>E6</t>
        </is>
      </c>
      <c r="AG146" s="11" t="inlineStr">
        <is>
          <t>D1</t>
        </is>
      </c>
      <c r="AH146" s="11" t="inlineStr">
        <is>
          <t>E3</t>
        </is>
      </c>
      <c r="AI146" s="11" t="inlineStr">
        <is>
          <t>D3</t>
        </is>
      </c>
      <c r="AJ146" s="11" t="inlineStr">
        <is>
          <t>E3</t>
        </is>
      </c>
      <c r="AK146" s="11" t="n"/>
      <c r="AL146" s="11" t="n"/>
      <c r="AM146" s="11" t="n"/>
      <c r="AN146" s="11" t="n"/>
      <c r="AO146" s="11" t="n"/>
      <c r="AP146" s="11" t="n"/>
      <c r="AQ146" s="11" t="n"/>
      <c r="AR146" s="11" t="n"/>
      <c r="AS146" s="11" t="n"/>
      <c r="AT146" s="11" t="n"/>
      <c r="AU146" s="11" t="n"/>
      <c r="AV146" s="11" t="n"/>
      <c r="AW146" s="11">
        <f>AF146&amp;"; "&amp;AG146&amp;"; "&amp;AH146&amp;"; "&amp;AI146&amp;"; "&amp;AJ146</f>
        <v/>
      </c>
    </row>
    <row r="147">
      <c r="A147" s="11" t="inlineStr">
        <is>
          <t>T0781-G04-CIE</t>
        </is>
      </c>
      <c r="B147" s="11" t="n">
        <v>4</v>
      </c>
      <c r="C147" s="11" t="inlineStr">
        <is>
          <t>Ciencias</t>
        </is>
      </c>
      <c r="D147" s="11" t="inlineStr">
        <is>
          <t>Matriz_Ciencias_4to_Grado_U1_U6.xlsx</t>
        </is>
      </c>
      <c r="E147" s="11" t="inlineStr">
        <is>
          <t>Unidad 1 - Máquinas y energía</t>
        </is>
      </c>
      <c r="F147" s="11" t="n">
        <v>9</v>
      </c>
      <c r="G147" s="11" t="inlineStr">
        <is>
          <t>1. Máquinas y energía.</t>
        </is>
      </c>
      <c r="H147" s="11" t="inlineStr">
        <is>
          <t>Tecnología en el entorno.</t>
        </is>
      </c>
      <c r="I147" s="38" t="inlineStr">
        <is>
          <t>1.7. Elaboración de inventario de los objetos tecnológicos de uso diario.</t>
        </is>
      </c>
      <c r="J147" s="11" t="inlineStr">
        <is>
          <t>T4_27</t>
        </is>
      </c>
      <c r="K147" s="11" t="inlineStr">
        <is>
          <t>FUERA</t>
        </is>
      </c>
      <c r="L147" s="11" t="inlineStr"/>
      <c r="M147" s="11">
        <f>IF(K147="FUERA","Fuera del marco",IF(K147="N/A","Sin marco",IFERROR(INDEX('Datos - Catálogo TIMSS'!$C$5:$C$107,MATCH(K147,'Datos - Catálogo TIMSS'!$A$5:$A$107,0)),"Pendiente de clasificar")))</f>
        <v/>
      </c>
      <c r="N147" s="11">
        <f>IF(K147="FUERA","Fuera del marco",IF(K147="N/A","Sin marco",IFERROR(INDEX('Datos - Catálogo TIMSS'!$F$5:$F$107,MATCH(K147,'Datos - Catálogo TIMSS'!$A$5:$A$107,0)),"Pendiente de clasificar")))</f>
        <v/>
      </c>
      <c r="O147" s="11">
        <f>IF(L147="","",IFERROR(INDEX('Datos - Catálogo TIMSS'!$C$5:$C$107,MATCH(L147,'Datos - Catálogo TIMSS'!$A$5:$A$107,0)),"?"))</f>
        <v/>
      </c>
      <c r="P147" s="11" t="inlineStr">
        <is>
          <t>alta</t>
        </is>
      </c>
      <c r="Q147" s="38" t="inlineStr">
        <is>
          <t>Inventario de objetos tecnológicos sin contenido del marco</t>
        </is>
      </c>
      <c r="R147" s="38" t="inlineStr">
        <is>
          <t>Aplicar: organizar información</t>
        </is>
      </c>
      <c r="S147" s="39">
        <f>IFERROR(ISNUMBER(SEARCH("Conocer",$R147))/(ISNUMBER(SEARCH("Conocer",$R147))+ISNUMBER(SEARCH("Aplicar",$R147))+ISNUMBER(SEARCH("Razonar",$R147))),0)</f>
        <v/>
      </c>
      <c r="T147" s="39">
        <f>IFERROR(ISNUMBER(SEARCH("Aplicar",$R147))/(ISNUMBER(SEARCH("Conocer",$R147))+ISNUMBER(SEARCH("Aplicar",$R147))+ISNUMBER(SEARCH("Razonar",$R147))),0)</f>
        <v/>
      </c>
      <c r="U147" s="39">
        <f>IFERROR(ISNUMBER(SEARCH("Razonar",$R147))/(ISNUMBER(SEARCH("Conocer",$R147))+ISNUMBER(SEARCH("Aplicar",$R147))+ISNUMBER(SEARCH("Razonar",$R147))),0)</f>
        <v/>
      </c>
      <c r="V147" s="11" t="inlineStr">
        <is>
          <t>4°</t>
        </is>
      </c>
      <c r="W147" s="11" t="inlineStr">
        <is>
          <t>Ciclo 2°–4°</t>
        </is>
      </c>
      <c r="X147" s="11">
        <f>IF(OR(IFERROR(INDEX('Datos - Catálogo TIMSS'!$I$5:$I$107,MATCH(K147,'Datos - Catálogo TIMSS'!$A$5:$A$107,0)),"No")="Sí",IFERROR(INDEX('Datos - Catálogo TIMSS'!$I$5:$I$107,MATCH(L147,'Datos - Catálogo TIMSS'!$A$5:$A$107,0)),"No")="Sí"),1,0)</f>
        <v/>
      </c>
      <c r="Y147" s="11">
        <f>IF(IFERROR(INDEX('Datos - Catálogo TIMSS'!$J$5:$J$107,MATCH(K147,'Datos - Catálogo TIMSS'!$A$5:$A$107,0)),"No")="Sí",1,0)</f>
        <v/>
      </c>
      <c r="Z147" s="11">
        <f>IF(IFERROR(INDEX('Datos - Catálogo TIMSS'!$J$5:$J$107,MATCH(L147,'Datos - Catálogo TIMSS'!$A$5:$A$107,0)),"No")="Sí",1,0)</f>
        <v/>
      </c>
      <c r="AA147" s="11" t="inlineStr">
        <is>
          <t>FUERA</t>
        </is>
      </c>
      <c r="AB147" s="11" t="inlineStr"/>
      <c r="AC147" s="11">
        <f>IF(AA147="FUERA","Fuera del marco",IF(AA147="N/A","Sin marco",IFERROR(INDEX('Datos - TIMSS 2023'!$C$5:$C$105,MATCH(AA147,'Datos - TIMSS 2023'!$A$5:$A$105,0)),"Pendiente de clasificar")))</f>
        <v/>
      </c>
      <c r="AD147" s="11" t="inlineStr">
        <is>
          <t>3. Investigar, evaluar y usar información científica para tomar decisiones y actuar</t>
        </is>
      </c>
      <c r="AE147" s="11">
        <f>IF(AD147="","",IF(LEFT(AD147,1)="1","C1",IF(LEFT(AD147,1)="2","C2",IF(LEFT(AD147,1)="3","C3",""))))</f>
        <v/>
      </c>
      <c r="AF147" s="11" t="inlineStr">
        <is>
          <t>E1</t>
        </is>
      </c>
      <c r="AG147" s="11" t="inlineStr">
        <is>
          <t>D1</t>
        </is>
      </c>
      <c r="AH147" s="11" t="inlineStr">
        <is>
          <t>E2</t>
        </is>
      </c>
      <c r="AI147" s="11" t="inlineStr">
        <is>
          <t>I3</t>
        </is>
      </c>
      <c r="AJ147" s="11" t="inlineStr">
        <is>
          <t>I5</t>
        </is>
      </c>
      <c r="AK147" s="11" t="n"/>
      <c r="AL147" s="11" t="n"/>
      <c r="AM147" s="11" t="n"/>
      <c r="AN147" s="11" t="n"/>
      <c r="AO147" s="11" t="n"/>
      <c r="AP147" s="11" t="n"/>
      <c r="AQ147" s="11" t="n"/>
      <c r="AR147" s="11" t="n"/>
      <c r="AS147" s="11" t="n"/>
      <c r="AT147" s="11" t="n"/>
      <c r="AU147" s="11" t="n"/>
      <c r="AV147" s="11" t="n"/>
      <c r="AW147" s="11">
        <f>AF147&amp;"; "&amp;AG147&amp;"; "&amp;AH147&amp;"; "&amp;AI147&amp;"; "&amp;AJ147</f>
        <v/>
      </c>
    </row>
    <row r="148">
      <c r="A148" s="11" t="inlineStr">
        <is>
          <t>T0782-G04-CIE</t>
        </is>
      </c>
      <c r="B148" s="11" t="n">
        <v>4</v>
      </c>
      <c r="C148" s="11" t="inlineStr">
        <is>
          <t>Ciencias</t>
        </is>
      </c>
      <c r="D148" s="11" t="inlineStr">
        <is>
          <t>Matriz_Ciencias_4to_Grado_U1_U6.xlsx</t>
        </is>
      </c>
      <c r="E148" s="11" t="inlineStr">
        <is>
          <t>Unidad 1 - Máquinas y energía</t>
        </is>
      </c>
      <c r="F148" s="11" t="n">
        <v>10</v>
      </c>
      <c r="G148" s="11" t="inlineStr">
        <is>
          <t>1. Máquinas y energía.</t>
        </is>
      </c>
      <c r="H148" s="11" t="inlineStr">
        <is>
          <t>Tecnología en el entorno.</t>
        </is>
      </c>
      <c r="I148" s="38" t="inlineStr">
        <is>
          <t>1.8. Identificación de las fuentes de energía en objetos tecnológicos de uso diario.</t>
        </is>
      </c>
      <c r="J148" s="11" t="inlineStr">
        <is>
          <t>T4_27</t>
        </is>
      </c>
      <c r="K148" s="11" t="inlineStr">
        <is>
          <t>T4_27-P2.1</t>
        </is>
      </c>
      <c r="L148" s="11" t="inlineStr"/>
      <c r="M148" s="11">
        <f>IF(K148="FUERA","Fuera del marco",IF(K148="N/A","Sin marco",IFERROR(INDEX('Datos - Catálogo TIMSS'!$C$5:$C$107,MATCH(K148,'Datos - Catálogo TIMSS'!$A$5:$A$107,0)),"Pendiente de clasificar")))</f>
        <v/>
      </c>
      <c r="N148" s="11">
        <f>IF(K148="FUERA","Fuera del marco",IF(K148="N/A","Sin marco",IFERROR(INDEX('Datos - Catálogo TIMSS'!$F$5:$F$107,MATCH(K148,'Datos - Catálogo TIMSS'!$A$5:$A$107,0)),"Pendiente de clasificar")))</f>
        <v/>
      </c>
      <c r="O148" s="11">
        <f>IF(L148="","",IFERROR(INDEX('Datos - Catálogo TIMSS'!$C$5:$C$107,MATCH(L148,'Datos - Catálogo TIMSS'!$A$5:$A$107,0)),"?"))</f>
        <v/>
      </c>
      <c r="P148" s="11" t="inlineStr">
        <is>
          <t>media</t>
        </is>
      </c>
      <c r="Q148" s="38" t="inlineStr">
        <is>
          <t>Formas de energía que usan los objetos cotidianos</t>
        </is>
      </c>
      <c r="R148" s="38" t="inlineStr">
        <is>
          <t>Aplicar: clasificar</t>
        </is>
      </c>
      <c r="S148" s="39">
        <f>IFERROR(ISNUMBER(SEARCH("Conocer",$R148))/(ISNUMBER(SEARCH("Conocer",$R148))+ISNUMBER(SEARCH("Aplicar",$R148))+ISNUMBER(SEARCH("Razonar",$R148))),0)</f>
        <v/>
      </c>
      <c r="T148" s="39">
        <f>IFERROR(ISNUMBER(SEARCH("Aplicar",$R148))/(ISNUMBER(SEARCH("Conocer",$R148))+ISNUMBER(SEARCH("Aplicar",$R148))+ISNUMBER(SEARCH("Razonar",$R148))),0)</f>
        <v/>
      </c>
      <c r="U148" s="39">
        <f>IFERROR(ISNUMBER(SEARCH("Razonar",$R148))/(ISNUMBER(SEARCH("Conocer",$R148))+ISNUMBER(SEARCH("Aplicar",$R148))+ISNUMBER(SEARCH("Razonar",$R148))),0)</f>
        <v/>
      </c>
      <c r="V148" s="11" t="inlineStr">
        <is>
          <t>4°</t>
        </is>
      </c>
      <c r="W148" s="11" t="inlineStr">
        <is>
          <t>Ciclo 2°–4°</t>
        </is>
      </c>
      <c r="X148" s="11">
        <f>IF(OR(IFERROR(INDEX('Datos - Catálogo TIMSS'!$I$5:$I$107,MATCH(K148,'Datos - Catálogo TIMSS'!$A$5:$A$107,0)),"No")="Sí",IFERROR(INDEX('Datos - Catálogo TIMSS'!$I$5:$I$107,MATCH(L148,'Datos - Catálogo TIMSS'!$A$5:$A$107,0)),"No")="Sí"),1,0)</f>
        <v/>
      </c>
      <c r="Y148" s="11">
        <f>IF(IFERROR(INDEX('Datos - Catálogo TIMSS'!$J$5:$J$107,MATCH(K148,'Datos - Catálogo TIMSS'!$A$5:$A$107,0)),"No")="Sí",1,0)</f>
        <v/>
      </c>
      <c r="Z148" s="11">
        <f>IF(IFERROR(INDEX('Datos - Catálogo TIMSS'!$J$5:$J$107,MATCH(L148,'Datos - Catálogo TIMSS'!$A$5:$A$107,0)),"No")="Sí",1,0)</f>
        <v/>
      </c>
      <c r="AA148" s="11" t="inlineStr">
        <is>
          <t>T4-F2.1</t>
        </is>
      </c>
      <c r="AB148" s="11" t="inlineStr"/>
      <c r="AC148" s="11">
        <f>IF(AA148="FUERA","Fuera del marco",IF(AA148="N/A","Sin marco",IFERROR(INDEX('Datos - TIMSS 2023'!$C$5:$C$105,MATCH(AA148,'Datos - TIMSS 2023'!$A$5:$A$105,0)),"Pendiente de clasificar")))</f>
        <v/>
      </c>
      <c r="AD148" s="11" t="inlineStr">
        <is>
          <t>1. Explicar fenómenos científicamente</t>
        </is>
      </c>
      <c r="AE148" s="11">
        <f>IF(AD148="","",IF(LEFT(AD148,1)="1","C1",IF(LEFT(AD148,1)="2","C2",IF(LEFT(AD148,1)="3","C3",""))))</f>
        <v/>
      </c>
      <c r="AF148" s="11" t="inlineStr">
        <is>
          <t>E1</t>
        </is>
      </c>
      <c r="AG148" s="11" t="inlineStr">
        <is>
          <t>D1</t>
        </is>
      </c>
      <c r="AH148" s="11" t="inlineStr">
        <is>
          <t>E1</t>
        </is>
      </c>
      <c r="AI148" s="11" t="inlineStr">
        <is>
          <t>D4</t>
        </is>
      </c>
      <c r="AJ148" s="11" t="inlineStr">
        <is>
          <t>E6</t>
        </is>
      </c>
      <c r="AK148" s="11" t="n"/>
      <c r="AL148" s="11" t="n"/>
      <c r="AM148" s="11" t="n"/>
      <c r="AN148" s="11" t="n"/>
      <c r="AO148" s="11" t="n"/>
      <c r="AP148" s="11" t="n"/>
      <c r="AQ148" s="11" t="n"/>
      <c r="AR148" s="11" t="n"/>
      <c r="AS148" s="11" t="n"/>
      <c r="AT148" s="11" t="n"/>
      <c r="AU148" s="11" t="n"/>
      <c r="AV148" s="11" t="n"/>
      <c r="AW148" s="11">
        <f>AF148&amp;"; "&amp;AG148&amp;"; "&amp;AH148&amp;"; "&amp;AI148&amp;"; "&amp;AJ148</f>
        <v/>
      </c>
    </row>
    <row r="149">
      <c r="A149" s="11" t="inlineStr">
        <is>
          <t>T0783-G04-CIE</t>
        </is>
      </c>
      <c r="B149" s="11" t="n">
        <v>4</v>
      </c>
      <c r="C149" s="11" t="inlineStr">
        <is>
          <t>Ciencias</t>
        </is>
      </c>
      <c r="D149" s="11" t="inlineStr">
        <is>
          <t>Matriz_Ciencias_4to_Grado_U1_U6.xlsx</t>
        </is>
      </c>
      <c r="E149" s="11" t="inlineStr">
        <is>
          <t>Unidad 1 - Máquinas y energía</t>
        </is>
      </c>
      <c r="F149" s="11" t="n">
        <v>11</v>
      </c>
      <c r="G149" s="11" t="inlineStr">
        <is>
          <t>1. Máquinas y energía.</t>
        </is>
      </c>
      <c r="H149" s="11" t="inlineStr">
        <is>
          <t>Transformaciones de la energía.</t>
        </is>
      </c>
      <c r="I149" s="38" t="inlineStr">
        <is>
          <t>1.9. Relación entre la forma de energía empleada por un dispositivo y su utilidad.</t>
        </is>
      </c>
      <c r="J149" s="11" t="inlineStr">
        <is>
          <t>T4_27</t>
        </is>
      </c>
      <c r="K149" s="11" t="inlineStr">
        <is>
          <t>T4_27-P2.1</t>
        </is>
      </c>
      <c r="L149" s="11" t="inlineStr">
        <is>
          <t>T4_27-P4.1</t>
        </is>
      </c>
      <c r="M149" s="11">
        <f>IF(K149="FUERA","Fuera del marco",IF(K149="N/A","Sin marco",IFERROR(INDEX('Datos - Catálogo TIMSS'!$C$5:$C$107,MATCH(K149,'Datos - Catálogo TIMSS'!$A$5:$A$107,0)),"Pendiente de clasificar")))</f>
        <v/>
      </c>
      <c r="N149" s="11">
        <f>IF(K149="FUERA","Fuera del marco",IF(K149="N/A","Sin marco",IFERROR(INDEX('Datos - Catálogo TIMSS'!$F$5:$F$107,MATCH(K149,'Datos - Catálogo TIMSS'!$A$5:$A$107,0)),"Pendiente de clasificar")))</f>
        <v/>
      </c>
      <c r="O149" s="11">
        <f>IF(L149="","",IFERROR(INDEX('Datos - Catálogo TIMSS'!$C$5:$C$107,MATCH(L149,'Datos - Catálogo TIMSS'!$A$5:$A$107,0)),"?"))</f>
        <v/>
      </c>
      <c r="P149" s="11" t="inlineStr">
        <is>
          <t>media</t>
        </is>
      </c>
      <c r="Q149" s="38" t="inlineStr">
        <is>
          <t>Forma de energía usada por aparatos; transformación de energía eléctrica</t>
        </is>
      </c>
      <c r="R149" s="38" t="inlineStr">
        <is>
          <t>Aplicar: relacionar forma de energía y utilidad</t>
        </is>
      </c>
      <c r="S149" s="39">
        <f>IFERROR(ISNUMBER(SEARCH("Conocer",$R149))/(ISNUMBER(SEARCH("Conocer",$R149))+ISNUMBER(SEARCH("Aplicar",$R149))+ISNUMBER(SEARCH("Razonar",$R149))),0)</f>
        <v/>
      </c>
      <c r="T149" s="39">
        <f>IFERROR(ISNUMBER(SEARCH("Aplicar",$R149))/(ISNUMBER(SEARCH("Conocer",$R149))+ISNUMBER(SEARCH("Aplicar",$R149))+ISNUMBER(SEARCH("Razonar",$R149))),0)</f>
        <v/>
      </c>
      <c r="U149" s="39">
        <f>IFERROR(ISNUMBER(SEARCH("Razonar",$R149))/(ISNUMBER(SEARCH("Conocer",$R149))+ISNUMBER(SEARCH("Aplicar",$R149))+ISNUMBER(SEARCH("Razonar",$R149))),0)</f>
        <v/>
      </c>
      <c r="V149" s="11" t="inlineStr">
        <is>
          <t>4°</t>
        </is>
      </c>
      <c r="W149" s="11" t="inlineStr">
        <is>
          <t>Ciclo 2°–4°</t>
        </is>
      </c>
      <c r="X149" s="11">
        <f>IF(OR(IFERROR(INDEX('Datos - Catálogo TIMSS'!$I$5:$I$107,MATCH(K149,'Datos - Catálogo TIMSS'!$A$5:$A$107,0)),"No")="Sí",IFERROR(INDEX('Datos - Catálogo TIMSS'!$I$5:$I$107,MATCH(L149,'Datos - Catálogo TIMSS'!$A$5:$A$107,0)),"No")="Sí"),1,0)</f>
        <v/>
      </c>
      <c r="Y149" s="11">
        <f>IF(IFERROR(INDEX('Datos - Catálogo TIMSS'!$J$5:$J$107,MATCH(K149,'Datos - Catálogo TIMSS'!$A$5:$A$107,0)),"No")="Sí",1,0)</f>
        <v/>
      </c>
      <c r="Z149" s="11">
        <f>IF(IFERROR(INDEX('Datos - Catálogo TIMSS'!$J$5:$J$107,MATCH(L149,'Datos - Catálogo TIMSS'!$A$5:$A$107,0)),"No")="Sí",1,0)</f>
        <v/>
      </c>
      <c r="AA149" s="11" t="inlineStr">
        <is>
          <t>T4-F2.4</t>
        </is>
      </c>
      <c r="AB149" s="11" t="inlineStr">
        <is>
          <t>T4-F2.1</t>
        </is>
      </c>
      <c r="AC149" s="11">
        <f>IF(AA149="FUERA","Fuera del marco",IF(AA149="N/A","Sin marco",IFERROR(INDEX('Datos - TIMSS 2023'!$C$5:$C$105,MATCH(AA149,'Datos - TIMSS 2023'!$A$5:$A$105,0)),"Pendiente de clasificar")))</f>
        <v/>
      </c>
      <c r="AD149" s="11" t="inlineStr">
        <is>
          <t>1. Explicar fenómenos científicamente</t>
        </is>
      </c>
      <c r="AE149" s="11">
        <f>IF(AD149="","",IF(LEFT(AD149,1)="1","C1",IF(LEFT(AD149,1)="2","C2",IF(LEFT(AD149,1)="3","C3",""))))</f>
        <v/>
      </c>
      <c r="AF149" s="11" t="inlineStr">
        <is>
          <t>E1</t>
        </is>
      </c>
      <c r="AG149" s="11" t="inlineStr">
        <is>
          <t>E5</t>
        </is>
      </c>
      <c r="AH149" s="11" t="inlineStr">
        <is>
          <t>E2</t>
        </is>
      </c>
      <c r="AI149" s="11" t="inlineStr">
        <is>
          <t>D4</t>
        </is>
      </c>
      <c r="AJ149" s="11" t="inlineStr">
        <is>
          <t>E1</t>
        </is>
      </c>
      <c r="AK149" s="11" t="n"/>
      <c r="AL149" s="11" t="n"/>
      <c r="AM149" s="11" t="n"/>
      <c r="AN149" s="11" t="n"/>
      <c r="AO149" s="11" t="n"/>
      <c r="AP149" s="11" t="n"/>
      <c r="AQ149" s="11" t="n"/>
      <c r="AR149" s="11" t="n"/>
      <c r="AS149" s="11" t="n"/>
      <c r="AT149" s="11" t="n"/>
      <c r="AU149" s="11" t="n"/>
      <c r="AV149" s="11" t="n"/>
      <c r="AW149" s="11">
        <f>AF149&amp;"; "&amp;AG149&amp;"; "&amp;AH149&amp;"; "&amp;AI149&amp;"; "&amp;AJ149</f>
        <v/>
      </c>
    </row>
    <row r="150">
      <c r="A150" s="11" t="inlineStr">
        <is>
          <t>T0784-G04-CIE</t>
        </is>
      </c>
      <c r="B150" s="11" t="n">
        <v>4</v>
      </c>
      <c r="C150" s="11" t="inlineStr">
        <is>
          <t>Ciencias</t>
        </is>
      </c>
      <c r="D150" s="11" t="inlineStr">
        <is>
          <t>Matriz_Ciencias_4to_Grado_U1_U6.xlsx</t>
        </is>
      </c>
      <c r="E150" s="11" t="inlineStr">
        <is>
          <t>Unidad 1 - Máquinas y energía</t>
        </is>
      </c>
      <c r="F150" s="11" t="n">
        <v>12</v>
      </c>
      <c r="G150" s="11" t="inlineStr">
        <is>
          <t>1. Máquinas y energía.</t>
        </is>
      </c>
      <c r="H150" s="11" t="inlineStr">
        <is>
          <t>Transformaciones de la energía.</t>
        </is>
      </c>
      <c r="I150" s="38" t="inlineStr">
        <is>
          <t>1.10. Cálculo de las transformaciones de energía en electrodomésticos y el cuerpo humano.</t>
        </is>
      </c>
      <c r="J150" s="11" t="inlineStr">
        <is>
          <t>T4_27</t>
        </is>
      </c>
      <c r="K150" s="11" t="inlineStr">
        <is>
          <t>T4_27-P4.1</t>
        </is>
      </c>
      <c r="L150" s="11" t="inlineStr">
        <is>
          <t>T4_27-P2.1</t>
        </is>
      </c>
      <c r="M150" s="11">
        <f>IF(K150="FUERA","Fuera del marco",IF(K150="N/A","Sin marco",IFERROR(INDEX('Datos - Catálogo TIMSS'!$C$5:$C$107,MATCH(K150,'Datos - Catálogo TIMSS'!$A$5:$A$107,0)),"Pendiente de clasificar")))</f>
        <v/>
      </c>
      <c r="N150" s="11">
        <f>IF(K150="FUERA","Fuera del marco",IF(K150="N/A","Sin marco",IFERROR(INDEX('Datos - Catálogo TIMSS'!$F$5:$F$107,MATCH(K150,'Datos - Catálogo TIMSS'!$A$5:$A$107,0)),"Pendiente de clasificar")))</f>
        <v/>
      </c>
      <c r="O150" s="11">
        <f>IF(L150="","",IFERROR(INDEX('Datos - Catálogo TIMSS'!$C$5:$C$107,MATCH(L150,'Datos - Catálogo TIMSS'!$A$5:$A$107,0)),"?"))</f>
        <v/>
      </c>
      <c r="P150" s="11" t="inlineStr">
        <is>
          <t>baja</t>
        </is>
      </c>
      <c r="Q150" s="38" t="inlineStr">
        <is>
          <t>Cálculos de transformación energética exceden el marco; incluye cuerpo humano</t>
        </is>
      </c>
      <c r="R150" s="38" t="inlineStr">
        <is>
          <t>Aplicar: calcular. Razonar: comparar y justificar</t>
        </is>
      </c>
      <c r="S150" s="39">
        <f>IFERROR(ISNUMBER(SEARCH("Conocer",$R150))/(ISNUMBER(SEARCH("Conocer",$R150))+ISNUMBER(SEARCH("Aplicar",$R150))+ISNUMBER(SEARCH("Razonar",$R150))),0)</f>
        <v/>
      </c>
      <c r="T150" s="39">
        <f>IFERROR(ISNUMBER(SEARCH("Aplicar",$R150))/(ISNUMBER(SEARCH("Conocer",$R150))+ISNUMBER(SEARCH("Aplicar",$R150))+ISNUMBER(SEARCH("Razonar",$R150))),0)</f>
        <v/>
      </c>
      <c r="U150" s="39">
        <f>IFERROR(ISNUMBER(SEARCH("Razonar",$R150))/(ISNUMBER(SEARCH("Conocer",$R150))+ISNUMBER(SEARCH("Aplicar",$R150))+ISNUMBER(SEARCH("Razonar",$R150))),0)</f>
        <v/>
      </c>
      <c r="V150" s="11" t="inlineStr">
        <is>
          <t>4°</t>
        </is>
      </c>
      <c r="W150" s="11" t="inlineStr">
        <is>
          <t>Ciclo 2°–4°</t>
        </is>
      </c>
      <c r="X150" s="11">
        <f>IF(OR(IFERROR(INDEX('Datos - Catálogo TIMSS'!$I$5:$I$107,MATCH(K150,'Datos - Catálogo TIMSS'!$A$5:$A$107,0)),"No")="Sí",IFERROR(INDEX('Datos - Catálogo TIMSS'!$I$5:$I$107,MATCH(L150,'Datos - Catálogo TIMSS'!$A$5:$A$107,0)),"No")="Sí"),1,0)</f>
        <v/>
      </c>
      <c r="Y150" s="11">
        <f>IF(IFERROR(INDEX('Datos - Catálogo TIMSS'!$J$5:$J$107,MATCH(K150,'Datos - Catálogo TIMSS'!$A$5:$A$107,0)),"No")="Sí",1,0)</f>
        <v/>
      </c>
      <c r="Z150" s="11">
        <f>IF(IFERROR(INDEX('Datos - Catálogo TIMSS'!$J$5:$J$107,MATCH(L150,'Datos - Catálogo TIMSS'!$A$5:$A$107,0)),"No")="Sí",1,0)</f>
        <v/>
      </c>
      <c r="AA150" s="11" t="inlineStr">
        <is>
          <t>T4-F2.4</t>
        </is>
      </c>
      <c r="AB150" s="11" t="inlineStr"/>
      <c r="AC150" s="11">
        <f>IF(AA150="FUERA","Fuera del marco",IF(AA150="N/A","Sin marco",IFERROR(INDEX('Datos - TIMSS 2023'!$C$5:$C$105,MATCH(AA150,'Datos - TIMSS 2023'!$A$5:$A$105,0)),"Pendiente de clasificar")))</f>
        <v/>
      </c>
      <c r="AD150" s="11" t="inlineStr">
        <is>
          <t>2. Construir y evaluar diseños para la indagación científica e interpretar datos y evidencia de forma crítica</t>
        </is>
      </c>
      <c r="AE150" s="11">
        <f>IF(AD150="","",IF(LEFT(AD150,1)="1","C1",IF(LEFT(AD150,1)="2","C2",IF(LEFT(AD150,1)="3","C3",""))))</f>
        <v/>
      </c>
      <c r="AF150" s="11" t="inlineStr">
        <is>
          <t>E1</t>
        </is>
      </c>
      <c r="AG150" s="11" t="inlineStr">
        <is>
          <t>D1</t>
        </is>
      </c>
      <c r="AH150" s="11" t="inlineStr">
        <is>
          <t>E1</t>
        </is>
      </c>
      <c r="AI150" s="11" t="inlineStr">
        <is>
          <t>D4</t>
        </is>
      </c>
      <c r="AJ150" s="11" t="inlineStr">
        <is>
          <t>I5</t>
        </is>
      </c>
      <c r="AK150" s="11" t="n"/>
      <c r="AL150" s="11" t="n"/>
      <c r="AM150" s="11" t="n"/>
      <c r="AN150" s="11" t="n"/>
      <c r="AO150" s="11" t="n"/>
      <c r="AP150" s="11" t="n"/>
      <c r="AQ150" s="11" t="n"/>
      <c r="AR150" s="11" t="n"/>
      <c r="AS150" s="11" t="n"/>
      <c r="AT150" s="11" t="n"/>
      <c r="AU150" s="11" t="n"/>
      <c r="AV150" s="11" t="n"/>
      <c r="AW150" s="11">
        <f>AF150&amp;"; "&amp;AG150&amp;"; "&amp;AH150&amp;"; "&amp;AI150&amp;"; "&amp;AJ150</f>
        <v/>
      </c>
    </row>
    <row r="151">
      <c r="A151" s="11" t="inlineStr">
        <is>
          <t>T0785-G04-CIE</t>
        </is>
      </c>
      <c r="B151" s="11" t="n">
        <v>4</v>
      </c>
      <c r="C151" s="11" t="inlineStr">
        <is>
          <t>Ciencias</t>
        </is>
      </c>
      <c r="D151" s="11" t="inlineStr">
        <is>
          <t>Matriz_Ciencias_4to_Grado_U1_U6.xlsx</t>
        </is>
      </c>
      <c r="E151" s="11" t="inlineStr">
        <is>
          <t>Unidad 2 - Nutrición</t>
        </is>
      </c>
      <c r="F151" s="11" t="n">
        <v>3</v>
      </c>
      <c r="G151" s="11" t="inlineStr">
        <is>
          <t>2. Nutrición.</t>
        </is>
      </c>
      <c r="H151" s="11" t="inlineStr">
        <is>
          <t>¿Qué es un nutriente?</t>
        </is>
      </c>
      <c r="I151" s="38" t="inlineStr">
        <is>
          <t>2.1. Indagación sobre los conceptos de alimento y nutriente.</t>
        </is>
      </c>
      <c r="J151" s="11" t="inlineStr">
        <is>
          <t>T4_27</t>
        </is>
      </c>
      <c r="K151" s="11" t="inlineStr">
        <is>
          <t>T4_27-B5.2</t>
        </is>
      </c>
      <c r="L151" s="11" t="inlineStr"/>
      <c r="M151" s="11">
        <f>IF(K151="FUERA","Fuera del marco",IF(K151="N/A","Sin marco",IFERROR(INDEX('Datos - Catálogo TIMSS'!$C$5:$C$107,MATCH(K151,'Datos - Catálogo TIMSS'!$A$5:$A$107,0)),"Pendiente de clasificar")))</f>
        <v/>
      </c>
      <c r="N151" s="11">
        <f>IF(K151="FUERA","Fuera del marco",IF(K151="N/A","Sin marco",IFERROR(INDEX('Datos - Catálogo TIMSS'!$F$5:$F$107,MATCH(K151,'Datos - Catálogo TIMSS'!$A$5:$A$107,0)),"Pendiente de clasificar")))</f>
        <v/>
      </c>
      <c r="O151" s="11">
        <f>IF(L151="","",IFERROR(INDEX('Datos - Catálogo TIMSS'!$C$5:$C$107,MATCH(L151,'Datos - Catálogo TIMSS'!$A$5:$A$107,0)),"?"))</f>
        <v/>
      </c>
      <c r="P151" s="11" t="inlineStr">
        <is>
          <t>media</t>
        </is>
      </c>
      <c r="Q151" s="38" t="inlineStr">
        <is>
          <t>Alimento y nutriente como base de dieta balanceada</t>
        </is>
      </c>
      <c r="R151" s="38" t="inlineStr">
        <is>
          <t>Conocer: definir</t>
        </is>
      </c>
      <c r="S151" s="39">
        <f>IFERROR(ISNUMBER(SEARCH("Conocer",$R151))/(ISNUMBER(SEARCH("Conocer",$R151))+ISNUMBER(SEARCH("Aplicar",$R151))+ISNUMBER(SEARCH("Razonar",$R151))),0)</f>
        <v/>
      </c>
      <c r="T151" s="39">
        <f>IFERROR(ISNUMBER(SEARCH("Aplicar",$R151))/(ISNUMBER(SEARCH("Conocer",$R151))+ISNUMBER(SEARCH("Aplicar",$R151))+ISNUMBER(SEARCH("Razonar",$R151))),0)</f>
        <v/>
      </c>
      <c r="U151" s="39">
        <f>IFERROR(ISNUMBER(SEARCH("Razonar",$R151))/(ISNUMBER(SEARCH("Conocer",$R151))+ISNUMBER(SEARCH("Aplicar",$R151))+ISNUMBER(SEARCH("Razonar",$R151))),0)</f>
        <v/>
      </c>
      <c r="V151" s="11" t="inlineStr">
        <is>
          <t>4°</t>
        </is>
      </c>
      <c r="W151" s="11" t="inlineStr">
        <is>
          <t>Ciclo 2°–4°</t>
        </is>
      </c>
      <c r="X151" s="11">
        <f>IF(OR(IFERROR(INDEX('Datos - Catálogo TIMSS'!$I$5:$I$107,MATCH(K151,'Datos - Catálogo TIMSS'!$A$5:$A$107,0)),"No")="Sí",IFERROR(INDEX('Datos - Catálogo TIMSS'!$I$5:$I$107,MATCH(L151,'Datos - Catálogo TIMSS'!$A$5:$A$107,0)),"No")="Sí"),1,0)</f>
        <v/>
      </c>
      <c r="Y151" s="11">
        <f>IF(IFERROR(INDEX('Datos - Catálogo TIMSS'!$J$5:$J$107,MATCH(K151,'Datos - Catálogo TIMSS'!$A$5:$A$107,0)),"No")="Sí",1,0)</f>
        <v/>
      </c>
      <c r="Z151" s="11">
        <f>IF(IFERROR(INDEX('Datos - Catálogo TIMSS'!$J$5:$J$107,MATCH(L151,'Datos - Catálogo TIMSS'!$A$5:$A$107,0)),"No")="Sí",1,0)</f>
        <v/>
      </c>
      <c r="AA151" s="11" t="inlineStr">
        <is>
          <t>T4-V5.1</t>
        </is>
      </c>
      <c r="AB151" s="11" t="inlineStr"/>
      <c r="AC151" s="11">
        <f>IF(AA151="FUERA","Fuera del marco",IF(AA151="N/A","Sin marco",IFERROR(INDEX('Datos - TIMSS 2023'!$C$5:$C$105,MATCH(AA151,'Datos - TIMSS 2023'!$A$5:$A$105,0)),"Pendiente de clasificar")))</f>
        <v/>
      </c>
      <c r="AD151" s="11" t="inlineStr">
        <is>
          <t>1. Explicar fenómenos científicamente</t>
        </is>
      </c>
      <c r="AE151" s="11">
        <f>IF(AD151="","",IF(LEFT(AD151,1)="1","C1",IF(LEFT(AD151,1)="2","C2",IF(LEFT(AD151,1)="3","C3",""))))</f>
        <v/>
      </c>
      <c r="AF151" s="11" t="inlineStr">
        <is>
          <t>E1</t>
        </is>
      </c>
      <c r="AG151" s="11" t="inlineStr">
        <is>
          <t>D1</t>
        </is>
      </c>
      <c r="AH151" s="11" t="inlineStr">
        <is>
          <t>E1</t>
        </is>
      </c>
      <c r="AI151" s="11" t="inlineStr">
        <is>
          <t>D4</t>
        </is>
      </c>
      <c r="AJ151" s="11" t="inlineStr">
        <is>
          <t>E6</t>
        </is>
      </c>
      <c r="AK151" s="11" t="n"/>
      <c r="AL151" s="11" t="n"/>
      <c r="AM151" s="11" t="n"/>
      <c r="AN151" s="11" t="n"/>
      <c r="AO151" s="11" t="n"/>
      <c r="AP151" s="11" t="n"/>
      <c r="AQ151" s="11" t="n"/>
      <c r="AR151" s="11" t="n"/>
      <c r="AS151" s="11" t="n"/>
      <c r="AT151" s="11" t="n"/>
      <c r="AU151" s="11" t="n"/>
      <c r="AV151" s="11" t="n"/>
      <c r="AW151" s="11">
        <f>AF151&amp;"; "&amp;AG151&amp;"; "&amp;AH151&amp;"; "&amp;AI151&amp;"; "&amp;AJ151</f>
        <v/>
      </c>
    </row>
    <row r="152">
      <c r="A152" s="11" t="inlineStr">
        <is>
          <t>T0786-G04-CIE</t>
        </is>
      </c>
      <c r="B152" s="11" t="n">
        <v>4</v>
      </c>
      <c r="C152" s="11" t="inlineStr">
        <is>
          <t>Ciencias</t>
        </is>
      </c>
      <c r="D152" s="11" t="inlineStr">
        <is>
          <t>Matriz_Ciencias_4to_Grado_U1_U6.xlsx</t>
        </is>
      </c>
      <c r="E152" s="11" t="inlineStr">
        <is>
          <t>Unidad 2 - Nutrición</t>
        </is>
      </c>
      <c r="F152" s="11" t="n">
        <v>4</v>
      </c>
      <c r="G152" s="11" t="inlineStr">
        <is>
          <t>2. Nutrición.</t>
        </is>
      </c>
      <c r="H152" s="11" t="inlineStr">
        <is>
          <t>¿Qué es un nutriente?</t>
        </is>
      </c>
      <c r="I152" s="38" t="inlineStr">
        <is>
          <t>2.2. Clasificación de los nutrientes: macronutrientes y micronutrientes.</t>
        </is>
      </c>
      <c r="J152" s="11" t="inlineStr">
        <is>
          <t>T4_27</t>
        </is>
      </c>
      <c r="K152" s="11" t="inlineStr">
        <is>
          <t>T4_27-B5.2</t>
        </is>
      </c>
      <c r="L152" s="11" t="inlineStr"/>
      <c r="M152" s="11">
        <f>IF(K152="FUERA","Fuera del marco",IF(K152="N/A","Sin marco",IFERROR(INDEX('Datos - Catálogo TIMSS'!$C$5:$C$107,MATCH(K152,'Datos - Catálogo TIMSS'!$A$5:$A$107,0)),"Pendiente de clasificar")))</f>
        <v/>
      </c>
      <c r="N152" s="11">
        <f>IF(K152="FUERA","Fuera del marco",IF(K152="N/A","Sin marco",IFERROR(INDEX('Datos - Catálogo TIMSS'!$F$5:$F$107,MATCH(K152,'Datos - Catálogo TIMSS'!$A$5:$A$107,0)),"Pendiente de clasificar")))</f>
        <v/>
      </c>
      <c r="O152" s="11">
        <f>IF(L152="","",IFERROR(INDEX('Datos - Catálogo TIMSS'!$C$5:$C$107,MATCH(L152,'Datos - Catálogo TIMSS'!$A$5:$A$107,0)),"?"))</f>
        <v/>
      </c>
      <c r="P152" s="11" t="inlineStr">
        <is>
          <t>media</t>
        </is>
      </c>
      <c r="Q152" s="38" t="inlineStr">
        <is>
          <t>Clasificación de nutrientes vinculada a dieta saludable</t>
        </is>
      </c>
      <c r="R152" s="38" t="inlineStr">
        <is>
          <t>Aplicar: clasificar</t>
        </is>
      </c>
      <c r="S152" s="39">
        <f>IFERROR(ISNUMBER(SEARCH("Conocer",$R152))/(ISNUMBER(SEARCH("Conocer",$R152))+ISNUMBER(SEARCH("Aplicar",$R152))+ISNUMBER(SEARCH("Razonar",$R152))),0)</f>
        <v/>
      </c>
      <c r="T152" s="39">
        <f>IFERROR(ISNUMBER(SEARCH("Aplicar",$R152))/(ISNUMBER(SEARCH("Conocer",$R152))+ISNUMBER(SEARCH("Aplicar",$R152))+ISNUMBER(SEARCH("Razonar",$R152))),0)</f>
        <v/>
      </c>
      <c r="U152" s="39">
        <f>IFERROR(ISNUMBER(SEARCH("Razonar",$R152))/(ISNUMBER(SEARCH("Conocer",$R152))+ISNUMBER(SEARCH("Aplicar",$R152))+ISNUMBER(SEARCH("Razonar",$R152))),0)</f>
        <v/>
      </c>
      <c r="V152" s="11" t="inlineStr">
        <is>
          <t>4°</t>
        </is>
      </c>
      <c r="W152" s="11" t="inlineStr">
        <is>
          <t>Ciclo 2°–4°</t>
        </is>
      </c>
      <c r="X152" s="11">
        <f>IF(OR(IFERROR(INDEX('Datos - Catálogo TIMSS'!$I$5:$I$107,MATCH(K152,'Datos - Catálogo TIMSS'!$A$5:$A$107,0)),"No")="Sí",IFERROR(INDEX('Datos - Catálogo TIMSS'!$I$5:$I$107,MATCH(L152,'Datos - Catálogo TIMSS'!$A$5:$A$107,0)),"No")="Sí"),1,0)</f>
        <v/>
      </c>
      <c r="Y152" s="11">
        <f>IF(IFERROR(INDEX('Datos - Catálogo TIMSS'!$J$5:$J$107,MATCH(K152,'Datos - Catálogo TIMSS'!$A$5:$A$107,0)),"No")="Sí",1,0)</f>
        <v/>
      </c>
      <c r="Z152" s="11">
        <f>IF(IFERROR(INDEX('Datos - Catálogo TIMSS'!$J$5:$J$107,MATCH(L152,'Datos - Catálogo TIMSS'!$A$5:$A$107,0)),"No")="Sí",1,0)</f>
        <v/>
      </c>
      <c r="AA152" s="11" t="inlineStr">
        <is>
          <t>T4-V5.1</t>
        </is>
      </c>
      <c r="AB152" s="11" t="inlineStr"/>
      <c r="AC152" s="11">
        <f>IF(AA152="FUERA","Fuera del marco",IF(AA152="N/A","Sin marco",IFERROR(INDEX('Datos - TIMSS 2023'!$C$5:$C$105,MATCH(AA152,'Datos - TIMSS 2023'!$A$5:$A$105,0)),"Pendiente de clasificar")))</f>
        <v/>
      </c>
      <c r="AD152" s="11" t="inlineStr">
        <is>
          <t>1. Explicar fenómenos científicamente</t>
        </is>
      </c>
      <c r="AE152" s="11">
        <f>IF(AD152="","",IF(LEFT(AD152,1)="1","C1",IF(LEFT(AD152,1)="2","C2",IF(LEFT(AD152,1)="3","C3",""))))</f>
        <v/>
      </c>
      <c r="AF152" s="11" t="inlineStr">
        <is>
          <t>E1</t>
        </is>
      </c>
      <c r="AG152" s="11" t="inlineStr">
        <is>
          <t>D1</t>
        </is>
      </c>
      <c r="AH152" s="11" t="inlineStr">
        <is>
          <t>E1</t>
        </is>
      </c>
      <c r="AI152" s="11" t="inlineStr">
        <is>
          <t>D4</t>
        </is>
      </c>
      <c r="AJ152" s="11" t="inlineStr">
        <is>
          <t>E1</t>
        </is>
      </c>
      <c r="AK152" s="11" t="n"/>
      <c r="AL152" s="11" t="n"/>
      <c r="AM152" s="11" t="n"/>
      <c r="AN152" s="11" t="n"/>
      <c r="AO152" s="11" t="n"/>
      <c r="AP152" s="11" t="n"/>
      <c r="AQ152" s="11" t="n"/>
      <c r="AR152" s="11" t="n"/>
      <c r="AS152" s="11" t="n"/>
      <c r="AT152" s="11" t="n"/>
      <c r="AU152" s="11" t="n"/>
      <c r="AV152" s="11" t="n"/>
      <c r="AW152" s="11">
        <f>AF152&amp;"; "&amp;AG152&amp;"; "&amp;AH152&amp;"; "&amp;AI152&amp;"; "&amp;AJ152</f>
        <v/>
      </c>
    </row>
    <row r="153">
      <c r="A153" s="11" t="inlineStr">
        <is>
          <t>T0787-G04-CIE</t>
        </is>
      </c>
      <c r="B153" s="11" t="n">
        <v>4</v>
      </c>
      <c r="C153" s="11" t="inlineStr">
        <is>
          <t>Ciencias</t>
        </is>
      </c>
      <c r="D153" s="11" t="inlineStr">
        <is>
          <t>Matriz_Ciencias_4to_Grado_U1_U6.xlsx</t>
        </is>
      </c>
      <c r="E153" s="11" t="inlineStr">
        <is>
          <t>Unidad 2 - Nutrición</t>
        </is>
      </c>
      <c r="F153" s="11" t="n">
        <v>5</v>
      </c>
      <c r="G153" s="11" t="inlineStr">
        <is>
          <t>2. Nutrición.</t>
        </is>
      </c>
      <c r="H153" s="11" t="inlineStr">
        <is>
          <t>Consumo y obtención de energía.</t>
        </is>
      </c>
      <c r="I153" s="38" t="inlineStr">
        <is>
          <t>2.3. Comparación del valor nutritivo de alimentos comunes.</t>
        </is>
      </c>
      <c r="J153" s="11" t="inlineStr">
        <is>
          <t>T4_27</t>
        </is>
      </c>
      <c r="K153" s="11" t="inlineStr">
        <is>
          <t>T4_27-B5.2</t>
        </is>
      </c>
      <c r="L153" s="11" t="inlineStr"/>
      <c r="M153" s="11">
        <f>IF(K153="FUERA","Fuera del marco",IF(K153="N/A","Sin marco",IFERROR(INDEX('Datos - Catálogo TIMSS'!$C$5:$C$107,MATCH(K153,'Datos - Catálogo TIMSS'!$A$5:$A$107,0)),"Pendiente de clasificar")))</f>
        <v/>
      </c>
      <c r="N153" s="11">
        <f>IF(K153="FUERA","Fuera del marco",IF(K153="N/A","Sin marco",IFERROR(INDEX('Datos - Catálogo TIMSS'!$F$5:$F$107,MATCH(K153,'Datos - Catálogo TIMSS'!$A$5:$A$107,0)),"Pendiente de clasificar")))</f>
        <v/>
      </c>
      <c r="O153" s="11">
        <f>IF(L153="","",IFERROR(INDEX('Datos - Catálogo TIMSS'!$C$5:$C$107,MATCH(L153,'Datos - Catálogo TIMSS'!$A$5:$A$107,0)),"?"))</f>
        <v/>
      </c>
      <c r="P153" s="11" t="inlineStr">
        <is>
          <t>media</t>
        </is>
      </c>
      <c r="Q153" s="38" t="inlineStr">
        <is>
          <t>Compara valor nutritivo de alimentos para dieta balanceada</t>
        </is>
      </c>
      <c r="R153" s="38" t="inlineStr">
        <is>
          <t>Aplicar: comparar datos. Razonar: evaluar información</t>
        </is>
      </c>
      <c r="S153" s="39">
        <f>IFERROR(ISNUMBER(SEARCH("Conocer",$R153))/(ISNUMBER(SEARCH("Conocer",$R153))+ISNUMBER(SEARCH("Aplicar",$R153))+ISNUMBER(SEARCH("Razonar",$R153))),0)</f>
        <v/>
      </c>
      <c r="T153" s="39">
        <f>IFERROR(ISNUMBER(SEARCH("Aplicar",$R153))/(ISNUMBER(SEARCH("Conocer",$R153))+ISNUMBER(SEARCH("Aplicar",$R153))+ISNUMBER(SEARCH("Razonar",$R153))),0)</f>
        <v/>
      </c>
      <c r="U153" s="39">
        <f>IFERROR(ISNUMBER(SEARCH("Razonar",$R153))/(ISNUMBER(SEARCH("Conocer",$R153))+ISNUMBER(SEARCH("Aplicar",$R153))+ISNUMBER(SEARCH("Razonar",$R153))),0)</f>
        <v/>
      </c>
      <c r="V153" s="11" t="inlineStr">
        <is>
          <t>4°</t>
        </is>
      </c>
      <c r="W153" s="11" t="inlineStr">
        <is>
          <t>Ciclo 2°–4°</t>
        </is>
      </c>
      <c r="X153" s="11">
        <f>IF(OR(IFERROR(INDEX('Datos - Catálogo TIMSS'!$I$5:$I$107,MATCH(K153,'Datos - Catálogo TIMSS'!$A$5:$A$107,0)),"No")="Sí",IFERROR(INDEX('Datos - Catálogo TIMSS'!$I$5:$I$107,MATCH(L153,'Datos - Catálogo TIMSS'!$A$5:$A$107,0)),"No")="Sí"),1,0)</f>
        <v/>
      </c>
      <c r="Y153" s="11">
        <f>IF(IFERROR(INDEX('Datos - Catálogo TIMSS'!$J$5:$J$107,MATCH(K153,'Datos - Catálogo TIMSS'!$A$5:$A$107,0)),"No")="Sí",1,0)</f>
        <v/>
      </c>
      <c r="Z153" s="11">
        <f>IF(IFERROR(INDEX('Datos - Catálogo TIMSS'!$J$5:$J$107,MATCH(L153,'Datos - Catálogo TIMSS'!$A$5:$A$107,0)),"No")="Sí",1,0)</f>
        <v/>
      </c>
      <c r="AA153" s="11" t="inlineStr">
        <is>
          <t>T4-V5.1</t>
        </is>
      </c>
      <c r="AB153" s="11" t="inlineStr"/>
      <c r="AC153" s="11">
        <f>IF(AA153="FUERA","Fuera del marco",IF(AA153="N/A","Sin marco",IFERROR(INDEX('Datos - TIMSS 2023'!$C$5:$C$105,MATCH(AA153,'Datos - TIMSS 2023'!$A$5:$A$105,0)),"Pendiente de clasificar")))</f>
        <v/>
      </c>
      <c r="AD153" s="11" t="inlineStr">
        <is>
          <t>2. Construir y evaluar diseños para la indagación científica e interpretar datos y evidencia de forma crítica</t>
        </is>
      </c>
      <c r="AE153" s="11">
        <f>IF(AD153="","",IF(LEFT(AD153,1)="1","C1",IF(LEFT(AD153,1)="2","C2",IF(LEFT(AD153,1)="3","C3",""))))</f>
        <v/>
      </c>
      <c r="AF153" s="11" t="inlineStr">
        <is>
          <t>E1</t>
        </is>
      </c>
      <c r="AG153" s="11" t="inlineStr">
        <is>
          <t>E3</t>
        </is>
      </c>
      <c r="AH153" s="11" t="inlineStr">
        <is>
          <t>E2</t>
        </is>
      </c>
      <c r="AI153" s="11" t="inlineStr">
        <is>
          <t>D4</t>
        </is>
      </c>
      <c r="AJ153" s="11" t="inlineStr">
        <is>
          <t>I4</t>
        </is>
      </c>
      <c r="AK153" s="11" t="n"/>
      <c r="AL153" s="11" t="n"/>
      <c r="AM153" s="11" t="n"/>
      <c r="AN153" s="11" t="n"/>
      <c r="AO153" s="11" t="n"/>
      <c r="AP153" s="11" t="n"/>
      <c r="AQ153" s="11" t="n"/>
      <c r="AR153" s="11" t="n"/>
      <c r="AS153" s="11" t="n"/>
      <c r="AT153" s="11" t="n"/>
      <c r="AU153" s="11" t="n"/>
      <c r="AV153" s="11" t="n"/>
      <c r="AW153" s="11">
        <f>AF153&amp;"; "&amp;AG153&amp;"; "&amp;AH153&amp;"; "&amp;AI153&amp;"; "&amp;AJ153</f>
        <v/>
      </c>
    </row>
    <row r="154">
      <c r="A154" s="11" t="inlineStr">
        <is>
          <t>T0788-G04-CIE</t>
        </is>
      </c>
      <c r="B154" s="11" t="n">
        <v>4</v>
      </c>
      <c r="C154" s="11" t="inlineStr">
        <is>
          <t>Ciencias</t>
        </is>
      </c>
      <c r="D154" s="11" t="inlineStr">
        <is>
          <t>Matriz_Ciencias_4to_Grado_U1_U6.xlsx</t>
        </is>
      </c>
      <c r="E154" s="11" t="inlineStr">
        <is>
          <t>Unidad 2 - Nutrición</t>
        </is>
      </c>
      <c r="F154" s="11" t="n">
        <v>6</v>
      </c>
      <c r="G154" s="11" t="inlineStr">
        <is>
          <t>2. Nutrición.</t>
        </is>
      </c>
      <c r="H154" s="11" t="inlineStr">
        <is>
          <t>Consumo y obtención de energía.</t>
        </is>
      </c>
      <c r="I154" s="38" t="inlineStr">
        <is>
          <t>2.4. Estimación de la cantidad de alimento necesaria para suplir los requerimientos nutricionales.</t>
        </is>
      </c>
      <c r="J154" s="11" t="inlineStr">
        <is>
          <t>T4_27</t>
        </is>
      </c>
      <c r="K154" s="11" t="inlineStr">
        <is>
          <t>T4_27-B5.2</t>
        </is>
      </c>
      <c r="L154" s="11" t="inlineStr"/>
      <c r="M154" s="11">
        <f>IF(K154="FUERA","Fuera del marco",IF(K154="N/A","Sin marco",IFERROR(INDEX('Datos - Catálogo TIMSS'!$C$5:$C$107,MATCH(K154,'Datos - Catálogo TIMSS'!$A$5:$A$107,0)),"Pendiente de clasificar")))</f>
        <v/>
      </c>
      <c r="N154" s="11">
        <f>IF(K154="FUERA","Fuera del marco",IF(K154="N/A","Sin marco",IFERROR(INDEX('Datos - Catálogo TIMSS'!$F$5:$F$107,MATCH(K154,'Datos - Catálogo TIMSS'!$A$5:$A$107,0)),"Pendiente de clasificar")))</f>
        <v/>
      </c>
      <c r="O154" s="11">
        <f>IF(L154="","",IFERROR(INDEX('Datos - Catálogo TIMSS'!$C$5:$C$107,MATCH(L154,'Datos - Catálogo TIMSS'!$A$5:$A$107,0)),"?"))</f>
        <v/>
      </c>
      <c r="P154" s="11" t="inlineStr">
        <is>
          <t>media</t>
        </is>
      </c>
      <c r="Q154" s="38" t="inlineStr">
        <is>
          <t>Requerimientos nutricionales y porciones diarias: hábitos de salud</t>
        </is>
      </c>
      <c r="R154" s="38" t="inlineStr">
        <is>
          <t>Aplicar: estimar. Razonar: justificar</t>
        </is>
      </c>
      <c r="S154" s="39">
        <f>IFERROR(ISNUMBER(SEARCH("Conocer",$R154))/(ISNUMBER(SEARCH("Conocer",$R154))+ISNUMBER(SEARCH("Aplicar",$R154))+ISNUMBER(SEARCH("Razonar",$R154))),0)</f>
        <v/>
      </c>
      <c r="T154" s="39">
        <f>IFERROR(ISNUMBER(SEARCH("Aplicar",$R154))/(ISNUMBER(SEARCH("Conocer",$R154))+ISNUMBER(SEARCH("Aplicar",$R154))+ISNUMBER(SEARCH("Razonar",$R154))),0)</f>
        <v/>
      </c>
      <c r="U154" s="39">
        <f>IFERROR(ISNUMBER(SEARCH("Razonar",$R154))/(ISNUMBER(SEARCH("Conocer",$R154))+ISNUMBER(SEARCH("Aplicar",$R154))+ISNUMBER(SEARCH("Razonar",$R154))),0)</f>
        <v/>
      </c>
      <c r="V154" s="11" t="inlineStr">
        <is>
          <t>4°</t>
        </is>
      </c>
      <c r="W154" s="11" t="inlineStr">
        <is>
          <t>Ciclo 2°–4°</t>
        </is>
      </c>
      <c r="X154" s="11">
        <f>IF(OR(IFERROR(INDEX('Datos - Catálogo TIMSS'!$I$5:$I$107,MATCH(K154,'Datos - Catálogo TIMSS'!$A$5:$A$107,0)),"No")="Sí",IFERROR(INDEX('Datos - Catálogo TIMSS'!$I$5:$I$107,MATCH(L154,'Datos - Catálogo TIMSS'!$A$5:$A$107,0)),"No")="Sí"),1,0)</f>
        <v/>
      </c>
      <c r="Y154" s="11">
        <f>IF(IFERROR(INDEX('Datos - Catálogo TIMSS'!$J$5:$J$107,MATCH(K154,'Datos - Catálogo TIMSS'!$A$5:$A$107,0)),"No")="Sí",1,0)</f>
        <v/>
      </c>
      <c r="Z154" s="11">
        <f>IF(IFERROR(INDEX('Datos - Catálogo TIMSS'!$J$5:$J$107,MATCH(L154,'Datos - Catálogo TIMSS'!$A$5:$A$107,0)),"No")="Sí",1,0)</f>
        <v/>
      </c>
      <c r="AA154" s="11" t="inlineStr">
        <is>
          <t>T4-V5.1</t>
        </is>
      </c>
      <c r="AB154" s="11" t="inlineStr"/>
      <c r="AC154" s="11">
        <f>IF(AA154="FUERA","Fuera del marco",IF(AA154="N/A","Sin marco",IFERROR(INDEX('Datos - TIMSS 2023'!$C$5:$C$105,MATCH(AA154,'Datos - TIMSS 2023'!$A$5:$A$105,0)),"Pendiente de clasificar")))</f>
        <v/>
      </c>
      <c r="AD154" s="11" t="inlineStr">
        <is>
          <t>2. Construir y evaluar diseños para la indagación científica e interpretar datos y evidencia de forma crítica</t>
        </is>
      </c>
      <c r="AE154" s="11">
        <f>IF(AD154="","",IF(LEFT(AD154,1)="1","C1",IF(LEFT(AD154,1)="2","C2",IF(LEFT(AD154,1)="3","C3",""))))</f>
        <v/>
      </c>
      <c r="AF154" s="11" t="inlineStr">
        <is>
          <t>E1</t>
        </is>
      </c>
      <c r="AG154" s="11" t="inlineStr">
        <is>
          <t>D1</t>
        </is>
      </c>
      <c r="AH154" s="11" t="inlineStr">
        <is>
          <t>E1</t>
        </is>
      </c>
      <c r="AI154" s="11" t="inlineStr">
        <is>
          <t>D4</t>
        </is>
      </c>
      <c r="AJ154" s="11" t="inlineStr">
        <is>
          <t>I5</t>
        </is>
      </c>
      <c r="AK154" s="11" t="n"/>
      <c r="AL154" s="11" t="n"/>
      <c r="AM154" s="11" t="n"/>
      <c r="AN154" s="11" t="n"/>
      <c r="AO154" s="11" t="n"/>
      <c r="AP154" s="11" t="n"/>
      <c r="AQ154" s="11" t="n"/>
      <c r="AR154" s="11" t="n"/>
      <c r="AS154" s="11" t="n"/>
      <c r="AT154" s="11" t="n"/>
      <c r="AU154" s="11" t="n"/>
      <c r="AV154" s="11" t="n"/>
      <c r="AW154" s="11">
        <f>AF154&amp;"; "&amp;AG154&amp;"; "&amp;AH154&amp;"; "&amp;AI154&amp;"; "&amp;AJ154</f>
        <v/>
      </c>
    </row>
    <row r="155">
      <c r="A155" s="11" t="inlineStr">
        <is>
          <t>T0789-G04-CIE</t>
        </is>
      </c>
      <c r="B155" s="11" t="n">
        <v>4</v>
      </c>
      <c r="C155" s="11" t="inlineStr">
        <is>
          <t>Ciencias</t>
        </is>
      </c>
      <c r="D155" s="11" t="inlineStr">
        <is>
          <t>Matriz_Ciencias_4to_Grado_U1_U6.xlsx</t>
        </is>
      </c>
      <c r="E155" s="11" t="inlineStr">
        <is>
          <t>Unidad 2 - Nutrición</t>
        </is>
      </c>
      <c r="F155" s="11" t="n">
        <v>7</v>
      </c>
      <c r="G155" s="11" t="inlineStr">
        <is>
          <t>2. Nutrición.</t>
        </is>
      </c>
      <c r="H155" s="11" t="inlineStr">
        <is>
          <t>Consumo y obtención de energía.</t>
        </is>
      </c>
      <c r="I155" s="38" t="inlineStr">
        <is>
          <t>2.5. Comparación del gasto y obtención de la energía contenida en la dieta diaria.</t>
        </is>
      </c>
      <c r="J155" s="11" t="inlineStr">
        <is>
          <t>T4_27</t>
        </is>
      </c>
      <c r="K155" s="11" t="inlineStr">
        <is>
          <t>T4_27-B5.2</t>
        </is>
      </c>
      <c r="L155" s="11" t="inlineStr"/>
      <c r="M155" s="11">
        <f>IF(K155="FUERA","Fuera del marco",IF(K155="N/A","Sin marco",IFERROR(INDEX('Datos - Catálogo TIMSS'!$C$5:$C$107,MATCH(K155,'Datos - Catálogo TIMSS'!$A$5:$A$107,0)),"Pendiente de clasificar")))</f>
        <v/>
      </c>
      <c r="N155" s="11">
        <f>IF(K155="FUERA","Fuera del marco",IF(K155="N/A","Sin marco",IFERROR(INDEX('Datos - Catálogo TIMSS'!$F$5:$F$107,MATCH(K155,'Datos - Catálogo TIMSS'!$A$5:$A$107,0)),"Pendiente de clasificar")))</f>
        <v/>
      </c>
      <c r="O155" s="11">
        <f>IF(L155="","",IFERROR(INDEX('Datos - Catálogo TIMSS'!$C$5:$C$107,MATCH(L155,'Datos - Catálogo TIMSS'!$A$5:$A$107,0)),"?"))</f>
        <v/>
      </c>
      <c r="P155" s="11" t="inlineStr">
        <is>
          <t>media</t>
        </is>
      </c>
      <c r="Q155" s="38" t="inlineStr">
        <is>
          <t>Balance energético de la dieta diaria como hábito saludable</t>
        </is>
      </c>
      <c r="R155" s="38" t="inlineStr">
        <is>
          <t>Aplicar: comparar datos</t>
        </is>
      </c>
      <c r="S155" s="39">
        <f>IFERROR(ISNUMBER(SEARCH("Conocer",$R155))/(ISNUMBER(SEARCH("Conocer",$R155))+ISNUMBER(SEARCH("Aplicar",$R155))+ISNUMBER(SEARCH("Razonar",$R155))),0)</f>
        <v/>
      </c>
      <c r="T155" s="39">
        <f>IFERROR(ISNUMBER(SEARCH("Aplicar",$R155))/(ISNUMBER(SEARCH("Conocer",$R155))+ISNUMBER(SEARCH("Aplicar",$R155))+ISNUMBER(SEARCH("Razonar",$R155))),0)</f>
        <v/>
      </c>
      <c r="U155" s="39">
        <f>IFERROR(ISNUMBER(SEARCH("Razonar",$R155))/(ISNUMBER(SEARCH("Conocer",$R155))+ISNUMBER(SEARCH("Aplicar",$R155))+ISNUMBER(SEARCH("Razonar",$R155))),0)</f>
        <v/>
      </c>
      <c r="V155" s="11" t="inlineStr">
        <is>
          <t>4°</t>
        </is>
      </c>
      <c r="W155" s="11" t="inlineStr">
        <is>
          <t>Ciclo 2°–4°</t>
        </is>
      </c>
      <c r="X155" s="11">
        <f>IF(OR(IFERROR(INDEX('Datos - Catálogo TIMSS'!$I$5:$I$107,MATCH(K155,'Datos - Catálogo TIMSS'!$A$5:$A$107,0)),"No")="Sí",IFERROR(INDEX('Datos - Catálogo TIMSS'!$I$5:$I$107,MATCH(L155,'Datos - Catálogo TIMSS'!$A$5:$A$107,0)),"No")="Sí"),1,0)</f>
        <v/>
      </c>
      <c r="Y155" s="11">
        <f>IF(IFERROR(INDEX('Datos - Catálogo TIMSS'!$J$5:$J$107,MATCH(K155,'Datos - Catálogo TIMSS'!$A$5:$A$107,0)),"No")="Sí",1,0)</f>
        <v/>
      </c>
      <c r="Z155" s="11">
        <f>IF(IFERROR(INDEX('Datos - Catálogo TIMSS'!$J$5:$J$107,MATCH(L155,'Datos - Catálogo TIMSS'!$A$5:$A$107,0)),"No")="Sí",1,0)</f>
        <v/>
      </c>
      <c r="AA155" s="11" t="inlineStr">
        <is>
          <t>T4-V5.1</t>
        </is>
      </c>
      <c r="AB155" s="11" t="inlineStr"/>
      <c r="AC155" s="11">
        <f>IF(AA155="FUERA","Fuera del marco",IF(AA155="N/A","Sin marco",IFERROR(INDEX('Datos - TIMSS 2023'!$C$5:$C$105,MATCH(AA155,'Datos - TIMSS 2023'!$A$5:$A$105,0)),"Pendiente de clasificar")))</f>
        <v/>
      </c>
      <c r="AD155" s="11" t="inlineStr">
        <is>
          <t>2. Construir y evaluar diseños para la indagación científica e interpretar datos y evidencia de forma crítica</t>
        </is>
      </c>
      <c r="AE155" s="11">
        <f>IF(AD155="","",IF(LEFT(AD155,1)="1","C1",IF(LEFT(AD155,1)="2","C2",IF(LEFT(AD155,1)="3","C3",""))))</f>
        <v/>
      </c>
      <c r="AF155" s="11" t="inlineStr">
        <is>
          <t>E1</t>
        </is>
      </c>
      <c r="AG155" s="11" t="inlineStr">
        <is>
          <t>E3</t>
        </is>
      </c>
      <c r="AH155" s="11" t="inlineStr">
        <is>
          <t>E1</t>
        </is>
      </c>
      <c r="AI155" s="11" t="inlineStr">
        <is>
          <t>D4</t>
        </is>
      </c>
      <c r="AJ155" s="11" t="inlineStr">
        <is>
          <t>E6</t>
        </is>
      </c>
      <c r="AK155" s="11" t="n"/>
      <c r="AL155" s="11" t="n"/>
      <c r="AM155" s="11" t="n"/>
      <c r="AN155" s="11" t="n"/>
      <c r="AO155" s="11" t="n"/>
      <c r="AP155" s="11" t="n"/>
      <c r="AQ155" s="11" t="n"/>
      <c r="AR155" s="11" t="n"/>
      <c r="AS155" s="11" t="n"/>
      <c r="AT155" s="11" t="n"/>
      <c r="AU155" s="11" t="n"/>
      <c r="AV155" s="11" t="n"/>
      <c r="AW155" s="11">
        <f>AF155&amp;"; "&amp;AG155&amp;"; "&amp;AH155&amp;"; "&amp;AI155&amp;"; "&amp;AJ155</f>
        <v/>
      </c>
    </row>
    <row r="156">
      <c r="A156" s="11" t="inlineStr">
        <is>
          <t>T0790-G04-CIE</t>
        </is>
      </c>
      <c r="B156" s="11" t="n">
        <v>4</v>
      </c>
      <c r="C156" s="11" t="inlineStr">
        <is>
          <t>Ciencias</t>
        </is>
      </c>
      <c r="D156" s="11" t="inlineStr">
        <is>
          <t>Matriz_Ciencias_4to_Grado_U1_U6.xlsx</t>
        </is>
      </c>
      <c r="E156" s="11" t="inlineStr">
        <is>
          <t>Unidad 2 - Nutrición</t>
        </is>
      </c>
      <c r="F156" s="11" t="n">
        <v>8</v>
      </c>
      <c r="G156" s="11" t="inlineStr">
        <is>
          <t>2. Nutrición.</t>
        </is>
      </c>
      <c r="H156" s="11" t="inlineStr">
        <is>
          <t>Alimentación saludable.</t>
        </is>
      </c>
      <c r="I156" s="38" t="inlineStr">
        <is>
          <t>2.6. Clasificación de los grupos de alimentos.</t>
        </is>
      </c>
      <c r="J156" s="11" t="inlineStr">
        <is>
          <t>T4_27</t>
        </is>
      </c>
      <c r="K156" s="11" t="inlineStr">
        <is>
          <t>T4_27-B5.2</t>
        </is>
      </c>
      <c r="L156" s="11" t="inlineStr"/>
      <c r="M156" s="11">
        <f>IF(K156="FUERA","Fuera del marco",IF(K156="N/A","Sin marco",IFERROR(INDEX('Datos - Catálogo TIMSS'!$C$5:$C$107,MATCH(K156,'Datos - Catálogo TIMSS'!$A$5:$A$107,0)),"Pendiente de clasificar")))</f>
        <v/>
      </c>
      <c r="N156" s="11">
        <f>IF(K156="FUERA","Fuera del marco",IF(K156="N/A","Sin marco",IFERROR(INDEX('Datos - Catálogo TIMSS'!$F$5:$F$107,MATCH(K156,'Datos - Catálogo TIMSS'!$A$5:$A$107,0)),"Pendiente de clasificar")))</f>
        <v/>
      </c>
      <c r="O156" s="11">
        <f>IF(L156="","",IFERROR(INDEX('Datos - Catálogo TIMSS'!$C$5:$C$107,MATCH(L156,'Datos - Catálogo TIMSS'!$A$5:$A$107,0)),"?"))</f>
        <v/>
      </c>
      <c r="P156" s="11" t="inlineStr">
        <is>
          <t>alta</t>
        </is>
      </c>
      <c r="Q156" s="38" t="inlineStr">
        <is>
          <t>Grupos de alimentos de una dieta balanceada</t>
        </is>
      </c>
      <c r="R156" s="38" t="inlineStr">
        <is>
          <t>Aplicar: clasificar</t>
        </is>
      </c>
      <c r="S156" s="39">
        <f>IFERROR(ISNUMBER(SEARCH("Conocer",$R156))/(ISNUMBER(SEARCH("Conocer",$R156))+ISNUMBER(SEARCH("Aplicar",$R156))+ISNUMBER(SEARCH("Razonar",$R156))),0)</f>
        <v/>
      </c>
      <c r="T156" s="39">
        <f>IFERROR(ISNUMBER(SEARCH("Aplicar",$R156))/(ISNUMBER(SEARCH("Conocer",$R156))+ISNUMBER(SEARCH("Aplicar",$R156))+ISNUMBER(SEARCH("Razonar",$R156))),0)</f>
        <v/>
      </c>
      <c r="U156" s="39">
        <f>IFERROR(ISNUMBER(SEARCH("Razonar",$R156))/(ISNUMBER(SEARCH("Conocer",$R156))+ISNUMBER(SEARCH("Aplicar",$R156))+ISNUMBER(SEARCH("Razonar",$R156))),0)</f>
        <v/>
      </c>
      <c r="V156" s="11" t="inlineStr">
        <is>
          <t>4°</t>
        </is>
      </c>
      <c r="W156" s="11" t="inlineStr">
        <is>
          <t>Ciclo 2°–4°</t>
        </is>
      </c>
      <c r="X156" s="11">
        <f>IF(OR(IFERROR(INDEX('Datos - Catálogo TIMSS'!$I$5:$I$107,MATCH(K156,'Datos - Catálogo TIMSS'!$A$5:$A$107,0)),"No")="Sí",IFERROR(INDEX('Datos - Catálogo TIMSS'!$I$5:$I$107,MATCH(L156,'Datos - Catálogo TIMSS'!$A$5:$A$107,0)),"No")="Sí"),1,0)</f>
        <v/>
      </c>
      <c r="Y156" s="11">
        <f>IF(IFERROR(INDEX('Datos - Catálogo TIMSS'!$J$5:$J$107,MATCH(K156,'Datos - Catálogo TIMSS'!$A$5:$A$107,0)),"No")="Sí",1,0)</f>
        <v/>
      </c>
      <c r="Z156" s="11">
        <f>IF(IFERROR(INDEX('Datos - Catálogo TIMSS'!$J$5:$J$107,MATCH(L156,'Datos - Catálogo TIMSS'!$A$5:$A$107,0)),"No")="Sí",1,0)</f>
        <v/>
      </c>
      <c r="AA156" s="11" t="inlineStr">
        <is>
          <t>T4-V5.1</t>
        </is>
      </c>
      <c r="AB156" s="11" t="inlineStr"/>
      <c r="AC156" s="11">
        <f>IF(AA156="FUERA","Fuera del marco",IF(AA156="N/A","Sin marco",IFERROR(INDEX('Datos - TIMSS 2023'!$C$5:$C$105,MATCH(AA156,'Datos - TIMSS 2023'!$A$5:$A$105,0)),"Pendiente de clasificar")))</f>
        <v/>
      </c>
      <c r="AD156" s="11" t="inlineStr">
        <is>
          <t>1. Explicar fenómenos científicamente</t>
        </is>
      </c>
      <c r="AE156" s="11">
        <f>IF(AD156="","",IF(LEFT(AD156,1)="1","C1",IF(LEFT(AD156,1)="2","C2",IF(LEFT(AD156,1)="3","C3",""))))</f>
        <v/>
      </c>
      <c r="AF156" s="11" t="inlineStr">
        <is>
          <t>E1</t>
        </is>
      </c>
      <c r="AG156" s="11" t="inlineStr">
        <is>
          <t>D1</t>
        </is>
      </c>
      <c r="AH156" s="11" t="inlineStr">
        <is>
          <t>E1</t>
        </is>
      </c>
      <c r="AI156" s="11" t="inlineStr">
        <is>
          <t>D4</t>
        </is>
      </c>
      <c r="AJ156" s="11" t="inlineStr">
        <is>
          <t>E1</t>
        </is>
      </c>
      <c r="AK156" s="11" t="n"/>
      <c r="AL156" s="11" t="n"/>
      <c r="AM156" s="11" t="n"/>
      <c r="AN156" s="11" t="n"/>
      <c r="AO156" s="11" t="n"/>
      <c r="AP156" s="11" t="n"/>
      <c r="AQ156" s="11" t="n"/>
      <c r="AR156" s="11" t="n"/>
      <c r="AS156" s="11" t="n"/>
      <c r="AT156" s="11" t="n"/>
      <c r="AU156" s="11" t="n"/>
      <c r="AV156" s="11" t="n"/>
      <c r="AW156" s="11">
        <f>AF156&amp;"; "&amp;AG156&amp;"; "&amp;AH156&amp;"; "&amp;AI156&amp;"; "&amp;AJ156</f>
        <v/>
      </c>
    </row>
    <row r="157">
      <c r="A157" s="11" t="inlineStr">
        <is>
          <t>T0791-G04-CIE</t>
        </is>
      </c>
      <c r="B157" s="11" t="n">
        <v>4</v>
      </c>
      <c r="C157" s="11" t="inlineStr">
        <is>
          <t>Ciencias</t>
        </is>
      </c>
      <c r="D157" s="11" t="inlineStr">
        <is>
          <t>Matriz_Ciencias_4to_Grado_U1_U6.xlsx</t>
        </is>
      </c>
      <c r="E157" s="11" t="inlineStr">
        <is>
          <t>Unidad 2 - Nutrición</t>
        </is>
      </c>
      <c r="F157" s="11" t="n">
        <v>9</v>
      </c>
      <c r="G157" s="11" t="inlineStr">
        <is>
          <t>2. Nutrición.</t>
        </is>
      </c>
      <c r="H157" s="11" t="inlineStr">
        <is>
          <t>Alimentación saludable.</t>
        </is>
      </c>
      <c r="I157" s="38" t="inlineStr">
        <is>
          <t>2.7. Elaboración de menús según requerimientos nutricionales.</t>
        </is>
      </c>
      <c r="J157" s="11" t="inlineStr">
        <is>
          <t>T4_27</t>
        </is>
      </c>
      <c r="K157" s="11" t="inlineStr">
        <is>
          <t>T4_27-B5.2</t>
        </is>
      </c>
      <c r="L157" s="11" t="inlineStr"/>
      <c r="M157" s="11">
        <f>IF(K157="FUERA","Fuera del marco",IF(K157="N/A","Sin marco",IFERROR(INDEX('Datos - Catálogo TIMSS'!$C$5:$C$107,MATCH(K157,'Datos - Catálogo TIMSS'!$A$5:$A$107,0)),"Pendiente de clasificar")))</f>
        <v/>
      </c>
      <c r="N157" s="11">
        <f>IF(K157="FUERA","Fuera del marco",IF(K157="N/A","Sin marco",IFERROR(INDEX('Datos - Catálogo TIMSS'!$F$5:$F$107,MATCH(K157,'Datos - Catálogo TIMSS'!$A$5:$A$107,0)),"Pendiente de clasificar")))</f>
        <v/>
      </c>
      <c r="O157" s="11">
        <f>IF(L157="","",IFERROR(INDEX('Datos - Catálogo TIMSS'!$C$5:$C$107,MATCH(L157,'Datos - Catálogo TIMSS'!$A$5:$A$107,0)),"?"))</f>
        <v/>
      </c>
      <c r="P157" s="11" t="inlineStr">
        <is>
          <t>alta</t>
        </is>
      </c>
      <c r="Q157" s="38" t="inlineStr">
        <is>
          <t>Menú balanceado según requerimientos nutricionales</t>
        </is>
      </c>
      <c r="R157" s="38" t="inlineStr">
        <is>
          <t>Aplicar: planificar. Razonar: justificar</t>
        </is>
      </c>
      <c r="S157" s="39">
        <f>IFERROR(ISNUMBER(SEARCH("Conocer",$R157))/(ISNUMBER(SEARCH("Conocer",$R157))+ISNUMBER(SEARCH("Aplicar",$R157))+ISNUMBER(SEARCH("Razonar",$R157))),0)</f>
        <v/>
      </c>
      <c r="T157" s="39">
        <f>IFERROR(ISNUMBER(SEARCH("Aplicar",$R157))/(ISNUMBER(SEARCH("Conocer",$R157))+ISNUMBER(SEARCH("Aplicar",$R157))+ISNUMBER(SEARCH("Razonar",$R157))),0)</f>
        <v/>
      </c>
      <c r="U157" s="39">
        <f>IFERROR(ISNUMBER(SEARCH("Razonar",$R157))/(ISNUMBER(SEARCH("Conocer",$R157))+ISNUMBER(SEARCH("Aplicar",$R157))+ISNUMBER(SEARCH("Razonar",$R157))),0)</f>
        <v/>
      </c>
      <c r="V157" s="11" t="inlineStr">
        <is>
          <t>4°</t>
        </is>
      </c>
      <c r="W157" s="11" t="inlineStr">
        <is>
          <t>Ciclo 2°–4°</t>
        </is>
      </c>
      <c r="X157" s="11">
        <f>IF(OR(IFERROR(INDEX('Datos - Catálogo TIMSS'!$I$5:$I$107,MATCH(K157,'Datos - Catálogo TIMSS'!$A$5:$A$107,0)),"No")="Sí",IFERROR(INDEX('Datos - Catálogo TIMSS'!$I$5:$I$107,MATCH(L157,'Datos - Catálogo TIMSS'!$A$5:$A$107,0)),"No")="Sí"),1,0)</f>
        <v/>
      </c>
      <c r="Y157" s="11">
        <f>IF(IFERROR(INDEX('Datos - Catálogo TIMSS'!$J$5:$J$107,MATCH(K157,'Datos - Catálogo TIMSS'!$A$5:$A$107,0)),"No")="Sí",1,0)</f>
        <v/>
      </c>
      <c r="Z157" s="11">
        <f>IF(IFERROR(INDEX('Datos - Catálogo TIMSS'!$J$5:$J$107,MATCH(L157,'Datos - Catálogo TIMSS'!$A$5:$A$107,0)),"No")="Sí",1,0)</f>
        <v/>
      </c>
      <c r="AA157" s="11" t="inlineStr">
        <is>
          <t>T4-V5.1</t>
        </is>
      </c>
      <c r="AB157" s="11" t="inlineStr"/>
      <c r="AC157" s="11">
        <f>IF(AA157="FUERA","Fuera del marco",IF(AA157="N/A","Sin marco",IFERROR(INDEX('Datos - TIMSS 2023'!$C$5:$C$105,MATCH(AA157,'Datos - TIMSS 2023'!$A$5:$A$105,0)),"Pendiente de clasificar")))</f>
        <v/>
      </c>
      <c r="AD157" s="11" t="inlineStr">
        <is>
          <t>3. Investigar, evaluar y usar información científica para tomar decisiones y actuar</t>
        </is>
      </c>
      <c r="AE157" s="11">
        <f>IF(AD157="","",IF(LEFT(AD157,1)="1","C1",IF(LEFT(AD157,1)="2","C2",IF(LEFT(AD157,1)="3","C3",""))))</f>
        <v/>
      </c>
      <c r="AF157" s="11" t="inlineStr">
        <is>
          <t>E1</t>
        </is>
      </c>
      <c r="AG157" s="11" t="inlineStr">
        <is>
          <t>D1</t>
        </is>
      </c>
      <c r="AH157" s="11" t="inlineStr">
        <is>
          <t>E2</t>
        </is>
      </c>
      <c r="AI157" s="11" t="inlineStr">
        <is>
          <t>I3</t>
        </is>
      </c>
      <c r="AJ157" s="11" t="inlineStr">
        <is>
          <t>I5</t>
        </is>
      </c>
      <c r="AK157" s="11" t="n"/>
      <c r="AL157" s="11" t="n"/>
      <c r="AM157" s="11" t="n"/>
      <c r="AN157" s="11" t="n"/>
      <c r="AO157" s="11" t="n"/>
      <c r="AP157" s="11" t="n"/>
      <c r="AQ157" s="11" t="n"/>
      <c r="AR157" s="11" t="n"/>
      <c r="AS157" s="11" t="n"/>
      <c r="AT157" s="11" t="n"/>
      <c r="AU157" s="11" t="n"/>
      <c r="AV157" s="11" t="n"/>
      <c r="AW157" s="11">
        <f>AF157&amp;"; "&amp;AG157&amp;"; "&amp;AH157&amp;"; "&amp;AI157&amp;"; "&amp;AJ157</f>
        <v/>
      </c>
    </row>
    <row r="158">
      <c r="A158" s="11" t="inlineStr">
        <is>
          <t>T0792-G04-CIE</t>
        </is>
      </c>
      <c r="B158" s="11" t="n">
        <v>4</v>
      </c>
      <c r="C158" s="11" t="inlineStr">
        <is>
          <t>Ciencias</t>
        </is>
      </c>
      <c r="D158" s="11" t="inlineStr">
        <is>
          <t>Matriz_Ciencias_4to_Grado_U1_U6.xlsx</t>
        </is>
      </c>
      <c r="E158" s="11" t="inlineStr">
        <is>
          <t>Unidad 2 - Nutrición</t>
        </is>
      </c>
      <c r="F158" s="11" t="n">
        <v>10</v>
      </c>
      <c r="G158" s="11" t="inlineStr">
        <is>
          <t>2. Nutrición.</t>
        </is>
      </c>
      <c r="H158" s="11" t="inlineStr">
        <is>
          <t>Alimentación saludable.</t>
        </is>
      </c>
      <c r="I158" s="38" t="inlineStr">
        <is>
          <t>2.8. Identificación de métodos de preparación y almacenamiento adecuado de alimentos.</t>
        </is>
      </c>
      <c r="J158" s="11" t="inlineStr">
        <is>
          <t>T4_27</t>
        </is>
      </c>
      <c r="K158" s="11" t="inlineStr">
        <is>
          <t>T4_27-B5.2</t>
        </is>
      </c>
      <c r="L158" s="11" t="inlineStr">
        <is>
          <t>T4_27-B5.1</t>
        </is>
      </c>
      <c r="M158" s="11">
        <f>IF(K158="FUERA","Fuera del marco",IF(K158="N/A","Sin marco",IFERROR(INDEX('Datos - Catálogo TIMSS'!$C$5:$C$107,MATCH(K158,'Datos - Catálogo TIMSS'!$A$5:$A$107,0)),"Pendiente de clasificar")))</f>
        <v/>
      </c>
      <c r="N158" s="11">
        <f>IF(K158="FUERA","Fuera del marco",IF(K158="N/A","Sin marco",IFERROR(INDEX('Datos - Catálogo TIMSS'!$F$5:$F$107,MATCH(K158,'Datos - Catálogo TIMSS'!$A$5:$A$107,0)),"Pendiente de clasificar")))</f>
        <v/>
      </c>
      <c r="O158" s="11">
        <f>IF(L158="","",IFERROR(INDEX('Datos - Catálogo TIMSS'!$C$5:$C$107,MATCH(L158,'Datos - Catálogo TIMSS'!$A$5:$A$107,0)),"?"))</f>
        <v/>
      </c>
      <c r="P158" s="11" t="inlineStr">
        <is>
          <t>media</t>
        </is>
      </c>
      <c r="Q158" s="38" t="inlineStr">
        <is>
          <t>Manejo seguro de alimentos: hábitos de salud y prevención</t>
        </is>
      </c>
      <c r="R158" s="38" t="inlineStr">
        <is>
          <t>Aplicar: relacionar</t>
        </is>
      </c>
      <c r="S158" s="39">
        <f>IFERROR(ISNUMBER(SEARCH("Conocer",$R158))/(ISNUMBER(SEARCH("Conocer",$R158))+ISNUMBER(SEARCH("Aplicar",$R158))+ISNUMBER(SEARCH("Razonar",$R158))),0)</f>
        <v/>
      </c>
      <c r="T158" s="39">
        <f>IFERROR(ISNUMBER(SEARCH("Aplicar",$R158))/(ISNUMBER(SEARCH("Conocer",$R158))+ISNUMBER(SEARCH("Aplicar",$R158))+ISNUMBER(SEARCH("Razonar",$R158))),0)</f>
        <v/>
      </c>
      <c r="U158" s="39">
        <f>IFERROR(ISNUMBER(SEARCH("Razonar",$R158))/(ISNUMBER(SEARCH("Conocer",$R158))+ISNUMBER(SEARCH("Aplicar",$R158))+ISNUMBER(SEARCH("Razonar",$R158))),0)</f>
        <v/>
      </c>
      <c r="V158" s="11" t="inlineStr">
        <is>
          <t>4°</t>
        </is>
      </c>
      <c r="W158" s="11" t="inlineStr">
        <is>
          <t>Ciclo 2°–4°</t>
        </is>
      </c>
      <c r="X158" s="11">
        <f>IF(OR(IFERROR(INDEX('Datos - Catálogo TIMSS'!$I$5:$I$107,MATCH(K158,'Datos - Catálogo TIMSS'!$A$5:$A$107,0)),"No")="Sí",IFERROR(INDEX('Datos - Catálogo TIMSS'!$I$5:$I$107,MATCH(L158,'Datos - Catálogo TIMSS'!$A$5:$A$107,0)),"No")="Sí"),1,0)</f>
        <v/>
      </c>
      <c r="Y158" s="11">
        <f>IF(IFERROR(INDEX('Datos - Catálogo TIMSS'!$J$5:$J$107,MATCH(K158,'Datos - Catálogo TIMSS'!$A$5:$A$107,0)),"No")="Sí",1,0)</f>
        <v/>
      </c>
      <c r="Z158" s="11">
        <f>IF(IFERROR(INDEX('Datos - Catálogo TIMSS'!$J$5:$J$107,MATCH(L158,'Datos - Catálogo TIMSS'!$A$5:$A$107,0)),"No")="Sí",1,0)</f>
        <v/>
      </c>
      <c r="AA158" s="11" t="inlineStr">
        <is>
          <t>T4-V5.1</t>
        </is>
      </c>
      <c r="AB158" s="11" t="inlineStr">
        <is>
          <t>T4-V5.2</t>
        </is>
      </c>
      <c r="AC158" s="11">
        <f>IF(AA158="FUERA","Fuera del marco",IF(AA158="N/A","Sin marco",IFERROR(INDEX('Datos - TIMSS 2023'!$C$5:$C$105,MATCH(AA158,'Datos - TIMSS 2023'!$A$5:$A$105,0)),"Pendiente de clasificar")))</f>
        <v/>
      </c>
      <c r="AD158" s="11" t="inlineStr">
        <is>
          <t>3. Investigar, evaluar y usar información científica para tomar decisiones y actuar</t>
        </is>
      </c>
      <c r="AE158" s="11">
        <f>IF(AD158="","",IF(LEFT(AD158,1)="1","C1",IF(LEFT(AD158,1)="2","C2",IF(LEFT(AD158,1)="3","C3",""))))</f>
        <v/>
      </c>
      <c r="AF158" s="11" t="inlineStr">
        <is>
          <t>E1</t>
        </is>
      </c>
      <c r="AG158" s="11" t="inlineStr">
        <is>
          <t>D1</t>
        </is>
      </c>
      <c r="AH158" s="11" t="inlineStr">
        <is>
          <t>E1</t>
        </is>
      </c>
      <c r="AI158" s="11" t="inlineStr">
        <is>
          <t>I2</t>
        </is>
      </c>
      <c r="AJ158" s="11" t="inlineStr">
        <is>
          <t>I5</t>
        </is>
      </c>
      <c r="AK158" s="11" t="n"/>
      <c r="AL158" s="11" t="n"/>
      <c r="AM158" s="11" t="n"/>
      <c r="AN158" s="11" t="n"/>
      <c r="AO158" s="11" t="n"/>
      <c r="AP158" s="11" t="n"/>
      <c r="AQ158" s="11" t="n"/>
      <c r="AR158" s="11" t="n"/>
      <c r="AS158" s="11" t="n"/>
      <c r="AT158" s="11" t="n"/>
      <c r="AU158" s="11" t="n"/>
      <c r="AV158" s="11" t="n"/>
      <c r="AW158" s="11">
        <f>AF158&amp;"; "&amp;AG158&amp;"; "&amp;AH158&amp;"; "&amp;AI158&amp;"; "&amp;AJ158</f>
        <v/>
      </c>
    </row>
    <row r="159">
      <c r="A159" s="11" t="inlineStr">
        <is>
          <t>T0793-G04-CIE</t>
        </is>
      </c>
      <c r="B159" s="11" t="n">
        <v>4</v>
      </c>
      <c r="C159" s="11" t="inlineStr">
        <is>
          <t>Ciencias</t>
        </is>
      </c>
      <c r="D159" s="11" t="inlineStr">
        <is>
          <t>Matriz_Ciencias_4to_Grado_U1_U6.xlsx</t>
        </is>
      </c>
      <c r="E159" s="11" t="inlineStr">
        <is>
          <t>Unidad 2 - Nutrición</t>
        </is>
      </c>
      <c r="F159" s="11" t="n">
        <v>11</v>
      </c>
      <c r="G159" s="11" t="inlineStr">
        <is>
          <t>2. Nutrición.</t>
        </is>
      </c>
      <c r="H159" s="11" t="inlineStr">
        <is>
          <t>Antropometría.</t>
        </is>
      </c>
      <c r="I159" s="38" t="inlineStr">
        <is>
          <t>2.9. Medición de variables útiles para conocer el estado nutricional del ser humano.</t>
        </is>
      </c>
      <c r="J159" s="11" t="inlineStr">
        <is>
          <t>T4_27</t>
        </is>
      </c>
      <c r="K159" s="11" t="inlineStr">
        <is>
          <t>T4_27-B5.2</t>
        </is>
      </c>
      <c r="L159" s="11" t="inlineStr"/>
      <c r="M159" s="11">
        <f>IF(K159="FUERA","Fuera del marco",IF(K159="N/A","Sin marco",IFERROR(INDEX('Datos - Catálogo TIMSS'!$C$5:$C$107,MATCH(K159,'Datos - Catálogo TIMSS'!$A$5:$A$107,0)),"Pendiente de clasificar")))</f>
        <v/>
      </c>
      <c r="N159" s="11">
        <f>IF(K159="FUERA","Fuera del marco",IF(K159="N/A","Sin marco",IFERROR(INDEX('Datos - Catálogo TIMSS'!$F$5:$F$107,MATCH(K159,'Datos - Catálogo TIMSS'!$A$5:$A$107,0)),"Pendiente de clasificar")))</f>
        <v/>
      </c>
      <c r="O159" s="11">
        <f>IF(L159="","",IFERROR(INDEX('Datos - Catálogo TIMSS'!$C$5:$C$107,MATCH(L159,'Datos - Catálogo TIMSS'!$A$5:$A$107,0)),"?"))</f>
        <v/>
      </c>
      <c r="P159" s="11" t="inlineStr">
        <is>
          <t>media</t>
        </is>
      </c>
      <c r="Q159" s="38" t="inlineStr">
        <is>
          <t>Mediciones antropométricas para valorar estado nutricional</t>
        </is>
      </c>
      <c r="R159" s="38" t="inlineStr">
        <is>
          <t>Aplicar: medir con técnica correcta</t>
        </is>
      </c>
      <c r="S159" s="39">
        <f>IFERROR(ISNUMBER(SEARCH("Conocer",$R159))/(ISNUMBER(SEARCH("Conocer",$R159))+ISNUMBER(SEARCH("Aplicar",$R159))+ISNUMBER(SEARCH("Razonar",$R159))),0)</f>
        <v/>
      </c>
      <c r="T159" s="39">
        <f>IFERROR(ISNUMBER(SEARCH("Aplicar",$R159))/(ISNUMBER(SEARCH("Conocer",$R159))+ISNUMBER(SEARCH("Aplicar",$R159))+ISNUMBER(SEARCH("Razonar",$R159))),0)</f>
        <v/>
      </c>
      <c r="U159" s="39">
        <f>IFERROR(ISNUMBER(SEARCH("Razonar",$R159))/(ISNUMBER(SEARCH("Conocer",$R159))+ISNUMBER(SEARCH("Aplicar",$R159))+ISNUMBER(SEARCH("Razonar",$R159))),0)</f>
        <v/>
      </c>
      <c r="V159" s="11" t="inlineStr">
        <is>
          <t>4°</t>
        </is>
      </c>
      <c r="W159" s="11" t="inlineStr">
        <is>
          <t>Ciclo 2°–4°</t>
        </is>
      </c>
      <c r="X159" s="11">
        <f>IF(OR(IFERROR(INDEX('Datos - Catálogo TIMSS'!$I$5:$I$107,MATCH(K159,'Datos - Catálogo TIMSS'!$A$5:$A$107,0)),"No")="Sí",IFERROR(INDEX('Datos - Catálogo TIMSS'!$I$5:$I$107,MATCH(L159,'Datos - Catálogo TIMSS'!$A$5:$A$107,0)),"No")="Sí"),1,0)</f>
        <v/>
      </c>
      <c r="Y159" s="11">
        <f>IF(IFERROR(INDEX('Datos - Catálogo TIMSS'!$J$5:$J$107,MATCH(K159,'Datos - Catálogo TIMSS'!$A$5:$A$107,0)),"No")="Sí",1,0)</f>
        <v/>
      </c>
      <c r="Z159" s="11">
        <f>IF(IFERROR(INDEX('Datos - Catálogo TIMSS'!$J$5:$J$107,MATCH(L159,'Datos - Catálogo TIMSS'!$A$5:$A$107,0)),"No")="Sí",1,0)</f>
        <v/>
      </c>
      <c r="AA159" s="11" t="inlineStr">
        <is>
          <t>T4-V5.1</t>
        </is>
      </c>
      <c r="AB159" s="11" t="inlineStr"/>
      <c r="AC159" s="11">
        <f>IF(AA159="FUERA","Fuera del marco",IF(AA159="N/A","Sin marco",IFERROR(INDEX('Datos - TIMSS 2023'!$C$5:$C$105,MATCH(AA159,'Datos - TIMSS 2023'!$A$5:$A$105,0)),"Pendiente de clasificar")))</f>
        <v/>
      </c>
      <c r="AD159" s="11" t="inlineStr">
        <is>
          <t>2. Construir y evaluar diseños para la indagación científica e interpretar datos y evidencia de forma crítica</t>
        </is>
      </c>
      <c r="AE159" s="11">
        <f>IF(AD159="","",IF(LEFT(AD159,1)="1","C1",IF(LEFT(AD159,1)="2","C2",IF(LEFT(AD159,1)="3","C3",""))))</f>
        <v/>
      </c>
      <c r="AF159" s="11" t="inlineStr">
        <is>
          <t>E1</t>
        </is>
      </c>
      <c r="AG159" s="11" t="inlineStr">
        <is>
          <t>D1</t>
        </is>
      </c>
      <c r="AH159" s="11" t="inlineStr">
        <is>
          <t>E1</t>
        </is>
      </c>
      <c r="AI159" s="11" t="inlineStr">
        <is>
          <t>D2</t>
        </is>
      </c>
      <c r="AJ159" s="11" t="inlineStr">
        <is>
          <t>E6</t>
        </is>
      </c>
      <c r="AK159" s="11" t="n"/>
      <c r="AL159" s="11" t="n"/>
      <c r="AM159" s="11" t="n"/>
      <c r="AN159" s="11" t="n"/>
      <c r="AO159" s="11" t="n"/>
      <c r="AP159" s="11" t="n"/>
      <c r="AQ159" s="11" t="n"/>
      <c r="AR159" s="11" t="n"/>
      <c r="AS159" s="11" t="n"/>
      <c r="AT159" s="11" t="n"/>
      <c r="AU159" s="11" t="n"/>
      <c r="AV159" s="11" t="n"/>
      <c r="AW159" s="11">
        <f>AF159&amp;"; "&amp;AG159&amp;"; "&amp;AH159&amp;"; "&amp;AI159&amp;"; "&amp;AJ159</f>
        <v/>
      </c>
    </row>
    <row r="160">
      <c r="A160" s="11" t="inlineStr">
        <is>
          <t>T0794-G04-CIE</t>
        </is>
      </c>
      <c r="B160" s="11" t="n">
        <v>4</v>
      </c>
      <c r="C160" s="11" t="inlineStr">
        <is>
          <t>Ciencias</t>
        </is>
      </c>
      <c r="D160" s="11" t="inlineStr">
        <is>
          <t>Matriz_Ciencias_4to_Grado_U1_U6.xlsx</t>
        </is>
      </c>
      <c r="E160" s="11" t="inlineStr">
        <is>
          <t>Unidad 2 - Nutrición</t>
        </is>
      </c>
      <c r="F160" s="11" t="n">
        <v>12</v>
      </c>
      <c r="G160" s="11" t="inlineStr">
        <is>
          <t>2. Nutrición.</t>
        </is>
      </c>
      <c r="H160" s="11" t="inlineStr">
        <is>
          <t>Antropometría.</t>
        </is>
      </c>
      <c r="I160" s="38" t="inlineStr">
        <is>
          <t>2.10. Ejercitación con el uso y la representación de datos antropométricos.</t>
        </is>
      </c>
      <c r="J160" s="11" t="inlineStr">
        <is>
          <t>T4_27</t>
        </is>
      </c>
      <c r="K160" s="11" t="inlineStr">
        <is>
          <t>T4_27-B6.1</t>
        </is>
      </c>
      <c r="L160" s="11" t="inlineStr">
        <is>
          <t>T4_27-B5.2</t>
        </is>
      </c>
      <c r="M160" s="11">
        <f>IF(K160="FUERA","Fuera del marco",IF(K160="N/A","Sin marco",IFERROR(INDEX('Datos - Catálogo TIMSS'!$C$5:$C$107,MATCH(K160,'Datos - Catálogo TIMSS'!$A$5:$A$107,0)),"Pendiente de clasificar")))</f>
        <v/>
      </c>
      <c r="N160" s="11">
        <f>IF(K160="FUERA","Fuera del marco",IF(K160="N/A","Sin marco",IFERROR(INDEX('Datos - Catálogo TIMSS'!$F$5:$F$107,MATCH(K160,'Datos - Catálogo TIMSS'!$A$5:$A$107,0)),"Pendiente de clasificar")))</f>
        <v/>
      </c>
      <c r="O160" s="11">
        <f>IF(L160="","",IFERROR(INDEX('Datos - Catálogo TIMSS'!$C$5:$C$107,MATCH(L160,'Datos - Catálogo TIMSS'!$A$5:$A$107,0)),"?"))</f>
        <v/>
      </c>
      <c r="P160" s="11" t="inlineStr">
        <is>
          <t>baja</t>
        </is>
      </c>
      <c r="Q160" s="38" t="inlineStr">
        <is>
          <t>Foco en representar datos y concluir; contexto biológico de salud</t>
        </is>
      </c>
      <c r="R160" s="38" t="inlineStr">
        <is>
          <t>Aplicar: representar datos. Razonar: interpretar gráficas</t>
        </is>
      </c>
      <c r="S160" s="39">
        <f>IFERROR(ISNUMBER(SEARCH("Conocer",$R160))/(ISNUMBER(SEARCH("Conocer",$R160))+ISNUMBER(SEARCH("Aplicar",$R160))+ISNUMBER(SEARCH("Razonar",$R160))),0)</f>
        <v/>
      </c>
      <c r="T160" s="39">
        <f>IFERROR(ISNUMBER(SEARCH("Aplicar",$R160))/(ISNUMBER(SEARCH("Conocer",$R160))+ISNUMBER(SEARCH("Aplicar",$R160))+ISNUMBER(SEARCH("Razonar",$R160))),0)</f>
        <v/>
      </c>
      <c r="U160" s="39">
        <f>IFERROR(ISNUMBER(SEARCH("Razonar",$R160))/(ISNUMBER(SEARCH("Conocer",$R160))+ISNUMBER(SEARCH("Aplicar",$R160))+ISNUMBER(SEARCH("Razonar",$R160))),0)</f>
        <v/>
      </c>
      <c r="V160" s="11" t="inlineStr">
        <is>
          <t>4°</t>
        </is>
      </c>
      <c r="W160" s="11" t="inlineStr">
        <is>
          <t>Ciclo 2°–4°</t>
        </is>
      </c>
      <c r="X160" s="11">
        <f>IF(OR(IFERROR(INDEX('Datos - Catálogo TIMSS'!$I$5:$I$107,MATCH(K160,'Datos - Catálogo TIMSS'!$A$5:$A$107,0)),"No")="Sí",IFERROR(INDEX('Datos - Catálogo TIMSS'!$I$5:$I$107,MATCH(L160,'Datos - Catálogo TIMSS'!$A$5:$A$107,0)),"No")="Sí"),1,0)</f>
        <v/>
      </c>
      <c r="Y160" s="11">
        <f>IF(IFERROR(INDEX('Datos - Catálogo TIMSS'!$J$5:$J$107,MATCH(K160,'Datos - Catálogo TIMSS'!$A$5:$A$107,0)),"No")="Sí",1,0)</f>
        <v/>
      </c>
      <c r="Z160" s="11">
        <f>IF(IFERROR(INDEX('Datos - Catálogo TIMSS'!$J$5:$J$107,MATCH(L160,'Datos - Catálogo TIMSS'!$A$5:$A$107,0)),"No")="Sí",1,0)</f>
        <v/>
      </c>
      <c r="AA160" s="11" t="inlineStr">
        <is>
          <t>FUERA</t>
        </is>
      </c>
      <c r="AB160" s="11" t="inlineStr"/>
      <c r="AC160" s="11">
        <f>IF(AA160="FUERA","Fuera del marco",IF(AA160="N/A","Sin marco",IFERROR(INDEX('Datos - TIMSS 2023'!$C$5:$C$105,MATCH(AA160,'Datos - TIMSS 2023'!$A$5:$A$105,0)),"Pendiente de clasificar")))</f>
        <v/>
      </c>
      <c r="AD160" s="11" t="inlineStr">
        <is>
          <t>2. Construir y evaluar diseños para la indagación científica e interpretar datos y evidencia de forma crítica</t>
        </is>
      </c>
      <c r="AE160" s="11">
        <f>IF(AD160="","",IF(LEFT(AD160,1)="1","C1",IF(LEFT(AD160,1)="2","C2",IF(LEFT(AD160,1)="3","C3",""))))</f>
        <v/>
      </c>
      <c r="AF160" s="11" t="inlineStr">
        <is>
          <t>E1</t>
        </is>
      </c>
      <c r="AG160" s="11" t="inlineStr">
        <is>
          <t>D1</t>
        </is>
      </c>
      <c r="AH160" s="11" t="inlineStr">
        <is>
          <t>E2</t>
        </is>
      </c>
      <c r="AI160" s="11" t="inlineStr">
        <is>
          <t>D4</t>
        </is>
      </c>
      <c r="AJ160" s="11" t="inlineStr">
        <is>
          <t>I4</t>
        </is>
      </c>
      <c r="AK160" s="11" t="n"/>
      <c r="AL160" s="11" t="n"/>
      <c r="AM160" s="11" t="n"/>
      <c r="AN160" s="11" t="n"/>
      <c r="AO160" s="11" t="n"/>
      <c r="AP160" s="11" t="n"/>
      <c r="AQ160" s="11" t="n"/>
      <c r="AR160" s="11" t="n"/>
      <c r="AS160" s="11" t="n"/>
      <c r="AT160" s="11" t="n"/>
      <c r="AU160" s="11" t="n"/>
      <c r="AV160" s="11" t="n"/>
      <c r="AW160" s="11">
        <f>AF160&amp;"; "&amp;AG160&amp;"; "&amp;AH160&amp;"; "&amp;AI160&amp;"; "&amp;AJ160</f>
        <v/>
      </c>
    </row>
    <row r="161">
      <c r="A161" s="11" t="inlineStr">
        <is>
          <t>T0795-G04-CIE</t>
        </is>
      </c>
      <c r="B161" s="11" t="n">
        <v>4</v>
      </c>
      <c r="C161" s="11" t="inlineStr">
        <is>
          <t>Ciencias</t>
        </is>
      </c>
      <c r="D161" s="11" t="inlineStr">
        <is>
          <t>Matriz_Ciencias_4to_Grado_U1_U6.xlsx</t>
        </is>
      </c>
      <c r="E161" s="11" t="inlineStr">
        <is>
          <t>Unidad 2 - Nutrición</t>
        </is>
      </c>
      <c r="F161" s="11" t="n">
        <v>13</v>
      </c>
      <c r="G161" s="11" t="inlineStr">
        <is>
          <t>2. Nutrición.</t>
        </is>
      </c>
      <c r="H161" s="11" t="inlineStr">
        <is>
          <t>Cultivos.</t>
        </is>
      </c>
      <c r="I161" s="38" t="inlineStr">
        <is>
          <t>2.11. Práctica de técnicas básicas para cultivo en huertos.</t>
        </is>
      </c>
      <c r="J161" s="11" t="inlineStr">
        <is>
          <t>T4_27</t>
        </is>
      </c>
      <c r="K161" s="11" t="inlineStr">
        <is>
          <t>T4_27-B1.1</t>
        </is>
      </c>
      <c r="L161" s="11" t="inlineStr"/>
      <c r="M161" s="11">
        <f>IF(K161="FUERA","Fuera del marco",IF(K161="N/A","Sin marco",IFERROR(INDEX('Datos - Catálogo TIMSS'!$C$5:$C$107,MATCH(K161,'Datos - Catálogo TIMSS'!$A$5:$A$107,0)),"Pendiente de clasificar")))</f>
        <v/>
      </c>
      <c r="N161" s="11">
        <f>IF(K161="FUERA","Fuera del marco",IF(K161="N/A","Sin marco",IFERROR(INDEX('Datos - Catálogo TIMSS'!$F$5:$F$107,MATCH(K161,'Datos - Catálogo TIMSS'!$A$5:$A$107,0)),"Pendiente de clasificar")))</f>
        <v/>
      </c>
      <c r="O161" s="11">
        <f>IF(L161="","",IFERROR(INDEX('Datos - Catálogo TIMSS'!$C$5:$C$107,MATCH(L161,'Datos - Catálogo TIMSS'!$A$5:$A$107,0)),"?"))</f>
        <v/>
      </c>
      <c r="P161" s="11" t="inlineStr">
        <is>
          <t>media</t>
        </is>
      </c>
      <c r="Q161" s="38" t="inlineStr">
        <is>
          <t>Huerto: necesidades de las plantas y registro de crecimiento</t>
        </is>
      </c>
      <c r="R161" s="38" t="inlineStr">
        <is>
          <t>Aplicar: usar técnicas. Razonar: evaluar</t>
        </is>
      </c>
      <c r="S161" s="39">
        <f>IFERROR(ISNUMBER(SEARCH("Conocer",$R161))/(ISNUMBER(SEARCH("Conocer",$R161))+ISNUMBER(SEARCH("Aplicar",$R161))+ISNUMBER(SEARCH("Razonar",$R161))),0)</f>
        <v/>
      </c>
      <c r="T161" s="39">
        <f>IFERROR(ISNUMBER(SEARCH("Aplicar",$R161))/(ISNUMBER(SEARCH("Conocer",$R161))+ISNUMBER(SEARCH("Aplicar",$R161))+ISNUMBER(SEARCH("Razonar",$R161))),0)</f>
        <v/>
      </c>
      <c r="U161" s="39">
        <f>IFERROR(ISNUMBER(SEARCH("Razonar",$R161))/(ISNUMBER(SEARCH("Conocer",$R161))+ISNUMBER(SEARCH("Aplicar",$R161))+ISNUMBER(SEARCH("Razonar",$R161))),0)</f>
        <v/>
      </c>
      <c r="V161" s="11" t="inlineStr">
        <is>
          <t>4°</t>
        </is>
      </c>
      <c r="W161" s="11" t="inlineStr">
        <is>
          <t>Ciclo 2°–4°</t>
        </is>
      </c>
      <c r="X161" s="11">
        <f>IF(OR(IFERROR(INDEX('Datos - Catálogo TIMSS'!$I$5:$I$107,MATCH(K161,'Datos - Catálogo TIMSS'!$A$5:$A$107,0)),"No")="Sí",IFERROR(INDEX('Datos - Catálogo TIMSS'!$I$5:$I$107,MATCH(L161,'Datos - Catálogo TIMSS'!$A$5:$A$107,0)),"No")="Sí"),1,0)</f>
        <v/>
      </c>
      <c r="Y161" s="11">
        <f>IF(IFERROR(INDEX('Datos - Catálogo TIMSS'!$J$5:$J$107,MATCH(K161,'Datos - Catálogo TIMSS'!$A$5:$A$107,0)),"No")="Sí",1,0)</f>
        <v/>
      </c>
      <c r="Z161" s="11">
        <f>IF(IFERROR(INDEX('Datos - Catálogo TIMSS'!$J$5:$J$107,MATCH(L161,'Datos - Catálogo TIMSS'!$A$5:$A$107,0)),"No")="Sí",1,0)</f>
        <v/>
      </c>
      <c r="AA161" s="11" t="inlineStr">
        <is>
          <t>T4-V1.1</t>
        </is>
      </c>
      <c r="AB161" s="11" t="inlineStr"/>
      <c r="AC161" s="11">
        <f>IF(AA161="FUERA","Fuera del marco",IF(AA161="N/A","Sin marco",IFERROR(INDEX('Datos - TIMSS 2023'!$C$5:$C$105,MATCH(AA161,'Datos - TIMSS 2023'!$A$5:$A$105,0)),"Pendiente de clasificar")))</f>
        <v/>
      </c>
      <c r="AD161" s="11" t="inlineStr">
        <is>
          <t>2. Construir y evaluar diseños para la indagación científica e interpretar datos y evidencia de forma crítica</t>
        </is>
      </c>
      <c r="AE161" s="11">
        <f>IF(AD161="","",IF(LEFT(AD161,1)="1","C1",IF(LEFT(AD161,1)="2","C2",IF(LEFT(AD161,1)="3","C3",""))))</f>
        <v/>
      </c>
      <c r="AF161" s="11" t="inlineStr">
        <is>
          <t>E1</t>
        </is>
      </c>
      <c r="AG161" s="11" t="inlineStr">
        <is>
          <t>D1</t>
        </is>
      </c>
      <c r="AH161" s="11" t="inlineStr">
        <is>
          <t>E1</t>
        </is>
      </c>
      <c r="AI161" s="11" t="inlineStr">
        <is>
          <t>D2</t>
        </is>
      </c>
      <c r="AJ161" s="11" t="inlineStr">
        <is>
          <t>E3</t>
        </is>
      </c>
      <c r="AK161" s="11" t="n"/>
      <c r="AL161" s="11" t="n"/>
      <c r="AM161" s="11" t="n"/>
      <c r="AN161" s="11" t="n"/>
      <c r="AO161" s="11" t="n"/>
      <c r="AP161" s="11" t="n"/>
      <c r="AQ161" s="11" t="n"/>
      <c r="AR161" s="11" t="n"/>
      <c r="AS161" s="11" t="n"/>
      <c r="AT161" s="11" t="n"/>
      <c r="AU161" s="11" t="n"/>
      <c r="AV161" s="11" t="n"/>
      <c r="AW161" s="11">
        <f>AF161&amp;"; "&amp;AG161&amp;"; "&amp;AH161&amp;"; "&amp;AI161&amp;"; "&amp;AJ161</f>
        <v/>
      </c>
    </row>
    <row r="162">
      <c r="A162" s="11" t="inlineStr">
        <is>
          <t>T0796-G04-CIE</t>
        </is>
      </c>
      <c r="B162" s="11" t="n">
        <v>4</v>
      </c>
      <c r="C162" s="11" t="inlineStr">
        <is>
          <t>Ciencias</t>
        </is>
      </c>
      <c r="D162" s="11" t="inlineStr">
        <is>
          <t>Matriz_Ciencias_4to_Grado_U1_U6.xlsx</t>
        </is>
      </c>
      <c r="E162" s="11" t="inlineStr">
        <is>
          <t>Unidad 2 - Nutrición</t>
        </is>
      </c>
      <c r="F162" s="11" t="n">
        <v>14</v>
      </c>
      <c r="G162" s="11" t="inlineStr">
        <is>
          <t>2. Nutrición.</t>
        </is>
      </c>
      <c r="H162" s="11" t="inlineStr">
        <is>
          <t>Cultivos.</t>
        </is>
      </c>
      <c r="I162" s="38" t="inlineStr">
        <is>
          <t>2.12. Clasificación de tipos de cultivos vegetales según su propósito e intensidad.</t>
        </is>
      </c>
      <c r="J162" s="11" t="inlineStr">
        <is>
          <t>T4_27</t>
        </is>
      </c>
      <c r="K162" s="11" t="inlineStr">
        <is>
          <t>T4_27-E3.1</t>
        </is>
      </c>
      <c r="L162" s="11" t="inlineStr"/>
      <c r="M162" s="11">
        <f>IF(K162="FUERA","Fuera del marco",IF(K162="N/A","Sin marco",IFERROR(INDEX('Datos - Catálogo TIMSS'!$C$5:$C$107,MATCH(K162,'Datos - Catálogo TIMSS'!$A$5:$A$107,0)),"Pendiente de clasificar")))</f>
        <v/>
      </c>
      <c r="N162" s="11">
        <f>IF(K162="FUERA","Fuera del marco",IF(K162="N/A","Sin marco",IFERROR(INDEX('Datos - Catálogo TIMSS'!$F$5:$F$107,MATCH(K162,'Datos - Catálogo TIMSS'!$A$5:$A$107,0)),"Pendiente de clasificar")))</f>
        <v/>
      </c>
      <c r="O162" s="11">
        <f>IF(L162="","",IFERROR(INDEX('Datos - Catálogo TIMSS'!$C$5:$C$107,MATCH(L162,'Datos - Catálogo TIMSS'!$A$5:$A$107,0)),"?"))</f>
        <v/>
      </c>
      <c r="P162" s="11" t="inlineStr">
        <is>
          <t>baja</t>
        </is>
      </c>
      <c r="Q162" s="38" t="inlineStr">
        <is>
          <t>Cultivos y uso del suelo; clasificación agronómica poco afín</t>
        </is>
      </c>
      <c r="R162" s="38" t="inlineStr">
        <is>
          <t>Aplicar: clasificar</t>
        </is>
      </c>
      <c r="S162" s="39">
        <f>IFERROR(ISNUMBER(SEARCH("Conocer",$R162))/(ISNUMBER(SEARCH("Conocer",$R162))+ISNUMBER(SEARCH("Aplicar",$R162))+ISNUMBER(SEARCH("Razonar",$R162))),0)</f>
        <v/>
      </c>
      <c r="T162" s="39">
        <f>IFERROR(ISNUMBER(SEARCH("Aplicar",$R162))/(ISNUMBER(SEARCH("Conocer",$R162))+ISNUMBER(SEARCH("Aplicar",$R162))+ISNUMBER(SEARCH("Razonar",$R162))),0)</f>
        <v/>
      </c>
      <c r="U162" s="39">
        <f>IFERROR(ISNUMBER(SEARCH("Razonar",$R162))/(ISNUMBER(SEARCH("Conocer",$R162))+ISNUMBER(SEARCH("Aplicar",$R162))+ISNUMBER(SEARCH("Razonar",$R162))),0)</f>
        <v/>
      </c>
      <c r="V162" s="11" t="inlineStr">
        <is>
          <t>4°</t>
        </is>
      </c>
      <c r="W162" s="11" t="inlineStr">
        <is>
          <t>Ciclo 2°–4°</t>
        </is>
      </c>
      <c r="X162" s="11">
        <f>IF(OR(IFERROR(INDEX('Datos - Catálogo TIMSS'!$I$5:$I$107,MATCH(K162,'Datos - Catálogo TIMSS'!$A$5:$A$107,0)),"No")="Sí",IFERROR(INDEX('Datos - Catálogo TIMSS'!$I$5:$I$107,MATCH(L162,'Datos - Catálogo TIMSS'!$A$5:$A$107,0)),"No")="Sí"),1,0)</f>
        <v/>
      </c>
      <c r="Y162" s="11">
        <f>IF(IFERROR(INDEX('Datos - Catálogo TIMSS'!$J$5:$J$107,MATCH(K162,'Datos - Catálogo TIMSS'!$A$5:$A$107,0)),"No")="Sí",1,0)</f>
        <v/>
      </c>
      <c r="Z162" s="11">
        <f>IF(IFERROR(INDEX('Datos - Catálogo TIMSS'!$J$5:$J$107,MATCH(L162,'Datos - Catálogo TIMSS'!$A$5:$A$107,0)),"No")="Sí",1,0)</f>
        <v/>
      </c>
      <c r="AA162" s="11" t="inlineStr">
        <is>
          <t>T4-T1.2</t>
        </is>
      </c>
      <c r="AB162" s="11" t="inlineStr"/>
      <c r="AC162" s="11">
        <f>IF(AA162="FUERA","Fuera del marco",IF(AA162="N/A","Sin marco",IFERROR(INDEX('Datos - TIMSS 2023'!$C$5:$C$105,MATCH(AA162,'Datos - TIMSS 2023'!$A$5:$A$105,0)),"Pendiente de clasificar")))</f>
        <v/>
      </c>
      <c r="AD162" s="11" t="inlineStr">
        <is>
          <t>1. Explicar fenómenos científicamente</t>
        </is>
      </c>
      <c r="AE162" s="11">
        <f>IF(AD162="","",IF(LEFT(AD162,1)="1","C1",IF(LEFT(AD162,1)="2","C2",IF(LEFT(AD162,1)="3","C3",""))))</f>
        <v/>
      </c>
      <c r="AF162" s="11" t="inlineStr">
        <is>
          <t>E6</t>
        </is>
      </c>
      <c r="AG162" s="11" t="inlineStr">
        <is>
          <t>D1</t>
        </is>
      </c>
      <c r="AH162" s="11" t="inlineStr">
        <is>
          <t>E1</t>
        </is>
      </c>
      <c r="AI162" s="11" t="inlineStr">
        <is>
          <t>D4</t>
        </is>
      </c>
      <c r="AJ162" s="11" t="inlineStr">
        <is>
          <t>E6</t>
        </is>
      </c>
      <c r="AK162" s="11" t="n"/>
      <c r="AL162" s="11" t="n"/>
      <c r="AM162" s="11" t="n"/>
      <c r="AN162" s="11" t="n"/>
      <c r="AO162" s="11" t="n"/>
      <c r="AP162" s="11" t="n"/>
      <c r="AQ162" s="11" t="n"/>
      <c r="AR162" s="11" t="n"/>
      <c r="AS162" s="11" t="n"/>
      <c r="AT162" s="11" t="n"/>
      <c r="AU162" s="11" t="n"/>
      <c r="AV162" s="11" t="n"/>
      <c r="AW162" s="11">
        <f>AF162&amp;"; "&amp;AG162&amp;"; "&amp;AH162&amp;"; "&amp;AI162&amp;"; "&amp;AJ162</f>
        <v/>
      </c>
    </row>
    <row r="163">
      <c r="A163" s="11" t="inlineStr">
        <is>
          <t>T0797-G04-CIE</t>
        </is>
      </c>
      <c r="B163" s="11" t="n">
        <v>4</v>
      </c>
      <c r="C163" s="11" t="inlineStr">
        <is>
          <t>Ciencias</t>
        </is>
      </c>
      <c r="D163" s="11" t="inlineStr">
        <is>
          <t>Matriz_Ciencias_4to_Grado_U1_U6.xlsx</t>
        </is>
      </c>
      <c r="E163" s="11" t="inlineStr">
        <is>
          <t>Unidad 2 - Nutrición</t>
        </is>
      </c>
      <c r="F163" s="11" t="n">
        <v>15</v>
      </c>
      <c r="G163" s="11" t="inlineStr">
        <is>
          <t>2. Nutrición.</t>
        </is>
      </c>
      <c r="H163" s="11" t="inlineStr">
        <is>
          <t>Cultivos.</t>
        </is>
      </c>
      <c r="I163" s="38" t="inlineStr">
        <is>
          <t>2.13. Exploración de la procedencia de los alimentos consumidos en el hogar.</t>
        </is>
      </c>
      <c r="J163" s="11" t="inlineStr">
        <is>
          <t>T4_27</t>
        </is>
      </c>
      <c r="K163" s="11" t="inlineStr">
        <is>
          <t>FUERA</t>
        </is>
      </c>
      <c r="L163" s="11" t="inlineStr"/>
      <c r="M163" s="11">
        <f>IF(K163="FUERA","Fuera del marco",IF(K163="N/A","Sin marco",IFERROR(INDEX('Datos - Catálogo TIMSS'!$C$5:$C$107,MATCH(K163,'Datos - Catálogo TIMSS'!$A$5:$A$107,0)),"Pendiente de clasificar")))</f>
        <v/>
      </c>
      <c r="N163" s="11">
        <f>IF(K163="FUERA","Fuera del marco",IF(K163="N/A","Sin marco",IFERROR(INDEX('Datos - Catálogo TIMSS'!$F$5:$F$107,MATCH(K163,'Datos - Catálogo TIMSS'!$A$5:$A$107,0)),"Pendiente de clasificar")))</f>
        <v/>
      </c>
      <c r="O163" s="11">
        <f>IF(L163="","",IFERROR(INDEX('Datos - Catálogo TIMSS'!$C$5:$C$107,MATCH(L163,'Datos - Catálogo TIMSS'!$A$5:$A$107,0)),"?"))</f>
        <v/>
      </c>
      <c r="P163" s="11" t="inlineStr">
        <is>
          <t>media</t>
        </is>
      </c>
      <c r="Q163" s="38" t="inlineStr">
        <is>
          <t>Procedencia de alimentos, tema socioeconómico sin objetivo del marco</t>
        </is>
      </c>
      <c r="R163" s="38" t="inlineStr">
        <is>
          <t>Aplicar: organizar información. Razonar: justificar</t>
        </is>
      </c>
      <c r="S163" s="39">
        <f>IFERROR(ISNUMBER(SEARCH("Conocer",$R163))/(ISNUMBER(SEARCH("Conocer",$R163))+ISNUMBER(SEARCH("Aplicar",$R163))+ISNUMBER(SEARCH("Razonar",$R163))),0)</f>
        <v/>
      </c>
      <c r="T163" s="39">
        <f>IFERROR(ISNUMBER(SEARCH("Aplicar",$R163))/(ISNUMBER(SEARCH("Conocer",$R163))+ISNUMBER(SEARCH("Aplicar",$R163))+ISNUMBER(SEARCH("Razonar",$R163))),0)</f>
        <v/>
      </c>
      <c r="U163" s="39">
        <f>IFERROR(ISNUMBER(SEARCH("Razonar",$R163))/(ISNUMBER(SEARCH("Conocer",$R163))+ISNUMBER(SEARCH("Aplicar",$R163))+ISNUMBER(SEARCH("Razonar",$R163))),0)</f>
        <v/>
      </c>
      <c r="V163" s="11" t="inlineStr">
        <is>
          <t>4°</t>
        </is>
      </c>
      <c r="W163" s="11" t="inlineStr">
        <is>
          <t>Ciclo 2°–4°</t>
        </is>
      </c>
      <c r="X163" s="11">
        <f>IF(OR(IFERROR(INDEX('Datos - Catálogo TIMSS'!$I$5:$I$107,MATCH(K163,'Datos - Catálogo TIMSS'!$A$5:$A$107,0)),"No")="Sí",IFERROR(INDEX('Datos - Catálogo TIMSS'!$I$5:$I$107,MATCH(L163,'Datos - Catálogo TIMSS'!$A$5:$A$107,0)),"No")="Sí"),1,0)</f>
        <v/>
      </c>
      <c r="Y163" s="11">
        <f>IF(IFERROR(INDEX('Datos - Catálogo TIMSS'!$J$5:$J$107,MATCH(K163,'Datos - Catálogo TIMSS'!$A$5:$A$107,0)),"No")="Sí",1,0)</f>
        <v/>
      </c>
      <c r="Z163" s="11">
        <f>IF(IFERROR(INDEX('Datos - Catálogo TIMSS'!$J$5:$J$107,MATCH(L163,'Datos - Catálogo TIMSS'!$A$5:$A$107,0)),"No")="Sí",1,0)</f>
        <v/>
      </c>
      <c r="AA163" s="11" t="inlineStr">
        <is>
          <t>FUERA</t>
        </is>
      </c>
      <c r="AB163" s="11" t="inlineStr"/>
      <c r="AC163" s="11">
        <f>IF(AA163="FUERA","Fuera del marco",IF(AA163="N/A","Sin marco",IFERROR(INDEX('Datos - TIMSS 2023'!$C$5:$C$105,MATCH(AA163,'Datos - TIMSS 2023'!$A$5:$A$105,0)),"Pendiente de clasificar")))</f>
        <v/>
      </c>
      <c r="AD163" s="11" t="inlineStr">
        <is>
          <t>3. Investigar, evaluar y usar información científica para tomar decisiones y actuar</t>
        </is>
      </c>
      <c r="AE163" s="11">
        <f>IF(AD163="","",IF(LEFT(AD163,1)="1","C1",IF(LEFT(AD163,1)="2","C2",IF(LEFT(AD163,1)="3","C3",""))))</f>
        <v/>
      </c>
      <c r="AF163" s="11" t="inlineStr">
        <is>
          <t>E1</t>
        </is>
      </c>
      <c r="AG163" s="11" t="inlineStr">
        <is>
          <t>D1</t>
        </is>
      </c>
      <c r="AH163" s="11" t="inlineStr">
        <is>
          <t>E2</t>
        </is>
      </c>
      <c r="AI163" s="11" t="inlineStr">
        <is>
          <t>I1</t>
        </is>
      </c>
      <c r="AJ163" s="11" t="inlineStr">
        <is>
          <t>I5</t>
        </is>
      </c>
      <c r="AK163" s="11" t="n"/>
      <c r="AL163" s="11" t="n"/>
      <c r="AM163" s="11" t="n"/>
      <c r="AN163" s="11" t="n"/>
      <c r="AO163" s="11" t="n"/>
      <c r="AP163" s="11" t="n"/>
      <c r="AQ163" s="11" t="n"/>
      <c r="AR163" s="11" t="n"/>
      <c r="AS163" s="11" t="n"/>
      <c r="AT163" s="11" t="n"/>
      <c r="AU163" s="11" t="n"/>
      <c r="AV163" s="11" t="n"/>
      <c r="AW163" s="11">
        <f>AF163&amp;"; "&amp;AG163&amp;"; "&amp;AH163&amp;"; "&amp;AI163&amp;"; "&amp;AJ163</f>
        <v/>
      </c>
    </row>
    <row r="164">
      <c r="A164" s="11" t="inlineStr">
        <is>
          <t>T0798-G04-CIE</t>
        </is>
      </c>
      <c r="B164" s="11" t="n">
        <v>4</v>
      </c>
      <c r="C164" s="11" t="inlineStr">
        <is>
          <t>Ciencias</t>
        </is>
      </c>
      <c r="D164" s="11" t="inlineStr">
        <is>
          <t>Matriz_Ciencias_4to_Grado_U1_U6.xlsx</t>
        </is>
      </c>
      <c r="E164" s="11" t="inlineStr">
        <is>
          <t>Unidad 3 - Naturaleza y sus int</t>
        </is>
      </c>
      <c r="F164" s="11" t="n">
        <v>3</v>
      </c>
      <c r="G164" s="11" t="inlineStr">
        <is>
          <t>3. Naturaleza y sus interacciones.</t>
        </is>
      </c>
      <c r="H164" s="11" t="inlineStr">
        <is>
          <t>Introducción a la ecología.</t>
        </is>
      </c>
      <c r="I164" s="38" t="inlineStr">
        <is>
          <t>3.1. Indagación de los conceptos de interacciones biológicas, condiciones ambientales y requerimientos ecológicos.</t>
        </is>
      </c>
      <c r="J164" s="11" t="inlineStr">
        <is>
          <t>T4_27</t>
        </is>
      </c>
      <c r="K164" s="11" t="inlineStr">
        <is>
          <t>T4_27-B4.2</t>
        </is>
      </c>
      <c r="L164" s="11" t="inlineStr">
        <is>
          <t>T4_27-B1.1</t>
        </is>
      </c>
      <c r="M164" s="11">
        <f>IF(K164="FUERA","Fuera del marco",IF(K164="N/A","Sin marco",IFERROR(INDEX('Datos - Catálogo TIMSS'!$C$5:$C$107,MATCH(K164,'Datos - Catálogo TIMSS'!$A$5:$A$107,0)),"Pendiente de clasificar")))</f>
        <v/>
      </c>
      <c r="N164" s="11">
        <f>IF(K164="FUERA","Fuera del marco",IF(K164="N/A","Sin marco",IFERROR(INDEX('Datos - Catálogo TIMSS'!$F$5:$F$107,MATCH(K164,'Datos - Catálogo TIMSS'!$A$5:$A$107,0)),"Pendiente de clasificar")))</f>
        <v/>
      </c>
      <c r="O164" s="11">
        <f>IF(L164="","",IFERROR(INDEX('Datos - Catálogo TIMSS'!$C$5:$C$107,MATCH(L164,'Datos - Catálogo TIMSS'!$A$5:$A$107,0)),"?"))</f>
        <v/>
      </c>
      <c r="P164" s="11" t="inlineStr">
        <is>
          <t>media</t>
        </is>
      </c>
      <c r="Q164" s="38" t="inlineStr">
        <is>
          <t>Interacciones biológicas y requerimientos de los seres vivos</t>
        </is>
      </c>
      <c r="R164" s="38" t="inlineStr">
        <is>
          <t>Conocer: definir y diferenciar</t>
        </is>
      </c>
      <c r="S164" s="39">
        <f>IFERROR(ISNUMBER(SEARCH("Conocer",$R164))/(ISNUMBER(SEARCH("Conocer",$R164))+ISNUMBER(SEARCH("Aplicar",$R164))+ISNUMBER(SEARCH("Razonar",$R164))),0)</f>
        <v/>
      </c>
      <c r="T164" s="39">
        <f>IFERROR(ISNUMBER(SEARCH("Aplicar",$R164))/(ISNUMBER(SEARCH("Conocer",$R164))+ISNUMBER(SEARCH("Aplicar",$R164))+ISNUMBER(SEARCH("Razonar",$R164))),0)</f>
        <v/>
      </c>
      <c r="U164" s="39">
        <f>IFERROR(ISNUMBER(SEARCH("Razonar",$R164))/(ISNUMBER(SEARCH("Conocer",$R164))+ISNUMBER(SEARCH("Aplicar",$R164))+ISNUMBER(SEARCH("Razonar",$R164))),0)</f>
        <v/>
      </c>
      <c r="V164" s="11" t="inlineStr">
        <is>
          <t>4°</t>
        </is>
      </c>
      <c r="W164" s="11" t="inlineStr">
        <is>
          <t>Ciclo 2°–4°</t>
        </is>
      </c>
      <c r="X164" s="11">
        <f>IF(OR(IFERROR(INDEX('Datos - Catálogo TIMSS'!$I$5:$I$107,MATCH(K164,'Datos - Catálogo TIMSS'!$A$5:$A$107,0)),"No")="Sí",IFERROR(INDEX('Datos - Catálogo TIMSS'!$I$5:$I$107,MATCH(L164,'Datos - Catálogo TIMSS'!$A$5:$A$107,0)),"No")="Sí"),1,0)</f>
        <v/>
      </c>
      <c r="Y164" s="11">
        <f>IF(IFERROR(INDEX('Datos - Catálogo TIMSS'!$J$5:$J$107,MATCH(K164,'Datos - Catálogo TIMSS'!$A$5:$A$107,0)),"No")="Sí",1,0)</f>
        <v/>
      </c>
      <c r="Z164" s="11">
        <f>IF(IFERROR(INDEX('Datos - Catálogo TIMSS'!$J$5:$J$107,MATCH(L164,'Datos - Catálogo TIMSS'!$A$5:$A$107,0)),"No")="Sí",1,0)</f>
        <v/>
      </c>
      <c r="AA164" s="11" t="inlineStr">
        <is>
          <t>T4-V4.1</t>
        </is>
      </c>
      <c r="AB164" s="11" t="inlineStr">
        <is>
          <t>T4-V1.1</t>
        </is>
      </c>
      <c r="AC164" s="11">
        <f>IF(AA164="FUERA","Fuera del marco",IF(AA164="N/A","Sin marco",IFERROR(INDEX('Datos - TIMSS 2023'!$C$5:$C$105,MATCH(AA164,'Datos - TIMSS 2023'!$A$5:$A$105,0)),"Pendiente de clasificar")))</f>
        <v/>
      </c>
      <c r="AD164" s="11" t="inlineStr">
        <is>
          <t>1. Explicar fenómenos científicamente</t>
        </is>
      </c>
      <c r="AE164" s="11">
        <f>IF(AD164="","",IF(LEFT(AD164,1)="1","C1",IF(LEFT(AD164,1)="2","C2",IF(LEFT(AD164,1)="3","C3",""))))</f>
        <v/>
      </c>
      <c r="AF164" s="11" t="inlineStr">
        <is>
          <t>E1</t>
        </is>
      </c>
      <c r="AG164" s="11" t="inlineStr">
        <is>
          <t>D1</t>
        </is>
      </c>
      <c r="AH164" s="11" t="inlineStr">
        <is>
          <t>E1</t>
        </is>
      </c>
      <c r="AI164" s="11" t="inlineStr">
        <is>
          <t>D4</t>
        </is>
      </c>
      <c r="AJ164" s="11" t="inlineStr">
        <is>
          <t>E1</t>
        </is>
      </c>
      <c r="AK164" s="11" t="n"/>
      <c r="AL164" s="11" t="n"/>
      <c r="AM164" s="11" t="n"/>
      <c r="AN164" s="11" t="n"/>
      <c r="AO164" s="11" t="n"/>
      <c r="AP164" s="11" t="n"/>
      <c r="AQ164" s="11" t="n"/>
      <c r="AR164" s="11" t="n"/>
      <c r="AS164" s="11" t="n"/>
      <c r="AT164" s="11" t="n"/>
      <c r="AU164" s="11" t="n"/>
      <c r="AV164" s="11" t="n"/>
      <c r="AW164" s="11">
        <f>AF164&amp;"; "&amp;AG164&amp;"; "&amp;AH164&amp;"; "&amp;AI164&amp;"; "&amp;AJ164</f>
        <v/>
      </c>
    </row>
    <row r="165">
      <c r="A165" s="11" t="inlineStr">
        <is>
          <t>T0799-G04-CIE</t>
        </is>
      </c>
      <c r="B165" s="11" t="n">
        <v>4</v>
      </c>
      <c r="C165" s="11" t="inlineStr">
        <is>
          <t>Ciencias</t>
        </is>
      </c>
      <c r="D165" s="11" t="inlineStr">
        <is>
          <t>Matriz_Ciencias_4to_Grado_U1_U6.xlsx</t>
        </is>
      </c>
      <c r="E165" s="11" t="inlineStr">
        <is>
          <t>Unidad 3 - Naturaleza y sus int</t>
        </is>
      </c>
      <c r="F165" s="11" t="n">
        <v>4</v>
      </c>
      <c r="G165" s="11" t="inlineStr">
        <is>
          <t>3. Naturaleza y sus interacciones.</t>
        </is>
      </c>
      <c r="H165" s="11" t="inlineStr">
        <is>
          <t>Introducción a la ecología.</t>
        </is>
      </c>
      <c r="I165" s="38" t="inlineStr">
        <is>
          <t>3.2. Reconocimiento y clasificación de factores bióticos y abióticos.</t>
        </is>
      </c>
      <c r="J165" s="11" t="inlineStr">
        <is>
          <t>T4_27</t>
        </is>
      </c>
      <c r="K165" s="11" t="inlineStr">
        <is>
          <t>T4_27-B1.1</t>
        </is>
      </c>
      <c r="L165" s="11" t="inlineStr">
        <is>
          <t>T4_27-B4.1</t>
        </is>
      </c>
      <c r="M165" s="11">
        <f>IF(K165="FUERA","Fuera del marco",IF(K165="N/A","Sin marco",IFERROR(INDEX('Datos - Catálogo TIMSS'!$C$5:$C$107,MATCH(K165,'Datos - Catálogo TIMSS'!$A$5:$A$107,0)),"Pendiente de clasificar")))</f>
        <v/>
      </c>
      <c r="N165" s="11">
        <f>IF(K165="FUERA","Fuera del marco",IF(K165="N/A","Sin marco",IFERROR(INDEX('Datos - Catálogo TIMSS'!$F$5:$F$107,MATCH(K165,'Datos - Catálogo TIMSS'!$A$5:$A$107,0)),"Pendiente de clasificar")))</f>
        <v/>
      </c>
      <c r="O165" s="11">
        <f>IF(L165="","",IFERROR(INDEX('Datos - Catálogo TIMSS'!$C$5:$C$107,MATCH(L165,'Datos - Catálogo TIMSS'!$A$5:$A$107,0)),"?"))</f>
        <v/>
      </c>
      <c r="P165" s="11" t="inlineStr">
        <is>
          <t>media</t>
        </is>
      </c>
      <c r="Q165" s="38" t="inlineStr">
        <is>
          <t>Distingue componentes vivos y no vivos del ambiente</t>
        </is>
      </c>
      <c r="R165" s="38" t="inlineStr">
        <is>
          <t>Aplicar: clasificar</t>
        </is>
      </c>
      <c r="S165" s="39">
        <f>IFERROR(ISNUMBER(SEARCH("Conocer",$R165))/(ISNUMBER(SEARCH("Conocer",$R165))+ISNUMBER(SEARCH("Aplicar",$R165))+ISNUMBER(SEARCH("Razonar",$R165))),0)</f>
        <v/>
      </c>
      <c r="T165" s="39">
        <f>IFERROR(ISNUMBER(SEARCH("Aplicar",$R165))/(ISNUMBER(SEARCH("Conocer",$R165))+ISNUMBER(SEARCH("Aplicar",$R165))+ISNUMBER(SEARCH("Razonar",$R165))),0)</f>
        <v/>
      </c>
      <c r="U165" s="39">
        <f>IFERROR(ISNUMBER(SEARCH("Razonar",$R165))/(ISNUMBER(SEARCH("Conocer",$R165))+ISNUMBER(SEARCH("Aplicar",$R165))+ISNUMBER(SEARCH("Razonar",$R165))),0)</f>
        <v/>
      </c>
      <c r="V165" s="11" t="inlineStr">
        <is>
          <t>4°</t>
        </is>
      </c>
      <c r="W165" s="11" t="inlineStr">
        <is>
          <t>Ciclo 2°–4°</t>
        </is>
      </c>
      <c r="X165" s="11">
        <f>IF(OR(IFERROR(INDEX('Datos - Catálogo TIMSS'!$I$5:$I$107,MATCH(K165,'Datos - Catálogo TIMSS'!$A$5:$A$107,0)),"No")="Sí",IFERROR(INDEX('Datos - Catálogo TIMSS'!$I$5:$I$107,MATCH(L165,'Datos - Catálogo TIMSS'!$A$5:$A$107,0)),"No")="Sí"),1,0)</f>
        <v/>
      </c>
      <c r="Y165" s="11">
        <f>IF(IFERROR(INDEX('Datos - Catálogo TIMSS'!$J$5:$J$107,MATCH(K165,'Datos - Catálogo TIMSS'!$A$5:$A$107,0)),"No")="Sí",1,0)</f>
        <v/>
      </c>
      <c r="Z165" s="11">
        <f>IF(IFERROR(INDEX('Datos - Catálogo TIMSS'!$J$5:$J$107,MATCH(L165,'Datos - Catálogo TIMSS'!$A$5:$A$107,0)),"No")="Sí",1,0)</f>
        <v/>
      </c>
      <c r="AA165" s="11" t="inlineStr">
        <is>
          <t>T4-V1.1</t>
        </is>
      </c>
      <c r="AB165" s="11" t="inlineStr">
        <is>
          <t>T4-V4.1</t>
        </is>
      </c>
      <c r="AC165" s="11">
        <f>IF(AA165="FUERA","Fuera del marco",IF(AA165="N/A","Sin marco",IFERROR(INDEX('Datos - TIMSS 2023'!$C$5:$C$105,MATCH(AA165,'Datos - TIMSS 2023'!$A$5:$A$105,0)),"Pendiente de clasificar")))</f>
        <v/>
      </c>
      <c r="AD165" s="11" t="inlineStr">
        <is>
          <t>2. Construir y evaluar diseños para la indagación científica e interpretar datos y evidencia de forma crítica</t>
        </is>
      </c>
      <c r="AE165" s="11">
        <f>IF(AD165="","",IF(LEFT(AD165,1)="1","C1",IF(LEFT(AD165,1)="2","C2",IF(LEFT(AD165,1)="3","C3",""))))</f>
        <v/>
      </c>
      <c r="AF165" s="11" t="inlineStr">
        <is>
          <t>E1</t>
        </is>
      </c>
      <c r="AG165" s="11" t="inlineStr">
        <is>
          <t>D1</t>
        </is>
      </c>
      <c r="AH165" s="11" t="inlineStr">
        <is>
          <t>E1</t>
        </is>
      </c>
      <c r="AI165" s="11" t="inlineStr">
        <is>
          <t>D4</t>
        </is>
      </c>
      <c r="AJ165" s="11" t="inlineStr">
        <is>
          <t>E6</t>
        </is>
      </c>
      <c r="AK165" s="11" t="n"/>
      <c r="AL165" s="11" t="n"/>
      <c r="AM165" s="11" t="n"/>
      <c r="AN165" s="11" t="n"/>
      <c r="AO165" s="11" t="n"/>
      <c r="AP165" s="11" t="n"/>
      <c r="AQ165" s="11" t="n"/>
      <c r="AR165" s="11" t="n"/>
      <c r="AS165" s="11" t="n"/>
      <c r="AT165" s="11" t="n"/>
      <c r="AU165" s="11" t="n"/>
      <c r="AV165" s="11" t="n"/>
      <c r="AW165" s="11">
        <f>AF165&amp;"; "&amp;AG165&amp;"; "&amp;AH165&amp;"; "&amp;AI165&amp;"; "&amp;AJ165</f>
        <v/>
      </c>
    </row>
    <row r="166">
      <c r="A166" s="11" t="inlineStr">
        <is>
          <t>T0800-G04-CIE</t>
        </is>
      </c>
      <c r="B166" s="11" t="n">
        <v>4</v>
      </c>
      <c r="C166" s="11" t="inlineStr">
        <is>
          <t>Ciencias</t>
        </is>
      </c>
      <c r="D166" s="11" t="inlineStr">
        <is>
          <t>Matriz_Ciencias_4to_Grado_U1_U6.xlsx</t>
        </is>
      </c>
      <c r="E166" s="11" t="inlineStr">
        <is>
          <t>Unidad 3 - Naturaleza y sus int</t>
        </is>
      </c>
      <c r="F166" s="11" t="n">
        <v>5</v>
      </c>
      <c r="G166" s="11" t="inlineStr">
        <is>
          <t>3. Naturaleza y sus interacciones.</t>
        </is>
      </c>
      <c r="H166" s="11" t="inlineStr">
        <is>
          <t>Niveles de organización ecológica.</t>
        </is>
      </c>
      <c r="I166" s="38" t="inlineStr">
        <is>
          <t>3.3. Caracterización de los niveles de organización ecológica.</t>
        </is>
      </c>
      <c r="J166" s="11" t="inlineStr">
        <is>
          <t>T4_27</t>
        </is>
      </c>
      <c r="K166" s="11" t="inlineStr">
        <is>
          <t>T4_27-B4.1</t>
        </is>
      </c>
      <c r="L166" s="11" t="inlineStr"/>
      <c r="M166" s="11">
        <f>IF(K166="FUERA","Fuera del marco",IF(K166="N/A","Sin marco",IFERROR(INDEX('Datos - Catálogo TIMSS'!$C$5:$C$107,MATCH(K166,'Datos - Catálogo TIMSS'!$A$5:$A$107,0)),"Pendiente de clasificar")))</f>
        <v/>
      </c>
      <c r="N166" s="11">
        <f>IF(K166="FUERA","Fuera del marco",IF(K166="N/A","Sin marco",IFERROR(INDEX('Datos - Catálogo TIMSS'!$F$5:$F$107,MATCH(K166,'Datos - Catálogo TIMSS'!$A$5:$A$107,0)),"Pendiente de clasificar")))</f>
        <v/>
      </c>
      <c r="O166" s="11">
        <f>IF(L166="","",IFERROR(INDEX('Datos - Catálogo TIMSS'!$C$5:$C$107,MATCH(L166,'Datos - Catálogo TIMSS'!$A$5:$A$107,0)),"?"))</f>
        <v/>
      </c>
      <c r="P166" s="11" t="inlineStr">
        <is>
          <t>baja</t>
        </is>
      </c>
      <c r="Q166" s="38" t="inlineStr">
        <is>
          <t>Niveles de organización ecológica no figuran explícitamente en 2027</t>
        </is>
      </c>
      <c r="R166" s="38" t="inlineStr">
        <is>
          <t>Aplicar: usar modelos</t>
        </is>
      </c>
      <c r="S166" s="39">
        <f>IFERROR(ISNUMBER(SEARCH("Conocer",$R166))/(ISNUMBER(SEARCH("Conocer",$R166))+ISNUMBER(SEARCH("Aplicar",$R166))+ISNUMBER(SEARCH("Razonar",$R166))),0)</f>
        <v/>
      </c>
      <c r="T166" s="39">
        <f>IFERROR(ISNUMBER(SEARCH("Aplicar",$R166))/(ISNUMBER(SEARCH("Conocer",$R166))+ISNUMBER(SEARCH("Aplicar",$R166))+ISNUMBER(SEARCH("Razonar",$R166))),0)</f>
        <v/>
      </c>
      <c r="U166" s="39">
        <f>IFERROR(ISNUMBER(SEARCH("Razonar",$R166))/(ISNUMBER(SEARCH("Conocer",$R166))+ISNUMBER(SEARCH("Aplicar",$R166))+ISNUMBER(SEARCH("Razonar",$R166))),0)</f>
        <v/>
      </c>
      <c r="V166" s="11" t="inlineStr">
        <is>
          <t>4°</t>
        </is>
      </c>
      <c r="W166" s="11" t="inlineStr">
        <is>
          <t>Ciclo 2°–4°</t>
        </is>
      </c>
      <c r="X166" s="11">
        <f>IF(OR(IFERROR(INDEX('Datos - Catálogo TIMSS'!$I$5:$I$107,MATCH(K166,'Datos - Catálogo TIMSS'!$A$5:$A$107,0)),"No")="Sí",IFERROR(INDEX('Datos - Catálogo TIMSS'!$I$5:$I$107,MATCH(L166,'Datos - Catálogo TIMSS'!$A$5:$A$107,0)),"No")="Sí"),1,0)</f>
        <v/>
      </c>
      <c r="Y166" s="11">
        <f>IF(IFERROR(INDEX('Datos - Catálogo TIMSS'!$J$5:$J$107,MATCH(K166,'Datos - Catálogo TIMSS'!$A$5:$A$107,0)),"No")="Sí",1,0)</f>
        <v/>
      </c>
      <c r="Z166" s="11">
        <f>IF(IFERROR(INDEX('Datos - Catálogo TIMSS'!$J$5:$J$107,MATCH(L166,'Datos - Catálogo TIMSS'!$A$5:$A$107,0)),"No")="Sí",1,0)</f>
        <v/>
      </c>
      <c r="AA166" s="11" t="inlineStr">
        <is>
          <t>T4-V4.1</t>
        </is>
      </c>
      <c r="AB166" s="11" t="inlineStr"/>
      <c r="AC166" s="11">
        <f>IF(AA166="FUERA","Fuera del marco",IF(AA166="N/A","Sin marco",IFERROR(INDEX('Datos - TIMSS 2023'!$C$5:$C$105,MATCH(AA166,'Datos - TIMSS 2023'!$A$5:$A$105,0)),"Pendiente de clasificar")))</f>
        <v/>
      </c>
      <c r="AD166" s="11" t="inlineStr">
        <is>
          <t>1. Explicar fenómenos científicamente</t>
        </is>
      </c>
      <c r="AE166" s="11">
        <f>IF(AD166="","",IF(LEFT(AD166,1)="1","C1",IF(LEFT(AD166,1)="2","C2",IF(LEFT(AD166,1)="3","C3",""))))</f>
        <v/>
      </c>
      <c r="AF166" s="11" t="inlineStr">
        <is>
          <t>E1</t>
        </is>
      </c>
      <c r="AG166" s="11" t="inlineStr">
        <is>
          <t>D1</t>
        </is>
      </c>
      <c r="AH166" s="11" t="inlineStr">
        <is>
          <t>E2</t>
        </is>
      </c>
      <c r="AI166" s="11" t="inlineStr">
        <is>
          <t>D4</t>
        </is>
      </c>
      <c r="AJ166" s="11" t="inlineStr">
        <is>
          <t>E1</t>
        </is>
      </c>
      <c r="AK166" s="11" t="n"/>
      <c r="AL166" s="11" t="n"/>
      <c r="AM166" s="11" t="n"/>
      <c r="AN166" s="11" t="n"/>
      <c r="AO166" s="11" t="n"/>
      <c r="AP166" s="11" t="n"/>
      <c r="AQ166" s="11" t="n"/>
      <c r="AR166" s="11" t="n"/>
      <c r="AS166" s="11" t="n"/>
      <c r="AT166" s="11" t="n"/>
      <c r="AU166" s="11" t="n"/>
      <c r="AV166" s="11" t="n"/>
      <c r="AW166" s="11">
        <f>AF166&amp;"; "&amp;AG166&amp;"; "&amp;AH166&amp;"; "&amp;AI166&amp;"; "&amp;AJ166</f>
        <v/>
      </c>
    </row>
    <row r="167">
      <c r="A167" s="11" t="inlineStr">
        <is>
          <t>T0801-G04-CIE</t>
        </is>
      </c>
      <c r="B167" s="11" t="n">
        <v>4</v>
      </c>
      <c r="C167" s="11" t="inlineStr">
        <is>
          <t>Ciencias</t>
        </is>
      </c>
      <c r="D167" s="11" t="inlineStr">
        <is>
          <t>Matriz_Ciencias_4to_Grado_U1_U6.xlsx</t>
        </is>
      </c>
      <c r="E167" s="11" t="inlineStr">
        <is>
          <t>Unidad 3 - Naturaleza y sus int</t>
        </is>
      </c>
      <c r="F167" s="11" t="n">
        <v>6</v>
      </c>
      <c r="G167" s="11" t="inlineStr">
        <is>
          <t>3. Naturaleza y sus interacciones.</t>
        </is>
      </c>
      <c r="H167" s="11" t="inlineStr">
        <is>
          <t>Ecosistemas.</t>
        </is>
      </c>
      <c r="I167" s="38" t="inlineStr">
        <is>
          <t>3.4. Reconocimiento de la diversidad ecosistémica.</t>
        </is>
      </c>
      <c r="J167" s="11" t="inlineStr">
        <is>
          <t>T4_27</t>
        </is>
      </c>
      <c r="K167" s="11" t="inlineStr">
        <is>
          <t>T4_27-B4.1</t>
        </is>
      </c>
      <c r="L167" s="11" t="inlineStr"/>
      <c r="M167" s="11">
        <f>IF(K167="FUERA","Fuera del marco",IF(K167="N/A","Sin marco",IFERROR(INDEX('Datos - Catálogo TIMSS'!$C$5:$C$107,MATCH(K167,'Datos - Catálogo TIMSS'!$A$5:$A$107,0)),"Pendiente de clasificar")))</f>
        <v/>
      </c>
      <c r="N167" s="11">
        <f>IF(K167="FUERA","Fuera del marco",IF(K167="N/A","Sin marco",IFERROR(INDEX('Datos - Catálogo TIMSS'!$F$5:$F$107,MATCH(K167,'Datos - Catálogo TIMSS'!$A$5:$A$107,0)),"Pendiente de clasificar")))</f>
        <v/>
      </c>
      <c r="O167" s="11">
        <f>IF(L167="","",IFERROR(INDEX('Datos - Catálogo TIMSS'!$C$5:$C$107,MATCH(L167,'Datos - Catálogo TIMSS'!$A$5:$A$107,0)),"?"))</f>
        <v/>
      </c>
      <c r="P167" s="11" t="inlineStr">
        <is>
          <t>alta</t>
        </is>
      </c>
      <c r="Q167" s="38" t="inlineStr">
        <is>
          <t>Reconoce tipos de ecosistemas</t>
        </is>
      </c>
      <c r="R167" s="38" t="inlineStr">
        <is>
          <t>Conocer: reconocer. Aplicar: comparar</t>
        </is>
      </c>
      <c r="S167" s="39">
        <f>IFERROR(ISNUMBER(SEARCH("Conocer",$R167))/(ISNUMBER(SEARCH("Conocer",$R167))+ISNUMBER(SEARCH("Aplicar",$R167))+ISNUMBER(SEARCH("Razonar",$R167))),0)</f>
        <v/>
      </c>
      <c r="T167" s="39">
        <f>IFERROR(ISNUMBER(SEARCH("Aplicar",$R167))/(ISNUMBER(SEARCH("Conocer",$R167))+ISNUMBER(SEARCH("Aplicar",$R167))+ISNUMBER(SEARCH("Razonar",$R167))),0)</f>
        <v/>
      </c>
      <c r="U167" s="39">
        <f>IFERROR(ISNUMBER(SEARCH("Razonar",$R167))/(ISNUMBER(SEARCH("Conocer",$R167))+ISNUMBER(SEARCH("Aplicar",$R167))+ISNUMBER(SEARCH("Razonar",$R167))),0)</f>
        <v/>
      </c>
      <c r="V167" s="11" t="inlineStr">
        <is>
          <t>4°</t>
        </is>
      </c>
      <c r="W167" s="11" t="inlineStr">
        <is>
          <t>Ciclo 2°–4°</t>
        </is>
      </c>
      <c r="X167" s="11">
        <f>IF(OR(IFERROR(INDEX('Datos - Catálogo TIMSS'!$I$5:$I$107,MATCH(K167,'Datos - Catálogo TIMSS'!$A$5:$A$107,0)),"No")="Sí",IFERROR(INDEX('Datos - Catálogo TIMSS'!$I$5:$I$107,MATCH(L167,'Datos - Catálogo TIMSS'!$A$5:$A$107,0)),"No")="Sí"),1,0)</f>
        <v/>
      </c>
      <c r="Y167" s="11">
        <f>IF(IFERROR(INDEX('Datos - Catálogo TIMSS'!$J$5:$J$107,MATCH(K167,'Datos - Catálogo TIMSS'!$A$5:$A$107,0)),"No")="Sí",1,0)</f>
        <v/>
      </c>
      <c r="Z167" s="11">
        <f>IF(IFERROR(INDEX('Datos - Catálogo TIMSS'!$J$5:$J$107,MATCH(L167,'Datos - Catálogo TIMSS'!$A$5:$A$107,0)),"No")="Sí",1,0)</f>
        <v/>
      </c>
      <c r="AA167" s="11" t="inlineStr">
        <is>
          <t>T4-V4.1</t>
        </is>
      </c>
      <c r="AB167" s="11" t="inlineStr"/>
      <c r="AC167" s="11">
        <f>IF(AA167="FUERA","Fuera del marco",IF(AA167="N/A","Sin marco",IFERROR(INDEX('Datos - TIMSS 2023'!$C$5:$C$105,MATCH(AA167,'Datos - TIMSS 2023'!$A$5:$A$105,0)),"Pendiente de clasificar")))</f>
        <v/>
      </c>
      <c r="AD167" s="11" t="inlineStr">
        <is>
          <t>1. Explicar fenómenos científicamente</t>
        </is>
      </c>
      <c r="AE167" s="11">
        <f>IF(AD167="","",IF(LEFT(AD167,1)="1","C1",IF(LEFT(AD167,1)="2","C2",IF(LEFT(AD167,1)="3","C3",""))))</f>
        <v/>
      </c>
      <c r="AF167" s="11" t="inlineStr">
        <is>
          <t>E6</t>
        </is>
      </c>
      <c r="AG167" s="11" t="inlineStr">
        <is>
          <t>D1</t>
        </is>
      </c>
      <c r="AH167" s="11" t="inlineStr">
        <is>
          <t>E1</t>
        </is>
      </c>
      <c r="AI167" s="11" t="inlineStr">
        <is>
          <t>D4</t>
        </is>
      </c>
      <c r="AJ167" s="11" t="inlineStr">
        <is>
          <t>E6</t>
        </is>
      </c>
      <c r="AK167" s="11" t="n"/>
      <c r="AL167" s="11" t="n"/>
      <c r="AM167" s="11" t="n"/>
      <c r="AN167" s="11" t="n"/>
      <c r="AO167" s="11" t="n"/>
      <c r="AP167" s="11" t="n"/>
      <c r="AQ167" s="11" t="n"/>
      <c r="AR167" s="11" t="n"/>
      <c r="AS167" s="11" t="n"/>
      <c r="AT167" s="11" t="n"/>
      <c r="AU167" s="11" t="n"/>
      <c r="AV167" s="11" t="n"/>
      <c r="AW167" s="11">
        <f>AF167&amp;"; "&amp;AG167&amp;"; "&amp;AH167&amp;"; "&amp;AI167&amp;"; "&amp;AJ167</f>
        <v/>
      </c>
    </row>
    <row r="168">
      <c r="A168" s="11" t="inlineStr">
        <is>
          <t>T0802-G04-CIE</t>
        </is>
      </c>
      <c r="B168" s="11" t="n">
        <v>4</v>
      </c>
      <c r="C168" s="11" t="inlineStr">
        <is>
          <t>Ciencias</t>
        </is>
      </c>
      <c r="D168" s="11" t="inlineStr">
        <is>
          <t>Matriz_Ciencias_4to_Grado_U1_U6.xlsx</t>
        </is>
      </c>
      <c r="E168" s="11" t="inlineStr">
        <is>
          <t>Unidad 3 - Naturaleza y sus int</t>
        </is>
      </c>
      <c r="F168" s="11" t="n">
        <v>7</v>
      </c>
      <c r="G168" s="11" t="inlineStr">
        <is>
          <t>3. Naturaleza y sus interacciones.</t>
        </is>
      </c>
      <c r="H168" s="11" t="inlineStr">
        <is>
          <t>Ecosistemas.</t>
        </is>
      </c>
      <c r="I168" s="38" t="inlineStr">
        <is>
          <t>3.5. Reconocimiento de tipos de formaciones vegetales de El Salvador.</t>
        </is>
      </c>
      <c r="J168" s="11" t="inlineStr">
        <is>
          <t>T4_27</t>
        </is>
      </c>
      <c r="K168" s="11" t="inlineStr">
        <is>
          <t>T4_27-B4.1</t>
        </is>
      </c>
      <c r="L168" s="11" t="inlineStr"/>
      <c r="M168" s="11">
        <f>IF(K168="FUERA","Fuera del marco",IF(K168="N/A","Sin marco",IFERROR(INDEX('Datos - Catálogo TIMSS'!$C$5:$C$107,MATCH(K168,'Datos - Catálogo TIMSS'!$A$5:$A$107,0)),"Pendiente de clasificar")))</f>
        <v/>
      </c>
      <c r="N168" s="11">
        <f>IF(K168="FUERA","Fuera del marco",IF(K168="N/A","Sin marco",IFERROR(INDEX('Datos - Catálogo TIMSS'!$F$5:$F$107,MATCH(K168,'Datos - Catálogo TIMSS'!$A$5:$A$107,0)),"Pendiente de clasificar")))</f>
        <v/>
      </c>
      <c r="O168" s="11">
        <f>IF(L168="","",IFERROR(INDEX('Datos - Catálogo TIMSS'!$C$5:$C$107,MATCH(L168,'Datos - Catálogo TIMSS'!$A$5:$A$107,0)),"?"))</f>
        <v/>
      </c>
      <c r="P168" s="11" t="inlineStr">
        <is>
          <t>media</t>
        </is>
      </c>
      <c r="Q168" s="38" t="inlineStr">
        <is>
          <t>Formaciones vegetales locales como ecosistemas</t>
        </is>
      </c>
      <c r="R168" s="38" t="inlineStr">
        <is>
          <t>Conocer: reconocer. Razonar: evaluar información</t>
        </is>
      </c>
      <c r="S168" s="39">
        <f>IFERROR(ISNUMBER(SEARCH("Conocer",$R168))/(ISNUMBER(SEARCH("Conocer",$R168))+ISNUMBER(SEARCH("Aplicar",$R168))+ISNUMBER(SEARCH("Razonar",$R168))),0)</f>
        <v/>
      </c>
      <c r="T168" s="39">
        <f>IFERROR(ISNUMBER(SEARCH("Aplicar",$R168))/(ISNUMBER(SEARCH("Conocer",$R168))+ISNUMBER(SEARCH("Aplicar",$R168))+ISNUMBER(SEARCH("Razonar",$R168))),0)</f>
        <v/>
      </c>
      <c r="U168" s="39">
        <f>IFERROR(ISNUMBER(SEARCH("Razonar",$R168))/(ISNUMBER(SEARCH("Conocer",$R168))+ISNUMBER(SEARCH("Aplicar",$R168))+ISNUMBER(SEARCH("Razonar",$R168))),0)</f>
        <v/>
      </c>
      <c r="V168" s="11" t="inlineStr">
        <is>
          <t>4°</t>
        </is>
      </c>
      <c r="W168" s="11" t="inlineStr">
        <is>
          <t>Ciclo 2°–4°</t>
        </is>
      </c>
      <c r="X168" s="11">
        <f>IF(OR(IFERROR(INDEX('Datos - Catálogo TIMSS'!$I$5:$I$107,MATCH(K168,'Datos - Catálogo TIMSS'!$A$5:$A$107,0)),"No")="Sí",IFERROR(INDEX('Datos - Catálogo TIMSS'!$I$5:$I$107,MATCH(L168,'Datos - Catálogo TIMSS'!$A$5:$A$107,0)),"No")="Sí"),1,0)</f>
        <v/>
      </c>
      <c r="Y168" s="11">
        <f>IF(IFERROR(INDEX('Datos - Catálogo TIMSS'!$J$5:$J$107,MATCH(K168,'Datos - Catálogo TIMSS'!$A$5:$A$107,0)),"No")="Sí",1,0)</f>
        <v/>
      </c>
      <c r="Z168" s="11">
        <f>IF(IFERROR(INDEX('Datos - Catálogo TIMSS'!$J$5:$J$107,MATCH(L168,'Datos - Catálogo TIMSS'!$A$5:$A$107,0)),"No")="Sí",1,0)</f>
        <v/>
      </c>
      <c r="AA168" s="11" t="inlineStr">
        <is>
          <t>T4-V4.1</t>
        </is>
      </c>
      <c r="AB168" s="11" t="inlineStr"/>
      <c r="AC168" s="11">
        <f>IF(AA168="FUERA","Fuera del marco",IF(AA168="N/A","Sin marco",IFERROR(INDEX('Datos - TIMSS 2023'!$C$5:$C$105,MATCH(AA168,'Datos - TIMSS 2023'!$A$5:$A$105,0)),"Pendiente de clasificar")))</f>
        <v/>
      </c>
      <c r="AD168" s="11" t="inlineStr">
        <is>
          <t>1. Explicar fenómenos científicamente</t>
        </is>
      </c>
      <c r="AE168" s="11">
        <f>IF(AD168="","",IF(LEFT(AD168,1)="1","C1",IF(LEFT(AD168,1)="2","C2",IF(LEFT(AD168,1)="3","C3",""))))</f>
        <v/>
      </c>
      <c r="AF168" s="11" t="inlineStr">
        <is>
          <t>E6</t>
        </is>
      </c>
      <c r="AG168" s="11" t="inlineStr">
        <is>
          <t>D1</t>
        </is>
      </c>
      <c r="AH168" s="11" t="inlineStr">
        <is>
          <t>E1</t>
        </is>
      </c>
      <c r="AI168" s="11" t="inlineStr">
        <is>
          <t>I1</t>
        </is>
      </c>
      <c r="AJ168" s="11" t="inlineStr">
        <is>
          <t>E6</t>
        </is>
      </c>
      <c r="AK168" s="11" t="n"/>
      <c r="AL168" s="11" t="n"/>
      <c r="AM168" s="11" t="n"/>
      <c r="AN168" s="11" t="n"/>
      <c r="AO168" s="11" t="n"/>
      <c r="AP168" s="11" t="n"/>
      <c r="AQ168" s="11" t="n"/>
      <c r="AR168" s="11" t="n"/>
      <c r="AS168" s="11" t="n"/>
      <c r="AT168" s="11" t="n"/>
      <c r="AU168" s="11" t="n"/>
      <c r="AV168" s="11" t="n"/>
      <c r="AW168" s="11">
        <f>AF168&amp;"; "&amp;AG168&amp;"; "&amp;AH168&amp;"; "&amp;AI168&amp;"; "&amp;AJ168</f>
        <v/>
      </c>
    </row>
    <row r="169">
      <c r="A169" s="11" t="inlineStr">
        <is>
          <t>T0803-G04-CIE</t>
        </is>
      </c>
      <c r="B169" s="11" t="n">
        <v>4</v>
      </c>
      <c r="C169" s="11" t="inlineStr">
        <is>
          <t>Ciencias</t>
        </is>
      </c>
      <c r="D169" s="11" t="inlineStr">
        <is>
          <t>Matriz_Ciencias_4to_Grado_U1_U6.xlsx</t>
        </is>
      </c>
      <c r="E169" s="11" t="inlineStr">
        <is>
          <t>Unidad 3 - Naturaleza y sus int</t>
        </is>
      </c>
      <c r="F169" s="11" t="n">
        <v>8</v>
      </c>
      <c r="G169" s="11" t="inlineStr">
        <is>
          <t>3. Naturaleza y sus interacciones.</t>
        </is>
      </c>
      <c r="H169" s="11" t="inlineStr">
        <is>
          <t>Ecosistemas.</t>
        </is>
      </c>
      <c r="I169" s="38" t="inlineStr">
        <is>
          <t>3.6. Representación de las interacciones ecológicas de un ecosistema.</t>
        </is>
      </c>
      <c r="J169" s="11" t="inlineStr">
        <is>
          <t>T4_27</t>
        </is>
      </c>
      <c r="K169" s="11" t="inlineStr">
        <is>
          <t>T4_27-B4.2</t>
        </is>
      </c>
      <c r="L169" s="11" t="inlineStr"/>
      <c r="M169" s="11">
        <f>IF(K169="FUERA","Fuera del marco",IF(K169="N/A","Sin marco",IFERROR(INDEX('Datos - Catálogo TIMSS'!$C$5:$C$107,MATCH(K169,'Datos - Catálogo TIMSS'!$A$5:$A$107,0)),"Pendiente de clasificar")))</f>
        <v/>
      </c>
      <c r="N169" s="11">
        <f>IF(K169="FUERA","Fuera del marco",IF(K169="N/A","Sin marco",IFERROR(INDEX('Datos - Catálogo TIMSS'!$F$5:$F$107,MATCH(K169,'Datos - Catálogo TIMSS'!$A$5:$A$107,0)),"Pendiente de clasificar")))</f>
        <v/>
      </c>
      <c r="O169" s="11">
        <f>IF(L169="","",IFERROR(INDEX('Datos - Catálogo TIMSS'!$C$5:$C$107,MATCH(L169,'Datos - Catálogo TIMSS'!$A$5:$A$107,0)),"?"))</f>
        <v/>
      </c>
      <c r="P169" s="11" t="inlineStr">
        <is>
          <t>alta</t>
        </is>
      </c>
      <c r="Q169" s="38" t="inlineStr">
        <is>
          <t>Representa interacciones entre organismos de un ecosistema</t>
        </is>
      </c>
      <c r="R169" s="38" t="inlineStr">
        <is>
          <t>Aplicar: usar modelos. Razonar: predecir efectos</t>
        </is>
      </c>
      <c r="S169" s="39">
        <f>IFERROR(ISNUMBER(SEARCH("Conocer",$R169))/(ISNUMBER(SEARCH("Conocer",$R169))+ISNUMBER(SEARCH("Aplicar",$R169))+ISNUMBER(SEARCH("Razonar",$R169))),0)</f>
        <v/>
      </c>
      <c r="T169" s="39">
        <f>IFERROR(ISNUMBER(SEARCH("Aplicar",$R169))/(ISNUMBER(SEARCH("Conocer",$R169))+ISNUMBER(SEARCH("Aplicar",$R169))+ISNUMBER(SEARCH("Razonar",$R169))),0)</f>
        <v/>
      </c>
      <c r="U169" s="39">
        <f>IFERROR(ISNUMBER(SEARCH("Razonar",$R169))/(ISNUMBER(SEARCH("Conocer",$R169))+ISNUMBER(SEARCH("Aplicar",$R169))+ISNUMBER(SEARCH("Razonar",$R169))),0)</f>
        <v/>
      </c>
      <c r="V169" s="11" t="inlineStr">
        <is>
          <t>4°</t>
        </is>
      </c>
      <c r="W169" s="11" t="inlineStr">
        <is>
          <t>Ciclo 2°–4°</t>
        </is>
      </c>
      <c r="X169" s="11">
        <f>IF(OR(IFERROR(INDEX('Datos - Catálogo TIMSS'!$I$5:$I$107,MATCH(K169,'Datos - Catálogo TIMSS'!$A$5:$A$107,0)),"No")="Sí",IFERROR(INDEX('Datos - Catálogo TIMSS'!$I$5:$I$107,MATCH(L169,'Datos - Catálogo TIMSS'!$A$5:$A$107,0)),"No")="Sí"),1,0)</f>
        <v/>
      </c>
      <c r="Y169" s="11">
        <f>IF(IFERROR(INDEX('Datos - Catálogo TIMSS'!$J$5:$J$107,MATCH(K169,'Datos - Catálogo TIMSS'!$A$5:$A$107,0)),"No")="Sí",1,0)</f>
        <v/>
      </c>
      <c r="Z169" s="11">
        <f>IF(IFERROR(INDEX('Datos - Catálogo TIMSS'!$J$5:$J$107,MATCH(L169,'Datos - Catálogo TIMSS'!$A$5:$A$107,0)),"No")="Sí",1,0)</f>
        <v/>
      </c>
      <c r="AA169" s="11" t="inlineStr">
        <is>
          <t>T4-V4.2</t>
        </is>
      </c>
      <c r="AB169" s="11" t="inlineStr">
        <is>
          <t>T4-V4.3</t>
        </is>
      </c>
      <c r="AC169" s="11">
        <f>IF(AA169="FUERA","Fuera del marco",IF(AA169="N/A","Sin marco",IFERROR(INDEX('Datos - TIMSS 2023'!$C$5:$C$105,MATCH(AA169,'Datos - TIMSS 2023'!$A$5:$A$105,0)),"Pendiente de clasificar")))</f>
        <v/>
      </c>
      <c r="AD169" s="11" t="inlineStr">
        <is>
          <t>1. Explicar fenómenos científicamente</t>
        </is>
      </c>
      <c r="AE169" s="11">
        <f>IF(AD169="","",IF(LEFT(AD169,1)="1","C1",IF(LEFT(AD169,1)="2","C2",IF(LEFT(AD169,1)="3","C3",""))))</f>
        <v/>
      </c>
      <c r="AF169" s="11" t="inlineStr">
        <is>
          <t>E1</t>
        </is>
      </c>
      <c r="AG169" s="11" t="inlineStr">
        <is>
          <t>D1</t>
        </is>
      </c>
      <c r="AH169" s="11" t="inlineStr">
        <is>
          <t>E4</t>
        </is>
      </c>
      <c r="AI169" s="11" t="inlineStr">
        <is>
          <t>E4</t>
        </is>
      </c>
      <c r="AJ169" s="11" t="inlineStr">
        <is>
          <t>E6</t>
        </is>
      </c>
      <c r="AK169" s="11" t="n"/>
      <c r="AL169" s="11" t="n"/>
      <c r="AM169" s="11" t="n"/>
      <c r="AN169" s="11" t="n"/>
      <c r="AO169" s="11" t="n"/>
      <c r="AP169" s="11" t="n"/>
      <c r="AQ169" s="11" t="n"/>
      <c r="AR169" s="11" t="n"/>
      <c r="AS169" s="11" t="n"/>
      <c r="AT169" s="11" t="n"/>
      <c r="AU169" s="11" t="n"/>
      <c r="AV169" s="11" t="n"/>
      <c r="AW169" s="11">
        <f>AF169&amp;"; "&amp;AG169&amp;"; "&amp;AH169&amp;"; "&amp;AI169&amp;"; "&amp;AJ169</f>
        <v/>
      </c>
    </row>
    <row r="170">
      <c r="A170" s="11" t="inlineStr">
        <is>
          <t>T0804-G04-CIE</t>
        </is>
      </c>
      <c r="B170" s="11" t="n">
        <v>4</v>
      </c>
      <c r="C170" s="11" t="inlineStr">
        <is>
          <t>Ciencias</t>
        </is>
      </c>
      <c r="D170" s="11" t="inlineStr">
        <is>
          <t>Matriz_Ciencias_4to_Grado_U1_U6.xlsx</t>
        </is>
      </c>
      <c r="E170" s="11" t="inlineStr">
        <is>
          <t>Unidad 3 - Naturaleza y sus int</t>
        </is>
      </c>
      <c r="F170" s="11" t="n">
        <v>9</v>
      </c>
      <c r="G170" s="11" t="inlineStr">
        <is>
          <t>3. Naturaleza y sus interacciones.</t>
        </is>
      </c>
      <c r="H170" s="11" t="inlineStr">
        <is>
          <t>Ecosistemas.</t>
        </is>
      </c>
      <c r="I170" s="38" t="inlineStr">
        <is>
          <t>3.7. Representación de cadenas tróficas acuáticas y terrestres.</t>
        </is>
      </c>
      <c r="J170" s="11" t="inlineStr">
        <is>
          <t>T4_27</t>
        </is>
      </c>
      <c r="K170" s="11" t="inlineStr">
        <is>
          <t>T4_27-B4.2</t>
        </is>
      </c>
      <c r="L170" s="11" t="inlineStr"/>
      <c r="M170" s="11">
        <f>IF(K170="FUERA","Fuera del marco",IF(K170="N/A","Sin marco",IFERROR(INDEX('Datos - Catálogo TIMSS'!$C$5:$C$107,MATCH(K170,'Datos - Catálogo TIMSS'!$A$5:$A$107,0)),"Pendiente de clasificar")))</f>
        <v/>
      </c>
      <c r="N170" s="11">
        <f>IF(K170="FUERA","Fuera del marco",IF(K170="N/A","Sin marco",IFERROR(INDEX('Datos - Catálogo TIMSS'!$F$5:$F$107,MATCH(K170,'Datos - Catálogo TIMSS'!$A$5:$A$107,0)),"Pendiente de clasificar")))</f>
        <v/>
      </c>
      <c r="O170" s="11">
        <f>IF(L170="","",IFERROR(INDEX('Datos - Catálogo TIMSS'!$C$5:$C$107,MATCH(L170,'Datos - Catálogo TIMSS'!$A$5:$A$107,0)),"?"))</f>
        <v/>
      </c>
      <c r="P170" s="11" t="inlineStr">
        <is>
          <t>alta</t>
        </is>
      </c>
      <c r="Q170" s="38" t="inlineStr">
        <is>
          <t>Cadenas tróficas con niveles y papel de cada organismo</t>
        </is>
      </c>
      <c r="R170" s="38" t="inlineStr">
        <is>
          <t>Aplicar: usar modelos. Razonar: comparar y predecir</t>
        </is>
      </c>
      <c r="S170" s="39">
        <f>IFERROR(ISNUMBER(SEARCH("Conocer",$R170))/(ISNUMBER(SEARCH("Conocer",$R170))+ISNUMBER(SEARCH("Aplicar",$R170))+ISNUMBER(SEARCH("Razonar",$R170))),0)</f>
        <v/>
      </c>
      <c r="T170" s="39">
        <f>IFERROR(ISNUMBER(SEARCH("Aplicar",$R170))/(ISNUMBER(SEARCH("Conocer",$R170))+ISNUMBER(SEARCH("Aplicar",$R170))+ISNUMBER(SEARCH("Razonar",$R170))),0)</f>
        <v/>
      </c>
      <c r="U170" s="39">
        <f>IFERROR(ISNUMBER(SEARCH("Razonar",$R170))/(ISNUMBER(SEARCH("Conocer",$R170))+ISNUMBER(SEARCH("Aplicar",$R170))+ISNUMBER(SEARCH("Razonar",$R170))),0)</f>
        <v/>
      </c>
      <c r="V170" s="11" t="inlineStr">
        <is>
          <t>4°</t>
        </is>
      </c>
      <c r="W170" s="11" t="inlineStr">
        <is>
          <t>Ciclo 2°–4°</t>
        </is>
      </c>
      <c r="X170" s="11">
        <f>IF(OR(IFERROR(INDEX('Datos - Catálogo TIMSS'!$I$5:$I$107,MATCH(K170,'Datos - Catálogo TIMSS'!$A$5:$A$107,0)),"No")="Sí",IFERROR(INDEX('Datos - Catálogo TIMSS'!$I$5:$I$107,MATCH(L170,'Datos - Catálogo TIMSS'!$A$5:$A$107,0)),"No")="Sí"),1,0)</f>
        <v/>
      </c>
      <c r="Y170" s="11">
        <f>IF(IFERROR(INDEX('Datos - Catálogo TIMSS'!$J$5:$J$107,MATCH(K170,'Datos - Catálogo TIMSS'!$A$5:$A$107,0)),"No")="Sí",1,0)</f>
        <v/>
      </c>
      <c r="Z170" s="11">
        <f>IF(IFERROR(INDEX('Datos - Catálogo TIMSS'!$J$5:$J$107,MATCH(L170,'Datos - Catálogo TIMSS'!$A$5:$A$107,0)),"No")="Sí",1,0)</f>
        <v/>
      </c>
      <c r="AA170" s="11" t="inlineStr">
        <is>
          <t>T4-V4.2</t>
        </is>
      </c>
      <c r="AB170" s="11" t="inlineStr"/>
      <c r="AC170" s="11">
        <f>IF(AA170="FUERA","Fuera del marco",IF(AA170="N/A","Sin marco",IFERROR(INDEX('Datos - TIMSS 2023'!$C$5:$C$105,MATCH(AA170,'Datos - TIMSS 2023'!$A$5:$A$105,0)),"Pendiente de clasificar")))</f>
        <v/>
      </c>
      <c r="AD170" s="11" t="inlineStr">
        <is>
          <t>2. Construir y evaluar diseños para la indagación científica e interpretar datos y evidencia de forma crítica</t>
        </is>
      </c>
      <c r="AE170" s="11">
        <f>IF(AD170="","",IF(LEFT(AD170,1)="1","C1",IF(LEFT(AD170,1)="2","C2",IF(LEFT(AD170,1)="3","C3",""))))</f>
        <v/>
      </c>
      <c r="AF170" s="11" t="inlineStr">
        <is>
          <t>E1</t>
        </is>
      </c>
      <c r="AG170" s="11" t="inlineStr">
        <is>
          <t>D1</t>
        </is>
      </c>
      <c r="AH170" s="11" t="inlineStr">
        <is>
          <t>E4</t>
        </is>
      </c>
      <c r="AI170" s="11" t="inlineStr">
        <is>
          <t>D4</t>
        </is>
      </c>
      <c r="AJ170" s="11" t="inlineStr">
        <is>
          <t>E3</t>
        </is>
      </c>
      <c r="AK170" s="11" t="n"/>
      <c r="AL170" s="11" t="n"/>
      <c r="AM170" s="11" t="n"/>
      <c r="AN170" s="11" t="n"/>
      <c r="AO170" s="11" t="n"/>
      <c r="AP170" s="11" t="n"/>
      <c r="AQ170" s="11" t="n"/>
      <c r="AR170" s="11" t="n"/>
      <c r="AS170" s="11" t="n"/>
      <c r="AT170" s="11" t="n"/>
      <c r="AU170" s="11" t="n"/>
      <c r="AV170" s="11" t="n"/>
      <c r="AW170" s="11">
        <f>AF170&amp;"; "&amp;AG170&amp;"; "&amp;AH170&amp;"; "&amp;AI170&amp;"; "&amp;AJ170</f>
        <v/>
      </c>
    </row>
    <row r="171">
      <c r="A171" s="11" t="inlineStr">
        <is>
          <t>T0805-G04-CIE</t>
        </is>
      </c>
      <c r="B171" s="11" t="n">
        <v>4</v>
      </c>
      <c r="C171" s="11" t="inlineStr">
        <is>
          <t>Ciencias</t>
        </is>
      </c>
      <c r="D171" s="11" t="inlineStr">
        <is>
          <t>Matriz_Ciencias_4to_Grado_U1_U6.xlsx</t>
        </is>
      </c>
      <c r="E171" s="11" t="inlineStr">
        <is>
          <t>Unidad 3 - Naturaleza y sus int</t>
        </is>
      </c>
      <c r="F171" s="11" t="n">
        <v>10</v>
      </c>
      <c r="G171" s="11" t="inlineStr">
        <is>
          <t>3. Naturaleza y sus interacciones.</t>
        </is>
      </c>
      <c r="H171" s="11" t="inlineStr">
        <is>
          <t>Ecosistemas.</t>
        </is>
      </c>
      <c r="I171" s="38" t="inlineStr">
        <is>
          <t>3.8. Indagación de los conceptos de hábitat y nicho ecológico.</t>
        </is>
      </c>
      <c r="J171" s="11" t="inlineStr">
        <is>
          <t>T4_27</t>
        </is>
      </c>
      <c r="K171" s="11" t="inlineStr">
        <is>
          <t>T4_27-B4.1</t>
        </is>
      </c>
      <c r="L171" s="11" t="inlineStr">
        <is>
          <t>T4_27-B4.2</t>
        </is>
      </c>
      <c r="M171" s="11">
        <f>IF(K171="FUERA","Fuera del marco",IF(K171="N/A","Sin marco",IFERROR(INDEX('Datos - Catálogo TIMSS'!$C$5:$C$107,MATCH(K171,'Datos - Catálogo TIMSS'!$A$5:$A$107,0)),"Pendiente de clasificar")))</f>
        <v/>
      </c>
      <c r="N171" s="11">
        <f>IF(K171="FUERA","Fuera del marco",IF(K171="N/A","Sin marco",IFERROR(INDEX('Datos - Catálogo TIMSS'!$F$5:$F$107,MATCH(K171,'Datos - Catálogo TIMSS'!$A$5:$A$107,0)),"Pendiente de clasificar")))</f>
        <v/>
      </c>
      <c r="O171" s="11">
        <f>IF(L171="","",IFERROR(INDEX('Datos - Catálogo TIMSS'!$C$5:$C$107,MATCH(L171,'Datos - Catálogo TIMSS'!$A$5:$A$107,0)),"?"))</f>
        <v/>
      </c>
      <c r="P171" s="11" t="inlineStr">
        <is>
          <t>media</t>
        </is>
      </c>
      <c r="Q171" s="38" t="inlineStr">
        <is>
          <t>Hábitat relaciona animal con ecosistema; nicho, su papel</t>
        </is>
      </c>
      <c r="R171" s="38" t="inlineStr">
        <is>
          <t>Conocer: definir y diferenciar</t>
        </is>
      </c>
      <c r="S171" s="39">
        <f>IFERROR(ISNUMBER(SEARCH("Conocer",$R171))/(ISNUMBER(SEARCH("Conocer",$R171))+ISNUMBER(SEARCH("Aplicar",$R171))+ISNUMBER(SEARCH("Razonar",$R171))),0)</f>
        <v/>
      </c>
      <c r="T171" s="39">
        <f>IFERROR(ISNUMBER(SEARCH("Aplicar",$R171))/(ISNUMBER(SEARCH("Conocer",$R171))+ISNUMBER(SEARCH("Aplicar",$R171))+ISNUMBER(SEARCH("Razonar",$R171))),0)</f>
        <v/>
      </c>
      <c r="U171" s="39">
        <f>IFERROR(ISNUMBER(SEARCH("Razonar",$R171))/(ISNUMBER(SEARCH("Conocer",$R171))+ISNUMBER(SEARCH("Aplicar",$R171))+ISNUMBER(SEARCH("Razonar",$R171))),0)</f>
        <v/>
      </c>
      <c r="V171" s="11" t="inlineStr">
        <is>
          <t>4°</t>
        </is>
      </c>
      <c r="W171" s="11" t="inlineStr">
        <is>
          <t>Ciclo 2°–4°</t>
        </is>
      </c>
      <c r="X171" s="11">
        <f>IF(OR(IFERROR(INDEX('Datos - Catálogo TIMSS'!$I$5:$I$107,MATCH(K171,'Datos - Catálogo TIMSS'!$A$5:$A$107,0)),"No")="Sí",IFERROR(INDEX('Datos - Catálogo TIMSS'!$I$5:$I$107,MATCH(L171,'Datos - Catálogo TIMSS'!$A$5:$A$107,0)),"No")="Sí"),1,0)</f>
        <v/>
      </c>
      <c r="Y171" s="11">
        <f>IF(IFERROR(INDEX('Datos - Catálogo TIMSS'!$J$5:$J$107,MATCH(K171,'Datos - Catálogo TIMSS'!$A$5:$A$107,0)),"No")="Sí",1,0)</f>
        <v/>
      </c>
      <c r="Z171" s="11">
        <f>IF(IFERROR(INDEX('Datos - Catálogo TIMSS'!$J$5:$J$107,MATCH(L171,'Datos - Catálogo TIMSS'!$A$5:$A$107,0)),"No")="Sí",1,0)</f>
        <v/>
      </c>
      <c r="AA171" s="11" t="inlineStr">
        <is>
          <t>T4-V4.1</t>
        </is>
      </c>
      <c r="AB171" s="11" t="inlineStr">
        <is>
          <t>T4-V3.1</t>
        </is>
      </c>
      <c r="AC171" s="11">
        <f>IF(AA171="FUERA","Fuera del marco",IF(AA171="N/A","Sin marco",IFERROR(INDEX('Datos - TIMSS 2023'!$C$5:$C$105,MATCH(AA171,'Datos - TIMSS 2023'!$A$5:$A$105,0)),"Pendiente de clasificar")))</f>
        <v/>
      </c>
      <c r="AD171" s="11" t="inlineStr">
        <is>
          <t>1. Explicar fenómenos científicamente</t>
        </is>
      </c>
      <c r="AE171" s="11">
        <f>IF(AD171="","",IF(LEFT(AD171,1)="1","C1",IF(LEFT(AD171,1)="2","C2",IF(LEFT(AD171,1)="3","C3",""))))</f>
        <v/>
      </c>
      <c r="AF171" s="11" t="inlineStr">
        <is>
          <t>E1</t>
        </is>
      </c>
      <c r="AG171" s="11" t="inlineStr">
        <is>
          <t>E5</t>
        </is>
      </c>
      <c r="AH171" s="11" t="inlineStr">
        <is>
          <t>E1</t>
        </is>
      </c>
      <c r="AI171" s="11" t="inlineStr">
        <is>
          <t>D4</t>
        </is>
      </c>
      <c r="AJ171" s="11" t="inlineStr">
        <is>
          <t>E1</t>
        </is>
      </c>
      <c r="AK171" s="11" t="n"/>
      <c r="AL171" s="11" t="n"/>
      <c r="AM171" s="11" t="n"/>
      <c r="AN171" s="11" t="n"/>
      <c r="AO171" s="11" t="n"/>
      <c r="AP171" s="11" t="n"/>
      <c r="AQ171" s="11" t="n"/>
      <c r="AR171" s="11" t="n"/>
      <c r="AS171" s="11" t="n"/>
      <c r="AT171" s="11" t="n"/>
      <c r="AU171" s="11" t="n"/>
      <c r="AV171" s="11" t="n"/>
      <c r="AW171" s="11">
        <f>AF171&amp;"; "&amp;AG171&amp;"; "&amp;AH171&amp;"; "&amp;AI171&amp;"; "&amp;AJ171</f>
        <v/>
      </c>
    </row>
    <row r="172">
      <c r="A172" s="11" t="inlineStr">
        <is>
          <t>T0806-G04-CIE</t>
        </is>
      </c>
      <c r="B172" s="11" t="n">
        <v>4</v>
      </c>
      <c r="C172" s="11" t="inlineStr">
        <is>
          <t>Ciencias</t>
        </is>
      </c>
      <c r="D172" s="11" t="inlineStr">
        <is>
          <t>Matriz_Ciencias_4to_Grado_U1_U6.xlsx</t>
        </is>
      </c>
      <c r="E172" s="11" t="inlineStr">
        <is>
          <t>Unidad 3 - Naturaleza y sus int</t>
        </is>
      </c>
      <c r="F172" s="11" t="n">
        <v>11</v>
      </c>
      <c r="G172" s="11" t="inlineStr">
        <is>
          <t>3. Naturaleza y sus interacciones.</t>
        </is>
      </c>
      <c r="H172" s="11" t="inlineStr">
        <is>
          <t>Fenómenos hidrometeorológicos.</t>
        </is>
      </c>
      <c r="I172" s="38" t="inlineStr">
        <is>
          <t>3.9. Indagación sobre la diversidad de fenómenos naturales de tipo hidrometeorológico.</t>
        </is>
      </c>
      <c r="J172" s="11" t="inlineStr">
        <is>
          <t>T4_27</t>
        </is>
      </c>
      <c r="K172" s="11" t="inlineStr">
        <is>
          <t>T4_27-E2.1</t>
        </is>
      </c>
      <c r="L172" s="11" t="inlineStr"/>
      <c r="M172" s="11">
        <f>IF(K172="FUERA","Fuera del marco",IF(K172="N/A","Sin marco",IFERROR(INDEX('Datos - Catálogo TIMSS'!$C$5:$C$107,MATCH(K172,'Datos - Catálogo TIMSS'!$A$5:$A$107,0)),"Pendiente de clasificar")))</f>
        <v/>
      </c>
      <c r="N172" s="11">
        <f>IF(K172="FUERA","Fuera del marco",IF(K172="N/A","Sin marco",IFERROR(INDEX('Datos - Catálogo TIMSS'!$F$5:$F$107,MATCH(K172,'Datos - Catálogo TIMSS'!$A$5:$A$107,0)),"Pendiente de clasificar")))</f>
        <v/>
      </c>
      <c r="O172" s="11">
        <f>IF(L172="","",IFERROR(INDEX('Datos - Catálogo TIMSS'!$C$5:$C$107,MATCH(L172,'Datos - Catálogo TIMSS'!$A$5:$A$107,0)),"?"))</f>
        <v/>
      </c>
      <c r="P172" s="11" t="inlineStr">
        <is>
          <t>media</t>
        </is>
      </c>
      <c r="Q172" s="38" t="inlineStr">
        <is>
          <t>Registro de nubes y precipitación: variación del tiempo</t>
        </is>
      </c>
      <c r="R172" s="38" t="inlineStr">
        <is>
          <t>Conocer: dar ejemplos. Aplicar: observar y registrar</t>
        </is>
      </c>
      <c r="S172" s="39">
        <f>IFERROR(ISNUMBER(SEARCH("Conocer",$R172))/(ISNUMBER(SEARCH("Conocer",$R172))+ISNUMBER(SEARCH("Aplicar",$R172))+ISNUMBER(SEARCH("Razonar",$R172))),0)</f>
        <v/>
      </c>
      <c r="T172" s="39">
        <f>IFERROR(ISNUMBER(SEARCH("Aplicar",$R172))/(ISNUMBER(SEARCH("Conocer",$R172))+ISNUMBER(SEARCH("Aplicar",$R172))+ISNUMBER(SEARCH("Razonar",$R172))),0)</f>
        <v/>
      </c>
      <c r="U172" s="39">
        <f>IFERROR(ISNUMBER(SEARCH("Razonar",$R172))/(ISNUMBER(SEARCH("Conocer",$R172))+ISNUMBER(SEARCH("Aplicar",$R172))+ISNUMBER(SEARCH("Razonar",$R172))),0)</f>
        <v/>
      </c>
      <c r="V172" s="11" t="inlineStr">
        <is>
          <t>4°</t>
        </is>
      </c>
      <c r="W172" s="11" t="inlineStr">
        <is>
          <t>Ciclo 2°–4°</t>
        </is>
      </c>
      <c r="X172" s="11">
        <f>IF(OR(IFERROR(INDEX('Datos - Catálogo TIMSS'!$I$5:$I$107,MATCH(K172,'Datos - Catálogo TIMSS'!$A$5:$A$107,0)),"No")="Sí",IFERROR(INDEX('Datos - Catálogo TIMSS'!$I$5:$I$107,MATCH(L172,'Datos - Catálogo TIMSS'!$A$5:$A$107,0)),"No")="Sí"),1,0)</f>
        <v/>
      </c>
      <c r="Y172" s="11">
        <f>IF(IFERROR(INDEX('Datos - Catálogo TIMSS'!$J$5:$J$107,MATCH(K172,'Datos - Catálogo TIMSS'!$A$5:$A$107,0)),"No")="Sí",1,0)</f>
        <v/>
      </c>
      <c r="Z172" s="11">
        <f>IF(IFERROR(INDEX('Datos - Catálogo TIMSS'!$J$5:$J$107,MATCH(L172,'Datos - Catálogo TIMSS'!$A$5:$A$107,0)),"No")="Sí",1,0)</f>
        <v/>
      </c>
      <c r="AA172" s="11" t="inlineStr">
        <is>
          <t>T4-T2.1</t>
        </is>
      </c>
      <c r="AB172" s="11" t="inlineStr"/>
      <c r="AC172" s="11">
        <f>IF(AA172="FUERA","Fuera del marco",IF(AA172="N/A","Sin marco",IFERROR(INDEX('Datos - TIMSS 2023'!$C$5:$C$105,MATCH(AA172,'Datos - TIMSS 2023'!$A$5:$A$105,0)),"Pendiente de clasificar")))</f>
        <v/>
      </c>
      <c r="AD172" s="11" t="inlineStr">
        <is>
          <t>1. Explicar fenómenos científicamente</t>
        </is>
      </c>
      <c r="AE172" s="11">
        <f>IF(AD172="","",IF(LEFT(AD172,1)="1","C1",IF(LEFT(AD172,1)="2","C2",IF(LEFT(AD172,1)="3","C3",""))))</f>
        <v/>
      </c>
      <c r="AF172" s="11" t="inlineStr">
        <is>
          <t>E1</t>
        </is>
      </c>
      <c r="AG172" s="11" t="inlineStr">
        <is>
          <t>D1</t>
        </is>
      </c>
      <c r="AH172" s="11" t="inlineStr">
        <is>
          <t>E1</t>
        </is>
      </c>
      <c r="AI172" s="11" t="inlineStr">
        <is>
          <t>D4</t>
        </is>
      </c>
      <c r="AJ172" s="11" t="inlineStr">
        <is>
          <t>E1</t>
        </is>
      </c>
      <c r="AK172" s="11" t="n"/>
      <c r="AL172" s="11" t="n"/>
      <c r="AM172" s="11" t="n"/>
      <c r="AN172" s="11" t="n"/>
      <c r="AO172" s="11" t="n"/>
      <c r="AP172" s="11" t="n"/>
      <c r="AQ172" s="11" t="n"/>
      <c r="AR172" s="11" t="n"/>
      <c r="AS172" s="11" t="n"/>
      <c r="AT172" s="11" t="n"/>
      <c r="AU172" s="11" t="n"/>
      <c r="AV172" s="11" t="n"/>
      <c r="AW172" s="11">
        <f>AF172&amp;"; "&amp;AG172&amp;"; "&amp;AH172&amp;"; "&amp;AI172&amp;"; "&amp;AJ172</f>
        <v/>
      </c>
    </row>
    <row r="173">
      <c r="A173" s="11" t="inlineStr">
        <is>
          <t>T0807-G04-CIE</t>
        </is>
      </c>
      <c r="B173" s="11" t="n">
        <v>4</v>
      </c>
      <c r="C173" s="11" t="inlineStr">
        <is>
          <t>Ciencias</t>
        </is>
      </c>
      <c r="D173" s="11" t="inlineStr">
        <is>
          <t>Matriz_Ciencias_4to_Grado_U1_U6.xlsx</t>
        </is>
      </c>
      <c r="E173" s="11" t="inlineStr">
        <is>
          <t>Unidad 3 - Naturaleza y sus int</t>
        </is>
      </c>
      <c r="F173" s="11" t="n">
        <v>12</v>
      </c>
      <c r="G173" s="11" t="inlineStr">
        <is>
          <t>3. Naturaleza y sus interacciones.</t>
        </is>
      </c>
      <c r="H173" s="11" t="inlineStr">
        <is>
          <t>Fenómenos hidrometeorológicos.</t>
        </is>
      </c>
      <c r="I173" s="38" t="inlineStr">
        <is>
          <t>3.10. Explicación del origen y comportamiento de ciclones y tormentas.</t>
        </is>
      </c>
      <c r="J173" s="11" t="inlineStr">
        <is>
          <t>T4_27</t>
        </is>
      </c>
      <c r="K173" s="11" t="inlineStr">
        <is>
          <t>T4_27-E2.1</t>
        </is>
      </c>
      <c r="L173" s="11" t="inlineStr"/>
      <c r="M173" s="11">
        <f>IF(K173="FUERA","Fuera del marco",IF(K173="N/A","Sin marco",IFERROR(INDEX('Datos - Catálogo TIMSS'!$C$5:$C$107,MATCH(K173,'Datos - Catálogo TIMSS'!$A$5:$A$107,0)),"Pendiente de clasificar")))</f>
        <v/>
      </c>
      <c r="N173" s="11">
        <f>IF(K173="FUERA","Fuera del marco",IF(K173="N/A","Sin marco",IFERROR(INDEX('Datos - Catálogo TIMSS'!$F$5:$F$107,MATCH(K173,'Datos - Catálogo TIMSS'!$A$5:$A$107,0)),"Pendiente de clasificar")))</f>
        <v/>
      </c>
      <c r="O173" s="11">
        <f>IF(L173="","",IFERROR(INDEX('Datos - Catálogo TIMSS'!$C$5:$C$107,MATCH(L173,'Datos - Catálogo TIMSS'!$A$5:$A$107,0)),"?"))</f>
        <v/>
      </c>
      <c r="P173" s="11" t="inlineStr">
        <is>
          <t>baja</t>
        </is>
      </c>
      <c r="Q173" s="38" t="inlineStr">
        <is>
          <t>Ciclones y tormentas exceden objetivo de tiempo; incluye gestión de riesgo</t>
        </is>
      </c>
      <c r="R173" s="38" t="inlineStr">
        <is>
          <t>Conocer: describir procesos. Razonar: evaluar información</t>
        </is>
      </c>
      <c r="S173" s="39">
        <f>IFERROR(ISNUMBER(SEARCH("Conocer",$R173))/(ISNUMBER(SEARCH("Conocer",$R173))+ISNUMBER(SEARCH("Aplicar",$R173))+ISNUMBER(SEARCH("Razonar",$R173))),0)</f>
        <v/>
      </c>
      <c r="T173" s="39">
        <f>IFERROR(ISNUMBER(SEARCH("Aplicar",$R173))/(ISNUMBER(SEARCH("Conocer",$R173))+ISNUMBER(SEARCH("Aplicar",$R173))+ISNUMBER(SEARCH("Razonar",$R173))),0)</f>
        <v/>
      </c>
      <c r="U173" s="39">
        <f>IFERROR(ISNUMBER(SEARCH("Razonar",$R173))/(ISNUMBER(SEARCH("Conocer",$R173))+ISNUMBER(SEARCH("Aplicar",$R173))+ISNUMBER(SEARCH("Razonar",$R173))),0)</f>
        <v/>
      </c>
      <c r="V173" s="11" t="inlineStr">
        <is>
          <t>4°</t>
        </is>
      </c>
      <c r="W173" s="11" t="inlineStr">
        <is>
          <t>Ciclo 2°–4°</t>
        </is>
      </c>
      <c r="X173" s="11">
        <f>IF(OR(IFERROR(INDEX('Datos - Catálogo TIMSS'!$I$5:$I$107,MATCH(K173,'Datos - Catálogo TIMSS'!$A$5:$A$107,0)),"No")="Sí",IFERROR(INDEX('Datos - Catálogo TIMSS'!$I$5:$I$107,MATCH(L173,'Datos - Catálogo TIMSS'!$A$5:$A$107,0)),"No")="Sí"),1,0)</f>
        <v/>
      </c>
      <c r="Y173" s="11">
        <f>IF(IFERROR(INDEX('Datos - Catálogo TIMSS'!$J$5:$J$107,MATCH(K173,'Datos - Catálogo TIMSS'!$A$5:$A$107,0)),"No")="Sí",1,0)</f>
        <v/>
      </c>
      <c r="Z173" s="11">
        <f>IF(IFERROR(INDEX('Datos - Catálogo TIMSS'!$J$5:$J$107,MATCH(L173,'Datos - Catálogo TIMSS'!$A$5:$A$107,0)),"No")="Sí",1,0)</f>
        <v/>
      </c>
      <c r="AA173" s="11" t="inlineStr">
        <is>
          <t>T4-T2.1</t>
        </is>
      </c>
      <c r="AB173" s="11" t="inlineStr"/>
      <c r="AC173" s="11">
        <f>IF(AA173="FUERA","Fuera del marco",IF(AA173="N/A","Sin marco",IFERROR(INDEX('Datos - TIMSS 2023'!$C$5:$C$105,MATCH(AA173,'Datos - TIMSS 2023'!$A$5:$A$105,0)),"Pendiente de clasificar")))</f>
        <v/>
      </c>
      <c r="AD173" s="11" t="inlineStr">
        <is>
          <t>1. Explicar fenómenos científicamente</t>
        </is>
      </c>
      <c r="AE173" s="11">
        <f>IF(AD173="","",IF(LEFT(AD173,1)="1","C1",IF(LEFT(AD173,1)="2","C2",IF(LEFT(AD173,1)="3","C3",""))))</f>
        <v/>
      </c>
      <c r="AF173" s="11" t="inlineStr">
        <is>
          <t>E6</t>
        </is>
      </c>
      <c r="AG173" s="11" t="inlineStr">
        <is>
          <t>E5</t>
        </is>
      </c>
      <c r="AH173" s="11" t="inlineStr">
        <is>
          <t>E1</t>
        </is>
      </c>
      <c r="AI173" s="11" t="inlineStr">
        <is>
          <t>I2</t>
        </is>
      </c>
      <c r="AJ173" s="11" t="inlineStr">
        <is>
          <t>E6</t>
        </is>
      </c>
      <c r="AK173" s="11" t="n"/>
      <c r="AL173" s="11" t="n"/>
      <c r="AM173" s="11" t="n"/>
      <c r="AN173" s="11" t="n"/>
      <c r="AO173" s="11" t="n"/>
      <c r="AP173" s="11" t="n"/>
      <c r="AQ173" s="11" t="n"/>
      <c r="AR173" s="11" t="n"/>
      <c r="AS173" s="11" t="n"/>
      <c r="AT173" s="11" t="n"/>
      <c r="AU173" s="11" t="n"/>
      <c r="AV173" s="11" t="n"/>
      <c r="AW173" s="11">
        <f>AF173&amp;"; "&amp;AG173&amp;"; "&amp;AH173&amp;"; "&amp;AI173&amp;"; "&amp;AJ173</f>
        <v/>
      </c>
    </row>
    <row r="174">
      <c r="A174" s="11" t="inlineStr">
        <is>
          <t>T0808-G04-CIE</t>
        </is>
      </c>
      <c r="B174" s="11" t="n">
        <v>4</v>
      </c>
      <c r="C174" s="11" t="inlineStr">
        <is>
          <t>Ciencias</t>
        </is>
      </c>
      <c r="D174" s="11" t="inlineStr">
        <is>
          <t>Matriz_Ciencias_4to_Grado_U1_U6.xlsx</t>
        </is>
      </c>
      <c r="E174" s="11" t="inlineStr">
        <is>
          <t>Unidad 3 - Naturaleza y sus int</t>
        </is>
      </c>
      <c r="F174" s="11" t="n">
        <v>13</v>
      </c>
      <c r="G174" s="11" t="inlineStr">
        <is>
          <t>3. Naturaleza y sus interacciones.</t>
        </is>
      </c>
      <c r="H174" s="11" t="inlineStr">
        <is>
          <t>Fenómenos hidrometeorológicos.</t>
        </is>
      </c>
      <c r="I174" s="38" t="inlineStr">
        <is>
          <t>3.11. Descripción de las características de los climas tropicales</t>
        </is>
      </c>
      <c r="J174" s="11" t="inlineStr">
        <is>
          <t>T4_27</t>
        </is>
      </c>
      <c r="K174" s="11" t="inlineStr">
        <is>
          <t>T4_27-E2.1</t>
        </is>
      </c>
      <c r="L174" s="11" t="inlineStr"/>
      <c r="M174" s="11">
        <f>IF(K174="FUERA","Fuera del marco",IF(K174="N/A","Sin marco",IFERROR(INDEX('Datos - Catálogo TIMSS'!$C$5:$C$107,MATCH(K174,'Datos - Catálogo TIMSS'!$A$5:$A$107,0)),"Pendiente de clasificar")))</f>
        <v/>
      </c>
      <c r="N174" s="11">
        <f>IF(K174="FUERA","Fuera del marco",IF(K174="N/A","Sin marco",IFERROR(INDEX('Datos - Catálogo TIMSS'!$F$5:$F$107,MATCH(K174,'Datos - Catálogo TIMSS'!$A$5:$A$107,0)),"Pendiente de clasificar")))</f>
        <v/>
      </c>
      <c r="O174" s="11">
        <f>IF(L174="","",IFERROR(INDEX('Datos - Catálogo TIMSS'!$C$5:$C$107,MATCH(L174,'Datos - Catálogo TIMSS'!$A$5:$A$107,0)),"?"))</f>
        <v/>
      </c>
      <c r="P174" s="11" t="inlineStr">
        <is>
          <t>alta</t>
        </is>
      </c>
      <c r="Q174" s="38" t="inlineStr">
        <is>
          <t>Climograma: temperatura y lluvia estacionales del clima tropical</t>
        </is>
      </c>
      <c r="R174" s="38" t="inlineStr">
        <is>
          <t>Aplicar: interpretar gráficas</t>
        </is>
      </c>
      <c r="S174" s="39">
        <f>IFERROR(ISNUMBER(SEARCH("Conocer",$R174))/(ISNUMBER(SEARCH("Conocer",$R174))+ISNUMBER(SEARCH("Aplicar",$R174))+ISNUMBER(SEARCH("Razonar",$R174))),0)</f>
        <v/>
      </c>
      <c r="T174" s="39">
        <f>IFERROR(ISNUMBER(SEARCH("Aplicar",$R174))/(ISNUMBER(SEARCH("Conocer",$R174))+ISNUMBER(SEARCH("Aplicar",$R174))+ISNUMBER(SEARCH("Razonar",$R174))),0)</f>
        <v/>
      </c>
      <c r="U174" s="39">
        <f>IFERROR(ISNUMBER(SEARCH("Razonar",$R174))/(ISNUMBER(SEARCH("Conocer",$R174))+ISNUMBER(SEARCH("Aplicar",$R174))+ISNUMBER(SEARCH("Razonar",$R174))),0)</f>
        <v/>
      </c>
      <c r="V174" s="11" t="inlineStr">
        <is>
          <t>4°</t>
        </is>
      </c>
      <c r="W174" s="11" t="inlineStr">
        <is>
          <t>Ciclo 2°–4°</t>
        </is>
      </c>
      <c r="X174" s="11">
        <f>IF(OR(IFERROR(INDEX('Datos - Catálogo TIMSS'!$I$5:$I$107,MATCH(K174,'Datos - Catálogo TIMSS'!$A$5:$A$107,0)),"No")="Sí",IFERROR(INDEX('Datos - Catálogo TIMSS'!$I$5:$I$107,MATCH(L174,'Datos - Catálogo TIMSS'!$A$5:$A$107,0)),"No")="Sí"),1,0)</f>
        <v/>
      </c>
      <c r="Y174" s="11">
        <f>IF(IFERROR(INDEX('Datos - Catálogo TIMSS'!$J$5:$J$107,MATCH(K174,'Datos - Catálogo TIMSS'!$A$5:$A$107,0)),"No")="Sí",1,0)</f>
        <v/>
      </c>
      <c r="Z174" s="11">
        <f>IF(IFERROR(INDEX('Datos - Catálogo TIMSS'!$J$5:$J$107,MATCH(L174,'Datos - Catálogo TIMSS'!$A$5:$A$107,0)),"No")="Sí",1,0)</f>
        <v/>
      </c>
      <c r="AA174" s="11" t="inlineStr">
        <is>
          <t>T4-T2.3</t>
        </is>
      </c>
      <c r="AB174" s="11" t="inlineStr">
        <is>
          <t>T4-T2.2</t>
        </is>
      </c>
      <c r="AC174" s="11">
        <f>IF(AA174="FUERA","Fuera del marco",IF(AA174="N/A","Sin marco",IFERROR(INDEX('Datos - TIMSS 2023'!$C$5:$C$105,MATCH(AA174,'Datos - TIMSS 2023'!$A$5:$A$105,0)),"Pendiente de clasificar")))</f>
        <v/>
      </c>
      <c r="AD174" s="11" t="inlineStr">
        <is>
          <t>2. Construir y evaluar diseños para la indagación científica e interpretar datos y evidencia de forma crítica</t>
        </is>
      </c>
      <c r="AE174" s="11">
        <f>IF(AD174="","",IF(LEFT(AD174,1)="1","C1",IF(LEFT(AD174,1)="2","C2",IF(LEFT(AD174,1)="3","C3",""))))</f>
        <v/>
      </c>
      <c r="AF174" s="11" t="inlineStr">
        <is>
          <t>E1</t>
        </is>
      </c>
      <c r="AG174" s="11" t="inlineStr">
        <is>
          <t>D1</t>
        </is>
      </c>
      <c r="AH174" s="11" t="inlineStr">
        <is>
          <t>E2</t>
        </is>
      </c>
      <c r="AI174" s="11" t="inlineStr">
        <is>
          <t>D4</t>
        </is>
      </c>
      <c r="AJ174" s="11" t="inlineStr">
        <is>
          <t>E6</t>
        </is>
      </c>
      <c r="AK174" s="11" t="n"/>
      <c r="AL174" s="11" t="n"/>
      <c r="AM174" s="11" t="n"/>
      <c r="AN174" s="11" t="n"/>
      <c r="AO174" s="11" t="n"/>
      <c r="AP174" s="11" t="n"/>
      <c r="AQ174" s="11" t="n"/>
      <c r="AR174" s="11" t="n"/>
      <c r="AS174" s="11" t="n"/>
      <c r="AT174" s="11" t="n"/>
      <c r="AU174" s="11" t="n"/>
      <c r="AV174" s="11" t="n"/>
      <c r="AW174" s="11">
        <f>AF174&amp;"; "&amp;AG174&amp;"; "&amp;AH174&amp;"; "&amp;AI174&amp;"; "&amp;AJ174</f>
        <v/>
      </c>
    </row>
    <row r="175">
      <c r="A175" s="11" t="inlineStr">
        <is>
          <t>T0809-G04-CIE</t>
        </is>
      </c>
      <c r="B175" s="11" t="n">
        <v>4</v>
      </c>
      <c r="C175" s="11" t="inlineStr">
        <is>
          <t>Ciencias</t>
        </is>
      </c>
      <c r="D175" s="11" t="inlineStr">
        <is>
          <t>Matriz_Ciencias_4to_Grado_U1_U6.xlsx</t>
        </is>
      </c>
      <c r="E175" s="11" t="inlineStr">
        <is>
          <t>Unidad 3 - Naturaleza y sus int</t>
        </is>
      </c>
      <c r="F175" s="11" t="n">
        <v>14</v>
      </c>
      <c r="G175" s="11" t="inlineStr">
        <is>
          <t>3. Naturaleza y sus interacciones.</t>
        </is>
      </c>
      <c r="H175" s="11" t="inlineStr">
        <is>
          <t>Fenómenos geológicos.</t>
        </is>
      </c>
      <c r="I175" s="38" t="inlineStr">
        <is>
          <t>3.12. Indagación de la diversidad de fenómenos geológicos.</t>
        </is>
      </c>
      <c r="J175" s="11" t="inlineStr">
        <is>
          <t>T4_27</t>
        </is>
      </c>
      <c r="K175" s="11" t="inlineStr">
        <is>
          <t>T4_27-E1.2</t>
        </is>
      </c>
      <c r="L175" s="11" t="inlineStr"/>
      <c r="M175" s="11">
        <f>IF(K175="FUERA","Fuera del marco",IF(K175="N/A","Sin marco",IFERROR(INDEX('Datos - Catálogo TIMSS'!$C$5:$C$107,MATCH(K175,'Datos - Catálogo TIMSS'!$A$5:$A$107,0)),"Pendiente de clasificar")))</f>
        <v/>
      </c>
      <c r="N175" s="11">
        <f>IF(K175="FUERA","Fuera del marco",IF(K175="N/A","Sin marco",IFERROR(INDEX('Datos - Catálogo TIMSS'!$F$5:$F$107,MATCH(K175,'Datos - Catálogo TIMSS'!$A$5:$A$107,0)),"Pendiente de clasificar")))</f>
        <v/>
      </c>
      <c r="O175" s="11">
        <f>IF(L175="","",IFERROR(INDEX('Datos - Catálogo TIMSS'!$C$5:$C$107,MATCH(L175,'Datos - Catálogo TIMSS'!$A$5:$A$107,0)),"?"))</f>
        <v/>
      </c>
      <c r="P175" s="11" t="inlineStr">
        <is>
          <t>baja</t>
        </is>
      </c>
      <c r="Q175" s="38" t="inlineStr">
        <is>
          <t>Sismos y erupciones; objetivo 2027 enfatiza cambios lentos del paisaje</t>
        </is>
      </c>
      <c r="R175" s="38" t="inlineStr">
        <is>
          <t>Conocer: dar ejemplos. Aplicar: clasificar</t>
        </is>
      </c>
      <c r="S175" s="39">
        <f>IFERROR(ISNUMBER(SEARCH("Conocer",$R175))/(ISNUMBER(SEARCH("Conocer",$R175))+ISNUMBER(SEARCH("Aplicar",$R175))+ISNUMBER(SEARCH("Razonar",$R175))),0)</f>
        <v/>
      </c>
      <c r="T175" s="39">
        <f>IFERROR(ISNUMBER(SEARCH("Aplicar",$R175))/(ISNUMBER(SEARCH("Conocer",$R175))+ISNUMBER(SEARCH("Aplicar",$R175))+ISNUMBER(SEARCH("Razonar",$R175))),0)</f>
        <v/>
      </c>
      <c r="U175" s="39">
        <f>IFERROR(ISNUMBER(SEARCH("Razonar",$R175))/(ISNUMBER(SEARCH("Conocer",$R175))+ISNUMBER(SEARCH("Aplicar",$R175))+ISNUMBER(SEARCH("Razonar",$R175))),0)</f>
        <v/>
      </c>
      <c r="V175" s="11" t="inlineStr">
        <is>
          <t>4°</t>
        </is>
      </c>
      <c r="W175" s="11" t="inlineStr">
        <is>
          <t>Ciclo 2°–4°</t>
        </is>
      </c>
      <c r="X175" s="11">
        <f>IF(OR(IFERROR(INDEX('Datos - Catálogo TIMSS'!$I$5:$I$107,MATCH(K175,'Datos - Catálogo TIMSS'!$A$5:$A$107,0)),"No")="Sí",IFERROR(INDEX('Datos - Catálogo TIMSS'!$I$5:$I$107,MATCH(L175,'Datos - Catálogo TIMSS'!$A$5:$A$107,0)),"No")="Sí"),1,0)</f>
        <v/>
      </c>
      <c r="Y175" s="11">
        <f>IF(IFERROR(INDEX('Datos - Catálogo TIMSS'!$J$5:$J$107,MATCH(K175,'Datos - Catálogo TIMSS'!$A$5:$A$107,0)),"No")="Sí",1,0)</f>
        <v/>
      </c>
      <c r="Z175" s="11">
        <f>IF(IFERROR(INDEX('Datos - Catálogo TIMSS'!$J$5:$J$107,MATCH(L175,'Datos - Catálogo TIMSS'!$A$5:$A$107,0)),"No")="Sí",1,0)</f>
        <v/>
      </c>
      <c r="AA175" s="11" t="inlineStr">
        <is>
          <t>T4-T1.3</t>
        </is>
      </c>
      <c r="AB175" s="11" t="inlineStr"/>
      <c r="AC175" s="11">
        <f>IF(AA175="FUERA","Fuera del marco",IF(AA175="N/A","Sin marco",IFERROR(INDEX('Datos - TIMSS 2023'!$C$5:$C$105,MATCH(AA175,'Datos - TIMSS 2023'!$A$5:$A$105,0)),"Pendiente de clasificar")))</f>
        <v/>
      </c>
      <c r="AD175" s="11" t="inlineStr">
        <is>
          <t>1. Explicar fenómenos científicamente</t>
        </is>
      </c>
      <c r="AE175" s="11">
        <f>IF(AD175="","",IF(LEFT(AD175,1)="1","C1",IF(LEFT(AD175,1)="2","C2",IF(LEFT(AD175,1)="3","C3",""))))</f>
        <v/>
      </c>
      <c r="AF175" s="11" t="inlineStr">
        <is>
          <t>E1</t>
        </is>
      </c>
      <c r="AG175" s="11" t="inlineStr">
        <is>
          <t>D1</t>
        </is>
      </c>
      <c r="AH175" s="11" t="inlineStr">
        <is>
          <t>E1</t>
        </is>
      </c>
      <c r="AI175" s="11" t="inlineStr">
        <is>
          <t>D4</t>
        </is>
      </c>
      <c r="AJ175" s="11" t="inlineStr">
        <is>
          <t>E1</t>
        </is>
      </c>
      <c r="AK175" s="11" t="n"/>
      <c r="AL175" s="11" t="n"/>
      <c r="AM175" s="11" t="n"/>
      <c r="AN175" s="11" t="n"/>
      <c r="AO175" s="11" t="n"/>
      <c r="AP175" s="11" t="n"/>
      <c r="AQ175" s="11" t="n"/>
      <c r="AR175" s="11" t="n"/>
      <c r="AS175" s="11" t="n"/>
      <c r="AT175" s="11" t="n"/>
      <c r="AU175" s="11" t="n"/>
      <c r="AV175" s="11" t="n"/>
      <c r="AW175" s="11">
        <f>AF175&amp;"; "&amp;AG175&amp;"; "&amp;AH175&amp;"; "&amp;AI175&amp;"; "&amp;AJ175</f>
        <v/>
      </c>
    </row>
    <row r="176">
      <c r="A176" s="11" t="inlineStr">
        <is>
          <t>T0810-G04-CIE</t>
        </is>
      </c>
      <c r="B176" s="11" t="n">
        <v>4</v>
      </c>
      <c r="C176" s="11" t="inlineStr">
        <is>
          <t>Ciencias</t>
        </is>
      </c>
      <c r="D176" s="11" t="inlineStr">
        <is>
          <t>Matriz_Ciencias_4to_Grado_U1_U6.xlsx</t>
        </is>
      </c>
      <c r="E176" s="11" t="inlineStr">
        <is>
          <t>Unidad 3 - Naturaleza y sus int</t>
        </is>
      </c>
      <c r="F176" s="11" t="n">
        <v>15</v>
      </c>
      <c r="G176" s="11" t="inlineStr">
        <is>
          <t>3. Naturaleza y sus interacciones.</t>
        </is>
      </c>
      <c r="H176" s="11" t="inlineStr">
        <is>
          <t>Fenómenos geológicos.</t>
        </is>
      </c>
      <c r="I176" s="38" t="inlineStr">
        <is>
          <t>3.13. Simulación del origen y comportamiento de algunos fenómenos geológicos.</t>
        </is>
      </c>
      <c r="J176" s="11" t="inlineStr">
        <is>
          <t>T4_27</t>
        </is>
      </c>
      <c r="K176" s="11" t="inlineStr">
        <is>
          <t>T4_27-E1.2</t>
        </is>
      </c>
      <c r="L176" s="11" t="inlineStr"/>
      <c r="M176" s="11">
        <f>IF(K176="FUERA","Fuera del marco",IF(K176="N/A","Sin marco",IFERROR(INDEX('Datos - Catálogo TIMSS'!$C$5:$C$107,MATCH(K176,'Datos - Catálogo TIMSS'!$A$5:$A$107,0)),"Pendiente de clasificar")))</f>
        <v/>
      </c>
      <c r="N176" s="11">
        <f>IF(K176="FUERA","Fuera del marco",IF(K176="N/A","Sin marco",IFERROR(INDEX('Datos - Catálogo TIMSS'!$F$5:$F$107,MATCH(K176,'Datos - Catálogo TIMSS'!$A$5:$A$107,0)),"Pendiente de clasificar")))</f>
        <v/>
      </c>
      <c r="O176" s="11">
        <f>IF(L176="","",IFERROR(INDEX('Datos - Catálogo TIMSS'!$C$5:$C$107,MATCH(L176,'Datos - Catálogo TIMSS'!$A$5:$A$107,0)),"?"))</f>
        <v/>
      </c>
      <c r="P176" s="11" t="inlineStr">
        <is>
          <t>baja</t>
        </is>
      </c>
      <c r="Q176" s="38" t="inlineStr">
        <is>
          <t>Simula fenómenos geológicos; objetivo 2027 solo cubre parcialmente</t>
        </is>
      </c>
      <c r="R176" s="38" t="inlineStr">
        <is>
          <t>Aplicar: usar modelos. Razonar: evaluar un modelo</t>
        </is>
      </c>
      <c r="S176" s="39">
        <f>IFERROR(ISNUMBER(SEARCH("Conocer",$R176))/(ISNUMBER(SEARCH("Conocer",$R176))+ISNUMBER(SEARCH("Aplicar",$R176))+ISNUMBER(SEARCH("Razonar",$R176))),0)</f>
        <v/>
      </c>
      <c r="T176" s="39">
        <f>IFERROR(ISNUMBER(SEARCH("Aplicar",$R176))/(ISNUMBER(SEARCH("Conocer",$R176))+ISNUMBER(SEARCH("Aplicar",$R176))+ISNUMBER(SEARCH("Razonar",$R176))),0)</f>
        <v/>
      </c>
      <c r="U176" s="39">
        <f>IFERROR(ISNUMBER(SEARCH("Razonar",$R176))/(ISNUMBER(SEARCH("Conocer",$R176))+ISNUMBER(SEARCH("Aplicar",$R176))+ISNUMBER(SEARCH("Razonar",$R176))),0)</f>
        <v/>
      </c>
      <c r="V176" s="11" t="inlineStr">
        <is>
          <t>4°</t>
        </is>
      </c>
      <c r="W176" s="11" t="inlineStr">
        <is>
          <t>Ciclo 2°–4°</t>
        </is>
      </c>
      <c r="X176" s="11">
        <f>IF(OR(IFERROR(INDEX('Datos - Catálogo TIMSS'!$I$5:$I$107,MATCH(K176,'Datos - Catálogo TIMSS'!$A$5:$A$107,0)),"No")="Sí",IFERROR(INDEX('Datos - Catálogo TIMSS'!$I$5:$I$107,MATCH(L176,'Datos - Catálogo TIMSS'!$A$5:$A$107,0)),"No")="Sí"),1,0)</f>
        <v/>
      </c>
      <c r="Y176" s="11">
        <f>IF(IFERROR(INDEX('Datos - Catálogo TIMSS'!$J$5:$J$107,MATCH(K176,'Datos - Catálogo TIMSS'!$A$5:$A$107,0)),"No")="Sí",1,0)</f>
        <v/>
      </c>
      <c r="Z176" s="11">
        <f>IF(IFERROR(INDEX('Datos - Catálogo TIMSS'!$J$5:$J$107,MATCH(L176,'Datos - Catálogo TIMSS'!$A$5:$A$107,0)),"No")="Sí",1,0)</f>
        <v/>
      </c>
      <c r="AA176" s="11" t="inlineStr">
        <is>
          <t>T4-T1.3</t>
        </is>
      </c>
      <c r="AB176" s="11" t="inlineStr"/>
      <c r="AC176" s="11">
        <f>IF(AA176="FUERA","Fuera del marco",IF(AA176="N/A","Sin marco",IFERROR(INDEX('Datos - TIMSS 2023'!$C$5:$C$105,MATCH(AA176,'Datos - TIMSS 2023'!$A$5:$A$105,0)),"Pendiente de clasificar")))</f>
        <v/>
      </c>
      <c r="AD176" s="11" t="inlineStr">
        <is>
          <t>1. Explicar fenómenos científicamente</t>
        </is>
      </c>
      <c r="AE176" s="11">
        <f>IF(AD176="","",IF(LEFT(AD176,1)="1","C1",IF(LEFT(AD176,1)="2","C2",IF(LEFT(AD176,1)="3","C3",""))))</f>
        <v/>
      </c>
      <c r="AF176" s="11" t="inlineStr">
        <is>
          <t>E1</t>
        </is>
      </c>
      <c r="AG176" s="11" t="inlineStr">
        <is>
          <t>E5</t>
        </is>
      </c>
      <c r="AH176" s="11" t="inlineStr">
        <is>
          <t>E4</t>
        </is>
      </c>
      <c r="AI176" s="11" t="inlineStr">
        <is>
          <t>E4</t>
        </is>
      </c>
      <c r="AJ176" s="11" t="inlineStr">
        <is>
          <t>E3</t>
        </is>
      </c>
      <c r="AK176" s="11" t="n"/>
      <c r="AL176" s="11" t="n"/>
      <c r="AM176" s="11" t="n"/>
      <c r="AN176" s="11" t="n"/>
      <c r="AO176" s="11" t="n"/>
      <c r="AP176" s="11" t="n"/>
      <c r="AQ176" s="11" t="n"/>
      <c r="AR176" s="11" t="n"/>
      <c r="AS176" s="11" t="n"/>
      <c r="AT176" s="11" t="n"/>
      <c r="AU176" s="11" t="n"/>
      <c r="AV176" s="11" t="n"/>
      <c r="AW176" s="11">
        <f>AF176&amp;"; "&amp;AG176&amp;"; "&amp;AH176&amp;"; "&amp;AI176&amp;"; "&amp;AJ176</f>
        <v/>
      </c>
    </row>
    <row r="177">
      <c r="A177" s="11" t="inlineStr">
        <is>
          <t>T0811-G04-CIE</t>
        </is>
      </c>
      <c r="B177" s="11" t="n">
        <v>4</v>
      </c>
      <c r="C177" s="11" t="inlineStr">
        <is>
          <t>Ciencias</t>
        </is>
      </c>
      <c r="D177" s="11" t="inlineStr">
        <is>
          <t>Matriz_Ciencias_4to_Grado_U1_U6.xlsx</t>
        </is>
      </c>
      <c r="E177" s="11" t="inlineStr">
        <is>
          <t>Unidad 3 - Naturaleza y sus int</t>
        </is>
      </c>
      <c r="F177" s="11" t="n">
        <v>16</v>
      </c>
      <c r="G177" s="11" t="inlineStr">
        <is>
          <t>3. Naturaleza y sus interacciones.</t>
        </is>
      </c>
      <c r="H177" s="11" t="inlineStr">
        <is>
          <t>Fenómenos geológicos.</t>
        </is>
      </c>
      <c r="I177" s="38" t="inlineStr">
        <is>
          <t>3.14. Recopilación histórica de los principales eventos geológicos con impacto en la sociedad salvadoreña.</t>
        </is>
      </c>
      <c r="J177" s="11" t="inlineStr">
        <is>
          <t>T4_27</t>
        </is>
      </c>
      <c r="K177" s="11" t="inlineStr">
        <is>
          <t>FUERA</t>
        </is>
      </c>
      <c r="L177" s="11" t="inlineStr"/>
      <c r="M177" s="11">
        <f>IF(K177="FUERA","Fuera del marco",IF(K177="N/A","Sin marco",IFERROR(INDEX('Datos - Catálogo TIMSS'!$C$5:$C$107,MATCH(K177,'Datos - Catálogo TIMSS'!$A$5:$A$107,0)),"Pendiente de clasificar")))</f>
        <v/>
      </c>
      <c r="N177" s="11">
        <f>IF(K177="FUERA","Fuera del marco",IF(K177="N/A","Sin marco",IFERROR(INDEX('Datos - Catálogo TIMSS'!$F$5:$F$107,MATCH(K177,'Datos - Catálogo TIMSS'!$A$5:$A$107,0)),"Pendiente de clasificar")))</f>
        <v/>
      </c>
      <c r="O177" s="11">
        <f>IF(L177="","",IFERROR(INDEX('Datos - Catálogo TIMSS'!$C$5:$C$107,MATCH(L177,'Datos - Catálogo TIMSS'!$A$5:$A$107,0)),"?"))</f>
        <v/>
      </c>
      <c r="P177" s="11" t="inlineStr">
        <is>
          <t>media</t>
        </is>
      </c>
      <c r="Q177" s="38" t="inlineStr">
        <is>
          <t>Recopilación histórica de impacto social, sin contenido del marco</t>
        </is>
      </c>
      <c r="R177" s="38" t="inlineStr">
        <is>
          <t>Aplicar: organizar información. Razonar: evaluar fuentes</t>
        </is>
      </c>
      <c r="S177" s="39">
        <f>IFERROR(ISNUMBER(SEARCH("Conocer",$R177))/(ISNUMBER(SEARCH("Conocer",$R177))+ISNUMBER(SEARCH("Aplicar",$R177))+ISNUMBER(SEARCH("Razonar",$R177))),0)</f>
        <v/>
      </c>
      <c r="T177" s="39">
        <f>IFERROR(ISNUMBER(SEARCH("Aplicar",$R177))/(ISNUMBER(SEARCH("Conocer",$R177))+ISNUMBER(SEARCH("Aplicar",$R177))+ISNUMBER(SEARCH("Razonar",$R177))),0)</f>
        <v/>
      </c>
      <c r="U177" s="39">
        <f>IFERROR(ISNUMBER(SEARCH("Razonar",$R177))/(ISNUMBER(SEARCH("Conocer",$R177))+ISNUMBER(SEARCH("Aplicar",$R177))+ISNUMBER(SEARCH("Razonar",$R177))),0)</f>
        <v/>
      </c>
      <c r="V177" s="11" t="inlineStr">
        <is>
          <t>4°</t>
        </is>
      </c>
      <c r="W177" s="11" t="inlineStr">
        <is>
          <t>Ciclo 2°–4°</t>
        </is>
      </c>
      <c r="X177" s="11">
        <f>IF(OR(IFERROR(INDEX('Datos - Catálogo TIMSS'!$I$5:$I$107,MATCH(K177,'Datos - Catálogo TIMSS'!$A$5:$A$107,0)),"No")="Sí",IFERROR(INDEX('Datos - Catálogo TIMSS'!$I$5:$I$107,MATCH(L177,'Datos - Catálogo TIMSS'!$A$5:$A$107,0)),"No")="Sí"),1,0)</f>
        <v/>
      </c>
      <c r="Y177" s="11">
        <f>IF(IFERROR(INDEX('Datos - Catálogo TIMSS'!$J$5:$J$107,MATCH(K177,'Datos - Catálogo TIMSS'!$A$5:$A$107,0)),"No")="Sí",1,0)</f>
        <v/>
      </c>
      <c r="Z177" s="11">
        <f>IF(IFERROR(INDEX('Datos - Catálogo TIMSS'!$J$5:$J$107,MATCH(L177,'Datos - Catálogo TIMSS'!$A$5:$A$107,0)),"No")="Sí",1,0)</f>
        <v/>
      </c>
      <c r="AA177" s="11" t="inlineStr">
        <is>
          <t>FUERA</t>
        </is>
      </c>
      <c r="AB177" s="11" t="inlineStr"/>
      <c r="AC177" s="11">
        <f>IF(AA177="FUERA","Fuera del marco",IF(AA177="N/A","Sin marco",IFERROR(INDEX('Datos - TIMSS 2023'!$C$5:$C$105,MATCH(AA177,'Datos - TIMSS 2023'!$A$5:$A$105,0)),"Pendiente de clasificar")))</f>
        <v/>
      </c>
      <c r="AD177" s="11" t="inlineStr">
        <is>
          <t>3. Investigar, evaluar y usar información científica para tomar decisiones y actuar</t>
        </is>
      </c>
      <c r="AE177" s="11">
        <f>IF(AD177="","",IF(LEFT(AD177,1)="1","C1",IF(LEFT(AD177,1)="2","C2",IF(LEFT(AD177,1)="3","C3",""))))</f>
        <v/>
      </c>
      <c r="AF177" s="11" t="inlineStr">
        <is>
          <t>E6</t>
        </is>
      </c>
      <c r="AG177" s="11" t="inlineStr">
        <is>
          <t>D1</t>
        </is>
      </c>
      <c r="AH177" s="11" t="inlineStr">
        <is>
          <t>E2</t>
        </is>
      </c>
      <c r="AI177" s="11" t="inlineStr">
        <is>
          <t>I1</t>
        </is>
      </c>
      <c r="AJ177" s="11" t="inlineStr">
        <is>
          <t>I5</t>
        </is>
      </c>
      <c r="AK177" s="11" t="n"/>
      <c r="AL177" s="11" t="n"/>
      <c r="AM177" s="11" t="n"/>
      <c r="AN177" s="11" t="n"/>
      <c r="AO177" s="11" t="n"/>
      <c r="AP177" s="11" t="n"/>
      <c r="AQ177" s="11" t="n"/>
      <c r="AR177" s="11" t="n"/>
      <c r="AS177" s="11" t="n"/>
      <c r="AT177" s="11" t="n"/>
      <c r="AU177" s="11" t="n"/>
      <c r="AV177" s="11" t="n"/>
      <c r="AW177" s="11">
        <f>AF177&amp;"; "&amp;AG177&amp;"; "&amp;AH177&amp;"; "&amp;AI177&amp;"; "&amp;AJ177</f>
        <v/>
      </c>
    </row>
    <row r="178">
      <c r="A178" s="11" t="inlineStr">
        <is>
          <t>T0812-G04-CIE</t>
        </is>
      </c>
      <c r="B178" s="11" t="n">
        <v>4</v>
      </c>
      <c r="C178" s="11" t="inlineStr">
        <is>
          <t>Ciencias</t>
        </is>
      </c>
      <c r="D178" s="11" t="inlineStr">
        <is>
          <t>Matriz_Ciencias_4to_Grado_U1_U6.xlsx</t>
        </is>
      </c>
      <c r="E178" s="11" t="inlineStr">
        <is>
          <t>Unidad 3 - Naturaleza y sus int</t>
        </is>
      </c>
      <c r="F178" s="11" t="n">
        <v>17</v>
      </c>
      <c r="G178" s="11" t="inlineStr">
        <is>
          <t>3. Naturaleza y sus interacciones.</t>
        </is>
      </c>
      <c r="H178" s="11" t="inlineStr">
        <is>
          <t>Vulnerabilidad y riesgos.</t>
        </is>
      </c>
      <c r="I178" s="38" t="inlineStr">
        <is>
          <t>3.15. Identificación de amenazas naturales y antrópicas comunes en El Salvador y la comunidad.</t>
        </is>
      </c>
      <c r="J178" s="11" t="inlineStr">
        <is>
          <t>T4_27</t>
        </is>
      </c>
      <c r="K178" s="11" t="inlineStr">
        <is>
          <t>FUERA</t>
        </is>
      </c>
      <c r="L178" s="11" t="inlineStr"/>
      <c r="M178" s="11">
        <f>IF(K178="FUERA","Fuera del marco",IF(K178="N/A","Sin marco",IFERROR(INDEX('Datos - Catálogo TIMSS'!$C$5:$C$107,MATCH(K178,'Datos - Catálogo TIMSS'!$A$5:$A$107,0)),"Pendiente de clasificar")))</f>
        <v/>
      </c>
      <c r="N178" s="11">
        <f>IF(K178="FUERA","Fuera del marco",IF(K178="N/A","Sin marco",IFERROR(INDEX('Datos - Catálogo TIMSS'!$F$5:$F$107,MATCH(K178,'Datos - Catálogo TIMSS'!$A$5:$A$107,0)),"Pendiente de clasificar")))</f>
        <v/>
      </c>
      <c r="O178" s="11">
        <f>IF(L178="","",IFERROR(INDEX('Datos - Catálogo TIMSS'!$C$5:$C$107,MATCH(L178,'Datos - Catálogo TIMSS'!$A$5:$A$107,0)),"?"))</f>
        <v/>
      </c>
      <c r="P178" s="11" t="inlineStr">
        <is>
          <t>media</t>
        </is>
      </c>
      <c r="Q178" s="38" t="inlineStr">
        <is>
          <t>Amenazas y riesgo: gestión de riesgos</t>
        </is>
      </c>
      <c r="R178" s="38" t="inlineStr">
        <is>
          <t>Aplicar: clasificar. Razonar: justificar</t>
        </is>
      </c>
      <c r="S178" s="39">
        <f>IFERROR(ISNUMBER(SEARCH("Conocer",$R178))/(ISNUMBER(SEARCH("Conocer",$R178))+ISNUMBER(SEARCH("Aplicar",$R178))+ISNUMBER(SEARCH("Razonar",$R178))),0)</f>
        <v/>
      </c>
      <c r="T178" s="39">
        <f>IFERROR(ISNUMBER(SEARCH("Aplicar",$R178))/(ISNUMBER(SEARCH("Conocer",$R178))+ISNUMBER(SEARCH("Aplicar",$R178))+ISNUMBER(SEARCH("Razonar",$R178))),0)</f>
        <v/>
      </c>
      <c r="U178" s="39">
        <f>IFERROR(ISNUMBER(SEARCH("Razonar",$R178))/(ISNUMBER(SEARCH("Conocer",$R178))+ISNUMBER(SEARCH("Aplicar",$R178))+ISNUMBER(SEARCH("Razonar",$R178))),0)</f>
        <v/>
      </c>
      <c r="V178" s="11" t="inlineStr">
        <is>
          <t>4°</t>
        </is>
      </c>
      <c r="W178" s="11" t="inlineStr">
        <is>
          <t>Ciclo 2°–4°</t>
        </is>
      </c>
      <c r="X178" s="11">
        <f>IF(OR(IFERROR(INDEX('Datos - Catálogo TIMSS'!$I$5:$I$107,MATCH(K178,'Datos - Catálogo TIMSS'!$A$5:$A$107,0)),"No")="Sí",IFERROR(INDEX('Datos - Catálogo TIMSS'!$I$5:$I$107,MATCH(L178,'Datos - Catálogo TIMSS'!$A$5:$A$107,0)),"No")="Sí"),1,0)</f>
        <v/>
      </c>
      <c r="Y178" s="11">
        <f>IF(IFERROR(INDEX('Datos - Catálogo TIMSS'!$J$5:$J$107,MATCH(K178,'Datos - Catálogo TIMSS'!$A$5:$A$107,0)),"No")="Sí",1,0)</f>
        <v/>
      </c>
      <c r="Z178" s="11">
        <f>IF(IFERROR(INDEX('Datos - Catálogo TIMSS'!$J$5:$J$107,MATCH(L178,'Datos - Catálogo TIMSS'!$A$5:$A$107,0)),"No")="Sí",1,0)</f>
        <v/>
      </c>
      <c r="AA178" s="11" t="inlineStr">
        <is>
          <t>FUERA</t>
        </is>
      </c>
      <c r="AB178" s="11" t="inlineStr"/>
      <c r="AC178" s="11">
        <f>IF(AA178="FUERA","Fuera del marco",IF(AA178="N/A","Sin marco",IFERROR(INDEX('Datos - TIMSS 2023'!$C$5:$C$105,MATCH(AA178,'Datos - TIMSS 2023'!$A$5:$A$105,0)),"Pendiente de clasificar")))</f>
        <v/>
      </c>
      <c r="AD178" s="11" t="inlineStr">
        <is>
          <t>3. Investigar, evaluar y usar información científica para tomar decisiones y actuar</t>
        </is>
      </c>
      <c r="AE178" s="11">
        <f>IF(AD178="","",IF(LEFT(AD178,1)="1","C1",IF(LEFT(AD178,1)="2","C2",IF(LEFT(AD178,1)="3","C3",""))))</f>
        <v/>
      </c>
      <c r="AF178" s="11" t="inlineStr">
        <is>
          <t>E1</t>
        </is>
      </c>
      <c r="AG178" s="11" t="inlineStr">
        <is>
          <t>D1</t>
        </is>
      </c>
      <c r="AH178" s="11" t="inlineStr">
        <is>
          <t>E1</t>
        </is>
      </c>
      <c r="AI178" s="11" t="inlineStr">
        <is>
          <t>I3</t>
        </is>
      </c>
      <c r="AJ178" s="11" t="inlineStr">
        <is>
          <t>I5</t>
        </is>
      </c>
      <c r="AK178" s="11" t="n"/>
      <c r="AL178" s="11" t="n"/>
      <c r="AM178" s="11" t="n"/>
      <c r="AN178" s="11" t="n"/>
      <c r="AO178" s="11" t="n"/>
      <c r="AP178" s="11" t="n"/>
      <c r="AQ178" s="11" t="n"/>
      <c r="AR178" s="11" t="n"/>
      <c r="AS178" s="11" t="n"/>
      <c r="AT178" s="11" t="n"/>
      <c r="AU178" s="11" t="n"/>
      <c r="AV178" s="11" t="n"/>
      <c r="AW178" s="11">
        <f>AF178&amp;"; "&amp;AG178&amp;"; "&amp;AH178&amp;"; "&amp;AI178&amp;"; "&amp;AJ178</f>
        <v/>
      </c>
    </row>
    <row r="179">
      <c r="A179" s="11" t="inlineStr">
        <is>
          <t>T0813-G04-CIE</t>
        </is>
      </c>
      <c r="B179" s="11" t="n">
        <v>4</v>
      </c>
      <c r="C179" s="11" t="inlineStr">
        <is>
          <t>Ciencias</t>
        </is>
      </c>
      <c r="D179" s="11" t="inlineStr">
        <is>
          <t>Matriz_Ciencias_4to_Grado_U1_U6.xlsx</t>
        </is>
      </c>
      <c r="E179" s="11" t="inlineStr">
        <is>
          <t>Unidad 3 - Naturaleza y sus int</t>
        </is>
      </c>
      <c r="F179" s="11" t="n">
        <v>18</v>
      </c>
      <c r="G179" s="11" t="inlineStr">
        <is>
          <t>3. Naturaleza y sus interacciones.</t>
        </is>
      </c>
      <c r="H179" s="11" t="inlineStr">
        <is>
          <t>Vulnerabilidad y riesgos.</t>
        </is>
      </c>
      <c r="I179" s="38" t="inlineStr">
        <is>
          <t>3.16. Indagación de los conceptos de vulnerabilidad y capacidad.</t>
        </is>
      </c>
      <c r="J179" s="11" t="inlineStr">
        <is>
          <t>T4_27</t>
        </is>
      </c>
      <c r="K179" s="11" t="inlineStr">
        <is>
          <t>FUERA</t>
        </is>
      </c>
      <c r="L179" s="11" t="inlineStr"/>
      <c r="M179" s="11">
        <f>IF(K179="FUERA","Fuera del marco",IF(K179="N/A","Sin marco",IFERROR(INDEX('Datos - Catálogo TIMSS'!$C$5:$C$107,MATCH(K179,'Datos - Catálogo TIMSS'!$A$5:$A$107,0)),"Pendiente de clasificar")))</f>
        <v/>
      </c>
      <c r="N179" s="11">
        <f>IF(K179="FUERA","Fuera del marco",IF(K179="N/A","Sin marco",IFERROR(INDEX('Datos - Catálogo TIMSS'!$F$5:$F$107,MATCH(K179,'Datos - Catálogo TIMSS'!$A$5:$A$107,0)),"Pendiente de clasificar")))</f>
        <v/>
      </c>
      <c r="O179" s="11">
        <f>IF(L179="","",IFERROR(INDEX('Datos - Catálogo TIMSS'!$C$5:$C$107,MATCH(L179,'Datos - Catálogo TIMSS'!$A$5:$A$107,0)),"?"))</f>
        <v/>
      </c>
      <c r="P179" s="11" t="inlineStr">
        <is>
          <t>alta</t>
        </is>
      </c>
      <c r="Q179" s="38" t="inlineStr">
        <is>
          <t>Vulnerabilidad y capacidad: gestión de riesgos</t>
        </is>
      </c>
      <c r="R179" s="38" t="inlineStr">
        <is>
          <t>Conocer: definir y ejemplificar</t>
        </is>
      </c>
      <c r="S179" s="39">
        <f>IFERROR(ISNUMBER(SEARCH("Conocer",$R179))/(ISNUMBER(SEARCH("Conocer",$R179))+ISNUMBER(SEARCH("Aplicar",$R179))+ISNUMBER(SEARCH("Razonar",$R179))),0)</f>
        <v/>
      </c>
      <c r="T179" s="39">
        <f>IFERROR(ISNUMBER(SEARCH("Aplicar",$R179))/(ISNUMBER(SEARCH("Conocer",$R179))+ISNUMBER(SEARCH("Aplicar",$R179))+ISNUMBER(SEARCH("Razonar",$R179))),0)</f>
        <v/>
      </c>
      <c r="U179" s="39">
        <f>IFERROR(ISNUMBER(SEARCH("Razonar",$R179))/(ISNUMBER(SEARCH("Conocer",$R179))+ISNUMBER(SEARCH("Aplicar",$R179))+ISNUMBER(SEARCH("Razonar",$R179))),0)</f>
        <v/>
      </c>
      <c r="V179" s="11" t="inlineStr">
        <is>
          <t>4°</t>
        </is>
      </c>
      <c r="W179" s="11" t="inlineStr">
        <is>
          <t>Ciclo 2°–4°</t>
        </is>
      </c>
      <c r="X179" s="11">
        <f>IF(OR(IFERROR(INDEX('Datos - Catálogo TIMSS'!$I$5:$I$107,MATCH(K179,'Datos - Catálogo TIMSS'!$A$5:$A$107,0)),"No")="Sí",IFERROR(INDEX('Datos - Catálogo TIMSS'!$I$5:$I$107,MATCH(L179,'Datos - Catálogo TIMSS'!$A$5:$A$107,0)),"No")="Sí"),1,0)</f>
        <v/>
      </c>
      <c r="Y179" s="11">
        <f>IF(IFERROR(INDEX('Datos - Catálogo TIMSS'!$J$5:$J$107,MATCH(K179,'Datos - Catálogo TIMSS'!$A$5:$A$107,0)),"No")="Sí",1,0)</f>
        <v/>
      </c>
      <c r="Z179" s="11">
        <f>IF(IFERROR(INDEX('Datos - Catálogo TIMSS'!$J$5:$J$107,MATCH(L179,'Datos - Catálogo TIMSS'!$A$5:$A$107,0)),"No")="Sí",1,0)</f>
        <v/>
      </c>
      <c r="AA179" s="11" t="inlineStr">
        <is>
          <t>FUERA</t>
        </is>
      </c>
      <c r="AB179" s="11" t="inlineStr"/>
      <c r="AC179" s="11">
        <f>IF(AA179="FUERA","Fuera del marco",IF(AA179="N/A","Sin marco",IFERROR(INDEX('Datos - TIMSS 2023'!$C$5:$C$105,MATCH(AA179,'Datos - TIMSS 2023'!$A$5:$A$105,0)),"Pendiente de clasificar")))</f>
        <v/>
      </c>
      <c r="AD179" s="11" t="inlineStr">
        <is>
          <t>1. Explicar fenómenos científicamente</t>
        </is>
      </c>
      <c r="AE179" s="11">
        <f>IF(AD179="","",IF(LEFT(AD179,1)="1","C1",IF(LEFT(AD179,1)="2","C2",IF(LEFT(AD179,1)="3","C3",""))))</f>
        <v/>
      </c>
      <c r="AF179" s="11" t="inlineStr">
        <is>
          <t>E1</t>
        </is>
      </c>
      <c r="AG179" s="11" t="inlineStr">
        <is>
          <t>D1</t>
        </is>
      </c>
      <c r="AH179" s="11" t="inlineStr">
        <is>
          <t>E1</t>
        </is>
      </c>
      <c r="AI179" s="11" t="inlineStr">
        <is>
          <t>D4</t>
        </is>
      </c>
      <c r="AJ179" s="11" t="inlineStr">
        <is>
          <t>E6</t>
        </is>
      </c>
      <c r="AK179" s="11" t="n"/>
      <c r="AL179" s="11" t="n"/>
      <c r="AM179" s="11" t="n"/>
      <c r="AN179" s="11" t="n"/>
      <c r="AO179" s="11" t="n"/>
      <c r="AP179" s="11" t="n"/>
      <c r="AQ179" s="11" t="n"/>
      <c r="AR179" s="11" t="n"/>
      <c r="AS179" s="11" t="n"/>
      <c r="AT179" s="11" t="n"/>
      <c r="AU179" s="11" t="n"/>
      <c r="AV179" s="11" t="n"/>
      <c r="AW179" s="11">
        <f>AF179&amp;"; "&amp;AG179&amp;"; "&amp;AH179&amp;"; "&amp;AI179&amp;"; "&amp;AJ179</f>
        <v/>
      </c>
    </row>
    <row r="180">
      <c r="A180" s="11" t="inlineStr">
        <is>
          <t>T0814-G04-CIE</t>
        </is>
      </c>
      <c r="B180" s="11" t="n">
        <v>4</v>
      </c>
      <c r="C180" s="11" t="inlineStr">
        <is>
          <t>Ciencias</t>
        </is>
      </c>
      <c r="D180" s="11" t="inlineStr">
        <is>
          <t>Matriz_Ciencias_4to_Grado_U1_U6.xlsx</t>
        </is>
      </c>
      <c r="E180" s="11" t="inlineStr">
        <is>
          <t>Unidad 3 - Naturaleza y sus int</t>
        </is>
      </c>
      <c r="F180" s="11" t="n">
        <v>19</v>
      </c>
      <c r="G180" s="11" t="inlineStr">
        <is>
          <t>3. Naturaleza y sus interacciones.</t>
        </is>
      </c>
      <c r="H180" s="11" t="inlineStr">
        <is>
          <t>Vulnerabilidad y riesgos.</t>
        </is>
      </c>
      <c r="I180" s="38" t="inlineStr">
        <is>
          <t>3.17. Reconocimiento de los principales riesgos presentes en El Salvador.</t>
        </is>
      </c>
      <c r="J180" s="11" t="inlineStr">
        <is>
          <t>T4_27</t>
        </is>
      </c>
      <c r="K180" s="11" t="inlineStr">
        <is>
          <t>FUERA</t>
        </is>
      </c>
      <c r="L180" s="11" t="inlineStr"/>
      <c r="M180" s="11">
        <f>IF(K180="FUERA","Fuera del marco",IF(K180="N/A","Sin marco",IFERROR(INDEX('Datos - Catálogo TIMSS'!$C$5:$C$107,MATCH(K180,'Datos - Catálogo TIMSS'!$A$5:$A$107,0)),"Pendiente de clasificar")))</f>
        <v/>
      </c>
      <c r="N180" s="11">
        <f>IF(K180="FUERA","Fuera del marco",IF(K180="N/A","Sin marco",IFERROR(INDEX('Datos - Catálogo TIMSS'!$F$5:$F$107,MATCH(K180,'Datos - Catálogo TIMSS'!$A$5:$A$107,0)),"Pendiente de clasificar")))</f>
        <v/>
      </c>
      <c r="O180" s="11">
        <f>IF(L180="","",IFERROR(INDEX('Datos - Catálogo TIMSS'!$C$5:$C$107,MATCH(L180,'Datos - Catálogo TIMSS'!$A$5:$A$107,0)),"?"))</f>
        <v/>
      </c>
      <c r="P180" s="11" t="inlineStr">
        <is>
          <t>alta</t>
        </is>
      </c>
      <c r="Q180" s="38" t="inlineStr">
        <is>
          <t>Caracterización de riesgos: gestión de riesgos</t>
        </is>
      </c>
      <c r="R180" s="38" t="inlineStr">
        <is>
          <t>Aplicar: interpretar mapas. Razonar: justificar</t>
        </is>
      </c>
      <c r="S180" s="39">
        <f>IFERROR(ISNUMBER(SEARCH("Conocer",$R180))/(ISNUMBER(SEARCH("Conocer",$R180))+ISNUMBER(SEARCH("Aplicar",$R180))+ISNUMBER(SEARCH("Razonar",$R180))),0)</f>
        <v/>
      </c>
      <c r="T180" s="39">
        <f>IFERROR(ISNUMBER(SEARCH("Aplicar",$R180))/(ISNUMBER(SEARCH("Conocer",$R180))+ISNUMBER(SEARCH("Aplicar",$R180))+ISNUMBER(SEARCH("Razonar",$R180))),0)</f>
        <v/>
      </c>
      <c r="U180" s="39">
        <f>IFERROR(ISNUMBER(SEARCH("Razonar",$R180))/(ISNUMBER(SEARCH("Conocer",$R180))+ISNUMBER(SEARCH("Aplicar",$R180))+ISNUMBER(SEARCH("Razonar",$R180))),0)</f>
        <v/>
      </c>
      <c r="V180" s="11" t="inlineStr">
        <is>
          <t>4°</t>
        </is>
      </c>
      <c r="W180" s="11" t="inlineStr">
        <is>
          <t>Ciclo 2°–4°</t>
        </is>
      </c>
      <c r="X180" s="11">
        <f>IF(OR(IFERROR(INDEX('Datos - Catálogo TIMSS'!$I$5:$I$107,MATCH(K180,'Datos - Catálogo TIMSS'!$A$5:$A$107,0)),"No")="Sí",IFERROR(INDEX('Datos - Catálogo TIMSS'!$I$5:$I$107,MATCH(L180,'Datos - Catálogo TIMSS'!$A$5:$A$107,0)),"No")="Sí"),1,0)</f>
        <v/>
      </c>
      <c r="Y180" s="11">
        <f>IF(IFERROR(INDEX('Datos - Catálogo TIMSS'!$J$5:$J$107,MATCH(K180,'Datos - Catálogo TIMSS'!$A$5:$A$107,0)),"No")="Sí",1,0)</f>
        <v/>
      </c>
      <c r="Z180" s="11">
        <f>IF(IFERROR(INDEX('Datos - Catálogo TIMSS'!$J$5:$J$107,MATCH(L180,'Datos - Catálogo TIMSS'!$A$5:$A$107,0)),"No")="Sí",1,0)</f>
        <v/>
      </c>
      <c r="AA180" s="11" t="inlineStr">
        <is>
          <t>FUERA</t>
        </is>
      </c>
      <c r="AB180" s="11" t="inlineStr"/>
      <c r="AC180" s="11">
        <f>IF(AA180="FUERA","Fuera del marco",IF(AA180="N/A","Sin marco",IFERROR(INDEX('Datos - TIMSS 2023'!$C$5:$C$105,MATCH(AA180,'Datos - TIMSS 2023'!$A$5:$A$105,0)),"Pendiente de clasificar")))</f>
        <v/>
      </c>
      <c r="AD180" s="11" t="inlineStr">
        <is>
          <t>3. Investigar, evaluar y usar información científica para tomar decisiones y actuar</t>
        </is>
      </c>
      <c r="AE180" s="11">
        <f>IF(AD180="","",IF(LEFT(AD180,1)="1","C1",IF(LEFT(AD180,1)="2","C2",IF(LEFT(AD180,1)="3","C3",""))))</f>
        <v/>
      </c>
      <c r="AF180" s="11" t="inlineStr">
        <is>
          <t>E6</t>
        </is>
      </c>
      <c r="AG180" s="11" t="inlineStr">
        <is>
          <t>D1</t>
        </is>
      </c>
      <c r="AH180" s="11" t="inlineStr">
        <is>
          <t>E2</t>
        </is>
      </c>
      <c r="AI180" s="11" t="inlineStr">
        <is>
          <t>I1</t>
        </is>
      </c>
      <c r="AJ180" s="11" t="inlineStr">
        <is>
          <t>I5</t>
        </is>
      </c>
      <c r="AK180" s="11" t="n"/>
      <c r="AL180" s="11" t="n"/>
      <c r="AM180" s="11" t="n"/>
      <c r="AN180" s="11" t="n"/>
      <c r="AO180" s="11" t="n"/>
      <c r="AP180" s="11" t="n"/>
      <c r="AQ180" s="11" t="n"/>
      <c r="AR180" s="11" t="n"/>
      <c r="AS180" s="11" t="n"/>
      <c r="AT180" s="11" t="n"/>
      <c r="AU180" s="11" t="n"/>
      <c r="AV180" s="11" t="n"/>
      <c r="AW180" s="11">
        <f>AF180&amp;"; "&amp;AG180&amp;"; "&amp;AH180&amp;"; "&amp;AI180&amp;"; "&amp;AJ180</f>
        <v/>
      </c>
    </row>
    <row r="181">
      <c r="A181" s="11" t="inlineStr">
        <is>
          <t>T0815-G04-CIE</t>
        </is>
      </c>
      <c r="B181" s="11" t="n">
        <v>4</v>
      </c>
      <c r="C181" s="11" t="inlineStr">
        <is>
          <t>Ciencias</t>
        </is>
      </c>
      <c r="D181" s="11" t="inlineStr">
        <is>
          <t>Matriz_Ciencias_4to_Grado_U1_U6.xlsx</t>
        </is>
      </c>
      <c r="E181" s="11" t="inlineStr">
        <is>
          <t>Unidad 3 - Naturaleza y sus int</t>
        </is>
      </c>
      <c r="F181" s="11" t="n">
        <v>20</v>
      </c>
      <c r="G181" s="11" t="inlineStr">
        <is>
          <t>3. Naturaleza y sus interacciones.</t>
        </is>
      </c>
      <c r="H181" s="11" t="inlineStr">
        <is>
          <t>Vulnerabilidad y riesgos.</t>
        </is>
      </c>
      <c r="I181" s="38" t="inlineStr">
        <is>
          <t>3.18. Práctica de un simulacro de emergencia.</t>
        </is>
      </c>
      <c r="J181" s="11" t="inlineStr">
        <is>
          <t>T4_27</t>
        </is>
      </c>
      <c r="K181" s="11" t="inlineStr">
        <is>
          <t>FUERA</t>
        </is>
      </c>
      <c r="L181" s="11" t="inlineStr"/>
      <c r="M181" s="11">
        <f>IF(K181="FUERA","Fuera del marco",IF(K181="N/A","Sin marco",IFERROR(INDEX('Datos - Catálogo TIMSS'!$C$5:$C$107,MATCH(K181,'Datos - Catálogo TIMSS'!$A$5:$A$107,0)),"Pendiente de clasificar")))</f>
        <v/>
      </c>
      <c r="N181" s="11">
        <f>IF(K181="FUERA","Fuera del marco",IF(K181="N/A","Sin marco",IFERROR(INDEX('Datos - Catálogo TIMSS'!$F$5:$F$107,MATCH(K181,'Datos - Catálogo TIMSS'!$A$5:$A$107,0)),"Pendiente de clasificar")))</f>
        <v/>
      </c>
      <c r="O181" s="11">
        <f>IF(L181="","",IFERROR(INDEX('Datos - Catálogo TIMSS'!$C$5:$C$107,MATCH(L181,'Datos - Catálogo TIMSS'!$A$5:$A$107,0)),"?"))</f>
        <v/>
      </c>
      <c r="P181" s="11" t="inlineStr">
        <is>
          <t>alta</t>
        </is>
      </c>
      <c r="Q181" s="38" t="inlineStr">
        <is>
          <t>Simulacro de emergencia: gestión de riesgos</t>
        </is>
      </c>
      <c r="R181" s="38" t="inlineStr">
        <is>
          <t>Aplicar: seguir protocolos. Razonar: evaluar</t>
        </is>
      </c>
      <c r="S181" s="39">
        <f>IFERROR(ISNUMBER(SEARCH("Conocer",$R181))/(ISNUMBER(SEARCH("Conocer",$R181))+ISNUMBER(SEARCH("Aplicar",$R181))+ISNUMBER(SEARCH("Razonar",$R181))),0)</f>
        <v/>
      </c>
      <c r="T181" s="39">
        <f>IFERROR(ISNUMBER(SEARCH("Aplicar",$R181))/(ISNUMBER(SEARCH("Conocer",$R181))+ISNUMBER(SEARCH("Aplicar",$R181))+ISNUMBER(SEARCH("Razonar",$R181))),0)</f>
        <v/>
      </c>
      <c r="U181" s="39">
        <f>IFERROR(ISNUMBER(SEARCH("Razonar",$R181))/(ISNUMBER(SEARCH("Conocer",$R181))+ISNUMBER(SEARCH("Aplicar",$R181))+ISNUMBER(SEARCH("Razonar",$R181))),0)</f>
        <v/>
      </c>
      <c r="V181" s="11" t="inlineStr">
        <is>
          <t>4°</t>
        </is>
      </c>
      <c r="W181" s="11" t="inlineStr">
        <is>
          <t>Ciclo 2°–4°</t>
        </is>
      </c>
      <c r="X181" s="11">
        <f>IF(OR(IFERROR(INDEX('Datos - Catálogo TIMSS'!$I$5:$I$107,MATCH(K181,'Datos - Catálogo TIMSS'!$A$5:$A$107,0)),"No")="Sí",IFERROR(INDEX('Datos - Catálogo TIMSS'!$I$5:$I$107,MATCH(L181,'Datos - Catálogo TIMSS'!$A$5:$A$107,0)),"No")="Sí"),1,0)</f>
        <v/>
      </c>
      <c r="Y181" s="11">
        <f>IF(IFERROR(INDEX('Datos - Catálogo TIMSS'!$J$5:$J$107,MATCH(K181,'Datos - Catálogo TIMSS'!$A$5:$A$107,0)),"No")="Sí",1,0)</f>
        <v/>
      </c>
      <c r="Z181" s="11">
        <f>IF(IFERROR(INDEX('Datos - Catálogo TIMSS'!$J$5:$J$107,MATCH(L181,'Datos - Catálogo TIMSS'!$A$5:$A$107,0)),"No")="Sí",1,0)</f>
        <v/>
      </c>
      <c r="AA181" s="11" t="inlineStr">
        <is>
          <t>FUERA</t>
        </is>
      </c>
      <c r="AB181" s="11" t="inlineStr"/>
      <c r="AC181" s="11">
        <f>IF(AA181="FUERA","Fuera del marco",IF(AA181="N/A","Sin marco",IFERROR(INDEX('Datos - TIMSS 2023'!$C$5:$C$105,MATCH(AA181,'Datos - TIMSS 2023'!$A$5:$A$105,0)),"Pendiente de clasificar")))</f>
        <v/>
      </c>
      <c r="AD181" s="11" t="inlineStr">
        <is>
          <t>3. Investigar, evaluar y usar información científica para tomar decisiones y actuar</t>
        </is>
      </c>
      <c r="AE181" s="11">
        <f>IF(AD181="","",IF(LEFT(AD181,1)="1","C1",IF(LEFT(AD181,1)="2","C2",IF(LEFT(AD181,1)="3","C3",""))))</f>
        <v/>
      </c>
      <c r="AF181" s="11" t="inlineStr">
        <is>
          <t>E1</t>
        </is>
      </c>
      <c r="AG181" s="11" t="inlineStr">
        <is>
          <t>D1</t>
        </is>
      </c>
      <c r="AH181" s="11" t="inlineStr">
        <is>
          <t>E1</t>
        </is>
      </c>
      <c r="AI181" s="11" t="inlineStr">
        <is>
          <t>D3</t>
        </is>
      </c>
      <c r="AJ181" s="11" t="inlineStr">
        <is>
          <t>I5</t>
        </is>
      </c>
      <c r="AK181" s="11" t="n"/>
      <c r="AL181" s="11" t="n"/>
      <c r="AM181" s="11" t="n"/>
      <c r="AN181" s="11" t="n"/>
      <c r="AO181" s="11" t="n"/>
      <c r="AP181" s="11" t="n"/>
      <c r="AQ181" s="11" t="n"/>
      <c r="AR181" s="11" t="n"/>
      <c r="AS181" s="11" t="n"/>
      <c r="AT181" s="11" t="n"/>
      <c r="AU181" s="11" t="n"/>
      <c r="AV181" s="11" t="n"/>
      <c r="AW181" s="11">
        <f>AF181&amp;"; "&amp;AG181&amp;"; "&amp;AH181&amp;"; "&amp;AI181&amp;"; "&amp;AJ181</f>
        <v/>
      </c>
    </row>
    <row r="182">
      <c r="A182" s="11" t="inlineStr">
        <is>
          <t>T0816-G04-CIE</t>
        </is>
      </c>
      <c r="B182" s="11" t="n">
        <v>4</v>
      </c>
      <c r="C182" s="11" t="inlineStr">
        <is>
          <t>Ciencias</t>
        </is>
      </c>
      <c r="D182" s="11" t="inlineStr">
        <is>
          <t>Matriz_Ciencias_4to_Grado_U1_U6.xlsx</t>
        </is>
      </c>
      <c r="E182" s="11" t="inlineStr">
        <is>
          <t>Unidad 4 - Sistema solar</t>
        </is>
      </c>
      <c r="F182" s="11" t="n">
        <v>3</v>
      </c>
      <c r="G182" s="11" t="inlineStr">
        <is>
          <t>4. Sistema solar.</t>
        </is>
      </c>
      <c r="H182" s="11" t="inlineStr">
        <is>
          <t>El Sol.</t>
        </is>
      </c>
      <c r="I182" s="38" t="inlineStr">
        <is>
          <t>4.1. Descripción de los diferentes modelos del sistema solar.</t>
        </is>
      </c>
      <c r="J182" s="11" t="inlineStr">
        <is>
          <t>T4_27</t>
        </is>
      </c>
      <c r="K182" s="11" t="inlineStr">
        <is>
          <t>T4_27-E4.1</t>
        </is>
      </c>
      <c r="L182" s="11" t="inlineStr"/>
      <c r="M182" s="11">
        <f>IF(K182="FUERA","Fuera del marco",IF(K182="N/A","Sin marco",IFERROR(INDEX('Datos - Catálogo TIMSS'!$C$5:$C$107,MATCH(K182,'Datos - Catálogo TIMSS'!$A$5:$A$107,0)),"Pendiente de clasificar")))</f>
        <v/>
      </c>
      <c r="N182" s="11">
        <f>IF(K182="FUERA","Fuera del marco",IF(K182="N/A","Sin marco",IFERROR(INDEX('Datos - Catálogo TIMSS'!$F$5:$F$107,MATCH(K182,'Datos - Catálogo TIMSS'!$A$5:$A$107,0)),"Pendiente de clasificar")))</f>
        <v/>
      </c>
      <c r="O182" s="11">
        <f>IF(L182="","",IFERROR(INDEX('Datos - Catálogo TIMSS'!$C$5:$C$107,MATCH(L182,'Datos - Catálogo TIMSS'!$A$5:$A$107,0)),"?"))</f>
        <v/>
      </c>
      <c r="P182" s="11" t="inlineStr">
        <is>
          <t>alta</t>
        </is>
      </c>
      <c r="Q182" s="38" t="inlineStr">
        <is>
          <t>Modelo heliocéntrico: Sol y planetas que giran</t>
        </is>
      </c>
      <c r="R182" s="38" t="inlineStr">
        <is>
          <t>Aplicar: comparar modelos. Razonar: evaluar</t>
        </is>
      </c>
      <c r="S182" s="39">
        <f>IFERROR(ISNUMBER(SEARCH("Conocer",$R182))/(ISNUMBER(SEARCH("Conocer",$R182))+ISNUMBER(SEARCH("Aplicar",$R182))+ISNUMBER(SEARCH("Razonar",$R182))),0)</f>
        <v/>
      </c>
      <c r="T182" s="39">
        <f>IFERROR(ISNUMBER(SEARCH("Aplicar",$R182))/(ISNUMBER(SEARCH("Conocer",$R182))+ISNUMBER(SEARCH("Aplicar",$R182))+ISNUMBER(SEARCH("Razonar",$R182))),0)</f>
        <v/>
      </c>
      <c r="U182" s="39">
        <f>IFERROR(ISNUMBER(SEARCH("Razonar",$R182))/(ISNUMBER(SEARCH("Conocer",$R182))+ISNUMBER(SEARCH("Aplicar",$R182))+ISNUMBER(SEARCH("Razonar",$R182))),0)</f>
        <v/>
      </c>
      <c r="V182" s="11" t="inlineStr">
        <is>
          <t>4°</t>
        </is>
      </c>
      <c r="W182" s="11" t="inlineStr">
        <is>
          <t>Ciclo 2°–4°</t>
        </is>
      </c>
      <c r="X182" s="11">
        <f>IF(OR(IFERROR(INDEX('Datos - Catálogo TIMSS'!$I$5:$I$107,MATCH(K182,'Datos - Catálogo TIMSS'!$A$5:$A$107,0)),"No")="Sí",IFERROR(INDEX('Datos - Catálogo TIMSS'!$I$5:$I$107,MATCH(L182,'Datos - Catálogo TIMSS'!$A$5:$A$107,0)),"No")="Sí"),1,0)</f>
        <v/>
      </c>
      <c r="Y182" s="11">
        <f>IF(IFERROR(INDEX('Datos - Catálogo TIMSS'!$J$5:$J$107,MATCH(K182,'Datos - Catálogo TIMSS'!$A$5:$A$107,0)),"No")="Sí",1,0)</f>
        <v/>
      </c>
      <c r="Z182" s="11">
        <f>IF(IFERROR(INDEX('Datos - Catálogo TIMSS'!$J$5:$J$107,MATCH(L182,'Datos - Catálogo TIMSS'!$A$5:$A$107,0)),"No")="Sí",1,0)</f>
        <v/>
      </c>
      <c r="AA182" s="11" t="inlineStr">
        <is>
          <t>T4-T3.1</t>
        </is>
      </c>
      <c r="AB182" s="11" t="inlineStr"/>
      <c r="AC182" s="11">
        <f>IF(AA182="FUERA","Fuera del marco",IF(AA182="N/A","Sin marco",IFERROR(INDEX('Datos - TIMSS 2023'!$C$5:$C$105,MATCH(AA182,'Datos - TIMSS 2023'!$A$5:$A$105,0)),"Pendiente de clasificar")))</f>
        <v/>
      </c>
      <c r="AD182" s="11" t="inlineStr">
        <is>
          <t>1. Explicar fenómenos científicamente</t>
        </is>
      </c>
      <c r="AE182" s="11">
        <f>IF(AD182="","",IF(LEFT(AD182,1)="1","C1",IF(LEFT(AD182,1)="2","C2",IF(LEFT(AD182,1)="3","C3",""))))</f>
        <v/>
      </c>
      <c r="AF182" s="11" t="inlineStr">
        <is>
          <t>E1</t>
        </is>
      </c>
      <c r="AG182" s="11" t="inlineStr">
        <is>
          <t>E5</t>
        </is>
      </c>
      <c r="AH182" s="11" t="inlineStr">
        <is>
          <t>E4</t>
        </is>
      </c>
      <c r="AI182" s="11" t="inlineStr">
        <is>
          <t>E4</t>
        </is>
      </c>
      <c r="AJ182" s="11" t="inlineStr">
        <is>
          <t>E6</t>
        </is>
      </c>
      <c r="AK182" s="11" t="n"/>
      <c r="AL182" s="11" t="n"/>
      <c r="AM182" s="11" t="n"/>
      <c r="AN182" s="11" t="n"/>
      <c r="AO182" s="11" t="n"/>
      <c r="AP182" s="11" t="n"/>
      <c r="AQ182" s="11" t="n"/>
      <c r="AR182" s="11" t="n"/>
      <c r="AS182" s="11" t="n"/>
      <c r="AT182" s="11" t="n"/>
      <c r="AU182" s="11" t="n"/>
      <c r="AV182" s="11" t="n"/>
      <c r="AW182" s="11">
        <f>AF182&amp;"; "&amp;AG182&amp;"; "&amp;AH182&amp;"; "&amp;AI182&amp;"; "&amp;AJ182</f>
        <v/>
      </c>
    </row>
    <row r="183">
      <c r="A183" s="11" t="inlineStr">
        <is>
          <t>T0817-G04-CIE</t>
        </is>
      </c>
      <c r="B183" s="11" t="n">
        <v>4</v>
      </c>
      <c r="C183" s="11" t="inlineStr">
        <is>
          <t>Ciencias</t>
        </is>
      </c>
      <c r="D183" s="11" t="inlineStr">
        <is>
          <t>Matriz_Ciencias_4to_Grado_U1_U6.xlsx</t>
        </is>
      </c>
      <c r="E183" s="11" t="inlineStr">
        <is>
          <t>Unidad 4 - Sistema solar</t>
        </is>
      </c>
      <c r="F183" s="11" t="n">
        <v>4</v>
      </c>
      <c r="G183" s="11" t="inlineStr">
        <is>
          <t>4. Sistema solar.</t>
        </is>
      </c>
      <c r="H183" s="11" t="inlineStr">
        <is>
          <t>El Sol.</t>
        </is>
      </c>
      <c r="I183" s="38" t="inlineStr">
        <is>
          <t>4.2. Modelación de la estructura del Sol.</t>
        </is>
      </c>
      <c r="J183" s="11" t="inlineStr">
        <is>
          <t>T4_27</t>
        </is>
      </c>
      <c r="K183" s="11" t="inlineStr">
        <is>
          <t>T4_27-E4.1</t>
        </is>
      </c>
      <c r="L183" s="11" t="inlineStr"/>
      <c r="M183" s="11">
        <f>IF(K183="FUERA","Fuera del marco",IF(K183="N/A","Sin marco",IFERROR(INDEX('Datos - Catálogo TIMSS'!$C$5:$C$107,MATCH(K183,'Datos - Catálogo TIMSS'!$A$5:$A$107,0)),"Pendiente de clasificar")))</f>
        <v/>
      </c>
      <c r="N183" s="11">
        <f>IF(K183="FUERA","Fuera del marco",IF(K183="N/A","Sin marco",IFERROR(INDEX('Datos - Catálogo TIMSS'!$F$5:$F$107,MATCH(K183,'Datos - Catálogo TIMSS'!$A$5:$A$107,0)),"Pendiente de clasificar")))</f>
        <v/>
      </c>
      <c r="O183" s="11">
        <f>IF(L183="","",IFERROR(INDEX('Datos - Catálogo TIMSS'!$C$5:$C$107,MATCH(L183,'Datos - Catálogo TIMSS'!$A$5:$A$107,0)),"?"))</f>
        <v/>
      </c>
      <c r="P183" s="11" t="inlineStr">
        <is>
          <t>baja</t>
        </is>
      </c>
      <c r="Q183" s="38" t="inlineStr">
        <is>
          <t>Capas del Sol no figuran en el objetivo del sistema solar</t>
        </is>
      </c>
      <c r="R183" s="38" t="inlineStr">
        <is>
          <t>Aplicar: usar modelos</t>
        </is>
      </c>
      <c r="S183" s="39">
        <f>IFERROR(ISNUMBER(SEARCH("Conocer",$R183))/(ISNUMBER(SEARCH("Conocer",$R183))+ISNUMBER(SEARCH("Aplicar",$R183))+ISNUMBER(SEARCH("Razonar",$R183))),0)</f>
        <v/>
      </c>
      <c r="T183" s="39">
        <f>IFERROR(ISNUMBER(SEARCH("Aplicar",$R183))/(ISNUMBER(SEARCH("Conocer",$R183))+ISNUMBER(SEARCH("Aplicar",$R183))+ISNUMBER(SEARCH("Razonar",$R183))),0)</f>
        <v/>
      </c>
      <c r="U183" s="39">
        <f>IFERROR(ISNUMBER(SEARCH("Razonar",$R183))/(ISNUMBER(SEARCH("Conocer",$R183))+ISNUMBER(SEARCH("Aplicar",$R183))+ISNUMBER(SEARCH("Razonar",$R183))),0)</f>
        <v/>
      </c>
      <c r="V183" s="11" t="inlineStr">
        <is>
          <t>4°</t>
        </is>
      </c>
      <c r="W183" s="11" t="inlineStr">
        <is>
          <t>Ciclo 2°–4°</t>
        </is>
      </c>
      <c r="X183" s="11">
        <f>IF(OR(IFERROR(INDEX('Datos - Catálogo TIMSS'!$I$5:$I$107,MATCH(K183,'Datos - Catálogo TIMSS'!$A$5:$A$107,0)),"No")="Sí",IFERROR(INDEX('Datos - Catálogo TIMSS'!$I$5:$I$107,MATCH(L183,'Datos - Catálogo TIMSS'!$A$5:$A$107,0)),"No")="Sí"),1,0)</f>
        <v/>
      </c>
      <c r="Y183" s="11">
        <f>IF(IFERROR(INDEX('Datos - Catálogo TIMSS'!$J$5:$J$107,MATCH(K183,'Datos - Catálogo TIMSS'!$A$5:$A$107,0)),"No")="Sí",1,0)</f>
        <v/>
      </c>
      <c r="Z183" s="11">
        <f>IF(IFERROR(INDEX('Datos - Catálogo TIMSS'!$J$5:$J$107,MATCH(L183,'Datos - Catálogo TIMSS'!$A$5:$A$107,0)),"No")="Sí",1,0)</f>
        <v/>
      </c>
      <c r="AA183" s="11" t="inlineStr">
        <is>
          <t>T4-T3.1</t>
        </is>
      </c>
      <c r="AB183" s="11" t="inlineStr"/>
      <c r="AC183" s="11">
        <f>IF(AA183="FUERA","Fuera del marco",IF(AA183="N/A","Sin marco",IFERROR(INDEX('Datos - TIMSS 2023'!$C$5:$C$105,MATCH(AA183,'Datos - TIMSS 2023'!$A$5:$A$105,0)),"Pendiente de clasificar")))</f>
        <v/>
      </c>
      <c r="AD183" s="11" t="inlineStr">
        <is>
          <t>1. Explicar fenómenos científicamente</t>
        </is>
      </c>
      <c r="AE183" s="11">
        <f>IF(AD183="","",IF(LEFT(AD183,1)="1","C1",IF(LEFT(AD183,1)="2","C2",IF(LEFT(AD183,1)="3","C3",""))))</f>
        <v/>
      </c>
      <c r="AF183" s="11" t="inlineStr">
        <is>
          <t>E1</t>
        </is>
      </c>
      <c r="AG183" s="11" t="inlineStr">
        <is>
          <t>D1</t>
        </is>
      </c>
      <c r="AH183" s="11" t="inlineStr">
        <is>
          <t>E4</t>
        </is>
      </c>
      <c r="AI183" s="11" t="inlineStr">
        <is>
          <t>E4</t>
        </is>
      </c>
      <c r="AJ183" s="11" t="inlineStr">
        <is>
          <t>E6</t>
        </is>
      </c>
      <c r="AK183" s="11" t="n"/>
      <c r="AL183" s="11" t="n"/>
      <c r="AM183" s="11" t="n"/>
      <c r="AN183" s="11" t="n"/>
      <c r="AO183" s="11" t="n"/>
      <c r="AP183" s="11" t="n"/>
      <c r="AQ183" s="11" t="n"/>
      <c r="AR183" s="11" t="n"/>
      <c r="AS183" s="11" t="n"/>
      <c r="AT183" s="11" t="n"/>
      <c r="AU183" s="11" t="n"/>
      <c r="AV183" s="11" t="n"/>
      <c r="AW183" s="11">
        <f>AF183&amp;"; "&amp;AG183&amp;"; "&amp;AH183&amp;"; "&amp;AI183&amp;"; "&amp;AJ183</f>
        <v/>
      </c>
    </row>
    <row r="184">
      <c r="A184" s="11" t="inlineStr">
        <is>
          <t>T0818-G04-CIE</t>
        </is>
      </c>
      <c r="B184" s="11" t="n">
        <v>4</v>
      </c>
      <c r="C184" s="11" t="inlineStr">
        <is>
          <t>Ciencias</t>
        </is>
      </c>
      <c r="D184" s="11" t="inlineStr">
        <is>
          <t>Matriz_Ciencias_4to_Grado_U1_U6.xlsx</t>
        </is>
      </c>
      <c r="E184" s="11" t="inlineStr">
        <is>
          <t>Unidad 4 - Sistema solar</t>
        </is>
      </c>
      <c r="F184" s="11" t="n">
        <v>5</v>
      </c>
      <c r="G184" s="11" t="inlineStr">
        <is>
          <t>4. Sistema solar.</t>
        </is>
      </c>
      <c r="H184" s="11" t="inlineStr">
        <is>
          <t>La Luna.</t>
        </is>
      </c>
      <c r="I184" s="38" t="inlineStr">
        <is>
          <t>4.3. Representación de las propiedades físicas de la Luna y su interacción con la Tierra.</t>
        </is>
      </c>
      <c r="J184" s="11" t="inlineStr">
        <is>
          <t>T4_27</t>
        </is>
      </c>
      <c r="K184" s="11" t="inlineStr">
        <is>
          <t>T4_27-E4.1</t>
        </is>
      </c>
      <c r="L184" s="11" t="inlineStr">
        <is>
          <t>T4_27-E5.1</t>
        </is>
      </c>
      <c r="M184" s="11">
        <f>IF(K184="FUERA","Fuera del marco",IF(K184="N/A","Sin marco",IFERROR(INDEX('Datos - Catálogo TIMSS'!$C$5:$C$107,MATCH(K184,'Datos - Catálogo TIMSS'!$A$5:$A$107,0)),"Pendiente de clasificar")))</f>
        <v/>
      </c>
      <c r="N184" s="11">
        <f>IF(K184="FUERA","Fuera del marco",IF(K184="N/A","Sin marco",IFERROR(INDEX('Datos - Catálogo TIMSS'!$F$5:$F$107,MATCH(K184,'Datos - Catálogo TIMSS'!$A$5:$A$107,0)),"Pendiente de clasificar")))</f>
        <v/>
      </c>
      <c r="O184" s="11">
        <f>IF(L184="","",IFERROR(INDEX('Datos - Catálogo TIMSS'!$C$5:$C$107,MATCH(L184,'Datos - Catálogo TIMSS'!$A$5:$A$107,0)),"?"))</f>
        <v/>
      </c>
      <c r="P184" s="11" t="inlineStr">
        <is>
          <t>media</t>
        </is>
      </c>
      <c r="Q184" s="38" t="inlineStr">
        <is>
          <t>Luna y relación con Tierra; experimento de cráteres con mediciones</t>
        </is>
      </c>
      <c r="R184" s="38" t="inlineStr">
        <is>
          <t>Aplicar: usar modelos. Razonar: comparar</t>
        </is>
      </c>
      <c r="S184" s="39">
        <f>IFERROR(ISNUMBER(SEARCH("Conocer",$R184))/(ISNUMBER(SEARCH("Conocer",$R184))+ISNUMBER(SEARCH("Aplicar",$R184))+ISNUMBER(SEARCH("Razonar",$R184))),0)</f>
        <v/>
      </c>
      <c r="T184" s="39">
        <f>IFERROR(ISNUMBER(SEARCH("Aplicar",$R184))/(ISNUMBER(SEARCH("Conocer",$R184))+ISNUMBER(SEARCH("Aplicar",$R184))+ISNUMBER(SEARCH("Razonar",$R184))),0)</f>
        <v/>
      </c>
      <c r="U184" s="39">
        <f>IFERROR(ISNUMBER(SEARCH("Razonar",$R184))/(ISNUMBER(SEARCH("Conocer",$R184))+ISNUMBER(SEARCH("Aplicar",$R184))+ISNUMBER(SEARCH("Razonar",$R184))),0)</f>
        <v/>
      </c>
      <c r="V184" s="11" t="inlineStr">
        <is>
          <t>4°</t>
        </is>
      </c>
      <c r="W184" s="11" t="inlineStr">
        <is>
          <t>Ciclo 2°–4°</t>
        </is>
      </c>
      <c r="X184" s="11">
        <f>IF(OR(IFERROR(INDEX('Datos - Catálogo TIMSS'!$I$5:$I$107,MATCH(K184,'Datos - Catálogo TIMSS'!$A$5:$A$107,0)),"No")="Sí",IFERROR(INDEX('Datos - Catálogo TIMSS'!$I$5:$I$107,MATCH(L184,'Datos - Catálogo TIMSS'!$A$5:$A$107,0)),"No")="Sí"),1,0)</f>
        <v/>
      </c>
      <c r="Y184" s="11">
        <f>IF(IFERROR(INDEX('Datos - Catálogo TIMSS'!$J$5:$J$107,MATCH(K184,'Datos - Catálogo TIMSS'!$A$5:$A$107,0)),"No")="Sí",1,0)</f>
        <v/>
      </c>
      <c r="Z184" s="11">
        <f>IF(IFERROR(INDEX('Datos - Catálogo TIMSS'!$J$5:$J$107,MATCH(L184,'Datos - Catálogo TIMSS'!$A$5:$A$107,0)),"No")="Sí",1,0)</f>
        <v/>
      </c>
      <c r="AA184" s="11" t="inlineStr">
        <is>
          <t>T4-T3.1</t>
        </is>
      </c>
      <c r="AB184" s="11" t="inlineStr"/>
      <c r="AC184" s="11">
        <f>IF(AA184="FUERA","Fuera del marco",IF(AA184="N/A","Sin marco",IFERROR(INDEX('Datos - TIMSS 2023'!$C$5:$C$105,MATCH(AA184,'Datos - TIMSS 2023'!$A$5:$A$105,0)),"Pendiente de clasificar")))</f>
        <v/>
      </c>
      <c r="AD184" s="11" t="inlineStr">
        <is>
          <t>2. Construir y evaluar diseños para la indagación científica e interpretar datos y evidencia de forma crítica</t>
        </is>
      </c>
      <c r="AE184" s="11">
        <f>IF(AD184="","",IF(LEFT(AD184,1)="1","C1",IF(LEFT(AD184,1)="2","C2",IF(LEFT(AD184,1)="3","C3",""))))</f>
        <v/>
      </c>
      <c r="AF184" s="11" t="inlineStr">
        <is>
          <t>E1</t>
        </is>
      </c>
      <c r="AG184" s="11" t="inlineStr">
        <is>
          <t>D1</t>
        </is>
      </c>
      <c r="AH184" s="11" t="inlineStr">
        <is>
          <t>E4</t>
        </is>
      </c>
      <c r="AI184" s="11" t="inlineStr">
        <is>
          <t>D4</t>
        </is>
      </c>
      <c r="AJ184" s="11" t="inlineStr">
        <is>
          <t>E6</t>
        </is>
      </c>
      <c r="AK184" s="11" t="n"/>
      <c r="AL184" s="11" t="n"/>
      <c r="AM184" s="11" t="n"/>
      <c r="AN184" s="11" t="n"/>
      <c r="AO184" s="11" t="n"/>
      <c r="AP184" s="11" t="n"/>
      <c r="AQ184" s="11" t="n"/>
      <c r="AR184" s="11" t="n"/>
      <c r="AS184" s="11" t="n"/>
      <c r="AT184" s="11" t="n"/>
      <c r="AU184" s="11" t="n"/>
      <c r="AV184" s="11" t="n"/>
      <c r="AW184" s="11">
        <f>AF184&amp;"; "&amp;AG184&amp;"; "&amp;AH184&amp;"; "&amp;AI184&amp;"; "&amp;AJ184</f>
        <v/>
      </c>
    </row>
    <row r="185">
      <c r="A185" s="11" t="inlineStr">
        <is>
          <t>T0819-G04-CIE</t>
        </is>
      </c>
      <c r="B185" s="11" t="n">
        <v>4</v>
      </c>
      <c r="C185" s="11" t="inlineStr">
        <is>
          <t>Ciencias</t>
        </is>
      </c>
      <c r="D185" s="11" t="inlineStr">
        <is>
          <t>Matriz_Ciencias_4to_Grado_U1_U6.xlsx</t>
        </is>
      </c>
      <c r="E185" s="11" t="inlineStr">
        <is>
          <t>Unidad 4 - Sistema solar</t>
        </is>
      </c>
      <c r="F185" s="11" t="n">
        <v>6</v>
      </c>
      <c r="G185" s="11" t="inlineStr">
        <is>
          <t>4. Sistema solar.</t>
        </is>
      </c>
      <c r="H185" s="11" t="inlineStr">
        <is>
          <t>La Luna.</t>
        </is>
      </c>
      <c r="I185" s="38" t="inlineStr">
        <is>
          <t>4.4. Descripción de hipótesis sobre la formación de la Luna.</t>
        </is>
      </c>
      <c r="J185" s="11" t="inlineStr">
        <is>
          <t>T4_27</t>
        </is>
      </c>
      <c r="K185" s="11" t="inlineStr">
        <is>
          <t>T4_27-E4.1</t>
        </is>
      </c>
      <c r="L185" s="11" t="inlineStr"/>
      <c r="M185" s="11">
        <f>IF(K185="FUERA","Fuera del marco",IF(K185="N/A","Sin marco",IFERROR(INDEX('Datos - Catálogo TIMSS'!$C$5:$C$107,MATCH(K185,'Datos - Catálogo TIMSS'!$A$5:$A$107,0)),"Pendiente de clasificar")))</f>
        <v/>
      </c>
      <c r="N185" s="11">
        <f>IF(K185="FUERA","Fuera del marco",IF(K185="N/A","Sin marco",IFERROR(INDEX('Datos - Catálogo TIMSS'!$F$5:$F$107,MATCH(K185,'Datos - Catálogo TIMSS'!$A$5:$A$107,0)),"Pendiente de clasificar")))</f>
        <v/>
      </c>
      <c r="O185" s="11">
        <f>IF(L185="","",IFERROR(INDEX('Datos - Catálogo TIMSS'!$C$5:$C$107,MATCH(L185,'Datos - Catálogo TIMSS'!$A$5:$A$107,0)),"?"))</f>
        <v/>
      </c>
      <c r="P185" s="11" t="inlineStr">
        <is>
          <t>baja</t>
        </is>
      </c>
      <c r="Q185" s="38" t="inlineStr">
        <is>
          <t>Formación de la Luna no está en el objetivo 2027</t>
        </is>
      </c>
      <c r="R185" s="38" t="inlineStr">
        <is>
          <t>Conocer: describir hipótesis</t>
        </is>
      </c>
      <c r="S185" s="39">
        <f>IFERROR(ISNUMBER(SEARCH("Conocer",$R185))/(ISNUMBER(SEARCH("Conocer",$R185))+ISNUMBER(SEARCH("Aplicar",$R185))+ISNUMBER(SEARCH("Razonar",$R185))),0)</f>
        <v/>
      </c>
      <c r="T185" s="39">
        <f>IFERROR(ISNUMBER(SEARCH("Aplicar",$R185))/(ISNUMBER(SEARCH("Conocer",$R185))+ISNUMBER(SEARCH("Aplicar",$R185))+ISNUMBER(SEARCH("Razonar",$R185))),0)</f>
        <v/>
      </c>
      <c r="U185" s="39">
        <f>IFERROR(ISNUMBER(SEARCH("Razonar",$R185))/(ISNUMBER(SEARCH("Conocer",$R185))+ISNUMBER(SEARCH("Aplicar",$R185))+ISNUMBER(SEARCH("Razonar",$R185))),0)</f>
        <v/>
      </c>
      <c r="V185" s="11" t="inlineStr">
        <is>
          <t>4°</t>
        </is>
      </c>
      <c r="W185" s="11" t="inlineStr">
        <is>
          <t>Ciclo 2°–4°</t>
        </is>
      </c>
      <c r="X185" s="11">
        <f>IF(OR(IFERROR(INDEX('Datos - Catálogo TIMSS'!$I$5:$I$107,MATCH(K185,'Datos - Catálogo TIMSS'!$A$5:$A$107,0)),"No")="Sí",IFERROR(INDEX('Datos - Catálogo TIMSS'!$I$5:$I$107,MATCH(L185,'Datos - Catálogo TIMSS'!$A$5:$A$107,0)),"No")="Sí"),1,0)</f>
        <v/>
      </c>
      <c r="Y185" s="11">
        <f>IF(IFERROR(INDEX('Datos - Catálogo TIMSS'!$J$5:$J$107,MATCH(K185,'Datos - Catálogo TIMSS'!$A$5:$A$107,0)),"No")="Sí",1,0)</f>
        <v/>
      </c>
      <c r="Z185" s="11">
        <f>IF(IFERROR(INDEX('Datos - Catálogo TIMSS'!$J$5:$J$107,MATCH(L185,'Datos - Catálogo TIMSS'!$A$5:$A$107,0)),"No")="Sí",1,0)</f>
        <v/>
      </c>
      <c r="AA185" s="11" t="inlineStr">
        <is>
          <t>T4-T3.1</t>
        </is>
      </c>
      <c r="AB185" s="11" t="inlineStr"/>
      <c r="AC185" s="11">
        <f>IF(AA185="FUERA","Fuera del marco",IF(AA185="N/A","Sin marco",IFERROR(INDEX('Datos - TIMSS 2023'!$C$5:$C$105,MATCH(AA185,'Datos - TIMSS 2023'!$A$5:$A$105,0)),"Pendiente de clasificar")))</f>
        <v/>
      </c>
      <c r="AD185" s="11" t="inlineStr">
        <is>
          <t>1. Explicar fenómenos científicamente</t>
        </is>
      </c>
      <c r="AE185" s="11">
        <f>IF(AD185="","",IF(LEFT(AD185,1)="1","C1",IF(LEFT(AD185,1)="2","C2",IF(LEFT(AD185,1)="3","C3",""))))</f>
        <v/>
      </c>
      <c r="AF185" s="11" t="inlineStr">
        <is>
          <t>E1</t>
        </is>
      </c>
      <c r="AG185" s="11" t="inlineStr">
        <is>
          <t>E5</t>
        </is>
      </c>
      <c r="AH185" s="11" t="inlineStr">
        <is>
          <t>E1</t>
        </is>
      </c>
      <c r="AI185" s="11" t="inlineStr">
        <is>
          <t>I2</t>
        </is>
      </c>
      <c r="AJ185" s="11" t="inlineStr">
        <is>
          <t>E6</t>
        </is>
      </c>
      <c r="AK185" s="11" t="n"/>
      <c r="AL185" s="11" t="n"/>
      <c r="AM185" s="11" t="n"/>
      <c r="AN185" s="11" t="n"/>
      <c r="AO185" s="11" t="n"/>
      <c r="AP185" s="11" t="n"/>
      <c r="AQ185" s="11" t="n"/>
      <c r="AR185" s="11" t="n"/>
      <c r="AS185" s="11" t="n"/>
      <c r="AT185" s="11" t="n"/>
      <c r="AU185" s="11" t="n"/>
      <c r="AV185" s="11" t="n"/>
      <c r="AW185" s="11">
        <f>AF185&amp;"; "&amp;AG185&amp;"; "&amp;AH185&amp;"; "&amp;AI185&amp;"; "&amp;AJ185</f>
        <v/>
      </c>
    </row>
    <row r="186">
      <c r="A186" s="11" t="inlineStr">
        <is>
          <t>T0820-G04-CIE</t>
        </is>
      </c>
      <c r="B186" s="11" t="n">
        <v>4</v>
      </c>
      <c r="C186" s="11" t="inlineStr">
        <is>
          <t>Ciencias</t>
        </is>
      </c>
      <c r="D186" s="11" t="inlineStr">
        <is>
          <t>Matriz_Ciencias_4to_Grado_U1_U6.xlsx</t>
        </is>
      </c>
      <c r="E186" s="11" t="inlineStr">
        <is>
          <t>Unidad 4 - Sistema solar</t>
        </is>
      </c>
      <c r="F186" s="11" t="n">
        <v>7</v>
      </c>
      <c r="G186" s="11" t="inlineStr">
        <is>
          <t>4. Sistema solar.</t>
        </is>
      </c>
      <c r="H186" s="11" t="inlineStr">
        <is>
          <t>La Luna.</t>
        </is>
      </c>
      <c r="I186" s="38" t="inlineStr">
        <is>
          <t>4.5. Explicación de las fases de la Luna.</t>
        </is>
      </c>
      <c r="J186" s="11" t="inlineStr">
        <is>
          <t>T4_27</t>
        </is>
      </c>
      <c r="K186" s="11" t="inlineStr">
        <is>
          <t>T4_27-E4.1</t>
        </is>
      </c>
      <c r="L186" s="11" t="inlineStr"/>
      <c r="M186" s="11">
        <f>IF(K186="FUERA","Fuera del marco",IF(K186="N/A","Sin marco",IFERROR(INDEX('Datos - Catálogo TIMSS'!$C$5:$C$107,MATCH(K186,'Datos - Catálogo TIMSS'!$A$5:$A$107,0)),"Pendiente de clasificar")))</f>
        <v/>
      </c>
      <c r="N186" s="11">
        <f>IF(K186="FUERA","Fuera del marco",IF(K186="N/A","Sin marco",IFERROR(INDEX('Datos - Catálogo TIMSS'!$F$5:$F$107,MATCH(K186,'Datos - Catálogo TIMSS'!$A$5:$A$107,0)),"Pendiente de clasificar")))</f>
        <v/>
      </c>
      <c r="O186" s="11">
        <f>IF(L186="","",IFERROR(INDEX('Datos - Catálogo TIMSS'!$C$5:$C$107,MATCH(L186,'Datos - Catálogo TIMSS'!$A$5:$A$107,0)),"?"))</f>
        <v/>
      </c>
      <c r="P186" s="11" t="inlineStr">
        <is>
          <t>alta</t>
        </is>
      </c>
      <c r="Q186" s="38" t="inlineStr">
        <is>
          <t>Fases de la Luna y posición Sol-Tierra-Luna</t>
        </is>
      </c>
      <c r="R186" s="38" t="inlineStr">
        <is>
          <t>Aplicar: usar modelos. Razonar: predecir</t>
        </is>
      </c>
      <c r="S186" s="39">
        <f>IFERROR(ISNUMBER(SEARCH("Conocer",$R186))/(ISNUMBER(SEARCH("Conocer",$R186))+ISNUMBER(SEARCH("Aplicar",$R186))+ISNUMBER(SEARCH("Razonar",$R186))),0)</f>
        <v/>
      </c>
      <c r="T186" s="39">
        <f>IFERROR(ISNUMBER(SEARCH("Aplicar",$R186))/(ISNUMBER(SEARCH("Conocer",$R186))+ISNUMBER(SEARCH("Aplicar",$R186))+ISNUMBER(SEARCH("Razonar",$R186))),0)</f>
        <v/>
      </c>
      <c r="U186" s="39">
        <f>IFERROR(ISNUMBER(SEARCH("Razonar",$R186))/(ISNUMBER(SEARCH("Conocer",$R186))+ISNUMBER(SEARCH("Aplicar",$R186))+ISNUMBER(SEARCH("Razonar",$R186))),0)</f>
        <v/>
      </c>
      <c r="V186" s="11" t="inlineStr">
        <is>
          <t>4°</t>
        </is>
      </c>
      <c r="W186" s="11" t="inlineStr">
        <is>
          <t>Ciclo 2°–4°</t>
        </is>
      </c>
      <c r="X186" s="11">
        <f>IF(OR(IFERROR(INDEX('Datos - Catálogo TIMSS'!$I$5:$I$107,MATCH(K186,'Datos - Catálogo TIMSS'!$A$5:$A$107,0)),"No")="Sí",IFERROR(INDEX('Datos - Catálogo TIMSS'!$I$5:$I$107,MATCH(L186,'Datos - Catálogo TIMSS'!$A$5:$A$107,0)),"No")="Sí"),1,0)</f>
        <v/>
      </c>
      <c r="Y186" s="11">
        <f>IF(IFERROR(INDEX('Datos - Catálogo TIMSS'!$J$5:$J$107,MATCH(K186,'Datos - Catálogo TIMSS'!$A$5:$A$107,0)),"No")="Sí",1,0)</f>
        <v/>
      </c>
      <c r="Z186" s="11">
        <f>IF(IFERROR(INDEX('Datos - Catálogo TIMSS'!$J$5:$J$107,MATCH(L186,'Datos - Catálogo TIMSS'!$A$5:$A$107,0)),"No")="Sí",1,0)</f>
        <v/>
      </c>
      <c r="AA186" s="11" t="inlineStr">
        <is>
          <t>T4-T3.1</t>
        </is>
      </c>
      <c r="AB186" s="11" t="inlineStr"/>
      <c r="AC186" s="11">
        <f>IF(AA186="FUERA","Fuera del marco",IF(AA186="N/A","Sin marco",IFERROR(INDEX('Datos - TIMSS 2023'!$C$5:$C$105,MATCH(AA186,'Datos - TIMSS 2023'!$A$5:$A$105,0)),"Pendiente de clasificar")))</f>
        <v/>
      </c>
      <c r="AD186" s="11" t="inlineStr">
        <is>
          <t>2. Construir y evaluar diseños para la indagación científica e interpretar datos y evidencia de forma crítica</t>
        </is>
      </c>
      <c r="AE186" s="11">
        <f>IF(AD186="","",IF(LEFT(AD186,1)="1","C1",IF(LEFT(AD186,1)="2","C2",IF(LEFT(AD186,1)="3","C3",""))))</f>
        <v/>
      </c>
      <c r="AF186" s="11" t="inlineStr">
        <is>
          <t>E1</t>
        </is>
      </c>
      <c r="AG186" s="11" t="inlineStr">
        <is>
          <t>D1</t>
        </is>
      </c>
      <c r="AH186" s="11" t="inlineStr">
        <is>
          <t>E4</t>
        </is>
      </c>
      <c r="AI186" s="11" t="inlineStr">
        <is>
          <t>D4</t>
        </is>
      </c>
      <c r="AJ186" s="11" t="inlineStr">
        <is>
          <t>E3</t>
        </is>
      </c>
      <c r="AK186" s="11" t="n"/>
      <c r="AL186" s="11" t="n"/>
      <c r="AM186" s="11" t="n"/>
      <c r="AN186" s="11" t="n"/>
      <c r="AO186" s="11" t="n"/>
      <c r="AP186" s="11" t="n"/>
      <c r="AQ186" s="11" t="n"/>
      <c r="AR186" s="11" t="n"/>
      <c r="AS186" s="11" t="n"/>
      <c r="AT186" s="11" t="n"/>
      <c r="AU186" s="11" t="n"/>
      <c r="AV186" s="11" t="n"/>
      <c r="AW186" s="11">
        <f>AF186&amp;"; "&amp;AG186&amp;"; "&amp;AH186&amp;"; "&amp;AI186&amp;"; "&amp;AJ186</f>
        <v/>
      </c>
    </row>
    <row r="187">
      <c r="A187" s="11" t="inlineStr">
        <is>
          <t>T0821-G04-CIE</t>
        </is>
      </c>
      <c r="B187" s="11" t="n">
        <v>4</v>
      </c>
      <c r="C187" s="11" t="inlineStr">
        <is>
          <t>Ciencias</t>
        </is>
      </c>
      <c r="D187" s="11" t="inlineStr">
        <is>
          <t>Matriz_Ciencias_4to_Grado_U1_U6.xlsx</t>
        </is>
      </c>
      <c r="E187" s="11" t="inlineStr">
        <is>
          <t>Unidad 4 - Sistema solar</t>
        </is>
      </c>
      <c r="F187" s="11" t="n">
        <v>8</v>
      </c>
      <c r="G187" s="11" t="inlineStr">
        <is>
          <t>4. Sistema solar.</t>
        </is>
      </c>
      <c r="H187" s="11" t="inlineStr">
        <is>
          <t>La Tierra.</t>
        </is>
      </c>
      <c r="I187" s="38" t="inlineStr">
        <is>
          <t>4.6. Modelación del eje de inclinación de la Tierra.</t>
        </is>
      </c>
      <c r="J187" s="11" t="inlineStr">
        <is>
          <t>T4_27</t>
        </is>
      </c>
      <c r="K187" s="11" t="inlineStr">
        <is>
          <t>FUERA</t>
        </is>
      </c>
      <c r="L187" s="11" t="inlineStr"/>
      <c r="M187" s="11">
        <f>IF(K187="FUERA","Fuera del marco",IF(K187="N/A","Sin marco",IFERROR(INDEX('Datos - Catálogo TIMSS'!$C$5:$C$107,MATCH(K187,'Datos - Catálogo TIMSS'!$A$5:$A$107,0)),"Pendiente de clasificar")))</f>
        <v/>
      </c>
      <c r="N187" s="11">
        <f>IF(K187="FUERA","Fuera del marco",IF(K187="N/A","Sin marco",IFERROR(INDEX('Datos - Catálogo TIMSS'!$F$5:$F$107,MATCH(K187,'Datos - Catálogo TIMSS'!$A$5:$A$107,0)),"Pendiente de clasificar")))</f>
        <v/>
      </c>
      <c r="O187" s="11">
        <f>IF(L187="","",IFERROR(INDEX('Datos - Catálogo TIMSS'!$C$5:$C$107,MATCH(L187,'Datos - Catálogo TIMSS'!$A$5:$A$107,0)),"?"))</f>
        <v/>
      </c>
      <c r="P187" s="11" t="inlineStr">
        <is>
          <t>media</t>
        </is>
      </c>
      <c r="Q187" s="38" t="inlineStr">
        <is>
          <t>Inclinación del eje terrestre ya no es objetivo en 4.° 2027</t>
        </is>
      </c>
      <c r="R187" s="38" t="inlineStr">
        <is>
          <t>Aplicar: usar modelos</t>
        </is>
      </c>
      <c r="S187" s="39">
        <f>IFERROR(ISNUMBER(SEARCH("Conocer",$R187))/(ISNUMBER(SEARCH("Conocer",$R187))+ISNUMBER(SEARCH("Aplicar",$R187))+ISNUMBER(SEARCH("Razonar",$R187))),0)</f>
        <v/>
      </c>
      <c r="T187" s="39">
        <f>IFERROR(ISNUMBER(SEARCH("Aplicar",$R187))/(ISNUMBER(SEARCH("Conocer",$R187))+ISNUMBER(SEARCH("Aplicar",$R187))+ISNUMBER(SEARCH("Razonar",$R187))),0)</f>
        <v/>
      </c>
      <c r="U187" s="39">
        <f>IFERROR(ISNUMBER(SEARCH("Razonar",$R187))/(ISNUMBER(SEARCH("Conocer",$R187))+ISNUMBER(SEARCH("Aplicar",$R187))+ISNUMBER(SEARCH("Razonar",$R187))),0)</f>
        <v/>
      </c>
      <c r="V187" s="11" t="inlineStr">
        <is>
          <t>4°</t>
        </is>
      </c>
      <c r="W187" s="11" t="inlineStr">
        <is>
          <t>Ciclo 2°–4°</t>
        </is>
      </c>
      <c r="X187" s="11">
        <f>IF(OR(IFERROR(INDEX('Datos - Catálogo TIMSS'!$I$5:$I$107,MATCH(K187,'Datos - Catálogo TIMSS'!$A$5:$A$107,0)),"No")="Sí",IFERROR(INDEX('Datos - Catálogo TIMSS'!$I$5:$I$107,MATCH(L187,'Datos - Catálogo TIMSS'!$A$5:$A$107,0)),"No")="Sí"),1,0)</f>
        <v/>
      </c>
      <c r="Y187" s="11">
        <f>IF(IFERROR(INDEX('Datos - Catálogo TIMSS'!$J$5:$J$107,MATCH(K187,'Datos - Catálogo TIMSS'!$A$5:$A$107,0)),"No")="Sí",1,0)</f>
        <v/>
      </c>
      <c r="Z187" s="11">
        <f>IF(IFERROR(INDEX('Datos - Catálogo TIMSS'!$J$5:$J$107,MATCH(L187,'Datos - Catálogo TIMSS'!$A$5:$A$107,0)),"No")="Sí",1,0)</f>
        <v/>
      </c>
      <c r="AA187" s="11" t="inlineStr">
        <is>
          <t>T4-T3.2</t>
        </is>
      </c>
      <c r="AB187" s="11" t="inlineStr"/>
      <c r="AC187" s="11">
        <f>IF(AA187="FUERA","Fuera del marco",IF(AA187="N/A","Sin marco",IFERROR(INDEX('Datos - TIMSS 2023'!$C$5:$C$105,MATCH(AA187,'Datos - TIMSS 2023'!$A$5:$A$105,0)),"Pendiente de clasificar")))</f>
        <v/>
      </c>
      <c r="AD187" s="11" t="inlineStr">
        <is>
          <t>2. Construir y evaluar diseños para la indagación científica e interpretar datos y evidencia de forma crítica</t>
        </is>
      </c>
      <c r="AE187" s="11">
        <f>IF(AD187="","",IF(LEFT(AD187,1)="1","C1",IF(LEFT(AD187,1)="2","C2",IF(LEFT(AD187,1)="3","C3",""))))</f>
        <v/>
      </c>
      <c r="AF187" s="11" t="inlineStr">
        <is>
          <t>E1</t>
        </is>
      </c>
      <c r="AG187" s="11" t="inlineStr">
        <is>
          <t>E5</t>
        </is>
      </c>
      <c r="AH187" s="11" t="inlineStr">
        <is>
          <t>E4</t>
        </is>
      </c>
      <c r="AI187" s="11" t="inlineStr">
        <is>
          <t>D4</t>
        </is>
      </c>
      <c r="AJ187" s="11" t="inlineStr">
        <is>
          <t>E1</t>
        </is>
      </c>
      <c r="AK187" s="11" t="n"/>
      <c r="AL187" s="11" t="n"/>
      <c r="AM187" s="11" t="n"/>
      <c r="AN187" s="11" t="n"/>
      <c r="AO187" s="11" t="n"/>
      <c r="AP187" s="11" t="n"/>
      <c r="AQ187" s="11" t="n"/>
      <c r="AR187" s="11" t="n"/>
      <c r="AS187" s="11" t="n"/>
      <c r="AT187" s="11" t="n"/>
      <c r="AU187" s="11" t="n"/>
      <c r="AV187" s="11" t="n"/>
      <c r="AW187" s="11">
        <f>AF187&amp;"; "&amp;AG187&amp;"; "&amp;AH187&amp;"; "&amp;AI187&amp;"; "&amp;AJ187</f>
        <v/>
      </c>
    </row>
    <row r="188">
      <c r="A188" s="11" t="inlineStr">
        <is>
          <t>T0822-G04-CIE</t>
        </is>
      </c>
      <c r="B188" s="11" t="n">
        <v>4</v>
      </c>
      <c r="C188" s="11" t="inlineStr">
        <is>
          <t>Ciencias</t>
        </is>
      </c>
      <c r="D188" s="11" t="inlineStr">
        <is>
          <t>Matriz_Ciencias_4to_Grado_U1_U6.xlsx</t>
        </is>
      </c>
      <c r="E188" s="11" t="inlineStr">
        <is>
          <t>Unidad 4 - Sistema solar</t>
        </is>
      </c>
      <c r="F188" s="11" t="n">
        <v>9</v>
      </c>
      <c r="G188" s="11" t="inlineStr">
        <is>
          <t>4. Sistema solar.</t>
        </is>
      </c>
      <c r="H188" s="11" t="inlineStr">
        <is>
          <t>La Tierra.</t>
        </is>
      </c>
      <c r="I188" s="38" t="inlineStr">
        <is>
          <t>4.7. Identificación de los movimientos de precesión y nutación.</t>
        </is>
      </c>
      <c r="J188" s="11" t="inlineStr">
        <is>
          <t>T4_27</t>
        </is>
      </c>
      <c r="K188" s="11" t="inlineStr">
        <is>
          <t>FUERA</t>
        </is>
      </c>
      <c r="L188" s="11" t="inlineStr"/>
      <c r="M188" s="11">
        <f>IF(K188="FUERA","Fuera del marco",IF(K188="N/A","Sin marco",IFERROR(INDEX('Datos - Catálogo TIMSS'!$C$5:$C$107,MATCH(K188,'Datos - Catálogo TIMSS'!$A$5:$A$107,0)),"Pendiente de clasificar")))</f>
        <v/>
      </c>
      <c r="N188" s="11">
        <f>IF(K188="FUERA","Fuera del marco",IF(K188="N/A","Sin marco",IFERROR(INDEX('Datos - Catálogo TIMSS'!$F$5:$F$107,MATCH(K188,'Datos - Catálogo TIMSS'!$A$5:$A$107,0)),"Pendiente de clasificar")))</f>
        <v/>
      </c>
      <c r="O188" s="11">
        <f>IF(L188="","",IFERROR(INDEX('Datos - Catálogo TIMSS'!$C$5:$C$107,MATCH(L188,'Datos - Catálogo TIMSS'!$A$5:$A$107,0)),"?"))</f>
        <v/>
      </c>
      <c r="P188" s="11" t="inlineStr">
        <is>
          <t>baja</t>
        </is>
      </c>
      <c r="Q188" s="38" t="inlineStr">
        <is>
          <t>Precesión y nutación fuera; cuadro podría incluir rotación y traslación</t>
        </is>
      </c>
      <c r="R188" s="38" t="inlineStr">
        <is>
          <t>Conocer: identificar. Aplicar: usar modelos</t>
        </is>
      </c>
      <c r="S188" s="39">
        <f>IFERROR(ISNUMBER(SEARCH("Conocer",$R188))/(ISNUMBER(SEARCH("Conocer",$R188))+ISNUMBER(SEARCH("Aplicar",$R188))+ISNUMBER(SEARCH("Razonar",$R188))),0)</f>
        <v/>
      </c>
      <c r="T188" s="39">
        <f>IFERROR(ISNUMBER(SEARCH("Aplicar",$R188))/(ISNUMBER(SEARCH("Conocer",$R188))+ISNUMBER(SEARCH("Aplicar",$R188))+ISNUMBER(SEARCH("Razonar",$R188))),0)</f>
        <v/>
      </c>
      <c r="U188" s="39">
        <f>IFERROR(ISNUMBER(SEARCH("Razonar",$R188))/(ISNUMBER(SEARCH("Conocer",$R188))+ISNUMBER(SEARCH("Aplicar",$R188))+ISNUMBER(SEARCH("Razonar",$R188))),0)</f>
        <v/>
      </c>
      <c r="V188" s="11" t="inlineStr">
        <is>
          <t>4°</t>
        </is>
      </c>
      <c r="W188" s="11" t="inlineStr">
        <is>
          <t>Ciclo 2°–4°</t>
        </is>
      </c>
      <c r="X188" s="11">
        <f>IF(OR(IFERROR(INDEX('Datos - Catálogo TIMSS'!$I$5:$I$107,MATCH(K188,'Datos - Catálogo TIMSS'!$A$5:$A$107,0)),"No")="Sí",IFERROR(INDEX('Datos - Catálogo TIMSS'!$I$5:$I$107,MATCH(L188,'Datos - Catálogo TIMSS'!$A$5:$A$107,0)),"No")="Sí"),1,0)</f>
        <v/>
      </c>
      <c r="Y188" s="11">
        <f>IF(IFERROR(INDEX('Datos - Catálogo TIMSS'!$J$5:$J$107,MATCH(K188,'Datos - Catálogo TIMSS'!$A$5:$A$107,0)),"No")="Sí",1,0)</f>
        <v/>
      </c>
      <c r="Z188" s="11">
        <f>IF(IFERROR(INDEX('Datos - Catálogo TIMSS'!$J$5:$J$107,MATCH(L188,'Datos - Catálogo TIMSS'!$A$5:$A$107,0)),"No")="Sí",1,0)</f>
        <v/>
      </c>
      <c r="AA188" s="11" t="inlineStr">
        <is>
          <t>T4-T3.2</t>
        </is>
      </c>
      <c r="AB188" s="11" t="inlineStr"/>
      <c r="AC188" s="11">
        <f>IF(AA188="FUERA","Fuera del marco",IF(AA188="N/A","Sin marco",IFERROR(INDEX('Datos - TIMSS 2023'!$C$5:$C$105,MATCH(AA188,'Datos - TIMSS 2023'!$A$5:$A$105,0)),"Pendiente de clasificar")))</f>
        <v/>
      </c>
      <c r="AD188" s="11" t="inlineStr">
        <is>
          <t>1. Explicar fenómenos científicamente</t>
        </is>
      </c>
      <c r="AE188" s="11">
        <f>IF(AD188="","",IF(LEFT(AD188,1)="1","C1",IF(LEFT(AD188,1)="2","C2",IF(LEFT(AD188,1)="3","C3",""))))</f>
        <v/>
      </c>
      <c r="AF188" s="11" t="inlineStr">
        <is>
          <t>E1</t>
        </is>
      </c>
      <c r="AG188" s="11" t="inlineStr">
        <is>
          <t>D1</t>
        </is>
      </c>
      <c r="AH188" s="11" t="inlineStr">
        <is>
          <t>E4</t>
        </is>
      </c>
      <c r="AI188" s="11" t="inlineStr">
        <is>
          <t>E4</t>
        </is>
      </c>
      <c r="AJ188" s="11" t="inlineStr">
        <is>
          <t>E1</t>
        </is>
      </c>
      <c r="AK188" s="11" t="n"/>
      <c r="AL188" s="11" t="n"/>
      <c r="AM188" s="11" t="n"/>
      <c r="AN188" s="11" t="n"/>
      <c r="AO188" s="11" t="n"/>
      <c r="AP188" s="11" t="n"/>
      <c r="AQ188" s="11" t="n"/>
      <c r="AR188" s="11" t="n"/>
      <c r="AS188" s="11" t="n"/>
      <c r="AT188" s="11" t="n"/>
      <c r="AU188" s="11" t="n"/>
      <c r="AV188" s="11" t="n"/>
      <c r="AW188" s="11">
        <f>AF188&amp;"; "&amp;AG188&amp;"; "&amp;AH188&amp;"; "&amp;AI188&amp;"; "&amp;AJ188</f>
        <v/>
      </c>
    </row>
    <row r="189">
      <c r="A189" s="11" t="inlineStr">
        <is>
          <t>T0823-G04-CIE</t>
        </is>
      </c>
      <c r="B189" s="11" t="n">
        <v>4</v>
      </c>
      <c r="C189" s="11" t="inlineStr">
        <is>
          <t>Ciencias</t>
        </is>
      </c>
      <c r="D189" s="11" t="inlineStr">
        <is>
          <t>Matriz_Ciencias_4to_Grado_U1_U6.xlsx</t>
        </is>
      </c>
      <c r="E189" s="11" t="inlineStr">
        <is>
          <t>Unidad 4 - Sistema solar</t>
        </is>
      </c>
      <c r="F189" s="11" t="n">
        <v>10</v>
      </c>
      <c r="G189" s="11" t="inlineStr">
        <is>
          <t>4. Sistema solar.</t>
        </is>
      </c>
      <c r="H189" s="11" t="inlineStr">
        <is>
          <t>Eclipses.</t>
        </is>
      </c>
      <c r="I189" s="38" t="inlineStr">
        <is>
          <t>4.8. Representación de la interacción de la Tierra, el Sol y la Luna, durante la formación de eclipses.</t>
        </is>
      </c>
      <c r="J189" s="11" t="inlineStr">
        <is>
          <t>T4_27</t>
        </is>
      </c>
      <c r="K189" s="11" t="inlineStr">
        <is>
          <t>T4_27-E4.1</t>
        </is>
      </c>
      <c r="L189" s="11" t="inlineStr"/>
      <c r="M189" s="11">
        <f>IF(K189="FUERA","Fuera del marco",IF(K189="N/A","Sin marco",IFERROR(INDEX('Datos - Catálogo TIMSS'!$C$5:$C$107,MATCH(K189,'Datos - Catálogo TIMSS'!$A$5:$A$107,0)),"Pendiente de clasificar")))</f>
        <v/>
      </c>
      <c r="N189" s="11">
        <f>IF(K189="FUERA","Fuera del marco",IF(K189="N/A","Sin marco",IFERROR(INDEX('Datos - Catálogo TIMSS'!$F$5:$F$107,MATCH(K189,'Datos - Catálogo TIMSS'!$A$5:$A$107,0)),"Pendiente de clasificar")))</f>
        <v/>
      </c>
      <c r="O189" s="11">
        <f>IF(L189="","",IFERROR(INDEX('Datos - Catálogo TIMSS'!$C$5:$C$107,MATCH(L189,'Datos - Catálogo TIMSS'!$A$5:$A$107,0)),"?"))</f>
        <v/>
      </c>
      <c r="P189" s="11" t="inlineStr">
        <is>
          <t>media</t>
        </is>
      </c>
      <c r="Q189" s="38" t="inlineStr">
        <is>
          <t>Eclipses por posiciones relativas de Sol, Tierra y Luna</t>
        </is>
      </c>
      <c r="R189" s="38" t="inlineStr">
        <is>
          <t>Aplicar: usar modelos</t>
        </is>
      </c>
      <c r="S189" s="39">
        <f>IFERROR(ISNUMBER(SEARCH("Conocer",$R189))/(ISNUMBER(SEARCH("Conocer",$R189))+ISNUMBER(SEARCH("Aplicar",$R189))+ISNUMBER(SEARCH("Razonar",$R189))),0)</f>
        <v/>
      </c>
      <c r="T189" s="39">
        <f>IFERROR(ISNUMBER(SEARCH("Aplicar",$R189))/(ISNUMBER(SEARCH("Conocer",$R189))+ISNUMBER(SEARCH("Aplicar",$R189))+ISNUMBER(SEARCH("Razonar",$R189))),0)</f>
        <v/>
      </c>
      <c r="U189" s="39">
        <f>IFERROR(ISNUMBER(SEARCH("Razonar",$R189))/(ISNUMBER(SEARCH("Conocer",$R189))+ISNUMBER(SEARCH("Aplicar",$R189))+ISNUMBER(SEARCH("Razonar",$R189))),0)</f>
        <v/>
      </c>
      <c r="V189" s="11" t="inlineStr">
        <is>
          <t>4°</t>
        </is>
      </c>
      <c r="W189" s="11" t="inlineStr">
        <is>
          <t>Ciclo 2°–4°</t>
        </is>
      </c>
      <c r="X189" s="11">
        <f>IF(OR(IFERROR(INDEX('Datos - Catálogo TIMSS'!$I$5:$I$107,MATCH(K189,'Datos - Catálogo TIMSS'!$A$5:$A$107,0)),"No")="Sí",IFERROR(INDEX('Datos - Catálogo TIMSS'!$I$5:$I$107,MATCH(L189,'Datos - Catálogo TIMSS'!$A$5:$A$107,0)),"No")="Sí"),1,0)</f>
        <v/>
      </c>
      <c r="Y189" s="11">
        <f>IF(IFERROR(INDEX('Datos - Catálogo TIMSS'!$J$5:$J$107,MATCH(K189,'Datos - Catálogo TIMSS'!$A$5:$A$107,0)),"No")="Sí",1,0)</f>
        <v/>
      </c>
      <c r="Z189" s="11">
        <f>IF(IFERROR(INDEX('Datos - Catálogo TIMSS'!$J$5:$J$107,MATCH(L189,'Datos - Catálogo TIMSS'!$A$5:$A$107,0)),"No")="Sí",1,0)</f>
        <v/>
      </c>
      <c r="AA189" s="11" t="inlineStr">
        <is>
          <t>T4-T3.1</t>
        </is>
      </c>
      <c r="AB189" s="11" t="inlineStr"/>
      <c r="AC189" s="11">
        <f>IF(AA189="FUERA","Fuera del marco",IF(AA189="N/A","Sin marco",IFERROR(INDEX('Datos - TIMSS 2023'!$C$5:$C$105,MATCH(AA189,'Datos - TIMSS 2023'!$A$5:$A$105,0)),"Pendiente de clasificar")))</f>
        <v/>
      </c>
      <c r="AD189" s="11" t="inlineStr">
        <is>
          <t>2. Construir y evaluar diseños para la indagación científica e interpretar datos y evidencia de forma crítica</t>
        </is>
      </c>
      <c r="AE189" s="11">
        <f>IF(AD189="","",IF(LEFT(AD189,1)="1","C1",IF(LEFT(AD189,1)="2","C2",IF(LEFT(AD189,1)="3","C3",""))))</f>
        <v/>
      </c>
      <c r="AF189" s="11" t="inlineStr">
        <is>
          <t>E1</t>
        </is>
      </c>
      <c r="AG189" s="11" t="inlineStr">
        <is>
          <t>E5</t>
        </is>
      </c>
      <c r="AH189" s="11" t="inlineStr">
        <is>
          <t>E4</t>
        </is>
      </c>
      <c r="AI189" s="11" t="inlineStr">
        <is>
          <t>D4</t>
        </is>
      </c>
      <c r="AJ189" s="11" t="inlineStr">
        <is>
          <t>E6</t>
        </is>
      </c>
      <c r="AK189" s="11" t="n"/>
      <c r="AL189" s="11" t="n"/>
      <c r="AM189" s="11" t="n"/>
      <c r="AN189" s="11" t="n"/>
      <c r="AO189" s="11" t="n"/>
      <c r="AP189" s="11" t="n"/>
      <c r="AQ189" s="11" t="n"/>
      <c r="AR189" s="11" t="n"/>
      <c r="AS189" s="11" t="n"/>
      <c r="AT189" s="11" t="n"/>
      <c r="AU189" s="11" t="n"/>
      <c r="AV189" s="11" t="n"/>
      <c r="AW189" s="11">
        <f>AF189&amp;"; "&amp;AG189&amp;"; "&amp;AH189&amp;"; "&amp;AI189&amp;"; "&amp;AJ189</f>
        <v/>
      </c>
    </row>
    <row r="190">
      <c r="A190" s="11" t="inlineStr">
        <is>
          <t>T0824-G04-CIE</t>
        </is>
      </c>
      <c r="B190" s="11" t="n">
        <v>4</v>
      </c>
      <c r="C190" s="11" t="inlineStr">
        <is>
          <t>Ciencias</t>
        </is>
      </c>
      <c r="D190" s="11" t="inlineStr">
        <is>
          <t>Matriz_Ciencias_4to_Grado_U1_U6.xlsx</t>
        </is>
      </c>
      <c r="E190" s="11" t="inlineStr">
        <is>
          <t>Unidad 4 - Sistema solar</t>
        </is>
      </c>
      <c r="F190" s="11" t="n">
        <v>11</v>
      </c>
      <c r="G190" s="11" t="inlineStr">
        <is>
          <t>4. Sistema solar.</t>
        </is>
      </c>
      <c r="H190" s="11" t="inlineStr">
        <is>
          <t>Planetas.</t>
        </is>
      </c>
      <c r="I190" s="38" t="inlineStr">
        <is>
          <t>4.9. Descripción de las características físicas y químicas de los planetas que forman el sistema solar.</t>
        </is>
      </c>
      <c r="J190" s="11" t="inlineStr">
        <is>
          <t>T4_27</t>
        </is>
      </c>
      <c r="K190" s="11" t="inlineStr">
        <is>
          <t>T4_27-E4.1</t>
        </is>
      </c>
      <c r="L190" s="11" t="inlineStr"/>
      <c r="M190" s="11">
        <f>IF(K190="FUERA","Fuera del marco",IF(K190="N/A","Sin marco",IFERROR(INDEX('Datos - Catálogo TIMSS'!$C$5:$C$107,MATCH(K190,'Datos - Catálogo TIMSS'!$A$5:$A$107,0)),"Pendiente de clasificar")))</f>
        <v/>
      </c>
      <c r="N190" s="11">
        <f>IF(K190="FUERA","Fuera del marco",IF(K190="N/A","Sin marco",IFERROR(INDEX('Datos - Catálogo TIMSS'!$F$5:$F$107,MATCH(K190,'Datos - Catálogo TIMSS'!$A$5:$A$107,0)),"Pendiente de clasificar")))</f>
        <v/>
      </c>
      <c r="O190" s="11">
        <f>IF(L190="","",IFERROR(INDEX('Datos - Catálogo TIMSS'!$C$5:$C$107,MATCH(L190,'Datos - Catálogo TIMSS'!$A$5:$A$107,0)),"?"))</f>
        <v/>
      </c>
      <c r="P190" s="11" t="inlineStr">
        <is>
          <t>alta</t>
        </is>
      </c>
      <c r="Q190" s="38" t="inlineStr">
        <is>
          <t>Características de los planetas del sistema solar</t>
        </is>
      </c>
      <c r="R190" s="38" t="inlineStr">
        <is>
          <t>Aplicar: organizar datos. Razonar: comparar</t>
        </is>
      </c>
      <c r="S190" s="39">
        <f>IFERROR(ISNUMBER(SEARCH("Conocer",$R190))/(ISNUMBER(SEARCH("Conocer",$R190))+ISNUMBER(SEARCH("Aplicar",$R190))+ISNUMBER(SEARCH("Razonar",$R190))),0)</f>
        <v/>
      </c>
      <c r="T190" s="39">
        <f>IFERROR(ISNUMBER(SEARCH("Aplicar",$R190))/(ISNUMBER(SEARCH("Conocer",$R190))+ISNUMBER(SEARCH("Aplicar",$R190))+ISNUMBER(SEARCH("Razonar",$R190))),0)</f>
        <v/>
      </c>
      <c r="U190" s="39">
        <f>IFERROR(ISNUMBER(SEARCH("Razonar",$R190))/(ISNUMBER(SEARCH("Conocer",$R190))+ISNUMBER(SEARCH("Aplicar",$R190))+ISNUMBER(SEARCH("Razonar",$R190))),0)</f>
        <v/>
      </c>
      <c r="V190" s="11" t="inlineStr">
        <is>
          <t>4°</t>
        </is>
      </c>
      <c r="W190" s="11" t="inlineStr">
        <is>
          <t>Ciclo 2°–4°</t>
        </is>
      </c>
      <c r="X190" s="11">
        <f>IF(OR(IFERROR(INDEX('Datos - Catálogo TIMSS'!$I$5:$I$107,MATCH(K190,'Datos - Catálogo TIMSS'!$A$5:$A$107,0)),"No")="Sí",IFERROR(INDEX('Datos - Catálogo TIMSS'!$I$5:$I$107,MATCH(L190,'Datos - Catálogo TIMSS'!$A$5:$A$107,0)),"No")="Sí"),1,0)</f>
        <v/>
      </c>
      <c r="Y190" s="11">
        <f>IF(IFERROR(INDEX('Datos - Catálogo TIMSS'!$J$5:$J$107,MATCH(K190,'Datos - Catálogo TIMSS'!$A$5:$A$107,0)),"No")="Sí",1,0)</f>
        <v/>
      </c>
      <c r="Z190" s="11">
        <f>IF(IFERROR(INDEX('Datos - Catálogo TIMSS'!$J$5:$J$107,MATCH(L190,'Datos - Catálogo TIMSS'!$A$5:$A$107,0)),"No")="Sí",1,0)</f>
        <v/>
      </c>
      <c r="AA190" s="11" t="inlineStr">
        <is>
          <t>T4-T3.1</t>
        </is>
      </c>
      <c r="AB190" s="11" t="inlineStr"/>
      <c r="AC190" s="11">
        <f>IF(AA190="FUERA","Fuera del marco",IF(AA190="N/A","Sin marco",IFERROR(INDEX('Datos - TIMSS 2023'!$C$5:$C$105,MATCH(AA190,'Datos - TIMSS 2023'!$A$5:$A$105,0)),"Pendiente de clasificar")))</f>
        <v/>
      </c>
      <c r="AD190" s="11" t="inlineStr">
        <is>
          <t>3. Investigar, evaluar y usar información científica para tomar decisiones y actuar</t>
        </is>
      </c>
      <c r="AE190" s="11">
        <f>IF(AD190="","",IF(LEFT(AD190,1)="1","C1",IF(LEFT(AD190,1)="2","C2",IF(LEFT(AD190,1)="3","C3",""))))</f>
        <v/>
      </c>
      <c r="AF190" s="11" t="inlineStr">
        <is>
          <t>E1</t>
        </is>
      </c>
      <c r="AG190" s="11" t="inlineStr">
        <is>
          <t>D1</t>
        </is>
      </c>
      <c r="AH190" s="11" t="inlineStr">
        <is>
          <t>E2</t>
        </is>
      </c>
      <c r="AI190" s="11" t="inlineStr">
        <is>
          <t>I1</t>
        </is>
      </c>
      <c r="AJ190" s="11" t="inlineStr">
        <is>
          <t>I4</t>
        </is>
      </c>
      <c r="AK190" s="11" t="n"/>
      <c r="AL190" s="11" t="n"/>
      <c r="AM190" s="11" t="n"/>
      <c r="AN190" s="11" t="n"/>
      <c r="AO190" s="11" t="n"/>
      <c r="AP190" s="11" t="n"/>
      <c r="AQ190" s="11" t="n"/>
      <c r="AR190" s="11" t="n"/>
      <c r="AS190" s="11" t="n"/>
      <c r="AT190" s="11" t="n"/>
      <c r="AU190" s="11" t="n"/>
      <c r="AV190" s="11" t="n"/>
      <c r="AW190" s="11">
        <f>AF190&amp;"; "&amp;AG190&amp;"; "&amp;AH190&amp;"; "&amp;AI190&amp;"; "&amp;AJ190</f>
        <v/>
      </c>
    </row>
    <row r="191">
      <c r="A191" s="11" t="inlineStr">
        <is>
          <t>T0825-G04-CIE</t>
        </is>
      </c>
      <c r="B191" s="11" t="n">
        <v>4</v>
      </c>
      <c r="C191" s="11" t="inlineStr">
        <is>
          <t>Ciencias</t>
        </is>
      </c>
      <c r="D191" s="11" t="inlineStr">
        <is>
          <t>Matriz_Ciencias_4to_Grado_U1_U6.xlsx</t>
        </is>
      </c>
      <c r="E191" s="11" t="inlineStr">
        <is>
          <t>Unidad 4 - Sistema solar</t>
        </is>
      </c>
      <c r="F191" s="11" t="n">
        <v>12</v>
      </c>
      <c r="G191" s="11" t="inlineStr">
        <is>
          <t>4. Sistema solar.</t>
        </is>
      </c>
      <c r="H191" s="11" t="inlineStr">
        <is>
          <t>Satélites y asteroides.</t>
        </is>
      </c>
      <c r="I191" s="38" t="inlineStr">
        <is>
          <t>4.10. Indagación de los conceptos de satélite natural, satélite artificial y asteroides.</t>
        </is>
      </c>
      <c r="J191" s="11" t="inlineStr">
        <is>
          <t>T4_27</t>
        </is>
      </c>
      <c r="K191" s="11" t="inlineStr">
        <is>
          <t>T4_27-E4.1</t>
        </is>
      </c>
      <c r="L191" s="11" t="inlineStr"/>
      <c r="M191" s="11">
        <f>IF(K191="FUERA","Fuera del marco",IF(K191="N/A","Sin marco",IFERROR(INDEX('Datos - Catálogo TIMSS'!$C$5:$C$107,MATCH(K191,'Datos - Catálogo TIMSS'!$A$5:$A$107,0)),"Pendiente de clasificar")))</f>
        <v/>
      </c>
      <c r="N191" s="11">
        <f>IF(K191="FUERA","Fuera del marco",IF(K191="N/A","Sin marco",IFERROR(INDEX('Datos - Catálogo TIMSS'!$F$5:$F$107,MATCH(K191,'Datos - Catálogo TIMSS'!$A$5:$A$107,0)),"Pendiente de clasificar")))</f>
        <v/>
      </c>
      <c r="O191" s="11">
        <f>IF(L191="","",IFERROR(INDEX('Datos - Catálogo TIMSS'!$C$5:$C$107,MATCH(L191,'Datos - Catálogo TIMSS'!$A$5:$A$107,0)),"?"))</f>
        <v/>
      </c>
      <c r="P191" s="11" t="inlineStr">
        <is>
          <t>media</t>
        </is>
      </c>
      <c r="Q191" s="38" t="inlineStr">
        <is>
          <t>Satélites y asteroides como objetos del sistema solar</t>
        </is>
      </c>
      <c r="R191" s="38" t="inlineStr">
        <is>
          <t>Conocer: definir y diferenciar</t>
        </is>
      </c>
      <c r="S191" s="39">
        <f>IFERROR(ISNUMBER(SEARCH("Conocer",$R191))/(ISNUMBER(SEARCH("Conocer",$R191))+ISNUMBER(SEARCH("Aplicar",$R191))+ISNUMBER(SEARCH("Razonar",$R191))),0)</f>
        <v/>
      </c>
      <c r="T191" s="39">
        <f>IFERROR(ISNUMBER(SEARCH("Aplicar",$R191))/(ISNUMBER(SEARCH("Conocer",$R191))+ISNUMBER(SEARCH("Aplicar",$R191))+ISNUMBER(SEARCH("Razonar",$R191))),0)</f>
        <v/>
      </c>
      <c r="U191" s="39">
        <f>IFERROR(ISNUMBER(SEARCH("Razonar",$R191))/(ISNUMBER(SEARCH("Conocer",$R191))+ISNUMBER(SEARCH("Aplicar",$R191))+ISNUMBER(SEARCH("Razonar",$R191))),0)</f>
        <v/>
      </c>
      <c r="V191" s="11" t="inlineStr">
        <is>
          <t>4°</t>
        </is>
      </c>
      <c r="W191" s="11" t="inlineStr">
        <is>
          <t>Ciclo 2°–4°</t>
        </is>
      </c>
      <c r="X191" s="11">
        <f>IF(OR(IFERROR(INDEX('Datos - Catálogo TIMSS'!$I$5:$I$107,MATCH(K191,'Datos - Catálogo TIMSS'!$A$5:$A$107,0)),"No")="Sí",IFERROR(INDEX('Datos - Catálogo TIMSS'!$I$5:$I$107,MATCH(L191,'Datos - Catálogo TIMSS'!$A$5:$A$107,0)),"No")="Sí"),1,0)</f>
        <v/>
      </c>
      <c r="Y191" s="11">
        <f>IF(IFERROR(INDEX('Datos - Catálogo TIMSS'!$J$5:$J$107,MATCH(K191,'Datos - Catálogo TIMSS'!$A$5:$A$107,0)),"No")="Sí",1,0)</f>
        <v/>
      </c>
      <c r="Z191" s="11">
        <f>IF(IFERROR(INDEX('Datos - Catálogo TIMSS'!$J$5:$J$107,MATCH(L191,'Datos - Catálogo TIMSS'!$A$5:$A$107,0)),"No")="Sí",1,0)</f>
        <v/>
      </c>
      <c r="AA191" s="11" t="inlineStr">
        <is>
          <t>T4-T3.1</t>
        </is>
      </c>
      <c r="AB191" s="11" t="inlineStr"/>
      <c r="AC191" s="11">
        <f>IF(AA191="FUERA","Fuera del marco",IF(AA191="N/A","Sin marco",IFERROR(INDEX('Datos - TIMSS 2023'!$C$5:$C$105,MATCH(AA191,'Datos - TIMSS 2023'!$A$5:$A$105,0)),"Pendiente de clasificar")))</f>
        <v/>
      </c>
      <c r="AD191" s="11" t="inlineStr">
        <is>
          <t>1. Explicar fenómenos científicamente</t>
        </is>
      </c>
      <c r="AE191" s="11">
        <f>IF(AD191="","",IF(LEFT(AD191,1)="1","C1",IF(LEFT(AD191,1)="2","C2",IF(LEFT(AD191,1)="3","C3",""))))</f>
        <v/>
      </c>
      <c r="AF191" s="11" t="inlineStr">
        <is>
          <t>E1</t>
        </is>
      </c>
      <c r="AG191" s="11" t="inlineStr">
        <is>
          <t>D1</t>
        </is>
      </c>
      <c r="AH191" s="11" t="inlineStr">
        <is>
          <t>E1</t>
        </is>
      </c>
      <c r="AI191" s="11" t="inlineStr">
        <is>
          <t>D4</t>
        </is>
      </c>
      <c r="AJ191" s="11" t="inlineStr">
        <is>
          <t>E6</t>
        </is>
      </c>
      <c r="AK191" s="11" t="n"/>
      <c r="AL191" s="11" t="n"/>
      <c r="AM191" s="11" t="n"/>
      <c r="AN191" s="11" t="n"/>
      <c r="AO191" s="11" t="n"/>
      <c r="AP191" s="11" t="n"/>
      <c r="AQ191" s="11" t="n"/>
      <c r="AR191" s="11" t="n"/>
      <c r="AS191" s="11" t="n"/>
      <c r="AT191" s="11" t="n"/>
      <c r="AU191" s="11" t="n"/>
      <c r="AV191" s="11" t="n"/>
      <c r="AW191" s="11">
        <f>AF191&amp;"; "&amp;AG191&amp;"; "&amp;AH191&amp;"; "&amp;AI191&amp;"; "&amp;AJ191</f>
        <v/>
      </c>
    </row>
    <row r="192">
      <c r="A192" s="11" t="inlineStr">
        <is>
          <t>T0826-G04-CIE</t>
        </is>
      </c>
      <c r="B192" s="11" t="n">
        <v>4</v>
      </c>
      <c r="C192" s="11" t="inlineStr">
        <is>
          <t>Ciencias</t>
        </is>
      </c>
      <c r="D192" s="11" t="inlineStr">
        <is>
          <t>Matriz_Ciencias_4to_Grado_U1_U6.xlsx</t>
        </is>
      </c>
      <c r="E192" s="11" t="inlineStr">
        <is>
          <t>Unidad 4 - Sistema solar</t>
        </is>
      </c>
      <c r="F192" s="11" t="n">
        <v>13</v>
      </c>
      <c r="G192" s="11" t="inlineStr">
        <is>
          <t>4. Sistema solar.</t>
        </is>
      </c>
      <c r="H192" s="11" t="inlineStr">
        <is>
          <t>Satélites y asteroides.</t>
        </is>
      </c>
      <c r="I192" s="38" t="inlineStr">
        <is>
          <t>4.11. Reconocimiento de algunos satélites naturales del sistema solar.</t>
        </is>
      </c>
      <c r="J192" s="11" t="inlineStr">
        <is>
          <t>T4_27</t>
        </is>
      </c>
      <c r="K192" s="11" t="inlineStr">
        <is>
          <t>T4_27-E4.1</t>
        </is>
      </c>
      <c r="L192" s="11" t="inlineStr"/>
      <c r="M192" s="11">
        <f>IF(K192="FUERA","Fuera del marco",IF(K192="N/A","Sin marco",IFERROR(INDEX('Datos - Catálogo TIMSS'!$C$5:$C$107,MATCH(K192,'Datos - Catálogo TIMSS'!$A$5:$A$107,0)),"Pendiente de clasificar")))</f>
        <v/>
      </c>
      <c r="N192" s="11">
        <f>IF(K192="FUERA","Fuera del marco",IF(K192="N/A","Sin marco",IFERROR(INDEX('Datos - Catálogo TIMSS'!$F$5:$F$107,MATCH(K192,'Datos - Catálogo TIMSS'!$A$5:$A$107,0)),"Pendiente de clasificar")))</f>
        <v/>
      </c>
      <c r="O192" s="11">
        <f>IF(L192="","",IFERROR(INDEX('Datos - Catálogo TIMSS'!$C$5:$C$107,MATCH(L192,'Datos - Catálogo TIMSS'!$A$5:$A$107,0)),"?"))</f>
        <v/>
      </c>
      <c r="P192" s="11" t="inlineStr">
        <is>
          <t>media</t>
        </is>
      </c>
      <c r="Q192" s="38" t="inlineStr">
        <is>
          <t>Satélites naturales que giran alrededor de planetas</t>
        </is>
      </c>
      <c r="R192" s="38" t="inlineStr">
        <is>
          <t>Conocer: reconocer</t>
        </is>
      </c>
      <c r="S192" s="39">
        <f>IFERROR(ISNUMBER(SEARCH("Conocer",$R192))/(ISNUMBER(SEARCH("Conocer",$R192))+ISNUMBER(SEARCH("Aplicar",$R192))+ISNUMBER(SEARCH("Razonar",$R192))),0)</f>
        <v/>
      </c>
      <c r="T192" s="39">
        <f>IFERROR(ISNUMBER(SEARCH("Aplicar",$R192))/(ISNUMBER(SEARCH("Conocer",$R192))+ISNUMBER(SEARCH("Aplicar",$R192))+ISNUMBER(SEARCH("Razonar",$R192))),0)</f>
        <v/>
      </c>
      <c r="U192" s="39">
        <f>IFERROR(ISNUMBER(SEARCH("Razonar",$R192))/(ISNUMBER(SEARCH("Conocer",$R192))+ISNUMBER(SEARCH("Aplicar",$R192))+ISNUMBER(SEARCH("Razonar",$R192))),0)</f>
        <v/>
      </c>
      <c r="V192" s="11" t="inlineStr">
        <is>
          <t>4°</t>
        </is>
      </c>
      <c r="W192" s="11" t="inlineStr">
        <is>
          <t>Ciclo 2°–4°</t>
        </is>
      </c>
      <c r="X192" s="11">
        <f>IF(OR(IFERROR(INDEX('Datos - Catálogo TIMSS'!$I$5:$I$107,MATCH(K192,'Datos - Catálogo TIMSS'!$A$5:$A$107,0)),"No")="Sí",IFERROR(INDEX('Datos - Catálogo TIMSS'!$I$5:$I$107,MATCH(L192,'Datos - Catálogo TIMSS'!$A$5:$A$107,0)),"No")="Sí"),1,0)</f>
        <v/>
      </c>
      <c r="Y192" s="11">
        <f>IF(IFERROR(INDEX('Datos - Catálogo TIMSS'!$J$5:$J$107,MATCH(K192,'Datos - Catálogo TIMSS'!$A$5:$A$107,0)),"No")="Sí",1,0)</f>
        <v/>
      </c>
      <c r="Z192" s="11">
        <f>IF(IFERROR(INDEX('Datos - Catálogo TIMSS'!$J$5:$J$107,MATCH(L192,'Datos - Catálogo TIMSS'!$A$5:$A$107,0)),"No")="Sí",1,0)</f>
        <v/>
      </c>
      <c r="AA192" s="11" t="inlineStr">
        <is>
          <t>T4-T3.1</t>
        </is>
      </c>
      <c r="AB192" s="11" t="inlineStr"/>
      <c r="AC192" s="11">
        <f>IF(AA192="FUERA","Fuera del marco",IF(AA192="N/A","Sin marco",IFERROR(INDEX('Datos - TIMSS 2023'!$C$5:$C$105,MATCH(AA192,'Datos - TIMSS 2023'!$A$5:$A$105,0)),"Pendiente de clasificar")))</f>
        <v/>
      </c>
      <c r="AD192" s="11" t="inlineStr">
        <is>
          <t>1. Explicar fenómenos científicamente</t>
        </is>
      </c>
      <c r="AE192" s="11">
        <f>IF(AD192="","",IF(LEFT(AD192,1)="1","C1",IF(LEFT(AD192,1)="2","C2",IF(LEFT(AD192,1)="3","C3",""))))</f>
        <v/>
      </c>
      <c r="AF192" s="11" t="inlineStr">
        <is>
          <t>E1</t>
        </is>
      </c>
      <c r="AG192" s="11" t="inlineStr">
        <is>
          <t>D1</t>
        </is>
      </c>
      <c r="AH192" s="11" t="inlineStr">
        <is>
          <t>E1</t>
        </is>
      </c>
      <c r="AI192" s="11" t="inlineStr">
        <is>
          <t>D4</t>
        </is>
      </c>
      <c r="AJ192" s="11" t="inlineStr">
        <is>
          <t>E1</t>
        </is>
      </c>
      <c r="AK192" s="11" t="n"/>
      <c r="AL192" s="11" t="n"/>
      <c r="AM192" s="11" t="n"/>
      <c r="AN192" s="11" t="n"/>
      <c r="AO192" s="11" t="n"/>
      <c r="AP192" s="11" t="n"/>
      <c r="AQ192" s="11" t="n"/>
      <c r="AR192" s="11" t="n"/>
      <c r="AS192" s="11" t="n"/>
      <c r="AT192" s="11" t="n"/>
      <c r="AU192" s="11" t="n"/>
      <c r="AV192" s="11" t="n"/>
      <c r="AW192" s="11">
        <f>AF192&amp;"; "&amp;AG192&amp;"; "&amp;AH192&amp;"; "&amp;AI192&amp;"; "&amp;AJ192</f>
        <v/>
      </c>
    </row>
    <row r="193">
      <c r="A193" s="11" t="inlineStr">
        <is>
          <t>T0827-G04-CIE</t>
        </is>
      </c>
      <c r="B193" s="11" t="n">
        <v>4</v>
      </c>
      <c r="C193" s="11" t="inlineStr">
        <is>
          <t>Ciencias</t>
        </is>
      </c>
      <c r="D193" s="11" t="inlineStr">
        <is>
          <t>Matriz_Ciencias_4to_Grado_U1_U6.xlsx</t>
        </is>
      </c>
      <c r="E193" s="11" t="inlineStr">
        <is>
          <t>Unidad 4 - Sistema solar</t>
        </is>
      </c>
      <c r="F193" s="11" t="n">
        <v>14</v>
      </c>
      <c r="G193" s="11" t="inlineStr">
        <is>
          <t>4. Sistema solar.</t>
        </is>
      </c>
      <c r="H193" s="11" t="inlineStr">
        <is>
          <t>Satélites y asteroides.</t>
        </is>
      </c>
      <c r="I193" s="38" t="inlineStr">
        <is>
          <t>4.12. Caracterización de otros objetos astronómicos del sistema solar.</t>
        </is>
      </c>
      <c r="J193" s="11" t="inlineStr">
        <is>
          <t>T4_27</t>
        </is>
      </c>
      <c r="K193" s="11" t="inlineStr">
        <is>
          <t>T4_27-E4.1</t>
        </is>
      </c>
      <c r="L193" s="11" t="inlineStr"/>
      <c r="M193" s="11">
        <f>IF(K193="FUERA","Fuera del marco",IF(K193="N/A","Sin marco",IFERROR(INDEX('Datos - Catálogo TIMSS'!$C$5:$C$107,MATCH(K193,'Datos - Catálogo TIMSS'!$A$5:$A$107,0)),"Pendiente de clasificar")))</f>
        <v/>
      </c>
      <c r="N193" s="11">
        <f>IF(K193="FUERA","Fuera del marco",IF(K193="N/A","Sin marco",IFERROR(INDEX('Datos - Catálogo TIMSS'!$F$5:$F$107,MATCH(K193,'Datos - Catálogo TIMSS'!$A$5:$A$107,0)),"Pendiente de clasificar")))</f>
        <v/>
      </c>
      <c r="O193" s="11">
        <f>IF(L193="","",IFERROR(INDEX('Datos - Catálogo TIMSS'!$C$5:$C$107,MATCH(L193,'Datos - Catálogo TIMSS'!$A$5:$A$107,0)),"?"))</f>
        <v/>
      </c>
      <c r="P193" s="11" t="inlineStr">
        <is>
          <t>alta</t>
        </is>
      </c>
      <c r="Q193" s="38" t="inlineStr">
        <is>
          <t>Modelo a escala del sistema solar y sus objetos</t>
        </is>
      </c>
      <c r="R193" s="38" t="inlineStr">
        <is>
          <t>Aplicar: usar modelos a escala</t>
        </is>
      </c>
      <c r="S193" s="39">
        <f>IFERROR(ISNUMBER(SEARCH("Conocer",$R193))/(ISNUMBER(SEARCH("Conocer",$R193))+ISNUMBER(SEARCH("Aplicar",$R193))+ISNUMBER(SEARCH("Razonar",$R193))),0)</f>
        <v/>
      </c>
      <c r="T193" s="39">
        <f>IFERROR(ISNUMBER(SEARCH("Aplicar",$R193))/(ISNUMBER(SEARCH("Conocer",$R193))+ISNUMBER(SEARCH("Aplicar",$R193))+ISNUMBER(SEARCH("Razonar",$R193))),0)</f>
        <v/>
      </c>
      <c r="U193" s="39">
        <f>IFERROR(ISNUMBER(SEARCH("Razonar",$R193))/(ISNUMBER(SEARCH("Conocer",$R193))+ISNUMBER(SEARCH("Aplicar",$R193))+ISNUMBER(SEARCH("Razonar",$R193))),0)</f>
        <v/>
      </c>
      <c r="V193" s="11" t="inlineStr">
        <is>
          <t>4°</t>
        </is>
      </c>
      <c r="W193" s="11" t="inlineStr">
        <is>
          <t>Ciclo 2°–4°</t>
        </is>
      </c>
      <c r="X193" s="11">
        <f>IF(OR(IFERROR(INDEX('Datos - Catálogo TIMSS'!$I$5:$I$107,MATCH(K193,'Datos - Catálogo TIMSS'!$A$5:$A$107,0)),"No")="Sí",IFERROR(INDEX('Datos - Catálogo TIMSS'!$I$5:$I$107,MATCH(L193,'Datos - Catálogo TIMSS'!$A$5:$A$107,0)),"No")="Sí"),1,0)</f>
        <v/>
      </c>
      <c r="Y193" s="11">
        <f>IF(IFERROR(INDEX('Datos - Catálogo TIMSS'!$J$5:$J$107,MATCH(K193,'Datos - Catálogo TIMSS'!$A$5:$A$107,0)),"No")="Sí",1,0)</f>
        <v/>
      </c>
      <c r="Z193" s="11">
        <f>IF(IFERROR(INDEX('Datos - Catálogo TIMSS'!$J$5:$J$107,MATCH(L193,'Datos - Catálogo TIMSS'!$A$5:$A$107,0)),"No")="Sí",1,0)</f>
        <v/>
      </c>
      <c r="AA193" s="11" t="inlineStr">
        <is>
          <t>T4-T3.1</t>
        </is>
      </c>
      <c r="AB193" s="11" t="inlineStr"/>
      <c r="AC193" s="11">
        <f>IF(AA193="FUERA","Fuera del marco",IF(AA193="N/A","Sin marco",IFERROR(INDEX('Datos - TIMSS 2023'!$C$5:$C$105,MATCH(AA193,'Datos - TIMSS 2023'!$A$5:$A$105,0)),"Pendiente de clasificar")))</f>
        <v/>
      </c>
      <c r="AD193" s="11" t="inlineStr">
        <is>
          <t>1. Explicar fenómenos científicamente</t>
        </is>
      </c>
      <c r="AE193" s="11">
        <f>IF(AD193="","",IF(LEFT(AD193,1)="1","C1",IF(LEFT(AD193,1)="2","C2",IF(LEFT(AD193,1)="3","C3",""))))</f>
        <v/>
      </c>
      <c r="AF193" s="11" t="inlineStr">
        <is>
          <t>E1</t>
        </is>
      </c>
      <c r="AG193" s="11" t="inlineStr">
        <is>
          <t>D1</t>
        </is>
      </c>
      <c r="AH193" s="11" t="inlineStr">
        <is>
          <t>E4</t>
        </is>
      </c>
      <c r="AI193" s="11" t="inlineStr">
        <is>
          <t>E4</t>
        </is>
      </c>
      <c r="AJ193" s="11" t="inlineStr">
        <is>
          <t>E1</t>
        </is>
      </c>
      <c r="AK193" s="11" t="n"/>
      <c r="AL193" s="11" t="n"/>
      <c r="AM193" s="11" t="n"/>
      <c r="AN193" s="11" t="n"/>
      <c r="AO193" s="11" t="n"/>
      <c r="AP193" s="11" t="n"/>
      <c r="AQ193" s="11" t="n"/>
      <c r="AR193" s="11" t="n"/>
      <c r="AS193" s="11" t="n"/>
      <c r="AT193" s="11" t="n"/>
      <c r="AU193" s="11" t="n"/>
      <c r="AV193" s="11" t="n"/>
      <c r="AW193" s="11">
        <f>AF193&amp;"; "&amp;AG193&amp;"; "&amp;AH193&amp;"; "&amp;AI193&amp;"; "&amp;AJ193</f>
        <v/>
      </c>
    </row>
    <row r="194">
      <c r="A194" s="11" t="inlineStr">
        <is>
          <t>T0828-G04-CIE</t>
        </is>
      </c>
      <c r="B194" s="11" t="n">
        <v>4</v>
      </c>
      <c r="C194" s="11" t="inlineStr">
        <is>
          <t>Ciencias</t>
        </is>
      </c>
      <c r="D194" s="11" t="inlineStr">
        <is>
          <t>Matriz_Ciencias_4to_Grado_U1_U6.xlsx</t>
        </is>
      </c>
      <c r="E194" s="11" t="inlineStr">
        <is>
          <t xml:space="preserve">Unidad 5 - C. humano materia y </t>
        </is>
      </c>
      <c r="F194" s="11" t="n">
        <v>3</v>
      </c>
      <c r="G194" s="11" t="inlineStr">
        <is>
          <t>5. Cuerpo humano: materia y energía.</t>
        </is>
      </c>
      <c r="H194" s="11" t="inlineStr">
        <is>
          <t>Sistema digestivo.</t>
        </is>
      </c>
      <c r="I194" s="38" t="inlineStr">
        <is>
          <t>5.1. Descripción de las funciones, la importancia y los cuidados del sistema digestivo.</t>
        </is>
      </c>
      <c r="J194" s="11" t="inlineStr">
        <is>
          <t>T4_27</t>
        </is>
      </c>
      <c r="K194" s="11" t="inlineStr">
        <is>
          <t>T4_27-B1.3</t>
        </is>
      </c>
      <c r="L194" s="11" t="inlineStr">
        <is>
          <t>T4_27-B5.2</t>
        </is>
      </c>
      <c r="M194" s="11">
        <f>IF(K194="FUERA","Fuera del marco",IF(K194="N/A","Sin marco",IFERROR(INDEX('Datos - Catálogo TIMSS'!$C$5:$C$107,MATCH(K194,'Datos - Catálogo TIMSS'!$A$5:$A$107,0)),"Pendiente de clasificar")))</f>
        <v/>
      </c>
      <c r="N194" s="11">
        <f>IF(K194="FUERA","Fuera del marco",IF(K194="N/A","Sin marco",IFERROR(INDEX('Datos - Catálogo TIMSS'!$F$5:$F$107,MATCH(K194,'Datos - Catálogo TIMSS'!$A$5:$A$107,0)),"Pendiente de clasificar")))</f>
        <v/>
      </c>
      <c r="O194" s="11">
        <f>IF(L194="","",IFERROR(INDEX('Datos - Catálogo TIMSS'!$C$5:$C$107,MATCH(L194,'Datos - Catálogo TIMSS'!$A$5:$A$107,0)),"?"))</f>
        <v/>
      </c>
      <c r="P194" s="11" t="inlineStr">
        <is>
          <t>alta</t>
        </is>
      </c>
      <c r="Q194" s="38" t="inlineStr">
        <is>
          <t>Funciones del sistema digestivo y hábitos de cuidado</t>
        </is>
      </c>
      <c r="R194" s="38" t="inlineStr">
        <is>
          <t>Conocer: describir funciones</t>
        </is>
      </c>
      <c r="S194" s="39">
        <f>IFERROR(ISNUMBER(SEARCH("Conocer",$R194))/(ISNUMBER(SEARCH("Conocer",$R194))+ISNUMBER(SEARCH("Aplicar",$R194))+ISNUMBER(SEARCH("Razonar",$R194))),0)</f>
        <v/>
      </c>
      <c r="T194" s="39">
        <f>IFERROR(ISNUMBER(SEARCH("Aplicar",$R194))/(ISNUMBER(SEARCH("Conocer",$R194))+ISNUMBER(SEARCH("Aplicar",$R194))+ISNUMBER(SEARCH("Razonar",$R194))),0)</f>
        <v/>
      </c>
      <c r="U194" s="39">
        <f>IFERROR(ISNUMBER(SEARCH("Razonar",$R194))/(ISNUMBER(SEARCH("Conocer",$R194))+ISNUMBER(SEARCH("Aplicar",$R194))+ISNUMBER(SEARCH("Razonar",$R194))),0)</f>
        <v/>
      </c>
      <c r="V194" s="11" t="inlineStr">
        <is>
          <t>4°</t>
        </is>
      </c>
      <c r="W194" s="11" t="inlineStr">
        <is>
          <t>Ciclo 2°–4°</t>
        </is>
      </c>
      <c r="X194" s="11">
        <f>IF(OR(IFERROR(INDEX('Datos - Catálogo TIMSS'!$I$5:$I$107,MATCH(K194,'Datos - Catálogo TIMSS'!$A$5:$A$107,0)),"No")="Sí",IFERROR(INDEX('Datos - Catálogo TIMSS'!$I$5:$I$107,MATCH(L194,'Datos - Catálogo TIMSS'!$A$5:$A$107,0)),"No")="Sí"),1,0)</f>
        <v/>
      </c>
      <c r="Y194" s="11">
        <f>IF(IFERROR(INDEX('Datos - Catálogo TIMSS'!$J$5:$J$107,MATCH(K194,'Datos - Catálogo TIMSS'!$A$5:$A$107,0)),"No")="Sí",1,0)</f>
        <v/>
      </c>
      <c r="Z194" s="11">
        <f>IF(IFERROR(INDEX('Datos - Catálogo TIMSS'!$J$5:$J$107,MATCH(L194,'Datos - Catálogo TIMSS'!$A$5:$A$107,0)),"No")="Sí",1,0)</f>
        <v/>
      </c>
      <c r="AA194" s="11" t="inlineStr">
        <is>
          <t>T4-V1.3</t>
        </is>
      </c>
      <c r="AB194" s="11" t="inlineStr">
        <is>
          <t>T4-V5.1</t>
        </is>
      </c>
      <c r="AC194" s="11">
        <f>IF(AA194="FUERA","Fuera del marco",IF(AA194="N/A","Sin marco",IFERROR(INDEX('Datos - TIMSS 2023'!$C$5:$C$105,MATCH(AA194,'Datos - TIMSS 2023'!$A$5:$A$105,0)),"Pendiente de clasificar")))</f>
        <v/>
      </c>
      <c r="AD194" s="11" t="inlineStr">
        <is>
          <t>1. Explicar fenómenos científicamente</t>
        </is>
      </c>
      <c r="AE194" s="11">
        <f>IF(AD194="","",IF(LEFT(AD194,1)="1","C1",IF(LEFT(AD194,1)="2","C2",IF(LEFT(AD194,1)="3","C3",""))))</f>
        <v/>
      </c>
      <c r="AF194" s="11" t="inlineStr">
        <is>
          <t>E1</t>
        </is>
      </c>
      <c r="AG194" s="11" t="inlineStr">
        <is>
          <t>D1</t>
        </is>
      </c>
      <c r="AH194" s="11" t="inlineStr">
        <is>
          <t>E1</t>
        </is>
      </c>
      <c r="AI194" s="11" t="inlineStr">
        <is>
          <t>D4</t>
        </is>
      </c>
      <c r="AJ194" s="11" t="inlineStr">
        <is>
          <t>I5</t>
        </is>
      </c>
      <c r="AK194" s="11" t="n"/>
      <c r="AL194" s="11" t="n"/>
      <c r="AM194" s="11" t="n"/>
      <c r="AN194" s="11" t="n"/>
      <c r="AO194" s="11" t="n"/>
      <c r="AP194" s="11" t="n"/>
      <c r="AQ194" s="11" t="n"/>
      <c r="AR194" s="11" t="n"/>
      <c r="AS194" s="11" t="n"/>
      <c r="AT194" s="11" t="n"/>
      <c r="AU194" s="11" t="n"/>
      <c r="AV194" s="11" t="n"/>
      <c r="AW194" s="11">
        <f>AF194&amp;"; "&amp;AG194&amp;"; "&amp;AH194&amp;"; "&amp;AI194&amp;"; "&amp;AJ194</f>
        <v/>
      </c>
    </row>
    <row r="195">
      <c r="A195" s="11" t="inlineStr">
        <is>
          <t>T0829-G04-CIE</t>
        </is>
      </c>
      <c r="B195" s="11" t="n">
        <v>4</v>
      </c>
      <c r="C195" s="11" t="inlineStr">
        <is>
          <t>Ciencias</t>
        </is>
      </c>
      <c r="D195" s="11" t="inlineStr">
        <is>
          <t>Matriz_Ciencias_4to_Grado_U1_U6.xlsx</t>
        </is>
      </c>
      <c r="E195" s="11" t="inlineStr">
        <is>
          <t xml:space="preserve">Unidad 5 - C. humano materia y </t>
        </is>
      </c>
      <c r="F195" s="11" t="n">
        <v>4</v>
      </c>
      <c r="G195" s="11" t="inlineStr">
        <is>
          <t>5. Cuerpo humano: materia y energía.</t>
        </is>
      </c>
      <c r="H195" s="11" t="inlineStr">
        <is>
          <t>Sistema digestivo.</t>
        </is>
      </c>
      <c r="I195" s="38" t="inlineStr">
        <is>
          <t>5.2. Construcción de modelo del sistema digestivo.</t>
        </is>
      </c>
      <c r="J195" s="11" t="inlineStr">
        <is>
          <t>T4_27</t>
        </is>
      </c>
      <c r="K195" s="11" t="inlineStr">
        <is>
          <t>T4_27-B1.3</t>
        </is>
      </c>
      <c r="L195" s="11" t="inlineStr"/>
      <c r="M195" s="11">
        <f>IF(K195="FUERA","Fuera del marco",IF(K195="N/A","Sin marco",IFERROR(INDEX('Datos - Catálogo TIMSS'!$C$5:$C$107,MATCH(K195,'Datos - Catálogo TIMSS'!$A$5:$A$107,0)),"Pendiente de clasificar")))</f>
        <v/>
      </c>
      <c r="N195" s="11">
        <f>IF(K195="FUERA","Fuera del marco",IF(K195="N/A","Sin marco",IFERROR(INDEX('Datos - Catálogo TIMSS'!$F$5:$F$107,MATCH(K195,'Datos - Catálogo TIMSS'!$A$5:$A$107,0)),"Pendiente de clasificar")))</f>
        <v/>
      </c>
      <c r="O195" s="11">
        <f>IF(L195="","",IFERROR(INDEX('Datos - Catálogo TIMSS'!$C$5:$C$107,MATCH(L195,'Datos - Catálogo TIMSS'!$A$5:$A$107,0)),"?"))</f>
        <v/>
      </c>
      <c r="P195" s="11" t="inlineStr">
        <is>
          <t>alta</t>
        </is>
      </c>
      <c r="Q195" s="38" t="inlineStr">
        <is>
          <t>Modelo de estructuras digestivas y su función</t>
        </is>
      </c>
      <c r="R195" s="38" t="inlineStr">
        <is>
          <t>Aplicar: construir modelos. Razonar: evaluar</t>
        </is>
      </c>
      <c r="S195" s="39">
        <f>IFERROR(ISNUMBER(SEARCH("Conocer",$R195))/(ISNUMBER(SEARCH("Conocer",$R195))+ISNUMBER(SEARCH("Aplicar",$R195))+ISNUMBER(SEARCH("Razonar",$R195))),0)</f>
        <v/>
      </c>
      <c r="T195" s="39">
        <f>IFERROR(ISNUMBER(SEARCH("Aplicar",$R195))/(ISNUMBER(SEARCH("Conocer",$R195))+ISNUMBER(SEARCH("Aplicar",$R195))+ISNUMBER(SEARCH("Razonar",$R195))),0)</f>
        <v/>
      </c>
      <c r="U195" s="39">
        <f>IFERROR(ISNUMBER(SEARCH("Razonar",$R195))/(ISNUMBER(SEARCH("Conocer",$R195))+ISNUMBER(SEARCH("Aplicar",$R195))+ISNUMBER(SEARCH("Razonar",$R195))),0)</f>
        <v/>
      </c>
      <c r="V195" s="11" t="inlineStr">
        <is>
          <t>4°</t>
        </is>
      </c>
      <c r="W195" s="11" t="inlineStr">
        <is>
          <t>Ciclo 2°–4°</t>
        </is>
      </c>
      <c r="X195" s="11">
        <f>IF(OR(IFERROR(INDEX('Datos - Catálogo TIMSS'!$I$5:$I$107,MATCH(K195,'Datos - Catálogo TIMSS'!$A$5:$A$107,0)),"No")="Sí",IFERROR(INDEX('Datos - Catálogo TIMSS'!$I$5:$I$107,MATCH(L195,'Datos - Catálogo TIMSS'!$A$5:$A$107,0)),"No")="Sí"),1,0)</f>
        <v/>
      </c>
      <c r="Y195" s="11">
        <f>IF(IFERROR(INDEX('Datos - Catálogo TIMSS'!$J$5:$J$107,MATCH(K195,'Datos - Catálogo TIMSS'!$A$5:$A$107,0)),"No")="Sí",1,0)</f>
        <v/>
      </c>
      <c r="Z195" s="11">
        <f>IF(IFERROR(INDEX('Datos - Catálogo TIMSS'!$J$5:$J$107,MATCH(L195,'Datos - Catálogo TIMSS'!$A$5:$A$107,0)),"No")="Sí",1,0)</f>
        <v/>
      </c>
      <c r="AA195" s="11" t="inlineStr">
        <is>
          <t>T4-V1.3</t>
        </is>
      </c>
      <c r="AB195" s="11" t="inlineStr"/>
      <c r="AC195" s="11">
        <f>IF(AA195="FUERA","Fuera del marco",IF(AA195="N/A","Sin marco",IFERROR(INDEX('Datos - TIMSS 2023'!$C$5:$C$105,MATCH(AA195,'Datos - TIMSS 2023'!$A$5:$A$105,0)),"Pendiente de clasificar")))</f>
        <v/>
      </c>
      <c r="AD195" s="11" t="inlineStr">
        <is>
          <t>2. Construir y evaluar diseños para la indagación científica e interpretar datos y evidencia de forma crítica</t>
        </is>
      </c>
      <c r="AE195" s="11">
        <f>IF(AD195="","",IF(LEFT(AD195,1)="1","C1",IF(LEFT(AD195,1)="2","C2",IF(LEFT(AD195,1)="3","C3",""))))</f>
        <v/>
      </c>
      <c r="AF195" s="11" t="inlineStr">
        <is>
          <t>E1</t>
        </is>
      </c>
      <c r="AG195" s="11" t="inlineStr">
        <is>
          <t>D1</t>
        </is>
      </c>
      <c r="AH195" s="11" t="inlineStr">
        <is>
          <t>E4</t>
        </is>
      </c>
      <c r="AI195" s="11" t="inlineStr">
        <is>
          <t>E4</t>
        </is>
      </c>
      <c r="AJ195" s="11" t="inlineStr">
        <is>
          <t>E3</t>
        </is>
      </c>
      <c r="AK195" s="11" t="n"/>
      <c r="AL195" s="11" t="n"/>
      <c r="AM195" s="11" t="n"/>
      <c r="AN195" s="11" t="n"/>
      <c r="AO195" s="11" t="n"/>
      <c r="AP195" s="11" t="n"/>
      <c r="AQ195" s="11" t="n"/>
      <c r="AR195" s="11" t="n"/>
      <c r="AS195" s="11" t="n"/>
      <c r="AT195" s="11" t="n"/>
      <c r="AU195" s="11" t="n"/>
      <c r="AV195" s="11" t="n"/>
      <c r="AW195" s="11">
        <f>AF195&amp;"; "&amp;AG195&amp;"; "&amp;AH195&amp;"; "&amp;AI195&amp;"; "&amp;AJ195</f>
        <v/>
      </c>
    </row>
    <row r="196">
      <c r="A196" s="11" t="inlineStr">
        <is>
          <t>T0830-G04-CIE</t>
        </is>
      </c>
      <c r="B196" s="11" t="n">
        <v>4</v>
      </c>
      <c r="C196" s="11" t="inlineStr">
        <is>
          <t>Ciencias</t>
        </is>
      </c>
      <c r="D196" s="11" t="inlineStr">
        <is>
          <t>Matriz_Ciencias_4to_Grado_U1_U6.xlsx</t>
        </is>
      </c>
      <c r="E196" s="11" t="inlineStr">
        <is>
          <t xml:space="preserve">Unidad 5 - C. humano materia y </t>
        </is>
      </c>
      <c r="F196" s="11" t="n">
        <v>5</v>
      </c>
      <c r="G196" s="11" t="inlineStr">
        <is>
          <t>5. Cuerpo humano: materia y energía.</t>
        </is>
      </c>
      <c r="H196" s="11" t="inlineStr">
        <is>
          <t>Sistema respiratorio.</t>
        </is>
      </c>
      <c r="I196" s="38" t="inlineStr">
        <is>
          <t>5.3. Descripción de las funciones, la importancia y los cuidados del sistema respiratorio..</t>
        </is>
      </c>
      <c r="J196" s="11" t="inlineStr">
        <is>
          <t>T4_27</t>
        </is>
      </c>
      <c r="K196" s="11" t="inlineStr">
        <is>
          <t>T4_27-B1.3</t>
        </is>
      </c>
      <c r="L196" s="11" t="inlineStr">
        <is>
          <t>T4_27-B1.4</t>
        </is>
      </c>
      <c r="M196" s="11">
        <f>IF(K196="FUERA","Fuera del marco",IF(K196="N/A","Sin marco",IFERROR(INDEX('Datos - Catálogo TIMSS'!$C$5:$C$107,MATCH(K196,'Datos - Catálogo TIMSS'!$A$5:$A$107,0)),"Pendiente de clasificar")))</f>
        <v/>
      </c>
      <c r="N196" s="11">
        <f>IF(K196="FUERA","Fuera del marco",IF(K196="N/A","Sin marco",IFERROR(INDEX('Datos - Catálogo TIMSS'!$F$5:$F$107,MATCH(K196,'Datos - Catálogo TIMSS'!$A$5:$A$107,0)),"Pendiente de clasificar")))</f>
        <v/>
      </c>
      <c r="O196" s="11">
        <f>IF(L196="","",IFERROR(INDEX('Datos - Catálogo TIMSS'!$C$5:$C$107,MATCH(L196,'Datos - Catálogo TIMSS'!$A$5:$A$107,0)),"?"))</f>
        <v/>
      </c>
      <c r="P196" s="11" t="inlineStr">
        <is>
          <t>media</t>
        </is>
      </c>
      <c r="Q196" s="38" t="inlineStr">
        <is>
          <t>Función respiratoria; respuesta del cuerpo a la actividad física</t>
        </is>
      </c>
      <c r="R196" s="38" t="inlineStr">
        <is>
          <t>Conocer: describir. Aplicar: medir</t>
        </is>
      </c>
      <c r="S196" s="39">
        <f>IFERROR(ISNUMBER(SEARCH("Conocer",$R196))/(ISNUMBER(SEARCH("Conocer",$R196))+ISNUMBER(SEARCH("Aplicar",$R196))+ISNUMBER(SEARCH("Razonar",$R196))),0)</f>
        <v/>
      </c>
      <c r="T196" s="39">
        <f>IFERROR(ISNUMBER(SEARCH("Aplicar",$R196))/(ISNUMBER(SEARCH("Conocer",$R196))+ISNUMBER(SEARCH("Aplicar",$R196))+ISNUMBER(SEARCH("Razonar",$R196))),0)</f>
        <v/>
      </c>
      <c r="U196" s="39">
        <f>IFERROR(ISNUMBER(SEARCH("Razonar",$R196))/(ISNUMBER(SEARCH("Conocer",$R196))+ISNUMBER(SEARCH("Aplicar",$R196))+ISNUMBER(SEARCH("Razonar",$R196))),0)</f>
        <v/>
      </c>
      <c r="V196" s="11" t="inlineStr">
        <is>
          <t>4°</t>
        </is>
      </c>
      <c r="W196" s="11" t="inlineStr">
        <is>
          <t>Ciclo 2°–4°</t>
        </is>
      </c>
      <c r="X196" s="11">
        <f>IF(OR(IFERROR(INDEX('Datos - Catálogo TIMSS'!$I$5:$I$107,MATCH(K196,'Datos - Catálogo TIMSS'!$A$5:$A$107,0)),"No")="Sí",IFERROR(INDEX('Datos - Catálogo TIMSS'!$I$5:$I$107,MATCH(L196,'Datos - Catálogo TIMSS'!$A$5:$A$107,0)),"No")="Sí"),1,0)</f>
        <v/>
      </c>
      <c r="Y196" s="11">
        <f>IF(IFERROR(INDEX('Datos - Catálogo TIMSS'!$J$5:$J$107,MATCH(K196,'Datos - Catálogo TIMSS'!$A$5:$A$107,0)),"No")="Sí",1,0)</f>
        <v/>
      </c>
      <c r="Z196" s="11">
        <f>IF(IFERROR(INDEX('Datos - Catálogo TIMSS'!$J$5:$J$107,MATCH(L196,'Datos - Catálogo TIMSS'!$A$5:$A$107,0)),"No")="Sí",1,0)</f>
        <v/>
      </c>
      <c r="AA196" s="11" t="inlineStr">
        <is>
          <t>T4-V1.3</t>
        </is>
      </c>
      <c r="AB196" s="11" t="inlineStr"/>
      <c r="AC196" s="11">
        <f>IF(AA196="FUERA","Fuera del marco",IF(AA196="N/A","Sin marco",IFERROR(INDEX('Datos - TIMSS 2023'!$C$5:$C$105,MATCH(AA196,'Datos - TIMSS 2023'!$A$5:$A$105,0)),"Pendiente de clasificar")))</f>
        <v/>
      </c>
      <c r="AD196" s="11" t="inlineStr">
        <is>
          <t>1. Explicar fenómenos científicamente</t>
        </is>
      </c>
      <c r="AE196" s="11">
        <f>IF(AD196="","",IF(LEFT(AD196,1)="1","C1",IF(LEFT(AD196,1)="2","C2",IF(LEFT(AD196,1)="3","C3",""))))</f>
        <v/>
      </c>
      <c r="AF196" s="11" t="inlineStr">
        <is>
          <t>E1</t>
        </is>
      </c>
      <c r="AG196" s="11" t="inlineStr">
        <is>
          <t>D1</t>
        </is>
      </c>
      <c r="AH196" s="11" t="inlineStr">
        <is>
          <t>E1</t>
        </is>
      </c>
      <c r="AI196" s="11" t="inlineStr">
        <is>
          <t>D4</t>
        </is>
      </c>
      <c r="AJ196" s="11" t="inlineStr">
        <is>
          <t>I5</t>
        </is>
      </c>
      <c r="AK196" s="11" t="n"/>
      <c r="AL196" s="11" t="n"/>
      <c r="AM196" s="11" t="n"/>
      <c r="AN196" s="11" t="n"/>
      <c r="AO196" s="11" t="n"/>
      <c r="AP196" s="11" t="n"/>
      <c r="AQ196" s="11" t="n"/>
      <c r="AR196" s="11" t="n"/>
      <c r="AS196" s="11" t="n"/>
      <c r="AT196" s="11" t="n"/>
      <c r="AU196" s="11" t="n"/>
      <c r="AV196" s="11" t="n"/>
      <c r="AW196" s="11">
        <f>AF196&amp;"; "&amp;AG196&amp;"; "&amp;AH196&amp;"; "&amp;AI196&amp;"; "&amp;AJ196</f>
        <v/>
      </c>
    </row>
    <row r="197">
      <c r="A197" s="11" t="inlineStr">
        <is>
          <t>T0831-G04-CIE</t>
        </is>
      </c>
      <c r="B197" s="11" t="n">
        <v>4</v>
      </c>
      <c r="C197" s="11" t="inlineStr">
        <is>
          <t>Ciencias</t>
        </is>
      </c>
      <c r="D197" s="11" t="inlineStr">
        <is>
          <t>Matriz_Ciencias_4to_Grado_U1_U6.xlsx</t>
        </is>
      </c>
      <c r="E197" s="11" t="inlineStr">
        <is>
          <t xml:space="preserve">Unidad 5 - C. humano materia y </t>
        </is>
      </c>
      <c r="F197" s="11" t="n">
        <v>6</v>
      </c>
      <c r="G197" s="11" t="inlineStr">
        <is>
          <t>5. Cuerpo humano: materia y energía.</t>
        </is>
      </c>
      <c r="H197" s="11" t="inlineStr">
        <is>
          <t>Sistema respiratorio.</t>
        </is>
      </c>
      <c r="I197" s="38" t="inlineStr">
        <is>
          <t>5.4. Construcción de modelo del sistema respiratorio.</t>
        </is>
      </c>
      <c r="J197" s="11" t="inlineStr">
        <is>
          <t>T4_27</t>
        </is>
      </c>
      <c r="K197" s="11" t="inlineStr">
        <is>
          <t>T4_27-B1.3</t>
        </is>
      </c>
      <c r="L197" s="11" t="inlineStr"/>
      <c r="M197" s="11">
        <f>IF(K197="FUERA","Fuera del marco",IF(K197="N/A","Sin marco",IFERROR(INDEX('Datos - Catálogo TIMSS'!$C$5:$C$107,MATCH(K197,'Datos - Catálogo TIMSS'!$A$5:$A$107,0)),"Pendiente de clasificar")))</f>
        <v/>
      </c>
      <c r="N197" s="11">
        <f>IF(K197="FUERA","Fuera del marco",IF(K197="N/A","Sin marco",IFERROR(INDEX('Datos - Catálogo TIMSS'!$F$5:$F$107,MATCH(K197,'Datos - Catálogo TIMSS'!$A$5:$A$107,0)),"Pendiente de clasificar")))</f>
        <v/>
      </c>
      <c r="O197" s="11">
        <f>IF(L197="","",IFERROR(INDEX('Datos - Catálogo TIMSS'!$C$5:$C$107,MATCH(L197,'Datos - Catálogo TIMSS'!$A$5:$A$107,0)),"?"))</f>
        <v/>
      </c>
      <c r="P197" s="11" t="inlineStr">
        <is>
          <t>alta</t>
        </is>
      </c>
      <c r="Q197" s="38" t="inlineStr">
        <is>
          <t>Modelo de pulmón y función de sus partes</t>
        </is>
      </c>
      <c r="R197" s="38" t="inlineStr">
        <is>
          <t>Aplicar: construir y usar modelos</t>
        </is>
      </c>
      <c r="S197" s="39">
        <f>IFERROR(ISNUMBER(SEARCH("Conocer",$R197))/(ISNUMBER(SEARCH("Conocer",$R197))+ISNUMBER(SEARCH("Aplicar",$R197))+ISNUMBER(SEARCH("Razonar",$R197))),0)</f>
        <v/>
      </c>
      <c r="T197" s="39">
        <f>IFERROR(ISNUMBER(SEARCH("Aplicar",$R197))/(ISNUMBER(SEARCH("Conocer",$R197))+ISNUMBER(SEARCH("Aplicar",$R197))+ISNUMBER(SEARCH("Razonar",$R197))),0)</f>
        <v/>
      </c>
      <c r="U197" s="39">
        <f>IFERROR(ISNUMBER(SEARCH("Razonar",$R197))/(ISNUMBER(SEARCH("Conocer",$R197))+ISNUMBER(SEARCH("Aplicar",$R197))+ISNUMBER(SEARCH("Razonar",$R197))),0)</f>
        <v/>
      </c>
      <c r="V197" s="11" t="inlineStr">
        <is>
          <t>4°</t>
        </is>
      </c>
      <c r="W197" s="11" t="inlineStr">
        <is>
          <t>Ciclo 2°–4°</t>
        </is>
      </c>
      <c r="X197" s="11">
        <f>IF(OR(IFERROR(INDEX('Datos - Catálogo TIMSS'!$I$5:$I$107,MATCH(K197,'Datos - Catálogo TIMSS'!$A$5:$A$107,0)),"No")="Sí",IFERROR(INDEX('Datos - Catálogo TIMSS'!$I$5:$I$107,MATCH(L197,'Datos - Catálogo TIMSS'!$A$5:$A$107,0)),"No")="Sí"),1,0)</f>
        <v/>
      </c>
      <c r="Y197" s="11">
        <f>IF(IFERROR(INDEX('Datos - Catálogo TIMSS'!$J$5:$J$107,MATCH(K197,'Datos - Catálogo TIMSS'!$A$5:$A$107,0)),"No")="Sí",1,0)</f>
        <v/>
      </c>
      <c r="Z197" s="11">
        <f>IF(IFERROR(INDEX('Datos - Catálogo TIMSS'!$J$5:$J$107,MATCH(L197,'Datos - Catálogo TIMSS'!$A$5:$A$107,0)),"No")="Sí",1,0)</f>
        <v/>
      </c>
      <c r="AA197" s="11" t="inlineStr">
        <is>
          <t>T4-V1.3</t>
        </is>
      </c>
      <c r="AB197" s="11" t="inlineStr"/>
      <c r="AC197" s="11">
        <f>IF(AA197="FUERA","Fuera del marco",IF(AA197="N/A","Sin marco",IFERROR(INDEX('Datos - TIMSS 2023'!$C$5:$C$105,MATCH(AA197,'Datos - TIMSS 2023'!$A$5:$A$105,0)),"Pendiente de clasificar")))</f>
        <v/>
      </c>
      <c r="AD197" s="11" t="inlineStr">
        <is>
          <t>2. Construir y evaluar diseños para la indagación científica e interpretar datos y evidencia de forma crítica</t>
        </is>
      </c>
      <c r="AE197" s="11">
        <f>IF(AD197="","",IF(LEFT(AD197,1)="1","C1",IF(LEFT(AD197,1)="2","C2",IF(LEFT(AD197,1)="3","C3",""))))</f>
        <v/>
      </c>
      <c r="AF197" s="11" t="inlineStr">
        <is>
          <t>E1</t>
        </is>
      </c>
      <c r="AG197" s="11" t="inlineStr">
        <is>
          <t>D1</t>
        </is>
      </c>
      <c r="AH197" s="11" t="inlineStr">
        <is>
          <t>E4</t>
        </is>
      </c>
      <c r="AI197" s="11" t="inlineStr">
        <is>
          <t>E4</t>
        </is>
      </c>
      <c r="AJ197" s="11" t="inlineStr">
        <is>
          <t>E3</t>
        </is>
      </c>
      <c r="AK197" s="11" t="n"/>
      <c r="AL197" s="11" t="n"/>
      <c r="AM197" s="11" t="n"/>
      <c r="AN197" s="11" t="n"/>
      <c r="AO197" s="11" t="n"/>
      <c r="AP197" s="11" t="n"/>
      <c r="AQ197" s="11" t="n"/>
      <c r="AR197" s="11" t="n"/>
      <c r="AS197" s="11" t="n"/>
      <c r="AT197" s="11" t="n"/>
      <c r="AU197" s="11" t="n"/>
      <c r="AV197" s="11" t="n"/>
      <c r="AW197" s="11">
        <f>AF197&amp;"; "&amp;AG197&amp;"; "&amp;AH197&amp;"; "&amp;AI197&amp;"; "&amp;AJ197</f>
        <v/>
      </c>
    </row>
    <row r="198">
      <c r="A198" s="11" t="inlineStr">
        <is>
          <t>T0832-G04-CIE</t>
        </is>
      </c>
      <c r="B198" s="11" t="n">
        <v>4</v>
      </c>
      <c r="C198" s="11" t="inlineStr">
        <is>
          <t>Ciencias</t>
        </is>
      </c>
      <c r="D198" s="11" t="inlineStr">
        <is>
          <t>Matriz_Ciencias_4to_Grado_U1_U6.xlsx</t>
        </is>
      </c>
      <c r="E198" s="11" t="inlineStr">
        <is>
          <t xml:space="preserve">Unidad 5 - C. humano materia y </t>
        </is>
      </c>
      <c r="F198" s="11" t="n">
        <v>7</v>
      </c>
      <c r="G198" s="11" t="inlineStr">
        <is>
          <t>5. Cuerpo humano: materia y energía.</t>
        </is>
      </c>
      <c r="H198" s="11" t="inlineStr">
        <is>
          <t>Sistema circulatorio.</t>
        </is>
      </c>
      <c r="I198" s="38" t="inlineStr">
        <is>
          <t>5.5. Manipulación de simulaciones para explicar la estructura y las funciones sistémicas.</t>
        </is>
      </c>
      <c r="J198" s="11" t="inlineStr">
        <is>
          <t>T4_27</t>
        </is>
      </c>
      <c r="K198" s="11" t="inlineStr">
        <is>
          <t>T4_27-B1.3</t>
        </is>
      </c>
      <c r="L198" s="11" t="inlineStr"/>
      <c r="M198" s="11">
        <f>IF(K198="FUERA","Fuera del marco",IF(K198="N/A","Sin marco",IFERROR(INDEX('Datos - Catálogo TIMSS'!$C$5:$C$107,MATCH(K198,'Datos - Catálogo TIMSS'!$A$5:$A$107,0)),"Pendiente de clasificar")))</f>
        <v/>
      </c>
      <c r="N198" s="11">
        <f>IF(K198="FUERA","Fuera del marco",IF(K198="N/A","Sin marco",IFERROR(INDEX('Datos - Catálogo TIMSS'!$F$5:$F$107,MATCH(K198,'Datos - Catálogo TIMSS'!$A$5:$A$107,0)),"Pendiente de clasificar")))</f>
        <v/>
      </c>
      <c r="O198" s="11">
        <f>IF(L198="","",IFERROR(INDEX('Datos - Catálogo TIMSS'!$C$5:$C$107,MATCH(L198,'Datos - Catálogo TIMSS'!$A$5:$A$107,0)),"?"))</f>
        <v/>
      </c>
      <c r="P198" s="11" t="inlineStr">
        <is>
          <t>media</t>
        </is>
      </c>
      <c r="Q198" s="38" t="inlineStr">
        <is>
          <t>Simulación de estructuras y funciones de sistemas corporales</t>
        </is>
      </c>
      <c r="R198" s="38" t="inlineStr">
        <is>
          <t>Aplicar: usar simulaciones. Razonar: evaluar</t>
        </is>
      </c>
      <c r="S198" s="39">
        <f>IFERROR(ISNUMBER(SEARCH("Conocer",$R198))/(ISNUMBER(SEARCH("Conocer",$R198))+ISNUMBER(SEARCH("Aplicar",$R198))+ISNUMBER(SEARCH("Razonar",$R198))),0)</f>
        <v/>
      </c>
      <c r="T198" s="39">
        <f>IFERROR(ISNUMBER(SEARCH("Aplicar",$R198))/(ISNUMBER(SEARCH("Conocer",$R198))+ISNUMBER(SEARCH("Aplicar",$R198))+ISNUMBER(SEARCH("Razonar",$R198))),0)</f>
        <v/>
      </c>
      <c r="U198" s="39">
        <f>IFERROR(ISNUMBER(SEARCH("Razonar",$R198))/(ISNUMBER(SEARCH("Conocer",$R198))+ISNUMBER(SEARCH("Aplicar",$R198))+ISNUMBER(SEARCH("Razonar",$R198))),0)</f>
        <v/>
      </c>
      <c r="V198" s="11" t="inlineStr">
        <is>
          <t>4°</t>
        </is>
      </c>
      <c r="W198" s="11" t="inlineStr">
        <is>
          <t>Ciclo 2°–4°</t>
        </is>
      </c>
      <c r="X198" s="11">
        <f>IF(OR(IFERROR(INDEX('Datos - Catálogo TIMSS'!$I$5:$I$107,MATCH(K198,'Datos - Catálogo TIMSS'!$A$5:$A$107,0)),"No")="Sí",IFERROR(INDEX('Datos - Catálogo TIMSS'!$I$5:$I$107,MATCH(L198,'Datos - Catálogo TIMSS'!$A$5:$A$107,0)),"No")="Sí"),1,0)</f>
        <v/>
      </c>
      <c r="Y198" s="11">
        <f>IF(IFERROR(INDEX('Datos - Catálogo TIMSS'!$J$5:$J$107,MATCH(K198,'Datos - Catálogo TIMSS'!$A$5:$A$107,0)),"No")="Sí",1,0)</f>
        <v/>
      </c>
      <c r="Z198" s="11">
        <f>IF(IFERROR(INDEX('Datos - Catálogo TIMSS'!$J$5:$J$107,MATCH(L198,'Datos - Catálogo TIMSS'!$A$5:$A$107,0)),"No")="Sí",1,0)</f>
        <v/>
      </c>
      <c r="AA198" s="11" t="inlineStr">
        <is>
          <t>T4-V1.3</t>
        </is>
      </c>
      <c r="AB198" s="11" t="inlineStr"/>
      <c r="AC198" s="11">
        <f>IF(AA198="FUERA","Fuera del marco",IF(AA198="N/A","Sin marco",IFERROR(INDEX('Datos - TIMSS 2023'!$C$5:$C$105,MATCH(AA198,'Datos - TIMSS 2023'!$A$5:$A$105,0)),"Pendiente de clasificar")))</f>
        <v/>
      </c>
      <c r="AD198" s="11" t="inlineStr">
        <is>
          <t>2. Construir y evaluar diseños para la indagación científica e interpretar datos y evidencia de forma crítica</t>
        </is>
      </c>
      <c r="AE198" s="11">
        <f>IF(AD198="","",IF(LEFT(AD198,1)="1","C1",IF(LEFT(AD198,1)="2","C2",IF(LEFT(AD198,1)="3","C3",""))))</f>
        <v/>
      </c>
      <c r="AF198" s="11" t="inlineStr">
        <is>
          <t>E1</t>
        </is>
      </c>
      <c r="AG198" s="11" t="inlineStr">
        <is>
          <t>D1</t>
        </is>
      </c>
      <c r="AH198" s="11" t="inlineStr">
        <is>
          <t>E4</t>
        </is>
      </c>
      <c r="AI198" s="11" t="inlineStr">
        <is>
          <t>E4</t>
        </is>
      </c>
      <c r="AJ198" s="11" t="inlineStr">
        <is>
          <t>E6</t>
        </is>
      </c>
      <c r="AK198" s="11" t="n"/>
      <c r="AL198" s="11" t="n"/>
      <c r="AM198" s="11" t="n"/>
      <c r="AN198" s="11" t="n"/>
      <c r="AO198" s="11" t="n"/>
      <c r="AP198" s="11" t="n"/>
      <c r="AQ198" s="11" t="n"/>
      <c r="AR198" s="11" t="n"/>
      <c r="AS198" s="11" t="n"/>
      <c r="AT198" s="11" t="n"/>
      <c r="AU198" s="11" t="n"/>
      <c r="AV198" s="11" t="n"/>
      <c r="AW198" s="11">
        <f>AF198&amp;"; "&amp;AG198&amp;"; "&amp;AH198&amp;"; "&amp;AI198&amp;"; "&amp;AJ198</f>
        <v/>
      </c>
    </row>
    <row r="199">
      <c r="A199" s="11" t="inlineStr">
        <is>
          <t>T0833-G04-CIE</t>
        </is>
      </c>
      <c r="B199" s="11" t="n">
        <v>4</v>
      </c>
      <c r="C199" s="11" t="inlineStr">
        <is>
          <t>Ciencias</t>
        </is>
      </c>
      <c r="D199" s="11" t="inlineStr">
        <is>
          <t>Matriz_Ciencias_4to_Grado_U1_U6.xlsx</t>
        </is>
      </c>
      <c r="E199" s="11" t="inlineStr">
        <is>
          <t xml:space="preserve">Unidad 5 - C. humano materia y </t>
        </is>
      </c>
      <c r="F199" s="11" t="n">
        <v>8</v>
      </c>
      <c r="G199" s="11" t="inlineStr">
        <is>
          <t>5. Cuerpo humano: materia y energía.</t>
        </is>
      </c>
      <c r="H199" s="11" t="inlineStr">
        <is>
          <t>Sistema circulatorio.</t>
        </is>
      </c>
      <c r="I199" s="38" t="inlineStr">
        <is>
          <t>5.6. Descripción del funcionamiento y los cuidados del sistema circulatorio.</t>
        </is>
      </c>
      <c r="J199" s="11" t="inlineStr">
        <is>
          <t>T4_27</t>
        </is>
      </c>
      <c r="K199" s="11" t="inlineStr">
        <is>
          <t>T4_27-B1.3</t>
        </is>
      </c>
      <c r="L199" s="11" t="inlineStr">
        <is>
          <t>T4_27-B1.4</t>
        </is>
      </c>
      <c r="M199" s="11">
        <f>IF(K199="FUERA","Fuera del marco",IF(K199="N/A","Sin marco",IFERROR(INDEX('Datos - Catálogo TIMSS'!$C$5:$C$107,MATCH(K199,'Datos - Catálogo TIMSS'!$A$5:$A$107,0)),"Pendiente de clasificar")))</f>
        <v/>
      </c>
      <c r="N199" s="11">
        <f>IF(K199="FUERA","Fuera del marco",IF(K199="N/A","Sin marco",IFERROR(INDEX('Datos - Catálogo TIMSS'!$F$5:$F$107,MATCH(K199,'Datos - Catálogo TIMSS'!$A$5:$A$107,0)),"Pendiente de clasificar")))</f>
        <v/>
      </c>
      <c r="O199" s="11">
        <f>IF(L199="","",IFERROR(INDEX('Datos - Catálogo TIMSS'!$C$5:$C$107,MATCH(L199,'Datos - Catálogo TIMSS'!$A$5:$A$107,0)),"?"))</f>
        <v/>
      </c>
      <c r="P199" s="11" t="inlineStr">
        <is>
          <t>media</t>
        </is>
      </c>
      <c r="Q199" s="38" t="inlineStr">
        <is>
          <t>Función del corazón; pulso cambia con el ejercicio</t>
        </is>
      </c>
      <c r="R199" s="38" t="inlineStr">
        <is>
          <t>Conocer: describir. Aplicar: medir</t>
        </is>
      </c>
      <c r="S199" s="39">
        <f>IFERROR(ISNUMBER(SEARCH("Conocer",$R199))/(ISNUMBER(SEARCH("Conocer",$R199))+ISNUMBER(SEARCH("Aplicar",$R199))+ISNUMBER(SEARCH("Razonar",$R199))),0)</f>
        <v/>
      </c>
      <c r="T199" s="39">
        <f>IFERROR(ISNUMBER(SEARCH("Aplicar",$R199))/(ISNUMBER(SEARCH("Conocer",$R199))+ISNUMBER(SEARCH("Aplicar",$R199))+ISNUMBER(SEARCH("Razonar",$R199))),0)</f>
        <v/>
      </c>
      <c r="U199" s="39">
        <f>IFERROR(ISNUMBER(SEARCH("Razonar",$R199))/(ISNUMBER(SEARCH("Conocer",$R199))+ISNUMBER(SEARCH("Aplicar",$R199))+ISNUMBER(SEARCH("Razonar",$R199))),0)</f>
        <v/>
      </c>
      <c r="V199" s="11" t="inlineStr">
        <is>
          <t>4°</t>
        </is>
      </c>
      <c r="W199" s="11" t="inlineStr">
        <is>
          <t>Ciclo 2°–4°</t>
        </is>
      </c>
      <c r="X199" s="11">
        <f>IF(OR(IFERROR(INDEX('Datos - Catálogo TIMSS'!$I$5:$I$107,MATCH(K199,'Datos - Catálogo TIMSS'!$A$5:$A$107,0)),"No")="Sí",IFERROR(INDEX('Datos - Catálogo TIMSS'!$I$5:$I$107,MATCH(L199,'Datos - Catálogo TIMSS'!$A$5:$A$107,0)),"No")="Sí"),1,0)</f>
        <v/>
      </c>
      <c r="Y199" s="11">
        <f>IF(IFERROR(INDEX('Datos - Catálogo TIMSS'!$J$5:$J$107,MATCH(K199,'Datos - Catálogo TIMSS'!$A$5:$A$107,0)),"No")="Sí",1,0)</f>
        <v/>
      </c>
      <c r="Z199" s="11">
        <f>IF(IFERROR(INDEX('Datos - Catálogo TIMSS'!$J$5:$J$107,MATCH(L199,'Datos - Catálogo TIMSS'!$A$5:$A$107,0)),"No")="Sí",1,0)</f>
        <v/>
      </c>
      <c r="AA199" s="11" t="inlineStr">
        <is>
          <t>T4-V1.3</t>
        </is>
      </c>
      <c r="AB199" s="11" t="inlineStr"/>
      <c r="AC199" s="11">
        <f>IF(AA199="FUERA","Fuera del marco",IF(AA199="N/A","Sin marco",IFERROR(INDEX('Datos - TIMSS 2023'!$C$5:$C$105,MATCH(AA199,'Datos - TIMSS 2023'!$A$5:$A$105,0)),"Pendiente de clasificar")))</f>
        <v/>
      </c>
      <c r="AD199" s="11" t="inlineStr">
        <is>
          <t>1. Explicar fenómenos científicamente</t>
        </is>
      </c>
      <c r="AE199" s="11">
        <f>IF(AD199="","",IF(LEFT(AD199,1)="1","C1",IF(LEFT(AD199,1)="2","C2",IF(LEFT(AD199,1)="3","C3",""))))</f>
        <v/>
      </c>
      <c r="AF199" s="11" t="inlineStr">
        <is>
          <t>E1</t>
        </is>
      </c>
      <c r="AG199" s="11" t="inlineStr">
        <is>
          <t>E5</t>
        </is>
      </c>
      <c r="AH199" s="11" t="inlineStr">
        <is>
          <t>E1</t>
        </is>
      </c>
      <c r="AI199" s="11" t="inlineStr">
        <is>
          <t>D4</t>
        </is>
      </c>
      <c r="AJ199" s="11" t="inlineStr">
        <is>
          <t>I5</t>
        </is>
      </c>
      <c r="AK199" s="11" t="n"/>
      <c r="AL199" s="11" t="n"/>
      <c r="AM199" s="11" t="n"/>
      <c r="AN199" s="11" t="n"/>
      <c r="AO199" s="11" t="n"/>
      <c r="AP199" s="11" t="n"/>
      <c r="AQ199" s="11" t="n"/>
      <c r="AR199" s="11" t="n"/>
      <c r="AS199" s="11" t="n"/>
      <c r="AT199" s="11" t="n"/>
      <c r="AU199" s="11" t="n"/>
      <c r="AV199" s="11" t="n"/>
      <c r="AW199" s="11">
        <f>AF199&amp;"; "&amp;AG199&amp;"; "&amp;AH199&amp;"; "&amp;AI199&amp;"; "&amp;AJ199</f>
        <v/>
      </c>
    </row>
    <row r="200">
      <c r="A200" s="11" t="inlineStr">
        <is>
          <t>T0834-G04-CIE</t>
        </is>
      </c>
      <c r="B200" s="11" t="n">
        <v>4</v>
      </c>
      <c r="C200" s="11" t="inlineStr">
        <is>
          <t>Ciencias</t>
        </is>
      </c>
      <c r="D200" s="11" t="inlineStr">
        <is>
          <t>Matriz_Ciencias_4to_Grado_U1_U6.xlsx</t>
        </is>
      </c>
      <c r="E200" s="11" t="inlineStr">
        <is>
          <t xml:space="preserve">Unidad 5 - C. humano materia y </t>
        </is>
      </c>
      <c r="F200" s="11" t="n">
        <v>9</v>
      </c>
      <c r="G200" s="11" t="inlineStr">
        <is>
          <t>5. Cuerpo humano: materia y energía.</t>
        </is>
      </c>
      <c r="H200" s="11" t="inlineStr">
        <is>
          <t>Sistema circulatorio.</t>
        </is>
      </c>
      <c r="I200" s="38" t="inlineStr">
        <is>
          <t>5.7. Vinculación del sistema circulatorio con los demás sistemas del cuerpo humano.</t>
        </is>
      </c>
      <c r="J200" s="11" t="inlineStr">
        <is>
          <t>T4_27</t>
        </is>
      </c>
      <c r="K200" s="11" t="inlineStr">
        <is>
          <t>T4_27-B1.3</t>
        </is>
      </c>
      <c r="L200" s="11" t="inlineStr"/>
      <c r="M200" s="11">
        <f>IF(K200="FUERA","Fuera del marco",IF(K200="N/A","Sin marco",IFERROR(INDEX('Datos - Catálogo TIMSS'!$C$5:$C$107,MATCH(K200,'Datos - Catálogo TIMSS'!$A$5:$A$107,0)),"Pendiente de clasificar")))</f>
        <v/>
      </c>
      <c r="N200" s="11">
        <f>IF(K200="FUERA","Fuera del marco",IF(K200="N/A","Sin marco",IFERROR(INDEX('Datos - Catálogo TIMSS'!$F$5:$F$107,MATCH(K200,'Datos - Catálogo TIMSS'!$A$5:$A$107,0)),"Pendiente de clasificar")))</f>
        <v/>
      </c>
      <c r="O200" s="11">
        <f>IF(L200="","",IFERROR(INDEX('Datos - Catálogo TIMSS'!$C$5:$C$107,MATCH(L200,'Datos - Catálogo TIMSS'!$A$5:$A$107,0)),"?"))</f>
        <v/>
      </c>
      <c r="P200" s="11" t="inlineStr">
        <is>
          <t>media</t>
        </is>
      </c>
      <c r="Q200" s="38" t="inlineStr">
        <is>
          <t>Relación estructura-función entre sistemas corporales</t>
        </is>
      </c>
      <c r="R200" s="38" t="inlineStr">
        <is>
          <t>Aplicar: relacionar sistemas</t>
        </is>
      </c>
      <c r="S200" s="39">
        <f>IFERROR(ISNUMBER(SEARCH("Conocer",$R200))/(ISNUMBER(SEARCH("Conocer",$R200))+ISNUMBER(SEARCH("Aplicar",$R200))+ISNUMBER(SEARCH("Razonar",$R200))),0)</f>
        <v/>
      </c>
      <c r="T200" s="39">
        <f>IFERROR(ISNUMBER(SEARCH("Aplicar",$R200))/(ISNUMBER(SEARCH("Conocer",$R200))+ISNUMBER(SEARCH("Aplicar",$R200))+ISNUMBER(SEARCH("Razonar",$R200))),0)</f>
        <v/>
      </c>
      <c r="U200" s="39">
        <f>IFERROR(ISNUMBER(SEARCH("Razonar",$R200))/(ISNUMBER(SEARCH("Conocer",$R200))+ISNUMBER(SEARCH("Aplicar",$R200))+ISNUMBER(SEARCH("Razonar",$R200))),0)</f>
        <v/>
      </c>
      <c r="V200" s="11" t="inlineStr">
        <is>
          <t>4°</t>
        </is>
      </c>
      <c r="W200" s="11" t="inlineStr">
        <is>
          <t>Ciclo 2°–4°</t>
        </is>
      </c>
      <c r="X200" s="11">
        <f>IF(OR(IFERROR(INDEX('Datos - Catálogo TIMSS'!$I$5:$I$107,MATCH(K200,'Datos - Catálogo TIMSS'!$A$5:$A$107,0)),"No")="Sí",IFERROR(INDEX('Datos - Catálogo TIMSS'!$I$5:$I$107,MATCH(L200,'Datos - Catálogo TIMSS'!$A$5:$A$107,0)),"No")="Sí"),1,0)</f>
        <v/>
      </c>
      <c r="Y200" s="11">
        <f>IF(IFERROR(INDEX('Datos - Catálogo TIMSS'!$J$5:$J$107,MATCH(K200,'Datos - Catálogo TIMSS'!$A$5:$A$107,0)),"No")="Sí",1,0)</f>
        <v/>
      </c>
      <c r="Z200" s="11">
        <f>IF(IFERROR(INDEX('Datos - Catálogo TIMSS'!$J$5:$J$107,MATCH(L200,'Datos - Catálogo TIMSS'!$A$5:$A$107,0)),"No")="Sí",1,0)</f>
        <v/>
      </c>
      <c r="AA200" s="11" t="inlineStr">
        <is>
          <t>T4-V1.3</t>
        </is>
      </c>
      <c r="AB200" s="11" t="inlineStr"/>
      <c r="AC200" s="11">
        <f>IF(AA200="FUERA","Fuera del marco",IF(AA200="N/A","Sin marco",IFERROR(INDEX('Datos - TIMSS 2023'!$C$5:$C$105,MATCH(AA200,'Datos - TIMSS 2023'!$A$5:$A$105,0)),"Pendiente de clasificar")))</f>
        <v/>
      </c>
      <c r="AD200" s="11" t="inlineStr">
        <is>
          <t>1. Explicar fenómenos científicamente</t>
        </is>
      </c>
      <c r="AE200" s="11">
        <f>IF(AD200="","",IF(LEFT(AD200,1)="1","C1",IF(LEFT(AD200,1)="2","C2",IF(LEFT(AD200,1)="3","C3",""))))</f>
        <v/>
      </c>
      <c r="AF200" s="11" t="inlineStr">
        <is>
          <t>E1</t>
        </is>
      </c>
      <c r="AG200" s="11" t="inlineStr">
        <is>
          <t>D1</t>
        </is>
      </c>
      <c r="AH200" s="11" t="inlineStr">
        <is>
          <t>E4</t>
        </is>
      </c>
      <c r="AI200" s="11" t="inlineStr">
        <is>
          <t>D4</t>
        </is>
      </c>
      <c r="AJ200" s="11" t="inlineStr">
        <is>
          <t>E1</t>
        </is>
      </c>
      <c r="AK200" s="11" t="n"/>
      <c r="AL200" s="11" t="n"/>
      <c r="AM200" s="11" t="n"/>
      <c r="AN200" s="11" t="n"/>
      <c r="AO200" s="11" t="n"/>
      <c r="AP200" s="11" t="n"/>
      <c r="AQ200" s="11" t="n"/>
      <c r="AR200" s="11" t="n"/>
      <c r="AS200" s="11" t="n"/>
      <c r="AT200" s="11" t="n"/>
      <c r="AU200" s="11" t="n"/>
      <c r="AV200" s="11" t="n"/>
      <c r="AW200" s="11">
        <f>AF200&amp;"; "&amp;AG200&amp;"; "&amp;AH200&amp;"; "&amp;AI200&amp;"; "&amp;AJ200</f>
        <v/>
      </c>
    </row>
    <row r="201">
      <c r="A201" s="11" t="inlineStr">
        <is>
          <t>T0835-G04-CIE</t>
        </is>
      </c>
      <c r="B201" s="11" t="n">
        <v>4</v>
      </c>
      <c r="C201" s="11" t="inlineStr">
        <is>
          <t>Ciencias</t>
        </is>
      </c>
      <c r="D201" s="11" t="inlineStr">
        <is>
          <t>Matriz_Ciencias_4to_Grado_U1_U6.xlsx</t>
        </is>
      </c>
      <c r="E201" s="11" t="inlineStr">
        <is>
          <t xml:space="preserve">Unidad 5 - C. humano materia y </t>
        </is>
      </c>
      <c r="F201" s="11" t="n">
        <v>10</v>
      </c>
      <c r="G201" s="11" t="inlineStr">
        <is>
          <t>5. Cuerpo humano: materia y energía.</t>
        </is>
      </c>
      <c r="H201" s="11" t="inlineStr">
        <is>
          <t>Sistema excretor.</t>
        </is>
      </c>
      <c r="I201" s="38" t="inlineStr">
        <is>
          <t>5.8. Uso de simulación para explicar las partes y funciones principales del sistema excretor.</t>
        </is>
      </c>
      <c r="J201" s="11" t="inlineStr">
        <is>
          <t>T4_27</t>
        </is>
      </c>
      <c r="K201" s="11" t="inlineStr">
        <is>
          <t>T4_27-B1.3</t>
        </is>
      </c>
      <c r="L201" s="11" t="inlineStr"/>
      <c r="M201" s="11">
        <f>IF(K201="FUERA","Fuera del marco",IF(K201="N/A","Sin marco",IFERROR(INDEX('Datos - Catálogo TIMSS'!$C$5:$C$107,MATCH(K201,'Datos - Catálogo TIMSS'!$A$5:$A$107,0)),"Pendiente de clasificar")))</f>
        <v/>
      </c>
      <c r="N201" s="11">
        <f>IF(K201="FUERA","Fuera del marco",IF(K201="N/A","Sin marco",IFERROR(INDEX('Datos - Catálogo TIMSS'!$F$5:$F$107,MATCH(K201,'Datos - Catálogo TIMSS'!$A$5:$A$107,0)),"Pendiente de clasificar")))</f>
        <v/>
      </c>
      <c r="O201" s="11">
        <f>IF(L201="","",IFERROR(INDEX('Datos - Catálogo TIMSS'!$C$5:$C$107,MATCH(L201,'Datos - Catálogo TIMSS'!$A$5:$A$107,0)),"?"))</f>
        <v/>
      </c>
      <c r="P201" s="11" t="inlineStr">
        <is>
          <t>media</t>
        </is>
      </c>
      <c r="Q201" s="38" t="inlineStr">
        <is>
          <t>Partes y funciones del sistema excretor</t>
        </is>
      </c>
      <c r="R201" s="38" t="inlineStr">
        <is>
          <t>Aplicar: usar modelos</t>
        </is>
      </c>
      <c r="S201" s="39">
        <f>IFERROR(ISNUMBER(SEARCH("Conocer",$R201))/(ISNUMBER(SEARCH("Conocer",$R201))+ISNUMBER(SEARCH("Aplicar",$R201))+ISNUMBER(SEARCH("Razonar",$R201))),0)</f>
        <v/>
      </c>
      <c r="T201" s="39">
        <f>IFERROR(ISNUMBER(SEARCH("Aplicar",$R201))/(ISNUMBER(SEARCH("Conocer",$R201))+ISNUMBER(SEARCH("Aplicar",$R201))+ISNUMBER(SEARCH("Razonar",$R201))),0)</f>
        <v/>
      </c>
      <c r="U201" s="39">
        <f>IFERROR(ISNUMBER(SEARCH("Razonar",$R201))/(ISNUMBER(SEARCH("Conocer",$R201))+ISNUMBER(SEARCH("Aplicar",$R201))+ISNUMBER(SEARCH("Razonar",$R201))),0)</f>
        <v/>
      </c>
      <c r="V201" s="11" t="inlineStr">
        <is>
          <t>4°</t>
        </is>
      </c>
      <c r="W201" s="11" t="inlineStr">
        <is>
          <t>Ciclo 2°–4°</t>
        </is>
      </c>
      <c r="X201" s="11">
        <f>IF(OR(IFERROR(INDEX('Datos - Catálogo TIMSS'!$I$5:$I$107,MATCH(K201,'Datos - Catálogo TIMSS'!$A$5:$A$107,0)),"No")="Sí",IFERROR(INDEX('Datos - Catálogo TIMSS'!$I$5:$I$107,MATCH(L201,'Datos - Catálogo TIMSS'!$A$5:$A$107,0)),"No")="Sí"),1,0)</f>
        <v/>
      </c>
      <c r="Y201" s="11">
        <f>IF(IFERROR(INDEX('Datos - Catálogo TIMSS'!$J$5:$J$107,MATCH(K201,'Datos - Catálogo TIMSS'!$A$5:$A$107,0)),"No")="Sí",1,0)</f>
        <v/>
      </c>
      <c r="Z201" s="11">
        <f>IF(IFERROR(INDEX('Datos - Catálogo TIMSS'!$J$5:$J$107,MATCH(L201,'Datos - Catálogo TIMSS'!$A$5:$A$107,0)),"No")="Sí",1,0)</f>
        <v/>
      </c>
      <c r="AA201" s="11" t="inlineStr">
        <is>
          <t>T4-V1.3</t>
        </is>
      </c>
      <c r="AB201" s="11" t="inlineStr"/>
      <c r="AC201" s="11">
        <f>IF(AA201="FUERA","Fuera del marco",IF(AA201="N/A","Sin marco",IFERROR(INDEX('Datos - TIMSS 2023'!$C$5:$C$105,MATCH(AA201,'Datos - TIMSS 2023'!$A$5:$A$105,0)),"Pendiente de clasificar")))</f>
        <v/>
      </c>
      <c r="AD201" s="11" t="inlineStr">
        <is>
          <t>2. Construir y evaluar diseños para la indagación científica e interpretar datos y evidencia de forma crítica</t>
        </is>
      </c>
      <c r="AE201" s="11">
        <f>IF(AD201="","",IF(LEFT(AD201,1)="1","C1",IF(LEFT(AD201,1)="2","C2",IF(LEFT(AD201,1)="3","C3",""))))</f>
        <v/>
      </c>
      <c r="AF201" s="11" t="inlineStr">
        <is>
          <t>E1</t>
        </is>
      </c>
      <c r="AG201" s="11" t="inlineStr">
        <is>
          <t>D1</t>
        </is>
      </c>
      <c r="AH201" s="11" t="inlineStr">
        <is>
          <t>E4</t>
        </is>
      </c>
      <c r="AI201" s="11" t="inlineStr">
        <is>
          <t>E4</t>
        </is>
      </c>
      <c r="AJ201" s="11" t="inlineStr">
        <is>
          <t>E1</t>
        </is>
      </c>
      <c r="AK201" s="11" t="n"/>
      <c r="AL201" s="11" t="n"/>
      <c r="AM201" s="11" t="n"/>
      <c r="AN201" s="11" t="n"/>
      <c r="AO201" s="11" t="n"/>
      <c r="AP201" s="11" t="n"/>
      <c r="AQ201" s="11" t="n"/>
      <c r="AR201" s="11" t="n"/>
      <c r="AS201" s="11" t="n"/>
      <c r="AT201" s="11" t="n"/>
      <c r="AU201" s="11" t="n"/>
      <c r="AV201" s="11" t="n"/>
      <c r="AW201" s="11">
        <f>AF201&amp;"; "&amp;AG201&amp;"; "&amp;AH201&amp;"; "&amp;AI201&amp;"; "&amp;AJ201</f>
        <v/>
      </c>
    </row>
    <row r="202">
      <c r="A202" s="11" t="inlineStr">
        <is>
          <t>T0836-G04-CIE</t>
        </is>
      </c>
      <c r="B202" s="11" t="n">
        <v>4</v>
      </c>
      <c r="C202" s="11" t="inlineStr">
        <is>
          <t>Ciencias</t>
        </is>
      </c>
      <c r="D202" s="11" t="inlineStr">
        <is>
          <t>Matriz_Ciencias_4to_Grado_U1_U6.xlsx</t>
        </is>
      </c>
      <c r="E202" s="11" t="inlineStr">
        <is>
          <t xml:space="preserve">Unidad 5 - C. humano materia y </t>
        </is>
      </c>
      <c r="F202" s="11" t="n">
        <v>11</v>
      </c>
      <c r="G202" s="11" t="inlineStr">
        <is>
          <t>5. Cuerpo humano: materia y energía.</t>
        </is>
      </c>
      <c r="H202" s="11" t="inlineStr">
        <is>
          <t>Sistema excretor.</t>
        </is>
      </c>
      <c r="I202" s="38" t="inlineStr">
        <is>
          <t>5.9. Descripción de la importancia y los cuidados del sistema excretor.</t>
        </is>
      </c>
      <c r="J202" s="11" t="inlineStr">
        <is>
          <t>T4_27</t>
        </is>
      </c>
      <c r="K202" s="11" t="inlineStr">
        <is>
          <t>T4_27-B5.2</t>
        </is>
      </c>
      <c r="L202" s="11" t="inlineStr">
        <is>
          <t>T4_27-B1.3</t>
        </is>
      </c>
      <c r="M202" s="11">
        <f>IF(K202="FUERA","Fuera del marco",IF(K202="N/A","Sin marco",IFERROR(INDEX('Datos - Catálogo TIMSS'!$C$5:$C$107,MATCH(K202,'Datos - Catálogo TIMSS'!$A$5:$A$107,0)),"Pendiente de clasificar")))</f>
        <v/>
      </c>
      <c r="N202" s="11">
        <f>IF(K202="FUERA","Fuera del marco",IF(K202="N/A","Sin marco",IFERROR(INDEX('Datos - Catálogo TIMSS'!$F$5:$F$107,MATCH(K202,'Datos - Catálogo TIMSS'!$A$5:$A$107,0)),"Pendiente de clasificar")))</f>
        <v/>
      </c>
      <c r="O202" s="11">
        <f>IF(L202="","",IFERROR(INDEX('Datos - Catálogo TIMSS'!$C$5:$C$107,MATCH(L202,'Datos - Catálogo TIMSS'!$A$5:$A$107,0)),"?"))</f>
        <v/>
      </c>
      <c r="P202" s="11" t="inlineStr">
        <is>
          <t>media</t>
        </is>
      </c>
      <c r="Q202" s="38" t="inlineStr">
        <is>
          <t>Cuidados del sistema excretor como hábitos de salud</t>
        </is>
      </c>
      <c r="R202" s="38" t="inlineStr">
        <is>
          <t>Aplicar: relacionar. Razonar: evaluar información</t>
        </is>
      </c>
      <c r="S202" s="39">
        <f>IFERROR(ISNUMBER(SEARCH("Conocer",$R202))/(ISNUMBER(SEARCH("Conocer",$R202))+ISNUMBER(SEARCH("Aplicar",$R202))+ISNUMBER(SEARCH("Razonar",$R202))),0)</f>
        <v/>
      </c>
      <c r="T202" s="39">
        <f>IFERROR(ISNUMBER(SEARCH("Aplicar",$R202))/(ISNUMBER(SEARCH("Conocer",$R202))+ISNUMBER(SEARCH("Aplicar",$R202))+ISNUMBER(SEARCH("Razonar",$R202))),0)</f>
        <v/>
      </c>
      <c r="U202" s="39">
        <f>IFERROR(ISNUMBER(SEARCH("Razonar",$R202))/(ISNUMBER(SEARCH("Conocer",$R202))+ISNUMBER(SEARCH("Aplicar",$R202))+ISNUMBER(SEARCH("Razonar",$R202))),0)</f>
        <v/>
      </c>
      <c r="V202" s="11" t="inlineStr">
        <is>
          <t>4°</t>
        </is>
      </c>
      <c r="W202" s="11" t="inlineStr">
        <is>
          <t>Ciclo 2°–4°</t>
        </is>
      </c>
      <c r="X202" s="11">
        <f>IF(OR(IFERROR(INDEX('Datos - Catálogo TIMSS'!$I$5:$I$107,MATCH(K202,'Datos - Catálogo TIMSS'!$A$5:$A$107,0)),"No")="Sí",IFERROR(INDEX('Datos - Catálogo TIMSS'!$I$5:$I$107,MATCH(L202,'Datos - Catálogo TIMSS'!$A$5:$A$107,0)),"No")="Sí"),1,0)</f>
        <v/>
      </c>
      <c r="Y202" s="11">
        <f>IF(IFERROR(INDEX('Datos - Catálogo TIMSS'!$J$5:$J$107,MATCH(K202,'Datos - Catálogo TIMSS'!$A$5:$A$107,0)),"No")="Sí",1,0)</f>
        <v/>
      </c>
      <c r="Z202" s="11">
        <f>IF(IFERROR(INDEX('Datos - Catálogo TIMSS'!$J$5:$J$107,MATCH(L202,'Datos - Catálogo TIMSS'!$A$5:$A$107,0)),"No")="Sí",1,0)</f>
        <v/>
      </c>
      <c r="AA202" s="11" t="inlineStr">
        <is>
          <t>T4-V5.1</t>
        </is>
      </c>
      <c r="AB202" s="11" t="inlineStr">
        <is>
          <t>T4-V1.3</t>
        </is>
      </c>
      <c r="AC202" s="11">
        <f>IF(AA202="FUERA","Fuera del marco",IF(AA202="N/A","Sin marco",IFERROR(INDEX('Datos - TIMSS 2023'!$C$5:$C$105,MATCH(AA202,'Datos - TIMSS 2023'!$A$5:$A$105,0)),"Pendiente de clasificar")))</f>
        <v/>
      </c>
      <c r="AD202" s="11" t="inlineStr">
        <is>
          <t>3. Investigar, evaluar y usar información científica para tomar decisiones y actuar</t>
        </is>
      </c>
      <c r="AE202" s="11">
        <f>IF(AD202="","",IF(LEFT(AD202,1)="1","C1",IF(LEFT(AD202,1)="2","C2",IF(LEFT(AD202,1)="3","C3",""))))</f>
        <v/>
      </c>
      <c r="AF202" s="11" t="inlineStr">
        <is>
          <t>E1</t>
        </is>
      </c>
      <c r="AG202" s="11" t="inlineStr">
        <is>
          <t>D1</t>
        </is>
      </c>
      <c r="AH202" s="11" t="inlineStr">
        <is>
          <t>E1</t>
        </is>
      </c>
      <c r="AI202" s="11" t="inlineStr">
        <is>
          <t>I2</t>
        </is>
      </c>
      <c r="AJ202" s="11" t="inlineStr">
        <is>
          <t>I5</t>
        </is>
      </c>
      <c r="AK202" s="11" t="n"/>
      <c r="AL202" s="11" t="n"/>
      <c r="AM202" s="11" t="n"/>
      <c r="AN202" s="11" t="n"/>
      <c r="AO202" s="11" t="n"/>
      <c r="AP202" s="11" t="n"/>
      <c r="AQ202" s="11" t="n"/>
      <c r="AR202" s="11" t="n"/>
      <c r="AS202" s="11" t="n"/>
      <c r="AT202" s="11" t="n"/>
      <c r="AU202" s="11" t="n"/>
      <c r="AV202" s="11" t="n"/>
      <c r="AW202" s="11">
        <f>AF202&amp;"; "&amp;AG202&amp;"; "&amp;AH202&amp;"; "&amp;AI202&amp;"; "&amp;AJ202</f>
        <v/>
      </c>
    </row>
    <row r="203">
      <c r="A203" s="11" t="inlineStr">
        <is>
          <t>T0837-G04-CIE</t>
        </is>
      </c>
      <c r="B203" s="11" t="n">
        <v>4</v>
      </c>
      <c r="C203" s="11" t="inlineStr">
        <is>
          <t>Ciencias</t>
        </is>
      </c>
      <c r="D203" s="11" t="inlineStr">
        <is>
          <t>Matriz_Ciencias_4to_Grado_U1_U6.xlsx</t>
        </is>
      </c>
      <c r="E203" s="11" t="inlineStr">
        <is>
          <t>Unidad 6 - C. humano movimiento</t>
        </is>
      </c>
      <c r="F203" s="11" t="n">
        <v>3</v>
      </c>
      <c r="G203" s="11" t="inlineStr">
        <is>
          <t>6. Cuerpo humano: movimiento e interacciones.</t>
        </is>
      </c>
      <c r="H203" s="11" t="inlineStr">
        <is>
          <t>Sistema musculoesquelético.</t>
        </is>
      </c>
      <c r="I203" s="38" t="inlineStr">
        <is>
          <t>6.1. Indagación de las estructuras musculares, óseas y articulaciones del cuerpo humano.</t>
        </is>
      </c>
      <c r="J203" s="11" t="inlineStr">
        <is>
          <t>T4_27</t>
        </is>
      </c>
      <c r="K203" s="11" t="inlineStr">
        <is>
          <t>T4_27-B1.3</t>
        </is>
      </c>
      <c r="L203" s="11" t="inlineStr"/>
      <c r="M203" s="11">
        <f>IF(K203="FUERA","Fuera del marco",IF(K203="N/A","Sin marco",IFERROR(INDEX('Datos - Catálogo TIMSS'!$C$5:$C$107,MATCH(K203,'Datos - Catálogo TIMSS'!$A$5:$A$107,0)),"Pendiente de clasificar")))</f>
        <v/>
      </c>
      <c r="N203" s="11">
        <f>IF(K203="FUERA","Fuera del marco",IF(K203="N/A","Sin marco",IFERROR(INDEX('Datos - Catálogo TIMSS'!$F$5:$F$107,MATCH(K203,'Datos - Catálogo TIMSS'!$A$5:$A$107,0)),"Pendiente de clasificar")))</f>
        <v/>
      </c>
      <c r="O203" s="11">
        <f>IF(L203="","",IFERROR(INDEX('Datos - Catálogo TIMSS'!$C$5:$C$107,MATCH(L203,'Datos - Catálogo TIMSS'!$A$5:$A$107,0)),"?"))</f>
        <v/>
      </c>
      <c r="P203" s="11" t="inlineStr">
        <is>
          <t>alta</t>
        </is>
      </c>
      <c r="Q203" s="38" t="inlineStr">
        <is>
          <t>Huesos, músculos y articulaciones del cuerpo</t>
        </is>
      </c>
      <c r="R203" s="38" t="inlineStr">
        <is>
          <t>Conocer: identificar estructuras</t>
        </is>
      </c>
      <c r="S203" s="39">
        <f>IFERROR(ISNUMBER(SEARCH("Conocer",$R203))/(ISNUMBER(SEARCH("Conocer",$R203))+ISNUMBER(SEARCH("Aplicar",$R203))+ISNUMBER(SEARCH("Razonar",$R203))),0)</f>
        <v/>
      </c>
      <c r="T203" s="39">
        <f>IFERROR(ISNUMBER(SEARCH("Aplicar",$R203))/(ISNUMBER(SEARCH("Conocer",$R203))+ISNUMBER(SEARCH("Aplicar",$R203))+ISNUMBER(SEARCH("Razonar",$R203))),0)</f>
        <v/>
      </c>
      <c r="U203" s="39">
        <f>IFERROR(ISNUMBER(SEARCH("Razonar",$R203))/(ISNUMBER(SEARCH("Conocer",$R203))+ISNUMBER(SEARCH("Aplicar",$R203))+ISNUMBER(SEARCH("Razonar",$R203))),0)</f>
        <v/>
      </c>
      <c r="V203" s="11" t="inlineStr">
        <is>
          <t>4°</t>
        </is>
      </c>
      <c r="W203" s="11" t="inlineStr">
        <is>
          <t>Ciclo 2°–4°</t>
        </is>
      </c>
      <c r="X203" s="11">
        <f>IF(OR(IFERROR(INDEX('Datos - Catálogo TIMSS'!$I$5:$I$107,MATCH(K203,'Datos - Catálogo TIMSS'!$A$5:$A$107,0)),"No")="Sí",IFERROR(INDEX('Datos - Catálogo TIMSS'!$I$5:$I$107,MATCH(L203,'Datos - Catálogo TIMSS'!$A$5:$A$107,0)),"No")="Sí"),1,0)</f>
        <v/>
      </c>
      <c r="Y203" s="11">
        <f>IF(IFERROR(INDEX('Datos - Catálogo TIMSS'!$J$5:$J$107,MATCH(K203,'Datos - Catálogo TIMSS'!$A$5:$A$107,0)),"No")="Sí",1,0)</f>
        <v/>
      </c>
      <c r="Z203" s="11">
        <f>IF(IFERROR(INDEX('Datos - Catálogo TIMSS'!$J$5:$J$107,MATCH(L203,'Datos - Catálogo TIMSS'!$A$5:$A$107,0)),"No")="Sí",1,0)</f>
        <v/>
      </c>
      <c r="AA203" s="11" t="inlineStr">
        <is>
          <t>T4-V1.3</t>
        </is>
      </c>
      <c r="AB203" s="11" t="inlineStr"/>
      <c r="AC203" s="11">
        <f>IF(AA203="FUERA","Fuera del marco",IF(AA203="N/A","Sin marco",IFERROR(INDEX('Datos - TIMSS 2023'!$C$5:$C$105,MATCH(AA203,'Datos - TIMSS 2023'!$A$5:$A$105,0)),"Pendiente de clasificar")))</f>
        <v/>
      </c>
      <c r="AD203" s="11" t="inlineStr">
        <is>
          <t>1. Explicar fenómenos científicamente</t>
        </is>
      </c>
      <c r="AE203" s="11">
        <f>IF(AD203="","",IF(LEFT(AD203,1)="1","C1",IF(LEFT(AD203,1)="2","C2",IF(LEFT(AD203,1)="3","C3",""))))</f>
        <v/>
      </c>
      <c r="AF203" s="11" t="inlineStr">
        <is>
          <t>E1</t>
        </is>
      </c>
      <c r="AG203" s="11" t="inlineStr">
        <is>
          <t>D1</t>
        </is>
      </c>
      <c r="AH203" s="11" t="inlineStr">
        <is>
          <t>E1</t>
        </is>
      </c>
      <c r="AI203" s="11" t="inlineStr">
        <is>
          <t>D4</t>
        </is>
      </c>
      <c r="AJ203" s="11" t="inlineStr">
        <is>
          <t>E1</t>
        </is>
      </c>
      <c r="AK203" s="11" t="n"/>
      <c r="AL203" s="11" t="n"/>
      <c r="AM203" s="11" t="n"/>
      <c r="AN203" s="11" t="n"/>
      <c r="AO203" s="11" t="n"/>
      <c r="AP203" s="11" t="n"/>
      <c r="AQ203" s="11" t="n"/>
      <c r="AR203" s="11" t="n"/>
      <c r="AS203" s="11" t="n"/>
      <c r="AT203" s="11" t="n"/>
      <c r="AU203" s="11" t="n"/>
      <c r="AV203" s="11" t="n"/>
      <c r="AW203" s="11">
        <f>AF203&amp;"; "&amp;AG203&amp;"; "&amp;AH203&amp;"; "&amp;AI203&amp;"; "&amp;AJ203</f>
        <v/>
      </c>
    </row>
    <row r="204">
      <c r="A204" s="11" t="inlineStr">
        <is>
          <t>T0838-G04-CIE</t>
        </is>
      </c>
      <c r="B204" s="11" t="n">
        <v>4</v>
      </c>
      <c r="C204" s="11" t="inlineStr">
        <is>
          <t>Ciencias</t>
        </is>
      </c>
      <c r="D204" s="11" t="inlineStr">
        <is>
          <t>Matriz_Ciencias_4to_Grado_U1_U6.xlsx</t>
        </is>
      </c>
      <c r="E204" s="11" t="inlineStr">
        <is>
          <t>Unidad 6 - C. humano movimiento</t>
        </is>
      </c>
      <c r="F204" s="11" t="n">
        <v>4</v>
      </c>
      <c r="G204" s="11" t="inlineStr">
        <is>
          <t>6. Cuerpo humano: movimiento e interacciones.</t>
        </is>
      </c>
      <c r="H204" s="11" t="inlineStr">
        <is>
          <t>Sistema musculoesquelético.</t>
        </is>
      </c>
      <c r="I204" s="38" t="inlineStr">
        <is>
          <t>6.2. Práctica con el funcionamiento de músculos y articulaciones.</t>
        </is>
      </c>
      <c r="J204" s="11" t="inlineStr">
        <is>
          <t>T4_27</t>
        </is>
      </c>
      <c r="K204" s="11" t="inlineStr">
        <is>
          <t>T4_27-B1.3</t>
        </is>
      </c>
      <c r="L204" s="11" t="inlineStr"/>
      <c r="M204" s="11">
        <f>IF(K204="FUERA","Fuera del marco",IF(K204="N/A","Sin marco",IFERROR(INDEX('Datos - Catálogo TIMSS'!$C$5:$C$107,MATCH(K204,'Datos - Catálogo TIMSS'!$A$5:$A$107,0)),"Pendiente de clasificar")))</f>
        <v/>
      </c>
      <c r="N204" s="11">
        <f>IF(K204="FUERA","Fuera del marco",IF(K204="N/A","Sin marco",IFERROR(INDEX('Datos - Catálogo TIMSS'!$F$5:$F$107,MATCH(K204,'Datos - Catálogo TIMSS'!$A$5:$A$107,0)),"Pendiente de clasificar")))</f>
        <v/>
      </c>
      <c r="O204" s="11">
        <f>IF(L204="","",IFERROR(INDEX('Datos - Catálogo TIMSS'!$C$5:$C$107,MATCH(L204,'Datos - Catálogo TIMSS'!$A$5:$A$107,0)),"?"))</f>
        <v/>
      </c>
      <c r="P204" s="11" t="inlineStr">
        <is>
          <t>media</t>
        </is>
      </c>
      <c r="Q204" s="38" t="inlineStr">
        <is>
          <t>Función de músculos y articulaciones en el movimiento</t>
        </is>
      </c>
      <c r="R204" s="38" t="inlineStr">
        <is>
          <t>Aplicar: observar y registrar</t>
        </is>
      </c>
      <c r="S204" s="39">
        <f>IFERROR(ISNUMBER(SEARCH("Conocer",$R204))/(ISNUMBER(SEARCH("Conocer",$R204))+ISNUMBER(SEARCH("Aplicar",$R204))+ISNUMBER(SEARCH("Razonar",$R204))),0)</f>
        <v/>
      </c>
      <c r="T204" s="39">
        <f>IFERROR(ISNUMBER(SEARCH("Aplicar",$R204))/(ISNUMBER(SEARCH("Conocer",$R204))+ISNUMBER(SEARCH("Aplicar",$R204))+ISNUMBER(SEARCH("Razonar",$R204))),0)</f>
        <v/>
      </c>
      <c r="U204" s="39">
        <f>IFERROR(ISNUMBER(SEARCH("Razonar",$R204))/(ISNUMBER(SEARCH("Conocer",$R204))+ISNUMBER(SEARCH("Aplicar",$R204))+ISNUMBER(SEARCH("Razonar",$R204))),0)</f>
        <v/>
      </c>
      <c r="V204" s="11" t="inlineStr">
        <is>
          <t>4°</t>
        </is>
      </c>
      <c r="W204" s="11" t="inlineStr">
        <is>
          <t>Ciclo 2°–4°</t>
        </is>
      </c>
      <c r="X204" s="11">
        <f>IF(OR(IFERROR(INDEX('Datos - Catálogo TIMSS'!$I$5:$I$107,MATCH(K204,'Datos - Catálogo TIMSS'!$A$5:$A$107,0)),"No")="Sí",IFERROR(INDEX('Datos - Catálogo TIMSS'!$I$5:$I$107,MATCH(L204,'Datos - Catálogo TIMSS'!$A$5:$A$107,0)),"No")="Sí"),1,0)</f>
        <v/>
      </c>
      <c r="Y204" s="11">
        <f>IF(IFERROR(INDEX('Datos - Catálogo TIMSS'!$J$5:$J$107,MATCH(K204,'Datos - Catálogo TIMSS'!$A$5:$A$107,0)),"No")="Sí",1,0)</f>
        <v/>
      </c>
      <c r="Z204" s="11">
        <f>IF(IFERROR(INDEX('Datos - Catálogo TIMSS'!$J$5:$J$107,MATCH(L204,'Datos - Catálogo TIMSS'!$A$5:$A$107,0)),"No")="Sí",1,0)</f>
        <v/>
      </c>
      <c r="AA204" s="11" t="inlineStr">
        <is>
          <t>T4-V1.3</t>
        </is>
      </c>
      <c r="AB204" s="11" t="inlineStr"/>
      <c r="AC204" s="11">
        <f>IF(AA204="FUERA","Fuera del marco",IF(AA204="N/A","Sin marco",IFERROR(INDEX('Datos - TIMSS 2023'!$C$5:$C$105,MATCH(AA204,'Datos - TIMSS 2023'!$A$5:$A$105,0)),"Pendiente de clasificar")))</f>
        <v/>
      </c>
      <c r="AD204" s="11" t="inlineStr">
        <is>
          <t>2. Construir y evaluar diseños para la indagación científica e interpretar datos y evidencia de forma crítica</t>
        </is>
      </c>
      <c r="AE204" s="11">
        <f>IF(AD204="","",IF(LEFT(AD204,1)="1","C1",IF(LEFT(AD204,1)="2","C2",IF(LEFT(AD204,1)="3","C3",""))))</f>
        <v/>
      </c>
      <c r="AF204" s="11" t="inlineStr">
        <is>
          <t>E1</t>
        </is>
      </c>
      <c r="AG204" s="11" t="inlineStr">
        <is>
          <t>D1</t>
        </is>
      </c>
      <c r="AH204" s="11" t="inlineStr">
        <is>
          <t>E1</t>
        </is>
      </c>
      <c r="AI204" s="11" t="inlineStr">
        <is>
          <t>D2</t>
        </is>
      </c>
      <c r="AJ204" s="11" t="inlineStr">
        <is>
          <t>E6</t>
        </is>
      </c>
      <c r="AK204" s="11" t="n"/>
      <c r="AL204" s="11" t="n"/>
      <c r="AM204" s="11" t="n"/>
      <c r="AN204" s="11" t="n"/>
      <c r="AO204" s="11" t="n"/>
      <c r="AP204" s="11" t="n"/>
      <c r="AQ204" s="11" t="n"/>
      <c r="AR204" s="11" t="n"/>
      <c r="AS204" s="11" t="n"/>
      <c r="AT204" s="11" t="n"/>
      <c r="AU204" s="11" t="n"/>
      <c r="AV204" s="11" t="n"/>
      <c r="AW204" s="11">
        <f>AF204&amp;"; "&amp;AG204&amp;"; "&amp;AH204&amp;"; "&amp;AI204&amp;"; "&amp;AJ204</f>
        <v/>
      </c>
    </row>
    <row r="205">
      <c r="A205" s="11" t="inlineStr">
        <is>
          <t>T0839-G04-CIE</t>
        </is>
      </c>
      <c r="B205" s="11" t="n">
        <v>4</v>
      </c>
      <c r="C205" s="11" t="inlineStr">
        <is>
          <t>Ciencias</t>
        </is>
      </c>
      <c r="D205" s="11" t="inlineStr">
        <is>
          <t>Matriz_Ciencias_4to_Grado_U1_U6.xlsx</t>
        </is>
      </c>
      <c r="E205" s="11" t="inlineStr">
        <is>
          <t>Unidad 6 - C. humano movimiento</t>
        </is>
      </c>
      <c r="F205" s="11" t="n">
        <v>5</v>
      </c>
      <c r="G205" s="11" t="inlineStr">
        <is>
          <t>6. Cuerpo humano: movimiento e interacciones.</t>
        </is>
      </c>
      <c r="H205" s="11" t="inlineStr">
        <is>
          <t>Sistema musculoesquelético.</t>
        </is>
      </c>
      <c r="I205" s="38" t="inlineStr">
        <is>
          <t>6.3. Modelación de la contracción muscular para generar movimiento.</t>
        </is>
      </c>
      <c r="J205" s="11" t="inlineStr">
        <is>
          <t>T4_27</t>
        </is>
      </c>
      <c r="K205" s="11" t="inlineStr">
        <is>
          <t>T4_27-B1.3</t>
        </is>
      </c>
      <c r="L205" s="11" t="inlineStr"/>
      <c r="M205" s="11">
        <f>IF(K205="FUERA","Fuera del marco",IF(K205="N/A","Sin marco",IFERROR(INDEX('Datos - Catálogo TIMSS'!$C$5:$C$107,MATCH(K205,'Datos - Catálogo TIMSS'!$A$5:$A$107,0)),"Pendiente de clasificar")))</f>
        <v/>
      </c>
      <c r="N205" s="11">
        <f>IF(K205="FUERA","Fuera del marco",IF(K205="N/A","Sin marco",IFERROR(INDEX('Datos - Catálogo TIMSS'!$F$5:$F$107,MATCH(K205,'Datos - Catálogo TIMSS'!$A$5:$A$107,0)),"Pendiente de clasificar")))</f>
        <v/>
      </c>
      <c r="O205" s="11">
        <f>IF(L205="","",IFERROR(INDEX('Datos - Catálogo TIMSS'!$C$5:$C$107,MATCH(L205,'Datos - Catálogo TIMSS'!$A$5:$A$107,0)),"?"))</f>
        <v/>
      </c>
      <c r="P205" s="11" t="inlineStr">
        <is>
          <t>media</t>
        </is>
      </c>
      <c r="Q205" s="38" t="inlineStr">
        <is>
          <t>Modelo de contracción muscular y movimiento</t>
        </is>
      </c>
      <c r="R205" s="38" t="inlineStr">
        <is>
          <t>Aplicar: construir modelos</t>
        </is>
      </c>
      <c r="S205" s="39">
        <f>IFERROR(ISNUMBER(SEARCH("Conocer",$R205))/(ISNUMBER(SEARCH("Conocer",$R205))+ISNUMBER(SEARCH("Aplicar",$R205))+ISNUMBER(SEARCH("Razonar",$R205))),0)</f>
        <v/>
      </c>
      <c r="T205" s="39">
        <f>IFERROR(ISNUMBER(SEARCH("Aplicar",$R205))/(ISNUMBER(SEARCH("Conocer",$R205))+ISNUMBER(SEARCH("Aplicar",$R205))+ISNUMBER(SEARCH("Razonar",$R205))),0)</f>
        <v/>
      </c>
      <c r="U205" s="39">
        <f>IFERROR(ISNUMBER(SEARCH("Razonar",$R205))/(ISNUMBER(SEARCH("Conocer",$R205))+ISNUMBER(SEARCH("Aplicar",$R205))+ISNUMBER(SEARCH("Razonar",$R205))),0)</f>
        <v/>
      </c>
      <c r="V205" s="11" t="inlineStr">
        <is>
          <t>4°</t>
        </is>
      </c>
      <c r="W205" s="11" t="inlineStr">
        <is>
          <t>Ciclo 2°–4°</t>
        </is>
      </c>
      <c r="X205" s="11">
        <f>IF(OR(IFERROR(INDEX('Datos - Catálogo TIMSS'!$I$5:$I$107,MATCH(K205,'Datos - Catálogo TIMSS'!$A$5:$A$107,0)),"No")="Sí",IFERROR(INDEX('Datos - Catálogo TIMSS'!$I$5:$I$107,MATCH(L205,'Datos - Catálogo TIMSS'!$A$5:$A$107,0)),"No")="Sí"),1,0)</f>
        <v/>
      </c>
      <c r="Y205" s="11">
        <f>IF(IFERROR(INDEX('Datos - Catálogo TIMSS'!$J$5:$J$107,MATCH(K205,'Datos - Catálogo TIMSS'!$A$5:$A$107,0)),"No")="Sí",1,0)</f>
        <v/>
      </c>
      <c r="Z205" s="11">
        <f>IF(IFERROR(INDEX('Datos - Catálogo TIMSS'!$J$5:$J$107,MATCH(L205,'Datos - Catálogo TIMSS'!$A$5:$A$107,0)),"No")="Sí",1,0)</f>
        <v/>
      </c>
      <c r="AA205" s="11" t="inlineStr">
        <is>
          <t>T4-V1.3</t>
        </is>
      </c>
      <c r="AB205" s="11" t="inlineStr"/>
      <c r="AC205" s="11">
        <f>IF(AA205="FUERA","Fuera del marco",IF(AA205="N/A","Sin marco",IFERROR(INDEX('Datos - TIMSS 2023'!$C$5:$C$105,MATCH(AA205,'Datos - TIMSS 2023'!$A$5:$A$105,0)),"Pendiente de clasificar")))</f>
        <v/>
      </c>
      <c r="AD205" s="11" t="inlineStr">
        <is>
          <t>1. Explicar fenómenos científicamente</t>
        </is>
      </c>
      <c r="AE205" s="11">
        <f>IF(AD205="","",IF(LEFT(AD205,1)="1","C1",IF(LEFT(AD205,1)="2","C2",IF(LEFT(AD205,1)="3","C3",""))))</f>
        <v/>
      </c>
      <c r="AF205" s="11" t="inlineStr">
        <is>
          <t>E1</t>
        </is>
      </c>
      <c r="AG205" s="11" t="inlineStr">
        <is>
          <t>E5</t>
        </is>
      </c>
      <c r="AH205" s="11" t="inlineStr">
        <is>
          <t>E4</t>
        </is>
      </c>
      <c r="AI205" s="11" t="inlineStr">
        <is>
          <t>E4</t>
        </is>
      </c>
      <c r="AJ205" s="11" t="inlineStr">
        <is>
          <t>E3</t>
        </is>
      </c>
      <c r="AK205" s="11" t="n"/>
      <c r="AL205" s="11" t="n"/>
      <c r="AM205" s="11" t="n"/>
      <c r="AN205" s="11" t="n"/>
      <c r="AO205" s="11" t="n"/>
      <c r="AP205" s="11" t="n"/>
      <c r="AQ205" s="11" t="n"/>
      <c r="AR205" s="11" t="n"/>
      <c r="AS205" s="11" t="n"/>
      <c r="AT205" s="11" t="n"/>
      <c r="AU205" s="11" t="n"/>
      <c r="AV205" s="11" t="n"/>
      <c r="AW205" s="11">
        <f>AF205&amp;"; "&amp;AG205&amp;"; "&amp;AH205&amp;"; "&amp;AI205&amp;"; "&amp;AJ205</f>
        <v/>
      </c>
    </row>
    <row r="206">
      <c r="A206" s="11" t="inlineStr">
        <is>
          <t>T0840-G04-CIE</t>
        </is>
      </c>
      <c r="B206" s="11" t="n">
        <v>4</v>
      </c>
      <c r="C206" s="11" t="inlineStr">
        <is>
          <t>Ciencias</t>
        </is>
      </c>
      <c r="D206" s="11" t="inlineStr">
        <is>
          <t>Matriz_Ciencias_4to_Grado_U1_U6.xlsx</t>
        </is>
      </c>
      <c r="E206" s="11" t="inlineStr">
        <is>
          <t>Unidad 6 - C. humano movimiento</t>
        </is>
      </c>
      <c r="F206" s="11" t="n">
        <v>6</v>
      </c>
      <c r="G206" s="11" t="inlineStr">
        <is>
          <t>6. Cuerpo humano: movimiento e interacciones.</t>
        </is>
      </c>
      <c r="H206" s="11" t="inlineStr">
        <is>
          <t>Sistema musculoesquelético.</t>
        </is>
      </c>
      <c r="I206" s="38" t="inlineStr">
        <is>
          <t>6.4. Descripción de la morfología, las funciones y formas de protección de huesos y cartílagos.</t>
        </is>
      </c>
      <c r="J206" s="11" t="inlineStr">
        <is>
          <t>T4_27</t>
        </is>
      </c>
      <c r="K206" s="11" t="inlineStr">
        <is>
          <t>T4_27-B1.3</t>
        </is>
      </c>
      <c r="L206" s="11" t="inlineStr"/>
      <c r="M206" s="11">
        <f>IF(K206="FUERA","Fuera del marco",IF(K206="N/A","Sin marco",IFERROR(INDEX('Datos - Catálogo TIMSS'!$C$5:$C$107,MATCH(K206,'Datos - Catálogo TIMSS'!$A$5:$A$107,0)),"Pendiente de clasificar")))</f>
        <v/>
      </c>
      <c r="N206" s="11">
        <f>IF(K206="FUERA","Fuera del marco",IF(K206="N/A","Sin marco",IFERROR(INDEX('Datos - Catálogo TIMSS'!$F$5:$F$107,MATCH(K206,'Datos - Catálogo TIMSS'!$A$5:$A$107,0)),"Pendiente de clasificar")))</f>
        <v/>
      </c>
      <c r="O206" s="11">
        <f>IF(L206="","",IFERROR(INDEX('Datos - Catálogo TIMSS'!$C$5:$C$107,MATCH(L206,'Datos - Catálogo TIMSS'!$A$5:$A$107,0)),"?"))</f>
        <v/>
      </c>
      <c r="P206" s="11" t="inlineStr">
        <is>
          <t>media</t>
        </is>
      </c>
      <c r="Q206" s="38" t="inlineStr">
        <is>
          <t>Funciones de huesos y cartílagos</t>
        </is>
      </c>
      <c r="R206" s="38" t="inlineStr">
        <is>
          <t>Conocer: describir. Aplicar: comparar</t>
        </is>
      </c>
      <c r="S206" s="39">
        <f>IFERROR(ISNUMBER(SEARCH("Conocer",$R206))/(ISNUMBER(SEARCH("Conocer",$R206))+ISNUMBER(SEARCH("Aplicar",$R206))+ISNUMBER(SEARCH("Razonar",$R206))),0)</f>
        <v/>
      </c>
      <c r="T206" s="39">
        <f>IFERROR(ISNUMBER(SEARCH("Aplicar",$R206))/(ISNUMBER(SEARCH("Conocer",$R206))+ISNUMBER(SEARCH("Aplicar",$R206))+ISNUMBER(SEARCH("Razonar",$R206))),0)</f>
        <v/>
      </c>
      <c r="U206" s="39">
        <f>IFERROR(ISNUMBER(SEARCH("Razonar",$R206))/(ISNUMBER(SEARCH("Conocer",$R206))+ISNUMBER(SEARCH("Aplicar",$R206))+ISNUMBER(SEARCH("Razonar",$R206))),0)</f>
        <v/>
      </c>
      <c r="V206" s="11" t="inlineStr">
        <is>
          <t>4°</t>
        </is>
      </c>
      <c r="W206" s="11" t="inlineStr">
        <is>
          <t>Ciclo 2°–4°</t>
        </is>
      </c>
      <c r="X206" s="11">
        <f>IF(OR(IFERROR(INDEX('Datos - Catálogo TIMSS'!$I$5:$I$107,MATCH(K206,'Datos - Catálogo TIMSS'!$A$5:$A$107,0)),"No")="Sí",IFERROR(INDEX('Datos - Catálogo TIMSS'!$I$5:$I$107,MATCH(L206,'Datos - Catálogo TIMSS'!$A$5:$A$107,0)),"No")="Sí"),1,0)</f>
        <v/>
      </c>
      <c r="Y206" s="11">
        <f>IF(IFERROR(INDEX('Datos - Catálogo TIMSS'!$J$5:$J$107,MATCH(K206,'Datos - Catálogo TIMSS'!$A$5:$A$107,0)),"No")="Sí",1,0)</f>
        <v/>
      </c>
      <c r="Z206" s="11">
        <f>IF(IFERROR(INDEX('Datos - Catálogo TIMSS'!$J$5:$J$107,MATCH(L206,'Datos - Catálogo TIMSS'!$A$5:$A$107,0)),"No")="Sí",1,0)</f>
        <v/>
      </c>
      <c r="AA206" s="11" t="inlineStr">
        <is>
          <t>T4-V1.3</t>
        </is>
      </c>
      <c r="AB206" s="11" t="inlineStr"/>
      <c r="AC206" s="11">
        <f>IF(AA206="FUERA","Fuera del marco",IF(AA206="N/A","Sin marco",IFERROR(INDEX('Datos - TIMSS 2023'!$C$5:$C$105,MATCH(AA206,'Datos - TIMSS 2023'!$A$5:$A$105,0)),"Pendiente de clasificar")))</f>
        <v/>
      </c>
      <c r="AD206" s="11" t="inlineStr">
        <is>
          <t>1. Explicar fenómenos científicamente</t>
        </is>
      </c>
      <c r="AE206" s="11">
        <f>IF(AD206="","",IF(LEFT(AD206,1)="1","C1",IF(LEFT(AD206,1)="2","C2",IF(LEFT(AD206,1)="3","C3",""))))</f>
        <v/>
      </c>
      <c r="AF206" s="11" t="inlineStr">
        <is>
          <t>E1</t>
        </is>
      </c>
      <c r="AG206" s="11" t="inlineStr">
        <is>
          <t>D1</t>
        </is>
      </c>
      <c r="AH206" s="11" t="inlineStr">
        <is>
          <t>E1</t>
        </is>
      </c>
      <c r="AI206" s="11" t="inlineStr">
        <is>
          <t>D4</t>
        </is>
      </c>
      <c r="AJ206" s="11" t="inlineStr">
        <is>
          <t>I5</t>
        </is>
      </c>
      <c r="AK206" s="11" t="n"/>
      <c r="AL206" s="11" t="n"/>
      <c r="AM206" s="11" t="n"/>
      <c r="AN206" s="11" t="n"/>
      <c r="AO206" s="11" t="n"/>
      <c r="AP206" s="11" t="n"/>
      <c r="AQ206" s="11" t="n"/>
      <c r="AR206" s="11" t="n"/>
      <c r="AS206" s="11" t="n"/>
      <c r="AT206" s="11" t="n"/>
      <c r="AU206" s="11" t="n"/>
      <c r="AV206" s="11" t="n"/>
      <c r="AW206" s="11">
        <f>AF206&amp;"; "&amp;AG206&amp;"; "&amp;AH206&amp;"; "&amp;AI206&amp;"; "&amp;AJ206</f>
        <v/>
      </c>
    </row>
    <row r="207">
      <c r="A207" s="11" t="inlineStr">
        <is>
          <t>T0841-G04-CIE</t>
        </is>
      </c>
      <c r="B207" s="11" t="n">
        <v>4</v>
      </c>
      <c r="C207" s="11" t="inlineStr">
        <is>
          <t>Ciencias</t>
        </is>
      </c>
      <c r="D207" s="11" t="inlineStr">
        <is>
          <t>Matriz_Ciencias_4to_Grado_U1_U6.xlsx</t>
        </is>
      </c>
      <c r="E207" s="11" t="inlineStr">
        <is>
          <t>Unidad 6 - C. humano movimiento</t>
        </is>
      </c>
      <c r="F207" s="11" t="n">
        <v>7</v>
      </c>
      <c r="G207" s="11" t="inlineStr">
        <is>
          <t>6. Cuerpo humano: movimiento e interacciones.</t>
        </is>
      </c>
      <c r="H207" s="11" t="inlineStr">
        <is>
          <t>Sistema musculoesquelético.</t>
        </is>
      </c>
      <c r="I207" s="38" t="inlineStr">
        <is>
          <t>6.5. Representación de los principales músculos esqueléticos y huesos del cuerpo humano.</t>
        </is>
      </c>
      <c r="J207" s="11" t="inlineStr">
        <is>
          <t>T4_27</t>
        </is>
      </c>
      <c r="K207" s="11" t="inlineStr">
        <is>
          <t>T4_27-B1.3</t>
        </is>
      </c>
      <c r="L207" s="11" t="inlineStr"/>
      <c r="M207" s="11">
        <f>IF(K207="FUERA","Fuera del marco",IF(K207="N/A","Sin marco",IFERROR(INDEX('Datos - Catálogo TIMSS'!$C$5:$C$107,MATCH(K207,'Datos - Catálogo TIMSS'!$A$5:$A$107,0)),"Pendiente de clasificar")))</f>
        <v/>
      </c>
      <c r="N207" s="11">
        <f>IF(K207="FUERA","Fuera del marco",IF(K207="N/A","Sin marco",IFERROR(INDEX('Datos - Catálogo TIMSS'!$F$5:$F$107,MATCH(K207,'Datos - Catálogo TIMSS'!$A$5:$A$107,0)),"Pendiente de clasificar")))</f>
        <v/>
      </c>
      <c r="O207" s="11">
        <f>IF(L207="","",IFERROR(INDEX('Datos - Catálogo TIMSS'!$C$5:$C$107,MATCH(L207,'Datos - Catálogo TIMSS'!$A$5:$A$107,0)),"?"))</f>
        <v/>
      </c>
      <c r="P207" s="11" t="inlineStr">
        <is>
          <t>alta</t>
        </is>
      </c>
      <c r="Q207" s="38" t="inlineStr">
        <is>
          <t>Principales huesos y músculos del cuerpo</t>
        </is>
      </c>
      <c r="R207" s="38" t="inlineStr">
        <is>
          <t>Aplicar: representar</t>
        </is>
      </c>
      <c r="S207" s="39">
        <f>IFERROR(ISNUMBER(SEARCH("Conocer",$R207))/(ISNUMBER(SEARCH("Conocer",$R207))+ISNUMBER(SEARCH("Aplicar",$R207))+ISNUMBER(SEARCH("Razonar",$R207))),0)</f>
        <v/>
      </c>
      <c r="T207" s="39">
        <f>IFERROR(ISNUMBER(SEARCH("Aplicar",$R207))/(ISNUMBER(SEARCH("Conocer",$R207))+ISNUMBER(SEARCH("Aplicar",$R207))+ISNUMBER(SEARCH("Razonar",$R207))),0)</f>
        <v/>
      </c>
      <c r="U207" s="39">
        <f>IFERROR(ISNUMBER(SEARCH("Razonar",$R207))/(ISNUMBER(SEARCH("Conocer",$R207))+ISNUMBER(SEARCH("Aplicar",$R207))+ISNUMBER(SEARCH("Razonar",$R207))),0)</f>
        <v/>
      </c>
      <c r="V207" s="11" t="inlineStr">
        <is>
          <t>4°</t>
        </is>
      </c>
      <c r="W207" s="11" t="inlineStr">
        <is>
          <t>Ciclo 2°–4°</t>
        </is>
      </c>
      <c r="X207" s="11">
        <f>IF(OR(IFERROR(INDEX('Datos - Catálogo TIMSS'!$I$5:$I$107,MATCH(K207,'Datos - Catálogo TIMSS'!$A$5:$A$107,0)),"No")="Sí",IFERROR(INDEX('Datos - Catálogo TIMSS'!$I$5:$I$107,MATCH(L207,'Datos - Catálogo TIMSS'!$A$5:$A$107,0)),"No")="Sí"),1,0)</f>
        <v/>
      </c>
      <c r="Y207" s="11">
        <f>IF(IFERROR(INDEX('Datos - Catálogo TIMSS'!$J$5:$J$107,MATCH(K207,'Datos - Catálogo TIMSS'!$A$5:$A$107,0)),"No")="Sí",1,0)</f>
        <v/>
      </c>
      <c r="Z207" s="11">
        <f>IF(IFERROR(INDEX('Datos - Catálogo TIMSS'!$J$5:$J$107,MATCH(L207,'Datos - Catálogo TIMSS'!$A$5:$A$107,0)),"No")="Sí",1,0)</f>
        <v/>
      </c>
      <c r="AA207" s="11" t="inlineStr">
        <is>
          <t>T4-V1.3</t>
        </is>
      </c>
      <c r="AB207" s="11" t="inlineStr"/>
      <c r="AC207" s="11">
        <f>IF(AA207="FUERA","Fuera del marco",IF(AA207="N/A","Sin marco",IFERROR(INDEX('Datos - TIMSS 2023'!$C$5:$C$105,MATCH(AA207,'Datos - TIMSS 2023'!$A$5:$A$105,0)),"Pendiente de clasificar")))</f>
        <v/>
      </c>
      <c r="AD207" s="11" t="inlineStr">
        <is>
          <t>1. Explicar fenómenos científicamente</t>
        </is>
      </c>
      <c r="AE207" s="11">
        <f>IF(AD207="","",IF(LEFT(AD207,1)="1","C1",IF(LEFT(AD207,1)="2","C2",IF(LEFT(AD207,1)="3","C3",""))))</f>
        <v/>
      </c>
      <c r="AF207" s="11" t="inlineStr">
        <is>
          <t>E1</t>
        </is>
      </c>
      <c r="AG207" s="11" t="inlineStr">
        <is>
          <t>D1</t>
        </is>
      </c>
      <c r="AH207" s="11" t="inlineStr">
        <is>
          <t>E2</t>
        </is>
      </c>
      <c r="AI207" s="11" t="inlineStr">
        <is>
          <t>D4</t>
        </is>
      </c>
      <c r="AJ207" s="11" t="inlineStr">
        <is>
          <t>E1</t>
        </is>
      </c>
      <c r="AK207" s="11" t="n"/>
      <c r="AL207" s="11" t="n"/>
      <c r="AM207" s="11" t="n"/>
      <c r="AN207" s="11" t="n"/>
      <c r="AO207" s="11" t="n"/>
      <c r="AP207" s="11" t="n"/>
      <c r="AQ207" s="11" t="n"/>
      <c r="AR207" s="11" t="n"/>
      <c r="AS207" s="11" t="n"/>
      <c r="AT207" s="11" t="n"/>
      <c r="AU207" s="11" t="n"/>
      <c r="AV207" s="11" t="n"/>
      <c r="AW207" s="11">
        <f>AF207&amp;"; "&amp;AG207&amp;"; "&amp;AH207&amp;"; "&amp;AI207&amp;"; "&amp;AJ207</f>
        <v/>
      </c>
    </row>
    <row r="208">
      <c r="A208" s="11" t="inlineStr">
        <is>
          <t>T0842-G04-CIE</t>
        </is>
      </c>
      <c r="B208" s="11" t="n">
        <v>4</v>
      </c>
      <c r="C208" s="11" t="inlineStr">
        <is>
          <t>Ciencias</t>
        </is>
      </c>
      <c r="D208" s="11" t="inlineStr">
        <is>
          <t>Matriz_Ciencias_4to_Grado_U1_U6.xlsx</t>
        </is>
      </c>
      <c r="E208" s="11" t="inlineStr">
        <is>
          <t>Unidad 6 - C. humano movimiento</t>
        </is>
      </c>
      <c r="F208" s="11" t="n">
        <v>8</v>
      </c>
      <c r="G208" s="11" t="inlineStr">
        <is>
          <t>6. Cuerpo humano: movimiento e interacciones.</t>
        </is>
      </c>
      <c r="H208" s="11" t="inlineStr">
        <is>
          <t>Sistemas sensorial y nervioso.</t>
        </is>
      </c>
      <c r="I208" s="38" t="inlineStr">
        <is>
          <t>6.6. Experimentación con los sistemas sensoriales del cuerpo humano.</t>
        </is>
      </c>
      <c r="J208" s="11" t="inlineStr">
        <is>
          <t>T4_27</t>
        </is>
      </c>
      <c r="K208" s="11" t="inlineStr">
        <is>
          <t>T4_27-B1.3</t>
        </is>
      </c>
      <c r="L208" s="11" t="inlineStr">
        <is>
          <t>T4_27-B6.1</t>
        </is>
      </c>
      <c r="M208" s="11">
        <f>IF(K208="FUERA","Fuera del marco",IF(K208="N/A","Sin marco",IFERROR(INDEX('Datos - Catálogo TIMSS'!$C$5:$C$107,MATCH(K208,'Datos - Catálogo TIMSS'!$A$5:$A$107,0)),"Pendiente de clasificar")))</f>
        <v/>
      </c>
      <c r="N208" s="11">
        <f>IF(K208="FUERA","Fuera del marco",IF(K208="N/A","Sin marco",IFERROR(INDEX('Datos - Catálogo TIMSS'!$F$5:$F$107,MATCH(K208,'Datos - Catálogo TIMSS'!$A$5:$A$107,0)),"Pendiente de clasificar")))</f>
        <v/>
      </c>
      <c r="O208" s="11">
        <f>IF(L208="","",IFERROR(INDEX('Datos - Catálogo TIMSS'!$C$5:$C$107,MATCH(L208,'Datos - Catálogo TIMSS'!$A$5:$A$107,0)),"?"))</f>
        <v/>
      </c>
      <c r="P208" s="11" t="inlineStr">
        <is>
          <t>media</t>
        </is>
      </c>
      <c r="Q208" s="38" t="inlineStr">
        <is>
          <t>Órganos sensoriales mediante experimento con registro y conclusión</t>
        </is>
      </c>
      <c r="R208" s="38" t="inlineStr">
        <is>
          <t>Razonar: predecir, comprobar e interpretar</t>
        </is>
      </c>
      <c r="S208" s="39">
        <f>IFERROR(ISNUMBER(SEARCH("Conocer",$R208))/(ISNUMBER(SEARCH("Conocer",$R208))+ISNUMBER(SEARCH("Aplicar",$R208))+ISNUMBER(SEARCH("Razonar",$R208))),0)</f>
        <v/>
      </c>
      <c r="T208" s="39">
        <f>IFERROR(ISNUMBER(SEARCH("Aplicar",$R208))/(ISNUMBER(SEARCH("Conocer",$R208))+ISNUMBER(SEARCH("Aplicar",$R208))+ISNUMBER(SEARCH("Razonar",$R208))),0)</f>
        <v/>
      </c>
      <c r="U208" s="39">
        <f>IFERROR(ISNUMBER(SEARCH("Razonar",$R208))/(ISNUMBER(SEARCH("Conocer",$R208))+ISNUMBER(SEARCH("Aplicar",$R208))+ISNUMBER(SEARCH("Razonar",$R208))),0)</f>
        <v/>
      </c>
      <c r="V208" s="11" t="inlineStr">
        <is>
          <t>4°</t>
        </is>
      </c>
      <c r="W208" s="11" t="inlineStr">
        <is>
          <t>Ciclo 2°–4°</t>
        </is>
      </c>
      <c r="X208" s="11">
        <f>IF(OR(IFERROR(INDEX('Datos - Catálogo TIMSS'!$I$5:$I$107,MATCH(K208,'Datos - Catálogo TIMSS'!$A$5:$A$107,0)),"No")="Sí",IFERROR(INDEX('Datos - Catálogo TIMSS'!$I$5:$I$107,MATCH(L208,'Datos - Catálogo TIMSS'!$A$5:$A$107,0)),"No")="Sí"),1,0)</f>
        <v/>
      </c>
      <c r="Y208" s="11">
        <f>IF(IFERROR(INDEX('Datos - Catálogo TIMSS'!$J$5:$J$107,MATCH(K208,'Datos - Catálogo TIMSS'!$A$5:$A$107,0)),"No")="Sí",1,0)</f>
        <v/>
      </c>
      <c r="Z208" s="11">
        <f>IF(IFERROR(INDEX('Datos - Catálogo TIMSS'!$J$5:$J$107,MATCH(L208,'Datos - Catálogo TIMSS'!$A$5:$A$107,0)),"No")="Sí",1,0)</f>
        <v/>
      </c>
      <c r="AA208" s="11" t="inlineStr">
        <is>
          <t>T4-V1.3</t>
        </is>
      </c>
      <c r="AB208" s="11" t="inlineStr"/>
      <c r="AC208" s="11">
        <f>IF(AA208="FUERA","Fuera del marco",IF(AA208="N/A","Sin marco",IFERROR(INDEX('Datos - TIMSS 2023'!$C$5:$C$105,MATCH(AA208,'Datos - TIMSS 2023'!$A$5:$A$105,0)),"Pendiente de clasificar")))</f>
        <v/>
      </c>
      <c r="AD208" s="11" t="inlineStr">
        <is>
          <t>2. Construir y evaluar diseños para la indagación científica e interpretar datos y evidencia de forma crítica</t>
        </is>
      </c>
      <c r="AE208" s="11">
        <f>IF(AD208="","",IF(LEFT(AD208,1)="1","C1",IF(LEFT(AD208,1)="2","C2",IF(LEFT(AD208,1)="3","C3",""))))</f>
        <v/>
      </c>
      <c r="AF208" s="11" t="inlineStr">
        <is>
          <t>E1</t>
        </is>
      </c>
      <c r="AG208" s="11" t="inlineStr">
        <is>
          <t>E3</t>
        </is>
      </c>
      <c r="AH208" s="11" t="inlineStr">
        <is>
          <t>E1</t>
        </is>
      </c>
      <c r="AI208" s="11" t="inlineStr">
        <is>
          <t>D2</t>
        </is>
      </c>
      <c r="AJ208" s="11" t="inlineStr">
        <is>
          <t>E6</t>
        </is>
      </c>
      <c r="AK208" s="11" t="n"/>
      <c r="AL208" s="11" t="n"/>
      <c r="AM208" s="11" t="n"/>
      <c r="AN208" s="11" t="n"/>
      <c r="AO208" s="11" t="n"/>
      <c r="AP208" s="11" t="n"/>
      <c r="AQ208" s="11" t="n"/>
      <c r="AR208" s="11" t="n"/>
      <c r="AS208" s="11" t="n"/>
      <c r="AT208" s="11" t="n"/>
      <c r="AU208" s="11" t="n"/>
      <c r="AV208" s="11" t="n"/>
      <c r="AW208" s="11">
        <f>AF208&amp;"; "&amp;AG208&amp;"; "&amp;AH208&amp;"; "&amp;AI208&amp;"; "&amp;AJ208</f>
        <v/>
      </c>
    </row>
    <row r="209">
      <c r="A209" s="11" t="inlineStr">
        <is>
          <t>T0843-G04-CIE</t>
        </is>
      </c>
      <c r="B209" s="11" t="n">
        <v>4</v>
      </c>
      <c r="C209" s="11" t="inlineStr">
        <is>
          <t>Ciencias</t>
        </is>
      </c>
      <c r="D209" s="11" t="inlineStr">
        <is>
          <t>Matriz_Ciencias_4to_Grado_U1_U6.xlsx</t>
        </is>
      </c>
      <c r="E209" s="11" t="inlineStr">
        <is>
          <t>Unidad 6 - C. humano movimiento</t>
        </is>
      </c>
      <c r="F209" s="11" t="n">
        <v>9</v>
      </c>
      <c r="G209" s="11" t="inlineStr">
        <is>
          <t>6. Cuerpo humano: movimiento e interacciones.</t>
        </is>
      </c>
      <c r="H209" s="11" t="inlineStr">
        <is>
          <t>Sistemas sensorial y nervioso.</t>
        </is>
      </c>
      <c r="I209" s="38" t="inlineStr">
        <is>
          <t>6.7. Explicación de las funciones, la importancia y los cuidados del sistema nervioso.</t>
        </is>
      </c>
      <c r="J209" s="11" t="inlineStr">
        <is>
          <t>T4_27</t>
        </is>
      </c>
      <c r="K209" s="11" t="inlineStr">
        <is>
          <t>T4_27-B1.3</t>
        </is>
      </c>
      <c r="L209" s="11" t="inlineStr">
        <is>
          <t>T4_27-B1.4</t>
        </is>
      </c>
      <c r="M209" s="11">
        <f>IF(K209="FUERA","Fuera del marco",IF(K209="N/A","Sin marco",IFERROR(INDEX('Datos - Catálogo TIMSS'!$C$5:$C$107,MATCH(K209,'Datos - Catálogo TIMSS'!$A$5:$A$107,0)),"Pendiente de clasificar")))</f>
        <v/>
      </c>
      <c r="N209" s="11">
        <f>IF(K209="FUERA","Fuera del marco",IF(K209="N/A","Sin marco",IFERROR(INDEX('Datos - Catálogo TIMSS'!$F$5:$F$107,MATCH(K209,'Datos - Catálogo TIMSS'!$A$5:$A$107,0)),"Pendiente de clasificar")))</f>
        <v/>
      </c>
      <c r="O209" s="11">
        <f>IF(L209="","",IFERROR(INDEX('Datos - Catálogo TIMSS'!$C$5:$C$107,MATCH(L209,'Datos - Catálogo TIMSS'!$A$5:$A$107,0)),"?"))</f>
        <v/>
      </c>
      <c r="P209" s="11" t="inlineStr">
        <is>
          <t>media</t>
        </is>
      </c>
      <c r="Q209" s="38" t="inlineStr">
        <is>
          <t>Funciones del sistema nervioso; tiempo de reacción ante estímulos</t>
        </is>
      </c>
      <c r="R209" s="38" t="inlineStr">
        <is>
          <t>Conocer: describir. Aplicar: medir</t>
        </is>
      </c>
      <c r="S209" s="39">
        <f>IFERROR(ISNUMBER(SEARCH("Conocer",$R209))/(ISNUMBER(SEARCH("Conocer",$R209))+ISNUMBER(SEARCH("Aplicar",$R209))+ISNUMBER(SEARCH("Razonar",$R209))),0)</f>
        <v/>
      </c>
      <c r="T209" s="39">
        <f>IFERROR(ISNUMBER(SEARCH("Aplicar",$R209))/(ISNUMBER(SEARCH("Conocer",$R209))+ISNUMBER(SEARCH("Aplicar",$R209))+ISNUMBER(SEARCH("Razonar",$R209))),0)</f>
        <v/>
      </c>
      <c r="U209" s="39">
        <f>IFERROR(ISNUMBER(SEARCH("Razonar",$R209))/(ISNUMBER(SEARCH("Conocer",$R209))+ISNUMBER(SEARCH("Aplicar",$R209))+ISNUMBER(SEARCH("Razonar",$R209))),0)</f>
        <v/>
      </c>
      <c r="V209" s="11" t="inlineStr">
        <is>
          <t>4°</t>
        </is>
      </c>
      <c r="W209" s="11" t="inlineStr">
        <is>
          <t>Ciclo 2°–4°</t>
        </is>
      </c>
      <c r="X209" s="11">
        <f>IF(OR(IFERROR(INDEX('Datos - Catálogo TIMSS'!$I$5:$I$107,MATCH(K209,'Datos - Catálogo TIMSS'!$A$5:$A$107,0)),"No")="Sí",IFERROR(INDEX('Datos - Catálogo TIMSS'!$I$5:$I$107,MATCH(L209,'Datos - Catálogo TIMSS'!$A$5:$A$107,0)),"No")="Sí"),1,0)</f>
        <v/>
      </c>
      <c r="Y209" s="11">
        <f>IF(IFERROR(INDEX('Datos - Catálogo TIMSS'!$J$5:$J$107,MATCH(K209,'Datos - Catálogo TIMSS'!$A$5:$A$107,0)),"No")="Sí",1,0)</f>
        <v/>
      </c>
      <c r="Z209" s="11">
        <f>IF(IFERROR(INDEX('Datos - Catálogo TIMSS'!$J$5:$J$107,MATCH(L209,'Datos - Catálogo TIMSS'!$A$5:$A$107,0)),"No")="Sí",1,0)</f>
        <v/>
      </c>
      <c r="AA209" s="11" t="inlineStr">
        <is>
          <t>T4-V1.3</t>
        </is>
      </c>
      <c r="AB209" s="11" t="inlineStr"/>
      <c r="AC209" s="11">
        <f>IF(AA209="FUERA","Fuera del marco",IF(AA209="N/A","Sin marco",IFERROR(INDEX('Datos - TIMSS 2023'!$C$5:$C$105,MATCH(AA209,'Datos - TIMSS 2023'!$A$5:$A$105,0)),"Pendiente de clasificar")))</f>
        <v/>
      </c>
      <c r="AD209" s="11" t="inlineStr">
        <is>
          <t>1. Explicar fenómenos científicamente</t>
        </is>
      </c>
      <c r="AE209" s="11">
        <f>IF(AD209="","",IF(LEFT(AD209,1)="1","C1",IF(LEFT(AD209,1)="2","C2",IF(LEFT(AD209,1)="3","C3",""))))</f>
        <v/>
      </c>
      <c r="AF209" s="11" t="inlineStr">
        <is>
          <t>E1</t>
        </is>
      </c>
      <c r="AG209" s="11" t="inlineStr">
        <is>
          <t>D1</t>
        </is>
      </c>
      <c r="AH209" s="11" t="inlineStr">
        <is>
          <t>E1</t>
        </is>
      </c>
      <c r="AI209" s="11" t="inlineStr">
        <is>
          <t>D4</t>
        </is>
      </c>
      <c r="AJ209" s="11" t="inlineStr">
        <is>
          <t>I5</t>
        </is>
      </c>
      <c r="AK209" s="11" t="n"/>
      <c r="AL209" s="11" t="n"/>
      <c r="AM209" s="11" t="n"/>
      <c r="AN209" s="11" t="n"/>
      <c r="AO209" s="11" t="n"/>
      <c r="AP209" s="11" t="n"/>
      <c r="AQ209" s="11" t="n"/>
      <c r="AR209" s="11" t="n"/>
      <c r="AS209" s="11" t="n"/>
      <c r="AT209" s="11" t="n"/>
      <c r="AU209" s="11" t="n"/>
      <c r="AV209" s="11" t="n"/>
      <c r="AW209" s="11">
        <f>AF209&amp;"; "&amp;AG209&amp;"; "&amp;AH209&amp;"; "&amp;AI209&amp;"; "&amp;AJ209</f>
        <v/>
      </c>
    </row>
    <row r="210">
      <c r="A210" s="11" t="inlineStr">
        <is>
          <t>T0844-G04-CIE</t>
        </is>
      </c>
      <c r="B210" s="11" t="n">
        <v>4</v>
      </c>
      <c r="C210" s="11" t="inlineStr">
        <is>
          <t>Ciencias</t>
        </is>
      </c>
      <c r="D210" s="11" t="inlineStr">
        <is>
          <t>Matriz_Ciencias_4to_Grado_U1_U6.xlsx</t>
        </is>
      </c>
      <c r="E210" s="11" t="inlineStr">
        <is>
          <t>Unidad 6 - C. humano movimiento</t>
        </is>
      </c>
      <c r="F210" s="11" t="n">
        <v>10</v>
      </c>
      <c r="G210" s="11" t="inlineStr">
        <is>
          <t>6. Cuerpo humano: movimiento e interacciones.</t>
        </is>
      </c>
      <c r="H210" s="11" t="inlineStr">
        <is>
          <t>Sistemas sensorial y nervioso.</t>
        </is>
      </c>
      <c r="I210" s="38" t="inlineStr">
        <is>
          <t>6.8. Representación de las partes principales del sistema nervioso humano.</t>
        </is>
      </c>
      <c r="J210" s="11" t="inlineStr">
        <is>
          <t>T4_27</t>
        </is>
      </c>
      <c r="K210" s="11" t="inlineStr">
        <is>
          <t>T4_27-B1.3</t>
        </is>
      </c>
      <c r="L210" s="11" t="inlineStr"/>
      <c r="M210" s="11">
        <f>IF(K210="FUERA","Fuera del marco",IF(K210="N/A","Sin marco",IFERROR(INDEX('Datos - Catálogo TIMSS'!$C$5:$C$107,MATCH(K210,'Datos - Catálogo TIMSS'!$A$5:$A$107,0)),"Pendiente de clasificar")))</f>
        <v/>
      </c>
      <c r="N210" s="11">
        <f>IF(K210="FUERA","Fuera del marco",IF(K210="N/A","Sin marco",IFERROR(INDEX('Datos - Catálogo TIMSS'!$F$5:$F$107,MATCH(K210,'Datos - Catálogo TIMSS'!$A$5:$A$107,0)),"Pendiente de clasificar")))</f>
        <v/>
      </c>
      <c r="O210" s="11">
        <f>IF(L210="","",IFERROR(INDEX('Datos - Catálogo TIMSS'!$C$5:$C$107,MATCH(L210,'Datos - Catálogo TIMSS'!$A$5:$A$107,0)),"?"))</f>
        <v/>
      </c>
      <c r="P210" s="11" t="inlineStr">
        <is>
          <t>media</t>
        </is>
      </c>
      <c r="Q210" s="38" t="inlineStr">
        <is>
          <t>Partes principales del sistema nervioso y sus funciones</t>
        </is>
      </c>
      <c r="R210" s="38" t="inlineStr">
        <is>
          <t>Aplicar: representar</t>
        </is>
      </c>
      <c r="S210" s="39">
        <f>IFERROR(ISNUMBER(SEARCH("Conocer",$R210))/(ISNUMBER(SEARCH("Conocer",$R210))+ISNUMBER(SEARCH("Aplicar",$R210))+ISNUMBER(SEARCH("Razonar",$R210))),0)</f>
        <v/>
      </c>
      <c r="T210" s="39">
        <f>IFERROR(ISNUMBER(SEARCH("Aplicar",$R210))/(ISNUMBER(SEARCH("Conocer",$R210))+ISNUMBER(SEARCH("Aplicar",$R210))+ISNUMBER(SEARCH("Razonar",$R210))),0)</f>
        <v/>
      </c>
      <c r="U210" s="39">
        <f>IFERROR(ISNUMBER(SEARCH("Razonar",$R210))/(ISNUMBER(SEARCH("Conocer",$R210))+ISNUMBER(SEARCH("Aplicar",$R210))+ISNUMBER(SEARCH("Razonar",$R210))),0)</f>
        <v/>
      </c>
      <c r="V210" s="11" t="inlineStr">
        <is>
          <t>4°</t>
        </is>
      </c>
      <c r="W210" s="11" t="inlineStr">
        <is>
          <t>Ciclo 2°–4°</t>
        </is>
      </c>
      <c r="X210" s="11">
        <f>IF(OR(IFERROR(INDEX('Datos - Catálogo TIMSS'!$I$5:$I$107,MATCH(K210,'Datos - Catálogo TIMSS'!$A$5:$A$107,0)),"No")="Sí",IFERROR(INDEX('Datos - Catálogo TIMSS'!$I$5:$I$107,MATCH(L210,'Datos - Catálogo TIMSS'!$A$5:$A$107,0)),"No")="Sí"),1,0)</f>
        <v/>
      </c>
      <c r="Y210" s="11">
        <f>IF(IFERROR(INDEX('Datos - Catálogo TIMSS'!$J$5:$J$107,MATCH(K210,'Datos - Catálogo TIMSS'!$A$5:$A$107,0)),"No")="Sí",1,0)</f>
        <v/>
      </c>
      <c r="Z210" s="11">
        <f>IF(IFERROR(INDEX('Datos - Catálogo TIMSS'!$J$5:$J$107,MATCH(L210,'Datos - Catálogo TIMSS'!$A$5:$A$107,0)),"No")="Sí",1,0)</f>
        <v/>
      </c>
      <c r="AA210" s="11" t="inlineStr">
        <is>
          <t>T4-V1.3</t>
        </is>
      </c>
      <c r="AB210" s="11" t="inlineStr"/>
      <c r="AC210" s="11">
        <f>IF(AA210="FUERA","Fuera del marco",IF(AA210="N/A","Sin marco",IFERROR(INDEX('Datos - TIMSS 2023'!$C$5:$C$105,MATCH(AA210,'Datos - TIMSS 2023'!$A$5:$A$105,0)),"Pendiente de clasificar")))</f>
        <v/>
      </c>
      <c r="AD210" s="11" t="inlineStr">
        <is>
          <t>1. Explicar fenómenos científicamente</t>
        </is>
      </c>
      <c r="AE210" s="11">
        <f>IF(AD210="","",IF(LEFT(AD210,1)="1","C1",IF(LEFT(AD210,1)="2","C2",IF(LEFT(AD210,1)="3","C3",""))))</f>
        <v/>
      </c>
      <c r="AF210" s="11" t="inlineStr">
        <is>
          <t>E1</t>
        </is>
      </c>
      <c r="AG210" s="11" t="inlineStr">
        <is>
          <t>D1</t>
        </is>
      </c>
      <c r="AH210" s="11" t="inlineStr">
        <is>
          <t>E2</t>
        </is>
      </c>
      <c r="AI210" s="11" t="inlineStr">
        <is>
          <t>D4</t>
        </is>
      </c>
      <c r="AJ210" s="11" t="inlineStr">
        <is>
          <t>E1</t>
        </is>
      </c>
      <c r="AK210" s="11" t="n"/>
      <c r="AL210" s="11" t="n"/>
      <c r="AM210" s="11" t="n"/>
      <c r="AN210" s="11" t="n"/>
      <c r="AO210" s="11" t="n"/>
      <c r="AP210" s="11" t="n"/>
      <c r="AQ210" s="11" t="n"/>
      <c r="AR210" s="11" t="n"/>
      <c r="AS210" s="11" t="n"/>
      <c r="AT210" s="11" t="n"/>
      <c r="AU210" s="11" t="n"/>
      <c r="AV210" s="11" t="n"/>
      <c r="AW210" s="11">
        <f>AF210&amp;"; "&amp;AG210&amp;"; "&amp;AH210&amp;"; "&amp;AI210&amp;"; "&amp;AJ210</f>
        <v/>
      </c>
    </row>
    <row r="211">
      <c r="A211" s="11" t="inlineStr">
        <is>
          <t>T0845-G04-CIE</t>
        </is>
      </c>
      <c r="B211" s="11" t="n">
        <v>4</v>
      </c>
      <c r="C211" s="11" t="inlineStr">
        <is>
          <t>Ciencias</t>
        </is>
      </c>
      <c r="D211" s="11" t="inlineStr">
        <is>
          <t>Matriz_Ciencias_4to_Grado_U1_U6.xlsx</t>
        </is>
      </c>
      <c r="E211" s="11" t="inlineStr">
        <is>
          <t>Unidad 6 - C. humano movimiento</t>
        </is>
      </c>
      <c r="F211" s="11" t="n">
        <v>11</v>
      </c>
      <c r="G211" s="11" t="inlineStr">
        <is>
          <t>6. Cuerpo humano: movimiento e interacciones.</t>
        </is>
      </c>
      <c r="H211" s="11" t="inlineStr">
        <is>
          <t>Sistema reproductor.</t>
        </is>
      </c>
      <c r="I211" s="38" t="inlineStr">
        <is>
          <t>6.9. Descripción de la estructura del sistema reproductor femenino y masculino.</t>
        </is>
      </c>
      <c r="J211" s="11" t="inlineStr">
        <is>
          <t>T4_27</t>
        </is>
      </c>
      <c r="K211" s="11" t="inlineStr">
        <is>
          <t>T4_27-B1.3</t>
        </is>
      </c>
      <c r="L211" s="11" t="inlineStr"/>
      <c r="M211" s="11">
        <f>IF(K211="FUERA","Fuera del marco",IF(K211="N/A","Sin marco",IFERROR(INDEX('Datos - Catálogo TIMSS'!$C$5:$C$107,MATCH(K211,'Datos - Catálogo TIMSS'!$A$5:$A$107,0)),"Pendiente de clasificar")))</f>
        <v/>
      </c>
      <c r="N211" s="11">
        <f>IF(K211="FUERA","Fuera del marco",IF(K211="N/A","Sin marco",IFERROR(INDEX('Datos - Catálogo TIMSS'!$F$5:$F$107,MATCH(K211,'Datos - Catálogo TIMSS'!$A$5:$A$107,0)),"Pendiente de clasificar")))</f>
        <v/>
      </c>
      <c r="O211" s="11">
        <f>IF(L211="","",IFERROR(INDEX('Datos - Catálogo TIMSS'!$C$5:$C$107,MATCH(L211,'Datos - Catálogo TIMSS'!$A$5:$A$107,0)),"?"))</f>
        <v/>
      </c>
      <c r="P211" s="11" t="inlineStr">
        <is>
          <t>media</t>
        </is>
      </c>
      <c r="Q211" s="38" t="inlineStr">
        <is>
          <t>Estructuras del sistema reproductor; no listadas en sub-ítems</t>
        </is>
      </c>
      <c r="R211" s="38" t="inlineStr">
        <is>
          <t>Conocer: identificar estructuras</t>
        </is>
      </c>
      <c r="S211" s="39">
        <f>IFERROR(ISNUMBER(SEARCH("Conocer",$R211))/(ISNUMBER(SEARCH("Conocer",$R211))+ISNUMBER(SEARCH("Aplicar",$R211))+ISNUMBER(SEARCH("Razonar",$R211))),0)</f>
        <v/>
      </c>
      <c r="T211" s="39">
        <f>IFERROR(ISNUMBER(SEARCH("Aplicar",$R211))/(ISNUMBER(SEARCH("Conocer",$R211))+ISNUMBER(SEARCH("Aplicar",$R211))+ISNUMBER(SEARCH("Razonar",$R211))),0)</f>
        <v/>
      </c>
      <c r="U211" s="39">
        <f>IFERROR(ISNUMBER(SEARCH("Razonar",$R211))/(ISNUMBER(SEARCH("Conocer",$R211))+ISNUMBER(SEARCH("Aplicar",$R211))+ISNUMBER(SEARCH("Razonar",$R211))),0)</f>
        <v/>
      </c>
      <c r="V211" s="11" t="inlineStr">
        <is>
          <t>4°</t>
        </is>
      </c>
      <c r="W211" s="11" t="inlineStr">
        <is>
          <t>Ciclo 2°–4°</t>
        </is>
      </c>
      <c r="X211" s="11">
        <f>IF(OR(IFERROR(INDEX('Datos - Catálogo TIMSS'!$I$5:$I$107,MATCH(K211,'Datos - Catálogo TIMSS'!$A$5:$A$107,0)),"No")="Sí",IFERROR(INDEX('Datos - Catálogo TIMSS'!$I$5:$I$107,MATCH(L211,'Datos - Catálogo TIMSS'!$A$5:$A$107,0)),"No")="Sí"),1,0)</f>
        <v/>
      </c>
      <c r="Y211" s="11">
        <f>IF(IFERROR(INDEX('Datos - Catálogo TIMSS'!$J$5:$J$107,MATCH(K211,'Datos - Catálogo TIMSS'!$A$5:$A$107,0)),"No")="Sí",1,0)</f>
        <v/>
      </c>
      <c r="Z211" s="11">
        <f>IF(IFERROR(INDEX('Datos - Catálogo TIMSS'!$J$5:$J$107,MATCH(L211,'Datos - Catálogo TIMSS'!$A$5:$A$107,0)),"No")="Sí",1,0)</f>
        <v/>
      </c>
      <c r="AA211" s="11" t="inlineStr">
        <is>
          <t>T4-V1.3</t>
        </is>
      </c>
      <c r="AB211" s="11" t="inlineStr"/>
      <c r="AC211" s="11">
        <f>IF(AA211="FUERA","Fuera del marco",IF(AA211="N/A","Sin marco",IFERROR(INDEX('Datos - TIMSS 2023'!$C$5:$C$105,MATCH(AA211,'Datos - TIMSS 2023'!$A$5:$A$105,0)),"Pendiente de clasificar")))</f>
        <v/>
      </c>
      <c r="AD211" s="11" t="inlineStr">
        <is>
          <t>1. Explicar fenómenos científicamente</t>
        </is>
      </c>
      <c r="AE211" s="11">
        <f>IF(AD211="","",IF(LEFT(AD211,1)="1","C1",IF(LEFT(AD211,1)="2","C2",IF(LEFT(AD211,1)="3","C3",""))))</f>
        <v/>
      </c>
      <c r="AF211" s="11" t="inlineStr">
        <is>
          <t>E1</t>
        </is>
      </c>
      <c r="AG211" s="11" t="inlineStr">
        <is>
          <t>D1</t>
        </is>
      </c>
      <c r="AH211" s="11" t="inlineStr">
        <is>
          <t>E1</t>
        </is>
      </c>
      <c r="AI211" s="11" t="inlineStr">
        <is>
          <t>D4</t>
        </is>
      </c>
      <c r="AJ211" s="11" t="inlineStr">
        <is>
          <t>E6</t>
        </is>
      </c>
      <c r="AK211" s="11" t="n"/>
      <c r="AL211" s="11" t="n"/>
      <c r="AM211" s="11" t="n"/>
      <c r="AN211" s="11" t="n"/>
      <c r="AO211" s="11" t="n"/>
      <c r="AP211" s="11" t="n"/>
      <c r="AQ211" s="11" t="n"/>
      <c r="AR211" s="11" t="n"/>
      <c r="AS211" s="11" t="n"/>
      <c r="AT211" s="11" t="n"/>
      <c r="AU211" s="11" t="n"/>
      <c r="AV211" s="11" t="n"/>
      <c r="AW211" s="11">
        <f>AF211&amp;"; "&amp;AG211&amp;"; "&amp;AH211&amp;"; "&amp;AI211&amp;"; "&amp;AJ211</f>
        <v/>
      </c>
    </row>
    <row r="212">
      <c r="A212" s="11" t="inlineStr">
        <is>
          <t>T0846-G04-CIE</t>
        </is>
      </c>
      <c r="B212" s="11" t="n">
        <v>4</v>
      </c>
      <c r="C212" s="11" t="inlineStr">
        <is>
          <t>Ciencias</t>
        </is>
      </c>
      <c r="D212" s="11" t="inlineStr">
        <is>
          <t>Matriz_Ciencias_4to_Grado_U1_U6.xlsx</t>
        </is>
      </c>
      <c r="E212" s="11" t="inlineStr">
        <is>
          <t>Unidad 6 - C. humano movimiento</t>
        </is>
      </c>
      <c r="F212" s="11" t="n">
        <v>12</v>
      </c>
      <c r="G212" s="11" t="inlineStr">
        <is>
          <t>6. Cuerpo humano: movimiento e interacciones.</t>
        </is>
      </c>
      <c r="H212" s="11" t="inlineStr">
        <is>
          <t>Sistema reproductor.</t>
        </is>
      </c>
      <c r="I212" s="38" t="inlineStr">
        <is>
          <t>6.10. Explicación de la importancia y cuidados del sistema reproductor.</t>
        </is>
      </c>
      <c r="J212" s="11" t="inlineStr">
        <is>
          <t>T4_27</t>
        </is>
      </c>
      <c r="K212" s="11" t="inlineStr">
        <is>
          <t>T4_27-B5.2</t>
        </is>
      </c>
      <c r="L212" s="11" t="inlineStr"/>
      <c r="M212" s="11">
        <f>IF(K212="FUERA","Fuera del marco",IF(K212="N/A","Sin marco",IFERROR(INDEX('Datos - Catálogo TIMSS'!$C$5:$C$107,MATCH(K212,'Datos - Catálogo TIMSS'!$A$5:$A$107,0)),"Pendiente de clasificar")))</f>
        <v/>
      </c>
      <c r="N212" s="11">
        <f>IF(K212="FUERA","Fuera del marco",IF(K212="N/A","Sin marco",IFERROR(INDEX('Datos - Catálogo TIMSS'!$F$5:$F$107,MATCH(K212,'Datos - Catálogo TIMSS'!$A$5:$A$107,0)),"Pendiente de clasificar")))</f>
        <v/>
      </c>
      <c r="O212" s="11">
        <f>IF(L212="","",IFERROR(INDEX('Datos - Catálogo TIMSS'!$C$5:$C$107,MATCH(L212,'Datos - Catálogo TIMSS'!$A$5:$A$107,0)),"?"))</f>
        <v/>
      </c>
      <c r="P212" s="11" t="inlineStr">
        <is>
          <t>media</t>
        </is>
      </c>
      <c r="Q212" s="38" t="inlineStr">
        <is>
          <t>Cuidados del sistema reproductor como hábitos de salud</t>
        </is>
      </c>
      <c r="R212" s="38" t="inlineStr">
        <is>
          <t>Aplicar: relacionar. Razonar: evaluar información</t>
        </is>
      </c>
      <c r="S212" s="39">
        <f>IFERROR(ISNUMBER(SEARCH("Conocer",$R212))/(ISNUMBER(SEARCH("Conocer",$R212))+ISNUMBER(SEARCH("Aplicar",$R212))+ISNUMBER(SEARCH("Razonar",$R212))),0)</f>
        <v/>
      </c>
      <c r="T212" s="39">
        <f>IFERROR(ISNUMBER(SEARCH("Aplicar",$R212))/(ISNUMBER(SEARCH("Conocer",$R212))+ISNUMBER(SEARCH("Aplicar",$R212))+ISNUMBER(SEARCH("Razonar",$R212))),0)</f>
        <v/>
      </c>
      <c r="U212" s="39">
        <f>IFERROR(ISNUMBER(SEARCH("Razonar",$R212))/(ISNUMBER(SEARCH("Conocer",$R212))+ISNUMBER(SEARCH("Aplicar",$R212))+ISNUMBER(SEARCH("Razonar",$R212))),0)</f>
        <v/>
      </c>
      <c r="V212" s="11" t="inlineStr">
        <is>
          <t>4°</t>
        </is>
      </c>
      <c r="W212" s="11" t="inlineStr">
        <is>
          <t>Ciclo 2°–4°</t>
        </is>
      </c>
      <c r="X212" s="11">
        <f>IF(OR(IFERROR(INDEX('Datos - Catálogo TIMSS'!$I$5:$I$107,MATCH(K212,'Datos - Catálogo TIMSS'!$A$5:$A$107,0)),"No")="Sí",IFERROR(INDEX('Datos - Catálogo TIMSS'!$I$5:$I$107,MATCH(L212,'Datos - Catálogo TIMSS'!$A$5:$A$107,0)),"No")="Sí"),1,0)</f>
        <v/>
      </c>
      <c r="Y212" s="11">
        <f>IF(IFERROR(INDEX('Datos - Catálogo TIMSS'!$J$5:$J$107,MATCH(K212,'Datos - Catálogo TIMSS'!$A$5:$A$107,0)),"No")="Sí",1,0)</f>
        <v/>
      </c>
      <c r="Z212" s="11">
        <f>IF(IFERROR(INDEX('Datos - Catálogo TIMSS'!$J$5:$J$107,MATCH(L212,'Datos - Catálogo TIMSS'!$A$5:$A$107,0)),"No")="Sí",1,0)</f>
        <v/>
      </c>
      <c r="AA212" s="11" t="inlineStr">
        <is>
          <t>T4-V5.1</t>
        </is>
      </c>
      <c r="AB212" s="11" t="inlineStr"/>
      <c r="AC212" s="11">
        <f>IF(AA212="FUERA","Fuera del marco",IF(AA212="N/A","Sin marco",IFERROR(INDEX('Datos - TIMSS 2023'!$C$5:$C$105,MATCH(AA212,'Datos - TIMSS 2023'!$A$5:$A$105,0)),"Pendiente de clasificar")))</f>
        <v/>
      </c>
      <c r="AD212" s="11" t="inlineStr">
        <is>
          <t>3. Investigar, evaluar y usar información científica para tomar decisiones y actuar</t>
        </is>
      </c>
      <c r="AE212" s="11">
        <f>IF(AD212="","",IF(LEFT(AD212,1)="1","C1",IF(LEFT(AD212,1)="2","C2",IF(LEFT(AD212,1)="3","C3",""))))</f>
        <v/>
      </c>
      <c r="AF212" s="11" t="inlineStr">
        <is>
          <t>E1</t>
        </is>
      </c>
      <c r="AG212" s="11" t="inlineStr">
        <is>
          <t>D1</t>
        </is>
      </c>
      <c r="AH212" s="11" t="inlineStr">
        <is>
          <t>E1</t>
        </is>
      </c>
      <c r="AI212" s="11" t="inlineStr">
        <is>
          <t>I2</t>
        </is>
      </c>
      <c r="AJ212" s="11" t="inlineStr">
        <is>
          <t>I5</t>
        </is>
      </c>
      <c r="AK212" s="11" t="n"/>
      <c r="AL212" s="11" t="n"/>
      <c r="AM212" s="11" t="n"/>
      <c r="AN212" s="11" t="n"/>
      <c r="AO212" s="11" t="n"/>
      <c r="AP212" s="11" t="n"/>
      <c r="AQ212" s="11" t="n"/>
      <c r="AR212" s="11" t="n"/>
      <c r="AS212" s="11" t="n"/>
      <c r="AT212" s="11" t="n"/>
      <c r="AU212" s="11" t="n"/>
      <c r="AV212" s="11" t="n"/>
      <c r="AW212" s="11">
        <f>AF212&amp;"; "&amp;AG212&amp;"; "&amp;AH212&amp;"; "&amp;AI212&amp;"; "&amp;AJ212</f>
        <v/>
      </c>
    </row>
    <row r="213">
      <c r="A213" s="11" t="inlineStr">
        <is>
          <t>T0847-G05-CIE</t>
        </is>
      </c>
      <c r="B213" s="11" t="n">
        <v>5</v>
      </c>
      <c r="C213" s="11" t="inlineStr">
        <is>
          <t>Ciencias</t>
        </is>
      </c>
      <c r="D213" s="11" t="inlineStr">
        <is>
          <t>Matriz_Ciencias_5to_Grado_U1_U6.xlsx</t>
        </is>
      </c>
      <c r="E213" s="11" t="inlineStr">
        <is>
          <t>Unidad 1 - Magnitudes físicas</t>
        </is>
      </c>
      <c r="F213" s="11" t="n">
        <v>3</v>
      </c>
      <c r="G213" s="11" t="inlineStr">
        <is>
          <t>1. Magnitudes físicas.</t>
        </is>
      </c>
      <c r="H213" s="11" t="inlineStr">
        <is>
          <t>Sistema Internacional de Unidades.</t>
        </is>
      </c>
      <c r="I213" s="38" t="inlineStr">
        <is>
          <t>1.1. Medición directa de magnitudes físicas en las unidades fundamentales del SI.</t>
        </is>
      </c>
      <c r="J213" s="11" t="inlineStr">
        <is>
          <t>T8_27</t>
        </is>
      </c>
      <c r="K213" s="11" t="inlineStr">
        <is>
          <t>T8_27-P6.1</t>
        </is>
      </c>
      <c r="L213" s="11" t="inlineStr"/>
      <c r="M213" s="11">
        <f>IF(K213="FUERA","Fuera del marco",IF(K213="N/A","Sin marco",IFERROR(INDEX('Datos - Catálogo TIMSS'!$C$5:$C$107,MATCH(K213,'Datos - Catálogo TIMSS'!$A$5:$A$107,0)),"Pendiente de clasificar")))</f>
        <v/>
      </c>
      <c r="N213" s="11">
        <f>IF(K213="FUERA","Fuera del marco",IF(K213="N/A","Sin marco",IFERROR(INDEX('Datos - Catálogo TIMSS'!$F$5:$F$107,MATCH(K213,'Datos - Catálogo TIMSS'!$A$5:$A$107,0)),"Pendiente de clasificar")))</f>
        <v/>
      </c>
      <c r="O213" s="11">
        <f>IF(L213="","",IFERROR(INDEX('Datos - Catálogo TIMSS'!$C$5:$C$107,MATCH(L213,'Datos - Catálogo TIMSS'!$A$5:$A$107,0)),"?"))</f>
        <v/>
      </c>
      <c r="P213" s="11" t="inlineStr">
        <is>
          <t>media</t>
        </is>
      </c>
      <c r="Q213" s="38" t="inlineStr">
        <is>
          <t>Medición directa con instrumentos; práctica de medición sin contenido disciplinar.</t>
        </is>
      </c>
      <c r="R213" s="38" t="inlineStr">
        <is>
          <t>Aplicar: medir con instrumentos y unidades del SI</t>
        </is>
      </c>
      <c r="S213" s="39">
        <f>IFERROR(ISNUMBER(SEARCH("Conocer",$R213))/(ISNUMBER(SEARCH("Conocer",$R213))+ISNUMBER(SEARCH("Aplicar",$R213))+ISNUMBER(SEARCH("Razonar",$R213))),0)</f>
        <v/>
      </c>
      <c r="T213" s="39">
        <f>IFERROR(ISNUMBER(SEARCH("Aplicar",$R213))/(ISNUMBER(SEARCH("Conocer",$R213))+ISNUMBER(SEARCH("Aplicar",$R213))+ISNUMBER(SEARCH("Razonar",$R213))),0)</f>
        <v/>
      </c>
      <c r="U213" s="39">
        <f>IFERROR(ISNUMBER(SEARCH("Razonar",$R213))/(ISNUMBER(SEARCH("Conocer",$R213))+ISNUMBER(SEARCH("Aplicar",$R213))+ISNUMBER(SEARCH("Razonar",$R213))),0)</f>
        <v/>
      </c>
      <c r="V213" s="11" t="inlineStr">
        <is>
          <t>5°</t>
        </is>
      </c>
      <c r="W213" s="11" t="inlineStr">
        <is>
          <t>Ciclo 5°–8°</t>
        </is>
      </c>
      <c r="X213" s="11">
        <f>IF(OR(IFERROR(INDEX('Datos - Catálogo TIMSS'!$I$5:$I$107,MATCH(K213,'Datos - Catálogo TIMSS'!$A$5:$A$107,0)),"No")="Sí",IFERROR(INDEX('Datos - Catálogo TIMSS'!$I$5:$I$107,MATCH(L213,'Datos - Catálogo TIMSS'!$A$5:$A$107,0)),"No")="Sí"),1,0)</f>
        <v/>
      </c>
      <c r="Y213" s="11">
        <f>IF(IFERROR(INDEX('Datos - Catálogo TIMSS'!$J$5:$J$107,MATCH(K213,'Datos - Catálogo TIMSS'!$A$5:$A$107,0)),"No")="Sí",1,0)</f>
        <v/>
      </c>
      <c r="Z213" s="11">
        <f>IF(IFERROR(INDEX('Datos - Catálogo TIMSS'!$J$5:$J$107,MATCH(L213,'Datos - Catálogo TIMSS'!$A$5:$A$107,0)),"No")="Sí",1,0)</f>
        <v/>
      </c>
      <c r="AA213" s="11" t="inlineStr">
        <is>
          <t>FUERA</t>
        </is>
      </c>
      <c r="AB213" s="11" t="inlineStr"/>
      <c r="AC213" s="11">
        <f>IF(AA213="FUERA","Fuera del marco",IF(AA213="N/A","Sin marco",IFERROR(INDEX('Datos - TIMSS 2023'!$C$5:$C$105,MATCH(AA213,'Datos - TIMSS 2023'!$A$5:$A$105,0)),"Pendiente de clasificar")))</f>
        <v/>
      </c>
      <c r="AD213" s="11" t="inlineStr">
        <is>
          <t>2. Construir y evaluar diseños para la indagación científica e interpretar datos y evidencia de forma crítica</t>
        </is>
      </c>
      <c r="AE213" s="11">
        <f>IF(AD213="","",IF(LEFT(AD213,1)="1","C1",IF(LEFT(AD213,1)="2","C2",IF(LEFT(AD213,1)="3","C3",""))))</f>
        <v/>
      </c>
      <c r="AF213" s="11" t="inlineStr">
        <is>
          <t>E1</t>
        </is>
      </c>
      <c r="AG213" s="11" t="inlineStr">
        <is>
          <t>D1</t>
        </is>
      </c>
      <c r="AH213" s="11" t="inlineStr">
        <is>
          <t>E1</t>
        </is>
      </c>
      <c r="AI213" s="11" t="inlineStr">
        <is>
          <t>D4</t>
        </is>
      </c>
      <c r="AJ213" s="11" t="inlineStr">
        <is>
          <t>E3</t>
        </is>
      </c>
      <c r="AK213" s="11" t="n"/>
      <c r="AL213" s="11" t="n"/>
      <c r="AM213" s="11" t="n"/>
      <c r="AN213" s="11" t="n"/>
      <c r="AO213" s="11" t="n"/>
      <c r="AP213" s="11" t="n"/>
      <c r="AQ213" s="11" t="n"/>
      <c r="AR213" s="11" t="n"/>
      <c r="AS213" s="11" t="n"/>
      <c r="AT213" s="11" t="n"/>
      <c r="AU213" s="11" t="n"/>
      <c r="AV213" s="11" t="n"/>
      <c r="AW213" s="11">
        <f>AF213&amp;"; "&amp;AG213&amp;"; "&amp;AH213&amp;"; "&amp;AI213&amp;"; "&amp;AJ213</f>
        <v/>
      </c>
    </row>
    <row r="214">
      <c r="A214" s="11" t="inlineStr">
        <is>
          <t>T0848-G05-CIE</t>
        </is>
      </c>
      <c r="B214" s="11" t="n">
        <v>5</v>
      </c>
      <c r="C214" s="11" t="inlineStr">
        <is>
          <t>Ciencias</t>
        </is>
      </c>
      <c r="D214" s="11" t="inlineStr">
        <is>
          <t>Matriz_Ciencias_5to_Grado_U1_U6.xlsx</t>
        </is>
      </c>
      <c r="E214" s="11" t="inlineStr">
        <is>
          <t>Unidad 1 - Magnitudes físicas</t>
        </is>
      </c>
      <c r="F214" s="11" t="n">
        <v>4</v>
      </c>
      <c r="G214" s="11" t="inlineStr">
        <is>
          <t>1. Magnitudes físicas.</t>
        </is>
      </c>
      <c r="H214" s="11" t="inlineStr">
        <is>
          <t>Sistema Internacional de Unidades.</t>
        </is>
      </c>
      <c r="I214" s="38" t="inlineStr">
        <is>
          <t>1.2. Medición directa de magnitudes físicas en las unidades derivadas del SI.</t>
        </is>
      </c>
      <c r="J214" s="11" t="inlineStr">
        <is>
          <t>T8_27</t>
        </is>
      </c>
      <c r="K214" s="11" t="inlineStr">
        <is>
          <t>T8_27-P6.1</t>
        </is>
      </c>
      <c r="L214" s="11" t="inlineStr"/>
      <c r="M214" s="11">
        <f>IF(K214="FUERA","Fuera del marco",IF(K214="N/A","Sin marco",IFERROR(INDEX('Datos - Catálogo TIMSS'!$C$5:$C$107,MATCH(K214,'Datos - Catálogo TIMSS'!$A$5:$A$107,0)),"Pendiente de clasificar")))</f>
        <v/>
      </c>
      <c r="N214" s="11">
        <f>IF(K214="FUERA","Fuera del marco",IF(K214="N/A","Sin marco",IFERROR(INDEX('Datos - Catálogo TIMSS'!$F$5:$F$107,MATCH(K214,'Datos - Catálogo TIMSS'!$A$5:$A$107,0)),"Pendiente de clasificar")))</f>
        <v/>
      </c>
      <c r="O214" s="11">
        <f>IF(L214="","",IFERROR(INDEX('Datos - Catálogo TIMSS'!$C$5:$C$107,MATCH(L214,'Datos - Catálogo TIMSS'!$A$5:$A$107,0)),"?"))</f>
        <v/>
      </c>
      <c r="P214" s="11" t="inlineStr">
        <is>
          <t>media</t>
        </is>
      </c>
      <c r="Q214" s="38" t="inlineStr">
        <is>
          <t>Medición directa de magnitudes derivadas; práctica investigativa de medición.</t>
        </is>
      </c>
      <c r="R214" s="38" t="inlineStr">
        <is>
          <t>Aplicar: medir magnitudes derivadas</t>
        </is>
      </c>
      <c r="S214" s="39">
        <f>IFERROR(ISNUMBER(SEARCH("Conocer",$R214))/(ISNUMBER(SEARCH("Conocer",$R214))+ISNUMBER(SEARCH("Aplicar",$R214))+ISNUMBER(SEARCH("Razonar",$R214))),0)</f>
        <v/>
      </c>
      <c r="T214" s="39">
        <f>IFERROR(ISNUMBER(SEARCH("Aplicar",$R214))/(ISNUMBER(SEARCH("Conocer",$R214))+ISNUMBER(SEARCH("Aplicar",$R214))+ISNUMBER(SEARCH("Razonar",$R214))),0)</f>
        <v/>
      </c>
      <c r="U214" s="39">
        <f>IFERROR(ISNUMBER(SEARCH("Razonar",$R214))/(ISNUMBER(SEARCH("Conocer",$R214))+ISNUMBER(SEARCH("Aplicar",$R214))+ISNUMBER(SEARCH("Razonar",$R214))),0)</f>
        <v/>
      </c>
      <c r="V214" s="11" t="inlineStr">
        <is>
          <t>5°</t>
        </is>
      </c>
      <c r="W214" s="11" t="inlineStr">
        <is>
          <t>Ciclo 5°–8°</t>
        </is>
      </c>
      <c r="X214" s="11">
        <f>IF(OR(IFERROR(INDEX('Datos - Catálogo TIMSS'!$I$5:$I$107,MATCH(K214,'Datos - Catálogo TIMSS'!$A$5:$A$107,0)),"No")="Sí",IFERROR(INDEX('Datos - Catálogo TIMSS'!$I$5:$I$107,MATCH(L214,'Datos - Catálogo TIMSS'!$A$5:$A$107,0)),"No")="Sí"),1,0)</f>
        <v/>
      </c>
      <c r="Y214" s="11">
        <f>IF(IFERROR(INDEX('Datos - Catálogo TIMSS'!$J$5:$J$107,MATCH(K214,'Datos - Catálogo TIMSS'!$A$5:$A$107,0)),"No")="Sí",1,0)</f>
        <v/>
      </c>
      <c r="Z214" s="11">
        <f>IF(IFERROR(INDEX('Datos - Catálogo TIMSS'!$J$5:$J$107,MATCH(L214,'Datos - Catálogo TIMSS'!$A$5:$A$107,0)),"No")="Sí",1,0)</f>
        <v/>
      </c>
      <c r="AA214" s="11" t="inlineStr">
        <is>
          <t>FUERA</t>
        </is>
      </c>
      <c r="AB214" s="11" t="inlineStr"/>
      <c r="AC214" s="11">
        <f>IF(AA214="FUERA","Fuera del marco",IF(AA214="N/A","Sin marco",IFERROR(INDEX('Datos - TIMSS 2023'!$C$5:$C$105,MATCH(AA214,'Datos - TIMSS 2023'!$A$5:$A$105,0)),"Pendiente de clasificar")))</f>
        <v/>
      </c>
      <c r="AD214" s="11" t="inlineStr">
        <is>
          <t>2. Construir y evaluar diseños para la indagación científica e interpretar datos y evidencia de forma crítica</t>
        </is>
      </c>
      <c r="AE214" s="11">
        <f>IF(AD214="","",IF(LEFT(AD214,1)="1","C1",IF(LEFT(AD214,1)="2","C2",IF(LEFT(AD214,1)="3","C3",""))))</f>
        <v/>
      </c>
      <c r="AF214" s="11" t="inlineStr">
        <is>
          <t>E1</t>
        </is>
      </c>
      <c r="AG214" s="11" t="inlineStr">
        <is>
          <t>D1</t>
        </is>
      </c>
      <c r="AH214" s="11" t="inlineStr">
        <is>
          <t>E1</t>
        </is>
      </c>
      <c r="AI214" s="11" t="inlineStr">
        <is>
          <t>D4</t>
        </is>
      </c>
      <c r="AJ214" s="11" t="inlineStr">
        <is>
          <t>E1</t>
        </is>
      </c>
      <c r="AK214" s="11" t="n"/>
      <c r="AL214" s="11" t="n"/>
      <c r="AM214" s="11" t="n"/>
      <c r="AN214" s="11" t="n"/>
      <c r="AO214" s="11" t="n"/>
      <c r="AP214" s="11" t="n"/>
      <c r="AQ214" s="11" t="n"/>
      <c r="AR214" s="11" t="n"/>
      <c r="AS214" s="11" t="n"/>
      <c r="AT214" s="11" t="n"/>
      <c r="AU214" s="11" t="n"/>
      <c r="AV214" s="11" t="n"/>
      <c r="AW214" s="11">
        <f>AF214&amp;"; "&amp;AG214&amp;"; "&amp;AH214&amp;"; "&amp;AI214&amp;"; "&amp;AJ214</f>
        <v/>
      </c>
    </row>
    <row r="215">
      <c r="A215" s="11" t="inlineStr">
        <is>
          <t>T0849-G05-CIE</t>
        </is>
      </c>
      <c r="B215" s="11" t="n">
        <v>5</v>
      </c>
      <c r="C215" s="11" t="inlineStr">
        <is>
          <t>Ciencias</t>
        </is>
      </c>
      <c r="D215" s="11" t="inlineStr">
        <is>
          <t>Matriz_Ciencias_5to_Grado_U1_U6.xlsx</t>
        </is>
      </c>
      <c r="E215" s="11" t="inlineStr">
        <is>
          <t>Unidad 1 - Magnitudes físicas</t>
        </is>
      </c>
      <c r="F215" s="11" t="n">
        <v>5</v>
      </c>
      <c r="G215" s="11" t="inlineStr">
        <is>
          <t>1. Magnitudes físicas.</t>
        </is>
      </c>
      <c r="H215" s="11" t="inlineStr">
        <is>
          <t>Sistema Internacional de Unidades.</t>
        </is>
      </c>
      <c r="I215" s="38" t="inlineStr">
        <is>
          <t>1.3. Cálculo de magnitudes físicas derivadas a partir de unidades fundamentales del SI.</t>
        </is>
      </c>
      <c r="J215" s="11" t="inlineStr">
        <is>
          <t>T8_27</t>
        </is>
      </c>
      <c r="K215" s="11" t="inlineStr">
        <is>
          <t>FUERA</t>
        </is>
      </c>
      <c r="L215" s="11" t="inlineStr"/>
      <c r="M215" s="11">
        <f>IF(K215="FUERA","Fuera del marco",IF(K215="N/A","Sin marco",IFERROR(INDEX('Datos - Catálogo TIMSS'!$C$5:$C$107,MATCH(K215,'Datos - Catálogo TIMSS'!$A$5:$A$107,0)),"Pendiente de clasificar")))</f>
        <v/>
      </c>
      <c r="N215" s="11">
        <f>IF(K215="FUERA","Fuera del marco",IF(K215="N/A","Sin marco",IFERROR(INDEX('Datos - Catálogo TIMSS'!$F$5:$F$107,MATCH(K215,'Datos - Catálogo TIMSS'!$A$5:$A$107,0)),"Pendiente de clasificar")))</f>
        <v/>
      </c>
      <c r="O215" s="11">
        <f>IF(L215="","",IFERROR(INDEX('Datos - Catálogo TIMSS'!$C$5:$C$107,MATCH(L215,'Datos - Catálogo TIMSS'!$A$5:$A$107,0)),"?"))</f>
        <v/>
      </c>
      <c r="P215" s="11" t="inlineStr">
        <is>
          <t>media</t>
        </is>
      </c>
      <c r="Q215" s="38" t="inlineStr">
        <is>
          <t>Cálculo de magnitudes derivadas con unidades; sin práctica investigativa.</t>
        </is>
      </c>
      <c r="R215" s="38" t="inlineStr">
        <is>
          <t>Aplicar: calcular a partir de mediciones</t>
        </is>
      </c>
      <c r="S215" s="39">
        <f>IFERROR(ISNUMBER(SEARCH("Conocer",$R215))/(ISNUMBER(SEARCH("Conocer",$R215))+ISNUMBER(SEARCH("Aplicar",$R215))+ISNUMBER(SEARCH("Razonar",$R215))),0)</f>
        <v/>
      </c>
      <c r="T215" s="39">
        <f>IFERROR(ISNUMBER(SEARCH("Aplicar",$R215))/(ISNUMBER(SEARCH("Conocer",$R215))+ISNUMBER(SEARCH("Aplicar",$R215))+ISNUMBER(SEARCH("Razonar",$R215))),0)</f>
        <v/>
      </c>
      <c r="U215" s="39">
        <f>IFERROR(ISNUMBER(SEARCH("Razonar",$R215))/(ISNUMBER(SEARCH("Conocer",$R215))+ISNUMBER(SEARCH("Aplicar",$R215))+ISNUMBER(SEARCH("Razonar",$R215))),0)</f>
        <v/>
      </c>
      <c r="V215" s="11" t="inlineStr">
        <is>
          <t>5°</t>
        </is>
      </c>
      <c r="W215" s="11" t="inlineStr">
        <is>
          <t>Ciclo 5°–8°</t>
        </is>
      </c>
      <c r="X215" s="11">
        <f>IF(OR(IFERROR(INDEX('Datos - Catálogo TIMSS'!$I$5:$I$107,MATCH(K215,'Datos - Catálogo TIMSS'!$A$5:$A$107,0)),"No")="Sí",IFERROR(INDEX('Datos - Catálogo TIMSS'!$I$5:$I$107,MATCH(L215,'Datos - Catálogo TIMSS'!$A$5:$A$107,0)),"No")="Sí"),1,0)</f>
        <v/>
      </c>
      <c r="Y215" s="11">
        <f>IF(IFERROR(INDEX('Datos - Catálogo TIMSS'!$J$5:$J$107,MATCH(K215,'Datos - Catálogo TIMSS'!$A$5:$A$107,0)),"No")="Sí",1,0)</f>
        <v/>
      </c>
      <c r="Z215" s="11">
        <f>IF(IFERROR(INDEX('Datos - Catálogo TIMSS'!$J$5:$J$107,MATCH(L215,'Datos - Catálogo TIMSS'!$A$5:$A$107,0)),"No")="Sí",1,0)</f>
        <v/>
      </c>
      <c r="AA215" s="11" t="inlineStr">
        <is>
          <t>FUERA</t>
        </is>
      </c>
      <c r="AB215" s="11" t="inlineStr"/>
      <c r="AC215" s="11">
        <f>IF(AA215="FUERA","Fuera del marco",IF(AA215="N/A","Sin marco",IFERROR(INDEX('Datos - TIMSS 2023'!$C$5:$C$105,MATCH(AA215,'Datos - TIMSS 2023'!$A$5:$A$105,0)),"Pendiente de clasificar")))</f>
        <v/>
      </c>
      <c r="AD215" s="11" t="inlineStr">
        <is>
          <t>2. Construir y evaluar diseños para la indagación científica e interpretar datos y evidencia de forma crítica</t>
        </is>
      </c>
      <c r="AE215" s="11">
        <f>IF(AD215="","",IF(LEFT(AD215,1)="1","C1",IF(LEFT(AD215,1)="2","C2",IF(LEFT(AD215,1)="3","C3",""))))</f>
        <v/>
      </c>
      <c r="AF215" s="11" t="inlineStr">
        <is>
          <t>E1</t>
        </is>
      </c>
      <c r="AG215" s="11" t="inlineStr">
        <is>
          <t>D1</t>
        </is>
      </c>
      <c r="AH215" s="11" t="inlineStr">
        <is>
          <t>E2</t>
        </is>
      </c>
      <c r="AI215" s="11" t="inlineStr">
        <is>
          <t>D4</t>
        </is>
      </c>
      <c r="AJ215" s="11" t="inlineStr">
        <is>
          <t>E3</t>
        </is>
      </c>
      <c r="AK215" s="11" t="n"/>
      <c r="AL215" s="11" t="n"/>
      <c r="AM215" s="11" t="n"/>
      <c r="AN215" s="11" t="n"/>
      <c r="AO215" s="11" t="n"/>
      <c r="AP215" s="11" t="n"/>
      <c r="AQ215" s="11" t="n"/>
      <c r="AR215" s="11" t="n"/>
      <c r="AS215" s="11" t="n"/>
      <c r="AT215" s="11" t="n"/>
      <c r="AU215" s="11" t="n"/>
      <c r="AV215" s="11" t="n"/>
      <c r="AW215" s="11">
        <f>AF215&amp;"; "&amp;AG215&amp;"; "&amp;AH215&amp;"; "&amp;AI215&amp;"; "&amp;AJ215</f>
        <v/>
      </c>
    </row>
    <row r="216">
      <c r="A216" s="11" t="inlineStr">
        <is>
          <t>T0850-G05-CIE</t>
        </is>
      </c>
      <c r="B216" s="11" t="n">
        <v>5</v>
      </c>
      <c r="C216" s="11" t="inlineStr">
        <is>
          <t>Ciencias</t>
        </is>
      </c>
      <c r="D216" s="11" t="inlineStr">
        <is>
          <t>Matriz_Ciencias_5to_Grado_U1_U6.xlsx</t>
        </is>
      </c>
      <c r="E216" s="11" t="inlineStr">
        <is>
          <t>Unidad 1 - Magnitudes físicas</t>
        </is>
      </c>
      <c r="F216" s="11" t="n">
        <v>6</v>
      </c>
      <c r="G216" s="11" t="inlineStr">
        <is>
          <t>1. Magnitudes físicas.</t>
        </is>
      </c>
      <c r="H216" s="11" t="inlineStr">
        <is>
          <t>Sistema Internacional de Unidades.</t>
        </is>
      </c>
      <c r="I216" s="38" t="inlineStr">
        <is>
          <t>1.4. Representación de cantidades y unidades bajo los lineamientos del SI y el Reglamento Técnico Salvadoreño (RTS) de metrología.</t>
        </is>
      </c>
      <c r="J216" s="11" t="inlineStr">
        <is>
          <t>T8_27</t>
        </is>
      </c>
      <c r="K216" s="11" t="inlineStr">
        <is>
          <t>FUERA</t>
        </is>
      </c>
      <c r="L216" s="11" t="inlineStr"/>
      <c r="M216" s="11">
        <f>IF(K216="FUERA","Fuera del marco",IF(K216="N/A","Sin marco",IFERROR(INDEX('Datos - Catálogo TIMSS'!$C$5:$C$107,MATCH(K216,'Datos - Catálogo TIMSS'!$A$5:$A$107,0)),"Pendiente de clasificar")))</f>
        <v/>
      </c>
      <c r="N216" s="11">
        <f>IF(K216="FUERA","Fuera del marco",IF(K216="N/A","Sin marco",IFERROR(INDEX('Datos - Catálogo TIMSS'!$F$5:$F$107,MATCH(K216,'Datos - Catálogo TIMSS'!$A$5:$A$107,0)),"Pendiente de clasificar")))</f>
        <v/>
      </c>
      <c r="O216" s="11">
        <f>IF(L216="","",IFERROR(INDEX('Datos - Catálogo TIMSS'!$C$5:$C$107,MATCH(L216,'Datos - Catálogo TIMSS'!$A$5:$A$107,0)),"?"))</f>
        <v/>
      </c>
      <c r="P216" s="11" t="inlineStr">
        <is>
          <t>alta</t>
        </is>
      </c>
      <c r="Q216" s="38" t="inlineStr">
        <is>
          <t>Nomenclatura y simbología del SI; unidades sin contenido del marco.</t>
        </is>
      </c>
      <c r="R216" s="38" t="inlineStr">
        <is>
          <t>Conocer: aplicar normas de escritura</t>
        </is>
      </c>
      <c r="S216" s="39">
        <f>IFERROR(ISNUMBER(SEARCH("Conocer",$R216))/(ISNUMBER(SEARCH("Conocer",$R216))+ISNUMBER(SEARCH("Aplicar",$R216))+ISNUMBER(SEARCH("Razonar",$R216))),0)</f>
        <v/>
      </c>
      <c r="T216" s="39">
        <f>IFERROR(ISNUMBER(SEARCH("Aplicar",$R216))/(ISNUMBER(SEARCH("Conocer",$R216))+ISNUMBER(SEARCH("Aplicar",$R216))+ISNUMBER(SEARCH("Razonar",$R216))),0)</f>
        <v/>
      </c>
      <c r="U216" s="39">
        <f>IFERROR(ISNUMBER(SEARCH("Razonar",$R216))/(ISNUMBER(SEARCH("Conocer",$R216))+ISNUMBER(SEARCH("Aplicar",$R216))+ISNUMBER(SEARCH("Razonar",$R216))),0)</f>
        <v/>
      </c>
      <c r="V216" s="11" t="inlineStr">
        <is>
          <t>5°</t>
        </is>
      </c>
      <c r="W216" s="11" t="inlineStr">
        <is>
          <t>Ciclo 5°–8°</t>
        </is>
      </c>
      <c r="X216" s="11">
        <f>IF(OR(IFERROR(INDEX('Datos - Catálogo TIMSS'!$I$5:$I$107,MATCH(K216,'Datos - Catálogo TIMSS'!$A$5:$A$107,0)),"No")="Sí",IFERROR(INDEX('Datos - Catálogo TIMSS'!$I$5:$I$107,MATCH(L216,'Datos - Catálogo TIMSS'!$A$5:$A$107,0)),"No")="Sí"),1,0)</f>
        <v/>
      </c>
      <c r="Y216" s="11">
        <f>IF(IFERROR(INDEX('Datos - Catálogo TIMSS'!$J$5:$J$107,MATCH(K216,'Datos - Catálogo TIMSS'!$A$5:$A$107,0)),"No")="Sí",1,0)</f>
        <v/>
      </c>
      <c r="Z216" s="11">
        <f>IF(IFERROR(INDEX('Datos - Catálogo TIMSS'!$J$5:$J$107,MATCH(L216,'Datos - Catálogo TIMSS'!$A$5:$A$107,0)),"No")="Sí",1,0)</f>
        <v/>
      </c>
      <c r="AA216" s="11" t="inlineStr">
        <is>
          <t>FUERA</t>
        </is>
      </c>
      <c r="AB216" s="11" t="inlineStr"/>
      <c r="AC216" s="11">
        <f>IF(AA216="FUERA","Fuera del marco",IF(AA216="N/A","Sin marco",IFERROR(INDEX('Datos - TIMSS 2023'!$C$5:$C$105,MATCH(AA216,'Datos - TIMSS 2023'!$A$5:$A$105,0)),"Pendiente de clasificar")))</f>
        <v/>
      </c>
      <c r="AD216" s="11" t="inlineStr">
        <is>
          <t>3. Investigar, evaluar y usar información científica para tomar decisiones y actuar</t>
        </is>
      </c>
      <c r="AE216" s="11">
        <f>IF(AD216="","",IF(LEFT(AD216,1)="1","C1",IF(LEFT(AD216,1)="2","C2",IF(LEFT(AD216,1)="3","C3",""))))</f>
        <v/>
      </c>
      <c r="AF216" s="11" t="inlineStr">
        <is>
          <t>E1</t>
        </is>
      </c>
      <c r="AG216" s="11" t="inlineStr">
        <is>
          <t>D1</t>
        </is>
      </c>
      <c r="AH216" s="11" t="inlineStr">
        <is>
          <t>E1</t>
        </is>
      </c>
      <c r="AI216" s="11" t="inlineStr">
        <is>
          <t>I4</t>
        </is>
      </c>
      <c r="AJ216" s="11" t="inlineStr">
        <is>
          <t>I1</t>
        </is>
      </c>
      <c r="AK216" s="11" t="n"/>
      <c r="AL216" s="11" t="n"/>
      <c r="AM216" s="11" t="n"/>
      <c r="AN216" s="11" t="n"/>
      <c r="AO216" s="11" t="n"/>
      <c r="AP216" s="11" t="n"/>
      <c r="AQ216" s="11" t="n"/>
      <c r="AR216" s="11" t="n"/>
      <c r="AS216" s="11" t="n"/>
      <c r="AT216" s="11" t="n"/>
      <c r="AU216" s="11" t="n"/>
      <c r="AV216" s="11" t="n"/>
      <c r="AW216" s="11">
        <f>AF216&amp;"; "&amp;AG216&amp;"; "&amp;AH216&amp;"; "&amp;AI216&amp;"; "&amp;AJ216</f>
        <v/>
      </c>
    </row>
    <row r="217">
      <c r="A217" s="11" t="inlineStr">
        <is>
          <t>T0851-G05-CIE</t>
        </is>
      </c>
      <c r="B217" s="11" t="n">
        <v>5</v>
      </c>
      <c r="C217" s="11" t="inlineStr">
        <is>
          <t>Ciencias</t>
        </is>
      </c>
      <c r="D217" s="11" t="inlineStr">
        <is>
          <t>Matriz_Ciencias_5to_Grado_U1_U6.xlsx</t>
        </is>
      </c>
      <c r="E217" s="11" t="inlineStr">
        <is>
          <t>Unidad 1 - Magnitudes físicas</t>
        </is>
      </c>
      <c r="F217" s="11" t="n">
        <v>7</v>
      </c>
      <c r="G217" s="11" t="inlineStr">
        <is>
          <t>1. Magnitudes físicas.</t>
        </is>
      </c>
      <c r="H217" s="11" t="inlineStr">
        <is>
          <t>Cifras y conversiones.</t>
        </is>
      </c>
      <c r="I217" s="38" t="inlineStr">
        <is>
          <t>1.5. Uso de cifras significativas, técnicas de redondeo y notación científica.</t>
        </is>
      </c>
      <c r="J217" s="11" t="inlineStr">
        <is>
          <t>T8_27</t>
        </is>
      </c>
      <c r="K217" s="11" t="inlineStr">
        <is>
          <t>FUERA</t>
        </is>
      </c>
      <c r="L217" s="11" t="inlineStr"/>
      <c r="M217" s="11">
        <f>IF(K217="FUERA","Fuera del marco",IF(K217="N/A","Sin marco",IFERROR(INDEX('Datos - Catálogo TIMSS'!$C$5:$C$107,MATCH(K217,'Datos - Catálogo TIMSS'!$A$5:$A$107,0)),"Pendiente de clasificar")))</f>
        <v/>
      </c>
      <c r="N217" s="11">
        <f>IF(K217="FUERA","Fuera del marco",IF(K217="N/A","Sin marco",IFERROR(INDEX('Datos - Catálogo TIMSS'!$F$5:$F$107,MATCH(K217,'Datos - Catálogo TIMSS'!$A$5:$A$107,0)),"Pendiente de clasificar")))</f>
        <v/>
      </c>
      <c r="O217" s="11">
        <f>IF(L217="","",IFERROR(INDEX('Datos - Catálogo TIMSS'!$C$5:$C$107,MATCH(L217,'Datos - Catálogo TIMSS'!$A$5:$A$107,0)),"?"))</f>
        <v/>
      </c>
      <c r="P217" s="11" t="inlineStr">
        <is>
          <t>alta</t>
        </is>
      </c>
      <c r="Q217" s="38" t="inlineStr">
        <is>
          <t>Cifras significativas, redondeo y notación científica; fuera del marco.</t>
        </is>
      </c>
      <c r="R217" s="38" t="inlineStr">
        <is>
          <t>Aplicar: redondear y usar notación científica</t>
        </is>
      </c>
      <c r="S217" s="39">
        <f>IFERROR(ISNUMBER(SEARCH("Conocer",$R217))/(ISNUMBER(SEARCH("Conocer",$R217))+ISNUMBER(SEARCH("Aplicar",$R217))+ISNUMBER(SEARCH("Razonar",$R217))),0)</f>
        <v/>
      </c>
      <c r="T217" s="39">
        <f>IFERROR(ISNUMBER(SEARCH("Aplicar",$R217))/(ISNUMBER(SEARCH("Conocer",$R217))+ISNUMBER(SEARCH("Aplicar",$R217))+ISNUMBER(SEARCH("Razonar",$R217))),0)</f>
        <v/>
      </c>
      <c r="U217" s="39">
        <f>IFERROR(ISNUMBER(SEARCH("Razonar",$R217))/(ISNUMBER(SEARCH("Conocer",$R217))+ISNUMBER(SEARCH("Aplicar",$R217))+ISNUMBER(SEARCH("Razonar",$R217))),0)</f>
        <v/>
      </c>
      <c r="V217" s="11" t="inlineStr">
        <is>
          <t>5°</t>
        </is>
      </c>
      <c r="W217" s="11" t="inlineStr">
        <is>
          <t>Ciclo 5°–8°</t>
        </is>
      </c>
      <c r="X217" s="11">
        <f>IF(OR(IFERROR(INDEX('Datos - Catálogo TIMSS'!$I$5:$I$107,MATCH(K217,'Datos - Catálogo TIMSS'!$A$5:$A$107,0)),"No")="Sí",IFERROR(INDEX('Datos - Catálogo TIMSS'!$I$5:$I$107,MATCH(L217,'Datos - Catálogo TIMSS'!$A$5:$A$107,0)),"No")="Sí"),1,0)</f>
        <v/>
      </c>
      <c r="Y217" s="11">
        <f>IF(IFERROR(INDEX('Datos - Catálogo TIMSS'!$J$5:$J$107,MATCH(K217,'Datos - Catálogo TIMSS'!$A$5:$A$107,0)),"No")="Sí",1,0)</f>
        <v/>
      </c>
      <c r="Z217" s="11">
        <f>IF(IFERROR(INDEX('Datos - Catálogo TIMSS'!$J$5:$J$107,MATCH(L217,'Datos - Catálogo TIMSS'!$A$5:$A$107,0)),"No")="Sí",1,0)</f>
        <v/>
      </c>
      <c r="AA217" s="11" t="inlineStr">
        <is>
          <t>FUERA</t>
        </is>
      </c>
      <c r="AB217" s="11" t="inlineStr"/>
      <c r="AC217" s="11">
        <f>IF(AA217="FUERA","Fuera del marco",IF(AA217="N/A","Sin marco",IFERROR(INDEX('Datos - TIMSS 2023'!$C$5:$C$105,MATCH(AA217,'Datos - TIMSS 2023'!$A$5:$A$105,0)),"Pendiente de clasificar")))</f>
        <v/>
      </c>
      <c r="AD217" s="11" t="inlineStr">
        <is>
          <t>2. Construir y evaluar diseños para la indagación científica e interpretar datos y evidencia de forma crítica</t>
        </is>
      </c>
      <c r="AE217" s="11">
        <f>IF(AD217="","",IF(LEFT(AD217,1)="1","C1",IF(LEFT(AD217,1)="2","C2",IF(LEFT(AD217,1)="3","C3",""))))</f>
        <v/>
      </c>
      <c r="AF217" s="11" t="inlineStr">
        <is>
          <t>E1</t>
        </is>
      </c>
      <c r="AG217" s="11" t="inlineStr">
        <is>
          <t>D1</t>
        </is>
      </c>
      <c r="AH217" s="11" t="inlineStr">
        <is>
          <t>E1</t>
        </is>
      </c>
      <c r="AI217" s="11" t="inlineStr">
        <is>
          <t>D4</t>
        </is>
      </c>
      <c r="AJ217" s="11" t="inlineStr">
        <is>
          <t>E2</t>
        </is>
      </c>
      <c r="AK217" s="11" t="n"/>
      <c r="AL217" s="11" t="n"/>
      <c r="AM217" s="11" t="n"/>
      <c r="AN217" s="11" t="n"/>
      <c r="AO217" s="11" t="n"/>
      <c r="AP217" s="11" t="n"/>
      <c r="AQ217" s="11" t="n"/>
      <c r="AR217" s="11" t="n"/>
      <c r="AS217" s="11" t="n"/>
      <c r="AT217" s="11" t="n"/>
      <c r="AU217" s="11" t="n"/>
      <c r="AV217" s="11" t="n"/>
      <c r="AW217" s="11">
        <f>AF217&amp;"; "&amp;AG217&amp;"; "&amp;AH217&amp;"; "&amp;AI217&amp;"; "&amp;AJ217</f>
        <v/>
      </c>
    </row>
    <row r="218">
      <c r="A218" s="11" t="inlineStr">
        <is>
          <t>T0852-G05-CIE</t>
        </is>
      </c>
      <c r="B218" s="11" t="n">
        <v>5</v>
      </c>
      <c r="C218" s="11" t="inlineStr">
        <is>
          <t>Ciencias</t>
        </is>
      </c>
      <c r="D218" s="11" t="inlineStr">
        <is>
          <t>Matriz_Ciencias_5to_Grado_U1_U6.xlsx</t>
        </is>
      </c>
      <c r="E218" s="11" t="inlineStr">
        <is>
          <t>Unidad 1 - Magnitudes físicas</t>
        </is>
      </c>
      <c r="F218" s="11" t="n">
        <v>8</v>
      </c>
      <c r="G218" s="11" t="inlineStr">
        <is>
          <t>1. Magnitudes físicas.</t>
        </is>
      </c>
      <c r="H218" s="11" t="inlineStr">
        <is>
          <t>Cifras y conversiones.</t>
        </is>
      </c>
      <c r="I218" s="38" t="inlineStr">
        <is>
          <t>1.6. Conversión de unidades de medida empleando factores de conversión.</t>
        </is>
      </c>
      <c r="J218" s="11" t="inlineStr">
        <is>
          <t>T8_27</t>
        </is>
      </c>
      <c r="K218" s="11" t="inlineStr">
        <is>
          <t>FUERA</t>
        </is>
      </c>
      <c r="L218" s="11" t="inlineStr"/>
      <c r="M218" s="11">
        <f>IF(K218="FUERA","Fuera del marco",IF(K218="N/A","Sin marco",IFERROR(INDEX('Datos - Catálogo TIMSS'!$C$5:$C$107,MATCH(K218,'Datos - Catálogo TIMSS'!$A$5:$A$107,0)),"Pendiente de clasificar")))</f>
        <v/>
      </c>
      <c r="N218" s="11">
        <f>IF(K218="FUERA","Fuera del marco",IF(K218="N/A","Sin marco",IFERROR(INDEX('Datos - Catálogo TIMSS'!$F$5:$F$107,MATCH(K218,'Datos - Catálogo TIMSS'!$A$5:$A$107,0)),"Pendiente de clasificar")))</f>
        <v/>
      </c>
      <c r="O218" s="11">
        <f>IF(L218="","",IFERROR(INDEX('Datos - Catálogo TIMSS'!$C$5:$C$107,MATCH(L218,'Datos - Catálogo TIMSS'!$A$5:$A$107,0)),"?"))</f>
        <v/>
      </c>
      <c r="P218" s="11" t="inlineStr">
        <is>
          <t>alta</t>
        </is>
      </c>
      <c r="Q218" s="38" t="inlineStr">
        <is>
          <t>Conversión de unidades con factores; excluido del marco.</t>
        </is>
      </c>
      <c r="R218" s="38" t="inlineStr">
        <is>
          <t>Aplicar: convertir unidades</t>
        </is>
      </c>
      <c r="S218" s="39">
        <f>IFERROR(ISNUMBER(SEARCH("Conocer",$R218))/(ISNUMBER(SEARCH("Conocer",$R218))+ISNUMBER(SEARCH("Aplicar",$R218))+ISNUMBER(SEARCH("Razonar",$R218))),0)</f>
        <v/>
      </c>
      <c r="T218" s="39">
        <f>IFERROR(ISNUMBER(SEARCH("Aplicar",$R218))/(ISNUMBER(SEARCH("Conocer",$R218))+ISNUMBER(SEARCH("Aplicar",$R218))+ISNUMBER(SEARCH("Razonar",$R218))),0)</f>
        <v/>
      </c>
      <c r="U218" s="39">
        <f>IFERROR(ISNUMBER(SEARCH("Razonar",$R218))/(ISNUMBER(SEARCH("Conocer",$R218))+ISNUMBER(SEARCH("Aplicar",$R218))+ISNUMBER(SEARCH("Razonar",$R218))),0)</f>
        <v/>
      </c>
      <c r="V218" s="11" t="inlineStr">
        <is>
          <t>5°</t>
        </is>
      </c>
      <c r="W218" s="11" t="inlineStr">
        <is>
          <t>Ciclo 5°–8°</t>
        </is>
      </c>
      <c r="X218" s="11">
        <f>IF(OR(IFERROR(INDEX('Datos - Catálogo TIMSS'!$I$5:$I$107,MATCH(K218,'Datos - Catálogo TIMSS'!$A$5:$A$107,0)),"No")="Sí",IFERROR(INDEX('Datos - Catálogo TIMSS'!$I$5:$I$107,MATCH(L218,'Datos - Catálogo TIMSS'!$A$5:$A$107,0)),"No")="Sí"),1,0)</f>
        <v/>
      </c>
      <c r="Y218" s="11">
        <f>IF(IFERROR(INDEX('Datos - Catálogo TIMSS'!$J$5:$J$107,MATCH(K218,'Datos - Catálogo TIMSS'!$A$5:$A$107,0)),"No")="Sí",1,0)</f>
        <v/>
      </c>
      <c r="Z218" s="11">
        <f>IF(IFERROR(INDEX('Datos - Catálogo TIMSS'!$J$5:$J$107,MATCH(L218,'Datos - Catálogo TIMSS'!$A$5:$A$107,0)),"No")="Sí",1,0)</f>
        <v/>
      </c>
      <c r="AA218" s="11" t="inlineStr">
        <is>
          <t>FUERA</t>
        </is>
      </c>
      <c r="AB218" s="11" t="inlineStr"/>
      <c r="AC218" s="11">
        <f>IF(AA218="FUERA","Fuera del marco",IF(AA218="N/A","Sin marco",IFERROR(INDEX('Datos - TIMSS 2023'!$C$5:$C$105,MATCH(AA218,'Datos - TIMSS 2023'!$A$5:$A$105,0)),"Pendiente de clasificar")))</f>
        <v/>
      </c>
      <c r="AD218" s="11" t="inlineStr">
        <is>
          <t>2. Construir y evaluar diseños para la indagación científica e interpretar datos y evidencia de forma crítica</t>
        </is>
      </c>
      <c r="AE218" s="11">
        <f>IF(AD218="","",IF(LEFT(AD218,1)="1","C1",IF(LEFT(AD218,1)="2","C2",IF(LEFT(AD218,1)="3","C3",""))))</f>
        <v/>
      </c>
      <c r="AF218" s="11" t="inlineStr">
        <is>
          <t>E1</t>
        </is>
      </c>
      <c r="AG218" s="11" t="inlineStr">
        <is>
          <t>D1</t>
        </is>
      </c>
      <c r="AH218" s="11" t="inlineStr">
        <is>
          <t>E1</t>
        </is>
      </c>
      <c r="AI218" s="11" t="inlineStr">
        <is>
          <t>D4</t>
        </is>
      </c>
      <c r="AJ218" s="11" t="inlineStr">
        <is>
          <t>E3</t>
        </is>
      </c>
      <c r="AK218" s="11" t="n"/>
      <c r="AL218" s="11" t="n"/>
      <c r="AM218" s="11" t="n"/>
      <c r="AN218" s="11" t="n"/>
      <c r="AO218" s="11" t="n"/>
      <c r="AP218" s="11" t="n"/>
      <c r="AQ218" s="11" t="n"/>
      <c r="AR218" s="11" t="n"/>
      <c r="AS218" s="11" t="n"/>
      <c r="AT218" s="11" t="n"/>
      <c r="AU218" s="11" t="n"/>
      <c r="AV218" s="11" t="n"/>
      <c r="AW218" s="11">
        <f>AF218&amp;"; "&amp;AG218&amp;"; "&amp;AH218&amp;"; "&amp;AI218&amp;"; "&amp;AJ218</f>
        <v/>
      </c>
    </row>
    <row r="219">
      <c r="A219" s="11" t="inlineStr">
        <is>
          <t>T0853-G05-CIE</t>
        </is>
      </c>
      <c r="B219" s="11" t="n">
        <v>5</v>
      </c>
      <c r="C219" s="11" t="inlineStr">
        <is>
          <t>Ciencias</t>
        </is>
      </c>
      <c r="D219" s="11" t="inlineStr">
        <is>
          <t>Matriz_Ciencias_5to_Grado_U1_U6.xlsx</t>
        </is>
      </c>
      <c r="E219" s="11" t="inlineStr">
        <is>
          <t>Unidad 1 - Magnitudes físicas</t>
        </is>
      </c>
      <c r="F219" s="11" t="n">
        <v>9</v>
      </c>
      <c r="G219" s="11" t="inlineStr">
        <is>
          <t>1. Magnitudes físicas.</t>
        </is>
      </c>
      <c r="H219" s="11" t="inlineStr">
        <is>
          <t>Error en la medida.</t>
        </is>
      </c>
      <c r="I219" s="38" t="inlineStr">
        <is>
          <t>1.7. Comparación entre precisión y exactitud de un instrumento de medida.</t>
        </is>
      </c>
      <c r="J219" s="11" t="inlineStr">
        <is>
          <t>T8_27</t>
        </is>
      </c>
      <c r="K219" s="11" t="inlineStr">
        <is>
          <t>T8_27-P6.1</t>
        </is>
      </c>
      <c r="L219" s="11" t="inlineStr"/>
      <c r="M219" s="11">
        <f>IF(K219="FUERA","Fuera del marco",IF(K219="N/A","Sin marco",IFERROR(INDEX('Datos - Catálogo TIMSS'!$C$5:$C$107,MATCH(K219,'Datos - Catálogo TIMSS'!$A$5:$A$107,0)),"Pendiente de clasificar")))</f>
        <v/>
      </c>
      <c r="N219" s="11">
        <f>IF(K219="FUERA","Fuera del marco",IF(K219="N/A","Sin marco",IFERROR(INDEX('Datos - Catálogo TIMSS'!$F$5:$F$107,MATCH(K219,'Datos - Catálogo TIMSS'!$A$5:$A$107,0)),"Pendiente de clasificar")))</f>
        <v/>
      </c>
      <c r="O219" s="11">
        <f>IF(L219="","",IFERROR(INDEX('Datos - Catálogo TIMSS'!$C$5:$C$107,MATCH(L219,'Datos - Catálogo TIMSS'!$A$5:$A$107,0)),"?"))</f>
        <v/>
      </c>
      <c r="P219" s="11" t="inlineStr">
        <is>
          <t>media</t>
        </is>
      </c>
      <c r="Q219" s="38" t="inlineStr">
        <is>
          <t>Precisión y exactitud de instrumentos con datos propios; calidad de mediciones.</t>
        </is>
      </c>
      <c r="R219" s="38" t="inlineStr">
        <is>
          <t>Aplicar: comparar. Razonar: evaluar instrumentos</t>
        </is>
      </c>
      <c r="S219" s="39">
        <f>IFERROR(ISNUMBER(SEARCH("Conocer",$R219))/(ISNUMBER(SEARCH("Conocer",$R219))+ISNUMBER(SEARCH("Aplicar",$R219))+ISNUMBER(SEARCH("Razonar",$R219))),0)</f>
        <v/>
      </c>
      <c r="T219" s="39">
        <f>IFERROR(ISNUMBER(SEARCH("Aplicar",$R219))/(ISNUMBER(SEARCH("Conocer",$R219))+ISNUMBER(SEARCH("Aplicar",$R219))+ISNUMBER(SEARCH("Razonar",$R219))),0)</f>
        <v/>
      </c>
      <c r="U219" s="39">
        <f>IFERROR(ISNUMBER(SEARCH("Razonar",$R219))/(ISNUMBER(SEARCH("Conocer",$R219))+ISNUMBER(SEARCH("Aplicar",$R219))+ISNUMBER(SEARCH("Razonar",$R219))),0)</f>
        <v/>
      </c>
      <c r="V219" s="11" t="inlineStr">
        <is>
          <t>5°</t>
        </is>
      </c>
      <c r="W219" s="11" t="inlineStr">
        <is>
          <t>Ciclo 5°–8°</t>
        </is>
      </c>
      <c r="X219" s="11">
        <f>IF(OR(IFERROR(INDEX('Datos - Catálogo TIMSS'!$I$5:$I$107,MATCH(K219,'Datos - Catálogo TIMSS'!$A$5:$A$107,0)),"No")="Sí",IFERROR(INDEX('Datos - Catálogo TIMSS'!$I$5:$I$107,MATCH(L219,'Datos - Catálogo TIMSS'!$A$5:$A$107,0)),"No")="Sí"),1,0)</f>
        <v/>
      </c>
      <c r="Y219" s="11">
        <f>IF(IFERROR(INDEX('Datos - Catálogo TIMSS'!$J$5:$J$107,MATCH(K219,'Datos - Catálogo TIMSS'!$A$5:$A$107,0)),"No")="Sí",1,0)</f>
        <v/>
      </c>
      <c r="Z219" s="11">
        <f>IF(IFERROR(INDEX('Datos - Catálogo TIMSS'!$J$5:$J$107,MATCH(L219,'Datos - Catálogo TIMSS'!$A$5:$A$107,0)),"No")="Sí",1,0)</f>
        <v/>
      </c>
      <c r="AA219" s="11" t="inlineStr">
        <is>
          <t>FUERA</t>
        </is>
      </c>
      <c r="AB219" s="11" t="inlineStr"/>
      <c r="AC219" s="11">
        <f>IF(AA219="FUERA","Fuera del marco",IF(AA219="N/A","Sin marco",IFERROR(INDEX('Datos - TIMSS 2023'!$C$5:$C$105,MATCH(AA219,'Datos - TIMSS 2023'!$A$5:$A$105,0)),"Pendiente de clasificar")))</f>
        <v/>
      </c>
      <c r="AD219" s="11" t="inlineStr">
        <is>
          <t>2. Construir y evaluar diseños para la indagación científica e interpretar datos y evidencia de forma crítica</t>
        </is>
      </c>
      <c r="AE219" s="11">
        <f>IF(AD219="","",IF(LEFT(AD219,1)="1","C1",IF(LEFT(AD219,1)="2","C2",IF(LEFT(AD219,1)="3","C3",""))))</f>
        <v/>
      </c>
      <c r="AF219" s="11" t="inlineStr">
        <is>
          <t>E1</t>
        </is>
      </c>
      <c r="AG219" s="11" t="inlineStr">
        <is>
          <t>E5</t>
        </is>
      </c>
      <c r="AH219" s="11" t="inlineStr">
        <is>
          <t>E4</t>
        </is>
      </c>
      <c r="AI219" s="11" t="inlineStr">
        <is>
          <t>D4</t>
        </is>
      </c>
      <c r="AJ219" s="11" t="inlineStr">
        <is>
          <t>E3</t>
        </is>
      </c>
      <c r="AK219" s="11" t="n"/>
      <c r="AL219" s="11" t="n"/>
      <c r="AM219" s="11" t="n"/>
      <c r="AN219" s="11" t="n"/>
      <c r="AO219" s="11" t="n"/>
      <c r="AP219" s="11" t="n"/>
      <c r="AQ219" s="11" t="n"/>
      <c r="AR219" s="11" t="n"/>
      <c r="AS219" s="11" t="n"/>
      <c r="AT219" s="11" t="n"/>
      <c r="AU219" s="11" t="n"/>
      <c r="AV219" s="11" t="n"/>
      <c r="AW219" s="11">
        <f>AF219&amp;"; "&amp;AG219&amp;"; "&amp;AH219&amp;"; "&amp;AI219&amp;"; "&amp;AJ219</f>
        <v/>
      </c>
    </row>
    <row r="220">
      <c r="A220" s="11" t="inlineStr">
        <is>
          <t>T0854-G05-CIE</t>
        </is>
      </c>
      <c r="B220" s="11" t="n">
        <v>5</v>
      </c>
      <c r="C220" s="11" t="inlineStr">
        <is>
          <t>Ciencias</t>
        </is>
      </c>
      <c r="D220" s="11" t="inlineStr">
        <is>
          <t>Matriz_Ciencias_5to_Grado_U1_U6.xlsx</t>
        </is>
      </c>
      <c r="E220" s="11" t="inlineStr">
        <is>
          <t>Unidad 1 - Magnitudes físicas</t>
        </is>
      </c>
      <c r="F220" s="11" t="n">
        <v>10</v>
      </c>
      <c r="G220" s="11" t="inlineStr">
        <is>
          <t>1. Magnitudes físicas.</t>
        </is>
      </c>
      <c r="H220" s="11" t="inlineStr">
        <is>
          <t>Error en la medida.</t>
        </is>
      </c>
      <c r="I220" s="38" t="inlineStr">
        <is>
          <t>1.8. Identificación de fuentes de error al utilizar instrumentos de medición.</t>
        </is>
      </c>
      <c r="J220" s="11" t="inlineStr">
        <is>
          <t>T8_27</t>
        </is>
      </c>
      <c r="K220" s="11" t="inlineStr">
        <is>
          <t>T8_27-P6.1</t>
        </is>
      </c>
      <c r="L220" s="11" t="inlineStr"/>
      <c r="M220" s="11">
        <f>IF(K220="FUERA","Fuera del marco",IF(K220="N/A","Sin marco",IFERROR(INDEX('Datos - Catálogo TIMSS'!$C$5:$C$107,MATCH(K220,'Datos - Catálogo TIMSS'!$A$5:$A$107,0)),"Pendiente de clasificar")))</f>
        <v/>
      </c>
      <c r="N220" s="11">
        <f>IF(K220="FUERA","Fuera del marco",IF(K220="N/A","Sin marco",IFERROR(INDEX('Datos - Catálogo TIMSS'!$F$5:$F$107,MATCH(K220,'Datos - Catálogo TIMSS'!$A$5:$A$107,0)),"Pendiente de clasificar")))</f>
        <v/>
      </c>
      <c r="O220" s="11">
        <f>IF(L220="","",IFERROR(INDEX('Datos - Catálogo TIMSS'!$C$5:$C$107,MATCH(L220,'Datos - Catálogo TIMSS'!$A$5:$A$107,0)),"?"))</f>
        <v/>
      </c>
      <c r="P220" s="11" t="inlineStr">
        <is>
          <t>media</t>
        </is>
      </c>
      <c r="Q220" s="38" t="inlineStr">
        <is>
          <t>Fuentes de error en mediciones propias; rasgo de investigación sólida.</t>
        </is>
      </c>
      <c r="R220" s="38" t="inlineStr">
        <is>
          <t>Razonar: evaluar procedimientos</t>
        </is>
      </c>
      <c r="S220" s="39">
        <f>IFERROR(ISNUMBER(SEARCH("Conocer",$R220))/(ISNUMBER(SEARCH("Conocer",$R220))+ISNUMBER(SEARCH("Aplicar",$R220))+ISNUMBER(SEARCH("Razonar",$R220))),0)</f>
        <v/>
      </c>
      <c r="T220" s="39">
        <f>IFERROR(ISNUMBER(SEARCH("Aplicar",$R220))/(ISNUMBER(SEARCH("Conocer",$R220))+ISNUMBER(SEARCH("Aplicar",$R220))+ISNUMBER(SEARCH("Razonar",$R220))),0)</f>
        <v/>
      </c>
      <c r="U220" s="39">
        <f>IFERROR(ISNUMBER(SEARCH("Razonar",$R220))/(ISNUMBER(SEARCH("Conocer",$R220))+ISNUMBER(SEARCH("Aplicar",$R220))+ISNUMBER(SEARCH("Razonar",$R220))),0)</f>
        <v/>
      </c>
      <c r="V220" s="11" t="inlineStr">
        <is>
          <t>5°</t>
        </is>
      </c>
      <c r="W220" s="11" t="inlineStr">
        <is>
          <t>Ciclo 5°–8°</t>
        </is>
      </c>
      <c r="X220" s="11">
        <f>IF(OR(IFERROR(INDEX('Datos - Catálogo TIMSS'!$I$5:$I$107,MATCH(K220,'Datos - Catálogo TIMSS'!$A$5:$A$107,0)),"No")="Sí",IFERROR(INDEX('Datos - Catálogo TIMSS'!$I$5:$I$107,MATCH(L220,'Datos - Catálogo TIMSS'!$A$5:$A$107,0)),"No")="Sí"),1,0)</f>
        <v/>
      </c>
      <c r="Y220" s="11">
        <f>IF(IFERROR(INDEX('Datos - Catálogo TIMSS'!$J$5:$J$107,MATCH(K220,'Datos - Catálogo TIMSS'!$A$5:$A$107,0)),"No")="Sí",1,0)</f>
        <v/>
      </c>
      <c r="Z220" s="11">
        <f>IF(IFERROR(INDEX('Datos - Catálogo TIMSS'!$J$5:$J$107,MATCH(L220,'Datos - Catálogo TIMSS'!$A$5:$A$107,0)),"No")="Sí",1,0)</f>
        <v/>
      </c>
      <c r="AA220" s="11" t="inlineStr">
        <is>
          <t>FUERA</t>
        </is>
      </c>
      <c r="AB220" s="11" t="inlineStr"/>
      <c r="AC220" s="11">
        <f>IF(AA220="FUERA","Fuera del marco",IF(AA220="N/A","Sin marco",IFERROR(INDEX('Datos - TIMSS 2023'!$C$5:$C$105,MATCH(AA220,'Datos - TIMSS 2023'!$A$5:$A$105,0)),"Pendiente de clasificar")))</f>
        <v/>
      </c>
      <c r="AD220" s="11" t="inlineStr">
        <is>
          <t>2. Construir y evaluar diseños para la indagación científica e interpretar datos y evidencia de forma crítica</t>
        </is>
      </c>
      <c r="AE220" s="11">
        <f>IF(AD220="","",IF(LEFT(AD220,1)="1","C1",IF(LEFT(AD220,1)="2","C2",IF(LEFT(AD220,1)="3","C3",""))))</f>
        <v/>
      </c>
      <c r="AF220" s="11" t="inlineStr">
        <is>
          <t>E1</t>
        </is>
      </c>
      <c r="AG220" s="11" t="inlineStr">
        <is>
          <t>D1</t>
        </is>
      </c>
      <c r="AH220" s="11" t="inlineStr">
        <is>
          <t>E1</t>
        </is>
      </c>
      <c r="AI220" s="11" t="inlineStr">
        <is>
          <t>D3</t>
        </is>
      </c>
      <c r="AJ220" s="11" t="inlineStr">
        <is>
          <t>I4</t>
        </is>
      </c>
      <c r="AK220" s="11" t="n"/>
      <c r="AL220" s="11" t="n"/>
      <c r="AM220" s="11" t="n"/>
      <c r="AN220" s="11" t="n"/>
      <c r="AO220" s="11" t="n"/>
      <c r="AP220" s="11" t="n"/>
      <c r="AQ220" s="11" t="n"/>
      <c r="AR220" s="11" t="n"/>
      <c r="AS220" s="11" t="n"/>
      <c r="AT220" s="11" t="n"/>
      <c r="AU220" s="11" t="n"/>
      <c r="AV220" s="11" t="n"/>
      <c r="AW220" s="11">
        <f>AF220&amp;"; "&amp;AG220&amp;"; "&amp;AH220&amp;"; "&amp;AI220&amp;"; "&amp;AJ220</f>
        <v/>
      </c>
    </row>
    <row r="221">
      <c r="A221" s="11" t="inlineStr">
        <is>
          <t>T0855-G05-CIE</t>
        </is>
      </c>
      <c r="B221" s="11" t="n">
        <v>5</v>
      </c>
      <c r="C221" s="11" t="inlineStr">
        <is>
          <t>Ciencias</t>
        </is>
      </c>
      <c r="D221" s="11" t="inlineStr">
        <is>
          <t>Matriz_Ciencias_5to_Grado_U1_U6.xlsx</t>
        </is>
      </c>
      <c r="E221" s="11" t="inlineStr">
        <is>
          <t>Unidad 1 - Magnitudes físicas</t>
        </is>
      </c>
      <c r="F221" s="11" t="n">
        <v>11</v>
      </c>
      <c r="G221" s="11" t="inlineStr">
        <is>
          <t>1. Magnitudes físicas.</t>
        </is>
      </c>
      <c r="H221" s="11" t="inlineStr">
        <is>
          <t>Error en la medida.</t>
        </is>
      </c>
      <c r="I221" s="38" t="inlineStr">
        <is>
          <t>1.9. Estimación de la propagación del error al momento de manipular varias mediciones.</t>
        </is>
      </c>
      <c r="J221" s="11" t="inlineStr">
        <is>
          <t>T8_27</t>
        </is>
      </c>
      <c r="K221" s="11" t="inlineStr">
        <is>
          <t>T8_27-P6.1</t>
        </is>
      </c>
      <c r="L221" s="11" t="inlineStr"/>
      <c r="M221" s="11">
        <f>IF(K221="FUERA","Fuera del marco",IF(K221="N/A","Sin marco",IFERROR(INDEX('Datos - Catálogo TIMSS'!$C$5:$C$107,MATCH(K221,'Datos - Catálogo TIMSS'!$A$5:$A$107,0)),"Pendiente de clasificar")))</f>
        <v/>
      </c>
      <c r="N221" s="11">
        <f>IF(K221="FUERA","Fuera del marco",IF(K221="N/A","Sin marco",IFERROR(INDEX('Datos - Catálogo TIMSS'!$F$5:$F$107,MATCH(K221,'Datos - Catálogo TIMSS'!$A$5:$A$107,0)),"Pendiente de clasificar")))</f>
        <v/>
      </c>
      <c r="O221" s="11">
        <f>IF(L221="","",IFERROR(INDEX('Datos - Catálogo TIMSS'!$C$5:$C$107,MATCH(L221,'Datos - Catálogo TIMSS'!$A$5:$A$107,0)),"?"))</f>
        <v/>
      </c>
      <c r="P221" s="11" t="inlineStr">
        <is>
          <t>baja</t>
        </is>
      </c>
      <c r="Q221" s="38" t="inlineStr">
        <is>
          <t>Propagación del error es cálculo; afín a análisis de mediciones repetidas.</t>
        </is>
      </c>
      <c r="R221" s="38" t="inlineStr">
        <is>
          <t>Aplicar: calcular. Razonar: estimar</t>
        </is>
      </c>
      <c r="S221" s="39">
        <f>IFERROR(ISNUMBER(SEARCH("Conocer",$R221))/(ISNUMBER(SEARCH("Conocer",$R221))+ISNUMBER(SEARCH("Aplicar",$R221))+ISNUMBER(SEARCH("Razonar",$R221))),0)</f>
        <v/>
      </c>
      <c r="T221" s="39">
        <f>IFERROR(ISNUMBER(SEARCH("Aplicar",$R221))/(ISNUMBER(SEARCH("Conocer",$R221))+ISNUMBER(SEARCH("Aplicar",$R221))+ISNUMBER(SEARCH("Razonar",$R221))),0)</f>
        <v/>
      </c>
      <c r="U221" s="39">
        <f>IFERROR(ISNUMBER(SEARCH("Razonar",$R221))/(ISNUMBER(SEARCH("Conocer",$R221))+ISNUMBER(SEARCH("Aplicar",$R221))+ISNUMBER(SEARCH("Razonar",$R221))),0)</f>
        <v/>
      </c>
      <c r="V221" s="11" t="inlineStr">
        <is>
          <t>5°</t>
        </is>
      </c>
      <c r="W221" s="11" t="inlineStr">
        <is>
          <t>Ciclo 5°–8°</t>
        </is>
      </c>
      <c r="X221" s="11">
        <f>IF(OR(IFERROR(INDEX('Datos - Catálogo TIMSS'!$I$5:$I$107,MATCH(K221,'Datos - Catálogo TIMSS'!$A$5:$A$107,0)),"No")="Sí",IFERROR(INDEX('Datos - Catálogo TIMSS'!$I$5:$I$107,MATCH(L221,'Datos - Catálogo TIMSS'!$A$5:$A$107,0)),"No")="Sí"),1,0)</f>
        <v/>
      </c>
      <c r="Y221" s="11">
        <f>IF(IFERROR(INDEX('Datos - Catálogo TIMSS'!$J$5:$J$107,MATCH(K221,'Datos - Catálogo TIMSS'!$A$5:$A$107,0)),"No")="Sí",1,0)</f>
        <v/>
      </c>
      <c r="Z221" s="11">
        <f>IF(IFERROR(INDEX('Datos - Catálogo TIMSS'!$J$5:$J$107,MATCH(L221,'Datos - Catálogo TIMSS'!$A$5:$A$107,0)),"No")="Sí",1,0)</f>
        <v/>
      </c>
      <c r="AA221" s="11" t="inlineStr">
        <is>
          <t>FUERA</t>
        </is>
      </c>
      <c r="AB221" s="11" t="inlineStr"/>
      <c r="AC221" s="11">
        <f>IF(AA221="FUERA","Fuera del marco",IF(AA221="N/A","Sin marco",IFERROR(INDEX('Datos - TIMSS 2023'!$C$5:$C$105,MATCH(AA221,'Datos - TIMSS 2023'!$A$5:$A$105,0)),"Pendiente de clasificar")))</f>
        <v/>
      </c>
      <c r="AD221" s="11" t="inlineStr">
        <is>
          <t>2. Construir y evaluar diseños para la indagación científica e interpretar datos y evidencia de forma crítica</t>
        </is>
      </c>
      <c r="AE221" s="11">
        <f>IF(AD221="","",IF(LEFT(AD221,1)="1","C1",IF(LEFT(AD221,1)="2","C2",IF(LEFT(AD221,1)="3","C3",""))))</f>
        <v/>
      </c>
      <c r="AF221" s="11" t="inlineStr">
        <is>
          <t>E1</t>
        </is>
      </c>
      <c r="AG221" s="11" t="inlineStr">
        <is>
          <t>D1</t>
        </is>
      </c>
      <c r="AH221" s="11" t="inlineStr">
        <is>
          <t>E1</t>
        </is>
      </c>
      <c r="AI221" s="11" t="inlineStr">
        <is>
          <t>D4</t>
        </is>
      </c>
      <c r="AJ221" s="11" t="inlineStr">
        <is>
          <t>E3</t>
        </is>
      </c>
      <c r="AK221" s="11" t="n"/>
      <c r="AL221" s="11" t="n"/>
      <c r="AM221" s="11" t="n"/>
      <c r="AN221" s="11" t="n"/>
      <c r="AO221" s="11" t="n"/>
      <c r="AP221" s="11" t="n"/>
      <c r="AQ221" s="11" t="n"/>
      <c r="AR221" s="11" t="n"/>
      <c r="AS221" s="11" t="n"/>
      <c r="AT221" s="11" t="n"/>
      <c r="AU221" s="11" t="n"/>
      <c r="AV221" s="11" t="n"/>
      <c r="AW221" s="11">
        <f>AF221&amp;"; "&amp;AG221&amp;"; "&amp;AH221&amp;"; "&amp;AI221&amp;"; "&amp;AJ221</f>
        <v/>
      </c>
    </row>
    <row r="222">
      <c r="A222" s="11" t="inlineStr">
        <is>
          <t>T0856-G05-CIE</t>
        </is>
      </c>
      <c r="B222" s="11" t="n">
        <v>5</v>
      </c>
      <c r="C222" s="11" t="inlineStr">
        <is>
          <t>Ciencias</t>
        </is>
      </c>
      <c r="D222" s="11" t="inlineStr">
        <is>
          <t>Matriz_Ciencias_5to_Grado_U1_U6.xlsx</t>
        </is>
      </c>
      <c r="E222" s="11" t="inlineStr">
        <is>
          <t>Unidad 2 - Mecánica</t>
        </is>
      </c>
      <c r="F222" s="11" t="n">
        <v>3</v>
      </c>
      <c r="G222" s="11" t="inlineStr">
        <is>
          <t>2. Mecánica.</t>
        </is>
      </c>
      <c r="H222" s="11" t="inlineStr">
        <is>
          <t>Magnitudes físicas del movimiento.</t>
        </is>
      </c>
      <c r="I222" s="38" t="inlineStr">
        <is>
          <t>2.1. Determinación de la posición de un objeto respecto a un punto de referencia.</t>
        </is>
      </c>
      <c r="J222" s="11" t="inlineStr">
        <is>
          <t>T8_27</t>
        </is>
      </c>
      <c r="K222" s="11" t="inlineStr">
        <is>
          <t>T8_27-P5.1</t>
        </is>
      </c>
      <c r="L222" s="11" t="inlineStr"/>
      <c r="M222" s="11">
        <f>IF(K222="FUERA","Fuera del marco",IF(K222="N/A","Sin marco",IFERROR(INDEX('Datos - Catálogo TIMSS'!$C$5:$C$107,MATCH(K222,'Datos - Catálogo TIMSS'!$A$5:$A$107,0)),"Pendiente de clasificar")))</f>
        <v/>
      </c>
      <c r="N222" s="11">
        <f>IF(K222="FUERA","Fuera del marco",IF(K222="N/A","Sin marco",IFERROR(INDEX('Datos - Catálogo TIMSS'!$F$5:$F$107,MATCH(K222,'Datos - Catálogo TIMSS'!$A$5:$A$107,0)),"Pendiente de clasificar")))</f>
        <v/>
      </c>
      <c r="O222" s="11">
        <f>IF(L222="","",IFERROR(INDEX('Datos - Catálogo TIMSS'!$C$5:$C$107,MATCH(L222,'Datos - Catálogo TIMSS'!$A$5:$A$107,0)),"?"))</f>
        <v/>
      </c>
      <c r="P222" s="11" t="inlineStr">
        <is>
          <t>media</t>
        </is>
      </c>
      <c r="Q222" s="38" t="inlineStr">
        <is>
          <t>Posición respecto a un referente, base del cambio de posición.</t>
        </is>
      </c>
      <c r="R222" s="38" t="inlineStr">
        <is>
          <t>Aplicar: ubicar con coordenadas</t>
        </is>
      </c>
      <c r="S222" s="39">
        <f>IFERROR(ISNUMBER(SEARCH("Conocer",$R222))/(ISNUMBER(SEARCH("Conocer",$R222))+ISNUMBER(SEARCH("Aplicar",$R222))+ISNUMBER(SEARCH("Razonar",$R222))),0)</f>
        <v/>
      </c>
      <c r="T222" s="39">
        <f>IFERROR(ISNUMBER(SEARCH("Aplicar",$R222))/(ISNUMBER(SEARCH("Conocer",$R222))+ISNUMBER(SEARCH("Aplicar",$R222))+ISNUMBER(SEARCH("Razonar",$R222))),0)</f>
        <v/>
      </c>
      <c r="U222" s="39">
        <f>IFERROR(ISNUMBER(SEARCH("Razonar",$R222))/(ISNUMBER(SEARCH("Conocer",$R222))+ISNUMBER(SEARCH("Aplicar",$R222))+ISNUMBER(SEARCH("Razonar",$R222))),0)</f>
        <v/>
      </c>
      <c r="V222" s="11" t="inlineStr">
        <is>
          <t>5°</t>
        </is>
      </c>
      <c r="W222" s="11" t="inlineStr">
        <is>
          <t>Ciclo 5°–8°</t>
        </is>
      </c>
      <c r="X222" s="11">
        <f>IF(OR(IFERROR(INDEX('Datos - Catálogo TIMSS'!$I$5:$I$107,MATCH(K222,'Datos - Catálogo TIMSS'!$A$5:$A$107,0)),"No")="Sí",IFERROR(INDEX('Datos - Catálogo TIMSS'!$I$5:$I$107,MATCH(L222,'Datos - Catálogo TIMSS'!$A$5:$A$107,0)),"No")="Sí"),1,0)</f>
        <v/>
      </c>
      <c r="Y222" s="11">
        <f>IF(IFERROR(INDEX('Datos - Catálogo TIMSS'!$J$5:$J$107,MATCH(K222,'Datos - Catálogo TIMSS'!$A$5:$A$107,0)),"No")="Sí",1,0)</f>
        <v/>
      </c>
      <c r="Z222" s="11">
        <f>IF(IFERROR(INDEX('Datos - Catálogo TIMSS'!$J$5:$J$107,MATCH(L222,'Datos - Catálogo TIMSS'!$A$5:$A$107,0)),"No")="Sí",1,0)</f>
        <v/>
      </c>
      <c r="AA222" s="11" t="inlineStr">
        <is>
          <t>T8-F5.1</t>
        </is>
      </c>
      <c r="AB222" s="11" t="inlineStr"/>
      <c r="AC222" s="11">
        <f>IF(AA222="FUERA","Fuera del marco",IF(AA222="N/A","Sin marco",IFERROR(INDEX('Datos - TIMSS 2023'!$C$5:$C$105,MATCH(AA222,'Datos - TIMSS 2023'!$A$5:$A$105,0)),"Pendiente de clasificar")))</f>
        <v/>
      </c>
      <c r="AD222" s="11" t="inlineStr">
        <is>
          <t>2. Construir y evaluar diseños para la indagación científica e interpretar datos y evidencia de forma crítica</t>
        </is>
      </c>
      <c r="AE222" s="11">
        <f>IF(AD222="","",IF(LEFT(AD222,1)="1","C1",IF(LEFT(AD222,1)="2","C2",IF(LEFT(AD222,1)="3","C3",""))))</f>
        <v/>
      </c>
      <c r="AF222" s="11" t="inlineStr">
        <is>
          <t>E1</t>
        </is>
      </c>
      <c r="AG222" s="11" t="inlineStr">
        <is>
          <t>D1</t>
        </is>
      </c>
      <c r="AH222" s="11" t="inlineStr">
        <is>
          <t>E1</t>
        </is>
      </c>
      <c r="AI222" s="11" t="inlineStr">
        <is>
          <t>D4</t>
        </is>
      </c>
      <c r="AJ222" s="11" t="inlineStr">
        <is>
          <t>E3</t>
        </is>
      </c>
      <c r="AK222" s="11" t="n"/>
      <c r="AL222" s="11" t="n"/>
      <c r="AM222" s="11" t="n"/>
      <c r="AN222" s="11" t="n"/>
      <c r="AO222" s="11" t="n"/>
      <c r="AP222" s="11" t="n"/>
      <c r="AQ222" s="11" t="n"/>
      <c r="AR222" s="11" t="n"/>
      <c r="AS222" s="11" t="n"/>
      <c r="AT222" s="11" t="n"/>
      <c r="AU222" s="11" t="n"/>
      <c r="AV222" s="11" t="n"/>
      <c r="AW222" s="11">
        <f>AF222&amp;"; "&amp;AG222&amp;"; "&amp;AH222&amp;"; "&amp;AI222&amp;"; "&amp;AJ222</f>
        <v/>
      </c>
    </row>
    <row r="223">
      <c r="A223" s="11" t="inlineStr">
        <is>
          <t>T0857-G05-CIE</t>
        </is>
      </c>
      <c r="B223" s="11" t="n">
        <v>5</v>
      </c>
      <c r="C223" s="11" t="inlineStr">
        <is>
          <t>Ciencias</t>
        </is>
      </c>
      <c r="D223" s="11" t="inlineStr">
        <is>
          <t>Matriz_Ciencias_5to_Grado_U1_U6.xlsx</t>
        </is>
      </c>
      <c r="E223" s="11" t="inlineStr">
        <is>
          <t>Unidad 2 - Mecánica</t>
        </is>
      </c>
      <c r="F223" s="11" t="n">
        <v>4</v>
      </c>
      <c r="G223" s="11" t="inlineStr">
        <is>
          <t>2. Mecánica.</t>
        </is>
      </c>
      <c r="H223" s="11" t="inlineStr">
        <is>
          <t>Magnitudes físicas del movimiento.</t>
        </is>
      </c>
      <c r="I223" s="38" t="inlineStr">
        <is>
          <t>2.2. Uso de un sistema de geoposicionamiento.</t>
        </is>
      </c>
      <c r="J223" s="11" t="inlineStr">
        <is>
          <t>T8_27</t>
        </is>
      </c>
      <c r="K223" s="11" t="inlineStr">
        <is>
          <t>FUERA</t>
        </is>
      </c>
      <c r="L223" s="11" t="inlineStr"/>
      <c r="M223" s="11">
        <f>IF(K223="FUERA","Fuera del marco",IF(K223="N/A","Sin marco",IFERROR(INDEX('Datos - Catálogo TIMSS'!$C$5:$C$107,MATCH(K223,'Datos - Catálogo TIMSS'!$A$5:$A$107,0)),"Pendiente de clasificar")))</f>
        <v/>
      </c>
      <c r="N223" s="11">
        <f>IF(K223="FUERA","Fuera del marco",IF(K223="N/A","Sin marco",IFERROR(INDEX('Datos - Catálogo TIMSS'!$F$5:$F$107,MATCH(K223,'Datos - Catálogo TIMSS'!$A$5:$A$107,0)),"Pendiente de clasificar")))</f>
        <v/>
      </c>
      <c r="O223" s="11">
        <f>IF(L223="","",IFERROR(INDEX('Datos - Catálogo TIMSS'!$C$5:$C$107,MATCH(L223,'Datos - Catálogo TIMSS'!$A$5:$A$107,0)),"?"))</f>
        <v/>
      </c>
      <c r="P223" s="11" t="inlineStr">
        <is>
          <t>media</t>
        </is>
      </c>
      <c r="Q223" s="38" t="inlineStr">
        <is>
          <t>Coordenadas geográficas y geoposicionamiento; sin contenido del marco.</t>
        </is>
      </c>
      <c r="R223" s="38" t="inlineStr">
        <is>
          <t>Aplicar: usar coordenadas geográficas</t>
        </is>
      </c>
      <c r="S223" s="39">
        <f>IFERROR(ISNUMBER(SEARCH("Conocer",$R223))/(ISNUMBER(SEARCH("Conocer",$R223))+ISNUMBER(SEARCH("Aplicar",$R223))+ISNUMBER(SEARCH("Razonar",$R223))),0)</f>
        <v/>
      </c>
      <c r="T223" s="39">
        <f>IFERROR(ISNUMBER(SEARCH("Aplicar",$R223))/(ISNUMBER(SEARCH("Conocer",$R223))+ISNUMBER(SEARCH("Aplicar",$R223))+ISNUMBER(SEARCH("Razonar",$R223))),0)</f>
        <v/>
      </c>
      <c r="U223" s="39">
        <f>IFERROR(ISNUMBER(SEARCH("Razonar",$R223))/(ISNUMBER(SEARCH("Conocer",$R223))+ISNUMBER(SEARCH("Aplicar",$R223))+ISNUMBER(SEARCH("Razonar",$R223))),0)</f>
        <v/>
      </c>
      <c r="V223" s="11" t="inlineStr">
        <is>
          <t>5°</t>
        </is>
      </c>
      <c r="W223" s="11" t="inlineStr">
        <is>
          <t>Ciclo 5°–8°</t>
        </is>
      </c>
      <c r="X223" s="11">
        <f>IF(OR(IFERROR(INDEX('Datos - Catálogo TIMSS'!$I$5:$I$107,MATCH(K223,'Datos - Catálogo TIMSS'!$A$5:$A$107,0)),"No")="Sí",IFERROR(INDEX('Datos - Catálogo TIMSS'!$I$5:$I$107,MATCH(L223,'Datos - Catálogo TIMSS'!$A$5:$A$107,0)),"No")="Sí"),1,0)</f>
        <v/>
      </c>
      <c r="Y223" s="11">
        <f>IF(IFERROR(INDEX('Datos - Catálogo TIMSS'!$J$5:$J$107,MATCH(K223,'Datos - Catálogo TIMSS'!$A$5:$A$107,0)),"No")="Sí",1,0)</f>
        <v/>
      </c>
      <c r="Z223" s="11">
        <f>IF(IFERROR(INDEX('Datos - Catálogo TIMSS'!$J$5:$J$107,MATCH(L223,'Datos - Catálogo TIMSS'!$A$5:$A$107,0)),"No")="Sí",1,0)</f>
        <v/>
      </c>
      <c r="AA223" s="11" t="inlineStr">
        <is>
          <t>FUERA</t>
        </is>
      </c>
      <c r="AB223" s="11" t="inlineStr"/>
      <c r="AC223" s="11">
        <f>IF(AA223="FUERA","Fuera del marco",IF(AA223="N/A","Sin marco",IFERROR(INDEX('Datos - TIMSS 2023'!$C$5:$C$105,MATCH(AA223,'Datos - TIMSS 2023'!$A$5:$A$105,0)),"Pendiente de clasificar")))</f>
        <v/>
      </c>
      <c r="AD223" s="11" t="inlineStr">
        <is>
          <t>2. Construir y evaluar diseños para la indagación científica e interpretar datos y evidencia de forma crítica</t>
        </is>
      </c>
      <c r="AE223" s="11">
        <f>IF(AD223="","",IF(LEFT(AD223,1)="1","C1",IF(LEFT(AD223,1)="2","C2",IF(LEFT(AD223,1)="3","C3",""))))</f>
        <v/>
      </c>
      <c r="AF223" s="11" t="inlineStr">
        <is>
          <t>E1</t>
        </is>
      </c>
      <c r="AG223" s="11" t="inlineStr">
        <is>
          <t>D1</t>
        </is>
      </c>
      <c r="AH223" s="11" t="inlineStr">
        <is>
          <t>E1</t>
        </is>
      </c>
      <c r="AI223" s="11" t="inlineStr">
        <is>
          <t>D4</t>
        </is>
      </c>
      <c r="AJ223" s="11" t="inlineStr">
        <is>
          <t>E6</t>
        </is>
      </c>
      <c r="AK223" s="11" t="n"/>
      <c r="AL223" s="11" t="n"/>
      <c r="AM223" s="11" t="n"/>
      <c r="AN223" s="11" t="n"/>
      <c r="AO223" s="11" t="n"/>
      <c r="AP223" s="11" t="n"/>
      <c r="AQ223" s="11" t="n"/>
      <c r="AR223" s="11" t="n"/>
      <c r="AS223" s="11" t="n"/>
      <c r="AT223" s="11" t="n"/>
      <c r="AU223" s="11" t="n"/>
      <c r="AV223" s="11" t="n"/>
      <c r="AW223" s="11">
        <f>AF223&amp;"; "&amp;AG223&amp;"; "&amp;AH223&amp;"; "&amp;AI223&amp;"; "&amp;AJ223</f>
        <v/>
      </c>
    </row>
    <row r="224">
      <c r="A224" s="11" t="inlineStr">
        <is>
          <t>T0858-G05-CIE</t>
        </is>
      </c>
      <c r="B224" s="11" t="n">
        <v>5</v>
      </c>
      <c r="C224" s="11" t="inlineStr">
        <is>
          <t>Ciencias</t>
        </is>
      </c>
      <c r="D224" s="11" t="inlineStr">
        <is>
          <t>Matriz_Ciencias_5to_Grado_U1_U6.xlsx</t>
        </is>
      </c>
      <c r="E224" s="11" t="inlineStr">
        <is>
          <t>Unidad 2 - Mecánica</t>
        </is>
      </c>
      <c r="F224" s="11" t="n">
        <v>5</v>
      </c>
      <c r="G224" s="11" t="inlineStr">
        <is>
          <t>2. Mecánica.</t>
        </is>
      </c>
      <c r="H224" s="11" t="inlineStr">
        <is>
          <t>Magnitudes físicas del movimiento.</t>
        </is>
      </c>
      <c r="I224" s="38" t="inlineStr">
        <is>
          <t>2.3. Explicación de la diferencia entre desplazamiento, trayectoria y distancia recorrida.</t>
        </is>
      </c>
      <c r="J224" s="11" t="inlineStr">
        <is>
          <t>T8_27</t>
        </is>
      </c>
      <c r="K224" s="11" t="inlineStr">
        <is>
          <t>T8_27-P5.1</t>
        </is>
      </c>
      <c r="L224" s="11" t="inlineStr"/>
      <c r="M224" s="11">
        <f>IF(K224="FUERA","Fuera del marco",IF(K224="N/A","Sin marco",IFERROR(INDEX('Datos - Catálogo TIMSS'!$C$5:$C$107,MATCH(K224,'Datos - Catálogo TIMSS'!$A$5:$A$107,0)),"Pendiente de clasificar")))</f>
        <v/>
      </c>
      <c r="N224" s="11">
        <f>IF(K224="FUERA","Fuera del marco",IF(K224="N/A","Sin marco",IFERROR(INDEX('Datos - Catálogo TIMSS'!$F$5:$F$107,MATCH(K224,'Datos - Catálogo TIMSS'!$A$5:$A$107,0)),"Pendiente de clasificar")))</f>
        <v/>
      </c>
      <c r="O224" s="11">
        <f>IF(L224="","",IFERROR(INDEX('Datos - Catálogo TIMSS'!$C$5:$C$107,MATCH(L224,'Datos - Catálogo TIMSS'!$A$5:$A$107,0)),"?"))</f>
        <v/>
      </c>
      <c r="P224" s="11" t="inlineStr">
        <is>
          <t>media</t>
        </is>
      </c>
      <c r="Q224" s="38" t="inlineStr">
        <is>
          <t>Distancia, desplazamiento y trayectoria para describir el movimiento.</t>
        </is>
      </c>
      <c r="R224" s="38" t="inlineStr">
        <is>
          <t>Aplicar: medir y representar</t>
        </is>
      </c>
      <c r="S224" s="39">
        <f>IFERROR(ISNUMBER(SEARCH("Conocer",$R224))/(ISNUMBER(SEARCH("Conocer",$R224))+ISNUMBER(SEARCH("Aplicar",$R224))+ISNUMBER(SEARCH("Razonar",$R224))),0)</f>
        <v/>
      </c>
      <c r="T224" s="39">
        <f>IFERROR(ISNUMBER(SEARCH("Aplicar",$R224))/(ISNUMBER(SEARCH("Conocer",$R224))+ISNUMBER(SEARCH("Aplicar",$R224))+ISNUMBER(SEARCH("Razonar",$R224))),0)</f>
        <v/>
      </c>
      <c r="U224" s="39">
        <f>IFERROR(ISNUMBER(SEARCH("Razonar",$R224))/(ISNUMBER(SEARCH("Conocer",$R224))+ISNUMBER(SEARCH("Aplicar",$R224))+ISNUMBER(SEARCH("Razonar",$R224))),0)</f>
        <v/>
      </c>
      <c r="V224" s="11" t="inlineStr">
        <is>
          <t>5°</t>
        </is>
      </c>
      <c r="W224" s="11" t="inlineStr">
        <is>
          <t>Ciclo 5°–8°</t>
        </is>
      </c>
      <c r="X224" s="11">
        <f>IF(OR(IFERROR(INDEX('Datos - Catálogo TIMSS'!$I$5:$I$107,MATCH(K224,'Datos - Catálogo TIMSS'!$A$5:$A$107,0)),"No")="Sí",IFERROR(INDEX('Datos - Catálogo TIMSS'!$I$5:$I$107,MATCH(L224,'Datos - Catálogo TIMSS'!$A$5:$A$107,0)),"No")="Sí"),1,0)</f>
        <v/>
      </c>
      <c r="Y224" s="11">
        <f>IF(IFERROR(INDEX('Datos - Catálogo TIMSS'!$J$5:$J$107,MATCH(K224,'Datos - Catálogo TIMSS'!$A$5:$A$107,0)),"No")="Sí",1,0)</f>
        <v/>
      </c>
      <c r="Z224" s="11">
        <f>IF(IFERROR(INDEX('Datos - Catálogo TIMSS'!$J$5:$J$107,MATCH(L224,'Datos - Catálogo TIMSS'!$A$5:$A$107,0)),"No")="Sí",1,0)</f>
        <v/>
      </c>
      <c r="AA224" s="11" t="inlineStr">
        <is>
          <t>T8-F5.1</t>
        </is>
      </c>
      <c r="AB224" s="11" t="inlineStr"/>
      <c r="AC224" s="11">
        <f>IF(AA224="FUERA","Fuera del marco",IF(AA224="N/A","Sin marco",IFERROR(INDEX('Datos - TIMSS 2023'!$C$5:$C$105,MATCH(AA224,'Datos - TIMSS 2023'!$A$5:$A$105,0)),"Pendiente de clasificar")))</f>
        <v/>
      </c>
      <c r="AD224" s="11" t="inlineStr">
        <is>
          <t>2. Construir y evaluar diseños para la indagación científica e interpretar datos y evidencia de forma crítica</t>
        </is>
      </c>
      <c r="AE224" s="11">
        <f>IF(AD224="","",IF(LEFT(AD224,1)="1","C1",IF(LEFT(AD224,1)="2","C2",IF(LEFT(AD224,1)="3","C3",""))))</f>
        <v/>
      </c>
      <c r="AF224" s="11" t="inlineStr">
        <is>
          <t>E1</t>
        </is>
      </c>
      <c r="AG224" s="11" t="inlineStr">
        <is>
          <t>D1</t>
        </is>
      </c>
      <c r="AH224" s="11" t="inlineStr">
        <is>
          <t>E2</t>
        </is>
      </c>
      <c r="AI224" s="11" t="inlineStr">
        <is>
          <t>D4</t>
        </is>
      </c>
      <c r="AJ224" s="11" t="inlineStr">
        <is>
          <t>E1</t>
        </is>
      </c>
      <c r="AK224" s="11" t="n"/>
      <c r="AL224" s="11" t="n"/>
      <c r="AM224" s="11" t="n"/>
      <c r="AN224" s="11" t="n"/>
      <c r="AO224" s="11" t="n"/>
      <c r="AP224" s="11" t="n"/>
      <c r="AQ224" s="11" t="n"/>
      <c r="AR224" s="11" t="n"/>
      <c r="AS224" s="11" t="n"/>
      <c r="AT224" s="11" t="n"/>
      <c r="AU224" s="11" t="n"/>
      <c r="AV224" s="11" t="n"/>
      <c r="AW224" s="11">
        <f>AF224&amp;"; "&amp;AG224&amp;"; "&amp;AH224&amp;"; "&amp;AI224&amp;"; "&amp;AJ224</f>
        <v/>
      </c>
    </row>
    <row r="225">
      <c r="A225" s="11" t="inlineStr">
        <is>
          <t>T0859-G05-CIE</t>
        </is>
      </c>
      <c r="B225" s="11" t="n">
        <v>5</v>
      </c>
      <c r="C225" s="11" t="inlineStr">
        <is>
          <t>Ciencias</t>
        </is>
      </c>
      <c r="D225" s="11" t="inlineStr">
        <is>
          <t>Matriz_Ciencias_5to_Grado_U1_U6.xlsx</t>
        </is>
      </c>
      <c r="E225" s="11" t="inlineStr">
        <is>
          <t>Unidad 2 - Mecánica</t>
        </is>
      </c>
      <c r="F225" s="11" t="n">
        <v>6</v>
      </c>
      <c r="G225" s="11" t="inlineStr">
        <is>
          <t>2. Mecánica.</t>
        </is>
      </c>
      <c r="H225" s="11" t="inlineStr">
        <is>
          <t>Magnitudes físicas del movimiento.</t>
        </is>
      </c>
      <c r="I225" s="38" t="inlineStr">
        <is>
          <t>2.4. Discriminación entre una magnitud escalar y vectorial.</t>
        </is>
      </c>
      <c r="J225" s="11" t="inlineStr">
        <is>
          <t>T8_27</t>
        </is>
      </c>
      <c r="K225" s="11" t="inlineStr">
        <is>
          <t>T8_27-P5.1</t>
        </is>
      </c>
      <c r="L225" s="11" t="inlineStr">
        <is>
          <t>T8_27-P5.2</t>
        </is>
      </c>
      <c r="M225" s="11">
        <f>IF(K225="FUERA","Fuera del marco",IF(K225="N/A","Sin marco",IFERROR(INDEX('Datos - Catálogo TIMSS'!$C$5:$C$107,MATCH(K225,'Datos - Catálogo TIMSS'!$A$5:$A$107,0)),"Pendiente de clasificar")))</f>
        <v/>
      </c>
      <c r="N225" s="11">
        <f>IF(K225="FUERA","Fuera del marco",IF(K225="N/A","Sin marco",IFERROR(INDEX('Datos - Catálogo TIMSS'!$F$5:$F$107,MATCH(K225,'Datos - Catálogo TIMSS'!$A$5:$A$107,0)),"Pendiente de clasificar")))</f>
        <v/>
      </c>
      <c r="O225" s="11">
        <f>IF(L225="","",IFERROR(INDEX('Datos - Catálogo TIMSS'!$C$5:$C$107,MATCH(L225,'Datos - Catálogo TIMSS'!$A$5:$A$107,0)),"?"))</f>
        <v/>
      </c>
      <c r="P225" s="11" t="inlineStr">
        <is>
          <t>media</t>
        </is>
      </c>
      <c r="Q225" s="38" t="inlineStr">
        <is>
          <t>Escalares y vectoriales; fuerzas con magnitud y dirección.</t>
        </is>
      </c>
      <c r="R225" s="38" t="inlineStr">
        <is>
          <t>Aplicar: clasificar</t>
        </is>
      </c>
      <c r="S225" s="39">
        <f>IFERROR(ISNUMBER(SEARCH("Conocer",$R225))/(ISNUMBER(SEARCH("Conocer",$R225))+ISNUMBER(SEARCH("Aplicar",$R225))+ISNUMBER(SEARCH("Razonar",$R225))),0)</f>
        <v/>
      </c>
      <c r="T225" s="39">
        <f>IFERROR(ISNUMBER(SEARCH("Aplicar",$R225))/(ISNUMBER(SEARCH("Conocer",$R225))+ISNUMBER(SEARCH("Aplicar",$R225))+ISNUMBER(SEARCH("Razonar",$R225))),0)</f>
        <v/>
      </c>
      <c r="U225" s="39">
        <f>IFERROR(ISNUMBER(SEARCH("Razonar",$R225))/(ISNUMBER(SEARCH("Conocer",$R225))+ISNUMBER(SEARCH("Aplicar",$R225))+ISNUMBER(SEARCH("Razonar",$R225))),0)</f>
        <v/>
      </c>
      <c r="V225" s="11" t="inlineStr">
        <is>
          <t>5°</t>
        </is>
      </c>
      <c r="W225" s="11" t="inlineStr">
        <is>
          <t>Ciclo 5°–8°</t>
        </is>
      </c>
      <c r="X225" s="11">
        <f>IF(OR(IFERROR(INDEX('Datos - Catálogo TIMSS'!$I$5:$I$107,MATCH(K225,'Datos - Catálogo TIMSS'!$A$5:$A$107,0)),"No")="Sí",IFERROR(INDEX('Datos - Catálogo TIMSS'!$I$5:$I$107,MATCH(L225,'Datos - Catálogo TIMSS'!$A$5:$A$107,0)),"No")="Sí"),1,0)</f>
        <v/>
      </c>
      <c r="Y225" s="11">
        <f>IF(IFERROR(INDEX('Datos - Catálogo TIMSS'!$J$5:$J$107,MATCH(K225,'Datos - Catálogo TIMSS'!$A$5:$A$107,0)),"No")="Sí",1,0)</f>
        <v/>
      </c>
      <c r="Z225" s="11">
        <f>IF(IFERROR(INDEX('Datos - Catálogo TIMSS'!$J$5:$J$107,MATCH(L225,'Datos - Catálogo TIMSS'!$A$5:$A$107,0)),"No")="Sí",1,0)</f>
        <v/>
      </c>
      <c r="AA225" s="11" t="inlineStr">
        <is>
          <t>T8-F5.1</t>
        </is>
      </c>
      <c r="AB225" s="11" t="inlineStr">
        <is>
          <t>T8-F5.2</t>
        </is>
      </c>
      <c r="AC225" s="11">
        <f>IF(AA225="FUERA","Fuera del marco",IF(AA225="N/A","Sin marco",IFERROR(INDEX('Datos - TIMSS 2023'!$C$5:$C$105,MATCH(AA225,'Datos - TIMSS 2023'!$A$5:$A$105,0)),"Pendiente de clasificar")))</f>
        <v/>
      </c>
      <c r="AD225" s="11" t="inlineStr">
        <is>
          <t>1. Explicar fenómenos científicamente</t>
        </is>
      </c>
      <c r="AE225" s="11">
        <f>IF(AD225="","",IF(LEFT(AD225,1)="1","C1",IF(LEFT(AD225,1)="2","C2",IF(LEFT(AD225,1)="3","C3",""))))</f>
        <v/>
      </c>
      <c r="AF225" s="11" t="inlineStr">
        <is>
          <t>E1</t>
        </is>
      </c>
      <c r="AG225" s="11" t="inlineStr">
        <is>
          <t>D1</t>
        </is>
      </c>
      <c r="AH225" s="11" t="inlineStr">
        <is>
          <t>E1</t>
        </is>
      </c>
      <c r="AI225" s="11" t="inlineStr">
        <is>
          <t>D4</t>
        </is>
      </c>
      <c r="AJ225" s="11" t="inlineStr">
        <is>
          <t>E2</t>
        </is>
      </c>
      <c r="AK225" s="11" t="n"/>
      <c r="AL225" s="11" t="n"/>
      <c r="AM225" s="11" t="n"/>
      <c r="AN225" s="11" t="n"/>
      <c r="AO225" s="11" t="n"/>
      <c r="AP225" s="11" t="n"/>
      <c r="AQ225" s="11" t="n"/>
      <c r="AR225" s="11" t="n"/>
      <c r="AS225" s="11" t="n"/>
      <c r="AT225" s="11" t="n"/>
      <c r="AU225" s="11" t="n"/>
      <c r="AV225" s="11" t="n"/>
      <c r="AW225" s="11">
        <f>AF225&amp;"; "&amp;AG225&amp;"; "&amp;AH225&amp;"; "&amp;AI225&amp;"; "&amp;AJ225</f>
        <v/>
      </c>
    </row>
    <row r="226">
      <c r="A226" s="11" t="inlineStr">
        <is>
          <t>T0860-G05-CIE</t>
        </is>
      </c>
      <c r="B226" s="11" t="n">
        <v>5</v>
      </c>
      <c r="C226" s="11" t="inlineStr">
        <is>
          <t>Ciencias</t>
        </is>
      </c>
      <c r="D226" s="11" t="inlineStr">
        <is>
          <t>Matriz_Ciencias_5to_Grado_U1_U6.xlsx</t>
        </is>
      </c>
      <c r="E226" s="11" t="inlineStr">
        <is>
          <t>Unidad 2 - Mecánica</t>
        </is>
      </c>
      <c r="F226" s="11" t="n">
        <v>7</v>
      </c>
      <c r="G226" s="11" t="inlineStr">
        <is>
          <t>2. Mecánica.</t>
        </is>
      </c>
      <c r="H226" s="11" t="inlineStr">
        <is>
          <t>Magnitudes físicas del movimiento.</t>
        </is>
      </c>
      <c r="I226" s="38" t="inlineStr">
        <is>
          <t>2.5. Diferenciación de los conceptos: rapidez y velocidad.</t>
        </is>
      </c>
      <c r="J226" s="11" t="inlineStr">
        <is>
          <t>T8_27</t>
        </is>
      </c>
      <c r="K226" s="11" t="inlineStr">
        <is>
          <t>T8_27-P5.1</t>
        </is>
      </c>
      <c r="L226" s="11" t="inlineStr"/>
      <c r="M226" s="11">
        <f>IF(K226="FUERA","Fuera del marco",IF(K226="N/A","Sin marco",IFERROR(INDEX('Datos - Catálogo TIMSS'!$C$5:$C$107,MATCH(K226,'Datos - Catálogo TIMSS'!$A$5:$A$107,0)),"Pendiente de clasificar")))</f>
        <v/>
      </c>
      <c r="N226" s="11">
        <f>IF(K226="FUERA","Fuera del marco",IF(K226="N/A","Sin marco",IFERROR(INDEX('Datos - Catálogo TIMSS'!$F$5:$F$107,MATCH(K226,'Datos - Catálogo TIMSS'!$A$5:$A$107,0)),"Pendiente de clasificar")))</f>
        <v/>
      </c>
      <c r="O226" s="11">
        <f>IF(L226="","",IFERROR(INDEX('Datos - Catálogo TIMSS'!$C$5:$C$107,MATCH(L226,'Datos - Catálogo TIMSS'!$A$5:$A$107,0)),"?"))</f>
        <v/>
      </c>
      <c r="P226" s="11" t="inlineStr">
        <is>
          <t>alta</t>
        </is>
      </c>
      <c r="Q226" s="38" t="inlineStr">
        <is>
          <t>Rapidez y velocidad medidas al caminar y correr.</t>
        </is>
      </c>
      <c r="R226" s="38" t="inlineStr">
        <is>
          <t>Aplicar: medir y calcular</t>
        </is>
      </c>
      <c r="S226" s="39">
        <f>IFERROR(ISNUMBER(SEARCH("Conocer",$R226))/(ISNUMBER(SEARCH("Conocer",$R226))+ISNUMBER(SEARCH("Aplicar",$R226))+ISNUMBER(SEARCH("Razonar",$R226))),0)</f>
        <v/>
      </c>
      <c r="T226" s="39">
        <f>IFERROR(ISNUMBER(SEARCH("Aplicar",$R226))/(ISNUMBER(SEARCH("Conocer",$R226))+ISNUMBER(SEARCH("Aplicar",$R226))+ISNUMBER(SEARCH("Razonar",$R226))),0)</f>
        <v/>
      </c>
      <c r="U226" s="39">
        <f>IFERROR(ISNUMBER(SEARCH("Razonar",$R226))/(ISNUMBER(SEARCH("Conocer",$R226))+ISNUMBER(SEARCH("Aplicar",$R226))+ISNUMBER(SEARCH("Razonar",$R226))),0)</f>
        <v/>
      </c>
      <c r="V226" s="11" t="inlineStr">
        <is>
          <t>5°</t>
        </is>
      </c>
      <c r="W226" s="11" t="inlineStr">
        <is>
          <t>Ciclo 5°–8°</t>
        </is>
      </c>
      <c r="X226" s="11">
        <f>IF(OR(IFERROR(INDEX('Datos - Catálogo TIMSS'!$I$5:$I$107,MATCH(K226,'Datos - Catálogo TIMSS'!$A$5:$A$107,0)),"No")="Sí",IFERROR(INDEX('Datos - Catálogo TIMSS'!$I$5:$I$107,MATCH(L226,'Datos - Catálogo TIMSS'!$A$5:$A$107,0)),"No")="Sí"),1,0)</f>
        <v/>
      </c>
      <c r="Y226" s="11">
        <f>IF(IFERROR(INDEX('Datos - Catálogo TIMSS'!$J$5:$J$107,MATCH(K226,'Datos - Catálogo TIMSS'!$A$5:$A$107,0)),"No")="Sí",1,0)</f>
        <v/>
      </c>
      <c r="Z226" s="11">
        <f>IF(IFERROR(INDEX('Datos - Catálogo TIMSS'!$J$5:$J$107,MATCH(L226,'Datos - Catálogo TIMSS'!$A$5:$A$107,0)),"No")="Sí",1,0)</f>
        <v/>
      </c>
      <c r="AA226" s="11" t="inlineStr">
        <is>
          <t>T8-F5.1</t>
        </is>
      </c>
      <c r="AB226" s="11" t="inlineStr"/>
      <c r="AC226" s="11">
        <f>IF(AA226="FUERA","Fuera del marco",IF(AA226="N/A","Sin marco",IFERROR(INDEX('Datos - TIMSS 2023'!$C$5:$C$105,MATCH(AA226,'Datos - TIMSS 2023'!$A$5:$A$105,0)),"Pendiente de clasificar")))</f>
        <v/>
      </c>
      <c r="AD226" s="11" t="inlineStr">
        <is>
          <t>2. Construir y evaluar diseños para la indagación científica e interpretar datos y evidencia de forma crítica</t>
        </is>
      </c>
      <c r="AE226" s="11">
        <f>IF(AD226="","",IF(LEFT(AD226,1)="1","C1",IF(LEFT(AD226,1)="2","C2",IF(LEFT(AD226,1)="3","C3",""))))</f>
        <v/>
      </c>
      <c r="AF226" s="11" t="inlineStr">
        <is>
          <t>E1</t>
        </is>
      </c>
      <c r="AG226" s="11" t="inlineStr">
        <is>
          <t>D1</t>
        </is>
      </c>
      <c r="AH226" s="11" t="inlineStr">
        <is>
          <t>E1</t>
        </is>
      </c>
      <c r="AI226" s="11" t="inlineStr">
        <is>
          <t>D4</t>
        </is>
      </c>
      <c r="AJ226" s="11" t="inlineStr">
        <is>
          <t>E6</t>
        </is>
      </c>
      <c r="AK226" s="11" t="n"/>
      <c r="AL226" s="11" t="n"/>
      <c r="AM226" s="11" t="n"/>
      <c r="AN226" s="11" t="n"/>
      <c r="AO226" s="11" t="n"/>
      <c r="AP226" s="11" t="n"/>
      <c r="AQ226" s="11" t="n"/>
      <c r="AR226" s="11" t="n"/>
      <c r="AS226" s="11" t="n"/>
      <c r="AT226" s="11" t="n"/>
      <c r="AU226" s="11" t="n"/>
      <c r="AV226" s="11" t="n"/>
      <c r="AW226" s="11">
        <f>AF226&amp;"; "&amp;AG226&amp;"; "&amp;AH226&amp;"; "&amp;AI226&amp;"; "&amp;AJ226</f>
        <v/>
      </c>
    </row>
    <row r="227">
      <c r="A227" s="11" t="inlineStr">
        <is>
          <t>T0861-G05-CIE</t>
        </is>
      </c>
      <c r="B227" s="11" t="n">
        <v>5</v>
      </c>
      <c r="C227" s="11" t="inlineStr">
        <is>
          <t>Ciencias</t>
        </is>
      </c>
      <c r="D227" s="11" t="inlineStr">
        <is>
          <t>Matriz_Ciencias_5to_Grado_U1_U6.xlsx</t>
        </is>
      </c>
      <c r="E227" s="11" t="inlineStr">
        <is>
          <t>Unidad 2 - Mecánica</t>
        </is>
      </c>
      <c r="F227" s="11" t="n">
        <v>8</v>
      </c>
      <c r="G227" s="11" t="inlineStr">
        <is>
          <t>2. Mecánica.</t>
        </is>
      </c>
      <c r="H227" s="11" t="inlineStr">
        <is>
          <t>Tipos de movimiento.</t>
        </is>
      </c>
      <c r="I227" s="38" t="inlineStr">
        <is>
          <t>2.6. Caracterización del movimiento en trayectoria recta sin aceleración.</t>
        </is>
      </c>
      <c r="J227" s="11" t="inlineStr">
        <is>
          <t>T8_27</t>
        </is>
      </c>
      <c r="K227" s="11" t="inlineStr">
        <is>
          <t>T8_27-P5.1</t>
        </is>
      </c>
      <c r="L227" s="11" t="inlineStr"/>
      <c r="M227" s="11">
        <f>IF(K227="FUERA","Fuera del marco",IF(K227="N/A","Sin marco",IFERROR(INDEX('Datos - Catálogo TIMSS'!$C$5:$C$107,MATCH(K227,'Datos - Catálogo TIMSS'!$A$5:$A$107,0)),"Pendiente de clasificar")))</f>
        <v/>
      </c>
      <c r="N227" s="11">
        <f>IF(K227="FUERA","Fuera del marco",IF(K227="N/A","Sin marco",IFERROR(INDEX('Datos - Catálogo TIMSS'!$F$5:$F$107,MATCH(K227,'Datos - Catálogo TIMSS'!$A$5:$A$107,0)),"Pendiente de clasificar")))</f>
        <v/>
      </c>
      <c r="O227" s="11">
        <f>IF(L227="","",IFERROR(INDEX('Datos - Catálogo TIMSS'!$C$5:$C$107,MATCH(L227,'Datos - Catálogo TIMSS'!$A$5:$A$107,0)),"?"))</f>
        <v/>
      </c>
      <c r="P227" s="11" t="inlineStr">
        <is>
          <t>alta</t>
        </is>
      </c>
      <c r="Q227" s="38" t="inlineStr">
        <is>
          <t>Movimiento rectilíneo uniforme con gráfica posición-tiempo.</t>
        </is>
      </c>
      <c r="R227" s="38" t="inlineStr">
        <is>
          <t>Aplicar: representar datos. Razonar: interpretar gráficas</t>
        </is>
      </c>
      <c r="S227" s="39">
        <f>IFERROR(ISNUMBER(SEARCH("Conocer",$R227))/(ISNUMBER(SEARCH("Conocer",$R227))+ISNUMBER(SEARCH("Aplicar",$R227))+ISNUMBER(SEARCH("Razonar",$R227))),0)</f>
        <v/>
      </c>
      <c r="T227" s="39">
        <f>IFERROR(ISNUMBER(SEARCH("Aplicar",$R227))/(ISNUMBER(SEARCH("Conocer",$R227))+ISNUMBER(SEARCH("Aplicar",$R227))+ISNUMBER(SEARCH("Razonar",$R227))),0)</f>
        <v/>
      </c>
      <c r="U227" s="39">
        <f>IFERROR(ISNUMBER(SEARCH("Razonar",$R227))/(ISNUMBER(SEARCH("Conocer",$R227))+ISNUMBER(SEARCH("Aplicar",$R227))+ISNUMBER(SEARCH("Razonar",$R227))),0)</f>
        <v/>
      </c>
      <c r="V227" s="11" t="inlineStr">
        <is>
          <t>5°</t>
        </is>
      </c>
      <c r="W227" s="11" t="inlineStr">
        <is>
          <t>Ciclo 5°–8°</t>
        </is>
      </c>
      <c r="X227" s="11">
        <f>IF(OR(IFERROR(INDEX('Datos - Catálogo TIMSS'!$I$5:$I$107,MATCH(K227,'Datos - Catálogo TIMSS'!$A$5:$A$107,0)),"No")="Sí",IFERROR(INDEX('Datos - Catálogo TIMSS'!$I$5:$I$107,MATCH(L227,'Datos - Catálogo TIMSS'!$A$5:$A$107,0)),"No")="Sí"),1,0)</f>
        <v/>
      </c>
      <c r="Y227" s="11">
        <f>IF(IFERROR(INDEX('Datos - Catálogo TIMSS'!$J$5:$J$107,MATCH(K227,'Datos - Catálogo TIMSS'!$A$5:$A$107,0)),"No")="Sí",1,0)</f>
        <v/>
      </c>
      <c r="Z227" s="11">
        <f>IF(IFERROR(INDEX('Datos - Catálogo TIMSS'!$J$5:$J$107,MATCH(L227,'Datos - Catálogo TIMSS'!$A$5:$A$107,0)),"No")="Sí",1,0)</f>
        <v/>
      </c>
      <c r="AA227" s="11" t="inlineStr">
        <is>
          <t>T8-F5.1</t>
        </is>
      </c>
      <c r="AB227" s="11" t="inlineStr"/>
      <c r="AC227" s="11">
        <f>IF(AA227="FUERA","Fuera del marco",IF(AA227="N/A","Sin marco",IFERROR(INDEX('Datos - TIMSS 2023'!$C$5:$C$105,MATCH(AA227,'Datos - TIMSS 2023'!$A$5:$A$105,0)),"Pendiente de clasificar")))</f>
        <v/>
      </c>
      <c r="AD227" s="11" t="inlineStr">
        <is>
          <t>2. Construir y evaluar diseños para la indagación científica e interpretar datos y evidencia de forma crítica</t>
        </is>
      </c>
      <c r="AE227" s="11">
        <f>IF(AD227="","",IF(LEFT(AD227,1)="1","C1",IF(LEFT(AD227,1)="2","C2",IF(LEFT(AD227,1)="3","C3",""))))</f>
        <v/>
      </c>
      <c r="AF227" s="11" t="inlineStr">
        <is>
          <t>E1</t>
        </is>
      </c>
      <c r="AG227" s="11" t="inlineStr">
        <is>
          <t>E3</t>
        </is>
      </c>
      <c r="AH227" s="11" t="inlineStr">
        <is>
          <t>E2</t>
        </is>
      </c>
      <c r="AI227" s="11" t="inlineStr">
        <is>
          <t>D4</t>
        </is>
      </c>
      <c r="AJ227" s="11" t="inlineStr">
        <is>
          <t>E3</t>
        </is>
      </c>
      <c r="AK227" s="11" t="n"/>
      <c r="AL227" s="11" t="n"/>
      <c r="AM227" s="11" t="n"/>
      <c r="AN227" s="11" t="n"/>
      <c r="AO227" s="11" t="n"/>
      <c r="AP227" s="11" t="n"/>
      <c r="AQ227" s="11" t="n"/>
      <c r="AR227" s="11" t="n"/>
      <c r="AS227" s="11" t="n"/>
      <c r="AT227" s="11" t="n"/>
      <c r="AU227" s="11" t="n"/>
      <c r="AV227" s="11" t="n"/>
      <c r="AW227" s="11">
        <f>AF227&amp;"; "&amp;AG227&amp;"; "&amp;AH227&amp;"; "&amp;AI227&amp;"; "&amp;AJ227</f>
        <v/>
      </c>
    </row>
    <row r="228">
      <c r="A228" s="11" t="inlineStr">
        <is>
          <t>T0862-G05-CIE</t>
        </is>
      </c>
      <c r="B228" s="11" t="n">
        <v>5</v>
      </c>
      <c r="C228" s="11" t="inlineStr">
        <is>
          <t>Ciencias</t>
        </is>
      </c>
      <c r="D228" s="11" t="inlineStr">
        <is>
          <t>Matriz_Ciencias_5to_Grado_U1_U6.xlsx</t>
        </is>
      </c>
      <c r="E228" s="11" t="inlineStr">
        <is>
          <t>Unidad 2 - Mecánica</t>
        </is>
      </c>
      <c r="F228" s="11" t="n">
        <v>9</v>
      </c>
      <c r="G228" s="11" t="inlineStr">
        <is>
          <t>2. Mecánica.</t>
        </is>
      </c>
      <c r="H228" s="11" t="inlineStr">
        <is>
          <t>Tipos de movimiento.</t>
        </is>
      </c>
      <c r="I228" s="38" t="inlineStr">
        <is>
          <t>2.7. Reconocimiento del movimiento en trayectoria circular.</t>
        </is>
      </c>
      <c r="J228" s="11" t="inlineStr">
        <is>
          <t>T8_27</t>
        </is>
      </c>
      <c r="K228" s="11" t="inlineStr">
        <is>
          <t>T8_27-P5.1</t>
        </is>
      </c>
      <c r="L228" s="11" t="inlineStr"/>
      <c r="M228" s="11">
        <f>IF(K228="FUERA","Fuera del marco",IF(K228="N/A","Sin marco",IFERROR(INDEX('Datos - Catálogo TIMSS'!$C$5:$C$107,MATCH(K228,'Datos - Catálogo TIMSS'!$A$5:$A$107,0)),"Pendiente de clasificar")))</f>
        <v/>
      </c>
      <c r="N228" s="11">
        <f>IF(K228="FUERA","Fuera del marco",IF(K228="N/A","Sin marco",IFERROR(INDEX('Datos - Catálogo TIMSS'!$F$5:$F$107,MATCH(K228,'Datos - Catálogo TIMSS'!$A$5:$A$107,0)),"Pendiente de clasificar")))</f>
        <v/>
      </c>
      <c r="O228" s="11">
        <f>IF(L228="","",IFERROR(INDEX('Datos - Catálogo TIMSS'!$C$5:$C$107,MATCH(L228,'Datos - Catálogo TIMSS'!$A$5:$A$107,0)),"?"))</f>
        <v/>
      </c>
      <c r="P228" s="11" t="inlineStr">
        <is>
          <t>media</t>
        </is>
      </c>
      <c r="Q228" s="38" t="inlineStr">
        <is>
          <t>Movimiento circular uniforme; rapidez como cambio de posición.</t>
        </is>
      </c>
      <c r="R228" s="38" t="inlineStr">
        <is>
          <t>Aplicar: medir. Razonar: comparar</t>
        </is>
      </c>
      <c r="S228" s="39">
        <f>IFERROR(ISNUMBER(SEARCH("Conocer",$R228))/(ISNUMBER(SEARCH("Conocer",$R228))+ISNUMBER(SEARCH("Aplicar",$R228))+ISNUMBER(SEARCH("Razonar",$R228))),0)</f>
        <v/>
      </c>
      <c r="T228" s="39">
        <f>IFERROR(ISNUMBER(SEARCH("Aplicar",$R228))/(ISNUMBER(SEARCH("Conocer",$R228))+ISNUMBER(SEARCH("Aplicar",$R228))+ISNUMBER(SEARCH("Razonar",$R228))),0)</f>
        <v/>
      </c>
      <c r="U228" s="39">
        <f>IFERROR(ISNUMBER(SEARCH("Razonar",$R228))/(ISNUMBER(SEARCH("Conocer",$R228))+ISNUMBER(SEARCH("Aplicar",$R228))+ISNUMBER(SEARCH("Razonar",$R228))),0)</f>
        <v/>
      </c>
      <c r="V228" s="11" t="inlineStr">
        <is>
          <t>5°</t>
        </is>
      </c>
      <c r="W228" s="11" t="inlineStr">
        <is>
          <t>Ciclo 5°–8°</t>
        </is>
      </c>
      <c r="X228" s="11">
        <f>IF(OR(IFERROR(INDEX('Datos - Catálogo TIMSS'!$I$5:$I$107,MATCH(K228,'Datos - Catálogo TIMSS'!$A$5:$A$107,0)),"No")="Sí",IFERROR(INDEX('Datos - Catálogo TIMSS'!$I$5:$I$107,MATCH(L228,'Datos - Catálogo TIMSS'!$A$5:$A$107,0)),"No")="Sí"),1,0)</f>
        <v/>
      </c>
      <c r="Y228" s="11">
        <f>IF(IFERROR(INDEX('Datos - Catálogo TIMSS'!$J$5:$J$107,MATCH(K228,'Datos - Catálogo TIMSS'!$A$5:$A$107,0)),"No")="Sí",1,0)</f>
        <v/>
      </c>
      <c r="Z228" s="11">
        <f>IF(IFERROR(INDEX('Datos - Catálogo TIMSS'!$J$5:$J$107,MATCH(L228,'Datos - Catálogo TIMSS'!$A$5:$A$107,0)),"No")="Sí",1,0)</f>
        <v/>
      </c>
      <c r="AA228" s="11" t="inlineStr">
        <is>
          <t>T8-F5.1</t>
        </is>
      </c>
      <c r="AB228" s="11" t="inlineStr"/>
      <c r="AC228" s="11">
        <f>IF(AA228="FUERA","Fuera del marco",IF(AA228="N/A","Sin marco",IFERROR(INDEX('Datos - TIMSS 2023'!$C$5:$C$105,MATCH(AA228,'Datos - TIMSS 2023'!$A$5:$A$105,0)),"Pendiente de clasificar")))</f>
        <v/>
      </c>
      <c r="AD228" s="11" t="inlineStr">
        <is>
          <t>2. Construir y evaluar diseños para la indagación científica e interpretar datos y evidencia de forma crítica</t>
        </is>
      </c>
      <c r="AE228" s="11">
        <f>IF(AD228="","",IF(LEFT(AD228,1)="1","C1",IF(LEFT(AD228,1)="2","C2",IF(LEFT(AD228,1)="3","C3",""))))</f>
        <v/>
      </c>
      <c r="AF228" s="11" t="inlineStr">
        <is>
          <t>E1</t>
        </is>
      </c>
      <c r="AG228" s="11" t="inlineStr">
        <is>
          <t>D1</t>
        </is>
      </c>
      <c r="AH228" s="11" t="inlineStr">
        <is>
          <t>E1</t>
        </is>
      </c>
      <c r="AI228" s="11" t="inlineStr">
        <is>
          <t>D4</t>
        </is>
      </c>
      <c r="AJ228" s="11" t="inlineStr">
        <is>
          <t>E1</t>
        </is>
      </c>
      <c r="AK228" s="11" t="n"/>
      <c r="AL228" s="11" t="n"/>
      <c r="AM228" s="11" t="n"/>
      <c r="AN228" s="11" t="n"/>
      <c r="AO228" s="11" t="n"/>
      <c r="AP228" s="11" t="n"/>
      <c r="AQ228" s="11" t="n"/>
      <c r="AR228" s="11" t="n"/>
      <c r="AS228" s="11" t="n"/>
      <c r="AT228" s="11" t="n"/>
      <c r="AU228" s="11" t="n"/>
      <c r="AV228" s="11" t="n"/>
      <c r="AW228" s="11">
        <f>AF228&amp;"; "&amp;AG228&amp;"; "&amp;AH228&amp;"; "&amp;AI228&amp;"; "&amp;AJ228</f>
        <v/>
      </c>
    </row>
    <row r="229">
      <c r="A229" s="11" t="inlineStr">
        <is>
          <t>T0863-G05-CIE</t>
        </is>
      </c>
      <c r="B229" s="11" t="n">
        <v>5</v>
      </c>
      <c r="C229" s="11" t="inlineStr">
        <is>
          <t>Ciencias</t>
        </is>
      </c>
      <c r="D229" s="11" t="inlineStr">
        <is>
          <t>Matriz_Ciencias_5to_Grado_U1_U6.xlsx</t>
        </is>
      </c>
      <c r="E229" s="11" t="inlineStr">
        <is>
          <t>Unidad 2 - Mecánica</t>
        </is>
      </c>
      <c r="F229" s="11" t="n">
        <v>10</v>
      </c>
      <c r="G229" s="11" t="inlineStr">
        <is>
          <t>2. Mecánica.</t>
        </is>
      </c>
      <c r="H229" s="11" t="inlineStr">
        <is>
          <t>Fuerza para trasladar y torque para rotar.</t>
        </is>
      </c>
      <c r="I229" s="38" t="inlineStr">
        <is>
          <t>2.8. Experimentación con el principio de inercia.</t>
        </is>
      </c>
      <c r="J229" s="11" t="inlineStr">
        <is>
          <t>T8_27</t>
        </is>
      </c>
      <c r="K229" s="11" t="inlineStr">
        <is>
          <t>T8_27-P5.3</t>
        </is>
      </c>
      <c r="L229" s="11" t="inlineStr"/>
      <c r="M229" s="11">
        <f>IF(K229="FUERA","Fuera del marco",IF(K229="N/A","Sin marco",IFERROR(INDEX('Datos - Catálogo TIMSS'!$C$5:$C$107,MATCH(K229,'Datos - Catálogo TIMSS'!$A$5:$A$107,0)),"Pendiente de clasificar")))</f>
        <v/>
      </c>
      <c r="N229" s="11">
        <f>IF(K229="FUERA","Fuera del marco",IF(K229="N/A","Sin marco",IFERROR(INDEX('Datos - Catálogo TIMSS'!$F$5:$F$107,MATCH(K229,'Datos - Catálogo TIMSS'!$A$5:$A$107,0)),"Pendiente de clasificar")))</f>
        <v/>
      </c>
      <c r="O229" s="11">
        <f>IF(L229="","",IFERROR(INDEX('Datos - Catálogo TIMSS'!$C$5:$C$107,MATCH(L229,'Datos - Catálogo TIMSS'!$A$5:$A$107,0)),"?"))</f>
        <v/>
      </c>
      <c r="P229" s="11" t="inlineStr">
        <is>
          <t>media</t>
        </is>
      </c>
      <c r="Q229" s="38" t="inlineStr">
        <is>
          <t>Inercia: cambios del movimiento según fuerzas que actúan.</t>
        </is>
      </c>
      <c r="R229" s="38" t="inlineStr">
        <is>
          <t>Aplicar: relacionar. Razonar: explicar</t>
        </is>
      </c>
      <c r="S229" s="39">
        <f>IFERROR(ISNUMBER(SEARCH("Conocer",$R229))/(ISNUMBER(SEARCH("Conocer",$R229))+ISNUMBER(SEARCH("Aplicar",$R229))+ISNUMBER(SEARCH("Razonar",$R229))),0)</f>
        <v/>
      </c>
      <c r="T229" s="39">
        <f>IFERROR(ISNUMBER(SEARCH("Aplicar",$R229))/(ISNUMBER(SEARCH("Conocer",$R229))+ISNUMBER(SEARCH("Aplicar",$R229))+ISNUMBER(SEARCH("Razonar",$R229))),0)</f>
        <v/>
      </c>
      <c r="U229" s="39">
        <f>IFERROR(ISNUMBER(SEARCH("Razonar",$R229))/(ISNUMBER(SEARCH("Conocer",$R229))+ISNUMBER(SEARCH("Aplicar",$R229))+ISNUMBER(SEARCH("Razonar",$R229))),0)</f>
        <v/>
      </c>
      <c r="V229" s="11" t="inlineStr">
        <is>
          <t>5°</t>
        </is>
      </c>
      <c r="W229" s="11" t="inlineStr">
        <is>
          <t>Ciclo 5°–8°</t>
        </is>
      </c>
      <c r="X229" s="11">
        <f>IF(OR(IFERROR(INDEX('Datos - Catálogo TIMSS'!$I$5:$I$107,MATCH(K229,'Datos - Catálogo TIMSS'!$A$5:$A$107,0)),"No")="Sí",IFERROR(INDEX('Datos - Catálogo TIMSS'!$I$5:$I$107,MATCH(L229,'Datos - Catálogo TIMSS'!$A$5:$A$107,0)),"No")="Sí"),1,0)</f>
        <v/>
      </c>
      <c r="Y229" s="11">
        <f>IF(IFERROR(INDEX('Datos - Catálogo TIMSS'!$J$5:$J$107,MATCH(K229,'Datos - Catálogo TIMSS'!$A$5:$A$107,0)),"No")="Sí",1,0)</f>
        <v/>
      </c>
      <c r="Z229" s="11">
        <f>IF(IFERROR(INDEX('Datos - Catálogo TIMSS'!$J$5:$J$107,MATCH(L229,'Datos - Catálogo TIMSS'!$A$5:$A$107,0)),"No")="Sí",1,0)</f>
        <v/>
      </c>
      <c r="AA229" s="11" t="inlineStr">
        <is>
          <t>T8-F5.3</t>
        </is>
      </c>
      <c r="AB229" s="11" t="inlineStr">
        <is>
          <t>T8-F5.2</t>
        </is>
      </c>
      <c r="AC229" s="11">
        <f>IF(AA229="FUERA","Fuera del marco",IF(AA229="N/A","Sin marco",IFERROR(INDEX('Datos - TIMSS 2023'!$C$5:$C$105,MATCH(AA229,'Datos - TIMSS 2023'!$A$5:$A$105,0)),"Pendiente de clasificar")))</f>
        <v/>
      </c>
      <c r="AD229" s="11" t="inlineStr">
        <is>
          <t>2. Construir y evaluar diseños para la indagación científica e interpretar datos y evidencia de forma crítica</t>
        </is>
      </c>
      <c r="AE229" s="11">
        <f>IF(AD229="","",IF(LEFT(AD229,1)="1","C1",IF(LEFT(AD229,1)="2","C2",IF(LEFT(AD229,1)="3","C3",""))))</f>
        <v/>
      </c>
      <c r="AF229" s="11" t="inlineStr">
        <is>
          <t>E1</t>
        </is>
      </c>
      <c r="AG229" s="11" t="inlineStr">
        <is>
          <t>E5</t>
        </is>
      </c>
      <c r="AH229" s="11" t="inlineStr">
        <is>
          <t>E1</t>
        </is>
      </c>
      <c r="AI229" s="11" t="inlineStr">
        <is>
          <t>D2</t>
        </is>
      </c>
      <c r="AJ229" s="11" t="inlineStr">
        <is>
          <t>E6</t>
        </is>
      </c>
      <c r="AK229" s="11" t="n"/>
      <c r="AL229" s="11" t="n"/>
      <c r="AM229" s="11" t="n"/>
      <c r="AN229" s="11" t="n"/>
      <c r="AO229" s="11" t="n"/>
      <c r="AP229" s="11" t="n"/>
      <c r="AQ229" s="11" t="n"/>
      <c r="AR229" s="11" t="n"/>
      <c r="AS229" s="11" t="n"/>
      <c r="AT229" s="11" t="n"/>
      <c r="AU229" s="11" t="n"/>
      <c r="AV229" s="11" t="n"/>
      <c r="AW229" s="11">
        <f>AF229&amp;"; "&amp;AG229&amp;"; "&amp;AH229&amp;"; "&amp;AI229&amp;"; "&amp;AJ229</f>
        <v/>
      </c>
    </row>
    <row r="230">
      <c r="A230" s="11" t="inlineStr">
        <is>
          <t>T0864-G05-CIE</t>
        </is>
      </c>
      <c r="B230" s="11" t="n">
        <v>5</v>
      </c>
      <c r="C230" s="11" t="inlineStr">
        <is>
          <t>Ciencias</t>
        </is>
      </c>
      <c r="D230" s="11" t="inlineStr">
        <is>
          <t>Matriz_Ciencias_5to_Grado_U1_U6.xlsx</t>
        </is>
      </c>
      <c r="E230" s="11" t="inlineStr">
        <is>
          <t>Unidad 2 - Mecánica</t>
        </is>
      </c>
      <c r="F230" s="11" t="n">
        <v>11</v>
      </c>
      <c r="G230" s="11" t="inlineStr">
        <is>
          <t>2. Mecánica.</t>
        </is>
      </c>
      <c r="H230" s="11" t="inlineStr">
        <is>
          <t>Fuerza para trasladar y torque para rotar.</t>
        </is>
      </c>
      <c r="I230" s="38" t="inlineStr">
        <is>
          <t>2.9. Experimentación de la aceleración como consecuencia de una fuerza neta.</t>
        </is>
      </c>
      <c r="J230" s="11" t="inlineStr">
        <is>
          <t>T8_27</t>
        </is>
      </c>
      <c r="K230" s="11" t="inlineStr">
        <is>
          <t>T8_27-P5.3</t>
        </is>
      </c>
      <c r="L230" s="11" t="inlineStr">
        <is>
          <t>T8_27-P6.1</t>
        </is>
      </c>
      <c r="M230" s="11">
        <f>IF(K230="FUERA","Fuera del marco",IF(K230="N/A","Sin marco",IFERROR(INDEX('Datos - Catálogo TIMSS'!$C$5:$C$107,MATCH(K230,'Datos - Catálogo TIMSS'!$A$5:$A$107,0)),"Pendiente de clasificar")))</f>
        <v/>
      </c>
      <c r="N230" s="11">
        <f>IF(K230="FUERA","Fuera del marco",IF(K230="N/A","Sin marco",IFERROR(INDEX('Datos - Catálogo TIMSS'!$F$5:$F$107,MATCH(K230,'Datos - Catálogo TIMSS'!$A$5:$A$107,0)),"Pendiente de clasificar")))</f>
        <v/>
      </c>
      <c r="O230" s="11">
        <f>IF(L230="","",IFERROR(INDEX('Datos - Catálogo TIMSS'!$C$5:$C$107,MATCH(L230,'Datos - Catálogo TIMSS'!$A$5:$A$107,0)),"?"))</f>
        <v/>
      </c>
      <c r="P230" s="11" t="inlineStr">
        <is>
          <t>media</t>
        </is>
      </c>
      <c r="Q230" s="38" t="inlineStr">
        <is>
          <t>Fuerza neta y aceleración mediante experimento con variables y conclusión.</t>
        </is>
      </c>
      <c r="R230" s="38" t="inlineStr">
        <is>
          <t>Razonar: identificar variables y concluir</t>
        </is>
      </c>
      <c r="S230" s="39">
        <f>IFERROR(ISNUMBER(SEARCH("Conocer",$R230))/(ISNUMBER(SEARCH("Conocer",$R230))+ISNUMBER(SEARCH("Aplicar",$R230))+ISNUMBER(SEARCH("Razonar",$R230))),0)</f>
        <v/>
      </c>
      <c r="T230" s="39">
        <f>IFERROR(ISNUMBER(SEARCH("Aplicar",$R230))/(ISNUMBER(SEARCH("Conocer",$R230))+ISNUMBER(SEARCH("Aplicar",$R230))+ISNUMBER(SEARCH("Razonar",$R230))),0)</f>
        <v/>
      </c>
      <c r="U230" s="39">
        <f>IFERROR(ISNUMBER(SEARCH("Razonar",$R230))/(ISNUMBER(SEARCH("Conocer",$R230))+ISNUMBER(SEARCH("Aplicar",$R230))+ISNUMBER(SEARCH("Razonar",$R230))),0)</f>
        <v/>
      </c>
      <c r="V230" s="11" t="inlineStr">
        <is>
          <t>5°</t>
        </is>
      </c>
      <c r="W230" s="11" t="inlineStr">
        <is>
          <t>Ciclo 5°–8°</t>
        </is>
      </c>
      <c r="X230" s="11">
        <f>IF(OR(IFERROR(INDEX('Datos - Catálogo TIMSS'!$I$5:$I$107,MATCH(K230,'Datos - Catálogo TIMSS'!$A$5:$A$107,0)),"No")="Sí",IFERROR(INDEX('Datos - Catálogo TIMSS'!$I$5:$I$107,MATCH(L230,'Datos - Catálogo TIMSS'!$A$5:$A$107,0)),"No")="Sí"),1,0)</f>
        <v/>
      </c>
      <c r="Y230" s="11">
        <f>IF(IFERROR(INDEX('Datos - Catálogo TIMSS'!$J$5:$J$107,MATCH(K230,'Datos - Catálogo TIMSS'!$A$5:$A$107,0)),"No")="Sí",1,0)</f>
        <v/>
      </c>
      <c r="Z230" s="11">
        <f>IF(IFERROR(INDEX('Datos - Catálogo TIMSS'!$J$5:$J$107,MATCH(L230,'Datos - Catálogo TIMSS'!$A$5:$A$107,0)),"No")="Sí",1,0)</f>
        <v/>
      </c>
      <c r="AA230" s="11" t="inlineStr">
        <is>
          <t>T8-F5.3</t>
        </is>
      </c>
      <c r="AB230" s="11" t="inlineStr">
        <is>
          <t>T8-F5.1</t>
        </is>
      </c>
      <c r="AC230" s="11">
        <f>IF(AA230="FUERA","Fuera del marco",IF(AA230="N/A","Sin marco",IFERROR(INDEX('Datos - TIMSS 2023'!$C$5:$C$105,MATCH(AA230,'Datos - TIMSS 2023'!$A$5:$A$105,0)),"Pendiente de clasificar")))</f>
        <v/>
      </c>
      <c r="AD230" s="11" t="inlineStr">
        <is>
          <t>2. Construir y evaluar diseños para la indagación científica e interpretar datos y evidencia de forma crítica</t>
        </is>
      </c>
      <c r="AE230" s="11">
        <f>IF(AD230="","",IF(LEFT(AD230,1)="1","C1",IF(LEFT(AD230,1)="2","C2",IF(LEFT(AD230,1)="3","C3",""))))</f>
        <v/>
      </c>
      <c r="AF230" s="11" t="inlineStr">
        <is>
          <t>E1</t>
        </is>
      </c>
      <c r="AG230" s="11" t="inlineStr">
        <is>
          <t>E3</t>
        </is>
      </c>
      <c r="AH230" s="11" t="inlineStr">
        <is>
          <t>E1</t>
        </is>
      </c>
      <c r="AI230" s="11" t="inlineStr">
        <is>
          <t>D3</t>
        </is>
      </c>
      <c r="AJ230" s="11" t="inlineStr">
        <is>
          <t>E3</t>
        </is>
      </c>
      <c r="AK230" s="11" t="n"/>
      <c r="AL230" s="11" t="n"/>
      <c r="AM230" s="11" t="n"/>
      <c r="AN230" s="11" t="n"/>
      <c r="AO230" s="11" t="n"/>
      <c r="AP230" s="11" t="n"/>
      <c r="AQ230" s="11" t="n"/>
      <c r="AR230" s="11" t="n"/>
      <c r="AS230" s="11" t="n"/>
      <c r="AT230" s="11" t="n"/>
      <c r="AU230" s="11" t="n"/>
      <c r="AV230" s="11" t="n"/>
      <c r="AW230" s="11">
        <f>AF230&amp;"; "&amp;AG230&amp;"; "&amp;AH230&amp;"; "&amp;AI230&amp;"; "&amp;AJ230</f>
        <v/>
      </c>
    </row>
    <row r="231">
      <c r="A231" s="11" t="inlineStr">
        <is>
          <t>T0865-G05-CIE</t>
        </is>
      </c>
      <c r="B231" s="11" t="n">
        <v>5</v>
      </c>
      <c r="C231" s="11" t="inlineStr">
        <is>
          <t>Ciencias</t>
        </is>
      </c>
      <c r="D231" s="11" t="inlineStr">
        <is>
          <t>Matriz_Ciencias_5to_Grado_U1_U6.xlsx</t>
        </is>
      </c>
      <c r="E231" s="11" t="inlineStr">
        <is>
          <t>Unidad 2 - Mecánica</t>
        </is>
      </c>
      <c r="F231" s="11" t="n">
        <v>12</v>
      </c>
      <c r="G231" s="11" t="inlineStr">
        <is>
          <t>2. Mecánica.</t>
        </is>
      </c>
      <c r="H231" s="11" t="inlineStr">
        <is>
          <t>Fuerza para trasladar y torque para rotar.</t>
        </is>
      </c>
      <c r="I231" s="38" t="inlineStr">
        <is>
          <t>2.10. Indagación del efecto del par de fuerzas acción y reacción en sistema de fuerzas.</t>
        </is>
      </c>
      <c r="J231" s="11" t="inlineStr">
        <is>
          <t>T8_27</t>
        </is>
      </c>
      <c r="K231" s="11" t="inlineStr">
        <is>
          <t>T8_27-P5.2</t>
        </is>
      </c>
      <c r="L231" s="11" t="inlineStr"/>
      <c r="M231" s="11">
        <f>IF(K231="FUERA","Fuera del marco",IF(K231="N/A","Sin marco",IFERROR(INDEX('Datos - Catálogo TIMSS'!$C$5:$C$107,MATCH(K231,'Datos - Catálogo TIMSS'!$A$5:$A$107,0)),"Pendiente de clasificar")))</f>
        <v/>
      </c>
      <c r="N231" s="11">
        <f>IF(K231="FUERA","Fuera del marco",IF(K231="N/A","Sin marco",IFERROR(INDEX('Datos - Catálogo TIMSS'!$F$5:$F$107,MATCH(K231,'Datos - Catálogo TIMSS'!$A$5:$A$107,0)),"Pendiente de clasificar")))</f>
        <v/>
      </c>
      <c r="O231" s="11">
        <f>IF(L231="","",IFERROR(INDEX('Datos - Catálogo TIMSS'!$C$5:$C$107,MATCH(L231,'Datos - Catálogo TIMSS'!$A$5:$A$107,0)),"?"))</f>
        <v/>
      </c>
      <c r="P231" s="11" t="inlineStr">
        <is>
          <t>alta</t>
        </is>
      </c>
      <c r="Q231" s="38" t="inlineStr">
        <is>
          <t>Pares de fuerzas de acción y reacción.</t>
        </is>
      </c>
      <c r="R231" s="38" t="inlineStr">
        <is>
          <t>Aplicar: identificar pares de fuerzas</t>
        </is>
      </c>
      <c r="S231" s="39">
        <f>IFERROR(ISNUMBER(SEARCH("Conocer",$R231))/(ISNUMBER(SEARCH("Conocer",$R231))+ISNUMBER(SEARCH("Aplicar",$R231))+ISNUMBER(SEARCH("Razonar",$R231))),0)</f>
        <v/>
      </c>
      <c r="T231" s="39">
        <f>IFERROR(ISNUMBER(SEARCH("Aplicar",$R231))/(ISNUMBER(SEARCH("Conocer",$R231))+ISNUMBER(SEARCH("Aplicar",$R231))+ISNUMBER(SEARCH("Razonar",$R231))),0)</f>
        <v/>
      </c>
      <c r="U231" s="39">
        <f>IFERROR(ISNUMBER(SEARCH("Razonar",$R231))/(ISNUMBER(SEARCH("Conocer",$R231))+ISNUMBER(SEARCH("Aplicar",$R231))+ISNUMBER(SEARCH("Razonar",$R231))),0)</f>
        <v/>
      </c>
      <c r="V231" s="11" t="inlineStr">
        <is>
          <t>5°</t>
        </is>
      </c>
      <c r="W231" s="11" t="inlineStr">
        <is>
          <t>Ciclo 5°–8°</t>
        </is>
      </c>
      <c r="X231" s="11">
        <f>IF(OR(IFERROR(INDEX('Datos - Catálogo TIMSS'!$I$5:$I$107,MATCH(K231,'Datos - Catálogo TIMSS'!$A$5:$A$107,0)),"No")="Sí",IFERROR(INDEX('Datos - Catálogo TIMSS'!$I$5:$I$107,MATCH(L231,'Datos - Catálogo TIMSS'!$A$5:$A$107,0)),"No")="Sí"),1,0)</f>
        <v/>
      </c>
      <c r="Y231" s="11">
        <f>IF(IFERROR(INDEX('Datos - Catálogo TIMSS'!$J$5:$J$107,MATCH(K231,'Datos - Catálogo TIMSS'!$A$5:$A$107,0)),"No")="Sí",1,0)</f>
        <v/>
      </c>
      <c r="Z231" s="11">
        <f>IF(IFERROR(INDEX('Datos - Catálogo TIMSS'!$J$5:$J$107,MATCH(L231,'Datos - Catálogo TIMSS'!$A$5:$A$107,0)),"No")="Sí",1,0)</f>
        <v/>
      </c>
      <c r="AA231" s="11" t="inlineStr">
        <is>
          <t>T8-F5.2</t>
        </is>
      </c>
      <c r="AB231" s="11" t="inlineStr"/>
      <c r="AC231" s="11">
        <f>IF(AA231="FUERA","Fuera del marco",IF(AA231="N/A","Sin marco",IFERROR(INDEX('Datos - TIMSS 2023'!$C$5:$C$105,MATCH(AA231,'Datos - TIMSS 2023'!$A$5:$A$105,0)),"Pendiente de clasificar")))</f>
        <v/>
      </c>
      <c r="AD231" s="11" t="inlineStr">
        <is>
          <t>1. Explicar fenómenos científicamente</t>
        </is>
      </c>
      <c r="AE231" s="11">
        <f>IF(AD231="","",IF(LEFT(AD231,1)="1","C1",IF(LEFT(AD231,1)="2","C2",IF(LEFT(AD231,1)="3","C3",""))))</f>
        <v/>
      </c>
      <c r="AF231" s="11" t="inlineStr">
        <is>
          <t>E1</t>
        </is>
      </c>
      <c r="AG231" s="11" t="inlineStr">
        <is>
          <t>E5</t>
        </is>
      </c>
      <c r="AH231" s="11" t="inlineStr">
        <is>
          <t>E1</t>
        </is>
      </c>
      <c r="AI231" s="11" t="inlineStr">
        <is>
          <t>D4</t>
        </is>
      </c>
      <c r="AJ231" s="11" t="inlineStr">
        <is>
          <t>E3</t>
        </is>
      </c>
      <c r="AK231" s="11" t="n"/>
      <c r="AL231" s="11" t="n"/>
      <c r="AM231" s="11" t="n"/>
      <c r="AN231" s="11" t="n"/>
      <c r="AO231" s="11" t="n"/>
      <c r="AP231" s="11" t="n"/>
      <c r="AQ231" s="11" t="n"/>
      <c r="AR231" s="11" t="n"/>
      <c r="AS231" s="11" t="n"/>
      <c r="AT231" s="11" t="n"/>
      <c r="AU231" s="11" t="n"/>
      <c r="AV231" s="11" t="n"/>
      <c r="AW231" s="11">
        <f>AF231&amp;"; "&amp;AG231&amp;"; "&amp;AH231&amp;"; "&amp;AI231&amp;"; "&amp;AJ231</f>
        <v/>
      </c>
    </row>
    <row r="232">
      <c r="A232" s="11" t="inlineStr">
        <is>
          <t>T0866-G05-CIE</t>
        </is>
      </c>
      <c r="B232" s="11" t="n">
        <v>5</v>
      </c>
      <c r="C232" s="11" t="inlineStr">
        <is>
          <t>Ciencias</t>
        </is>
      </c>
      <c r="D232" s="11" t="inlineStr">
        <is>
          <t>Matriz_Ciencias_5to_Grado_U1_U6.xlsx</t>
        </is>
      </c>
      <c r="E232" s="11" t="inlineStr">
        <is>
          <t>Unidad 2 - Mecánica</t>
        </is>
      </c>
      <c r="F232" s="11" t="n">
        <v>13</v>
      </c>
      <c r="G232" s="11" t="inlineStr">
        <is>
          <t>2. Mecánica.</t>
        </is>
      </c>
      <c r="H232" s="11" t="inlineStr">
        <is>
          <t>Fuerza para trasladar y torque para rotar</t>
        </is>
      </c>
      <c r="I232" s="38" t="inlineStr">
        <is>
          <t>2.11. Aplicación del concepto torque a objetos que rotan.</t>
        </is>
      </c>
      <c r="J232" s="11" t="inlineStr">
        <is>
          <t>T8_27</t>
        </is>
      </c>
      <c r="K232" s="11" t="inlineStr">
        <is>
          <t>T8_27-P5.3</t>
        </is>
      </c>
      <c r="L232" s="11" t="inlineStr"/>
      <c r="M232" s="11">
        <f>IF(K232="FUERA","Fuera del marco",IF(K232="N/A","Sin marco",IFERROR(INDEX('Datos - Catálogo TIMSS'!$C$5:$C$107,MATCH(K232,'Datos - Catálogo TIMSS'!$A$5:$A$107,0)),"Pendiente de clasificar")))</f>
        <v/>
      </c>
      <c r="N232" s="11">
        <f>IF(K232="FUERA","Fuera del marco",IF(K232="N/A","Sin marco",IFERROR(INDEX('Datos - Catálogo TIMSS'!$F$5:$F$107,MATCH(K232,'Datos - Catálogo TIMSS'!$A$5:$A$107,0)),"Pendiente de clasificar")))</f>
        <v/>
      </c>
      <c r="O232" s="11">
        <f>IF(L232="","",IFERROR(INDEX('Datos - Catálogo TIMSS'!$C$5:$C$107,MATCH(L232,'Datos - Catálogo TIMSS'!$A$5:$A$107,0)),"?"))</f>
        <v/>
      </c>
      <c r="P232" s="11" t="inlineStr">
        <is>
          <t>media</t>
        </is>
      </c>
      <c r="Q232" s="38" t="inlineStr">
        <is>
          <t>Torque en objetos que rotan, afín a palancas y máquinas simples.</t>
        </is>
      </c>
      <c r="R232" s="38" t="inlineStr">
        <is>
          <t>Aplicar: relacionar. Razonar: comparar</t>
        </is>
      </c>
      <c r="S232" s="39">
        <f>IFERROR(ISNUMBER(SEARCH("Conocer",$R232))/(ISNUMBER(SEARCH("Conocer",$R232))+ISNUMBER(SEARCH("Aplicar",$R232))+ISNUMBER(SEARCH("Razonar",$R232))),0)</f>
        <v/>
      </c>
      <c r="T232" s="39">
        <f>IFERROR(ISNUMBER(SEARCH("Aplicar",$R232))/(ISNUMBER(SEARCH("Conocer",$R232))+ISNUMBER(SEARCH("Aplicar",$R232))+ISNUMBER(SEARCH("Razonar",$R232))),0)</f>
        <v/>
      </c>
      <c r="U232" s="39">
        <f>IFERROR(ISNUMBER(SEARCH("Razonar",$R232))/(ISNUMBER(SEARCH("Conocer",$R232))+ISNUMBER(SEARCH("Aplicar",$R232))+ISNUMBER(SEARCH("Razonar",$R232))),0)</f>
        <v/>
      </c>
      <c r="V232" s="11" t="inlineStr">
        <is>
          <t>5°</t>
        </is>
      </c>
      <c r="W232" s="11" t="inlineStr">
        <is>
          <t>Ciclo 5°–8°</t>
        </is>
      </c>
      <c r="X232" s="11">
        <f>IF(OR(IFERROR(INDEX('Datos - Catálogo TIMSS'!$I$5:$I$107,MATCH(K232,'Datos - Catálogo TIMSS'!$A$5:$A$107,0)),"No")="Sí",IFERROR(INDEX('Datos - Catálogo TIMSS'!$I$5:$I$107,MATCH(L232,'Datos - Catálogo TIMSS'!$A$5:$A$107,0)),"No")="Sí"),1,0)</f>
        <v/>
      </c>
      <c r="Y232" s="11">
        <f>IF(IFERROR(INDEX('Datos - Catálogo TIMSS'!$J$5:$J$107,MATCH(K232,'Datos - Catálogo TIMSS'!$A$5:$A$107,0)),"No")="Sí",1,0)</f>
        <v/>
      </c>
      <c r="Z232" s="11">
        <f>IF(IFERROR(INDEX('Datos - Catálogo TIMSS'!$J$5:$J$107,MATCH(L232,'Datos - Catálogo TIMSS'!$A$5:$A$107,0)),"No")="Sí",1,0)</f>
        <v/>
      </c>
      <c r="AA232" s="11" t="inlineStr">
        <is>
          <t>T8-F5.3</t>
        </is>
      </c>
      <c r="AB232" s="11" t="inlineStr"/>
      <c r="AC232" s="11">
        <f>IF(AA232="FUERA","Fuera del marco",IF(AA232="N/A","Sin marco",IFERROR(INDEX('Datos - TIMSS 2023'!$C$5:$C$105,MATCH(AA232,'Datos - TIMSS 2023'!$A$5:$A$105,0)),"Pendiente de clasificar")))</f>
        <v/>
      </c>
      <c r="AD232" s="11" t="inlineStr">
        <is>
          <t>2. Construir y evaluar diseños para la indagación científica e interpretar datos y evidencia de forma crítica</t>
        </is>
      </c>
      <c r="AE232" s="11">
        <f>IF(AD232="","",IF(LEFT(AD232,1)="1","C1",IF(LEFT(AD232,1)="2","C2",IF(LEFT(AD232,1)="3","C3",""))))</f>
        <v/>
      </c>
      <c r="AF232" s="11" t="inlineStr">
        <is>
          <t>E1</t>
        </is>
      </c>
      <c r="AG232" s="11" t="inlineStr">
        <is>
          <t>D1</t>
        </is>
      </c>
      <c r="AH232" s="11" t="inlineStr">
        <is>
          <t>E1</t>
        </is>
      </c>
      <c r="AI232" s="11" t="inlineStr">
        <is>
          <t>D4</t>
        </is>
      </c>
      <c r="AJ232" s="11" t="inlineStr">
        <is>
          <t>E1</t>
        </is>
      </c>
      <c r="AK232" s="11" t="n"/>
      <c r="AL232" s="11" t="n"/>
      <c r="AM232" s="11" t="n"/>
      <c r="AN232" s="11" t="n"/>
      <c r="AO232" s="11" t="n"/>
      <c r="AP232" s="11" t="n"/>
      <c r="AQ232" s="11" t="n"/>
      <c r="AR232" s="11" t="n"/>
      <c r="AS232" s="11" t="n"/>
      <c r="AT232" s="11" t="n"/>
      <c r="AU232" s="11" t="n"/>
      <c r="AV232" s="11" t="n"/>
      <c r="AW232" s="11">
        <f>AF232&amp;"; "&amp;AG232&amp;"; "&amp;AH232&amp;"; "&amp;AI232&amp;"; "&amp;AJ232</f>
        <v/>
      </c>
    </row>
    <row r="233">
      <c r="A233" s="11" t="inlineStr">
        <is>
          <t>T0867-G05-CIE</t>
        </is>
      </c>
      <c r="B233" s="11" t="n">
        <v>5</v>
      </c>
      <c r="C233" s="11" t="inlineStr">
        <is>
          <t>Ciencias</t>
        </is>
      </c>
      <c r="D233" s="11" t="inlineStr">
        <is>
          <t>Matriz_Ciencias_5to_Grado_U1_U6.xlsx</t>
        </is>
      </c>
      <c r="E233" s="11" t="inlineStr">
        <is>
          <t>Unidad 2 - Mecánica</t>
        </is>
      </c>
      <c r="F233" s="11" t="n">
        <v>14</v>
      </c>
      <c r="G233" s="11" t="inlineStr">
        <is>
          <t>2. Mecánica.</t>
        </is>
      </c>
      <c r="H233" s="11" t="inlineStr">
        <is>
          <t>Energía mecánica.</t>
        </is>
      </c>
      <c r="I233" s="38" t="inlineStr">
        <is>
          <t>2.12. Relación del movimiento con la energía cinética.</t>
        </is>
      </c>
      <c r="J233" s="11" t="inlineStr">
        <is>
          <t>T8_27</t>
        </is>
      </c>
      <c r="K233" s="11" t="inlineStr">
        <is>
          <t>T8_27-P2.1</t>
        </is>
      </c>
      <c r="L233" s="11" t="inlineStr"/>
      <c r="M233" s="11">
        <f>IF(K233="FUERA","Fuera del marco",IF(K233="N/A","Sin marco",IFERROR(INDEX('Datos - Catálogo TIMSS'!$C$5:$C$107,MATCH(K233,'Datos - Catálogo TIMSS'!$A$5:$A$107,0)),"Pendiente de clasificar")))</f>
        <v/>
      </c>
      <c r="N233" s="11">
        <f>IF(K233="FUERA","Fuera del marco",IF(K233="N/A","Sin marco",IFERROR(INDEX('Datos - Catálogo TIMSS'!$F$5:$F$107,MATCH(K233,'Datos - Catálogo TIMSS'!$A$5:$A$107,0)),"Pendiente de clasificar")))</f>
        <v/>
      </c>
      <c r="O233" s="11">
        <f>IF(L233="","",IFERROR(INDEX('Datos - Catálogo TIMSS'!$C$5:$C$107,MATCH(L233,'Datos - Catálogo TIMSS'!$A$5:$A$107,0)),"?"))</f>
        <v/>
      </c>
      <c r="P233" s="11" t="inlineStr">
        <is>
          <t>alta</t>
        </is>
      </c>
      <c r="Q233" s="38" t="inlineStr">
        <is>
          <t>Energía cinética relacionada con masa y rapidez.</t>
        </is>
      </c>
      <c r="R233" s="38" t="inlineStr">
        <is>
          <t>Aplicar: relacionar. Razonar: interpretar datos</t>
        </is>
      </c>
      <c r="S233" s="39">
        <f>IFERROR(ISNUMBER(SEARCH("Conocer",$R233))/(ISNUMBER(SEARCH("Conocer",$R233))+ISNUMBER(SEARCH("Aplicar",$R233))+ISNUMBER(SEARCH("Razonar",$R233))),0)</f>
        <v/>
      </c>
      <c r="T233" s="39">
        <f>IFERROR(ISNUMBER(SEARCH("Aplicar",$R233))/(ISNUMBER(SEARCH("Conocer",$R233))+ISNUMBER(SEARCH("Aplicar",$R233))+ISNUMBER(SEARCH("Razonar",$R233))),0)</f>
        <v/>
      </c>
      <c r="U233" s="39">
        <f>IFERROR(ISNUMBER(SEARCH("Razonar",$R233))/(ISNUMBER(SEARCH("Conocer",$R233))+ISNUMBER(SEARCH("Aplicar",$R233))+ISNUMBER(SEARCH("Razonar",$R233))),0)</f>
        <v/>
      </c>
      <c r="V233" s="11" t="inlineStr">
        <is>
          <t>5°</t>
        </is>
      </c>
      <c r="W233" s="11" t="inlineStr">
        <is>
          <t>Ciclo 5°–8°</t>
        </is>
      </c>
      <c r="X233" s="11">
        <f>IF(OR(IFERROR(INDEX('Datos - Catálogo TIMSS'!$I$5:$I$107,MATCH(K233,'Datos - Catálogo TIMSS'!$A$5:$A$107,0)),"No")="Sí",IFERROR(INDEX('Datos - Catálogo TIMSS'!$I$5:$I$107,MATCH(L233,'Datos - Catálogo TIMSS'!$A$5:$A$107,0)),"No")="Sí"),1,0)</f>
        <v/>
      </c>
      <c r="Y233" s="11">
        <f>IF(IFERROR(INDEX('Datos - Catálogo TIMSS'!$J$5:$J$107,MATCH(K233,'Datos - Catálogo TIMSS'!$A$5:$A$107,0)),"No")="Sí",1,0)</f>
        <v/>
      </c>
      <c r="Z233" s="11">
        <f>IF(IFERROR(INDEX('Datos - Catálogo TIMSS'!$J$5:$J$107,MATCH(L233,'Datos - Catálogo TIMSS'!$A$5:$A$107,0)),"No")="Sí",1,0)</f>
        <v/>
      </c>
      <c r="AA233" s="11" t="inlineStr">
        <is>
          <t>T8-F2.1</t>
        </is>
      </c>
      <c r="AB233" s="11" t="inlineStr"/>
      <c r="AC233" s="11">
        <f>IF(AA233="FUERA","Fuera del marco",IF(AA233="N/A","Sin marco",IFERROR(INDEX('Datos - TIMSS 2023'!$C$5:$C$105,MATCH(AA233,'Datos - TIMSS 2023'!$A$5:$A$105,0)),"Pendiente de clasificar")))</f>
        <v/>
      </c>
      <c r="AD233" s="11" t="inlineStr">
        <is>
          <t>1. Explicar fenómenos científicamente</t>
        </is>
      </c>
      <c r="AE233" s="11">
        <f>IF(AD233="","",IF(LEFT(AD233,1)="1","C1",IF(LEFT(AD233,1)="2","C2",IF(LEFT(AD233,1)="3","C3",""))))</f>
        <v/>
      </c>
      <c r="AF233" s="11" t="inlineStr">
        <is>
          <t>E1</t>
        </is>
      </c>
      <c r="AG233" s="11" t="inlineStr">
        <is>
          <t>E5</t>
        </is>
      </c>
      <c r="AH233" s="11" t="inlineStr">
        <is>
          <t>E1</t>
        </is>
      </c>
      <c r="AI233" s="11" t="inlineStr">
        <is>
          <t>D4</t>
        </is>
      </c>
      <c r="AJ233" s="11" t="inlineStr">
        <is>
          <t>E6</t>
        </is>
      </c>
      <c r="AK233" s="11" t="n"/>
      <c r="AL233" s="11" t="n"/>
      <c r="AM233" s="11" t="n"/>
      <c r="AN233" s="11" t="n"/>
      <c r="AO233" s="11" t="n"/>
      <c r="AP233" s="11" t="n"/>
      <c r="AQ233" s="11" t="n"/>
      <c r="AR233" s="11" t="n"/>
      <c r="AS233" s="11" t="n"/>
      <c r="AT233" s="11" t="n"/>
      <c r="AU233" s="11" t="n"/>
      <c r="AV233" s="11" t="n"/>
      <c r="AW233" s="11">
        <f>AF233&amp;"; "&amp;AG233&amp;"; "&amp;AH233&amp;"; "&amp;AI233&amp;"; "&amp;AJ233</f>
        <v/>
      </c>
    </row>
    <row r="234">
      <c r="A234" s="11" t="inlineStr">
        <is>
          <t>T0868-G05-CIE</t>
        </is>
      </c>
      <c r="B234" s="11" t="n">
        <v>5</v>
      </c>
      <c r="C234" s="11" t="inlineStr">
        <is>
          <t>Ciencias</t>
        </is>
      </c>
      <c r="D234" s="11" t="inlineStr">
        <is>
          <t>Matriz_Ciencias_5to_Grado_U1_U6.xlsx</t>
        </is>
      </c>
      <c r="E234" s="11" t="inlineStr">
        <is>
          <t>Unidad 2 - Mecánica</t>
        </is>
      </c>
      <c r="F234" s="11" t="n">
        <v>15</v>
      </c>
      <c r="G234" s="11" t="inlineStr">
        <is>
          <t>2. Mecánica.</t>
        </is>
      </c>
      <c r="H234" s="11" t="inlineStr">
        <is>
          <t>Energía mecánica.</t>
        </is>
      </c>
      <c r="I234" s="38" t="inlineStr">
        <is>
          <t>2.13. Experimentación con resortes para evidenciar fuerza restaurativa y energía potencial.</t>
        </is>
      </c>
      <c r="J234" s="11" t="inlineStr">
        <is>
          <t>T8_27</t>
        </is>
      </c>
      <c r="K234" s="11" t="inlineStr">
        <is>
          <t>T8_27-P5.2</t>
        </is>
      </c>
      <c r="L234" s="11" t="inlineStr">
        <is>
          <t>T8_27-P2.1</t>
        </is>
      </c>
      <c r="M234" s="11">
        <f>IF(K234="FUERA","Fuera del marco",IF(K234="N/A","Sin marco",IFERROR(INDEX('Datos - Catálogo TIMSS'!$C$5:$C$107,MATCH(K234,'Datos - Catálogo TIMSS'!$A$5:$A$107,0)),"Pendiente de clasificar")))</f>
        <v/>
      </c>
      <c r="N234" s="11">
        <f>IF(K234="FUERA","Fuera del marco",IF(K234="N/A","Sin marco",IFERROR(INDEX('Datos - Catálogo TIMSS'!$F$5:$F$107,MATCH(K234,'Datos - Catálogo TIMSS'!$A$5:$A$107,0)),"Pendiente de clasificar")))</f>
        <v/>
      </c>
      <c r="O234" s="11">
        <f>IF(L234="","",IFERROR(INDEX('Datos - Catálogo TIMSS'!$C$5:$C$107,MATCH(L234,'Datos - Catálogo TIMSS'!$A$5:$A$107,0)),"?"))</f>
        <v/>
      </c>
      <c r="P234" s="11" t="inlineStr">
        <is>
          <t>media</t>
        </is>
      </c>
      <c r="Q234" s="38" t="inlineStr">
        <is>
          <t>Fuerza elástica de resortes y energía potencial elástica.</t>
        </is>
      </c>
      <c r="R234" s="38" t="inlineStr">
        <is>
          <t>Aplicar: medir y graficar. Razonar: identificar patrones</t>
        </is>
      </c>
      <c r="S234" s="39">
        <f>IFERROR(ISNUMBER(SEARCH("Conocer",$R234))/(ISNUMBER(SEARCH("Conocer",$R234))+ISNUMBER(SEARCH("Aplicar",$R234))+ISNUMBER(SEARCH("Razonar",$R234))),0)</f>
        <v/>
      </c>
      <c r="T234" s="39">
        <f>IFERROR(ISNUMBER(SEARCH("Aplicar",$R234))/(ISNUMBER(SEARCH("Conocer",$R234))+ISNUMBER(SEARCH("Aplicar",$R234))+ISNUMBER(SEARCH("Razonar",$R234))),0)</f>
        <v/>
      </c>
      <c r="U234" s="39">
        <f>IFERROR(ISNUMBER(SEARCH("Razonar",$R234))/(ISNUMBER(SEARCH("Conocer",$R234))+ISNUMBER(SEARCH("Aplicar",$R234))+ISNUMBER(SEARCH("Razonar",$R234))),0)</f>
        <v/>
      </c>
      <c r="V234" s="11" t="inlineStr">
        <is>
          <t>5°</t>
        </is>
      </c>
      <c r="W234" s="11" t="inlineStr">
        <is>
          <t>Ciclo 5°–8°</t>
        </is>
      </c>
      <c r="X234" s="11">
        <f>IF(OR(IFERROR(INDEX('Datos - Catálogo TIMSS'!$I$5:$I$107,MATCH(K234,'Datos - Catálogo TIMSS'!$A$5:$A$107,0)),"No")="Sí",IFERROR(INDEX('Datos - Catálogo TIMSS'!$I$5:$I$107,MATCH(L234,'Datos - Catálogo TIMSS'!$A$5:$A$107,0)),"No")="Sí"),1,0)</f>
        <v/>
      </c>
      <c r="Y234" s="11">
        <f>IF(IFERROR(INDEX('Datos - Catálogo TIMSS'!$J$5:$J$107,MATCH(K234,'Datos - Catálogo TIMSS'!$A$5:$A$107,0)),"No")="Sí",1,0)</f>
        <v/>
      </c>
      <c r="Z234" s="11">
        <f>IF(IFERROR(INDEX('Datos - Catálogo TIMSS'!$J$5:$J$107,MATCH(L234,'Datos - Catálogo TIMSS'!$A$5:$A$107,0)),"No")="Sí",1,0)</f>
        <v/>
      </c>
      <c r="AA234" s="11" t="inlineStr">
        <is>
          <t>T8-F2.1</t>
        </is>
      </c>
      <c r="AB234" s="11" t="inlineStr">
        <is>
          <t>T8-F5.2</t>
        </is>
      </c>
      <c r="AC234" s="11">
        <f>IF(AA234="FUERA","Fuera del marco",IF(AA234="N/A","Sin marco",IFERROR(INDEX('Datos - TIMSS 2023'!$C$5:$C$105,MATCH(AA234,'Datos - TIMSS 2023'!$A$5:$A$105,0)),"Pendiente de clasificar")))</f>
        <v/>
      </c>
      <c r="AD234" s="11" t="inlineStr">
        <is>
          <t>2. Construir y evaluar diseños para la indagación científica e interpretar datos y evidencia de forma crítica</t>
        </is>
      </c>
      <c r="AE234" s="11">
        <f>IF(AD234="","",IF(LEFT(AD234,1)="1","C1",IF(LEFT(AD234,1)="2","C2",IF(LEFT(AD234,1)="3","C3",""))))</f>
        <v/>
      </c>
      <c r="AF234" s="11" t="inlineStr">
        <is>
          <t>E1</t>
        </is>
      </c>
      <c r="AG234" s="11" t="inlineStr">
        <is>
          <t>E3</t>
        </is>
      </c>
      <c r="AH234" s="11" t="inlineStr">
        <is>
          <t>E1</t>
        </is>
      </c>
      <c r="AI234" s="11" t="inlineStr">
        <is>
          <t>D4</t>
        </is>
      </c>
      <c r="AJ234" s="11" t="inlineStr">
        <is>
          <t>E3</t>
        </is>
      </c>
      <c r="AK234" s="11" t="n"/>
      <c r="AL234" s="11" t="n"/>
      <c r="AM234" s="11" t="n"/>
      <c r="AN234" s="11" t="n"/>
      <c r="AO234" s="11" t="n"/>
      <c r="AP234" s="11" t="n"/>
      <c r="AQ234" s="11" t="n"/>
      <c r="AR234" s="11" t="n"/>
      <c r="AS234" s="11" t="n"/>
      <c r="AT234" s="11" t="n"/>
      <c r="AU234" s="11" t="n"/>
      <c r="AV234" s="11" t="n"/>
      <c r="AW234" s="11">
        <f>AF234&amp;"; "&amp;AG234&amp;"; "&amp;AH234&amp;"; "&amp;AI234&amp;"; "&amp;AJ234</f>
        <v/>
      </c>
    </row>
    <row r="235">
      <c r="A235" s="11" t="inlineStr">
        <is>
          <t>T0869-G05-CIE</t>
        </is>
      </c>
      <c r="B235" s="11" t="n">
        <v>5</v>
      </c>
      <c r="C235" s="11" t="inlineStr">
        <is>
          <t>Ciencias</t>
        </is>
      </c>
      <c r="D235" s="11" t="inlineStr">
        <is>
          <t>Matriz_Ciencias_5to_Grado_U1_U6.xlsx</t>
        </is>
      </c>
      <c r="E235" s="11" t="inlineStr">
        <is>
          <t>Unidad 2 - Mecánica</t>
        </is>
      </c>
      <c r="F235" s="11" t="n">
        <v>16</v>
      </c>
      <c r="G235" s="11" t="inlineStr">
        <is>
          <t>2. Mecánica.</t>
        </is>
      </c>
      <c r="H235" s="11" t="inlineStr">
        <is>
          <t>Energía mecánica.</t>
        </is>
      </c>
      <c r="I235" s="38" t="inlineStr">
        <is>
          <t>2.14. Experimentación con objetos en caída libre para evidenciar relación entre la altura y la energía potencial gravitatoria.</t>
        </is>
      </c>
      <c r="J235" s="11" t="inlineStr">
        <is>
          <t>T8_27</t>
        </is>
      </c>
      <c r="K235" s="11" t="inlineStr">
        <is>
          <t>T8_27-P2.1</t>
        </is>
      </c>
      <c r="L235" s="11" t="inlineStr"/>
      <c r="M235" s="11">
        <f>IF(K235="FUERA","Fuera del marco",IF(K235="N/A","Sin marco",IFERROR(INDEX('Datos - Catálogo TIMSS'!$C$5:$C$107,MATCH(K235,'Datos - Catálogo TIMSS'!$A$5:$A$107,0)),"Pendiente de clasificar")))</f>
        <v/>
      </c>
      <c r="N235" s="11">
        <f>IF(K235="FUERA","Fuera del marco",IF(K235="N/A","Sin marco",IFERROR(INDEX('Datos - Catálogo TIMSS'!$F$5:$F$107,MATCH(K235,'Datos - Catálogo TIMSS'!$A$5:$A$107,0)),"Pendiente de clasificar")))</f>
        <v/>
      </c>
      <c r="O235" s="11">
        <f>IF(L235="","",IFERROR(INDEX('Datos - Catálogo TIMSS'!$C$5:$C$107,MATCH(L235,'Datos - Catálogo TIMSS'!$A$5:$A$107,0)),"?"))</f>
        <v/>
      </c>
      <c r="P235" s="11" t="inlineStr">
        <is>
          <t>alta</t>
        </is>
      </c>
      <c r="Q235" s="38" t="inlineStr">
        <is>
          <t>Energía potencial gravitatoria según altura de caída.</t>
        </is>
      </c>
      <c r="R235" s="38" t="inlineStr">
        <is>
          <t>Aplicar: medir. Razonar: interpretar datos</t>
        </is>
      </c>
      <c r="S235" s="39">
        <f>IFERROR(ISNUMBER(SEARCH("Conocer",$R235))/(ISNUMBER(SEARCH("Conocer",$R235))+ISNUMBER(SEARCH("Aplicar",$R235))+ISNUMBER(SEARCH("Razonar",$R235))),0)</f>
        <v/>
      </c>
      <c r="T235" s="39">
        <f>IFERROR(ISNUMBER(SEARCH("Aplicar",$R235))/(ISNUMBER(SEARCH("Conocer",$R235))+ISNUMBER(SEARCH("Aplicar",$R235))+ISNUMBER(SEARCH("Razonar",$R235))),0)</f>
        <v/>
      </c>
      <c r="U235" s="39">
        <f>IFERROR(ISNUMBER(SEARCH("Razonar",$R235))/(ISNUMBER(SEARCH("Conocer",$R235))+ISNUMBER(SEARCH("Aplicar",$R235))+ISNUMBER(SEARCH("Razonar",$R235))),0)</f>
        <v/>
      </c>
      <c r="V235" s="11" t="inlineStr">
        <is>
          <t>5°</t>
        </is>
      </c>
      <c r="W235" s="11" t="inlineStr">
        <is>
          <t>Ciclo 5°–8°</t>
        </is>
      </c>
      <c r="X235" s="11">
        <f>IF(OR(IFERROR(INDEX('Datos - Catálogo TIMSS'!$I$5:$I$107,MATCH(K235,'Datos - Catálogo TIMSS'!$A$5:$A$107,0)),"No")="Sí",IFERROR(INDEX('Datos - Catálogo TIMSS'!$I$5:$I$107,MATCH(L235,'Datos - Catálogo TIMSS'!$A$5:$A$107,0)),"No")="Sí"),1,0)</f>
        <v/>
      </c>
      <c r="Y235" s="11">
        <f>IF(IFERROR(INDEX('Datos - Catálogo TIMSS'!$J$5:$J$107,MATCH(K235,'Datos - Catálogo TIMSS'!$A$5:$A$107,0)),"No")="Sí",1,0)</f>
        <v/>
      </c>
      <c r="Z235" s="11">
        <f>IF(IFERROR(INDEX('Datos - Catálogo TIMSS'!$J$5:$J$107,MATCH(L235,'Datos - Catálogo TIMSS'!$A$5:$A$107,0)),"No")="Sí",1,0)</f>
        <v/>
      </c>
      <c r="AA235" s="11" t="inlineStr">
        <is>
          <t>T8-F2.1</t>
        </is>
      </c>
      <c r="AB235" s="11" t="inlineStr"/>
      <c r="AC235" s="11">
        <f>IF(AA235="FUERA","Fuera del marco",IF(AA235="N/A","Sin marco",IFERROR(INDEX('Datos - TIMSS 2023'!$C$5:$C$105,MATCH(AA235,'Datos - TIMSS 2023'!$A$5:$A$105,0)),"Pendiente de clasificar")))</f>
        <v/>
      </c>
      <c r="AD235" s="11" t="inlineStr">
        <is>
          <t>2. Construir y evaluar diseños para la indagación científica e interpretar datos y evidencia de forma crítica</t>
        </is>
      </c>
      <c r="AE235" s="11">
        <f>IF(AD235="","",IF(LEFT(AD235,1)="1","C1",IF(LEFT(AD235,1)="2","C2",IF(LEFT(AD235,1)="3","C3",""))))</f>
        <v/>
      </c>
      <c r="AF235" s="11" t="inlineStr">
        <is>
          <t>E1</t>
        </is>
      </c>
      <c r="AG235" s="11" t="inlineStr">
        <is>
          <t>E3</t>
        </is>
      </c>
      <c r="AH235" s="11" t="inlineStr">
        <is>
          <t>E1</t>
        </is>
      </c>
      <c r="AI235" s="11" t="inlineStr">
        <is>
          <t>D4</t>
        </is>
      </c>
      <c r="AJ235" s="11" t="inlineStr">
        <is>
          <t>E6</t>
        </is>
      </c>
      <c r="AK235" s="11" t="n"/>
      <c r="AL235" s="11" t="n"/>
      <c r="AM235" s="11" t="n"/>
      <c r="AN235" s="11" t="n"/>
      <c r="AO235" s="11" t="n"/>
      <c r="AP235" s="11" t="n"/>
      <c r="AQ235" s="11" t="n"/>
      <c r="AR235" s="11" t="n"/>
      <c r="AS235" s="11" t="n"/>
      <c r="AT235" s="11" t="n"/>
      <c r="AU235" s="11" t="n"/>
      <c r="AV235" s="11" t="n"/>
      <c r="AW235" s="11">
        <f>AF235&amp;"; "&amp;AG235&amp;"; "&amp;AH235&amp;"; "&amp;AI235&amp;"; "&amp;AJ235</f>
        <v/>
      </c>
    </row>
    <row r="236">
      <c r="A236" s="11" t="inlineStr">
        <is>
          <t>T0870-G05-CIE</t>
        </is>
      </c>
      <c r="B236" s="11" t="n">
        <v>5</v>
      </c>
      <c r="C236" s="11" t="inlineStr">
        <is>
          <t>Ciencias</t>
        </is>
      </c>
      <c r="D236" s="11" t="inlineStr">
        <is>
          <t>Matriz_Ciencias_5to_Grado_U1_U6.xlsx</t>
        </is>
      </c>
      <c r="E236" s="11" t="inlineStr">
        <is>
          <t>Unidad 2 - Mecánica</t>
        </is>
      </c>
      <c r="F236" s="11" t="n">
        <v>17</v>
      </c>
      <c r="G236" s="11" t="inlineStr">
        <is>
          <t>2. Mecánica.</t>
        </is>
      </c>
      <c r="H236" s="11" t="inlineStr">
        <is>
          <t>Energía mecánica.</t>
        </is>
      </c>
      <c r="I236" s="38" t="inlineStr">
        <is>
          <t>2.15. Experimentación con transformaciones energéticas en un sistema mecánico.</t>
        </is>
      </c>
      <c r="J236" s="11" t="inlineStr">
        <is>
          <t>T8_27</t>
        </is>
      </c>
      <c r="K236" s="11" t="inlineStr">
        <is>
          <t>T8_27-P2.1</t>
        </is>
      </c>
      <c r="L236" s="11" t="inlineStr"/>
      <c r="M236" s="11">
        <f>IF(K236="FUERA","Fuera del marco",IF(K236="N/A","Sin marco",IFERROR(INDEX('Datos - Catálogo TIMSS'!$C$5:$C$107,MATCH(K236,'Datos - Catálogo TIMSS'!$A$5:$A$107,0)),"Pendiente de clasificar")))</f>
        <v/>
      </c>
      <c r="N236" s="11">
        <f>IF(K236="FUERA","Fuera del marco",IF(K236="N/A","Sin marco",IFERROR(INDEX('Datos - Catálogo TIMSS'!$F$5:$F$107,MATCH(K236,'Datos - Catálogo TIMSS'!$A$5:$A$107,0)),"Pendiente de clasificar")))</f>
        <v/>
      </c>
      <c r="O236" s="11">
        <f>IF(L236="","",IFERROR(INDEX('Datos - Catálogo TIMSS'!$C$5:$C$107,MATCH(L236,'Datos - Catálogo TIMSS'!$A$5:$A$107,0)),"?"))</f>
        <v/>
      </c>
      <c r="P236" s="11" t="inlineStr">
        <is>
          <t>alta</t>
        </is>
      </c>
      <c r="Q236" s="38" t="inlineStr">
        <is>
          <t>Transformaciones y conservación de energía mecánica en péndulo.</t>
        </is>
      </c>
      <c r="R236" s="38" t="inlineStr">
        <is>
          <t>Aplicar: usar modelos. Razonar: explicar</t>
        </is>
      </c>
      <c r="S236" s="39">
        <f>IFERROR(ISNUMBER(SEARCH("Conocer",$R236))/(ISNUMBER(SEARCH("Conocer",$R236))+ISNUMBER(SEARCH("Aplicar",$R236))+ISNUMBER(SEARCH("Razonar",$R236))),0)</f>
        <v/>
      </c>
      <c r="T236" s="39">
        <f>IFERROR(ISNUMBER(SEARCH("Aplicar",$R236))/(ISNUMBER(SEARCH("Conocer",$R236))+ISNUMBER(SEARCH("Aplicar",$R236))+ISNUMBER(SEARCH("Razonar",$R236))),0)</f>
        <v/>
      </c>
      <c r="U236" s="39">
        <f>IFERROR(ISNUMBER(SEARCH("Razonar",$R236))/(ISNUMBER(SEARCH("Conocer",$R236))+ISNUMBER(SEARCH("Aplicar",$R236))+ISNUMBER(SEARCH("Razonar",$R236))),0)</f>
        <v/>
      </c>
      <c r="V236" s="11" t="inlineStr">
        <is>
          <t>5°</t>
        </is>
      </c>
      <c r="W236" s="11" t="inlineStr">
        <is>
          <t>Ciclo 5°–8°</t>
        </is>
      </c>
      <c r="X236" s="11">
        <f>IF(OR(IFERROR(INDEX('Datos - Catálogo TIMSS'!$I$5:$I$107,MATCH(K236,'Datos - Catálogo TIMSS'!$A$5:$A$107,0)),"No")="Sí",IFERROR(INDEX('Datos - Catálogo TIMSS'!$I$5:$I$107,MATCH(L236,'Datos - Catálogo TIMSS'!$A$5:$A$107,0)),"No")="Sí"),1,0)</f>
        <v/>
      </c>
      <c r="Y236" s="11">
        <f>IF(IFERROR(INDEX('Datos - Catálogo TIMSS'!$J$5:$J$107,MATCH(K236,'Datos - Catálogo TIMSS'!$A$5:$A$107,0)),"No")="Sí",1,0)</f>
        <v/>
      </c>
      <c r="Z236" s="11">
        <f>IF(IFERROR(INDEX('Datos - Catálogo TIMSS'!$J$5:$J$107,MATCH(L236,'Datos - Catálogo TIMSS'!$A$5:$A$107,0)),"No")="Sí",1,0)</f>
        <v/>
      </c>
      <c r="AA236" s="11" t="inlineStr">
        <is>
          <t>T8-F2.1</t>
        </is>
      </c>
      <c r="AB236" s="11" t="inlineStr"/>
      <c r="AC236" s="11">
        <f>IF(AA236="FUERA","Fuera del marco",IF(AA236="N/A","Sin marco",IFERROR(INDEX('Datos - TIMSS 2023'!$C$5:$C$105,MATCH(AA236,'Datos - TIMSS 2023'!$A$5:$A$105,0)),"Pendiente de clasificar")))</f>
        <v/>
      </c>
      <c r="AD236" s="11" t="inlineStr">
        <is>
          <t>2. Construir y evaluar diseños para la indagación científica e interpretar datos y evidencia de forma crítica</t>
        </is>
      </c>
      <c r="AE236" s="11">
        <f>IF(AD236="","",IF(LEFT(AD236,1)="1","C1",IF(LEFT(AD236,1)="2","C2",IF(LEFT(AD236,1)="3","C3",""))))</f>
        <v/>
      </c>
      <c r="AF236" s="11" t="inlineStr">
        <is>
          <t>E1</t>
        </is>
      </c>
      <c r="AG236" s="11" t="inlineStr">
        <is>
          <t>D1</t>
        </is>
      </c>
      <c r="AH236" s="11" t="inlineStr">
        <is>
          <t>E4</t>
        </is>
      </c>
      <c r="AI236" s="11" t="inlineStr">
        <is>
          <t>D4</t>
        </is>
      </c>
      <c r="AJ236" s="11" t="inlineStr">
        <is>
          <t>E6</t>
        </is>
      </c>
      <c r="AK236" s="11" t="n"/>
      <c r="AL236" s="11" t="n"/>
      <c r="AM236" s="11" t="n"/>
      <c r="AN236" s="11" t="n"/>
      <c r="AO236" s="11" t="n"/>
      <c r="AP236" s="11" t="n"/>
      <c r="AQ236" s="11" t="n"/>
      <c r="AR236" s="11" t="n"/>
      <c r="AS236" s="11" t="n"/>
      <c r="AT236" s="11" t="n"/>
      <c r="AU236" s="11" t="n"/>
      <c r="AV236" s="11" t="n"/>
      <c r="AW236" s="11">
        <f>AF236&amp;"; "&amp;AG236&amp;"; "&amp;AH236&amp;"; "&amp;AI236&amp;"; "&amp;AJ236</f>
        <v/>
      </c>
    </row>
    <row r="237">
      <c r="A237" s="11" t="inlineStr">
        <is>
          <t>T0871-G05-CIE</t>
        </is>
      </c>
      <c r="B237" s="11" t="n">
        <v>5</v>
      </c>
      <c r="C237" s="11" t="inlineStr">
        <is>
          <t>Ciencias</t>
        </is>
      </c>
      <c r="D237" s="11" t="inlineStr">
        <is>
          <t>Matriz_Ciencias_5to_Grado_U1_U6.xlsx</t>
        </is>
      </c>
      <c r="E237" s="11" t="inlineStr">
        <is>
          <t>Unidad 3 - Estructura atómica</t>
        </is>
      </c>
      <c r="F237" s="11" t="n">
        <v>3</v>
      </c>
      <c r="G237" s="11" t="inlineStr">
        <is>
          <t>3. Estructura atómica.</t>
        </is>
      </c>
      <c r="H237" s="11" t="inlineStr">
        <is>
          <t>Teoría atómica.</t>
        </is>
      </c>
      <c r="I237" s="38" t="inlineStr">
        <is>
          <t>3.2. Interpretación histórica de la estructura del átomo y del posicionamiento de partículas subatómicas.</t>
        </is>
      </c>
      <c r="J237" s="11" t="inlineStr">
        <is>
          <t>T8_27</t>
        </is>
      </c>
      <c r="K237" s="11" t="inlineStr">
        <is>
          <t>T8_27-C1.1</t>
        </is>
      </c>
      <c r="L237" s="11" t="inlineStr"/>
      <c r="M237" s="11">
        <f>IF(K237="FUERA","Fuera del marco",IF(K237="N/A","Sin marco",IFERROR(INDEX('Datos - Catálogo TIMSS'!$C$5:$C$107,MATCH(K237,'Datos - Catálogo TIMSS'!$A$5:$A$107,0)),"Pendiente de clasificar")))</f>
        <v/>
      </c>
      <c r="N237" s="11">
        <f>IF(K237="FUERA","Fuera del marco",IF(K237="N/A","Sin marco",IFERROR(INDEX('Datos - Catálogo TIMSS'!$F$5:$F$107,MATCH(K237,'Datos - Catálogo TIMSS'!$A$5:$A$107,0)),"Pendiente de clasificar")))</f>
        <v/>
      </c>
      <c r="O237" s="11">
        <f>IF(L237="","",IFERROR(INDEX('Datos - Catálogo TIMSS'!$C$5:$C$107,MATCH(L237,'Datos - Catálogo TIMSS'!$A$5:$A$107,0)),"?"))</f>
        <v/>
      </c>
      <c r="P237" s="11" t="inlineStr">
        <is>
          <t>alta</t>
        </is>
      </c>
      <c r="Q237" s="38" t="inlineStr">
        <is>
          <t>Evolución histórica de la estructura del átomo y sus partículas.</t>
        </is>
      </c>
      <c r="R237" s="38" t="inlineStr">
        <is>
          <t>Conocer: definir</t>
        </is>
      </c>
      <c r="S237" s="39">
        <f>IFERROR(ISNUMBER(SEARCH("Conocer",$R237))/(ISNUMBER(SEARCH("Conocer",$R237))+ISNUMBER(SEARCH("Aplicar",$R237))+ISNUMBER(SEARCH("Razonar",$R237))),0)</f>
        <v/>
      </c>
      <c r="T237" s="39">
        <f>IFERROR(ISNUMBER(SEARCH("Aplicar",$R237))/(ISNUMBER(SEARCH("Conocer",$R237))+ISNUMBER(SEARCH("Aplicar",$R237))+ISNUMBER(SEARCH("Razonar",$R237))),0)</f>
        <v/>
      </c>
      <c r="U237" s="39">
        <f>IFERROR(ISNUMBER(SEARCH("Razonar",$R237))/(ISNUMBER(SEARCH("Conocer",$R237))+ISNUMBER(SEARCH("Aplicar",$R237))+ISNUMBER(SEARCH("Razonar",$R237))),0)</f>
        <v/>
      </c>
      <c r="V237" s="11" t="inlineStr">
        <is>
          <t>5°</t>
        </is>
      </c>
      <c r="W237" s="11" t="inlineStr">
        <is>
          <t>Ciclo 5°–8°</t>
        </is>
      </c>
      <c r="X237" s="11">
        <f>IF(OR(IFERROR(INDEX('Datos - Catálogo TIMSS'!$I$5:$I$107,MATCH(K237,'Datos - Catálogo TIMSS'!$A$5:$A$107,0)),"No")="Sí",IFERROR(INDEX('Datos - Catálogo TIMSS'!$I$5:$I$107,MATCH(L237,'Datos - Catálogo TIMSS'!$A$5:$A$107,0)),"No")="Sí"),1,0)</f>
        <v/>
      </c>
      <c r="Y237" s="11">
        <f>IF(IFERROR(INDEX('Datos - Catálogo TIMSS'!$J$5:$J$107,MATCH(K237,'Datos - Catálogo TIMSS'!$A$5:$A$107,0)),"No")="Sí",1,0)</f>
        <v/>
      </c>
      <c r="Z237" s="11">
        <f>IF(IFERROR(INDEX('Datos - Catálogo TIMSS'!$J$5:$J$107,MATCH(L237,'Datos - Catálogo TIMSS'!$A$5:$A$107,0)),"No")="Sí",1,0)</f>
        <v/>
      </c>
      <c r="AA237" s="11" t="inlineStr">
        <is>
          <t>T8-Q1.1</t>
        </is>
      </c>
      <c r="AB237" s="11" t="inlineStr"/>
      <c r="AC237" s="11">
        <f>IF(AA237="FUERA","Fuera del marco",IF(AA237="N/A","Sin marco",IFERROR(INDEX('Datos - TIMSS 2023'!$C$5:$C$105,MATCH(AA237,'Datos - TIMSS 2023'!$A$5:$A$105,0)),"Pendiente de clasificar")))</f>
        <v/>
      </c>
      <c r="AD237" s="11" t="inlineStr">
        <is>
          <t>1. Explicar fenómenos científicamente</t>
        </is>
      </c>
      <c r="AE237" s="11">
        <f>IF(AD237="","",IF(LEFT(AD237,1)="1","C1",IF(LEFT(AD237,1)="2","C2",IF(LEFT(AD237,1)="3","C3",""))))</f>
        <v/>
      </c>
      <c r="AF237" s="11" t="inlineStr">
        <is>
          <t>E1</t>
        </is>
      </c>
      <c r="AG237" s="11" t="inlineStr">
        <is>
          <t>E5</t>
        </is>
      </c>
      <c r="AH237" s="11" t="inlineStr">
        <is>
          <t>E1</t>
        </is>
      </c>
      <c r="AI237" s="11" t="inlineStr">
        <is>
          <t>D4</t>
        </is>
      </c>
      <c r="AJ237" s="11" t="inlineStr">
        <is>
          <t>E1</t>
        </is>
      </c>
      <c r="AK237" s="11" t="n"/>
      <c r="AL237" s="11" t="n"/>
      <c r="AM237" s="11" t="n"/>
      <c r="AN237" s="11" t="n"/>
      <c r="AO237" s="11" t="n"/>
      <c r="AP237" s="11" t="n"/>
      <c r="AQ237" s="11" t="n"/>
      <c r="AR237" s="11" t="n"/>
      <c r="AS237" s="11" t="n"/>
      <c r="AT237" s="11" t="n"/>
      <c r="AU237" s="11" t="n"/>
      <c r="AV237" s="11" t="n"/>
      <c r="AW237" s="11">
        <f>AF237&amp;"; "&amp;AG237&amp;"; "&amp;AH237&amp;"; "&amp;AI237&amp;"; "&amp;AJ237</f>
        <v/>
      </c>
    </row>
    <row r="238">
      <c r="A238" s="11" t="inlineStr">
        <is>
          <t>T0872-G05-CIE</t>
        </is>
      </c>
      <c r="B238" s="11" t="n">
        <v>5</v>
      </c>
      <c r="C238" s="11" t="inlineStr">
        <is>
          <t>Ciencias</t>
        </is>
      </c>
      <c r="D238" s="11" t="inlineStr">
        <is>
          <t>Matriz_Ciencias_5to_Grado_U1_U6.xlsx</t>
        </is>
      </c>
      <c r="E238" s="11" t="inlineStr">
        <is>
          <t>Unidad 3 - Estructura atómica</t>
        </is>
      </c>
      <c r="F238" s="11" t="n">
        <v>4</v>
      </c>
      <c r="G238" s="11" t="inlineStr">
        <is>
          <t>3. Estructura atómica.</t>
        </is>
      </c>
      <c r="H238" s="11" t="inlineStr">
        <is>
          <t>Teoría atómica.</t>
        </is>
      </c>
      <c r="I238" s="38" t="inlineStr">
        <is>
          <t>[Sin procedimental en la malla oficial: ver hoja Notas]</t>
        </is>
      </c>
      <c r="J238" s="11" t="inlineStr">
        <is>
          <t>T8_27</t>
        </is>
      </c>
      <c r="K238" s="11" t="inlineStr">
        <is>
          <t>T8_27-C1.1</t>
        </is>
      </c>
      <c r="L238" s="11" t="inlineStr"/>
      <c r="M238" s="11">
        <f>IF(K238="FUERA","Fuera del marco",IF(K238="N/A","Sin marco",IFERROR(INDEX('Datos - Catálogo TIMSS'!$C$5:$C$107,MATCH(K238,'Datos - Catálogo TIMSS'!$A$5:$A$107,0)),"Pendiente de clasificar")))</f>
        <v/>
      </c>
      <c r="N238" s="11">
        <f>IF(K238="FUERA","Fuera del marco",IF(K238="N/A","Sin marco",IFERROR(INDEX('Datos - Catálogo TIMSS'!$F$5:$F$107,MATCH(K238,'Datos - Catálogo TIMSS'!$A$5:$A$107,0)),"Pendiente de clasificar")))</f>
        <v/>
      </c>
      <c r="O238" s="11">
        <f>IF(L238="","",IFERROR(INDEX('Datos - Catálogo TIMSS'!$C$5:$C$107,MATCH(L238,'Datos - Catálogo TIMSS'!$A$5:$A$107,0)),"?"))</f>
        <v/>
      </c>
      <c r="P238" s="11" t="inlineStr">
        <is>
          <t>alta</t>
        </is>
      </c>
      <c r="Q238" s="38" t="inlineStr">
        <is>
          <t>Comparación de modelos atómicos históricos.</t>
        </is>
      </c>
      <c r="R238" s="38" t="inlineStr">
        <is>
          <t>Aplicar: comparar modelos. Razonar: evaluar</t>
        </is>
      </c>
      <c r="S238" s="39">
        <f>IFERROR(ISNUMBER(SEARCH("Conocer",$R238))/(ISNUMBER(SEARCH("Conocer",$R238))+ISNUMBER(SEARCH("Aplicar",$R238))+ISNUMBER(SEARCH("Razonar",$R238))),0)</f>
        <v/>
      </c>
      <c r="T238" s="39">
        <f>IFERROR(ISNUMBER(SEARCH("Aplicar",$R238))/(ISNUMBER(SEARCH("Conocer",$R238))+ISNUMBER(SEARCH("Aplicar",$R238))+ISNUMBER(SEARCH("Razonar",$R238))),0)</f>
        <v/>
      </c>
      <c r="U238" s="39">
        <f>IFERROR(ISNUMBER(SEARCH("Razonar",$R238))/(ISNUMBER(SEARCH("Conocer",$R238))+ISNUMBER(SEARCH("Aplicar",$R238))+ISNUMBER(SEARCH("Razonar",$R238))),0)</f>
        <v/>
      </c>
      <c r="V238" s="11" t="inlineStr">
        <is>
          <t>5°</t>
        </is>
      </c>
      <c r="W238" s="11" t="inlineStr">
        <is>
          <t>Ciclo 5°–8°</t>
        </is>
      </c>
      <c r="X238" s="11">
        <f>IF(OR(IFERROR(INDEX('Datos - Catálogo TIMSS'!$I$5:$I$107,MATCH(K238,'Datos - Catálogo TIMSS'!$A$5:$A$107,0)),"No")="Sí",IFERROR(INDEX('Datos - Catálogo TIMSS'!$I$5:$I$107,MATCH(L238,'Datos - Catálogo TIMSS'!$A$5:$A$107,0)),"No")="Sí"),1,0)</f>
        <v/>
      </c>
      <c r="Y238" s="11">
        <f>IF(IFERROR(INDEX('Datos - Catálogo TIMSS'!$J$5:$J$107,MATCH(K238,'Datos - Catálogo TIMSS'!$A$5:$A$107,0)),"No")="Sí",1,0)</f>
        <v/>
      </c>
      <c r="Z238" s="11">
        <f>IF(IFERROR(INDEX('Datos - Catálogo TIMSS'!$J$5:$J$107,MATCH(L238,'Datos - Catálogo TIMSS'!$A$5:$A$107,0)),"No")="Sí",1,0)</f>
        <v/>
      </c>
      <c r="AA238" s="11" t="inlineStr">
        <is>
          <t>T8-Q1.1</t>
        </is>
      </c>
      <c r="AB238" s="11" t="inlineStr"/>
      <c r="AC238" s="11">
        <f>IF(AA238="FUERA","Fuera del marco",IF(AA238="N/A","Sin marco",IFERROR(INDEX('Datos - TIMSS 2023'!$C$5:$C$105,MATCH(AA238,'Datos - TIMSS 2023'!$A$5:$A$105,0)),"Pendiente de clasificar")))</f>
        <v/>
      </c>
      <c r="AD238" s="11" t="inlineStr">
        <is>
          <t>1. Explicar fenómenos científicamente</t>
        </is>
      </c>
      <c r="AE238" s="11">
        <f>IF(AD238="","",IF(LEFT(AD238,1)="1","C1",IF(LEFT(AD238,1)="2","C2",IF(LEFT(AD238,1)="3","C3",""))))</f>
        <v/>
      </c>
      <c r="AF238" s="11" t="inlineStr">
        <is>
          <t>E1</t>
        </is>
      </c>
      <c r="AG238" s="11" t="inlineStr">
        <is>
          <t>E5</t>
        </is>
      </c>
      <c r="AH238" s="11" t="inlineStr">
        <is>
          <t>E4</t>
        </is>
      </c>
      <c r="AI238" s="11" t="inlineStr">
        <is>
          <t>E4</t>
        </is>
      </c>
      <c r="AJ238" s="11" t="inlineStr">
        <is>
          <t>E6</t>
        </is>
      </c>
      <c r="AK238" s="11" t="n"/>
      <c r="AL238" s="11" t="n"/>
      <c r="AM238" s="11" t="n"/>
      <c r="AN238" s="11" t="n"/>
      <c r="AO238" s="11" t="n"/>
      <c r="AP238" s="11" t="n"/>
      <c r="AQ238" s="11" t="n"/>
      <c r="AR238" s="11" t="n"/>
      <c r="AS238" s="11" t="n"/>
      <c r="AT238" s="11" t="n"/>
      <c r="AU238" s="11" t="n"/>
      <c r="AV238" s="11" t="n"/>
      <c r="AW238" s="11">
        <f>AF238&amp;"; "&amp;AG238&amp;"; "&amp;AH238&amp;"; "&amp;AI238&amp;"; "&amp;AJ238</f>
        <v/>
      </c>
    </row>
    <row r="239">
      <c r="A239" s="11" t="inlineStr">
        <is>
          <t>T0873-G05-CIE</t>
        </is>
      </c>
      <c r="B239" s="11" t="n">
        <v>5</v>
      </c>
      <c r="C239" s="11" t="inlineStr">
        <is>
          <t>Ciencias</t>
        </is>
      </c>
      <c r="D239" s="11" t="inlineStr">
        <is>
          <t>Matriz_Ciencias_5to_Grado_U1_U6.xlsx</t>
        </is>
      </c>
      <c r="E239" s="11" t="inlineStr">
        <is>
          <t>Unidad 3 - Estructura atómica</t>
        </is>
      </c>
      <c r="F239" s="11" t="n">
        <v>5</v>
      </c>
      <c r="G239" s="11" t="inlineStr">
        <is>
          <t>3. Estructura atómica.</t>
        </is>
      </c>
      <c r="H239" s="11" t="inlineStr">
        <is>
          <t>Teoría atómica.</t>
        </is>
      </c>
      <c r="I239" s="38" t="inlineStr">
        <is>
          <t>3.3. Construcción e identificación de un modelo atómico.</t>
        </is>
      </c>
      <c r="J239" s="11" t="inlineStr">
        <is>
          <t>T8_27</t>
        </is>
      </c>
      <c r="K239" s="11" t="inlineStr">
        <is>
          <t>T8_27-C1.1</t>
        </is>
      </c>
      <c r="L239" s="11" t="inlineStr"/>
      <c r="M239" s="11">
        <f>IF(K239="FUERA","Fuera del marco",IF(K239="N/A","Sin marco",IFERROR(INDEX('Datos - Catálogo TIMSS'!$C$5:$C$107,MATCH(K239,'Datos - Catálogo TIMSS'!$A$5:$A$107,0)),"Pendiente de clasificar")))</f>
        <v/>
      </c>
      <c r="N239" s="11">
        <f>IF(K239="FUERA","Fuera del marco",IF(K239="N/A","Sin marco",IFERROR(INDEX('Datos - Catálogo TIMSS'!$F$5:$F$107,MATCH(K239,'Datos - Catálogo TIMSS'!$A$5:$A$107,0)),"Pendiente de clasificar")))</f>
        <v/>
      </c>
      <c r="O239" s="11">
        <f>IF(L239="","",IFERROR(INDEX('Datos - Catálogo TIMSS'!$C$5:$C$107,MATCH(L239,'Datos - Catálogo TIMSS'!$A$5:$A$107,0)),"?"))</f>
        <v/>
      </c>
      <c r="P239" s="11" t="inlineStr">
        <is>
          <t>alta</t>
        </is>
      </c>
      <c r="Q239" s="38" t="inlineStr">
        <is>
          <t>Modelo atómico con núcleo, protones, neutrones y electrones.</t>
        </is>
      </c>
      <c r="R239" s="38" t="inlineStr">
        <is>
          <t>Aplicar: construir modelos</t>
        </is>
      </c>
      <c r="S239" s="39">
        <f>IFERROR(ISNUMBER(SEARCH("Conocer",$R239))/(ISNUMBER(SEARCH("Conocer",$R239))+ISNUMBER(SEARCH("Aplicar",$R239))+ISNUMBER(SEARCH("Razonar",$R239))),0)</f>
        <v/>
      </c>
      <c r="T239" s="39">
        <f>IFERROR(ISNUMBER(SEARCH("Aplicar",$R239))/(ISNUMBER(SEARCH("Conocer",$R239))+ISNUMBER(SEARCH("Aplicar",$R239))+ISNUMBER(SEARCH("Razonar",$R239))),0)</f>
        <v/>
      </c>
      <c r="U239" s="39">
        <f>IFERROR(ISNUMBER(SEARCH("Razonar",$R239))/(ISNUMBER(SEARCH("Conocer",$R239))+ISNUMBER(SEARCH("Aplicar",$R239))+ISNUMBER(SEARCH("Razonar",$R239))),0)</f>
        <v/>
      </c>
      <c r="V239" s="11" t="inlineStr">
        <is>
          <t>5°</t>
        </is>
      </c>
      <c r="W239" s="11" t="inlineStr">
        <is>
          <t>Ciclo 5°–8°</t>
        </is>
      </c>
      <c r="X239" s="11">
        <f>IF(OR(IFERROR(INDEX('Datos - Catálogo TIMSS'!$I$5:$I$107,MATCH(K239,'Datos - Catálogo TIMSS'!$A$5:$A$107,0)),"No")="Sí",IFERROR(INDEX('Datos - Catálogo TIMSS'!$I$5:$I$107,MATCH(L239,'Datos - Catálogo TIMSS'!$A$5:$A$107,0)),"No")="Sí"),1,0)</f>
        <v/>
      </c>
      <c r="Y239" s="11">
        <f>IF(IFERROR(INDEX('Datos - Catálogo TIMSS'!$J$5:$J$107,MATCH(K239,'Datos - Catálogo TIMSS'!$A$5:$A$107,0)),"No")="Sí",1,0)</f>
        <v/>
      </c>
      <c r="Z239" s="11">
        <f>IF(IFERROR(INDEX('Datos - Catálogo TIMSS'!$J$5:$J$107,MATCH(L239,'Datos - Catálogo TIMSS'!$A$5:$A$107,0)),"No")="Sí",1,0)</f>
        <v/>
      </c>
      <c r="AA239" s="11" t="inlineStr">
        <is>
          <t>T8-Q1.1</t>
        </is>
      </c>
      <c r="AB239" s="11" t="inlineStr"/>
      <c r="AC239" s="11">
        <f>IF(AA239="FUERA","Fuera del marco",IF(AA239="N/A","Sin marco",IFERROR(INDEX('Datos - TIMSS 2023'!$C$5:$C$105,MATCH(AA239,'Datos - TIMSS 2023'!$A$5:$A$105,0)),"Pendiente de clasificar")))</f>
        <v/>
      </c>
      <c r="AD239" s="11" t="inlineStr">
        <is>
          <t>1. Explicar fenómenos científicamente</t>
        </is>
      </c>
      <c r="AE239" s="11">
        <f>IF(AD239="","",IF(LEFT(AD239,1)="1","C1",IF(LEFT(AD239,1)="2","C2",IF(LEFT(AD239,1)="3","C3",""))))</f>
        <v/>
      </c>
      <c r="AF239" s="11" t="inlineStr">
        <is>
          <t>E1</t>
        </is>
      </c>
      <c r="AG239" s="11" t="inlineStr">
        <is>
          <t>D1</t>
        </is>
      </c>
      <c r="AH239" s="11" t="inlineStr">
        <is>
          <t>E4</t>
        </is>
      </c>
      <c r="AI239" s="11" t="inlineStr">
        <is>
          <t>E4</t>
        </is>
      </c>
      <c r="AJ239" s="11" t="inlineStr">
        <is>
          <t>E1</t>
        </is>
      </c>
      <c r="AK239" s="11" t="n"/>
      <c r="AL239" s="11" t="n"/>
      <c r="AM239" s="11" t="n"/>
      <c r="AN239" s="11" t="n"/>
      <c r="AO239" s="11" t="n"/>
      <c r="AP239" s="11" t="n"/>
      <c r="AQ239" s="11" t="n"/>
      <c r="AR239" s="11" t="n"/>
      <c r="AS239" s="11" t="n"/>
      <c r="AT239" s="11" t="n"/>
      <c r="AU239" s="11" t="n"/>
      <c r="AV239" s="11" t="n"/>
      <c r="AW239" s="11">
        <f>AF239&amp;"; "&amp;AG239&amp;"; "&amp;AH239&amp;"; "&amp;AI239&amp;"; "&amp;AJ239</f>
        <v/>
      </c>
    </row>
    <row r="240">
      <c r="A240" s="11" t="inlineStr">
        <is>
          <t>T0874-G05-CIE</t>
        </is>
      </c>
      <c r="B240" s="11" t="n">
        <v>5</v>
      </c>
      <c r="C240" s="11" t="inlineStr">
        <is>
          <t>Ciencias</t>
        </is>
      </c>
      <c r="D240" s="11" t="inlineStr">
        <is>
          <t>Matriz_Ciencias_5to_Grado_U1_U6.xlsx</t>
        </is>
      </c>
      <c r="E240" s="11" t="inlineStr">
        <is>
          <t>Unidad 3 - Estructura atómica</t>
        </is>
      </c>
      <c r="F240" s="11" t="n">
        <v>6</v>
      </c>
      <c r="G240" s="11" t="inlineStr">
        <is>
          <t>3. Estructura atómica.</t>
        </is>
      </c>
      <c r="H240" s="11" t="inlineStr">
        <is>
          <t>Teoría atómica.</t>
        </is>
      </c>
      <c r="I240" s="38" t="inlineStr">
        <is>
          <t>3.4. Modelación del comportamiento de las partículas subatómicas.</t>
        </is>
      </c>
      <c r="J240" s="11" t="inlineStr">
        <is>
          <t>T8_27</t>
        </is>
      </c>
      <c r="K240" s="11" t="inlineStr">
        <is>
          <t>T8_27-C1.1</t>
        </is>
      </c>
      <c r="L240" s="11" t="inlineStr"/>
      <c r="M240" s="11">
        <f>IF(K240="FUERA","Fuera del marco",IF(K240="N/A","Sin marco",IFERROR(INDEX('Datos - Catálogo TIMSS'!$C$5:$C$107,MATCH(K240,'Datos - Catálogo TIMSS'!$A$5:$A$107,0)),"Pendiente de clasificar")))</f>
        <v/>
      </c>
      <c r="N240" s="11">
        <f>IF(K240="FUERA","Fuera del marco",IF(K240="N/A","Sin marco",IFERROR(INDEX('Datos - Catálogo TIMSS'!$F$5:$F$107,MATCH(K240,'Datos - Catálogo TIMSS'!$A$5:$A$107,0)),"Pendiente de clasificar")))</f>
        <v/>
      </c>
      <c r="O240" s="11">
        <f>IF(L240="","",IFERROR(INDEX('Datos - Catálogo TIMSS'!$C$5:$C$107,MATCH(L240,'Datos - Catálogo TIMSS'!$A$5:$A$107,0)),"?"))</f>
        <v/>
      </c>
      <c r="P240" s="11" t="inlineStr">
        <is>
          <t>alta</t>
        </is>
      </c>
      <c r="Q240" s="38" t="inlineStr">
        <is>
          <t>Comportamiento de partículas subatómicas en simulador.</t>
        </is>
      </c>
      <c r="R240" s="38" t="inlineStr">
        <is>
          <t>Aplicar: usar modelos y simulaciones</t>
        </is>
      </c>
      <c r="S240" s="39">
        <f>IFERROR(ISNUMBER(SEARCH("Conocer",$R240))/(ISNUMBER(SEARCH("Conocer",$R240))+ISNUMBER(SEARCH("Aplicar",$R240))+ISNUMBER(SEARCH("Razonar",$R240))),0)</f>
        <v/>
      </c>
      <c r="T240" s="39">
        <f>IFERROR(ISNUMBER(SEARCH("Aplicar",$R240))/(ISNUMBER(SEARCH("Conocer",$R240))+ISNUMBER(SEARCH("Aplicar",$R240))+ISNUMBER(SEARCH("Razonar",$R240))),0)</f>
        <v/>
      </c>
      <c r="U240" s="39">
        <f>IFERROR(ISNUMBER(SEARCH("Razonar",$R240))/(ISNUMBER(SEARCH("Conocer",$R240))+ISNUMBER(SEARCH("Aplicar",$R240))+ISNUMBER(SEARCH("Razonar",$R240))),0)</f>
        <v/>
      </c>
      <c r="V240" s="11" t="inlineStr">
        <is>
          <t>5°</t>
        </is>
      </c>
      <c r="W240" s="11" t="inlineStr">
        <is>
          <t>Ciclo 5°–8°</t>
        </is>
      </c>
      <c r="X240" s="11">
        <f>IF(OR(IFERROR(INDEX('Datos - Catálogo TIMSS'!$I$5:$I$107,MATCH(K240,'Datos - Catálogo TIMSS'!$A$5:$A$107,0)),"No")="Sí",IFERROR(INDEX('Datos - Catálogo TIMSS'!$I$5:$I$107,MATCH(L240,'Datos - Catálogo TIMSS'!$A$5:$A$107,0)),"No")="Sí"),1,0)</f>
        <v/>
      </c>
      <c r="Y240" s="11">
        <f>IF(IFERROR(INDEX('Datos - Catálogo TIMSS'!$J$5:$J$107,MATCH(K240,'Datos - Catálogo TIMSS'!$A$5:$A$107,0)),"No")="Sí",1,0)</f>
        <v/>
      </c>
      <c r="Z240" s="11">
        <f>IF(IFERROR(INDEX('Datos - Catálogo TIMSS'!$J$5:$J$107,MATCH(L240,'Datos - Catálogo TIMSS'!$A$5:$A$107,0)),"No")="Sí",1,0)</f>
        <v/>
      </c>
      <c r="AA240" s="11" t="inlineStr">
        <is>
          <t>T8-Q1.1</t>
        </is>
      </c>
      <c r="AB240" s="11" t="inlineStr"/>
      <c r="AC240" s="11">
        <f>IF(AA240="FUERA","Fuera del marco",IF(AA240="N/A","Sin marco",IFERROR(INDEX('Datos - TIMSS 2023'!$C$5:$C$105,MATCH(AA240,'Datos - TIMSS 2023'!$A$5:$A$105,0)),"Pendiente de clasificar")))</f>
        <v/>
      </c>
      <c r="AD240" s="11" t="inlineStr">
        <is>
          <t>1. Explicar fenómenos científicamente</t>
        </is>
      </c>
      <c r="AE240" s="11">
        <f>IF(AD240="","",IF(LEFT(AD240,1)="1","C1",IF(LEFT(AD240,1)="2","C2",IF(LEFT(AD240,1)="3","C3",""))))</f>
        <v/>
      </c>
      <c r="AF240" s="11" t="inlineStr">
        <is>
          <t>E1</t>
        </is>
      </c>
      <c r="AG240" s="11" t="inlineStr">
        <is>
          <t>D1</t>
        </is>
      </c>
      <c r="AH240" s="11" t="inlineStr">
        <is>
          <t>E4</t>
        </is>
      </c>
      <c r="AI240" s="11" t="inlineStr">
        <is>
          <t>E4</t>
        </is>
      </c>
      <c r="AJ240" s="11" t="inlineStr">
        <is>
          <t>E3</t>
        </is>
      </c>
      <c r="AK240" s="11" t="n"/>
      <c r="AL240" s="11" t="n"/>
      <c r="AM240" s="11" t="n"/>
      <c r="AN240" s="11" t="n"/>
      <c r="AO240" s="11" t="n"/>
      <c r="AP240" s="11" t="n"/>
      <c r="AQ240" s="11" t="n"/>
      <c r="AR240" s="11" t="n"/>
      <c r="AS240" s="11" t="n"/>
      <c r="AT240" s="11" t="n"/>
      <c r="AU240" s="11" t="n"/>
      <c r="AV240" s="11" t="n"/>
      <c r="AW240" s="11">
        <f>AF240&amp;"; "&amp;AG240&amp;"; "&amp;AH240&amp;"; "&amp;AI240&amp;"; "&amp;AJ240</f>
        <v/>
      </c>
    </row>
    <row r="241">
      <c r="A241" s="11" t="inlineStr">
        <is>
          <t>T0875-G05-CIE</t>
        </is>
      </c>
      <c r="B241" s="11" t="n">
        <v>5</v>
      </c>
      <c r="C241" s="11" t="inlineStr">
        <is>
          <t>Ciencias</t>
        </is>
      </c>
      <c r="D241" s="11" t="inlineStr">
        <is>
          <t>Matriz_Ciencias_5to_Grado_U1_U6.xlsx</t>
        </is>
      </c>
      <c r="E241" s="11" t="inlineStr">
        <is>
          <t>Unidad 3 - Estructura atómica</t>
        </is>
      </c>
      <c r="F241" s="11" t="n">
        <v>7</v>
      </c>
      <c r="G241" s="11" t="inlineStr">
        <is>
          <t>3. Estructura atómica.</t>
        </is>
      </c>
      <c r="H241" s="11" t="inlineStr">
        <is>
          <t>Teoría atómica.</t>
        </is>
      </c>
      <c r="I241" s="38" t="inlineStr">
        <is>
          <t>3.5. Determinación de los números atómico y másico.</t>
        </is>
      </c>
      <c r="J241" s="11" t="inlineStr">
        <is>
          <t>T8_27</t>
        </is>
      </c>
      <c r="K241" s="11" t="inlineStr">
        <is>
          <t>T8_27-C1.1</t>
        </is>
      </c>
      <c r="L241" s="11" t="inlineStr">
        <is>
          <t>T8_27-C1.3</t>
        </is>
      </c>
      <c r="M241" s="11">
        <f>IF(K241="FUERA","Fuera del marco",IF(K241="N/A","Sin marco",IFERROR(INDEX('Datos - Catálogo TIMSS'!$C$5:$C$107,MATCH(K241,'Datos - Catálogo TIMSS'!$A$5:$A$107,0)),"Pendiente de clasificar")))</f>
        <v/>
      </c>
      <c r="N241" s="11">
        <f>IF(K241="FUERA","Fuera del marco",IF(K241="N/A","Sin marco",IFERROR(INDEX('Datos - Catálogo TIMSS'!$F$5:$F$107,MATCH(K241,'Datos - Catálogo TIMSS'!$A$5:$A$107,0)),"Pendiente de clasificar")))</f>
        <v/>
      </c>
      <c r="O241" s="11">
        <f>IF(L241="","",IFERROR(INDEX('Datos - Catálogo TIMSS'!$C$5:$C$107,MATCH(L241,'Datos - Catálogo TIMSS'!$A$5:$A$107,0)),"?"))</f>
        <v/>
      </c>
      <c r="P241" s="11" t="inlineStr">
        <is>
          <t>media</t>
        </is>
      </c>
      <c r="Q241" s="38" t="inlineStr">
        <is>
          <t>Número atómico y másico; protones ordenan la tabla periódica.</t>
        </is>
      </c>
      <c r="R241" s="38" t="inlineStr">
        <is>
          <t>Aplicar: calcular</t>
        </is>
      </c>
      <c r="S241" s="39">
        <f>IFERROR(ISNUMBER(SEARCH("Conocer",$R241))/(ISNUMBER(SEARCH("Conocer",$R241))+ISNUMBER(SEARCH("Aplicar",$R241))+ISNUMBER(SEARCH("Razonar",$R241))),0)</f>
        <v/>
      </c>
      <c r="T241" s="39">
        <f>IFERROR(ISNUMBER(SEARCH("Aplicar",$R241))/(ISNUMBER(SEARCH("Conocer",$R241))+ISNUMBER(SEARCH("Aplicar",$R241))+ISNUMBER(SEARCH("Razonar",$R241))),0)</f>
        <v/>
      </c>
      <c r="U241" s="39">
        <f>IFERROR(ISNUMBER(SEARCH("Razonar",$R241))/(ISNUMBER(SEARCH("Conocer",$R241))+ISNUMBER(SEARCH("Aplicar",$R241))+ISNUMBER(SEARCH("Razonar",$R241))),0)</f>
        <v/>
      </c>
      <c r="V241" s="11" t="inlineStr">
        <is>
          <t>5°</t>
        </is>
      </c>
      <c r="W241" s="11" t="inlineStr">
        <is>
          <t>Ciclo 5°–8°</t>
        </is>
      </c>
      <c r="X241" s="11">
        <f>IF(OR(IFERROR(INDEX('Datos - Catálogo TIMSS'!$I$5:$I$107,MATCH(K241,'Datos - Catálogo TIMSS'!$A$5:$A$107,0)),"No")="Sí",IFERROR(INDEX('Datos - Catálogo TIMSS'!$I$5:$I$107,MATCH(L241,'Datos - Catálogo TIMSS'!$A$5:$A$107,0)),"No")="Sí"),1,0)</f>
        <v/>
      </c>
      <c r="Y241" s="11">
        <f>IF(IFERROR(INDEX('Datos - Catálogo TIMSS'!$J$5:$J$107,MATCH(K241,'Datos - Catálogo TIMSS'!$A$5:$A$107,0)),"No")="Sí",1,0)</f>
        <v/>
      </c>
      <c r="Z241" s="11">
        <f>IF(IFERROR(INDEX('Datos - Catálogo TIMSS'!$J$5:$J$107,MATCH(L241,'Datos - Catálogo TIMSS'!$A$5:$A$107,0)),"No")="Sí",1,0)</f>
        <v/>
      </c>
      <c r="AA241" s="11" t="inlineStr">
        <is>
          <t>T8-Q1.1</t>
        </is>
      </c>
      <c r="AB241" s="11" t="inlineStr">
        <is>
          <t>T8-Q1.3</t>
        </is>
      </c>
      <c r="AC241" s="11">
        <f>IF(AA241="FUERA","Fuera del marco",IF(AA241="N/A","Sin marco",IFERROR(INDEX('Datos - TIMSS 2023'!$C$5:$C$105,MATCH(AA241,'Datos - TIMSS 2023'!$A$5:$A$105,0)),"Pendiente de clasificar")))</f>
        <v/>
      </c>
      <c r="AD241" s="11" t="inlineStr">
        <is>
          <t>2. Construir y evaluar diseños para la indagación científica e interpretar datos y evidencia de forma crítica</t>
        </is>
      </c>
      <c r="AE241" s="11">
        <f>IF(AD241="","",IF(LEFT(AD241,1)="1","C1",IF(LEFT(AD241,1)="2","C2",IF(LEFT(AD241,1)="3","C3",""))))</f>
        <v/>
      </c>
      <c r="AF241" s="11" t="inlineStr">
        <is>
          <t>E1</t>
        </is>
      </c>
      <c r="AG241" s="11" t="inlineStr">
        <is>
          <t>D1</t>
        </is>
      </c>
      <c r="AH241" s="11" t="inlineStr">
        <is>
          <t>E1</t>
        </is>
      </c>
      <c r="AI241" s="11" t="inlineStr">
        <is>
          <t>D4</t>
        </is>
      </c>
      <c r="AJ241" s="11" t="inlineStr">
        <is>
          <t>E3</t>
        </is>
      </c>
      <c r="AK241" s="11" t="n"/>
      <c r="AL241" s="11" t="n"/>
      <c r="AM241" s="11" t="n"/>
      <c r="AN241" s="11" t="n"/>
      <c r="AO241" s="11" t="n"/>
      <c r="AP241" s="11" t="n"/>
      <c r="AQ241" s="11" t="n"/>
      <c r="AR241" s="11" t="n"/>
      <c r="AS241" s="11" t="n"/>
      <c r="AT241" s="11" t="n"/>
      <c r="AU241" s="11" t="n"/>
      <c r="AV241" s="11" t="n"/>
      <c r="AW241" s="11">
        <f>AF241&amp;"; "&amp;AG241&amp;"; "&amp;AH241&amp;"; "&amp;AI241&amp;"; "&amp;AJ241</f>
        <v/>
      </c>
    </row>
    <row r="242">
      <c r="A242" s="11" t="inlineStr">
        <is>
          <t>T0876-G05-CIE</t>
        </is>
      </c>
      <c r="B242" s="11" t="n">
        <v>5</v>
      </c>
      <c r="C242" s="11" t="inlineStr">
        <is>
          <t>Ciencias</t>
        </is>
      </c>
      <c r="D242" s="11" t="inlineStr">
        <is>
          <t>Matriz_Ciencias_5to_Grado_U1_U6.xlsx</t>
        </is>
      </c>
      <c r="E242" s="11" t="inlineStr">
        <is>
          <t>Unidad 3 - Estructura atómica</t>
        </is>
      </c>
      <c r="F242" s="11" t="n">
        <v>8</v>
      </c>
      <c r="G242" s="11" t="inlineStr">
        <is>
          <t>3. Estructura atómica.</t>
        </is>
      </c>
      <c r="H242" s="11" t="inlineStr">
        <is>
          <t>Tipos de transferencia de carga.</t>
        </is>
      </c>
      <c r="I242" s="38" t="inlineStr">
        <is>
          <t>3.6. Identificación de los tipos de transferencia de carga.</t>
        </is>
      </c>
      <c r="J242" s="11" t="inlineStr">
        <is>
          <t>T8_27</t>
        </is>
      </c>
      <c r="K242" s="11" t="inlineStr">
        <is>
          <t>T8_27-C1.1</t>
        </is>
      </c>
      <c r="L242" s="11" t="inlineStr"/>
      <c r="M242" s="11">
        <f>IF(K242="FUERA","Fuera del marco",IF(K242="N/A","Sin marco",IFERROR(INDEX('Datos - Catálogo TIMSS'!$C$5:$C$107,MATCH(K242,'Datos - Catálogo TIMSS'!$A$5:$A$107,0)),"Pendiente de clasificar")))</f>
        <v/>
      </c>
      <c r="N242" s="11">
        <f>IF(K242="FUERA","Fuera del marco",IF(K242="N/A","Sin marco",IFERROR(INDEX('Datos - Catálogo TIMSS'!$F$5:$F$107,MATCH(K242,'Datos - Catálogo TIMSS'!$A$5:$A$107,0)),"Pendiente de clasificar")))</f>
        <v/>
      </c>
      <c r="O242" s="11">
        <f>IF(L242="","",IFERROR(INDEX('Datos - Catálogo TIMSS'!$C$5:$C$107,MATCH(L242,'Datos - Catálogo TIMSS'!$A$5:$A$107,0)),"?"))</f>
        <v/>
      </c>
      <c r="P242" s="11" t="inlineStr">
        <is>
          <t>baja</t>
        </is>
      </c>
      <c r="Q242" s="38" t="inlineStr">
        <is>
          <t>Electrización por transferencia de electrones; electrostática no figura explícitamente.</t>
        </is>
      </c>
      <c r="R242" s="38" t="inlineStr">
        <is>
          <t>Aplicar: identificar. Razonar: comprobar</t>
        </is>
      </c>
      <c r="S242" s="39">
        <f>IFERROR(ISNUMBER(SEARCH("Conocer",$R242))/(ISNUMBER(SEARCH("Conocer",$R242))+ISNUMBER(SEARCH("Aplicar",$R242))+ISNUMBER(SEARCH("Razonar",$R242))),0)</f>
        <v/>
      </c>
      <c r="T242" s="39">
        <f>IFERROR(ISNUMBER(SEARCH("Aplicar",$R242))/(ISNUMBER(SEARCH("Conocer",$R242))+ISNUMBER(SEARCH("Aplicar",$R242))+ISNUMBER(SEARCH("Razonar",$R242))),0)</f>
        <v/>
      </c>
      <c r="U242" s="39">
        <f>IFERROR(ISNUMBER(SEARCH("Razonar",$R242))/(ISNUMBER(SEARCH("Conocer",$R242))+ISNUMBER(SEARCH("Aplicar",$R242))+ISNUMBER(SEARCH("Razonar",$R242))),0)</f>
        <v/>
      </c>
      <c r="V242" s="11" t="inlineStr">
        <is>
          <t>5°</t>
        </is>
      </c>
      <c r="W242" s="11" t="inlineStr">
        <is>
          <t>Ciclo 5°–8°</t>
        </is>
      </c>
      <c r="X242" s="11">
        <f>IF(OR(IFERROR(INDEX('Datos - Catálogo TIMSS'!$I$5:$I$107,MATCH(K242,'Datos - Catálogo TIMSS'!$A$5:$A$107,0)),"No")="Sí",IFERROR(INDEX('Datos - Catálogo TIMSS'!$I$5:$I$107,MATCH(L242,'Datos - Catálogo TIMSS'!$A$5:$A$107,0)),"No")="Sí"),1,0)</f>
        <v/>
      </c>
      <c r="Y242" s="11">
        <f>IF(IFERROR(INDEX('Datos - Catálogo TIMSS'!$J$5:$J$107,MATCH(K242,'Datos - Catálogo TIMSS'!$A$5:$A$107,0)),"No")="Sí",1,0)</f>
        <v/>
      </c>
      <c r="Z242" s="11">
        <f>IF(IFERROR(INDEX('Datos - Catálogo TIMSS'!$J$5:$J$107,MATCH(L242,'Datos - Catálogo TIMSS'!$A$5:$A$107,0)),"No")="Sí",1,0)</f>
        <v/>
      </c>
      <c r="AA242" s="11" t="inlineStr">
        <is>
          <t>T8-Q1.1</t>
        </is>
      </c>
      <c r="AB242" s="11" t="inlineStr"/>
      <c r="AC242" s="11">
        <f>IF(AA242="FUERA","Fuera del marco",IF(AA242="N/A","Sin marco",IFERROR(INDEX('Datos - TIMSS 2023'!$C$5:$C$105,MATCH(AA242,'Datos - TIMSS 2023'!$A$5:$A$105,0)),"Pendiente de clasificar")))</f>
        <v/>
      </c>
      <c r="AD242" s="11" t="inlineStr">
        <is>
          <t>2. Construir y evaluar diseños para la indagación científica e interpretar datos y evidencia de forma crítica</t>
        </is>
      </c>
      <c r="AE242" s="11">
        <f>IF(AD242="","",IF(LEFT(AD242,1)="1","C1",IF(LEFT(AD242,1)="2","C2",IF(LEFT(AD242,1)="3","C3",""))))</f>
        <v/>
      </c>
      <c r="AF242" s="11" t="inlineStr">
        <is>
          <t>E1</t>
        </is>
      </c>
      <c r="AG242" s="11" t="inlineStr">
        <is>
          <t>E5</t>
        </is>
      </c>
      <c r="AH242" s="11" t="inlineStr">
        <is>
          <t>E1</t>
        </is>
      </c>
      <c r="AI242" s="11" t="inlineStr">
        <is>
          <t>D2</t>
        </is>
      </c>
      <c r="AJ242" s="11" t="inlineStr">
        <is>
          <t>E6</t>
        </is>
      </c>
      <c r="AK242" s="11" t="n"/>
      <c r="AL242" s="11" t="n"/>
      <c r="AM242" s="11" t="n"/>
      <c r="AN242" s="11" t="n"/>
      <c r="AO242" s="11" t="n"/>
      <c r="AP242" s="11" t="n"/>
      <c r="AQ242" s="11" t="n"/>
      <c r="AR242" s="11" t="n"/>
      <c r="AS242" s="11" t="n"/>
      <c r="AT242" s="11" t="n"/>
      <c r="AU242" s="11" t="n"/>
      <c r="AV242" s="11" t="n"/>
      <c r="AW242" s="11">
        <f>AF242&amp;"; "&amp;AG242&amp;"; "&amp;AH242&amp;"; "&amp;AI242&amp;"; "&amp;AJ242</f>
        <v/>
      </c>
    </row>
    <row r="243">
      <c r="A243" s="11" t="inlineStr">
        <is>
          <t>T0877-G05-CIE</t>
        </is>
      </c>
      <c r="B243" s="11" t="n">
        <v>5</v>
      </c>
      <c r="C243" s="11" t="inlineStr">
        <is>
          <t>Ciencias</t>
        </is>
      </c>
      <c r="D243" s="11" t="inlineStr">
        <is>
          <t>Matriz_Ciencias_5to_Grado_U1_U6.xlsx</t>
        </is>
      </c>
      <c r="E243" s="11" t="inlineStr">
        <is>
          <t>Unidad 3 - Estructura atómica</t>
        </is>
      </c>
      <c r="F243" s="11" t="n">
        <v>9</v>
      </c>
      <c r="G243" s="11" t="inlineStr">
        <is>
          <t>3. Estructura atómica.</t>
        </is>
      </c>
      <c r="H243" s="11" t="inlineStr">
        <is>
          <t>Tipos de transferencia de carga.</t>
        </is>
      </c>
      <c r="I243" s="38" t="inlineStr">
        <is>
          <t>3.7. Deducción de la formación de iones monoatómicos.</t>
        </is>
      </c>
      <c r="J243" s="11" t="inlineStr">
        <is>
          <t>T8_27</t>
        </is>
      </c>
      <c r="K243" s="11" t="inlineStr">
        <is>
          <t>T8_27-C1.1</t>
        </is>
      </c>
      <c r="L243" s="11" t="inlineStr"/>
      <c r="M243" s="11">
        <f>IF(K243="FUERA","Fuera del marco",IF(K243="N/A","Sin marco",IFERROR(INDEX('Datos - Catálogo TIMSS'!$C$5:$C$107,MATCH(K243,'Datos - Catálogo TIMSS'!$A$5:$A$107,0)),"Pendiente de clasificar")))</f>
        <v/>
      </c>
      <c r="N243" s="11">
        <f>IF(K243="FUERA","Fuera del marco",IF(K243="N/A","Sin marco",IFERROR(INDEX('Datos - Catálogo TIMSS'!$F$5:$F$107,MATCH(K243,'Datos - Catálogo TIMSS'!$A$5:$A$107,0)),"Pendiente de clasificar")))</f>
        <v/>
      </c>
      <c r="O243" s="11">
        <f>IF(L243="","",IFERROR(INDEX('Datos - Catálogo TIMSS'!$C$5:$C$107,MATCH(L243,'Datos - Catálogo TIMSS'!$A$5:$A$107,0)),"?"))</f>
        <v/>
      </c>
      <c r="P243" s="11" t="inlineStr">
        <is>
          <t>media</t>
        </is>
      </c>
      <c r="Q243" s="38" t="inlineStr">
        <is>
          <t>Formación de iones por ganancia o pérdida de electrones.</t>
        </is>
      </c>
      <c r="R243" s="38" t="inlineStr">
        <is>
          <t>Aplicar: usar modelos. Razonar: deducir</t>
        </is>
      </c>
      <c r="S243" s="39">
        <f>IFERROR(ISNUMBER(SEARCH("Conocer",$R243))/(ISNUMBER(SEARCH("Conocer",$R243))+ISNUMBER(SEARCH("Aplicar",$R243))+ISNUMBER(SEARCH("Razonar",$R243))),0)</f>
        <v/>
      </c>
      <c r="T243" s="39">
        <f>IFERROR(ISNUMBER(SEARCH("Aplicar",$R243))/(ISNUMBER(SEARCH("Conocer",$R243))+ISNUMBER(SEARCH("Aplicar",$R243))+ISNUMBER(SEARCH("Razonar",$R243))),0)</f>
        <v/>
      </c>
      <c r="U243" s="39">
        <f>IFERROR(ISNUMBER(SEARCH("Razonar",$R243))/(ISNUMBER(SEARCH("Conocer",$R243))+ISNUMBER(SEARCH("Aplicar",$R243))+ISNUMBER(SEARCH("Razonar",$R243))),0)</f>
        <v/>
      </c>
      <c r="V243" s="11" t="inlineStr">
        <is>
          <t>5°</t>
        </is>
      </c>
      <c r="W243" s="11" t="inlineStr">
        <is>
          <t>Ciclo 5°–8°</t>
        </is>
      </c>
      <c r="X243" s="11">
        <f>IF(OR(IFERROR(INDEX('Datos - Catálogo TIMSS'!$I$5:$I$107,MATCH(K243,'Datos - Catálogo TIMSS'!$A$5:$A$107,0)),"No")="Sí",IFERROR(INDEX('Datos - Catálogo TIMSS'!$I$5:$I$107,MATCH(L243,'Datos - Catálogo TIMSS'!$A$5:$A$107,0)),"No")="Sí"),1,0)</f>
        <v/>
      </c>
      <c r="Y243" s="11">
        <f>IF(IFERROR(INDEX('Datos - Catálogo TIMSS'!$J$5:$J$107,MATCH(K243,'Datos - Catálogo TIMSS'!$A$5:$A$107,0)),"No")="Sí",1,0)</f>
        <v/>
      </c>
      <c r="Z243" s="11">
        <f>IF(IFERROR(INDEX('Datos - Catálogo TIMSS'!$J$5:$J$107,MATCH(L243,'Datos - Catálogo TIMSS'!$A$5:$A$107,0)),"No")="Sí",1,0)</f>
        <v/>
      </c>
      <c r="AA243" s="11" t="inlineStr">
        <is>
          <t>T8-Q1.1</t>
        </is>
      </c>
      <c r="AB243" s="11" t="inlineStr">
        <is>
          <t>T8-Q3.3</t>
        </is>
      </c>
      <c r="AC243" s="11">
        <f>IF(AA243="FUERA","Fuera del marco",IF(AA243="N/A","Sin marco",IFERROR(INDEX('Datos - TIMSS 2023'!$C$5:$C$105,MATCH(AA243,'Datos - TIMSS 2023'!$A$5:$A$105,0)),"Pendiente de clasificar")))</f>
        <v/>
      </c>
      <c r="AD243" s="11" t="inlineStr">
        <is>
          <t>1. Explicar fenómenos científicamente</t>
        </is>
      </c>
      <c r="AE243" s="11">
        <f>IF(AD243="","",IF(LEFT(AD243,1)="1","C1",IF(LEFT(AD243,1)="2","C2",IF(LEFT(AD243,1)="3","C3",""))))</f>
        <v/>
      </c>
      <c r="AF243" s="11" t="inlineStr">
        <is>
          <t>E1</t>
        </is>
      </c>
      <c r="AG243" s="11" t="inlineStr">
        <is>
          <t>D1</t>
        </is>
      </c>
      <c r="AH243" s="11" t="inlineStr">
        <is>
          <t>E4</t>
        </is>
      </c>
      <c r="AI243" s="11" t="inlineStr">
        <is>
          <t>D4</t>
        </is>
      </c>
      <c r="AJ243" s="11" t="inlineStr">
        <is>
          <t>E1</t>
        </is>
      </c>
      <c r="AK243" s="11" t="n"/>
      <c r="AL243" s="11" t="n"/>
      <c r="AM243" s="11" t="n"/>
      <c r="AN243" s="11" t="n"/>
      <c r="AO243" s="11" t="n"/>
      <c r="AP243" s="11" t="n"/>
      <c r="AQ243" s="11" t="n"/>
      <c r="AR243" s="11" t="n"/>
      <c r="AS243" s="11" t="n"/>
      <c r="AT243" s="11" t="n"/>
      <c r="AU243" s="11" t="n"/>
      <c r="AV243" s="11" t="n"/>
      <c r="AW243" s="11">
        <f>AF243&amp;"; "&amp;AG243&amp;"; "&amp;AH243&amp;"; "&amp;AI243&amp;"; "&amp;AJ243</f>
        <v/>
      </c>
    </row>
    <row r="244">
      <c r="A244" s="11" t="inlineStr">
        <is>
          <t>T0878-G05-CIE</t>
        </is>
      </c>
      <c r="B244" s="11" t="n">
        <v>5</v>
      </c>
      <c r="C244" s="11" t="inlineStr">
        <is>
          <t>Ciencias</t>
        </is>
      </c>
      <c r="D244" s="11" t="inlineStr">
        <is>
          <t>Matriz_Ciencias_5to_Grado_U1_U6.xlsx</t>
        </is>
      </c>
      <c r="E244" s="11" t="inlineStr">
        <is>
          <t>Unidad 3 - Estructura atómica</t>
        </is>
      </c>
      <c r="F244" s="11" t="n">
        <v>10</v>
      </c>
      <c r="G244" s="11" t="inlineStr">
        <is>
          <t>3. Estructura atómica.</t>
        </is>
      </c>
      <c r="H244" s="11" t="inlineStr">
        <is>
          <t>Isótopos.</t>
        </is>
      </c>
      <c r="I244" s="38" t="inlineStr">
        <is>
          <t>3.8. Construcción del concepto de isótopo y sus aplicaciones.</t>
        </is>
      </c>
      <c r="J244" s="11" t="inlineStr">
        <is>
          <t>T8_27</t>
        </is>
      </c>
      <c r="K244" s="11" t="inlineStr">
        <is>
          <t>T8_27-C1.1</t>
        </is>
      </c>
      <c r="L244" s="11" t="inlineStr"/>
      <c r="M244" s="11">
        <f>IF(K244="FUERA","Fuera del marco",IF(K244="N/A","Sin marco",IFERROR(INDEX('Datos - Catálogo TIMSS'!$C$5:$C$107,MATCH(K244,'Datos - Catálogo TIMSS'!$A$5:$A$107,0)),"Pendiente de clasificar")))</f>
        <v/>
      </c>
      <c r="N244" s="11">
        <f>IF(K244="FUERA","Fuera del marco",IF(K244="N/A","Sin marco",IFERROR(INDEX('Datos - Catálogo TIMSS'!$F$5:$F$107,MATCH(K244,'Datos - Catálogo TIMSS'!$A$5:$A$107,0)),"Pendiente de clasificar")))</f>
        <v/>
      </c>
      <c r="O244" s="11">
        <f>IF(L244="","",IFERROR(INDEX('Datos - Catálogo TIMSS'!$C$5:$C$107,MATCH(L244,'Datos - Catálogo TIMSS'!$A$5:$A$107,0)),"?"))</f>
        <v/>
      </c>
      <c r="P244" s="11" t="inlineStr">
        <is>
          <t>media</t>
        </is>
      </c>
      <c r="Q244" s="38" t="inlineStr">
        <is>
          <t>Isótopos según neutrones del núcleo; nivel superior a TIMSS.</t>
        </is>
      </c>
      <c r="R244" s="38" t="inlineStr">
        <is>
          <t>Conocer: definir. Razonar: evaluar información</t>
        </is>
      </c>
      <c r="S244" s="39">
        <f>IFERROR(ISNUMBER(SEARCH("Conocer",$R244))/(ISNUMBER(SEARCH("Conocer",$R244))+ISNUMBER(SEARCH("Aplicar",$R244))+ISNUMBER(SEARCH("Razonar",$R244))),0)</f>
        <v/>
      </c>
      <c r="T244" s="39">
        <f>IFERROR(ISNUMBER(SEARCH("Aplicar",$R244))/(ISNUMBER(SEARCH("Conocer",$R244))+ISNUMBER(SEARCH("Aplicar",$R244))+ISNUMBER(SEARCH("Razonar",$R244))),0)</f>
        <v/>
      </c>
      <c r="U244" s="39">
        <f>IFERROR(ISNUMBER(SEARCH("Razonar",$R244))/(ISNUMBER(SEARCH("Conocer",$R244))+ISNUMBER(SEARCH("Aplicar",$R244))+ISNUMBER(SEARCH("Razonar",$R244))),0)</f>
        <v/>
      </c>
      <c r="V244" s="11" t="inlineStr">
        <is>
          <t>5°</t>
        </is>
      </c>
      <c r="W244" s="11" t="inlineStr">
        <is>
          <t>Ciclo 5°–8°</t>
        </is>
      </c>
      <c r="X244" s="11">
        <f>IF(OR(IFERROR(INDEX('Datos - Catálogo TIMSS'!$I$5:$I$107,MATCH(K244,'Datos - Catálogo TIMSS'!$A$5:$A$107,0)),"No")="Sí",IFERROR(INDEX('Datos - Catálogo TIMSS'!$I$5:$I$107,MATCH(L244,'Datos - Catálogo TIMSS'!$A$5:$A$107,0)),"No")="Sí"),1,0)</f>
        <v/>
      </c>
      <c r="Y244" s="11">
        <f>IF(IFERROR(INDEX('Datos - Catálogo TIMSS'!$J$5:$J$107,MATCH(K244,'Datos - Catálogo TIMSS'!$A$5:$A$107,0)),"No")="Sí",1,0)</f>
        <v/>
      </c>
      <c r="Z244" s="11">
        <f>IF(IFERROR(INDEX('Datos - Catálogo TIMSS'!$J$5:$J$107,MATCH(L244,'Datos - Catálogo TIMSS'!$A$5:$A$107,0)),"No")="Sí",1,0)</f>
        <v/>
      </c>
      <c r="AA244" s="11" t="inlineStr">
        <is>
          <t>T8-Q1.1</t>
        </is>
      </c>
      <c r="AB244" s="11" t="inlineStr"/>
      <c r="AC244" s="11">
        <f>IF(AA244="FUERA","Fuera del marco",IF(AA244="N/A","Sin marco",IFERROR(INDEX('Datos - TIMSS 2023'!$C$5:$C$105,MATCH(AA244,'Datos - TIMSS 2023'!$A$5:$A$105,0)),"Pendiente de clasificar")))</f>
        <v/>
      </c>
      <c r="AD244" s="11" t="inlineStr">
        <is>
          <t>3. Investigar, evaluar y usar información científica para tomar decisiones y actuar</t>
        </is>
      </c>
      <c r="AE244" s="11">
        <f>IF(AD244="","",IF(LEFT(AD244,1)="1","C1",IF(LEFT(AD244,1)="2","C2",IF(LEFT(AD244,1)="3","C3",""))))</f>
        <v/>
      </c>
      <c r="AF244" s="11" t="inlineStr">
        <is>
          <t>E1</t>
        </is>
      </c>
      <c r="AG244" s="11" t="inlineStr">
        <is>
          <t>D1</t>
        </is>
      </c>
      <c r="AH244" s="11" t="inlineStr">
        <is>
          <t>E1</t>
        </is>
      </c>
      <c r="AI244" s="11" t="inlineStr">
        <is>
          <t>I2</t>
        </is>
      </c>
      <c r="AJ244" s="11" t="inlineStr">
        <is>
          <t>E6</t>
        </is>
      </c>
      <c r="AK244" s="11" t="n"/>
      <c r="AL244" s="11" t="n"/>
      <c r="AM244" s="11" t="n"/>
      <c r="AN244" s="11" t="n"/>
      <c r="AO244" s="11" t="n"/>
      <c r="AP244" s="11" t="n"/>
      <c r="AQ244" s="11" t="n"/>
      <c r="AR244" s="11" t="n"/>
      <c r="AS244" s="11" t="n"/>
      <c r="AT244" s="11" t="n"/>
      <c r="AU244" s="11" t="n"/>
      <c r="AV244" s="11" t="n"/>
      <c r="AW244" s="11">
        <f>AF244&amp;"; "&amp;AG244&amp;"; "&amp;AH244&amp;"; "&amp;AI244&amp;"; "&amp;AJ244</f>
        <v/>
      </c>
    </row>
    <row r="245">
      <c r="A245" s="11" t="inlineStr">
        <is>
          <t>T0879-G05-CIE</t>
        </is>
      </c>
      <c r="B245" s="11" t="n">
        <v>5</v>
      </c>
      <c r="C245" s="11" t="inlineStr">
        <is>
          <t>Ciencias</t>
        </is>
      </c>
      <c r="D245" s="11" t="inlineStr">
        <is>
          <t>Matriz_Ciencias_5to_Grado_U1_U6.xlsx</t>
        </is>
      </c>
      <c r="E245" s="11" t="inlineStr">
        <is>
          <t>Unidad 3 - Estructura atómica</t>
        </is>
      </c>
      <c r="F245" s="11" t="n">
        <v>11</v>
      </c>
      <c r="G245" s="11" t="inlineStr">
        <is>
          <t>3. Estructura atómica.</t>
        </is>
      </c>
      <c r="H245" s="11" t="inlineStr">
        <is>
          <t>Isótopos.</t>
        </is>
      </c>
      <c r="I245" s="38" t="inlineStr">
        <is>
          <t>3.9. Cuantificación de la masa atómica relativa de isótopos.</t>
        </is>
      </c>
      <c r="J245" s="11" t="inlineStr">
        <is>
          <t>T8_27</t>
        </is>
      </c>
      <c r="K245" s="11" t="inlineStr">
        <is>
          <t>T8_27-C1.1</t>
        </is>
      </c>
      <c r="L245" s="11" t="inlineStr"/>
      <c r="M245" s="11">
        <f>IF(K245="FUERA","Fuera del marco",IF(K245="N/A","Sin marco",IFERROR(INDEX('Datos - Catálogo TIMSS'!$C$5:$C$107,MATCH(K245,'Datos - Catálogo TIMSS'!$A$5:$A$107,0)),"Pendiente de clasificar")))</f>
        <v/>
      </c>
      <c r="N245" s="11">
        <f>IF(K245="FUERA","Fuera del marco",IF(K245="N/A","Sin marco",IFERROR(INDEX('Datos - Catálogo TIMSS'!$F$5:$F$107,MATCH(K245,'Datos - Catálogo TIMSS'!$A$5:$A$107,0)),"Pendiente de clasificar")))</f>
        <v/>
      </c>
      <c r="O245" s="11">
        <f>IF(L245="","",IFERROR(INDEX('Datos - Catálogo TIMSS'!$C$5:$C$107,MATCH(L245,'Datos - Catálogo TIMSS'!$A$5:$A$107,0)),"?"))</f>
        <v/>
      </c>
      <c r="P245" s="11" t="inlineStr">
        <is>
          <t>media</t>
        </is>
      </c>
      <c r="Q245" s="38" t="inlineStr">
        <is>
          <t>Masa atómica relativa de isótopos; estructura del átomo.</t>
        </is>
      </c>
      <c r="R245" s="38" t="inlineStr">
        <is>
          <t>Aplicar: calcular. Razonar: usar modelos</t>
        </is>
      </c>
      <c r="S245" s="39">
        <f>IFERROR(ISNUMBER(SEARCH("Conocer",$R245))/(ISNUMBER(SEARCH("Conocer",$R245))+ISNUMBER(SEARCH("Aplicar",$R245))+ISNUMBER(SEARCH("Razonar",$R245))),0)</f>
        <v/>
      </c>
      <c r="T245" s="39">
        <f>IFERROR(ISNUMBER(SEARCH("Aplicar",$R245))/(ISNUMBER(SEARCH("Conocer",$R245))+ISNUMBER(SEARCH("Aplicar",$R245))+ISNUMBER(SEARCH("Razonar",$R245))),0)</f>
        <v/>
      </c>
      <c r="U245" s="39">
        <f>IFERROR(ISNUMBER(SEARCH("Razonar",$R245))/(ISNUMBER(SEARCH("Conocer",$R245))+ISNUMBER(SEARCH("Aplicar",$R245))+ISNUMBER(SEARCH("Razonar",$R245))),0)</f>
        <v/>
      </c>
      <c r="V245" s="11" t="inlineStr">
        <is>
          <t>5°</t>
        </is>
      </c>
      <c r="W245" s="11" t="inlineStr">
        <is>
          <t>Ciclo 5°–8°</t>
        </is>
      </c>
      <c r="X245" s="11">
        <f>IF(OR(IFERROR(INDEX('Datos - Catálogo TIMSS'!$I$5:$I$107,MATCH(K245,'Datos - Catálogo TIMSS'!$A$5:$A$107,0)),"No")="Sí",IFERROR(INDEX('Datos - Catálogo TIMSS'!$I$5:$I$107,MATCH(L245,'Datos - Catálogo TIMSS'!$A$5:$A$107,0)),"No")="Sí"),1,0)</f>
        <v/>
      </c>
      <c r="Y245" s="11">
        <f>IF(IFERROR(INDEX('Datos - Catálogo TIMSS'!$J$5:$J$107,MATCH(K245,'Datos - Catálogo TIMSS'!$A$5:$A$107,0)),"No")="Sí",1,0)</f>
        <v/>
      </c>
      <c r="Z245" s="11">
        <f>IF(IFERROR(INDEX('Datos - Catálogo TIMSS'!$J$5:$J$107,MATCH(L245,'Datos - Catálogo TIMSS'!$A$5:$A$107,0)),"No")="Sí",1,0)</f>
        <v/>
      </c>
      <c r="AA245" s="11" t="inlineStr">
        <is>
          <t>T8-Q1.1</t>
        </is>
      </c>
      <c r="AB245" s="11" t="inlineStr"/>
      <c r="AC245" s="11">
        <f>IF(AA245="FUERA","Fuera del marco",IF(AA245="N/A","Sin marco",IFERROR(INDEX('Datos - TIMSS 2023'!$C$5:$C$105,MATCH(AA245,'Datos - TIMSS 2023'!$A$5:$A$105,0)),"Pendiente de clasificar")))</f>
        <v/>
      </c>
      <c r="AD245" s="11" t="inlineStr">
        <is>
          <t>2. Construir y evaluar diseños para la indagación científica e interpretar datos y evidencia de forma crítica</t>
        </is>
      </c>
      <c r="AE245" s="11">
        <f>IF(AD245="","",IF(LEFT(AD245,1)="1","C1",IF(LEFT(AD245,1)="2","C2",IF(LEFT(AD245,1)="3","C3",""))))</f>
        <v/>
      </c>
      <c r="AF245" s="11" t="inlineStr">
        <is>
          <t>E1</t>
        </is>
      </c>
      <c r="AG245" s="11" t="inlineStr">
        <is>
          <t>D1</t>
        </is>
      </c>
      <c r="AH245" s="11" t="inlineStr">
        <is>
          <t>E4</t>
        </is>
      </c>
      <c r="AI245" s="11" t="inlineStr">
        <is>
          <t>D4</t>
        </is>
      </c>
      <c r="AJ245" s="11" t="inlineStr">
        <is>
          <t>E3</t>
        </is>
      </c>
      <c r="AK245" s="11" t="n"/>
      <c r="AL245" s="11" t="n"/>
      <c r="AM245" s="11" t="n"/>
      <c r="AN245" s="11" t="n"/>
      <c r="AO245" s="11" t="n"/>
      <c r="AP245" s="11" t="n"/>
      <c r="AQ245" s="11" t="n"/>
      <c r="AR245" s="11" t="n"/>
      <c r="AS245" s="11" t="n"/>
      <c r="AT245" s="11" t="n"/>
      <c r="AU245" s="11" t="n"/>
      <c r="AV245" s="11" t="n"/>
      <c r="AW245" s="11">
        <f>AF245&amp;"; "&amp;AG245&amp;"; "&amp;AH245&amp;"; "&amp;AI245&amp;"; "&amp;AJ245</f>
        <v/>
      </c>
    </row>
    <row r="246">
      <c r="A246" s="11" t="inlineStr">
        <is>
          <t>T0880-G05-CIE</t>
        </is>
      </c>
      <c r="B246" s="11" t="n">
        <v>5</v>
      </c>
      <c r="C246" s="11" t="inlineStr">
        <is>
          <t>Ciencias</t>
        </is>
      </c>
      <c r="D246" s="11" t="inlineStr">
        <is>
          <t>Matriz_Ciencias_5to_Grado_U1_U6.xlsx</t>
        </is>
      </c>
      <c r="E246" s="11" t="inlineStr">
        <is>
          <t>Unidad 3 - Estructura atómica</t>
        </is>
      </c>
      <c r="F246" s="11" t="n">
        <v>12</v>
      </c>
      <c r="G246" s="11" t="inlineStr">
        <is>
          <t>3. Estructura atómica.</t>
        </is>
      </c>
      <c r="H246" s="11" t="inlineStr">
        <is>
          <t>Números cuánticos.</t>
        </is>
      </c>
      <c r="I246" s="38" t="inlineStr">
        <is>
          <t>3.10. Representación de la estructura atómica con su conjunto de números cuánticos.</t>
        </is>
      </c>
      <c r="J246" s="11" t="inlineStr">
        <is>
          <t>T8_27</t>
        </is>
      </c>
      <c r="K246" s="11" t="inlineStr">
        <is>
          <t>T8_27-C1.1</t>
        </is>
      </c>
      <c r="L246" s="11" t="inlineStr"/>
      <c r="M246" s="11">
        <f>IF(K246="FUERA","Fuera del marco",IF(K246="N/A","Sin marco",IFERROR(INDEX('Datos - Catálogo TIMSS'!$C$5:$C$107,MATCH(K246,'Datos - Catálogo TIMSS'!$A$5:$A$107,0)),"Pendiente de clasificar")))</f>
        <v/>
      </c>
      <c r="N246" s="11">
        <f>IF(K246="FUERA","Fuera del marco",IF(K246="N/A","Sin marco",IFERROR(INDEX('Datos - Catálogo TIMSS'!$F$5:$F$107,MATCH(K246,'Datos - Catálogo TIMSS'!$A$5:$A$107,0)),"Pendiente de clasificar")))</f>
        <v/>
      </c>
      <c r="O246" s="11">
        <f>IF(L246="","",IFERROR(INDEX('Datos - Catálogo TIMSS'!$C$5:$C$107,MATCH(L246,'Datos - Catálogo TIMSS'!$A$5:$A$107,0)),"?"))</f>
        <v/>
      </c>
      <c r="P246" s="11" t="inlineStr">
        <is>
          <t>media</t>
        </is>
      </c>
      <c r="Q246" s="38" t="inlineStr">
        <is>
          <t>Números cuánticos describen electrones; nivel superior a TIMSS.</t>
        </is>
      </c>
      <c r="R246" s="38" t="inlineStr">
        <is>
          <t>Aplicar: representar</t>
        </is>
      </c>
      <c r="S246" s="39">
        <f>IFERROR(ISNUMBER(SEARCH("Conocer",$R246))/(ISNUMBER(SEARCH("Conocer",$R246))+ISNUMBER(SEARCH("Aplicar",$R246))+ISNUMBER(SEARCH("Razonar",$R246))),0)</f>
        <v/>
      </c>
      <c r="T246" s="39">
        <f>IFERROR(ISNUMBER(SEARCH("Aplicar",$R246))/(ISNUMBER(SEARCH("Conocer",$R246))+ISNUMBER(SEARCH("Aplicar",$R246))+ISNUMBER(SEARCH("Razonar",$R246))),0)</f>
        <v/>
      </c>
      <c r="U246" s="39">
        <f>IFERROR(ISNUMBER(SEARCH("Razonar",$R246))/(ISNUMBER(SEARCH("Conocer",$R246))+ISNUMBER(SEARCH("Aplicar",$R246))+ISNUMBER(SEARCH("Razonar",$R246))),0)</f>
        <v/>
      </c>
      <c r="V246" s="11" t="inlineStr">
        <is>
          <t>5°</t>
        </is>
      </c>
      <c r="W246" s="11" t="inlineStr">
        <is>
          <t>Ciclo 5°–8°</t>
        </is>
      </c>
      <c r="X246" s="11">
        <f>IF(OR(IFERROR(INDEX('Datos - Catálogo TIMSS'!$I$5:$I$107,MATCH(K246,'Datos - Catálogo TIMSS'!$A$5:$A$107,0)),"No")="Sí",IFERROR(INDEX('Datos - Catálogo TIMSS'!$I$5:$I$107,MATCH(L246,'Datos - Catálogo TIMSS'!$A$5:$A$107,0)),"No")="Sí"),1,0)</f>
        <v/>
      </c>
      <c r="Y246" s="11">
        <f>IF(IFERROR(INDEX('Datos - Catálogo TIMSS'!$J$5:$J$107,MATCH(K246,'Datos - Catálogo TIMSS'!$A$5:$A$107,0)),"No")="Sí",1,0)</f>
        <v/>
      </c>
      <c r="Z246" s="11">
        <f>IF(IFERROR(INDEX('Datos - Catálogo TIMSS'!$J$5:$J$107,MATCH(L246,'Datos - Catálogo TIMSS'!$A$5:$A$107,0)),"No")="Sí",1,0)</f>
        <v/>
      </c>
      <c r="AA246" s="11" t="inlineStr">
        <is>
          <t>T8-Q1.1</t>
        </is>
      </c>
      <c r="AB246" s="11" t="inlineStr"/>
      <c r="AC246" s="11">
        <f>IF(AA246="FUERA","Fuera del marco",IF(AA246="N/A","Sin marco",IFERROR(INDEX('Datos - TIMSS 2023'!$C$5:$C$105,MATCH(AA246,'Datos - TIMSS 2023'!$A$5:$A$105,0)),"Pendiente de clasificar")))</f>
        <v/>
      </c>
      <c r="AD246" s="11" t="inlineStr">
        <is>
          <t>1. Explicar fenómenos científicamente</t>
        </is>
      </c>
      <c r="AE246" s="11">
        <f>IF(AD246="","",IF(LEFT(AD246,1)="1","C1",IF(LEFT(AD246,1)="2","C2",IF(LEFT(AD246,1)="3","C3",""))))</f>
        <v/>
      </c>
      <c r="AF246" s="11" t="inlineStr">
        <is>
          <t>E1</t>
        </is>
      </c>
      <c r="AG246" s="11" t="inlineStr">
        <is>
          <t>D1</t>
        </is>
      </c>
      <c r="AH246" s="11" t="inlineStr">
        <is>
          <t>E2</t>
        </is>
      </c>
      <c r="AI246" s="11" t="inlineStr">
        <is>
          <t>D4</t>
        </is>
      </c>
      <c r="AJ246" s="11" t="inlineStr">
        <is>
          <t>E1</t>
        </is>
      </c>
      <c r="AK246" s="11" t="n"/>
      <c r="AL246" s="11" t="n"/>
      <c r="AM246" s="11" t="n"/>
      <c r="AN246" s="11" t="n"/>
      <c r="AO246" s="11" t="n"/>
      <c r="AP246" s="11" t="n"/>
      <c r="AQ246" s="11" t="n"/>
      <c r="AR246" s="11" t="n"/>
      <c r="AS246" s="11" t="n"/>
      <c r="AT246" s="11" t="n"/>
      <c r="AU246" s="11" t="n"/>
      <c r="AV246" s="11" t="n"/>
      <c r="AW246" s="11">
        <f>AF246&amp;"; "&amp;AG246&amp;"; "&amp;AH246&amp;"; "&amp;AI246&amp;"; "&amp;AJ246</f>
        <v/>
      </c>
    </row>
    <row r="247">
      <c r="A247" s="11" t="inlineStr">
        <is>
          <t>T0881-G05-CIE</t>
        </is>
      </c>
      <c r="B247" s="11" t="n">
        <v>5</v>
      </c>
      <c r="C247" s="11" t="inlineStr">
        <is>
          <t>Ciencias</t>
        </is>
      </c>
      <c r="D247" s="11" t="inlineStr">
        <is>
          <t>Matriz_Ciencias_5to_Grado_U1_U6.xlsx</t>
        </is>
      </c>
      <c r="E247" s="11" t="inlineStr">
        <is>
          <t>Unidad 3 - Estructura atómica</t>
        </is>
      </c>
      <c r="F247" s="11" t="n">
        <v>13</v>
      </c>
      <c r="G247" s="11" t="inlineStr">
        <is>
          <t>3. Estructura atómica.</t>
        </is>
      </c>
      <c r="H247" s="11" t="inlineStr">
        <is>
          <t>Configuración electrónica.</t>
        </is>
      </c>
      <c r="I247" s="38" t="inlineStr">
        <is>
          <t>3.11. Representación de distintos tipos de configuraciones electrónicas.</t>
        </is>
      </c>
      <c r="J247" s="11" t="inlineStr">
        <is>
          <t>T8_27</t>
        </is>
      </c>
      <c r="K247" s="11" t="inlineStr">
        <is>
          <t>T8_27-C1.1</t>
        </is>
      </c>
      <c r="L247" s="11" t="inlineStr">
        <is>
          <t>T8_27-C1.3</t>
        </is>
      </c>
      <c r="M247" s="11">
        <f>IF(K247="FUERA","Fuera del marco",IF(K247="N/A","Sin marco",IFERROR(INDEX('Datos - Catálogo TIMSS'!$C$5:$C$107,MATCH(K247,'Datos - Catálogo TIMSS'!$A$5:$A$107,0)),"Pendiente de clasificar")))</f>
        <v/>
      </c>
      <c r="N247" s="11">
        <f>IF(K247="FUERA","Fuera del marco",IF(K247="N/A","Sin marco",IFERROR(INDEX('Datos - Catálogo TIMSS'!$F$5:$F$107,MATCH(K247,'Datos - Catálogo TIMSS'!$A$5:$A$107,0)),"Pendiente de clasificar")))</f>
        <v/>
      </c>
      <c r="O247" s="11">
        <f>IF(L247="","",IFERROR(INDEX('Datos - Catálogo TIMSS'!$C$5:$C$107,MATCH(L247,'Datos - Catálogo TIMSS'!$A$5:$A$107,0)),"?"))</f>
        <v/>
      </c>
      <c r="P247" s="11" t="inlineStr">
        <is>
          <t>media</t>
        </is>
      </c>
      <c r="Q247" s="38" t="inlineStr">
        <is>
          <t>Configuración electrónica vinculada a periodo y grupo.</t>
        </is>
      </c>
      <c r="R247" s="38" t="inlineStr">
        <is>
          <t>Aplicar: representar</t>
        </is>
      </c>
      <c r="S247" s="39">
        <f>IFERROR(ISNUMBER(SEARCH("Conocer",$R247))/(ISNUMBER(SEARCH("Conocer",$R247))+ISNUMBER(SEARCH("Aplicar",$R247))+ISNUMBER(SEARCH("Razonar",$R247))),0)</f>
        <v/>
      </c>
      <c r="T247" s="39">
        <f>IFERROR(ISNUMBER(SEARCH("Aplicar",$R247))/(ISNUMBER(SEARCH("Conocer",$R247))+ISNUMBER(SEARCH("Aplicar",$R247))+ISNUMBER(SEARCH("Razonar",$R247))),0)</f>
        <v/>
      </c>
      <c r="U247" s="39">
        <f>IFERROR(ISNUMBER(SEARCH("Razonar",$R247))/(ISNUMBER(SEARCH("Conocer",$R247))+ISNUMBER(SEARCH("Aplicar",$R247))+ISNUMBER(SEARCH("Razonar",$R247))),0)</f>
        <v/>
      </c>
      <c r="V247" s="11" t="inlineStr">
        <is>
          <t>5°</t>
        </is>
      </c>
      <c r="W247" s="11" t="inlineStr">
        <is>
          <t>Ciclo 5°–8°</t>
        </is>
      </c>
      <c r="X247" s="11">
        <f>IF(OR(IFERROR(INDEX('Datos - Catálogo TIMSS'!$I$5:$I$107,MATCH(K247,'Datos - Catálogo TIMSS'!$A$5:$A$107,0)),"No")="Sí",IFERROR(INDEX('Datos - Catálogo TIMSS'!$I$5:$I$107,MATCH(L247,'Datos - Catálogo TIMSS'!$A$5:$A$107,0)),"No")="Sí"),1,0)</f>
        <v/>
      </c>
      <c r="Y247" s="11">
        <f>IF(IFERROR(INDEX('Datos - Catálogo TIMSS'!$J$5:$J$107,MATCH(K247,'Datos - Catálogo TIMSS'!$A$5:$A$107,0)),"No")="Sí",1,0)</f>
        <v/>
      </c>
      <c r="Z247" s="11">
        <f>IF(IFERROR(INDEX('Datos - Catálogo TIMSS'!$J$5:$J$107,MATCH(L247,'Datos - Catálogo TIMSS'!$A$5:$A$107,0)),"No")="Sí",1,0)</f>
        <v/>
      </c>
      <c r="AA247" s="11" t="inlineStr">
        <is>
          <t>T8-Q1.1</t>
        </is>
      </c>
      <c r="AB247" s="11" t="inlineStr">
        <is>
          <t>T8-Q1.3</t>
        </is>
      </c>
      <c r="AC247" s="11">
        <f>IF(AA247="FUERA","Fuera del marco",IF(AA247="N/A","Sin marco",IFERROR(INDEX('Datos - TIMSS 2023'!$C$5:$C$105,MATCH(AA247,'Datos - TIMSS 2023'!$A$5:$A$105,0)),"Pendiente de clasificar")))</f>
        <v/>
      </c>
      <c r="AD247" s="11" t="inlineStr">
        <is>
          <t>1. Explicar fenómenos científicamente</t>
        </is>
      </c>
      <c r="AE247" s="11">
        <f>IF(AD247="","",IF(LEFT(AD247,1)="1","C1",IF(LEFT(AD247,1)="2","C2",IF(LEFT(AD247,1)="3","C3",""))))</f>
        <v/>
      </c>
      <c r="AF247" s="11" t="inlineStr">
        <is>
          <t>E1</t>
        </is>
      </c>
      <c r="AG247" s="11" t="inlineStr">
        <is>
          <t>D1</t>
        </is>
      </c>
      <c r="AH247" s="11" t="inlineStr">
        <is>
          <t>E2</t>
        </is>
      </c>
      <c r="AI247" s="11" t="inlineStr">
        <is>
          <t>D4</t>
        </is>
      </c>
      <c r="AJ247" s="11" t="inlineStr">
        <is>
          <t>E1</t>
        </is>
      </c>
      <c r="AK247" s="11" t="n"/>
      <c r="AL247" s="11" t="n"/>
      <c r="AM247" s="11" t="n"/>
      <c r="AN247" s="11" t="n"/>
      <c r="AO247" s="11" t="n"/>
      <c r="AP247" s="11" t="n"/>
      <c r="AQ247" s="11" t="n"/>
      <c r="AR247" s="11" t="n"/>
      <c r="AS247" s="11" t="n"/>
      <c r="AT247" s="11" t="n"/>
      <c r="AU247" s="11" t="n"/>
      <c r="AV247" s="11" t="n"/>
      <c r="AW247" s="11">
        <f>AF247&amp;"; "&amp;AG247&amp;"; "&amp;AH247&amp;"; "&amp;AI247&amp;"; "&amp;AJ247</f>
        <v/>
      </c>
    </row>
    <row r="248">
      <c r="A248" s="11" t="inlineStr">
        <is>
          <t>T0882-G05-CIE</t>
        </is>
      </c>
      <c r="B248" s="11" t="n">
        <v>5</v>
      </c>
      <c r="C248" s="11" t="inlineStr">
        <is>
          <t>Ciencias</t>
        </is>
      </c>
      <c r="D248" s="11" t="inlineStr">
        <is>
          <t>Matriz_Ciencias_5to_Grado_U1_U6.xlsx</t>
        </is>
      </c>
      <c r="E248" s="11" t="inlineStr">
        <is>
          <t>Unidad 4 - Tabla periódica</t>
        </is>
      </c>
      <c r="F248" s="11" t="n">
        <v>3</v>
      </c>
      <c r="G248" s="11" t="inlineStr">
        <is>
          <t>4. Tabla periódica.</t>
        </is>
      </c>
      <c r="H248" s="11" t="inlineStr">
        <is>
          <t>Desarrollo de la Tabla Periódica.</t>
        </is>
      </c>
      <c r="I248" s="38" t="inlineStr">
        <is>
          <t>4.1. Elaboración de una línea de tiempo del proceso de construcción de la Tabla Periódica.</t>
        </is>
      </c>
      <c r="J248" s="11" t="inlineStr">
        <is>
          <t>T8_27</t>
        </is>
      </c>
      <c r="K248" s="11" t="inlineStr">
        <is>
          <t>T8_27-C1.3</t>
        </is>
      </c>
      <c r="L248" s="11" t="inlineStr"/>
      <c r="M248" s="11">
        <f>IF(K248="FUERA","Fuera del marco",IF(K248="N/A","Sin marco",IFERROR(INDEX('Datos - Catálogo TIMSS'!$C$5:$C$107,MATCH(K248,'Datos - Catálogo TIMSS'!$A$5:$A$107,0)),"Pendiente de clasificar")))</f>
        <v/>
      </c>
      <c r="N248" s="11">
        <f>IF(K248="FUERA","Fuera del marco",IF(K248="N/A","Sin marco",IFERROR(INDEX('Datos - Catálogo TIMSS'!$F$5:$F$107,MATCH(K248,'Datos - Catálogo TIMSS'!$A$5:$A$107,0)),"Pendiente de clasificar")))</f>
        <v/>
      </c>
      <c r="O248" s="11">
        <f>IF(L248="","",IFERROR(INDEX('Datos - Catálogo TIMSS'!$C$5:$C$107,MATCH(L248,'Datos - Catálogo TIMSS'!$A$5:$A$107,0)),"?"))</f>
        <v/>
      </c>
      <c r="P248" s="11" t="inlineStr">
        <is>
          <t>media</t>
        </is>
      </c>
      <c r="Q248" s="38" t="inlineStr">
        <is>
          <t>Historia de la construcción de la tabla periódica.</t>
        </is>
      </c>
      <c r="R248" s="38" t="inlineStr">
        <is>
          <t>Aplicar: organizar información</t>
        </is>
      </c>
      <c r="S248" s="39">
        <f>IFERROR(ISNUMBER(SEARCH("Conocer",$R248))/(ISNUMBER(SEARCH("Conocer",$R248))+ISNUMBER(SEARCH("Aplicar",$R248))+ISNUMBER(SEARCH("Razonar",$R248))),0)</f>
        <v/>
      </c>
      <c r="T248" s="39">
        <f>IFERROR(ISNUMBER(SEARCH("Aplicar",$R248))/(ISNUMBER(SEARCH("Conocer",$R248))+ISNUMBER(SEARCH("Aplicar",$R248))+ISNUMBER(SEARCH("Razonar",$R248))),0)</f>
        <v/>
      </c>
      <c r="U248" s="39">
        <f>IFERROR(ISNUMBER(SEARCH("Razonar",$R248))/(ISNUMBER(SEARCH("Conocer",$R248))+ISNUMBER(SEARCH("Aplicar",$R248))+ISNUMBER(SEARCH("Razonar",$R248))),0)</f>
        <v/>
      </c>
      <c r="V248" s="11" t="inlineStr">
        <is>
          <t>5°</t>
        </is>
      </c>
      <c r="W248" s="11" t="inlineStr">
        <is>
          <t>Ciclo 5°–8°</t>
        </is>
      </c>
      <c r="X248" s="11">
        <f>IF(OR(IFERROR(INDEX('Datos - Catálogo TIMSS'!$I$5:$I$107,MATCH(K248,'Datos - Catálogo TIMSS'!$A$5:$A$107,0)),"No")="Sí",IFERROR(INDEX('Datos - Catálogo TIMSS'!$I$5:$I$107,MATCH(L248,'Datos - Catálogo TIMSS'!$A$5:$A$107,0)),"No")="Sí"),1,0)</f>
        <v/>
      </c>
      <c r="Y248" s="11">
        <f>IF(IFERROR(INDEX('Datos - Catálogo TIMSS'!$J$5:$J$107,MATCH(K248,'Datos - Catálogo TIMSS'!$A$5:$A$107,0)),"No")="Sí",1,0)</f>
        <v/>
      </c>
      <c r="Z248" s="11">
        <f>IF(IFERROR(INDEX('Datos - Catálogo TIMSS'!$J$5:$J$107,MATCH(L248,'Datos - Catálogo TIMSS'!$A$5:$A$107,0)),"No")="Sí",1,0)</f>
        <v/>
      </c>
      <c r="AA248" s="11" t="inlineStr">
        <is>
          <t>T8-Q1.3</t>
        </is>
      </c>
      <c r="AB248" s="11" t="inlineStr"/>
      <c r="AC248" s="11">
        <f>IF(AA248="FUERA","Fuera del marco",IF(AA248="N/A","Sin marco",IFERROR(INDEX('Datos - TIMSS 2023'!$C$5:$C$105,MATCH(AA248,'Datos - TIMSS 2023'!$A$5:$A$105,0)),"Pendiente de clasificar")))</f>
        <v/>
      </c>
      <c r="AD248" s="11" t="inlineStr">
        <is>
          <t>3. Investigar, evaluar y usar información científica para tomar decisiones y actuar</t>
        </is>
      </c>
      <c r="AE248" s="11">
        <f>IF(AD248="","",IF(LEFT(AD248,1)="1","C1",IF(LEFT(AD248,1)="2","C2",IF(LEFT(AD248,1)="3","C3",""))))</f>
        <v/>
      </c>
      <c r="AF248" s="11" t="inlineStr">
        <is>
          <t>E1</t>
        </is>
      </c>
      <c r="AG248" s="11" t="inlineStr">
        <is>
          <t>D1</t>
        </is>
      </c>
      <c r="AH248" s="11" t="inlineStr">
        <is>
          <t>E2</t>
        </is>
      </c>
      <c r="AI248" s="11" t="inlineStr">
        <is>
          <t>I1</t>
        </is>
      </c>
      <c r="AJ248" s="11" t="inlineStr">
        <is>
          <t>E6</t>
        </is>
      </c>
      <c r="AK248" s="11" t="n"/>
      <c r="AL248" s="11" t="n"/>
      <c r="AM248" s="11" t="n"/>
      <c r="AN248" s="11" t="n"/>
      <c r="AO248" s="11" t="n"/>
      <c r="AP248" s="11" t="n"/>
      <c r="AQ248" s="11" t="n"/>
      <c r="AR248" s="11" t="n"/>
      <c r="AS248" s="11" t="n"/>
      <c r="AT248" s="11" t="n"/>
      <c r="AU248" s="11" t="n"/>
      <c r="AV248" s="11" t="n"/>
      <c r="AW248" s="11">
        <f>AF248&amp;"; "&amp;AG248&amp;"; "&amp;AH248&amp;"; "&amp;AI248&amp;"; "&amp;AJ248</f>
        <v/>
      </c>
    </row>
    <row r="249">
      <c r="A249" s="11" t="inlineStr">
        <is>
          <t>T0883-G05-CIE</t>
        </is>
      </c>
      <c r="B249" s="11" t="n">
        <v>5</v>
      </c>
      <c r="C249" s="11" t="inlineStr">
        <is>
          <t>Ciencias</t>
        </is>
      </c>
      <c r="D249" s="11" t="inlineStr">
        <is>
          <t>Matriz_Ciencias_5to_Grado_U1_U6.xlsx</t>
        </is>
      </c>
      <c r="E249" s="11" t="inlineStr">
        <is>
          <t>Unidad 4 - Tabla periódica</t>
        </is>
      </c>
      <c r="F249" s="11" t="n">
        <v>4</v>
      </c>
      <c r="G249" s="11" t="inlineStr">
        <is>
          <t>4. Tabla periódica.</t>
        </is>
      </c>
      <c r="H249" s="11" t="inlineStr">
        <is>
          <t>Desarrollo de la Tabla Periódica.</t>
        </is>
      </c>
      <c r="I249" s="38" t="inlineStr">
        <is>
          <t>4.2. Representación gráfica de la Tabla Periódica actual, con ejemplificaciones del empleo industrial de los elementos químicos.</t>
        </is>
      </c>
      <c r="J249" s="11" t="inlineStr">
        <is>
          <t>T8_27</t>
        </is>
      </c>
      <c r="K249" s="11" t="inlineStr">
        <is>
          <t>T8_27-C1.3</t>
        </is>
      </c>
      <c r="L249" s="11" t="inlineStr">
        <is>
          <t>T8_27-C2.1</t>
        </is>
      </c>
      <c r="M249" s="11">
        <f>IF(K249="FUERA","Fuera del marco",IF(K249="N/A","Sin marco",IFERROR(INDEX('Datos - Catálogo TIMSS'!$C$5:$C$107,MATCH(K249,'Datos - Catálogo TIMSS'!$A$5:$A$107,0)),"Pendiente de clasificar")))</f>
        <v/>
      </c>
      <c r="N249" s="11">
        <f>IF(K249="FUERA","Fuera del marco",IF(K249="N/A","Sin marco",IFERROR(INDEX('Datos - Catálogo TIMSS'!$F$5:$F$107,MATCH(K249,'Datos - Catálogo TIMSS'!$A$5:$A$107,0)),"Pendiente de clasificar")))</f>
        <v/>
      </c>
      <c r="O249" s="11">
        <f>IF(L249="","",IFERROR(INDEX('Datos - Catálogo TIMSS'!$C$5:$C$107,MATCH(L249,'Datos - Catálogo TIMSS'!$A$5:$A$107,0)),"?"))</f>
        <v/>
      </c>
      <c r="P249" s="11" t="inlineStr">
        <is>
          <t>media</t>
        </is>
      </c>
      <c r="Q249" s="38" t="inlineStr">
        <is>
          <t>Tabla periódica ilustrada con usos de los elementos.</t>
        </is>
      </c>
      <c r="R249" s="38" t="inlineStr">
        <is>
          <t>Aplicar: representar</t>
        </is>
      </c>
      <c r="S249" s="39">
        <f>IFERROR(ISNUMBER(SEARCH("Conocer",$R249))/(ISNUMBER(SEARCH("Conocer",$R249))+ISNUMBER(SEARCH("Aplicar",$R249))+ISNUMBER(SEARCH("Razonar",$R249))),0)</f>
        <v/>
      </c>
      <c r="T249" s="39">
        <f>IFERROR(ISNUMBER(SEARCH("Aplicar",$R249))/(ISNUMBER(SEARCH("Conocer",$R249))+ISNUMBER(SEARCH("Aplicar",$R249))+ISNUMBER(SEARCH("Razonar",$R249))),0)</f>
        <v/>
      </c>
      <c r="U249" s="39">
        <f>IFERROR(ISNUMBER(SEARCH("Razonar",$R249))/(ISNUMBER(SEARCH("Conocer",$R249))+ISNUMBER(SEARCH("Aplicar",$R249))+ISNUMBER(SEARCH("Razonar",$R249))),0)</f>
        <v/>
      </c>
      <c r="V249" s="11" t="inlineStr">
        <is>
          <t>5°</t>
        </is>
      </c>
      <c r="W249" s="11" t="inlineStr">
        <is>
          <t>Ciclo 5°–8°</t>
        </is>
      </c>
      <c r="X249" s="11">
        <f>IF(OR(IFERROR(INDEX('Datos - Catálogo TIMSS'!$I$5:$I$107,MATCH(K249,'Datos - Catálogo TIMSS'!$A$5:$A$107,0)),"No")="Sí",IFERROR(INDEX('Datos - Catálogo TIMSS'!$I$5:$I$107,MATCH(L249,'Datos - Catálogo TIMSS'!$A$5:$A$107,0)),"No")="Sí"),1,0)</f>
        <v/>
      </c>
      <c r="Y249" s="11">
        <f>IF(IFERROR(INDEX('Datos - Catálogo TIMSS'!$J$5:$J$107,MATCH(K249,'Datos - Catálogo TIMSS'!$A$5:$A$107,0)),"No")="Sí",1,0)</f>
        <v/>
      </c>
      <c r="Z249" s="11">
        <f>IF(IFERROR(INDEX('Datos - Catálogo TIMSS'!$J$5:$J$107,MATCH(L249,'Datos - Catálogo TIMSS'!$A$5:$A$107,0)),"No")="Sí",1,0)</f>
        <v/>
      </c>
      <c r="AA249" s="11" t="inlineStr">
        <is>
          <t>T8-Q1.3</t>
        </is>
      </c>
      <c r="AB249" s="11" t="inlineStr">
        <is>
          <t>T8-Q2.1</t>
        </is>
      </c>
      <c r="AC249" s="11">
        <f>IF(AA249="FUERA","Fuera del marco",IF(AA249="N/A","Sin marco",IFERROR(INDEX('Datos - TIMSS 2023'!$C$5:$C$105,MATCH(AA249,'Datos - TIMSS 2023'!$A$5:$A$105,0)),"Pendiente de clasificar")))</f>
        <v/>
      </c>
      <c r="AD249" s="11" t="inlineStr">
        <is>
          <t>1. Explicar fenómenos científicamente</t>
        </is>
      </c>
      <c r="AE249" s="11">
        <f>IF(AD249="","",IF(LEFT(AD249,1)="1","C1",IF(LEFT(AD249,1)="2","C2",IF(LEFT(AD249,1)="3","C3",""))))</f>
        <v/>
      </c>
      <c r="AF249" s="11" t="inlineStr">
        <is>
          <t>E1</t>
        </is>
      </c>
      <c r="AG249" s="11" t="inlineStr">
        <is>
          <t>D1</t>
        </is>
      </c>
      <c r="AH249" s="11" t="inlineStr">
        <is>
          <t>E2</t>
        </is>
      </c>
      <c r="AI249" s="11" t="inlineStr">
        <is>
          <t>D4</t>
        </is>
      </c>
      <c r="AJ249" s="11" t="inlineStr">
        <is>
          <t>E6</t>
        </is>
      </c>
      <c r="AK249" s="11" t="n"/>
      <c r="AL249" s="11" t="n"/>
      <c r="AM249" s="11" t="n"/>
      <c r="AN249" s="11" t="n"/>
      <c r="AO249" s="11" t="n"/>
      <c r="AP249" s="11" t="n"/>
      <c r="AQ249" s="11" t="n"/>
      <c r="AR249" s="11" t="n"/>
      <c r="AS249" s="11" t="n"/>
      <c r="AT249" s="11" t="n"/>
      <c r="AU249" s="11" t="n"/>
      <c r="AV249" s="11" t="n"/>
      <c r="AW249" s="11">
        <f>AF249&amp;"; "&amp;AG249&amp;"; "&amp;AH249&amp;"; "&amp;AI249&amp;"; "&amp;AJ249</f>
        <v/>
      </c>
    </row>
    <row r="250">
      <c r="A250" s="11" t="inlineStr">
        <is>
          <t>T0884-G05-CIE</t>
        </is>
      </c>
      <c r="B250" s="11" t="n">
        <v>5</v>
      </c>
      <c r="C250" s="11" t="inlineStr">
        <is>
          <t>Ciencias</t>
        </is>
      </c>
      <c r="D250" s="11" t="inlineStr">
        <is>
          <t>Matriz_Ciencias_5to_Grado_U1_U6.xlsx</t>
        </is>
      </c>
      <c r="E250" s="11" t="inlineStr">
        <is>
          <t>Unidad 4 - Tabla periódica</t>
        </is>
      </c>
      <c r="F250" s="11" t="n">
        <v>5</v>
      </c>
      <c r="G250" s="11" t="inlineStr">
        <is>
          <t>4. Tabla periódica.</t>
        </is>
      </c>
      <c r="H250" s="11" t="inlineStr">
        <is>
          <t>Estructura de la Tabla Periódica.</t>
        </is>
      </c>
      <c r="I250" s="38" t="inlineStr">
        <is>
          <t>4.3. Descripción de los criterios de organización presentes en la Tabla Periódica actual.</t>
        </is>
      </c>
      <c r="J250" s="11" t="inlineStr">
        <is>
          <t>T8_27</t>
        </is>
      </c>
      <c r="K250" s="11" t="inlineStr">
        <is>
          <t>T8_27-C1.3</t>
        </is>
      </c>
      <c r="L250" s="11" t="inlineStr"/>
      <c r="M250" s="11">
        <f>IF(K250="FUERA","Fuera del marco",IF(K250="N/A","Sin marco",IFERROR(INDEX('Datos - Catálogo TIMSS'!$C$5:$C$107,MATCH(K250,'Datos - Catálogo TIMSS'!$A$5:$A$107,0)),"Pendiente de clasificar")))</f>
        <v/>
      </c>
      <c r="N250" s="11">
        <f>IF(K250="FUERA","Fuera del marco",IF(K250="N/A","Sin marco",IFERROR(INDEX('Datos - Catálogo TIMSS'!$F$5:$F$107,MATCH(K250,'Datos - Catálogo TIMSS'!$A$5:$A$107,0)),"Pendiente de clasificar")))</f>
        <v/>
      </c>
      <c r="O250" s="11">
        <f>IF(L250="","",IFERROR(INDEX('Datos - Catálogo TIMSS'!$C$5:$C$107,MATCH(L250,'Datos - Catálogo TIMSS'!$A$5:$A$107,0)),"?"))</f>
        <v/>
      </c>
      <c r="P250" s="11" t="inlineStr">
        <is>
          <t>alta</t>
        </is>
      </c>
      <c r="Q250" s="38" t="inlineStr">
        <is>
          <t>Criterios de organización: grupos, periodos, metales y no metales.</t>
        </is>
      </c>
      <c r="R250" s="38" t="inlineStr">
        <is>
          <t>Aplicar: clasificar</t>
        </is>
      </c>
      <c r="S250" s="39">
        <f>IFERROR(ISNUMBER(SEARCH("Conocer",$R250))/(ISNUMBER(SEARCH("Conocer",$R250))+ISNUMBER(SEARCH("Aplicar",$R250))+ISNUMBER(SEARCH("Razonar",$R250))),0)</f>
        <v/>
      </c>
      <c r="T250" s="39">
        <f>IFERROR(ISNUMBER(SEARCH("Aplicar",$R250))/(ISNUMBER(SEARCH("Conocer",$R250))+ISNUMBER(SEARCH("Aplicar",$R250))+ISNUMBER(SEARCH("Razonar",$R250))),0)</f>
        <v/>
      </c>
      <c r="U250" s="39">
        <f>IFERROR(ISNUMBER(SEARCH("Razonar",$R250))/(ISNUMBER(SEARCH("Conocer",$R250))+ISNUMBER(SEARCH("Aplicar",$R250))+ISNUMBER(SEARCH("Razonar",$R250))),0)</f>
        <v/>
      </c>
      <c r="V250" s="11" t="inlineStr">
        <is>
          <t>5°</t>
        </is>
      </c>
      <c r="W250" s="11" t="inlineStr">
        <is>
          <t>Ciclo 5°–8°</t>
        </is>
      </c>
      <c r="X250" s="11">
        <f>IF(OR(IFERROR(INDEX('Datos - Catálogo TIMSS'!$I$5:$I$107,MATCH(K250,'Datos - Catálogo TIMSS'!$A$5:$A$107,0)),"No")="Sí",IFERROR(INDEX('Datos - Catálogo TIMSS'!$I$5:$I$107,MATCH(L250,'Datos - Catálogo TIMSS'!$A$5:$A$107,0)),"No")="Sí"),1,0)</f>
        <v/>
      </c>
      <c r="Y250" s="11">
        <f>IF(IFERROR(INDEX('Datos - Catálogo TIMSS'!$J$5:$J$107,MATCH(K250,'Datos - Catálogo TIMSS'!$A$5:$A$107,0)),"No")="Sí",1,0)</f>
        <v/>
      </c>
      <c r="Z250" s="11">
        <f>IF(IFERROR(INDEX('Datos - Catálogo TIMSS'!$J$5:$J$107,MATCH(L250,'Datos - Catálogo TIMSS'!$A$5:$A$107,0)),"No")="Sí",1,0)</f>
        <v/>
      </c>
      <c r="AA250" s="11" t="inlineStr">
        <is>
          <t>T8-Q1.3</t>
        </is>
      </c>
      <c r="AB250" s="11" t="inlineStr"/>
      <c r="AC250" s="11">
        <f>IF(AA250="FUERA","Fuera del marco",IF(AA250="N/A","Sin marco",IFERROR(INDEX('Datos - TIMSS 2023'!$C$5:$C$105,MATCH(AA250,'Datos - TIMSS 2023'!$A$5:$A$105,0)),"Pendiente de clasificar")))</f>
        <v/>
      </c>
      <c r="AD250" s="11" t="inlineStr">
        <is>
          <t>1. Explicar fenómenos científicamente</t>
        </is>
      </c>
      <c r="AE250" s="11">
        <f>IF(AD250="","",IF(LEFT(AD250,1)="1","C1",IF(LEFT(AD250,1)="2","C2",IF(LEFT(AD250,1)="3","C3",""))))</f>
        <v/>
      </c>
      <c r="AF250" s="11" t="inlineStr">
        <is>
          <t>E1</t>
        </is>
      </c>
      <c r="AG250" s="11" t="inlineStr">
        <is>
          <t>D1</t>
        </is>
      </c>
      <c r="AH250" s="11" t="inlineStr">
        <is>
          <t>E1</t>
        </is>
      </c>
      <c r="AI250" s="11" t="inlineStr">
        <is>
          <t>D4</t>
        </is>
      </c>
      <c r="AJ250" s="11" t="inlineStr">
        <is>
          <t>E1</t>
        </is>
      </c>
      <c r="AK250" s="11" t="n"/>
      <c r="AL250" s="11" t="n"/>
      <c r="AM250" s="11" t="n"/>
      <c r="AN250" s="11" t="n"/>
      <c r="AO250" s="11" t="n"/>
      <c r="AP250" s="11" t="n"/>
      <c r="AQ250" s="11" t="n"/>
      <c r="AR250" s="11" t="n"/>
      <c r="AS250" s="11" t="n"/>
      <c r="AT250" s="11" t="n"/>
      <c r="AU250" s="11" t="n"/>
      <c r="AV250" s="11" t="n"/>
      <c r="AW250" s="11">
        <f>AF250&amp;"; "&amp;AG250&amp;"; "&amp;AH250&amp;"; "&amp;AI250&amp;"; "&amp;AJ250</f>
        <v/>
      </c>
    </row>
    <row r="251">
      <c r="A251" s="11" t="inlineStr">
        <is>
          <t>T0885-G05-CIE</t>
        </is>
      </c>
      <c r="B251" s="11" t="n">
        <v>5</v>
      </c>
      <c r="C251" s="11" t="inlineStr">
        <is>
          <t>Ciencias</t>
        </is>
      </c>
      <c r="D251" s="11" t="inlineStr">
        <is>
          <t>Matriz_Ciencias_5to_Grado_U1_U6.xlsx</t>
        </is>
      </c>
      <c r="E251" s="11" t="inlineStr">
        <is>
          <t>Unidad 4 - Tabla periódica</t>
        </is>
      </c>
      <c r="F251" s="11" t="n">
        <v>6</v>
      </c>
      <c r="G251" s="11" t="inlineStr">
        <is>
          <t>4. Tabla periódica.</t>
        </is>
      </c>
      <c r="H251" s="11" t="inlineStr">
        <is>
          <t>Propiedades periódicas.</t>
        </is>
      </c>
      <c r="I251" s="38" t="inlineStr">
        <is>
          <t>4.4. Interpretación de las propiedades periódicas de los elementos químicos.</t>
        </is>
      </c>
      <c r="J251" s="11" t="inlineStr">
        <is>
          <t>T8_27</t>
        </is>
      </c>
      <c r="K251" s="11" t="inlineStr">
        <is>
          <t>T8_27-C1.3</t>
        </is>
      </c>
      <c r="L251" s="11" t="inlineStr"/>
      <c r="M251" s="11">
        <f>IF(K251="FUERA","Fuera del marco",IF(K251="N/A","Sin marco",IFERROR(INDEX('Datos - Catálogo TIMSS'!$C$5:$C$107,MATCH(K251,'Datos - Catálogo TIMSS'!$A$5:$A$107,0)),"Pendiente de clasificar")))</f>
        <v/>
      </c>
      <c r="N251" s="11">
        <f>IF(K251="FUERA","Fuera del marco",IF(K251="N/A","Sin marco",IFERROR(INDEX('Datos - Catálogo TIMSS'!$F$5:$F$107,MATCH(K251,'Datos - Catálogo TIMSS'!$A$5:$A$107,0)),"Pendiente de clasificar")))</f>
        <v/>
      </c>
      <c r="O251" s="11">
        <f>IF(L251="","",IFERROR(INDEX('Datos - Catálogo TIMSS'!$C$5:$C$107,MATCH(L251,'Datos - Catálogo TIMSS'!$A$5:$A$107,0)),"?"))</f>
        <v/>
      </c>
      <c r="P251" s="11" t="inlineStr">
        <is>
          <t>alta</t>
        </is>
      </c>
      <c r="Q251" s="38" t="inlineStr">
        <is>
          <t>Tendencias periódicas para predecir propiedades por grupo y periodo.</t>
        </is>
      </c>
      <c r="R251" s="38" t="inlineStr">
        <is>
          <t>Aplicar: interpretar gráficas. Razonar: predecir</t>
        </is>
      </c>
      <c r="S251" s="39">
        <f>IFERROR(ISNUMBER(SEARCH("Conocer",$R251))/(ISNUMBER(SEARCH("Conocer",$R251))+ISNUMBER(SEARCH("Aplicar",$R251))+ISNUMBER(SEARCH("Razonar",$R251))),0)</f>
        <v/>
      </c>
      <c r="T251" s="39">
        <f>IFERROR(ISNUMBER(SEARCH("Aplicar",$R251))/(ISNUMBER(SEARCH("Conocer",$R251))+ISNUMBER(SEARCH("Aplicar",$R251))+ISNUMBER(SEARCH("Razonar",$R251))),0)</f>
        <v/>
      </c>
      <c r="U251" s="39">
        <f>IFERROR(ISNUMBER(SEARCH("Razonar",$R251))/(ISNUMBER(SEARCH("Conocer",$R251))+ISNUMBER(SEARCH("Aplicar",$R251))+ISNUMBER(SEARCH("Razonar",$R251))),0)</f>
        <v/>
      </c>
      <c r="V251" s="11" t="inlineStr">
        <is>
          <t>5°</t>
        </is>
      </c>
      <c r="W251" s="11" t="inlineStr">
        <is>
          <t>Ciclo 5°–8°</t>
        </is>
      </c>
      <c r="X251" s="11">
        <f>IF(OR(IFERROR(INDEX('Datos - Catálogo TIMSS'!$I$5:$I$107,MATCH(K251,'Datos - Catálogo TIMSS'!$A$5:$A$107,0)),"No")="Sí",IFERROR(INDEX('Datos - Catálogo TIMSS'!$I$5:$I$107,MATCH(L251,'Datos - Catálogo TIMSS'!$A$5:$A$107,0)),"No")="Sí"),1,0)</f>
        <v/>
      </c>
      <c r="Y251" s="11">
        <f>IF(IFERROR(INDEX('Datos - Catálogo TIMSS'!$J$5:$J$107,MATCH(K251,'Datos - Catálogo TIMSS'!$A$5:$A$107,0)),"No")="Sí",1,0)</f>
        <v/>
      </c>
      <c r="Z251" s="11">
        <f>IF(IFERROR(INDEX('Datos - Catálogo TIMSS'!$J$5:$J$107,MATCH(L251,'Datos - Catálogo TIMSS'!$A$5:$A$107,0)),"No")="Sí",1,0)</f>
        <v/>
      </c>
      <c r="AA251" s="11" t="inlineStr">
        <is>
          <t>T8-Q1.3</t>
        </is>
      </c>
      <c r="AB251" s="11" t="inlineStr"/>
      <c r="AC251" s="11">
        <f>IF(AA251="FUERA","Fuera del marco",IF(AA251="N/A","Sin marco",IFERROR(INDEX('Datos - TIMSS 2023'!$C$5:$C$105,MATCH(AA251,'Datos - TIMSS 2023'!$A$5:$A$105,0)),"Pendiente de clasificar")))</f>
        <v/>
      </c>
      <c r="AD251" s="11" t="inlineStr">
        <is>
          <t>2. Construir y evaluar diseños para la indagación científica e interpretar datos y evidencia de forma crítica</t>
        </is>
      </c>
      <c r="AE251" s="11">
        <f>IF(AD251="","",IF(LEFT(AD251,1)="1","C1",IF(LEFT(AD251,1)="2","C2",IF(LEFT(AD251,1)="3","C3",""))))</f>
        <v/>
      </c>
      <c r="AF251" s="11" t="inlineStr">
        <is>
          <t>E1</t>
        </is>
      </c>
      <c r="AG251" s="11" t="inlineStr">
        <is>
          <t>D1</t>
        </is>
      </c>
      <c r="AH251" s="11" t="inlineStr">
        <is>
          <t>E2</t>
        </is>
      </c>
      <c r="AI251" s="11" t="inlineStr">
        <is>
          <t>D4</t>
        </is>
      </c>
      <c r="AJ251" s="11" t="inlineStr">
        <is>
          <t>E3</t>
        </is>
      </c>
      <c r="AK251" s="11" t="n"/>
      <c r="AL251" s="11" t="n"/>
      <c r="AM251" s="11" t="n"/>
      <c r="AN251" s="11" t="n"/>
      <c r="AO251" s="11" t="n"/>
      <c r="AP251" s="11" t="n"/>
      <c r="AQ251" s="11" t="n"/>
      <c r="AR251" s="11" t="n"/>
      <c r="AS251" s="11" t="n"/>
      <c r="AT251" s="11" t="n"/>
      <c r="AU251" s="11" t="n"/>
      <c r="AV251" s="11" t="n"/>
      <c r="AW251" s="11">
        <f>AF251&amp;"; "&amp;AG251&amp;"; "&amp;AH251&amp;"; "&amp;AI251&amp;"; "&amp;AJ251</f>
        <v/>
      </c>
    </row>
    <row r="252">
      <c r="A252" s="11" t="inlineStr">
        <is>
          <t>T0886-G05-CIE</t>
        </is>
      </c>
      <c r="B252" s="11" t="n">
        <v>5</v>
      </c>
      <c r="C252" s="11" t="inlineStr">
        <is>
          <t>Ciencias</t>
        </is>
      </c>
      <c r="D252" s="11" t="inlineStr">
        <is>
          <t>Matriz_Ciencias_5to_Grado_U1_U6.xlsx</t>
        </is>
      </c>
      <c r="E252" s="11" t="inlineStr">
        <is>
          <t>Unidad 4 - Tabla periódica</t>
        </is>
      </c>
      <c r="F252" s="11" t="n">
        <v>7</v>
      </c>
      <c r="G252" s="11" t="inlineStr">
        <is>
          <t>4. Tabla periódica.</t>
        </is>
      </c>
      <c r="H252" s="11" t="inlineStr">
        <is>
          <t>Formulación química.</t>
        </is>
      </c>
      <c r="I252" s="38" t="inlineStr">
        <is>
          <t>4.5. Reconocimiento de los principios que llevan a la formulación química.</t>
        </is>
      </c>
      <c r="J252" s="11" t="inlineStr">
        <is>
          <t>T8_27</t>
        </is>
      </c>
      <c r="K252" s="11" t="inlineStr">
        <is>
          <t>T8_27-C1.1</t>
        </is>
      </c>
      <c r="L252" s="11" t="inlineStr">
        <is>
          <t>T8_27-C1.2</t>
        </is>
      </c>
      <c r="M252" s="11">
        <f>IF(K252="FUERA","Fuera del marco",IF(K252="N/A","Sin marco",IFERROR(INDEX('Datos - Catálogo TIMSS'!$C$5:$C$107,MATCH(K252,'Datos - Catálogo TIMSS'!$A$5:$A$107,0)),"Pendiente de clasificar")))</f>
        <v/>
      </c>
      <c r="N252" s="11">
        <f>IF(K252="FUERA","Fuera del marco",IF(K252="N/A","Sin marco",IFERROR(INDEX('Datos - Catálogo TIMSS'!$F$5:$F$107,MATCH(K252,'Datos - Catálogo TIMSS'!$A$5:$A$107,0)),"Pendiente de clasificar")))</f>
        <v/>
      </c>
      <c r="O252" s="11">
        <f>IF(L252="","",IFERROR(INDEX('Datos - Catálogo TIMSS'!$C$5:$C$107,MATCH(L252,'Datos - Catálogo TIMSS'!$A$5:$A$107,0)),"?"))</f>
        <v/>
      </c>
      <c r="P252" s="11" t="inlineStr">
        <is>
          <t>media</t>
        </is>
      </c>
      <c r="Q252" s="38" t="inlineStr">
        <is>
          <t>Fórmulas químicas como combinaciones de átomos en compuestos.</t>
        </is>
      </c>
      <c r="R252" s="38" t="inlineStr">
        <is>
          <t>Conocer: interpretar fórmulas</t>
        </is>
      </c>
      <c r="S252" s="39">
        <f>IFERROR(ISNUMBER(SEARCH("Conocer",$R252))/(ISNUMBER(SEARCH("Conocer",$R252))+ISNUMBER(SEARCH("Aplicar",$R252))+ISNUMBER(SEARCH("Razonar",$R252))),0)</f>
        <v/>
      </c>
      <c r="T252" s="39">
        <f>IFERROR(ISNUMBER(SEARCH("Aplicar",$R252))/(ISNUMBER(SEARCH("Conocer",$R252))+ISNUMBER(SEARCH("Aplicar",$R252))+ISNUMBER(SEARCH("Razonar",$R252))),0)</f>
        <v/>
      </c>
      <c r="U252" s="39">
        <f>IFERROR(ISNUMBER(SEARCH("Razonar",$R252))/(ISNUMBER(SEARCH("Conocer",$R252))+ISNUMBER(SEARCH("Aplicar",$R252))+ISNUMBER(SEARCH("Razonar",$R252))),0)</f>
        <v/>
      </c>
      <c r="V252" s="11" t="inlineStr">
        <is>
          <t>5°</t>
        </is>
      </c>
      <c r="W252" s="11" t="inlineStr">
        <is>
          <t>Ciclo 5°–8°</t>
        </is>
      </c>
      <c r="X252" s="11">
        <f>IF(OR(IFERROR(INDEX('Datos - Catálogo TIMSS'!$I$5:$I$107,MATCH(K252,'Datos - Catálogo TIMSS'!$A$5:$A$107,0)),"No")="Sí",IFERROR(INDEX('Datos - Catálogo TIMSS'!$I$5:$I$107,MATCH(L252,'Datos - Catálogo TIMSS'!$A$5:$A$107,0)),"No")="Sí"),1,0)</f>
        <v/>
      </c>
      <c r="Y252" s="11">
        <f>IF(IFERROR(INDEX('Datos - Catálogo TIMSS'!$J$5:$J$107,MATCH(K252,'Datos - Catálogo TIMSS'!$A$5:$A$107,0)),"No")="Sí",1,0)</f>
        <v/>
      </c>
      <c r="Z252" s="11">
        <f>IF(IFERROR(INDEX('Datos - Catálogo TIMSS'!$J$5:$J$107,MATCH(L252,'Datos - Catálogo TIMSS'!$A$5:$A$107,0)),"No")="Sí",1,0)</f>
        <v/>
      </c>
      <c r="AA252" s="11" t="inlineStr">
        <is>
          <t>T8-Q1.2</t>
        </is>
      </c>
      <c r="AB252" s="11" t="inlineStr">
        <is>
          <t>T8-Q1.1</t>
        </is>
      </c>
      <c r="AC252" s="11">
        <f>IF(AA252="FUERA","Fuera del marco",IF(AA252="N/A","Sin marco",IFERROR(INDEX('Datos - TIMSS 2023'!$C$5:$C$105,MATCH(AA252,'Datos - TIMSS 2023'!$A$5:$A$105,0)),"Pendiente de clasificar")))</f>
        <v/>
      </c>
      <c r="AD252" s="11" t="inlineStr">
        <is>
          <t>1. Explicar fenómenos científicamente</t>
        </is>
      </c>
      <c r="AE252" s="11">
        <f>IF(AD252="","",IF(LEFT(AD252,1)="1","C1",IF(LEFT(AD252,1)="2","C2",IF(LEFT(AD252,1)="3","C3",""))))</f>
        <v/>
      </c>
      <c r="AF252" s="11" t="inlineStr">
        <is>
          <t>E1</t>
        </is>
      </c>
      <c r="AG252" s="11" t="inlineStr">
        <is>
          <t>D1</t>
        </is>
      </c>
      <c r="AH252" s="11" t="inlineStr">
        <is>
          <t>E1</t>
        </is>
      </c>
      <c r="AI252" s="11" t="inlineStr">
        <is>
          <t>D4</t>
        </is>
      </c>
      <c r="AJ252" s="11" t="inlineStr">
        <is>
          <t>E1</t>
        </is>
      </c>
      <c r="AK252" s="11" t="n"/>
      <c r="AL252" s="11" t="n"/>
      <c r="AM252" s="11" t="n"/>
      <c r="AN252" s="11" t="n"/>
      <c r="AO252" s="11" t="n"/>
      <c r="AP252" s="11" t="n"/>
      <c r="AQ252" s="11" t="n"/>
      <c r="AR252" s="11" t="n"/>
      <c r="AS252" s="11" t="n"/>
      <c r="AT252" s="11" t="n"/>
      <c r="AU252" s="11" t="n"/>
      <c r="AV252" s="11" t="n"/>
      <c r="AW252" s="11">
        <f>AF252&amp;"; "&amp;AG252&amp;"; "&amp;AH252&amp;"; "&amp;AI252&amp;"; "&amp;AJ252</f>
        <v/>
      </c>
    </row>
    <row r="253">
      <c r="A253" s="11" t="inlineStr">
        <is>
          <t>T0887-G05-CIE</t>
        </is>
      </c>
      <c r="B253" s="11" t="n">
        <v>5</v>
      </c>
      <c r="C253" s="11" t="inlineStr">
        <is>
          <t>Ciencias</t>
        </is>
      </c>
      <c r="D253" s="11" t="inlineStr">
        <is>
          <t>Matriz_Ciencias_5to_Grado_U1_U6.xlsx</t>
        </is>
      </c>
      <c r="E253" s="11" t="inlineStr">
        <is>
          <t>Unidad 4 - Tabla periódica</t>
        </is>
      </c>
      <c r="F253" s="11" t="n">
        <v>8</v>
      </c>
      <c r="G253" s="11" t="inlineStr">
        <is>
          <t>4. Tabla periódica.</t>
        </is>
      </c>
      <c r="H253" s="11" t="inlineStr">
        <is>
          <t>Formulación química.</t>
        </is>
      </c>
      <c r="I253" s="38" t="inlineStr">
        <is>
          <t>4.6. Interpretación de la interacción iónica para la deducción de fórmulas químicas.</t>
        </is>
      </c>
      <c r="J253" s="11" t="inlineStr">
        <is>
          <t>T8_27</t>
        </is>
      </c>
      <c r="K253" s="11" t="inlineStr">
        <is>
          <t>T8_27-C1.1</t>
        </is>
      </c>
      <c r="L253" s="11" t="inlineStr"/>
      <c r="M253" s="11">
        <f>IF(K253="FUERA","Fuera del marco",IF(K253="N/A","Sin marco",IFERROR(INDEX('Datos - Catálogo TIMSS'!$C$5:$C$107,MATCH(K253,'Datos - Catálogo TIMSS'!$A$5:$A$107,0)),"Pendiente de clasificar")))</f>
        <v/>
      </c>
      <c r="N253" s="11">
        <f>IF(K253="FUERA","Fuera del marco",IF(K253="N/A","Sin marco",IFERROR(INDEX('Datos - Catálogo TIMSS'!$F$5:$F$107,MATCH(K253,'Datos - Catálogo TIMSS'!$A$5:$A$107,0)),"Pendiente de clasificar")))</f>
        <v/>
      </c>
      <c r="O253" s="11">
        <f>IF(L253="","",IFERROR(INDEX('Datos - Catálogo TIMSS'!$C$5:$C$107,MATCH(L253,'Datos - Catálogo TIMSS'!$A$5:$A$107,0)),"?"))</f>
        <v/>
      </c>
      <c r="P253" s="11" t="inlineStr">
        <is>
          <t>media</t>
        </is>
      </c>
      <c r="Q253" s="38" t="inlineStr">
        <is>
          <t>Interacción iónica como enlace para deducir fórmulas.</t>
        </is>
      </c>
      <c r="R253" s="38" t="inlineStr">
        <is>
          <t>Aplicar: usar modelos. Razonar: deducir</t>
        </is>
      </c>
      <c r="S253" s="39">
        <f>IFERROR(ISNUMBER(SEARCH("Conocer",$R253))/(ISNUMBER(SEARCH("Conocer",$R253))+ISNUMBER(SEARCH("Aplicar",$R253))+ISNUMBER(SEARCH("Razonar",$R253))),0)</f>
        <v/>
      </c>
      <c r="T253" s="39">
        <f>IFERROR(ISNUMBER(SEARCH("Aplicar",$R253))/(ISNUMBER(SEARCH("Conocer",$R253))+ISNUMBER(SEARCH("Aplicar",$R253))+ISNUMBER(SEARCH("Razonar",$R253))),0)</f>
        <v/>
      </c>
      <c r="U253" s="39">
        <f>IFERROR(ISNUMBER(SEARCH("Razonar",$R253))/(ISNUMBER(SEARCH("Conocer",$R253))+ISNUMBER(SEARCH("Aplicar",$R253))+ISNUMBER(SEARCH("Razonar",$R253))),0)</f>
        <v/>
      </c>
      <c r="V253" s="11" t="inlineStr">
        <is>
          <t>5°</t>
        </is>
      </c>
      <c r="W253" s="11" t="inlineStr">
        <is>
          <t>Ciclo 5°–8°</t>
        </is>
      </c>
      <c r="X253" s="11">
        <f>IF(OR(IFERROR(INDEX('Datos - Catálogo TIMSS'!$I$5:$I$107,MATCH(K253,'Datos - Catálogo TIMSS'!$A$5:$A$107,0)),"No")="Sí",IFERROR(INDEX('Datos - Catálogo TIMSS'!$I$5:$I$107,MATCH(L253,'Datos - Catálogo TIMSS'!$A$5:$A$107,0)),"No")="Sí"),1,0)</f>
        <v/>
      </c>
      <c r="Y253" s="11">
        <f>IF(IFERROR(INDEX('Datos - Catálogo TIMSS'!$J$5:$J$107,MATCH(K253,'Datos - Catálogo TIMSS'!$A$5:$A$107,0)),"No")="Sí",1,0)</f>
        <v/>
      </c>
      <c r="Z253" s="11">
        <f>IF(IFERROR(INDEX('Datos - Catálogo TIMSS'!$J$5:$J$107,MATCH(L253,'Datos - Catálogo TIMSS'!$A$5:$A$107,0)),"No")="Sí",1,0)</f>
        <v/>
      </c>
      <c r="AA253" s="11" t="inlineStr">
        <is>
          <t>T8-Q3.3</t>
        </is>
      </c>
      <c r="AB253" s="11" t="inlineStr">
        <is>
          <t>T8-Q1.2</t>
        </is>
      </c>
      <c r="AC253" s="11">
        <f>IF(AA253="FUERA","Fuera del marco",IF(AA253="N/A","Sin marco",IFERROR(INDEX('Datos - TIMSS 2023'!$C$5:$C$105,MATCH(AA253,'Datos - TIMSS 2023'!$A$5:$A$105,0)),"Pendiente de clasificar")))</f>
        <v/>
      </c>
      <c r="AD253" s="11" t="inlineStr">
        <is>
          <t>1. Explicar fenómenos científicamente</t>
        </is>
      </c>
      <c r="AE253" s="11">
        <f>IF(AD253="","",IF(LEFT(AD253,1)="1","C1",IF(LEFT(AD253,1)="2","C2",IF(LEFT(AD253,1)="3","C3",""))))</f>
        <v/>
      </c>
      <c r="AF253" s="11" t="inlineStr">
        <is>
          <t>E1</t>
        </is>
      </c>
      <c r="AG253" s="11" t="inlineStr">
        <is>
          <t>D1</t>
        </is>
      </c>
      <c r="AH253" s="11" t="inlineStr">
        <is>
          <t>E4</t>
        </is>
      </c>
      <c r="AI253" s="11" t="inlineStr">
        <is>
          <t>D4</t>
        </is>
      </c>
      <c r="AJ253" s="11" t="inlineStr">
        <is>
          <t>E3</t>
        </is>
      </c>
      <c r="AK253" s="11" t="n"/>
      <c r="AL253" s="11" t="n"/>
      <c r="AM253" s="11" t="n"/>
      <c r="AN253" s="11" t="n"/>
      <c r="AO253" s="11" t="n"/>
      <c r="AP253" s="11" t="n"/>
      <c r="AQ253" s="11" t="n"/>
      <c r="AR253" s="11" t="n"/>
      <c r="AS253" s="11" t="n"/>
      <c r="AT253" s="11" t="n"/>
      <c r="AU253" s="11" t="n"/>
      <c r="AV253" s="11" t="n"/>
      <c r="AW253" s="11">
        <f>AF253&amp;"; "&amp;AG253&amp;"; "&amp;AH253&amp;"; "&amp;AI253&amp;"; "&amp;AJ253</f>
        <v/>
      </c>
    </row>
    <row r="254">
      <c r="A254" s="11" t="inlineStr">
        <is>
          <t>T0888-G05-CIE</t>
        </is>
      </c>
      <c r="B254" s="11" t="n">
        <v>5</v>
      </c>
      <c r="C254" s="11" t="inlineStr">
        <is>
          <t>Ciencias</t>
        </is>
      </c>
      <c r="D254" s="11" t="inlineStr">
        <is>
          <t>Matriz_Ciencias_5to_Grado_U1_U6.xlsx</t>
        </is>
      </c>
      <c r="E254" s="11" t="inlineStr">
        <is>
          <t>Unidad 4 - Tabla periódica</t>
        </is>
      </c>
      <c r="F254" s="11" t="n">
        <v>9</v>
      </c>
      <c r="G254" s="11" t="inlineStr">
        <is>
          <t>4. Tabla periódica.</t>
        </is>
      </c>
      <c r="H254" s="11" t="inlineStr">
        <is>
          <t>Formulación química.</t>
        </is>
      </c>
      <c r="I254" s="38" t="inlineStr">
        <is>
          <t>4.7. Identificación de los números de oxidación.</t>
        </is>
      </c>
      <c r="J254" s="11" t="inlineStr">
        <is>
          <t>T8_27</t>
        </is>
      </c>
      <c r="K254" s="11" t="inlineStr">
        <is>
          <t>T8_27-C1.1</t>
        </is>
      </c>
      <c r="L254" s="11" t="inlineStr"/>
      <c r="M254" s="11">
        <f>IF(K254="FUERA","Fuera del marco",IF(K254="N/A","Sin marco",IFERROR(INDEX('Datos - Catálogo TIMSS'!$C$5:$C$107,MATCH(K254,'Datos - Catálogo TIMSS'!$A$5:$A$107,0)),"Pendiente de clasificar")))</f>
        <v/>
      </c>
      <c r="N254" s="11">
        <f>IF(K254="FUERA","Fuera del marco",IF(K254="N/A","Sin marco",IFERROR(INDEX('Datos - Catálogo TIMSS'!$F$5:$F$107,MATCH(K254,'Datos - Catálogo TIMSS'!$A$5:$A$107,0)),"Pendiente de clasificar")))</f>
        <v/>
      </c>
      <c r="O254" s="11">
        <f>IF(L254="","",IFERROR(INDEX('Datos - Catálogo TIMSS'!$C$5:$C$107,MATCH(L254,'Datos - Catálogo TIMSS'!$A$5:$A$107,0)),"?"))</f>
        <v/>
      </c>
      <c r="P254" s="11" t="inlineStr">
        <is>
          <t>baja</t>
        </is>
      </c>
      <c r="Q254" s="38" t="inlineStr">
        <is>
          <t>Números de oxidación; relación indirecta con electrones en enlaces.</t>
        </is>
      </c>
      <c r="R254" s="38" t="inlineStr">
        <is>
          <t>Aplicar: identificar</t>
        </is>
      </c>
      <c r="S254" s="39">
        <f>IFERROR(ISNUMBER(SEARCH("Conocer",$R254))/(ISNUMBER(SEARCH("Conocer",$R254))+ISNUMBER(SEARCH("Aplicar",$R254))+ISNUMBER(SEARCH("Razonar",$R254))),0)</f>
        <v/>
      </c>
      <c r="T254" s="39">
        <f>IFERROR(ISNUMBER(SEARCH("Aplicar",$R254))/(ISNUMBER(SEARCH("Conocer",$R254))+ISNUMBER(SEARCH("Aplicar",$R254))+ISNUMBER(SEARCH("Razonar",$R254))),0)</f>
        <v/>
      </c>
      <c r="U254" s="39">
        <f>IFERROR(ISNUMBER(SEARCH("Razonar",$R254))/(ISNUMBER(SEARCH("Conocer",$R254))+ISNUMBER(SEARCH("Aplicar",$R254))+ISNUMBER(SEARCH("Razonar",$R254))),0)</f>
        <v/>
      </c>
      <c r="V254" s="11" t="inlineStr">
        <is>
          <t>5°</t>
        </is>
      </c>
      <c r="W254" s="11" t="inlineStr">
        <is>
          <t>Ciclo 5°–8°</t>
        </is>
      </c>
      <c r="X254" s="11">
        <f>IF(OR(IFERROR(INDEX('Datos - Catálogo TIMSS'!$I$5:$I$107,MATCH(K254,'Datos - Catálogo TIMSS'!$A$5:$A$107,0)),"No")="Sí",IFERROR(INDEX('Datos - Catálogo TIMSS'!$I$5:$I$107,MATCH(L254,'Datos - Catálogo TIMSS'!$A$5:$A$107,0)),"No")="Sí"),1,0)</f>
        <v/>
      </c>
      <c r="Y254" s="11">
        <f>IF(IFERROR(INDEX('Datos - Catálogo TIMSS'!$J$5:$J$107,MATCH(K254,'Datos - Catálogo TIMSS'!$A$5:$A$107,0)),"No")="Sí",1,0)</f>
        <v/>
      </c>
      <c r="Z254" s="11">
        <f>IF(IFERROR(INDEX('Datos - Catálogo TIMSS'!$J$5:$J$107,MATCH(L254,'Datos - Catálogo TIMSS'!$A$5:$A$107,0)),"No")="Sí",1,0)</f>
        <v/>
      </c>
      <c r="AA254" s="11" t="inlineStr">
        <is>
          <t>T8-Q3.3</t>
        </is>
      </c>
      <c r="AB254" s="11" t="inlineStr"/>
      <c r="AC254" s="11">
        <f>IF(AA254="FUERA","Fuera del marco",IF(AA254="N/A","Sin marco",IFERROR(INDEX('Datos - TIMSS 2023'!$C$5:$C$105,MATCH(AA254,'Datos - TIMSS 2023'!$A$5:$A$105,0)),"Pendiente de clasificar")))</f>
        <v/>
      </c>
      <c r="AD254" s="11" t="inlineStr">
        <is>
          <t>1. Explicar fenómenos científicamente</t>
        </is>
      </c>
      <c r="AE254" s="11">
        <f>IF(AD254="","",IF(LEFT(AD254,1)="1","C1",IF(LEFT(AD254,1)="2","C2",IF(LEFT(AD254,1)="3","C3",""))))</f>
        <v/>
      </c>
      <c r="AF254" s="11" t="inlineStr">
        <is>
          <t>E1</t>
        </is>
      </c>
      <c r="AG254" s="11" t="inlineStr">
        <is>
          <t>D1</t>
        </is>
      </c>
      <c r="AH254" s="11" t="inlineStr">
        <is>
          <t>E1</t>
        </is>
      </c>
      <c r="AI254" s="11" t="inlineStr">
        <is>
          <t>D4</t>
        </is>
      </c>
      <c r="AJ254" s="11" t="inlineStr">
        <is>
          <t>E6</t>
        </is>
      </c>
      <c r="AK254" s="11" t="n"/>
      <c r="AL254" s="11" t="n"/>
      <c r="AM254" s="11" t="n"/>
      <c r="AN254" s="11" t="n"/>
      <c r="AO254" s="11" t="n"/>
      <c r="AP254" s="11" t="n"/>
      <c r="AQ254" s="11" t="n"/>
      <c r="AR254" s="11" t="n"/>
      <c r="AS254" s="11" t="n"/>
      <c r="AT254" s="11" t="n"/>
      <c r="AU254" s="11" t="n"/>
      <c r="AV254" s="11" t="n"/>
      <c r="AW254" s="11">
        <f>AF254&amp;"; "&amp;AG254&amp;"; "&amp;AH254&amp;"; "&amp;AI254&amp;"; "&amp;AJ254</f>
        <v/>
      </c>
    </row>
    <row r="255">
      <c r="A255" s="11" t="inlineStr">
        <is>
          <t>T0889-G05-CIE</t>
        </is>
      </c>
      <c r="B255" s="11" t="n">
        <v>5</v>
      </c>
      <c r="C255" s="11" t="inlineStr">
        <is>
          <t>Ciencias</t>
        </is>
      </c>
      <c r="D255" s="11" t="inlineStr">
        <is>
          <t>Matriz_Ciencias_5to_Grado_U1_U6.xlsx</t>
        </is>
      </c>
      <c r="E255" s="11" t="inlineStr">
        <is>
          <t>Unidad 5 - Ciencias del espacio</t>
        </is>
      </c>
      <c r="F255" s="11" t="n">
        <v>3</v>
      </c>
      <c r="G255" s="11" t="inlineStr">
        <is>
          <t>5. Ciencias del espacio.</t>
        </is>
      </c>
      <c r="H255" s="11" t="inlineStr">
        <is>
          <t>El Big Bang.</t>
        </is>
      </c>
      <c r="I255" s="38" t="inlineStr">
        <is>
          <t>5.1. Exploración sobre la hipótesis del Big Bang.</t>
        </is>
      </c>
      <c r="J255" s="11" t="inlineStr">
        <is>
          <t>T8_27</t>
        </is>
      </c>
      <c r="K255" s="11" t="inlineStr">
        <is>
          <t>FUERA</t>
        </is>
      </c>
      <c r="L255" s="11" t="inlineStr"/>
      <c r="M255" s="11">
        <f>IF(K255="FUERA","Fuera del marco",IF(K255="N/A","Sin marco",IFERROR(INDEX('Datos - Catálogo TIMSS'!$C$5:$C$107,MATCH(K255,'Datos - Catálogo TIMSS'!$A$5:$A$107,0)),"Pendiente de clasificar")))</f>
        <v/>
      </c>
      <c r="N255" s="11">
        <f>IF(K255="FUERA","Fuera del marco",IF(K255="N/A","Sin marco",IFERROR(INDEX('Datos - Catálogo TIMSS'!$F$5:$F$107,MATCH(K255,'Datos - Catálogo TIMSS'!$A$5:$A$107,0)),"Pendiente de clasificar")))</f>
        <v/>
      </c>
      <c r="O255" s="11">
        <f>IF(L255="","",IFERROR(INDEX('Datos - Catálogo TIMSS'!$C$5:$C$107,MATCH(L255,'Datos - Catálogo TIMSS'!$A$5:$A$107,0)),"?"))</f>
        <v/>
      </c>
      <c r="P255" s="11" t="inlineStr">
        <is>
          <t>alta</t>
        </is>
      </c>
      <c r="Q255" s="38" t="inlineStr">
        <is>
          <t>Big Bang es cosmología; no está en el marco 2027.</t>
        </is>
      </c>
      <c r="R255" s="38" t="inlineStr">
        <is>
          <t>Conocer: describir hipótesis</t>
        </is>
      </c>
      <c r="S255" s="39">
        <f>IFERROR(ISNUMBER(SEARCH("Conocer",$R255))/(ISNUMBER(SEARCH("Conocer",$R255))+ISNUMBER(SEARCH("Aplicar",$R255))+ISNUMBER(SEARCH("Razonar",$R255))),0)</f>
        <v/>
      </c>
      <c r="T255" s="39">
        <f>IFERROR(ISNUMBER(SEARCH("Aplicar",$R255))/(ISNUMBER(SEARCH("Conocer",$R255))+ISNUMBER(SEARCH("Aplicar",$R255))+ISNUMBER(SEARCH("Razonar",$R255))),0)</f>
        <v/>
      </c>
      <c r="U255" s="39">
        <f>IFERROR(ISNUMBER(SEARCH("Razonar",$R255))/(ISNUMBER(SEARCH("Conocer",$R255))+ISNUMBER(SEARCH("Aplicar",$R255))+ISNUMBER(SEARCH("Razonar",$R255))),0)</f>
        <v/>
      </c>
      <c r="V255" s="11" t="inlineStr">
        <is>
          <t>5°</t>
        </is>
      </c>
      <c r="W255" s="11" t="inlineStr">
        <is>
          <t>Ciclo 5°–8°</t>
        </is>
      </c>
      <c r="X255" s="11">
        <f>IF(OR(IFERROR(INDEX('Datos - Catálogo TIMSS'!$I$5:$I$107,MATCH(K255,'Datos - Catálogo TIMSS'!$A$5:$A$107,0)),"No")="Sí",IFERROR(INDEX('Datos - Catálogo TIMSS'!$I$5:$I$107,MATCH(L255,'Datos - Catálogo TIMSS'!$A$5:$A$107,0)),"No")="Sí"),1,0)</f>
        <v/>
      </c>
      <c r="Y255" s="11">
        <f>IF(IFERROR(INDEX('Datos - Catálogo TIMSS'!$J$5:$J$107,MATCH(K255,'Datos - Catálogo TIMSS'!$A$5:$A$107,0)),"No")="Sí",1,0)</f>
        <v/>
      </c>
      <c r="Z255" s="11">
        <f>IF(IFERROR(INDEX('Datos - Catálogo TIMSS'!$J$5:$J$107,MATCH(L255,'Datos - Catálogo TIMSS'!$A$5:$A$107,0)),"No")="Sí",1,0)</f>
        <v/>
      </c>
      <c r="AA255" s="11" t="inlineStr">
        <is>
          <t>FUERA</t>
        </is>
      </c>
      <c r="AB255" s="11" t="inlineStr"/>
      <c r="AC255" s="11">
        <f>IF(AA255="FUERA","Fuera del marco",IF(AA255="N/A","Sin marco",IFERROR(INDEX('Datos - TIMSS 2023'!$C$5:$C$105,MATCH(AA255,'Datos - TIMSS 2023'!$A$5:$A$105,0)),"Pendiente de clasificar")))</f>
        <v/>
      </c>
      <c r="AD255" s="11" t="inlineStr">
        <is>
          <t>1. Explicar fenómenos científicamente</t>
        </is>
      </c>
      <c r="AE255" s="11">
        <f>IF(AD255="","",IF(LEFT(AD255,1)="1","C1",IF(LEFT(AD255,1)="2","C2",IF(LEFT(AD255,1)="3","C3",""))))</f>
        <v/>
      </c>
      <c r="AF255" s="11" t="inlineStr">
        <is>
          <t>E1</t>
        </is>
      </c>
      <c r="AG255" s="11" t="inlineStr">
        <is>
          <t>E5</t>
        </is>
      </c>
      <c r="AH255" s="11" t="inlineStr">
        <is>
          <t>E1</t>
        </is>
      </c>
      <c r="AI255" s="11" t="inlineStr">
        <is>
          <t>I2</t>
        </is>
      </c>
      <c r="AJ255" s="11" t="inlineStr">
        <is>
          <t>E6</t>
        </is>
      </c>
      <c r="AK255" s="11" t="n"/>
      <c r="AL255" s="11" t="n"/>
      <c r="AM255" s="11" t="n"/>
      <c r="AN255" s="11" t="n"/>
      <c r="AO255" s="11" t="n"/>
      <c r="AP255" s="11" t="n"/>
      <c r="AQ255" s="11" t="n"/>
      <c r="AR255" s="11" t="n"/>
      <c r="AS255" s="11" t="n"/>
      <c r="AT255" s="11" t="n"/>
      <c r="AU255" s="11" t="n"/>
      <c r="AV255" s="11" t="n"/>
      <c r="AW255" s="11">
        <f>AF255&amp;"; "&amp;AG255&amp;"; "&amp;AH255&amp;"; "&amp;AI255&amp;"; "&amp;AJ255</f>
        <v/>
      </c>
    </row>
    <row r="256">
      <c r="A256" s="11" t="inlineStr">
        <is>
          <t>T0890-G05-CIE</t>
        </is>
      </c>
      <c r="B256" s="11" t="n">
        <v>5</v>
      </c>
      <c r="C256" s="11" t="inlineStr">
        <is>
          <t>Ciencias</t>
        </is>
      </c>
      <c r="D256" s="11" t="inlineStr">
        <is>
          <t>Matriz_Ciencias_5to_Grado_U1_U6.xlsx</t>
        </is>
      </c>
      <c r="E256" s="11" t="inlineStr">
        <is>
          <t>Unidad 5 - Ciencias del espacio</t>
        </is>
      </c>
      <c r="F256" s="11" t="n">
        <v>4</v>
      </c>
      <c r="G256" s="11" t="inlineStr">
        <is>
          <t>5. Ciencias del espacio.</t>
        </is>
      </c>
      <c r="H256" s="11" t="inlineStr">
        <is>
          <t>El Big Bang.</t>
        </is>
      </c>
      <c r="I256" s="38" t="inlineStr">
        <is>
          <t>5.2. Visualización de las escalas astronómicas de tiempo y distancia astronómica.</t>
        </is>
      </c>
      <c r="J256" s="11" t="inlineStr">
        <is>
          <t>T8_27</t>
        </is>
      </c>
      <c r="K256" s="11" t="inlineStr">
        <is>
          <t>FUERA</t>
        </is>
      </c>
      <c r="L256" s="11" t="inlineStr"/>
      <c r="M256" s="11">
        <f>IF(K256="FUERA","Fuera del marco",IF(K256="N/A","Sin marco",IFERROR(INDEX('Datos - Catálogo TIMSS'!$C$5:$C$107,MATCH(K256,'Datos - Catálogo TIMSS'!$A$5:$A$107,0)),"Pendiente de clasificar")))</f>
        <v/>
      </c>
      <c r="N256" s="11">
        <f>IF(K256="FUERA","Fuera del marco",IF(K256="N/A","Sin marco",IFERROR(INDEX('Datos - Catálogo TIMSS'!$F$5:$F$107,MATCH(K256,'Datos - Catálogo TIMSS'!$A$5:$A$107,0)),"Pendiente de clasificar")))</f>
        <v/>
      </c>
      <c r="O256" s="11">
        <f>IF(L256="","",IFERROR(INDEX('Datos - Catálogo TIMSS'!$C$5:$C$107,MATCH(L256,'Datos - Catálogo TIMSS'!$A$5:$A$107,0)),"?"))</f>
        <v/>
      </c>
      <c r="P256" s="11" t="inlineStr">
        <is>
          <t>media</t>
        </is>
      </c>
      <c r="Q256" s="38" t="inlineStr">
        <is>
          <t>Escalas cósmicas de tiempo y distancia; fuera del objetivo E4.2.</t>
        </is>
      </c>
      <c r="R256" s="38" t="inlineStr">
        <is>
          <t>Aplicar: usar escalas</t>
        </is>
      </c>
      <c r="S256" s="39">
        <f>IFERROR(ISNUMBER(SEARCH("Conocer",$R256))/(ISNUMBER(SEARCH("Conocer",$R256))+ISNUMBER(SEARCH("Aplicar",$R256))+ISNUMBER(SEARCH("Razonar",$R256))),0)</f>
        <v/>
      </c>
      <c r="T256" s="39">
        <f>IFERROR(ISNUMBER(SEARCH("Aplicar",$R256))/(ISNUMBER(SEARCH("Conocer",$R256))+ISNUMBER(SEARCH("Aplicar",$R256))+ISNUMBER(SEARCH("Razonar",$R256))),0)</f>
        <v/>
      </c>
      <c r="U256" s="39">
        <f>IFERROR(ISNUMBER(SEARCH("Razonar",$R256))/(ISNUMBER(SEARCH("Conocer",$R256))+ISNUMBER(SEARCH("Aplicar",$R256))+ISNUMBER(SEARCH("Razonar",$R256))),0)</f>
        <v/>
      </c>
      <c r="V256" s="11" t="inlineStr">
        <is>
          <t>5°</t>
        </is>
      </c>
      <c r="W256" s="11" t="inlineStr">
        <is>
          <t>Ciclo 5°–8°</t>
        </is>
      </c>
      <c r="X256" s="11">
        <f>IF(OR(IFERROR(INDEX('Datos - Catálogo TIMSS'!$I$5:$I$107,MATCH(K256,'Datos - Catálogo TIMSS'!$A$5:$A$107,0)),"No")="Sí",IFERROR(INDEX('Datos - Catálogo TIMSS'!$I$5:$I$107,MATCH(L256,'Datos - Catálogo TIMSS'!$A$5:$A$107,0)),"No")="Sí"),1,0)</f>
        <v/>
      </c>
      <c r="Y256" s="11">
        <f>IF(IFERROR(INDEX('Datos - Catálogo TIMSS'!$J$5:$J$107,MATCH(K256,'Datos - Catálogo TIMSS'!$A$5:$A$107,0)),"No")="Sí",1,0)</f>
        <v/>
      </c>
      <c r="Z256" s="11">
        <f>IF(IFERROR(INDEX('Datos - Catálogo TIMSS'!$J$5:$J$107,MATCH(L256,'Datos - Catálogo TIMSS'!$A$5:$A$107,0)),"No")="Sí",1,0)</f>
        <v/>
      </c>
      <c r="AA256" s="11" t="inlineStr">
        <is>
          <t>FUERA</t>
        </is>
      </c>
      <c r="AB256" s="11" t="inlineStr"/>
      <c r="AC256" s="11">
        <f>IF(AA256="FUERA","Fuera del marco",IF(AA256="N/A","Sin marco",IFERROR(INDEX('Datos - TIMSS 2023'!$C$5:$C$105,MATCH(AA256,'Datos - TIMSS 2023'!$A$5:$A$105,0)),"Pendiente de clasificar")))</f>
        <v/>
      </c>
      <c r="AD256" s="11" t="inlineStr">
        <is>
          <t>2. Construir y evaluar diseños para la indagación científica e interpretar datos y evidencia de forma crítica</t>
        </is>
      </c>
      <c r="AE256" s="11">
        <f>IF(AD256="","",IF(LEFT(AD256,1)="1","C1",IF(LEFT(AD256,1)="2","C2",IF(LEFT(AD256,1)="3","C3",""))))</f>
        <v/>
      </c>
      <c r="AF256" s="11" t="inlineStr">
        <is>
          <t>E1</t>
        </is>
      </c>
      <c r="AG256" s="11" t="inlineStr">
        <is>
          <t>D1</t>
        </is>
      </c>
      <c r="AH256" s="11" t="inlineStr">
        <is>
          <t>E4</t>
        </is>
      </c>
      <c r="AI256" s="11" t="inlineStr">
        <is>
          <t>D4</t>
        </is>
      </c>
      <c r="AJ256" s="11" t="inlineStr">
        <is>
          <t>E3</t>
        </is>
      </c>
      <c r="AK256" s="11" t="n"/>
      <c r="AL256" s="11" t="n"/>
      <c r="AM256" s="11" t="n"/>
      <c r="AN256" s="11" t="n"/>
      <c r="AO256" s="11" t="n"/>
      <c r="AP256" s="11" t="n"/>
      <c r="AQ256" s="11" t="n"/>
      <c r="AR256" s="11" t="n"/>
      <c r="AS256" s="11" t="n"/>
      <c r="AT256" s="11" t="n"/>
      <c r="AU256" s="11" t="n"/>
      <c r="AV256" s="11" t="n"/>
      <c r="AW256" s="11">
        <f>AF256&amp;"; "&amp;AG256&amp;"; "&amp;AH256&amp;"; "&amp;AI256&amp;"; "&amp;AJ256</f>
        <v/>
      </c>
    </row>
    <row r="257">
      <c r="A257" s="11" t="inlineStr">
        <is>
          <t>T0891-G05-CIE</t>
        </is>
      </c>
      <c r="B257" s="11" t="n">
        <v>5</v>
      </c>
      <c r="C257" s="11" t="inlineStr">
        <is>
          <t>Ciencias</t>
        </is>
      </c>
      <c r="D257" s="11" t="inlineStr">
        <is>
          <t>Matriz_Ciencias_5to_Grado_U1_U6.xlsx</t>
        </is>
      </c>
      <c r="E257" s="11" t="inlineStr">
        <is>
          <t>Unidad 5 - Ciencias del espacio</t>
        </is>
      </c>
      <c r="F257" s="11" t="n">
        <v>5</v>
      </c>
      <c r="G257" s="11" t="inlineStr">
        <is>
          <t>5. Ciencias del espacio.</t>
        </is>
      </c>
      <c r="H257" s="11" t="inlineStr">
        <is>
          <t>Formación del sistema solar.</t>
        </is>
      </c>
      <c r="I257" s="38" t="inlineStr">
        <is>
          <t>5.3. Modelación de la formación del sistema solar.</t>
        </is>
      </c>
      <c r="J257" s="11" t="inlineStr">
        <is>
          <t>T8_27</t>
        </is>
      </c>
      <c r="K257" s="11" t="inlineStr">
        <is>
          <t>T8_27-E4.2</t>
        </is>
      </c>
      <c r="L257" s="11" t="inlineStr"/>
      <c r="M257" s="11">
        <f>IF(K257="FUERA","Fuera del marco",IF(K257="N/A","Sin marco",IFERROR(INDEX('Datos - Catálogo TIMSS'!$C$5:$C$107,MATCH(K257,'Datos - Catálogo TIMSS'!$A$5:$A$107,0)),"Pendiente de clasificar")))</f>
        <v/>
      </c>
      <c r="N257" s="11">
        <f>IF(K257="FUERA","Fuera del marco",IF(K257="N/A","Sin marco",IFERROR(INDEX('Datos - Catálogo TIMSS'!$F$5:$F$107,MATCH(K257,'Datos - Catálogo TIMSS'!$A$5:$A$107,0)),"Pendiente de clasificar")))</f>
        <v/>
      </c>
      <c r="O257" s="11">
        <f>IF(L257="","",IFERROR(INDEX('Datos - Catálogo TIMSS'!$C$5:$C$107,MATCH(L257,'Datos - Catálogo TIMSS'!$A$5:$A$107,0)),"?"))</f>
        <v/>
      </c>
      <c r="P257" s="11" t="inlineStr">
        <is>
          <t>baja</t>
        </is>
      </c>
      <c r="Q257" s="38" t="inlineStr">
        <is>
          <t>Formación del sistema solar; objetivo solo describe Sol y planetas.</t>
        </is>
      </c>
      <c r="R257" s="38" t="inlineStr">
        <is>
          <t>Aplicar: usar modelos</t>
        </is>
      </c>
      <c r="S257" s="39">
        <f>IFERROR(ISNUMBER(SEARCH("Conocer",$R257))/(ISNUMBER(SEARCH("Conocer",$R257))+ISNUMBER(SEARCH("Aplicar",$R257))+ISNUMBER(SEARCH("Razonar",$R257))),0)</f>
        <v/>
      </c>
      <c r="T257" s="39">
        <f>IFERROR(ISNUMBER(SEARCH("Aplicar",$R257))/(ISNUMBER(SEARCH("Conocer",$R257))+ISNUMBER(SEARCH("Aplicar",$R257))+ISNUMBER(SEARCH("Razonar",$R257))),0)</f>
        <v/>
      </c>
      <c r="U257" s="39">
        <f>IFERROR(ISNUMBER(SEARCH("Razonar",$R257))/(ISNUMBER(SEARCH("Conocer",$R257))+ISNUMBER(SEARCH("Aplicar",$R257))+ISNUMBER(SEARCH("Razonar",$R257))),0)</f>
        <v/>
      </c>
      <c r="V257" s="11" t="inlineStr">
        <is>
          <t>5°</t>
        </is>
      </c>
      <c r="W257" s="11" t="inlineStr">
        <is>
          <t>Ciclo 5°–8°</t>
        </is>
      </c>
      <c r="X257" s="11">
        <f>IF(OR(IFERROR(INDEX('Datos - Catálogo TIMSS'!$I$5:$I$107,MATCH(K257,'Datos - Catálogo TIMSS'!$A$5:$A$107,0)),"No")="Sí",IFERROR(INDEX('Datos - Catálogo TIMSS'!$I$5:$I$107,MATCH(L257,'Datos - Catálogo TIMSS'!$A$5:$A$107,0)),"No")="Sí"),1,0)</f>
        <v/>
      </c>
      <c r="Y257" s="11">
        <f>IF(IFERROR(INDEX('Datos - Catálogo TIMSS'!$J$5:$J$107,MATCH(K257,'Datos - Catálogo TIMSS'!$A$5:$A$107,0)),"No")="Sí",1,0)</f>
        <v/>
      </c>
      <c r="Z257" s="11">
        <f>IF(IFERROR(INDEX('Datos - Catálogo TIMSS'!$J$5:$J$107,MATCH(L257,'Datos - Catálogo TIMSS'!$A$5:$A$107,0)),"No")="Sí",1,0)</f>
        <v/>
      </c>
      <c r="AA257" s="11" t="inlineStr">
        <is>
          <t>T8-T4.2</t>
        </is>
      </c>
      <c r="AB257" s="11" t="inlineStr"/>
      <c r="AC257" s="11">
        <f>IF(AA257="FUERA","Fuera del marco",IF(AA257="N/A","Sin marco",IFERROR(INDEX('Datos - TIMSS 2023'!$C$5:$C$105,MATCH(AA257,'Datos - TIMSS 2023'!$A$5:$A$105,0)),"Pendiente de clasificar")))</f>
        <v/>
      </c>
      <c r="AD257" s="11" t="inlineStr">
        <is>
          <t>1. Explicar fenómenos científicamente</t>
        </is>
      </c>
      <c r="AE257" s="11">
        <f>IF(AD257="","",IF(LEFT(AD257,1)="1","C1",IF(LEFT(AD257,1)="2","C2",IF(LEFT(AD257,1)="3","C3",""))))</f>
        <v/>
      </c>
      <c r="AF257" s="11" t="inlineStr">
        <is>
          <t>E1</t>
        </is>
      </c>
      <c r="AG257" s="11" t="inlineStr">
        <is>
          <t>E5</t>
        </is>
      </c>
      <c r="AH257" s="11" t="inlineStr">
        <is>
          <t>E4</t>
        </is>
      </c>
      <c r="AI257" s="11" t="inlineStr">
        <is>
          <t>E4</t>
        </is>
      </c>
      <c r="AJ257" s="11" t="inlineStr">
        <is>
          <t>E1</t>
        </is>
      </c>
      <c r="AK257" s="11" t="n"/>
      <c r="AL257" s="11" t="n"/>
      <c r="AM257" s="11" t="n"/>
      <c r="AN257" s="11" t="n"/>
      <c r="AO257" s="11" t="n"/>
      <c r="AP257" s="11" t="n"/>
      <c r="AQ257" s="11" t="n"/>
      <c r="AR257" s="11" t="n"/>
      <c r="AS257" s="11" t="n"/>
      <c r="AT257" s="11" t="n"/>
      <c r="AU257" s="11" t="n"/>
      <c r="AV257" s="11" t="n"/>
      <c r="AW257" s="11">
        <f>AF257&amp;"; "&amp;AG257&amp;"; "&amp;AH257&amp;"; "&amp;AI257&amp;"; "&amp;AJ257</f>
        <v/>
      </c>
    </row>
    <row r="258">
      <c r="A258" s="11" t="inlineStr">
        <is>
          <t>T0892-G05-CIE</t>
        </is>
      </c>
      <c r="B258" s="11" t="n">
        <v>5</v>
      </c>
      <c r="C258" s="11" t="inlineStr">
        <is>
          <t>Ciencias</t>
        </is>
      </c>
      <c r="D258" s="11" t="inlineStr">
        <is>
          <t>Matriz_Ciencias_5to_Grado_U1_U6.xlsx</t>
        </is>
      </c>
      <c r="E258" s="11" t="inlineStr">
        <is>
          <t>Unidad 5 - Ciencias del espacio</t>
        </is>
      </c>
      <c r="F258" s="11" t="n">
        <v>6</v>
      </c>
      <c r="G258" s="11" t="inlineStr">
        <is>
          <t>5. Ciencias del espacio.</t>
        </is>
      </c>
      <c r="H258" s="11" t="inlineStr">
        <is>
          <t>Evolución estelar.</t>
        </is>
      </c>
      <c r="I258" s="38" t="inlineStr">
        <is>
          <t>5.4. Caracterización de tipos de galaxias: tamaño y formas.</t>
        </is>
      </c>
      <c r="J258" s="11" t="inlineStr">
        <is>
          <t>T8_27</t>
        </is>
      </c>
      <c r="K258" s="11" t="inlineStr">
        <is>
          <t>FUERA</t>
        </is>
      </c>
      <c r="L258" s="11" t="inlineStr"/>
      <c r="M258" s="11">
        <f>IF(K258="FUERA","Fuera del marco",IF(K258="N/A","Sin marco",IFERROR(INDEX('Datos - Catálogo TIMSS'!$C$5:$C$107,MATCH(K258,'Datos - Catálogo TIMSS'!$A$5:$A$107,0)),"Pendiente de clasificar")))</f>
        <v/>
      </c>
      <c r="N258" s="11">
        <f>IF(K258="FUERA","Fuera del marco",IF(K258="N/A","Sin marco",IFERROR(INDEX('Datos - Catálogo TIMSS'!$F$5:$F$107,MATCH(K258,'Datos - Catálogo TIMSS'!$A$5:$A$107,0)),"Pendiente de clasificar")))</f>
        <v/>
      </c>
      <c r="O258" s="11">
        <f>IF(L258="","",IFERROR(INDEX('Datos - Catálogo TIMSS'!$C$5:$C$107,MATCH(L258,'Datos - Catálogo TIMSS'!$A$5:$A$107,0)),"?"))</f>
        <v/>
      </c>
      <c r="P258" s="11" t="inlineStr">
        <is>
          <t>alta</t>
        </is>
      </c>
      <c r="Q258" s="38" t="inlineStr">
        <is>
          <t>Galaxias no figuran en el marco 2027.</t>
        </is>
      </c>
      <c r="R258" s="38" t="inlineStr">
        <is>
          <t>Aplicar: clasificar</t>
        </is>
      </c>
      <c r="S258" s="39">
        <f>IFERROR(ISNUMBER(SEARCH("Conocer",$R258))/(ISNUMBER(SEARCH("Conocer",$R258))+ISNUMBER(SEARCH("Aplicar",$R258))+ISNUMBER(SEARCH("Razonar",$R258))),0)</f>
        <v/>
      </c>
      <c r="T258" s="39">
        <f>IFERROR(ISNUMBER(SEARCH("Aplicar",$R258))/(ISNUMBER(SEARCH("Conocer",$R258))+ISNUMBER(SEARCH("Aplicar",$R258))+ISNUMBER(SEARCH("Razonar",$R258))),0)</f>
        <v/>
      </c>
      <c r="U258" s="39">
        <f>IFERROR(ISNUMBER(SEARCH("Razonar",$R258))/(ISNUMBER(SEARCH("Conocer",$R258))+ISNUMBER(SEARCH("Aplicar",$R258))+ISNUMBER(SEARCH("Razonar",$R258))),0)</f>
        <v/>
      </c>
      <c r="V258" s="11" t="inlineStr">
        <is>
          <t>5°</t>
        </is>
      </c>
      <c r="W258" s="11" t="inlineStr">
        <is>
          <t>Ciclo 5°–8°</t>
        </is>
      </c>
      <c r="X258" s="11">
        <f>IF(OR(IFERROR(INDEX('Datos - Catálogo TIMSS'!$I$5:$I$107,MATCH(K258,'Datos - Catálogo TIMSS'!$A$5:$A$107,0)),"No")="Sí",IFERROR(INDEX('Datos - Catálogo TIMSS'!$I$5:$I$107,MATCH(L258,'Datos - Catálogo TIMSS'!$A$5:$A$107,0)),"No")="Sí"),1,0)</f>
        <v/>
      </c>
      <c r="Y258" s="11">
        <f>IF(IFERROR(INDEX('Datos - Catálogo TIMSS'!$J$5:$J$107,MATCH(K258,'Datos - Catálogo TIMSS'!$A$5:$A$107,0)),"No")="Sí",1,0)</f>
        <v/>
      </c>
      <c r="Z258" s="11">
        <f>IF(IFERROR(INDEX('Datos - Catálogo TIMSS'!$J$5:$J$107,MATCH(L258,'Datos - Catálogo TIMSS'!$A$5:$A$107,0)),"No")="Sí",1,0)</f>
        <v/>
      </c>
      <c r="AA258" s="11" t="inlineStr">
        <is>
          <t>FUERA</t>
        </is>
      </c>
      <c r="AB258" s="11" t="inlineStr"/>
      <c r="AC258" s="11">
        <f>IF(AA258="FUERA","Fuera del marco",IF(AA258="N/A","Sin marco",IFERROR(INDEX('Datos - TIMSS 2023'!$C$5:$C$105,MATCH(AA258,'Datos - TIMSS 2023'!$A$5:$A$105,0)),"Pendiente de clasificar")))</f>
        <v/>
      </c>
      <c r="AD258" s="11" t="inlineStr">
        <is>
          <t>2. Construir y evaluar diseños para la indagación científica e interpretar datos y evidencia de forma crítica</t>
        </is>
      </c>
      <c r="AE258" s="11">
        <f>IF(AD258="","",IF(LEFT(AD258,1)="1","C1",IF(LEFT(AD258,1)="2","C2",IF(LEFT(AD258,1)="3","C3",""))))</f>
        <v/>
      </c>
      <c r="AF258" s="11" t="inlineStr">
        <is>
          <t>E1</t>
        </is>
      </c>
      <c r="AG258" s="11" t="inlineStr">
        <is>
          <t>D1</t>
        </is>
      </c>
      <c r="AH258" s="11" t="inlineStr">
        <is>
          <t>E1</t>
        </is>
      </c>
      <c r="AI258" s="11" t="inlineStr">
        <is>
          <t>D4</t>
        </is>
      </c>
      <c r="AJ258" s="11" t="inlineStr">
        <is>
          <t>E1</t>
        </is>
      </c>
      <c r="AK258" s="11" t="n"/>
      <c r="AL258" s="11" t="n"/>
      <c r="AM258" s="11" t="n"/>
      <c r="AN258" s="11" t="n"/>
      <c r="AO258" s="11" t="n"/>
      <c r="AP258" s="11" t="n"/>
      <c r="AQ258" s="11" t="n"/>
      <c r="AR258" s="11" t="n"/>
      <c r="AS258" s="11" t="n"/>
      <c r="AT258" s="11" t="n"/>
      <c r="AU258" s="11" t="n"/>
      <c r="AV258" s="11" t="n"/>
      <c r="AW258" s="11">
        <f>AF258&amp;"; "&amp;AG258&amp;"; "&amp;AH258&amp;"; "&amp;AI258&amp;"; "&amp;AJ258</f>
        <v/>
      </c>
    </row>
    <row r="259">
      <c r="A259" s="11" t="inlineStr">
        <is>
          <t>T0893-G05-CIE</t>
        </is>
      </c>
      <c r="B259" s="11" t="n">
        <v>5</v>
      </c>
      <c r="C259" s="11" t="inlineStr">
        <is>
          <t>Ciencias</t>
        </is>
      </c>
      <c r="D259" s="11" t="inlineStr">
        <is>
          <t>Matriz_Ciencias_5to_Grado_U1_U6.xlsx</t>
        </is>
      </c>
      <c r="E259" s="11" t="inlineStr">
        <is>
          <t>Unidad 5 - Ciencias del espacio</t>
        </is>
      </c>
      <c r="F259" s="11" t="n">
        <v>7</v>
      </c>
      <c r="G259" s="11" t="inlineStr">
        <is>
          <t>5. Ciencias del espacio.</t>
        </is>
      </c>
      <c r="H259" s="11" t="inlineStr">
        <is>
          <t>Evolución estelar.</t>
        </is>
      </c>
      <c r="I259" s="38" t="inlineStr">
        <is>
          <t>5.5. Explicación de la interacción entre nebulosas y estrellas.</t>
        </is>
      </c>
      <c r="J259" s="11" t="inlineStr">
        <is>
          <t>T8_27</t>
        </is>
      </c>
      <c r="K259" s="11" t="inlineStr">
        <is>
          <t>FUERA</t>
        </is>
      </c>
      <c r="L259" s="11" t="inlineStr"/>
      <c r="M259" s="11">
        <f>IF(K259="FUERA","Fuera del marco",IF(K259="N/A","Sin marco",IFERROR(INDEX('Datos - Catálogo TIMSS'!$C$5:$C$107,MATCH(K259,'Datos - Catálogo TIMSS'!$A$5:$A$107,0)),"Pendiente de clasificar")))</f>
        <v/>
      </c>
      <c r="N259" s="11">
        <f>IF(K259="FUERA","Fuera del marco",IF(K259="N/A","Sin marco",IFERROR(INDEX('Datos - Catálogo TIMSS'!$F$5:$F$107,MATCH(K259,'Datos - Catálogo TIMSS'!$A$5:$A$107,0)),"Pendiente de clasificar")))</f>
        <v/>
      </c>
      <c r="O259" s="11">
        <f>IF(L259="","",IFERROR(INDEX('Datos - Catálogo TIMSS'!$C$5:$C$107,MATCH(L259,'Datos - Catálogo TIMSS'!$A$5:$A$107,0)),"?"))</f>
        <v/>
      </c>
      <c r="P259" s="11" t="inlineStr">
        <is>
          <t>media</t>
        </is>
      </c>
      <c r="Q259" s="38" t="inlineStr">
        <is>
          <t>Nebulosas y estrellas lejanas eliminadas del marco 2027.</t>
        </is>
      </c>
      <c r="R259" s="38" t="inlineStr">
        <is>
          <t>Conocer: describir procesos</t>
        </is>
      </c>
      <c r="S259" s="39">
        <f>IFERROR(ISNUMBER(SEARCH("Conocer",$R259))/(ISNUMBER(SEARCH("Conocer",$R259))+ISNUMBER(SEARCH("Aplicar",$R259))+ISNUMBER(SEARCH("Razonar",$R259))),0)</f>
        <v/>
      </c>
      <c r="T259" s="39">
        <f>IFERROR(ISNUMBER(SEARCH("Aplicar",$R259))/(ISNUMBER(SEARCH("Conocer",$R259))+ISNUMBER(SEARCH("Aplicar",$R259))+ISNUMBER(SEARCH("Razonar",$R259))),0)</f>
        <v/>
      </c>
      <c r="U259" s="39">
        <f>IFERROR(ISNUMBER(SEARCH("Razonar",$R259))/(ISNUMBER(SEARCH("Conocer",$R259))+ISNUMBER(SEARCH("Aplicar",$R259))+ISNUMBER(SEARCH("Razonar",$R259))),0)</f>
        <v/>
      </c>
      <c r="V259" s="11" t="inlineStr">
        <is>
          <t>5°</t>
        </is>
      </c>
      <c r="W259" s="11" t="inlineStr">
        <is>
          <t>Ciclo 5°–8°</t>
        </is>
      </c>
      <c r="X259" s="11">
        <f>IF(OR(IFERROR(INDEX('Datos - Catálogo TIMSS'!$I$5:$I$107,MATCH(K259,'Datos - Catálogo TIMSS'!$A$5:$A$107,0)),"No")="Sí",IFERROR(INDEX('Datos - Catálogo TIMSS'!$I$5:$I$107,MATCH(L259,'Datos - Catálogo TIMSS'!$A$5:$A$107,0)),"No")="Sí"),1,0)</f>
        <v/>
      </c>
      <c r="Y259" s="11">
        <f>IF(IFERROR(INDEX('Datos - Catálogo TIMSS'!$J$5:$J$107,MATCH(K259,'Datos - Catálogo TIMSS'!$A$5:$A$107,0)),"No")="Sí",1,0)</f>
        <v/>
      </c>
      <c r="Z259" s="11">
        <f>IF(IFERROR(INDEX('Datos - Catálogo TIMSS'!$J$5:$J$107,MATCH(L259,'Datos - Catálogo TIMSS'!$A$5:$A$107,0)),"No")="Sí",1,0)</f>
        <v/>
      </c>
      <c r="AA259" s="11" t="inlineStr">
        <is>
          <t>T8-T4.2</t>
        </is>
      </c>
      <c r="AB259" s="11" t="inlineStr"/>
      <c r="AC259" s="11">
        <f>IF(AA259="FUERA","Fuera del marco",IF(AA259="N/A","Sin marco",IFERROR(INDEX('Datos - TIMSS 2023'!$C$5:$C$105,MATCH(AA259,'Datos - TIMSS 2023'!$A$5:$A$105,0)),"Pendiente de clasificar")))</f>
        <v/>
      </c>
      <c r="AD259" s="11" t="inlineStr">
        <is>
          <t>1. Explicar fenómenos científicamente</t>
        </is>
      </c>
      <c r="AE259" s="11">
        <f>IF(AD259="","",IF(LEFT(AD259,1)="1","C1",IF(LEFT(AD259,1)="2","C2",IF(LEFT(AD259,1)="3","C3",""))))</f>
        <v/>
      </c>
      <c r="AF259" s="11" t="inlineStr">
        <is>
          <t>E1</t>
        </is>
      </c>
      <c r="AG259" s="11" t="inlineStr">
        <is>
          <t>D1</t>
        </is>
      </c>
      <c r="AH259" s="11" t="inlineStr">
        <is>
          <t>E1</t>
        </is>
      </c>
      <c r="AI259" s="11" t="inlineStr">
        <is>
          <t>D4</t>
        </is>
      </c>
      <c r="AJ259" s="11" t="inlineStr">
        <is>
          <t>E6</t>
        </is>
      </c>
      <c r="AK259" s="11" t="n"/>
      <c r="AL259" s="11" t="n"/>
      <c r="AM259" s="11" t="n"/>
      <c r="AN259" s="11" t="n"/>
      <c r="AO259" s="11" t="n"/>
      <c r="AP259" s="11" t="n"/>
      <c r="AQ259" s="11" t="n"/>
      <c r="AR259" s="11" t="n"/>
      <c r="AS259" s="11" t="n"/>
      <c r="AT259" s="11" t="n"/>
      <c r="AU259" s="11" t="n"/>
      <c r="AV259" s="11" t="n"/>
      <c r="AW259" s="11">
        <f>AF259&amp;"; "&amp;AG259&amp;"; "&amp;AH259&amp;"; "&amp;AI259&amp;"; "&amp;AJ259</f>
        <v/>
      </c>
    </row>
    <row r="260">
      <c r="A260" s="11" t="inlineStr">
        <is>
          <t>T0894-G05-CIE</t>
        </is>
      </c>
      <c r="B260" s="11" t="n">
        <v>5</v>
      </c>
      <c r="C260" s="11" t="inlineStr">
        <is>
          <t>Ciencias</t>
        </is>
      </c>
      <c r="D260" s="11" t="inlineStr">
        <is>
          <t>Matriz_Ciencias_5to_Grado_U1_U6.xlsx</t>
        </is>
      </c>
      <c r="E260" s="11" t="inlineStr">
        <is>
          <t>Unidad 5 - Ciencias del espacio</t>
        </is>
      </c>
      <c r="F260" s="11" t="n">
        <v>8</v>
      </c>
      <c r="G260" s="11" t="inlineStr">
        <is>
          <t>5. Ciencias del espacio.</t>
        </is>
      </c>
      <c r="H260" s="11" t="inlineStr">
        <is>
          <t>Evolución estelar.</t>
        </is>
      </c>
      <c r="I260" s="38" t="inlineStr">
        <is>
          <t>5.6. Clasificación de la evolución estelar.</t>
        </is>
      </c>
      <c r="J260" s="11" t="inlineStr">
        <is>
          <t>T8_27</t>
        </is>
      </c>
      <c r="K260" s="11" t="inlineStr">
        <is>
          <t>FUERA</t>
        </is>
      </c>
      <c r="L260" s="11" t="inlineStr"/>
      <c r="M260" s="11">
        <f>IF(K260="FUERA","Fuera del marco",IF(K260="N/A","Sin marco",IFERROR(INDEX('Datos - Catálogo TIMSS'!$C$5:$C$107,MATCH(K260,'Datos - Catálogo TIMSS'!$A$5:$A$107,0)),"Pendiente de clasificar")))</f>
        <v/>
      </c>
      <c r="N260" s="11">
        <f>IF(K260="FUERA","Fuera del marco",IF(K260="N/A","Sin marco",IFERROR(INDEX('Datos - Catálogo TIMSS'!$F$5:$F$107,MATCH(K260,'Datos - Catálogo TIMSS'!$A$5:$A$107,0)),"Pendiente de clasificar")))</f>
        <v/>
      </c>
      <c r="O260" s="11">
        <f>IF(L260="","",IFERROR(INDEX('Datos - Catálogo TIMSS'!$C$5:$C$107,MATCH(L260,'Datos - Catálogo TIMSS'!$A$5:$A$107,0)),"?"))</f>
        <v/>
      </c>
      <c r="P260" s="11" t="inlineStr">
        <is>
          <t>media</t>
        </is>
      </c>
      <c r="Q260" s="38" t="inlineStr">
        <is>
          <t>Evolución estelar y otras estrellas eliminadas del marco 2027.</t>
        </is>
      </c>
      <c r="R260" s="38" t="inlineStr">
        <is>
          <t>Aplicar: clasificar</t>
        </is>
      </c>
      <c r="S260" s="39">
        <f>IFERROR(ISNUMBER(SEARCH("Conocer",$R260))/(ISNUMBER(SEARCH("Conocer",$R260))+ISNUMBER(SEARCH("Aplicar",$R260))+ISNUMBER(SEARCH("Razonar",$R260))),0)</f>
        <v/>
      </c>
      <c r="T260" s="39">
        <f>IFERROR(ISNUMBER(SEARCH("Aplicar",$R260))/(ISNUMBER(SEARCH("Conocer",$R260))+ISNUMBER(SEARCH("Aplicar",$R260))+ISNUMBER(SEARCH("Razonar",$R260))),0)</f>
        <v/>
      </c>
      <c r="U260" s="39">
        <f>IFERROR(ISNUMBER(SEARCH("Razonar",$R260))/(ISNUMBER(SEARCH("Conocer",$R260))+ISNUMBER(SEARCH("Aplicar",$R260))+ISNUMBER(SEARCH("Razonar",$R260))),0)</f>
        <v/>
      </c>
      <c r="V260" s="11" t="inlineStr">
        <is>
          <t>5°</t>
        </is>
      </c>
      <c r="W260" s="11" t="inlineStr">
        <is>
          <t>Ciclo 5°–8°</t>
        </is>
      </c>
      <c r="X260" s="11">
        <f>IF(OR(IFERROR(INDEX('Datos - Catálogo TIMSS'!$I$5:$I$107,MATCH(K260,'Datos - Catálogo TIMSS'!$A$5:$A$107,0)),"No")="Sí",IFERROR(INDEX('Datos - Catálogo TIMSS'!$I$5:$I$107,MATCH(L260,'Datos - Catálogo TIMSS'!$A$5:$A$107,0)),"No")="Sí"),1,0)</f>
        <v/>
      </c>
      <c r="Y260" s="11">
        <f>IF(IFERROR(INDEX('Datos - Catálogo TIMSS'!$J$5:$J$107,MATCH(K260,'Datos - Catálogo TIMSS'!$A$5:$A$107,0)),"No")="Sí",1,0)</f>
        <v/>
      </c>
      <c r="Z260" s="11">
        <f>IF(IFERROR(INDEX('Datos - Catálogo TIMSS'!$J$5:$J$107,MATCH(L260,'Datos - Catálogo TIMSS'!$A$5:$A$107,0)),"No")="Sí",1,0)</f>
        <v/>
      </c>
      <c r="AA260" s="11" t="inlineStr">
        <is>
          <t>T8-T4.2</t>
        </is>
      </c>
      <c r="AB260" s="11" t="inlineStr"/>
      <c r="AC260" s="11">
        <f>IF(AA260="FUERA","Fuera del marco",IF(AA260="N/A","Sin marco",IFERROR(INDEX('Datos - TIMSS 2023'!$C$5:$C$105,MATCH(AA260,'Datos - TIMSS 2023'!$A$5:$A$105,0)),"Pendiente de clasificar")))</f>
        <v/>
      </c>
      <c r="AD260" s="11" t="inlineStr">
        <is>
          <t>2. Construir y evaluar diseños para la indagación científica e interpretar datos y evidencia de forma crítica</t>
        </is>
      </c>
      <c r="AE260" s="11">
        <f>IF(AD260="","",IF(LEFT(AD260,1)="1","C1",IF(LEFT(AD260,1)="2","C2",IF(LEFT(AD260,1)="3","C3",""))))</f>
        <v/>
      </c>
      <c r="AF260" s="11" t="inlineStr">
        <is>
          <t>E1</t>
        </is>
      </c>
      <c r="AG260" s="11" t="inlineStr">
        <is>
          <t>D1</t>
        </is>
      </c>
      <c r="AH260" s="11" t="inlineStr">
        <is>
          <t>E2</t>
        </is>
      </c>
      <c r="AI260" s="11" t="inlineStr">
        <is>
          <t>D4</t>
        </is>
      </c>
      <c r="AJ260" s="11" t="inlineStr">
        <is>
          <t>E1</t>
        </is>
      </c>
      <c r="AK260" s="11" t="n"/>
      <c r="AL260" s="11" t="n"/>
      <c r="AM260" s="11" t="n"/>
      <c r="AN260" s="11" t="n"/>
      <c r="AO260" s="11" t="n"/>
      <c r="AP260" s="11" t="n"/>
      <c r="AQ260" s="11" t="n"/>
      <c r="AR260" s="11" t="n"/>
      <c r="AS260" s="11" t="n"/>
      <c r="AT260" s="11" t="n"/>
      <c r="AU260" s="11" t="n"/>
      <c r="AV260" s="11" t="n"/>
      <c r="AW260" s="11">
        <f>AF260&amp;"; "&amp;AG260&amp;"; "&amp;AH260&amp;"; "&amp;AI260&amp;"; "&amp;AJ260</f>
        <v/>
      </c>
    </row>
    <row r="261">
      <c r="A261" s="11" t="inlineStr">
        <is>
          <t>T0895-G05-CIE</t>
        </is>
      </c>
      <c r="B261" s="11" t="n">
        <v>5</v>
      </c>
      <c r="C261" s="11" t="inlineStr">
        <is>
          <t>Ciencias</t>
        </is>
      </c>
      <c r="D261" s="11" t="inlineStr">
        <is>
          <t>Matriz_Ciencias_5to_Grado_U1_U6.xlsx</t>
        </is>
      </c>
      <c r="E261" s="11" t="inlineStr">
        <is>
          <t>Unidad 5 - Ciencias del espacio</t>
        </is>
      </c>
      <c r="F261" s="11" t="n">
        <v>9</v>
      </c>
      <c r="G261" s="11" t="inlineStr">
        <is>
          <t>5. Ciencias del espacio.</t>
        </is>
      </c>
      <c r="H261" s="11" t="inlineStr">
        <is>
          <t>Misiones espaciales.</t>
        </is>
      </c>
      <c r="I261" s="38" t="inlineStr">
        <is>
          <t>5.7. Exposición sobre misiones de exploración del sistema solar.</t>
        </is>
      </c>
      <c r="J261" s="11" t="inlineStr">
        <is>
          <t>T8_27</t>
        </is>
      </c>
      <c r="K261" s="11" t="inlineStr">
        <is>
          <t>T8_27-E4.2</t>
        </is>
      </c>
      <c r="L261" s="11" t="inlineStr"/>
      <c r="M261" s="11">
        <f>IF(K261="FUERA","Fuera del marco",IF(K261="N/A","Sin marco",IFERROR(INDEX('Datos - Catálogo TIMSS'!$C$5:$C$107,MATCH(K261,'Datos - Catálogo TIMSS'!$A$5:$A$107,0)),"Pendiente de clasificar")))</f>
        <v/>
      </c>
      <c r="N261" s="11">
        <f>IF(K261="FUERA","Fuera del marco",IF(K261="N/A","Sin marco",IFERROR(INDEX('Datos - Catálogo TIMSS'!$F$5:$F$107,MATCH(K261,'Datos - Catálogo TIMSS'!$A$5:$A$107,0)),"Pendiente de clasificar")))</f>
        <v/>
      </c>
      <c r="O261" s="11">
        <f>IF(L261="","",IFERROR(INDEX('Datos - Catálogo TIMSS'!$C$5:$C$107,MATCH(L261,'Datos - Catálogo TIMSS'!$A$5:$A$107,0)),"?"))</f>
        <v/>
      </c>
      <c r="P261" s="11" t="inlineStr">
        <is>
          <t>media</t>
        </is>
      </c>
      <c r="Q261" s="38" t="inlineStr">
        <is>
          <t>Misiones aportan datos para comparar planetas del sistema solar.</t>
        </is>
      </c>
      <c r="R261" s="38" t="inlineStr">
        <is>
          <t>Aplicar: organizar información. Razonar: justificar</t>
        </is>
      </c>
      <c r="S261" s="39">
        <f>IFERROR(ISNUMBER(SEARCH("Conocer",$R261))/(ISNUMBER(SEARCH("Conocer",$R261))+ISNUMBER(SEARCH("Aplicar",$R261))+ISNUMBER(SEARCH("Razonar",$R261))),0)</f>
        <v/>
      </c>
      <c r="T261" s="39">
        <f>IFERROR(ISNUMBER(SEARCH("Aplicar",$R261))/(ISNUMBER(SEARCH("Conocer",$R261))+ISNUMBER(SEARCH("Aplicar",$R261))+ISNUMBER(SEARCH("Razonar",$R261))),0)</f>
        <v/>
      </c>
      <c r="U261" s="39">
        <f>IFERROR(ISNUMBER(SEARCH("Razonar",$R261))/(ISNUMBER(SEARCH("Conocer",$R261))+ISNUMBER(SEARCH("Aplicar",$R261))+ISNUMBER(SEARCH("Razonar",$R261))),0)</f>
        <v/>
      </c>
      <c r="V261" s="11" t="inlineStr">
        <is>
          <t>5°</t>
        </is>
      </c>
      <c r="W261" s="11" t="inlineStr">
        <is>
          <t>Ciclo 5°–8°</t>
        </is>
      </c>
      <c r="X261" s="11">
        <f>IF(OR(IFERROR(INDEX('Datos - Catálogo TIMSS'!$I$5:$I$107,MATCH(K261,'Datos - Catálogo TIMSS'!$A$5:$A$107,0)),"No")="Sí",IFERROR(INDEX('Datos - Catálogo TIMSS'!$I$5:$I$107,MATCH(L261,'Datos - Catálogo TIMSS'!$A$5:$A$107,0)),"No")="Sí"),1,0)</f>
        <v/>
      </c>
      <c r="Y261" s="11">
        <f>IF(IFERROR(INDEX('Datos - Catálogo TIMSS'!$J$5:$J$107,MATCH(K261,'Datos - Catálogo TIMSS'!$A$5:$A$107,0)),"No")="Sí",1,0)</f>
        <v/>
      </c>
      <c r="Z261" s="11">
        <f>IF(IFERROR(INDEX('Datos - Catálogo TIMSS'!$J$5:$J$107,MATCH(L261,'Datos - Catálogo TIMSS'!$A$5:$A$107,0)),"No")="Sí",1,0)</f>
        <v/>
      </c>
      <c r="AA261" s="11" t="inlineStr">
        <is>
          <t>T8-T4.2</t>
        </is>
      </c>
      <c r="AB261" s="11" t="inlineStr"/>
      <c r="AC261" s="11">
        <f>IF(AA261="FUERA","Fuera del marco",IF(AA261="N/A","Sin marco",IFERROR(INDEX('Datos - TIMSS 2023'!$C$5:$C$105,MATCH(AA261,'Datos - TIMSS 2023'!$A$5:$A$105,0)),"Pendiente de clasificar")))</f>
        <v/>
      </c>
      <c r="AD261" s="11" t="inlineStr">
        <is>
          <t>3. Investigar, evaluar y usar información científica para tomar decisiones y actuar</t>
        </is>
      </c>
      <c r="AE261" s="11">
        <f>IF(AD261="","",IF(LEFT(AD261,1)="1","C1",IF(LEFT(AD261,1)="2","C2",IF(LEFT(AD261,1)="3","C3",""))))</f>
        <v/>
      </c>
      <c r="AF261" s="11" t="inlineStr">
        <is>
          <t>E1</t>
        </is>
      </c>
      <c r="AG261" s="11" t="inlineStr">
        <is>
          <t>D1</t>
        </is>
      </c>
      <c r="AH261" s="11" t="inlineStr">
        <is>
          <t>E1</t>
        </is>
      </c>
      <c r="AI261" s="11" t="inlineStr">
        <is>
          <t>I1</t>
        </is>
      </c>
      <c r="AJ261" s="11" t="inlineStr">
        <is>
          <t>I5</t>
        </is>
      </c>
      <c r="AK261" s="11" t="n"/>
      <c r="AL261" s="11" t="n"/>
      <c r="AM261" s="11" t="n"/>
      <c r="AN261" s="11" t="n"/>
      <c r="AO261" s="11" t="n"/>
      <c r="AP261" s="11" t="n"/>
      <c r="AQ261" s="11" t="n"/>
      <c r="AR261" s="11" t="n"/>
      <c r="AS261" s="11" t="n"/>
      <c r="AT261" s="11" t="n"/>
      <c r="AU261" s="11" t="n"/>
      <c r="AV261" s="11" t="n"/>
      <c r="AW261" s="11">
        <f>AF261&amp;"; "&amp;AG261&amp;"; "&amp;AH261&amp;"; "&amp;AI261&amp;"; "&amp;AJ261</f>
        <v/>
      </c>
    </row>
    <row r="262">
      <c r="A262" s="11" t="inlineStr">
        <is>
          <t>T0896-G05-CIE</t>
        </is>
      </c>
      <c r="B262" s="11" t="n">
        <v>5</v>
      </c>
      <c r="C262" s="11" t="inlineStr">
        <is>
          <t>Ciencias</t>
        </is>
      </c>
      <c r="D262" s="11" t="inlineStr">
        <is>
          <t>Matriz_Ciencias_5to_Grado_U1_U6.xlsx</t>
        </is>
      </c>
      <c r="E262" s="11" t="inlineStr">
        <is>
          <t>Unidad 5 - Ciencias del espacio</t>
        </is>
      </c>
      <c r="F262" s="11" t="n">
        <v>10</v>
      </c>
      <c r="G262" s="11" t="inlineStr">
        <is>
          <t>5. Ciencias del espacio.</t>
        </is>
      </c>
      <c r="H262" s="11" t="inlineStr">
        <is>
          <t>Formación de la Tierra.</t>
        </is>
      </c>
      <c r="I262" s="38" t="inlineStr">
        <is>
          <t>5.8. Modelación de la formación de la corteza terrestre.</t>
        </is>
      </c>
      <c r="J262" s="11" t="inlineStr">
        <is>
          <t>T8_27</t>
        </is>
      </c>
      <c r="K262" s="11" t="inlineStr">
        <is>
          <t>T8_27-E1.1</t>
        </is>
      </c>
      <c r="L262" s="11" t="inlineStr"/>
      <c r="M262" s="11">
        <f>IF(K262="FUERA","Fuera del marco",IF(K262="N/A","Sin marco",IFERROR(INDEX('Datos - Catálogo TIMSS'!$C$5:$C$107,MATCH(K262,'Datos - Catálogo TIMSS'!$A$5:$A$107,0)),"Pendiente de clasificar")))</f>
        <v/>
      </c>
      <c r="N262" s="11">
        <f>IF(K262="FUERA","Fuera del marco",IF(K262="N/A","Sin marco",IFERROR(INDEX('Datos - Catálogo TIMSS'!$F$5:$F$107,MATCH(K262,'Datos - Catálogo TIMSS'!$A$5:$A$107,0)),"Pendiente de clasificar")))</f>
        <v/>
      </c>
      <c r="O262" s="11">
        <f>IF(L262="","",IFERROR(INDEX('Datos - Catálogo TIMSS'!$C$5:$C$107,MATCH(L262,'Datos - Catálogo TIMSS'!$A$5:$A$107,0)),"?"))</f>
        <v/>
      </c>
      <c r="P262" s="11" t="inlineStr">
        <is>
          <t>media</t>
        </is>
      </c>
      <c r="Q262" s="38" t="inlineStr">
        <is>
          <t>Formación y características de la corteza terrestre.</t>
        </is>
      </c>
      <c r="R262" s="38" t="inlineStr">
        <is>
          <t>Aplicar: usar modelos</t>
        </is>
      </c>
      <c r="S262" s="39">
        <f>IFERROR(ISNUMBER(SEARCH("Conocer",$R262))/(ISNUMBER(SEARCH("Conocer",$R262))+ISNUMBER(SEARCH("Aplicar",$R262))+ISNUMBER(SEARCH("Razonar",$R262))),0)</f>
        <v/>
      </c>
      <c r="T262" s="39">
        <f>IFERROR(ISNUMBER(SEARCH("Aplicar",$R262))/(ISNUMBER(SEARCH("Conocer",$R262))+ISNUMBER(SEARCH("Aplicar",$R262))+ISNUMBER(SEARCH("Razonar",$R262))),0)</f>
        <v/>
      </c>
      <c r="U262" s="39">
        <f>IFERROR(ISNUMBER(SEARCH("Razonar",$R262))/(ISNUMBER(SEARCH("Conocer",$R262))+ISNUMBER(SEARCH("Aplicar",$R262))+ISNUMBER(SEARCH("Razonar",$R262))),0)</f>
        <v/>
      </c>
      <c r="V262" s="11" t="inlineStr">
        <is>
          <t>5°</t>
        </is>
      </c>
      <c r="W262" s="11" t="inlineStr">
        <is>
          <t>Ciclo 5°–8°</t>
        </is>
      </c>
      <c r="X262" s="11">
        <f>IF(OR(IFERROR(INDEX('Datos - Catálogo TIMSS'!$I$5:$I$107,MATCH(K262,'Datos - Catálogo TIMSS'!$A$5:$A$107,0)),"No")="Sí",IFERROR(INDEX('Datos - Catálogo TIMSS'!$I$5:$I$107,MATCH(L262,'Datos - Catálogo TIMSS'!$A$5:$A$107,0)),"No")="Sí"),1,0)</f>
        <v/>
      </c>
      <c r="Y262" s="11">
        <f>IF(IFERROR(INDEX('Datos - Catálogo TIMSS'!$J$5:$J$107,MATCH(K262,'Datos - Catálogo TIMSS'!$A$5:$A$107,0)),"No")="Sí",1,0)</f>
        <v/>
      </c>
      <c r="Z262" s="11">
        <f>IF(IFERROR(INDEX('Datos - Catálogo TIMSS'!$J$5:$J$107,MATCH(L262,'Datos - Catálogo TIMSS'!$A$5:$A$107,0)),"No")="Sí",1,0)</f>
        <v/>
      </c>
      <c r="AA262" s="11" t="inlineStr">
        <is>
          <t>T8-T1.1</t>
        </is>
      </c>
      <c r="AB262" s="11" t="inlineStr"/>
      <c r="AC262" s="11">
        <f>IF(AA262="FUERA","Fuera del marco",IF(AA262="N/A","Sin marco",IFERROR(INDEX('Datos - TIMSS 2023'!$C$5:$C$105,MATCH(AA262,'Datos - TIMSS 2023'!$A$5:$A$105,0)),"Pendiente de clasificar")))</f>
        <v/>
      </c>
      <c r="AD262" s="11" t="inlineStr">
        <is>
          <t>1. Explicar fenómenos científicamente</t>
        </is>
      </c>
      <c r="AE262" s="11">
        <f>IF(AD262="","",IF(LEFT(AD262,1)="1","C1",IF(LEFT(AD262,1)="2","C2",IF(LEFT(AD262,1)="3","C3",""))))</f>
        <v/>
      </c>
      <c r="AF262" s="11" t="inlineStr">
        <is>
          <t>E1</t>
        </is>
      </c>
      <c r="AG262" s="11" t="inlineStr">
        <is>
          <t>E5</t>
        </is>
      </c>
      <c r="AH262" s="11" t="inlineStr">
        <is>
          <t>E4</t>
        </is>
      </c>
      <c r="AI262" s="11" t="inlineStr">
        <is>
          <t>E4</t>
        </is>
      </c>
      <c r="AJ262" s="11" t="inlineStr">
        <is>
          <t>E1</t>
        </is>
      </c>
      <c r="AK262" s="11" t="n"/>
      <c r="AL262" s="11" t="n"/>
      <c r="AM262" s="11" t="n"/>
      <c r="AN262" s="11" t="n"/>
      <c r="AO262" s="11" t="n"/>
      <c r="AP262" s="11" t="n"/>
      <c r="AQ262" s="11" t="n"/>
      <c r="AR262" s="11" t="n"/>
      <c r="AS262" s="11" t="n"/>
      <c r="AT262" s="11" t="n"/>
      <c r="AU262" s="11" t="n"/>
      <c r="AV262" s="11" t="n"/>
      <c r="AW262" s="11">
        <f>AF262&amp;"; "&amp;AG262&amp;"; "&amp;AH262&amp;"; "&amp;AI262&amp;"; "&amp;AJ262</f>
        <v/>
      </c>
    </row>
    <row r="263">
      <c r="A263" s="11" t="inlineStr">
        <is>
          <t>T0897-G05-CIE</t>
        </is>
      </c>
      <c r="B263" s="11" t="n">
        <v>5</v>
      </c>
      <c r="C263" s="11" t="inlineStr">
        <is>
          <t>Ciencias</t>
        </is>
      </c>
      <c r="D263" s="11" t="inlineStr">
        <is>
          <t>Matriz_Ciencias_5to_Grado_U1_U6.xlsx</t>
        </is>
      </c>
      <c r="E263" s="11" t="inlineStr">
        <is>
          <t>Unidad 5 - Ciencias del espacio</t>
        </is>
      </c>
      <c r="F263" s="11" t="n">
        <v>11</v>
      </c>
      <c r="G263" s="11" t="inlineStr">
        <is>
          <t>5. Ciencias del espacio.</t>
        </is>
      </c>
      <c r="H263" s="11" t="inlineStr">
        <is>
          <t>Formación de la Tierra.</t>
        </is>
      </c>
      <c r="I263" s="38" t="inlineStr">
        <is>
          <t>5.9. Indagación sobre el campo magnético de la Tierra.</t>
        </is>
      </c>
      <c r="J263" s="11" t="inlineStr">
        <is>
          <t>T8_27</t>
        </is>
      </c>
      <c r="K263" s="11" t="inlineStr">
        <is>
          <t>T8_27-P4.2</t>
        </is>
      </c>
      <c r="L263" s="11" t="inlineStr">
        <is>
          <t>T8_27-E1.1</t>
        </is>
      </c>
      <c r="M263" s="11">
        <f>IF(K263="FUERA","Fuera del marco",IF(K263="N/A","Sin marco",IFERROR(INDEX('Datos - Catálogo TIMSS'!$C$5:$C$107,MATCH(K263,'Datos - Catálogo TIMSS'!$A$5:$A$107,0)),"Pendiente de clasificar")))</f>
        <v/>
      </c>
      <c r="N263" s="11">
        <f>IF(K263="FUERA","Fuera del marco",IF(K263="N/A","Sin marco",IFERROR(INDEX('Datos - Catálogo TIMSS'!$F$5:$F$107,MATCH(K263,'Datos - Catálogo TIMSS'!$A$5:$A$107,0)),"Pendiente de clasificar")))</f>
        <v/>
      </c>
      <c r="O263" s="11">
        <f>IF(L263="","",IFERROR(INDEX('Datos - Catálogo TIMSS'!$C$5:$C$107,MATCH(L263,'Datos - Catálogo TIMSS'!$A$5:$A$107,0)),"?"))</f>
        <v/>
      </c>
      <c r="P263" s="11" t="inlineStr">
        <is>
          <t>media</t>
        </is>
      </c>
      <c r="Q263" s="38" t="inlineStr">
        <is>
          <t>Brújula e imanes; campo magnético ligado al núcleo terrestre.</t>
        </is>
      </c>
      <c r="R263" s="38" t="inlineStr">
        <is>
          <t>Aplicar: construir y comprobar</t>
        </is>
      </c>
      <c r="S263" s="39">
        <f>IFERROR(ISNUMBER(SEARCH("Conocer",$R263))/(ISNUMBER(SEARCH("Conocer",$R263))+ISNUMBER(SEARCH("Aplicar",$R263))+ISNUMBER(SEARCH("Razonar",$R263))),0)</f>
        <v/>
      </c>
      <c r="T263" s="39">
        <f>IFERROR(ISNUMBER(SEARCH("Aplicar",$R263))/(ISNUMBER(SEARCH("Conocer",$R263))+ISNUMBER(SEARCH("Aplicar",$R263))+ISNUMBER(SEARCH("Razonar",$R263))),0)</f>
        <v/>
      </c>
      <c r="U263" s="39">
        <f>IFERROR(ISNUMBER(SEARCH("Razonar",$R263))/(ISNUMBER(SEARCH("Conocer",$R263))+ISNUMBER(SEARCH("Aplicar",$R263))+ISNUMBER(SEARCH("Razonar",$R263))),0)</f>
        <v/>
      </c>
      <c r="V263" s="11" t="inlineStr">
        <is>
          <t>5°</t>
        </is>
      </c>
      <c r="W263" s="11" t="inlineStr">
        <is>
          <t>Ciclo 5°–8°</t>
        </is>
      </c>
      <c r="X263" s="11">
        <f>IF(OR(IFERROR(INDEX('Datos - Catálogo TIMSS'!$I$5:$I$107,MATCH(K263,'Datos - Catálogo TIMSS'!$A$5:$A$107,0)),"No")="Sí",IFERROR(INDEX('Datos - Catálogo TIMSS'!$I$5:$I$107,MATCH(L263,'Datos - Catálogo TIMSS'!$A$5:$A$107,0)),"No")="Sí"),1,0)</f>
        <v/>
      </c>
      <c r="Y263" s="11">
        <f>IF(IFERROR(INDEX('Datos - Catálogo TIMSS'!$J$5:$J$107,MATCH(K263,'Datos - Catálogo TIMSS'!$A$5:$A$107,0)),"No")="Sí",1,0)</f>
        <v/>
      </c>
      <c r="Z263" s="11">
        <f>IF(IFERROR(INDEX('Datos - Catálogo TIMSS'!$J$5:$J$107,MATCH(L263,'Datos - Catálogo TIMSS'!$A$5:$A$107,0)),"No")="Sí",1,0)</f>
        <v/>
      </c>
      <c r="AA263" s="11" t="inlineStr">
        <is>
          <t>T8-F4.2</t>
        </is>
      </c>
      <c r="AB263" s="11" t="inlineStr">
        <is>
          <t>T8-T1.1</t>
        </is>
      </c>
      <c r="AC263" s="11">
        <f>IF(AA263="FUERA","Fuera del marco",IF(AA263="N/A","Sin marco",IFERROR(INDEX('Datos - TIMSS 2023'!$C$5:$C$105,MATCH(AA263,'Datos - TIMSS 2023'!$A$5:$A$105,0)),"Pendiente de clasificar")))</f>
        <v/>
      </c>
      <c r="AD263" s="11" t="inlineStr">
        <is>
          <t>2. Construir y evaluar diseños para la indagación científica e interpretar datos y evidencia de forma crítica</t>
        </is>
      </c>
      <c r="AE263" s="11">
        <f>IF(AD263="","",IF(LEFT(AD263,1)="1","C1",IF(LEFT(AD263,1)="2","C2",IF(LEFT(AD263,1)="3","C3",""))))</f>
        <v/>
      </c>
      <c r="AF263" s="11" t="inlineStr">
        <is>
          <t>E1</t>
        </is>
      </c>
      <c r="AG263" s="11" t="inlineStr">
        <is>
          <t>E5</t>
        </is>
      </c>
      <c r="AH263" s="11" t="inlineStr">
        <is>
          <t>E1</t>
        </is>
      </c>
      <c r="AI263" s="11" t="inlineStr">
        <is>
          <t>D2</t>
        </is>
      </c>
      <c r="AJ263" s="11" t="inlineStr">
        <is>
          <t>E6</t>
        </is>
      </c>
      <c r="AK263" s="11" t="n"/>
      <c r="AL263" s="11" t="n"/>
      <c r="AM263" s="11" t="n"/>
      <c r="AN263" s="11" t="n"/>
      <c r="AO263" s="11" t="n"/>
      <c r="AP263" s="11" t="n"/>
      <c r="AQ263" s="11" t="n"/>
      <c r="AR263" s="11" t="n"/>
      <c r="AS263" s="11" t="n"/>
      <c r="AT263" s="11" t="n"/>
      <c r="AU263" s="11" t="n"/>
      <c r="AV263" s="11" t="n"/>
      <c r="AW263" s="11">
        <f>AF263&amp;"; "&amp;AG263&amp;"; "&amp;AH263&amp;"; "&amp;AI263&amp;"; "&amp;AJ263</f>
        <v/>
      </c>
    </row>
    <row r="264">
      <c r="A264" s="11" t="inlineStr">
        <is>
          <t>T0898-G05-CIE</t>
        </is>
      </c>
      <c r="B264" s="11" t="n">
        <v>5</v>
      </c>
      <c r="C264" s="11" t="inlineStr">
        <is>
          <t>Ciencias</t>
        </is>
      </c>
      <c r="D264" s="11" t="inlineStr">
        <is>
          <t>Matriz_Ciencias_5to_Grado_U1_U6.xlsx</t>
        </is>
      </c>
      <c r="E264" s="11" t="inlineStr">
        <is>
          <t>Unidad 6 - Ciencias de la Tierr</t>
        </is>
      </c>
      <c r="F264" s="11" t="n">
        <v>3</v>
      </c>
      <c r="G264" s="11" t="inlineStr">
        <is>
          <t>6. Ciencias de la Tierra.</t>
        </is>
      </c>
      <c r="H264" s="11" t="inlineStr">
        <is>
          <t>Tiempo geológico.</t>
        </is>
      </c>
      <c r="I264" s="38" t="inlineStr">
        <is>
          <t>6.1. Categorización del tiempo geológico: eones, eras, períodos.</t>
        </is>
      </c>
      <c r="J264" s="11" t="inlineStr">
        <is>
          <t>T8_27</t>
        </is>
      </c>
      <c r="K264" s="11" t="inlineStr">
        <is>
          <t>T8_27-E1.2</t>
        </is>
      </c>
      <c r="L264" s="11" t="inlineStr">
        <is>
          <t>T8_27-B4.2</t>
        </is>
      </c>
      <c r="M264" s="11">
        <f>IF(K264="FUERA","Fuera del marco",IF(K264="N/A","Sin marco",IFERROR(INDEX('Datos - Catálogo TIMSS'!$C$5:$C$107,MATCH(K264,'Datos - Catálogo TIMSS'!$A$5:$A$107,0)),"Pendiente de clasificar")))</f>
        <v/>
      </c>
      <c r="N264" s="11">
        <f>IF(K264="FUERA","Fuera del marco",IF(K264="N/A","Sin marco",IFERROR(INDEX('Datos - Catálogo TIMSS'!$F$5:$F$107,MATCH(K264,'Datos - Catálogo TIMSS'!$A$5:$A$107,0)),"Pendiente de clasificar")))</f>
        <v/>
      </c>
      <c r="O264" s="11">
        <f>IF(L264="","",IFERROR(INDEX('Datos - Catálogo TIMSS'!$C$5:$C$107,MATCH(L264,'Datos - Catálogo TIMSS'!$A$5:$A$107,0)),"?"))</f>
        <v/>
      </c>
      <c r="P264" s="11" t="inlineStr">
        <is>
          <t>media</t>
        </is>
      </c>
      <c r="Q264" s="38" t="inlineStr">
        <is>
          <t>Escala geológica y registro fósil para inferir cambios.</t>
        </is>
      </c>
      <c r="R264" s="38" t="inlineStr">
        <is>
          <t>Aplicar: organizar y usar escalas</t>
        </is>
      </c>
      <c r="S264" s="39">
        <f>IFERROR(ISNUMBER(SEARCH("Conocer",$R264))/(ISNUMBER(SEARCH("Conocer",$R264))+ISNUMBER(SEARCH("Aplicar",$R264))+ISNUMBER(SEARCH("Razonar",$R264))),0)</f>
        <v/>
      </c>
      <c r="T264" s="39">
        <f>IFERROR(ISNUMBER(SEARCH("Aplicar",$R264))/(ISNUMBER(SEARCH("Conocer",$R264))+ISNUMBER(SEARCH("Aplicar",$R264))+ISNUMBER(SEARCH("Razonar",$R264))),0)</f>
        <v/>
      </c>
      <c r="U264" s="39">
        <f>IFERROR(ISNUMBER(SEARCH("Razonar",$R264))/(ISNUMBER(SEARCH("Conocer",$R264))+ISNUMBER(SEARCH("Aplicar",$R264))+ISNUMBER(SEARCH("Razonar",$R264))),0)</f>
        <v/>
      </c>
      <c r="V264" s="11" t="inlineStr">
        <is>
          <t>5°</t>
        </is>
      </c>
      <c r="W264" s="11" t="inlineStr">
        <is>
          <t>Ciclo 5°–8°</t>
        </is>
      </c>
      <c r="X264" s="11">
        <f>IF(OR(IFERROR(INDEX('Datos - Catálogo TIMSS'!$I$5:$I$107,MATCH(K264,'Datos - Catálogo TIMSS'!$A$5:$A$107,0)),"No")="Sí",IFERROR(INDEX('Datos - Catálogo TIMSS'!$I$5:$I$107,MATCH(L264,'Datos - Catálogo TIMSS'!$A$5:$A$107,0)),"No")="Sí"),1,0)</f>
        <v/>
      </c>
      <c r="Y264" s="11">
        <f>IF(IFERROR(INDEX('Datos - Catálogo TIMSS'!$J$5:$J$107,MATCH(K264,'Datos - Catálogo TIMSS'!$A$5:$A$107,0)),"No")="Sí",1,0)</f>
        <v/>
      </c>
      <c r="Z264" s="11">
        <f>IF(IFERROR(INDEX('Datos - Catálogo TIMSS'!$J$5:$J$107,MATCH(L264,'Datos - Catálogo TIMSS'!$A$5:$A$107,0)),"No")="Sí",1,0)</f>
        <v/>
      </c>
      <c r="AA264" s="11" t="inlineStr">
        <is>
          <t>T8-T2.1</t>
        </is>
      </c>
      <c r="AB264" s="11" t="inlineStr">
        <is>
          <t>T8-B4.2</t>
        </is>
      </c>
      <c r="AC264" s="11">
        <f>IF(AA264="FUERA","Fuera del marco",IF(AA264="N/A","Sin marco",IFERROR(INDEX('Datos - TIMSS 2023'!$C$5:$C$105,MATCH(AA264,'Datos - TIMSS 2023'!$A$5:$A$105,0)),"Pendiente de clasificar")))</f>
        <v/>
      </c>
      <c r="AD264" s="11" t="inlineStr">
        <is>
          <t>2. Construir y evaluar diseños para la indagación científica e interpretar datos y evidencia de forma crítica</t>
        </is>
      </c>
      <c r="AE264" s="11">
        <f>IF(AD264="","",IF(LEFT(AD264,1)="1","C1",IF(LEFT(AD264,1)="2","C2",IF(LEFT(AD264,1)="3","C3",""))))</f>
        <v/>
      </c>
      <c r="AF264" s="11" t="inlineStr">
        <is>
          <t>E1</t>
        </is>
      </c>
      <c r="AG264" s="11" t="inlineStr">
        <is>
          <t>D1</t>
        </is>
      </c>
      <c r="AH264" s="11" t="inlineStr">
        <is>
          <t>E2</t>
        </is>
      </c>
      <c r="AI264" s="11" t="inlineStr">
        <is>
          <t>D4</t>
        </is>
      </c>
      <c r="AJ264" s="11" t="inlineStr">
        <is>
          <t>E1</t>
        </is>
      </c>
      <c r="AK264" s="11" t="n"/>
      <c r="AL264" s="11" t="n"/>
      <c r="AM264" s="11" t="n"/>
      <c r="AN264" s="11" t="n"/>
      <c r="AO264" s="11" t="n"/>
      <c r="AP264" s="11" t="n"/>
      <c r="AQ264" s="11" t="n"/>
      <c r="AR264" s="11" t="n"/>
      <c r="AS264" s="11" t="n"/>
      <c r="AT264" s="11" t="n"/>
      <c r="AU264" s="11" t="n"/>
      <c r="AV264" s="11" t="n"/>
      <c r="AW264" s="11">
        <f>AF264&amp;"; "&amp;AG264&amp;"; "&amp;AH264&amp;"; "&amp;AI264&amp;"; "&amp;AJ264</f>
        <v/>
      </c>
    </row>
    <row r="265">
      <c r="A265" s="11" t="inlineStr">
        <is>
          <t>T0899-G05-CIE</t>
        </is>
      </c>
      <c r="B265" s="11" t="n">
        <v>5</v>
      </c>
      <c r="C265" s="11" t="inlineStr">
        <is>
          <t>Ciencias</t>
        </is>
      </c>
      <c r="D265" s="11" t="inlineStr">
        <is>
          <t>Matriz_Ciencias_5to_Grado_U1_U6.xlsx</t>
        </is>
      </c>
      <c r="E265" s="11" t="inlineStr">
        <is>
          <t>Unidad 6 - Ciencias de la Tierr</t>
        </is>
      </c>
      <c r="F265" s="11" t="n">
        <v>4</v>
      </c>
      <c r="G265" s="11" t="inlineStr">
        <is>
          <t>6. Ciencias de la Tierra.</t>
        </is>
      </c>
      <c r="H265" s="11" t="inlineStr">
        <is>
          <t>Tiempo geológico.</t>
        </is>
      </c>
      <c r="I265" s="38" t="inlineStr">
        <is>
          <t>6.2. Modelación del proceso de formación de fósiles.</t>
        </is>
      </c>
      <c r="J265" s="11" t="inlineStr">
        <is>
          <t>T8_27</t>
        </is>
      </c>
      <c r="K265" s="11" t="inlineStr">
        <is>
          <t>T8_27-E1.2</t>
        </is>
      </c>
      <c r="L265" s="11" t="inlineStr"/>
      <c r="M265" s="11">
        <f>IF(K265="FUERA","Fuera del marco",IF(K265="N/A","Sin marco",IFERROR(INDEX('Datos - Catálogo TIMSS'!$C$5:$C$107,MATCH(K265,'Datos - Catálogo TIMSS'!$A$5:$A$107,0)),"Pendiente de clasificar")))</f>
        <v/>
      </c>
      <c r="N265" s="11">
        <f>IF(K265="FUERA","Fuera del marco",IF(K265="N/A","Sin marco",IFERROR(INDEX('Datos - Catálogo TIMSS'!$F$5:$F$107,MATCH(K265,'Datos - Catálogo TIMSS'!$A$5:$A$107,0)),"Pendiente de clasificar")))</f>
        <v/>
      </c>
      <c r="O265" s="11">
        <f>IF(L265="","",IFERROR(INDEX('Datos - Catálogo TIMSS'!$C$5:$C$107,MATCH(L265,'Datos - Catálogo TIMSS'!$A$5:$A$107,0)),"?"))</f>
        <v/>
      </c>
      <c r="P265" s="11" t="inlineStr">
        <is>
          <t>alta</t>
        </is>
      </c>
      <c r="Q265" s="38" t="inlineStr">
        <is>
          <t>Formación de fósiles, explícita en procesos geológicos.</t>
        </is>
      </c>
      <c r="R265" s="38" t="inlineStr">
        <is>
          <t>Aplicar: usar modelos</t>
        </is>
      </c>
      <c r="S265" s="39">
        <f>IFERROR(ISNUMBER(SEARCH("Conocer",$R265))/(ISNUMBER(SEARCH("Conocer",$R265))+ISNUMBER(SEARCH("Aplicar",$R265))+ISNUMBER(SEARCH("Razonar",$R265))),0)</f>
        <v/>
      </c>
      <c r="T265" s="39">
        <f>IFERROR(ISNUMBER(SEARCH("Aplicar",$R265))/(ISNUMBER(SEARCH("Conocer",$R265))+ISNUMBER(SEARCH("Aplicar",$R265))+ISNUMBER(SEARCH("Razonar",$R265))),0)</f>
        <v/>
      </c>
      <c r="U265" s="39">
        <f>IFERROR(ISNUMBER(SEARCH("Razonar",$R265))/(ISNUMBER(SEARCH("Conocer",$R265))+ISNUMBER(SEARCH("Aplicar",$R265))+ISNUMBER(SEARCH("Razonar",$R265))),0)</f>
        <v/>
      </c>
      <c r="V265" s="11" t="inlineStr">
        <is>
          <t>5°</t>
        </is>
      </c>
      <c r="W265" s="11" t="inlineStr">
        <is>
          <t>Ciclo 5°–8°</t>
        </is>
      </c>
      <c r="X265" s="11">
        <f>IF(OR(IFERROR(INDEX('Datos - Catálogo TIMSS'!$I$5:$I$107,MATCH(K265,'Datos - Catálogo TIMSS'!$A$5:$A$107,0)),"No")="Sí",IFERROR(INDEX('Datos - Catálogo TIMSS'!$I$5:$I$107,MATCH(L265,'Datos - Catálogo TIMSS'!$A$5:$A$107,0)),"No")="Sí"),1,0)</f>
        <v/>
      </c>
      <c r="Y265" s="11">
        <f>IF(IFERROR(INDEX('Datos - Catálogo TIMSS'!$J$5:$J$107,MATCH(K265,'Datos - Catálogo TIMSS'!$A$5:$A$107,0)),"No")="Sí",1,0)</f>
        <v/>
      </c>
      <c r="Z265" s="11">
        <f>IF(IFERROR(INDEX('Datos - Catálogo TIMSS'!$J$5:$J$107,MATCH(L265,'Datos - Catálogo TIMSS'!$A$5:$A$107,0)),"No")="Sí",1,0)</f>
        <v/>
      </c>
      <c r="AA265" s="11" t="inlineStr">
        <is>
          <t>T8-T2.1</t>
        </is>
      </c>
      <c r="AB265" s="11" t="inlineStr">
        <is>
          <t>T8-B4.2</t>
        </is>
      </c>
      <c r="AC265" s="11">
        <f>IF(AA265="FUERA","Fuera del marco",IF(AA265="N/A","Sin marco",IFERROR(INDEX('Datos - TIMSS 2023'!$C$5:$C$105,MATCH(AA265,'Datos - TIMSS 2023'!$A$5:$A$105,0)),"Pendiente de clasificar")))</f>
        <v/>
      </c>
      <c r="AD265" s="11" t="inlineStr">
        <is>
          <t>1. Explicar fenómenos científicamente</t>
        </is>
      </c>
      <c r="AE265" s="11">
        <f>IF(AD265="","",IF(LEFT(AD265,1)="1","C1",IF(LEFT(AD265,1)="2","C2",IF(LEFT(AD265,1)="3","C3",""))))</f>
        <v/>
      </c>
      <c r="AF265" s="11" t="inlineStr">
        <is>
          <t>E1</t>
        </is>
      </c>
      <c r="AG265" s="11" t="inlineStr">
        <is>
          <t>E5</t>
        </is>
      </c>
      <c r="AH265" s="11" t="inlineStr">
        <is>
          <t>E4</t>
        </is>
      </c>
      <c r="AI265" s="11" t="inlineStr">
        <is>
          <t>E4</t>
        </is>
      </c>
      <c r="AJ265" s="11" t="inlineStr">
        <is>
          <t>E1</t>
        </is>
      </c>
      <c r="AK265" s="11" t="n"/>
      <c r="AL265" s="11" t="n"/>
      <c r="AM265" s="11" t="n"/>
      <c r="AN265" s="11" t="n"/>
      <c r="AO265" s="11" t="n"/>
      <c r="AP265" s="11" t="n"/>
      <c r="AQ265" s="11" t="n"/>
      <c r="AR265" s="11" t="n"/>
      <c r="AS265" s="11" t="n"/>
      <c r="AT265" s="11" t="n"/>
      <c r="AU265" s="11" t="n"/>
      <c r="AV265" s="11" t="n"/>
      <c r="AW265" s="11">
        <f>AF265&amp;"; "&amp;AG265&amp;"; "&amp;AH265&amp;"; "&amp;AI265&amp;"; "&amp;AJ265</f>
        <v/>
      </c>
    </row>
    <row r="266">
      <c r="A266" s="11" t="inlineStr">
        <is>
          <t>T0900-G05-CIE</t>
        </is>
      </c>
      <c r="B266" s="11" t="n">
        <v>5</v>
      </c>
      <c r="C266" s="11" t="inlineStr">
        <is>
          <t>Ciencias</t>
        </is>
      </c>
      <c r="D266" s="11" t="inlineStr">
        <is>
          <t>Matriz_Ciencias_5to_Grado_U1_U6.xlsx</t>
        </is>
      </c>
      <c r="E266" s="11" t="inlineStr">
        <is>
          <t>Unidad 6 - Ciencias de la Tierr</t>
        </is>
      </c>
      <c r="F266" s="11" t="n">
        <v>5</v>
      </c>
      <c r="G266" s="11" t="inlineStr">
        <is>
          <t>6. Ciencias de la Tierra.</t>
        </is>
      </c>
      <c r="H266" s="11" t="inlineStr">
        <is>
          <t>Tiempo geológico.</t>
        </is>
      </c>
      <c r="I266" s="38" t="inlineStr">
        <is>
          <t>6.3. Explicación del proceso de datación de fósiles.</t>
        </is>
      </c>
      <c r="J266" s="11" t="inlineStr">
        <is>
          <t>T8_27</t>
        </is>
      </c>
      <c r="K266" s="11" t="inlineStr">
        <is>
          <t>T8_27-B4.2</t>
        </is>
      </c>
      <c r="L266" s="11" t="inlineStr">
        <is>
          <t>T8_27-E1.2</t>
        </is>
      </c>
      <c r="M266" s="11">
        <f>IF(K266="FUERA","Fuera del marco",IF(K266="N/A","Sin marco",IFERROR(INDEX('Datos - Catálogo TIMSS'!$C$5:$C$107,MATCH(K266,'Datos - Catálogo TIMSS'!$A$5:$A$107,0)),"Pendiente de clasificar")))</f>
        <v/>
      </c>
      <c r="N266" s="11">
        <f>IF(K266="FUERA","Fuera del marco",IF(K266="N/A","Sin marco",IFERROR(INDEX('Datos - Catálogo TIMSS'!$F$5:$F$107,MATCH(K266,'Datos - Catálogo TIMSS'!$A$5:$A$107,0)),"Pendiente de clasificar")))</f>
        <v/>
      </c>
      <c r="O266" s="11">
        <f>IF(L266="","",IFERROR(INDEX('Datos - Catálogo TIMSS'!$C$5:$C$107,MATCH(L266,'Datos - Catálogo TIMSS'!$A$5:$A$107,0)),"?"))</f>
        <v/>
      </c>
      <c r="P266" s="11" t="inlineStr">
        <is>
          <t>media</t>
        </is>
      </c>
      <c r="Q266" s="38" t="inlineStr">
        <is>
          <t>Datación por capas para inferir antigüedad de grupos de organismos.</t>
        </is>
      </c>
      <c r="R266" s="38" t="inlineStr">
        <is>
          <t>Aplicar: usar modelos. Razonar: deducir</t>
        </is>
      </c>
      <c r="S266" s="39">
        <f>IFERROR(ISNUMBER(SEARCH("Conocer",$R266))/(ISNUMBER(SEARCH("Conocer",$R266))+ISNUMBER(SEARCH("Aplicar",$R266))+ISNUMBER(SEARCH("Razonar",$R266))),0)</f>
        <v/>
      </c>
      <c r="T266" s="39">
        <f>IFERROR(ISNUMBER(SEARCH("Aplicar",$R266))/(ISNUMBER(SEARCH("Conocer",$R266))+ISNUMBER(SEARCH("Aplicar",$R266))+ISNUMBER(SEARCH("Razonar",$R266))),0)</f>
        <v/>
      </c>
      <c r="U266" s="39">
        <f>IFERROR(ISNUMBER(SEARCH("Razonar",$R266))/(ISNUMBER(SEARCH("Conocer",$R266))+ISNUMBER(SEARCH("Aplicar",$R266))+ISNUMBER(SEARCH("Razonar",$R266))),0)</f>
        <v/>
      </c>
      <c r="V266" s="11" t="inlineStr">
        <is>
          <t>5°</t>
        </is>
      </c>
      <c r="W266" s="11" t="inlineStr">
        <is>
          <t>Ciclo 5°–8°</t>
        </is>
      </c>
      <c r="X266" s="11">
        <f>IF(OR(IFERROR(INDEX('Datos - Catálogo TIMSS'!$I$5:$I$107,MATCH(K266,'Datos - Catálogo TIMSS'!$A$5:$A$107,0)),"No")="Sí",IFERROR(INDEX('Datos - Catálogo TIMSS'!$I$5:$I$107,MATCH(L266,'Datos - Catálogo TIMSS'!$A$5:$A$107,0)),"No")="Sí"),1,0)</f>
        <v/>
      </c>
      <c r="Y266" s="11">
        <f>IF(IFERROR(INDEX('Datos - Catálogo TIMSS'!$J$5:$J$107,MATCH(K266,'Datos - Catálogo TIMSS'!$A$5:$A$107,0)),"No")="Sí",1,0)</f>
        <v/>
      </c>
      <c r="Z266" s="11">
        <f>IF(IFERROR(INDEX('Datos - Catálogo TIMSS'!$J$5:$J$107,MATCH(L266,'Datos - Catálogo TIMSS'!$A$5:$A$107,0)),"No")="Sí",1,0)</f>
        <v/>
      </c>
      <c r="AA266" s="11" t="inlineStr">
        <is>
          <t>T8-T2.1</t>
        </is>
      </c>
      <c r="AB266" s="11" t="inlineStr">
        <is>
          <t>T8-B4.2</t>
        </is>
      </c>
      <c r="AC266" s="11">
        <f>IF(AA266="FUERA","Fuera del marco",IF(AA266="N/A","Sin marco",IFERROR(INDEX('Datos - TIMSS 2023'!$C$5:$C$105,MATCH(AA266,'Datos - TIMSS 2023'!$A$5:$A$105,0)),"Pendiente de clasificar")))</f>
        <v/>
      </c>
      <c r="AD266" s="11" t="inlineStr">
        <is>
          <t>1. Explicar fenómenos científicamente</t>
        </is>
      </c>
      <c r="AE266" s="11">
        <f>IF(AD266="","",IF(LEFT(AD266,1)="1","C1",IF(LEFT(AD266,1)="2","C2",IF(LEFT(AD266,1)="3","C3",""))))</f>
        <v/>
      </c>
      <c r="AF266" s="11" t="inlineStr">
        <is>
          <t>E1</t>
        </is>
      </c>
      <c r="AG266" s="11" t="inlineStr">
        <is>
          <t>D1</t>
        </is>
      </c>
      <c r="AH266" s="11" t="inlineStr">
        <is>
          <t>E4</t>
        </is>
      </c>
      <c r="AI266" s="11" t="inlineStr">
        <is>
          <t>D4</t>
        </is>
      </c>
      <c r="AJ266" s="11" t="inlineStr">
        <is>
          <t>E1</t>
        </is>
      </c>
      <c r="AK266" s="11" t="n"/>
      <c r="AL266" s="11" t="n"/>
      <c r="AM266" s="11" t="n"/>
      <c r="AN266" s="11" t="n"/>
      <c r="AO266" s="11" t="n"/>
      <c r="AP266" s="11" t="n"/>
      <c r="AQ266" s="11" t="n"/>
      <c r="AR266" s="11" t="n"/>
      <c r="AS266" s="11" t="n"/>
      <c r="AT266" s="11" t="n"/>
      <c r="AU266" s="11" t="n"/>
      <c r="AV266" s="11" t="n"/>
      <c r="AW266" s="11">
        <f>AF266&amp;"; "&amp;AG266&amp;"; "&amp;AH266&amp;"; "&amp;AI266&amp;"; "&amp;AJ266</f>
        <v/>
      </c>
    </row>
    <row r="267">
      <c r="A267" s="11" t="inlineStr">
        <is>
          <t>T0901-G05-CIE</t>
        </is>
      </c>
      <c r="B267" s="11" t="n">
        <v>5</v>
      </c>
      <c r="C267" s="11" t="inlineStr">
        <is>
          <t>Ciencias</t>
        </is>
      </c>
      <c r="D267" s="11" t="inlineStr">
        <is>
          <t>Matriz_Ciencias_5to_Grado_U1_U6.xlsx</t>
        </is>
      </c>
      <c r="E267" s="11" t="inlineStr">
        <is>
          <t>Unidad 6 - Ciencias de la Tierr</t>
        </is>
      </c>
      <c r="F267" s="11" t="n">
        <v>6</v>
      </c>
      <c r="G267" s="11" t="inlineStr">
        <is>
          <t>6. Ciencias de la Tierra.</t>
        </is>
      </c>
      <c r="H267" s="11" t="inlineStr">
        <is>
          <t>Tiempo geológico.</t>
        </is>
      </c>
      <c r="I267" s="38" t="inlineStr">
        <is>
          <t>6.4. Reconocimiento de fósiles en El Salvador.</t>
        </is>
      </c>
      <c r="J267" s="11" t="inlineStr">
        <is>
          <t>T8_27</t>
        </is>
      </c>
      <c r="K267" s="11" t="inlineStr">
        <is>
          <t>T8_27-E1.2</t>
        </is>
      </c>
      <c r="L267" s="11" t="inlineStr"/>
      <c r="M267" s="11">
        <f>IF(K267="FUERA","Fuera del marco",IF(K267="N/A","Sin marco",IFERROR(INDEX('Datos - Catálogo TIMSS'!$C$5:$C$107,MATCH(K267,'Datos - Catálogo TIMSS'!$A$5:$A$107,0)),"Pendiente de clasificar")))</f>
        <v/>
      </c>
      <c r="N267" s="11">
        <f>IF(K267="FUERA","Fuera del marco",IF(K267="N/A","Sin marco",IFERROR(INDEX('Datos - Catálogo TIMSS'!$F$5:$F$107,MATCH(K267,'Datos - Catálogo TIMSS'!$A$5:$A$107,0)),"Pendiente de clasificar")))</f>
        <v/>
      </c>
      <c r="O267" s="11">
        <f>IF(L267="","",IFERROR(INDEX('Datos - Catálogo TIMSS'!$C$5:$C$107,MATCH(L267,'Datos - Catálogo TIMSS'!$A$5:$A$107,0)),"?"))</f>
        <v/>
      </c>
      <c r="P267" s="11" t="inlineStr">
        <is>
          <t>media</t>
        </is>
      </c>
      <c r="Q267" s="38" t="inlineStr">
        <is>
          <t>Fósiles locales como registro de cambios ambientales.</t>
        </is>
      </c>
      <c r="R267" s="38" t="inlineStr">
        <is>
          <t>Conocer: reconocer. Razonar: evaluar fuentes</t>
        </is>
      </c>
      <c r="S267" s="39">
        <f>IFERROR(ISNUMBER(SEARCH("Conocer",$R267))/(ISNUMBER(SEARCH("Conocer",$R267))+ISNUMBER(SEARCH("Aplicar",$R267))+ISNUMBER(SEARCH("Razonar",$R267))),0)</f>
        <v/>
      </c>
      <c r="T267" s="39">
        <f>IFERROR(ISNUMBER(SEARCH("Aplicar",$R267))/(ISNUMBER(SEARCH("Conocer",$R267))+ISNUMBER(SEARCH("Aplicar",$R267))+ISNUMBER(SEARCH("Razonar",$R267))),0)</f>
        <v/>
      </c>
      <c r="U267" s="39">
        <f>IFERROR(ISNUMBER(SEARCH("Razonar",$R267))/(ISNUMBER(SEARCH("Conocer",$R267))+ISNUMBER(SEARCH("Aplicar",$R267))+ISNUMBER(SEARCH("Razonar",$R267))),0)</f>
        <v/>
      </c>
      <c r="V267" s="11" t="inlineStr">
        <is>
          <t>5°</t>
        </is>
      </c>
      <c r="W267" s="11" t="inlineStr">
        <is>
          <t>Ciclo 5°–8°</t>
        </is>
      </c>
      <c r="X267" s="11">
        <f>IF(OR(IFERROR(INDEX('Datos - Catálogo TIMSS'!$I$5:$I$107,MATCH(K267,'Datos - Catálogo TIMSS'!$A$5:$A$107,0)),"No")="Sí",IFERROR(INDEX('Datos - Catálogo TIMSS'!$I$5:$I$107,MATCH(L267,'Datos - Catálogo TIMSS'!$A$5:$A$107,0)),"No")="Sí"),1,0)</f>
        <v/>
      </c>
      <c r="Y267" s="11">
        <f>IF(IFERROR(INDEX('Datos - Catálogo TIMSS'!$J$5:$J$107,MATCH(K267,'Datos - Catálogo TIMSS'!$A$5:$A$107,0)),"No")="Sí",1,0)</f>
        <v/>
      </c>
      <c r="Z267" s="11">
        <f>IF(IFERROR(INDEX('Datos - Catálogo TIMSS'!$J$5:$J$107,MATCH(L267,'Datos - Catálogo TIMSS'!$A$5:$A$107,0)),"No")="Sí",1,0)</f>
        <v/>
      </c>
      <c r="AA267" s="11" t="inlineStr">
        <is>
          <t>T8-T2.1</t>
        </is>
      </c>
      <c r="AB267" s="11" t="inlineStr">
        <is>
          <t>T8-B4.2</t>
        </is>
      </c>
      <c r="AC267" s="11">
        <f>IF(AA267="FUERA","Fuera del marco",IF(AA267="N/A","Sin marco",IFERROR(INDEX('Datos - TIMSS 2023'!$C$5:$C$105,MATCH(AA267,'Datos - TIMSS 2023'!$A$5:$A$105,0)),"Pendiente de clasificar")))</f>
        <v/>
      </c>
      <c r="AD267" s="11" t="inlineStr">
        <is>
          <t>3. Investigar, evaluar y usar información científica para tomar decisiones y actuar</t>
        </is>
      </c>
      <c r="AE267" s="11">
        <f>IF(AD267="","",IF(LEFT(AD267,1)="1","C1",IF(LEFT(AD267,1)="2","C2",IF(LEFT(AD267,1)="3","C3",""))))</f>
        <v/>
      </c>
      <c r="AF267" s="11" t="inlineStr">
        <is>
          <t>E6</t>
        </is>
      </c>
      <c r="AG267" s="11" t="inlineStr">
        <is>
          <t>D1</t>
        </is>
      </c>
      <c r="AH267" s="11" t="inlineStr">
        <is>
          <t>E1</t>
        </is>
      </c>
      <c r="AI267" s="11" t="inlineStr">
        <is>
          <t>I1</t>
        </is>
      </c>
      <c r="AJ267" s="11" t="inlineStr">
        <is>
          <t>E6</t>
        </is>
      </c>
      <c r="AK267" s="11" t="n"/>
      <c r="AL267" s="11" t="n"/>
      <c r="AM267" s="11" t="n"/>
      <c r="AN267" s="11" t="n"/>
      <c r="AO267" s="11" t="n"/>
      <c r="AP267" s="11" t="n"/>
      <c r="AQ267" s="11" t="n"/>
      <c r="AR267" s="11" t="n"/>
      <c r="AS267" s="11" t="n"/>
      <c r="AT267" s="11" t="n"/>
      <c r="AU267" s="11" t="n"/>
      <c r="AV267" s="11" t="n"/>
      <c r="AW267" s="11">
        <f>AF267&amp;"; "&amp;AG267&amp;"; "&amp;AH267&amp;"; "&amp;AI267&amp;"; "&amp;AJ267</f>
        <v/>
      </c>
    </row>
    <row r="268">
      <c r="A268" s="11" t="inlineStr">
        <is>
          <t>T0902-G05-CIE</t>
        </is>
      </c>
      <c r="B268" s="11" t="n">
        <v>5</v>
      </c>
      <c r="C268" s="11" t="inlineStr">
        <is>
          <t>Ciencias</t>
        </is>
      </c>
      <c r="D268" s="11" t="inlineStr">
        <is>
          <t>Matriz_Ciencias_5to_Grado_U1_U6.xlsx</t>
        </is>
      </c>
      <c r="E268" s="11" t="inlineStr">
        <is>
          <t>Unidad 6 - Ciencias de la Tierr</t>
        </is>
      </c>
      <c r="F268" s="11" t="n">
        <v>7</v>
      </c>
      <c r="G268" s="11" t="inlineStr">
        <is>
          <t>6. Ciencias de la Tierra.</t>
        </is>
      </c>
      <c r="H268" s="11" t="inlineStr">
        <is>
          <t>Tiempo geológico.</t>
        </is>
      </c>
      <c r="I268" s="38" t="inlineStr">
        <is>
          <t>6.5. Reconocimiento de los principales eventos de explosión y extinción de biodiversidad en la historia natural.</t>
        </is>
      </c>
      <c r="J268" s="11" t="inlineStr">
        <is>
          <t>T8_27</t>
        </is>
      </c>
      <c r="K268" s="11" t="inlineStr">
        <is>
          <t>T8_27-B4.2</t>
        </is>
      </c>
      <c r="L268" s="11" t="inlineStr">
        <is>
          <t>T8_27-B4.1</t>
        </is>
      </c>
      <c r="M268" s="11">
        <f>IF(K268="FUERA","Fuera del marco",IF(K268="N/A","Sin marco",IFERROR(INDEX('Datos - Catálogo TIMSS'!$C$5:$C$107,MATCH(K268,'Datos - Catálogo TIMSS'!$A$5:$A$107,0)),"Pendiente de clasificar")))</f>
        <v/>
      </c>
      <c r="N268" s="11">
        <f>IF(K268="FUERA","Fuera del marco",IF(K268="N/A","Sin marco",IFERROR(INDEX('Datos - Catálogo TIMSS'!$F$5:$F$107,MATCH(K268,'Datos - Catálogo TIMSS'!$A$5:$A$107,0)),"Pendiente de clasificar")))</f>
        <v/>
      </c>
      <c r="O268" s="11">
        <f>IF(L268="","",IFERROR(INDEX('Datos - Catálogo TIMSS'!$C$5:$C$107,MATCH(L268,'Datos - Catálogo TIMSS'!$A$5:$A$107,0)),"?"))</f>
        <v/>
      </c>
      <c r="P268" s="11" t="inlineStr">
        <is>
          <t>media</t>
        </is>
      </c>
      <c r="Q268" s="38" t="inlineStr">
        <is>
          <t>Extinciones y diversificaciones como evidencia del cambio de la vida.</t>
        </is>
      </c>
      <c r="R268" s="38" t="inlineStr">
        <is>
          <t>Aplicar: interpretar gráficas</t>
        </is>
      </c>
      <c r="S268" s="39">
        <f>IFERROR(ISNUMBER(SEARCH("Conocer",$R268))/(ISNUMBER(SEARCH("Conocer",$R268))+ISNUMBER(SEARCH("Aplicar",$R268))+ISNUMBER(SEARCH("Razonar",$R268))),0)</f>
        <v/>
      </c>
      <c r="T268" s="39">
        <f>IFERROR(ISNUMBER(SEARCH("Aplicar",$R268))/(ISNUMBER(SEARCH("Conocer",$R268))+ISNUMBER(SEARCH("Aplicar",$R268))+ISNUMBER(SEARCH("Razonar",$R268))),0)</f>
        <v/>
      </c>
      <c r="U268" s="39">
        <f>IFERROR(ISNUMBER(SEARCH("Razonar",$R268))/(ISNUMBER(SEARCH("Conocer",$R268))+ISNUMBER(SEARCH("Aplicar",$R268))+ISNUMBER(SEARCH("Razonar",$R268))),0)</f>
        <v/>
      </c>
      <c r="V268" s="11" t="inlineStr">
        <is>
          <t>5°</t>
        </is>
      </c>
      <c r="W268" s="11" t="inlineStr">
        <is>
          <t>Ciclo 5°–8°</t>
        </is>
      </c>
      <c r="X268" s="11">
        <f>IF(OR(IFERROR(INDEX('Datos - Catálogo TIMSS'!$I$5:$I$107,MATCH(K268,'Datos - Catálogo TIMSS'!$A$5:$A$107,0)),"No")="Sí",IFERROR(INDEX('Datos - Catálogo TIMSS'!$I$5:$I$107,MATCH(L268,'Datos - Catálogo TIMSS'!$A$5:$A$107,0)),"No")="Sí"),1,0)</f>
        <v/>
      </c>
      <c r="Y268" s="11">
        <f>IF(IFERROR(INDEX('Datos - Catálogo TIMSS'!$J$5:$J$107,MATCH(K268,'Datos - Catálogo TIMSS'!$A$5:$A$107,0)),"No")="Sí",1,0)</f>
        <v/>
      </c>
      <c r="Z268" s="11">
        <f>IF(IFERROR(INDEX('Datos - Catálogo TIMSS'!$J$5:$J$107,MATCH(L268,'Datos - Catálogo TIMSS'!$A$5:$A$107,0)),"No")="Sí",1,0)</f>
        <v/>
      </c>
      <c r="AA268" s="11" t="inlineStr">
        <is>
          <t>T8-B4.1</t>
        </is>
      </c>
      <c r="AB268" s="11" t="inlineStr">
        <is>
          <t>T8-B4.2</t>
        </is>
      </c>
      <c r="AC268" s="11">
        <f>IF(AA268="FUERA","Fuera del marco",IF(AA268="N/A","Sin marco",IFERROR(INDEX('Datos - TIMSS 2023'!$C$5:$C$105,MATCH(AA268,'Datos - TIMSS 2023'!$A$5:$A$105,0)),"Pendiente de clasificar")))</f>
        <v/>
      </c>
      <c r="AD268" s="11" t="inlineStr">
        <is>
          <t>2. Construir y evaluar diseños para la indagación científica e interpretar datos y evidencia de forma crítica</t>
        </is>
      </c>
      <c r="AE268" s="11">
        <f>IF(AD268="","",IF(LEFT(AD268,1)="1","C1",IF(LEFT(AD268,1)="2","C2",IF(LEFT(AD268,1)="3","C3",""))))</f>
        <v/>
      </c>
      <c r="AF268" s="11" t="inlineStr">
        <is>
          <t>E1</t>
        </is>
      </c>
      <c r="AG268" s="11" t="inlineStr">
        <is>
          <t>D1</t>
        </is>
      </c>
      <c r="AH268" s="11" t="inlineStr">
        <is>
          <t>E2</t>
        </is>
      </c>
      <c r="AI268" s="11" t="inlineStr">
        <is>
          <t>D4</t>
        </is>
      </c>
      <c r="AJ268" s="11" t="inlineStr">
        <is>
          <t>E6</t>
        </is>
      </c>
      <c r="AK268" s="11" t="n"/>
      <c r="AL268" s="11" t="n"/>
      <c r="AM268" s="11" t="n"/>
      <c r="AN268" s="11" t="n"/>
      <c r="AO268" s="11" t="n"/>
      <c r="AP268" s="11" t="n"/>
      <c r="AQ268" s="11" t="n"/>
      <c r="AR268" s="11" t="n"/>
      <c r="AS268" s="11" t="n"/>
      <c r="AT268" s="11" t="n"/>
      <c r="AU268" s="11" t="n"/>
      <c r="AV268" s="11" t="n"/>
      <c r="AW268" s="11">
        <f>AF268&amp;"; "&amp;AG268&amp;"; "&amp;AH268&amp;"; "&amp;AI268&amp;"; "&amp;AJ268</f>
        <v/>
      </c>
    </row>
    <row r="269">
      <c r="A269" s="11" t="inlineStr">
        <is>
          <t>T0903-G05-CIE</t>
        </is>
      </c>
      <c r="B269" s="11" t="n">
        <v>5</v>
      </c>
      <c r="C269" s="11" t="inlineStr">
        <is>
          <t>Ciencias</t>
        </is>
      </c>
      <c r="D269" s="11" t="inlineStr">
        <is>
          <t>Matriz_Ciencias_5to_Grado_U1_U6.xlsx</t>
        </is>
      </c>
      <c r="E269" s="11" t="inlineStr">
        <is>
          <t>Unidad 6 - Ciencias de la Tierr</t>
        </is>
      </c>
      <c r="F269" s="11" t="n">
        <v>8</v>
      </c>
      <c r="G269" s="11" t="inlineStr">
        <is>
          <t>6. Ciencias de la Tierra.</t>
        </is>
      </c>
      <c r="H269" s="11" t="inlineStr">
        <is>
          <t>Tectónica.</t>
        </is>
      </c>
      <c r="I269" s="38" t="inlineStr">
        <is>
          <t>6.6. Modelación de la deriva continental.</t>
        </is>
      </c>
      <c r="J269" s="11" t="inlineStr">
        <is>
          <t>T8_27</t>
        </is>
      </c>
      <c r="K269" s="11" t="inlineStr">
        <is>
          <t>T8_27-E1.2</t>
        </is>
      </c>
      <c r="L269" s="11" t="inlineStr"/>
      <c r="M269" s="11">
        <f>IF(K269="FUERA","Fuera del marco",IF(K269="N/A","Sin marco",IFERROR(INDEX('Datos - Catálogo TIMSS'!$C$5:$C$107,MATCH(K269,'Datos - Catálogo TIMSS'!$A$5:$A$107,0)),"Pendiente de clasificar")))</f>
        <v/>
      </c>
      <c r="N269" s="11">
        <f>IF(K269="FUERA","Fuera del marco",IF(K269="N/A","Sin marco",IFERROR(INDEX('Datos - Catálogo TIMSS'!$F$5:$F$107,MATCH(K269,'Datos - Catálogo TIMSS'!$A$5:$A$107,0)),"Pendiente de clasificar")))</f>
        <v/>
      </c>
      <c r="O269" s="11">
        <f>IF(L269="","",IFERROR(INDEX('Datos - Catálogo TIMSS'!$C$5:$C$107,MATCH(L269,'Datos - Catálogo TIMSS'!$A$5:$A$107,0)),"?"))</f>
        <v/>
      </c>
      <c r="P269" s="11" t="inlineStr">
        <is>
          <t>alta</t>
        </is>
      </c>
      <c r="Q269" s="38" t="inlineStr">
        <is>
          <t>Deriva continental y movimiento de placas.</t>
        </is>
      </c>
      <c r="R269" s="38" t="inlineStr">
        <is>
          <t>Aplicar: usar modelos</t>
        </is>
      </c>
      <c r="S269" s="39">
        <f>IFERROR(ISNUMBER(SEARCH("Conocer",$R269))/(ISNUMBER(SEARCH("Conocer",$R269))+ISNUMBER(SEARCH("Aplicar",$R269))+ISNUMBER(SEARCH("Razonar",$R269))),0)</f>
        <v/>
      </c>
      <c r="T269" s="39">
        <f>IFERROR(ISNUMBER(SEARCH("Aplicar",$R269))/(ISNUMBER(SEARCH("Conocer",$R269))+ISNUMBER(SEARCH("Aplicar",$R269))+ISNUMBER(SEARCH("Razonar",$R269))),0)</f>
        <v/>
      </c>
      <c r="U269" s="39">
        <f>IFERROR(ISNUMBER(SEARCH("Razonar",$R269))/(ISNUMBER(SEARCH("Conocer",$R269))+ISNUMBER(SEARCH("Aplicar",$R269))+ISNUMBER(SEARCH("Razonar",$R269))),0)</f>
        <v/>
      </c>
      <c r="V269" s="11" t="inlineStr">
        <is>
          <t>5°</t>
        </is>
      </c>
      <c r="W269" s="11" t="inlineStr">
        <is>
          <t>Ciclo 5°–8°</t>
        </is>
      </c>
      <c r="X269" s="11">
        <f>IF(OR(IFERROR(INDEX('Datos - Catálogo TIMSS'!$I$5:$I$107,MATCH(K269,'Datos - Catálogo TIMSS'!$A$5:$A$107,0)),"No")="Sí",IFERROR(INDEX('Datos - Catálogo TIMSS'!$I$5:$I$107,MATCH(L269,'Datos - Catálogo TIMSS'!$A$5:$A$107,0)),"No")="Sí"),1,0)</f>
        <v/>
      </c>
      <c r="Y269" s="11">
        <f>IF(IFERROR(INDEX('Datos - Catálogo TIMSS'!$J$5:$J$107,MATCH(K269,'Datos - Catálogo TIMSS'!$A$5:$A$107,0)),"No")="Sí",1,0)</f>
        <v/>
      </c>
      <c r="Z269" s="11">
        <f>IF(IFERROR(INDEX('Datos - Catálogo TIMSS'!$J$5:$J$107,MATCH(L269,'Datos - Catálogo TIMSS'!$A$5:$A$107,0)),"No")="Sí",1,0)</f>
        <v/>
      </c>
      <c r="AA269" s="11" t="inlineStr">
        <is>
          <t>T8-T2.1</t>
        </is>
      </c>
      <c r="AB269" s="11" t="inlineStr">
        <is>
          <t>T8-T1.1</t>
        </is>
      </c>
      <c r="AC269" s="11">
        <f>IF(AA269="FUERA","Fuera del marco",IF(AA269="N/A","Sin marco",IFERROR(INDEX('Datos - TIMSS 2023'!$C$5:$C$105,MATCH(AA269,'Datos - TIMSS 2023'!$A$5:$A$105,0)),"Pendiente de clasificar")))</f>
        <v/>
      </c>
      <c r="AD269" s="11" t="inlineStr">
        <is>
          <t>1. Explicar fenómenos científicamente</t>
        </is>
      </c>
      <c r="AE269" s="11">
        <f>IF(AD269="","",IF(LEFT(AD269,1)="1","C1",IF(LEFT(AD269,1)="2","C2",IF(LEFT(AD269,1)="3","C3",""))))</f>
        <v/>
      </c>
      <c r="AF269" s="11" t="inlineStr">
        <is>
          <t>E1</t>
        </is>
      </c>
      <c r="AG269" s="11" t="inlineStr">
        <is>
          <t>E5</t>
        </is>
      </c>
      <c r="AH269" s="11" t="inlineStr">
        <is>
          <t>E4</t>
        </is>
      </c>
      <c r="AI269" s="11" t="inlineStr">
        <is>
          <t>E4</t>
        </is>
      </c>
      <c r="AJ269" s="11" t="inlineStr">
        <is>
          <t>E1</t>
        </is>
      </c>
      <c r="AK269" s="11" t="n"/>
      <c r="AL269" s="11" t="n"/>
      <c r="AM269" s="11" t="n"/>
      <c r="AN269" s="11" t="n"/>
      <c r="AO269" s="11" t="n"/>
      <c r="AP269" s="11" t="n"/>
      <c r="AQ269" s="11" t="n"/>
      <c r="AR269" s="11" t="n"/>
      <c r="AS269" s="11" t="n"/>
      <c r="AT269" s="11" t="n"/>
      <c r="AU269" s="11" t="n"/>
      <c r="AV269" s="11" t="n"/>
      <c r="AW269" s="11">
        <f>AF269&amp;"; "&amp;AG269&amp;"; "&amp;AH269&amp;"; "&amp;AI269&amp;"; "&amp;AJ269</f>
        <v/>
      </c>
    </row>
    <row r="270">
      <c r="A270" s="11" t="inlineStr">
        <is>
          <t>T0904-G05-CIE</t>
        </is>
      </c>
      <c r="B270" s="11" t="n">
        <v>5</v>
      </c>
      <c r="C270" s="11" t="inlineStr">
        <is>
          <t>Ciencias</t>
        </is>
      </c>
      <c r="D270" s="11" t="inlineStr">
        <is>
          <t>Matriz_Ciencias_5to_Grado_U1_U6.xlsx</t>
        </is>
      </c>
      <c r="E270" s="11" t="inlineStr">
        <is>
          <t>Unidad 6 - Ciencias de la Tierr</t>
        </is>
      </c>
      <c r="F270" s="11" t="n">
        <v>9</v>
      </c>
      <c r="G270" s="11" t="inlineStr">
        <is>
          <t>6. Ciencias de la Tierra.</t>
        </is>
      </c>
      <c r="H270" s="11" t="inlineStr">
        <is>
          <t>Tectónica.</t>
        </is>
      </c>
      <c r="I270" s="38" t="inlineStr">
        <is>
          <t>6.7. Identificación de las placas tectónicas con influencia en el istmo centroamericano.</t>
        </is>
      </c>
      <c r="J270" s="11" t="inlineStr">
        <is>
          <t>T8_27</t>
        </is>
      </c>
      <c r="K270" s="11" t="inlineStr">
        <is>
          <t>T8_27-E1.2</t>
        </is>
      </c>
      <c r="L270" s="11" t="inlineStr"/>
      <c r="M270" s="11">
        <f>IF(K270="FUERA","Fuera del marco",IF(K270="N/A","Sin marco",IFERROR(INDEX('Datos - Catálogo TIMSS'!$C$5:$C$107,MATCH(K270,'Datos - Catálogo TIMSS'!$A$5:$A$107,0)),"Pendiente de clasificar")))</f>
        <v/>
      </c>
      <c r="N270" s="11">
        <f>IF(K270="FUERA","Fuera del marco",IF(K270="N/A","Sin marco",IFERROR(INDEX('Datos - Catálogo TIMSS'!$F$5:$F$107,MATCH(K270,'Datos - Catálogo TIMSS'!$A$5:$A$107,0)),"Pendiente de clasificar")))</f>
        <v/>
      </c>
      <c r="O270" s="11">
        <f>IF(L270="","",IFERROR(INDEX('Datos - Catálogo TIMSS'!$C$5:$C$107,MATCH(L270,'Datos - Catálogo TIMSS'!$A$5:$A$107,0)),"?"))</f>
        <v/>
      </c>
      <c r="P270" s="11" t="inlineStr">
        <is>
          <t>alta</t>
        </is>
      </c>
      <c r="Q270" s="38" t="inlineStr">
        <is>
          <t>Placas tectónicas y bordes que afectan Centroamérica.</t>
        </is>
      </c>
      <c r="R270" s="38" t="inlineStr">
        <is>
          <t>Aplicar: interpretar mapas</t>
        </is>
      </c>
      <c r="S270" s="39">
        <f>IFERROR(ISNUMBER(SEARCH("Conocer",$R270))/(ISNUMBER(SEARCH("Conocer",$R270))+ISNUMBER(SEARCH("Aplicar",$R270))+ISNUMBER(SEARCH("Razonar",$R270))),0)</f>
        <v/>
      </c>
      <c r="T270" s="39">
        <f>IFERROR(ISNUMBER(SEARCH("Aplicar",$R270))/(ISNUMBER(SEARCH("Conocer",$R270))+ISNUMBER(SEARCH("Aplicar",$R270))+ISNUMBER(SEARCH("Razonar",$R270))),0)</f>
        <v/>
      </c>
      <c r="U270" s="39">
        <f>IFERROR(ISNUMBER(SEARCH("Razonar",$R270))/(ISNUMBER(SEARCH("Conocer",$R270))+ISNUMBER(SEARCH("Aplicar",$R270))+ISNUMBER(SEARCH("Razonar",$R270))),0)</f>
        <v/>
      </c>
      <c r="V270" s="11" t="inlineStr">
        <is>
          <t>5°</t>
        </is>
      </c>
      <c r="W270" s="11" t="inlineStr">
        <is>
          <t>Ciclo 5°–8°</t>
        </is>
      </c>
      <c r="X270" s="11">
        <f>IF(OR(IFERROR(INDEX('Datos - Catálogo TIMSS'!$I$5:$I$107,MATCH(K270,'Datos - Catálogo TIMSS'!$A$5:$A$107,0)),"No")="Sí",IFERROR(INDEX('Datos - Catálogo TIMSS'!$I$5:$I$107,MATCH(L270,'Datos - Catálogo TIMSS'!$A$5:$A$107,0)),"No")="Sí"),1,0)</f>
        <v/>
      </c>
      <c r="Y270" s="11">
        <f>IF(IFERROR(INDEX('Datos - Catálogo TIMSS'!$J$5:$J$107,MATCH(K270,'Datos - Catálogo TIMSS'!$A$5:$A$107,0)),"No")="Sí",1,0)</f>
        <v/>
      </c>
      <c r="Z270" s="11">
        <f>IF(IFERROR(INDEX('Datos - Catálogo TIMSS'!$J$5:$J$107,MATCH(L270,'Datos - Catálogo TIMSS'!$A$5:$A$107,0)),"No")="Sí",1,0)</f>
        <v/>
      </c>
      <c r="AA270" s="11" t="inlineStr">
        <is>
          <t>T8-T2.1</t>
        </is>
      </c>
      <c r="AB270" s="11" t="inlineStr">
        <is>
          <t>T8-T1.1</t>
        </is>
      </c>
      <c r="AC270" s="11">
        <f>IF(AA270="FUERA","Fuera del marco",IF(AA270="N/A","Sin marco",IFERROR(INDEX('Datos - TIMSS 2023'!$C$5:$C$105,MATCH(AA270,'Datos - TIMSS 2023'!$A$5:$A$105,0)),"Pendiente de clasificar")))</f>
        <v/>
      </c>
      <c r="AD270" s="11" t="inlineStr">
        <is>
          <t>2. Construir y evaluar diseños para la indagación científica e interpretar datos y evidencia de forma crítica</t>
        </is>
      </c>
      <c r="AE270" s="11">
        <f>IF(AD270="","",IF(LEFT(AD270,1)="1","C1",IF(LEFT(AD270,1)="2","C2",IF(LEFT(AD270,1)="3","C3",""))))</f>
        <v/>
      </c>
      <c r="AF270" s="11" t="inlineStr">
        <is>
          <t>E1</t>
        </is>
      </c>
      <c r="AG270" s="11" t="inlineStr">
        <is>
          <t>D1</t>
        </is>
      </c>
      <c r="AH270" s="11" t="inlineStr">
        <is>
          <t>E2</t>
        </is>
      </c>
      <c r="AI270" s="11" t="inlineStr">
        <is>
          <t>D4</t>
        </is>
      </c>
      <c r="AJ270" s="11" t="inlineStr">
        <is>
          <t>E6</t>
        </is>
      </c>
      <c r="AK270" s="11" t="n"/>
      <c r="AL270" s="11" t="n"/>
      <c r="AM270" s="11" t="n"/>
      <c r="AN270" s="11" t="n"/>
      <c r="AO270" s="11" t="n"/>
      <c r="AP270" s="11" t="n"/>
      <c r="AQ270" s="11" t="n"/>
      <c r="AR270" s="11" t="n"/>
      <c r="AS270" s="11" t="n"/>
      <c r="AT270" s="11" t="n"/>
      <c r="AU270" s="11" t="n"/>
      <c r="AV270" s="11" t="n"/>
      <c r="AW270" s="11">
        <f>AF270&amp;"; "&amp;AG270&amp;"; "&amp;AH270&amp;"; "&amp;AI270&amp;"; "&amp;AJ270</f>
        <v/>
      </c>
    </row>
    <row r="271">
      <c r="A271" s="11" t="inlineStr">
        <is>
          <t>T0905-G05-CIE</t>
        </is>
      </c>
      <c r="B271" s="11" t="n">
        <v>5</v>
      </c>
      <c r="C271" s="11" t="inlineStr">
        <is>
          <t>Ciencias</t>
        </is>
      </c>
      <c r="D271" s="11" t="inlineStr">
        <is>
          <t>Matriz_Ciencias_5to_Grado_U1_U6.xlsx</t>
        </is>
      </c>
      <c r="E271" s="11" t="inlineStr">
        <is>
          <t>Unidad 6 - Ciencias de la Tierr</t>
        </is>
      </c>
      <c r="F271" s="11" t="n">
        <v>10</v>
      </c>
      <c r="G271" s="11" t="inlineStr">
        <is>
          <t>6. Ciencias de la Tierra.</t>
        </is>
      </c>
      <c r="H271" s="11" t="inlineStr">
        <is>
          <t>Sismos.</t>
        </is>
      </c>
      <c r="I271" s="38" t="inlineStr">
        <is>
          <t>6.8. Identificación de eventos naturales relacionados con la actividad tectónica.</t>
        </is>
      </c>
      <c r="J271" s="11" t="inlineStr">
        <is>
          <t>T8_27</t>
        </is>
      </c>
      <c r="K271" s="11" t="inlineStr">
        <is>
          <t>T8_27-E1.2</t>
        </is>
      </c>
      <c r="L271" s="11" t="inlineStr"/>
      <c r="M271" s="11">
        <f>IF(K271="FUERA","Fuera del marco",IF(K271="N/A","Sin marco",IFERROR(INDEX('Datos - Catálogo TIMSS'!$C$5:$C$107,MATCH(K271,'Datos - Catálogo TIMSS'!$A$5:$A$107,0)),"Pendiente de clasificar")))</f>
        <v/>
      </c>
      <c r="N271" s="11">
        <f>IF(K271="FUERA","Fuera del marco",IF(K271="N/A","Sin marco",IFERROR(INDEX('Datos - Catálogo TIMSS'!$F$5:$F$107,MATCH(K271,'Datos - Catálogo TIMSS'!$A$5:$A$107,0)),"Pendiente de clasificar")))</f>
        <v/>
      </c>
      <c r="O271" s="11">
        <f>IF(L271="","",IFERROR(INDEX('Datos - Catálogo TIMSS'!$C$5:$C$107,MATCH(L271,'Datos - Catálogo TIMSS'!$A$5:$A$107,0)),"?"))</f>
        <v/>
      </c>
      <c r="P271" s="11" t="inlineStr">
        <is>
          <t>alta</t>
        </is>
      </c>
      <c r="Q271" s="38" t="inlineStr">
        <is>
          <t>Sismos y volcanes por actividad tectónica.</t>
        </is>
      </c>
      <c r="R271" s="38" t="inlineStr">
        <is>
          <t>Aplicar: clasificar y relacionar</t>
        </is>
      </c>
      <c r="S271" s="39">
        <f>IFERROR(ISNUMBER(SEARCH("Conocer",$R271))/(ISNUMBER(SEARCH("Conocer",$R271))+ISNUMBER(SEARCH("Aplicar",$R271))+ISNUMBER(SEARCH("Razonar",$R271))),0)</f>
        <v/>
      </c>
      <c r="T271" s="39">
        <f>IFERROR(ISNUMBER(SEARCH("Aplicar",$R271))/(ISNUMBER(SEARCH("Conocer",$R271))+ISNUMBER(SEARCH("Aplicar",$R271))+ISNUMBER(SEARCH("Razonar",$R271))),0)</f>
        <v/>
      </c>
      <c r="U271" s="39">
        <f>IFERROR(ISNUMBER(SEARCH("Razonar",$R271))/(ISNUMBER(SEARCH("Conocer",$R271))+ISNUMBER(SEARCH("Aplicar",$R271))+ISNUMBER(SEARCH("Razonar",$R271))),0)</f>
        <v/>
      </c>
      <c r="V271" s="11" t="inlineStr">
        <is>
          <t>5°</t>
        </is>
      </c>
      <c r="W271" s="11" t="inlineStr">
        <is>
          <t>Ciclo 5°–8°</t>
        </is>
      </c>
      <c r="X271" s="11">
        <f>IF(OR(IFERROR(INDEX('Datos - Catálogo TIMSS'!$I$5:$I$107,MATCH(K271,'Datos - Catálogo TIMSS'!$A$5:$A$107,0)),"No")="Sí",IFERROR(INDEX('Datos - Catálogo TIMSS'!$I$5:$I$107,MATCH(L271,'Datos - Catálogo TIMSS'!$A$5:$A$107,0)),"No")="Sí"),1,0)</f>
        <v/>
      </c>
      <c r="Y271" s="11">
        <f>IF(IFERROR(INDEX('Datos - Catálogo TIMSS'!$J$5:$J$107,MATCH(K271,'Datos - Catálogo TIMSS'!$A$5:$A$107,0)),"No")="Sí",1,0)</f>
        <v/>
      </c>
      <c r="Z271" s="11">
        <f>IF(IFERROR(INDEX('Datos - Catálogo TIMSS'!$J$5:$J$107,MATCH(L271,'Datos - Catálogo TIMSS'!$A$5:$A$107,0)),"No")="Sí",1,0)</f>
        <v/>
      </c>
      <c r="AA271" s="11" t="inlineStr">
        <is>
          <t>T8-T2.1</t>
        </is>
      </c>
      <c r="AB271" s="11" t="inlineStr"/>
      <c r="AC271" s="11">
        <f>IF(AA271="FUERA","Fuera del marco",IF(AA271="N/A","Sin marco",IFERROR(INDEX('Datos - TIMSS 2023'!$C$5:$C$105,MATCH(AA271,'Datos - TIMSS 2023'!$A$5:$A$105,0)),"Pendiente de clasificar")))</f>
        <v/>
      </c>
      <c r="AD271" s="11" t="inlineStr">
        <is>
          <t>2. Construir y evaluar diseños para la indagación científica e interpretar datos y evidencia de forma crítica</t>
        </is>
      </c>
      <c r="AE271" s="11">
        <f>IF(AD271="","",IF(LEFT(AD271,1)="1","C1",IF(LEFT(AD271,1)="2","C2",IF(LEFT(AD271,1)="3","C3",""))))</f>
        <v/>
      </c>
      <c r="AF271" s="11" t="inlineStr">
        <is>
          <t>E1</t>
        </is>
      </c>
      <c r="AG271" s="11" t="inlineStr">
        <is>
          <t>D1</t>
        </is>
      </c>
      <c r="AH271" s="11" t="inlineStr">
        <is>
          <t>E1</t>
        </is>
      </c>
      <c r="AI271" s="11" t="inlineStr">
        <is>
          <t>D4</t>
        </is>
      </c>
      <c r="AJ271" s="11" t="inlineStr">
        <is>
          <t>E1</t>
        </is>
      </c>
      <c r="AK271" s="11" t="n"/>
      <c r="AL271" s="11" t="n"/>
      <c r="AM271" s="11" t="n"/>
      <c r="AN271" s="11" t="n"/>
      <c r="AO271" s="11" t="n"/>
      <c r="AP271" s="11" t="n"/>
      <c r="AQ271" s="11" t="n"/>
      <c r="AR271" s="11" t="n"/>
      <c r="AS271" s="11" t="n"/>
      <c r="AT271" s="11" t="n"/>
      <c r="AU271" s="11" t="n"/>
      <c r="AV271" s="11" t="n"/>
      <c r="AW271" s="11">
        <f>AF271&amp;"; "&amp;AG271&amp;"; "&amp;AH271&amp;"; "&amp;AI271&amp;"; "&amp;AJ271</f>
        <v/>
      </c>
    </row>
    <row r="272">
      <c r="A272" s="11" t="inlineStr">
        <is>
          <t>T0906-G05-CIE</t>
        </is>
      </c>
      <c r="B272" s="11" t="n">
        <v>5</v>
      </c>
      <c r="C272" s="11" t="inlineStr">
        <is>
          <t>Ciencias</t>
        </is>
      </c>
      <c r="D272" s="11" t="inlineStr">
        <is>
          <t>Matriz_Ciencias_5to_Grado_U1_U6.xlsx</t>
        </is>
      </c>
      <c r="E272" s="11" t="inlineStr">
        <is>
          <t>Unidad 6 - Ciencias de la Tierr</t>
        </is>
      </c>
      <c r="F272" s="11" t="n">
        <v>11</v>
      </c>
      <c r="G272" s="11" t="inlineStr">
        <is>
          <t>6. Ciencias de la Tierra.</t>
        </is>
      </c>
      <c r="H272" s="11" t="inlineStr">
        <is>
          <t>Sismos.</t>
        </is>
      </c>
      <c r="I272" s="38" t="inlineStr">
        <is>
          <t>6.9. Discriminación entre las escalas de intensidad y magnitud sísmica.</t>
        </is>
      </c>
      <c r="J272" s="11" t="inlineStr">
        <is>
          <t>T8_27</t>
        </is>
      </c>
      <c r="K272" s="11" t="inlineStr">
        <is>
          <t>T8_27-E1.2</t>
        </is>
      </c>
      <c r="L272" s="11" t="inlineStr"/>
      <c r="M272" s="11">
        <f>IF(K272="FUERA","Fuera del marco",IF(K272="N/A","Sin marco",IFERROR(INDEX('Datos - Catálogo TIMSS'!$C$5:$C$107,MATCH(K272,'Datos - Catálogo TIMSS'!$A$5:$A$107,0)),"Pendiente de clasificar")))</f>
        <v/>
      </c>
      <c r="N272" s="11">
        <f>IF(K272="FUERA","Fuera del marco",IF(K272="N/A","Sin marco",IFERROR(INDEX('Datos - Catálogo TIMSS'!$F$5:$F$107,MATCH(K272,'Datos - Catálogo TIMSS'!$A$5:$A$107,0)),"Pendiente de clasificar")))</f>
        <v/>
      </c>
      <c r="O272" s="11">
        <f>IF(L272="","",IFERROR(INDEX('Datos - Catálogo TIMSS'!$C$5:$C$107,MATCH(L272,'Datos - Catálogo TIMSS'!$A$5:$A$107,0)),"?"))</f>
        <v/>
      </c>
      <c r="P272" s="11" t="inlineStr">
        <is>
          <t>media</t>
        </is>
      </c>
      <c r="Q272" s="38" t="inlineStr">
        <is>
          <t>Magnitud e intensidad para describir sismos.</t>
        </is>
      </c>
      <c r="R272" s="38" t="inlineStr">
        <is>
          <t>Aplicar: comparar. Razonar: interpretar</t>
        </is>
      </c>
      <c r="S272" s="39">
        <f>IFERROR(ISNUMBER(SEARCH("Conocer",$R272))/(ISNUMBER(SEARCH("Conocer",$R272))+ISNUMBER(SEARCH("Aplicar",$R272))+ISNUMBER(SEARCH("Razonar",$R272))),0)</f>
        <v/>
      </c>
      <c r="T272" s="39">
        <f>IFERROR(ISNUMBER(SEARCH("Aplicar",$R272))/(ISNUMBER(SEARCH("Conocer",$R272))+ISNUMBER(SEARCH("Aplicar",$R272))+ISNUMBER(SEARCH("Razonar",$R272))),0)</f>
        <v/>
      </c>
      <c r="U272" s="39">
        <f>IFERROR(ISNUMBER(SEARCH("Razonar",$R272))/(ISNUMBER(SEARCH("Conocer",$R272))+ISNUMBER(SEARCH("Aplicar",$R272))+ISNUMBER(SEARCH("Razonar",$R272))),0)</f>
        <v/>
      </c>
      <c r="V272" s="11" t="inlineStr">
        <is>
          <t>5°</t>
        </is>
      </c>
      <c r="W272" s="11" t="inlineStr">
        <is>
          <t>Ciclo 5°–8°</t>
        </is>
      </c>
      <c r="X272" s="11">
        <f>IF(OR(IFERROR(INDEX('Datos - Catálogo TIMSS'!$I$5:$I$107,MATCH(K272,'Datos - Catálogo TIMSS'!$A$5:$A$107,0)),"No")="Sí",IFERROR(INDEX('Datos - Catálogo TIMSS'!$I$5:$I$107,MATCH(L272,'Datos - Catálogo TIMSS'!$A$5:$A$107,0)),"No")="Sí"),1,0)</f>
        <v/>
      </c>
      <c r="Y272" s="11">
        <f>IF(IFERROR(INDEX('Datos - Catálogo TIMSS'!$J$5:$J$107,MATCH(K272,'Datos - Catálogo TIMSS'!$A$5:$A$107,0)),"No")="Sí",1,0)</f>
        <v/>
      </c>
      <c r="Z272" s="11">
        <f>IF(IFERROR(INDEX('Datos - Catálogo TIMSS'!$J$5:$J$107,MATCH(L272,'Datos - Catálogo TIMSS'!$A$5:$A$107,0)),"No")="Sí",1,0)</f>
        <v/>
      </c>
      <c r="AA272" s="11" t="inlineStr">
        <is>
          <t>T8-T2.1</t>
        </is>
      </c>
      <c r="AB272" s="11" t="inlineStr"/>
      <c r="AC272" s="11">
        <f>IF(AA272="FUERA","Fuera del marco",IF(AA272="N/A","Sin marco",IFERROR(INDEX('Datos - TIMSS 2023'!$C$5:$C$105,MATCH(AA272,'Datos - TIMSS 2023'!$A$5:$A$105,0)),"Pendiente de clasificar")))</f>
        <v/>
      </c>
      <c r="AD272" s="11" t="inlineStr">
        <is>
          <t>2. Construir y evaluar diseños para la indagación científica e interpretar datos y evidencia de forma crítica</t>
        </is>
      </c>
      <c r="AE272" s="11">
        <f>IF(AD272="","",IF(LEFT(AD272,1)="1","C1",IF(LEFT(AD272,1)="2","C2",IF(LEFT(AD272,1)="3","C3",""))))</f>
        <v/>
      </c>
      <c r="AF272" s="11" t="inlineStr">
        <is>
          <t>E1</t>
        </is>
      </c>
      <c r="AG272" s="11" t="inlineStr">
        <is>
          <t>D1</t>
        </is>
      </c>
      <c r="AH272" s="11" t="inlineStr">
        <is>
          <t>E1</t>
        </is>
      </c>
      <c r="AI272" s="11" t="inlineStr">
        <is>
          <t>D4</t>
        </is>
      </c>
      <c r="AJ272" s="11" t="inlineStr">
        <is>
          <t>I4</t>
        </is>
      </c>
      <c r="AK272" s="11" t="n"/>
      <c r="AL272" s="11" t="n"/>
      <c r="AM272" s="11" t="n"/>
      <c r="AN272" s="11" t="n"/>
      <c r="AO272" s="11" t="n"/>
      <c r="AP272" s="11" t="n"/>
      <c r="AQ272" s="11" t="n"/>
      <c r="AR272" s="11" t="n"/>
      <c r="AS272" s="11" t="n"/>
      <c r="AT272" s="11" t="n"/>
      <c r="AU272" s="11" t="n"/>
      <c r="AV272" s="11" t="n"/>
      <c r="AW272" s="11">
        <f>AF272&amp;"; "&amp;AG272&amp;"; "&amp;AH272&amp;"; "&amp;AI272&amp;"; "&amp;AJ272</f>
        <v/>
      </c>
    </row>
    <row r="273">
      <c r="A273" s="11" t="inlineStr">
        <is>
          <t>T0907-G05-CIE</t>
        </is>
      </c>
      <c r="B273" s="11" t="n">
        <v>5</v>
      </c>
      <c r="C273" s="11" t="inlineStr">
        <is>
          <t>Ciencias</t>
        </is>
      </c>
      <c r="D273" s="11" t="inlineStr">
        <is>
          <t>Matriz_Ciencias_5to_Grado_U1_U6.xlsx</t>
        </is>
      </c>
      <c r="E273" s="11" t="inlineStr">
        <is>
          <t>Unidad 6 - Ciencias de la Tierr</t>
        </is>
      </c>
      <c r="F273" s="11" t="n">
        <v>12</v>
      </c>
      <c r="G273" s="11" t="inlineStr">
        <is>
          <t>6. Ciencias de la Tierra.</t>
        </is>
      </c>
      <c r="H273" s="11" t="inlineStr">
        <is>
          <t>Sismos.</t>
        </is>
      </c>
      <c r="I273" s="38" t="inlineStr">
        <is>
          <t>6.10. Reconocimiento de sismos precursores y réplicas.</t>
        </is>
      </c>
      <c r="J273" s="11" t="inlineStr">
        <is>
          <t>T8_27</t>
        </is>
      </c>
      <c r="K273" s="11" t="inlineStr">
        <is>
          <t>T8_27-E1.2</t>
        </is>
      </c>
      <c r="L273" s="11" t="inlineStr"/>
      <c r="M273" s="11">
        <f>IF(K273="FUERA","Fuera del marco",IF(K273="N/A","Sin marco",IFERROR(INDEX('Datos - Catálogo TIMSS'!$C$5:$C$107,MATCH(K273,'Datos - Catálogo TIMSS'!$A$5:$A$107,0)),"Pendiente de clasificar")))</f>
        <v/>
      </c>
      <c r="N273" s="11">
        <f>IF(K273="FUERA","Fuera del marco",IF(K273="N/A","Sin marco",IFERROR(INDEX('Datos - Catálogo TIMSS'!$F$5:$F$107,MATCH(K273,'Datos - Catálogo TIMSS'!$A$5:$A$107,0)),"Pendiente de clasificar")))</f>
        <v/>
      </c>
      <c r="O273" s="11">
        <f>IF(L273="","",IFERROR(INDEX('Datos - Catálogo TIMSS'!$C$5:$C$107,MATCH(L273,'Datos - Catálogo TIMSS'!$A$5:$A$107,0)),"?"))</f>
        <v/>
      </c>
      <c r="P273" s="11" t="inlineStr">
        <is>
          <t>media</t>
        </is>
      </c>
      <c r="Q273" s="38" t="inlineStr">
        <is>
          <t>Sismos precursores y réplicas; incluye acciones de prevención.</t>
        </is>
      </c>
      <c r="R273" s="38" t="inlineStr">
        <is>
          <t>Conocer: reconocer. Razonar: evaluar información</t>
        </is>
      </c>
      <c r="S273" s="39">
        <f>IFERROR(ISNUMBER(SEARCH("Conocer",$R273))/(ISNUMBER(SEARCH("Conocer",$R273))+ISNUMBER(SEARCH("Aplicar",$R273))+ISNUMBER(SEARCH("Razonar",$R273))),0)</f>
        <v/>
      </c>
      <c r="T273" s="39">
        <f>IFERROR(ISNUMBER(SEARCH("Aplicar",$R273))/(ISNUMBER(SEARCH("Conocer",$R273))+ISNUMBER(SEARCH("Aplicar",$R273))+ISNUMBER(SEARCH("Razonar",$R273))),0)</f>
        <v/>
      </c>
      <c r="U273" s="39">
        <f>IFERROR(ISNUMBER(SEARCH("Razonar",$R273))/(ISNUMBER(SEARCH("Conocer",$R273))+ISNUMBER(SEARCH("Aplicar",$R273))+ISNUMBER(SEARCH("Razonar",$R273))),0)</f>
        <v/>
      </c>
      <c r="V273" s="11" t="inlineStr">
        <is>
          <t>5°</t>
        </is>
      </c>
      <c r="W273" s="11" t="inlineStr">
        <is>
          <t>Ciclo 5°–8°</t>
        </is>
      </c>
      <c r="X273" s="11">
        <f>IF(OR(IFERROR(INDEX('Datos - Catálogo TIMSS'!$I$5:$I$107,MATCH(K273,'Datos - Catálogo TIMSS'!$A$5:$A$107,0)),"No")="Sí",IFERROR(INDEX('Datos - Catálogo TIMSS'!$I$5:$I$107,MATCH(L273,'Datos - Catálogo TIMSS'!$A$5:$A$107,0)),"No")="Sí"),1,0)</f>
        <v/>
      </c>
      <c r="Y273" s="11">
        <f>IF(IFERROR(INDEX('Datos - Catálogo TIMSS'!$J$5:$J$107,MATCH(K273,'Datos - Catálogo TIMSS'!$A$5:$A$107,0)),"No")="Sí",1,0)</f>
        <v/>
      </c>
      <c r="Z273" s="11">
        <f>IF(IFERROR(INDEX('Datos - Catálogo TIMSS'!$J$5:$J$107,MATCH(L273,'Datos - Catálogo TIMSS'!$A$5:$A$107,0)),"No")="Sí",1,0)</f>
        <v/>
      </c>
      <c r="AA273" s="11" t="inlineStr">
        <is>
          <t>T8-T2.1</t>
        </is>
      </c>
      <c r="AB273" s="11" t="inlineStr"/>
      <c r="AC273" s="11">
        <f>IF(AA273="FUERA","Fuera del marco",IF(AA273="N/A","Sin marco",IFERROR(INDEX('Datos - TIMSS 2023'!$C$5:$C$105,MATCH(AA273,'Datos - TIMSS 2023'!$A$5:$A$105,0)),"Pendiente de clasificar")))</f>
        <v/>
      </c>
      <c r="AD273" s="11" t="inlineStr">
        <is>
          <t>3. Investigar, evaluar y usar información científica para tomar decisiones y actuar</t>
        </is>
      </c>
      <c r="AE273" s="11">
        <f>IF(AD273="","",IF(LEFT(AD273,1)="1","C1",IF(LEFT(AD273,1)="2","C2",IF(LEFT(AD273,1)="3","C3",""))))</f>
        <v/>
      </c>
      <c r="AF273" s="11" t="inlineStr">
        <is>
          <t>E1</t>
        </is>
      </c>
      <c r="AG273" s="11" t="inlineStr">
        <is>
          <t>D1</t>
        </is>
      </c>
      <c r="AH273" s="11" t="inlineStr">
        <is>
          <t>E1</t>
        </is>
      </c>
      <c r="AI273" s="11" t="inlineStr">
        <is>
          <t>I2</t>
        </is>
      </c>
      <c r="AJ273" s="11" t="inlineStr">
        <is>
          <t>I5</t>
        </is>
      </c>
      <c r="AK273" s="11" t="n"/>
      <c r="AL273" s="11" t="n"/>
      <c r="AM273" s="11" t="n"/>
      <c r="AN273" s="11" t="n"/>
      <c r="AO273" s="11" t="n"/>
      <c r="AP273" s="11" t="n"/>
      <c r="AQ273" s="11" t="n"/>
      <c r="AR273" s="11" t="n"/>
      <c r="AS273" s="11" t="n"/>
      <c r="AT273" s="11" t="n"/>
      <c r="AU273" s="11" t="n"/>
      <c r="AV273" s="11" t="n"/>
      <c r="AW273" s="11">
        <f>AF273&amp;"; "&amp;AG273&amp;"; "&amp;AH273&amp;"; "&amp;AI273&amp;"; "&amp;AJ273</f>
        <v/>
      </c>
    </row>
    <row r="274">
      <c r="A274" s="11" t="inlineStr">
        <is>
          <t>T0908-G05-CIE</t>
        </is>
      </c>
      <c r="B274" s="11" t="n">
        <v>5</v>
      </c>
      <c r="C274" s="11" t="inlineStr">
        <is>
          <t>Ciencias</t>
        </is>
      </c>
      <c r="D274" s="11" t="inlineStr">
        <is>
          <t>Matriz_Ciencias_5to_Grado_U1_U6.xlsx</t>
        </is>
      </c>
      <c r="E274" s="11" t="inlineStr">
        <is>
          <t>Unidad 6 - Ciencias de la Tierr</t>
        </is>
      </c>
      <c r="F274" s="11" t="n">
        <v>13</v>
      </c>
      <c r="G274" s="11" t="inlineStr">
        <is>
          <t>6. Ciencias de la Tierra.</t>
        </is>
      </c>
      <c r="H274" s="11" t="inlineStr">
        <is>
          <t>Actividad volcánica.</t>
        </is>
      </c>
      <c r="I274" s="38" t="inlineStr">
        <is>
          <t>6.11. Explicación de las causas de la actividad volcánica en El Salvador.</t>
        </is>
      </c>
      <c r="J274" s="11" t="inlineStr">
        <is>
          <t>T8_27</t>
        </is>
      </c>
      <c r="K274" s="11" t="inlineStr">
        <is>
          <t>T8_27-E1.2</t>
        </is>
      </c>
      <c r="L274" s="11" t="inlineStr"/>
      <c r="M274" s="11">
        <f>IF(K274="FUERA","Fuera del marco",IF(K274="N/A","Sin marco",IFERROR(INDEX('Datos - Catálogo TIMSS'!$C$5:$C$107,MATCH(K274,'Datos - Catálogo TIMSS'!$A$5:$A$107,0)),"Pendiente de clasificar")))</f>
        <v/>
      </c>
      <c r="N274" s="11">
        <f>IF(K274="FUERA","Fuera del marco",IF(K274="N/A","Sin marco",IFERROR(INDEX('Datos - Catálogo TIMSS'!$F$5:$F$107,MATCH(K274,'Datos - Catálogo TIMSS'!$A$5:$A$107,0)),"Pendiente de clasificar")))</f>
        <v/>
      </c>
      <c r="O274" s="11">
        <f>IF(L274="","",IFERROR(INDEX('Datos - Catálogo TIMSS'!$C$5:$C$107,MATCH(L274,'Datos - Catálogo TIMSS'!$A$5:$A$107,0)),"?"))</f>
        <v/>
      </c>
      <c r="P274" s="11" t="inlineStr">
        <is>
          <t>alta</t>
        </is>
      </c>
      <c r="Q274" s="38" t="inlineStr">
        <is>
          <t>Subducción y vulcanismo en El Salvador.</t>
        </is>
      </c>
      <c r="R274" s="38" t="inlineStr">
        <is>
          <t>Aplicar: relacionar</t>
        </is>
      </c>
      <c r="S274" s="39">
        <f>IFERROR(ISNUMBER(SEARCH("Conocer",$R274))/(ISNUMBER(SEARCH("Conocer",$R274))+ISNUMBER(SEARCH("Aplicar",$R274))+ISNUMBER(SEARCH("Razonar",$R274))),0)</f>
        <v/>
      </c>
      <c r="T274" s="39">
        <f>IFERROR(ISNUMBER(SEARCH("Aplicar",$R274))/(ISNUMBER(SEARCH("Conocer",$R274))+ISNUMBER(SEARCH("Aplicar",$R274))+ISNUMBER(SEARCH("Razonar",$R274))),0)</f>
        <v/>
      </c>
      <c r="U274" s="39">
        <f>IFERROR(ISNUMBER(SEARCH("Razonar",$R274))/(ISNUMBER(SEARCH("Conocer",$R274))+ISNUMBER(SEARCH("Aplicar",$R274))+ISNUMBER(SEARCH("Razonar",$R274))),0)</f>
        <v/>
      </c>
      <c r="V274" s="11" t="inlineStr">
        <is>
          <t>5°</t>
        </is>
      </c>
      <c r="W274" s="11" t="inlineStr">
        <is>
          <t>Ciclo 5°–8°</t>
        </is>
      </c>
      <c r="X274" s="11">
        <f>IF(OR(IFERROR(INDEX('Datos - Catálogo TIMSS'!$I$5:$I$107,MATCH(K274,'Datos - Catálogo TIMSS'!$A$5:$A$107,0)),"No")="Sí",IFERROR(INDEX('Datos - Catálogo TIMSS'!$I$5:$I$107,MATCH(L274,'Datos - Catálogo TIMSS'!$A$5:$A$107,0)),"No")="Sí"),1,0)</f>
        <v/>
      </c>
      <c r="Y274" s="11">
        <f>IF(IFERROR(INDEX('Datos - Catálogo TIMSS'!$J$5:$J$107,MATCH(K274,'Datos - Catálogo TIMSS'!$A$5:$A$107,0)),"No")="Sí",1,0)</f>
        <v/>
      </c>
      <c r="Z274" s="11">
        <f>IF(IFERROR(INDEX('Datos - Catálogo TIMSS'!$J$5:$J$107,MATCH(L274,'Datos - Catálogo TIMSS'!$A$5:$A$107,0)),"No")="Sí",1,0)</f>
        <v/>
      </c>
      <c r="AA274" s="11" t="inlineStr">
        <is>
          <t>T8-T2.1</t>
        </is>
      </c>
      <c r="AB274" s="11" t="inlineStr"/>
      <c r="AC274" s="11">
        <f>IF(AA274="FUERA","Fuera del marco",IF(AA274="N/A","Sin marco",IFERROR(INDEX('Datos - TIMSS 2023'!$C$5:$C$105,MATCH(AA274,'Datos - TIMSS 2023'!$A$5:$A$105,0)),"Pendiente de clasificar")))</f>
        <v/>
      </c>
      <c r="AD274" s="11" t="inlineStr">
        <is>
          <t>1. Explicar fenómenos científicamente</t>
        </is>
      </c>
      <c r="AE274" s="11">
        <f>IF(AD274="","",IF(LEFT(AD274,1)="1","C1",IF(LEFT(AD274,1)="2","C2",IF(LEFT(AD274,1)="3","C3",""))))</f>
        <v/>
      </c>
      <c r="AF274" s="11" t="inlineStr">
        <is>
          <t>E6</t>
        </is>
      </c>
      <c r="AG274" s="11" t="inlineStr">
        <is>
          <t>D1</t>
        </is>
      </c>
      <c r="AH274" s="11" t="inlineStr">
        <is>
          <t>E1</t>
        </is>
      </c>
      <c r="AI274" s="11" t="inlineStr">
        <is>
          <t>D4</t>
        </is>
      </c>
      <c r="AJ274" s="11" t="inlineStr">
        <is>
          <t>E6</t>
        </is>
      </c>
      <c r="AK274" s="11" t="n"/>
      <c r="AL274" s="11" t="n"/>
      <c r="AM274" s="11" t="n"/>
      <c r="AN274" s="11" t="n"/>
      <c r="AO274" s="11" t="n"/>
      <c r="AP274" s="11" t="n"/>
      <c r="AQ274" s="11" t="n"/>
      <c r="AR274" s="11" t="n"/>
      <c r="AS274" s="11" t="n"/>
      <c r="AT274" s="11" t="n"/>
      <c r="AU274" s="11" t="n"/>
      <c r="AV274" s="11" t="n"/>
      <c r="AW274" s="11">
        <f>AF274&amp;"; "&amp;AG274&amp;"; "&amp;AH274&amp;"; "&amp;AI274&amp;"; "&amp;AJ274</f>
        <v/>
      </c>
    </row>
    <row r="275">
      <c r="A275" s="11" t="inlineStr">
        <is>
          <t>T0909-G05-CIE</t>
        </is>
      </c>
      <c r="B275" s="11" t="n">
        <v>5</v>
      </c>
      <c r="C275" s="11" t="inlineStr">
        <is>
          <t>Ciencias</t>
        </is>
      </c>
      <c r="D275" s="11" t="inlineStr">
        <is>
          <t>Matriz_Ciencias_5to_Grado_U1_U6.xlsx</t>
        </is>
      </c>
      <c r="E275" s="11" t="inlineStr">
        <is>
          <t>Unidad 6 - Ciencias de la Tierr</t>
        </is>
      </c>
      <c r="F275" s="11" t="n">
        <v>14</v>
      </c>
      <c r="G275" s="11" t="inlineStr">
        <is>
          <t>6. Ciencias de la Tierra.</t>
        </is>
      </c>
      <c r="H275" s="11" t="inlineStr">
        <is>
          <t>Actividad volcánica.</t>
        </is>
      </c>
      <c r="I275" s="38" t="inlineStr">
        <is>
          <t>6.12. Identificación de parámetros físicos y químicos que se monitorean en los volcanes.</t>
        </is>
      </c>
      <c r="J275" s="11" t="inlineStr">
        <is>
          <t>T8_27</t>
        </is>
      </c>
      <c r="K275" s="11" t="inlineStr">
        <is>
          <t>T8_27-E1.2</t>
        </is>
      </c>
      <c r="L275" s="11" t="inlineStr"/>
      <c r="M275" s="11">
        <f>IF(K275="FUERA","Fuera del marco",IF(K275="N/A","Sin marco",IFERROR(INDEX('Datos - Catálogo TIMSS'!$C$5:$C$107,MATCH(K275,'Datos - Catálogo TIMSS'!$A$5:$A$107,0)),"Pendiente de clasificar")))</f>
        <v/>
      </c>
      <c r="N275" s="11">
        <f>IF(K275="FUERA","Fuera del marco",IF(K275="N/A","Sin marco",IFERROR(INDEX('Datos - Catálogo TIMSS'!$F$5:$F$107,MATCH(K275,'Datos - Catálogo TIMSS'!$A$5:$A$107,0)),"Pendiente de clasificar")))</f>
        <v/>
      </c>
      <c r="O275" s="11">
        <f>IF(L275="","",IFERROR(INDEX('Datos - Catálogo TIMSS'!$C$5:$C$107,MATCH(L275,'Datos - Catálogo TIMSS'!$A$5:$A$107,0)),"?"))</f>
        <v/>
      </c>
      <c r="P275" s="11" t="inlineStr">
        <is>
          <t>media</t>
        </is>
      </c>
      <c r="Q275" s="38" t="inlineStr">
        <is>
          <t>Parámetros de monitoreo volcánico; interpretación de gráficas.</t>
        </is>
      </c>
      <c r="R275" s="38" t="inlineStr">
        <is>
          <t>Aplicar: interpretar datos</t>
        </is>
      </c>
      <c r="S275" s="39">
        <f>IFERROR(ISNUMBER(SEARCH("Conocer",$R275))/(ISNUMBER(SEARCH("Conocer",$R275))+ISNUMBER(SEARCH("Aplicar",$R275))+ISNUMBER(SEARCH("Razonar",$R275))),0)</f>
        <v/>
      </c>
      <c r="T275" s="39">
        <f>IFERROR(ISNUMBER(SEARCH("Aplicar",$R275))/(ISNUMBER(SEARCH("Conocer",$R275))+ISNUMBER(SEARCH("Aplicar",$R275))+ISNUMBER(SEARCH("Razonar",$R275))),0)</f>
        <v/>
      </c>
      <c r="U275" s="39">
        <f>IFERROR(ISNUMBER(SEARCH("Razonar",$R275))/(ISNUMBER(SEARCH("Conocer",$R275))+ISNUMBER(SEARCH("Aplicar",$R275))+ISNUMBER(SEARCH("Razonar",$R275))),0)</f>
        <v/>
      </c>
      <c r="V275" s="11" t="inlineStr">
        <is>
          <t>5°</t>
        </is>
      </c>
      <c r="W275" s="11" t="inlineStr">
        <is>
          <t>Ciclo 5°–8°</t>
        </is>
      </c>
      <c r="X275" s="11">
        <f>IF(OR(IFERROR(INDEX('Datos - Catálogo TIMSS'!$I$5:$I$107,MATCH(K275,'Datos - Catálogo TIMSS'!$A$5:$A$107,0)),"No")="Sí",IFERROR(INDEX('Datos - Catálogo TIMSS'!$I$5:$I$107,MATCH(L275,'Datos - Catálogo TIMSS'!$A$5:$A$107,0)),"No")="Sí"),1,0)</f>
        <v/>
      </c>
      <c r="Y275" s="11">
        <f>IF(IFERROR(INDEX('Datos - Catálogo TIMSS'!$J$5:$J$107,MATCH(K275,'Datos - Catálogo TIMSS'!$A$5:$A$107,0)),"No")="Sí",1,0)</f>
        <v/>
      </c>
      <c r="Z275" s="11">
        <f>IF(IFERROR(INDEX('Datos - Catálogo TIMSS'!$J$5:$J$107,MATCH(L275,'Datos - Catálogo TIMSS'!$A$5:$A$107,0)),"No")="Sí",1,0)</f>
        <v/>
      </c>
      <c r="AA275" s="11" t="inlineStr">
        <is>
          <t>T8-T2.1</t>
        </is>
      </c>
      <c r="AB275" s="11" t="inlineStr"/>
      <c r="AC275" s="11">
        <f>IF(AA275="FUERA","Fuera del marco",IF(AA275="N/A","Sin marco",IFERROR(INDEX('Datos - TIMSS 2023'!$C$5:$C$105,MATCH(AA275,'Datos - TIMSS 2023'!$A$5:$A$105,0)),"Pendiente de clasificar")))</f>
        <v/>
      </c>
      <c r="AD275" s="11" t="inlineStr">
        <is>
          <t>2. Construir y evaluar diseños para la indagación científica e interpretar datos y evidencia de forma crítica</t>
        </is>
      </c>
      <c r="AE275" s="11">
        <f>IF(AD275="","",IF(LEFT(AD275,1)="1","C1",IF(LEFT(AD275,1)="2","C2",IF(LEFT(AD275,1)="3","C3",""))))</f>
        <v/>
      </c>
      <c r="AF275" s="11" t="inlineStr">
        <is>
          <t>E1</t>
        </is>
      </c>
      <c r="AG275" s="11" t="inlineStr">
        <is>
          <t>D1</t>
        </is>
      </c>
      <c r="AH275" s="11" t="inlineStr">
        <is>
          <t>E1</t>
        </is>
      </c>
      <c r="AI275" s="11" t="inlineStr">
        <is>
          <t>D4</t>
        </is>
      </c>
      <c r="AJ275" s="11" t="inlineStr">
        <is>
          <t>E6</t>
        </is>
      </c>
      <c r="AK275" s="11" t="n"/>
      <c r="AL275" s="11" t="n"/>
      <c r="AM275" s="11" t="n"/>
      <c r="AN275" s="11" t="n"/>
      <c r="AO275" s="11" t="n"/>
      <c r="AP275" s="11" t="n"/>
      <c r="AQ275" s="11" t="n"/>
      <c r="AR275" s="11" t="n"/>
      <c r="AS275" s="11" t="n"/>
      <c r="AT275" s="11" t="n"/>
      <c r="AU275" s="11" t="n"/>
      <c r="AV275" s="11" t="n"/>
      <c r="AW275" s="11">
        <f>AF275&amp;"; "&amp;AG275&amp;"; "&amp;AH275&amp;"; "&amp;AI275&amp;"; "&amp;AJ275</f>
        <v/>
      </c>
    </row>
    <row r="276">
      <c r="A276" s="11" t="inlineStr">
        <is>
          <t>T0910-G05-CIE</t>
        </is>
      </c>
      <c r="B276" s="11" t="n">
        <v>5</v>
      </c>
      <c r="C276" s="11" t="inlineStr">
        <is>
          <t>Ciencias</t>
        </is>
      </c>
      <c r="D276" s="11" t="inlineStr">
        <is>
          <t>Matriz_Ciencias_5to_Grado_U1_U6.xlsx</t>
        </is>
      </c>
      <c r="E276" s="11" t="inlineStr">
        <is>
          <t>Unidad 6 - Ciencias de la Tierr</t>
        </is>
      </c>
      <c r="F276" s="11" t="n">
        <v>15</v>
      </c>
      <c r="G276" s="11" t="inlineStr">
        <is>
          <t>6. Ciencias de la Tierra.</t>
        </is>
      </c>
      <c r="H276" s="11" t="inlineStr">
        <is>
          <t>Actividad volcánica.</t>
        </is>
      </c>
      <c r="I276" s="38" t="inlineStr">
        <is>
          <t>6.13. Descripción de las principales acciones a tomar ante la ocurrencia de una erupción volcánica.</t>
        </is>
      </c>
      <c r="J276" s="11" t="inlineStr">
        <is>
          <t>T8_27</t>
        </is>
      </c>
      <c r="K276" s="11" t="inlineStr">
        <is>
          <t>FUERA</t>
        </is>
      </c>
      <c r="L276" s="11" t="inlineStr"/>
      <c r="M276" s="11">
        <f>IF(K276="FUERA","Fuera del marco",IF(K276="N/A","Sin marco",IFERROR(INDEX('Datos - Catálogo TIMSS'!$C$5:$C$107,MATCH(K276,'Datos - Catálogo TIMSS'!$A$5:$A$107,0)),"Pendiente de clasificar")))</f>
        <v/>
      </c>
      <c r="N276" s="11">
        <f>IF(K276="FUERA","Fuera del marco",IF(K276="N/A","Sin marco",IFERROR(INDEX('Datos - Catálogo TIMSS'!$F$5:$F$107,MATCH(K276,'Datos - Catálogo TIMSS'!$A$5:$A$107,0)),"Pendiente de clasificar")))</f>
        <v/>
      </c>
      <c r="O276" s="11">
        <f>IF(L276="","",IFERROR(INDEX('Datos - Catálogo TIMSS'!$C$5:$C$107,MATCH(L276,'Datos - Catálogo TIMSS'!$A$5:$A$107,0)),"?"))</f>
        <v/>
      </c>
      <c r="P276" s="11" t="inlineStr">
        <is>
          <t>alta</t>
        </is>
      </c>
      <c r="Q276" s="38" t="inlineStr">
        <is>
          <t>Acciones ante erupción; gestión de riesgos fuera del marco.</t>
        </is>
      </c>
      <c r="R276" s="38" t="inlineStr">
        <is>
          <t>Aplicar: planificar</t>
        </is>
      </c>
      <c r="S276" s="39">
        <f>IFERROR(ISNUMBER(SEARCH("Conocer",$R276))/(ISNUMBER(SEARCH("Conocer",$R276))+ISNUMBER(SEARCH("Aplicar",$R276))+ISNUMBER(SEARCH("Razonar",$R276))),0)</f>
        <v/>
      </c>
      <c r="T276" s="39">
        <f>IFERROR(ISNUMBER(SEARCH("Aplicar",$R276))/(ISNUMBER(SEARCH("Conocer",$R276))+ISNUMBER(SEARCH("Aplicar",$R276))+ISNUMBER(SEARCH("Razonar",$R276))),0)</f>
        <v/>
      </c>
      <c r="U276" s="39">
        <f>IFERROR(ISNUMBER(SEARCH("Razonar",$R276))/(ISNUMBER(SEARCH("Conocer",$R276))+ISNUMBER(SEARCH("Aplicar",$R276))+ISNUMBER(SEARCH("Razonar",$R276))),0)</f>
        <v/>
      </c>
      <c r="V276" s="11" t="inlineStr">
        <is>
          <t>5°</t>
        </is>
      </c>
      <c r="W276" s="11" t="inlineStr">
        <is>
          <t>Ciclo 5°–8°</t>
        </is>
      </c>
      <c r="X276" s="11">
        <f>IF(OR(IFERROR(INDEX('Datos - Catálogo TIMSS'!$I$5:$I$107,MATCH(K276,'Datos - Catálogo TIMSS'!$A$5:$A$107,0)),"No")="Sí",IFERROR(INDEX('Datos - Catálogo TIMSS'!$I$5:$I$107,MATCH(L276,'Datos - Catálogo TIMSS'!$A$5:$A$107,0)),"No")="Sí"),1,0)</f>
        <v/>
      </c>
      <c r="Y276" s="11">
        <f>IF(IFERROR(INDEX('Datos - Catálogo TIMSS'!$J$5:$J$107,MATCH(K276,'Datos - Catálogo TIMSS'!$A$5:$A$107,0)),"No")="Sí",1,0)</f>
        <v/>
      </c>
      <c r="Z276" s="11">
        <f>IF(IFERROR(INDEX('Datos - Catálogo TIMSS'!$J$5:$J$107,MATCH(L276,'Datos - Catálogo TIMSS'!$A$5:$A$107,0)),"No")="Sí",1,0)</f>
        <v/>
      </c>
      <c r="AA276" s="11" t="inlineStr">
        <is>
          <t>FUERA</t>
        </is>
      </c>
      <c r="AB276" s="11" t="inlineStr"/>
      <c r="AC276" s="11">
        <f>IF(AA276="FUERA","Fuera del marco",IF(AA276="N/A","Sin marco",IFERROR(INDEX('Datos - TIMSS 2023'!$C$5:$C$105,MATCH(AA276,'Datos - TIMSS 2023'!$A$5:$A$105,0)),"Pendiente de clasificar")))</f>
        <v/>
      </c>
      <c r="AD276" s="11" t="inlineStr">
        <is>
          <t>3. Investigar, evaluar y usar información científica para tomar decisiones y actuar</t>
        </is>
      </c>
      <c r="AE276" s="11">
        <f>IF(AD276="","",IF(LEFT(AD276,1)="1","C1",IF(LEFT(AD276,1)="2","C2",IF(LEFT(AD276,1)="3","C3",""))))</f>
        <v/>
      </c>
      <c r="AF276" s="11" t="inlineStr">
        <is>
          <t>E1</t>
        </is>
      </c>
      <c r="AG276" s="11" t="inlineStr">
        <is>
          <t>D1</t>
        </is>
      </c>
      <c r="AH276" s="11" t="inlineStr">
        <is>
          <t>E1</t>
        </is>
      </c>
      <c r="AI276" s="11" t="inlineStr">
        <is>
          <t>I1</t>
        </is>
      </c>
      <c r="AJ276" s="11" t="inlineStr">
        <is>
          <t>I5</t>
        </is>
      </c>
      <c r="AK276" s="11" t="n"/>
      <c r="AL276" s="11" t="n"/>
      <c r="AM276" s="11" t="n"/>
      <c r="AN276" s="11" t="n"/>
      <c r="AO276" s="11" t="n"/>
      <c r="AP276" s="11" t="n"/>
      <c r="AQ276" s="11" t="n"/>
      <c r="AR276" s="11" t="n"/>
      <c r="AS276" s="11" t="n"/>
      <c r="AT276" s="11" t="n"/>
      <c r="AU276" s="11" t="n"/>
      <c r="AV276" s="11" t="n"/>
      <c r="AW276" s="11">
        <f>AF276&amp;"; "&amp;AG276&amp;"; "&amp;AH276&amp;"; "&amp;AI276&amp;"; "&amp;AJ276</f>
        <v/>
      </c>
    </row>
    <row r="277">
      <c r="A277" s="11" t="inlineStr">
        <is>
          <t>T0911-G05-CIE</t>
        </is>
      </c>
      <c r="B277" s="11" t="n">
        <v>5</v>
      </c>
      <c r="C277" s="11" t="inlineStr">
        <is>
          <t>Ciencias</t>
        </is>
      </c>
      <c r="D277" s="11" t="inlineStr">
        <is>
          <t>Matriz_Ciencias_5to_Grado_U1_U6.xlsx</t>
        </is>
      </c>
      <c r="E277" s="11" t="inlineStr">
        <is>
          <t>Unidad 6 - Ciencias de la Tierr</t>
        </is>
      </c>
      <c r="F277" s="11" t="n">
        <v>16</v>
      </c>
      <c r="G277" s="11" t="inlineStr">
        <is>
          <t>6. Ciencias de la Tierra.</t>
        </is>
      </c>
      <c r="H277" s="11" t="inlineStr">
        <is>
          <t>El suelo.</t>
        </is>
      </c>
      <c r="I277" s="38" t="inlineStr">
        <is>
          <t>6.14. Identificación de los procesos químicos que ocurren en el suelo.</t>
        </is>
      </c>
      <c r="J277" s="11" t="inlineStr">
        <is>
          <t>T8_27</t>
        </is>
      </c>
      <c r="K277" s="11" t="inlineStr">
        <is>
          <t>T8_27-C3.1</t>
        </is>
      </c>
      <c r="L277" s="11" t="inlineStr">
        <is>
          <t>T8_27-E1.2</t>
        </is>
      </c>
      <c r="M277" s="11">
        <f>IF(K277="FUERA","Fuera del marco",IF(K277="N/A","Sin marco",IFERROR(INDEX('Datos - Catálogo TIMSS'!$C$5:$C$107,MATCH(K277,'Datos - Catálogo TIMSS'!$A$5:$A$107,0)),"Pendiente de clasificar")))</f>
        <v/>
      </c>
      <c r="N277" s="11">
        <f>IF(K277="FUERA","Fuera del marco",IF(K277="N/A","Sin marco",IFERROR(INDEX('Datos - Catálogo TIMSS'!$F$5:$F$107,MATCH(K277,'Datos - Catálogo TIMSS'!$A$5:$A$107,0)),"Pendiente de clasificar")))</f>
        <v/>
      </c>
      <c r="O277" s="11">
        <f>IF(L277="","",IFERROR(INDEX('Datos - Catálogo TIMSS'!$C$5:$C$107,MATCH(L277,'Datos - Catálogo TIMSS'!$A$5:$A$107,0)),"?"))</f>
        <v/>
      </c>
      <c r="P277" s="11" t="inlineStr">
        <is>
          <t>baja</t>
        </is>
      </c>
      <c r="Q277" s="38" t="inlineStr">
        <is>
          <t>Reacciones en muestras de suelo; meteorización química.</t>
        </is>
      </c>
      <c r="R277" s="38" t="inlineStr">
        <is>
          <t>Razonar: comprobar y concluir</t>
        </is>
      </c>
      <c r="S277" s="39">
        <f>IFERROR(ISNUMBER(SEARCH("Conocer",$R277))/(ISNUMBER(SEARCH("Conocer",$R277))+ISNUMBER(SEARCH("Aplicar",$R277))+ISNUMBER(SEARCH("Razonar",$R277))),0)</f>
        <v/>
      </c>
      <c r="T277" s="39">
        <f>IFERROR(ISNUMBER(SEARCH("Aplicar",$R277))/(ISNUMBER(SEARCH("Conocer",$R277))+ISNUMBER(SEARCH("Aplicar",$R277))+ISNUMBER(SEARCH("Razonar",$R277))),0)</f>
        <v/>
      </c>
      <c r="U277" s="39">
        <f>IFERROR(ISNUMBER(SEARCH("Razonar",$R277))/(ISNUMBER(SEARCH("Conocer",$R277))+ISNUMBER(SEARCH("Aplicar",$R277))+ISNUMBER(SEARCH("Razonar",$R277))),0)</f>
        <v/>
      </c>
      <c r="V277" s="11" t="inlineStr">
        <is>
          <t>5°</t>
        </is>
      </c>
      <c r="W277" s="11" t="inlineStr">
        <is>
          <t>Ciclo 5°–8°</t>
        </is>
      </c>
      <c r="X277" s="11">
        <f>IF(OR(IFERROR(INDEX('Datos - Catálogo TIMSS'!$I$5:$I$107,MATCH(K277,'Datos - Catálogo TIMSS'!$A$5:$A$107,0)),"No")="Sí",IFERROR(INDEX('Datos - Catálogo TIMSS'!$I$5:$I$107,MATCH(L277,'Datos - Catálogo TIMSS'!$A$5:$A$107,0)),"No")="Sí"),1,0)</f>
        <v/>
      </c>
      <c r="Y277" s="11">
        <f>IF(IFERROR(INDEX('Datos - Catálogo TIMSS'!$J$5:$J$107,MATCH(K277,'Datos - Catálogo TIMSS'!$A$5:$A$107,0)),"No")="Sí",1,0)</f>
        <v/>
      </c>
      <c r="Z277" s="11">
        <f>IF(IFERROR(INDEX('Datos - Catálogo TIMSS'!$J$5:$J$107,MATCH(L277,'Datos - Catálogo TIMSS'!$A$5:$A$107,0)),"No")="Sí",1,0)</f>
        <v/>
      </c>
      <c r="AA277" s="11" t="inlineStr">
        <is>
          <t>T8-T2.1</t>
        </is>
      </c>
      <c r="AB277" s="11" t="inlineStr">
        <is>
          <t>T8-Q3.1</t>
        </is>
      </c>
      <c r="AC277" s="11">
        <f>IF(AA277="FUERA","Fuera del marco",IF(AA277="N/A","Sin marco",IFERROR(INDEX('Datos - TIMSS 2023'!$C$5:$C$105,MATCH(AA277,'Datos - TIMSS 2023'!$A$5:$A$105,0)),"Pendiente de clasificar")))</f>
        <v/>
      </c>
      <c r="AD277" s="11" t="inlineStr">
        <is>
          <t>2. Construir y evaluar diseños para la indagación científica e interpretar datos y evidencia de forma crítica</t>
        </is>
      </c>
      <c r="AE277" s="11">
        <f>IF(AD277="","",IF(LEFT(AD277,1)="1","C1",IF(LEFT(AD277,1)="2","C2",IF(LEFT(AD277,1)="3","C3",""))))</f>
        <v/>
      </c>
      <c r="AF277" s="11" t="inlineStr">
        <is>
          <t>E1</t>
        </is>
      </c>
      <c r="AG277" s="11" t="inlineStr">
        <is>
          <t>D1</t>
        </is>
      </c>
      <c r="AH277" s="11" t="inlineStr">
        <is>
          <t>E1</t>
        </is>
      </c>
      <c r="AI277" s="11" t="inlineStr">
        <is>
          <t>D2</t>
        </is>
      </c>
      <c r="AJ277" s="11" t="inlineStr">
        <is>
          <t>E6</t>
        </is>
      </c>
      <c r="AK277" s="11" t="n"/>
      <c r="AL277" s="11" t="n"/>
      <c r="AM277" s="11" t="n"/>
      <c r="AN277" s="11" t="n"/>
      <c r="AO277" s="11" t="n"/>
      <c r="AP277" s="11" t="n"/>
      <c r="AQ277" s="11" t="n"/>
      <c r="AR277" s="11" t="n"/>
      <c r="AS277" s="11" t="n"/>
      <c r="AT277" s="11" t="n"/>
      <c r="AU277" s="11" t="n"/>
      <c r="AV277" s="11" t="n"/>
      <c r="AW277" s="11">
        <f>AF277&amp;"; "&amp;AG277&amp;"; "&amp;AH277&amp;"; "&amp;AI277&amp;"; "&amp;AJ277</f>
        <v/>
      </c>
    </row>
    <row r="278">
      <c r="A278" s="11" t="inlineStr">
        <is>
          <t>T0912-G05-CIE</t>
        </is>
      </c>
      <c r="B278" s="11" t="n">
        <v>5</v>
      </c>
      <c r="C278" s="11" t="inlineStr">
        <is>
          <t>Ciencias</t>
        </is>
      </c>
      <c r="D278" s="11" t="inlineStr">
        <is>
          <t>Matriz_Ciencias_5to_Grado_U1_U6.xlsx</t>
        </is>
      </c>
      <c r="E278" s="11" t="inlineStr">
        <is>
          <t>Unidad 6 - Ciencias de la Tierr</t>
        </is>
      </c>
      <c r="F278" s="11" t="n">
        <v>17</v>
      </c>
      <c r="G278" s="11" t="inlineStr">
        <is>
          <t>6. Ciencias de la Tierra.</t>
        </is>
      </c>
      <c r="H278" s="11" t="inlineStr">
        <is>
          <t>El suelo.</t>
        </is>
      </c>
      <c r="I278" s="38" t="inlineStr">
        <is>
          <t>6.15. Indagación de la estructura del suelo y concepto de meteorización.</t>
        </is>
      </c>
      <c r="J278" s="11" t="inlineStr">
        <is>
          <t>T8_27</t>
        </is>
      </c>
      <c r="K278" s="11" t="inlineStr">
        <is>
          <t>T8_27-E1.2</t>
        </is>
      </c>
      <c r="L278" s="11" t="inlineStr"/>
      <c r="M278" s="11">
        <f>IF(K278="FUERA","Fuera del marco",IF(K278="N/A","Sin marco",IFERROR(INDEX('Datos - Catálogo TIMSS'!$C$5:$C$107,MATCH(K278,'Datos - Catálogo TIMSS'!$A$5:$A$107,0)),"Pendiente de clasificar")))</f>
        <v/>
      </c>
      <c r="N278" s="11">
        <f>IF(K278="FUERA","Fuera del marco",IF(K278="N/A","Sin marco",IFERROR(INDEX('Datos - Catálogo TIMSS'!$F$5:$F$107,MATCH(K278,'Datos - Catálogo TIMSS'!$A$5:$A$107,0)),"Pendiente de clasificar")))</f>
        <v/>
      </c>
      <c r="O278" s="11">
        <f>IF(L278="","",IFERROR(INDEX('Datos - Catálogo TIMSS'!$C$5:$C$107,MATCH(L278,'Datos - Catálogo TIMSS'!$A$5:$A$107,0)),"?"))</f>
        <v/>
      </c>
      <c r="P278" s="11" t="inlineStr">
        <is>
          <t>media</t>
        </is>
      </c>
      <c r="Q278" s="38" t="inlineStr">
        <is>
          <t>Meteorización y formación del suelo dentro del ciclo de rocas.</t>
        </is>
      </c>
      <c r="R278" s="38" t="inlineStr">
        <is>
          <t>Aplicar: observar y representar</t>
        </is>
      </c>
      <c r="S278" s="39">
        <f>IFERROR(ISNUMBER(SEARCH("Conocer",$R278))/(ISNUMBER(SEARCH("Conocer",$R278))+ISNUMBER(SEARCH("Aplicar",$R278))+ISNUMBER(SEARCH("Razonar",$R278))),0)</f>
        <v/>
      </c>
      <c r="T278" s="39">
        <f>IFERROR(ISNUMBER(SEARCH("Aplicar",$R278))/(ISNUMBER(SEARCH("Conocer",$R278))+ISNUMBER(SEARCH("Aplicar",$R278))+ISNUMBER(SEARCH("Razonar",$R278))),0)</f>
        <v/>
      </c>
      <c r="U278" s="39">
        <f>IFERROR(ISNUMBER(SEARCH("Razonar",$R278))/(ISNUMBER(SEARCH("Conocer",$R278))+ISNUMBER(SEARCH("Aplicar",$R278))+ISNUMBER(SEARCH("Razonar",$R278))),0)</f>
        <v/>
      </c>
      <c r="V278" s="11" t="inlineStr">
        <is>
          <t>5°</t>
        </is>
      </c>
      <c r="W278" s="11" t="inlineStr">
        <is>
          <t>Ciclo 5°–8°</t>
        </is>
      </c>
      <c r="X278" s="11">
        <f>IF(OR(IFERROR(INDEX('Datos - Catálogo TIMSS'!$I$5:$I$107,MATCH(K278,'Datos - Catálogo TIMSS'!$A$5:$A$107,0)),"No")="Sí",IFERROR(INDEX('Datos - Catálogo TIMSS'!$I$5:$I$107,MATCH(L278,'Datos - Catálogo TIMSS'!$A$5:$A$107,0)),"No")="Sí"),1,0)</f>
        <v/>
      </c>
      <c r="Y278" s="11">
        <f>IF(IFERROR(INDEX('Datos - Catálogo TIMSS'!$J$5:$J$107,MATCH(K278,'Datos - Catálogo TIMSS'!$A$5:$A$107,0)),"No")="Sí",1,0)</f>
        <v/>
      </c>
      <c r="Z278" s="11">
        <f>IF(IFERROR(INDEX('Datos - Catálogo TIMSS'!$J$5:$J$107,MATCH(L278,'Datos - Catálogo TIMSS'!$A$5:$A$107,0)),"No")="Sí",1,0)</f>
        <v/>
      </c>
      <c r="AA278" s="11" t="inlineStr">
        <is>
          <t>T8-T2.1</t>
        </is>
      </c>
      <c r="AB278" s="11" t="inlineStr"/>
      <c r="AC278" s="11">
        <f>IF(AA278="FUERA","Fuera del marco",IF(AA278="N/A","Sin marco",IFERROR(INDEX('Datos - TIMSS 2023'!$C$5:$C$105,MATCH(AA278,'Datos - TIMSS 2023'!$A$5:$A$105,0)),"Pendiente de clasificar")))</f>
        <v/>
      </c>
      <c r="AD278" s="11" t="inlineStr">
        <is>
          <t>2. Construir y evaluar diseños para la indagación científica e interpretar datos y evidencia de forma crítica</t>
        </is>
      </c>
      <c r="AE278" s="11">
        <f>IF(AD278="","",IF(LEFT(AD278,1)="1","C1",IF(LEFT(AD278,1)="2","C2",IF(LEFT(AD278,1)="3","C3",""))))</f>
        <v/>
      </c>
      <c r="AF278" s="11" t="inlineStr">
        <is>
          <t>E1</t>
        </is>
      </c>
      <c r="AG278" s="11" t="inlineStr">
        <is>
          <t>D1</t>
        </is>
      </c>
      <c r="AH278" s="11" t="inlineStr">
        <is>
          <t>E1</t>
        </is>
      </c>
      <c r="AI278" s="11" t="inlineStr">
        <is>
          <t>D4</t>
        </is>
      </c>
      <c r="AJ278" s="11" t="inlineStr">
        <is>
          <t>E6</t>
        </is>
      </c>
      <c r="AK278" s="11" t="n"/>
      <c r="AL278" s="11" t="n"/>
      <c r="AM278" s="11" t="n"/>
      <c r="AN278" s="11" t="n"/>
      <c r="AO278" s="11" t="n"/>
      <c r="AP278" s="11" t="n"/>
      <c r="AQ278" s="11" t="n"/>
      <c r="AR278" s="11" t="n"/>
      <c r="AS278" s="11" t="n"/>
      <c r="AT278" s="11" t="n"/>
      <c r="AU278" s="11" t="n"/>
      <c r="AV278" s="11" t="n"/>
      <c r="AW278" s="11">
        <f>AF278&amp;"; "&amp;AG278&amp;"; "&amp;AH278&amp;"; "&amp;AI278&amp;"; "&amp;AJ278</f>
        <v/>
      </c>
    </row>
    <row r="279">
      <c r="A279" s="11" t="inlineStr">
        <is>
          <t>T0913-G05-CIE</t>
        </is>
      </c>
      <c r="B279" s="11" t="n">
        <v>5</v>
      </c>
      <c r="C279" s="11" t="inlineStr">
        <is>
          <t>Ciencias</t>
        </is>
      </c>
      <c r="D279" s="11" t="inlineStr">
        <is>
          <t>Matriz_Ciencias_5to_Grado_U1_U6.xlsx</t>
        </is>
      </c>
      <c r="E279" s="11" t="inlineStr">
        <is>
          <t>Unidad 6 - Ciencias de la Tierr</t>
        </is>
      </c>
      <c r="F279" s="11" t="n">
        <v>18</v>
      </c>
      <c r="G279" s="11" t="inlineStr">
        <is>
          <t>6. Ciencias de la Tierra.</t>
        </is>
      </c>
      <c r="H279" s="11" t="inlineStr">
        <is>
          <t>El suelo.</t>
        </is>
      </c>
      <c r="I279" s="38" t="inlineStr">
        <is>
          <t>6.16. Caracterización física de los suelos: clases y tipos.</t>
        </is>
      </c>
      <c r="J279" s="11" t="inlineStr">
        <is>
          <t>T8_27</t>
        </is>
      </c>
      <c r="K279" s="11" t="inlineStr">
        <is>
          <t>T8_27-E1.1</t>
        </is>
      </c>
      <c r="L279" s="11" t="inlineStr"/>
      <c r="M279" s="11">
        <f>IF(K279="FUERA","Fuera del marco",IF(K279="N/A","Sin marco",IFERROR(INDEX('Datos - Catálogo TIMSS'!$C$5:$C$107,MATCH(K279,'Datos - Catálogo TIMSS'!$A$5:$A$107,0)),"Pendiente de clasificar")))</f>
        <v/>
      </c>
      <c r="N279" s="11">
        <f>IF(K279="FUERA","Fuera del marco",IF(K279="N/A","Sin marco",IFERROR(INDEX('Datos - Catálogo TIMSS'!$F$5:$F$107,MATCH(K279,'Datos - Catálogo TIMSS'!$A$5:$A$107,0)),"Pendiente de clasificar")))</f>
        <v/>
      </c>
      <c r="O279" s="11">
        <f>IF(L279="","",IFERROR(INDEX('Datos - Catálogo TIMSS'!$C$5:$C$107,MATCH(L279,'Datos - Catálogo TIMSS'!$A$5:$A$107,0)),"?"))</f>
        <v/>
      </c>
      <c r="P279" s="11" t="inlineStr">
        <is>
          <t>baja</t>
        </is>
      </c>
      <c r="Q279" s="38" t="inlineStr">
        <is>
          <t>Propiedades físicas del suelo; objetivo no menciona suelos.</t>
        </is>
      </c>
      <c r="R279" s="38" t="inlineStr">
        <is>
          <t>Razonar: diseñar prueba justa</t>
        </is>
      </c>
      <c r="S279" s="39">
        <f>IFERROR(ISNUMBER(SEARCH("Conocer",$R279))/(ISNUMBER(SEARCH("Conocer",$R279))+ISNUMBER(SEARCH("Aplicar",$R279))+ISNUMBER(SEARCH("Razonar",$R279))),0)</f>
        <v/>
      </c>
      <c r="T279" s="39">
        <f>IFERROR(ISNUMBER(SEARCH("Aplicar",$R279))/(ISNUMBER(SEARCH("Conocer",$R279))+ISNUMBER(SEARCH("Aplicar",$R279))+ISNUMBER(SEARCH("Razonar",$R279))),0)</f>
        <v/>
      </c>
      <c r="U279" s="39">
        <f>IFERROR(ISNUMBER(SEARCH("Razonar",$R279))/(ISNUMBER(SEARCH("Conocer",$R279))+ISNUMBER(SEARCH("Aplicar",$R279))+ISNUMBER(SEARCH("Razonar",$R279))),0)</f>
        <v/>
      </c>
      <c r="V279" s="11" t="inlineStr">
        <is>
          <t>5°</t>
        </is>
      </c>
      <c r="W279" s="11" t="inlineStr">
        <is>
          <t>Ciclo 5°–8°</t>
        </is>
      </c>
      <c r="X279" s="11">
        <f>IF(OR(IFERROR(INDEX('Datos - Catálogo TIMSS'!$I$5:$I$107,MATCH(K279,'Datos - Catálogo TIMSS'!$A$5:$A$107,0)),"No")="Sí",IFERROR(INDEX('Datos - Catálogo TIMSS'!$I$5:$I$107,MATCH(L279,'Datos - Catálogo TIMSS'!$A$5:$A$107,0)),"No")="Sí"),1,0)</f>
        <v/>
      </c>
      <c r="Y279" s="11">
        <f>IF(IFERROR(INDEX('Datos - Catálogo TIMSS'!$J$5:$J$107,MATCH(K279,'Datos - Catálogo TIMSS'!$A$5:$A$107,0)),"No")="Sí",1,0)</f>
        <v/>
      </c>
      <c r="Z279" s="11">
        <f>IF(IFERROR(INDEX('Datos - Catálogo TIMSS'!$J$5:$J$107,MATCH(L279,'Datos - Catálogo TIMSS'!$A$5:$A$107,0)),"No")="Sí",1,0)</f>
        <v/>
      </c>
      <c r="AA279" s="11" t="inlineStr">
        <is>
          <t>T8-T3.2</t>
        </is>
      </c>
      <c r="AB279" s="11" t="inlineStr"/>
      <c r="AC279" s="11">
        <f>IF(AA279="FUERA","Fuera del marco",IF(AA279="N/A","Sin marco",IFERROR(INDEX('Datos - TIMSS 2023'!$C$5:$C$105,MATCH(AA279,'Datos - TIMSS 2023'!$A$5:$A$105,0)),"Pendiente de clasificar")))</f>
        <v/>
      </c>
      <c r="AD279" s="11" t="inlineStr">
        <is>
          <t>2. Construir y evaluar diseños para la indagación científica e interpretar datos y evidencia de forma crítica</t>
        </is>
      </c>
      <c r="AE279" s="11">
        <f>IF(AD279="","",IF(LEFT(AD279,1)="1","C1",IF(LEFT(AD279,1)="2","C2",IF(LEFT(AD279,1)="3","C3",""))))</f>
        <v/>
      </c>
      <c r="AF279" s="11" t="inlineStr">
        <is>
          <t>E1</t>
        </is>
      </c>
      <c r="AG279" s="11" t="inlineStr">
        <is>
          <t>D1</t>
        </is>
      </c>
      <c r="AH279" s="11" t="inlineStr">
        <is>
          <t>E1</t>
        </is>
      </c>
      <c r="AI279" s="11" t="inlineStr">
        <is>
          <t>D2</t>
        </is>
      </c>
      <c r="AJ279" s="11" t="inlineStr">
        <is>
          <t>E6</t>
        </is>
      </c>
      <c r="AK279" s="11" t="n"/>
      <c r="AL279" s="11" t="n"/>
      <c r="AM279" s="11" t="n"/>
      <c r="AN279" s="11" t="n"/>
      <c r="AO279" s="11" t="n"/>
      <c r="AP279" s="11" t="n"/>
      <c r="AQ279" s="11" t="n"/>
      <c r="AR279" s="11" t="n"/>
      <c r="AS279" s="11" t="n"/>
      <c r="AT279" s="11" t="n"/>
      <c r="AU279" s="11" t="n"/>
      <c r="AV279" s="11" t="n"/>
      <c r="AW279" s="11">
        <f>AF279&amp;"; "&amp;AG279&amp;"; "&amp;AH279&amp;"; "&amp;AI279&amp;"; "&amp;AJ279</f>
        <v/>
      </c>
    </row>
    <row r="280">
      <c r="A280" s="11" t="inlineStr">
        <is>
          <t>T0914-G05-CIE</t>
        </is>
      </c>
      <c r="B280" s="11" t="n">
        <v>5</v>
      </c>
      <c r="C280" s="11" t="inlineStr">
        <is>
          <t>Ciencias</t>
        </is>
      </c>
      <c r="D280" s="11" t="inlineStr">
        <is>
          <t>Matriz_Ciencias_5to_Grado_U1_U6.xlsx</t>
        </is>
      </c>
      <c r="E280" s="11" t="inlineStr">
        <is>
          <t>Unidad 6 - Ciencias de la Tierr</t>
        </is>
      </c>
      <c r="F280" s="11" t="n">
        <v>19</v>
      </c>
      <c r="G280" s="11" t="inlineStr">
        <is>
          <t>6. Ciencias de la Tierra.</t>
        </is>
      </c>
      <c r="H280" s="11" t="inlineStr">
        <is>
          <t>El suelo.</t>
        </is>
      </c>
      <c r="I280" s="38" t="inlineStr">
        <is>
          <t>6.17. Demostración de la erosión ocasionada por la acción del agua y el viento.</t>
        </is>
      </c>
      <c r="J280" s="11" t="inlineStr">
        <is>
          <t>T8_27</t>
        </is>
      </c>
      <c r="K280" s="11" t="inlineStr">
        <is>
          <t>T8_27-E1.2</t>
        </is>
      </c>
      <c r="L280" s="11" t="inlineStr"/>
      <c r="M280" s="11">
        <f>IF(K280="FUERA","Fuera del marco",IF(K280="N/A","Sin marco",IFERROR(INDEX('Datos - Catálogo TIMSS'!$C$5:$C$107,MATCH(K280,'Datos - Catálogo TIMSS'!$A$5:$A$107,0)),"Pendiente de clasificar")))</f>
        <v/>
      </c>
      <c r="N280" s="11">
        <f>IF(K280="FUERA","Fuera del marco",IF(K280="N/A","Sin marco",IFERROR(INDEX('Datos - Catálogo TIMSS'!$F$5:$F$107,MATCH(K280,'Datos - Catálogo TIMSS'!$A$5:$A$107,0)),"Pendiente de clasificar")))</f>
        <v/>
      </c>
      <c r="O280" s="11">
        <f>IF(L280="","",IFERROR(INDEX('Datos - Catálogo TIMSS'!$C$5:$C$107,MATCH(L280,'Datos - Catálogo TIMSS'!$A$5:$A$107,0)),"?"))</f>
        <v/>
      </c>
      <c r="P280" s="11" t="inlineStr">
        <is>
          <t>media</t>
        </is>
      </c>
      <c r="Q280" s="38" t="inlineStr">
        <is>
          <t>Erosión por agua y viento modifica la superficie terrestre.</t>
        </is>
      </c>
      <c r="R280" s="38" t="inlineStr">
        <is>
          <t>Aplicar: usar modelos. Razonar: comparar</t>
        </is>
      </c>
      <c r="S280" s="39">
        <f>IFERROR(ISNUMBER(SEARCH("Conocer",$R280))/(ISNUMBER(SEARCH("Conocer",$R280))+ISNUMBER(SEARCH("Aplicar",$R280))+ISNUMBER(SEARCH("Razonar",$R280))),0)</f>
        <v/>
      </c>
      <c r="T280" s="39">
        <f>IFERROR(ISNUMBER(SEARCH("Aplicar",$R280))/(ISNUMBER(SEARCH("Conocer",$R280))+ISNUMBER(SEARCH("Aplicar",$R280))+ISNUMBER(SEARCH("Razonar",$R280))),0)</f>
        <v/>
      </c>
      <c r="U280" s="39">
        <f>IFERROR(ISNUMBER(SEARCH("Razonar",$R280))/(ISNUMBER(SEARCH("Conocer",$R280))+ISNUMBER(SEARCH("Aplicar",$R280))+ISNUMBER(SEARCH("Razonar",$R280))),0)</f>
        <v/>
      </c>
      <c r="V280" s="11" t="inlineStr">
        <is>
          <t>5°</t>
        </is>
      </c>
      <c r="W280" s="11" t="inlineStr">
        <is>
          <t>Ciclo 5°–8°</t>
        </is>
      </c>
      <c r="X280" s="11">
        <f>IF(OR(IFERROR(INDEX('Datos - Catálogo TIMSS'!$I$5:$I$107,MATCH(K280,'Datos - Catálogo TIMSS'!$A$5:$A$107,0)),"No")="Sí",IFERROR(INDEX('Datos - Catálogo TIMSS'!$I$5:$I$107,MATCH(L280,'Datos - Catálogo TIMSS'!$A$5:$A$107,0)),"No")="Sí"),1,0)</f>
        <v/>
      </c>
      <c r="Y280" s="11">
        <f>IF(IFERROR(INDEX('Datos - Catálogo TIMSS'!$J$5:$J$107,MATCH(K280,'Datos - Catálogo TIMSS'!$A$5:$A$107,0)),"No")="Sí",1,0)</f>
        <v/>
      </c>
      <c r="Z280" s="11">
        <f>IF(IFERROR(INDEX('Datos - Catálogo TIMSS'!$J$5:$J$107,MATCH(L280,'Datos - Catálogo TIMSS'!$A$5:$A$107,0)),"No")="Sí",1,0)</f>
        <v/>
      </c>
      <c r="AA280" s="11" t="inlineStr">
        <is>
          <t>T8-T2.1</t>
        </is>
      </c>
      <c r="AB280" s="11" t="inlineStr"/>
      <c r="AC280" s="11">
        <f>IF(AA280="FUERA","Fuera del marco",IF(AA280="N/A","Sin marco",IFERROR(INDEX('Datos - TIMSS 2023'!$C$5:$C$105,MATCH(AA280,'Datos - TIMSS 2023'!$A$5:$A$105,0)),"Pendiente de clasificar")))</f>
        <v/>
      </c>
      <c r="AD280" s="11" t="inlineStr">
        <is>
          <t>2. Construir y evaluar diseños para la indagación científica e interpretar datos y evidencia de forma crítica</t>
        </is>
      </c>
      <c r="AE280" s="11">
        <f>IF(AD280="","",IF(LEFT(AD280,1)="1","C1",IF(LEFT(AD280,1)="2","C2",IF(LEFT(AD280,1)="3","C3",""))))</f>
        <v/>
      </c>
      <c r="AF280" s="11" t="inlineStr">
        <is>
          <t>E6</t>
        </is>
      </c>
      <c r="AG280" s="11" t="inlineStr">
        <is>
          <t>E3</t>
        </is>
      </c>
      <c r="AH280" s="11" t="inlineStr">
        <is>
          <t>E4</t>
        </is>
      </c>
      <c r="AI280" s="11" t="inlineStr">
        <is>
          <t>D4</t>
        </is>
      </c>
      <c r="AJ280" s="11" t="inlineStr">
        <is>
          <t>E6</t>
        </is>
      </c>
      <c r="AK280" s="11" t="n"/>
      <c r="AL280" s="11" t="n"/>
      <c r="AM280" s="11" t="n"/>
      <c r="AN280" s="11" t="n"/>
      <c r="AO280" s="11" t="n"/>
      <c r="AP280" s="11" t="n"/>
      <c r="AQ280" s="11" t="n"/>
      <c r="AR280" s="11" t="n"/>
      <c r="AS280" s="11" t="n"/>
      <c r="AT280" s="11" t="n"/>
      <c r="AU280" s="11" t="n"/>
      <c r="AV280" s="11" t="n"/>
      <c r="AW280" s="11">
        <f>AF280&amp;"; "&amp;AG280&amp;"; "&amp;AH280&amp;"; "&amp;AI280&amp;"; "&amp;AJ280</f>
        <v/>
      </c>
    </row>
    <row r="281">
      <c r="A281" s="11" t="inlineStr">
        <is>
          <t>T0915-G05-CIE</t>
        </is>
      </c>
      <c r="B281" s="11" t="n">
        <v>5</v>
      </c>
      <c r="C281" s="11" t="inlineStr">
        <is>
          <t>Ciencias</t>
        </is>
      </c>
      <c r="D281" s="11" t="inlineStr">
        <is>
          <t>Matriz_Ciencias_5to_Grado_U1_U6.xlsx</t>
        </is>
      </c>
      <c r="E281" s="11" t="inlineStr">
        <is>
          <t>Unidad 6 - Ciencias de la Tierr</t>
        </is>
      </c>
      <c r="F281" s="11" t="n">
        <v>20</v>
      </c>
      <c r="G281" s="11" t="inlineStr">
        <is>
          <t>6. Ciencias de la Tierra.</t>
        </is>
      </c>
      <c r="H281" s="11" t="inlineStr">
        <is>
          <t>El suelo.</t>
        </is>
      </c>
      <c r="I281" s="38" t="inlineStr">
        <is>
          <t>6.18. Indagación de los efectos de la actividad humana en la degradación del suelo.</t>
        </is>
      </c>
      <c r="J281" s="11" t="inlineStr">
        <is>
          <t>T8_27</t>
        </is>
      </c>
      <c r="K281" s="11" t="inlineStr">
        <is>
          <t>T8_27-E3.2</t>
        </is>
      </c>
      <c r="L281" s="11" t="inlineStr">
        <is>
          <t>T8_27-B5.6</t>
        </is>
      </c>
      <c r="M281" s="11">
        <f>IF(K281="FUERA","Fuera del marco",IF(K281="N/A","Sin marco",IFERROR(INDEX('Datos - Catálogo TIMSS'!$C$5:$C$107,MATCH(K281,'Datos - Catálogo TIMSS'!$A$5:$A$107,0)),"Pendiente de clasificar")))</f>
        <v/>
      </c>
      <c r="N281" s="11">
        <f>IF(K281="FUERA","Fuera del marco",IF(K281="N/A","Sin marco",IFERROR(INDEX('Datos - Catálogo TIMSS'!$F$5:$F$107,MATCH(K281,'Datos - Catálogo TIMSS'!$A$5:$A$107,0)),"Pendiente de clasificar")))</f>
        <v/>
      </c>
      <c r="O281" s="11">
        <f>IF(L281="","",IFERROR(INDEX('Datos - Catálogo TIMSS'!$C$5:$C$107,MATCH(L281,'Datos - Catálogo TIMSS'!$A$5:$A$107,0)),"?"))</f>
        <v/>
      </c>
      <c r="P281" s="11" t="inlineStr">
        <is>
          <t>alta</t>
        </is>
      </c>
      <c r="Q281" s="38" t="inlineStr">
        <is>
          <t>Agricultura y tala degradan el suelo; propuestas de conservación.</t>
        </is>
      </c>
      <c r="R281" s="38" t="inlineStr">
        <is>
          <t>Razonar: argumentar</t>
        </is>
      </c>
      <c r="S281" s="39">
        <f>IFERROR(ISNUMBER(SEARCH("Conocer",$R281))/(ISNUMBER(SEARCH("Conocer",$R281))+ISNUMBER(SEARCH("Aplicar",$R281))+ISNUMBER(SEARCH("Razonar",$R281))),0)</f>
        <v/>
      </c>
      <c r="T281" s="39">
        <f>IFERROR(ISNUMBER(SEARCH("Aplicar",$R281))/(ISNUMBER(SEARCH("Conocer",$R281))+ISNUMBER(SEARCH("Aplicar",$R281))+ISNUMBER(SEARCH("Razonar",$R281))),0)</f>
        <v/>
      </c>
      <c r="U281" s="39">
        <f>IFERROR(ISNUMBER(SEARCH("Razonar",$R281))/(ISNUMBER(SEARCH("Conocer",$R281))+ISNUMBER(SEARCH("Aplicar",$R281))+ISNUMBER(SEARCH("Razonar",$R281))),0)</f>
        <v/>
      </c>
      <c r="V281" s="11" t="inlineStr">
        <is>
          <t>5°</t>
        </is>
      </c>
      <c r="W281" s="11" t="inlineStr">
        <is>
          <t>Ciclo 5°–8°</t>
        </is>
      </c>
      <c r="X281" s="11">
        <f>IF(OR(IFERROR(INDEX('Datos - Catálogo TIMSS'!$I$5:$I$107,MATCH(K281,'Datos - Catálogo TIMSS'!$A$5:$A$107,0)),"No")="Sí",IFERROR(INDEX('Datos - Catálogo TIMSS'!$I$5:$I$107,MATCH(L281,'Datos - Catálogo TIMSS'!$A$5:$A$107,0)),"No")="Sí"),1,0)</f>
        <v/>
      </c>
      <c r="Y281" s="11">
        <f>IF(IFERROR(INDEX('Datos - Catálogo TIMSS'!$J$5:$J$107,MATCH(K281,'Datos - Catálogo TIMSS'!$A$5:$A$107,0)),"No")="Sí",1,0)</f>
        <v/>
      </c>
      <c r="Z281" s="11">
        <f>IF(IFERROR(INDEX('Datos - Catálogo TIMSS'!$J$5:$J$107,MATCH(L281,'Datos - Catálogo TIMSS'!$A$5:$A$107,0)),"No")="Sí",1,0)</f>
        <v/>
      </c>
      <c r="AA281" s="11" t="inlineStr">
        <is>
          <t>T8-T3.2</t>
        </is>
      </c>
      <c r="AB281" s="11" t="inlineStr">
        <is>
          <t>T8-B5.5</t>
        </is>
      </c>
      <c r="AC281" s="11">
        <f>IF(AA281="FUERA","Fuera del marco",IF(AA281="N/A","Sin marco",IFERROR(INDEX('Datos - TIMSS 2023'!$C$5:$C$105,MATCH(AA281,'Datos - TIMSS 2023'!$A$5:$A$105,0)),"Pendiente de clasificar")))</f>
        <v/>
      </c>
      <c r="AD281" s="11" t="inlineStr">
        <is>
          <t>3. Investigar, evaluar y usar información científica para tomar decisiones y actuar</t>
        </is>
      </c>
      <c r="AE281" s="11">
        <f>IF(AD281="","",IF(LEFT(AD281,1)="1","C1",IF(LEFT(AD281,1)="2","C2",IF(LEFT(AD281,1)="3","C3",""))))</f>
        <v/>
      </c>
      <c r="AF281" s="11" t="inlineStr">
        <is>
          <t>E6</t>
        </is>
      </c>
      <c r="AG281" s="11" t="inlineStr">
        <is>
          <t>D1</t>
        </is>
      </c>
      <c r="AH281" s="11" t="inlineStr">
        <is>
          <t>E1</t>
        </is>
      </c>
      <c r="AI281" s="11" t="inlineStr">
        <is>
          <t>I3</t>
        </is>
      </c>
      <c r="AJ281" s="11" t="inlineStr">
        <is>
          <t>I5</t>
        </is>
      </c>
      <c r="AK281" s="11" t="n"/>
      <c r="AL281" s="11" t="n"/>
      <c r="AM281" s="11" t="n"/>
      <c r="AN281" s="11" t="n"/>
      <c r="AO281" s="11" t="n"/>
      <c r="AP281" s="11" t="n"/>
      <c r="AQ281" s="11" t="n"/>
      <c r="AR281" s="11" t="n"/>
      <c r="AS281" s="11" t="n"/>
      <c r="AT281" s="11" t="n"/>
      <c r="AU281" s="11" t="n"/>
      <c r="AV281" s="11" t="n"/>
      <c r="AW281" s="11">
        <f>AF281&amp;"; "&amp;AG281&amp;"; "&amp;AH281&amp;"; "&amp;AI281&amp;"; "&amp;AJ281</f>
        <v/>
      </c>
    </row>
    <row r="282">
      <c r="A282" s="11" t="inlineStr">
        <is>
          <t>T0916-G05-CIE</t>
        </is>
      </c>
      <c r="B282" s="11" t="n">
        <v>5</v>
      </c>
      <c r="C282" s="11" t="inlineStr">
        <is>
          <t>Ciencias</t>
        </is>
      </c>
      <c r="D282" s="11" t="inlineStr">
        <is>
          <t>Matriz_Ciencias_5to_Grado_U1_U6.xlsx</t>
        </is>
      </c>
      <c r="E282" s="11" t="inlineStr">
        <is>
          <t>Unidad 6 - Ciencias de la Tierr</t>
        </is>
      </c>
      <c r="F282" s="11" t="n">
        <v>21</v>
      </c>
      <c r="G282" s="11" t="inlineStr">
        <is>
          <t>6. Ciencias de la Tierra.</t>
        </is>
      </c>
      <c r="H282" s="11" t="inlineStr">
        <is>
          <t>El suelo.</t>
        </is>
      </c>
      <c r="I282" s="38" t="inlineStr">
        <is>
          <t>6.19. Descripción de los principales suelos de El Salvador.</t>
        </is>
      </c>
      <c r="J282" s="11" t="inlineStr">
        <is>
          <t>T8_27</t>
        </is>
      </c>
      <c r="K282" s="11" t="inlineStr">
        <is>
          <t>T8_27-E1.1</t>
        </is>
      </c>
      <c r="L282" s="11" t="inlineStr"/>
      <c r="M282" s="11">
        <f>IF(K282="FUERA","Fuera del marco",IF(K282="N/A","Sin marco",IFERROR(INDEX('Datos - Catálogo TIMSS'!$C$5:$C$107,MATCH(K282,'Datos - Catálogo TIMSS'!$A$5:$A$107,0)),"Pendiente de clasificar")))</f>
        <v/>
      </c>
      <c r="N282" s="11">
        <f>IF(K282="FUERA","Fuera del marco",IF(K282="N/A","Sin marco",IFERROR(INDEX('Datos - Catálogo TIMSS'!$F$5:$F$107,MATCH(K282,'Datos - Catálogo TIMSS'!$A$5:$A$107,0)),"Pendiente de clasificar")))</f>
        <v/>
      </c>
      <c r="O282" s="11">
        <f>IF(L282="","",IFERROR(INDEX('Datos - Catálogo TIMSS'!$C$5:$C$107,MATCH(L282,'Datos - Catálogo TIMSS'!$A$5:$A$107,0)),"?"))</f>
        <v/>
      </c>
      <c r="P282" s="11" t="inlineStr">
        <is>
          <t>baja</t>
        </is>
      </c>
      <c r="Q282" s="38" t="inlineStr">
        <is>
          <t>Tipos de suelos locales; marco no trata suelos explícitamente.</t>
        </is>
      </c>
      <c r="R282" s="38" t="inlineStr">
        <is>
          <t>Conocer: describir</t>
        </is>
      </c>
      <c r="S282" s="39">
        <f>IFERROR(ISNUMBER(SEARCH("Conocer",$R282))/(ISNUMBER(SEARCH("Conocer",$R282))+ISNUMBER(SEARCH("Aplicar",$R282))+ISNUMBER(SEARCH("Razonar",$R282))),0)</f>
        <v/>
      </c>
      <c r="T282" s="39">
        <f>IFERROR(ISNUMBER(SEARCH("Aplicar",$R282))/(ISNUMBER(SEARCH("Conocer",$R282))+ISNUMBER(SEARCH("Aplicar",$R282))+ISNUMBER(SEARCH("Razonar",$R282))),0)</f>
        <v/>
      </c>
      <c r="U282" s="39">
        <f>IFERROR(ISNUMBER(SEARCH("Razonar",$R282))/(ISNUMBER(SEARCH("Conocer",$R282))+ISNUMBER(SEARCH("Aplicar",$R282))+ISNUMBER(SEARCH("Razonar",$R282))),0)</f>
        <v/>
      </c>
      <c r="V282" s="11" t="inlineStr">
        <is>
          <t>5°</t>
        </is>
      </c>
      <c r="W282" s="11" t="inlineStr">
        <is>
          <t>Ciclo 5°–8°</t>
        </is>
      </c>
      <c r="X282" s="11">
        <f>IF(OR(IFERROR(INDEX('Datos - Catálogo TIMSS'!$I$5:$I$107,MATCH(K282,'Datos - Catálogo TIMSS'!$A$5:$A$107,0)),"No")="Sí",IFERROR(INDEX('Datos - Catálogo TIMSS'!$I$5:$I$107,MATCH(L282,'Datos - Catálogo TIMSS'!$A$5:$A$107,0)),"No")="Sí"),1,0)</f>
        <v/>
      </c>
      <c r="Y282" s="11">
        <f>IF(IFERROR(INDEX('Datos - Catálogo TIMSS'!$J$5:$J$107,MATCH(K282,'Datos - Catálogo TIMSS'!$A$5:$A$107,0)),"No")="Sí",1,0)</f>
        <v/>
      </c>
      <c r="Z282" s="11">
        <f>IF(IFERROR(INDEX('Datos - Catálogo TIMSS'!$J$5:$J$107,MATCH(L282,'Datos - Catálogo TIMSS'!$A$5:$A$107,0)),"No")="Sí",1,0)</f>
        <v/>
      </c>
      <c r="AA282" s="11" t="inlineStr">
        <is>
          <t>T8-T3.2</t>
        </is>
      </c>
      <c r="AB282" s="11" t="inlineStr"/>
      <c r="AC282" s="11">
        <f>IF(AA282="FUERA","Fuera del marco",IF(AA282="N/A","Sin marco",IFERROR(INDEX('Datos - TIMSS 2023'!$C$5:$C$105,MATCH(AA282,'Datos - TIMSS 2023'!$A$5:$A$105,0)),"Pendiente de clasificar")))</f>
        <v/>
      </c>
      <c r="AD282" s="11" t="inlineStr">
        <is>
          <t>3. Investigar, evaluar y usar información científica para tomar decisiones y actuar</t>
        </is>
      </c>
      <c r="AE282" s="11">
        <f>IF(AD282="","",IF(LEFT(AD282,1)="1","C1",IF(LEFT(AD282,1)="2","C2",IF(LEFT(AD282,1)="3","C3",""))))</f>
        <v/>
      </c>
      <c r="AF282" s="11" t="inlineStr">
        <is>
          <t>E6</t>
        </is>
      </c>
      <c r="AG282" s="11" t="inlineStr">
        <is>
          <t>D1</t>
        </is>
      </c>
      <c r="AH282" s="11" t="inlineStr">
        <is>
          <t>E1</t>
        </is>
      </c>
      <c r="AI282" s="11" t="inlineStr">
        <is>
          <t>I1</t>
        </is>
      </c>
      <c r="AJ282" s="11" t="inlineStr">
        <is>
          <t>E6</t>
        </is>
      </c>
      <c r="AK282" s="11" t="n"/>
      <c r="AL282" s="11" t="n"/>
      <c r="AM282" s="11" t="n"/>
      <c r="AN282" s="11" t="n"/>
      <c r="AO282" s="11" t="n"/>
      <c r="AP282" s="11" t="n"/>
      <c r="AQ282" s="11" t="n"/>
      <c r="AR282" s="11" t="n"/>
      <c r="AS282" s="11" t="n"/>
      <c r="AT282" s="11" t="n"/>
      <c r="AU282" s="11" t="n"/>
      <c r="AV282" s="11" t="n"/>
      <c r="AW282" s="11">
        <f>AF282&amp;"; "&amp;AG282&amp;"; "&amp;AH282&amp;"; "&amp;AI282&amp;"; "&amp;AJ282</f>
        <v/>
      </c>
    </row>
    <row r="283">
      <c r="A283" s="11" t="inlineStr">
        <is>
          <t>T0917-G05-CIE</t>
        </is>
      </c>
      <c r="B283" s="11" t="n">
        <v>5</v>
      </c>
      <c r="C283" s="11" t="inlineStr">
        <is>
          <t>Ciencias</t>
        </is>
      </c>
      <c r="D283" s="11" t="inlineStr">
        <is>
          <t>Matriz_Ciencias_5to_Grado_U1_U6.xlsx</t>
        </is>
      </c>
      <c r="E283" s="11" t="inlineStr">
        <is>
          <t>Unidad 6 - Ciencias de la Tierr</t>
        </is>
      </c>
      <c r="F283" s="11" t="n">
        <v>22</v>
      </c>
      <c r="G283" s="11" t="inlineStr">
        <is>
          <t>6. Ciencias de la Tierra.</t>
        </is>
      </c>
      <c r="H283" s="11" t="inlineStr">
        <is>
          <t>Usos del suelo.</t>
        </is>
      </c>
      <c r="I283" s="38" t="inlineStr">
        <is>
          <t>6.20. Observación de los usos actuales del suelo en la comunidad.</t>
        </is>
      </c>
      <c r="J283" s="11" t="inlineStr">
        <is>
          <t>T8_27</t>
        </is>
      </c>
      <c r="K283" s="11" t="inlineStr">
        <is>
          <t>T8_27-E3.2</t>
        </is>
      </c>
      <c r="L283" s="11" t="inlineStr"/>
      <c r="M283" s="11">
        <f>IF(K283="FUERA","Fuera del marco",IF(K283="N/A","Sin marco",IFERROR(INDEX('Datos - Catálogo TIMSS'!$C$5:$C$107,MATCH(K283,'Datos - Catálogo TIMSS'!$A$5:$A$107,0)),"Pendiente de clasificar")))</f>
        <v/>
      </c>
      <c r="N283" s="11">
        <f>IF(K283="FUERA","Fuera del marco",IF(K283="N/A","Sin marco",IFERROR(INDEX('Datos - Catálogo TIMSS'!$F$5:$F$107,MATCH(K283,'Datos - Catálogo TIMSS'!$A$5:$A$107,0)),"Pendiente de clasificar")))</f>
        <v/>
      </c>
      <c r="O283" s="11">
        <f>IF(L283="","",IFERROR(INDEX('Datos - Catálogo TIMSS'!$C$5:$C$107,MATCH(L283,'Datos - Catálogo TIMSS'!$A$5:$A$107,0)),"?"))</f>
        <v/>
      </c>
      <c r="P283" s="11" t="inlineStr">
        <is>
          <t>media</t>
        </is>
      </c>
      <c r="Q283" s="38" t="inlineStr">
        <is>
          <t>Usos del suelo como recurso en la comunidad.</t>
        </is>
      </c>
      <c r="R283" s="38" t="inlineStr">
        <is>
          <t>Aplicar: representar</t>
        </is>
      </c>
      <c r="S283" s="39">
        <f>IFERROR(ISNUMBER(SEARCH("Conocer",$R283))/(ISNUMBER(SEARCH("Conocer",$R283))+ISNUMBER(SEARCH("Aplicar",$R283))+ISNUMBER(SEARCH("Razonar",$R283))),0)</f>
        <v/>
      </c>
      <c r="T283" s="39">
        <f>IFERROR(ISNUMBER(SEARCH("Aplicar",$R283))/(ISNUMBER(SEARCH("Conocer",$R283))+ISNUMBER(SEARCH("Aplicar",$R283))+ISNUMBER(SEARCH("Razonar",$R283))),0)</f>
        <v/>
      </c>
      <c r="U283" s="39">
        <f>IFERROR(ISNUMBER(SEARCH("Razonar",$R283))/(ISNUMBER(SEARCH("Conocer",$R283))+ISNUMBER(SEARCH("Aplicar",$R283))+ISNUMBER(SEARCH("Razonar",$R283))),0)</f>
        <v/>
      </c>
      <c r="V283" s="11" t="inlineStr">
        <is>
          <t>5°</t>
        </is>
      </c>
      <c r="W283" s="11" t="inlineStr">
        <is>
          <t>Ciclo 5°–8°</t>
        </is>
      </c>
      <c r="X283" s="11">
        <f>IF(OR(IFERROR(INDEX('Datos - Catálogo TIMSS'!$I$5:$I$107,MATCH(K283,'Datos - Catálogo TIMSS'!$A$5:$A$107,0)),"No")="Sí",IFERROR(INDEX('Datos - Catálogo TIMSS'!$I$5:$I$107,MATCH(L283,'Datos - Catálogo TIMSS'!$A$5:$A$107,0)),"No")="Sí"),1,0)</f>
        <v/>
      </c>
      <c r="Y283" s="11">
        <f>IF(IFERROR(INDEX('Datos - Catálogo TIMSS'!$J$5:$J$107,MATCH(K283,'Datos - Catálogo TIMSS'!$A$5:$A$107,0)),"No")="Sí",1,0)</f>
        <v/>
      </c>
      <c r="Z283" s="11">
        <f>IF(IFERROR(INDEX('Datos - Catálogo TIMSS'!$J$5:$J$107,MATCH(L283,'Datos - Catálogo TIMSS'!$A$5:$A$107,0)),"No")="Sí",1,0)</f>
        <v/>
      </c>
      <c r="AA283" s="11" t="inlineStr">
        <is>
          <t>T8-T3.2</t>
        </is>
      </c>
      <c r="AB283" s="11" t="inlineStr"/>
      <c r="AC283" s="11">
        <f>IF(AA283="FUERA","Fuera del marco",IF(AA283="N/A","Sin marco",IFERROR(INDEX('Datos - TIMSS 2023'!$C$5:$C$105,MATCH(AA283,'Datos - TIMSS 2023'!$A$5:$A$105,0)),"Pendiente de clasificar")))</f>
        <v/>
      </c>
      <c r="AD283" s="11" t="inlineStr">
        <is>
          <t>3. Investigar, evaluar y usar información científica para tomar decisiones y actuar</t>
        </is>
      </c>
      <c r="AE283" s="11">
        <f>IF(AD283="","",IF(LEFT(AD283,1)="1","C1",IF(LEFT(AD283,1)="2","C2",IF(LEFT(AD283,1)="3","C3",""))))</f>
        <v/>
      </c>
      <c r="AF283" s="11" t="inlineStr">
        <is>
          <t>E1</t>
        </is>
      </c>
      <c r="AG283" s="11" t="inlineStr">
        <is>
          <t>D1</t>
        </is>
      </c>
      <c r="AH283" s="11" t="inlineStr">
        <is>
          <t>E2</t>
        </is>
      </c>
      <c r="AI283" s="11" t="inlineStr">
        <is>
          <t>I3</t>
        </is>
      </c>
      <c r="AJ283" s="11" t="inlineStr">
        <is>
          <t>I5</t>
        </is>
      </c>
      <c r="AK283" s="11" t="n"/>
      <c r="AL283" s="11" t="n"/>
      <c r="AM283" s="11" t="n"/>
      <c r="AN283" s="11" t="n"/>
      <c r="AO283" s="11" t="n"/>
      <c r="AP283" s="11" t="n"/>
      <c r="AQ283" s="11" t="n"/>
      <c r="AR283" s="11" t="n"/>
      <c r="AS283" s="11" t="n"/>
      <c r="AT283" s="11" t="n"/>
      <c r="AU283" s="11" t="n"/>
      <c r="AV283" s="11" t="n"/>
      <c r="AW283" s="11">
        <f>AF283&amp;"; "&amp;AG283&amp;"; "&amp;AH283&amp;"; "&amp;AI283&amp;"; "&amp;AJ283</f>
        <v/>
      </c>
    </row>
    <row r="284">
      <c r="A284" s="11" t="inlineStr">
        <is>
          <t>T0918-G05-CIE</t>
        </is>
      </c>
      <c r="B284" s="11" t="n">
        <v>5</v>
      </c>
      <c r="C284" s="11" t="inlineStr">
        <is>
          <t>Ciencias</t>
        </is>
      </c>
      <c r="D284" s="11" t="inlineStr">
        <is>
          <t>Matriz_Ciencias_5to_Grado_U1_U6.xlsx</t>
        </is>
      </c>
      <c r="E284" s="11" t="inlineStr">
        <is>
          <t>Unidad 6 - Ciencias de la Tierr</t>
        </is>
      </c>
      <c r="F284" s="11" t="n">
        <v>23</v>
      </c>
      <c r="G284" s="11" t="inlineStr">
        <is>
          <t>6. Ciencias de la Tierra.</t>
        </is>
      </c>
      <c r="H284" s="11" t="inlineStr">
        <is>
          <t>Usos del suelo.</t>
        </is>
      </c>
      <c r="I284" s="38" t="inlineStr">
        <is>
          <t>6.21. Análisis de cambio de cobertura y uso del suelo en El Salvador.</t>
        </is>
      </c>
      <c r="J284" s="11" t="inlineStr">
        <is>
          <t>T8_27</t>
        </is>
      </c>
      <c r="K284" s="11" t="inlineStr">
        <is>
          <t>T8_27-E3.2</t>
        </is>
      </c>
      <c r="L284" s="11" t="inlineStr">
        <is>
          <t>T8_27-B5.6</t>
        </is>
      </c>
      <c r="M284" s="11">
        <f>IF(K284="FUERA","Fuera del marco",IF(K284="N/A","Sin marco",IFERROR(INDEX('Datos - Catálogo TIMSS'!$C$5:$C$107,MATCH(K284,'Datos - Catálogo TIMSS'!$A$5:$A$107,0)),"Pendiente de clasificar")))</f>
        <v/>
      </c>
      <c r="N284" s="11">
        <f>IF(K284="FUERA","Fuera del marco",IF(K284="N/A","Sin marco",IFERROR(INDEX('Datos - Catálogo TIMSS'!$F$5:$F$107,MATCH(K284,'Datos - Catálogo TIMSS'!$A$5:$A$107,0)),"Pendiente de clasificar")))</f>
        <v/>
      </c>
      <c r="O284" s="11">
        <f>IF(L284="","",IFERROR(INDEX('Datos - Catálogo TIMSS'!$C$5:$C$107,MATCH(L284,'Datos - Catálogo TIMSS'!$A$5:$A$107,0)),"?"))</f>
        <v/>
      </c>
      <c r="P284" s="11" t="inlineStr">
        <is>
          <t>media</t>
        </is>
      </c>
      <c r="Q284" s="38" t="inlineStr">
        <is>
          <t>Cambio de cobertura y uso del suelo; impacto humano.</t>
        </is>
      </c>
      <c r="R284" s="38" t="inlineStr">
        <is>
          <t>Razonar: analizar e interpretar datos</t>
        </is>
      </c>
      <c r="S284" s="39">
        <f>IFERROR(ISNUMBER(SEARCH("Conocer",$R284))/(ISNUMBER(SEARCH("Conocer",$R284))+ISNUMBER(SEARCH("Aplicar",$R284))+ISNUMBER(SEARCH("Razonar",$R284))),0)</f>
        <v/>
      </c>
      <c r="T284" s="39">
        <f>IFERROR(ISNUMBER(SEARCH("Aplicar",$R284))/(ISNUMBER(SEARCH("Conocer",$R284))+ISNUMBER(SEARCH("Aplicar",$R284))+ISNUMBER(SEARCH("Razonar",$R284))),0)</f>
        <v/>
      </c>
      <c r="U284" s="39">
        <f>IFERROR(ISNUMBER(SEARCH("Razonar",$R284))/(ISNUMBER(SEARCH("Conocer",$R284))+ISNUMBER(SEARCH("Aplicar",$R284))+ISNUMBER(SEARCH("Razonar",$R284))),0)</f>
        <v/>
      </c>
      <c r="V284" s="11" t="inlineStr">
        <is>
          <t>5°</t>
        </is>
      </c>
      <c r="W284" s="11" t="inlineStr">
        <is>
          <t>Ciclo 5°–8°</t>
        </is>
      </c>
      <c r="X284" s="11">
        <f>IF(OR(IFERROR(INDEX('Datos - Catálogo TIMSS'!$I$5:$I$107,MATCH(K284,'Datos - Catálogo TIMSS'!$A$5:$A$107,0)),"No")="Sí",IFERROR(INDEX('Datos - Catálogo TIMSS'!$I$5:$I$107,MATCH(L284,'Datos - Catálogo TIMSS'!$A$5:$A$107,0)),"No")="Sí"),1,0)</f>
        <v/>
      </c>
      <c r="Y284" s="11">
        <f>IF(IFERROR(INDEX('Datos - Catálogo TIMSS'!$J$5:$J$107,MATCH(K284,'Datos - Catálogo TIMSS'!$A$5:$A$107,0)),"No")="Sí",1,0)</f>
        <v/>
      </c>
      <c r="Z284" s="11">
        <f>IF(IFERROR(INDEX('Datos - Catálogo TIMSS'!$J$5:$J$107,MATCH(L284,'Datos - Catálogo TIMSS'!$A$5:$A$107,0)),"No")="Sí",1,0)</f>
        <v/>
      </c>
      <c r="AA284" s="11" t="inlineStr">
        <is>
          <t>T8-T3.2</t>
        </is>
      </c>
      <c r="AB284" s="11" t="inlineStr">
        <is>
          <t>T8-B5.5</t>
        </is>
      </c>
      <c r="AC284" s="11">
        <f>IF(AA284="FUERA","Fuera del marco",IF(AA284="N/A","Sin marco",IFERROR(INDEX('Datos - TIMSS 2023'!$C$5:$C$105,MATCH(AA284,'Datos - TIMSS 2023'!$A$5:$A$105,0)),"Pendiente de clasificar")))</f>
        <v/>
      </c>
      <c r="AD284" s="11" t="inlineStr">
        <is>
          <t>3. Investigar, evaluar y usar información científica para tomar decisiones y actuar</t>
        </is>
      </c>
      <c r="AE284" s="11">
        <f>IF(AD284="","",IF(LEFT(AD284,1)="1","C1",IF(LEFT(AD284,1)="2","C2",IF(LEFT(AD284,1)="3","C3",""))))</f>
        <v/>
      </c>
      <c r="AF284" s="11" t="inlineStr">
        <is>
          <t>E6</t>
        </is>
      </c>
      <c r="AG284" s="11" t="inlineStr">
        <is>
          <t>D1</t>
        </is>
      </c>
      <c r="AH284" s="11" t="inlineStr">
        <is>
          <t>E2</t>
        </is>
      </c>
      <c r="AI284" s="11" t="inlineStr">
        <is>
          <t>I3</t>
        </is>
      </c>
      <c r="AJ284" s="11" t="inlineStr">
        <is>
          <t>I5</t>
        </is>
      </c>
      <c r="AK284" s="11" t="n"/>
      <c r="AL284" s="11" t="n"/>
      <c r="AM284" s="11" t="n"/>
      <c r="AN284" s="11" t="n"/>
      <c r="AO284" s="11" t="n"/>
      <c r="AP284" s="11" t="n"/>
      <c r="AQ284" s="11" t="n"/>
      <c r="AR284" s="11" t="n"/>
      <c r="AS284" s="11" t="n"/>
      <c r="AT284" s="11" t="n"/>
      <c r="AU284" s="11" t="n"/>
      <c r="AV284" s="11" t="n"/>
      <c r="AW284" s="11">
        <f>AF284&amp;"; "&amp;AG284&amp;"; "&amp;AH284&amp;"; "&amp;AI284&amp;"; "&amp;AJ284</f>
        <v/>
      </c>
    </row>
    <row r="285">
      <c r="A285" s="11" t="inlineStr">
        <is>
          <t>T0919-G06-CIE</t>
        </is>
      </c>
      <c r="B285" s="11" t="n">
        <v>6</v>
      </c>
      <c r="C285" s="11" t="inlineStr">
        <is>
          <t>Ciencias</t>
        </is>
      </c>
      <c r="D285" s="11" t="inlineStr">
        <is>
          <t>Matriz_Ciencias_6to_Grado_U1_U6.xlsx</t>
        </is>
      </c>
      <c r="E285" s="11" t="inlineStr">
        <is>
          <t>Unidad 1 - Fluidos</t>
        </is>
      </c>
      <c r="F285" s="11" t="n">
        <v>3</v>
      </c>
      <c r="G285" s="11" t="inlineStr">
        <is>
          <t>1. Fluidos.</t>
        </is>
      </c>
      <c r="H285" s="11" t="inlineStr">
        <is>
          <t>Fluidos estáticos.</t>
        </is>
      </c>
      <c r="I285" s="38" t="inlineStr">
        <is>
          <t>1.1. Experimentación con objetos de diferentes densidades.</t>
        </is>
      </c>
      <c r="J285" s="11" t="inlineStr">
        <is>
          <t>T8_27</t>
        </is>
      </c>
      <c r="K285" s="11" t="inlineStr">
        <is>
          <t>T8_27-C2.1</t>
        </is>
      </c>
      <c r="L285" s="11" t="inlineStr">
        <is>
          <t>T8_27-P6.1</t>
        </is>
      </c>
      <c r="M285" s="11">
        <f>IF(K285="FUERA","Fuera del marco",IF(K285="N/A","Sin marco",IFERROR(INDEX('Datos - Catálogo TIMSS'!$C$5:$C$107,MATCH(K285,'Datos - Catálogo TIMSS'!$A$5:$A$107,0)),"Pendiente de clasificar")))</f>
        <v/>
      </c>
      <c r="N285" s="11">
        <f>IF(K285="FUERA","Fuera del marco",IF(K285="N/A","Sin marco",IFERROR(INDEX('Datos - Catálogo TIMSS'!$F$5:$F$107,MATCH(K285,'Datos - Catálogo TIMSS'!$A$5:$A$107,0)),"Pendiente de clasificar")))</f>
        <v/>
      </c>
      <c r="O285" s="11">
        <f>IF(L285="","",IFERROR(INDEX('Datos - Catálogo TIMSS'!$C$5:$C$107,MATCH(L285,'Datos - Catálogo TIMSS'!$A$5:$A$107,0)),"?"))</f>
        <v/>
      </c>
      <c r="P285" s="11" t="inlineStr">
        <is>
          <t>media</t>
        </is>
      </c>
      <c r="Q285" s="38" t="inlineStr">
        <is>
          <t>Densidad como propiedad física para clasificar; mide masa y volumen.</t>
        </is>
      </c>
      <c r="R285" s="38" t="inlineStr">
        <is>
          <t>Aplicar: medir y calcular. Razonar: comparar</t>
        </is>
      </c>
      <c r="S285" s="39">
        <f>IFERROR(ISNUMBER(SEARCH("Conocer",$R285))/(ISNUMBER(SEARCH("Conocer",$R285))+ISNUMBER(SEARCH("Aplicar",$R285))+ISNUMBER(SEARCH("Razonar",$R285))),0)</f>
        <v/>
      </c>
      <c r="T285" s="39">
        <f>IFERROR(ISNUMBER(SEARCH("Aplicar",$R285))/(ISNUMBER(SEARCH("Conocer",$R285))+ISNUMBER(SEARCH("Aplicar",$R285))+ISNUMBER(SEARCH("Razonar",$R285))),0)</f>
        <v/>
      </c>
      <c r="U285" s="39">
        <f>IFERROR(ISNUMBER(SEARCH("Razonar",$R285))/(ISNUMBER(SEARCH("Conocer",$R285))+ISNUMBER(SEARCH("Aplicar",$R285))+ISNUMBER(SEARCH("Razonar",$R285))),0)</f>
        <v/>
      </c>
      <c r="V285" s="11" t="inlineStr">
        <is>
          <t>6°</t>
        </is>
      </c>
      <c r="W285" s="11" t="inlineStr">
        <is>
          <t>Ciclo 5°–8°</t>
        </is>
      </c>
      <c r="X285" s="11">
        <f>IF(OR(IFERROR(INDEX('Datos - Catálogo TIMSS'!$I$5:$I$107,MATCH(K285,'Datos - Catálogo TIMSS'!$A$5:$A$107,0)),"No")="Sí",IFERROR(INDEX('Datos - Catálogo TIMSS'!$I$5:$I$107,MATCH(L285,'Datos - Catálogo TIMSS'!$A$5:$A$107,0)),"No")="Sí"),1,0)</f>
        <v/>
      </c>
      <c r="Y285" s="11">
        <f>IF(IFERROR(INDEX('Datos - Catálogo TIMSS'!$J$5:$J$107,MATCH(K285,'Datos - Catálogo TIMSS'!$A$5:$A$107,0)),"No")="Sí",1,0)</f>
        <v/>
      </c>
      <c r="Z285" s="11">
        <f>IF(IFERROR(INDEX('Datos - Catálogo TIMSS'!$J$5:$J$107,MATCH(L285,'Datos - Catálogo TIMSS'!$A$5:$A$107,0)),"No")="Sí",1,0)</f>
        <v/>
      </c>
      <c r="AA285" s="11" t="inlineStr">
        <is>
          <t>T8-F1.1</t>
        </is>
      </c>
      <c r="AB285" s="11" t="inlineStr">
        <is>
          <t>T8-F5.3</t>
        </is>
      </c>
      <c r="AC285" s="11">
        <f>IF(AA285="FUERA","Fuera del marco",IF(AA285="N/A","Sin marco",IFERROR(INDEX('Datos - TIMSS 2023'!$C$5:$C$105,MATCH(AA285,'Datos - TIMSS 2023'!$A$5:$A$105,0)),"Pendiente de clasificar")))</f>
        <v/>
      </c>
      <c r="AD285" s="11" t="inlineStr">
        <is>
          <t>2. Construir y evaluar diseños para la indagación científica e interpretar datos y evidencia de forma crítica</t>
        </is>
      </c>
      <c r="AE285" s="11">
        <f>IF(AD285="","",IF(LEFT(AD285,1)="1","C1",IF(LEFT(AD285,1)="2","C2",IF(LEFT(AD285,1)="3","C3",""))))</f>
        <v/>
      </c>
      <c r="AF285" s="11" t="inlineStr">
        <is>
          <t>E1</t>
        </is>
      </c>
      <c r="AG285" s="11" t="inlineStr">
        <is>
          <t>E3</t>
        </is>
      </c>
      <c r="AH285" s="11" t="inlineStr">
        <is>
          <t>E1</t>
        </is>
      </c>
      <c r="AI285" s="11" t="inlineStr">
        <is>
          <t>D4</t>
        </is>
      </c>
      <c r="AJ285" s="11" t="inlineStr">
        <is>
          <t>E3</t>
        </is>
      </c>
      <c r="AK285" s="11" t="n"/>
      <c r="AL285" s="11" t="n"/>
      <c r="AM285" s="11" t="n"/>
      <c r="AN285" s="11" t="n"/>
      <c r="AO285" s="11" t="n"/>
      <c r="AP285" s="11" t="n"/>
      <c r="AQ285" s="11" t="n"/>
      <c r="AR285" s="11" t="n"/>
      <c r="AS285" s="11" t="n"/>
      <c r="AT285" s="11" t="n"/>
      <c r="AU285" s="11" t="n"/>
      <c r="AV285" s="11" t="n"/>
      <c r="AW285" s="11">
        <f>AF285&amp;"; "&amp;AG285&amp;"; "&amp;AH285&amp;"; "&amp;AI285&amp;"; "&amp;AJ285</f>
        <v/>
      </c>
    </row>
    <row r="286">
      <c r="A286" s="11" t="inlineStr">
        <is>
          <t>T0920-G06-CIE</t>
        </is>
      </c>
      <c r="B286" s="11" t="n">
        <v>6</v>
      </c>
      <c r="C286" s="11" t="inlineStr">
        <is>
          <t>Ciencias</t>
        </is>
      </c>
      <c r="D286" s="11" t="inlineStr">
        <is>
          <t>Matriz_Ciencias_6to_Grado_U1_U6.xlsx</t>
        </is>
      </c>
      <c r="E286" s="11" t="inlineStr">
        <is>
          <t>Unidad 1 - Fluidos</t>
        </is>
      </c>
      <c r="F286" s="11" t="n">
        <v>4</v>
      </c>
      <c r="G286" s="11" t="inlineStr">
        <is>
          <t>1. Fluidos.</t>
        </is>
      </c>
      <c r="H286" s="11" t="inlineStr">
        <is>
          <t>Fluidos estáticos.</t>
        </is>
      </c>
      <c r="I286" s="38" t="inlineStr">
        <is>
          <t>1.2. Experimentación con la flotación de un cuerpo.</t>
        </is>
      </c>
      <c r="J286" s="11" t="inlineStr">
        <is>
          <t>T8_27</t>
        </is>
      </c>
      <c r="K286" s="11" t="inlineStr">
        <is>
          <t>T8_27-P5.3</t>
        </is>
      </c>
      <c r="L286" s="11" t="inlineStr"/>
      <c r="M286" s="11">
        <f>IF(K286="FUERA","Fuera del marco",IF(K286="N/A","Sin marco",IFERROR(INDEX('Datos - Catálogo TIMSS'!$C$5:$C$107,MATCH(K286,'Datos - Catálogo TIMSS'!$A$5:$A$107,0)),"Pendiente de clasificar")))</f>
        <v/>
      </c>
      <c r="N286" s="11">
        <f>IF(K286="FUERA","Fuera del marco",IF(K286="N/A","Sin marco",IFERROR(INDEX('Datos - Catálogo TIMSS'!$F$5:$F$107,MATCH(K286,'Datos - Catálogo TIMSS'!$A$5:$A$107,0)),"Pendiente de clasificar")))</f>
        <v/>
      </c>
      <c r="O286" s="11">
        <f>IF(L286="","",IFERROR(INDEX('Datos - Catálogo TIMSS'!$C$5:$C$107,MATCH(L286,'Datos - Catálogo TIMSS'!$A$5:$A$107,0)),"?"))</f>
        <v/>
      </c>
      <c r="P286" s="11" t="inlineStr">
        <is>
          <t>alta</t>
        </is>
      </c>
      <c r="Q286" s="38" t="inlineStr">
        <is>
          <t>Flotación y fuerza de empuje.</t>
        </is>
      </c>
      <c r="R286" s="38" t="inlineStr">
        <is>
          <t>Razonar: diseñar y evaluar</t>
        </is>
      </c>
      <c r="S286" s="39">
        <f>IFERROR(ISNUMBER(SEARCH("Conocer",$R286))/(ISNUMBER(SEARCH("Conocer",$R286))+ISNUMBER(SEARCH("Aplicar",$R286))+ISNUMBER(SEARCH("Razonar",$R286))),0)</f>
        <v/>
      </c>
      <c r="T286" s="39">
        <f>IFERROR(ISNUMBER(SEARCH("Aplicar",$R286))/(ISNUMBER(SEARCH("Conocer",$R286))+ISNUMBER(SEARCH("Aplicar",$R286))+ISNUMBER(SEARCH("Razonar",$R286))),0)</f>
        <v/>
      </c>
      <c r="U286" s="39">
        <f>IFERROR(ISNUMBER(SEARCH("Razonar",$R286))/(ISNUMBER(SEARCH("Conocer",$R286))+ISNUMBER(SEARCH("Aplicar",$R286))+ISNUMBER(SEARCH("Razonar",$R286))),0)</f>
        <v/>
      </c>
      <c r="V286" s="11" t="inlineStr">
        <is>
          <t>6°</t>
        </is>
      </c>
      <c r="W286" s="11" t="inlineStr">
        <is>
          <t>Ciclo 5°–8°</t>
        </is>
      </c>
      <c r="X286" s="11">
        <f>IF(OR(IFERROR(INDEX('Datos - Catálogo TIMSS'!$I$5:$I$107,MATCH(K286,'Datos - Catálogo TIMSS'!$A$5:$A$107,0)),"No")="Sí",IFERROR(INDEX('Datos - Catálogo TIMSS'!$I$5:$I$107,MATCH(L286,'Datos - Catálogo TIMSS'!$A$5:$A$107,0)),"No")="Sí"),1,0)</f>
        <v/>
      </c>
      <c r="Y286" s="11">
        <f>IF(IFERROR(INDEX('Datos - Catálogo TIMSS'!$J$5:$J$107,MATCH(K286,'Datos - Catálogo TIMSS'!$A$5:$A$107,0)),"No")="Sí",1,0)</f>
        <v/>
      </c>
      <c r="Z286" s="11">
        <f>IF(IFERROR(INDEX('Datos - Catálogo TIMSS'!$J$5:$J$107,MATCH(L286,'Datos - Catálogo TIMSS'!$A$5:$A$107,0)),"No")="Sí",1,0)</f>
        <v/>
      </c>
      <c r="AA286" s="11" t="inlineStr">
        <is>
          <t>T8-F5.3</t>
        </is>
      </c>
      <c r="AB286" s="11" t="inlineStr"/>
      <c r="AC286" s="11">
        <f>IF(AA286="FUERA","Fuera del marco",IF(AA286="N/A","Sin marco",IFERROR(INDEX('Datos - TIMSS 2023'!$C$5:$C$105,MATCH(AA286,'Datos - TIMSS 2023'!$A$5:$A$105,0)),"Pendiente de clasificar")))</f>
        <v/>
      </c>
      <c r="AD286" s="11" t="inlineStr">
        <is>
          <t>2. Construir y evaluar diseños para la indagación científica e interpretar datos y evidencia de forma crítica</t>
        </is>
      </c>
      <c r="AE286" s="11">
        <f>IF(AD286="","",IF(LEFT(AD286,1)="1","C1",IF(LEFT(AD286,1)="2","C2",IF(LEFT(AD286,1)="3","C3",""))))</f>
        <v/>
      </c>
      <c r="AF286" s="11" t="inlineStr">
        <is>
          <t>E1</t>
        </is>
      </c>
      <c r="AG286" s="11" t="inlineStr">
        <is>
          <t>E5</t>
        </is>
      </c>
      <c r="AH286" s="11" t="inlineStr">
        <is>
          <t>E1</t>
        </is>
      </c>
      <c r="AI286" s="11" t="inlineStr">
        <is>
          <t>D2</t>
        </is>
      </c>
      <c r="AJ286" s="11" t="inlineStr">
        <is>
          <t>E3</t>
        </is>
      </c>
      <c r="AK286" s="11" t="n"/>
      <c r="AL286" s="11" t="n"/>
      <c r="AM286" s="11" t="n"/>
      <c r="AN286" s="11" t="n"/>
      <c r="AO286" s="11" t="n"/>
      <c r="AP286" s="11" t="n"/>
      <c r="AQ286" s="11" t="n"/>
      <c r="AR286" s="11" t="n"/>
      <c r="AS286" s="11" t="n"/>
      <c r="AT286" s="11" t="n"/>
      <c r="AU286" s="11" t="n"/>
      <c r="AV286" s="11" t="n"/>
      <c r="AW286" s="11">
        <f>AF286&amp;"; "&amp;AG286&amp;"; "&amp;AH286&amp;"; "&amp;AI286&amp;"; "&amp;AJ286</f>
        <v/>
      </c>
    </row>
    <row r="287">
      <c r="A287" s="11" t="inlineStr">
        <is>
          <t>T0921-G06-CIE</t>
        </is>
      </c>
      <c r="B287" s="11" t="n">
        <v>6</v>
      </c>
      <c r="C287" s="11" t="inlineStr">
        <is>
          <t>Ciencias</t>
        </is>
      </c>
      <c r="D287" s="11" t="inlineStr">
        <is>
          <t>Matriz_Ciencias_6to_Grado_U1_U6.xlsx</t>
        </is>
      </c>
      <c r="E287" s="11" t="inlineStr">
        <is>
          <t>Unidad 1 - Fluidos</t>
        </is>
      </c>
      <c r="F287" s="11" t="n">
        <v>5</v>
      </c>
      <c r="G287" s="11" t="inlineStr">
        <is>
          <t>1. Fluidos.</t>
        </is>
      </c>
      <c r="H287" s="11" t="inlineStr">
        <is>
          <t>Fluidos estáticos.</t>
        </is>
      </c>
      <c r="I287" s="38" t="inlineStr">
        <is>
          <t>1.3. Experimentación con presión en sólidos, gases y líquidos.</t>
        </is>
      </c>
      <c r="J287" s="11" t="inlineStr">
        <is>
          <t>T8_27</t>
        </is>
      </c>
      <c r="K287" s="11" t="inlineStr">
        <is>
          <t>T8_27-P5.3</t>
        </is>
      </c>
      <c r="L287" s="11" t="inlineStr"/>
      <c r="M287" s="11">
        <f>IF(K287="FUERA","Fuera del marco",IF(K287="N/A","Sin marco",IFERROR(INDEX('Datos - Catálogo TIMSS'!$C$5:$C$107,MATCH(K287,'Datos - Catálogo TIMSS'!$A$5:$A$107,0)),"Pendiente de clasificar")))</f>
        <v/>
      </c>
      <c r="N287" s="11">
        <f>IF(K287="FUERA","Fuera del marco",IF(K287="N/A","Sin marco",IFERROR(INDEX('Datos - Catálogo TIMSS'!$F$5:$F$107,MATCH(K287,'Datos - Catálogo TIMSS'!$A$5:$A$107,0)),"Pendiente de clasificar")))</f>
        <v/>
      </c>
      <c r="O287" s="11">
        <f>IF(L287="","",IFERROR(INDEX('Datos - Catálogo TIMSS'!$C$5:$C$107,MATCH(L287,'Datos - Catálogo TIMSS'!$A$5:$A$107,0)),"?"))</f>
        <v/>
      </c>
      <c r="P287" s="11" t="inlineStr">
        <is>
          <t>alta</t>
        </is>
      </c>
      <c r="Q287" s="38" t="inlineStr">
        <is>
          <t>Presión como fuerza sobre área y sus efectos en sólidos, líquidos, gases.</t>
        </is>
      </c>
      <c r="R287" s="38" t="inlineStr">
        <is>
          <t>Aplicar: relacionar. Razonar: interpretar</t>
        </is>
      </c>
      <c r="S287" s="39">
        <f>IFERROR(ISNUMBER(SEARCH("Conocer",$R287))/(ISNUMBER(SEARCH("Conocer",$R287))+ISNUMBER(SEARCH("Aplicar",$R287))+ISNUMBER(SEARCH("Razonar",$R287))),0)</f>
        <v/>
      </c>
      <c r="T287" s="39">
        <f>IFERROR(ISNUMBER(SEARCH("Aplicar",$R287))/(ISNUMBER(SEARCH("Conocer",$R287))+ISNUMBER(SEARCH("Aplicar",$R287))+ISNUMBER(SEARCH("Razonar",$R287))),0)</f>
        <v/>
      </c>
      <c r="U287" s="39">
        <f>IFERROR(ISNUMBER(SEARCH("Razonar",$R287))/(ISNUMBER(SEARCH("Conocer",$R287))+ISNUMBER(SEARCH("Aplicar",$R287))+ISNUMBER(SEARCH("Razonar",$R287))),0)</f>
        <v/>
      </c>
      <c r="V287" s="11" t="inlineStr">
        <is>
          <t>6°</t>
        </is>
      </c>
      <c r="W287" s="11" t="inlineStr">
        <is>
          <t>Ciclo 5°–8°</t>
        </is>
      </c>
      <c r="X287" s="11">
        <f>IF(OR(IFERROR(INDEX('Datos - Catálogo TIMSS'!$I$5:$I$107,MATCH(K287,'Datos - Catálogo TIMSS'!$A$5:$A$107,0)),"No")="Sí",IFERROR(INDEX('Datos - Catálogo TIMSS'!$I$5:$I$107,MATCH(L287,'Datos - Catálogo TIMSS'!$A$5:$A$107,0)),"No")="Sí"),1,0)</f>
        <v/>
      </c>
      <c r="Y287" s="11">
        <f>IF(IFERROR(INDEX('Datos - Catálogo TIMSS'!$J$5:$J$107,MATCH(K287,'Datos - Catálogo TIMSS'!$A$5:$A$107,0)),"No")="Sí",1,0)</f>
        <v/>
      </c>
      <c r="Z287" s="11">
        <f>IF(IFERROR(INDEX('Datos - Catálogo TIMSS'!$J$5:$J$107,MATCH(L287,'Datos - Catálogo TIMSS'!$A$5:$A$107,0)),"No")="Sí",1,0)</f>
        <v/>
      </c>
      <c r="AA287" s="11" t="inlineStr">
        <is>
          <t>T8-F5.3</t>
        </is>
      </c>
      <c r="AB287" s="11" t="inlineStr"/>
      <c r="AC287" s="11">
        <f>IF(AA287="FUERA","Fuera del marco",IF(AA287="N/A","Sin marco",IFERROR(INDEX('Datos - TIMSS 2023'!$C$5:$C$105,MATCH(AA287,'Datos - TIMSS 2023'!$A$5:$A$105,0)),"Pendiente de clasificar")))</f>
        <v/>
      </c>
      <c r="AD287" s="11" t="inlineStr">
        <is>
          <t>2. Construir y evaluar diseños para la indagación científica e interpretar datos y evidencia de forma crítica</t>
        </is>
      </c>
      <c r="AE287" s="11">
        <f>IF(AD287="","",IF(LEFT(AD287,1)="1","C1",IF(LEFT(AD287,1)="2","C2",IF(LEFT(AD287,1)="3","C3",""))))</f>
        <v/>
      </c>
      <c r="AF287" s="11" t="inlineStr">
        <is>
          <t>E1</t>
        </is>
      </c>
      <c r="AG287" s="11" t="inlineStr">
        <is>
          <t>D1</t>
        </is>
      </c>
      <c r="AH287" s="11" t="inlineStr">
        <is>
          <t>E1</t>
        </is>
      </c>
      <c r="AI287" s="11" t="inlineStr">
        <is>
          <t>D4</t>
        </is>
      </c>
      <c r="AJ287" s="11" t="inlineStr">
        <is>
          <t>E6</t>
        </is>
      </c>
      <c r="AK287" s="11" t="n"/>
      <c r="AL287" s="11" t="n"/>
      <c r="AM287" s="11" t="n"/>
      <c r="AN287" s="11" t="n"/>
      <c r="AO287" s="11" t="n"/>
      <c r="AP287" s="11" t="n"/>
      <c r="AQ287" s="11" t="n"/>
      <c r="AR287" s="11" t="n"/>
      <c r="AS287" s="11" t="n"/>
      <c r="AT287" s="11" t="n"/>
      <c r="AU287" s="11" t="n"/>
      <c r="AV287" s="11" t="n"/>
      <c r="AW287" s="11">
        <f>AF287&amp;"; "&amp;AG287&amp;"; "&amp;AH287&amp;"; "&amp;AI287&amp;"; "&amp;AJ287</f>
        <v/>
      </c>
    </row>
    <row r="288">
      <c r="A288" s="11" t="inlineStr">
        <is>
          <t>T0922-G06-CIE</t>
        </is>
      </c>
      <c r="B288" s="11" t="n">
        <v>6</v>
      </c>
      <c r="C288" s="11" t="inlineStr">
        <is>
          <t>Ciencias</t>
        </is>
      </c>
      <c r="D288" s="11" t="inlineStr">
        <is>
          <t>Matriz_Ciencias_6to_Grado_U1_U6.xlsx</t>
        </is>
      </c>
      <c r="E288" s="11" t="inlineStr">
        <is>
          <t>Unidad 1 - Fluidos</t>
        </is>
      </c>
      <c r="F288" s="11" t="n">
        <v>6</v>
      </c>
      <c r="G288" s="11" t="inlineStr">
        <is>
          <t>1. Fluidos.</t>
        </is>
      </c>
      <c r="H288" s="11" t="inlineStr">
        <is>
          <t>Fluidos estáticos.</t>
        </is>
      </c>
      <c r="I288" s="38" t="inlineStr">
        <is>
          <t>1.4. Vinculación entre capilaridad y tensión superficial.</t>
        </is>
      </c>
      <c r="J288" s="11" t="inlineStr">
        <is>
          <t>T8_27</t>
        </is>
      </c>
      <c r="K288" s="11" t="inlineStr">
        <is>
          <t>T8_27-P1.1</t>
        </is>
      </c>
      <c r="L288" s="11" t="inlineStr"/>
      <c r="M288" s="11">
        <f>IF(K288="FUERA","Fuera del marco",IF(K288="N/A","Sin marco",IFERROR(INDEX('Datos - Catálogo TIMSS'!$C$5:$C$107,MATCH(K288,'Datos - Catálogo TIMSS'!$A$5:$A$107,0)),"Pendiente de clasificar")))</f>
        <v/>
      </c>
      <c r="N288" s="11">
        <f>IF(K288="FUERA","Fuera del marco",IF(K288="N/A","Sin marco",IFERROR(INDEX('Datos - Catálogo TIMSS'!$F$5:$F$107,MATCH(K288,'Datos - Catálogo TIMSS'!$A$5:$A$107,0)),"Pendiente de clasificar")))</f>
        <v/>
      </c>
      <c r="O288" s="11">
        <f>IF(L288="","",IFERROR(INDEX('Datos - Catálogo TIMSS'!$C$5:$C$107,MATCH(L288,'Datos - Catálogo TIMSS'!$A$5:$A$107,0)),"?"))</f>
        <v/>
      </c>
      <c r="P288" s="11" t="inlineStr">
        <is>
          <t>baja</t>
        </is>
      </c>
      <c r="Q288" s="38" t="inlineStr">
        <is>
          <t>Tensión superficial y capilaridad no aparecen; afín a propiedades por partículas.</t>
        </is>
      </c>
      <c r="R288" s="38" t="inlineStr">
        <is>
          <t>Conocer: relacionar conceptos</t>
        </is>
      </c>
      <c r="S288" s="39">
        <f>IFERROR(ISNUMBER(SEARCH("Conocer",$R288))/(ISNUMBER(SEARCH("Conocer",$R288))+ISNUMBER(SEARCH("Aplicar",$R288))+ISNUMBER(SEARCH("Razonar",$R288))),0)</f>
        <v/>
      </c>
      <c r="T288" s="39">
        <f>IFERROR(ISNUMBER(SEARCH("Aplicar",$R288))/(ISNUMBER(SEARCH("Conocer",$R288))+ISNUMBER(SEARCH("Aplicar",$R288))+ISNUMBER(SEARCH("Razonar",$R288))),0)</f>
        <v/>
      </c>
      <c r="U288" s="39">
        <f>IFERROR(ISNUMBER(SEARCH("Razonar",$R288))/(ISNUMBER(SEARCH("Conocer",$R288))+ISNUMBER(SEARCH("Aplicar",$R288))+ISNUMBER(SEARCH("Razonar",$R288))),0)</f>
        <v/>
      </c>
      <c r="V288" s="11" t="inlineStr">
        <is>
          <t>6°</t>
        </is>
      </c>
      <c r="W288" s="11" t="inlineStr">
        <is>
          <t>Ciclo 5°–8°</t>
        </is>
      </c>
      <c r="X288" s="11">
        <f>IF(OR(IFERROR(INDEX('Datos - Catálogo TIMSS'!$I$5:$I$107,MATCH(K288,'Datos - Catálogo TIMSS'!$A$5:$A$107,0)),"No")="Sí",IFERROR(INDEX('Datos - Catálogo TIMSS'!$I$5:$I$107,MATCH(L288,'Datos - Catálogo TIMSS'!$A$5:$A$107,0)),"No")="Sí"),1,0)</f>
        <v/>
      </c>
      <c r="Y288" s="11">
        <f>IF(IFERROR(INDEX('Datos - Catálogo TIMSS'!$J$5:$J$107,MATCH(K288,'Datos - Catálogo TIMSS'!$A$5:$A$107,0)),"No")="Sí",1,0)</f>
        <v/>
      </c>
      <c r="Z288" s="11">
        <f>IF(IFERROR(INDEX('Datos - Catálogo TIMSS'!$J$5:$J$107,MATCH(L288,'Datos - Catálogo TIMSS'!$A$5:$A$107,0)),"No")="Sí",1,0)</f>
        <v/>
      </c>
      <c r="AA288" s="11" t="inlineStr">
        <is>
          <t>T8-F1.1</t>
        </is>
      </c>
      <c r="AB288" s="11" t="inlineStr"/>
      <c r="AC288" s="11">
        <f>IF(AA288="FUERA","Fuera del marco",IF(AA288="N/A","Sin marco",IFERROR(INDEX('Datos - TIMSS 2023'!$C$5:$C$105,MATCH(AA288,'Datos - TIMSS 2023'!$A$5:$A$105,0)),"Pendiente de clasificar")))</f>
        <v/>
      </c>
      <c r="AD288" s="11" t="inlineStr">
        <is>
          <t>1. Explicar fenómenos científicamente</t>
        </is>
      </c>
      <c r="AE288" s="11">
        <f>IF(AD288="","",IF(LEFT(AD288,1)="1","C1",IF(LEFT(AD288,1)="2","C2",IF(LEFT(AD288,1)="3","C3",""))))</f>
        <v/>
      </c>
      <c r="AF288" s="11" t="inlineStr">
        <is>
          <t>E1</t>
        </is>
      </c>
      <c r="AG288" s="11" t="inlineStr">
        <is>
          <t>E5</t>
        </is>
      </c>
      <c r="AH288" s="11" t="inlineStr">
        <is>
          <t>E1</t>
        </is>
      </c>
      <c r="AI288" s="11" t="inlineStr">
        <is>
          <t>D4</t>
        </is>
      </c>
      <c r="AJ288" s="11" t="inlineStr">
        <is>
          <t>E1</t>
        </is>
      </c>
      <c r="AK288" s="11" t="n"/>
      <c r="AL288" s="11" t="n"/>
      <c r="AM288" s="11" t="n"/>
      <c r="AN288" s="11" t="n"/>
      <c r="AO288" s="11" t="n"/>
      <c r="AP288" s="11" t="n"/>
      <c r="AQ288" s="11" t="n"/>
      <c r="AR288" s="11" t="n"/>
      <c r="AS288" s="11" t="n"/>
      <c r="AT288" s="11" t="n"/>
      <c r="AU288" s="11" t="n"/>
      <c r="AV288" s="11" t="n"/>
      <c r="AW288" s="11">
        <f>AF288&amp;"; "&amp;AG288&amp;"; "&amp;AH288&amp;"; "&amp;AI288&amp;"; "&amp;AJ288</f>
        <v/>
      </c>
    </row>
    <row r="289">
      <c r="A289" s="11" t="inlineStr">
        <is>
          <t>T0923-G06-CIE</t>
        </is>
      </c>
      <c r="B289" s="11" t="n">
        <v>6</v>
      </c>
      <c r="C289" s="11" t="inlineStr">
        <is>
          <t>Ciencias</t>
        </is>
      </c>
      <c r="D289" s="11" t="inlineStr">
        <is>
          <t>Matriz_Ciencias_6to_Grado_U1_U6.xlsx</t>
        </is>
      </c>
      <c r="E289" s="11" t="inlineStr">
        <is>
          <t>Unidad 1 - Fluidos</t>
        </is>
      </c>
      <c r="F289" s="11" t="n">
        <v>7</v>
      </c>
      <c r="G289" s="11" t="inlineStr">
        <is>
          <t>1. Fluidos.</t>
        </is>
      </c>
      <c r="H289" s="11" t="inlineStr">
        <is>
          <t>Fluidos estáticos.</t>
        </is>
      </c>
      <c r="I289" s="38" t="inlineStr">
        <is>
          <t>1.5. Demostración experimental de la capilaridad.</t>
        </is>
      </c>
      <c r="J289" s="11" t="inlineStr">
        <is>
          <t>T8_27</t>
        </is>
      </c>
      <c r="K289" s="11" t="inlineStr">
        <is>
          <t>T8_27-P1.1</t>
        </is>
      </c>
      <c r="L289" s="11" t="inlineStr"/>
      <c r="M289" s="11">
        <f>IF(K289="FUERA","Fuera del marco",IF(K289="N/A","Sin marco",IFERROR(INDEX('Datos - Catálogo TIMSS'!$C$5:$C$107,MATCH(K289,'Datos - Catálogo TIMSS'!$A$5:$A$107,0)),"Pendiente de clasificar")))</f>
        <v/>
      </c>
      <c r="N289" s="11">
        <f>IF(K289="FUERA","Fuera del marco",IF(K289="N/A","Sin marco",IFERROR(INDEX('Datos - Catálogo TIMSS'!$F$5:$F$107,MATCH(K289,'Datos - Catálogo TIMSS'!$A$5:$A$107,0)),"Pendiente de clasificar")))</f>
        <v/>
      </c>
      <c r="O289" s="11">
        <f>IF(L289="","",IFERROR(INDEX('Datos - Catálogo TIMSS'!$C$5:$C$107,MATCH(L289,'Datos - Catálogo TIMSS'!$A$5:$A$107,0)),"?"))</f>
        <v/>
      </c>
      <c r="P289" s="11" t="inlineStr">
        <is>
          <t>baja</t>
        </is>
      </c>
      <c r="Q289" s="38" t="inlineStr">
        <is>
          <t>Capilaridad no está en el marco; se acerca a propiedades de líquidos.</t>
        </is>
      </c>
      <c r="R289" s="38" t="inlineStr">
        <is>
          <t>Razonar: diseñar prueba justa</t>
        </is>
      </c>
      <c r="S289" s="39">
        <f>IFERROR(ISNUMBER(SEARCH("Conocer",$R289))/(ISNUMBER(SEARCH("Conocer",$R289))+ISNUMBER(SEARCH("Aplicar",$R289))+ISNUMBER(SEARCH("Razonar",$R289))),0)</f>
        <v/>
      </c>
      <c r="T289" s="39">
        <f>IFERROR(ISNUMBER(SEARCH("Aplicar",$R289))/(ISNUMBER(SEARCH("Conocer",$R289))+ISNUMBER(SEARCH("Aplicar",$R289))+ISNUMBER(SEARCH("Razonar",$R289))),0)</f>
        <v/>
      </c>
      <c r="U289" s="39">
        <f>IFERROR(ISNUMBER(SEARCH("Razonar",$R289))/(ISNUMBER(SEARCH("Conocer",$R289))+ISNUMBER(SEARCH("Aplicar",$R289))+ISNUMBER(SEARCH("Razonar",$R289))),0)</f>
        <v/>
      </c>
      <c r="V289" s="11" t="inlineStr">
        <is>
          <t>6°</t>
        </is>
      </c>
      <c r="W289" s="11" t="inlineStr">
        <is>
          <t>Ciclo 5°–8°</t>
        </is>
      </c>
      <c r="X289" s="11">
        <f>IF(OR(IFERROR(INDEX('Datos - Catálogo TIMSS'!$I$5:$I$107,MATCH(K289,'Datos - Catálogo TIMSS'!$A$5:$A$107,0)),"No")="Sí",IFERROR(INDEX('Datos - Catálogo TIMSS'!$I$5:$I$107,MATCH(L289,'Datos - Catálogo TIMSS'!$A$5:$A$107,0)),"No")="Sí"),1,0)</f>
        <v/>
      </c>
      <c r="Y289" s="11">
        <f>IF(IFERROR(INDEX('Datos - Catálogo TIMSS'!$J$5:$J$107,MATCH(K289,'Datos - Catálogo TIMSS'!$A$5:$A$107,0)),"No")="Sí",1,0)</f>
        <v/>
      </c>
      <c r="Z289" s="11">
        <f>IF(IFERROR(INDEX('Datos - Catálogo TIMSS'!$J$5:$J$107,MATCH(L289,'Datos - Catálogo TIMSS'!$A$5:$A$107,0)),"No")="Sí",1,0)</f>
        <v/>
      </c>
      <c r="AA289" s="11" t="inlineStr">
        <is>
          <t>T8-F1.1</t>
        </is>
      </c>
      <c r="AB289" s="11" t="inlineStr"/>
      <c r="AC289" s="11">
        <f>IF(AA289="FUERA","Fuera del marco",IF(AA289="N/A","Sin marco",IFERROR(INDEX('Datos - TIMSS 2023'!$C$5:$C$105,MATCH(AA289,'Datos - TIMSS 2023'!$A$5:$A$105,0)),"Pendiente de clasificar")))</f>
        <v/>
      </c>
      <c r="AD289" s="11" t="inlineStr">
        <is>
          <t>2. Construir y evaluar diseños para la indagación científica e interpretar datos y evidencia de forma crítica</t>
        </is>
      </c>
      <c r="AE289" s="11">
        <f>IF(AD289="","",IF(LEFT(AD289,1)="1","C1",IF(LEFT(AD289,1)="2","C2",IF(LEFT(AD289,1)="3","C3",""))))</f>
        <v/>
      </c>
      <c r="AF289" s="11" t="inlineStr">
        <is>
          <t>E1</t>
        </is>
      </c>
      <c r="AG289" s="11" t="inlineStr">
        <is>
          <t>E3</t>
        </is>
      </c>
      <c r="AH289" s="11" t="inlineStr">
        <is>
          <t>E1</t>
        </is>
      </c>
      <c r="AI289" s="11" t="inlineStr">
        <is>
          <t>D2</t>
        </is>
      </c>
      <c r="AJ289" s="11" t="inlineStr">
        <is>
          <t>E6</t>
        </is>
      </c>
      <c r="AK289" s="11" t="n"/>
      <c r="AL289" s="11" t="n"/>
      <c r="AM289" s="11" t="n"/>
      <c r="AN289" s="11" t="n"/>
      <c r="AO289" s="11" t="n"/>
      <c r="AP289" s="11" t="n"/>
      <c r="AQ289" s="11" t="n"/>
      <c r="AR289" s="11" t="n"/>
      <c r="AS289" s="11" t="n"/>
      <c r="AT289" s="11" t="n"/>
      <c r="AU289" s="11" t="n"/>
      <c r="AV289" s="11" t="n"/>
      <c r="AW289" s="11">
        <f>AF289&amp;"; "&amp;AG289&amp;"; "&amp;AH289&amp;"; "&amp;AI289&amp;"; "&amp;AJ289</f>
        <v/>
      </c>
    </row>
    <row r="290">
      <c r="A290" s="11" t="inlineStr">
        <is>
          <t>T0924-G06-CIE</t>
        </is>
      </c>
      <c r="B290" s="11" t="n">
        <v>6</v>
      </c>
      <c r="C290" s="11" t="inlineStr">
        <is>
          <t>Ciencias</t>
        </is>
      </c>
      <c r="D290" s="11" t="inlineStr">
        <is>
          <t>Matriz_Ciencias_6to_Grado_U1_U6.xlsx</t>
        </is>
      </c>
      <c r="E290" s="11" t="inlineStr">
        <is>
          <t>Unidad 1 - Fluidos</t>
        </is>
      </c>
      <c r="F290" s="11" t="n">
        <v>8</v>
      </c>
      <c r="G290" s="11" t="inlineStr">
        <is>
          <t>1. Fluidos.</t>
        </is>
      </c>
      <c r="H290" s="11" t="inlineStr">
        <is>
          <t>Dinámica de fluidos.</t>
        </is>
      </c>
      <c r="I290" s="38" t="inlineStr">
        <is>
          <t>1.6. Medición del caudal de un fluido.</t>
        </is>
      </c>
      <c r="J290" s="11" t="inlineStr">
        <is>
          <t>T8_27</t>
        </is>
      </c>
      <c r="K290" s="11" t="inlineStr">
        <is>
          <t>T8_27-P6.1</t>
        </is>
      </c>
      <c r="L290" s="11" t="inlineStr">
        <is>
          <t>T8_27-E3.2</t>
        </is>
      </c>
      <c r="M290" s="11">
        <f>IF(K290="FUERA","Fuera del marco",IF(K290="N/A","Sin marco",IFERROR(INDEX('Datos - Catálogo TIMSS'!$C$5:$C$107,MATCH(K290,'Datos - Catálogo TIMSS'!$A$5:$A$107,0)),"Pendiente de clasificar")))</f>
        <v/>
      </c>
      <c r="N290" s="11">
        <f>IF(K290="FUERA","Fuera del marco",IF(K290="N/A","Sin marco",IFERROR(INDEX('Datos - Catálogo TIMSS'!$F$5:$F$107,MATCH(K290,'Datos - Catálogo TIMSS'!$A$5:$A$107,0)),"Pendiente de clasificar")))</f>
        <v/>
      </c>
      <c r="O290" s="11">
        <f>IF(L290="","",IFERROR(INDEX('Datos - Catálogo TIMSS'!$C$5:$C$107,MATCH(L290,'Datos - Catálogo TIMSS'!$A$5:$A$107,0)),"?"))</f>
        <v/>
      </c>
      <c r="P290" s="11" t="inlineStr">
        <is>
          <t>baja</t>
        </is>
      </c>
      <c r="Q290" s="38" t="inlineStr">
        <is>
          <t>Foco en medir caudal; uso del agua perdida por goteo como contexto.</t>
        </is>
      </c>
      <c r="R290" s="38" t="inlineStr">
        <is>
          <t>Aplicar: medir y calcular</t>
        </is>
      </c>
      <c r="S290" s="39">
        <f>IFERROR(ISNUMBER(SEARCH("Conocer",$R290))/(ISNUMBER(SEARCH("Conocer",$R290))+ISNUMBER(SEARCH("Aplicar",$R290))+ISNUMBER(SEARCH("Razonar",$R290))),0)</f>
        <v/>
      </c>
      <c r="T290" s="39">
        <f>IFERROR(ISNUMBER(SEARCH("Aplicar",$R290))/(ISNUMBER(SEARCH("Conocer",$R290))+ISNUMBER(SEARCH("Aplicar",$R290))+ISNUMBER(SEARCH("Razonar",$R290))),0)</f>
        <v/>
      </c>
      <c r="U290" s="39">
        <f>IFERROR(ISNUMBER(SEARCH("Razonar",$R290))/(ISNUMBER(SEARCH("Conocer",$R290))+ISNUMBER(SEARCH("Aplicar",$R290))+ISNUMBER(SEARCH("Razonar",$R290))),0)</f>
        <v/>
      </c>
      <c r="V290" s="11" t="inlineStr">
        <is>
          <t>6°</t>
        </is>
      </c>
      <c r="W290" s="11" t="inlineStr">
        <is>
          <t>Ciclo 5°–8°</t>
        </is>
      </c>
      <c r="X290" s="11">
        <f>IF(OR(IFERROR(INDEX('Datos - Catálogo TIMSS'!$I$5:$I$107,MATCH(K290,'Datos - Catálogo TIMSS'!$A$5:$A$107,0)),"No")="Sí",IFERROR(INDEX('Datos - Catálogo TIMSS'!$I$5:$I$107,MATCH(L290,'Datos - Catálogo TIMSS'!$A$5:$A$107,0)),"No")="Sí"),1,0)</f>
        <v/>
      </c>
      <c r="Y290" s="11">
        <f>IF(IFERROR(INDEX('Datos - Catálogo TIMSS'!$J$5:$J$107,MATCH(K290,'Datos - Catálogo TIMSS'!$A$5:$A$107,0)),"No")="Sí",1,0)</f>
        <v/>
      </c>
      <c r="Z290" s="11">
        <f>IF(IFERROR(INDEX('Datos - Catálogo TIMSS'!$J$5:$J$107,MATCH(L290,'Datos - Catálogo TIMSS'!$A$5:$A$107,0)),"No")="Sí",1,0)</f>
        <v/>
      </c>
      <c r="AA290" s="11" t="inlineStr">
        <is>
          <t>T8-F5.3</t>
        </is>
      </c>
      <c r="AB290" s="11" t="inlineStr">
        <is>
          <t>T8-T3.2</t>
        </is>
      </c>
      <c r="AC290" s="11">
        <f>IF(AA290="FUERA","Fuera del marco",IF(AA290="N/A","Sin marco",IFERROR(INDEX('Datos - TIMSS 2023'!$C$5:$C$105,MATCH(AA290,'Datos - TIMSS 2023'!$A$5:$A$105,0)),"Pendiente de clasificar")))</f>
        <v/>
      </c>
      <c r="AD290" s="11" t="inlineStr">
        <is>
          <t>2. Construir y evaluar diseños para la indagación científica e interpretar datos y evidencia de forma crítica</t>
        </is>
      </c>
      <c r="AE290" s="11">
        <f>IF(AD290="","",IF(LEFT(AD290,1)="1","C1",IF(LEFT(AD290,1)="2","C2",IF(LEFT(AD290,1)="3","C3",""))))</f>
        <v/>
      </c>
      <c r="AF290" s="11" t="inlineStr">
        <is>
          <t>E1</t>
        </is>
      </c>
      <c r="AG290" s="11" t="inlineStr">
        <is>
          <t>D1</t>
        </is>
      </c>
      <c r="AH290" s="11" t="inlineStr">
        <is>
          <t>E1</t>
        </is>
      </c>
      <c r="AI290" s="11" t="inlineStr">
        <is>
          <t>D4</t>
        </is>
      </c>
      <c r="AJ290" s="11" t="inlineStr">
        <is>
          <t>I5</t>
        </is>
      </c>
      <c r="AK290" s="11" t="n"/>
      <c r="AL290" s="11" t="n"/>
      <c r="AM290" s="11" t="n"/>
      <c r="AN290" s="11" t="n"/>
      <c r="AO290" s="11" t="n"/>
      <c r="AP290" s="11" t="n"/>
      <c r="AQ290" s="11" t="n"/>
      <c r="AR290" s="11" t="n"/>
      <c r="AS290" s="11" t="n"/>
      <c r="AT290" s="11" t="n"/>
      <c r="AU290" s="11" t="n"/>
      <c r="AV290" s="11" t="n"/>
      <c r="AW290" s="11">
        <f>AF290&amp;"; "&amp;AG290&amp;"; "&amp;AH290&amp;"; "&amp;AI290&amp;"; "&amp;AJ290</f>
        <v/>
      </c>
    </row>
    <row r="291">
      <c r="A291" s="11" t="inlineStr">
        <is>
          <t>T0925-G06-CIE</t>
        </is>
      </c>
      <c r="B291" s="11" t="n">
        <v>6</v>
      </c>
      <c r="C291" s="11" t="inlineStr">
        <is>
          <t>Ciencias</t>
        </is>
      </c>
      <c r="D291" s="11" t="inlineStr">
        <is>
          <t>Matriz_Ciencias_6to_Grado_U1_U6.xlsx</t>
        </is>
      </c>
      <c r="E291" s="11" t="inlineStr">
        <is>
          <t>Unidad 1 - Fluidos</t>
        </is>
      </c>
      <c r="F291" s="11" t="n">
        <v>9</v>
      </c>
      <c r="G291" s="11" t="inlineStr">
        <is>
          <t>1. Fluidos.</t>
        </is>
      </c>
      <c r="H291" s="11" t="inlineStr">
        <is>
          <t>Dinámica de fluidos.</t>
        </is>
      </c>
      <c r="I291" s="38" t="inlineStr">
        <is>
          <t>1.7. Indagación del principio de Bernoulli.</t>
        </is>
      </c>
      <c r="J291" s="11" t="inlineStr">
        <is>
          <t>T8_27</t>
        </is>
      </c>
      <c r="K291" s="11" t="inlineStr">
        <is>
          <t>T8_27-P5.3</t>
        </is>
      </c>
      <c r="L291" s="11" t="inlineStr"/>
      <c r="M291" s="11">
        <f>IF(K291="FUERA","Fuera del marco",IF(K291="N/A","Sin marco",IFERROR(INDEX('Datos - Catálogo TIMSS'!$C$5:$C$107,MATCH(K291,'Datos - Catálogo TIMSS'!$A$5:$A$107,0)),"Pendiente de clasificar")))</f>
        <v/>
      </c>
      <c r="N291" s="11">
        <f>IF(K291="FUERA","Fuera del marco",IF(K291="N/A","Sin marco",IFERROR(INDEX('Datos - Catálogo TIMSS'!$F$5:$F$107,MATCH(K291,'Datos - Catálogo TIMSS'!$A$5:$A$107,0)),"Pendiente de clasificar")))</f>
        <v/>
      </c>
      <c r="O291" s="11">
        <f>IF(L291="","",IFERROR(INDEX('Datos - Catálogo TIMSS'!$C$5:$C$107,MATCH(L291,'Datos - Catálogo TIMSS'!$A$5:$A$107,0)),"?"))</f>
        <v/>
      </c>
      <c r="P291" s="11" t="inlineStr">
        <is>
          <t>baja</t>
        </is>
      </c>
      <c r="Q291" s="38" t="inlineStr">
        <is>
          <t>Bernoulli no está en el marco; afín a presión y efectos de fuerzas.</t>
        </is>
      </c>
      <c r="R291" s="38" t="inlineStr">
        <is>
          <t>Conocer: describir. Razonar: explicar</t>
        </is>
      </c>
      <c r="S291" s="39">
        <f>IFERROR(ISNUMBER(SEARCH("Conocer",$R291))/(ISNUMBER(SEARCH("Conocer",$R291))+ISNUMBER(SEARCH("Aplicar",$R291))+ISNUMBER(SEARCH("Razonar",$R291))),0)</f>
        <v/>
      </c>
      <c r="T291" s="39">
        <f>IFERROR(ISNUMBER(SEARCH("Aplicar",$R291))/(ISNUMBER(SEARCH("Conocer",$R291))+ISNUMBER(SEARCH("Aplicar",$R291))+ISNUMBER(SEARCH("Razonar",$R291))),0)</f>
        <v/>
      </c>
      <c r="U291" s="39">
        <f>IFERROR(ISNUMBER(SEARCH("Razonar",$R291))/(ISNUMBER(SEARCH("Conocer",$R291))+ISNUMBER(SEARCH("Aplicar",$R291))+ISNUMBER(SEARCH("Razonar",$R291))),0)</f>
        <v/>
      </c>
      <c r="V291" s="11" t="inlineStr">
        <is>
          <t>6°</t>
        </is>
      </c>
      <c r="W291" s="11" t="inlineStr">
        <is>
          <t>Ciclo 5°–8°</t>
        </is>
      </c>
      <c r="X291" s="11">
        <f>IF(OR(IFERROR(INDEX('Datos - Catálogo TIMSS'!$I$5:$I$107,MATCH(K291,'Datos - Catálogo TIMSS'!$A$5:$A$107,0)),"No")="Sí",IFERROR(INDEX('Datos - Catálogo TIMSS'!$I$5:$I$107,MATCH(L291,'Datos - Catálogo TIMSS'!$A$5:$A$107,0)),"No")="Sí"),1,0)</f>
        <v/>
      </c>
      <c r="Y291" s="11">
        <f>IF(IFERROR(INDEX('Datos - Catálogo TIMSS'!$J$5:$J$107,MATCH(K291,'Datos - Catálogo TIMSS'!$A$5:$A$107,0)),"No")="Sí",1,0)</f>
        <v/>
      </c>
      <c r="Z291" s="11">
        <f>IF(IFERROR(INDEX('Datos - Catálogo TIMSS'!$J$5:$J$107,MATCH(L291,'Datos - Catálogo TIMSS'!$A$5:$A$107,0)),"No")="Sí",1,0)</f>
        <v/>
      </c>
      <c r="AA291" s="11" t="inlineStr">
        <is>
          <t>T8-F5.3</t>
        </is>
      </c>
      <c r="AB291" s="11" t="inlineStr"/>
      <c r="AC291" s="11">
        <f>IF(AA291="FUERA","Fuera del marco",IF(AA291="N/A","Sin marco",IFERROR(INDEX('Datos - TIMSS 2023'!$C$5:$C$105,MATCH(AA291,'Datos - TIMSS 2023'!$A$5:$A$105,0)),"Pendiente de clasificar")))</f>
        <v/>
      </c>
      <c r="AD291" s="11" t="inlineStr">
        <is>
          <t>1. Explicar fenómenos científicamente</t>
        </is>
      </c>
      <c r="AE291" s="11">
        <f>IF(AD291="","",IF(LEFT(AD291,1)="1","C1",IF(LEFT(AD291,1)="2","C2",IF(LEFT(AD291,1)="3","C3",""))))</f>
        <v/>
      </c>
      <c r="AF291" s="11" t="inlineStr">
        <is>
          <t>E1</t>
        </is>
      </c>
      <c r="AG291" s="11" t="inlineStr">
        <is>
          <t>E5</t>
        </is>
      </c>
      <c r="AH291" s="11" t="inlineStr">
        <is>
          <t>E1</t>
        </is>
      </c>
      <c r="AI291" s="11" t="inlineStr">
        <is>
          <t>D4</t>
        </is>
      </c>
      <c r="AJ291" s="11" t="inlineStr">
        <is>
          <t>E6</t>
        </is>
      </c>
      <c r="AK291" s="11" t="n"/>
      <c r="AL291" s="11" t="n"/>
      <c r="AM291" s="11" t="n"/>
      <c r="AN291" s="11" t="n"/>
      <c r="AO291" s="11" t="n"/>
      <c r="AP291" s="11" t="n"/>
      <c r="AQ291" s="11" t="n"/>
      <c r="AR291" s="11" t="n"/>
      <c r="AS291" s="11" t="n"/>
      <c r="AT291" s="11" t="n"/>
      <c r="AU291" s="11" t="n"/>
      <c r="AV291" s="11" t="n"/>
      <c r="AW291" s="11">
        <f>AF291&amp;"; "&amp;AG291&amp;"; "&amp;AH291&amp;"; "&amp;AI291&amp;"; "&amp;AJ291</f>
        <v/>
      </c>
    </row>
    <row r="292">
      <c r="A292" s="11" t="inlineStr">
        <is>
          <t>T0926-G06-CIE</t>
        </is>
      </c>
      <c r="B292" s="11" t="n">
        <v>6</v>
      </c>
      <c r="C292" s="11" t="inlineStr">
        <is>
          <t>Ciencias</t>
        </is>
      </c>
      <c r="D292" s="11" t="inlineStr">
        <is>
          <t>Matriz_Ciencias_6to_Grado_U1_U6.xlsx</t>
        </is>
      </c>
      <c r="E292" s="11" t="inlineStr">
        <is>
          <t>Unidad 1 - Fluidos</t>
        </is>
      </c>
      <c r="F292" s="11" t="n">
        <v>10</v>
      </c>
      <c r="G292" s="11" t="inlineStr">
        <is>
          <t>1. Fluidos.</t>
        </is>
      </c>
      <c r="H292" s="11" t="inlineStr">
        <is>
          <t>Dinámica de fluidos.</t>
        </is>
      </c>
      <c r="I292" s="38" t="inlineStr">
        <is>
          <t>1.8. Aplicación del principio de Bernoulli.</t>
        </is>
      </c>
      <c r="J292" s="11" t="inlineStr">
        <is>
          <t>T8_27</t>
        </is>
      </c>
      <c r="K292" s="11" t="inlineStr">
        <is>
          <t>T8_27-P5.3</t>
        </is>
      </c>
      <c r="L292" s="11" t="inlineStr"/>
      <c r="M292" s="11">
        <f>IF(K292="FUERA","Fuera del marco",IF(K292="N/A","Sin marco",IFERROR(INDEX('Datos - Catálogo TIMSS'!$C$5:$C$107,MATCH(K292,'Datos - Catálogo TIMSS'!$A$5:$A$107,0)),"Pendiente de clasificar")))</f>
        <v/>
      </c>
      <c r="N292" s="11">
        <f>IF(K292="FUERA","Fuera del marco",IF(K292="N/A","Sin marco",IFERROR(INDEX('Datos - Catálogo TIMSS'!$F$5:$F$107,MATCH(K292,'Datos - Catálogo TIMSS'!$A$5:$A$107,0)),"Pendiente de clasificar")))</f>
        <v/>
      </c>
      <c r="O292" s="11">
        <f>IF(L292="","",IFERROR(INDEX('Datos - Catálogo TIMSS'!$C$5:$C$107,MATCH(L292,'Datos - Catálogo TIMSS'!$A$5:$A$107,0)),"?"))</f>
        <v/>
      </c>
      <c r="P292" s="11" t="inlineStr">
        <is>
          <t>baja</t>
        </is>
      </c>
      <c r="Q292" s="38" t="inlineStr">
        <is>
          <t>Dispositivo de Bernoulli; solo afín a presión y fuerzas del aire.</t>
        </is>
      </c>
      <c r="R292" s="38" t="inlineStr">
        <is>
          <t>Aplicar: construir y comprobar</t>
        </is>
      </c>
      <c r="S292" s="39">
        <f>IFERROR(ISNUMBER(SEARCH("Conocer",$R292))/(ISNUMBER(SEARCH("Conocer",$R292))+ISNUMBER(SEARCH("Aplicar",$R292))+ISNUMBER(SEARCH("Razonar",$R292))),0)</f>
        <v/>
      </c>
      <c r="T292" s="39">
        <f>IFERROR(ISNUMBER(SEARCH("Aplicar",$R292))/(ISNUMBER(SEARCH("Conocer",$R292))+ISNUMBER(SEARCH("Aplicar",$R292))+ISNUMBER(SEARCH("Razonar",$R292))),0)</f>
        <v/>
      </c>
      <c r="U292" s="39">
        <f>IFERROR(ISNUMBER(SEARCH("Razonar",$R292))/(ISNUMBER(SEARCH("Conocer",$R292))+ISNUMBER(SEARCH("Aplicar",$R292))+ISNUMBER(SEARCH("Razonar",$R292))),0)</f>
        <v/>
      </c>
      <c r="V292" s="11" t="inlineStr">
        <is>
          <t>6°</t>
        </is>
      </c>
      <c r="W292" s="11" t="inlineStr">
        <is>
          <t>Ciclo 5°–8°</t>
        </is>
      </c>
      <c r="X292" s="11">
        <f>IF(OR(IFERROR(INDEX('Datos - Catálogo TIMSS'!$I$5:$I$107,MATCH(K292,'Datos - Catálogo TIMSS'!$A$5:$A$107,0)),"No")="Sí",IFERROR(INDEX('Datos - Catálogo TIMSS'!$I$5:$I$107,MATCH(L292,'Datos - Catálogo TIMSS'!$A$5:$A$107,0)),"No")="Sí"),1,0)</f>
        <v/>
      </c>
      <c r="Y292" s="11">
        <f>IF(IFERROR(INDEX('Datos - Catálogo TIMSS'!$J$5:$J$107,MATCH(K292,'Datos - Catálogo TIMSS'!$A$5:$A$107,0)),"No")="Sí",1,0)</f>
        <v/>
      </c>
      <c r="Z292" s="11">
        <f>IF(IFERROR(INDEX('Datos - Catálogo TIMSS'!$J$5:$J$107,MATCH(L292,'Datos - Catálogo TIMSS'!$A$5:$A$107,0)),"No")="Sí",1,0)</f>
        <v/>
      </c>
      <c r="AA292" s="11" t="inlineStr">
        <is>
          <t>T8-F5.3</t>
        </is>
      </c>
      <c r="AB292" s="11" t="inlineStr"/>
      <c r="AC292" s="11">
        <f>IF(AA292="FUERA","Fuera del marco",IF(AA292="N/A","Sin marco",IFERROR(INDEX('Datos - TIMSS 2023'!$C$5:$C$105,MATCH(AA292,'Datos - TIMSS 2023'!$A$5:$A$105,0)),"Pendiente de clasificar")))</f>
        <v/>
      </c>
      <c r="AD292" s="11" t="inlineStr">
        <is>
          <t>2. Construir y evaluar diseños para la indagación científica e interpretar datos y evidencia de forma crítica</t>
        </is>
      </c>
      <c r="AE292" s="11">
        <f>IF(AD292="","",IF(LEFT(AD292,1)="1","C1",IF(LEFT(AD292,1)="2","C2",IF(LEFT(AD292,1)="3","C3",""))))</f>
        <v/>
      </c>
      <c r="AF292" s="11" t="inlineStr">
        <is>
          <t>E1</t>
        </is>
      </c>
      <c r="AG292" s="11" t="inlineStr">
        <is>
          <t>E3</t>
        </is>
      </c>
      <c r="AH292" s="11" t="inlineStr">
        <is>
          <t>E4</t>
        </is>
      </c>
      <c r="AI292" s="11" t="inlineStr">
        <is>
          <t>D3</t>
        </is>
      </c>
      <c r="AJ292" s="11" t="inlineStr">
        <is>
          <t>E3</t>
        </is>
      </c>
      <c r="AK292" s="11" t="n"/>
      <c r="AL292" s="11" t="n"/>
      <c r="AM292" s="11" t="n"/>
      <c r="AN292" s="11" t="n"/>
      <c r="AO292" s="11" t="n"/>
      <c r="AP292" s="11" t="n"/>
      <c r="AQ292" s="11" t="n"/>
      <c r="AR292" s="11" t="n"/>
      <c r="AS292" s="11" t="n"/>
      <c r="AT292" s="11" t="n"/>
      <c r="AU292" s="11" t="n"/>
      <c r="AV292" s="11" t="n"/>
      <c r="AW292" s="11">
        <f>AF292&amp;"; "&amp;AG292&amp;"; "&amp;AH292&amp;"; "&amp;AI292&amp;"; "&amp;AJ292</f>
        <v/>
      </c>
    </row>
    <row r="293">
      <c r="A293" s="11" t="inlineStr">
        <is>
          <t>T0927-G06-CIE</t>
        </is>
      </c>
      <c r="B293" s="11" t="n">
        <v>6</v>
      </c>
      <c r="C293" s="11" t="inlineStr">
        <is>
          <t>Ciencias</t>
        </is>
      </c>
      <c r="D293" s="11" t="inlineStr">
        <is>
          <t>Matriz_Ciencias_6to_Grado_U1_U6.xlsx</t>
        </is>
      </c>
      <c r="E293" s="11" t="inlineStr">
        <is>
          <t>Unidad 2 - Calor y temperatura</t>
        </is>
      </c>
      <c r="F293" s="11" t="n">
        <v>3</v>
      </c>
      <c r="G293" s="11" t="inlineStr">
        <is>
          <t>2. Calor y temperatura.</t>
        </is>
      </c>
      <c r="H293" s="11" t="inlineStr">
        <is>
          <t>Temperatura.</t>
        </is>
      </c>
      <c r="I293" s="38" t="inlineStr">
        <is>
          <t>2.1. Uso de simulación para visualizar el movimiento de las partículas en función de la temperatura.</t>
        </is>
      </c>
      <c r="J293" s="11" t="inlineStr">
        <is>
          <t>T8_27</t>
        </is>
      </c>
      <c r="K293" s="11" t="inlineStr">
        <is>
          <t>T8_27-P1.1</t>
        </is>
      </c>
      <c r="L293" s="11" t="inlineStr"/>
      <c r="M293" s="11">
        <f>IF(K293="FUERA","Fuera del marco",IF(K293="N/A","Sin marco",IFERROR(INDEX('Datos - Catálogo TIMSS'!$C$5:$C$107,MATCH(K293,'Datos - Catálogo TIMSS'!$A$5:$A$107,0)),"Pendiente de clasificar")))</f>
        <v/>
      </c>
      <c r="N293" s="11">
        <f>IF(K293="FUERA","Fuera del marco",IF(K293="N/A","Sin marco",IFERROR(INDEX('Datos - Catálogo TIMSS'!$F$5:$F$107,MATCH(K293,'Datos - Catálogo TIMSS'!$A$5:$A$107,0)),"Pendiente de clasificar")))</f>
        <v/>
      </c>
      <c r="O293" s="11">
        <f>IF(L293="","",IFERROR(INDEX('Datos - Catálogo TIMSS'!$C$5:$C$107,MATCH(L293,'Datos - Catálogo TIMSS'!$A$5:$A$107,0)),"?"))</f>
        <v/>
      </c>
      <c r="P293" s="11" t="inlineStr">
        <is>
          <t>alta</t>
        </is>
      </c>
      <c r="Q293" s="38" t="inlineStr">
        <is>
          <t>Temperatura relacionada con el movimiento de las partículas.</t>
        </is>
      </c>
      <c r="R293" s="38" t="inlineStr">
        <is>
          <t>Aplicar: usar simulaciones</t>
        </is>
      </c>
      <c r="S293" s="39">
        <f>IFERROR(ISNUMBER(SEARCH("Conocer",$R293))/(ISNUMBER(SEARCH("Conocer",$R293))+ISNUMBER(SEARCH("Aplicar",$R293))+ISNUMBER(SEARCH("Razonar",$R293))),0)</f>
        <v/>
      </c>
      <c r="T293" s="39">
        <f>IFERROR(ISNUMBER(SEARCH("Aplicar",$R293))/(ISNUMBER(SEARCH("Conocer",$R293))+ISNUMBER(SEARCH("Aplicar",$R293))+ISNUMBER(SEARCH("Razonar",$R293))),0)</f>
        <v/>
      </c>
      <c r="U293" s="39">
        <f>IFERROR(ISNUMBER(SEARCH("Razonar",$R293))/(ISNUMBER(SEARCH("Conocer",$R293))+ISNUMBER(SEARCH("Aplicar",$R293))+ISNUMBER(SEARCH("Razonar",$R293))),0)</f>
        <v/>
      </c>
      <c r="V293" s="11" t="inlineStr">
        <is>
          <t>6°</t>
        </is>
      </c>
      <c r="W293" s="11" t="inlineStr">
        <is>
          <t>Ciclo 5°–8°</t>
        </is>
      </c>
      <c r="X293" s="11">
        <f>IF(OR(IFERROR(INDEX('Datos - Catálogo TIMSS'!$I$5:$I$107,MATCH(K293,'Datos - Catálogo TIMSS'!$A$5:$A$107,0)),"No")="Sí",IFERROR(INDEX('Datos - Catálogo TIMSS'!$I$5:$I$107,MATCH(L293,'Datos - Catálogo TIMSS'!$A$5:$A$107,0)),"No")="Sí"),1,0)</f>
        <v/>
      </c>
      <c r="Y293" s="11">
        <f>IF(IFERROR(INDEX('Datos - Catálogo TIMSS'!$J$5:$J$107,MATCH(K293,'Datos - Catálogo TIMSS'!$A$5:$A$107,0)),"No")="Sí",1,0)</f>
        <v/>
      </c>
      <c r="Z293" s="11">
        <f>IF(IFERROR(INDEX('Datos - Catálogo TIMSS'!$J$5:$J$107,MATCH(L293,'Datos - Catálogo TIMSS'!$A$5:$A$107,0)),"No")="Sí",1,0)</f>
        <v/>
      </c>
      <c r="AA293" s="11" t="inlineStr">
        <is>
          <t>T8-F1.1</t>
        </is>
      </c>
      <c r="AB293" s="11" t="inlineStr">
        <is>
          <t>T8-F2.2</t>
        </is>
      </c>
      <c r="AC293" s="11">
        <f>IF(AA293="FUERA","Fuera del marco",IF(AA293="N/A","Sin marco",IFERROR(INDEX('Datos - TIMSS 2023'!$C$5:$C$105,MATCH(AA293,'Datos - TIMSS 2023'!$A$5:$A$105,0)),"Pendiente de clasificar")))</f>
        <v/>
      </c>
      <c r="AD293" s="11" t="inlineStr">
        <is>
          <t>1. Explicar fenómenos científicamente</t>
        </is>
      </c>
      <c r="AE293" s="11">
        <f>IF(AD293="","",IF(LEFT(AD293,1)="1","C1",IF(LEFT(AD293,1)="2","C2",IF(LEFT(AD293,1)="3","C3",""))))</f>
        <v/>
      </c>
      <c r="AF293" s="11" t="inlineStr">
        <is>
          <t>E1</t>
        </is>
      </c>
      <c r="AG293" s="11" t="inlineStr">
        <is>
          <t>E5</t>
        </is>
      </c>
      <c r="AH293" s="11" t="inlineStr">
        <is>
          <t>E4</t>
        </is>
      </c>
      <c r="AI293" s="11" t="inlineStr">
        <is>
          <t>E4</t>
        </is>
      </c>
      <c r="AJ293" s="11" t="inlineStr">
        <is>
          <t>E3</t>
        </is>
      </c>
      <c r="AK293" s="11" t="n"/>
      <c r="AL293" s="11" t="n"/>
      <c r="AM293" s="11" t="n"/>
      <c r="AN293" s="11" t="n"/>
      <c r="AO293" s="11" t="n"/>
      <c r="AP293" s="11" t="n"/>
      <c r="AQ293" s="11" t="n"/>
      <c r="AR293" s="11" t="n"/>
      <c r="AS293" s="11" t="n"/>
      <c r="AT293" s="11" t="n"/>
      <c r="AU293" s="11" t="n"/>
      <c r="AV293" s="11" t="n"/>
      <c r="AW293" s="11">
        <f>AF293&amp;"; "&amp;AG293&amp;"; "&amp;AH293&amp;"; "&amp;AI293&amp;"; "&amp;AJ293</f>
        <v/>
      </c>
    </row>
    <row r="294">
      <c r="A294" s="11" t="inlineStr">
        <is>
          <t>T0928-G06-CIE</t>
        </is>
      </c>
      <c r="B294" s="11" t="n">
        <v>6</v>
      </c>
      <c r="C294" s="11" t="inlineStr">
        <is>
          <t>Ciencias</t>
        </is>
      </c>
      <c r="D294" s="11" t="inlineStr">
        <is>
          <t>Matriz_Ciencias_6to_Grado_U1_U6.xlsx</t>
        </is>
      </c>
      <c r="E294" s="11" t="inlineStr">
        <is>
          <t>Unidad 2 - Calor y temperatura</t>
        </is>
      </c>
      <c r="F294" s="11" t="n">
        <v>4</v>
      </c>
      <c r="G294" s="11" t="inlineStr">
        <is>
          <t>2. Calor y temperatura.</t>
        </is>
      </c>
      <c r="H294" s="11" t="inlineStr">
        <is>
          <t>Temperatura.</t>
        </is>
      </c>
      <c r="I294" s="38" t="inlineStr">
        <is>
          <t>2.2. Construcción de un termoscopio funcional.</t>
        </is>
      </c>
      <c r="J294" s="11" t="inlineStr">
        <is>
          <t>T8_27</t>
        </is>
      </c>
      <c r="K294" s="11" t="inlineStr">
        <is>
          <t>T8_27-P1.1</t>
        </is>
      </c>
      <c r="L294" s="11" t="inlineStr"/>
      <c r="M294" s="11">
        <f>IF(K294="FUERA","Fuera del marco",IF(K294="N/A","Sin marco",IFERROR(INDEX('Datos - Catálogo TIMSS'!$C$5:$C$107,MATCH(K294,'Datos - Catálogo TIMSS'!$A$5:$A$107,0)),"Pendiente de clasificar")))</f>
        <v/>
      </c>
      <c r="N294" s="11">
        <f>IF(K294="FUERA","Fuera del marco",IF(K294="N/A","Sin marco",IFERROR(INDEX('Datos - Catálogo TIMSS'!$F$5:$F$107,MATCH(K294,'Datos - Catálogo TIMSS'!$A$5:$A$107,0)),"Pendiente de clasificar")))</f>
        <v/>
      </c>
      <c r="O294" s="11">
        <f>IF(L294="","",IFERROR(INDEX('Datos - Catálogo TIMSS'!$C$5:$C$107,MATCH(L294,'Datos - Catálogo TIMSS'!$A$5:$A$107,0)),"?"))</f>
        <v/>
      </c>
      <c r="P294" s="11" t="inlineStr">
        <is>
          <t>media</t>
        </is>
      </c>
      <c r="Q294" s="38" t="inlineStr">
        <is>
          <t>Termoscopio basado en dilatación de gas o líquido con la temperatura.</t>
        </is>
      </c>
      <c r="R294" s="38" t="inlineStr">
        <is>
          <t>Aplicar: construir y usar instrumentos</t>
        </is>
      </c>
      <c r="S294" s="39">
        <f>IFERROR(ISNUMBER(SEARCH("Conocer",$R294))/(ISNUMBER(SEARCH("Conocer",$R294))+ISNUMBER(SEARCH("Aplicar",$R294))+ISNUMBER(SEARCH("Razonar",$R294))),0)</f>
        <v/>
      </c>
      <c r="T294" s="39">
        <f>IFERROR(ISNUMBER(SEARCH("Aplicar",$R294))/(ISNUMBER(SEARCH("Conocer",$R294))+ISNUMBER(SEARCH("Aplicar",$R294))+ISNUMBER(SEARCH("Razonar",$R294))),0)</f>
        <v/>
      </c>
      <c r="U294" s="39">
        <f>IFERROR(ISNUMBER(SEARCH("Razonar",$R294))/(ISNUMBER(SEARCH("Conocer",$R294))+ISNUMBER(SEARCH("Aplicar",$R294))+ISNUMBER(SEARCH("Razonar",$R294))),0)</f>
        <v/>
      </c>
      <c r="V294" s="11" t="inlineStr">
        <is>
          <t>6°</t>
        </is>
      </c>
      <c r="W294" s="11" t="inlineStr">
        <is>
          <t>Ciclo 5°–8°</t>
        </is>
      </c>
      <c r="X294" s="11">
        <f>IF(OR(IFERROR(INDEX('Datos - Catálogo TIMSS'!$I$5:$I$107,MATCH(K294,'Datos - Catálogo TIMSS'!$A$5:$A$107,0)),"No")="Sí",IFERROR(INDEX('Datos - Catálogo TIMSS'!$I$5:$I$107,MATCH(L294,'Datos - Catálogo TIMSS'!$A$5:$A$107,0)),"No")="Sí"),1,0)</f>
        <v/>
      </c>
      <c r="Y294" s="11">
        <f>IF(IFERROR(INDEX('Datos - Catálogo TIMSS'!$J$5:$J$107,MATCH(K294,'Datos - Catálogo TIMSS'!$A$5:$A$107,0)),"No")="Sí",1,0)</f>
        <v/>
      </c>
      <c r="Z294" s="11">
        <f>IF(IFERROR(INDEX('Datos - Catálogo TIMSS'!$J$5:$J$107,MATCH(L294,'Datos - Catálogo TIMSS'!$A$5:$A$107,0)),"No")="Sí",1,0)</f>
        <v/>
      </c>
      <c r="AA294" s="11" t="inlineStr">
        <is>
          <t>T8-F2.2</t>
        </is>
      </c>
      <c r="AB294" s="11" t="inlineStr">
        <is>
          <t>T8-F1.1</t>
        </is>
      </c>
      <c r="AC294" s="11">
        <f>IF(AA294="FUERA","Fuera del marco",IF(AA294="N/A","Sin marco",IFERROR(INDEX('Datos - TIMSS 2023'!$C$5:$C$105,MATCH(AA294,'Datos - TIMSS 2023'!$A$5:$A$105,0)),"Pendiente de clasificar")))</f>
        <v/>
      </c>
      <c r="AD294" s="11" t="inlineStr">
        <is>
          <t>2. Construir y evaluar diseños para la indagación científica e interpretar datos y evidencia de forma crítica</t>
        </is>
      </c>
      <c r="AE294" s="11">
        <f>IF(AD294="","",IF(LEFT(AD294,1)="1","C1",IF(LEFT(AD294,1)="2","C2",IF(LEFT(AD294,1)="3","C3",""))))</f>
        <v/>
      </c>
      <c r="AF294" s="11" t="inlineStr">
        <is>
          <t>E1</t>
        </is>
      </c>
      <c r="AG294" s="11" t="inlineStr">
        <is>
          <t>D1</t>
        </is>
      </c>
      <c r="AH294" s="11" t="inlineStr">
        <is>
          <t>E4</t>
        </is>
      </c>
      <c r="AI294" s="11" t="inlineStr">
        <is>
          <t>D4</t>
        </is>
      </c>
      <c r="AJ294" s="11" t="inlineStr">
        <is>
          <t>E1</t>
        </is>
      </c>
      <c r="AK294" s="11" t="n"/>
      <c r="AL294" s="11" t="n"/>
      <c r="AM294" s="11" t="n"/>
      <c r="AN294" s="11" t="n"/>
      <c r="AO294" s="11" t="n"/>
      <c r="AP294" s="11" t="n"/>
      <c r="AQ294" s="11" t="n"/>
      <c r="AR294" s="11" t="n"/>
      <c r="AS294" s="11" t="n"/>
      <c r="AT294" s="11" t="n"/>
      <c r="AU294" s="11" t="n"/>
      <c r="AV294" s="11" t="n"/>
      <c r="AW294" s="11">
        <f>AF294&amp;"; "&amp;AG294&amp;"; "&amp;AH294&amp;"; "&amp;AI294&amp;"; "&amp;AJ294</f>
        <v/>
      </c>
    </row>
    <row r="295">
      <c r="A295" s="11" t="inlineStr">
        <is>
          <t>T0929-G06-CIE</t>
        </is>
      </c>
      <c r="B295" s="11" t="n">
        <v>6</v>
      </c>
      <c r="C295" s="11" t="inlineStr">
        <is>
          <t>Ciencias</t>
        </is>
      </c>
      <c r="D295" s="11" t="inlineStr">
        <is>
          <t>Matriz_Ciencias_6to_Grado_U1_U6.xlsx</t>
        </is>
      </c>
      <c r="E295" s="11" t="inlineStr">
        <is>
          <t>Unidad 2 - Calor y temperatura</t>
        </is>
      </c>
      <c r="F295" s="11" t="n">
        <v>5</v>
      </c>
      <c r="G295" s="11" t="inlineStr">
        <is>
          <t>2. Calor y temperatura.</t>
        </is>
      </c>
      <c r="H295" s="11" t="inlineStr">
        <is>
          <t>Temperatura.</t>
        </is>
      </c>
      <c r="I295" s="38" t="inlineStr">
        <is>
          <t>2.3. Comparación entre escalas de temperatura.</t>
        </is>
      </c>
      <c r="J295" s="11" t="inlineStr">
        <is>
          <t>T8_27</t>
        </is>
      </c>
      <c r="K295" s="11" t="inlineStr">
        <is>
          <t>FUERA</t>
        </is>
      </c>
      <c r="L295" s="11" t="inlineStr"/>
      <c r="M295" s="11">
        <f>IF(K295="FUERA","Fuera del marco",IF(K295="N/A","Sin marco",IFERROR(INDEX('Datos - Catálogo TIMSS'!$C$5:$C$107,MATCH(K295,'Datos - Catálogo TIMSS'!$A$5:$A$107,0)),"Pendiente de clasificar")))</f>
        <v/>
      </c>
      <c r="N295" s="11">
        <f>IF(K295="FUERA","Fuera del marco",IF(K295="N/A","Sin marco",IFERROR(INDEX('Datos - Catálogo TIMSS'!$F$5:$F$107,MATCH(K295,'Datos - Catálogo TIMSS'!$A$5:$A$107,0)),"Pendiente de clasificar")))</f>
        <v/>
      </c>
      <c r="O295" s="11">
        <f>IF(L295="","",IFERROR(INDEX('Datos - Catálogo TIMSS'!$C$5:$C$107,MATCH(L295,'Datos - Catálogo TIMSS'!$A$5:$A$107,0)),"?"))</f>
        <v/>
      </c>
      <c r="P295" s="11" t="inlineStr">
        <is>
          <t>baja</t>
        </is>
      </c>
      <c r="Q295" s="38" t="inlineStr">
        <is>
          <t>Escalas y conversiones de temperatura: unidades sin contenido disciplinar del marco.</t>
        </is>
      </c>
      <c r="R295" s="38" t="inlineStr">
        <is>
          <t>Aplicar: convertir</t>
        </is>
      </c>
      <c r="S295" s="39">
        <f>IFERROR(ISNUMBER(SEARCH("Conocer",$R295))/(ISNUMBER(SEARCH("Conocer",$R295))+ISNUMBER(SEARCH("Aplicar",$R295))+ISNUMBER(SEARCH("Razonar",$R295))),0)</f>
        <v/>
      </c>
      <c r="T295" s="39">
        <f>IFERROR(ISNUMBER(SEARCH("Aplicar",$R295))/(ISNUMBER(SEARCH("Conocer",$R295))+ISNUMBER(SEARCH("Aplicar",$R295))+ISNUMBER(SEARCH("Razonar",$R295))),0)</f>
        <v/>
      </c>
      <c r="U295" s="39">
        <f>IFERROR(ISNUMBER(SEARCH("Razonar",$R295))/(ISNUMBER(SEARCH("Conocer",$R295))+ISNUMBER(SEARCH("Aplicar",$R295))+ISNUMBER(SEARCH("Razonar",$R295))),0)</f>
        <v/>
      </c>
      <c r="V295" s="11" t="inlineStr">
        <is>
          <t>6°</t>
        </is>
      </c>
      <c r="W295" s="11" t="inlineStr">
        <is>
          <t>Ciclo 5°–8°</t>
        </is>
      </c>
      <c r="X295" s="11">
        <f>IF(OR(IFERROR(INDEX('Datos - Catálogo TIMSS'!$I$5:$I$107,MATCH(K295,'Datos - Catálogo TIMSS'!$A$5:$A$107,0)),"No")="Sí",IFERROR(INDEX('Datos - Catálogo TIMSS'!$I$5:$I$107,MATCH(L295,'Datos - Catálogo TIMSS'!$A$5:$A$107,0)),"No")="Sí"),1,0)</f>
        <v/>
      </c>
      <c r="Y295" s="11">
        <f>IF(IFERROR(INDEX('Datos - Catálogo TIMSS'!$J$5:$J$107,MATCH(K295,'Datos - Catálogo TIMSS'!$A$5:$A$107,0)),"No")="Sí",1,0)</f>
        <v/>
      </c>
      <c r="Z295" s="11">
        <f>IF(IFERROR(INDEX('Datos - Catálogo TIMSS'!$J$5:$J$107,MATCH(L295,'Datos - Catálogo TIMSS'!$A$5:$A$107,0)),"No")="Sí",1,0)</f>
        <v/>
      </c>
      <c r="AA295" s="11" t="inlineStr">
        <is>
          <t>T8-F2.2</t>
        </is>
      </c>
      <c r="AB295" s="11" t="inlineStr"/>
      <c r="AC295" s="11">
        <f>IF(AA295="FUERA","Fuera del marco",IF(AA295="N/A","Sin marco",IFERROR(INDEX('Datos - TIMSS 2023'!$C$5:$C$105,MATCH(AA295,'Datos - TIMSS 2023'!$A$5:$A$105,0)),"Pendiente de clasificar")))</f>
        <v/>
      </c>
      <c r="AD295" s="11" t="inlineStr">
        <is>
          <t>2. Construir y evaluar diseños para la indagación científica e interpretar datos y evidencia de forma crítica</t>
        </is>
      </c>
      <c r="AE295" s="11">
        <f>IF(AD295="","",IF(LEFT(AD295,1)="1","C1",IF(LEFT(AD295,1)="2","C2",IF(LEFT(AD295,1)="3","C3",""))))</f>
        <v/>
      </c>
      <c r="AF295" s="11" t="inlineStr">
        <is>
          <t>E1</t>
        </is>
      </c>
      <c r="AG295" s="11" t="inlineStr">
        <is>
          <t>D1</t>
        </is>
      </c>
      <c r="AH295" s="11" t="inlineStr">
        <is>
          <t>E2</t>
        </is>
      </c>
      <c r="AI295" s="11" t="inlineStr">
        <is>
          <t>D4</t>
        </is>
      </c>
      <c r="AJ295" s="11" t="inlineStr">
        <is>
          <t>E1</t>
        </is>
      </c>
      <c r="AK295" s="11" t="n"/>
      <c r="AL295" s="11" t="n"/>
      <c r="AM295" s="11" t="n"/>
      <c r="AN295" s="11" t="n"/>
      <c r="AO295" s="11" t="n"/>
      <c r="AP295" s="11" t="n"/>
      <c r="AQ295" s="11" t="n"/>
      <c r="AR295" s="11" t="n"/>
      <c r="AS295" s="11" t="n"/>
      <c r="AT295" s="11" t="n"/>
      <c r="AU295" s="11" t="n"/>
      <c r="AV295" s="11" t="n"/>
      <c r="AW295" s="11">
        <f>AF295&amp;"; "&amp;AG295&amp;"; "&amp;AH295&amp;"; "&amp;AI295&amp;"; "&amp;AJ295</f>
        <v/>
      </c>
    </row>
    <row r="296">
      <c r="A296" s="11" t="inlineStr">
        <is>
          <t>T0930-G06-CIE</t>
        </is>
      </c>
      <c r="B296" s="11" t="n">
        <v>6</v>
      </c>
      <c r="C296" s="11" t="inlineStr">
        <is>
          <t>Ciencias</t>
        </is>
      </c>
      <c r="D296" s="11" t="inlineStr">
        <is>
          <t>Matriz_Ciencias_6to_Grado_U1_U6.xlsx</t>
        </is>
      </c>
      <c r="E296" s="11" t="inlineStr">
        <is>
          <t>Unidad 2 - Calor y temperatura</t>
        </is>
      </c>
      <c r="F296" s="11" t="n">
        <v>6</v>
      </c>
      <c r="G296" s="11" t="inlineStr">
        <is>
          <t>2. Calor y temperatura.</t>
        </is>
      </c>
      <c r="H296" s="11" t="inlineStr">
        <is>
          <t>Propiedades térmicas de los materiales.</t>
        </is>
      </c>
      <c r="I296" s="38" t="inlineStr">
        <is>
          <t>2.4. Experimentación con los cambios de fase en líquidos</t>
        </is>
      </c>
      <c r="J296" s="11" t="inlineStr">
        <is>
          <t>T8_27</t>
        </is>
      </c>
      <c r="K296" s="11" t="inlineStr">
        <is>
          <t>T8_27-P1.2</t>
        </is>
      </c>
      <c r="L296" s="11" t="inlineStr"/>
      <c r="M296" s="11">
        <f>IF(K296="FUERA","Fuera del marco",IF(K296="N/A","Sin marco",IFERROR(INDEX('Datos - Catálogo TIMSS'!$C$5:$C$107,MATCH(K296,'Datos - Catálogo TIMSS'!$A$5:$A$107,0)),"Pendiente de clasificar")))</f>
        <v/>
      </c>
      <c r="N296" s="11">
        <f>IF(K296="FUERA","Fuera del marco",IF(K296="N/A","Sin marco",IFERROR(INDEX('Datos - Catálogo TIMSS'!$F$5:$F$107,MATCH(K296,'Datos - Catálogo TIMSS'!$A$5:$A$107,0)),"Pendiente de clasificar")))</f>
        <v/>
      </c>
      <c r="O296" s="11">
        <f>IF(L296="","",IFERROR(INDEX('Datos - Catálogo TIMSS'!$C$5:$C$107,MATCH(L296,'Datos - Catálogo TIMSS'!$A$5:$A$107,0)),"?"))</f>
        <v/>
      </c>
      <c r="P296" s="11" t="inlineStr">
        <is>
          <t>alta</t>
        </is>
      </c>
      <c r="Q296" s="38" t="inlineStr">
        <is>
          <t>Cambio de estado con temperatura constante en la meseta.</t>
        </is>
      </c>
      <c r="R296" s="38" t="inlineStr">
        <is>
          <t>Aplicar: graficar. Razonar: interpretar</t>
        </is>
      </c>
      <c r="S296" s="39">
        <f>IFERROR(ISNUMBER(SEARCH("Conocer",$R296))/(ISNUMBER(SEARCH("Conocer",$R296))+ISNUMBER(SEARCH("Aplicar",$R296))+ISNUMBER(SEARCH("Razonar",$R296))),0)</f>
        <v/>
      </c>
      <c r="T296" s="39">
        <f>IFERROR(ISNUMBER(SEARCH("Aplicar",$R296))/(ISNUMBER(SEARCH("Conocer",$R296))+ISNUMBER(SEARCH("Aplicar",$R296))+ISNUMBER(SEARCH("Razonar",$R296))),0)</f>
        <v/>
      </c>
      <c r="U296" s="39">
        <f>IFERROR(ISNUMBER(SEARCH("Razonar",$R296))/(ISNUMBER(SEARCH("Conocer",$R296))+ISNUMBER(SEARCH("Aplicar",$R296))+ISNUMBER(SEARCH("Razonar",$R296))),0)</f>
        <v/>
      </c>
      <c r="V296" s="11" t="inlineStr">
        <is>
          <t>6°</t>
        </is>
      </c>
      <c r="W296" s="11" t="inlineStr">
        <is>
          <t>Ciclo 5°–8°</t>
        </is>
      </c>
      <c r="X296" s="11">
        <f>IF(OR(IFERROR(INDEX('Datos - Catálogo TIMSS'!$I$5:$I$107,MATCH(K296,'Datos - Catálogo TIMSS'!$A$5:$A$107,0)),"No")="Sí",IFERROR(INDEX('Datos - Catálogo TIMSS'!$I$5:$I$107,MATCH(L296,'Datos - Catálogo TIMSS'!$A$5:$A$107,0)),"No")="Sí"),1,0)</f>
        <v/>
      </c>
      <c r="Y296" s="11">
        <f>IF(IFERROR(INDEX('Datos - Catálogo TIMSS'!$J$5:$J$107,MATCH(K296,'Datos - Catálogo TIMSS'!$A$5:$A$107,0)),"No")="Sí",1,0)</f>
        <v/>
      </c>
      <c r="Z296" s="11">
        <f>IF(IFERROR(INDEX('Datos - Catálogo TIMSS'!$J$5:$J$107,MATCH(L296,'Datos - Catálogo TIMSS'!$A$5:$A$107,0)),"No")="Sí",1,0)</f>
        <v/>
      </c>
      <c r="AA296" s="11" t="inlineStr">
        <is>
          <t>T8-F1.2</t>
        </is>
      </c>
      <c r="AB296" s="11" t="inlineStr">
        <is>
          <t>T8-F2.2</t>
        </is>
      </c>
      <c r="AC296" s="11">
        <f>IF(AA296="FUERA","Fuera del marco",IF(AA296="N/A","Sin marco",IFERROR(INDEX('Datos - TIMSS 2023'!$C$5:$C$105,MATCH(AA296,'Datos - TIMSS 2023'!$A$5:$A$105,0)),"Pendiente de clasificar")))</f>
        <v/>
      </c>
      <c r="AD296" s="11" t="inlineStr">
        <is>
          <t>2. Construir y evaluar diseños para la indagación científica e interpretar datos y evidencia de forma crítica</t>
        </is>
      </c>
      <c r="AE296" s="11">
        <f>IF(AD296="","",IF(LEFT(AD296,1)="1","C1",IF(LEFT(AD296,1)="2","C2",IF(LEFT(AD296,1)="3","C3",""))))</f>
        <v/>
      </c>
      <c r="AF296" s="11" t="inlineStr">
        <is>
          <t>E1</t>
        </is>
      </c>
      <c r="AG296" s="11" t="inlineStr">
        <is>
          <t>E3</t>
        </is>
      </c>
      <c r="AH296" s="11" t="inlineStr">
        <is>
          <t>E1</t>
        </is>
      </c>
      <c r="AI296" s="11" t="inlineStr">
        <is>
          <t>D4</t>
        </is>
      </c>
      <c r="AJ296" s="11" t="inlineStr">
        <is>
          <t>E6</t>
        </is>
      </c>
      <c r="AK296" s="11" t="n"/>
      <c r="AL296" s="11" t="n"/>
      <c r="AM296" s="11" t="n"/>
      <c r="AN296" s="11" t="n"/>
      <c r="AO296" s="11" t="n"/>
      <c r="AP296" s="11" t="n"/>
      <c r="AQ296" s="11" t="n"/>
      <c r="AR296" s="11" t="n"/>
      <c r="AS296" s="11" t="n"/>
      <c r="AT296" s="11" t="n"/>
      <c r="AU296" s="11" t="n"/>
      <c r="AV296" s="11" t="n"/>
      <c r="AW296" s="11">
        <f>AF296&amp;"; "&amp;AG296&amp;"; "&amp;AH296&amp;"; "&amp;AI296&amp;"; "&amp;AJ296</f>
        <v/>
      </c>
    </row>
    <row r="297">
      <c r="A297" s="11" t="inlineStr">
        <is>
          <t>T0931-G06-CIE</t>
        </is>
      </c>
      <c r="B297" s="11" t="n">
        <v>6</v>
      </c>
      <c r="C297" s="11" t="inlineStr">
        <is>
          <t>Ciencias</t>
        </is>
      </c>
      <c r="D297" s="11" t="inlineStr">
        <is>
          <t>Matriz_Ciencias_6to_Grado_U1_U6.xlsx</t>
        </is>
      </c>
      <c r="E297" s="11" t="inlineStr">
        <is>
          <t>Unidad 2 - Calor y temperatura</t>
        </is>
      </c>
      <c r="F297" s="11" t="n">
        <v>7</v>
      </c>
      <c r="G297" s="11" t="inlineStr">
        <is>
          <t>2. Calor y temperatura.</t>
        </is>
      </c>
      <c r="H297" s="11" t="inlineStr">
        <is>
          <t>Propiedades térmicas de los materiales.</t>
        </is>
      </c>
      <c r="I297" s="38" t="inlineStr">
        <is>
          <t>2.5. Experimentación con la propagación de calor por conducción, convección y radiación.</t>
        </is>
      </c>
      <c r="J297" s="11" t="inlineStr">
        <is>
          <t>T8_27</t>
        </is>
      </c>
      <c r="K297" s="11" t="inlineStr">
        <is>
          <t>T8_27-P2.2</t>
        </is>
      </c>
      <c r="L297" s="11" t="inlineStr"/>
      <c r="M297" s="11">
        <f>IF(K297="FUERA","Fuera del marco",IF(K297="N/A","Sin marco",IFERROR(INDEX('Datos - Catálogo TIMSS'!$C$5:$C$107,MATCH(K297,'Datos - Catálogo TIMSS'!$A$5:$A$107,0)),"Pendiente de clasificar")))</f>
        <v/>
      </c>
      <c r="N297" s="11">
        <f>IF(K297="FUERA","Fuera del marco",IF(K297="N/A","Sin marco",IFERROR(INDEX('Datos - Catálogo TIMSS'!$F$5:$F$107,MATCH(K297,'Datos - Catálogo TIMSS'!$A$5:$A$107,0)),"Pendiente de clasificar")))</f>
        <v/>
      </c>
      <c r="O297" s="11">
        <f>IF(L297="","",IFERROR(INDEX('Datos - Catálogo TIMSS'!$C$5:$C$107,MATCH(L297,'Datos - Catálogo TIMSS'!$A$5:$A$107,0)),"?"))</f>
        <v/>
      </c>
      <c r="P297" s="11" t="inlineStr">
        <is>
          <t>alta</t>
        </is>
      </c>
      <c r="Q297" s="38" t="inlineStr">
        <is>
          <t>Transferencia de energía térmica por conducción, convección y radiación.</t>
        </is>
      </c>
      <c r="R297" s="38" t="inlineStr">
        <is>
          <t>Aplicar: clasificar ejemplos</t>
        </is>
      </c>
      <c r="S297" s="39">
        <f>IFERROR(ISNUMBER(SEARCH("Conocer",$R297))/(ISNUMBER(SEARCH("Conocer",$R297))+ISNUMBER(SEARCH("Aplicar",$R297))+ISNUMBER(SEARCH("Razonar",$R297))),0)</f>
        <v/>
      </c>
      <c r="T297" s="39">
        <f>IFERROR(ISNUMBER(SEARCH("Aplicar",$R297))/(ISNUMBER(SEARCH("Conocer",$R297))+ISNUMBER(SEARCH("Aplicar",$R297))+ISNUMBER(SEARCH("Razonar",$R297))),0)</f>
        <v/>
      </c>
      <c r="U297" s="39">
        <f>IFERROR(ISNUMBER(SEARCH("Razonar",$R297))/(ISNUMBER(SEARCH("Conocer",$R297))+ISNUMBER(SEARCH("Aplicar",$R297))+ISNUMBER(SEARCH("Razonar",$R297))),0)</f>
        <v/>
      </c>
      <c r="V297" s="11" t="inlineStr">
        <is>
          <t>6°</t>
        </is>
      </c>
      <c r="W297" s="11" t="inlineStr">
        <is>
          <t>Ciclo 5°–8°</t>
        </is>
      </c>
      <c r="X297" s="11">
        <f>IF(OR(IFERROR(INDEX('Datos - Catálogo TIMSS'!$I$5:$I$107,MATCH(K297,'Datos - Catálogo TIMSS'!$A$5:$A$107,0)),"No")="Sí",IFERROR(INDEX('Datos - Catálogo TIMSS'!$I$5:$I$107,MATCH(L297,'Datos - Catálogo TIMSS'!$A$5:$A$107,0)),"No")="Sí"),1,0)</f>
        <v/>
      </c>
      <c r="Y297" s="11">
        <f>IF(IFERROR(INDEX('Datos - Catálogo TIMSS'!$J$5:$J$107,MATCH(K297,'Datos - Catálogo TIMSS'!$A$5:$A$107,0)),"No")="Sí",1,0)</f>
        <v/>
      </c>
      <c r="Z297" s="11">
        <f>IF(IFERROR(INDEX('Datos - Catálogo TIMSS'!$J$5:$J$107,MATCH(L297,'Datos - Catálogo TIMSS'!$A$5:$A$107,0)),"No")="Sí",1,0)</f>
        <v/>
      </c>
      <c r="AA297" s="11" t="inlineStr">
        <is>
          <t>T8-F2.2</t>
        </is>
      </c>
      <c r="AB297" s="11" t="inlineStr"/>
      <c r="AC297" s="11">
        <f>IF(AA297="FUERA","Fuera del marco",IF(AA297="N/A","Sin marco",IFERROR(INDEX('Datos - TIMSS 2023'!$C$5:$C$105,MATCH(AA297,'Datos - TIMSS 2023'!$A$5:$A$105,0)),"Pendiente de clasificar")))</f>
        <v/>
      </c>
      <c r="AD297" s="11" t="inlineStr">
        <is>
          <t>2. Construir y evaluar diseños para la indagación científica e interpretar datos y evidencia de forma crítica</t>
        </is>
      </c>
      <c r="AE297" s="11">
        <f>IF(AD297="","",IF(LEFT(AD297,1)="1","C1",IF(LEFT(AD297,1)="2","C2",IF(LEFT(AD297,1)="3","C3",""))))</f>
        <v/>
      </c>
      <c r="AF297" s="11" t="inlineStr">
        <is>
          <t>E1</t>
        </is>
      </c>
      <c r="AG297" s="11" t="inlineStr">
        <is>
          <t>D1</t>
        </is>
      </c>
      <c r="AH297" s="11" t="inlineStr">
        <is>
          <t>E1</t>
        </is>
      </c>
      <c r="AI297" s="11" t="inlineStr">
        <is>
          <t>D2</t>
        </is>
      </c>
      <c r="AJ297" s="11" t="inlineStr">
        <is>
          <t>E6</t>
        </is>
      </c>
      <c r="AK297" s="11" t="n"/>
      <c r="AL297" s="11" t="n"/>
      <c r="AM297" s="11" t="n"/>
      <c r="AN297" s="11" t="n"/>
      <c r="AO297" s="11" t="n"/>
      <c r="AP297" s="11" t="n"/>
      <c r="AQ297" s="11" t="n"/>
      <c r="AR297" s="11" t="n"/>
      <c r="AS297" s="11" t="n"/>
      <c r="AT297" s="11" t="n"/>
      <c r="AU297" s="11" t="n"/>
      <c r="AV297" s="11" t="n"/>
      <c r="AW297" s="11">
        <f>AF297&amp;"; "&amp;AG297&amp;"; "&amp;AH297&amp;"; "&amp;AI297&amp;"; "&amp;AJ297</f>
        <v/>
      </c>
    </row>
    <row r="298">
      <c r="A298" s="11" t="inlineStr">
        <is>
          <t>T0932-G06-CIE</t>
        </is>
      </c>
      <c r="B298" s="11" t="n">
        <v>6</v>
      </c>
      <c r="C298" s="11" t="inlineStr">
        <is>
          <t>Ciencias</t>
        </is>
      </c>
      <c r="D298" s="11" t="inlineStr">
        <is>
          <t>Matriz_Ciencias_6to_Grado_U1_U6.xlsx</t>
        </is>
      </c>
      <c r="E298" s="11" t="inlineStr">
        <is>
          <t>Unidad 2 - Calor y temperatura</t>
        </is>
      </c>
      <c r="F298" s="11" t="n">
        <v>8</v>
      </c>
      <c r="G298" s="11" t="inlineStr">
        <is>
          <t>2. Calor y temperatura.</t>
        </is>
      </c>
      <c r="H298" s="11" t="inlineStr">
        <is>
          <t>Propiedades térmicas de los materiales.</t>
        </is>
      </c>
      <c r="I298" s="38" t="inlineStr">
        <is>
          <t>2.6. Experimentación con las propiedades térmicas de los materiales.</t>
        </is>
      </c>
      <c r="J298" s="11" t="inlineStr">
        <is>
          <t>T8_27</t>
        </is>
      </c>
      <c r="K298" s="11" t="inlineStr">
        <is>
          <t>T8_27-P2.2</t>
        </is>
      </c>
      <c r="L298" s="11" t="inlineStr"/>
      <c r="M298" s="11">
        <f>IF(K298="FUERA","Fuera del marco",IF(K298="N/A","Sin marco",IFERROR(INDEX('Datos - Catálogo TIMSS'!$C$5:$C$107,MATCH(K298,'Datos - Catálogo TIMSS'!$A$5:$A$107,0)),"Pendiente de clasificar")))</f>
        <v/>
      </c>
      <c r="N298" s="11">
        <f>IF(K298="FUERA","Fuera del marco",IF(K298="N/A","Sin marco",IFERROR(INDEX('Datos - Catálogo TIMSS'!$F$5:$F$107,MATCH(K298,'Datos - Catálogo TIMSS'!$A$5:$A$107,0)),"Pendiente de clasificar")))</f>
        <v/>
      </c>
      <c r="O298" s="11">
        <f>IF(L298="","",IFERROR(INDEX('Datos - Catálogo TIMSS'!$C$5:$C$107,MATCH(L298,'Datos - Catálogo TIMSS'!$A$5:$A$107,0)),"?"))</f>
        <v/>
      </c>
      <c r="P298" s="11" t="inlineStr">
        <is>
          <t>media</t>
        </is>
      </c>
      <c r="Q298" s="38" t="inlineStr">
        <is>
          <t>Calentamiento distinto de arena y agua; transferencia térmica según material.</t>
        </is>
      </c>
      <c r="R298" s="38" t="inlineStr">
        <is>
          <t>Razonar: diseñar prueba justa</t>
        </is>
      </c>
      <c r="S298" s="39">
        <f>IFERROR(ISNUMBER(SEARCH("Conocer",$R298))/(ISNUMBER(SEARCH("Conocer",$R298))+ISNUMBER(SEARCH("Aplicar",$R298))+ISNUMBER(SEARCH("Razonar",$R298))),0)</f>
        <v/>
      </c>
      <c r="T298" s="39">
        <f>IFERROR(ISNUMBER(SEARCH("Aplicar",$R298))/(ISNUMBER(SEARCH("Conocer",$R298))+ISNUMBER(SEARCH("Aplicar",$R298))+ISNUMBER(SEARCH("Razonar",$R298))),0)</f>
        <v/>
      </c>
      <c r="U298" s="39">
        <f>IFERROR(ISNUMBER(SEARCH("Razonar",$R298))/(ISNUMBER(SEARCH("Conocer",$R298))+ISNUMBER(SEARCH("Aplicar",$R298))+ISNUMBER(SEARCH("Razonar",$R298))),0)</f>
        <v/>
      </c>
      <c r="V298" s="11" t="inlineStr">
        <is>
          <t>6°</t>
        </is>
      </c>
      <c r="W298" s="11" t="inlineStr">
        <is>
          <t>Ciclo 5°–8°</t>
        </is>
      </c>
      <c r="X298" s="11">
        <f>IF(OR(IFERROR(INDEX('Datos - Catálogo TIMSS'!$I$5:$I$107,MATCH(K298,'Datos - Catálogo TIMSS'!$A$5:$A$107,0)),"No")="Sí",IFERROR(INDEX('Datos - Catálogo TIMSS'!$I$5:$I$107,MATCH(L298,'Datos - Catálogo TIMSS'!$A$5:$A$107,0)),"No")="Sí"),1,0)</f>
        <v/>
      </c>
      <c r="Y298" s="11">
        <f>IF(IFERROR(INDEX('Datos - Catálogo TIMSS'!$J$5:$J$107,MATCH(K298,'Datos - Catálogo TIMSS'!$A$5:$A$107,0)),"No")="Sí",1,0)</f>
        <v/>
      </c>
      <c r="Z298" s="11">
        <f>IF(IFERROR(INDEX('Datos - Catálogo TIMSS'!$J$5:$J$107,MATCH(L298,'Datos - Catálogo TIMSS'!$A$5:$A$107,0)),"No")="Sí",1,0)</f>
        <v/>
      </c>
      <c r="AA298" s="11" t="inlineStr">
        <is>
          <t>T8-F2.2</t>
        </is>
      </c>
      <c r="AB298" s="11" t="inlineStr"/>
      <c r="AC298" s="11">
        <f>IF(AA298="FUERA","Fuera del marco",IF(AA298="N/A","Sin marco",IFERROR(INDEX('Datos - TIMSS 2023'!$C$5:$C$105,MATCH(AA298,'Datos - TIMSS 2023'!$A$5:$A$105,0)),"Pendiente de clasificar")))</f>
        <v/>
      </c>
      <c r="AD298" s="11" t="inlineStr">
        <is>
          <t>2. Construir y evaluar diseños para la indagación científica e interpretar datos y evidencia de forma crítica</t>
        </is>
      </c>
      <c r="AE298" s="11">
        <f>IF(AD298="","",IF(LEFT(AD298,1)="1","C1",IF(LEFT(AD298,1)="2","C2",IF(LEFT(AD298,1)="3","C3",""))))</f>
        <v/>
      </c>
      <c r="AF298" s="11" t="inlineStr">
        <is>
          <t>E1</t>
        </is>
      </c>
      <c r="AG298" s="11" t="inlineStr">
        <is>
          <t>E3</t>
        </is>
      </c>
      <c r="AH298" s="11" t="inlineStr">
        <is>
          <t>E1</t>
        </is>
      </c>
      <c r="AI298" s="11" t="inlineStr">
        <is>
          <t>D3</t>
        </is>
      </c>
      <c r="AJ298" s="11" t="inlineStr">
        <is>
          <t>E6</t>
        </is>
      </c>
      <c r="AK298" s="11" t="n"/>
      <c r="AL298" s="11" t="n"/>
      <c r="AM298" s="11" t="n"/>
      <c r="AN298" s="11" t="n"/>
      <c r="AO298" s="11" t="n"/>
      <c r="AP298" s="11" t="n"/>
      <c r="AQ298" s="11" t="n"/>
      <c r="AR298" s="11" t="n"/>
      <c r="AS298" s="11" t="n"/>
      <c r="AT298" s="11" t="n"/>
      <c r="AU298" s="11" t="n"/>
      <c r="AV298" s="11" t="n"/>
      <c r="AW298" s="11">
        <f>AF298&amp;"; "&amp;AG298&amp;"; "&amp;AH298&amp;"; "&amp;AI298&amp;"; "&amp;AJ298</f>
        <v/>
      </c>
    </row>
    <row r="299">
      <c r="A299" s="11" t="inlineStr">
        <is>
          <t>T0933-G06-CIE</t>
        </is>
      </c>
      <c r="B299" s="11" t="n">
        <v>6</v>
      </c>
      <c r="C299" s="11" t="inlineStr">
        <is>
          <t>Ciencias</t>
        </is>
      </c>
      <c r="D299" s="11" t="inlineStr">
        <is>
          <t>Matriz_Ciencias_6to_Grado_U1_U6.xlsx</t>
        </is>
      </c>
      <c r="E299" s="11" t="inlineStr">
        <is>
          <t>Unidad 2 - Calor y temperatura</t>
        </is>
      </c>
      <c r="F299" s="11" t="n">
        <v>9</v>
      </c>
      <c r="G299" s="11" t="inlineStr">
        <is>
          <t>2. Calor y temperatura.</t>
        </is>
      </c>
      <c r="H299" s="11" t="inlineStr">
        <is>
          <t>Propiedades térmicas de los materiales.</t>
        </is>
      </c>
      <c r="I299" s="38" t="inlineStr">
        <is>
          <t>2.7. Experimentación con la dilatación térmica en sólidos, líquidos y gases.</t>
        </is>
      </c>
      <c r="J299" s="11" t="inlineStr">
        <is>
          <t>T8_27</t>
        </is>
      </c>
      <c r="K299" s="11" t="inlineStr">
        <is>
          <t>T8_27-P1.1</t>
        </is>
      </c>
      <c r="L299" s="11" t="inlineStr"/>
      <c r="M299" s="11">
        <f>IF(K299="FUERA","Fuera del marco",IF(K299="N/A","Sin marco",IFERROR(INDEX('Datos - Catálogo TIMSS'!$C$5:$C$107,MATCH(K299,'Datos - Catálogo TIMSS'!$A$5:$A$107,0)),"Pendiente de clasificar")))</f>
        <v/>
      </c>
      <c r="N299" s="11">
        <f>IF(K299="FUERA","Fuera del marco",IF(K299="N/A","Sin marco",IFERROR(INDEX('Datos - Catálogo TIMSS'!$F$5:$F$107,MATCH(K299,'Datos - Catálogo TIMSS'!$A$5:$A$107,0)),"Pendiente de clasificar")))</f>
        <v/>
      </c>
      <c r="O299" s="11">
        <f>IF(L299="","",IFERROR(INDEX('Datos - Catálogo TIMSS'!$C$5:$C$107,MATCH(L299,'Datos - Catálogo TIMSS'!$A$5:$A$107,0)),"?"))</f>
        <v/>
      </c>
      <c r="P299" s="11" t="inlineStr">
        <is>
          <t>alta</t>
        </is>
      </c>
      <c r="Q299" s="38" t="inlineStr">
        <is>
          <t>Dilatación térmica explicada por movimiento y distancia de partículas.</t>
        </is>
      </c>
      <c r="R299" s="38" t="inlineStr">
        <is>
          <t>Aplicar: relacionar</t>
        </is>
      </c>
      <c r="S299" s="39">
        <f>IFERROR(ISNUMBER(SEARCH("Conocer",$R299))/(ISNUMBER(SEARCH("Conocer",$R299))+ISNUMBER(SEARCH("Aplicar",$R299))+ISNUMBER(SEARCH("Razonar",$R299))),0)</f>
        <v/>
      </c>
      <c r="T299" s="39">
        <f>IFERROR(ISNUMBER(SEARCH("Aplicar",$R299))/(ISNUMBER(SEARCH("Conocer",$R299))+ISNUMBER(SEARCH("Aplicar",$R299))+ISNUMBER(SEARCH("Razonar",$R299))),0)</f>
        <v/>
      </c>
      <c r="U299" s="39">
        <f>IFERROR(ISNUMBER(SEARCH("Razonar",$R299))/(ISNUMBER(SEARCH("Conocer",$R299))+ISNUMBER(SEARCH("Aplicar",$R299))+ISNUMBER(SEARCH("Razonar",$R299))),0)</f>
        <v/>
      </c>
      <c r="V299" s="11" t="inlineStr">
        <is>
          <t>6°</t>
        </is>
      </c>
      <c r="W299" s="11" t="inlineStr">
        <is>
          <t>Ciclo 5°–8°</t>
        </is>
      </c>
      <c r="X299" s="11">
        <f>IF(OR(IFERROR(INDEX('Datos - Catálogo TIMSS'!$I$5:$I$107,MATCH(K299,'Datos - Catálogo TIMSS'!$A$5:$A$107,0)),"No")="Sí",IFERROR(INDEX('Datos - Catálogo TIMSS'!$I$5:$I$107,MATCH(L299,'Datos - Catálogo TIMSS'!$A$5:$A$107,0)),"No")="Sí"),1,0)</f>
        <v/>
      </c>
      <c r="Y299" s="11">
        <f>IF(IFERROR(INDEX('Datos - Catálogo TIMSS'!$J$5:$J$107,MATCH(K299,'Datos - Catálogo TIMSS'!$A$5:$A$107,0)),"No")="Sí",1,0)</f>
        <v/>
      </c>
      <c r="Z299" s="11">
        <f>IF(IFERROR(INDEX('Datos - Catálogo TIMSS'!$J$5:$J$107,MATCH(L299,'Datos - Catálogo TIMSS'!$A$5:$A$107,0)),"No")="Sí",1,0)</f>
        <v/>
      </c>
      <c r="AA299" s="11" t="inlineStr">
        <is>
          <t>T8-F1.1</t>
        </is>
      </c>
      <c r="AB299" s="11" t="inlineStr"/>
      <c r="AC299" s="11">
        <f>IF(AA299="FUERA","Fuera del marco",IF(AA299="N/A","Sin marco",IFERROR(INDEX('Datos - TIMSS 2023'!$C$5:$C$105,MATCH(AA299,'Datos - TIMSS 2023'!$A$5:$A$105,0)),"Pendiente de clasificar")))</f>
        <v/>
      </c>
      <c r="AD299" s="11" t="inlineStr">
        <is>
          <t>2. Construir y evaluar diseños para la indagación científica e interpretar datos y evidencia de forma crítica</t>
        </is>
      </c>
      <c r="AE299" s="11">
        <f>IF(AD299="","",IF(LEFT(AD299,1)="1","C1",IF(LEFT(AD299,1)="2","C2",IF(LEFT(AD299,1)="3","C3",""))))</f>
        <v/>
      </c>
      <c r="AF299" s="11" t="inlineStr">
        <is>
          <t>E1</t>
        </is>
      </c>
      <c r="AG299" s="11" t="inlineStr">
        <is>
          <t>E5</t>
        </is>
      </c>
      <c r="AH299" s="11" t="inlineStr">
        <is>
          <t>E1</t>
        </is>
      </c>
      <c r="AI299" s="11" t="inlineStr">
        <is>
          <t>D2</t>
        </is>
      </c>
      <c r="AJ299" s="11" t="inlineStr">
        <is>
          <t>E6</t>
        </is>
      </c>
      <c r="AK299" s="11" t="n"/>
      <c r="AL299" s="11" t="n"/>
      <c r="AM299" s="11" t="n"/>
      <c r="AN299" s="11" t="n"/>
      <c r="AO299" s="11" t="n"/>
      <c r="AP299" s="11" t="n"/>
      <c r="AQ299" s="11" t="n"/>
      <c r="AR299" s="11" t="n"/>
      <c r="AS299" s="11" t="n"/>
      <c r="AT299" s="11" t="n"/>
      <c r="AU299" s="11" t="n"/>
      <c r="AV299" s="11" t="n"/>
      <c r="AW299" s="11">
        <f>AF299&amp;"; "&amp;AG299&amp;"; "&amp;AH299&amp;"; "&amp;AI299&amp;"; "&amp;AJ299</f>
        <v/>
      </c>
    </row>
    <row r="300">
      <c r="A300" s="11" t="inlineStr">
        <is>
          <t>T0934-G06-CIE</t>
        </is>
      </c>
      <c r="B300" s="11" t="n">
        <v>6</v>
      </c>
      <c r="C300" s="11" t="inlineStr">
        <is>
          <t>Ciencias</t>
        </is>
      </c>
      <c r="D300" s="11" t="inlineStr">
        <is>
          <t>Matriz_Ciencias_6to_Grado_U1_U6.xlsx</t>
        </is>
      </c>
      <c r="E300" s="11" t="inlineStr">
        <is>
          <t>Unidad 3 - Electricidad y magne</t>
        </is>
      </c>
      <c r="F300" s="11" t="n">
        <v>3</v>
      </c>
      <c r="G300" s="11" t="inlineStr">
        <is>
          <t>3. Electricidad y magnetismo.</t>
        </is>
      </c>
      <c r="H300" s="11" t="inlineStr">
        <is>
          <t>Magnitudes basicas de la electricidad.</t>
        </is>
      </c>
      <c r="I300" s="38" t="inlineStr">
        <is>
          <t>3.1. Uso del multímetro para medir voltaje y corriente eléctrica.</t>
        </is>
      </c>
      <c r="J300" s="11" t="inlineStr">
        <is>
          <t>T8_27</t>
        </is>
      </c>
      <c r="K300" s="11" t="inlineStr">
        <is>
          <t>T8_27-P4.1</t>
        </is>
      </c>
      <c r="L300" s="11" t="inlineStr">
        <is>
          <t>T8_27-P6.1</t>
        </is>
      </c>
      <c r="M300" s="11">
        <f>IF(K300="FUERA","Fuera del marco",IF(K300="N/A","Sin marco",IFERROR(INDEX('Datos - Catálogo TIMSS'!$C$5:$C$107,MATCH(K300,'Datos - Catálogo TIMSS'!$A$5:$A$107,0)),"Pendiente de clasificar")))</f>
        <v/>
      </c>
      <c r="N300" s="11">
        <f>IF(K300="FUERA","Fuera del marco",IF(K300="N/A","Sin marco",IFERROR(INDEX('Datos - Catálogo TIMSS'!$F$5:$F$107,MATCH(K300,'Datos - Catálogo TIMSS'!$A$5:$A$107,0)),"Pendiente de clasificar")))</f>
        <v/>
      </c>
      <c r="O300" s="11">
        <f>IF(L300="","",IFERROR(INDEX('Datos - Catálogo TIMSS'!$C$5:$C$107,MATCH(L300,'Datos - Catálogo TIMSS'!$A$5:$A$107,0)),"?"))</f>
        <v/>
      </c>
      <c r="P300" s="11" t="inlineStr">
        <is>
          <t>media</t>
        </is>
      </c>
      <c r="Q300" s="38" t="inlineStr">
        <is>
          <t>Corriente y voltaje en circuitos; uso de multímetro como equipo.</t>
        </is>
      </c>
      <c r="R300" s="38" t="inlineStr">
        <is>
          <t>Aplicar: medir con instrumentos</t>
        </is>
      </c>
      <c r="S300" s="39">
        <f>IFERROR(ISNUMBER(SEARCH("Conocer",$R300))/(ISNUMBER(SEARCH("Conocer",$R300))+ISNUMBER(SEARCH("Aplicar",$R300))+ISNUMBER(SEARCH("Razonar",$R300))),0)</f>
        <v/>
      </c>
      <c r="T300" s="39">
        <f>IFERROR(ISNUMBER(SEARCH("Aplicar",$R300))/(ISNUMBER(SEARCH("Conocer",$R300))+ISNUMBER(SEARCH("Aplicar",$R300))+ISNUMBER(SEARCH("Razonar",$R300))),0)</f>
        <v/>
      </c>
      <c r="U300" s="39">
        <f>IFERROR(ISNUMBER(SEARCH("Razonar",$R300))/(ISNUMBER(SEARCH("Conocer",$R300))+ISNUMBER(SEARCH("Aplicar",$R300))+ISNUMBER(SEARCH("Razonar",$R300))),0)</f>
        <v/>
      </c>
      <c r="V300" s="11" t="inlineStr">
        <is>
          <t>6°</t>
        </is>
      </c>
      <c r="W300" s="11" t="inlineStr">
        <is>
          <t>Ciclo 5°–8°</t>
        </is>
      </c>
      <c r="X300" s="11">
        <f>IF(OR(IFERROR(INDEX('Datos - Catálogo TIMSS'!$I$5:$I$107,MATCH(K300,'Datos - Catálogo TIMSS'!$A$5:$A$107,0)),"No")="Sí",IFERROR(INDEX('Datos - Catálogo TIMSS'!$I$5:$I$107,MATCH(L300,'Datos - Catálogo TIMSS'!$A$5:$A$107,0)),"No")="Sí"),1,0)</f>
        <v/>
      </c>
      <c r="Y300" s="11">
        <f>IF(IFERROR(INDEX('Datos - Catálogo TIMSS'!$J$5:$J$107,MATCH(K300,'Datos - Catálogo TIMSS'!$A$5:$A$107,0)),"No")="Sí",1,0)</f>
        <v/>
      </c>
      <c r="Z300" s="11">
        <f>IF(IFERROR(INDEX('Datos - Catálogo TIMSS'!$J$5:$J$107,MATCH(L300,'Datos - Catálogo TIMSS'!$A$5:$A$107,0)),"No")="Sí",1,0)</f>
        <v/>
      </c>
      <c r="AA300" s="11" t="inlineStr">
        <is>
          <t>T8-F4.1</t>
        </is>
      </c>
      <c r="AB300" s="11" t="inlineStr"/>
      <c r="AC300" s="11">
        <f>IF(AA300="FUERA","Fuera del marco",IF(AA300="N/A","Sin marco",IFERROR(INDEX('Datos - TIMSS 2023'!$C$5:$C$105,MATCH(AA300,'Datos - TIMSS 2023'!$A$5:$A$105,0)),"Pendiente de clasificar")))</f>
        <v/>
      </c>
      <c r="AD300" s="11" t="inlineStr">
        <is>
          <t>2. Construir y evaluar diseños para la indagación científica e interpretar datos y evidencia de forma crítica</t>
        </is>
      </c>
      <c r="AE300" s="11">
        <f>IF(AD300="","",IF(LEFT(AD300,1)="1","C1",IF(LEFT(AD300,1)="2","C2",IF(LEFT(AD300,1)="3","C3",""))))</f>
        <v/>
      </c>
      <c r="AF300" s="11" t="inlineStr">
        <is>
          <t>E1</t>
        </is>
      </c>
      <c r="AG300" s="11" t="inlineStr">
        <is>
          <t>D1</t>
        </is>
      </c>
      <c r="AH300" s="11" t="inlineStr">
        <is>
          <t>E1</t>
        </is>
      </c>
      <c r="AI300" s="11" t="inlineStr">
        <is>
          <t>D4</t>
        </is>
      </c>
      <c r="AJ300" s="11" t="inlineStr">
        <is>
          <t>E3</t>
        </is>
      </c>
      <c r="AK300" s="11" t="n"/>
      <c r="AL300" s="11" t="n"/>
      <c r="AM300" s="11" t="n"/>
      <c r="AN300" s="11" t="n"/>
      <c r="AO300" s="11" t="n"/>
      <c r="AP300" s="11" t="n"/>
      <c r="AQ300" s="11" t="n"/>
      <c r="AR300" s="11" t="n"/>
      <c r="AS300" s="11" t="n"/>
      <c r="AT300" s="11" t="n"/>
      <c r="AU300" s="11" t="n"/>
      <c r="AV300" s="11" t="n"/>
      <c r="AW300" s="11">
        <f>AF300&amp;"; "&amp;AG300&amp;"; "&amp;AH300&amp;"; "&amp;AI300&amp;"; "&amp;AJ300</f>
        <v/>
      </c>
    </row>
    <row r="301">
      <c r="A301" s="11" t="inlineStr">
        <is>
          <t>T0935-G06-CIE</t>
        </is>
      </c>
      <c r="B301" s="11" t="n">
        <v>6</v>
      </c>
      <c r="C301" s="11" t="inlineStr">
        <is>
          <t>Ciencias</t>
        </is>
      </c>
      <c r="D301" s="11" t="inlineStr">
        <is>
          <t>Matriz_Ciencias_6to_Grado_U1_U6.xlsx</t>
        </is>
      </c>
      <c r="E301" s="11" t="inlineStr">
        <is>
          <t>Unidad 3 - Electricidad y magne</t>
        </is>
      </c>
      <c r="F301" s="11" t="n">
        <v>4</v>
      </c>
      <c r="G301" s="11" t="inlineStr">
        <is>
          <t>3. Electricidad y magnetismo.</t>
        </is>
      </c>
      <c r="H301" s="11" t="inlineStr">
        <is>
          <t>Magnitudes basicas de la electricidad.</t>
        </is>
      </c>
      <c r="I301" s="38" t="inlineStr">
        <is>
          <t>3.2. Identificación del valor de resistencias eléctricas según código de color y multímetro.</t>
        </is>
      </c>
      <c r="J301" s="11" t="inlineStr">
        <is>
          <t>T8_27</t>
        </is>
      </c>
      <c r="K301" s="11" t="inlineStr">
        <is>
          <t>T8_27-P4.1</t>
        </is>
      </c>
      <c r="L301" s="11" t="inlineStr">
        <is>
          <t>T8_27-P6.1</t>
        </is>
      </c>
      <c r="M301" s="11">
        <f>IF(K301="FUERA","Fuera del marco",IF(K301="N/A","Sin marco",IFERROR(INDEX('Datos - Catálogo TIMSS'!$C$5:$C$107,MATCH(K301,'Datos - Catálogo TIMSS'!$A$5:$A$107,0)),"Pendiente de clasificar")))</f>
        <v/>
      </c>
      <c r="N301" s="11">
        <f>IF(K301="FUERA","Fuera del marco",IF(K301="N/A","Sin marco",IFERROR(INDEX('Datos - Catálogo TIMSS'!$F$5:$F$107,MATCH(K301,'Datos - Catálogo TIMSS'!$A$5:$A$107,0)),"Pendiente de clasificar")))</f>
        <v/>
      </c>
      <c r="O301" s="11">
        <f>IF(L301="","",IFERROR(INDEX('Datos - Catálogo TIMSS'!$C$5:$C$107,MATCH(L301,'Datos - Catálogo TIMSS'!$A$5:$A$107,0)),"?"))</f>
        <v/>
      </c>
      <c r="P301" s="11" t="inlineStr">
        <is>
          <t>media</t>
        </is>
      </c>
      <c r="Q301" s="38" t="inlineStr">
        <is>
          <t>Resistencia como componente de circuito; medición con multímetro.</t>
        </is>
      </c>
      <c r="R301" s="38" t="inlineStr">
        <is>
          <t>Aplicar: interpretar códigos</t>
        </is>
      </c>
      <c r="S301" s="39">
        <f>IFERROR(ISNUMBER(SEARCH("Conocer",$R301))/(ISNUMBER(SEARCH("Conocer",$R301))+ISNUMBER(SEARCH("Aplicar",$R301))+ISNUMBER(SEARCH("Razonar",$R301))),0)</f>
        <v/>
      </c>
      <c r="T301" s="39">
        <f>IFERROR(ISNUMBER(SEARCH("Aplicar",$R301))/(ISNUMBER(SEARCH("Conocer",$R301))+ISNUMBER(SEARCH("Aplicar",$R301))+ISNUMBER(SEARCH("Razonar",$R301))),0)</f>
        <v/>
      </c>
      <c r="U301" s="39">
        <f>IFERROR(ISNUMBER(SEARCH("Razonar",$R301))/(ISNUMBER(SEARCH("Conocer",$R301))+ISNUMBER(SEARCH("Aplicar",$R301))+ISNUMBER(SEARCH("Razonar",$R301))),0)</f>
        <v/>
      </c>
      <c r="V301" s="11" t="inlineStr">
        <is>
          <t>6°</t>
        </is>
      </c>
      <c r="W301" s="11" t="inlineStr">
        <is>
          <t>Ciclo 5°–8°</t>
        </is>
      </c>
      <c r="X301" s="11">
        <f>IF(OR(IFERROR(INDEX('Datos - Catálogo TIMSS'!$I$5:$I$107,MATCH(K301,'Datos - Catálogo TIMSS'!$A$5:$A$107,0)),"No")="Sí",IFERROR(INDEX('Datos - Catálogo TIMSS'!$I$5:$I$107,MATCH(L301,'Datos - Catálogo TIMSS'!$A$5:$A$107,0)),"No")="Sí"),1,0)</f>
        <v/>
      </c>
      <c r="Y301" s="11">
        <f>IF(IFERROR(INDEX('Datos - Catálogo TIMSS'!$J$5:$J$107,MATCH(K301,'Datos - Catálogo TIMSS'!$A$5:$A$107,0)),"No")="Sí",1,0)</f>
        <v/>
      </c>
      <c r="Z301" s="11">
        <f>IF(IFERROR(INDEX('Datos - Catálogo TIMSS'!$J$5:$J$107,MATCH(L301,'Datos - Catálogo TIMSS'!$A$5:$A$107,0)),"No")="Sí",1,0)</f>
        <v/>
      </c>
      <c r="AA301" s="11" t="inlineStr">
        <is>
          <t>T8-F4.1</t>
        </is>
      </c>
      <c r="AB301" s="11" t="inlineStr"/>
      <c r="AC301" s="11">
        <f>IF(AA301="FUERA","Fuera del marco",IF(AA301="N/A","Sin marco",IFERROR(INDEX('Datos - TIMSS 2023'!$C$5:$C$105,MATCH(AA301,'Datos - TIMSS 2023'!$A$5:$A$105,0)),"Pendiente de clasificar")))</f>
        <v/>
      </c>
      <c r="AD301" s="11" t="inlineStr">
        <is>
          <t>2. Construir y evaluar diseños para la indagación científica e interpretar datos y evidencia de forma crítica</t>
        </is>
      </c>
      <c r="AE301" s="11">
        <f>IF(AD301="","",IF(LEFT(AD301,1)="1","C1",IF(LEFT(AD301,1)="2","C2",IF(LEFT(AD301,1)="3","C3",""))))</f>
        <v/>
      </c>
      <c r="AF301" s="11" t="inlineStr">
        <is>
          <t>E1</t>
        </is>
      </c>
      <c r="AG301" s="11" t="inlineStr">
        <is>
          <t>D1</t>
        </is>
      </c>
      <c r="AH301" s="11" t="inlineStr">
        <is>
          <t>E2</t>
        </is>
      </c>
      <c r="AI301" s="11" t="inlineStr">
        <is>
          <t>D4</t>
        </is>
      </c>
      <c r="AJ301" s="11" t="inlineStr">
        <is>
          <t>E1</t>
        </is>
      </c>
      <c r="AK301" s="11" t="n"/>
      <c r="AL301" s="11" t="n"/>
      <c r="AM301" s="11" t="n"/>
      <c r="AN301" s="11" t="n"/>
      <c r="AO301" s="11" t="n"/>
      <c r="AP301" s="11" t="n"/>
      <c r="AQ301" s="11" t="n"/>
      <c r="AR301" s="11" t="n"/>
      <c r="AS301" s="11" t="n"/>
      <c r="AT301" s="11" t="n"/>
      <c r="AU301" s="11" t="n"/>
      <c r="AV301" s="11" t="n"/>
      <c r="AW301" s="11">
        <f>AF301&amp;"; "&amp;AG301&amp;"; "&amp;AH301&amp;"; "&amp;AI301&amp;"; "&amp;AJ301</f>
        <v/>
      </c>
    </row>
    <row r="302">
      <c r="A302" s="11" t="inlineStr">
        <is>
          <t>T0936-G06-CIE</t>
        </is>
      </c>
      <c r="B302" s="11" t="n">
        <v>6</v>
      </c>
      <c r="C302" s="11" t="inlineStr">
        <is>
          <t>Ciencias</t>
        </is>
      </c>
      <c r="D302" s="11" t="inlineStr">
        <is>
          <t>Matriz_Ciencias_6to_Grado_U1_U6.xlsx</t>
        </is>
      </c>
      <c r="E302" s="11" t="inlineStr">
        <is>
          <t>Unidad 3 - Electricidad y magne</t>
        </is>
      </c>
      <c r="F302" s="11" t="n">
        <v>5</v>
      </c>
      <c r="G302" s="11" t="inlineStr">
        <is>
          <t>3. Electricidad y magnetismo.</t>
        </is>
      </c>
      <c r="H302" s="11" t="inlineStr">
        <is>
          <t>Circuitos.</t>
        </is>
      </c>
      <c r="I302" s="38" t="inlineStr">
        <is>
          <t>3.3. Representación de circuitos eléctricos en serie y en paralelo.</t>
        </is>
      </c>
      <c r="J302" s="11" t="inlineStr">
        <is>
          <t>T8_27</t>
        </is>
      </c>
      <c r="K302" s="11" t="inlineStr">
        <is>
          <t>T8_27-P4.1</t>
        </is>
      </c>
      <c r="L302" s="11" t="inlineStr"/>
      <c r="M302" s="11">
        <f>IF(K302="FUERA","Fuera del marco",IF(K302="N/A","Sin marco",IFERROR(INDEX('Datos - Catálogo TIMSS'!$C$5:$C$107,MATCH(K302,'Datos - Catálogo TIMSS'!$A$5:$A$107,0)),"Pendiente de clasificar")))</f>
        <v/>
      </c>
      <c r="N302" s="11">
        <f>IF(K302="FUERA","Fuera del marco",IF(K302="N/A","Sin marco",IFERROR(INDEX('Datos - Catálogo TIMSS'!$F$5:$F$107,MATCH(K302,'Datos - Catálogo TIMSS'!$A$5:$A$107,0)),"Pendiente de clasificar")))</f>
        <v/>
      </c>
      <c r="O302" s="11">
        <f>IF(L302="","",IFERROR(INDEX('Datos - Catálogo TIMSS'!$C$5:$C$107,MATCH(L302,'Datos - Catálogo TIMSS'!$A$5:$A$107,0)),"?"))</f>
        <v/>
      </c>
      <c r="P302" s="11" t="inlineStr">
        <is>
          <t>alta</t>
        </is>
      </c>
      <c r="Q302" s="38" t="inlineStr">
        <is>
          <t>Diagramas de circuitos en serie y en paralelo.</t>
        </is>
      </c>
      <c r="R302" s="38" t="inlineStr">
        <is>
          <t>Aplicar: representar con diagramas</t>
        </is>
      </c>
      <c r="S302" s="39">
        <f>IFERROR(ISNUMBER(SEARCH("Conocer",$R302))/(ISNUMBER(SEARCH("Conocer",$R302))+ISNUMBER(SEARCH("Aplicar",$R302))+ISNUMBER(SEARCH("Razonar",$R302))),0)</f>
        <v/>
      </c>
      <c r="T302" s="39">
        <f>IFERROR(ISNUMBER(SEARCH("Aplicar",$R302))/(ISNUMBER(SEARCH("Conocer",$R302))+ISNUMBER(SEARCH("Aplicar",$R302))+ISNUMBER(SEARCH("Razonar",$R302))),0)</f>
        <v/>
      </c>
      <c r="U302" s="39">
        <f>IFERROR(ISNUMBER(SEARCH("Razonar",$R302))/(ISNUMBER(SEARCH("Conocer",$R302))+ISNUMBER(SEARCH("Aplicar",$R302))+ISNUMBER(SEARCH("Razonar",$R302))),0)</f>
        <v/>
      </c>
      <c r="V302" s="11" t="inlineStr">
        <is>
          <t>6°</t>
        </is>
      </c>
      <c r="W302" s="11" t="inlineStr">
        <is>
          <t>Ciclo 5°–8°</t>
        </is>
      </c>
      <c r="X302" s="11">
        <f>IF(OR(IFERROR(INDEX('Datos - Catálogo TIMSS'!$I$5:$I$107,MATCH(K302,'Datos - Catálogo TIMSS'!$A$5:$A$107,0)),"No")="Sí",IFERROR(INDEX('Datos - Catálogo TIMSS'!$I$5:$I$107,MATCH(L302,'Datos - Catálogo TIMSS'!$A$5:$A$107,0)),"No")="Sí"),1,0)</f>
        <v/>
      </c>
      <c r="Y302" s="11">
        <f>IF(IFERROR(INDEX('Datos - Catálogo TIMSS'!$J$5:$J$107,MATCH(K302,'Datos - Catálogo TIMSS'!$A$5:$A$107,0)),"No")="Sí",1,0)</f>
        <v/>
      </c>
      <c r="Z302" s="11">
        <f>IF(IFERROR(INDEX('Datos - Catálogo TIMSS'!$J$5:$J$107,MATCH(L302,'Datos - Catálogo TIMSS'!$A$5:$A$107,0)),"No")="Sí",1,0)</f>
        <v/>
      </c>
      <c r="AA302" s="11" t="inlineStr">
        <is>
          <t>T8-F4.1</t>
        </is>
      </c>
      <c r="AB302" s="11" t="inlineStr"/>
      <c r="AC302" s="11">
        <f>IF(AA302="FUERA","Fuera del marco",IF(AA302="N/A","Sin marco",IFERROR(INDEX('Datos - TIMSS 2023'!$C$5:$C$105,MATCH(AA302,'Datos - TIMSS 2023'!$A$5:$A$105,0)),"Pendiente de clasificar")))</f>
        <v/>
      </c>
      <c r="AD302" s="11" t="inlineStr">
        <is>
          <t>1. Explicar fenómenos científicamente</t>
        </is>
      </c>
      <c r="AE302" s="11">
        <f>IF(AD302="","",IF(LEFT(AD302,1)="1","C1",IF(LEFT(AD302,1)="2","C2",IF(LEFT(AD302,1)="3","C3",""))))</f>
        <v/>
      </c>
      <c r="AF302" s="11" t="inlineStr">
        <is>
          <t>E1</t>
        </is>
      </c>
      <c r="AG302" s="11" t="inlineStr">
        <is>
          <t>D1</t>
        </is>
      </c>
      <c r="AH302" s="11" t="inlineStr">
        <is>
          <t>E2</t>
        </is>
      </c>
      <c r="AI302" s="11" t="inlineStr">
        <is>
          <t>D4</t>
        </is>
      </c>
      <c r="AJ302" s="11" t="inlineStr">
        <is>
          <t>E3</t>
        </is>
      </c>
      <c r="AK302" s="11" t="n"/>
      <c r="AL302" s="11" t="n"/>
      <c r="AM302" s="11" t="n"/>
      <c r="AN302" s="11" t="n"/>
      <c r="AO302" s="11" t="n"/>
      <c r="AP302" s="11" t="n"/>
      <c r="AQ302" s="11" t="n"/>
      <c r="AR302" s="11" t="n"/>
      <c r="AS302" s="11" t="n"/>
      <c r="AT302" s="11" t="n"/>
      <c r="AU302" s="11" t="n"/>
      <c r="AV302" s="11" t="n"/>
      <c r="AW302" s="11">
        <f>AF302&amp;"; "&amp;AG302&amp;"; "&amp;AH302&amp;"; "&amp;AI302&amp;"; "&amp;AJ302</f>
        <v/>
      </c>
    </row>
    <row r="303">
      <c r="A303" s="11" t="inlineStr">
        <is>
          <t>T0937-G06-CIE</t>
        </is>
      </c>
      <c r="B303" s="11" t="n">
        <v>6</v>
      </c>
      <c r="C303" s="11" t="inlineStr">
        <is>
          <t>Ciencias</t>
        </is>
      </c>
      <c r="D303" s="11" t="inlineStr">
        <is>
          <t>Matriz_Ciencias_6to_Grado_U1_U6.xlsx</t>
        </is>
      </c>
      <c r="E303" s="11" t="inlineStr">
        <is>
          <t>Unidad 3 - Electricidad y magne</t>
        </is>
      </c>
      <c r="F303" s="11" t="n">
        <v>6</v>
      </c>
      <c r="G303" s="11" t="inlineStr">
        <is>
          <t>3. Electricidad y magnetismo.</t>
        </is>
      </c>
      <c r="H303" s="11" t="inlineStr">
        <is>
          <t>Circuitos.</t>
        </is>
      </c>
      <c r="I303" s="38" t="inlineStr">
        <is>
          <t>3.4. Construcción de un circuito en serie.</t>
        </is>
      </c>
      <c r="J303" s="11" t="inlineStr">
        <is>
          <t>T8_27</t>
        </is>
      </c>
      <c r="K303" s="11" t="inlineStr">
        <is>
          <t>T8_27-P4.1</t>
        </is>
      </c>
      <c r="L303" s="11" t="inlineStr"/>
      <c r="M303" s="11">
        <f>IF(K303="FUERA","Fuera del marco",IF(K303="N/A","Sin marco",IFERROR(INDEX('Datos - Catálogo TIMSS'!$C$5:$C$107,MATCH(K303,'Datos - Catálogo TIMSS'!$A$5:$A$107,0)),"Pendiente de clasificar")))</f>
        <v/>
      </c>
      <c r="N303" s="11">
        <f>IF(K303="FUERA","Fuera del marco",IF(K303="N/A","Sin marco",IFERROR(INDEX('Datos - Catálogo TIMSS'!$F$5:$F$107,MATCH(K303,'Datos - Catálogo TIMSS'!$A$5:$A$107,0)),"Pendiente de clasificar")))</f>
        <v/>
      </c>
      <c r="O303" s="11">
        <f>IF(L303="","",IFERROR(INDEX('Datos - Catálogo TIMSS'!$C$5:$C$107,MATCH(L303,'Datos - Catálogo TIMSS'!$A$5:$A$107,0)),"?"))</f>
        <v/>
      </c>
      <c r="P303" s="11" t="inlineStr">
        <is>
          <t>alta</t>
        </is>
      </c>
      <c r="Q303" s="38" t="inlineStr">
        <is>
          <t>Construcción de circuito en serie completo.</t>
        </is>
      </c>
      <c r="R303" s="38" t="inlineStr">
        <is>
          <t>Aplicar: construir y medir</t>
        </is>
      </c>
      <c r="S303" s="39">
        <f>IFERROR(ISNUMBER(SEARCH("Conocer",$R303))/(ISNUMBER(SEARCH("Conocer",$R303))+ISNUMBER(SEARCH("Aplicar",$R303))+ISNUMBER(SEARCH("Razonar",$R303))),0)</f>
        <v/>
      </c>
      <c r="T303" s="39">
        <f>IFERROR(ISNUMBER(SEARCH("Aplicar",$R303))/(ISNUMBER(SEARCH("Conocer",$R303))+ISNUMBER(SEARCH("Aplicar",$R303))+ISNUMBER(SEARCH("Razonar",$R303))),0)</f>
        <v/>
      </c>
      <c r="U303" s="39">
        <f>IFERROR(ISNUMBER(SEARCH("Razonar",$R303))/(ISNUMBER(SEARCH("Conocer",$R303))+ISNUMBER(SEARCH("Aplicar",$R303))+ISNUMBER(SEARCH("Razonar",$R303))),0)</f>
        <v/>
      </c>
      <c r="V303" s="11" t="inlineStr">
        <is>
          <t>6°</t>
        </is>
      </c>
      <c r="W303" s="11" t="inlineStr">
        <is>
          <t>Ciclo 5°–8°</t>
        </is>
      </c>
      <c r="X303" s="11">
        <f>IF(OR(IFERROR(INDEX('Datos - Catálogo TIMSS'!$I$5:$I$107,MATCH(K303,'Datos - Catálogo TIMSS'!$A$5:$A$107,0)),"No")="Sí",IFERROR(INDEX('Datos - Catálogo TIMSS'!$I$5:$I$107,MATCH(L303,'Datos - Catálogo TIMSS'!$A$5:$A$107,0)),"No")="Sí"),1,0)</f>
        <v/>
      </c>
      <c r="Y303" s="11">
        <f>IF(IFERROR(INDEX('Datos - Catálogo TIMSS'!$J$5:$J$107,MATCH(K303,'Datos - Catálogo TIMSS'!$A$5:$A$107,0)),"No")="Sí",1,0)</f>
        <v/>
      </c>
      <c r="Z303" s="11">
        <f>IF(IFERROR(INDEX('Datos - Catálogo TIMSS'!$J$5:$J$107,MATCH(L303,'Datos - Catálogo TIMSS'!$A$5:$A$107,0)),"No")="Sí",1,0)</f>
        <v/>
      </c>
      <c r="AA303" s="11" t="inlineStr">
        <is>
          <t>T8-F4.1</t>
        </is>
      </c>
      <c r="AB303" s="11" t="inlineStr"/>
      <c r="AC303" s="11">
        <f>IF(AA303="FUERA","Fuera del marco",IF(AA303="N/A","Sin marco",IFERROR(INDEX('Datos - TIMSS 2023'!$C$5:$C$105,MATCH(AA303,'Datos - TIMSS 2023'!$A$5:$A$105,0)),"Pendiente de clasificar")))</f>
        <v/>
      </c>
      <c r="AD303" s="11" t="inlineStr">
        <is>
          <t>2. Construir y evaluar diseños para la indagación científica e interpretar datos y evidencia de forma crítica</t>
        </is>
      </c>
      <c r="AE303" s="11">
        <f>IF(AD303="","",IF(LEFT(AD303,1)="1","C1",IF(LEFT(AD303,1)="2","C2",IF(LEFT(AD303,1)="3","C3",""))))</f>
        <v/>
      </c>
      <c r="AF303" s="11" t="inlineStr">
        <is>
          <t>E1</t>
        </is>
      </c>
      <c r="AG303" s="11" t="inlineStr">
        <is>
          <t>E3</t>
        </is>
      </c>
      <c r="AH303" s="11" t="inlineStr">
        <is>
          <t>E4</t>
        </is>
      </c>
      <c r="AI303" s="11" t="inlineStr">
        <is>
          <t>D4</t>
        </is>
      </c>
      <c r="AJ303" s="11" t="inlineStr">
        <is>
          <t>E3</t>
        </is>
      </c>
      <c r="AK303" s="11" t="n"/>
      <c r="AL303" s="11" t="n"/>
      <c r="AM303" s="11" t="n"/>
      <c r="AN303" s="11" t="n"/>
      <c r="AO303" s="11" t="n"/>
      <c r="AP303" s="11" t="n"/>
      <c r="AQ303" s="11" t="n"/>
      <c r="AR303" s="11" t="n"/>
      <c r="AS303" s="11" t="n"/>
      <c r="AT303" s="11" t="n"/>
      <c r="AU303" s="11" t="n"/>
      <c r="AV303" s="11" t="n"/>
      <c r="AW303" s="11">
        <f>AF303&amp;"; "&amp;AG303&amp;"; "&amp;AH303&amp;"; "&amp;AI303&amp;"; "&amp;AJ303</f>
        <v/>
      </c>
    </row>
    <row r="304">
      <c r="A304" s="11" t="inlineStr">
        <is>
          <t>T0938-G06-CIE</t>
        </is>
      </c>
      <c r="B304" s="11" t="n">
        <v>6</v>
      </c>
      <c r="C304" s="11" t="inlineStr">
        <is>
          <t>Ciencias</t>
        </is>
      </c>
      <c r="D304" s="11" t="inlineStr">
        <is>
          <t>Matriz_Ciencias_6to_Grado_U1_U6.xlsx</t>
        </is>
      </c>
      <c r="E304" s="11" t="inlineStr">
        <is>
          <t>Unidad 3 - Electricidad y magne</t>
        </is>
      </c>
      <c r="F304" s="11" t="n">
        <v>7</v>
      </c>
      <c r="G304" s="11" t="inlineStr">
        <is>
          <t>3. Electricidad y magnetismo.</t>
        </is>
      </c>
      <c r="H304" s="11" t="inlineStr">
        <is>
          <t>Circuitos.</t>
        </is>
      </c>
      <c r="I304" s="38" t="inlineStr">
        <is>
          <t>3.5. Cálculo de la resistencia equivalente y continuidad de la corriente eléctrica en un circuito en serie.</t>
        </is>
      </c>
      <c r="J304" s="11" t="inlineStr">
        <is>
          <t>T8_27</t>
        </is>
      </c>
      <c r="K304" s="11" t="inlineStr">
        <is>
          <t>T8_27-P4.1</t>
        </is>
      </c>
      <c r="L304" s="11" t="inlineStr"/>
      <c r="M304" s="11">
        <f>IF(K304="FUERA","Fuera del marco",IF(K304="N/A","Sin marco",IFERROR(INDEX('Datos - Catálogo TIMSS'!$C$5:$C$107,MATCH(K304,'Datos - Catálogo TIMSS'!$A$5:$A$107,0)),"Pendiente de clasificar")))</f>
        <v/>
      </c>
      <c r="N304" s="11">
        <f>IF(K304="FUERA","Fuera del marco",IF(K304="N/A","Sin marco",IFERROR(INDEX('Datos - Catálogo TIMSS'!$F$5:$F$107,MATCH(K304,'Datos - Catálogo TIMSS'!$A$5:$A$107,0)),"Pendiente de clasificar")))</f>
        <v/>
      </c>
      <c r="O304" s="11">
        <f>IF(L304="","",IFERROR(INDEX('Datos - Catálogo TIMSS'!$C$5:$C$107,MATCH(L304,'Datos - Catálogo TIMSS'!$A$5:$A$107,0)),"?"))</f>
        <v/>
      </c>
      <c r="P304" s="11" t="inlineStr">
        <is>
          <t>media</t>
        </is>
      </c>
      <c r="Q304" s="38" t="inlineStr">
        <is>
          <t>Cálculo en circuito en serie; nivel mayor que TIMSS.</t>
        </is>
      </c>
      <c r="R304" s="38" t="inlineStr">
        <is>
          <t>Aplicar: calcular. Razonar: comparar</t>
        </is>
      </c>
      <c r="S304" s="39">
        <f>IFERROR(ISNUMBER(SEARCH("Conocer",$R304))/(ISNUMBER(SEARCH("Conocer",$R304))+ISNUMBER(SEARCH("Aplicar",$R304))+ISNUMBER(SEARCH("Razonar",$R304))),0)</f>
        <v/>
      </c>
      <c r="T304" s="39">
        <f>IFERROR(ISNUMBER(SEARCH("Aplicar",$R304))/(ISNUMBER(SEARCH("Conocer",$R304))+ISNUMBER(SEARCH("Aplicar",$R304))+ISNUMBER(SEARCH("Razonar",$R304))),0)</f>
        <v/>
      </c>
      <c r="U304" s="39">
        <f>IFERROR(ISNUMBER(SEARCH("Razonar",$R304))/(ISNUMBER(SEARCH("Conocer",$R304))+ISNUMBER(SEARCH("Aplicar",$R304))+ISNUMBER(SEARCH("Razonar",$R304))),0)</f>
        <v/>
      </c>
      <c r="V304" s="11" t="inlineStr">
        <is>
          <t>6°</t>
        </is>
      </c>
      <c r="W304" s="11" t="inlineStr">
        <is>
          <t>Ciclo 5°–8°</t>
        </is>
      </c>
      <c r="X304" s="11">
        <f>IF(OR(IFERROR(INDEX('Datos - Catálogo TIMSS'!$I$5:$I$107,MATCH(K304,'Datos - Catálogo TIMSS'!$A$5:$A$107,0)),"No")="Sí",IFERROR(INDEX('Datos - Catálogo TIMSS'!$I$5:$I$107,MATCH(L304,'Datos - Catálogo TIMSS'!$A$5:$A$107,0)),"No")="Sí"),1,0)</f>
        <v/>
      </c>
      <c r="Y304" s="11">
        <f>IF(IFERROR(INDEX('Datos - Catálogo TIMSS'!$J$5:$J$107,MATCH(K304,'Datos - Catálogo TIMSS'!$A$5:$A$107,0)),"No")="Sí",1,0)</f>
        <v/>
      </c>
      <c r="Z304" s="11">
        <f>IF(IFERROR(INDEX('Datos - Catálogo TIMSS'!$J$5:$J$107,MATCH(L304,'Datos - Catálogo TIMSS'!$A$5:$A$107,0)),"No")="Sí",1,0)</f>
        <v/>
      </c>
      <c r="AA304" s="11" t="inlineStr">
        <is>
          <t>T8-F4.1</t>
        </is>
      </c>
      <c r="AB304" s="11" t="inlineStr"/>
      <c r="AC304" s="11">
        <f>IF(AA304="FUERA","Fuera del marco",IF(AA304="N/A","Sin marco",IFERROR(INDEX('Datos - TIMSS 2023'!$C$5:$C$105,MATCH(AA304,'Datos - TIMSS 2023'!$A$5:$A$105,0)),"Pendiente de clasificar")))</f>
        <v/>
      </c>
      <c r="AD304" s="11" t="inlineStr">
        <is>
          <t>2. Construir y evaluar diseños para la indagación científica e interpretar datos y evidencia de forma crítica</t>
        </is>
      </c>
      <c r="AE304" s="11">
        <f>IF(AD304="","",IF(LEFT(AD304,1)="1","C1",IF(LEFT(AD304,1)="2","C2",IF(LEFT(AD304,1)="3","C3",""))))</f>
        <v/>
      </c>
      <c r="AF304" s="11" t="inlineStr">
        <is>
          <t>E1</t>
        </is>
      </c>
      <c r="AG304" s="11" t="inlineStr">
        <is>
          <t>D1</t>
        </is>
      </c>
      <c r="AH304" s="11" t="inlineStr">
        <is>
          <t>E1</t>
        </is>
      </c>
      <c r="AI304" s="11" t="inlineStr">
        <is>
          <t>D4</t>
        </is>
      </c>
      <c r="AJ304" s="11" t="inlineStr">
        <is>
          <t>E3</t>
        </is>
      </c>
      <c r="AK304" s="11" t="n"/>
      <c r="AL304" s="11" t="n"/>
      <c r="AM304" s="11" t="n"/>
      <c r="AN304" s="11" t="n"/>
      <c r="AO304" s="11" t="n"/>
      <c r="AP304" s="11" t="n"/>
      <c r="AQ304" s="11" t="n"/>
      <c r="AR304" s="11" t="n"/>
      <c r="AS304" s="11" t="n"/>
      <c r="AT304" s="11" t="n"/>
      <c r="AU304" s="11" t="n"/>
      <c r="AV304" s="11" t="n"/>
      <c r="AW304" s="11">
        <f>AF304&amp;"; "&amp;AG304&amp;"; "&amp;AH304&amp;"; "&amp;AI304&amp;"; "&amp;AJ304</f>
        <v/>
      </c>
    </row>
    <row r="305">
      <c r="A305" s="11" t="inlineStr">
        <is>
          <t>T0939-G06-CIE</t>
        </is>
      </c>
      <c r="B305" s="11" t="n">
        <v>6</v>
      </c>
      <c r="C305" s="11" t="inlineStr">
        <is>
          <t>Ciencias</t>
        </is>
      </c>
      <c r="D305" s="11" t="inlineStr">
        <is>
          <t>Matriz_Ciencias_6to_Grado_U1_U6.xlsx</t>
        </is>
      </c>
      <c r="E305" s="11" t="inlineStr">
        <is>
          <t>Unidad 3 - Electricidad y magne</t>
        </is>
      </c>
      <c r="F305" s="11" t="n">
        <v>8</v>
      </c>
      <c r="G305" s="11" t="inlineStr">
        <is>
          <t>3. Electricidad y magnetismo.</t>
        </is>
      </c>
      <c r="H305" s="11" t="inlineStr">
        <is>
          <t>Circuitos.</t>
        </is>
      </c>
      <c r="I305" s="38" t="inlineStr">
        <is>
          <t>3.6. Construcción de un circuito en paralelo.</t>
        </is>
      </c>
      <c r="J305" s="11" t="inlineStr">
        <is>
          <t>T8_27</t>
        </is>
      </c>
      <c r="K305" s="11" t="inlineStr">
        <is>
          <t>T8_27-P4.1</t>
        </is>
      </c>
      <c r="L305" s="11" t="inlineStr"/>
      <c r="M305" s="11">
        <f>IF(K305="FUERA","Fuera del marco",IF(K305="N/A","Sin marco",IFERROR(INDEX('Datos - Catálogo TIMSS'!$C$5:$C$107,MATCH(K305,'Datos - Catálogo TIMSS'!$A$5:$A$107,0)),"Pendiente de clasificar")))</f>
        <v/>
      </c>
      <c r="N305" s="11">
        <f>IF(K305="FUERA","Fuera del marco",IF(K305="N/A","Sin marco",IFERROR(INDEX('Datos - Catálogo TIMSS'!$F$5:$F$107,MATCH(K305,'Datos - Catálogo TIMSS'!$A$5:$A$107,0)),"Pendiente de clasificar")))</f>
        <v/>
      </c>
      <c r="O305" s="11">
        <f>IF(L305="","",IFERROR(INDEX('Datos - Catálogo TIMSS'!$C$5:$C$107,MATCH(L305,'Datos - Catálogo TIMSS'!$A$5:$A$107,0)),"?"))</f>
        <v/>
      </c>
      <c r="P305" s="11" t="inlineStr">
        <is>
          <t>alta</t>
        </is>
      </c>
      <c r="Q305" s="38" t="inlineStr">
        <is>
          <t>Construcción de circuito en paralelo.</t>
        </is>
      </c>
      <c r="R305" s="38" t="inlineStr">
        <is>
          <t>Aplicar: construir</t>
        </is>
      </c>
      <c r="S305" s="39">
        <f>IFERROR(ISNUMBER(SEARCH("Conocer",$R305))/(ISNUMBER(SEARCH("Conocer",$R305))+ISNUMBER(SEARCH("Aplicar",$R305))+ISNUMBER(SEARCH("Razonar",$R305))),0)</f>
        <v/>
      </c>
      <c r="T305" s="39">
        <f>IFERROR(ISNUMBER(SEARCH("Aplicar",$R305))/(ISNUMBER(SEARCH("Conocer",$R305))+ISNUMBER(SEARCH("Aplicar",$R305))+ISNUMBER(SEARCH("Razonar",$R305))),0)</f>
        <v/>
      </c>
      <c r="U305" s="39">
        <f>IFERROR(ISNUMBER(SEARCH("Razonar",$R305))/(ISNUMBER(SEARCH("Conocer",$R305))+ISNUMBER(SEARCH("Aplicar",$R305))+ISNUMBER(SEARCH("Razonar",$R305))),0)</f>
        <v/>
      </c>
      <c r="V305" s="11" t="inlineStr">
        <is>
          <t>6°</t>
        </is>
      </c>
      <c r="W305" s="11" t="inlineStr">
        <is>
          <t>Ciclo 5°–8°</t>
        </is>
      </c>
      <c r="X305" s="11">
        <f>IF(OR(IFERROR(INDEX('Datos - Catálogo TIMSS'!$I$5:$I$107,MATCH(K305,'Datos - Catálogo TIMSS'!$A$5:$A$107,0)),"No")="Sí",IFERROR(INDEX('Datos - Catálogo TIMSS'!$I$5:$I$107,MATCH(L305,'Datos - Catálogo TIMSS'!$A$5:$A$107,0)),"No")="Sí"),1,0)</f>
        <v/>
      </c>
      <c r="Y305" s="11">
        <f>IF(IFERROR(INDEX('Datos - Catálogo TIMSS'!$J$5:$J$107,MATCH(K305,'Datos - Catálogo TIMSS'!$A$5:$A$107,0)),"No")="Sí",1,0)</f>
        <v/>
      </c>
      <c r="Z305" s="11">
        <f>IF(IFERROR(INDEX('Datos - Catálogo TIMSS'!$J$5:$J$107,MATCH(L305,'Datos - Catálogo TIMSS'!$A$5:$A$107,0)),"No")="Sí",1,0)</f>
        <v/>
      </c>
      <c r="AA305" s="11" t="inlineStr">
        <is>
          <t>T8-F4.1</t>
        </is>
      </c>
      <c r="AB305" s="11" t="inlineStr"/>
      <c r="AC305" s="11">
        <f>IF(AA305="FUERA","Fuera del marco",IF(AA305="N/A","Sin marco",IFERROR(INDEX('Datos - TIMSS 2023'!$C$5:$C$105,MATCH(AA305,'Datos - TIMSS 2023'!$A$5:$A$105,0)),"Pendiente de clasificar")))</f>
        <v/>
      </c>
      <c r="AD305" s="11" t="inlineStr">
        <is>
          <t>2. Construir y evaluar diseños para la indagación científica e interpretar datos y evidencia de forma crítica</t>
        </is>
      </c>
      <c r="AE305" s="11">
        <f>IF(AD305="","",IF(LEFT(AD305,1)="1","C1",IF(LEFT(AD305,1)="2","C2",IF(LEFT(AD305,1)="3","C3",""))))</f>
        <v/>
      </c>
      <c r="AF305" s="11" t="inlineStr">
        <is>
          <t>E1</t>
        </is>
      </c>
      <c r="AG305" s="11" t="inlineStr">
        <is>
          <t>E3</t>
        </is>
      </c>
      <c r="AH305" s="11" t="inlineStr">
        <is>
          <t>E4</t>
        </is>
      </c>
      <c r="AI305" s="11" t="inlineStr">
        <is>
          <t>D4</t>
        </is>
      </c>
      <c r="AJ305" s="11" t="inlineStr">
        <is>
          <t>E6</t>
        </is>
      </c>
      <c r="AK305" s="11" t="n"/>
      <c r="AL305" s="11" t="n"/>
      <c r="AM305" s="11" t="n"/>
      <c r="AN305" s="11" t="n"/>
      <c r="AO305" s="11" t="n"/>
      <c r="AP305" s="11" t="n"/>
      <c r="AQ305" s="11" t="n"/>
      <c r="AR305" s="11" t="n"/>
      <c r="AS305" s="11" t="n"/>
      <c r="AT305" s="11" t="n"/>
      <c r="AU305" s="11" t="n"/>
      <c r="AV305" s="11" t="n"/>
      <c r="AW305" s="11">
        <f>AF305&amp;"; "&amp;AG305&amp;"; "&amp;AH305&amp;"; "&amp;AI305&amp;"; "&amp;AJ305</f>
        <v/>
      </c>
    </row>
    <row r="306">
      <c r="A306" s="11" t="inlineStr">
        <is>
          <t>T0940-G06-CIE</t>
        </is>
      </c>
      <c r="B306" s="11" t="n">
        <v>6</v>
      </c>
      <c r="C306" s="11" t="inlineStr">
        <is>
          <t>Ciencias</t>
        </is>
      </c>
      <c r="D306" s="11" t="inlineStr">
        <is>
          <t>Matriz_Ciencias_6to_Grado_U1_U6.xlsx</t>
        </is>
      </c>
      <c r="E306" s="11" t="inlineStr">
        <is>
          <t>Unidad 3 - Electricidad y magne</t>
        </is>
      </c>
      <c r="F306" s="11" t="n">
        <v>9</v>
      </c>
      <c r="G306" s="11" t="inlineStr">
        <is>
          <t>3. Electricidad y magnetismo.</t>
        </is>
      </c>
      <c r="H306" s="11" t="inlineStr">
        <is>
          <t>Circuitos.</t>
        </is>
      </c>
      <c r="I306" s="38" t="inlineStr">
        <is>
          <t>3.7. Cálculo de la resistencia equivalente y voltaje en un circuito en paralelo.</t>
        </is>
      </c>
      <c r="J306" s="11" t="inlineStr">
        <is>
          <t>T8_27</t>
        </is>
      </c>
      <c r="K306" s="11" t="inlineStr">
        <is>
          <t>T8_27-P4.1</t>
        </is>
      </c>
      <c r="L306" s="11" t="inlineStr"/>
      <c r="M306" s="11">
        <f>IF(K306="FUERA","Fuera del marco",IF(K306="N/A","Sin marco",IFERROR(INDEX('Datos - Catálogo TIMSS'!$C$5:$C$107,MATCH(K306,'Datos - Catálogo TIMSS'!$A$5:$A$107,0)),"Pendiente de clasificar")))</f>
        <v/>
      </c>
      <c r="N306" s="11">
        <f>IF(K306="FUERA","Fuera del marco",IF(K306="N/A","Sin marco",IFERROR(INDEX('Datos - Catálogo TIMSS'!$F$5:$F$107,MATCH(K306,'Datos - Catálogo TIMSS'!$A$5:$A$107,0)),"Pendiente de clasificar")))</f>
        <v/>
      </c>
      <c r="O306" s="11">
        <f>IF(L306="","",IFERROR(INDEX('Datos - Catálogo TIMSS'!$C$5:$C$107,MATCH(L306,'Datos - Catálogo TIMSS'!$A$5:$A$107,0)),"?"))</f>
        <v/>
      </c>
      <c r="P306" s="11" t="inlineStr">
        <is>
          <t>media</t>
        </is>
      </c>
      <c r="Q306" s="38" t="inlineStr">
        <is>
          <t>Cálculo en circuito en paralelo; nivel mayor que TIMSS.</t>
        </is>
      </c>
      <c r="R306" s="38" t="inlineStr">
        <is>
          <t>Aplicar: calcular</t>
        </is>
      </c>
      <c r="S306" s="39">
        <f>IFERROR(ISNUMBER(SEARCH("Conocer",$R306))/(ISNUMBER(SEARCH("Conocer",$R306))+ISNUMBER(SEARCH("Aplicar",$R306))+ISNUMBER(SEARCH("Razonar",$R306))),0)</f>
        <v/>
      </c>
      <c r="T306" s="39">
        <f>IFERROR(ISNUMBER(SEARCH("Aplicar",$R306))/(ISNUMBER(SEARCH("Conocer",$R306))+ISNUMBER(SEARCH("Aplicar",$R306))+ISNUMBER(SEARCH("Razonar",$R306))),0)</f>
        <v/>
      </c>
      <c r="U306" s="39">
        <f>IFERROR(ISNUMBER(SEARCH("Razonar",$R306))/(ISNUMBER(SEARCH("Conocer",$R306))+ISNUMBER(SEARCH("Aplicar",$R306))+ISNUMBER(SEARCH("Razonar",$R306))),0)</f>
        <v/>
      </c>
      <c r="V306" s="11" t="inlineStr">
        <is>
          <t>6°</t>
        </is>
      </c>
      <c r="W306" s="11" t="inlineStr">
        <is>
          <t>Ciclo 5°–8°</t>
        </is>
      </c>
      <c r="X306" s="11">
        <f>IF(OR(IFERROR(INDEX('Datos - Catálogo TIMSS'!$I$5:$I$107,MATCH(K306,'Datos - Catálogo TIMSS'!$A$5:$A$107,0)),"No")="Sí",IFERROR(INDEX('Datos - Catálogo TIMSS'!$I$5:$I$107,MATCH(L306,'Datos - Catálogo TIMSS'!$A$5:$A$107,0)),"No")="Sí"),1,0)</f>
        <v/>
      </c>
      <c r="Y306" s="11">
        <f>IF(IFERROR(INDEX('Datos - Catálogo TIMSS'!$J$5:$J$107,MATCH(K306,'Datos - Catálogo TIMSS'!$A$5:$A$107,0)),"No")="Sí",1,0)</f>
        <v/>
      </c>
      <c r="Z306" s="11">
        <f>IF(IFERROR(INDEX('Datos - Catálogo TIMSS'!$J$5:$J$107,MATCH(L306,'Datos - Catálogo TIMSS'!$A$5:$A$107,0)),"No")="Sí",1,0)</f>
        <v/>
      </c>
      <c r="AA306" s="11" t="inlineStr">
        <is>
          <t>T8-F4.1</t>
        </is>
      </c>
      <c r="AB306" s="11" t="inlineStr"/>
      <c r="AC306" s="11">
        <f>IF(AA306="FUERA","Fuera del marco",IF(AA306="N/A","Sin marco",IFERROR(INDEX('Datos - TIMSS 2023'!$C$5:$C$105,MATCH(AA306,'Datos - TIMSS 2023'!$A$5:$A$105,0)),"Pendiente de clasificar")))</f>
        <v/>
      </c>
      <c r="AD306" s="11" t="inlineStr">
        <is>
          <t>2. Construir y evaluar diseños para la indagación científica e interpretar datos y evidencia de forma crítica</t>
        </is>
      </c>
      <c r="AE306" s="11">
        <f>IF(AD306="","",IF(LEFT(AD306,1)="1","C1",IF(LEFT(AD306,1)="2","C2",IF(LEFT(AD306,1)="3","C3",""))))</f>
        <v/>
      </c>
      <c r="AF306" s="11" t="inlineStr">
        <is>
          <t>E1</t>
        </is>
      </c>
      <c r="AG306" s="11" t="inlineStr">
        <is>
          <t>D1</t>
        </is>
      </c>
      <c r="AH306" s="11" t="inlineStr">
        <is>
          <t>E1</t>
        </is>
      </c>
      <c r="AI306" s="11" t="inlineStr">
        <is>
          <t>D4</t>
        </is>
      </c>
      <c r="AJ306" s="11" t="inlineStr">
        <is>
          <t>E3</t>
        </is>
      </c>
      <c r="AK306" s="11" t="n"/>
      <c r="AL306" s="11" t="n"/>
      <c r="AM306" s="11" t="n"/>
      <c r="AN306" s="11" t="n"/>
      <c r="AO306" s="11" t="n"/>
      <c r="AP306" s="11" t="n"/>
      <c r="AQ306" s="11" t="n"/>
      <c r="AR306" s="11" t="n"/>
      <c r="AS306" s="11" t="n"/>
      <c r="AT306" s="11" t="n"/>
      <c r="AU306" s="11" t="n"/>
      <c r="AV306" s="11" t="n"/>
      <c r="AW306" s="11">
        <f>AF306&amp;"; "&amp;AG306&amp;"; "&amp;AH306&amp;"; "&amp;AI306&amp;"; "&amp;AJ306</f>
        <v/>
      </c>
    </row>
    <row r="307">
      <c r="A307" s="11" t="inlineStr">
        <is>
          <t>T0941-G06-CIE</t>
        </is>
      </c>
      <c r="B307" s="11" t="n">
        <v>6</v>
      </c>
      <c r="C307" s="11" t="inlineStr">
        <is>
          <t>Ciencias</t>
        </is>
      </c>
      <c r="D307" s="11" t="inlineStr">
        <is>
          <t>Matriz_Ciencias_6to_Grado_U1_U6.xlsx</t>
        </is>
      </c>
      <c r="E307" s="11" t="inlineStr">
        <is>
          <t>Unidad 3 - Electricidad y magne</t>
        </is>
      </c>
      <c r="F307" s="11" t="n">
        <v>10</v>
      </c>
      <c r="G307" s="11" t="inlineStr">
        <is>
          <t>3. Electricidad y magnetismo.</t>
        </is>
      </c>
      <c r="H307" s="11" t="inlineStr">
        <is>
          <t>Magnetismo.</t>
        </is>
      </c>
      <c r="I307" s="38" t="inlineStr">
        <is>
          <t>3.8. Comparación experimental de la alineación de dominios magnéticos en un imán y un electroimán.</t>
        </is>
      </c>
      <c r="J307" s="11" t="inlineStr">
        <is>
          <t>T8_27</t>
        </is>
      </c>
      <c r="K307" s="11" t="inlineStr">
        <is>
          <t>T8_27-P4.2</t>
        </is>
      </c>
      <c r="L307" s="11" t="inlineStr"/>
      <c r="M307" s="11">
        <f>IF(K307="FUERA","Fuera del marco",IF(K307="N/A","Sin marco",IFERROR(INDEX('Datos - Catálogo TIMSS'!$C$5:$C$107,MATCH(K307,'Datos - Catálogo TIMSS'!$A$5:$A$107,0)),"Pendiente de clasificar")))</f>
        <v/>
      </c>
      <c r="N307" s="11">
        <f>IF(K307="FUERA","Fuera del marco",IF(K307="N/A","Sin marco",IFERROR(INDEX('Datos - Catálogo TIMSS'!$F$5:$F$107,MATCH(K307,'Datos - Catálogo TIMSS'!$A$5:$A$107,0)),"Pendiente de clasificar")))</f>
        <v/>
      </c>
      <c r="O307" s="11">
        <f>IF(L307="","",IFERROR(INDEX('Datos - Catálogo TIMSS'!$C$5:$C$107,MATCH(L307,'Datos - Catálogo TIMSS'!$A$5:$A$107,0)),"?"))</f>
        <v/>
      </c>
      <c r="P307" s="11" t="inlineStr">
        <is>
          <t>alta</t>
        </is>
      </c>
      <c r="Q307" s="38" t="inlineStr">
        <is>
          <t>Compara imán permanente y electroimán según vueltas.</t>
        </is>
      </c>
      <c r="R307" s="38" t="inlineStr">
        <is>
          <t>Razonar: comparar y mejorar</t>
        </is>
      </c>
      <c r="S307" s="39">
        <f>IFERROR(ISNUMBER(SEARCH("Conocer",$R307))/(ISNUMBER(SEARCH("Conocer",$R307))+ISNUMBER(SEARCH("Aplicar",$R307))+ISNUMBER(SEARCH("Razonar",$R307))),0)</f>
        <v/>
      </c>
      <c r="T307" s="39">
        <f>IFERROR(ISNUMBER(SEARCH("Aplicar",$R307))/(ISNUMBER(SEARCH("Conocer",$R307))+ISNUMBER(SEARCH("Aplicar",$R307))+ISNUMBER(SEARCH("Razonar",$R307))),0)</f>
        <v/>
      </c>
      <c r="U307" s="39">
        <f>IFERROR(ISNUMBER(SEARCH("Razonar",$R307))/(ISNUMBER(SEARCH("Conocer",$R307))+ISNUMBER(SEARCH("Aplicar",$R307))+ISNUMBER(SEARCH("Razonar",$R307))),0)</f>
        <v/>
      </c>
      <c r="V307" s="11" t="inlineStr">
        <is>
          <t>6°</t>
        </is>
      </c>
      <c r="W307" s="11" t="inlineStr">
        <is>
          <t>Ciclo 5°–8°</t>
        </is>
      </c>
      <c r="X307" s="11">
        <f>IF(OR(IFERROR(INDEX('Datos - Catálogo TIMSS'!$I$5:$I$107,MATCH(K307,'Datos - Catálogo TIMSS'!$A$5:$A$107,0)),"No")="Sí",IFERROR(INDEX('Datos - Catálogo TIMSS'!$I$5:$I$107,MATCH(L307,'Datos - Catálogo TIMSS'!$A$5:$A$107,0)),"No")="Sí"),1,0)</f>
        <v/>
      </c>
      <c r="Y307" s="11">
        <f>IF(IFERROR(INDEX('Datos - Catálogo TIMSS'!$J$5:$J$107,MATCH(K307,'Datos - Catálogo TIMSS'!$A$5:$A$107,0)),"No")="Sí",1,0)</f>
        <v/>
      </c>
      <c r="Z307" s="11">
        <f>IF(IFERROR(INDEX('Datos - Catálogo TIMSS'!$J$5:$J$107,MATCH(L307,'Datos - Catálogo TIMSS'!$A$5:$A$107,0)),"No")="Sí",1,0)</f>
        <v/>
      </c>
      <c r="AA307" s="11" t="inlineStr">
        <is>
          <t>T8-F4.2</t>
        </is>
      </c>
      <c r="AB307" s="11" t="inlineStr"/>
      <c r="AC307" s="11">
        <f>IF(AA307="FUERA","Fuera del marco",IF(AA307="N/A","Sin marco",IFERROR(INDEX('Datos - TIMSS 2023'!$C$5:$C$105,MATCH(AA307,'Datos - TIMSS 2023'!$A$5:$A$105,0)),"Pendiente de clasificar")))</f>
        <v/>
      </c>
      <c r="AD307" s="11" t="inlineStr">
        <is>
          <t>2. Construir y evaluar diseños para la indagación científica e interpretar datos y evidencia de forma crítica</t>
        </is>
      </c>
      <c r="AE307" s="11">
        <f>IF(AD307="","",IF(LEFT(AD307,1)="1","C1",IF(LEFT(AD307,1)="2","C2",IF(LEFT(AD307,1)="3","C3",""))))</f>
        <v/>
      </c>
      <c r="AF307" s="11" t="inlineStr">
        <is>
          <t>E1</t>
        </is>
      </c>
      <c r="AG307" s="11" t="inlineStr">
        <is>
          <t>E5</t>
        </is>
      </c>
      <c r="AH307" s="11" t="inlineStr">
        <is>
          <t>E4</t>
        </is>
      </c>
      <c r="AI307" s="11" t="inlineStr">
        <is>
          <t>D4</t>
        </is>
      </c>
      <c r="AJ307" s="11" t="inlineStr">
        <is>
          <t>E6</t>
        </is>
      </c>
      <c r="AK307" s="11" t="n"/>
      <c r="AL307" s="11" t="n"/>
      <c r="AM307" s="11" t="n"/>
      <c r="AN307" s="11" t="n"/>
      <c r="AO307" s="11" t="n"/>
      <c r="AP307" s="11" t="n"/>
      <c r="AQ307" s="11" t="n"/>
      <c r="AR307" s="11" t="n"/>
      <c r="AS307" s="11" t="n"/>
      <c r="AT307" s="11" t="n"/>
      <c r="AU307" s="11" t="n"/>
      <c r="AV307" s="11" t="n"/>
      <c r="AW307" s="11">
        <f>AF307&amp;"; "&amp;AG307&amp;"; "&amp;AH307&amp;"; "&amp;AI307&amp;"; "&amp;AJ307</f>
        <v/>
      </c>
    </row>
    <row r="308">
      <c r="A308" s="11" t="inlineStr">
        <is>
          <t>T0942-G06-CIE</t>
        </is>
      </c>
      <c r="B308" s="11" t="n">
        <v>6</v>
      </c>
      <c r="C308" s="11" t="inlineStr">
        <is>
          <t>Ciencias</t>
        </is>
      </c>
      <c r="D308" s="11" t="inlineStr">
        <is>
          <t>Matriz_Ciencias_6to_Grado_U1_U6.xlsx</t>
        </is>
      </c>
      <c r="E308" s="11" t="inlineStr">
        <is>
          <t>Unidad 3 - Electricidad y magne</t>
        </is>
      </c>
      <c r="F308" s="11" t="n">
        <v>11</v>
      </c>
      <c r="G308" s="11" t="inlineStr">
        <is>
          <t>3. Electricidad y magnetismo.</t>
        </is>
      </c>
      <c r="H308" s="11" t="inlineStr">
        <is>
          <t>Magnetismo.</t>
        </is>
      </c>
      <c r="I308" s="38" t="inlineStr">
        <is>
          <t>3.9. Observación experimental de líneas de campo magnético.</t>
        </is>
      </c>
      <c r="J308" s="11" t="inlineStr">
        <is>
          <t>T8_27</t>
        </is>
      </c>
      <c r="K308" s="11" t="inlineStr">
        <is>
          <t>T8_27-P4.2</t>
        </is>
      </c>
      <c r="L308" s="11" t="inlineStr"/>
      <c r="M308" s="11">
        <f>IF(K308="FUERA","Fuera del marco",IF(K308="N/A","Sin marco",IFERROR(INDEX('Datos - Catálogo TIMSS'!$C$5:$C$107,MATCH(K308,'Datos - Catálogo TIMSS'!$A$5:$A$107,0)),"Pendiente de clasificar")))</f>
        <v/>
      </c>
      <c r="N308" s="11">
        <f>IF(K308="FUERA","Fuera del marco",IF(K308="N/A","Sin marco",IFERROR(INDEX('Datos - Catálogo TIMSS'!$F$5:$F$107,MATCH(K308,'Datos - Catálogo TIMSS'!$A$5:$A$107,0)),"Pendiente de clasificar")))</f>
        <v/>
      </c>
      <c r="O308" s="11">
        <f>IF(L308="","",IFERROR(INDEX('Datos - Catálogo TIMSS'!$C$5:$C$107,MATCH(L308,'Datos - Catálogo TIMSS'!$A$5:$A$107,0)),"?"))</f>
        <v/>
      </c>
      <c r="P308" s="11" t="inlineStr">
        <is>
          <t>media</t>
        </is>
      </c>
      <c r="Q308" s="38" t="inlineStr">
        <is>
          <t>Líneas de campo como propiedad de imanes permanentes.</t>
        </is>
      </c>
      <c r="R308" s="38" t="inlineStr">
        <is>
          <t>Aplicar: representar</t>
        </is>
      </c>
      <c r="S308" s="39">
        <f>IFERROR(ISNUMBER(SEARCH("Conocer",$R308))/(ISNUMBER(SEARCH("Conocer",$R308))+ISNUMBER(SEARCH("Aplicar",$R308))+ISNUMBER(SEARCH("Razonar",$R308))),0)</f>
        <v/>
      </c>
      <c r="T308" s="39">
        <f>IFERROR(ISNUMBER(SEARCH("Aplicar",$R308))/(ISNUMBER(SEARCH("Conocer",$R308))+ISNUMBER(SEARCH("Aplicar",$R308))+ISNUMBER(SEARCH("Razonar",$R308))),0)</f>
        <v/>
      </c>
      <c r="U308" s="39">
        <f>IFERROR(ISNUMBER(SEARCH("Razonar",$R308))/(ISNUMBER(SEARCH("Conocer",$R308))+ISNUMBER(SEARCH("Aplicar",$R308))+ISNUMBER(SEARCH("Razonar",$R308))),0)</f>
        <v/>
      </c>
      <c r="V308" s="11" t="inlineStr">
        <is>
          <t>6°</t>
        </is>
      </c>
      <c r="W308" s="11" t="inlineStr">
        <is>
          <t>Ciclo 5°–8°</t>
        </is>
      </c>
      <c r="X308" s="11">
        <f>IF(OR(IFERROR(INDEX('Datos - Catálogo TIMSS'!$I$5:$I$107,MATCH(K308,'Datos - Catálogo TIMSS'!$A$5:$A$107,0)),"No")="Sí",IFERROR(INDEX('Datos - Catálogo TIMSS'!$I$5:$I$107,MATCH(L308,'Datos - Catálogo TIMSS'!$A$5:$A$107,0)),"No")="Sí"),1,0)</f>
        <v/>
      </c>
      <c r="Y308" s="11">
        <f>IF(IFERROR(INDEX('Datos - Catálogo TIMSS'!$J$5:$J$107,MATCH(K308,'Datos - Catálogo TIMSS'!$A$5:$A$107,0)),"No")="Sí",1,0)</f>
        <v/>
      </c>
      <c r="Z308" s="11">
        <f>IF(IFERROR(INDEX('Datos - Catálogo TIMSS'!$J$5:$J$107,MATCH(L308,'Datos - Catálogo TIMSS'!$A$5:$A$107,0)),"No")="Sí",1,0)</f>
        <v/>
      </c>
      <c r="AA308" s="11" t="inlineStr">
        <is>
          <t>T8-F4.2</t>
        </is>
      </c>
      <c r="AB308" s="11" t="inlineStr"/>
      <c r="AC308" s="11">
        <f>IF(AA308="FUERA","Fuera del marco",IF(AA308="N/A","Sin marco",IFERROR(INDEX('Datos - TIMSS 2023'!$C$5:$C$105,MATCH(AA308,'Datos - TIMSS 2023'!$A$5:$A$105,0)),"Pendiente de clasificar")))</f>
        <v/>
      </c>
      <c r="AD308" s="11" t="inlineStr">
        <is>
          <t>2. Construir y evaluar diseños para la indagación científica e interpretar datos y evidencia de forma crítica</t>
        </is>
      </c>
      <c r="AE308" s="11">
        <f>IF(AD308="","",IF(LEFT(AD308,1)="1","C1",IF(LEFT(AD308,1)="2","C2",IF(LEFT(AD308,1)="3","C3",""))))</f>
        <v/>
      </c>
      <c r="AF308" s="11" t="inlineStr">
        <is>
          <t>E1</t>
        </is>
      </c>
      <c r="AG308" s="11" t="inlineStr">
        <is>
          <t>D1</t>
        </is>
      </c>
      <c r="AH308" s="11" t="inlineStr">
        <is>
          <t>E2</t>
        </is>
      </c>
      <c r="AI308" s="11" t="inlineStr">
        <is>
          <t>D4</t>
        </is>
      </c>
      <c r="AJ308" s="11" t="inlineStr">
        <is>
          <t>E1</t>
        </is>
      </c>
      <c r="AK308" s="11" t="n"/>
      <c r="AL308" s="11" t="n"/>
      <c r="AM308" s="11" t="n"/>
      <c r="AN308" s="11" t="n"/>
      <c r="AO308" s="11" t="n"/>
      <c r="AP308" s="11" t="n"/>
      <c r="AQ308" s="11" t="n"/>
      <c r="AR308" s="11" t="n"/>
      <c r="AS308" s="11" t="n"/>
      <c r="AT308" s="11" t="n"/>
      <c r="AU308" s="11" t="n"/>
      <c r="AV308" s="11" t="n"/>
      <c r="AW308" s="11">
        <f>AF308&amp;"; "&amp;AG308&amp;"; "&amp;AH308&amp;"; "&amp;AI308&amp;"; "&amp;AJ308</f>
        <v/>
      </c>
    </row>
    <row r="309">
      <c r="A309" s="11" t="inlineStr">
        <is>
          <t>T0943-G06-CIE</t>
        </is>
      </c>
      <c r="B309" s="11" t="n">
        <v>6</v>
      </c>
      <c r="C309" s="11" t="inlineStr">
        <is>
          <t>Ciencias</t>
        </is>
      </c>
      <c r="D309" s="11" t="inlineStr">
        <is>
          <t>Matriz_Ciencias_6to_Grado_U1_U6.xlsx</t>
        </is>
      </c>
      <c r="E309" s="11" t="inlineStr">
        <is>
          <t>Unidad 4 - Interacciones químic</t>
        </is>
      </c>
      <c r="F309" s="11" t="n">
        <v>3</v>
      </c>
      <c r="G309" s="11" t="inlineStr">
        <is>
          <t>4. Interacciones químicas.</t>
        </is>
      </c>
      <c r="H309" s="11" t="inlineStr">
        <is>
          <t>Enlace químico.</t>
        </is>
      </c>
      <c r="I309" s="38" t="inlineStr">
        <is>
          <t>4.1. Aplicación de los principios de notación de Lewis.</t>
        </is>
      </c>
      <c r="J309" s="11" t="inlineStr">
        <is>
          <t>T8_27</t>
        </is>
      </c>
      <c r="K309" s="11" t="inlineStr">
        <is>
          <t>T8_27-C1.1</t>
        </is>
      </c>
      <c r="L309" s="11" t="inlineStr"/>
      <c r="M309" s="11">
        <f>IF(K309="FUERA","Fuera del marco",IF(K309="N/A","Sin marco",IFERROR(INDEX('Datos - Catálogo TIMSS'!$C$5:$C$107,MATCH(K309,'Datos - Catálogo TIMSS'!$A$5:$A$107,0)),"Pendiente de clasificar")))</f>
        <v/>
      </c>
      <c r="N309" s="11">
        <f>IF(K309="FUERA","Fuera del marco",IF(K309="N/A","Sin marco",IFERROR(INDEX('Datos - Catálogo TIMSS'!$F$5:$F$107,MATCH(K309,'Datos - Catálogo TIMSS'!$A$5:$A$107,0)),"Pendiente de clasificar")))</f>
        <v/>
      </c>
      <c r="O309" s="11">
        <f>IF(L309="","",IFERROR(INDEX('Datos - Catálogo TIMSS'!$C$5:$C$107,MATCH(L309,'Datos - Catálogo TIMSS'!$A$5:$A$107,0)),"?"))</f>
        <v/>
      </c>
      <c r="P309" s="11" t="inlineStr">
        <is>
          <t>media</t>
        </is>
      </c>
      <c r="Q309" s="38" t="inlineStr">
        <is>
          <t>Electrones de valencia y enlace químico entre átomos.</t>
        </is>
      </c>
      <c r="R309" s="38" t="inlineStr">
        <is>
          <t>Aplicar: representar</t>
        </is>
      </c>
      <c r="S309" s="39">
        <f>IFERROR(ISNUMBER(SEARCH("Conocer",$R309))/(ISNUMBER(SEARCH("Conocer",$R309))+ISNUMBER(SEARCH("Aplicar",$R309))+ISNUMBER(SEARCH("Razonar",$R309))),0)</f>
        <v/>
      </c>
      <c r="T309" s="39">
        <f>IFERROR(ISNUMBER(SEARCH("Aplicar",$R309))/(ISNUMBER(SEARCH("Conocer",$R309))+ISNUMBER(SEARCH("Aplicar",$R309))+ISNUMBER(SEARCH("Razonar",$R309))),0)</f>
        <v/>
      </c>
      <c r="U309" s="39">
        <f>IFERROR(ISNUMBER(SEARCH("Razonar",$R309))/(ISNUMBER(SEARCH("Conocer",$R309))+ISNUMBER(SEARCH("Aplicar",$R309))+ISNUMBER(SEARCH("Razonar",$R309))),0)</f>
        <v/>
      </c>
      <c r="V309" s="11" t="inlineStr">
        <is>
          <t>6°</t>
        </is>
      </c>
      <c r="W309" s="11" t="inlineStr">
        <is>
          <t>Ciclo 5°–8°</t>
        </is>
      </c>
      <c r="X309" s="11">
        <f>IF(OR(IFERROR(INDEX('Datos - Catálogo TIMSS'!$I$5:$I$107,MATCH(K309,'Datos - Catálogo TIMSS'!$A$5:$A$107,0)),"No")="Sí",IFERROR(INDEX('Datos - Catálogo TIMSS'!$I$5:$I$107,MATCH(L309,'Datos - Catálogo TIMSS'!$A$5:$A$107,0)),"No")="Sí"),1,0)</f>
        <v/>
      </c>
      <c r="Y309" s="11">
        <f>IF(IFERROR(INDEX('Datos - Catálogo TIMSS'!$J$5:$J$107,MATCH(K309,'Datos - Catálogo TIMSS'!$A$5:$A$107,0)),"No")="Sí",1,0)</f>
        <v/>
      </c>
      <c r="Z309" s="11">
        <f>IF(IFERROR(INDEX('Datos - Catálogo TIMSS'!$J$5:$J$107,MATCH(L309,'Datos - Catálogo TIMSS'!$A$5:$A$107,0)),"No")="Sí",1,0)</f>
        <v/>
      </c>
      <c r="AA309" s="11" t="inlineStr">
        <is>
          <t>T8-Q3.3</t>
        </is>
      </c>
      <c r="AB309" s="11" t="inlineStr">
        <is>
          <t>T8-Q1.1</t>
        </is>
      </c>
      <c r="AC309" s="11">
        <f>IF(AA309="FUERA","Fuera del marco",IF(AA309="N/A","Sin marco",IFERROR(INDEX('Datos - TIMSS 2023'!$C$5:$C$105,MATCH(AA309,'Datos - TIMSS 2023'!$A$5:$A$105,0)),"Pendiente de clasificar")))</f>
        <v/>
      </c>
      <c r="AD309" s="11" t="inlineStr">
        <is>
          <t>1. Explicar fenómenos científicamente</t>
        </is>
      </c>
      <c r="AE309" s="11">
        <f>IF(AD309="","",IF(LEFT(AD309,1)="1","C1",IF(LEFT(AD309,1)="2","C2",IF(LEFT(AD309,1)="3","C3",""))))</f>
        <v/>
      </c>
      <c r="AF309" s="11" t="inlineStr">
        <is>
          <t>E1</t>
        </is>
      </c>
      <c r="AG309" s="11" t="inlineStr">
        <is>
          <t>D1</t>
        </is>
      </c>
      <c r="AH309" s="11" t="inlineStr">
        <is>
          <t>E2</t>
        </is>
      </c>
      <c r="AI309" s="11" t="inlineStr">
        <is>
          <t>D4</t>
        </is>
      </c>
      <c r="AJ309" s="11" t="inlineStr">
        <is>
          <t>E1</t>
        </is>
      </c>
      <c r="AK309" s="11" t="n"/>
      <c r="AL309" s="11" t="n"/>
      <c r="AM309" s="11" t="n"/>
      <c r="AN309" s="11" t="n"/>
      <c r="AO309" s="11" t="n"/>
      <c r="AP309" s="11" t="n"/>
      <c r="AQ309" s="11" t="n"/>
      <c r="AR309" s="11" t="n"/>
      <c r="AS309" s="11" t="n"/>
      <c r="AT309" s="11" t="n"/>
      <c r="AU309" s="11" t="n"/>
      <c r="AV309" s="11" t="n"/>
      <c r="AW309" s="11">
        <f>AF309&amp;"; "&amp;AG309&amp;"; "&amp;AH309&amp;"; "&amp;AI309&amp;"; "&amp;AJ309</f>
        <v/>
      </c>
    </row>
    <row r="310">
      <c r="A310" s="11" t="inlineStr">
        <is>
          <t>T0944-G06-CIE</t>
        </is>
      </c>
      <c r="B310" s="11" t="n">
        <v>6</v>
      </c>
      <c r="C310" s="11" t="inlineStr">
        <is>
          <t>Ciencias</t>
        </is>
      </c>
      <c r="D310" s="11" t="inlineStr">
        <is>
          <t>Matriz_Ciencias_6to_Grado_U1_U6.xlsx</t>
        </is>
      </c>
      <c r="E310" s="11" t="inlineStr">
        <is>
          <t>Unidad 4 - Interacciones químic</t>
        </is>
      </c>
      <c r="F310" s="11" t="n">
        <v>4</v>
      </c>
      <c r="G310" s="11" t="inlineStr">
        <is>
          <t>4. Interacciones químicas.</t>
        </is>
      </c>
      <c r="H310" s="11" t="inlineStr">
        <is>
          <t>Enlace químico.</t>
        </is>
      </c>
      <c r="I310" s="38" t="inlineStr">
        <is>
          <t>4.2. Descripción de las propiedades y características del enlace iónico.</t>
        </is>
      </c>
      <c r="J310" s="11" t="inlineStr">
        <is>
          <t>T8_27</t>
        </is>
      </c>
      <c r="K310" s="11" t="inlineStr">
        <is>
          <t>T8_27-C1.1</t>
        </is>
      </c>
      <c r="L310" s="11" t="inlineStr">
        <is>
          <t>T8_27-C2.1</t>
        </is>
      </c>
      <c r="M310" s="11">
        <f>IF(K310="FUERA","Fuera del marco",IF(K310="N/A","Sin marco",IFERROR(INDEX('Datos - Catálogo TIMSS'!$C$5:$C$107,MATCH(K310,'Datos - Catálogo TIMSS'!$A$5:$A$107,0)),"Pendiente de clasificar")))</f>
        <v/>
      </c>
      <c r="N310" s="11">
        <f>IF(K310="FUERA","Fuera del marco",IF(K310="N/A","Sin marco",IFERROR(INDEX('Datos - Catálogo TIMSS'!$F$5:$F$107,MATCH(K310,'Datos - Catálogo TIMSS'!$A$5:$A$107,0)),"Pendiente de clasificar")))</f>
        <v/>
      </c>
      <c r="O310" s="11">
        <f>IF(L310="","",IFERROR(INDEX('Datos - Catálogo TIMSS'!$C$5:$C$107,MATCH(L310,'Datos - Catálogo TIMSS'!$A$5:$A$107,0)),"?"))</f>
        <v/>
      </c>
      <c r="P310" s="11" t="inlineStr">
        <is>
          <t>media</t>
        </is>
      </c>
      <c r="Q310" s="38" t="inlineStr">
        <is>
          <t>Enlace iónico como atracción entre átomos; propiedades del compuesto.</t>
        </is>
      </c>
      <c r="R310" s="38" t="inlineStr">
        <is>
          <t>Aplicar: relacionar</t>
        </is>
      </c>
      <c r="S310" s="39">
        <f>IFERROR(ISNUMBER(SEARCH("Conocer",$R310))/(ISNUMBER(SEARCH("Conocer",$R310))+ISNUMBER(SEARCH("Aplicar",$R310))+ISNUMBER(SEARCH("Razonar",$R310))),0)</f>
        <v/>
      </c>
      <c r="T310" s="39">
        <f>IFERROR(ISNUMBER(SEARCH("Aplicar",$R310))/(ISNUMBER(SEARCH("Conocer",$R310))+ISNUMBER(SEARCH("Aplicar",$R310))+ISNUMBER(SEARCH("Razonar",$R310))),0)</f>
        <v/>
      </c>
      <c r="U310" s="39">
        <f>IFERROR(ISNUMBER(SEARCH("Razonar",$R310))/(ISNUMBER(SEARCH("Conocer",$R310))+ISNUMBER(SEARCH("Aplicar",$R310))+ISNUMBER(SEARCH("Razonar",$R310))),0)</f>
        <v/>
      </c>
      <c r="V310" s="11" t="inlineStr">
        <is>
          <t>6°</t>
        </is>
      </c>
      <c r="W310" s="11" t="inlineStr">
        <is>
          <t>Ciclo 5°–8°</t>
        </is>
      </c>
      <c r="X310" s="11">
        <f>IF(OR(IFERROR(INDEX('Datos - Catálogo TIMSS'!$I$5:$I$107,MATCH(K310,'Datos - Catálogo TIMSS'!$A$5:$A$107,0)),"No")="Sí",IFERROR(INDEX('Datos - Catálogo TIMSS'!$I$5:$I$107,MATCH(L310,'Datos - Catálogo TIMSS'!$A$5:$A$107,0)),"No")="Sí"),1,0)</f>
        <v/>
      </c>
      <c r="Y310" s="11">
        <f>IF(IFERROR(INDEX('Datos - Catálogo TIMSS'!$J$5:$J$107,MATCH(K310,'Datos - Catálogo TIMSS'!$A$5:$A$107,0)),"No")="Sí",1,0)</f>
        <v/>
      </c>
      <c r="Z310" s="11">
        <f>IF(IFERROR(INDEX('Datos - Catálogo TIMSS'!$J$5:$J$107,MATCH(L310,'Datos - Catálogo TIMSS'!$A$5:$A$107,0)),"No")="Sí",1,0)</f>
        <v/>
      </c>
      <c r="AA310" s="11" t="inlineStr">
        <is>
          <t>T8-Q3.3</t>
        </is>
      </c>
      <c r="AB310" s="11" t="inlineStr"/>
      <c r="AC310" s="11">
        <f>IF(AA310="FUERA","Fuera del marco",IF(AA310="N/A","Sin marco",IFERROR(INDEX('Datos - TIMSS 2023'!$C$5:$C$105,MATCH(AA310,'Datos - TIMSS 2023'!$A$5:$A$105,0)),"Pendiente de clasificar")))</f>
        <v/>
      </c>
      <c r="AD310" s="11" t="inlineStr">
        <is>
          <t>1. Explicar fenómenos científicamente</t>
        </is>
      </c>
      <c r="AE310" s="11">
        <f>IF(AD310="","",IF(LEFT(AD310,1)="1","C1",IF(LEFT(AD310,1)="2","C2",IF(LEFT(AD310,1)="3","C3",""))))</f>
        <v/>
      </c>
      <c r="AF310" s="11" t="inlineStr">
        <is>
          <t>E1</t>
        </is>
      </c>
      <c r="AG310" s="11" t="inlineStr">
        <is>
          <t>D1</t>
        </is>
      </c>
      <c r="AH310" s="11" t="inlineStr">
        <is>
          <t>E1</t>
        </is>
      </c>
      <c r="AI310" s="11" t="inlineStr">
        <is>
          <t>D4</t>
        </is>
      </c>
      <c r="AJ310" s="11" t="inlineStr">
        <is>
          <t>E1</t>
        </is>
      </c>
      <c r="AK310" s="11" t="n"/>
      <c r="AL310" s="11" t="n"/>
      <c r="AM310" s="11" t="n"/>
      <c r="AN310" s="11" t="n"/>
      <c r="AO310" s="11" t="n"/>
      <c r="AP310" s="11" t="n"/>
      <c r="AQ310" s="11" t="n"/>
      <c r="AR310" s="11" t="n"/>
      <c r="AS310" s="11" t="n"/>
      <c r="AT310" s="11" t="n"/>
      <c r="AU310" s="11" t="n"/>
      <c r="AV310" s="11" t="n"/>
      <c r="AW310" s="11">
        <f>AF310&amp;"; "&amp;AG310&amp;"; "&amp;AH310&amp;"; "&amp;AI310&amp;"; "&amp;AJ310</f>
        <v/>
      </c>
    </row>
    <row r="311">
      <c r="A311" s="11" t="inlineStr">
        <is>
          <t>T0945-G06-CIE</t>
        </is>
      </c>
      <c r="B311" s="11" t="n">
        <v>6</v>
      </c>
      <c r="C311" s="11" t="inlineStr">
        <is>
          <t>Ciencias</t>
        </is>
      </c>
      <c r="D311" s="11" t="inlineStr">
        <is>
          <t>Matriz_Ciencias_6to_Grado_U1_U6.xlsx</t>
        </is>
      </c>
      <c r="E311" s="11" t="inlineStr">
        <is>
          <t>Unidad 4 - Interacciones químic</t>
        </is>
      </c>
      <c r="F311" s="11" t="n">
        <v>5</v>
      </c>
      <c r="G311" s="11" t="inlineStr">
        <is>
          <t>4. Interacciones químicas.</t>
        </is>
      </c>
      <c r="H311" s="11" t="inlineStr">
        <is>
          <t>Enlace químico.</t>
        </is>
      </c>
      <c r="I311" s="38" t="inlineStr">
        <is>
          <t>4.3. Descripción de las propiedades y características del enlace metálico.</t>
        </is>
      </c>
      <c r="J311" s="11" t="inlineStr">
        <is>
          <t>T8_27</t>
        </is>
      </c>
      <c r="K311" s="11" t="inlineStr">
        <is>
          <t>T8_27-C1.1</t>
        </is>
      </c>
      <c r="L311" s="11" t="inlineStr"/>
      <c r="M311" s="11">
        <f>IF(K311="FUERA","Fuera del marco",IF(K311="N/A","Sin marco",IFERROR(INDEX('Datos - Catálogo TIMSS'!$C$5:$C$107,MATCH(K311,'Datos - Catálogo TIMSS'!$A$5:$A$107,0)),"Pendiente de clasificar")))</f>
        <v/>
      </c>
      <c r="N311" s="11">
        <f>IF(K311="FUERA","Fuera del marco",IF(K311="N/A","Sin marco",IFERROR(INDEX('Datos - Catálogo TIMSS'!$F$5:$F$107,MATCH(K311,'Datos - Catálogo TIMSS'!$A$5:$A$107,0)),"Pendiente de clasificar")))</f>
        <v/>
      </c>
      <c r="O311" s="11">
        <f>IF(L311="","",IFERROR(INDEX('Datos - Catálogo TIMSS'!$C$5:$C$107,MATCH(L311,'Datos - Catálogo TIMSS'!$A$5:$A$107,0)),"?"))</f>
        <v/>
      </c>
      <c r="P311" s="11" t="inlineStr">
        <is>
          <t>media</t>
        </is>
      </c>
      <c r="Q311" s="38" t="inlineStr">
        <is>
          <t>Enlace metálico como atracción con electrones.</t>
        </is>
      </c>
      <c r="R311" s="38" t="inlineStr">
        <is>
          <t>Aplicar: usar modelos</t>
        </is>
      </c>
      <c r="S311" s="39">
        <f>IFERROR(ISNUMBER(SEARCH("Conocer",$R311))/(ISNUMBER(SEARCH("Conocer",$R311))+ISNUMBER(SEARCH("Aplicar",$R311))+ISNUMBER(SEARCH("Razonar",$R311))),0)</f>
        <v/>
      </c>
      <c r="T311" s="39">
        <f>IFERROR(ISNUMBER(SEARCH("Aplicar",$R311))/(ISNUMBER(SEARCH("Conocer",$R311))+ISNUMBER(SEARCH("Aplicar",$R311))+ISNUMBER(SEARCH("Razonar",$R311))),0)</f>
        <v/>
      </c>
      <c r="U311" s="39">
        <f>IFERROR(ISNUMBER(SEARCH("Razonar",$R311))/(ISNUMBER(SEARCH("Conocer",$R311))+ISNUMBER(SEARCH("Aplicar",$R311))+ISNUMBER(SEARCH("Razonar",$R311))),0)</f>
        <v/>
      </c>
      <c r="V311" s="11" t="inlineStr">
        <is>
          <t>6°</t>
        </is>
      </c>
      <c r="W311" s="11" t="inlineStr">
        <is>
          <t>Ciclo 5°–8°</t>
        </is>
      </c>
      <c r="X311" s="11">
        <f>IF(OR(IFERROR(INDEX('Datos - Catálogo TIMSS'!$I$5:$I$107,MATCH(K311,'Datos - Catálogo TIMSS'!$A$5:$A$107,0)),"No")="Sí",IFERROR(INDEX('Datos - Catálogo TIMSS'!$I$5:$I$107,MATCH(L311,'Datos - Catálogo TIMSS'!$A$5:$A$107,0)),"No")="Sí"),1,0)</f>
        <v/>
      </c>
      <c r="Y311" s="11">
        <f>IF(IFERROR(INDEX('Datos - Catálogo TIMSS'!$J$5:$J$107,MATCH(K311,'Datos - Catálogo TIMSS'!$A$5:$A$107,0)),"No")="Sí",1,0)</f>
        <v/>
      </c>
      <c r="Z311" s="11">
        <f>IF(IFERROR(INDEX('Datos - Catálogo TIMSS'!$J$5:$J$107,MATCH(L311,'Datos - Catálogo TIMSS'!$A$5:$A$107,0)),"No")="Sí",1,0)</f>
        <v/>
      </c>
      <c r="AA311" s="11" t="inlineStr">
        <is>
          <t>T8-Q3.3</t>
        </is>
      </c>
      <c r="AB311" s="11" t="inlineStr"/>
      <c r="AC311" s="11">
        <f>IF(AA311="FUERA","Fuera del marco",IF(AA311="N/A","Sin marco",IFERROR(INDEX('Datos - TIMSS 2023'!$C$5:$C$105,MATCH(AA311,'Datos - TIMSS 2023'!$A$5:$A$105,0)),"Pendiente de clasificar")))</f>
        <v/>
      </c>
      <c r="AD311" s="11" t="inlineStr">
        <is>
          <t>1. Explicar fenómenos científicamente</t>
        </is>
      </c>
      <c r="AE311" s="11">
        <f>IF(AD311="","",IF(LEFT(AD311,1)="1","C1",IF(LEFT(AD311,1)="2","C2",IF(LEFT(AD311,1)="3","C3",""))))</f>
        <v/>
      </c>
      <c r="AF311" s="11" t="inlineStr">
        <is>
          <t>E1</t>
        </is>
      </c>
      <c r="AG311" s="11" t="inlineStr">
        <is>
          <t>D1</t>
        </is>
      </c>
      <c r="AH311" s="11" t="inlineStr">
        <is>
          <t>E4</t>
        </is>
      </c>
      <c r="AI311" s="11" t="inlineStr">
        <is>
          <t>D4</t>
        </is>
      </c>
      <c r="AJ311" s="11" t="inlineStr">
        <is>
          <t>E6</t>
        </is>
      </c>
      <c r="AK311" s="11" t="n"/>
      <c r="AL311" s="11" t="n"/>
      <c r="AM311" s="11" t="n"/>
      <c r="AN311" s="11" t="n"/>
      <c r="AO311" s="11" t="n"/>
      <c r="AP311" s="11" t="n"/>
      <c r="AQ311" s="11" t="n"/>
      <c r="AR311" s="11" t="n"/>
      <c r="AS311" s="11" t="n"/>
      <c r="AT311" s="11" t="n"/>
      <c r="AU311" s="11" t="n"/>
      <c r="AV311" s="11" t="n"/>
      <c r="AW311" s="11">
        <f>AF311&amp;"; "&amp;AG311&amp;"; "&amp;AH311&amp;"; "&amp;AI311&amp;"; "&amp;AJ311</f>
        <v/>
      </c>
    </row>
    <row r="312">
      <c r="A312" s="11" t="inlineStr">
        <is>
          <t>T0946-G06-CIE</t>
        </is>
      </c>
      <c r="B312" s="11" t="n">
        <v>6</v>
      </c>
      <c r="C312" s="11" t="inlineStr">
        <is>
          <t>Ciencias</t>
        </is>
      </c>
      <c r="D312" s="11" t="inlineStr">
        <is>
          <t>Matriz_Ciencias_6to_Grado_U1_U6.xlsx</t>
        </is>
      </c>
      <c r="E312" s="11" t="inlineStr">
        <is>
          <t>Unidad 4 - Interacciones químic</t>
        </is>
      </c>
      <c r="F312" s="11" t="n">
        <v>6</v>
      </c>
      <c r="G312" s="11" t="inlineStr">
        <is>
          <t>4. Interacciones químicas.</t>
        </is>
      </c>
      <c r="H312" s="11" t="inlineStr">
        <is>
          <t>Enlace covalente.</t>
        </is>
      </c>
      <c r="I312" s="38" t="inlineStr">
        <is>
          <t>4.4. Visualización del concepto de molécula y enlace covalente.</t>
        </is>
      </c>
      <c r="J312" s="11" t="inlineStr">
        <is>
          <t>T8_27</t>
        </is>
      </c>
      <c r="K312" s="11" t="inlineStr">
        <is>
          <t>T8_27-C1.1</t>
        </is>
      </c>
      <c r="L312" s="11" t="inlineStr"/>
      <c r="M312" s="11">
        <f>IF(K312="FUERA","Fuera del marco",IF(K312="N/A","Sin marco",IFERROR(INDEX('Datos - Catálogo TIMSS'!$C$5:$C$107,MATCH(K312,'Datos - Catálogo TIMSS'!$A$5:$A$107,0)),"Pendiente de clasificar")))</f>
        <v/>
      </c>
      <c r="N312" s="11">
        <f>IF(K312="FUERA","Fuera del marco",IF(K312="N/A","Sin marco",IFERROR(INDEX('Datos - Catálogo TIMSS'!$F$5:$F$107,MATCH(K312,'Datos - Catálogo TIMSS'!$A$5:$A$107,0)),"Pendiente de clasificar")))</f>
        <v/>
      </c>
      <c r="O312" s="11">
        <f>IF(L312="","",IFERROR(INDEX('Datos - Catálogo TIMSS'!$C$5:$C$107,MATCH(L312,'Datos - Catálogo TIMSS'!$A$5:$A$107,0)),"?"))</f>
        <v/>
      </c>
      <c r="P312" s="11" t="inlineStr">
        <is>
          <t>alta</t>
        </is>
      </c>
      <c r="Q312" s="38" t="inlineStr">
        <is>
          <t>Moléculas como combinación de átomos y enlace covalente.</t>
        </is>
      </c>
      <c r="R312" s="38" t="inlineStr">
        <is>
          <t>Aplicar: clasificar</t>
        </is>
      </c>
      <c r="S312" s="39">
        <f>IFERROR(ISNUMBER(SEARCH("Conocer",$R312))/(ISNUMBER(SEARCH("Conocer",$R312))+ISNUMBER(SEARCH("Aplicar",$R312))+ISNUMBER(SEARCH("Razonar",$R312))),0)</f>
        <v/>
      </c>
      <c r="T312" s="39">
        <f>IFERROR(ISNUMBER(SEARCH("Aplicar",$R312))/(ISNUMBER(SEARCH("Conocer",$R312))+ISNUMBER(SEARCH("Aplicar",$R312))+ISNUMBER(SEARCH("Razonar",$R312))),0)</f>
        <v/>
      </c>
      <c r="U312" s="39">
        <f>IFERROR(ISNUMBER(SEARCH("Razonar",$R312))/(ISNUMBER(SEARCH("Conocer",$R312))+ISNUMBER(SEARCH("Aplicar",$R312))+ISNUMBER(SEARCH("Razonar",$R312))),0)</f>
        <v/>
      </c>
      <c r="V312" s="11" t="inlineStr">
        <is>
          <t>6°</t>
        </is>
      </c>
      <c r="W312" s="11" t="inlineStr">
        <is>
          <t>Ciclo 5°–8°</t>
        </is>
      </c>
      <c r="X312" s="11">
        <f>IF(OR(IFERROR(INDEX('Datos - Catálogo TIMSS'!$I$5:$I$107,MATCH(K312,'Datos - Catálogo TIMSS'!$A$5:$A$107,0)),"No")="Sí",IFERROR(INDEX('Datos - Catálogo TIMSS'!$I$5:$I$107,MATCH(L312,'Datos - Catálogo TIMSS'!$A$5:$A$107,0)),"No")="Sí"),1,0)</f>
        <v/>
      </c>
      <c r="Y312" s="11">
        <f>IF(IFERROR(INDEX('Datos - Catálogo TIMSS'!$J$5:$J$107,MATCH(K312,'Datos - Catálogo TIMSS'!$A$5:$A$107,0)),"No")="Sí",1,0)</f>
        <v/>
      </c>
      <c r="Z312" s="11">
        <f>IF(IFERROR(INDEX('Datos - Catálogo TIMSS'!$J$5:$J$107,MATCH(L312,'Datos - Catálogo TIMSS'!$A$5:$A$107,0)),"No")="Sí",1,0)</f>
        <v/>
      </c>
      <c r="AA312" s="11" t="inlineStr">
        <is>
          <t>T8-Q3.3</t>
        </is>
      </c>
      <c r="AB312" s="11" t="inlineStr">
        <is>
          <t>T8-Q1.1</t>
        </is>
      </c>
      <c r="AC312" s="11">
        <f>IF(AA312="FUERA","Fuera del marco",IF(AA312="N/A","Sin marco",IFERROR(INDEX('Datos - TIMSS 2023'!$C$5:$C$105,MATCH(AA312,'Datos - TIMSS 2023'!$A$5:$A$105,0)),"Pendiente de clasificar")))</f>
        <v/>
      </c>
      <c r="AD312" s="11" t="inlineStr">
        <is>
          <t>1. Explicar fenómenos científicamente</t>
        </is>
      </c>
      <c r="AE312" s="11">
        <f>IF(AD312="","",IF(LEFT(AD312,1)="1","C1",IF(LEFT(AD312,1)="2","C2",IF(LEFT(AD312,1)="3","C3",""))))</f>
        <v/>
      </c>
      <c r="AF312" s="11" t="inlineStr">
        <is>
          <t>E1</t>
        </is>
      </c>
      <c r="AG312" s="11" t="inlineStr">
        <is>
          <t>D1</t>
        </is>
      </c>
      <c r="AH312" s="11" t="inlineStr">
        <is>
          <t>E1</t>
        </is>
      </c>
      <c r="AI312" s="11" t="inlineStr">
        <is>
          <t>E4</t>
        </is>
      </c>
      <c r="AJ312" s="11" t="inlineStr">
        <is>
          <t>E1</t>
        </is>
      </c>
      <c r="AK312" s="11" t="n"/>
      <c r="AL312" s="11" t="n"/>
      <c r="AM312" s="11" t="n"/>
      <c r="AN312" s="11" t="n"/>
      <c r="AO312" s="11" t="n"/>
      <c r="AP312" s="11" t="n"/>
      <c r="AQ312" s="11" t="n"/>
      <c r="AR312" s="11" t="n"/>
      <c r="AS312" s="11" t="n"/>
      <c r="AT312" s="11" t="n"/>
      <c r="AU312" s="11" t="n"/>
      <c r="AV312" s="11" t="n"/>
      <c r="AW312" s="11">
        <f>AF312&amp;"; "&amp;AG312&amp;"; "&amp;AH312&amp;"; "&amp;AI312&amp;"; "&amp;AJ312</f>
        <v/>
      </c>
    </row>
    <row r="313">
      <c r="A313" s="11" t="inlineStr">
        <is>
          <t>T0947-G06-CIE</t>
        </is>
      </c>
      <c r="B313" s="11" t="n">
        <v>6</v>
      </c>
      <c r="C313" s="11" t="inlineStr">
        <is>
          <t>Ciencias</t>
        </is>
      </c>
      <c r="D313" s="11" t="inlineStr">
        <is>
          <t>Matriz_Ciencias_6to_Grado_U1_U6.xlsx</t>
        </is>
      </c>
      <c r="E313" s="11" t="inlineStr">
        <is>
          <t>Unidad 4 - Interacciones químic</t>
        </is>
      </c>
      <c r="F313" s="11" t="n">
        <v>7</v>
      </c>
      <c r="G313" s="11" t="inlineStr">
        <is>
          <t>4. Interacciones químicas.</t>
        </is>
      </c>
      <c r="H313" s="11" t="inlineStr">
        <is>
          <t>Enlace covalente.</t>
        </is>
      </c>
      <c r="I313" s="38" t="inlineStr">
        <is>
          <t>4.5. Construcción de modelos moleculares.</t>
        </is>
      </c>
      <c r="J313" s="11" t="inlineStr">
        <is>
          <t>T8_27</t>
        </is>
      </c>
      <c r="K313" s="11" t="inlineStr">
        <is>
          <t>T8_27-C1.1</t>
        </is>
      </c>
      <c r="L313" s="11" t="inlineStr"/>
      <c r="M313" s="11">
        <f>IF(K313="FUERA","Fuera del marco",IF(K313="N/A","Sin marco",IFERROR(INDEX('Datos - Catálogo TIMSS'!$C$5:$C$107,MATCH(K313,'Datos - Catálogo TIMSS'!$A$5:$A$107,0)),"Pendiente de clasificar")))</f>
        <v/>
      </c>
      <c r="N313" s="11">
        <f>IF(K313="FUERA","Fuera del marco",IF(K313="N/A","Sin marco",IFERROR(INDEX('Datos - Catálogo TIMSS'!$F$5:$F$107,MATCH(K313,'Datos - Catálogo TIMSS'!$A$5:$A$107,0)),"Pendiente de clasificar")))</f>
        <v/>
      </c>
      <c r="O313" s="11">
        <f>IF(L313="","",IFERROR(INDEX('Datos - Catálogo TIMSS'!$C$5:$C$107,MATCH(L313,'Datos - Catálogo TIMSS'!$A$5:$A$107,0)),"?"))</f>
        <v/>
      </c>
      <c r="P313" s="11" t="inlineStr">
        <is>
          <t>alta</t>
        </is>
      </c>
      <c r="Q313" s="38" t="inlineStr">
        <is>
          <t>Modelos de moléculas como combinaciones de átomos.</t>
        </is>
      </c>
      <c r="R313" s="38" t="inlineStr">
        <is>
          <t>Aplicar: construir modelos</t>
        </is>
      </c>
      <c r="S313" s="39">
        <f>IFERROR(ISNUMBER(SEARCH("Conocer",$R313))/(ISNUMBER(SEARCH("Conocer",$R313))+ISNUMBER(SEARCH("Aplicar",$R313))+ISNUMBER(SEARCH("Razonar",$R313))),0)</f>
        <v/>
      </c>
      <c r="T313" s="39">
        <f>IFERROR(ISNUMBER(SEARCH("Aplicar",$R313))/(ISNUMBER(SEARCH("Conocer",$R313))+ISNUMBER(SEARCH("Aplicar",$R313))+ISNUMBER(SEARCH("Razonar",$R313))),0)</f>
        <v/>
      </c>
      <c r="U313" s="39">
        <f>IFERROR(ISNUMBER(SEARCH("Razonar",$R313))/(ISNUMBER(SEARCH("Conocer",$R313))+ISNUMBER(SEARCH("Aplicar",$R313))+ISNUMBER(SEARCH("Razonar",$R313))),0)</f>
        <v/>
      </c>
      <c r="V313" s="11" t="inlineStr">
        <is>
          <t>6°</t>
        </is>
      </c>
      <c r="W313" s="11" t="inlineStr">
        <is>
          <t>Ciclo 5°–8°</t>
        </is>
      </c>
      <c r="X313" s="11">
        <f>IF(OR(IFERROR(INDEX('Datos - Catálogo TIMSS'!$I$5:$I$107,MATCH(K313,'Datos - Catálogo TIMSS'!$A$5:$A$107,0)),"No")="Sí",IFERROR(INDEX('Datos - Catálogo TIMSS'!$I$5:$I$107,MATCH(L313,'Datos - Catálogo TIMSS'!$A$5:$A$107,0)),"No")="Sí"),1,0)</f>
        <v/>
      </c>
      <c r="Y313" s="11">
        <f>IF(IFERROR(INDEX('Datos - Catálogo TIMSS'!$J$5:$J$107,MATCH(K313,'Datos - Catálogo TIMSS'!$A$5:$A$107,0)),"No")="Sí",1,0)</f>
        <v/>
      </c>
      <c r="Z313" s="11">
        <f>IF(IFERROR(INDEX('Datos - Catálogo TIMSS'!$J$5:$J$107,MATCH(L313,'Datos - Catálogo TIMSS'!$A$5:$A$107,0)),"No")="Sí",1,0)</f>
        <v/>
      </c>
      <c r="AA313" s="11" t="inlineStr">
        <is>
          <t>T8-Q1.1</t>
        </is>
      </c>
      <c r="AB313" s="11" t="inlineStr">
        <is>
          <t>T8-Q3.3</t>
        </is>
      </c>
      <c r="AC313" s="11">
        <f>IF(AA313="FUERA","Fuera del marco",IF(AA313="N/A","Sin marco",IFERROR(INDEX('Datos - TIMSS 2023'!$C$5:$C$105,MATCH(AA313,'Datos - TIMSS 2023'!$A$5:$A$105,0)),"Pendiente de clasificar")))</f>
        <v/>
      </c>
      <c r="AD313" s="11" t="inlineStr">
        <is>
          <t>2. Construir y evaluar diseños para la indagación científica e interpretar datos y evidencia de forma crítica</t>
        </is>
      </c>
      <c r="AE313" s="11">
        <f>IF(AD313="","",IF(LEFT(AD313,1)="1","C1",IF(LEFT(AD313,1)="2","C2",IF(LEFT(AD313,1)="3","C3",""))))</f>
        <v/>
      </c>
      <c r="AF313" s="11" t="inlineStr">
        <is>
          <t>E1</t>
        </is>
      </c>
      <c r="AG313" s="11" t="inlineStr">
        <is>
          <t>D1</t>
        </is>
      </c>
      <c r="AH313" s="11" t="inlineStr">
        <is>
          <t>E4</t>
        </is>
      </c>
      <c r="AI313" s="11" t="inlineStr">
        <is>
          <t>E4</t>
        </is>
      </c>
      <c r="AJ313" s="11" t="inlineStr">
        <is>
          <t>E3</t>
        </is>
      </c>
      <c r="AK313" s="11" t="n"/>
      <c r="AL313" s="11" t="n"/>
      <c r="AM313" s="11" t="n"/>
      <c r="AN313" s="11" t="n"/>
      <c r="AO313" s="11" t="n"/>
      <c r="AP313" s="11" t="n"/>
      <c r="AQ313" s="11" t="n"/>
      <c r="AR313" s="11" t="n"/>
      <c r="AS313" s="11" t="n"/>
      <c r="AT313" s="11" t="n"/>
      <c r="AU313" s="11" t="n"/>
      <c r="AV313" s="11" t="n"/>
      <c r="AW313" s="11">
        <f>AF313&amp;"; "&amp;AG313&amp;"; "&amp;AH313&amp;"; "&amp;AI313&amp;"; "&amp;AJ313</f>
        <v/>
      </c>
    </row>
    <row r="314">
      <c r="A314" s="11" t="inlineStr">
        <is>
          <t>T0948-G06-CIE</t>
        </is>
      </c>
      <c r="B314" s="11" t="n">
        <v>6</v>
      </c>
      <c r="C314" s="11" t="inlineStr">
        <is>
          <t>Ciencias</t>
        </is>
      </c>
      <c r="D314" s="11" t="inlineStr">
        <is>
          <t>Matriz_Ciencias_6to_Grado_U1_U6.xlsx</t>
        </is>
      </c>
      <c r="E314" s="11" t="inlineStr">
        <is>
          <t>Unidad 4 - Interacciones químic</t>
        </is>
      </c>
      <c r="F314" s="11" t="n">
        <v>8</v>
      </c>
      <c r="G314" s="11" t="inlineStr">
        <is>
          <t>4. Interacciones químicas.</t>
        </is>
      </c>
      <c r="H314" s="11" t="inlineStr">
        <is>
          <t>Enlace covalente.</t>
        </is>
      </c>
      <c r="I314" s="38" t="inlineStr">
        <is>
          <t>4.6. Interpretación del momento dipolar con modelos moleculares.</t>
        </is>
      </c>
      <c r="J314" s="11" t="inlineStr">
        <is>
          <t>T8_27</t>
        </is>
      </c>
      <c r="K314" s="11" t="inlineStr">
        <is>
          <t>T8_27-C1.1</t>
        </is>
      </c>
      <c r="L314" s="11" t="inlineStr"/>
      <c r="M314" s="11">
        <f>IF(K314="FUERA","Fuera del marco",IF(K314="N/A","Sin marco",IFERROR(INDEX('Datos - Catálogo TIMSS'!$C$5:$C$107,MATCH(K314,'Datos - Catálogo TIMSS'!$A$5:$A$107,0)),"Pendiente de clasificar")))</f>
        <v/>
      </c>
      <c r="N314" s="11">
        <f>IF(K314="FUERA","Fuera del marco",IF(K314="N/A","Sin marco",IFERROR(INDEX('Datos - Catálogo TIMSS'!$F$5:$F$107,MATCH(K314,'Datos - Catálogo TIMSS'!$A$5:$A$107,0)),"Pendiente de clasificar")))</f>
        <v/>
      </c>
      <c r="O314" s="11">
        <f>IF(L314="","",IFERROR(INDEX('Datos - Catálogo TIMSS'!$C$5:$C$107,MATCH(L314,'Datos - Catálogo TIMSS'!$A$5:$A$107,0)),"?"))</f>
        <v/>
      </c>
      <c r="P314" s="11" t="inlineStr">
        <is>
          <t>media</t>
        </is>
      </c>
      <c r="Q314" s="38" t="inlineStr">
        <is>
          <t>Polaridad del enlace; nivel mayor que TIMSS.</t>
        </is>
      </c>
      <c r="R314" s="38" t="inlineStr">
        <is>
          <t>Aplicar: interpretar modelos</t>
        </is>
      </c>
      <c r="S314" s="39">
        <f>IFERROR(ISNUMBER(SEARCH("Conocer",$R314))/(ISNUMBER(SEARCH("Conocer",$R314))+ISNUMBER(SEARCH("Aplicar",$R314))+ISNUMBER(SEARCH("Razonar",$R314))),0)</f>
        <v/>
      </c>
      <c r="T314" s="39">
        <f>IFERROR(ISNUMBER(SEARCH("Aplicar",$R314))/(ISNUMBER(SEARCH("Conocer",$R314))+ISNUMBER(SEARCH("Aplicar",$R314))+ISNUMBER(SEARCH("Razonar",$R314))),0)</f>
        <v/>
      </c>
      <c r="U314" s="39">
        <f>IFERROR(ISNUMBER(SEARCH("Razonar",$R314))/(ISNUMBER(SEARCH("Conocer",$R314))+ISNUMBER(SEARCH("Aplicar",$R314))+ISNUMBER(SEARCH("Razonar",$R314))),0)</f>
        <v/>
      </c>
      <c r="V314" s="11" t="inlineStr">
        <is>
          <t>6°</t>
        </is>
      </c>
      <c r="W314" s="11" t="inlineStr">
        <is>
          <t>Ciclo 5°–8°</t>
        </is>
      </c>
      <c r="X314" s="11">
        <f>IF(OR(IFERROR(INDEX('Datos - Catálogo TIMSS'!$I$5:$I$107,MATCH(K314,'Datos - Catálogo TIMSS'!$A$5:$A$107,0)),"No")="Sí",IFERROR(INDEX('Datos - Catálogo TIMSS'!$I$5:$I$107,MATCH(L314,'Datos - Catálogo TIMSS'!$A$5:$A$107,0)),"No")="Sí"),1,0)</f>
        <v/>
      </c>
      <c r="Y314" s="11">
        <f>IF(IFERROR(INDEX('Datos - Catálogo TIMSS'!$J$5:$J$107,MATCH(K314,'Datos - Catálogo TIMSS'!$A$5:$A$107,0)),"No")="Sí",1,0)</f>
        <v/>
      </c>
      <c r="Z314" s="11">
        <f>IF(IFERROR(INDEX('Datos - Catálogo TIMSS'!$J$5:$J$107,MATCH(L314,'Datos - Catálogo TIMSS'!$A$5:$A$107,0)),"No")="Sí",1,0)</f>
        <v/>
      </c>
      <c r="AA314" s="11" t="inlineStr">
        <is>
          <t>T8-Q3.3</t>
        </is>
      </c>
      <c r="AB314" s="11" t="inlineStr"/>
      <c r="AC314" s="11">
        <f>IF(AA314="FUERA","Fuera del marco",IF(AA314="N/A","Sin marco",IFERROR(INDEX('Datos - TIMSS 2023'!$C$5:$C$105,MATCH(AA314,'Datos - TIMSS 2023'!$A$5:$A$105,0)),"Pendiente de clasificar")))</f>
        <v/>
      </c>
      <c r="AD314" s="11" t="inlineStr">
        <is>
          <t>1. Explicar fenómenos científicamente</t>
        </is>
      </c>
      <c r="AE314" s="11">
        <f>IF(AD314="","",IF(LEFT(AD314,1)="1","C1",IF(LEFT(AD314,1)="2","C2",IF(LEFT(AD314,1)="3","C3",""))))</f>
        <v/>
      </c>
      <c r="AF314" s="11" t="inlineStr">
        <is>
          <t>E1</t>
        </is>
      </c>
      <c r="AG314" s="11" t="inlineStr">
        <is>
          <t>E5</t>
        </is>
      </c>
      <c r="AH314" s="11" t="inlineStr">
        <is>
          <t>E1</t>
        </is>
      </c>
      <c r="AI314" s="11" t="inlineStr">
        <is>
          <t>D4</t>
        </is>
      </c>
      <c r="AJ314" s="11" t="inlineStr">
        <is>
          <t>E1</t>
        </is>
      </c>
      <c r="AK314" s="11" t="n"/>
      <c r="AL314" s="11" t="n"/>
      <c r="AM314" s="11" t="n"/>
      <c r="AN314" s="11" t="n"/>
      <c r="AO314" s="11" t="n"/>
      <c r="AP314" s="11" t="n"/>
      <c r="AQ314" s="11" t="n"/>
      <c r="AR314" s="11" t="n"/>
      <c r="AS314" s="11" t="n"/>
      <c r="AT314" s="11" t="n"/>
      <c r="AU314" s="11" t="n"/>
      <c r="AV314" s="11" t="n"/>
      <c r="AW314" s="11">
        <f>AF314&amp;"; "&amp;AG314&amp;"; "&amp;AH314&amp;"; "&amp;AI314&amp;"; "&amp;AJ314</f>
        <v/>
      </c>
    </row>
    <row r="315">
      <c r="A315" s="11" t="inlineStr">
        <is>
          <t>T0949-G06-CIE</t>
        </is>
      </c>
      <c r="B315" s="11" t="n">
        <v>6</v>
      </c>
      <c r="C315" s="11" t="inlineStr">
        <is>
          <t>Ciencias</t>
        </is>
      </c>
      <c r="D315" s="11" t="inlineStr">
        <is>
          <t>Matriz_Ciencias_6to_Grado_U1_U6.xlsx</t>
        </is>
      </c>
      <c r="E315" s="11" t="inlineStr">
        <is>
          <t>Unidad 4 - Interacciones químic</t>
        </is>
      </c>
      <c r="F315" s="11" t="n">
        <v>9</v>
      </c>
      <c r="G315" s="11" t="inlineStr">
        <is>
          <t>4. Interacciones químicas.</t>
        </is>
      </c>
      <c r="H315" s="11" t="inlineStr">
        <is>
          <t>Fuerzas intermoleculares.</t>
        </is>
      </c>
      <c r="I315" s="38" t="inlineStr">
        <is>
          <t>4.7. Demostración experimental macroscópica de las fuerzas intermoleculares.</t>
        </is>
      </c>
      <c r="J315" s="11" t="inlineStr">
        <is>
          <t>T8_27</t>
        </is>
      </c>
      <c r="K315" s="11" t="inlineStr">
        <is>
          <t>T8_27-P1.1</t>
        </is>
      </c>
      <c r="L315" s="11" t="inlineStr">
        <is>
          <t>T8_27-P1.2</t>
        </is>
      </c>
      <c r="M315" s="11">
        <f>IF(K315="FUERA","Fuera del marco",IF(K315="N/A","Sin marco",IFERROR(INDEX('Datos - Catálogo TIMSS'!$C$5:$C$107,MATCH(K315,'Datos - Catálogo TIMSS'!$A$5:$A$107,0)),"Pendiente de clasificar")))</f>
        <v/>
      </c>
      <c r="N315" s="11">
        <f>IF(K315="FUERA","Fuera del marco",IF(K315="N/A","Sin marco",IFERROR(INDEX('Datos - Catálogo TIMSS'!$F$5:$F$107,MATCH(K315,'Datos - Catálogo TIMSS'!$A$5:$A$107,0)),"Pendiente de clasificar")))</f>
        <v/>
      </c>
      <c r="O315" s="11">
        <f>IF(L315="","",IFERROR(INDEX('Datos - Catálogo TIMSS'!$C$5:$C$107,MATCH(L315,'Datos - Catálogo TIMSS'!$A$5:$A$107,0)),"?"))</f>
        <v/>
      </c>
      <c r="P315" s="11" t="inlineStr">
        <is>
          <t>media</t>
        </is>
      </c>
      <c r="Q315" s="38" t="inlineStr">
        <is>
          <t>Fuerzas entre partículas explican diferente rapidez de evaporación.</t>
        </is>
      </c>
      <c r="R315" s="38" t="inlineStr">
        <is>
          <t>Razonar: comparar e interpretar</t>
        </is>
      </c>
      <c r="S315" s="39">
        <f>IFERROR(ISNUMBER(SEARCH("Conocer",$R315))/(ISNUMBER(SEARCH("Conocer",$R315))+ISNUMBER(SEARCH("Aplicar",$R315))+ISNUMBER(SEARCH("Razonar",$R315))),0)</f>
        <v/>
      </c>
      <c r="T315" s="39">
        <f>IFERROR(ISNUMBER(SEARCH("Aplicar",$R315))/(ISNUMBER(SEARCH("Conocer",$R315))+ISNUMBER(SEARCH("Aplicar",$R315))+ISNUMBER(SEARCH("Razonar",$R315))),0)</f>
        <v/>
      </c>
      <c r="U315" s="39">
        <f>IFERROR(ISNUMBER(SEARCH("Razonar",$R315))/(ISNUMBER(SEARCH("Conocer",$R315))+ISNUMBER(SEARCH("Aplicar",$R315))+ISNUMBER(SEARCH("Razonar",$R315))),0)</f>
        <v/>
      </c>
      <c r="V315" s="11" t="inlineStr">
        <is>
          <t>6°</t>
        </is>
      </c>
      <c r="W315" s="11" t="inlineStr">
        <is>
          <t>Ciclo 5°–8°</t>
        </is>
      </c>
      <c r="X315" s="11">
        <f>IF(OR(IFERROR(INDEX('Datos - Catálogo TIMSS'!$I$5:$I$107,MATCH(K315,'Datos - Catálogo TIMSS'!$A$5:$A$107,0)),"No")="Sí",IFERROR(INDEX('Datos - Catálogo TIMSS'!$I$5:$I$107,MATCH(L315,'Datos - Catálogo TIMSS'!$A$5:$A$107,0)),"No")="Sí"),1,0)</f>
        <v/>
      </c>
      <c r="Y315" s="11">
        <f>IF(IFERROR(INDEX('Datos - Catálogo TIMSS'!$J$5:$J$107,MATCH(K315,'Datos - Catálogo TIMSS'!$A$5:$A$107,0)),"No")="Sí",1,0)</f>
        <v/>
      </c>
      <c r="Z315" s="11">
        <f>IF(IFERROR(INDEX('Datos - Catálogo TIMSS'!$J$5:$J$107,MATCH(L315,'Datos - Catálogo TIMSS'!$A$5:$A$107,0)),"No")="Sí",1,0)</f>
        <v/>
      </c>
      <c r="AA315" s="11" t="inlineStr">
        <is>
          <t>T8-F1.1</t>
        </is>
      </c>
      <c r="AB315" s="11" t="inlineStr">
        <is>
          <t>T8-F1.2</t>
        </is>
      </c>
      <c r="AC315" s="11">
        <f>IF(AA315="FUERA","Fuera del marco",IF(AA315="N/A","Sin marco",IFERROR(INDEX('Datos - TIMSS 2023'!$C$5:$C$105,MATCH(AA315,'Datos - TIMSS 2023'!$A$5:$A$105,0)),"Pendiente de clasificar")))</f>
        <v/>
      </c>
      <c r="AD315" s="11" t="inlineStr">
        <is>
          <t>2. Construir y evaluar diseños para la indagación científica e interpretar datos y evidencia de forma crítica</t>
        </is>
      </c>
      <c r="AE315" s="11">
        <f>IF(AD315="","",IF(LEFT(AD315,1)="1","C1",IF(LEFT(AD315,1)="2","C2",IF(LEFT(AD315,1)="3","C3",""))))</f>
        <v/>
      </c>
      <c r="AF315" s="11" t="inlineStr">
        <is>
          <t>E1</t>
        </is>
      </c>
      <c r="AG315" s="11" t="inlineStr">
        <is>
          <t>E3</t>
        </is>
      </c>
      <c r="AH315" s="11" t="inlineStr">
        <is>
          <t>E1</t>
        </is>
      </c>
      <c r="AI315" s="11" t="inlineStr">
        <is>
          <t>D4</t>
        </is>
      </c>
      <c r="AJ315" s="11" t="inlineStr">
        <is>
          <t>E1</t>
        </is>
      </c>
      <c r="AK315" s="11" t="n"/>
      <c r="AL315" s="11" t="n"/>
      <c r="AM315" s="11" t="n"/>
      <c r="AN315" s="11" t="n"/>
      <c r="AO315" s="11" t="n"/>
      <c r="AP315" s="11" t="n"/>
      <c r="AQ315" s="11" t="n"/>
      <c r="AR315" s="11" t="n"/>
      <c r="AS315" s="11" t="n"/>
      <c r="AT315" s="11" t="n"/>
      <c r="AU315" s="11" t="n"/>
      <c r="AV315" s="11" t="n"/>
      <c r="AW315" s="11">
        <f>AF315&amp;"; "&amp;AG315&amp;"; "&amp;AH315&amp;"; "&amp;AI315&amp;"; "&amp;AJ315</f>
        <v/>
      </c>
    </row>
    <row r="316">
      <c r="A316" s="11" t="inlineStr">
        <is>
          <t>T0950-G06-CIE</t>
        </is>
      </c>
      <c r="B316" s="11" t="n">
        <v>6</v>
      </c>
      <c r="C316" s="11" t="inlineStr">
        <is>
          <t>Ciencias</t>
        </is>
      </c>
      <c r="D316" s="11" t="inlineStr">
        <is>
          <t>Matriz_Ciencias_6to_Grado_U1_U6.xlsx</t>
        </is>
      </c>
      <c r="E316" s="11" t="inlineStr">
        <is>
          <t>Unidad 4 - Interacciones químic</t>
        </is>
      </c>
      <c r="F316" s="11" t="n">
        <v>10</v>
      </c>
      <c r="G316" s="11" t="inlineStr">
        <is>
          <t>4. Interacciones químicas.</t>
        </is>
      </c>
      <c r="H316" s="11" t="inlineStr">
        <is>
          <t>Fuerzas intermoleculares.</t>
        </is>
      </c>
      <c r="I316" s="38" t="inlineStr">
        <is>
          <t>4.8. Construcción del concepto de las fuerzas intermoleculares.</t>
        </is>
      </c>
      <c r="J316" s="11" t="inlineStr">
        <is>
          <t>T8_27</t>
        </is>
      </c>
      <c r="K316" s="11" t="inlineStr">
        <is>
          <t>T8_27-P1.1</t>
        </is>
      </c>
      <c r="L316" s="11" t="inlineStr"/>
      <c r="M316" s="11">
        <f>IF(K316="FUERA","Fuera del marco",IF(K316="N/A","Sin marco",IFERROR(INDEX('Datos - Catálogo TIMSS'!$C$5:$C$107,MATCH(K316,'Datos - Catálogo TIMSS'!$A$5:$A$107,0)),"Pendiente de clasificar")))</f>
        <v/>
      </c>
      <c r="N316" s="11">
        <f>IF(K316="FUERA","Fuera del marco",IF(K316="N/A","Sin marco",IFERROR(INDEX('Datos - Catálogo TIMSS'!$F$5:$F$107,MATCH(K316,'Datos - Catálogo TIMSS'!$A$5:$A$107,0)),"Pendiente de clasificar")))</f>
        <v/>
      </c>
      <c r="O316" s="11">
        <f>IF(L316="","",IFERROR(INDEX('Datos - Catálogo TIMSS'!$C$5:$C$107,MATCH(L316,'Datos - Catálogo TIMSS'!$A$5:$A$107,0)),"?"))</f>
        <v/>
      </c>
      <c r="P316" s="11" t="inlineStr">
        <is>
          <t>media</t>
        </is>
      </c>
      <c r="Q316" s="38" t="inlineStr">
        <is>
          <t>Fuerzas entre partículas explican propiedades de los estados.</t>
        </is>
      </c>
      <c r="R316" s="38" t="inlineStr">
        <is>
          <t>Conocer: explicar</t>
        </is>
      </c>
      <c r="S316" s="39">
        <f>IFERROR(ISNUMBER(SEARCH("Conocer",$R316))/(ISNUMBER(SEARCH("Conocer",$R316))+ISNUMBER(SEARCH("Aplicar",$R316))+ISNUMBER(SEARCH("Razonar",$R316))),0)</f>
        <v/>
      </c>
      <c r="T316" s="39">
        <f>IFERROR(ISNUMBER(SEARCH("Aplicar",$R316))/(ISNUMBER(SEARCH("Conocer",$R316))+ISNUMBER(SEARCH("Aplicar",$R316))+ISNUMBER(SEARCH("Razonar",$R316))),0)</f>
        <v/>
      </c>
      <c r="U316" s="39">
        <f>IFERROR(ISNUMBER(SEARCH("Razonar",$R316))/(ISNUMBER(SEARCH("Conocer",$R316))+ISNUMBER(SEARCH("Aplicar",$R316))+ISNUMBER(SEARCH("Razonar",$R316))),0)</f>
        <v/>
      </c>
      <c r="V316" s="11" t="inlineStr">
        <is>
          <t>6°</t>
        </is>
      </c>
      <c r="W316" s="11" t="inlineStr">
        <is>
          <t>Ciclo 5°–8°</t>
        </is>
      </c>
      <c r="X316" s="11">
        <f>IF(OR(IFERROR(INDEX('Datos - Catálogo TIMSS'!$I$5:$I$107,MATCH(K316,'Datos - Catálogo TIMSS'!$A$5:$A$107,0)),"No")="Sí",IFERROR(INDEX('Datos - Catálogo TIMSS'!$I$5:$I$107,MATCH(L316,'Datos - Catálogo TIMSS'!$A$5:$A$107,0)),"No")="Sí"),1,0)</f>
        <v/>
      </c>
      <c r="Y316" s="11">
        <f>IF(IFERROR(INDEX('Datos - Catálogo TIMSS'!$J$5:$J$107,MATCH(K316,'Datos - Catálogo TIMSS'!$A$5:$A$107,0)),"No")="Sí",1,0)</f>
        <v/>
      </c>
      <c r="Z316" s="11">
        <f>IF(IFERROR(INDEX('Datos - Catálogo TIMSS'!$J$5:$J$107,MATCH(L316,'Datos - Catálogo TIMSS'!$A$5:$A$107,0)),"No")="Sí",1,0)</f>
        <v/>
      </c>
      <c r="AA316" s="11" t="inlineStr">
        <is>
          <t>T8-F1.1</t>
        </is>
      </c>
      <c r="AB316" s="11" t="inlineStr"/>
      <c r="AC316" s="11">
        <f>IF(AA316="FUERA","Fuera del marco",IF(AA316="N/A","Sin marco",IFERROR(INDEX('Datos - TIMSS 2023'!$C$5:$C$105,MATCH(AA316,'Datos - TIMSS 2023'!$A$5:$A$105,0)),"Pendiente de clasificar")))</f>
        <v/>
      </c>
      <c r="AD316" s="11" t="inlineStr">
        <is>
          <t>1. Explicar fenómenos científicamente</t>
        </is>
      </c>
      <c r="AE316" s="11">
        <f>IF(AD316="","",IF(LEFT(AD316,1)="1","C1",IF(LEFT(AD316,1)="2","C2",IF(LEFT(AD316,1)="3","C3",""))))</f>
        <v/>
      </c>
      <c r="AF316" s="11" t="inlineStr">
        <is>
          <t>E1</t>
        </is>
      </c>
      <c r="AG316" s="11" t="inlineStr">
        <is>
          <t>D1</t>
        </is>
      </c>
      <c r="AH316" s="11" t="inlineStr">
        <is>
          <t>E1</t>
        </is>
      </c>
      <c r="AI316" s="11" t="inlineStr">
        <is>
          <t>D4</t>
        </is>
      </c>
      <c r="AJ316" s="11" t="inlineStr">
        <is>
          <t>E1</t>
        </is>
      </c>
      <c r="AK316" s="11" t="n"/>
      <c r="AL316" s="11" t="n"/>
      <c r="AM316" s="11" t="n"/>
      <c r="AN316" s="11" t="n"/>
      <c r="AO316" s="11" t="n"/>
      <c r="AP316" s="11" t="n"/>
      <c r="AQ316" s="11" t="n"/>
      <c r="AR316" s="11" t="n"/>
      <c r="AS316" s="11" t="n"/>
      <c r="AT316" s="11" t="n"/>
      <c r="AU316" s="11" t="n"/>
      <c r="AV316" s="11" t="n"/>
      <c r="AW316" s="11">
        <f>AF316&amp;"; "&amp;AG316&amp;"; "&amp;AH316&amp;"; "&amp;AI316&amp;"; "&amp;AJ316</f>
        <v/>
      </c>
    </row>
    <row r="317">
      <c r="A317" s="11" t="inlineStr">
        <is>
          <t>T0951-G06-CIE</t>
        </is>
      </c>
      <c r="B317" s="11" t="n">
        <v>6</v>
      </c>
      <c r="C317" s="11" t="inlineStr">
        <is>
          <t>Ciencias</t>
        </is>
      </c>
      <c r="D317" s="11" t="inlineStr">
        <is>
          <t>Matriz_Ciencias_6to_Grado_U1_U6.xlsx</t>
        </is>
      </c>
      <c r="E317" s="11" t="inlineStr">
        <is>
          <t>Unidad 4 - Interacciones químic</t>
        </is>
      </c>
      <c r="F317" s="11" t="n">
        <v>11</v>
      </c>
      <c r="G317" s="11" t="inlineStr">
        <is>
          <t>4. Interacciones químicas.</t>
        </is>
      </c>
      <c r="H317" s="11" t="inlineStr">
        <is>
          <t>Reacciones químicas.</t>
        </is>
      </c>
      <c r="I317" s="38" t="inlineStr">
        <is>
          <t>4.9. Determinación experimental de evidencias de reacción química.</t>
        </is>
      </c>
      <c r="J317" s="11" t="inlineStr">
        <is>
          <t>T8_27</t>
        </is>
      </c>
      <c r="K317" s="11" t="inlineStr">
        <is>
          <t>T8_27-C3.1</t>
        </is>
      </c>
      <c r="L317" s="11" t="inlineStr"/>
      <c r="M317" s="11">
        <f>IF(K317="FUERA","Fuera del marco",IF(K317="N/A","Sin marco",IFERROR(INDEX('Datos - Catálogo TIMSS'!$C$5:$C$107,MATCH(K317,'Datos - Catálogo TIMSS'!$A$5:$A$107,0)),"Pendiente de clasificar")))</f>
        <v/>
      </c>
      <c r="N317" s="11">
        <f>IF(K317="FUERA","Fuera del marco",IF(K317="N/A","Sin marco",IFERROR(INDEX('Datos - Catálogo TIMSS'!$F$5:$F$107,MATCH(K317,'Datos - Catálogo TIMSS'!$A$5:$A$107,0)),"Pendiente de clasificar")))</f>
        <v/>
      </c>
      <c r="O317" s="11">
        <f>IF(L317="","",IFERROR(INDEX('Datos - Catálogo TIMSS'!$C$5:$C$107,MATCH(L317,'Datos - Catálogo TIMSS'!$A$5:$A$107,0)),"?"))</f>
        <v/>
      </c>
      <c r="P317" s="11" t="inlineStr">
        <is>
          <t>alta</t>
        </is>
      </c>
      <c r="Q317" s="38" t="inlineStr">
        <is>
          <t>Evidencias de reacción química: gas, color, precipitado, calor.</t>
        </is>
      </c>
      <c r="R317" s="38" t="inlineStr">
        <is>
          <t>Aplicar: identificar. Razonar: justificar</t>
        </is>
      </c>
      <c r="S317" s="39">
        <f>IFERROR(ISNUMBER(SEARCH("Conocer",$R317))/(ISNUMBER(SEARCH("Conocer",$R317))+ISNUMBER(SEARCH("Aplicar",$R317))+ISNUMBER(SEARCH("Razonar",$R317))),0)</f>
        <v/>
      </c>
      <c r="T317" s="39">
        <f>IFERROR(ISNUMBER(SEARCH("Aplicar",$R317))/(ISNUMBER(SEARCH("Conocer",$R317))+ISNUMBER(SEARCH("Aplicar",$R317))+ISNUMBER(SEARCH("Razonar",$R317))),0)</f>
        <v/>
      </c>
      <c r="U317" s="39">
        <f>IFERROR(ISNUMBER(SEARCH("Razonar",$R317))/(ISNUMBER(SEARCH("Conocer",$R317))+ISNUMBER(SEARCH("Aplicar",$R317))+ISNUMBER(SEARCH("Razonar",$R317))),0)</f>
        <v/>
      </c>
      <c r="V317" s="11" t="inlineStr">
        <is>
          <t>6°</t>
        </is>
      </c>
      <c r="W317" s="11" t="inlineStr">
        <is>
          <t>Ciclo 5°–8°</t>
        </is>
      </c>
      <c r="X317" s="11">
        <f>IF(OR(IFERROR(INDEX('Datos - Catálogo TIMSS'!$I$5:$I$107,MATCH(K317,'Datos - Catálogo TIMSS'!$A$5:$A$107,0)),"No")="Sí",IFERROR(INDEX('Datos - Catálogo TIMSS'!$I$5:$I$107,MATCH(L317,'Datos - Catálogo TIMSS'!$A$5:$A$107,0)),"No")="Sí"),1,0)</f>
        <v/>
      </c>
      <c r="Y317" s="11">
        <f>IF(IFERROR(INDEX('Datos - Catálogo TIMSS'!$J$5:$J$107,MATCH(K317,'Datos - Catálogo TIMSS'!$A$5:$A$107,0)),"No")="Sí",1,0)</f>
        <v/>
      </c>
      <c r="Z317" s="11">
        <f>IF(IFERROR(INDEX('Datos - Catálogo TIMSS'!$J$5:$J$107,MATCH(L317,'Datos - Catálogo TIMSS'!$A$5:$A$107,0)),"No")="Sí",1,0)</f>
        <v/>
      </c>
      <c r="AA317" s="11" t="inlineStr">
        <is>
          <t>T8-Q3.1</t>
        </is>
      </c>
      <c r="AB317" s="11" t="inlineStr"/>
      <c r="AC317" s="11">
        <f>IF(AA317="FUERA","Fuera del marco",IF(AA317="N/A","Sin marco",IFERROR(INDEX('Datos - TIMSS 2023'!$C$5:$C$105,MATCH(AA317,'Datos - TIMSS 2023'!$A$5:$A$105,0)),"Pendiente de clasificar")))</f>
        <v/>
      </c>
      <c r="AD317" s="11" t="inlineStr">
        <is>
          <t>2. Construir y evaluar diseños para la indagación científica e interpretar datos y evidencia de forma crítica</t>
        </is>
      </c>
      <c r="AE317" s="11">
        <f>IF(AD317="","",IF(LEFT(AD317,1)="1","C1",IF(LEFT(AD317,1)="2","C2",IF(LEFT(AD317,1)="3","C3",""))))</f>
        <v/>
      </c>
      <c r="AF317" s="11" t="inlineStr">
        <is>
          <t>E1</t>
        </is>
      </c>
      <c r="AG317" s="11" t="inlineStr">
        <is>
          <t>D1</t>
        </is>
      </c>
      <c r="AH317" s="11" t="inlineStr">
        <is>
          <t>E1</t>
        </is>
      </c>
      <c r="AI317" s="11" t="inlineStr">
        <is>
          <t>D4</t>
        </is>
      </c>
      <c r="AJ317" s="11" t="inlineStr">
        <is>
          <t>E1</t>
        </is>
      </c>
      <c r="AK317" s="11" t="n"/>
      <c r="AL317" s="11" t="n"/>
      <c r="AM317" s="11" t="n"/>
      <c r="AN317" s="11" t="n"/>
      <c r="AO317" s="11" t="n"/>
      <c r="AP317" s="11" t="n"/>
      <c r="AQ317" s="11" t="n"/>
      <c r="AR317" s="11" t="n"/>
      <c r="AS317" s="11" t="n"/>
      <c r="AT317" s="11" t="n"/>
      <c r="AU317" s="11" t="n"/>
      <c r="AV317" s="11" t="n"/>
      <c r="AW317" s="11">
        <f>AF317&amp;"; "&amp;AG317&amp;"; "&amp;AH317&amp;"; "&amp;AI317&amp;"; "&amp;AJ317</f>
        <v/>
      </c>
    </row>
    <row r="318">
      <c r="A318" s="11" t="inlineStr">
        <is>
          <t>T0952-G06-CIE</t>
        </is>
      </c>
      <c r="B318" s="11" t="n">
        <v>6</v>
      </c>
      <c r="C318" s="11" t="inlineStr">
        <is>
          <t>Ciencias</t>
        </is>
      </c>
      <c r="D318" s="11" t="inlineStr">
        <is>
          <t>Matriz_Ciencias_6to_Grado_U1_U6.xlsx</t>
        </is>
      </c>
      <c r="E318" s="11" t="inlineStr">
        <is>
          <t>Unidad 4 - Interacciones químic</t>
        </is>
      </c>
      <c r="F318" s="11" t="n">
        <v>12</v>
      </c>
      <c r="G318" s="11" t="inlineStr">
        <is>
          <t>4. Interacciones químicas.</t>
        </is>
      </c>
      <c r="H318" s="11" t="inlineStr">
        <is>
          <t>Reacciones químicas.</t>
        </is>
      </c>
      <c r="I318" s="38" t="inlineStr">
        <is>
          <t>4.10. Clasificación de las reacciones químicas de acuerdo con diversos criterios.</t>
        </is>
      </c>
      <c r="J318" s="11" t="inlineStr">
        <is>
          <t>T8_27</t>
        </is>
      </c>
      <c r="K318" s="11" t="inlineStr">
        <is>
          <t>T8_27-C3.1</t>
        </is>
      </c>
      <c r="L318" s="11" t="inlineStr">
        <is>
          <t>T8_27-C3.2</t>
        </is>
      </c>
      <c r="M318" s="11">
        <f>IF(K318="FUERA","Fuera del marco",IF(K318="N/A","Sin marco",IFERROR(INDEX('Datos - Catálogo TIMSS'!$C$5:$C$107,MATCH(K318,'Datos - Catálogo TIMSS'!$A$5:$A$107,0)),"Pendiente de clasificar")))</f>
        <v/>
      </c>
      <c r="N318" s="11">
        <f>IF(K318="FUERA","Fuera del marco",IF(K318="N/A","Sin marco",IFERROR(INDEX('Datos - Catálogo TIMSS'!$F$5:$F$107,MATCH(K318,'Datos - Catálogo TIMSS'!$A$5:$A$107,0)),"Pendiente de clasificar")))</f>
        <v/>
      </c>
      <c r="O318" s="11">
        <f>IF(L318="","",IFERROR(INDEX('Datos - Catálogo TIMSS'!$C$5:$C$107,MATCH(L318,'Datos - Catálogo TIMSS'!$A$5:$A$107,0)),"?"))</f>
        <v/>
      </c>
      <c r="P318" s="11" t="inlineStr">
        <is>
          <t>media</t>
        </is>
      </c>
      <c r="Q318" s="38" t="inlineStr">
        <is>
          <t>Clasificación de reacciones, incluye liberación o absorción de energía.</t>
        </is>
      </c>
      <c r="R318" s="38" t="inlineStr">
        <is>
          <t>Aplicar: clasificar</t>
        </is>
      </c>
      <c r="S318" s="39">
        <f>IFERROR(ISNUMBER(SEARCH("Conocer",$R318))/(ISNUMBER(SEARCH("Conocer",$R318))+ISNUMBER(SEARCH("Aplicar",$R318))+ISNUMBER(SEARCH("Razonar",$R318))),0)</f>
        <v/>
      </c>
      <c r="T318" s="39">
        <f>IFERROR(ISNUMBER(SEARCH("Aplicar",$R318))/(ISNUMBER(SEARCH("Conocer",$R318))+ISNUMBER(SEARCH("Aplicar",$R318))+ISNUMBER(SEARCH("Razonar",$R318))),0)</f>
        <v/>
      </c>
      <c r="U318" s="39">
        <f>IFERROR(ISNUMBER(SEARCH("Razonar",$R318))/(ISNUMBER(SEARCH("Conocer",$R318))+ISNUMBER(SEARCH("Aplicar",$R318))+ISNUMBER(SEARCH("Razonar",$R318))),0)</f>
        <v/>
      </c>
      <c r="V318" s="11" t="inlineStr">
        <is>
          <t>6°</t>
        </is>
      </c>
      <c r="W318" s="11" t="inlineStr">
        <is>
          <t>Ciclo 5°–8°</t>
        </is>
      </c>
      <c r="X318" s="11">
        <f>IF(OR(IFERROR(INDEX('Datos - Catálogo TIMSS'!$I$5:$I$107,MATCH(K318,'Datos - Catálogo TIMSS'!$A$5:$A$107,0)),"No")="Sí",IFERROR(INDEX('Datos - Catálogo TIMSS'!$I$5:$I$107,MATCH(L318,'Datos - Catálogo TIMSS'!$A$5:$A$107,0)),"No")="Sí"),1,0)</f>
        <v/>
      </c>
      <c r="Y318" s="11">
        <f>IF(IFERROR(INDEX('Datos - Catálogo TIMSS'!$J$5:$J$107,MATCH(K318,'Datos - Catálogo TIMSS'!$A$5:$A$107,0)),"No")="Sí",1,0)</f>
        <v/>
      </c>
      <c r="Z318" s="11">
        <f>IF(IFERROR(INDEX('Datos - Catálogo TIMSS'!$J$5:$J$107,MATCH(L318,'Datos - Catálogo TIMSS'!$A$5:$A$107,0)),"No")="Sí",1,0)</f>
        <v/>
      </c>
      <c r="AA318" s="11" t="inlineStr">
        <is>
          <t>T8-Q3.1</t>
        </is>
      </c>
      <c r="AB318" s="11" t="inlineStr"/>
      <c r="AC318" s="11">
        <f>IF(AA318="FUERA","Fuera del marco",IF(AA318="N/A","Sin marco",IFERROR(INDEX('Datos - TIMSS 2023'!$C$5:$C$105,MATCH(AA318,'Datos - TIMSS 2023'!$A$5:$A$105,0)),"Pendiente de clasificar")))</f>
        <v/>
      </c>
      <c r="AD318" s="11" t="inlineStr">
        <is>
          <t>1. Explicar fenómenos científicamente</t>
        </is>
      </c>
      <c r="AE318" s="11">
        <f>IF(AD318="","",IF(LEFT(AD318,1)="1","C1",IF(LEFT(AD318,1)="2","C2",IF(LEFT(AD318,1)="3","C3",""))))</f>
        <v/>
      </c>
      <c r="AF318" s="11" t="inlineStr">
        <is>
          <t>E1</t>
        </is>
      </c>
      <c r="AG318" s="11" t="inlineStr">
        <is>
          <t>D1</t>
        </is>
      </c>
      <c r="AH318" s="11" t="inlineStr">
        <is>
          <t>E1</t>
        </is>
      </c>
      <c r="AI318" s="11" t="inlineStr">
        <is>
          <t>D4</t>
        </is>
      </c>
      <c r="AJ318" s="11" t="inlineStr">
        <is>
          <t>E6</t>
        </is>
      </c>
      <c r="AK318" s="11" t="n"/>
      <c r="AL318" s="11" t="n"/>
      <c r="AM318" s="11" t="n"/>
      <c r="AN318" s="11" t="n"/>
      <c r="AO318" s="11" t="n"/>
      <c r="AP318" s="11" t="n"/>
      <c r="AQ318" s="11" t="n"/>
      <c r="AR318" s="11" t="n"/>
      <c r="AS318" s="11" t="n"/>
      <c r="AT318" s="11" t="n"/>
      <c r="AU318" s="11" t="n"/>
      <c r="AV318" s="11" t="n"/>
      <c r="AW318" s="11">
        <f>AF318&amp;"; "&amp;AG318&amp;"; "&amp;AH318&amp;"; "&amp;AI318&amp;"; "&amp;AJ318</f>
        <v/>
      </c>
    </row>
    <row r="319">
      <c r="A319" s="11" t="inlineStr">
        <is>
          <t>T0953-G06-CIE</t>
        </is>
      </c>
      <c r="B319" s="11" t="n">
        <v>6</v>
      </c>
      <c r="C319" s="11" t="inlineStr">
        <is>
          <t>Ciencias</t>
        </is>
      </c>
      <c r="D319" s="11" t="inlineStr">
        <is>
          <t>Matriz_Ciencias_6to_Grado_U1_U6.xlsx</t>
        </is>
      </c>
      <c r="E319" s="11" t="inlineStr">
        <is>
          <t>Unidad 5 - Célula</t>
        </is>
      </c>
      <c r="F319" s="11" t="n">
        <v>3</v>
      </c>
      <c r="G319" s="11" t="inlineStr">
        <is>
          <t>5. Célula.</t>
        </is>
      </c>
      <c r="H319" s="11" t="inlineStr">
        <is>
          <t>Biomoléculas.</t>
        </is>
      </c>
      <c r="I319" s="38" t="inlineStr">
        <is>
          <t>5.1. Identificación experimental de los grupos de biomoléculas.</t>
        </is>
      </c>
      <c r="J319" s="11" t="inlineStr">
        <is>
          <t>T8_27</t>
        </is>
      </c>
      <c r="K319" s="11" t="inlineStr">
        <is>
          <t>T8_27-B6.2</t>
        </is>
      </c>
      <c r="L319" s="11" t="inlineStr"/>
      <c r="M319" s="11">
        <f>IF(K319="FUERA","Fuera del marco",IF(K319="N/A","Sin marco",IFERROR(INDEX('Datos - Catálogo TIMSS'!$C$5:$C$107,MATCH(K319,'Datos - Catálogo TIMSS'!$A$5:$A$107,0)),"Pendiente de clasificar")))</f>
        <v/>
      </c>
      <c r="N319" s="11">
        <f>IF(K319="FUERA","Fuera del marco",IF(K319="N/A","Sin marco",IFERROR(INDEX('Datos - Catálogo TIMSS'!$F$5:$F$107,MATCH(K319,'Datos - Catálogo TIMSS'!$A$5:$A$107,0)),"Pendiente de clasificar")))</f>
        <v/>
      </c>
      <c r="O319" s="11">
        <f>IF(L319="","",IFERROR(INDEX('Datos - Catálogo TIMSS'!$C$5:$C$107,MATCH(L319,'Datos - Catálogo TIMSS'!$A$5:$A$107,0)),"?"))</f>
        <v/>
      </c>
      <c r="P319" s="11" t="inlineStr">
        <is>
          <t>media</t>
        </is>
      </c>
      <c r="Q319" s="38" t="inlineStr">
        <is>
          <t>Pruebas de biomoléculas equivalen a identificar nutrientes en alimentos.</t>
        </is>
      </c>
      <c r="R319" s="38" t="inlineStr">
        <is>
          <t>Aplicar: identificar</t>
        </is>
      </c>
      <c r="S319" s="39">
        <f>IFERROR(ISNUMBER(SEARCH("Conocer",$R319))/(ISNUMBER(SEARCH("Conocer",$R319))+ISNUMBER(SEARCH("Aplicar",$R319))+ISNUMBER(SEARCH("Razonar",$R319))),0)</f>
        <v/>
      </c>
      <c r="T319" s="39">
        <f>IFERROR(ISNUMBER(SEARCH("Aplicar",$R319))/(ISNUMBER(SEARCH("Conocer",$R319))+ISNUMBER(SEARCH("Aplicar",$R319))+ISNUMBER(SEARCH("Razonar",$R319))),0)</f>
        <v/>
      </c>
      <c r="U319" s="39">
        <f>IFERROR(ISNUMBER(SEARCH("Razonar",$R319))/(ISNUMBER(SEARCH("Conocer",$R319))+ISNUMBER(SEARCH("Aplicar",$R319))+ISNUMBER(SEARCH("Razonar",$R319))),0)</f>
        <v/>
      </c>
      <c r="V319" s="11" t="inlineStr">
        <is>
          <t>6°</t>
        </is>
      </c>
      <c r="W319" s="11" t="inlineStr">
        <is>
          <t>Ciclo 5°–8°</t>
        </is>
      </c>
      <c r="X319" s="11">
        <f>IF(OR(IFERROR(INDEX('Datos - Catálogo TIMSS'!$I$5:$I$107,MATCH(K319,'Datos - Catálogo TIMSS'!$A$5:$A$107,0)),"No")="Sí",IFERROR(INDEX('Datos - Catálogo TIMSS'!$I$5:$I$107,MATCH(L319,'Datos - Catálogo TIMSS'!$A$5:$A$107,0)),"No")="Sí"),1,0)</f>
        <v/>
      </c>
      <c r="Y319" s="11">
        <f>IF(IFERROR(INDEX('Datos - Catálogo TIMSS'!$J$5:$J$107,MATCH(K319,'Datos - Catálogo TIMSS'!$A$5:$A$107,0)),"No")="Sí",1,0)</f>
        <v/>
      </c>
      <c r="Z319" s="11">
        <f>IF(IFERROR(INDEX('Datos - Catálogo TIMSS'!$J$5:$J$107,MATCH(L319,'Datos - Catálogo TIMSS'!$A$5:$A$107,0)),"No")="Sí",1,0)</f>
        <v/>
      </c>
      <c r="AA319" s="11" t="inlineStr">
        <is>
          <t>T8-B6.2</t>
        </is>
      </c>
      <c r="AB319" s="11" t="inlineStr">
        <is>
          <t>T8-B2.1</t>
        </is>
      </c>
      <c r="AC319" s="11">
        <f>IF(AA319="FUERA","Fuera del marco",IF(AA319="N/A","Sin marco",IFERROR(INDEX('Datos - TIMSS 2023'!$C$5:$C$105,MATCH(AA319,'Datos - TIMSS 2023'!$A$5:$A$105,0)),"Pendiente de clasificar")))</f>
        <v/>
      </c>
      <c r="AD319" s="11" t="inlineStr">
        <is>
          <t>2. Construir y evaluar diseños para la indagación científica e interpretar datos y evidencia de forma crítica</t>
        </is>
      </c>
      <c r="AE319" s="11">
        <f>IF(AD319="","",IF(LEFT(AD319,1)="1","C1",IF(LEFT(AD319,1)="2","C2",IF(LEFT(AD319,1)="3","C3",""))))</f>
        <v/>
      </c>
      <c r="AF319" s="11" t="inlineStr">
        <is>
          <t>E1</t>
        </is>
      </c>
      <c r="AG319" s="11" t="inlineStr">
        <is>
          <t>E3</t>
        </is>
      </c>
      <c r="AH319" s="11" t="inlineStr">
        <is>
          <t>E1</t>
        </is>
      </c>
      <c r="AI319" s="11" t="inlineStr">
        <is>
          <t>D4</t>
        </is>
      </c>
      <c r="AJ319" s="11" t="inlineStr">
        <is>
          <t>E1</t>
        </is>
      </c>
      <c r="AK319" s="11" t="n"/>
      <c r="AL319" s="11" t="n"/>
      <c r="AM319" s="11" t="n"/>
      <c r="AN319" s="11" t="n"/>
      <c r="AO319" s="11" t="n"/>
      <c r="AP319" s="11" t="n"/>
      <c r="AQ319" s="11" t="n"/>
      <c r="AR319" s="11" t="n"/>
      <c r="AS319" s="11" t="n"/>
      <c r="AT319" s="11" t="n"/>
      <c r="AU319" s="11" t="n"/>
      <c r="AV319" s="11" t="n"/>
      <c r="AW319" s="11">
        <f>AF319&amp;"; "&amp;AG319&amp;"; "&amp;AH319&amp;"; "&amp;AI319&amp;"; "&amp;AJ319</f>
        <v/>
      </c>
    </row>
    <row r="320">
      <c r="A320" s="11" t="inlineStr">
        <is>
          <t>T0954-G06-CIE</t>
        </is>
      </c>
      <c r="B320" s="11" t="n">
        <v>6</v>
      </c>
      <c r="C320" s="11" t="inlineStr">
        <is>
          <t>Ciencias</t>
        </is>
      </c>
      <c r="D320" s="11" t="inlineStr">
        <is>
          <t>Matriz_Ciencias_6to_Grado_U1_U6.xlsx</t>
        </is>
      </c>
      <c r="E320" s="11" t="inlineStr">
        <is>
          <t>Unidad 5 - Célula</t>
        </is>
      </c>
      <c r="F320" s="11" t="n">
        <v>4</v>
      </c>
      <c r="G320" s="11" t="inlineStr">
        <is>
          <t>5. Célula.</t>
        </is>
      </c>
      <c r="H320" s="11" t="inlineStr">
        <is>
          <t>Biomoléculas.</t>
        </is>
      </c>
      <c r="I320" s="38" t="inlineStr">
        <is>
          <t>5.2. Experimentación con la actividad enzimática.</t>
        </is>
      </c>
      <c r="J320" s="11" t="inlineStr">
        <is>
          <t>T8_27</t>
        </is>
      </c>
      <c r="K320" s="11" t="inlineStr">
        <is>
          <t>T8_27-C3.2</t>
        </is>
      </c>
      <c r="L320" s="11" t="inlineStr">
        <is>
          <t>T8_27-B7.1</t>
        </is>
      </c>
      <c r="M320" s="11">
        <f>IF(K320="FUERA","Fuera del marco",IF(K320="N/A","Sin marco",IFERROR(INDEX('Datos - Catálogo TIMSS'!$C$5:$C$107,MATCH(K320,'Datos - Catálogo TIMSS'!$A$5:$A$107,0)),"Pendiente de clasificar")))</f>
        <v/>
      </c>
      <c r="N320" s="11">
        <f>IF(K320="FUERA","Fuera del marco",IF(K320="N/A","Sin marco",IFERROR(INDEX('Datos - Catálogo TIMSS'!$F$5:$F$107,MATCH(K320,'Datos - Catálogo TIMSS'!$A$5:$A$107,0)),"Pendiente de clasificar")))</f>
        <v/>
      </c>
      <c r="O320" s="11">
        <f>IF(L320="","",IFERROR(INDEX('Datos - Catálogo TIMSS'!$C$5:$C$107,MATCH(L320,'Datos - Catálogo TIMSS'!$A$5:$A$107,0)),"?"))</f>
        <v/>
      </c>
      <c r="P320" s="11" t="inlineStr">
        <is>
          <t>baja</t>
        </is>
      </c>
      <c r="Q320" s="38" t="inlineStr">
        <is>
          <t>Enzimas no están; rapidez de reacción según condiciones, con variables.</t>
        </is>
      </c>
      <c r="R320" s="38" t="inlineStr">
        <is>
          <t>Razonar: diseñar y concluir</t>
        </is>
      </c>
      <c r="S320" s="39">
        <f>IFERROR(ISNUMBER(SEARCH("Conocer",$R320))/(ISNUMBER(SEARCH("Conocer",$R320))+ISNUMBER(SEARCH("Aplicar",$R320))+ISNUMBER(SEARCH("Razonar",$R320))),0)</f>
        <v/>
      </c>
      <c r="T320" s="39">
        <f>IFERROR(ISNUMBER(SEARCH("Aplicar",$R320))/(ISNUMBER(SEARCH("Conocer",$R320))+ISNUMBER(SEARCH("Aplicar",$R320))+ISNUMBER(SEARCH("Razonar",$R320))),0)</f>
        <v/>
      </c>
      <c r="U320" s="39">
        <f>IFERROR(ISNUMBER(SEARCH("Razonar",$R320))/(ISNUMBER(SEARCH("Conocer",$R320))+ISNUMBER(SEARCH("Aplicar",$R320))+ISNUMBER(SEARCH("Razonar",$R320))),0)</f>
        <v/>
      </c>
      <c r="V320" s="11" t="inlineStr">
        <is>
          <t>6°</t>
        </is>
      </c>
      <c r="W320" s="11" t="inlineStr">
        <is>
          <t>Ciclo 5°–8°</t>
        </is>
      </c>
      <c r="X320" s="11">
        <f>IF(OR(IFERROR(INDEX('Datos - Catálogo TIMSS'!$I$5:$I$107,MATCH(K320,'Datos - Catálogo TIMSS'!$A$5:$A$107,0)),"No")="Sí",IFERROR(INDEX('Datos - Catálogo TIMSS'!$I$5:$I$107,MATCH(L320,'Datos - Catálogo TIMSS'!$A$5:$A$107,0)),"No")="Sí"),1,0)</f>
        <v/>
      </c>
      <c r="Y320" s="11">
        <f>IF(IFERROR(INDEX('Datos - Catálogo TIMSS'!$J$5:$J$107,MATCH(K320,'Datos - Catálogo TIMSS'!$A$5:$A$107,0)),"No")="Sí",1,0)</f>
        <v/>
      </c>
      <c r="Z320" s="11">
        <f>IF(IFERROR(INDEX('Datos - Catálogo TIMSS'!$J$5:$J$107,MATCH(L320,'Datos - Catálogo TIMSS'!$A$5:$A$107,0)),"No")="Sí",1,0)</f>
        <v/>
      </c>
      <c r="AA320" s="11" t="inlineStr">
        <is>
          <t>T8-B2.1</t>
        </is>
      </c>
      <c r="AB320" s="11" t="inlineStr">
        <is>
          <t>T8-Q3.2</t>
        </is>
      </c>
      <c r="AC320" s="11">
        <f>IF(AA320="FUERA","Fuera del marco",IF(AA320="N/A","Sin marco",IFERROR(INDEX('Datos - TIMSS 2023'!$C$5:$C$105,MATCH(AA320,'Datos - TIMSS 2023'!$A$5:$A$105,0)),"Pendiente de clasificar")))</f>
        <v/>
      </c>
      <c r="AD320" s="11" t="inlineStr">
        <is>
          <t>2. Construir y evaluar diseños para la indagación científica e interpretar datos y evidencia de forma crítica</t>
        </is>
      </c>
      <c r="AE320" s="11">
        <f>IF(AD320="","",IF(LEFT(AD320,1)="1","C1",IF(LEFT(AD320,1)="2","C2",IF(LEFT(AD320,1)="3","C3",""))))</f>
        <v/>
      </c>
      <c r="AF320" s="11" t="inlineStr">
        <is>
          <t>E1</t>
        </is>
      </c>
      <c r="AG320" s="11" t="inlineStr">
        <is>
          <t>E3</t>
        </is>
      </c>
      <c r="AH320" s="11" t="inlineStr">
        <is>
          <t>E1</t>
        </is>
      </c>
      <c r="AI320" s="11" t="inlineStr">
        <is>
          <t>D3</t>
        </is>
      </c>
      <c r="AJ320" s="11" t="inlineStr">
        <is>
          <t>E6</t>
        </is>
      </c>
      <c r="AK320" s="11" t="n"/>
      <c r="AL320" s="11" t="n"/>
      <c r="AM320" s="11" t="n"/>
      <c r="AN320" s="11" t="n"/>
      <c r="AO320" s="11" t="n"/>
      <c r="AP320" s="11" t="n"/>
      <c r="AQ320" s="11" t="n"/>
      <c r="AR320" s="11" t="n"/>
      <c r="AS320" s="11" t="n"/>
      <c r="AT320" s="11" t="n"/>
      <c r="AU320" s="11" t="n"/>
      <c r="AV320" s="11" t="n"/>
      <c r="AW320" s="11">
        <f>AF320&amp;"; "&amp;AG320&amp;"; "&amp;AH320&amp;"; "&amp;AI320&amp;"; "&amp;AJ320</f>
        <v/>
      </c>
    </row>
    <row r="321">
      <c r="A321" s="11" t="inlineStr">
        <is>
          <t>T0955-G06-CIE</t>
        </is>
      </c>
      <c r="B321" s="11" t="n">
        <v>6</v>
      </c>
      <c r="C321" s="11" t="inlineStr">
        <is>
          <t>Ciencias</t>
        </is>
      </c>
      <c r="D321" s="11" t="inlineStr">
        <is>
          <t>Matriz_Ciencias_6to_Grado_U1_U6.xlsx</t>
        </is>
      </c>
      <c r="E321" s="11" t="inlineStr">
        <is>
          <t>Unidad 5 - Célula</t>
        </is>
      </c>
      <c r="F321" s="11" t="n">
        <v>5</v>
      </c>
      <c r="G321" s="11" t="inlineStr">
        <is>
          <t>5. Célula.</t>
        </is>
      </c>
      <c r="H321" s="11" t="inlineStr">
        <is>
          <t>¿Qué es una célula?</t>
        </is>
      </c>
      <c r="I321" s="38" t="inlineStr">
        <is>
          <t>5.3. Construcción de línea temporal sobre el desarrollo de la teoría celular.</t>
        </is>
      </c>
      <c r="J321" s="11" t="inlineStr">
        <is>
          <t>T8_27</t>
        </is>
      </c>
      <c r="K321" s="11" t="inlineStr">
        <is>
          <t>T8_27-B2.1</t>
        </is>
      </c>
      <c r="L321" s="11" t="inlineStr"/>
      <c r="M321" s="11">
        <f>IF(K321="FUERA","Fuera del marco",IF(K321="N/A","Sin marco",IFERROR(INDEX('Datos - Catálogo TIMSS'!$C$5:$C$107,MATCH(K321,'Datos - Catálogo TIMSS'!$A$5:$A$107,0)),"Pendiente de clasificar")))</f>
        <v/>
      </c>
      <c r="N321" s="11">
        <f>IF(K321="FUERA","Fuera del marco",IF(K321="N/A","Sin marco",IFERROR(INDEX('Datos - Catálogo TIMSS'!$F$5:$F$107,MATCH(K321,'Datos - Catálogo TIMSS'!$A$5:$A$107,0)),"Pendiente de clasificar")))</f>
        <v/>
      </c>
      <c r="O321" s="11">
        <f>IF(L321="","",IFERROR(INDEX('Datos - Catálogo TIMSS'!$C$5:$C$107,MATCH(L321,'Datos - Catálogo TIMSS'!$A$5:$A$107,0)),"?"))</f>
        <v/>
      </c>
      <c r="P321" s="11" t="inlineStr">
        <is>
          <t>media</t>
        </is>
      </c>
      <c r="Q321" s="38" t="inlineStr">
        <is>
          <t>Teoría celular: seres vivos formados por células.</t>
        </is>
      </c>
      <c r="R321" s="38" t="inlineStr">
        <is>
          <t>Aplicar: organizar información</t>
        </is>
      </c>
      <c r="S321" s="39">
        <f>IFERROR(ISNUMBER(SEARCH("Conocer",$R321))/(ISNUMBER(SEARCH("Conocer",$R321))+ISNUMBER(SEARCH("Aplicar",$R321))+ISNUMBER(SEARCH("Razonar",$R321))),0)</f>
        <v/>
      </c>
      <c r="T321" s="39">
        <f>IFERROR(ISNUMBER(SEARCH("Aplicar",$R321))/(ISNUMBER(SEARCH("Conocer",$R321))+ISNUMBER(SEARCH("Aplicar",$R321))+ISNUMBER(SEARCH("Razonar",$R321))),0)</f>
        <v/>
      </c>
      <c r="U321" s="39">
        <f>IFERROR(ISNUMBER(SEARCH("Razonar",$R321))/(ISNUMBER(SEARCH("Conocer",$R321))+ISNUMBER(SEARCH("Aplicar",$R321))+ISNUMBER(SEARCH("Razonar",$R321))),0)</f>
        <v/>
      </c>
      <c r="V321" s="11" t="inlineStr">
        <is>
          <t>6°</t>
        </is>
      </c>
      <c r="W321" s="11" t="inlineStr">
        <is>
          <t>Ciclo 5°–8°</t>
        </is>
      </c>
      <c r="X321" s="11">
        <f>IF(OR(IFERROR(INDEX('Datos - Catálogo TIMSS'!$I$5:$I$107,MATCH(K321,'Datos - Catálogo TIMSS'!$A$5:$A$107,0)),"No")="Sí",IFERROR(INDEX('Datos - Catálogo TIMSS'!$I$5:$I$107,MATCH(L321,'Datos - Catálogo TIMSS'!$A$5:$A$107,0)),"No")="Sí"),1,0)</f>
        <v/>
      </c>
      <c r="Y321" s="11">
        <f>IF(IFERROR(INDEX('Datos - Catálogo TIMSS'!$J$5:$J$107,MATCH(K321,'Datos - Catálogo TIMSS'!$A$5:$A$107,0)),"No")="Sí",1,0)</f>
        <v/>
      </c>
      <c r="Z321" s="11">
        <f>IF(IFERROR(INDEX('Datos - Catálogo TIMSS'!$J$5:$J$107,MATCH(L321,'Datos - Catálogo TIMSS'!$A$5:$A$107,0)),"No")="Sí",1,0)</f>
        <v/>
      </c>
      <c r="AA321" s="11" t="inlineStr">
        <is>
          <t>T8-B2.1</t>
        </is>
      </c>
      <c r="AB321" s="11" t="inlineStr"/>
      <c r="AC321" s="11">
        <f>IF(AA321="FUERA","Fuera del marco",IF(AA321="N/A","Sin marco",IFERROR(INDEX('Datos - TIMSS 2023'!$C$5:$C$105,MATCH(AA321,'Datos - TIMSS 2023'!$A$5:$A$105,0)),"Pendiente de clasificar")))</f>
        <v/>
      </c>
      <c r="AD321" s="11" t="inlineStr">
        <is>
          <t>3. Investigar, evaluar y usar información científica para tomar decisiones y actuar</t>
        </is>
      </c>
      <c r="AE321" s="11">
        <f>IF(AD321="","",IF(LEFT(AD321,1)="1","C1",IF(LEFT(AD321,1)="2","C2",IF(LEFT(AD321,1)="3","C3",""))))</f>
        <v/>
      </c>
      <c r="AF321" s="11" t="inlineStr">
        <is>
          <t>E1</t>
        </is>
      </c>
      <c r="AG321" s="11" t="inlineStr">
        <is>
          <t>D1</t>
        </is>
      </c>
      <c r="AH321" s="11" t="inlineStr">
        <is>
          <t>E2</t>
        </is>
      </c>
      <c r="AI321" s="11" t="inlineStr">
        <is>
          <t>I1</t>
        </is>
      </c>
      <c r="AJ321" s="11" t="inlineStr">
        <is>
          <t>E6</t>
        </is>
      </c>
      <c r="AK321" s="11" t="n"/>
      <c r="AL321" s="11" t="n"/>
      <c r="AM321" s="11" t="n"/>
      <c r="AN321" s="11" t="n"/>
      <c r="AO321" s="11" t="n"/>
      <c r="AP321" s="11" t="n"/>
      <c r="AQ321" s="11" t="n"/>
      <c r="AR321" s="11" t="n"/>
      <c r="AS321" s="11" t="n"/>
      <c r="AT321" s="11" t="n"/>
      <c r="AU321" s="11" t="n"/>
      <c r="AV321" s="11" t="n"/>
      <c r="AW321" s="11">
        <f>AF321&amp;"; "&amp;AG321&amp;"; "&amp;AH321&amp;"; "&amp;AI321&amp;"; "&amp;AJ321</f>
        <v/>
      </c>
    </row>
    <row r="322">
      <c r="A322" s="11" t="inlineStr">
        <is>
          <t>T0956-G06-CIE</t>
        </is>
      </c>
      <c r="B322" s="11" t="n">
        <v>6</v>
      </c>
      <c r="C322" s="11" t="inlineStr">
        <is>
          <t>Ciencias</t>
        </is>
      </c>
      <c r="D322" s="11" t="inlineStr">
        <is>
          <t>Matriz_Ciencias_6to_Grado_U1_U6.xlsx</t>
        </is>
      </c>
      <c r="E322" s="11" t="inlineStr">
        <is>
          <t>Unidad 5 - Célula</t>
        </is>
      </c>
      <c r="F322" s="11" t="n">
        <v>6</v>
      </c>
      <c r="G322" s="11" t="inlineStr">
        <is>
          <t>5. Célula.</t>
        </is>
      </c>
      <c r="H322" s="11" t="inlineStr">
        <is>
          <t>¿Qué es una célula?</t>
        </is>
      </c>
      <c r="I322" s="38" t="inlineStr">
        <is>
          <t>5.4. Mantenimiento de cultivos naturales de microorganismos en medio líquido.</t>
        </is>
      </c>
      <c r="J322" s="11" t="inlineStr">
        <is>
          <t>T8_27</t>
        </is>
      </c>
      <c r="K322" s="11" t="inlineStr">
        <is>
          <t>T8_27-B5.5</t>
        </is>
      </c>
      <c r="L322" s="11" t="inlineStr">
        <is>
          <t>T8_27-B7.1</t>
        </is>
      </c>
      <c r="M322" s="11">
        <f>IF(K322="FUERA","Fuera del marco",IF(K322="N/A","Sin marco",IFERROR(INDEX('Datos - Catálogo TIMSS'!$C$5:$C$107,MATCH(K322,'Datos - Catálogo TIMSS'!$A$5:$A$107,0)),"Pendiente de clasificar")))</f>
        <v/>
      </c>
      <c r="N322" s="11">
        <f>IF(K322="FUERA","Fuera del marco",IF(K322="N/A","Sin marco",IFERROR(INDEX('Datos - Catálogo TIMSS'!$F$5:$F$107,MATCH(K322,'Datos - Catálogo TIMSS'!$A$5:$A$107,0)),"Pendiente de clasificar")))</f>
        <v/>
      </c>
      <c r="O322" s="11">
        <f>IF(L322="","",IFERROR(INDEX('Datos - Catálogo TIMSS'!$C$5:$C$107,MATCH(L322,'Datos - Catálogo TIMSS'!$A$5:$A$107,0)),"?"))</f>
        <v/>
      </c>
      <c r="P322" s="11" t="inlineStr">
        <is>
          <t>media</t>
        </is>
      </c>
      <c r="Q322" s="38" t="inlineStr">
        <is>
          <t>Factores que limitan la población de microorganismos; registro diario.</t>
        </is>
      </c>
      <c r="R322" s="38" t="inlineStr">
        <is>
          <t>Razonar: identificar variables</t>
        </is>
      </c>
      <c r="S322" s="39">
        <f>IFERROR(ISNUMBER(SEARCH("Conocer",$R322))/(ISNUMBER(SEARCH("Conocer",$R322))+ISNUMBER(SEARCH("Aplicar",$R322))+ISNUMBER(SEARCH("Razonar",$R322))),0)</f>
        <v/>
      </c>
      <c r="T322" s="39">
        <f>IFERROR(ISNUMBER(SEARCH("Aplicar",$R322))/(ISNUMBER(SEARCH("Conocer",$R322))+ISNUMBER(SEARCH("Aplicar",$R322))+ISNUMBER(SEARCH("Razonar",$R322))),0)</f>
        <v/>
      </c>
      <c r="U322" s="39">
        <f>IFERROR(ISNUMBER(SEARCH("Razonar",$R322))/(ISNUMBER(SEARCH("Conocer",$R322))+ISNUMBER(SEARCH("Aplicar",$R322))+ISNUMBER(SEARCH("Razonar",$R322))),0)</f>
        <v/>
      </c>
      <c r="V322" s="11" t="inlineStr">
        <is>
          <t>6°</t>
        </is>
      </c>
      <c r="W322" s="11" t="inlineStr">
        <is>
          <t>Ciclo 5°–8°</t>
        </is>
      </c>
      <c r="X322" s="11">
        <f>IF(OR(IFERROR(INDEX('Datos - Catálogo TIMSS'!$I$5:$I$107,MATCH(K322,'Datos - Catálogo TIMSS'!$A$5:$A$107,0)),"No")="Sí",IFERROR(INDEX('Datos - Catálogo TIMSS'!$I$5:$I$107,MATCH(L322,'Datos - Catálogo TIMSS'!$A$5:$A$107,0)),"No")="Sí"),1,0)</f>
        <v/>
      </c>
      <c r="Y322" s="11">
        <f>IF(IFERROR(INDEX('Datos - Catálogo TIMSS'!$J$5:$J$107,MATCH(K322,'Datos - Catálogo TIMSS'!$A$5:$A$107,0)),"No")="Sí",1,0)</f>
        <v/>
      </c>
      <c r="Z322" s="11">
        <f>IF(IFERROR(INDEX('Datos - Catálogo TIMSS'!$J$5:$J$107,MATCH(L322,'Datos - Catálogo TIMSS'!$A$5:$A$107,0)),"No")="Sí",1,0)</f>
        <v/>
      </c>
      <c r="AA322" s="11" t="inlineStr">
        <is>
          <t>T8-B5.4</t>
        </is>
      </c>
      <c r="AB322" s="11" t="inlineStr"/>
      <c r="AC322" s="11">
        <f>IF(AA322="FUERA","Fuera del marco",IF(AA322="N/A","Sin marco",IFERROR(INDEX('Datos - TIMSS 2023'!$C$5:$C$105,MATCH(AA322,'Datos - TIMSS 2023'!$A$5:$A$105,0)),"Pendiente de clasificar")))</f>
        <v/>
      </c>
      <c r="AD322" s="11" t="inlineStr">
        <is>
          <t>2. Construir y evaluar diseños para la indagación científica e interpretar datos y evidencia de forma crítica</t>
        </is>
      </c>
      <c r="AE322" s="11">
        <f>IF(AD322="","",IF(LEFT(AD322,1)="1","C1",IF(LEFT(AD322,1)="2","C2",IF(LEFT(AD322,1)="3","C3",""))))</f>
        <v/>
      </c>
      <c r="AF322" s="11" t="inlineStr">
        <is>
          <t>E1</t>
        </is>
      </c>
      <c r="AG322" s="11" t="inlineStr">
        <is>
          <t>E3</t>
        </is>
      </c>
      <c r="AH322" s="11" t="inlineStr">
        <is>
          <t>E1</t>
        </is>
      </c>
      <c r="AI322" s="11" t="inlineStr">
        <is>
          <t>D4</t>
        </is>
      </c>
      <c r="AJ322" s="11" t="inlineStr">
        <is>
          <t>E1</t>
        </is>
      </c>
      <c r="AK322" s="11" t="n"/>
      <c r="AL322" s="11" t="n"/>
      <c r="AM322" s="11" t="n"/>
      <c r="AN322" s="11" t="n"/>
      <c r="AO322" s="11" t="n"/>
      <c r="AP322" s="11" t="n"/>
      <c r="AQ322" s="11" t="n"/>
      <c r="AR322" s="11" t="n"/>
      <c r="AS322" s="11" t="n"/>
      <c r="AT322" s="11" t="n"/>
      <c r="AU322" s="11" t="n"/>
      <c r="AV322" s="11" t="n"/>
      <c r="AW322" s="11">
        <f>AF322&amp;"; "&amp;AG322&amp;"; "&amp;AH322&amp;"; "&amp;AI322&amp;"; "&amp;AJ322</f>
        <v/>
      </c>
    </row>
    <row r="323">
      <c r="A323" s="11" t="inlineStr">
        <is>
          <t>T0957-G06-CIE</t>
        </is>
      </c>
      <c r="B323" s="11" t="n">
        <v>6</v>
      </c>
      <c r="C323" s="11" t="inlineStr">
        <is>
          <t>Ciencias</t>
        </is>
      </c>
      <c r="D323" s="11" t="inlineStr">
        <is>
          <t>Matriz_Ciencias_6to_Grado_U1_U6.xlsx</t>
        </is>
      </c>
      <c r="E323" s="11" t="inlineStr">
        <is>
          <t>Unidad 5 - Célula</t>
        </is>
      </c>
      <c r="F323" s="11" t="n">
        <v>7</v>
      </c>
      <c r="G323" s="11" t="inlineStr">
        <is>
          <t>5. Célula.</t>
        </is>
      </c>
      <c r="H323" s="11" t="inlineStr">
        <is>
          <t>¿Qué es una célula?</t>
        </is>
      </c>
      <c r="I323" s="38" t="inlineStr">
        <is>
          <t>5.5. Modelación de células procariota y eucariota.</t>
        </is>
      </c>
      <c r="J323" s="11" t="inlineStr">
        <is>
          <t>T8_27</t>
        </is>
      </c>
      <c r="K323" s="11" t="inlineStr">
        <is>
          <t>T8_27-B2.1</t>
        </is>
      </c>
      <c r="L323" s="11" t="inlineStr"/>
      <c r="M323" s="11">
        <f>IF(K323="FUERA","Fuera del marco",IF(K323="N/A","Sin marco",IFERROR(INDEX('Datos - Catálogo TIMSS'!$C$5:$C$107,MATCH(K323,'Datos - Catálogo TIMSS'!$A$5:$A$107,0)),"Pendiente de clasificar")))</f>
        <v/>
      </c>
      <c r="N323" s="11">
        <f>IF(K323="FUERA","Fuera del marco",IF(K323="N/A","Sin marco",IFERROR(INDEX('Datos - Catálogo TIMSS'!$F$5:$F$107,MATCH(K323,'Datos - Catálogo TIMSS'!$A$5:$A$107,0)),"Pendiente de clasificar")))</f>
        <v/>
      </c>
      <c r="O323" s="11">
        <f>IF(L323="","",IFERROR(INDEX('Datos - Catálogo TIMSS'!$C$5:$C$107,MATCH(L323,'Datos - Catálogo TIMSS'!$A$5:$A$107,0)),"?"))</f>
        <v/>
      </c>
      <c r="P323" s="11" t="inlineStr">
        <is>
          <t>alta</t>
        </is>
      </c>
      <c r="Q323" s="38" t="inlineStr">
        <is>
          <t>Estructura celular procariota y eucariota.</t>
        </is>
      </c>
      <c r="R323" s="38" t="inlineStr">
        <is>
          <t>Aplicar: construir modelos</t>
        </is>
      </c>
      <c r="S323" s="39">
        <f>IFERROR(ISNUMBER(SEARCH("Conocer",$R323))/(ISNUMBER(SEARCH("Conocer",$R323))+ISNUMBER(SEARCH("Aplicar",$R323))+ISNUMBER(SEARCH("Razonar",$R323))),0)</f>
        <v/>
      </c>
      <c r="T323" s="39">
        <f>IFERROR(ISNUMBER(SEARCH("Aplicar",$R323))/(ISNUMBER(SEARCH("Conocer",$R323))+ISNUMBER(SEARCH("Aplicar",$R323))+ISNUMBER(SEARCH("Razonar",$R323))),0)</f>
        <v/>
      </c>
      <c r="U323" s="39">
        <f>IFERROR(ISNUMBER(SEARCH("Razonar",$R323))/(ISNUMBER(SEARCH("Conocer",$R323))+ISNUMBER(SEARCH("Aplicar",$R323))+ISNUMBER(SEARCH("Razonar",$R323))),0)</f>
        <v/>
      </c>
      <c r="V323" s="11" t="inlineStr">
        <is>
          <t>6°</t>
        </is>
      </c>
      <c r="W323" s="11" t="inlineStr">
        <is>
          <t>Ciclo 5°–8°</t>
        </is>
      </c>
      <c r="X323" s="11">
        <f>IF(OR(IFERROR(INDEX('Datos - Catálogo TIMSS'!$I$5:$I$107,MATCH(K323,'Datos - Catálogo TIMSS'!$A$5:$A$107,0)),"No")="Sí",IFERROR(INDEX('Datos - Catálogo TIMSS'!$I$5:$I$107,MATCH(L323,'Datos - Catálogo TIMSS'!$A$5:$A$107,0)),"No")="Sí"),1,0)</f>
        <v/>
      </c>
      <c r="Y323" s="11">
        <f>IF(IFERROR(INDEX('Datos - Catálogo TIMSS'!$J$5:$J$107,MATCH(K323,'Datos - Catálogo TIMSS'!$A$5:$A$107,0)),"No")="Sí",1,0)</f>
        <v/>
      </c>
      <c r="Z323" s="11">
        <f>IF(IFERROR(INDEX('Datos - Catálogo TIMSS'!$J$5:$J$107,MATCH(L323,'Datos - Catálogo TIMSS'!$A$5:$A$107,0)),"No")="Sí",1,0)</f>
        <v/>
      </c>
      <c r="AA323" s="11" t="inlineStr">
        <is>
          <t>T8-B2.1</t>
        </is>
      </c>
      <c r="AB323" s="11" t="inlineStr"/>
      <c r="AC323" s="11">
        <f>IF(AA323="FUERA","Fuera del marco",IF(AA323="N/A","Sin marco",IFERROR(INDEX('Datos - TIMSS 2023'!$C$5:$C$105,MATCH(AA323,'Datos - TIMSS 2023'!$A$5:$A$105,0)),"Pendiente de clasificar")))</f>
        <v/>
      </c>
      <c r="AD323" s="11" t="inlineStr">
        <is>
          <t>1. Explicar fenómenos científicamente</t>
        </is>
      </c>
      <c r="AE323" s="11">
        <f>IF(AD323="","",IF(LEFT(AD323,1)="1","C1",IF(LEFT(AD323,1)="2","C2",IF(LEFT(AD323,1)="3","C3",""))))</f>
        <v/>
      </c>
      <c r="AF323" s="11" t="inlineStr">
        <is>
          <t>E1</t>
        </is>
      </c>
      <c r="AG323" s="11" t="inlineStr">
        <is>
          <t>D1</t>
        </is>
      </c>
      <c r="AH323" s="11" t="inlineStr">
        <is>
          <t>E4</t>
        </is>
      </c>
      <c r="AI323" s="11" t="inlineStr">
        <is>
          <t>E4</t>
        </is>
      </c>
      <c r="AJ323" s="11" t="inlineStr">
        <is>
          <t>E1</t>
        </is>
      </c>
      <c r="AK323" s="11" t="n"/>
      <c r="AL323" s="11" t="n"/>
      <c r="AM323" s="11" t="n"/>
      <c r="AN323" s="11" t="n"/>
      <c r="AO323" s="11" t="n"/>
      <c r="AP323" s="11" t="n"/>
      <c r="AQ323" s="11" t="n"/>
      <c r="AR323" s="11" t="n"/>
      <c r="AS323" s="11" t="n"/>
      <c r="AT323" s="11" t="n"/>
      <c r="AU323" s="11" t="n"/>
      <c r="AV323" s="11" t="n"/>
      <c r="AW323" s="11">
        <f>AF323&amp;"; "&amp;AG323&amp;"; "&amp;AH323&amp;"; "&amp;AI323&amp;"; "&amp;AJ323</f>
        <v/>
      </c>
    </row>
    <row r="324">
      <c r="A324" s="11" t="inlineStr">
        <is>
          <t>T0958-G06-CIE</t>
        </is>
      </c>
      <c r="B324" s="11" t="n">
        <v>6</v>
      </c>
      <c r="C324" s="11" t="inlineStr">
        <is>
          <t>Ciencias</t>
        </is>
      </c>
      <c r="D324" s="11" t="inlineStr">
        <is>
          <t>Matriz_Ciencias_6to_Grado_U1_U6.xlsx</t>
        </is>
      </c>
      <c r="E324" s="11" t="inlineStr">
        <is>
          <t>Unidad 5 - Célula</t>
        </is>
      </c>
      <c r="F324" s="11" t="n">
        <v>8</v>
      </c>
      <c r="G324" s="11" t="inlineStr">
        <is>
          <t>5. Célula.</t>
        </is>
      </c>
      <c r="H324" s="11" t="inlineStr">
        <is>
          <t>Niveles de organización de los seres vivos.</t>
        </is>
      </c>
      <c r="I324" s="38" t="inlineStr">
        <is>
          <t>5.6. Deconstrucción de los niveles de organización biológica.</t>
        </is>
      </c>
      <c r="J324" s="11" t="inlineStr">
        <is>
          <t>T8_27</t>
        </is>
      </c>
      <c r="K324" s="11" t="inlineStr">
        <is>
          <t>T8_27-B2.1</t>
        </is>
      </c>
      <c r="L324" s="11" t="inlineStr"/>
      <c r="M324" s="11">
        <f>IF(K324="FUERA","Fuera del marco",IF(K324="N/A","Sin marco",IFERROR(INDEX('Datos - Catálogo TIMSS'!$C$5:$C$107,MATCH(K324,'Datos - Catálogo TIMSS'!$A$5:$A$107,0)),"Pendiente de clasificar")))</f>
        <v/>
      </c>
      <c r="N324" s="11">
        <f>IF(K324="FUERA","Fuera del marco",IF(K324="N/A","Sin marco",IFERROR(INDEX('Datos - Catálogo TIMSS'!$F$5:$F$107,MATCH(K324,'Datos - Catálogo TIMSS'!$A$5:$A$107,0)),"Pendiente de clasificar")))</f>
        <v/>
      </c>
      <c r="O324" s="11">
        <f>IF(L324="","",IFERROR(INDEX('Datos - Catálogo TIMSS'!$C$5:$C$107,MATCH(L324,'Datos - Catálogo TIMSS'!$A$5:$A$107,0)),"?"))</f>
        <v/>
      </c>
      <c r="P324" s="11" t="inlineStr">
        <is>
          <t>alta</t>
        </is>
      </c>
      <c r="Q324" s="38" t="inlineStr">
        <is>
          <t>Células especializadas forman tejidos, órganos y sistemas.</t>
        </is>
      </c>
      <c r="R324" s="38" t="inlineStr">
        <is>
          <t>Aplicar: organizar</t>
        </is>
      </c>
      <c r="S324" s="39">
        <f>IFERROR(ISNUMBER(SEARCH("Conocer",$R324))/(ISNUMBER(SEARCH("Conocer",$R324))+ISNUMBER(SEARCH("Aplicar",$R324))+ISNUMBER(SEARCH("Razonar",$R324))),0)</f>
        <v/>
      </c>
      <c r="T324" s="39">
        <f>IFERROR(ISNUMBER(SEARCH("Aplicar",$R324))/(ISNUMBER(SEARCH("Conocer",$R324))+ISNUMBER(SEARCH("Aplicar",$R324))+ISNUMBER(SEARCH("Razonar",$R324))),0)</f>
        <v/>
      </c>
      <c r="U324" s="39">
        <f>IFERROR(ISNUMBER(SEARCH("Razonar",$R324))/(ISNUMBER(SEARCH("Conocer",$R324))+ISNUMBER(SEARCH("Aplicar",$R324))+ISNUMBER(SEARCH("Razonar",$R324))),0)</f>
        <v/>
      </c>
      <c r="V324" s="11" t="inlineStr">
        <is>
          <t>6°</t>
        </is>
      </c>
      <c r="W324" s="11" t="inlineStr">
        <is>
          <t>Ciclo 5°–8°</t>
        </is>
      </c>
      <c r="X324" s="11">
        <f>IF(OR(IFERROR(INDEX('Datos - Catálogo TIMSS'!$I$5:$I$107,MATCH(K324,'Datos - Catálogo TIMSS'!$A$5:$A$107,0)),"No")="Sí",IFERROR(INDEX('Datos - Catálogo TIMSS'!$I$5:$I$107,MATCH(L324,'Datos - Catálogo TIMSS'!$A$5:$A$107,0)),"No")="Sí"),1,0)</f>
        <v/>
      </c>
      <c r="Y324" s="11">
        <f>IF(IFERROR(INDEX('Datos - Catálogo TIMSS'!$J$5:$J$107,MATCH(K324,'Datos - Catálogo TIMSS'!$A$5:$A$107,0)),"No")="Sí",1,0)</f>
        <v/>
      </c>
      <c r="Z324" s="11">
        <f>IF(IFERROR(INDEX('Datos - Catálogo TIMSS'!$J$5:$J$107,MATCH(L324,'Datos - Catálogo TIMSS'!$A$5:$A$107,0)),"No")="Sí",1,0)</f>
        <v/>
      </c>
      <c r="AA324" s="11" t="inlineStr">
        <is>
          <t>T8-B2.1</t>
        </is>
      </c>
      <c r="AB324" s="11" t="inlineStr"/>
      <c r="AC324" s="11">
        <f>IF(AA324="FUERA","Fuera del marco",IF(AA324="N/A","Sin marco",IFERROR(INDEX('Datos - TIMSS 2023'!$C$5:$C$105,MATCH(AA324,'Datos - TIMSS 2023'!$A$5:$A$105,0)),"Pendiente de clasificar")))</f>
        <v/>
      </c>
      <c r="AD324" s="11" t="inlineStr">
        <is>
          <t>1. Explicar fenómenos científicamente</t>
        </is>
      </c>
      <c r="AE324" s="11">
        <f>IF(AD324="","",IF(LEFT(AD324,1)="1","C1",IF(LEFT(AD324,1)="2","C2",IF(LEFT(AD324,1)="3","C3",""))))</f>
        <v/>
      </c>
      <c r="AF324" s="11" t="inlineStr">
        <is>
          <t>E1</t>
        </is>
      </c>
      <c r="AG324" s="11" t="inlineStr">
        <is>
          <t>D1</t>
        </is>
      </c>
      <c r="AH324" s="11" t="inlineStr">
        <is>
          <t>E2</t>
        </is>
      </c>
      <c r="AI324" s="11" t="inlineStr">
        <is>
          <t>D4</t>
        </is>
      </c>
      <c r="AJ324" s="11" t="inlineStr">
        <is>
          <t>E1</t>
        </is>
      </c>
      <c r="AK324" s="11" t="n"/>
      <c r="AL324" s="11" t="n"/>
      <c r="AM324" s="11" t="n"/>
      <c r="AN324" s="11" t="n"/>
      <c r="AO324" s="11" t="n"/>
      <c r="AP324" s="11" t="n"/>
      <c r="AQ324" s="11" t="n"/>
      <c r="AR324" s="11" t="n"/>
      <c r="AS324" s="11" t="n"/>
      <c r="AT324" s="11" t="n"/>
      <c r="AU324" s="11" t="n"/>
      <c r="AV324" s="11" t="n"/>
      <c r="AW324" s="11">
        <f>AF324&amp;"; "&amp;AG324&amp;"; "&amp;AH324&amp;"; "&amp;AI324&amp;"; "&amp;AJ324</f>
        <v/>
      </c>
    </row>
    <row r="325">
      <c r="A325" s="11" t="inlineStr">
        <is>
          <t>T0959-G06-CIE</t>
        </is>
      </c>
      <c r="B325" s="11" t="n">
        <v>6</v>
      </c>
      <c r="C325" s="11" t="inlineStr">
        <is>
          <t>Ciencias</t>
        </is>
      </c>
      <c r="D325" s="11" t="inlineStr">
        <is>
          <t>Matriz_Ciencias_6to_Grado_U1_U6.xlsx</t>
        </is>
      </c>
      <c r="E325" s="11" t="inlineStr">
        <is>
          <t>Unidad 5 - Célula</t>
        </is>
      </c>
      <c r="F325" s="11" t="n">
        <v>9</v>
      </c>
      <c r="G325" s="11" t="inlineStr">
        <is>
          <t>5. Célula.</t>
        </is>
      </c>
      <c r="H325" s="11" t="inlineStr">
        <is>
          <t>Niveles de organización de los seres vivos.</t>
        </is>
      </c>
      <c r="I325" s="38" t="inlineStr">
        <is>
          <t>5.7. Reconocimiento de muestras de tejidos, órganos y sistemas.</t>
        </is>
      </c>
      <c r="J325" s="11" t="inlineStr">
        <is>
          <t>T8_27</t>
        </is>
      </c>
      <c r="K325" s="11" t="inlineStr">
        <is>
          <t>T8_27-B2.1</t>
        </is>
      </c>
      <c r="L325" s="11" t="inlineStr">
        <is>
          <t>T8_27-B1.2</t>
        </is>
      </c>
      <c r="M325" s="11">
        <f>IF(K325="FUERA","Fuera del marco",IF(K325="N/A","Sin marco",IFERROR(INDEX('Datos - Catálogo TIMSS'!$C$5:$C$107,MATCH(K325,'Datos - Catálogo TIMSS'!$A$5:$A$107,0)),"Pendiente de clasificar")))</f>
        <v/>
      </c>
      <c r="N325" s="11">
        <f>IF(K325="FUERA","Fuera del marco",IF(K325="N/A","Sin marco",IFERROR(INDEX('Datos - Catálogo TIMSS'!$F$5:$F$107,MATCH(K325,'Datos - Catálogo TIMSS'!$A$5:$A$107,0)),"Pendiente de clasificar")))</f>
        <v/>
      </c>
      <c r="O325" s="11">
        <f>IF(L325="","",IFERROR(INDEX('Datos - Catálogo TIMSS'!$C$5:$C$107,MATCH(L325,'Datos - Catálogo TIMSS'!$A$5:$A$107,0)),"?"))</f>
        <v/>
      </c>
      <c r="P325" s="11" t="inlineStr">
        <is>
          <t>alta</t>
        </is>
      </c>
      <c r="Q325" s="38" t="inlineStr">
        <is>
          <t>Tejidos, órganos y sistemas formados por células especializadas.</t>
        </is>
      </c>
      <c r="R325" s="38" t="inlineStr">
        <is>
          <t>Aplicar: identificar</t>
        </is>
      </c>
      <c r="S325" s="39">
        <f>IFERROR(ISNUMBER(SEARCH("Conocer",$R325))/(ISNUMBER(SEARCH("Conocer",$R325))+ISNUMBER(SEARCH("Aplicar",$R325))+ISNUMBER(SEARCH("Razonar",$R325))),0)</f>
        <v/>
      </c>
      <c r="T325" s="39">
        <f>IFERROR(ISNUMBER(SEARCH("Aplicar",$R325))/(ISNUMBER(SEARCH("Conocer",$R325))+ISNUMBER(SEARCH("Aplicar",$R325))+ISNUMBER(SEARCH("Razonar",$R325))),0)</f>
        <v/>
      </c>
      <c r="U325" s="39">
        <f>IFERROR(ISNUMBER(SEARCH("Razonar",$R325))/(ISNUMBER(SEARCH("Conocer",$R325))+ISNUMBER(SEARCH("Aplicar",$R325))+ISNUMBER(SEARCH("Razonar",$R325))),0)</f>
        <v/>
      </c>
      <c r="V325" s="11" t="inlineStr">
        <is>
          <t>6°</t>
        </is>
      </c>
      <c r="W325" s="11" t="inlineStr">
        <is>
          <t>Ciclo 5°–8°</t>
        </is>
      </c>
      <c r="X325" s="11">
        <f>IF(OR(IFERROR(INDEX('Datos - Catálogo TIMSS'!$I$5:$I$107,MATCH(K325,'Datos - Catálogo TIMSS'!$A$5:$A$107,0)),"No")="Sí",IFERROR(INDEX('Datos - Catálogo TIMSS'!$I$5:$I$107,MATCH(L325,'Datos - Catálogo TIMSS'!$A$5:$A$107,0)),"No")="Sí"),1,0)</f>
        <v/>
      </c>
      <c r="Y325" s="11">
        <f>IF(IFERROR(INDEX('Datos - Catálogo TIMSS'!$J$5:$J$107,MATCH(K325,'Datos - Catálogo TIMSS'!$A$5:$A$107,0)),"No")="Sí",1,0)</f>
        <v/>
      </c>
      <c r="Z325" s="11">
        <f>IF(IFERROR(INDEX('Datos - Catálogo TIMSS'!$J$5:$J$107,MATCH(L325,'Datos - Catálogo TIMSS'!$A$5:$A$107,0)),"No")="Sí",1,0)</f>
        <v/>
      </c>
      <c r="AA325" s="11" t="inlineStr">
        <is>
          <t>T8-B2.1</t>
        </is>
      </c>
      <c r="AB325" s="11" t="inlineStr">
        <is>
          <t>T8-B1.2</t>
        </is>
      </c>
      <c r="AC325" s="11">
        <f>IF(AA325="FUERA","Fuera del marco",IF(AA325="N/A","Sin marco",IFERROR(INDEX('Datos - TIMSS 2023'!$C$5:$C$105,MATCH(AA325,'Datos - TIMSS 2023'!$A$5:$A$105,0)),"Pendiente de clasificar")))</f>
        <v/>
      </c>
      <c r="AD325" s="11" t="inlineStr">
        <is>
          <t>2. Construir y evaluar diseños para la indagación científica e interpretar datos y evidencia de forma crítica</t>
        </is>
      </c>
      <c r="AE325" s="11">
        <f>IF(AD325="","",IF(LEFT(AD325,1)="1","C1",IF(LEFT(AD325,1)="2","C2",IF(LEFT(AD325,1)="3","C3",""))))</f>
        <v/>
      </c>
      <c r="AF325" s="11" t="inlineStr">
        <is>
          <t>E1</t>
        </is>
      </c>
      <c r="AG325" s="11" t="inlineStr">
        <is>
          <t>D1</t>
        </is>
      </c>
      <c r="AH325" s="11" t="inlineStr">
        <is>
          <t>E1</t>
        </is>
      </c>
      <c r="AI325" s="11" t="inlineStr">
        <is>
          <t>D4</t>
        </is>
      </c>
      <c r="AJ325" s="11" t="inlineStr">
        <is>
          <t>E1</t>
        </is>
      </c>
      <c r="AK325" s="11" t="n"/>
      <c r="AL325" s="11" t="n"/>
      <c r="AM325" s="11" t="n"/>
      <c r="AN325" s="11" t="n"/>
      <c r="AO325" s="11" t="n"/>
      <c r="AP325" s="11" t="n"/>
      <c r="AQ325" s="11" t="n"/>
      <c r="AR325" s="11" t="n"/>
      <c r="AS325" s="11" t="n"/>
      <c r="AT325" s="11" t="n"/>
      <c r="AU325" s="11" t="n"/>
      <c r="AV325" s="11" t="n"/>
      <c r="AW325" s="11">
        <f>AF325&amp;"; "&amp;AG325&amp;"; "&amp;AH325&amp;"; "&amp;AI325&amp;"; "&amp;AJ325</f>
        <v/>
      </c>
    </row>
    <row r="326">
      <c r="A326" s="11" t="inlineStr">
        <is>
          <t>T0960-G06-CIE</t>
        </is>
      </c>
      <c r="B326" s="11" t="n">
        <v>6</v>
      </c>
      <c r="C326" s="11" t="inlineStr">
        <is>
          <t>Ciencias</t>
        </is>
      </c>
      <c r="D326" s="11" t="inlineStr">
        <is>
          <t>Matriz_Ciencias_6to_Grado_U1_U6.xlsx</t>
        </is>
      </c>
      <c r="E326" s="11" t="inlineStr">
        <is>
          <t>Unidad 5 - Célula</t>
        </is>
      </c>
      <c r="F326" s="11" t="n">
        <v>10</v>
      </c>
      <c r="G326" s="11" t="inlineStr">
        <is>
          <t>5. Célula.</t>
        </is>
      </c>
      <c r="H326" s="11" t="inlineStr">
        <is>
          <t>Membranas biológicas.</t>
        </is>
      </c>
      <c r="I326" s="38" t="inlineStr">
        <is>
          <t>5.8. Demostración experimental de las propiedades de las membranas biológicas.</t>
        </is>
      </c>
      <c r="J326" s="11" t="inlineStr">
        <is>
          <t>T8_27</t>
        </is>
      </c>
      <c r="K326" s="11" t="inlineStr">
        <is>
          <t>T8_27-B2.1</t>
        </is>
      </c>
      <c r="L326" s="11" t="inlineStr"/>
      <c r="M326" s="11">
        <f>IF(K326="FUERA","Fuera del marco",IF(K326="N/A","Sin marco",IFERROR(INDEX('Datos - Catálogo TIMSS'!$C$5:$C$107,MATCH(K326,'Datos - Catálogo TIMSS'!$A$5:$A$107,0)),"Pendiente de clasificar")))</f>
        <v/>
      </c>
      <c r="N326" s="11">
        <f>IF(K326="FUERA","Fuera del marco",IF(K326="N/A","Sin marco",IFERROR(INDEX('Datos - Catálogo TIMSS'!$F$5:$F$107,MATCH(K326,'Datos - Catálogo TIMSS'!$A$5:$A$107,0)),"Pendiente de clasificar")))</f>
        <v/>
      </c>
      <c r="O326" s="11">
        <f>IF(L326="","",IFERROR(INDEX('Datos - Catálogo TIMSS'!$C$5:$C$107,MATCH(L326,'Datos - Catálogo TIMSS'!$A$5:$A$107,0)),"?"))</f>
        <v/>
      </c>
      <c r="P326" s="11" t="inlineStr">
        <is>
          <t>media</t>
        </is>
      </c>
      <c r="Q326" s="38" t="inlineStr">
        <is>
          <t>Función de la membrana celular; ósmosis más allá de TIMSS.</t>
        </is>
      </c>
      <c r="R326" s="38" t="inlineStr">
        <is>
          <t>Aplicar: medir. Razonar: interpretar</t>
        </is>
      </c>
      <c r="S326" s="39">
        <f>IFERROR(ISNUMBER(SEARCH("Conocer",$R326))/(ISNUMBER(SEARCH("Conocer",$R326))+ISNUMBER(SEARCH("Aplicar",$R326))+ISNUMBER(SEARCH("Razonar",$R326))),0)</f>
        <v/>
      </c>
      <c r="T326" s="39">
        <f>IFERROR(ISNUMBER(SEARCH("Aplicar",$R326))/(ISNUMBER(SEARCH("Conocer",$R326))+ISNUMBER(SEARCH("Aplicar",$R326))+ISNUMBER(SEARCH("Razonar",$R326))),0)</f>
        <v/>
      </c>
      <c r="U326" s="39">
        <f>IFERROR(ISNUMBER(SEARCH("Razonar",$R326))/(ISNUMBER(SEARCH("Conocer",$R326))+ISNUMBER(SEARCH("Aplicar",$R326))+ISNUMBER(SEARCH("Razonar",$R326))),0)</f>
        <v/>
      </c>
      <c r="V326" s="11" t="inlineStr">
        <is>
          <t>6°</t>
        </is>
      </c>
      <c r="W326" s="11" t="inlineStr">
        <is>
          <t>Ciclo 5°–8°</t>
        </is>
      </c>
      <c r="X326" s="11">
        <f>IF(OR(IFERROR(INDEX('Datos - Catálogo TIMSS'!$I$5:$I$107,MATCH(K326,'Datos - Catálogo TIMSS'!$A$5:$A$107,0)),"No")="Sí",IFERROR(INDEX('Datos - Catálogo TIMSS'!$I$5:$I$107,MATCH(L326,'Datos - Catálogo TIMSS'!$A$5:$A$107,0)),"No")="Sí"),1,0)</f>
        <v/>
      </c>
      <c r="Y326" s="11">
        <f>IF(IFERROR(INDEX('Datos - Catálogo TIMSS'!$J$5:$J$107,MATCH(K326,'Datos - Catálogo TIMSS'!$A$5:$A$107,0)),"No")="Sí",1,0)</f>
        <v/>
      </c>
      <c r="Z326" s="11">
        <f>IF(IFERROR(INDEX('Datos - Catálogo TIMSS'!$J$5:$J$107,MATCH(L326,'Datos - Catálogo TIMSS'!$A$5:$A$107,0)),"No")="Sí",1,0)</f>
        <v/>
      </c>
      <c r="AA326" s="11" t="inlineStr">
        <is>
          <t>T8-B2.1</t>
        </is>
      </c>
      <c r="AB326" s="11" t="inlineStr"/>
      <c r="AC326" s="11">
        <f>IF(AA326="FUERA","Fuera del marco",IF(AA326="N/A","Sin marco",IFERROR(INDEX('Datos - TIMSS 2023'!$C$5:$C$105,MATCH(AA326,'Datos - TIMSS 2023'!$A$5:$A$105,0)),"Pendiente de clasificar")))</f>
        <v/>
      </c>
      <c r="AD326" s="11" t="inlineStr">
        <is>
          <t>2. Construir y evaluar diseños para la indagación científica e interpretar datos y evidencia de forma crítica</t>
        </is>
      </c>
      <c r="AE326" s="11">
        <f>IF(AD326="","",IF(LEFT(AD326,1)="1","C1",IF(LEFT(AD326,1)="2","C2",IF(LEFT(AD326,1)="3","C3",""))))</f>
        <v/>
      </c>
      <c r="AF326" s="11" t="inlineStr">
        <is>
          <t>E1</t>
        </is>
      </c>
      <c r="AG326" s="11" t="inlineStr">
        <is>
          <t>E3</t>
        </is>
      </c>
      <c r="AH326" s="11" t="inlineStr">
        <is>
          <t>E1</t>
        </is>
      </c>
      <c r="AI326" s="11" t="inlineStr">
        <is>
          <t>D4</t>
        </is>
      </c>
      <c r="AJ326" s="11" t="inlineStr">
        <is>
          <t>E6</t>
        </is>
      </c>
      <c r="AK326" s="11" t="n"/>
      <c r="AL326" s="11" t="n"/>
      <c r="AM326" s="11" t="n"/>
      <c r="AN326" s="11" t="n"/>
      <c r="AO326" s="11" t="n"/>
      <c r="AP326" s="11" t="n"/>
      <c r="AQ326" s="11" t="n"/>
      <c r="AR326" s="11" t="n"/>
      <c r="AS326" s="11" t="n"/>
      <c r="AT326" s="11" t="n"/>
      <c r="AU326" s="11" t="n"/>
      <c r="AV326" s="11" t="n"/>
      <c r="AW326" s="11">
        <f>AF326&amp;"; "&amp;AG326&amp;"; "&amp;AH326&amp;"; "&amp;AI326&amp;"; "&amp;AJ326</f>
        <v/>
      </c>
    </row>
    <row r="327">
      <c r="A327" s="11" t="inlineStr">
        <is>
          <t>T0961-G06-CIE</t>
        </is>
      </c>
      <c r="B327" s="11" t="n">
        <v>6</v>
      </c>
      <c r="C327" s="11" t="inlineStr">
        <is>
          <t>Ciencias</t>
        </is>
      </c>
      <c r="D327" s="11" t="inlineStr">
        <is>
          <t>Matriz_Ciencias_6to_Grado_U1_U6.xlsx</t>
        </is>
      </c>
      <c r="E327" s="11" t="inlineStr">
        <is>
          <t>Unidad 5 - Célula</t>
        </is>
      </c>
      <c r="F327" s="11" t="n">
        <v>11</v>
      </c>
      <c r="G327" s="11" t="inlineStr">
        <is>
          <t>5. Célula.</t>
        </is>
      </c>
      <c r="H327" s="11" t="inlineStr">
        <is>
          <t>Citoplasma.</t>
        </is>
      </c>
      <c r="I327" s="38" t="inlineStr">
        <is>
          <t>5.9. Explicación de la composición y funciones del citosol.</t>
        </is>
      </c>
      <c r="J327" s="11" t="inlineStr">
        <is>
          <t>T8_27</t>
        </is>
      </c>
      <c r="K327" s="11" t="inlineStr">
        <is>
          <t>T8_27-B2.1</t>
        </is>
      </c>
      <c r="L327" s="11" t="inlineStr"/>
      <c r="M327" s="11">
        <f>IF(K327="FUERA","Fuera del marco",IF(K327="N/A","Sin marco",IFERROR(INDEX('Datos - Catálogo TIMSS'!$C$5:$C$107,MATCH(K327,'Datos - Catálogo TIMSS'!$A$5:$A$107,0)),"Pendiente de clasificar")))</f>
        <v/>
      </c>
      <c r="N327" s="11">
        <f>IF(K327="FUERA","Fuera del marco",IF(K327="N/A","Sin marco",IFERROR(INDEX('Datos - Catálogo TIMSS'!$F$5:$F$107,MATCH(K327,'Datos - Catálogo TIMSS'!$A$5:$A$107,0)),"Pendiente de clasificar")))</f>
        <v/>
      </c>
      <c r="O327" s="11">
        <f>IF(L327="","",IFERROR(INDEX('Datos - Catálogo TIMSS'!$C$5:$C$107,MATCH(L327,'Datos - Catálogo TIMSS'!$A$5:$A$107,0)),"?"))</f>
        <v/>
      </c>
      <c r="P327" s="11" t="inlineStr">
        <is>
          <t>media</t>
        </is>
      </c>
      <c r="Q327" s="38" t="inlineStr">
        <is>
          <t>Composición y función del citoplasma celular.</t>
        </is>
      </c>
      <c r="R327" s="38" t="inlineStr">
        <is>
          <t>Conocer: describir</t>
        </is>
      </c>
      <c r="S327" s="39">
        <f>IFERROR(ISNUMBER(SEARCH("Conocer",$R327))/(ISNUMBER(SEARCH("Conocer",$R327))+ISNUMBER(SEARCH("Aplicar",$R327))+ISNUMBER(SEARCH("Razonar",$R327))),0)</f>
        <v/>
      </c>
      <c r="T327" s="39">
        <f>IFERROR(ISNUMBER(SEARCH("Aplicar",$R327))/(ISNUMBER(SEARCH("Conocer",$R327))+ISNUMBER(SEARCH("Aplicar",$R327))+ISNUMBER(SEARCH("Razonar",$R327))),0)</f>
        <v/>
      </c>
      <c r="U327" s="39">
        <f>IFERROR(ISNUMBER(SEARCH("Razonar",$R327))/(ISNUMBER(SEARCH("Conocer",$R327))+ISNUMBER(SEARCH("Aplicar",$R327))+ISNUMBER(SEARCH("Razonar",$R327))),0)</f>
        <v/>
      </c>
      <c r="V327" s="11" t="inlineStr">
        <is>
          <t>6°</t>
        </is>
      </c>
      <c r="W327" s="11" t="inlineStr">
        <is>
          <t>Ciclo 5°–8°</t>
        </is>
      </c>
      <c r="X327" s="11">
        <f>IF(OR(IFERROR(INDEX('Datos - Catálogo TIMSS'!$I$5:$I$107,MATCH(K327,'Datos - Catálogo TIMSS'!$A$5:$A$107,0)),"No")="Sí",IFERROR(INDEX('Datos - Catálogo TIMSS'!$I$5:$I$107,MATCH(L327,'Datos - Catálogo TIMSS'!$A$5:$A$107,0)),"No")="Sí"),1,0)</f>
        <v/>
      </c>
      <c r="Y327" s="11">
        <f>IF(IFERROR(INDEX('Datos - Catálogo TIMSS'!$J$5:$J$107,MATCH(K327,'Datos - Catálogo TIMSS'!$A$5:$A$107,0)),"No")="Sí",1,0)</f>
        <v/>
      </c>
      <c r="Z327" s="11">
        <f>IF(IFERROR(INDEX('Datos - Catálogo TIMSS'!$J$5:$J$107,MATCH(L327,'Datos - Catálogo TIMSS'!$A$5:$A$107,0)),"No")="Sí",1,0)</f>
        <v/>
      </c>
      <c r="AA327" s="11" t="inlineStr">
        <is>
          <t>T8-B2.1</t>
        </is>
      </c>
      <c r="AB327" s="11" t="inlineStr"/>
      <c r="AC327" s="11">
        <f>IF(AA327="FUERA","Fuera del marco",IF(AA327="N/A","Sin marco",IFERROR(INDEX('Datos - TIMSS 2023'!$C$5:$C$105,MATCH(AA327,'Datos - TIMSS 2023'!$A$5:$A$105,0)),"Pendiente de clasificar")))</f>
        <v/>
      </c>
      <c r="AD327" s="11" t="inlineStr">
        <is>
          <t>1. Explicar fenómenos científicamente</t>
        </is>
      </c>
      <c r="AE327" s="11">
        <f>IF(AD327="","",IF(LEFT(AD327,1)="1","C1",IF(LEFT(AD327,1)="2","C2",IF(LEFT(AD327,1)="3","C3",""))))</f>
        <v/>
      </c>
      <c r="AF327" s="11" t="inlineStr">
        <is>
          <t>E1</t>
        </is>
      </c>
      <c r="AG327" s="11" t="inlineStr">
        <is>
          <t>D1</t>
        </is>
      </c>
      <c r="AH327" s="11" t="inlineStr">
        <is>
          <t>E1</t>
        </is>
      </c>
      <c r="AI327" s="11" t="inlineStr">
        <is>
          <t>D4</t>
        </is>
      </c>
      <c r="AJ327" s="11" t="inlineStr">
        <is>
          <t>E1</t>
        </is>
      </c>
      <c r="AK327" s="11" t="n"/>
      <c r="AL327" s="11" t="n"/>
      <c r="AM327" s="11" t="n"/>
      <c r="AN327" s="11" t="n"/>
      <c r="AO327" s="11" t="n"/>
      <c r="AP327" s="11" t="n"/>
      <c r="AQ327" s="11" t="n"/>
      <c r="AR327" s="11" t="n"/>
      <c r="AS327" s="11" t="n"/>
      <c r="AT327" s="11" t="n"/>
      <c r="AU327" s="11" t="n"/>
      <c r="AV327" s="11" t="n"/>
      <c r="AW327" s="11">
        <f>AF327&amp;"; "&amp;AG327&amp;"; "&amp;AH327&amp;"; "&amp;AI327&amp;"; "&amp;AJ327</f>
        <v/>
      </c>
    </row>
    <row r="328">
      <c r="A328" s="11" t="inlineStr">
        <is>
          <t>T0962-G06-CIE</t>
        </is>
      </c>
      <c r="B328" s="11" t="n">
        <v>6</v>
      </c>
      <c r="C328" s="11" t="inlineStr">
        <is>
          <t>Ciencias</t>
        </is>
      </c>
      <c r="D328" s="11" t="inlineStr">
        <is>
          <t>Matriz_Ciencias_6to_Grado_U1_U6.xlsx</t>
        </is>
      </c>
      <c r="E328" s="11" t="inlineStr">
        <is>
          <t>Unidad 5 - Célula</t>
        </is>
      </c>
      <c r="F328" s="11" t="n">
        <v>12</v>
      </c>
      <c r="G328" s="11" t="inlineStr">
        <is>
          <t>5. Célula.</t>
        </is>
      </c>
      <c r="H328" s="11" t="inlineStr">
        <is>
          <t>Citoplasma.</t>
        </is>
      </c>
      <c r="I328" s="38" t="inlineStr">
        <is>
          <t>5.10. Simulación de la estructura y funciones principales del citoesqueleto.</t>
        </is>
      </c>
      <c r="J328" s="11" t="inlineStr">
        <is>
          <t>T8_27</t>
        </is>
      </c>
      <c r="K328" s="11" t="inlineStr">
        <is>
          <t>T8_27-B2.1</t>
        </is>
      </c>
      <c r="L328" s="11" t="inlineStr"/>
      <c r="M328" s="11">
        <f>IF(K328="FUERA","Fuera del marco",IF(K328="N/A","Sin marco",IFERROR(INDEX('Datos - Catálogo TIMSS'!$C$5:$C$107,MATCH(K328,'Datos - Catálogo TIMSS'!$A$5:$A$107,0)),"Pendiente de clasificar")))</f>
        <v/>
      </c>
      <c r="N328" s="11">
        <f>IF(K328="FUERA","Fuera del marco",IF(K328="N/A","Sin marco",IFERROR(INDEX('Datos - Catálogo TIMSS'!$F$5:$F$107,MATCH(K328,'Datos - Catálogo TIMSS'!$A$5:$A$107,0)),"Pendiente de clasificar")))</f>
        <v/>
      </c>
      <c r="O328" s="11">
        <f>IF(L328="","",IFERROR(INDEX('Datos - Catálogo TIMSS'!$C$5:$C$107,MATCH(L328,'Datos - Catálogo TIMSS'!$A$5:$A$107,0)),"?"))</f>
        <v/>
      </c>
      <c r="P328" s="11" t="inlineStr">
        <is>
          <t>media</t>
        </is>
      </c>
      <c r="Q328" s="38" t="inlineStr">
        <is>
          <t>Estructura celular; citoesqueleto más detallado que TIMSS.</t>
        </is>
      </c>
      <c r="R328" s="38" t="inlineStr">
        <is>
          <t>Aplicar: usar modelos</t>
        </is>
      </c>
      <c r="S328" s="39">
        <f>IFERROR(ISNUMBER(SEARCH("Conocer",$R328))/(ISNUMBER(SEARCH("Conocer",$R328))+ISNUMBER(SEARCH("Aplicar",$R328))+ISNUMBER(SEARCH("Razonar",$R328))),0)</f>
        <v/>
      </c>
      <c r="T328" s="39">
        <f>IFERROR(ISNUMBER(SEARCH("Aplicar",$R328))/(ISNUMBER(SEARCH("Conocer",$R328))+ISNUMBER(SEARCH("Aplicar",$R328))+ISNUMBER(SEARCH("Razonar",$R328))),0)</f>
        <v/>
      </c>
      <c r="U328" s="39">
        <f>IFERROR(ISNUMBER(SEARCH("Razonar",$R328))/(ISNUMBER(SEARCH("Conocer",$R328))+ISNUMBER(SEARCH("Aplicar",$R328))+ISNUMBER(SEARCH("Razonar",$R328))),0)</f>
        <v/>
      </c>
      <c r="V328" s="11" t="inlineStr">
        <is>
          <t>6°</t>
        </is>
      </c>
      <c r="W328" s="11" t="inlineStr">
        <is>
          <t>Ciclo 5°–8°</t>
        </is>
      </c>
      <c r="X328" s="11">
        <f>IF(OR(IFERROR(INDEX('Datos - Catálogo TIMSS'!$I$5:$I$107,MATCH(K328,'Datos - Catálogo TIMSS'!$A$5:$A$107,0)),"No")="Sí",IFERROR(INDEX('Datos - Catálogo TIMSS'!$I$5:$I$107,MATCH(L328,'Datos - Catálogo TIMSS'!$A$5:$A$107,0)),"No")="Sí"),1,0)</f>
        <v/>
      </c>
      <c r="Y328" s="11">
        <f>IF(IFERROR(INDEX('Datos - Catálogo TIMSS'!$J$5:$J$107,MATCH(K328,'Datos - Catálogo TIMSS'!$A$5:$A$107,0)),"No")="Sí",1,0)</f>
        <v/>
      </c>
      <c r="Z328" s="11">
        <f>IF(IFERROR(INDEX('Datos - Catálogo TIMSS'!$J$5:$J$107,MATCH(L328,'Datos - Catálogo TIMSS'!$A$5:$A$107,0)),"No")="Sí",1,0)</f>
        <v/>
      </c>
      <c r="AA328" s="11" t="inlineStr">
        <is>
          <t>T8-B2.1</t>
        </is>
      </c>
      <c r="AB328" s="11" t="inlineStr"/>
      <c r="AC328" s="11">
        <f>IF(AA328="FUERA","Fuera del marco",IF(AA328="N/A","Sin marco",IFERROR(INDEX('Datos - TIMSS 2023'!$C$5:$C$105,MATCH(AA328,'Datos - TIMSS 2023'!$A$5:$A$105,0)),"Pendiente de clasificar")))</f>
        <v/>
      </c>
      <c r="AD328" s="11" t="inlineStr">
        <is>
          <t>1. Explicar fenómenos científicamente</t>
        </is>
      </c>
      <c r="AE328" s="11">
        <f>IF(AD328="","",IF(LEFT(AD328,1)="1","C1",IF(LEFT(AD328,1)="2","C2",IF(LEFT(AD328,1)="3","C3",""))))</f>
        <v/>
      </c>
      <c r="AF328" s="11" t="inlineStr">
        <is>
          <t>E1</t>
        </is>
      </c>
      <c r="AG328" s="11" t="inlineStr">
        <is>
          <t>D1</t>
        </is>
      </c>
      <c r="AH328" s="11" t="inlineStr">
        <is>
          <t>E4</t>
        </is>
      </c>
      <c r="AI328" s="11" t="inlineStr">
        <is>
          <t>E4</t>
        </is>
      </c>
      <c r="AJ328" s="11" t="inlineStr">
        <is>
          <t>E1</t>
        </is>
      </c>
      <c r="AK328" s="11" t="n"/>
      <c r="AL328" s="11" t="n"/>
      <c r="AM328" s="11" t="n"/>
      <c r="AN328" s="11" t="n"/>
      <c r="AO328" s="11" t="n"/>
      <c r="AP328" s="11" t="n"/>
      <c r="AQ328" s="11" t="n"/>
      <c r="AR328" s="11" t="n"/>
      <c r="AS328" s="11" t="n"/>
      <c r="AT328" s="11" t="n"/>
      <c r="AU328" s="11" t="n"/>
      <c r="AV328" s="11" t="n"/>
      <c r="AW328" s="11">
        <f>AF328&amp;"; "&amp;AG328&amp;"; "&amp;AH328&amp;"; "&amp;AI328&amp;"; "&amp;AJ328</f>
        <v/>
      </c>
    </row>
    <row r="329">
      <c r="A329" s="11" t="inlineStr">
        <is>
          <t>T0963-G06-CIE</t>
        </is>
      </c>
      <c r="B329" s="11" t="n">
        <v>6</v>
      </c>
      <c r="C329" s="11" t="inlineStr">
        <is>
          <t>Ciencias</t>
        </is>
      </c>
      <c r="D329" s="11" t="inlineStr">
        <is>
          <t>Matriz_Ciencias_6to_Grado_U1_U6.xlsx</t>
        </is>
      </c>
      <c r="E329" s="11" t="inlineStr">
        <is>
          <t>Unidad 5 - Célula</t>
        </is>
      </c>
      <c r="F329" s="11" t="n">
        <v>13</v>
      </c>
      <c r="G329" s="11" t="inlineStr">
        <is>
          <t>5. Célula.</t>
        </is>
      </c>
      <c r="H329" s="11" t="inlineStr">
        <is>
          <t>Componentes subcelulares.</t>
        </is>
      </c>
      <c r="I329" s="38" t="inlineStr">
        <is>
          <t>5.11. Identificación de estructuras subcelulares eucariotas.</t>
        </is>
      </c>
      <c r="J329" s="11" t="inlineStr">
        <is>
          <t>T8_27</t>
        </is>
      </c>
      <c r="K329" s="11" t="inlineStr">
        <is>
          <t>T8_27-B2.1</t>
        </is>
      </c>
      <c r="L329" s="11" t="inlineStr"/>
      <c r="M329" s="11">
        <f>IF(K329="FUERA","Fuera del marco",IF(K329="N/A","Sin marco",IFERROR(INDEX('Datos - Catálogo TIMSS'!$C$5:$C$107,MATCH(K329,'Datos - Catálogo TIMSS'!$A$5:$A$107,0)),"Pendiente de clasificar")))</f>
        <v/>
      </c>
      <c r="N329" s="11">
        <f>IF(K329="FUERA","Fuera del marco",IF(K329="N/A","Sin marco",IFERROR(INDEX('Datos - Catálogo TIMSS'!$F$5:$F$107,MATCH(K329,'Datos - Catálogo TIMSS'!$A$5:$A$107,0)),"Pendiente de clasificar")))</f>
        <v/>
      </c>
      <c r="O329" s="11">
        <f>IF(L329="","",IFERROR(INDEX('Datos - Catálogo TIMSS'!$C$5:$C$107,MATCH(L329,'Datos - Catálogo TIMSS'!$A$5:$A$107,0)),"?"))</f>
        <v/>
      </c>
      <c r="P329" s="11" t="inlineStr">
        <is>
          <t>alta</t>
        </is>
      </c>
      <c r="Q329" s="38" t="inlineStr">
        <is>
          <t>Estructuras celulares principales y su función.</t>
        </is>
      </c>
      <c r="R329" s="38" t="inlineStr">
        <is>
          <t>Aplicar: identificar estructuras</t>
        </is>
      </c>
      <c r="S329" s="39">
        <f>IFERROR(ISNUMBER(SEARCH("Conocer",$R329))/(ISNUMBER(SEARCH("Conocer",$R329))+ISNUMBER(SEARCH("Aplicar",$R329))+ISNUMBER(SEARCH("Razonar",$R329))),0)</f>
        <v/>
      </c>
      <c r="T329" s="39">
        <f>IFERROR(ISNUMBER(SEARCH("Aplicar",$R329))/(ISNUMBER(SEARCH("Conocer",$R329))+ISNUMBER(SEARCH("Aplicar",$R329))+ISNUMBER(SEARCH("Razonar",$R329))),0)</f>
        <v/>
      </c>
      <c r="U329" s="39">
        <f>IFERROR(ISNUMBER(SEARCH("Razonar",$R329))/(ISNUMBER(SEARCH("Conocer",$R329))+ISNUMBER(SEARCH("Aplicar",$R329))+ISNUMBER(SEARCH("Razonar",$R329))),0)</f>
        <v/>
      </c>
      <c r="V329" s="11" t="inlineStr">
        <is>
          <t>6°</t>
        </is>
      </c>
      <c r="W329" s="11" t="inlineStr">
        <is>
          <t>Ciclo 5°–8°</t>
        </is>
      </c>
      <c r="X329" s="11">
        <f>IF(OR(IFERROR(INDEX('Datos - Catálogo TIMSS'!$I$5:$I$107,MATCH(K329,'Datos - Catálogo TIMSS'!$A$5:$A$107,0)),"No")="Sí",IFERROR(INDEX('Datos - Catálogo TIMSS'!$I$5:$I$107,MATCH(L329,'Datos - Catálogo TIMSS'!$A$5:$A$107,0)),"No")="Sí"),1,0)</f>
        <v/>
      </c>
      <c r="Y329" s="11">
        <f>IF(IFERROR(INDEX('Datos - Catálogo TIMSS'!$J$5:$J$107,MATCH(K329,'Datos - Catálogo TIMSS'!$A$5:$A$107,0)),"No")="Sí",1,0)</f>
        <v/>
      </c>
      <c r="Z329" s="11">
        <f>IF(IFERROR(INDEX('Datos - Catálogo TIMSS'!$J$5:$J$107,MATCH(L329,'Datos - Catálogo TIMSS'!$A$5:$A$107,0)),"No")="Sí",1,0)</f>
        <v/>
      </c>
      <c r="AA329" s="11" t="inlineStr">
        <is>
          <t>T8-B2.1</t>
        </is>
      </c>
      <c r="AB329" s="11" t="inlineStr"/>
      <c r="AC329" s="11">
        <f>IF(AA329="FUERA","Fuera del marco",IF(AA329="N/A","Sin marco",IFERROR(INDEX('Datos - TIMSS 2023'!$C$5:$C$105,MATCH(AA329,'Datos - TIMSS 2023'!$A$5:$A$105,0)),"Pendiente de clasificar")))</f>
        <v/>
      </c>
      <c r="AD329" s="11" t="inlineStr">
        <is>
          <t>1. Explicar fenómenos científicamente</t>
        </is>
      </c>
      <c r="AE329" s="11">
        <f>IF(AD329="","",IF(LEFT(AD329,1)="1","C1",IF(LEFT(AD329,1)="2","C2",IF(LEFT(AD329,1)="3","C3",""))))</f>
        <v/>
      </c>
      <c r="AF329" s="11" t="inlineStr">
        <is>
          <t>E1</t>
        </is>
      </c>
      <c r="AG329" s="11" t="inlineStr">
        <is>
          <t>D1</t>
        </is>
      </c>
      <c r="AH329" s="11" t="inlineStr">
        <is>
          <t>E1</t>
        </is>
      </c>
      <c r="AI329" s="11" t="inlineStr">
        <is>
          <t>D4</t>
        </is>
      </c>
      <c r="AJ329" s="11" t="inlineStr">
        <is>
          <t>E1</t>
        </is>
      </c>
      <c r="AK329" s="11" t="n"/>
      <c r="AL329" s="11" t="n"/>
      <c r="AM329" s="11" t="n"/>
      <c r="AN329" s="11" t="n"/>
      <c r="AO329" s="11" t="n"/>
      <c r="AP329" s="11" t="n"/>
      <c r="AQ329" s="11" t="n"/>
      <c r="AR329" s="11" t="n"/>
      <c r="AS329" s="11" t="n"/>
      <c r="AT329" s="11" t="n"/>
      <c r="AU329" s="11" t="n"/>
      <c r="AV329" s="11" t="n"/>
      <c r="AW329" s="11">
        <f>AF329&amp;"; "&amp;AG329&amp;"; "&amp;AH329&amp;"; "&amp;AI329&amp;"; "&amp;AJ329</f>
        <v/>
      </c>
    </row>
    <row r="330">
      <c r="A330" s="11" t="inlineStr">
        <is>
          <t>T0964-G06-CIE</t>
        </is>
      </c>
      <c r="B330" s="11" t="n">
        <v>6</v>
      </c>
      <c r="C330" s="11" t="inlineStr">
        <is>
          <t>Ciencias</t>
        </is>
      </c>
      <c r="D330" s="11" t="inlineStr">
        <is>
          <t>Matriz_Ciencias_6to_Grado_U1_U6.xlsx</t>
        </is>
      </c>
      <c r="E330" s="11" t="inlineStr">
        <is>
          <t>Unidad 5 - Célula</t>
        </is>
      </c>
      <c r="F330" s="11" t="n">
        <v>14</v>
      </c>
      <c r="G330" s="11" t="inlineStr">
        <is>
          <t>5. Célula.</t>
        </is>
      </c>
      <c r="H330" s="11" t="inlineStr">
        <is>
          <t>Respiración y mitocondria.</t>
        </is>
      </c>
      <c r="I330" s="38" t="inlineStr">
        <is>
          <t>5.12. Explicación del mecanismo general de respiración celular eucariota.</t>
        </is>
      </c>
      <c r="J330" s="11" t="inlineStr">
        <is>
          <t>T8_27</t>
        </is>
      </c>
      <c r="K330" s="11" t="inlineStr">
        <is>
          <t>T8_27-B1.3</t>
        </is>
      </c>
      <c r="L330" s="11" t="inlineStr"/>
      <c r="M330" s="11">
        <f>IF(K330="FUERA","Fuera del marco",IF(K330="N/A","Sin marco",IFERROR(INDEX('Datos - Catálogo TIMSS'!$C$5:$C$107,MATCH(K330,'Datos - Catálogo TIMSS'!$A$5:$A$107,0)),"Pendiente de clasificar")))</f>
        <v/>
      </c>
      <c r="N330" s="11">
        <f>IF(K330="FUERA","Fuera del marco",IF(K330="N/A","Sin marco",IFERROR(INDEX('Datos - Catálogo TIMSS'!$F$5:$F$107,MATCH(K330,'Datos - Catálogo TIMSS'!$A$5:$A$107,0)),"Pendiente de clasificar")))</f>
        <v/>
      </c>
      <c r="O330" s="11">
        <f>IF(L330="","",IFERROR(INDEX('Datos - Catálogo TIMSS'!$C$5:$C$107,MATCH(L330,'Datos - Catálogo TIMSS'!$A$5:$A$107,0)),"?"))</f>
        <v/>
      </c>
      <c r="P330" s="11" t="inlineStr">
        <is>
          <t>alta</t>
        </is>
      </c>
      <c r="Q330" s="38" t="inlineStr">
        <is>
          <t>Respiración celular: oxígeno y glucosa producen energía, CO2 y agua.</t>
        </is>
      </c>
      <c r="R330" s="38" t="inlineStr">
        <is>
          <t>Conocer: explicar procesos</t>
        </is>
      </c>
      <c r="S330" s="39">
        <f>IFERROR(ISNUMBER(SEARCH("Conocer",$R330))/(ISNUMBER(SEARCH("Conocer",$R330))+ISNUMBER(SEARCH("Aplicar",$R330))+ISNUMBER(SEARCH("Razonar",$R330))),0)</f>
        <v/>
      </c>
      <c r="T330" s="39">
        <f>IFERROR(ISNUMBER(SEARCH("Aplicar",$R330))/(ISNUMBER(SEARCH("Conocer",$R330))+ISNUMBER(SEARCH("Aplicar",$R330))+ISNUMBER(SEARCH("Razonar",$R330))),0)</f>
        <v/>
      </c>
      <c r="U330" s="39">
        <f>IFERROR(ISNUMBER(SEARCH("Razonar",$R330))/(ISNUMBER(SEARCH("Conocer",$R330))+ISNUMBER(SEARCH("Aplicar",$R330))+ISNUMBER(SEARCH("Razonar",$R330))),0)</f>
        <v/>
      </c>
      <c r="V330" s="11" t="inlineStr">
        <is>
          <t>6°</t>
        </is>
      </c>
      <c r="W330" s="11" t="inlineStr">
        <is>
          <t>Ciclo 5°–8°</t>
        </is>
      </c>
      <c r="X330" s="11">
        <f>IF(OR(IFERROR(INDEX('Datos - Catálogo TIMSS'!$I$5:$I$107,MATCH(K330,'Datos - Catálogo TIMSS'!$A$5:$A$107,0)),"No")="Sí",IFERROR(INDEX('Datos - Catálogo TIMSS'!$I$5:$I$107,MATCH(L330,'Datos - Catálogo TIMSS'!$A$5:$A$107,0)),"No")="Sí"),1,0)</f>
        <v/>
      </c>
      <c r="Y330" s="11">
        <f>IF(IFERROR(INDEX('Datos - Catálogo TIMSS'!$J$5:$J$107,MATCH(K330,'Datos - Catálogo TIMSS'!$A$5:$A$107,0)),"No")="Sí",1,0)</f>
        <v/>
      </c>
      <c r="Z330" s="11">
        <f>IF(IFERROR(INDEX('Datos - Catálogo TIMSS'!$J$5:$J$107,MATCH(L330,'Datos - Catálogo TIMSS'!$A$5:$A$107,0)),"No")="Sí",1,0)</f>
        <v/>
      </c>
      <c r="AA330" s="11" t="inlineStr">
        <is>
          <t>T8-B2.2</t>
        </is>
      </c>
      <c r="AB330" s="11" t="inlineStr"/>
      <c r="AC330" s="11">
        <f>IF(AA330="FUERA","Fuera del marco",IF(AA330="N/A","Sin marco",IFERROR(INDEX('Datos - TIMSS 2023'!$C$5:$C$105,MATCH(AA330,'Datos - TIMSS 2023'!$A$5:$A$105,0)),"Pendiente de clasificar")))</f>
        <v/>
      </c>
      <c r="AD330" s="11" t="inlineStr">
        <is>
          <t>1. Explicar fenómenos científicamente</t>
        </is>
      </c>
      <c r="AE330" s="11">
        <f>IF(AD330="","",IF(LEFT(AD330,1)="1","C1",IF(LEFT(AD330,1)="2","C2",IF(LEFT(AD330,1)="3","C3",""))))</f>
        <v/>
      </c>
      <c r="AF330" s="11" t="inlineStr">
        <is>
          <t>E1</t>
        </is>
      </c>
      <c r="AG330" s="11" t="inlineStr">
        <is>
          <t>D1</t>
        </is>
      </c>
      <c r="AH330" s="11" t="inlineStr">
        <is>
          <t>E2</t>
        </is>
      </c>
      <c r="AI330" s="11" t="inlineStr">
        <is>
          <t>D4</t>
        </is>
      </c>
      <c r="AJ330" s="11" t="inlineStr">
        <is>
          <t>E6</t>
        </is>
      </c>
      <c r="AK330" s="11" t="n"/>
      <c r="AL330" s="11" t="n"/>
      <c r="AM330" s="11" t="n"/>
      <c r="AN330" s="11" t="n"/>
      <c r="AO330" s="11" t="n"/>
      <c r="AP330" s="11" t="n"/>
      <c r="AQ330" s="11" t="n"/>
      <c r="AR330" s="11" t="n"/>
      <c r="AS330" s="11" t="n"/>
      <c r="AT330" s="11" t="n"/>
      <c r="AU330" s="11" t="n"/>
      <c r="AV330" s="11" t="n"/>
      <c r="AW330" s="11">
        <f>AF330&amp;"; "&amp;AG330&amp;"; "&amp;AH330&amp;"; "&amp;AI330&amp;"; "&amp;AJ330</f>
        <v/>
      </c>
    </row>
    <row r="331">
      <c r="A331" s="11" t="inlineStr">
        <is>
          <t>T0965-G06-CIE</t>
        </is>
      </c>
      <c r="B331" s="11" t="n">
        <v>6</v>
      </c>
      <c r="C331" s="11" t="inlineStr">
        <is>
          <t>Ciencias</t>
        </is>
      </c>
      <c r="D331" s="11" t="inlineStr">
        <is>
          <t>Matriz_Ciencias_6to_Grado_U1_U6.xlsx</t>
        </is>
      </c>
      <c r="E331" s="11" t="inlineStr">
        <is>
          <t>Unidad 5 - Célula</t>
        </is>
      </c>
      <c r="F331" s="11" t="n">
        <v>15</v>
      </c>
      <c r="G331" s="11" t="inlineStr">
        <is>
          <t>5. Célula.</t>
        </is>
      </c>
      <c r="H331" s="11" t="inlineStr">
        <is>
          <t>Respiración y mitocondria.</t>
        </is>
      </c>
      <c r="I331" s="38" t="inlineStr">
        <is>
          <t>5.13. Descripción de la estructura y funciones de las mitocondrias.</t>
        </is>
      </c>
      <c r="J331" s="11" t="inlineStr">
        <is>
          <t>T8_27</t>
        </is>
      </c>
      <c r="K331" s="11" t="inlineStr">
        <is>
          <t>T8_27-B2.1</t>
        </is>
      </c>
      <c r="L331" s="11" t="inlineStr">
        <is>
          <t>T8_27-B1.3</t>
        </is>
      </c>
      <c r="M331" s="11">
        <f>IF(K331="FUERA","Fuera del marco",IF(K331="N/A","Sin marco",IFERROR(INDEX('Datos - Catálogo TIMSS'!$C$5:$C$107,MATCH(K331,'Datos - Catálogo TIMSS'!$A$5:$A$107,0)),"Pendiente de clasificar")))</f>
        <v/>
      </c>
      <c r="N331" s="11">
        <f>IF(K331="FUERA","Fuera del marco",IF(K331="N/A","Sin marco",IFERROR(INDEX('Datos - Catálogo TIMSS'!$F$5:$F$107,MATCH(K331,'Datos - Catálogo TIMSS'!$A$5:$A$107,0)),"Pendiente de clasificar")))</f>
        <v/>
      </c>
      <c r="O331" s="11">
        <f>IF(L331="","",IFERROR(INDEX('Datos - Catálogo TIMSS'!$C$5:$C$107,MATCH(L331,'Datos - Catálogo TIMSS'!$A$5:$A$107,0)),"?"))</f>
        <v/>
      </c>
      <c r="P331" s="11" t="inlineStr">
        <is>
          <t>alta</t>
        </is>
      </c>
      <c r="Q331" s="38" t="inlineStr">
        <is>
          <t>Mitocondria como estructura celular ligada a respiración celular.</t>
        </is>
      </c>
      <c r="R331" s="38" t="inlineStr">
        <is>
          <t>Aplicar: construir modelos</t>
        </is>
      </c>
      <c r="S331" s="39">
        <f>IFERROR(ISNUMBER(SEARCH("Conocer",$R331))/(ISNUMBER(SEARCH("Conocer",$R331))+ISNUMBER(SEARCH("Aplicar",$R331))+ISNUMBER(SEARCH("Razonar",$R331))),0)</f>
        <v/>
      </c>
      <c r="T331" s="39">
        <f>IFERROR(ISNUMBER(SEARCH("Aplicar",$R331))/(ISNUMBER(SEARCH("Conocer",$R331))+ISNUMBER(SEARCH("Aplicar",$R331))+ISNUMBER(SEARCH("Razonar",$R331))),0)</f>
        <v/>
      </c>
      <c r="U331" s="39">
        <f>IFERROR(ISNUMBER(SEARCH("Razonar",$R331))/(ISNUMBER(SEARCH("Conocer",$R331))+ISNUMBER(SEARCH("Aplicar",$R331))+ISNUMBER(SEARCH("Razonar",$R331))),0)</f>
        <v/>
      </c>
      <c r="V331" s="11" t="inlineStr">
        <is>
          <t>6°</t>
        </is>
      </c>
      <c r="W331" s="11" t="inlineStr">
        <is>
          <t>Ciclo 5°–8°</t>
        </is>
      </c>
      <c r="X331" s="11">
        <f>IF(OR(IFERROR(INDEX('Datos - Catálogo TIMSS'!$I$5:$I$107,MATCH(K331,'Datos - Catálogo TIMSS'!$A$5:$A$107,0)),"No")="Sí",IFERROR(INDEX('Datos - Catálogo TIMSS'!$I$5:$I$107,MATCH(L331,'Datos - Catálogo TIMSS'!$A$5:$A$107,0)),"No")="Sí"),1,0)</f>
        <v/>
      </c>
      <c r="Y331" s="11">
        <f>IF(IFERROR(INDEX('Datos - Catálogo TIMSS'!$J$5:$J$107,MATCH(K331,'Datos - Catálogo TIMSS'!$A$5:$A$107,0)),"No")="Sí",1,0)</f>
        <v/>
      </c>
      <c r="Z331" s="11">
        <f>IF(IFERROR(INDEX('Datos - Catálogo TIMSS'!$J$5:$J$107,MATCH(L331,'Datos - Catálogo TIMSS'!$A$5:$A$107,0)),"No")="Sí",1,0)</f>
        <v/>
      </c>
      <c r="AA331" s="11" t="inlineStr">
        <is>
          <t>T8-B2.1</t>
        </is>
      </c>
      <c r="AB331" s="11" t="inlineStr">
        <is>
          <t>T8-B2.2</t>
        </is>
      </c>
      <c r="AC331" s="11">
        <f>IF(AA331="FUERA","Fuera del marco",IF(AA331="N/A","Sin marco",IFERROR(INDEX('Datos - TIMSS 2023'!$C$5:$C$105,MATCH(AA331,'Datos - TIMSS 2023'!$A$5:$A$105,0)),"Pendiente de clasificar")))</f>
        <v/>
      </c>
      <c r="AD331" s="11" t="inlineStr">
        <is>
          <t>1. Explicar fenómenos científicamente</t>
        </is>
      </c>
      <c r="AE331" s="11">
        <f>IF(AD331="","",IF(LEFT(AD331,1)="1","C1",IF(LEFT(AD331,1)="2","C2",IF(LEFT(AD331,1)="3","C3",""))))</f>
        <v/>
      </c>
      <c r="AF331" s="11" t="inlineStr">
        <is>
          <t>E1</t>
        </is>
      </c>
      <c r="AG331" s="11" t="inlineStr">
        <is>
          <t>D1</t>
        </is>
      </c>
      <c r="AH331" s="11" t="inlineStr">
        <is>
          <t>E4</t>
        </is>
      </c>
      <c r="AI331" s="11" t="inlineStr">
        <is>
          <t>D4</t>
        </is>
      </c>
      <c r="AJ331" s="11" t="inlineStr">
        <is>
          <t>E1</t>
        </is>
      </c>
      <c r="AK331" s="11" t="n"/>
      <c r="AL331" s="11" t="n"/>
      <c r="AM331" s="11" t="n"/>
      <c r="AN331" s="11" t="n"/>
      <c r="AO331" s="11" t="n"/>
      <c r="AP331" s="11" t="n"/>
      <c r="AQ331" s="11" t="n"/>
      <c r="AR331" s="11" t="n"/>
      <c r="AS331" s="11" t="n"/>
      <c r="AT331" s="11" t="n"/>
      <c r="AU331" s="11" t="n"/>
      <c r="AV331" s="11" t="n"/>
      <c r="AW331" s="11">
        <f>AF331&amp;"; "&amp;AG331&amp;"; "&amp;AH331&amp;"; "&amp;AI331&amp;"; "&amp;AJ331</f>
        <v/>
      </c>
    </row>
    <row r="332">
      <c r="A332" s="11" t="inlineStr">
        <is>
          <t>T0966-G06-CIE</t>
        </is>
      </c>
      <c r="B332" s="11" t="n">
        <v>6</v>
      </c>
      <c r="C332" s="11" t="inlineStr">
        <is>
          <t>Ciencias</t>
        </is>
      </c>
      <c r="D332" s="11" t="inlineStr">
        <is>
          <t>Matriz_Ciencias_6to_Grado_U1_U6.xlsx</t>
        </is>
      </c>
      <c r="E332" s="11" t="inlineStr">
        <is>
          <t>Unidad 5 - Célula</t>
        </is>
      </c>
      <c r="F332" s="11" t="n">
        <v>16</v>
      </c>
      <c r="G332" s="11" t="inlineStr">
        <is>
          <t>5. Célula.</t>
        </is>
      </c>
      <c r="H332" s="11" t="inlineStr">
        <is>
          <t>Fotosíntesis y cloroplasto.</t>
        </is>
      </c>
      <c r="I332" s="38" t="inlineStr">
        <is>
          <t>5.14. Descripción de la estructura y funciones de los cloroplastos.</t>
        </is>
      </c>
      <c r="J332" s="11" t="inlineStr">
        <is>
          <t>T8_27</t>
        </is>
      </c>
      <c r="K332" s="11" t="inlineStr">
        <is>
          <t>T8_27-B2.1</t>
        </is>
      </c>
      <c r="L332" s="11" t="inlineStr">
        <is>
          <t>T8_27-B1.3</t>
        </is>
      </c>
      <c r="M332" s="11">
        <f>IF(K332="FUERA","Fuera del marco",IF(K332="N/A","Sin marco",IFERROR(INDEX('Datos - Catálogo TIMSS'!$C$5:$C$107,MATCH(K332,'Datos - Catálogo TIMSS'!$A$5:$A$107,0)),"Pendiente de clasificar")))</f>
        <v/>
      </c>
      <c r="N332" s="11">
        <f>IF(K332="FUERA","Fuera del marco",IF(K332="N/A","Sin marco",IFERROR(INDEX('Datos - Catálogo TIMSS'!$F$5:$F$107,MATCH(K332,'Datos - Catálogo TIMSS'!$A$5:$A$107,0)),"Pendiente de clasificar")))</f>
        <v/>
      </c>
      <c r="O332" s="11">
        <f>IF(L332="","",IFERROR(INDEX('Datos - Catálogo TIMSS'!$C$5:$C$107,MATCH(L332,'Datos - Catálogo TIMSS'!$A$5:$A$107,0)),"?"))</f>
        <v/>
      </c>
      <c r="P332" s="11" t="inlineStr">
        <is>
          <t>alta</t>
        </is>
      </c>
      <c r="Q332" s="38" t="inlineStr">
        <is>
          <t>Cloroplasto como estructura celular ligada a fotosíntesis.</t>
        </is>
      </c>
      <c r="R332" s="38" t="inlineStr">
        <is>
          <t>Aplicar: observar e identificar</t>
        </is>
      </c>
      <c r="S332" s="39">
        <f>IFERROR(ISNUMBER(SEARCH("Conocer",$R332))/(ISNUMBER(SEARCH("Conocer",$R332))+ISNUMBER(SEARCH("Aplicar",$R332))+ISNUMBER(SEARCH("Razonar",$R332))),0)</f>
        <v/>
      </c>
      <c r="T332" s="39">
        <f>IFERROR(ISNUMBER(SEARCH("Aplicar",$R332))/(ISNUMBER(SEARCH("Conocer",$R332))+ISNUMBER(SEARCH("Aplicar",$R332))+ISNUMBER(SEARCH("Razonar",$R332))),0)</f>
        <v/>
      </c>
      <c r="U332" s="39">
        <f>IFERROR(ISNUMBER(SEARCH("Razonar",$R332))/(ISNUMBER(SEARCH("Conocer",$R332))+ISNUMBER(SEARCH("Aplicar",$R332))+ISNUMBER(SEARCH("Razonar",$R332))),0)</f>
        <v/>
      </c>
      <c r="V332" s="11" t="inlineStr">
        <is>
          <t>6°</t>
        </is>
      </c>
      <c r="W332" s="11" t="inlineStr">
        <is>
          <t>Ciclo 5°–8°</t>
        </is>
      </c>
      <c r="X332" s="11">
        <f>IF(OR(IFERROR(INDEX('Datos - Catálogo TIMSS'!$I$5:$I$107,MATCH(K332,'Datos - Catálogo TIMSS'!$A$5:$A$107,0)),"No")="Sí",IFERROR(INDEX('Datos - Catálogo TIMSS'!$I$5:$I$107,MATCH(L332,'Datos - Catálogo TIMSS'!$A$5:$A$107,0)),"No")="Sí"),1,0)</f>
        <v/>
      </c>
      <c r="Y332" s="11">
        <f>IF(IFERROR(INDEX('Datos - Catálogo TIMSS'!$J$5:$J$107,MATCH(K332,'Datos - Catálogo TIMSS'!$A$5:$A$107,0)),"No")="Sí",1,0)</f>
        <v/>
      </c>
      <c r="Z332" s="11">
        <f>IF(IFERROR(INDEX('Datos - Catálogo TIMSS'!$J$5:$J$107,MATCH(L332,'Datos - Catálogo TIMSS'!$A$5:$A$107,0)),"No")="Sí",1,0)</f>
        <v/>
      </c>
      <c r="AA332" s="11" t="inlineStr">
        <is>
          <t>T8-B2.1</t>
        </is>
      </c>
      <c r="AB332" s="11" t="inlineStr">
        <is>
          <t>T8-B2.2</t>
        </is>
      </c>
      <c r="AC332" s="11">
        <f>IF(AA332="FUERA","Fuera del marco",IF(AA332="N/A","Sin marco",IFERROR(INDEX('Datos - TIMSS 2023'!$C$5:$C$105,MATCH(AA332,'Datos - TIMSS 2023'!$A$5:$A$105,0)),"Pendiente de clasificar")))</f>
        <v/>
      </c>
      <c r="AD332" s="11" t="inlineStr">
        <is>
          <t>1. Explicar fenómenos científicamente</t>
        </is>
      </c>
      <c r="AE332" s="11">
        <f>IF(AD332="","",IF(LEFT(AD332,1)="1","C1",IF(LEFT(AD332,1)="2","C2",IF(LEFT(AD332,1)="3","C3",""))))</f>
        <v/>
      </c>
      <c r="AF332" s="11" t="inlineStr">
        <is>
          <t>E1</t>
        </is>
      </c>
      <c r="AG332" s="11" t="inlineStr">
        <is>
          <t>D1</t>
        </is>
      </c>
      <c r="AH332" s="11" t="inlineStr">
        <is>
          <t>E1</t>
        </is>
      </c>
      <c r="AI332" s="11" t="inlineStr">
        <is>
          <t>D4</t>
        </is>
      </c>
      <c r="AJ332" s="11" t="inlineStr">
        <is>
          <t>E1</t>
        </is>
      </c>
      <c r="AK332" s="11" t="n"/>
      <c r="AL332" s="11" t="n"/>
      <c r="AM332" s="11" t="n"/>
      <c r="AN332" s="11" t="n"/>
      <c r="AO332" s="11" t="n"/>
      <c r="AP332" s="11" t="n"/>
      <c r="AQ332" s="11" t="n"/>
      <c r="AR332" s="11" t="n"/>
      <c r="AS332" s="11" t="n"/>
      <c r="AT332" s="11" t="n"/>
      <c r="AU332" s="11" t="n"/>
      <c r="AV332" s="11" t="n"/>
      <c r="AW332" s="11">
        <f>AF332&amp;"; "&amp;AG332&amp;"; "&amp;AH332&amp;"; "&amp;AI332&amp;"; "&amp;AJ332</f>
        <v/>
      </c>
    </row>
    <row r="333">
      <c r="A333" s="11" t="inlineStr">
        <is>
          <t>T0967-G06-CIE</t>
        </is>
      </c>
      <c r="B333" s="11" t="n">
        <v>6</v>
      </c>
      <c r="C333" s="11" t="inlineStr">
        <is>
          <t>Ciencias</t>
        </is>
      </c>
      <c r="D333" s="11" t="inlineStr">
        <is>
          <t>Matriz_Ciencias_6to_Grado_U1_U6.xlsx</t>
        </is>
      </c>
      <c r="E333" s="11" t="inlineStr">
        <is>
          <t>Unidad 5 - Célula</t>
        </is>
      </c>
      <c r="F333" s="11" t="n">
        <v>17</v>
      </c>
      <c r="G333" s="11" t="inlineStr">
        <is>
          <t>5. Célula.</t>
        </is>
      </c>
      <c r="H333" s="11" t="inlineStr">
        <is>
          <t>Fotosíntesis y cloroplasto.</t>
        </is>
      </c>
      <c r="I333" s="38" t="inlineStr">
        <is>
          <t>5.15. Demostración experimental del proceso de fotosíntesis.</t>
        </is>
      </c>
      <c r="J333" s="11" t="inlineStr">
        <is>
          <t>T8_27</t>
        </is>
      </c>
      <c r="K333" s="11" t="inlineStr">
        <is>
          <t>T8_27-B1.3</t>
        </is>
      </c>
      <c r="L333" s="11" t="inlineStr">
        <is>
          <t>T8_27-B7.1</t>
        </is>
      </c>
      <c r="M333" s="11">
        <f>IF(K333="FUERA","Fuera del marco",IF(K333="N/A","Sin marco",IFERROR(INDEX('Datos - Catálogo TIMSS'!$C$5:$C$107,MATCH(K333,'Datos - Catálogo TIMSS'!$A$5:$A$107,0)),"Pendiente de clasificar")))</f>
        <v/>
      </c>
      <c r="N333" s="11">
        <f>IF(K333="FUERA","Fuera del marco",IF(K333="N/A","Sin marco",IFERROR(INDEX('Datos - Catálogo TIMSS'!$F$5:$F$107,MATCH(K333,'Datos - Catálogo TIMSS'!$A$5:$A$107,0)),"Pendiente de clasificar")))</f>
        <v/>
      </c>
      <c r="O333" s="11">
        <f>IF(L333="","",IFERROR(INDEX('Datos - Catálogo TIMSS'!$C$5:$C$107,MATCH(L333,'Datos - Catálogo TIMSS'!$A$5:$A$107,0)),"?"))</f>
        <v/>
      </c>
      <c r="P333" s="11" t="inlineStr">
        <is>
          <t>alta</t>
        </is>
      </c>
      <c r="Q333" s="38" t="inlineStr">
        <is>
          <t>Fotosíntesis según la luz; variable de tratamiento controlada.</t>
        </is>
      </c>
      <c r="R333" s="38" t="inlineStr">
        <is>
          <t>Razonar: diseñar una prueba y concluir</t>
        </is>
      </c>
      <c r="S333" s="39">
        <f>IFERROR(ISNUMBER(SEARCH("Conocer",$R333))/(ISNUMBER(SEARCH("Conocer",$R333))+ISNUMBER(SEARCH("Aplicar",$R333))+ISNUMBER(SEARCH("Razonar",$R333))),0)</f>
        <v/>
      </c>
      <c r="T333" s="39">
        <f>IFERROR(ISNUMBER(SEARCH("Aplicar",$R333))/(ISNUMBER(SEARCH("Conocer",$R333))+ISNUMBER(SEARCH("Aplicar",$R333))+ISNUMBER(SEARCH("Razonar",$R333))),0)</f>
        <v/>
      </c>
      <c r="U333" s="39">
        <f>IFERROR(ISNUMBER(SEARCH("Razonar",$R333))/(ISNUMBER(SEARCH("Conocer",$R333))+ISNUMBER(SEARCH("Aplicar",$R333))+ISNUMBER(SEARCH("Razonar",$R333))),0)</f>
        <v/>
      </c>
      <c r="V333" s="11" t="inlineStr">
        <is>
          <t>6°</t>
        </is>
      </c>
      <c r="W333" s="11" t="inlineStr">
        <is>
          <t>Ciclo 5°–8°</t>
        </is>
      </c>
      <c r="X333" s="11">
        <f>IF(OR(IFERROR(INDEX('Datos - Catálogo TIMSS'!$I$5:$I$107,MATCH(K333,'Datos - Catálogo TIMSS'!$A$5:$A$107,0)),"No")="Sí",IFERROR(INDEX('Datos - Catálogo TIMSS'!$I$5:$I$107,MATCH(L333,'Datos - Catálogo TIMSS'!$A$5:$A$107,0)),"No")="Sí"),1,0)</f>
        <v/>
      </c>
      <c r="Y333" s="11">
        <f>IF(IFERROR(INDEX('Datos - Catálogo TIMSS'!$J$5:$J$107,MATCH(K333,'Datos - Catálogo TIMSS'!$A$5:$A$107,0)),"No")="Sí",1,0)</f>
        <v/>
      </c>
      <c r="Z333" s="11">
        <f>IF(IFERROR(INDEX('Datos - Catálogo TIMSS'!$J$5:$J$107,MATCH(L333,'Datos - Catálogo TIMSS'!$A$5:$A$107,0)),"No")="Sí",1,0)</f>
        <v/>
      </c>
      <c r="AA333" s="11" t="inlineStr">
        <is>
          <t>T8-B2.2</t>
        </is>
      </c>
      <c r="AB333" s="11" t="inlineStr"/>
      <c r="AC333" s="11">
        <f>IF(AA333="FUERA","Fuera del marco",IF(AA333="N/A","Sin marco",IFERROR(INDEX('Datos - TIMSS 2023'!$C$5:$C$105,MATCH(AA333,'Datos - TIMSS 2023'!$A$5:$A$105,0)),"Pendiente de clasificar")))</f>
        <v/>
      </c>
      <c r="AD333" s="11" t="inlineStr">
        <is>
          <t>2. Construir y evaluar diseños para la indagación científica e interpretar datos y evidencia de forma crítica</t>
        </is>
      </c>
      <c r="AE333" s="11">
        <f>IF(AD333="","",IF(LEFT(AD333,1)="1","C1",IF(LEFT(AD333,1)="2","C2",IF(LEFT(AD333,1)="3","C3",""))))</f>
        <v/>
      </c>
      <c r="AF333" s="11" t="inlineStr">
        <is>
          <t>E1</t>
        </is>
      </c>
      <c r="AG333" s="11" t="inlineStr">
        <is>
          <t>E3</t>
        </is>
      </c>
      <c r="AH333" s="11" t="inlineStr">
        <is>
          <t>E1</t>
        </is>
      </c>
      <c r="AI333" s="11" t="inlineStr">
        <is>
          <t>D2</t>
        </is>
      </c>
      <c r="AJ333" s="11" t="inlineStr">
        <is>
          <t>E6</t>
        </is>
      </c>
      <c r="AK333" s="11" t="n"/>
      <c r="AL333" s="11" t="n"/>
      <c r="AM333" s="11" t="n"/>
      <c r="AN333" s="11" t="n"/>
      <c r="AO333" s="11" t="n"/>
      <c r="AP333" s="11" t="n"/>
      <c r="AQ333" s="11" t="n"/>
      <c r="AR333" s="11" t="n"/>
      <c r="AS333" s="11" t="n"/>
      <c r="AT333" s="11" t="n"/>
      <c r="AU333" s="11" t="n"/>
      <c r="AV333" s="11" t="n"/>
      <c r="AW333" s="11">
        <f>AF333&amp;"; "&amp;AG333&amp;"; "&amp;AH333&amp;"; "&amp;AI333&amp;"; "&amp;AJ333</f>
        <v/>
      </c>
    </row>
    <row r="334">
      <c r="A334" s="11" t="inlineStr">
        <is>
          <t>T0968-G06-CIE</t>
        </is>
      </c>
      <c r="B334" s="11" t="n">
        <v>6</v>
      </c>
      <c r="C334" s="11" t="inlineStr">
        <is>
          <t>Ciencias</t>
        </is>
      </c>
      <c r="D334" s="11" t="inlineStr">
        <is>
          <t>Matriz_Ciencias_6to_Grado_U1_U6.xlsx</t>
        </is>
      </c>
      <c r="E334" s="11" t="inlineStr">
        <is>
          <t>Unidad 5 - Célula</t>
        </is>
      </c>
      <c r="F334" s="11" t="n">
        <v>18</v>
      </c>
      <c r="G334" s="11" t="inlineStr">
        <is>
          <t>5. Célula.</t>
        </is>
      </c>
      <c r="H334" s="11" t="inlineStr">
        <is>
          <t>Fotosíntesis y cloroplasto.</t>
        </is>
      </c>
      <c r="I334" s="38" t="inlineStr">
        <is>
          <t>5.16. Experimentación con métodos de extracción de pigmentos fotosintéticos.</t>
        </is>
      </c>
      <c r="J334" s="11" t="inlineStr">
        <is>
          <t>T8_27</t>
        </is>
      </c>
      <c r="K334" s="11" t="inlineStr">
        <is>
          <t>T8_27-B1.3</t>
        </is>
      </c>
      <c r="L334" s="11" t="inlineStr">
        <is>
          <t>T8_27-C2.2</t>
        </is>
      </c>
      <c r="M334" s="11">
        <f>IF(K334="FUERA","Fuera del marco",IF(K334="N/A","Sin marco",IFERROR(INDEX('Datos - Catálogo TIMSS'!$C$5:$C$107,MATCH(K334,'Datos - Catálogo TIMSS'!$A$5:$A$107,0)),"Pendiente de clasificar")))</f>
        <v/>
      </c>
      <c r="N334" s="11">
        <f>IF(K334="FUERA","Fuera del marco",IF(K334="N/A","Sin marco",IFERROR(INDEX('Datos - Catálogo TIMSS'!$F$5:$F$107,MATCH(K334,'Datos - Catálogo TIMSS'!$A$5:$A$107,0)),"Pendiente de clasificar")))</f>
        <v/>
      </c>
      <c r="O334" s="11">
        <f>IF(L334="","",IFERROR(INDEX('Datos - Catálogo TIMSS'!$C$5:$C$107,MATCH(L334,'Datos - Catálogo TIMSS'!$A$5:$A$107,0)),"?"))</f>
        <v/>
      </c>
      <c r="P334" s="11" t="inlineStr">
        <is>
          <t>media</t>
        </is>
      </c>
      <c r="Q334" s="38" t="inlineStr">
        <is>
          <t>Pigmentos fotosintéticos separados por cromatografía.</t>
        </is>
      </c>
      <c r="R334" s="38" t="inlineStr">
        <is>
          <t>Aplicar: experimentar e interpretar</t>
        </is>
      </c>
      <c r="S334" s="39">
        <f>IFERROR(ISNUMBER(SEARCH("Conocer",$R334))/(ISNUMBER(SEARCH("Conocer",$R334))+ISNUMBER(SEARCH("Aplicar",$R334))+ISNUMBER(SEARCH("Razonar",$R334))),0)</f>
        <v/>
      </c>
      <c r="T334" s="39">
        <f>IFERROR(ISNUMBER(SEARCH("Aplicar",$R334))/(ISNUMBER(SEARCH("Conocer",$R334))+ISNUMBER(SEARCH("Aplicar",$R334))+ISNUMBER(SEARCH("Razonar",$R334))),0)</f>
        <v/>
      </c>
      <c r="U334" s="39">
        <f>IFERROR(ISNUMBER(SEARCH("Razonar",$R334))/(ISNUMBER(SEARCH("Conocer",$R334))+ISNUMBER(SEARCH("Aplicar",$R334))+ISNUMBER(SEARCH("Razonar",$R334))),0)</f>
        <v/>
      </c>
      <c r="V334" s="11" t="inlineStr">
        <is>
          <t>6°</t>
        </is>
      </c>
      <c r="W334" s="11" t="inlineStr">
        <is>
          <t>Ciclo 5°–8°</t>
        </is>
      </c>
      <c r="X334" s="11">
        <f>IF(OR(IFERROR(INDEX('Datos - Catálogo TIMSS'!$I$5:$I$107,MATCH(K334,'Datos - Catálogo TIMSS'!$A$5:$A$107,0)),"No")="Sí",IFERROR(INDEX('Datos - Catálogo TIMSS'!$I$5:$I$107,MATCH(L334,'Datos - Catálogo TIMSS'!$A$5:$A$107,0)),"No")="Sí"),1,0)</f>
        <v/>
      </c>
      <c r="Y334" s="11">
        <f>IF(IFERROR(INDEX('Datos - Catálogo TIMSS'!$J$5:$J$107,MATCH(K334,'Datos - Catálogo TIMSS'!$A$5:$A$107,0)),"No")="Sí",1,0)</f>
        <v/>
      </c>
      <c r="Z334" s="11">
        <f>IF(IFERROR(INDEX('Datos - Catálogo TIMSS'!$J$5:$J$107,MATCH(L334,'Datos - Catálogo TIMSS'!$A$5:$A$107,0)),"No")="Sí",1,0)</f>
        <v/>
      </c>
      <c r="AA334" s="11" t="inlineStr">
        <is>
          <t>T8-B2.2</t>
        </is>
      </c>
      <c r="AB334" s="11" t="inlineStr">
        <is>
          <t>T8-Q2.3</t>
        </is>
      </c>
      <c r="AC334" s="11">
        <f>IF(AA334="FUERA","Fuera del marco",IF(AA334="N/A","Sin marco",IFERROR(INDEX('Datos - TIMSS 2023'!$C$5:$C$105,MATCH(AA334,'Datos - TIMSS 2023'!$A$5:$A$105,0)),"Pendiente de clasificar")))</f>
        <v/>
      </c>
      <c r="AD334" s="11" t="inlineStr">
        <is>
          <t>2. Construir y evaluar diseños para la indagación científica e interpretar datos y evidencia de forma crítica</t>
        </is>
      </c>
      <c r="AE334" s="11">
        <f>IF(AD334="","",IF(LEFT(AD334,1)="1","C1",IF(LEFT(AD334,1)="2","C2",IF(LEFT(AD334,1)="3","C3",""))))</f>
        <v/>
      </c>
      <c r="AF334" s="11" t="inlineStr">
        <is>
          <t>E1</t>
        </is>
      </c>
      <c r="AG334" s="11" t="inlineStr">
        <is>
          <t>E3</t>
        </is>
      </c>
      <c r="AH334" s="11" t="inlineStr">
        <is>
          <t>E1</t>
        </is>
      </c>
      <c r="AI334" s="11" t="inlineStr">
        <is>
          <t>D4</t>
        </is>
      </c>
      <c r="AJ334" s="11" t="inlineStr">
        <is>
          <t>E1</t>
        </is>
      </c>
      <c r="AK334" s="11" t="n"/>
      <c r="AL334" s="11" t="n"/>
      <c r="AM334" s="11" t="n"/>
      <c r="AN334" s="11" t="n"/>
      <c r="AO334" s="11" t="n"/>
      <c r="AP334" s="11" t="n"/>
      <c r="AQ334" s="11" t="n"/>
      <c r="AR334" s="11" t="n"/>
      <c r="AS334" s="11" t="n"/>
      <c r="AT334" s="11" t="n"/>
      <c r="AU334" s="11" t="n"/>
      <c r="AV334" s="11" t="n"/>
      <c r="AW334" s="11">
        <f>AF334&amp;"; "&amp;AG334&amp;"; "&amp;AH334&amp;"; "&amp;AI334&amp;"; "&amp;AJ334</f>
        <v/>
      </c>
    </row>
    <row r="335">
      <c r="A335" s="11" t="inlineStr">
        <is>
          <t>T0969-G06-CIE</t>
        </is>
      </c>
      <c r="B335" s="11" t="n">
        <v>6</v>
      </c>
      <c r="C335" s="11" t="inlineStr">
        <is>
          <t>Ciencias</t>
        </is>
      </c>
      <c r="D335" s="11" t="inlineStr">
        <is>
          <t>Matriz_Ciencias_6to_Grado_U1_U6.xlsx</t>
        </is>
      </c>
      <c r="E335" s="11" t="inlineStr">
        <is>
          <t>Unidad 5 - Célula</t>
        </is>
      </c>
      <c r="F335" s="11" t="n">
        <v>19</v>
      </c>
      <c r="G335" s="11" t="inlineStr">
        <is>
          <t>5. Célula.</t>
        </is>
      </c>
      <c r="H335" s="11" t="inlineStr">
        <is>
          <t>Fotosíntesis y cloroplasto.</t>
        </is>
      </c>
      <c r="I335" s="38" t="inlineStr">
        <is>
          <t>5.17. Explicación del proceso general de fotosíntesis en plantas.</t>
        </is>
      </c>
      <c r="J335" s="11" t="inlineStr">
        <is>
          <t>T8_27</t>
        </is>
      </c>
      <c r="K335" s="11" t="inlineStr">
        <is>
          <t>T8_27-B1.3</t>
        </is>
      </c>
      <c r="L335" s="11" t="inlineStr"/>
      <c r="M335" s="11">
        <f>IF(K335="FUERA","Fuera del marco",IF(K335="N/A","Sin marco",IFERROR(INDEX('Datos - Catálogo TIMSS'!$C$5:$C$107,MATCH(K335,'Datos - Catálogo TIMSS'!$A$5:$A$107,0)),"Pendiente de clasificar")))</f>
        <v/>
      </c>
      <c r="N335" s="11">
        <f>IF(K335="FUERA","Fuera del marco",IF(K335="N/A","Sin marco",IFERROR(INDEX('Datos - Catálogo TIMSS'!$F$5:$F$107,MATCH(K335,'Datos - Catálogo TIMSS'!$A$5:$A$107,0)),"Pendiente de clasificar")))</f>
        <v/>
      </c>
      <c r="O335" s="11">
        <f>IF(L335="","",IFERROR(INDEX('Datos - Catálogo TIMSS'!$C$5:$C$107,MATCH(L335,'Datos - Catálogo TIMSS'!$A$5:$A$107,0)),"?"))</f>
        <v/>
      </c>
      <c r="P335" s="11" t="inlineStr">
        <is>
          <t>alta</t>
        </is>
      </c>
      <c r="Q335" s="38" t="inlineStr">
        <is>
          <t>Proceso general de la fotosíntesis.</t>
        </is>
      </c>
      <c r="R335" s="38" t="inlineStr">
        <is>
          <t>Conocer: explicar procesos</t>
        </is>
      </c>
      <c r="S335" s="39">
        <f>IFERROR(ISNUMBER(SEARCH("Conocer",$R335))/(ISNUMBER(SEARCH("Conocer",$R335))+ISNUMBER(SEARCH("Aplicar",$R335))+ISNUMBER(SEARCH("Razonar",$R335))),0)</f>
        <v/>
      </c>
      <c r="T335" s="39">
        <f>IFERROR(ISNUMBER(SEARCH("Aplicar",$R335))/(ISNUMBER(SEARCH("Conocer",$R335))+ISNUMBER(SEARCH("Aplicar",$R335))+ISNUMBER(SEARCH("Razonar",$R335))),0)</f>
        <v/>
      </c>
      <c r="U335" s="39">
        <f>IFERROR(ISNUMBER(SEARCH("Razonar",$R335))/(ISNUMBER(SEARCH("Conocer",$R335))+ISNUMBER(SEARCH("Aplicar",$R335))+ISNUMBER(SEARCH("Razonar",$R335))),0)</f>
        <v/>
      </c>
      <c r="V335" s="11" t="inlineStr">
        <is>
          <t>6°</t>
        </is>
      </c>
      <c r="W335" s="11" t="inlineStr">
        <is>
          <t>Ciclo 5°–8°</t>
        </is>
      </c>
      <c r="X335" s="11">
        <f>IF(OR(IFERROR(INDEX('Datos - Catálogo TIMSS'!$I$5:$I$107,MATCH(K335,'Datos - Catálogo TIMSS'!$A$5:$A$107,0)),"No")="Sí",IFERROR(INDEX('Datos - Catálogo TIMSS'!$I$5:$I$107,MATCH(L335,'Datos - Catálogo TIMSS'!$A$5:$A$107,0)),"No")="Sí"),1,0)</f>
        <v/>
      </c>
      <c r="Y335" s="11">
        <f>IF(IFERROR(INDEX('Datos - Catálogo TIMSS'!$J$5:$J$107,MATCH(K335,'Datos - Catálogo TIMSS'!$A$5:$A$107,0)),"No")="Sí",1,0)</f>
        <v/>
      </c>
      <c r="Z335" s="11">
        <f>IF(IFERROR(INDEX('Datos - Catálogo TIMSS'!$J$5:$J$107,MATCH(L335,'Datos - Catálogo TIMSS'!$A$5:$A$107,0)),"No")="Sí",1,0)</f>
        <v/>
      </c>
      <c r="AA335" s="11" t="inlineStr">
        <is>
          <t>T8-B2.2</t>
        </is>
      </c>
      <c r="AB335" s="11" t="inlineStr"/>
      <c r="AC335" s="11">
        <f>IF(AA335="FUERA","Fuera del marco",IF(AA335="N/A","Sin marco",IFERROR(INDEX('Datos - TIMSS 2023'!$C$5:$C$105,MATCH(AA335,'Datos - TIMSS 2023'!$A$5:$A$105,0)),"Pendiente de clasificar")))</f>
        <v/>
      </c>
      <c r="AD335" s="11" t="inlineStr">
        <is>
          <t>1. Explicar fenómenos científicamente</t>
        </is>
      </c>
      <c r="AE335" s="11">
        <f>IF(AD335="","",IF(LEFT(AD335,1)="1","C1",IF(LEFT(AD335,1)="2","C2",IF(LEFT(AD335,1)="3","C3",""))))</f>
        <v/>
      </c>
      <c r="AF335" s="11" t="inlineStr">
        <is>
          <t>E1</t>
        </is>
      </c>
      <c r="AG335" s="11" t="inlineStr">
        <is>
          <t>D1</t>
        </is>
      </c>
      <c r="AH335" s="11" t="inlineStr">
        <is>
          <t>E2</t>
        </is>
      </c>
      <c r="AI335" s="11" t="inlineStr">
        <is>
          <t>D4</t>
        </is>
      </c>
      <c r="AJ335" s="11" t="inlineStr">
        <is>
          <t>E6</t>
        </is>
      </c>
      <c r="AK335" s="11" t="n"/>
      <c r="AL335" s="11" t="n"/>
      <c r="AM335" s="11" t="n"/>
      <c r="AN335" s="11" t="n"/>
      <c r="AO335" s="11" t="n"/>
      <c r="AP335" s="11" t="n"/>
      <c r="AQ335" s="11" t="n"/>
      <c r="AR335" s="11" t="n"/>
      <c r="AS335" s="11" t="n"/>
      <c r="AT335" s="11" t="n"/>
      <c r="AU335" s="11" t="n"/>
      <c r="AV335" s="11" t="n"/>
      <c r="AW335" s="11">
        <f>AF335&amp;"; "&amp;AG335&amp;"; "&amp;AH335&amp;"; "&amp;AI335&amp;"; "&amp;AJ335</f>
        <v/>
      </c>
    </row>
    <row r="336">
      <c r="A336" s="11" t="inlineStr">
        <is>
          <t>T0970-G06-CIE</t>
        </is>
      </c>
      <c r="B336" s="11" t="n">
        <v>6</v>
      </c>
      <c r="C336" s="11" t="inlineStr">
        <is>
          <t>Ciencias</t>
        </is>
      </c>
      <c r="D336" s="11" t="inlineStr">
        <is>
          <t>Matriz_Ciencias_6to_Grado_U1_U6.xlsx</t>
        </is>
      </c>
      <c r="E336" s="11" t="inlineStr">
        <is>
          <t>Unidad 5 - Célula</t>
        </is>
      </c>
      <c r="F336" s="11" t="n">
        <v>20</v>
      </c>
      <c r="G336" s="11" t="inlineStr">
        <is>
          <t>5. Célula.</t>
        </is>
      </c>
      <c r="H336" s="11" t="inlineStr">
        <is>
          <t>Sistema endomembranoso.</t>
        </is>
      </c>
      <c r="I336" s="38" t="inlineStr">
        <is>
          <t>5.18. Interpretación de la vía endocítica y secretora del sistema endomembranoso.</t>
        </is>
      </c>
      <c r="J336" s="11" t="inlineStr">
        <is>
          <t>T8_27</t>
        </is>
      </c>
      <c r="K336" s="11" t="inlineStr">
        <is>
          <t>T8_27-B2.1</t>
        </is>
      </c>
      <c r="L336" s="11" t="inlineStr"/>
      <c r="M336" s="11">
        <f>IF(K336="FUERA","Fuera del marco",IF(K336="N/A","Sin marco",IFERROR(INDEX('Datos - Catálogo TIMSS'!$C$5:$C$107,MATCH(K336,'Datos - Catálogo TIMSS'!$A$5:$A$107,0)),"Pendiente de clasificar")))</f>
        <v/>
      </c>
      <c r="N336" s="11">
        <f>IF(K336="FUERA","Fuera del marco",IF(K336="N/A","Sin marco",IFERROR(INDEX('Datos - Catálogo TIMSS'!$F$5:$F$107,MATCH(K336,'Datos - Catálogo TIMSS'!$A$5:$A$107,0)),"Pendiente de clasificar")))</f>
        <v/>
      </c>
      <c r="O336" s="11">
        <f>IF(L336="","",IFERROR(INDEX('Datos - Catálogo TIMSS'!$C$5:$C$107,MATCH(L336,'Datos - Catálogo TIMSS'!$A$5:$A$107,0)),"?"))</f>
        <v/>
      </c>
      <c r="P336" s="11" t="inlineStr">
        <is>
          <t>media</t>
        </is>
      </c>
      <c r="Q336" s="38" t="inlineStr">
        <is>
          <t>Funciones de estructuras celulares; nivel mayor que TIMSS.</t>
        </is>
      </c>
      <c r="R336" s="38" t="inlineStr">
        <is>
          <t>Aplicar: usar y evaluar modelos</t>
        </is>
      </c>
      <c r="S336" s="39">
        <f>IFERROR(ISNUMBER(SEARCH("Conocer",$R336))/(ISNUMBER(SEARCH("Conocer",$R336))+ISNUMBER(SEARCH("Aplicar",$R336))+ISNUMBER(SEARCH("Razonar",$R336))),0)</f>
        <v/>
      </c>
      <c r="T336" s="39">
        <f>IFERROR(ISNUMBER(SEARCH("Aplicar",$R336))/(ISNUMBER(SEARCH("Conocer",$R336))+ISNUMBER(SEARCH("Aplicar",$R336))+ISNUMBER(SEARCH("Razonar",$R336))),0)</f>
        <v/>
      </c>
      <c r="U336" s="39">
        <f>IFERROR(ISNUMBER(SEARCH("Razonar",$R336))/(ISNUMBER(SEARCH("Conocer",$R336))+ISNUMBER(SEARCH("Aplicar",$R336))+ISNUMBER(SEARCH("Razonar",$R336))),0)</f>
        <v/>
      </c>
      <c r="V336" s="11" t="inlineStr">
        <is>
          <t>6°</t>
        </is>
      </c>
      <c r="W336" s="11" t="inlineStr">
        <is>
          <t>Ciclo 5°–8°</t>
        </is>
      </c>
      <c r="X336" s="11">
        <f>IF(OR(IFERROR(INDEX('Datos - Catálogo TIMSS'!$I$5:$I$107,MATCH(K336,'Datos - Catálogo TIMSS'!$A$5:$A$107,0)),"No")="Sí",IFERROR(INDEX('Datos - Catálogo TIMSS'!$I$5:$I$107,MATCH(L336,'Datos - Catálogo TIMSS'!$A$5:$A$107,0)),"No")="Sí"),1,0)</f>
        <v/>
      </c>
      <c r="Y336" s="11">
        <f>IF(IFERROR(INDEX('Datos - Catálogo TIMSS'!$J$5:$J$107,MATCH(K336,'Datos - Catálogo TIMSS'!$A$5:$A$107,0)),"No")="Sí",1,0)</f>
        <v/>
      </c>
      <c r="Z336" s="11">
        <f>IF(IFERROR(INDEX('Datos - Catálogo TIMSS'!$J$5:$J$107,MATCH(L336,'Datos - Catálogo TIMSS'!$A$5:$A$107,0)),"No")="Sí",1,0)</f>
        <v/>
      </c>
      <c r="AA336" s="11" t="inlineStr">
        <is>
          <t>T8-B2.1</t>
        </is>
      </c>
      <c r="AB336" s="11" t="inlineStr"/>
      <c r="AC336" s="11">
        <f>IF(AA336="FUERA","Fuera del marco",IF(AA336="N/A","Sin marco",IFERROR(INDEX('Datos - TIMSS 2023'!$C$5:$C$105,MATCH(AA336,'Datos - TIMSS 2023'!$A$5:$A$105,0)),"Pendiente de clasificar")))</f>
        <v/>
      </c>
      <c r="AD336" s="11" t="inlineStr">
        <is>
          <t>1. Explicar fenómenos científicamente</t>
        </is>
      </c>
      <c r="AE336" s="11">
        <f>IF(AD336="","",IF(LEFT(AD336,1)="1","C1",IF(LEFT(AD336,1)="2","C2",IF(LEFT(AD336,1)="3","C3",""))))</f>
        <v/>
      </c>
      <c r="AF336" s="11" t="inlineStr">
        <is>
          <t>E1</t>
        </is>
      </c>
      <c r="AG336" s="11" t="inlineStr">
        <is>
          <t>D1</t>
        </is>
      </c>
      <c r="AH336" s="11" t="inlineStr">
        <is>
          <t>E4</t>
        </is>
      </c>
      <c r="AI336" s="11" t="inlineStr">
        <is>
          <t>E4</t>
        </is>
      </c>
      <c r="AJ336" s="11" t="inlineStr">
        <is>
          <t>E1</t>
        </is>
      </c>
      <c r="AK336" s="11" t="n"/>
      <c r="AL336" s="11" t="n"/>
      <c r="AM336" s="11" t="n"/>
      <c r="AN336" s="11" t="n"/>
      <c r="AO336" s="11" t="n"/>
      <c r="AP336" s="11" t="n"/>
      <c r="AQ336" s="11" t="n"/>
      <c r="AR336" s="11" t="n"/>
      <c r="AS336" s="11" t="n"/>
      <c r="AT336" s="11" t="n"/>
      <c r="AU336" s="11" t="n"/>
      <c r="AV336" s="11" t="n"/>
      <c r="AW336" s="11">
        <f>AF336&amp;"; "&amp;AG336&amp;"; "&amp;AH336&amp;"; "&amp;AI336&amp;"; "&amp;AJ336</f>
        <v/>
      </c>
    </row>
    <row r="337">
      <c r="A337" s="11" t="inlineStr">
        <is>
          <t>T0971-G06-CIE</t>
        </is>
      </c>
      <c r="B337" s="11" t="n">
        <v>6</v>
      </c>
      <c r="C337" s="11" t="inlineStr">
        <is>
          <t>Ciencias</t>
        </is>
      </c>
      <c r="D337" s="11" t="inlineStr">
        <is>
          <t>Matriz_Ciencias_6to_Grado_U1_U6.xlsx</t>
        </is>
      </c>
      <c r="E337" s="11" t="inlineStr">
        <is>
          <t>Unidad 5 - Célula</t>
        </is>
      </c>
      <c r="F337" s="11" t="n">
        <v>21</v>
      </c>
      <c r="G337" s="11" t="inlineStr">
        <is>
          <t>5. Célula.</t>
        </is>
      </c>
      <c r="H337" s="11" t="inlineStr">
        <is>
          <t>Matriz extracelular.</t>
        </is>
      </c>
      <c r="I337" s="38" t="inlineStr">
        <is>
          <t>5.19. Descripción general de la estructura y funciones de la matriz extracelular.</t>
        </is>
      </c>
      <c r="J337" s="11" t="inlineStr">
        <is>
          <t>T8_27</t>
        </is>
      </c>
      <c r="K337" s="11" t="inlineStr">
        <is>
          <t>T8_27-B2.1</t>
        </is>
      </c>
      <c r="L337" s="11" t="inlineStr"/>
      <c r="M337" s="11">
        <f>IF(K337="FUERA","Fuera del marco",IF(K337="N/A","Sin marco",IFERROR(INDEX('Datos - Catálogo TIMSS'!$C$5:$C$107,MATCH(K337,'Datos - Catálogo TIMSS'!$A$5:$A$107,0)),"Pendiente de clasificar")))</f>
        <v/>
      </c>
      <c r="N337" s="11">
        <f>IF(K337="FUERA","Fuera del marco",IF(K337="N/A","Sin marco",IFERROR(INDEX('Datos - Catálogo TIMSS'!$F$5:$F$107,MATCH(K337,'Datos - Catálogo TIMSS'!$A$5:$A$107,0)),"Pendiente de clasificar")))</f>
        <v/>
      </c>
      <c r="O337" s="11">
        <f>IF(L337="","",IFERROR(INDEX('Datos - Catálogo TIMSS'!$C$5:$C$107,MATCH(L337,'Datos - Catálogo TIMSS'!$A$5:$A$107,0)),"?"))</f>
        <v/>
      </c>
      <c r="P337" s="11" t="inlineStr">
        <is>
          <t>baja</t>
        </is>
      </c>
      <c r="Q337" s="38" t="inlineStr">
        <is>
          <t>Matriz extracelular fuera de la célula; solo afín a tejidos.</t>
        </is>
      </c>
      <c r="R337" s="38" t="inlineStr">
        <is>
          <t>Conocer: describir</t>
        </is>
      </c>
      <c r="S337" s="39">
        <f>IFERROR(ISNUMBER(SEARCH("Conocer",$R337))/(ISNUMBER(SEARCH("Conocer",$R337))+ISNUMBER(SEARCH("Aplicar",$R337))+ISNUMBER(SEARCH("Razonar",$R337))),0)</f>
        <v/>
      </c>
      <c r="T337" s="39">
        <f>IFERROR(ISNUMBER(SEARCH("Aplicar",$R337))/(ISNUMBER(SEARCH("Conocer",$R337))+ISNUMBER(SEARCH("Aplicar",$R337))+ISNUMBER(SEARCH("Razonar",$R337))),0)</f>
        <v/>
      </c>
      <c r="U337" s="39">
        <f>IFERROR(ISNUMBER(SEARCH("Razonar",$R337))/(ISNUMBER(SEARCH("Conocer",$R337))+ISNUMBER(SEARCH("Aplicar",$R337))+ISNUMBER(SEARCH("Razonar",$R337))),0)</f>
        <v/>
      </c>
      <c r="V337" s="11" t="inlineStr">
        <is>
          <t>6°</t>
        </is>
      </c>
      <c r="W337" s="11" t="inlineStr">
        <is>
          <t>Ciclo 5°–8°</t>
        </is>
      </c>
      <c r="X337" s="11">
        <f>IF(OR(IFERROR(INDEX('Datos - Catálogo TIMSS'!$I$5:$I$107,MATCH(K337,'Datos - Catálogo TIMSS'!$A$5:$A$107,0)),"No")="Sí",IFERROR(INDEX('Datos - Catálogo TIMSS'!$I$5:$I$107,MATCH(L337,'Datos - Catálogo TIMSS'!$A$5:$A$107,0)),"No")="Sí"),1,0)</f>
        <v/>
      </c>
      <c r="Y337" s="11">
        <f>IF(IFERROR(INDEX('Datos - Catálogo TIMSS'!$J$5:$J$107,MATCH(K337,'Datos - Catálogo TIMSS'!$A$5:$A$107,0)),"No")="Sí",1,0)</f>
        <v/>
      </c>
      <c r="Z337" s="11">
        <f>IF(IFERROR(INDEX('Datos - Catálogo TIMSS'!$J$5:$J$107,MATCH(L337,'Datos - Catálogo TIMSS'!$A$5:$A$107,0)),"No")="Sí",1,0)</f>
        <v/>
      </c>
      <c r="AA337" s="11" t="inlineStr">
        <is>
          <t>T8-B2.1</t>
        </is>
      </c>
      <c r="AB337" s="11" t="inlineStr"/>
      <c r="AC337" s="11">
        <f>IF(AA337="FUERA","Fuera del marco",IF(AA337="N/A","Sin marco",IFERROR(INDEX('Datos - TIMSS 2023'!$C$5:$C$105,MATCH(AA337,'Datos - TIMSS 2023'!$A$5:$A$105,0)),"Pendiente de clasificar")))</f>
        <v/>
      </c>
      <c r="AD337" s="11" t="inlineStr">
        <is>
          <t>1. Explicar fenómenos científicamente</t>
        </is>
      </c>
      <c r="AE337" s="11">
        <f>IF(AD337="","",IF(LEFT(AD337,1)="1","C1",IF(LEFT(AD337,1)="2","C2",IF(LEFT(AD337,1)="3","C3",""))))</f>
        <v/>
      </c>
      <c r="AF337" s="11" t="inlineStr">
        <is>
          <t>E1</t>
        </is>
      </c>
      <c r="AG337" s="11" t="inlineStr">
        <is>
          <t>D1</t>
        </is>
      </c>
      <c r="AH337" s="11" t="inlineStr">
        <is>
          <t>E1</t>
        </is>
      </c>
      <c r="AI337" s="11" t="inlineStr">
        <is>
          <t>D4</t>
        </is>
      </c>
      <c r="AJ337" s="11" t="inlineStr">
        <is>
          <t>E1</t>
        </is>
      </c>
      <c r="AK337" s="11" t="n"/>
      <c r="AL337" s="11" t="n"/>
      <c r="AM337" s="11" t="n"/>
      <c r="AN337" s="11" t="n"/>
      <c r="AO337" s="11" t="n"/>
      <c r="AP337" s="11" t="n"/>
      <c r="AQ337" s="11" t="n"/>
      <c r="AR337" s="11" t="n"/>
      <c r="AS337" s="11" t="n"/>
      <c r="AT337" s="11" t="n"/>
      <c r="AU337" s="11" t="n"/>
      <c r="AV337" s="11" t="n"/>
      <c r="AW337" s="11">
        <f>AF337&amp;"; "&amp;AG337&amp;"; "&amp;AH337&amp;"; "&amp;AI337&amp;"; "&amp;AJ337</f>
        <v/>
      </c>
    </row>
    <row r="338">
      <c r="A338" s="11" t="inlineStr">
        <is>
          <t>T0972-G06-CIE</t>
        </is>
      </c>
      <c r="B338" s="11" t="n">
        <v>6</v>
      </c>
      <c r="C338" s="11" t="inlineStr">
        <is>
          <t>Ciencias</t>
        </is>
      </c>
      <c r="D338" s="11" t="inlineStr">
        <is>
          <t>Matriz_Ciencias_6to_Grado_U1_U6.xlsx</t>
        </is>
      </c>
      <c r="E338" s="11" t="inlineStr">
        <is>
          <t>Unidad 5 - Célula</t>
        </is>
      </c>
      <c r="F338" s="11" t="n">
        <v>22</v>
      </c>
      <c r="G338" s="11" t="inlineStr">
        <is>
          <t>5. Célula.</t>
        </is>
      </c>
      <c r="H338" s="11" t="inlineStr">
        <is>
          <t>Matriz extracelular.</t>
        </is>
      </c>
      <c r="I338" s="38" t="inlineStr">
        <is>
          <t>5.20. Observación de las funciones de la matriz extracelular en tejidos secretores.</t>
        </is>
      </c>
      <c r="J338" s="11" t="inlineStr">
        <is>
          <t>T8_27</t>
        </is>
      </c>
      <c r="K338" s="11" t="inlineStr">
        <is>
          <t>T8_27-B2.1</t>
        </is>
      </c>
      <c r="L338" s="11" t="inlineStr"/>
      <c r="M338" s="11">
        <f>IF(K338="FUERA","Fuera del marco",IF(K338="N/A","Sin marco",IFERROR(INDEX('Datos - Catálogo TIMSS'!$C$5:$C$107,MATCH(K338,'Datos - Catálogo TIMSS'!$A$5:$A$107,0)),"Pendiente de clasificar")))</f>
        <v/>
      </c>
      <c r="N338" s="11">
        <f>IF(K338="FUERA","Fuera del marco",IF(K338="N/A","Sin marco",IFERROR(INDEX('Datos - Catálogo TIMSS'!$F$5:$F$107,MATCH(K338,'Datos - Catálogo TIMSS'!$A$5:$A$107,0)),"Pendiente de clasificar")))</f>
        <v/>
      </c>
      <c r="O338" s="11">
        <f>IF(L338="","",IFERROR(INDEX('Datos - Catálogo TIMSS'!$C$5:$C$107,MATCH(L338,'Datos - Catálogo TIMSS'!$A$5:$A$107,0)),"?"))</f>
        <v/>
      </c>
      <c r="P338" s="11" t="inlineStr">
        <is>
          <t>baja</t>
        </is>
      </c>
      <c r="Q338" s="38" t="inlineStr">
        <is>
          <t>Matriz extracelular en tejidos; marco solo pide tejidos de células.</t>
        </is>
      </c>
      <c r="R338" s="38" t="inlineStr">
        <is>
          <t>Aplicar: identificar</t>
        </is>
      </c>
      <c r="S338" s="39">
        <f>IFERROR(ISNUMBER(SEARCH("Conocer",$R338))/(ISNUMBER(SEARCH("Conocer",$R338))+ISNUMBER(SEARCH("Aplicar",$R338))+ISNUMBER(SEARCH("Razonar",$R338))),0)</f>
        <v/>
      </c>
      <c r="T338" s="39">
        <f>IFERROR(ISNUMBER(SEARCH("Aplicar",$R338))/(ISNUMBER(SEARCH("Conocer",$R338))+ISNUMBER(SEARCH("Aplicar",$R338))+ISNUMBER(SEARCH("Razonar",$R338))),0)</f>
        <v/>
      </c>
      <c r="U338" s="39">
        <f>IFERROR(ISNUMBER(SEARCH("Razonar",$R338))/(ISNUMBER(SEARCH("Conocer",$R338))+ISNUMBER(SEARCH("Aplicar",$R338))+ISNUMBER(SEARCH("Razonar",$R338))),0)</f>
        <v/>
      </c>
      <c r="V338" s="11" t="inlineStr">
        <is>
          <t>6°</t>
        </is>
      </c>
      <c r="W338" s="11" t="inlineStr">
        <is>
          <t>Ciclo 5°–8°</t>
        </is>
      </c>
      <c r="X338" s="11">
        <f>IF(OR(IFERROR(INDEX('Datos - Catálogo TIMSS'!$I$5:$I$107,MATCH(K338,'Datos - Catálogo TIMSS'!$A$5:$A$107,0)),"No")="Sí",IFERROR(INDEX('Datos - Catálogo TIMSS'!$I$5:$I$107,MATCH(L338,'Datos - Catálogo TIMSS'!$A$5:$A$107,0)),"No")="Sí"),1,0)</f>
        <v/>
      </c>
      <c r="Y338" s="11">
        <f>IF(IFERROR(INDEX('Datos - Catálogo TIMSS'!$J$5:$J$107,MATCH(K338,'Datos - Catálogo TIMSS'!$A$5:$A$107,0)),"No")="Sí",1,0)</f>
        <v/>
      </c>
      <c r="Z338" s="11">
        <f>IF(IFERROR(INDEX('Datos - Catálogo TIMSS'!$J$5:$J$107,MATCH(L338,'Datos - Catálogo TIMSS'!$A$5:$A$107,0)),"No")="Sí",1,0)</f>
        <v/>
      </c>
      <c r="AA338" s="11" t="inlineStr">
        <is>
          <t>T8-B2.1</t>
        </is>
      </c>
      <c r="AB338" s="11" t="inlineStr"/>
      <c r="AC338" s="11">
        <f>IF(AA338="FUERA","Fuera del marco",IF(AA338="N/A","Sin marco",IFERROR(INDEX('Datos - TIMSS 2023'!$C$5:$C$105,MATCH(AA338,'Datos - TIMSS 2023'!$A$5:$A$105,0)),"Pendiente de clasificar")))</f>
        <v/>
      </c>
      <c r="AD338" s="11" t="inlineStr">
        <is>
          <t>2. Construir y evaluar diseños para la indagación científica e interpretar datos y evidencia de forma crítica</t>
        </is>
      </c>
      <c r="AE338" s="11">
        <f>IF(AD338="","",IF(LEFT(AD338,1)="1","C1",IF(LEFT(AD338,1)="2","C2",IF(LEFT(AD338,1)="3","C3",""))))</f>
        <v/>
      </c>
      <c r="AF338" s="11" t="inlineStr">
        <is>
          <t>E1</t>
        </is>
      </c>
      <c r="AG338" s="11" t="inlineStr">
        <is>
          <t>D1</t>
        </is>
      </c>
      <c r="AH338" s="11" t="inlineStr">
        <is>
          <t>E1</t>
        </is>
      </c>
      <c r="AI338" s="11" t="inlineStr">
        <is>
          <t>D4</t>
        </is>
      </c>
      <c r="AJ338" s="11" t="inlineStr">
        <is>
          <t>E1</t>
        </is>
      </c>
      <c r="AK338" s="11" t="n"/>
      <c r="AL338" s="11" t="n"/>
      <c r="AM338" s="11" t="n"/>
      <c r="AN338" s="11" t="n"/>
      <c r="AO338" s="11" t="n"/>
      <c r="AP338" s="11" t="n"/>
      <c r="AQ338" s="11" t="n"/>
      <c r="AR338" s="11" t="n"/>
      <c r="AS338" s="11" t="n"/>
      <c r="AT338" s="11" t="n"/>
      <c r="AU338" s="11" t="n"/>
      <c r="AV338" s="11" t="n"/>
      <c r="AW338" s="11">
        <f>AF338&amp;"; "&amp;AG338&amp;"; "&amp;AH338&amp;"; "&amp;AI338&amp;"; "&amp;AJ338</f>
        <v/>
      </c>
    </row>
    <row r="339">
      <c r="A339" s="11" t="inlineStr">
        <is>
          <t>T0973-G06-CIE</t>
        </is>
      </c>
      <c r="B339" s="11" t="n">
        <v>6</v>
      </c>
      <c r="C339" s="11" t="inlineStr">
        <is>
          <t>Ciencias</t>
        </is>
      </c>
      <c r="D339" s="11" t="inlineStr">
        <is>
          <t>Matriz_Ciencias_6to_Grado_U1_U6.xlsx</t>
        </is>
      </c>
      <c r="E339" s="11" t="inlineStr">
        <is>
          <t>Unidad 5 - Célula</t>
        </is>
      </c>
      <c r="F339" s="11" t="n">
        <v>23</v>
      </c>
      <c r="G339" s="11" t="inlineStr">
        <is>
          <t>5. Célula.</t>
        </is>
      </c>
      <c r="H339" s="11" t="inlineStr">
        <is>
          <t>Matriz extracelular.</t>
        </is>
      </c>
      <c r="I339" s="38" t="inlineStr">
        <is>
          <t>5.21. Aplicación de pruebas bacteriológicas básicas en cultivos sólidos de bacterias.</t>
        </is>
      </c>
      <c r="J339" s="11" t="inlineStr">
        <is>
          <t>T8_27</t>
        </is>
      </c>
      <c r="K339" s="11" t="inlineStr">
        <is>
          <t>T8_27-B1.1</t>
        </is>
      </c>
      <c r="L339" s="11" t="inlineStr">
        <is>
          <t>T8_27-B7.1</t>
        </is>
      </c>
      <c r="M339" s="11">
        <f>IF(K339="FUERA","Fuera del marco",IF(K339="N/A","Sin marco",IFERROR(INDEX('Datos - Catálogo TIMSS'!$C$5:$C$107,MATCH(K339,'Datos - Catálogo TIMSS'!$A$5:$A$107,0)),"Pendiente de clasificar")))</f>
        <v/>
      </c>
      <c r="N339" s="11">
        <f>IF(K339="FUERA","Fuera del marco",IF(K339="N/A","Sin marco",IFERROR(INDEX('Datos - Catálogo TIMSS'!$F$5:$F$107,MATCH(K339,'Datos - Catálogo TIMSS'!$A$5:$A$107,0)),"Pendiente de clasificar")))</f>
        <v/>
      </c>
      <c r="O339" s="11">
        <f>IF(L339="","",IFERROR(INDEX('Datos - Catálogo TIMSS'!$C$5:$C$107,MATCH(L339,'Datos - Catálogo TIMSS'!$A$5:$A$107,0)),"?"))</f>
        <v/>
      </c>
      <c r="P339" s="11" t="inlineStr">
        <is>
          <t>baja</t>
        </is>
      </c>
      <c r="Q339" s="38" t="inlineStr">
        <is>
          <t>Pruebas bacteriológicas para reconocer bacterias; práctica de laboratorio.</t>
        </is>
      </c>
      <c r="R339" s="38" t="inlineStr">
        <is>
          <t>Aplicar: interpretar resultados</t>
        </is>
      </c>
      <c r="S339" s="39">
        <f>IFERROR(ISNUMBER(SEARCH("Conocer",$R339))/(ISNUMBER(SEARCH("Conocer",$R339))+ISNUMBER(SEARCH("Aplicar",$R339))+ISNUMBER(SEARCH("Razonar",$R339))),0)</f>
        <v/>
      </c>
      <c r="T339" s="39">
        <f>IFERROR(ISNUMBER(SEARCH("Aplicar",$R339))/(ISNUMBER(SEARCH("Conocer",$R339))+ISNUMBER(SEARCH("Aplicar",$R339))+ISNUMBER(SEARCH("Razonar",$R339))),0)</f>
        <v/>
      </c>
      <c r="U339" s="39">
        <f>IFERROR(ISNUMBER(SEARCH("Razonar",$R339))/(ISNUMBER(SEARCH("Conocer",$R339))+ISNUMBER(SEARCH("Aplicar",$R339))+ISNUMBER(SEARCH("Razonar",$R339))),0)</f>
        <v/>
      </c>
      <c r="V339" s="11" t="inlineStr">
        <is>
          <t>6°</t>
        </is>
      </c>
      <c r="W339" s="11" t="inlineStr">
        <is>
          <t>Ciclo 5°–8°</t>
        </is>
      </c>
      <c r="X339" s="11">
        <f>IF(OR(IFERROR(INDEX('Datos - Catálogo TIMSS'!$I$5:$I$107,MATCH(K339,'Datos - Catálogo TIMSS'!$A$5:$A$107,0)),"No")="Sí",IFERROR(INDEX('Datos - Catálogo TIMSS'!$I$5:$I$107,MATCH(L339,'Datos - Catálogo TIMSS'!$A$5:$A$107,0)),"No")="Sí"),1,0)</f>
        <v/>
      </c>
      <c r="Y339" s="11">
        <f>IF(IFERROR(INDEX('Datos - Catálogo TIMSS'!$J$5:$J$107,MATCH(K339,'Datos - Catálogo TIMSS'!$A$5:$A$107,0)),"No")="Sí",1,0)</f>
        <v/>
      </c>
      <c r="Z339" s="11">
        <f>IF(IFERROR(INDEX('Datos - Catálogo TIMSS'!$J$5:$J$107,MATCH(L339,'Datos - Catálogo TIMSS'!$A$5:$A$107,0)),"No")="Sí",1,0)</f>
        <v/>
      </c>
      <c r="AA339" s="11" t="inlineStr">
        <is>
          <t>T8-B1.1</t>
        </is>
      </c>
      <c r="AB339" s="11" t="inlineStr"/>
      <c r="AC339" s="11">
        <f>IF(AA339="FUERA","Fuera del marco",IF(AA339="N/A","Sin marco",IFERROR(INDEX('Datos - TIMSS 2023'!$C$5:$C$105,MATCH(AA339,'Datos - TIMSS 2023'!$A$5:$A$105,0)),"Pendiente de clasificar")))</f>
        <v/>
      </c>
      <c r="AD339" s="11" t="inlineStr">
        <is>
          <t>2. Construir y evaluar diseños para la indagación científica e interpretar datos y evidencia de forma crítica</t>
        </is>
      </c>
      <c r="AE339" s="11">
        <f>IF(AD339="","",IF(LEFT(AD339,1)="1","C1",IF(LEFT(AD339,1)="2","C2",IF(LEFT(AD339,1)="3","C3",""))))</f>
        <v/>
      </c>
      <c r="AF339" s="11" t="inlineStr">
        <is>
          <t>E1</t>
        </is>
      </c>
      <c r="AG339" s="11" t="inlineStr">
        <is>
          <t>D1</t>
        </is>
      </c>
      <c r="AH339" s="11" t="inlineStr">
        <is>
          <t>E1</t>
        </is>
      </c>
      <c r="AI339" s="11" t="inlineStr">
        <is>
          <t>D4</t>
        </is>
      </c>
      <c r="AJ339" s="11" t="inlineStr">
        <is>
          <t>E6</t>
        </is>
      </c>
      <c r="AK339" s="11" t="n"/>
      <c r="AL339" s="11" t="n"/>
      <c r="AM339" s="11" t="n"/>
      <c r="AN339" s="11" t="n"/>
      <c r="AO339" s="11" t="n"/>
      <c r="AP339" s="11" t="n"/>
      <c r="AQ339" s="11" t="n"/>
      <c r="AR339" s="11" t="n"/>
      <c r="AS339" s="11" t="n"/>
      <c r="AT339" s="11" t="n"/>
      <c r="AU339" s="11" t="n"/>
      <c r="AV339" s="11" t="n"/>
      <c r="AW339" s="11">
        <f>AF339&amp;"; "&amp;AG339&amp;"; "&amp;AH339&amp;"; "&amp;AI339&amp;"; "&amp;AJ339</f>
        <v/>
      </c>
    </row>
    <row r="340">
      <c r="A340" s="11" t="inlineStr">
        <is>
          <t>T0974-G06-CIE</t>
        </is>
      </c>
      <c r="B340" s="11" t="n">
        <v>6</v>
      </c>
      <c r="C340" s="11" t="inlineStr">
        <is>
          <t>Ciencias</t>
        </is>
      </c>
      <c r="D340" s="11" t="inlineStr">
        <is>
          <t>Matriz_Ciencias_6to_Grado_U1_U6.xlsx</t>
        </is>
      </c>
      <c r="E340" s="11" t="inlineStr">
        <is>
          <t>Unidad 5 - Célula</t>
        </is>
      </c>
      <c r="F340" s="11" t="n">
        <v>24</v>
      </c>
      <c r="G340" s="11" t="inlineStr">
        <is>
          <t>5. Célula.</t>
        </is>
      </c>
      <c r="H340" s="11" t="inlineStr">
        <is>
          <t>Matriz extracelular.</t>
        </is>
      </c>
      <c r="I340" s="38" t="inlineStr">
        <is>
          <t>5.22. Revisión documental sobre implicaciones de la matriz extracelular en lesiones.</t>
        </is>
      </c>
      <c r="J340" s="11" t="inlineStr">
        <is>
          <t>T8_27</t>
        </is>
      </c>
      <c r="K340" s="11" t="inlineStr">
        <is>
          <t>T8_27-B2.1</t>
        </is>
      </c>
      <c r="L340" s="11" t="inlineStr"/>
      <c r="M340" s="11">
        <f>IF(K340="FUERA","Fuera del marco",IF(K340="N/A","Sin marco",IFERROR(INDEX('Datos - Catálogo TIMSS'!$C$5:$C$107,MATCH(K340,'Datos - Catálogo TIMSS'!$A$5:$A$107,0)),"Pendiente de clasificar")))</f>
        <v/>
      </c>
      <c r="N340" s="11">
        <f>IF(K340="FUERA","Fuera del marco",IF(K340="N/A","Sin marco",IFERROR(INDEX('Datos - Catálogo TIMSS'!$F$5:$F$107,MATCH(K340,'Datos - Catálogo TIMSS'!$A$5:$A$107,0)),"Pendiente de clasificar")))</f>
        <v/>
      </c>
      <c r="O340" s="11">
        <f>IF(L340="","",IFERROR(INDEX('Datos - Catálogo TIMSS'!$C$5:$C$107,MATCH(L340,'Datos - Catálogo TIMSS'!$A$5:$A$107,0)),"?"))</f>
        <v/>
      </c>
      <c r="P340" s="11" t="inlineStr">
        <is>
          <t>baja</t>
        </is>
      </c>
      <c r="Q340" s="38" t="inlineStr">
        <is>
          <t>Revisión documental de matriz extracelular; poco contenido del marco.</t>
        </is>
      </c>
      <c r="R340" s="38" t="inlineStr">
        <is>
          <t>Razonar: sintetizar información</t>
        </is>
      </c>
      <c r="S340" s="39">
        <f>IFERROR(ISNUMBER(SEARCH("Conocer",$R340))/(ISNUMBER(SEARCH("Conocer",$R340))+ISNUMBER(SEARCH("Aplicar",$R340))+ISNUMBER(SEARCH("Razonar",$R340))),0)</f>
        <v/>
      </c>
      <c r="T340" s="39">
        <f>IFERROR(ISNUMBER(SEARCH("Aplicar",$R340))/(ISNUMBER(SEARCH("Conocer",$R340))+ISNUMBER(SEARCH("Aplicar",$R340))+ISNUMBER(SEARCH("Razonar",$R340))),0)</f>
        <v/>
      </c>
      <c r="U340" s="39">
        <f>IFERROR(ISNUMBER(SEARCH("Razonar",$R340))/(ISNUMBER(SEARCH("Conocer",$R340))+ISNUMBER(SEARCH("Aplicar",$R340))+ISNUMBER(SEARCH("Razonar",$R340))),0)</f>
        <v/>
      </c>
      <c r="V340" s="11" t="inlineStr">
        <is>
          <t>6°</t>
        </is>
      </c>
      <c r="W340" s="11" t="inlineStr">
        <is>
          <t>Ciclo 5°–8°</t>
        </is>
      </c>
      <c r="X340" s="11">
        <f>IF(OR(IFERROR(INDEX('Datos - Catálogo TIMSS'!$I$5:$I$107,MATCH(K340,'Datos - Catálogo TIMSS'!$A$5:$A$107,0)),"No")="Sí",IFERROR(INDEX('Datos - Catálogo TIMSS'!$I$5:$I$107,MATCH(L340,'Datos - Catálogo TIMSS'!$A$5:$A$107,0)),"No")="Sí"),1,0)</f>
        <v/>
      </c>
      <c r="Y340" s="11">
        <f>IF(IFERROR(INDEX('Datos - Catálogo TIMSS'!$J$5:$J$107,MATCH(K340,'Datos - Catálogo TIMSS'!$A$5:$A$107,0)),"No")="Sí",1,0)</f>
        <v/>
      </c>
      <c r="Z340" s="11">
        <f>IF(IFERROR(INDEX('Datos - Catálogo TIMSS'!$J$5:$J$107,MATCH(L340,'Datos - Catálogo TIMSS'!$A$5:$A$107,0)),"No")="Sí",1,0)</f>
        <v/>
      </c>
      <c r="AA340" s="11" t="inlineStr">
        <is>
          <t>T8-B2.1</t>
        </is>
      </c>
      <c r="AB340" s="11" t="inlineStr"/>
      <c r="AC340" s="11">
        <f>IF(AA340="FUERA","Fuera del marco",IF(AA340="N/A","Sin marco",IFERROR(INDEX('Datos - TIMSS 2023'!$C$5:$C$105,MATCH(AA340,'Datos - TIMSS 2023'!$A$5:$A$105,0)),"Pendiente de clasificar")))</f>
        <v/>
      </c>
      <c r="AD340" s="11" t="inlineStr">
        <is>
          <t>3. Investigar, evaluar y usar información científica para tomar decisiones y actuar</t>
        </is>
      </c>
      <c r="AE340" s="11">
        <f>IF(AD340="","",IF(LEFT(AD340,1)="1","C1",IF(LEFT(AD340,1)="2","C2",IF(LEFT(AD340,1)="3","C3",""))))</f>
        <v/>
      </c>
      <c r="AF340" s="11" t="inlineStr">
        <is>
          <t>E1</t>
        </is>
      </c>
      <c r="AG340" s="11" t="inlineStr">
        <is>
          <t>D1</t>
        </is>
      </c>
      <c r="AH340" s="11" t="inlineStr">
        <is>
          <t>E1</t>
        </is>
      </c>
      <c r="AI340" s="11" t="inlineStr">
        <is>
          <t>I1</t>
        </is>
      </c>
      <c r="AJ340" s="11" t="inlineStr">
        <is>
          <t>I5</t>
        </is>
      </c>
      <c r="AK340" s="11" t="n"/>
      <c r="AL340" s="11" t="n"/>
      <c r="AM340" s="11" t="n"/>
      <c r="AN340" s="11" t="n"/>
      <c r="AO340" s="11" t="n"/>
      <c r="AP340" s="11" t="n"/>
      <c r="AQ340" s="11" t="n"/>
      <c r="AR340" s="11" t="n"/>
      <c r="AS340" s="11" t="n"/>
      <c r="AT340" s="11" t="n"/>
      <c r="AU340" s="11" t="n"/>
      <c r="AV340" s="11" t="n"/>
      <c r="AW340" s="11">
        <f>AF340&amp;"; "&amp;AG340&amp;"; "&amp;AH340&amp;"; "&amp;AI340&amp;"; "&amp;AJ340</f>
        <v/>
      </c>
    </row>
    <row r="341">
      <c r="A341" s="11" t="inlineStr">
        <is>
          <t>T0975-G06-CIE</t>
        </is>
      </c>
      <c r="B341" s="11" t="n">
        <v>6</v>
      </c>
      <c r="C341" s="11" t="inlineStr">
        <is>
          <t>Ciencias</t>
        </is>
      </c>
      <c r="D341" s="11" t="inlineStr">
        <is>
          <t>Matriz_Ciencias_6to_Grado_U1_U6.xlsx</t>
        </is>
      </c>
      <c r="E341" s="11" t="inlineStr">
        <is>
          <t>Unidad 6 - Biología del desarro</t>
        </is>
      </c>
      <c r="F341" s="11" t="n">
        <v>3</v>
      </c>
      <c r="G341" s="11" t="inlineStr">
        <is>
          <t>6. Biología del desarrollo.</t>
        </is>
      </c>
      <c r="H341" s="11" t="inlineStr">
        <is>
          <t>Material genético.</t>
        </is>
      </c>
      <c r="I341" s="38" t="inlineStr">
        <is>
          <t>6.1. Exploración de la estructura y funciones del material genético.</t>
        </is>
      </c>
      <c r="J341" s="11" t="inlineStr">
        <is>
          <t>T8_27</t>
        </is>
      </c>
      <c r="K341" s="11" t="inlineStr">
        <is>
          <t>T8_27-B3.1</t>
        </is>
      </c>
      <c r="L341" s="11" t="inlineStr"/>
      <c r="M341" s="11">
        <f>IF(K341="FUERA","Fuera del marco",IF(K341="N/A","Sin marco",IFERROR(INDEX('Datos - Catálogo TIMSS'!$C$5:$C$107,MATCH(K341,'Datos - Catálogo TIMSS'!$A$5:$A$107,0)),"Pendiente de clasificar")))</f>
        <v/>
      </c>
      <c r="N341" s="11">
        <f>IF(K341="FUERA","Fuera del marco",IF(K341="N/A","Sin marco",IFERROR(INDEX('Datos - Catálogo TIMSS'!$F$5:$F$107,MATCH(K341,'Datos - Catálogo TIMSS'!$A$5:$A$107,0)),"Pendiente de clasificar")))</f>
        <v/>
      </c>
      <c r="O341" s="11">
        <f>IF(L341="","",IFERROR(INDEX('Datos - Catálogo TIMSS'!$C$5:$C$107,MATCH(L341,'Datos - Catálogo TIMSS'!$A$5:$A$107,0)),"?"))</f>
        <v/>
      </c>
      <c r="P341" s="11" t="inlineStr">
        <is>
          <t>alta</t>
        </is>
      </c>
      <c r="Q341" s="38" t="inlineStr">
        <is>
          <t>ADN como material genético que codifica rasgos.</t>
        </is>
      </c>
      <c r="R341" s="38" t="inlineStr">
        <is>
          <t>Aplicar: construir modelos</t>
        </is>
      </c>
      <c r="S341" s="39">
        <f>IFERROR(ISNUMBER(SEARCH("Conocer",$R341))/(ISNUMBER(SEARCH("Conocer",$R341))+ISNUMBER(SEARCH("Aplicar",$R341))+ISNUMBER(SEARCH("Razonar",$R341))),0)</f>
        <v/>
      </c>
      <c r="T341" s="39">
        <f>IFERROR(ISNUMBER(SEARCH("Aplicar",$R341))/(ISNUMBER(SEARCH("Conocer",$R341))+ISNUMBER(SEARCH("Aplicar",$R341))+ISNUMBER(SEARCH("Razonar",$R341))),0)</f>
        <v/>
      </c>
      <c r="U341" s="39">
        <f>IFERROR(ISNUMBER(SEARCH("Razonar",$R341))/(ISNUMBER(SEARCH("Conocer",$R341))+ISNUMBER(SEARCH("Aplicar",$R341))+ISNUMBER(SEARCH("Razonar",$R341))),0)</f>
        <v/>
      </c>
      <c r="V341" s="11" t="inlineStr">
        <is>
          <t>6°</t>
        </is>
      </c>
      <c r="W341" s="11" t="inlineStr">
        <is>
          <t>Ciclo 5°–8°</t>
        </is>
      </c>
      <c r="X341" s="11">
        <f>IF(OR(IFERROR(INDEX('Datos - Catálogo TIMSS'!$I$5:$I$107,MATCH(K341,'Datos - Catálogo TIMSS'!$A$5:$A$107,0)),"No")="Sí",IFERROR(INDEX('Datos - Catálogo TIMSS'!$I$5:$I$107,MATCH(L341,'Datos - Catálogo TIMSS'!$A$5:$A$107,0)),"No")="Sí"),1,0)</f>
        <v/>
      </c>
      <c r="Y341" s="11">
        <f>IF(IFERROR(INDEX('Datos - Catálogo TIMSS'!$J$5:$J$107,MATCH(K341,'Datos - Catálogo TIMSS'!$A$5:$A$107,0)),"No")="Sí",1,0)</f>
        <v/>
      </c>
      <c r="Z341" s="11">
        <f>IF(IFERROR(INDEX('Datos - Catálogo TIMSS'!$J$5:$J$107,MATCH(L341,'Datos - Catálogo TIMSS'!$A$5:$A$107,0)),"No")="Sí",1,0)</f>
        <v/>
      </c>
      <c r="AA341" s="11" t="inlineStr">
        <is>
          <t>T8-B3.2</t>
        </is>
      </c>
      <c r="AB341" s="11" t="inlineStr"/>
      <c r="AC341" s="11">
        <f>IF(AA341="FUERA","Fuera del marco",IF(AA341="N/A","Sin marco",IFERROR(INDEX('Datos - TIMSS 2023'!$C$5:$C$105,MATCH(AA341,'Datos - TIMSS 2023'!$A$5:$A$105,0)),"Pendiente de clasificar")))</f>
        <v/>
      </c>
      <c r="AD341" s="11" t="inlineStr">
        <is>
          <t>1. Explicar fenómenos científicamente</t>
        </is>
      </c>
      <c r="AE341" s="11">
        <f>IF(AD341="","",IF(LEFT(AD341,1)="1","C1",IF(LEFT(AD341,1)="2","C2",IF(LEFT(AD341,1)="3","C3",""))))</f>
        <v/>
      </c>
      <c r="AF341" s="11" t="inlineStr">
        <is>
          <t>E1</t>
        </is>
      </c>
      <c r="AG341" s="11" t="inlineStr">
        <is>
          <t>D1</t>
        </is>
      </c>
      <c r="AH341" s="11" t="inlineStr">
        <is>
          <t>E4</t>
        </is>
      </c>
      <c r="AI341" s="11" t="inlineStr">
        <is>
          <t>E4</t>
        </is>
      </c>
      <c r="AJ341" s="11" t="inlineStr">
        <is>
          <t>E1</t>
        </is>
      </c>
      <c r="AK341" s="11" t="n"/>
      <c r="AL341" s="11" t="n"/>
      <c r="AM341" s="11" t="n"/>
      <c r="AN341" s="11" t="n"/>
      <c r="AO341" s="11" t="n"/>
      <c r="AP341" s="11" t="n"/>
      <c r="AQ341" s="11" t="n"/>
      <c r="AR341" s="11" t="n"/>
      <c r="AS341" s="11" t="n"/>
      <c r="AT341" s="11" t="n"/>
      <c r="AU341" s="11" t="n"/>
      <c r="AV341" s="11" t="n"/>
      <c r="AW341" s="11">
        <f>AF341&amp;"; "&amp;AG341&amp;"; "&amp;AH341&amp;"; "&amp;AI341&amp;"; "&amp;AJ341</f>
        <v/>
      </c>
    </row>
    <row r="342">
      <c r="A342" s="11" t="inlineStr">
        <is>
          <t>T0976-G06-CIE</t>
        </is>
      </c>
      <c r="B342" s="11" t="n">
        <v>6</v>
      </c>
      <c r="C342" s="11" t="inlineStr">
        <is>
          <t>Ciencias</t>
        </is>
      </c>
      <c r="D342" s="11" t="inlineStr">
        <is>
          <t>Matriz_Ciencias_6to_Grado_U1_U6.xlsx</t>
        </is>
      </c>
      <c r="E342" s="11" t="inlineStr">
        <is>
          <t>Unidad 6 - Biología del desarro</t>
        </is>
      </c>
      <c r="F342" s="11" t="n">
        <v>4</v>
      </c>
      <c r="G342" s="11" t="inlineStr">
        <is>
          <t>6. Biología del desarrollo.</t>
        </is>
      </c>
      <c r="H342" s="11" t="inlineStr">
        <is>
          <t>Ciclo celular.</t>
        </is>
      </c>
      <c r="I342" s="38" t="inlineStr">
        <is>
          <t>6.2. Descripción de las etapas de la mitosis a partir de micrografías, muestras o esquemas.</t>
        </is>
      </c>
      <c r="J342" s="11" t="inlineStr">
        <is>
          <t>T8_27</t>
        </is>
      </c>
      <c r="K342" s="11" t="inlineStr">
        <is>
          <t>T8_27-B2.1</t>
        </is>
      </c>
      <c r="L342" s="11" t="inlineStr">
        <is>
          <t>T8_27-B3.1</t>
        </is>
      </c>
      <c r="M342" s="11">
        <f>IF(K342="FUERA","Fuera del marco",IF(K342="N/A","Sin marco",IFERROR(INDEX('Datos - Catálogo TIMSS'!$C$5:$C$107,MATCH(K342,'Datos - Catálogo TIMSS'!$A$5:$A$107,0)),"Pendiente de clasificar")))</f>
        <v/>
      </c>
      <c r="N342" s="11">
        <f>IF(K342="FUERA","Fuera del marco",IF(K342="N/A","Sin marco",IFERROR(INDEX('Datos - Catálogo TIMSS'!$F$5:$F$107,MATCH(K342,'Datos - Catálogo TIMSS'!$A$5:$A$107,0)),"Pendiente de clasificar")))</f>
        <v/>
      </c>
      <c r="O342" s="11">
        <f>IF(L342="","",IFERROR(INDEX('Datos - Catálogo TIMSS'!$C$5:$C$107,MATCH(L342,'Datos - Catálogo TIMSS'!$A$5:$A$107,0)),"?"))</f>
        <v/>
      </c>
      <c r="P342" s="11" t="inlineStr">
        <is>
          <t>media</t>
        </is>
      </c>
      <c r="Q342" s="38" t="inlineStr">
        <is>
          <t>Mitosis como división celular; cromosomas como material genético.</t>
        </is>
      </c>
      <c r="R342" s="38" t="inlineStr">
        <is>
          <t>Aplicar: secuenciar e identificar</t>
        </is>
      </c>
      <c r="S342" s="39">
        <f>IFERROR(ISNUMBER(SEARCH("Conocer",$R342))/(ISNUMBER(SEARCH("Conocer",$R342))+ISNUMBER(SEARCH("Aplicar",$R342))+ISNUMBER(SEARCH("Razonar",$R342))),0)</f>
        <v/>
      </c>
      <c r="T342" s="39">
        <f>IFERROR(ISNUMBER(SEARCH("Aplicar",$R342))/(ISNUMBER(SEARCH("Conocer",$R342))+ISNUMBER(SEARCH("Aplicar",$R342))+ISNUMBER(SEARCH("Razonar",$R342))),0)</f>
        <v/>
      </c>
      <c r="U342" s="39">
        <f>IFERROR(ISNUMBER(SEARCH("Razonar",$R342))/(ISNUMBER(SEARCH("Conocer",$R342))+ISNUMBER(SEARCH("Aplicar",$R342))+ISNUMBER(SEARCH("Razonar",$R342))),0)</f>
        <v/>
      </c>
      <c r="V342" s="11" t="inlineStr">
        <is>
          <t>6°</t>
        </is>
      </c>
      <c r="W342" s="11" t="inlineStr">
        <is>
          <t>Ciclo 5°–8°</t>
        </is>
      </c>
      <c r="X342" s="11">
        <f>IF(OR(IFERROR(INDEX('Datos - Catálogo TIMSS'!$I$5:$I$107,MATCH(K342,'Datos - Catálogo TIMSS'!$A$5:$A$107,0)),"No")="Sí",IFERROR(INDEX('Datos - Catálogo TIMSS'!$I$5:$I$107,MATCH(L342,'Datos - Catálogo TIMSS'!$A$5:$A$107,0)),"No")="Sí"),1,0)</f>
        <v/>
      </c>
      <c r="Y342" s="11">
        <f>IF(IFERROR(INDEX('Datos - Catálogo TIMSS'!$J$5:$J$107,MATCH(K342,'Datos - Catálogo TIMSS'!$A$5:$A$107,0)),"No")="Sí",1,0)</f>
        <v/>
      </c>
      <c r="Z342" s="11">
        <f>IF(IFERROR(INDEX('Datos - Catálogo TIMSS'!$J$5:$J$107,MATCH(L342,'Datos - Catálogo TIMSS'!$A$5:$A$107,0)),"No")="Sí",1,0)</f>
        <v/>
      </c>
      <c r="AA342" s="11" t="inlineStr">
        <is>
          <t>T8-B3.2</t>
        </is>
      </c>
      <c r="AB342" s="11" t="inlineStr">
        <is>
          <t>T8-B3.1</t>
        </is>
      </c>
      <c r="AC342" s="11">
        <f>IF(AA342="FUERA","Fuera del marco",IF(AA342="N/A","Sin marco",IFERROR(INDEX('Datos - TIMSS 2023'!$C$5:$C$105,MATCH(AA342,'Datos - TIMSS 2023'!$A$5:$A$105,0)),"Pendiente de clasificar")))</f>
        <v/>
      </c>
      <c r="AD342" s="11" t="inlineStr">
        <is>
          <t>2. Construir y evaluar diseños para la indagación científica e interpretar datos y evidencia de forma crítica</t>
        </is>
      </c>
      <c r="AE342" s="11">
        <f>IF(AD342="","",IF(LEFT(AD342,1)="1","C1",IF(LEFT(AD342,1)="2","C2",IF(LEFT(AD342,1)="3","C3",""))))</f>
        <v/>
      </c>
      <c r="AF342" s="11" t="inlineStr">
        <is>
          <t>E1</t>
        </is>
      </c>
      <c r="AG342" s="11" t="inlineStr">
        <is>
          <t>D1</t>
        </is>
      </c>
      <c r="AH342" s="11" t="inlineStr">
        <is>
          <t>E2</t>
        </is>
      </c>
      <c r="AI342" s="11" t="inlineStr">
        <is>
          <t>D4</t>
        </is>
      </c>
      <c r="AJ342" s="11" t="inlineStr">
        <is>
          <t>E1</t>
        </is>
      </c>
      <c r="AK342" s="11" t="n"/>
      <c r="AL342" s="11" t="n"/>
      <c r="AM342" s="11" t="n"/>
      <c r="AN342" s="11" t="n"/>
      <c r="AO342" s="11" t="n"/>
      <c r="AP342" s="11" t="n"/>
      <c r="AQ342" s="11" t="n"/>
      <c r="AR342" s="11" t="n"/>
      <c r="AS342" s="11" t="n"/>
      <c r="AT342" s="11" t="n"/>
      <c r="AU342" s="11" t="n"/>
      <c r="AV342" s="11" t="n"/>
      <c r="AW342" s="11">
        <f>AF342&amp;"; "&amp;AG342&amp;"; "&amp;AH342&amp;"; "&amp;AI342&amp;"; "&amp;AJ342</f>
        <v/>
      </c>
    </row>
    <row r="343">
      <c r="A343" s="11" t="inlineStr">
        <is>
          <t>T0977-G06-CIE</t>
        </is>
      </c>
      <c r="B343" s="11" t="n">
        <v>6</v>
      </c>
      <c r="C343" s="11" t="inlineStr">
        <is>
          <t>Ciencias</t>
        </is>
      </c>
      <c r="D343" s="11" t="inlineStr">
        <is>
          <t>Matriz_Ciencias_6to_Grado_U1_U6.xlsx</t>
        </is>
      </c>
      <c r="E343" s="11" t="inlineStr">
        <is>
          <t>Unidad 6 - Biología del desarro</t>
        </is>
      </c>
      <c r="F343" s="11" t="n">
        <v>5</v>
      </c>
      <c r="G343" s="11" t="inlineStr">
        <is>
          <t>6. Biología del desarrollo.</t>
        </is>
      </c>
      <c r="H343" s="11" t="inlineStr">
        <is>
          <t>Ciclo celular.</t>
        </is>
      </c>
      <c r="I343" s="38" t="inlineStr">
        <is>
          <t>6.3. Descripción de las etapas de la meiosis a partir de micrografías, muestras o esquemas.</t>
        </is>
      </c>
      <c r="J343" s="11" t="inlineStr">
        <is>
          <t>T8_27</t>
        </is>
      </c>
      <c r="K343" s="11" t="inlineStr">
        <is>
          <t>T8_27-B3.1</t>
        </is>
      </c>
      <c r="L343" s="11" t="inlineStr">
        <is>
          <t>T8_27-B2.1</t>
        </is>
      </c>
      <c r="M343" s="11">
        <f>IF(K343="FUERA","Fuera del marco",IF(K343="N/A","Sin marco",IFERROR(INDEX('Datos - Catálogo TIMSS'!$C$5:$C$107,MATCH(K343,'Datos - Catálogo TIMSS'!$A$5:$A$107,0)),"Pendiente de clasificar")))</f>
        <v/>
      </c>
      <c r="N343" s="11">
        <f>IF(K343="FUERA","Fuera del marco",IF(K343="N/A","Sin marco",IFERROR(INDEX('Datos - Catálogo TIMSS'!$F$5:$F$107,MATCH(K343,'Datos - Catálogo TIMSS'!$A$5:$A$107,0)),"Pendiente de clasificar")))</f>
        <v/>
      </c>
      <c r="O343" s="11">
        <f>IF(L343="","",IFERROR(INDEX('Datos - Catálogo TIMSS'!$C$5:$C$107,MATCH(L343,'Datos - Catálogo TIMSS'!$A$5:$A$107,0)),"?"))</f>
        <v/>
      </c>
      <c r="P343" s="11" t="inlineStr">
        <is>
          <t>media</t>
        </is>
      </c>
      <c r="Q343" s="38" t="inlineStr">
        <is>
          <t>Meiosis ligada a reproducción sexual y herencia.</t>
        </is>
      </c>
      <c r="R343" s="38" t="inlineStr">
        <is>
          <t>Aplicar: comparar</t>
        </is>
      </c>
      <c r="S343" s="39">
        <f>IFERROR(ISNUMBER(SEARCH("Conocer",$R343))/(ISNUMBER(SEARCH("Conocer",$R343))+ISNUMBER(SEARCH("Aplicar",$R343))+ISNUMBER(SEARCH("Razonar",$R343))),0)</f>
        <v/>
      </c>
      <c r="T343" s="39">
        <f>IFERROR(ISNUMBER(SEARCH("Aplicar",$R343))/(ISNUMBER(SEARCH("Conocer",$R343))+ISNUMBER(SEARCH("Aplicar",$R343))+ISNUMBER(SEARCH("Razonar",$R343))),0)</f>
        <v/>
      </c>
      <c r="U343" s="39">
        <f>IFERROR(ISNUMBER(SEARCH("Razonar",$R343))/(ISNUMBER(SEARCH("Conocer",$R343))+ISNUMBER(SEARCH("Aplicar",$R343))+ISNUMBER(SEARCH("Razonar",$R343))),0)</f>
        <v/>
      </c>
      <c r="V343" s="11" t="inlineStr">
        <is>
          <t>6°</t>
        </is>
      </c>
      <c r="W343" s="11" t="inlineStr">
        <is>
          <t>Ciclo 5°–8°</t>
        </is>
      </c>
      <c r="X343" s="11">
        <f>IF(OR(IFERROR(INDEX('Datos - Catálogo TIMSS'!$I$5:$I$107,MATCH(K343,'Datos - Catálogo TIMSS'!$A$5:$A$107,0)),"No")="Sí",IFERROR(INDEX('Datos - Catálogo TIMSS'!$I$5:$I$107,MATCH(L343,'Datos - Catálogo TIMSS'!$A$5:$A$107,0)),"No")="Sí"),1,0)</f>
        <v/>
      </c>
      <c r="Y343" s="11">
        <f>IF(IFERROR(INDEX('Datos - Catálogo TIMSS'!$J$5:$J$107,MATCH(K343,'Datos - Catálogo TIMSS'!$A$5:$A$107,0)),"No")="Sí",1,0)</f>
        <v/>
      </c>
      <c r="Z343" s="11">
        <f>IF(IFERROR(INDEX('Datos - Catálogo TIMSS'!$J$5:$J$107,MATCH(L343,'Datos - Catálogo TIMSS'!$A$5:$A$107,0)),"No")="Sí",1,0)</f>
        <v/>
      </c>
      <c r="AA343" s="11" t="inlineStr">
        <is>
          <t>T8-B3.2</t>
        </is>
      </c>
      <c r="AB343" s="11" t="inlineStr"/>
      <c r="AC343" s="11">
        <f>IF(AA343="FUERA","Fuera del marco",IF(AA343="N/A","Sin marco",IFERROR(INDEX('Datos - TIMSS 2023'!$C$5:$C$105,MATCH(AA343,'Datos - TIMSS 2023'!$A$5:$A$105,0)),"Pendiente de clasificar")))</f>
        <v/>
      </c>
      <c r="AD343" s="11" t="inlineStr">
        <is>
          <t>2. Construir y evaluar diseños para la indagación científica e interpretar datos y evidencia de forma crítica</t>
        </is>
      </c>
      <c r="AE343" s="11">
        <f>IF(AD343="","",IF(LEFT(AD343,1)="1","C1",IF(LEFT(AD343,1)="2","C2",IF(LEFT(AD343,1)="3","C3",""))))</f>
        <v/>
      </c>
      <c r="AF343" s="11" t="inlineStr">
        <is>
          <t>E1</t>
        </is>
      </c>
      <c r="AG343" s="11" t="inlineStr">
        <is>
          <t>D1</t>
        </is>
      </c>
      <c r="AH343" s="11" t="inlineStr">
        <is>
          <t>E2</t>
        </is>
      </c>
      <c r="AI343" s="11" t="inlineStr">
        <is>
          <t>D4</t>
        </is>
      </c>
      <c r="AJ343" s="11" t="inlineStr">
        <is>
          <t>E1</t>
        </is>
      </c>
      <c r="AK343" s="11" t="n"/>
      <c r="AL343" s="11" t="n"/>
      <c r="AM343" s="11" t="n"/>
      <c r="AN343" s="11" t="n"/>
      <c r="AO343" s="11" t="n"/>
      <c r="AP343" s="11" t="n"/>
      <c r="AQ343" s="11" t="n"/>
      <c r="AR343" s="11" t="n"/>
      <c r="AS343" s="11" t="n"/>
      <c r="AT343" s="11" t="n"/>
      <c r="AU343" s="11" t="n"/>
      <c r="AV343" s="11" t="n"/>
      <c r="AW343" s="11">
        <f>AF343&amp;"; "&amp;AG343&amp;"; "&amp;AH343&amp;"; "&amp;AI343&amp;"; "&amp;AJ343</f>
        <v/>
      </c>
    </row>
    <row r="344">
      <c r="A344" s="11" t="inlineStr">
        <is>
          <t>T0978-G06-CIE</t>
        </is>
      </c>
      <c r="B344" s="11" t="n">
        <v>6</v>
      </c>
      <c r="C344" s="11" t="inlineStr">
        <is>
          <t>Ciencias</t>
        </is>
      </c>
      <c r="D344" s="11" t="inlineStr">
        <is>
          <t>Matriz_Ciencias_6to_Grado_U1_U6.xlsx</t>
        </is>
      </c>
      <c r="E344" s="11" t="inlineStr">
        <is>
          <t>Unidad 6 - Biología del desarro</t>
        </is>
      </c>
      <c r="F344" s="11" t="n">
        <v>6</v>
      </c>
      <c r="G344" s="11" t="inlineStr">
        <is>
          <t>6. Biología del desarrollo.</t>
        </is>
      </c>
      <c r="H344" s="11" t="inlineStr">
        <is>
          <t>Ciclo celular.</t>
        </is>
      </c>
      <c r="I344" s="38" t="inlineStr">
        <is>
          <t>6.4. Identificación de estructuras anatómicas asociadas con la apoptosis y senescencia celular.</t>
        </is>
      </c>
      <c r="J344" s="11" t="inlineStr">
        <is>
          <t>T8_27</t>
        </is>
      </c>
      <c r="K344" s="11" t="inlineStr">
        <is>
          <t>T8_27-B2.1</t>
        </is>
      </c>
      <c r="L344" s="11" t="inlineStr"/>
      <c r="M344" s="11">
        <f>IF(K344="FUERA","Fuera del marco",IF(K344="N/A","Sin marco",IFERROR(INDEX('Datos - Catálogo TIMSS'!$C$5:$C$107,MATCH(K344,'Datos - Catálogo TIMSS'!$A$5:$A$107,0)),"Pendiente de clasificar")))</f>
        <v/>
      </c>
      <c r="N344" s="11">
        <f>IF(K344="FUERA","Fuera del marco",IF(K344="N/A","Sin marco",IFERROR(INDEX('Datos - Catálogo TIMSS'!$F$5:$F$107,MATCH(K344,'Datos - Catálogo TIMSS'!$A$5:$A$107,0)),"Pendiente de clasificar")))</f>
        <v/>
      </c>
      <c r="O344" s="11">
        <f>IF(L344="","",IFERROR(INDEX('Datos - Catálogo TIMSS'!$C$5:$C$107,MATCH(L344,'Datos - Catálogo TIMSS'!$A$5:$A$107,0)),"?"))</f>
        <v/>
      </c>
      <c r="P344" s="11" t="inlineStr">
        <is>
          <t>baja</t>
        </is>
      </c>
      <c r="Q344" s="38" t="inlineStr">
        <is>
          <t>Apoptosis y senescencia exceden el marco; afín a funciones celulares.</t>
        </is>
      </c>
      <c r="R344" s="38" t="inlineStr">
        <is>
          <t>Conocer: identificar</t>
        </is>
      </c>
      <c r="S344" s="39">
        <f>IFERROR(ISNUMBER(SEARCH("Conocer",$R344))/(ISNUMBER(SEARCH("Conocer",$R344))+ISNUMBER(SEARCH("Aplicar",$R344))+ISNUMBER(SEARCH("Razonar",$R344))),0)</f>
        <v/>
      </c>
      <c r="T344" s="39">
        <f>IFERROR(ISNUMBER(SEARCH("Aplicar",$R344))/(ISNUMBER(SEARCH("Conocer",$R344))+ISNUMBER(SEARCH("Aplicar",$R344))+ISNUMBER(SEARCH("Razonar",$R344))),0)</f>
        <v/>
      </c>
      <c r="U344" s="39">
        <f>IFERROR(ISNUMBER(SEARCH("Razonar",$R344))/(ISNUMBER(SEARCH("Conocer",$R344))+ISNUMBER(SEARCH("Aplicar",$R344))+ISNUMBER(SEARCH("Razonar",$R344))),0)</f>
        <v/>
      </c>
      <c r="V344" s="11" t="inlineStr">
        <is>
          <t>6°</t>
        </is>
      </c>
      <c r="W344" s="11" t="inlineStr">
        <is>
          <t>Ciclo 5°–8°</t>
        </is>
      </c>
      <c r="X344" s="11">
        <f>IF(OR(IFERROR(INDEX('Datos - Catálogo TIMSS'!$I$5:$I$107,MATCH(K344,'Datos - Catálogo TIMSS'!$A$5:$A$107,0)),"No")="Sí",IFERROR(INDEX('Datos - Catálogo TIMSS'!$I$5:$I$107,MATCH(L344,'Datos - Catálogo TIMSS'!$A$5:$A$107,0)),"No")="Sí"),1,0)</f>
        <v/>
      </c>
      <c r="Y344" s="11">
        <f>IF(IFERROR(INDEX('Datos - Catálogo TIMSS'!$J$5:$J$107,MATCH(K344,'Datos - Catálogo TIMSS'!$A$5:$A$107,0)),"No")="Sí",1,0)</f>
        <v/>
      </c>
      <c r="Z344" s="11">
        <f>IF(IFERROR(INDEX('Datos - Catálogo TIMSS'!$J$5:$J$107,MATCH(L344,'Datos - Catálogo TIMSS'!$A$5:$A$107,0)),"No")="Sí",1,0)</f>
        <v/>
      </c>
      <c r="AA344" s="11" t="inlineStr">
        <is>
          <t>T8-B2.1</t>
        </is>
      </c>
      <c r="AB344" s="11" t="inlineStr">
        <is>
          <t>T8-B3.1</t>
        </is>
      </c>
      <c r="AC344" s="11">
        <f>IF(AA344="FUERA","Fuera del marco",IF(AA344="N/A","Sin marco",IFERROR(INDEX('Datos - TIMSS 2023'!$C$5:$C$105,MATCH(AA344,'Datos - TIMSS 2023'!$A$5:$A$105,0)),"Pendiente de clasificar")))</f>
        <v/>
      </c>
      <c r="AD344" s="11" t="inlineStr">
        <is>
          <t>1. Explicar fenómenos científicamente</t>
        </is>
      </c>
      <c r="AE344" s="11">
        <f>IF(AD344="","",IF(LEFT(AD344,1)="1","C1",IF(LEFT(AD344,1)="2","C2",IF(LEFT(AD344,1)="3","C3",""))))</f>
        <v/>
      </c>
      <c r="AF344" s="11" t="inlineStr">
        <is>
          <t>E1</t>
        </is>
      </c>
      <c r="AG344" s="11" t="inlineStr">
        <is>
          <t>D1</t>
        </is>
      </c>
      <c r="AH344" s="11" t="inlineStr">
        <is>
          <t>E1</t>
        </is>
      </c>
      <c r="AI344" s="11" t="inlineStr">
        <is>
          <t>D4</t>
        </is>
      </c>
      <c r="AJ344" s="11" t="inlineStr">
        <is>
          <t>E1</t>
        </is>
      </c>
      <c r="AK344" s="11" t="n"/>
      <c r="AL344" s="11" t="n"/>
      <c r="AM344" s="11" t="n"/>
      <c r="AN344" s="11" t="n"/>
      <c r="AO344" s="11" t="n"/>
      <c r="AP344" s="11" t="n"/>
      <c r="AQ344" s="11" t="n"/>
      <c r="AR344" s="11" t="n"/>
      <c r="AS344" s="11" t="n"/>
      <c r="AT344" s="11" t="n"/>
      <c r="AU344" s="11" t="n"/>
      <c r="AV344" s="11" t="n"/>
      <c r="AW344" s="11">
        <f>AF344&amp;"; "&amp;AG344&amp;"; "&amp;AH344&amp;"; "&amp;AI344&amp;"; "&amp;AJ344</f>
        <v/>
      </c>
    </row>
    <row r="345">
      <c r="A345" s="11" t="inlineStr">
        <is>
          <t>T0979-G06-CIE</t>
        </is>
      </c>
      <c r="B345" s="11" t="n">
        <v>6</v>
      </c>
      <c r="C345" s="11" t="inlineStr">
        <is>
          <t>Ciencias</t>
        </is>
      </c>
      <c r="D345" s="11" t="inlineStr">
        <is>
          <t>Matriz_Ciencias_6to_Grado_U1_U6.xlsx</t>
        </is>
      </c>
      <c r="E345" s="11" t="inlineStr">
        <is>
          <t>Unidad 6 - Biología del desarro</t>
        </is>
      </c>
      <c r="F345" s="11" t="n">
        <v>7</v>
      </c>
      <c r="G345" s="11" t="inlineStr">
        <is>
          <t>6. Biología del desarrollo.</t>
        </is>
      </c>
      <c r="H345" s="11" t="inlineStr">
        <is>
          <t>Reproducción Asexual y Sexual.</t>
        </is>
      </c>
      <c r="I345" s="38" t="inlineStr">
        <is>
          <t>6.5. Exploración de los mecanismos de reproducción de las formas de vida unicelulares.</t>
        </is>
      </c>
      <c r="J345" s="11" t="inlineStr">
        <is>
          <t>T8_27</t>
        </is>
      </c>
      <c r="K345" s="11" t="inlineStr">
        <is>
          <t>T8_27-B2.1</t>
        </is>
      </c>
      <c r="L345" s="11" t="inlineStr"/>
      <c r="M345" s="11">
        <f>IF(K345="FUERA","Fuera del marco",IF(K345="N/A","Sin marco",IFERROR(INDEX('Datos - Catálogo TIMSS'!$C$5:$C$107,MATCH(K345,'Datos - Catálogo TIMSS'!$A$5:$A$107,0)),"Pendiente de clasificar")))</f>
        <v/>
      </c>
      <c r="N345" s="11">
        <f>IF(K345="FUERA","Fuera del marco",IF(K345="N/A","Sin marco",IFERROR(INDEX('Datos - Catálogo TIMSS'!$F$5:$F$107,MATCH(K345,'Datos - Catálogo TIMSS'!$A$5:$A$107,0)),"Pendiente de clasificar")))</f>
        <v/>
      </c>
      <c r="O345" s="11">
        <f>IF(L345="","",IFERROR(INDEX('Datos - Catálogo TIMSS'!$C$5:$C$107,MATCH(L345,'Datos - Catálogo TIMSS'!$A$5:$A$107,0)),"?"))</f>
        <v/>
      </c>
      <c r="P345" s="11" t="inlineStr">
        <is>
          <t>baja</t>
        </is>
      </c>
      <c r="Q345" s="38" t="inlineStr">
        <is>
          <t>Reproducción asexual unicelular como división celular; marco solo trata reproducción sexual.</t>
        </is>
      </c>
      <c r="R345" s="38" t="inlineStr">
        <is>
          <t>Aplicar: identificar</t>
        </is>
      </c>
      <c r="S345" s="39">
        <f>IFERROR(ISNUMBER(SEARCH("Conocer",$R345))/(ISNUMBER(SEARCH("Conocer",$R345))+ISNUMBER(SEARCH("Aplicar",$R345))+ISNUMBER(SEARCH("Razonar",$R345))),0)</f>
        <v/>
      </c>
      <c r="T345" s="39">
        <f>IFERROR(ISNUMBER(SEARCH("Aplicar",$R345))/(ISNUMBER(SEARCH("Conocer",$R345))+ISNUMBER(SEARCH("Aplicar",$R345))+ISNUMBER(SEARCH("Razonar",$R345))),0)</f>
        <v/>
      </c>
      <c r="U345" s="39">
        <f>IFERROR(ISNUMBER(SEARCH("Razonar",$R345))/(ISNUMBER(SEARCH("Conocer",$R345))+ISNUMBER(SEARCH("Aplicar",$R345))+ISNUMBER(SEARCH("Razonar",$R345))),0)</f>
        <v/>
      </c>
      <c r="V345" s="11" t="inlineStr">
        <is>
          <t>6°</t>
        </is>
      </c>
      <c r="W345" s="11" t="inlineStr">
        <is>
          <t>Ciclo 5°–8°</t>
        </is>
      </c>
      <c r="X345" s="11">
        <f>IF(OR(IFERROR(INDEX('Datos - Catálogo TIMSS'!$I$5:$I$107,MATCH(K345,'Datos - Catálogo TIMSS'!$A$5:$A$107,0)),"No")="Sí",IFERROR(INDEX('Datos - Catálogo TIMSS'!$I$5:$I$107,MATCH(L345,'Datos - Catálogo TIMSS'!$A$5:$A$107,0)),"No")="Sí"),1,0)</f>
        <v/>
      </c>
      <c r="Y345" s="11">
        <f>IF(IFERROR(INDEX('Datos - Catálogo TIMSS'!$J$5:$J$107,MATCH(K345,'Datos - Catálogo TIMSS'!$A$5:$A$107,0)),"No")="Sí",1,0)</f>
        <v/>
      </c>
      <c r="Z345" s="11">
        <f>IF(IFERROR(INDEX('Datos - Catálogo TIMSS'!$J$5:$J$107,MATCH(L345,'Datos - Catálogo TIMSS'!$A$5:$A$107,0)),"No")="Sí",1,0)</f>
        <v/>
      </c>
      <c r="AA345" s="11" t="inlineStr">
        <is>
          <t>T8-B3.2</t>
        </is>
      </c>
      <c r="AB345" s="11" t="inlineStr"/>
      <c r="AC345" s="11">
        <f>IF(AA345="FUERA","Fuera del marco",IF(AA345="N/A","Sin marco",IFERROR(INDEX('Datos - TIMSS 2023'!$C$5:$C$105,MATCH(AA345,'Datos - TIMSS 2023'!$A$5:$A$105,0)),"Pendiente de clasificar")))</f>
        <v/>
      </c>
      <c r="AD345" s="11" t="inlineStr">
        <is>
          <t>1. Explicar fenómenos científicamente</t>
        </is>
      </c>
      <c r="AE345" s="11">
        <f>IF(AD345="","",IF(LEFT(AD345,1)="1","C1",IF(LEFT(AD345,1)="2","C2",IF(LEFT(AD345,1)="3","C3",""))))</f>
        <v/>
      </c>
      <c r="AF345" s="11" t="inlineStr">
        <is>
          <t>E1</t>
        </is>
      </c>
      <c r="AG345" s="11" t="inlineStr">
        <is>
          <t>D1</t>
        </is>
      </c>
      <c r="AH345" s="11" t="inlineStr">
        <is>
          <t>E1</t>
        </is>
      </c>
      <c r="AI345" s="11" t="inlineStr">
        <is>
          <t>D4</t>
        </is>
      </c>
      <c r="AJ345" s="11" t="inlineStr">
        <is>
          <t>E1</t>
        </is>
      </c>
      <c r="AK345" s="11" t="n"/>
      <c r="AL345" s="11" t="n"/>
      <c r="AM345" s="11" t="n"/>
      <c r="AN345" s="11" t="n"/>
      <c r="AO345" s="11" t="n"/>
      <c r="AP345" s="11" t="n"/>
      <c r="AQ345" s="11" t="n"/>
      <c r="AR345" s="11" t="n"/>
      <c r="AS345" s="11" t="n"/>
      <c r="AT345" s="11" t="n"/>
      <c r="AU345" s="11" t="n"/>
      <c r="AV345" s="11" t="n"/>
      <c r="AW345" s="11">
        <f>AF345&amp;"; "&amp;AG345&amp;"; "&amp;AH345&amp;"; "&amp;AI345&amp;"; "&amp;AJ345</f>
        <v/>
      </c>
    </row>
    <row r="346">
      <c r="A346" s="11" t="inlineStr">
        <is>
          <t>T0980-G06-CIE</t>
        </is>
      </c>
      <c r="B346" s="11" t="n">
        <v>6</v>
      </c>
      <c r="C346" s="11" t="inlineStr">
        <is>
          <t>Ciencias</t>
        </is>
      </c>
      <c r="D346" s="11" t="inlineStr">
        <is>
          <t>Matriz_Ciencias_6to_Grado_U1_U6.xlsx</t>
        </is>
      </c>
      <c r="E346" s="11" t="inlineStr">
        <is>
          <t>Unidad 6 - Biología del desarro</t>
        </is>
      </c>
      <c r="F346" s="11" t="n">
        <v>8</v>
      </c>
      <c r="G346" s="11" t="inlineStr">
        <is>
          <t>6. Biología del desarrollo.</t>
        </is>
      </c>
      <c r="H346" s="11" t="inlineStr">
        <is>
          <t>Reproducción Asexual y Sexual.</t>
        </is>
      </c>
      <c r="I346" s="38" t="inlineStr">
        <is>
          <t>6.6. Visualiza la alternancia de fases a través de muestras.</t>
        </is>
      </c>
      <c r="J346" s="11" t="inlineStr">
        <is>
          <t>T8_27</t>
        </is>
      </c>
      <c r="K346" s="11" t="inlineStr">
        <is>
          <t>T8_27-B3.1</t>
        </is>
      </c>
      <c r="L346" s="11" t="inlineStr"/>
      <c r="M346" s="11">
        <f>IF(K346="FUERA","Fuera del marco",IF(K346="N/A","Sin marco",IFERROR(INDEX('Datos - Catálogo TIMSS'!$C$5:$C$107,MATCH(K346,'Datos - Catálogo TIMSS'!$A$5:$A$107,0)),"Pendiente de clasificar")))</f>
        <v/>
      </c>
      <c r="N346" s="11">
        <f>IF(K346="FUERA","Fuera del marco",IF(K346="N/A","Sin marco",IFERROR(INDEX('Datos - Catálogo TIMSS'!$F$5:$F$107,MATCH(K346,'Datos - Catálogo TIMSS'!$A$5:$A$107,0)),"Pendiente de clasificar")))</f>
        <v/>
      </c>
      <c r="O346" s="11">
        <f>IF(L346="","",IFERROR(INDEX('Datos - Catálogo TIMSS'!$C$5:$C$107,MATCH(L346,'Datos - Catálogo TIMSS'!$A$5:$A$107,0)),"?"))</f>
        <v/>
      </c>
      <c r="P346" s="11" t="inlineStr">
        <is>
          <t>baja</t>
        </is>
      </c>
      <c r="Q346" s="38" t="inlineStr">
        <is>
          <t>Alternancia de fases incluye fecundación; ciclos de vida salieron del marco.</t>
        </is>
      </c>
      <c r="R346" s="38" t="inlineStr">
        <is>
          <t>Aplicar: representar</t>
        </is>
      </c>
      <c r="S346" s="39">
        <f>IFERROR(ISNUMBER(SEARCH("Conocer",$R346))/(ISNUMBER(SEARCH("Conocer",$R346))+ISNUMBER(SEARCH("Aplicar",$R346))+ISNUMBER(SEARCH("Razonar",$R346))),0)</f>
        <v/>
      </c>
      <c r="T346" s="39">
        <f>IFERROR(ISNUMBER(SEARCH("Aplicar",$R346))/(ISNUMBER(SEARCH("Conocer",$R346))+ISNUMBER(SEARCH("Aplicar",$R346))+ISNUMBER(SEARCH("Razonar",$R346))),0)</f>
        <v/>
      </c>
      <c r="U346" s="39">
        <f>IFERROR(ISNUMBER(SEARCH("Razonar",$R346))/(ISNUMBER(SEARCH("Conocer",$R346))+ISNUMBER(SEARCH("Aplicar",$R346))+ISNUMBER(SEARCH("Razonar",$R346))),0)</f>
        <v/>
      </c>
      <c r="V346" s="11" t="inlineStr">
        <is>
          <t>6°</t>
        </is>
      </c>
      <c r="W346" s="11" t="inlineStr">
        <is>
          <t>Ciclo 5°–8°</t>
        </is>
      </c>
      <c r="X346" s="11">
        <f>IF(OR(IFERROR(INDEX('Datos - Catálogo TIMSS'!$I$5:$I$107,MATCH(K346,'Datos - Catálogo TIMSS'!$A$5:$A$107,0)),"No")="Sí",IFERROR(INDEX('Datos - Catálogo TIMSS'!$I$5:$I$107,MATCH(L346,'Datos - Catálogo TIMSS'!$A$5:$A$107,0)),"No")="Sí"),1,0)</f>
        <v/>
      </c>
      <c r="Y346" s="11">
        <f>IF(IFERROR(INDEX('Datos - Catálogo TIMSS'!$J$5:$J$107,MATCH(K346,'Datos - Catálogo TIMSS'!$A$5:$A$107,0)),"No")="Sí",1,0)</f>
        <v/>
      </c>
      <c r="Z346" s="11">
        <f>IF(IFERROR(INDEX('Datos - Catálogo TIMSS'!$J$5:$J$107,MATCH(L346,'Datos - Catálogo TIMSS'!$A$5:$A$107,0)),"No")="Sí",1,0)</f>
        <v/>
      </c>
      <c r="AA346" s="11" t="inlineStr">
        <is>
          <t>T8-B3.1</t>
        </is>
      </c>
      <c r="AB346" s="11" t="inlineStr">
        <is>
          <t>T8-B3.2</t>
        </is>
      </c>
      <c r="AC346" s="11">
        <f>IF(AA346="FUERA","Fuera del marco",IF(AA346="N/A","Sin marco",IFERROR(INDEX('Datos - TIMSS 2023'!$C$5:$C$105,MATCH(AA346,'Datos - TIMSS 2023'!$A$5:$A$105,0)),"Pendiente de clasificar")))</f>
        <v/>
      </c>
      <c r="AD346" s="11" t="inlineStr">
        <is>
          <t>1. Explicar fenómenos científicamente</t>
        </is>
      </c>
      <c r="AE346" s="11">
        <f>IF(AD346="","",IF(LEFT(AD346,1)="1","C1",IF(LEFT(AD346,1)="2","C2",IF(LEFT(AD346,1)="3","C3",""))))</f>
        <v/>
      </c>
      <c r="AF346" s="11" t="inlineStr">
        <is>
          <t>E1</t>
        </is>
      </c>
      <c r="AG346" s="11" t="inlineStr">
        <is>
          <t>D1</t>
        </is>
      </c>
      <c r="AH346" s="11" t="inlineStr">
        <is>
          <t>E2</t>
        </is>
      </c>
      <c r="AI346" s="11" t="inlineStr">
        <is>
          <t>D4</t>
        </is>
      </c>
      <c r="AJ346" s="11" t="inlineStr">
        <is>
          <t>E1</t>
        </is>
      </c>
      <c r="AK346" s="11" t="n"/>
      <c r="AL346" s="11" t="n"/>
      <c r="AM346" s="11" t="n"/>
      <c r="AN346" s="11" t="n"/>
      <c r="AO346" s="11" t="n"/>
      <c r="AP346" s="11" t="n"/>
      <c r="AQ346" s="11" t="n"/>
      <c r="AR346" s="11" t="n"/>
      <c r="AS346" s="11" t="n"/>
      <c r="AT346" s="11" t="n"/>
      <c r="AU346" s="11" t="n"/>
      <c r="AV346" s="11" t="n"/>
      <c r="AW346" s="11">
        <f>AF346&amp;"; "&amp;AG346&amp;"; "&amp;AH346&amp;"; "&amp;AI346&amp;"; "&amp;AJ346</f>
        <v/>
      </c>
    </row>
    <row r="347">
      <c r="A347" s="11" t="inlineStr">
        <is>
          <t>T0981-G06-CIE</t>
        </is>
      </c>
      <c r="B347" s="11" t="n">
        <v>6</v>
      </c>
      <c r="C347" s="11" t="inlineStr">
        <is>
          <t>Ciencias</t>
        </is>
      </c>
      <c r="D347" s="11" t="inlineStr">
        <is>
          <t>Matriz_Ciencias_6to_Grado_U1_U6.xlsx</t>
        </is>
      </c>
      <c r="E347" s="11" t="inlineStr">
        <is>
          <t>Unidad 6 - Biología del desarro</t>
        </is>
      </c>
      <c r="F347" s="11" t="n">
        <v>9</v>
      </c>
      <c r="G347" s="11" t="inlineStr">
        <is>
          <t>6. Biología del desarrollo.</t>
        </is>
      </c>
      <c r="H347" s="11" t="inlineStr">
        <is>
          <t>Desarrollo Vegetal.</t>
        </is>
      </c>
      <c r="I347" s="38" t="inlineStr">
        <is>
          <t>6.7. Organización del ciclo de vida en plantas usando muestras vegetales.</t>
        </is>
      </c>
      <c r="J347" s="11" t="inlineStr">
        <is>
          <t>T8_27</t>
        </is>
      </c>
      <c r="K347" s="11" t="inlineStr">
        <is>
          <t>FUERA</t>
        </is>
      </c>
      <c r="L347" s="11" t="inlineStr"/>
      <c r="M347" s="11">
        <f>IF(K347="FUERA","Fuera del marco",IF(K347="N/A","Sin marco",IFERROR(INDEX('Datos - Catálogo TIMSS'!$C$5:$C$107,MATCH(K347,'Datos - Catálogo TIMSS'!$A$5:$A$107,0)),"Pendiente de clasificar")))</f>
        <v/>
      </c>
      <c r="N347" s="11">
        <f>IF(K347="FUERA","Fuera del marco",IF(K347="N/A","Sin marco",IFERROR(INDEX('Datos - Catálogo TIMSS'!$F$5:$F$107,MATCH(K347,'Datos - Catálogo TIMSS'!$A$5:$A$107,0)),"Pendiente de clasificar")))</f>
        <v/>
      </c>
      <c r="O347" s="11">
        <f>IF(L347="","",IFERROR(INDEX('Datos - Catálogo TIMSS'!$C$5:$C$107,MATCH(L347,'Datos - Catálogo TIMSS'!$A$5:$A$107,0)),"?"))</f>
        <v/>
      </c>
      <c r="P347" s="11" t="inlineStr">
        <is>
          <t>media</t>
        </is>
      </c>
      <c r="Q347" s="38" t="inlineStr">
        <is>
          <t>Ciclos de vida de plantas ya no están en el marco 2027 de 8.°.</t>
        </is>
      </c>
      <c r="R347" s="38" t="inlineStr">
        <is>
          <t>Aplicar: organizar</t>
        </is>
      </c>
      <c r="S347" s="39">
        <f>IFERROR(ISNUMBER(SEARCH("Conocer",$R347))/(ISNUMBER(SEARCH("Conocer",$R347))+ISNUMBER(SEARCH("Aplicar",$R347))+ISNUMBER(SEARCH("Razonar",$R347))),0)</f>
        <v/>
      </c>
      <c r="T347" s="39">
        <f>IFERROR(ISNUMBER(SEARCH("Aplicar",$R347))/(ISNUMBER(SEARCH("Conocer",$R347))+ISNUMBER(SEARCH("Aplicar",$R347))+ISNUMBER(SEARCH("Razonar",$R347))),0)</f>
        <v/>
      </c>
      <c r="U347" s="39">
        <f>IFERROR(ISNUMBER(SEARCH("Razonar",$R347))/(ISNUMBER(SEARCH("Conocer",$R347))+ISNUMBER(SEARCH("Aplicar",$R347))+ISNUMBER(SEARCH("Razonar",$R347))),0)</f>
        <v/>
      </c>
      <c r="V347" s="11" t="inlineStr">
        <is>
          <t>6°</t>
        </is>
      </c>
      <c r="W347" s="11" t="inlineStr">
        <is>
          <t>Ciclo 5°–8°</t>
        </is>
      </c>
      <c r="X347" s="11">
        <f>IF(OR(IFERROR(INDEX('Datos - Catálogo TIMSS'!$I$5:$I$107,MATCH(K347,'Datos - Catálogo TIMSS'!$A$5:$A$107,0)),"No")="Sí",IFERROR(INDEX('Datos - Catálogo TIMSS'!$I$5:$I$107,MATCH(L347,'Datos - Catálogo TIMSS'!$A$5:$A$107,0)),"No")="Sí"),1,0)</f>
        <v/>
      </c>
      <c r="Y347" s="11">
        <f>IF(IFERROR(INDEX('Datos - Catálogo TIMSS'!$J$5:$J$107,MATCH(K347,'Datos - Catálogo TIMSS'!$A$5:$A$107,0)),"No")="Sí",1,0)</f>
        <v/>
      </c>
      <c r="Z347" s="11">
        <f>IF(IFERROR(INDEX('Datos - Catálogo TIMSS'!$J$5:$J$107,MATCH(L347,'Datos - Catálogo TIMSS'!$A$5:$A$107,0)),"No")="Sí",1,0)</f>
        <v/>
      </c>
      <c r="AA347" s="11" t="inlineStr">
        <is>
          <t>T8-B3.1</t>
        </is>
      </c>
      <c r="AB347" s="11" t="inlineStr"/>
      <c r="AC347" s="11">
        <f>IF(AA347="FUERA","Fuera del marco",IF(AA347="N/A","Sin marco",IFERROR(INDEX('Datos - TIMSS 2023'!$C$5:$C$105,MATCH(AA347,'Datos - TIMSS 2023'!$A$5:$A$105,0)),"Pendiente de clasificar")))</f>
        <v/>
      </c>
      <c r="AD347" s="11" t="inlineStr">
        <is>
          <t>2. Construir y evaluar diseños para la indagación científica e interpretar datos y evidencia de forma crítica</t>
        </is>
      </c>
      <c r="AE347" s="11">
        <f>IF(AD347="","",IF(LEFT(AD347,1)="1","C1",IF(LEFT(AD347,1)="2","C2",IF(LEFT(AD347,1)="3","C3",""))))</f>
        <v/>
      </c>
      <c r="AF347" s="11" t="inlineStr">
        <is>
          <t>E1</t>
        </is>
      </c>
      <c r="AG347" s="11" t="inlineStr">
        <is>
          <t>D1</t>
        </is>
      </c>
      <c r="AH347" s="11" t="inlineStr">
        <is>
          <t>E2</t>
        </is>
      </c>
      <c r="AI347" s="11" t="inlineStr">
        <is>
          <t>D4</t>
        </is>
      </c>
      <c r="AJ347" s="11" t="inlineStr">
        <is>
          <t>E1</t>
        </is>
      </c>
      <c r="AK347" s="11" t="n"/>
      <c r="AL347" s="11" t="n"/>
      <c r="AM347" s="11" t="n"/>
      <c r="AN347" s="11" t="n"/>
      <c r="AO347" s="11" t="n"/>
      <c r="AP347" s="11" t="n"/>
      <c r="AQ347" s="11" t="n"/>
      <c r="AR347" s="11" t="n"/>
      <c r="AS347" s="11" t="n"/>
      <c r="AT347" s="11" t="n"/>
      <c r="AU347" s="11" t="n"/>
      <c r="AV347" s="11" t="n"/>
      <c r="AW347" s="11">
        <f>AF347&amp;"; "&amp;AG347&amp;"; "&amp;AH347&amp;"; "&amp;AI347&amp;"; "&amp;AJ347</f>
        <v/>
      </c>
    </row>
    <row r="348">
      <c r="A348" s="11" t="inlineStr">
        <is>
          <t>T0982-G06-CIE</t>
        </is>
      </c>
      <c r="B348" s="11" t="n">
        <v>6</v>
      </c>
      <c r="C348" s="11" t="inlineStr">
        <is>
          <t>Ciencias</t>
        </is>
      </c>
      <c r="D348" s="11" t="inlineStr">
        <is>
          <t>Matriz_Ciencias_6to_Grado_U1_U6.xlsx</t>
        </is>
      </c>
      <c r="E348" s="11" t="inlineStr">
        <is>
          <t>Unidad 6 - Biología del desarro</t>
        </is>
      </c>
      <c r="F348" s="11" t="n">
        <v>10</v>
      </c>
      <c r="G348" s="11" t="inlineStr">
        <is>
          <t>6. Biología del desarrollo.</t>
        </is>
      </c>
      <c r="H348" s="11" t="inlineStr">
        <is>
          <t>Desarrollo Vegetal.</t>
        </is>
      </c>
      <c r="I348" s="38" t="inlineStr">
        <is>
          <t>6.8. Descripción de la fecundación y planos de división celular en plantas.</t>
        </is>
      </c>
      <c r="J348" s="11" t="inlineStr">
        <is>
          <t>T8_27</t>
        </is>
      </c>
      <c r="K348" s="11" t="inlineStr">
        <is>
          <t>T8_27-B3.1</t>
        </is>
      </c>
      <c r="L348" s="11" t="inlineStr"/>
      <c r="M348" s="11">
        <f>IF(K348="FUERA","Fuera del marco",IF(K348="N/A","Sin marco",IFERROR(INDEX('Datos - Catálogo TIMSS'!$C$5:$C$107,MATCH(K348,'Datos - Catálogo TIMSS'!$A$5:$A$107,0)),"Pendiente de clasificar")))</f>
        <v/>
      </c>
      <c r="N348" s="11">
        <f>IF(K348="FUERA","Fuera del marco",IF(K348="N/A","Sin marco",IFERROR(INDEX('Datos - Catálogo TIMSS'!$F$5:$F$107,MATCH(K348,'Datos - Catálogo TIMSS'!$A$5:$A$107,0)),"Pendiente de clasificar")))</f>
        <v/>
      </c>
      <c r="O348" s="11">
        <f>IF(L348="","",IFERROR(INDEX('Datos - Catálogo TIMSS'!$C$5:$C$107,MATCH(L348,'Datos - Catálogo TIMSS'!$A$5:$A$107,0)),"?"))</f>
        <v/>
      </c>
      <c r="P348" s="11" t="inlineStr">
        <is>
          <t>media</t>
        </is>
      </c>
      <c r="Q348" s="38" t="inlineStr">
        <is>
          <t>Fecundación en plantas; partes de la flor.</t>
        </is>
      </c>
      <c r="R348" s="38" t="inlineStr">
        <is>
          <t>Aplicar: identificar</t>
        </is>
      </c>
      <c r="S348" s="39">
        <f>IFERROR(ISNUMBER(SEARCH("Conocer",$R348))/(ISNUMBER(SEARCH("Conocer",$R348))+ISNUMBER(SEARCH("Aplicar",$R348))+ISNUMBER(SEARCH("Razonar",$R348))),0)</f>
        <v/>
      </c>
      <c r="T348" s="39">
        <f>IFERROR(ISNUMBER(SEARCH("Aplicar",$R348))/(ISNUMBER(SEARCH("Conocer",$R348))+ISNUMBER(SEARCH("Aplicar",$R348))+ISNUMBER(SEARCH("Razonar",$R348))),0)</f>
        <v/>
      </c>
      <c r="U348" s="39">
        <f>IFERROR(ISNUMBER(SEARCH("Razonar",$R348))/(ISNUMBER(SEARCH("Conocer",$R348))+ISNUMBER(SEARCH("Aplicar",$R348))+ISNUMBER(SEARCH("Razonar",$R348))),0)</f>
        <v/>
      </c>
      <c r="V348" s="11" t="inlineStr">
        <is>
          <t>6°</t>
        </is>
      </c>
      <c r="W348" s="11" t="inlineStr">
        <is>
          <t>Ciclo 5°–8°</t>
        </is>
      </c>
      <c r="X348" s="11">
        <f>IF(OR(IFERROR(INDEX('Datos - Catálogo TIMSS'!$I$5:$I$107,MATCH(K348,'Datos - Catálogo TIMSS'!$A$5:$A$107,0)),"No")="Sí",IFERROR(INDEX('Datos - Catálogo TIMSS'!$I$5:$I$107,MATCH(L348,'Datos - Catálogo TIMSS'!$A$5:$A$107,0)),"No")="Sí"),1,0)</f>
        <v/>
      </c>
      <c r="Y348" s="11">
        <f>IF(IFERROR(INDEX('Datos - Catálogo TIMSS'!$J$5:$J$107,MATCH(K348,'Datos - Catálogo TIMSS'!$A$5:$A$107,0)),"No")="Sí",1,0)</f>
        <v/>
      </c>
      <c r="Z348" s="11">
        <f>IF(IFERROR(INDEX('Datos - Catálogo TIMSS'!$J$5:$J$107,MATCH(L348,'Datos - Catálogo TIMSS'!$A$5:$A$107,0)),"No")="Sí",1,0)</f>
        <v/>
      </c>
      <c r="AA348" s="11" t="inlineStr">
        <is>
          <t>T8-B3.2</t>
        </is>
      </c>
      <c r="AB348" s="11" t="inlineStr">
        <is>
          <t>T8-B3.1</t>
        </is>
      </c>
      <c r="AC348" s="11">
        <f>IF(AA348="FUERA","Fuera del marco",IF(AA348="N/A","Sin marco",IFERROR(INDEX('Datos - TIMSS 2023'!$C$5:$C$105,MATCH(AA348,'Datos - TIMSS 2023'!$A$5:$A$105,0)),"Pendiente de clasificar")))</f>
        <v/>
      </c>
      <c r="AD348" s="11" t="inlineStr">
        <is>
          <t>1. Explicar fenómenos científicamente</t>
        </is>
      </c>
      <c r="AE348" s="11">
        <f>IF(AD348="","",IF(LEFT(AD348,1)="1","C1",IF(LEFT(AD348,1)="2","C2",IF(LEFT(AD348,1)="3","C3",""))))</f>
        <v/>
      </c>
      <c r="AF348" s="11" t="inlineStr">
        <is>
          <t>E1</t>
        </is>
      </c>
      <c r="AG348" s="11" t="inlineStr">
        <is>
          <t>D1</t>
        </is>
      </c>
      <c r="AH348" s="11" t="inlineStr">
        <is>
          <t>E1</t>
        </is>
      </c>
      <c r="AI348" s="11" t="inlineStr">
        <is>
          <t>D4</t>
        </is>
      </c>
      <c r="AJ348" s="11" t="inlineStr">
        <is>
          <t>E1</t>
        </is>
      </c>
      <c r="AK348" s="11" t="n"/>
      <c r="AL348" s="11" t="n"/>
      <c r="AM348" s="11" t="n"/>
      <c r="AN348" s="11" t="n"/>
      <c r="AO348" s="11" t="n"/>
      <c r="AP348" s="11" t="n"/>
      <c r="AQ348" s="11" t="n"/>
      <c r="AR348" s="11" t="n"/>
      <c r="AS348" s="11" t="n"/>
      <c r="AT348" s="11" t="n"/>
      <c r="AU348" s="11" t="n"/>
      <c r="AV348" s="11" t="n"/>
      <c r="AW348" s="11">
        <f>AF348&amp;"; "&amp;AG348&amp;"; "&amp;AH348&amp;"; "&amp;AI348&amp;"; "&amp;AJ348</f>
        <v/>
      </c>
    </row>
    <row r="349">
      <c r="A349" s="11" t="inlineStr">
        <is>
          <t>T0983-G06-CIE</t>
        </is>
      </c>
      <c r="B349" s="11" t="n">
        <v>6</v>
      </c>
      <c r="C349" s="11" t="inlineStr">
        <is>
          <t>Ciencias</t>
        </is>
      </c>
      <c r="D349" s="11" t="inlineStr">
        <is>
          <t>Matriz_Ciencias_6to_Grado_U1_U6.xlsx</t>
        </is>
      </c>
      <c r="E349" s="11" t="inlineStr">
        <is>
          <t>Unidad 6 - Biología del desarro</t>
        </is>
      </c>
      <c r="F349" s="11" t="n">
        <v>11</v>
      </c>
      <c r="G349" s="11" t="inlineStr">
        <is>
          <t>6. Biología del desarrollo.</t>
        </is>
      </c>
      <c r="H349" s="11" t="inlineStr">
        <is>
          <t>Desarrollo Vegetal.</t>
        </is>
      </c>
      <c r="I349" s="38" t="inlineStr">
        <is>
          <t>6.9. Práctica con técnicas de propagación vegetal asexual.</t>
        </is>
      </c>
      <c r="J349" s="11" t="inlineStr">
        <is>
          <t>T8_27</t>
        </is>
      </c>
      <c r="K349" s="11" t="inlineStr">
        <is>
          <t>FUERA</t>
        </is>
      </c>
      <c r="L349" s="11" t="inlineStr"/>
      <c r="M349" s="11">
        <f>IF(K349="FUERA","Fuera del marco",IF(K349="N/A","Sin marco",IFERROR(INDEX('Datos - Catálogo TIMSS'!$C$5:$C$107,MATCH(K349,'Datos - Catálogo TIMSS'!$A$5:$A$107,0)),"Pendiente de clasificar")))</f>
        <v/>
      </c>
      <c r="N349" s="11">
        <f>IF(K349="FUERA","Fuera del marco",IF(K349="N/A","Sin marco",IFERROR(INDEX('Datos - Catálogo TIMSS'!$F$5:$F$107,MATCH(K349,'Datos - Catálogo TIMSS'!$A$5:$A$107,0)),"Pendiente de clasificar")))</f>
        <v/>
      </c>
      <c r="O349" s="11">
        <f>IF(L349="","",IFERROR(INDEX('Datos - Catálogo TIMSS'!$C$5:$C$107,MATCH(L349,'Datos - Catálogo TIMSS'!$A$5:$A$107,0)),"?"))</f>
        <v/>
      </c>
      <c r="P349" s="11" t="inlineStr">
        <is>
          <t>baja</t>
        </is>
      </c>
      <c r="Q349" s="38" t="inlineStr">
        <is>
          <t>Propagación vegetal asexual; el marco 2027 solo trata reproducción sexual.</t>
        </is>
      </c>
      <c r="R349" s="38" t="inlineStr">
        <is>
          <t>Aplicar: practicar técnicas. Razonar: evaluar</t>
        </is>
      </c>
      <c r="S349" s="39">
        <f>IFERROR(ISNUMBER(SEARCH("Conocer",$R349))/(ISNUMBER(SEARCH("Conocer",$R349))+ISNUMBER(SEARCH("Aplicar",$R349))+ISNUMBER(SEARCH("Razonar",$R349))),0)</f>
        <v/>
      </c>
      <c r="T349" s="39">
        <f>IFERROR(ISNUMBER(SEARCH("Aplicar",$R349))/(ISNUMBER(SEARCH("Conocer",$R349))+ISNUMBER(SEARCH("Aplicar",$R349))+ISNUMBER(SEARCH("Razonar",$R349))),0)</f>
        <v/>
      </c>
      <c r="U349" s="39">
        <f>IFERROR(ISNUMBER(SEARCH("Razonar",$R349))/(ISNUMBER(SEARCH("Conocer",$R349))+ISNUMBER(SEARCH("Aplicar",$R349))+ISNUMBER(SEARCH("Razonar",$R349))),0)</f>
        <v/>
      </c>
      <c r="V349" s="11" t="inlineStr">
        <is>
          <t>6°</t>
        </is>
      </c>
      <c r="W349" s="11" t="inlineStr">
        <is>
          <t>Ciclo 5°–8°</t>
        </is>
      </c>
      <c r="X349" s="11">
        <f>IF(OR(IFERROR(INDEX('Datos - Catálogo TIMSS'!$I$5:$I$107,MATCH(K349,'Datos - Catálogo TIMSS'!$A$5:$A$107,0)),"No")="Sí",IFERROR(INDEX('Datos - Catálogo TIMSS'!$I$5:$I$107,MATCH(L349,'Datos - Catálogo TIMSS'!$A$5:$A$107,0)),"No")="Sí"),1,0)</f>
        <v/>
      </c>
      <c r="Y349" s="11">
        <f>IF(IFERROR(INDEX('Datos - Catálogo TIMSS'!$J$5:$J$107,MATCH(K349,'Datos - Catálogo TIMSS'!$A$5:$A$107,0)),"No")="Sí",1,0)</f>
        <v/>
      </c>
      <c r="Z349" s="11">
        <f>IF(IFERROR(INDEX('Datos - Catálogo TIMSS'!$J$5:$J$107,MATCH(L349,'Datos - Catálogo TIMSS'!$A$5:$A$107,0)),"No")="Sí",1,0)</f>
        <v/>
      </c>
      <c r="AA349" s="11" t="inlineStr">
        <is>
          <t>T8-B3.2</t>
        </is>
      </c>
      <c r="AB349" s="11" t="inlineStr"/>
      <c r="AC349" s="11">
        <f>IF(AA349="FUERA","Fuera del marco",IF(AA349="N/A","Sin marco",IFERROR(INDEX('Datos - TIMSS 2023'!$C$5:$C$105,MATCH(AA349,'Datos - TIMSS 2023'!$A$5:$A$105,0)),"Pendiente de clasificar")))</f>
        <v/>
      </c>
      <c r="AD349" s="11" t="inlineStr">
        <is>
          <t>2. Construir y evaluar diseños para la indagación científica e interpretar datos y evidencia de forma crítica</t>
        </is>
      </c>
      <c r="AE349" s="11">
        <f>IF(AD349="","",IF(LEFT(AD349,1)="1","C1",IF(LEFT(AD349,1)="2","C2",IF(LEFT(AD349,1)="3","C3",""))))</f>
        <v/>
      </c>
      <c r="AF349" s="11" t="inlineStr">
        <is>
          <t>E1</t>
        </is>
      </c>
      <c r="AG349" s="11" t="inlineStr">
        <is>
          <t>E3</t>
        </is>
      </c>
      <c r="AH349" s="11" t="inlineStr">
        <is>
          <t>E1</t>
        </is>
      </c>
      <c r="AI349" s="11" t="inlineStr">
        <is>
          <t>D2</t>
        </is>
      </c>
      <c r="AJ349" s="11" t="inlineStr">
        <is>
          <t>E6</t>
        </is>
      </c>
      <c r="AK349" s="11" t="n"/>
      <c r="AL349" s="11" t="n"/>
      <c r="AM349" s="11" t="n"/>
      <c r="AN349" s="11" t="n"/>
      <c r="AO349" s="11" t="n"/>
      <c r="AP349" s="11" t="n"/>
      <c r="AQ349" s="11" t="n"/>
      <c r="AR349" s="11" t="n"/>
      <c r="AS349" s="11" t="n"/>
      <c r="AT349" s="11" t="n"/>
      <c r="AU349" s="11" t="n"/>
      <c r="AV349" s="11" t="n"/>
      <c r="AW349" s="11">
        <f>AF349&amp;"; "&amp;AG349&amp;"; "&amp;AH349&amp;"; "&amp;AI349&amp;"; "&amp;AJ349</f>
        <v/>
      </c>
    </row>
    <row r="350">
      <c r="A350" s="11" t="inlineStr">
        <is>
          <t>T0984-G06-CIE</t>
        </is>
      </c>
      <c r="B350" s="11" t="n">
        <v>6</v>
      </c>
      <c r="C350" s="11" t="inlineStr">
        <is>
          <t>Ciencias</t>
        </is>
      </c>
      <c r="D350" s="11" t="inlineStr">
        <is>
          <t>Matriz_Ciencias_6to_Grado_U1_U6.xlsx</t>
        </is>
      </c>
      <c r="E350" s="11" t="inlineStr">
        <is>
          <t>Unidad 6 - Biología del desarro</t>
        </is>
      </c>
      <c r="F350" s="11" t="n">
        <v>12</v>
      </c>
      <c r="G350" s="11" t="inlineStr">
        <is>
          <t>6. Biología del desarrollo.</t>
        </is>
      </c>
      <c r="H350" s="11" t="inlineStr">
        <is>
          <t>Desarrollo Animal.</t>
        </is>
      </c>
      <c r="I350" s="38" t="inlineStr">
        <is>
          <t>6.10. Observación de las modalidades de fecundación en animales.</t>
        </is>
      </c>
      <c r="J350" s="11" t="inlineStr">
        <is>
          <t>T8_27</t>
        </is>
      </c>
      <c r="K350" s="11" t="inlineStr">
        <is>
          <t>T8_27-B3.1</t>
        </is>
      </c>
      <c r="L350" s="11" t="inlineStr"/>
      <c r="M350" s="11">
        <f>IF(K350="FUERA","Fuera del marco",IF(K350="N/A","Sin marco",IFERROR(INDEX('Datos - Catálogo TIMSS'!$C$5:$C$107,MATCH(K350,'Datos - Catálogo TIMSS'!$A$5:$A$107,0)),"Pendiente de clasificar")))</f>
        <v/>
      </c>
      <c r="N350" s="11">
        <f>IF(K350="FUERA","Fuera del marco",IF(K350="N/A","Sin marco",IFERROR(INDEX('Datos - Catálogo TIMSS'!$F$5:$F$107,MATCH(K350,'Datos - Catálogo TIMSS'!$A$5:$A$107,0)),"Pendiente de clasificar")))</f>
        <v/>
      </c>
      <c r="O350" s="11">
        <f>IF(L350="","",IFERROR(INDEX('Datos - Catálogo TIMSS'!$C$5:$C$107,MATCH(L350,'Datos - Catálogo TIMSS'!$A$5:$A$107,0)),"?"))</f>
        <v/>
      </c>
      <c r="P350" s="11" t="inlineStr">
        <is>
          <t>alta</t>
        </is>
      </c>
      <c r="Q350" s="38" t="inlineStr">
        <is>
          <t>Modalidades de fecundación en animales.</t>
        </is>
      </c>
      <c r="R350" s="38" t="inlineStr">
        <is>
          <t>Conocer: clasificar</t>
        </is>
      </c>
      <c r="S350" s="39">
        <f>IFERROR(ISNUMBER(SEARCH("Conocer",$R350))/(ISNUMBER(SEARCH("Conocer",$R350))+ISNUMBER(SEARCH("Aplicar",$R350))+ISNUMBER(SEARCH("Razonar",$R350))),0)</f>
        <v/>
      </c>
      <c r="T350" s="39">
        <f>IFERROR(ISNUMBER(SEARCH("Aplicar",$R350))/(ISNUMBER(SEARCH("Conocer",$R350))+ISNUMBER(SEARCH("Aplicar",$R350))+ISNUMBER(SEARCH("Razonar",$R350))),0)</f>
        <v/>
      </c>
      <c r="U350" s="39">
        <f>IFERROR(ISNUMBER(SEARCH("Razonar",$R350))/(ISNUMBER(SEARCH("Conocer",$R350))+ISNUMBER(SEARCH("Aplicar",$R350))+ISNUMBER(SEARCH("Razonar",$R350))),0)</f>
        <v/>
      </c>
      <c r="V350" s="11" t="inlineStr">
        <is>
          <t>6°</t>
        </is>
      </c>
      <c r="W350" s="11" t="inlineStr">
        <is>
          <t>Ciclo 5°–8°</t>
        </is>
      </c>
      <c r="X350" s="11">
        <f>IF(OR(IFERROR(INDEX('Datos - Catálogo TIMSS'!$I$5:$I$107,MATCH(K350,'Datos - Catálogo TIMSS'!$A$5:$A$107,0)),"No")="Sí",IFERROR(INDEX('Datos - Catálogo TIMSS'!$I$5:$I$107,MATCH(L350,'Datos - Catálogo TIMSS'!$A$5:$A$107,0)),"No")="Sí"),1,0)</f>
        <v/>
      </c>
      <c r="Y350" s="11">
        <f>IF(IFERROR(INDEX('Datos - Catálogo TIMSS'!$J$5:$J$107,MATCH(K350,'Datos - Catálogo TIMSS'!$A$5:$A$107,0)),"No")="Sí",1,0)</f>
        <v/>
      </c>
      <c r="Z350" s="11">
        <f>IF(IFERROR(INDEX('Datos - Catálogo TIMSS'!$J$5:$J$107,MATCH(L350,'Datos - Catálogo TIMSS'!$A$5:$A$107,0)),"No")="Sí",1,0)</f>
        <v/>
      </c>
      <c r="AA350" s="11" t="inlineStr">
        <is>
          <t>T8-B3.2</t>
        </is>
      </c>
      <c r="AB350" s="11" t="inlineStr"/>
      <c r="AC350" s="11">
        <f>IF(AA350="FUERA","Fuera del marco",IF(AA350="N/A","Sin marco",IFERROR(INDEX('Datos - TIMSS 2023'!$C$5:$C$105,MATCH(AA350,'Datos - TIMSS 2023'!$A$5:$A$105,0)),"Pendiente de clasificar")))</f>
        <v/>
      </c>
      <c r="AD350" s="11" t="inlineStr">
        <is>
          <t>1. Explicar fenómenos científicamente</t>
        </is>
      </c>
      <c r="AE350" s="11">
        <f>IF(AD350="","",IF(LEFT(AD350,1)="1","C1",IF(LEFT(AD350,1)="2","C2",IF(LEFT(AD350,1)="3","C3",""))))</f>
        <v/>
      </c>
      <c r="AF350" s="11" t="inlineStr">
        <is>
          <t>E1</t>
        </is>
      </c>
      <c r="AG350" s="11" t="inlineStr">
        <is>
          <t>D1</t>
        </is>
      </c>
      <c r="AH350" s="11" t="inlineStr">
        <is>
          <t>E1</t>
        </is>
      </c>
      <c r="AI350" s="11" t="inlineStr">
        <is>
          <t>D4</t>
        </is>
      </c>
      <c r="AJ350" s="11" t="inlineStr">
        <is>
          <t>E1</t>
        </is>
      </c>
      <c r="AK350" s="11" t="n"/>
      <c r="AL350" s="11" t="n"/>
      <c r="AM350" s="11" t="n"/>
      <c r="AN350" s="11" t="n"/>
      <c r="AO350" s="11" t="n"/>
      <c r="AP350" s="11" t="n"/>
      <c r="AQ350" s="11" t="n"/>
      <c r="AR350" s="11" t="n"/>
      <c r="AS350" s="11" t="n"/>
      <c r="AT350" s="11" t="n"/>
      <c r="AU350" s="11" t="n"/>
      <c r="AV350" s="11" t="n"/>
      <c r="AW350" s="11">
        <f>AF350&amp;"; "&amp;AG350&amp;"; "&amp;AH350&amp;"; "&amp;AI350&amp;"; "&amp;AJ350</f>
        <v/>
      </c>
    </row>
    <row r="351">
      <c r="A351" s="11" t="inlineStr">
        <is>
          <t>T0985-G06-CIE</t>
        </is>
      </c>
      <c r="B351" s="11" t="n">
        <v>6</v>
      </c>
      <c r="C351" s="11" t="inlineStr">
        <is>
          <t>Ciencias</t>
        </is>
      </c>
      <c r="D351" s="11" t="inlineStr">
        <is>
          <t>Matriz_Ciencias_6to_Grado_U1_U6.xlsx</t>
        </is>
      </c>
      <c r="E351" s="11" t="inlineStr">
        <is>
          <t>Unidad 6 - Biología del desarro</t>
        </is>
      </c>
      <c r="F351" s="11" t="n">
        <v>13</v>
      </c>
      <c r="G351" s="11" t="inlineStr">
        <is>
          <t>6. Biología del desarrollo.</t>
        </is>
      </c>
      <c r="H351" s="11" t="inlineStr">
        <is>
          <t>Desarrollo Animal.</t>
        </is>
      </c>
      <c r="I351" s="38" t="inlineStr">
        <is>
          <t>6.11. Comparación de las etapas de desarrollo en diferentes grupos de animales.</t>
        </is>
      </c>
      <c r="J351" s="11" t="inlineStr">
        <is>
          <t>T8_27</t>
        </is>
      </c>
      <c r="K351" s="11" t="inlineStr">
        <is>
          <t>FUERA</t>
        </is>
      </c>
      <c r="L351" s="11" t="inlineStr"/>
      <c r="M351" s="11">
        <f>IF(K351="FUERA","Fuera del marco",IF(K351="N/A","Sin marco",IFERROR(INDEX('Datos - Catálogo TIMSS'!$C$5:$C$107,MATCH(K351,'Datos - Catálogo TIMSS'!$A$5:$A$107,0)),"Pendiente de clasificar")))</f>
        <v/>
      </c>
      <c r="N351" s="11">
        <f>IF(K351="FUERA","Fuera del marco",IF(K351="N/A","Sin marco",IFERROR(INDEX('Datos - Catálogo TIMSS'!$F$5:$F$107,MATCH(K351,'Datos - Catálogo TIMSS'!$A$5:$A$107,0)),"Pendiente de clasificar")))</f>
        <v/>
      </c>
      <c r="O351" s="11">
        <f>IF(L351="","",IFERROR(INDEX('Datos - Catálogo TIMSS'!$C$5:$C$107,MATCH(L351,'Datos - Catálogo TIMSS'!$A$5:$A$107,0)),"?"))</f>
        <v/>
      </c>
      <c r="P351" s="11" t="inlineStr">
        <is>
          <t>media</t>
        </is>
      </c>
      <c r="Q351" s="38" t="inlineStr">
        <is>
          <t>Patrones de desarrollo embrionario salieron del marco 2027.</t>
        </is>
      </c>
      <c r="R351" s="38" t="inlineStr">
        <is>
          <t>Aplicar: comparar</t>
        </is>
      </c>
      <c r="S351" s="39">
        <f>IFERROR(ISNUMBER(SEARCH("Conocer",$R351))/(ISNUMBER(SEARCH("Conocer",$R351))+ISNUMBER(SEARCH("Aplicar",$R351))+ISNUMBER(SEARCH("Razonar",$R351))),0)</f>
        <v/>
      </c>
      <c r="T351" s="39">
        <f>IFERROR(ISNUMBER(SEARCH("Aplicar",$R351))/(ISNUMBER(SEARCH("Conocer",$R351))+ISNUMBER(SEARCH("Aplicar",$R351))+ISNUMBER(SEARCH("Razonar",$R351))),0)</f>
        <v/>
      </c>
      <c r="U351" s="39">
        <f>IFERROR(ISNUMBER(SEARCH("Razonar",$R351))/(ISNUMBER(SEARCH("Conocer",$R351))+ISNUMBER(SEARCH("Aplicar",$R351))+ISNUMBER(SEARCH("Razonar",$R351))),0)</f>
        <v/>
      </c>
      <c r="V351" s="11" t="inlineStr">
        <is>
          <t>6°</t>
        </is>
      </c>
      <c r="W351" s="11" t="inlineStr">
        <is>
          <t>Ciclo 5°–8°</t>
        </is>
      </c>
      <c r="X351" s="11">
        <f>IF(OR(IFERROR(INDEX('Datos - Catálogo TIMSS'!$I$5:$I$107,MATCH(K351,'Datos - Catálogo TIMSS'!$A$5:$A$107,0)),"No")="Sí",IFERROR(INDEX('Datos - Catálogo TIMSS'!$I$5:$I$107,MATCH(L351,'Datos - Catálogo TIMSS'!$A$5:$A$107,0)),"No")="Sí"),1,0)</f>
        <v/>
      </c>
      <c r="Y351" s="11">
        <f>IF(IFERROR(INDEX('Datos - Catálogo TIMSS'!$J$5:$J$107,MATCH(K351,'Datos - Catálogo TIMSS'!$A$5:$A$107,0)),"No")="Sí",1,0)</f>
        <v/>
      </c>
      <c r="Z351" s="11">
        <f>IF(IFERROR(INDEX('Datos - Catálogo TIMSS'!$J$5:$J$107,MATCH(L351,'Datos - Catálogo TIMSS'!$A$5:$A$107,0)),"No")="Sí",1,0)</f>
        <v/>
      </c>
      <c r="AA351" s="11" t="inlineStr">
        <is>
          <t>T8-B3.1</t>
        </is>
      </c>
      <c r="AB351" s="11" t="inlineStr"/>
      <c r="AC351" s="11">
        <f>IF(AA351="FUERA","Fuera del marco",IF(AA351="N/A","Sin marco",IFERROR(INDEX('Datos - TIMSS 2023'!$C$5:$C$105,MATCH(AA351,'Datos - TIMSS 2023'!$A$5:$A$105,0)),"Pendiente de clasificar")))</f>
        <v/>
      </c>
      <c r="AD351" s="11" t="inlineStr">
        <is>
          <t>1. Explicar fenómenos científicamente</t>
        </is>
      </c>
      <c r="AE351" s="11">
        <f>IF(AD351="","",IF(LEFT(AD351,1)="1","C1",IF(LEFT(AD351,1)="2","C2",IF(LEFT(AD351,1)="3","C3",""))))</f>
        <v/>
      </c>
      <c r="AF351" s="11" t="inlineStr">
        <is>
          <t>E1</t>
        </is>
      </c>
      <c r="AG351" s="11" t="inlineStr">
        <is>
          <t>D1</t>
        </is>
      </c>
      <c r="AH351" s="11" t="inlineStr">
        <is>
          <t>E1</t>
        </is>
      </c>
      <c r="AI351" s="11" t="inlineStr">
        <is>
          <t>D4</t>
        </is>
      </c>
      <c r="AJ351" s="11" t="inlineStr">
        <is>
          <t>E1</t>
        </is>
      </c>
      <c r="AK351" s="11" t="n"/>
      <c r="AL351" s="11" t="n"/>
      <c r="AM351" s="11" t="n"/>
      <c r="AN351" s="11" t="n"/>
      <c r="AO351" s="11" t="n"/>
      <c r="AP351" s="11" t="n"/>
      <c r="AQ351" s="11" t="n"/>
      <c r="AR351" s="11" t="n"/>
      <c r="AS351" s="11" t="n"/>
      <c r="AT351" s="11" t="n"/>
      <c r="AU351" s="11" t="n"/>
      <c r="AV351" s="11" t="n"/>
      <c r="AW351" s="11">
        <f>AF351&amp;"; "&amp;AG351&amp;"; "&amp;AH351&amp;"; "&amp;AI351&amp;"; "&amp;AJ351</f>
        <v/>
      </c>
    </row>
    <row r="352">
      <c r="A352" s="11" t="inlineStr">
        <is>
          <t>T0986-G06-CIE</t>
        </is>
      </c>
      <c r="B352" s="11" t="n">
        <v>6</v>
      </c>
      <c r="C352" s="11" t="inlineStr">
        <is>
          <t>Ciencias</t>
        </is>
      </c>
      <c r="D352" s="11" t="inlineStr">
        <is>
          <t>Matriz_Ciencias_6to_Grado_U1_U6.xlsx</t>
        </is>
      </c>
      <c r="E352" s="11" t="inlineStr">
        <is>
          <t>Unidad 6 - Biología del desarro</t>
        </is>
      </c>
      <c r="F352" s="11" t="n">
        <v>14</v>
      </c>
      <c r="G352" s="11" t="inlineStr">
        <is>
          <t>6. Biología del desarrollo.</t>
        </is>
      </c>
      <c r="H352" s="11" t="inlineStr">
        <is>
          <t>Desarrollo Animal.</t>
        </is>
      </c>
      <c r="I352" s="38" t="inlineStr">
        <is>
          <t>6.12. Modelación del desarrollo embrionario de vertebrados.</t>
        </is>
      </c>
      <c r="J352" s="11" t="inlineStr">
        <is>
          <t>T8_27</t>
        </is>
      </c>
      <c r="K352" s="11" t="inlineStr">
        <is>
          <t>FUERA</t>
        </is>
      </c>
      <c r="L352" s="11" t="inlineStr"/>
      <c r="M352" s="11">
        <f>IF(K352="FUERA","Fuera del marco",IF(K352="N/A","Sin marco",IFERROR(INDEX('Datos - Catálogo TIMSS'!$C$5:$C$107,MATCH(K352,'Datos - Catálogo TIMSS'!$A$5:$A$107,0)),"Pendiente de clasificar")))</f>
        <v/>
      </c>
      <c r="N352" s="11">
        <f>IF(K352="FUERA","Fuera del marco",IF(K352="N/A","Sin marco",IFERROR(INDEX('Datos - Catálogo TIMSS'!$F$5:$F$107,MATCH(K352,'Datos - Catálogo TIMSS'!$A$5:$A$107,0)),"Pendiente de clasificar")))</f>
        <v/>
      </c>
      <c r="O352" s="11">
        <f>IF(L352="","",IFERROR(INDEX('Datos - Catálogo TIMSS'!$C$5:$C$107,MATCH(L352,'Datos - Catálogo TIMSS'!$A$5:$A$107,0)),"?"))</f>
        <v/>
      </c>
      <c r="P352" s="11" t="inlineStr">
        <is>
          <t>media</t>
        </is>
      </c>
      <c r="Q352" s="38" t="inlineStr">
        <is>
          <t>Desarrollo embrionario de vertebrados no está en el marco 2027.</t>
        </is>
      </c>
      <c r="R352" s="38" t="inlineStr">
        <is>
          <t>Aplicar: construir modelos</t>
        </is>
      </c>
      <c r="S352" s="39">
        <f>IFERROR(ISNUMBER(SEARCH("Conocer",$R352))/(ISNUMBER(SEARCH("Conocer",$R352))+ISNUMBER(SEARCH("Aplicar",$R352))+ISNUMBER(SEARCH("Razonar",$R352))),0)</f>
        <v/>
      </c>
      <c r="T352" s="39">
        <f>IFERROR(ISNUMBER(SEARCH("Aplicar",$R352))/(ISNUMBER(SEARCH("Conocer",$R352))+ISNUMBER(SEARCH("Aplicar",$R352))+ISNUMBER(SEARCH("Razonar",$R352))),0)</f>
        <v/>
      </c>
      <c r="U352" s="39">
        <f>IFERROR(ISNUMBER(SEARCH("Razonar",$R352))/(ISNUMBER(SEARCH("Conocer",$R352))+ISNUMBER(SEARCH("Aplicar",$R352))+ISNUMBER(SEARCH("Razonar",$R352))),0)</f>
        <v/>
      </c>
      <c r="V352" s="11" t="inlineStr">
        <is>
          <t>6°</t>
        </is>
      </c>
      <c r="W352" s="11" t="inlineStr">
        <is>
          <t>Ciclo 5°–8°</t>
        </is>
      </c>
      <c r="X352" s="11">
        <f>IF(OR(IFERROR(INDEX('Datos - Catálogo TIMSS'!$I$5:$I$107,MATCH(K352,'Datos - Catálogo TIMSS'!$A$5:$A$107,0)),"No")="Sí",IFERROR(INDEX('Datos - Catálogo TIMSS'!$I$5:$I$107,MATCH(L352,'Datos - Catálogo TIMSS'!$A$5:$A$107,0)),"No")="Sí"),1,0)</f>
        <v/>
      </c>
      <c r="Y352" s="11">
        <f>IF(IFERROR(INDEX('Datos - Catálogo TIMSS'!$J$5:$J$107,MATCH(K352,'Datos - Catálogo TIMSS'!$A$5:$A$107,0)),"No")="Sí",1,0)</f>
        <v/>
      </c>
      <c r="Z352" s="11">
        <f>IF(IFERROR(INDEX('Datos - Catálogo TIMSS'!$J$5:$J$107,MATCH(L352,'Datos - Catálogo TIMSS'!$A$5:$A$107,0)),"No")="Sí",1,0)</f>
        <v/>
      </c>
      <c r="AA352" s="11" t="inlineStr">
        <is>
          <t>T8-B3.1</t>
        </is>
      </c>
      <c r="AB352" s="11" t="inlineStr"/>
      <c r="AC352" s="11">
        <f>IF(AA352="FUERA","Fuera del marco",IF(AA352="N/A","Sin marco",IFERROR(INDEX('Datos - TIMSS 2023'!$C$5:$C$105,MATCH(AA352,'Datos - TIMSS 2023'!$A$5:$A$105,0)),"Pendiente de clasificar")))</f>
        <v/>
      </c>
      <c r="AD352" s="11" t="inlineStr">
        <is>
          <t>1. Explicar fenómenos científicamente</t>
        </is>
      </c>
      <c r="AE352" s="11">
        <f>IF(AD352="","",IF(LEFT(AD352,1)="1","C1",IF(LEFT(AD352,1)="2","C2",IF(LEFT(AD352,1)="3","C3",""))))</f>
        <v/>
      </c>
      <c r="AF352" s="11" t="inlineStr">
        <is>
          <t>E1</t>
        </is>
      </c>
      <c r="AG352" s="11" t="inlineStr">
        <is>
          <t>D1</t>
        </is>
      </c>
      <c r="AH352" s="11" t="inlineStr">
        <is>
          <t>E4</t>
        </is>
      </c>
      <c r="AI352" s="11" t="inlineStr">
        <is>
          <t>E4</t>
        </is>
      </c>
      <c r="AJ352" s="11" t="inlineStr">
        <is>
          <t>E1</t>
        </is>
      </c>
      <c r="AK352" s="11" t="n"/>
      <c r="AL352" s="11" t="n"/>
      <c r="AM352" s="11" t="n"/>
      <c r="AN352" s="11" t="n"/>
      <c r="AO352" s="11" t="n"/>
      <c r="AP352" s="11" t="n"/>
      <c r="AQ352" s="11" t="n"/>
      <c r="AR352" s="11" t="n"/>
      <c r="AS352" s="11" t="n"/>
      <c r="AT352" s="11" t="n"/>
      <c r="AU352" s="11" t="n"/>
      <c r="AV352" s="11" t="n"/>
      <c r="AW352" s="11">
        <f>AF352&amp;"; "&amp;AG352&amp;"; "&amp;AH352&amp;"; "&amp;AI352&amp;"; "&amp;AJ352</f>
        <v/>
      </c>
    </row>
    <row r="353">
      <c r="A353" s="11" t="inlineStr">
        <is>
          <t>T0987-G07-CIE</t>
        </is>
      </c>
      <c r="B353" s="11" t="n">
        <v>7</v>
      </c>
      <c r="C353" s="11" t="inlineStr">
        <is>
          <t>Ciencias</t>
        </is>
      </c>
      <c r="D353" s="11" t="inlineStr">
        <is>
          <t>Matriz_Ciencias_7mo_Grado_U1_U6.xlsx</t>
        </is>
      </c>
      <c r="E353" s="11" t="inlineStr">
        <is>
          <t>Unidad 1 - Compuestos inorgánic</t>
        </is>
      </c>
      <c r="F353" s="11" t="n">
        <v>3</v>
      </c>
      <c r="G353" s="11" t="inlineStr">
        <is>
          <t>1. Compuestos inorgánicos</t>
        </is>
      </c>
      <c r="H353" s="11" t="inlineStr">
        <is>
          <t>Compuestos inorgánicos binarios</t>
        </is>
      </c>
      <c r="I353" s="38" t="inlineStr">
        <is>
          <t>1.1. Indagación de los óxidos en fenómenos y aplicaciones cotidianas.</t>
        </is>
      </c>
      <c r="J353" s="11" t="inlineStr">
        <is>
          <t>T8_27</t>
        </is>
      </c>
      <c r="K353" s="11" t="inlineStr">
        <is>
          <t>T8_27-C1.2</t>
        </is>
      </c>
      <c r="L353" s="11" t="inlineStr"/>
      <c r="M353" s="11">
        <f>IF(K353="FUERA","Fuera del marco",IF(K353="N/A","Sin marco",IFERROR(INDEX('Datos - Catálogo TIMSS'!$C$5:$C$107,MATCH(K353,'Datos - Catálogo TIMSS'!$A$5:$A$107,0)),"Pendiente de clasificar")))</f>
        <v/>
      </c>
      <c r="N353" s="11">
        <f>IF(K353="FUERA","Fuera del marco",IF(K353="N/A","Sin marco",IFERROR(INDEX('Datos - Catálogo TIMSS'!$F$5:$F$107,MATCH(K353,'Datos - Catálogo TIMSS'!$A$5:$A$107,0)),"Pendiente de clasificar")))</f>
        <v/>
      </c>
      <c r="O353" s="11">
        <f>IF(L353="","",IFERROR(INDEX('Datos - Catálogo TIMSS'!$C$5:$C$107,MATCH(L353,'Datos - Catálogo TIMSS'!$A$5:$A$107,0)),"?"))</f>
        <v/>
      </c>
      <c r="P353" s="11" t="inlineStr">
        <is>
          <t>alta</t>
        </is>
      </c>
      <c r="Q353" s="38" t="inlineStr">
        <is>
          <t>Óxidos como compuestos identificados en aplicaciones cotidianas</t>
        </is>
      </c>
      <c r="R353" s="38" t="inlineStr">
        <is>
          <t>Conocer: identificar. Aplicar: relacionar</t>
        </is>
      </c>
      <c r="S353" s="39">
        <f>IFERROR(ISNUMBER(SEARCH("Conocer",$R353))/(ISNUMBER(SEARCH("Conocer",$R353))+ISNUMBER(SEARCH("Aplicar",$R353))+ISNUMBER(SEARCH("Razonar",$R353))),0)</f>
        <v/>
      </c>
      <c r="T353" s="39">
        <f>IFERROR(ISNUMBER(SEARCH("Aplicar",$R353))/(ISNUMBER(SEARCH("Conocer",$R353))+ISNUMBER(SEARCH("Aplicar",$R353))+ISNUMBER(SEARCH("Razonar",$R353))),0)</f>
        <v/>
      </c>
      <c r="U353" s="39">
        <f>IFERROR(ISNUMBER(SEARCH("Razonar",$R353))/(ISNUMBER(SEARCH("Conocer",$R353))+ISNUMBER(SEARCH("Aplicar",$R353))+ISNUMBER(SEARCH("Razonar",$R353))),0)</f>
        <v/>
      </c>
      <c r="V353" s="11" t="inlineStr">
        <is>
          <t>7°</t>
        </is>
      </c>
      <c r="W353" s="11" t="inlineStr">
        <is>
          <t>Ciclo 5°–8°</t>
        </is>
      </c>
      <c r="X353" s="11">
        <f>IF(OR(IFERROR(INDEX('Datos - Catálogo TIMSS'!$I$5:$I$107,MATCH(K353,'Datos - Catálogo TIMSS'!$A$5:$A$107,0)),"No")="Sí",IFERROR(INDEX('Datos - Catálogo TIMSS'!$I$5:$I$107,MATCH(L353,'Datos - Catálogo TIMSS'!$A$5:$A$107,0)),"No")="Sí"),1,0)</f>
        <v/>
      </c>
      <c r="Y353" s="11">
        <f>IF(IFERROR(INDEX('Datos - Catálogo TIMSS'!$J$5:$J$107,MATCH(K353,'Datos - Catálogo TIMSS'!$A$5:$A$107,0)),"No")="Sí",1,0)</f>
        <v/>
      </c>
      <c r="Z353" s="11">
        <f>IF(IFERROR(INDEX('Datos - Catálogo TIMSS'!$J$5:$J$107,MATCH(L353,'Datos - Catálogo TIMSS'!$A$5:$A$107,0)),"No")="Sí",1,0)</f>
        <v/>
      </c>
      <c r="AA353" s="11" t="inlineStr">
        <is>
          <t>T8-Q1.2</t>
        </is>
      </c>
      <c r="AB353" s="11" t="inlineStr"/>
      <c r="AC353" s="11">
        <f>IF(AA353="FUERA","Fuera del marco",IF(AA353="N/A","Sin marco",IFERROR(INDEX('Datos - TIMSS 2023'!$C$5:$C$105,MATCH(AA353,'Datos - TIMSS 2023'!$A$5:$A$105,0)),"Pendiente de clasificar")))</f>
        <v/>
      </c>
      <c r="AD353" s="11" t="inlineStr">
        <is>
          <t>1. Explicar fenómenos científicamente</t>
        </is>
      </c>
      <c r="AE353" s="11">
        <f>IF(AD353="","",IF(LEFT(AD353,1)="1","C1",IF(LEFT(AD353,1)="2","C2",IF(LEFT(AD353,1)="3","C3",""))))</f>
        <v/>
      </c>
      <c r="AF353" s="11" t="inlineStr">
        <is>
          <t>E1</t>
        </is>
      </c>
      <c r="AG353" s="11" t="inlineStr">
        <is>
          <t>E5</t>
        </is>
      </c>
      <c r="AH353" s="11" t="inlineStr">
        <is>
          <t>E1</t>
        </is>
      </c>
      <c r="AI353" s="11" t="inlineStr">
        <is>
          <t>D4</t>
        </is>
      </c>
      <c r="AJ353" s="11" t="inlineStr">
        <is>
          <t>E6</t>
        </is>
      </c>
      <c r="AK353" s="11" t="inlineStr">
        <is>
          <t>PISA-F2</t>
        </is>
      </c>
      <c r="AL353" s="11" t="inlineStr">
        <is>
          <t>PISA-F1</t>
        </is>
      </c>
      <c r="AM353" s="11">
        <f>IF(AK353="FUERA","Fuera del marco",IFERROR(INDEX('Datos - Catálogo PISA'!$C$5:$C$76,MATCH(AK353,'Datos - Catálogo PISA'!$A$5:$A$76,0)),"?"))</f>
        <v/>
      </c>
      <c r="AN353" s="11" t="inlineStr">
        <is>
          <t>Contenido</t>
        </is>
      </c>
      <c r="AO353" s="11" t="n"/>
      <c r="AP353" s="11" t="n"/>
      <c r="AQ353" s="11" t="inlineStr">
        <is>
          <t>Personal</t>
        </is>
      </c>
      <c r="AR353" s="11" t="inlineStr">
        <is>
          <t>Avances y desafíos científicos y tecnológicos</t>
        </is>
      </c>
      <c r="AS353" s="11" t="inlineStr">
        <is>
          <t>Baja</t>
        </is>
      </c>
      <c r="AT353" s="11" t="inlineStr">
        <is>
          <t>media</t>
        </is>
      </c>
      <c r="AU353" s="11" t="inlineStr">
        <is>
          <t>Óxidos en fenómenos cotidianos como oxidación y combustión</t>
        </is>
      </c>
      <c r="AV353" s="11" t="inlineStr">
        <is>
          <t>Ciclo 7°–9°</t>
        </is>
      </c>
      <c r="AW353" s="11">
        <f>AF353&amp;"; "&amp;AG353&amp;"; "&amp;AH353&amp;"; "&amp;AI353&amp;"; "&amp;AJ353</f>
        <v/>
      </c>
    </row>
    <row r="354">
      <c r="A354" s="11" t="inlineStr">
        <is>
          <t>T0988-G07-CIE</t>
        </is>
      </c>
      <c r="B354" s="11" t="n">
        <v>7</v>
      </c>
      <c r="C354" s="11" t="inlineStr">
        <is>
          <t>Ciencias</t>
        </is>
      </c>
      <c r="D354" s="11" t="inlineStr">
        <is>
          <t>Matriz_Ciencias_7mo_Grado_U1_U6.xlsx</t>
        </is>
      </c>
      <c r="E354" s="11" t="inlineStr">
        <is>
          <t>Unidad 1 - Compuestos inorgánic</t>
        </is>
      </c>
      <c r="F354" s="11" t="n">
        <v>4</v>
      </c>
      <c r="G354" s="11" t="inlineStr">
        <is>
          <t>1. Compuestos inorgánicos</t>
        </is>
      </c>
      <c r="H354" s="11" t="inlineStr">
        <is>
          <t>Compuestos inorgánicos binarios</t>
        </is>
      </c>
      <c r="I354" s="38" t="inlineStr">
        <is>
          <t>1.2. Formulación y balanceo de ecuaciones de reacción química para la obtención de óxidos.</t>
        </is>
      </c>
      <c r="J354" s="11" t="inlineStr">
        <is>
          <t>T8_27</t>
        </is>
      </c>
      <c r="K354" s="11" t="inlineStr">
        <is>
          <t>T8_27-C3.2</t>
        </is>
      </c>
      <c r="L354" s="11" t="inlineStr"/>
      <c r="M354" s="11">
        <f>IF(K354="FUERA","Fuera del marco",IF(K354="N/A","Sin marco",IFERROR(INDEX('Datos - Catálogo TIMSS'!$C$5:$C$107,MATCH(K354,'Datos - Catálogo TIMSS'!$A$5:$A$107,0)),"Pendiente de clasificar")))</f>
        <v/>
      </c>
      <c r="N354" s="11">
        <f>IF(K354="FUERA","Fuera del marco",IF(K354="N/A","Sin marco",IFERROR(INDEX('Datos - Catálogo TIMSS'!$F$5:$F$107,MATCH(K354,'Datos - Catálogo TIMSS'!$A$5:$A$107,0)),"Pendiente de clasificar")))</f>
        <v/>
      </c>
      <c r="O354" s="11">
        <f>IF(L354="","",IFERROR(INDEX('Datos - Catálogo TIMSS'!$C$5:$C$107,MATCH(L354,'Datos - Catálogo TIMSS'!$A$5:$A$107,0)),"?"))</f>
        <v/>
      </c>
      <c r="P354" s="11" t="inlineStr">
        <is>
          <t>media</t>
        </is>
      </c>
      <c r="Q354" s="38" t="inlineStr">
        <is>
          <t>Balanceo de ecuaciones: conservación de masa y reordenamiento de átomos</t>
        </is>
      </c>
      <c r="R354" s="38" t="inlineStr">
        <is>
          <t>Aplicar: formular y balancear ecuaciones</t>
        </is>
      </c>
      <c r="S354" s="39">
        <f>IFERROR(ISNUMBER(SEARCH("Conocer",$R354))/(ISNUMBER(SEARCH("Conocer",$R354))+ISNUMBER(SEARCH("Aplicar",$R354))+ISNUMBER(SEARCH("Razonar",$R354))),0)</f>
        <v/>
      </c>
      <c r="T354" s="39">
        <f>IFERROR(ISNUMBER(SEARCH("Aplicar",$R354))/(ISNUMBER(SEARCH("Conocer",$R354))+ISNUMBER(SEARCH("Aplicar",$R354))+ISNUMBER(SEARCH("Razonar",$R354))),0)</f>
        <v/>
      </c>
      <c r="U354" s="39">
        <f>IFERROR(ISNUMBER(SEARCH("Razonar",$R354))/(ISNUMBER(SEARCH("Conocer",$R354))+ISNUMBER(SEARCH("Aplicar",$R354))+ISNUMBER(SEARCH("Razonar",$R354))),0)</f>
        <v/>
      </c>
      <c r="V354" s="11" t="inlineStr">
        <is>
          <t>7°</t>
        </is>
      </c>
      <c r="W354" s="11" t="inlineStr">
        <is>
          <t>Ciclo 5°–8°</t>
        </is>
      </c>
      <c r="X354" s="11">
        <f>IF(OR(IFERROR(INDEX('Datos - Catálogo TIMSS'!$I$5:$I$107,MATCH(K354,'Datos - Catálogo TIMSS'!$A$5:$A$107,0)),"No")="Sí",IFERROR(INDEX('Datos - Catálogo TIMSS'!$I$5:$I$107,MATCH(L354,'Datos - Catálogo TIMSS'!$A$5:$A$107,0)),"No")="Sí"),1,0)</f>
        <v/>
      </c>
      <c r="Y354" s="11">
        <f>IF(IFERROR(INDEX('Datos - Catálogo TIMSS'!$J$5:$J$107,MATCH(K354,'Datos - Catálogo TIMSS'!$A$5:$A$107,0)),"No")="Sí",1,0)</f>
        <v/>
      </c>
      <c r="Z354" s="11">
        <f>IF(IFERROR(INDEX('Datos - Catálogo TIMSS'!$J$5:$J$107,MATCH(L354,'Datos - Catálogo TIMSS'!$A$5:$A$107,0)),"No")="Sí",1,0)</f>
        <v/>
      </c>
      <c r="AA354" s="11" t="inlineStr">
        <is>
          <t>T8-Q3.2</t>
        </is>
      </c>
      <c r="AB354" s="11" t="inlineStr">
        <is>
          <t>T8-Q3.1</t>
        </is>
      </c>
      <c r="AC354" s="11">
        <f>IF(AA354="FUERA","Fuera del marco",IF(AA354="N/A","Sin marco",IFERROR(INDEX('Datos - TIMSS 2023'!$C$5:$C$105,MATCH(AA354,'Datos - TIMSS 2023'!$A$5:$A$105,0)),"Pendiente de clasificar")))</f>
        <v/>
      </c>
      <c r="AD354" s="11" t="inlineStr">
        <is>
          <t>2. Construir y evaluar diseños para la indagación científica e interpretar datos y evidencia de forma crítica</t>
        </is>
      </c>
      <c r="AE354" s="11">
        <f>IF(AD354="","",IF(LEFT(AD354,1)="1","C1",IF(LEFT(AD354,1)="2","C2",IF(LEFT(AD354,1)="3","C3",""))))</f>
        <v/>
      </c>
      <c r="AF354" s="11" t="inlineStr">
        <is>
          <t>E1</t>
        </is>
      </c>
      <c r="AG354" s="11" t="inlineStr">
        <is>
          <t>D1</t>
        </is>
      </c>
      <c r="AH354" s="11" t="inlineStr">
        <is>
          <t>E2</t>
        </is>
      </c>
      <c r="AI354" s="11" t="inlineStr">
        <is>
          <t>D4</t>
        </is>
      </c>
      <c r="AJ354" s="11" t="inlineStr">
        <is>
          <t>E3</t>
        </is>
      </c>
      <c r="AK354" s="11" t="inlineStr">
        <is>
          <t>PISA-F2</t>
        </is>
      </c>
      <c r="AL354" s="11" t="n"/>
      <c r="AM354" s="11">
        <f>IF(AK354="FUERA","Fuera del marco",IFERROR(INDEX('Datos - Catálogo PISA'!$C$5:$C$76,MATCH(AK354,'Datos - Catálogo PISA'!$A$5:$A$76,0)),"?"))</f>
        <v/>
      </c>
      <c r="AN354" s="11" t="inlineStr">
        <is>
          <t>Contenido</t>
        </is>
      </c>
      <c r="AO354" s="11" t="n"/>
      <c r="AP354" s="11" t="n"/>
      <c r="AQ354" s="11" t="inlineStr">
        <is>
          <t>Sin contexto</t>
        </is>
      </c>
      <c r="AR354" s="11" t="n"/>
      <c r="AS354" s="11" t="inlineStr">
        <is>
          <t>Media</t>
        </is>
      </c>
      <c r="AT354" s="11" t="inlineStr">
        <is>
          <t>alta</t>
        </is>
      </c>
      <c r="AU354" s="11" t="inlineStr">
        <is>
          <t>Ecuaciones químicas balanceadas de obtención de óxidos</t>
        </is>
      </c>
      <c r="AV354" s="11" t="inlineStr">
        <is>
          <t>Ciclo 7°–9°</t>
        </is>
      </c>
      <c r="AW354" s="11">
        <f>AF354&amp;"; "&amp;AG354&amp;"; "&amp;AH354&amp;"; "&amp;AI354&amp;"; "&amp;AJ354</f>
        <v/>
      </c>
    </row>
    <row r="355">
      <c r="A355" s="11" t="inlineStr">
        <is>
          <t>T0989-G07-CIE</t>
        </is>
      </c>
      <c r="B355" s="11" t="n">
        <v>7</v>
      </c>
      <c r="C355" s="11" t="inlineStr">
        <is>
          <t>Ciencias</t>
        </is>
      </c>
      <c r="D355" s="11" t="inlineStr">
        <is>
          <t>Matriz_Ciencias_7mo_Grado_U1_U6.xlsx</t>
        </is>
      </c>
      <c r="E355" s="11" t="inlineStr">
        <is>
          <t>Unidad 1 - Compuestos inorgánic</t>
        </is>
      </c>
      <c r="F355" s="11" t="n">
        <v>5</v>
      </c>
      <c r="G355" s="11" t="inlineStr">
        <is>
          <t>1. Compuestos inorgánicos</t>
        </is>
      </c>
      <c r="H355" s="11" t="inlineStr">
        <is>
          <t>Compuestos inorgánicos binarios</t>
        </is>
      </c>
      <c r="I355" s="38" t="inlineStr">
        <is>
          <t>1.3. Aplicación de nomenclaturas para denominar compuestos químicos con la función óxido.</t>
        </is>
      </c>
      <c r="J355" s="11" t="inlineStr">
        <is>
          <t>T8_27</t>
        </is>
      </c>
      <c r="K355" s="11" t="inlineStr">
        <is>
          <t>FUERA</t>
        </is>
      </c>
      <c r="L355" s="11" t="inlineStr"/>
      <c r="M355" s="11">
        <f>IF(K355="FUERA","Fuera del marco",IF(K355="N/A","Sin marco",IFERROR(INDEX('Datos - Catálogo TIMSS'!$C$5:$C$107,MATCH(K355,'Datos - Catálogo TIMSS'!$A$5:$A$107,0)),"Pendiente de clasificar")))</f>
        <v/>
      </c>
      <c r="N355" s="11">
        <f>IF(K355="FUERA","Fuera del marco",IF(K355="N/A","Sin marco",IFERROR(INDEX('Datos - Catálogo TIMSS'!$F$5:$F$107,MATCH(K355,'Datos - Catálogo TIMSS'!$A$5:$A$107,0)),"Pendiente de clasificar")))</f>
        <v/>
      </c>
      <c r="O355" s="11">
        <f>IF(L355="","",IFERROR(INDEX('Datos - Catálogo TIMSS'!$C$5:$C$107,MATCH(L355,'Datos - Catálogo TIMSS'!$A$5:$A$107,0)),"?"))</f>
        <v/>
      </c>
      <c r="P355" s="11" t="inlineStr">
        <is>
          <t>media</t>
        </is>
      </c>
      <c r="Q355" s="38" t="inlineStr">
        <is>
          <t>Nomenclatura química es notación, sin objetivo de contenido 2027</t>
        </is>
      </c>
      <c r="R355" s="38" t="inlineStr">
        <is>
          <t>Aplicar: aplicar reglas de nomenclatura</t>
        </is>
      </c>
      <c r="S355" s="39">
        <f>IFERROR(ISNUMBER(SEARCH("Conocer",$R355))/(ISNUMBER(SEARCH("Conocer",$R355))+ISNUMBER(SEARCH("Aplicar",$R355))+ISNUMBER(SEARCH("Razonar",$R355))),0)</f>
        <v/>
      </c>
      <c r="T355" s="39">
        <f>IFERROR(ISNUMBER(SEARCH("Aplicar",$R355))/(ISNUMBER(SEARCH("Conocer",$R355))+ISNUMBER(SEARCH("Aplicar",$R355))+ISNUMBER(SEARCH("Razonar",$R355))),0)</f>
        <v/>
      </c>
      <c r="U355" s="39">
        <f>IFERROR(ISNUMBER(SEARCH("Razonar",$R355))/(ISNUMBER(SEARCH("Conocer",$R355))+ISNUMBER(SEARCH("Aplicar",$R355))+ISNUMBER(SEARCH("Razonar",$R355))),0)</f>
        <v/>
      </c>
      <c r="V355" s="11" t="inlineStr">
        <is>
          <t>7°</t>
        </is>
      </c>
      <c r="W355" s="11" t="inlineStr">
        <is>
          <t>Ciclo 5°–8°</t>
        </is>
      </c>
      <c r="X355" s="11">
        <f>IF(OR(IFERROR(INDEX('Datos - Catálogo TIMSS'!$I$5:$I$107,MATCH(K355,'Datos - Catálogo TIMSS'!$A$5:$A$107,0)),"No")="Sí",IFERROR(INDEX('Datos - Catálogo TIMSS'!$I$5:$I$107,MATCH(L355,'Datos - Catálogo TIMSS'!$A$5:$A$107,0)),"No")="Sí"),1,0)</f>
        <v/>
      </c>
      <c r="Y355" s="11">
        <f>IF(IFERROR(INDEX('Datos - Catálogo TIMSS'!$J$5:$J$107,MATCH(K355,'Datos - Catálogo TIMSS'!$A$5:$A$107,0)),"No")="Sí",1,0)</f>
        <v/>
      </c>
      <c r="Z355" s="11">
        <f>IF(IFERROR(INDEX('Datos - Catálogo TIMSS'!$J$5:$J$107,MATCH(L355,'Datos - Catálogo TIMSS'!$A$5:$A$107,0)),"No")="Sí",1,0)</f>
        <v/>
      </c>
      <c r="AA355" s="11" t="inlineStr">
        <is>
          <t>FUERA</t>
        </is>
      </c>
      <c r="AB355" s="11" t="inlineStr"/>
      <c r="AC355" s="11">
        <f>IF(AA355="FUERA","Fuera del marco",IF(AA355="N/A","Sin marco",IFERROR(INDEX('Datos - TIMSS 2023'!$C$5:$C$105,MATCH(AA355,'Datos - TIMSS 2023'!$A$5:$A$105,0)),"Pendiente de clasificar")))</f>
        <v/>
      </c>
      <c r="AD355" s="11" t="inlineStr">
        <is>
          <t>1. Explicar fenómenos científicamente</t>
        </is>
      </c>
      <c r="AE355" s="11">
        <f>IF(AD355="","",IF(LEFT(AD355,1)="1","C1",IF(LEFT(AD355,1)="2","C2",IF(LEFT(AD355,1)="3","C3",""))))</f>
        <v/>
      </c>
      <c r="AF355" s="11" t="inlineStr">
        <is>
          <t>E1</t>
        </is>
      </c>
      <c r="AG355" s="11" t="inlineStr">
        <is>
          <t>D1</t>
        </is>
      </c>
      <c r="AH355" s="11" t="inlineStr">
        <is>
          <t>E1</t>
        </is>
      </c>
      <c r="AI355" s="11" t="inlineStr">
        <is>
          <t>D4</t>
        </is>
      </c>
      <c r="AJ355" s="11" t="inlineStr">
        <is>
          <t>E1</t>
        </is>
      </c>
      <c r="AK355" s="11" t="inlineStr">
        <is>
          <t>PISA-F1</t>
        </is>
      </c>
      <c r="AL355" s="11" t="n"/>
      <c r="AM355" s="11">
        <f>IF(AK355="FUERA","Fuera del marco",IFERROR(INDEX('Datos - Catálogo PISA'!$C$5:$C$76,MATCH(AK355,'Datos - Catálogo PISA'!$A$5:$A$76,0)),"?"))</f>
        <v/>
      </c>
      <c r="AN355" s="11" t="inlineStr">
        <is>
          <t>Contenido</t>
        </is>
      </c>
      <c r="AO355" s="11" t="n"/>
      <c r="AP355" s="11" t="n"/>
      <c r="AQ355" s="11" t="inlineStr">
        <is>
          <t>Sin contexto</t>
        </is>
      </c>
      <c r="AR355" s="11" t="n"/>
      <c r="AS355" s="11" t="inlineStr">
        <is>
          <t>Media</t>
        </is>
      </c>
      <c r="AT355" s="11" t="inlineStr">
        <is>
          <t>media</t>
        </is>
      </c>
      <c r="AU355" s="11" t="inlineStr">
        <is>
          <t>Nomenclatura de óxidos: composición de sustancias</t>
        </is>
      </c>
      <c r="AV355" s="11" t="inlineStr">
        <is>
          <t>Ciclo 7°–9°</t>
        </is>
      </c>
      <c r="AW355" s="11">
        <f>AF355&amp;"; "&amp;AG355&amp;"; "&amp;AH355&amp;"; "&amp;AI355&amp;"; "&amp;AJ355</f>
        <v/>
      </c>
    </row>
    <row r="356">
      <c r="A356" s="11" t="inlineStr">
        <is>
          <t>T0990-G07-CIE</t>
        </is>
      </c>
      <c r="B356" s="11" t="n">
        <v>7</v>
      </c>
      <c r="C356" s="11" t="inlineStr">
        <is>
          <t>Ciencias</t>
        </is>
      </c>
      <c r="D356" s="11" t="inlineStr">
        <is>
          <t>Matriz_Ciencias_7mo_Grado_U1_U6.xlsx</t>
        </is>
      </c>
      <c r="E356" s="11" t="inlineStr">
        <is>
          <t>Unidad 1 - Compuestos inorgánic</t>
        </is>
      </c>
      <c r="F356" s="11" t="n">
        <v>6</v>
      </c>
      <c r="G356" s="11" t="inlineStr">
        <is>
          <t>1. Compuestos inorgánicos</t>
        </is>
      </c>
      <c r="H356" s="11" t="inlineStr">
        <is>
          <t>Compuestos inorgánicos binarios</t>
        </is>
      </c>
      <c r="I356" s="38" t="inlineStr">
        <is>
          <t>1.4. Identificación de hidruros, hidrácidos y sales binarias en productos de uso cotidiano.</t>
        </is>
      </c>
      <c r="J356" s="11" t="inlineStr">
        <is>
          <t>T8_27</t>
        </is>
      </c>
      <c r="K356" s="11" t="inlineStr">
        <is>
          <t>T8_27-C1.2</t>
        </is>
      </c>
      <c r="L356" s="11" t="inlineStr"/>
      <c r="M356" s="11">
        <f>IF(K356="FUERA","Fuera del marco",IF(K356="N/A","Sin marco",IFERROR(INDEX('Datos - Catálogo TIMSS'!$C$5:$C$107,MATCH(K356,'Datos - Catálogo TIMSS'!$A$5:$A$107,0)),"Pendiente de clasificar")))</f>
        <v/>
      </c>
      <c r="N356" s="11">
        <f>IF(K356="FUERA","Fuera del marco",IF(K356="N/A","Sin marco",IFERROR(INDEX('Datos - Catálogo TIMSS'!$F$5:$F$107,MATCH(K356,'Datos - Catálogo TIMSS'!$A$5:$A$107,0)),"Pendiente de clasificar")))</f>
        <v/>
      </c>
      <c r="O356" s="11">
        <f>IF(L356="","",IFERROR(INDEX('Datos - Catálogo TIMSS'!$C$5:$C$107,MATCH(L356,'Datos - Catálogo TIMSS'!$A$5:$A$107,0)),"?"))</f>
        <v/>
      </c>
      <c r="P356" s="11" t="inlineStr">
        <is>
          <t>media</t>
        </is>
      </c>
      <c r="Q356" s="38" t="inlineStr">
        <is>
          <t>Hidruros, hidrácidos y sales como compuestos en productos cotidianos</t>
        </is>
      </c>
      <c r="R356" s="38" t="inlineStr">
        <is>
          <t>Conocer: identificar. Razonar: justificar</t>
        </is>
      </c>
      <c r="S356" s="39">
        <f>IFERROR(ISNUMBER(SEARCH("Conocer",$R356))/(ISNUMBER(SEARCH("Conocer",$R356))+ISNUMBER(SEARCH("Aplicar",$R356))+ISNUMBER(SEARCH("Razonar",$R356))),0)</f>
        <v/>
      </c>
      <c r="T356" s="39">
        <f>IFERROR(ISNUMBER(SEARCH("Aplicar",$R356))/(ISNUMBER(SEARCH("Conocer",$R356))+ISNUMBER(SEARCH("Aplicar",$R356))+ISNUMBER(SEARCH("Razonar",$R356))),0)</f>
        <v/>
      </c>
      <c r="U356" s="39">
        <f>IFERROR(ISNUMBER(SEARCH("Razonar",$R356))/(ISNUMBER(SEARCH("Conocer",$R356))+ISNUMBER(SEARCH("Aplicar",$R356))+ISNUMBER(SEARCH("Razonar",$R356))),0)</f>
        <v/>
      </c>
      <c r="V356" s="11" t="inlineStr">
        <is>
          <t>7°</t>
        </is>
      </c>
      <c r="W356" s="11" t="inlineStr">
        <is>
          <t>Ciclo 5°–8°</t>
        </is>
      </c>
      <c r="X356" s="11">
        <f>IF(OR(IFERROR(INDEX('Datos - Catálogo TIMSS'!$I$5:$I$107,MATCH(K356,'Datos - Catálogo TIMSS'!$A$5:$A$107,0)),"No")="Sí",IFERROR(INDEX('Datos - Catálogo TIMSS'!$I$5:$I$107,MATCH(L356,'Datos - Catálogo TIMSS'!$A$5:$A$107,0)),"No")="Sí"),1,0)</f>
        <v/>
      </c>
      <c r="Y356" s="11">
        <f>IF(IFERROR(INDEX('Datos - Catálogo TIMSS'!$J$5:$J$107,MATCH(K356,'Datos - Catálogo TIMSS'!$A$5:$A$107,0)),"No")="Sí",1,0)</f>
        <v/>
      </c>
      <c r="Z356" s="11">
        <f>IF(IFERROR(INDEX('Datos - Catálogo TIMSS'!$J$5:$J$107,MATCH(L356,'Datos - Catálogo TIMSS'!$A$5:$A$107,0)),"No")="Sí",1,0)</f>
        <v/>
      </c>
      <c r="AA356" s="11" t="inlineStr">
        <is>
          <t>T8-Q1.2</t>
        </is>
      </c>
      <c r="AB356" s="11" t="inlineStr"/>
      <c r="AC356" s="11">
        <f>IF(AA356="FUERA","Fuera del marco",IF(AA356="N/A","Sin marco",IFERROR(INDEX('Datos - TIMSS 2023'!$C$5:$C$105,MATCH(AA356,'Datos - TIMSS 2023'!$A$5:$A$105,0)),"Pendiente de clasificar")))</f>
        <v/>
      </c>
      <c r="AD356" s="11" t="inlineStr">
        <is>
          <t>1. Explicar fenómenos científicamente</t>
        </is>
      </c>
      <c r="AE356" s="11">
        <f>IF(AD356="","",IF(LEFT(AD356,1)="1","C1",IF(LEFT(AD356,1)="2","C2",IF(LEFT(AD356,1)="3","C3",""))))</f>
        <v/>
      </c>
      <c r="AF356" s="11" t="inlineStr">
        <is>
          <t>E1</t>
        </is>
      </c>
      <c r="AG356" s="11" t="inlineStr">
        <is>
          <t>D1</t>
        </is>
      </c>
      <c r="AH356" s="11" t="inlineStr">
        <is>
          <t>E1</t>
        </is>
      </c>
      <c r="AI356" s="11" t="inlineStr">
        <is>
          <t>D4</t>
        </is>
      </c>
      <c r="AJ356" s="11" t="inlineStr">
        <is>
          <t>I5</t>
        </is>
      </c>
      <c r="AK356" s="11" t="inlineStr">
        <is>
          <t>PISA-F1</t>
        </is>
      </c>
      <c r="AL356" s="11" t="n"/>
      <c r="AM356" s="11">
        <f>IF(AK356="FUERA","Fuera del marco",IFERROR(INDEX('Datos - Catálogo PISA'!$C$5:$C$76,MATCH(AK356,'Datos - Catálogo PISA'!$A$5:$A$76,0)),"?"))</f>
        <v/>
      </c>
      <c r="AN356" s="11" t="inlineStr">
        <is>
          <t>Contenido</t>
        </is>
      </c>
      <c r="AO356" s="11" t="n"/>
      <c r="AP356" s="11" t="n"/>
      <c r="AQ356" s="11" t="inlineStr">
        <is>
          <t>Personal</t>
        </is>
      </c>
      <c r="AR356" s="11" t="inlineStr">
        <is>
          <t>Avances y desafíos científicos y tecnológicos</t>
        </is>
      </c>
      <c r="AS356" s="11" t="inlineStr">
        <is>
          <t>Baja</t>
        </is>
      </c>
      <c r="AT356" s="11" t="inlineStr">
        <is>
          <t>media</t>
        </is>
      </c>
      <c r="AU356" s="11" t="inlineStr">
        <is>
          <t>Identifica compuestos binarios en productos de uso cotidiano</t>
        </is>
      </c>
      <c r="AV356" s="11" t="inlineStr">
        <is>
          <t>Ciclo 7°–9°</t>
        </is>
      </c>
      <c r="AW356" s="11">
        <f>AF356&amp;"; "&amp;AG356&amp;"; "&amp;AH356&amp;"; "&amp;AI356&amp;"; "&amp;AJ356</f>
        <v/>
      </c>
    </row>
    <row r="357">
      <c r="A357" s="11" t="inlineStr">
        <is>
          <t>T0991-G07-CIE</t>
        </is>
      </c>
      <c r="B357" s="11" t="n">
        <v>7</v>
      </c>
      <c r="C357" s="11" t="inlineStr">
        <is>
          <t>Ciencias</t>
        </is>
      </c>
      <c r="D357" s="11" t="inlineStr">
        <is>
          <t>Matriz_Ciencias_7mo_Grado_U1_U6.xlsx</t>
        </is>
      </c>
      <c r="E357" s="11" t="inlineStr">
        <is>
          <t>Unidad 1 - Compuestos inorgánic</t>
        </is>
      </c>
      <c r="F357" s="11" t="n">
        <v>7</v>
      </c>
      <c r="G357" s="11" t="inlineStr">
        <is>
          <t>1. Compuestos inorgánicos</t>
        </is>
      </c>
      <c r="H357" s="11" t="inlineStr">
        <is>
          <t>Compuestos inorgánicos binarios</t>
        </is>
      </c>
      <c r="I357" s="38" t="inlineStr">
        <is>
          <t>1.5. Formulación y balanceo de ecuaciones de reacción química para la obtención de hidruros, hidrácidos y sales binarias.</t>
        </is>
      </c>
      <c r="J357" s="11" t="inlineStr">
        <is>
          <t>T8_27</t>
        </is>
      </c>
      <c r="K357" s="11" t="inlineStr">
        <is>
          <t>T8_27-C3.2</t>
        </is>
      </c>
      <c r="L357" s="11" t="inlineStr"/>
      <c r="M357" s="11">
        <f>IF(K357="FUERA","Fuera del marco",IF(K357="N/A","Sin marco",IFERROR(INDEX('Datos - Catálogo TIMSS'!$C$5:$C$107,MATCH(K357,'Datos - Catálogo TIMSS'!$A$5:$A$107,0)),"Pendiente de clasificar")))</f>
        <v/>
      </c>
      <c r="N357" s="11">
        <f>IF(K357="FUERA","Fuera del marco",IF(K357="N/A","Sin marco",IFERROR(INDEX('Datos - Catálogo TIMSS'!$F$5:$F$107,MATCH(K357,'Datos - Catálogo TIMSS'!$A$5:$A$107,0)),"Pendiente de clasificar")))</f>
        <v/>
      </c>
      <c r="O357" s="11">
        <f>IF(L357="","",IFERROR(INDEX('Datos - Catálogo TIMSS'!$C$5:$C$107,MATCH(L357,'Datos - Catálogo TIMSS'!$A$5:$A$107,0)),"?"))</f>
        <v/>
      </c>
      <c r="P357" s="11" t="inlineStr">
        <is>
          <t>media</t>
        </is>
      </c>
      <c r="Q357" s="38" t="inlineStr">
        <is>
          <t>Balanceo de ecuaciones: conservación de masa y reordenamiento de átomos</t>
        </is>
      </c>
      <c r="R357" s="38" t="inlineStr">
        <is>
          <t>Aplicar: formular y balancear ecuaciones</t>
        </is>
      </c>
      <c r="S357" s="39">
        <f>IFERROR(ISNUMBER(SEARCH("Conocer",$R357))/(ISNUMBER(SEARCH("Conocer",$R357))+ISNUMBER(SEARCH("Aplicar",$R357))+ISNUMBER(SEARCH("Razonar",$R357))),0)</f>
        <v/>
      </c>
      <c r="T357" s="39">
        <f>IFERROR(ISNUMBER(SEARCH("Aplicar",$R357))/(ISNUMBER(SEARCH("Conocer",$R357))+ISNUMBER(SEARCH("Aplicar",$R357))+ISNUMBER(SEARCH("Razonar",$R357))),0)</f>
        <v/>
      </c>
      <c r="U357" s="39">
        <f>IFERROR(ISNUMBER(SEARCH("Razonar",$R357))/(ISNUMBER(SEARCH("Conocer",$R357))+ISNUMBER(SEARCH("Aplicar",$R357))+ISNUMBER(SEARCH("Razonar",$R357))),0)</f>
        <v/>
      </c>
      <c r="V357" s="11" t="inlineStr">
        <is>
          <t>7°</t>
        </is>
      </c>
      <c r="W357" s="11" t="inlineStr">
        <is>
          <t>Ciclo 5°–8°</t>
        </is>
      </c>
      <c r="X357" s="11">
        <f>IF(OR(IFERROR(INDEX('Datos - Catálogo TIMSS'!$I$5:$I$107,MATCH(K357,'Datos - Catálogo TIMSS'!$A$5:$A$107,0)),"No")="Sí",IFERROR(INDEX('Datos - Catálogo TIMSS'!$I$5:$I$107,MATCH(L357,'Datos - Catálogo TIMSS'!$A$5:$A$107,0)),"No")="Sí"),1,0)</f>
        <v/>
      </c>
      <c r="Y357" s="11">
        <f>IF(IFERROR(INDEX('Datos - Catálogo TIMSS'!$J$5:$J$107,MATCH(K357,'Datos - Catálogo TIMSS'!$A$5:$A$107,0)),"No")="Sí",1,0)</f>
        <v/>
      </c>
      <c r="Z357" s="11">
        <f>IF(IFERROR(INDEX('Datos - Catálogo TIMSS'!$J$5:$J$107,MATCH(L357,'Datos - Catálogo TIMSS'!$A$5:$A$107,0)),"No")="Sí",1,0)</f>
        <v/>
      </c>
      <c r="AA357" s="11" t="inlineStr">
        <is>
          <t>T8-Q3.2</t>
        </is>
      </c>
      <c r="AB357" s="11" t="inlineStr">
        <is>
          <t>T8-Q3.1</t>
        </is>
      </c>
      <c r="AC357" s="11">
        <f>IF(AA357="FUERA","Fuera del marco",IF(AA357="N/A","Sin marco",IFERROR(INDEX('Datos - TIMSS 2023'!$C$5:$C$105,MATCH(AA357,'Datos - TIMSS 2023'!$A$5:$A$105,0)),"Pendiente de clasificar")))</f>
        <v/>
      </c>
      <c r="AD357" s="11" t="inlineStr">
        <is>
          <t>2. Construir y evaluar diseños para la indagación científica e interpretar datos y evidencia de forma crítica</t>
        </is>
      </c>
      <c r="AE357" s="11">
        <f>IF(AD357="","",IF(LEFT(AD357,1)="1","C1",IF(LEFT(AD357,1)="2","C2",IF(LEFT(AD357,1)="3","C3",""))))</f>
        <v/>
      </c>
      <c r="AF357" s="11" t="inlineStr">
        <is>
          <t>E1</t>
        </is>
      </c>
      <c r="AG357" s="11" t="inlineStr">
        <is>
          <t>D1</t>
        </is>
      </c>
      <c r="AH357" s="11" t="inlineStr">
        <is>
          <t>E2</t>
        </is>
      </c>
      <c r="AI357" s="11" t="inlineStr">
        <is>
          <t>D4</t>
        </is>
      </c>
      <c r="AJ357" s="11" t="inlineStr">
        <is>
          <t>E3</t>
        </is>
      </c>
      <c r="AK357" s="11" t="inlineStr">
        <is>
          <t>PISA-F2</t>
        </is>
      </c>
      <c r="AL357" s="11" t="n"/>
      <c r="AM357" s="11">
        <f>IF(AK357="FUERA","Fuera del marco",IFERROR(INDEX('Datos - Catálogo PISA'!$C$5:$C$76,MATCH(AK357,'Datos - Catálogo PISA'!$A$5:$A$76,0)),"?"))</f>
        <v/>
      </c>
      <c r="AN357" s="11" t="inlineStr">
        <is>
          <t>Contenido</t>
        </is>
      </c>
      <c r="AO357" s="11" t="n"/>
      <c r="AP357" s="11" t="n"/>
      <c r="AQ357" s="11" t="inlineStr">
        <is>
          <t>Sin contexto</t>
        </is>
      </c>
      <c r="AR357" s="11" t="n"/>
      <c r="AS357" s="11" t="inlineStr">
        <is>
          <t>Media</t>
        </is>
      </c>
      <c r="AT357" s="11" t="inlineStr">
        <is>
          <t>alta</t>
        </is>
      </c>
      <c r="AU357" s="11" t="inlineStr">
        <is>
          <t>Ecuaciones balanceadas de obtención de hidruros, hidrácidos y sales</t>
        </is>
      </c>
      <c r="AV357" s="11" t="inlineStr">
        <is>
          <t>Ciclo 7°–9°</t>
        </is>
      </c>
      <c r="AW357" s="11">
        <f>AF357&amp;"; "&amp;AG357&amp;"; "&amp;AH357&amp;"; "&amp;AI357&amp;"; "&amp;AJ357</f>
        <v/>
      </c>
    </row>
    <row r="358">
      <c r="A358" s="11" t="inlineStr">
        <is>
          <t>T0992-G07-CIE</t>
        </is>
      </c>
      <c r="B358" s="11" t="n">
        <v>7</v>
      </c>
      <c r="C358" s="11" t="inlineStr">
        <is>
          <t>Ciencias</t>
        </is>
      </c>
      <c r="D358" s="11" t="inlineStr">
        <is>
          <t>Matriz_Ciencias_7mo_Grado_U1_U6.xlsx</t>
        </is>
      </c>
      <c r="E358" s="11" t="inlineStr">
        <is>
          <t>Unidad 1 - Compuestos inorgánic</t>
        </is>
      </c>
      <c r="F358" s="11" t="n">
        <v>8</v>
      </c>
      <c r="G358" s="11" t="inlineStr">
        <is>
          <t>1. Compuestos inorgánicos</t>
        </is>
      </c>
      <c r="H358" s="11" t="inlineStr">
        <is>
          <t>Compuestos inorgánicos binarios</t>
        </is>
      </c>
      <c r="I358" s="38" t="inlineStr">
        <is>
          <t>1.6. Aplicación de nomenclaturas químicas para denominar hidruros, hidrácidos y sales binarias.</t>
        </is>
      </c>
      <c r="J358" s="11" t="inlineStr">
        <is>
          <t>T8_27</t>
        </is>
      </c>
      <c r="K358" s="11" t="inlineStr">
        <is>
          <t>FUERA</t>
        </is>
      </c>
      <c r="L358" s="11" t="inlineStr"/>
      <c r="M358" s="11">
        <f>IF(K358="FUERA","Fuera del marco",IF(K358="N/A","Sin marco",IFERROR(INDEX('Datos - Catálogo TIMSS'!$C$5:$C$107,MATCH(K358,'Datos - Catálogo TIMSS'!$A$5:$A$107,0)),"Pendiente de clasificar")))</f>
        <v/>
      </c>
      <c r="N358" s="11">
        <f>IF(K358="FUERA","Fuera del marco",IF(K358="N/A","Sin marco",IFERROR(INDEX('Datos - Catálogo TIMSS'!$F$5:$F$107,MATCH(K358,'Datos - Catálogo TIMSS'!$A$5:$A$107,0)),"Pendiente de clasificar")))</f>
        <v/>
      </c>
      <c r="O358" s="11">
        <f>IF(L358="","",IFERROR(INDEX('Datos - Catálogo TIMSS'!$C$5:$C$107,MATCH(L358,'Datos - Catálogo TIMSS'!$A$5:$A$107,0)),"?"))</f>
        <v/>
      </c>
      <c r="P358" s="11" t="inlineStr">
        <is>
          <t>media</t>
        </is>
      </c>
      <c r="Q358" s="38" t="inlineStr">
        <is>
          <t>Nomenclatura química es notación, sin objetivo de contenido 2027</t>
        </is>
      </c>
      <c r="R358" s="38" t="inlineStr">
        <is>
          <t>Aplicar: aplicar reglas de nomenclatura</t>
        </is>
      </c>
      <c r="S358" s="39">
        <f>IFERROR(ISNUMBER(SEARCH("Conocer",$R358))/(ISNUMBER(SEARCH("Conocer",$R358))+ISNUMBER(SEARCH("Aplicar",$R358))+ISNUMBER(SEARCH("Razonar",$R358))),0)</f>
        <v/>
      </c>
      <c r="T358" s="39">
        <f>IFERROR(ISNUMBER(SEARCH("Aplicar",$R358))/(ISNUMBER(SEARCH("Conocer",$R358))+ISNUMBER(SEARCH("Aplicar",$R358))+ISNUMBER(SEARCH("Razonar",$R358))),0)</f>
        <v/>
      </c>
      <c r="U358" s="39">
        <f>IFERROR(ISNUMBER(SEARCH("Razonar",$R358))/(ISNUMBER(SEARCH("Conocer",$R358))+ISNUMBER(SEARCH("Aplicar",$R358))+ISNUMBER(SEARCH("Razonar",$R358))),0)</f>
        <v/>
      </c>
      <c r="V358" s="11" t="inlineStr">
        <is>
          <t>7°</t>
        </is>
      </c>
      <c r="W358" s="11" t="inlineStr">
        <is>
          <t>Ciclo 5°–8°</t>
        </is>
      </c>
      <c r="X358" s="11">
        <f>IF(OR(IFERROR(INDEX('Datos - Catálogo TIMSS'!$I$5:$I$107,MATCH(K358,'Datos - Catálogo TIMSS'!$A$5:$A$107,0)),"No")="Sí",IFERROR(INDEX('Datos - Catálogo TIMSS'!$I$5:$I$107,MATCH(L358,'Datos - Catálogo TIMSS'!$A$5:$A$107,0)),"No")="Sí"),1,0)</f>
        <v/>
      </c>
      <c r="Y358" s="11">
        <f>IF(IFERROR(INDEX('Datos - Catálogo TIMSS'!$J$5:$J$107,MATCH(K358,'Datos - Catálogo TIMSS'!$A$5:$A$107,0)),"No")="Sí",1,0)</f>
        <v/>
      </c>
      <c r="Z358" s="11">
        <f>IF(IFERROR(INDEX('Datos - Catálogo TIMSS'!$J$5:$J$107,MATCH(L358,'Datos - Catálogo TIMSS'!$A$5:$A$107,0)),"No")="Sí",1,0)</f>
        <v/>
      </c>
      <c r="AA358" s="11" t="inlineStr">
        <is>
          <t>FUERA</t>
        </is>
      </c>
      <c r="AB358" s="11" t="inlineStr"/>
      <c r="AC358" s="11">
        <f>IF(AA358="FUERA","Fuera del marco",IF(AA358="N/A","Sin marco",IFERROR(INDEX('Datos - TIMSS 2023'!$C$5:$C$105,MATCH(AA358,'Datos - TIMSS 2023'!$A$5:$A$105,0)),"Pendiente de clasificar")))</f>
        <v/>
      </c>
      <c r="AD358" s="11" t="inlineStr">
        <is>
          <t>1. Explicar fenómenos científicamente</t>
        </is>
      </c>
      <c r="AE358" s="11">
        <f>IF(AD358="","",IF(LEFT(AD358,1)="1","C1",IF(LEFT(AD358,1)="2","C2",IF(LEFT(AD358,1)="3","C3",""))))</f>
        <v/>
      </c>
      <c r="AF358" s="11" t="inlineStr">
        <is>
          <t>E1</t>
        </is>
      </c>
      <c r="AG358" s="11" t="inlineStr">
        <is>
          <t>D1</t>
        </is>
      </c>
      <c r="AH358" s="11" t="inlineStr">
        <is>
          <t>E1</t>
        </is>
      </c>
      <c r="AI358" s="11" t="inlineStr">
        <is>
          <t>D4</t>
        </is>
      </c>
      <c r="AJ358" s="11" t="inlineStr">
        <is>
          <t>E1</t>
        </is>
      </c>
      <c r="AK358" s="11" t="inlineStr">
        <is>
          <t>PISA-F1</t>
        </is>
      </c>
      <c r="AL358" s="11" t="n"/>
      <c r="AM358" s="11">
        <f>IF(AK358="FUERA","Fuera del marco",IFERROR(INDEX('Datos - Catálogo PISA'!$C$5:$C$76,MATCH(AK358,'Datos - Catálogo PISA'!$A$5:$A$76,0)),"?"))</f>
        <v/>
      </c>
      <c r="AN358" s="11" t="inlineStr">
        <is>
          <t>Contenido</t>
        </is>
      </c>
      <c r="AO358" s="11" t="n"/>
      <c r="AP358" s="11" t="n"/>
      <c r="AQ358" s="11" t="inlineStr">
        <is>
          <t>Sin contexto</t>
        </is>
      </c>
      <c r="AR358" s="11" t="n"/>
      <c r="AS358" s="11" t="inlineStr">
        <is>
          <t>Media</t>
        </is>
      </c>
      <c r="AT358" s="11" t="inlineStr">
        <is>
          <t>media</t>
        </is>
      </c>
      <c r="AU358" s="11" t="inlineStr">
        <is>
          <t>Nomenclatura de compuestos binarios: composición de la materia</t>
        </is>
      </c>
      <c r="AV358" s="11" t="inlineStr">
        <is>
          <t>Ciclo 7°–9°</t>
        </is>
      </c>
      <c r="AW358" s="11">
        <f>AF358&amp;"; "&amp;AG358&amp;"; "&amp;AH358&amp;"; "&amp;AI358&amp;"; "&amp;AJ358</f>
        <v/>
      </c>
    </row>
    <row r="359">
      <c r="A359" s="11" t="inlineStr">
        <is>
          <t>T0993-G07-CIE</t>
        </is>
      </c>
      <c r="B359" s="11" t="n">
        <v>7</v>
      </c>
      <c r="C359" s="11" t="inlineStr">
        <is>
          <t>Ciencias</t>
        </is>
      </c>
      <c r="D359" s="11" t="inlineStr">
        <is>
          <t>Matriz_Ciencias_7mo_Grado_U1_U6.xlsx</t>
        </is>
      </c>
      <c r="E359" s="11" t="inlineStr">
        <is>
          <t>Unidad 1 - Compuestos inorgánic</t>
        </is>
      </c>
      <c r="F359" s="11" t="n">
        <v>9</v>
      </c>
      <c r="G359" s="11" t="inlineStr">
        <is>
          <t>1. Compuestos inorgánicos</t>
        </is>
      </c>
      <c r="H359" s="11" t="inlineStr">
        <is>
          <t>Compuestos inorgánicos ternarios</t>
        </is>
      </c>
      <c r="I359" s="38" t="inlineStr">
        <is>
          <t>1.7. Identificación de hidróxidos y oxácidos en productos de uso cotidiano.</t>
        </is>
      </c>
      <c r="J359" s="11" t="inlineStr">
        <is>
          <t>T8_27</t>
        </is>
      </c>
      <c r="K359" s="11" t="inlineStr">
        <is>
          <t>T8_27-C2.3</t>
        </is>
      </c>
      <c r="L359" s="11" t="inlineStr">
        <is>
          <t>T8_27-C1.2</t>
        </is>
      </c>
      <c r="M359" s="11">
        <f>IF(K359="FUERA","Fuera del marco",IF(K359="N/A","Sin marco",IFERROR(INDEX('Datos - Catálogo TIMSS'!$C$5:$C$107,MATCH(K359,'Datos - Catálogo TIMSS'!$A$5:$A$107,0)),"Pendiente de clasificar")))</f>
        <v/>
      </c>
      <c r="N359" s="11">
        <f>IF(K359="FUERA","Fuera del marco",IF(K359="N/A","Sin marco",IFERROR(INDEX('Datos - Catálogo TIMSS'!$F$5:$F$107,MATCH(K359,'Datos - Catálogo TIMSS'!$A$5:$A$107,0)),"Pendiente de clasificar")))</f>
        <v/>
      </c>
      <c r="O359" s="11">
        <f>IF(L359="","",IFERROR(INDEX('Datos - Catálogo TIMSS'!$C$5:$C$107,MATCH(L359,'Datos - Catálogo TIMSS'!$A$5:$A$107,0)),"?"))</f>
        <v/>
      </c>
      <c r="P359" s="11" t="inlineStr">
        <is>
          <t>alta</t>
        </is>
      </c>
      <c r="Q359" s="38" t="inlineStr">
        <is>
          <t>Clasifica productos ácidos y básicos con indicador; compuestos ternarios</t>
        </is>
      </c>
      <c r="R359" s="38" t="inlineStr">
        <is>
          <t>Aplicar: identificar y clasificar</t>
        </is>
      </c>
      <c r="S359" s="39">
        <f>IFERROR(ISNUMBER(SEARCH("Conocer",$R359))/(ISNUMBER(SEARCH("Conocer",$R359))+ISNUMBER(SEARCH("Aplicar",$R359))+ISNUMBER(SEARCH("Razonar",$R359))),0)</f>
        <v/>
      </c>
      <c r="T359" s="39">
        <f>IFERROR(ISNUMBER(SEARCH("Aplicar",$R359))/(ISNUMBER(SEARCH("Conocer",$R359))+ISNUMBER(SEARCH("Aplicar",$R359))+ISNUMBER(SEARCH("Razonar",$R359))),0)</f>
        <v/>
      </c>
      <c r="U359" s="39">
        <f>IFERROR(ISNUMBER(SEARCH("Razonar",$R359))/(ISNUMBER(SEARCH("Conocer",$R359))+ISNUMBER(SEARCH("Aplicar",$R359))+ISNUMBER(SEARCH("Razonar",$R359))),0)</f>
        <v/>
      </c>
      <c r="V359" s="11" t="inlineStr">
        <is>
          <t>7°</t>
        </is>
      </c>
      <c r="W359" s="11" t="inlineStr">
        <is>
          <t>Ciclo 5°–8°</t>
        </is>
      </c>
      <c r="X359" s="11">
        <f>IF(OR(IFERROR(INDEX('Datos - Catálogo TIMSS'!$I$5:$I$107,MATCH(K359,'Datos - Catálogo TIMSS'!$A$5:$A$107,0)),"No")="Sí",IFERROR(INDEX('Datos - Catálogo TIMSS'!$I$5:$I$107,MATCH(L359,'Datos - Catálogo TIMSS'!$A$5:$A$107,0)),"No")="Sí"),1,0)</f>
        <v/>
      </c>
      <c r="Y359" s="11">
        <f>IF(IFERROR(INDEX('Datos - Catálogo TIMSS'!$J$5:$J$107,MATCH(K359,'Datos - Catálogo TIMSS'!$A$5:$A$107,0)),"No")="Sí",1,0)</f>
        <v/>
      </c>
      <c r="Z359" s="11">
        <f>IF(IFERROR(INDEX('Datos - Catálogo TIMSS'!$J$5:$J$107,MATCH(L359,'Datos - Catálogo TIMSS'!$A$5:$A$107,0)),"No")="Sí",1,0)</f>
        <v/>
      </c>
      <c r="AA359" s="11" t="inlineStr">
        <is>
          <t>T8-Q2.4</t>
        </is>
      </c>
      <c r="AB359" s="11" t="inlineStr">
        <is>
          <t>T8-Q1.2</t>
        </is>
      </c>
      <c r="AC359" s="11">
        <f>IF(AA359="FUERA","Fuera del marco",IF(AA359="N/A","Sin marco",IFERROR(INDEX('Datos - TIMSS 2023'!$C$5:$C$105,MATCH(AA359,'Datos - TIMSS 2023'!$A$5:$A$105,0)),"Pendiente de clasificar")))</f>
        <v/>
      </c>
      <c r="AD359" s="11" t="inlineStr">
        <is>
          <t>1. Explicar fenómenos científicamente</t>
        </is>
      </c>
      <c r="AE359" s="11">
        <f>IF(AD359="","",IF(LEFT(AD359,1)="1","C1",IF(LEFT(AD359,1)="2","C2",IF(LEFT(AD359,1)="3","C3",""))))</f>
        <v/>
      </c>
      <c r="AF359" s="11" t="inlineStr">
        <is>
          <t>E1</t>
        </is>
      </c>
      <c r="AG359" s="11" t="inlineStr">
        <is>
          <t>D1</t>
        </is>
      </c>
      <c r="AH359" s="11" t="inlineStr">
        <is>
          <t>E1</t>
        </is>
      </c>
      <c r="AI359" s="11" t="inlineStr">
        <is>
          <t>D4</t>
        </is>
      </c>
      <c r="AJ359" s="11" t="inlineStr">
        <is>
          <t>E6</t>
        </is>
      </c>
      <c r="AK359" s="11" t="inlineStr">
        <is>
          <t>PISA-F2</t>
        </is>
      </c>
      <c r="AL359" s="11" t="inlineStr">
        <is>
          <t>PISA-F1</t>
        </is>
      </c>
      <c r="AM359" s="11">
        <f>IF(AK359="FUERA","Fuera del marco",IFERROR(INDEX('Datos - Catálogo PISA'!$C$5:$C$76,MATCH(AK359,'Datos - Catálogo PISA'!$A$5:$A$76,0)),"?"))</f>
        <v/>
      </c>
      <c r="AN359" s="11" t="inlineStr">
        <is>
          <t>Contenido</t>
        </is>
      </c>
      <c r="AO359" s="11" t="inlineStr">
        <is>
          <t>PISA-PR2;</t>
        </is>
      </c>
      <c r="AP359" s="11" t="n"/>
      <c r="AQ359" s="11" t="inlineStr">
        <is>
          <t>Personal</t>
        </is>
      </c>
      <c r="AR359" s="11" t="inlineStr">
        <is>
          <t>Avances y desafíos científicos y tecnológicos</t>
        </is>
      </c>
      <c r="AS359" s="11" t="inlineStr">
        <is>
          <t>Media</t>
        </is>
      </c>
      <c r="AT359" s="11" t="inlineStr">
        <is>
          <t>alta</t>
        </is>
      </c>
      <c r="AU359" s="11" t="inlineStr">
        <is>
          <t>Ácidos y bases en productos cotidianos con papel indicador</t>
        </is>
      </c>
      <c r="AV359" s="11" t="inlineStr">
        <is>
          <t>Ciclo 7°–9°</t>
        </is>
      </c>
      <c r="AW359" s="11">
        <f>AF359&amp;"; "&amp;AG359&amp;"; "&amp;AH359&amp;"; "&amp;AI359&amp;"; "&amp;AJ359</f>
        <v/>
      </c>
    </row>
    <row r="360">
      <c r="A360" s="11" t="inlineStr">
        <is>
          <t>T0994-G07-CIE</t>
        </is>
      </c>
      <c r="B360" s="11" t="n">
        <v>7</v>
      </c>
      <c r="C360" s="11" t="inlineStr">
        <is>
          <t>Ciencias</t>
        </is>
      </c>
      <c r="D360" s="11" t="inlineStr">
        <is>
          <t>Matriz_Ciencias_7mo_Grado_U1_U6.xlsx</t>
        </is>
      </c>
      <c r="E360" s="11" t="inlineStr">
        <is>
          <t>Unidad 1 - Compuestos inorgánic</t>
        </is>
      </c>
      <c r="F360" s="11" t="n">
        <v>10</v>
      </c>
      <c r="G360" s="11" t="inlineStr">
        <is>
          <t>1. Compuestos inorgánicos</t>
        </is>
      </c>
      <c r="H360" s="11" t="inlineStr">
        <is>
          <t>Compuestos inorgánicos ternarios</t>
        </is>
      </c>
      <c r="I360" s="38" t="inlineStr">
        <is>
          <t>1.8. Formulación y balanceo de ecuaciones de reacción química para la obtención de hidróxidos y oxácidos.</t>
        </is>
      </c>
      <c r="J360" s="11" t="inlineStr">
        <is>
          <t>T8_27</t>
        </is>
      </c>
      <c r="K360" s="11" t="inlineStr">
        <is>
          <t>T8_27-C3.2</t>
        </is>
      </c>
      <c r="L360" s="11" t="inlineStr"/>
      <c r="M360" s="11">
        <f>IF(K360="FUERA","Fuera del marco",IF(K360="N/A","Sin marco",IFERROR(INDEX('Datos - Catálogo TIMSS'!$C$5:$C$107,MATCH(K360,'Datos - Catálogo TIMSS'!$A$5:$A$107,0)),"Pendiente de clasificar")))</f>
        <v/>
      </c>
      <c r="N360" s="11">
        <f>IF(K360="FUERA","Fuera del marco",IF(K360="N/A","Sin marco",IFERROR(INDEX('Datos - Catálogo TIMSS'!$F$5:$F$107,MATCH(K360,'Datos - Catálogo TIMSS'!$A$5:$A$107,0)),"Pendiente de clasificar")))</f>
        <v/>
      </c>
      <c r="O360" s="11">
        <f>IF(L360="","",IFERROR(INDEX('Datos - Catálogo TIMSS'!$C$5:$C$107,MATCH(L360,'Datos - Catálogo TIMSS'!$A$5:$A$107,0)),"?"))</f>
        <v/>
      </c>
      <c r="P360" s="11" t="inlineStr">
        <is>
          <t>media</t>
        </is>
      </c>
      <c r="Q360" s="38" t="inlineStr">
        <is>
          <t>Balanceo de ecuaciones: conservación de masa y reordenamiento de átomos</t>
        </is>
      </c>
      <c r="R360" s="38" t="inlineStr">
        <is>
          <t>Aplicar: formular y balancear ecuaciones</t>
        </is>
      </c>
      <c r="S360" s="39">
        <f>IFERROR(ISNUMBER(SEARCH("Conocer",$R360))/(ISNUMBER(SEARCH("Conocer",$R360))+ISNUMBER(SEARCH("Aplicar",$R360))+ISNUMBER(SEARCH("Razonar",$R360))),0)</f>
        <v/>
      </c>
      <c r="T360" s="39">
        <f>IFERROR(ISNUMBER(SEARCH("Aplicar",$R360))/(ISNUMBER(SEARCH("Conocer",$R360))+ISNUMBER(SEARCH("Aplicar",$R360))+ISNUMBER(SEARCH("Razonar",$R360))),0)</f>
        <v/>
      </c>
      <c r="U360" s="39">
        <f>IFERROR(ISNUMBER(SEARCH("Razonar",$R360))/(ISNUMBER(SEARCH("Conocer",$R360))+ISNUMBER(SEARCH("Aplicar",$R360))+ISNUMBER(SEARCH("Razonar",$R360))),0)</f>
        <v/>
      </c>
      <c r="V360" s="11" t="inlineStr">
        <is>
          <t>7°</t>
        </is>
      </c>
      <c r="W360" s="11" t="inlineStr">
        <is>
          <t>Ciclo 5°–8°</t>
        </is>
      </c>
      <c r="X360" s="11">
        <f>IF(OR(IFERROR(INDEX('Datos - Catálogo TIMSS'!$I$5:$I$107,MATCH(K360,'Datos - Catálogo TIMSS'!$A$5:$A$107,0)),"No")="Sí",IFERROR(INDEX('Datos - Catálogo TIMSS'!$I$5:$I$107,MATCH(L360,'Datos - Catálogo TIMSS'!$A$5:$A$107,0)),"No")="Sí"),1,0)</f>
        <v/>
      </c>
      <c r="Y360" s="11">
        <f>IF(IFERROR(INDEX('Datos - Catálogo TIMSS'!$J$5:$J$107,MATCH(K360,'Datos - Catálogo TIMSS'!$A$5:$A$107,0)),"No")="Sí",1,0)</f>
        <v/>
      </c>
      <c r="Z360" s="11">
        <f>IF(IFERROR(INDEX('Datos - Catálogo TIMSS'!$J$5:$J$107,MATCH(L360,'Datos - Catálogo TIMSS'!$A$5:$A$107,0)),"No")="Sí",1,0)</f>
        <v/>
      </c>
      <c r="AA360" s="11" t="inlineStr">
        <is>
          <t>T8-Q3.2</t>
        </is>
      </c>
      <c r="AB360" s="11" t="inlineStr">
        <is>
          <t>T8-Q3.1</t>
        </is>
      </c>
      <c r="AC360" s="11">
        <f>IF(AA360="FUERA","Fuera del marco",IF(AA360="N/A","Sin marco",IFERROR(INDEX('Datos - TIMSS 2023'!$C$5:$C$105,MATCH(AA360,'Datos - TIMSS 2023'!$A$5:$A$105,0)),"Pendiente de clasificar")))</f>
        <v/>
      </c>
      <c r="AD360" s="11" t="inlineStr">
        <is>
          <t>2. Construir y evaluar diseños para la indagación científica e interpretar datos y evidencia de forma crítica</t>
        </is>
      </c>
      <c r="AE360" s="11">
        <f>IF(AD360="","",IF(LEFT(AD360,1)="1","C1",IF(LEFT(AD360,1)="2","C2",IF(LEFT(AD360,1)="3","C3",""))))</f>
        <v/>
      </c>
      <c r="AF360" s="11" t="inlineStr">
        <is>
          <t>E1</t>
        </is>
      </c>
      <c r="AG360" s="11" t="inlineStr">
        <is>
          <t>D1</t>
        </is>
      </c>
      <c r="AH360" s="11" t="inlineStr">
        <is>
          <t>E2</t>
        </is>
      </c>
      <c r="AI360" s="11" t="inlineStr">
        <is>
          <t>D4</t>
        </is>
      </c>
      <c r="AJ360" s="11" t="inlineStr">
        <is>
          <t>E3</t>
        </is>
      </c>
      <c r="AK360" s="11" t="inlineStr">
        <is>
          <t>PISA-F2</t>
        </is>
      </c>
      <c r="AL360" s="11" t="n"/>
      <c r="AM360" s="11">
        <f>IF(AK360="FUERA","Fuera del marco",IFERROR(INDEX('Datos - Catálogo PISA'!$C$5:$C$76,MATCH(AK360,'Datos - Catálogo PISA'!$A$5:$A$76,0)),"?"))</f>
        <v/>
      </c>
      <c r="AN360" s="11" t="inlineStr">
        <is>
          <t>Contenido</t>
        </is>
      </c>
      <c r="AO360" s="11" t="n"/>
      <c r="AP360" s="11" t="n"/>
      <c r="AQ360" s="11" t="inlineStr">
        <is>
          <t>Sin contexto</t>
        </is>
      </c>
      <c r="AR360" s="11" t="n"/>
      <c r="AS360" s="11" t="inlineStr">
        <is>
          <t>Media</t>
        </is>
      </c>
      <c r="AT360" s="11" t="inlineStr">
        <is>
          <t>alta</t>
        </is>
      </c>
      <c r="AU360" s="11" t="inlineStr">
        <is>
          <t>Ecuaciones de obtención de hidróxidos y oxácidos</t>
        </is>
      </c>
      <c r="AV360" s="11" t="inlineStr">
        <is>
          <t>Ciclo 7°–9°</t>
        </is>
      </c>
      <c r="AW360" s="11">
        <f>AF360&amp;"; "&amp;AG360&amp;"; "&amp;AH360&amp;"; "&amp;AI360&amp;"; "&amp;AJ360</f>
        <v/>
      </c>
    </row>
    <row r="361">
      <c r="A361" s="11" t="inlineStr">
        <is>
          <t>T0995-G07-CIE</t>
        </is>
      </c>
      <c r="B361" s="11" t="n">
        <v>7</v>
      </c>
      <c r="C361" s="11" t="inlineStr">
        <is>
          <t>Ciencias</t>
        </is>
      </c>
      <c r="D361" s="11" t="inlineStr">
        <is>
          <t>Matriz_Ciencias_7mo_Grado_U1_U6.xlsx</t>
        </is>
      </c>
      <c r="E361" s="11" t="inlineStr">
        <is>
          <t>Unidad 1 - Compuestos inorgánic</t>
        </is>
      </c>
      <c r="F361" s="11" t="n">
        <v>11</v>
      </c>
      <c r="G361" s="11" t="inlineStr">
        <is>
          <t>1. Compuestos inorgánicos</t>
        </is>
      </c>
      <c r="H361" s="11" t="inlineStr">
        <is>
          <t>Compuestos inorgánicos ternarios</t>
        </is>
      </c>
      <c r="I361" s="38" t="inlineStr">
        <is>
          <t>1.9. Aplicación de nomenclaturas químicas para denominar hidróxidos y oxácidos.</t>
        </is>
      </c>
      <c r="J361" s="11" t="inlineStr">
        <is>
          <t>T8_27</t>
        </is>
      </c>
      <c r="K361" s="11" t="inlineStr">
        <is>
          <t>FUERA</t>
        </is>
      </c>
      <c r="L361" s="11" t="inlineStr"/>
      <c r="M361" s="11">
        <f>IF(K361="FUERA","Fuera del marco",IF(K361="N/A","Sin marco",IFERROR(INDEX('Datos - Catálogo TIMSS'!$C$5:$C$107,MATCH(K361,'Datos - Catálogo TIMSS'!$A$5:$A$107,0)),"Pendiente de clasificar")))</f>
        <v/>
      </c>
      <c r="N361" s="11">
        <f>IF(K361="FUERA","Fuera del marco",IF(K361="N/A","Sin marco",IFERROR(INDEX('Datos - Catálogo TIMSS'!$F$5:$F$107,MATCH(K361,'Datos - Catálogo TIMSS'!$A$5:$A$107,0)),"Pendiente de clasificar")))</f>
        <v/>
      </c>
      <c r="O361" s="11">
        <f>IF(L361="","",IFERROR(INDEX('Datos - Catálogo TIMSS'!$C$5:$C$107,MATCH(L361,'Datos - Catálogo TIMSS'!$A$5:$A$107,0)),"?"))</f>
        <v/>
      </c>
      <c r="P361" s="11" t="inlineStr">
        <is>
          <t>media</t>
        </is>
      </c>
      <c r="Q361" s="38" t="inlineStr">
        <is>
          <t>Nomenclatura química es notación, sin objetivo de contenido 2027</t>
        </is>
      </c>
      <c r="R361" s="38" t="inlineStr">
        <is>
          <t>Aplicar: aplicar reglas de nomenclatura</t>
        </is>
      </c>
      <c r="S361" s="39">
        <f>IFERROR(ISNUMBER(SEARCH("Conocer",$R361))/(ISNUMBER(SEARCH("Conocer",$R361))+ISNUMBER(SEARCH("Aplicar",$R361))+ISNUMBER(SEARCH("Razonar",$R361))),0)</f>
        <v/>
      </c>
      <c r="T361" s="39">
        <f>IFERROR(ISNUMBER(SEARCH("Aplicar",$R361))/(ISNUMBER(SEARCH("Conocer",$R361))+ISNUMBER(SEARCH("Aplicar",$R361))+ISNUMBER(SEARCH("Razonar",$R361))),0)</f>
        <v/>
      </c>
      <c r="U361" s="39">
        <f>IFERROR(ISNUMBER(SEARCH("Razonar",$R361))/(ISNUMBER(SEARCH("Conocer",$R361))+ISNUMBER(SEARCH("Aplicar",$R361))+ISNUMBER(SEARCH("Razonar",$R361))),0)</f>
        <v/>
      </c>
      <c r="V361" s="11" t="inlineStr">
        <is>
          <t>7°</t>
        </is>
      </c>
      <c r="W361" s="11" t="inlineStr">
        <is>
          <t>Ciclo 5°–8°</t>
        </is>
      </c>
      <c r="X361" s="11">
        <f>IF(OR(IFERROR(INDEX('Datos - Catálogo TIMSS'!$I$5:$I$107,MATCH(K361,'Datos - Catálogo TIMSS'!$A$5:$A$107,0)),"No")="Sí",IFERROR(INDEX('Datos - Catálogo TIMSS'!$I$5:$I$107,MATCH(L361,'Datos - Catálogo TIMSS'!$A$5:$A$107,0)),"No")="Sí"),1,0)</f>
        <v/>
      </c>
      <c r="Y361" s="11">
        <f>IF(IFERROR(INDEX('Datos - Catálogo TIMSS'!$J$5:$J$107,MATCH(K361,'Datos - Catálogo TIMSS'!$A$5:$A$107,0)),"No")="Sí",1,0)</f>
        <v/>
      </c>
      <c r="Z361" s="11">
        <f>IF(IFERROR(INDEX('Datos - Catálogo TIMSS'!$J$5:$J$107,MATCH(L361,'Datos - Catálogo TIMSS'!$A$5:$A$107,0)),"No")="Sí",1,0)</f>
        <v/>
      </c>
      <c r="AA361" s="11" t="inlineStr">
        <is>
          <t>FUERA</t>
        </is>
      </c>
      <c r="AB361" s="11" t="inlineStr"/>
      <c r="AC361" s="11">
        <f>IF(AA361="FUERA","Fuera del marco",IF(AA361="N/A","Sin marco",IFERROR(INDEX('Datos - TIMSS 2023'!$C$5:$C$105,MATCH(AA361,'Datos - TIMSS 2023'!$A$5:$A$105,0)),"Pendiente de clasificar")))</f>
        <v/>
      </c>
      <c r="AD361" s="11" t="inlineStr">
        <is>
          <t>1. Explicar fenómenos científicamente</t>
        </is>
      </c>
      <c r="AE361" s="11">
        <f>IF(AD361="","",IF(LEFT(AD361,1)="1","C1",IF(LEFT(AD361,1)="2","C2",IF(LEFT(AD361,1)="3","C3",""))))</f>
        <v/>
      </c>
      <c r="AF361" s="11" t="inlineStr">
        <is>
          <t>E1</t>
        </is>
      </c>
      <c r="AG361" s="11" t="inlineStr">
        <is>
          <t>D1</t>
        </is>
      </c>
      <c r="AH361" s="11" t="inlineStr">
        <is>
          <t>E1</t>
        </is>
      </c>
      <c r="AI361" s="11" t="inlineStr">
        <is>
          <t>D4</t>
        </is>
      </c>
      <c r="AJ361" s="11" t="inlineStr">
        <is>
          <t>E1</t>
        </is>
      </c>
      <c r="AK361" s="11" t="inlineStr">
        <is>
          <t>PISA-F1</t>
        </is>
      </c>
      <c r="AL361" s="11" t="n"/>
      <c r="AM361" s="11">
        <f>IF(AK361="FUERA","Fuera del marco",IFERROR(INDEX('Datos - Catálogo PISA'!$C$5:$C$76,MATCH(AK361,'Datos - Catálogo PISA'!$A$5:$A$76,0)),"?"))</f>
        <v/>
      </c>
      <c r="AN361" s="11" t="inlineStr">
        <is>
          <t>Contenido</t>
        </is>
      </c>
      <c r="AO361" s="11" t="n"/>
      <c r="AP361" s="11" t="n"/>
      <c r="AQ361" s="11" t="inlineStr">
        <is>
          <t>Sin contexto</t>
        </is>
      </c>
      <c r="AR361" s="11" t="n"/>
      <c r="AS361" s="11" t="inlineStr">
        <is>
          <t>Media</t>
        </is>
      </c>
      <c r="AT361" s="11" t="inlineStr">
        <is>
          <t>media</t>
        </is>
      </c>
      <c r="AU361" s="11" t="inlineStr">
        <is>
          <t>Nomenclatura de hidróxidos y oxácidos</t>
        </is>
      </c>
      <c r="AV361" s="11" t="inlineStr">
        <is>
          <t>Ciclo 7°–9°</t>
        </is>
      </c>
      <c r="AW361" s="11">
        <f>AF361&amp;"; "&amp;AG361&amp;"; "&amp;AH361&amp;"; "&amp;AI361&amp;"; "&amp;AJ361</f>
        <v/>
      </c>
    </row>
    <row r="362">
      <c r="A362" s="11" t="inlineStr">
        <is>
          <t>T0996-G07-CIE</t>
        </is>
      </c>
      <c r="B362" s="11" t="n">
        <v>7</v>
      </c>
      <c r="C362" s="11" t="inlineStr">
        <is>
          <t>Ciencias</t>
        </is>
      </c>
      <c r="D362" s="11" t="inlineStr">
        <is>
          <t>Matriz_Ciencias_7mo_Grado_U1_U6.xlsx</t>
        </is>
      </c>
      <c r="E362" s="11" t="inlineStr">
        <is>
          <t>Unidad 1 - Compuestos inorgánic</t>
        </is>
      </c>
      <c r="F362" s="11" t="n">
        <v>12</v>
      </c>
      <c r="G362" s="11" t="inlineStr">
        <is>
          <t>1. Compuestos inorgánicos</t>
        </is>
      </c>
      <c r="H362" s="11" t="inlineStr">
        <is>
          <t>Compuestos inorgánicos ternarios</t>
        </is>
      </c>
      <c r="I362" s="38" t="inlineStr">
        <is>
          <t>1.10. Identificación de oxisales y sus aplicaciones cotidianas.</t>
        </is>
      </c>
      <c r="J362" s="11" t="inlineStr">
        <is>
          <t>T8_27</t>
        </is>
      </c>
      <c r="K362" s="11" t="inlineStr">
        <is>
          <t>T8_27-C1.2</t>
        </is>
      </c>
      <c r="L362" s="11" t="inlineStr"/>
      <c r="M362" s="11">
        <f>IF(K362="FUERA","Fuera del marco",IF(K362="N/A","Sin marco",IFERROR(INDEX('Datos - Catálogo TIMSS'!$C$5:$C$107,MATCH(K362,'Datos - Catálogo TIMSS'!$A$5:$A$107,0)),"Pendiente de clasificar")))</f>
        <v/>
      </c>
      <c r="N362" s="11">
        <f>IF(K362="FUERA","Fuera del marco",IF(K362="N/A","Sin marco",IFERROR(INDEX('Datos - Catálogo TIMSS'!$F$5:$F$107,MATCH(K362,'Datos - Catálogo TIMSS'!$A$5:$A$107,0)),"Pendiente de clasificar")))</f>
        <v/>
      </c>
      <c r="O362" s="11">
        <f>IF(L362="","",IFERROR(INDEX('Datos - Catálogo TIMSS'!$C$5:$C$107,MATCH(L362,'Datos - Catálogo TIMSS'!$A$5:$A$107,0)),"?"))</f>
        <v/>
      </c>
      <c r="P362" s="11" t="inlineStr">
        <is>
          <t>media</t>
        </is>
      </c>
      <c r="Q362" s="38" t="inlineStr">
        <is>
          <t>Oxisales como compuestos presentes en aplicaciones cotidianas</t>
        </is>
      </c>
      <c r="R362" s="38" t="inlineStr">
        <is>
          <t>Conocer: identificar. Aplicar: relacionar</t>
        </is>
      </c>
      <c r="S362" s="39">
        <f>IFERROR(ISNUMBER(SEARCH("Conocer",$R362))/(ISNUMBER(SEARCH("Conocer",$R362))+ISNUMBER(SEARCH("Aplicar",$R362))+ISNUMBER(SEARCH("Razonar",$R362))),0)</f>
        <v/>
      </c>
      <c r="T362" s="39">
        <f>IFERROR(ISNUMBER(SEARCH("Aplicar",$R362))/(ISNUMBER(SEARCH("Conocer",$R362))+ISNUMBER(SEARCH("Aplicar",$R362))+ISNUMBER(SEARCH("Razonar",$R362))),0)</f>
        <v/>
      </c>
      <c r="U362" s="39">
        <f>IFERROR(ISNUMBER(SEARCH("Razonar",$R362))/(ISNUMBER(SEARCH("Conocer",$R362))+ISNUMBER(SEARCH("Aplicar",$R362))+ISNUMBER(SEARCH("Razonar",$R362))),0)</f>
        <v/>
      </c>
      <c r="V362" s="11" t="inlineStr">
        <is>
          <t>7°</t>
        </is>
      </c>
      <c r="W362" s="11" t="inlineStr">
        <is>
          <t>Ciclo 5°–8°</t>
        </is>
      </c>
      <c r="X362" s="11">
        <f>IF(OR(IFERROR(INDEX('Datos - Catálogo TIMSS'!$I$5:$I$107,MATCH(K362,'Datos - Catálogo TIMSS'!$A$5:$A$107,0)),"No")="Sí",IFERROR(INDEX('Datos - Catálogo TIMSS'!$I$5:$I$107,MATCH(L362,'Datos - Catálogo TIMSS'!$A$5:$A$107,0)),"No")="Sí"),1,0)</f>
        <v/>
      </c>
      <c r="Y362" s="11">
        <f>IF(IFERROR(INDEX('Datos - Catálogo TIMSS'!$J$5:$J$107,MATCH(K362,'Datos - Catálogo TIMSS'!$A$5:$A$107,0)),"No")="Sí",1,0)</f>
        <v/>
      </c>
      <c r="Z362" s="11">
        <f>IF(IFERROR(INDEX('Datos - Catálogo TIMSS'!$J$5:$J$107,MATCH(L362,'Datos - Catálogo TIMSS'!$A$5:$A$107,0)),"No")="Sí",1,0)</f>
        <v/>
      </c>
      <c r="AA362" s="11" t="inlineStr">
        <is>
          <t>T8-Q1.2</t>
        </is>
      </c>
      <c r="AB362" s="11" t="inlineStr">
        <is>
          <t>T8-Q2.1</t>
        </is>
      </c>
      <c r="AC362" s="11">
        <f>IF(AA362="FUERA","Fuera del marco",IF(AA362="N/A","Sin marco",IFERROR(INDEX('Datos - TIMSS 2023'!$C$5:$C$105,MATCH(AA362,'Datos - TIMSS 2023'!$A$5:$A$105,0)),"Pendiente de clasificar")))</f>
        <v/>
      </c>
      <c r="AD362" s="11" t="inlineStr">
        <is>
          <t>1. Explicar fenómenos científicamente</t>
        </is>
      </c>
      <c r="AE362" s="11">
        <f>IF(AD362="","",IF(LEFT(AD362,1)="1","C1",IF(LEFT(AD362,1)="2","C2",IF(LEFT(AD362,1)="3","C3",""))))</f>
        <v/>
      </c>
      <c r="AF362" s="11" t="inlineStr">
        <is>
          <t>E1</t>
        </is>
      </c>
      <c r="AG362" s="11" t="inlineStr">
        <is>
          <t>D1</t>
        </is>
      </c>
      <c r="AH362" s="11" t="inlineStr">
        <is>
          <t>E1</t>
        </is>
      </c>
      <c r="AI362" s="11" t="inlineStr">
        <is>
          <t>D4</t>
        </is>
      </c>
      <c r="AJ362" s="11" t="inlineStr">
        <is>
          <t>E6</t>
        </is>
      </c>
      <c r="AK362" s="11" t="inlineStr">
        <is>
          <t>PISA-F1</t>
        </is>
      </c>
      <c r="AL362" s="11" t="n"/>
      <c r="AM362" s="11">
        <f>IF(AK362="FUERA","Fuera del marco",IFERROR(INDEX('Datos - Catálogo PISA'!$C$5:$C$76,MATCH(AK362,'Datos - Catálogo PISA'!$A$5:$A$76,0)),"?"))</f>
        <v/>
      </c>
      <c r="AN362" s="11" t="inlineStr">
        <is>
          <t>Contenido</t>
        </is>
      </c>
      <c r="AO362" s="11" t="n"/>
      <c r="AP362" s="11" t="n"/>
      <c r="AQ362" s="11" t="inlineStr">
        <is>
          <t>Personal</t>
        </is>
      </c>
      <c r="AR362" s="11" t="inlineStr">
        <is>
          <t>Avances y desafíos científicos y tecnológicos</t>
        </is>
      </c>
      <c r="AS362" s="11" t="inlineStr">
        <is>
          <t>Baja</t>
        </is>
      </c>
      <c r="AT362" s="11" t="inlineStr">
        <is>
          <t>media</t>
        </is>
      </c>
      <c r="AU362" s="11" t="inlineStr">
        <is>
          <t>Identifica oxisales en aplicaciones cotidianas</t>
        </is>
      </c>
      <c r="AV362" s="11" t="inlineStr">
        <is>
          <t>Ciclo 7°–9°</t>
        </is>
      </c>
      <c r="AW362" s="11">
        <f>AF362&amp;"; "&amp;AG362&amp;"; "&amp;AH362&amp;"; "&amp;AI362&amp;"; "&amp;AJ362</f>
        <v/>
      </c>
    </row>
    <row r="363">
      <c r="A363" s="11" t="inlineStr">
        <is>
          <t>T0997-G07-CIE</t>
        </is>
      </c>
      <c r="B363" s="11" t="n">
        <v>7</v>
      </c>
      <c r="C363" s="11" t="inlineStr">
        <is>
          <t>Ciencias</t>
        </is>
      </c>
      <c r="D363" s="11" t="inlineStr">
        <is>
          <t>Matriz_Ciencias_7mo_Grado_U1_U6.xlsx</t>
        </is>
      </c>
      <c r="E363" s="11" t="inlineStr">
        <is>
          <t>Unidad 1 - Compuestos inorgánic</t>
        </is>
      </c>
      <c r="F363" s="11" t="n">
        <v>13</v>
      </c>
      <c r="G363" s="11" t="inlineStr">
        <is>
          <t>1. Compuestos inorgánicos</t>
        </is>
      </c>
      <c r="H363" s="11" t="inlineStr">
        <is>
          <t>Compuestos inorgánicos ternarios</t>
        </is>
      </c>
      <c r="I363" s="38" t="inlineStr">
        <is>
          <t>1.11. Formulación y balanceo de ecuaciones de reacción química para la obtención de oxisales.</t>
        </is>
      </c>
      <c r="J363" s="11" t="inlineStr">
        <is>
          <t>T8_27</t>
        </is>
      </c>
      <c r="K363" s="11" t="inlineStr">
        <is>
          <t>T8_27-C3.2</t>
        </is>
      </c>
      <c r="L363" s="11" t="inlineStr"/>
      <c r="M363" s="11">
        <f>IF(K363="FUERA","Fuera del marco",IF(K363="N/A","Sin marco",IFERROR(INDEX('Datos - Catálogo TIMSS'!$C$5:$C$107,MATCH(K363,'Datos - Catálogo TIMSS'!$A$5:$A$107,0)),"Pendiente de clasificar")))</f>
        <v/>
      </c>
      <c r="N363" s="11">
        <f>IF(K363="FUERA","Fuera del marco",IF(K363="N/A","Sin marco",IFERROR(INDEX('Datos - Catálogo TIMSS'!$F$5:$F$107,MATCH(K363,'Datos - Catálogo TIMSS'!$A$5:$A$107,0)),"Pendiente de clasificar")))</f>
        <v/>
      </c>
      <c r="O363" s="11">
        <f>IF(L363="","",IFERROR(INDEX('Datos - Catálogo TIMSS'!$C$5:$C$107,MATCH(L363,'Datos - Catálogo TIMSS'!$A$5:$A$107,0)),"?"))</f>
        <v/>
      </c>
      <c r="P363" s="11" t="inlineStr">
        <is>
          <t>media</t>
        </is>
      </c>
      <c r="Q363" s="38" t="inlineStr">
        <is>
          <t>Balanceo de ecuaciones: conservación de masa y reordenamiento de átomos</t>
        </is>
      </c>
      <c r="R363" s="38" t="inlineStr">
        <is>
          <t>Aplicar: formular y balancear ecuaciones</t>
        </is>
      </c>
      <c r="S363" s="39">
        <f>IFERROR(ISNUMBER(SEARCH("Conocer",$R363))/(ISNUMBER(SEARCH("Conocer",$R363))+ISNUMBER(SEARCH("Aplicar",$R363))+ISNUMBER(SEARCH("Razonar",$R363))),0)</f>
        <v/>
      </c>
      <c r="T363" s="39">
        <f>IFERROR(ISNUMBER(SEARCH("Aplicar",$R363))/(ISNUMBER(SEARCH("Conocer",$R363))+ISNUMBER(SEARCH("Aplicar",$R363))+ISNUMBER(SEARCH("Razonar",$R363))),0)</f>
        <v/>
      </c>
      <c r="U363" s="39">
        <f>IFERROR(ISNUMBER(SEARCH("Razonar",$R363))/(ISNUMBER(SEARCH("Conocer",$R363))+ISNUMBER(SEARCH("Aplicar",$R363))+ISNUMBER(SEARCH("Razonar",$R363))),0)</f>
        <v/>
      </c>
      <c r="V363" s="11" t="inlineStr">
        <is>
          <t>7°</t>
        </is>
      </c>
      <c r="W363" s="11" t="inlineStr">
        <is>
          <t>Ciclo 5°–8°</t>
        </is>
      </c>
      <c r="X363" s="11">
        <f>IF(OR(IFERROR(INDEX('Datos - Catálogo TIMSS'!$I$5:$I$107,MATCH(K363,'Datos - Catálogo TIMSS'!$A$5:$A$107,0)),"No")="Sí",IFERROR(INDEX('Datos - Catálogo TIMSS'!$I$5:$I$107,MATCH(L363,'Datos - Catálogo TIMSS'!$A$5:$A$107,0)),"No")="Sí"),1,0)</f>
        <v/>
      </c>
      <c r="Y363" s="11">
        <f>IF(IFERROR(INDEX('Datos - Catálogo TIMSS'!$J$5:$J$107,MATCH(K363,'Datos - Catálogo TIMSS'!$A$5:$A$107,0)),"No")="Sí",1,0)</f>
        <v/>
      </c>
      <c r="Z363" s="11">
        <f>IF(IFERROR(INDEX('Datos - Catálogo TIMSS'!$J$5:$J$107,MATCH(L363,'Datos - Catálogo TIMSS'!$A$5:$A$107,0)),"No")="Sí",1,0)</f>
        <v/>
      </c>
      <c r="AA363" s="11" t="inlineStr">
        <is>
          <t>T8-Q3.2</t>
        </is>
      </c>
      <c r="AB363" s="11" t="inlineStr">
        <is>
          <t>T8-Q3.1</t>
        </is>
      </c>
      <c r="AC363" s="11">
        <f>IF(AA363="FUERA","Fuera del marco",IF(AA363="N/A","Sin marco",IFERROR(INDEX('Datos - TIMSS 2023'!$C$5:$C$105,MATCH(AA363,'Datos - TIMSS 2023'!$A$5:$A$105,0)),"Pendiente de clasificar")))</f>
        <v/>
      </c>
      <c r="AD363" s="11" t="inlineStr">
        <is>
          <t>2. Construir y evaluar diseños para la indagación científica e interpretar datos y evidencia de forma crítica</t>
        </is>
      </c>
      <c r="AE363" s="11">
        <f>IF(AD363="","",IF(LEFT(AD363,1)="1","C1",IF(LEFT(AD363,1)="2","C2",IF(LEFT(AD363,1)="3","C3",""))))</f>
        <v/>
      </c>
      <c r="AF363" s="11" t="inlineStr">
        <is>
          <t>E1</t>
        </is>
      </c>
      <c r="AG363" s="11" t="inlineStr">
        <is>
          <t>D1</t>
        </is>
      </c>
      <c r="AH363" s="11" t="inlineStr">
        <is>
          <t>E2</t>
        </is>
      </c>
      <c r="AI363" s="11" t="inlineStr">
        <is>
          <t>D4</t>
        </is>
      </c>
      <c r="AJ363" s="11" t="inlineStr">
        <is>
          <t>E3</t>
        </is>
      </c>
      <c r="AK363" s="11" t="inlineStr">
        <is>
          <t>PISA-F2</t>
        </is>
      </c>
      <c r="AL363" s="11" t="n"/>
      <c r="AM363" s="11">
        <f>IF(AK363="FUERA","Fuera del marco",IFERROR(INDEX('Datos - Catálogo PISA'!$C$5:$C$76,MATCH(AK363,'Datos - Catálogo PISA'!$A$5:$A$76,0)),"?"))</f>
        <v/>
      </c>
      <c r="AN363" s="11" t="inlineStr">
        <is>
          <t>Contenido</t>
        </is>
      </c>
      <c r="AO363" s="11" t="n"/>
      <c r="AP363" s="11" t="n"/>
      <c r="AQ363" s="11" t="inlineStr">
        <is>
          <t>Sin contexto</t>
        </is>
      </c>
      <c r="AR363" s="11" t="n"/>
      <c r="AS363" s="11" t="inlineStr">
        <is>
          <t>Media</t>
        </is>
      </c>
      <c r="AT363" s="11" t="inlineStr">
        <is>
          <t>alta</t>
        </is>
      </c>
      <c r="AU363" s="11" t="inlineStr">
        <is>
          <t>Ecuaciones de obtención de oxisales balanceadas</t>
        </is>
      </c>
      <c r="AV363" s="11" t="inlineStr">
        <is>
          <t>Ciclo 7°–9°</t>
        </is>
      </c>
      <c r="AW363" s="11">
        <f>AF363&amp;"; "&amp;AG363&amp;"; "&amp;AH363&amp;"; "&amp;AI363&amp;"; "&amp;AJ363</f>
        <v/>
      </c>
    </row>
    <row r="364">
      <c r="A364" s="11" t="inlineStr">
        <is>
          <t>T0998-G07-CIE</t>
        </is>
      </c>
      <c r="B364" s="11" t="n">
        <v>7</v>
      </c>
      <c r="C364" s="11" t="inlineStr">
        <is>
          <t>Ciencias</t>
        </is>
      </c>
      <c r="D364" s="11" t="inlineStr">
        <is>
          <t>Matriz_Ciencias_7mo_Grado_U1_U6.xlsx</t>
        </is>
      </c>
      <c r="E364" s="11" t="inlineStr">
        <is>
          <t>Unidad 1 - Compuestos inorgánic</t>
        </is>
      </c>
      <c r="F364" s="11" t="n">
        <v>14</v>
      </c>
      <c r="G364" s="11" t="inlineStr">
        <is>
          <t>1. Compuestos inorgánicos</t>
        </is>
      </c>
      <c r="H364" s="11" t="inlineStr">
        <is>
          <t>Compuestos inorgánicos ternarios</t>
        </is>
      </c>
      <c r="I364" s="38" t="inlineStr">
        <is>
          <t>1.12. Aplicación de nomenclaturas químicas para la denominar oxisales.</t>
        </is>
      </c>
      <c r="J364" s="11" t="inlineStr">
        <is>
          <t>T8_27</t>
        </is>
      </c>
      <c r="K364" s="11" t="inlineStr">
        <is>
          <t>FUERA</t>
        </is>
      </c>
      <c r="L364" s="11" t="inlineStr"/>
      <c r="M364" s="11">
        <f>IF(K364="FUERA","Fuera del marco",IF(K364="N/A","Sin marco",IFERROR(INDEX('Datos - Catálogo TIMSS'!$C$5:$C$107,MATCH(K364,'Datos - Catálogo TIMSS'!$A$5:$A$107,0)),"Pendiente de clasificar")))</f>
        <v/>
      </c>
      <c r="N364" s="11">
        <f>IF(K364="FUERA","Fuera del marco",IF(K364="N/A","Sin marco",IFERROR(INDEX('Datos - Catálogo TIMSS'!$F$5:$F$107,MATCH(K364,'Datos - Catálogo TIMSS'!$A$5:$A$107,0)),"Pendiente de clasificar")))</f>
        <v/>
      </c>
      <c r="O364" s="11">
        <f>IF(L364="","",IFERROR(INDEX('Datos - Catálogo TIMSS'!$C$5:$C$107,MATCH(L364,'Datos - Catálogo TIMSS'!$A$5:$A$107,0)),"?"))</f>
        <v/>
      </c>
      <c r="P364" s="11" t="inlineStr">
        <is>
          <t>media</t>
        </is>
      </c>
      <c r="Q364" s="38" t="inlineStr">
        <is>
          <t>Nomenclatura química es notación, sin objetivo de contenido 2027</t>
        </is>
      </c>
      <c r="R364" s="38" t="inlineStr">
        <is>
          <t>Aplicar: aplicar reglas de nomenclatura</t>
        </is>
      </c>
      <c r="S364" s="39">
        <f>IFERROR(ISNUMBER(SEARCH("Conocer",$R364))/(ISNUMBER(SEARCH("Conocer",$R364))+ISNUMBER(SEARCH("Aplicar",$R364))+ISNUMBER(SEARCH("Razonar",$R364))),0)</f>
        <v/>
      </c>
      <c r="T364" s="39">
        <f>IFERROR(ISNUMBER(SEARCH("Aplicar",$R364))/(ISNUMBER(SEARCH("Conocer",$R364))+ISNUMBER(SEARCH("Aplicar",$R364))+ISNUMBER(SEARCH("Razonar",$R364))),0)</f>
        <v/>
      </c>
      <c r="U364" s="39">
        <f>IFERROR(ISNUMBER(SEARCH("Razonar",$R364))/(ISNUMBER(SEARCH("Conocer",$R364))+ISNUMBER(SEARCH("Aplicar",$R364))+ISNUMBER(SEARCH("Razonar",$R364))),0)</f>
        <v/>
      </c>
      <c r="V364" s="11" t="inlineStr">
        <is>
          <t>7°</t>
        </is>
      </c>
      <c r="W364" s="11" t="inlineStr">
        <is>
          <t>Ciclo 5°–8°</t>
        </is>
      </c>
      <c r="X364" s="11">
        <f>IF(OR(IFERROR(INDEX('Datos - Catálogo TIMSS'!$I$5:$I$107,MATCH(K364,'Datos - Catálogo TIMSS'!$A$5:$A$107,0)),"No")="Sí",IFERROR(INDEX('Datos - Catálogo TIMSS'!$I$5:$I$107,MATCH(L364,'Datos - Catálogo TIMSS'!$A$5:$A$107,0)),"No")="Sí"),1,0)</f>
        <v/>
      </c>
      <c r="Y364" s="11">
        <f>IF(IFERROR(INDEX('Datos - Catálogo TIMSS'!$J$5:$J$107,MATCH(K364,'Datos - Catálogo TIMSS'!$A$5:$A$107,0)),"No")="Sí",1,0)</f>
        <v/>
      </c>
      <c r="Z364" s="11">
        <f>IF(IFERROR(INDEX('Datos - Catálogo TIMSS'!$J$5:$J$107,MATCH(L364,'Datos - Catálogo TIMSS'!$A$5:$A$107,0)),"No")="Sí",1,0)</f>
        <v/>
      </c>
      <c r="AA364" s="11" t="inlineStr">
        <is>
          <t>FUERA</t>
        </is>
      </c>
      <c r="AB364" s="11" t="inlineStr"/>
      <c r="AC364" s="11">
        <f>IF(AA364="FUERA","Fuera del marco",IF(AA364="N/A","Sin marco",IFERROR(INDEX('Datos - TIMSS 2023'!$C$5:$C$105,MATCH(AA364,'Datos - TIMSS 2023'!$A$5:$A$105,0)),"Pendiente de clasificar")))</f>
        <v/>
      </c>
      <c r="AD364" s="11" t="inlineStr">
        <is>
          <t>1. Explicar fenómenos científicamente</t>
        </is>
      </c>
      <c r="AE364" s="11">
        <f>IF(AD364="","",IF(LEFT(AD364,1)="1","C1",IF(LEFT(AD364,1)="2","C2",IF(LEFT(AD364,1)="3","C3",""))))</f>
        <v/>
      </c>
      <c r="AF364" s="11" t="inlineStr">
        <is>
          <t>E1</t>
        </is>
      </c>
      <c r="AG364" s="11" t="inlineStr">
        <is>
          <t>D1</t>
        </is>
      </c>
      <c r="AH364" s="11" t="inlineStr">
        <is>
          <t>E1</t>
        </is>
      </c>
      <c r="AI364" s="11" t="inlineStr">
        <is>
          <t>D4</t>
        </is>
      </c>
      <c r="AJ364" s="11" t="inlineStr">
        <is>
          <t>E1</t>
        </is>
      </c>
      <c r="AK364" s="11" t="inlineStr">
        <is>
          <t>PISA-F1</t>
        </is>
      </c>
      <c r="AL364" s="11" t="n"/>
      <c r="AM364" s="11">
        <f>IF(AK364="FUERA","Fuera del marco",IFERROR(INDEX('Datos - Catálogo PISA'!$C$5:$C$76,MATCH(AK364,'Datos - Catálogo PISA'!$A$5:$A$76,0)),"?"))</f>
        <v/>
      </c>
      <c r="AN364" s="11" t="inlineStr">
        <is>
          <t>Contenido</t>
        </is>
      </c>
      <c r="AO364" s="11" t="n"/>
      <c r="AP364" s="11" t="n"/>
      <c r="AQ364" s="11" t="inlineStr">
        <is>
          <t>Sin contexto</t>
        </is>
      </c>
      <c r="AR364" s="11" t="n"/>
      <c r="AS364" s="11" t="inlineStr">
        <is>
          <t>Media</t>
        </is>
      </c>
      <c r="AT364" s="11" t="inlineStr">
        <is>
          <t>media</t>
        </is>
      </c>
      <c r="AU364" s="11" t="inlineStr">
        <is>
          <t>Nomenclatura de oxisales</t>
        </is>
      </c>
      <c r="AV364" s="11" t="inlineStr">
        <is>
          <t>Ciclo 7°–9°</t>
        </is>
      </c>
      <c r="AW364" s="11">
        <f>AF364&amp;"; "&amp;AG364&amp;"; "&amp;AH364&amp;"; "&amp;AI364&amp;"; "&amp;AJ364</f>
        <v/>
      </c>
    </row>
    <row r="365">
      <c r="A365" s="11" t="inlineStr">
        <is>
          <t>T0999-G07-CIE</t>
        </is>
      </c>
      <c r="B365" s="11" t="n">
        <v>7</v>
      </c>
      <c r="C365" s="11" t="inlineStr">
        <is>
          <t>Ciencias</t>
        </is>
      </c>
      <c r="D365" s="11" t="inlineStr">
        <is>
          <t>Matriz_Ciencias_7mo_Grado_U1_U6.xlsx</t>
        </is>
      </c>
      <c r="E365" s="11" t="inlineStr">
        <is>
          <t>Unidad 2 - Genética y evolución</t>
        </is>
      </c>
      <c r="F365" s="11" t="n">
        <v>3</v>
      </c>
      <c r="G365" s="11" t="inlineStr">
        <is>
          <t>2. Genética y evolución</t>
        </is>
      </c>
      <c r="H365" s="11" t="inlineStr">
        <is>
          <t>Material genético</t>
        </is>
      </c>
      <c r="I365" s="38" t="inlineStr">
        <is>
          <t>2.1. Indagación de las funciones del material genético.</t>
        </is>
      </c>
      <c r="J365" s="11" t="inlineStr">
        <is>
          <t>T8_27</t>
        </is>
      </c>
      <c r="K365" s="11" t="inlineStr">
        <is>
          <t>T8_27-B3.1</t>
        </is>
      </c>
      <c r="L365" s="11" t="inlineStr"/>
      <c r="M365" s="11">
        <f>IF(K365="FUERA","Fuera del marco",IF(K365="N/A","Sin marco",IFERROR(INDEX('Datos - Catálogo TIMSS'!$C$5:$C$107,MATCH(K365,'Datos - Catálogo TIMSS'!$A$5:$A$107,0)),"Pendiente de clasificar")))</f>
        <v/>
      </c>
      <c r="N365" s="11">
        <f>IF(K365="FUERA","Fuera del marco",IF(K365="N/A","Sin marco",IFERROR(INDEX('Datos - Catálogo TIMSS'!$F$5:$F$107,MATCH(K365,'Datos - Catálogo TIMSS'!$A$5:$A$107,0)),"Pendiente de clasificar")))</f>
        <v/>
      </c>
      <c r="O365" s="11">
        <f>IF(L365="","",IFERROR(INDEX('Datos - Catálogo TIMSS'!$C$5:$C$107,MATCH(L365,'Datos - Catálogo TIMSS'!$A$5:$A$107,0)),"?"))</f>
        <v/>
      </c>
      <c r="P365" s="11" t="inlineStr">
        <is>
          <t>alta</t>
        </is>
      </c>
      <c r="Q365" s="38" t="inlineStr">
        <is>
          <t>Funciones del material genético en la herencia</t>
        </is>
      </c>
      <c r="R365" s="38" t="inlineStr">
        <is>
          <t>Conocer: describir funciones</t>
        </is>
      </c>
      <c r="S365" s="39">
        <f>IFERROR(ISNUMBER(SEARCH("Conocer",$R365))/(ISNUMBER(SEARCH("Conocer",$R365))+ISNUMBER(SEARCH("Aplicar",$R365))+ISNUMBER(SEARCH("Razonar",$R365))),0)</f>
        <v/>
      </c>
      <c r="T365" s="39">
        <f>IFERROR(ISNUMBER(SEARCH("Aplicar",$R365))/(ISNUMBER(SEARCH("Conocer",$R365))+ISNUMBER(SEARCH("Aplicar",$R365))+ISNUMBER(SEARCH("Razonar",$R365))),0)</f>
        <v/>
      </c>
      <c r="U365" s="39">
        <f>IFERROR(ISNUMBER(SEARCH("Razonar",$R365))/(ISNUMBER(SEARCH("Conocer",$R365))+ISNUMBER(SEARCH("Aplicar",$R365))+ISNUMBER(SEARCH("Razonar",$R365))),0)</f>
        <v/>
      </c>
      <c r="V365" s="11" t="inlineStr">
        <is>
          <t>7°</t>
        </is>
      </c>
      <c r="W365" s="11" t="inlineStr">
        <is>
          <t>Ciclo 5°–8°</t>
        </is>
      </c>
      <c r="X365" s="11">
        <f>IF(OR(IFERROR(INDEX('Datos - Catálogo TIMSS'!$I$5:$I$107,MATCH(K365,'Datos - Catálogo TIMSS'!$A$5:$A$107,0)),"No")="Sí",IFERROR(INDEX('Datos - Catálogo TIMSS'!$I$5:$I$107,MATCH(L365,'Datos - Catálogo TIMSS'!$A$5:$A$107,0)),"No")="Sí"),1,0)</f>
        <v/>
      </c>
      <c r="Y365" s="11">
        <f>IF(IFERROR(INDEX('Datos - Catálogo TIMSS'!$J$5:$J$107,MATCH(K365,'Datos - Catálogo TIMSS'!$A$5:$A$107,0)),"No")="Sí",1,0)</f>
        <v/>
      </c>
      <c r="Z365" s="11">
        <f>IF(IFERROR(INDEX('Datos - Catálogo TIMSS'!$J$5:$J$107,MATCH(L365,'Datos - Catálogo TIMSS'!$A$5:$A$107,0)),"No")="Sí",1,0)</f>
        <v/>
      </c>
      <c r="AA365" s="11" t="inlineStr">
        <is>
          <t>T8-B3.2</t>
        </is>
      </c>
      <c r="AB365" s="11" t="inlineStr"/>
      <c r="AC365" s="11">
        <f>IF(AA365="FUERA","Fuera del marco",IF(AA365="N/A","Sin marco",IFERROR(INDEX('Datos - TIMSS 2023'!$C$5:$C$105,MATCH(AA365,'Datos - TIMSS 2023'!$A$5:$A$105,0)),"Pendiente de clasificar")))</f>
        <v/>
      </c>
      <c r="AD365" s="11" t="inlineStr">
        <is>
          <t>1. Explicar fenómenos científicamente</t>
        </is>
      </c>
      <c r="AE365" s="11">
        <f>IF(AD365="","",IF(LEFT(AD365,1)="1","C1",IF(LEFT(AD365,1)="2","C2",IF(LEFT(AD365,1)="3","C3",""))))</f>
        <v/>
      </c>
      <c r="AF365" s="11" t="inlineStr">
        <is>
          <t>E1</t>
        </is>
      </c>
      <c r="AG365" s="11" t="inlineStr">
        <is>
          <t>D1</t>
        </is>
      </c>
      <c r="AH365" s="11" t="inlineStr">
        <is>
          <t>E1</t>
        </is>
      </c>
      <c r="AI365" s="11" t="inlineStr">
        <is>
          <t>D4</t>
        </is>
      </c>
      <c r="AJ365" s="11" t="inlineStr">
        <is>
          <t>E6</t>
        </is>
      </c>
      <c r="AK365" s="11" t="inlineStr">
        <is>
          <t>PISA-V2</t>
        </is>
      </c>
      <c r="AL365" s="11" t="n"/>
      <c r="AM365" s="11">
        <f>IF(AK365="FUERA","Fuera del marco",IFERROR(INDEX('Datos - Catálogo PISA'!$C$5:$C$76,MATCH(AK365,'Datos - Catálogo PISA'!$A$5:$A$76,0)),"?"))</f>
        <v/>
      </c>
      <c r="AN365" s="11" t="inlineStr">
        <is>
          <t>Contenido</t>
        </is>
      </c>
      <c r="AO365" s="11" t="n"/>
      <c r="AP365" s="11" t="n"/>
      <c r="AQ365" s="11" t="inlineStr">
        <is>
          <t>Sin contexto</t>
        </is>
      </c>
      <c r="AR365" s="11" t="n"/>
      <c r="AS365" s="11" t="inlineStr">
        <is>
          <t>Media</t>
        </is>
      </c>
      <c r="AT365" s="11" t="inlineStr">
        <is>
          <t>alta</t>
        </is>
      </c>
      <c r="AU365" s="11" t="inlineStr">
        <is>
          <t>Funciones del material genético en mapa conceptual</t>
        </is>
      </c>
      <c r="AV365" s="11" t="inlineStr">
        <is>
          <t>Ciclo 7°–9°</t>
        </is>
      </c>
      <c r="AW365" s="11">
        <f>AF365&amp;"; "&amp;AG365&amp;"; "&amp;AH365&amp;"; "&amp;AI365&amp;"; "&amp;AJ365</f>
        <v/>
      </c>
    </row>
    <row r="366">
      <c r="A366" s="11" t="inlineStr">
        <is>
          <t>T1000-G07-CIE</t>
        </is>
      </c>
      <c r="B366" s="11" t="n">
        <v>7</v>
      </c>
      <c r="C366" s="11" t="inlineStr">
        <is>
          <t>Ciencias</t>
        </is>
      </c>
      <c r="D366" s="11" t="inlineStr">
        <is>
          <t>Matriz_Ciencias_7mo_Grado_U1_U6.xlsx</t>
        </is>
      </c>
      <c r="E366" s="11" t="inlineStr">
        <is>
          <t>Unidad 2 - Genética y evolución</t>
        </is>
      </c>
      <c r="F366" s="11" t="n">
        <v>4</v>
      </c>
      <c r="G366" s="11" t="inlineStr">
        <is>
          <t>2. Genética y evolución</t>
        </is>
      </c>
      <c r="H366" s="11" t="inlineStr">
        <is>
          <t>Material genético</t>
        </is>
      </c>
      <c r="I366" s="38" t="inlineStr">
        <is>
          <t>2.2. Experimentación con técnicas de extracción y tinción de ácidos nucleicos.</t>
        </is>
      </c>
      <c r="J366" s="11" t="inlineStr">
        <is>
          <t>T8_27</t>
        </is>
      </c>
      <c r="K366" s="11" t="inlineStr">
        <is>
          <t>T8_27-B3.1</t>
        </is>
      </c>
      <c r="L366" s="11" t="inlineStr">
        <is>
          <t>T8_27-B7.1</t>
        </is>
      </c>
      <c r="M366" s="11">
        <f>IF(K366="FUERA","Fuera del marco",IF(K366="N/A","Sin marco",IFERROR(INDEX('Datos - Catálogo TIMSS'!$C$5:$C$107,MATCH(K366,'Datos - Catálogo TIMSS'!$A$5:$A$107,0)),"Pendiente de clasificar")))</f>
        <v/>
      </c>
      <c r="N366" s="11">
        <f>IF(K366="FUERA","Fuera del marco",IF(K366="N/A","Sin marco",IFERROR(INDEX('Datos - Catálogo TIMSS'!$F$5:$F$107,MATCH(K366,'Datos - Catálogo TIMSS'!$A$5:$A$107,0)),"Pendiente de clasificar")))</f>
        <v/>
      </c>
      <c r="O366" s="11">
        <f>IF(L366="","",IFERROR(INDEX('Datos - Catálogo TIMSS'!$C$5:$C$107,MATCH(L366,'Datos - Catálogo TIMSS'!$A$5:$A$107,0)),"?"))</f>
        <v/>
      </c>
      <c r="P366" s="11" t="inlineStr">
        <is>
          <t>media</t>
        </is>
      </c>
      <c r="Q366" s="38" t="inlineStr">
        <is>
          <t>Extracción de ADN en laboratorio con registro del protocolo</t>
        </is>
      </c>
      <c r="R366" s="38" t="inlineStr">
        <is>
          <t>Aplicar: seguir y ejecutar un protocolo</t>
        </is>
      </c>
      <c r="S366" s="39">
        <f>IFERROR(ISNUMBER(SEARCH("Conocer",$R366))/(ISNUMBER(SEARCH("Conocer",$R366))+ISNUMBER(SEARCH("Aplicar",$R366))+ISNUMBER(SEARCH("Razonar",$R366))),0)</f>
        <v/>
      </c>
      <c r="T366" s="39">
        <f>IFERROR(ISNUMBER(SEARCH("Aplicar",$R366))/(ISNUMBER(SEARCH("Conocer",$R366))+ISNUMBER(SEARCH("Aplicar",$R366))+ISNUMBER(SEARCH("Razonar",$R366))),0)</f>
        <v/>
      </c>
      <c r="U366" s="39">
        <f>IFERROR(ISNUMBER(SEARCH("Razonar",$R366))/(ISNUMBER(SEARCH("Conocer",$R366))+ISNUMBER(SEARCH("Aplicar",$R366))+ISNUMBER(SEARCH("Razonar",$R366))),0)</f>
        <v/>
      </c>
      <c r="V366" s="11" t="inlineStr">
        <is>
          <t>7°</t>
        </is>
      </c>
      <c r="W366" s="11" t="inlineStr">
        <is>
          <t>Ciclo 5°–8°</t>
        </is>
      </c>
      <c r="X366" s="11">
        <f>IF(OR(IFERROR(INDEX('Datos - Catálogo TIMSS'!$I$5:$I$107,MATCH(K366,'Datos - Catálogo TIMSS'!$A$5:$A$107,0)),"No")="Sí",IFERROR(INDEX('Datos - Catálogo TIMSS'!$I$5:$I$107,MATCH(L366,'Datos - Catálogo TIMSS'!$A$5:$A$107,0)),"No")="Sí"),1,0)</f>
        <v/>
      </c>
      <c r="Y366" s="11">
        <f>IF(IFERROR(INDEX('Datos - Catálogo TIMSS'!$J$5:$J$107,MATCH(K366,'Datos - Catálogo TIMSS'!$A$5:$A$107,0)),"No")="Sí",1,0)</f>
        <v/>
      </c>
      <c r="Z366" s="11">
        <f>IF(IFERROR(INDEX('Datos - Catálogo TIMSS'!$J$5:$J$107,MATCH(L366,'Datos - Catálogo TIMSS'!$A$5:$A$107,0)),"No")="Sí",1,0)</f>
        <v/>
      </c>
      <c r="AA366" s="11" t="inlineStr">
        <is>
          <t>T8-B3.2</t>
        </is>
      </c>
      <c r="AB366" s="11" t="inlineStr"/>
      <c r="AC366" s="11">
        <f>IF(AA366="FUERA","Fuera del marco",IF(AA366="N/A","Sin marco",IFERROR(INDEX('Datos - TIMSS 2023'!$C$5:$C$105,MATCH(AA366,'Datos - TIMSS 2023'!$A$5:$A$105,0)),"Pendiente de clasificar")))</f>
        <v/>
      </c>
      <c r="AD366" s="11" t="inlineStr">
        <is>
          <t>2. Construir y evaluar diseños para la indagación científica e interpretar datos y evidencia de forma crítica</t>
        </is>
      </c>
      <c r="AE366" s="11">
        <f>IF(AD366="","",IF(LEFT(AD366,1)="1","C1",IF(LEFT(AD366,1)="2","C2",IF(LEFT(AD366,1)="3","C3",""))))</f>
        <v/>
      </c>
      <c r="AF366" s="11" t="inlineStr">
        <is>
          <t>E1</t>
        </is>
      </c>
      <c r="AG366" s="11" t="inlineStr">
        <is>
          <t>E3</t>
        </is>
      </c>
      <c r="AH366" s="11" t="inlineStr">
        <is>
          <t>E1</t>
        </is>
      </c>
      <c r="AI366" s="11" t="inlineStr">
        <is>
          <t>D2</t>
        </is>
      </c>
      <c r="AJ366" s="11" t="inlineStr">
        <is>
          <t>E3</t>
        </is>
      </c>
      <c r="AK366" s="11" t="inlineStr">
        <is>
          <t>PISA-V2</t>
        </is>
      </c>
      <c r="AL366" s="11" t="inlineStr">
        <is>
          <t>PISA-V3</t>
        </is>
      </c>
      <c r="AM366" s="11">
        <f>IF(AK366="FUERA","Fuera del marco",IFERROR(INDEX('Datos - Catálogo PISA'!$C$5:$C$76,MATCH(AK366,'Datos - Catálogo PISA'!$A$5:$A$76,0)),"?"))</f>
        <v/>
      </c>
      <c r="AN366" s="11" t="inlineStr">
        <is>
          <t>Contenido</t>
        </is>
      </c>
      <c r="AO366" s="11" t="n"/>
      <c r="AP366" s="11" t="n"/>
      <c r="AQ366" s="11" t="inlineStr">
        <is>
          <t>Sin contexto</t>
        </is>
      </c>
      <c r="AR366" s="11" t="n"/>
      <c r="AS366" s="11" t="inlineStr">
        <is>
          <t>Media</t>
        </is>
      </c>
      <c r="AT366" s="11" t="inlineStr">
        <is>
          <t>alta</t>
        </is>
      </c>
      <c r="AU366" s="11" t="inlineStr">
        <is>
          <t>Extracción y tinción de ADN en laboratorio</t>
        </is>
      </c>
      <c r="AV366" s="11" t="inlineStr">
        <is>
          <t>Ciclo 7°–9°</t>
        </is>
      </c>
      <c r="AW366" s="11">
        <f>AF366&amp;"; "&amp;AG366&amp;"; "&amp;AH366&amp;"; "&amp;AI366&amp;"; "&amp;AJ366</f>
        <v/>
      </c>
    </row>
    <row r="367">
      <c r="A367" s="11" t="inlineStr">
        <is>
          <t>T1001-G07-CIE</t>
        </is>
      </c>
      <c r="B367" s="11" t="n">
        <v>7</v>
      </c>
      <c r="C367" s="11" t="inlineStr">
        <is>
          <t>Ciencias</t>
        </is>
      </c>
      <c r="D367" s="11" t="inlineStr">
        <is>
          <t>Matriz_Ciencias_7mo_Grado_U1_U6.xlsx</t>
        </is>
      </c>
      <c r="E367" s="11" t="inlineStr">
        <is>
          <t>Unidad 2 - Genética y evolución</t>
        </is>
      </c>
      <c r="F367" s="11" t="n">
        <v>5</v>
      </c>
      <c r="G367" s="11" t="inlineStr">
        <is>
          <t>2. Genética y evolución</t>
        </is>
      </c>
      <c r="H367" s="11" t="inlineStr">
        <is>
          <t>Material genético</t>
        </is>
      </c>
      <c r="I367" s="38" t="inlineStr">
        <is>
          <t>2.3. Explicación del funcionamiento de técnicas básicas para la extracción y tinción de ácidos nucleicos.</t>
        </is>
      </c>
      <c r="J367" s="11" t="inlineStr">
        <is>
          <t>T8_27</t>
        </is>
      </c>
      <c r="K367" s="11" t="inlineStr">
        <is>
          <t>T8_27-B3.1</t>
        </is>
      </c>
      <c r="L367" s="11" t="inlineStr"/>
      <c r="M367" s="11">
        <f>IF(K367="FUERA","Fuera del marco",IF(K367="N/A","Sin marco",IFERROR(INDEX('Datos - Catálogo TIMSS'!$C$5:$C$107,MATCH(K367,'Datos - Catálogo TIMSS'!$A$5:$A$107,0)),"Pendiente de clasificar")))</f>
        <v/>
      </c>
      <c r="N367" s="11">
        <f>IF(K367="FUERA","Fuera del marco",IF(K367="N/A","Sin marco",IFERROR(INDEX('Datos - Catálogo TIMSS'!$F$5:$F$107,MATCH(K367,'Datos - Catálogo TIMSS'!$A$5:$A$107,0)),"Pendiente de clasificar")))</f>
        <v/>
      </c>
      <c r="O367" s="11">
        <f>IF(L367="","",IFERROR(INDEX('Datos - Catálogo TIMSS'!$C$5:$C$107,MATCH(L367,'Datos - Catálogo TIMSS'!$A$5:$A$107,0)),"?"))</f>
        <v/>
      </c>
      <c r="P367" s="11" t="inlineStr">
        <is>
          <t>media</t>
        </is>
      </c>
      <c r="Q367" s="38" t="inlineStr">
        <is>
          <t>Explica técnicas de obtención del ADN, material hereditario</t>
        </is>
      </c>
      <c r="R367" s="38" t="inlineStr">
        <is>
          <t>Razonar: explicar procedimientos</t>
        </is>
      </c>
      <c r="S367" s="39">
        <f>IFERROR(ISNUMBER(SEARCH("Conocer",$R367))/(ISNUMBER(SEARCH("Conocer",$R367))+ISNUMBER(SEARCH("Aplicar",$R367))+ISNUMBER(SEARCH("Razonar",$R367))),0)</f>
        <v/>
      </c>
      <c r="T367" s="39">
        <f>IFERROR(ISNUMBER(SEARCH("Aplicar",$R367))/(ISNUMBER(SEARCH("Conocer",$R367))+ISNUMBER(SEARCH("Aplicar",$R367))+ISNUMBER(SEARCH("Razonar",$R367))),0)</f>
        <v/>
      </c>
      <c r="U367" s="39">
        <f>IFERROR(ISNUMBER(SEARCH("Razonar",$R367))/(ISNUMBER(SEARCH("Conocer",$R367))+ISNUMBER(SEARCH("Aplicar",$R367))+ISNUMBER(SEARCH("Razonar",$R367))),0)</f>
        <v/>
      </c>
      <c r="V367" s="11" t="inlineStr">
        <is>
          <t>7°</t>
        </is>
      </c>
      <c r="W367" s="11" t="inlineStr">
        <is>
          <t>Ciclo 5°–8°</t>
        </is>
      </c>
      <c r="X367" s="11">
        <f>IF(OR(IFERROR(INDEX('Datos - Catálogo TIMSS'!$I$5:$I$107,MATCH(K367,'Datos - Catálogo TIMSS'!$A$5:$A$107,0)),"No")="Sí",IFERROR(INDEX('Datos - Catálogo TIMSS'!$I$5:$I$107,MATCH(L367,'Datos - Catálogo TIMSS'!$A$5:$A$107,0)),"No")="Sí"),1,0)</f>
        <v/>
      </c>
      <c r="Y367" s="11">
        <f>IF(IFERROR(INDEX('Datos - Catálogo TIMSS'!$J$5:$J$107,MATCH(K367,'Datos - Catálogo TIMSS'!$A$5:$A$107,0)),"No")="Sí",1,0)</f>
        <v/>
      </c>
      <c r="Z367" s="11">
        <f>IF(IFERROR(INDEX('Datos - Catálogo TIMSS'!$J$5:$J$107,MATCH(L367,'Datos - Catálogo TIMSS'!$A$5:$A$107,0)),"No")="Sí",1,0)</f>
        <v/>
      </c>
      <c r="AA367" s="11" t="inlineStr">
        <is>
          <t>T8-B3.2</t>
        </is>
      </c>
      <c r="AB367" s="11" t="inlineStr"/>
      <c r="AC367" s="11">
        <f>IF(AA367="FUERA","Fuera del marco",IF(AA367="N/A","Sin marco",IFERROR(INDEX('Datos - TIMSS 2023'!$C$5:$C$105,MATCH(AA367,'Datos - TIMSS 2023'!$A$5:$A$105,0)),"Pendiente de clasificar")))</f>
        <v/>
      </c>
      <c r="AD367" s="11" t="inlineStr">
        <is>
          <t>1. Explicar fenómenos científicamente</t>
        </is>
      </c>
      <c r="AE367" s="11">
        <f>IF(AD367="","",IF(LEFT(AD367,1)="1","C1",IF(LEFT(AD367,1)="2","C2",IF(LEFT(AD367,1)="3","C3",""))))</f>
        <v/>
      </c>
      <c r="AF367" s="11" t="inlineStr">
        <is>
          <t>E1</t>
        </is>
      </c>
      <c r="AG367" s="11" t="inlineStr">
        <is>
          <t>D1</t>
        </is>
      </c>
      <c r="AH367" s="11" t="inlineStr">
        <is>
          <t>E1</t>
        </is>
      </c>
      <c r="AI367" s="11" t="inlineStr">
        <is>
          <t>D3</t>
        </is>
      </c>
      <c r="AJ367" s="11" t="inlineStr">
        <is>
          <t>E1</t>
        </is>
      </c>
      <c r="AK367" s="11" t="inlineStr">
        <is>
          <t>PISA-V2</t>
        </is>
      </c>
      <c r="AL367" s="11" t="n"/>
      <c r="AM367" s="11">
        <f>IF(AK367="FUERA","Fuera del marco",IFERROR(INDEX('Datos - Catálogo PISA'!$C$5:$C$76,MATCH(AK367,'Datos - Catálogo PISA'!$A$5:$A$76,0)),"?"))</f>
        <v/>
      </c>
      <c r="AN367" s="11" t="inlineStr">
        <is>
          <t>Contenido</t>
        </is>
      </c>
      <c r="AO367" s="11" t="n"/>
      <c r="AP367" s="11" t="n"/>
      <c r="AQ367" s="11" t="inlineStr">
        <is>
          <t>Sin contexto</t>
        </is>
      </c>
      <c r="AR367" s="11" t="n"/>
      <c r="AS367" s="11" t="inlineStr">
        <is>
          <t>Media</t>
        </is>
      </c>
      <c r="AT367" s="11" t="inlineStr">
        <is>
          <t>alta</t>
        </is>
      </c>
      <c r="AU367" s="11" t="inlineStr">
        <is>
          <t>Explica fundamentos de extracción y tinción de ácidos nucleicos</t>
        </is>
      </c>
      <c r="AV367" s="11" t="inlineStr">
        <is>
          <t>Ciclo 7°–9°</t>
        </is>
      </c>
      <c r="AW367" s="11">
        <f>AF367&amp;"; "&amp;AG367&amp;"; "&amp;AH367&amp;"; "&amp;AI367&amp;"; "&amp;AJ367</f>
        <v/>
      </c>
    </row>
    <row r="368">
      <c r="A368" s="11" t="inlineStr">
        <is>
          <t>T1002-G07-CIE</t>
        </is>
      </c>
      <c r="B368" s="11" t="n">
        <v>7</v>
      </c>
      <c r="C368" s="11" t="inlineStr">
        <is>
          <t>Ciencias</t>
        </is>
      </c>
      <c r="D368" s="11" t="inlineStr">
        <is>
          <t>Matriz_Ciencias_7mo_Grado_U1_U6.xlsx</t>
        </is>
      </c>
      <c r="E368" s="11" t="inlineStr">
        <is>
          <t>Unidad 2 - Genética y evolución</t>
        </is>
      </c>
      <c r="F368" s="11" t="n">
        <v>6</v>
      </c>
      <c r="G368" s="11" t="inlineStr">
        <is>
          <t>2. Genética y evolución</t>
        </is>
      </c>
      <c r="H368" s="11" t="inlineStr">
        <is>
          <t>Replicación</t>
        </is>
      </c>
      <c r="I368" s="38" t="inlineStr">
        <is>
          <t>2.4. Análisis de fenómenos cotidianos que involucran la replicación del ADN.</t>
        </is>
      </c>
      <c r="J368" s="11" t="inlineStr">
        <is>
          <t>T8_27</t>
        </is>
      </c>
      <c r="K368" s="11" t="inlineStr">
        <is>
          <t>T8_27-B3.1</t>
        </is>
      </c>
      <c r="L368" s="11" t="inlineStr">
        <is>
          <t>T8_27-B2.1</t>
        </is>
      </c>
      <c r="M368" s="11">
        <f>IF(K368="FUERA","Fuera del marco",IF(K368="N/A","Sin marco",IFERROR(INDEX('Datos - Catálogo TIMSS'!$C$5:$C$107,MATCH(K368,'Datos - Catálogo TIMSS'!$A$5:$A$107,0)),"Pendiente de clasificar")))</f>
        <v/>
      </c>
      <c r="N368" s="11">
        <f>IF(K368="FUERA","Fuera del marco",IF(K368="N/A","Sin marco",IFERROR(INDEX('Datos - Catálogo TIMSS'!$F$5:$F$107,MATCH(K368,'Datos - Catálogo TIMSS'!$A$5:$A$107,0)),"Pendiente de clasificar")))</f>
        <v/>
      </c>
      <c r="O368" s="11">
        <f>IF(L368="","",IFERROR(INDEX('Datos - Catálogo TIMSS'!$C$5:$C$107,MATCH(L368,'Datos - Catálogo TIMSS'!$A$5:$A$107,0)),"?"))</f>
        <v/>
      </c>
      <c r="P368" s="11" t="inlineStr">
        <is>
          <t>media</t>
        </is>
      </c>
      <c r="Q368" s="38" t="inlineStr">
        <is>
          <t>Replicación del ADN ligada a herencia y división celular</t>
        </is>
      </c>
      <c r="R368" s="38" t="inlineStr">
        <is>
          <t>Razonar: analizar</t>
        </is>
      </c>
      <c r="S368" s="39">
        <f>IFERROR(ISNUMBER(SEARCH("Conocer",$R368))/(ISNUMBER(SEARCH("Conocer",$R368))+ISNUMBER(SEARCH("Aplicar",$R368))+ISNUMBER(SEARCH("Razonar",$R368))),0)</f>
        <v/>
      </c>
      <c r="T368" s="39">
        <f>IFERROR(ISNUMBER(SEARCH("Aplicar",$R368))/(ISNUMBER(SEARCH("Conocer",$R368))+ISNUMBER(SEARCH("Aplicar",$R368))+ISNUMBER(SEARCH("Razonar",$R368))),0)</f>
        <v/>
      </c>
      <c r="U368" s="39">
        <f>IFERROR(ISNUMBER(SEARCH("Razonar",$R368))/(ISNUMBER(SEARCH("Conocer",$R368))+ISNUMBER(SEARCH("Aplicar",$R368))+ISNUMBER(SEARCH("Razonar",$R368))),0)</f>
        <v/>
      </c>
      <c r="V368" s="11" t="inlineStr">
        <is>
          <t>7°</t>
        </is>
      </c>
      <c r="W368" s="11" t="inlineStr">
        <is>
          <t>Ciclo 5°–8°</t>
        </is>
      </c>
      <c r="X368" s="11">
        <f>IF(OR(IFERROR(INDEX('Datos - Catálogo TIMSS'!$I$5:$I$107,MATCH(K368,'Datos - Catálogo TIMSS'!$A$5:$A$107,0)),"No")="Sí",IFERROR(INDEX('Datos - Catálogo TIMSS'!$I$5:$I$107,MATCH(L368,'Datos - Catálogo TIMSS'!$A$5:$A$107,0)),"No")="Sí"),1,0)</f>
        <v/>
      </c>
      <c r="Y368" s="11">
        <f>IF(IFERROR(INDEX('Datos - Catálogo TIMSS'!$J$5:$J$107,MATCH(K368,'Datos - Catálogo TIMSS'!$A$5:$A$107,0)),"No")="Sí",1,0)</f>
        <v/>
      </c>
      <c r="Z368" s="11">
        <f>IF(IFERROR(INDEX('Datos - Catálogo TIMSS'!$J$5:$J$107,MATCH(L368,'Datos - Catálogo TIMSS'!$A$5:$A$107,0)),"No")="Sí",1,0)</f>
        <v/>
      </c>
      <c r="AA368" s="11" t="inlineStr">
        <is>
          <t>T8-B3.2</t>
        </is>
      </c>
      <c r="AB368" s="11" t="inlineStr"/>
      <c r="AC368" s="11">
        <f>IF(AA368="FUERA","Fuera del marco",IF(AA368="N/A","Sin marco",IFERROR(INDEX('Datos - TIMSS 2023'!$C$5:$C$105,MATCH(AA368,'Datos - TIMSS 2023'!$A$5:$A$105,0)),"Pendiente de clasificar")))</f>
        <v/>
      </c>
      <c r="AD368" s="11" t="inlineStr">
        <is>
          <t>3. Investigar, evaluar y usar información científica para tomar decisiones y actuar</t>
        </is>
      </c>
      <c r="AE368" s="11">
        <f>IF(AD368="","",IF(LEFT(AD368,1)="1","C1",IF(LEFT(AD368,1)="2","C2",IF(LEFT(AD368,1)="3","C3",""))))</f>
        <v/>
      </c>
      <c r="AF368" s="11" t="inlineStr">
        <is>
          <t>E1</t>
        </is>
      </c>
      <c r="AG368" s="11" t="inlineStr">
        <is>
          <t>D1</t>
        </is>
      </c>
      <c r="AH368" s="11" t="inlineStr">
        <is>
          <t>E1</t>
        </is>
      </c>
      <c r="AI368" s="11" t="inlineStr">
        <is>
          <t>I3</t>
        </is>
      </c>
      <c r="AJ368" s="11" t="inlineStr">
        <is>
          <t>E6</t>
        </is>
      </c>
      <c r="AK368" s="11" t="inlineStr">
        <is>
          <t>PISA-V2</t>
        </is>
      </c>
      <c r="AL368" s="11" t="inlineStr">
        <is>
          <t>PISA-V3</t>
        </is>
      </c>
      <c r="AM368" s="11">
        <f>IF(AK368="FUERA","Fuera del marco",IFERROR(INDEX('Datos - Catálogo PISA'!$C$5:$C$76,MATCH(AK368,'Datos - Catálogo PISA'!$A$5:$A$76,0)),"?"))</f>
        <v/>
      </c>
      <c r="AN368" s="11" t="inlineStr">
        <is>
          <t>Contenido</t>
        </is>
      </c>
      <c r="AO368" s="11" t="n"/>
      <c r="AP368" s="11" t="n"/>
      <c r="AQ368" s="11" t="inlineStr">
        <is>
          <t>Personal</t>
        </is>
      </c>
      <c r="AR368" s="11" t="inlineStr">
        <is>
          <t>Salud y enfermedad</t>
        </is>
      </c>
      <c r="AS368" s="11" t="inlineStr">
        <is>
          <t>Media</t>
        </is>
      </c>
      <c r="AT368" s="11" t="inlineStr">
        <is>
          <t>media</t>
        </is>
      </c>
      <c r="AU368" s="11" t="inlineStr">
        <is>
          <t>Replicación del ADN en crecimiento y reparación cotidianos</t>
        </is>
      </c>
      <c r="AV368" s="11" t="inlineStr">
        <is>
          <t>Ciclo 7°–9°</t>
        </is>
      </c>
      <c r="AW368" s="11">
        <f>AF368&amp;"; "&amp;AG368&amp;"; "&amp;AH368&amp;"; "&amp;AI368&amp;"; "&amp;AJ368</f>
        <v/>
      </c>
    </row>
    <row r="369">
      <c r="A369" s="11" t="inlineStr">
        <is>
          <t>T1003-G07-CIE</t>
        </is>
      </c>
      <c r="B369" s="11" t="n">
        <v>7</v>
      </c>
      <c r="C369" s="11" t="inlineStr">
        <is>
          <t>Ciencias</t>
        </is>
      </c>
      <c r="D369" s="11" t="inlineStr">
        <is>
          <t>Matriz_Ciencias_7mo_Grado_U1_U6.xlsx</t>
        </is>
      </c>
      <c r="E369" s="11" t="inlineStr">
        <is>
          <t>Unidad 2 - Genética y evolución</t>
        </is>
      </c>
      <c r="F369" s="11" t="n">
        <v>7</v>
      </c>
      <c r="G369" s="11" t="inlineStr">
        <is>
          <t>2. Genética y evolución</t>
        </is>
      </c>
      <c r="H369" s="11" t="inlineStr">
        <is>
          <t>Replicación</t>
        </is>
      </c>
      <c r="I369" s="38" t="inlineStr">
        <is>
          <t>2.5. Simulación del proceso de replicación del ADN.</t>
        </is>
      </c>
      <c r="J369" s="11" t="inlineStr">
        <is>
          <t>T8_27</t>
        </is>
      </c>
      <c r="K369" s="11" t="inlineStr">
        <is>
          <t>T8_27-B3.1</t>
        </is>
      </c>
      <c r="L369" s="11" t="inlineStr"/>
      <c r="M369" s="11">
        <f>IF(K369="FUERA","Fuera del marco",IF(K369="N/A","Sin marco",IFERROR(INDEX('Datos - Catálogo TIMSS'!$C$5:$C$107,MATCH(K369,'Datos - Catálogo TIMSS'!$A$5:$A$107,0)),"Pendiente de clasificar")))</f>
        <v/>
      </c>
      <c r="N369" s="11">
        <f>IF(K369="FUERA","Fuera del marco",IF(K369="N/A","Sin marco",IFERROR(INDEX('Datos - Catálogo TIMSS'!$F$5:$F$107,MATCH(K369,'Datos - Catálogo TIMSS'!$A$5:$A$107,0)),"Pendiente de clasificar")))</f>
        <v/>
      </c>
      <c r="O369" s="11">
        <f>IF(L369="","",IFERROR(INDEX('Datos - Catálogo TIMSS'!$C$5:$C$107,MATCH(L369,'Datos - Catálogo TIMSS'!$A$5:$A$107,0)),"?"))</f>
        <v/>
      </c>
      <c r="P369" s="11" t="inlineStr">
        <is>
          <t>media</t>
        </is>
      </c>
      <c r="Q369" s="38" t="inlineStr">
        <is>
          <t>Modelo de replicación del ADN, material hereditario</t>
        </is>
      </c>
      <c r="R369" s="38" t="inlineStr">
        <is>
          <t>Aplicar: usar modelos</t>
        </is>
      </c>
      <c r="S369" s="39">
        <f>IFERROR(ISNUMBER(SEARCH("Conocer",$R369))/(ISNUMBER(SEARCH("Conocer",$R369))+ISNUMBER(SEARCH("Aplicar",$R369))+ISNUMBER(SEARCH("Razonar",$R369))),0)</f>
        <v/>
      </c>
      <c r="T369" s="39">
        <f>IFERROR(ISNUMBER(SEARCH("Aplicar",$R369))/(ISNUMBER(SEARCH("Conocer",$R369))+ISNUMBER(SEARCH("Aplicar",$R369))+ISNUMBER(SEARCH("Razonar",$R369))),0)</f>
        <v/>
      </c>
      <c r="U369" s="39">
        <f>IFERROR(ISNUMBER(SEARCH("Razonar",$R369))/(ISNUMBER(SEARCH("Conocer",$R369))+ISNUMBER(SEARCH("Aplicar",$R369))+ISNUMBER(SEARCH("Razonar",$R369))),0)</f>
        <v/>
      </c>
      <c r="V369" s="11" t="inlineStr">
        <is>
          <t>7°</t>
        </is>
      </c>
      <c r="W369" s="11" t="inlineStr">
        <is>
          <t>Ciclo 5°–8°</t>
        </is>
      </c>
      <c r="X369" s="11">
        <f>IF(OR(IFERROR(INDEX('Datos - Catálogo TIMSS'!$I$5:$I$107,MATCH(K369,'Datos - Catálogo TIMSS'!$A$5:$A$107,0)),"No")="Sí",IFERROR(INDEX('Datos - Catálogo TIMSS'!$I$5:$I$107,MATCH(L369,'Datos - Catálogo TIMSS'!$A$5:$A$107,0)),"No")="Sí"),1,0)</f>
        <v/>
      </c>
      <c r="Y369" s="11">
        <f>IF(IFERROR(INDEX('Datos - Catálogo TIMSS'!$J$5:$J$107,MATCH(K369,'Datos - Catálogo TIMSS'!$A$5:$A$107,0)),"No")="Sí",1,0)</f>
        <v/>
      </c>
      <c r="Z369" s="11">
        <f>IF(IFERROR(INDEX('Datos - Catálogo TIMSS'!$J$5:$J$107,MATCH(L369,'Datos - Catálogo TIMSS'!$A$5:$A$107,0)),"No")="Sí",1,0)</f>
        <v/>
      </c>
      <c r="AA369" s="11" t="inlineStr">
        <is>
          <t>T8-B3.2</t>
        </is>
      </c>
      <c r="AB369" s="11" t="inlineStr"/>
      <c r="AC369" s="11">
        <f>IF(AA369="FUERA","Fuera del marco",IF(AA369="N/A","Sin marco",IFERROR(INDEX('Datos - TIMSS 2023'!$C$5:$C$105,MATCH(AA369,'Datos - TIMSS 2023'!$A$5:$A$105,0)),"Pendiente de clasificar")))</f>
        <v/>
      </c>
      <c r="AD369" s="11" t="inlineStr">
        <is>
          <t>1. Explicar fenómenos científicamente</t>
        </is>
      </c>
      <c r="AE369" s="11">
        <f>IF(AD369="","",IF(LEFT(AD369,1)="1","C1",IF(LEFT(AD369,1)="2","C2",IF(LEFT(AD369,1)="3","C3",""))))</f>
        <v/>
      </c>
      <c r="AF369" s="11" t="inlineStr">
        <is>
          <t>E1</t>
        </is>
      </c>
      <c r="AG369" s="11" t="inlineStr">
        <is>
          <t>D1</t>
        </is>
      </c>
      <c r="AH369" s="11" t="inlineStr">
        <is>
          <t>E4</t>
        </is>
      </c>
      <c r="AI369" s="11" t="inlineStr">
        <is>
          <t>E4</t>
        </is>
      </c>
      <c r="AJ369" s="11" t="inlineStr">
        <is>
          <t>E1</t>
        </is>
      </c>
      <c r="AK369" s="11" t="inlineStr">
        <is>
          <t>PISA-V2</t>
        </is>
      </c>
      <c r="AL369" s="11" t="n"/>
      <c r="AM369" s="11">
        <f>IF(AK369="FUERA","Fuera del marco",IFERROR(INDEX('Datos - Catálogo PISA'!$C$5:$C$76,MATCH(AK369,'Datos - Catálogo PISA'!$A$5:$A$76,0)),"?"))</f>
        <v/>
      </c>
      <c r="AN369" s="11" t="inlineStr">
        <is>
          <t>Contenido</t>
        </is>
      </c>
      <c r="AO369" s="11" t="n"/>
      <c r="AP369" s="11" t="inlineStr">
        <is>
          <t>PISA-EP4;</t>
        </is>
      </c>
      <c r="AQ369" s="11" t="inlineStr">
        <is>
          <t>Sin contexto</t>
        </is>
      </c>
      <c r="AR369" s="11" t="n"/>
      <c r="AS369" s="11" t="inlineStr">
        <is>
          <t>Media</t>
        </is>
      </c>
      <c r="AT369" s="11" t="inlineStr">
        <is>
          <t>alta</t>
        </is>
      </c>
      <c r="AU369" s="11" t="inlineStr">
        <is>
          <t>Modelo manipulativo de la replicación del ADN</t>
        </is>
      </c>
      <c r="AV369" s="11" t="inlineStr">
        <is>
          <t>Ciclo 7°–9°</t>
        </is>
      </c>
      <c r="AW369" s="11">
        <f>AF369&amp;"; "&amp;AG369&amp;"; "&amp;AH369&amp;"; "&amp;AI369&amp;"; "&amp;AJ369</f>
        <v/>
      </c>
    </row>
    <row r="370">
      <c r="A370" s="11" t="inlineStr">
        <is>
          <t>T1004-G07-CIE</t>
        </is>
      </c>
      <c r="B370" s="11" t="n">
        <v>7</v>
      </c>
      <c r="C370" s="11" t="inlineStr">
        <is>
          <t>Ciencias</t>
        </is>
      </c>
      <c r="D370" s="11" t="inlineStr">
        <is>
          <t>Matriz_Ciencias_7mo_Grado_U1_U6.xlsx</t>
        </is>
      </c>
      <c r="E370" s="11" t="inlineStr">
        <is>
          <t>Unidad 2 - Genética y evolución</t>
        </is>
      </c>
      <c r="F370" s="11" t="n">
        <v>8</v>
      </c>
      <c r="G370" s="11" t="inlineStr">
        <is>
          <t>2. Genética y evolución</t>
        </is>
      </c>
      <c r="H370" s="11" t="inlineStr">
        <is>
          <t>Replicación</t>
        </is>
      </c>
      <c r="I370" s="38" t="inlineStr">
        <is>
          <t>2.6. Elaboración de recursos explicativos acerca del proceso de replicación del ADN.</t>
        </is>
      </c>
      <c r="J370" s="11" t="inlineStr">
        <is>
          <t>T8_27</t>
        </is>
      </c>
      <c r="K370" s="11" t="inlineStr">
        <is>
          <t>T8_27-B3.1</t>
        </is>
      </c>
      <c r="L370" s="11" t="inlineStr"/>
      <c r="M370" s="11">
        <f>IF(K370="FUERA","Fuera del marco",IF(K370="N/A","Sin marco",IFERROR(INDEX('Datos - Catálogo TIMSS'!$C$5:$C$107,MATCH(K370,'Datos - Catálogo TIMSS'!$A$5:$A$107,0)),"Pendiente de clasificar")))</f>
        <v/>
      </c>
      <c r="N370" s="11">
        <f>IF(K370="FUERA","Fuera del marco",IF(K370="N/A","Sin marco",IFERROR(INDEX('Datos - Catálogo TIMSS'!$F$5:$F$107,MATCH(K370,'Datos - Catálogo TIMSS'!$A$5:$A$107,0)),"Pendiente de clasificar")))</f>
        <v/>
      </c>
      <c r="O370" s="11">
        <f>IF(L370="","",IFERROR(INDEX('Datos - Catálogo TIMSS'!$C$5:$C$107,MATCH(L370,'Datos - Catálogo TIMSS'!$A$5:$A$107,0)),"?"))</f>
        <v/>
      </c>
      <c r="P370" s="11" t="inlineStr">
        <is>
          <t>media</t>
        </is>
      </c>
      <c r="Q370" s="38" t="inlineStr">
        <is>
          <t>Recurso explicativo sobre replicación del ADN</t>
        </is>
      </c>
      <c r="R370" s="38" t="inlineStr">
        <is>
          <t>Aplicar: comunicar</t>
        </is>
      </c>
      <c r="S370" s="39">
        <f>IFERROR(ISNUMBER(SEARCH("Conocer",$R370))/(ISNUMBER(SEARCH("Conocer",$R370))+ISNUMBER(SEARCH("Aplicar",$R370))+ISNUMBER(SEARCH("Razonar",$R370))),0)</f>
        <v/>
      </c>
      <c r="T370" s="39">
        <f>IFERROR(ISNUMBER(SEARCH("Aplicar",$R370))/(ISNUMBER(SEARCH("Conocer",$R370))+ISNUMBER(SEARCH("Aplicar",$R370))+ISNUMBER(SEARCH("Razonar",$R370))),0)</f>
        <v/>
      </c>
      <c r="U370" s="39">
        <f>IFERROR(ISNUMBER(SEARCH("Razonar",$R370))/(ISNUMBER(SEARCH("Conocer",$R370))+ISNUMBER(SEARCH("Aplicar",$R370))+ISNUMBER(SEARCH("Razonar",$R370))),0)</f>
        <v/>
      </c>
      <c r="V370" s="11" t="inlineStr">
        <is>
          <t>7°</t>
        </is>
      </c>
      <c r="W370" s="11" t="inlineStr">
        <is>
          <t>Ciclo 5°–8°</t>
        </is>
      </c>
      <c r="X370" s="11">
        <f>IF(OR(IFERROR(INDEX('Datos - Catálogo TIMSS'!$I$5:$I$107,MATCH(K370,'Datos - Catálogo TIMSS'!$A$5:$A$107,0)),"No")="Sí",IFERROR(INDEX('Datos - Catálogo TIMSS'!$I$5:$I$107,MATCH(L370,'Datos - Catálogo TIMSS'!$A$5:$A$107,0)),"No")="Sí"),1,0)</f>
        <v/>
      </c>
      <c r="Y370" s="11">
        <f>IF(IFERROR(INDEX('Datos - Catálogo TIMSS'!$J$5:$J$107,MATCH(K370,'Datos - Catálogo TIMSS'!$A$5:$A$107,0)),"No")="Sí",1,0)</f>
        <v/>
      </c>
      <c r="Z370" s="11">
        <f>IF(IFERROR(INDEX('Datos - Catálogo TIMSS'!$J$5:$J$107,MATCH(L370,'Datos - Catálogo TIMSS'!$A$5:$A$107,0)),"No")="Sí",1,0)</f>
        <v/>
      </c>
      <c r="AA370" s="11" t="inlineStr">
        <is>
          <t>T8-B3.2</t>
        </is>
      </c>
      <c r="AB370" s="11" t="inlineStr"/>
      <c r="AC370" s="11">
        <f>IF(AA370="FUERA","Fuera del marco",IF(AA370="N/A","Sin marco",IFERROR(INDEX('Datos - TIMSS 2023'!$C$5:$C$105,MATCH(AA370,'Datos - TIMSS 2023'!$A$5:$A$105,0)),"Pendiente de clasificar")))</f>
        <v/>
      </c>
      <c r="AD370" s="11" t="inlineStr">
        <is>
          <t>1. Explicar fenómenos científicamente</t>
        </is>
      </c>
      <c r="AE370" s="11">
        <f>IF(AD370="","",IF(LEFT(AD370,1)="1","C1",IF(LEFT(AD370,1)="2","C2",IF(LEFT(AD370,1)="3","C3",""))))</f>
        <v/>
      </c>
      <c r="AF370" s="11" t="inlineStr">
        <is>
          <t>E1</t>
        </is>
      </c>
      <c r="AG370" s="11" t="inlineStr">
        <is>
          <t>D1</t>
        </is>
      </c>
      <c r="AH370" s="11" t="inlineStr">
        <is>
          <t>E2</t>
        </is>
      </c>
      <c r="AI370" s="11" t="inlineStr">
        <is>
          <t>D3</t>
        </is>
      </c>
      <c r="AJ370" s="11" t="inlineStr">
        <is>
          <t>E6</t>
        </is>
      </c>
      <c r="AK370" s="11" t="inlineStr">
        <is>
          <t>PISA-V2</t>
        </is>
      </c>
      <c r="AL370" s="11" t="n"/>
      <c r="AM370" s="11">
        <f>IF(AK370="FUERA","Fuera del marco",IFERROR(INDEX('Datos - Catálogo PISA'!$C$5:$C$76,MATCH(AK370,'Datos - Catálogo PISA'!$A$5:$A$76,0)),"?"))</f>
        <v/>
      </c>
      <c r="AN370" s="11" t="inlineStr">
        <is>
          <t>Contenido</t>
        </is>
      </c>
      <c r="AO370" s="11" t="n"/>
      <c r="AP370" s="11" t="n"/>
      <c r="AQ370" s="11" t="inlineStr">
        <is>
          <t>Sin contexto</t>
        </is>
      </c>
      <c r="AR370" s="11" t="n"/>
      <c r="AS370" s="11" t="inlineStr">
        <is>
          <t>Media</t>
        </is>
      </c>
      <c r="AT370" s="11" t="inlineStr">
        <is>
          <t>alta</t>
        </is>
      </c>
      <c r="AU370" s="11" t="inlineStr">
        <is>
          <t>Recurso explicativo sobre replicación del ADN</t>
        </is>
      </c>
      <c r="AV370" s="11" t="inlineStr">
        <is>
          <t>Ciclo 7°–9°</t>
        </is>
      </c>
      <c r="AW370" s="11">
        <f>AF370&amp;"; "&amp;AG370&amp;"; "&amp;AH370&amp;"; "&amp;AI370&amp;"; "&amp;AJ370</f>
        <v/>
      </c>
    </row>
    <row r="371">
      <c r="A371" s="11" t="inlineStr">
        <is>
          <t>T1005-G07-CIE</t>
        </is>
      </c>
      <c r="B371" s="11" t="n">
        <v>7</v>
      </c>
      <c r="C371" s="11" t="inlineStr">
        <is>
          <t>Ciencias</t>
        </is>
      </c>
      <c r="D371" s="11" t="inlineStr">
        <is>
          <t>Matriz_Ciencias_7mo_Grado_U1_U6.xlsx</t>
        </is>
      </c>
      <c r="E371" s="11" t="inlineStr">
        <is>
          <t>Unidad 2 - Genética y evolución</t>
        </is>
      </c>
      <c r="F371" s="11" t="n">
        <v>9</v>
      </c>
      <c r="G371" s="11" t="inlineStr">
        <is>
          <t>2. Genética y evolución</t>
        </is>
      </c>
      <c r="H371" s="11" t="inlineStr">
        <is>
          <t>Polimorfismo y alelos</t>
        </is>
      </c>
      <c r="I371" s="38" t="inlineStr">
        <is>
          <t>2.7. Indagación del concepto de alelo a partir de fenómenos cotidianos.</t>
        </is>
      </c>
      <c r="J371" s="11" t="inlineStr">
        <is>
          <t>T8_27</t>
        </is>
      </c>
      <c r="K371" s="11" t="inlineStr">
        <is>
          <t>T8_27-B3.1</t>
        </is>
      </c>
      <c r="L371" s="11" t="inlineStr"/>
      <c r="M371" s="11">
        <f>IF(K371="FUERA","Fuera del marco",IF(K371="N/A","Sin marco",IFERROR(INDEX('Datos - Catálogo TIMSS'!$C$5:$C$107,MATCH(K371,'Datos - Catálogo TIMSS'!$A$5:$A$107,0)),"Pendiente de clasificar")))</f>
        <v/>
      </c>
      <c r="N371" s="11">
        <f>IF(K371="FUERA","Fuera del marco",IF(K371="N/A","Sin marco",IFERROR(INDEX('Datos - Catálogo TIMSS'!$F$5:$F$107,MATCH(K371,'Datos - Catálogo TIMSS'!$A$5:$A$107,0)),"Pendiente de clasificar")))</f>
        <v/>
      </c>
      <c r="O371" s="11">
        <f>IF(L371="","",IFERROR(INDEX('Datos - Catálogo TIMSS'!$C$5:$C$107,MATCH(L371,'Datos - Catálogo TIMSS'!$A$5:$A$107,0)),"?"))</f>
        <v/>
      </c>
      <c r="P371" s="11" t="inlineStr">
        <is>
          <t>alta</t>
        </is>
      </c>
      <c r="Q371" s="38" t="inlineStr">
        <is>
          <t>Concepto de alelo como base de la herencia de rasgos</t>
        </is>
      </c>
      <c r="R371" s="38" t="inlineStr">
        <is>
          <t>Conocer: definir</t>
        </is>
      </c>
      <c r="S371" s="39">
        <f>IFERROR(ISNUMBER(SEARCH("Conocer",$R371))/(ISNUMBER(SEARCH("Conocer",$R371))+ISNUMBER(SEARCH("Aplicar",$R371))+ISNUMBER(SEARCH("Razonar",$R371))),0)</f>
        <v/>
      </c>
      <c r="T371" s="39">
        <f>IFERROR(ISNUMBER(SEARCH("Aplicar",$R371))/(ISNUMBER(SEARCH("Conocer",$R371))+ISNUMBER(SEARCH("Aplicar",$R371))+ISNUMBER(SEARCH("Razonar",$R371))),0)</f>
        <v/>
      </c>
      <c r="U371" s="39">
        <f>IFERROR(ISNUMBER(SEARCH("Razonar",$R371))/(ISNUMBER(SEARCH("Conocer",$R371))+ISNUMBER(SEARCH("Aplicar",$R371))+ISNUMBER(SEARCH("Razonar",$R371))),0)</f>
        <v/>
      </c>
      <c r="V371" s="11" t="inlineStr">
        <is>
          <t>7°</t>
        </is>
      </c>
      <c r="W371" s="11" t="inlineStr">
        <is>
          <t>Ciclo 5°–8°</t>
        </is>
      </c>
      <c r="X371" s="11">
        <f>IF(OR(IFERROR(INDEX('Datos - Catálogo TIMSS'!$I$5:$I$107,MATCH(K371,'Datos - Catálogo TIMSS'!$A$5:$A$107,0)),"No")="Sí",IFERROR(INDEX('Datos - Catálogo TIMSS'!$I$5:$I$107,MATCH(L371,'Datos - Catálogo TIMSS'!$A$5:$A$107,0)),"No")="Sí"),1,0)</f>
        <v/>
      </c>
      <c r="Y371" s="11">
        <f>IF(IFERROR(INDEX('Datos - Catálogo TIMSS'!$J$5:$J$107,MATCH(K371,'Datos - Catálogo TIMSS'!$A$5:$A$107,0)),"No")="Sí",1,0)</f>
        <v/>
      </c>
      <c r="Z371" s="11">
        <f>IF(IFERROR(INDEX('Datos - Catálogo TIMSS'!$J$5:$J$107,MATCH(L371,'Datos - Catálogo TIMSS'!$A$5:$A$107,0)),"No")="Sí",1,0)</f>
        <v/>
      </c>
      <c r="AA371" s="11" t="inlineStr">
        <is>
          <t>T8-B3.2</t>
        </is>
      </c>
      <c r="AB371" s="11" t="inlineStr"/>
      <c r="AC371" s="11">
        <f>IF(AA371="FUERA","Fuera del marco",IF(AA371="N/A","Sin marco",IFERROR(INDEX('Datos - TIMSS 2023'!$C$5:$C$105,MATCH(AA371,'Datos - TIMSS 2023'!$A$5:$A$105,0)),"Pendiente de clasificar")))</f>
        <v/>
      </c>
      <c r="AD371" s="11" t="inlineStr">
        <is>
          <t>1. Explicar fenómenos científicamente</t>
        </is>
      </c>
      <c r="AE371" s="11">
        <f>IF(AD371="","",IF(LEFT(AD371,1)="1","C1",IF(LEFT(AD371,1)="2","C2",IF(LEFT(AD371,1)="3","C3",""))))</f>
        <v/>
      </c>
      <c r="AF371" s="11" t="inlineStr">
        <is>
          <t>E1</t>
        </is>
      </c>
      <c r="AG371" s="11" t="inlineStr">
        <is>
          <t>E5</t>
        </is>
      </c>
      <c r="AH371" s="11" t="inlineStr">
        <is>
          <t>E1</t>
        </is>
      </c>
      <c r="AI371" s="11" t="inlineStr">
        <is>
          <t>D4</t>
        </is>
      </c>
      <c r="AJ371" s="11" t="inlineStr">
        <is>
          <t>E1</t>
        </is>
      </c>
      <c r="AK371" s="11" t="inlineStr">
        <is>
          <t>PISA-V2</t>
        </is>
      </c>
      <c r="AL371" s="11" t="n"/>
      <c r="AM371" s="11">
        <f>IF(AK371="FUERA","Fuera del marco",IFERROR(INDEX('Datos - Catálogo PISA'!$C$5:$C$76,MATCH(AK371,'Datos - Catálogo PISA'!$A$5:$A$76,0)),"?"))</f>
        <v/>
      </c>
      <c r="AN371" s="11" t="inlineStr">
        <is>
          <t>Contenido</t>
        </is>
      </c>
      <c r="AO371" s="11" t="n"/>
      <c r="AP371" s="11" t="n"/>
      <c r="AQ371" s="11" t="inlineStr">
        <is>
          <t>Sin contexto</t>
        </is>
      </c>
      <c r="AR371" s="11" t="n"/>
      <c r="AS371" s="11" t="inlineStr">
        <is>
          <t>Media</t>
        </is>
      </c>
      <c r="AT371" s="11" t="inlineStr">
        <is>
          <t>alta</t>
        </is>
      </c>
      <c r="AU371" s="11" t="inlineStr">
        <is>
          <t>Concepto de alelo con ejemplos de plantas</t>
        </is>
      </c>
      <c r="AV371" s="11" t="inlineStr">
        <is>
          <t>Ciclo 7°–9°</t>
        </is>
      </c>
      <c r="AW371" s="11">
        <f>AF371&amp;"; "&amp;AG371&amp;"; "&amp;AH371&amp;"; "&amp;AI371&amp;"; "&amp;AJ371</f>
        <v/>
      </c>
    </row>
    <row r="372">
      <c r="A372" s="11" t="inlineStr">
        <is>
          <t>T1006-G07-CIE</t>
        </is>
      </c>
      <c r="B372" s="11" t="n">
        <v>7</v>
      </c>
      <c r="C372" s="11" t="inlineStr">
        <is>
          <t>Ciencias</t>
        </is>
      </c>
      <c r="D372" s="11" t="inlineStr">
        <is>
          <t>Matriz_Ciencias_7mo_Grado_U1_U6.xlsx</t>
        </is>
      </c>
      <c r="E372" s="11" t="inlineStr">
        <is>
          <t>Unidad 2 - Genética y evolución</t>
        </is>
      </c>
      <c r="F372" s="11" t="n">
        <v>10</v>
      </c>
      <c r="G372" s="11" t="inlineStr">
        <is>
          <t>2. Genética y evolución</t>
        </is>
      </c>
      <c r="H372" s="11" t="inlineStr">
        <is>
          <t>Polimorfismo y alelos</t>
        </is>
      </c>
      <c r="I372" s="38" t="inlineStr">
        <is>
          <t>2.8. Visualización de polimorfismos a partir de casos.</t>
        </is>
      </c>
      <c r="J372" s="11" t="inlineStr">
        <is>
          <t>T8_27</t>
        </is>
      </c>
      <c r="K372" s="11" t="inlineStr">
        <is>
          <t>T8_27-B3.1</t>
        </is>
      </c>
      <c r="L372" s="11" t="inlineStr">
        <is>
          <t>T8_27-B4.1</t>
        </is>
      </c>
      <c r="M372" s="11">
        <f>IF(K372="FUERA","Fuera del marco",IF(K372="N/A","Sin marco",IFERROR(INDEX('Datos - Catálogo TIMSS'!$C$5:$C$107,MATCH(K372,'Datos - Catálogo TIMSS'!$A$5:$A$107,0)),"Pendiente de clasificar")))</f>
        <v/>
      </c>
      <c r="N372" s="11">
        <f>IF(K372="FUERA","Fuera del marco",IF(K372="N/A","Sin marco",IFERROR(INDEX('Datos - Catálogo TIMSS'!$F$5:$F$107,MATCH(K372,'Datos - Catálogo TIMSS'!$A$5:$A$107,0)),"Pendiente de clasificar")))</f>
        <v/>
      </c>
      <c r="O372" s="11">
        <f>IF(L372="","",IFERROR(INDEX('Datos - Catálogo TIMSS'!$C$5:$C$107,MATCH(L372,'Datos - Catálogo TIMSS'!$A$5:$A$107,0)),"?"))</f>
        <v/>
      </c>
      <c r="P372" s="11" t="inlineStr">
        <is>
          <t>media</t>
        </is>
      </c>
      <c r="Q372" s="38" t="inlineStr">
        <is>
          <t>Polimorfismos: variantes genéticas y variación en poblaciones</t>
        </is>
      </c>
      <c r="R372" s="38" t="inlineStr">
        <is>
          <t>Aplicar: analizar casos</t>
        </is>
      </c>
      <c r="S372" s="39">
        <f>IFERROR(ISNUMBER(SEARCH("Conocer",$R372))/(ISNUMBER(SEARCH("Conocer",$R372))+ISNUMBER(SEARCH("Aplicar",$R372))+ISNUMBER(SEARCH("Razonar",$R372))),0)</f>
        <v/>
      </c>
      <c r="T372" s="39">
        <f>IFERROR(ISNUMBER(SEARCH("Aplicar",$R372))/(ISNUMBER(SEARCH("Conocer",$R372))+ISNUMBER(SEARCH("Aplicar",$R372))+ISNUMBER(SEARCH("Razonar",$R372))),0)</f>
        <v/>
      </c>
      <c r="U372" s="39">
        <f>IFERROR(ISNUMBER(SEARCH("Razonar",$R372))/(ISNUMBER(SEARCH("Conocer",$R372))+ISNUMBER(SEARCH("Aplicar",$R372))+ISNUMBER(SEARCH("Razonar",$R372))),0)</f>
        <v/>
      </c>
      <c r="V372" s="11" t="inlineStr">
        <is>
          <t>7°</t>
        </is>
      </c>
      <c r="W372" s="11" t="inlineStr">
        <is>
          <t>Ciclo 5°–8°</t>
        </is>
      </c>
      <c r="X372" s="11">
        <f>IF(OR(IFERROR(INDEX('Datos - Catálogo TIMSS'!$I$5:$I$107,MATCH(K372,'Datos - Catálogo TIMSS'!$A$5:$A$107,0)),"No")="Sí",IFERROR(INDEX('Datos - Catálogo TIMSS'!$I$5:$I$107,MATCH(L372,'Datos - Catálogo TIMSS'!$A$5:$A$107,0)),"No")="Sí"),1,0)</f>
        <v/>
      </c>
      <c r="Y372" s="11">
        <f>IF(IFERROR(INDEX('Datos - Catálogo TIMSS'!$J$5:$J$107,MATCH(K372,'Datos - Catálogo TIMSS'!$A$5:$A$107,0)),"No")="Sí",1,0)</f>
        <v/>
      </c>
      <c r="Z372" s="11">
        <f>IF(IFERROR(INDEX('Datos - Catálogo TIMSS'!$J$5:$J$107,MATCH(L372,'Datos - Catálogo TIMSS'!$A$5:$A$107,0)),"No")="Sí",1,0)</f>
        <v/>
      </c>
      <c r="AA372" s="11" t="inlineStr">
        <is>
          <t>T8-B3.2</t>
        </is>
      </c>
      <c r="AB372" s="11" t="inlineStr">
        <is>
          <t>T8-B4.1</t>
        </is>
      </c>
      <c r="AC372" s="11">
        <f>IF(AA372="FUERA","Fuera del marco",IF(AA372="N/A","Sin marco",IFERROR(INDEX('Datos - TIMSS 2023'!$C$5:$C$105,MATCH(AA372,'Datos - TIMSS 2023'!$A$5:$A$105,0)),"Pendiente de clasificar")))</f>
        <v/>
      </c>
      <c r="AD372" s="11" t="inlineStr">
        <is>
          <t>2. Construir y evaluar diseños para la indagación científica e interpretar datos y evidencia de forma crítica</t>
        </is>
      </c>
      <c r="AE372" s="11">
        <f>IF(AD372="","",IF(LEFT(AD372,1)="1","C1",IF(LEFT(AD372,1)="2","C2",IF(LEFT(AD372,1)="3","C3",""))))</f>
        <v/>
      </c>
      <c r="AF372" s="11" t="inlineStr">
        <is>
          <t>E1</t>
        </is>
      </c>
      <c r="AG372" s="11" t="inlineStr">
        <is>
          <t>D1</t>
        </is>
      </c>
      <c r="AH372" s="11" t="inlineStr">
        <is>
          <t>E1</t>
        </is>
      </c>
      <c r="AI372" s="11" t="inlineStr">
        <is>
          <t>D4</t>
        </is>
      </c>
      <c r="AJ372" s="11" t="inlineStr">
        <is>
          <t>E1</t>
        </is>
      </c>
      <c r="AK372" s="11" t="inlineStr">
        <is>
          <t>PISA-V2</t>
        </is>
      </c>
      <c r="AL372" s="11" t="inlineStr">
        <is>
          <t>PISA-V5</t>
        </is>
      </c>
      <c r="AM372" s="11">
        <f>IF(AK372="FUERA","Fuera del marco",IFERROR(INDEX('Datos - Catálogo PISA'!$C$5:$C$76,MATCH(AK372,'Datos - Catálogo PISA'!$A$5:$A$76,0)),"?"))</f>
        <v/>
      </c>
      <c r="AN372" s="11" t="inlineStr">
        <is>
          <t>Contenido</t>
        </is>
      </c>
      <c r="AO372" s="11" t="n"/>
      <c r="AP372" s="11" t="n"/>
      <c r="AQ372" s="11" t="inlineStr">
        <is>
          <t>Sin contexto</t>
        </is>
      </c>
      <c r="AR372" s="11" t="n"/>
      <c r="AS372" s="11" t="inlineStr">
        <is>
          <t>Media</t>
        </is>
      </c>
      <c r="AT372" s="11" t="inlineStr">
        <is>
          <t>alta</t>
        </is>
      </c>
      <c r="AU372" s="11" t="inlineStr">
        <is>
          <t>Polimorfismos: variación genética a partir de casos</t>
        </is>
      </c>
      <c r="AV372" s="11" t="inlineStr">
        <is>
          <t>Ciclo 7°–9°</t>
        </is>
      </c>
      <c r="AW372" s="11">
        <f>AF372&amp;"; "&amp;AG372&amp;"; "&amp;AH372&amp;"; "&amp;AI372&amp;"; "&amp;AJ372</f>
        <v/>
      </c>
    </row>
    <row r="373">
      <c r="A373" s="11" t="inlineStr">
        <is>
          <t>T1007-G07-CIE</t>
        </is>
      </c>
      <c r="B373" s="11" t="n">
        <v>7</v>
      </c>
      <c r="C373" s="11" t="inlineStr">
        <is>
          <t>Ciencias</t>
        </is>
      </c>
      <c r="D373" s="11" t="inlineStr">
        <is>
          <t>Matriz_Ciencias_7mo_Grado_U1_U6.xlsx</t>
        </is>
      </c>
      <c r="E373" s="11" t="inlineStr">
        <is>
          <t>Unidad 2 - Genética y evolución</t>
        </is>
      </c>
      <c r="F373" s="11" t="n">
        <v>11</v>
      </c>
      <c r="G373" s="11" t="inlineStr">
        <is>
          <t>2. Genética y evolución</t>
        </is>
      </c>
      <c r="H373" s="11" t="inlineStr">
        <is>
          <t>Polimorfismo y alelos</t>
        </is>
      </c>
      <c r="I373" s="38" t="inlineStr">
        <is>
          <t>2.9. Investigación de enfermedades humanas causadas por alelos defectuosos.</t>
        </is>
      </c>
      <c r="J373" s="11" t="inlineStr">
        <is>
          <t>T8_27</t>
        </is>
      </c>
      <c r="K373" s="11" t="inlineStr">
        <is>
          <t>T8_27-B3.1</t>
        </is>
      </c>
      <c r="L373" s="11" t="inlineStr"/>
      <c r="M373" s="11">
        <f>IF(K373="FUERA","Fuera del marco",IF(K373="N/A","Sin marco",IFERROR(INDEX('Datos - Catálogo TIMSS'!$C$5:$C$107,MATCH(K373,'Datos - Catálogo TIMSS'!$A$5:$A$107,0)),"Pendiente de clasificar")))</f>
        <v/>
      </c>
      <c r="N373" s="11">
        <f>IF(K373="FUERA","Fuera del marco",IF(K373="N/A","Sin marco",IFERROR(INDEX('Datos - Catálogo TIMSS'!$F$5:$F$107,MATCH(K373,'Datos - Catálogo TIMSS'!$A$5:$A$107,0)),"Pendiente de clasificar")))</f>
        <v/>
      </c>
      <c r="O373" s="11">
        <f>IF(L373="","",IFERROR(INDEX('Datos - Catálogo TIMSS'!$C$5:$C$107,MATCH(L373,'Datos - Catálogo TIMSS'!$A$5:$A$107,0)),"?"))</f>
        <v/>
      </c>
      <c r="P373" s="11" t="inlineStr">
        <is>
          <t>media</t>
        </is>
      </c>
      <c r="Q373" s="38" t="inlineStr">
        <is>
          <t>Enfermedades hereditarias por alelos defectuosos</t>
        </is>
      </c>
      <c r="R373" s="38" t="inlineStr">
        <is>
          <t>Razonar: evaluar información</t>
        </is>
      </c>
      <c r="S373" s="39">
        <f>IFERROR(ISNUMBER(SEARCH("Conocer",$R373))/(ISNUMBER(SEARCH("Conocer",$R373))+ISNUMBER(SEARCH("Aplicar",$R373))+ISNUMBER(SEARCH("Razonar",$R373))),0)</f>
        <v/>
      </c>
      <c r="T373" s="39">
        <f>IFERROR(ISNUMBER(SEARCH("Aplicar",$R373))/(ISNUMBER(SEARCH("Conocer",$R373))+ISNUMBER(SEARCH("Aplicar",$R373))+ISNUMBER(SEARCH("Razonar",$R373))),0)</f>
        <v/>
      </c>
      <c r="U373" s="39">
        <f>IFERROR(ISNUMBER(SEARCH("Razonar",$R373))/(ISNUMBER(SEARCH("Conocer",$R373))+ISNUMBER(SEARCH("Aplicar",$R373))+ISNUMBER(SEARCH("Razonar",$R373))),0)</f>
        <v/>
      </c>
      <c r="V373" s="11" t="inlineStr">
        <is>
          <t>7°</t>
        </is>
      </c>
      <c r="W373" s="11" t="inlineStr">
        <is>
          <t>Ciclo 5°–8°</t>
        </is>
      </c>
      <c r="X373" s="11">
        <f>IF(OR(IFERROR(INDEX('Datos - Catálogo TIMSS'!$I$5:$I$107,MATCH(K373,'Datos - Catálogo TIMSS'!$A$5:$A$107,0)),"No")="Sí",IFERROR(INDEX('Datos - Catálogo TIMSS'!$I$5:$I$107,MATCH(L373,'Datos - Catálogo TIMSS'!$A$5:$A$107,0)),"No")="Sí"),1,0)</f>
        <v/>
      </c>
      <c r="Y373" s="11">
        <f>IF(IFERROR(INDEX('Datos - Catálogo TIMSS'!$J$5:$J$107,MATCH(K373,'Datos - Catálogo TIMSS'!$A$5:$A$107,0)),"No")="Sí",1,0)</f>
        <v/>
      </c>
      <c r="Z373" s="11">
        <f>IF(IFERROR(INDEX('Datos - Catálogo TIMSS'!$J$5:$J$107,MATCH(L373,'Datos - Catálogo TIMSS'!$A$5:$A$107,0)),"No")="Sí",1,0)</f>
        <v/>
      </c>
      <c r="AA373" s="11" t="inlineStr">
        <is>
          <t>T8-B3.2</t>
        </is>
      </c>
      <c r="AB373" s="11" t="inlineStr"/>
      <c r="AC373" s="11">
        <f>IF(AA373="FUERA","Fuera del marco",IF(AA373="N/A","Sin marco",IFERROR(INDEX('Datos - TIMSS 2023'!$C$5:$C$105,MATCH(AA373,'Datos - TIMSS 2023'!$A$5:$A$105,0)),"Pendiente de clasificar")))</f>
        <v/>
      </c>
      <c r="AD373" s="11" t="inlineStr">
        <is>
          <t>3. Investigar, evaluar y usar información científica para tomar decisiones y actuar</t>
        </is>
      </c>
      <c r="AE373" s="11">
        <f>IF(AD373="","",IF(LEFT(AD373,1)="1","C1",IF(LEFT(AD373,1)="2","C2",IF(LEFT(AD373,1)="3","C3",""))))</f>
        <v/>
      </c>
      <c r="AF373" s="11" t="inlineStr">
        <is>
          <t>E1</t>
        </is>
      </c>
      <c r="AG373" s="11" t="inlineStr">
        <is>
          <t>D1</t>
        </is>
      </c>
      <c r="AH373" s="11" t="inlineStr">
        <is>
          <t>E1</t>
        </is>
      </c>
      <c r="AI373" s="11" t="inlineStr">
        <is>
          <t>I1</t>
        </is>
      </c>
      <c r="AJ373" s="11" t="inlineStr">
        <is>
          <t>I5</t>
        </is>
      </c>
      <c r="AK373" s="11" t="inlineStr">
        <is>
          <t>PISA-V2</t>
        </is>
      </c>
      <c r="AL373" s="11" t="n"/>
      <c r="AM373" s="11">
        <f>IF(AK373="FUERA","Fuera del marco",IFERROR(INDEX('Datos - Catálogo PISA'!$C$5:$C$76,MATCH(AK373,'Datos - Catálogo PISA'!$A$5:$A$76,0)),"?"))</f>
        <v/>
      </c>
      <c r="AN373" s="11" t="inlineStr">
        <is>
          <t>Contenido</t>
        </is>
      </c>
      <c r="AO373" s="11" t="n"/>
      <c r="AP373" s="11" t="n"/>
      <c r="AQ373" s="11" t="inlineStr">
        <is>
          <t>Global</t>
        </is>
      </c>
      <c r="AR373" s="11" t="inlineStr">
        <is>
          <t>Salud y enfermedad</t>
        </is>
      </c>
      <c r="AS373" s="11" t="inlineStr">
        <is>
          <t>Media</t>
        </is>
      </c>
      <c r="AT373" s="11" t="inlineStr">
        <is>
          <t>alta</t>
        </is>
      </c>
      <c r="AU373" s="11" t="inlineStr">
        <is>
          <t>Enfermedades humanas por alelos defectuosos con fuentes oficiales</t>
        </is>
      </c>
      <c r="AV373" s="11" t="inlineStr">
        <is>
          <t>Ciclo 7°–9°</t>
        </is>
      </c>
      <c r="AW373" s="11">
        <f>AF373&amp;"; "&amp;AG373&amp;"; "&amp;AH373&amp;"; "&amp;AI373&amp;"; "&amp;AJ373</f>
        <v/>
      </c>
    </row>
    <row r="374">
      <c r="A374" s="11" t="inlineStr">
        <is>
          <t>T1008-G07-CIE</t>
        </is>
      </c>
      <c r="B374" s="11" t="n">
        <v>7</v>
      </c>
      <c r="C374" s="11" t="inlineStr">
        <is>
          <t>Ciencias</t>
        </is>
      </c>
      <c r="D374" s="11" t="inlineStr">
        <is>
          <t>Matriz_Ciencias_7mo_Grado_U1_U6.xlsx</t>
        </is>
      </c>
      <c r="E374" s="11" t="inlineStr">
        <is>
          <t>Unidad 2 - Genética y evolución</t>
        </is>
      </c>
      <c r="F374" s="11" t="n">
        <v>12</v>
      </c>
      <c r="G374" s="11" t="inlineStr">
        <is>
          <t>2. Genética y evolución</t>
        </is>
      </c>
      <c r="H374" s="11" t="inlineStr">
        <is>
          <t>Genética clásica</t>
        </is>
      </c>
      <c r="I374" s="38" t="inlineStr">
        <is>
          <t>2.10. Relación cromosoma-alelo a partir de análisis de casos.</t>
        </is>
      </c>
      <c r="J374" s="11" t="inlineStr">
        <is>
          <t>T8_27</t>
        </is>
      </c>
      <c r="K374" s="11" t="inlineStr">
        <is>
          <t>T8_27-B3.1</t>
        </is>
      </c>
      <c r="L374" s="11" t="inlineStr"/>
      <c r="M374" s="11">
        <f>IF(K374="FUERA","Fuera del marco",IF(K374="N/A","Sin marco",IFERROR(INDEX('Datos - Catálogo TIMSS'!$C$5:$C$107,MATCH(K374,'Datos - Catálogo TIMSS'!$A$5:$A$107,0)),"Pendiente de clasificar")))</f>
        <v/>
      </c>
      <c r="N374" s="11">
        <f>IF(K374="FUERA","Fuera del marco",IF(K374="N/A","Sin marco",IFERROR(INDEX('Datos - Catálogo TIMSS'!$F$5:$F$107,MATCH(K374,'Datos - Catálogo TIMSS'!$A$5:$A$107,0)),"Pendiente de clasificar")))</f>
        <v/>
      </c>
      <c r="O374" s="11">
        <f>IF(L374="","",IFERROR(INDEX('Datos - Catálogo TIMSS'!$C$5:$C$107,MATCH(L374,'Datos - Catálogo TIMSS'!$A$5:$A$107,0)),"?"))</f>
        <v/>
      </c>
      <c r="P374" s="11" t="inlineStr">
        <is>
          <t>alta</t>
        </is>
      </c>
      <c r="Q374" s="38" t="inlineStr">
        <is>
          <t>Rasgos codificados en cromosomas: relación cromosoma-alelo</t>
        </is>
      </c>
      <c r="R374" s="38" t="inlineStr">
        <is>
          <t>Aplicar: analizar</t>
        </is>
      </c>
      <c r="S374" s="39">
        <f>IFERROR(ISNUMBER(SEARCH("Conocer",$R374))/(ISNUMBER(SEARCH("Conocer",$R374))+ISNUMBER(SEARCH("Aplicar",$R374))+ISNUMBER(SEARCH("Razonar",$R374))),0)</f>
        <v/>
      </c>
      <c r="T374" s="39">
        <f>IFERROR(ISNUMBER(SEARCH("Aplicar",$R374))/(ISNUMBER(SEARCH("Conocer",$R374))+ISNUMBER(SEARCH("Aplicar",$R374))+ISNUMBER(SEARCH("Razonar",$R374))),0)</f>
        <v/>
      </c>
      <c r="U374" s="39">
        <f>IFERROR(ISNUMBER(SEARCH("Razonar",$R374))/(ISNUMBER(SEARCH("Conocer",$R374))+ISNUMBER(SEARCH("Aplicar",$R374))+ISNUMBER(SEARCH("Razonar",$R374))),0)</f>
        <v/>
      </c>
      <c r="V374" s="11" t="inlineStr">
        <is>
          <t>7°</t>
        </is>
      </c>
      <c r="W374" s="11" t="inlineStr">
        <is>
          <t>Ciclo 5°–8°</t>
        </is>
      </c>
      <c r="X374" s="11">
        <f>IF(OR(IFERROR(INDEX('Datos - Catálogo TIMSS'!$I$5:$I$107,MATCH(K374,'Datos - Catálogo TIMSS'!$A$5:$A$107,0)),"No")="Sí",IFERROR(INDEX('Datos - Catálogo TIMSS'!$I$5:$I$107,MATCH(L374,'Datos - Catálogo TIMSS'!$A$5:$A$107,0)),"No")="Sí"),1,0)</f>
        <v/>
      </c>
      <c r="Y374" s="11">
        <f>IF(IFERROR(INDEX('Datos - Catálogo TIMSS'!$J$5:$J$107,MATCH(K374,'Datos - Catálogo TIMSS'!$A$5:$A$107,0)),"No")="Sí",1,0)</f>
        <v/>
      </c>
      <c r="Z374" s="11">
        <f>IF(IFERROR(INDEX('Datos - Catálogo TIMSS'!$J$5:$J$107,MATCH(L374,'Datos - Catálogo TIMSS'!$A$5:$A$107,0)),"No")="Sí",1,0)</f>
        <v/>
      </c>
      <c r="AA374" s="11" t="inlineStr">
        <is>
          <t>T8-B3.2</t>
        </is>
      </c>
      <c r="AB374" s="11" t="inlineStr"/>
      <c r="AC374" s="11">
        <f>IF(AA374="FUERA","Fuera del marco",IF(AA374="N/A","Sin marco",IFERROR(INDEX('Datos - TIMSS 2023'!$C$5:$C$105,MATCH(AA374,'Datos - TIMSS 2023'!$A$5:$A$105,0)),"Pendiente de clasificar")))</f>
        <v/>
      </c>
      <c r="AD374" s="11" t="inlineStr">
        <is>
          <t>2. Construir y evaluar diseños para la indagación científica e interpretar datos y evidencia de forma crítica</t>
        </is>
      </c>
      <c r="AE374" s="11">
        <f>IF(AD374="","",IF(LEFT(AD374,1)="1","C1",IF(LEFT(AD374,1)="2","C2",IF(LEFT(AD374,1)="3","C3",""))))</f>
        <v/>
      </c>
      <c r="AF374" s="11" t="inlineStr">
        <is>
          <t>E1</t>
        </is>
      </c>
      <c r="AG374" s="11" t="inlineStr">
        <is>
          <t>D1</t>
        </is>
      </c>
      <c r="AH374" s="11" t="inlineStr">
        <is>
          <t>E4</t>
        </is>
      </c>
      <c r="AI374" s="11" t="inlineStr">
        <is>
          <t>D4</t>
        </is>
      </c>
      <c r="AJ374" s="11" t="inlineStr">
        <is>
          <t>E1</t>
        </is>
      </c>
      <c r="AK374" s="11" t="inlineStr">
        <is>
          <t>PISA-V2</t>
        </is>
      </c>
      <c r="AL374" s="11" t="n"/>
      <c r="AM374" s="11">
        <f>IF(AK374="FUERA","Fuera del marco",IFERROR(INDEX('Datos - Catálogo PISA'!$C$5:$C$76,MATCH(AK374,'Datos - Catálogo PISA'!$A$5:$A$76,0)),"?"))</f>
        <v/>
      </c>
      <c r="AN374" s="11" t="inlineStr">
        <is>
          <t>Contenido</t>
        </is>
      </c>
      <c r="AO374" s="11" t="n"/>
      <c r="AP374" s="11" t="n"/>
      <c r="AQ374" s="11" t="inlineStr">
        <is>
          <t>Sin contexto</t>
        </is>
      </c>
      <c r="AR374" s="11" t="n"/>
      <c r="AS374" s="11" t="inlineStr">
        <is>
          <t>Baja</t>
        </is>
      </c>
      <c r="AT374" s="11" t="inlineStr">
        <is>
          <t>alta</t>
        </is>
      </c>
      <c r="AU374" s="11" t="inlineStr">
        <is>
          <t>Relación cromosoma-alelo en esquemas</t>
        </is>
      </c>
      <c r="AV374" s="11" t="inlineStr">
        <is>
          <t>Ciclo 7°–9°</t>
        </is>
      </c>
      <c r="AW374" s="11">
        <f>AF374&amp;"; "&amp;AG374&amp;"; "&amp;AH374&amp;"; "&amp;AI374&amp;"; "&amp;AJ374</f>
        <v/>
      </c>
    </row>
    <row r="375">
      <c r="A375" s="11" t="inlineStr">
        <is>
          <t>T1009-G07-CIE</t>
        </is>
      </c>
      <c r="B375" s="11" t="n">
        <v>7</v>
      </c>
      <c r="C375" s="11" t="inlineStr">
        <is>
          <t>Ciencias</t>
        </is>
      </c>
      <c r="D375" s="11" t="inlineStr">
        <is>
          <t>Matriz_Ciencias_7mo_Grado_U1_U6.xlsx</t>
        </is>
      </c>
      <c r="E375" s="11" t="inlineStr">
        <is>
          <t>Unidad 2 - Genética y evolución</t>
        </is>
      </c>
      <c r="F375" s="11" t="n">
        <v>13</v>
      </c>
      <c r="G375" s="11" t="inlineStr">
        <is>
          <t>2. Genética y evolución</t>
        </is>
      </c>
      <c r="H375" s="11" t="inlineStr">
        <is>
          <t>Genética clásica</t>
        </is>
      </c>
      <c r="I375" s="38" t="inlineStr">
        <is>
          <t>2.11. Ejercitación con leyes de Mendel mediante cruces hipotéticos.</t>
        </is>
      </c>
      <c r="J375" s="11" t="inlineStr">
        <is>
          <t>T8_27</t>
        </is>
      </c>
      <c r="K375" s="11" t="inlineStr">
        <is>
          <t>T8_27-B3.1</t>
        </is>
      </c>
      <c r="L375" s="11" t="inlineStr"/>
      <c r="M375" s="11">
        <f>IF(K375="FUERA","Fuera del marco",IF(K375="N/A","Sin marco",IFERROR(INDEX('Datos - Catálogo TIMSS'!$C$5:$C$107,MATCH(K375,'Datos - Catálogo TIMSS'!$A$5:$A$107,0)),"Pendiente de clasificar")))</f>
        <v/>
      </c>
      <c r="N375" s="11">
        <f>IF(K375="FUERA","Fuera del marco",IF(K375="N/A","Sin marco",IFERROR(INDEX('Datos - Catálogo TIMSS'!$F$5:$F$107,MATCH(K375,'Datos - Catálogo TIMSS'!$A$5:$A$107,0)),"Pendiente de clasificar")))</f>
        <v/>
      </c>
      <c r="O375" s="11">
        <f>IF(L375="","",IFERROR(INDEX('Datos - Catálogo TIMSS'!$C$5:$C$107,MATCH(L375,'Datos - Catálogo TIMSS'!$A$5:$A$107,0)),"?"))</f>
        <v/>
      </c>
      <c r="P375" s="11" t="inlineStr">
        <is>
          <t>alta</t>
        </is>
      </c>
      <c r="Q375" s="38" t="inlineStr">
        <is>
          <t>Cruces mendelianos: herencia de rasgos por material genético</t>
        </is>
      </c>
      <c r="R375" s="38" t="inlineStr">
        <is>
          <t>Aplicar: resolver problemas. Razonar: predecir</t>
        </is>
      </c>
      <c r="S375" s="39">
        <f>IFERROR(ISNUMBER(SEARCH("Conocer",$R375))/(ISNUMBER(SEARCH("Conocer",$R375))+ISNUMBER(SEARCH("Aplicar",$R375))+ISNUMBER(SEARCH("Razonar",$R375))),0)</f>
        <v/>
      </c>
      <c r="T375" s="39">
        <f>IFERROR(ISNUMBER(SEARCH("Aplicar",$R375))/(ISNUMBER(SEARCH("Conocer",$R375))+ISNUMBER(SEARCH("Aplicar",$R375))+ISNUMBER(SEARCH("Razonar",$R375))),0)</f>
        <v/>
      </c>
      <c r="U375" s="39">
        <f>IFERROR(ISNUMBER(SEARCH("Razonar",$R375))/(ISNUMBER(SEARCH("Conocer",$R375))+ISNUMBER(SEARCH("Aplicar",$R375))+ISNUMBER(SEARCH("Razonar",$R375))),0)</f>
        <v/>
      </c>
      <c r="V375" s="11" t="inlineStr">
        <is>
          <t>7°</t>
        </is>
      </c>
      <c r="W375" s="11" t="inlineStr">
        <is>
          <t>Ciclo 5°–8°</t>
        </is>
      </c>
      <c r="X375" s="11">
        <f>IF(OR(IFERROR(INDEX('Datos - Catálogo TIMSS'!$I$5:$I$107,MATCH(K375,'Datos - Catálogo TIMSS'!$A$5:$A$107,0)),"No")="Sí",IFERROR(INDEX('Datos - Catálogo TIMSS'!$I$5:$I$107,MATCH(L375,'Datos - Catálogo TIMSS'!$A$5:$A$107,0)),"No")="Sí"),1,0)</f>
        <v/>
      </c>
      <c r="Y375" s="11">
        <f>IF(IFERROR(INDEX('Datos - Catálogo TIMSS'!$J$5:$J$107,MATCH(K375,'Datos - Catálogo TIMSS'!$A$5:$A$107,0)),"No")="Sí",1,0)</f>
        <v/>
      </c>
      <c r="Z375" s="11">
        <f>IF(IFERROR(INDEX('Datos - Catálogo TIMSS'!$J$5:$J$107,MATCH(L375,'Datos - Catálogo TIMSS'!$A$5:$A$107,0)),"No")="Sí",1,0)</f>
        <v/>
      </c>
      <c r="AA375" s="11" t="inlineStr">
        <is>
          <t>T8-B3.2</t>
        </is>
      </c>
      <c r="AB375" s="11" t="inlineStr"/>
      <c r="AC375" s="11">
        <f>IF(AA375="FUERA","Fuera del marco",IF(AA375="N/A","Sin marco",IFERROR(INDEX('Datos - TIMSS 2023'!$C$5:$C$105,MATCH(AA375,'Datos - TIMSS 2023'!$A$5:$A$105,0)),"Pendiente de clasificar")))</f>
        <v/>
      </c>
      <c r="AD375" s="11" t="inlineStr">
        <is>
          <t>2. Construir y evaluar diseños para la indagación científica e interpretar datos y evidencia de forma crítica</t>
        </is>
      </c>
      <c r="AE375" s="11">
        <f>IF(AD375="","",IF(LEFT(AD375,1)="1","C1",IF(LEFT(AD375,1)="2","C2",IF(LEFT(AD375,1)="3","C3",""))))</f>
        <v/>
      </c>
      <c r="AF375" s="11" t="inlineStr">
        <is>
          <t>E1</t>
        </is>
      </c>
      <c r="AG375" s="11" t="inlineStr">
        <is>
          <t>D1</t>
        </is>
      </c>
      <c r="AH375" s="11" t="inlineStr">
        <is>
          <t>E2</t>
        </is>
      </c>
      <c r="AI375" s="11" t="inlineStr">
        <is>
          <t>D4</t>
        </is>
      </c>
      <c r="AJ375" s="11" t="inlineStr">
        <is>
          <t>E3</t>
        </is>
      </c>
      <c r="AK375" s="11" t="inlineStr">
        <is>
          <t>PISA-V2</t>
        </is>
      </c>
      <c r="AL375" s="11" t="n"/>
      <c r="AM375" s="11">
        <f>IF(AK375="FUERA","Fuera del marco",IFERROR(INDEX('Datos - Catálogo PISA'!$C$5:$C$76,MATCH(AK375,'Datos - Catálogo PISA'!$A$5:$A$76,0)),"?"))</f>
        <v/>
      </c>
      <c r="AN375" s="11" t="inlineStr">
        <is>
          <t>Contenido</t>
        </is>
      </c>
      <c r="AO375" s="11" t="n"/>
      <c r="AP375" s="11" t="inlineStr">
        <is>
          <t>PISA-EP12;</t>
        </is>
      </c>
      <c r="AQ375" s="11" t="inlineStr">
        <is>
          <t>Sin contexto</t>
        </is>
      </c>
      <c r="AR375" s="11" t="n"/>
      <c r="AS375" s="11" t="inlineStr">
        <is>
          <t>Media</t>
        </is>
      </c>
      <c r="AT375" s="11" t="inlineStr">
        <is>
          <t>alta</t>
        </is>
      </c>
      <c r="AU375" s="11" t="inlineStr">
        <is>
          <t>Cruces mendelianos comparados con probabilidad de monedas</t>
        </is>
      </c>
      <c r="AV375" s="11" t="inlineStr">
        <is>
          <t>Ciclo 7°–9°</t>
        </is>
      </c>
      <c r="AW375" s="11">
        <f>AF375&amp;"; "&amp;AG375&amp;"; "&amp;AH375&amp;"; "&amp;AI375&amp;"; "&amp;AJ375</f>
        <v/>
      </c>
    </row>
    <row r="376">
      <c r="A376" s="11" t="inlineStr">
        <is>
          <t>T1010-G07-CIE</t>
        </is>
      </c>
      <c r="B376" s="11" t="n">
        <v>7</v>
      </c>
      <c r="C376" s="11" t="inlineStr">
        <is>
          <t>Ciencias</t>
        </is>
      </c>
      <c r="D376" s="11" t="inlineStr">
        <is>
          <t>Matriz_Ciencias_7mo_Grado_U1_U6.xlsx</t>
        </is>
      </c>
      <c r="E376" s="11" t="inlineStr">
        <is>
          <t>Unidad 2 - Genética y evolución</t>
        </is>
      </c>
      <c r="F376" s="11" t="n">
        <v>14</v>
      </c>
      <c r="G376" s="11" t="inlineStr">
        <is>
          <t>2. Genética y evolución</t>
        </is>
      </c>
      <c r="H376" s="11" t="inlineStr">
        <is>
          <t>Genética clásica</t>
        </is>
      </c>
      <c r="I376" s="38" t="inlineStr">
        <is>
          <t>2.12. Investigación de enfermedades humanas causadas por mutaciones cromosómicas.</t>
        </is>
      </c>
      <c r="J376" s="11" t="inlineStr">
        <is>
          <t>T8_27</t>
        </is>
      </c>
      <c r="K376" s="11" t="inlineStr">
        <is>
          <t>T8_27-B3.1</t>
        </is>
      </c>
      <c r="L376" s="11" t="inlineStr"/>
      <c r="M376" s="11">
        <f>IF(K376="FUERA","Fuera del marco",IF(K376="N/A","Sin marco",IFERROR(INDEX('Datos - Catálogo TIMSS'!$C$5:$C$107,MATCH(K376,'Datos - Catálogo TIMSS'!$A$5:$A$107,0)),"Pendiente de clasificar")))</f>
        <v/>
      </c>
      <c r="N376" s="11">
        <f>IF(K376="FUERA","Fuera del marco",IF(K376="N/A","Sin marco",IFERROR(INDEX('Datos - Catálogo TIMSS'!$F$5:$F$107,MATCH(K376,'Datos - Catálogo TIMSS'!$A$5:$A$107,0)),"Pendiente de clasificar")))</f>
        <v/>
      </c>
      <c r="O376" s="11">
        <f>IF(L376="","",IFERROR(INDEX('Datos - Catálogo TIMSS'!$C$5:$C$107,MATCH(L376,'Datos - Catálogo TIMSS'!$A$5:$A$107,0)),"?"))</f>
        <v/>
      </c>
      <c r="P376" s="11" t="inlineStr">
        <is>
          <t>media</t>
        </is>
      </c>
      <c r="Q376" s="38" t="inlineStr">
        <is>
          <t>Enfermedades por mutaciones cromosómicas, herencia genética</t>
        </is>
      </c>
      <c r="R376" s="38" t="inlineStr">
        <is>
          <t>Razonar: evaluar información</t>
        </is>
      </c>
      <c r="S376" s="39">
        <f>IFERROR(ISNUMBER(SEARCH("Conocer",$R376))/(ISNUMBER(SEARCH("Conocer",$R376))+ISNUMBER(SEARCH("Aplicar",$R376))+ISNUMBER(SEARCH("Razonar",$R376))),0)</f>
        <v/>
      </c>
      <c r="T376" s="39">
        <f>IFERROR(ISNUMBER(SEARCH("Aplicar",$R376))/(ISNUMBER(SEARCH("Conocer",$R376))+ISNUMBER(SEARCH("Aplicar",$R376))+ISNUMBER(SEARCH("Razonar",$R376))),0)</f>
        <v/>
      </c>
      <c r="U376" s="39">
        <f>IFERROR(ISNUMBER(SEARCH("Razonar",$R376))/(ISNUMBER(SEARCH("Conocer",$R376))+ISNUMBER(SEARCH("Aplicar",$R376))+ISNUMBER(SEARCH("Razonar",$R376))),0)</f>
        <v/>
      </c>
      <c r="V376" s="11" t="inlineStr">
        <is>
          <t>7°</t>
        </is>
      </c>
      <c r="W376" s="11" t="inlineStr">
        <is>
          <t>Ciclo 5°–8°</t>
        </is>
      </c>
      <c r="X376" s="11">
        <f>IF(OR(IFERROR(INDEX('Datos - Catálogo TIMSS'!$I$5:$I$107,MATCH(K376,'Datos - Catálogo TIMSS'!$A$5:$A$107,0)),"No")="Sí",IFERROR(INDEX('Datos - Catálogo TIMSS'!$I$5:$I$107,MATCH(L376,'Datos - Catálogo TIMSS'!$A$5:$A$107,0)),"No")="Sí"),1,0)</f>
        <v/>
      </c>
      <c r="Y376" s="11">
        <f>IF(IFERROR(INDEX('Datos - Catálogo TIMSS'!$J$5:$J$107,MATCH(K376,'Datos - Catálogo TIMSS'!$A$5:$A$107,0)),"No")="Sí",1,0)</f>
        <v/>
      </c>
      <c r="Z376" s="11">
        <f>IF(IFERROR(INDEX('Datos - Catálogo TIMSS'!$J$5:$J$107,MATCH(L376,'Datos - Catálogo TIMSS'!$A$5:$A$107,0)),"No")="Sí",1,0)</f>
        <v/>
      </c>
      <c r="AA376" s="11" t="inlineStr">
        <is>
          <t>T8-B3.2</t>
        </is>
      </c>
      <c r="AB376" s="11" t="inlineStr"/>
      <c r="AC376" s="11">
        <f>IF(AA376="FUERA","Fuera del marco",IF(AA376="N/A","Sin marco",IFERROR(INDEX('Datos - TIMSS 2023'!$C$5:$C$105,MATCH(AA376,'Datos - TIMSS 2023'!$A$5:$A$105,0)),"Pendiente de clasificar")))</f>
        <v/>
      </c>
      <c r="AD376" s="11" t="inlineStr">
        <is>
          <t>3. Investigar, evaluar y usar información científica para tomar decisiones y actuar</t>
        </is>
      </c>
      <c r="AE376" s="11">
        <f>IF(AD376="","",IF(LEFT(AD376,1)="1","C1",IF(LEFT(AD376,1)="2","C2",IF(LEFT(AD376,1)="3","C3",""))))</f>
        <v/>
      </c>
      <c r="AF376" s="11" t="inlineStr">
        <is>
          <t>E1</t>
        </is>
      </c>
      <c r="AG376" s="11" t="inlineStr">
        <is>
          <t>D1</t>
        </is>
      </c>
      <c r="AH376" s="11" t="inlineStr">
        <is>
          <t>E1</t>
        </is>
      </c>
      <c r="AI376" s="11" t="inlineStr">
        <is>
          <t>I1</t>
        </is>
      </c>
      <c r="AJ376" s="11" t="inlineStr">
        <is>
          <t>I5</t>
        </is>
      </c>
      <c r="AK376" s="11" t="inlineStr">
        <is>
          <t>PISA-V2</t>
        </is>
      </c>
      <c r="AL376" s="11" t="n"/>
      <c r="AM376" s="11">
        <f>IF(AK376="FUERA","Fuera del marco",IFERROR(INDEX('Datos - Catálogo PISA'!$C$5:$C$76,MATCH(AK376,'Datos - Catálogo PISA'!$A$5:$A$76,0)),"?"))</f>
        <v/>
      </c>
      <c r="AN376" s="11" t="inlineStr">
        <is>
          <t>Contenido</t>
        </is>
      </c>
      <c r="AO376" s="11" t="n"/>
      <c r="AP376" s="11" t="n"/>
      <c r="AQ376" s="11" t="inlineStr">
        <is>
          <t>Global</t>
        </is>
      </c>
      <c r="AR376" s="11" t="inlineStr">
        <is>
          <t>Salud y enfermedad</t>
        </is>
      </c>
      <c r="AS376" s="11" t="inlineStr">
        <is>
          <t>Media</t>
        </is>
      </c>
      <c r="AT376" s="11" t="inlineStr">
        <is>
          <t>alta</t>
        </is>
      </c>
      <c r="AU376" s="11" t="inlineStr">
        <is>
          <t>Enfermedades por mutaciones cromosómicas con fuentes</t>
        </is>
      </c>
      <c r="AV376" s="11" t="inlineStr">
        <is>
          <t>Ciclo 7°–9°</t>
        </is>
      </c>
      <c r="AW376" s="11">
        <f>AF376&amp;"; "&amp;AG376&amp;"; "&amp;AH376&amp;"; "&amp;AI376&amp;"; "&amp;AJ376</f>
        <v/>
      </c>
    </row>
    <row r="377">
      <c r="A377" s="11" t="inlineStr">
        <is>
          <t>T1011-G07-CIE</t>
        </is>
      </c>
      <c r="B377" s="11" t="n">
        <v>7</v>
      </c>
      <c r="C377" s="11" t="inlineStr">
        <is>
          <t>Ciencias</t>
        </is>
      </c>
      <c r="D377" s="11" t="inlineStr">
        <is>
          <t>Matriz_Ciencias_7mo_Grado_U1_U6.xlsx</t>
        </is>
      </c>
      <c r="E377" s="11" t="inlineStr">
        <is>
          <t>Unidad 2 - Genética y evolución</t>
        </is>
      </c>
      <c r="F377" s="11" t="n">
        <v>15</v>
      </c>
      <c r="G377" s="11" t="inlineStr">
        <is>
          <t>2. Genética y evolución</t>
        </is>
      </c>
      <c r="H377" s="11" t="inlineStr">
        <is>
          <t>Mecanismos de evolución</t>
        </is>
      </c>
      <c r="I377" s="38" t="inlineStr">
        <is>
          <t>2.13. Indagación de la heterogeneidad de una población a través de sus frecuencias genotípicas.</t>
        </is>
      </c>
      <c r="J377" s="11" t="inlineStr">
        <is>
          <t>T8_27</t>
        </is>
      </c>
      <c r="K377" s="11" t="inlineStr">
        <is>
          <t>T8_27-B4.1</t>
        </is>
      </c>
      <c r="L377" s="11" t="inlineStr">
        <is>
          <t>T8_27-B3.1</t>
        </is>
      </c>
      <c r="M377" s="11">
        <f>IF(K377="FUERA","Fuera del marco",IF(K377="N/A","Sin marco",IFERROR(INDEX('Datos - Catálogo TIMSS'!$C$5:$C$107,MATCH(K377,'Datos - Catálogo TIMSS'!$A$5:$A$107,0)),"Pendiente de clasificar")))</f>
        <v/>
      </c>
      <c r="N377" s="11">
        <f>IF(K377="FUERA","Fuera del marco",IF(K377="N/A","Sin marco",IFERROR(INDEX('Datos - Catálogo TIMSS'!$F$5:$F$107,MATCH(K377,'Datos - Catálogo TIMSS'!$A$5:$A$107,0)),"Pendiente de clasificar")))</f>
        <v/>
      </c>
      <c r="O377" s="11">
        <f>IF(L377="","",IFERROR(INDEX('Datos - Catálogo TIMSS'!$C$5:$C$107,MATCH(L377,'Datos - Catálogo TIMSS'!$A$5:$A$107,0)),"?"))</f>
        <v/>
      </c>
      <c r="P377" s="11" t="inlineStr">
        <is>
          <t>media</t>
        </is>
      </c>
      <c r="Q377" s="38" t="inlineStr">
        <is>
          <t>Variación genética poblacional mediante frecuencias genotípicas</t>
        </is>
      </c>
      <c r="R377" s="38" t="inlineStr">
        <is>
          <t>Aplicar: calcular frecuencias</t>
        </is>
      </c>
      <c r="S377" s="39">
        <f>IFERROR(ISNUMBER(SEARCH("Conocer",$R377))/(ISNUMBER(SEARCH("Conocer",$R377))+ISNUMBER(SEARCH("Aplicar",$R377))+ISNUMBER(SEARCH("Razonar",$R377))),0)</f>
        <v/>
      </c>
      <c r="T377" s="39">
        <f>IFERROR(ISNUMBER(SEARCH("Aplicar",$R377))/(ISNUMBER(SEARCH("Conocer",$R377))+ISNUMBER(SEARCH("Aplicar",$R377))+ISNUMBER(SEARCH("Razonar",$R377))),0)</f>
        <v/>
      </c>
      <c r="U377" s="39">
        <f>IFERROR(ISNUMBER(SEARCH("Razonar",$R377))/(ISNUMBER(SEARCH("Conocer",$R377))+ISNUMBER(SEARCH("Aplicar",$R377))+ISNUMBER(SEARCH("Razonar",$R377))),0)</f>
        <v/>
      </c>
      <c r="V377" s="11" t="inlineStr">
        <is>
          <t>7°</t>
        </is>
      </c>
      <c r="W377" s="11" t="inlineStr">
        <is>
          <t>Ciclo 5°–8°</t>
        </is>
      </c>
      <c r="X377" s="11">
        <f>IF(OR(IFERROR(INDEX('Datos - Catálogo TIMSS'!$I$5:$I$107,MATCH(K377,'Datos - Catálogo TIMSS'!$A$5:$A$107,0)),"No")="Sí",IFERROR(INDEX('Datos - Catálogo TIMSS'!$I$5:$I$107,MATCH(L377,'Datos - Catálogo TIMSS'!$A$5:$A$107,0)),"No")="Sí"),1,0)</f>
        <v/>
      </c>
      <c r="Y377" s="11">
        <f>IF(IFERROR(INDEX('Datos - Catálogo TIMSS'!$J$5:$J$107,MATCH(K377,'Datos - Catálogo TIMSS'!$A$5:$A$107,0)),"No")="Sí",1,0)</f>
        <v/>
      </c>
      <c r="Z377" s="11">
        <f>IF(IFERROR(INDEX('Datos - Catálogo TIMSS'!$J$5:$J$107,MATCH(L377,'Datos - Catálogo TIMSS'!$A$5:$A$107,0)),"No")="Sí",1,0)</f>
        <v/>
      </c>
      <c r="AA377" s="11" t="inlineStr">
        <is>
          <t>T8-B4.1</t>
        </is>
      </c>
      <c r="AB377" s="11" t="inlineStr">
        <is>
          <t>T8-B3.2</t>
        </is>
      </c>
      <c r="AC377" s="11">
        <f>IF(AA377="FUERA","Fuera del marco",IF(AA377="N/A","Sin marco",IFERROR(INDEX('Datos - TIMSS 2023'!$C$5:$C$105,MATCH(AA377,'Datos - TIMSS 2023'!$A$5:$A$105,0)),"Pendiente de clasificar")))</f>
        <v/>
      </c>
      <c r="AD377" s="11" t="inlineStr">
        <is>
          <t>2. Construir y evaluar diseños para la indagación científica e interpretar datos y evidencia de forma crítica</t>
        </is>
      </c>
      <c r="AE377" s="11">
        <f>IF(AD377="","",IF(LEFT(AD377,1)="1","C1",IF(LEFT(AD377,1)="2","C2",IF(LEFT(AD377,1)="3","C3",""))))</f>
        <v/>
      </c>
      <c r="AF377" s="11" t="inlineStr">
        <is>
          <t>E1</t>
        </is>
      </c>
      <c r="AG377" s="11" t="inlineStr">
        <is>
          <t>D1</t>
        </is>
      </c>
      <c r="AH377" s="11" t="inlineStr">
        <is>
          <t>E1</t>
        </is>
      </c>
      <c r="AI377" s="11" t="inlineStr">
        <is>
          <t>D4</t>
        </is>
      </c>
      <c r="AJ377" s="11" t="inlineStr">
        <is>
          <t>E1</t>
        </is>
      </c>
      <c r="AK377" s="11" t="inlineStr">
        <is>
          <t>PISA-V5</t>
        </is>
      </c>
      <c r="AL377" s="11" t="inlineStr">
        <is>
          <t>PISA-V2</t>
        </is>
      </c>
      <c r="AM377" s="11">
        <f>IF(AK377="FUERA","Fuera del marco",IFERROR(INDEX('Datos - Catálogo PISA'!$C$5:$C$76,MATCH(AK377,'Datos - Catálogo PISA'!$A$5:$A$76,0)),"?"))</f>
        <v/>
      </c>
      <c r="AN377" s="11" t="inlineStr">
        <is>
          <t>Contenido</t>
        </is>
      </c>
      <c r="AO377" s="11" t="inlineStr">
        <is>
          <t>PISA-PR5;</t>
        </is>
      </c>
      <c r="AP377" s="11" t="n"/>
      <c r="AQ377" s="11" t="inlineStr">
        <is>
          <t>Sin contexto</t>
        </is>
      </c>
      <c r="AR377" s="11" t="n"/>
      <c r="AS377" s="11" t="inlineStr">
        <is>
          <t>Media</t>
        </is>
      </c>
      <c r="AT377" s="11" t="inlineStr">
        <is>
          <t>media</t>
        </is>
      </c>
      <c r="AU377" s="11" t="inlineStr">
        <is>
          <t>Variación genética poblacional mediante tabla de frecuencias genotípicas</t>
        </is>
      </c>
      <c r="AV377" s="11" t="inlineStr">
        <is>
          <t>Ciclo 7°–9°</t>
        </is>
      </c>
      <c r="AW377" s="11">
        <f>AF377&amp;"; "&amp;AG377&amp;"; "&amp;AH377&amp;"; "&amp;AI377&amp;"; "&amp;AJ377</f>
        <v/>
      </c>
    </row>
    <row r="378">
      <c r="A378" s="11" t="inlineStr">
        <is>
          <t>T1012-G07-CIE</t>
        </is>
      </c>
      <c r="B378" s="11" t="n">
        <v>7</v>
      </c>
      <c r="C378" s="11" t="inlineStr">
        <is>
          <t>Ciencias</t>
        </is>
      </c>
      <c r="D378" s="11" t="inlineStr">
        <is>
          <t>Matriz_Ciencias_7mo_Grado_U1_U6.xlsx</t>
        </is>
      </c>
      <c r="E378" s="11" t="inlineStr">
        <is>
          <t>Unidad 2 - Genética y evolución</t>
        </is>
      </c>
      <c r="F378" s="11" t="n">
        <v>16</v>
      </c>
      <c r="G378" s="11" t="inlineStr">
        <is>
          <t>2. Genética y evolución</t>
        </is>
      </c>
      <c r="H378" s="11" t="inlineStr">
        <is>
          <t>Mecanismos de evolución</t>
        </is>
      </c>
      <c r="I378" s="38" t="inlineStr">
        <is>
          <t>2.14. Identificación de las fuerzas que incrementan y disminuyen la variabilidad genética.</t>
        </is>
      </c>
      <c r="J378" s="11" t="inlineStr">
        <is>
          <t>T8_27</t>
        </is>
      </c>
      <c r="K378" s="11" t="inlineStr">
        <is>
          <t>T8_27-B4.1</t>
        </is>
      </c>
      <c r="L378" s="11" t="inlineStr"/>
      <c r="M378" s="11">
        <f>IF(K378="FUERA","Fuera del marco",IF(K378="N/A","Sin marco",IFERROR(INDEX('Datos - Catálogo TIMSS'!$C$5:$C$107,MATCH(K378,'Datos - Catálogo TIMSS'!$A$5:$A$107,0)),"Pendiente de clasificar")))</f>
        <v/>
      </c>
      <c r="N378" s="11">
        <f>IF(K378="FUERA","Fuera del marco",IF(K378="N/A","Sin marco",IFERROR(INDEX('Datos - Catálogo TIMSS'!$F$5:$F$107,MATCH(K378,'Datos - Catálogo TIMSS'!$A$5:$A$107,0)),"Pendiente de clasificar")))</f>
        <v/>
      </c>
      <c r="O378" s="11">
        <f>IF(L378="","",IFERROR(INDEX('Datos - Catálogo TIMSS'!$C$5:$C$107,MATCH(L378,'Datos - Catálogo TIMSS'!$A$5:$A$107,0)),"?"))</f>
        <v/>
      </c>
      <c r="P378" s="11" t="inlineStr">
        <is>
          <t>alta</t>
        </is>
      </c>
      <c r="Q378" s="38" t="inlineStr">
        <is>
          <t>Fuerzas que aumentan o reducen la variación genética</t>
        </is>
      </c>
      <c r="R378" s="38" t="inlineStr">
        <is>
          <t>Aplicar: clasificar</t>
        </is>
      </c>
      <c r="S378" s="39">
        <f>IFERROR(ISNUMBER(SEARCH("Conocer",$R378))/(ISNUMBER(SEARCH("Conocer",$R378))+ISNUMBER(SEARCH("Aplicar",$R378))+ISNUMBER(SEARCH("Razonar",$R378))),0)</f>
        <v/>
      </c>
      <c r="T378" s="39">
        <f>IFERROR(ISNUMBER(SEARCH("Aplicar",$R378))/(ISNUMBER(SEARCH("Conocer",$R378))+ISNUMBER(SEARCH("Aplicar",$R378))+ISNUMBER(SEARCH("Razonar",$R378))),0)</f>
        <v/>
      </c>
      <c r="U378" s="39">
        <f>IFERROR(ISNUMBER(SEARCH("Razonar",$R378))/(ISNUMBER(SEARCH("Conocer",$R378))+ISNUMBER(SEARCH("Aplicar",$R378))+ISNUMBER(SEARCH("Razonar",$R378))),0)</f>
        <v/>
      </c>
      <c r="V378" s="11" t="inlineStr">
        <is>
          <t>7°</t>
        </is>
      </c>
      <c r="W378" s="11" t="inlineStr">
        <is>
          <t>Ciclo 5°–8°</t>
        </is>
      </c>
      <c r="X378" s="11">
        <f>IF(OR(IFERROR(INDEX('Datos - Catálogo TIMSS'!$I$5:$I$107,MATCH(K378,'Datos - Catálogo TIMSS'!$A$5:$A$107,0)),"No")="Sí",IFERROR(INDEX('Datos - Catálogo TIMSS'!$I$5:$I$107,MATCH(L378,'Datos - Catálogo TIMSS'!$A$5:$A$107,0)),"No")="Sí"),1,0)</f>
        <v/>
      </c>
      <c r="Y378" s="11">
        <f>IF(IFERROR(INDEX('Datos - Catálogo TIMSS'!$J$5:$J$107,MATCH(K378,'Datos - Catálogo TIMSS'!$A$5:$A$107,0)),"No")="Sí",1,0)</f>
        <v/>
      </c>
      <c r="Z378" s="11">
        <f>IF(IFERROR(INDEX('Datos - Catálogo TIMSS'!$J$5:$J$107,MATCH(L378,'Datos - Catálogo TIMSS'!$A$5:$A$107,0)),"No")="Sí",1,0)</f>
        <v/>
      </c>
      <c r="AA378" s="11" t="inlineStr">
        <is>
          <t>T8-B4.1</t>
        </is>
      </c>
      <c r="AB378" s="11" t="inlineStr"/>
      <c r="AC378" s="11">
        <f>IF(AA378="FUERA","Fuera del marco",IF(AA378="N/A","Sin marco",IFERROR(INDEX('Datos - TIMSS 2023'!$C$5:$C$105,MATCH(AA378,'Datos - TIMSS 2023'!$A$5:$A$105,0)),"Pendiente de clasificar")))</f>
        <v/>
      </c>
      <c r="AD378" s="11" t="inlineStr">
        <is>
          <t>1. Explicar fenómenos científicamente</t>
        </is>
      </c>
      <c r="AE378" s="11">
        <f>IF(AD378="","",IF(LEFT(AD378,1)="1","C1",IF(LEFT(AD378,1)="2","C2",IF(LEFT(AD378,1)="3","C3",""))))</f>
        <v/>
      </c>
      <c r="AF378" s="11" t="inlineStr">
        <is>
          <t>E1</t>
        </is>
      </c>
      <c r="AG378" s="11" t="inlineStr">
        <is>
          <t>D1</t>
        </is>
      </c>
      <c r="AH378" s="11" t="inlineStr">
        <is>
          <t>E1</t>
        </is>
      </c>
      <c r="AI378" s="11" t="inlineStr">
        <is>
          <t>D4</t>
        </is>
      </c>
      <c r="AJ378" s="11" t="inlineStr">
        <is>
          <t>E6</t>
        </is>
      </c>
      <c r="AK378" s="11" t="inlineStr">
        <is>
          <t>PISA-V5</t>
        </is>
      </c>
      <c r="AL378" s="11" t="n"/>
      <c r="AM378" s="11">
        <f>IF(AK378="FUERA","Fuera del marco",IFERROR(INDEX('Datos - Catálogo PISA'!$C$5:$C$76,MATCH(AK378,'Datos - Catálogo PISA'!$A$5:$A$76,0)),"?"))</f>
        <v/>
      </c>
      <c r="AN378" s="11" t="inlineStr">
        <is>
          <t>Contenido</t>
        </is>
      </c>
      <c r="AO378" s="11" t="n"/>
      <c r="AP378" s="11" t="n"/>
      <c r="AQ378" s="11" t="inlineStr">
        <is>
          <t>Sin contexto</t>
        </is>
      </c>
      <c r="AR378" s="11" t="n"/>
      <c r="AS378" s="11" t="inlineStr">
        <is>
          <t>Baja</t>
        </is>
      </c>
      <c r="AT378" s="11" t="inlineStr">
        <is>
          <t>alta</t>
        </is>
      </c>
      <c r="AU378" s="11" t="inlineStr">
        <is>
          <t>Fuerzas evolutivas que cambian la variabilidad genética</t>
        </is>
      </c>
      <c r="AV378" s="11" t="inlineStr">
        <is>
          <t>Ciclo 7°–9°</t>
        </is>
      </c>
      <c r="AW378" s="11">
        <f>AF378&amp;"; "&amp;AG378&amp;"; "&amp;AH378&amp;"; "&amp;AI378&amp;"; "&amp;AJ378</f>
        <v/>
      </c>
    </row>
    <row r="379">
      <c r="A379" s="11" t="inlineStr">
        <is>
          <t>T1013-G07-CIE</t>
        </is>
      </c>
      <c r="B379" s="11" t="n">
        <v>7</v>
      </c>
      <c r="C379" s="11" t="inlineStr">
        <is>
          <t>Ciencias</t>
        </is>
      </c>
      <c r="D379" s="11" t="inlineStr">
        <is>
          <t>Matriz_Ciencias_7mo_Grado_U1_U6.xlsx</t>
        </is>
      </c>
      <c r="E379" s="11" t="inlineStr">
        <is>
          <t>Unidad 2 - Genética y evolución</t>
        </is>
      </c>
      <c r="F379" s="11" t="n">
        <v>17</v>
      </c>
      <c r="G379" s="11" t="inlineStr">
        <is>
          <t>2. Genética y evolución</t>
        </is>
      </c>
      <c r="H379" s="11" t="inlineStr">
        <is>
          <t>Mecanismos de evolución</t>
        </is>
      </c>
      <c r="I379" s="38" t="inlineStr">
        <is>
          <t>2.15. Descripción del proceso de resistencia bacteriana ante un antibiótico.</t>
        </is>
      </c>
      <c r="J379" s="11" t="inlineStr">
        <is>
          <t>T8_27</t>
        </is>
      </c>
      <c r="K379" s="11" t="inlineStr">
        <is>
          <t>T8_27-B4.1</t>
        </is>
      </c>
      <c r="L379" s="11" t="inlineStr">
        <is>
          <t>T8_27-B6.1</t>
        </is>
      </c>
      <c r="M379" s="11">
        <f>IF(K379="FUERA","Fuera del marco",IF(K379="N/A","Sin marco",IFERROR(INDEX('Datos - Catálogo TIMSS'!$C$5:$C$107,MATCH(K379,'Datos - Catálogo TIMSS'!$A$5:$A$107,0)),"Pendiente de clasificar")))</f>
        <v/>
      </c>
      <c r="N379" s="11">
        <f>IF(K379="FUERA","Fuera del marco",IF(K379="N/A","Sin marco",IFERROR(INDEX('Datos - Catálogo TIMSS'!$F$5:$F$107,MATCH(K379,'Datos - Catálogo TIMSS'!$A$5:$A$107,0)),"Pendiente de clasificar")))</f>
        <v/>
      </c>
      <c r="O379" s="11">
        <f>IF(L379="","",IFERROR(INDEX('Datos - Catálogo TIMSS'!$C$5:$C$107,MATCH(L379,'Datos - Catálogo TIMSS'!$A$5:$A$107,0)),"?"))</f>
        <v/>
      </c>
      <c r="P379" s="11" t="inlineStr">
        <is>
          <t>alta</t>
        </is>
      </c>
      <c r="Q379" s="38" t="inlineStr">
        <is>
          <t>Resistencia bacteriana: selección natural y pérdida de eficacia antibiótica</t>
        </is>
      </c>
      <c r="R379" s="38" t="inlineStr">
        <is>
          <t>Razonar: explicar y justificar</t>
        </is>
      </c>
      <c r="S379" s="39">
        <f>IFERROR(ISNUMBER(SEARCH("Conocer",$R379))/(ISNUMBER(SEARCH("Conocer",$R379))+ISNUMBER(SEARCH("Aplicar",$R379))+ISNUMBER(SEARCH("Razonar",$R379))),0)</f>
        <v/>
      </c>
      <c r="T379" s="39">
        <f>IFERROR(ISNUMBER(SEARCH("Aplicar",$R379))/(ISNUMBER(SEARCH("Conocer",$R379))+ISNUMBER(SEARCH("Aplicar",$R379))+ISNUMBER(SEARCH("Razonar",$R379))),0)</f>
        <v/>
      </c>
      <c r="U379" s="39">
        <f>IFERROR(ISNUMBER(SEARCH("Razonar",$R379))/(ISNUMBER(SEARCH("Conocer",$R379))+ISNUMBER(SEARCH("Aplicar",$R379))+ISNUMBER(SEARCH("Razonar",$R379))),0)</f>
        <v/>
      </c>
      <c r="V379" s="11" t="inlineStr">
        <is>
          <t>7°</t>
        </is>
      </c>
      <c r="W379" s="11" t="inlineStr">
        <is>
          <t>Ciclo 5°–8°</t>
        </is>
      </c>
      <c r="X379" s="11">
        <f>IF(OR(IFERROR(INDEX('Datos - Catálogo TIMSS'!$I$5:$I$107,MATCH(K379,'Datos - Catálogo TIMSS'!$A$5:$A$107,0)),"No")="Sí",IFERROR(INDEX('Datos - Catálogo TIMSS'!$I$5:$I$107,MATCH(L379,'Datos - Catálogo TIMSS'!$A$5:$A$107,0)),"No")="Sí"),1,0)</f>
        <v/>
      </c>
      <c r="Y379" s="11">
        <f>IF(IFERROR(INDEX('Datos - Catálogo TIMSS'!$J$5:$J$107,MATCH(K379,'Datos - Catálogo TIMSS'!$A$5:$A$107,0)),"No")="Sí",1,0)</f>
        <v/>
      </c>
      <c r="Z379" s="11">
        <f>IF(IFERROR(INDEX('Datos - Catálogo TIMSS'!$J$5:$J$107,MATCH(L379,'Datos - Catálogo TIMSS'!$A$5:$A$107,0)),"No")="Sí",1,0)</f>
        <v/>
      </c>
      <c r="AA379" s="11" t="inlineStr">
        <is>
          <t>T8-B4.1</t>
        </is>
      </c>
      <c r="AB379" s="11" t="inlineStr"/>
      <c r="AC379" s="11">
        <f>IF(AA379="FUERA","Fuera del marco",IF(AA379="N/A","Sin marco",IFERROR(INDEX('Datos - TIMSS 2023'!$C$5:$C$105,MATCH(AA379,'Datos - TIMSS 2023'!$A$5:$A$105,0)),"Pendiente de clasificar")))</f>
        <v/>
      </c>
      <c r="AD379" s="11" t="inlineStr">
        <is>
          <t>3. Investigar, evaluar y usar información científica para tomar decisiones y actuar</t>
        </is>
      </c>
      <c r="AE379" s="11">
        <f>IF(AD379="","",IF(LEFT(AD379,1)="1","C1",IF(LEFT(AD379,1)="2","C2",IF(LEFT(AD379,1)="3","C3",""))))</f>
        <v/>
      </c>
      <c r="AF379" s="11" t="inlineStr">
        <is>
          <t>E1</t>
        </is>
      </c>
      <c r="AG379" s="11" t="inlineStr">
        <is>
          <t>D1</t>
        </is>
      </c>
      <c r="AH379" s="11" t="inlineStr">
        <is>
          <t>E4</t>
        </is>
      </c>
      <c r="AI379" s="11" t="inlineStr">
        <is>
          <t>I4</t>
        </is>
      </c>
      <c r="AJ379" s="11" t="inlineStr">
        <is>
          <t>I5</t>
        </is>
      </c>
      <c r="AK379" s="11" t="inlineStr">
        <is>
          <t>PISA-V5</t>
        </is>
      </c>
      <c r="AL379" s="11" t="inlineStr">
        <is>
          <t>PISA-V1</t>
        </is>
      </c>
      <c r="AM379" s="11">
        <f>IF(AK379="FUERA","Fuera del marco",IFERROR(INDEX('Datos - Catálogo PISA'!$C$5:$C$76,MATCH(AK379,'Datos - Catálogo PISA'!$A$5:$A$76,0)),"?"))</f>
        <v/>
      </c>
      <c r="AN379" s="11" t="inlineStr">
        <is>
          <t>Contenido</t>
        </is>
      </c>
      <c r="AO379" s="11" t="n"/>
      <c r="AP379" s="11" t="inlineStr">
        <is>
          <t>PISA-EP4;</t>
        </is>
      </c>
      <c r="AQ379" s="11" t="inlineStr">
        <is>
          <t>Global</t>
        </is>
      </c>
      <c r="AR379" s="11" t="inlineStr">
        <is>
          <t>Salud y enfermedad</t>
        </is>
      </c>
      <c r="AS379" s="11" t="inlineStr">
        <is>
          <t>Media</t>
        </is>
      </c>
      <c r="AT379" s="11" t="inlineStr">
        <is>
          <t>alta</t>
        </is>
      </c>
      <c r="AU379" s="11" t="inlineStr">
        <is>
          <t>Selección natural en resistencia bacteriana con modelo de frijoles</t>
        </is>
      </c>
      <c r="AV379" s="11" t="inlineStr">
        <is>
          <t>Ciclo 7°–9°</t>
        </is>
      </c>
      <c r="AW379" s="11">
        <f>AF379&amp;"; "&amp;AG379&amp;"; "&amp;AH379&amp;"; "&amp;AI379&amp;"; "&amp;AJ379</f>
        <v/>
      </c>
    </row>
    <row r="380">
      <c r="A380" s="11" t="inlineStr">
        <is>
          <t>T1014-G07-CIE</t>
        </is>
      </c>
      <c r="B380" s="11" t="n">
        <v>7</v>
      </c>
      <c r="C380" s="11" t="inlineStr">
        <is>
          <t>Ciencias</t>
        </is>
      </c>
      <c r="D380" s="11" t="inlineStr">
        <is>
          <t>Matriz_Ciencias_7mo_Grado_U1_U6.xlsx</t>
        </is>
      </c>
      <c r="E380" s="11" t="inlineStr">
        <is>
          <t>Unidad 2 - Genética y evolución</t>
        </is>
      </c>
      <c r="F380" s="11" t="n">
        <v>18</v>
      </c>
      <c r="G380" s="11" t="inlineStr">
        <is>
          <t>2. Genética y evolución</t>
        </is>
      </c>
      <c r="H380" s="11" t="inlineStr">
        <is>
          <t>Mecanismos de evolución</t>
        </is>
      </c>
      <c r="I380" s="38" t="inlineStr">
        <is>
          <t>2.16. Simulación de la acción de las fuerzas evolutivas sobre una población.</t>
        </is>
      </c>
      <c r="J380" s="11" t="inlineStr">
        <is>
          <t>T8_27</t>
        </is>
      </c>
      <c r="K380" s="11" t="inlineStr">
        <is>
          <t>T8_27-B4.1</t>
        </is>
      </c>
      <c r="L380" s="11" t="inlineStr"/>
      <c r="M380" s="11">
        <f>IF(K380="FUERA","Fuera del marco",IF(K380="N/A","Sin marco",IFERROR(INDEX('Datos - Catálogo TIMSS'!$C$5:$C$107,MATCH(K380,'Datos - Catálogo TIMSS'!$A$5:$A$107,0)),"Pendiente de clasificar")))</f>
        <v/>
      </c>
      <c r="N380" s="11">
        <f>IF(K380="FUERA","Fuera del marco",IF(K380="N/A","Sin marco",IFERROR(INDEX('Datos - Catálogo TIMSS'!$F$5:$F$107,MATCH(K380,'Datos - Catálogo TIMSS'!$A$5:$A$107,0)),"Pendiente de clasificar")))</f>
        <v/>
      </c>
      <c r="O380" s="11">
        <f>IF(L380="","",IFERROR(INDEX('Datos - Catálogo TIMSS'!$C$5:$C$107,MATCH(L380,'Datos - Catálogo TIMSS'!$A$5:$A$107,0)),"?"))</f>
        <v/>
      </c>
      <c r="P380" s="11" t="inlineStr">
        <is>
          <t>alta</t>
        </is>
      </c>
      <c r="Q380" s="38" t="inlineStr">
        <is>
          <t>Simulación de selección y fuerzas evolutivas en una población</t>
        </is>
      </c>
      <c r="R380" s="38" t="inlineStr">
        <is>
          <t>Aplicar: usar simulaciones</t>
        </is>
      </c>
      <c r="S380" s="39">
        <f>IFERROR(ISNUMBER(SEARCH("Conocer",$R380))/(ISNUMBER(SEARCH("Conocer",$R380))+ISNUMBER(SEARCH("Aplicar",$R380))+ISNUMBER(SEARCH("Razonar",$R380))),0)</f>
        <v/>
      </c>
      <c r="T380" s="39">
        <f>IFERROR(ISNUMBER(SEARCH("Aplicar",$R380))/(ISNUMBER(SEARCH("Conocer",$R380))+ISNUMBER(SEARCH("Aplicar",$R380))+ISNUMBER(SEARCH("Razonar",$R380))),0)</f>
        <v/>
      </c>
      <c r="U380" s="39">
        <f>IFERROR(ISNUMBER(SEARCH("Razonar",$R380))/(ISNUMBER(SEARCH("Conocer",$R380))+ISNUMBER(SEARCH("Aplicar",$R380))+ISNUMBER(SEARCH("Razonar",$R380))),0)</f>
        <v/>
      </c>
      <c r="V380" s="11" t="inlineStr">
        <is>
          <t>7°</t>
        </is>
      </c>
      <c r="W380" s="11" t="inlineStr">
        <is>
          <t>Ciclo 5°–8°</t>
        </is>
      </c>
      <c r="X380" s="11">
        <f>IF(OR(IFERROR(INDEX('Datos - Catálogo TIMSS'!$I$5:$I$107,MATCH(K380,'Datos - Catálogo TIMSS'!$A$5:$A$107,0)),"No")="Sí",IFERROR(INDEX('Datos - Catálogo TIMSS'!$I$5:$I$107,MATCH(L380,'Datos - Catálogo TIMSS'!$A$5:$A$107,0)),"No")="Sí"),1,0)</f>
        <v/>
      </c>
      <c r="Y380" s="11">
        <f>IF(IFERROR(INDEX('Datos - Catálogo TIMSS'!$J$5:$J$107,MATCH(K380,'Datos - Catálogo TIMSS'!$A$5:$A$107,0)),"No")="Sí",1,0)</f>
        <v/>
      </c>
      <c r="Z380" s="11">
        <f>IF(IFERROR(INDEX('Datos - Catálogo TIMSS'!$J$5:$J$107,MATCH(L380,'Datos - Catálogo TIMSS'!$A$5:$A$107,0)),"No")="Sí",1,0)</f>
        <v/>
      </c>
      <c r="AA380" s="11" t="inlineStr">
        <is>
          <t>T8-B4.1</t>
        </is>
      </c>
      <c r="AB380" s="11" t="inlineStr"/>
      <c r="AC380" s="11">
        <f>IF(AA380="FUERA","Fuera del marco",IF(AA380="N/A","Sin marco",IFERROR(INDEX('Datos - TIMSS 2023'!$C$5:$C$105,MATCH(AA380,'Datos - TIMSS 2023'!$A$5:$A$105,0)),"Pendiente de clasificar")))</f>
        <v/>
      </c>
      <c r="AD380" s="11" t="inlineStr">
        <is>
          <t>2. Construir y evaluar diseños para la indagación científica e interpretar datos y evidencia de forma crítica</t>
        </is>
      </c>
      <c r="AE380" s="11">
        <f>IF(AD380="","",IF(LEFT(AD380,1)="1","C1",IF(LEFT(AD380,1)="2","C2",IF(LEFT(AD380,1)="3","C3",""))))</f>
        <v/>
      </c>
      <c r="AF380" s="11" t="inlineStr">
        <is>
          <t>E1</t>
        </is>
      </c>
      <c r="AG380" s="11" t="inlineStr">
        <is>
          <t>E3</t>
        </is>
      </c>
      <c r="AH380" s="11" t="inlineStr">
        <is>
          <t>E4</t>
        </is>
      </c>
      <c r="AI380" s="11" t="inlineStr">
        <is>
          <t>D4</t>
        </is>
      </c>
      <c r="AJ380" s="11" t="inlineStr">
        <is>
          <t>E3</t>
        </is>
      </c>
      <c r="AK380" s="11" t="inlineStr">
        <is>
          <t>PISA-V5</t>
        </is>
      </c>
      <c r="AL380" s="11" t="n"/>
      <c r="AM380" s="11">
        <f>IF(AK380="FUERA","Fuera del marco",IFERROR(INDEX('Datos - Catálogo PISA'!$C$5:$C$76,MATCH(AK380,'Datos - Catálogo PISA'!$A$5:$A$76,0)),"?"))</f>
        <v/>
      </c>
      <c r="AN380" s="11" t="inlineStr">
        <is>
          <t>Contenido</t>
        </is>
      </c>
      <c r="AO380" s="11" t="n"/>
      <c r="AP380" s="11" t="inlineStr">
        <is>
          <t>PISA-EP4;</t>
        </is>
      </c>
      <c r="AQ380" s="11" t="inlineStr">
        <is>
          <t>Sin contexto</t>
        </is>
      </c>
      <c r="AR380" s="11" t="n"/>
      <c r="AS380" s="11" t="inlineStr">
        <is>
          <t>Media</t>
        </is>
      </c>
      <c r="AT380" s="11" t="inlineStr">
        <is>
          <t>alta</t>
        </is>
      </c>
      <c r="AU380" s="11" t="inlineStr">
        <is>
          <t>Simulación de fuerzas evolutivas sobre una población</t>
        </is>
      </c>
      <c r="AV380" s="11" t="inlineStr">
        <is>
          <t>Ciclo 7°–9°</t>
        </is>
      </c>
      <c r="AW380" s="11">
        <f>AF380&amp;"; "&amp;AG380&amp;"; "&amp;AH380&amp;"; "&amp;AI380&amp;"; "&amp;AJ380</f>
        <v/>
      </c>
    </row>
    <row r="381">
      <c r="A381" s="11" t="inlineStr">
        <is>
          <t>T1015-G07-CIE</t>
        </is>
      </c>
      <c r="B381" s="11" t="n">
        <v>7</v>
      </c>
      <c r="C381" s="11" t="inlineStr">
        <is>
          <t>Ciencias</t>
        </is>
      </c>
      <c r="D381" s="11" t="inlineStr">
        <is>
          <t>Matriz_Ciencias_7mo_Grado_U1_U6.xlsx</t>
        </is>
      </c>
      <c r="E381" s="11" t="inlineStr">
        <is>
          <t>Unidad 2 - Genética y evolución</t>
        </is>
      </c>
      <c r="F381" s="11" t="n">
        <v>19</v>
      </c>
      <c r="G381" s="11" t="inlineStr">
        <is>
          <t>2. Genética y evolución</t>
        </is>
      </c>
      <c r="H381" s="11" t="inlineStr">
        <is>
          <t>Mecanismos de evolución</t>
        </is>
      </c>
      <c r="I381" s="38" t="inlineStr">
        <is>
          <t>2.17. Diseño de un procedimiento para el mejoramiento genético de organismos.</t>
        </is>
      </c>
      <c r="J381" s="11" t="inlineStr">
        <is>
          <t>T8_27</t>
        </is>
      </c>
      <c r="K381" s="11" t="inlineStr">
        <is>
          <t>T8_27-B3.1</t>
        </is>
      </c>
      <c r="L381" s="11" t="inlineStr">
        <is>
          <t>T8_27-B4.1</t>
        </is>
      </c>
      <c r="M381" s="11">
        <f>IF(K381="FUERA","Fuera del marco",IF(K381="N/A","Sin marco",IFERROR(INDEX('Datos - Catálogo TIMSS'!$C$5:$C$107,MATCH(K381,'Datos - Catálogo TIMSS'!$A$5:$A$107,0)),"Pendiente de clasificar")))</f>
        <v/>
      </c>
      <c r="N381" s="11">
        <f>IF(K381="FUERA","Fuera del marco",IF(K381="N/A","Sin marco",IFERROR(INDEX('Datos - Catálogo TIMSS'!$F$5:$F$107,MATCH(K381,'Datos - Catálogo TIMSS'!$A$5:$A$107,0)),"Pendiente de clasificar")))</f>
        <v/>
      </c>
      <c r="O381" s="11">
        <f>IF(L381="","",IFERROR(INDEX('Datos - Catálogo TIMSS'!$C$5:$C$107,MATCH(L381,'Datos - Catálogo TIMSS'!$A$5:$A$107,0)),"?"))</f>
        <v/>
      </c>
      <c r="P381" s="11" t="inlineStr">
        <is>
          <t>media</t>
        </is>
      </c>
      <c r="Q381" s="38" t="inlineStr">
        <is>
          <t>Mejoramiento genético: herencia de rasgos y selección artificial</t>
        </is>
      </c>
      <c r="R381" s="38" t="inlineStr">
        <is>
          <t>Razonar: diseñar</t>
        </is>
      </c>
      <c r="S381" s="39">
        <f>IFERROR(ISNUMBER(SEARCH("Conocer",$R381))/(ISNUMBER(SEARCH("Conocer",$R381))+ISNUMBER(SEARCH("Aplicar",$R381))+ISNUMBER(SEARCH("Razonar",$R381))),0)</f>
        <v/>
      </c>
      <c r="T381" s="39">
        <f>IFERROR(ISNUMBER(SEARCH("Aplicar",$R381))/(ISNUMBER(SEARCH("Conocer",$R381))+ISNUMBER(SEARCH("Aplicar",$R381))+ISNUMBER(SEARCH("Razonar",$R381))),0)</f>
        <v/>
      </c>
      <c r="U381" s="39">
        <f>IFERROR(ISNUMBER(SEARCH("Razonar",$R381))/(ISNUMBER(SEARCH("Conocer",$R381))+ISNUMBER(SEARCH("Aplicar",$R381))+ISNUMBER(SEARCH("Razonar",$R381))),0)</f>
        <v/>
      </c>
      <c r="V381" s="11" t="inlineStr">
        <is>
          <t>7°</t>
        </is>
      </c>
      <c r="W381" s="11" t="inlineStr">
        <is>
          <t>Ciclo 5°–8°</t>
        </is>
      </c>
      <c r="X381" s="11">
        <f>IF(OR(IFERROR(INDEX('Datos - Catálogo TIMSS'!$I$5:$I$107,MATCH(K381,'Datos - Catálogo TIMSS'!$A$5:$A$107,0)),"No")="Sí",IFERROR(INDEX('Datos - Catálogo TIMSS'!$I$5:$I$107,MATCH(L381,'Datos - Catálogo TIMSS'!$A$5:$A$107,0)),"No")="Sí"),1,0)</f>
        <v/>
      </c>
      <c r="Y381" s="11">
        <f>IF(IFERROR(INDEX('Datos - Catálogo TIMSS'!$J$5:$J$107,MATCH(K381,'Datos - Catálogo TIMSS'!$A$5:$A$107,0)),"No")="Sí",1,0)</f>
        <v/>
      </c>
      <c r="Z381" s="11">
        <f>IF(IFERROR(INDEX('Datos - Catálogo TIMSS'!$J$5:$J$107,MATCH(L381,'Datos - Catálogo TIMSS'!$A$5:$A$107,0)),"No")="Sí",1,0)</f>
        <v/>
      </c>
      <c r="AA381" s="11" t="inlineStr">
        <is>
          <t>T8-B3.2</t>
        </is>
      </c>
      <c r="AB381" s="11" t="inlineStr">
        <is>
          <t>T8-B4.1</t>
        </is>
      </c>
      <c r="AC381" s="11">
        <f>IF(AA381="FUERA","Fuera del marco",IF(AA381="N/A","Sin marco",IFERROR(INDEX('Datos - TIMSS 2023'!$C$5:$C$105,MATCH(AA381,'Datos - TIMSS 2023'!$A$5:$A$105,0)),"Pendiente de clasificar")))</f>
        <v/>
      </c>
      <c r="AD381" s="11" t="inlineStr">
        <is>
          <t>2. Construir y evaluar diseños para la indagación científica e interpretar datos y evidencia de forma crítica</t>
        </is>
      </c>
      <c r="AE381" s="11">
        <f>IF(AD381="","",IF(LEFT(AD381,1)="1","C1",IF(LEFT(AD381,1)="2","C2",IF(LEFT(AD381,1)="3","C3",""))))</f>
        <v/>
      </c>
      <c r="AF381" s="11" t="inlineStr">
        <is>
          <t>E6</t>
        </is>
      </c>
      <c r="AG381" s="11" t="inlineStr">
        <is>
          <t>D1</t>
        </is>
      </c>
      <c r="AH381" s="11" t="inlineStr">
        <is>
          <t>E3</t>
        </is>
      </c>
      <c r="AI381" s="11" t="inlineStr">
        <is>
          <t>D2</t>
        </is>
      </c>
      <c r="AJ381" s="11" t="inlineStr">
        <is>
          <t>I5</t>
        </is>
      </c>
      <c r="AK381" s="11" t="inlineStr">
        <is>
          <t>PISA-V2</t>
        </is>
      </c>
      <c r="AL381" s="11" t="inlineStr">
        <is>
          <t>PISA-V5</t>
        </is>
      </c>
      <c r="AM381" s="11">
        <f>IF(AK381="FUERA","Fuera del marco",IFERROR(INDEX('Datos - Catálogo PISA'!$C$5:$C$76,MATCH(AK381,'Datos - Catálogo PISA'!$A$5:$A$76,0)),"?"))</f>
        <v/>
      </c>
      <c r="AN381" s="11" t="inlineStr">
        <is>
          <t>Contenido</t>
        </is>
      </c>
      <c r="AO381" s="11" t="n"/>
      <c r="AP381" s="11" t="n"/>
      <c r="AQ381" s="11" t="inlineStr">
        <is>
          <t>Global</t>
        </is>
      </c>
      <c r="AR381" s="11" t="inlineStr">
        <is>
          <t>Avances y desafíos científicos y tecnológicos</t>
        </is>
      </c>
      <c r="AS381" s="11" t="inlineStr">
        <is>
          <t>Alta</t>
        </is>
      </c>
      <c r="AT381" s="11" t="inlineStr">
        <is>
          <t>media</t>
        </is>
      </c>
      <c r="AU381" s="11" t="inlineStr">
        <is>
          <t>Diseña procedimiento hipotético de mejoramiento genético (biotecnología)</t>
        </is>
      </c>
      <c r="AV381" s="11" t="inlineStr">
        <is>
          <t>Ciclo 7°–9°</t>
        </is>
      </c>
      <c r="AW381" s="11">
        <f>AF381&amp;"; "&amp;AG381&amp;"; "&amp;AH381&amp;"; "&amp;AI381&amp;"; "&amp;AJ381</f>
        <v/>
      </c>
    </row>
    <row r="382">
      <c r="A382" s="11" t="inlineStr">
        <is>
          <t>T1016-G07-CIE</t>
        </is>
      </c>
      <c r="B382" s="11" t="n">
        <v>7</v>
      </c>
      <c r="C382" s="11" t="inlineStr">
        <is>
          <t>Ciencias</t>
        </is>
      </c>
      <c r="D382" s="11" t="inlineStr">
        <is>
          <t>Matriz_Ciencias_7mo_Grado_U1_U6.xlsx</t>
        </is>
      </c>
      <c r="E382" s="11" t="inlineStr">
        <is>
          <t>Unidad 3 - Biodiversidad</t>
        </is>
      </c>
      <c r="F382" s="11" t="n">
        <v>3</v>
      </c>
      <c r="G382" s="11" t="inlineStr">
        <is>
          <t>3. Biodiversidad</t>
        </is>
      </c>
      <c r="H382" s="11" t="inlineStr">
        <is>
          <t>Importancia y niveles de la biodiversidad</t>
        </is>
      </c>
      <c r="I382" s="38" t="inlineStr">
        <is>
          <t>3.1. Indagación del concepto de biodiversidad y sus niveles.</t>
        </is>
      </c>
      <c r="J382" s="11" t="inlineStr">
        <is>
          <t>T8_27</t>
        </is>
      </c>
      <c r="K382" s="11" t="inlineStr">
        <is>
          <t>T8_27-B4.1</t>
        </is>
      </c>
      <c r="L382" s="11" t="inlineStr">
        <is>
          <t>T8_27-B1.1</t>
        </is>
      </c>
      <c r="M382" s="11">
        <f>IF(K382="FUERA","Fuera del marco",IF(K382="N/A","Sin marco",IFERROR(INDEX('Datos - Catálogo TIMSS'!$C$5:$C$107,MATCH(K382,'Datos - Catálogo TIMSS'!$A$5:$A$107,0)),"Pendiente de clasificar")))</f>
        <v/>
      </c>
      <c r="N382" s="11">
        <f>IF(K382="FUERA","Fuera del marco",IF(K382="N/A","Sin marco",IFERROR(INDEX('Datos - Catálogo TIMSS'!$F$5:$F$107,MATCH(K382,'Datos - Catálogo TIMSS'!$A$5:$A$107,0)),"Pendiente de clasificar")))</f>
        <v/>
      </c>
      <c r="O382" s="11">
        <f>IF(L382="","",IFERROR(INDEX('Datos - Catálogo TIMSS'!$C$5:$C$107,MATCH(L382,'Datos - Catálogo TIMSS'!$A$5:$A$107,0)),"?"))</f>
        <v/>
      </c>
      <c r="P382" s="11" t="inlineStr">
        <is>
          <t>media</t>
        </is>
      </c>
      <c r="Q382" s="38" t="inlineStr">
        <is>
          <t>Niveles de biodiversidad: variación genética, especies y grupos</t>
        </is>
      </c>
      <c r="R382" s="38" t="inlineStr">
        <is>
          <t>Conocer: definir</t>
        </is>
      </c>
      <c r="S382" s="39">
        <f>IFERROR(ISNUMBER(SEARCH("Conocer",$R382))/(ISNUMBER(SEARCH("Conocer",$R382))+ISNUMBER(SEARCH("Aplicar",$R382))+ISNUMBER(SEARCH("Razonar",$R382))),0)</f>
        <v/>
      </c>
      <c r="T382" s="39">
        <f>IFERROR(ISNUMBER(SEARCH("Aplicar",$R382))/(ISNUMBER(SEARCH("Conocer",$R382))+ISNUMBER(SEARCH("Aplicar",$R382))+ISNUMBER(SEARCH("Razonar",$R382))),0)</f>
        <v/>
      </c>
      <c r="U382" s="39">
        <f>IFERROR(ISNUMBER(SEARCH("Razonar",$R382))/(ISNUMBER(SEARCH("Conocer",$R382))+ISNUMBER(SEARCH("Aplicar",$R382))+ISNUMBER(SEARCH("Razonar",$R382))),0)</f>
        <v/>
      </c>
      <c r="V382" s="11" t="inlineStr">
        <is>
          <t>7°</t>
        </is>
      </c>
      <c r="W382" s="11" t="inlineStr">
        <is>
          <t>Ciclo 5°–8°</t>
        </is>
      </c>
      <c r="X382" s="11">
        <f>IF(OR(IFERROR(INDEX('Datos - Catálogo TIMSS'!$I$5:$I$107,MATCH(K382,'Datos - Catálogo TIMSS'!$A$5:$A$107,0)),"No")="Sí",IFERROR(INDEX('Datos - Catálogo TIMSS'!$I$5:$I$107,MATCH(L382,'Datos - Catálogo TIMSS'!$A$5:$A$107,0)),"No")="Sí"),1,0)</f>
        <v/>
      </c>
      <c r="Y382" s="11">
        <f>IF(IFERROR(INDEX('Datos - Catálogo TIMSS'!$J$5:$J$107,MATCH(K382,'Datos - Catálogo TIMSS'!$A$5:$A$107,0)),"No")="Sí",1,0)</f>
        <v/>
      </c>
      <c r="Z382" s="11">
        <f>IF(IFERROR(INDEX('Datos - Catálogo TIMSS'!$J$5:$J$107,MATCH(L382,'Datos - Catálogo TIMSS'!$A$5:$A$107,0)),"No")="Sí",1,0)</f>
        <v/>
      </c>
      <c r="AA382" s="11" t="inlineStr">
        <is>
          <t>T8-B4.1</t>
        </is>
      </c>
      <c r="AB382" s="11" t="inlineStr">
        <is>
          <t>T8-B1.1</t>
        </is>
      </c>
      <c r="AC382" s="11">
        <f>IF(AA382="FUERA","Fuera del marco",IF(AA382="N/A","Sin marco",IFERROR(INDEX('Datos - TIMSS 2023'!$C$5:$C$105,MATCH(AA382,'Datos - TIMSS 2023'!$A$5:$A$105,0)),"Pendiente de clasificar")))</f>
        <v/>
      </c>
      <c r="AD382" s="11" t="inlineStr">
        <is>
          <t>1. Explicar fenómenos científicamente</t>
        </is>
      </c>
      <c r="AE382" s="11">
        <f>IF(AD382="","",IF(LEFT(AD382,1)="1","C1",IF(LEFT(AD382,1)="2","C2",IF(LEFT(AD382,1)="3","C3",""))))</f>
        <v/>
      </c>
      <c r="AF382" s="11" t="inlineStr">
        <is>
          <t>E6</t>
        </is>
      </c>
      <c r="AG382" s="11" t="inlineStr">
        <is>
          <t>D1</t>
        </is>
      </c>
      <c r="AH382" s="11" t="inlineStr">
        <is>
          <t>E1</t>
        </is>
      </c>
      <c r="AI382" s="11" t="inlineStr">
        <is>
          <t>D4</t>
        </is>
      </c>
      <c r="AJ382" s="11" t="inlineStr">
        <is>
          <t>E6</t>
        </is>
      </c>
      <c r="AK382" s="11" t="inlineStr">
        <is>
          <t>PISA-V5</t>
        </is>
      </c>
      <c r="AL382" s="11" t="inlineStr">
        <is>
          <t>PISA-V7</t>
        </is>
      </c>
      <c r="AM382" s="11">
        <f>IF(AK382="FUERA","Fuera del marco",IFERROR(INDEX('Datos - Catálogo PISA'!$C$5:$C$76,MATCH(AK382,'Datos - Catálogo PISA'!$A$5:$A$76,0)),"?"))</f>
        <v/>
      </c>
      <c r="AN382" s="11" t="inlineStr">
        <is>
          <t>Contenido</t>
        </is>
      </c>
      <c r="AO382" s="11" t="n"/>
      <c r="AP382" s="11" t="n"/>
      <c r="AQ382" s="11" t="inlineStr">
        <is>
          <t>Local/nacional</t>
        </is>
      </c>
      <c r="AR382" s="11" t="inlineStr">
        <is>
          <t>Recursos naturales</t>
        </is>
      </c>
      <c r="AS382" s="11" t="inlineStr">
        <is>
          <t>Media</t>
        </is>
      </c>
      <c r="AT382" s="11" t="inlineStr">
        <is>
          <t>alta</t>
        </is>
      </c>
      <c r="AU382" s="11" t="inlineStr">
        <is>
          <t>Niveles de biodiversidad con ejemplos salvadoreños</t>
        </is>
      </c>
      <c r="AV382" s="11" t="inlineStr">
        <is>
          <t>Ciclo 7°–9°</t>
        </is>
      </c>
      <c r="AW382" s="11">
        <f>AF382&amp;"; "&amp;AG382&amp;"; "&amp;AH382&amp;"; "&amp;AI382&amp;"; "&amp;AJ382</f>
        <v/>
      </c>
    </row>
    <row r="383">
      <c r="A383" s="11" t="inlineStr">
        <is>
          <t>T1017-G07-CIE</t>
        </is>
      </c>
      <c r="B383" s="11" t="n">
        <v>7</v>
      </c>
      <c r="C383" s="11" t="inlineStr">
        <is>
          <t>Ciencias</t>
        </is>
      </c>
      <c r="D383" s="11" t="inlineStr">
        <is>
          <t>Matriz_Ciencias_7mo_Grado_U1_U6.xlsx</t>
        </is>
      </c>
      <c r="E383" s="11" t="inlineStr">
        <is>
          <t>Unidad 3 - Biodiversidad</t>
        </is>
      </c>
      <c r="F383" s="11" t="n">
        <v>4</v>
      </c>
      <c r="G383" s="11" t="inlineStr">
        <is>
          <t>3. Biodiversidad</t>
        </is>
      </c>
      <c r="H383" s="11" t="inlineStr">
        <is>
          <t>Importancia y niveles de la biodiversidad</t>
        </is>
      </c>
      <c r="I383" s="38" t="inlineStr">
        <is>
          <t>3.2. Reconocimiento de organismos de la localidad y sus usos.</t>
        </is>
      </c>
      <c r="J383" s="11" t="inlineStr">
        <is>
          <t>T8_27</t>
        </is>
      </c>
      <c r="K383" s="11" t="inlineStr">
        <is>
          <t>T8_27-B1.1</t>
        </is>
      </c>
      <c r="L383" s="11" t="inlineStr"/>
      <c r="M383" s="11">
        <f>IF(K383="FUERA","Fuera del marco",IF(K383="N/A","Sin marco",IFERROR(INDEX('Datos - Catálogo TIMSS'!$C$5:$C$107,MATCH(K383,'Datos - Catálogo TIMSS'!$A$5:$A$107,0)),"Pendiente de clasificar")))</f>
        <v/>
      </c>
      <c r="N383" s="11">
        <f>IF(K383="FUERA","Fuera del marco",IF(K383="N/A","Sin marco",IFERROR(INDEX('Datos - Catálogo TIMSS'!$F$5:$F$107,MATCH(K383,'Datos - Catálogo TIMSS'!$A$5:$A$107,0)),"Pendiente de clasificar")))</f>
        <v/>
      </c>
      <c r="O383" s="11">
        <f>IF(L383="","",IFERROR(INDEX('Datos - Catálogo TIMSS'!$C$5:$C$107,MATCH(L383,'Datos - Catálogo TIMSS'!$A$5:$A$107,0)),"?"))</f>
        <v/>
      </c>
      <c r="P383" s="11" t="inlineStr">
        <is>
          <t>media</t>
        </is>
      </c>
      <c r="Q383" s="38" t="inlineStr">
        <is>
          <t>Reconoce organismos locales como ejemplos de grupos</t>
        </is>
      </c>
      <c r="R383" s="38" t="inlineStr">
        <is>
          <t>Aplicar: organizar</t>
        </is>
      </c>
      <c r="S383" s="39">
        <f>IFERROR(ISNUMBER(SEARCH("Conocer",$R383))/(ISNUMBER(SEARCH("Conocer",$R383))+ISNUMBER(SEARCH("Aplicar",$R383))+ISNUMBER(SEARCH("Razonar",$R383))),0)</f>
        <v/>
      </c>
      <c r="T383" s="39">
        <f>IFERROR(ISNUMBER(SEARCH("Aplicar",$R383))/(ISNUMBER(SEARCH("Conocer",$R383))+ISNUMBER(SEARCH("Aplicar",$R383))+ISNUMBER(SEARCH("Razonar",$R383))),0)</f>
        <v/>
      </c>
      <c r="U383" s="39">
        <f>IFERROR(ISNUMBER(SEARCH("Razonar",$R383))/(ISNUMBER(SEARCH("Conocer",$R383))+ISNUMBER(SEARCH("Aplicar",$R383))+ISNUMBER(SEARCH("Razonar",$R383))),0)</f>
        <v/>
      </c>
      <c r="V383" s="11" t="inlineStr">
        <is>
          <t>7°</t>
        </is>
      </c>
      <c r="W383" s="11" t="inlineStr">
        <is>
          <t>Ciclo 5°–8°</t>
        </is>
      </c>
      <c r="X383" s="11">
        <f>IF(OR(IFERROR(INDEX('Datos - Catálogo TIMSS'!$I$5:$I$107,MATCH(K383,'Datos - Catálogo TIMSS'!$A$5:$A$107,0)),"No")="Sí",IFERROR(INDEX('Datos - Catálogo TIMSS'!$I$5:$I$107,MATCH(L383,'Datos - Catálogo TIMSS'!$A$5:$A$107,0)),"No")="Sí"),1,0)</f>
        <v/>
      </c>
      <c r="Y383" s="11">
        <f>IF(IFERROR(INDEX('Datos - Catálogo TIMSS'!$J$5:$J$107,MATCH(K383,'Datos - Catálogo TIMSS'!$A$5:$A$107,0)),"No")="Sí",1,0)</f>
        <v/>
      </c>
      <c r="Z383" s="11">
        <f>IF(IFERROR(INDEX('Datos - Catálogo TIMSS'!$J$5:$J$107,MATCH(L383,'Datos - Catálogo TIMSS'!$A$5:$A$107,0)),"No")="Sí",1,0)</f>
        <v/>
      </c>
      <c r="AA383" s="11" t="inlineStr">
        <is>
          <t>T8-B1.1</t>
        </is>
      </c>
      <c r="AB383" s="11" t="inlineStr"/>
      <c r="AC383" s="11">
        <f>IF(AA383="FUERA","Fuera del marco",IF(AA383="N/A","Sin marco",IFERROR(INDEX('Datos - TIMSS 2023'!$C$5:$C$105,MATCH(AA383,'Datos - TIMSS 2023'!$A$5:$A$105,0)),"Pendiente de clasificar")))</f>
        <v/>
      </c>
      <c r="AD383" s="11" t="inlineStr">
        <is>
          <t>3. Investigar, evaluar y usar información científica para tomar decisiones y actuar</t>
        </is>
      </c>
      <c r="AE383" s="11">
        <f>IF(AD383="","",IF(LEFT(AD383,1)="1","C1",IF(LEFT(AD383,1)="2","C2",IF(LEFT(AD383,1)="3","C3",""))))</f>
        <v/>
      </c>
      <c r="AF383" s="11" t="inlineStr">
        <is>
          <t>E1</t>
        </is>
      </c>
      <c r="AG383" s="11" t="inlineStr">
        <is>
          <t>D1</t>
        </is>
      </c>
      <c r="AH383" s="11" t="inlineStr">
        <is>
          <t>E2</t>
        </is>
      </c>
      <c r="AI383" s="11" t="inlineStr">
        <is>
          <t>I1</t>
        </is>
      </c>
      <c r="AJ383" s="11" t="inlineStr">
        <is>
          <t>I5</t>
        </is>
      </c>
      <c r="AK383" s="11" t="inlineStr">
        <is>
          <t>PISA-V1</t>
        </is>
      </c>
      <c r="AL383" s="11" t="inlineStr">
        <is>
          <t>PISA-V8</t>
        </is>
      </c>
      <c r="AM383" s="11">
        <f>IF(AK383="FUERA","Fuera del marco",IFERROR(INDEX('Datos - Catálogo PISA'!$C$5:$C$76,MATCH(AK383,'Datos - Catálogo PISA'!$A$5:$A$76,0)),"?"))</f>
        <v/>
      </c>
      <c r="AN383" s="11" t="inlineStr">
        <is>
          <t>Contenido</t>
        </is>
      </c>
      <c r="AO383" s="11" t="n"/>
      <c r="AP383" s="11" t="n"/>
      <c r="AQ383" s="11" t="inlineStr">
        <is>
          <t>Local/nacional</t>
        </is>
      </c>
      <c r="AR383" s="11" t="inlineStr">
        <is>
          <t>Recursos naturales</t>
        </is>
      </c>
      <c r="AS383" s="11" t="inlineStr">
        <is>
          <t>Baja</t>
        </is>
      </c>
      <c r="AT383" s="11" t="inlineStr">
        <is>
          <t>media</t>
        </is>
      </c>
      <c r="AU383" s="11" t="inlineStr">
        <is>
          <t>Organismos de la localidad y sus usos humanos</t>
        </is>
      </c>
      <c r="AV383" s="11" t="inlineStr">
        <is>
          <t>Ciclo 7°–9°</t>
        </is>
      </c>
      <c r="AW383" s="11">
        <f>AF383&amp;"; "&amp;AG383&amp;"; "&amp;AH383&amp;"; "&amp;AI383&amp;"; "&amp;AJ383</f>
        <v/>
      </c>
    </row>
    <row r="384">
      <c r="A384" s="11" t="inlineStr">
        <is>
          <t>T1018-G07-CIE</t>
        </is>
      </c>
      <c r="B384" s="11" t="n">
        <v>7</v>
      </c>
      <c r="C384" s="11" t="inlineStr">
        <is>
          <t>Ciencias</t>
        </is>
      </c>
      <c r="D384" s="11" t="inlineStr">
        <is>
          <t>Matriz_Ciencias_7mo_Grado_U1_U6.xlsx</t>
        </is>
      </c>
      <c r="E384" s="11" t="inlineStr">
        <is>
          <t>Unidad 3 - Biodiversidad</t>
        </is>
      </c>
      <c r="F384" s="11" t="n">
        <v>5</v>
      </c>
      <c r="G384" s="11" t="inlineStr">
        <is>
          <t>3. Biodiversidad</t>
        </is>
      </c>
      <c r="H384" s="11" t="inlineStr">
        <is>
          <t>Importancia y niveles de la biodiversidad</t>
        </is>
      </c>
      <c r="I384" s="38" t="inlineStr">
        <is>
          <t>3.3. Cuantificación de la biodiversidad a nivel de especie.</t>
        </is>
      </c>
      <c r="J384" s="11" t="inlineStr">
        <is>
          <t>T8_27</t>
        </is>
      </c>
      <c r="K384" s="11" t="inlineStr">
        <is>
          <t>T8_27-B5.1</t>
        </is>
      </c>
      <c r="L384" s="11" t="inlineStr">
        <is>
          <t>T8_27-B7.1</t>
        </is>
      </c>
      <c r="M384" s="11">
        <f>IF(K384="FUERA","Fuera del marco",IF(K384="N/A","Sin marco",IFERROR(INDEX('Datos - Catálogo TIMSS'!$C$5:$C$107,MATCH(K384,'Datos - Catálogo TIMSS'!$A$5:$A$107,0)),"Pendiente de clasificar")))</f>
        <v/>
      </c>
      <c r="N384" s="11">
        <f>IF(K384="FUERA","Fuera del marco",IF(K384="N/A","Sin marco",IFERROR(INDEX('Datos - Catálogo TIMSS'!$F$5:$F$107,MATCH(K384,'Datos - Catálogo TIMSS'!$A$5:$A$107,0)),"Pendiente de clasificar")))</f>
        <v/>
      </c>
      <c r="O384" s="11">
        <f>IF(L384="","",IFERROR(INDEX('Datos - Catálogo TIMSS'!$C$5:$C$107,MATCH(L384,'Datos - Catálogo TIMSS'!$A$5:$A$107,0)),"?"))</f>
        <v/>
      </c>
      <c r="P384" s="11" t="inlineStr">
        <is>
          <t>media</t>
        </is>
      </c>
      <c r="Q384" s="38" t="inlineStr">
        <is>
          <t>Compara riqueza y abundancia de organismos entre dos zonas con datos</t>
        </is>
      </c>
      <c r="R384" s="38" t="inlineStr">
        <is>
          <t>Aplicar: cuantificar. Razonar: comparar</t>
        </is>
      </c>
      <c r="S384" s="39">
        <f>IFERROR(ISNUMBER(SEARCH("Conocer",$R384))/(ISNUMBER(SEARCH("Conocer",$R384))+ISNUMBER(SEARCH("Aplicar",$R384))+ISNUMBER(SEARCH("Razonar",$R384))),0)</f>
        <v/>
      </c>
      <c r="T384" s="39">
        <f>IFERROR(ISNUMBER(SEARCH("Aplicar",$R384))/(ISNUMBER(SEARCH("Conocer",$R384))+ISNUMBER(SEARCH("Aplicar",$R384))+ISNUMBER(SEARCH("Razonar",$R384))),0)</f>
        <v/>
      </c>
      <c r="U384" s="39">
        <f>IFERROR(ISNUMBER(SEARCH("Razonar",$R384))/(ISNUMBER(SEARCH("Conocer",$R384))+ISNUMBER(SEARCH("Aplicar",$R384))+ISNUMBER(SEARCH("Razonar",$R384))),0)</f>
        <v/>
      </c>
      <c r="V384" s="11" t="inlineStr">
        <is>
          <t>7°</t>
        </is>
      </c>
      <c r="W384" s="11" t="inlineStr">
        <is>
          <t>Ciclo 5°–8°</t>
        </is>
      </c>
      <c r="X384" s="11">
        <f>IF(OR(IFERROR(INDEX('Datos - Catálogo TIMSS'!$I$5:$I$107,MATCH(K384,'Datos - Catálogo TIMSS'!$A$5:$A$107,0)),"No")="Sí",IFERROR(INDEX('Datos - Catálogo TIMSS'!$I$5:$I$107,MATCH(L384,'Datos - Catálogo TIMSS'!$A$5:$A$107,0)),"No")="Sí"),1,0)</f>
        <v/>
      </c>
      <c r="Y384" s="11">
        <f>IF(IFERROR(INDEX('Datos - Catálogo TIMSS'!$J$5:$J$107,MATCH(K384,'Datos - Catálogo TIMSS'!$A$5:$A$107,0)),"No")="Sí",1,0)</f>
        <v/>
      </c>
      <c r="Z384" s="11">
        <f>IF(IFERROR(INDEX('Datos - Catálogo TIMSS'!$J$5:$J$107,MATCH(L384,'Datos - Catálogo TIMSS'!$A$5:$A$107,0)),"No")="Sí",1,0)</f>
        <v/>
      </c>
      <c r="AA384" s="11" t="inlineStr">
        <is>
          <t>T8-B5.4</t>
        </is>
      </c>
      <c r="AB384" s="11" t="inlineStr"/>
      <c r="AC384" s="11">
        <f>IF(AA384="FUERA","Fuera del marco",IF(AA384="N/A","Sin marco",IFERROR(INDEX('Datos - TIMSS 2023'!$C$5:$C$105,MATCH(AA384,'Datos - TIMSS 2023'!$A$5:$A$105,0)),"Pendiente de clasificar")))</f>
        <v/>
      </c>
      <c r="AD384" s="11" t="inlineStr">
        <is>
          <t>2. Construir y evaluar diseños para la indagación científica e interpretar datos y evidencia de forma crítica</t>
        </is>
      </c>
      <c r="AE384" s="11">
        <f>IF(AD384="","",IF(LEFT(AD384,1)="1","C1",IF(LEFT(AD384,1)="2","C2",IF(LEFT(AD384,1)="3","C3",""))))</f>
        <v/>
      </c>
      <c r="AF384" s="11" t="inlineStr">
        <is>
          <t>E1</t>
        </is>
      </c>
      <c r="AG384" s="11" t="inlineStr">
        <is>
          <t>D1</t>
        </is>
      </c>
      <c r="AH384" s="11" t="inlineStr">
        <is>
          <t>E1</t>
        </is>
      </c>
      <c r="AI384" s="11" t="inlineStr">
        <is>
          <t>D4</t>
        </is>
      </c>
      <c r="AJ384" s="11" t="inlineStr">
        <is>
          <t>E3</t>
        </is>
      </c>
      <c r="AK384" s="11" t="inlineStr">
        <is>
          <t>PISA-V5</t>
        </is>
      </c>
      <c r="AL384" s="11" t="inlineStr">
        <is>
          <t>PISA-V6</t>
        </is>
      </c>
      <c r="AM384" s="11">
        <f>IF(AK384="FUERA","Fuera del marco",IFERROR(INDEX('Datos - Catálogo PISA'!$C$5:$C$76,MATCH(AK384,'Datos - Catálogo PISA'!$A$5:$A$76,0)),"?"))</f>
        <v/>
      </c>
      <c r="AN384" s="11" t="inlineStr">
        <is>
          <t>Procedimental</t>
        </is>
      </c>
      <c r="AO384" s="11" t="inlineStr">
        <is>
          <t>PISA-PR2; PISA-PR5;</t>
        </is>
      </c>
      <c r="AP384" s="11" t="n"/>
      <c r="AQ384" s="11" t="inlineStr">
        <is>
          <t>Local/nacional</t>
        </is>
      </c>
      <c r="AR384" s="11" t="inlineStr">
        <is>
          <t>Recursos naturales</t>
        </is>
      </c>
      <c r="AS384" s="11" t="inlineStr">
        <is>
          <t>Media</t>
        </is>
      </c>
      <c r="AT384" s="11" t="inlineStr">
        <is>
          <t>media</t>
        </is>
      </c>
      <c r="AU384" s="11" t="inlineStr">
        <is>
          <t>Cuantifica riqueza y abundancia de especies en dos zonas</t>
        </is>
      </c>
      <c r="AV384" s="11" t="inlineStr">
        <is>
          <t>Ciclo 7°–9°</t>
        </is>
      </c>
      <c r="AW384" s="11">
        <f>AF384&amp;"; "&amp;AG384&amp;"; "&amp;AH384&amp;"; "&amp;AI384&amp;"; "&amp;AJ384</f>
        <v/>
      </c>
    </row>
    <row r="385">
      <c r="A385" s="11" t="inlineStr">
        <is>
          <t>T1019-G07-CIE</t>
        </is>
      </c>
      <c r="B385" s="11" t="n">
        <v>7</v>
      </c>
      <c r="C385" s="11" t="inlineStr">
        <is>
          <t>Ciencias</t>
        </is>
      </c>
      <c r="D385" s="11" t="inlineStr">
        <is>
          <t>Matriz_Ciencias_7mo_Grado_U1_U6.xlsx</t>
        </is>
      </c>
      <c r="E385" s="11" t="inlineStr">
        <is>
          <t>Unidad 3 - Biodiversidad</t>
        </is>
      </c>
      <c r="F385" s="11" t="n">
        <v>6</v>
      </c>
      <c r="G385" s="11" t="inlineStr">
        <is>
          <t>3. Biodiversidad</t>
        </is>
      </c>
      <c r="H385" s="11" t="inlineStr">
        <is>
          <t>Agrupamiento de especies</t>
        </is>
      </c>
      <c r="I385" s="38" t="inlineStr">
        <is>
          <t>3.4. Indagación de los sistemas de clasificación de los seres vivos.</t>
        </is>
      </c>
      <c r="J385" s="11" t="inlineStr">
        <is>
          <t>T8_27</t>
        </is>
      </c>
      <c r="K385" s="11" t="inlineStr">
        <is>
          <t>T8_27-B1.1</t>
        </is>
      </c>
      <c r="L385" s="11" t="inlineStr"/>
      <c r="M385" s="11">
        <f>IF(K385="FUERA","Fuera del marco",IF(K385="N/A","Sin marco",IFERROR(INDEX('Datos - Catálogo TIMSS'!$C$5:$C$107,MATCH(K385,'Datos - Catálogo TIMSS'!$A$5:$A$107,0)),"Pendiente de clasificar")))</f>
        <v/>
      </c>
      <c r="N385" s="11">
        <f>IF(K385="FUERA","Fuera del marco",IF(K385="N/A","Sin marco",IFERROR(INDEX('Datos - Catálogo TIMSS'!$F$5:$F$107,MATCH(K385,'Datos - Catálogo TIMSS'!$A$5:$A$107,0)),"Pendiente de clasificar")))</f>
        <v/>
      </c>
      <c r="O385" s="11">
        <f>IF(L385="","",IFERROR(INDEX('Datos - Catálogo TIMSS'!$C$5:$C$107,MATCH(L385,'Datos - Catálogo TIMSS'!$A$5:$A$107,0)),"?"))</f>
        <v/>
      </c>
      <c r="P385" s="11" t="inlineStr">
        <is>
          <t>alta</t>
        </is>
      </c>
      <c r="Q385" s="38" t="inlineStr">
        <is>
          <t>Clasificación de seres vivos en grupos taxonómicos</t>
        </is>
      </c>
      <c r="R385" s="38" t="inlineStr">
        <is>
          <t>Aplicar: clasificar</t>
        </is>
      </c>
      <c r="S385" s="39">
        <f>IFERROR(ISNUMBER(SEARCH("Conocer",$R385))/(ISNUMBER(SEARCH("Conocer",$R385))+ISNUMBER(SEARCH("Aplicar",$R385))+ISNUMBER(SEARCH("Razonar",$R385))),0)</f>
        <v/>
      </c>
      <c r="T385" s="39">
        <f>IFERROR(ISNUMBER(SEARCH("Aplicar",$R385))/(ISNUMBER(SEARCH("Conocer",$R385))+ISNUMBER(SEARCH("Aplicar",$R385))+ISNUMBER(SEARCH("Razonar",$R385))),0)</f>
        <v/>
      </c>
      <c r="U385" s="39">
        <f>IFERROR(ISNUMBER(SEARCH("Razonar",$R385))/(ISNUMBER(SEARCH("Conocer",$R385))+ISNUMBER(SEARCH("Aplicar",$R385))+ISNUMBER(SEARCH("Razonar",$R385))),0)</f>
        <v/>
      </c>
      <c r="V385" s="11" t="inlineStr">
        <is>
          <t>7°</t>
        </is>
      </c>
      <c r="W385" s="11" t="inlineStr">
        <is>
          <t>Ciclo 5°–8°</t>
        </is>
      </c>
      <c r="X385" s="11">
        <f>IF(OR(IFERROR(INDEX('Datos - Catálogo TIMSS'!$I$5:$I$107,MATCH(K385,'Datos - Catálogo TIMSS'!$A$5:$A$107,0)),"No")="Sí",IFERROR(INDEX('Datos - Catálogo TIMSS'!$I$5:$I$107,MATCH(L385,'Datos - Catálogo TIMSS'!$A$5:$A$107,0)),"No")="Sí"),1,0)</f>
        <v/>
      </c>
      <c r="Y385" s="11">
        <f>IF(IFERROR(INDEX('Datos - Catálogo TIMSS'!$J$5:$J$107,MATCH(K385,'Datos - Catálogo TIMSS'!$A$5:$A$107,0)),"No")="Sí",1,0)</f>
        <v/>
      </c>
      <c r="Z385" s="11">
        <f>IF(IFERROR(INDEX('Datos - Catálogo TIMSS'!$J$5:$J$107,MATCH(L385,'Datos - Catálogo TIMSS'!$A$5:$A$107,0)),"No")="Sí",1,0)</f>
        <v/>
      </c>
      <c r="AA385" s="11" t="inlineStr">
        <is>
          <t>T8-B1.1</t>
        </is>
      </c>
      <c r="AB385" s="11" t="inlineStr"/>
      <c r="AC385" s="11">
        <f>IF(AA385="FUERA","Fuera del marco",IF(AA385="N/A","Sin marco",IFERROR(INDEX('Datos - TIMSS 2023'!$C$5:$C$105,MATCH(AA385,'Datos - TIMSS 2023'!$A$5:$A$105,0)),"Pendiente de clasificar")))</f>
        <v/>
      </c>
      <c r="AD385" s="11" t="inlineStr">
        <is>
          <t>1. Explicar fenómenos científicamente</t>
        </is>
      </c>
      <c r="AE385" s="11">
        <f>IF(AD385="","",IF(LEFT(AD385,1)="1","C1",IF(LEFT(AD385,1)="2","C2",IF(LEFT(AD385,1)="3","C3",""))))</f>
        <v/>
      </c>
      <c r="AF385" s="11" t="inlineStr">
        <is>
          <t>E1</t>
        </is>
      </c>
      <c r="AG385" s="11" t="inlineStr">
        <is>
          <t>D1</t>
        </is>
      </c>
      <c r="AH385" s="11" t="inlineStr">
        <is>
          <t>E1</t>
        </is>
      </c>
      <c r="AI385" s="11" t="inlineStr">
        <is>
          <t>D4</t>
        </is>
      </c>
      <c r="AJ385" s="11" t="inlineStr">
        <is>
          <t>E1</t>
        </is>
      </c>
      <c r="AK385" s="11" t="inlineStr">
        <is>
          <t>PISA-V5</t>
        </is>
      </c>
      <c r="AL385" s="11" t="inlineStr">
        <is>
          <t>PISA-V1</t>
        </is>
      </c>
      <c r="AM385" s="11">
        <f>IF(AK385="FUERA","Fuera del marco",IFERROR(INDEX('Datos - Catálogo PISA'!$C$5:$C$76,MATCH(AK385,'Datos - Catálogo PISA'!$A$5:$A$76,0)),"?"))</f>
        <v/>
      </c>
      <c r="AN385" s="11" t="inlineStr">
        <is>
          <t>Contenido</t>
        </is>
      </c>
      <c r="AO385" s="11" t="n"/>
      <c r="AP385" s="11" t="n"/>
      <c r="AQ385" s="11" t="inlineStr">
        <is>
          <t>Sin contexto</t>
        </is>
      </c>
      <c r="AR385" s="11" t="n"/>
      <c r="AS385" s="11" t="inlineStr">
        <is>
          <t>Baja</t>
        </is>
      </c>
      <c r="AT385" s="11" t="inlineStr">
        <is>
          <t>media</t>
        </is>
      </c>
      <c r="AU385" s="11" t="inlineStr">
        <is>
          <t>Clasificación de seres vivos con un sistema definido</t>
        </is>
      </c>
      <c r="AV385" s="11" t="inlineStr">
        <is>
          <t>Ciclo 7°–9°</t>
        </is>
      </c>
      <c r="AW385" s="11">
        <f>AF385&amp;"; "&amp;AG385&amp;"; "&amp;AH385&amp;"; "&amp;AI385&amp;"; "&amp;AJ385</f>
        <v/>
      </c>
    </row>
    <row r="386">
      <c r="A386" s="11" t="inlineStr">
        <is>
          <t>T1020-G07-CIE</t>
        </is>
      </c>
      <c r="B386" s="11" t="n">
        <v>7</v>
      </c>
      <c r="C386" s="11" t="inlineStr">
        <is>
          <t>Ciencias</t>
        </is>
      </c>
      <c r="D386" s="11" t="inlineStr">
        <is>
          <t>Matriz_Ciencias_7mo_Grado_U1_U6.xlsx</t>
        </is>
      </c>
      <c r="E386" s="11" t="inlineStr">
        <is>
          <t>Unidad 3 - Biodiversidad</t>
        </is>
      </c>
      <c r="F386" s="11" t="n">
        <v>7</v>
      </c>
      <c r="G386" s="11" t="inlineStr">
        <is>
          <t>3. Biodiversidad</t>
        </is>
      </c>
      <c r="H386" s="11" t="inlineStr">
        <is>
          <t>Agrupamiento de especies</t>
        </is>
      </c>
      <c r="I386" s="38" t="inlineStr">
        <is>
          <t>3.5. Análisis de agrupamiento a partir de muestras biológicas.</t>
        </is>
      </c>
      <c r="J386" s="11" t="inlineStr">
        <is>
          <t>T8_27</t>
        </is>
      </c>
      <c r="K386" s="11" t="inlineStr">
        <is>
          <t>T8_27-B1.1</t>
        </is>
      </c>
      <c r="L386" s="11" t="inlineStr"/>
      <c r="M386" s="11">
        <f>IF(K386="FUERA","Fuera del marco",IF(K386="N/A","Sin marco",IFERROR(INDEX('Datos - Catálogo TIMSS'!$C$5:$C$107,MATCH(K386,'Datos - Catálogo TIMSS'!$A$5:$A$107,0)),"Pendiente de clasificar")))</f>
        <v/>
      </c>
      <c r="N386" s="11">
        <f>IF(K386="FUERA","Fuera del marco",IF(K386="N/A","Sin marco",IFERROR(INDEX('Datos - Catálogo TIMSS'!$F$5:$F$107,MATCH(K386,'Datos - Catálogo TIMSS'!$A$5:$A$107,0)),"Pendiente de clasificar")))</f>
        <v/>
      </c>
      <c r="O386" s="11">
        <f>IF(L386="","",IFERROR(INDEX('Datos - Catálogo TIMSS'!$C$5:$C$107,MATCH(L386,'Datos - Catálogo TIMSS'!$A$5:$A$107,0)),"?"))</f>
        <v/>
      </c>
      <c r="P386" s="11" t="inlineStr">
        <is>
          <t>alta</t>
        </is>
      </c>
      <c r="Q386" s="38" t="inlineStr">
        <is>
          <t>Agrupa organismos según rasgos distintivos</t>
        </is>
      </c>
      <c r="R386" s="38" t="inlineStr">
        <is>
          <t>Razonar: plantear criterios y comparar</t>
        </is>
      </c>
      <c r="S386" s="39">
        <f>IFERROR(ISNUMBER(SEARCH("Conocer",$R386))/(ISNUMBER(SEARCH("Conocer",$R386))+ISNUMBER(SEARCH("Aplicar",$R386))+ISNUMBER(SEARCH("Razonar",$R386))),0)</f>
        <v/>
      </c>
      <c r="T386" s="39">
        <f>IFERROR(ISNUMBER(SEARCH("Aplicar",$R386))/(ISNUMBER(SEARCH("Conocer",$R386))+ISNUMBER(SEARCH("Aplicar",$R386))+ISNUMBER(SEARCH("Razonar",$R386))),0)</f>
        <v/>
      </c>
      <c r="U386" s="39">
        <f>IFERROR(ISNUMBER(SEARCH("Razonar",$R386))/(ISNUMBER(SEARCH("Conocer",$R386))+ISNUMBER(SEARCH("Aplicar",$R386))+ISNUMBER(SEARCH("Razonar",$R386))),0)</f>
        <v/>
      </c>
      <c r="V386" s="11" t="inlineStr">
        <is>
          <t>7°</t>
        </is>
      </c>
      <c r="W386" s="11" t="inlineStr">
        <is>
          <t>Ciclo 5°–8°</t>
        </is>
      </c>
      <c r="X386" s="11">
        <f>IF(OR(IFERROR(INDEX('Datos - Catálogo TIMSS'!$I$5:$I$107,MATCH(K386,'Datos - Catálogo TIMSS'!$A$5:$A$107,0)),"No")="Sí",IFERROR(INDEX('Datos - Catálogo TIMSS'!$I$5:$I$107,MATCH(L386,'Datos - Catálogo TIMSS'!$A$5:$A$107,0)),"No")="Sí"),1,0)</f>
        <v/>
      </c>
      <c r="Y386" s="11">
        <f>IF(IFERROR(INDEX('Datos - Catálogo TIMSS'!$J$5:$J$107,MATCH(K386,'Datos - Catálogo TIMSS'!$A$5:$A$107,0)),"No")="Sí",1,0)</f>
        <v/>
      </c>
      <c r="Z386" s="11">
        <f>IF(IFERROR(INDEX('Datos - Catálogo TIMSS'!$J$5:$J$107,MATCH(L386,'Datos - Catálogo TIMSS'!$A$5:$A$107,0)),"No")="Sí",1,0)</f>
        <v/>
      </c>
      <c r="AA386" s="11" t="inlineStr">
        <is>
          <t>T8-B1.1</t>
        </is>
      </c>
      <c r="AB386" s="11" t="inlineStr"/>
      <c r="AC386" s="11">
        <f>IF(AA386="FUERA","Fuera del marco",IF(AA386="N/A","Sin marco",IFERROR(INDEX('Datos - TIMSS 2023'!$C$5:$C$105,MATCH(AA386,'Datos - TIMSS 2023'!$A$5:$A$105,0)),"Pendiente de clasificar")))</f>
        <v/>
      </c>
      <c r="AD386" s="11" t="inlineStr">
        <is>
          <t>2. Construir y evaluar diseños para la indagación científica e interpretar datos y evidencia de forma crítica</t>
        </is>
      </c>
      <c r="AE386" s="11">
        <f>IF(AD386="","",IF(LEFT(AD386,1)="1","C1",IF(LEFT(AD386,1)="2","C2",IF(LEFT(AD386,1)="3","C3",""))))</f>
        <v/>
      </c>
      <c r="AF386" s="11" t="inlineStr">
        <is>
          <t>E1</t>
        </is>
      </c>
      <c r="AG386" s="11" t="inlineStr">
        <is>
          <t>D1</t>
        </is>
      </c>
      <c r="AH386" s="11" t="inlineStr">
        <is>
          <t>E3</t>
        </is>
      </c>
      <c r="AI386" s="11" t="inlineStr">
        <is>
          <t>D4</t>
        </is>
      </c>
      <c r="AJ386" s="11" t="inlineStr">
        <is>
          <t>E1</t>
        </is>
      </c>
      <c r="AK386" s="11" t="inlineStr">
        <is>
          <t>PISA-V5</t>
        </is>
      </c>
      <c r="AL386" s="11" t="n"/>
      <c r="AM386" s="11">
        <f>IF(AK386="FUERA","Fuera del marco",IFERROR(INDEX('Datos - Catálogo PISA'!$C$5:$C$76,MATCH(AK386,'Datos - Catálogo PISA'!$A$5:$A$76,0)),"?"))</f>
        <v/>
      </c>
      <c r="AN386" s="11" t="inlineStr">
        <is>
          <t>Contenido</t>
        </is>
      </c>
      <c r="AO386" s="11" t="n"/>
      <c r="AP386" s="11" t="n"/>
      <c r="AQ386" s="11" t="inlineStr">
        <is>
          <t>Sin contexto</t>
        </is>
      </c>
      <c r="AR386" s="11" t="n"/>
      <c r="AS386" s="11" t="inlineStr">
        <is>
          <t>Media</t>
        </is>
      </c>
      <c r="AT386" s="11" t="inlineStr">
        <is>
          <t>media</t>
        </is>
      </c>
      <c r="AU386" s="11" t="inlineStr">
        <is>
          <t>Plantea criterios para agrupar muestras biológicas</t>
        </is>
      </c>
      <c r="AV386" s="11" t="inlineStr">
        <is>
          <t>Ciclo 7°–9°</t>
        </is>
      </c>
      <c r="AW386" s="11">
        <f>AF386&amp;"; "&amp;AG386&amp;"; "&amp;AH386&amp;"; "&amp;AI386&amp;"; "&amp;AJ386</f>
        <v/>
      </c>
    </row>
    <row r="387">
      <c r="A387" s="11" t="inlineStr">
        <is>
          <t>T1021-G07-CIE</t>
        </is>
      </c>
      <c r="B387" s="11" t="n">
        <v>7</v>
      </c>
      <c r="C387" s="11" t="inlineStr">
        <is>
          <t>Ciencias</t>
        </is>
      </c>
      <c r="D387" s="11" t="inlineStr">
        <is>
          <t>Matriz_Ciencias_7mo_Grado_U1_U6.xlsx</t>
        </is>
      </c>
      <c r="E387" s="11" t="inlineStr">
        <is>
          <t>Unidad 3 - Biodiversidad</t>
        </is>
      </c>
      <c r="F387" s="11" t="n">
        <v>8</v>
      </c>
      <c r="G387" s="11" t="inlineStr">
        <is>
          <t>3. Biodiversidad</t>
        </is>
      </c>
      <c r="H387" s="11" t="inlineStr">
        <is>
          <t>Agrupamiento de especies</t>
        </is>
      </c>
      <c r="I387" s="38" t="inlineStr">
        <is>
          <t>3.6. Identificación de sistemas de clasificación artificial.</t>
        </is>
      </c>
      <c r="J387" s="11" t="inlineStr">
        <is>
          <t>T8_27</t>
        </is>
      </c>
      <c r="K387" s="11" t="inlineStr">
        <is>
          <t>T8_27-B1.1</t>
        </is>
      </c>
      <c r="L387" s="11" t="inlineStr"/>
      <c r="M387" s="11">
        <f>IF(K387="FUERA","Fuera del marco",IF(K387="N/A","Sin marco",IFERROR(INDEX('Datos - Catálogo TIMSS'!$C$5:$C$107,MATCH(K387,'Datos - Catálogo TIMSS'!$A$5:$A$107,0)),"Pendiente de clasificar")))</f>
        <v/>
      </c>
      <c r="N387" s="11">
        <f>IF(K387="FUERA","Fuera del marco",IF(K387="N/A","Sin marco",IFERROR(INDEX('Datos - Catálogo TIMSS'!$F$5:$F$107,MATCH(K387,'Datos - Catálogo TIMSS'!$A$5:$A$107,0)),"Pendiente de clasificar")))</f>
        <v/>
      </c>
      <c r="O387" s="11">
        <f>IF(L387="","",IFERROR(INDEX('Datos - Catálogo TIMSS'!$C$5:$C$107,MATCH(L387,'Datos - Catálogo TIMSS'!$A$5:$A$107,0)),"?"))</f>
        <v/>
      </c>
      <c r="P387" s="11" t="inlineStr">
        <is>
          <t>media</t>
        </is>
      </c>
      <c r="Q387" s="38" t="inlineStr">
        <is>
          <t>Sistemas de clasificación artificial de organismos</t>
        </is>
      </c>
      <c r="R387" s="38" t="inlineStr">
        <is>
          <t>Conocer: identificar</t>
        </is>
      </c>
      <c r="S387" s="39">
        <f>IFERROR(ISNUMBER(SEARCH("Conocer",$R387))/(ISNUMBER(SEARCH("Conocer",$R387))+ISNUMBER(SEARCH("Aplicar",$R387))+ISNUMBER(SEARCH("Razonar",$R387))),0)</f>
        <v/>
      </c>
      <c r="T387" s="39">
        <f>IFERROR(ISNUMBER(SEARCH("Aplicar",$R387))/(ISNUMBER(SEARCH("Conocer",$R387))+ISNUMBER(SEARCH("Aplicar",$R387))+ISNUMBER(SEARCH("Razonar",$R387))),0)</f>
        <v/>
      </c>
      <c r="U387" s="39">
        <f>IFERROR(ISNUMBER(SEARCH("Razonar",$R387))/(ISNUMBER(SEARCH("Conocer",$R387))+ISNUMBER(SEARCH("Aplicar",$R387))+ISNUMBER(SEARCH("Razonar",$R387))),0)</f>
        <v/>
      </c>
      <c r="V387" s="11" t="inlineStr">
        <is>
          <t>7°</t>
        </is>
      </c>
      <c r="W387" s="11" t="inlineStr">
        <is>
          <t>Ciclo 5°–8°</t>
        </is>
      </c>
      <c r="X387" s="11">
        <f>IF(OR(IFERROR(INDEX('Datos - Catálogo TIMSS'!$I$5:$I$107,MATCH(K387,'Datos - Catálogo TIMSS'!$A$5:$A$107,0)),"No")="Sí",IFERROR(INDEX('Datos - Catálogo TIMSS'!$I$5:$I$107,MATCH(L387,'Datos - Catálogo TIMSS'!$A$5:$A$107,0)),"No")="Sí"),1,0)</f>
        <v/>
      </c>
      <c r="Y387" s="11">
        <f>IF(IFERROR(INDEX('Datos - Catálogo TIMSS'!$J$5:$J$107,MATCH(K387,'Datos - Catálogo TIMSS'!$A$5:$A$107,0)),"No")="Sí",1,0)</f>
        <v/>
      </c>
      <c r="Z387" s="11">
        <f>IF(IFERROR(INDEX('Datos - Catálogo TIMSS'!$J$5:$J$107,MATCH(L387,'Datos - Catálogo TIMSS'!$A$5:$A$107,0)),"No")="Sí",1,0)</f>
        <v/>
      </c>
      <c r="AA387" s="11" t="inlineStr">
        <is>
          <t>T8-B1.1</t>
        </is>
      </c>
      <c r="AB387" s="11" t="inlineStr"/>
      <c r="AC387" s="11">
        <f>IF(AA387="FUERA","Fuera del marco",IF(AA387="N/A","Sin marco",IFERROR(INDEX('Datos - TIMSS 2023'!$C$5:$C$105,MATCH(AA387,'Datos - TIMSS 2023'!$A$5:$A$105,0)),"Pendiente de clasificar")))</f>
        <v/>
      </c>
      <c r="AD387" s="11" t="inlineStr">
        <is>
          <t>1. Explicar fenómenos científicamente</t>
        </is>
      </c>
      <c r="AE387" s="11">
        <f>IF(AD387="","",IF(LEFT(AD387,1)="1","C1",IF(LEFT(AD387,1)="2","C2",IF(LEFT(AD387,1)="3","C3",""))))</f>
        <v/>
      </c>
      <c r="AF387" s="11" t="inlineStr">
        <is>
          <t>E1</t>
        </is>
      </c>
      <c r="AG387" s="11" t="inlineStr">
        <is>
          <t>D1</t>
        </is>
      </c>
      <c r="AH387" s="11" t="inlineStr">
        <is>
          <t>E1</t>
        </is>
      </c>
      <c r="AI387" s="11" t="inlineStr">
        <is>
          <t>D4</t>
        </is>
      </c>
      <c r="AJ387" s="11" t="inlineStr">
        <is>
          <t>E1</t>
        </is>
      </c>
      <c r="AK387" s="11" t="inlineStr">
        <is>
          <t>PISA-V5</t>
        </is>
      </c>
      <c r="AL387" s="11" t="n"/>
      <c r="AM387" s="11">
        <f>IF(AK387="FUERA","Fuera del marco",IFERROR(INDEX('Datos - Catálogo PISA'!$C$5:$C$76,MATCH(AK387,'Datos - Catálogo PISA'!$A$5:$A$76,0)),"?"))</f>
        <v/>
      </c>
      <c r="AN387" s="11" t="inlineStr">
        <is>
          <t>Contenido</t>
        </is>
      </c>
      <c r="AO387" s="11" t="n"/>
      <c r="AP387" s="11" t="n"/>
      <c r="AQ387" s="11" t="inlineStr">
        <is>
          <t>Sin contexto</t>
        </is>
      </c>
      <c r="AR387" s="11" t="n"/>
      <c r="AS387" s="11" t="inlineStr">
        <is>
          <t>Media</t>
        </is>
      </c>
      <c r="AT387" s="11" t="inlineStr">
        <is>
          <t>media</t>
        </is>
      </c>
      <c r="AU387" s="11" t="inlineStr">
        <is>
          <t>Compara clasificación artificial y natural de organismos</t>
        </is>
      </c>
      <c r="AV387" s="11" t="inlineStr">
        <is>
          <t>Ciclo 7°–9°</t>
        </is>
      </c>
      <c r="AW387" s="11">
        <f>AF387&amp;"; "&amp;AG387&amp;"; "&amp;AH387&amp;"; "&amp;AI387&amp;"; "&amp;AJ387</f>
        <v/>
      </c>
    </row>
    <row r="388">
      <c r="A388" s="11" t="inlineStr">
        <is>
          <t>T1022-G07-CIE</t>
        </is>
      </c>
      <c r="B388" s="11" t="n">
        <v>7</v>
      </c>
      <c r="C388" s="11" t="inlineStr">
        <is>
          <t>Ciencias</t>
        </is>
      </c>
      <c r="D388" s="11" t="inlineStr">
        <is>
          <t>Matriz_Ciencias_7mo_Grado_U1_U6.xlsx</t>
        </is>
      </c>
      <c r="E388" s="11" t="inlineStr">
        <is>
          <t>Unidad 3 - Biodiversidad</t>
        </is>
      </c>
      <c r="F388" s="11" t="n">
        <v>9</v>
      </c>
      <c r="G388" s="11" t="inlineStr">
        <is>
          <t>3. Biodiversidad</t>
        </is>
      </c>
      <c r="H388" s="11" t="inlineStr">
        <is>
          <t>Taxonomía</t>
        </is>
      </c>
      <c r="I388" s="38" t="inlineStr">
        <is>
          <t>3.7. Indagación del significado y usos de los nombres científicos.</t>
        </is>
      </c>
      <c r="J388" s="11" t="inlineStr">
        <is>
          <t>T8_27</t>
        </is>
      </c>
      <c r="K388" s="11" t="inlineStr">
        <is>
          <t>T8_27-B1.1</t>
        </is>
      </c>
      <c r="L388" s="11" t="inlineStr"/>
      <c r="M388" s="11">
        <f>IF(K388="FUERA","Fuera del marco",IF(K388="N/A","Sin marco",IFERROR(INDEX('Datos - Catálogo TIMSS'!$C$5:$C$107,MATCH(K388,'Datos - Catálogo TIMSS'!$A$5:$A$107,0)),"Pendiente de clasificar")))</f>
        <v/>
      </c>
      <c r="N388" s="11">
        <f>IF(K388="FUERA","Fuera del marco",IF(K388="N/A","Sin marco",IFERROR(INDEX('Datos - Catálogo TIMSS'!$F$5:$F$107,MATCH(K388,'Datos - Catálogo TIMSS'!$A$5:$A$107,0)),"Pendiente de clasificar")))</f>
        <v/>
      </c>
      <c r="O388" s="11">
        <f>IF(L388="","",IFERROR(INDEX('Datos - Catálogo TIMSS'!$C$5:$C$107,MATCH(L388,'Datos - Catálogo TIMSS'!$A$5:$A$107,0)),"?"))</f>
        <v/>
      </c>
      <c r="P388" s="11" t="inlineStr">
        <is>
          <t>media</t>
        </is>
      </c>
      <c r="Q388" s="38" t="inlineStr">
        <is>
          <t>Nombres científicos dentro de la clasificación taxonómica</t>
        </is>
      </c>
      <c r="R388" s="38" t="inlineStr">
        <is>
          <t>Conocer: aplicar reglas de nomenclatura</t>
        </is>
      </c>
      <c r="S388" s="39">
        <f>IFERROR(ISNUMBER(SEARCH("Conocer",$R388))/(ISNUMBER(SEARCH("Conocer",$R388))+ISNUMBER(SEARCH("Aplicar",$R388))+ISNUMBER(SEARCH("Razonar",$R388))),0)</f>
        <v/>
      </c>
      <c r="T388" s="39">
        <f>IFERROR(ISNUMBER(SEARCH("Aplicar",$R388))/(ISNUMBER(SEARCH("Conocer",$R388))+ISNUMBER(SEARCH("Aplicar",$R388))+ISNUMBER(SEARCH("Razonar",$R388))),0)</f>
        <v/>
      </c>
      <c r="U388" s="39">
        <f>IFERROR(ISNUMBER(SEARCH("Razonar",$R388))/(ISNUMBER(SEARCH("Conocer",$R388))+ISNUMBER(SEARCH("Aplicar",$R388))+ISNUMBER(SEARCH("Razonar",$R388))),0)</f>
        <v/>
      </c>
      <c r="V388" s="11" t="inlineStr">
        <is>
          <t>7°</t>
        </is>
      </c>
      <c r="W388" s="11" t="inlineStr">
        <is>
          <t>Ciclo 5°–8°</t>
        </is>
      </c>
      <c r="X388" s="11">
        <f>IF(OR(IFERROR(INDEX('Datos - Catálogo TIMSS'!$I$5:$I$107,MATCH(K388,'Datos - Catálogo TIMSS'!$A$5:$A$107,0)),"No")="Sí",IFERROR(INDEX('Datos - Catálogo TIMSS'!$I$5:$I$107,MATCH(L388,'Datos - Catálogo TIMSS'!$A$5:$A$107,0)),"No")="Sí"),1,0)</f>
        <v/>
      </c>
      <c r="Y388" s="11">
        <f>IF(IFERROR(INDEX('Datos - Catálogo TIMSS'!$J$5:$J$107,MATCH(K388,'Datos - Catálogo TIMSS'!$A$5:$A$107,0)),"No")="Sí",1,0)</f>
        <v/>
      </c>
      <c r="Z388" s="11">
        <f>IF(IFERROR(INDEX('Datos - Catálogo TIMSS'!$J$5:$J$107,MATCH(L388,'Datos - Catálogo TIMSS'!$A$5:$A$107,0)),"No")="Sí",1,0)</f>
        <v/>
      </c>
      <c r="AA388" s="11" t="inlineStr">
        <is>
          <t>T8-B1.1</t>
        </is>
      </c>
      <c r="AB388" s="11" t="inlineStr"/>
      <c r="AC388" s="11">
        <f>IF(AA388="FUERA","Fuera del marco",IF(AA388="N/A","Sin marco",IFERROR(INDEX('Datos - TIMSS 2023'!$C$5:$C$105,MATCH(AA388,'Datos - TIMSS 2023'!$A$5:$A$105,0)),"Pendiente de clasificar")))</f>
        <v/>
      </c>
      <c r="AD388" s="11" t="inlineStr">
        <is>
          <t>1. Explicar fenómenos científicamente</t>
        </is>
      </c>
      <c r="AE388" s="11">
        <f>IF(AD388="","",IF(LEFT(AD388,1)="1","C1",IF(LEFT(AD388,1)="2","C2",IF(LEFT(AD388,1)="3","C3",""))))</f>
        <v/>
      </c>
      <c r="AF388" s="11" t="inlineStr">
        <is>
          <t>E1</t>
        </is>
      </c>
      <c r="AG388" s="11" t="inlineStr">
        <is>
          <t>D1</t>
        </is>
      </c>
      <c r="AH388" s="11" t="inlineStr">
        <is>
          <t>E1</t>
        </is>
      </c>
      <c r="AI388" s="11" t="inlineStr">
        <is>
          <t>D4</t>
        </is>
      </c>
      <c r="AJ388" s="11" t="inlineStr">
        <is>
          <t>E1</t>
        </is>
      </c>
      <c r="AK388" s="11" t="inlineStr">
        <is>
          <t>PISA-V5</t>
        </is>
      </c>
      <c r="AL388" s="11" t="n"/>
      <c r="AM388" s="11">
        <f>IF(AK388="FUERA","Fuera del marco",IFERROR(INDEX('Datos - Catálogo PISA'!$C$5:$C$76,MATCH(AK388,'Datos - Catálogo PISA'!$A$5:$A$76,0)),"?"))</f>
        <v/>
      </c>
      <c r="AN388" s="11" t="inlineStr">
        <is>
          <t>Contenido</t>
        </is>
      </c>
      <c r="AO388" s="11" t="n"/>
      <c r="AP388" s="11" t="n"/>
      <c r="AQ388" s="11" t="inlineStr">
        <is>
          <t>Local/nacional</t>
        </is>
      </c>
      <c r="AR388" s="11" t="inlineStr">
        <is>
          <t>Recursos naturales</t>
        </is>
      </c>
      <c r="AS388" s="11" t="inlineStr">
        <is>
          <t>Baja</t>
        </is>
      </c>
      <c r="AT388" s="11" t="inlineStr">
        <is>
          <t>media</t>
        </is>
      </c>
      <c r="AU388" s="11" t="inlineStr">
        <is>
          <t>Nombres científicos de especies salvadoreñas</t>
        </is>
      </c>
      <c r="AV388" s="11" t="inlineStr">
        <is>
          <t>Ciclo 7°–9°</t>
        </is>
      </c>
      <c r="AW388" s="11">
        <f>AF388&amp;"; "&amp;AG388&amp;"; "&amp;AH388&amp;"; "&amp;AI388&amp;"; "&amp;AJ388</f>
        <v/>
      </c>
    </row>
    <row r="389">
      <c r="A389" s="11" t="inlineStr">
        <is>
          <t>T1023-G07-CIE</t>
        </is>
      </c>
      <c r="B389" s="11" t="n">
        <v>7</v>
      </c>
      <c r="C389" s="11" t="inlineStr">
        <is>
          <t>Ciencias</t>
        </is>
      </c>
      <c r="D389" s="11" t="inlineStr">
        <is>
          <t>Matriz_Ciencias_7mo_Grado_U1_U6.xlsx</t>
        </is>
      </c>
      <c r="E389" s="11" t="inlineStr">
        <is>
          <t>Unidad 3 - Biodiversidad</t>
        </is>
      </c>
      <c r="F389" s="11" t="n">
        <v>10</v>
      </c>
      <c r="G389" s="11" t="inlineStr">
        <is>
          <t>3. Biodiversidad</t>
        </is>
      </c>
      <c r="H389" s="11" t="inlineStr">
        <is>
          <t>Taxonomía</t>
        </is>
      </c>
      <c r="I389" s="38" t="inlineStr">
        <is>
          <t>3.8. Elaboración y uso de claves dicotómicas para la identificación taxonómica.</t>
        </is>
      </c>
      <c r="J389" s="11" t="inlineStr">
        <is>
          <t>T8_27</t>
        </is>
      </c>
      <c r="K389" s="11" t="inlineStr">
        <is>
          <t>T8_27-B1.1</t>
        </is>
      </c>
      <c r="L389" s="11" t="inlineStr"/>
      <c r="M389" s="11">
        <f>IF(K389="FUERA","Fuera del marco",IF(K389="N/A","Sin marco",IFERROR(INDEX('Datos - Catálogo TIMSS'!$C$5:$C$107,MATCH(K389,'Datos - Catálogo TIMSS'!$A$5:$A$107,0)),"Pendiente de clasificar")))</f>
        <v/>
      </c>
      <c r="N389" s="11">
        <f>IF(K389="FUERA","Fuera del marco",IF(K389="N/A","Sin marco",IFERROR(INDEX('Datos - Catálogo TIMSS'!$F$5:$F$107,MATCH(K389,'Datos - Catálogo TIMSS'!$A$5:$A$107,0)),"Pendiente de clasificar")))</f>
        <v/>
      </c>
      <c r="O389" s="11">
        <f>IF(L389="","",IFERROR(INDEX('Datos - Catálogo TIMSS'!$C$5:$C$107,MATCH(L389,'Datos - Catálogo TIMSS'!$A$5:$A$107,0)),"?"))</f>
        <v/>
      </c>
      <c r="P389" s="11" t="inlineStr">
        <is>
          <t>alta</t>
        </is>
      </c>
      <c r="Q389" s="38" t="inlineStr">
        <is>
          <t>Claves dicotómicas para identificar organismos por rasgos</t>
        </is>
      </c>
      <c r="R389" s="38" t="inlineStr">
        <is>
          <t>Aplicar: elaborar y usar claves</t>
        </is>
      </c>
      <c r="S389" s="39">
        <f>IFERROR(ISNUMBER(SEARCH("Conocer",$R389))/(ISNUMBER(SEARCH("Conocer",$R389))+ISNUMBER(SEARCH("Aplicar",$R389))+ISNUMBER(SEARCH("Razonar",$R389))),0)</f>
        <v/>
      </c>
      <c r="T389" s="39">
        <f>IFERROR(ISNUMBER(SEARCH("Aplicar",$R389))/(ISNUMBER(SEARCH("Conocer",$R389))+ISNUMBER(SEARCH("Aplicar",$R389))+ISNUMBER(SEARCH("Razonar",$R389))),0)</f>
        <v/>
      </c>
      <c r="U389" s="39">
        <f>IFERROR(ISNUMBER(SEARCH("Razonar",$R389))/(ISNUMBER(SEARCH("Conocer",$R389))+ISNUMBER(SEARCH("Aplicar",$R389))+ISNUMBER(SEARCH("Razonar",$R389))),0)</f>
        <v/>
      </c>
      <c r="V389" s="11" t="inlineStr">
        <is>
          <t>7°</t>
        </is>
      </c>
      <c r="W389" s="11" t="inlineStr">
        <is>
          <t>Ciclo 5°–8°</t>
        </is>
      </c>
      <c r="X389" s="11">
        <f>IF(OR(IFERROR(INDEX('Datos - Catálogo TIMSS'!$I$5:$I$107,MATCH(K389,'Datos - Catálogo TIMSS'!$A$5:$A$107,0)),"No")="Sí",IFERROR(INDEX('Datos - Catálogo TIMSS'!$I$5:$I$107,MATCH(L389,'Datos - Catálogo TIMSS'!$A$5:$A$107,0)),"No")="Sí"),1,0)</f>
        <v/>
      </c>
      <c r="Y389" s="11">
        <f>IF(IFERROR(INDEX('Datos - Catálogo TIMSS'!$J$5:$J$107,MATCH(K389,'Datos - Catálogo TIMSS'!$A$5:$A$107,0)),"No")="Sí",1,0)</f>
        <v/>
      </c>
      <c r="Z389" s="11">
        <f>IF(IFERROR(INDEX('Datos - Catálogo TIMSS'!$J$5:$J$107,MATCH(L389,'Datos - Catálogo TIMSS'!$A$5:$A$107,0)),"No")="Sí",1,0)</f>
        <v/>
      </c>
      <c r="AA389" s="11" t="inlineStr">
        <is>
          <t>T8-B1.1</t>
        </is>
      </c>
      <c r="AB389" s="11" t="inlineStr"/>
      <c r="AC389" s="11">
        <f>IF(AA389="FUERA","Fuera del marco",IF(AA389="N/A","Sin marco",IFERROR(INDEX('Datos - TIMSS 2023'!$C$5:$C$105,MATCH(AA389,'Datos - TIMSS 2023'!$A$5:$A$105,0)),"Pendiente de clasificar")))</f>
        <v/>
      </c>
      <c r="AD389" s="11" t="inlineStr">
        <is>
          <t>2. Construir y evaluar diseños para la indagación científica e interpretar datos y evidencia de forma crítica</t>
        </is>
      </c>
      <c r="AE389" s="11">
        <f>IF(AD389="","",IF(LEFT(AD389,1)="1","C1",IF(LEFT(AD389,1)="2","C2",IF(LEFT(AD389,1)="3","C3",""))))</f>
        <v/>
      </c>
      <c r="AF389" s="11" t="inlineStr">
        <is>
          <t>E1</t>
        </is>
      </c>
      <c r="AG389" s="11" t="inlineStr">
        <is>
          <t>D1</t>
        </is>
      </c>
      <c r="AH389" s="11" t="inlineStr">
        <is>
          <t>E2</t>
        </is>
      </c>
      <c r="AI389" s="11" t="inlineStr">
        <is>
          <t>D3</t>
        </is>
      </c>
      <c r="AJ389" s="11" t="inlineStr">
        <is>
          <t>E3</t>
        </is>
      </c>
      <c r="AK389" s="11" t="inlineStr">
        <is>
          <t>PISA-V5</t>
        </is>
      </c>
      <c r="AL389" s="11" t="inlineStr">
        <is>
          <t>PISA-V1</t>
        </is>
      </c>
      <c r="AM389" s="11">
        <f>IF(AK389="FUERA","Fuera del marco",IFERROR(INDEX('Datos - Catálogo PISA'!$C$5:$C$76,MATCH(AK389,'Datos - Catálogo PISA'!$A$5:$A$76,0)),"?"))</f>
        <v/>
      </c>
      <c r="AN389" s="11" t="inlineStr">
        <is>
          <t>Contenido</t>
        </is>
      </c>
      <c r="AO389" s="11" t="n"/>
      <c r="AP389" s="11" t="n"/>
      <c r="AQ389" s="11" t="inlineStr">
        <is>
          <t>Sin contexto</t>
        </is>
      </c>
      <c r="AR389" s="11" t="n"/>
      <c r="AS389" s="11" t="inlineStr">
        <is>
          <t>Media</t>
        </is>
      </c>
      <c r="AT389" s="11" t="inlineStr">
        <is>
          <t>media</t>
        </is>
      </c>
      <c r="AU389" s="11" t="inlineStr">
        <is>
          <t>Claves dicotómicas para identificar organismos</t>
        </is>
      </c>
      <c r="AV389" s="11" t="inlineStr">
        <is>
          <t>Ciclo 7°–9°</t>
        </is>
      </c>
      <c r="AW389" s="11">
        <f>AF389&amp;"; "&amp;AG389&amp;"; "&amp;AH389&amp;"; "&amp;AI389&amp;"; "&amp;AJ389</f>
        <v/>
      </c>
    </row>
    <row r="390">
      <c r="A390" s="11" t="inlineStr">
        <is>
          <t>T1024-G07-CIE</t>
        </is>
      </c>
      <c r="B390" s="11" t="n">
        <v>7</v>
      </c>
      <c r="C390" s="11" t="inlineStr">
        <is>
          <t>Ciencias</t>
        </is>
      </c>
      <c r="D390" s="11" t="inlineStr">
        <is>
          <t>Matriz_Ciencias_7mo_Grado_U1_U6.xlsx</t>
        </is>
      </c>
      <c r="E390" s="11" t="inlineStr">
        <is>
          <t>Unidad 3 - Biodiversidad</t>
        </is>
      </c>
      <c r="F390" s="11" t="n">
        <v>11</v>
      </c>
      <c r="G390" s="11" t="inlineStr">
        <is>
          <t>3. Biodiversidad</t>
        </is>
      </c>
      <c r="H390" s="11" t="inlineStr">
        <is>
          <t>Taxonomía</t>
        </is>
      </c>
      <c r="I390" s="38" t="inlineStr">
        <is>
          <t>3.9. Exploración de plataformas de biodiversidad.</t>
        </is>
      </c>
      <c r="J390" s="11" t="inlineStr">
        <is>
          <t>T8_27</t>
        </is>
      </c>
      <c r="K390" s="11" t="inlineStr">
        <is>
          <t>T8_27-B1.1</t>
        </is>
      </c>
      <c r="L390" s="11" t="inlineStr"/>
      <c r="M390" s="11">
        <f>IF(K390="FUERA","Fuera del marco",IF(K390="N/A","Sin marco",IFERROR(INDEX('Datos - Catálogo TIMSS'!$C$5:$C$107,MATCH(K390,'Datos - Catálogo TIMSS'!$A$5:$A$107,0)),"Pendiente de clasificar")))</f>
        <v/>
      </c>
      <c r="N390" s="11">
        <f>IF(K390="FUERA","Fuera del marco",IF(K390="N/A","Sin marco",IFERROR(INDEX('Datos - Catálogo TIMSS'!$F$5:$F$107,MATCH(K390,'Datos - Catálogo TIMSS'!$A$5:$A$107,0)),"Pendiente de clasificar")))</f>
        <v/>
      </c>
      <c r="O390" s="11">
        <f>IF(L390="","",IFERROR(INDEX('Datos - Catálogo TIMSS'!$C$5:$C$107,MATCH(L390,'Datos - Catálogo TIMSS'!$A$5:$A$107,0)),"?"))</f>
        <v/>
      </c>
      <c r="P390" s="11" t="inlineStr">
        <is>
          <t>baja</t>
        </is>
      </c>
      <c r="Q390" s="38" t="inlineStr">
        <is>
          <t>Uso de plataformas digitales; contenido taxonómico secundario</t>
        </is>
      </c>
      <c r="R390" s="38" t="inlineStr">
        <is>
          <t>Aplicar: usar plataformas. Razonar: evaluar información</t>
        </is>
      </c>
      <c r="S390" s="39">
        <f>IFERROR(ISNUMBER(SEARCH("Conocer",$R390))/(ISNUMBER(SEARCH("Conocer",$R390))+ISNUMBER(SEARCH("Aplicar",$R390))+ISNUMBER(SEARCH("Razonar",$R390))),0)</f>
        <v/>
      </c>
      <c r="T390" s="39">
        <f>IFERROR(ISNUMBER(SEARCH("Aplicar",$R390))/(ISNUMBER(SEARCH("Conocer",$R390))+ISNUMBER(SEARCH("Aplicar",$R390))+ISNUMBER(SEARCH("Razonar",$R390))),0)</f>
        <v/>
      </c>
      <c r="U390" s="39">
        <f>IFERROR(ISNUMBER(SEARCH("Razonar",$R390))/(ISNUMBER(SEARCH("Conocer",$R390))+ISNUMBER(SEARCH("Aplicar",$R390))+ISNUMBER(SEARCH("Razonar",$R390))),0)</f>
        <v/>
      </c>
      <c r="V390" s="11" t="inlineStr">
        <is>
          <t>7°</t>
        </is>
      </c>
      <c r="W390" s="11" t="inlineStr">
        <is>
          <t>Ciclo 5°–8°</t>
        </is>
      </c>
      <c r="X390" s="11">
        <f>IF(OR(IFERROR(INDEX('Datos - Catálogo TIMSS'!$I$5:$I$107,MATCH(K390,'Datos - Catálogo TIMSS'!$A$5:$A$107,0)),"No")="Sí",IFERROR(INDEX('Datos - Catálogo TIMSS'!$I$5:$I$107,MATCH(L390,'Datos - Catálogo TIMSS'!$A$5:$A$107,0)),"No")="Sí"),1,0)</f>
        <v/>
      </c>
      <c r="Y390" s="11">
        <f>IF(IFERROR(INDEX('Datos - Catálogo TIMSS'!$J$5:$J$107,MATCH(K390,'Datos - Catálogo TIMSS'!$A$5:$A$107,0)),"No")="Sí",1,0)</f>
        <v/>
      </c>
      <c r="Z390" s="11">
        <f>IF(IFERROR(INDEX('Datos - Catálogo TIMSS'!$J$5:$J$107,MATCH(L390,'Datos - Catálogo TIMSS'!$A$5:$A$107,0)),"No")="Sí",1,0)</f>
        <v/>
      </c>
      <c r="AA390" s="11" t="inlineStr">
        <is>
          <t>T8-B1.1</t>
        </is>
      </c>
      <c r="AB390" s="11" t="inlineStr"/>
      <c r="AC390" s="11">
        <f>IF(AA390="FUERA","Fuera del marco",IF(AA390="N/A","Sin marco",IFERROR(INDEX('Datos - TIMSS 2023'!$C$5:$C$105,MATCH(AA390,'Datos - TIMSS 2023'!$A$5:$A$105,0)),"Pendiente de clasificar")))</f>
        <v/>
      </c>
      <c r="AD390" s="11" t="inlineStr">
        <is>
          <t>3. Investigar, evaluar y usar información científica para tomar decisiones y actuar</t>
        </is>
      </c>
      <c r="AE390" s="11">
        <f>IF(AD390="","",IF(LEFT(AD390,1)="1","C1",IF(LEFT(AD390,1)="2","C2",IF(LEFT(AD390,1)="3","C3",""))))</f>
        <v/>
      </c>
      <c r="AF390" s="11" t="inlineStr">
        <is>
          <t>E1</t>
        </is>
      </c>
      <c r="AG390" s="11" t="inlineStr">
        <is>
          <t>D1</t>
        </is>
      </c>
      <c r="AH390" s="11" t="inlineStr">
        <is>
          <t>E1</t>
        </is>
      </c>
      <c r="AI390" s="11" t="inlineStr">
        <is>
          <t>I1</t>
        </is>
      </c>
      <c r="AJ390" s="11" t="inlineStr">
        <is>
          <t>I5</t>
        </is>
      </c>
      <c r="AK390" s="11" t="inlineStr">
        <is>
          <t>PISA-V5</t>
        </is>
      </c>
      <c r="AL390" s="11" t="n"/>
      <c r="AM390" s="11">
        <f>IF(AK390="FUERA","Fuera del marco",IFERROR(INDEX('Datos - Catálogo PISA'!$C$5:$C$76,MATCH(AK390,'Datos - Catálogo PISA'!$A$5:$A$76,0)),"?"))</f>
        <v/>
      </c>
      <c r="AN390" s="11" t="inlineStr">
        <is>
          <t>Contenido</t>
        </is>
      </c>
      <c r="AO390" s="11" t="n"/>
      <c r="AP390" s="11" t="n"/>
      <c r="AQ390" s="11" t="inlineStr">
        <is>
          <t>Local/nacional</t>
        </is>
      </c>
      <c r="AR390" s="11" t="inlineStr">
        <is>
          <t>Recursos naturales</t>
        </is>
      </c>
      <c r="AS390" s="11" t="inlineStr">
        <is>
          <t>Media</t>
        </is>
      </c>
      <c r="AT390" s="11" t="inlineStr">
        <is>
          <t>media</t>
        </is>
      </c>
      <c r="AU390" s="11" t="inlineStr">
        <is>
          <t>Plataformas de biodiversidad para especies locales</t>
        </is>
      </c>
      <c r="AV390" s="11" t="inlineStr">
        <is>
          <t>Ciclo 7°–9°</t>
        </is>
      </c>
      <c r="AW390" s="11">
        <f>AF390&amp;"; "&amp;AG390&amp;"; "&amp;AH390&amp;"; "&amp;AI390&amp;"; "&amp;AJ390</f>
        <v/>
      </c>
    </row>
    <row r="391">
      <c r="A391" s="11" t="inlineStr">
        <is>
          <t>T1025-G07-CIE</t>
        </is>
      </c>
      <c r="B391" s="11" t="n">
        <v>7</v>
      </c>
      <c r="C391" s="11" t="inlineStr">
        <is>
          <t>Ciencias</t>
        </is>
      </c>
      <c r="D391" s="11" t="inlineStr">
        <is>
          <t>Matriz_Ciencias_7mo_Grado_U1_U6.xlsx</t>
        </is>
      </c>
      <c r="E391" s="11" t="inlineStr">
        <is>
          <t>Unidad 3 - Biodiversidad</t>
        </is>
      </c>
      <c r="F391" s="11" t="n">
        <v>12</v>
      </c>
      <c r="G391" s="11" t="inlineStr">
        <is>
          <t>3. Biodiversidad</t>
        </is>
      </c>
      <c r="H391" s="11" t="inlineStr">
        <is>
          <t>Sistemática y cladística</t>
        </is>
      </c>
      <c r="I391" s="38" t="inlineStr">
        <is>
          <t>3.10. Construcción del concepto de cladística a partir de agrupamientos.</t>
        </is>
      </c>
      <c r="J391" s="11" t="inlineStr">
        <is>
          <t>T8_27</t>
        </is>
      </c>
      <c r="K391" s="11" t="inlineStr">
        <is>
          <t>T8_27-B4.2</t>
        </is>
      </c>
      <c r="L391" s="11" t="inlineStr">
        <is>
          <t>T8_27-B1.1</t>
        </is>
      </c>
      <c r="M391" s="11">
        <f>IF(K391="FUERA","Fuera del marco",IF(K391="N/A","Sin marco",IFERROR(INDEX('Datos - Catálogo TIMSS'!$C$5:$C$107,MATCH(K391,'Datos - Catálogo TIMSS'!$A$5:$A$107,0)),"Pendiente de clasificar")))</f>
        <v/>
      </c>
      <c r="N391" s="11">
        <f>IF(K391="FUERA","Fuera del marco",IF(K391="N/A","Sin marco",IFERROR(INDEX('Datos - Catálogo TIMSS'!$F$5:$F$107,MATCH(K391,'Datos - Catálogo TIMSS'!$A$5:$A$107,0)),"Pendiente de clasificar")))</f>
        <v/>
      </c>
      <c r="O391" s="11">
        <f>IF(L391="","",IFERROR(INDEX('Datos - Catálogo TIMSS'!$C$5:$C$107,MATCH(L391,'Datos - Catálogo TIMSS'!$A$5:$A$107,0)),"?"))</f>
        <v/>
      </c>
      <c r="P391" s="11" t="inlineStr">
        <is>
          <t>media</t>
        </is>
      </c>
      <c r="Q391" s="38" t="inlineStr">
        <is>
          <t>Cladística: semejanzas entre especies evidencian ancestro común</t>
        </is>
      </c>
      <c r="R391" s="38" t="inlineStr">
        <is>
          <t>Conocer: construir conceptos</t>
        </is>
      </c>
      <c r="S391" s="39">
        <f>IFERROR(ISNUMBER(SEARCH("Conocer",$R391))/(ISNUMBER(SEARCH("Conocer",$R391))+ISNUMBER(SEARCH("Aplicar",$R391))+ISNUMBER(SEARCH("Razonar",$R391))),0)</f>
        <v/>
      </c>
      <c r="T391" s="39">
        <f>IFERROR(ISNUMBER(SEARCH("Aplicar",$R391))/(ISNUMBER(SEARCH("Conocer",$R391))+ISNUMBER(SEARCH("Aplicar",$R391))+ISNUMBER(SEARCH("Razonar",$R391))),0)</f>
        <v/>
      </c>
      <c r="U391" s="39">
        <f>IFERROR(ISNUMBER(SEARCH("Razonar",$R391))/(ISNUMBER(SEARCH("Conocer",$R391))+ISNUMBER(SEARCH("Aplicar",$R391))+ISNUMBER(SEARCH("Razonar",$R391))),0)</f>
        <v/>
      </c>
      <c r="V391" s="11" t="inlineStr">
        <is>
          <t>7°</t>
        </is>
      </c>
      <c r="W391" s="11" t="inlineStr">
        <is>
          <t>Ciclo 5°–8°</t>
        </is>
      </c>
      <c r="X391" s="11">
        <f>IF(OR(IFERROR(INDEX('Datos - Catálogo TIMSS'!$I$5:$I$107,MATCH(K391,'Datos - Catálogo TIMSS'!$A$5:$A$107,0)),"No")="Sí",IFERROR(INDEX('Datos - Catálogo TIMSS'!$I$5:$I$107,MATCH(L391,'Datos - Catálogo TIMSS'!$A$5:$A$107,0)),"No")="Sí"),1,0)</f>
        <v/>
      </c>
      <c r="Y391" s="11">
        <f>IF(IFERROR(INDEX('Datos - Catálogo TIMSS'!$J$5:$J$107,MATCH(K391,'Datos - Catálogo TIMSS'!$A$5:$A$107,0)),"No")="Sí",1,0)</f>
        <v/>
      </c>
      <c r="Z391" s="11">
        <f>IF(IFERROR(INDEX('Datos - Catálogo TIMSS'!$J$5:$J$107,MATCH(L391,'Datos - Catálogo TIMSS'!$A$5:$A$107,0)),"No")="Sí",1,0)</f>
        <v/>
      </c>
      <c r="AA391" s="11" t="inlineStr">
        <is>
          <t>T8-B1.1</t>
        </is>
      </c>
      <c r="AB391" s="11" t="inlineStr">
        <is>
          <t>T8-B4.2</t>
        </is>
      </c>
      <c r="AC391" s="11">
        <f>IF(AA391="FUERA","Fuera del marco",IF(AA391="N/A","Sin marco",IFERROR(INDEX('Datos - TIMSS 2023'!$C$5:$C$105,MATCH(AA391,'Datos - TIMSS 2023'!$A$5:$A$105,0)),"Pendiente de clasificar")))</f>
        <v/>
      </c>
      <c r="AD391" s="11" t="inlineStr">
        <is>
          <t>1. Explicar fenómenos científicamente</t>
        </is>
      </c>
      <c r="AE391" s="11">
        <f>IF(AD391="","",IF(LEFT(AD391,1)="1","C1",IF(LEFT(AD391,1)="2","C2",IF(LEFT(AD391,1)="3","C3",""))))</f>
        <v/>
      </c>
      <c r="AF391" s="11" t="inlineStr">
        <is>
          <t>E1</t>
        </is>
      </c>
      <c r="AG391" s="11" t="inlineStr">
        <is>
          <t>D1</t>
        </is>
      </c>
      <c r="AH391" s="11" t="inlineStr">
        <is>
          <t>E1</t>
        </is>
      </c>
      <c r="AI391" s="11" t="inlineStr">
        <is>
          <t>D4</t>
        </is>
      </c>
      <c r="AJ391" s="11" t="inlineStr">
        <is>
          <t>E1</t>
        </is>
      </c>
      <c r="AK391" s="11" t="inlineStr">
        <is>
          <t>PISA-V5</t>
        </is>
      </c>
      <c r="AL391" s="11" t="n"/>
      <c r="AM391" s="11">
        <f>IF(AK391="FUERA","Fuera del marco",IFERROR(INDEX('Datos - Catálogo PISA'!$C$5:$C$76,MATCH(AK391,'Datos - Catálogo PISA'!$A$5:$A$76,0)),"?"))</f>
        <v/>
      </c>
      <c r="AN391" s="11" t="inlineStr">
        <is>
          <t>Contenido</t>
        </is>
      </c>
      <c r="AO391" s="11" t="n"/>
      <c r="AP391" s="11" t="n"/>
      <c r="AQ391" s="11" t="inlineStr">
        <is>
          <t>Sin contexto</t>
        </is>
      </c>
      <c r="AR391" s="11" t="n"/>
      <c r="AS391" s="11" t="inlineStr">
        <is>
          <t>Media</t>
        </is>
      </c>
      <c r="AT391" s="11" t="inlineStr">
        <is>
          <t>alta</t>
        </is>
      </c>
      <c r="AU391" s="11" t="inlineStr">
        <is>
          <t>Cladística: agrupamiento por ancestría común</t>
        </is>
      </c>
      <c r="AV391" s="11" t="inlineStr">
        <is>
          <t>Ciclo 7°–9°</t>
        </is>
      </c>
      <c r="AW391" s="11">
        <f>AF391&amp;"; "&amp;AG391&amp;"; "&amp;AH391&amp;"; "&amp;AI391&amp;"; "&amp;AJ391</f>
        <v/>
      </c>
    </row>
    <row r="392">
      <c r="A392" s="11" t="inlineStr">
        <is>
          <t>T1026-G07-CIE</t>
        </is>
      </c>
      <c r="B392" s="11" t="n">
        <v>7</v>
      </c>
      <c r="C392" s="11" t="inlineStr">
        <is>
          <t>Ciencias</t>
        </is>
      </c>
      <c r="D392" s="11" t="inlineStr">
        <is>
          <t>Matriz_Ciencias_7mo_Grado_U1_U6.xlsx</t>
        </is>
      </c>
      <c r="E392" s="11" t="inlineStr">
        <is>
          <t>Unidad 3 - Biodiversidad</t>
        </is>
      </c>
      <c r="F392" s="11" t="n">
        <v>13</v>
      </c>
      <c r="G392" s="11" t="inlineStr">
        <is>
          <t>3. Biodiversidad</t>
        </is>
      </c>
      <c r="H392" s="11" t="inlineStr">
        <is>
          <t>Sistemática y cladística</t>
        </is>
      </c>
      <c r="I392" s="38" t="inlineStr">
        <is>
          <t>3.11. Reconocimiento de grupos a partir de cladogramas.</t>
        </is>
      </c>
      <c r="J392" s="11" t="inlineStr">
        <is>
          <t>T8_27</t>
        </is>
      </c>
      <c r="K392" s="11" t="inlineStr">
        <is>
          <t>T8_27-B4.2</t>
        </is>
      </c>
      <c r="L392" s="11" t="inlineStr">
        <is>
          <t>T8_27-B1.1</t>
        </is>
      </c>
      <c r="M392" s="11">
        <f>IF(K392="FUERA","Fuera del marco",IF(K392="N/A","Sin marco",IFERROR(INDEX('Datos - Catálogo TIMSS'!$C$5:$C$107,MATCH(K392,'Datos - Catálogo TIMSS'!$A$5:$A$107,0)),"Pendiente de clasificar")))</f>
        <v/>
      </c>
      <c r="N392" s="11">
        <f>IF(K392="FUERA","Fuera del marco",IF(K392="N/A","Sin marco",IFERROR(INDEX('Datos - Catálogo TIMSS'!$F$5:$F$107,MATCH(K392,'Datos - Catálogo TIMSS'!$A$5:$A$107,0)),"Pendiente de clasificar")))</f>
        <v/>
      </c>
      <c r="O392" s="11">
        <f>IF(L392="","",IFERROR(INDEX('Datos - Catálogo TIMSS'!$C$5:$C$107,MATCH(L392,'Datos - Catálogo TIMSS'!$A$5:$A$107,0)),"?"))</f>
        <v/>
      </c>
      <c r="P392" s="11" t="inlineStr">
        <is>
          <t>media</t>
        </is>
      </c>
      <c r="Q392" s="38" t="inlineStr">
        <is>
          <t>Cladogramas: grupos por ancestro común y rasgos compartidos</t>
        </is>
      </c>
      <c r="R392" s="38" t="inlineStr">
        <is>
          <t>Aplicar: interpretar diagramas</t>
        </is>
      </c>
      <c r="S392" s="39">
        <f>IFERROR(ISNUMBER(SEARCH("Conocer",$R392))/(ISNUMBER(SEARCH("Conocer",$R392))+ISNUMBER(SEARCH("Aplicar",$R392))+ISNUMBER(SEARCH("Razonar",$R392))),0)</f>
        <v/>
      </c>
      <c r="T392" s="39">
        <f>IFERROR(ISNUMBER(SEARCH("Aplicar",$R392))/(ISNUMBER(SEARCH("Conocer",$R392))+ISNUMBER(SEARCH("Aplicar",$R392))+ISNUMBER(SEARCH("Razonar",$R392))),0)</f>
        <v/>
      </c>
      <c r="U392" s="39">
        <f>IFERROR(ISNUMBER(SEARCH("Razonar",$R392))/(ISNUMBER(SEARCH("Conocer",$R392))+ISNUMBER(SEARCH("Aplicar",$R392))+ISNUMBER(SEARCH("Razonar",$R392))),0)</f>
        <v/>
      </c>
      <c r="V392" s="11" t="inlineStr">
        <is>
          <t>7°</t>
        </is>
      </c>
      <c r="W392" s="11" t="inlineStr">
        <is>
          <t>Ciclo 5°–8°</t>
        </is>
      </c>
      <c r="X392" s="11">
        <f>IF(OR(IFERROR(INDEX('Datos - Catálogo TIMSS'!$I$5:$I$107,MATCH(K392,'Datos - Catálogo TIMSS'!$A$5:$A$107,0)),"No")="Sí",IFERROR(INDEX('Datos - Catálogo TIMSS'!$I$5:$I$107,MATCH(L392,'Datos - Catálogo TIMSS'!$A$5:$A$107,0)),"No")="Sí"),1,0)</f>
        <v/>
      </c>
      <c r="Y392" s="11">
        <f>IF(IFERROR(INDEX('Datos - Catálogo TIMSS'!$J$5:$J$107,MATCH(K392,'Datos - Catálogo TIMSS'!$A$5:$A$107,0)),"No")="Sí",1,0)</f>
        <v/>
      </c>
      <c r="Z392" s="11">
        <f>IF(IFERROR(INDEX('Datos - Catálogo TIMSS'!$J$5:$J$107,MATCH(L392,'Datos - Catálogo TIMSS'!$A$5:$A$107,0)),"No")="Sí",1,0)</f>
        <v/>
      </c>
      <c r="AA392" s="11" t="inlineStr">
        <is>
          <t>T8-B1.1</t>
        </is>
      </c>
      <c r="AB392" s="11" t="inlineStr">
        <is>
          <t>T8-B4.2</t>
        </is>
      </c>
      <c r="AC392" s="11">
        <f>IF(AA392="FUERA","Fuera del marco",IF(AA392="N/A","Sin marco",IFERROR(INDEX('Datos - TIMSS 2023'!$C$5:$C$105,MATCH(AA392,'Datos - TIMSS 2023'!$A$5:$A$105,0)),"Pendiente de clasificar")))</f>
        <v/>
      </c>
      <c r="AD392" s="11" t="inlineStr">
        <is>
          <t>2. Construir y evaluar diseños para la indagación científica e interpretar datos y evidencia de forma crítica</t>
        </is>
      </c>
      <c r="AE392" s="11">
        <f>IF(AD392="","",IF(LEFT(AD392,1)="1","C1",IF(LEFT(AD392,1)="2","C2",IF(LEFT(AD392,1)="3","C3",""))))</f>
        <v/>
      </c>
      <c r="AF392" s="11" t="inlineStr">
        <is>
          <t>E1</t>
        </is>
      </c>
      <c r="AG392" s="11" t="inlineStr">
        <is>
          <t>D1</t>
        </is>
      </c>
      <c r="AH392" s="11" t="inlineStr">
        <is>
          <t>E2</t>
        </is>
      </c>
      <c r="AI392" s="11" t="inlineStr">
        <is>
          <t>D4</t>
        </is>
      </c>
      <c r="AJ392" s="11" t="inlineStr">
        <is>
          <t>E3</t>
        </is>
      </c>
      <c r="AK392" s="11" t="inlineStr">
        <is>
          <t>PISA-V5</t>
        </is>
      </c>
      <c r="AL392" s="11" t="n"/>
      <c r="AM392" s="11">
        <f>IF(AK392="FUERA","Fuera del marco",IFERROR(INDEX('Datos - Catálogo PISA'!$C$5:$C$76,MATCH(AK392,'Datos - Catálogo PISA'!$A$5:$A$76,0)),"?"))</f>
        <v/>
      </c>
      <c r="AN392" s="11" t="inlineStr">
        <is>
          <t>Contenido</t>
        </is>
      </c>
      <c r="AO392" s="11" t="n"/>
      <c r="AP392" s="11" t="inlineStr">
        <is>
          <t>PISA-EP4;</t>
        </is>
      </c>
      <c r="AQ392" s="11" t="inlineStr">
        <is>
          <t>Sin contexto</t>
        </is>
      </c>
      <c r="AR392" s="11" t="n"/>
      <c r="AS392" s="11" t="inlineStr">
        <is>
          <t>Media</t>
        </is>
      </c>
      <c r="AT392" s="11" t="inlineStr">
        <is>
          <t>alta</t>
        </is>
      </c>
      <c r="AU392" s="11" t="inlineStr">
        <is>
          <t>Interpreta y construye cladogramas</t>
        </is>
      </c>
      <c r="AV392" s="11" t="inlineStr">
        <is>
          <t>Ciclo 7°–9°</t>
        </is>
      </c>
      <c r="AW392" s="11">
        <f>AF392&amp;"; "&amp;AG392&amp;"; "&amp;AH392&amp;"; "&amp;AI392&amp;"; "&amp;AJ392</f>
        <v/>
      </c>
    </row>
    <row r="393">
      <c r="A393" s="11" t="inlineStr">
        <is>
          <t>T1027-G07-CIE</t>
        </is>
      </c>
      <c r="B393" s="11" t="n">
        <v>7</v>
      </c>
      <c r="C393" s="11" t="inlineStr">
        <is>
          <t>Ciencias</t>
        </is>
      </c>
      <c r="D393" s="11" t="inlineStr">
        <is>
          <t>Matriz_Ciencias_7mo_Grado_U1_U6.xlsx</t>
        </is>
      </c>
      <c r="E393" s="11" t="inlineStr">
        <is>
          <t>Unidad 3 - Biodiversidad</t>
        </is>
      </c>
      <c r="F393" s="11" t="n">
        <v>14</v>
      </c>
      <c r="G393" s="11" t="inlineStr">
        <is>
          <t>3. Biodiversidad</t>
        </is>
      </c>
      <c r="H393" s="11" t="inlineStr">
        <is>
          <t>Sistema de los tres dominios</t>
        </is>
      </c>
      <c r="I393" s="38" t="inlineStr">
        <is>
          <t>3.12. Descripción de grupos taxonómicos con-templados en el sistema de los tres dominios.</t>
        </is>
      </c>
      <c r="J393" s="11" t="inlineStr">
        <is>
          <t>T8_27</t>
        </is>
      </c>
      <c r="K393" s="11" t="inlineStr">
        <is>
          <t>T8_27-B1.1</t>
        </is>
      </c>
      <c r="L393" s="11" t="inlineStr"/>
      <c r="M393" s="11">
        <f>IF(K393="FUERA","Fuera del marco",IF(K393="N/A","Sin marco",IFERROR(INDEX('Datos - Catálogo TIMSS'!$C$5:$C$107,MATCH(K393,'Datos - Catálogo TIMSS'!$A$5:$A$107,0)),"Pendiente de clasificar")))</f>
        <v/>
      </c>
      <c r="N393" s="11">
        <f>IF(K393="FUERA","Fuera del marco",IF(K393="N/A","Sin marco",IFERROR(INDEX('Datos - Catálogo TIMSS'!$F$5:$F$107,MATCH(K393,'Datos - Catálogo TIMSS'!$A$5:$A$107,0)),"Pendiente de clasificar")))</f>
        <v/>
      </c>
      <c r="O393" s="11">
        <f>IF(L393="","",IFERROR(INDEX('Datos - Catálogo TIMSS'!$C$5:$C$107,MATCH(L393,'Datos - Catálogo TIMSS'!$A$5:$A$107,0)),"?"))</f>
        <v/>
      </c>
      <c r="P393" s="11" t="inlineStr">
        <is>
          <t>alta</t>
        </is>
      </c>
      <c r="Q393" s="38" t="inlineStr">
        <is>
          <t>Grupos taxonómicos del sistema de tres dominios</t>
        </is>
      </c>
      <c r="R393" s="38" t="inlineStr">
        <is>
          <t>Conocer: describir</t>
        </is>
      </c>
      <c r="S393" s="39">
        <f>IFERROR(ISNUMBER(SEARCH("Conocer",$R393))/(ISNUMBER(SEARCH("Conocer",$R393))+ISNUMBER(SEARCH("Aplicar",$R393))+ISNUMBER(SEARCH("Razonar",$R393))),0)</f>
        <v/>
      </c>
      <c r="T393" s="39">
        <f>IFERROR(ISNUMBER(SEARCH("Aplicar",$R393))/(ISNUMBER(SEARCH("Conocer",$R393))+ISNUMBER(SEARCH("Aplicar",$R393))+ISNUMBER(SEARCH("Razonar",$R393))),0)</f>
        <v/>
      </c>
      <c r="U393" s="39">
        <f>IFERROR(ISNUMBER(SEARCH("Razonar",$R393))/(ISNUMBER(SEARCH("Conocer",$R393))+ISNUMBER(SEARCH("Aplicar",$R393))+ISNUMBER(SEARCH("Razonar",$R393))),0)</f>
        <v/>
      </c>
      <c r="V393" s="11" t="inlineStr">
        <is>
          <t>7°</t>
        </is>
      </c>
      <c r="W393" s="11" t="inlineStr">
        <is>
          <t>Ciclo 5°–8°</t>
        </is>
      </c>
      <c r="X393" s="11">
        <f>IF(OR(IFERROR(INDEX('Datos - Catálogo TIMSS'!$I$5:$I$107,MATCH(K393,'Datos - Catálogo TIMSS'!$A$5:$A$107,0)),"No")="Sí",IFERROR(INDEX('Datos - Catálogo TIMSS'!$I$5:$I$107,MATCH(L393,'Datos - Catálogo TIMSS'!$A$5:$A$107,0)),"No")="Sí"),1,0)</f>
        <v/>
      </c>
      <c r="Y393" s="11">
        <f>IF(IFERROR(INDEX('Datos - Catálogo TIMSS'!$J$5:$J$107,MATCH(K393,'Datos - Catálogo TIMSS'!$A$5:$A$107,0)),"No")="Sí",1,0)</f>
        <v/>
      </c>
      <c r="Z393" s="11">
        <f>IF(IFERROR(INDEX('Datos - Catálogo TIMSS'!$J$5:$J$107,MATCH(L393,'Datos - Catálogo TIMSS'!$A$5:$A$107,0)),"No")="Sí",1,0)</f>
        <v/>
      </c>
      <c r="AA393" s="11" t="inlineStr">
        <is>
          <t>T8-B1.1</t>
        </is>
      </c>
      <c r="AB393" s="11" t="inlineStr"/>
      <c r="AC393" s="11">
        <f>IF(AA393="FUERA","Fuera del marco",IF(AA393="N/A","Sin marco",IFERROR(INDEX('Datos - TIMSS 2023'!$C$5:$C$105,MATCH(AA393,'Datos - TIMSS 2023'!$A$5:$A$105,0)),"Pendiente de clasificar")))</f>
        <v/>
      </c>
      <c r="AD393" s="11" t="inlineStr">
        <is>
          <t>1. Explicar fenómenos científicamente</t>
        </is>
      </c>
      <c r="AE393" s="11">
        <f>IF(AD393="","",IF(LEFT(AD393,1)="1","C1",IF(LEFT(AD393,1)="2","C2",IF(LEFT(AD393,1)="3","C3",""))))</f>
        <v/>
      </c>
      <c r="AF393" s="11" t="inlineStr">
        <is>
          <t>E1</t>
        </is>
      </c>
      <c r="AG393" s="11" t="inlineStr">
        <is>
          <t>D1</t>
        </is>
      </c>
      <c r="AH393" s="11" t="inlineStr">
        <is>
          <t>E1</t>
        </is>
      </c>
      <c r="AI393" s="11" t="inlineStr">
        <is>
          <t>D4</t>
        </is>
      </c>
      <c r="AJ393" s="11" t="inlineStr">
        <is>
          <t>E1</t>
        </is>
      </c>
      <c r="AK393" s="11" t="inlineStr">
        <is>
          <t>PISA-V1</t>
        </is>
      </c>
      <c r="AL393" s="11" t="inlineStr">
        <is>
          <t>PISA-V5</t>
        </is>
      </c>
      <c r="AM393" s="11">
        <f>IF(AK393="FUERA","Fuera del marco",IFERROR(INDEX('Datos - Catálogo PISA'!$C$5:$C$76,MATCH(AK393,'Datos - Catálogo PISA'!$A$5:$A$76,0)),"?"))</f>
        <v/>
      </c>
      <c r="AN393" s="11" t="inlineStr">
        <is>
          <t>Contenido</t>
        </is>
      </c>
      <c r="AO393" s="11" t="n"/>
      <c r="AP393" s="11" t="n"/>
      <c r="AQ393" s="11" t="inlineStr">
        <is>
          <t>Sin contexto</t>
        </is>
      </c>
      <c r="AR393" s="11" t="n"/>
      <c r="AS393" s="11" t="inlineStr">
        <is>
          <t>Media</t>
        </is>
      </c>
      <c r="AT393" s="11" t="inlineStr">
        <is>
          <t>media</t>
        </is>
      </c>
      <c r="AU393" s="11" t="inlineStr">
        <is>
          <t>Grupos de organismos en el sistema de tres dominios</t>
        </is>
      </c>
      <c r="AV393" s="11" t="inlineStr">
        <is>
          <t>Ciclo 7°–9°</t>
        </is>
      </c>
      <c r="AW393" s="11">
        <f>AF393&amp;"; "&amp;AG393&amp;"; "&amp;AH393&amp;"; "&amp;AI393&amp;"; "&amp;AJ393</f>
        <v/>
      </c>
    </row>
    <row r="394">
      <c r="A394" s="11" t="inlineStr">
        <is>
          <t>T1028-G07-CIE</t>
        </is>
      </c>
      <c r="B394" s="11" t="n">
        <v>7</v>
      </c>
      <c r="C394" s="11" t="inlineStr">
        <is>
          <t>Ciencias</t>
        </is>
      </c>
      <c r="D394" s="11" t="inlineStr">
        <is>
          <t>Matriz_Ciencias_7mo_Grado_U1_U6.xlsx</t>
        </is>
      </c>
      <c r="E394" s="11" t="inlineStr">
        <is>
          <t>Unidad 4 - Ecología</t>
        </is>
      </c>
      <c r="F394" s="11" t="n">
        <v>3</v>
      </c>
      <c r="G394" s="11" t="inlineStr">
        <is>
          <t>4. Ecología</t>
        </is>
      </c>
      <c r="H394" s="11" t="inlineStr">
        <is>
          <t>Interacciones ecológicas</t>
        </is>
      </c>
      <c r="I394" s="38" t="inlineStr">
        <is>
          <t>4.1. Identificación de interacciones ecológicas a partir de contextos prácticos.</t>
        </is>
      </c>
      <c r="J394" s="11" t="inlineStr">
        <is>
          <t>T8_27</t>
        </is>
      </c>
      <c r="K394" s="11" t="inlineStr">
        <is>
          <t>T8_27-B5.4</t>
        </is>
      </c>
      <c r="L394" s="11" t="inlineStr"/>
      <c r="M394" s="11">
        <f>IF(K394="FUERA","Fuera del marco",IF(K394="N/A","Sin marco",IFERROR(INDEX('Datos - Catálogo TIMSS'!$C$5:$C$107,MATCH(K394,'Datos - Catálogo TIMSS'!$A$5:$A$107,0)),"Pendiente de clasificar")))</f>
        <v/>
      </c>
      <c r="N394" s="11">
        <f>IF(K394="FUERA","Fuera del marco",IF(K394="N/A","Sin marco",IFERROR(INDEX('Datos - Catálogo TIMSS'!$F$5:$F$107,MATCH(K394,'Datos - Catálogo TIMSS'!$A$5:$A$107,0)),"Pendiente de clasificar")))</f>
        <v/>
      </c>
      <c r="O394" s="11">
        <f>IF(L394="","",IFERROR(INDEX('Datos - Catálogo TIMSS'!$C$5:$C$107,MATCH(L394,'Datos - Catálogo TIMSS'!$A$5:$A$107,0)),"?"))</f>
        <v/>
      </c>
      <c r="P394" s="11" t="inlineStr">
        <is>
          <t>alta</t>
        </is>
      </c>
      <c r="Q394" s="38" t="inlineStr">
        <is>
          <t>Identifica interacciones ecológicas del entorno</t>
        </is>
      </c>
      <c r="R394" s="38" t="inlineStr">
        <is>
          <t>Aplicar: identificar</t>
        </is>
      </c>
      <c r="S394" s="39">
        <f>IFERROR(ISNUMBER(SEARCH("Conocer",$R394))/(ISNUMBER(SEARCH("Conocer",$R394))+ISNUMBER(SEARCH("Aplicar",$R394))+ISNUMBER(SEARCH("Razonar",$R394))),0)</f>
        <v/>
      </c>
      <c r="T394" s="39">
        <f>IFERROR(ISNUMBER(SEARCH("Aplicar",$R394))/(ISNUMBER(SEARCH("Conocer",$R394))+ISNUMBER(SEARCH("Aplicar",$R394))+ISNUMBER(SEARCH("Razonar",$R394))),0)</f>
        <v/>
      </c>
      <c r="U394" s="39">
        <f>IFERROR(ISNUMBER(SEARCH("Razonar",$R394))/(ISNUMBER(SEARCH("Conocer",$R394))+ISNUMBER(SEARCH("Aplicar",$R394))+ISNUMBER(SEARCH("Razonar",$R394))),0)</f>
        <v/>
      </c>
      <c r="V394" s="11" t="inlineStr">
        <is>
          <t>7°</t>
        </is>
      </c>
      <c r="W394" s="11" t="inlineStr">
        <is>
          <t>Ciclo 5°–8°</t>
        </is>
      </c>
      <c r="X394" s="11">
        <f>IF(OR(IFERROR(INDEX('Datos - Catálogo TIMSS'!$I$5:$I$107,MATCH(K394,'Datos - Catálogo TIMSS'!$A$5:$A$107,0)),"No")="Sí",IFERROR(INDEX('Datos - Catálogo TIMSS'!$I$5:$I$107,MATCH(L394,'Datos - Catálogo TIMSS'!$A$5:$A$107,0)),"No")="Sí"),1,0)</f>
        <v/>
      </c>
      <c r="Y394" s="11">
        <f>IF(IFERROR(INDEX('Datos - Catálogo TIMSS'!$J$5:$J$107,MATCH(K394,'Datos - Catálogo TIMSS'!$A$5:$A$107,0)),"No")="Sí",1,0)</f>
        <v/>
      </c>
      <c r="Z394" s="11">
        <f>IF(IFERROR(INDEX('Datos - Catálogo TIMSS'!$J$5:$J$107,MATCH(L394,'Datos - Catálogo TIMSS'!$A$5:$A$107,0)),"No")="Sí",1,0)</f>
        <v/>
      </c>
      <c r="AA394" s="11" t="inlineStr">
        <is>
          <t>T8-B5.3</t>
        </is>
      </c>
      <c r="AB394" s="11" t="inlineStr"/>
      <c r="AC394" s="11">
        <f>IF(AA394="FUERA","Fuera del marco",IF(AA394="N/A","Sin marco",IFERROR(INDEX('Datos - TIMSS 2023'!$C$5:$C$105,MATCH(AA394,'Datos - TIMSS 2023'!$A$5:$A$105,0)),"Pendiente de clasificar")))</f>
        <v/>
      </c>
      <c r="AD394" s="11" t="inlineStr">
        <is>
          <t>1. Explicar fenómenos científicamente</t>
        </is>
      </c>
      <c r="AE394" s="11">
        <f>IF(AD394="","",IF(LEFT(AD394,1)="1","C1",IF(LEFT(AD394,1)="2","C2",IF(LEFT(AD394,1)="3","C3",""))))</f>
        <v/>
      </c>
      <c r="AF394" s="11" t="inlineStr">
        <is>
          <t>E1</t>
        </is>
      </c>
      <c r="AG394" s="11" t="inlineStr">
        <is>
          <t>D1</t>
        </is>
      </c>
      <c r="AH394" s="11" t="inlineStr">
        <is>
          <t>E1</t>
        </is>
      </c>
      <c r="AI394" s="11" t="inlineStr">
        <is>
          <t>D4</t>
        </is>
      </c>
      <c r="AJ394" s="11" t="inlineStr">
        <is>
          <t>E1</t>
        </is>
      </c>
      <c r="AK394" s="11" t="inlineStr">
        <is>
          <t>PISA-V6</t>
        </is>
      </c>
      <c r="AL394" s="11" t="n"/>
      <c r="AM394" s="11">
        <f>IF(AK394="FUERA","Fuera del marco",IFERROR(INDEX('Datos - Catálogo PISA'!$C$5:$C$76,MATCH(AK394,'Datos - Catálogo PISA'!$A$5:$A$76,0)),"?"))</f>
        <v/>
      </c>
      <c r="AN394" s="11" t="inlineStr">
        <is>
          <t>Contenido</t>
        </is>
      </c>
      <c r="AO394" s="11" t="n"/>
      <c r="AP394" s="11" t="n"/>
      <c r="AQ394" s="11" t="inlineStr">
        <is>
          <t>Local/nacional</t>
        </is>
      </c>
      <c r="AR394" s="11" t="inlineStr">
        <is>
          <t>Recursos naturales</t>
        </is>
      </c>
      <c r="AS394" s="11" t="inlineStr">
        <is>
          <t>Baja</t>
        </is>
      </c>
      <c r="AT394" s="11" t="inlineStr">
        <is>
          <t>alta</t>
        </is>
      </c>
      <c r="AU394" s="11" t="inlineStr">
        <is>
          <t>Interacciones ecológicas observadas en el entorno</t>
        </is>
      </c>
      <c r="AV394" s="11" t="inlineStr">
        <is>
          <t>Ciclo 7°–9°</t>
        </is>
      </c>
      <c r="AW394" s="11">
        <f>AF394&amp;"; "&amp;AG394&amp;"; "&amp;AH394&amp;"; "&amp;AI394&amp;"; "&amp;AJ394</f>
        <v/>
      </c>
    </row>
    <row r="395">
      <c r="A395" s="11" t="inlineStr">
        <is>
          <t>T1029-G07-CIE</t>
        </is>
      </c>
      <c r="B395" s="11" t="n">
        <v>7</v>
      </c>
      <c r="C395" s="11" t="inlineStr">
        <is>
          <t>Ciencias</t>
        </is>
      </c>
      <c r="D395" s="11" t="inlineStr">
        <is>
          <t>Matriz_Ciencias_7mo_Grado_U1_U6.xlsx</t>
        </is>
      </c>
      <c r="E395" s="11" t="inlineStr">
        <is>
          <t>Unidad 4 - Ecología</t>
        </is>
      </c>
      <c r="F395" s="11" t="n">
        <v>4</v>
      </c>
      <c r="G395" s="11" t="inlineStr">
        <is>
          <t>4. Ecología</t>
        </is>
      </c>
      <c r="H395" s="11" t="inlineStr">
        <is>
          <t>Interacciones ecológicas</t>
        </is>
      </c>
      <c r="I395" s="38" t="inlineStr">
        <is>
          <t>4.2. Descripción de interacciones ecológicas observadas en contextos prácticos.</t>
        </is>
      </c>
      <c r="J395" s="11" t="inlineStr">
        <is>
          <t>T8_27</t>
        </is>
      </c>
      <c r="K395" s="11" t="inlineStr">
        <is>
          <t>T8_27-B5.4</t>
        </is>
      </c>
      <c r="L395" s="11" t="inlineStr"/>
      <c r="M395" s="11">
        <f>IF(K395="FUERA","Fuera del marco",IF(K395="N/A","Sin marco",IFERROR(INDEX('Datos - Catálogo TIMSS'!$C$5:$C$107,MATCH(K395,'Datos - Catálogo TIMSS'!$A$5:$A$107,0)),"Pendiente de clasificar")))</f>
        <v/>
      </c>
      <c r="N395" s="11">
        <f>IF(K395="FUERA","Fuera del marco",IF(K395="N/A","Sin marco",IFERROR(INDEX('Datos - Catálogo TIMSS'!$F$5:$F$107,MATCH(K395,'Datos - Catálogo TIMSS'!$A$5:$A$107,0)),"Pendiente de clasificar")))</f>
        <v/>
      </c>
      <c r="O395" s="11">
        <f>IF(L395="","",IFERROR(INDEX('Datos - Catálogo TIMSS'!$C$5:$C$107,MATCH(L395,'Datos - Catálogo TIMSS'!$A$5:$A$107,0)),"?"))</f>
        <v/>
      </c>
      <c r="P395" s="11" t="inlineStr">
        <is>
          <t>alta</t>
        </is>
      </c>
      <c r="Q395" s="38" t="inlineStr">
        <is>
          <t>Describe competencia, depredación, mutualismo y otras interacciones</t>
        </is>
      </c>
      <c r="R395" s="38" t="inlineStr">
        <is>
          <t>Aplicar: describir con lenguaje científico</t>
        </is>
      </c>
      <c r="S395" s="39">
        <f>IFERROR(ISNUMBER(SEARCH("Conocer",$R395))/(ISNUMBER(SEARCH("Conocer",$R395))+ISNUMBER(SEARCH("Aplicar",$R395))+ISNUMBER(SEARCH("Razonar",$R395))),0)</f>
        <v/>
      </c>
      <c r="T395" s="39">
        <f>IFERROR(ISNUMBER(SEARCH("Aplicar",$R395))/(ISNUMBER(SEARCH("Conocer",$R395))+ISNUMBER(SEARCH("Aplicar",$R395))+ISNUMBER(SEARCH("Razonar",$R395))),0)</f>
        <v/>
      </c>
      <c r="U395" s="39">
        <f>IFERROR(ISNUMBER(SEARCH("Razonar",$R395))/(ISNUMBER(SEARCH("Conocer",$R395))+ISNUMBER(SEARCH("Aplicar",$R395))+ISNUMBER(SEARCH("Razonar",$R395))),0)</f>
        <v/>
      </c>
      <c r="V395" s="11" t="inlineStr">
        <is>
          <t>7°</t>
        </is>
      </c>
      <c r="W395" s="11" t="inlineStr">
        <is>
          <t>Ciclo 5°–8°</t>
        </is>
      </c>
      <c r="X395" s="11">
        <f>IF(OR(IFERROR(INDEX('Datos - Catálogo TIMSS'!$I$5:$I$107,MATCH(K395,'Datos - Catálogo TIMSS'!$A$5:$A$107,0)),"No")="Sí",IFERROR(INDEX('Datos - Catálogo TIMSS'!$I$5:$I$107,MATCH(L395,'Datos - Catálogo TIMSS'!$A$5:$A$107,0)),"No")="Sí"),1,0)</f>
        <v/>
      </c>
      <c r="Y395" s="11">
        <f>IF(IFERROR(INDEX('Datos - Catálogo TIMSS'!$J$5:$J$107,MATCH(K395,'Datos - Catálogo TIMSS'!$A$5:$A$107,0)),"No")="Sí",1,0)</f>
        <v/>
      </c>
      <c r="Z395" s="11">
        <f>IF(IFERROR(INDEX('Datos - Catálogo TIMSS'!$J$5:$J$107,MATCH(L395,'Datos - Catálogo TIMSS'!$A$5:$A$107,0)),"No")="Sí",1,0)</f>
        <v/>
      </c>
      <c r="AA395" s="11" t="inlineStr">
        <is>
          <t>T8-B5.3</t>
        </is>
      </c>
      <c r="AB395" s="11" t="inlineStr"/>
      <c r="AC395" s="11">
        <f>IF(AA395="FUERA","Fuera del marco",IF(AA395="N/A","Sin marco",IFERROR(INDEX('Datos - TIMSS 2023'!$C$5:$C$105,MATCH(AA395,'Datos - TIMSS 2023'!$A$5:$A$105,0)),"Pendiente de clasificar")))</f>
        <v/>
      </c>
      <c r="AD395" s="11" t="inlineStr">
        <is>
          <t>1. Explicar fenómenos científicamente</t>
        </is>
      </c>
      <c r="AE395" s="11">
        <f>IF(AD395="","",IF(LEFT(AD395,1)="1","C1",IF(LEFT(AD395,1)="2","C2",IF(LEFT(AD395,1)="3","C3",""))))</f>
        <v/>
      </c>
      <c r="AF395" s="11" t="inlineStr">
        <is>
          <t>E1</t>
        </is>
      </c>
      <c r="AG395" s="11" t="inlineStr">
        <is>
          <t>D1</t>
        </is>
      </c>
      <c r="AH395" s="11" t="inlineStr">
        <is>
          <t>E2</t>
        </is>
      </c>
      <c r="AI395" s="11" t="inlineStr">
        <is>
          <t>D4</t>
        </is>
      </c>
      <c r="AJ395" s="11" t="inlineStr">
        <is>
          <t>E1</t>
        </is>
      </c>
      <c r="AK395" s="11" t="inlineStr">
        <is>
          <t>PISA-V6</t>
        </is>
      </c>
      <c r="AL395" s="11" t="n"/>
      <c r="AM395" s="11">
        <f>IF(AK395="FUERA","Fuera del marco",IFERROR(INDEX('Datos - Catálogo PISA'!$C$5:$C$76,MATCH(AK395,'Datos - Catálogo PISA'!$A$5:$A$76,0)),"?"))</f>
        <v/>
      </c>
      <c r="AN395" s="11" t="inlineStr">
        <is>
          <t>Contenido</t>
        </is>
      </c>
      <c r="AO395" s="11" t="n"/>
      <c r="AP395" s="11" t="n"/>
      <c r="AQ395" s="11" t="inlineStr">
        <is>
          <t>Local/nacional</t>
        </is>
      </c>
      <c r="AR395" s="11" t="inlineStr">
        <is>
          <t>Recursos naturales</t>
        </is>
      </c>
      <c r="AS395" s="11" t="inlineStr">
        <is>
          <t>Media</t>
        </is>
      </c>
      <c r="AT395" s="11" t="inlineStr">
        <is>
          <t>alta</t>
        </is>
      </c>
      <c r="AU395" s="11" t="inlineStr">
        <is>
          <t>Describe interacciones ecológicas locales con lenguaje científico</t>
        </is>
      </c>
      <c r="AV395" s="11" t="inlineStr">
        <is>
          <t>Ciclo 7°–9°</t>
        </is>
      </c>
      <c r="AW395" s="11">
        <f>AF395&amp;"; "&amp;AG395&amp;"; "&amp;AH395&amp;"; "&amp;AI395&amp;"; "&amp;AJ395</f>
        <v/>
      </c>
    </row>
    <row r="396">
      <c r="A396" s="11" t="inlineStr">
        <is>
          <t>T1030-G07-CIE</t>
        </is>
      </c>
      <c r="B396" s="11" t="n">
        <v>7</v>
      </c>
      <c r="C396" s="11" t="inlineStr">
        <is>
          <t>Ciencias</t>
        </is>
      </c>
      <c r="D396" s="11" t="inlineStr">
        <is>
          <t>Matriz_Ciencias_7mo_Grado_U1_U6.xlsx</t>
        </is>
      </c>
      <c r="E396" s="11" t="inlineStr">
        <is>
          <t>Unidad 4 - Ecología</t>
        </is>
      </c>
      <c r="F396" s="11" t="n">
        <v>5</v>
      </c>
      <c r="G396" s="11" t="inlineStr">
        <is>
          <t>4. Ecología</t>
        </is>
      </c>
      <c r="H396" s="11" t="inlineStr">
        <is>
          <t>Ecología de poblaciones</t>
        </is>
      </c>
      <c r="I396" s="38" t="inlineStr">
        <is>
          <t>4.3. Indagación de los conceptos de especie y población.</t>
        </is>
      </c>
      <c r="J396" s="11" t="inlineStr">
        <is>
          <t>T8_27</t>
        </is>
      </c>
      <c r="K396" s="11" t="inlineStr">
        <is>
          <t>T8_27-B5.5</t>
        </is>
      </c>
      <c r="L396" s="11" t="inlineStr"/>
      <c r="M396" s="11">
        <f>IF(K396="FUERA","Fuera del marco",IF(K396="N/A","Sin marco",IFERROR(INDEX('Datos - Catálogo TIMSS'!$C$5:$C$107,MATCH(K396,'Datos - Catálogo TIMSS'!$A$5:$A$107,0)),"Pendiente de clasificar")))</f>
        <v/>
      </c>
      <c r="N396" s="11">
        <f>IF(K396="FUERA","Fuera del marco",IF(K396="N/A","Sin marco",IFERROR(INDEX('Datos - Catálogo TIMSS'!$F$5:$F$107,MATCH(K396,'Datos - Catálogo TIMSS'!$A$5:$A$107,0)),"Pendiente de clasificar")))</f>
        <v/>
      </c>
      <c r="O396" s="11">
        <f>IF(L396="","",IFERROR(INDEX('Datos - Catálogo TIMSS'!$C$5:$C$107,MATCH(L396,'Datos - Catálogo TIMSS'!$A$5:$A$107,0)),"?"))</f>
        <v/>
      </c>
      <c r="P396" s="11" t="inlineStr">
        <is>
          <t>media</t>
        </is>
      </c>
      <c r="Q396" s="38" t="inlineStr">
        <is>
          <t>Concepto de población, base para estudiar su tamaño</t>
        </is>
      </c>
      <c r="R396" s="38" t="inlineStr">
        <is>
          <t>Conocer: definir</t>
        </is>
      </c>
      <c r="S396" s="39">
        <f>IFERROR(ISNUMBER(SEARCH("Conocer",$R396))/(ISNUMBER(SEARCH("Conocer",$R396))+ISNUMBER(SEARCH("Aplicar",$R396))+ISNUMBER(SEARCH("Razonar",$R396))),0)</f>
        <v/>
      </c>
      <c r="T396" s="39">
        <f>IFERROR(ISNUMBER(SEARCH("Aplicar",$R396))/(ISNUMBER(SEARCH("Conocer",$R396))+ISNUMBER(SEARCH("Aplicar",$R396))+ISNUMBER(SEARCH("Razonar",$R396))),0)</f>
        <v/>
      </c>
      <c r="U396" s="39">
        <f>IFERROR(ISNUMBER(SEARCH("Razonar",$R396))/(ISNUMBER(SEARCH("Conocer",$R396))+ISNUMBER(SEARCH("Aplicar",$R396))+ISNUMBER(SEARCH("Razonar",$R396))),0)</f>
        <v/>
      </c>
      <c r="V396" s="11" t="inlineStr">
        <is>
          <t>7°</t>
        </is>
      </c>
      <c r="W396" s="11" t="inlineStr">
        <is>
          <t>Ciclo 5°–8°</t>
        </is>
      </c>
      <c r="X396" s="11">
        <f>IF(OR(IFERROR(INDEX('Datos - Catálogo TIMSS'!$I$5:$I$107,MATCH(K396,'Datos - Catálogo TIMSS'!$A$5:$A$107,0)),"No")="Sí",IFERROR(INDEX('Datos - Catálogo TIMSS'!$I$5:$I$107,MATCH(L396,'Datos - Catálogo TIMSS'!$A$5:$A$107,0)),"No")="Sí"),1,0)</f>
        <v/>
      </c>
      <c r="Y396" s="11">
        <f>IF(IFERROR(INDEX('Datos - Catálogo TIMSS'!$J$5:$J$107,MATCH(K396,'Datos - Catálogo TIMSS'!$A$5:$A$107,0)),"No")="Sí",1,0)</f>
        <v/>
      </c>
      <c r="Z396" s="11">
        <f>IF(IFERROR(INDEX('Datos - Catálogo TIMSS'!$J$5:$J$107,MATCH(L396,'Datos - Catálogo TIMSS'!$A$5:$A$107,0)),"No")="Sí",1,0)</f>
        <v/>
      </c>
      <c r="AA396" s="11" t="inlineStr">
        <is>
          <t>T8-B5.4</t>
        </is>
      </c>
      <c r="AB396" s="11" t="inlineStr"/>
      <c r="AC396" s="11">
        <f>IF(AA396="FUERA","Fuera del marco",IF(AA396="N/A","Sin marco",IFERROR(INDEX('Datos - TIMSS 2023'!$C$5:$C$105,MATCH(AA396,'Datos - TIMSS 2023'!$A$5:$A$105,0)),"Pendiente de clasificar")))</f>
        <v/>
      </c>
      <c r="AD396" s="11" t="inlineStr">
        <is>
          <t>1. Explicar fenómenos científicamente</t>
        </is>
      </c>
      <c r="AE396" s="11">
        <f>IF(AD396="","",IF(LEFT(AD396,1)="1","C1",IF(LEFT(AD396,1)="2","C2",IF(LEFT(AD396,1)="3","C3",""))))</f>
        <v/>
      </c>
      <c r="AF396" s="11" t="inlineStr">
        <is>
          <t>E1</t>
        </is>
      </c>
      <c r="AG396" s="11" t="inlineStr">
        <is>
          <t>D1</t>
        </is>
      </c>
      <c r="AH396" s="11" t="inlineStr">
        <is>
          <t>E1</t>
        </is>
      </c>
      <c r="AI396" s="11" t="inlineStr">
        <is>
          <t>D4</t>
        </is>
      </c>
      <c r="AJ396" s="11" t="inlineStr">
        <is>
          <t>E1</t>
        </is>
      </c>
      <c r="AK396" s="11" t="inlineStr">
        <is>
          <t>PISA-V6</t>
        </is>
      </c>
      <c r="AL396" s="11" t="inlineStr">
        <is>
          <t>PISA-V5</t>
        </is>
      </c>
      <c r="AM396" s="11">
        <f>IF(AK396="FUERA","Fuera del marco",IFERROR(INDEX('Datos - Catálogo PISA'!$C$5:$C$76,MATCH(AK396,'Datos - Catálogo PISA'!$A$5:$A$76,0)),"?"))</f>
        <v/>
      </c>
      <c r="AN396" s="11" t="inlineStr">
        <is>
          <t>Contenido</t>
        </is>
      </c>
      <c r="AO396" s="11" t="n"/>
      <c r="AP396" s="11" t="n"/>
      <c r="AQ396" s="11" t="inlineStr">
        <is>
          <t>Sin contexto</t>
        </is>
      </c>
      <c r="AR396" s="11" t="n"/>
      <c r="AS396" s="11" t="inlineStr">
        <is>
          <t>Media</t>
        </is>
      </c>
      <c r="AT396" s="11" t="inlineStr">
        <is>
          <t>media</t>
        </is>
      </c>
      <c r="AU396" s="11" t="inlineStr">
        <is>
          <t>Conceptos de especie y población</t>
        </is>
      </c>
      <c r="AV396" s="11" t="inlineStr">
        <is>
          <t>Ciclo 7°–9°</t>
        </is>
      </c>
      <c r="AW396" s="11">
        <f>AF396&amp;"; "&amp;AG396&amp;"; "&amp;AH396&amp;"; "&amp;AI396&amp;"; "&amp;AJ396</f>
        <v/>
      </c>
    </row>
    <row r="397">
      <c r="A397" s="11" t="inlineStr">
        <is>
          <t>T1031-G07-CIE</t>
        </is>
      </c>
      <c r="B397" s="11" t="n">
        <v>7</v>
      </c>
      <c r="C397" s="11" t="inlineStr">
        <is>
          <t>Ciencias</t>
        </is>
      </c>
      <c r="D397" s="11" t="inlineStr">
        <is>
          <t>Matriz_Ciencias_7mo_Grado_U1_U6.xlsx</t>
        </is>
      </c>
      <c r="E397" s="11" t="inlineStr">
        <is>
          <t>Unidad 4 - Ecología</t>
        </is>
      </c>
      <c r="F397" s="11" t="n">
        <v>6</v>
      </c>
      <c r="G397" s="11" t="inlineStr">
        <is>
          <t>4. Ecología</t>
        </is>
      </c>
      <c r="H397" s="11" t="inlineStr">
        <is>
          <t>Ecología de poblaciones</t>
        </is>
      </c>
      <c r="I397" s="38" t="inlineStr">
        <is>
          <t>4.4. Experimentación con la dinámica y estructura de las poblaciones.</t>
        </is>
      </c>
      <c r="J397" s="11" t="inlineStr">
        <is>
          <t>T8_27</t>
        </is>
      </c>
      <c r="K397" s="11" t="inlineStr">
        <is>
          <t>T8_27-B5.5</t>
        </is>
      </c>
      <c r="L397" s="11" t="inlineStr">
        <is>
          <t>T8_27-B7.1</t>
        </is>
      </c>
      <c r="M397" s="11">
        <f>IF(K397="FUERA","Fuera del marco",IF(K397="N/A","Sin marco",IFERROR(INDEX('Datos - Catálogo TIMSS'!$C$5:$C$107,MATCH(K397,'Datos - Catálogo TIMSS'!$A$5:$A$107,0)),"Pendiente de clasificar")))</f>
        <v/>
      </c>
      <c r="N397" s="11">
        <f>IF(K397="FUERA","Fuera del marco",IF(K397="N/A","Sin marco",IFERROR(INDEX('Datos - Catálogo TIMSS'!$F$5:$F$107,MATCH(K397,'Datos - Catálogo TIMSS'!$A$5:$A$107,0)),"Pendiente de clasificar")))</f>
        <v/>
      </c>
      <c r="O397" s="11">
        <f>IF(L397="","",IFERROR(INDEX('Datos - Catálogo TIMSS'!$C$5:$C$107,MATCH(L397,'Datos - Catálogo TIMSS'!$A$5:$A$107,0)),"?"))</f>
        <v/>
      </c>
      <c r="P397" s="11" t="inlineStr">
        <is>
          <t>alta</t>
        </is>
      </c>
      <c r="Q397" s="38" t="inlineStr">
        <is>
          <t>Experimento de crecimiento poblacional con levaduras y gráfica</t>
        </is>
      </c>
      <c r="R397" s="38" t="inlineStr">
        <is>
          <t>Aplicar: graficar. Razonar: interpretar</t>
        </is>
      </c>
      <c r="S397" s="39">
        <f>IFERROR(ISNUMBER(SEARCH("Conocer",$R397))/(ISNUMBER(SEARCH("Conocer",$R397))+ISNUMBER(SEARCH("Aplicar",$R397))+ISNUMBER(SEARCH("Razonar",$R397))),0)</f>
        <v/>
      </c>
      <c r="T397" s="39">
        <f>IFERROR(ISNUMBER(SEARCH("Aplicar",$R397))/(ISNUMBER(SEARCH("Conocer",$R397))+ISNUMBER(SEARCH("Aplicar",$R397))+ISNUMBER(SEARCH("Razonar",$R397))),0)</f>
        <v/>
      </c>
      <c r="U397" s="39">
        <f>IFERROR(ISNUMBER(SEARCH("Razonar",$R397))/(ISNUMBER(SEARCH("Conocer",$R397))+ISNUMBER(SEARCH("Aplicar",$R397))+ISNUMBER(SEARCH("Razonar",$R397))),0)</f>
        <v/>
      </c>
      <c r="V397" s="11" t="inlineStr">
        <is>
          <t>7°</t>
        </is>
      </c>
      <c r="W397" s="11" t="inlineStr">
        <is>
          <t>Ciclo 5°–8°</t>
        </is>
      </c>
      <c r="X397" s="11">
        <f>IF(OR(IFERROR(INDEX('Datos - Catálogo TIMSS'!$I$5:$I$107,MATCH(K397,'Datos - Catálogo TIMSS'!$A$5:$A$107,0)),"No")="Sí",IFERROR(INDEX('Datos - Catálogo TIMSS'!$I$5:$I$107,MATCH(L397,'Datos - Catálogo TIMSS'!$A$5:$A$107,0)),"No")="Sí"),1,0)</f>
        <v/>
      </c>
      <c r="Y397" s="11">
        <f>IF(IFERROR(INDEX('Datos - Catálogo TIMSS'!$J$5:$J$107,MATCH(K397,'Datos - Catálogo TIMSS'!$A$5:$A$107,0)),"No")="Sí",1,0)</f>
        <v/>
      </c>
      <c r="Z397" s="11">
        <f>IF(IFERROR(INDEX('Datos - Catálogo TIMSS'!$J$5:$J$107,MATCH(L397,'Datos - Catálogo TIMSS'!$A$5:$A$107,0)),"No")="Sí",1,0)</f>
        <v/>
      </c>
      <c r="AA397" s="11" t="inlineStr">
        <is>
          <t>T8-B5.4</t>
        </is>
      </c>
      <c r="AB397" s="11" t="inlineStr"/>
      <c r="AC397" s="11">
        <f>IF(AA397="FUERA","Fuera del marco",IF(AA397="N/A","Sin marco",IFERROR(INDEX('Datos - TIMSS 2023'!$C$5:$C$105,MATCH(AA397,'Datos - TIMSS 2023'!$A$5:$A$105,0)),"Pendiente de clasificar")))</f>
        <v/>
      </c>
      <c r="AD397" s="11" t="inlineStr">
        <is>
          <t>2. Construir y evaluar diseños para la indagación científica e interpretar datos y evidencia de forma crítica</t>
        </is>
      </c>
      <c r="AE397" s="11">
        <f>IF(AD397="","",IF(LEFT(AD397,1)="1","C1",IF(LEFT(AD397,1)="2","C2",IF(LEFT(AD397,1)="3","C3",""))))</f>
        <v/>
      </c>
      <c r="AF397" s="11" t="inlineStr">
        <is>
          <t>E1</t>
        </is>
      </c>
      <c r="AG397" s="11" t="inlineStr">
        <is>
          <t>E3</t>
        </is>
      </c>
      <c r="AH397" s="11" t="inlineStr">
        <is>
          <t>E1</t>
        </is>
      </c>
      <c r="AI397" s="11" t="inlineStr">
        <is>
          <t>D4</t>
        </is>
      </c>
      <c r="AJ397" s="11" t="inlineStr">
        <is>
          <t>E3</t>
        </is>
      </c>
      <c r="AK397" s="11" t="inlineStr">
        <is>
          <t>PISA-V6</t>
        </is>
      </c>
      <c r="AL397" s="11" t="inlineStr">
        <is>
          <t>PISA-V1</t>
        </is>
      </c>
      <c r="AM397" s="11">
        <f>IF(AK397="FUERA","Fuera del marco",IFERROR(INDEX('Datos - Catálogo PISA'!$C$5:$C$76,MATCH(AK397,'Datos - Catálogo PISA'!$A$5:$A$76,0)),"?"))</f>
        <v/>
      </c>
      <c r="AN397" s="11" t="inlineStr">
        <is>
          <t>Contenido</t>
        </is>
      </c>
      <c r="AO397" s="11" t="inlineStr">
        <is>
          <t>PISA-PR5;</t>
        </is>
      </c>
      <c r="AP397" s="11" t="n"/>
      <c r="AQ397" s="11" t="inlineStr">
        <is>
          <t>Sin contexto</t>
        </is>
      </c>
      <c r="AR397" s="11" t="n"/>
      <c r="AS397" s="11" t="inlineStr">
        <is>
          <t>Media</t>
        </is>
      </c>
      <c r="AT397" s="11" t="inlineStr">
        <is>
          <t>alta</t>
        </is>
      </c>
      <c r="AU397" s="11" t="inlineStr">
        <is>
          <t>Dinámica poblacional de levaduras con gráfica de crecimiento</t>
        </is>
      </c>
      <c r="AV397" s="11" t="inlineStr">
        <is>
          <t>Ciclo 7°–9°</t>
        </is>
      </c>
      <c r="AW397" s="11">
        <f>AF397&amp;"; "&amp;AG397&amp;"; "&amp;AH397&amp;"; "&amp;AI397&amp;"; "&amp;AJ397</f>
        <v/>
      </c>
    </row>
    <row r="398">
      <c r="A398" s="11" t="inlineStr">
        <is>
          <t>T1032-G07-CIE</t>
        </is>
      </c>
      <c r="B398" s="11" t="n">
        <v>7</v>
      </c>
      <c r="C398" s="11" t="inlineStr">
        <is>
          <t>Ciencias</t>
        </is>
      </c>
      <c r="D398" s="11" t="inlineStr">
        <is>
          <t>Matriz_Ciencias_7mo_Grado_U1_U6.xlsx</t>
        </is>
      </c>
      <c r="E398" s="11" t="inlineStr">
        <is>
          <t>Unidad 4 - Ecología</t>
        </is>
      </c>
      <c r="F398" s="11" t="n">
        <v>7</v>
      </c>
      <c r="G398" s="11" t="inlineStr">
        <is>
          <t>4. Ecología</t>
        </is>
      </c>
      <c r="H398" s="11" t="inlineStr">
        <is>
          <t>Comunidades biológicas</t>
        </is>
      </c>
      <c r="I398" s="38" t="inlineStr">
        <is>
          <t>4.5. Identificación de las características y componentes de las comunidades biológicas.</t>
        </is>
      </c>
      <c r="J398" s="11" t="inlineStr">
        <is>
          <t>T8_27</t>
        </is>
      </c>
      <c r="K398" s="11" t="inlineStr">
        <is>
          <t>T8_27-B5.4</t>
        </is>
      </c>
      <c r="L398" s="11" t="inlineStr"/>
      <c r="M398" s="11">
        <f>IF(K398="FUERA","Fuera del marco",IF(K398="N/A","Sin marco",IFERROR(INDEX('Datos - Catálogo TIMSS'!$C$5:$C$107,MATCH(K398,'Datos - Catálogo TIMSS'!$A$5:$A$107,0)),"Pendiente de clasificar")))</f>
        <v/>
      </c>
      <c r="N398" s="11">
        <f>IF(K398="FUERA","Fuera del marco",IF(K398="N/A","Sin marco",IFERROR(INDEX('Datos - Catálogo TIMSS'!$F$5:$F$107,MATCH(K398,'Datos - Catálogo TIMSS'!$A$5:$A$107,0)),"Pendiente de clasificar")))</f>
        <v/>
      </c>
      <c r="O398" s="11">
        <f>IF(L398="","",IFERROR(INDEX('Datos - Catálogo TIMSS'!$C$5:$C$107,MATCH(L398,'Datos - Catálogo TIMSS'!$A$5:$A$107,0)),"?"))</f>
        <v/>
      </c>
      <c r="P398" s="11" t="inlineStr">
        <is>
          <t>media</t>
        </is>
      </c>
      <c r="Q398" s="38" t="inlineStr">
        <is>
          <t>Componentes de la comunidad: productores, consumidores, descomponedores</t>
        </is>
      </c>
      <c r="R398" s="38" t="inlineStr">
        <is>
          <t>Conocer: identificar</t>
        </is>
      </c>
      <c r="S398" s="39">
        <f>IFERROR(ISNUMBER(SEARCH("Conocer",$R398))/(ISNUMBER(SEARCH("Conocer",$R398))+ISNUMBER(SEARCH("Aplicar",$R398))+ISNUMBER(SEARCH("Razonar",$R398))),0)</f>
        <v/>
      </c>
      <c r="T398" s="39">
        <f>IFERROR(ISNUMBER(SEARCH("Aplicar",$R398))/(ISNUMBER(SEARCH("Conocer",$R398))+ISNUMBER(SEARCH("Aplicar",$R398))+ISNUMBER(SEARCH("Razonar",$R398))),0)</f>
        <v/>
      </c>
      <c r="U398" s="39">
        <f>IFERROR(ISNUMBER(SEARCH("Razonar",$R398))/(ISNUMBER(SEARCH("Conocer",$R398))+ISNUMBER(SEARCH("Aplicar",$R398))+ISNUMBER(SEARCH("Razonar",$R398))),0)</f>
        <v/>
      </c>
      <c r="V398" s="11" t="inlineStr">
        <is>
          <t>7°</t>
        </is>
      </c>
      <c r="W398" s="11" t="inlineStr">
        <is>
          <t>Ciclo 5°–8°</t>
        </is>
      </c>
      <c r="X398" s="11">
        <f>IF(OR(IFERROR(INDEX('Datos - Catálogo TIMSS'!$I$5:$I$107,MATCH(K398,'Datos - Catálogo TIMSS'!$A$5:$A$107,0)),"No")="Sí",IFERROR(INDEX('Datos - Catálogo TIMSS'!$I$5:$I$107,MATCH(L398,'Datos - Catálogo TIMSS'!$A$5:$A$107,0)),"No")="Sí"),1,0)</f>
        <v/>
      </c>
      <c r="Y398" s="11">
        <f>IF(IFERROR(INDEX('Datos - Catálogo TIMSS'!$J$5:$J$107,MATCH(K398,'Datos - Catálogo TIMSS'!$A$5:$A$107,0)),"No")="Sí",1,0)</f>
        <v/>
      </c>
      <c r="Z398" s="11">
        <f>IF(IFERROR(INDEX('Datos - Catálogo TIMSS'!$J$5:$J$107,MATCH(L398,'Datos - Catálogo TIMSS'!$A$5:$A$107,0)),"No")="Sí",1,0)</f>
        <v/>
      </c>
      <c r="AA398" s="11" t="inlineStr">
        <is>
          <t>T8-B5.3</t>
        </is>
      </c>
      <c r="AB398" s="11" t="inlineStr">
        <is>
          <t>T8-B5.1</t>
        </is>
      </c>
      <c r="AC398" s="11">
        <f>IF(AA398="FUERA","Fuera del marco",IF(AA398="N/A","Sin marco",IFERROR(INDEX('Datos - TIMSS 2023'!$C$5:$C$105,MATCH(AA398,'Datos - TIMSS 2023'!$A$5:$A$105,0)),"Pendiente de clasificar")))</f>
        <v/>
      </c>
      <c r="AD398" s="11" t="inlineStr">
        <is>
          <t>1. Explicar fenómenos científicamente</t>
        </is>
      </c>
      <c r="AE398" s="11">
        <f>IF(AD398="","",IF(LEFT(AD398,1)="1","C1",IF(LEFT(AD398,1)="2","C2",IF(LEFT(AD398,1)="3","C3",""))))</f>
        <v/>
      </c>
      <c r="AF398" s="11" t="inlineStr">
        <is>
          <t>E1</t>
        </is>
      </c>
      <c r="AG398" s="11" t="inlineStr">
        <is>
          <t>D1</t>
        </is>
      </c>
      <c r="AH398" s="11" t="inlineStr">
        <is>
          <t>E1</t>
        </is>
      </c>
      <c r="AI398" s="11" t="inlineStr">
        <is>
          <t>D4</t>
        </is>
      </c>
      <c r="AJ398" s="11" t="inlineStr">
        <is>
          <t>E1</t>
        </is>
      </c>
      <c r="AK398" s="11" t="inlineStr">
        <is>
          <t>PISA-V6</t>
        </is>
      </c>
      <c r="AL398" s="11" t="n"/>
      <c r="AM398" s="11">
        <f>IF(AK398="FUERA","Fuera del marco",IFERROR(INDEX('Datos - Catálogo PISA'!$C$5:$C$76,MATCH(AK398,'Datos - Catálogo PISA'!$A$5:$A$76,0)),"?"))</f>
        <v/>
      </c>
      <c r="AN398" s="11" t="inlineStr">
        <is>
          <t>Contenido</t>
        </is>
      </c>
      <c r="AO398" s="11" t="n"/>
      <c r="AP398" s="11" t="n"/>
      <c r="AQ398" s="11" t="inlineStr">
        <is>
          <t>Local/nacional</t>
        </is>
      </c>
      <c r="AR398" s="11" t="inlineStr">
        <is>
          <t>Recursos naturales</t>
        </is>
      </c>
      <c r="AS398" s="11" t="inlineStr">
        <is>
          <t>Baja</t>
        </is>
      </c>
      <c r="AT398" s="11" t="inlineStr">
        <is>
          <t>alta</t>
        </is>
      </c>
      <c r="AU398" s="11" t="inlineStr">
        <is>
          <t>Componentes de una comunidad biológica local</t>
        </is>
      </c>
      <c r="AV398" s="11" t="inlineStr">
        <is>
          <t>Ciclo 7°–9°</t>
        </is>
      </c>
      <c r="AW398" s="11">
        <f>AF398&amp;"; "&amp;AG398&amp;"; "&amp;AH398&amp;"; "&amp;AI398&amp;"; "&amp;AJ398</f>
        <v/>
      </c>
    </row>
    <row r="399">
      <c r="A399" s="11" t="inlineStr">
        <is>
          <t>T1033-G07-CIE</t>
        </is>
      </c>
      <c r="B399" s="11" t="n">
        <v>7</v>
      </c>
      <c r="C399" s="11" t="inlineStr">
        <is>
          <t>Ciencias</t>
        </is>
      </c>
      <c r="D399" s="11" t="inlineStr">
        <is>
          <t>Matriz_Ciencias_7mo_Grado_U1_U6.xlsx</t>
        </is>
      </c>
      <c r="E399" s="11" t="inlineStr">
        <is>
          <t>Unidad 4 - Ecología</t>
        </is>
      </c>
      <c r="F399" s="11" t="n">
        <v>8</v>
      </c>
      <c r="G399" s="11" t="inlineStr">
        <is>
          <t>4. Ecología</t>
        </is>
      </c>
      <c r="H399" s="11" t="inlineStr">
        <is>
          <t>Comunidades biológicas</t>
        </is>
      </c>
      <c r="I399" s="38" t="inlineStr">
        <is>
          <t>4.6. Aplicación de técnicas de muestreo de comunidades biológicas.</t>
        </is>
      </c>
      <c r="J399" s="11" t="inlineStr">
        <is>
          <t>T8_27</t>
        </is>
      </c>
      <c r="K399" s="11" t="inlineStr">
        <is>
          <t>T8_27-B7.1</t>
        </is>
      </c>
      <c r="L399" s="11" t="inlineStr">
        <is>
          <t>T8_27-B5.1</t>
        </is>
      </c>
      <c r="M399" s="11">
        <f>IF(K399="FUERA","Fuera del marco",IF(K399="N/A","Sin marco",IFERROR(INDEX('Datos - Catálogo TIMSS'!$C$5:$C$107,MATCH(K399,'Datos - Catálogo TIMSS'!$A$5:$A$107,0)),"Pendiente de clasificar")))</f>
        <v/>
      </c>
      <c r="N399" s="11">
        <f>IF(K399="FUERA","Fuera del marco",IF(K399="N/A","Sin marco",IFERROR(INDEX('Datos - Catálogo TIMSS'!$F$5:$F$107,MATCH(K399,'Datos - Catálogo TIMSS'!$A$5:$A$107,0)),"Pendiente de clasificar")))</f>
        <v/>
      </c>
      <c r="O399" s="11">
        <f>IF(L399="","",IFERROR(INDEX('Datos - Catálogo TIMSS'!$C$5:$C$107,MATCH(L399,'Datos - Catálogo TIMSS'!$A$5:$A$107,0)),"?"))</f>
        <v/>
      </c>
      <c r="P399" s="11" t="inlineStr">
        <is>
          <t>media</t>
        </is>
      </c>
      <c r="Q399" s="38" t="inlineStr">
        <is>
          <t>Foco en técnicas de muestreo biológico y registro de datos</t>
        </is>
      </c>
      <c r="R399" s="38" t="inlineStr">
        <is>
          <t>Aplicar: técnicas de muestreo. Razonar: evaluar</t>
        </is>
      </c>
      <c r="S399" s="39">
        <f>IFERROR(ISNUMBER(SEARCH("Conocer",$R399))/(ISNUMBER(SEARCH("Conocer",$R399))+ISNUMBER(SEARCH("Aplicar",$R399))+ISNUMBER(SEARCH("Razonar",$R399))),0)</f>
        <v/>
      </c>
      <c r="T399" s="39">
        <f>IFERROR(ISNUMBER(SEARCH("Aplicar",$R399))/(ISNUMBER(SEARCH("Conocer",$R399))+ISNUMBER(SEARCH("Aplicar",$R399))+ISNUMBER(SEARCH("Razonar",$R399))),0)</f>
        <v/>
      </c>
      <c r="U399" s="39">
        <f>IFERROR(ISNUMBER(SEARCH("Razonar",$R399))/(ISNUMBER(SEARCH("Conocer",$R399))+ISNUMBER(SEARCH("Aplicar",$R399))+ISNUMBER(SEARCH("Razonar",$R399))),0)</f>
        <v/>
      </c>
      <c r="V399" s="11" t="inlineStr">
        <is>
          <t>7°</t>
        </is>
      </c>
      <c r="W399" s="11" t="inlineStr">
        <is>
          <t>Ciclo 5°–8°</t>
        </is>
      </c>
      <c r="X399" s="11">
        <f>IF(OR(IFERROR(INDEX('Datos - Catálogo TIMSS'!$I$5:$I$107,MATCH(K399,'Datos - Catálogo TIMSS'!$A$5:$A$107,0)),"No")="Sí",IFERROR(INDEX('Datos - Catálogo TIMSS'!$I$5:$I$107,MATCH(L399,'Datos - Catálogo TIMSS'!$A$5:$A$107,0)),"No")="Sí"),1,0)</f>
        <v/>
      </c>
      <c r="Y399" s="11">
        <f>IF(IFERROR(INDEX('Datos - Catálogo TIMSS'!$J$5:$J$107,MATCH(K399,'Datos - Catálogo TIMSS'!$A$5:$A$107,0)),"No")="Sí",1,0)</f>
        <v/>
      </c>
      <c r="Z399" s="11">
        <f>IF(IFERROR(INDEX('Datos - Catálogo TIMSS'!$J$5:$J$107,MATCH(L399,'Datos - Catálogo TIMSS'!$A$5:$A$107,0)),"No")="Sí",1,0)</f>
        <v/>
      </c>
      <c r="AA399" s="11" t="inlineStr">
        <is>
          <t>T8-B5.4</t>
        </is>
      </c>
      <c r="AB399" s="11" t="inlineStr"/>
      <c r="AC399" s="11">
        <f>IF(AA399="FUERA","Fuera del marco",IF(AA399="N/A","Sin marco",IFERROR(INDEX('Datos - TIMSS 2023'!$C$5:$C$105,MATCH(AA399,'Datos - TIMSS 2023'!$A$5:$A$105,0)),"Pendiente de clasificar")))</f>
        <v/>
      </c>
      <c r="AD399" s="11" t="inlineStr">
        <is>
          <t>2. Construir y evaluar diseños para la indagación científica e interpretar datos y evidencia de forma crítica</t>
        </is>
      </c>
      <c r="AE399" s="11">
        <f>IF(AD399="","",IF(LEFT(AD399,1)="1","C1",IF(LEFT(AD399,1)="2","C2",IF(LEFT(AD399,1)="3","C3",""))))</f>
        <v/>
      </c>
      <c r="AF399" s="11" t="inlineStr">
        <is>
          <t>E1</t>
        </is>
      </c>
      <c r="AG399" s="11" t="inlineStr">
        <is>
          <t>D1</t>
        </is>
      </c>
      <c r="AH399" s="11" t="inlineStr">
        <is>
          <t>E1</t>
        </is>
      </c>
      <c r="AI399" s="11" t="inlineStr">
        <is>
          <t>D2</t>
        </is>
      </c>
      <c r="AJ399" s="11" t="inlineStr">
        <is>
          <t>D3</t>
        </is>
      </c>
      <c r="AK399" s="11" t="inlineStr">
        <is>
          <t>PISA-V6</t>
        </is>
      </c>
      <c r="AL399" s="11" t="n"/>
      <c r="AM399" s="11">
        <f>IF(AK399="FUERA","Fuera del marco",IFERROR(INDEX('Datos - Catálogo PISA'!$C$5:$C$76,MATCH(AK399,'Datos - Catálogo PISA'!$A$5:$A$76,0)),"?"))</f>
        <v/>
      </c>
      <c r="AN399" s="11" t="inlineStr">
        <is>
          <t>Procedimental</t>
        </is>
      </c>
      <c r="AO399" s="11" t="inlineStr">
        <is>
          <t>PISA-PR2; PISA-PR7;</t>
        </is>
      </c>
      <c r="AP399" s="11" t="n"/>
      <c r="AQ399" s="11" t="inlineStr">
        <is>
          <t>Local/nacional</t>
        </is>
      </c>
      <c r="AR399" s="11" t="inlineStr">
        <is>
          <t>Recursos naturales</t>
        </is>
      </c>
      <c r="AS399" s="11" t="inlineStr">
        <is>
          <t>Media</t>
        </is>
      </c>
      <c r="AT399" s="11" t="inlineStr">
        <is>
          <t>media</t>
        </is>
      </c>
      <c r="AU399" s="11" t="inlineStr">
        <is>
          <t>Técnicas de muestreo de comunidades biológicas</t>
        </is>
      </c>
      <c r="AV399" s="11" t="inlineStr">
        <is>
          <t>Ciclo 7°–9°</t>
        </is>
      </c>
      <c r="AW399" s="11">
        <f>AF399&amp;"; "&amp;AG399&amp;"; "&amp;AH399&amp;"; "&amp;AI399&amp;"; "&amp;AJ399</f>
        <v/>
      </c>
    </row>
    <row r="400">
      <c r="A400" s="11" t="inlineStr">
        <is>
          <t>T1034-G07-CIE</t>
        </is>
      </c>
      <c r="B400" s="11" t="n">
        <v>7</v>
      </c>
      <c r="C400" s="11" t="inlineStr">
        <is>
          <t>Ciencias</t>
        </is>
      </c>
      <c r="D400" s="11" t="inlineStr">
        <is>
          <t>Matriz_Ciencias_7mo_Grado_U1_U6.xlsx</t>
        </is>
      </c>
      <c r="E400" s="11" t="inlineStr">
        <is>
          <t>Unidad 4 - Ecología</t>
        </is>
      </c>
      <c r="F400" s="11" t="n">
        <v>9</v>
      </c>
      <c r="G400" s="11" t="inlineStr">
        <is>
          <t>4. Ecología</t>
        </is>
      </c>
      <c r="H400" s="11" t="inlineStr">
        <is>
          <t>Comunidades biológicas</t>
        </is>
      </c>
      <c r="I400" s="38" t="inlineStr">
        <is>
          <t>4.7. Comparación de abundancia y riqueza de especies entre comunidades biológicas.</t>
        </is>
      </c>
      <c r="J400" s="11" t="inlineStr">
        <is>
          <t>T8_27</t>
        </is>
      </c>
      <c r="K400" s="11" t="inlineStr">
        <is>
          <t>T8_27-B5.1</t>
        </is>
      </c>
      <c r="L400" s="11" t="inlineStr"/>
      <c r="M400" s="11">
        <f>IF(K400="FUERA","Fuera del marco",IF(K400="N/A","Sin marco",IFERROR(INDEX('Datos - Catálogo TIMSS'!$C$5:$C$107,MATCH(K400,'Datos - Catálogo TIMSS'!$A$5:$A$107,0)),"Pendiente de clasificar")))</f>
        <v/>
      </c>
      <c r="N400" s="11">
        <f>IF(K400="FUERA","Fuera del marco",IF(K400="N/A","Sin marco",IFERROR(INDEX('Datos - Catálogo TIMSS'!$F$5:$F$107,MATCH(K400,'Datos - Catálogo TIMSS'!$A$5:$A$107,0)),"Pendiente de clasificar")))</f>
        <v/>
      </c>
      <c r="O400" s="11">
        <f>IF(L400="","",IFERROR(INDEX('Datos - Catálogo TIMSS'!$C$5:$C$107,MATCH(L400,'Datos - Catálogo TIMSS'!$A$5:$A$107,0)),"?"))</f>
        <v/>
      </c>
      <c r="P400" s="11" t="inlineStr">
        <is>
          <t>media</t>
        </is>
      </c>
      <c r="Q400" s="38" t="inlineStr">
        <is>
          <t>Compara comunidades por sus organismos, riqueza y abundancia</t>
        </is>
      </c>
      <c r="R400" s="38" t="inlineStr">
        <is>
          <t>Razonar: comparar e interpretar</t>
        </is>
      </c>
      <c r="S400" s="39">
        <f>IFERROR(ISNUMBER(SEARCH("Conocer",$R400))/(ISNUMBER(SEARCH("Conocer",$R400))+ISNUMBER(SEARCH("Aplicar",$R400))+ISNUMBER(SEARCH("Razonar",$R400))),0)</f>
        <v/>
      </c>
      <c r="T400" s="39">
        <f>IFERROR(ISNUMBER(SEARCH("Aplicar",$R400))/(ISNUMBER(SEARCH("Conocer",$R400))+ISNUMBER(SEARCH("Aplicar",$R400))+ISNUMBER(SEARCH("Razonar",$R400))),0)</f>
        <v/>
      </c>
      <c r="U400" s="39">
        <f>IFERROR(ISNUMBER(SEARCH("Razonar",$R400))/(ISNUMBER(SEARCH("Conocer",$R400))+ISNUMBER(SEARCH("Aplicar",$R400))+ISNUMBER(SEARCH("Razonar",$R400))),0)</f>
        <v/>
      </c>
      <c r="V400" s="11" t="inlineStr">
        <is>
          <t>7°</t>
        </is>
      </c>
      <c r="W400" s="11" t="inlineStr">
        <is>
          <t>Ciclo 5°–8°</t>
        </is>
      </c>
      <c r="X400" s="11">
        <f>IF(OR(IFERROR(INDEX('Datos - Catálogo TIMSS'!$I$5:$I$107,MATCH(K400,'Datos - Catálogo TIMSS'!$A$5:$A$107,0)),"No")="Sí",IFERROR(INDEX('Datos - Catálogo TIMSS'!$I$5:$I$107,MATCH(L400,'Datos - Catálogo TIMSS'!$A$5:$A$107,0)),"No")="Sí"),1,0)</f>
        <v/>
      </c>
      <c r="Y400" s="11">
        <f>IF(IFERROR(INDEX('Datos - Catálogo TIMSS'!$J$5:$J$107,MATCH(K400,'Datos - Catálogo TIMSS'!$A$5:$A$107,0)),"No")="Sí",1,0)</f>
        <v/>
      </c>
      <c r="Z400" s="11">
        <f>IF(IFERROR(INDEX('Datos - Catálogo TIMSS'!$J$5:$J$107,MATCH(L400,'Datos - Catálogo TIMSS'!$A$5:$A$107,0)),"No")="Sí",1,0)</f>
        <v/>
      </c>
      <c r="AA400" s="11" t="inlineStr">
        <is>
          <t>T8-B5.4</t>
        </is>
      </c>
      <c r="AB400" s="11" t="inlineStr"/>
      <c r="AC400" s="11">
        <f>IF(AA400="FUERA","Fuera del marco",IF(AA400="N/A","Sin marco",IFERROR(INDEX('Datos - TIMSS 2023'!$C$5:$C$105,MATCH(AA400,'Datos - TIMSS 2023'!$A$5:$A$105,0)),"Pendiente de clasificar")))</f>
        <v/>
      </c>
      <c r="AD400" s="11" t="inlineStr">
        <is>
          <t>2. Construir y evaluar diseños para la indagación científica e interpretar datos y evidencia de forma crítica</t>
        </is>
      </c>
      <c r="AE400" s="11">
        <f>IF(AD400="","",IF(LEFT(AD400,1)="1","C1",IF(LEFT(AD400,1)="2","C2",IF(LEFT(AD400,1)="3","C3",""))))</f>
        <v/>
      </c>
      <c r="AF400" s="11" t="inlineStr">
        <is>
          <t>E1</t>
        </is>
      </c>
      <c r="AG400" s="11" t="inlineStr">
        <is>
          <t>D1</t>
        </is>
      </c>
      <c r="AH400" s="11" t="inlineStr">
        <is>
          <t>E1</t>
        </is>
      </c>
      <c r="AI400" s="11" t="inlineStr">
        <is>
          <t>D4</t>
        </is>
      </c>
      <c r="AJ400" s="11" t="inlineStr">
        <is>
          <t>I3</t>
        </is>
      </c>
      <c r="AK400" s="11" t="inlineStr">
        <is>
          <t>PISA-V6</t>
        </is>
      </c>
      <c r="AL400" s="11" t="inlineStr">
        <is>
          <t>PISA-V5</t>
        </is>
      </c>
      <c r="AM400" s="11">
        <f>IF(AK400="FUERA","Fuera del marco",IFERROR(INDEX('Datos - Catálogo PISA'!$C$5:$C$76,MATCH(AK400,'Datos - Catálogo PISA'!$A$5:$A$76,0)),"?"))</f>
        <v/>
      </c>
      <c r="AN400" s="11" t="inlineStr">
        <is>
          <t>Contenido</t>
        </is>
      </c>
      <c r="AO400" s="11" t="inlineStr">
        <is>
          <t>PISA-PR5;</t>
        </is>
      </c>
      <c r="AP400" s="11" t="n"/>
      <c r="AQ400" s="11" t="inlineStr">
        <is>
          <t>Local/nacional</t>
        </is>
      </c>
      <c r="AR400" s="11" t="inlineStr">
        <is>
          <t>Recursos naturales</t>
        </is>
      </c>
      <c r="AS400" s="11" t="inlineStr">
        <is>
          <t>Media</t>
        </is>
      </c>
      <c r="AT400" s="11" t="inlineStr">
        <is>
          <t>alta</t>
        </is>
      </c>
      <c r="AU400" s="11" t="inlineStr">
        <is>
          <t>Compara riqueza y abundancia entre comunidades</t>
        </is>
      </c>
      <c r="AV400" s="11" t="inlineStr">
        <is>
          <t>Ciclo 7°–9°</t>
        </is>
      </c>
      <c r="AW400" s="11">
        <f>AF400&amp;"; "&amp;AG400&amp;"; "&amp;AH400&amp;"; "&amp;AI400&amp;"; "&amp;AJ400</f>
        <v/>
      </c>
    </row>
    <row r="401">
      <c r="A401" s="11" t="inlineStr">
        <is>
          <t>T1035-G07-CIE</t>
        </is>
      </c>
      <c r="B401" s="11" t="n">
        <v>7</v>
      </c>
      <c r="C401" s="11" t="inlineStr">
        <is>
          <t>Ciencias</t>
        </is>
      </c>
      <c r="D401" s="11" t="inlineStr">
        <is>
          <t>Matriz_Ciencias_7mo_Grado_U1_U6.xlsx</t>
        </is>
      </c>
      <c r="E401" s="11" t="inlineStr">
        <is>
          <t>Unidad 4 - Ecología</t>
        </is>
      </c>
      <c r="F401" s="11" t="n">
        <v>10</v>
      </c>
      <c r="G401" s="11" t="inlineStr">
        <is>
          <t>4. Ecología</t>
        </is>
      </c>
      <c r="H401" s="11" t="inlineStr">
        <is>
          <t>Ecosistemas</t>
        </is>
      </c>
      <c r="I401" s="38" t="inlineStr">
        <is>
          <t>4.8. Reconocimiento de la estructura general y las funciones principales de los ecosistemas.</t>
        </is>
      </c>
      <c r="J401" s="11" t="inlineStr">
        <is>
          <t>T8_27</t>
        </is>
      </c>
      <c r="K401" s="11" t="inlineStr">
        <is>
          <t>T8_27-B5.2</t>
        </is>
      </c>
      <c r="L401" s="11" t="inlineStr">
        <is>
          <t>T8_27-B5.3</t>
        </is>
      </c>
      <c r="M401" s="11">
        <f>IF(K401="FUERA","Fuera del marco",IF(K401="N/A","Sin marco",IFERROR(INDEX('Datos - Catálogo TIMSS'!$C$5:$C$107,MATCH(K401,'Datos - Catálogo TIMSS'!$A$5:$A$107,0)),"Pendiente de clasificar")))</f>
        <v/>
      </c>
      <c r="N401" s="11">
        <f>IF(K401="FUERA","Fuera del marco",IF(K401="N/A","Sin marco",IFERROR(INDEX('Datos - Catálogo TIMSS'!$F$5:$F$107,MATCH(K401,'Datos - Catálogo TIMSS'!$A$5:$A$107,0)),"Pendiente de clasificar")))</f>
        <v/>
      </c>
      <c r="O401" s="11">
        <f>IF(L401="","",IFERROR(INDEX('Datos - Catálogo TIMSS'!$C$5:$C$107,MATCH(L401,'Datos - Catálogo TIMSS'!$A$5:$A$107,0)),"?"))</f>
        <v/>
      </c>
      <c r="P401" s="11" t="inlineStr">
        <is>
          <t>media</t>
        </is>
      </c>
      <c r="Q401" s="38" t="inlineStr">
        <is>
          <t>Funciones del ecosistema: flujo de energía y ciclos de materia</t>
        </is>
      </c>
      <c r="R401" s="38" t="inlineStr">
        <is>
          <t>Conocer: reconocer</t>
        </is>
      </c>
      <c r="S401" s="39">
        <f>IFERROR(ISNUMBER(SEARCH("Conocer",$R401))/(ISNUMBER(SEARCH("Conocer",$R401))+ISNUMBER(SEARCH("Aplicar",$R401))+ISNUMBER(SEARCH("Razonar",$R401))),0)</f>
        <v/>
      </c>
      <c r="T401" s="39">
        <f>IFERROR(ISNUMBER(SEARCH("Aplicar",$R401))/(ISNUMBER(SEARCH("Conocer",$R401))+ISNUMBER(SEARCH("Aplicar",$R401))+ISNUMBER(SEARCH("Razonar",$R401))),0)</f>
        <v/>
      </c>
      <c r="U401" s="39">
        <f>IFERROR(ISNUMBER(SEARCH("Razonar",$R401))/(ISNUMBER(SEARCH("Conocer",$R401))+ISNUMBER(SEARCH("Aplicar",$R401))+ISNUMBER(SEARCH("Razonar",$R401))),0)</f>
        <v/>
      </c>
      <c r="V401" s="11" t="inlineStr">
        <is>
          <t>7°</t>
        </is>
      </c>
      <c r="W401" s="11" t="inlineStr">
        <is>
          <t>Ciclo 5°–8°</t>
        </is>
      </c>
      <c r="X401" s="11">
        <f>IF(OR(IFERROR(INDEX('Datos - Catálogo TIMSS'!$I$5:$I$107,MATCH(K401,'Datos - Catálogo TIMSS'!$A$5:$A$107,0)),"No")="Sí",IFERROR(INDEX('Datos - Catálogo TIMSS'!$I$5:$I$107,MATCH(L401,'Datos - Catálogo TIMSS'!$A$5:$A$107,0)),"No")="Sí"),1,0)</f>
        <v/>
      </c>
      <c r="Y401" s="11">
        <f>IF(IFERROR(INDEX('Datos - Catálogo TIMSS'!$J$5:$J$107,MATCH(K401,'Datos - Catálogo TIMSS'!$A$5:$A$107,0)),"No")="Sí",1,0)</f>
        <v/>
      </c>
      <c r="Z401" s="11">
        <f>IF(IFERROR(INDEX('Datos - Catálogo TIMSS'!$J$5:$J$107,MATCH(L401,'Datos - Catálogo TIMSS'!$A$5:$A$107,0)),"No")="Sí",1,0)</f>
        <v/>
      </c>
      <c r="AA401" s="11" t="inlineStr">
        <is>
          <t>T8-B5.1</t>
        </is>
      </c>
      <c r="AB401" s="11" t="inlineStr">
        <is>
          <t>T8-B5.2</t>
        </is>
      </c>
      <c r="AC401" s="11">
        <f>IF(AA401="FUERA","Fuera del marco",IF(AA401="N/A","Sin marco",IFERROR(INDEX('Datos - TIMSS 2023'!$C$5:$C$105,MATCH(AA401,'Datos - TIMSS 2023'!$A$5:$A$105,0)),"Pendiente de clasificar")))</f>
        <v/>
      </c>
      <c r="AD401" s="11" t="inlineStr">
        <is>
          <t>1. Explicar fenómenos científicamente</t>
        </is>
      </c>
      <c r="AE401" s="11">
        <f>IF(AD401="","",IF(LEFT(AD401,1)="1","C1",IF(LEFT(AD401,1)="2","C2",IF(LEFT(AD401,1)="3","C3",""))))</f>
        <v/>
      </c>
      <c r="AF401" s="11" t="inlineStr">
        <is>
          <t>E1</t>
        </is>
      </c>
      <c r="AG401" s="11" t="inlineStr">
        <is>
          <t>D1</t>
        </is>
      </c>
      <c r="AH401" s="11" t="inlineStr">
        <is>
          <t>E1</t>
        </is>
      </c>
      <c r="AI401" s="11" t="inlineStr">
        <is>
          <t>D4</t>
        </is>
      </c>
      <c r="AJ401" s="11" t="inlineStr">
        <is>
          <t>E6</t>
        </is>
      </c>
      <c r="AK401" s="11" t="inlineStr">
        <is>
          <t>PISA-V6</t>
        </is>
      </c>
      <c r="AL401" s="11" t="n"/>
      <c r="AM401" s="11">
        <f>IF(AK401="FUERA","Fuera del marco",IFERROR(INDEX('Datos - Catálogo PISA'!$C$5:$C$76,MATCH(AK401,'Datos - Catálogo PISA'!$A$5:$A$76,0)),"?"))</f>
        <v/>
      </c>
      <c r="AN401" s="11" t="inlineStr">
        <is>
          <t>Contenido</t>
        </is>
      </c>
      <c r="AO401" s="11" t="n"/>
      <c r="AP401" s="11" t="n"/>
      <c r="AQ401" s="11" t="inlineStr">
        <is>
          <t>Sin contexto</t>
        </is>
      </c>
      <c r="AR401" s="11" t="n"/>
      <c r="AS401" s="11" t="inlineStr">
        <is>
          <t>Baja</t>
        </is>
      </c>
      <c r="AT401" s="11" t="inlineStr">
        <is>
          <t>alta</t>
        </is>
      </c>
      <c r="AU401" s="11" t="inlineStr">
        <is>
          <t>Estructura y funciones de los ecosistemas</t>
        </is>
      </c>
      <c r="AV401" s="11" t="inlineStr">
        <is>
          <t>Ciclo 7°–9°</t>
        </is>
      </c>
      <c r="AW401" s="11">
        <f>AF401&amp;"; "&amp;AG401&amp;"; "&amp;AH401&amp;"; "&amp;AI401&amp;"; "&amp;AJ401</f>
        <v/>
      </c>
    </row>
    <row r="402">
      <c r="A402" s="11" t="inlineStr">
        <is>
          <t>T1036-G07-CIE</t>
        </is>
      </c>
      <c r="B402" s="11" t="n">
        <v>7</v>
      </c>
      <c r="C402" s="11" t="inlineStr">
        <is>
          <t>Ciencias</t>
        </is>
      </c>
      <c r="D402" s="11" t="inlineStr">
        <is>
          <t>Matriz_Ciencias_7mo_Grado_U1_U6.xlsx</t>
        </is>
      </c>
      <c r="E402" s="11" t="inlineStr">
        <is>
          <t>Unidad 4 - Ecología</t>
        </is>
      </c>
      <c r="F402" s="11" t="n">
        <v>11</v>
      </c>
      <c r="G402" s="11" t="inlineStr">
        <is>
          <t>4. Ecología</t>
        </is>
      </c>
      <c r="H402" s="11" t="inlineStr">
        <is>
          <t>Ecosistemas</t>
        </is>
      </c>
      <c r="I402" s="38" t="inlineStr">
        <is>
          <t>4.9. Identificación de contribuciones de la naturaleza a la gente (NCP) a partir de ejemplos del entorno.</t>
        </is>
      </c>
      <c r="J402" s="11" t="inlineStr">
        <is>
          <t>T8_27</t>
        </is>
      </c>
      <c r="K402" s="11" t="inlineStr">
        <is>
          <t>T8_27-E3.2</t>
        </is>
      </c>
      <c r="L402" s="11" t="inlineStr"/>
      <c r="M402" s="11">
        <f>IF(K402="FUERA","Fuera del marco",IF(K402="N/A","Sin marco",IFERROR(INDEX('Datos - Catálogo TIMSS'!$C$5:$C$107,MATCH(K402,'Datos - Catálogo TIMSS'!$A$5:$A$107,0)),"Pendiente de clasificar")))</f>
        <v/>
      </c>
      <c r="N402" s="11">
        <f>IF(K402="FUERA","Fuera del marco",IF(K402="N/A","Sin marco",IFERROR(INDEX('Datos - Catálogo TIMSS'!$F$5:$F$107,MATCH(K402,'Datos - Catálogo TIMSS'!$A$5:$A$107,0)),"Pendiente de clasificar")))</f>
        <v/>
      </c>
      <c r="O402" s="11">
        <f>IF(L402="","",IFERROR(INDEX('Datos - Catálogo TIMSS'!$C$5:$C$107,MATCH(L402,'Datos - Catálogo TIMSS'!$A$5:$A$107,0)),"?"))</f>
        <v/>
      </c>
      <c r="P402" s="11" t="inlineStr">
        <is>
          <t>media</t>
        </is>
      </c>
      <c r="Q402" s="38" t="inlineStr">
        <is>
          <t>Contribuciones de la naturaleza como recursos y su conservación</t>
        </is>
      </c>
      <c r="R402" s="38" t="inlineStr">
        <is>
          <t>Razonar: justificar</t>
        </is>
      </c>
      <c r="S402" s="39">
        <f>IFERROR(ISNUMBER(SEARCH("Conocer",$R402))/(ISNUMBER(SEARCH("Conocer",$R402))+ISNUMBER(SEARCH("Aplicar",$R402))+ISNUMBER(SEARCH("Razonar",$R402))),0)</f>
        <v/>
      </c>
      <c r="T402" s="39">
        <f>IFERROR(ISNUMBER(SEARCH("Aplicar",$R402))/(ISNUMBER(SEARCH("Conocer",$R402))+ISNUMBER(SEARCH("Aplicar",$R402))+ISNUMBER(SEARCH("Razonar",$R402))),0)</f>
        <v/>
      </c>
      <c r="U402" s="39">
        <f>IFERROR(ISNUMBER(SEARCH("Razonar",$R402))/(ISNUMBER(SEARCH("Conocer",$R402))+ISNUMBER(SEARCH("Aplicar",$R402))+ISNUMBER(SEARCH("Razonar",$R402))),0)</f>
        <v/>
      </c>
      <c r="V402" s="11" t="inlineStr">
        <is>
          <t>7°</t>
        </is>
      </c>
      <c r="W402" s="11" t="inlineStr">
        <is>
          <t>Ciclo 5°–8°</t>
        </is>
      </c>
      <c r="X402" s="11">
        <f>IF(OR(IFERROR(INDEX('Datos - Catálogo TIMSS'!$I$5:$I$107,MATCH(K402,'Datos - Catálogo TIMSS'!$A$5:$A$107,0)),"No")="Sí",IFERROR(INDEX('Datos - Catálogo TIMSS'!$I$5:$I$107,MATCH(L402,'Datos - Catálogo TIMSS'!$A$5:$A$107,0)),"No")="Sí"),1,0)</f>
        <v/>
      </c>
      <c r="Y402" s="11">
        <f>IF(IFERROR(INDEX('Datos - Catálogo TIMSS'!$J$5:$J$107,MATCH(K402,'Datos - Catálogo TIMSS'!$A$5:$A$107,0)),"No")="Sí",1,0)</f>
        <v/>
      </c>
      <c r="Z402" s="11">
        <f>IF(IFERROR(INDEX('Datos - Catálogo TIMSS'!$J$5:$J$107,MATCH(L402,'Datos - Catálogo TIMSS'!$A$5:$A$107,0)),"No")="Sí",1,0)</f>
        <v/>
      </c>
      <c r="AA402" s="11" t="inlineStr">
        <is>
          <t>T8-T3.1</t>
        </is>
      </c>
      <c r="AB402" s="11" t="inlineStr"/>
      <c r="AC402" s="11">
        <f>IF(AA402="FUERA","Fuera del marco",IF(AA402="N/A","Sin marco",IFERROR(INDEX('Datos - TIMSS 2023'!$C$5:$C$105,MATCH(AA402,'Datos - TIMSS 2023'!$A$5:$A$105,0)),"Pendiente de clasificar")))</f>
        <v/>
      </c>
      <c r="AD402" s="11" t="inlineStr">
        <is>
          <t>3. Investigar, evaluar y usar información científica para tomar decisiones y actuar</t>
        </is>
      </c>
      <c r="AE402" s="11">
        <f>IF(AD402="","",IF(LEFT(AD402,1)="1","C1",IF(LEFT(AD402,1)="2","C2",IF(LEFT(AD402,1)="3","C3",""))))</f>
        <v/>
      </c>
      <c r="AF402" s="11" t="inlineStr">
        <is>
          <t>E6</t>
        </is>
      </c>
      <c r="AG402" s="11" t="inlineStr">
        <is>
          <t>D1</t>
        </is>
      </c>
      <c r="AH402" s="11" t="inlineStr">
        <is>
          <t>E1</t>
        </is>
      </c>
      <c r="AI402" s="11" t="inlineStr">
        <is>
          <t>I3</t>
        </is>
      </c>
      <c r="AJ402" s="11" t="inlineStr">
        <is>
          <t>I5</t>
        </is>
      </c>
      <c r="AK402" s="11" t="inlineStr">
        <is>
          <t>PISA-V8</t>
        </is>
      </c>
      <c r="AL402" s="11" t="inlineStr">
        <is>
          <t>PISA-V6</t>
        </is>
      </c>
      <c r="AM402" s="11">
        <f>IF(AK402="FUERA","Fuera del marco",IFERROR(INDEX('Datos - Catálogo PISA'!$C$5:$C$76,MATCH(AK402,'Datos - Catálogo PISA'!$A$5:$A$76,0)),"?"))</f>
        <v/>
      </c>
      <c r="AN402" s="11" t="inlineStr">
        <is>
          <t>Contenido</t>
        </is>
      </c>
      <c r="AO402" s="11" t="n"/>
      <c r="AP402" s="11" t="n"/>
      <c r="AQ402" s="11" t="inlineStr">
        <is>
          <t>Local/nacional</t>
        </is>
      </c>
      <c r="AR402" s="11" t="inlineStr">
        <is>
          <t>Recursos naturales</t>
        </is>
      </c>
      <c r="AS402" s="11" t="inlineStr">
        <is>
          <t>Baja</t>
        </is>
      </c>
      <c r="AT402" s="11" t="inlineStr">
        <is>
          <t>alta</t>
        </is>
      </c>
      <c r="AU402" s="11" t="inlineStr">
        <is>
          <t>Contribuciones de la naturaleza a la comunidad</t>
        </is>
      </c>
      <c r="AV402" s="11" t="inlineStr">
        <is>
          <t>Ciclo 7°–9°</t>
        </is>
      </c>
      <c r="AW402" s="11">
        <f>AF402&amp;"; "&amp;AG402&amp;"; "&amp;AH402&amp;"; "&amp;AI402&amp;"; "&amp;AJ402</f>
        <v/>
      </c>
    </row>
    <row r="403">
      <c r="A403" s="11" t="inlineStr">
        <is>
          <t>T1037-G07-CIE</t>
        </is>
      </c>
      <c r="B403" s="11" t="n">
        <v>7</v>
      </c>
      <c r="C403" s="11" t="inlineStr">
        <is>
          <t>Ciencias</t>
        </is>
      </c>
      <c r="D403" s="11" t="inlineStr">
        <is>
          <t>Matriz_Ciencias_7mo_Grado_U1_U6.xlsx</t>
        </is>
      </c>
      <c r="E403" s="11" t="inlineStr">
        <is>
          <t>Unidad 4 - Ecología</t>
        </is>
      </c>
      <c r="F403" s="11" t="n">
        <v>12</v>
      </c>
      <c r="G403" s="11" t="inlineStr">
        <is>
          <t>4. Ecología</t>
        </is>
      </c>
      <c r="H403" s="11" t="inlineStr">
        <is>
          <t>Ecosistemas</t>
        </is>
      </c>
      <c r="I403" s="38" t="inlineStr">
        <is>
          <t>4.10. Relación entre perturbaciones y sucesiones ecológicas.</t>
        </is>
      </c>
      <c r="J403" s="11" t="inlineStr">
        <is>
          <t>T8_27</t>
        </is>
      </c>
      <c r="K403" s="11" t="inlineStr">
        <is>
          <t>T8_27-B5.5</t>
        </is>
      </c>
      <c r="L403" s="11" t="inlineStr"/>
      <c r="M403" s="11">
        <f>IF(K403="FUERA","Fuera del marco",IF(K403="N/A","Sin marco",IFERROR(INDEX('Datos - Catálogo TIMSS'!$C$5:$C$107,MATCH(K403,'Datos - Catálogo TIMSS'!$A$5:$A$107,0)),"Pendiente de clasificar")))</f>
        <v/>
      </c>
      <c r="N403" s="11">
        <f>IF(K403="FUERA","Fuera del marco",IF(K403="N/A","Sin marco",IFERROR(INDEX('Datos - Catálogo TIMSS'!$F$5:$F$107,MATCH(K403,'Datos - Catálogo TIMSS'!$A$5:$A$107,0)),"Pendiente de clasificar")))</f>
        <v/>
      </c>
      <c r="O403" s="11">
        <f>IF(L403="","",IFERROR(INDEX('Datos - Catálogo TIMSS'!$C$5:$C$107,MATCH(L403,'Datos - Catálogo TIMSS'!$A$5:$A$107,0)),"?"))</f>
        <v/>
      </c>
      <c r="P403" s="11" t="inlineStr">
        <is>
          <t>media</t>
        </is>
      </c>
      <c r="Q403" s="38" t="inlineStr">
        <is>
          <t>Perturbaciones alteran el equilibrio de poblaciones; sucesión ecológica</t>
        </is>
      </c>
      <c r="R403" s="38" t="inlineStr">
        <is>
          <t>Aplicar: relacionar conceptos</t>
        </is>
      </c>
      <c r="S403" s="39">
        <f>IFERROR(ISNUMBER(SEARCH("Conocer",$R403))/(ISNUMBER(SEARCH("Conocer",$R403))+ISNUMBER(SEARCH("Aplicar",$R403))+ISNUMBER(SEARCH("Razonar",$R403))),0)</f>
        <v/>
      </c>
      <c r="T403" s="39">
        <f>IFERROR(ISNUMBER(SEARCH("Aplicar",$R403))/(ISNUMBER(SEARCH("Conocer",$R403))+ISNUMBER(SEARCH("Aplicar",$R403))+ISNUMBER(SEARCH("Razonar",$R403))),0)</f>
        <v/>
      </c>
      <c r="U403" s="39">
        <f>IFERROR(ISNUMBER(SEARCH("Razonar",$R403))/(ISNUMBER(SEARCH("Conocer",$R403))+ISNUMBER(SEARCH("Aplicar",$R403))+ISNUMBER(SEARCH("Razonar",$R403))),0)</f>
        <v/>
      </c>
      <c r="V403" s="11" t="inlineStr">
        <is>
          <t>7°</t>
        </is>
      </c>
      <c r="W403" s="11" t="inlineStr">
        <is>
          <t>Ciclo 5°–8°</t>
        </is>
      </c>
      <c r="X403" s="11">
        <f>IF(OR(IFERROR(INDEX('Datos - Catálogo TIMSS'!$I$5:$I$107,MATCH(K403,'Datos - Catálogo TIMSS'!$A$5:$A$107,0)),"No")="Sí",IFERROR(INDEX('Datos - Catálogo TIMSS'!$I$5:$I$107,MATCH(L403,'Datos - Catálogo TIMSS'!$A$5:$A$107,0)),"No")="Sí"),1,0)</f>
        <v/>
      </c>
      <c r="Y403" s="11">
        <f>IF(IFERROR(INDEX('Datos - Catálogo TIMSS'!$J$5:$J$107,MATCH(K403,'Datos - Catálogo TIMSS'!$A$5:$A$107,0)),"No")="Sí",1,0)</f>
        <v/>
      </c>
      <c r="Z403" s="11">
        <f>IF(IFERROR(INDEX('Datos - Catálogo TIMSS'!$J$5:$J$107,MATCH(L403,'Datos - Catálogo TIMSS'!$A$5:$A$107,0)),"No")="Sí",1,0)</f>
        <v/>
      </c>
      <c r="AA403" s="11" t="inlineStr">
        <is>
          <t>T8-B5.4</t>
        </is>
      </c>
      <c r="AB403" s="11" t="inlineStr">
        <is>
          <t>T8-B5.5</t>
        </is>
      </c>
      <c r="AC403" s="11">
        <f>IF(AA403="FUERA","Fuera del marco",IF(AA403="N/A","Sin marco",IFERROR(INDEX('Datos - TIMSS 2023'!$C$5:$C$105,MATCH(AA403,'Datos - TIMSS 2023'!$A$5:$A$105,0)),"Pendiente de clasificar")))</f>
        <v/>
      </c>
      <c r="AD403" s="11" t="inlineStr">
        <is>
          <t>1. Explicar fenómenos científicamente</t>
        </is>
      </c>
      <c r="AE403" s="11">
        <f>IF(AD403="","",IF(LEFT(AD403,1)="1","C1",IF(LEFT(AD403,1)="2","C2",IF(LEFT(AD403,1)="3","C3",""))))</f>
        <v/>
      </c>
      <c r="AF403" s="11" t="inlineStr">
        <is>
          <t>E1</t>
        </is>
      </c>
      <c r="AG403" s="11" t="inlineStr">
        <is>
          <t>D1</t>
        </is>
      </c>
      <c r="AH403" s="11" t="inlineStr">
        <is>
          <t>E1</t>
        </is>
      </c>
      <c r="AI403" s="11" t="inlineStr">
        <is>
          <t>D4</t>
        </is>
      </c>
      <c r="AJ403" s="11" t="inlineStr">
        <is>
          <t>E6</t>
        </is>
      </c>
      <c r="AK403" s="11" t="inlineStr">
        <is>
          <t>PISA-V6</t>
        </is>
      </c>
      <c r="AL403" s="11" t="n"/>
      <c r="AM403" s="11">
        <f>IF(AK403="FUERA","Fuera del marco",IFERROR(INDEX('Datos - Catálogo PISA'!$C$5:$C$76,MATCH(AK403,'Datos - Catálogo PISA'!$A$5:$A$76,0)),"?"))</f>
        <v/>
      </c>
      <c r="AN403" s="11" t="inlineStr">
        <is>
          <t>Contenido</t>
        </is>
      </c>
      <c r="AO403" s="11" t="n"/>
      <c r="AP403" s="11" t="n"/>
      <c r="AQ403" s="11" t="inlineStr">
        <is>
          <t>Sin contexto</t>
        </is>
      </c>
      <c r="AR403" s="11" t="n"/>
      <c r="AS403" s="11" t="inlineStr">
        <is>
          <t>Media</t>
        </is>
      </c>
      <c r="AT403" s="11" t="inlineStr">
        <is>
          <t>alta</t>
        </is>
      </c>
      <c r="AU403" s="11" t="inlineStr">
        <is>
          <t>Perturbaciones y sucesión ecológica</t>
        </is>
      </c>
      <c r="AV403" s="11" t="inlineStr">
        <is>
          <t>Ciclo 7°–9°</t>
        </is>
      </c>
      <c r="AW403" s="11">
        <f>AF403&amp;"; "&amp;AG403&amp;"; "&amp;AH403&amp;"; "&amp;AI403&amp;"; "&amp;AJ403</f>
        <v/>
      </c>
    </row>
    <row r="404">
      <c r="A404" s="11" t="inlineStr">
        <is>
          <t>T1038-G07-CIE</t>
        </is>
      </c>
      <c r="B404" s="11" t="n">
        <v>7</v>
      </c>
      <c r="C404" s="11" t="inlineStr">
        <is>
          <t>Ciencias</t>
        </is>
      </c>
      <c r="D404" s="11" t="inlineStr">
        <is>
          <t>Matriz_Ciencias_7mo_Grado_U1_U6.xlsx</t>
        </is>
      </c>
      <c r="E404" s="11" t="inlineStr">
        <is>
          <t>Unidad 4 - Ecología</t>
        </is>
      </c>
      <c r="F404" s="11" t="n">
        <v>13</v>
      </c>
      <c r="G404" s="11" t="inlineStr">
        <is>
          <t>4. Ecología</t>
        </is>
      </c>
      <c r="H404" s="11" t="inlineStr">
        <is>
          <t>Biogeografía</t>
        </is>
      </c>
      <c r="I404" s="38" t="inlineStr">
        <is>
          <t>4.11. Definición de biomas y sus criterios de clasificación.</t>
        </is>
      </c>
      <c r="J404" s="11" t="inlineStr">
        <is>
          <t>T8_27</t>
        </is>
      </c>
      <c r="K404" s="11" t="inlineStr">
        <is>
          <t>T8_27-B5.1</t>
        </is>
      </c>
      <c r="L404" s="11" t="inlineStr">
        <is>
          <t>T8_27-E2.3</t>
        </is>
      </c>
      <c r="M404" s="11">
        <f>IF(K404="FUERA","Fuera del marco",IF(K404="N/A","Sin marco",IFERROR(INDEX('Datos - Catálogo TIMSS'!$C$5:$C$107,MATCH(K404,'Datos - Catálogo TIMSS'!$A$5:$A$107,0)),"Pendiente de clasificar")))</f>
        <v/>
      </c>
      <c r="N404" s="11">
        <f>IF(K404="FUERA","Fuera del marco",IF(K404="N/A","Sin marco",IFERROR(INDEX('Datos - Catálogo TIMSS'!$F$5:$F$107,MATCH(K404,'Datos - Catálogo TIMSS'!$A$5:$A$107,0)),"Pendiente de clasificar")))</f>
        <v/>
      </c>
      <c r="O404" s="11">
        <f>IF(L404="","",IFERROR(INDEX('Datos - Catálogo TIMSS'!$C$5:$C$107,MATCH(L404,'Datos - Catálogo TIMSS'!$A$5:$A$107,0)),"?"))</f>
        <v/>
      </c>
      <c r="P404" s="11" t="inlineStr">
        <is>
          <t>baja</t>
        </is>
      </c>
      <c r="Q404" s="38" t="inlineStr">
        <is>
          <t>Biomas clasificados por clima; no hay objetivo específico de biomas</t>
        </is>
      </c>
      <c r="R404" s="38" t="inlineStr">
        <is>
          <t>Aplicar: clasificar</t>
        </is>
      </c>
      <c r="S404" s="39">
        <f>IFERROR(ISNUMBER(SEARCH("Conocer",$R404))/(ISNUMBER(SEARCH("Conocer",$R404))+ISNUMBER(SEARCH("Aplicar",$R404))+ISNUMBER(SEARCH("Razonar",$R404))),0)</f>
        <v/>
      </c>
      <c r="T404" s="39">
        <f>IFERROR(ISNUMBER(SEARCH("Aplicar",$R404))/(ISNUMBER(SEARCH("Conocer",$R404))+ISNUMBER(SEARCH("Aplicar",$R404))+ISNUMBER(SEARCH("Razonar",$R404))),0)</f>
        <v/>
      </c>
      <c r="U404" s="39">
        <f>IFERROR(ISNUMBER(SEARCH("Razonar",$R404))/(ISNUMBER(SEARCH("Conocer",$R404))+ISNUMBER(SEARCH("Aplicar",$R404))+ISNUMBER(SEARCH("Razonar",$R404))),0)</f>
        <v/>
      </c>
      <c r="V404" s="11" t="inlineStr">
        <is>
          <t>7°</t>
        </is>
      </c>
      <c r="W404" s="11" t="inlineStr">
        <is>
          <t>Ciclo 5°–8°</t>
        </is>
      </c>
      <c r="X404" s="11">
        <f>IF(OR(IFERROR(INDEX('Datos - Catálogo TIMSS'!$I$5:$I$107,MATCH(K404,'Datos - Catálogo TIMSS'!$A$5:$A$107,0)),"No")="Sí",IFERROR(INDEX('Datos - Catálogo TIMSS'!$I$5:$I$107,MATCH(L404,'Datos - Catálogo TIMSS'!$A$5:$A$107,0)),"No")="Sí"),1,0)</f>
        <v/>
      </c>
      <c r="Y404" s="11">
        <f>IF(IFERROR(INDEX('Datos - Catálogo TIMSS'!$J$5:$J$107,MATCH(K404,'Datos - Catálogo TIMSS'!$A$5:$A$107,0)),"No")="Sí",1,0)</f>
        <v/>
      </c>
      <c r="Z404" s="11">
        <f>IF(IFERROR(INDEX('Datos - Catálogo TIMSS'!$J$5:$J$107,MATCH(L404,'Datos - Catálogo TIMSS'!$A$5:$A$107,0)),"No")="Sí",1,0)</f>
        <v/>
      </c>
      <c r="AA404" s="11" t="inlineStr">
        <is>
          <t>T8-B5.4</t>
        </is>
      </c>
      <c r="AB404" s="11" t="inlineStr">
        <is>
          <t>T8-T2.3</t>
        </is>
      </c>
      <c r="AC404" s="11">
        <f>IF(AA404="FUERA","Fuera del marco",IF(AA404="N/A","Sin marco",IFERROR(INDEX('Datos - TIMSS 2023'!$C$5:$C$105,MATCH(AA404,'Datos - TIMSS 2023'!$A$5:$A$105,0)),"Pendiente de clasificar")))</f>
        <v/>
      </c>
      <c r="AD404" s="11" t="inlineStr">
        <is>
          <t>1. Explicar fenómenos científicamente</t>
        </is>
      </c>
      <c r="AE404" s="11">
        <f>IF(AD404="","",IF(LEFT(AD404,1)="1","C1",IF(LEFT(AD404,1)="2","C2",IF(LEFT(AD404,1)="3","C3",""))))</f>
        <v/>
      </c>
      <c r="AF404" s="11" t="inlineStr">
        <is>
          <t>E1</t>
        </is>
      </c>
      <c r="AG404" s="11" t="inlineStr">
        <is>
          <t>D1</t>
        </is>
      </c>
      <c r="AH404" s="11" t="inlineStr">
        <is>
          <t>E1</t>
        </is>
      </c>
      <c r="AI404" s="11" t="inlineStr">
        <is>
          <t>D4</t>
        </is>
      </c>
      <c r="AJ404" s="11" t="inlineStr">
        <is>
          <t>E1</t>
        </is>
      </c>
      <c r="AK404" s="11" t="inlineStr">
        <is>
          <t>PISA-V6</t>
        </is>
      </c>
      <c r="AL404" s="11" t="inlineStr">
        <is>
          <t>PISA-T1</t>
        </is>
      </c>
      <c r="AM404" s="11">
        <f>IF(AK404="FUERA","Fuera del marco",IFERROR(INDEX('Datos - Catálogo PISA'!$C$5:$C$76,MATCH(AK404,'Datos - Catálogo PISA'!$A$5:$A$76,0)),"?"))</f>
        <v/>
      </c>
      <c r="AN404" s="11" t="inlineStr">
        <is>
          <t>Contenido</t>
        </is>
      </c>
      <c r="AO404" s="11" t="n"/>
      <c r="AP404" s="11" t="n"/>
      <c r="AQ404" s="11" t="inlineStr">
        <is>
          <t>Global</t>
        </is>
      </c>
      <c r="AR404" s="11" t="inlineStr">
        <is>
          <t>Recursos naturales</t>
        </is>
      </c>
      <c r="AS404" s="11" t="inlineStr">
        <is>
          <t>Baja</t>
        </is>
      </c>
      <c r="AT404" s="11" t="inlineStr">
        <is>
          <t>media</t>
        </is>
      </c>
      <c r="AU404" s="11" t="inlineStr">
        <is>
          <t>Biomas y variables climáticas para clasificarlos</t>
        </is>
      </c>
      <c r="AV404" s="11" t="inlineStr">
        <is>
          <t>Ciclo 7°–9°</t>
        </is>
      </c>
      <c r="AW404" s="11">
        <f>AF404&amp;"; "&amp;AG404&amp;"; "&amp;AH404&amp;"; "&amp;AI404&amp;"; "&amp;AJ404</f>
        <v/>
      </c>
    </row>
    <row r="405">
      <c r="A405" s="11" t="inlineStr">
        <is>
          <t>T1039-G07-CIE</t>
        </is>
      </c>
      <c r="B405" s="11" t="n">
        <v>7</v>
      </c>
      <c r="C405" s="11" t="inlineStr">
        <is>
          <t>Ciencias</t>
        </is>
      </c>
      <c r="D405" s="11" t="inlineStr">
        <is>
          <t>Matriz_Ciencias_7mo_Grado_U1_U6.xlsx</t>
        </is>
      </c>
      <c r="E405" s="11" t="inlineStr">
        <is>
          <t>Unidad 4 - Ecología</t>
        </is>
      </c>
      <c r="F405" s="11" t="n">
        <v>14</v>
      </c>
      <c r="G405" s="11" t="inlineStr">
        <is>
          <t>4. Ecología</t>
        </is>
      </c>
      <c r="H405" s="11" t="inlineStr">
        <is>
          <t>Biogeografía</t>
        </is>
      </c>
      <c r="I405" s="38" t="inlineStr">
        <is>
          <t>4.12. Exploración de aplicaciones de las unidades biogeográficas.</t>
        </is>
      </c>
      <c r="J405" s="11" t="inlineStr">
        <is>
          <t>T8_27</t>
        </is>
      </c>
      <c r="K405" s="11" t="inlineStr">
        <is>
          <t>FUERA</t>
        </is>
      </c>
      <c r="L405" s="11" t="inlineStr"/>
      <c r="M405" s="11">
        <f>IF(K405="FUERA","Fuera del marco",IF(K405="N/A","Sin marco",IFERROR(INDEX('Datos - Catálogo TIMSS'!$C$5:$C$107,MATCH(K405,'Datos - Catálogo TIMSS'!$A$5:$A$107,0)),"Pendiente de clasificar")))</f>
        <v/>
      </c>
      <c r="N405" s="11">
        <f>IF(K405="FUERA","Fuera del marco",IF(K405="N/A","Sin marco",IFERROR(INDEX('Datos - Catálogo TIMSS'!$F$5:$F$107,MATCH(K405,'Datos - Catálogo TIMSS'!$A$5:$A$107,0)),"Pendiente de clasificar")))</f>
        <v/>
      </c>
      <c r="O405" s="11">
        <f>IF(L405="","",IFERROR(INDEX('Datos - Catálogo TIMSS'!$C$5:$C$107,MATCH(L405,'Datos - Catálogo TIMSS'!$A$5:$A$107,0)),"?"))</f>
        <v/>
      </c>
      <c r="P405" s="11" t="inlineStr">
        <is>
          <t>media</t>
        </is>
      </c>
      <c r="Q405" s="38" t="inlineStr">
        <is>
          <t>Aplicaciones biogeográficas sin objetivo de contenido 2027</t>
        </is>
      </c>
      <c r="R405" s="38" t="inlineStr">
        <is>
          <t>Aplicar: ejemplificar</t>
        </is>
      </c>
      <c r="S405" s="39">
        <f>IFERROR(ISNUMBER(SEARCH("Conocer",$R405))/(ISNUMBER(SEARCH("Conocer",$R405))+ISNUMBER(SEARCH("Aplicar",$R405))+ISNUMBER(SEARCH("Razonar",$R405))),0)</f>
        <v/>
      </c>
      <c r="T405" s="39">
        <f>IFERROR(ISNUMBER(SEARCH("Aplicar",$R405))/(ISNUMBER(SEARCH("Conocer",$R405))+ISNUMBER(SEARCH("Aplicar",$R405))+ISNUMBER(SEARCH("Razonar",$R405))),0)</f>
        <v/>
      </c>
      <c r="U405" s="39">
        <f>IFERROR(ISNUMBER(SEARCH("Razonar",$R405))/(ISNUMBER(SEARCH("Conocer",$R405))+ISNUMBER(SEARCH("Aplicar",$R405))+ISNUMBER(SEARCH("Razonar",$R405))),0)</f>
        <v/>
      </c>
      <c r="V405" s="11" t="inlineStr">
        <is>
          <t>7°</t>
        </is>
      </c>
      <c r="W405" s="11" t="inlineStr">
        <is>
          <t>Ciclo 5°–8°</t>
        </is>
      </c>
      <c r="X405" s="11">
        <f>IF(OR(IFERROR(INDEX('Datos - Catálogo TIMSS'!$I$5:$I$107,MATCH(K405,'Datos - Catálogo TIMSS'!$A$5:$A$107,0)),"No")="Sí",IFERROR(INDEX('Datos - Catálogo TIMSS'!$I$5:$I$107,MATCH(L405,'Datos - Catálogo TIMSS'!$A$5:$A$107,0)),"No")="Sí"),1,0)</f>
        <v/>
      </c>
      <c r="Y405" s="11">
        <f>IF(IFERROR(INDEX('Datos - Catálogo TIMSS'!$J$5:$J$107,MATCH(K405,'Datos - Catálogo TIMSS'!$A$5:$A$107,0)),"No")="Sí",1,0)</f>
        <v/>
      </c>
      <c r="Z405" s="11">
        <f>IF(IFERROR(INDEX('Datos - Catálogo TIMSS'!$J$5:$J$107,MATCH(L405,'Datos - Catálogo TIMSS'!$A$5:$A$107,0)),"No")="Sí",1,0)</f>
        <v/>
      </c>
      <c r="AA405" s="11" t="inlineStr">
        <is>
          <t>FUERA</t>
        </is>
      </c>
      <c r="AB405" s="11" t="inlineStr"/>
      <c r="AC405" s="11">
        <f>IF(AA405="FUERA","Fuera del marco",IF(AA405="N/A","Sin marco",IFERROR(INDEX('Datos - TIMSS 2023'!$C$5:$C$105,MATCH(AA405,'Datos - TIMSS 2023'!$A$5:$A$105,0)),"Pendiente de clasificar")))</f>
        <v/>
      </c>
      <c r="AD405" s="11" t="inlineStr">
        <is>
          <t>3. Investigar, evaluar y usar información científica para tomar decisiones y actuar</t>
        </is>
      </c>
      <c r="AE405" s="11">
        <f>IF(AD405="","",IF(LEFT(AD405,1)="1","C1",IF(LEFT(AD405,1)="2","C2",IF(LEFT(AD405,1)="3","C3",""))))</f>
        <v/>
      </c>
      <c r="AF405" s="11" t="inlineStr">
        <is>
          <t>E1</t>
        </is>
      </c>
      <c r="AG405" s="11" t="inlineStr">
        <is>
          <t>D1</t>
        </is>
      </c>
      <c r="AH405" s="11" t="inlineStr">
        <is>
          <t>E1</t>
        </is>
      </c>
      <c r="AI405" s="11" t="inlineStr">
        <is>
          <t>I3</t>
        </is>
      </c>
      <c r="AJ405" s="11" t="inlineStr">
        <is>
          <t>I5</t>
        </is>
      </c>
      <c r="AK405" s="11" t="inlineStr">
        <is>
          <t>PISA-V6</t>
        </is>
      </c>
      <c r="AL405" s="11" t="inlineStr">
        <is>
          <t>PISA-V8</t>
        </is>
      </c>
      <c r="AM405" s="11">
        <f>IF(AK405="FUERA","Fuera del marco",IFERROR(INDEX('Datos - Catálogo PISA'!$C$5:$C$76,MATCH(AK405,'Datos - Catálogo PISA'!$A$5:$A$76,0)),"?"))</f>
        <v/>
      </c>
      <c r="AN405" s="11" t="inlineStr">
        <is>
          <t>Contenido</t>
        </is>
      </c>
      <c r="AO405" s="11" t="n"/>
      <c r="AP405" s="11" t="n"/>
      <c r="AQ405" s="11" t="inlineStr">
        <is>
          <t>Local/nacional</t>
        </is>
      </c>
      <c r="AR405" s="11" t="inlineStr">
        <is>
          <t>Recursos naturales</t>
        </is>
      </c>
      <c r="AS405" s="11" t="inlineStr">
        <is>
          <t>Media</t>
        </is>
      </c>
      <c r="AT405" s="11" t="inlineStr">
        <is>
          <t>baja</t>
        </is>
      </c>
      <c r="AU405" s="11" t="inlineStr">
        <is>
          <t>Aplicaciones de unidades biogeográficas, p. ej. conservación</t>
        </is>
      </c>
      <c r="AV405" s="11" t="inlineStr">
        <is>
          <t>Ciclo 7°–9°</t>
        </is>
      </c>
      <c r="AW405" s="11">
        <f>AF405&amp;"; "&amp;AG405&amp;"; "&amp;AH405&amp;"; "&amp;AI405&amp;"; "&amp;AJ405</f>
        <v/>
      </c>
    </row>
    <row r="406">
      <c r="A406" s="11" t="inlineStr">
        <is>
          <t>T1040-G07-CIE</t>
        </is>
      </c>
      <c r="B406" s="11" t="n">
        <v>7</v>
      </c>
      <c r="C406" s="11" t="inlineStr">
        <is>
          <t>Ciencias</t>
        </is>
      </c>
      <c r="D406" s="11" t="inlineStr">
        <is>
          <t>Matriz_Ciencias_7mo_Grado_U1_U6.xlsx</t>
        </is>
      </c>
      <c r="E406" s="11" t="inlineStr">
        <is>
          <t>Unidad 5 - Recurso hídrico</t>
        </is>
      </c>
      <c r="F406" s="11" t="n">
        <v>3</v>
      </c>
      <c r="G406" s="11" t="inlineStr">
        <is>
          <t>5. Recurso hídrico</t>
        </is>
      </c>
      <c r="H406" s="11" t="inlineStr">
        <is>
          <t>La hidrósfera</t>
        </is>
      </c>
      <c r="I406" s="38" t="inlineStr">
        <is>
          <t>5.1. Indagación de las etapas y características generales del ciclo hidrológico natural y con intervención antrópica.</t>
        </is>
      </c>
      <c r="J406" s="11" t="inlineStr">
        <is>
          <t>T8_27</t>
        </is>
      </c>
      <c r="K406" s="11" t="inlineStr">
        <is>
          <t>T8_27-E2.2</t>
        </is>
      </c>
      <c r="L406" s="11" t="inlineStr">
        <is>
          <t>T8_27-E3.2</t>
        </is>
      </c>
      <c r="M406" s="11">
        <f>IF(K406="FUERA","Fuera del marco",IF(K406="N/A","Sin marco",IFERROR(INDEX('Datos - Catálogo TIMSS'!$C$5:$C$107,MATCH(K406,'Datos - Catálogo TIMSS'!$A$5:$A$107,0)),"Pendiente de clasificar")))</f>
        <v/>
      </c>
      <c r="N406" s="11">
        <f>IF(K406="FUERA","Fuera del marco",IF(K406="N/A","Sin marco",IFERROR(INDEX('Datos - Catálogo TIMSS'!$F$5:$F$107,MATCH(K406,'Datos - Catálogo TIMSS'!$A$5:$A$107,0)),"Pendiente de clasificar")))</f>
        <v/>
      </c>
      <c r="O406" s="11">
        <f>IF(L406="","",IFERROR(INDEX('Datos - Catálogo TIMSS'!$C$5:$C$107,MATCH(L406,'Datos - Catálogo TIMSS'!$A$5:$A$107,0)),"?"))</f>
        <v/>
      </c>
      <c r="P406" s="11" t="inlineStr">
        <is>
          <t>alta</t>
        </is>
      </c>
      <c r="Q406" s="38" t="inlineStr">
        <is>
          <t>Ciclo del agua natural y con intervención humana</t>
        </is>
      </c>
      <c r="R406" s="38" t="inlineStr">
        <is>
          <t>Aplicar: usar modelos</t>
        </is>
      </c>
      <c r="S406" s="39">
        <f>IFERROR(ISNUMBER(SEARCH("Conocer",$R406))/(ISNUMBER(SEARCH("Conocer",$R406))+ISNUMBER(SEARCH("Aplicar",$R406))+ISNUMBER(SEARCH("Razonar",$R406))),0)</f>
        <v/>
      </c>
      <c r="T406" s="39">
        <f>IFERROR(ISNUMBER(SEARCH("Aplicar",$R406))/(ISNUMBER(SEARCH("Conocer",$R406))+ISNUMBER(SEARCH("Aplicar",$R406))+ISNUMBER(SEARCH("Razonar",$R406))),0)</f>
        <v/>
      </c>
      <c r="U406" s="39">
        <f>IFERROR(ISNUMBER(SEARCH("Razonar",$R406))/(ISNUMBER(SEARCH("Conocer",$R406))+ISNUMBER(SEARCH("Aplicar",$R406))+ISNUMBER(SEARCH("Razonar",$R406))),0)</f>
        <v/>
      </c>
      <c r="V406" s="11" t="inlineStr">
        <is>
          <t>7°</t>
        </is>
      </c>
      <c r="W406" s="11" t="inlineStr">
        <is>
          <t>Ciclo 5°–8°</t>
        </is>
      </c>
      <c r="X406" s="11">
        <f>IF(OR(IFERROR(INDEX('Datos - Catálogo TIMSS'!$I$5:$I$107,MATCH(K406,'Datos - Catálogo TIMSS'!$A$5:$A$107,0)),"No")="Sí",IFERROR(INDEX('Datos - Catálogo TIMSS'!$I$5:$I$107,MATCH(L406,'Datos - Catálogo TIMSS'!$A$5:$A$107,0)),"No")="Sí"),1,0)</f>
        <v/>
      </c>
      <c r="Y406" s="11">
        <f>IF(IFERROR(INDEX('Datos - Catálogo TIMSS'!$J$5:$J$107,MATCH(K406,'Datos - Catálogo TIMSS'!$A$5:$A$107,0)),"No")="Sí",1,0)</f>
        <v/>
      </c>
      <c r="Z406" s="11">
        <f>IF(IFERROR(INDEX('Datos - Catálogo TIMSS'!$J$5:$J$107,MATCH(L406,'Datos - Catálogo TIMSS'!$A$5:$A$107,0)),"No")="Sí",1,0)</f>
        <v/>
      </c>
      <c r="AA406" s="11" t="inlineStr">
        <is>
          <t>T8-T2.2</t>
        </is>
      </c>
      <c r="AB406" s="11" t="inlineStr">
        <is>
          <t>T8-T3.2</t>
        </is>
      </c>
      <c r="AC406" s="11">
        <f>IF(AA406="FUERA","Fuera del marco",IF(AA406="N/A","Sin marco",IFERROR(INDEX('Datos - TIMSS 2023'!$C$5:$C$105,MATCH(AA406,'Datos - TIMSS 2023'!$A$5:$A$105,0)),"Pendiente de clasificar")))</f>
        <v/>
      </c>
      <c r="AD406" s="11" t="inlineStr">
        <is>
          <t>1. Explicar fenómenos científicamente</t>
        </is>
      </c>
      <c r="AE406" s="11">
        <f>IF(AD406="","",IF(LEFT(AD406,1)="1","C1",IF(LEFT(AD406,1)="2","C2",IF(LEFT(AD406,1)="3","C3",""))))</f>
        <v/>
      </c>
      <c r="AF406" s="11" t="inlineStr">
        <is>
          <t>E1</t>
        </is>
      </c>
      <c r="AG406" s="11" t="inlineStr">
        <is>
          <t>D1</t>
        </is>
      </c>
      <c r="AH406" s="11" t="inlineStr">
        <is>
          <t>E4</t>
        </is>
      </c>
      <c r="AI406" s="11" t="inlineStr">
        <is>
          <t>D4</t>
        </is>
      </c>
      <c r="AJ406" s="11" t="inlineStr">
        <is>
          <t>E6</t>
        </is>
      </c>
      <c r="AK406" s="11" t="inlineStr">
        <is>
          <t>PISA-T3</t>
        </is>
      </c>
      <c r="AL406" s="11" t="inlineStr">
        <is>
          <t>PISA-T4</t>
        </is>
      </c>
      <c r="AM406" s="11">
        <f>IF(AK406="FUERA","Fuera del marco",IFERROR(INDEX('Datos - Catálogo PISA'!$C$5:$C$76,MATCH(AK406,'Datos - Catálogo PISA'!$A$5:$A$76,0)),"?"))</f>
        <v/>
      </c>
      <c r="AN406" s="11" t="inlineStr">
        <is>
          <t>Contenido</t>
        </is>
      </c>
      <c r="AO406" s="11" t="n"/>
      <c r="AP406" s="11" t="n"/>
      <c r="AQ406" s="11" t="inlineStr">
        <is>
          <t>Local/nacional</t>
        </is>
      </c>
      <c r="AR406" s="11" t="inlineStr">
        <is>
          <t>Recursos naturales</t>
        </is>
      </c>
      <c r="AS406" s="11" t="inlineStr">
        <is>
          <t>Media</t>
        </is>
      </c>
      <c r="AT406" s="11" t="inlineStr">
        <is>
          <t>alta</t>
        </is>
      </c>
      <c r="AU406" s="11" t="inlineStr">
        <is>
          <t>Ciclo hidrológico natural y urbano del agua</t>
        </is>
      </c>
      <c r="AV406" s="11" t="inlineStr">
        <is>
          <t>Ciclo 7°–9°</t>
        </is>
      </c>
      <c r="AW406" s="11">
        <f>AF406&amp;"; "&amp;AG406&amp;"; "&amp;AH406&amp;"; "&amp;AI406&amp;"; "&amp;AJ406</f>
        <v/>
      </c>
    </row>
    <row r="407">
      <c r="A407" s="11" t="inlineStr">
        <is>
          <t>T1041-G07-CIE</t>
        </is>
      </c>
      <c r="B407" s="11" t="n">
        <v>7</v>
      </c>
      <c r="C407" s="11" t="inlineStr">
        <is>
          <t>Ciencias</t>
        </is>
      </c>
      <c r="D407" s="11" t="inlineStr">
        <is>
          <t>Matriz_Ciencias_7mo_Grado_U1_U6.xlsx</t>
        </is>
      </c>
      <c r="E407" s="11" t="inlineStr">
        <is>
          <t>Unidad 5 - Recurso hídrico</t>
        </is>
      </c>
      <c r="F407" s="11" t="n">
        <v>4</v>
      </c>
      <c r="G407" s="11" t="inlineStr">
        <is>
          <t>5. Recurso hídrico</t>
        </is>
      </c>
      <c r="H407" s="11" t="inlineStr">
        <is>
          <t>La hidrósfera</t>
        </is>
      </c>
      <c r="I407" s="38" t="inlineStr">
        <is>
          <t>5.2. Exploración de los tipos de cuencas hidrográficas y sus componentes principales.</t>
        </is>
      </c>
      <c r="J407" s="11" t="inlineStr">
        <is>
          <t>T8_27</t>
        </is>
      </c>
      <c r="K407" s="11" t="inlineStr">
        <is>
          <t>T8_27-E1.1</t>
        </is>
      </c>
      <c r="L407" s="11" t="inlineStr">
        <is>
          <t>T8_27-E2.2</t>
        </is>
      </c>
      <c r="M407" s="11">
        <f>IF(K407="FUERA","Fuera del marco",IF(K407="N/A","Sin marco",IFERROR(INDEX('Datos - Catálogo TIMSS'!$C$5:$C$107,MATCH(K407,'Datos - Catálogo TIMSS'!$A$5:$A$107,0)),"Pendiente de clasificar")))</f>
        <v/>
      </c>
      <c r="N407" s="11">
        <f>IF(K407="FUERA","Fuera del marco",IF(K407="N/A","Sin marco",IFERROR(INDEX('Datos - Catálogo TIMSS'!$F$5:$F$107,MATCH(K407,'Datos - Catálogo TIMSS'!$A$5:$A$107,0)),"Pendiente de clasificar")))</f>
        <v/>
      </c>
      <c r="O407" s="11">
        <f>IF(L407="","",IFERROR(INDEX('Datos - Catálogo TIMSS'!$C$5:$C$107,MATCH(L407,'Datos - Catálogo TIMSS'!$A$5:$A$107,0)),"?"))</f>
        <v/>
      </c>
      <c r="P407" s="11" t="inlineStr">
        <is>
          <t>baja</t>
        </is>
      </c>
      <c r="Q407" s="38" t="inlineStr">
        <is>
          <t>Cuencas hidrográficas: distribución del agua superficial</t>
        </is>
      </c>
      <c r="R407" s="38" t="inlineStr">
        <is>
          <t>Aplicar: usar modelos</t>
        </is>
      </c>
      <c r="S407" s="39">
        <f>IFERROR(ISNUMBER(SEARCH("Conocer",$R407))/(ISNUMBER(SEARCH("Conocer",$R407))+ISNUMBER(SEARCH("Aplicar",$R407))+ISNUMBER(SEARCH("Razonar",$R407))),0)</f>
        <v/>
      </c>
      <c r="T407" s="39">
        <f>IFERROR(ISNUMBER(SEARCH("Aplicar",$R407))/(ISNUMBER(SEARCH("Conocer",$R407))+ISNUMBER(SEARCH("Aplicar",$R407))+ISNUMBER(SEARCH("Razonar",$R407))),0)</f>
        <v/>
      </c>
      <c r="U407" s="39">
        <f>IFERROR(ISNUMBER(SEARCH("Razonar",$R407))/(ISNUMBER(SEARCH("Conocer",$R407))+ISNUMBER(SEARCH("Aplicar",$R407))+ISNUMBER(SEARCH("Razonar",$R407))),0)</f>
        <v/>
      </c>
      <c r="V407" s="11" t="inlineStr">
        <is>
          <t>7°</t>
        </is>
      </c>
      <c r="W407" s="11" t="inlineStr">
        <is>
          <t>Ciclo 5°–8°</t>
        </is>
      </c>
      <c r="X407" s="11">
        <f>IF(OR(IFERROR(INDEX('Datos - Catálogo TIMSS'!$I$5:$I$107,MATCH(K407,'Datos - Catálogo TIMSS'!$A$5:$A$107,0)),"No")="Sí",IFERROR(INDEX('Datos - Catálogo TIMSS'!$I$5:$I$107,MATCH(L407,'Datos - Catálogo TIMSS'!$A$5:$A$107,0)),"No")="Sí"),1,0)</f>
        <v/>
      </c>
      <c r="Y407" s="11">
        <f>IF(IFERROR(INDEX('Datos - Catálogo TIMSS'!$J$5:$J$107,MATCH(K407,'Datos - Catálogo TIMSS'!$A$5:$A$107,0)),"No")="Sí",1,0)</f>
        <v/>
      </c>
      <c r="Z407" s="11">
        <f>IF(IFERROR(INDEX('Datos - Catálogo TIMSS'!$J$5:$J$107,MATCH(L407,'Datos - Catálogo TIMSS'!$A$5:$A$107,0)),"No")="Sí",1,0)</f>
        <v/>
      </c>
      <c r="AA407" s="11" t="inlineStr">
        <is>
          <t>T8-T3.2</t>
        </is>
      </c>
      <c r="AB407" s="11" t="inlineStr"/>
      <c r="AC407" s="11">
        <f>IF(AA407="FUERA","Fuera del marco",IF(AA407="N/A","Sin marco",IFERROR(INDEX('Datos - TIMSS 2023'!$C$5:$C$105,MATCH(AA407,'Datos - TIMSS 2023'!$A$5:$A$105,0)),"Pendiente de clasificar")))</f>
        <v/>
      </c>
      <c r="AD407" s="11" t="inlineStr">
        <is>
          <t>1. Explicar fenómenos científicamente</t>
        </is>
      </c>
      <c r="AE407" s="11">
        <f>IF(AD407="","",IF(LEFT(AD407,1)="1","C1",IF(LEFT(AD407,1)="2","C2",IF(LEFT(AD407,1)="3","C3",""))))</f>
        <v/>
      </c>
      <c r="AF407" s="11" t="inlineStr">
        <is>
          <t>E6</t>
        </is>
      </c>
      <c r="AG407" s="11" t="inlineStr">
        <is>
          <t>D1</t>
        </is>
      </c>
      <c r="AH407" s="11" t="inlineStr">
        <is>
          <t>E4</t>
        </is>
      </c>
      <c r="AI407" s="11" t="inlineStr">
        <is>
          <t>D4</t>
        </is>
      </c>
      <c r="AJ407" s="11" t="inlineStr">
        <is>
          <t>E6</t>
        </is>
      </c>
      <c r="AK407" s="11" t="inlineStr">
        <is>
          <t>PISA-T1</t>
        </is>
      </c>
      <c r="AL407" s="11" t="inlineStr">
        <is>
          <t>PISA-T4</t>
        </is>
      </c>
      <c r="AM407" s="11">
        <f>IF(AK407="FUERA","Fuera del marco",IFERROR(INDEX('Datos - Catálogo PISA'!$C$5:$C$76,MATCH(AK407,'Datos - Catálogo PISA'!$A$5:$A$76,0)),"?"))</f>
        <v/>
      </c>
      <c r="AN407" s="11" t="inlineStr">
        <is>
          <t>Contenido</t>
        </is>
      </c>
      <c r="AO407" s="11" t="n"/>
      <c r="AP407" s="11" t="inlineStr">
        <is>
          <t>PISA-EP4;</t>
        </is>
      </c>
      <c r="AQ407" s="11" t="inlineStr">
        <is>
          <t>Local/nacional</t>
        </is>
      </c>
      <c r="AR407" s="11" t="inlineStr">
        <is>
          <t>Recursos naturales</t>
        </is>
      </c>
      <c r="AS407" s="11" t="inlineStr">
        <is>
          <t>Media</t>
        </is>
      </c>
      <c r="AT407" s="11" t="inlineStr">
        <is>
          <t>media</t>
        </is>
      </c>
      <c r="AU407" s="11" t="inlineStr">
        <is>
          <t>Modelo de cuenca hidrográfica y sus componentes</t>
        </is>
      </c>
      <c r="AV407" s="11" t="inlineStr">
        <is>
          <t>Ciclo 7°–9°</t>
        </is>
      </c>
      <c r="AW407" s="11">
        <f>AF407&amp;"; "&amp;AG407&amp;"; "&amp;AH407&amp;"; "&amp;AI407&amp;"; "&amp;AJ407</f>
        <v/>
      </c>
    </row>
    <row r="408">
      <c r="A408" s="11" t="inlineStr">
        <is>
          <t>T1042-G07-CIE</t>
        </is>
      </c>
      <c r="B408" s="11" t="n">
        <v>7</v>
      </c>
      <c r="C408" s="11" t="inlineStr">
        <is>
          <t>Ciencias</t>
        </is>
      </c>
      <c r="D408" s="11" t="inlineStr">
        <is>
          <t>Matriz_Ciencias_7mo_Grado_U1_U6.xlsx</t>
        </is>
      </c>
      <c r="E408" s="11" t="inlineStr">
        <is>
          <t>Unidad 5 - Recurso hídrico</t>
        </is>
      </c>
      <c r="F408" s="11" t="n">
        <v>5</v>
      </c>
      <c r="G408" s="11" t="inlineStr">
        <is>
          <t>5. Recurso hídrico</t>
        </is>
      </c>
      <c r="H408" s="11" t="inlineStr">
        <is>
          <t>La hidrósfera</t>
        </is>
      </c>
      <c r="I408" s="38" t="inlineStr">
        <is>
          <t>5.3. Estimación de caudal y volumen de cuerpos de aguas superficiales.</t>
        </is>
      </c>
      <c r="J408" s="11" t="inlineStr">
        <is>
          <t>T8_27</t>
        </is>
      </c>
      <c r="K408" s="11" t="inlineStr">
        <is>
          <t>T8_27-E1.1</t>
        </is>
      </c>
      <c r="L408" s="11" t="inlineStr"/>
      <c r="M408" s="11">
        <f>IF(K408="FUERA","Fuera del marco",IF(K408="N/A","Sin marco",IFERROR(INDEX('Datos - Catálogo TIMSS'!$C$5:$C$107,MATCH(K408,'Datos - Catálogo TIMSS'!$A$5:$A$107,0)),"Pendiente de clasificar")))</f>
        <v/>
      </c>
      <c r="N408" s="11">
        <f>IF(K408="FUERA","Fuera del marco",IF(K408="N/A","Sin marco",IFERROR(INDEX('Datos - Catálogo TIMSS'!$F$5:$F$107,MATCH(K408,'Datos - Catálogo TIMSS'!$A$5:$A$107,0)),"Pendiente de clasificar")))</f>
        <v/>
      </c>
      <c r="O408" s="11">
        <f>IF(L408="","",IFERROR(INDEX('Datos - Catálogo TIMSS'!$C$5:$C$107,MATCH(L408,'Datos - Catálogo TIMSS'!$A$5:$A$107,0)),"?"))</f>
        <v/>
      </c>
      <c r="P408" s="11" t="inlineStr">
        <is>
          <t>baja</t>
        </is>
      </c>
      <c r="Q408" s="38" t="inlineStr">
        <is>
          <t>Cálculo de caudal y volumen de aguas superficiales</t>
        </is>
      </c>
      <c r="R408" s="38" t="inlineStr">
        <is>
          <t>Aplicar: medir y calcular</t>
        </is>
      </c>
      <c r="S408" s="39">
        <f>IFERROR(ISNUMBER(SEARCH("Conocer",$R408))/(ISNUMBER(SEARCH("Conocer",$R408))+ISNUMBER(SEARCH("Aplicar",$R408))+ISNUMBER(SEARCH("Razonar",$R408))),0)</f>
        <v/>
      </c>
      <c r="T408" s="39">
        <f>IFERROR(ISNUMBER(SEARCH("Aplicar",$R408))/(ISNUMBER(SEARCH("Conocer",$R408))+ISNUMBER(SEARCH("Aplicar",$R408))+ISNUMBER(SEARCH("Razonar",$R408))),0)</f>
        <v/>
      </c>
      <c r="U408" s="39">
        <f>IFERROR(ISNUMBER(SEARCH("Razonar",$R408))/(ISNUMBER(SEARCH("Conocer",$R408))+ISNUMBER(SEARCH("Aplicar",$R408))+ISNUMBER(SEARCH("Razonar",$R408))),0)</f>
        <v/>
      </c>
      <c r="V408" s="11" t="inlineStr">
        <is>
          <t>7°</t>
        </is>
      </c>
      <c r="W408" s="11" t="inlineStr">
        <is>
          <t>Ciclo 5°–8°</t>
        </is>
      </c>
      <c r="X408" s="11">
        <f>IF(OR(IFERROR(INDEX('Datos - Catálogo TIMSS'!$I$5:$I$107,MATCH(K408,'Datos - Catálogo TIMSS'!$A$5:$A$107,0)),"No")="Sí",IFERROR(INDEX('Datos - Catálogo TIMSS'!$I$5:$I$107,MATCH(L408,'Datos - Catálogo TIMSS'!$A$5:$A$107,0)),"No")="Sí"),1,0)</f>
        <v/>
      </c>
      <c r="Y408" s="11">
        <f>IF(IFERROR(INDEX('Datos - Catálogo TIMSS'!$J$5:$J$107,MATCH(K408,'Datos - Catálogo TIMSS'!$A$5:$A$107,0)),"No")="Sí",1,0)</f>
        <v/>
      </c>
      <c r="Z408" s="11">
        <f>IF(IFERROR(INDEX('Datos - Catálogo TIMSS'!$J$5:$J$107,MATCH(L408,'Datos - Catálogo TIMSS'!$A$5:$A$107,0)),"No")="Sí",1,0)</f>
        <v/>
      </c>
      <c r="AA408" s="11" t="inlineStr">
        <is>
          <t>T8-T3.2</t>
        </is>
      </c>
      <c r="AB408" s="11" t="inlineStr"/>
      <c r="AC408" s="11">
        <f>IF(AA408="FUERA","Fuera del marco",IF(AA408="N/A","Sin marco",IFERROR(INDEX('Datos - TIMSS 2023'!$C$5:$C$105,MATCH(AA408,'Datos - TIMSS 2023'!$A$5:$A$105,0)),"Pendiente de clasificar")))</f>
        <v/>
      </c>
      <c r="AD408" s="11" t="inlineStr">
        <is>
          <t>2. Construir y evaluar diseños para la indagación científica e interpretar datos y evidencia de forma crítica</t>
        </is>
      </c>
      <c r="AE408" s="11">
        <f>IF(AD408="","",IF(LEFT(AD408,1)="1","C1",IF(LEFT(AD408,1)="2","C2",IF(LEFT(AD408,1)="3","C3",""))))</f>
        <v/>
      </c>
      <c r="AF408" s="11" t="inlineStr">
        <is>
          <t>E1</t>
        </is>
      </c>
      <c r="AG408" s="11" t="inlineStr">
        <is>
          <t>D1</t>
        </is>
      </c>
      <c r="AH408" s="11" t="inlineStr">
        <is>
          <t>E1</t>
        </is>
      </c>
      <c r="AI408" s="11" t="inlineStr">
        <is>
          <t>D4</t>
        </is>
      </c>
      <c r="AJ408" s="11" t="inlineStr">
        <is>
          <t>E3</t>
        </is>
      </c>
      <c r="AK408" s="11" t="inlineStr">
        <is>
          <t>PISA-T4</t>
        </is>
      </c>
      <c r="AL408" s="11" t="n"/>
      <c r="AM408" s="11">
        <f>IF(AK408="FUERA","Fuera del marco",IFERROR(INDEX('Datos - Catálogo PISA'!$C$5:$C$76,MATCH(AK408,'Datos - Catálogo PISA'!$A$5:$A$76,0)),"?"))</f>
        <v/>
      </c>
      <c r="AN408" s="11" t="inlineStr">
        <is>
          <t>Procedimental</t>
        </is>
      </c>
      <c r="AO408" s="11" t="inlineStr">
        <is>
          <t>PISA-PR2;</t>
        </is>
      </c>
      <c r="AP408" s="11" t="n"/>
      <c r="AQ408" s="11" t="inlineStr">
        <is>
          <t>Local/nacional</t>
        </is>
      </c>
      <c r="AR408" s="11" t="inlineStr">
        <is>
          <t>Recursos naturales</t>
        </is>
      </c>
      <c r="AS408" s="11" t="inlineStr">
        <is>
          <t>Media</t>
        </is>
      </c>
      <c r="AT408" s="11" t="inlineStr">
        <is>
          <t>media</t>
        </is>
      </c>
      <c r="AU408" s="11" t="inlineStr">
        <is>
          <t>Estima caudal y volumen de aguas superficiales</t>
        </is>
      </c>
      <c r="AV408" s="11" t="inlineStr">
        <is>
          <t>Ciclo 7°–9°</t>
        </is>
      </c>
      <c r="AW408" s="11">
        <f>AF408&amp;"; "&amp;AG408&amp;"; "&amp;AH408&amp;"; "&amp;AI408&amp;"; "&amp;AJ408</f>
        <v/>
      </c>
    </row>
    <row r="409">
      <c r="A409" s="11" t="inlineStr">
        <is>
          <t>T1043-G07-CIE</t>
        </is>
      </c>
      <c r="B409" s="11" t="n">
        <v>7</v>
      </c>
      <c r="C409" s="11" t="inlineStr">
        <is>
          <t>Ciencias</t>
        </is>
      </c>
      <c r="D409" s="11" t="inlineStr">
        <is>
          <t>Matriz_Ciencias_7mo_Grado_U1_U6.xlsx</t>
        </is>
      </c>
      <c r="E409" s="11" t="inlineStr">
        <is>
          <t>Unidad 5 - Recurso hídrico</t>
        </is>
      </c>
      <c r="F409" s="11" t="n">
        <v>6</v>
      </c>
      <c r="G409" s="11" t="inlineStr">
        <is>
          <t>5. Recurso hídrico</t>
        </is>
      </c>
      <c r="H409" s="11" t="inlineStr">
        <is>
          <t>La hidrósfera</t>
        </is>
      </c>
      <c r="I409" s="38" t="inlineStr">
        <is>
          <t>5.4. Análisis de la fluctuación estacional de los principales cuerpos de agua superficiales de El Salvador.</t>
        </is>
      </c>
      <c r="J409" s="11" t="inlineStr">
        <is>
          <t>T8_27</t>
        </is>
      </c>
      <c r="K409" s="11" t="inlineStr">
        <is>
          <t>T8_27-E2.3</t>
        </is>
      </c>
      <c r="L409" s="11" t="inlineStr">
        <is>
          <t>T8_27-E2.2</t>
        </is>
      </c>
      <c r="M409" s="11">
        <f>IF(K409="FUERA","Fuera del marco",IF(K409="N/A","Sin marco",IFERROR(INDEX('Datos - Catálogo TIMSS'!$C$5:$C$107,MATCH(K409,'Datos - Catálogo TIMSS'!$A$5:$A$107,0)),"Pendiente de clasificar")))</f>
        <v/>
      </c>
      <c r="N409" s="11">
        <f>IF(K409="FUERA","Fuera del marco",IF(K409="N/A","Sin marco",IFERROR(INDEX('Datos - Catálogo TIMSS'!$F$5:$F$107,MATCH(K409,'Datos - Catálogo TIMSS'!$A$5:$A$107,0)),"Pendiente de clasificar")))</f>
        <v/>
      </c>
      <c r="O409" s="11">
        <f>IF(L409="","",IFERROR(INDEX('Datos - Catálogo TIMSS'!$C$5:$C$107,MATCH(L409,'Datos - Catálogo TIMSS'!$A$5:$A$107,0)),"?"))</f>
        <v/>
      </c>
      <c r="P409" s="11" t="inlineStr">
        <is>
          <t>media</t>
        </is>
      </c>
      <c r="Q409" s="38" t="inlineStr">
        <is>
          <t>Interpreta datos de fluctuación estacional ligada al clima</t>
        </is>
      </c>
      <c r="R409" s="38" t="inlineStr">
        <is>
          <t>Aplicar: interpretar gráficas</t>
        </is>
      </c>
      <c r="S409" s="39">
        <f>IFERROR(ISNUMBER(SEARCH("Conocer",$R409))/(ISNUMBER(SEARCH("Conocer",$R409))+ISNUMBER(SEARCH("Aplicar",$R409))+ISNUMBER(SEARCH("Razonar",$R409))),0)</f>
        <v/>
      </c>
      <c r="T409" s="39">
        <f>IFERROR(ISNUMBER(SEARCH("Aplicar",$R409))/(ISNUMBER(SEARCH("Conocer",$R409))+ISNUMBER(SEARCH("Aplicar",$R409))+ISNUMBER(SEARCH("Razonar",$R409))),0)</f>
        <v/>
      </c>
      <c r="U409" s="39">
        <f>IFERROR(ISNUMBER(SEARCH("Razonar",$R409))/(ISNUMBER(SEARCH("Conocer",$R409))+ISNUMBER(SEARCH("Aplicar",$R409))+ISNUMBER(SEARCH("Razonar",$R409))),0)</f>
        <v/>
      </c>
      <c r="V409" s="11" t="inlineStr">
        <is>
          <t>7°</t>
        </is>
      </c>
      <c r="W409" s="11" t="inlineStr">
        <is>
          <t>Ciclo 5°–8°</t>
        </is>
      </c>
      <c r="X409" s="11">
        <f>IF(OR(IFERROR(INDEX('Datos - Catálogo TIMSS'!$I$5:$I$107,MATCH(K409,'Datos - Catálogo TIMSS'!$A$5:$A$107,0)),"No")="Sí",IFERROR(INDEX('Datos - Catálogo TIMSS'!$I$5:$I$107,MATCH(L409,'Datos - Catálogo TIMSS'!$A$5:$A$107,0)),"No")="Sí"),1,0)</f>
        <v/>
      </c>
      <c r="Y409" s="11">
        <f>IF(IFERROR(INDEX('Datos - Catálogo TIMSS'!$J$5:$J$107,MATCH(K409,'Datos - Catálogo TIMSS'!$A$5:$A$107,0)),"No")="Sí",1,0)</f>
        <v/>
      </c>
      <c r="Z409" s="11">
        <f>IF(IFERROR(INDEX('Datos - Catálogo TIMSS'!$J$5:$J$107,MATCH(L409,'Datos - Catálogo TIMSS'!$A$5:$A$107,0)),"No")="Sí",1,0)</f>
        <v/>
      </c>
      <c r="AA409" s="11" t="inlineStr">
        <is>
          <t>T8-T2.2</t>
        </is>
      </c>
      <c r="AB409" s="11" t="inlineStr">
        <is>
          <t>T8-T2.3</t>
        </is>
      </c>
      <c r="AC409" s="11">
        <f>IF(AA409="FUERA","Fuera del marco",IF(AA409="N/A","Sin marco",IFERROR(INDEX('Datos - TIMSS 2023'!$C$5:$C$105,MATCH(AA409,'Datos - TIMSS 2023'!$A$5:$A$105,0)),"Pendiente de clasificar")))</f>
        <v/>
      </c>
      <c r="AD409" s="11" t="inlineStr">
        <is>
          <t>2. Construir y evaluar diseños para la indagación científica e interpretar datos y evidencia de forma crítica</t>
        </is>
      </c>
      <c r="AE409" s="11">
        <f>IF(AD409="","",IF(LEFT(AD409,1)="1","C1",IF(LEFT(AD409,1)="2","C2",IF(LEFT(AD409,1)="3","C3",""))))</f>
        <v/>
      </c>
      <c r="AF409" s="11" t="inlineStr">
        <is>
          <t>E6</t>
        </is>
      </c>
      <c r="AG409" s="11" t="inlineStr">
        <is>
          <t>D1</t>
        </is>
      </c>
      <c r="AH409" s="11" t="inlineStr">
        <is>
          <t>E2</t>
        </is>
      </c>
      <c r="AI409" s="11" t="inlineStr">
        <is>
          <t>D4</t>
        </is>
      </c>
      <c r="AJ409" s="11" t="inlineStr">
        <is>
          <t>E6</t>
        </is>
      </c>
      <c r="AK409" s="11" t="inlineStr">
        <is>
          <t>PISA-T4</t>
        </is>
      </c>
      <c r="AL409" s="11" t="inlineStr">
        <is>
          <t>PISA-T3</t>
        </is>
      </c>
      <c r="AM409" s="11">
        <f>IF(AK409="FUERA","Fuera del marco",IFERROR(INDEX('Datos - Catálogo PISA'!$C$5:$C$76,MATCH(AK409,'Datos - Catálogo PISA'!$A$5:$A$76,0)),"?"))</f>
        <v/>
      </c>
      <c r="AN409" s="11" t="inlineStr">
        <is>
          <t>Contenido</t>
        </is>
      </c>
      <c r="AO409" s="11" t="inlineStr">
        <is>
          <t>PISA-PR5;</t>
        </is>
      </c>
      <c r="AP409" s="11" t="n"/>
      <c r="AQ409" s="11" t="inlineStr">
        <is>
          <t>Local/nacional</t>
        </is>
      </c>
      <c r="AR409" s="11" t="inlineStr">
        <is>
          <t>Recursos naturales</t>
        </is>
      </c>
      <c r="AS409" s="11" t="inlineStr">
        <is>
          <t>Media</t>
        </is>
      </c>
      <c r="AT409" s="11" t="inlineStr">
        <is>
          <t>alta</t>
        </is>
      </c>
      <c r="AU409" s="11" t="inlineStr">
        <is>
          <t>Fluctuación estacional de cuerpos de agua salvadoreños con datos</t>
        </is>
      </c>
      <c r="AV409" s="11" t="inlineStr">
        <is>
          <t>Ciclo 7°–9°</t>
        </is>
      </c>
      <c r="AW409" s="11">
        <f>AF409&amp;"; "&amp;AG409&amp;"; "&amp;AH409&amp;"; "&amp;AI409&amp;"; "&amp;AJ409</f>
        <v/>
      </c>
    </row>
    <row r="410">
      <c r="A410" s="11" t="inlineStr">
        <is>
          <t>T1044-G07-CIE</t>
        </is>
      </c>
      <c r="B410" s="11" t="n">
        <v>7</v>
      </c>
      <c r="C410" s="11" t="inlineStr">
        <is>
          <t>Ciencias</t>
        </is>
      </c>
      <c r="D410" s="11" t="inlineStr">
        <is>
          <t>Matriz_Ciencias_7mo_Grado_U1_U6.xlsx</t>
        </is>
      </c>
      <c r="E410" s="11" t="inlineStr">
        <is>
          <t>Unidad 5 - Recurso hídrico</t>
        </is>
      </c>
      <c r="F410" s="11" t="n">
        <v>7</v>
      </c>
      <c r="G410" s="11" t="inlineStr">
        <is>
          <t>5. Recurso hídrico</t>
        </is>
      </c>
      <c r="H410" s="11" t="inlineStr">
        <is>
          <t>La hidrósfera</t>
        </is>
      </c>
      <c r="I410" s="38" t="inlineStr">
        <is>
          <t>5.5. Experimentación con variaciones en la infiltración y la distribución vertical del agua.</t>
        </is>
      </c>
      <c r="J410" s="11" t="inlineStr">
        <is>
          <t>T8_27</t>
        </is>
      </c>
      <c r="K410" s="11" t="inlineStr">
        <is>
          <t>T8_27-E2.2</t>
        </is>
      </c>
      <c r="L410" s="11" t="inlineStr"/>
      <c r="M410" s="11">
        <f>IF(K410="FUERA","Fuera del marco",IF(K410="N/A","Sin marco",IFERROR(INDEX('Datos - Catálogo TIMSS'!$C$5:$C$107,MATCH(K410,'Datos - Catálogo TIMSS'!$A$5:$A$107,0)),"Pendiente de clasificar")))</f>
        <v/>
      </c>
      <c r="N410" s="11">
        <f>IF(K410="FUERA","Fuera del marco",IF(K410="N/A","Sin marco",IFERROR(INDEX('Datos - Catálogo TIMSS'!$F$5:$F$107,MATCH(K410,'Datos - Catálogo TIMSS'!$A$5:$A$107,0)),"Pendiente de clasificar")))</f>
        <v/>
      </c>
      <c r="O410" s="11">
        <f>IF(L410="","",IFERROR(INDEX('Datos - Catálogo TIMSS'!$C$5:$C$107,MATCH(L410,'Datos - Catálogo TIMSS'!$A$5:$A$107,0)),"?"))</f>
        <v/>
      </c>
      <c r="P410" s="11" t="inlineStr">
        <is>
          <t>media</t>
        </is>
      </c>
      <c r="Q410" s="38" t="inlineStr">
        <is>
          <t>Infiltración del agua en suelos, proceso del ciclo del agua</t>
        </is>
      </c>
      <c r="R410" s="38" t="inlineStr">
        <is>
          <t>Razonar: diseñar prueba justa y concluir</t>
        </is>
      </c>
      <c r="S410" s="39">
        <f>IFERROR(ISNUMBER(SEARCH("Conocer",$R410))/(ISNUMBER(SEARCH("Conocer",$R410))+ISNUMBER(SEARCH("Aplicar",$R410))+ISNUMBER(SEARCH("Razonar",$R410))),0)</f>
        <v/>
      </c>
      <c r="T410" s="39">
        <f>IFERROR(ISNUMBER(SEARCH("Aplicar",$R410))/(ISNUMBER(SEARCH("Conocer",$R410))+ISNUMBER(SEARCH("Aplicar",$R410))+ISNUMBER(SEARCH("Razonar",$R410))),0)</f>
        <v/>
      </c>
      <c r="U410" s="39">
        <f>IFERROR(ISNUMBER(SEARCH("Razonar",$R410))/(ISNUMBER(SEARCH("Conocer",$R410))+ISNUMBER(SEARCH("Aplicar",$R410))+ISNUMBER(SEARCH("Razonar",$R410))),0)</f>
        <v/>
      </c>
      <c r="V410" s="11" t="inlineStr">
        <is>
          <t>7°</t>
        </is>
      </c>
      <c r="W410" s="11" t="inlineStr">
        <is>
          <t>Ciclo 5°–8°</t>
        </is>
      </c>
      <c r="X410" s="11">
        <f>IF(OR(IFERROR(INDEX('Datos - Catálogo TIMSS'!$I$5:$I$107,MATCH(K410,'Datos - Catálogo TIMSS'!$A$5:$A$107,0)),"No")="Sí",IFERROR(INDEX('Datos - Catálogo TIMSS'!$I$5:$I$107,MATCH(L410,'Datos - Catálogo TIMSS'!$A$5:$A$107,0)),"No")="Sí"),1,0)</f>
        <v/>
      </c>
      <c r="Y410" s="11">
        <f>IF(IFERROR(INDEX('Datos - Catálogo TIMSS'!$J$5:$J$107,MATCH(K410,'Datos - Catálogo TIMSS'!$A$5:$A$107,0)),"No")="Sí",1,0)</f>
        <v/>
      </c>
      <c r="Z410" s="11">
        <f>IF(IFERROR(INDEX('Datos - Catálogo TIMSS'!$J$5:$J$107,MATCH(L410,'Datos - Catálogo TIMSS'!$A$5:$A$107,0)),"No")="Sí",1,0)</f>
        <v/>
      </c>
      <c r="AA410" s="11" t="inlineStr">
        <is>
          <t>T8-T2.2</t>
        </is>
      </c>
      <c r="AB410" s="11" t="inlineStr">
        <is>
          <t>T8-T3.2</t>
        </is>
      </c>
      <c r="AC410" s="11">
        <f>IF(AA410="FUERA","Fuera del marco",IF(AA410="N/A","Sin marco",IFERROR(INDEX('Datos - TIMSS 2023'!$C$5:$C$105,MATCH(AA410,'Datos - TIMSS 2023'!$A$5:$A$105,0)),"Pendiente de clasificar")))</f>
        <v/>
      </c>
      <c r="AD410" s="11" t="inlineStr">
        <is>
          <t>2. Construir y evaluar diseños para la indagación científica e interpretar datos y evidencia de forma crítica</t>
        </is>
      </c>
      <c r="AE410" s="11">
        <f>IF(AD410="","",IF(LEFT(AD410,1)="1","C1",IF(LEFT(AD410,1)="2","C2",IF(LEFT(AD410,1)="3","C3",""))))</f>
        <v/>
      </c>
      <c r="AF410" s="11" t="inlineStr">
        <is>
          <t>E1</t>
        </is>
      </c>
      <c r="AG410" s="11" t="inlineStr">
        <is>
          <t>E3</t>
        </is>
      </c>
      <c r="AH410" s="11" t="inlineStr">
        <is>
          <t>E1</t>
        </is>
      </c>
      <c r="AI410" s="11" t="inlineStr">
        <is>
          <t>D2</t>
        </is>
      </c>
      <c r="AJ410" s="11" t="inlineStr">
        <is>
          <t>E6</t>
        </is>
      </c>
      <c r="AK410" s="11" t="inlineStr">
        <is>
          <t>PISA-T4</t>
        </is>
      </c>
      <c r="AL410" s="11" t="inlineStr">
        <is>
          <t>PISA-T1</t>
        </is>
      </c>
      <c r="AM410" s="11">
        <f>IF(AK410="FUERA","Fuera del marco",IFERROR(INDEX('Datos - Catálogo PISA'!$C$5:$C$76,MATCH(AK410,'Datos - Catálogo PISA'!$A$5:$A$76,0)),"?"))</f>
        <v/>
      </c>
      <c r="AN410" s="11" t="inlineStr">
        <is>
          <t>Contenido</t>
        </is>
      </c>
      <c r="AO410" s="11" t="inlineStr">
        <is>
          <t>PISA-PR1; PISA-PR2;</t>
        </is>
      </c>
      <c r="AP410" s="11" t="n"/>
      <c r="AQ410" s="11" t="inlineStr">
        <is>
          <t>Sin contexto</t>
        </is>
      </c>
      <c r="AR410" s="11" t="n"/>
      <c r="AS410" s="11" t="inlineStr">
        <is>
          <t>Media</t>
        </is>
      </c>
      <c r="AT410" s="11" t="inlineStr">
        <is>
          <t>media</t>
        </is>
      </c>
      <c r="AU410" s="11" t="inlineStr">
        <is>
          <t>Experimento de infiltración del agua en suelos</t>
        </is>
      </c>
      <c r="AV410" s="11" t="inlineStr">
        <is>
          <t>Ciclo 7°–9°</t>
        </is>
      </c>
      <c r="AW410" s="11">
        <f>AF410&amp;"; "&amp;AG410&amp;"; "&amp;AH410&amp;"; "&amp;AI410&amp;"; "&amp;AJ410</f>
        <v/>
      </c>
    </row>
    <row r="411">
      <c r="A411" s="11" t="inlineStr">
        <is>
          <t>T1045-G07-CIE</t>
        </is>
      </c>
      <c r="B411" s="11" t="n">
        <v>7</v>
      </c>
      <c r="C411" s="11" t="inlineStr">
        <is>
          <t>Ciencias</t>
        </is>
      </c>
      <c r="D411" s="11" t="inlineStr">
        <is>
          <t>Matriz_Ciencias_7mo_Grado_U1_U6.xlsx</t>
        </is>
      </c>
      <c r="E411" s="11" t="inlineStr">
        <is>
          <t>Unidad 5 - Recurso hídrico</t>
        </is>
      </c>
      <c r="F411" s="11" t="n">
        <v>8</v>
      </c>
      <c r="G411" s="11" t="inlineStr">
        <is>
          <t>5. Recurso hídrico</t>
        </is>
      </c>
      <c r="H411" s="11" t="inlineStr">
        <is>
          <t>La hidrósfera</t>
        </is>
      </c>
      <c r="I411" s="38" t="inlineStr">
        <is>
          <t>5.6. Construcción de un modelo para representar los tipos de acuíferos.</t>
        </is>
      </c>
      <c r="J411" s="11" t="inlineStr">
        <is>
          <t>T8_27</t>
        </is>
      </c>
      <c r="K411" s="11" t="inlineStr">
        <is>
          <t>T8_27-E1.1</t>
        </is>
      </c>
      <c r="L411" s="11" t="inlineStr">
        <is>
          <t>T8_27-E2.2</t>
        </is>
      </c>
      <c r="M411" s="11">
        <f>IF(K411="FUERA","Fuera del marco",IF(K411="N/A","Sin marco",IFERROR(INDEX('Datos - Catálogo TIMSS'!$C$5:$C$107,MATCH(K411,'Datos - Catálogo TIMSS'!$A$5:$A$107,0)),"Pendiente de clasificar")))</f>
        <v/>
      </c>
      <c r="N411" s="11">
        <f>IF(K411="FUERA","Fuera del marco",IF(K411="N/A","Sin marco",IFERROR(INDEX('Datos - Catálogo TIMSS'!$F$5:$F$107,MATCH(K411,'Datos - Catálogo TIMSS'!$A$5:$A$107,0)),"Pendiente de clasificar")))</f>
        <v/>
      </c>
      <c r="O411" s="11">
        <f>IF(L411="","",IFERROR(INDEX('Datos - Catálogo TIMSS'!$C$5:$C$107,MATCH(L411,'Datos - Catálogo TIMSS'!$A$5:$A$107,0)),"?"))</f>
        <v/>
      </c>
      <c r="P411" s="11" t="inlineStr">
        <is>
          <t>media</t>
        </is>
      </c>
      <c r="Q411" s="38" t="inlineStr">
        <is>
          <t>Acuíferos: distribución del agua dulce subterránea</t>
        </is>
      </c>
      <c r="R411" s="38" t="inlineStr">
        <is>
          <t>Aplicar: construir modelos</t>
        </is>
      </c>
      <c r="S411" s="39">
        <f>IFERROR(ISNUMBER(SEARCH("Conocer",$R411))/(ISNUMBER(SEARCH("Conocer",$R411))+ISNUMBER(SEARCH("Aplicar",$R411))+ISNUMBER(SEARCH("Razonar",$R411))),0)</f>
        <v/>
      </c>
      <c r="T411" s="39">
        <f>IFERROR(ISNUMBER(SEARCH("Aplicar",$R411))/(ISNUMBER(SEARCH("Conocer",$R411))+ISNUMBER(SEARCH("Aplicar",$R411))+ISNUMBER(SEARCH("Razonar",$R411))),0)</f>
        <v/>
      </c>
      <c r="U411" s="39">
        <f>IFERROR(ISNUMBER(SEARCH("Razonar",$R411))/(ISNUMBER(SEARCH("Conocer",$R411))+ISNUMBER(SEARCH("Aplicar",$R411))+ISNUMBER(SEARCH("Razonar",$R411))),0)</f>
        <v/>
      </c>
      <c r="V411" s="11" t="inlineStr">
        <is>
          <t>7°</t>
        </is>
      </c>
      <c r="W411" s="11" t="inlineStr">
        <is>
          <t>Ciclo 5°–8°</t>
        </is>
      </c>
      <c r="X411" s="11">
        <f>IF(OR(IFERROR(INDEX('Datos - Catálogo TIMSS'!$I$5:$I$107,MATCH(K411,'Datos - Catálogo TIMSS'!$A$5:$A$107,0)),"No")="Sí",IFERROR(INDEX('Datos - Catálogo TIMSS'!$I$5:$I$107,MATCH(L411,'Datos - Catálogo TIMSS'!$A$5:$A$107,0)),"No")="Sí"),1,0)</f>
        <v/>
      </c>
      <c r="Y411" s="11">
        <f>IF(IFERROR(INDEX('Datos - Catálogo TIMSS'!$J$5:$J$107,MATCH(K411,'Datos - Catálogo TIMSS'!$A$5:$A$107,0)),"No")="Sí",1,0)</f>
        <v/>
      </c>
      <c r="Z411" s="11">
        <f>IF(IFERROR(INDEX('Datos - Catálogo TIMSS'!$J$5:$J$107,MATCH(L411,'Datos - Catálogo TIMSS'!$A$5:$A$107,0)),"No")="Sí",1,0)</f>
        <v/>
      </c>
      <c r="AA411" s="11" t="inlineStr">
        <is>
          <t>T8-T3.2</t>
        </is>
      </c>
      <c r="AB411" s="11" t="inlineStr">
        <is>
          <t>T8-T2.2</t>
        </is>
      </c>
      <c r="AC411" s="11">
        <f>IF(AA411="FUERA","Fuera del marco",IF(AA411="N/A","Sin marco",IFERROR(INDEX('Datos - TIMSS 2023'!$C$5:$C$105,MATCH(AA411,'Datos - TIMSS 2023'!$A$5:$A$105,0)),"Pendiente de clasificar")))</f>
        <v/>
      </c>
      <c r="AD411" s="11" t="inlineStr">
        <is>
          <t>1. Explicar fenómenos científicamente</t>
        </is>
      </c>
      <c r="AE411" s="11">
        <f>IF(AD411="","",IF(LEFT(AD411,1)="1","C1",IF(LEFT(AD411,1)="2","C2",IF(LEFT(AD411,1)="3","C3",""))))</f>
        <v/>
      </c>
      <c r="AF411" s="11" t="inlineStr">
        <is>
          <t>E1</t>
        </is>
      </c>
      <c r="AG411" s="11" t="inlineStr">
        <is>
          <t>D1</t>
        </is>
      </c>
      <c r="AH411" s="11" t="inlineStr">
        <is>
          <t>E4</t>
        </is>
      </c>
      <c r="AI411" s="11" t="inlineStr">
        <is>
          <t>E4</t>
        </is>
      </c>
      <c r="AJ411" s="11" t="inlineStr">
        <is>
          <t>E1</t>
        </is>
      </c>
      <c r="AK411" s="11" t="inlineStr">
        <is>
          <t>PISA-T4</t>
        </is>
      </c>
      <c r="AL411" s="11" t="n"/>
      <c r="AM411" s="11">
        <f>IF(AK411="FUERA","Fuera del marco",IFERROR(INDEX('Datos - Catálogo PISA'!$C$5:$C$76,MATCH(AK411,'Datos - Catálogo PISA'!$A$5:$A$76,0)),"?"))</f>
        <v/>
      </c>
      <c r="AN411" s="11" t="inlineStr">
        <is>
          <t>Contenido</t>
        </is>
      </c>
      <c r="AO411" s="11" t="n"/>
      <c r="AP411" s="11" t="inlineStr">
        <is>
          <t>PISA-EP4;</t>
        </is>
      </c>
      <c r="AQ411" s="11" t="inlineStr">
        <is>
          <t>Sin contexto</t>
        </is>
      </c>
      <c r="AR411" s="11" t="n"/>
      <c r="AS411" s="11" t="inlineStr">
        <is>
          <t>Media</t>
        </is>
      </c>
      <c r="AT411" s="11" t="inlineStr">
        <is>
          <t>alta</t>
        </is>
      </c>
      <c r="AU411" s="11" t="inlineStr">
        <is>
          <t>Modelo de tipos de acuíferos</t>
        </is>
      </c>
      <c r="AV411" s="11" t="inlineStr">
        <is>
          <t>Ciclo 7°–9°</t>
        </is>
      </c>
      <c r="AW411" s="11">
        <f>AF411&amp;"; "&amp;AG411&amp;"; "&amp;AH411&amp;"; "&amp;AI411&amp;"; "&amp;AJ411</f>
        <v/>
      </c>
    </row>
    <row r="412">
      <c r="A412" s="11" t="inlineStr">
        <is>
          <t>T1046-G07-CIE</t>
        </is>
      </c>
      <c r="B412" s="11" t="n">
        <v>7</v>
      </c>
      <c r="C412" s="11" t="inlineStr">
        <is>
          <t>Ciencias</t>
        </is>
      </c>
      <c r="D412" s="11" t="inlineStr">
        <is>
          <t>Matriz_Ciencias_7mo_Grado_U1_U6.xlsx</t>
        </is>
      </c>
      <c r="E412" s="11" t="inlineStr">
        <is>
          <t>Unidad 5 - Recurso hídrico</t>
        </is>
      </c>
      <c r="F412" s="11" t="n">
        <v>9</v>
      </c>
      <c r="G412" s="11" t="inlineStr">
        <is>
          <t>5. Recurso hídrico</t>
        </is>
      </c>
      <c r="H412" s="11" t="inlineStr">
        <is>
          <t>Recursos hídricos de El Salvador</t>
        </is>
      </c>
      <c r="I412" s="38" t="inlineStr">
        <is>
          <t>5.7. Identificación de las regiones hidrogeológicas de El Salvador a partir de mapas.</t>
        </is>
      </c>
      <c r="J412" s="11" t="inlineStr">
        <is>
          <t>T8_27</t>
        </is>
      </c>
      <c r="K412" s="11" t="inlineStr">
        <is>
          <t>T8_27-E1.1</t>
        </is>
      </c>
      <c r="L412" s="11" t="inlineStr"/>
      <c r="M412" s="11">
        <f>IF(K412="FUERA","Fuera del marco",IF(K412="N/A","Sin marco",IFERROR(INDEX('Datos - Catálogo TIMSS'!$C$5:$C$107,MATCH(K412,'Datos - Catálogo TIMSS'!$A$5:$A$107,0)),"Pendiente de clasificar")))</f>
        <v/>
      </c>
      <c r="N412" s="11">
        <f>IF(K412="FUERA","Fuera del marco",IF(K412="N/A","Sin marco",IFERROR(INDEX('Datos - Catálogo TIMSS'!$F$5:$F$107,MATCH(K412,'Datos - Catálogo TIMSS'!$A$5:$A$107,0)),"Pendiente de clasificar")))</f>
        <v/>
      </c>
      <c r="O412" s="11">
        <f>IF(L412="","",IFERROR(INDEX('Datos - Catálogo TIMSS'!$C$5:$C$107,MATCH(L412,'Datos - Catálogo TIMSS'!$A$5:$A$107,0)),"?"))</f>
        <v/>
      </c>
      <c r="P412" s="11" t="inlineStr">
        <is>
          <t>baja</t>
        </is>
      </c>
      <c r="Q412" s="38" t="inlineStr">
        <is>
          <t>Regiones hidrogeológicas en mapas: distribución del agua</t>
        </is>
      </c>
      <c r="R412" s="38" t="inlineStr">
        <is>
          <t>Aplicar: interpretar mapas</t>
        </is>
      </c>
      <c r="S412" s="39">
        <f>IFERROR(ISNUMBER(SEARCH("Conocer",$R412))/(ISNUMBER(SEARCH("Conocer",$R412))+ISNUMBER(SEARCH("Aplicar",$R412))+ISNUMBER(SEARCH("Razonar",$R412))),0)</f>
        <v/>
      </c>
      <c r="T412" s="39">
        <f>IFERROR(ISNUMBER(SEARCH("Aplicar",$R412))/(ISNUMBER(SEARCH("Conocer",$R412))+ISNUMBER(SEARCH("Aplicar",$R412))+ISNUMBER(SEARCH("Razonar",$R412))),0)</f>
        <v/>
      </c>
      <c r="U412" s="39">
        <f>IFERROR(ISNUMBER(SEARCH("Razonar",$R412))/(ISNUMBER(SEARCH("Conocer",$R412))+ISNUMBER(SEARCH("Aplicar",$R412))+ISNUMBER(SEARCH("Razonar",$R412))),0)</f>
        <v/>
      </c>
      <c r="V412" s="11" t="inlineStr">
        <is>
          <t>7°</t>
        </is>
      </c>
      <c r="W412" s="11" t="inlineStr">
        <is>
          <t>Ciclo 5°–8°</t>
        </is>
      </c>
      <c r="X412" s="11">
        <f>IF(OR(IFERROR(INDEX('Datos - Catálogo TIMSS'!$I$5:$I$107,MATCH(K412,'Datos - Catálogo TIMSS'!$A$5:$A$107,0)),"No")="Sí",IFERROR(INDEX('Datos - Catálogo TIMSS'!$I$5:$I$107,MATCH(L412,'Datos - Catálogo TIMSS'!$A$5:$A$107,0)),"No")="Sí"),1,0)</f>
        <v/>
      </c>
      <c r="Y412" s="11">
        <f>IF(IFERROR(INDEX('Datos - Catálogo TIMSS'!$J$5:$J$107,MATCH(K412,'Datos - Catálogo TIMSS'!$A$5:$A$107,0)),"No")="Sí",1,0)</f>
        <v/>
      </c>
      <c r="Z412" s="11">
        <f>IF(IFERROR(INDEX('Datos - Catálogo TIMSS'!$J$5:$J$107,MATCH(L412,'Datos - Catálogo TIMSS'!$A$5:$A$107,0)),"No")="Sí",1,0)</f>
        <v/>
      </c>
      <c r="AA412" s="11" t="inlineStr">
        <is>
          <t>T8-T3.2</t>
        </is>
      </c>
      <c r="AB412" s="11" t="inlineStr"/>
      <c r="AC412" s="11">
        <f>IF(AA412="FUERA","Fuera del marco",IF(AA412="N/A","Sin marco",IFERROR(INDEX('Datos - TIMSS 2023'!$C$5:$C$105,MATCH(AA412,'Datos - TIMSS 2023'!$A$5:$A$105,0)),"Pendiente de clasificar")))</f>
        <v/>
      </c>
      <c r="AD412" s="11" t="inlineStr">
        <is>
          <t>3. Investigar, evaluar y usar información científica para tomar decisiones y actuar</t>
        </is>
      </c>
      <c r="AE412" s="11">
        <f>IF(AD412="","",IF(LEFT(AD412,1)="1","C1",IF(LEFT(AD412,1)="2","C2",IF(LEFT(AD412,1)="3","C3",""))))</f>
        <v/>
      </c>
      <c r="AF412" s="11" t="inlineStr">
        <is>
          <t>E6</t>
        </is>
      </c>
      <c r="AG412" s="11" t="inlineStr">
        <is>
          <t>D1</t>
        </is>
      </c>
      <c r="AH412" s="11" t="inlineStr">
        <is>
          <t>E2</t>
        </is>
      </c>
      <c r="AI412" s="11" t="inlineStr">
        <is>
          <t>I1</t>
        </is>
      </c>
      <c r="AJ412" s="11" t="inlineStr">
        <is>
          <t>I5</t>
        </is>
      </c>
      <c r="AK412" s="11" t="inlineStr">
        <is>
          <t>PISA-T4</t>
        </is>
      </c>
      <c r="AL412" s="11" t="n"/>
      <c r="AM412" s="11">
        <f>IF(AK412="FUERA","Fuera del marco",IFERROR(INDEX('Datos - Catálogo PISA'!$C$5:$C$76,MATCH(AK412,'Datos - Catálogo PISA'!$A$5:$A$76,0)),"?"))</f>
        <v/>
      </c>
      <c r="AN412" s="11" t="inlineStr">
        <is>
          <t>Contenido</t>
        </is>
      </c>
      <c r="AO412" s="11" t="n"/>
      <c r="AP412" s="11" t="n"/>
      <c r="AQ412" s="11" t="inlineStr">
        <is>
          <t>Local/nacional</t>
        </is>
      </c>
      <c r="AR412" s="11" t="inlineStr">
        <is>
          <t>Recursos naturales</t>
        </is>
      </c>
      <c r="AS412" s="11" t="inlineStr">
        <is>
          <t>Baja</t>
        </is>
      </c>
      <c r="AT412" s="11" t="inlineStr">
        <is>
          <t>alta</t>
        </is>
      </c>
      <c r="AU412" s="11" t="inlineStr">
        <is>
          <t>Regiones hidrogeológicas de El Salvador en mapa</t>
        </is>
      </c>
      <c r="AV412" s="11" t="inlineStr">
        <is>
          <t>Ciclo 7°–9°</t>
        </is>
      </c>
      <c r="AW412" s="11">
        <f>AF412&amp;"; "&amp;AG412&amp;"; "&amp;AH412&amp;"; "&amp;AI412&amp;"; "&amp;AJ412</f>
        <v/>
      </c>
    </row>
    <row r="413">
      <c r="A413" s="11" t="inlineStr">
        <is>
          <t>T1047-G07-CIE</t>
        </is>
      </c>
      <c r="B413" s="11" t="n">
        <v>7</v>
      </c>
      <c r="C413" s="11" t="inlineStr">
        <is>
          <t>Ciencias</t>
        </is>
      </c>
      <c r="D413" s="11" t="inlineStr">
        <is>
          <t>Matriz_Ciencias_7mo_Grado_U1_U6.xlsx</t>
        </is>
      </c>
      <c r="E413" s="11" t="inlineStr">
        <is>
          <t>Unidad 5 - Recurso hídrico</t>
        </is>
      </c>
      <c r="F413" s="11" t="n">
        <v>10</v>
      </c>
      <c r="G413" s="11" t="inlineStr">
        <is>
          <t>5. Recurso hídrico</t>
        </is>
      </c>
      <c r="H413" s="11" t="inlineStr">
        <is>
          <t>Calidad del agua</t>
        </is>
      </c>
      <c r="I413" s="38" t="inlineStr">
        <is>
          <t>5.8. Reconocimiento de parámetros biológicos de calidad del agua.</t>
        </is>
      </c>
      <c r="J413" s="11" t="inlineStr">
        <is>
          <t>T8_27</t>
        </is>
      </c>
      <c r="K413" s="11" t="inlineStr">
        <is>
          <t>T8_27-B5.6</t>
        </is>
      </c>
      <c r="L413" s="11" t="inlineStr"/>
      <c r="M413" s="11">
        <f>IF(K413="FUERA","Fuera del marco",IF(K413="N/A","Sin marco",IFERROR(INDEX('Datos - Catálogo TIMSS'!$C$5:$C$107,MATCH(K413,'Datos - Catálogo TIMSS'!$A$5:$A$107,0)),"Pendiente de clasificar")))</f>
        <v/>
      </c>
      <c r="N413" s="11">
        <f>IF(K413="FUERA","Fuera del marco",IF(K413="N/A","Sin marco",IFERROR(INDEX('Datos - Catálogo TIMSS'!$F$5:$F$107,MATCH(K413,'Datos - Catálogo TIMSS'!$A$5:$A$107,0)),"Pendiente de clasificar")))</f>
        <v/>
      </c>
      <c r="O413" s="11">
        <f>IF(L413="","",IFERROR(INDEX('Datos - Catálogo TIMSS'!$C$5:$C$107,MATCH(L413,'Datos - Catálogo TIMSS'!$A$5:$A$107,0)),"?"))</f>
        <v/>
      </c>
      <c r="P413" s="11" t="inlineStr">
        <is>
          <t>media</t>
        </is>
      </c>
      <c r="Q413" s="38" t="inlineStr">
        <is>
          <t>Bioindicadores revelan contaminación del agua y su efecto</t>
        </is>
      </c>
      <c r="R413" s="38" t="inlineStr">
        <is>
          <t>Aplicar: identificar. Razonar: interpretar</t>
        </is>
      </c>
      <c r="S413" s="39">
        <f>IFERROR(ISNUMBER(SEARCH("Conocer",$R413))/(ISNUMBER(SEARCH("Conocer",$R413))+ISNUMBER(SEARCH("Aplicar",$R413))+ISNUMBER(SEARCH("Razonar",$R413))),0)</f>
        <v/>
      </c>
      <c r="T413" s="39">
        <f>IFERROR(ISNUMBER(SEARCH("Aplicar",$R413))/(ISNUMBER(SEARCH("Conocer",$R413))+ISNUMBER(SEARCH("Aplicar",$R413))+ISNUMBER(SEARCH("Razonar",$R413))),0)</f>
        <v/>
      </c>
      <c r="U413" s="39">
        <f>IFERROR(ISNUMBER(SEARCH("Razonar",$R413))/(ISNUMBER(SEARCH("Conocer",$R413))+ISNUMBER(SEARCH("Aplicar",$R413))+ISNUMBER(SEARCH("Razonar",$R413))),0)</f>
        <v/>
      </c>
      <c r="V413" s="11" t="inlineStr">
        <is>
          <t>7°</t>
        </is>
      </c>
      <c r="W413" s="11" t="inlineStr">
        <is>
          <t>Ciclo 5°–8°</t>
        </is>
      </c>
      <c r="X413" s="11">
        <f>IF(OR(IFERROR(INDEX('Datos - Catálogo TIMSS'!$I$5:$I$107,MATCH(K413,'Datos - Catálogo TIMSS'!$A$5:$A$107,0)),"No")="Sí",IFERROR(INDEX('Datos - Catálogo TIMSS'!$I$5:$I$107,MATCH(L413,'Datos - Catálogo TIMSS'!$A$5:$A$107,0)),"No")="Sí"),1,0)</f>
        <v/>
      </c>
      <c r="Y413" s="11">
        <f>IF(IFERROR(INDEX('Datos - Catálogo TIMSS'!$J$5:$J$107,MATCH(K413,'Datos - Catálogo TIMSS'!$A$5:$A$107,0)),"No")="Sí",1,0)</f>
        <v/>
      </c>
      <c r="Z413" s="11">
        <f>IF(IFERROR(INDEX('Datos - Catálogo TIMSS'!$J$5:$J$107,MATCH(L413,'Datos - Catálogo TIMSS'!$A$5:$A$107,0)),"No")="Sí",1,0)</f>
        <v/>
      </c>
      <c r="AA413" s="11" t="inlineStr">
        <is>
          <t>T8-B5.5</t>
        </is>
      </c>
      <c r="AB413" s="11" t="inlineStr">
        <is>
          <t>T8-T3.2</t>
        </is>
      </c>
      <c r="AC413" s="11">
        <f>IF(AA413="FUERA","Fuera del marco",IF(AA413="N/A","Sin marco",IFERROR(INDEX('Datos - TIMSS 2023'!$C$5:$C$105,MATCH(AA413,'Datos - TIMSS 2023'!$A$5:$A$105,0)),"Pendiente de clasificar")))</f>
        <v/>
      </c>
      <c r="AD413" s="11" t="inlineStr">
        <is>
          <t>2. Construir y evaluar diseños para la indagación científica e interpretar datos y evidencia de forma crítica</t>
        </is>
      </c>
      <c r="AE413" s="11">
        <f>IF(AD413="","",IF(LEFT(AD413,1)="1","C1",IF(LEFT(AD413,1)="2","C2",IF(LEFT(AD413,1)="3","C3",""))))</f>
        <v/>
      </c>
      <c r="AF413" s="11" t="inlineStr">
        <is>
          <t>E1</t>
        </is>
      </c>
      <c r="AG413" s="11" t="inlineStr">
        <is>
          <t>D1</t>
        </is>
      </c>
      <c r="AH413" s="11" t="inlineStr">
        <is>
          <t>E1</t>
        </is>
      </c>
      <c r="AI413" s="11" t="inlineStr">
        <is>
          <t>D4</t>
        </is>
      </c>
      <c r="AJ413" s="11" t="inlineStr">
        <is>
          <t>E6</t>
        </is>
      </c>
      <c r="AK413" s="11" t="inlineStr">
        <is>
          <t>PISA-V6</t>
        </is>
      </c>
      <c r="AL413" s="11" t="inlineStr">
        <is>
          <t>PISA-T4</t>
        </is>
      </c>
      <c r="AM413" s="11">
        <f>IF(AK413="FUERA","Fuera del marco",IFERROR(INDEX('Datos - Catálogo PISA'!$C$5:$C$76,MATCH(AK413,'Datos - Catálogo PISA'!$A$5:$A$76,0)),"?"))</f>
        <v/>
      </c>
      <c r="AN413" s="11" t="inlineStr">
        <is>
          <t>Contenido</t>
        </is>
      </c>
      <c r="AO413" s="11" t="inlineStr">
        <is>
          <t>PISA-PR2;</t>
        </is>
      </c>
      <c r="AP413" s="11" t="n"/>
      <c r="AQ413" s="11" t="inlineStr">
        <is>
          <t>Local/nacional</t>
        </is>
      </c>
      <c r="AR413" s="11" t="inlineStr">
        <is>
          <t>Impactos ambientales y cambio climático</t>
        </is>
      </c>
      <c r="AS413" s="11" t="inlineStr">
        <is>
          <t>Media</t>
        </is>
      </c>
      <c r="AT413" s="11" t="inlineStr">
        <is>
          <t>media</t>
        </is>
      </c>
      <c r="AU413" s="11" t="inlineStr">
        <is>
          <t>Bioindicadores de calidad del agua</t>
        </is>
      </c>
      <c r="AV413" s="11" t="inlineStr">
        <is>
          <t>Ciclo 7°–9°</t>
        </is>
      </c>
      <c r="AW413" s="11">
        <f>AF413&amp;"; "&amp;AG413&amp;"; "&amp;AH413&amp;"; "&amp;AI413&amp;"; "&amp;AJ413</f>
        <v/>
      </c>
    </row>
    <row r="414">
      <c r="A414" s="11" t="inlineStr">
        <is>
          <t>T1048-G07-CIE</t>
        </is>
      </c>
      <c r="B414" s="11" t="n">
        <v>7</v>
      </c>
      <c r="C414" s="11" t="inlineStr">
        <is>
          <t>Ciencias</t>
        </is>
      </c>
      <c r="D414" s="11" t="inlineStr">
        <is>
          <t>Matriz_Ciencias_7mo_Grado_U1_U6.xlsx</t>
        </is>
      </c>
      <c r="E414" s="11" t="inlineStr">
        <is>
          <t>Unidad 5 - Recurso hídrico</t>
        </is>
      </c>
      <c r="F414" s="11" t="n">
        <v>11</v>
      </c>
      <c r="G414" s="11" t="inlineStr">
        <is>
          <t>5. Recurso hídrico</t>
        </is>
      </c>
      <c r="H414" s="11" t="inlineStr">
        <is>
          <t>Calidad del agua</t>
        </is>
      </c>
      <c r="I414" s="38" t="inlineStr">
        <is>
          <t>5.9. Medición experimental de parámetros fisicoquímicos de calidad de agua.</t>
        </is>
      </c>
      <c r="J414" s="11" t="inlineStr">
        <is>
          <t>T8_27</t>
        </is>
      </c>
      <c r="K414" s="11" t="inlineStr">
        <is>
          <t>T8_27-C2.3</t>
        </is>
      </c>
      <c r="L414" s="11" t="inlineStr">
        <is>
          <t>T8_27-C4.1</t>
        </is>
      </c>
      <c r="M414" s="11">
        <f>IF(K414="FUERA","Fuera del marco",IF(K414="N/A","Sin marco",IFERROR(INDEX('Datos - Catálogo TIMSS'!$C$5:$C$107,MATCH(K414,'Datos - Catálogo TIMSS'!$A$5:$A$107,0)),"Pendiente de clasificar")))</f>
        <v/>
      </c>
      <c r="N414" s="11">
        <f>IF(K414="FUERA","Fuera del marco",IF(K414="N/A","Sin marco",IFERROR(INDEX('Datos - Catálogo TIMSS'!$F$5:$F$107,MATCH(K414,'Datos - Catálogo TIMSS'!$A$5:$A$107,0)),"Pendiente de clasificar")))</f>
        <v/>
      </c>
      <c r="O414" s="11">
        <f>IF(L414="","",IFERROR(INDEX('Datos - Catálogo TIMSS'!$C$5:$C$107,MATCH(L414,'Datos - Catálogo TIMSS'!$A$5:$A$107,0)),"?"))</f>
        <v/>
      </c>
      <c r="P414" s="11" t="inlineStr">
        <is>
          <t>baja</t>
        </is>
      </c>
      <c r="Q414" s="38" t="inlineStr">
        <is>
          <t>Medición de parámetros fisicoquímicos del agua, incluido pH</t>
        </is>
      </c>
      <c r="R414" s="38" t="inlineStr">
        <is>
          <t>Aplicar: medir. Razonar: comparar</t>
        </is>
      </c>
      <c r="S414" s="39">
        <f>IFERROR(ISNUMBER(SEARCH("Conocer",$R414))/(ISNUMBER(SEARCH("Conocer",$R414))+ISNUMBER(SEARCH("Aplicar",$R414))+ISNUMBER(SEARCH("Razonar",$R414))),0)</f>
        <v/>
      </c>
      <c r="T414" s="39">
        <f>IFERROR(ISNUMBER(SEARCH("Aplicar",$R414))/(ISNUMBER(SEARCH("Conocer",$R414))+ISNUMBER(SEARCH("Aplicar",$R414))+ISNUMBER(SEARCH("Razonar",$R414))),0)</f>
        <v/>
      </c>
      <c r="U414" s="39">
        <f>IFERROR(ISNUMBER(SEARCH("Razonar",$R414))/(ISNUMBER(SEARCH("Conocer",$R414))+ISNUMBER(SEARCH("Aplicar",$R414))+ISNUMBER(SEARCH("Razonar",$R414))),0)</f>
        <v/>
      </c>
      <c r="V414" s="11" t="inlineStr">
        <is>
          <t>7°</t>
        </is>
      </c>
      <c r="W414" s="11" t="inlineStr">
        <is>
          <t>Ciclo 5°–8°</t>
        </is>
      </c>
      <c r="X414" s="11">
        <f>IF(OR(IFERROR(INDEX('Datos - Catálogo TIMSS'!$I$5:$I$107,MATCH(K414,'Datos - Catálogo TIMSS'!$A$5:$A$107,0)),"No")="Sí",IFERROR(INDEX('Datos - Catálogo TIMSS'!$I$5:$I$107,MATCH(L414,'Datos - Catálogo TIMSS'!$A$5:$A$107,0)),"No")="Sí"),1,0)</f>
        <v/>
      </c>
      <c r="Y414" s="11">
        <f>IF(IFERROR(INDEX('Datos - Catálogo TIMSS'!$J$5:$J$107,MATCH(K414,'Datos - Catálogo TIMSS'!$A$5:$A$107,0)),"No")="Sí",1,0)</f>
        <v/>
      </c>
      <c r="Z414" s="11">
        <f>IF(IFERROR(INDEX('Datos - Catálogo TIMSS'!$J$5:$J$107,MATCH(L414,'Datos - Catálogo TIMSS'!$A$5:$A$107,0)),"No")="Sí",1,0)</f>
        <v/>
      </c>
      <c r="AA414" s="11" t="inlineStr">
        <is>
          <t>T8-T3.2</t>
        </is>
      </c>
      <c r="AB414" s="11" t="inlineStr">
        <is>
          <t>T8-Q2.4</t>
        </is>
      </c>
      <c r="AC414" s="11">
        <f>IF(AA414="FUERA","Fuera del marco",IF(AA414="N/A","Sin marco",IFERROR(INDEX('Datos - TIMSS 2023'!$C$5:$C$105,MATCH(AA414,'Datos - TIMSS 2023'!$A$5:$A$105,0)),"Pendiente de clasificar")))</f>
        <v/>
      </c>
      <c r="AD414" s="11" t="inlineStr">
        <is>
          <t>2. Construir y evaluar diseños para la indagación científica e interpretar datos y evidencia de forma crítica</t>
        </is>
      </c>
      <c r="AE414" s="11">
        <f>IF(AD414="","",IF(LEFT(AD414,1)="1","C1",IF(LEFT(AD414,1)="2","C2",IF(LEFT(AD414,1)="3","C3",""))))</f>
        <v/>
      </c>
      <c r="AF414" s="11" t="inlineStr">
        <is>
          <t>E1</t>
        </is>
      </c>
      <c r="AG414" s="11" t="inlineStr">
        <is>
          <t>E3</t>
        </is>
      </c>
      <c r="AH414" s="11" t="inlineStr">
        <is>
          <t>E1</t>
        </is>
      </c>
      <c r="AI414" s="11" t="inlineStr">
        <is>
          <t>D4</t>
        </is>
      </c>
      <c r="AJ414" s="11" t="inlineStr">
        <is>
          <t>E6</t>
        </is>
      </c>
      <c r="AK414" s="11" t="inlineStr">
        <is>
          <t>PISA-T4</t>
        </is>
      </c>
      <c r="AL414" s="11" t="inlineStr">
        <is>
          <t>PISA-F2</t>
        </is>
      </c>
      <c r="AM414" s="11">
        <f>IF(AK414="FUERA","Fuera del marco",IFERROR(INDEX('Datos - Catálogo PISA'!$C$5:$C$76,MATCH(AK414,'Datos - Catálogo PISA'!$A$5:$A$76,0)),"?"))</f>
        <v/>
      </c>
      <c r="AN414" s="11" t="inlineStr">
        <is>
          <t>Procedimental</t>
        </is>
      </c>
      <c r="AO414" s="11" t="inlineStr">
        <is>
          <t>PISA-PR2; PISA-PR5;</t>
        </is>
      </c>
      <c r="AP414" s="11" t="n"/>
      <c r="AQ414" s="11" t="inlineStr">
        <is>
          <t>Local/nacional</t>
        </is>
      </c>
      <c r="AR414" s="11" t="inlineStr">
        <is>
          <t>Recursos naturales</t>
        </is>
      </c>
      <c r="AS414" s="11" t="inlineStr">
        <is>
          <t>Media</t>
        </is>
      </c>
      <c r="AT414" s="11" t="inlineStr">
        <is>
          <t>media</t>
        </is>
      </c>
      <c r="AU414" s="11" t="inlineStr">
        <is>
          <t>Mide parámetros fisicoquímicos de calidad de agua</t>
        </is>
      </c>
      <c r="AV414" s="11" t="inlineStr">
        <is>
          <t>Ciclo 7°–9°</t>
        </is>
      </c>
      <c r="AW414" s="11">
        <f>AF414&amp;"; "&amp;AG414&amp;"; "&amp;AH414&amp;"; "&amp;AI414&amp;"; "&amp;AJ414</f>
        <v/>
      </c>
    </row>
    <row r="415">
      <c r="A415" s="11" t="inlineStr">
        <is>
          <t>T1049-G07-CIE</t>
        </is>
      </c>
      <c r="B415" s="11" t="n">
        <v>7</v>
      </c>
      <c r="C415" s="11" t="inlineStr">
        <is>
          <t>Ciencias</t>
        </is>
      </c>
      <c r="D415" s="11" t="inlineStr">
        <is>
          <t>Matriz_Ciencias_7mo_Grado_U1_U6.xlsx</t>
        </is>
      </c>
      <c r="E415" s="11" t="inlineStr">
        <is>
          <t>Unidad 5 - Recurso hídrico</t>
        </is>
      </c>
      <c r="F415" s="11" t="n">
        <v>12</v>
      </c>
      <c r="G415" s="11" t="inlineStr">
        <is>
          <t>5. Recurso hídrico</t>
        </is>
      </c>
      <c r="H415" s="11" t="inlineStr">
        <is>
          <t>Calidad del agua</t>
        </is>
      </c>
      <c r="I415" s="38" t="inlineStr">
        <is>
          <t>5.10. Reconocimiento de los usos potenciales del agua de acuerdo con su índice de calidad (ICA).</t>
        </is>
      </c>
      <c r="J415" s="11" t="inlineStr">
        <is>
          <t>T8_27</t>
        </is>
      </c>
      <c r="K415" s="11" t="inlineStr">
        <is>
          <t>T8_27-E3.2</t>
        </is>
      </c>
      <c r="L415" s="11" t="inlineStr">
        <is>
          <t>T8_27-B5.6</t>
        </is>
      </c>
      <c r="M415" s="11">
        <f>IF(K415="FUERA","Fuera del marco",IF(K415="N/A","Sin marco",IFERROR(INDEX('Datos - Catálogo TIMSS'!$C$5:$C$107,MATCH(K415,'Datos - Catálogo TIMSS'!$A$5:$A$107,0)),"Pendiente de clasificar")))</f>
        <v/>
      </c>
      <c r="N415" s="11">
        <f>IF(K415="FUERA","Fuera del marco",IF(K415="N/A","Sin marco",IFERROR(INDEX('Datos - Catálogo TIMSS'!$F$5:$F$107,MATCH(K415,'Datos - Catálogo TIMSS'!$A$5:$A$107,0)),"Pendiente de clasificar")))</f>
        <v/>
      </c>
      <c r="O415" s="11">
        <f>IF(L415="","",IFERROR(INDEX('Datos - Catálogo TIMSS'!$C$5:$C$107,MATCH(L415,'Datos - Catálogo TIMSS'!$A$5:$A$107,0)),"?"))</f>
        <v/>
      </c>
      <c r="P415" s="11" t="inlineStr">
        <is>
          <t>baja</t>
        </is>
      </c>
      <c r="Q415" s="38" t="inlineStr">
        <is>
          <t>Calidad del agua determina sus usos; gestión del recurso</t>
        </is>
      </c>
      <c r="R415" s="38" t="inlineStr">
        <is>
          <t>Razonar: interpretar índices y justificar</t>
        </is>
      </c>
      <c r="S415" s="39">
        <f>IFERROR(ISNUMBER(SEARCH("Conocer",$R415))/(ISNUMBER(SEARCH("Conocer",$R415))+ISNUMBER(SEARCH("Aplicar",$R415))+ISNUMBER(SEARCH("Razonar",$R415))),0)</f>
        <v/>
      </c>
      <c r="T415" s="39">
        <f>IFERROR(ISNUMBER(SEARCH("Aplicar",$R415))/(ISNUMBER(SEARCH("Conocer",$R415))+ISNUMBER(SEARCH("Aplicar",$R415))+ISNUMBER(SEARCH("Razonar",$R415))),0)</f>
        <v/>
      </c>
      <c r="U415" s="39">
        <f>IFERROR(ISNUMBER(SEARCH("Razonar",$R415))/(ISNUMBER(SEARCH("Conocer",$R415))+ISNUMBER(SEARCH("Aplicar",$R415))+ISNUMBER(SEARCH("Razonar",$R415))),0)</f>
        <v/>
      </c>
      <c r="V415" s="11" t="inlineStr">
        <is>
          <t>7°</t>
        </is>
      </c>
      <c r="W415" s="11" t="inlineStr">
        <is>
          <t>Ciclo 5°–8°</t>
        </is>
      </c>
      <c r="X415" s="11">
        <f>IF(OR(IFERROR(INDEX('Datos - Catálogo TIMSS'!$I$5:$I$107,MATCH(K415,'Datos - Catálogo TIMSS'!$A$5:$A$107,0)),"No")="Sí",IFERROR(INDEX('Datos - Catálogo TIMSS'!$I$5:$I$107,MATCH(L415,'Datos - Catálogo TIMSS'!$A$5:$A$107,0)),"No")="Sí"),1,0)</f>
        <v/>
      </c>
      <c r="Y415" s="11">
        <f>IF(IFERROR(INDEX('Datos - Catálogo TIMSS'!$J$5:$J$107,MATCH(K415,'Datos - Catálogo TIMSS'!$A$5:$A$107,0)),"No")="Sí",1,0)</f>
        <v/>
      </c>
      <c r="Z415" s="11">
        <f>IF(IFERROR(INDEX('Datos - Catálogo TIMSS'!$J$5:$J$107,MATCH(L415,'Datos - Catálogo TIMSS'!$A$5:$A$107,0)),"No")="Sí",1,0)</f>
        <v/>
      </c>
      <c r="AA415" s="11" t="inlineStr">
        <is>
          <t>T8-T3.2</t>
        </is>
      </c>
      <c r="AB415" s="11" t="inlineStr"/>
      <c r="AC415" s="11">
        <f>IF(AA415="FUERA","Fuera del marco",IF(AA415="N/A","Sin marco",IFERROR(INDEX('Datos - TIMSS 2023'!$C$5:$C$105,MATCH(AA415,'Datos - TIMSS 2023'!$A$5:$A$105,0)),"Pendiente de clasificar")))</f>
        <v/>
      </c>
      <c r="AD415" s="11" t="inlineStr">
        <is>
          <t>3. Investigar, evaluar y usar información científica para tomar decisiones y actuar</t>
        </is>
      </c>
      <c r="AE415" s="11">
        <f>IF(AD415="","",IF(LEFT(AD415,1)="1","C1",IF(LEFT(AD415,1)="2","C2",IF(LEFT(AD415,1)="3","C3",""))))</f>
        <v/>
      </c>
      <c r="AF415" s="11" t="inlineStr">
        <is>
          <t>E1</t>
        </is>
      </c>
      <c r="AG415" s="11" t="inlineStr">
        <is>
          <t>D1</t>
        </is>
      </c>
      <c r="AH415" s="11" t="inlineStr">
        <is>
          <t>E1</t>
        </is>
      </c>
      <c r="AI415" s="11" t="inlineStr">
        <is>
          <t>I3</t>
        </is>
      </c>
      <c r="AJ415" s="11" t="inlineStr">
        <is>
          <t>I5</t>
        </is>
      </c>
      <c r="AK415" s="11" t="inlineStr">
        <is>
          <t>PISA-T4</t>
        </is>
      </c>
      <c r="AL415" s="11" t="n"/>
      <c r="AM415" s="11">
        <f>IF(AK415="FUERA","Fuera del marco",IFERROR(INDEX('Datos - Catálogo PISA'!$C$5:$C$76,MATCH(AK415,'Datos - Catálogo PISA'!$A$5:$A$76,0)),"?"))</f>
        <v/>
      </c>
      <c r="AN415" s="11" t="inlineStr">
        <is>
          <t>Contenido</t>
        </is>
      </c>
      <c r="AO415" s="11" t="n"/>
      <c r="AP415" s="11" t="n"/>
      <c r="AQ415" s="11" t="inlineStr">
        <is>
          <t>Local/nacional</t>
        </is>
      </c>
      <c r="AR415" s="11" t="inlineStr">
        <is>
          <t>Recursos naturales</t>
        </is>
      </c>
      <c r="AS415" s="11" t="inlineStr">
        <is>
          <t>Media</t>
        </is>
      </c>
      <c r="AT415" s="11" t="inlineStr">
        <is>
          <t>alta</t>
        </is>
      </c>
      <c r="AU415" s="11" t="inlineStr">
        <is>
          <t>Interpreta índice de calidad de un río salvadoreño</t>
        </is>
      </c>
      <c r="AV415" s="11" t="inlineStr">
        <is>
          <t>Ciclo 7°–9°</t>
        </is>
      </c>
      <c r="AW415" s="11">
        <f>AF415&amp;"; "&amp;AG415&amp;"; "&amp;AH415&amp;"; "&amp;AI415&amp;"; "&amp;AJ415</f>
        <v/>
      </c>
    </row>
    <row r="416">
      <c r="A416" s="11" t="inlineStr">
        <is>
          <t>T1050-G07-CIE</t>
        </is>
      </c>
      <c r="B416" s="11" t="n">
        <v>7</v>
      </c>
      <c r="C416" s="11" t="inlineStr">
        <is>
          <t>Ciencias</t>
        </is>
      </c>
      <c r="D416" s="11" t="inlineStr">
        <is>
          <t>Matriz_Ciencias_7mo_Grado_U1_U6.xlsx</t>
        </is>
      </c>
      <c r="E416" s="11" t="inlineStr">
        <is>
          <t>Unidad 5 - Recurso hídrico</t>
        </is>
      </c>
      <c r="F416" s="11" t="n">
        <v>13</v>
      </c>
      <c r="G416" s="11" t="inlineStr">
        <is>
          <t>5. Recurso hídrico</t>
        </is>
      </c>
      <c r="H416" s="11" t="inlineStr">
        <is>
          <t>Atmósfera</t>
        </is>
      </c>
      <c r="I416" s="38" t="inlineStr">
        <is>
          <t>5.11. Reconocimiento de las características físicas de las capas atmosféricas.</t>
        </is>
      </c>
      <c r="J416" s="11" t="inlineStr">
        <is>
          <t>T8_27</t>
        </is>
      </c>
      <c r="K416" s="11" t="inlineStr">
        <is>
          <t>T8_27-E2.1</t>
        </is>
      </c>
      <c r="L416" s="11" t="inlineStr"/>
      <c r="M416" s="11">
        <f>IF(K416="FUERA","Fuera del marco",IF(K416="N/A","Sin marco",IFERROR(INDEX('Datos - Catálogo TIMSS'!$C$5:$C$107,MATCH(K416,'Datos - Catálogo TIMSS'!$A$5:$A$107,0)),"Pendiente de clasificar")))</f>
        <v/>
      </c>
      <c r="N416" s="11">
        <f>IF(K416="FUERA","Fuera del marco",IF(K416="N/A","Sin marco",IFERROR(INDEX('Datos - Catálogo TIMSS'!$F$5:$F$107,MATCH(K416,'Datos - Catálogo TIMSS'!$A$5:$A$107,0)),"Pendiente de clasificar")))</f>
        <v/>
      </c>
      <c r="O416" s="11">
        <f>IF(L416="","",IFERROR(INDEX('Datos - Catálogo TIMSS'!$C$5:$C$107,MATCH(L416,'Datos - Catálogo TIMSS'!$A$5:$A$107,0)),"?"))</f>
        <v/>
      </c>
      <c r="P416" s="11" t="inlineStr">
        <is>
          <t>alta</t>
        </is>
      </c>
      <c r="Q416" s="38" t="inlineStr">
        <is>
          <t>Capas atmosféricas: cambios de temperatura y presión con altitud</t>
        </is>
      </c>
      <c r="R416" s="38" t="inlineStr">
        <is>
          <t>Aplicar: interpretar gráficas</t>
        </is>
      </c>
      <c r="S416" s="39">
        <f>IFERROR(ISNUMBER(SEARCH("Conocer",$R416))/(ISNUMBER(SEARCH("Conocer",$R416))+ISNUMBER(SEARCH("Aplicar",$R416))+ISNUMBER(SEARCH("Razonar",$R416))),0)</f>
        <v/>
      </c>
      <c r="T416" s="39">
        <f>IFERROR(ISNUMBER(SEARCH("Aplicar",$R416))/(ISNUMBER(SEARCH("Conocer",$R416))+ISNUMBER(SEARCH("Aplicar",$R416))+ISNUMBER(SEARCH("Razonar",$R416))),0)</f>
        <v/>
      </c>
      <c r="U416" s="39">
        <f>IFERROR(ISNUMBER(SEARCH("Razonar",$R416))/(ISNUMBER(SEARCH("Conocer",$R416))+ISNUMBER(SEARCH("Aplicar",$R416))+ISNUMBER(SEARCH("Razonar",$R416))),0)</f>
        <v/>
      </c>
      <c r="V416" s="11" t="inlineStr">
        <is>
          <t>7°</t>
        </is>
      </c>
      <c r="W416" s="11" t="inlineStr">
        <is>
          <t>Ciclo 5°–8°</t>
        </is>
      </c>
      <c r="X416" s="11">
        <f>IF(OR(IFERROR(INDEX('Datos - Catálogo TIMSS'!$I$5:$I$107,MATCH(K416,'Datos - Catálogo TIMSS'!$A$5:$A$107,0)),"No")="Sí",IFERROR(INDEX('Datos - Catálogo TIMSS'!$I$5:$I$107,MATCH(L416,'Datos - Catálogo TIMSS'!$A$5:$A$107,0)),"No")="Sí"),1,0)</f>
        <v/>
      </c>
      <c r="Y416" s="11">
        <f>IF(IFERROR(INDEX('Datos - Catálogo TIMSS'!$J$5:$J$107,MATCH(K416,'Datos - Catálogo TIMSS'!$A$5:$A$107,0)),"No")="Sí",1,0)</f>
        <v/>
      </c>
      <c r="Z416" s="11">
        <f>IF(IFERROR(INDEX('Datos - Catálogo TIMSS'!$J$5:$J$107,MATCH(L416,'Datos - Catálogo TIMSS'!$A$5:$A$107,0)),"No")="Sí",1,0)</f>
        <v/>
      </c>
      <c r="AA416" s="11" t="inlineStr">
        <is>
          <t>T8-T1.2</t>
        </is>
      </c>
      <c r="AB416" s="11" t="inlineStr"/>
      <c r="AC416" s="11">
        <f>IF(AA416="FUERA","Fuera del marco",IF(AA416="N/A","Sin marco",IFERROR(INDEX('Datos - TIMSS 2023'!$C$5:$C$105,MATCH(AA416,'Datos - TIMSS 2023'!$A$5:$A$105,0)),"Pendiente de clasificar")))</f>
        <v/>
      </c>
      <c r="AD416" s="11" t="inlineStr">
        <is>
          <t>1. Explicar fenómenos científicamente</t>
        </is>
      </c>
      <c r="AE416" s="11">
        <f>IF(AD416="","",IF(LEFT(AD416,1)="1","C1",IF(LEFT(AD416,1)="2","C2",IF(LEFT(AD416,1)="3","C3",""))))</f>
        <v/>
      </c>
      <c r="AF416" s="11" t="inlineStr">
        <is>
          <t>E1</t>
        </is>
      </c>
      <c r="AG416" s="11" t="inlineStr">
        <is>
          <t>D1</t>
        </is>
      </c>
      <c r="AH416" s="11" t="inlineStr">
        <is>
          <t>E2</t>
        </is>
      </c>
      <c r="AI416" s="11" t="inlineStr">
        <is>
          <t>D4</t>
        </is>
      </c>
      <c r="AJ416" s="11" t="inlineStr">
        <is>
          <t>E6</t>
        </is>
      </c>
      <c r="AK416" s="11" t="inlineStr">
        <is>
          <t>PISA-T1</t>
        </is>
      </c>
      <c r="AL416" s="11" t="n"/>
      <c r="AM416" s="11">
        <f>IF(AK416="FUERA","Fuera del marco",IFERROR(INDEX('Datos - Catálogo PISA'!$C$5:$C$76,MATCH(AK416,'Datos - Catálogo PISA'!$A$5:$A$76,0)),"?"))</f>
        <v/>
      </c>
      <c r="AN416" s="11" t="inlineStr">
        <is>
          <t>Contenido</t>
        </is>
      </c>
      <c r="AO416" s="11" t="n"/>
      <c r="AP416" s="11" t="n"/>
      <c r="AQ416" s="11" t="inlineStr">
        <is>
          <t>Sin contexto</t>
        </is>
      </c>
      <c r="AR416" s="11" t="n"/>
      <c r="AS416" s="11" t="inlineStr">
        <is>
          <t>Baja</t>
        </is>
      </c>
      <c r="AT416" s="11" t="inlineStr">
        <is>
          <t>alta</t>
        </is>
      </c>
      <c r="AU416" s="11" t="inlineStr">
        <is>
          <t>Características físicas de las capas atmosféricas</t>
        </is>
      </c>
      <c r="AV416" s="11" t="inlineStr">
        <is>
          <t>Ciclo 7°–9°</t>
        </is>
      </c>
      <c r="AW416" s="11">
        <f>AF416&amp;"; "&amp;AG416&amp;"; "&amp;AH416&amp;"; "&amp;AI416&amp;"; "&amp;AJ416</f>
        <v/>
      </c>
    </row>
    <row r="417">
      <c r="A417" s="11" t="inlineStr">
        <is>
          <t>T1051-G07-CIE</t>
        </is>
      </c>
      <c r="B417" s="11" t="n">
        <v>7</v>
      </c>
      <c r="C417" s="11" t="inlineStr">
        <is>
          <t>Ciencias</t>
        </is>
      </c>
      <c r="D417" s="11" t="inlineStr">
        <is>
          <t>Matriz_Ciencias_7mo_Grado_U1_U6.xlsx</t>
        </is>
      </c>
      <c r="E417" s="11" t="inlineStr">
        <is>
          <t>Unidad 5 - Recurso hídrico</t>
        </is>
      </c>
      <c r="F417" s="11" t="n">
        <v>14</v>
      </c>
      <c r="G417" s="11" t="inlineStr">
        <is>
          <t>5. Recurso hídrico</t>
        </is>
      </c>
      <c r="H417" s="11" t="inlineStr">
        <is>
          <t>Atmósfera</t>
        </is>
      </c>
      <c r="I417" s="38" t="inlineStr">
        <is>
          <t>5.12. Reconocimiento de los principales parámetros que inciden en la calidad del aire.</t>
        </is>
      </c>
      <c r="J417" s="11" t="inlineStr">
        <is>
          <t>T8_27</t>
        </is>
      </c>
      <c r="K417" s="11" t="inlineStr">
        <is>
          <t>T8_27-B5.6</t>
        </is>
      </c>
      <c r="L417" s="11" t="inlineStr">
        <is>
          <t>T8_27-E2.1</t>
        </is>
      </c>
      <c r="M417" s="11">
        <f>IF(K417="FUERA","Fuera del marco",IF(K417="N/A","Sin marco",IFERROR(INDEX('Datos - Catálogo TIMSS'!$C$5:$C$107,MATCH(K417,'Datos - Catálogo TIMSS'!$A$5:$A$107,0)),"Pendiente de clasificar")))</f>
        <v/>
      </c>
      <c r="N417" s="11">
        <f>IF(K417="FUERA","Fuera del marco",IF(K417="N/A","Sin marco",IFERROR(INDEX('Datos - Catálogo TIMSS'!$F$5:$F$107,MATCH(K417,'Datos - Catálogo TIMSS'!$A$5:$A$107,0)),"Pendiente de clasificar")))</f>
        <v/>
      </c>
      <c r="O417" s="11">
        <f>IF(L417="","",IFERROR(INDEX('Datos - Catálogo TIMSS'!$C$5:$C$107,MATCH(L417,'Datos - Catálogo TIMSS'!$A$5:$A$107,0)),"?"))</f>
        <v/>
      </c>
      <c r="P417" s="11" t="inlineStr">
        <is>
          <t>alta</t>
        </is>
      </c>
      <c r="Q417" s="38" t="inlineStr">
        <is>
          <t>Contaminantes del aire, fuentes y efectos en seres vivos</t>
        </is>
      </c>
      <c r="R417" s="38" t="inlineStr">
        <is>
          <t>Conocer: reconocer</t>
        </is>
      </c>
      <c r="S417" s="39">
        <f>IFERROR(ISNUMBER(SEARCH("Conocer",$R417))/(ISNUMBER(SEARCH("Conocer",$R417))+ISNUMBER(SEARCH("Aplicar",$R417))+ISNUMBER(SEARCH("Razonar",$R417))),0)</f>
        <v/>
      </c>
      <c r="T417" s="39">
        <f>IFERROR(ISNUMBER(SEARCH("Aplicar",$R417))/(ISNUMBER(SEARCH("Conocer",$R417))+ISNUMBER(SEARCH("Aplicar",$R417))+ISNUMBER(SEARCH("Razonar",$R417))),0)</f>
        <v/>
      </c>
      <c r="U417" s="39">
        <f>IFERROR(ISNUMBER(SEARCH("Razonar",$R417))/(ISNUMBER(SEARCH("Conocer",$R417))+ISNUMBER(SEARCH("Aplicar",$R417))+ISNUMBER(SEARCH("Razonar",$R417))),0)</f>
        <v/>
      </c>
      <c r="V417" s="11" t="inlineStr">
        <is>
          <t>7°</t>
        </is>
      </c>
      <c r="W417" s="11" t="inlineStr">
        <is>
          <t>Ciclo 5°–8°</t>
        </is>
      </c>
      <c r="X417" s="11">
        <f>IF(OR(IFERROR(INDEX('Datos - Catálogo TIMSS'!$I$5:$I$107,MATCH(K417,'Datos - Catálogo TIMSS'!$A$5:$A$107,0)),"No")="Sí",IFERROR(INDEX('Datos - Catálogo TIMSS'!$I$5:$I$107,MATCH(L417,'Datos - Catálogo TIMSS'!$A$5:$A$107,0)),"No")="Sí"),1,0)</f>
        <v/>
      </c>
      <c r="Y417" s="11">
        <f>IF(IFERROR(INDEX('Datos - Catálogo TIMSS'!$J$5:$J$107,MATCH(K417,'Datos - Catálogo TIMSS'!$A$5:$A$107,0)),"No")="Sí",1,0)</f>
        <v/>
      </c>
      <c r="Z417" s="11">
        <f>IF(IFERROR(INDEX('Datos - Catálogo TIMSS'!$J$5:$J$107,MATCH(L417,'Datos - Catálogo TIMSS'!$A$5:$A$107,0)),"No")="Sí",1,0)</f>
        <v/>
      </c>
      <c r="AA417" s="11" t="inlineStr">
        <is>
          <t>T8-B5.5</t>
        </is>
      </c>
      <c r="AB417" s="11" t="inlineStr">
        <is>
          <t>T8-T1.2</t>
        </is>
      </c>
      <c r="AC417" s="11">
        <f>IF(AA417="FUERA","Fuera del marco",IF(AA417="N/A","Sin marco",IFERROR(INDEX('Datos - TIMSS 2023'!$C$5:$C$105,MATCH(AA417,'Datos - TIMSS 2023'!$A$5:$A$105,0)),"Pendiente de clasificar")))</f>
        <v/>
      </c>
      <c r="AD417" s="11" t="inlineStr">
        <is>
          <t>1. Explicar fenómenos científicamente</t>
        </is>
      </c>
      <c r="AE417" s="11">
        <f>IF(AD417="","",IF(LEFT(AD417,1)="1","C1",IF(LEFT(AD417,1)="2","C2",IF(LEFT(AD417,1)="3","C3",""))))</f>
        <v/>
      </c>
      <c r="AF417" s="11" t="inlineStr">
        <is>
          <t>E1</t>
        </is>
      </c>
      <c r="AG417" s="11" t="inlineStr">
        <is>
          <t>D1</t>
        </is>
      </c>
      <c r="AH417" s="11" t="inlineStr">
        <is>
          <t>E1</t>
        </is>
      </c>
      <c r="AI417" s="11" t="inlineStr">
        <is>
          <t>D4</t>
        </is>
      </c>
      <c r="AJ417" s="11" t="inlineStr">
        <is>
          <t>E6</t>
        </is>
      </c>
      <c r="AK417" s="11" t="inlineStr">
        <is>
          <t>PISA-V8</t>
        </is>
      </c>
      <c r="AL417" s="11" t="inlineStr">
        <is>
          <t>PISA-T1</t>
        </is>
      </c>
      <c r="AM417" s="11">
        <f>IF(AK417="FUERA","Fuera del marco",IFERROR(INDEX('Datos - Catálogo PISA'!$C$5:$C$76,MATCH(AK417,'Datos - Catálogo PISA'!$A$5:$A$76,0)),"?"))</f>
        <v/>
      </c>
      <c r="AN417" s="11" t="inlineStr">
        <is>
          <t>Contenido</t>
        </is>
      </c>
      <c r="AO417" s="11" t="n"/>
      <c r="AP417" s="11" t="n"/>
      <c r="AQ417" s="11" t="inlineStr">
        <is>
          <t>Local/nacional</t>
        </is>
      </c>
      <c r="AR417" s="11" t="inlineStr">
        <is>
          <t>Impactos ambientales y cambio climático</t>
        </is>
      </c>
      <c r="AS417" s="11" t="inlineStr">
        <is>
          <t>Media</t>
        </is>
      </c>
      <c r="AT417" s="11" t="inlineStr">
        <is>
          <t>media</t>
        </is>
      </c>
      <c r="AU417" s="11" t="inlineStr">
        <is>
          <t>Contaminantes del aire, fuentes y efectos</t>
        </is>
      </c>
      <c r="AV417" s="11" t="inlineStr">
        <is>
          <t>Ciclo 7°–9°</t>
        </is>
      </c>
      <c r="AW417" s="11">
        <f>AF417&amp;"; "&amp;AG417&amp;"; "&amp;AH417&amp;"; "&amp;AI417&amp;"; "&amp;AJ417</f>
        <v/>
      </c>
    </row>
    <row r="418">
      <c r="A418" s="11" t="inlineStr">
        <is>
          <t>T1052-G07-CIE</t>
        </is>
      </c>
      <c r="B418" s="11" t="n">
        <v>7</v>
      </c>
      <c r="C418" s="11" t="inlineStr">
        <is>
          <t>Ciencias</t>
        </is>
      </c>
      <c r="D418" s="11" t="inlineStr">
        <is>
          <t>Matriz_Ciencias_7mo_Grado_U1_U6.xlsx</t>
        </is>
      </c>
      <c r="E418" s="11" t="inlineStr">
        <is>
          <t>Unidad 5 - Recurso hídrico</t>
        </is>
      </c>
      <c r="F418" s="11" t="n">
        <v>15</v>
      </c>
      <c r="G418" s="11" t="inlineStr">
        <is>
          <t>5. Recurso hídrico</t>
        </is>
      </c>
      <c r="H418" s="11" t="inlineStr">
        <is>
          <t>Atmósfera</t>
        </is>
      </c>
      <c r="I418" s="38" t="inlineStr">
        <is>
          <t>5.13. Clasificación de la calidad del aire de acuerdo con el Índice Centroamericano de Calidad del Aire (ICCA).</t>
        </is>
      </c>
      <c r="J418" s="11" t="inlineStr">
        <is>
          <t>T8_27</t>
        </is>
      </c>
      <c r="K418" s="11" t="inlineStr">
        <is>
          <t>T8_27-B5.6</t>
        </is>
      </c>
      <c r="L418" s="11" t="inlineStr"/>
      <c r="M418" s="11">
        <f>IF(K418="FUERA","Fuera del marco",IF(K418="N/A","Sin marco",IFERROR(INDEX('Datos - Catálogo TIMSS'!$C$5:$C$107,MATCH(K418,'Datos - Catálogo TIMSS'!$A$5:$A$107,0)),"Pendiente de clasificar")))</f>
        <v/>
      </c>
      <c r="N418" s="11">
        <f>IF(K418="FUERA","Fuera del marco",IF(K418="N/A","Sin marco",IFERROR(INDEX('Datos - Catálogo TIMSS'!$F$5:$F$107,MATCH(K418,'Datos - Catálogo TIMSS'!$A$5:$A$107,0)),"Pendiente de clasificar")))</f>
        <v/>
      </c>
      <c r="O418" s="11">
        <f>IF(L418="","",IFERROR(INDEX('Datos - Catálogo TIMSS'!$C$5:$C$107,MATCH(L418,'Datos - Catálogo TIMSS'!$A$5:$A$107,0)),"?"))</f>
        <v/>
      </c>
      <c r="P418" s="11" t="inlineStr">
        <is>
          <t>media</t>
        </is>
      </c>
      <c r="Q418" s="38" t="inlineStr">
        <is>
          <t>Índice de calidad del aire y efectos de la contaminación</t>
        </is>
      </c>
      <c r="R418" s="38" t="inlineStr">
        <is>
          <t>Razonar: interpretar índices</t>
        </is>
      </c>
      <c r="S418" s="39">
        <f>IFERROR(ISNUMBER(SEARCH("Conocer",$R418))/(ISNUMBER(SEARCH("Conocer",$R418))+ISNUMBER(SEARCH("Aplicar",$R418))+ISNUMBER(SEARCH("Razonar",$R418))),0)</f>
        <v/>
      </c>
      <c r="T418" s="39">
        <f>IFERROR(ISNUMBER(SEARCH("Aplicar",$R418))/(ISNUMBER(SEARCH("Conocer",$R418))+ISNUMBER(SEARCH("Aplicar",$R418))+ISNUMBER(SEARCH("Razonar",$R418))),0)</f>
        <v/>
      </c>
      <c r="U418" s="39">
        <f>IFERROR(ISNUMBER(SEARCH("Razonar",$R418))/(ISNUMBER(SEARCH("Conocer",$R418))+ISNUMBER(SEARCH("Aplicar",$R418))+ISNUMBER(SEARCH("Razonar",$R418))),0)</f>
        <v/>
      </c>
      <c r="V418" s="11" t="inlineStr">
        <is>
          <t>7°</t>
        </is>
      </c>
      <c r="W418" s="11" t="inlineStr">
        <is>
          <t>Ciclo 5°–8°</t>
        </is>
      </c>
      <c r="X418" s="11">
        <f>IF(OR(IFERROR(INDEX('Datos - Catálogo TIMSS'!$I$5:$I$107,MATCH(K418,'Datos - Catálogo TIMSS'!$A$5:$A$107,0)),"No")="Sí",IFERROR(INDEX('Datos - Catálogo TIMSS'!$I$5:$I$107,MATCH(L418,'Datos - Catálogo TIMSS'!$A$5:$A$107,0)),"No")="Sí"),1,0)</f>
        <v/>
      </c>
      <c r="Y418" s="11">
        <f>IF(IFERROR(INDEX('Datos - Catálogo TIMSS'!$J$5:$J$107,MATCH(K418,'Datos - Catálogo TIMSS'!$A$5:$A$107,0)),"No")="Sí",1,0)</f>
        <v/>
      </c>
      <c r="Z418" s="11">
        <f>IF(IFERROR(INDEX('Datos - Catálogo TIMSS'!$J$5:$J$107,MATCH(L418,'Datos - Catálogo TIMSS'!$A$5:$A$107,0)),"No")="Sí",1,0)</f>
        <v/>
      </c>
      <c r="AA418" s="11" t="inlineStr">
        <is>
          <t>T8-B5.5</t>
        </is>
      </c>
      <c r="AB418" s="11" t="inlineStr"/>
      <c r="AC418" s="11">
        <f>IF(AA418="FUERA","Fuera del marco",IF(AA418="N/A","Sin marco",IFERROR(INDEX('Datos - TIMSS 2023'!$C$5:$C$105,MATCH(AA418,'Datos - TIMSS 2023'!$A$5:$A$105,0)),"Pendiente de clasificar")))</f>
        <v/>
      </c>
      <c r="AD418" s="11" t="inlineStr">
        <is>
          <t>3. Investigar, evaluar y usar información científica para tomar decisiones y actuar</t>
        </is>
      </c>
      <c r="AE418" s="11">
        <f>IF(AD418="","",IF(LEFT(AD418,1)="1","C1",IF(LEFT(AD418,1)="2","C2",IF(LEFT(AD418,1)="3","C3",""))))</f>
        <v/>
      </c>
      <c r="AF418" s="11" t="inlineStr">
        <is>
          <t>E1</t>
        </is>
      </c>
      <c r="AG418" s="11" t="inlineStr">
        <is>
          <t>D1</t>
        </is>
      </c>
      <c r="AH418" s="11" t="inlineStr">
        <is>
          <t>E1</t>
        </is>
      </c>
      <c r="AI418" s="11" t="inlineStr">
        <is>
          <t>I3</t>
        </is>
      </c>
      <c r="AJ418" s="11" t="inlineStr">
        <is>
          <t>I5</t>
        </is>
      </c>
      <c r="AK418" s="11" t="inlineStr">
        <is>
          <t>PISA-V8</t>
        </is>
      </c>
      <c r="AL418" s="11" t="inlineStr">
        <is>
          <t>PISA-T1</t>
        </is>
      </c>
      <c r="AM418" s="11">
        <f>IF(AK418="FUERA","Fuera del marco",IFERROR(INDEX('Datos - Catálogo PISA'!$C$5:$C$76,MATCH(AK418,'Datos - Catálogo PISA'!$A$5:$A$76,0)),"?"))</f>
        <v/>
      </c>
      <c r="AN418" s="11" t="inlineStr">
        <is>
          <t>Contenido</t>
        </is>
      </c>
      <c r="AO418" s="11" t="n"/>
      <c r="AP418" s="11" t="n"/>
      <c r="AQ418" s="11" t="inlineStr">
        <is>
          <t>Local/nacional</t>
        </is>
      </c>
      <c r="AR418" s="11" t="inlineStr">
        <is>
          <t>Salud y enfermedad</t>
        </is>
      </c>
      <c r="AS418" s="11" t="inlineStr">
        <is>
          <t>Media</t>
        </is>
      </c>
      <c r="AT418" s="11" t="inlineStr">
        <is>
          <t>media</t>
        </is>
      </c>
      <c r="AU418" s="11" t="inlineStr">
        <is>
          <t>Interpreta reporte de calidad del aire según ICCA</t>
        </is>
      </c>
      <c r="AV418" s="11" t="inlineStr">
        <is>
          <t>Ciclo 7°–9°</t>
        </is>
      </c>
      <c r="AW418" s="11">
        <f>AF418&amp;"; "&amp;AG418&amp;"; "&amp;AH418&amp;"; "&amp;AI418&amp;"; "&amp;AJ418</f>
        <v/>
      </c>
    </row>
    <row r="419">
      <c r="A419" s="11" t="inlineStr">
        <is>
          <t>T1053-G07-CIE</t>
        </is>
      </c>
      <c r="B419" s="11" t="n">
        <v>7</v>
      </c>
      <c r="C419" s="11" t="inlineStr">
        <is>
          <t>Ciencias</t>
        </is>
      </c>
      <c r="D419" s="11" t="inlineStr">
        <is>
          <t>Matriz_Ciencias_7mo_Grado_U1_U6.xlsx</t>
        </is>
      </c>
      <c r="E419" s="11" t="inlineStr">
        <is>
          <t>Unidad 5 - Recurso hídrico</t>
        </is>
      </c>
      <c r="F419" s="11" t="n">
        <v>16</v>
      </c>
      <c r="G419" s="11" t="inlineStr">
        <is>
          <t>5. Recurso hídrico</t>
        </is>
      </c>
      <c r="H419" s="11" t="inlineStr">
        <is>
          <t>Dinámica atmosférica</t>
        </is>
      </c>
      <c r="I419" s="38" t="inlineStr">
        <is>
          <t>5.14. Manipulación de aplicaciones para la consulta y registro de parámetros meteorológicos.</t>
        </is>
      </c>
      <c r="J419" s="11" t="inlineStr">
        <is>
          <t>T8_27</t>
        </is>
      </c>
      <c r="K419" s="11" t="inlineStr">
        <is>
          <t>T8_27-E2.3</t>
        </is>
      </c>
      <c r="L419" s="11" t="inlineStr"/>
      <c r="M419" s="11">
        <f>IF(K419="FUERA","Fuera del marco",IF(K419="N/A","Sin marco",IFERROR(INDEX('Datos - Catálogo TIMSS'!$C$5:$C$107,MATCH(K419,'Datos - Catálogo TIMSS'!$A$5:$A$107,0)),"Pendiente de clasificar")))</f>
        <v/>
      </c>
      <c r="N419" s="11">
        <f>IF(K419="FUERA","Fuera del marco",IF(K419="N/A","Sin marco",IFERROR(INDEX('Datos - Catálogo TIMSS'!$F$5:$F$107,MATCH(K419,'Datos - Catálogo TIMSS'!$A$5:$A$107,0)),"Pendiente de clasificar")))</f>
        <v/>
      </c>
      <c r="O419" s="11">
        <f>IF(L419="","",IFERROR(INDEX('Datos - Catálogo TIMSS'!$C$5:$C$107,MATCH(L419,'Datos - Catálogo TIMSS'!$A$5:$A$107,0)),"?"))</f>
        <v/>
      </c>
      <c r="P419" s="11" t="inlineStr">
        <is>
          <t>media</t>
        </is>
      </c>
      <c r="Q419" s="38" t="inlineStr">
        <is>
          <t>Registro de parámetros del tiempo atmosférico</t>
        </is>
      </c>
      <c r="R419" s="38" t="inlineStr">
        <is>
          <t>Aplicar: usar aplicaciones y registrar</t>
        </is>
      </c>
      <c r="S419" s="39">
        <f>IFERROR(ISNUMBER(SEARCH("Conocer",$R419))/(ISNUMBER(SEARCH("Conocer",$R419))+ISNUMBER(SEARCH("Aplicar",$R419))+ISNUMBER(SEARCH("Razonar",$R419))),0)</f>
        <v/>
      </c>
      <c r="T419" s="39">
        <f>IFERROR(ISNUMBER(SEARCH("Aplicar",$R419))/(ISNUMBER(SEARCH("Conocer",$R419))+ISNUMBER(SEARCH("Aplicar",$R419))+ISNUMBER(SEARCH("Razonar",$R419))),0)</f>
        <v/>
      </c>
      <c r="U419" s="39">
        <f>IFERROR(ISNUMBER(SEARCH("Razonar",$R419))/(ISNUMBER(SEARCH("Conocer",$R419))+ISNUMBER(SEARCH("Aplicar",$R419))+ISNUMBER(SEARCH("Razonar",$R419))),0)</f>
        <v/>
      </c>
      <c r="V419" s="11" t="inlineStr">
        <is>
          <t>7°</t>
        </is>
      </c>
      <c r="W419" s="11" t="inlineStr">
        <is>
          <t>Ciclo 5°–8°</t>
        </is>
      </c>
      <c r="X419" s="11">
        <f>IF(OR(IFERROR(INDEX('Datos - Catálogo TIMSS'!$I$5:$I$107,MATCH(K419,'Datos - Catálogo TIMSS'!$A$5:$A$107,0)),"No")="Sí",IFERROR(INDEX('Datos - Catálogo TIMSS'!$I$5:$I$107,MATCH(L419,'Datos - Catálogo TIMSS'!$A$5:$A$107,0)),"No")="Sí"),1,0)</f>
        <v/>
      </c>
      <c r="Y419" s="11">
        <f>IF(IFERROR(INDEX('Datos - Catálogo TIMSS'!$J$5:$J$107,MATCH(K419,'Datos - Catálogo TIMSS'!$A$5:$A$107,0)),"No")="Sí",1,0)</f>
        <v/>
      </c>
      <c r="Z419" s="11">
        <f>IF(IFERROR(INDEX('Datos - Catálogo TIMSS'!$J$5:$J$107,MATCH(L419,'Datos - Catálogo TIMSS'!$A$5:$A$107,0)),"No")="Sí",1,0)</f>
        <v/>
      </c>
      <c r="AA419" s="11" t="inlineStr">
        <is>
          <t>T8-T2.3</t>
        </is>
      </c>
      <c r="AB419" s="11" t="inlineStr"/>
      <c r="AC419" s="11">
        <f>IF(AA419="FUERA","Fuera del marco",IF(AA419="N/A","Sin marco",IFERROR(INDEX('Datos - TIMSS 2023'!$C$5:$C$105,MATCH(AA419,'Datos - TIMSS 2023'!$A$5:$A$105,0)),"Pendiente de clasificar")))</f>
        <v/>
      </c>
      <c r="AD419" s="11" t="inlineStr">
        <is>
          <t>2. Construir y evaluar diseños para la indagación científica e interpretar datos y evidencia de forma crítica</t>
        </is>
      </c>
      <c r="AE419" s="11">
        <f>IF(AD419="","",IF(LEFT(AD419,1)="1","C1",IF(LEFT(AD419,1)="2","C2",IF(LEFT(AD419,1)="3","C3",""))))</f>
        <v/>
      </c>
      <c r="AF419" s="11" t="inlineStr">
        <is>
          <t>E1</t>
        </is>
      </c>
      <c r="AG419" s="11" t="inlineStr">
        <is>
          <t>D1</t>
        </is>
      </c>
      <c r="AH419" s="11" t="inlineStr">
        <is>
          <t>E1</t>
        </is>
      </c>
      <c r="AI419" s="11" t="inlineStr">
        <is>
          <t>D4</t>
        </is>
      </c>
      <c r="AJ419" s="11" t="inlineStr">
        <is>
          <t>I2</t>
        </is>
      </c>
      <c r="AK419" s="11" t="inlineStr">
        <is>
          <t>PISA-T1</t>
        </is>
      </c>
      <c r="AL419" s="11" t="n"/>
      <c r="AM419" s="11">
        <f>IF(AK419="FUERA","Fuera del marco",IFERROR(INDEX('Datos - Catálogo PISA'!$C$5:$C$76,MATCH(AK419,'Datos - Catálogo PISA'!$A$5:$A$76,0)),"?"))</f>
        <v/>
      </c>
      <c r="AN419" s="11" t="inlineStr">
        <is>
          <t>Procedimental</t>
        </is>
      </c>
      <c r="AO419" s="11" t="inlineStr">
        <is>
          <t>PISA-PR2; PISA-PR4;</t>
        </is>
      </c>
      <c r="AP419" s="11" t="n"/>
      <c r="AQ419" s="11" t="inlineStr">
        <is>
          <t>Local/nacional</t>
        </is>
      </c>
      <c r="AR419" s="11" t="inlineStr">
        <is>
          <t>Avances y desafíos científicos y tecnológicos</t>
        </is>
      </c>
      <c r="AS419" s="11" t="inlineStr">
        <is>
          <t>Baja</t>
        </is>
      </c>
      <c r="AT419" s="11" t="inlineStr">
        <is>
          <t>media</t>
        </is>
      </c>
      <c r="AU419" s="11" t="inlineStr">
        <is>
          <t>Registro de parámetros meteorológicos comparando dos fuentes</t>
        </is>
      </c>
      <c r="AV419" s="11" t="inlineStr">
        <is>
          <t>Ciclo 7°–9°</t>
        </is>
      </c>
      <c r="AW419" s="11">
        <f>AF419&amp;"; "&amp;AG419&amp;"; "&amp;AH419&amp;"; "&amp;AI419&amp;"; "&amp;AJ419</f>
        <v/>
      </c>
    </row>
    <row r="420">
      <c r="A420" s="11" t="inlineStr">
        <is>
          <t>T1054-G07-CIE</t>
        </is>
      </c>
      <c r="B420" s="11" t="n">
        <v>7</v>
      </c>
      <c r="C420" s="11" t="inlineStr">
        <is>
          <t>Ciencias</t>
        </is>
      </c>
      <c r="D420" s="11" t="inlineStr">
        <is>
          <t>Matriz_Ciencias_7mo_Grado_U1_U6.xlsx</t>
        </is>
      </c>
      <c r="E420" s="11" t="inlineStr">
        <is>
          <t>Unidad 5 - Recurso hídrico</t>
        </is>
      </c>
      <c r="F420" s="11" t="n">
        <v>17</v>
      </c>
      <c r="G420" s="11" t="inlineStr">
        <is>
          <t>5. Recurso hídrico</t>
        </is>
      </c>
      <c r="H420" s="11" t="inlineStr">
        <is>
          <t>Dinámica atmosférica</t>
        </is>
      </c>
      <c r="I420" s="38" t="inlineStr">
        <is>
          <t>5.15. Construcción de dispositivos para la medición de parámetros meteorológicos.</t>
        </is>
      </c>
      <c r="J420" s="11" t="inlineStr">
        <is>
          <t>T8_27</t>
        </is>
      </c>
      <c r="K420" s="11" t="inlineStr">
        <is>
          <t>T8_27-E2.3</t>
        </is>
      </c>
      <c r="L420" s="11" t="inlineStr"/>
      <c r="M420" s="11">
        <f>IF(K420="FUERA","Fuera del marco",IF(K420="N/A","Sin marco",IFERROR(INDEX('Datos - Catálogo TIMSS'!$C$5:$C$107,MATCH(K420,'Datos - Catálogo TIMSS'!$A$5:$A$107,0)),"Pendiente de clasificar")))</f>
        <v/>
      </c>
      <c r="N420" s="11">
        <f>IF(K420="FUERA","Fuera del marco",IF(K420="N/A","Sin marco",IFERROR(INDEX('Datos - Catálogo TIMSS'!$F$5:$F$107,MATCH(K420,'Datos - Catálogo TIMSS'!$A$5:$A$107,0)),"Pendiente de clasificar")))</f>
        <v/>
      </c>
      <c r="O420" s="11">
        <f>IF(L420="","",IFERROR(INDEX('Datos - Catálogo TIMSS'!$C$5:$C$107,MATCH(L420,'Datos - Catálogo TIMSS'!$A$5:$A$107,0)),"?"))</f>
        <v/>
      </c>
      <c r="P420" s="11" t="inlineStr">
        <is>
          <t>media</t>
        </is>
      </c>
      <c r="Q420" s="38" t="inlineStr">
        <is>
          <t>Mide y registra parámetros del tiempo con instrumento propio</t>
        </is>
      </c>
      <c r="R420" s="38" t="inlineStr">
        <is>
          <t>Aplicar: construir. Razonar: evaluar</t>
        </is>
      </c>
      <c r="S420" s="39">
        <f>IFERROR(ISNUMBER(SEARCH("Conocer",$R420))/(ISNUMBER(SEARCH("Conocer",$R420))+ISNUMBER(SEARCH("Aplicar",$R420))+ISNUMBER(SEARCH("Razonar",$R420))),0)</f>
        <v/>
      </c>
      <c r="T420" s="39">
        <f>IFERROR(ISNUMBER(SEARCH("Aplicar",$R420))/(ISNUMBER(SEARCH("Conocer",$R420))+ISNUMBER(SEARCH("Aplicar",$R420))+ISNUMBER(SEARCH("Razonar",$R420))),0)</f>
        <v/>
      </c>
      <c r="U420" s="39">
        <f>IFERROR(ISNUMBER(SEARCH("Razonar",$R420))/(ISNUMBER(SEARCH("Conocer",$R420))+ISNUMBER(SEARCH("Aplicar",$R420))+ISNUMBER(SEARCH("Razonar",$R420))),0)</f>
        <v/>
      </c>
      <c r="V420" s="11" t="inlineStr">
        <is>
          <t>7°</t>
        </is>
      </c>
      <c r="W420" s="11" t="inlineStr">
        <is>
          <t>Ciclo 5°–8°</t>
        </is>
      </c>
      <c r="X420" s="11">
        <f>IF(OR(IFERROR(INDEX('Datos - Catálogo TIMSS'!$I$5:$I$107,MATCH(K420,'Datos - Catálogo TIMSS'!$A$5:$A$107,0)),"No")="Sí",IFERROR(INDEX('Datos - Catálogo TIMSS'!$I$5:$I$107,MATCH(L420,'Datos - Catálogo TIMSS'!$A$5:$A$107,0)),"No")="Sí"),1,0)</f>
        <v/>
      </c>
      <c r="Y420" s="11">
        <f>IF(IFERROR(INDEX('Datos - Catálogo TIMSS'!$J$5:$J$107,MATCH(K420,'Datos - Catálogo TIMSS'!$A$5:$A$107,0)),"No")="Sí",1,0)</f>
        <v/>
      </c>
      <c r="Z420" s="11">
        <f>IF(IFERROR(INDEX('Datos - Catálogo TIMSS'!$J$5:$J$107,MATCH(L420,'Datos - Catálogo TIMSS'!$A$5:$A$107,0)),"No")="Sí",1,0)</f>
        <v/>
      </c>
      <c r="AA420" s="11" t="inlineStr">
        <is>
          <t>T8-T2.3</t>
        </is>
      </c>
      <c r="AB420" s="11" t="inlineStr"/>
      <c r="AC420" s="11">
        <f>IF(AA420="FUERA","Fuera del marco",IF(AA420="N/A","Sin marco",IFERROR(INDEX('Datos - TIMSS 2023'!$C$5:$C$105,MATCH(AA420,'Datos - TIMSS 2023'!$A$5:$A$105,0)),"Pendiente de clasificar")))</f>
        <v/>
      </c>
      <c r="AD420" s="11" t="inlineStr">
        <is>
          <t>2. Construir y evaluar diseños para la indagación científica e interpretar datos y evidencia de forma crítica</t>
        </is>
      </c>
      <c r="AE420" s="11">
        <f>IF(AD420="","",IF(LEFT(AD420,1)="1","C1",IF(LEFT(AD420,1)="2","C2",IF(LEFT(AD420,1)="3","C3",""))))</f>
        <v/>
      </c>
      <c r="AF420" s="11" t="inlineStr">
        <is>
          <t>E1</t>
        </is>
      </c>
      <c r="AG420" s="11" t="inlineStr">
        <is>
          <t>D1</t>
        </is>
      </c>
      <c r="AH420" s="11" t="inlineStr">
        <is>
          <t>E4</t>
        </is>
      </c>
      <c r="AI420" s="11" t="inlineStr">
        <is>
          <t>D3</t>
        </is>
      </c>
      <c r="AJ420" s="11" t="inlineStr">
        <is>
          <t>E3</t>
        </is>
      </c>
      <c r="AK420" s="11" t="inlineStr">
        <is>
          <t>PISA-T1</t>
        </is>
      </c>
      <c r="AL420" s="11" t="n"/>
      <c r="AM420" s="11">
        <f>IF(AK420="FUERA","Fuera del marco",IFERROR(INDEX('Datos - Catálogo PISA'!$C$5:$C$76,MATCH(AK420,'Datos - Catálogo PISA'!$A$5:$A$76,0)),"?"))</f>
        <v/>
      </c>
      <c r="AN420" s="11" t="inlineStr">
        <is>
          <t>Procedimental</t>
        </is>
      </c>
      <c r="AO420" s="11" t="inlineStr">
        <is>
          <t>PISA-PR2; PISA-PR4;</t>
        </is>
      </c>
      <c r="AP420" s="11" t="n"/>
      <c r="AQ420" s="11" t="inlineStr">
        <is>
          <t>Local/nacional</t>
        </is>
      </c>
      <c r="AR420" s="11" t="inlineStr">
        <is>
          <t>Avances y desafíos científicos y tecnológicos</t>
        </is>
      </c>
      <c r="AS420" s="11" t="inlineStr">
        <is>
          <t>Media</t>
        </is>
      </c>
      <c r="AT420" s="11" t="inlineStr">
        <is>
          <t>media</t>
        </is>
      </c>
      <c r="AU420" s="11" t="inlineStr">
        <is>
          <t>Construye instrumento meteorológico y registra mediciones</t>
        </is>
      </c>
      <c r="AV420" s="11" t="inlineStr">
        <is>
          <t>Ciclo 7°–9°</t>
        </is>
      </c>
      <c r="AW420" s="11">
        <f>AF420&amp;"; "&amp;AG420&amp;"; "&amp;AH420&amp;"; "&amp;AI420&amp;"; "&amp;AJ420</f>
        <v/>
      </c>
    </row>
    <row r="421">
      <c r="A421" s="11" t="inlineStr">
        <is>
          <t>T1055-G07-CIE</t>
        </is>
      </c>
      <c r="B421" s="11" t="n">
        <v>7</v>
      </c>
      <c r="C421" s="11" t="inlineStr">
        <is>
          <t>Ciencias</t>
        </is>
      </c>
      <c r="D421" s="11" t="inlineStr">
        <is>
          <t>Matriz_Ciencias_7mo_Grado_U1_U6.xlsx</t>
        </is>
      </c>
      <c r="E421" s="11" t="inlineStr">
        <is>
          <t>Unidad 5 - Recurso hídrico</t>
        </is>
      </c>
      <c r="F421" s="11" t="n">
        <v>18</v>
      </c>
      <c r="G421" s="11" t="inlineStr">
        <is>
          <t>5. Recurso hídrico</t>
        </is>
      </c>
      <c r="H421" s="11" t="inlineStr">
        <is>
          <t>Dinámica atmosférica</t>
        </is>
      </c>
      <c r="I421" s="38" t="inlineStr">
        <is>
          <t>5.16. Análisis de gráficos de registro de parámetros meteorológicos.</t>
        </is>
      </c>
      <c r="J421" s="11" t="inlineStr">
        <is>
          <t>T8_27</t>
        </is>
      </c>
      <c r="K421" s="11" t="inlineStr">
        <is>
          <t>T8_27-E2.3</t>
        </is>
      </c>
      <c r="L421" s="11" t="inlineStr"/>
      <c r="M421" s="11">
        <f>IF(K421="FUERA","Fuera del marco",IF(K421="N/A","Sin marco",IFERROR(INDEX('Datos - Catálogo TIMSS'!$C$5:$C$107,MATCH(K421,'Datos - Catálogo TIMSS'!$A$5:$A$107,0)),"Pendiente de clasificar")))</f>
        <v/>
      </c>
      <c r="N421" s="11">
        <f>IF(K421="FUERA","Fuera del marco",IF(K421="N/A","Sin marco",IFERROR(INDEX('Datos - Catálogo TIMSS'!$F$5:$F$107,MATCH(K421,'Datos - Catálogo TIMSS'!$A$5:$A$107,0)),"Pendiente de clasificar")))</f>
        <v/>
      </c>
      <c r="O421" s="11">
        <f>IF(L421="","",IFERROR(INDEX('Datos - Catálogo TIMSS'!$C$5:$C$107,MATCH(L421,'Datos - Catálogo TIMSS'!$A$5:$A$107,0)),"?"))</f>
        <v/>
      </c>
      <c r="P421" s="11" t="inlineStr">
        <is>
          <t>alta</t>
        </is>
      </c>
      <c r="Q421" s="38" t="inlineStr">
        <is>
          <t>Interpreta gráficos de datos meteorológicos</t>
        </is>
      </c>
      <c r="R421" s="38" t="inlineStr">
        <is>
          <t>Aplicar: graficar. Razonar: interpretar</t>
        </is>
      </c>
      <c r="S421" s="39">
        <f>IFERROR(ISNUMBER(SEARCH("Conocer",$R421))/(ISNUMBER(SEARCH("Conocer",$R421))+ISNUMBER(SEARCH("Aplicar",$R421))+ISNUMBER(SEARCH("Razonar",$R421))),0)</f>
        <v/>
      </c>
      <c r="T421" s="39">
        <f>IFERROR(ISNUMBER(SEARCH("Aplicar",$R421))/(ISNUMBER(SEARCH("Conocer",$R421))+ISNUMBER(SEARCH("Aplicar",$R421))+ISNUMBER(SEARCH("Razonar",$R421))),0)</f>
        <v/>
      </c>
      <c r="U421" s="39">
        <f>IFERROR(ISNUMBER(SEARCH("Razonar",$R421))/(ISNUMBER(SEARCH("Conocer",$R421))+ISNUMBER(SEARCH("Aplicar",$R421))+ISNUMBER(SEARCH("Razonar",$R421))),0)</f>
        <v/>
      </c>
      <c r="V421" s="11" t="inlineStr">
        <is>
          <t>7°</t>
        </is>
      </c>
      <c r="W421" s="11" t="inlineStr">
        <is>
          <t>Ciclo 5°–8°</t>
        </is>
      </c>
      <c r="X421" s="11">
        <f>IF(OR(IFERROR(INDEX('Datos - Catálogo TIMSS'!$I$5:$I$107,MATCH(K421,'Datos - Catálogo TIMSS'!$A$5:$A$107,0)),"No")="Sí",IFERROR(INDEX('Datos - Catálogo TIMSS'!$I$5:$I$107,MATCH(L421,'Datos - Catálogo TIMSS'!$A$5:$A$107,0)),"No")="Sí"),1,0)</f>
        <v/>
      </c>
      <c r="Y421" s="11">
        <f>IF(IFERROR(INDEX('Datos - Catálogo TIMSS'!$J$5:$J$107,MATCH(K421,'Datos - Catálogo TIMSS'!$A$5:$A$107,0)),"No")="Sí",1,0)</f>
        <v/>
      </c>
      <c r="Z421" s="11">
        <f>IF(IFERROR(INDEX('Datos - Catálogo TIMSS'!$J$5:$J$107,MATCH(L421,'Datos - Catálogo TIMSS'!$A$5:$A$107,0)),"No")="Sí",1,0)</f>
        <v/>
      </c>
      <c r="AA421" s="11" t="inlineStr">
        <is>
          <t>T8-T2.3</t>
        </is>
      </c>
      <c r="AB421" s="11" t="inlineStr"/>
      <c r="AC421" s="11">
        <f>IF(AA421="FUERA","Fuera del marco",IF(AA421="N/A","Sin marco",IFERROR(INDEX('Datos - TIMSS 2023'!$C$5:$C$105,MATCH(AA421,'Datos - TIMSS 2023'!$A$5:$A$105,0)),"Pendiente de clasificar")))</f>
        <v/>
      </c>
      <c r="AD421" s="11" t="inlineStr">
        <is>
          <t>2. Construir y evaluar diseños para la indagación científica e interpretar datos y evidencia de forma crítica</t>
        </is>
      </c>
      <c r="AE421" s="11">
        <f>IF(AD421="","",IF(LEFT(AD421,1)="1","C1",IF(LEFT(AD421,1)="2","C2",IF(LEFT(AD421,1)="3","C3",""))))</f>
        <v/>
      </c>
      <c r="AF421" s="11" t="inlineStr">
        <is>
          <t>E1</t>
        </is>
      </c>
      <c r="AG421" s="11" t="inlineStr">
        <is>
          <t>D1</t>
        </is>
      </c>
      <c r="AH421" s="11" t="inlineStr">
        <is>
          <t>E2</t>
        </is>
      </c>
      <c r="AI421" s="11" t="inlineStr">
        <is>
          <t>D4</t>
        </is>
      </c>
      <c r="AJ421" s="11" t="inlineStr">
        <is>
          <t>E3</t>
        </is>
      </c>
      <c r="AK421" s="11" t="inlineStr">
        <is>
          <t>PISA-T1</t>
        </is>
      </c>
      <c r="AL421" s="11" t="inlineStr">
        <is>
          <t>PISA-T3</t>
        </is>
      </c>
      <c r="AM421" s="11">
        <f>IF(AK421="FUERA","Fuera del marco",IFERROR(INDEX('Datos - Catálogo PISA'!$C$5:$C$76,MATCH(AK421,'Datos - Catálogo PISA'!$A$5:$A$76,0)),"?"))</f>
        <v/>
      </c>
      <c r="AN421" s="11" t="inlineStr">
        <is>
          <t>Procedimental</t>
        </is>
      </c>
      <c r="AO421" s="11" t="inlineStr">
        <is>
          <t>PISA-PR5;</t>
        </is>
      </c>
      <c r="AP421" s="11" t="n"/>
      <c r="AQ421" s="11" t="inlineStr">
        <is>
          <t>Local/nacional</t>
        </is>
      </c>
      <c r="AR421" s="11" t="inlineStr">
        <is>
          <t>Avances y desafíos científicos y tecnológicos</t>
        </is>
      </c>
      <c r="AS421" s="11" t="inlineStr">
        <is>
          <t>Media</t>
        </is>
      </c>
      <c r="AT421" s="11" t="inlineStr">
        <is>
          <t>media</t>
        </is>
      </c>
      <c r="AU421" s="11" t="inlineStr">
        <is>
          <t>Interpreta gráficos de parámetros meteorológicos</t>
        </is>
      </c>
      <c r="AV421" s="11" t="inlineStr">
        <is>
          <t>Ciclo 7°–9°</t>
        </is>
      </c>
      <c r="AW421" s="11">
        <f>AF421&amp;"; "&amp;AG421&amp;"; "&amp;AH421&amp;"; "&amp;AI421&amp;"; "&amp;AJ421</f>
        <v/>
      </c>
    </row>
    <row r="422">
      <c r="A422" s="11" t="inlineStr">
        <is>
          <t>T1056-G07-CIE</t>
        </is>
      </c>
      <c r="B422" s="11" t="n">
        <v>7</v>
      </c>
      <c r="C422" s="11" t="inlineStr">
        <is>
          <t>Ciencias</t>
        </is>
      </c>
      <c r="D422" s="11" t="inlineStr">
        <is>
          <t>Matriz_Ciencias_7mo_Grado_U1_U6.xlsx</t>
        </is>
      </c>
      <c r="E422" s="11" t="inlineStr">
        <is>
          <t>Unidad 5 - Recurso hídrico</t>
        </is>
      </c>
      <c r="F422" s="11" t="n">
        <v>19</v>
      </c>
      <c r="G422" s="11" t="inlineStr">
        <is>
          <t>5. Recurso hídrico</t>
        </is>
      </c>
      <c r="H422" s="11" t="inlineStr">
        <is>
          <t>Dinámica atmosférica</t>
        </is>
      </c>
      <c r="I422" s="38" t="inlineStr">
        <is>
          <t>5.17. Reconocimiento de las causas y características generales de los ciclones tropicales.</t>
        </is>
      </c>
      <c r="J422" s="11" t="inlineStr">
        <is>
          <t>T8_27</t>
        </is>
      </c>
      <c r="K422" s="11" t="inlineStr">
        <is>
          <t>T8_27-E2.3</t>
        </is>
      </c>
      <c r="L422" s="11" t="inlineStr"/>
      <c r="M422" s="11">
        <f>IF(K422="FUERA","Fuera del marco",IF(K422="N/A","Sin marco",IFERROR(INDEX('Datos - Catálogo TIMSS'!$C$5:$C$107,MATCH(K422,'Datos - Catálogo TIMSS'!$A$5:$A$107,0)),"Pendiente de clasificar")))</f>
        <v/>
      </c>
      <c r="N422" s="11">
        <f>IF(K422="FUERA","Fuera del marco",IF(K422="N/A","Sin marco",IFERROR(INDEX('Datos - Catálogo TIMSS'!$F$5:$F$107,MATCH(K422,'Datos - Catálogo TIMSS'!$A$5:$A$107,0)),"Pendiente de clasificar")))</f>
        <v/>
      </c>
      <c r="O422" s="11">
        <f>IF(L422="","",IFERROR(INDEX('Datos - Catálogo TIMSS'!$C$5:$C$107,MATCH(L422,'Datos - Catálogo TIMSS'!$A$5:$A$107,0)),"?"))</f>
        <v/>
      </c>
      <c r="P422" s="11" t="inlineStr">
        <is>
          <t>media</t>
        </is>
      </c>
      <c r="Q422" s="38" t="inlineStr">
        <is>
          <t>Ciclones tropicales como fenómenos del tiempo atmosférico</t>
        </is>
      </c>
      <c r="R422" s="38" t="inlineStr">
        <is>
          <t>Conocer: explicar procesos</t>
        </is>
      </c>
      <c r="S422" s="39">
        <f>IFERROR(ISNUMBER(SEARCH("Conocer",$R422))/(ISNUMBER(SEARCH("Conocer",$R422))+ISNUMBER(SEARCH("Aplicar",$R422))+ISNUMBER(SEARCH("Razonar",$R422))),0)</f>
        <v/>
      </c>
      <c r="T422" s="39">
        <f>IFERROR(ISNUMBER(SEARCH("Aplicar",$R422))/(ISNUMBER(SEARCH("Conocer",$R422))+ISNUMBER(SEARCH("Aplicar",$R422))+ISNUMBER(SEARCH("Razonar",$R422))),0)</f>
        <v/>
      </c>
      <c r="U422" s="39">
        <f>IFERROR(ISNUMBER(SEARCH("Razonar",$R422))/(ISNUMBER(SEARCH("Conocer",$R422))+ISNUMBER(SEARCH("Aplicar",$R422))+ISNUMBER(SEARCH("Razonar",$R422))),0)</f>
        <v/>
      </c>
      <c r="V422" s="11" t="inlineStr">
        <is>
          <t>7°</t>
        </is>
      </c>
      <c r="W422" s="11" t="inlineStr">
        <is>
          <t>Ciclo 5°–8°</t>
        </is>
      </c>
      <c r="X422" s="11">
        <f>IF(OR(IFERROR(INDEX('Datos - Catálogo TIMSS'!$I$5:$I$107,MATCH(K422,'Datos - Catálogo TIMSS'!$A$5:$A$107,0)),"No")="Sí",IFERROR(INDEX('Datos - Catálogo TIMSS'!$I$5:$I$107,MATCH(L422,'Datos - Catálogo TIMSS'!$A$5:$A$107,0)),"No")="Sí"),1,0)</f>
        <v/>
      </c>
      <c r="Y422" s="11">
        <f>IF(IFERROR(INDEX('Datos - Catálogo TIMSS'!$J$5:$J$107,MATCH(K422,'Datos - Catálogo TIMSS'!$A$5:$A$107,0)),"No")="Sí",1,0)</f>
        <v/>
      </c>
      <c r="Z422" s="11">
        <f>IF(IFERROR(INDEX('Datos - Catálogo TIMSS'!$J$5:$J$107,MATCH(L422,'Datos - Catálogo TIMSS'!$A$5:$A$107,0)),"No")="Sí",1,0)</f>
        <v/>
      </c>
      <c r="AA422" s="11" t="inlineStr">
        <is>
          <t>T8-T2.3</t>
        </is>
      </c>
      <c r="AB422" s="11" t="inlineStr"/>
      <c r="AC422" s="11">
        <f>IF(AA422="FUERA","Fuera del marco",IF(AA422="N/A","Sin marco",IFERROR(INDEX('Datos - TIMSS 2023'!$C$5:$C$105,MATCH(AA422,'Datos - TIMSS 2023'!$A$5:$A$105,0)),"Pendiente de clasificar")))</f>
        <v/>
      </c>
      <c r="AD422" s="11" t="inlineStr">
        <is>
          <t>1. Explicar fenómenos científicamente</t>
        </is>
      </c>
      <c r="AE422" s="11">
        <f>IF(AD422="","",IF(LEFT(AD422,1)="1","C1",IF(LEFT(AD422,1)="2","C2",IF(LEFT(AD422,1)="3","C3",""))))</f>
        <v/>
      </c>
      <c r="AF422" s="11" t="inlineStr">
        <is>
          <t>E6</t>
        </is>
      </c>
      <c r="AG422" s="11" t="inlineStr">
        <is>
          <t>E5</t>
        </is>
      </c>
      <c r="AH422" s="11" t="inlineStr">
        <is>
          <t>E1</t>
        </is>
      </c>
      <c r="AI422" s="11" t="inlineStr">
        <is>
          <t>D4</t>
        </is>
      </c>
      <c r="AJ422" s="11" t="inlineStr">
        <is>
          <t>E6</t>
        </is>
      </c>
      <c r="AK422" s="11" t="inlineStr">
        <is>
          <t>PISA-T3</t>
        </is>
      </c>
      <c r="AL422" s="11" t="inlineStr">
        <is>
          <t>PISA-T1</t>
        </is>
      </c>
      <c r="AM422" s="11">
        <f>IF(AK422="FUERA","Fuera del marco",IFERROR(INDEX('Datos - Catálogo PISA'!$C$5:$C$76,MATCH(AK422,'Datos - Catálogo PISA'!$A$5:$A$76,0)),"?"))</f>
        <v/>
      </c>
      <c r="AN422" s="11" t="inlineStr">
        <is>
          <t>Contenido</t>
        </is>
      </c>
      <c r="AO422" s="11" t="n"/>
      <c r="AP422" s="11" t="n"/>
      <c r="AQ422" s="11" t="inlineStr">
        <is>
          <t>Local/nacional</t>
        </is>
      </c>
      <c r="AR422" s="11" t="inlineStr">
        <is>
          <t>Riesgos</t>
        </is>
      </c>
      <c r="AS422" s="11" t="inlineStr">
        <is>
          <t>Media</t>
        </is>
      </c>
      <c r="AT422" s="11" t="inlineStr">
        <is>
          <t>alta</t>
        </is>
      </c>
      <c r="AU422" s="11" t="inlineStr">
        <is>
          <t>Causas y formación de ciclones tropicales</t>
        </is>
      </c>
      <c r="AV422" s="11" t="inlineStr">
        <is>
          <t>Ciclo 7°–9°</t>
        </is>
      </c>
      <c r="AW422" s="11">
        <f>AF422&amp;"; "&amp;AG422&amp;"; "&amp;AH422&amp;"; "&amp;AI422&amp;"; "&amp;AJ422</f>
        <v/>
      </c>
    </row>
    <row r="423">
      <c r="A423" s="11" t="inlineStr">
        <is>
          <t>T1057-G07-CIE</t>
        </is>
      </c>
      <c r="B423" s="11" t="n">
        <v>7</v>
      </c>
      <c r="C423" s="11" t="inlineStr">
        <is>
          <t>Ciencias</t>
        </is>
      </c>
      <c r="D423" s="11" t="inlineStr">
        <is>
          <t>Matriz_Ciencias_7mo_Grado_U1_U6.xlsx</t>
        </is>
      </c>
      <c r="E423" s="11" t="inlineStr">
        <is>
          <t>Unidad 5 - Recurso hídrico</t>
        </is>
      </c>
      <c r="F423" s="11" t="n">
        <v>20</v>
      </c>
      <c r="G423" s="11" t="inlineStr">
        <is>
          <t>5. Recurso hídrico</t>
        </is>
      </c>
      <c r="H423" s="11" t="inlineStr">
        <is>
          <t>Dinámica atmosférica</t>
        </is>
      </c>
      <c r="I423" s="38" t="inlineStr">
        <is>
          <t>5.18. Descripción de los parámetros meteorológicos empleados para clasificar los ciclones tropicales.</t>
        </is>
      </c>
      <c r="J423" s="11" t="inlineStr">
        <is>
          <t>T8_27</t>
        </is>
      </c>
      <c r="K423" s="11" t="inlineStr">
        <is>
          <t>T8_27-E2.3</t>
        </is>
      </c>
      <c r="L423" s="11" t="inlineStr"/>
      <c r="M423" s="11">
        <f>IF(K423="FUERA","Fuera del marco",IF(K423="N/A","Sin marco",IFERROR(INDEX('Datos - Catálogo TIMSS'!$C$5:$C$107,MATCH(K423,'Datos - Catálogo TIMSS'!$A$5:$A$107,0)),"Pendiente de clasificar")))</f>
        <v/>
      </c>
      <c r="N423" s="11">
        <f>IF(K423="FUERA","Fuera del marco",IF(K423="N/A","Sin marco",IFERROR(INDEX('Datos - Catálogo TIMSS'!$F$5:$F$107,MATCH(K423,'Datos - Catálogo TIMSS'!$A$5:$A$107,0)),"Pendiente de clasificar")))</f>
        <v/>
      </c>
      <c r="O423" s="11">
        <f>IF(L423="","",IFERROR(INDEX('Datos - Catálogo TIMSS'!$C$5:$C$107,MATCH(L423,'Datos - Catálogo TIMSS'!$A$5:$A$107,0)),"?"))</f>
        <v/>
      </c>
      <c r="P423" s="11" t="inlineStr">
        <is>
          <t>media</t>
        </is>
      </c>
      <c r="Q423" s="38" t="inlineStr">
        <is>
          <t>Parámetros meteorológicos para clasificar ciclones</t>
        </is>
      </c>
      <c r="R423" s="38" t="inlineStr">
        <is>
          <t>Aplicar: clasificar con escalas</t>
        </is>
      </c>
      <c r="S423" s="39">
        <f>IFERROR(ISNUMBER(SEARCH("Conocer",$R423))/(ISNUMBER(SEARCH("Conocer",$R423))+ISNUMBER(SEARCH("Aplicar",$R423))+ISNUMBER(SEARCH("Razonar",$R423))),0)</f>
        <v/>
      </c>
      <c r="T423" s="39">
        <f>IFERROR(ISNUMBER(SEARCH("Aplicar",$R423))/(ISNUMBER(SEARCH("Conocer",$R423))+ISNUMBER(SEARCH("Aplicar",$R423))+ISNUMBER(SEARCH("Razonar",$R423))),0)</f>
        <v/>
      </c>
      <c r="U423" s="39">
        <f>IFERROR(ISNUMBER(SEARCH("Razonar",$R423))/(ISNUMBER(SEARCH("Conocer",$R423))+ISNUMBER(SEARCH("Aplicar",$R423))+ISNUMBER(SEARCH("Razonar",$R423))),0)</f>
        <v/>
      </c>
      <c r="V423" s="11" t="inlineStr">
        <is>
          <t>7°</t>
        </is>
      </c>
      <c r="W423" s="11" t="inlineStr">
        <is>
          <t>Ciclo 5°–8°</t>
        </is>
      </c>
      <c r="X423" s="11">
        <f>IF(OR(IFERROR(INDEX('Datos - Catálogo TIMSS'!$I$5:$I$107,MATCH(K423,'Datos - Catálogo TIMSS'!$A$5:$A$107,0)),"No")="Sí",IFERROR(INDEX('Datos - Catálogo TIMSS'!$I$5:$I$107,MATCH(L423,'Datos - Catálogo TIMSS'!$A$5:$A$107,0)),"No")="Sí"),1,0)</f>
        <v/>
      </c>
      <c r="Y423" s="11">
        <f>IF(IFERROR(INDEX('Datos - Catálogo TIMSS'!$J$5:$J$107,MATCH(K423,'Datos - Catálogo TIMSS'!$A$5:$A$107,0)),"No")="Sí",1,0)</f>
        <v/>
      </c>
      <c r="Z423" s="11">
        <f>IF(IFERROR(INDEX('Datos - Catálogo TIMSS'!$J$5:$J$107,MATCH(L423,'Datos - Catálogo TIMSS'!$A$5:$A$107,0)),"No")="Sí",1,0)</f>
        <v/>
      </c>
      <c r="AA423" s="11" t="inlineStr">
        <is>
          <t>T8-T2.3</t>
        </is>
      </c>
      <c r="AB423" s="11" t="inlineStr"/>
      <c r="AC423" s="11">
        <f>IF(AA423="FUERA","Fuera del marco",IF(AA423="N/A","Sin marco",IFERROR(INDEX('Datos - TIMSS 2023'!$C$5:$C$105,MATCH(AA423,'Datos - TIMSS 2023'!$A$5:$A$105,0)),"Pendiente de clasificar")))</f>
        <v/>
      </c>
      <c r="AD423" s="11" t="inlineStr">
        <is>
          <t>3. Investigar, evaluar y usar información científica para tomar decisiones y actuar</t>
        </is>
      </c>
      <c r="AE423" s="11">
        <f>IF(AD423="","",IF(LEFT(AD423,1)="1","C1",IF(LEFT(AD423,1)="2","C2",IF(LEFT(AD423,1)="3","C3",""))))</f>
        <v/>
      </c>
      <c r="AF423" s="11" t="inlineStr">
        <is>
          <t>E1</t>
        </is>
      </c>
      <c r="AG423" s="11" t="inlineStr">
        <is>
          <t>D1</t>
        </is>
      </c>
      <c r="AH423" s="11" t="inlineStr">
        <is>
          <t>E2</t>
        </is>
      </c>
      <c r="AI423" s="11" t="inlineStr">
        <is>
          <t>I3</t>
        </is>
      </c>
      <c r="AJ423" s="11" t="inlineStr">
        <is>
          <t>I5</t>
        </is>
      </c>
      <c r="AK423" s="11" t="inlineStr">
        <is>
          <t>PISA-T3</t>
        </is>
      </c>
      <c r="AL423" s="11" t="inlineStr">
        <is>
          <t>PISA-T1</t>
        </is>
      </c>
      <c r="AM423" s="11">
        <f>IF(AK423="FUERA","Fuera del marco",IFERROR(INDEX('Datos - Catálogo PISA'!$C$5:$C$76,MATCH(AK423,'Datos - Catálogo PISA'!$A$5:$A$76,0)),"?"))</f>
        <v/>
      </c>
      <c r="AN423" s="11" t="inlineStr">
        <is>
          <t>Contenido</t>
        </is>
      </c>
      <c r="AO423" s="11" t="n"/>
      <c r="AP423" s="11" t="n"/>
      <c r="AQ423" s="11" t="inlineStr">
        <is>
          <t>Local/nacional</t>
        </is>
      </c>
      <c r="AR423" s="11" t="inlineStr">
        <is>
          <t>Riesgos</t>
        </is>
      </c>
      <c r="AS423" s="11" t="inlineStr">
        <is>
          <t>Media</t>
        </is>
      </c>
      <c r="AT423" s="11" t="inlineStr">
        <is>
          <t>media</t>
        </is>
      </c>
      <c r="AU423" s="11" t="inlineStr">
        <is>
          <t>Parámetros meteorológicos para clasificar ciclones</t>
        </is>
      </c>
      <c r="AV423" s="11" t="inlineStr">
        <is>
          <t>Ciclo 7°–9°</t>
        </is>
      </c>
      <c r="AW423" s="11">
        <f>AF423&amp;"; "&amp;AG423&amp;"; "&amp;AH423&amp;"; "&amp;AI423&amp;"; "&amp;AJ423</f>
        <v/>
      </c>
    </row>
    <row r="424">
      <c r="A424" s="11" t="inlineStr">
        <is>
          <t>T1058-G07-CIE</t>
        </is>
      </c>
      <c r="B424" s="11" t="n">
        <v>7</v>
      </c>
      <c r="C424" s="11" t="inlineStr">
        <is>
          <t>Ciencias</t>
        </is>
      </c>
      <c r="D424" s="11" t="inlineStr">
        <is>
          <t>Matriz_Ciencias_7mo_Grado_U1_U6.xlsx</t>
        </is>
      </c>
      <c r="E424" s="11" t="inlineStr">
        <is>
          <t>Unidad 6 - Ambiente y energía</t>
        </is>
      </c>
      <c r="F424" s="11" t="n">
        <v>3</v>
      </c>
      <c r="G424" s="11" t="inlineStr">
        <is>
          <t>6. Ambiente y energía</t>
        </is>
      </c>
      <c r="H424" s="11" t="inlineStr">
        <is>
          <t>Recursos y energía</t>
        </is>
      </c>
      <c r="I424" s="38" t="inlineStr">
        <is>
          <t>6.1. Indagación del concepto y las características fundamentales de los recursos naturales.</t>
        </is>
      </c>
      <c r="J424" s="11" t="inlineStr">
        <is>
          <t>T8_27</t>
        </is>
      </c>
      <c r="K424" s="11" t="inlineStr">
        <is>
          <t>T8_27-E3.2</t>
        </is>
      </c>
      <c r="L424" s="11" t="inlineStr"/>
      <c r="M424" s="11">
        <f>IF(K424="FUERA","Fuera del marco",IF(K424="N/A","Sin marco",IFERROR(INDEX('Datos - Catálogo TIMSS'!$C$5:$C$107,MATCH(K424,'Datos - Catálogo TIMSS'!$A$5:$A$107,0)),"Pendiente de clasificar")))</f>
        <v/>
      </c>
      <c r="N424" s="11">
        <f>IF(K424="FUERA","Fuera del marco",IF(K424="N/A","Sin marco",IFERROR(INDEX('Datos - Catálogo TIMSS'!$F$5:$F$107,MATCH(K424,'Datos - Catálogo TIMSS'!$A$5:$A$107,0)),"Pendiente de clasificar")))</f>
        <v/>
      </c>
      <c r="O424" s="11">
        <f>IF(L424="","",IFERROR(INDEX('Datos - Catálogo TIMSS'!$C$5:$C$107,MATCH(L424,'Datos - Catálogo TIMSS'!$A$5:$A$107,0)),"?"))</f>
        <v/>
      </c>
      <c r="P424" s="11" t="inlineStr">
        <is>
          <t>alta</t>
        </is>
      </c>
      <c r="Q424" s="38" t="inlineStr">
        <is>
          <t>Concepto y características de los recursos naturales</t>
        </is>
      </c>
      <c r="R424" s="38" t="inlineStr">
        <is>
          <t>Conocer: definir</t>
        </is>
      </c>
      <c r="S424" s="39">
        <f>IFERROR(ISNUMBER(SEARCH("Conocer",$R424))/(ISNUMBER(SEARCH("Conocer",$R424))+ISNUMBER(SEARCH("Aplicar",$R424))+ISNUMBER(SEARCH("Razonar",$R424))),0)</f>
        <v/>
      </c>
      <c r="T424" s="39">
        <f>IFERROR(ISNUMBER(SEARCH("Aplicar",$R424))/(ISNUMBER(SEARCH("Conocer",$R424))+ISNUMBER(SEARCH("Aplicar",$R424))+ISNUMBER(SEARCH("Razonar",$R424))),0)</f>
        <v/>
      </c>
      <c r="U424" s="39">
        <f>IFERROR(ISNUMBER(SEARCH("Razonar",$R424))/(ISNUMBER(SEARCH("Conocer",$R424))+ISNUMBER(SEARCH("Aplicar",$R424))+ISNUMBER(SEARCH("Razonar",$R424))),0)</f>
        <v/>
      </c>
      <c r="V424" s="11" t="inlineStr">
        <is>
          <t>7°</t>
        </is>
      </c>
      <c r="W424" s="11" t="inlineStr">
        <is>
          <t>Ciclo 5°–8°</t>
        </is>
      </c>
      <c r="X424" s="11">
        <f>IF(OR(IFERROR(INDEX('Datos - Catálogo TIMSS'!$I$5:$I$107,MATCH(K424,'Datos - Catálogo TIMSS'!$A$5:$A$107,0)),"No")="Sí",IFERROR(INDEX('Datos - Catálogo TIMSS'!$I$5:$I$107,MATCH(L424,'Datos - Catálogo TIMSS'!$A$5:$A$107,0)),"No")="Sí"),1,0)</f>
        <v/>
      </c>
      <c r="Y424" s="11">
        <f>IF(IFERROR(INDEX('Datos - Catálogo TIMSS'!$J$5:$J$107,MATCH(K424,'Datos - Catálogo TIMSS'!$A$5:$A$107,0)),"No")="Sí",1,0)</f>
        <v/>
      </c>
      <c r="Z424" s="11">
        <f>IF(IFERROR(INDEX('Datos - Catálogo TIMSS'!$J$5:$J$107,MATCH(L424,'Datos - Catálogo TIMSS'!$A$5:$A$107,0)),"No")="Sí",1,0)</f>
        <v/>
      </c>
      <c r="AA424" s="11" t="inlineStr">
        <is>
          <t>T8-T3.1</t>
        </is>
      </c>
      <c r="AB424" s="11" t="inlineStr"/>
      <c r="AC424" s="11">
        <f>IF(AA424="FUERA","Fuera del marco",IF(AA424="N/A","Sin marco",IFERROR(INDEX('Datos - TIMSS 2023'!$C$5:$C$105,MATCH(AA424,'Datos - TIMSS 2023'!$A$5:$A$105,0)),"Pendiente de clasificar")))</f>
        <v/>
      </c>
      <c r="AD424" s="11" t="inlineStr">
        <is>
          <t>1. Explicar fenómenos científicamente</t>
        </is>
      </c>
      <c r="AE424" s="11">
        <f>IF(AD424="","",IF(LEFT(AD424,1)="1","C1",IF(LEFT(AD424,1)="2","C2",IF(LEFT(AD424,1)="3","C3",""))))</f>
        <v/>
      </c>
      <c r="AF424" s="11" t="inlineStr">
        <is>
          <t>E6</t>
        </is>
      </c>
      <c r="AG424" s="11" t="inlineStr">
        <is>
          <t>D1</t>
        </is>
      </c>
      <c r="AH424" s="11" t="inlineStr">
        <is>
          <t>E1</t>
        </is>
      </c>
      <c r="AI424" s="11" t="inlineStr">
        <is>
          <t>D4</t>
        </is>
      </c>
      <c r="AJ424" s="11" t="inlineStr">
        <is>
          <t>E6</t>
        </is>
      </c>
      <c r="AK424" s="11" t="inlineStr">
        <is>
          <t>PISA-T2</t>
        </is>
      </c>
      <c r="AL424" s="11" t="inlineStr">
        <is>
          <t>PISA-V8</t>
        </is>
      </c>
      <c r="AM424" s="11">
        <f>IF(AK424="FUERA","Fuera del marco",IFERROR(INDEX('Datos - Catálogo PISA'!$C$5:$C$76,MATCH(AK424,'Datos - Catálogo PISA'!$A$5:$A$76,0)),"?"))</f>
        <v/>
      </c>
      <c r="AN424" s="11" t="inlineStr">
        <is>
          <t>Contenido</t>
        </is>
      </c>
      <c r="AO424" s="11" t="n"/>
      <c r="AP424" s="11" t="n"/>
      <c r="AQ424" s="11" t="inlineStr">
        <is>
          <t>Local/nacional</t>
        </is>
      </c>
      <c r="AR424" s="11" t="inlineStr">
        <is>
          <t>Recursos naturales</t>
        </is>
      </c>
      <c r="AS424" s="11" t="inlineStr">
        <is>
          <t>Media</t>
        </is>
      </c>
      <c r="AT424" s="11" t="inlineStr">
        <is>
          <t>media</t>
        </is>
      </c>
      <c r="AU424" s="11" t="inlineStr">
        <is>
          <t>Concepto y características de recursos naturales de la comunidad</t>
        </is>
      </c>
      <c r="AV424" s="11" t="inlineStr">
        <is>
          <t>Ciclo 7°–9°</t>
        </is>
      </c>
      <c r="AW424" s="11">
        <f>AF424&amp;"; "&amp;AG424&amp;"; "&amp;AH424&amp;"; "&amp;AI424&amp;"; "&amp;AJ424</f>
        <v/>
      </c>
    </row>
    <row r="425">
      <c r="A425" s="11" t="inlineStr">
        <is>
          <t>T1059-G07-CIE</t>
        </is>
      </c>
      <c r="B425" s="11" t="n">
        <v>7</v>
      </c>
      <c r="C425" s="11" t="inlineStr">
        <is>
          <t>Ciencias</t>
        </is>
      </c>
      <c r="D425" s="11" t="inlineStr">
        <is>
          <t>Matriz_Ciencias_7mo_Grado_U1_U6.xlsx</t>
        </is>
      </c>
      <c r="E425" s="11" t="inlineStr">
        <is>
          <t>Unidad 6 - Ambiente y energía</t>
        </is>
      </c>
      <c r="F425" s="11" t="n">
        <v>4</v>
      </c>
      <c r="G425" s="11" t="inlineStr">
        <is>
          <t>6. Ambiente y energía</t>
        </is>
      </c>
      <c r="H425" s="11" t="inlineStr">
        <is>
          <t>Recursos y energía</t>
        </is>
      </c>
      <c r="I425" s="38" t="inlineStr">
        <is>
          <t>6.2. Demostración práctica de eficiencia y suministro de diferentes recursos energéticos.</t>
        </is>
      </c>
      <c r="J425" s="11" t="inlineStr">
        <is>
          <t>T8_27</t>
        </is>
      </c>
      <c r="K425" s="11" t="inlineStr">
        <is>
          <t>T8_27-E3.1</t>
        </is>
      </c>
      <c r="L425" s="11" t="inlineStr">
        <is>
          <t>T8_27-P2.1</t>
        </is>
      </c>
      <c r="M425" s="11">
        <f>IF(K425="FUERA","Fuera del marco",IF(K425="N/A","Sin marco",IFERROR(INDEX('Datos - Catálogo TIMSS'!$C$5:$C$107,MATCH(K425,'Datos - Catálogo TIMSS'!$A$5:$A$107,0)),"Pendiente de clasificar")))</f>
        <v/>
      </c>
      <c r="N425" s="11">
        <f>IF(K425="FUERA","Fuera del marco",IF(K425="N/A","Sin marco",IFERROR(INDEX('Datos - Catálogo TIMSS'!$F$5:$F$107,MATCH(K425,'Datos - Catálogo TIMSS'!$A$5:$A$107,0)),"Pendiente de clasificar")))</f>
        <v/>
      </c>
      <c r="O425" s="11">
        <f>IF(L425="","",IFERROR(INDEX('Datos - Catálogo TIMSS'!$C$5:$C$107,MATCH(L425,'Datos - Catálogo TIMSS'!$A$5:$A$107,0)),"?"))</f>
        <v/>
      </c>
      <c r="P425" s="11" t="inlineStr">
        <is>
          <t>media</t>
        </is>
      </c>
      <c r="Q425" s="38" t="inlineStr">
        <is>
          <t>Compara fuentes de energía por eficiencia y suministro</t>
        </is>
      </c>
      <c r="R425" s="38" t="inlineStr">
        <is>
          <t>Razonar: comparar y justificar</t>
        </is>
      </c>
      <c r="S425" s="39">
        <f>IFERROR(ISNUMBER(SEARCH("Conocer",$R425))/(ISNUMBER(SEARCH("Conocer",$R425))+ISNUMBER(SEARCH("Aplicar",$R425))+ISNUMBER(SEARCH("Razonar",$R425))),0)</f>
        <v/>
      </c>
      <c r="T425" s="39">
        <f>IFERROR(ISNUMBER(SEARCH("Aplicar",$R425))/(ISNUMBER(SEARCH("Conocer",$R425))+ISNUMBER(SEARCH("Aplicar",$R425))+ISNUMBER(SEARCH("Razonar",$R425))),0)</f>
        <v/>
      </c>
      <c r="U425" s="39">
        <f>IFERROR(ISNUMBER(SEARCH("Razonar",$R425))/(ISNUMBER(SEARCH("Conocer",$R425))+ISNUMBER(SEARCH("Aplicar",$R425))+ISNUMBER(SEARCH("Razonar",$R425))),0)</f>
        <v/>
      </c>
      <c r="V425" s="11" t="inlineStr">
        <is>
          <t>7°</t>
        </is>
      </c>
      <c r="W425" s="11" t="inlineStr">
        <is>
          <t>Ciclo 5°–8°</t>
        </is>
      </c>
      <c r="X425" s="11">
        <f>IF(OR(IFERROR(INDEX('Datos - Catálogo TIMSS'!$I$5:$I$107,MATCH(K425,'Datos - Catálogo TIMSS'!$A$5:$A$107,0)),"No")="Sí",IFERROR(INDEX('Datos - Catálogo TIMSS'!$I$5:$I$107,MATCH(L425,'Datos - Catálogo TIMSS'!$A$5:$A$107,0)),"No")="Sí"),1,0)</f>
        <v/>
      </c>
      <c r="Y425" s="11">
        <f>IF(IFERROR(INDEX('Datos - Catálogo TIMSS'!$J$5:$J$107,MATCH(K425,'Datos - Catálogo TIMSS'!$A$5:$A$107,0)),"No")="Sí",1,0)</f>
        <v/>
      </c>
      <c r="Z425" s="11">
        <f>IF(IFERROR(INDEX('Datos - Catálogo TIMSS'!$J$5:$J$107,MATCH(L425,'Datos - Catálogo TIMSS'!$A$5:$A$107,0)),"No")="Sí",1,0)</f>
        <v/>
      </c>
      <c r="AA425" s="11" t="inlineStr">
        <is>
          <t>T8-T3.1</t>
        </is>
      </c>
      <c r="AB425" s="11" t="inlineStr">
        <is>
          <t>T8-F2.1</t>
        </is>
      </c>
      <c r="AC425" s="11">
        <f>IF(AA425="FUERA","Fuera del marco",IF(AA425="N/A","Sin marco",IFERROR(INDEX('Datos - TIMSS 2023'!$C$5:$C$105,MATCH(AA425,'Datos - TIMSS 2023'!$A$5:$A$105,0)),"Pendiente de clasificar")))</f>
        <v/>
      </c>
      <c r="AD425" s="11" t="inlineStr">
        <is>
          <t>2. Construir y evaluar diseños para la indagación científica e interpretar datos y evidencia de forma crítica</t>
        </is>
      </c>
      <c r="AE425" s="11">
        <f>IF(AD425="","",IF(LEFT(AD425,1)="1","C1",IF(LEFT(AD425,1)="2","C2",IF(LEFT(AD425,1)="3","C3",""))))</f>
        <v/>
      </c>
      <c r="AF425" s="11" t="inlineStr">
        <is>
          <t>E1</t>
        </is>
      </c>
      <c r="AG425" s="11" t="inlineStr">
        <is>
          <t>E3</t>
        </is>
      </c>
      <c r="AH425" s="11" t="inlineStr">
        <is>
          <t>E1</t>
        </is>
      </c>
      <c r="AI425" s="11" t="inlineStr">
        <is>
          <t>D2</t>
        </is>
      </c>
      <c r="AJ425" s="11" t="inlineStr">
        <is>
          <t>I5</t>
        </is>
      </c>
      <c r="AK425" s="11" t="inlineStr">
        <is>
          <t>PISA-F4</t>
        </is>
      </c>
      <c r="AL425" s="11" t="inlineStr">
        <is>
          <t>PISA-T3</t>
        </is>
      </c>
      <c r="AM425" s="11">
        <f>IF(AK425="FUERA","Fuera del marco",IFERROR(INDEX('Datos - Catálogo PISA'!$C$5:$C$76,MATCH(AK425,'Datos - Catálogo PISA'!$A$5:$A$76,0)),"?"))</f>
        <v/>
      </c>
      <c r="AN425" s="11" t="inlineStr">
        <is>
          <t>Contenido</t>
        </is>
      </c>
      <c r="AO425" s="11" t="n"/>
      <c r="AP425" s="11" t="n"/>
      <c r="AQ425" s="11" t="inlineStr">
        <is>
          <t>Personal</t>
        </is>
      </c>
      <c r="AR425" s="11" t="inlineStr">
        <is>
          <t>Recursos naturales</t>
        </is>
      </c>
      <c r="AS425" s="11" t="inlineStr">
        <is>
          <t>Media</t>
        </is>
      </c>
      <c r="AT425" s="11" t="inlineStr">
        <is>
          <t>media</t>
        </is>
      </c>
      <c r="AU425" s="11" t="inlineStr">
        <is>
          <t>Eficiencia de recursos energéticos de uso cotidiano</t>
        </is>
      </c>
      <c r="AV425" s="11" t="inlineStr">
        <is>
          <t>Ciclo 7°–9°</t>
        </is>
      </c>
      <c r="AW425" s="11">
        <f>AF425&amp;"; "&amp;AG425&amp;"; "&amp;AH425&amp;"; "&amp;AI425&amp;"; "&amp;AJ425</f>
        <v/>
      </c>
    </row>
    <row r="426">
      <c r="A426" s="11" t="inlineStr">
        <is>
          <t>T1060-G07-CIE</t>
        </is>
      </c>
      <c r="B426" s="11" t="n">
        <v>7</v>
      </c>
      <c r="C426" s="11" t="inlineStr">
        <is>
          <t>Ciencias</t>
        </is>
      </c>
      <c r="D426" s="11" t="inlineStr">
        <is>
          <t>Matriz_Ciencias_7mo_Grado_U1_U6.xlsx</t>
        </is>
      </c>
      <c r="E426" s="11" t="inlineStr">
        <is>
          <t>Unidad 6 - Ambiente y energía</t>
        </is>
      </c>
      <c r="F426" s="11" t="n">
        <v>5</v>
      </c>
      <c r="G426" s="11" t="inlineStr">
        <is>
          <t>6. Ambiente y energía</t>
        </is>
      </c>
      <c r="H426" s="11" t="inlineStr">
        <is>
          <t>Recursos y energía</t>
        </is>
      </c>
      <c r="I426" s="38" t="inlineStr">
        <is>
          <t>6.3. Exploración de los recursos energéticos utilizados en la comunidad.</t>
        </is>
      </c>
      <c r="J426" s="11" t="inlineStr">
        <is>
          <t>T8_27</t>
        </is>
      </c>
      <c r="K426" s="11" t="inlineStr">
        <is>
          <t>T8_27-E3.1</t>
        </is>
      </c>
      <c r="L426" s="11" t="inlineStr"/>
      <c r="M426" s="11">
        <f>IF(K426="FUERA","Fuera del marco",IF(K426="N/A","Sin marco",IFERROR(INDEX('Datos - Catálogo TIMSS'!$C$5:$C$107,MATCH(K426,'Datos - Catálogo TIMSS'!$A$5:$A$107,0)),"Pendiente de clasificar")))</f>
        <v/>
      </c>
      <c r="N426" s="11">
        <f>IF(K426="FUERA","Fuera del marco",IF(K426="N/A","Sin marco",IFERROR(INDEX('Datos - Catálogo TIMSS'!$F$5:$F$107,MATCH(K426,'Datos - Catálogo TIMSS'!$A$5:$A$107,0)),"Pendiente de clasificar")))</f>
        <v/>
      </c>
      <c r="O426" s="11">
        <f>IF(L426="","",IFERROR(INDEX('Datos - Catálogo TIMSS'!$C$5:$C$107,MATCH(L426,'Datos - Catálogo TIMSS'!$A$5:$A$107,0)),"?"))</f>
        <v/>
      </c>
      <c r="P426" s="11" t="inlineStr">
        <is>
          <t>alta</t>
        </is>
      </c>
      <c r="Q426" s="38" t="inlineStr">
        <is>
          <t>Fuentes de energía usadas en la comunidad</t>
        </is>
      </c>
      <c r="R426" s="38" t="inlineStr">
        <is>
          <t>Aplicar: recolectar y analizar datos</t>
        </is>
      </c>
      <c r="S426" s="39">
        <f>IFERROR(ISNUMBER(SEARCH("Conocer",$R426))/(ISNUMBER(SEARCH("Conocer",$R426))+ISNUMBER(SEARCH("Aplicar",$R426))+ISNUMBER(SEARCH("Razonar",$R426))),0)</f>
        <v/>
      </c>
      <c r="T426" s="39">
        <f>IFERROR(ISNUMBER(SEARCH("Aplicar",$R426))/(ISNUMBER(SEARCH("Conocer",$R426))+ISNUMBER(SEARCH("Aplicar",$R426))+ISNUMBER(SEARCH("Razonar",$R426))),0)</f>
        <v/>
      </c>
      <c r="U426" s="39">
        <f>IFERROR(ISNUMBER(SEARCH("Razonar",$R426))/(ISNUMBER(SEARCH("Conocer",$R426))+ISNUMBER(SEARCH("Aplicar",$R426))+ISNUMBER(SEARCH("Razonar",$R426))),0)</f>
        <v/>
      </c>
      <c r="V426" s="11" t="inlineStr">
        <is>
          <t>7°</t>
        </is>
      </c>
      <c r="W426" s="11" t="inlineStr">
        <is>
          <t>Ciclo 5°–8°</t>
        </is>
      </c>
      <c r="X426" s="11">
        <f>IF(OR(IFERROR(INDEX('Datos - Catálogo TIMSS'!$I$5:$I$107,MATCH(K426,'Datos - Catálogo TIMSS'!$A$5:$A$107,0)),"No")="Sí",IFERROR(INDEX('Datos - Catálogo TIMSS'!$I$5:$I$107,MATCH(L426,'Datos - Catálogo TIMSS'!$A$5:$A$107,0)),"No")="Sí"),1,0)</f>
        <v/>
      </c>
      <c r="Y426" s="11">
        <f>IF(IFERROR(INDEX('Datos - Catálogo TIMSS'!$J$5:$J$107,MATCH(K426,'Datos - Catálogo TIMSS'!$A$5:$A$107,0)),"No")="Sí",1,0)</f>
        <v/>
      </c>
      <c r="Z426" s="11">
        <f>IF(IFERROR(INDEX('Datos - Catálogo TIMSS'!$J$5:$J$107,MATCH(L426,'Datos - Catálogo TIMSS'!$A$5:$A$107,0)),"No")="Sí",1,0)</f>
        <v/>
      </c>
      <c r="AA426" s="11" t="inlineStr">
        <is>
          <t>T8-T3.1</t>
        </is>
      </c>
      <c r="AB426" s="11" t="inlineStr"/>
      <c r="AC426" s="11">
        <f>IF(AA426="FUERA","Fuera del marco",IF(AA426="N/A","Sin marco",IFERROR(INDEX('Datos - TIMSS 2023'!$C$5:$C$105,MATCH(AA426,'Datos - TIMSS 2023'!$A$5:$A$105,0)),"Pendiente de clasificar")))</f>
        <v/>
      </c>
      <c r="AD426" s="11" t="inlineStr">
        <is>
          <t>3. Investigar, evaluar y usar información científica para tomar decisiones y actuar</t>
        </is>
      </c>
      <c r="AE426" s="11">
        <f>IF(AD426="","",IF(LEFT(AD426,1)="1","C1",IF(LEFT(AD426,1)="2","C2",IF(LEFT(AD426,1)="3","C3",""))))</f>
        <v/>
      </c>
      <c r="AF426" s="11" t="inlineStr">
        <is>
          <t>E1</t>
        </is>
      </c>
      <c r="AG426" s="11" t="inlineStr">
        <is>
          <t>D1</t>
        </is>
      </c>
      <c r="AH426" s="11" t="inlineStr">
        <is>
          <t>E2</t>
        </is>
      </c>
      <c r="AI426" s="11" t="inlineStr">
        <is>
          <t>I3</t>
        </is>
      </c>
      <c r="AJ426" s="11" t="inlineStr">
        <is>
          <t>I5</t>
        </is>
      </c>
      <c r="AK426" s="11" t="inlineStr">
        <is>
          <t>PISA-T3</t>
        </is>
      </c>
      <c r="AL426" s="11" t="n"/>
      <c r="AM426" s="11">
        <f>IF(AK426="FUERA","Fuera del marco",IFERROR(INDEX('Datos - Catálogo PISA'!$C$5:$C$76,MATCH(AK426,'Datos - Catálogo PISA'!$A$5:$A$76,0)),"?"))</f>
        <v/>
      </c>
      <c r="AN426" s="11" t="inlineStr">
        <is>
          <t>Contenido</t>
        </is>
      </c>
      <c r="AO426" s="11" t="inlineStr">
        <is>
          <t>PISA-PR5;</t>
        </is>
      </c>
      <c r="AP426" s="11" t="n"/>
      <c r="AQ426" s="11" t="inlineStr">
        <is>
          <t>Local/nacional</t>
        </is>
      </c>
      <c r="AR426" s="11" t="inlineStr">
        <is>
          <t>Recursos naturales</t>
        </is>
      </c>
      <c r="AS426" s="11" t="inlineStr">
        <is>
          <t>Media</t>
        </is>
      </c>
      <c r="AT426" s="11" t="inlineStr">
        <is>
          <t>media</t>
        </is>
      </c>
      <c r="AU426" s="11" t="inlineStr">
        <is>
          <t>Encuesta de recursos energéticos usados en la comunidad</t>
        </is>
      </c>
      <c r="AV426" s="11" t="inlineStr">
        <is>
          <t>Ciclo 7°–9°</t>
        </is>
      </c>
      <c r="AW426" s="11">
        <f>AF426&amp;"; "&amp;AG426&amp;"; "&amp;AH426&amp;"; "&amp;AI426&amp;"; "&amp;AJ426</f>
        <v/>
      </c>
    </row>
    <row r="427">
      <c r="A427" s="11" t="inlineStr">
        <is>
          <t>T1061-G07-CIE</t>
        </is>
      </c>
      <c r="B427" s="11" t="n">
        <v>7</v>
      </c>
      <c r="C427" s="11" t="inlineStr">
        <is>
          <t>Ciencias</t>
        </is>
      </c>
      <c r="D427" s="11" t="inlineStr">
        <is>
          <t>Matriz_Ciencias_7mo_Grado_U1_U6.xlsx</t>
        </is>
      </c>
      <c r="E427" s="11" t="inlineStr">
        <is>
          <t>Unidad 6 - Ambiente y energía</t>
        </is>
      </c>
      <c r="F427" s="11" t="n">
        <v>6</v>
      </c>
      <c r="G427" s="11" t="inlineStr">
        <is>
          <t>6. Ambiente y energía</t>
        </is>
      </c>
      <c r="H427" s="11" t="inlineStr">
        <is>
          <t>Energías no renovables</t>
        </is>
      </c>
      <c r="I427" s="38" t="inlineStr">
        <is>
          <t>6.4. Indagación del aprovechamiento de los combustibles como energías no renovables.</t>
        </is>
      </c>
      <c r="J427" s="11" t="inlineStr">
        <is>
          <t>T8_27</t>
        </is>
      </c>
      <c r="K427" s="11" t="inlineStr">
        <is>
          <t>T8_27-E3.1</t>
        </is>
      </c>
      <c r="L427" s="11" t="inlineStr"/>
      <c r="M427" s="11">
        <f>IF(K427="FUERA","Fuera del marco",IF(K427="N/A","Sin marco",IFERROR(INDEX('Datos - Catálogo TIMSS'!$C$5:$C$107,MATCH(K427,'Datos - Catálogo TIMSS'!$A$5:$A$107,0)),"Pendiente de clasificar")))</f>
        <v/>
      </c>
      <c r="N427" s="11">
        <f>IF(K427="FUERA","Fuera del marco",IF(K427="N/A","Sin marco",IFERROR(INDEX('Datos - Catálogo TIMSS'!$F$5:$F$107,MATCH(K427,'Datos - Catálogo TIMSS'!$A$5:$A$107,0)),"Pendiente de clasificar")))</f>
        <v/>
      </c>
      <c r="O427" s="11">
        <f>IF(L427="","",IFERROR(INDEX('Datos - Catálogo TIMSS'!$C$5:$C$107,MATCH(L427,'Datos - Catálogo TIMSS'!$A$5:$A$107,0)),"?"))</f>
        <v/>
      </c>
      <c r="P427" s="11" t="inlineStr">
        <is>
          <t>alta</t>
        </is>
      </c>
      <c r="Q427" s="38" t="inlineStr">
        <is>
          <t>Combustibles como fuentes de energía no renovables</t>
        </is>
      </c>
      <c r="R427" s="38" t="inlineStr">
        <is>
          <t>Conocer: reconocer</t>
        </is>
      </c>
      <c r="S427" s="39">
        <f>IFERROR(ISNUMBER(SEARCH("Conocer",$R427))/(ISNUMBER(SEARCH("Conocer",$R427))+ISNUMBER(SEARCH("Aplicar",$R427))+ISNUMBER(SEARCH("Razonar",$R427))),0)</f>
        <v/>
      </c>
      <c r="T427" s="39">
        <f>IFERROR(ISNUMBER(SEARCH("Aplicar",$R427))/(ISNUMBER(SEARCH("Conocer",$R427))+ISNUMBER(SEARCH("Aplicar",$R427))+ISNUMBER(SEARCH("Razonar",$R427))),0)</f>
        <v/>
      </c>
      <c r="U427" s="39">
        <f>IFERROR(ISNUMBER(SEARCH("Razonar",$R427))/(ISNUMBER(SEARCH("Conocer",$R427))+ISNUMBER(SEARCH("Aplicar",$R427))+ISNUMBER(SEARCH("Razonar",$R427))),0)</f>
        <v/>
      </c>
      <c r="V427" s="11" t="inlineStr">
        <is>
          <t>7°</t>
        </is>
      </c>
      <c r="W427" s="11" t="inlineStr">
        <is>
          <t>Ciclo 5°–8°</t>
        </is>
      </c>
      <c r="X427" s="11">
        <f>IF(OR(IFERROR(INDEX('Datos - Catálogo TIMSS'!$I$5:$I$107,MATCH(K427,'Datos - Catálogo TIMSS'!$A$5:$A$107,0)),"No")="Sí",IFERROR(INDEX('Datos - Catálogo TIMSS'!$I$5:$I$107,MATCH(L427,'Datos - Catálogo TIMSS'!$A$5:$A$107,0)),"No")="Sí"),1,0)</f>
        <v/>
      </c>
      <c r="Y427" s="11">
        <f>IF(IFERROR(INDEX('Datos - Catálogo TIMSS'!$J$5:$J$107,MATCH(K427,'Datos - Catálogo TIMSS'!$A$5:$A$107,0)),"No")="Sí",1,0)</f>
        <v/>
      </c>
      <c r="Z427" s="11">
        <f>IF(IFERROR(INDEX('Datos - Catálogo TIMSS'!$J$5:$J$107,MATCH(L427,'Datos - Catálogo TIMSS'!$A$5:$A$107,0)),"No")="Sí",1,0)</f>
        <v/>
      </c>
      <c r="AA427" s="11" t="inlineStr">
        <is>
          <t>T8-T3.1</t>
        </is>
      </c>
      <c r="AB427" s="11" t="inlineStr"/>
      <c r="AC427" s="11">
        <f>IF(AA427="FUERA","Fuera del marco",IF(AA427="N/A","Sin marco",IFERROR(INDEX('Datos - TIMSS 2023'!$C$5:$C$105,MATCH(AA427,'Datos - TIMSS 2023'!$A$5:$A$105,0)),"Pendiente de clasificar")))</f>
        <v/>
      </c>
      <c r="AD427" s="11" t="inlineStr">
        <is>
          <t>1. Explicar fenómenos científicamente</t>
        </is>
      </c>
      <c r="AE427" s="11">
        <f>IF(AD427="","",IF(LEFT(AD427,1)="1","C1",IF(LEFT(AD427,1)="2","C2",IF(LEFT(AD427,1)="3","C3",""))))</f>
        <v/>
      </c>
      <c r="AF427" s="11" t="inlineStr">
        <is>
          <t>E1</t>
        </is>
      </c>
      <c r="AG427" s="11" t="inlineStr">
        <is>
          <t>D1</t>
        </is>
      </c>
      <c r="AH427" s="11" t="inlineStr">
        <is>
          <t>E1</t>
        </is>
      </c>
      <c r="AI427" s="11" t="inlineStr">
        <is>
          <t>D4</t>
        </is>
      </c>
      <c r="AJ427" s="11" t="inlineStr">
        <is>
          <t>E6</t>
        </is>
      </c>
      <c r="AK427" s="11" t="inlineStr">
        <is>
          <t>PISA-T3</t>
        </is>
      </c>
      <c r="AL427" s="11" t="inlineStr">
        <is>
          <t>PISA-T2</t>
        </is>
      </c>
      <c r="AM427" s="11">
        <f>IF(AK427="FUERA","Fuera del marco",IFERROR(INDEX('Datos - Catálogo PISA'!$C$5:$C$76,MATCH(AK427,'Datos - Catálogo PISA'!$A$5:$A$76,0)),"?"))</f>
        <v/>
      </c>
      <c r="AN427" s="11" t="inlineStr">
        <is>
          <t>Contenido</t>
        </is>
      </c>
      <c r="AO427" s="11" t="n"/>
      <c r="AP427" s="11" t="n"/>
      <c r="AQ427" s="11" t="inlineStr">
        <is>
          <t>Global</t>
        </is>
      </c>
      <c r="AR427" s="11" t="inlineStr">
        <is>
          <t>Recursos naturales</t>
        </is>
      </c>
      <c r="AS427" s="11" t="inlineStr">
        <is>
          <t>Baja</t>
        </is>
      </c>
      <c r="AT427" s="11" t="inlineStr">
        <is>
          <t>media</t>
        </is>
      </c>
      <c r="AU427" s="11" t="inlineStr">
        <is>
          <t>Combustibles como fuente de energía no renovable</t>
        </is>
      </c>
      <c r="AV427" s="11" t="inlineStr">
        <is>
          <t>Ciclo 7°–9°</t>
        </is>
      </c>
      <c r="AW427" s="11">
        <f>AF427&amp;"; "&amp;AG427&amp;"; "&amp;AH427&amp;"; "&amp;AI427&amp;"; "&amp;AJ427</f>
        <v/>
      </c>
    </row>
    <row r="428">
      <c r="A428" s="11" t="inlineStr">
        <is>
          <t>T1062-G07-CIE</t>
        </is>
      </c>
      <c r="B428" s="11" t="n">
        <v>7</v>
      </c>
      <c r="C428" s="11" t="inlineStr">
        <is>
          <t>Ciencias</t>
        </is>
      </c>
      <c r="D428" s="11" t="inlineStr">
        <is>
          <t>Matriz_Ciencias_7mo_Grado_U1_U6.xlsx</t>
        </is>
      </c>
      <c r="E428" s="11" t="inlineStr">
        <is>
          <t>Unidad 6 - Ambiente y energía</t>
        </is>
      </c>
      <c r="F428" s="11" t="n">
        <v>7</v>
      </c>
      <c r="G428" s="11" t="inlineStr">
        <is>
          <t>6. Ambiente y energía</t>
        </is>
      </c>
      <c r="H428" s="11" t="inlineStr">
        <is>
          <t>Energías no renovables</t>
        </is>
      </c>
      <c r="I428" s="38" t="inlineStr">
        <is>
          <t>6.5. Construcción de dispositivos de combustión para el aprovechamiento de energías no renovables.</t>
        </is>
      </c>
      <c r="J428" s="11" t="inlineStr">
        <is>
          <t>T8_27</t>
        </is>
      </c>
      <c r="K428" s="11" t="inlineStr">
        <is>
          <t>T8_27-P2.1</t>
        </is>
      </c>
      <c r="L428" s="11" t="inlineStr">
        <is>
          <t>T8_27-E3.1</t>
        </is>
      </c>
      <c r="M428" s="11">
        <f>IF(K428="FUERA","Fuera del marco",IF(K428="N/A","Sin marco",IFERROR(INDEX('Datos - Catálogo TIMSS'!$C$5:$C$107,MATCH(K428,'Datos - Catálogo TIMSS'!$A$5:$A$107,0)),"Pendiente de clasificar")))</f>
        <v/>
      </c>
      <c r="N428" s="11">
        <f>IF(K428="FUERA","Fuera del marco",IF(K428="N/A","Sin marco",IFERROR(INDEX('Datos - Catálogo TIMSS'!$F$5:$F$107,MATCH(K428,'Datos - Catálogo TIMSS'!$A$5:$A$107,0)),"Pendiente de clasificar")))</f>
        <v/>
      </c>
      <c r="O428" s="11">
        <f>IF(L428="","",IFERROR(INDEX('Datos - Catálogo TIMSS'!$C$5:$C$107,MATCH(L428,'Datos - Catálogo TIMSS'!$A$5:$A$107,0)),"?"))</f>
        <v/>
      </c>
      <c r="P428" s="11" t="inlineStr">
        <is>
          <t>baja</t>
        </is>
      </c>
      <c r="Q428" s="38" t="inlineStr">
        <is>
          <t>Dispositivo de combustión: transformación de energía química; foco tecnológico</t>
        </is>
      </c>
      <c r="R428" s="38" t="inlineStr">
        <is>
          <t>Razonar: evaluar</t>
        </is>
      </c>
      <c r="S428" s="39">
        <f>IFERROR(ISNUMBER(SEARCH("Conocer",$R428))/(ISNUMBER(SEARCH("Conocer",$R428))+ISNUMBER(SEARCH("Aplicar",$R428))+ISNUMBER(SEARCH("Razonar",$R428))),0)</f>
        <v/>
      </c>
      <c r="T428" s="39">
        <f>IFERROR(ISNUMBER(SEARCH("Aplicar",$R428))/(ISNUMBER(SEARCH("Conocer",$R428))+ISNUMBER(SEARCH("Aplicar",$R428))+ISNUMBER(SEARCH("Razonar",$R428))),0)</f>
        <v/>
      </c>
      <c r="U428" s="39">
        <f>IFERROR(ISNUMBER(SEARCH("Razonar",$R428))/(ISNUMBER(SEARCH("Conocer",$R428))+ISNUMBER(SEARCH("Aplicar",$R428))+ISNUMBER(SEARCH("Razonar",$R428))),0)</f>
        <v/>
      </c>
      <c r="V428" s="11" t="inlineStr">
        <is>
          <t>7°</t>
        </is>
      </c>
      <c r="W428" s="11" t="inlineStr">
        <is>
          <t>Ciclo 5°–8°</t>
        </is>
      </c>
      <c r="X428" s="11">
        <f>IF(OR(IFERROR(INDEX('Datos - Catálogo TIMSS'!$I$5:$I$107,MATCH(K428,'Datos - Catálogo TIMSS'!$A$5:$A$107,0)),"No")="Sí",IFERROR(INDEX('Datos - Catálogo TIMSS'!$I$5:$I$107,MATCH(L428,'Datos - Catálogo TIMSS'!$A$5:$A$107,0)),"No")="Sí"),1,0)</f>
        <v/>
      </c>
      <c r="Y428" s="11">
        <f>IF(IFERROR(INDEX('Datos - Catálogo TIMSS'!$J$5:$J$107,MATCH(K428,'Datos - Catálogo TIMSS'!$A$5:$A$107,0)),"No")="Sí",1,0)</f>
        <v/>
      </c>
      <c r="Z428" s="11">
        <f>IF(IFERROR(INDEX('Datos - Catálogo TIMSS'!$J$5:$J$107,MATCH(L428,'Datos - Catálogo TIMSS'!$A$5:$A$107,0)),"No")="Sí",1,0)</f>
        <v/>
      </c>
      <c r="AA428" s="11" t="inlineStr">
        <is>
          <t>T8-F2.1</t>
        </is>
      </c>
      <c r="AB428" s="11" t="inlineStr">
        <is>
          <t>T8-T3.1</t>
        </is>
      </c>
      <c r="AC428" s="11">
        <f>IF(AA428="FUERA","Fuera del marco",IF(AA428="N/A","Sin marco",IFERROR(INDEX('Datos - TIMSS 2023'!$C$5:$C$105,MATCH(AA428,'Datos - TIMSS 2023'!$A$5:$A$105,0)),"Pendiente de clasificar")))</f>
        <v/>
      </c>
      <c r="AD428" s="11" t="inlineStr">
        <is>
          <t>2. Construir y evaluar diseños para la indagación científica e interpretar datos y evidencia de forma crítica</t>
        </is>
      </c>
      <c r="AE428" s="11">
        <f>IF(AD428="","",IF(LEFT(AD428,1)="1","C1",IF(LEFT(AD428,1)="2","C2",IF(LEFT(AD428,1)="3","C3",""))))</f>
        <v/>
      </c>
      <c r="AF428" s="11" t="inlineStr">
        <is>
          <t>E1</t>
        </is>
      </c>
      <c r="AG428" s="11" t="inlineStr">
        <is>
          <t>D1</t>
        </is>
      </c>
      <c r="AH428" s="11" t="inlineStr">
        <is>
          <t>E4</t>
        </is>
      </c>
      <c r="AI428" s="11" t="inlineStr">
        <is>
          <t>D3</t>
        </is>
      </c>
      <c r="AJ428" s="11" t="inlineStr">
        <is>
          <t>E6</t>
        </is>
      </c>
      <c r="AK428" s="11" t="inlineStr">
        <is>
          <t>PISA-F4</t>
        </is>
      </c>
      <c r="AL428" s="11" t="inlineStr">
        <is>
          <t>PISA-F2</t>
        </is>
      </c>
      <c r="AM428" s="11">
        <f>IF(AK428="FUERA","Fuera del marco",IFERROR(INDEX('Datos - Catálogo PISA'!$C$5:$C$76,MATCH(AK428,'Datos - Catálogo PISA'!$A$5:$A$76,0)),"?"))</f>
        <v/>
      </c>
      <c r="AN428" s="11" t="inlineStr">
        <is>
          <t>Contenido</t>
        </is>
      </c>
      <c r="AO428" s="11" t="n"/>
      <c r="AP428" s="11" t="n"/>
      <c r="AQ428" s="11" t="inlineStr">
        <is>
          <t>Personal</t>
        </is>
      </c>
      <c r="AR428" s="11" t="inlineStr">
        <is>
          <t>Riesgos</t>
        </is>
      </c>
      <c r="AS428" s="11" t="inlineStr">
        <is>
          <t>Media</t>
        </is>
      </c>
      <c r="AT428" s="11" t="inlineStr">
        <is>
          <t>media</t>
        </is>
      </c>
      <c r="AU428" s="11" t="inlineStr">
        <is>
          <t>Dispositivo de combustión y evaluación de sus riesgos</t>
        </is>
      </c>
      <c r="AV428" s="11" t="inlineStr">
        <is>
          <t>Ciclo 7°–9°</t>
        </is>
      </c>
      <c r="AW428" s="11">
        <f>AF428&amp;"; "&amp;AG428&amp;"; "&amp;AH428&amp;"; "&amp;AI428&amp;"; "&amp;AJ428</f>
        <v/>
      </c>
    </row>
    <row r="429">
      <c r="A429" s="11" t="inlineStr">
        <is>
          <t>T1063-G07-CIE</t>
        </is>
      </c>
      <c r="B429" s="11" t="n">
        <v>7</v>
      </c>
      <c r="C429" s="11" t="inlineStr">
        <is>
          <t>Ciencias</t>
        </is>
      </c>
      <c r="D429" s="11" t="inlineStr">
        <is>
          <t>Matriz_Ciencias_7mo_Grado_U1_U6.xlsx</t>
        </is>
      </c>
      <c r="E429" s="11" t="inlineStr">
        <is>
          <t>Unidad 6 - Ambiente y energía</t>
        </is>
      </c>
      <c r="F429" s="11" t="n">
        <v>8</v>
      </c>
      <c r="G429" s="11" t="inlineStr">
        <is>
          <t>6. Ambiente y energía</t>
        </is>
      </c>
      <c r="H429" s="11" t="inlineStr">
        <is>
          <t>Energías no renovables</t>
        </is>
      </c>
      <c r="I429" s="38" t="inlineStr">
        <is>
          <t>6.6. Generalización del proceso de transformación de combustibles en energía eléctrica.</t>
        </is>
      </c>
      <c r="J429" s="11" t="inlineStr">
        <is>
          <t>T8_27</t>
        </is>
      </c>
      <c r="K429" s="11" t="inlineStr">
        <is>
          <t>T8_27-P2.1</t>
        </is>
      </c>
      <c r="L429" s="11" t="inlineStr">
        <is>
          <t>T8_27-E3.1</t>
        </is>
      </c>
      <c r="M429" s="11">
        <f>IF(K429="FUERA","Fuera del marco",IF(K429="N/A","Sin marco",IFERROR(INDEX('Datos - Catálogo TIMSS'!$C$5:$C$107,MATCH(K429,'Datos - Catálogo TIMSS'!$A$5:$A$107,0)),"Pendiente de clasificar")))</f>
        <v/>
      </c>
      <c r="N429" s="11">
        <f>IF(K429="FUERA","Fuera del marco",IF(K429="N/A","Sin marco",IFERROR(INDEX('Datos - Catálogo TIMSS'!$F$5:$F$107,MATCH(K429,'Datos - Catálogo TIMSS'!$A$5:$A$107,0)),"Pendiente de clasificar")))</f>
        <v/>
      </c>
      <c r="O429" s="11">
        <f>IF(L429="","",IFERROR(INDEX('Datos - Catálogo TIMSS'!$C$5:$C$107,MATCH(L429,'Datos - Catálogo TIMSS'!$A$5:$A$107,0)),"?"))</f>
        <v/>
      </c>
      <c r="P429" s="11" t="inlineStr">
        <is>
          <t>alta</t>
        </is>
      </c>
      <c r="Q429" s="38" t="inlineStr">
        <is>
          <t>Transformaciones de energía de combustibles a electricidad</t>
        </is>
      </c>
      <c r="R429" s="38" t="inlineStr">
        <is>
          <t>Aplicar: esquematizar</t>
        </is>
      </c>
      <c r="S429" s="39">
        <f>IFERROR(ISNUMBER(SEARCH("Conocer",$R429))/(ISNUMBER(SEARCH("Conocer",$R429))+ISNUMBER(SEARCH("Aplicar",$R429))+ISNUMBER(SEARCH("Razonar",$R429))),0)</f>
        <v/>
      </c>
      <c r="T429" s="39">
        <f>IFERROR(ISNUMBER(SEARCH("Aplicar",$R429))/(ISNUMBER(SEARCH("Conocer",$R429))+ISNUMBER(SEARCH("Aplicar",$R429))+ISNUMBER(SEARCH("Razonar",$R429))),0)</f>
        <v/>
      </c>
      <c r="U429" s="39">
        <f>IFERROR(ISNUMBER(SEARCH("Razonar",$R429))/(ISNUMBER(SEARCH("Conocer",$R429))+ISNUMBER(SEARCH("Aplicar",$R429))+ISNUMBER(SEARCH("Razonar",$R429))),0)</f>
        <v/>
      </c>
      <c r="V429" s="11" t="inlineStr">
        <is>
          <t>7°</t>
        </is>
      </c>
      <c r="W429" s="11" t="inlineStr">
        <is>
          <t>Ciclo 5°–8°</t>
        </is>
      </c>
      <c r="X429" s="11">
        <f>IF(OR(IFERROR(INDEX('Datos - Catálogo TIMSS'!$I$5:$I$107,MATCH(K429,'Datos - Catálogo TIMSS'!$A$5:$A$107,0)),"No")="Sí",IFERROR(INDEX('Datos - Catálogo TIMSS'!$I$5:$I$107,MATCH(L429,'Datos - Catálogo TIMSS'!$A$5:$A$107,0)),"No")="Sí"),1,0)</f>
        <v/>
      </c>
      <c r="Y429" s="11">
        <f>IF(IFERROR(INDEX('Datos - Catálogo TIMSS'!$J$5:$J$107,MATCH(K429,'Datos - Catálogo TIMSS'!$A$5:$A$107,0)),"No")="Sí",1,0)</f>
        <v/>
      </c>
      <c r="Z429" s="11">
        <f>IF(IFERROR(INDEX('Datos - Catálogo TIMSS'!$J$5:$J$107,MATCH(L429,'Datos - Catálogo TIMSS'!$A$5:$A$107,0)),"No")="Sí",1,0)</f>
        <v/>
      </c>
      <c r="AA429" s="11" t="inlineStr">
        <is>
          <t>T8-F2.1</t>
        </is>
      </c>
      <c r="AB429" s="11" t="inlineStr">
        <is>
          <t>T8-T3.1</t>
        </is>
      </c>
      <c r="AC429" s="11">
        <f>IF(AA429="FUERA","Fuera del marco",IF(AA429="N/A","Sin marco",IFERROR(INDEX('Datos - TIMSS 2023'!$C$5:$C$105,MATCH(AA429,'Datos - TIMSS 2023'!$A$5:$A$105,0)),"Pendiente de clasificar")))</f>
        <v/>
      </c>
      <c r="AD429" s="11" t="inlineStr">
        <is>
          <t>1. Explicar fenómenos científicamente</t>
        </is>
      </c>
      <c r="AE429" s="11">
        <f>IF(AD429="","",IF(LEFT(AD429,1)="1","C1",IF(LEFT(AD429,1)="2","C2",IF(LEFT(AD429,1)="3","C3",""))))</f>
        <v/>
      </c>
      <c r="AF429" s="11" t="inlineStr">
        <is>
          <t>E1</t>
        </is>
      </c>
      <c r="AG429" s="11" t="inlineStr">
        <is>
          <t>D1</t>
        </is>
      </c>
      <c r="AH429" s="11" t="inlineStr">
        <is>
          <t>E2</t>
        </is>
      </c>
      <c r="AI429" s="11" t="inlineStr">
        <is>
          <t>D4</t>
        </is>
      </c>
      <c r="AJ429" s="11" t="inlineStr">
        <is>
          <t>E6</t>
        </is>
      </c>
      <c r="AK429" s="11" t="inlineStr">
        <is>
          <t>PISA-F4</t>
        </is>
      </c>
      <c r="AL429" s="11" t="inlineStr">
        <is>
          <t>PISA-T3</t>
        </is>
      </c>
      <c r="AM429" s="11">
        <f>IF(AK429="FUERA","Fuera del marco",IFERROR(INDEX('Datos - Catálogo PISA'!$C$5:$C$76,MATCH(AK429,'Datos - Catálogo PISA'!$A$5:$A$76,0)),"?"))</f>
        <v/>
      </c>
      <c r="AN429" s="11" t="inlineStr">
        <is>
          <t>Contenido</t>
        </is>
      </c>
      <c r="AO429" s="11" t="n"/>
      <c r="AP429" s="11" t="n"/>
      <c r="AQ429" s="11" t="inlineStr">
        <is>
          <t>Global</t>
        </is>
      </c>
      <c r="AR429" s="11" t="inlineStr">
        <is>
          <t>Recursos naturales</t>
        </is>
      </c>
      <c r="AS429" s="11" t="inlineStr">
        <is>
          <t>Media</t>
        </is>
      </c>
      <c r="AT429" s="11" t="inlineStr">
        <is>
          <t>alta</t>
        </is>
      </c>
      <c r="AU429" s="11" t="inlineStr">
        <is>
          <t>Transformación de energía de combustibles en electricidad</t>
        </is>
      </c>
      <c r="AV429" s="11" t="inlineStr">
        <is>
          <t>Ciclo 7°–9°</t>
        </is>
      </c>
      <c r="AW429" s="11">
        <f>AF429&amp;"; "&amp;AG429&amp;"; "&amp;AH429&amp;"; "&amp;AI429&amp;"; "&amp;AJ429</f>
        <v/>
      </c>
    </row>
    <row r="430">
      <c r="A430" s="11" t="inlineStr">
        <is>
          <t>T1064-G07-CIE</t>
        </is>
      </c>
      <c r="B430" s="11" t="n">
        <v>7</v>
      </c>
      <c r="C430" s="11" t="inlineStr">
        <is>
          <t>Ciencias</t>
        </is>
      </c>
      <c r="D430" s="11" t="inlineStr">
        <is>
          <t>Matriz_Ciencias_7mo_Grado_U1_U6.xlsx</t>
        </is>
      </c>
      <c r="E430" s="11" t="inlineStr">
        <is>
          <t>Unidad 6 - Ambiente y energía</t>
        </is>
      </c>
      <c r="F430" s="11" t="n">
        <v>9</v>
      </c>
      <c r="G430" s="11" t="inlineStr">
        <is>
          <t>6. Ambiente y energía</t>
        </is>
      </c>
      <c r="H430" s="11" t="inlineStr">
        <is>
          <t>Energías renovables</t>
        </is>
      </c>
      <c r="I430" s="38" t="inlineStr">
        <is>
          <t>6.7. Reconocimiento de la diversidad de procesos de aprovechamiento de las energías renovables.</t>
        </is>
      </c>
      <c r="J430" s="11" t="inlineStr">
        <is>
          <t>T8_27</t>
        </is>
      </c>
      <c r="K430" s="11" t="inlineStr">
        <is>
          <t>T8_27-E3.1</t>
        </is>
      </c>
      <c r="L430" s="11" t="inlineStr"/>
      <c r="M430" s="11">
        <f>IF(K430="FUERA","Fuera del marco",IF(K430="N/A","Sin marco",IFERROR(INDEX('Datos - Catálogo TIMSS'!$C$5:$C$107,MATCH(K430,'Datos - Catálogo TIMSS'!$A$5:$A$107,0)),"Pendiente de clasificar")))</f>
        <v/>
      </c>
      <c r="N430" s="11">
        <f>IF(K430="FUERA","Fuera del marco",IF(K430="N/A","Sin marco",IFERROR(INDEX('Datos - Catálogo TIMSS'!$F$5:$F$107,MATCH(K430,'Datos - Catálogo TIMSS'!$A$5:$A$107,0)),"Pendiente de clasificar")))</f>
        <v/>
      </c>
      <c r="O430" s="11">
        <f>IF(L430="","",IFERROR(INDEX('Datos - Catálogo TIMSS'!$C$5:$C$107,MATCH(L430,'Datos - Catálogo TIMSS'!$A$5:$A$107,0)),"?"))</f>
        <v/>
      </c>
      <c r="P430" s="11" t="inlineStr">
        <is>
          <t>alta</t>
        </is>
      </c>
      <c r="Q430" s="38" t="inlineStr">
        <is>
          <t>Procesos de aprovechamiento de fuentes de energía renovables</t>
        </is>
      </c>
      <c r="R430" s="38" t="inlineStr">
        <is>
          <t>Conocer: reconocer</t>
        </is>
      </c>
      <c r="S430" s="39">
        <f>IFERROR(ISNUMBER(SEARCH("Conocer",$R430))/(ISNUMBER(SEARCH("Conocer",$R430))+ISNUMBER(SEARCH("Aplicar",$R430))+ISNUMBER(SEARCH("Razonar",$R430))),0)</f>
        <v/>
      </c>
      <c r="T430" s="39">
        <f>IFERROR(ISNUMBER(SEARCH("Aplicar",$R430))/(ISNUMBER(SEARCH("Conocer",$R430))+ISNUMBER(SEARCH("Aplicar",$R430))+ISNUMBER(SEARCH("Razonar",$R430))),0)</f>
        <v/>
      </c>
      <c r="U430" s="39">
        <f>IFERROR(ISNUMBER(SEARCH("Razonar",$R430))/(ISNUMBER(SEARCH("Conocer",$R430))+ISNUMBER(SEARCH("Aplicar",$R430))+ISNUMBER(SEARCH("Razonar",$R430))),0)</f>
        <v/>
      </c>
      <c r="V430" s="11" t="inlineStr">
        <is>
          <t>7°</t>
        </is>
      </c>
      <c r="W430" s="11" t="inlineStr">
        <is>
          <t>Ciclo 5°–8°</t>
        </is>
      </c>
      <c r="X430" s="11">
        <f>IF(OR(IFERROR(INDEX('Datos - Catálogo TIMSS'!$I$5:$I$107,MATCH(K430,'Datos - Catálogo TIMSS'!$A$5:$A$107,0)),"No")="Sí",IFERROR(INDEX('Datos - Catálogo TIMSS'!$I$5:$I$107,MATCH(L430,'Datos - Catálogo TIMSS'!$A$5:$A$107,0)),"No")="Sí"),1,0)</f>
        <v/>
      </c>
      <c r="Y430" s="11">
        <f>IF(IFERROR(INDEX('Datos - Catálogo TIMSS'!$J$5:$J$107,MATCH(K430,'Datos - Catálogo TIMSS'!$A$5:$A$107,0)),"No")="Sí",1,0)</f>
        <v/>
      </c>
      <c r="Z430" s="11">
        <f>IF(IFERROR(INDEX('Datos - Catálogo TIMSS'!$J$5:$J$107,MATCH(L430,'Datos - Catálogo TIMSS'!$A$5:$A$107,0)),"No")="Sí",1,0)</f>
        <v/>
      </c>
      <c r="AA430" s="11" t="inlineStr">
        <is>
          <t>T8-T3.1</t>
        </is>
      </c>
      <c r="AB430" s="11" t="inlineStr">
        <is>
          <t>T8-F2.1</t>
        </is>
      </c>
      <c r="AC430" s="11">
        <f>IF(AA430="FUERA","Fuera del marco",IF(AA430="N/A","Sin marco",IFERROR(INDEX('Datos - TIMSS 2023'!$C$5:$C$105,MATCH(AA430,'Datos - TIMSS 2023'!$A$5:$A$105,0)),"Pendiente de clasificar")))</f>
        <v/>
      </c>
      <c r="AD430" s="11" t="inlineStr">
        <is>
          <t>1. Explicar fenómenos científicamente</t>
        </is>
      </c>
      <c r="AE430" s="11">
        <f>IF(AD430="","",IF(LEFT(AD430,1)="1","C1",IF(LEFT(AD430,1)="2","C2",IF(LEFT(AD430,1)="3","C3",""))))</f>
        <v/>
      </c>
      <c r="AF430" s="11" t="inlineStr">
        <is>
          <t>E6</t>
        </is>
      </c>
      <c r="AG430" s="11" t="inlineStr">
        <is>
          <t>D1</t>
        </is>
      </c>
      <c r="AH430" s="11" t="inlineStr">
        <is>
          <t>E1</t>
        </is>
      </c>
      <c r="AI430" s="11" t="inlineStr">
        <is>
          <t>D4</t>
        </is>
      </c>
      <c r="AJ430" s="11" t="inlineStr">
        <is>
          <t>E6</t>
        </is>
      </c>
      <c r="AK430" s="11" t="inlineStr">
        <is>
          <t>PISA-T3</t>
        </is>
      </c>
      <c r="AL430" s="11" t="inlineStr">
        <is>
          <t>PISA-F4</t>
        </is>
      </c>
      <c r="AM430" s="11">
        <f>IF(AK430="FUERA","Fuera del marco",IFERROR(INDEX('Datos - Catálogo PISA'!$C$5:$C$76,MATCH(AK430,'Datos - Catálogo PISA'!$A$5:$A$76,0)),"?"))</f>
        <v/>
      </c>
      <c r="AN430" s="11" t="inlineStr">
        <is>
          <t>Contenido</t>
        </is>
      </c>
      <c r="AO430" s="11" t="n"/>
      <c r="AP430" s="11" t="n"/>
      <c r="AQ430" s="11" t="inlineStr">
        <is>
          <t>Local/nacional</t>
        </is>
      </c>
      <c r="AR430" s="11" t="inlineStr">
        <is>
          <t>Recursos naturales</t>
        </is>
      </c>
      <c r="AS430" s="11" t="inlineStr">
        <is>
          <t>Baja</t>
        </is>
      </c>
      <c r="AT430" s="11" t="inlineStr">
        <is>
          <t>alta</t>
        </is>
      </c>
      <c r="AU430" s="11" t="inlineStr">
        <is>
          <t>Procesos de energías renovables del país</t>
        </is>
      </c>
      <c r="AV430" s="11" t="inlineStr">
        <is>
          <t>Ciclo 7°–9°</t>
        </is>
      </c>
      <c r="AW430" s="11">
        <f>AF430&amp;"; "&amp;AG430&amp;"; "&amp;AH430&amp;"; "&amp;AI430&amp;"; "&amp;AJ430</f>
        <v/>
      </c>
    </row>
    <row r="431">
      <c r="A431" s="11" t="inlineStr">
        <is>
          <t>T1065-G07-CIE</t>
        </is>
      </c>
      <c r="B431" s="11" t="n">
        <v>7</v>
      </c>
      <c r="C431" s="11" t="inlineStr">
        <is>
          <t>Ciencias</t>
        </is>
      </c>
      <c r="D431" s="11" t="inlineStr">
        <is>
          <t>Matriz_Ciencias_7mo_Grado_U1_U6.xlsx</t>
        </is>
      </c>
      <c r="E431" s="11" t="inlineStr">
        <is>
          <t>Unidad 6 - Ambiente y energía</t>
        </is>
      </c>
      <c r="F431" s="11" t="n">
        <v>10</v>
      </c>
      <c r="G431" s="11" t="inlineStr">
        <is>
          <t>6. Ambiente y energía</t>
        </is>
      </c>
      <c r="H431" s="11" t="inlineStr">
        <is>
          <t>Energias renovables</t>
        </is>
      </c>
      <c r="I431" s="38" t="inlineStr">
        <is>
          <t>6.8. Construcción de dispositivos para el aprovechamiento de energías renovables.</t>
        </is>
      </c>
      <c r="J431" s="11" t="inlineStr">
        <is>
          <t>T8_27</t>
        </is>
      </c>
      <c r="K431" s="11" t="inlineStr">
        <is>
          <t>T8_27-E3.1</t>
        </is>
      </c>
      <c r="L431" s="11" t="inlineStr">
        <is>
          <t>T8_27-P2.1</t>
        </is>
      </c>
      <c r="M431" s="11">
        <f>IF(K431="FUERA","Fuera del marco",IF(K431="N/A","Sin marco",IFERROR(INDEX('Datos - Catálogo TIMSS'!$C$5:$C$107,MATCH(K431,'Datos - Catálogo TIMSS'!$A$5:$A$107,0)),"Pendiente de clasificar")))</f>
        <v/>
      </c>
      <c r="N431" s="11">
        <f>IF(K431="FUERA","Fuera del marco",IF(K431="N/A","Sin marco",IFERROR(INDEX('Datos - Catálogo TIMSS'!$F$5:$F$107,MATCH(K431,'Datos - Catálogo TIMSS'!$A$5:$A$107,0)),"Pendiente de clasificar")))</f>
        <v/>
      </c>
      <c r="O431" s="11">
        <f>IF(L431="","",IFERROR(INDEX('Datos - Catálogo TIMSS'!$C$5:$C$107,MATCH(L431,'Datos - Catálogo TIMSS'!$A$5:$A$107,0)),"?"))</f>
        <v/>
      </c>
      <c r="P431" s="11" t="inlineStr">
        <is>
          <t>media</t>
        </is>
      </c>
      <c r="Q431" s="38" t="inlineStr">
        <is>
          <t>Dispositivo de energía renovable con mediciones de transformación</t>
        </is>
      </c>
      <c r="R431" s="38" t="inlineStr">
        <is>
          <t>Aplicar: construir. Razonar: evaluar</t>
        </is>
      </c>
      <c r="S431" s="39">
        <f>IFERROR(ISNUMBER(SEARCH("Conocer",$R431))/(ISNUMBER(SEARCH("Conocer",$R431))+ISNUMBER(SEARCH("Aplicar",$R431))+ISNUMBER(SEARCH("Razonar",$R431))),0)</f>
        <v/>
      </c>
      <c r="T431" s="39">
        <f>IFERROR(ISNUMBER(SEARCH("Aplicar",$R431))/(ISNUMBER(SEARCH("Conocer",$R431))+ISNUMBER(SEARCH("Aplicar",$R431))+ISNUMBER(SEARCH("Razonar",$R431))),0)</f>
        <v/>
      </c>
      <c r="U431" s="39">
        <f>IFERROR(ISNUMBER(SEARCH("Razonar",$R431))/(ISNUMBER(SEARCH("Conocer",$R431))+ISNUMBER(SEARCH("Aplicar",$R431))+ISNUMBER(SEARCH("Razonar",$R431))),0)</f>
        <v/>
      </c>
      <c r="V431" s="11" t="inlineStr">
        <is>
          <t>7°</t>
        </is>
      </c>
      <c r="W431" s="11" t="inlineStr">
        <is>
          <t>Ciclo 5°–8°</t>
        </is>
      </c>
      <c r="X431" s="11">
        <f>IF(OR(IFERROR(INDEX('Datos - Catálogo TIMSS'!$I$5:$I$107,MATCH(K431,'Datos - Catálogo TIMSS'!$A$5:$A$107,0)),"No")="Sí",IFERROR(INDEX('Datos - Catálogo TIMSS'!$I$5:$I$107,MATCH(L431,'Datos - Catálogo TIMSS'!$A$5:$A$107,0)),"No")="Sí"),1,0)</f>
        <v/>
      </c>
      <c r="Y431" s="11">
        <f>IF(IFERROR(INDEX('Datos - Catálogo TIMSS'!$J$5:$J$107,MATCH(K431,'Datos - Catálogo TIMSS'!$A$5:$A$107,0)),"No")="Sí",1,0)</f>
        <v/>
      </c>
      <c r="Z431" s="11">
        <f>IF(IFERROR(INDEX('Datos - Catálogo TIMSS'!$J$5:$J$107,MATCH(L431,'Datos - Catálogo TIMSS'!$A$5:$A$107,0)),"No")="Sí",1,0)</f>
        <v/>
      </c>
      <c r="AA431" s="11" t="inlineStr">
        <is>
          <t>T8-F2.1</t>
        </is>
      </c>
      <c r="AB431" s="11" t="inlineStr">
        <is>
          <t>T8-T3.1</t>
        </is>
      </c>
      <c r="AC431" s="11">
        <f>IF(AA431="FUERA","Fuera del marco",IF(AA431="N/A","Sin marco",IFERROR(INDEX('Datos - TIMSS 2023'!$C$5:$C$105,MATCH(AA431,'Datos - TIMSS 2023'!$A$5:$A$105,0)),"Pendiente de clasificar")))</f>
        <v/>
      </c>
      <c r="AD431" s="11" t="inlineStr">
        <is>
          <t>2. Construir y evaluar diseños para la indagación científica e interpretar datos y evidencia de forma crítica</t>
        </is>
      </c>
      <c r="AE431" s="11">
        <f>IF(AD431="","",IF(LEFT(AD431,1)="1","C1",IF(LEFT(AD431,1)="2","C2",IF(LEFT(AD431,1)="3","C3",""))))</f>
        <v/>
      </c>
      <c r="AF431" s="11" t="inlineStr">
        <is>
          <t>E1</t>
        </is>
      </c>
      <c r="AG431" s="11" t="inlineStr">
        <is>
          <t>D1</t>
        </is>
      </c>
      <c r="AH431" s="11" t="inlineStr">
        <is>
          <t>E4</t>
        </is>
      </c>
      <c r="AI431" s="11" t="inlineStr">
        <is>
          <t>D3</t>
        </is>
      </c>
      <c r="AJ431" s="11" t="inlineStr">
        <is>
          <t>E3</t>
        </is>
      </c>
      <c r="AK431" s="11" t="inlineStr">
        <is>
          <t>PISA-F4</t>
        </is>
      </c>
      <c r="AL431" s="11" t="inlineStr">
        <is>
          <t>PISA-T3</t>
        </is>
      </c>
      <c r="AM431" s="11">
        <f>IF(AK431="FUERA","Fuera del marco",IFERROR(INDEX('Datos - Catálogo PISA'!$C$5:$C$76,MATCH(AK431,'Datos - Catálogo PISA'!$A$5:$A$76,0)),"?"))</f>
        <v/>
      </c>
      <c r="AN431" s="11" t="inlineStr">
        <is>
          <t>Contenido</t>
        </is>
      </c>
      <c r="AO431" s="11" t="inlineStr">
        <is>
          <t>PISA-PR2;</t>
        </is>
      </c>
      <c r="AP431" s="11" t="n"/>
      <c r="AQ431" s="11" t="inlineStr">
        <is>
          <t>Local/nacional</t>
        </is>
      </c>
      <c r="AR431" s="11" t="inlineStr">
        <is>
          <t>Avances y desafíos científicos y tecnológicos</t>
        </is>
      </c>
      <c r="AS431" s="11" t="inlineStr">
        <is>
          <t>Media</t>
        </is>
      </c>
      <c r="AT431" s="11" t="inlineStr">
        <is>
          <t>media</t>
        </is>
      </c>
      <c r="AU431" s="11" t="inlineStr">
        <is>
          <t>Construye y mide dispositivo de energía renovable</t>
        </is>
      </c>
      <c r="AV431" s="11" t="inlineStr">
        <is>
          <t>Ciclo 7°–9°</t>
        </is>
      </c>
      <c r="AW431" s="11">
        <f>AF431&amp;"; "&amp;AG431&amp;"; "&amp;AH431&amp;"; "&amp;AI431&amp;"; "&amp;AJ431</f>
        <v/>
      </c>
    </row>
    <row r="432">
      <c r="A432" s="11" t="inlineStr">
        <is>
          <t>T1066-G07-CIE</t>
        </is>
      </c>
      <c r="B432" s="11" t="n">
        <v>7</v>
      </c>
      <c r="C432" s="11" t="inlineStr">
        <is>
          <t>Ciencias</t>
        </is>
      </c>
      <c r="D432" s="11" t="inlineStr">
        <is>
          <t>Matriz_Ciencias_7mo_Grado_U1_U6.xlsx</t>
        </is>
      </c>
      <c r="E432" s="11" t="inlineStr">
        <is>
          <t>Unidad 6 - Ambiente y energía</t>
        </is>
      </c>
      <c r="F432" s="11" t="n">
        <v>11</v>
      </c>
      <c r="G432" s="11" t="inlineStr">
        <is>
          <t>6. Ambiente y energía</t>
        </is>
      </c>
      <c r="H432" s="11" t="inlineStr">
        <is>
          <t>Energias renovables</t>
        </is>
      </c>
      <c r="I432" s="38" t="inlineStr">
        <is>
          <t>6.9. Comparación entre los procesos de obtención y aprovechamiento de las energías renovables y no renovables.</t>
        </is>
      </c>
      <c r="J432" s="11" t="inlineStr">
        <is>
          <t>T8_27</t>
        </is>
      </c>
      <c r="K432" s="11" t="inlineStr">
        <is>
          <t>T8_27-E3.1</t>
        </is>
      </c>
      <c r="L432" s="11" t="inlineStr">
        <is>
          <t>T8_27-E3.2</t>
        </is>
      </c>
      <c r="M432" s="11">
        <f>IF(K432="FUERA","Fuera del marco",IF(K432="N/A","Sin marco",IFERROR(INDEX('Datos - Catálogo TIMSS'!$C$5:$C$107,MATCH(K432,'Datos - Catálogo TIMSS'!$A$5:$A$107,0)),"Pendiente de clasificar")))</f>
        <v/>
      </c>
      <c r="N432" s="11">
        <f>IF(K432="FUERA","Fuera del marco",IF(K432="N/A","Sin marco",IFERROR(INDEX('Datos - Catálogo TIMSS'!$F$5:$F$107,MATCH(K432,'Datos - Catálogo TIMSS'!$A$5:$A$107,0)),"Pendiente de clasificar")))</f>
        <v/>
      </c>
      <c r="O432" s="11">
        <f>IF(L432="","",IFERROR(INDEX('Datos - Catálogo TIMSS'!$C$5:$C$107,MATCH(L432,'Datos - Catálogo TIMSS'!$A$5:$A$107,0)),"?"))</f>
        <v/>
      </c>
      <c r="P432" s="11" t="inlineStr">
        <is>
          <t>alta</t>
        </is>
      </c>
      <c r="Q432" s="38" t="inlineStr">
        <is>
          <t>Compara fuentes renovables y no renovables, ventajas y desventajas</t>
        </is>
      </c>
      <c r="R432" s="38" t="inlineStr">
        <is>
          <t>Razonar: comparar y justificar</t>
        </is>
      </c>
      <c r="S432" s="39">
        <f>IFERROR(ISNUMBER(SEARCH("Conocer",$R432))/(ISNUMBER(SEARCH("Conocer",$R432))+ISNUMBER(SEARCH("Aplicar",$R432))+ISNUMBER(SEARCH("Razonar",$R432))),0)</f>
        <v/>
      </c>
      <c r="T432" s="39">
        <f>IFERROR(ISNUMBER(SEARCH("Aplicar",$R432))/(ISNUMBER(SEARCH("Conocer",$R432))+ISNUMBER(SEARCH("Aplicar",$R432))+ISNUMBER(SEARCH("Razonar",$R432))),0)</f>
        <v/>
      </c>
      <c r="U432" s="39">
        <f>IFERROR(ISNUMBER(SEARCH("Razonar",$R432))/(ISNUMBER(SEARCH("Conocer",$R432))+ISNUMBER(SEARCH("Aplicar",$R432))+ISNUMBER(SEARCH("Razonar",$R432))),0)</f>
        <v/>
      </c>
      <c r="V432" s="11" t="inlineStr">
        <is>
          <t>7°</t>
        </is>
      </c>
      <c r="W432" s="11" t="inlineStr">
        <is>
          <t>Ciclo 5°–8°</t>
        </is>
      </c>
      <c r="X432" s="11">
        <f>IF(OR(IFERROR(INDEX('Datos - Catálogo TIMSS'!$I$5:$I$107,MATCH(K432,'Datos - Catálogo TIMSS'!$A$5:$A$107,0)),"No")="Sí",IFERROR(INDEX('Datos - Catálogo TIMSS'!$I$5:$I$107,MATCH(L432,'Datos - Catálogo TIMSS'!$A$5:$A$107,0)),"No")="Sí"),1,0)</f>
        <v/>
      </c>
      <c r="Y432" s="11">
        <f>IF(IFERROR(INDEX('Datos - Catálogo TIMSS'!$J$5:$J$107,MATCH(K432,'Datos - Catálogo TIMSS'!$A$5:$A$107,0)),"No")="Sí",1,0)</f>
        <v/>
      </c>
      <c r="Z432" s="11">
        <f>IF(IFERROR(INDEX('Datos - Catálogo TIMSS'!$J$5:$J$107,MATCH(L432,'Datos - Catálogo TIMSS'!$A$5:$A$107,0)),"No")="Sí",1,0)</f>
        <v/>
      </c>
      <c r="AA432" s="11" t="inlineStr">
        <is>
          <t>T8-T3.1</t>
        </is>
      </c>
      <c r="AB432" s="11" t="inlineStr"/>
      <c r="AC432" s="11">
        <f>IF(AA432="FUERA","Fuera del marco",IF(AA432="N/A","Sin marco",IFERROR(INDEX('Datos - TIMSS 2023'!$C$5:$C$105,MATCH(AA432,'Datos - TIMSS 2023'!$A$5:$A$105,0)),"Pendiente de clasificar")))</f>
        <v/>
      </c>
      <c r="AD432" s="11" t="inlineStr">
        <is>
          <t>3. Investigar, evaluar y usar información científica para tomar decisiones y actuar</t>
        </is>
      </c>
      <c r="AE432" s="11">
        <f>IF(AD432="","",IF(LEFT(AD432,1)="1","C1",IF(LEFT(AD432,1)="2","C2",IF(LEFT(AD432,1)="3","C3",""))))</f>
        <v/>
      </c>
      <c r="AF432" s="11" t="inlineStr">
        <is>
          <t>E1</t>
        </is>
      </c>
      <c r="AG432" s="11" t="inlineStr">
        <is>
          <t>D1</t>
        </is>
      </c>
      <c r="AH432" s="11" t="inlineStr">
        <is>
          <t>E2</t>
        </is>
      </c>
      <c r="AI432" s="11" t="inlineStr">
        <is>
          <t>I3</t>
        </is>
      </c>
      <c r="AJ432" s="11" t="inlineStr">
        <is>
          <t>I5</t>
        </is>
      </c>
      <c r="AK432" s="11" t="inlineStr">
        <is>
          <t>PISA-T3</t>
        </is>
      </c>
      <c r="AL432" s="11" t="inlineStr">
        <is>
          <t>PISA-T2</t>
        </is>
      </c>
      <c r="AM432" s="11">
        <f>IF(AK432="FUERA","Fuera del marco",IFERROR(INDEX('Datos - Catálogo PISA'!$C$5:$C$76,MATCH(AK432,'Datos - Catálogo PISA'!$A$5:$A$76,0)),"?"))</f>
        <v/>
      </c>
      <c r="AN432" s="11" t="inlineStr">
        <is>
          <t>Contenido</t>
        </is>
      </c>
      <c r="AO432" s="11" t="n"/>
      <c r="AP432" s="11" t="n"/>
      <c r="AQ432" s="11" t="inlineStr">
        <is>
          <t>Global</t>
        </is>
      </c>
      <c r="AR432" s="11" t="inlineStr">
        <is>
          <t>Recursos naturales</t>
        </is>
      </c>
      <c r="AS432" s="11" t="inlineStr">
        <is>
          <t>Alta</t>
        </is>
      </c>
      <c r="AT432" s="11" t="inlineStr">
        <is>
          <t>alta</t>
        </is>
      </c>
      <c r="AU432" s="11" t="inlineStr">
        <is>
          <t>Compara y argumenta energías renovables y no renovables</t>
        </is>
      </c>
      <c r="AV432" s="11" t="inlineStr">
        <is>
          <t>Ciclo 7°–9°</t>
        </is>
      </c>
      <c r="AW432" s="11">
        <f>AF432&amp;"; "&amp;AG432&amp;"; "&amp;AH432&amp;"; "&amp;AI432&amp;"; "&amp;AJ432</f>
        <v/>
      </c>
    </row>
    <row r="433">
      <c r="A433" s="11" t="inlineStr">
        <is>
          <t>T1067-G07-CIE</t>
        </is>
      </c>
      <c r="B433" s="11" t="n">
        <v>7</v>
      </c>
      <c r="C433" s="11" t="inlineStr">
        <is>
          <t>Ciencias</t>
        </is>
      </c>
      <c r="D433" s="11" t="inlineStr">
        <is>
          <t>Matriz_Ciencias_7mo_Grado_U1_U6.xlsx</t>
        </is>
      </c>
      <c r="E433" s="11" t="inlineStr">
        <is>
          <t>Unidad 6 - Ambiente y energía</t>
        </is>
      </c>
      <c r="F433" s="11" t="n">
        <v>12</v>
      </c>
      <c r="G433" s="11" t="inlineStr">
        <is>
          <t>6. Ambiente y energía</t>
        </is>
      </c>
      <c r="H433" s="11" t="inlineStr">
        <is>
          <t>Impacto ambiental</t>
        </is>
      </c>
      <c r="I433" s="38" t="inlineStr">
        <is>
          <t>6.10. Indagación de las perturbaciones ecosistémicas derivadas de la explotación energética.</t>
        </is>
      </c>
      <c r="J433" s="11" t="inlineStr">
        <is>
          <t>T8_27</t>
        </is>
      </c>
      <c r="K433" s="11" t="inlineStr">
        <is>
          <t>T8_27-B5.6</t>
        </is>
      </c>
      <c r="L433" s="11" t="inlineStr">
        <is>
          <t>T8_27-E3.1</t>
        </is>
      </c>
      <c r="M433" s="11">
        <f>IF(K433="FUERA","Fuera del marco",IF(K433="N/A","Sin marco",IFERROR(INDEX('Datos - Catálogo TIMSS'!$C$5:$C$107,MATCH(K433,'Datos - Catálogo TIMSS'!$A$5:$A$107,0)),"Pendiente de clasificar")))</f>
        <v/>
      </c>
      <c r="N433" s="11">
        <f>IF(K433="FUERA","Fuera del marco",IF(K433="N/A","Sin marco",IFERROR(INDEX('Datos - Catálogo TIMSS'!$F$5:$F$107,MATCH(K433,'Datos - Catálogo TIMSS'!$A$5:$A$107,0)),"Pendiente de clasificar")))</f>
        <v/>
      </c>
      <c r="O433" s="11">
        <f>IF(L433="","",IFERROR(INDEX('Datos - Catálogo TIMSS'!$C$5:$C$107,MATCH(L433,'Datos - Catálogo TIMSS'!$A$5:$A$107,0)),"?"))</f>
        <v/>
      </c>
      <c r="P433" s="11" t="inlineStr">
        <is>
          <t>alta</t>
        </is>
      </c>
      <c r="Q433" s="38" t="inlineStr">
        <is>
          <t>Impactos de la explotación energética en ecosistemas</t>
        </is>
      </c>
      <c r="R433" s="38" t="inlineStr">
        <is>
          <t>Razonar: analizar casos</t>
        </is>
      </c>
      <c r="S433" s="39">
        <f>IFERROR(ISNUMBER(SEARCH("Conocer",$R433))/(ISNUMBER(SEARCH("Conocer",$R433))+ISNUMBER(SEARCH("Aplicar",$R433))+ISNUMBER(SEARCH("Razonar",$R433))),0)</f>
        <v/>
      </c>
      <c r="T433" s="39">
        <f>IFERROR(ISNUMBER(SEARCH("Aplicar",$R433))/(ISNUMBER(SEARCH("Conocer",$R433))+ISNUMBER(SEARCH("Aplicar",$R433))+ISNUMBER(SEARCH("Razonar",$R433))),0)</f>
        <v/>
      </c>
      <c r="U433" s="39">
        <f>IFERROR(ISNUMBER(SEARCH("Razonar",$R433))/(ISNUMBER(SEARCH("Conocer",$R433))+ISNUMBER(SEARCH("Aplicar",$R433))+ISNUMBER(SEARCH("Razonar",$R433))),0)</f>
        <v/>
      </c>
      <c r="V433" s="11" t="inlineStr">
        <is>
          <t>7°</t>
        </is>
      </c>
      <c r="W433" s="11" t="inlineStr">
        <is>
          <t>Ciclo 5°–8°</t>
        </is>
      </c>
      <c r="X433" s="11">
        <f>IF(OR(IFERROR(INDEX('Datos - Catálogo TIMSS'!$I$5:$I$107,MATCH(K433,'Datos - Catálogo TIMSS'!$A$5:$A$107,0)),"No")="Sí",IFERROR(INDEX('Datos - Catálogo TIMSS'!$I$5:$I$107,MATCH(L433,'Datos - Catálogo TIMSS'!$A$5:$A$107,0)),"No")="Sí"),1,0)</f>
        <v/>
      </c>
      <c r="Y433" s="11">
        <f>IF(IFERROR(INDEX('Datos - Catálogo TIMSS'!$J$5:$J$107,MATCH(K433,'Datos - Catálogo TIMSS'!$A$5:$A$107,0)),"No")="Sí",1,0)</f>
        <v/>
      </c>
      <c r="Z433" s="11">
        <f>IF(IFERROR(INDEX('Datos - Catálogo TIMSS'!$J$5:$J$107,MATCH(L433,'Datos - Catálogo TIMSS'!$A$5:$A$107,0)),"No")="Sí",1,0)</f>
        <v/>
      </c>
      <c r="AA433" s="11" t="inlineStr">
        <is>
          <t>T8-B5.5</t>
        </is>
      </c>
      <c r="AB433" s="11" t="inlineStr">
        <is>
          <t>T8-T3.1</t>
        </is>
      </c>
      <c r="AC433" s="11">
        <f>IF(AA433="FUERA","Fuera del marco",IF(AA433="N/A","Sin marco",IFERROR(INDEX('Datos - TIMSS 2023'!$C$5:$C$105,MATCH(AA433,'Datos - TIMSS 2023'!$A$5:$A$105,0)),"Pendiente de clasificar")))</f>
        <v/>
      </c>
      <c r="AD433" s="11" t="inlineStr">
        <is>
          <t>3. Investigar, evaluar y usar información científica para tomar decisiones y actuar</t>
        </is>
      </c>
      <c r="AE433" s="11">
        <f>IF(AD433="","",IF(LEFT(AD433,1)="1","C1",IF(LEFT(AD433,1)="2","C2",IF(LEFT(AD433,1)="3","C3",""))))</f>
        <v/>
      </c>
      <c r="AF433" s="11" t="inlineStr">
        <is>
          <t>E6</t>
        </is>
      </c>
      <c r="AG433" s="11" t="inlineStr">
        <is>
          <t>D1</t>
        </is>
      </c>
      <c r="AH433" s="11" t="inlineStr">
        <is>
          <t>E1</t>
        </is>
      </c>
      <c r="AI433" s="11" t="inlineStr">
        <is>
          <t>I3</t>
        </is>
      </c>
      <c r="AJ433" s="11" t="inlineStr">
        <is>
          <t>I5</t>
        </is>
      </c>
      <c r="AK433" s="11" t="inlineStr">
        <is>
          <t>PISA-V8</t>
        </is>
      </c>
      <c r="AL433" s="11" t="inlineStr">
        <is>
          <t>PISA-T2</t>
        </is>
      </c>
      <c r="AM433" s="11">
        <f>IF(AK433="FUERA","Fuera del marco",IFERROR(INDEX('Datos - Catálogo PISA'!$C$5:$C$76,MATCH(AK433,'Datos - Catálogo PISA'!$A$5:$A$76,0)),"?"))</f>
        <v/>
      </c>
      <c r="AN433" s="11" t="inlineStr">
        <is>
          <t>Contenido</t>
        </is>
      </c>
      <c r="AO433" s="11" t="n"/>
      <c r="AP433" s="11" t="n"/>
      <c r="AQ433" s="11" t="inlineStr">
        <is>
          <t>Local/nacional</t>
        </is>
      </c>
      <c r="AR433" s="11" t="inlineStr">
        <is>
          <t>Impactos ambientales y cambio climático</t>
        </is>
      </c>
      <c r="AS433" s="11" t="inlineStr">
        <is>
          <t>Media</t>
        </is>
      </c>
      <c r="AT433" s="11" t="inlineStr">
        <is>
          <t>alta</t>
        </is>
      </c>
      <c r="AU433" s="11" t="inlineStr">
        <is>
          <t>Perturbaciones ecosistémicas por explotación energética, casos reales</t>
        </is>
      </c>
      <c r="AV433" s="11" t="inlineStr">
        <is>
          <t>Ciclo 7°–9°</t>
        </is>
      </c>
      <c r="AW433" s="11">
        <f>AF433&amp;"; "&amp;AG433&amp;"; "&amp;AH433&amp;"; "&amp;AI433&amp;"; "&amp;AJ433</f>
        <v/>
      </c>
    </row>
    <row r="434">
      <c r="A434" s="11" t="inlineStr">
        <is>
          <t>T1068-G07-CIE</t>
        </is>
      </c>
      <c r="B434" s="11" t="n">
        <v>7</v>
      </c>
      <c r="C434" s="11" t="inlineStr">
        <is>
          <t>Ciencias</t>
        </is>
      </c>
      <c r="D434" s="11" t="inlineStr">
        <is>
          <t>Matriz_Ciencias_7mo_Grado_U1_U6.xlsx</t>
        </is>
      </c>
      <c r="E434" s="11" t="inlineStr">
        <is>
          <t>Unidad 6 - Ambiente y energía</t>
        </is>
      </c>
      <c r="F434" s="11" t="n">
        <v>13</v>
      </c>
      <c r="G434" s="11" t="inlineStr">
        <is>
          <t>6. Ambiente y energía</t>
        </is>
      </c>
      <c r="H434" s="11" t="inlineStr">
        <is>
          <t>Impacto ambiental</t>
        </is>
      </c>
      <c r="I434" s="38" t="inlineStr">
        <is>
          <t>6.11. Reconocimiento de las principales actividades humanas que impactan los ecosistemas naturales.</t>
        </is>
      </c>
      <c r="J434" s="11" t="inlineStr">
        <is>
          <t>T8_27</t>
        </is>
      </c>
      <c r="K434" s="11" t="inlineStr">
        <is>
          <t>T8_27-B5.6</t>
        </is>
      </c>
      <c r="L434" s="11" t="inlineStr"/>
      <c r="M434" s="11">
        <f>IF(K434="FUERA","Fuera del marco",IF(K434="N/A","Sin marco",IFERROR(INDEX('Datos - Catálogo TIMSS'!$C$5:$C$107,MATCH(K434,'Datos - Catálogo TIMSS'!$A$5:$A$107,0)),"Pendiente de clasificar")))</f>
        <v/>
      </c>
      <c r="N434" s="11">
        <f>IF(K434="FUERA","Fuera del marco",IF(K434="N/A","Sin marco",IFERROR(INDEX('Datos - Catálogo TIMSS'!$F$5:$F$107,MATCH(K434,'Datos - Catálogo TIMSS'!$A$5:$A$107,0)),"Pendiente de clasificar")))</f>
        <v/>
      </c>
      <c r="O434" s="11">
        <f>IF(L434="","",IFERROR(INDEX('Datos - Catálogo TIMSS'!$C$5:$C$107,MATCH(L434,'Datos - Catálogo TIMSS'!$A$5:$A$107,0)),"?"))</f>
        <v/>
      </c>
      <c r="P434" s="11" t="inlineStr">
        <is>
          <t>alta</t>
        </is>
      </c>
      <c r="Q434" s="38" t="inlineStr">
        <is>
          <t>Actividades humanas que impactan ecosistemas</t>
        </is>
      </c>
      <c r="R434" s="38" t="inlineStr">
        <is>
          <t>Conocer: explicar</t>
        </is>
      </c>
      <c r="S434" s="39">
        <f>IFERROR(ISNUMBER(SEARCH("Conocer",$R434))/(ISNUMBER(SEARCH("Conocer",$R434))+ISNUMBER(SEARCH("Aplicar",$R434))+ISNUMBER(SEARCH("Razonar",$R434))),0)</f>
        <v/>
      </c>
      <c r="T434" s="39">
        <f>IFERROR(ISNUMBER(SEARCH("Aplicar",$R434))/(ISNUMBER(SEARCH("Conocer",$R434))+ISNUMBER(SEARCH("Aplicar",$R434))+ISNUMBER(SEARCH("Razonar",$R434))),0)</f>
        <v/>
      </c>
      <c r="U434" s="39">
        <f>IFERROR(ISNUMBER(SEARCH("Razonar",$R434))/(ISNUMBER(SEARCH("Conocer",$R434))+ISNUMBER(SEARCH("Aplicar",$R434))+ISNUMBER(SEARCH("Razonar",$R434))),0)</f>
        <v/>
      </c>
      <c r="V434" s="11" t="inlineStr">
        <is>
          <t>7°</t>
        </is>
      </c>
      <c r="W434" s="11" t="inlineStr">
        <is>
          <t>Ciclo 5°–8°</t>
        </is>
      </c>
      <c r="X434" s="11">
        <f>IF(OR(IFERROR(INDEX('Datos - Catálogo TIMSS'!$I$5:$I$107,MATCH(K434,'Datos - Catálogo TIMSS'!$A$5:$A$107,0)),"No")="Sí",IFERROR(INDEX('Datos - Catálogo TIMSS'!$I$5:$I$107,MATCH(L434,'Datos - Catálogo TIMSS'!$A$5:$A$107,0)),"No")="Sí"),1,0)</f>
        <v/>
      </c>
      <c r="Y434" s="11">
        <f>IF(IFERROR(INDEX('Datos - Catálogo TIMSS'!$J$5:$J$107,MATCH(K434,'Datos - Catálogo TIMSS'!$A$5:$A$107,0)),"No")="Sí",1,0)</f>
        <v/>
      </c>
      <c r="Z434" s="11">
        <f>IF(IFERROR(INDEX('Datos - Catálogo TIMSS'!$J$5:$J$107,MATCH(L434,'Datos - Catálogo TIMSS'!$A$5:$A$107,0)),"No")="Sí",1,0)</f>
        <v/>
      </c>
      <c r="AA434" s="11" t="inlineStr">
        <is>
          <t>T8-B5.5</t>
        </is>
      </c>
      <c r="AB434" s="11" t="inlineStr"/>
      <c r="AC434" s="11">
        <f>IF(AA434="FUERA","Fuera del marco",IF(AA434="N/A","Sin marco",IFERROR(INDEX('Datos - TIMSS 2023'!$C$5:$C$105,MATCH(AA434,'Datos - TIMSS 2023'!$A$5:$A$105,0)),"Pendiente de clasificar")))</f>
        <v/>
      </c>
      <c r="AD434" s="11" t="inlineStr">
        <is>
          <t>1. Explicar fenómenos científicamente</t>
        </is>
      </c>
      <c r="AE434" s="11">
        <f>IF(AD434="","",IF(LEFT(AD434,1)="1","C1",IF(LEFT(AD434,1)="2","C2",IF(LEFT(AD434,1)="3","C3",""))))</f>
        <v/>
      </c>
      <c r="AF434" s="11" t="inlineStr">
        <is>
          <t>E6</t>
        </is>
      </c>
      <c r="AG434" s="11" t="inlineStr">
        <is>
          <t>D1</t>
        </is>
      </c>
      <c r="AH434" s="11" t="inlineStr">
        <is>
          <t>E1</t>
        </is>
      </c>
      <c r="AI434" s="11" t="inlineStr">
        <is>
          <t>D4</t>
        </is>
      </c>
      <c r="AJ434" s="11" t="inlineStr">
        <is>
          <t>E6</t>
        </is>
      </c>
      <c r="AK434" s="11" t="inlineStr">
        <is>
          <t>PISA-V8</t>
        </is>
      </c>
      <c r="AL434" s="11" t="n"/>
      <c r="AM434" s="11">
        <f>IF(AK434="FUERA","Fuera del marco",IFERROR(INDEX('Datos - Catálogo PISA'!$C$5:$C$76,MATCH(AK434,'Datos - Catálogo PISA'!$A$5:$A$76,0)),"?"))</f>
        <v/>
      </c>
      <c r="AN434" s="11" t="inlineStr">
        <is>
          <t>Contenido</t>
        </is>
      </c>
      <c r="AO434" s="11" t="n"/>
      <c r="AP434" s="11" t="n"/>
      <c r="AQ434" s="11" t="inlineStr">
        <is>
          <t>Local/nacional</t>
        </is>
      </c>
      <c r="AR434" s="11" t="inlineStr">
        <is>
          <t>Impactos ambientales y cambio climático</t>
        </is>
      </c>
      <c r="AS434" s="11" t="inlineStr">
        <is>
          <t>Media</t>
        </is>
      </c>
      <c r="AT434" s="11" t="inlineStr">
        <is>
          <t>alta</t>
        </is>
      </c>
      <c r="AU434" s="11" t="inlineStr">
        <is>
          <t>Actividades humanas que impactan ecosistemas de El Salvador</t>
        </is>
      </c>
      <c r="AV434" s="11" t="inlineStr">
        <is>
          <t>Ciclo 7°–9°</t>
        </is>
      </c>
      <c r="AW434" s="11">
        <f>AF434&amp;"; "&amp;AG434&amp;"; "&amp;AH434&amp;"; "&amp;AI434&amp;"; "&amp;AJ434</f>
        <v/>
      </c>
    </row>
    <row r="435">
      <c r="A435" s="11" t="inlineStr">
        <is>
          <t>T1069-G07-CIE</t>
        </is>
      </c>
      <c r="B435" s="11" t="n">
        <v>7</v>
      </c>
      <c r="C435" s="11" t="inlineStr">
        <is>
          <t>Ciencias</t>
        </is>
      </c>
      <c r="D435" s="11" t="inlineStr">
        <is>
          <t>Matriz_Ciencias_7mo_Grado_U1_U6.xlsx</t>
        </is>
      </c>
      <c r="E435" s="11" t="inlineStr">
        <is>
          <t>Unidad 6 - Ambiente y energía</t>
        </is>
      </c>
      <c r="F435" s="11" t="n">
        <v>14</v>
      </c>
      <c r="G435" s="11" t="inlineStr">
        <is>
          <t>6. Ambiente y energía</t>
        </is>
      </c>
      <c r="H435" s="11" t="inlineStr">
        <is>
          <t>Impacto ambiental</t>
        </is>
      </c>
      <c r="I435" s="38" t="inlineStr">
        <is>
          <t>6.12. Cuantificación de impactos ambientales.</t>
        </is>
      </c>
      <c r="J435" s="11" t="inlineStr">
        <is>
          <t>T8_27</t>
        </is>
      </c>
      <c r="K435" s="11" t="inlineStr">
        <is>
          <t>T8_27-B5.6</t>
        </is>
      </c>
      <c r="L435" s="11" t="inlineStr"/>
      <c r="M435" s="11">
        <f>IF(K435="FUERA","Fuera del marco",IF(K435="N/A","Sin marco",IFERROR(INDEX('Datos - Catálogo TIMSS'!$C$5:$C$107,MATCH(K435,'Datos - Catálogo TIMSS'!$A$5:$A$107,0)),"Pendiente de clasificar")))</f>
        <v/>
      </c>
      <c r="N435" s="11">
        <f>IF(K435="FUERA","Fuera del marco",IF(K435="N/A","Sin marco",IFERROR(INDEX('Datos - Catálogo TIMSS'!$F$5:$F$107,MATCH(K435,'Datos - Catálogo TIMSS'!$A$5:$A$107,0)),"Pendiente de clasificar")))</f>
        <v/>
      </c>
      <c r="O435" s="11">
        <f>IF(L435="","",IFERROR(INDEX('Datos - Catálogo TIMSS'!$C$5:$C$107,MATCH(L435,'Datos - Catálogo TIMSS'!$A$5:$A$107,0)),"?"))</f>
        <v/>
      </c>
      <c r="P435" s="11" t="inlineStr">
        <is>
          <t>media</t>
        </is>
      </c>
      <c r="Q435" s="38" t="inlineStr">
        <is>
          <t>Estimación de impactos ambientales humanos</t>
        </is>
      </c>
      <c r="R435" s="38" t="inlineStr">
        <is>
          <t>Aplicar: cuantificar</t>
        </is>
      </c>
      <c r="S435" s="39">
        <f>IFERROR(ISNUMBER(SEARCH("Conocer",$R435))/(ISNUMBER(SEARCH("Conocer",$R435))+ISNUMBER(SEARCH("Aplicar",$R435))+ISNUMBER(SEARCH("Razonar",$R435))),0)</f>
        <v/>
      </c>
      <c r="T435" s="39">
        <f>IFERROR(ISNUMBER(SEARCH("Aplicar",$R435))/(ISNUMBER(SEARCH("Conocer",$R435))+ISNUMBER(SEARCH("Aplicar",$R435))+ISNUMBER(SEARCH("Razonar",$R435))),0)</f>
        <v/>
      </c>
      <c r="U435" s="39">
        <f>IFERROR(ISNUMBER(SEARCH("Razonar",$R435))/(ISNUMBER(SEARCH("Conocer",$R435))+ISNUMBER(SEARCH("Aplicar",$R435))+ISNUMBER(SEARCH("Razonar",$R435))),0)</f>
        <v/>
      </c>
      <c r="V435" s="11" t="inlineStr">
        <is>
          <t>7°</t>
        </is>
      </c>
      <c r="W435" s="11" t="inlineStr">
        <is>
          <t>Ciclo 5°–8°</t>
        </is>
      </c>
      <c r="X435" s="11">
        <f>IF(OR(IFERROR(INDEX('Datos - Catálogo TIMSS'!$I$5:$I$107,MATCH(K435,'Datos - Catálogo TIMSS'!$A$5:$A$107,0)),"No")="Sí",IFERROR(INDEX('Datos - Catálogo TIMSS'!$I$5:$I$107,MATCH(L435,'Datos - Catálogo TIMSS'!$A$5:$A$107,0)),"No")="Sí"),1,0)</f>
        <v/>
      </c>
      <c r="Y435" s="11">
        <f>IF(IFERROR(INDEX('Datos - Catálogo TIMSS'!$J$5:$J$107,MATCH(K435,'Datos - Catálogo TIMSS'!$A$5:$A$107,0)),"No")="Sí",1,0)</f>
        <v/>
      </c>
      <c r="Z435" s="11">
        <f>IF(IFERROR(INDEX('Datos - Catálogo TIMSS'!$J$5:$J$107,MATCH(L435,'Datos - Catálogo TIMSS'!$A$5:$A$107,0)),"No")="Sí",1,0)</f>
        <v/>
      </c>
      <c r="AA435" s="11" t="inlineStr">
        <is>
          <t>T8-B5.5</t>
        </is>
      </c>
      <c r="AB435" s="11" t="inlineStr"/>
      <c r="AC435" s="11">
        <f>IF(AA435="FUERA","Fuera del marco",IF(AA435="N/A","Sin marco",IFERROR(INDEX('Datos - TIMSS 2023'!$C$5:$C$105,MATCH(AA435,'Datos - TIMSS 2023'!$A$5:$A$105,0)),"Pendiente de clasificar")))</f>
        <v/>
      </c>
      <c r="AD435" s="11" t="inlineStr">
        <is>
          <t>2. Construir y evaluar diseños para la indagación científica e interpretar datos y evidencia de forma crítica</t>
        </is>
      </c>
      <c r="AE435" s="11">
        <f>IF(AD435="","",IF(LEFT(AD435,1)="1","C1",IF(LEFT(AD435,1)="2","C2",IF(LEFT(AD435,1)="3","C3",""))))</f>
        <v/>
      </c>
      <c r="AF435" s="11" t="inlineStr">
        <is>
          <t>E1</t>
        </is>
      </c>
      <c r="AG435" s="11" t="inlineStr">
        <is>
          <t>D1</t>
        </is>
      </c>
      <c r="AH435" s="11" t="inlineStr">
        <is>
          <t>E1</t>
        </is>
      </c>
      <c r="AI435" s="11" t="inlineStr">
        <is>
          <t>D4</t>
        </is>
      </c>
      <c r="AJ435" s="11" t="inlineStr">
        <is>
          <t>I5</t>
        </is>
      </c>
      <c r="AK435" s="11" t="inlineStr">
        <is>
          <t>PISA-V8</t>
        </is>
      </c>
      <c r="AL435" s="11" t="n"/>
      <c r="AM435" s="11">
        <f>IF(AK435="FUERA","Fuera del marco",IFERROR(INDEX('Datos - Catálogo PISA'!$C$5:$C$76,MATCH(AK435,'Datos - Catálogo PISA'!$A$5:$A$76,0)),"?"))</f>
        <v/>
      </c>
      <c r="AN435" s="11" t="inlineStr">
        <is>
          <t>Contenido</t>
        </is>
      </c>
      <c r="AO435" s="11" t="n"/>
      <c r="AP435" s="11" t="n"/>
      <c r="AQ435" s="11" t="inlineStr">
        <is>
          <t>Local/nacional</t>
        </is>
      </c>
      <c r="AR435" s="11" t="inlineStr">
        <is>
          <t>Impactos ambientales y cambio climático</t>
        </is>
      </c>
      <c r="AS435" s="11" t="inlineStr">
        <is>
          <t>Alta</t>
        </is>
      </c>
      <c r="AT435" s="11" t="inlineStr">
        <is>
          <t>media</t>
        </is>
      </c>
      <c r="AU435" s="11" t="inlineStr">
        <is>
          <t>Matriz de estimación de impacto ambiental hipotético</t>
        </is>
      </c>
      <c r="AV435" s="11" t="inlineStr">
        <is>
          <t>Ciclo 7°–9°</t>
        </is>
      </c>
      <c r="AW435" s="11">
        <f>AF435&amp;"; "&amp;AG435&amp;"; "&amp;AH435&amp;"; "&amp;AI435&amp;"; "&amp;AJ435</f>
        <v/>
      </c>
    </row>
    <row r="436">
      <c r="A436" s="11" t="inlineStr">
        <is>
          <t>T1070-G07-CIE</t>
        </is>
      </c>
      <c r="B436" s="11" t="n">
        <v>7</v>
      </c>
      <c r="C436" s="11" t="inlineStr">
        <is>
          <t>Ciencias</t>
        </is>
      </c>
      <c r="D436" s="11" t="inlineStr">
        <is>
          <t>Matriz_Ciencias_7mo_Grado_U1_U6.xlsx</t>
        </is>
      </c>
      <c r="E436" s="11" t="inlineStr">
        <is>
          <t>Unidad 6 - Ambiente y energía</t>
        </is>
      </c>
      <c r="F436" s="11" t="n">
        <v>15</v>
      </c>
      <c r="G436" s="11" t="inlineStr">
        <is>
          <t>6. Ambiente y energía</t>
        </is>
      </c>
      <c r="H436" s="11" t="inlineStr">
        <is>
          <t>Cambio climático</t>
        </is>
      </c>
      <c r="I436" s="38" t="inlineStr">
        <is>
          <t>6.13. Simulación de los fenómenos de efecto invernadero y lluvia ácida.</t>
        </is>
      </c>
      <c r="J436" s="11" t="inlineStr">
        <is>
          <t>T8_27</t>
        </is>
      </c>
      <c r="K436" s="11" t="inlineStr">
        <is>
          <t>T8_27-E2.4</t>
        </is>
      </c>
      <c r="L436" s="11" t="inlineStr">
        <is>
          <t>T8_27-B5.6</t>
        </is>
      </c>
      <c r="M436" s="11">
        <f>IF(K436="FUERA","Fuera del marco",IF(K436="N/A","Sin marco",IFERROR(INDEX('Datos - Catálogo TIMSS'!$C$5:$C$107,MATCH(K436,'Datos - Catálogo TIMSS'!$A$5:$A$107,0)),"Pendiente de clasificar")))</f>
        <v/>
      </c>
      <c r="N436" s="11">
        <f>IF(K436="FUERA","Fuera del marco",IF(K436="N/A","Sin marco",IFERROR(INDEX('Datos - Catálogo TIMSS'!$F$5:$F$107,MATCH(K436,'Datos - Catálogo TIMSS'!$A$5:$A$107,0)),"Pendiente de clasificar")))</f>
        <v/>
      </c>
      <c r="O436" s="11">
        <f>IF(L436="","",IFERROR(INDEX('Datos - Catálogo TIMSS'!$C$5:$C$107,MATCH(L436,'Datos - Catálogo TIMSS'!$A$5:$A$107,0)),"?"))</f>
        <v/>
      </c>
      <c r="P436" s="11" t="inlineStr">
        <is>
          <t>media</t>
        </is>
      </c>
      <c r="Q436" s="38" t="inlineStr">
        <is>
          <t>Simula efecto invernadero y lluvia ácida con registro de temperaturas</t>
        </is>
      </c>
      <c r="R436" s="38" t="inlineStr">
        <is>
          <t>Aplicar: usar modelos. Razonar: interpretar</t>
        </is>
      </c>
      <c r="S436" s="39">
        <f>IFERROR(ISNUMBER(SEARCH("Conocer",$R436))/(ISNUMBER(SEARCH("Conocer",$R436))+ISNUMBER(SEARCH("Aplicar",$R436))+ISNUMBER(SEARCH("Razonar",$R436))),0)</f>
        <v/>
      </c>
      <c r="T436" s="39">
        <f>IFERROR(ISNUMBER(SEARCH("Aplicar",$R436))/(ISNUMBER(SEARCH("Conocer",$R436))+ISNUMBER(SEARCH("Aplicar",$R436))+ISNUMBER(SEARCH("Razonar",$R436))),0)</f>
        <v/>
      </c>
      <c r="U436" s="39">
        <f>IFERROR(ISNUMBER(SEARCH("Razonar",$R436))/(ISNUMBER(SEARCH("Conocer",$R436))+ISNUMBER(SEARCH("Aplicar",$R436))+ISNUMBER(SEARCH("Razonar",$R436))),0)</f>
        <v/>
      </c>
      <c r="V436" s="11" t="inlineStr">
        <is>
          <t>7°</t>
        </is>
      </c>
      <c r="W436" s="11" t="inlineStr">
        <is>
          <t>Ciclo 5°–8°</t>
        </is>
      </c>
      <c r="X436" s="11">
        <f>IF(OR(IFERROR(INDEX('Datos - Catálogo TIMSS'!$I$5:$I$107,MATCH(K436,'Datos - Catálogo TIMSS'!$A$5:$A$107,0)),"No")="Sí",IFERROR(INDEX('Datos - Catálogo TIMSS'!$I$5:$I$107,MATCH(L436,'Datos - Catálogo TIMSS'!$A$5:$A$107,0)),"No")="Sí"),1,0)</f>
        <v/>
      </c>
      <c r="Y436" s="11">
        <f>IF(IFERROR(INDEX('Datos - Catálogo TIMSS'!$J$5:$J$107,MATCH(K436,'Datos - Catálogo TIMSS'!$A$5:$A$107,0)),"No")="Sí",1,0)</f>
        <v/>
      </c>
      <c r="Z436" s="11">
        <f>IF(IFERROR(INDEX('Datos - Catálogo TIMSS'!$J$5:$J$107,MATCH(L436,'Datos - Catálogo TIMSS'!$A$5:$A$107,0)),"No")="Sí",1,0)</f>
        <v/>
      </c>
      <c r="AA436" s="11" t="inlineStr">
        <is>
          <t>T8-T2.3</t>
        </is>
      </c>
      <c r="AB436" s="11" t="inlineStr">
        <is>
          <t>T8-B5.5</t>
        </is>
      </c>
      <c r="AC436" s="11">
        <f>IF(AA436="FUERA","Fuera del marco",IF(AA436="N/A","Sin marco",IFERROR(INDEX('Datos - TIMSS 2023'!$C$5:$C$105,MATCH(AA436,'Datos - TIMSS 2023'!$A$5:$A$105,0)),"Pendiente de clasificar")))</f>
        <v/>
      </c>
      <c r="AD436" s="11" t="inlineStr">
        <is>
          <t>2. Construir y evaluar diseños para la indagación científica e interpretar datos y evidencia de forma crítica</t>
        </is>
      </c>
      <c r="AE436" s="11">
        <f>IF(AD436="","",IF(LEFT(AD436,1)="1","C1",IF(LEFT(AD436,1)="2","C2",IF(LEFT(AD436,1)="3","C3",""))))</f>
        <v/>
      </c>
      <c r="AF436" s="11" t="inlineStr">
        <is>
          <t>E1</t>
        </is>
      </c>
      <c r="AG436" s="11" t="inlineStr">
        <is>
          <t>E3</t>
        </is>
      </c>
      <c r="AH436" s="11" t="inlineStr">
        <is>
          <t>E4</t>
        </is>
      </c>
      <c r="AI436" s="11" t="inlineStr">
        <is>
          <t>D4</t>
        </is>
      </c>
      <c r="AJ436" s="11" t="inlineStr">
        <is>
          <t>E6</t>
        </is>
      </c>
      <c r="AK436" s="11" t="inlineStr">
        <is>
          <t>PISA-T5</t>
        </is>
      </c>
      <c r="AL436" s="11" t="inlineStr">
        <is>
          <t>PISA-F5</t>
        </is>
      </c>
      <c r="AM436" s="11">
        <f>IF(AK436="FUERA","Fuera del marco",IFERROR(INDEX('Datos - Catálogo PISA'!$C$5:$C$76,MATCH(AK436,'Datos - Catálogo PISA'!$A$5:$A$76,0)),"?"))</f>
        <v/>
      </c>
      <c r="AN436" s="11" t="inlineStr">
        <is>
          <t>Contenido</t>
        </is>
      </c>
      <c r="AO436" s="11" t="inlineStr">
        <is>
          <t>PISA-PR2;</t>
        </is>
      </c>
      <c r="AP436" s="11" t="inlineStr">
        <is>
          <t>PISA-EP4;</t>
        </is>
      </c>
      <c r="AQ436" s="11" t="inlineStr">
        <is>
          <t>Global</t>
        </is>
      </c>
      <c r="AR436" s="11" t="inlineStr">
        <is>
          <t>Impactos ambientales y cambio climático</t>
        </is>
      </c>
      <c r="AS436" s="11" t="inlineStr">
        <is>
          <t>Media</t>
        </is>
      </c>
      <c r="AT436" s="11" t="inlineStr">
        <is>
          <t>alta</t>
        </is>
      </c>
      <c r="AU436" s="11" t="inlineStr">
        <is>
          <t>Simula efecto invernadero y lluvia ácida registrando temperaturas</t>
        </is>
      </c>
      <c r="AV436" s="11" t="inlineStr">
        <is>
          <t>Ciclo 7°–9°</t>
        </is>
      </c>
      <c r="AW436" s="11">
        <f>AF436&amp;"; "&amp;AG436&amp;"; "&amp;AH436&amp;"; "&amp;AI436&amp;"; "&amp;AJ436</f>
        <v/>
      </c>
    </row>
    <row r="437">
      <c r="A437" s="11" t="inlineStr">
        <is>
          <t>T1071-G07-CIE</t>
        </is>
      </c>
      <c r="B437" s="11" t="n">
        <v>7</v>
      </c>
      <c r="C437" s="11" t="inlineStr">
        <is>
          <t>Ciencias</t>
        </is>
      </c>
      <c r="D437" s="11" t="inlineStr">
        <is>
          <t>Matriz_Ciencias_7mo_Grado_U1_U6.xlsx</t>
        </is>
      </c>
      <c r="E437" s="11" t="inlineStr">
        <is>
          <t>Unidad 6 - Ambiente y energía</t>
        </is>
      </c>
      <c r="F437" s="11" t="n">
        <v>16</v>
      </c>
      <c r="G437" s="11" t="inlineStr">
        <is>
          <t>6. Ambiente y energía</t>
        </is>
      </c>
      <c r="H437" s="11" t="inlineStr">
        <is>
          <t>Cambio climático</t>
        </is>
      </c>
      <c r="I437" s="38" t="inlineStr">
        <is>
          <t>6.14. Reconocimiento de acciones que impulsan el cambio climático antropogénico.</t>
        </is>
      </c>
      <c r="J437" s="11" t="inlineStr">
        <is>
          <t>T8_27</t>
        </is>
      </c>
      <c r="K437" s="11" t="inlineStr">
        <is>
          <t>T8_27-E2.4</t>
        </is>
      </c>
      <c r="L437" s="11" t="inlineStr"/>
      <c r="M437" s="11">
        <f>IF(K437="FUERA","Fuera del marco",IF(K437="N/A","Sin marco",IFERROR(INDEX('Datos - Catálogo TIMSS'!$C$5:$C$107,MATCH(K437,'Datos - Catálogo TIMSS'!$A$5:$A$107,0)),"Pendiente de clasificar")))</f>
        <v/>
      </c>
      <c r="N437" s="11">
        <f>IF(K437="FUERA","Fuera del marco",IF(K437="N/A","Sin marco",IFERROR(INDEX('Datos - Catálogo TIMSS'!$F$5:$F$107,MATCH(K437,'Datos - Catálogo TIMSS'!$A$5:$A$107,0)),"Pendiente de clasificar")))</f>
        <v/>
      </c>
      <c r="O437" s="11">
        <f>IF(L437="","",IFERROR(INDEX('Datos - Catálogo TIMSS'!$C$5:$C$107,MATCH(L437,'Datos - Catálogo TIMSS'!$A$5:$A$107,0)),"?"))</f>
        <v/>
      </c>
      <c r="P437" s="11" t="inlineStr">
        <is>
          <t>alta</t>
        </is>
      </c>
      <c r="Q437" s="38" t="inlineStr">
        <is>
          <t>Acciones humanas que causan cambio climático; huella de carbono</t>
        </is>
      </c>
      <c r="R437" s="38" t="inlineStr">
        <is>
          <t>Razonar: evaluar</t>
        </is>
      </c>
      <c r="S437" s="39">
        <f>IFERROR(ISNUMBER(SEARCH("Conocer",$R437))/(ISNUMBER(SEARCH("Conocer",$R437))+ISNUMBER(SEARCH("Aplicar",$R437))+ISNUMBER(SEARCH("Razonar",$R437))),0)</f>
        <v/>
      </c>
      <c r="T437" s="39">
        <f>IFERROR(ISNUMBER(SEARCH("Aplicar",$R437))/(ISNUMBER(SEARCH("Conocer",$R437))+ISNUMBER(SEARCH("Aplicar",$R437))+ISNUMBER(SEARCH("Razonar",$R437))),0)</f>
        <v/>
      </c>
      <c r="U437" s="39">
        <f>IFERROR(ISNUMBER(SEARCH("Razonar",$R437))/(ISNUMBER(SEARCH("Conocer",$R437))+ISNUMBER(SEARCH("Aplicar",$R437))+ISNUMBER(SEARCH("Razonar",$R437))),0)</f>
        <v/>
      </c>
      <c r="V437" s="11" t="inlineStr">
        <is>
          <t>7°</t>
        </is>
      </c>
      <c r="W437" s="11" t="inlineStr">
        <is>
          <t>Ciclo 5°–8°</t>
        </is>
      </c>
      <c r="X437" s="11">
        <f>IF(OR(IFERROR(INDEX('Datos - Catálogo TIMSS'!$I$5:$I$107,MATCH(K437,'Datos - Catálogo TIMSS'!$A$5:$A$107,0)),"No")="Sí",IFERROR(INDEX('Datos - Catálogo TIMSS'!$I$5:$I$107,MATCH(L437,'Datos - Catálogo TIMSS'!$A$5:$A$107,0)),"No")="Sí"),1,0)</f>
        <v/>
      </c>
      <c r="Y437" s="11">
        <f>IF(IFERROR(INDEX('Datos - Catálogo TIMSS'!$J$5:$J$107,MATCH(K437,'Datos - Catálogo TIMSS'!$A$5:$A$107,0)),"No")="Sí",1,0)</f>
        <v/>
      </c>
      <c r="Z437" s="11">
        <f>IF(IFERROR(INDEX('Datos - Catálogo TIMSS'!$J$5:$J$107,MATCH(L437,'Datos - Catálogo TIMSS'!$A$5:$A$107,0)),"No")="Sí",1,0)</f>
        <v/>
      </c>
      <c r="AA437" s="11" t="inlineStr">
        <is>
          <t>T8-B5.5</t>
        </is>
      </c>
      <c r="AB437" s="11" t="inlineStr">
        <is>
          <t>T8-T2.3</t>
        </is>
      </c>
      <c r="AC437" s="11">
        <f>IF(AA437="FUERA","Fuera del marco",IF(AA437="N/A","Sin marco",IFERROR(INDEX('Datos - TIMSS 2023'!$C$5:$C$105,MATCH(AA437,'Datos - TIMSS 2023'!$A$5:$A$105,0)),"Pendiente de clasificar")))</f>
        <v/>
      </c>
      <c r="AD437" s="11" t="inlineStr">
        <is>
          <t>3. Investigar, evaluar y usar información científica para tomar decisiones y actuar</t>
        </is>
      </c>
      <c r="AE437" s="11">
        <f>IF(AD437="","",IF(LEFT(AD437,1)="1","C1",IF(LEFT(AD437,1)="2","C2",IF(LEFT(AD437,1)="3","C3",""))))</f>
        <v/>
      </c>
      <c r="AF437" s="11" t="inlineStr">
        <is>
          <t>E1</t>
        </is>
      </c>
      <c r="AG437" s="11" t="inlineStr">
        <is>
          <t>D1</t>
        </is>
      </c>
      <c r="AH437" s="11" t="inlineStr">
        <is>
          <t>E1</t>
        </is>
      </c>
      <c r="AI437" s="11" t="inlineStr">
        <is>
          <t>I3</t>
        </is>
      </c>
      <c r="AJ437" s="11" t="inlineStr">
        <is>
          <t>I5</t>
        </is>
      </c>
      <c r="AK437" s="11" t="inlineStr">
        <is>
          <t>PISA-T5</t>
        </is>
      </c>
      <c r="AL437" s="11" t="inlineStr">
        <is>
          <t>PISA-V8</t>
        </is>
      </c>
      <c r="AM437" s="11">
        <f>IF(AK437="FUERA","Fuera del marco",IFERROR(INDEX('Datos - Catálogo PISA'!$C$5:$C$76,MATCH(AK437,'Datos - Catálogo PISA'!$A$5:$A$76,0)),"?"))</f>
        <v/>
      </c>
      <c r="AN437" s="11" t="inlineStr">
        <is>
          <t>Contenido</t>
        </is>
      </c>
      <c r="AO437" s="11" t="n"/>
      <c r="AP437" s="11" t="n"/>
      <c r="AQ437" s="11" t="inlineStr">
        <is>
          <t>Personal</t>
        </is>
      </c>
      <c r="AR437" s="11" t="inlineStr">
        <is>
          <t>Impactos ambientales y cambio climático</t>
        </is>
      </c>
      <c r="AS437" s="11" t="inlineStr">
        <is>
          <t>Media</t>
        </is>
      </c>
      <c r="AT437" s="11" t="inlineStr">
        <is>
          <t>alta</t>
        </is>
      </c>
      <c r="AU437" s="11" t="inlineStr">
        <is>
          <t>Acciones cotidianas y huella de carbono personal</t>
        </is>
      </c>
      <c r="AV437" s="11" t="inlineStr">
        <is>
          <t>Ciclo 7°–9°</t>
        </is>
      </c>
      <c r="AW437" s="11">
        <f>AF437&amp;"; "&amp;AG437&amp;"; "&amp;AH437&amp;"; "&amp;AI437&amp;"; "&amp;AJ437</f>
        <v/>
      </c>
    </row>
    <row r="438">
      <c r="A438" s="11" t="inlineStr">
        <is>
          <t>T1072-G07-CIE</t>
        </is>
      </c>
      <c r="B438" s="11" t="n">
        <v>7</v>
      </c>
      <c r="C438" s="11" t="inlineStr">
        <is>
          <t>Ciencias</t>
        </is>
      </c>
      <c r="D438" s="11" t="inlineStr">
        <is>
          <t>Matriz_Ciencias_7mo_Grado_U1_U6.xlsx</t>
        </is>
      </c>
      <c r="E438" s="11" t="inlineStr">
        <is>
          <t>Unidad 6 - Ambiente y energía</t>
        </is>
      </c>
      <c r="F438" s="11" t="n">
        <v>17</v>
      </c>
      <c r="G438" s="11" t="inlineStr">
        <is>
          <t>6. Ambiente y energía</t>
        </is>
      </c>
      <c r="H438" s="11" t="inlineStr">
        <is>
          <t>Cambio climático</t>
        </is>
      </c>
      <c r="I438" s="38" t="inlineStr">
        <is>
          <t>6.15. Análisis de los efectos generales del cambio climático antropogénico.</t>
        </is>
      </c>
      <c r="J438" s="11" t="inlineStr">
        <is>
          <t>T8_27</t>
        </is>
      </c>
      <c r="K438" s="11" t="inlineStr">
        <is>
          <t>T8_27-E2.4</t>
        </is>
      </c>
      <c r="L438" s="11" t="inlineStr">
        <is>
          <t>T8_27-B5.6</t>
        </is>
      </c>
      <c r="M438" s="11">
        <f>IF(K438="FUERA","Fuera del marco",IF(K438="N/A","Sin marco",IFERROR(INDEX('Datos - Catálogo TIMSS'!$C$5:$C$107,MATCH(K438,'Datos - Catálogo TIMSS'!$A$5:$A$107,0)),"Pendiente de clasificar")))</f>
        <v/>
      </c>
      <c r="N438" s="11">
        <f>IF(K438="FUERA","Fuera del marco",IF(K438="N/A","Sin marco",IFERROR(INDEX('Datos - Catálogo TIMSS'!$F$5:$F$107,MATCH(K438,'Datos - Catálogo TIMSS'!$A$5:$A$107,0)),"Pendiente de clasificar")))</f>
        <v/>
      </c>
      <c r="O438" s="11">
        <f>IF(L438="","",IFERROR(INDEX('Datos - Catálogo TIMSS'!$C$5:$C$107,MATCH(L438,'Datos - Catálogo TIMSS'!$A$5:$A$107,0)),"?"))</f>
        <v/>
      </c>
      <c r="P438" s="11" t="inlineStr">
        <is>
          <t>media</t>
        </is>
      </c>
      <c r="Q438" s="38" t="inlineStr">
        <is>
          <t>Efectos del cambio climático antropogénico</t>
        </is>
      </c>
      <c r="R438" s="38" t="inlineStr">
        <is>
          <t>Razonar: evaluar información</t>
        </is>
      </c>
      <c r="S438" s="39">
        <f>IFERROR(ISNUMBER(SEARCH("Conocer",$R438))/(ISNUMBER(SEARCH("Conocer",$R438))+ISNUMBER(SEARCH("Aplicar",$R438))+ISNUMBER(SEARCH("Razonar",$R438))),0)</f>
        <v/>
      </c>
      <c r="T438" s="39">
        <f>IFERROR(ISNUMBER(SEARCH("Aplicar",$R438))/(ISNUMBER(SEARCH("Conocer",$R438))+ISNUMBER(SEARCH("Aplicar",$R438))+ISNUMBER(SEARCH("Razonar",$R438))),0)</f>
        <v/>
      </c>
      <c r="U438" s="39">
        <f>IFERROR(ISNUMBER(SEARCH("Razonar",$R438))/(ISNUMBER(SEARCH("Conocer",$R438))+ISNUMBER(SEARCH("Aplicar",$R438))+ISNUMBER(SEARCH("Razonar",$R438))),0)</f>
        <v/>
      </c>
      <c r="V438" s="11" t="inlineStr">
        <is>
          <t>7°</t>
        </is>
      </c>
      <c r="W438" s="11" t="inlineStr">
        <is>
          <t>Ciclo 5°–8°</t>
        </is>
      </c>
      <c r="X438" s="11">
        <f>IF(OR(IFERROR(INDEX('Datos - Catálogo TIMSS'!$I$5:$I$107,MATCH(K438,'Datos - Catálogo TIMSS'!$A$5:$A$107,0)),"No")="Sí",IFERROR(INDEX('Datos - Catálogo TIMSS'!$I$5:$I$107,MATCH(L438,'Datos - Catálogo TIMSS'!$A$5:$A$107,0)),"No")="Sí"),1,0)</f>
        <v/>
      </c>
      <c r="Y438" s="11">
        <f>IF(IFERROR(INDEX('Datos - Catálogo TIMSS'!$J$5:$J$107,MATCH(K438,'Datos - Catálogo TIMSS'!$A$5:$A$107,0)),"No")="Sí",1,0)</f>
        <v/>
      </c>
      <c r="Z438" s="11">
        <f>IF(IFERROR(INDEX('Datos - Catálogo TIMSS'!$J$5:$J$107,MATCH(L438,'Datos - Catálogo TIMSS'!$A$5:$A$107,0)),"No")="Sí",1,0)</f>
        <v/>
      </c>
      <c r="AA438" s="11" t="inlineStr">
        <is>
          <t>T8-T2.3</t>
        </is>
      </c>
      <c r="AB438" s="11" t="inlineStr">
        <is>
          <t>T8-B5.5</t>
        </is>
      </c>
      <c r="AC438" s="11">
        <f>IF(AA438="FUERA","Fuera del marco",IF(AA438="N/A","Sin marco",IFERROR(INDEX('Datos - TIMSS 2023'!$C$5:$C$105,MATCH(AA438,'Datos - TIMSS 2023'!$A$5:$A$105,0)),"Pendiente de clasificar")))</f>
        <v/>
      </c>
      <c r="AD438" s="11" t="inlineStr">
        <is>
          <t>3. Investigar, evaluar y usar información científica para tomar decisiones y actuar</t>
        </is>
      </c>
      <c r="AE438" s="11">
        <f>IF(AD438="","",IF(LEFT(AD438,1)="1","C1",IF(LEFT(AD438,1)="2","C2",IF(LEFT(AD438,1)="3","C3",""))))</f>
        <v/>
      </c>
      <c r="AF438" s="11" t="inlineStr">
        <is>
          <t>E6</t>
        </is>
      </c>
      <c r="AG438" s="11" t="inlineStr">
        <is>
          <t>D1</t>
        </is>
      </c>
      <c r="AH438" s="11" t="inlineStr">
        <is>
          <t>E1</t>
        </is>
      </c>
      <c r="AI438" s="11" t="inlineStr">
        <is>
          <t>I1</t>
        </is>
      </c>
      <c r="AJ438" s="11" t="inlineStr">
        <is>
          <t>I5</t>
        </is>
      </c>
      <c r="AK438" s="11" t="inlineStr">
        <is>
          <t>PISA-T5</t>
        </is>
      </c>
      <c r="AL438" s="11" t="n"/>
      <c r="AM438" s="11">
        <f>IF(AK438="FUERA","Fuera del marco",IFERROR(INDEX('Datos - Catálogo PISA'!$C$5:$C$76,MATCH(AK438,'Datos - Catálogo PISA'!$A$5:$A$76,0)),"?"))</f>
        <v/>
      </c>
      <c r="AN438" s="11" t="inlineStr">
        <is>
          <t>Contenido</t>
        </is>
      </c>
      <c r="AO438" s="11" t="n"/>
      <c r="AP438" s="11" t="n"/>
      <c r="AQ438" s="11" t="inlineStr">
        <is>
          <t>Global</t>
        </is>
      </c>
      <c r="AR438" s="11" t="inlineStr">
        <is>
          <t>Impactos ambientales y cambio climático</t>
        </is>
      </c>
      <c r="AS438" s="11" t="inlineStr">
        <is>
          <t>Media</t>
        </is>
      </c>
      <c r="AT438" s="11" t="inlineStr">
        <is>
          <t>alta</t>
        </is>
      </c>
      <c r="AU438" s="11" t="inlineStr">
        <is>
          <t>Efectos adversos del cambio climático antropogénico con fuentes</t>
        </is>
      </c>
      <c r="AV438" s="11" t="inlineStr">
        <is>
          <t>Ciclo 7°–9°</t>
        </is>
      </c>
      <c r="AW438" s="11">
        <f>AF438&amp;"; "&amp;AG438&amp;"; "&amp;AH438&amp;"; "&amp;AI438&amp;"; "&amp;AJ438</f>
        <v/>
      </c>
    </row>
    <row r="439">
      <c r="A439" s="11" t="inlineStr">
        <is>
          <t>T1073-G07-CIE</t>
        </is>
      </c>
      <c r="B439" s="11" t="n">
        <v>7</v>
      </c>
      <c r="C439" s="11" t="inlineStr">
        <is>
          <t>Ciencias</t>
        </is>
      </c>
      <c r="D439" s="11" t="inlineStr">
        <is>
          <t>Matriz_Ciencias_7mo_Grado_U1_U6.xlsx</t>
        </is>
      </c>
      <c r="E439" s="11" t="inlineStr">
        <is>
          <t>Unidad 6 - Ambiente y energía</t>
        </is>
      </c>
      <c r="F439" s="11" t="n">
        <v>18</v>
      </c>
      <c r="G439" s="11" t="inlineStr">
        <is>
          <t>6. Ambiente y energía</t>
        </is>
      </c>
      <c r="H439" s="11" t="inlineStr">
        <is>
          <t>Seguridad alimentaria y nutricional (SAN)</t>
        </is>
      </c>
      <c r="I439" s="38" t="inlineStr">
        <is>
          <t>6.16. Reconocimiento del uso actual y del potencial de los suelos para producción alimentaria en El Salvador.</t>
        </is>
      </c>
      <c r="J439" s="11" t="inlineStr">
        <is>
          <t>T8_27</t>
        </is>
      </c>
      <c r="K439" s="11" t="inlineStr">
        <is>
          <t>T8_27-E3.2</t>
        </is>
      </c>
      <c r="L439" s="11" t="inlineStr"/>
      <c r="M439" s="11">
        <f>IF(K439="FUERA","Fuera del marco",IF(K439="N/A","Sin marco",IFERROR(INDEX('Datos - Catálogo TIMSS'!$C$5:$C$107,MATCH(K439,'Datos - Catálogo TIMSS'!$A$5:$A$107,0)),"Pendiente de clasificar")))</f>
        <v/>
      </c>
      <c r="N439" s="11">
        <f>IF(K439="FUERA","Fuera del marco",IF(K439="N/A","Sin marco",IFERROR(INDEX('Datos - Catálogo TIMSS'!$F$5:$F$107,MATCH(K439,'Datos - Catálogo TIMSS'!$A$5:$A$107,0)),"Pendiente de clasificar")))</f>
        <v/>
      </c>
      <c r="O439" s="11">
        <f>IF(L439="","",IFERROR(INDEX('Datos - Catálogo TIMSS'!$C$5:$C$107,MATCH(L439,'Datos - Catálogo TIMSS'!$A$5:$A$107,0)),"?"))</f>
        <v/>
      </c>
      <c r="P439" s="11" t="inlineStr">
        <is>
          <t>media</t>
        </is>
      </c>
      <c r="Q439" s="38" t="inlineStr">
        <is>
          <t>Uso del suelo agrícola y gestión del recurso</t>
        </is>
      </c>
      <c r="R439" s="38" t="inlineStr">
        <is>
          <t>Aplicar: comparar mapas. Razonar: argumentar</t>
        </is>
      </c>
      <c r="S439" s="39">
        <f>IFERROR(ISNUMBER(SEARCH("Conocer",$R439))/(ISNUMBER(SEARCH("Conocer",$R439))+ISNUMBER(SEARCH("Aplicar",$R439))+ISNUMBER(SEARCH("Razonar",$R439))),0)</f>
        <v/>
      </c>
      <c r="T439" s="39">
        <f>IFERROR(ISNUMBER(SEARCH("Aplicar",$R439))/(ISNUMBER(SEARCH("Conocer",$R439))+ISNUMBER(SEARCH("Aplicar",$R439))+ISNUMBER(SEARCH("Razonar",$R439))),0)</f>
        <v/>
      </c>
      <c r="U439" s="39">
        <f>IFERROR(ISNUMBER(SEARCH("Razonar",$R439))/(ISNUMBER(SEARCH("Conocer",$R439))+ISNUMBER(SEARCH("Aplicar",$R439))+ISNUMBER(SEARCH("Razonar",$R439))),0)</f>
        <v/>
      </c>
      <c r="V439" s="11" t="inlineStr">
        <is>
          <t>7°</t>
        </is>
      </c>
      <c r="W439" s="11" t="inlineStr">
        <is>
          <t>Ciclo 5°–8°</t>
        </is>
      </c>
      <c r="X439" s="11">
        <f>IF(OR(IFERROR(INDEX('Datos - Catálogo TIMSS'!$I$5:$I$107,MATCH(K439,'Datos - Catálogo TIMSS'!$A$5:$A$107,0)),"No")="Sí",IFERROR(INDEX('Datos - Catálogo TIMSS'!$I$5:$I$107,MATCH(L439,'Datos - Catálogo TIMSS'!$A$5:$A$107,0)),"No")="Sí"),1,0)</f>
        <v/>
      </c>
      <c r="Y439" s="11">
        <f>IF(IFERROR(INDEX('Datos - Catálogo TIMSS'!$J$5:$J$107,MATCH(K439,'Datos - Catálogo TIMSS'!$A$5:$A$107,0)),"No")="Sí",1,0)</f>
        <v/>
      </c>
      <c r="Z439" s="11">
        <f>IF(IFERROR(INDEX('Datos - Catálogo TIMSS'!$J$5:$J$107,MATCH(L439,'Datos - Catálogo TIMSS'!$A$5:$A$107,0)),"No")="Sí",1,0)</f>
        <v/>
      </c>
      <c r="AA439" s="11" t="inlineStr">
        <is>
          <t>T8-T3.2</t>
        </is>
      </c>
      <c r="AB439" s="11" t="inlineStr"/>
      <c r="AC439" s="11">
        <f>IF(AA439="FUERA","Fuera del marco",IF(AA439="N/A","Sin marco",IFERROR(INDEX('Datos - TIMSS 2023'!$C$5:$C$105,MATCH(AA439,'Datos - TIMSS 2023'!$A$5:$A$105,0)),"Pendiente de clasificar")))</f>
        <v/>
      </c>
      <c r="AD439" s="11" t="inlineStr">
        <is>
          <t>3. Investigar, evaluar y usar información científica para tomar decisiones y actuar</t>
        </is>
      </c>
      <c r="AE439" s="11">
        <f>IF(AD439="","",IF(LEFT(AD439,1)="1","C1",IF(LEFT(AD439,1)="2","C2",IF(LEFT(AD439,1)="3","C3",""))))</f>
        <v/>
      </c>
      <c r="AF439" s="11" t="inlineStr">
        <is>
          <t>E6</t>
        </is>
      </c>
      <c r="AG439" s="11" t="inlineStr">
        <is>
          <t>D1</t>
        </is>
      </c>
      <c r="AH439" s="11" t="inlineStr">
        <is>
          <t>E2</t>
        </is>
      </c>
      <c r="AI439" s="11" t="inlineStr">
        <is>
          <t>I3</t>
        </is>
      </c>
      <c r="AJ439" s="11" t="inlineStr">
        <is>
          <t>I5</t>
        </is>
      </c>
      <c r="AK439" s="11" t="inlineStr">
        <is>
          <t>PISA-V8</t>
        </is>
      </c>
      <c r="AL439" s="11" t="inlineStr">
        <is>
          <t>PISA-T2</t>
        </is>
      </c>
      <c r="AM439" s="11">
        <f>IF(AK439="FUERA","Fuera del marco",IFERROR(INDEX('Datos - Catálogo PISA'!$C$5:$C$76,MATCH(AK439,'Datos - Catálogo PISA'!$A$5:$A$76,0)),"?"))</f>
        <v/>
      </c>
      <c r="AN439" s="11" t="inlineStr">
        <is>
          <t>Contenido</t>
        </is>
      </c>
      <c r="AO439" s="11" t="n"/>
      <c r="AP439" s="11" t="n"/>
      <c r="AQ439" s="11" t="inlineStr">
        <is>
          <t>Local/nacional</t>
        </is>
      </c>
      <c r="AR439" s="11" t="inlineStr">
        <is>
          <t>Recursos naturales</t>
        </is>
      </c>
      <c r="AS439" s="11" t="inlineStr">
        <is>
          <t>Media</t>
        </is>
      </c>
      <c r="AT439" s="11" t="inlineStr">
        <is>
          <t>baja</t>
        </is>
      </c>
      <c r="AU439" s="11" t="inlineStr">
        <is>
          <t>Uso actual y potencial del suelo para alimentos</t>
        </is>
      </c>
      <c r="AV439" s="11" t="inlineStr">
        <is>
          <t>Ciclo 7°–9°</t>
        </is>
      </c>
      <c r="AW439" s="11">
        <f>AF439&amp;"; "&amp;AG439&amp;"; "&amp;AH439&amp;"; "&amp;AI439&amp;"; "&amp;AJ439</f>
        <v/>
      </c>
    </row>
    <row r="440">
      <c r="A440" s="11" t="inlineStr">
        <is>
          <t>T1074-G07-CIE</t>
        </is>
      </c>
      <c r="B440" s="11" t="n">
        <v>7</v>
      </c>
      <c r="C440" s="11" t="inlineStr">
        <is>
          <t>Ciencias</t>
        </is>
      </c>
      <c r="D440" s="11" t="inlineStr">
        <is>
          <t>Matriz_Ciencias_7mo_Grado_U1_U6.xlsx</t>
        </is>
      </c>
      <c r="E440" s="11" t="inlineStr">
        <is>
          <t>Unidad 6 - Ambiente y energía</t>
        </is>
      </c>
      <c r="F440" s="11" t="n">
        <v>19</v>
      </c>
      <c r="G440" s="11" t="inlineStr">
        <is>
          <t>6. Ambiente y energía</t>
        </is>
      </c>
      <c r="H440" s="11" t="inlineStr">
        <is>
          <t>Seguridad alimentaria y nutricional (SAN)</t>
        </is>
      </c>
      <c r="I440" s="38" t="inlineStr">
        <is>
          <t>6.17. Comparación del rendimiento calórico de los cultivos alimenticios contra el consumo medio de estos.</t>
        </is>
      </c>
      <c r="J440" s="11" t="inlineStr">
        <is>
          <t>T8_27</t>
        </is>
      </c>
      <c r="K440" s="11" t="inlineStr">
        <is>
          <t>T8_27-E3.2</t>
        </is>
      </c>
      <c r="L440" s="11" t="inlineStr">
        <is>
          <t>T8_27-B6.2</t>
        </is>
      </c>
      <c r="M440" s="11">
        <f>IF(K440="FUERA","Fuera del marco",IF(K440="N/A","Sin marco",IFERROR(INDEX('Datos - Catálogo TIMSS'!$C$5:$C$107,MATCH(K440,'Datos - Catálogo TIMSS'!$A$5:$A$107,0)),"Pendiente de clasificar")))</f>
        <v/>
      </c>
      <c r="N440" s="11">
        <f>IF(K440="FUERA","Fuera del marco",IF(K440="N/A","Sin marco",IFERROR(INDEX('Datos - Catálogo TIMSS'!$F$5:$F$107,MATCH(K440,'Datos - Catálogo TIMSS'!$A$5:$A$107,0)),"Pendiente de clasificar")))</f>
        <v/>
      </c>
      <c r="O440" s="11">
        <f>IF(L440="","",IFERROR(INDEX('Datos - Catálogo TIMSS'!$C$5:$C$107,MATCH(L440,'Datos - Catálogo TIMSS'!$A$5:$A$107,0)),"?"))</f>
        <v/>
      </c>
      <c r="P440" s="11" t="inlineStr">
        <is>
          <t>baja</t>
        </is>
      </c>
      <c r="Q440" s="38" t="inlineStr">
        <is>
          <t>Seguridad alimentaria: producción agrícola y consumo; encaje parcial</t>
        </is>
      </c>
      <c r="R440" s="38" t="inlineStr">
        <is>
          <t>Aplicar: calcular. Razonar: interpretar</t>
        </is>
      </c>
      <c r="S440" s="39">
        <f>IFERROR(ISNUMBER(SEARCH("Conocer",$R440))/(ISNUMBER(SEARCH("Conocer",$R440))+ISNUMBER(SEARCH("Aplicar",$R440))+ISNUMBER(SEARCH("Razonar",$R440))),0)</f>
        <v/>
      </c>
      <c r="T440" s="39">
        <f>IFERROR(ISNUMBER(SEARCH("Aplicar",$R440))/(ISNUMBER(SEARCH("Conocer",$R440))+ISNUMBER(SEARCH("Aplicar",$R440))+ISNUMBER(SEARCH("Razonar",$R440))),0)</f>
        <v/>
      </c>
      <c r="U440" s="39">
        <f>IFERROR(ISNUMBER(SEARCH("Razonar",$R440))/(ISNUMBER(SEARCH("Conocer",$R440))+ISNUMBER(SEARCH("Aplicar",$R440))+ISNUMBER(SEARCH("Razonar",$R440))),0)</f>
        <v/>
      </c>
      <c r="V440" s="11" t="inlineStr">
        <is>
          <t>7°</t>
        </is>
      </c>
      <c r="W440" s="11" t="inlineStr">
        <is>
          <t>Ciclo 5°–8°</t>
        </is>
      </c>
      <c r="X440" s="11">
        <f>IF(OR(IFERROR(INDEX('Datos - Catálogo TIMSS'!$I$5:$I$107,MATCH(K440,'Datos - Catálogo TIMSS'!$A$5:$A$107,0)),"No")="Sí",IFERROR(INDEX('Datos - Catálogo TIMSS'!$I$5:$I$107,MATCH(L440,'Datos - Catálogo TIMSS'!$A$5:$A$107,0)),"No")="Sí"),1,0)</f>
        <v/>
      </c>
      <c r="Y440" s="11">
        <f>IF(IFERROR(INDEX('Datos - Catálogo TIMSS'!$J$5:$J$107,MATCH(K440,'Datos - Catálogo TIMSS'!$A$5:$A$107,0)),"No")="Sí",1,0)</f>
        <v/>
      </c>
      <c r="Z440" s="11">
        <f>IF(IFERROR(INDEX('Datos - Catálogo TIMSS'!$J$5:$J$107,MATCH(L440,'Datos - Catálogo TIMSS'!$A$5:$A$107,0)),"No")="Sí",1,0)</f>
        <v/>
      </c>
      <c r="AA440" s="11" t="inlineStr">
        <is>
          <t>T8-B6.2</t>
        </is>
      </c>
      <c r="AB440" s="11" t="inlineStr">
        <is>
          <t>T8-T3.2</t>
        </is>
      </c>
      <c r="AC440" s="11">
        <f>IF(AA440="FUERA","Fuera del marco",IF(AA440="N/A","Sin marco",IFERROR(INDEX('Datos - TIMSS 2023'!$C$5:$C$105,MATCH(AA440,'Datos - TIMSS 2023'!$A$5:$A$105,0)),"Pendiente de clasificar")))</f>
        <v/>
      </c>
      <c r="AD440" s="11" t="inlineStr">
        <is>
          <t>2. Construir y evaluar diseños para la indagación científica e interpretar datos y evidencia de forma crítica</t>
        </is>
      </c>
      <c r="AE440" s="11">
        <f>IF(AD440="","",IF(LEFT(AD440,1)="1","C1",IF(LEFT(AD440,1)="2","C2",IF(LEFT(AD440,1)="3","C3",""))))</f>
        <v/>
      </c>
      <c r="AF440" s="11" t="inlineStr">
        <is>
          <t>E1</t>
        </is>
      </c>
      <c r="AG440" s="11" t="inlineStr">
        <is>
          <t>D1</t>
        </is>
      </c>
      <c r="AH440" s="11" t="inlineStr">
        <is>
          <t>E1</t>
        </is>
      </c>
      <c r="AI440" s="11" t="inlineStr">
        <is>
          <t>D4</t>
        </is>
      </c>
      <c r="AJ440" s="11" t="inlineStr">
        <is>
          <t>I5</t>
        </is>
      </c>
      <c r="AK440" s="11" t="inlineStr">
        <is>
          <t>PISA-V8</t>
        </is>
      </c>
      <c r="AL440" s="11" t="inlineStr">
        <is>
          <t>PISA-V4</t>
        </is>
      </c>
      <c r="AM440" s="11">
        <f>IF(AK440="FUERA","Fuera del marco",IFERROR(INDEX('Datos - Catálogo PISA'!$C$5:$C$76,MATCH(AK440,'Datos - Catálogo PISA'!$A$5:$A$76,0)),"?"))</f>
        <v/>
      </c>
      <c r="AN440" s="11" t="inlineStr">
        <is>
          <t>Contenido</t>
        </is>
      </c>
      <c r="AO440" s="11" t="n"/>
      <c r="AP440" s="11" t="n"/>
      <c r="AQ440" s="11" t="inlineStr">
        <is>
          <t>Local/nacional</t>
        </is>
      </c>
      <c r="AR440" s="11" t="inlineStr">
        <is>
          <t>Recursos naturales</t>
        </is>
      </c>
      <c r="AS440" s="11" t="inlineStr">
        <is>
          <t>Media</t>
        </is>
      </c>
      <c r="AT440" s="11" t="inlineStr">
        <is>
          <t>baja</t>
        </is>
      </c>
      <c r="AU440" s="11" t="inlineStr">
        <is>
          <t>Rendimiento calórico de cultivos frente al consumo local</t>
        </is>
      </c>
      <c r="AV440" s="11" t="inlineStr">
        <is>
          <t>Ciclo 7°–9°</t>
        </is>
      </c>
      <c r="AW440" s="11">
        <f>AF440&amp;"; "&amp;AG440&amp;"; "&amp;AH440&amp;"; "&amp;AI440&amp;"; "&amp;AJ440</f>
        <v/>
      </c>
    </row>
    <row r="441">
      <c r="A441" s="11" t="inlineStr">
        <is>
          <t>T1075-G07-CIE</t>
        </is>
      </c>
      <c r="B441" s="11" t="n">
        <v>7</v>
      </c>
      <c r="C441" s="11" t="inlineStr">
        <is>
          <t>Ciencias</t>
        </is>
      </c>
      <c r="D441" s="11" t="inlineStr">
        <is>
          <t>Matriz_Ciencias_7mo_Grado_U1_U6.xlsx</t>
        </is>
      </c>
      <c r="E441" s="11" t="inlineStr">
        <is>
          <t>Unidad 6 - Ambiente y energía</t>
        </is>
      </c>
      <c r="F441" s="11" t="n">
        <v>20</v>
      </c>
      <c r="G441" s="11" t="inlineStr">
        <is>
          <t>6. Ambiente y energía</t>
        </is>
      </c>
      <c r="H441" s="11" t="inlineStr">
        <is>
          <t>Seguridad alimentaria y nutricional (SAN)</t>
        </is>
      </c>
      <c r="I441" s="38" t="inlineStr">
        <is>
          <t>6.18. Investigación de la cadena de suministro y almacenamiento de alimentos.</t>
        </is>
      </c>
      <c r="J441" s="11" t="inlineStr">
        <is>
          <t>T8_27</t>
        </is>
      </c>
      <c r="K441" s="11" t="inlineStr">
        <is>
          <t>FUERA</t>
        </is>
      </c>
      <c r="L441" s="11" t="inlineStr"/>
      <c r="M441" s="11">
        <f>IF(K441="FUERA","Fuera del marco",IF(K441="N/A","Sin marco",IFERROR(INDEX('Datos - Catálogo TIMSS'!$C$5:$C$107,MATCH(K441,'Datos - Catálogo TIMSS'!$A$5:$A$107,0)),"Pendiente de clasificar")))</f>
        <v/>
      </c>
      <c r="N441" s="11">
        <f>IF(K441="FUERA","Fuera del marco",IF(K441="N/A","Sin marco",IFERROR(INDEX('Datos - Catálogo TIMSS'!$F$5:$F$107,MATCH(K441,'Datos - Catálogo TIMSS'!$A$5:$A$107,0)),"Pendiente de clasificar")))</f>
        <v/>
      </c>
      <c r="O441" s="11">
        <f>IF(L441="","",IFERROR(INDEX('Datos - Catálogo TIMSS'!$C$5:$C$107,MATCH(L441,'Datos - Catálogo TIMSS'!$A$5:$A$107,0)),"?"))</f>
        <v/>
      </c>
      <c r="P441" s="11" t="inlineStr">
        <is>
          <t>media</t>
        </is>
      </c>
      <c r="Q441" s="38" t="inlineStr">
        <is>
          <t>Cadena de suministro alimentaria sin objetivo de contenido</t>
        </is>
      </c>
      <c r="R441" s="38" t="inlineStr">
        <is>
          <t>Aplicar: esquematizar</t>
        </is>
      </c>
      <c r="S441" s="39">
        <f>IFERROR(ISNUMBER(SEARCH("Conocer",$R441))/(ISNUMBER(SEARCH("Conocer",$R441))+ISNUMBER(SEARCH("Aplicar",$R441))+ISNUMBER(SEARCH("Razonar",$R441))),0)</f>
        <v/>
      </c>
      <c r="T441" s="39">
        <f>IFERROR(ISNUMBER(SEARCH("Aplicar",$R441))/(ISNUMBER(SEARCH("Conocer",$R441))+ISNUMBER(SEARCH("Aplicar",$R441))+ISNUMBER(SEARCH("Razonar",$R441))),0)</f>
        <v/>
      </c>
      <c r="U441" s="39">
        <f>IFERROR(ISNUMBER(SEARCH("Razonar",$R441))/(ISNUMBER(SEARCH("Conocer",$R441))+ISNUMBER(SEARCH("Aplicar",$R441))+ISNUMBER(SEARCH("Razonar",$R441))),0)</f>
        <v/>
      </c>
      <c r="V441" s="11" t="inlineStr">
        <is>
          <t>7°</t>
        </is>
      </c>
      <c r="W441" s="11" t="inlineStr">
        <is>
          <t>Ciclo 5°–8°</t>
        </is>
      </c>
      <c r="X441" s="11">
        <f>IF(OR(IFERROR(INDEX('Datos - Catálogo TIMSS'!$I$5:$I$107,MATCH(K441,'Datos - Catálogo TIMSS'!$A$5:$A$107,0)),"No")="Sí",IFERROR(INDEX('Datos - Catálogo TIMSS'!$I$5:$I$107,MATCH(L441,'Datos - Catálogo TIMSS'!$A$5:$A$107,0)),"No")="Sí"),1,0)</f>
        <v/>
      </c>
      <c r="Y441" s="11">
        <f>IF(IFERROR(INDEX('Datos - Catálogo TIMSS'!$J$5:$J$107,MATCH(K441,'Datos - Catálogo TIMSS'!$A$5:$A$107,0)),"No")="Sí",1,0)</f>
        <v/>
      </c>
      <c r="Z441" s="11">
        <f>IF(IFERROR(INDEX('Datos - Catálogo TIMSS'!$J$5:$J$107,MATCH(L441,'Datos - Catálogo TIMSS'!$A$5:$A$107,0)),"No")="Sí",1,0)</f>
        <v/>
      </c>
      <c r="AA441" s="11" t="inlineStr">
        <is>
          <t>FUERA</t>
        </is>
      </c>
      <c r="AB441" s="11" t="inlineStr"/>
      <c r="AC441" s="11">
        <f>IF(AA441="FUERA","Fuera del marco",IF(AA441="N/A","Sin marco",IFERROR(INDEX('Datos - TIMSS 2023'!$C$5:$C$105,MATCH(AA441,'Datos - TIMSS 2023'!$A$5:$A$105,0)),"Pendiente de clasificar")))</f>
        <v/>
      </c>
      <c r="AD441" s="11" t="inlineStr">
        <is>
          <t>3. Investigar, evaluar y usar información científica para tomar decisiones y actuar</t>
        </is>
      </c>
      <c r="AE441" s="11">
        <f>IF(AD441="","",IF(LEFT(AD441,1)="1","C1",IF(LEFT(AD441,1)="2","C2",IF(LEFT(AD441,1)="3","C3",""))))</f>
        <v/>
      </c>
      <c r="AF441" s="11" t="inlineStr">
        <is>
          <t>E1</t>
        </is>
      </c>
      <c r="AG441" s="11" t="inlineStr">
        <is>
          <t>D1</t>
        </is>
      </c>
      <c r="AH441" s="11" t="inlineStr">
        <is>
          <t>E2</t>
        </is>
      </c>
      <c r="AI441" s="11" t="inlineStr">
        <is>
          <t>I1</t>
        </is>
      </c>
      <c r="AJ441" s="11" t="inlineStr">
        <is>
          <t>I5</t>
        </is>
      </c>
      <c r="AK441" s="11" t="inlineStr">
        <is>
          <t>FUERA</t>
        </is>
      </c>
      <c r="AL441" s="11" t="n"/>
      <c r="AM441" s="11">
        <f>IF(AK441="FUERA","Fuera del marco",IFERROR(INDEX('Datos - Catálogo PISA'!$C$5:$C$76,MATCH(AK441,'Datos - Catálogo PISA'!$A$5:$A$76,0)),"?"))</f>
        <v/>
      </c>
      <c r="AN441" s="11" t="inlineStr">
        <is>
          <t>Contenido</t>
        </is>
      </c>
      <c r="AO441" s="11" t="n"/>
      <c r="AP441" s="11" t="n"/>
      <c r="AQ441" s="11" t="inlineStr">
        <is>
          <t>Local/nacional</t>
        </is>
      </c>
      <c r="AR441" s="11" t="inlineStr">
        <is>
          <t>Recursos naturales</t>
        </is>
      </c>
      <c r="AS441" s="11" t="inlineStr">
        <is>
          <t>Media</t>
        </is>
      </c>
      <c r="AT441" s="11" t="inlineStr">
        <is>
          <t>baja</t>
        </is>
      </c>
      <c r="AU441" s="11" t="inlineStr">
        <is>
          <t>Cadena de suministro de alimentos: sin contenido del Box 2.6</t>
        </is>
      </c>
      <c r="AV441" s="11" t="inlineStr">
        <is>
          <t>Ciclo 7°–9°</t>
        </is>
      </c>
      <c r="AW441" s="11">
        <f>AF441&amp;"; "&amp;AG441&amp;"; "&amp;AH441&amp;"; "&amp;AI441&amp;"; "&amp;AJ441</f>
        <v/>
      </c>
    </row>
    <row r="442">
      <c r="A442" s="11" t="inlineStr">
        <is>
          <t>T1076-G07-CIE</t>
        </is>
      </c>
      <c r="B442" s="11" t="n">
        <v>7</v>
      </c>
      <c r="C442" s="11" t="inlineStr">
        <is>
          <t>Ciencias</t>
        </is>
      </c>
      <c r="D442" s="11" t="inlineStr">
        <is>
          <t>Matriz_Ciencias_7mo_Grado_U1_U6.xlsx</t>
        </is>
      </c>
      <c r="E442" s="11" t="inlineStr">
        <is>
          <t>Unidad 6 - Ambiente y energía</t>
        </is>
      </c>
      <c r="F442" s="11" t="n">
        <v>21</v>
      </c>
      <c r="G442" s="11" t="inlineStr">
        <is>
          <t>6. Ambiente y energía</t>
        </is>
      </c>
      <c r="H442" s="11" t="inlineStr">
        <is>
          <t>Introducción al desarrollo sostenible</t>
        </is>
      </c>
      <c r="I442" s="38" t="inlineStr">
        <is>
          <t>6.19. Indagación del concepto de sostenibilidad.</t>
        </is>
      </c>
      <c r="J442" s="11" t="inlineStr">
        <is>
          <t>T8_27</t>
        </is>
      </c>
      <c r="K442" s="11" t="inlineStr">
        <is>
          <t>T8_27-E3.2</t>
        </is>
      </c>
      <c r="L442" s="11" t="inlineStr">
        <is>
          <t>T8_27-B5.6</t>
        </is>
      </c>
      <c r="M442" s="11">
        <f>IF(K442="FUERA","Fuera del marco",IF(K442="N/A","Sin marco",IFERROR(INDEX('Datos - Catálogo TIMSS'!$C$5:$C$107,MATCH(K442,'Datos - Catálogo TIMSS'!$A$5:$A$107,0)),"Pendiente de clasificar")))</f>
        <v/>
      </c>
      <c r="N442" s="11">
        <f>IF(K442="FUERA","Fuera del marco",IF(K442="N/A","Sin marco",IFERROR(INDEX('Datos - Catálogo TIMSS'!$F$5:$F$107,MATCH(K442,'Datos - Catálogo TIMSS'!$A$5:$A$107,0)),"Pendiente de clasificar")))</f>
        <v/>
      </c>
      <c r="O442" s="11">
        <f>IF(L442="","",IFERROR(INDEX('Datos - Catálogo TIMSS'!$C$5:$C$107,MATCH(L442,'Datos - Catálogo TIMSS'!$A$5:$A$107,0)),"?"))</f>
        <v/>
      </c>
      <c r="P442" s="11" t="inlineStr">
        <is>
          <t>media</t>
        </is>
      </c>
      <c r="Q442" s="38" t="inlineStr">
        <is>
          <t>Sostenibilidad como conservación de recursos</t>
        </is>
      </c>
      <c r="R442" s="38" t="inlineStr">
        <is>
          <t>Conocer: definir</t>
        </is>
      </c>
      <c r="S442" s="39">
        <f>IFERROR(ISNUMBER(SEARCH("Conocer",$R442))/(ISNUMBER(SEARCH("Conocer",$R442))+ISNUMBER(SEARCH("Aplicar",$R442))+ISNUMBER(SEARCH("Razonar",$R442))),0)</f>
        <v/>
      </c>
      <c r="T442" s="39">
        <f>IFERROR(ISNUMBER(SEARCH("Aplicar",$R442))/(ISNUMBER(SEARCH("Conocer",$R442))+ISNUMBER(SEARCH("Aplicar",$R442))+ISNUMBER(SEARCH("Razonar",$R442))),0)</f>
        <v/>
      </c>
      <c r="U442" s="39">
        <f>IFERROR(ISNUMBER(SEARCH("Razonar",$R442))/(ISNUMBER(SEARCH("Conocer",$R442))+ISNUMBER(SEARCH("Aplicar",$R442))+ISNUMBER(SEARCH("Razonar",$R442))),0)</f>
        <v/>
      </c>
      <c r="V442" s="11" t="inlineStr">
        <is>
          <t>7°</t>
        </is>
      </c>
      <c r="W442" s="11" t="inlineStr">
        <is>
          <t>Ciclo 5°–8°</t>
        </is>
      </c>
      <c r="X442" s="11">
        <f>IF(OR(IFERROR(INDEX('Datos - Catálogo TIMSS'!$I$5:$I$107,MATCH(K442,'Datos - Catálogo TIMSS'!$A$5:$A$107,0)),"No")="Sí",IFERROR(INDEX('Datos - Catálogo TIMSS'!$I$5:$I$107,MATCH(L442,'Datos - Catálogo TIMSS'!$A$5:$A$107,0)),"No")="Sí"),1,0)</f>
        <v/>
      </c>
      <c r="Y442" s="11">
        <f>IF(IFERROR(INDEX('Datos - Catálogo TIMSS'!$J$5:$J$107,MATCH(K442,'Datos - Catálogo TIMSS'!$A$5:$A$107,0)),"No")="Sí",1,0)</f>
        <v/>
      </c>
      <c r="Z442" s="11">
        <f>IF(IFERROR(INDEX('Datos - Catálogo TIMSS'!$J$5:$J$107,MATCH(L442,'Datos - Catálogo TIMSS'!$A$5:$A$107,0)),"No")="Sí",1,0)</f>
        <v/>
      </c>
      <c r="AA442" s="11" t="inlineStr">
        <is>
          <t>T8-T3.1</t>
        </is>
      </c>
      <c r="AB442" s="11" t="inlineStr">
        <is>
          <t>T8-B5.5</t>
        </is>
      </c>
      <c r="AC442" s="11">
        <f>IF(AA442="FUERA","Fuera del marco",IF(AA442="N/A","Sin marco",IFERROR(INDEX('Datos - TIMSS 2023'!$C$5:$C$105,MATCH(AA442,'Datos - TIMSS 2023'!$A$5:$A$105,0)),"Pendiente de clasificar")))</f>
        <v/>
      </c>
      <c r="AD442" s="11" t="inlineStr">
        <is>
          <t>1. Explicar fenómenos científicamente</t>
        </is>
      </c>
      <c r="AE442" s="11">
        <f>IF(AD442="","",IF(LEFT(AD442,1)="1","C1",IF(LEFT(AD442,1)="2","C2",IF(LEFT(AD442,1)="3","C3",""))))</f>
        <v/>
      </c>
      <c r="AF442" s="11" t="inlineStr">
        <is>
          <t>E6</t>
        </is>
      </c>
      <c r="AG442" s="11" t="inlineStr">
        <is>
          <t>D1</t>
        </is>
      </c>
      <c r="AH442" s="11" t="inlineStr">
        <is>
          <t>E1</t>
        </is>
      </c>
      <c r="AI442" s="11" t="inlineStr">
        <is>
          <t>D4</t>
        </is>
      </c>
      <c r="AJ442" s="11" t="inlineStr">
        <is>
          <t>E6</t>
        </is>
      </c>
      <c r="AK442" s="11" t="inlineStr">
        <is>
          <t>PISA-V7</t>
        </is>
      </c>
      <c r="AL442" s="11" t="inlineStr">
        <is>
          <t>PISA-V8</t>
        </is>
      </c>
      <c r="AM442" s="11">
        <f>IF(AK442="FUERA","Fuera del marco",IFERROR(INDEX('Datos - Catálogo PISA'!$C$5:$C$76,MATCH(AK442,'Datos - Catálogo PISA'!$A$5:$A$76,0)),"?"))</f>
        <v/>
      </c>
      <c r="AN442" s="11" t="inlineStr">
        <is>
          <t>Contenido</t>
        </is>
      </c>
      <c r="AO442" s="11" t="n"/>
      <c r="AP442" s="11" t="n"/>
      <c r="AQ442" s="11" t="inlineStr">
        <is>
          <t>Local/nacional</t>
        </is>
      </c>
      <c r="AR442" s="11" t="inlineStr">
        <is>
          <t>Recursos naturales</t>
        </is>
      </c>
      <c r="AS442" s="11" t="inlineStr">
        <is>
          <t>Media</t>
        </is>
      </c>
      <c r="AT442" s="11" t="inlineStr">
        <is>
          <t>alta</t>
        </is>
      </c>
      <c r="AU442" s="11" t="inlineStr">
        <is>
          <t>Concepto de sostenibilidad con ejemplo local</t>
        </is>
      </c>
      <c r="AV442" s="11" t="inlineStr">
        <is>
          <t>Ciclo 7°–9°</t>
        </is>
      </c>
      <c r="AW442" s="11">
        <f>AF442&amp;"; "&amp;AG442&amp;"; "&amp;AH442&amp;"; "&amp;AI442&amp;"; "&amp;AJ442</f>
        <v/>
      </c>
    </row>
    <row r="443">
      <c r="A443" s="11" t="inlineStr">
        <is>
          <t>T1077-G07-CIE</t>
        </is>
      </c>
      <c r="B443" s="11" t="n">
        <v>7</v>
      </c>
      <c r="C443" s="11" t="inlineStr">
        <is>
          <t>Ciencias</t>
        </is>
      </c>
      <c r="D443" s="11" t="inlineStr">
        <is>
          <t>Matriz_Ciencias_7mo_Grado_U1_U6.xlsx</t>
        </is>
      </c>
      <c r="E443" s="11" t="inlineStr">
        <is>
          <t>Unidad 6 - Ambiente y energía</t>
        </is>
      </c>
      <c r="F443" s="11" t="n">
        <v>22</v>
      </c>
      <c r="G443" s="11" t="inlineStr">
        <is>
          <t>6. Ambiente y energía</t>
        </is>
      </c>
      <c r="H443" s="11" t="inlineStr">
        <is>
          <t>Introducción al desarrollo sostenible</t>
        </is>
      </c>
      <c r="I443" s="38" t="inlineStr">
        <is>
          <t>6.20. Determinación de prácticas que promueven la sostenibilidad ambiental.</t>
        </is>
      </c>
      <c r="J443" s="11" t="inlineStr">
        <is>
          <t>T8_27</t>
        </is>
      </c>
      <c r="K443" s="11" t="inlineStr">
        <is>
          <t>T8_27-E3.2</t>
        </is>
      </c>
      <c r="L443" s="11" t="inlineStr">
        <is>
          <t>T8_27-B5.6</t>
        </is>
      </c>
      <c r="M443" s="11">
        <f>IF(K443="FUERA","Fuera del marco",IF(K443="N/A","Sin marco",IFERROR(INDEX('Datos - Catálogo TIMSS'!$C$5:$C$107,MATCH(K443,'Datos - Catálogo TIMSS'!$A$5:$A$107,0)),"Pendiente de clasificar")))</f>
        <v/>
      </c>
      <c r="N443" s="11">
        <f>IF(K443="FUERA","Fuera del marco",IF(K443="N/A","Sin marco",IFERROR(INDEX('Datos - Catálogo TIMSS'!$F$5:$F$107,MATCH(K443,'Datos - Catálogo TIMSS'!$A$5:$A$107,0)),"Pendiente de clasificar")))</f>
        <v/>
      </c>
      <c r="O443" s="11">
        <f>IF(L443="","",IFERROR(INDEX('Datos - Catálogo TIMSS'!$C$5:$C$107,MATCH(L443,'Datos - Catálogo TIMSS'!$A$5:$A$107,0)),"?"))</f>
        <v/>
      </c>
      <c r="P443" s="11" t="inlineStr">
        <is>
          <t>alta</t>
        </is>
      </c>
      <c r="Q443" s="38" t="inlineStr">
        <is>
          <t>Prácticas sostenibles: conservación y manejo de residuos</t>
        </is>
      </c>
      <c r="R443" s="38" t="inlineStr">
        <is>
          <t>Razonar: proponer y justificar</t>
        </is>
      </c>
      <c r="S443" s="39">
        <f>IFERROR(ISNUMBER(SEARCH("Conocer",$R443))/(ISNUMBER(SEARCH("Conocer",$R443))+ISNUMBER(SEARCH("Aplicar",$R443))+ISNUMBER(SEARCH("Razonar",$R443))),0)</f>
        <v/>
      </c>
      <c r="T443" s="39">
        <f>IFERROR(ISNUMBER(SEARCH("Aplicar",$R443))/(ISNUMBER(SEARCH("Conocer",$R443))+ISNUMBER(SEARCH("Aplicar",$R443))+ISNUMBER(SEARCH("Razonar",$R443))),0)</f>
        <v/>
      </c>
      <c r="U443" s="39">
        <f>IFERROR(ISNUMBER(SEARCH("Razonar",$R443))/(ISNUMBER(SEARCH("Conocer",$R443))+ISNUMBER(SEARCH("Aplicar",$R443))+ISNUMBER(SEARCH("Razonar",$R443))),0)</f>
        <v/>
      </c>
      <c r="V443" s="11" t="inlineStr">
        <is>
          <t>7°</t>
        </is>
      </c>
      <c r="W443" s="11" t="inlineStr">
        <is>
          <t>Ciclo 5°–8°</t>
        </is>
      </c>
      <c r="X443" s="11">
        <f>IF(OR(IFERROR(INDEX('Datos - Catálogo TIMSS'!$I$5:$I$107,MATCH(K443,'Datos - Catálogo TIMSS'!$A$5:$A$107,0)),"No")="Sí",IFERROR(INDEX('Datos - Catálogo TIMSS'!$I$5:$I$107,MATCH(L443,'Datos - Catálogo TIMSS'!$A$5:$A$107,0)),"No")="Sí"),1,0)</f>
        <v/>
      </c>
      <c r="Y443" s="11">
        <f>IF(IFERROR(INDEX('Datos - Catálogo TIMSS'!$J$5:$J$107,MATCH(K443,'Datos - Catálogo TIMSS'!$A$5:$A$107,0)),"No")="Sí",1,0)</f>
        <v/>
      </c>
      <c r="Z443" s="11">
        <f>IF(IFERROR(INDEX('Datos - Catálogo TIMSS'!$J$5:$J$107,MATCH(L443,'Datos - Catálogo TIMSS'!$A$5:$A$107,0)),"No")="Sí",1,0)</f>
        <v/>
      </c>
      <c r="AA443" s="11" t="inlineStr">
        <is>
          <t>T8-B5.5</t>
        </is>
      </c>
      <c r="AB443" s="11" t="inlineStr">
        <is>
          <t>T8-T3.1</t>
        </is>
      </c>
      <c r="AC443" s="11">
        <f>IF(AA443="FUERA","Fuera del marco",IF(AA443="N/A","Sin marco",IFERROR(INDEX('Datos - TIMSS 2023'!$C$5:$C$105,MATCH(AA443,'Datos - TIMSS 2023'!$A$5:$A$105,0)),"Pendiente de clasificar")))</f>
        <v/>
      </c>
      <c r="AD443" s="11" t="inlineStr">
        <is>
          <t>3. Investigar, evaluar y usar información científica para tomar decisiones y actuar</t>
        </is>
      </c>
      <c r="AE443" s="11">
        <f>IF(AD443="","",IF(LEFT(AD443,1)="1","C1",IF(LEFT(AD443,1)="2","C2",IF(LEFT(AD443,1)="3","C3",""))))</f>
        <v/>
      </c>
      <c r="AF443" s="11" t="inlineStr">
        <is>
          <t>E1</t>
        </is>
      </c>
      <c r="AG443" s="11" t="inlineStr">
        <is>
          <t>D1</t>
        </is>
      </c>
      <c r="AH443" s="11" t="inlineStr">
        <is>
          <t>E1</t>
        </is>
      </c>
      <c r="AI443" s="11" t="inlineStr">
        <is>
          <t>I3</t>
        </is>
      </c>
      <c r="AJ443" s="11" t="inlineStr">
        <is>
          <t>I5</t>
        </is>
      </c>
      <c r="AK443" s="11" t="inlineStr">
        <is>
          <t>PISA-V8</t>
        </is>
      </c>
      <c r="AL443" s="11" t="inlineStr">
        <is>
          <t>PISA-V7</t>
        </is>
      </c>
      <c r="AM443" s="11">
        <f>IF(AK443="FUERA","Fuera del marco",IFERROR(INDEX('Datos - Catálogo PISA'!$C$5:$C$76,MATCH(AK443,'Datos - Catálogo PISA'!$A$5:$A$76,0)),"?"))</f>
        <v/>
      </c>
      <c r="AN443" s="11" t="inlineStr">
        <is>
          <t>Contenido</t>
        </is>
      </c>
      <c r="AO443" s="11" t="n"/>
      <c r="AP443" s="11" t="n"/>
      <c r="AQ443" s="11" t="inlineStr">
        <is>
          <t>Local/nacional</t>
        </is>
      </c>
      <c r="AR443" s="11" t="inlineStr">
        <is>
          <t>Impactos ambientales y cambio climático</t>
        </is>
      </c>
      <c r="AS443" s="11" t="inlineStr">
        <is>
          <t>Media</t>
        </is>
      </c>
      <c r="AT443" s="11" t="inlineStr">
        <is>
          <t>alta</t>
        </is>
      </c>
      <c r="AU443" s="11" t="inlineStr">
        <is>
          <t>Prácticas sostenibles en un plan escolar</t>
        </is>
      </c>
      <c r="AV443" s="11" t="inlineStr">
        <is>
          <t>Ciclo 7°–9°</t>
        </is>
      </c>
      <c r="AW443" s="11">
        <f>AF443&amp;"; "&amp;AG443&amp;"; "&amp;AH443&amp;"; "&amp;AI443&amp;"; "&amp;AJ443</f>
        <v/>
      </c>
    </row>
    <row r="444">
      <c r="A444" s="11" t="inlineStr">
        <is>
          <t>T1078-G08-CIE</t>
        </is>
      </c>
      <c r="B444" s="11" t="n">
        <v>8</v>
      </c>
      <c r="C444" s="11" t="inlineStr">
        <is>
          <t>Ciencias</t>
        </is>
      </c>
      <c r="D444" s="11" t="inlineStr">
        <is>
          <t>Matriz_Ciencias_8vo_Grado_U1_U7.xlsx</t>
        </is>
      </c>
      <c r="E444" s="11" t="inlineStr">
        <is>
          <t>Unidad 1 - Mecánica</t>
        </is>
      </c>
      <c r="F444" s="11" t="n">
        <v>3</v>
      </c>
      <c r="G444" s="11" t="inlineStr">
        <is>
          <t>1. Mecánica</t>
        </is>
      </c>
      <c r="H444" s="11" t="inlineStr">
        <is>
          <t>Instrumentos de medición</t>
        </is>
      </c>
      <c r="I444" s="38" t="inlineStr">
        <is>
          <t>1.1. Construcción y calibración de un instrumento de medición.</t>
        </is>
      </c>
      <c r="J444" s="11" t="inlineStr">
        <is>
          <t>T8_27</t>
        </is>
      </c>
      <c r="K444" s="11" t="inlineStr">
        <is>
          <t>T8_27-P6.1</t>
        </is>
      </c>
      <c r="L444" s="11" t="inlineStr">
        <is>
          <t>T8_27-P5.2</t>
        </is>
      </c>
      <c r="M444" s="11">
        <f>IF(K444="FUERA","Fuera del marco",IF(K444="N/A","Sin marco",IFERROR(INDEX('Datos - Catálogo TIMSS'!$C$5:$C$107,MATCH(K444,'Datos - Catálogo TIMSS'!$A$5:$A$107,0)),"Pendiente de clasificar")))</f>
        <v/>
      </c>
      <c r="N444" s="11">
        <f>IF(K444="FUERA","Fuera del marco",IF(K444="N/A","Sin marco",IFERROR(INDEX('Datos - Catálogo TIMSS'!$F$5:$F$107,MATCH(K444,'Datos - Catálogo TIMSS'!$A$5:$A$107,0)),"Pendiente de clasificar")))</f>
        <v/>
      </c>
      <c r="O444" s="11">
        <f>IF(L444="","",IFERROR(INDEX('Datos - Catálogo TIMSS'!$C$5:$C$107,MATCH(L444,'Datos - Catálogo TIMSS'!$A$5:$A$107,0)),"?"))</f>
        <v/>
      </c>
      <c r="P444" s="11" t="inlineStr">
        <is>
          <t>media</t>
        </is>
      </c>
      <c r="Q444" s="38" t="inlineStr">
        <is>
          <t>Construir y calibrar dinamómetro: práctica de medición con equipo de física</t>
        </is>
      </c>
      <c r="R444" s="38" t="inlineStr">
        <is>
          <t>Aplicar: construir y calibrar. Razonar: evaluar</t>
        </is>
      </c>
      <c r="S444" s="39">
        <f>IFERROR(ISNUMBER(SEARCH("Conocer",$R444))/(ISNUMBER(SEARCH("Conocer",$R444))+ISNUMBER(SEARCH("Aplicar",$R444))+ISNUMBER(SEARCH("Razonar",$R444))),0)</f>
        <v/>
      </c>
      <c r="T444" s="39">
        <f>IFERROR(ISNUMBER(SEARCH("Aplicar",$R444))/(ISNUMBER(SEARCH("Conocer",$R444))+ISNUMBER(SEARCH("Aplicar",$R444))+ISNUMBER(SEARCH("Razonar",$R444))),0)</f>
        <v/>
      </c>
      <c r="U444" s="39">
        <f>IFERROR(ISNUMBER(SEARCH("Razonar",$R444))/(ISNUMBER(SEARCH("Conocer",$R444))+ISNUMBER(SEARCH("Aplicar",$R444))+ISNUMBER(SEARCH("Razonar",$R444))),0)</f>
        <v/>
      </c>
      <c r="V444" s="11" t="inlineStr">
        <is>
          <t>8°</t>
        </is>
      </c>
      <c r="W444" s="11" t="inlineStr">
        <is>
          <t>Ciclo 5°–8°</t>
        </is>
      </c>
      <c r="X444" s="11">
        <f>IF(OR(IFERROR(INDEX('Datos - Catálogo TIMSS'!$I$5:$I$107,MATCH(K444,'Datos - Catálogo TIMSS'!$A$5:$A$107,0)),"No")="Sí",IFERROR(INDEX('Datos - Catálogo TIMSS'!$I$5:$I$107,MATCH(L444,'Datos - Catálogo TIMSS'!$A$5:$A$107,0)),"No")="Sí"),1,0)</f>
        <v/>
      </c>
      <c r="Y444" s="11">
        <f>IF(IFERROR(INDEX('Datos - Catálogo TIMSS'!$J$5:$J$107,MATCH(K444,'Datos - Catálogo TIMSS'!$A$5:$A$107,0)),"No")="Sí",1,0)</f>
        <v/>
      </c>
      <c r="Z444" s="11">
        <f>IF(IFERROR(INDEX('Datos - Catálogo TIMSS'!$J$5:$J$107,MATCH(L444,'Datos - Catálogo TIMSS'!$A$5:$A$107,0)),"No")="Sí",1,0)</f>
        <v/>
      </c>
      <c r="AA444" s="11" t="inlineStr">
        <is>
          <t>T8-F5.2</t>
        </is>
      </c>
      <c r="AB444" s="11" t="inlineStr"/>
      <c r="AC444" s="11">
        <f>IF(AA444="FUERA","Fuera del marco",IF(AA444="N/A","Sin marco",IFERROR(INDEX('Datos - TIMSS 2023'!$C$5:$C$105,MATCH(AA444,'Datos - TIMSS 2023'!$A$5:$A$105,0)),"Pendiente de clasificar")))</f>
        <v/>
      </c>
      <c r="AD444" s="11" t="inlineStr">
        <is>
          <t>2. Construir y evaluar diseños para la indagación científica e interpretar datos y evidencia de forma crítica</t>
        </is>
      </c>
      <c r="AE444" s="11">
        <f>IF(AD444="","",IF(LEFT(AD444,1)="1","C1",IF(LEFT(AD444,1)="2","C2",IF(LEFT(AD444,1)="3","C3",""))))</f>
        <v/>
      </c>
      <c r="AF444" s="11" t="inlineStr">
        <is>
          <t>E1</t>
        </is>
      </c>
      <c r="AG444" s="11" t="inlineStr">
        <is>
          <t>D1</t>
        </is>
      </c>
      <c r="AH444" s="11" t="inlineStr">
        <is>
          <t>E1</t>
        </is>
      </c>
      <c r="AI444" s="11" t="inlineStr">
        <is>
          <t>D2</t>
        </is>
      </c>
      <c r="AJ444" s="11" t="inlineStr">
        <is>
          <t>D3</t>
        </is>
      </c>
      <c r="AK444" s="11" t="inlineStr">
        <is>
          <t>FUERA</t>
        </is>
      </c>
      <c r="AL444" s="11" t="n"/>
      <c r="AM444" s="11">
        <f>IF(AK444="FUERA","Fuera del marco",IFERROR(INDEX('Datos - Catálogo PISA'!$C$5:$C$76,MATCH(AK444,'Datos - Catálogo PISA'!$A$5:$A$76,0)),"?"))</f>
        <v/>
      </c>
      <c r="AN444" s="11" t="inlineStr">
        <is>
          <t>Procedimental</t>
        </is>
      </c>
      <c r="AO444" s="11" t="inlineStr">
        <is>
          <t>PISA-PR2; PISA-PR4;</t>
        </is>
      </c>
      <c r="AP444" s="11" t="n"/>
      <c r="AQ444" s="11" t="inlineStr">
        <is>
          <t>Sin contexto</t>
        </is>
      </c>
      <c r="AR444" s="11" t="n"/>
      <c r="AS444" s="11" t="inlineStr">
        <is>
          <t>Media</t>
        </is>
      </c>
      <c r="AT444" s="11" t="inlineStr">
        <is>
          <t>alta</t>
        </is>
      </c>
      <c r="AU444" s="11" t="inlineStr">
        <is>
          <t>Calibración de instrumento propio; foco en medición, sin contenido del Box 2.6</t>
        </is>
      </c>
      <c r="AV444" s="11" t="inlineStr">
        <is>
          <t>Ciclo 7°–9°</t>
        </is>
      </c>
      <c r="AW444" s="11">
        <f>AF444&amp;"; "&amp;AG444&amp;"; "&amp;AH444&amp;"; "&amp;AI444&amp;"; "&amp;AJ444</f>
        <v/>
      </c>
    </row>
    <row r="445">
      <c r="A445" s="11" t="inlineStr">
        <is>
          <t>T1079-G08-CIE</t>
        </is>
      </c>
      <c r="B445" s="11" t="n">
        <v>8</v>
      </c>
      <c r="C445" s="11" t="inlineStr">
        <is>
          <t>Ciencias</t>
        </is>
      </c>
      <c r="D445" s="11" t="inlineStr">
        <is>
          <t>Matriz_Ciencias_8vo_Grado_U1_U7.xlsx</t>
        </is>
      </c>
      <c r="E445" s="11" t="inlineStr">
        <is>
          <t>Unidad 1 - Mecánica</t>
        </is>
      </c>
      <c r="F445" s="11" t="n">
        <v>4</v>
      </c>
      <c r="G445" s="11" t="inlineStr">
        <is>
          <t>1. Mecánica</t>
        </is>
      </c>
      <c r="H445" s="11" t="inlineStr">
        <is>
          <t>Instrumentos de medición</t>
        </is>
      </c>
      <c r="I445" s="38" t="inlineStr">
        <is>
          <t>1.2. Identificación de la técnica de medición de una magnitud física.</t>
        </is>
      </c>
      <c r="J445" s="11" t="inlineStr">
        <is>
          <t>T8_27</t>
        </is>
      </c>
      <c r="K445" s="11" t="inlineStr">
        <is>
          <t>T8_27-P6.1</t>
        </is>
      </c>
      <c r="L445" s="11" t="inlineStr"/>
      <c r="M445" s="11">
        <f>IF(K445="FUERA","Fuera del marco",IF(K445="N/A","Sin marco",IFERROR(INDEX('Datos - Catálogo TIMSS'!$C$5:$C$107,MATCH(K445,'Datos - Catálogo TIMSS'!$A$5:$A$107,0)),"Pendiente de clasificar")))</f>
        <v/>
      </c>
      <c r="N445" s="11">
        <f>IF(K445="FUERA","Fuera del marco",IF(K445="N/A","Sin marco",IFERROR(INDEX('Datos - Catálogo TIMSS'!$F$5:$F$107,MATCH(K445,'Datos - Catálogo TIMSS'!$A$5:$A$107,0)),"Pendiente de clasificar")))</f>
        <v/>
      </c>
      <c r="O445" s="11">
        <f>IF(L445="","",IFERROR(INDEX('Datos - Catálogo TIMSS'!$C$5:$C$107,MATCH(L445,'Datos - Catálogo TIMSS'!$A$5:$A$107,0)),"?"))</f>
        <v/>
      </c>
      <c r="P445" s="11" t="inlineStr">
        <is>
          <t>media</t>
        </is>
      </c>
      <c r="Q445" s="38" t="inlineStr">
        <is>
          <t>Técnicas de medición directa e indirecta, sin contenido disciplinar: práctica investigativa</t>
        </is>
      </c>
      <c r="R445" s="38" t="inlineStr">
        <is>
          <t>Aplicar: seleccionar técnicas. Razonar: comparar</t>
        </is>
      </c>
      <c r="S445" s="39">
        <f>IFERROR(ISNUMBER(SEARCH("Conocer",$R445))/(ISNUMBER(SEARCH("Conocer",$R445))+ISNUMBER(SEARCH("Aplicar",$R445))+ISNUMBER(SEARCH("Razonar",$R445))),0)</f>
        <v/>
      </c>
      <c r="T445" s="39">
        <f>IFERROR(ISNUMBER(SEARCH("Aplicar",$R445))/(ISNUMBER(SEARCH("Conocer",$R445))+ISNUMBER(SEARCH("Aplicar",$R445))+ISNUMBER(SEARCH("Razonar",$R445))),0)</f>
        <v/>
      </c>
      <c r="U445" s="39">
        <f>IFERROR(ISNUMBER(SEARCH("Razonar",$R445))/(ISNUMBER(SEARCH("Conocer",$R445))+ISNUMBER(SEARCH("Aplicar",$R445))+ISNUMBER(SEARCH("Razonar",$R445))),0)</f>
        <v/>
      </c>
      <c r="V445" s="11" t="inlineStr">
        <is>
          <t>8°</t>
        </is>
      </c>
      <c r="W445" s="11" t="inlineStr">
        <is>
          <t>Ciclo 5°–8°</t>
        </is>
      </c>
      <c r="X445" s="11">
        <f>IF(OR(IFERROR(INDEX('Datos - Catálogo TIMSS'!$I$5:$I$107,MATCH(K445,'Datos - Catálogo TIMSS'!$A$5:$A$107,0)),"No")="Sí",IFERROR(INDEX('Datos - Catálogo TIMSS'!$I$5:$I$107,MATCH(L445,'Datos - Catálogo TIMSS'!$A$5:$A$107,0)),"No")="Sí"),1,0)</f>
        <v/>
      </c>
      <c r="Y445" s="11">
        <f>IF(IFERROR(INDEX('Datos - Catálogo TIMSS'!$J$5:$J$107,MATCH(K445,'Datos - Catálogo TIMSS'!$A$5:$A$107,0)),"No")="Sí",1,0)</f>
        <v/>
      </c>
      <c r="Z445" s="11">
        <f>IF(IFERROR(INDEX('Datos - Catálogo TIMSS'!$J$5:$J$107,MATCH(L445,'Datos - Catálogo TIMSS'!$A$5:$A$107,0)),"No")="Sí",1,0)</f>
        <v/>
      </c>
      <c r="AA445" s="11" t="inlineStr">
        <is>
          <t>FUERA</t>
        </is>
      </c>
      <c r="AB445" s="11" t="inlineStr"/>
      <c r="AC445" s="11">
        <f>IF(AA445="FUERA","Fuera del marco",IF(AA445="N/A","Sin marco",IFERROR(INDEX('Datos - TIMSS 2023'!$C$5:$C$105,MATCH(AA445,'Datos - TIMSS 2023'!$A$5:$A$105,0)),"Pendiente de clasificar")))</f>
        <v/>
      </c>
      <c r="AD445" s="11" t="inlineStr">
        <is>
          <t>2. Construir y evaluar diseños para la indagación científica e interpretar datos y evidencia de forma crítica</t>
        </is>
      </c>
      <c r="AE445" s="11">
        <f>IF(AD445="","",IF(LEFT(AD445,1)="1","C1",IF(LEFT(AD445,1)="2","C2",IF(LEFT(AD445,1)="3","C3",""))))</f>
        <v/>
      </c>
      <c r="AF445" s="11" t="inlineStr">
        <is>
          <t>E1</t>
        </is>
      </c>
      <c r="AG445" s="11" t="inlineStr">
        <is>
          <t>D1</t>
        </is>
      </c>
      <c r="AH445" s="11" t="inlineStr">
        <is>
          <t>E1</t>
        </is>
      </c>
      <c r="AI445" s="11" t="inlineStr">
        <is>
          <t>D4</t>
        </is>
      </c>
      <c r="AJ445" s="11" t="inlineStr">
        <is>
          <t>E3</t>
        </is>
      </c>
      <c r="AK445" s="11" t="inlineStr">
        <is>
          <t>FUERA</t>
        </is>
      </c>
      <c r="AL445" s="11" t="n"/>
      <c r="AM445" s="11">
        <f>IF(AK445="FUERA","Fuera del marco",IFERROR(INDEX('Datos - Catálogo PISA'!$C$5:$C$76,MATCH(AK445,'Datos - Catálogo PISA'!$A$5:$A$76,0)),"?"))</f>
        <v/>
      </c>
      <c r="AN445" s="11" t="inlineStr">
        <is>
          <t>Procedimental</t>
        </is>
      </c>
      <c r="AO445" s="11" t="inlineStr">
        <is>
          <t>PISA-PR2;</t>
        </is>
      </c>
      <c r="AP445" s="11" t="n"/>
      <c r="AQ445" s="11" t="inlineStr">
        <is>
          <t>Sin contexto</t>
        </is>
      </c>
      <c r="AR445" s="11" t="n"/>
      <c r="AS445" s="11" t="inlineStr">
        <is>
          <t>Baja</t>
        </is>
      </c>
      <c r="AT445" s="11" t="inlineStr">
        <is>
          <t>alta</t>
        </is>
      </c>
      <c r="AU445" s="11" t="inlineStr">
        <is>
          <t>Distingue técnicas de medición directa e indirecta; solo medición</t>
        </is>
      </c>
      <c r="AV445" s="11" t="inlineStr">
        <is>
          <t>Ciclo 7°–9°</t>
        </is>
      </c>
      <c r="AW445" s="11">
        <f>AF445&amp;"; "&amp;AG445&amp;"; "&amp;AH445&amp;"; "&amp;AI445&amp;"; "&amp;AJ445</f>
        <v/>
      </c>
    </row>
    <row r="446">
      <c r="A446" s="11" t="inlineStr">
        <is>
          <t>T1080-G08-CIE</t>
        </is>
      </c>
      <c r="B446" s="11" t="n">
        <v>8</v>
      </c>
      <c r="C446" s="11" t="inlineStr">
        <is>
          <t>Ciencias</t>
        </is>
      </c>
      <c r="D446" s="11" t="inlineStr">
        <is>
          <t>Matriz_Ciencias_8vo_Grado_U1_U7.xlsx</t>
        </is>
      </c>
      <c r="E446" s="11" t="inlineStr">
        <is>
          <t>Unidad 1 - Mecánica</t>
        </is>
      </c>
      <c r="F446" s="11" t="n">
        <v>5</v>
      </c>
      <c r="G446" s="11" t="inlineStr">
        <is>
          <t>1. Mecánica</t>
        </is>
      </c>
      <c r="H446" s="11" t="inlineStr">
        <is>
          <t>Instrumentos de medición</t>
        </is>
      </c>
      <c r="I446" s="38" t="inlineStr">
        <is>
          <t>1.3. Interpretación de las características de los gráficos.</t>
        </is>
      </c>
      <c r="J446" s="11" t="inlineStr">
        <is>
          <t>T8_27</t>
        </is>
      </c>
      <c r="K446" s="11" t="inlineStr">
        <is>
          <t>T8_27-P6.1</t>
        </is>
      </c>
      <c r="L446" s="11" t="inlineStr"/>
      <c r="M446" s="11">
        <f>IF(K446="FUERA","Fuera del marco",IF(K446="N/A","Sin marco",IFERROR(INDEX('Datos - Catálogo TIMSS'!$C$5:$C$107,MATCH(K446,'Datos - Catálogo TIMSS'!$A$5:$A$107,0)),"Pendiente de clasificar")))</f>
        <v/>
      </c>
      <c r="N446" s="11">
        <f>IF(K446="FUERA","Fuera del marco",IF(K446="N/A","Sin marco",IFERROR(INDEX('Datos - Catálogo TIMSS'!$F$5:$F$107,MATCH(K446,'Datos - Catálogo TIMSS'!$A$5:$A$107,0)),"Pendiente de clasificar")))</f>
        <v/>
      </c>
      <c r="O446" s="11">
        <f>IF(L446="","",IFERROR(INDEX('Datos - Catálogo TIMSS'!$C$5:$C$107,MATCH(L446,'Datos - Catálogo TIMSS'!$A$5:$A$107,0)),"?"))</f>
        <v/>
      </c>
      <c r="P446" s="11" t="inlineStr">
        <is>
          <t>baja</t>
        </is>
      </c>
      <c r="Q446" s="38" t="inlineStr">
        <is>
          <t>Interpretar pendiente y área de gráficos: análisis de datos, más matemático que físico</t>
        </is>
      </c>
      <c r="R446" s="38" t="inlineStr">
        <is>
          <t>Aplicar: interpretar gráficas</t>
        </is>
      </c>
      <c r="S446" s="39">
        <f>IFERROR(ISNUMBER(SEARCH("Conocer",$R446))/(ISNUMBER(SEARCH("Conocer",$R446))+ISNUMBER(SEARCH("Aplicar",$R446))+ISNUMBER(SEARCH("Razonar",$R446))),0)</f>
        <v/>
      </c>
      <c r="T446" s="39">
        <f>IFERROR(ISNUMBER(SEARCH("Aplicar",$R446))/(ISNUMBER(SEARCH("Conocer",$R446))+ISNUMBER(SEARCH("Aplicar",$R446))+ISNUMBER(SEARCH("Razonar",$R446))),0)</f>
        <v/>
      </c>
      <c r="U446" s="39">
        <f>IFERROR(ISNUMBER(SEARCH("Razonar",$R446))/(ISNUMBER(SEARCH("Conocer",$R446))+ISNUMBER(SEARCH("Aplicar",$R446))+ISNUMBER(SEARCH("Razonar",$R446))),0)</f>
        <v/>
      </c>
      <c r="V446" s="11" t="inlineStr">
        <is>
          <t>8°</t>
        </is>
      </c>
      <c r="W446" s="11" t="inlineStr">
        <is>
          <t>Ciclo 5°–8°</t>
        </is>
      </c>
      <c r="X446" s="11">
        <f>IF(OR(IFERROR(INDEX('Datos - Catálogo TIMSS'!$I$5:$I$107,MATCH(K446,'Datos - Catálogo TIMSS'!$A$5:$A$107,0)),"No")="Sí",IFERROR(INDEX('Datos - Catálogo TIMSS'!$I$5:$I$107,MATCH(L446,'Datos - Catálogo TIMSS'!$A$5:$A$107,0)),"No")="Sí"),1,0)</f>
        <v/>
      </c>
      <c r="Y446" s="11">
        <f>IF(IFERROR(INDEX('Datos - Catálogo TIMSS'!$J$5:$J$107,MATCH(K446,'Datos - Catálogo TIMSS'!$A$5:$A$107,0)),"No")="Sí",1,0)</f>
        <v/>
      </c>
      <c r="Z446" s="11">
        <f>IF(IFERROR(INDEX('Datos - Catálogo TIMSS'!$J$5:$J$107,MATCH(L446,'Datos - Catálogo TIMSS'!$A$5:$A$107,0)),"No")="Sí",1,0)</f>
        <v/>
      </c>
      <c r="AA446" s="11" t="inlineStr">
        <is>
          <t>FUERA</t>
        </is>
      </c>
      <c r="AB446" s="11" t="inlineStr"/>
      <c r="AC446" s="11">
        <f>IF(AA446="FUERA","Fuera del marco",IF(AA446="N/A","Sin marco",IFERROR(INDEX('Datos - TIMSS 2023'!$C$5:$C$105,MATCH(AA446,'Datos - TIMSS 2023'!$A$5:$A$105,0)),"Pendiente de clasificar")))</f>
        <v/>
      </c>
      <c r="AD446" s="11" t="inlineStr">
        <is>
          <t>2. Construir y evaluar diseños para la indagación científica e interpretar datos y evidencia de forma crítica</t>
        </is>
      </c>
      <c r="AE446" s="11">
        <f>IF(AD446="","",IF(LEFT(AD446,1)="1","C1",IF(LEFT(AD446,1)="2","C2",IF(LEFT(AD446,1)="3","C3",""))))</f>
        <v/>
      </c>
      <c r="AF446" s="11" t="inlineStr">
        <is>
          <t>E1</t>
        </is>
      </c>
      <c r="AG446" s="11" t="inlineStr">
        <is>
          <t>D1</t>
        </is>
      </c>
      <c r="AH446" s="11" t="inlineStr">
        <is>
          <t>E2</t>
        </is>
      </c>
      <c r="AI446" s="11" t="inlineStr">
        <is>
          <t>D4</t>
        </is>
      </c>
      <c r="AJ446" s="11" t="inlineStr">
        <is>
          <t>E3</t>
        </is>
      </c>
      <c r="AK446" s="11" t="inlineStr">
        <is>
          <t>FUERA</t>
        </is>
      </c>
      <c r="AL446" s="11" t="n"/>
      <c r="AM446" s="11">
        <f>IF(AK446="FUERA","Fuera del marco",IFERROR(INDEX('Datos - Catálogo PISA'!$C$5:$C$76,MATCH(AK446,'Datos - Catálogo PISA'!$A$5:$A$76,0)),"?"))</f>
        <v/>
      </c>
      <c r="AN446" s="11" t="inlineStr">
        <is>
          <t>Procedimental</t>
        </is>
      </c>
      <c r="AO446" s="11" t="inlineStr">
        <is>
          <t>PISA-PR5;</t>
        </is>
      </c>
      <c r="AP446" s="11" t="n"/>
      <c r="AQ446" s="11" t="inlineStr">
        <is>
          <t>Sin contexto</t>
        </is>
      </c>
      <c r="AR446" s="11" t="n"/>
      <c r="AS446" s="11" t="inlineStr">
        <is>
          <t>Media</t>
        </is>
      </c>
      <c r="AT446" s="11" t="inlineStr">
        <is>
          <t>alta</t>
        </is>
      </c>
      <c r="AU446" s="11" t="inlineStr">
        <is>
          <t>Análisis gráfico general (pendiente, área); representación de datos sin contenido</t>
        </is>
      </c>
      <c r="AV446" s="11" t="inlineStr">
        <is>
          <t>Ciclo 7°–9°</t>
        </is>
      </c>
      <c r="AW446" s="11">
        <f>AF446&amp;"; "&amp;AG446&amp;"; "&amp;AH446&amp;"; "&amp;AI446&amp;"; "&amp;AJ446</f>
        <v/>
      </c>
    </row>
    <row r="447">
      <c r="A447" s="11" t="inlineStr">
        <is>
          <t>T1081-G08-CIE</t>
        </is>
      </c>
      <c r="B447" s="11" t="n">
        <v>8</v>
      </c>
      <c r="C447" s="11" t="inlineStr">
        <is>
          <t>Ciencias</t>
        </is>
      </c>
      <c r="D447" s="11" t="inlineStr">
        <is>
          <t>Matriz_Ciencias_8vo_Grado_U1_U7.xlsx</t>
        </is>
      </c>
      <c r="E447" s="11" t="inlineStr">
        <is>
          <t>Unidad 1 - Mecánica</t>
        </is>
      </c>
      <c r="F447" s="11" t="n">
        <v>6</v>
      </c>
      <c r="G447" s="11" t="inlineStr">
        <is>
          <t>1. Mecánica</t>
        </is>
      </c>
      <c r="H447" s="11" t="inlineStr">
        <is>
          <t>Vectores</t>
        </is>
      </c>
      <c r="I447" s="38" t="inlineStr">
        <is>
          <t>1.4. Medición de las componentes de un vector en un par de ejes perpendiculares.</t>
        </is>
      </c>
      <c r="J447" s="11" t="inlineStr">
        <is>
          <t>T8_27</t>
        </is>
      </c>
      <c r="K447" s="11" t="inlineStr">
        <is>
          <t>T8_27-P5.2</t>
        </is>
      </c>
      <c r="L447" s="11" t="inlineStr"/>
      <c r="M447" s="11">
        <f>IF(K447="FUERA","Fuera del marco",IF(K447="N/A","Sin marco",IFERROR(INDEX('Datos - Catálogo TIMSS'!$C$5:$C$107,MATCH(K447,'Datos - Catálogo TIMSS'!$A$5:$A$107,0)),"Pendiente de clasificar")))</f>
        <v/>
      </c>
      <c r="N447" s="11">
        <f>IF(K447="FUERA","Fuera del marco",IF(K447="N/A","Sin marco",IFERROR(INDEX('Datos - Catálogo TIMSS'!$F$5:$F$107,MATCH(K447,'Datos - Catálogo TIMSS'!$A$5:$A$107,0)),"Pendiente de clasificar")))</f>
        <v/>
      </c>
      <c r="O447" s="11">
        <f>IF(L447="","",IFERROR(INDEX('Datos - Catálogo TIMSS'!$C$5:$C$107,MATCH(L447,'Datos - Catálogo TIMSS'!$A$5:$A$107,0)),"?"))</f>
        <v/>
      </c>
      <c r="P447" s="11" t="inlineStr">
        <is>
          <t>media</t>
        </is>
      </c>
      <c r="Q447" s="38" t="inlineStr">
        <is>
          <t>Componentes vectoriales: fuerzas con magnitud y dirección</t>
        </is>
      </c>
      <c r="R447" s="38" t="inlineStr">
        <is>
          <t>Aplicar: medir y representar</t>
        </is>
      </c>
      <c r="S447" s="39">
        <f>IFERROR(ISNUMBER(SEARCH("Conocer",$R447))/(ISNUMBER(SEARCH("Conocer",$R447))+ISNUMBER(SEARCH("Aplicar",$R447))+ISNUMBER(SEARCH("Razonar",$R447))),0)</f>
        <v/>
      </c>
      <c r="T447" s="39">
        <f>IFERROR(ISNUMBER(SEARCH("Aplicar",$R447))/(ISNUMBER(SEARCH("Conocer",$R447))+ISNUMBER(SEARCH("Aplicar",$R447))+ISNUMBER(SEARCH("Razonar",$R447))),0)</f>
        <v/>
      </c>
      <c r="U447" s="39">
        <f>IFERROR(ISNUMBER(SEARCH("Razonar",$R447))/(ISNUMBER(SEARCH("Conocer",$R447))+ISNUMBER(SEARCH("Aplicar",$R447))+ISNUMBER(SEARCH("Razonar",$R447))),0)</f>
        <v/>
      </c>
      <c r="V447" s="11" t="inlineStr">
        <is>
          <t>8°</t>
        </is>
      </c>
      <c r="W447" s="11" t="inlineStr">
        <is>
          <t>Ciclo 5°–8°</t>
        </is>
      </c>
      <c r="X447" s="11">
        <f>IF(OR(IFERROR(INDEX('Datos - Catálogo TIMSS'!$I$5:$I$107,MATCH(K447,'Datos - Catálogo TIMSS'!$A$5:$A$107,0)),"No")="Sí",IFERROR(INDEX('Datos - Catálogo TIMSS'!$I$5:$I$107,MATCH(L447,'Datos - Catálogo TIMSS'!$A$5:$A$107,0)),"No")="Sí"),1,0)</f>
        <v/>
      </c>
      <c r="Y447" s="11">
        <f>IF(IFERROR(INDEX('Datos - Catálogo TIMSS'!$J$5:$J$107,MATCH(K447,'Datos - Catálogo TIMSS'!$A$5:$A$107,0)),"No")="Sí",1,0)</f>
        <v/>
      </c>
      <c r="Z447" s="11">
        <f>IF(IFERROR(INDEX('Datos - Catálogo TIMSS'!$J$5:$J$107,MATCH(L447,'Datos - Catálogo TIMSS'!$A$5:$A$107,0)),"No")="Sí",1,0)</f>
        <v/>
      </c>
      <c r="AA447" s="11" t="inlineStr">
        <is>
          <t>T8-F5.2</t>
        </is>
      </c>
      <c r="AB447" s="11" t="inlineStr"/>
      <c r="AC447" s="11">
        <f>IF(AA447="FUERA","Fuera del marco",IF(AA447="N/A","Sin marco",IFERROR(INDEX('Datos - TIMSS 2023'!$C$5:$C$105,MATCH(AA447,'Datos - TIMSS 2023'!$A$5:$A$105,0)),"Pendiente de clasificar")))</f>
        <v/>
      </c>
      <c r="AD447" s="11" t="inlineStr">
        <is>
          <t>2. Construir y evaluar diseños para la indagación científica e interpretar datos y evidencia de forma crítica</t>
        </is>
      </c>
      <c r="AE447" s="11">
        <f>IF(AD447="","",IF(LEFT(AD447,1)="1","C1",IF(LEFT(AD447,1)="2","C2",IF(LEFT(AD447,1)="3","C3",""))))</f>
        <v/>
      </c>
      <c r="AF447" s="11" t="inlineStr">
        <is>
          <t>E1</t>
        </is>
      </c>
      <c r="AG447" s="11" t="inlineStr">
        <is>
          <t>D1</t>
        </is>
      </c>
      <c r="AH447" s="11" t="inlineStr">
        <is>
          <t>E2</t>
        </is>
      </c>
      <c r="AI447" s="11" t="inlineStr">
        <is>
          <t>D4</t>
        </is>
      </c>
      <c r="AJ447" s="11" t="inlineStr">
        <is>
          <t>E1</t>
        </is>
      </c>
      <c r="AK447" s="11" t="inlineStr">
        <is>
          <t>FUERA</t>
        </is>
      </c>
      <c r="AL447" s="11" t="n"/>
      <c r="AM447" s="11">
        <f>IF(AK447="FUERA","Fuera del marco",IFERROR(INDEX('Datos - Catálogo PISA'!$C$5:$C$76,MATCH(AK447,'Datos - Catálogo PISA'!$A$5:$A$76,0)),"?"))</f>
        <v/>
      </c>
      <c r="AN447" s="11" t="inlineStr">
        <is>
          <t>Procedimental</t>
        </is>
      </c>
      <c r="AO447" s="11" t="inlineStr">
        <is>
          <t>PISA-PR2;</t>
        </is>
      </c>
      <c r="AP447" s="11" t="n"/>
      <c r="AQ447" s="11" t="inlineStr">
        <is>
          <t>Sin contexto</t>
        </is>
      </c>
      <c r="AR447" s="11" t="n"/>
      <c r="AS447" s="11" t="inlineStr">
        <is>
          <t>Baja</t>
        </is>
      </c>
      <c r="AT447" s="11" t="inlineStr">
        <is>
          <t>media</t>
        </is>
      </c>
      <c r="AU447" s="11" t="inlineStr">
        <is>
          <t>Medición de componentes vectoriales; herramienta matemática sin contenido disciplinar</t>
        </is>
      </c>
      <c r="AV447" s="11" t="inlineStr">
        <is>
          <t>Ciclo 7°–9°</t>
        </is>
      </c>
      <c r="AW447" s="11">
        <f>AF447&amp;"; "&amp;AG447&amp;"; "&amp;AH447&amp;"; "&amp;AI447&amp;"; "&amp;AJ447</f>
        <v/>
      </c>
    </row>
    <row r="448">
      <c r="A448" s="11" t="inlineStr">
        <is>
          <t>T1082-G08-CIE</t>
        </is>
      </c>
      <c r="B448" s="11" t="n">
        <v>8</v>
      </c>
      <c r="C448" s="11" t="inlineStr">
        <is>
          <t>Ciencias</t>
        </is>
      </c>
      <c r="D448" s="11" t="inlineStr">
        <is>
          <t>Matriz_Ciencias_8vo_Grado_U1_U7.xlsx</t>
        </is>
      </c>
      <c r="E448" s="11" t="inlineStr">
        <is>
          <t>Unidad 1 - Mecánica</t>
        </is>
      </c>
      <c r="F448" s="11" t="n">
        <v>7</v>
      </c>
      <c r="G448" s="11" t="inlineStr">
        <is>
          <t>1. Mecánica</t>
        </is>
      </c>
      <c r="H448" s="11" t="inlineStr">
        <is>
          <t>Vectores</t>
        </is>
      </c>
      <c r="I448" s="38" t="inlineStr">
        <is>
          <t>1.5. Adición y sustracción de vectores por el método de las componentes rectangulares.</t>
        </is>
      </c>
      <c r="J448" s="11" t="inlineStr">
        <is>
          <t>T8_27</t>
        </is>
      </c>
      <c r="K448" s="11" t="inlineStr">
        <is>
          <t>T8_27-P5.2</t>
        </is>
      </c>
      <c r="L448" s="11" t="inlineStr"/>
      <c r="M448" s="11">
        <f>IF(K448="FUERA","Fuera del marco",IF(K448="N/A","Sin marco",IFERROR(INDEX('Datos - Catálogo TIMSS'!$C$5:$C$107,MATCH(K448,'Datos - Catálogo TIMSS'!$A$5:$A$107,0)),"Pendiente de clasificar")))</f>
        <v/>
      </c>
      <c r="N448" s="11">
        <f>IF(K448="FUERA","Fuera del marco",IF(K448="N/A","Sin marco",IFERROR(INDEX('Datos - Catálogo TIMSS'!$F$5:$F$107,MATCH(K448,'Datos - Catálogo TIMSS'!$A$5:$A$107,0)),"Pendiente de clasificar")))</f>
        <v/>
      </c>
      <c r="O448" s="11">
        <f>IF(L448="","",IFERROR(INDEX('Datos - Catálogo TIMSS'!$C$5:$C$107,MATCH(L448,'Datos - Catálogo TIMSS'!$A$5:$A$107,0)),"?"))</f>
        <v/>
      </c>
      <c r="P448" s="11" t="inlineStr">
        <is>
          <t>media</t>
        </is>
      </c>
      <c r="Q448" s="38" t="inlineStr">
        <is>
          <t>Suma de vectores por componentes; fuerzas con magnitud y dirección, nivel superior</t>
        </is>
      </c>
      <c r="R448" s="38" t="inlineStr">
        <is>
          <t>Aplicar: resolver problemas</t>
        </is>
      </c>
      <c r="S448" s="39">
        <f>IFERROR(ISNUMBER(SEARCH("Conocer",$R448))/(ISNUMBER(SEARCH("Conocer",$R448))+ISNUMBER(SEARCH("Aplicar",$R448))+ISNUMBER(SEARCH("Razonar",$R448))),0)</f>
        <v/>
      </c>
      <c r="T448" s="39">
        <f>IFERROR(ISNUMBER(SEARCH("Aplicar",$R448))/(ISNUMBER(SEARCH("Conocer",$R448))+ISNUMBER(SEARCH("Aplicar",$R448))+ISNUMBER(SEARCH("Razonar",$R448))),0)</f>
        <v/>
      </c>
      <c r="U448" s="39">
        <f>IFERROR(ISNUMBER(SEARCH("Razonar",$R448))/(ISNUMBER(SEARCH("Conocer",$R448))+ISNUMBER(SEARCH("Aplicar",$R448))+ISNUMBER(SEARCH("Razonar",$R448))),0)</f>
        <v/>
      </c>
      <c r="V448" s="11" t="inlineStr">
        <is>
          <t>8°</t>
        </is>
      </c>
      <c r="W448" s="11" t="inlineStr">
        <is>
          <t>Ciclo 5°–8°</t>
        </is>
      </c>
      <c r="X448" s="11">
        <f>IF(OR(IFERROR(INDEX('Datos - Catálogo TIMSS'!$I$5:$I$107,MATCH(K448,'Datos - Catálogo TIMSS'!$A$5:$A$107,0)),"No")="Sí",IFERROR(INDEX('Datos - Catálogo TIMSS'!$I$5:$I$107,MATCH(L448,'Datos - Catálogo TIMSS'!$A$5:$A$107,0)),"No")="Sí"),1,0)</f>
        <v/>
      </c>
      <c r="Y448" s="11">
        <f>IF(IFERROR(INDEX('Datos - Catálogo TIMSS'!$J$5:$J$107,MATCH(K448,'Datos - Catálogo TIMSS'!$A$5:$A$107,0)),"No")="Sí",1,0)</f>
        <v/>
      </c>
      <c r="Z448" s="11">
        <f>IF(IFERROR(INDEX('Datos - Catálogo TIMSS'!$J$5:$J$107,MATCH(L448,'Datos - Catálogo TIMSS'!$A$5:$A$107,0)),"No")="Sí",1,0)</f>
        <v/>
      </c>
      <c r="AA448" s="11" t="inlineStr">
        <is>
          <t>T8-F5.2</t>
        </is>
      </c>
      <c r="AB448" s="11" t="inlineStr"/>
      <c r="AC448" s="11">
        <f>IF(AA448="FUERA","Fuera del marco",IF(AA448="N/A","Sin marco",IFERROR(INDEX('Datos - TIMSS 2023'!$C$5:$C$105,MATCH(AA448,'Datos - TIMSS 2023'!$A$5:$A$105,0)),"Pendiente de clasificar")))</f>
        <v/>
      </c>
      <c r="AD448" s="11" t="inlineStr">
        <is>
          <t>2. Construir y evaluar diseños para la indagación científica e interpretar datos y evidencia de forma crítica</t>
        </is>
      </c>
      <c r="AE448" s="11">
        <f>IF(AD448="","",IF(LEFT(AD448,1)="1","C1",IF(LEFT(AD448,1)="2","C2",IF(LEFT(AD448,1)="3","C3",""))))</f>
        <v/>
      </c>
      <c r="AF448" s="11" t="inlineStr">
        <is>
          <t>E1</t>
        </is>
      </c>
      <c r="AG448" s="11" t="inlineStr">
        <is>
          <t>D1</t>
        </is>
      </c>
      <c r="AH448" s="11" t="inlineStr">
        <is>
          <t>E2</t>
        </is>
      </c>
      <c r="AI448" s="11" t="inlineStr">
        <is>
          <t>D4</t>
        </is>
      </c>
      <c r="AJ448" s="11" t="inlineStr">
        <is>
          <t>E3</t>
        </is>
      </c>
      <c r="AK448" s="11" t="inlineStr">
        <is>
          <t>FUERA</t>
        </is>
      </c>
      <c r="AL448" s="11" t="n"/>
      <c r="AM448" s="11">
        <f>IF(AK448="FUERA","Fuera del marco",IFERROR(INDEX('Datos - Catálogo PISA'!$C$5:$C$76,MATCH(AK448,'Datos - Catálogo PISA'!$A$5:$A$76,0)),"?"))</f>
        <v/>
      </c>
      <c r="AN448" s="11" t="inlineStr">
        <is>
          <t>Contenido</t>
        </is>
      </c>
      <c r="AO448" s="11" t="n"/>
      <c r="AP448" s="11" t="n"/>
      <c r="AQ448" s="11" t="inlineStr">
        <is>
          <t>Sin contexto</t>
        </is>
      </c>
      <c r="AR448" s="11" t="n"/>
      <c r="AS448" s="11" t="inlineStr">
        <is>
          <t>Media</t>
        </is>
      </c>
      <c r="AT448" s="11" t="inlineStr">
        <is>
          <t>media</t>
        </is>
      </c>
      <c r="AU448" s="11" t="inlineStr">
        <is>
          <t>Suma de vectores por componentes; herramienta matemática, no contenido PISA</t>
        </is>
      </c>
      <c r="AV448" s="11" t="inlineStr">
        <is>
          <t>Ciclo 7°–9°</t>
        </is>
      </c>
      <c r="AW448" s="11">
        <f>AF448&amp;"; "&amp;AG448&amp;"; "&amp;AH448&amp;"; "&amp;AI448&amp;"; "&amp;AJ448</f>
        <v/>
      </c>
    </row>
    <row r="449">
      <c r="A449" s="11" t="inlineStr">
        <is>
          <t>T1083-G08-CIE</t>
        </is>
      </c>
      <c r="B449" s="11" t="n">
        <v>8</v>
      </c>
      <c r="C449" s="11" t="inlineStr">
        <is>
          <t>Ciencias</t>
        </is>
      </c>
      <c r="D449" s="11" t="inlineStr">
        <is>
          <t>Matriz_Ciencias_8vo_Grado_U1_U7.xlsx</t>
        </is>
      </c>
      <c r="E449" s="11" t="inlineStr">
        <is>
          <t>Unidad 1 - Mecánica</t>
        </is>
      </c>
      <c r="F449" s="11" t="n">
        <v>8</v>
      </c>
      <c r="G449" s="11" t="inlineStr">
        <is>
          <t>1. Mecánica</t>
        </is>
      </c>
      <c r="H449" s="11" t="inlineStr">
        <is>
          <t>Vectores</t>
        </is>
      </c>
      <c r="I449" s="38" t="inlineStr">
        <is>
          <t>1.6. Aplicación de la técnica de diagrama de cuerpo libre a partir de la identificación experimental de fuerzas que actúan sobre un objeto.</t>
        </is>
      </c>
      <c r="J449" s="11" t="inlineStr">
        <is>
          <t>T8_27</t>
        </is>
      </c>
      <c r="K449" s="11" t="inlineStr">
        <is>
          <t>T8_27-P5.2</t>
        </is>
      </c>
      <c r="L449" s="11" t="inlineStr"/>
      <c r="M449" s="11">
        <f>IF(K449="FUERA","Fuera del marco",IF(K449="N/A","Sin marco",IFERROR(INDEX('Datos - Catálogo TIMSS'!$C$5:$C$107,MATCH(K449,'Datos - Catálogo TIMSS'!$A$5:$A$107,0)),"Pendiente de clasificar")))</f>
        <v/>
      </c>
      <c r="N449" s="11">
        <f>IF(K449="FUERA","Fuera del marco",IF(K449="N/A","Sin marco",IFERROR(INDEX('Datos - Catálogo TIMSS'!$F$5:$F$107,MATCH(K449,'Datos - Catálogo TIMSS'!$A$5:$A$107,0)),"Pendiente de clasificar")))</f>
        <v/>
      </c>
      <c r="O449" s="11">
        <f>IF(L449="","",IFERROR(INDEX('Datos - Catálogo TIMSS'!$C$5:$C$107,MATCH(L449,'Datos - Catálogo TIMSS'!$A$5:$A$107,0)),"?"))</f>
        <v/>
      </c>
      <c r="P449" s="11" t="inlineStr">
        <is>
          <t>alta</t>
        </is>
      </c>
      <c r="Q449" s="38" t="inlineStr">
        <is>
          <t>Diagrama de cuerpo libre: identificar fuerzas que actúan sobre un objeto</t>
        </is>
      </c>
      <c r="R449" s="38" t="inlineStr">
        <is>
          <t>Aplicar: representar</t>
        </is>
      </c>
      <c r="S449" s="39">
        <f>IFERROR(ISNUMBER(SEARCH("Conocer",$R449))/(ISNUMBER(SEARCH("Conocer",$R449))+ISNUMBER(SEARCH("Aplicar",$R449))+ISNUMBER(SEARCH("Razonar",$R449))),0)</f>
        <v/>
      </c>
      <c r="T449" s="39">
        <f>IFERROR(ISNUMBER(SEARCH("Aplicar",$R449))/(ISNUMBER(SEARCH("Conocer",$R449))+ISNUMBER(SEARCH("Aplicar",$R449))+ISNUMBER(SEARCH("Razonar",$R449))),0)</f>
        <v/>
      </c>
      <c r="U449" s="39">
        <f>IFERROR(ISNUMBER(SEARCH("Razonar",$R449))/(ISNUMBER(SEARCH("Conocer",$R449))+ISNUMBER(SEARCH("Aplicar",$R449))+ISNUMBER(SEARCH("Razonar",$R449))),0)</f>
        <v/>
      </c>
      <c r="V449" s="11" t="inlineStr">
        <is>
          <t>8°</t>
        </is>
      </c>
      <c r="W449" s="11" t="inlineStr">
        <is>
          <t>Ciclo 5°–8°</t>
        </is>
      </c>
      <c r="X449" s="11">
        <f>IF(OR(IFERROR(INDEX('Datos - Catálogo TIMSS'!$I$5:$I$107,MATCH(K449,'Datos - Catálogo TIMSS'!$A$5:$A$107,0)),"No")="Sí",IFERROR(INDEX('Datos - Catálogo TIMSS'!$I$5:$I$107,MATCH(L449,'Datos - Catálogo TIMSS'!$A$5:$A$107,0)),"No")="Sí"),1,0)</f>
        <v/>
      </c>
      <c r="Y449" s="11">
        <f>IF(IFERROR(INDEX('Datos - Catálogo TIMSS'!$J$5:$J$107,MATCH(K449,'Datos - Catálogo TIMSS'!$A$5:$A$107,0)),"No")="Sí",1,0)</f>
        <v/>
      </c>
      <c r="Z449" s="11">
        <f>IF(IFERROR(INDEX('Datos - Catálogo TIMSS'!$J$5:$J$107,MATCH(L449,'Datos - Catálogo TIMSS'!$A$5:$A$107,0)),"No")="Sí",1,0)</f>
        <v/>
      </c>
      <c r="AA449" s="11" t="inlineStr">
        <is>
          <t>T8-F5.2</t>
        </is>
      </c>
      <c r="AB449" s="11" t="inlineStr"/>
      <c r="AC449" s="11">
        <f>IF(AA449="FUERA","Fuera del marco",IF(AA449="N/A","Sin marco",IFERROR(INDEX('Datos - TIMSS 2023'!$C$5:$C$105,MATCH(AA449,'Datos - TIMSS 2023'!$A$5:$A$105,0)),"Pendiente de clasificar")))</f>
        <v/>
      </c>
      <c r="AD449" s="11" t="inlineStr">
        <is>
          <t>2. Construir y evaluar diseños para la indagación científica e interpretar datos y evidencia de forma crítica</t>
        </is>
      </c>
      <c r="AE449" s="11">
        <f>IF(AD449="","",IF(LEFT(AD449,1)="1","C1",IF(LEFT(AD449,1)="2","C2",IF(LEFT(AD449,1)="3","C3",""))))</f>
        <v/>
      </c>
      <c r="AF449" s="11" t="inlineStr">
        <is>
          <t>E1</t>
        </is>
      </c>
      <c r="AG449" s="11" t="inlineStr">
        <is>
          <t>D1</t>
        </is>
      </c>
      <c r="AH449" s="11" t="inlineStr">
        <is>
          <t>E2</t>
        </is>
      </c>
      <c r="AI449" s="11" t="inlineStr">
        <is>
          <t>D4</t>
        </is>
      </c>
      <c r="AJ449" s="11" t="inlineStr">
        <is>
          <t>E3</t>
        </is>
      </c>
      <c r="AK449" s="11" t="inlineStr">
        <is>
          <t>PISA-F3</t>
        </is>
      </c>
      <c r="AL449" s="11" t="n"/>
      <c r="AM449" s="11">
        <f>IF(AK449="FUERA","Fuera del marco",IFERROR(INDEX('Datos - Catálogo PISA'!$C$5:$C$76,MATCH(AK449,'Datos - Catálogo PISA'!$A$5:$A$76,0)),"?"))</f>
        <v/>
      </c>
      <c r="AN449" s="11" t="inlineStr">
        <is>
          <t>Contenido</t>
        </is>
      </c>
      <c r="AO449" s="11" t="inlineStr">
        <is>
          <t>PISA-PR5;</t>
        </is>
      </c>
      <c r="AP449" s="11" t="inlineStr">
        <is>
          <t>PISA-EP4;</t>
        </is>
      </c>
      <c r="AQ449" s="11" t="inlineStr">
        <is>
          <t>Sin contexto</t>
        </is>
      </c>
      <c r="AR449" s="11" t="n"/>
      <c r="AS449" s="11" t="inlineStr">
        <is>
          <t>Media</t>
        </is>
      </c>
      <c r="AT449" s="11" t="inlineStr">
        <is>
          <t>alta</t>
        </is>
      </c>
      <c r="AU449" s="11" t="inlineStr">
        <is>
          <t>Identificación de fuerzas sobre un objeto y diagrama de cuerpo libre</t>
        </is>
      </c>
      <c r="AV449" s="11" t="inlineStr">
        <is>
          <t>Ciclo 7°–9°</t>
        </is>
      </c>
      <c r="AW449" s="11">
        <f>AF449&amp;"; "&amp;AG449&amp;"; "&amp;AH449&amp;"; "&amp;AI449&amp;"; "&amp;AJ449</f>
        <v/>
      </c>
    </row>
    <row r="450">
      <c r="A450" s="11" t="inlineStr">
        <is>
          <t>T1084-G08-CIE</t>
        </is>
      </c>
      <c r="B450" s="11" t="n">
        <v>8</v>
      </c>
      <c r="C450" s="11" t="inlineStr">
        <is>
          <t>Ciencias</t>
        </is>
      </c>
      <c r="D450" s="11" t="inlineStr">
        <is>
          <t>Matriz_Ciencias_8vo_Grado_U1_U7.xlsx</t>
        </is>
      </c>
      <c r="E450" s="11" t="inlineStr">
        <is>
          <t>Unidad 1 - Mecánica</t>
        </is>
      </c>
      <c r="F450" s="11" t="n">
        <v>9</v>
      </c>
      <c r="G450" s="11" t="inlineStr">
        <is>
          <t>1. Mecánica</t>
        </is>
      </c>
      <c r="H450" s="11" t="inlineStr">
        <is>
          <t>Movimiento en una y dos dimensiones</t>
        </is>
      </c>
      <c r="I450" s="38" t="inlineStr">
        <is>
          <t>1.7. Resolución de problemas empleando las leyes del movimiento de Newton.</t>
        </is>
      </c>
      <c r="J450" s="11" t="inlineStr">
        <is>
          <t>T8_27</t>
        </is>
      </c>
      <c r="K450" s="11" t="inlineStr">
        <is>
          <t>T8_27-P5.3</t>
        </is>
      </c>
      <c r="L450" s="11" t="inlineStr">
        <is>
          <t>T8_27-P5.2</t>
        </is>
      </c>
      <c r="M450" s="11">
        <f>IF(K450="FUERA","Fuera del marco",IF(K450="N/A","Sin marco",IFERROR(INDEX('Datos - Catálogo TIMSS'!$C$5:$C$107,MATCH(K450,'Datos - Catálogo TIMSS'!$A$5:$A$107,0)),"Pendiente de clasificar")))</f>
        <v/>
      </c>
      <c r="N450" s="11">
        <f>IF(K450="FUERA","Fuera del marco",IF(K450="N/A","Sin marco",IFERROR(INDEX('Datos - Catálogo TIMSS'!$F$5:$F$107,MATCH(K450,'Datos - Catálogo TIMSS'!$A$5:$A$107,0)),"Pendiente de clasificar")))</f>
        <v/>
      </c>
      <c r="O450" s="11">
        <f>IF(L450="","",IFERROR(INDEX('Datos - Catálogo TIMSS'!$C$5:$C$107,MATCH(L450,'Datos - Catálogo TIMSS'!$A$5:$A$107,0)),"?"))</f>
        <v/>
      </c>
      <c r="P450" s="11" t="inlineStr">
        <is>
          <t>alta</t>
        </is>
      </c>
      <c r="Q450" s="38" t="inlineStr">
        <is>
          <t>Leyes de Newton: efecto de fuerzas sobre el movimiento; acción y reacción</t>
        </is>
      </c>
      <c r="R450" s="38" t="inlineStr">
        <is>
          <t>Aplicar: resolver problemas</t>
        </is>
      </c>
      <c r="S450" s="39">
        <f>IFERROR(ISNUMBER(SEARCH("Conocer",$R450))/(ISNUMBER(SEARCH("Conocer",$R450))+ISNUMBER(SEARCH("Aplicar",$R450))+ISNUMBER(SEARCH("Razonar",$R450))),0)</f>
        <v/>
      </c>
      <c r="T450" s="39">
        <f>IFERROR(ISNUMBER(SEARCH("Aplicar",$R450))/(ISNUMBER(SEARCH("Conocer",$R450))+ISNUMBER(SEARCH("Aplicar",$R450))+ISNUMBER(SEARCH("Razonar",$R450))),0)</f>
        <v/>
      </c>
      <c r="U450" s="39">
        <f>IFERROR(ISNUMBER(SEARCH("Razonar",$R450))/(ISNUMBER(SEARCH("Conocer",$R450))+ISNUMBER(SEARCH("Aplicar",$R450))+ISNUMBER(SEARCH("Razonar",$R450))),0)</f>
        <v/>
      </c>
      <c r="V450" s="11" t="inlineStr">
        <is>
          <t>8°</t>
        </is>
      </c>
      <c r="W450" s="11" t="inlineStr">
        <is>
          <t>Ciclo 5°–8°</t>
        </is>
      </c>
      <c r="X450" s="11">
        <f>IF(OR(IFERROR(INDEX('Datos - Catálogo TIMSS'!$I$5:$I$107,MATCH(K450,'Datos - Catálogo TIMSS'!$A$5:$A$107,0)),"No")="Sí",IFERROR(INDEX('Datos - Catálogo TIMSS'!$I$5:$I$107,MATCH(L450,'Datos - Catálogo TIMSS'!$A$5:$A$107,0)),"No")="Sí"),1,0)</f>
        <v/>
      </c>
      <c r="Y450" s="11">
        <f>IF(IFERROR(INDEX('Datos - Catálogo TIMSS'!$J$5:$J$107,MATCH(K450,'Datos - Catálogo TIMSS'!$A$5:$A$107,0)),"No")="Sí",1,0)</f>
        <v/>
      </c>
      <c r="Z450" s="11">
        <f>IF(IFERROR(INDEX('Datos - Catálogo TIMSS'!$J$5:$J$107,MATCH(L450,'Datos - Catálogo TIMSS'!$A$5:$A$107,0)),"No")="Sí",1,0)</f>
        <v/>
      </c>
      <c r="AA450" s="11" t="inlineStr">
        <is>
          <t>T8-F5.3</t>
        </is>
      </c>
      <c r="AB450" s="11" t="inlineStr">
        <is>
          <t>T8-F5.2</t>
        </is>
      </c>
      <c r="AC450" s="11">
        <f>IF(AA450="FUERA","Fuera del marco",IF(AA450="N/A","Sin marco",IFERROR(INDEX('Datos - TIMSS 2023'!$C$5:$C$105,MATCH(AA450,'Datos - TIMSS 2023'!$A$5:$A$105,0)),"Pendiente de clasificar")))</f>
        <v/>
      </c>
      <c r="AD450" s="11" t="inlineStr">
        <is>
          <t>2. Construir y evaluar diseños para la indagación científica e interpretar datos y evidencia de forma crítica</t>
        </is>
      </c>
      <c r="AE450" s="11">
        <f>IF(AD450="","",IF(LEFT(AD450,1)="1","C1",IF(LEFT(AD450,1)="2","C2",IF(LEFT(AD450,1)="3","C3",""))))</f>
        <v/>
      </c>
      <c r="AF450" s="11" t="inlineStr">
        <is>
          <t>E1</t>
        </is>
      </c>
      <c r="AG450" s="11" t="inlineStr">
        <is>
          <t>D1</t>
        </is>
      </c>
      <c r="AH450" s="11" t="inlineStr">
        <is>
          <t>E1</t>
        </is>
      </c>
      <c r="AI450" s="11" t="inlineStr">
        <is>
          <t>D4</t>
        </is>
      </c>
      <c r="AJ450" s="11" t="inlineStr">
        <is>
          <t>E3</t>
        </is>
      </c>
      <c r="AK450" s="11" t="inlineStr">
        <is>
          <t>PISA-F3</t>
        </is>
      </c>
      <c r="AL450" s="11" t="n"/>
      <c r="AM450" s="11">
        <f>IF(AK450="FUERA","Fuera del marco",IFERROR(INDEX('Datos - Catálogo PISA'!$C$5:$C$76,MATCH(AK450,'Datos - Catálogo PISA'!$A$5:$A$76,0)),"?"))</f>
        <v/>
      </c>
      <c r="AN450" s="11" t="inlineStr">
        <is>
          <t>Contenido</t>
        </is>
      </c>
      <c r="AO450" s="11" t="n"/>
      <c r="AP450" s="11" t="n"/>
      <c r="AQ450" s="11" t="inlineStr">
        <is>
          <t>Sin contexto</t>
        </is>
      </c>
      <c r="AR450" s="11" t="n"/>
      <c r="AS450" s="11" t="inlineStr">
        <is>
          <t>Media</t>
        </is>
      </c>
      <c r="AT450" s="11" t="inlineStr">
        <is>
          <t>alta</t>
        </is>
      </c>
      <c r="AU450" s="11" t="inlineStr">
        <is>
          <t>Problemas con leyes de Newton: fuerzas y movimiento</t>
        </is>
      </c>
      <c r="AV450" s="11" t="inlineStr">
        <is>
          <t>Ciclo 7°–9°</t>
        </is>
      </c>
      <c r="AW450" s="11">
        <f>AF450&amp;"; "&amp;AG450&amp;"; "&amp;AH450&amp;"; "&amp;AI450&amp;"; "&amp;AJ450</f>
        <v/>
      </c>
    </row>
    <row r="451">
      <c r="A451" s="11" t="inlineStr">
        <is>
          <t>T1085-G08-CIE</t>
        </is>
      </c>
      <c r="B451" s="11" t="n">
        <v>8</v>
      </c>
      <c r="C451" s="11" t="inlineStr">
        <is>
          <t>Ciencias</t>
        </is>
      </c>
      <c r="D451" s="11" t="inlineStr">
        <is>
          <t>Matriz_Ciencias_8vo_Grado_U1_U7.xlsx</t>
        </is>
      </c>
      <c r="E451" s="11" t="inlineStr">
        <is>
          <t>Unidad 1 - Mecánica</t>
        </is>
      </c>
      <c r="F451" s="11" t="n">
        <v>10</v>
      </c>
      <c r="G451" s="11" t="inlineStr">
        <is>
          <t>1. Mecánica</t>
        </is>
      </c>
      <c r="H451" s="11" t="inlineStr">
        <is>
          <t>Movimiento en una y dos dimensiones</t>
        </is>
      </c>
      <c r="I451" s="38" t="inlineStr">
        <is>
          <t>1.8. Resolución de problemas acerca del movimiento rectilíneo emplendo interpretación de gráficas.</t>
        </is>
      </c>
      <c r="J451" s="11" t="inlineStr">
        <is>
          <t>T8_27</t>
        </is>
      </c>
      <c r="K451" s="11" t="inlineStr">
        <is>
          <t>T8_27-P5.1</t>
        </is>
      </c>
      <c r="L451" s="11" t="inlineStr"/>
      <c r="M451" s="11">
        <f>IF(K451="FUERA","Fuera del marco",IF(K451="N/A","Sin marco",IFERROR(INDEX('Datos - Catálogo TIMSS'!$C$5:$C$107,MATCH(K451,'Datos - Catálogo TIMSS'!$A$5:$A$107,0)),"Pendiente de clasificar")))</f>
        <v/>
      </c>
      <c r="N451" s="11">
        <f>IF(K451="FUERA","Fuera del marco",IF(K451="N/A","Sin marco",IFERROR(INDEX('Datos - Catálogo TIMSS'!$F$5:$F$107,MATCH(K451,'Datos - Catálogo TIMSS'!$A$5:$A$107,0)),"Pendiente de clasificar")))</f>
        <v/>
      </c>
      <c r="O451" s="11">
        <f>IF(L451="","",IFERROR(INDEX('Datos - Catálogo TIMSS'!$C$5:$C$107,MATCH(L451,'Datos - Catálogo TIMSS'!$A$5:$A$107,0)),"?"))</f>
        <v/>
      </c>
      <c r="P451" s="11" t="inlineStr">
        <is>
          <t>alta</t>
        </is>
      </c>
      <c r="Q451" s="38" t="inlineStr">
        <is>
          <t>MRU y MRUV con gráficas: rapidez y aceleración</t>
        </is>
      </c>
      <c r="R451" s="38" t="inlineStr">
        <is>
          <t>Aplicar: interpretar gráficas y resolver</t>
        </is>
      </c>
      <c r="S451" s="39">
        <f>IFERROR(ISNUMBER(SEARCH("Conocer",$R451))/(ISNUMBER(SEARCH("Conocer",$R451))+ISNUMBER(SEARCH("Aplicar",$R451))+ISNUMBER(SEARCH("Razonar",$R451))),0)</f>
        <v/>
      </c>
      <c r="T451" s="39">
        <f>IFERROR(ISNUMBER(SEARCH("Aplicar",$R451))/(ISNUMBER(SEARCH("Conocer",$R451))+ISNUMBER(SEARCH("Aplicar",$R451))+ISNUMBER(SEARCH("Razonar",$R451))),0)</f>
        <v/>
      </c>
      <c r="U451" s="39">
        <f>IFERROR(ISNUMBER(SEARCH("Razonar",$R451))/(ISNUMBER(SEARCH("Conocer",$R451))+ISNUMBER(SEARCH("Aplicar",$R451))+ISNUMBER(SEARCH("Razonar",$R451))),0)</f>
        <v/>
      </c>
      <c r="V451" s="11" t="inlineStr">
        <is>
          <t>8°</t>
        </is>
      </c>
      <c r="W451" s="11" t="inlineStr">
        <is>
          <t>Ciclo 5°–8°</t>
        </is>
      </c>
      <c r="X451" s="11">
        <f>IF(OR(IFERROR(INDEX('Datos - Catálogo TIMSS'!$I$5:$I$107,MATCH(K451,'Datos - Catálogo TIMSS'!$A$5:$A$107,0)),"No")="Sí",IFERROR(INDEX('Datos - Catálogo TIMSS'!$I$5:$I$107,MATCH(L451,'Datos - Catálogo TIMSS'!$A$5:$A$107,0)),"No")="Sí"),1,0)</f>
        <v/>
      </c>
      <c r="Y451" s="11">
        <f>IF(IFERROR(INDEX('Datos - Catálogo TIMSS'!$J$5:$J$107,MATCH(K451,'Datos - Catálogo TIMSS'!$A$5:$A$107,0)),"No")="Sí",1,0)</f>
        <v/>
      </c>
      <c r="Z451" s="11">
        <f>IF(IFERROR(INDEX('Datos - Catálogo TIMSS'!$J$5:$J$107,MATCH(L451,'Datos - Catálogo TIMSS'!$A$5:$A$107,0)),"No")="Sí",1,0)</f>
        <v/>
      </c>
      <c r="AA451" s="11" t="inlineStr">
        <is>
          <t>T8-F5.1</t>
        </is>
      </c>
      <c r="AB451" s="11" t="inlineStr"/>
      <c r="AC451" s="11">
        <f>IF(AA451="FUERA","Fuera del marco",IF(AA451="N/A","Sin marco",IFERROR(INDEX('Datos - TIMSS 2023'!$C$5:$C$105,MATCH(AA451,'Datos - TIMSS 2023'!$A$5:$A$105,0)),"Pendiente de clasificar")))</f>
        <v/>
      </c>
      <c r="AD451" s="11" t="inlineStr">
        <is>
          <t>2. Construir y evaluar diseños para la indagación científica e interpretar datos y evidencia de forma crítica</t>
        </is>
      </c>
      <c r="AE451" s="11">
        <f>IF(AD451="","",IF(LEFT(AD451,1)="1","C1",IF(LEFT(AD451,1)="2","C2",IF(LEFT(AD451,1)="3","C3",""))))</f>
        <v/>
      </c>
      <c r="AF451" s="11" t="inlineStr">
        <is>
          <t>E1</t>
        </is>
      </c>
      <c r="AG451" s="11" t="inlineStr">
        <is>
          <t>D1</t>
        </is>
      </c>
      <c r="AH451" s="11" t="inlineStr">
        <is>
          <t>E2</t>
        </is>
      </c>
      <c r="AI451" s="11" t="inlineStr">
        <is>
          <t>D4</t>
        </is>
      </c>
      <c r="AJ451" s="11" t="inlineStr">
        <is>
          <t>E3</t>
        </is>
      </c>
      <c r="AK451" s="11" t="inlineStr">
        <is>
          <t>PISA-F3</t>
        </is>
      </c>
      <c r="AL451" s="11" t="n"/>
      <c r="AM451" s="11">
        <f>IF(AK451="FUERA","Fuera del marco",IFERROR(INDEX('Datos - Catálogo PISA'!$C$5:$C$76,MATCH(AK451,'Datos - Catálogo PISA'!$A$5:$A$76,0)),"?"))</f>
        <v/>
      </c>
      <c r="AN451" s="11" t="inlineStr">
        <is>
          <t>Contenido</t>
        </is>
      </c>
      <c r="AO451" s="11" t="inlineStr">
        <is>
          <t>PISA-PR5;</t>
        </is>
      </c>
      <c r="AP451" s="11" t="n"/>
      <c r="AQ451" s="11" t="inlineStr">
        <is>
          <t>Sin contexto</t>
        </is>
      </c>
      <c r="AR451" s="11" t="n"/>
      <c r="AS451" s="11" t="inlineStr">
        <is>
          <t>Media</t>
        </is>
      </c>
      <c r="AT451" s="11" t="inlineStr">
        <is>
          <t>alta</t>
        </is>
      </c>
      <c r="AU451" s="11" t="inlineStr">
        <is>
          <t>Movimiento rectilíneo interpretado con gráficas</t>
        </is>
      </c>
      <c r="AV451" s="11" t="inlineStr">
        <is>
          <t>Ciclo 7°–9°</t>
        </is>
      </c>
      <c r="AW451" s="11">
        <f>AF451&amp;"; "&amp;AG451&amp;"; "&amp;AH451&amp;"; "&amp;AI451&amp;"; "&amp;AJ451</f>
        <v/>
      </c>
    </row>
    <row r="452">
      <c r="A452" s="11" t="inlineStr">
        <is>
          <t>T1086-G08-CIE</t>
        </is>
      </c>
      <c r="B452" s="11" t="n">
        <v>8</v>
      </c>
      <c r="C452" s="11" t="inlineStr">
        <is>
          <t>Ciencias</t>
        </is>
      </c>
      <c r="D452" s="11" t="inlineStr">
        <is>
          <t>Matriz_Ciencias_8vo_Grado_U1_U7.xlsx</t>
        </is>
      </c>
      <c r="E452" s="11" t="inlineStr">
        <is>
          <t>Unidad 1 - Mecánica</t>
        </is>
      </c>
      <c r="F452" s="11" t="n">
        <v>11</v>
      </c>
      <c r="G452" s="11" t="inlineStr">
        <is>
          <t>1. Mecánica</t>
        </is>
      </c>
      <c r="H452" s="11" t="inlineStr">
        <is>
          <t>Movimiento en una y dos dimensiones</t>
        </is>
      </c>
      <c r="I452" s="38" t="inlineStr">
        <is>
          <t>1.9. Resolución de problemas acerca del movimiento parabólico emplendo interpretación de gráficas.</t>
        </is>
      </c>
      <c r="J452" s="11" t="inlineStr">
        <is>
          <t>T8_27</t>
        </is>
      </c>
      <c r="K452" s="11" t="inlineStr">
        <is>
          <t>T8_27-P5.1</t>
        </is>
      </c>
      <c r="L452" s="11" t="inlineStr"/>
      <c r="M452" s="11">
        <f>IF(K452="FUERA","Fuera del marco",IF(K452="N/A","Sin marco",IFERROR(INDEX('Datos - Catálogo TIMSS'!$C$5:$C$107,MATCH(K452,'Datos - Catálogo TIMSS'!$A$5:$A$107,0)),"Pendiente de clasificar")))</f>
        <v/>
      </c>
      <c r="N452" s="11">
        <f>IF(K452="FUERA","Fuera del marco",IF(K452="N/A","Sin marco",IFERROR(INDEX('Datos - Catálogo TIMSS'!$F$5:$F$107,MATCH(K452,'Datos - Catálogo TIMSS'!$A$5:$A$107,0)),"Pendiente de clasificar")))</f>
        <v/>
      </c>
      <c r="O452" s="11">
        <f>IF(L452="","",IFERROR(INDEX('Datos - Catálogo TIMSS'!$C$5:$C$107,MATCH(L452,'Datos - Catálogo TIMSS'!$A$5:$A$107,0)),"?"))</f>
        <v/>
      </c>
      <c r="P452" s="11" t="inlineStr">
        <is>
          <t>media</t>
        </is>
      </c>
      <c r="Q452" s="38" t="inlineStr">
        <is>
          <t>Movimiento parabólico: cambio de posición y rapidez, nivel superior a TIMSS</t>
        </is>
      </c>
      <c r="R452" s="38" t="inlineStr">
        <is>
          <t>Razonar: predecir y comprobar</t>
        </is>
      </c>
      <c r="S452" s="39">
        <f>IFERROR(ISNUMBER(SEARCH("Conocer",$R452))/(ISNUMBER(SEARCH("Conocer",$R452))+ISNUMBER(SEARCH("Aplicar",$R452))+ISNUMBER(SEARCH("Razonar",$R452))),0)</f>
        <v/>
      </c>
      <c r="T452" s="39">
        <f>IFERROR(ISNUMBER(SEARCH("Aplicar",$R452))/(ISNUMBER(SEARCH("Conocer",$R452))+ISNUMBER(SEARCH("Aplicar",$R452))+ISNUMBER(SEARCH("Razonar",$R452))),0)</f>
        <v/>
      </c>
      <c r="U452" s="39">
        <f>IFERROR(ISNUMBER(SEARCH("Razonar",$R452))/(ISNUMBER(SEARCH("Conocer",$R452))+ISNUMBER(SEARCH("Aplicar",$R452))+ISNUMBER(SEARCH("Razonar",$R452))),0)</f>
        <v/>
      </c>
      <c r="V452" s="11" t="inlineStr">
        <is>
          <t>8°</t>
        </is>
      </c>
      <c r="W452" s="11" t="inlineStr">
        <is>
          <t>Ciclo 5°–8°</t>
        </is>
      </c>
      <c r="X452" s="11">
        <f>IF(OR(IFERROR(INDEX('Datos - Catálogo TIMSS'!$I$5:$I$107,MATCH(K452,'Datos - Catálogo TIMSS'!$A$5:$A$107,0)),"No")="Sí",IFERROR(INDEX('Datos - Catálogo TIMSS'!$I$5:$I$107,MATCH(L452,'Datos - Catálogo TIMSS'!$A$5:$A$107,0)),"No")="Sí"),1,0)</f>
        <v/>
      </c>
      <c r="Y452" s="11">
        <f>IF(IFERROR(INDEX('Datos - Catálogo TIMSS'!$J$5:$J$107,MATCH(K452,'Datos - Catálogo TIMSS'!$A$5:$A$107,0)),"No")="Sí",1,0)</f>
        <v/>
      </c>
      <c r="Z452" s="11">
        <f>IF(IFERROR(INDEX('Datos - Catálogo TIMSS'!$J$5:$J$107,MATCH(L452,'Datos - Catálogo TIMSS'!$A$5:$A$107,0)),"No")="Sí",1,0)</f>
        <v/>
      </c>
      <c r="AA452" s="11" t="inlineStr">
        <is>
          <t>T8-F5.1</t>
        </is>
      </c>
      <c r="AB452" s="11" t="inlineStr"/>
      <c r="AC452" s="11">
        <f>IF(AA452="FUERA","Fuera del marco",IF(AA452="N/A","Sin marco",IFERROR(INDEX('Datos - TIMSS 2023'!$C$5:$C$105,MATCH(AA452,'Datos - TIMSS 2023'!$A$5:$A$105,0)),"Pendiente de clasificar")))</f>
        <v/>
      </c>
      <c r="AD452" s="11" t="inlineStr">
        <is>
          <t>2. Construir y evaluar diseños para la indagación científica e interpretar datos y evidencia de forma crítica</t>
        </is>
      </c>
      <c r="AE452" s="11">
        <f>IF(AD452="","",IF(LEFT(AD452,1)="1","C1",IF(LEFT(AD452,1)="2","C2",IF(LEFT(AD452,1)="3","C3",""))))</f>
        <v/>
      </c>
      <c r="AF452" s="11" t="inlineStr">
        <is>
          <t>E1</t>
        </is>
      </c>
      <c r="AG452" s="11" t="inlineStr">
        <is>
          <t>E3</t>
        </is>
      </c>
      <c r="AH452" s="11" t="inlineStr">
        <is>
          <t>E2</t>
        </is>
      </c>
      <c r="AI452" s="11" t="inlineStr">
        <is>
          <t>D4</t>
        </is>
      </c>
      <c r="AJ452" s="11" t="inlineStr">
        <is>
          <t>E6</t>
        </is>
      </c>
      <c r="AK452" s="11" t="inlineStr">
        <is>
          <t>PISA-F3</t>
        </is>
      </c>
      <c r="AL452" s="11" t="n"/>
      <c r="AM452" s="11">
        <f>IF(AK452="FUERA","Fuera del marco",IFERROR(INDEX('Datos - Catálogo PISA'!$C$5:$C$76,MATCH(AK452,'Datos - Catálogo PISA'!$A$5:$A$76,0)),"?"))</f>
        <v/>
      </c>
      <c r="AN452" s="11" t="inlineStr">
        <is>
          <t>Contenido</t>
        </is>
      </c>
      <c r="AO452" s="11" t="inlineStr">
        <is>
          <t>PISA-PR1; PISA-PR5;</t>
        </is>
      </c>
      <c r="AP452" s="11" t="n"/>
      <c r="AQ452" s="11" t="inlineStr">
        <is>
          <t>Sin contexto</t>
        </is>
      </c>
      <c r="AR452" s="11" t="n"/>
      <c r="AS452" s="11" t="inlineStr">
        <is>
          <t>Media</t>
        </is>
      </c>
      <c r="AT452" s="11" t="inlineStr">
        <is>
          <t>alta</t>
        </is>
      </c>
      <c r="AU452" s="11" t="inlineStr">
        <is>
          <t>Movimiento parabólico; alcance según ángulo con gráficas</t>
        </is>
      </c>
      <c r="AV452" s="11" t="inlineStr">
        <is>
          <t>Ciclo 7°–9°</t>
        </is>
      </c>
      <c r="AW452" s="11">
        <f>AF452&amp;"; "&amp;AG452&amp;"; "&amp;AH452&amp;"; "&amp;AI452&amp;"; "&amp;AJ452</f>
        <v/>
      </c>
    </row>
    <row r="453">
      <c r="A453" s="11" t="inlineStr">
        <is>
          <t>T1087-G08-CIE</t>
        </is>
      </c>
      <c r="B453" s="11" t="n">
        <v>8</v>
      </c>
      <c r="C453" s="11" t="inlineStr">
        <is>
          <t>Ciencias</t>
        </is>
      </c>
      <c r="D453" s="11" t="inlineStr">
        <is>
          <t>Matriz_Ciencias_8vo_Grado_U1_U7.xlsx</t>
        </is>
      </c>
      <c r="E453" s="11" t="inlineStr">
        <is>
          <t>Unidad 1 - Mecánica</t>
        </is>
      </c>
      <c r="F453" s="11" t="n">
        <v>12</v>
      </c>
      <c r="G453" s="11" t="inlineStr">
        <is>
          <t>1. Mecánica</t>
        </is>
      </c>
      <c r="H453" s="11" t="inlineStr">
        <is>
          <t>Movimiento de rotación</t>
        </is>
      </c>
      <c r="I453" s="38" t="inlineStr">
        <is>
          <t>1.10. Reconocimiento del torque como la causa del equilbrio rotacional.</t>
        </is>
      </c>
      <c r="J453" s="11" t="inlineStr">
        <is>
          <t>T8_27</t>
        </is>
      </c>
      <c r="K453" s="11" t="inlineStr">
        <is>
          <t>T8_27-P5.3</t>
        </is>
      </c>
      <c r="L453" s="11" t="inlineStr"/>
      <c r="M453" s="11">
        <f>IF(K453="FUERA","Fuera del marco",IF(K453="N/A","Sin marco",IFERROR(INDEX('Datos - Catálogo TIMSS'!$C$5:$C$107,MATCH(K453,'Datos - Catálogo TIMSS'!$A$5:$A$107,0)),"Pendiente de clasificar")))</f>
        <v/>
      </c>
      <c r="N453" s="11">
        <f>IF(K453="FUERA","Fuera del marco",IF(K453="N/A","Sin marco",IFERROR(INDEX('Datos - Catálogo TIMSS'!$F$5:$F$107,MATCH(K453,'Datos - Catálogo TIMSS'!$A$5:$A$107,0)),"Pendiente de clasificar")))</f>
        <v/>
      </c>
      <c r="O453" s="11">
        <f>IF(L453="","",IFERROR(INDEX('Datos - Catálogo TIMSS'!$C$5:$C$107,MATCH(L453,'Datos - Catálogo TIMSS'!$A$5:$A$107,0)),"?"))</f>
        <v/>
      </c>
      <c r="P453" s="11" t="inlineStr">
        <is>
          <t>baja</t>
        </is>
      </c>
      <c r="Q453" s="38" t="inlineStr">
        <is>
          <t>Torque y equilibrio rotacional; cercano a palanca, rotación ausente en TIMSS</t>
        </is>
      </c>
      <c r="R453" s="38" t="inlineStr">
        <is>
          <t>Aplicar: calcular. Razonar: explicar</t>
        </is>
      </c>
      <c r="S453" s="39">
        <f>IFERROR(ISNUMBER(SEARCH("Conocer",$R453))/(ISNUMBER(SEARCH("Conocer",$R453))+ISNUMBER(SEARCH("Aplicar",$R453))+ISNUMBER(SEARCH("Razonar",$R453))),0)</f>
        <v/>
      </c>
      <c r="T453" s="39">
        <f>IFERROR(ISNUMBER(SEARCH("Aplicar",$R453))/(ISNUMBER(SEARCH("Conocer",$R453))+ISNUMBER(SEARCH("Aplicar",$R453))+ISNUMBER(SEARCH("Razonar",$R453))),0)</f>
        <v/>
      </c>
      <c r="U453" s="39">
        <f>IFERROR(ISNUMBER(SEARCH("Razonar",$R453))/(ISNUMBER(SEARCH("Conocer",$R453))+ISNUMBER(SEARCH("Aplicar",$R453))+ISNUMBER(SEARCH("Razonar",$R453))),0)</f>
        <v/>
      </c>
      <c r="V453" s="11" t="inlineStr">
        <is>
          <t>8°</t>
        </is>
      </c>
      <c r="W453" s="11" t="inlineStr">
        <is>
          <t>Ciclo 5°–8°</t>
        </is>
      </c>
      <c r="X453" s="11">
        <f>IF(OR(IFERROR(INDEX('Datos - Catálogo TIMSS'!$I$5:$I$107,MATCH(K453,'Datos - Catálogo TIMSS'!$A$5:$A$107,0)),"No")="Sí",IFERROR(INDEX('Datos - Catálogo TIMSS'!$I$5:$I$107,MATCH(L453,'Datos - Catálogo TIMSS'!$A$5:$A$107,0)),"No")="Sí"),1,0)</f>
        <v/>
      </c>
      <c r="Y453" s="11">
        <f>IF(IFERROR(INDEX('Datos - Catálogo TIMSS'!$J$5:$J$107,MATCH(K453,'Datos - Catálogo TIMSS'!$A$5:$A$107,0)),"No")="Sí",1,0)</f>
        <v/>
      </c>
      <c r="Z453" s="11">
        <f>IF(IFERROR(INDEX('Datos - Catálogo TIMSS'!$J$5:$J$107,MATCH(L453,'Datos - Catálogo TIMSS'!$A$5:$A$107,0)),"No")="Sí",1,0)</f>
        <v/>
      </c>
      <c r="AA453" s="11" t="inlineStr">
        <is>
          <t>T8-F5.3</t>
        </is>
      </c>
      <c r="AB453" s="11" t="inlineStr"/>
      <c r="AC453" s="11">
        <f>IF(AA453="FUERA","Fuera del marco",IF(AA453="N/A","Sin marco",IFERROR(INDEX('Datos - TIMSS 2023'!$C$5:$C$105,MATCH(AA453,'Datos - TIMSS 2023'!$A$5:$A$105,0)),"Pendiente de clasificar")))</f>
        <v/>
      </c>
      <c r="AD453" s="11" t="inlineStr">
        <is>
          <t>1. Explicar fenómenos científicamente</t>
        </is>
      </c>
      <c r="AE453" s="11">
        <f>IF(AD453="","",IF(LEFT(AD453,1)="1","C1",IF(LEFT(AD453,1)="2","C2",IF(LEFT(AD453,1)="3","C3",""))))</f>
        <v/>
      </c>
      <c r="AF453" s="11" t="inlineStr">
        <is>
          <t>E1</t>
        </is>
      </c>
      <c r="AG453" s="11" t="inlineStr">
        <is>
          <t>D1</t>
        </is>
      </c>
      <c r="AH453" s="11" t="inlineStr">
        <is>
          <t>E1</t>
        </is>
      </c>
      <c r="AI453" s="11" t="inlineStr">
        <is>
          <t>D4</t>
        </is>
      </c>
      <c r="AJ453" s="11" t="inlineStr">
        <is>
          <t>E6</t>
        </is>
      </c>
      <c r="AK453" s="11" t="inlineStr">
        <is>
          <t>PISA-F3</t>
        </is>
      </c>
      <c r="AL453" s="11" t="n"/>
      <c r="AM453" s="11">
        <f>IF(AK453="FUERA","Fuera del marco",IFERROR(INDEX('Datos - Catálogo PISA'!$C$5:$C$76,MATCH(AK453,'Datos - Catálogo PISA'!$A$5:$A$76,0)),"?"))</f>
        <v/>
      </c>
      <c r="AN453" s="11" t="inlineStr">
        <is>
          <t>Contenido</t>
        </is>
      </c>
      <c r="AO453" s="11" t="n"/>
      <c r="AP453" s="11" t="n"/>
      <c r="AQ453" s="11" t="inlineStr">
        <is>
          <t>Sin contexto</t>
        </is>
      </c>
      <c r="AR453" s="11" t="n"/>
      <c r="AS453" s="11" t="inlineStr">
        <is>
          <t>Baja</t>
        </is>
      </c>
      <c r="AT453" s="11" t="inlineStr">
        <is>
          <t>alta</t>
        </is>
      </c>
      <c r="AU453" s="11" t="inlineStr">
        <is>
          <t>Torque y equilibrio rotacional: fuerzas</t>
        </is>
      </c>
      <c r="AV453" s="11" t="inlineStr">
        <is>
          <t>Ciclo 7°–9°</t>
        </is>
      </c>
      <c r="AW453" s="11">
        <f>AF453&amp;"; "&amp;AG453&amp;"; "&amp;AH453&amp;"; "&amp;AI453&amp;"; "&amp;AJ453</f>
        <v/>
      </c>
    </row>
    <row r="454">
      <c r="A454" s="11" t="inlineStr">
        <is>
          <t>T1088-G08-CIE</t>
        </is>
      </c>
      <c r="B454" s="11" t="n">
        <v>8</v>
      </c>
      <c r="C454" s="11" t="inlineStr">
        <is>
          <t>Ciencias</t>
        </is>
      </c>
      <c r="D454" s="11" t="inlineStr">
        <is>
          <t>Matriz_Ciencias_8vo_Grado_U1_U7.xlsx</t>
        </is>
      </c>
      <c r="E454" s="11" t="inlineStr">
        <is>
          <t>Unidad 1 - Mecánica</t>
        </is>
      </c>
      <c r="F454" s="11" t="n">
        <v>13</v>
      </c>
      <c r="G454" s="11" t="inlineStr">
        <is>
          <t>1. Mecánica</t>
        </is>
      </c>
      <c r="H454" s="11" t="inlineStr">
        <is>
          <t>Movimiento de rotación</t>
        </is>
      </c>
      <c r="I454" s="38" t="inlineStr">
        <is>
          <t>1.11. Cálculo de magnitudes cinemáticas del movimiento circular uniforme a partir de resultados experimentales.</t>
        </is>
      </c>
      <c r="J454" s="11" t="inlineStr">
        <is>
          <t>T8_27</t>
        </is>
      </c>
      <c r="K454" s="11" t="inlineStr">
        <is>
          <t>T8_27-P5.1</t>
        </is>
      </c>
      <c r="L454" s="11" t="inlineStr"/>
      <c r="M454" s="11">
        <f>IF(K454="FUERA","Fuera del marco",IF(K454="N/A","Sin marco",IFERROR(INDEX('Datos - Catálogo TIMSS'!$C$5:$C$107,MATCH(K454,'Datos - Catálogo TIMSS'!$A$5:$A$107,0)),"Pendiente de clasificar")))</f>
        <v/>
      </c>
      <c r="N454" s="11">
        <f>IF(K454="FUERA","Fuera del marco",IF(K454="N/A","Sin marco",IFERROR(INDEX('Datos - Catálogo TIMSS'!$F$5:$F$107,MATCH(K454,'Datos - Catálogo TIMSS'!$A$5:$A$107,0)),"Pendiente de clasificar")))</f>
        <v/>
      </c>
      <c r="O454" s="11">
        <f>IF(L454="","",IFERROR(INDEX('Datos - Catálogo TIMSS'!$C$5:$C$107,MATCH(L454,'Datos - Catálogo TIMSS'!$A$5:$A$107,0)),"?"))</f>
        <v/>
      </c>
      <c r="P454" s="11" t="inlineStr">
        <is>
          <t>media</t>
        </is>
      </c>
      <c r="Q454" s="38" t="inlineStr">
        <is>
          <t>Magnitudes cinemáticas del movimiento circular a partir de datos</t>
        </is>
      </c>
      <c r="R454" s="38" t="inlineStr">
        <is>
          <t>Aplicar: medir y calcular</t>
        </is>
      </c>
      <c r="S454" s="39">
        <f>IFERROR(ISNUMBER(SEARCH("Conocer",$R454))/(ISNUMBER(SEARCH("Conocer",$R454))+ISNUMBER(SEARCH("Aplicar",$R454))+ISNUMBER(SEARCH("Razonar",$R454))),0)</f>
        <v/>
      </c>
      <c r="T454" s="39">
        <f>IFERROR(ISNUMBER(SEARCH("Aplicar",$R454))/(ISNUMBER(SEARCH("Conocer",$R454))+ISNUMBER(SEARCH("Aplicar",$R454))+ISNUMBER(SEARCH("Razonar",$R454))),0)</f>
        <v/>
      </c>
      <c r="U454" s="39">
        <f>IFERROR(ISNUMBER(SEARCH("Razonar",$R454))/(ISNUMBER(SEARCH("Conocer",$R454))+ISNUMBER(SEARCH("Aplicar",$R454))+ISNUMBER(SEARCH("Razonar",$R454))),0)</f>
        <v/>
      </c>
      <c r="V454" s="11" t="inlineStr">
        <is>
          <t>8°</t>
        </is>
      </c>
      <c r="W454" s="11" t="inlineStr">
        <is>
          <t>Ciclo 5°–8°</t>
        </is>
      </c>
      <c r="X454" s="11">
        <f>IF(OR(IFERROR(INDEX('Datos - Catálogo TIMSS'!$I$5:$I$107,MATCH(K454,'Datos - Catálogo TIMSS'!$A$5:$A$107,0)),"No")="Sí",IFERROR(INDEX('Datos - Catálogo TIMSS'!$I$5:$I$107,MATCH(L454,'Datos - Catálogo TIMSS'!$A$5:$A$107,0)),"No")="Sí"),1,0)</f>
        <v/>
      </c>
      <c r="Y454" s="11">
        <f>IF(IFERROR(INDEX('Datos - Catálogo TIMSS'!$J$5:$J$107,MATCH(K454,'Datos - Catálogo TIMSS'!$A$5:$A$107,0)),"No")="Sí",1,0)</f>
        <v/>
      </c>
      <c r="Z454" s="11">
        <f>IF(IFERROR(INDEX('Datos - Catálogo TIMSS'!$J$5:$J$107,MATCH(L454,'Datos - Catálogo TIMSS'!$A$5:$A$107,0)),"No")="Sí",1,0)</f>
        <v/>
      </c>
      <c r="AA454" s="11" t="inlineStr">
        <is>
          <t>T8-F5.1</t>
        </is>
      </c>
      <c r="AB454" s="11" t="inlineStr"/>
      <c r="AC454" s="11">
        <f>IF(AA454="FUERA","Fuera del marco",IF(AA454="N/A","Sin marco",IFERROR(INDEX('Datos - TIMSS 2023'!$C$5:$C$105,MATCH(AA454,'Datos - TIMSS 2023'!$A$5:$A$105,0)),"Pendiente de clasificar")))</f>
        <v/>
      </c>
      <c r="AD454" s="11" t="inlineStr">
        <is>
          <t>2. Construir y evaluar diseños para la indagación científica e interpretar datos y evidencia de forma crítica</t>
        </is>
      </c>
      <c r="AE454" s="11">
        <f>IF(AD454="","",IF(LEFT(AD454,1)="1","C1",IF(LEFT(AD454,1)="2","C2",IF(LEFT(AD454,1)="3","C3",""))))</f>
        <v/>
      </c>
      <c r="AF454" s="11" t="inlineStr">
        <is>
          <t>E1</t>
        </is>
      </c>
      <c r="AG454" s="11" t="inlineStr">
        <is>
          <t>D1</t>
        </is>
      </c>
      <c r="AH454" s="11" t="inlineStr">
        <is>
          <t>E1</t>
        </is>
      </c>
      <c r="AI454" s="11" t="inlineStr">
        <is>
          <t>D4</t>
        </is>
      </c>
      <c r="AJ454" s="11" t="inlineStr">
        <is>
          <t>E3</t>
        </is>
      </c>
      <c r="AK454" s="11" t="inlineStr">
        <is>
          <t>PISA-F3</t>
        </is>
      </c>
      <c r="AL454" s="11" t="n"/>
      <c r="AM454" s="11">
        <f>IF(AK454="FUERA","Fuera del marco",IFERROR(INDEX('Datos - Catálogo PISA'!$C$5:$C$76,MATCH(AK454,'Datos - Catálogo PISA'!$A$5:$A$76,0)),"?"))</f>
        <v/>
      </c>
      <c r="AN454" s="11" t="inlineStr">
        <is>
          <t>Contenido</t>
        </is>
      </c>
      <c r="AO454" s="11" t="inlineStr">
        <is>
          <t>PISA-PR2;</t>
        </is>
      </c>
      <c r="AP454" s="11" t="n"/>
      <c r="AQ454" s="11" t="inlineStr">
        <is>
          <t>Sin contexto</t>
        </is>
      </c>
      <c r="AR454" s="11" t="n"/>
      <c r="AS454" s="11" t="inlineStr">
        <is>
          <t>Media</t>
        </is>
      </c>
      <c r="AT454" s="11" t="inlineStr">
        <is>
          <t>alta</t>
        </is>
      </c>
      <c r="AU454" s="11" t="inlineStr">
        <is>
          <t>Magnitudes del movimiento circular a partir de datos experimentales</t>
        </is>
      </c>
      <c r="AV454" s="11" t="inlineStr">
        <is>
          <t>Ciclo 7°–9°</t>
        </is>
      </c>
      <c r="AW454" s="11">
        <f>AF454&amp;"; "&amp;AG454&amp;"; "&amp;AH454&amp;"; "&amp;AI454&amp;"; "&amp;AJ454</f>
        <v/>
      </c>
    </row>
    <row r="455">
      <c r="A455" s="11" t="inlineStr">
        <is>
          <t>T1089-G08-CIE</t>
        </is>
      </c>
      <c r="B455" s="11" t="n">
        <v>8</v>
      </c>
      <c r="C455" s="11" t="inlineStr">
        <is>
          <t>Ciencias</t>
        </is>
      </c>
      <c r="D455" s="11" t="inlineStr">
        <is>
          <t>Matriz_Ciencias_8vo_Grado_U1_U7.xlsx</t>
        </is>
      </c>
      <c r="E455" s="11" t="inlineStr">
        <is>
          <t>Unidad 1 - Mecánica</t>
        </is>
      </c>
      <c r="F455" s="11" t="n">
        <v>14</v>
      </c>
      <c r="G455" s="11" t="inlineStr">
        <is>
          <t>1. Mecánica</t>
        </is>
      </c>
      <c r="H455" s="11" t="inlineStr">
        <is>
          <t>Momento lineal</t>
        </is>
      </c>
      <c r="I455" s="38" t="inlineStr">
        <is>
          <t>1.12. Indagación del cambio del momento lineal en objetos a partir de la experimentación con fuerza y tiempo.</t>
        </is>
      </c>
      <c r="J455" s="11" t="inlineStr">
        <is>
          <t>T8_27</t>
        </is>
      </c>
      <c r="K455" s="11" t="inlineStr">
        <is>
          <t>T8_27-P5.3</t>
        </is>
      </c>
      <c r="L455" s="11" t="inlineStr"/>
      <c r="M455" s="11">
        <f>IF(K455="FUERA","Fuera del marco",IF(K455="N/A","Sin marco",IFERROR(INDEX('Datos - Catálogo TIMSS'!$C$5:$C$107,MATCH(K455,'Datos - Catálogo TIMSS'!$A$5:$A$107,0)),"Pendiente de clasificar")))</f>
        <v/>
      </c>
      <c r="N455" s="11">
        <f>IF(K455="FUERA","Fuera del marco",IF(K455="N/A","Sin marco",IFERROR(INDEX('Datos - Catálogo TIMSS'!$F$5:$F$107,MATCH(K455,'Datos - Catálogo TIMSS'!$A$5:$A$107,0)),"Pendiente de clasificar")))</f>
        <v/>
      </c>
      <c r="O455" s="11">
        <f>IF(L455="","",IFERROR(INDEX('Datos - Catálogo TIMSS'!$C$5:$C$107,MATCH(L455,'Datos - Catálogo TIMSS'!$A$5:$A$107,0)),"?"))</f>
        <v/>
      </c>
      <c r="P455" s="11" t="inlineStr">
        <is>
          <t>media</t>
        </is>
      </c>
      <c r="Q455" s="38" t="inlineStr">
        <is>
          <t>Cambio de momento por fuerza y tiempo: efecto de fuerzas en movimiento</t>
        </is>
      </c>
      <c r="R455" s="38" t="inlineStr">
        <is>
          <t>Conocer: explicar</t>
        </is>
      </c>
      <c r="S455" s="39">
        <f>IFERROR(ISNUMBER(SEARCH("Conocer",$R455))/(ISNUMBER(SEARCH("Conocer",$R455))+ISNUMBER(SEARCH("Aplicar",$R455))+ISNUMBER(SEARCH("Razonar",$R455))),0)</f>
        <v/>
      </c>
      <c r="T455" s="39">
        <f>IFERROR(ISNUMBER(SEARCH("Aplicar",$R455))/(ISNUMBER(SEARCH("Conocer",$R455))+ISNUMBER(SEARCH("Aplicar",$R455))+ISNUMBER(SEARCH("Razonar",$R455))),0)</f>
        <v/>
      </c>
      <c r="U455" s="39">
        <f>IFERROR(ISNUMBER(SEARCH("Razonar",$R455))/(ISNUMBER(SEARCH("Conocer",$R455))+ISNUMBER(SEARCH("Aplicar",$R455))+ISNUMBER(SEARCH("Razonar",$R455))),0)</f>
        <v/>
      </c>
      <c r="V455" s="11" t="inlineStr">
        <is>
          <t>8°</t>
        </is>
      </c>
      <c r="W455" s="11" t="inlineStr">
        <is>
          <t>Ciclo 5°–8°</t>
        </is>
      </c>
      <c r="X455" s="11">
        <f>IF(OR(IFERROR(INDEX('Datos - Catálogo TIMSS'!$I$5:$I$107,MATCH(K455,'Datos - Catálogo TIMSS'!$A$5:$A$107,0)),"No")="Sí",IFERROR(INDEX('Datos - Catálogo TIMSS'!$I$5:$I$107,MATCH(L455,'Datos - Catálogo TIMSS'!$A$5:$A$107,0)),"No")="Sí"),1,0)</f>
        <v/>
      </c>
      <c r="Y455" s="11">
        <f>IF(IFERROR(INDEX('Datos - Catálogo TIMSS'!$J$5:$J$107,MATCH(K455,'Datos - Catálogo TIMSS'!$A$5:$A$107,0)),"No")="Sí",1,0)</f>
        <v/>
      </c>
      <c r="Z455" s="11">
        <f>IF(IFERROR(INDEX('Datos - Catálogo TIMSS'!$J$5:$J$107,MATCH(L455,'Datos - Catálogo TIMSS'!$A$5:$A$107,0)),"No")="Sí",1,0)</f>
        <v/>
      </c>
      <c r="AA455" s="11" t="inlineStr">
        <is>
          <t>T8-F5.3</t>
        </is>
      </c>
      <c r="AB455" s="11" t="inlineStr">
        <is>
          <t>T8-F5.2</t>
        </is>
      </c>
      <c r="AC455" s="11">
        <f>IF(AA455="FUERA","Fuera del marco",IF(AA455="N/A","Sin marco",IFERROR(INDEX('Datos - TIMSS 2023'!$C$5:$C$105,MATCH(AA455,'Datos - TIMSS 2023'!$A$5:$A$105,0)),"Pendiente de clasificar")))</f>
        <v/>
      </c>
      <c r="AD455" s="11" t="inlineStr">
        <is>
          <t>1. Explicar fenómenos científicamente</t>
        </is>
      </c>
      <c r="AE455" s="11">
        <f>IF(AD455="","",IF(LEFT(AD455,1)="1","C1",IF(LEFT(AD455,1)="2","C2",IF(LEFT(AD455,1)="3","C3",""))))</f>
        <v/>
      </c>
      <c r="AF455" s="11" t="inlineStr">
        <is>
          <t>E1</t>
        </is>
      </c>
      <c r="AG455" s="11" t="inlineStr">
        <is>
          <t>E5</t>
        </is>
      </c>
      <c r="AH455" s="11" t="inlineStr">
        <is>
          <t>E1</t>
        </is>
      </c>
      <c r="AI455" s="11" t="inlineStr">
        <is>
          <t>D4</t>
        </is>
      </c>
      <c r="AJ455" s="11" t="inlineStr">
        <is>
          <t>E6</t>
        </is>
      </c>
      <c r="AK455" s="11" t="inlineStr">
        <is>
          <t>PISA-F3</t>
        </is>
      </c>
      <c r="AL455" s="11" t="n"/>
      <c r="AM455" s="11">
        <f>IF(AK455="FUERA","Fuera del marco",IFERROR(INDEX('Datos - Catálogo PISA'!$C$5:$C$76,MATCH(AK455,'Datos - Catálogo PISA'!$A$5:$A$76,0)),"?"))</f>
        <v/>
      </c>
      <c r="AN455" s="11" t="inlineStr">
        <is>
          <t>Contenido</t>
        </is>
      </c>
      <c r="AO455" s="11" t="n"/>
      <c r="AP455" s="11" t="n"/>
      <c r="AQ455" s="11" t="inlineStr">
        <is>
          <t>Sin contexto</t>
        </is>
      </c>
      <c r="AR455" s="11" t="n"/>
      <c r="AS455" s="11" t="inlineStr">
        <is>
          <t>Media</t>
        </is>
      </c>
      <c r="AT455" s="11" t="inlineStr">
        <is>
          <t>alta</t>
        </is>
      </c>
      <c r="AU455" s="11" t="inlineStr">
        <is>
          <t>Cambio de momento lineal en términos de fuerza y tiempo</t>
        </is>
      </c>
      <c r="AV455" s="11" t="inlineStr">
        <is>
          <t>Ciclo 7°–9°</t>
        </is>
      </c>
      <c r="AW455" s="11">
        <f>AF455&amp;"; "&amp;AG455&amp;"; "&amp;AH455&amp;"; "&amp;AI455&amp;"; "&amp;AJ455</f>
        <v/>
      </c>
    </row>
    <row r="456">
      <c r="A456" s="11" t="inlineStr">
        <is>
          <t>T1090-G08-CIE</t>
        </is>
      </c>
      <c r="B456" s="11" t="n">
        <v>8</v>
      </c>
      <c r="C456" s="11" t="inlineStr">
        <is>
          <t>Ciencias</t>
        </is>
      </c>
      <c r="D456" s="11" t="inlineStr">
        <is>
          <t>Matriz_Ciencias_8vo_Grado_U1_U7.xlsx</t>
        </is>
      </c>
      <c r="E456" s="11" t="inlineStr">
        <is>
          <t>Unidad 1 - Mecánica</t>
        </is>
      </c>
      <c r="F456" s="11" t="n">
        <v>15</v>
      </c>
      <c r="G456" s="11" t="inlineStr">
        <is>
          <t>1. Mecánica</t>
        </is>
      </c>
      <c r="H456" s="11" t="inlineStr">
        <is>
          <t>Momento lineal</t>
        </is>
      </c>
      <c r="I456" s="38" t="inlineStr">
        <is>
          <t>1.13. Experimentación con el cambio del momento lineal de objetos.</t>
        </is>
      </c>
      <c r="J456" s="11" t="inlineStr">
        <is>
          <t>T8_27</t>
        </is>
      </c>
      <c r="K456" s="11" t="inlineStr">
        <is>
          <t>T8_27-P5.3</t>
        </is>
      </c>
      <c r="L456" s="11" t="inlineStr"/>
      <c r="M456" s="11">
        <f>IF(K456="FUERA","Fuera del marco",IF(K456="N/A","Sin marco",IFERROR(INDEX('Datos - Catálogo TIMSS'!$C$5:$C$107,MATCH(K456,'Datos - Catálogo TIMSS'!$A$5:$A$107,0)),"Pendiente de clasificar")))</f>
        <v/>
      </c>
      <c r="N456" s="11">
        <f>IF(K456="FUERA","Fuera del marco",IF(K456="N/A","Sin marco",IFERROR(INDEX('Datos - Catálogo TIMSS'!$F$5:$F$107,MATCH(K456,'Datos - Catálogo TIMSS'!$A$5:$A$107,0)),"Pendiente de clasificar")))</f>
        <v/>
      </c>
      <c r="O456" s="11">
        <f>IF(L456="","",IFERROR(INDEX('Datos - Catálogo TIMSS'!$C$5:$C$107,MATCH(L456,'Datos - Catálogo TIMSS'!$A$5:$A$107,0)),"?"))</f>
        <v/>
      </c>
      <c r="P456" s="11" t="inlineStr">
        <is>
          <t>media</t>
        </is>
      </c>
      <c r="Q456" s="38" t="inlineStr">
        <is>
          <t>Impulso y cambio de movimiento en objetos; diseño de empaque</t>
        </is>
      </c>
      <c r="R456" s="38" t="inlineStr">
        <is>
          <t>Razonar: diseñar y evaluar</t>
        </is>
      </c>
      <c r="S456" s="39">
        <f>IFERROR(ISNUMBER(SEARCH("Conocer",$R456))/(ISNUMBER(SEARCH("Conocer",$R456))+ISNUMBER(SEARCH("Aplicar",$R456))+ISNUMBER(SEARCH("Razonar",$R456))),0)</f>
        <v/>
      </c>
      <c r="T456" s="39">
        <f>IFERROR(ISNUMBER(SEARCH("Aplicar",$R456))/(ISNUMBER(SEARCH("Conocer",$R456))+ISNUMBER(SEARCH("Aplicar",$R456))+ISNUMBER(SEARCH("Razonar",$R456))),0)</f>
        <v/>
      </c>
      <c r="U456" s="39">
        <f>IFERROR(ISNUMBER(SEARCH("Razonar",$R456))/(ISNUMBER(SEARCH("Conocer",$R456))+ISNUMBER(SEARCH("Aplicar",$R456))+ISNUMBER(SEARCH("Razonar",$R456))),0)</f>
        <v/>
      </c>
      <c r="V456" s="11" t="inlineStr">
        <is>
          <t>8°</t>
        </is>
      </c>
      <c r="W456" s="11" t="inlineStr">
        <is>
          <t>Ciclo 5°–8°</t>
        </is>
      </c>
      <c r="X456" s="11">
        <f>IF(OR(IFERROR(INDEX('Datos - Catálogo TIMSS'!$I$5:$I$107,MATCH(K456,'Datos - Catálogo TIMSS'!$A$5:$A$107,0)),"No")="Sí",IFERROR(INDEX('Datos - Catálogo TIMSS'!$I$5:$I$107,MATCH(L456,'Datos - Catálogo TIMSS'!$A$5:$A$107,0)),"No")="Sí"),1,0)</f>
        <v/>
      </c>
      <c r="Y456" s="11">
        <f>IF(IFERROR(INDEX('Datos - Catálogo TIMSS'!$J$5:$J$107,MATCH(K456,'Datos - Catálogo TIMSS'!$A$5:$A$107,0)),"No")="Sí",1,0)</f>
        <v/>
      </c>
      <c r="Z456" s="11">
        <f>IF(IFERROR(INDEX('Datos - Catálogo TIMSS'!$J$5:$J$107,MATCH(L456,'Datos - Catálogo TIMSS'!$A$5:$A$107,0)),"No")="Sí",1,0)</f>
        <v/>
      </c>
      <c r="AA456" s="11" t="inlineStr">
        <is>
          <t>T8-F5.3</t>
        </is>
      </c>
      <c r="AB456" s="11" t="inlineStr"/>
      <c r="AC456" s="11">
        <f>IF(AA456="FUERA","Fuera del marco",IF(AA456="N/A","Sin marco",IFERROR(INDEX('Datos - TIMSS 2023'!$C$5:$C$105,MATCH(AA456,'Datos - TIMSS 2023'!$A$5:$A$105,0)),"Pendiente de clasificar")))</f>
        <v/>
      </c>
      <c r="AD456" s="11" t="inlineStr">
        <is>
          <t>2. Construir y evaluar diseños para la indagación científica e interpretar datos y evidencia de forma crítica</t>
        </is>
      </c>
      <c r="AE456" s="11">
        <f>IF(AD456="","",IF(LEFT(AD456,1)="1","C1",IF(LEFT(AD456,1)="2","C2",IF(LEFT(AD456,1)="3","C3",""))))</f>
        <v/>
      </c>
      <c r="AF456" s="11" t="inlineStr">
        <is>
          <t>E1</t>
        </is>
      </c>
      <c r="AG456" s="11" t="inlineStr">
        <is>
          <t>D1</t>
        </is>
      </c>
      <c r="AH456" s="11" t="inlineStr">
        <is>
          <t>E1</t>
        </is>
      </c>
      <c r="AI456" s="11" t="inlineStr">
        <is>
          <t>D2</t>
        </is>
      </c>
      <c r="AJ456" s="11" t="inlineStr">
        <is>
          <t>E3</t>
        </is>
      </c>
      <c r="AK456" s="11" t="inlineStr">
        <is>
          <t>PISA-F3</t>
        </is>
      </c>
      <c r="AL456" s="11" t="n"/>
      <c r="AM456" s="11">
        <f>IF(AK456="FUERA","Fuera del marco",IFERROR(INDEX('Datos - Catálogo PISA'!$C$5:$C$76,MATCH(AK456,'Datos - Catálogo PISA'!$A$5:$A$76,0)),"?"))</f>
        <v/>
      </c>
      <c r="AN456" s="11" t="inlineStr">
        <is>
          <t>Contenido</t>
        </is>
      </c>
      <c r="AO456" s="11" t="n"/>
      <c r="AP456" s="11" t="n"/>
      <c r="AQ456" s="11" t="inlineStr">
        <is>
          <t>Personal</t>
        </is>
      </c>
      <c r="AR456" s="11" t="inlineStr">
        <is>
          <t>Avances y desafíos científicos y tecnológicos</t>
        </is>
      </c>
      <c r="AS456" s="11" t="inlineStr">
        <is>
          <t>Media</t>
        </is>
      </c>
      <c r="AT456" s="11" t="inlineStr">
        <is>
          <t>media</t>
        </is>
      </c>
      <c r="AU456" s="11" t="inlineStr">
        <is>
          <t>Impulso aplicado al diseño y prueba de un empaque protector</t>
        </is>
      </c>
      <c r="AV456" s="11" t="inlineStr">
        <is>
          <t>Ciclo 7°–9°</t>
        </is>
      </c>
      <c r="AW456" s="11">
        <f>AF456&amp;"; "&amp;AG456&amp;"; "&amp;AH456&amp;"; "&amp;AI456&amp;"; "&amp;AJ456</f>
        <v/>
      </c>
    </row>
    <row r="457">
      <c r="A457" s="11" t="inlineStr">
        <is>
          <t>T1091-G08-CIE</t>
        </is>
      </c>
      <c r="B457" s="11" t="n">
        <v>8</v>
      </c>
      <c r="C457" s="11" t="inlineStr">
        <is>
          <t>Ciencias</t>
        </is>
      </c>
      <c r="D457" s="11" t="inlineStr">
        <is>
          <t>Matriz_Ciencias_8vo_Grado_U1_U7.xlsx</t>
        </is>
      </c>
      <c r="E457" s="11" t="inlineStr">
        <is>
          <t>Unidad 1 - Mecánica</t>
        </is>
      </c>
      <c r="F457" s="11" t="n">
        <v>16</v>
      </c>
      <c r="G457" s="11" t="inlineStr">
        <is>
          <t>1. Mecánica</t>
        </is>
      </c>
      <c r="H457" s="11" t="inlineStr">
        <is>
          <t>Momento lineal</t>
        </is>
      </c>
      <c r="I457" s="38" t="inlineStr">
        <is>
          <t>1.14. Cálculo del momento lineal total.</t>
        </is>
      </c>
      <c r="J457" s="11" t="inlineStr">
        <is>
          <t>T8_27</t>
        </is>
      </c>
      <c r="K457" s="11" t="inlineStr">
        <is>
          <t>T8_27-P5.3</t>
        </is>
      </c>
      <c r="L457" s="11" t="inlineStr"/>
      <c r="M457" s="11">
        <f>IF(K457="FUERA","Fuera del marco",IF(K457="N/A","Sin marco",IFERROR(INDEX('Datos - Catálogo TIMSS'!$C$5:$C$107,MATCH(K457,'Datos - Catálogo TIMSS'!$A$5:$A$107,0)),"Pendiente de clasificar")))</f>
        <v/>
      </c>
      <c r="N457" s="11">
        <f>IF(K457="FUERA","Fuera del marco",IF(K457="N/A","Sin marco",IFERROR(INDEX('Datos - Catálogo TIMSS'!$F$5:$F$107,MATCH(K457,'Datos - Catálogo TIMSS'!$A$5:$A$107,0)),"Pendiente de clasificar")))</f>
        <v/>
      </c>
      <c r="O457" s="11">
        <f>IF(L457="","",IFERROR(INDEX('Datos - Catálogo TIMSS'!$C$5:$C$107,MATCH(L457,'Datos - Catálogo TIMSS'!$A$5:$A$107,0)),"?"))</f>
        <v/>
      </c>
      <c r="P457" s="11" t="inlineStr">
        <is>
          <t>baja</t>
        </is>
      </c>
      <c r="Q457" s="38" t="inlineStr">
        <is>
          <t>Conservación del momento lineal no figura en TIMSS 8; afín a efectos de fuerzas</t>
        </is>
      </c>
      <c r="R457" s="38" t="inlineStr">
        <is>
          <t>Aplicar: calcular</t>
        </is>
      </c>
      <c r="S457" s="39">
        <f>IFERROR(ISNUMBER(SEARCH("Conocer",$R457))/(ISNUMBER(SEARCH("Conocer",$R457))+ISNUMBER(SEARCH("Aplicar",$R457))+ISNUMBER(SEARCH("Razonar",$R457))),0)</f>
        <v/>
      </c>
      <c r="T457" s="39">
        <f>IFERROR(ISNUMBER(SEARCH("Aplicar",$R457))/(ISNUMBER(SEARCH("Conocer",$R457))+ISNUMBER(SEARCH("Aplicar",$R457))+ISNUMBER(SEARCH("Razonar",$R457))),0)</f>
        <v/>
      </c>
      <c r="U457" s="39">
        <f>IFERROR(ISNUMBER(SEARCH("Razonar",$R457))/(ISNUMBER(SEARCH("Conocer",$R457))+ISNUMBER(SEARCH("Aplicar",$R457))+ISNUMBER(SEARCH("Razonar",$R457))),0)</f>
        <v/>
      </c>
      <c r="V457" s="11" t="inlineStr">
        <is>
          <t>8°</t>
        </is>
      </c>
      <c r="W457" s="11" t="inlineStr">
        <is>
          <t>Ciclo 5°–8°</t>
        </is>
      </c>
      <c r="X457" s="11">
        <f>IF(OR(IFERROR(INDEX('Datos - Catálogo TIMSS'!$I$5:$I$107,MATCH(K457,'Datos - Catálogo TIMSS'!$A$5:$A$107,0)),"No")="Sí",IFERROR(INDEX('Datos - Catálogo TIMSS'!$I$5:$I$107,MATCH(L457,'Datos - Catálogo TIMSS'!$A$5:$A$107,0)),"No")="Sí"),1,0)</f>
        <v/>
      </c>
      <c r="Y457" s="11">
        <f>IF(IFERROR(INDEX('Datos - Catálogo TIMSS'!$J$5:$J$107,MATCH(K457,'Datos - Catálogo TIMSS'!$A$5:$A$107,0)),"No")="Sí",1,0)</f>
        <v/>
      </c>
      <c r="Z457" s="11">
        <f>IF(IFERROR(INDEX('Datos - Catálogo TIMSS'!$J$5:$J$107,MATCH(L457,'Datos - Catálogo TIMSS'!$A$5:$A$107,0)),"No")="Sí",1,0)</f>
        <v/>
      </c>
      <c r="AA457" s="11" t="inlineStr">
        <is>
          <t>T8-F5.3</t>
        </is>
      </c>
      <c r="AB457" s="11" t="inlineStr"/>
      <c r="AC457" s="11">
        <f>IF(AA457="FUERA","Fuera del marco",IF(AA457="N/A","Sin marco",IFERROR(INDEX('Datos - TIMSS 2023'!$C$5:$C$105,MATCH(AA457,'Datos - TIMSS 2023'!$A$5:$A$105,0)),"Pendiente de clasificar")))</f>
        <v/>
      </c>
      <c r="AD457" s="11" t="inlineStr">
        <is>
          <t>2. Construir y evaluar diseños para la indagación científica e interpretar datos y evidencia de forma crítica</t>
        </is>
      </c>
      <c r="AE457" s="11">
        <f>IF(AD457="","",IF(LEFT(AD457,1)="1","C1",IF(LEFT(AD457,1)="2","C2",IF(LEFT(AD457,1)="3","C3",""))))</f>
        <v/>
      </c>
      <c r="AF457" s="11" t="inlineStr">
        <is>
          <t>E1</t>
        </is>
      </c>
      <c r="AG457" s="11" t="inlineStr">
        <is>
          <t>D1</t>
        </is>
      </c>
      <c r="AH457" s="11" t="inlineStr">
        <is>
          <t>E1</t>
        </is>
      </c>
      <c r="AI457" s="11" t="inlineStr">
        <is>
          <t>D4</t>
        </is>
      </c>
      <c r="AJ457" s="11" t="inlineStr">
        <is>
          <t>E3</t>
        </is>
      </c>
      <c r="AK457" s="11" t="inlineStr">
        <is>
          <t>PISA-F3</t>
        </is>
      </c>
      <c r="AL457" s="11" t="n"/>
      <c r="AM457" s="11">
        <f>IF(AK457="FUERA","Fuera del marco",IFERROR(INDEX('Datos - Catálogo PISA'!$C$5:$C$76,MATCH(AK457,'Datos - Catálogo PISA'!$A$5:$A$76,0)),"?"))</f>
        <v/>
      </c>
      <c r="AN457" s="11" t="inlineStr">
        <is>
          <t>Contenido</t>
        </is>
      </c>
      <c r="AO457" s="11" t="n"/>
      <c r="AP457" s="11" t="n"/>
      <c r="AQ457" s="11" t="inlineStr">
        <is>
          <t>Sin contexto</t>
        </is>
      </c>
      <c r="AR457" s="11" t="n"/>
      <c r="AS457" s="11" t="inlineStr">
        <is>
          <t>Media</t>
        </is>
      </c>
      <c r="AT457" s="11" t="inlineStr">
        <is>
          <t>alta</t>
        </is>
      </c>
      <c r="AU457" s="11" t="inlineStr">
        <is>
          <t>Conservación del momento lineal en interacciones de dos objetos</t>
        </is>
      </c>
      <c r="AV457" s="11" t="inlineStr">
        <is>
          <t>Ciclo 7°–9°</t>
        </is>
      </c>
      <c r="AW457" s="11">
        <f>AF457&amp;"; "&amp;AG457&amp;"; "&amp;AH457&amp;"; "&amp;AI457&amp;"; "&amp;AJ457</f>
        <v/>
      </c>
    </row>
    <row r="458">
      <c r="A458" s="11" t="inlineStr">
        <is>
          <t>T1092-G08-CIE</t>
        </is>
      </c>
      <c r="B458" s="11" t="n">
        <v>8</v>
      </c>
      <c r="C458" s="11" t="inlineStr">
        <is>
          <t>Ciencias</t>
        </is>
      </c>
      <c r="D458" s="11" t="inlineStr">
        <is>
          <t>Matriz_Ciencias_8vo_Grado_U1_U7.xlsx</t>
        </is>
      </c>
      <c r="E458" s="11" t="inlineStr">
        <is>
          <t>Unidad 2 - Energía</t>
        </is>
      </c>
      <c r="F458" s="11" t="n">
        <v>3</v>
      </c>
      <c r="G458" s="11" t="inlineStr">
        <is>
          <t>2. Energía</t>
        </is>
      </c>
      <c r="H458" s="11" t="inlineStr">
        <is>
          <t>Teorema del trabajo y la energía cinética</t>
        </is>
      </c>
      <c r="I458" s="38" t="inlineStr">
        <is>
          <t>2.1. Indagación del concepto de trabajo utilizando máquinas simples.</t>
        </is>
      </c>
      <c r="J458" s="11" t="inlineStr">
        <is>
          <t>T8_27</t>
        </is>
      </c>
      <c r="K458" s="11" t="inlineStr">
        <is>
          <t>T8_27-P5.3</t>
        </is>
      </c>
      <c r="L458" s="11" t="inlineStr">
        <is>
          <t>T8_27-P2.1</t>
        </is>
      </c>
      <c r="M458" s="11">
        <f>IF(K458="FUERA","Fuera del marco",IF(K458="N/A","Sin marco",IFERROR(INDEX('Datos - Catálogo TIMSS'!$C$5:$C$107,MATCH(K458,'Datos - Catálogo TIMSS'!$A$5:$A$107,0)),"Pendiente de clasificar")))</f>
        <v/>
      </c>
      <c r="N458" s="11">
        <f>IF(K458="FUERA","Fuera del marco",IF(K458="N/A","Sin marco",IFERROR(INDEX('Datos - Catálogo TIMSS'!$F$5:$F$107,MATCH(K458,'Datos - Catálogo TIMSS'!$A$5:$A$107,0)),"Pendiente de clasificar")))</f>
        <v/>
      </c>
      <c r="O458" s="11">
        <f>IF(L458="","",IFERROR(INDEX('Datos - Catálogo TIMSS'!$C$5:$C$107,MATCH(L458,'Datos - Catálogo TIMSS'!$A$5:$A$107,0)),"?"))</f>
        <v/>
      </c>
      <c r="P458" s="11" t="inlineStr">
        <is>
          <t>alta</t>
        </is>
      </c>
      <c r="Q458" s="38" t="inlineStr">
        <is>
          <t>Trabajo con máquinas simples; relación con energía</t>
        </is>
      </c>
      <c r="R458" s="38" t="inlineStr">
        <is>
          <t>Conocer: definir. Aplicar: medir</t>
        </is>
      </c>
      <c r="S458" s="39">
        <f>IFERROR(ISNUMBER(SEARCH("Conocer",$R458))/(ISNUMBER(SEARCH("Conocer",$R458))+ISNUMBER(SEARCH("Aplicar",$R458))+ISNUMBER(SEARCH("Razonar",$R458))),0)</f>
        <v/>
      </c>
      <c r="T458" s="39">
        <f>IFERROR(ISNUMBER(SEARCH("Aplicar",$R458))/(ISNUMBER(SEARCH("Conocer",$R458))+ISNUMBER(SEARCH("Aplicar",$R458))+ISNUMBER(SEARCH("Razonar",$R458))),0)</f>
        <v/>
      </c>
      <c r="U458" s="39">
        <f>IFERROR(ISNUMBER(SEARCH("Razonar",$R458))/(ISNUMBER(SEARCH("Conocer",$R458))+ISNUMBER(SEARCH("Aplicar",$R458))+ISNUMBER(SEARCH("Razonar",$R458))),0)</f>
        <v/>
      </c>
      <c r="V458" s="11" t="inlineStr">
        <is>
          <t>8°</t>
        </is>
      </c>
      <c r="W458" s="11" t="inlineStr">
        <is>
          <t>Ciclo 5°–8°</t>
        </is>
      </c>
      <c r="X458" s="11">
        <f>IF(OR(IFERROR(INDEX('Datos - Catálogo TIMSS'!$I$5:$I$107,MATCH(K458,'Datos - Catálogo TIMSS'!$A$5:$A$107,0)),"No")="Sí",IFERROR(INDEX('Datos - Catálogo TIMSS'!$I$5:$I$107,MATCH(L458,'Datos - Catálogo TIMSS'!$A$5:$A$107,0)),"No")="Sí"),1,0)</f>
        <v/>
      </c>
      <c r="Y458" s="11">
        <f>IF(IFERROR(INDEX('Datos - Catálogo TIMSS'!$J$5:$J$107,MATCH(K458,'Datos - Catálogo TIMSS'!$A$5:$A$107,0)),"No")="Sí",1,0)</f>
        <v/>
      </c>
      <c r="Z458" s="11">
        <f>IF(IFERROR(INDEX('Datos - Catálogo TIMSS'!$J$5:$J$107,MATCH(L458,'Datos - Catálogo TIMSS'!$A$5:$A$107,0)),"No")="Sí",1,0)</f>
        <v/>
      </c>
      <c r="AA458" s="11" t="inlineStr">
        <is>
          <t>T8-F5.3</t>
        </is>
      </c>
      <c r="AB458" s="11" t="inlineStr">
        <is>
          <t>T8-F2.1</t>
        </is>
      </c>
      <c r="AC458" s="11">
        <f>IF(AA458="FUERA","Fuera del marco",IF(AA458="N/A","Sin marco",IFERROR(INDEX('Datos - TIMSS 2023'!$C$5:$C$105,MATCH(AA458,'Datos - TIMSS 2023'!$A$5:$A$105,0)),"Pendiente de clasificar")))</f>
        <v/>
      </c>
      <c r="AD458" s="11" t="inlineStr">
        <is>
          <t>1. Explicar fenómenos científicamente</t>
        </is>
      </c>
      <c r="AE458" s="11">
        <f>IF(AD458="","",IF(LEFT(AD458,1)="1","C1",IF(LEFT(AD458,1)="2","C2",IF(LEFT(AD458,1)="3","C3",""))))</f>
        <v/>
      </c>
      <c r="AF458" s="11" t="inlineStr">
        <is>
          <t>E1</t>
        </is>
      </c>
      <c r="AG458" s="11" t="inlineStr">
        <is>
          <t>D1</t>
        </is>
      </c>
      <c r="AH458" s="11" t="inlineStr">
        <is>
          <t>E1</t>
        </is>
      </c>
      <c r="AI458" s="11" t="inlineStr">
        <is>
          <t>D4</t>
        </is>
      </c>
      <c r="AJ458" s="11" t="inlineStr">
        <is>
          <t>E1</t>
        </is>
      </c>
      <c r="AK458" s="11" t="inlineStr">
        <is>
          <t>PISA-F4</t>
        </is>
      </c>
      <c r="AL458" s="11" t="inlineStr">
        <is>
          <t>PISA-F3</t>
        </is>
      </c>
      <c r="AM458" s="11">
        <f>IF(AK458="FUERA","Fuera del marco",IFERROR(INDEX('Datos - Catálogo PISA'!$C$5:$C$76,MATCH(AK458,'Datos - Catálogo PISA'!$A$5:$A$76,0)),"?"))</f>
        <v/>
      </c>
      <c r="AN458" s="11" t="inlineStr">
        <is>
          <t>Contenido</t>
        </is>
      </c>
      <c r="AO458" s="11" t="n"/>
      <c r="AP458" s="11" t="n"/>
      <c r="AQ458" s="11" t="inlineStr">
        <is>
          <t>Sin contexto</t>
        </is>
      </c>
      <c r="AR458" s="11" t="n"/>
      <c r="AS458" s="11" t="inlineStr">
        <is>
          <t>Media</t>
        </is>
      </c>
      <c r="AT458" s="11" t="inlineStr">
        <is>
          <t>alta</t>
        </is>
      </c>
      <c r="AU458" s="11" t="inlineStr">
        <is>
          <t>Concepto de trabajo como transferencia de energía con máquinas simples</t>
        </is>
      </c>
      <c r="AV458" s="11" t="inlineStr">
        <is>
          <t>Ciclo 7°–9°</t>
        </is>
      </c>
      <c r="AW458" s="11">
        <f>AF458&amp;"; "&amp;AG458&amp;"; "&amp;AH458&amp;"; "&amp;AI458&amp;"; "&amp;AJ458</f>
        <v/>
      </c>
    </row>
    <row r="459">
      <c r="A459" s="11" t="inlineStr">
        <is>
          <t>T1093-G08-CIE</t>
        </is>
      </c>
      <c r="B459" s="11" t="n">
        <v>8</v>
      </c>
      <c r="C459" s="11" t="inlineStr">
        <is>
          <t>Ciencias</t>
        </is>
      </c>
      <c r="D459" s="11" t="inlineStr">
        <is>
          <t>Matriz_Ciencias_8vo_Grado_U1_U7.xlsx</t>
        </is>
      </c>
      <c r="E459" s="11" t="inlineStr">
        <is>
          <t>Unidad 2 - Energía</t>
        </is>
      </c>
      <c r="F459" s="11" t="n">
        <v>4</v>
      </c>
      <c r="G459" s="11" t="inlineStr">
        <is>
          <t>2. Energía</t>
        </is>
      </c>
      <c r="H459" s="11" t="inlineStr">
        <is>
          <t>Teorema del trabajo y la energía cinética</t>
        </is>
      </c>
      <c r="I459" s="38" t="inlineStr">
        <is>
          <t>2.2. Resolución de problemas empleando el teorema del trabajo y la energía cinética.</t>
        </is>
      </c>
      <c r="J459" s="11" t="inlineStr">
        <is>
          <t>T8_27</t>
        </is>
      </c>
      <c r="K459" s="11" t="inlineStr">
        <is>
          <t>T8_27-P2.1</t>
        </is>
      </c>
      <c r="L459" s="11" t="inlineStr"/>
      <c r="M459" s="11">
        <f>IF(K459="FUERA","Fuera del marco",IF(K459="N/A","Sin marco",IFERROR(INDEX('Datos - Catálogo TIMSS'!$C$5:$C$107,MATCH(K459,'Datos - Catálogo TIMSS'!$A$5:$A$107,0)),"Pendiente de clasificar")))</f>
        <v/>
      </c>
      <c r="N459" s="11">
        <f>IF(K459="FUERA","Fuera del marco",IF(K459="N/A","Sin marco",IFERROR(INDEX('Datos - Catálogo TIMSS'!$F$5:$F$107,MATCH(K459,'Datos - Catálogo TIMSS'!$A$5:$A$107,0)),"Pendiente de clasificar")))</f>
        <v/>
      </c>
      <c r="O459" s="11">
        <f>IF(L459="","",IFERROR(INDEX('Datos - Catálogo TIMSS'!$C$5:$C$107,MATCH(L459,'Datos - Catálogo TIMSS'!$A$5:$A$107,0)),"?"))</f>
        <v/>
      </c>
      <c r="P459" s="11" t="inlineStr">
        <is>
          <t>media</t>
        </is>
      </c>
      <c r="Q459" s="38" t="inlineStr">
        <is>
          <t>Teorema trabajo-energía cinética: formas y transformaciones de energía</t>
        </is>
      </c>
      <c r="R459" s="38" t="inlineStr">
        <is>
          <t>Aplicar: resolver problemas</t>
        </is>
      </c>
      <c r="S459" s="39">
        <f>IFERROR(ISNUMBER(SEARCH("Conocer",$R459))/(ISNUMBER(SEARCH("Conocer",$R459))+ISNUMBER(SEARCH("Aplicar",$R459))+ISNUMBER(SEARCH("Razonar",$R459))),0)</f>
        <v/>
      </c>
      <c r="T459" s="39">
        <f>IFERROR(ISNUMBER(SEARCH("Aplicar",$R459))/(ISNUMBER(SEARCH("Conocer",$R459))+ISNUMBER(SEARCH("Aplicar",$R459))+ISNUMBER(SEARCH("Razonar",$R459))),0)</f>
        <v/>
      </c>
      <c r="U459" s="39">
        <f>IFERROR(ISNUMBER(SEARCH("Razonar",$R459))/(ISNUMBER(SEARCH("Conocer",$R459))+ISNUMBER(SEARCH("Aplicar",$R459))+ISNUMBER(SEARCH("Razonar",$R459))),0)</f>
        <v/>
      </c>
      <c r="V459" s="11" t="inlineStr">
        <is>
          <t>8°</t>
        </is>
      </c>
      <c r="W459" s="11" t="inlineStr">
        <is>
          <t>Ciclo 5°–8°</t>
        </is>
      </c>
      <c r="X459" s="11">
        <f>IF(OR(IFERROR(INDEX('Datos - Catálogo TIMSS'!$I$5:$I$107,MATCH(K459,'Datos - Catálogo TIMSS'!$A$5:$A$107,0)),"No")="Sí",IFERROR(INDEX('Datos - Catálogo TIMSS'!$I$5:$I$107,MATCH(L459,'Datos - Catálogo TIMSS'!$A$5:$A$107,0)),"No")="Sí"),1,0)</f>
        <v/>
      </c>
      <c r="Y459" s="11">
        <f>IF(IFERROR(INDEX('Datos - Catálogo TIMSS'!$J$5:$J$107,MATCH(K459,'Datos - Catálogo TIMSS'!$A$5:$A$107,0)),"No")="Sí",1,0)</f>
        <v/>
      </c>
      <c r="Z459" s="11">
        <f>IF(IFERROR(INDEX('Datos - Catálogo TIMSS'!$J$5:$J$107,MATCH(L459,'Datos - Catálogo TIMSS'!$A$5:$A$107,0)),"No")="Sí",1,0)</f>
        <v/>
      </c>
      <c r="AA459" s="11" t="inlineStr">
        <is>
          <t>T8-F2.1</t>
        </is>
      </c>
      <c r="AB459" s="11" t="inlineStr"/>
      <c r="AC459" s="11">
        <f>IF(AA459="FUERA","Fuera del marco",IF(AA459="N/A","Sin marco",IFERROR(INDEX('Datos - TIMSS 2023'!$C$5:$C$105,MATCH(AA459,'Datos - TIMSS 2023'!$A$5:$A$105,0)),"Pendiente de clasificar")))</f>
        <v/>
      </c>
      <c r="AD459" s="11" t="inlineStr">
        <is>
          <t>2. Construir y evaluar diseños para la indagación científica e interpretar datos y evidencia de forma crítica</t>
        </is>
      </c>
      <c r="AE459" s="11">
        <f>IF(AD459="","",IF(LEFT(AD459,1)="1","C1",IF(LEFT(AD459,1)="2","C2",IF(LEFT(AD459,1)="3","C3",""))))</f>
        <v/>
      </c>
      <c r="AF459" s="11" t="inlineStr">
        <is>
          <t>E1</t>
        </is>
      </c>
      <c r="AG459" s="11" t="inlineStr">
        <is>
          <t>D1</t>
        </is>
      </c>
      <c r="AH459" s="11" t="inlineStr">
        <is>
          <t>E1</t>
        </is>
      </c>
      <c r="AI459" s="11" t="inlineStr">
        <is>
          <t>D4</t>
        </is>
      </c>
      <c r="AJ459" s="11" t="inlineStr">
        <is>
          <t>E3</t>
        </is>
      </c>
      <c r="AK459" s="11" t="inlineStr">
        <is>
          <t>PISA-F4</t>
        </is>
      </c>
      <c r="AL459" s="11" t="inlineStr">
        <is>
          <t>PISA-F3</t>
        </is>
      </c>
      <c r="AM459" s="11">
        <f>IF(AK459="FUERA","Fuera del marco",IFERROR(INDEX('Datos - Catálogo PISA'!$C$5:$C$76,MATCH(AK459,'Datos - Catálogo PISA'!$A$5:$A$76,0)),"?"))</f>
        <v/>
      </c>
      <c r="AN459" s="11" t="inlineStr">
        <is>
          <t>Contenido</t>
        </is>
      </c>
      <c r="AO459" s="11" t="n"/>
      <c r="AP459" s="11" t="n"/>
      <c r="AQ459" s="11" t="inlineStr">
        <is>
          <t>Sin contexto</t>
        </is>
      </c>
      <c r="AR459" s="11" t="n"/>
      <c r="AS459" s="11" t="inlineStr">
        <is>
          <t>Media</t>
        </is>
      </c>
      <c r="AT459" s="11" t="inlineStr">
        <is>
          <t>alta</t>
        </is>
      </c>
      <c r="AU459" s="11" t="inlineStr">
        <is>
          <t>Teorema trabajo-energía cinética en problemas</t>
        </is>
      </c>
      <c r="AV459" s="11" t="inlineStr">
        <is>
          <t>Ciclo 7°–9°</t>
        </is>
      </c>
      <c r="AW459" s="11">
        <f>AF459&amp;"; "&amp;AG459&amp;"; "&amp;AH459&amp;"; "&amp;AI459&amp;"; "&amp;AJ459</f>
        <v/>
      </c>
    </row>
    <row r="460">
      <c r="A460" s="11" t="inlineStr">
        <is>
          <t>T1094-G08-CIE</t>
        </is>
      </c>
      <c r="B460" s="11" t="n">
        <v>8</v>
      </c>
      <c r="C460" s="11" t="inlineStr">
        <is>
          <t>Ciencias</t>
        </is>
      </c>
      <c r="D460" s="11" t="inlineStr">
        <is>
          <t>Matriz_Ciencias_8vo_Grado_U1_U7.xlsx</t>
        </is>
      </c>
      <c r="E460" s="11" t="inlineStr">
        <is>
          <t>Unidad 2 - Energía</t>
        </is>
      </c>
      <c r="F460" s="11" t="n">
        <v>5</v>
      </c>
      <c r="G460" s="11" t="inlineStr">
        <is>
          <t>2. Energía</t>
        </is>
      </c>
      <c r="H460" s="11" t="inlineStr">
        <is>
          <t>Teorema del trabajo y la energía cinética</t>
        </is>
      </c>
      <c r="I460" s="38" t="inlineStr">
        <is>
          <t>2.3. Interpretación de los signos matemáticos del trabajo a partir de la experimentación.</t>
        </is>
      </c>
      <c r="J460" s="11" t="inlineStr">
        <is>
          <t>T8_27</t>
        </is>
      </c>
      <c r="K460" s="11" t="inlineStr">
        <is>
          <t>T8_27-P2.1</t>
        </is>
      </c>
      <c r="L460" s="11" t="inlineStr"/>
      <c r="M460" s="11">
        <f>IF(K460="FUERA","Fuera del marco",IF(K460="N/A","Sin marco",IFERROR(INDEX('Datos - Catálogo TIMSS'!$C$5:$C$107,MATCH(K460,'Datos - Catálogo TIMSS'!$A$5:$A$107,0)),"Pendiente de clasificar")))</f>
        <v/>
      </c>
      <c r="N460" s="11">
        <f>IF(K460="FUERA","Fuera del marco",IF(K460="N/A","Sin marco",IFERROR(INDEX('Datos - Catálogo TIMSS'!$F$5:$F$107,MATCH(K460,'Datos - Catálogo TIMSS'!$A$5:$A$107,0)),"Pendiente de clasificar")))</f>
        <v/>
      </c>
      <c r="O460" s="11">
        <f>IF(L460="","",IFERROR(INDEX('Datos - Catálogo TIMSS'!$C$5:$C$107,MATCH(L460,'Datos - Catálogo TIMSS'!$A$5:$A$107,0)),"?"))</f>
        <v/>
      </c>
      <c r="P460" s="11" t="inlineStr">
        <is>
          <t>media</t>
        </is>
      </c>
      <c r="Q460" s="38" t="inlineStr">
        <is>
          <t>Signo del trabajo como ganancia o pérdida de energía</t>
        </is>
      </c>
      <c r="R460" s="38" t="inlineStr">
        <is>
          <t>Aplicar: interpretar</t>
        </is>
      </c>
      <c r="S460" s="39">
        <f>IFERROR(ISNUMBER(SEARCH("Conocer",$R460))/(ISNUMBER(SEARCH("Conocer",$R460))+ISNUMBER(SEARCH("Aplicar",$R460))+ISNUMBER(SEARCH("Razonar",$R460))),0)</f>
        <v/>
      </c>
      <c r="T460" s="39">
        <f>IFERROR(ISNUMBER(SEARCH("Aplicar",$R460))/(ISNUMBER(SEARCH("Conocer",$R460))+ISNUMBER(SEARCH("Aplicar",$R460))+ISNUMBER(SEARCH("Razonar",$R460))),0)</f>
        <v/>
      </c>
      <c r="U460" s="39">
        <f>IFERROR(ISNUMBER(SEARCH("Razonar",$R460))/(ISNUMBER(SEARCH("Conocer",$R460))+ISNUMBER(SEARCH("Aplicar",$R460))+ISNUMBER(SEARCH("Razonar",$R460))),0)</f>
        <v/>
      </c>
      <c r="V460" s="11" t="inlineStr">
        <is>
          <t>8°</t>
        </is>
      </c>
      <c r="W460" s="11" t="inlineStr">
        <is>
          <t>Ciclo 5°–8°</t>
        </is>
      </c>
      <c r="X460" s="11">
        <f>IF(OR(IFERROR(INDEX('Datos - Catálogo TIMSS'!$I$5:$I$107,MATCH(K460,'Datos - Catálogo TIMSS'!$A$5:$A$107,0)),"No")="Sí",IFERROR(INDEX('Datos - Catálogo TIMSS'!$I$5:$I$107,MATCH(L460,'Datos - Catálogo TIMSS'!$A$5:$A$107,0)),"No")="Sí"),1,0)</f>
        <v/>
      </c>
      <c r="Y460" s="11">
        <f>IF(IFERROR(INDEX('Datos - Catálogo TIMSS'!$J$5:$J$107,MATCH(K460,'Datos - Catálogo TIMSS'!$A$5:$A$107,0)),"No")="Sí",1,0)</f>
        <v/>
      </c>
      <c r="Z460" s="11">
        <f>IF(IFERROR(INDEX('Datos - Catálogo TIMSS'!$J$5:$J$107,MATCH(L460,'Datos - Catálogo TIMSS'!$A$5:$A$107,0)),"No")="Sí",1,0)</f>
        <v/>
      </c>
      <c r="AA460" s="11" t="inlineStr">
        <is>
          <t>T8-F2.1</t>
        </is>
      </c>
      <c r="AB460" s="11" t="inlineStr"/>
      <c r="AC460" s="11">
        <f>IF(AA460="FUERA","Fuera del marco",IF(AA460="N/A","Sin marco",IFERROR(INDEX('Datos - TIMSS 2023'!$C$5:$C$105,MATCH(AA460,'Datos - TIMSS 2023'!$A$5:$A$105,0)),"Pendiente de clasificar")))</f>
        <v/>
      </c>
      <c r="AD460" s="11" t="inlineStr">
        <is>
          <t>2. Construir y evaluar diseños para la indagación científica e interpretar datos y evidencia de forma crítica</t>
        </is>
      </c>
      <c r="AE460" s="11">
        <f>IF(AD460="","",IF(LEFT(AD460,1)="1","C1",IF(LEFT(AD460,1)="2","C2",IF(LEFT(AD460,1)="3","C3",""))))</f>
        <v/>
      </c>
      <c r="AF460" s="11" t="inlineStr">
        <is>
          <t>E1</t>
        </is>
      </c>
      <c r="AG460" s="11" t="inlineStr">
        <is>
          <t>D1</t>
        </is>
      </c>
      <c r="AH460" s="11" t="inlineStr">
        <is>
          <t>E1</t>
        </is>
      </c>
      <c r="AI460" s="11" t="inlineStr">
        <is>
          <t>D4</t>
        </is>
      </c>
      <c r="AJ460" s="11" t="inlineStr">
        <is>
          <t>E1</t>
        </is>
      </c>
      <c r="AK460" s="11" t="inlineStr">
        <is>
          <t>PISA-F4</t>
        </is>
      </c>
      <c r="AL460" s="11" t="n"/>
      <c r="AM460" s="11">
        <f>IF(AK460="FUERA","Fuera del marco",IFERROR(INDEX('Datos - Catálogo PISA'!$C$5:$C$76,MATCH(AK460,'Datos - Catálogo PISA'!$A$5:$A$76,0)),"?"))</f>
        <v/>
      </c>
      <c r="AN460" s="11" t="inlineStr">
        <is>
          <t>Contenido</t>
        </is>
      </c>
      <c r="AO460" s="11" t="n"/>
      <c r="AP460" s="11" t="n"/>
      <c r="AQ460" s="11" t="inlineStr">
        <is>
          <t>Sin contexto</t>
        </is>
      </c>
      <c r="AR460" s="11" t="n"/>
      <c r="AS460" s="11" t="inlineStr">
        <is>
          <t>Media</t>
        </is>
      </c>
      <c r="AT460" s="11" t="inlineStr">
        <is>
          <t>alta</t>
        </is>
      </c>
      <c r="AU460" s="11" t="inlineStr">
        <is>
          <t>Signo del trabajo y transferencia de energía en experimentos</t>
        </is>
      </c>
      <c r="AV460" s="11" t="inlineStr">
        <is>
          <t>Ciclo 7°–9°</t>
        </is>
      </c>
      <c r="AW460" s="11">
        <f>AF460&amp;"; "&amp;AG460&amp;"; "&amp;AH460&amp;"; "&amp;AI460&amp;"; "&amp;AJ460</f>
        <v/>
      </c>
    </row>
    <row r="461">
      <c r="A461" s="11" t="inlineStr">
        <is>
          <t>T1095-G08-CIE</t>
        </is>
      </c>
      <c r="B461" s="11" t="n">
        <v>8</v>
      </c>
      <c r="C461" s="11" t="inlineStr">
        <is>
          <t>Ciencias</t>
        </is>
      </c>
      <c r="D461" s="11" t="inlineStr">
        <is>
          <t>Matriz_Ciencias_8vo_Grado_U1_U7.xlsx</t>
        </is>
      </c>
      <c r="E461" s="11" t="inlineStr">
        <is>
          <t>Unidad 2 - Energía</t>
        </is>
      </c>
      <c r="F461" s="11" t="n">
        <v>6</v>
      </c>
      <c r="G461" s="11" t="inlineStr">
        <is>
          <t>2. Energía</t>
        </is>
      </c>
      <c r="H461" s="11" t="inlineStr">
        <is>
          <t>Tipos de energía mecánica</t>
        </is>
      </c>
      <c r="I461" s="38" t="inlineStr">
        <is>
          <t>2.4. Indagación del concepto de trabajo de rotación.</t>
        </is>
      </c>
      <c r="J461" s="11" t="inlineStr">
        <is>
          <t>T8_27</t>
        </is>
      </c>
      <c r="K461" s="11" t="inlineStr">
        <is>
          <t>T8_27-P2.1</t>
        </is>
      </c>
      <c r="L461" s="11" t="inlineStr"/>
      <c r="M461" s="11">
        <f>IF(K461="FUERA","Fuera del marco",IF(K461="N/A","Sin marco",IFERROR(INDEX('Datos - Catálogo TIMSS'!$C$5:$C$107,MATCH(K461,'Datos - Catálogo TIMSS'!$A$5:$A$107,0)),"Pendiente de clasificar")))</f>
        <v/>
      </c>
      <c r="N461" s="11">
        <f>IF(K461="FUERA","Fuera del marco",IF(K461="N/A","Sin marco",IFERROR(INDEX('Datos - Catálogo TIMSS'!$F$5:$F$107,MATCH(K461,'Datos - Catálogo TIMSS'!$A$5:$A$107,0)),"Pendiente de clasificar")))</f>
        <v/>
      </c>
      <c r="O461" s="11">
        <f>IF(L461="","",IFERROR(INDEX('Datos - Catálogo TIMSS'!$C$5:$C$107,MATCH(L461,'Datos - Catálogo TIMSS'!$A$5:$A$107,0)),"?"))</f>
        <v/>
      </c>
      <c r="P461" s="11" t="inlineStr">
        <is>
          <t>baja</t>
        </is>
      </c>
      <c r="Q461" s="38" t="inlineStr">
        <is>
          <t>Trabajo de rotación: transferencia de energía, rotación fuera de TIMSS</t>
        </is>
      </c>
      <c r="R461" s="38" t="inlineStr">
        <is>
          <t>Conocer: ejemplificar</t>
        </is>
      </c>
      <c r="S461" s="39">
        <f>IFERROR(ISNUMBER(SEARCH("Conocer",$R461))/(ISNUMBER(SEARCH("Conocer",$R461))+ISNUMBER(SEARCH("Aplicar",$R461))+ISNUMBER(SEARCH("Razonar",$R461))),0)</f>
        <v/>
      </c>
      <c r="T461" s="39">
        <f>IFERROR(ISNUMBER(SEARCH("Aplicar",$R461))/(ISNUMBER(SEARCH("Conocer",$R461))+ISNUMBER(SEARCH("Aplicar",$R461))+ISNUMBER(SEARCH("Razonar",$R461))),0)</f>
        <v/>
      </c>
      <c r="U461" s="39">
        <f>IFERROR(ISNUMBER(SEARCH("Razonar",$R461))/(ISNUMBER(SEARCH("Conocer",$R461))+ISNUMBER(SEARCH("Aplicar",$R461))+ISNUMBER(SEARCH("Razonar",$R461))),0)</f>
        <v/>
      </c>
      <c r="V461" s="11" t="inlineStr">
        <is>
          <t>8°</t>
        </is>
      </c>
      <c r="W461" s="11" t="inlineStr">
        <is>
          <t>Ciclo 5°–8°</t>
        </is>
      </c>
      <c r="X461" s="11">
        <f>IF(OR(IFERROR(INDEX('Datos - Catálogo TIMSS'!$I$5:$I$107,MATCH(K461,'Datos - Catálogo TIMSS'!$A$5:$A$107,0)),"No")="Sí",IFERROR(INDEX('Datos - Catálogo TIMSS'!$I$5:$I$107,MATCH(L461,'Datos - Catálogo TIMSS'!$A$5:$A$107,0)),"No")="Sí"),1,0)</f>
        <v/>
      </c>
      <c r="Y461" s="11">
        <f>IF(IFERROR(INDEX('Datos - Catálogo TIMSS'!$J$5:$J$107,MATCH(K461,'Datos - Catálogo TIMSS'!$A$5:$A$107,0)),"No")="Sí",1,0)</f>
        <v/>
      </c>
      <c r="Z461" s="11">
        <f>IF(IFERROR(INDEX('Datos - Catálogo TIMSS'!$J$5:$J$107,MATCH(L461,'Datos - Catálogo TIMSS'!$A$5:$A$107,0)),"No")="Sí",1,0)</f>
        <v/>
      </c>
      <c r="AA461" s="11" t="inlineStr">
        <is>
          <t>T8-F2.1</t>
        </is>
      </c>
      <c r="AB461" s="11" t="inlineStr"/>
      <c r="AC461" s="11">
        <f>IF(AA461="FUERA","Fuera del marco",IF(AA461="N/A","Sin marco",IFERROR(INDEX('Datos - TIMSS 2023'!$C$5:$C$105,MATCH(AA461,'Datos - TIMSS 2023'!$A$5:$A$105,0)),"Pendiente de clasificar")))</f>
        <v/>
      </c>
      <c r="AD461" s="11" t="inlineStr">
        <is>
          <t>1. Explicar fenómenos científicamente</t>
        </is>
      </c>
      <c r="AE461" s="11">
        <f>IF(AD461="","",IF(LEFT(AD461,1)="1","C1",IF(LEFT(AD461,1)="2","C2",IF(LEFT(AD461,1)="3","C3",""))))</f>
        <v/>
      </c>
      <c r="AF461" s="11" t="inlineStr">
        <is>
          <t>E1</t>
        </is>
      </c>
      <c r="AG461" s="11" t="inlineStr">
        <is>
          <t>D1</t>
        </is>
      </c>
      <c r="AH461" s="11" t="inlineStr">
        <is>
          <t>E1</t>
        </is>
      </c>
      <c r="AI461" s="11" t="inlineStr">
        <is>
          <t>D4</t>
        </is>
      </c>
      <c r="AJ461" s="11" t="inlineStr">
        <is>
          <t>E1</t>
        </is>
      </c>
      <c r="AK461" s="11" t="inlineStr">
        <is>
          <t>PISA-F4</t>
        </is>
      </c>
      <c r="AL461" s="11" t="inlineStr">
        <is>
          <t>PISA-F3</t>
        </is>
      </c>
      <c r="AM461" s="11">
        <f>IF(AK461="FUERA","Fuera del marco",IFERROR(INDEX('Datos - Catálogo PISA'!$C$5:$C$76,MATCH(AK461,'Datos - Catálogo PISA'!$A$5:$A$76,0)),"?"))</f>
        <v/>
      </c>
      <c r="AN461" s="11" t="inlineStr">
        <is>
          <t>Contenido</t>
        </is>
      </c>
      <c r="AO461" s="11" t="n"/>
      <c r="AP461" s="11" t="n"/>
      <c r="AQ461" s="11" t="inlineStr">
        <is>
          <t>Sin contexto</t>
        </is>
      </c>
      <c r="AR461" s="11" t="n"/>
      <c r="AS461" s="11" t="inlineStr">
        <is>
          <t>Media</t>
        </is>
      </c>
      <c r="AT461" s="11" t="inlineStr">
        <is>
          <t>media</t>
        </is>
      </c>
      <c r="AU461" s="11" t="inlineStr">
        <is>
          <t>Trabajo de rotación ejemplificado en situaciones cotidianas</t>
        </is>
      </c>
      <c r="AV461" s="11" t="inlineStr">
        <is>
          <t>Ciclo 7°–9°</t>
        </is>
      </c>
      <c r="AW461" s="11">
        <f>AF461&amp;"; "&amp;AG461&amp;"; "&amp;AH461&amp;"; "&amp;AI461&amp;"; "&amp;AJ461</f>
        <v/>
      </c>
    </row>
    <row r="462">
      <c r="A462" s="11" t="inlineStr">
        <is>
          <t>T1096-G08-CIE</t>
        </is>
      </c>
      <c r="B462" s="11" t="n">
        <v>8</v>
      </c>
      <c r="C462" s="11" t="inlineStr">
        <is>
          <t>Ciencias</t>
        </is>
      </c>
      <c r="D462" s="11" t="inlineStr">
        <is>
          <t>Matriz_Ciencias_8vo_Grado_U1_U7.xlsx</t>
        </is>
      </c>
      <c r="E462" s="11" t="inlineStr">
        <is>
          <t>Unidad 2 - Energía</t>
        </is>
      </c>
      <c r="F462" s="11" t="n">
        <v>7</v>
      </c>
      <c r="G462" s="11" t="inlineStr">
        <is>
          <t>2. Energía</t>
        </is>
      </c>
      <c r="H462" s="11" t="inlineStr">
        <is>
          <t>Tipos de energía mecánica</t>
        </is>
      </c>
      <c r="I462" s="38" t="inlineStr">
        <is>
          <t>2.5. Experimentación con el momento de inercia en objetos con movimiento rotacional.</t>
        </is>
      </c>
      <c r="J462" s="11" t="inlineStr">
        <is>
          <t>T8_27</t>
        </is>
      </c>
      <c r="K462" s="11" t="inlineStr">
        <is>
          <t>T8_27-P5.3</t>
        </is>
      </c>
      <c r="L462" s="11" t="inlineStr"/>
      <c r="M462" s="11">
        <f>IF(K462="FUERA","Fuera del marco",IF(K462="N/A","Sin marco",IFERROR(INDEX('Datos - Catálogo TIMSS'!$C$5:$C$107,MATCH(K462,'Datos - Catálogo TIMSS'!$A$5:$A$107,0)),"Pendiente de clasificar")))</f>
        <v/>
      </c>
      <c r="N462" s="11">
        <f>IF(K462="FUERA","Fuera del marco",IF(K462="N/A","Sin marco",IFERROR(INDEX('Datos - Catálogo TIMSS'!$F$5:$F$107,MATCH(K462,'Datos - Catálogo TIMSS'!$A$5:$A$107,0)),"Pendiente de clasificar")))</f>
        <v/>
      </c>
      <c r="O462" s="11">
        <f>IF(L462="","",IFERROR(INDEX('Datos - Catálogo TIMSS'!$C$5:$C$107,MATCH(L462,'Datos - Catálogo TIMSS'!$A$5:$A$107,0)),"?"))</f>
        <v/>
      </c>
      <c r="P462" s="11" t="inlineStr">
        <is>
          <t>baja</t>
        </is>
      </c>
      <c r="Q462" s="38" t="inlineStr">
        <is>
          <t>Momento de inercia y rotación; solo afín a efectos de fuerzas</t>
        </is>
      </c>
      <c r="R462" s="38" t="inlineStr">
        <is>
          <t>Razonar: predecir y comprobar</t>
        </is>
      </c>
      <c r="S462" s="39">
        <f>IFERROR(ISNUMBER(SEARCH("Conocer",$R462))/(ISNUMBER(SEARCH("Conocer",$R462))+ISNUMBER(SEARCH("Aplicar",$R462))+ISNUMBER(SEARCH("Razonar",$R462))),0)</f>
        <v/>
      </c>
      <c r="T462" s="39">
        <f>IFERROR(ISNUMBER(SEARCH("Aplicar",$R462))/(ISNUMBER(SEARCH("Conocer",$R462))+ISNUMBER(SEARCH("Aplicar",$R462))+ISNUMBER(SEARCH("Razonar",$R462))),0)</f>
        <v/>
      </c>
      <c r="U462" s="39">
        <f>IFERROR(ISNUMBER(SEARCH("Razonar",$R462))/(ISNUMBER(SEARCH("Conocer",$R462))+ISNUMBER(SEARCH("Aplicar",$R462))+ISNUMBER(SEARCH("Razonar",$R462))),0)</f>
        <v/>
      </c>
      <c r="V462" s="11" t="inlineStr">
        <is>
          <t>8°</t>
        </is>
      </c>
      <c r="W462" s="11" t="inlineStr">
        <is>
          <t>Ciclo 5°–8°</t>
        </is>
      </c>
      <c r="X462" s="11">
        <f>IF(OR(IFERROR(INDEX('Datos - Catálogo TIMSS'!$I$5:$I$107,MATCH(K462,'Datos - Catálogo TIMSS'!$A$5:$A$107,0)),"No")="Sí",IFERROR(INDEX('Datos - Catálogo TIMSS'!$I$5:$I$107,MATCH(L462,'Datos - Catálogo TIMSS'!$A$5:$A$107,0)),"No")="Sí"),1,0)</f>
        <v/>
      </c>
      <c r="Y462" s="11">
        <f>IF(IFERROR(INDEX('Datos - Catálogo TIMSS'!$J$5:$J$107,MATCH(K462,'Datos - Catálogo TIMSS'!$A$5:$A$107,0)),"No")="Sí",1,0)</f>
        <v/>
      </c>
      <c r="Z462" s="11">
        <f>IF(IFERROR(INDEX('Datos - Catálogo TIMSS'!$J$5:$J$107,MATCH(L462,'Datos - Catálogo TIMSS'!$A$5:$A$107,0)),"No")="Sí",1,0)</f>
        <v/>
      </c>
      <c r="AA462" s="11" t="inlineStr">
        <is>
          <t>T8-F5.3</t>
        </is>
      </c>
      <c r="AB462" s="11" t="inlineStr"/>
      <c r="AC462" s="11">
        <f>IF(AA462="FUERA","Fuera del marco",IF(AA462="N/A","Sin marco",IFERROR(INDEX('Datos - TIMSS 2023'!$C$5:$C$105,MATCH(AA462,'Datos - TIMSS 2023'!$A$5:$A$105,0)),"Pendiente de clasificar")))</f>
        <v/>
      </c>
      <c r="AD462" s="11" t="inlineStr">
        <is>
          <t>2. Construir y evaluar diseños para la indagación científica e interpretar datos y evidencia de forma crítica</t>
        </is>
      </c>
      <c r="AE462" s="11">
        <f>IF(AD462="","",IF(LEFT(AD462,1)="1","C1",IF(LEFT(AD462,1)="2","C2",IF(LEFT(AD462,1)="3","C3",""))))</f>
        <v/>
      </c>
      <c r="AF462" s="11" t="inlineStr">
        <is>
          <t>E1</t>
        </is>
      </c>
      <c r="AG462" s="11" t="inlineStr">
        <is>
          <t>E3</t>
        </is>
      </c>
      <c r="AH462" s="11" t="inlineStr">
        <is>
          <t>E1</t>
        </is>
      </c>
      <c r="AI462" s="11" t="inlineStr">
        <is>
          <t>D4</t>
        </is>
      </c>
      <c r="AJ462" s="11" t="inlineStr">
        <is>
          <t>E6</t>
        </is>
      </c>
      <c r="AK462" s="11" t="inlineStr">
        <is>
          <t>PISA-F3</t>
        </is>
      </c>
      <c r="AL462" s="11" t="inlineStr">
        <is>
          <t>PISA-F4</t>
        </is>
      </c>
      <c r="AM462" s="11">
        <f>IF(AK462="FUERA","Fuera del marco",IFERROR(INDEX('Datos - Catálogo PISA'!$C$5:$C$76,MATCH(AK462,'Datos - Catálogo PISA'!$A$5:$A$76,0)),"?"))</f>
        <v/>
      </c>
      <c r="AN462" s="11" t="inlineStr">
        <is>
          <t>Contenido</t>
        </is>
      </c>
      <c r="AO462" s="11" t="inlineStr">
        <is>
          <t>PISA-PR2;</t>
        </is>
      </c>
      <c r="AP462" s="11" t="n"/>
      <c r="AQ462" s="11" t="inlineStr">
        <is>
          <t>Sin contexto</t>
        </is>
      </c>
      <c r="AR462" s="11" t="n"/>
      <c r="AS462" s="11" t="inlineStr">
        <is>
          <t>Media</t>
        </is>
      </c>
      <c r="AT462" s="11" t="inlineStr">
        <is>
          <t>media</t>
        </is>
      </c>
      <c r="AU462" s="11" t="inlineStr">
        <is>
          <t>Momento de inercia en rotación medido con tiempos</t>
        </is>
      </c>
      <c r="AV462" s="11" t="inlineStr">
        <is>
          <t>Ciclo 7°–9°</t>
        </is>
      </c>
      <c r="AW462" s="11">
        <f>AF462&amp;"; "&amp;AG462&amp;"; "&amp;AH462&amp;"; "&amp;AI462&amp;"; "&amp;AJ462</f>
        <v/>
      </c>
    </row>
    <row r="463">
      <c r="A463" s="11" t="inlineStr">
        <is>
          <t>T1097-G08-CIE</t>
        </is>
      </c>
      <c r="B463" s="11" t="n">
        <v>8</v>
      </c>
      <c r="C463" s="11" t="inlineStr">
        <is>
          <t>Ciencias</t>
        </is>
      </c>
      <c r="D463" s="11" t="inlineStr">
        <is>
          <t>Matriz_Ciencias_8vo_Grado_U1_U7.xlsx</t>
        </is>
      </c>
      <c r="E463" s="11" t="inlineStr">
        <is>
          <t>Unidad 2 - Energía</t>
        </is>
      </c>
      <c r="F463" s="11" t="n">
        <v>8</v>
      </c>
      <c r="G463" s="11" t="inlineStr">
        <is>
          <t>2. Energía</t>
        </is>
      </c>
      <c r="H463" s="11" t="inlineStr">
        <is>
          <t>Tipos de energía mecánica</t>
        </is>
      </c>
      <c r="I463" s="38" t="inlineStr">
        <is>
          <t>2.6. Cálculo de la energía total a partir de las energías cinética y potencial de objetos que se trasladan y rotan.</t>
        </is>
      </c>
      <c r="J463" s="11" t="inlineStr">
        <is>
          <t>T8_27</t>
        </is>
      </c>
      <c r="K463" s="11" t="inlineStr">
        <is>
          <t>T8_27-P2.1</t>
        </is>
      </c>
      <c r="L463" s="11" t="inlineStr"/>
      <c r="M463" s="11">
        <f>IF(K463="FUERA","Fuera del marco",IF(K463="N/A","Sin marco",IFERROR(INDEX('Datos - Catálogo TIMSS'!$C$5:$C$107,MATCH(K463,'Datos - Catálogo TIMSS'!$A$5:$A$107,0)),"Pendiente de clasificar")))</f>
        <v/>
      </c>
      <c r="N463" s="11">
        <f>IF(K463="FUERA","Fuera del marco",IF(K463="N/A","Sin marco",IFERROR(INDEX('Datos - Catálogo TIMSS'!$F$5:$F$107,MATCH(K463,'Datos - Catálogo TIMSS'!$A$5:$A$107,0)),"Pendiente de clasificar")))</f>
        <v/>
      </c>
      <c r="O463" s="11">
        <f>IF(L463="","",IFERROR(INDEX('Datos - Catálogo TIMSS'!$C$5:$C$107,MATCH(L463,'Datos - Catálogo TIMSS'!$A$5:$A$107,0)),"?"))</f>
        <v/>
      </c>
      <c r="P463" s="11" t="inlineStr">
        <is>
          <t>alta</t>
        </is>
      </c>
      <c r="Q463" s="38" t="inlineStr">
        <is>
          <t>Energía cinética y potencial y energía mecánica total</t>
        </is>
      </c>
      <c r="R463" s="38" t="inlineStr">
        <is>
          <t>Aplicar: calcular</t>
        </is>
      </c>
      <c r="S463" s="39">
        <f>IFERROR(ISNUMBER(SEARCH("Conocer",$R463))/(ISNUMBER(SEARCH("Conocer",$R463))+ISNUMBER(SEARCH("Aplicar",$R463))+ISNUMBER(SEARCH("Razonar",$R463))),0)</f>
        <v/>
      </c>
      <c r="T463" s="39">
        <f>IFERROR(ISNUMBER(SEARCH("Aplicar",$R463))/(ISNUMBER(SEARCH("Conocer",$R463))+ISNUMBER(SEARCH("Aplicar",$R463))+ISNUMBER(SEARCH("Razonar",$R463))),0)</f>
        <v/>
      </c>
      <c r="U463" s="39">
        <f>IFERROR(ISNUMBER(SEARCH("Razonar",$R463))/(ISNUMBER(SEARCH("Conocer",$R463))+ISNUMBER(SEARCH("Aplicar",$R463))+ISNUMBER(SEARCH("Razonar",$R463))),0)</f>
        <v/>
      </c>
      <c r="V463" s="11" t="inlineStr">
        <is>
          <t>8°</t>
        </is>
      </c>
      <c r="W463" s="11" t="inlineStr">
        <is>
          <t>Ciclo 5°–8°</t>
        </is>
      </c>
      <c r="X463" s="11">
        <f>IF(OR(IFERROR(INDEX('Datos - Catálogo TIMSS'!$I$5:$I$107,MATCH(K463,'Datos - Catálogo TIMSS'!$A$5:$A$107,0)),"No")="Sí",IFERROR(INDEX('Datos - Catálogo TIMSS'!$I$5:$I$107,MATCH(L463,'Datos - Catálogo TIMSS'!$A$5:$A$107,0)),"No")="Sí"),1,0)</f>
        <v/>
      </c>
      <c r="Y463" s="11">
        <f>IF(IFERROR(INDEX('Datos - Catálogo TIMSS'!$J$5:$J$107,MATCH(K463,'Datos - Catálogo TIMSS'!$A$5:$A$107,0)),"No")="Sí",1,0)</f>
        <v/>
      </c>
      <c r="Z463" s="11">
        <f>IF(IFERROR(INDEX('Datos - Catálogo TIMSS'!$J$5:$J$107,MATCH(L463,'Datos - Catálogo TIMSS'!$A$5:$A$107,0)),"No")="Sí",1,0)</f>
        <v/>
      </c>
      <c r="AA463" s="11" t="inlineStr">
        <is>
          <t>T8-F2.1</t>
        </is>
      </c>
      <c r="AB463" s="11" t="inlineStr"/>
      <c r="AC463" s="11">
        <f>IF(AA463="FUERA","Fuera del marco",IF(AA463="N/A","Sin marco",IFERROR(INDEX('Datos - TIMSS 2023'!$C$5:$C$105,MATCH(AA463,'Datos - TIMSS 2023'!$A$5:$A$105,0)),"Pendiente de clasificar")))</f>
        <v/>
      </c>
      <c r="AD463" s="11" t="inlineStr">
        <is>
          <t>2. Construir y evaluar diseños para la indagación científica e interpretar datos y evidencia de forma crítica</t>
        </is>
      </c>
      <c r="AE463" s="11">
        <f>IF(AD463="","",IF(LEFT(AD463,1)="1","C1",IF(LEFT(AD463,1)="2","C2",IF(LEFT(AD463,1)="3","C3",""))))</f>
        <v/>
      </c>
      <c r="AF463" s="11" t="inlineStr">
        <is>
          <t>E1</t>
        </is>
      </c>
      <c r="AG463" s="11" t="inlineStr">
        <is>
          <t>D1</t>
        </is>
      </c>
      <c r="AH463" s="11" t="inlineStr">
        <is>
          <t>E1</t>
        </is>
      </c>
      <c r="AI463" s="11" t="inlineStr">
        <is>
          <t>D4</t>
        </is>
      </c>
      <c r="AJ463" s="11" t="inlineStr">
        <is>
          <t>E3</t>
        </is>
      </c>
      <c r="AK463" s="11" t="inlineStr">
        <is>
          <t>PISA-F4</t>
        </is>
      </c>
      <c r="AL463" s="11" t="n"/>
      <c r="AM463" s="11">
        <f>IF(AK463="FUERA","Fuera del marco",IFERROR(INDEX('Datos - Catálogo PISA'!$C$5:$C$76,MATCH(AK463,'Datos - Catálogo PISA'!$A$5:$A$76,0)),"?"))</f>
        <v/>
      </c>
      <c r="AN463" s="11" t="inlineStr">
        <is>
          <t>Contenido</t>
        </is>
      </c>
      <c r="AO463" s="11" t="n"/>
      <c r="AP463" s="11" t="n"/>
      <c r="AQ463" s="11" t="inlineStr">
        <is>
          <t>Sin contexto</t>
        </is>
      </c>
      <c r="AR463" s="11" t="n"/>
      <c r="AS463" s="11" t="inlineStr">
        <is>
          <t>Media</t>
        </is>
      </c>
      <c r="AT463" s="11" t="inlineStr">
        <is>
          <t>alta</t>
        </is>
      </c>
      <c r="AU463" s="11" t="inlineStr">
        <is>
          <t>Energía cinética, potencial y total de objetos en traslación y rotación</t>
        </is>
      </c>
      <c r="AV463" s="11" t="inlineStr">
        <is>
          <t>Ciclo 7°–9°</t>
        </is>
      </c>
      <c r="AW463" s="11">
        <f>AF463&amp;"; "&amp;AG463&amp;"; "&amp;AH463&amp;"; "&amp;AI463&amp;"; "&amp;AJ463</f>
        <v/>
      </c>
    </row>
    <row r="464">
      <c r="A464" s="11" t="inlineStr">
        <is>
          <t>T1098-G08-CIE</t>
        </is>
      </c>
      <c r="B464" s="11" t="n">
        <v>8</v>
      </c>
      <c r="C464" s="11" t="inlineStr">
        <is>
          <t>Ciencias</t>
        </is>
      </c>
      <c r="D464" s="11" t="inlineStr">
        <is>
          <t>Matriz_Ciencias_8vo_Grado_U1_U7.xlsx</t>
        </is>
      </c>
      <c r="E464" s="11" t="inlineStr">
        <is>
          <t>Unidad 2 - Energía</t>
        </is>
      </c>
      <c r="F464" s="11" t="n">
        <v>9</v>
      </c>
      <c r="G464" s="11" t="inlineStr">
        <is>
          <t>2. Energía</t>
        </is>
      </c>
      <c r="H464" s="11" t="inlineStr">
        <is>
          <t>Principio de conservacion de la energía mecánica</t>
        </is>
      </c>
      <c r="I464" s="38" t="inlineStr">
        <is>
          <t>2.7. Experimentación con la ley de conservación de la energía mecánica.</t>
        </is>
      </c>
      <c r="J464" s="11" t="inlineStr">
        <is>
          <t>T8_27</t>
        </is>
      </c>
      <c r="K464" s="11" t="inlineStr">
        <is>
          <t>T8_27-P2.1</t>
        </is>
      </c>
      <c r="L464" s="11" t="inlineStr"/>
      <c r="M464" s="11">
        <f>IF(K464="FUERA","Fuera del marco",IF(K464="N/A","Sin marco",IFERROR(INDEX('Datos - Catálogo TIMSS'!$C$5:$C$107,MATCH(K464,'Datos - Catálogo TIMSS'!$A$5:$A$107,0)),"Pendiente de clasificar")))</f>
        <v/>
      </c>
      <c r="N464" s="11">
        <f>IF(K464="FUERA","Fuera del marco",IF(K464="N/A","Sin marco",IFERROR(INDEX('Datos - Catálogo TIMSS'!$F$5:$F$107,MATCH(K464,'Datos - Catálogo TIMSS'!$A$5:$A$107,0)),"Pendiente de clasificar")))</f>
        <v/>
      </c>
      <c r="O464" s="11">
        <f>IF(L464="","",IFERROR(INDEX('Datos - Catálogo TIMSS'!$C$5:$C$107,MATCH(L464,'Datos - Catálogo TIMSS'!$A$5:$A$107,0)),"?"))</f>
        <v/>
      </c>
      <c r="P464" s="11" t="inlineStr">
        <is>
          <t>alta</t>
        </is>
      </c>
      <c r="Q464" s="38" t="inlineStr">
        <is>
          <t>Experimento de conservación de la energía mecánica</t>
        </is>
      </c>
      <c r="R464" s="38" t="inlineStr">
        <is>
          <t>Razonar: interpretar datos</t>
        </is>
      </c>
      <c r="S464" s="39">
        <f>IFERROR(ISNUMBER(SEARCH("Conocer",$R464))/(ISNUMBER(SEARCH("Conocer",$R464))+ISNUMBER(SEARCH("Aplicar",$R464))+ISNUMBER(SEARCH("Razonar",$R464))),0)</f>
        <v/>
      </c>
      <c r="T464" s="39">
        <f>IFERROR(ISNUMBER(SEARCH("Aplicar",$R464))/(ISNUMBER(SEARCH("Conocer",$R464))+ISNUMBER(SEARCH("Aplicar",$R464))+ISNUMBER(SEARCH("Razonar",$R464))),0)</f>
        <v/>
      </c>
      <c r="U464" s="39">
        <f>IFERROR(ISNUMBER(SEARCH("Razonar",$R464))/(ISNUMBER(SEARCH("Conocer",$R464))+ISNUMBER(SEARCH("Aplicar",$R464))+ISNUMBER(SEARCH("Razonar",$R464))),0)</f>
        <v/>
      </c>
      <c r="V464" s="11" t="inlineStr">
        <is>
          <t>8°</t>
        </is>
      </c>
      <c r="W464" s="11" t="inlineStr">
        <is>
          <t>Ciclo 5°–8°</t>
        </is>
      </c>
      <c r="X464" s="11">
        <f>IF(OR(IFERROR(INDEX('Datos - Catálogo TIMSS'!$I$5:$I$107,MATCH(K464,'Datos - Catálogo TIMSS'!$A$5:$A$107,0)),"No")="Sí",IFERROR(INDEX('Datos - Catálogo TIMSS'!$I$5:$I$107,MATCH(L464,'Datos - Catálogo TIMSS'!$A$5:$A$107,0)),"No")="Sí"),1,0)</f>
        <v/>
      </c>
      <c r="Y464" s="11">
        <f>IF(IFERROR(INDEX('Datos - Catálogo TIMSS'!$J$5:$J$107,MATCH(K464,'Datos - Catálogo TIMSS'!$A$5:$A$107,0)),"No")="Sí",1,0)</f>
        <v/>
      </c>
      <c r="Z464" s="11">
        <f>IF(IFERROR(INDEX('Datos - Catálogo TIMSS'!$J$5:$J$107,MATCH(L464,'Datos - Catálogo TIMSS'!$A$5:$A$107,0)),"No")="Sí",1,0)</f>
        <v/>
      </c>
      <c r="AA464" s="11" t="inlineStr">
        <is>
          <t>T8-F2.1</t>
        </is>
      </c>
      <c r="AB464" s="11" t="inlineStr"/>
      <c r="AC464" s="11">
        <f>IF(AA464="FUERA","Fuera del marco",IF(AA464="N/A","Sin marco",IFERROR(INDEX('Datos - TIMSS 2023'!$C$5:$C$105,MATCH(AA464,'Datos - TIMSS 2023'!$A$5:$A$105,0)),"Pendiente de clasificar")))</f>
        <v/>
      </c>
      <c r="AD464" s="11" t="inlineStr">
        <is>
          <t>2. Construir y evaluar diseños para la indagación científica e interpretar datos y evidencia de forma crítica</t>
        </is>
      </c>
      <c r="AE464" s="11">
        <f>IF(AD464="","",IF(LEFT(AD464,1)="1","C1",IF(LEFT(AD464,1)="2","C2",IF(LEFT(AD464,1)="3","C3",""))))</f>
        <v/>
      </c>
      <c r="AF464" s="11" t="inlineStr">
        <is>
          <t>E1</t>
        </is>
      </c>
      <c r="AG464" s="11" t="inlineStr">
        <is>
          <t>E3</t>
        </is>
      </c>
      <c r="AH464" s="11" t="inlineStr">
        <is>
          <t>E1</t>
        </is>
      </c>
      <c r="AI464" s="11" t="inlineStr">
        <is>
          <t>D4</t>
        </is>
      </c>
      <c r="AJ464" s="11" t="inlineStr">
        <is>
          <t>E6</t>
        </is>
      </c>
      <c r="AK464" s="11" t="inlineStr">
        <is>
          <t>PISA-F4</t>
        </is>
      </c>
      <c r="AL464" s="11" t="n"/>
      <c r="AM464" s="11">
        <f>IF(AK464="FUERA","Fuera del marco",IFERROR(INDEX('Datos - Catálogo PISA'!$C$5:$C$76,MATCH(AK464,'Datos - Catálogo PISA'!$A$5:$A$76,0)),"?"))</f>
        <v/>
      </c>
      <c r="AN464" s="11" t="inlineStr">
        <is>
          <t>Contenido</t>
        </is>
      </c>
      <c r="AO464" s="11" t="inlineStr">
        <is>
          <t>PISA-PR2;</t>
        </is>
      </c>
      <c r="AP464" s="11" t="n"/>
      <c r="AQ464" s="11" t="inlineStr">
        <is>
          <t>Sin contexto</t>
        </is>
      </c>
      <c r="AR464" s="11" t="n"/>
      <c r="AS464" s="11" t="inlineStr">
        <is>
          <t>Media</t>
        </is>
      </c>
      <c r="AT464" s="11" t="inlineStr">
        <is>
          <t>alta</t>
        </is>
      </c>
      <c r="AU464" s="11" t="inlineStr">
        <is>
          <t>Conservación de energía mecánica con alturas de rebote</t>
        </is>
      </c>
      <c r="AV464" s="11" t="inlineStr">
        <is>
          <t>Ciclo 7°–9°</t>
        </is>
      </c>
      <c r="AW464" s="11">
        <f>AF464&amp;"; "&amp;AG464&amp;"; "&amp;AH464&amp;"; "&amp;AI464&amp;"; "&amp;AJ464</f>
        <v/>
      </c>
    </row>
    <row r="465">
      <c r="A465" s="11" t="inlineStr">
        <is>
          <t>T1099-G08-CIE</t>
        </is>
      </c>
      <c r="B465" s="11" t="n">
        <v>8</v>
      </c>
      <c r="C465" s="11" t="inlineStr">
        <is>
          <t>Ciencias</t>
        </is>
      </c>
      <c r="D465" s="11" t="inlineStr">
        <is>
          <t>Matriz_Ciencias_8vo_Grado_U1_U7.xlsx</t>
        </is>
      </c>
      <c r="E465" s="11" t="inlineStr">
        <is>
          <t>Unidad 2 - Energía</t>
        </is>
      </c>
      <c r="F465" s="11" t="n">
        <v>10</v>
      </c>
      <c r="G465" s="11" t="inlineStr">
        <is>
          <t>2. Energía</t>
        </is>
      </c>
      <c r="H465" s="11" t="inlineStr">
        <is>
          <t>Principio de conservacion de la energía mecánica</t>
        </is>
      </c>
      <c r="I465" s="38" t="inlineStr">
        <is>
          <t>2.8. Interpretación de las características de las gráficas de energía cinética y potencial obtenidas a partir de un experimento.</t>
        </is>
      </c>
      <c r="J465" s="11" t="inlineStr">
        <is>
          <t>T8_27</t>
        </is>
      </c>
      <c r="K465" s="11" t="inlineStr">
        <is>
          <t>T8_27-P2.1</t>
        </is>
      </c>
      <c r="L465" s="11" t="inlineStr"/>
      <c r="M465" s="11">
        <f>IF(K465="FUERA","Fuera del marco",IF(K465="N/A","Sin marco",IFERROR(INDEX('Datos - Catálogo TIMSS'!$C$5:$C$107,MATCH(K465,'Datos - Catálogo TIMSS'!$A$5:$A$107,0)),"Pendiente de clasificar")))</f>
        <v/>
      </c>
      <c r="N465" s="11">
        <f>IF(K465="FUERA","Fuera del marco",IF(K465="N/A","Sin marco",IFERROR(INDEX('Datos - Catálogo TIMSS'!$F$5:$F$107,MATCH(K465,'Datos - Catálogo TIMSS'!$A$5:$A$107,0)),"Pendiente de clasificar")))</f>
        <v/>
      </c>
      <c r="O465" s="11">
        <f>IF(L465="","",IFERROR(INDEX('Datos - Catálogo TIMSS'!$C$5:$C$107,MATCH(L465,'Datos - Catálogo TIMSS'!$A$5:$A$107,0)),"?"))</f>
        <v/>
      </c>
      <c r="P465" s="11" t="inlineStr">
        <is>
          <t>alta</t>
        </is>
      </c>
      <c r="Q465" s="38" t="inlineStr">
        <is>
          <t>Gráficas de energía cinética y potencial del péndulo: transformación</t>
        </is>
      </c>
      <c r="R465" s="38" t="inlineStr">
        <is>
          <t>Aplicar: interpretar gráficas</t>
        </is>
      </c>
      <c r="S465" s="39">
        <f>IFERROR(ISNUMBER(SEARCH("Conocer",$R465))/(ISNUMBER(SEARCH("Conocer",$R465))+ISNUMBER(SEARCH("Aplicar",$R465))+ISNUMBER(SEARCH("Razonar",$R465))),0)</f>
        <v/>
      </c>
      <c r="T465" s="39">
        <f>IFERROR(ISNUMBER(SEARCH("Aplicar",$R465))/(ISNUMBER(SEARCH("Conocer",$R465))+ISNUMBER(SEARCH("Aplicar",$R465))+ISNUMBER(SEARCH("Razonar",$R465))),0)</f>
        <v/>
      </c>
      <c r="U465" s="39">
        <f>IFERROR(ISNUMBER(SEARCH("Razonar",$R465))/(ISNUMBER(SEARCH("Conocer",$R465))+ISNUMBER(SEARCH("Aplicar",$R465))+ISNUMBER(SEARCH("Razonar",$R465))),0)</f>
        <v/>
      </c>
      <c r="V465" s="11" t="inlineStr">
        <is>
          <t>8°</t>
        </is>
      </c>
      <c r="W465" s="11" t="inlineStr">
        <is>
          <t>Ciclo 5°–8°</t>
        </is>
      </c>
      <c r="X465" s="11">
        <f>IF(OR(IFERROR(INDEX('Datos - Catálogo TIMSS'!$I$5:$I$107,MATCH(K465,'Datos - Catálogo TIMSS'!$A$5:$A$107,0)),"No")="Sí",IFERROR(INDEX('Datos - Catálogo TIMSS'!$I$5:$I$107,MATCH(L465,'Datos - Catálogo TIMSS'!$A$5:$A$107,0)),"No")="Sí"),1,0)</f>
        <v/>
      </c>
      <c r="Y465" s="11">
        <f>IF(IFERROR(INDEX('Datos - Catálogo TIMSS'!$J$5:$J$107,MATCH(K465,'Datos - Catálogo TIMSS'!$A$5:$A$107,0)),"No")="Sí",1,0)</f>
        <v/>
      </c>
      <c r="Z465" s="11">
        <f>IF(IFERROR(INDEX('Datos - Catálogo TIMSS'!$J$5:$J$107,MATCH(L465,'Datos - Catálogo TIMSS'!$A$5:$A$107,0)),"No")="Sí",1,0)</f>
        <v/>
      </c>
      <c r="AA465" s="11" t="inlineStr">
        <is>
          <t>T8-F2.1</t>
        </is>
      </c>
      <c r="AB465" s="11" t="inlineStr"/>
      <c r="AC465" s="11">
        <f>IF(AA465="FUERA","Fuera del marco",IF(AA465="N/A","Sin marco",IFERROR(INDEX('Datos - TIMSS 2023'!$C$5:$C$105,MATCH(AA465,'Datos - TIMSS 2023'!$A$5:$A$105,0)),"Pendiente de clasificar")))</f>
        <v/>
      </c>
      <c r="AD465" s="11" t="inlineStr">
        <is>
          <t>2. Construir y evaluar diseños para la indagación científica e interpretar datos y evidencia de forma crítica</t>
        </is>
      </c>
      <c r="AE465" s="11">
        <f>IF(AD465="","",IF(LEFT(AD465,1)="1","C1",IF(LEFT(AD465,1)="2","C2",IF(LEFT(AD465,1)="3","C3",""))))</f>
        <v/>
      </c>
      <c r="AF465" s="11" t="inlineStr">
        <is>
          <t>E1</t>
        </is>
      </c>
      <c r="AG465" s="11" t="inlineStr">
        <is>
          <t>D1</t>
        </is>
      </c>
      <c r="AH465" s="11" t="inlineStr">
        <is>
          <t>E2</t>
        </is>
      </c>
      <c r="AI465" s="11" t="inlineStr">
        <is>
          <t>D4</t>
        </is>
      </c>
      <c r="AJ465" s="11" t="inlineStr">
        <is>
          <t>E3</t>
        </is>
      </c>
      <c r="AK465" s="11" t="inlineStr">
        <is>
          <t>PISA-F4</t>
        </is>
      </c>
      <c r="AL465" s="11" t="n"/>
      <c r="AM465" s="11">
        <f>IF(AK465="FUERA","Fuera del marco",IFERROR(INDEX('Datos - Catálogo PISA'!$C$5:$C$76,MATCH(AK465,'Datos - Catálogo PISA'!$A$5:$A$76,0)),"?"))</f>
        <v/>
      </c>
      <c r="AN465" s="11" t="inlineStr">
        <is>
          <t>Contenido</t>
        </is>
      </c>
      <c r="AO465" s="11" t="inlineStr">
        <is>
          <t>PISA-PR5;</t>
        </is>
      </c>
      <c r="AP465" s="11" t="n"/>
      <c r="AQ465" s="11" t="inlineStr">
        <is>
          <t>Sin contexto</t>
        </is>
      </c>
      <c r="AR465" s="11" t="n"/>
      <c r="AS465" s="11" t="inlineStr">
        <is>
          <t>Media</t>
        </is>
      </c>
      <c r="AT465" s="11" t="inlineStr">
        <is>
          <t>alta</t>
        </is>
      </c>
      <c r="AU465" s="11" t="inlineStr">
        <is>
          <t>Gráficas de energía cinética y potencial del péndulo</t>
        </is>
      </c>
      <c r="AV465" s="11" t="inlineStr">
        <is>
          <t>Ciclo 7°–9°</t>
        </is>
      </c>
      <c r="AW465" s="11">
        <f>AF465&amp;"; "&amp;AG465&amp;"; "&amp;AH465&amp;"; "&amp;AI465&amp;"; "&amp;AJ465</f>
        <v/>
      </c>
    </row>
    <row r="466">
      <c r="A466" s="11" t="inlineStr">
        <is>
          <t>T1100-G08-CIE</t>
        </is>
      </c>
      <c r="B466" s="11" t="n">
        <v>8</v>
      </c>
      <c r="C466" s="11" t="inlineStr">
        <is>
          <t>Ciencias</t>
        </is>
      </c>
      <c r="D466" s="11" t="inlineStr">
        <is>
          <t>Matriz_Ciencias_8vo_Grado_U1_U7.xlsx</t>
        </is>
      </c>
      <c r="E466" s="11" t="inlineStr">
        <is>
          <t>Unidad 2 - Energía</t>
        </is>
      </c>
      <c r="F466" s="11" t="n">
        <v>11</v>
      </c>
      <c r="G466" s="11" t="inlineStr">
        <is>
          <t>2. Energía</t>
        </is>
      </c>
      <c r="H466" s="11" t="inlineStr">
        <is>
          <t>Potencia mecánica</t>
        </is>
      </c>
      <c r="I466" s="38" t="inlineStr">
        <is>
          <t>2.9. Indagación del concepto de potencia mecánica.</t>
        </is>
      </c>
      <c r="J466" s="11" t="inlineStr">
        <is>
          <t>T8_27</t>
        </is>
      </c>
      <c r="K466" s="11" t="inlineStr">
        <is>
          <t>T8_27-P2.1</t>
        </is>
      </c>
      <c r="L466" s="11" t="inlineStr">
        <is>
          <t>T8_27-P5.3</t>
        </is>
      </c>
      <c r="M466" s="11">
        <f>IF(K466="FUERA","Fuera del marco",IF(K466="N/A","Sin marco",IFERROR(INDEX('Datos - Catálogo TIMSS'!$C$5:$C$107,MATCH(K466,'Datos - Catálogo TIMSS'!$A$5:$A$107,0)),"Pendiente de clasificar")))</f>
        <v/>
      </c>
      <c r="N466" s="11">
        <f>IF(K466="FUERA","Fuera del marco",IF(K466="N/A","Sin marco",IFERROR(INDEX('Datos - Catálogo TIMSS'!$F$5:$F$107,MATCH(K466,'Datos - Catálogo TIMSS'!$A$5:$A$107,0)),"Pendiente de clasificar")))</f>
        <v/>
      </c>
      <c r="O466" s="11">
        <f>IF(L466="","",IFERROR(INDEX('Datos - Catálogo TIMSS'!$C$5:$C$107,MATCH(L466,'Datos - Catálogo TIMSS'!$A$5:$A$107,0)),"?"))</f>
        <v/>
      </c>
      <c r="P466" s="11" t="inlineStr">
        <is>
          <t>media</t>
        </is>
      </c>
      <c r="Q466" s="38" t="inlineStr">
        <is>
          <t>Potencia ligada a energía y máquinas simples</t>
        </is>
      </c>
      <c r="R466" s="38" t="inlineStr">
        <is>
          <t>Conocer: definir. Aplicar: calcular</t>
        </is>
      </c>
      <c r="S466" s="39">
        <f>IFERROR(ISNUMBER(SEARCH("Conocer",$R466))/(ISNUMBER(SEARCH("Conocer",$R466))+ISNUMBER(SEARCH("Aplicar",$R466))+ISNUMBER(SEARCH("Razonar",$R466))),0)</f>
        <v/>
      </c>
      <c r="T466" s="39">
        <f>IFERROR(ISNUMBER(SEARCH("Aplicar",$R466))/(ISNUMBER(SEARCH("Conocer",$R466))+ISNUMBER(SEARCH("Aplicar",$R466))+ISNUMBER(SEARCH("Razonar",$R466))),0)</f>
        <v/>
      </c>
      <c r="U466" s="39">
        <f>IFERROR(ISNUMBER(SEARCH("Razonar",$R466))/(ISNUMBER(SEARCH("Conocer",$R466))+ISNUMBER(SEARCH("Aplicar",$R466))+ISNUMBER(SEARCH("Razonar",$R466))),0)</f>
        <v/>
      </c>
      <c r="V466" s="11" t="inlineStr">
        <is>
          <t>8°</t>
        </is>
      </c>
      <c r="W466" s="11" t="inlineStr">
        <is>
          <t>Ciclo 5°–8°</t>
        </is>
      </c>
      <c r="X466" s="11">
        <f>IF(OR(IFERROR(INDEX('Datos - Catálogo TIMSS'!$I$5:$I$107,MATCH(K466,'Datos - Catálogo TIMSS'!$A$5:$A$107,0)),"No")="Sí",IFERROR(INDEX('Datos - Catálogo TIMSS'!$I$5:$I$107,MATCH(L466,'Datos - Catálogo TIMSS'!$A$5:$A$107,0)),"No")="Sí"),1,0)</f>
        <v/>
      </c>
      <c r="Y466" s="11">
        <f>IF(IFERROR(INDEX('Datos - Catálogo TIMSS'!$J$5:$J$107,MATCH(K466,'Datos - Catálogo TIMSS'!$A$5:$A$107,0)),"No")="Sí",1,0)</f>
        <v/>
      </c>
      <c r="Z466" s="11">
        <f>IF(IFERROR(INDEX('Datos - Catálogo TIMSS'!$J$5:$J$107,MATCH(L466,'Datos - Catálogo TIMSS'!$A$5:$A$107,0)),"No")="Sí",1,0)</f>
        <v/>
      </c>
      <c r="AA466" s="11" t="inlineStr">
        <is>
          <t>T8-F2.1</t>
        </is>
      </c>
      <c r="AB466" s="11" t="inlineStr">
        <is>
          <t>T8-F5.3</t>
        </is>
      </c>
      <c r="AC466" s="11">
        <f>IF(AA466="FUERA","Fuera del marco",IF(AA466="N/A","Sin marco",IFERROR(INDEX('Datos - TIMSS 2023'!$C$5:$C$105,MATCH(AA466,'Datos - TIMSS 2023'!$A$5:$A$105,0)),"Pendiente de clasificar")))</f>
        <v/>
      </c>
      <c r="AD466" s="11" t="inlineStr">
        <is>
          <t>1. Explicar fenómenos científicamente</t>
        </is>
      </c>
      <c r="AE466" s="11">
        <f>IF(AD466="","",IF(LEFT(AD466,1)="1","C1",IF(LEFT(AD466,1)="2","C2",IF(LEFT(AD466,1)="3","C3",""))))</f>
        <v/>
      </c>
      <c r="AF466" s="11" t="inlineStr">
        <is>
          <t>E1</t>
        </is>
      </c>
      <c r="AG466" s="11" t="inlineStr">
        <is>
          <t>D1</t>
        </is>
      </c>
      <c r="AH466" s="11" t="inlineStr">
        <is>
          <t>E1</t>
        </is>
      </c>
      <c r="AI466" s="11" t="inlineStr">
        <is>
          <t>D4</t>
        </is>
      </c>
      <c r="AJ466" s="11" t="inlineStr">
        <is>
          <t>E1</t>
        </is>
      </c>
      <c r="AK466" s="11" t="inlineStr">
        <is>
          <t>PISA-F4</t>
        </is>
      </c>
      <c r="AL466" s="11" t="n"/>
      <c r="AM466" s="11">
        <f>IF(AK466="FUERA","Fuera del marco",IFERROR(INDEX('Datos - Catálogo PISA'!$C$5:$C$76,MATCH(AK466,'Datos - Catálogo PISA'!$A$5:$A$76,0)),"?"))</f>
        <v/>
      </c>
      <c r="AN466" s="11" t="inlineStr">
        <is>
          <t>Contenido</t>
        </is>
      </c>
      <c r="AO466" s="11" t="n"/>
      <c r="AP466" s="11" t="n"/>
      <c r="AQ466" s="11" t="inlineStr">
        <is>
          <t>Sin contexto</t>
        </is>
      </c>
      <c r="AR466" s="11" t="n"/>
      <c r="AS466" s="11" t="inlineStr">
        <is>
          <t>Media</t>
        </is>
      </c>
      <c r="AT466" s="11" t="inlineStr">
        <is>
          <t>alta</t>
        </is>
      </c>
      <c r="AU466" s="11" t="inlineStr">
        <is>
          <t>Potencia mecánica como rapidez de transferencia de energía</t>
        </is>
      </c>
      <c r="AV466" s="11" t="inlineStr">
        <is>
          <t>Ciclo 7°–9°</t>
        </is>
      </c>
      <c r="AW466" s="11">
        <f>AF466&amp;"; "&amp;AG466&amp;"; "&amp;AH466&amp;"; "&amp;AI466&amp;"; "&amp;AJ466</f>
        <v/>
      </c>
    </row>
    <row r="467">
      <c r="A467" s="11" t="inlineStr">
        <is>
          <t>T1101-G08-CIE</t>
        </is>
      </c>
      <c r="B467" s="11" t="n">
        <v>8</v>
      </c>
      <c r="C467" s="11" t="inlineStr">
        <is>
          <t>Ciencias</t>
        </is>
      </c>
      <c r="D467" s="11" t="inlineStr">
        <is>
          <t>Matriz_Ciencias_8vo_Grado_U1_U7.xlsx</t>
        </is>
      </c>
      <c r="E467" s="11" t="inlineStr">
        <is>
          <t>Unidad 2 - Energía</t>
        </is>
      </c>
      <c r="F467" s="11" t="n">
        <v>12</v>
      </c>
      <c r="G467" s="11" t="inlineStr">
        <is>
          <t>2. Energía</t>
        </is>
      </c>
      <c r="H467" s="11" t="inlineStr">
        <is>
          <t>Potencia mecánica</t>
        </is>
      </c>
      <c r="I467" s="38" t="inlineStr">
        <is>
          <t>2.10. Cálculo experimental de la potencia mecánica de máquinas para la obtención del momento lineal.</t>
        </is>
      </c>
      <c r="J467" s="11" t="inlineStr">
        <is>
          <t>T8_27</t>
        </is>
      </c>
      <c r="K467" s="11" t="inlineStr">
        <is>
          <t>T8_27-P2.1</t>
        </is>
      </c>
      <c r="L467" s="11" t="inlineStr"/>
      <c r="M467" s="11">
        <f>IF(K467="FUERA","Fuera del marco",IF(K467="N/A","Sin marco",IFERROR(INDEX('Datos - Catálogo TIMSS'!$C$5:$C$107,MATCH(K467,'Datos - Catálogo TIMSS'!$A$5:$A$107,0)),"Pendiente de clasificar")))</f>
        <v/>
      </c>
      <c r="N467" s="11">
        <f>IF(K467="FUERA","Fuera del marco",IF(K467="N/A","Sin marco",IFERROR(INDEX('Datos - Catálogo TIMSS'!$F$5:$F$107,MATCH(K467,'Datos - Catálogo TIMSS'!$A$5:$A$107,0)),"Pendiente de clasificar")))</f>
        <v/>
      </c>
      <c r="O467" s="11">
        <f>IF(L467="","",IFERROR(INDEX('Datos - Catálogo TIMSS'!$C$5:$C$107,MATCH(L467,'Datos - Catálogo TIMSS'!$A$5:$A$107,0)),"?"))</f>
        <v/>
      </c>
      <c r="P467" s="11" t="inlineStr">
        <is>
          <t>media</t>
        </is>
      </c>
      <c r="Q467" s="38" t="inlineStr">
        <is>
          <t>Potencia mecánica: rapidez de transformación de energía en máquinas</t>
        </is>
      </c>
      <c r="R467" s="38" t="inlineStr">
        <is>
          <t>Aplicar: medir y calcular</t>
        </is>
      </c>
      <c r="S467" s="39">
        <f>IFERROR(ISNUMBER(SEARCH("Conocer",$R467))/(ISNUMBER(SEARCH("Conocer",$R467))+ISNUMBER(SEARCH("Aplicar",$R467))+ISNUMBER(SEARCH("Razonar",$R467))),0)</f>
        <v/>
      </c>
      <c r="T467" s="39">
        <f>IFERROR(ISNUMBER(SEARCH("Aplicar",$R467))/(ISNUMBER(SEARCH("Conocer",$R467))+ISNUMBER(SEARCH("Aplicar",$R467))+ISNUMBER(SEARCH("Razonar",$R467))),0)</f>
        <v/>
      </c>
      <c r="U467" s="39">
        <f>IFERROR(ISNUMBER(SEARCH("Razonar",$R467))/(ISNUMBER(SEARCH("Conocer",$R467))+ISNUMBER(SEARCH("Aplicar",$R467))+ISNUMBER(SEARCH("Razonar",$R467))),0)</f>
        <v/>
      </c>
      <c r="V467" s="11" t="inlineStr">
        <is>
          <t>8°</t>
        </is>
      </c>
      <c r="W467" s="11" t="inlineStr">
        <is>
          <t>Ciclo 5°–8°</t>
        </is>
      </c>
      <c r="X467" s="11">
        <f>IF(OR(IFERROR(INDEX('Datos - Catálogo TIMSS'!$I$5:$I$107,MATCH(K467,'Datos - Catálogo TIMSS'!$A$5:$A$107,0)),"No")="Sí",IFERROR(INDEX('Datos - Catálogo TIMSS'!$I$5:$I$107,MATCH(L467,'Datos - Catálogo TIMSS'!$A$5:$A$107,0)),"No")="Sí"),1,0)</f>
        <v/>
      </c>
      <c r="Y467" s="11">
        <f>IF(IFERROR(INDEX('Datos - Catálogo TIMSS'!$J$5:$J$107,MATCH(K467,'Datos - Catálogo TIMSS'!$A$5:$A$107,0)),"No")="Sí",1,0)</f>
        <v/>
      </c>
      <c r="Z467" s="11">
        <f>IF(IFERROR(INDEX('Datos - Catálogo TIMSS'!$J$5:$J$107,MATCH(L467,'Datos - Catálogo TIMSS'!$A$5:$A$107,0)),"No")="Sí",1,0)</f>
        <v/>
      </c>
      <c r="AA467" s="11" t="inlineStr">
        <is>
          <t>T8-F2.1</t>
        </is>
      </c>
      <c r="AB467" s="11" t="inlineStr"/>
      <c r="AC467" s="11">
        <f>IF(AA467="FUERA","Fuera del marco",IF(AA467="N/A","Sin marco",IFERROR(INDEX('Datos - TIMSS 2023'!$C$5:$C$105,MATCH(AA467,'Datos - TIMSS 2023'!$A$5:$A$105,0)),"Pendiente de clasificar")))</f>
        <v/>
      </c>
      <c r="AD467" s="11" t="inlineStr">
        <is>
          <t>2. Construir y evaluar diseños para la indagación científica e interpretar datos y evidencia de forma crítica</t>
        </is>
      </c>
      <c r="AE467" s="11">
        <f>IF(AD467="","",IF(LEFT(AD467,1)="1","C1",IF(LEFT(AD467,1)="2","C2",IF(LEFT(AD467,1)="3","C3",""))))</f>
        <v/>
      </c>
      <c r="AF467" s="11" t="inlineStr">
        <is>
          <t>E1</t>
        </is>
      </c>
      <c r="AG467" s="11" t="inlineStr">
        <is>
          <t>D1</t>
        </is>
      </c>
      <c r="AH467" s="11" t="inlineStr">
        <is>
          <t>E1</t>
        </is>
      </c>
      <c r="AI467" s="11" t="inlineStr">
        <is>
          <t>D4</t>
        </is>
      </c>
      <c r="AJ467" s="11" t="inlineStr">
        <is>
          <t>E3</t>
        </is>
      </c>
      <c r="AK467" s="11" t="inlineStr">
        <is>
          <t>PISA-F4</t>
        </is>
      </c>
      <c r="AL467" s="11" t="inlineStr">
        <is>
          <t>PISA-F3</t>
        </is>
      </c>
      <c r="AM467" s="11">
        <f>IF(AK467="FUERA","Fuera del marco",IFERROR(INDEX('Datos - Catálogo PISA'!$C$5:$C$76,MATCH(AK467,'Datos - Catálogo PISA'!$A$5:$A$76,0)),"?"))</f>
        <v/>
      </c>
      <c r="AN467" s="11" t="inlineStr">
        <is>
          <t>Contenido</t>
        </is>
      </c>
      <c r="AO467" s="11" t="inlineStr">
        <is>
          <t>PISA-PR2;</t>
        </is>
      </c>
      <c r="AP467" s="11" t="n"/>
      <c r="AQ467" s="11" t="inlineStr">
        <is>
          <t>Sin contexto</t>
        </is>
      </c>
      <c r="AR467" s="11" t="n"/>
      <c r="AS467" s="11" t="inlineStr">
        <is>
          <t>Media</t>
        </is>
      </c>
      <c r="AT467" s="11" t="inlineStr">
        <is>
          <t>alta</t>
        </is>
      </c>
      <c r="AU467" s="11" t="inlineStr">
        <is>
          <t>Cálculo experimental de potencia de una máquina</t>
        </is>
      </c>
      <c r="AV467" s="11" t="inlineStr">
        <is>
          <t>Ciclo 7°–9°</t>
        </is>
      </c>
      <c r="AW467" s="11">
        <f>AF467&amp;"; "&amp;AG467&amp;"; "&amp;AH467&amp;"; "&amp;AI467&amp;"; "&amp;AJ467</f>
        <v/>
      </c>
    </row>
    <row r="468">
      <c r="A468" s="11" t="inlineStr">
        <is>
          <t>T1102-G08-CIE</t>
        </is>
      </c>
      <c r="B468" s="11" t="n">
        <v>8</v>
      </c>
      <c r="C468" s="11" t="inlineStr">
        <is>
          <t>Ciencias</t>
        </is>
      </c>
      <c r="D468" s="11" t="inlineStr">
        <is>
          <t>Matriz_Ciencias_8vo_Grado_U1_U7.xlsx</t>
        </is>
      </c>
      <c r="E468" s="11" t="inlineStr">
        <is>
          <t>Unidad 2 - Energía</t>
        </is>
      </c>
      <c r="F468" s="11" t="n">
        <v>13</v>
      </c>
      <c r="G468" s="11" t="inlineStr">
        <is>
          <t>2. Energía</t>
        </is>
      </c>
      <c r="H468" s="11" t="inlineStr">
        <is>
          <t>Potencia mecánica</t>
        </is>
      </c>
      <c r="I468" s="38" t="inlineStr">
        <is>
          <t>2.11. Resolución de problemas acerca de la potencia mecánica.</t>
        </is>
      </c>
      <c r="J468" s="11" t="inlineStr">
        <is>
          <t>T8_27</t>
        </is>
      </c>
      <c r="K468" s="11" t="inlineStr">
        <is>
          <t>T8_27-P2.1</t>
        </is>
      </c>
      <c r="L468" s="11" t="inlineStr"/>
      <c r="M468" s="11">
        <f>IF(K468="FUERA","Fuera del marco",IF(K468="N/A","Sin marco",IFERROR(INDEX('Datos - Catálogo TIMSS'!$C$5:$C$107,MATCH(K468,'Datos - Catálogo TIMSS'!$A$5:$A$107,0)),"Pendiente de clasificar")))</f>
        <v/>
      </c>
      <c r="N468" s="11">
        <f>IF(K468="FUERA","Fuera del marco",IF(K468="N/A","Sin marco",IFERROR(INDEX('Datos - Catálogo TIMSS'!$F$5:$F$107,MATCH(K468,'Datos - Catálogo TIMSS'!$A$5:$A$107,0)),"Pendiente de clasificar")))</f>
        <v/>
      </c>
      <c r="O468" s="11">
        <f>IF(L468="","",IFERROR(INDEX('Datos - Catálogo TIMSS'!$C$5:$C$107,MATCH(L468,'Datos - Catálogo TIMSS'!$A$5:$A$107,0)),"?"))</f>
        <v/>
      </c>
      <c r="P468" s="11" t="inlineStr">
        <is>
          <t>media</t>
        </is>
      </c>
      <c r="Q468" s="38" t="inlineStr">
        <is>
          <t>Problemas de potencia mecánica: transformación de energía</t>
        </is>
      </c>
      <c r="R468" s="38" t="inlineStr">
        <is>
          <t>Aplicar: resolver problemas</t>
        </is>
      </c>
      <c r="S468" s="39">
        <f>IFERROR(ISNUMBER(SEARCH("Conocer",$R468))/(ISNUMBER(SEARCH("Conocer",$R468))+ISNUMBER(SEARCH("Aplicar",$R468))+ISNUMBER(SEARCH("Razonar",$R468))),0)</f>
        <v/>
      </c>
      <c r="T468" s="39">
        <f>IFERROR(ISNUMBER(SEARCH("Aplicar",$R468))/(ISNUMBER(SEARCH("Conocer",$R468))+ISNUMBER(SEARCH("Aplicar",$R468))+ISNUMBER(SEARCH("Razonar",$R468))),0)</f>
        <v/>
      </c>
      <c r="U468" s="39">
        <f>IFERROR(ISNUMBER(SEARCH("Razonar",$R468))/(ISNUMBER(SEARCH("Conocer",$R468))+ISNUMBER(SEARCH("Aplicar",$R468))+ISNUMBER(SEARCH("Razonar",$R468))),0)</f>
        <v/>
      </c>
      <c r="V468" s="11" t="inlineStr">
        <is>
          <t>8°</t>
        </is>
      </c>
      <c r="W468" s="11" t="inlineStr">
        <is>
          <t>Ciclo 5°–8°</t>
        </is>
      </c>
      <c r="X468" s="11">
        <f>IF(OR(IFERROR(INDEX('Datos - Catálogo TIMSS'!$I$5:$I$107,MATCH(K468,'Datos - Catálogo TIMSS'!$A$5:$A$107,0)),"No")="Sí",IFERROR(INDEX('Datos - Catálogo TIMSS'!$I$5:$I$107,MATCH(L468,'Datos - Catálogo TIMSS'!$A$5:$A$107,0)),"No")="Sí"),1,0)</f>
        <v/>
      </c>
      <c r="Y468" s="11">
        <f>IF(IFERROR(INDEX('Datos - Catálogo TIMSS'!$J$5:$J$107,MATCH(K468,'Datos - Catálogo TIMSS'!$A$5:$A$107,0)),"No")="Sí",1,0)</f>
        <v/>
      </c>
      <c r="Z468" s="11">
        <f>IF(IFERROR(INDEX('Datos - Catálogo TIMSS'!$J$5:$J$107,MATCH(L468,'Datos - Catálogo TIMSS'!$A$5:$A$107,0)),"No")="Sí",1,0)</f>
        <v/>
      </c>
      <c r="AA468" s="11" t="inlineStr">
        <is>
          <t>T8-F2.1</t>
        </is>
      </c>
      <c r="AB468" s="11" t="inlineStr"/>
      <c r="AC468" s="11">
        <f>IF(AA468="FUERA","Fuera del marco",IF(AA468="N/A","Sin marco",IFERROR(INDEX('Datos - TIMSS 2023'!$C$5:$C$105,MATCH(AA468,'Datos - TIMSS 2023'!$A$5:$A$105,0)),"Pendiente de clasificar")))</f>
        <v/>
      </c>
      <c r="AD468" s="11" t="inlineStr">
        <is>
          <t>2. Construir y evaluar diseños para la indagación científica e interpretar datos y evidencia de forma crítica</t>
        </is>
      </c>
      <c r="AE468" s="11">
        <f>IF(AD468="","",IF(LEFT(AD468,1)="1","C1",IF(LEFT(AD468,1)="2","C2",IF(LEFT(AD468,1)="3","C3",""))))</f>
        <v/>
      </c>
      <c r="AF468" s="11" t="inlineStr">
        <is>
          <t>E1</t>
        </is>
      </c>
      <c r="AG468" s="11" t="inlineStr">
        <is>
          <t>D1</t>
        </is>
      </c>
      <c r="AH468" s="11" t="inlineStr">
        <is>
          <t>E1</t>
        </is>
      </c>
      <c r="AI468" s="11" t="inlineStr">
        <is>
          <t>D4</t>
        </is>
      </c>
      <c r="AJ468" s="11" t="inlineStr">
        <is>
          <t>I5</t>
        </is>
      </c>
      <c r="AK468" s="11" t="inlineStr">
        <is>
          <t>PISA-F4</t>
        </is>
      </c>
      <c r="AL468" s="11" t="n"/>
      <c r="AM468" s="11">
        <f>IF(AK468="FUERA","Fuera del marco",IFERROR(INDEX('Datos - Catálogo PISA'!$C$5:$C$76,MATCH(AK468,'Datos - Catálogo PISA'!$A$5:$A$76,0)),"?"))</f>
        <v/>
      </c>
      <c r="AN468" s="11" t="inlineStr">
        <is>
          <t>Contenido</t>
        </is>
      </c>
      <c r="AO468" s="11" t="n"/>
      <c r="AP468" s="11" t="n"/>
      <c r="AQ468" s="11" t="inlineStr">
        <is>
          <t>Sin contexto</t>
        </is>
      </c>
      <c r="AR468" s="11" t="n"/>
      <c r="AS468" s="11" t="inlineStr">
        <is>
          <t>Media</t>
        </is>
      </c>
      <c r="AT468" s="11" t="inlineStr">
        <is>
          <t>alta</t>
        </is>
      </c>
      <c r="AU468" s="11" t="inlineStr">
        <is>
          <t>Problemas de potencia mecánica</t>
        </is>
      </c>
      <c r="AV468" s="11" t="inlineStr">
        <is>
          <t>Ciclo 7°–9°</t>
        </is>
      </c>
      <c r="AW468" s="11">
        <f>AF468&amp;"; "&amp;AG468&amp;"; "&amp;AH468&amp;"; "&amp;AI468&amp;"; "&amp;AJ468</f>
        <v/>
      </c>
    </row>
    <row r="469">
      <c r="A469" s="11" t="inlineStr">
        <is>
          <t>T1103-G08-CIE</t>
        </is>
      </c>
      <c r="B469" s="11" t="n">
        <v>8</v>
      </c>
      <c r="C469" s="11" t="inlineStr">
        <is>
          <t>Ciencias</t>
        </is>
      </c>
      <c r="D469" s="11" t="inlineStr">
        <is>
          <t>Matriz_Ciencias_8vo_Grado_U1_U7.xlsx</t>
        </is>
      </c>
      <c r="E469" s="11" t="inlineStr">
        <is>
          <t>Unidad 3 - Ondas mecánicas</t>
        </is>
      </c>
      <c r="F469" s="11" t="n">
        <v>3</v>
      </c>
      <c r="G469" s="11" t="inlineStr">
        <is>
          <t>3. Ondas mecánicas</t>
        </is>
      </c>
      <c r="H469" s="11" t="inlineStr">
        <is>
          <t>Energía mecánica del movimiento armónico simple (MAS)</t>
        </is>
      </c>
      <c r="I469" s="38" t="inlineStr">
        <is>
          <t>3.1. Indagación de las fuerzas que realizan trabajo sobre un péndulo simple.</t>
        </is>
      </c>
      <c r="J469" s="11" t="inlineStr">
        <is>
          <t>T8_27</t>
        </is>
      </c>
      <c r="K469" s="11" t="inlineStr">
        <is>
          <t>T8_27-P5.2</t>
        </is>
      </c>
      <c r="L469" s="11" t="inlineStr">
        <is>
          <t>T8_27-P2.1</t>
        </is>
      </c>
      <c r="M469" s="11">
        <f>IF(K469="FUERA","Fuera del marco",IF(K469="N/A","Sin marco",IFERROR(INDEX('Datos - Catálogo TIMSS'!$C$5:$C$107,MATCH(K469,'Datos - Catálogo TIMSS'!$A$5:$A$107,0)),"Pendiente de clasificar")))</f>
        <v/>
      </c>
      <c r="N469" s="11">
        <f>IF(K469="FUERA","Fuera del marco",IF(K469="N/A","Sin marco",IFERROR(INDEX('Datos - Catálogo TIMSS'!$F$5:$F$107,MATCH(K469,'Datos - Catálogo TIMSS'!$A$5:$A$107,0)),"Pendiente de clasificar")))</f>
        <v/>
      </c>
      <c r="O469" s="11">
        <f>IF(L469="","",IFERROR(INDEX('Datos - Catálogo TIMSS'!$C$5:$C$107,MATCH(L469,'Datos - Catálogo TIMSS'!$A$5:$A$107,0)),"?"))</f>
        <v/>
      </c>
      <c r="P469" s="11" t="inlineStr">
        <is>
          <t>media</t>
        </is>
      </c>
      <c r="Q469" s="38" t="inlineStr">
        <is>
          <t>Fuerzas sobre el péndulo y el trabajo que realizan</t>
        </is>
      </c>
      <c r="R469" s="38" t="inlineStr">
        <is>
          <t>Aplicar: analizar fuerzas</t>
        </is>
      </c>
      <c r="S469" s="39">
        <f>IFERROR(ISNUMBER(SEARCH("Conocer",$R469))/(ISNUMBER(SEARCH("Conocer",$R469))+ISNUMBER(SEARCH("Aplicar",$R469))+ISNUMBER(SEARCH("Razonar",$R469))),0)</f>
        <v/>
      </c>
      <c r="T469" s="39">
        <f>IFERROR(ISNUMBER(SEARCH("Aplicar",$R469))/(ISNUMBER(SEARCH("Conocer",$R469))+ISNUMBER(SEARCH("Aplicar",$R469))+ISNUMBER(SEARCH("Razonar",$R469))),0)</f>
        <v/>
      </c>
      <c r="U469" s="39">
        <f>IFERROR(ISNUMBER(SEARCH("Razonar",$R469))/(ISNUMBER(SEARCH("Conocer",$R469))+ISNUMBER(SEARCH("Aplicar",$R469))+ISNUMBER(SEARCH("Razonar",$R469))),0)</f>
        <v/>
      </c>
      <c r="V469" s="11" t="inlineStr">
        <is>
          <t>8°</t>
        </is>
      </c>
      <c r="W469" s="11" t="inlineStr">
        <is>
          <t>Ciclo 5°–8°</t>
        </is>
      </c>
      <c r="X469" s="11">
        <f>IF(OR(IFERROR(INDEX('Datos - Catálogo TIMSS'!$I$5:$I$107,MATCH(K469,'Datos - Catálogo TIMSS'!$A$5:$A$107,0)),"No")="Sí",IFERROR(INDEX('Datos - Catálogo TIMSS'!$I$5:$I$107,MATCH(L469,'Datos - Catálogo TIMSS'!$A$5:$A$107,0)),"No")="Sí"),1,0)</f>
        <v/>
      </c>
      <c r="Y469" s="11">
        <f>IF(IFERROR(INDEX('Datos - Catálogo TIMSS'!$J$5:$J$107,MATCH(K469,'Datos - Catálogo TIMSS'!$A$5:$A$107,0)),"No")="Sí",1,0)</f>
        <v/>
      </c>
      <c r="Z469" s="11">
        <f>IF(IFERROR(INDEX('Datos - Catálogo TIMSS'!$J$5:$J$107,MATCH(L469,'Datos - Catálogo TIMSS'!$A$5:$A$107,0)),"No")="Sí",1,0)</f>
        <v/>
      </c>
      <c r="AA469" s="11" t="inlineStr">
        <is>
          <t>T8-F5.2</t>
        </is>
      </c>
      <c r="AB469" s="11" t="inlineStr">
        <is>
          <t>T8-F2.1</t>
        </is>
      </c>
      <c r="AC469" s="11">
        <f>IF(AA469="FUERA","Fuera del marco",IF(AA469="N/A","Sin marco",IFERROR(INDEX('Datos - TIMSS 2023'!$C$5:$C$105,MATCH(AA469,'Datos - TIMSS 2023'!$A$5:$A$105,0)),"Pendiente de clasificar")))</f>
        <v/>
      </c>
      <c r="AD469" s="11" t="inlineStr">
        <is>
          <t>1. Explicar fenómenos científicamente</t>
        </is>
      </c>
      <c r="AE469" s="11">
        <f>IF(AD469="","",IF(LEFT(AD469,1)="1","C1",IF(LEFT(AD469,1)="2","C2",IF(LEFT(AD469,1)="3","C3",""))))</f>
        <v/>
      </c>
      <c r="AF469" s="11" t="inlineStr">
        <is>
          <t>E1</t>
        </is>
      </c>
      <c r="AG469" s="11" t="inlineStr">
        <is>
          <t>D1</t>
        </is>
      </c>
      <c r="AH469" s="11" t="inlineStr">
        <is>
          <t>E2</t>
        </is>
      </c>
      <c r="AI469" s="11" t="inlineStr">
        <is>
          <t>D4</t>
        </is>
      </c>
      <c r="AJ469" s="11" t="inlineStr">
        <is>
          <t>E1</t>
        </is>
      </c>
      <c r="AK469" s="11" t="inlineStr">
        <is>
          <t>PISA-F3</t>
        </is>
      </c>
      <c r="AL469" s="11" t="inlineStr">
        <is>
          <t>PISA-F4</t>
        </is>
      </c>
      <c r="AM469" s="11">
        <f>IF(AK469="FUERA","Fuera del marco",IFERROR(INDEX('Datos - Catálogo PISA'!$C$5:$C$76,MATCH(AK469,'Datos - Catálogo PISA'!$A$5:$A$76,0)),"?"))</f>
        <v/>
      </c>
      <c r="AN469" s="11" t="inlineStr">
        <is>
          <t>Contenido</t>
        </is>
      </c>
      <c r="AO469" s="11" t="inlineStr">
        <is>
          <t>PISA-PR5;</t>
        </is>
      </c>
      <c r="AP469" s="11" t="n"/>
      <c r="AQ469" s="11" t="inlineStr">
        <is>
          <t>Sin contexto</t>
        </is>
      </c>
      <c r="AR469" s="11" t="n"/>
      <c r="AS469" s="11" t="inlineStr">
        <is>
          <t>Media</t>
        </is>
      </c>
      <c r="AT469" s="11" t="inlineStr">
        <is>
          <t>alta</t>
        </is>
      </c>
      <c r="AU469" s="11" t="inlineStr">
        <is>
          <t>Fuerzas que realizan trabajo sobre el péndulo, con diagrama</t>
        </is>
      </c>
      <c r="AV469" s="11" t="inlineStr">
        <is>
          <t>Ciclo 7°–9°</t>
        </is>
      </c>
      <c r="AW469" s="11">
        <f>AF469&amp;"; "&amp;AG469&amp;"; "&amp;AH469&amp;"; "&amp;AI469&amp;"; "&amp;AJ469</f>
        <v/>
      </c>
    </row>
    <row r="470">
      <c r="A470" s="11" t="inlineStr">
        <is>
          <t>T1104-G08-CIE</t>
        </is>
      </c>
      <c r="B470" s="11" t="n">
        <v>8</v>
      </c>
      <c r="C470" s="11" t="inlineStr">
        <is>
          <t>Ciencias</t>
        </is>
      </c>
      <c r="D470" s="11" t="inlineStr">
        <is>
          <t>Matriz_Ciencias_8vo_Grado_U1_U7.xlsx</t>
        </is>
      </c>
      <c r="E470" s="11" t="inlineStr">
        <is>
          <t>Unidad 3 - Ondas mecánicas</t>
        </is>
      </c>
      <c r="F470" s="11" t="n">
        <v>4</v>
      </c>
      <c r="G470" s="11" t="inlineStr">
        <is>
          <t>3. Ondas mecánicas</t>
        </is>
      </c>
      <c r="H470" s="11" t="inlineStr">
        <is>
          <t>Energía mecánica del movimiento armónico simple (MAS)</t>
        </is>
      </c>
      <c r="I470" s="38" t="inlineStr">
        <is>
          <t>3.2. Experimentación para identificar la transformación de la energía del péndulo simple.</t>
        </is>
      </c>
      <c r="J470" s="11" t="inlineStr">
        <is>
          <t>T8_27</t>
        </is>
      </c>
      <c r="K470" s="11" t="inlineStr">
        <is>
          <t>T8_27-P2.1</t>
        </is>
      </c>
      <c r="L470" s="11" t="inlineStr"/>
      <c r="M470" s="11">
        <f>IF(K470="FUERA","Fuera del marco",IF(K470="N/A","Sin marco",IFERROR(INDEX('Datos - Catálogo TIMSS'!$C$5:$C$107,MATCH(K470,'Datos - Catálogo TIMSS'!$A$5:$A$107,0)),"Pendiente de clasificar")))</f>
        <v/>
      </c>
      <c r="N470" s="11">
        <f>IF(K470="FUERA","Fuera del marco",IF(K470="N/A","Sin marco",IFERROR(INDEX('Datos - Catálogo TIMSS'!$F$5:$F$107,MATCH(K470,'Datos - Catálogo TIMSS'!$A$5:$A$107,0)),"Pendiente de clasificar")))</f>
        <v/>
      </c>
      <c r="O470" s="11">
        <f>IF(L470="","",IFERROR(INDEX('Datos - Catálogo TIMSS'!$C$5:$C$107,MATCH(L470,'Datos - Catálogo TIMSS'!$A$5:$A$107,0)),"?"))</f>
        <v/>
      </c>
      <c r="P470" s="11" t="inlineStr">
        <is>
          <t>alta</t>
        </is>
      </c>
      <c r="Q470" s="38" t="inlineStr">
        <is>
          <t>Transformación de energía en el péndulo simple</t>
        </is>
      </c>
      <c r="R470" s="38" t="inlineStr">
        <is>
          <t>Aplicar: medir. Razonar: interpretar</t>
        </is>
      </c>
      <c r="S470" s="39">
        <f>IFERROR(ISNUMBER(SEARCH("Conocer",$R470))/(ISNUMBER(SEARCH("Conocer",$R470))+ISNUMBER(SEARCH("Aplicar",$R470))+ISNUMBER(SEARCH("Razonar",$R470))),0)</f>
        <v/>
      </c>
      <c r="T470" s="39">
        <f>IFERROR(ISNUMBER(SEARCH("Aplicar",$R470))/(ISNUMBER(SEARCH("Conocer",$R470))+ISNUMBER(SEARCH("Aplicar",$R470))+ISNUMBER(SEARCH("Razonar",$R470))),0)</f>
        <v/>
      </c>
      <c r="U470" s="39">
        <f>IFERROR(ISNUMBER(SEARCH("Razonar",$R470))/(ISNUMBER(SEARCH("Conocer",$R470))+ISNUMBER(SEARCH("Aplicar",$R470))+ISNUMBER(SEARCH("Razonar",$R470))),0)</f>
        <v/>
      </c>
      <c r="V470" s="11" t="inlineStr">
        <is>
          <t>8°</t>
        </is>
      </c>
      <c r="W470" s="11" t="inlineStr">
        <is>
          <t>Ciclo 5°–8°</t>
        </is>
      </c>
      <c r="X470" s="11">
        <f>IF(OR(IFERROR(INDEX('Datos - Catálogo TIMSS'!$I$5:$I$107,MATCH(K470,'Datos - Catálogo TIMSS'!$A$5:$A$107,0)),"No")="Sí",IFERROR(INDEX('Datos - Catálogo TIMSS'!$I$5:$I$107,MATCH(L470,'Datos - Catálogo TIMSS'!$A$5:$A$107,0)),"No")="Sí"),1,0)</f>
        <v/>
      </c>
      <c r="Y470" s="11">
        <f>IF(IFERROR(INDEX('Datos - Catálogo TIMSS'!$J$5:$J$107,MATCH(K470,'Datos - Catálogo TIMSS'!$A$5:$A$107,0)),"No")="Sí",1,0)</f>
        <v/>
      </c>
      <c r="Z470" s="11">
        <f>IF(IFERROR(INDEX('Datos - Catálogo TIMSS'!$J$5:$J$107,MATCH(L470,'Datos - Catálogo TIMSS'!$A$5:$A$107,0)),"No")="Sí",1,0)</f>
        <v/>
      </c>
      <c r="AA470" s="11" t="inlineStr">
        <is>
          <t>T8-F2.1</t>
        </is>
      </c>
      <c r="AB470" s="11" t="inlineStr"/>
      <c r="AC470" s="11">
        <f>IF(AA470="FUERA","Fuera del marco",IF(AA470="N/A","Sin marco",IFERROR(INDEX('Datos - TIMSS 2023'!$C$5:$C$105,MATCH(AA470,'Datos - TIMSS 2023'!$A$5:$A$105,0)),"Pendiente de clasificar")))</f>
        <v/>
      </c>
      <c r="AD470" s="11" t="inlineStr">
        <is>
          <t>2. Construir y evaluar diseños para la indagación científica e interpretar datos y evidencia de forma crítica</t>
        </is>
      </c>
      <c r="AE470" s="11">
        <f>IF(AD470="","",IF(LEFT(AD470,1)="1","C1",IF(LEFT(AD470,1)="2","C2",IF(LEFT(AD470,1)="3","C3",""))))</f>
        <v/>
      </c>
      <c r="AF470" s="11" t="inlineStr">
        <is>
          <t>E1</t>
        </is>
      </c>
      <c r="AG470" s="11" t="inlineStr">
        <is>
          <t>E3</t>
        </is>
      </c>
      <c r="AH470" s="11" t="inlineStr">
        <is>
          <t>E1</t>
        </is>
      </c>
      <c r="AI470" s="11" t="inlineStr">
        <is>
          <t>D4</t>
        </is>
      </c>
      <c r="AJ470" s="11" t="inlineStr">
        <is>
          <t>E6</t>
        </is>
      </c>
      <c r="AK470" s="11" t="inlineStr">
        <is>
          <t>PISA-F4</t>
        </is>
      </c>
      <c r="AL470" s="11" t="n"/>
      <c r="AM470" s="11">
        <f>IF(AK470="FUERA","Fuera del marco",IFERROR(INDEX('Datos - Catálogo PISA'!$C$5:$C$76,MATCH(AK470,'Datos - Catálogo PISA'!$A$5:$A$76,0)),"?"))</f>
        <v/>
      </c>
      <c r="AN470" s="11" t="inlineStr">
        <is>
          <t>Contenido</t>
        </is>
      </c>
      <c r="AO470" s="11" t="n"/>
      <c r="AP470" s="11" t="n"/>
      <c r="AQ470" s="11" t="inlineStr">
        <is>
          <t>Sin contexto</t>
        </is>
      </c>
      <c r="AR470" s="11" t="n"/>
      <c r="AS470" s="11" t="inlineStr">
        <is>
          <t>Baja</t>
        </is>
      </c>
      <c r="AT470" s="11" t="inlineStr">
        <is>
          <t>alta</t>
        </is>
      </c>
      <c r="AU470" s="11" t="inlineStr">
        <is>
          <t>Transformación de energía en el péndulo simple</t>
        </is>
      </c>
      <c r="AV470" s="11" t="inlineStr">
        <is>
          <t>Ciclo 7°–9°</t>
        </is>
      </c>
      <c r="AW470" s="11">
        <f>AF470&amp;"; "&amp;AG470&amp;"; "&amp;AH470&amp;"; "&amp;AI470&amp;"; "&amp;AJ470</f>
        <v/>
      </c>
    </row>
    <row r="471">
      <c r="A471" s="11" t="inlineStr">
        <is>
          <t>T1105-G08-CIE</t>
        </is>
      </c>
      <c r="B471" s="11" t="n">
        <v>8</v>
      </c>
      <c r="C471" s="11" t="inlineStr">
        <is>
          <t>Ciencias</t>
        </is>
      </c>
      <c r="D471" s="11" t="inlineStr">
        <is>
          <t>Matriz_Ciencias_8vo_Grado_U1_U7.xlsx</t>
        </is>
      </c>
      <c r="E471" s="11" t="inlineStr">
        <is>
          <t>Unidad 3 - Ondas mecánicas</t>
        </is>
      </c>
      <c r="F471" s="11" t="n">
        <v>5</v>
      </c>
      <c r="G471" s="11" t="inlineStr">
        <is>
          <t>3. Ondas mecánicas</t>
        </is>
      </c>
      <c r="H471" s="11" t="inlineStr">
        <is>
          <t>Energía mecánica del movimiento armónico simple (MAS)</t>
        </is>
      </c>
      <c r="I471" s="38" t="inlineStr">
        <is>
          <t>3.3. Interpretación de las características de las gráficas de energía del oscilador armónico simple.</t>
        </is>
      </c>
      <c r="J471" s="11" t="inlineStr">
        <is>
          <t>T8_27</t>
        </is>
      </c>
      <c r="K471" s="11" t="inlineStr">
        <is>
          <t>T8_27-P2.1</t>
        </is>
      </c>
      <c r="L471" s="11" t="inlineStr"/>
      <c r="M471" s="11">
        <f>IF(K471="FUERA","Fuera del marco",IF(K471="N/A","Sin marco",IFERROR(INDEX('Datos - Catálogo TIMSS'!$C$5:$C$107,MATCH(K471,'Datos - Catálogo TIMSS'!$A$5:$A$107,0)),"Pendiente de clasificar")))</f>
        <v/>
      </c>
      <c r="N471" s="11">
        <f>IF(K471="FUERA","Fuera del marco",IF(K471="N/A","Sin marco",IFERROR(INDEX('Datos - Catálogo TIMSS'!$F$5:$F$107,MATCH(K471,'Datos - Catálogo TIMSS'!$A$5:$A$107,0)),"Pendiente de clasificar")))</f>
        <v/>
      </c>
      <c r="O471" s="11">
        <f>IF(L471="","",IFERROR(INDEX('Datos - Catálogo TIMSS'!$C$5:$C$107,MATCH(L471,'Datos - Catálogo TIMSS'!$A$5:$A$107,0)),"?"))</f>
        <v/>
      </c>
      <c r="P471" s="11" t="inlineStr">
        <is>
          <t>alta</t>
        </is>
      </c>
      <c r="Q471" s="38" t="inlineStr">
        <is>
          <t>Gráficas de energía del oscilador: transformación y conservación</t>
        </is>
      </c>
      <c r="R471" s="38" t="inlineStr">
        <is>
          <t>Aplicar: interpretar gráficas</t>
        </is>
      </c>
      <c r="S471" s="39">
        <f>IFERROR(ISNUMBER(SEARCH("Conocer",$R471))/(ISNUMBER(SEARCH("Conocer",$R471))+ISNUMBER(SEARCH("Aplicar",$R471))+ISNUMBER(SEARCH("Razonar",$R471))),0)</f>
        <v/>
      </c>
      <c r="T471" s="39">
        <f>IFERROR(ISNUMBER(SEARCH("Aplicar",$R471))/(ISNUMBER(SEARCH("Conocer",$R471))+ISNUMBER(SEARCH("Aplicar",$R471))+ISNUMBER(SEARCH("Razonar",$R471))),0)</f>
        <v/>
      </c>
      <c r="U471" s="39">
        <f>IFERROR(ISNUMBER(SEARCH("Razonar",$R471))/(ISNUMBER(SEARCH("Conocer",$R471))+ISNUMBER(SEARCH("Aplicar",$R471))+ISNUMBER(SEARCH("Razonar",$R471))),0)</f>
        <v/>
      </c>
      <c r="V471" s="11" t="inlineStr">
        <is>
          <t>8°</t>
        </is>
      </c>
      <c r="W471" s="11" t="inlineStr">
        <is>
          <t>Ciclo 5°–8°</t>
        </is>
      </c>
      <c r="X471" s="11">
        <f>IF(OR(IFERROR(INDEX('Datos - Catálogo TIMSS'!$I$5:$I$107,MATCH(K471,'Datos - Catálogo TIMSS'!$A$5:$A$107,0)),"No")="Sí",IFERROR(INDEX('Datos - Catálogo TIMSS'!$I$5:$I$107,MATCH(L471,'Datos - Catálogo TIMSS'!$A$5:$A$107,0)),"No")="Sí"),1,0)</f>
        <v/>
      </c>
      <c r="Y471" s="11">
        <f>IF(IFERROR(INDEX('Datos - Catálogo TIMSS'!$J$5:$J$107,MATCH(K471,'Datos - Catálogo TIMSS'!$A$5:$A$107,0)),"No")="Sí",1,0)</f>
        <v/>
      </c>
      <c r="Z471" s="11">
        <f>IF(IFERROR(INDEX('Datos - Catálogo TIMSS'!$J$5:$J$107,MATCH(L471,'Datos - Catálogo TIMSS'!$A$5:$A$107,0)),"No")="Sí",1,0)</f>
        <v/>
      </c>
      <c r="AA471" s="11" t="inlineStr">
        <is>
          <t>T8-F2.1</t>
        </is>
      </c>
      <c r="AB471" s="11" t="inlineStr"/>
      <c r="AC471" s="11">
        <f>IF(AA471="FUERA","Fuera del marco",IF(AA471="N/A","Sin marco",IFERROR(INDEX('Datos - TIMSS 2023'!$C$5:$C$105,MATCH(AA471,'Datos - TIMSS 2023'!$A$5:$A$105,0)),"Pendiente de clasificar")))</f>
        <v/>
      </c>
      <c r="AD471" s="11" t="inlineStr">
        <is>
          <t>2. Construir y evaluar diseños para la indagación científica e interpretar datos y evidencia de forma crítica</t>
        </is>
      </c>
      <c r="AE471" s="11">
        <f>IF(AD471="","",IF(LEFT(AD471,1)="1","C1",IF(LEFT(AD471,1)="2","C2",IF(LEFT(AD471,1)="3","C3",""))))</f>
        <v/>
      </c>
      <c r="AF471" s="11" t="inlineStr">
        <is>
          <t>E1</t>
        </is>
      </c>
      <c r="AG471" s="11" t="inlineStr">
        <is>
          <t>D1</t>
        </is>
      </c>
      <c r="AH471" s="11" t="inlineStr">
        <is>
          <t>E2</t>
        </is>
      </c>
      <c r="AI471" s="11" t="inlineStr">
        <is>
          <t>D4</t>
        </is>
      </c>
      <c r="AJ471" s="11" t="inlineStr">
        <is>
          <t>E3</t>
        </is>
      </c>
      <c r="AK471" s="11" t="inlineStr">
        <is>
          <t>PISA-F4</t>
        </is>
      </c>
      <c r="AL471" s="11" t="n"/>
      <c r="AM471" s="11">
        <f>IF(AK471="FUERA","Fuera del marco",IFERROR(INDEX('Datos - Catálogo PISA'!$C$5:$C$76,MATCH(AK471,'Datos - Catálogo PISA'!$A$5:$A$76,0)),"?"))</f>
        <v/>
      </c>
      <c r="AN471" s="11" t="inlineStr">
        <is>
          <t>Contenido</t>
        </is>
      </c>
      <c r="AO471" s="11" t="inlineStr">
        <is>
          <t>PISA-PR5;</t>
        </is>
      </c>
      <c r="AP471" s="11" t="n"/>
      <c r="AQ471" s="11" t="inlineStr">
        <is>
          <t>Sin contexto</t>
        </is>
      </c>
      <c r="AR471" s="11" t="n"/>
      <c r="AS471" s="11" t="inlineStr">
        <is>
          <t>Media</t>
        </is>
      </c>
      <c r="AT471" s="11" t="inlineStr">
        <is>
          <t>alta</t>
        </is>
      </c>
      <c r="AU471" s="11" t="inlineStr">
        <is>
          <t>Gráficas de energía del oscilador armónico simple</t>
        </is>
      </c>
      <c r="AV471" s="11" t="inlineStr">
        <is>
          <t>Ciclo 7°–9°</t>
        </is>
      </c>
      <c r="AW471" s="11">
        <f>AF471&amp;"; "&amp;AG471&amp;"; "&amp;AH471&amp;"; "&amp;AI471&amp;"; "&amp;AJ471</f>
        <v/>
      </c>
    </row>
    <row r="472">
      <c r="A472" s="11" t="inlineStr">
        <is>
          <t>T1106-G08-CIE</t>
        </is>
      </c>
      <c r="B472" s="11" t="n">
        <v>8</v>
      </c>
      <c r="C472" s="11" t="inlineStr">
        <is>
          <t>Ciencias</t>
        </is>
      </c>
      <c r="D472" s="11" t="inlineStr">
        <is>
          <t>Matriz_Ciencias_8vo_Grado_U1_U7.xlsx</t>
        </is>
      </c>
      <c r="E472" s="11" t="inlineStr">
        <is>
          <t>Unidad 3 - Ondas mecánicas</t>
        </is>
      </c>
      <c r="F472" s="11" t="n">
        <v>6</v>
      </c>
      <c r="G472" s="11" t="inlineStr">
        <is>
          <t>3. Ondas mecánicas</t>
        </is>
      </c>
      <c r="H472" s="11" t="inlineStr">
        <is>
          <t>Medición del MAS</t>
        </is>
      </c>
      <c r="I472" s="38" t="inlineStr">
        <is>
          <t>3.4. Medición directa del período y de la amplitud de oscilación de un péndulo simple.</t>
        </is>
      </c>
      <c r="J472" s="11" t="inlineStr">
        <is>
          <t>T8_27</t>
        </is>
      </c>
      <c r="K472" s="11" t="inlineStr">
        <is>
          <t>T8_27-P6.1</t>
        </is>
      </c>
      <c r="L472" s="11" t="inlineStr"/>
      <c r="M472" s="11">
        <f>IF(K472="FUERA","Fuera del marco",IF(K472="N/A","Sin marco",IFERROR(INDEX('Datos - Catálogo TIMSS'!$C$5:$C$107,MATCH(K472,'Datos - Catálogo TIMSS'!$A$5:$A$107,0)),"Pendiente de clasificar")))</f>
        <v/>
      </c>
      <c r="N472" s="11">
        <f>IF(K472="FUERA","Fuera del marco",IF(K472="N/A","Sin marco",IFERROR(INDEX('Datos - Catálogo TIMSS'!$F$5:$F$107,MATCH(K472,'Datos - Catálogo TIMSS'!$A$5:$A$107,0)),"Pendiente de clasificar")))</f>
        <v/>
      </c>
      <c r="O472" s="11">
        <f>IF(L472="","",IFERROR(INDEX('Datos - Catálogo TIMSS'!$C$5:$C$107,MATCH(L472,'Datos - Catálogo TIMSS'!$A$5:$A$107,0)),"?"))</f>
        <v/>
      </c>
      <c r="P472" s="11" t="inlineStr">
        <is>
          <t>media</t>
        </is>
      </c>
      <c r="Q472" s="38" t="inlineStr">
        <is>
          <t>Foco en medir período y amplitud, repitiendo mediciones</t>
        </is>
      </c>
      <c r="R472" s="38" t="inlineStr">
        <is>
          <t>Aplicar: medir. Razonar: identificar variables</t>
        </is>
      </c>
      <c r="S472" s="39">
        <f>IFERROR(ISNUMBER(SEARCH("Conocer",$R472))/(ISNUMBER(SEARCH("Conocer",$R472))+ISNUMBER(SEARCH("Aplicar",$R472))+ISNUMBER(SEARCH("Razonar",$R472))),0)</f>
        <v/>
      </c>
      <c r="T472" s="39">
        <f>IFERROR(ISNUMBER(SEARCH("Aplicar",$R472))/(ISNUMBER(SEARCH("Conocer",$R472))+ISNUMBER(SEARCH("Aplicar",$R472))+ISNUMBER(SEARCH("Razonar",$R472))),0)</f>
        <v/>
      </c>
      <c r="U472" s="39">
        <f>IFERROR(ISNUMBER(SEARCH("Razonar",$R472))/(ISNUMBER(SEARCH("Conocer",$R472))+ISNUMBER(SEARCH("Aplicar",$R472))+ISNUMBER(SEARCH("Razonar",$R472))),0)</f>
        <v/>
      </c>
      <c r="V472" s="11" t="inlineStr">
        <is>
          <t>8°</t>
        </is>
      </c>
      <c r="W472" s="11" t="inlineStr">
        <is>
          <t>Ciclo 5°–8°</t>
        </is>
      </c>
      <c r="X472" s="11">
        <f>IF(OR(IFERROR(INDEX('Datos - Catálogo TIMSS'!$I$5:$I$107,MATCH(K472,'Datos - Catálogo TIMSS'!$A$5:$A$107,0)),"No")="Sí",IFERROR(INDEX('Datos - Catálogo TIMSS'!$I$5:$I$107,MATCH(L472,'Datos - Catálogo TIMSS'!$A$5:$A$107,0)),"No")="Sí"),1,0)</f>
        <v/>
      </c>
      <c r="Y472" s="11">
        <f>IF(IFERROR(INDEX('Datos - Catálogo TIMSS'!$J$5:$J$107,MATCH(K472,'Datos - Catálogo TIMSS'!$A$5:$A$107,0)),"No")="Sí",1,0)</f>
        <v/>
      </c>
      <c r="Z472" s="11">
        <f>IF(IFERROR(INDEX('Datos - Catálogo TIMSS'!$J$5:$J$107,MATCH(L472,'Datos - Catálogo TIMSS'!$A$5:$A$107,0)),"No")="Sí",1,0)</f>
        <v/>
      </c>
      <c r="AA472" s="11" t="inlineStr">
        <is>
          <t>T8-F5.1</t>
        </is>
      </c>
      <c r="AB472" s="11" t="inlineStr"/>
      <c r="AC472" s="11">
        <f>IF(AA472="FUERA","Fuera del marco",IF(AA472="N/A","Sin marco",IFERROR(INDEX('Datos - TIMSS 2023'!$C$5:$C$105,MATCH(AA472,'Datos - TIMSS 2023'!$A$5:$A$105,0)),"Pendiente de clasificar")))</f>
        <v/>
      </c>
      <c r="AD472" s="11" t="inlineStr">
        <is>
          <t>2. Construir y evaluar diseños para la indagación científica e interpretar datos y evidencia de forma crítica</t>
        </is>
      </c>
      <c r="AE472" s="11">
        <f>IF(AD472="","",IF(LEFT(AD472,1)="1","C1",IF(LEFT(AD472,1)="2","C2",IF(LEFT(AD472,1)="3","C3",""))))</f>
        <v/>
      </c>
      <c r="AF472" s="11" t="inlineStr">
        <is>
          <t>E1</t>
        </is>
      </c>
      <c r="AG472" s="11" t="inlineStr">
        <is>
          <t>E3</t>
        </is>
      </c>
      <c r="AH472" s="11" t="inlineStr">
        <is>
          <t>E1</t>
        </is>
      </c>
      <c r="AI472" s="11" t="inlineStr">
        <is>
          <t>D4</t>
        </is>
      </c>
      <c r="AJ472" s="11" t="inlineStr">
        <is>
          <t>E3</t>
        </is>
      </c>
      <c r="AK472" s="11" t="inlineStr">
        <is>
          <t>PISA-F3</t>
        </is>
      </c>
      <c r="AL472" s="11" t="n"/>
      <c r="AM472" s="11">
        <f>IF(AK472="FUERA","Fuera del marco",IFERROR(INDEX('Datos - Catálogo PISA'!$C$5:$C$76,MATCH(AK472,'Datos - Catálogo PISA'!$A$5:$A$76,0)),"?"))</f>
        <v/>
      </c>
      <c r="AN472" s="11" t="inlineStr">
        <is>
          <t>Procedimental</t>
        </is>
      </c>
      <c r="AO472" s="11" t="inlineStr">
        <is>
          <t>PISA-PR1; PISA-PR2;</t>
        </is>
      </c>
      <c r="AP472" s="11" t="n"/>
      <c r="AQ472" s="11" t="inlineStr">
        <is>
          <t>Sin contexto</t>
        </is>
      </c>
      <c r="AR472" s="11" t="n"/>
      <c r="AS472" s="11" t="inlineStr">
        <is>
          <t>Media</t>
        </is>
      </c>
      <c r="AT472" s="11" t="inlineStr">
        <is>
          <t>media</t>
        </is>
      </c>
      <c r="AU472" s="11" t="inlineStr">
        <is>
          <t>Medición del período según longitud y amplitud; foco en medir</t>
        </is>
      </c>
      <c r="AV472" s="11" t="inlineStr">
        <is>
          <t>Ciclo 7°–9°</t>
        </is>
      </c>
      <c r="AW472" s="11">
        <f>AF472&amp;"; "&amp;AG472&amp;"; "&amp;AH472&amp;"; "&amp;AI472&amp;"; "&amp;AJ472</f>
        <v/>
      </c>
    </row>
    <row r="473">
      <c r="A473" s="11" t="inlineStr">
        <is>
          <t>T1107-G08-CIE</t>
        </is>
      </c>
      <c r="B473" s="11" t="n">
        <v>8</v>
      </c>
      <c r="C473" s="11" t="inlineStr">
        <is>
          <t>Ciencias</t>
        </is>
      </c>
      <c r="D473" s="11" t="inlineStr">
        <is>
          <t>Matriz_Ciencias_8vo_Grado_U1_U7.xlsx</t>
        </is>
      </c>
      <c r="E473" s="11" t="inlineStr">
        <is>
          <t>Unidad 3 - Ondas mecánicas</t>
        </is>
      </c>
      <c r="F473" s="11" t="n">
        <v>7</v>
      </c>
      <c r="G473" s="11" t="inlineStr">
        <is>
          <t>3. Ondas mecánicas</t>
        </is>
      </c>
      <c r="H473" s="11" t="inlineStr">
        <is>
          <t>Medición del MAS</t>
        </is>
      </c>
      <c r="I473" s="38" t="inlineStr">
        <is>
          <t>3.5. Cálculo experimental de una altura empleando el período de oscilación de un péndulo simple.</t>
        </is>
      </c>
      <c r="J473" s="11" t="inlineStr">
        <is>
          <t>T8_27</t>
        </is>
      </c>
      <c r="K473" s="11" t="inlineStr">
        <is>
          <t>T8_27-P6.1</t>
        </is>
      </c>
      <c r="L473" s="11" t="inlineStr"/>
      <c r="M473" s="11">
        <f>IF(K473="FUERA","Fuera del marco",IF(K473="N/A","Sin marco",IFERROR(INDEX('Datos - Catálogo TIMSS'!$C$5:$C$107,MATCH(K473,'Datos - Catálogo TIMSS'!$A$5:$A$107,0)),"Pendiente de clasificar")))</f>
        <v/>
      </c>
      <c r="N473" s="11">
        <f>IF(K473="FUERA","Fuera del marco",IF(K473="N/A","Sin marco",IFERROR(INDEX('Datos - Catálogo TIMSS'!$F$5:$F$107,MATCH(K473,'Datos - Catálogo TIMSS'!$A$5:$A$107,0)),"Pendiente de clasificar")))</f>
        <v/>
      </c>
      <c r="O473" s="11">
        <f>IF(L473="","",IFERROR(INDEX('Datos - Catálogo TIMSS'!$C$5:$C$107,MATCH(L473,'Datos - Catálogo TIMSS'!$A$5:$A$107,0)),"?"))</f>
        <v/>
      </c>
      <c r="P473" s="11" t="inlineStr">
        <is>
          <t>media</t>
        </is>
      </c>
      <c r="Q473" s="38" t="inlineStr">
        <is>
          <t>Medición indirecta de una altura con el péndulo: práctica de medición</t>
        </is>
      </c>
      <c r="R473" s="38" t="inlineStr">
        <is>
          <t>Aplicar: calcular</t>
        </is>
      </c>
      <c r="S473" s="39">
        <f>IFERROR(ISNUMBER(SEARCH("Conocer",$R473))/(ISNUMBER(SEARCH("Conocer",$R473))+ISNUMBER(SEARCH("Aplicar",$R473))+ISNUMBER(SEARCH("Razonar",$R473))),0)</f>
        <v/>
      </c>
      <c r="T473" s="39">
        <f>IFERROR(ISNUMBER(SEARCH("Aplicar",$R473))/(ISNUMBER(SEARCH("Conocer",$R473))+ISNUMBER(SEARCH("Aplicar",$R473))+ISNUMBER(SEARCH("Razonar",$R473))),0)</f>
        <v/>
      </c>
      <c r="U473" s="39">
        <f>IFERROR(ISNUMBER(SEARCH("Razonar",$R473))/(ISNUMBER(SEARCH("Conocer",$R473))+ISNUMBER(SEARCH("Aplicar",$R473))+ISNUMBER(SEARCH("Razonar",$R473))),0)</f>
        <v/>
      </c>
      <c r="V473" s="11" t="inlineStr">
        <is>
          <t>8°</t>
        </is>
      </c>
      <c r="W473" s="11" t="inlineStr">
        <is>
          <t>Ciclo 5°–8°</t>
        </is>
      </c>
      <c r="X473" s="11">
        <f>IF(OR(IFERROR(INDEX('Datos - Catálogo TIMSS'!$I$5:$I$107,MATCH(K473,'Datos - Catálogo TIMSS'!$A$5:$A$107,0)),"No")="Sí",IFERROR(INDEX('Datos - Catálogo TIMSS'!$I$5:$I$107,MATCH(L473,'Datos - Catálogo TIMSS'!$A$5:$A$107,0)),"No")="Sí"),1,0)</f>
        <v/>
      </c>
      <c r="Y473" s="11">
        <f>IF(IFERROR(INDEX('Datos - Catálogo TIMSS'!$J$5:$J$107,MATCH(K473,'Datos - Catálogo TIMSS'!$A$5:$A$107,0)),"No")="Sí",1,0)</f>
        <v/>
      </c>
      <c r="Z473" s="11">
        <f>IF(IFERROR(INDEX('Datos - Catálogo TIMSS'!$J$5:$J$107,MATCH(L473,'Datos - Catálogo TIMSS'!$A$5:$A$107,0)),"No")="Sí",1,0)</f>
        <v/>
      </c>
      <c r="AA473" s="11" t="inlineStr">
        <is>
          <t>T8-F5.1</t>
        </is>
      </c>
      <c r="AB473" s="11" t="inlineStr"/>
      <c r="AC473" s="11">
        <f>IF(AA473="FUERA","Fuera del marco",IF(AA473="N/A","Sin marco",IFERROR(INDEX('Datos - TIMSS 2023'!$C$5:$C$105,MATCH(AA473,'Datos - TIMSS 2023'!$A$5:$A$105,0)),"Pendiente de clasificar")))</f>
        <v/>
      </c>
      <c r="AD473" s="11" t="inlineStr">
        <is>
          <t>2. Construir y evaluar diseños para la indagación científica e interpretar datos y evidencia de forma crítica</t>
        </is>
      </c>
      <c r="AE473" s="11">
        <f>IF(AD473="","",IF(LEFT(AD473,1)="1","C1",IF(LEFT(AD473,1)="2","C2",IF(LEFT(AD473,1)="3","C3",""))))</f>
        <v/>
      </c>
      <c r="AF473" s="11" t="inlineStr">
        <is>
          <t>E1</t>
        </is>
      </c>
      <c r="AG473" s="11" t="inlineStr">
        <is>
          <t>D1</t>
        </is>
      </c>
      <c r="AH473" s="11" t="inlineStr">
        <is>
          <t>E1</t>
        </is>
      </c>
      <c r="AI473" s="11" t="inlineStr">
        <is>
          <t>D4</t>
        </is>
      </c>
      <c r="AJ473" s="11" t="inlineStr">
        <is>
          <t>E3</t>
        </is>
      </c>
      <c r="AK473" s="11" t="inlineStr">
        <is>
          <t>PISA-F3</t>
        </is>
      </c>
      <c r="AL473" s="11" t="n"/>
      <c r="AM473" s="11">
        <f>IF(AK473="FUERA","Fuera del marco",IFERROR(INDEX('Datos - Catálogo PISA'!$C$5:$C$76,MATCH(AK473,'Datos - Catálogo PISA'!$A$5:$A$76,0)),"?"))</f>
        <v/>
      </c>
      <c r="AN473" s="11" t="inlineStr">
        <is>
          <t>Contenido</t>
        </is>
      </c>
      <c r="AO473" s="11" t="inlineStr">
        <is>
          <t>PISA-PR2;</t>
        </is>
      </c>
      <c r="AP473" s="11" t="inlineStr">
        <is>
          <t>PISA-EP6;</t>
        </is>
      </c>
      <c r="AQ473" s="11" t="inlineStr">
        <is>
          <t>Sin contexto</t>
        </is>
      </c>
      <c r="AR473" s="11" t="n"/>
      <c r="AS473" s="11" t="inlineStr">
        <is>
          <t>Media</t>
        </is>
      </c>
      <c r="AT473" s="11" t="inlineStr">
        <is>
          <t>media</t>
        </is>
      </c>
      <c r="AU473" s="11" t="inlineStr">
        <is>
          <t>Uso del modelo de péndulo para predecir una altura</t>
        </is>
      </c>
      <c r="AV473" s="11" t="inlineStr">
        <is>
          <t>Ciclo 7°–9°</t>
        </is>
      </c>
      <c r="AW473" s="11">
        <f>AF473&amp;"; "&amp;AG473&amp;"; "&amp;AH473&amp;"; "&amp;AI473&amp;"; "&amp;AJ473</f>
        <v/>
      </c>
    </row>
    <row r="474">
      <c r="A474" s="11" t="inlineStr">
        <is>
          <t>T1108-G08-CIE</t>
        </is>
      </c>
      <c r="B474" s="11" t="n">
        <v>8</v>
      </c>
      <c r="C474" s="11" t="inlineStr">
        <is>
          <t>Ciencias</t>
        </is>
      </c>
      <c r="D474" s="11" t="inlineStr">
        <is>
          <t>Matriz_Ciencias_8vo_Grado_U1_U7.xlsx</t>
        </is>
      </c>
      <c r="E474" s="11" t="inlineStr">
        <is>
          <t>Unidad 3 - Ondas mecánicas</t>
        </is>
      </c>
      <c r="F474" s="11" t="n">
        <v>8</v>
      </c>
      <c r="G474" s="11" t="inlineStr">
        <is>
          <t>3. Ondas mecánicas</t>
        </is>
      </c>
      <c r="H474" s="11" t="inlineStr">
        <is>
          <t>Medición del MAS</t>
        </is>
      </c>
      <c r="I474" s="38" t="inlineStr">
        <is>
          <t>3.6. Diseño de un experimento para determinar una altura empleando un péndulo simple.</t>
        </is>
      </c>
      <c r="J474" s="11" t="inlineStr">
        <is>
          <t>T8_27</t>
        </is>
      </c>
      <c r="K474" s="11" t="inlineStr">
        <is>
          <t>T8_27-P6.1</t>
        </is>
      </c>
      <c r="L474" s="11" t="inlineStr"/>
      <c r="M474" s="11">
        <f>IF(K474="FUERA","Fuera del marco",IF(K474="N/A","Sin marco",IFERROR(INDEX('Datos - Catálogo TIMSS'!$C$5:$C$107,MATCH(K474,'Datos - Catálogo TIMSS'!$A$5:$A$107,0)),"Pendiente de clasificar")))</f>
        <v/>
      </c>
      <c r="N474" s="11">
        <f>IF(K474="FUERA","Fuera del marco",IF(K474="N/A","Sin marco",IFERROR(INDEX('Datos - Catálogo TIMSS'!$F$5:$F$107,MATCH(K474,'Datos - Catálogo TIMSS'!$A$5:$A$107,0)),"Pendiente de clasificar")))</f>
        <v/>
      </c>
      <c r="O474" s="11">
        <f>IF(L474="","",IFERROR(INDEX('Datos - Catálogo TIMSS'!$C$5:$C$107,MATCH(L474,'Datos - Catálogo TIMSS'!$A$5:$A$107,0)),"?"))</f>
        <v/>
      </c>
      <c r="P474" s="11" t="inlineStr">
        <is>
          <t>alta</t>
        </is>
      </c>
      <c r="Q474" s="38" t="inlineStr">
        <is>
          <t>Diseñar experimento y evaluar errores de medición</t>
        </is>
      </c>
      <c r="R474" s="38" t="inlineStr">
        <is>
          <t>Razonar: diseñar y evaluar</t>
        </is>
      </c>
      <c r="S474" s="39">
        <f>IFERROR(ISNUMBER(SEARCH("Conocer",$R474))/(ISNUMBER(SEARCH("Conocer",$R474))+ISNUMBER(SEARCH("Aplicar",$R474))+ISNUMBER(SEARCH("Razonar",$R474))),0)</f>
        <v/>
      </c>
      <c r="T474" s="39">
        <f>IFERROR(ISNUMBER(SEARCH("Aplicar",$R474))/(ISNUMBER(SEARCH("Conocer",$R474))+ISNUMBER(SEARCH("Aplicar",$R474))+ISNUMBER(SEARCH("Razonar",$R474))),0)</f>
        <v/>
      </c>
      <c r="U474" s="39">
        <f>IFERROR(ISNUMBER(SEARCH("Razonar",$R474))/(ISNUMBER(SEARCH("Conocer",$R474))+ISNUMBER(SEARCH("Aplicar",$R474))+ISNUMBER(SEARCH("Razonar",$R474))),0)</f>
        <v/>
      </c>
      <c r="V474" s="11" t="inlineStr">
        <is>
          <t>8°</t>
        </is>
      </c>
      <c r="W474" s="11" t="inlineStr">
        <is>
          <t>Ciclo 5°–8°</t>
        </is>
      </c>
      <c r="X474" s="11">
        <f>IF(OR(IFERROR(INDEX('Datos - Catálogo TIMSS'!$I$5:$I$107,MATCH(K474,'Datos - Catálogo TIMSS'!$A$5:$A$107,0)),"No")="Sí",IFERROR(INDEX('Datos - Catálogo TIMSS'!$I$5:$I$107,MATCH(L474,'Datos - Catálogo TIMSS'!$A$5:$A$107,0)),"No")="Sí"),1,0)</f>
        <v/>
      </c>
      <c r="Y474" s="11">
        <f>IF(IFERROR(INDEX('Datos - Catálogo TIMSS'!$J$5:$J$107,MATCH(K474,'Datos - Catálogo TIMSS'!$A$5:$A$107,0)),"No")="Sí",1,0)</f>
        <v/>
      </c>
      <c r="Z474" s="11">
        <f>IF(IFERROR(INDEX('Datos - Catálogo TIMSS'!$J$5:$J$107,MATCH(L474,'Datos - Catálogo TIMSS'!$A$5:$A$107,0)),"No")="Sí",1,0)</f>
        <v/>
      </c>
      <c r="AA474" s="11" t="inlineStr">
        <is>
          <t>T8-F5.1</t>
        </is>
      </c>
      <c r="AB474" s="11" t="inlineStr"/>
      <c r="AC474" s="11">
        <f>IF(AA474="FUERA","Fuera del marco",IF(AA474="N/A","Sin marco",IFERROR(INDEX('Datos - TIMSS 2023'!$C$5:$C$105,MATCH(AA474,'Datos - TIMSS 2023'!$A$5:$A$105,0)),"Pendiente de clasificar")))</f>
        <v/>
      </c>
      <c r="AD474" s="11" t="inlineStr">
        <is>
          <t>2. Construir y evaluar diseños para la indagación científica e interpretar datos y evidencia de forma crítica</t>
        </is>
      </c>
      <c r="AE474" s="11">
        <f>IF(AD474="","",IF(LEFT(AD474,1)="1","C1",IF(LEFT(AD474,1)="2","C2",IF(LEFT(AD474,1)="3","C3",""))))</f>
        <v/>
      </c>
      <c r="AF474" s="11" t="inlineStr">
        <is>
          <t>E1</t>
        </is>
      </c>
      <c r="AG474" s="11" t="inlineStr">
        <is>
          <t>D1</t>
        </is>
      </c>
      <c r="AH474" s="11" t="inlineStr">
        <is>
          <t>E3</t>
        </is>
      </c>
      <c r="AI474" s="11" t="inlineStr">
        <is>
          <t>D2</t>
        </is>
      </c>
      <c r="AJ474" s="11" t="inlineStr">
        <is>
          <t>D3</t>
        </is>
      </c>
      <c r="AK474" s="11" t="inlineStr">
        <is>
          <t>PISA-F3</t>
        </is>
      </c>
      <c r="AL474" s="11" t="n"/>
      <c r="AM474" s="11">
        <f>IF(AK474="FUERA","Fuera del marco",IFERROR(INDEX('Datos - Catálogo PISA'!$C$5:$C$76,MATCH(AK474,'Datos - Catálogo PISA'!$A$5:$A$76,0)),"?"))</f>
        <v/>
      </c>
      <c r="AN474" s="11" t="inlineStr">
        <is>
          <t>Procedimental</t>
        </is>
      </c>
      <c r="AO474" s="11" t="inlineStr">
        <is>
          <t>PISA-PR7; PISA-PR3;</t>
        </is>
      </c>
      <c r="AP474" s="11" t="inlineStr">
        <is>
          <t>PISA-EP10;</t>
        </is>
      </c>
      <c r="AQ474" s="11" t="inlineStr">
        <is>
          <t>Sin contexto</t>
        </is>
      </c>
      <c r="AR474" s="11" t="n"/>
      <c r="AS474" s="11" t="inlineStr">
        <is>
          <t>Alta</t>
        </is>
      </c>
      <c r="AT474" s="11" t="inlineStr">
        <is>
          <t>media</t>
        </is>
      </c>
      <c r="AU474" s="11" t="inlineStr">
        <is>
          <t>Diseño experimental con péndulo y evaluación de errores</t>
        </is>
      </c>
      <c r="AV474" s="11" t="inlineStr">
        <is>
          <t>Ciclo 7°–9°</t>
        </is>
      </c>
      <c r="AW474" s="11">
        <f>AF474&amp;"; "&amp;AG474&amp;"; "&amp;AH474&amp;"; "&amp;AI474&amp;"; "&amp;AJ474</f>
        <v/>
      </c>
    </row>
    <row r="475">
      <c r="A475" s="11" t="inlineStr">
        <is>
          <t>T1109-G08-CIE</t>
        </is>
      </c>
      <c r="B475" s="11" t="n">
        <v>8</v>
      </c>
      <c r="C475" s="11" t="inlineStr">
        <is>
          <t>Ciencias</t>
        </is>
      </c>
      <c r="D475" s="11" t="inlineStr">
        <is>
          <t>Matriz_Ciencias_8vo_Grado_U1_U7.xlsx</t>
        </is>
      </c>
      <c r="E475" s="11" t="inlineStr">
        <is>
          <t>Unidad 3 - Ondas mecánicas</t>
        </is>
      </c>
      <c r="F475" s="11" t="n">
        <v>9</v>
      </c>
      <c r="G475" s="11" t="inlineStr">
        <is>
          <t>3. Ondas mecánicas</t>
        </is>
      </c>
      <c r="H475" s="11" t="inlineStr">
        <is>
          <t>Movimiento ondulatorio y sonido</t>
        </is>
      </c>
      <c r="I475" s="38" t="inlineStr">
        <is>
          <t>3.7. Identificación experimental del tipo de onda a partir del movimiento de la fuente de vibración de cuerdas.</t>
        </is>
      </c>
      <c r="J475" s="11" t="inlineStr">
        <is>
          <t>T8_27</t>
        </is>
      </c>
      <c r="K475" s="11" t="inlineStr">
        <is>
          <t>T8_27-P3.2</t>
        </is>
      </c>
      <c r="L475" s="11" t="inlineStr"/>
      <c r="M475" s="11">
        <f>IF(K475="FUERA","Fuera del marco",IF(K475="N/A","Sin marco",IFERROR(INDEX('Datos - Catálogo TIMSS'!$C$5:$C$107,MATCH(K475,'Datos - Catálogo TIMSS'!$A$5:$A$107,0)),"Pendiente de clasificar")))</f>
        <v/>
      </c>
      <c r="N475" s="11">
        <f>IF(K475="FUERA","Fuera del marco",IF(K475="N/A","Sin marco",IFERROR(INDEX('Datos - Catálogo TIMSS'!$F$5:$F$107,MATCH(K475,'Datos - Catálogo TIMSS'!$A$5:$A$107,0)),"Pendiente de clasificar")))</f>
        <v/>
      </c>
      <c r="O475" s="11">
        <f>IF(L475="","",IFERROR(INDEX('Datos - Catálogo TIMSS'!$C$5:$C$107,MATCH(L475,'Datos - Catálogo TIMSS'!$A$5:$A$107,0)),"?"))</f>
        <v/>
      </c>
      <c r="P475" s="11" t="inlineStr">
        <is>
          <t>alta</t>
        </is>
      </c>
      <c r="Q475" s="38" t="inlineStr">
        <is>
          <t>Ondas transversales y longitudinales en cuerdas; sonido como onda</t>
        </is>
      </c>
      <c r="R475" s="38" t="inlineStr">
        <is>
          <t>Aplicar: identificar</t>
        </is>
      </c>
      <c r="S475" s="39">
        <f>IFERROR(ISNUMBER(SEARCH("Conocer",$R475))/(ISNUMBER(SEARCH("Conocer",$R475))+ISNUMBER(SEARCH("Aplicar",$R475))+ISNUMBER(SEARCH("Razonar",$R475))),0)</f>
        <v/>
      </c>
      <c r="T475" s="39">
        <f>IFERROR(ISNUMBER(SEARCH("Aplicar",$R475))/(ISNUMBER(SEARCH("Conocer",$R475))+ISNUMBER(SEARCH("Aplicar",$R475))+ISNUMBER(SEARCH("Razonar",$R475))),0)</f>
        <v/>
      </c>
      <c r="U475" s="39">
        <f>IFERROR(ISNUMBER(SEARCH("Razonar",$R475))/(ISNUMBER(SEARCH("Conocer",$R475))+ISNUMBER(SEARCH("Aplicar",$R475))+ISNUMBER(SEARCH("Razonar",$R475))),0)</f>
        <v/>
      </c>
      <c r="V475" s="11" t="inlineStr">
        <is>
          <t>8°</t>
        </is>
      </c>
      <c r="W475" s="11" t="inlineStr">
        <is>
          <t>Ciclo 5°–8°</t>
        </is>
      </c>
      <c r="X475" s="11">
        <f>IF(OR(IFERROR(INDEX('Datos - Catálogo TIMSS'!$I$5:$I$107,MATCH(K475,'Datos - Catálogo TIMSS'!$A$5:$A$107,0)),"No")="Sí",IFERROR(INDEX('Datos - Catálogo TIMSS'!$I$5:$I$107,MATCH(L475,'Datos - Catálogo TIMSS'!$A$5:$A$107,0)),"No")="Sí"),1,0)</f>
        <v/>
      </c>
      <c r="Y475" s="11">
        <f>IF(IFERROR(INDEX('Datos - Catálogo TIMSS'!$J$5:$J$107,MATCH(K475,'Datos - Catálogo TIMSS'!$A$5:$A$107,0)),"No")="Sí",1,0)</f>
        <v/>
      </c>
      <c r="Z475" s="11">
        <f>IF(IFERROR(INDEX('Datos - Catálogo TIMSS'!$J$5:$J$107,MATCH(L475,'Datos - Catálogo TIMSS'!$A$5:$A$107,0)),"No")="Sí",1,0)</f>
        <v/>
      </c>
      <c r="AA475" s="11" t="inlineStr">
        <is>
          <t>T8-F3.2</t>
        </is>
      </c>
      <c r="AB475" s="11" t="inlineStr"/>
      <c r="AC475" s="11">
        <f>IF(AA475="FUERA","Fuera del marco",IF(AA475="N/A","Sin marco",IFERROR(INDEX('Datos - TIMSS 2023'!$C$5:$C$105,MATCH(AA475,'Datos - TIMSS 2023'!$A$5:$A$105,0)),"Pendiente de clasificar")))</f>
        <v/>
      </c>
      <c r="AD475" s="11" t="inlineStr">
        <is>
          <t>2. Construir y evaluar diseños para la indagación científica e interpretar datos y evidencia de forma crítica</t>
        </is>
      </c>
      <c r="AE475" s="11">
        <f>IF(AD475="","",IF(LEFT(AD475,1)="1","C1",IF(LEFT(AD475,1)="2","C2",IF(LEFT(AD475,1)="3","C3",""))))</f>
        <v/>
      </c>
      <c r="AF475" s="11" t="inlineStr">
        <is>
          <t>E1</t>
        </is>
      </c>
      <c r="AG475" s="11" t="inlineStr">
        <is>
          <t>D1</t>
        </is>
      </c>
      <c r="AH475" s="11" t="inlineStr">
        <is>
          <t>E1</t>
        </is>
      </c>
      <c r="AI475" s="11" t="inlineStr">
        <is>
          <t>D4</t>
        </is>
      </c>
      <c r="AJ475" s="11" t="inlineStr">
        <is>
          <t>E1</t>
        </is>
      </c>
      <c r="AK475" s="11" t="inlineStr">
        <is>
          <t>PISA-F5</t>
        </is>
      </c>
      <c r="AL475" s="11" t="n"/>
      <c r="AM475" s="11">
        <f>IF(AK475="FUERA","Fuera del marco",IFERROR(INDEX('Datos - Catálogo PISA'!$C$5:$C$76,MATCH(AK475,'Datos - Catálogo PISA'!$A$5:$A$76,0)),"?"))</f>
        <v/>
      </c>
      <c r="AN475" s="11" t="inlineStr">
        <is>
          <t>Contenido</t>
        </is>
      </c>
      <c r="AO475" s="11" t="n"/>
      <c r="AP475" s="11" t="n"/>
      <c r="AQ475" s="11" t="inlineStr">
        <is>
          <t>Sin contexto</t>
        </is>
      </c>
      <c r="AR475" s="11" t="n"/>
      <c r="AS475" s="11" t="inlineStr">
        <is>
          <t>Baja</t>
        </is>
      </c>
      <c r="AT475" s="11" t="inlineStr">
        <is>
          <t>alta</t>
        </is>
      </c>
      <c r="AU475" s="11" t="inlineStr">
        <is>
          <t>Ondas transversales y longitudinales en cuerdas vibrantes</t>
        </is>
      </c>
      <c r="AV475" s="11" t="inlineStr">
        <is>
          <t>Ciclo 7°–9°</t>
        </is>
      </c>
      <c r="AW475" s="11">
        <f>AF475&amp;"; "&amp;AG475&amp;"; "&amp;AH475&amp;"; "&amp;AI475&amp;"; "&amp;AJ475</f>
        <v/>
      </c>
    </row>
    <row r="476">
      <c r="A476" s="11" t="inlineStr">
        <is>
          <t>T1110-G08-CIE</t>
        </is>
      </c>
      <c r="B476" s="11" t="n">
        <v>8</v>
      </c>
      <c r="C476" s="11" t="inlineStr">
        <is>
          <t>Ciencias</t>
        </is>
      </c>
      <c r="D476" s="11" t="inlineStr">
        <is>
          <t>Matriz_Ciencias_8vo_Grado_U1_U7.xlsx</t>
        </is>
      </c>
      <c r="E476" s="11" t="inlineStr">
        <is>
          <t>Unidad 3 - Ondas mecánicas</t>
        </is>
      </c>
      <c r="F476" s="11" t="n">
        <v>10</v>
      </c>
      <c r="G476" s="11" t="inlineStr">
        <is>
          <t>3. Ondas mecánicas</t>
        </is>
      </c>
      <c r="H476" s="11" t="inlineStr">
        <is>
          <t>Movimiento ondulatorio y sonido</t>
        </is>
      </c>
      <c r="I476" s="38" t="inlineStr">
        <is>
          <t>3.8. Identificación experimental de las magnitudes y las condiciones que varían la frecuencia o el tono del sonido producido en cuerdas.</t>
        </is>
      </c>
      <c r="J476" s="11" t="inlineStr">
        <is>
          <t>T8_27</t>
        </is>
      </c>
      <c r="K476" s="11" t="inlineStr">
        <is>
          <t>T8_27-P3.2</t>
        </is>
      </c>
      <c r="L476" s="11" t="inlineStr">
        <is>
          <t>T8_27-P6.1</t>
        </is>
      </c>
      <c r="M476" s="11">
        <f>IF(K476="FUERA","Fuera del marco",IF(K476="N/A","Sin marco",IFERROR(INDEX('Datos - Catálogo TIMSS'!$C$5:$C$107,MATCH(K476,'Datos - Catálogo TIMSS'!$A$5:$A$107,0)),"Pendiente de clasificar")))</f>
        <v/>
      </c>
      <c r="N476" s="11">
        <f>IF(K476="FUERA","Fuera del marco",IF(K476="N/A","Sin marco",IFERROR(INDEX('Datos - Catálogo TIMSS'!$F$5:$F$107,MATCH(K476,'Datos - Catálogo TIMSS'!$A$5:$A$107,0)),"Pendiente de clasificar")))</f>
        <v/>
      </c>
      <c r="O476" s="11">
        <f>IF(L476="","",IFERROR(INDEX('Datos - Catálogo TIMSS'!$C$5:$C$107,MATCH(L476,'Datos - Catálogo TIMSS'!$A$5:$A$107,0)),"?"))</f>
        <v/>
      </c>
      <c r="P476" s="11" t="inlineStr">
        <is>
          <t>alta</t>
        </is>
      </c>
      <c r="Q476" s="38" t="inlineStr">
        <is>
          <t>Frecuencia y tono según tensión y longitud, con control de variables</t>
        </is>
      </c>
      <c r="R476" s="38" t="inlineStr">
        <is>
          <t>Aplicar: medir. Razonar: relacionar</t>
        </is>
      </c>
      <c r="S476" s="39">
        <f>IFERROR(ISNUMBER(SEARCH("Conocer",$R476))/(ISNUMBER(SEARCH("Conocer",$R476))+ISNUMBER(SEARCH("Aplicar",$R476))+ISNUMBER(SEARCH("Razonar",$R476))),0)</f>
        <v/>
      </c>
      <c r="T476" s="39">
        <f>IFERROR(ISNUMBER(SEARCH("Aplicar",$R476))/(ISNUMBER(SEARCH("Conocer",$R476))+ISNUMBER(SEARCH("Aplicar",$R476))+ISNUMBER(SEARCH("Razonar",$R476))),0)</f>
        <v/>
      </c>
      <c r="U476" s="39">
        <f>IFERROR(ISNUMBER(SEARCH("Razonar",$R476))/(ISNUMBER(SEARCH("Conocer",$R476))+ISNUMBER(SEARCH("Aplicar",$R476))+ISNUMBER(SEARCH("Razonar",$R476))),0)</f>
        <v/>
      </c>
      <c r="V476" s="11" t="inlineStr">
        <is>
          <t>8°</t>
        </is>
      </c>
      <c r="W476" s="11" t="inlineStr">
        <is>
          <t>Ciclo 5°–8°</t>
        </is>
      </c>
      <c r="X476" s="11">
        <f>IF(OR(IFERROR(INDEX('Datos - Catálogo TIMSS'!$I$5:$I$107,MATCH(K476,'Datos - Catálogo TIMSS'!$A$5:$A$107,0)),"No")="Sí",IFERROR(INDEX('Datos - Catálogo TIMSS'!$I$5:$I$107,MATCH(L476,'Datos - Catálogo TIMSS'!$A$5:$A$107,0)),"No")="Sí"),1,0)</f>
        <v/>
      </c>
      <c r="Y476" s="11">
        <f>IF(IFERROR(INDEX('Datos - Catálogo TIMSS'!$J$5:$J$107,MATCH(K476,'Datos - Catálogo TIMSS'!$A$5:$A$107,0)),"No")="Sí",1,0)</f>
        <v/>
      </c>
      <c r="Z476" s="11">
        <f>IF(IFERROR(INDEX('Datos - Catálogo TIMSS'!$J$5:$J$107,MATCH(L476,'Datos - Catálogo TIMSS'!$A$5:$A$107,0)),"No")="Sí",1,0)</f>
        <v/>
      </c>
      <c r="AA476" s="11" t="inlineStr">
        <is>
          <t>T8-F3.2</t>
        </is>
      </c>
      <c r="AB476" s="11" t="inlineStr"/>
      <c r="AC476" s="11">
        <f>IF(AA476="FUERA","Fuera del marco",IF(AA476="N/A","Sin marco",IFERROR(INDEX('Datos - TIMSS 2023'!$C$5:$C$105,MATCH(AA476,'Datos - TIMSS 2023'!$A$5:$A$105,0)),"Pendiente de clasificar")))</f>
        <v/>
      </c>
      <c r="AD476" s="11" t="inlineStr">
        <is>
          <t>2. Construir y evaluar diseños para la indagación científica e interpretar datos y evidencia de forma crítica</t>
        </is>
      </c>
      <c r="AE476" s="11">
        <f>IF(AD476="","",IF(LEFT(AD476,1)="1","C1",IF(LEFT(AD476,1)="2","C2",IF(LEFT(AD476,1)="3","C3",""))))</f>
        <v/>
      </c>
      <c r="AF476" s="11" t="inlineStr">
        <is>
          <t>E1</t>
        </is>
      </c>
      <c r="AG476" s="11" t="inlineStr">
        <is>
          <t>E3</t>
        </is>
      </c>
      <c r="AH476" s="11" t="inlineStr">
        <is>
          <t>E1</t>
        </is>
      </c>
      <c r="AI476" s="11" t="inlineStr">
        <is>
          <t>D4</t>
        </is>
      </c>
      <c r="AJ476" s="11" t="inlineStr">
        <is>
          <t>E6</t>
        </is>
      </c>
      <c r="AK476" s="11" t="inlineStr">
        <is>
          <t>PISA-F5</t>
        </is>
      </c>
      <c r="AL476" s="11" t="n"/>
      <c r="AM476" s="11">
        <f>IF(AK476="FUERA","Fuera del marco",IFERROR(INDEX('Datos - Catálogo PISA'!$C$5:$C$76,MATCH(AK476,'Datos - Catálogo PISA'!$A$5:$A$76,0)),"?"))</f>
        <v/>
      </c>
      <c r="AN476" s="11" t="inlineStr">
        <is>
          <t>Contenido</t>
        </is>
      </c>
      <c r="AO476" s="11" t="inlineStr">
        <is>
          <t>PISA-PR1; PISA-PR5;</t>
        </is>
      </c>
      <c r="AP476" s="11" t="n"/>
      <c r="AQ476" s="11" t="inlineStr">
        <is>
          <t>Sin contexto</t>
        </is>
      </c>
      <c r="AR476" s="11" t="n"/>
      <c r="AS476" s="11" t="inlineStr">
        <is>
          <t>Media</t>
        </is>
      </c>
      <c r="AT476" s="11" t="inlineStr">
        <is>
          <t>alta</t>
        </is>
      </c>
      <c r="AU476" s="11" t="inlineStr">
        <is>
          <t>Frecuencia del sonido en cuerdas según tensión y longitud</t>
        </is>
      </c>
      <c r="AV476" s="11" t="inlineStr">
        <is>
          <t>Ciclo 7°–9°</t>
        </is>
      </c>
      <c r="AW476" s="11">
        <f>AF476&amp;"; "&amp;AG476&amp;"; "&amp;AH476&amp;"; "&amp;AI476&amp;"; "&amp;AJ476</f>
        <v/>
      </c>
    </row>
    <row r="477">
      <c r="A477" s="11" t="inlineStr">
        <is>
          <t>T1111-G08-CIE</t>
        </is>
      </c>
      <c r="B477" s="11" t="n">
        <v>8</v>
      </c>
      <c r="C477" s="11" t="inlineStr">
        <is>
          <t>Ciencias</t>
        </is>
      </c>
      <c r="D477" s="11" t="inlineStr">
        <is>
          <t>Matriz_Ciencias_8vo_Grado_U1_U7.xlsx</t>
        </is>
      </c>
      <c r="E477" s="11" t="inlineStr">
        <is>
          <t>Unidad 3 - Ondas mecánicas</t>
        </is>
      </c>
      <c r="F477" s="11" t="n">
        <v>11</v>
      </c>
      <c r="G477" s="11" t="inlineStr">
        <is>
          <t>3. Ondas mecánicas</t>
        </is>
      </c>
      <c r="H477" s="11" t="inlineStr">
        <is>
          <t>Movimiento ondulatorio y sonido</t>
        </is>
      </c>
      <c r="I477" s="38" t="inlineStr">
        <is>
          <t>3.9. Resolución de problemas teóricos a partir de las gráficas de desplazamiento contra posición, y de desplazamiento contra tiempo de una onda transversal.</t>
        </is>
      </c>
      <c r="J477" s="11" t="inlineStr">
        <is>
          <t>T8_27</t>
        </is>
      </c>
      <c r="K477" s="11" t="inlineStr">
        <is>
          <t>T8_27-P3.2</t>
        </is>
      </c>
      <c r="L477" s="11" t="inlineStr"/>
      <c r="M477" s="11">
        <f>IF(K477="FUERA","Fuera del marco",IF(K477="N/A","Sin marco",IFERROR(INDEX('Datos - Catálogo TIMSS'!$C$5:$C$107,MATCH(K477,'Datos - Catálogo TIMSS'!$A$5:$A$107,0)),"Pendiente de clasificar")))</f>
        <v/>
      </c>
      <c r="N477" s="11">
        <f>IF(K477="FUERA","Fuera del marco",IF(K477="N/A","Sin marco",IFERROR(INDEX('Datos - Catálogo TIMSS'!$F$5:$F$107,MATCH(K477,'Datos - Catálogo TIMSS'!$A$5:$A$107,0)),"Pendiente de clasificar")))</f>
        <v/>
      </c>
      <c r="O477" s="11">
        <f>IF(L477="","",IFERROR(INDEX('Datos - Catálogo TIMSS'!$C$5:$C$107,MATCH(L477,'Datos - Catálogo TIMSS'!$A$5:$A$107,0)),"?"))</f>
        <v/>
      </c>
      <c r="P477" s="11" t="inlineStr">
        <is>
          <t>media</t>
        </is>
      </c>
      <c r="Q477" s="38" t="inlineStr">
        <is>
          <t>Gráficas de ondas transversales; propiedades ondulatorias, nivel superior</t>
        </is>
      </c>
      <c r="R477" s="38" t="inlineStr">
        <is>
          <t>Aplicar: resolver problemas</t>
        </is>
      </c>
      <c r="S477" s="39">
        <f>IFERROR(ISNUMBER(SEARCH("Conocer",$R477))/(ISNUMBER(SEARCH("Conocer",$R477))+ISNUMBER(SEARCH("Aplicar",$R477))+ISNUMBER(SEARCH("Razonar",$R477))),0)</f>
        <v/>
      </c>
      <c r="T477" s="39">
        <f>IFERROR(ISNUMBER(SEARCH("Aplicar",$R477))/(ISNUMBER(SEARCH("Conocer",$R477))+ISNUMBER(SEARCH("Aplicar",$R477))+ISNUMBER(SEARCH("Razonar",$R477))),0)</f>
        <v/>
      </c>
      <c r="U477" s="39">
        <f>IFERROR(ISNUMBER(SEARCH("Razonar",$R477))/(ISNUMBER(SEARCH("Conocer",$R477))+ISNUMBER(SEARCH("Aplicar",$R477))+ISNUMBER(SEARCH("Razonar",$R477))),0)</f>
        <v/>
      </c>
      <c r="V477" s="11" t="inlineStr">
        <is>
          <t>8°</t>
        </is>
      </c>
      <c r="W477" s="11" t="inlineStr">
        <is>
          <t>Ciclo 5°–8°</t>
        </is>
      </c>
      <c r="X477" s="11">
        <f>IF(OR(IFERROR(INDEX('Datos - Catálogo TIMSS'!$I$5:$I$107,MATCH(K477,'Datos - Catálogo TIMSS'!$A$5:$A$107,0)),"No")="Sí",IFERROR(INDEX('Datos - Catálogo TIMSS'!$I$5:$I$107,MATCH(L477,'Datos - Catálogo TIMSS'!$A$5:$A$107,0)),"No")="Sí"),1,0)</f>
        <v/>
      </c>
      <c r="Y477" s="11">
        <f>IF(IFERROR(INDEX('Datos - Catálogo TIMSS'!$J$5:$J$107,MATCH(K477,'Datos - Catálogo TIMSS'!$A$5:$A$107,0)),"No")="Sí",1,0)</f>
        <v/>
      </c>
      <c r="Z477" s="11">
        <f>IF(IFERROR(INDEX('Datos - Catálogo TIMSS'!$J$5:$J$107,MATCH(L477,'Datos - Catálogo TIMSS'!$A$5:$A$107,0)),"No")="Sí",1,0)</f>
        <v/>
      </c>
      <c r="AA477" s="11" t="inlineStr">
        <is>
          <t>T8-F3.2</t>
        </is>
      </c>
      <c r="AB477" s="11" t="inlineStr"/>
      <c r="AC477" s="11">
        <f>IF(AA477="FUERA","Fuera del marco",IF(AA477="N/A","Sin marco",IFERROR(INDEX('Datos - TIMSS 2023'!$C$5:$C$105,MATCH(AA477,'Datos - TIMSS 2023'!$A$5:$A$105,0)),"Pendiente de clasificar")))</f>
        <v/>
      </c>
      <c r="AD477" s="11" t="inlineStr">
        <is>
          <t>2. Construir y evaluar diseños para la indagación científica e interpretar datos y evidencia de forma crítica</t>
        </is>
      </c>
      <c r="AE477" s="11">
        <f>IF(AD477="","",IF(LEFT(AD477,1)="1","C1",IF(LEFT(AD477,1)="2","C2",IF(LEFT(AD477,1)="3","C3",""))))</f>
        <v/>
      </c>
      <c r="AF477" s="11" t="inlineStr">
        <is>
          <t>E1</t>
        </is>
      </c>
      <c r="AG477" s="11" t="inlineStr">
        <is>
          <t>D1</t>
        </is>
      </c>
      <c r="AH477" s="11" t="inlineStr">
        <is>
          <t>E2</t>
        </is>
      </c>
      <c r="AI477" s="11" t="inlineStr">
        <is>
          <t>D4</t>
        </is>
      </c>
      <c r="AJ477" s="11" t="inlineStr">
        <is>
          <t>E3</t>
        </is>
      </c>
      <c r="AK477" s="11" t="inlineStr">
        <is>
          <t>PISA-F5</t>
        </is>
      </c>
      <c r="AL477" s="11" t="n"/>
      <c r="AM477" s="11">
        <f>IF(AK477="FUERA","Fuera del marco",IFERROR(INDEX('Datos - Catálogo PISA'!$C$5:$C$76,MATCH(AK477,'Datos - Catálogo PISA'!$A$5:$A$76,0)),"?"))</f>
        <v/>
      </c>
      <c r="AN477" s="11" t="inlineStr">
        <is>
          <t>Contenido</t>
        </is>
      </c>
      <c r="AO477" s="11" t="inlineStr">
        <is>
          <t>PISA-PR5;</t>
        </is>
      </c>
      <c r="AP477" s="11" t="n"/>
      <c r="AQ477" s="11" t="inlineStr">
        <is>
          <t>Sin contexto</t>
        </is>
      </c>
      <c r="AR477" s="11" t="n"/>
      <c r="AS477" s="11" t="inlineStr">
        <is>
          <t>Media</t>
        </is>
      </c>
      <c r="AT477" s="11" t="inlineStr">
        <is>
          <t>alta</t>
        </is>
      </c>
      <c r="AU477" s="11" t="inlineStr">
        <is>
          <t>Gráficas de desplazamiento de una onda transversal</t>
        </is>
      </c>
      <c r="AV477" s="11" t="inlineStr">
        <is>
          <t>Ciclo 7°–9°</t>
        </is>
      </c>
      <c r="AW477" s="11">
        <f>AF477&amp;"; "&amp;AG477&amp;"; "&amp;AH477&amp;"; "&amp;AI477&amp;"; "&amp;AJ477</f>
        <v/>
      </c>
    </row>
    <row r="478">
      <c r="A478" s="11" t="inlineStr">
        <is>
          <t>T1112-G08-CIE</t>
        </is>
      </c>
      <c r="B478" s="11" t="n">
        <v>8</v>
      </c>
      <c r="C478" s="11" t="inlineStr">
        <is>
          <t>Ciencias</t>
        </is>
      </c>
      <c r="D478" s="11" t="inlineStr">
        <is>
          <t>Matriz_Ciencias_8vo_Grado_U1_U7.xlsx</t>
        </is>
      </c>
      <c r="E478" s="11" t="inlineStr">
        <is>
          <t>Unidad 3 - Ondas mecánicas</t>
        </is>
      </c>
      <c r="F478" s="11" t="n">
        <v>12</v>
      </c>
      <c r="G478" s="11" t="inlineStr">
        <is>
          <t>3. Ondas mecánicas</t>
        </is>
      </c>
      <c r="H478" s="11" t="inlineStr">
        <is>
          <t>Movimiento ondulatorio y sonido</t>
        </is>
      </c>
      <c r="I478" s="38" t="inlineStr">
        <is>
          <t>3.10. Identificación experimental del tipo de onda a partir del movimiento de la fuente de vibración en columnas de aire.</t>
        </is>
      </c>
      <c r="J478" s="11" t="inlineStr">
        <is>
          <t>T8_27</t>
        </is>
      </c>
      <c r="K478" s="11" t="inlineStr">
        <is>
          <t>T8_27-P3.2</t>
        </is>
      </c>
      <c r="L478" s="11" t="inlineStr"/>
      <c r="M478" s="11">
        <f>IF(K478="FUERA","Fuera del marco",IF(K478="N/A","Sin marco",IFERROR(INDEX('Datos - Catálogo TIMSS'!$C$5:$C$107,MATCH(K478,'Datos - Catálogo TIMSS'!$A$5:$A$107,0)),"Pendiente de clasificar")))</f>
        <v/>
      </c>
      <c r="N478" s="11">
        <f>IF(K478="FUERA","Fuera del marco",IF(K478="N/A","Sin marco",IFERROR(INDEX('Datos - Catálogo TIMSS'!$F$5:$F$107,MATCH(K478,'Datos - Catálogo TIMSS'!$A$5:$A$107,0)),"Pendiente de clasificar")))</f>
        <v/>
      </c>
      <c r="O478" s="11">
        <f>IF(L478="","",IFERROR(INDEX('Datos - Catálogo TIMSS'!$C$5:$C$107,MATCH(L478,'Datos - Catálogo TIMSS'!$A$5:$A$107,0)),"?"))</f>
        <v/>
      </c>
      <c r="P478" s="11" t="inlineStr">
        <is>
          <t>alta</t>
        </is>
      </c>
      <c r="Q478" s="38" t="inlineStr">
        <is>
          <t>Tipo de onda sonora en columnas de aire</t>
        </is>
      </c>
      <c r="R478" s="38" t="inlineStr">
        <is>
          <t>Aplicar: identificar</t>
        </is>
      </c>
      <c r="S478" s="39">
        <f>IFERROR(ISNUMBER(SEARCH("Conocer",$R478))/(ISNUMBER(SEARCH("Conocer",$R478))+ISNUMBER(SEARCH("Aplicar",$R478))+ISNUMBER(SEARCH("Razonar",$R478))),0)</f>
        <v/>
      </c>
      <c r="T478" s="39">
        <f>IFERROR(ISNUMBER(SEARCH("Aplicar",$R478))/(ISNUMBER(SEARCH("Conocer",$R478))+ISNUMBER(SEARCH("Aplicar",$R478))+ISNUMBER(SEARCH("Razonar",$R478))),0)</f>
        <v/>
      </c>
      <c r="U478" s="39">
        <f>IFERROR(ISNUMBER(SEARCH("Razonar",$R478))/(ISNUMBER(SEARCH("Conocer",$R478))+ISNUMBER(SEARCH("Aplicar",$R478))+ISNUMBER(SEARCH("Razonar",$R478))),0)</f>
        <v/>
      </c>
      <c r="V478" s="11" t="inlineStr">
        <is>
          <t>8°</t>
        </is>
      </c>
      <c r="W478" s="11" t="inlineStr">
        <is>
          <t>Ciclo 5°–8°</t>
        </is>
      </c>
      <c r="X478" s="11">
        <f>IF(OR(IFERROR(INDEX('Datos - Catálogo TIMSS'!$I$5:$I$107,MATCH(K478,'Datos - Catálogo TIMSS'!$A$5:$A$107,0)),"No")="Sí",IFERROR(INDEX('Datos - Catálogo TIMSS'!$I$5:$I$107,MATCH(L478,'Datos - Catálogo TIMSS'!$A$5:$A$107,0)),"No")="Sí"),1,0)</f>
        <v/>
      </c>
      <c r="Y478" s="11">
        <f>IF(IFERROR(INDEX('Datos - Catálogo TIMSS'!$J$5:$J$107,MATCH(K478,'Datos - Catálogo TIMSS'!$A$5:$A$107,0)),"No")="Sí",1,0)</f>
        <v/>
      </c>
      <c r="Z478" s="11">
        <f>IF(IFERROR(INDEX('Datos - Catálogo TIMSS'!$J$5:$J$107,MATCH(L478,'Datos - Catálogo TIMSS'!$A$5:$A$107,0)),"No")="Sí",1,0)</f>
        <v/>
      </c>
      <c r="AA478" s="11" t="inlineStr">
        <is>
          <t>T8-F3.2</t>
        </is>
      </c>
      <c r="AB478" s="11" t="inlineStr"/>
      <c r="AC478" s="11">
        <f>IF(AA478="FUERA","Fuera del marco",IF(AA478="N/A","Sin marco",IFERROR(INDEX('Datos - TIMSS 2023'!$C$5:$C$105,MATCH(AA478,'Datos - TIMSS 2023'!$A$5:$A$105,0)),"Pendiente de clasificar")))</f>
        <v/>
      </c>
      <c r="AD478" s="11" t="inlineStr">
        <is>
          <t>2. Construir y evaluar diseños para la indagación científica e interpretar datos y evidencia de forma crítica</t>
        </is>
      </c>
      <c r="AE478" s="11">
        <f>IF(AD478="","",IF(LEFT(AD478,1)="1","C1",IF(LEFT(AD478,1)="2","C2",IF(LEFT(AD478,1)="3","C3",""))))</f>
        <v/>
      </c>
      <c r="AF478" s="11" t="inlineStr">
        <is>
          <t>E1</t>
        </is>
      </c>
      <c r="AG478" s="11" t="inlineStr">
        <is>
          <t>D1</t>
        </is>
      </c>
      <c r="AH478" s="11" t="inlineStr">
        <is>
          <t>E1</t>
        </is>
      </c>
      <c r="AI478" s="11" t="inlineStr">
        <is>
          <t>D4</t>
        </is>
      </c>
      <c r="AJ478" s="11" t="inlineStr">
        <is>
          <t>E1</t>
        </is>
      </c>
      <c r="AK478" s="11" t="inlineStr">
        <is>
          <t>PISA-F5</t>
        </is>
      </c>
      <c r="AL478" s="11" t="n"/>
      <c r="AM478" s="11">
        <f>IF(AK478="FUERA","Fuera del marco",IFERROR(INDEX('Datos - Catálogo PISA'!$C$5:$C$76,MATCH(AK478,'Datos - Catálogo PISA'!$A$5:$A$76,0)),"?"))</f>
        <v/>
      </c>
      <c r="AN478" s="11" t="inlineStr">
        <is>
          <t>Contenido</t>
        </is>
      </c>
      <c r="AO478" s="11" t="n"/>
      <c r="AP478" s="11" t="n"/>
      <c r="AQ478" s="11" t="inlineStr">
        <is>
          <t>Sin contexto</t>
        </is>
      </c>
      <c r="AR478" s="11" t="n"/>
      <c r="AS478" s="11" t="inlineStr">
        <is>
          <t>Media</t>
        </is>
      </c>
      <c r="AT478" s="11" t="inlineStr">
        <is>
          <t>alta</t>
        </is>
      </c>
      <c r="AU478" s="11" t="inlineStr">
        <is>
          <t>Tipo de onda sonora en columnas de aire</t>
        </is>
      </c>
      <c r="AV478" s="11" t="inlineStr">
        <is>
          <t>Ciclo 7°–9°</t>
        </is>
      </c>
      <c r="AW478" s="11">
        <f>AF478&amp;"; "&amp;AG478&amp;"; "&amp;AH478&amp;"; "&amp;AI478&amp;"; "&amp;AJ478</f>
        <v/>
      </c>
    </row>
    <row r="479">
      <c r="A479" s="11" t="inlineStr">
        <is>
          <t>T1113-G08-CIE</t>
        </is>
      </c>
      <c r="B479" s="11" t="n">
        <v>8</v>
      </c>
      <c r="C479" s="11" t="inlineStr">
        <is>
          <t>Ciencias</t>
        </is>
      </c>
      <c r="D479" s="11" t="inlineStr">
        <is>
          <t>Matriz_Ciencias_8vo_Grado_U1_U7.xlsx</t>
        </is>
      </c>
      <c r="E479" s="11" t="inlineStr">
        <is>
          <t>Unidad 3 - Ondas mecánicas</t>
        </is>
      </c>
      <c r="F479" s="11" t="n">
        <v>13</v>
      </c>
      <c r="G479" s="11" t="inlineStr">
        <is>
          <t>3. Ondas mecánicas</t>
        </is>
      </c>
      <c r="H479" s="11" t="inlineStr">
        <is>
          <t>Movimiento ondulatorio y sonido</t>
        </is>
      </c>
      <c r="I479" s="38" t="inlineStr">
        <is>
          <t>3.11. Identificación experimental de las magnitudes y las condiciones que varían la frecuencia o el tono del sonido producido en tubos de aire.</t>
        </is>
      </c>
      <c r="J479" s="11" t="inlineStr">
        <is>
          <t>T8_27</t>
        </is>
      </c>
      <c r="K479" s="11" t="inlineStr">
        <is>
          <t>T8_27-P3.2</t>
        </is>
      </c>
      <c r="L479" s="11" t="inlineStr">
        <is>
          <t>T8_27-P6.1</t>
        </is>
      </c>
      <c r="M479" s="11">
        <f>IF(K479="FUERA","Fuera del marco",IF(K479="N/A","Sin marco",IFERROR(INDEX('Datos - Catálogo TIMSS'!$C$5:$C$107,MATCH(K479,'Datos - Catálogo TIMSS'!$A$5:$A$107,0)),"Pendiente de clasificar")))</f>
        <v/>
      </c>
      <c r="N479" s="11">
        <f>IF(K479="FUERA","Fuera del marco",IF(K479="N/A","Sin marco",IFERROR(INDEX('Datos - Catálogo TIMSS'!$F$5:$F$107,MATCH(K479,'Datos - Catálogo TIMSS'!$A$5:$A$107,0)),"Pendiente de clasificar")))</f>
        <v/>
      </c>
      <c r="O479" s="11">
        <f>IF(L479="","",IFERROR(INDEX('Datos - Catálogo TIMSS'!$C$5:$C$107,MATCH(L479,'Datos - Catálogo TIMSS'!$A$5:$A$107,0)),"?"))</f>
        <v/>
      </c>
      <c r="P479" s="11" t="inlineStr">
        <is>
          <t>alta</t>
        </is>
      </c>
      <c r="Q479" s="38" t="inlineStr">
        <is>
          <t>Frecuencia según longitud de columna de aire, experimentalmente</t>
        </is>
      </c>
      <c r="R479" s="38" t="inlineStr">
        <is>
          <t>Aplicar: medir. Razonar: relacionar</t>
        </is>
      </c>
      <c r="S479" s="39">
        <f>IFERROR(ISNUMBER(SEARCH("Conocer",$R479))/(ISNUMBER(SEARCH("Conocer",$R479))+ISNUMBER(SEARCH("Aplicar",$R479))+ISNUMBER(SEARCH("Razonar",$R479))),0)</f>
        <v/>
      </c>
      <c r="T479" s="39">
        <f>IFERROR(ISNUMBER(SEARCH("Aplicar",$R479))/(ISNUMBER(SEARCH("Conocer",$R479))+ISNUMBER(SEARCH("Aplicar",$R479))+ISNUMBER(SEARCH("Razonar",$R479))),0)</f>
        <v/>
      </c>
      <c r="U479" s="39">
        <f>IFERROR(ISNUMBER(SEARCH("Razonar",$R479))/(ISNUMBER(SEARCH("Conocer",$R479))+ISNUMBER(SEARCH("Aplicar",$R479))+ISNUMBER(SEARCH("Razonar",$R479))),0)</f>
        <v/>
      </c>
      <c r="V479" s="11" t="inlineStr">
        <is>
          <t>8°</t>
        </is>
      </c>
      <c r="W479" s="11" t="inlineStr">
        <is>
          <t>Ciclo 5°–8°</t>
        </is>
      </c>
      <c r="X479" s="11">
        <f>IF(OR(IFERROR(INDEX('Datos - Catálogo TIMSS'!$I$5:$I$107,MATCH(K479,'Datos - Catálogo TIMSS'!$A$5:$A$107,0)),"No")="Sí",IFERROR(INDEX('Datos - Catálogo TIMSS'!$I$5:$I$107,MATCH(L479,'Datos - Catálogo TIMSS'!$A$5:$A$107,0)),"No")="Sí"),1,0)</f>
        <v/>
      </c>
      <c r="Y479" s="11">
        <f>IF(IFERROR(INDEX('Datos - Catálogo TIMSS'!$J$5:$J$107,MATCH(K479,'Datos - Catálogo TIMSS'!$A$5:$A$107,0)),"No")="Sí",1,0)</f>
        <v/>
      </c>
      <c r="Z479" s="11">
        <f>IF(IFERROR(INDEX('Datos - Catálogo TIMSS'!$J$5:$J$107,MATCH(L479,'Datos - Catálogo TIMSS'!$A$5:$A$107,0)),"No")="Sí",1,0)</f>
        <v/>
      </c>
      <c r="AA479" s="11" t="inlineStr">
        <is>
          <t>T8-F3.2</t>
        </is>
      </c>
      <c r="AB479" s="11" t="inlineStr"/>
      <c r="AC479" s="11">
        <f>IF(AA479="FUERA","Fuera del marco",IF(AA479="N/A","Sin marco",IFERROR(INDEX('Datos - TIMSS 2023'!$C$5:$C$105,MATCH(AA479,'Datos - TIMSS 2023'!$A$5:$A$105,0)),"Pendiente de clasificar")))</f>
        <v/>
      </c>
      <c r="AD479" s="11" t="inlineStr">
        <is>
          <t>2. Construir y evaluar diseños para la indagación científica e interpretar datos y evidencia de forma crítica</t>
        </is>
      </c>
      <c r="AE479" s="11">
        <f>IF(AD479="","",IF(LEFT(AD479,1)="1","C1",IF(LEFT(AD479,1)="2","C2",IF(LEFT(AD479,1)="3","C3",""))))</f>
        <v/>
      </c>
      <c r="AF479" s="11" t="inlineStr">
        <is>
          <t>E1</t>
        </is>
      </c>
      <c r="AG479" s="11" t="inlineStr">
        <is>
          <t>E3</t>
        </is>
      </c>
      <c r="AH479" s="11" t="inlineStr">
        <is>
          <t>E1</t>
        </is>
      </c>
      <c r="AI479" s="11" t="inlineStr">
        <is>
          <t>D4</t>
        </is>
      </c>
      <c r="AJ479" s="11" t="inlineStr">
        <is>
          <t>E3</t>
        </is>
      </c>
      <c r="AK479" s="11" t="inlineStr">
        <is>
          <t>PISA-F5</t>
        </is>
      </c>
      <c r="AL479" s="11" t="n"/>
      <c r="AM479" s="11">
        <f>IF(AK479="FUERA","Fuera del marco",IFERROR(INDEX('Datos - Catálogo PISA'!$C$5:$C$76,MATCH(AK479,'Datos - Catálogo PISA'!$A$5:$A$76,0)),"?"))</f>
        <v/>
      </c>
      <c r="AN479" s="11" t="inlineStr">
        <is>
          <t>Contenido</t>
        </is>
      </c>
      <c r="AO479" s="11" t="inlineStr">
        <is>
          <t>PISA-PR1; PISA-PR5;</t>
        </is>
      </c>
      <c r="AP479" s="11" t="n"/>
      <c r="AQ479" s="11" t="inlineStr">
        <is>
          <t>Sin contexto</t>
        </is>
      </c>
      <c r="AR479" s="11" t="n"/>
      <c r="AS479" s="11" t="inlineStr">
        <is>
          <t>Media</t>
        </is>
      </c>
      <c r="AT479" s="11" t="inlineStr">
        <is>
          <t>alta</t>
        </is>
      </c>
      <c r="AU479" s="11" t="inlineStr">
        <is>
          <t>Frecuencia del sonido según longitud de columna de aire</t>
        </is>
      </c>
      <c r="AV479" s="11" t="inlineStr">
        <is>
          <t>Ciclo 7°–9°</t>
        </is>
      </c>
      <c r="AW479" s="11">
        <f>AF479&amp;"; "&amp;AG479&amp;"; "&amp;AH479&amp;"; "&amp;AI479&amp;"; "&amp;AJ479</f>
        <v/>
      </c>
    </row>
    <row r="480">
      <c r="A480" s="11" t="inlineStr">
        <is>
          <t>T1114-G08-CIE</t>
        </is>
      </c>
      <c r="B480" s="11" t="n">
        <v>8</v>
      </c>
      <c r="C480" s="11" t="inlineStr">
        <is>
          <t>Ciencias</t>
        </is>
      </c>
      <c r="D480" s="11" t="inlineStr">
        <is>
          <t>Matriz_Ciencias_8vo_Grado_U1_U7.xlsx</t>
        </is>
      </c>
      <c r="E480" s="11" t="inlineStr">
        <is>
          <t>Unidad 3 - Ondas mecánicas</t>
        </is>
      </c>
      <c r="F480" s="11" t="n">
        <v>14</v>
      </c>
      <c r="G480" s="11" t="inlineStr">
        <is>
          <t>3. Ondas mecánicas</t>
        </is>
      </c>
      <c r="H480" s="11" t="inlineStr">
        <is>
          <t>Movimiento ondulatorio y sonido</t>
        </is>
      </c>
      <c r="I480" s="38" t="inlineStr">
        <is>
          <t>3.12. Resolución de problemas teóricos a partir de las gráficas de presión de aire contra distancia, y de densidad de aire contra distancia de una onda longitudinal.</t>
        </is>
      </c>
      <c r="J480" s="11" t="inlineStr">
        <is>
          <t>T8_27</t>
        </is>
      </c>
      <c r="K480" s="11" t="inlineStr">
        <is>
          <t>T8_27-P3.2</t>
        </is>
      </c>
      <c r="L480" s="11" t="inlineStr"/>
      <c r="M480" s="11">
        <f>IF(K480="FUERA","Fuera del marco",IF(K480="N/A","Sin marco",IFERROR(INDEX('Datos - Catálogo TIMSS'!$C$5:$C$107,MATCH(K480,'Datos - Catálogo TIMSS'!$A$5:$A$107,0)),"Pendiente de clasificar")))</f>
        <v/>
      </c>
      <c r="N480" s="11">
        <f>IF(K480="FUERA","Fuera del marco",IF(K480="N/A","Sin marco",IFERROR(INDEX('Datos - Catálogo TIMSS'!$F$5:$F$107,MATCH(K480,'Datos - Catálogo TIMSS'!$A$5:$A$107,0)),"Pendiente de clasificar")))</f>
        <v/>
      </c>
      <c r="O480" s="11">
        <f>IF(L480="","",IFERROR(INDEX('Datos - Catálogo TIMSS'!$C$5:$C$107,MATCH(L480,'Datos - Catálogo TIMSS'!$A$5:$A$107,0)),"?"))</f>
        <v/>
      </c>
      <c r="P480" s="11" t="inlineStr">
        <is>
          <t>media</t>
        </is>
      </c>
      <c r="Q480" s="38" t="inlineStr">
        <is>
          <t>Gráficas de presión y densidad de onda longitudinal sonora</t>
        </is>
      </c>
      <c r="R480" s="38" t="inlineStr">
        <is>
          <t>Aplicar: resolver problemas</t>
        </is>
      </c>
      <c r="S480" s="39">
        <f>IFERROR(ISNUMBER(SEARCH("Conocer",$R480))/(ISNUMBER(SEARCH("Conocer",$R480))+ISNUMBER(SEARCH("Aplicar",$R480))+ISNUMBER(SEARCH("Razonar",$R480))),0)</f>
        <v/>
      </c>
      <c r="T480" s="39">
        <f>IFERROR(ISNUMBER(SEARCH("Aplicar",$R480))/(ISNUMBER(SEARCH("Conocer",$R480))+ISNUMBER(SEARCH("Aplicar",$R480))+ISNUMBER(SEARCH("Razonar",$R480))),0)</f>
        <v/>
      </c>
      <c r="U480" s="39">
        <f>IFERROR(ISNUMBER(SEARCH("Razonar",$R480))/(ISNUMBER(SEARCH("Conocer",$R480))+ISNUMBER(SEARCH("Aplicar",$R480))+ISNUMBER(SEARCH("Razonar",$R480))),0)</f>
        <v/>
      </c>
      <c r="V480" s="11" t="inlineStr">
        <is>
          <t>8°</t>
        </is>
      </c>
      <c r="W480" s="11" t="inlineStr">
        <is>
          <t>Ciclo 5°–8°</t>
        </is>
      </c>
      <c r="X480" s="11">
        <f>IF(OR(IFERROR(INDEX('Datos - Catálogo TIMSS'!$I$5:$I$107,MATCH(K480,'Datos - Catálogo TIMSS'!$A$5:$A$107,0)),"No")="Sí",IFERROR(INDEX('Datos - Catálogo TIMSS'!$I$5:$I$107,MATCH(L480,'Datos - Catálogo TIMSS'!$A$5:$A$107,0)),"No")="Sí"),1,0)</f>
        <v/>
      </c>
      <c r="Y480" s="11">
        <f>IF(IFERROR(INDEX('Datos - Catálogo TIMSS'!$J$5:$J$107,MATCH(K480,'Datos - Catálogo TIMSS'!$A$5:$A$107,0)),"No")="Sí",1,0)</f>
        <v/>
      </c>
      <c r="Z480" s="11">
        <f>IF(IFERROR(INDEX('Datos - Catálogo TIMSS'!$J$5:$J$107,MATCH(L480,'Datos - Catálogo TIMSS'!$A$5:$A$107,0)),"No")="Sí",1,0)</f>
        <v/>
      </c>
      <c r="AA480" s="11" t="inlineStr">
        <is>
          <t>T8-F3.2</t>
        </is>
      </c>
      <c r="AB480" s="11" t="inlineStr"/>
      <c r="AC480" s="11">
        <f>IF(AA480="FUERA","Fuera del marco",IF(AA480="N/A","Sin marco",IFERROR(INDEX('Datos - TIMSS 2023'!$C$5:$C$105,MATCH(AA480,'Datos - TIMSS 2023'!$A$5:$A$105,0)),"Pendiente de clasificar")))</f>
        <v/>
      </c>
      <c r="AD480" s="11" t="inlineStr">
        <is>
          <t>2. Construir y evaluar diseños para la indagación científica e interpretar datos y evidencia de forma crítica</t>
        </is>
      </c>
      <c r="AE480" s="11">
        <f>IF(AD480="","",IF(LEFT(AD480,1)="1","C1",IF(LEFT(AD480,1)="2","C2",IF(LEFT(AD480,1)="3","C3",""))))</f>
        <v/>
      </c>
      <c r="AF480" s="11" t="inlineStr">
        <is>
          <t>E1</t>
        </is>
      </c>
      <c r="AG480" s="11" t="inlineStr">
        <is>
          <t>D1</t>
        </is>
      </c>
      <c r="AH480" s="11" t="inlineStr">
        <is>
          <t>E2</t>
        </is>
      </c>
      <c r="AI480" s="11" t="inlineStr">
        <is>
          <t>D4</t>
        </is>
      </c>
      <c r="AJ480" s="11" t="inlineStr">
        <is>
          <t>E3</t>
        </is>
      </c>
      <c r="AK480" s="11" t="inlineStr">
        <is>
          <t>PISA-F5</t>
        </is>
      </c>
      <c r="AL480" s="11" t="n"/>
      <c r="AM480" s="11">
        <f>IF(AK480="FUERA","Fuera del marco",IFERROR(INDEX('Datos - Catálogo PISA'!$C$5:$C$76,MATCH(AK480,'Datos - Catálogo PISA'!$A$5:$A$76,0)),"?"))</f>
        <v/>
      </c>
      <c r="AN480" s="11" t="inlineStr">
        <is>
          <t>Contenido</t>
        </is>
      </c>
      <c r="AO480" s="11" t="inlineStr">
        <is>
          <t>PISA-PR5;</t>
        </is>
      </c>
      <c r="AP480" s="11" t="n"/>
      <c r="AQ480" s="11" t="inlineStr">
        <is>
          <t>Sin contexto</t>
        </is>
      </c>
      <c r="AR480" s="11" t="n"/>
      <c r="AS480" s="11" t="inlineStr">
        <is>
          <t>Media</t>
        </is>
      </c>
      <c r="AT480" s="11" t="inlineStr">
        <is>
          <t>alta</t>
        </is>
      </c>
      <c r="AU480" s="11" t="inlineStr">
        <is>
          <t>Gráficas de presión y densidad de onda longitudinal</t>
        </is>
      </c>
      <c r="AV480" s="11" t="inlineStr">
        <is>
          <t>Ciclo 7°–9°</t>
        </is>
      </c>
      <c r="AW480" s="11">
        <f>AF480&amp;"; "&amp;AG480&amp;"; "&amp;AH480&amp;"; "&amp;AI480&amp;"; "&amp;AJ480</f>
        <v/>
      </c>
    </row>
    <row r="481">
      <c r="A481" s="11" t="inlineStr">
        <is>
          <t>T1115-G08-CIE</t>
        </is>
      </c>
      <c r="B481" s="11" t="n">
        <v>8</v>
      </c>
      <c r="C481" s="11" t="inlineStr">
        <is>
          <t>Ciencias</t>
        </is>
      </c>
      <c r="D481" s="11" t="inlineStr">
        <is>
          <t>Matriz_Ciencias_8vo_Grado_U1_U7.xlsx</t>
        </is>
      </c>
      <c r="E481" s="11" t="inlineStr">
        <is>
          <t>Unidad 4 - Estequiometría y dis</t>
        </is>
      </c>
      <c r="F481" s="11" t="n">
        <v>3</v>
      </c>
      <c r="G481" s="11" t="inlineStr">
        <is>
          <t>4. Estequiometría y dispersiones</t>
        </is>
      </c>
      <c r="H481" s="11" t="inlineStr">
        <is>
          <t>Unidades físicas de concentración</t>
        </is>
      </c>
      <c r="I481" s="38" t="inlineStr">
        <is>
          <t>4.1. Identificación de las unidades físicas de concentración en sustancias de uso cotidiano.</t>
        </is>
      </c>
      <c r="J481" s="11" t="inlineStr">
        <is>
          <t>T8_27</t>
        </is>
      </c>
      <c r="K481" s="11" t="inlineStr">
        <is>
          <t>T8_27-C2.2</t>
        </is>
      </c>
      <c r="L481" s="11" t="inlineStr"/>
      <c r="M481" s="11">
        <f>IF(K481="FUERA","Fuera del marco",IF(K481="N/A","Sin marco",IFERROR(INDEX('Datos - Catálogo TIMSS'!$C$5:$C$107,MATCH(K481,'Datos - Catálogo TIMSS'!$A$5:$A$107,0)),"Pendiente de clasificar")))</f>
        <v/>
      </c>
      <c r="N481" s="11">
        <f>IF(K481="FUERA","Fuera del marco",IF(K481="N/A","Sin marco",IFERROR(INDEX('Datos - Catálogo TIMSS'!$F$5:$F$107,MATCH(K481,'Datos - Catálogo TIMSS'!$A$5:$A$107,0)),"Pendiente de clasificar")))</f>
        <v/>
      </c>
      <c r="O481" s="11">
        <f>IF(L481="","",IFERROR(INDEX('Datos - Catálogo TIMSS'!$C$5:$C$107,MATCH(L481,'Datos - Catálogo TIMSS'!$A$5:$A$107,0)),"?"))</f>
        <v/>
      </c>
      <c r="P481" s="11" t="inlineStr">
        <is>
          <t>alta</t>
        </is>
      </c>
      <c r="Q481" s="38" t="inlineStr">
        <is>
          <t>Concentración de disoluciones en productos cotidianos</t>
        </is>
      </c>
      <c r="R481" s="38" t="inlineStr">
        <is>
          <t>Conocer: identificar</t>
        </is>
      </c>
      <c r="S481" s="39">
        <f>IFERROR(ISNUMBER(SEARCH("Conocer",$R481))/(ISNUMBER(SEARCH("Conocer",$R481))+ISNUMBER(SEARCH("Aplicar",$R481))+ISNUMBER(SEARCH("Razonar",$R481))),0)</f>
        <v/>
      </c>
      <c r="T481" s="39">
        <f>IFERROR(ISNUMBER(SEARCH("Aplicar",$R481))/(ISNUMBER(SEARCH("Conocer",$R481))+ISNUMBER(SEARCH("Aplicar",$R481))+ISNUMBER(SEARCH("Razonar",$R481))),0)</f>
        <v/>
      </c>
      <c r="U481" s="39">
        <f>IFERROR(ISNUMBER(SEARCH("Razonar",$R481))/(ISNUMBER(SEARCH("Conocer",$R481))+ISNUMBER(SEARCH("Aplicar",$R481))+ISNUMBER(SEARCH("Razonar",$R481))),0)</f>
        <v/>
      </c>
      <c r="V481" s="11" t="inlineStr">
        <is>
          <t>8°</t>
        </is>
      </c>
      <c r="W481" s="11" t="inlineStr">
        <is>
          <t>Ciclo 5°–8°</t>
        </is>
      </c>
      <c r="X481" s="11">
        <f>IF(OR(IFERROR(INDEX('Datos - Catálogo TIMSS'!$I$5:$I$107,MATCH(K481,'Datos - Catálogo TIMSS'!$A$5:$A$107,0)),"No")="Sí",IFERROR(INDEX('Datos - Catálogo TIMSS'!$I$5:$I$107,MATCH(L481,'Datos - Catálogo TIMSS'!$A$5:$A$107,0)),"No")="Sí"),1,0)</f>
        <v/>
      </c>
      <c r="Y481" s="11">
        <f>IF(IFERROR(INDEX('Datos - Catálogo TIMSS'!$J$5:$J$107,MATCH(K481,'Datos - Catálogo TIMSS'!$A$5:$A$107,0)),"No")="Sí",1,0)</f>
        <v/>
      </c>
      <c r="Z481" s="11">
        <f>IF(IFERROR(INDEX('Datos - Catálogo TIMSS'!$J$5:$J$107,MATCH(L481,'Datos - Catálogo TIMSS'!$A$5:$A$107,0)),"No")="Sí",1,0)</f>
        <v/>
      </c>
      <c r="AA481" s="11" t="inlineStr">
        <is>
          <t>T8-Q2.3</t>
        </is>
      </c>
      <c r="AB481" s="11" t="inlineStr"/>
      <c r="AC481" s="11">
        <f>IF(AA481="FUERA","Fuera del marco",IF(AA481="N/A","Sin marco",IFERROR(INDEX('Datos - TIMSS 2023'!$C$5:$C$105,MATCH(AA481,'Datos - TIMSS 2023'!$A$5:$A$105,0)),"Pendiente de clasificar")))</f>
        <v/>
      </c>
      <c r="AD481" s="11" t="inlineStr">
        <is>
          <t>2. Construir y evaluar diseños para la indagación científica e interpretar datos y evidencia de forma crítica</t>
        </is>
      </c>
      <c r="AE481" s="11">
        <f>IF(AD481="","",IF(LEFT(AD481,1)="1","C1",IF(LEFT(AD481,1)="2","C2",IF(LEFT(AD481,1)="3","C3",""))))</f>
        <v/>
      </c>
      <c r="AF481" s="11" t="inlineStr">
        <is>
          <t>E1</t>
        </is>
      </c>
      <c r="AG481" s="11" t="inlineStr">
        <is>
          <t>D1</t>
        </is>
      </c>
      <c r="AH481" s="11" t="inlineStr">
        <is>
          <t>E1</t>
        </is>
      </c>
      <c r="AI481" s="11" t="inlineStr">
        <is>
          <t>D4</t>
        </is>
      </c>
      <c r="AJ481" s="11" t="inlineStr">
        <is>
          <t>E1</t>
        </is>
      </c>
      <c r="AK481" s="11" t="inlineStr">
        <is>
          <t>PISA-F1</t>
        </is>
      </c>
      <c r="AL481" s="11" t="n"/>
      <c r="AM481" s="11">
        <f>IF(AK481="FUERA","Fuera del marco",IFERROR(INDEX('Datos - Catálogo PISA'!$C$5:$C$76,MATCH(AK481,'Datos - Catálogo PISA'!$A$5:$A$76,0)),"?"))</f>
        <v/>
      </c>
      <c r="AN481" s="11" t="inlineStr">
        <is>
          <t>Contenido</t>
        </is>
      </c>
      <c r="AO481" s="11" t="n"/>
      <c r="AP481" s="11" t="n"/>
      <c r="AQ481" s="11" t="inlineStr">
        <is>
          <t>Personal</t>
        </is>
      </c>
      <c r="AR481" s="11" t="inlineStr">
        <is>
          <t>Salud y enfermedad</t>
        </is>
      </c>
      <c r="AS481" s="11" t="inlineStr">
        <is>
          <t>Baja</t>
        </is>
      </c>
      <c r="AT481" s="11" t="inlineStr">
        <is>
          <t>media</t>
        </is>
      </c>
      <c r="AU481" s="11" t="inlineStr">
        <is>
          <t>Concentración de mezclas en etiquetas de productos cotidianos</t>
        </is>
      </c>
      <c r="AV481" s="11" t="inlineStr">
        <is>
          <t>Ciclo 7°–9°</t>
        </is>
      </c>
      <c r="AW481" s="11">
        <f>AF481&amp;"; "&amp;AG481&amp;"; "&amp;AH481&amp;"; "&amp;AI481&amp;"; "&amp;AJ481</f>
        <v/>
      </c>
    </row>
    <row r="482">
      <c r="A482" s="11" t="inlineStr">
        <is>
          <t>T1116-G08-CIE</t>
        </is>
      </c>
      <c r="B482" s="11" t="n">
        <v>8</v>
      </c>
      <c r="C482" s="11" t="inlineStr">
        <is>
          <t>Ciencias</t>
        </is>
      </c>
      <c r="D482" s="11" t="inlineStr">
        <is>
          <t>Matriz_Ciencias_8vo_Grado_U1_U7.xlsx</t>
        </is>
      </c>
      <c r="E482" s="11" t="inlineStr">
        <is>
          <t>Unidad 4 - Estequiometría y dis</t>
        </is>
      </c>
      <c r="F482" s="11" t="n">
        <v>4</v>
      </c>
      <c r="G482" s="11" t="inlineStr">
        <is>
          <t>4. Estequiometría y dispersiones</t>
        </is>
      </c>
      <c r="H482" s="11" t="inlineStr">
        <is>
          <t>Unidades físicas de concentración</t>
        </is>
      </c>
      <c r="I482" s="38" t="inlineStr">
        <is>
          <t>4.2. Cálculo de cantidad de soluto o concentración de soluciones empleando las unidades físicas de concentración.</t>
        </is>
      </c>
      <c r="J482" s="11" t="inlineStr">
        <is>
          <t>T8_27</t>
        </is>
      </c>
      <c r="K482" s="11" t="inlineStr">
        <is>
          <t>T8_27-C2.2</t>
        </is>
      </c>
      <c r="L482" s="11" t="inlineStr"/>
      <c r="M482" s="11">
        <f>IF(K482="FUERA","Fuera del marco",IF(K482="N/A","Sin marco",IFERROR(INDEX('Datos - Catálogo TIMSS'!$C$5:$C$107,MATCH(K482,'Datos - Catálogo TIMSS'!$A$5:$A$107,0)),"Pendiente de clasificar")))</f>
        <v/>
      </c>
      <c r="N482" s="11">
        <f>IF(K482="FUERA","Fuera del marco",IF(K482="N/A","Sin marco",IFERROR(INDEX('Datos - Catálogo TIMSS'!$F$5:$F$107,MATCH(K482,'Datos - Catálogo TIMSS'!$A$5:$A$107,0)),"Pendiente de clasificar")))</f>
        <v/>
      </c>
      <c r="O482" s="11">
        <f>IF(L482="","",IFERROR(INDEX('Datos - Catálogo TIMSS'!$C$5:$C$107,MATCH(L482,'Datos - Catálogo TIMSS'!$A$5:$A$107,0)),"?"))</f>
        <v/>
      </c>
      <c r="P482" s="11" t="inlineStr">
        <is>
          <t>alta</t>
        </is>
      </c>
      <c r="Q482" s="38" t="inlineStr">
        <is>
          <t>Calcular soluto y concentración de disoluciones</t>
        </is>
      </c>
      <c r="R482" s="38" t="inlineStr">
        <is>
          <t>Aplicar: calcular</t>
        </is>
      </c>
      <c r="S482" s="39">
        <f>IFERROR(ISNUMBER(SEARCH("Conocer",$R482))/(ISNUMBER(SEARCH("Conocer",$R482))+ISNUMBER(SEARCH("Aplicar",$R482))+ISNUMBER(SEARCH("Razonar",$R482))),0)</f>
        <v/>
      </c>
      <c r="T482" s="39">
        <f>IFERROR(ISNUMBER(SEARCH("Aplicar",$R482))/(ISNUMBER(SEARCH("Conocer",$R482))+ISNUMBER(SEARCH("Aplicar",$R482))+ISNUMBER(SEARCH("Razonar",$R482))),0)</f>
        <v/>
      </c>
      <c r="U482" s="39">
        <f>IFERROR(ISNUMBER(SEARCH("Razonar",$R482))/(ISNUMBER(SEARCH("Conocer",$R482))+ISNUMBER(SEARCH("Aplicar",$R482))+ISNUMBER(SEARCH("Razonar",$R482))),0)</f>
        <v/>
      </c>
      <c r="V482" s="11" t="inlineStr">
        <is>
          <t>8°</t>
        </is>
      </c>
      <c r="W482" s="11" t="inlineStr">
        <is>
          <t>Ciclo 5°–8°</t>
        </is>
      </c>
      <c r="X482" s="11">
        <f>IF(OR(IFERROR(INDEX('Datos - Catálogo TIMSS'!$I$5:$I$107,MATCH(K482,'Datos - Catálogo TIMSS'!$A$5:$A$107,0)),"No")="Sí",IFERROR(INDEX('Datos - Catálogo TIMSS'!$I$5:$I$107,MATCH(L482,'Datos - Catálogo TIMSS'!$A$5:$A$107,0)),"No")="Sí"),1,0)</f>
        <v/>
      </c>
      <c r="Y482" s="11">
        <f>IF(IFERROR(INDEX('Datos - Catálogo TIMSS'!$J$5:$J$107,MATCH(K482,'Datos - Catálogo TIMSS'!$A$5:$A$107,0)),"No")="Sí",1,0)</f>
        <v/>
      </c>
      <c r="Z482" s="11">
        <f>IF(IFERROR(INDEX('Datos - Catálogo TIMSS'!$J$5:$J$107,MATCH(L482,'Datos - Catálogo TIMSS'!$A$5:$A$107,0)),"No")="Sí",1,0)</f>
        <v/>
      </c>
      <c r="AA482" s="11" t="inlineStr">
        <is>
          <t>T8-Q2.3</t>
        </is>
      </c>
      <c r="AB482" s="11" t="inlineStr"/>
      <c r="AC482" s="11">
        <f>IF(AA482="FUERA","Fuera del marco",IF(AA482="N/A","Sin marco",IFERROR(INDEX('Datos - TIMSS 2023'!$C$5:$C$105,MATCH(AA482,'Datos - TIMSS 2023'!$A$5:$A$105,0)),"Pendiente de clasificar")))</f>
        <v/>
      </c>
      <c r="AD482" s="11" t="inlineStr">
        <is>
          <t>2. Construir y evaluar diseños para la indagación científica e interpretar datos y evidencia de forma crítica</t>
        </is>
      </c>
      <c r="AE482" s="11">
        <f>IF(AD482="","",IF(LEFT(AD482,1)="1","C1",IF(LEFT(AD482,1)="2","C2",IF(LEFT(AD482,1)="3","C3",""))))</f>
        <v/>
      </c>
      <c r="AF482" s="11" t="inlineStr">
        <is>
          <t>E1</t>
        </is>
      </c>
      <c r="AG482" s="11" t="inlineStr">
        <is>
          <t>D1</t>
        </is>
      </c>
      <c r="AH482" s="11" t="inlineStr">
        <is>
          <t>E1</t>
        </is>
      </c>
      <c r="AI482" s="11" t="inlineStr">
        <is>
          <t>D4</t>
        </is>
      </c>
      <c r="AJ482" s="11" t="inlineStr">
        <is>
          <t>E3</t>
        </is>
      </c>
      <c r="AK482" s="11" t="inlineStr">
        <is>
          <t>PISA-F1</t>
        </is>
      </c>
      <c r="AL482" s="11" t="n"/>
      <c r="AM482" s="11">
        <f>IF(AK482="FUERA","Fuera del marco",IFERROR(INDEX('Datos - Catálogo PISA'!$C$5:$C$76,MATCH(AK482,'Datos - Catálogo PISA'!$A$5:$A$76,0)),"?"))</f>
        <v/>
      </c>
      <c r="AN482" s="11" t="inlineStr">
        <is>
          <t>Contenido</t>
        </is>
      </c>
      <c r="AO482" s="11" t="n"/>
      <c r="AP482" s="11" t="n"/>
      <c r="AQ482" s="11" t="inlineStr">
        <is>
          <t>Sin contexto</t>
        </is>
      </c>
      <c r="AR482" s="11" t="n"/>
      <c r="AS482" s="11" t="inlineStr">
        <is>
          <t>Media</t>
        </is>
      </c>
      <c r="AT482" s="11" t="inlineStr">
        <is>
          <t>media</t>
        </is>
      </c>
      <c r="AU482" s="11" t="inlineStr">
        <is>
          <t>Cálculo de concentración y preparación de soluciones</t>
        </is>
      </c>
      <c r="AV482" s="11" t="inlineStr">
        <is>
          <t>Ciclo 7°–9°</t>
        </is>
      </c>
      <c r="AW482" s="11">
        <f>AF482&amp;"; "&amp;AG482&amp;"; "&amp;AH482&amp;"; "&amp;AI482&amp;"; "&amp;AJ482</f>
        <v/>
      </c>
    </row>
    <row r="483">
      <c r="A483" s="11" t="inlineStr">
        <is>
          <t>T1117-G08-CIE</t>
        </is>
      </c>
      <c r="B483" s="11" t="n">
        <v>8</v>
      </c>
      <c r="C483" s="11" t="inlineStr">
        <is>
          <t>Ciencias</t>
        </is>
      </c>
      <c r="D483" s="11" t="inlineStr">
        <is>
          <t>Matriz_Ciencias_8vo_Grado_U1_U7.xlsx</t>
        </is>
      </c>
      <c r="E483" s="11" t="inlineStr">
        <is>
          <t>Unidad 4 - Estequiometría y dis</t>
        </is>
      </c>
      <c r="F483" s="11" t="n">
        <v>5</v>
      </c>
      <c r="G483" s="11" t="inlineStr">
        <is>
          <t>4. Estequiometría y dispersiones</t>
        </is>
      </c>
      <c r="H483" s="11" t="inlineStr">
        <is>
          <t>Unidades físicas de concentración</t>
        </is>
      </c>
      <c r="I483" s="38" t="inlineStr">
        <is>
          <t>4.3. Exploración de las aplicaciones cotidianas, industriales y ambientales de las unidades físicas de concentración.</t>
        </is>
      </c>
      <c r="J483" s="11" t="inlineStr">
        <is>
          <t>T8_27</t>
        </is>
      </c>
      <c r="K483" s="11" t="inlineStr">
        <is>
          <t>T8_27-C2.2</t>
        </is>
      </c>
      <c r="L483" s="11" t="inlineStr"/>
      <c r="M483" s="11">
        <f>IF(K483="FUERA","Fuera del marco",IF(K483="N/A","Sin marco",IFERROR(INDEX('Datos - Catálogo TIMSS'!$C$5:$C$107,MATCH(K483,'Datos - Catálogo TIMSS'!$A$5:$A$107,0)),"Pendiente de clasificar")))</f>
        <v/>
      </c>
      <c r="N483" s="11">
        <f>IF(K483="FUERA","Fuera del marco",IF(K483="N/A","Sin marco",IFERROR(INDEX('Datos - Catálogo TIMSS'!$F$5:$F$107,MATCH(K483,'Datos - Catálogo TIMSS'!$A$5:$A$107,0)),"Pendiente de clasificar")))</f>
        <v/>
      </c>
      <c r="O483" s="11">
        <f>IF(L483="","",IFERROR(INDEX('Datos - Catálogo TIMSS'!$C$5:$C$107,MATCH(L483,'Datos - Catálogo TIMSS'!$A$5:$A$107,0)),"?"))</f>
        <v/>
      </c>
      <c r="P483" s="11" t="inlineStr">
        <is>
          <t>media</t>
        </is>
      </c>
      <c r="Q483" s="38" t="inlineStr">
        <is>
          <t>Aplicaciones de la concentración de disoluciones</t>
        </is>
      </c>
      <c r="R483" s="38" t="inlineStr">
        <is>
          <t>Razonar: evaluar información</t>
        </is>
      </c>
      <c r="S483" s="39">
        <f>IFERROR(ISNUMBER(SEARCH("Conocer",$R483))/(ISNUMBER(SEARCH("Conocer",$R483))+ISNUMBER(SEARCH("Aplicar",$R483))+ISNUMBER(SEARCH("Razonar",$R483))),0)</f>
        <v/>
      </c>
      <c r="T483" s="39">
        <f>IFERROR(ISNUMBER(SEARCH("Aplicar",$R483))/(ISNUMBER(SEARCH("Conocer",$R483))+ISNUMBER(SEARCH("Aplicar",$R483))+ISNUMBER(SEARCH("Razonar",$R483))),0)</f>
        <v/>
      </c>
      <c r="U483" s="39">
        <f>IFERROR(ISNUMBER(SEARCH("Razonar",$R483))/(ISNUMBER(SEARCH("Conocer",$R483))+ISNUMBER(SEARCH("Aplicar",$R483))+ISNUMBER(SEARCH("Razonar",$R483))),0)</f>
        <v/>
      </c>
      <c r="V483" s="11" t="inlineStr">
        <is>
          <t>8°</t>
        </is>
      </c>
      <c r="W483" s="11" t="inlineStr">
        <is>
          <t>Ciclo 5°–8°</t>
        </is>
      </c>
      <c r="X483" s="11">
        <f>IF(OR(IFERROR(INDEX('Datos - Catálogo TIMSS'!$I$5:$I$107,MATCH(K483,'Datos - Catálogo TIMSS'!$A$5:$A$107,0)),"No")="Sí",IFERROR(INDEX('Datos - Catálogo TIMSS'!$I$5:$I$107,MATCH(L483,'Datos - Catálogo TIMSS'!$A$5:$A$107,0)),"No")="Sí"),1,0)</f>
        <v/>
      </c>
      <c r="Y483" s="11">
        <f>IF(IFERROR(INDEX('Datos - Catálogo TIMSS'!$J$5:$J$107,MATCH(K483,'Datos - Catálogo TIMSS'!$A$5:$A$107,0)),"No")="Sí",1,0)</f>
        <v/>
      </c>
      <c r="Z483" s="11">
        <f>IF(IFERROR(INDEX('Datos - Catálogo TIMSS'!$J$5:$J$107,MATCH(L483,'Datos - Catálogo TIMSS'!$A$5:$A$107,0)),"No")="Sí",1,0)</f>
        <v/>
      </c>
      <c r="AA483" s="11" t="inlineStr">
        <is>
          <t>T8-Q2.3</t>
        </is>
      </c>
      <c r="AB483" s="11" t="inlineStr"/>
      <c r="AC483" s="11">
        <f>IF(AA483="FUERA","Fuera del marco",IF(AA483="N/A","Sin marco",IFERROR(INDEX('Datos - TIMSS 2023'!$C$5:$C$105,MATCH(AA483,'Datos - TIMSS 2023'!$A$5:$A$105,0)),"Pendiente de clasificar")))</f>
        <v/>
      </c>
      <c r="AD483" s="11" t="inlineStr">
        <is>
          <t>3. Investigar, evaluar y usar información científica para tomar decisiones y actuar</t>
        </is>
      </c>
      <c r="AE483" s="11">
        <f>IF(AD483="","",IF(LEFT(AD483,1)="1","C1",IF(LEFT(AD483,1)="2","C2",IF(LEFT(AD483,1)="3","C3",""))))</f>
        <v/>
      </c>
      <c r="AF483" s="11" t="inlineStr">
        <is>
          <t>E1</t>
        </is>
      </c>
      <c r="AG483" s="11" t="inlineStr">
        <is>
          <t>D1</t>
        </is>
      </c>
      <c r="AH483" s="11" t="inlineStr">
        <is>
          <t>E1</t>
        </is>
      </c>
      <c r="AI483" s="11" t="inlineStr">
        <is>
          <t>I1</t>
        </is>
      </c>
      <c r="AJ483" s="11" t="inlineStr">
        <is>
          <t>I5</t>
        </is>
      </c>
      <c r="AK483" s="11" t="inlineStr">
        <is>
          <t>PISA-F1</t>
        </is>
      </c>
      <c r="AL483" s="11" t="n"/>
      <c r="AM483" s="11">
        <f>IF(AK483="FUERA","Fuera del marco",IFERROR(INDEX('Datos - Catálogo PISA'!$C$5:$C$76,MATCH(AK483,'Datos - Catálogo PISA'!$A$5:$A$76,0)),"?"))</f>
        <v/>
      </c>
      <c r="AN483" s="11" t="inlineStr">
        <is>
          <t>Contenido</t>
        </is>
      </c>
      <c r="AO483" s="11" t="n"/>
      <c r="AP483" s="11" t="n"/>
      <c r="AQ483" s="11" t="inlineStr">
        <is>
          <t>Local/nacional</t>
        </is>
      </c>
      <c r="AR483" s="11" t="inlineStr">
        <is>
          <t>Impactos ambientales y cambio climático</t>
        </is>
      </c>
      <c r="AS483" s="11" t="inlineStr">
        <is>
          <t>Baja</t>
        </is>
      </c>
      <c r="AT483" s="11" t="inlineStr">
        <is>
          <t>media</t>
        </is>
      </c>
      <c r="AU483" s="11" t="inlineStr">
        <is>
          <t>Aplicaciones de la concentración con normas oficiales ambientales</t>
        </is>
      </c>
      <c r="AV483" s="11" t="inlineStr">
        <is>
          <t>Ciclo 7°–9°</t>
        </is>
      </c>
      <c r="AW483" s="11">
        <f>AF483&amp;"; "&amp;AG483&amp;"; "&amp;AH483&amp;"; "&amp;AI483&amp;"; "&amp;AJ483</f>
        <v/>
      </c>
    </row>
    <row r="484">
      <c r="A484" s="11" t="inlineStr">
        <is>
          <t>T1118-G08-CIE</t>
        </is>
      </c>
      <c r="B484" s="11" t="n">
        <v>8</v>
      </c>
      <c r="C484" s="11" t="inlineStr">
        <is>
          <t>Ciencias</t>
        </is>
      </c>
      <c r="D484" s="11" t="inlineStr">
        <is>
          <t>Matriz_Ciencias_8vo_Grado_U1_U7.xlsx</t>
        </is>
      </c>
      <c r="E484" s="11" t="inlineStr">
        <is>
          <t>Unidad 4 - Estequiometría y dis</t>
        </is>
      </c>
      <c r="F484" s="11" t="n">
        <v>6</v>
      </c>
      <c r="G484" s="11" t="inlineStr">
        <is>
          <t>4. Estequiometría y dispersiones</t>
        </is>
      </c>
      <c r="H484" s="11" t="inlineStr">
        <is>
          <t>Relaciones estequiométricas</t>
        </is>
      </c>
      <c r="I484" s="38" t="inlineStr">
        <is>
          <t>4.4. Reconocimiento del significado del número de Avogadro.</t>
        </is>
      </c>
      <c r="J484" s="11" t="inlineStr">
        <is>
          <t>T8_27</t>
        </is>
      </c>
      <c r="K484" s="11" t="inlineStr">
        <is>
          <t>T8_27-C1.1</t>
        </is>
      </c>
      <c r="L484" s="11" t="inlineStr"/>
      <c r="M484" s="11">
        <f>IF(K484="FUERA","Fuera del marco",IF(K484="N/A","Sin marco",IFERROR(INDEX('Datos - Catálogo TIMSS'!$C$5:$C$107,MATCH(K484,'Datos - Catálogo TIMSS'!$A$5:$A$107,0)),"Pendiente de clasificar")))</f>
        <v/>
      </c>
      <c r="N484" s="11">
        <f>IF(K484="FUERA","Fuera del marco",IF(K484="N/A","Sin marco",IFERROR(INDEX('Datos - Catálogo TIMSS'!$F$5:$F$107,MATCH(K484,'Datos - Catálogo TIMSS'!$A$5:$A$107,0)),"Pendiente de clasificar")))</f>
        <v/>
      </c>
      <c r="O484" s="11">
        <f>IF(L484="","",IFERROR(INDEX('Datos - Catálogo TIMSS'!$C$5:$C$107,MATCH(L484,'Datos - Catálogo TIMSS'!$A$5:$A$107,0)),"?"))</f>
        <v/>
      </c>
      <c r="P484" s="11" t="inlineStr">
        <is>
          <t>media</t>
        </is>
      </c>
      <c r="Q484" s="38" t="inlineStr">
        <is>
          <t>Mol y Avogadro: naturaleza particulada de la materia, nivel superior</t>
        </is>
      </c>
      <c r="R484" s="38" t="inlineStr">
        <is>
          <t>Conocer: definir</t>
        </is>
      </c>
      <c r="S484" s="39">
        <f>IFERROR(ISNUMBER(SEARCH("Conocer",$R484))/(ISNUMBER(SEARCH("Conocer",$R484))+ISNUMBER(SEARCH("Aplicar",$R484))+ISNUMBER(SEARCH("Razonar",$R484))),0)</f>
        <v/>
      </c>
      <c r="T484" s="39">
        <f>IFERROR(ISNUMBER(SEARCH("Aplicar",$R484))/(ISNUMBER(SEARCH("Conocer",$R484))+ISNUMBER(SEARCH("Aplicar",$R484))+ISNUMBER(SEARCH("Razonar",$R484))),0)</f>
        <v/>
      </c>
      <c r="U484" s="39">
        <f>IFERROR(ISNUMBER(SEARCH("Razonar",$R484))/(ISNUMBER(SEARCH("Conocer",$R484))+ISNUMBER(SEARCH("Aplicar",$R484))+ISNUMBER(SEARCH("Razonar",$R484))),0)</f>
        <v/>
      </c>
      <c r="V484" s="11" t="inlineStr">
        <is>
          <t>8°</t>
        </is>
      </c>
      <c r="W484" s="11" t="inlineStr">
        <is>
          <t>Ciclo 5°–8°</t>
        </is>
      </c>
      <c r="X484" s="11">
        <f>IF(OR(IFERROR(INDEX('Datos - Catálogo TIMSS'!$I$5:$I$107,MATCH(K484,'Datos - Catálogo TIMSS'!$A$5:$A$107,0)),"No")="Sí",IFERROR(INDEX('Datos - Catálogo TIMSS'!$I$5:$I$107,MATCH(L484,'Datos - Catálogo TIMSS'!$A$5:$A$107,0)),"No")="Sí"),1,0)</f>
        <v/>
      </c>
      <c r="Y484" s="11">
        <f>IF(IFERROR(INDEX('Datos - Catálogo TIMSS'!$J$5:$J$107,MATCH(K484,'Datos - Catálogo TIMSS'!$A$5:$A$107,0)),"No")="Sí",1,0)</f>
        <v/>
      </c>
      <c r="Z484" s="11">
        <f>IF(IFERROR(INDEX('Datos - Catálogo TIMSS'!$J$5:$J$107,MATCH(L484,'Datos - Catálogo TIMSS'!$A$5:$A$107,0)),"No")="Sí",1,0)</f>
        <v/>
      </c>
      <c r="AA484" s="11" t="inlineStr">
        <is>
          <t>T8-Q1.1</t>
        </is>
      </c>
      <c r="AB484" s="11" t="inlineStr"/>
      <c r="AC484" s="11">
        <f>IF(AA484="FUERA","Fuera del marco",IF(AA484="N/A","Sin marco",IFERROR(INDEX('Datos - TIMSS 2023'!$C$5:$C$105,MATCH(AA484,'Datos - TIMSS 2023'!$A$5:$A$105,0)),"Pendiente de clasificar")))</f>
        <v/>
      </c>
      <c r="AD484" s="11" t="inlineStr">
        <is>
          <t>1. Explicar fenómenos científicamente</t>
        </is>
      </c>
      <c r="AE484" s="11">
        <f>IF(AD484="","",IF(LEFT(AD484,1)="1","C1",IF(LEFT(AD484,1)="2","C2",IF(LEFT(AD484,1)="3","C3",""))))</f>
        <v/>
      </c>
      <c r="AF484" s="11" t="inlineStr">
        <is>
          <t>E1</t>
        </is>
      </c>
      <c r="AG484" s="11" t="inlineStr">
        <is>
          <t>D1</t>
        </is>
      </c>
      <c r="AH484" s="11" t="inlineStr">
        <is>
          <t>E1</t>
        </is>
      </c>
      <c r="AI484" s="11" t="inlineStr">
        <is>
          <t>D4</t>
        </is>
      </c>
      <c r="AJ484" s="11" t="inlineStr">
        <is>
          <t>E1</t>
        </is>
      </c>
      <c r="AK484" s="11" t="inlineStr">
        <is>
          <t>PISA-F1</t>
        </is>
      </c>
      <c r="AL484" s="11" t="n"/>
      <c r="AM484" s="11">
        <f>IF(AK484="FUERA","Fuera del marco",IFERROR(INDEX('Datos - Catálogo PISA'!$C$5:$C$76,MATCH(AK484,'Datos - Catálogo PISA'!$A$5:$A$76,0)),"?"))</f>
        <v/>
      </c>
      <c r="AN484" s="11" t="inlineStr">
        <is>
          <t>Contenido</t>
        </is>
      </c>
      <c r="AO484" s="11" t="n"/>
      <c r="AP484" s="11" t="n"/>
      <c r="AQ484" s="11" t="inlineStr">
        <is>
          <t>Sin contexto</t>
        </is>
      </c>
      <c r="AR484" s="11" t="n"/>
      <c r="AS484" s="11" t="inlineStr">
        <is>
          <t>Baja</t>
        </is>
      </c>
      <c r="AT484" s="11" t="inlineStr">
        <is>
          <t>media</t>
        </is>
      </c>
      <c r="AU484" s="11" t="inlineStr">
        <is>
          <t>Número de Avogadro: cantidad de partículas en la materia</t>
        </is>
      </c>
      <c r="AV484" s="11" t="inlineStr">
        <is>
          <t>Ciclo 7°–9°</t>
        </is>
      </c>
      <c r="AW484" s="11">
        <f>AF484&amp;"; "&amp;AG484&amp;"; "&amp;AH484&amp;"; "&amp;AI484&amp;"; "&amp;AJ484</f>
        <v/>
      </c>
    </row>
    <row r="485">
      <c r="A485" s="11" t="inlineStr">
        <is>
          <t>T1119-G08-CIE</t>
        </is>
      </c>
      <c r="B485" s="11" t="n">
        <v>8</v>
      </c>
      <c r="C485" s="11" t="inlineStr">
        <is>
          <t>Ciencias</t>
        </is>
      </c>
      <c r="D485" s="11" t="inlineStr">
        <is>
          <t>Matriz_Ciencias_8vo_Grado_U1_U7.xlsx</t>
        </is>
      </c>
      <c r="E485" s="11" t="inlineStr">
        <is>
          <t>Unidad 4 - Estequiometría y dis</t>
        </is>
      </c>
      <c r="F485" s="11" t="n">
        <v>7</v>
      </c>
      <c r="G485" s="11" t="inlineStr">
        <is>
          <t>4. Estequiometría y dispersiones</t>
        </is>
      </c>
      <c r="H485" s="11" t="inlineStr">
        <is>
          <t>Relaciones estequiométricas</t>
        </is>
      </c>
      <c r="I485" s="38" t="inlineStr">
        <is>
          <t>4.5. Cálculo de la cantidad de partículas y moles de una sustancia empleando el número de Avogadro.</t>
        </is>
      </c>
      <c r="J485" s="11" t="inlineStr">
        <is>
          <t>T8_27</t>
        </is>
      </c>
      <c r="K485" s="11" t="inlineStr">
        <is>
          <t>T8_27-C1.1</t>
        </is>
      </c>
      <c r="L485" s="11" t="inlineStr"/>
      <c r="M485" s="11">
        <f>IF(K485="FUERA","Fuera del marco",IF(K485="N/A","Sin marco",IFERROR(INDEX('Datos - Catálogo TIMSS'!$C$5:$C$107,MATCH(K485,'Datos - Catálogo TIMSS'!$A$5:$A$107,0)),"Pendiente de clasificar")))</f>
        <v/>
      </c>
      <c r="N485" s="11">
        <f>IF(K485="FUERA","Fuera del marco",IF(K485="N/A","Sin marco",IFERROR(INDEX('Datos - Catálogo TIMSS'!$F$5:$F$107,MATCH(K485,'Datos - Catálogo TIMSS'!$A$5:$A$107,0)),"Pendiente de clasificar")))</f>
        <v/>
      </c>
      <c r="O485" s="11">
        <f>IF(L485="","",IFERROR(INDEX('Datos - Catálogo TIMSS'!$C$5:$C$107,MATCH(L485,'Datos - Catálogo TIMSS'!$A$5:$A$107,0)),"?"))</f>
        <v/>
      </c>
      <c r="P485" s="11" t="inlineStr">
        <is>
          <t>media</t>
        </is>
      </c>
      <c r="Q485" s="38" t="inlineStr">
        <is>
          <t>Partículas y moles: materia formada por átomos y moléculas</t>
        </is>
      </c>
      <c r="R485" s="38" t="inlineStr">
        <is>
          <t>Aplicar: calcular</t>
        </is>
      </c>
      <c r="S485" s="39">
        <f>IFERROR(ISNUMBER(SEARCH("Conocer",$R485))/(ISNUMBER(SEARCH("Conocer",$R485))+ISNUMBER(SEARCH("Aplicar",$R485))+ISNUMBER(SEARCH("Razonar",$R485))),0)</f>
        <v/>
      </c>
      <c r="T485" s="39">
        <f>IFERROR(ISNUMBER(SEARCH("Aplicar",$R485))/(ISNUMBER(SEARCH("Conocer",$R485))+ISNUMBER(SEARCH("Aplicar",$R485))+ISNUMBER(SEARCH("Razonar",$R485))),0)</f>
        <v/>
      </c>
      <c r="U485" s="39">
        <f>IFERROR(ISNUMBER(SEARCH("Razonar",$R485))/(ISNUMBER(SEARCH("Conocer",$R485))+ISNUMBER(SEARCH("Aplicar",$R485))+ISNUMBER(SEARCH("Razonar",$R485))),0)</f>
        <v/>
      </c>
      <c r="V485" s="11" t="inlineStr">
        <is>
          <t>8°</t>
        </is>
      </c>
      <c r="W485" s="11" t="inlineStr">
        <is>
          <t>Ciclo 5°–8°</t>
        </is>
      </c>
      <c r="X485" s="11">
        <f>IF(OR(IFERROR(INDEX('Datos - Catálogo TIMSS'!$I$5:$I$107,MATCH(K485,'Datos - Catálogo TIMSS'!$A$5:$A$107,0)),"No")="Sí",IFERROR(INDEX('Datos - Catálogo TIMSS'!$I$5:$I$107,MATCH(L485,'Datos - Catálogo TIMSS'!$A$5:$A$107,0)),"No")="Sí"),1,0)</f>
        <v/>
      </c>
      <c r="Y485" s="11">
        <f>IF(IFERROR(INDEX('Datos - Catálogo TIMSS'!$J$5:$J$107,MATCH(K485,'Datos - Catálogo TIMSS'!$A$5:$A$107,0)),"No")="Sí",1,0)</f>
        <v/>
      </c>
      <c r="Z485" s="11">
        <f>IF(IFERROR(INDEX('Datos - Catálogo TIMSS'!$J$5:$J$107,MATCH(L485,'Datos - Catálogo TIMSS'!$A$5:$A$107,0)),"No")="Sí",1,0)</f>
        <v/>
      </c>
      <c r="AA485" s="11" t="inlineStr">
        <is>
          <t>T8-Q1.1</t>
        </is>
      </c>
      <c r="AB485" s="11" t="inlineStr"/>
      <c r="AC485" s="11">
        <f>IF(AA485="FUERA","Fuera del marco",IF(AA485="N/A","Sin marco",IFERROR(INDEX('Datos - TIMSS 2023'!$C$5:$C$105,MATCH(AA485,'Datos - TIMSS 2023'!$A$5:$A$105,0)),"Pendiente de clasificar")))</f>
        <v/>
      </c>
      <c r="AD485" s="11" t="inlineStr">
        <is>
          <t>2. Construir y evaluar diseños para la indagación científica e interpretar datos y evidencia de forma crítica</t>
        </is>
      </c>
      <c r="AE485" s="11">
        <f>IF(AD485="","",IF(LEFT(AD485,1)="1","C1",IF(LEFT(AD485,1)="2","C2",IF(LEFT(AD485,1)="3","C3",""))))</f>
        <v/>
      </c>
      <c r="AF485" s="11" t="inlineStr">
        <is>
          <t>E1</t>
        </is>
      </c>
      <c r="AG485" s="11" t="inlineStr">
        <is>
          <t>D1</t>
        </is>
      </c>
      <c r="AH485" s="11" t="inlineStr">
        <is>
          <t>E1</t>
        </is>
      </c>
      <c r="AI485" s="11" t="inlineStr">
        <is>
          <t>D4</t>
        </is>
      </c>
      <c r="AJ485" s="11" t="inlineStr">
        <is>
          <t>E3</t>
        </is>
      </c>
      <c r="AK485" s="11" t="inlineStr">
        <is>
          <t>PISA-F1</t>
        </is>
      </c>
      <c r="AL485" s="11" t="n"/>
      <c r="AM485" s="11">
        <f>IF(AK485="FUERA","Fuera del marco",IFERROR(INDEX('Datos - Catálogo PISA'!$C$5:$C$76,MATCH(AK485,'Datos - Catálogo PISA'!$A$5:$A$76,0)),"?"))</f>
        <v/>
      </c>
      <c r="AN485" s="11" t="inlineStr">
        <is>
          <t>Contenido</t>
        </is>
      </c>
      <c r="AO485" s="11" t="n"/>
      <c r="AP485" s="11" t="n"/>
      <c r="AQ485" s="11" t="inlineStr">
        <is>
          <t>Sin contexto</t>
        </is>
      </c>
      <c r="AR485" s="11" t="n"/>
      <c r="AS485" s="11" t="inlineStr">
        <is>
          <t>Media</t>
        </is>
      </c>
      <c r="AT485" s="11" t="inlineStr">
        <is>
          <t>media</t>
        </is>
      </c>
      <c r="AU485" s="11" t="inlineStr">
        <is>
          <t>Cálculo de partículas y moles de una sustancia</t>
        </is>
      </c>
      <c r="AV485" s="11" t="inlineStr">
        <is>
          <t>Ciclo 7°–9°</t>
        </is>
      </c>
      <c r="AW485" s="11">
        <f>AF485&amp;"; "&amp;AG485&amp;"; "&amp;AH485&amp;"; "&amp;AI485&amp;"; "&amp;AJ485</f>
        <v/>
      </c>
    </row>
    <row r="486">
      <c r="A486" s="11" t="inlineStr">
        <is>
          <t>T1120-G08-CIE</t>
        </is>
      </c>
      <c r="B486" s="11" t="n">
        <v>8</v>
      </c>
      <c r="C486" s="11" t="inlineStr">
        <is>
          <t>Ciencias</t>
        </is>
      </c>
      <c r="D486" s="11" t="inlineStr">
        <is>
          <t>Matriz_Ciencias_8vo_Grado_U1_U7.xlsx</t>
        </is>
      </c>
      <c r="E486" s="11" t="inlineStr">
        <is>
          <t>Unidad 4 - Estequiometría y dis</t>
        </is>
      </c>
      <c r="F486" s="11" t="n">
        <v>8</v>
      </c>
      <c r="G486" s="11" t="inlineStr">
        <is>
          <t>4. Estequiometría y dispersiones</t>
        </is>
      </c>
      <c r="H486" s="11" t="inlineStr">
        <is>
          <t>Relaciones estequiométricas</t>
        </is>
      </c>
      <c r="I486" s="38" t="inlineStr">
        <is>
          <t>4.6. Uso de las masas atómicas relativas para calcular la masa molar.</t>
        </is>
      </c>
      <c r="J486" s="11" t="inlineStr">
        <is>
          <t>T8_27</t>
        </is>
      </c>
      <c r="K486" s="11" t="inlineStr">
        <is>
          <t>T8_27-C1.1</t>
        </is>
      </c>
      <c r="L486" s="11" t="inlineStr"/>
      <c r="M486" s="11">
        <f>IF(K486="FUERA","Fuera del marco",IF(K486="N/A","Sin marco",IFERROR(INDEX('Datos - Catálogo TIMSS'!$C$5:$C$107,MATCH(K486,'Datos - Catálogo TIMSS'!$A$5:$A$107,0)),"Pendiente de clasificar")))</f>
        <v/>
      </c>
      <c r="N486" s="11">
        <f>IF(K486="FUERA","Fuera del marco",IF(K486="N/A","Sin marco",IFERROR(INDEX('Datos - Catálogo TIMSS'!$F$5:$F$107,MATCH(K486,'Datos - Catálogo TIMSS'!$A$5:$A$107,0)),"Pendiente de clasificar")))</f>
        <v/>
      </c>
      <c r="O486" s="11">
        <f>IF(L486="","",IFERROR(INDEX('Datos - Catálogo TIMSS'!$C$5:$C$107,MATCH(L486,'Datos - Catálogo TIMSS'!$A$5:$A$107,0)),"?"))</f>
        <v/>
      </c>
      <c r="P486" s="11" t="inlineStr">
        <is>
          <t>media</t>
        </is>
      </c>
      <c r="Q486" s="38" t="inlineStr">
        <is>
          <t>Masa molar desde masas atómicas: composición de moléculas</t>
        </is>
      </c>
      <c r="R486" s="38" t="inlineStr">
        <is>
          <t>Aplicar: calcular</t>
        </is>
      </c>
      <c r="S486" s="39">
        <f>IFERROR(ISNUMBER(SEARCH("Conocer",$R486))/(ISNUMBER(SEARCH("Conocer",$R486))+ISNUMBER(SEARCH("Aplicar",$R486))+ISNUMBER(SEARCH("Razonar",$R486))),0)</f>
        <v/>
      </c>
      <c r="T486" s="39">
        <f>IFERROR(ISNUMBER(SEARCH("Aplicar",$R486))/(ISNUMBER(SEARCH("Conocer",$R486))+ISNUMBER(SEARCH("Aplicar",$R486))+ISNUMBER(SEARCH("Razonar",$R486))),0)</f>
        <v/>
      </c>
      <c r="U486" s="39">
        <f>IFERROR(ISNUMBER(SEARCH("Razonar",$R486))/(ISNUMBER(SEARCH("Conocer",$R486))+ISNUMBER(SEARCH("Aplicar",$R486))+ISNUMBER(SEARCH("Razonar",$R486))),0)</f>
        <v/>
      </c>
      <c r="V486" s="11" t="inlineStr">
        <is>
          <t>8°</t>
        </is>
      </c>
      <c r="W486" s="11" t="inlineStr">
        <is>
          <t>Ciclo 5°–8°</t>
        </is>
      </c>
      <c r="X486" s="11">
        <f>IF(OR(IFERROR(INDEX('Datos - Catálogo TIMSS'!$I$5:$I$107,MATCH(K486,'Datos - Catálogo TIMSS'!$A$5:$A$107,0)),"No")="Sí",IFERROR(INDEX('Datos - Catálogo TIMSS'!$I$5:$I$107,MATCH(L486,'Datos - Catálogo TIMSS'!$A$5:$A$107,0)),"No")="Sí"),1,0)</f>
        <v/>
      </c>
      <c r="Y486" s="11">
        <f>IF(IFERROR(INDEX('Datos - Catálogo TIMSS'!$J$5:$J$107,MATCH(K486,'Datos - Catálogo TIMSS'!$A$5:$A$107,0)),"No")="Sí",1,0)</f>
        <v/>
      </c>
      <c r="Z486" s="11">
        <f>IF(IFERROR(INDEX('Datos - Catálogo TIMSS'!$J$5:$J$107,MATCH(L486,'Datos - Catálogo TIMSS'!$A$5:$A$107,0)),"No")="Sí",1,0)</f>
        <v/>
      </c>
      <c r="AA486" s="11" t="inlineStr">
        <is>
          <t>T8-Q1.1</t>
        </is>
      </c>
      <c r="AB486" s="11" t="inlineStr"/>
      <c r="AC486" s="11">
        <f>IF(AA486="FUERA","Fuera del marco",IF(AA486="N/A","Sin marco",IFERROR(INDEX('Datos - TIMSS 2023'!$C$5:$C$105,MATCH(AA486,'Datos - TIMSS 2023'!$A$5:$A$105,0)),"Pendiente de clasificar")))</f>
        <v/>
      </c>
      <c r="AD486" s="11" t="inlineStr">
        <is>
          <t>2. Construir y evaluar diseños para la indagación científica e interpretar datos y evidencia de forma crítica</t>
        </is>
      </c>
      <c r="AE486" s="11">
        <f>IF(AD486="","",IF(LEFT(AD486,1)="1","C1",IF(LEFT(AD486,1)="2","C2",IF(LEFT(AD486,1)="3","C3",""))))</f>
        <v/>
      </c>
      <c r="AF486" s="11" t="inlineStr">
        <is>
          <t>E1</t>
        </is>
      </c>
      <c r="AG486" s="11" t="inlineStr">
        <is>
          <t>D1</t>
        </is>
      </c>
      <c r="AH486" s="11" t="inlineStr">
        <is>
          <t>E1</t>
        </is>
      </c>
      <c r="AI486" s="11" t="inlineStr">
        <is>
          <t>D4</t>
        </is>
      </c>
      <c r="AJ486" s="11" t="inlineStr">
        <is>
          <t>E3</t>
        </is>
      </c>
      <c r="AK486" s="11" t="inlineStr">
        <is>
          <t>PISA-F1</t>
        </is>
      </c>
      <c r="AL486" s="11" t="n"/>
      <c r="AM486" s="11">
        <f>IF(AK486="FUERA","Fuera del marco",IFERROR(INDEX('Datos - Catálogo PISA'!$C$5:$C$76,MATCH(AK486,'Datos - Catálogo PISA'!$A$5:$A$76,0)),"?"))</f>
        <v/>
      </c>
      <c r="AN486" s="11" t="inlineStr">
        <is>
          <t>Contenido</t>
        </is>
      </c>
      <c r="AO486" s="11" t="n"/>
      <c r="AP486" s="11" t="n"/>
      <c r="AQ486" s="11" t="inlineStr">
        <is>
          <t>Sin contexto</t>
        </is>
      </c>
      <c r="AR486" s="11" t="n"/>
      <c r="AS486" s="11" t="inlineStr">
        <is>
          <t>Baja</t>
        </is>
      </c>
      <c r="AT486" s="11" t="inlineStr">
        <is>
          <t>media</t>
        </is>
      </c>
      <c r="AU486" s="11" t="inlineStr">
        <is>
          <t>Masa molar a partir de masas atómicas</t>
        </is>
      </c>
      <c r="AV486" s="11" t="inlineStr">
        <is>
          <t>Ciclo 7°–9°</t>
        </is>
      </c>
      <c r="AW486" s="11">
        <f>AF486&amp;"; "&amp;AG486&amp;"; "&amp;AH486&amp;"; "&amp;AI486&amp;"; "&amp;AJ486</f>
        <v/>
      </c>
    </row>
    <row r="487">
      <c r="A487" s="11" t="inlineStr">
        <is>
          <t>T1121-G08-CIE</t>
        </is>
      </c>
      <c r="B487" s="11" t="n">
        <v>8</v>
      </c>
      <c r="C487" s="11" t="inlineStr">
        <is>
          <t>Ciencias</t>
        </is>
      </c>
      <c r="D487" s="11" t="inlineStr">
        <is>
          <t>Matriz_Ciencias_8vo_Grado_U1_U7.xlsx</t>
        </is>
      </c>
      <c r="E487" s="11" t="inlineStr">
        <is>
          <t>Unidad 4 - Estequiometría y dis</t>
        </is>
      </c>
      <c r="F487" s="11" t="n">
        <v>9</v>
      </c>
      <c r="G487" s="11" t="inlineStr">
        <is>
          <t>4. Estequiometría y dispersiones</t>
        </is>
      </c>
      <c r="H487" s="11" t="inlineStr">
        <is>
          <t>Relaciones estequiométricas</t>
        </is>
      </c>
      <c r="I487" s="38" t="inlineStr">
        <is>
          <t>4.7. Ejecución de cálculos estequiométricos para determinar cantidades de sustancia en gramos.</t>
        </is>
      </c>
      <c r="J487" s="11" t="inlineStr">
        <is>
          <t>T8_27</t>
        </is>
      </c>
      <c r="K487" s="11" t="inlineStr">
        <is>
          <t>T8_27-C3.2</t>
        </is>
      </c>
      <c r="L487" s="11" t="inlineStr"/>
      <c r="M487" s="11">
        <f>IF(K487="FUERA","Fuera del marco",IF(K487="N/A","Sin marco",IFERROR(INDEX('Datos - Catálogo TIMSS'!$C$5:$C$107,MATCH(K487,'Datos - Catálogo TIMSS'!$A$5:$A$107,0)),"Pendiente de clasificar")))</f>
        <v/>
      </c>
      <c r="N487" s="11">
        <f>IF(K487="FUERA","Fuera del marco",IF(K487="N/A","Sin marco",IFERROR(INDEX('Datos - Catálogo TIMSS'!$F$5:$F$107,MATCH(K487,'Datos - Catálogo TIMSS'!$A$5:$A$107,0)),"Pendiente de clasificar")))</f>
        <v/>
      </c>
      <c r="O487" s="11">
        <f>IF(L487="","",IFERROR(INDEX('Datos - Catálogo TIMSS'!$C$5:$C$107,MATCH(L487,'Datos - Catálogo TIMSS'!$A$5:$A$107,0)),"?"))</f>
        <v/>
      </c>
      <c r="P487" s="11" t="inlineStr">
        <is>
          <t>media</t>
        </is>
      </c>
      <c r="Q487" s="38" t="inlineStr">
        <is>
          <t>Estequiometría: conservación de masa y reordenamiento de átomos</t>
        </is>
      </c>
      <c r="R487" s="38" t="inlineStr">
        <is>
          <t>Aplicar: calcular</t>
        </is>
      </c>
      <c r="S487" s="39">
        <f>IFERROR(ISNUMBER(SEARCH("Conocer",$R487))/(ISNUMBER(SEARCH("Conocer",$R487))+ISNUMBER(SEARCH("Aplicar",$R487))+ISNUMBER(SEARCH("Razonar",$R487))),0)</f>
        <v/>
      </c>
      <c r="T487" s="39">
        <f>IFERROR(ISNUMBER(SEARCH("Aplicar",$R487))/(ISNUMBER(SEARCH("Conocer",$R487))+ISNUMBER(SEARCH("Aplicar",$R487))+ISNUMBER(SEARCH("Razonar",$R487))),0)</f>
        <v/>
      </c>
      <c r="U487" s="39">
        <f>IFERROR(ISNUMBER(SEARCH("Razonar",$R487))/(ISNUMBER(SEARCH("Conocer",$R487))+ISNUMBER(SEARCH("Aplicar",$R487))+ISNUMBER(SEARCH("Razonar",$R487))),0)</f>
        <v/>
      </c>
      <c r="V487" s="11" t="inlineStr">
        <is>
          <t>8°</t>
        </is>
      </c>
      <c r="W487" s="11" t="inlineStr">
        <is>
          <t>Ciclo 5°–8°</t>
        </is>
      </c>
      <c r="X487" s="11">
        <f>IF(OR(IFERROR(INDEX('Datos - Catálogo TIMSS'!$I$5:$I$107,MATCH(K487,'Datos - Catálogo TIMSS'!$A$5:$A$107,0)),"No")="Sí",IFERROR(INDEX('Datos - Catálogo TIMSS'!$I$5:$I$107,MATCH(L487,'Datos - Catálogo TIMSS'!$A$5:$A$107,0)),"No")="Sí"),1,0)</f>
        <v/>
      </c>
      <c r="Y487" s="11">
        <f>IF(IFERROR(INDEX('Datos - Catálogo TIMSS'!$J$5:$J$107,MATCH(K487,'Datos - Catálogo TIMSS'!$A$5:$A$107,0)),"No")="Sí",1,0)</f>
        <v/>
      </c>
      <c r="Z487" s="11">
        <f>IF(IFERROR(INDEX('Datos - Catálogo TIMSS'!$J$5:$J$107,MATCH(L487,'Datos - Catálogo TIMSS'!$A$5:$A$107,0)),"No")="Sí",1,0)</f>
        <v/>
      </c>
      <c r="AA487" s="11" t="inlineStr">
        <is>
          <t>T8-Q3.2</t>
        </is>
      </c>
      <c r="AB487" s="11" t="inlineStr"/>
      <c r="AC487" s="11">
        <f>IF(AA487="FUERA","Fuera del marco",IF(AA487="N/A","Sin marco",IFERROR(INDEX('Datos - TIMSS 2023'!$C$5:$C$105,MATCH(AA487,'Datos - TIMSS 2023'!$A$5:$A$105,0)),"Pendiente de clasificar")))</f>
        <v/>
      </c>
      <c r="AD487" s="11" t="inlineStr">
        <is>
          <t>2. Construir y evaluar diseños para la indagación científica e interpretar datos y evidencia de forma crítica</t>
        </is>
      </c>
      <c r="AE487" s="11">
        <f>IF(AD487="","",IF(LEFT(AD487,1)="1","C1",IF(LEFT(AD487,1)="2","C2",IF(LEFT(AD487,1)="3","C3",""))))</f>
        <v/>
      </c>
      <c r="AF487" s="11" t="inlineStr">
        <is>
          <t>E1</t>
        </is>
      </c>
      <c r="AG487" s="11" t="inlineStr">
        <is>
          <t>D1</t>
        </is>
      </c>
      <c r="AH487" s="11" t="inlineStr">
        <is>
          <t>E1</t>
        </is>
      </c>
      <c r="AI487" s="11" t="inlineStr">
        <is>
          <t>D4</t>
        </is>
      </c>
      <c r="AJ487" s="11" t="inlineStr">
        <is>
          <t>E3</t>
        </is>
      </c>
      <c r="AK487" s="11" t="inlineStr">
        <is>
          <t>PISA-F2</t>
        </is>
      </c>
      <c r="AL487" s="11" t="n"/>
      <c r="AM487" s="11">
        <f>IF(AK487="FUERA","Fuera del marco",IFERROR(INDEX('Datos - Catálogo PISA'!$C$5:$C$76,MATCH(AK487,'Datos - Catálogo PISA'!$A$5:$A$76,0)),"?"))</f>
        <v/>
      </c>
      <c r="AN487" s="11" t="inlineStr">
        <is>
          <t>Contenido</t>
        </is>
      </c>
      <c r="AO487" s="11" t="n"/>
      <c r="AP487" s="11" t="n"/>
      <c r="AQ487" s="11" t="inlineStr">
        <is>
          <t>Sin contexto</t>
        </is>
      </c>
      <c r="AR487" s="11" t="n"/>
      <c r="AS487" s="11" t="inlineStr">
        <is>
          <t>Media</t>
        </is>
      </c>
      <c r="AT487" s="11" t="inlineStr">
        <is>
          <t>alta</t>
        </is>
      </c>
      <c r="AU487" s="11" t="inlineStr">
        <is>
          <t>Cálculos estequiométricos de reacciones químicas</t>
        </is>
      </c>
      <c r="AV487" s="11" t="inlineStr">
        <is>
          <t>Ciclo 7°–9°</t>
        </is>
      </c>
      <c r="AW487" s="11">
        <f>AF487&amp;"; "&amp;AG487&amp;"; "&amp;AH487&amp;"; "&amp;AI487&amp;"; "&amp;AJ487</f>
        <v/>
      </c>
    </row>
    <row r="488">
      <c r="A488" s="11" t="inlineStr">
        <is>
          <t>T1122-G08-CIE</t>
        </is>
      </c>
      <c r="B488" s="11" t="n">
        <v>8</v>
      </c>
      <c r="C488" s="11" t="inlineStr">
        <is>
          <t>Ciencias</t>
        </is>
      </c>
      <c r="D488" s="11" t="inlineStr">
        <is>
          <t>Matriz_Ciencias_8vo_Grado_U1_U7.xlsx</t>
        </is>
      </c>
      <c r="E488" s="11" t="inlineStr">
        <is>
          <t>Unidad 4 - Estequiometría y dis</t>
        </is>
      </c>
      <c r="F488" s="11" t="n">
        <v>10</v>
      </c>
      <c r="G488" s="11" t="inlineStr">
        <is>
          <t>4. Estequiometría y dispersiones</t>
        </is>
      </c>
      <c r="H488" s="11" t="inlineStr">
        <is>
          <t>Relaciones estequiométricas</t>
        </is>
      </c>
      <c r="I488" s="38" t="inlineStr">
        <is>
          <t>4.8. Interpretación de resultados de cálculos estequiométricos.</t>
        </is>
      </c>
      <c r="J488" s="11" t="inlineStr">
        <is>
          <t>T8_27</t>
        </is>
      </c>
      <c r="K488" s="11" t="inlineStr">
        <is>
          <t>T8_27-C3.2</t>
        </is>
      </c>
      <c r="L488" s="11" t="inlineStr"/>
      <c r="M488" s="11">
        <f>IF(K488="FUERA","Fuera del marco",IF(K488="N/A","Sin marco",IFERROR(INDEX('Datos - Catálogo TIMSS'!$C$5:$C$107,MATCH(K488,'Datos - Catálogo TIMSS'!$A$5:$A$107,0)),"Pendiente de clasificar")))</f>
        <v/>
      </c>
      <c r="N488" s="11">
        <f>IF(K488="FUERA","Fuera del marco",IF(K488="N/A","Sin marco",IFERROR(INDEX('Datos - Catálogo TIMSS'!$F$5:$F$107,MATCH(K488,'Datos - Catálogo TIMSS'!$A$5:$A$107,0)),"Pendiente de clasificar")))</f>
        <v/>
      </c>
      <c r="O488" s="11">
        <f>IF(L488="","",IFERROR(INDEX('Datos - Catálogo TIMSS'!$C$5:$C$107,MATCH(L488,'Datos - Catálogo TIMSS'!$A$5:$A$107,0)),"?"))</f>
        <v/>
      </c>
      <c r="P488" s="11" t="inlineStr">
        <is>
          <t>media</t>
        </is>
      </c>
      <c r="Q488" s="38" t="inlineStr">
        <is>
          <t>Interpretar resultados estequiométricos: conservación de masa en reacciones</t>
        </is>
      </c>
      <c r="R488" s="38" t="inlineStr">
        <is>
          <t>Razonar: interpretar resultados</t>
        </is>
      </c>
      <c r="S488" s="39">
        <f>IFERROR(ISNUMBER(SEARCH("Conocer",$R488))/(ISNUMBER(SEARCH("Conocer",$R488))+ISNUMBER(SEARCH("Aplicar",$R488))+ISNUMBER(SEARCH("Razonar",$R488))),0)</f>
        <v/>
      </c>
      <c r="T488" s="39">
        <f>IFERROR(ISNUMBER(SEARCH("Aplicar",$R488))/(ISNUMBER(SEARCH("Conocer",$R488))+ISNUMBER(SEARCH("Aplicar",$R488))+ISNUMBER(SEARCH("Razonar",$R488))),0)</f>
        <v/>
      </c>
      <c r="U488" s="39">
        <f>IFERROR(ISNUMBER(SEARCH("Razonar",$R488))/(ISNUMBER(SEARCH("Conocer",$R488))+ISNUMBER(SEARCH("Aplicar",$R488))+ISNUMBER(SEARCH("Razonar",$R488))),0)</f>
        <v/>
      </c>
      <c r="V488" s="11" t="inlineStr">
        <is>
          <t>8°</t>
        </is>
      </c>
      <c r="W488" s="11" t="inlineStr">
        <is>
          <t>Ciclo 5°–8°</t>
        </is>
      </c>
      <c r="X488" s="11">
        <f>IF(OR(IFERROR(INDEX('Datos - Catálogo TIMSS'!$I$5:$I$107,MATCH(K488,'Datos - Catálogo TIMSS'!$A$5:$A$107,0)),"No")="Sí",IFERROR(INDEX('Datos - Catálogo TIMSS'!$I$5:$I$107,MATCH(L488,'Datos - Catálogo TIMSS'!$A$5:$A$107,0)),"No")="Sí"),1,0)</f>
        <v/>
      </c>
      <c r="Y488" s="11">
        <f>IF(IFERROR(INDEX('Datos - Catálogo TIMSS'!$J$5:$J$107,MATCH(K488,'Datos - Catálogo TIMSS'!$A$5:$A$107,0)),"No")="Sí",1,0)</f>
        <v/>
      </c>
      <c r="Z488" s="11">
        <f>IF(IFERROR(INDEX('Datos - Catálogo TIMSS'!$J$5:$J$107,MATCH(L488,'Datos - Catálogo TIMSS'!$A$5:$A$107,0)),"No")="Sí",1,0)</f>
        <v/>
      </c>
      <c r="AA488" s="11" t="inlineStr">
        <is>
          <t>T8-Q3.2</t>
        </is>
      </c>
      <c r="AB488" s="11" t="inlineStr"/>
      <c r="AC488" s="11">
        <f>IF(AA488="FUERA","Fuera del marco",IF(AA488="N/A","Sin marco",IFERROR(INDEX('Datos - TIMSS 2023'!$C$5:$C$105,MATCH(AA488,'Datos - TIMSS 2023'!$A$5:$A$105,0)),"Pendiente de clasificar")))</f>
        <v/>
      </c>
      <c r="AD488" s="11" t="inlineStr">
        <is>
          <t>2. Construir y evaluar diseños para la indagación científica e interpretar datos y evidencia de forma crítica</t>
        </is>
      </c>
      <c r="AE488" s="11">
        <f>IF(AD488="","",IF(LEFT(AD488,1)="1","C1",IF(LEFT(AD488,1)="2","C2",IF(LEFT(AD488,1)="3","C3",""))))</f>
        <v/>
      </c>
      <c r="AF488" s="11" t="inlineStr">
        <is>
          <t>E1</t>
        </is>
      </c>
      <c r="AG488" s="11" t="inlineStr">
        <is>
          <t>D1</t>
        </is>
      </c>
      <c r="AH488" s="11" t="inlineStr">
        <is>
          <t>E1</t>
        </is>
      </c>
      <c r="AI488" s="11" t="inlineStr">
        <is>
          <t>D4</t>
        </is>
      </c>
      <c r="AJ488" s="11" t="inlineStr">
        <is>
          <t>I4</t>
        </is>
      </c>
      <c r="AK488" s="11" t="inlineStr">
        <is>
          <t>PISA-F2</t>
        </is>
      </c>
      <c r="AL488" s="11" t="n"/>
      <c r="AM488" s="11">
        <f>IF(AK488="FUERA","Fuera del marco",IFERROR(INDEX('Datos - Catálogo PISA'!$C$5:$C$76,MATCH(AK488,'Datos - Catálogo PISA'!$A$5:$A$76,0)),"?"))</f>
        <v/>
      </c>
      <c r="AN488" s="11" t="inlineStr">
        <is>
          <t>Contenido</t>
        </is>
      </c>
      <c r="AO488" s="11" t="n"/>
      <c r="AP488" s="11" t="n"/>
      <c r="AQ488" s="11" t="inlineStr">
        <is>
          <t>Sin contexto</t>
        </is>
      </c>
      <c r="AR488" s="11" t="n"/>
      <c r="AS488" s="11" t="inlineStr">
        <is>
          <t>Media</t>
        </is>
      </c>
      <c r="AT488" s="11" t="inlineStr">
        <is>
          <t>alta</t>
        </is>
      </c>
      <c r="AU488" s="11" t="inlineStr">
        <is>
          <t>Interpretación de resultados estequiométricos y rendimiento</t>
        </is>
      </c>
      <c r="AV488" s="11" t="inlineStr">
        <is>
          <t>Ciclo 7°–9°</t>
        </is>
      </c>
      <c r="AW488" s="11">
        <f>AF488&amp;"; "&amp;AG488&amp;"; "&amp;AH488&amp;"; "&amp;AI488&amp;"; "&amp;AJ488</f>
        <v/>
      </c>
    </row>
    <row r="489">
      <c r="A489" s="11" t="inlineStr">
        <is>
          <t>T1123-G08-CIE</t>
        </is>
      </c>
      <c r="B489" s="11" t="n">
        <v>8</v>
      </c>
      <c r="C489" s="11" t="inlineStr">
        <is>
          <t>Ciencias</t>
        </is>
      </c>
      <c r="D489" s="11" t="inlineStr">
        <is>
          <t>Matriz_Ciencias_8vo_Grado_U1_U7.xlsx</t>
        </is>
      </c>
      <c r="E489" s="11" t="inlineStr">
        <is>
          <t>Unidad 4 - Estequiometría y dis</t>
        </is>
      </c>
      <c r="F489" s="11" t="n">
        <v>11</v>
      </c>
      <c r="G489" s="11" t="inlineStr">
        <is>
          <t>4. Estequiometría y dispersiones</t>
        </is>
      </c>
      <c r="H489" s="11" t="inlineStr">
        <is>
          <t>Unidades químicas de concentración</t>
        </is>
      </c>
      <c r="I489" s="38" t="inlineStr">
        <is>
          <t>4.9. Identificación de las unidades químicas de concentración en sustancias de uso cotidiano.</t>
        </is>
      </c>
      <c r="J489" s="11" t="inlineStr">
        <is>
          <t>T8_27</t>
        </is>
      </c>
      <c r="K489" s="11" t="inlineStr">
        <is>
          <t>T8_27-C2.2</t>
        </is>
      </c>
      <c r="L489" s="11" t="inlineStr"/>
      <c r="M489" s="11">
        <f>IF(K489="FUERA","Fuera del marco",IF(K489="N/A","Sin marco",IFERROR(INDEX('Datos - Catálogo TIMSS'!$C$5:$C$107,MATCH(K489,'Datos - Catálogo TIMSS'!$A$5:$A$107,0)),"Pendiente de clasificar")))</f>
        <v/>
      </c>
      <c r="N489" s="11">
        <f>IF(K489="FUERA","Fuera del marco",IF(K489="N/A","Sin marco",IFERROR(INDEX('Datos - Catálogo TIMSS'!$F$5:$F$107,MATCH(K489,'Datos - Catálogo TIMSS'!$A$5:$A$107,0)),"Pendiente de clasificar")))</f>
        <v/>
      </c>
      <c r="O489" s="11">
        <f>IF(L489="","",IFERROR(INDEX('Datos - Catálogo TIMSS'!$C$5:$C$107,MATCH(L489,'Datos - Catálogo TIMSS'!$A$5:$A$107,0)),"?"))</f>
        <v/>
      </c>
      <c r="P489" s="11" t="inlineStr">
        <is>
          <t>alta</t>
        </is>
      </c>
      <c r="Q489" s="38" t="inlineStr">
        <is>
          <t>Unidades químicas de concentración de disoluciones</t>
        </is>
      </c>
      <c r="R489" s="38" t="inlineStr">
        <is>
          <t>Conocer: identificar</t>
        </is>
      </c>
      <c r="S489" s="39">
        <f>IFERROR(ISNUMBER(SEARCH("Conocer",$R489))/(ISNUMBER(SEARCH("Conocer",$R489))+ISNUMBER(SEARCH("Aplicar",$R489))+ISNUMBER(SEARCH("Razonar",$R489))),0)</f>
        <v/>
      </c>
      <c r="T489" s="39">
        <f>IFERROR(ISNUMBER(SEARCH("Aplicar",$R489))/(ISNUMBER(SEARCH("Conocer",$R489))+ISNUMBER(SEARCH("Aplicar",$R489))+ISNUMBER(SEARCH("Razonar",$R489))),0)</f>
        <v/>
      </c>
      <c r="U489" s="39">
        <f>IFERROR(ISNUMBER(SEARCH("Razonar",$R489))/(ISNUMBER(SEARCH("Conocer",$R489))+ISNUMBER(SEARCH("Aplicar",$R489))+ISNUMBER(SEARCH("Razonar",$R489))),0)</f>
        <v/>
      </c>
      <c r="V489" s="11" t="inlineStr">
        <is>
          <t>8°</t>
        </is>
      </c>
      <c r="W489" s="11" t="inlineStr">
        <is>
          <t>Ciclo 5°–8°</t>
        </is>
      </c>
      <c r="X489" s="11">
        <f>IF(OR(IFERROR(INDEX('Datos - Catálogo TIMSS'!$I$5:$I$107,MATCH(K489,'Datos - Catálogo TIMSS'!$A$5:$A$107,0)),"No")="Sí",IFERROR(INDEX('Datos - Catálogo TIMSS'!$I$5:$I$107,MATCH(L489,'Datos - Catálogo TIMSS'!$A$5:$A$107,0)),"No")="Sí"),1,0)</f>
        <v/>
      </c>
      <c r="Y489" s="11">
        <f>IF(IFERROR(INDEX('Datos - Catálogo TIMSS'!$J$5:$J$107,MATCH(K489,'Datos - Catálogo TIMSS'!$A$5:$A$107,0)),"No")="Sí",1,0)</f>
        <v/>
      </c>
      <c r="Z489" s="11">
        <f>IF(IFERROR(INDEX('Datos - Catálogo TIMSS'!$J$5:$J$107,MATCH(L489,'Datos - Catálogo TIMSS'!$A$5:$A$107,0)),"No")="Sí",1,0)</f>
        <v/>
      </c>
      <c r="AA489" s="11" t="inlineStr">
        <is>
          <t>T8-Q2.3</t>
        </is>
      </c>
      <c r="AB489" s="11" t="inlineStr"/>
      <c r="AC489" s="11">
        <f>IF(AA489="FUERA","Fuera del marco",IF(AA489="N/A","Sin marco",IFERROR(INDEX('Datos - TIMSS 2023'!$C$5:$C$105,MATCH(AA489,'Datos - TIMSS 2023'!$A$5:$A$105,0)),"Pendiente de clasificar")))</f>
        <v/>
      </c>
      <c r="AD489" s="11" t="inlineStr">
        <is>
          <t>2. Construir y evaluar diseños para la indagación científica e interpretar datos y evidencia de forma crítica</t>
        </is>
      </c>
      <c r="AE489" s="11">
        <f>IF(AD489="","",IF(LEFT(AD489,1)="1","C1",IF(LEFT(AD489,1)="2","C2",IF(LEFT(AD489,1)="3","C3",""))))</f>
        <v/>
      </c>
      <c r="AF489" s="11" t="inlineStr">
        <is>
          <t>E1</t>
        </is>
      </c>
      <c r="AG489" s="11" t="inlineStr">
        <is>
          <t>D1</t>
        </is>
      </c>
      <c r="AH489" s="11" t="inlineStr">
        <is>
          <t>E1</t>
        </is>
      </c>
      <c r="AI489" s="11" t="inlineStr">
        <is>
          <t>D4</t>
        </is>
      </c>
      <c r="AJ489" s="11" t="inlineStr">
        <is>
          <t>E1</t>
        </is>
      </c>
      <c r="AK489" s="11" t="inlineStr">
        <is>
          <t>PISA-F1</t>
        </is>
      </c>
      <c r="AL489" s="11" t="n"/>
      <c r="AM489" s="11">
        <f>IF(AK489="FUERA","Fuera del marco",IFERROR(INDEX('Datos - Catálogo PISA'!$C$5:$C$76,MATCH(AK489,'Datos - Catálogo PISA'!$A$5:$A$76,0)),"?"))</f>
        <v/>
      </c>
      <c r="AN489" s="11" t="inlineStr">
        <is>
          <t>Contenido</t>
        </is>
      </c>
      <c r="AO489" s="11" t="n"/>
      <c r="AP489" s="11" t="n"/>
      <c r="AQ489" s="11" t="inlineStr">
        <is>
          <t>Personal</t>
        </is>
      </c>
      <c r="AR489" s="11" t="inlineStr">
        <is>
          <t>Salud y enfermedad</t>
        </is>
      </c>
      <c r="AS489" s="11" t="inlineStr">
        <is>
          <t>Baja</t>
        </is>
      </c>
      <c r="AT489" s="11" t="inlineStr">
        <is>
          <t>media</t>
        </is>
      </c>
      <c r="AU489" s="11" t="inlineStr">
        <is>
          <t>Unidades químicas de concentración en sustancias cotidianas</t>
        </is>
      </c>
      <c r="AV489" s="11" t="inlineStr">
        <is>
          <t>Ciclo 7°–9°</t>
        </is>
      </c>
      <c r="AW489" s="11">
        <f>AF489&amp;"; "&amp;AG489&amp;"; "&amp;AH489&amp;"; "&amp;AI489&amp;"; "&amp;AJ489</f>
        <v/>
      </c>
    </row>
    <row r="490">
      <c r="A490" s="11" t="inlineStr">
        <is>
          <t>T1124-G08-CIE</t>
        </is>
      </c>
      <c r="B490" s="11" t="n">
        <v>8</v>
      </c>
      <c r="C490" s="11" t="inlineStr">
        <is>
          <t>Ciencias</t>
        </is>
      </c>
      <c r="D490" s="11" t="inlineStr">
        <is>
          <t>Matriz_Ciencias_8vo_Grado_U1_U7.xlsx</t>
        </is>
      </c>
      <c r="E490" s="11" t="inlineStr">
        <is>
          <t>Unidad 4 - Estequiometría y dis</t>
        </is>
      </c>
      <c r="F490" s="11" t="n">
        <v>12</v>
      </c>
      <c r="G490" s="11" t="inlineStr">
        <is>
          <t>4. Estequiometría y dispersiones</t>
        </is>
      </c>
      <c r="H490" s="11" t="inlineStr">
        <is>
          <t>Unidades químicas de concentración</t>
        </is>
      </c>
      <c r="I490" s="38" t="inlineStr">
        <is>
          <t>4.10. Cálculo de concentraciones, gramos y moles de soluto empleando unidades químicas de concentración.</t>
        </is>
      </c>
      <c r="J490" s="11" t="inlineStr">
        <is>
          <t>T8_27</t>
        </is>
      </c>
      <c r="K490" s="11" t="inlineStr">
        <is>
          <t>T8_27-C2.2</t>
        </is>
      </c>
      <c r="L490" s="11" t="inlineStr"/>
      <c r="M490" s="11">
        <f>IF(K490="FUERA","Fuera del marco",IF(K490="N/A","Sin marco",IFERROR(INDEX('Datos - Catálogo TIMSS'!$C$5:$C$107,MATCH(K490,'Datos - Catálogo TIMSS'!$A$5:$A$107,0)),"Pendiente de clasificar")))</f>
        <v/>
      </c>
      <c r="N490" s="11">
        <f>IF(K490="FUERA","Fuera del marco",IF(K490="N/A","Sin marco",IFERROR(INDEX('Datos - Catálogo TIMSS'!$F$5:$F$107,MATCH(K490,'Datos - Catálogo TIMSS'!$A$5:$A$107,0)),"Pendiente de clasificar")))</f>
        <v/>
      </c>
      <c r="O490" s="11">
        <f>IF(L490="","",IFERROR(INDEX('Datos - Catálogo TIMSS'!$C$5:$C$107,MATCH(L490,'Datos - Catálogo TIMSS'!$A$5:$A$107,0)),"?"))</f>
        <v/>
      </c>
      <c r="P490" s="11" t="inlineStr">
        <is>
          <t>alta</t>
        </is>
      </c>
      <c r="Q490" s="38" t="inlineStr">
        <is>
          <t>Cálculos de concentración y preparación de disoluciones</t>
        </is>
      </c>
      <c r="R490" s="38" t="inlineStr">
        <is>
          <t>Aplicar: calcular y preparar</t>
        </is>
      </c>
      <c r="S490" s="39">
        <f>IFERROR(ISNUMBER(SEARCH("Conocer",$R490))/(ISNUMBER(SEARCH("Conocer",$R490))+ISNUMBER(SEARCH("Aplicar",$R490))+ISNUMBER(SEARCH("Razonar",$R490))),0)</f>
        <v/>
      </c>
      <c r="T490" s="39">
        <f>IFERROR(ISNUMBER(SEARCH("Aplicar",$R490))/(ISNUMBER(SEARCH("Conocer",$R490))+ISNUMBER(SEARCH("Aplicar",$R490))+ISNUMBER(SEARCH("Razonar",$R490))),0)</f>
        <v/>
      </c>
      <c r="U490" s="39">
        <f>IFERROR(ISNUMBER(SEARCH("Razonar",$R490))/(ISNUMBER(SEARCH("Conocer",$R490))+ISNUMBER(SEARCH("Aplicar",$R490))+ISNUMBER(SEARCH("Razonar",$R490))),0)</f>
        <v/>
      </c>
      <c r="V490" s="11" t="inlineStr">
        <is>
          <t>8°</t>
        </is>
      </c>
      <c r="W490" s="11" t="inlineStr">
        <is>
          <t>Ciclo 5°–8°</t>
        </is>
      </c>
      <c r="X490" s="11">
        <f>IF(OR(IFERROR(INDEX('Datos - Catálogo TIMSS'!$I$5:$I$107,MATCH(K490,'Datos - Catálogo TIMSS'!$A$5:$A$107,0)),"No")="Sí",IFERROR(INDEX('Datos - Catálogo TIMSS'!$I$5:$I$107,MATCH(L490,'Datos - Catálogo TIMSS'!$A$5:$A$107,0)),"No")="Sí"),1,0)</f>
        <v/>
      </c>
      <c r="Y490" s="11">
        <f>IF(IFERROR(INDEX('Datos - Catálogo TIMSS'!$J$5:$J$107,MATCH(K490,'Datos - Catálogo TIMSS'!$A$5:$A$107,0)),"No")="Sí",1,0)</f>
        <v/>
      </c>
      <c r="Z490" s="11">
        <f>IF(IFERROR(INDEX('Datos - Catálogo TIMSS'!$J$5:$J$107,MATCH(L490,'Datos - Catálogo TIMSS'!$A$5:$A$107,0)),"No")="Sí",1,0)</f>
        <v/>
      </c>
      <c r="AA490" s="11" t="inlineStr">
        <is>
          <t>T8-Q2.3</t>
        </is>
      </c>
      <c r="AB490" s="11" t="inlineStr"/>
      <c r="AC490" s="11">
        <f>IF(AA490="FUERA","Fuera del marco",IF(AA490="N/A","Sin marco",IFERROR(INDEX('Datos - TIMSS 2023'!$C$5:$C$105,MATCH(AA490,'Datos - TIMSS 2023'!$A$5:$A$105,0)),"Pendiente de clasificar")))</f>
        <v/>
      </c>
      <c r="AD490" s="11" t="inlineStr">
        <is>
          <t>2. Construir y evaluar diseños para la indagación científica e interpretar datos y evidencia de forma crítica</t>
        </is>
      </c>
      <c r="AE490" s="11">
        <f>IF(AD490="","",IF(LEFT(AD490,1)="1","C1",IF(LEFT(AD490,1)="2","C2",IF(LEFT(AD490,1)="3","C3",""))))</f>
        <v/>
      </c>
      <c r="AF490" s="11" t="inlineStr">
        <is>
          <t>E1</t>
        </is>
      </c>
      <c r="AG490" s="11" t="inlineStr">
        <is>
          <t>D1</t>
        </is>
      </c>
      <c r="AH490" s="11" t="inlineStr">
        <is>
          <t>E1</t>
        </is>
      </c>
      <c r="AI490" s="11" t="inlineStr">
        <is>
          <t>D4</t>
        </is>
      </c>
      <c r="AJ490" s="11" t="inlineStr">
        <is>
          <t>E3</t>
        </is>
      </c>
      <c r="AK490" s="11" t="inlineStr">
        <is>
          <t>PISA-F1</t>
        </is>
      </c>
      <c r="AL490" s="11" t="n"/>
      <c r="AM490" s="11">
        <f>IF(AK490="FUERA","Fuera del marco",IFERROR(INDEX('Datos - Catálogo PISA'!$C$5:$C$76,MATCH(AK490,'Datos - Catálogo PISA'!$A$5:$A$76,0)),"?"))</f>
        <v/>
      </c>
      <c r="AN490" s="11" t="inlineStr">
        <is>
          <t>Contenido</t>
        </is>
      </c>
      <c r="AO490" s="11" t="n"/>
      <c r="AP490" s="11" t="n"/>
      <c r="AQ490" s="11" t="inlineStr">
        <is>
          <t>Sin contexto</t>
        </is>
      </c>
      <c r="AR490" s="11" t="n"/>
      <c r="AS490" s="11" t="inlineStr">
        <is>
          <t>Media</t>
        </is>
      </c>
      <c r="AT490" s="11" t="inlineStr">
        <is>
          <t>media</t>
        </is>
      </c>
      <c r="AU490" s="11" t="inlineStr">
        <is>
          <t>Cálculos de molaridad y preparación de solución</t>
        </is>
      </c>
      <c r="AV490" s="11" t="inlineStr">
        <is>
          <t>Ciclo 7°–9°</t>
        </is>
      </c>
      <c r="AW490" s="11">
        <f>AF490&amp;"; "&amp;AG490&amp;"; "&amp;AH490&amp;"; "&amp;AI490&amp;"; "&amp;AJ490</f>
        <v/>
      </c>
    </row>
    <row r="491">
      <c r="A491" s="11" t="inlineStr">
        <is>
          <t>T1125-G08-CIE</t>
        </is>
      </c>
      <c r="B491" s="11" t="n">
        <v>8</v>
      </c>
      <c r="C491" s="11" t="inlineStr">
        <is>
          <t>Ciencias</t>
        </is>
      </c>
      <c r="D491" s="11" t="inlineStr">
        <is>
          <t>Matriz_Ciencias_8vo_Grado_U1_U7.xlsx</t>
        </is>
      </c>
      <c r="E491" s="11" t="inlineStr">
        <is>
          <t>Unidad 4 - Estequiometría y dis</t>
        </is>
      </c>
      <c r="F491" s="11" t="n">
        <v>13</v>
      </c>
      <c r="G491" s="11" t="inlineStr">
        <is>
          <t>4. Estequiometría y dispersiones</t>
        </is>
      </c>
      <c r="H491" s="11" t="inlineStr">
        <is>
          <t>Unidades químicas de concentración</t>
        </is>
      </c>
      <c r="I491" s="38" t="inlineStr">
        <is>
          <t>4.11. Reconocimiento de las aplicaciones industriales de las unidades químicas de concentración.</t>
        </is>
      </c>
      <c r="J491" s="11" t="inlineStr">
        <is>
          <t>T8_27</t>
        </is>
      </c>
      <c r="K491" s="11" t="inlineStr">
        <is>
          <t>T8_27-C2.2</t>
        </is>
      </c>
      <c r="L491" s="11" t="inlineStr"/>
      <c r="M491" s="11">
        <f>IF(K491="FUERA","Fuera del marco",IF(K491="N/A","Sin marco",IFERROR(INDEX('Datos - Catálogo TIMSS'!$C$5:$C$107,MATCH(K491,'Datos - Catálogo TIMSS'!$A$5:$A$107,0)),"Pendiente de clasificar")))</f>
        <v/>
      </c>
      <c r="N491" s="11">
        <f>IF(K491="FUERA","Fuera del marco",IF(K491="N/A","Sin marco",IFERROR(INDEX('Datos - Catálogo TIMSS'!$F$5:$F$107,MATCH(K491,'Datos - Catálogo TIMSS'!$A$5:$A$107,0)),"Pendiente de clasificar")))</f>
        <v/>
      </c>
      <c r="O491" s="11">
        <f>IF(L491="","",IFERROR(INDEX('Datos - Catálogo TIMSS'!$C$5:$C$107,MATCH(L491,'Datos - Catálogo TIMSS'!$A$5:$A$107,0)),"?"))</f>
        <v/>
      </c>
      <c r="P491" s="11" t="inlineStr">
        <is>
          <t>media</t>
        </is>
      </c>
      <c r="Q491" s="38" t="inlineStr">
        <is>
          <t>Aplicaciones industriales de la concentración de disoluciones</t>
        </is>
      </c>
      <c r="R491" s="38" t="inlineStr">
        <is>
          <t>Aplicar: relacionar</t>
        </is>
      </c>
      <c r="S491" s="39">
        <f>IFERROR(ISNUMBER(SEARCH("Conocer",$R491))/(ISNUMBER(SEARCH("Conocer",$R491))+ISNUMBER(SEARCH("Aplicar",$R491))+ISNUMBER(SEARCH("Razonar",$R491))),0)</f>
        <v/>
      </c>
      <c r="T491" s="39">
        <f>IFERROR(ISNUMBER(SEARCH("Aplicar",$R491))/(ISNUMBER(SEARCH("Conocer",$R491))+ISNUMBER(SEARCH("Aplicar",$R491))+ISNUMBER(SEARCH("Razonar",$R491))),0)</f>
        <v/>
      </c>
      <c r="U491" s="39">
        <f>IFERROR(ISNUMBER(SEARCH("Razonar",$R491))/(ISNUMBER(SEARCH("Conocer",$R491))+ISNUMBER(SEARCH("Aplicar",$R491))+ISNUMBER(SEARCH("Razonar",$R491))),0)</f>
        <v/>
      </c>
      <c r="V491" s="11" t="inlineStr">
        <is>
          <t>8°</t>
        </is>
      </c>
      <c r="W491" s="11" t="inlineStr">
        <is>
          <t>Ciclo 5°–8°</t>
        </is>
      </c>
      <c r="X491" s="11">
        <f>IF(OR(IFERROR(INDEX('Datos - Catálogo TIMSS'!$I$5:$I$107,MATCH(K491,'Datos - Catálogo TIMSS'!$A$5:$A$107,0)),"No")="Sí",IFERROR(INDEX('Datos - Catálogo TIMSS'!$I$5:$I$107,MATCH(L491,'Datos - Catálogo TIMSS'!$A$5:$A$107,0)),"No")="Sí"),1,0)</f>
        <v/>
      </c>
      <c r="Y491" s="11">
        <f>IF(IFERROR(INDEX('Datos - Catálogo TIMSS'!$J$5:$J$107,MATCH(K491,'Datos - Catálogo TIMSS'!$A$5:$A$107,0)),"No")="Sí",1,0)</f>
        <v/>
      </c>
      <c r="Z491" s="11">
        <f>IF(IFERROR(INDEX('Datos - Catálogo TIMSS'!$J$5:$J$107,MATCH(L491,'Datos - Catálogo TIMSS'!$A$5:$A$107,0)),"No")="Sí",1,0)</f>
        <v/>
      </c>
      <c r="AA491" s="11" t="inlineStr">
        <is>
          <t>T8-Q2.3</t>
        </is>
      </c>
      <c r="AB491" s="11" t="inlineStr"/>
      <c r="AC491" s="11">
        <f>IF(AA491="FUERA","Fuera del marco",IF(AA491="N/A","Sin marco",IFERROR(INDEX('Datos - TIMSS 2023'!$C$5:$C$105,MATCH(AA491,'Datos - TIMSS 2023'!$A$5:$A$105,0)),"Pendiente de clasificar")))</f>
        <v/>
      </c>
      <c r="AD491" s="11" t="inlineStr">
        <is>
          <t>3. Investigar, evaluar y usar información científica para tomar decisiones y actuar</t>
        </is>
      </c>
      <c r="AE491" s="11">
        <f>IF(AD491="","",IF(LEFT(AD491,1)="1","C1",IF(LEFT(AD491,1)="2","C2",IF(LEFT(AD491,1)="3","C3",""))))</f>
        <v/>
      </c>
      <c r="AF491" s="11" t="inlineStr">
        <is>
          <t>E1</t>
        </is>
      </c>
      <c r="AG491" s="11" t="inlineStr">
        <is>
          <t>D1</t>
        </is>
      </c>
      <c r="AH491" s="11" t="inlineStr">
        <is>
          <t>E1</t>
        </is>
      </c>
      <c r="AI491" s="11" t="inlineStr">
        <is>
          <t>I1</t>
        </is>
      </c>
      <c r="AJ491" s="11" t="inlineStr">
        <is>
          <t>I5</t>
        </is>
      </c>
      <c r="AK491" s="11" t="inlineStr">
        <is>
          <t>PISA-F1</t>
        </is>
      </c>
      <c r="AL491" s="11" t="n"/>
      <c r="AM491" s="11">
        <f>IF(AK491="FUERA","Fuera del marco",IFERROR(INDEX('Datos - Catálogo PISA'!$C$5:$C$76,MATCH(AK491,'Datos - Catálogo PISA'!$A$5:$A$76,0)),"?"))</f>
        <v/>
      </c>
      <c r="AN491" s="11" t="inlineStr">
        <is>
          <t>Contenido</t>
        </is>
      </c>
      <c r="AO491" s="11" t="n"/>
      <c r="AP491" s="11" t="n"/>
      <c r="AQ491" s="11" t="inlineStr">
        <is>
          <t>Global</t>
        </is>
      </c>
      <c r="AR491" s="11" t="inlineStr">
        <is>
          <t>Avances y desafíos científicos y tecnológicos</t>
        </is>
      </c>
      <c r="AS491" s="11" t="inlineStr">
        <is>
          <t>Baja</t>
        </is>
      </c>
      <c r="AT491" s="11" t="inlineStr">
        <is>
          <t>media</t>
        </is>
      </c>
      <c r="AU491" s="11" t="inlineStr">
        <is>
          <t>Aplicaciones industriales de la concentración química</t>
        </is>
      </c>
      <c r="AV491" s="11" t="inlineStr">
        <is>
          <t>Ciclo 7°–9°</t>
        </is>
      </c>
      <c r="AW491" s="11">
        <f>AF491&amp;"; "&amp;AG491&amp;"; "&amp;AH491&amp;"; "&amp;AI491&amp;"; "&amp;AJ491</f>
        <v/>
      </c>
    </row>
    <row r="492">
      <c r="A492" s="11" t="inlineStr">
        <is>
          <t>T1126-G08-CIE</t>
        </is>
      </c>
      <c r="B492" s="11" t="n">
        <v>8</v>
      </c>
      <c r="C492" s="11" t="inlineStr">
        <is>
          <t>Ciencias</t>
        </is>
      </c>
      <c r="D492" s="11" t="inlineStr">
        <is>
          <t>Matriz_Ciencias_8vo_Grado_U1_U7.xlsx</t>
        </is>
      </c>
      <c r="E492" s="11" t="inlineStr">
        <is>
          <t>Unidad 4 - Estequiometría y dis</t>
        </is>
      </c>
      <c r="F492" s="11" t="n">
        <v>14</v>
      </c>
      <c r="G492" s="11" t="inlineStr">
        <is>
          <t>4. Estequiometría y dispersiones</t>
        </is>
      </c>
      <c r="H492" s="11" t="inlineStr">
        <is>
          <t>Dispersiones químicas</t>
        </is>
      </c>
      <c r="I492" s="38" t="inlineStr">
        <is>
          <t>4.12. Identificación de dispersiones químicas en sustancias de uso cotidiano.</t>
        </is>
      </c>
      <c r="J492" s="11" t="inlineStr">
        <is>
          <t>T8_27</t>
        </is>
      </c>
      <c r="K492" s="11" t="inlineStr">
        <is>
          <t>T8_27-C1.2</t>
        </is>
      </c>
      <c r="L492" s="11" t="inlineStr">
        <is>
          <t>T8_27-C2.2</t>
        </is>
      </c>
      <c r="M492" s="11">
        <f>IF(K492="FUERA","Fuera del marco",IF(K492="N/A","Sin marco",IFERROR(INDEX('Datos - Catálogo TIMSS'!$C$5:$C$107,MATCH(K492,'Datos - Catálogo TIMSS'!$A$5:$A$107,0)),"Pendiente de clasificar")))</f>
        <v/>
      </c>
      <c r="N492" s="11">
        <f>IF(K492="FUERA","Fuera del marco",IF(K492="N/A","Sin marco",IFERROR(INDEX('Datos - Catálogo TIMSS'!$F$5:$F$107,MATCH(K492,'Datos - Catálogo TIMSS'!$A$5:$A$107,0)),"Pendiente de clasificar")))</f>
        <v/>
      </c>
      <c r="O492" s="11">
        <f>IF(L492="","",IFERROR(INDEX('Datos - Catálogo TIMSS'!$C$5:$C$107,MATCH(L492,'Datos - Catálogo TIMSS'!$A$5:$A$107,0)),"?"))</f>
        <v/>
      </c>
      <c r="P492" s="11" t="inlineStr">
        <is>
          <t>media</t>
        </is>
      </c>
      <c r="Q492" s="38" t="inlineStr">
        <is>
          <t>Suspensiones, coloides y disoluciones: tipos de mezclas</t>
        </is>
      </c>
      <c r="R492" s="38" t="inlineStr">
        <is>
          <t>Conocer: identificar</t>
        </is>
      </c>
      <c r="S492" s="39">
        <f>IFERROR(ISNUMBER(SEARCH("Conocer",$R492))/(ISNUMBER(SEARCH("Conocer",$R492))+ISNUMBER(SEARCH("Aplicar",$R492))+ISNUMBER(SEARCH("Razonar",$R492))),0)</f>
        <v/>
      </c>
      <c r="T492" s="39">
        <f>IFERROR(ISNUMBER(SEARCH("Aplicar",$R492))/(ISNUMBER(SEARCH("Conocer",$R492))+ISNUMBER(SEARCH("Aplicar",$R492))+ISNUMBER(SEARCH("Razonar",$R492))),0)</f>
        <v/>
      </c>
      <c r="U492" s="39">
        <f>IFERROR(ISNUMBER(SEARCH("Razonar",$R492))/(ISNUMBER(SEARCH("Conocer",$R492))+ISNUMBER(SEARCH("Aplicar",$R492))+ISNUMBER(SEARCH("Razonar",$R492))),0)</f>
        <v/>
      </c>
      <c r="V492" s="11" t="inlineStr">
        <is>
          <t>8°</t>
        </is>
      </c>
      <c r="W492" s="11" t="inlineStr">
        <is>
          <t>Ciclo 5°–8°</t>
        </is>
      </c>
      <c r="X492" s="11">
        <f>IF(OR(IFERROR(INDEX('Datos - Catálogo TIMSS'!$I$5:$I$107,MATCH(K492,'Datos - Catálogo TIMSS'!$A$5:$A$107,0)),"No")="Sí",IFERROR(INDEX('Datos - Catálogo TIMSS'!$I$5:$I$107,MATCH(L492,'Datos - Catálogo TIMSS'!$A$5:$A$107,0)),"No")="Sí"),1,0)</f>
        <v/>
      </c>
      <c r="Y492" s="11">
        <f>IF(IFERROR(INDEX('Datos - Catálogo TIMSS'!$J$5:$J$107,MATCH(K492,'Datos - Catálogo TIMSS'!$A$5:$A$107,0)),"No")="Sí",1,0)</f>
        <v/>
      </c>
      <c r="Z492" s="11">
        <f>IF(IFERROR(INDEX('Datos - Catálogo TIMSS'!$J$5:$J$107,MATCH(L492,'Datos - Catálogo TIMSS'!$A$5:$A$107,0)),"No")="Sí",1,0)</f>
        <v/>
      </c>
      <c r="AA492" s="11" t="inlineStr">
        <is>
          <t>T8-Q2.3</t>
        </is>
      </c>
      <c r="AB492" s="11" t="inlineStr">
        <is>
          <t>T8-Q1.2</t>
        </is>
      </c>
      <c r="AC492" s="11">
        <f>IF(AA492="FUERA","Fuera del marco",IF(AA492="N/A","Sin marco",IFERROR(INDEX('Datos - TIMSS 2023'!$C$5:$C$105,MATCH(AA492,'Datos - TIMSS 2023'!$A$5:$A$105,0)),"Pendiente de clasificar")))</f>
        <v/>
      </c>
      <c r="AD492" s="11" t="inlineStr">
        <is>
          <t>1. Explicar fenómenos científicamente</t>
        </is>
      </c>
      <c r="AE492" s="11">
        <f>IF(AD492="","",IF(LEFT(AD492,1)="1","C1",IF(LEFT(AD492,1)="2","C2",IF(LEFT(AD492,1)="3","C3",""))))</f>
        <v/>
      </c>
      <c r="AF492" s="11" t="inlineStr">
        <is>
          <t>E1</t>
        </is>
      </c>
      <c r="AG492" s="11" t="inlineStr">
        <is>
          <t>D1</t>
        </is>
      </c>
      <c r="AH492" s="11" t="inlineStr">
        <is>
          <t>E1</t>
        </is>
      </c>
      <c r="AI492" s="11" t="inlineStr">
        <is>
          <t>D4</t>
        </is>
      </c>
      <c r="AJ492" s="11" t="inlineStr">
        <is>
          <t>E1</t>
        </is>
      </c>
      <c r="AK492" s="11" t="inlineStr">
        <is>
          <t>PISA-F1</t>
        </is>
      </c>
      <c r="AL492" s="11" t="n"/>
      <c r="AM492" s="11">
        <f>IF(AK492="FUERA","Fuera del marco",IFERROR(INDEX('Datos - Catálogo PISA'!$C$5:$C$76,MATCH(AK492,'Datos - Catálogo PISA'!$A$5:$A$76,0)),"?"))</f>
        <v/>
      </c>
      <c r="AN492" s="11" t="inlineStr">
        <is>
          <t>Contenido</t>
        </is>
      </c>
      <c r="AO492" s="11" t="n"/>
      <c r="AP492" s="11" t="n"/>
      <c r="AQ492" s="11" t="inlineStr">
        <is>
          <t>Personal</t>
        </is>
      </c>
      <c r="AR492" s="11" t="inlineStr">
        <is>
          <t>Avances y desafíos científicos y tecnológicos</t>
        </is>
      </c>
      <c r="AS492" s="11" t="inlineStr">
        <is>
          <t>Baja</t>
        </is>
      </c>
      <c r="AT492" s="11" t="inlineStr">
        <is>
          <t>media</t>
        </is>
      </c>
      <c r="AU492" s="11" t="inlineStr">
        <is>
          <t>Dispersiones (mezclas) en sustancias de uso cotidiano</t>
        </is>
      </c>
      <c r="AV492" s="11" t="inlineStr">
        <is>
          <t>Ciclo 7°–9°</t>
        </is>
      </c>
      <c r="AW492" s="11">
        <f>AF492&amp;"; "&amp;AG492&amp;"; "&amp;AH492&amp;"; "&amp;AI492&amp;"; "&amp;AJ492</f>
        <v/>
      </c>
    </row>
    <row r="493">
      <c r="A493" s="11" t="inlineStr">
        <is>
          <t>T1127-G08-CIE</t>
        </is>
      </c>
      <c r="B493" s="11" t="n">
        <v>8</v>
      </c>
      <c r="C493" s="11" t="inlineStr">
        <is>
          <t>Ciencias</t>
        </is>
      </c>
      <c r="D493" s="11" t="inlineStr">
        <is>
          <t>Matriz_Ciencias_8vo_Grado_U1_U7.xlsx</t>
        </is>
      </c>
      <c r="E493" s="11" t="inlineStr">
        <is>
          <t>Unidad 4 - Estequiometría y dis</t>
        </is>
      </c>
      <c r="F493" s="11" t="n">
        <v>15</v>
      </c>
      <c r="G493" s="11" t="inlineStr">
        <is>
          <t>4. Estequiometría y dispersiones</t>
        </is>
      </c>
      <c r="H493" s="11" t="inlineStr">
        <is>
          <t>Dispersiones químicas</t>
        </is>
      </c>
      <c r="I493" s="38" t="inlineStr">
        <is>
          <t>4.13. Clasificación de las dispersiones químicas de acuerdo con sus propiedades.</t>
        </is>
      </c>
      <c r="J493" s="11" t="inlineStr">
        <is>
          <t>T8_27</t>
        </is>
      </c>
      <c r="K493" s="11" t="inlineStr">
        <is>
          <t>T8_27-C1.2</t>
        </is>
      </c>
      <c r="L493" s="11" t="inlineStr">
        <is>
          <t>T8_27-C2.2</t>
        </is>
      </c>
      <c r="M493" s="11">
        <f>IF(K493="FUERA","Fuera del marco",IF(K493="N/A","Sin marco",IFERROR(INDEX('Datos - Catálogo TIMSS'!$C$5:$C$107,MATCH(K493,'Datos - Catálogo TIMSS'!$A$5:$A$107,0)),"Pendiente de clasificar")))</f>
        <v/>
      </c>
      <c r="N493" s="11">
        <f>IF(K493="FUERA","Fuera del marco",IF(K493="N/A","Sin marco",IFERROR(INDEX('Datos - Catálogo TIMSS'!$F$5:$F$107,MATCH(K493,'Datos - Catálogo TIMSS'!$A$5:$A$107,0)),"Pendiente de clasificar")))</f>
        <v/>
      </c>
      <c r="O493" s="11">
        <f>IF(L493="","",IFERROR(INDEX('Datos - Catálogo TIMSS'!$C$5:$C$107,MATCH(L493,'Datos - Catálogo TIMSS'!$A$5:$A$107,0)),"?"))</f>
        <v/>
      </c>
      <c r="P493" s="11" t="inlineStr">
        <is>
          <t>media</t>
        </is>
      </c>
      <c r="Q493" s="38" t="inlineStr">
        <is>
          <t>Clasificar dispersiones por propiedades: mezclas homogéneas y heterogéneas</t>
        </is>
      </c>
      <c r="R493" s="38" t="inlineStr">
        <is>
          <t>Aplicar: clasificar</t>
        </is>
      </c>
      <c r="S493" s="39">
        <f>IFERROR(ISNUMBER(SEARCH("Conocer",$R493))/(ISNUMBER(SEARCH("Conocer",$R493))+ISNUMBER(SEARCH("Aplicar",$R493))+ISNUMBER(SEARCH("Razonar",$R493))),0)</f>
        <v/>
      </c>
      <c r="T493" s="39">
        <f>IFERROR(ISNUMBER(SEARCH("Aplicar",$R493))/(ISNUMBER(SEARCH("Conocer",$R493))+ISNUMBER(SEARCH("Aplicar",$R493))+ISNUMBER(SEARCH("Razonar",$R493))),0)</f>
        <v/>
      </c>
      <c r="U493" s="39">
        <f>IFERROR(ISNUMBER(SEARCH("Razonar",$R493))/(ISNUMBER(SEARCH("Conocer",$R493))+ISNUMBER(SEARCH("Aplicar",$R493))+ISNUMBER(SEARCH("Razonar",$R493))),0)</f>
        <v/>
      </c>
      <c r="V493" s="11" t="inlineStr">
        <is>
          <t>8°</t>
        </is>
      </c>
      <c r="W493" s="11" t="inlineStr">
        <is>
          <t>Ciclo 5°–8°</t>
        </is>
      </c>
      <c r="X493" s="11">
        <f>IF(OR(IFERROR(INDEX('Datos - Catálogo TIMSS'!$I$5:$I$107,MATCH(K493,'Datos - Catálogo TIMSS'!$A$5:$A$107,0)),"No")="Sí",IFERROR(INDEX('Datos - Catálogo TIMSS'!$I$5:$I$107,MATCH(L493,'Datos - Catálogo TIMSS'!$A$5:$A$107,0)),"No")="Sí"),1,0)</f>
        <v/>
      </c>
      <c r="Y493" s="11">
        <f>IF(IFERROR(INDEX('Datos - Catálogo TIMSS'!$J$5:$J$107,MATCH(K493,'Datos - Catálogo TIMSS'!$A$5:$A$107,0)),"No")="Sí",1,0)</f>
        <v/>
      </c>
      <c r="Z493" s="11">
        <f>IF(IFERROR(INDEX('Datos - Catálogo TIMSS'!$J$5:$J$107,MATCH(L493,'Datos - Catálogo TIMSS'!$A$5:$A$107,0)),"No")="Sí",1,0)</f>
        <v/>
      </c>
      <c r="AA493" s="11" t="inlineStr">
        <is>
          <t>T8-Q2.3</t>
        </is>
      </c>
      <c r="AB493" s="11" t="inlineStr">
        <is>
          <t>T8-Q1.2</t>
        </is>
      </c>
      <c r="AC493" s="11">
        <f>IF(AA493="FUERA","Fuera del marco",IF(AA493="N/A","Sin marco",IFERROR(INDEX('Datos - TIMSS 2023'!$C$5:$C$105,MATCH(AA493,'Datos - TIMSS 2023'!$A$5:$A$105,0)),"Pendiente de clasificar")))</f>
        <v/>
      </c>
      <c r="AD493" s="11" t="inlineStr">
        <is>
          <t>2. Construir y evaluar diseños para la indagación científica e interpretar datos y evidencia de forma crítica</t>
        </is>
      </c>
      <c r="AE493" s="11">
        <f>IF(AD493="","",IF(LEFT(AD493,1)="1","C1",IF(LEFT(AD493,1)="2","C2",IF(LEFT(AD493,1)="3","C3",""))))</f>
        <v/>
      </c>
      <c r="AF493" s="11" t="inlineStr">
        <is>
          <t>E1</t>
        </is>
      </c>
      <c r="AG493" s="11" t="inlineStr">
        <is>
          <t>D1</t>
        </is>
      </c>
      <c r="AH493" s="11" t="inlineStr">
        <is>
          <t>E1</t>
        </is>
      </c>
      <c r="AI493" s="11" t="inlineStr">
        <is>
          <t>D4</t>
        </is>
      </c>
      <c r="AJ493" s="11" t="inlineStr">
        <is>
          <t>E1</t>
        </is>
      </c>
      <c r="AK493" s="11" t="inlineStr">
        <is>
          <t>PISA-F1</t>
        </is>
      </c>
      <c r="AL493" s="11" t="n"/>
      <c r="AM493" s="11">
        <f>IF(AK493="FUERA","Fuera del marco",IFERROR(INDEX('Datos - Catálogo PISA'!$C$5:$C$76,MATCH(AK493,'Datos - Catálogo PISA'!$A$5:$A$76,0)),"?"))</f>
        <v/>
      </c>
      <c r="AN493" s="11" t="inlineStr">
        <is>
          <t>Contenido</t>
        </is>
      </c>
      <c r="AO493" s="11" t="n"/>
      <c r="AP493" s="11" t="n"/>
      <c r="AQ493" s="11" t="inlineStr">
        <is>
          <t>Sin contexto</t>
        </is>
      </c>
      <c r="AR493" s="11" t="n"/>
      <c r="AS493" s="11" t="inlineStr">
        <is>
          <t>Baja</t>
        </is>
      </c>
      <c r="AT493" s="11" t="inlineStr">
        <is>
          <t>alta</t>
        </is>
      </c>
      <c r="AU493" s="11" t="inlineStr">
        <is>
          <t>Clasificación de dispersiones según sus propiedades</t>
        </is>
      </c>
      <c r="AV493" s="11" t="inlineStr">
        <is>
          <t>Ciclo 7°–9°</t>
        </is>
      </c>
      <c r="AW493" s="11">
        <f>AF493&amp;"; "&amp;AG493&amp;"; "&amp;AH493&amp;"; "&amp;AI493&amp;"; "&amp;AJ493</f>
        <v/>
      </c>
    </row>
    <row r="494">
      <c r="A494" s="11" t="inlineStr">
        <is>
          <t>T1128-G08-CIE</t>
        </is>
      </c>
      <c r="B494" s="11" t="n">
        <v>8</v>
      </c>
      <c r="C494" s="11" t="inlineStr">
        <is>
          <t>Ciencias</t>
        </is>
      </c>
      <c r="D494" s="11" t="inlineStr">
        <is>
          <t>Matriz_Ciencias_8vo_Grado_U1_U7.xlsx</t>
        </is>
      </c>
      <c r="E494" s="11" t="inlineStr">
        <is>
          <t>Unidad 4 - Estequiometría y dis</t>
        </is>
      </c>
      <c r="F494" s="11" t="n">
        <v>16</v>
      </c>
      <c r="G494" s="11" t="inlineStr">
        <is>
          <t>4. Estequiometría y dispersiones</t>
        </is>
      </c>
      <c r="H494" s="11" t="inlineStr">
        <is>
          <t>Dispersiones químicas</t>
        </is>
      </c>
      <c r="I494" s="38" t="inlineStr">
        <is>
          <t>4.14. Exploración de los diferentes tipos de dispersiones químicas y sus aplicaciones.</t>
        </is>
      </c>
      <c r="J494" s="11" t="inlineStr">
        <is>
          <t>T8_27</t>
        </is>
      </c>
      <c r="K494" s="11" t="inlineStr">
        <is>
          <t>T8_27-C1.2</t>
        </is>
      </c>
      <c r="L494" s="11" t="inlineStr"/>
      <c r="M494" s="11">
        <f>IF(K494="FUERA","Fuera del marco",IF(K494="N/A","Sin marco",IFERROR(INDEX('Datos - Catálogo TIMSS'!$C$5:$C$107,MATCH(K494,'Datos - Catálogo TIMSS'!$A$5:$A$107,0)),"Pendiente de clasificar")))</f>
        <v/>
      </c>
      <c r="N494" s="11">
        <f>IF(K494="FUERA","Fuera del marco",IF(K494="N/A","Sin marco",IFERROR(INDEX('Datos - Catálogo TIMSS'!$F$5:$F$107,MATCH(K494,'Datos - Catálogo TIMSS'!$A$5:$A$107,0)),"Pendiente de clasificar")))</f>
        <v/>
      </c>
      <c r="O494" s="11">
        <f>IF(L494="","",IFERROR(INDEX('Datos - Catálogo TIMSS'!$C$5:$C$107,MATCH(L494,'Datos - Catálogo TIMSS'!$A$5:$A$107,0)),"?"))</f>
        <v/>
      </c>
      <c r="P494" s="11" t="inlineStr">
        <is>
          <t>media</t>
        </is>
      </c>
      <c r="Q494" s="38" t="inlineStr">
        <is>
          <t>Tipos de dispersiones como mezclas y sus aplicaciones</t>
        </is>
      </c>
      <c r="R494" s="38" t="inlineStr">
        <is>
          <t>Aplicar: ejemplificar</t>
        </is>
      </c>
      <c r="S494" s="39">
        <f>IFERROR(ISNUMBER(SEARCH("Conocer",$R494))/(ISNUMBER(SEARCH("Conocer",$R494))+ISNUMBER(SEARCH("Aplicar",$R494))+ISNUMBER(SEARCH("Razonar",$R494))),0)</f>
        <v/>
      </c>
      <c r="T494" s="39">
        <f>IFERROR(ISNUMBER(SEARCH("Aplicar",$R494))/(ISNUMBER(SEARCH("Conocer",$R494))+ISNUMBER(SEARCH("Aplicar",$R494))+ISNUMBER(SEARCH("Razonar",$R494))),0)</f>
        <v/>
      </c>
      <c r="U494" s="39">
        <f>IFERROR(ISNUMBER(SEARCH("Razonar",$R494))/(ISNUMBER(SEARCH("Conocer",$R494))+ISNUMBER(SEARCH("Aplicar",$R494))+ISNUMBER(SEARCH("Razonar",$R494))),0)</f>
        <v/>
      </c>
      <c r="V494" s="11" t="inlineStr">
        <is>
          <t>8°</t>
        </is>
      </c>
      <c r="W494" s="11" t="inlineStr">
        <is>
          <t>Ciclo 5°–8°</t>
        </is>
      </c>
      <c r="X494" s="11">
        <f>IF(OR(IFERROR(INDEX('Datos - Catálogo TIMSS'!$I$5:$I$107,MATCH(K494,'Datos - Catálogo TIMSS'!$A$5:$A$107,0)),"No")="Sí",IFERROR(INDEX('Datos - Catálogo TIMSS'!$I$5:$I$107,MATCH(L494,'Datos - Catálogo TIMSS'!$A$5:$A$107,0)),"No")="Sí"),1,0)</f>
        <v/>
      </c>
      <c r="Y494" s="11">
        <f>IF(IFERROR(INDEX('Datos - Catálogo TIMSS'!$J$5:$J$107,MATCH(K494,'Datos - Catálogo TIMSS'!$A$5:$A$107,0)),"No")="Sí",1,0)</f>
        <v/>
      </c>
      <c r="Z494" s="11">
        <f>IF(IFERROR(INDEX('Datos - Catálogo TIMSS'!$J$5:$J$107,MATCH(L494,'Datos - Catálogo TIMSS'!$A$5:$A$107,0)),"No")="Sí",1,0)</f>
        <v/>
      </c>
      <c r="AA494" s="11" t="inlineStr">
        <is>
          <t>T8-Q2.3</t>
        </is>
      </c>
      <c r="AB494" s="11" t="inlineStr"/>
      <c r="AC494" s="11">
        <f>IF(AA494="FUERA","Fuera del marco",IF(AA494="N/A","Sin marco",IFERROR(INDEX('Datos - TIMSS 2023'!$C$5:$C$105,MATCH(AA494,'Datos - TIMSS 2023'!$A$5:$A$105,0)),"Pendiente de clasificar")))</f>
        <v/>
      </c>
      <c r="AD494" s="11" t="inlineStr">
        <is>
          <t>3. Investigar, evaluar y usar información científica para tomar decisiones y actuar</t>
        </is>
      </c>
      <c r="AE494" s="11">
        <f>IF(AD494="","",IF(LEFT(AD494,1)="1","C1",IF(LEFT(AD494,1)="2","C2",IF(LEFT(AD494,1)="3","C3",""))))</f>
        <v/>
      </c>
      <c r="AF494" s="11" t="inlineStr">
        <is>
          <t>E1</t>
        </is>
      </c>
      <c r="AG494" s="11" t="inlineStr">
        <is>
          <t>D1</t>
        </is>
      </c>
      <c r="AH494" s="11" t="inlineStr">
        <is>
          <t>E1</t>
        </is>
      </c>
      <c r="AI494" s="11" t="inlineStr">
        <is>
          <t>I1</t>
        </is>
      </c>
      <c r="AJ494" s="11" t="inlineStr">
        <is>
          <t>I5</t>
        </is>
      </c>
      <c r="AK494" s="11" t="inlineStr">
        <is>
          <t>PISA-F1</t>
        </is>
      </c>
      <c r="AL494" s="11" t="n"/>
      <c r="AM494" s="11">
        <f>IF(AK494="FUERA","Fuera del marco",IFERROR(INDEX('Datos - Catálogo PISA'!$C$5:$C$76,MATCH(AK494,'Datos - Catálogo PISA'!$A$5:$A$76,0)),"?"))</f>
        <v/>
      </c>
      <c r="AN494" s="11" t="inlineStr">
        <is>
          <t>Contenido</t>
        </is>
      </c>
      <c r="AO494" s="11" t="n"/>
      <c r="AP494" s="11" t="n"/>
      <c r="AQ494" s="11" t="inlineStr">
        <is>
          <t>Personal</t>
        </is>
      </c>
      <c r="AR494" s="11" t="inlineStr">
        <is>
          <t>Avances y desafíos científicos y tecnológicos</t>
        </is>
      </c>
      <c r="AS494" s="11" t="inlineStr">
        <is>
          <t>Baja</t>
        </is>
      </c>
      <c r="AT494" s="11" t="inlineStr">
        <is>
          <t>media</t>
        </is>
      </c>
      <c r="AU494" s="11" t="inlineStr">
        <is>
          <t>Tipos de dispersiones y sus aplicaciones</t>
        </is>
      </c>
      <c r="AV494" s="11" t="inlineStr">
        <is>
          <t>Ciclo 7°–9°</t>
        </is>
      </c>
      <c r="AW494" s="11">
        <f>AF494&amp;"; "&amp;AG494&amp;"; "&amp;AH494&amp;"; "&amp;AI494&amp;"; "&amp;AJ494</f>
        <v/>
      </c>
    </row>
    <row r="495">
      <c r="A495" s="11" t="inlineStr">
        <is>
          <t>T1129-G08-CIE</t>
        </is>
      </c>
      <c r="B495" s="11" t="n">
        <v>8</v>
      </c>
      <c r="C495" s="11" t="inlineStr">
        <is>
          <t>Ciencias</t>
        </is>
      </c>
      <c r="D495" s="11" t="inlineStr">
        <is>
          <t>Matriz_Ciencias_8vo_Grado_U1_U7.xlsx</t>
        </is>
      </c>
      <c r="E495" s="11" t="inlineStr">
        <is>
          <t>Unidad 4 - Estequiometría y dis</t>
        </is>
      </c>
      <c r="F495" s="11" t="n">
        <v>17</v>
      </c>
      <c r="G495" s="11" t="inlineStr">
        <is>
          <t>4. Estequiometría y dispersiones</t>
        </is>
      </c>
      <c r="H495" s="11" t="inlineStr">
        <is>
          <t>Dispersiones químicas</t>
        </is>
      </c>
      <c r="I495" s="38" t="inlineStr">
        <is>
          <t>4.15. Clasificación de las soluciones químicas con base en la cantidad de soluto.</t>
        </is>
      </c>
      <c r="J495" s="11" t="inlineStr">
        <is>
          <t>T8_27</t>
        </is>
      </c>
      <c r="K495" s="11" t="inlineStr">
        <is>
          <t>T8_27-C2.2</t>
        </is>
      </c>
      <c r="L495" s="11" t="inlineStr"/>
      <c r="M495" s="11">
        <f>IF(K495="FUERA","Fuera del marco",IF(K495="N/A","Sin marco",IFERROR(INDEX('Datos - Catálogo TIMSS'!$C$5:$C$107,MATCH(K495,'Datos - Catálogo TIMSS'!$A$5:$A$107,0)),"Pendiente de clasificar")))</f>
        <v/>
      </c>
      <c r="N495" s="11">
        <f>IF(K495="FUERA","Fuera del marco",IF(K495="N/A","Sin marco",IFERROR(INDEX('Datos - Catálogo TIMSS'!$F$5:$F$107,MATCH(K495,'Datos - Catálogo TIMSS'!$A$5:$A$107,0)),"Pendiente de clasificar")))</f>
        <v/>
      </c>
      <c r="O495" s="11">
        <f>IF(L495="","",IFERROR(INDEX('Datos - Catálogo TIMSS'!$C$5:$C$107,MATCH(L495,'Datos - Catálogo TIMSS'!$A$5:$A$107,0)),"?"))</f>
        <v/>
      </c>
      <c r="P495" s="11" t="inlineStr">
        <is>
          <t>alta</t>
        </is>
      </c>
      <c r="Q495" s="38" t="inlineStr">
        <is>
          <t>Clasificar disoluciones según cantidad de soluto: concentración</t>
        </is>
      </c>
      <c r="R495" s="38" t="inlineStr">
        <is>
          <t>Aplicar: clasificar</t>
        </is>
      </c>
      <c r="S495" s="39">
        <f>IFERROR(ISNUMBER(SEARCH("Conocer",$R495))/(ISNUMBER(SEARCH("Conocer",$R495))+ISNUMBER(SEARCH("Aplicar",$R495))+ISNUMBER(SEARCH("Razonar",$R495))),0)</f>
        <v/>
      </c>
      <c r="T495" s="39">
        <f>IFERROR(ISNUMBER(SEARCH("Aplicar",$R495))/(ISNUMBER(SEARCH("Conocer",$R495))+ISNUMBER(SEARCH("Aplicar",$R495))+ISNUMBER(SEARCH("Razonar",$R495))),0)</f>
        <v/>
      </c>
      <c r="U495" s="39">
        <f>IFERROR(ISNUMBER(SEARCH("Razonar",$R495))/(ISNUMBER(SEARCH("Conocer",$R495))+ISNUMBER(SEARCH("Aplicar",$R495))+ISNUMBER(SEARCH("Razonar",$R495))),0)</f>
        <v/>
      </c>
      <c r="V495" s="11" t="inlineStr">
        <is>
          <t>8°</t>
        </is>
      </c>
      <c r="W495" s="11" t="inlineStr">
        <is>
          <t>Ciclo 5°–8°</t>
        </is>
      </c>
      <c r="X495" s="11">
        <f>IF(OR(IFERROR(INDEX('Datos - Catálogo TIMSS'!$I$5:$I$107,MATCH(K495,'Datos - Catálogo TIMSS'!$A$5:$A$107,0)),"No")="Sí",IFERROR(INDEX('Datos - Catálogo TIMSS'!$I$5:$I$107,MATCH(L495,'Datos - Catálogo TIMSS'!$A$5:$A$107,0)),"No")="Sí"),1,0)</f>
        <v/>
      </c>
      <c r="Y495" s="11">
        <f>IF(IFERROR(INDEX('Datos - Catálogo TIMSS'!$J$5:$J$107,MATCH(K495,'Datos - Catálogo TIMSS'!$A$5:$A$107,0)),"No")="Sí",1,0)</f>
        <v/>
      </c>
      <c r="Z495" s="11">
        <f>IF(IFERROR(INDEX('Datos - Catálogo TIMSS'!$J$5:$J$107,MATCH(L495,'Datos - Catálogo TIMSS'!$A$5:$A$107,0)),"No")="Sí",1,0)</f>
        <v/>
      </c>
      <c r="AA495" s="11" t="inlineStr">
        <is>
          <t>T8-Q2.3</t>
        </is>
      </c>
      <c r="AB495" s="11" t="inlineStr"/>
      <c r="AC495" s="11">
        <f>IF(AA495="FUERA","Fuera del marco",IF(AA495="N/A","Sin marco",IFERROR(INDEX('Datos - TIMSS 2023'!$C$5:$C$105,MATCH(AA495,'Datos - TIMSS 2023'!$A$5:$A$105,0)),"Pendiente de clasificar")))</f>
        <v/>
      </c>
      <c r="AD495" s="11" t="inlineStr">
        <is>
          <t>2. Construir y evaluar diseños para la indagación científica e interpretar datos y evidencia de forma crítica</t>
        </is>
      </c>
      <c r="AE495" s="11">
        <f>IF(AD495="","",IF(LEFT(AD495,1)="1","C1",IF(LEFT(AD495,1)="2","C2",IF(LEFT(AD495,1)="3","C3",""))))</f>
        <v/>
      </c>
      <c r="AF495" s="11" t="inlineStr">
        <is>
          <t>E1</t>
        </is>
      </c>
      <c r="AG495" s="11" t="inlineStr">
        <is>
          <t>D1</t>
        </is>
      </c>
      <c r="AH495" s="11" t="inlineStr">
        <is>
          <t>E1</t>
        </is>
      </c>
      <c r="AI495" s="11" t="inlineStr">
        <is>
          <t>D4</t>
        </is>
      </c>
      <c r="AJ495" s="11" t="inlineStr">
        <is>
          <t>E1</t>
        </is>
      </c>
      <c r="AK495" s="11" t="inlineStr">
        <is>
          <t>PISA-F1</t>
        </is>
      </c>
      <c r="AL495" s="11" t="n"/>
      <c r="AM495" s="11">
        <f>IF(AK495="FUERA","Fuera del marco",IFERROR(INDEX('Datos - Catálogo PISA'!$C$5:$C$76,MATCH(AK495,'Datos - Catálogo PISA'!$A$5:$A$76,0)),"?"))</f>
        <v/>
      </c>
      <c r="AN495" s="11" t="inlineStr">
        <is>
          <t>Contenido</t>
        </is>
      </c>
      <c r="AO495" s="11" t="n"/>
      <c r="AP495" s="11" t="n"/>
      <c r="AQ495" s="11" t="inlineStr">
        <is>
          <t>Sin contexto</t>
        </is>
      </c>
      <c r="AR495" s="11" t="n"/>
      <c r="AS495" s="11" t="inlineStr">
        <is>
          <t>Baja</t>
        </is>
      </c>
      <c r="AT495" s="11" t="inlineStr">
        <is>
          <t>alta</t>
        </is>
      </c>
      <c r="AU495" s="11" t="inlineStr">
        <is>
          <t>Clasificación de soluciones por cantidad de soluto</t>
        </is>
      </c>
      <c r="AV495" s="11" t="inlineStr">
        <is>
          <t>Ciclo 7°–9°</t>
        </is>
      </c>
      <c r="AW495" s="11">
        <f>AF495&amp;"; "&amp;AG495&amp;"; "&amp;AH495&amp;"; "&amp;AI495&amp;"; "&amp;AJ495</f>
        <v/>
      </c>
    </row>
    <row r="496">
      <c r="A496" s="11" t="inlineStr">
        <is>
          <t>T1130-G08-CIE</t>
        </is>
      </c>
      <c r="B496" s="11" t="n">
        <v>8</v>
      </c>
      <c r="C496" s="11" t="inlineStr">
        <is>
          <t>Ciencias</t>
        </is>
      </c>
      <c r="D496" s="11" t="inlineStr">
        <is>
          <t>Matriz_Ciencias_8vo_Grado_U1_U7.xlsx</t>
        </is>
      </c>
      <c r="E496" s="11" t="inlineStr">
        <is>
          <t>Unidad 4 - Estequiometría y dis</t>
        </is>
      </c>
      <c r="F496" s="11" t="n">
        <v>18</v>
      </c>
      <c r="G496" s="11" t="inlineStr">
        <is>
          <t>4. Estequiometría y dispersiones</t>
        </is>
      </c>
      <c r="H496" s="11" t="inlineStr">
        <is>
          <t>Dispersiones químicas.</t>
        </is>
      </c>
      <c r="I496" s="38" t="inlineStr">
        <is>
          <t>4.16. Experimentación con los factores que afectan la solubilidad.</t>
        </is>
      </c>
      <c r="J496" s="11" t="inlineStr">
        <is>
          <t>T8_27</t>
        </is>
      </c>
      <c r="K496" s="11" t="inlineStr">
        <is>
          <t>T8_27-C2.2</t>
        </is>
      </c>
      <c r="L496" s="11" t="inlineStr">
        <is>
          <t>T8_27-C4.1</t>
        </is>
      </c>
      <c r="M496" s="11">
        <f>IF(K496="FUERA","Fuera del marco",IF(K496="N/A","Sin marco",IFERROR(INDEX('Datos - Catálogo TIMSS'!$C$5:$C$107,MATCH(K496,'Datos - Catálogo TIMSS'!$A$5:$A$107,0)),"Pendiente de clasificar")))</f>
        <v/>
      </c>
      <c r="N496" s="11">
        <f>IF(K496="FUERA","Fuera del marco",IF(K496="N/A","Sin marco",IFERROR(INDEX('Datos - Catálogo TIMSS'!$F$5:$F$107,MATCH(K496,'Datos - Catálogo TIMSS'!$A$5:$A$107,0)),"Pendiente de clasificar")))</f>
        <v/>
      </c>
      <c r="O496" s="11">
        <f>IF(L496="","",IFERROR(INDEX('Datos - Catálogo TIMSS'!$C$5:$C$107,MATCH(L496,'Datos - Catálogo TIMSS'!$A$5:$A$107,0)),"?"))</f>
        <v/>
      </c>
      <c r="P496" s="11" t="inlineStr">
        <is>
          <t>alta</t>
        </is>
      </c>
      <c r="Q496" s="38" t="inlineStr">
        <is>
          <t>Factores de rapidez de disolución, experimentando una variable a la vez</t>
        </is>
      </c>
      <c r="R496" s="38" t="inlineStr">
        <is>
          <t>Razonar: diseñar prueba justa</t>
        </is>
      </c>
      <c r="S496" s="39">
        <f>IFERROR(ISNUMBER(SEARCH("Conocer",$R496))/(ISNUMBER(SEARCH("Conocer",$R496))+ISNUMBER(SEARCH("Aplicar",$R496))+ISNUMBER(SEARCH("Razonar",$R496))),0)</f>
        <v/>
      </c>
      <c r="T496" s="39">
        <f>IFERROR(ISNUMBER(SEARCH("Aplicar",$R496))/(ISNUMBER(SEARCH("Conocer",$R496))+ISNUMBER(SEARCH("Aplicar",$R496))+ISNUMBER(SEARCH("Razonar",$R496))),0)</f>
        <v/>
      </c>
      <c r="U496" s="39">
        <f>IFERROR(ISNUMBER(SEARCH("Razonar",$R496))/(ISNUMBER(SEARCH("Conocer",$R496))+ISNUMBER(SEARCH("Aplicar",$R496))+ISNUMBER(SEARCH("Razonar",$R496))),0)</f>
        <v/>
      </c>
      <c r="V496" s="11" t="inlineStr">
        <is>
          <t>8°</t>
        </is>
      </c>
      <c r="W496" s="11" t="inlineStr">
        <is>
          <t>Ciclo 5°–8°</t>
        </is>
      </c>
      <c r="X496" s="11">
        <f>IF(OR(IFERROR(INDEX('Datos - Catálogo TIMSS'!$I$5:$I$107,MATCH(K496,'Datos - Catálogo TIMSS'!$A$5:$A$107,0)),"No")="Sí",IFERROR(INDEX('Datos - Catálogo TIMSS'!$I$5:$I$107,MATCH(L496,'Datos - Catálogo TIMSS'!$A$5:$A$107,0)),"No")="Sí"),1,0)</f>
        <v/>
      </c>
      <c r="Y496" s="11">
        <f>IF(IFERROR(INDEX('Datos - Catálogo TIMSS'!$J$5:$J$107,MATCH(K496,'Datos - Catálogo TIMSS'!$A$5:$A$107,0)),"No")="Sí",1,0)</f>
        <v/>
      </c>
      <c r="Z496" s="11">
        <f>IF(IFERROR(INDEX('Datos - Catálogo TIMSS'!$J$5:$J$107,MATCH(L496,'Datos - Catálogo TIMSS'!$A$5:$A$107,0)),"No")="Sí",1,0)</f>
        <v/>
      </c>
      <c r="AA496" s="11" t="inlineStr">
        <is>
          <t>T8-Q2.3</t>
        </is>
      </c>
      <c r="AB496" s="11" t="inlineStr"/>
      <c r="AC496" s="11">
        <f>IF(AA496="FUERA","Fuera del marco",IF(AA496="N/A","Sin marco",IFERROR(INDEX('Datos - TIMSS 2023'!$C$5:$C$105,MATCH(AA496,'Datos - TIMSS 2023'!$A$5:$A$105,0)),"Pendiente de clasificar")))</f>
        <v/>
      </c>
      <c r="AD496" s="11" t="inlineStr">
        <is>
          <t>2. Construir y evaluar diseños para la indagación científica e interpretar datos y evidencia de forma crítica</t>
        </is>
      </c>
      <c r="AE496" s="11">
        <f>IF(AD496="","",IF(LEFT(AD496,1)="1","C1",IF(LEFT(AD496,1)="2","C2",IF(LEFT(AD496,1)="3","C3",""))))</f>
        <v/>
      </c>
      <c r="AF496" s="11" t="inlineStr">
        <is>
          <t>E1</t>
        </is>
      </c>
      <c r="AG496" s="11" t="inlineStr">
        <is>
          <t>E3</t>
        </is>
      </c>
      <c r="AH496" s="11" t="inlineStr">
        <is>
          <t>E1</t>
        </is>
      </c>
      <c r="AI496" s="11" t="inlineStr">
        <is>
          <t>D3</t>
        </is>
      </c>
      <c r="AJ496" s="11" t="inlineStr">
        <is>
          <t>E3</t>
        </is>
      </c>
      <c r="AK496" s="11" t="inlineStr">
        <is>
          <t>PISA-F1</t>
        </is>
      </c>
      <c r="AL496" s="11" t="n"/>
      <c r="AM496" s="11">
        <f>IF(AK496="FUERA","Fuera del marco",IFERROR(INDEX('Datos - Catálogo PISA'!$C$5:$C$76,MATCH(AK496,'Datos - Catálogo PISA'!$A$5:$A$76,0)),"?"))</f>
        <v/>
      </c>
      <c r="AN496" s="11" t="inlineStr">
        <is>
          <t>Contenido</t>
        </is>
      </c>
      <c r="AO496" s="11" t="inlineStr">
        <is>
          <t>PISA-PR1; PISA-PR6;</t>
        </is>
      </c>
      <c r="AP496" s="11" t="n"/>
      <c r="AQ496" s="11" t="inlineStr">
        <is>
          <t>Sin contexto</t>
        </is>
      </c>
      <c r="AR496" s="11" t="n"/>
      <c r="AS496" s="11" t="inlineStr">
        <is>
          <t>Media</t>
        </is>
      </c>
      <c r="AT496" s="11" t="inlineStr">
        <is>
          <t>alta</t>
        </is>
      </c>
      <c r="AU496" s="11" t="inlineStr">
        <is>
          <t>Factores de solubilidad probados uno a uno</t>
        </is>
      </c>
      <c r="AV496" s="11" t="inlineStr">
        <is>
          <t>Ciclo 7°–9°</t>
        </is>
      </c>
      <c r="AW496" s="11">
        <f>AF496&amp;"; "&amp;AG496&amp;"; "&amp;AH496&amp;"; "&amp;AI496&amp;"; "&amp;AJ496</f>
        <v/>
      </c>
    </row>
    <row r="497">
      <c r="A497" s="11" t="inlineStr">
        <is>
          <t>T1131-G08-CIE</t>
        </is>
      </c>
      <c r="B497" s="11" t="n">
        <v>8</v>
      </c>
      <c r="C497" s="11" t="inlineStr">
        <is>
          <t>Ciencias</t>
        </is>
      </c>
      <c r="D497" s="11" t="inlineStr">
        <is>
          <t>Matriz_Ciencias_8vo_Grado_U1_U7.xlsx</t>
        </is>
      </c>
      <c r="E497" s="11" t="inlineStr">
        <is>
          <t>Unidad 4 - Estequiometría y dis</t>
        </is>
      </c>
      <c r="F497" s="11" t="n">
        <v>19</v>
      </c>
      <c r="G497" s="11" t="inlineStr">
        <is>
          <t>4. Estequiometría y dispersiones</t>
        </is>
      </c>
      <c r="H497" s="11" t="inlineStr">
        <is>
          <t>Dispersiones químicas.</t>
        </is>
      </c>
      <c r="I497" s="38" t="inlineStr">
        <is>
          <t>4.17. Representación del comportamiento de las partículas según los factores que afectan la solubilidad.</t>
        </is>
      </c>
      <c r="J497" s="11" t="inlineStr">
        <is>
          <t>T8_27</t>
        </is>
      </c>
      <c r="K497" s="11" t="inlineStr">
        <is>
          <t>T8_27-C2.2</t>
        </is>
      </c>
      <c r="L497" s="11" t="inlineStr">
        <is>
          <t>T8_27-P1.1</t>
        </is>
      </c>
      <c r="M497" s="11">
        <f>IF(K497="FUERA","Fuera del marco",IF(K497="N/A","Sin marco",IFERROR(INDEX('Datos - Catálogo TIMSS'!$C$5:$C$107,MATCH(K497,'Datos - Catálogo TIMSS'!$A$5:$A$107,0)),"Pendiente de clasificar")))</f>
        <v/>
      </c>
      <c r="N497" s="11">
        <f>IF(K497="FUERA","Fuera del marco",IF(K497="N/A","Sin marco",IFERROR(INDEX('Datos - Catálogo TIMSS'!$F$5:$F$107,MATCH(K497,'Datos - Catálogo TIMSS'!$A$5:$A$107,0)),"Pendiente de clasificar")))</f>
        <v/>
      </c>
      <c r="O497" s="11">
        <f>IF(L497="","",IFERROR(INDEX('Datos - Catálogo TIMSS'!$C$5:$C$107,MATCH(L497,'Datos - Catálogo TIMSS'!$A$5:$A$107,0)),"?"))</f>
        <v/>
      </c>
      <c r="P497" s="11" t="inlineStr">
        <is>
          <t>media</t>
        </is>
      </c>
      <c r="Q497" s="38" t="inlineStr">
        <is>
          <t>Modelo de partículas para explicar la disolución</t>
        </is>
      </c>
      <c r="R497" s="38" t="inlineStr">
        <is>
          <t>Aplicar: usar modelos</t>
        </is>
      </c>
      <c r="S497" s="39">
        <f>IFERROR(ISNUMBER(SEARCH("Conocer",$R497))/(ISNUMBER(SEARCH("Conocer",$R497))+ISNUMBER(SEARCH("Aplicar",$R497))+ISNUMBER(SEARCH("Razonar",$R497))),0)</f>
        <v/>
      </c>
      <c r="T497" s="39">
        <f>IFERROR(ISNUMBER(SEARCH("Aplicar",$R497))/(ISNUMBER(SEARCH("Conocer",$R497))+ISNUMBER(SEARCH("Aplicar",$R497))+ISNUMBER(SEARCH("Razonar",$R497))),0)</f>
        <v/>
      </c>
      <c r="U497" s="39">
        <f>IFERROR(ISNUMBER(SEARCH("Razonar",$R497))/(ISNUMBER(SEARCH("Conocer",$R497))+ISNUMBER(SEARCH("Aplicar",$R497))+ISNUMBER(SEARCH("Razonar",$R497))),0)</f>
        <v/>
      </c>
      <c r="V497" s="11" t="inlineStr">
        <is>
          <t>8°</t>
        </is>
      </c>
      <c r="W497" s="11" t="inlineStr">
        <is>
          <t>Ciclo 5°–8°</t>
        </is>
      </c>
      <c r="X497" s="11">
        <f>IF(OR(IFERROR(INDEX('Datos - Catálogo TIMSS'!$I$5:$I$107,MATCH(K497,'Datos - Catálogo TIMSS'!$A$5:$A$107,0)),"No")="Sí",IFERROR(INDEX('Datos - Catálogo TIMSS'!$I$5:$I$107,MATCH(L497,'Datos - Catálogo TIMSS'!$A$5:$A$107,0)),"No")="Sí"),1,0)</f>
        <v/>
      </c>
      <c r="Y497" s="11">
        <f>IF(IFERROR(INDEX('Datos - Catálogo TIMSS'!$J$5:$J$107,MATCH(K497,'Datos - Catálogo TIMSS'!$A$5:$A$107,0)),"No")="Sí",1,0)</f>
        <v/>
      </c>
      <c r="Z497" s="11">
        <f>IF(IFERROR(INDEX('Datos - Catálogo TIMSS'!$J$5:$J$107,MATCH(L497,'Datos - Catálogo TIMSS'!$A$5:$A$107,0)),"No")="Sí",1,0)</f>
        <v/>
      </c>
      <c r="AA497" s="11" t="inlineStr">
        <is>
          <t>T8-Q2.3</t>
        </is>
      </c>
      <c r="AB497" s="11" t="inlineStr">
        <is>
          <t>T8-F1.1</t>
        </is>
      </c>
      <c r="AC497" s="11">
        <f>IF(AA497="FUERA","Fuera del marco",IF(AA497="N/A","Sin marco",IFERROR(INDEX('Datos - TIMSS 2023'!$C$5:$C$105,MATCH(AA497,'Datos - TIMSS 2023'!$A$5:$A$105,0)),"Pendiente de clasificar")))</f>
        <v/>
      </c>
      <c r="AD497" s="11" t="inlineStr">
        <is>
          <t>1. Explicar fenómenos científicamente</t>
        </is>
      </c>
      <c r="AE497" s="11">
        <f>IF(AD497="","",IF(LEFT(AD497,1)="1","C1",IF(LEFT(AD497,1)="2","C2",IF(LEFT(AD497,1)="3","C3",""))))</f>
        <v/>
      </c>
      <c r="AF497" s="11" t="inlineStr">
        <is>
          <t>E1</t>
        </is>
      </c>
      <c r="AG497" s="11" t="inlineStr">
        <is>
          <t>D1</t>
        </is>
      </c>
      <c r="AH497" s="11" t="inlineStr">
        <is>
          <t>E4</t>
        </is>
      </c>
      <c r="AI497" s="11" t="inlineStr">
        <is>
          <t>E4</t>
        </is>
      </c>
      <c r="AJ497" s="11" t="inlineStr">
        <is>
          <t>E1</t>
        </is>
      </c>
      <c r="AK497" s="11" t="inlineStr">
        <is>
          <t>PISA-F1</t>
        </is>
      </c>
      <c r="AL497" s="11" t="n"/>
      <c r="AM497" s="11">
        <f>IF(AK497="FUERA","Fuera del marco",IFERROR(INDEX('Datos - Catálogo PISA'!$C$5:$C$76,MATCH(AK497,'Datos - Catálogo PISA'!$A$5:$A$76,0)),"?"))</f>
        <v/>
      </c>
      <c r="AN497" s="11" t="inlineStr">
        <is>
          <t>Contenido</t>
        </is>
      </c>
      <c r="AO497" s="11" t="n"/>
      <c r="AP497" s="11" t="inlineStr">
        <is>
          <t>PISA-EP4;</t>
        </is>
      </c>
      <c r="AQ497" s="11" t="inlineStr">
        <is>
          <t>Sin contexto</t>
        </is>
      </c>
      <c r="AR497" s="11" t="n"/>
      <c r="AS497" s="11" t="inlineStr">
        <is>
          <t>Media</t>
        </is>
      </c>
      <c r="AT497" s="11" t="inlineStr">
        <is>
          <t>alta</t>
        </is>
      </c>
      <c r="AU497" s="11" t="inlineStr">
        <is>
          <t>Modelo de partículas para explicar la solubilidad</t>
        </is>
      </c>
      <c r="AV497" s="11" t="inlineStr">
        <is>
          <t>Ciclo 7°–9°</t>
        </is>
      </c>
      <c r="AW497" s="11">
        <f>AF497&amp;"; "&amp;AG497&amp;"; "&amp;AH497&amp;"; "&amp;AI497&amp;"; "&amp;AJ497</f>
        <v/>
      </c>
    </row>
    <row r="498">
      <c r="A498" s="11" t="inlineStr">
        <is>
          <t>T1132-G08-CIE</t>
        </is>
      </c>
      <c r="B498" s="11" t="n">
        <v>8</v>
      </c>
      <c r="C498" s="11" t="inlineStr">
        <is>
          <t>Ciencias</t>
        </is>
      </c>
      <c r="D498" s="11" t="inlineStr">
        <is>
          <t>Matriz_Ciencias_8vo_Grado_U1_U7.xlsx</t>
        </is>
      </c>
      <c r="E498" s="11" t="inlineStr">
        <is>
          <t>Unidad 4 - Estequiometría y dis</t>
        </is>
      </c>
      <c r="F498" s="11" t="n">
        <v>20</v>
      </c>
      <c r="G498" s="11" t="inlineStr">
        <is>
          <t>4. Estequiometría y dispersiones</t>
        </is>
      </c>
      <c r="H498" s="11" t="inlineStr">
        <is>
          <t>Propiedades coligativas de las soluciones</t>
        </is>
      </c>
      <c r="I498" s="38" t="inlineStr">
        <is>
          <t>4.18. Demostración de las propiedades coligativas.</t>
        </is>
      </c>
      <c r="J498" s="11" t="inlineStr">
        <is>
          <t>T8_27</t>
        </is>
      </c>
      <c r="K498" s="11" t="inlineStr">
        <is>
          <t>T8_27-C2.2</t>
        </is>
      </c>
      <c r="L498" s="11" t="inlineStr">
        <is>
          <t>T8_27-P1.2</t>
        </is>
      </c>
      <c r="M498" s="11">
        <f>IF(K498="FUERA","Fuera del marco",IF(K498="N/A","Sin marco",IFERROR(INDEX('Datos - Catálogo TIMSS'!$C$5:$C$107,MATCH(K498,'Datos - Catálogo TIMSS'!$A$5:$A$107,0)),"Pendiente de clasificar")))</f>
        <v/>
      </c>
      <c r="N498" s="11">
        <f>IF(K498="FUERA","Fuera del marco",IF(K498="N/A","Sin marco",IFERROR(INDEX('Datos - Catálogo TIMSS'!$F$5:$F$107,MATCH(K498,'Datos - Catálogo TIMSS'!$A$5:$A$107,0)),"Pendiente de clasificar")))</f>
        <v/>
      </c>
      <c r="O498" s="11">
        <f>IF(L498="","",IFERROR(INDEX('Datos - Catálogo TIMSS'!$C$5:$C$107,MATCH(L498,'Datos - Catálogo TIMSS'!$A$5:$A$107,0)),"?"))</f>
        <v/>
      </c>
      <c r="P498" s="11" t="inlineStr">
        <is>
          <t>media</t>
        </is>
      </c>
      <c r="Q498" s="38" t="inlineStr">
        <is>
          <t>Propiedades coligativas: disoluciones y cambios de puntos de fusión y ebullición</t>
        </is>
      </c>
      <c r="R498" s="38" t="inlineStr">
        <is>
          <t>Conocer: identificar</t>
        </is>
      </c>
      <c r="S498" s="39">
        <f>IFERROR(ISNUMBER(SEARCH("Conocer",$R498))/(ISNUMBER(SEARCH("Conocer",$R498))+ISNUMBER(SEARCH("Aplicar",$R498))+ISNUMBER(SEARCH("Razonar",$R498))),0)</f>
        <v/>
      </c>
      <c r="T498" s="39">
        <f>IFERROR(ISNUMBER(SEARCH("Aplicar",$R498))/(ISNUMBER(SEARCH("Conocer",$R498))+ISNUMBER(SEARCH("Aplicar",$R498))+ISNUMBER(SEARCH("Razonar",$R498))),0)</f>
        <v/>
      </c>
      <c r="U498" s="39">
        <f>IFERROR(ISNUMBER(SEARCH("Razonar",$R498))/(ISNUMBER(SEARCH("Conocer",$R498))+ISNUMBER(SEARCH("Aplicar",$R498))+ISNUMBER(SEARCH("Razonar",$R498))),0)</f>
        <v/>
      </c>
      <c r="V498" s="11" t="inlineStr">
        <is>
          <t>8°</t>
        </is>
      </c>
      <c r="W498" s="11" t="inlineStr">
        <is>
          <t>Ciclo 5°–8°</t>
        </is>
      </c>
      <c r="X498" s="11">
        <f>IF(OR(IFERROR(INDEX('Datos - Catálogo TIMSS'!$I$5:$I$107,MATCH(K498,'Datos - Catálogo TIMSS'!$A$5:$A$107,0)),"No")="Sí",IFERROR(INDEX('Datos - Catálogo TIMSS'!$I$5:$I$107,MATCH(L498,'Datos - Catálogo TIMSS'!$A$5:$A$107,0)),"No")="Sí"),1,0)</f>
        <v/>
      </c>
      <c r="Y498" s="11">
        <f>IF(IFERROR(INDEX('Datos - Catálogo TIMSS'!$J$5:$J$107,MATCH(K498,'Datos - Catálogo TIMSS'!$A$5:$A$107,0)),"No")="Sí",1,0)</f>
        <v/>
      </c>
      <c r="Z498" s="11">
        <f>IF(IFERROR(INDEX('Datos - Catálogo TIMSS'!$J$5:$J$107,MATCH(L498,'Datos - Catálogo TIMSS'!$A$5:$A$107,0)),"No")="Sí",1,0)</f>
        <v/>
      </c>
      <c r="AA498" s="11" t="inlineStr">
        <is>
          <t>T8-Q2.3</t>
        </is>
      </c>
      <c r="AB498" s="11" t="inlineStr">
        <is>
          <t>T8-F1.2</t>
        </is>
      </c>
      <c r="AC498" s="11">
        <f>IF(AA498="FUERA","Fuera del marco",IF(AA498="N/A","Sin marco",IFERROR(INDEX('Datos - TIMSS 2023'!$C$5:$C$105,MATCH(AA498,'Datos - TIMSS 2023'!$A$5:$A$105,0)),"Pendiente de clasificar")))</f>
        <v/>
      </c>
      <c r="AD498" s="11" t="inlineStr">
        <is>
          <t>1. Explicar fenómenos científicamente</t>
        </is>
      </c>
      <c r="AE498" s="11">
        <f>IF(AD498="","",IF(LEFT(AD498,1)="1","C1",IF(LEFT(AD498,1)="2","C2",IF(LEFT(AD498,1)="3","C3",""))))</f>
        <v/>
      </c>
      <c r="AF498" s="11" t="inlineStr">
        <is>
          <t>E1</t>
        </is>
      </c>
      <c r="AG498" s="11" t="inlineStr">
        <is>
          <t>D1</t>
        </is>
      </c>
      <c r="AH498" s="11" t="inlineStr">
        <is>
          <t>E1</t>
        </is>
      </c>
      <c r="AI498" s="11" t="inlineStr">
        <is>
          <t>D4</t>
        </is>
      </c>
      <c r="AJ498" s="11" t="inlineStr">
        <is>
          <t>E6</t>
        </is>
      </c>
      <c r="AK498" s="11" t="inlineStr">
        <is>
          <t>PISA-F1</t>
        </is>
      </c>
      <c r="AL498" s="11" t="n"/>
      <c r="AM498" s="11">
        <f>IF(AK498="FUERA","Fuera del marco",IFERROR(INDEX('Datos - Catálogo PISA'!$C$5:$C$76,MATCH(AK498,'Datos - Catálogo PISA'!$A$5:$A$76,0)),"?"))</f>
        <v/>
      </c>
      <c r="AN498" s="11" t="inlineStr">
        <is>
          <t>Contenido</t>
        </is>
      </c>
      <c r="AO498" s="11" t="n"/>
      <c r="AP498" s="11" t="n"/>
      <c r="AQ498" s="11" t="inlineStr">
        <is>
          <t>Sin contexto</t>
        </is>
      </c>
      <c r="AR498" s="11" t="n"/>
      <c r="AS498" s="11" t="inlineStr">
        <is>
          <t>Baja</t>
        </is>
      </c>
      <c r="AT498" s="11" t="inlineStr">
        <is>
          <t>alta</t>
        </is>
      </c>
      <c r="AU498" s="11" t="inlineStr">
        <is>
          <t>Propiedades coligativas de las soluciones</t>
        </is>
      </c>
      <c r="AV498" s="11" t="inlineStr">
        <is>
          <t>Ciclo 7°–9°</t>
        </is>
      </c>
      <c r="AW498" s="11">
        <f>AF498&amp;"; "&amp;AG498&amp;"; "&amp;AH498&amp;"; "&amp;AI498&amp;"; "&amp;AJ498</f>
        <v/>
      </c>
    </row>
    <row r="499">
      <c r="A499" s="11" t="inlineStr">
        <is>
          <t>T1133-G08-CIE</t>
        </is>
      </c>
      <c r="B499" s="11" t="n">
        <v>8</v>
      </c>
      <c r="C499" s="11" t="inlineStr">
        <is>
          <t>Ciencias</t>
        </is>
      </c>
      <c r="D499" s="11" t="inlineStr">
        <is>
          <t>Matriz_Ciencias_8vo_Grado_U1_U7.xlsx</t>
        </is>
      </c>
      <c r="E499" s="11" t="inlineStr">
        <is>
          <t>Unidad 4 - Estequiometría y dis</t>
        </is>
      </c>
      <c r="F499" s="11" t="n">
        <v>21</v>
      </c>
      <c r="G499" s="11" t="inlineStr">
        <is>
          <t>4. Estequiometría y dispersiones</t>
        </is>
      </c>
      <c r="H499" s="11" t="inlineStr">
        <is>
          <t>Propiedades coligativas de las soluciones.</t>
        </is>
      </c>
      <c r="I499" s="38" t="inlineStr">
        <is>
          <t>4.19. Experimentación con las propiedades coligativas.</t>
        </is>
      </c>
      <c r="J499" s="11" t="inlineStr">
        <is>
          <t>T8_27</t>
        </is>
      </c>
      <c r="K499" s="11" t="inlineStr">
        <is>
          <t>T8_27-C2.2</t>
        </is>
      </c>
      <c r="L499" s="11" t="inlineStr">
        <is>
          <t>T8_27-P1.2</t>
        </is>
      </c>
      <c r="M499" s="11">
        <f>IF(K499="FUERA","Fuera del marco",IF(K499="N/A","Sin marco",IFERROR(INDEX('Datos - Catálogo TIMSS'!$C$5:$C$107,MATCH(K499,'Datos - Catálogo TIMSS'!$A$5:$A$107,0)),"Pendiente de clasificar")))</f>
        <v/>
      </c>
      <c r="N499" s="11">
        <f>IF(K499="FUERA","Fuera del marco",IF(K499="N/A","Sin marco",IFERROR(INDEX('Datos - Catálogo TIMSS'!$F$5:$F$107,MATCH(K499,'Datos - Catálogo TIMSS'!$A$5:$A$107,0)),"Pendiente de clasificar")))</f>
        <v/>
      </c>
      <c r="O499" s="11">
        <f>IF(L499="","",IFERROR(INDEX('Datos - Catálogo TIMSS'!$C$5:$C$107,MATCH(L499,'Datos - Catálogo TIMSS'!$A$5:$A$107,0)),"?"))</f>
        <v/>
      </c>
      <c r="P499" s="11" t="inlineStr">
        <is>
          <t>media</t>
        </is>
      </c>
      <c r="Q499" s="38" t="inlineStr">
        <is>
          <t>Experimento: concentración de sal y temperatura de congelación</t>
        </is>
      </c>
      <c r="R499" s="38" t="inlineStr">
        <is>
          <t>Aplicar: medir. Razonar: interpretar</t>
        </is>
      </c>
      <c r="S499" s="39">
        <f>IFERROR(ISNUMBER(SEARCH("Conocer",$R499))/(ISNUMBER(SEARCH("Conocer",$R499))+ISNUMBER(SEARCH("Aplicar",$R499))+ISNUMBER(SEARCH("Razonar",$R499))),0)</f>
        <v/>
      </c>
      <c r="T499" s="39">
        <f>IFERROR(ISNUMBER(SEARCH("Aplicar",$R499))/(ISNUMBER(SEARCH("Conocer",$R499))+ISNUMBER(SEARCH("Aplicar",$R499))+ISNUMBER(SEARCH("Razonar",$R499))),0)</f>
        <v/>
      </c>
      <c r="U499" s="39">
        <f>IFERROR(ISNUMBER(SEARCH("Razonar",$R499))/(ISNUMBER(SEARCH("Conocer",$R499))+ISNUMBER(SEARCH("Aplicar",$R499))+ISNUMBER(SEARCH("Razonar",$R499))),0)</f>
        <v/>
      </c>
      <c r="V499" s="11" t="inlineStr">
        <is>
          <t>8°</t>
        </is>
      </c>
      <c r="W499" s="11" t="inlineStr">
        <is>
          <t>Ciclo 5°–8°</t>
        </is>
      </c>
      <c r="X499" s="11">
        <f>IF(OR(IFERROR(INDEX('Datos - Catálogo TIMSS'!$I$5:$I$107,MATCH(K499,'Datos - Catálogo TIMSS'!$A$5:$A$107,0)),"No")="Sí",IFERROR(INDEX('Datos - Catálogo TIMSS'!$I$5:$I$107,MATCH(L499,'Datos - Catálogo TIMSS'!$A$5:$A$107,0)),"No")="Sí"),1,0)</f>
        <v/>
      </c>
      <c r="Y499" s="11">
        <f>IF(IFERROR(INDEX('Datos - Catálogo TIMSS'!$J$5:$J$107,MATCH(K499,'Datos - Catálogo TIMSS'!$A$5:$A$107,0)),"No")="Sí",1,0)</f>
        <v/>
      </c>
      <c r="Z499" s="11">
        <f>IF(IFERROR(INDEX('Datos - Catálogo TIMSS'!$J$5:$J$107,MATCH(L499,'Datos - Catálogo TIMSS'!$A$5:$A$107,0)),"No")="Sí",1,0)</f>
        <v/>
      </c>
      <c r="AA499" s="11" t="inlineStr">
        <is>
          <t>T8-Q2.3</t>
        </is>
      </c>
      <c r="AB499" s="11" t="inlineStr">
        <is>
          <t>T8-F1.2</t>
        </is>
      </c>
      <c r="AC499" s="11">
        <f>IF(AA499="FUERA","Fuera del marco",IF(AA499="N/A","Sin marco",IFERROR(INDEX('Datos - TIMSS 2023'!$C$5:$C$105,MATCH(AA499,'Datos - TIMSS 2023'!$A$5:$A$105,0)),"Pendiente de clasificar")))</f>
        <v/>
      </c>
      <c r="AD499" s="11" t="inlineStr">
        <is>
          <t>2. Construir y evaluar diseños para la indagación científica e interpretar datos y evidencia de forma crítica</t>
        </is>
      </c>
      <c r="AE499" s="11">
        <f>IF(AD499="","",IF(LEFT(AD499,1)="1","C1",IF(LEFT(AD499,1)="2","C2",IF(LEFT(AD499,1)="3","C3",""))))</f>
        <v/>
      </c>
      <c r="AF499" s="11" t="inlineStr">
        <is>
          <t>E1</t>
        </is>
      </c>
      <c r="AG499" s="11" t="inlineStr">
        <is>
          <t>E3</t>
        </is>
      </c>
      <c r="AH499" s="11" t="inlineStr">
        <is>
          <t>E1</t>
        </is>
      </c>
      <c r="AI499" s="11" t="inlineStr">
        <is>
          <t>D4</t>
        </is>
      </c>
      <c r="AJ499" s="11" t="inlineStr">
        <is>
          <t>E3</t>
        </is>
      </c>
      <c r="AK499" s="11" t="inlineStr">
        <is>
          <t>PISA-F1</t>
        </is>
      </c>
      <c r="AL499" s="11" t="n"/>
      <c r="AM499" s="11">
        <f>IF(AK499="FUERA","Fuera del marco",IFERROR(INDEX('Datos - Catálogo PISA'!$C$5:$C$76,MATCH(AK499,'Datos - Catálogo PISA'!$A$5:$A$76,0)),"?"))</f>
        <v/>
      </c>
      <c r="AN499" s="11" t="inlineStr">
        <is>
          <t>Contenido</t>
        </is>
      </c>
      <c r="AO499" s="11" t="inlineStr">
        <is>
          <t>PISA-PR1; PISA-PR5;</t>
        </is>
      </c>
      <c r="AP499" s="11" t="n"/>
      <c r="AQ499" s="11" t="inlineStr">
        <is>
          <t>Sin contexto</t>
        </is>
      </c>
      <c r="AR499" s="11" t="n"/>
      <c r="AS499" s="11" t="inlineStr">
        <is>
          <t>Media</t>
        </is>
      </c>
      <c r="AT499" s="11" t="inlineStr">
        <is>
          <t>alta</t>
        </is>
      </c>
      <c r="AU499" s="11" t="inlineStr">
        <is>
          <t>Experimento de punto de congelación según cantidad de sal</t>
        </is>
      </c>
      <c r="AV499" s="11" t="inlineStr">
        <is>
          <t>Ciclo 7°–9°</t>
        </is>
      </c>
      <c r="AW499" s="11">
        <f>AF499&amp;"; "&amp;AG499&amp;"; "&amp;AH499&amp;"; "&amp;AI499&amp;"; "&amp;AJ499</f>
        <v/>
      </c>
    </row>
    <row r="500">
      <c r="A500" s="11" t="inlineStr">
        <is>
          <t>T1134-G08-CIE</t>
        </is>
      </c>
      <c r="B500" s="11" t="n">
        <v>8</v>
      </c>
      <c r="C500" s="11" t="inlineStr">
        <is>
          <t>Ciencias</t>
        </is>
      </c>
      <c r="D500" s="11" t="inlineStr">
        <is>
          <t>Matriz_Ciencias_8vo_Grado_U1_U7.xlsx</t>
        </is>
      </c>
      <c r="E500" s="11" t="inlineStr">
        <is>
          <t>Unidad 4 - Estequiometría y dis</t>
        </is>
      </c>
      <c r="F500" s="11" t="n">
        <v>22</v>
      </c>
      <c r="G500" s="11" t="inlineStr">
        <is>
          <t>4. Estequiometría y dispersiones</t>
        </is>
      </c>
      <c r="H500" s="11" t="inlineStr">
        <is>
          <t>Propiedades coligativas de las soluciones.</t>
        </is>
      </c>
      <c r="I500" s="38" t="inlineStr">
        <is>
          <t>4.20. Descripción de las aplicaciones industriales de las propiedades coligativas.</t>
        </is>
      </c>
      <c r="J500" s="11" t="inlineStr">
        <is>
          <t>T8_27</t>
        </is>
      </c>
      <c r="K500" s="11" t="inlineStr">
        <is>
          <t>T8_27-C2.2</t>
        </is>
      </c>
      <c r="L500" s="11" t="inlineStr"/>
      <c r="M500" s="11">
        <f>IF(K500="FUERA","Fuera del marco",IF(K500="N/A","Sin marco",IFERROR(INDEX('Datos - Catálogo TIMSS'!$C$5:$C$107,MATCH(K500,'Datos - Catálogo TIMSS'!$A$5:$A$107,0)),"Pendiente de clasificar")))</f>
        <v/>
      </c>
      <c r="N500" s="11">
        <f>IF(K500="FUERA","Fuera del marco",IF(K500="N/A","Sin marco",IFERROR(INDEX('Datos - Catálogo TIMSS'!$F$5:$F$107,MATCH(K500,'Datos - Catálogo TIMSS'!$A$5:$A$107,0)),"Pendiente de clasificar")))</f>
        <v/>
      </c>
      <c r="O500" s="11">
        <f>IF(L500="","",IFERROR(INDEX('Datos - Catálogo TIMSS'!$C$5:$C$107,MATCH(L500,'Datos - Catálogo TIMSS'!$A$5:$A$107,0)),"?"))</f>
        <v/>
      </c>
      <c r="P500" s="11" t="inlineStr">
        <is>
          <t>media</t>
        </is>
      </c>
      <c r="Q500" s="38" t="inlineStr">
        <is>
          <t>Aplicaciones industriales de propiedades coligativas de disoluciones</t>
        </is>
      </c>
      <c r="R500" s="38" t="inlineStr">
        <is>
          <t>Aplicar: describir. Razonar: justificar</t>
        </is>
      </c>
      <c r="S500" s="39">
        <f>IFERROR(ISNUMBER(SEARCH("Conocer",$R500))/(ISNUMBER(SEARCH("Conocer",$R500))+ISNUMBER(SEARCH("Aplicar",$R500))+ISNUMBER(SEARCH("Razonar",$R500))),0)</f>
        <v/>
      </c>
      <c r="T500" s="39">
        <f>IFERROR(ISNUMBER(SEARCH("Aplicar",$R500))/(ISNUMBER(SEARCH("Conocer",$R500))+ISNUMBER(SEARCH("Aplicar",$R500))+ISNUMBER(SEARCH("Razonar",$R500))),0)</f>
        <v/>
      </c>
      <c r="U500" s="39">
        <f>IFERROR(ISNUMBER(SEARCH("Razonar",$R500))/(ISNUMBER(SEARCH("Conocer",$R500))+ISNUMBER(SEARCH("Aplicar",$R500))+ISNUMBER(SEARCH("Razonar",$R500))),0)</f>
        <v/>
      </c>
      <c r="V500" s="11" t="inlineStr">
        <is>
          <t>8°</t>
        </is>
      </c>
      <c r="W500" s="11" t="inlineStr">
        <is>
          <t>Ciclo 5°–8°</t>
        </is>
      </c>
      <c r="X500" s="11">
        <f>IF(OR(IFERROR(INDEX('Datos - Catálogo TIMSS'!$I$5:$I$107,MATCH(K500,'Datos - Catálogo TIMSS'!$A$5:$A$107,0)),"No")="Sí",IFERROR(INDEX('Datos - Catálogo TIMSS'!$I$5:$I$107,MATCH(L500,'Datos - Catálogo TIMSS'!$A$5:$A$107,0)),"No")="Sí"),1,0)</f>
        <v/>
      </c>
      <c r="Y500" s="11">
        <f>IF(IFERROR(INDEX('Datos - Catálogo TIMSS'!$J$5:$J$107,MATCH(K500,'Datos - Catálogo TIMSS'!$A$5:$A$107,0)),"No")="Sí",1,0)</f>
        <v/>
      </c>
      <c r="Z500" s="11">
        <f>IF(IFERROR(INDEX('Datos - Catálogo TIMSS'!$J$5:$J$107,MATCH(L500,'Datos - Catálogo TIMSS'!$A$5:$A$107,0)),"No")="Sí",1,0)</f>
        <v/>
      </c>
      <c r="AA500" s="11" t="inlineStr">
        <is>
          <t>T8-Q2.3</t>
        </is>
      </c>
      <c r="AB500" s="11" t="inlineStr"/>
      <c r="AC500" s="11">
        <f>IF(AA500="FUERA","Fuera del marco",IF(AA500="N/A","Sin marco",IFERROR(INDEX('Datos - TIMSS 2023'!$C$5:$C$105,MATCH(AA500,'Datos - TIMSS 2023'!$A$5:$A$105,0)),"Pendiente de clasificar")))</f>
        <v/>
      </c>
      <c r="AD500" s="11" t="inlineStr">
        <is>
          <t>3. Investigar, evaluar y usar información científica para tomar decisiones y actuar</t>
        </is>
      </c>
      <c r="AE500" s="11">
        <f>IF(AD500="","",IF(LEFT(AD500,1)="1","C1",IF(LEFT(AD500,1)="2","C2",IF(LEFT(AD500,1)="3","C3",""))))</f>
        <v/>
      </c>
      <c r="AF500" s="11" t="inlineStr">
        <is>
          <t>E1</t>
        </is>
      </c>
      <c r="AG500" s="11" t="inlineStr">
        <is>
          <t>D1</t>
        </is>
      </c>
      <c r="AH500" s="11" t="inlineStr">
        <is>
          <t>E1</t>
        </is>
      </c>
      <c r="AI500" s="11" t="inlineStr">
        <is>
          <t>I1</t>
        </is>
      </c>
      <c r="AJ500" s="11" t="inlineStr">
        <is>
          <t>I5</t>
        </is>
      </c>
      <c r="AK500" s="11" t="inlineStr">
        <is>
          <t>PISA-F1</t>
        </is>
      </c>
      <c r="AL500" s="11" t="n"/>
      <c r="AM500" s="11">
        <f>IF(AK500="FUERA","Fuera del marco",IFERROR(INDEX('Datos - Catálogo PISA'!$C$5:$C$76,MATCH(AK500,'Datos - Catálogo PISA'!$A$5:$A$76,0)),"?"))</f>
        <v/>
      </c>
      <c r="AN500" s="11" t="inlineStr">
        <is>
          <t>Contenido</t>
        </is>
      </c>
      <c r="AO500" s="11" t="n"/>
      <c r="AP500" s="11" t="n"/>
      <c r="AQ500" s="11" t="inlineStr">
        <is>
          <t>Global</t>
        </is>
      </c>
      <c r="AR500" s="11" t="inlineStr">
        <is>
          <t>Avances y desafíos científicos y tecnológicos</t>
        </is>
      </c>
      <c r="AS500" s="11" t="inlineStr">
        <is>
          <t>Media</t>
        </is>
      </c>
      <c r="AT500" s="11" t="inlineStr">
        <is>
          <t>media</t>
        </is>
      </c>
      <c r="AU500" s="11" t="inlineStr">
        <is>
          <t>Aplicaciones industriales de propiedades coligativas con fuentes</t>
        </is>
      </c>
      <c r="AV500" s="11" t="inlineStr">
        <is>
          <t>Ciclo 7°–9°</t>
        </is>
      </c>
      <c r="AW500" s="11">
        <f>AF500&amp;"; "&amp;AG500&amp;"; "&amp;AH500&amp;"; "&amp;AI500&amp;"; "&amp;AJ500</f>
        <v/>
      </c>
    </row>
    <row r="501">
      <c r="A501" s="11" t="inlineStr">
        <is>
          <t>T1135-G08-CIE</t>
        </is>
      </c>
      <c r="B501" s="11" t="n">
        <v>8</v>
      </c>
      <c r="C501" s="11" t="inlineStr">
        <is>
          <t>Ciencias</t>
        </is>
      </c>
      <c r="D501" s="11" t="inlineStr">
        <is>
          <t>Matriz_Ciencias_8vo_Grado_U1_U7.xlsx</t>
        </is>
      </c>
      <c r="E501" s="11" t="inlineStr">
        <is>
          <t>Unidad 5 - Minerales</t>
        </is>
      </c>
      <c r="F501" s="11" t="n">
        <v>3</v>
      </c>
      <c r="G501" s="11" t="inlineStr">
        <is>
          <t>5. Minerales</t>
        </is>
      </c>
      <c r="H501" s="11" t="inlineStr">
        <is>
          <t>¿Qué es un mineral?</t>
        </is>
      </c>
      <c r="I501" s="38" t="inlineStr">
        <is>
          <t>5.1. Indagación de la ocurrencia de minerales en la vida cotidiana.</t>
        </is>
      </c>
      <c r="J501" s="11" t="inlineStr">
        <is>
          <t>T8_27</t>
        </is>
      </c>
      <c r="K501" s="11" t="inlineStr">
        <is>
          <t>T8_27-E3.2</t>
        </is>
      </c>
      <c r="L501" s="11" t="inlineStr"/>
      <c r="M501" s="11">
        <f>IF(K501="FUERA","Fuera del marco",IF(K501="N/A","Sin marco",IFERROR(INDEX('Datos - Catálogo TIMSS'!$C$5:$C$107,MATCH(K501,'Datos - Catálogo TIMSS'!$A$5:$A$107,0)),"Pendiente de clasificar")))</f>
        <v/>
      </c>
      <c r="N501" s="11">
        <f>IF(K501="FUERA","Fuera del marco",IF(K501="N/A","Sin marco",IFERROR(INDEX('Datos - Catálogo TIMSS'!$F$5:$F$107,MATCH(K501,'Datos - Catálogo TIMSS'!$A$5:$A$107,0)),"Pendiente de clasificar")))</f>
        <v/>
      </c>
      <c r="O501" s="11">
        <f>IF(L501="","",IFERROR(INDEX('Datos - Catálogo TIMSS'!$C$5:$C$107,MATCH(L501,'Datos - Catálogo TIMSS'!$A$5:$A$107,0)),"?"))</f>
        <v/>
      </c>
      <c r="P501" s="11" t="inlineStr">
        <is>
          <t>media</t>
        </is>
      </c>
      <c r="Q501" s="38" t="inlineStr">
        <is>
          <t>Minerales como recursos de la Tierra en objetos cotidianos</t>
        </is>
      </c>
      <c r="R501" s="38" t="inlineStr">
        <is>
          <t>Conocer: ejemplificar</t>
        </is>
      </c>
      <c r="S501" s="39">
        <f>IFERROR(ISNUMBER(SEARCH("Conocer",$R501))/(ISNUMBER(SEARCH("Conocer",$R501))+ISNUMBER(SEARCH("Aplicar",$R501))+ISNUMBER(SEARCH("Razonar",$R501))),0)</f>
        <v/>
      </c>
      <c r="T501" s="39">
        <f>IFERROR(ISNUMBER(SEARCH("Aplicar",$R501))/(ISNUMBER(SEARCH("Conocer",$R501))+ISNUMBER(SEARCH("Aplicar",$R501))+ISNUMBER(SEARCH("Razonar",$R501))),0)</f>
        <v/>
      </c>
      <c r="U501" s="39">
        <f>IFERROR(ISNUMBER(SEARCH("Razonar",$R501))/(ISNUMBER(SEARCH("Conocer",$R501))+ISNUMBER(SEARCH("Aplicar",$R501))+ISNUMBER(SEARCH("Razonar",$R501))),0)</f>
        <v/>
      </c>
      <c r="V501" s="11" t="inlineStr">
        <is>
          <t>8°</t>
        </is>
      </c>
      <c r="W501" s="11" t="inlineStr">
        <is>
          <t>Ciclo 5°–8°</t>
        </is>
      </c>
      <c r="X501" s="11">
        <f>IF(OR(IFERROR(INDEX('Datos - Catálogo TIMSS'!$I$5:$I$107,MATCH(K501,'Datos - Catálogo TIMSS'!$A$5:$A$107,0)),"No")="Sí",IFERROR(INDEX('Datos - Catálogo TIMSS'!$I$5:$I$107,MATCH(L501,'Datos - Catálogo TIMSS'!$A$5:$A$107,0)),"No")="Sí"),1,0)</f>
        <v/>
      </c>
      <c r="Y501" s="11">
        <f>IF(IFERROR(INDEX('Datos - Catálogo TIMSS'!$J$5:$J$107,MATCH(K501,'Datos - Catálogo TIMSS'!$A$5:$A$107,0)),"No")="Sí",1,0)</f>
        <v/>
      </c>
      <c r="Z501" s="11">
        <f>IF(IFERROR(INDEX('Datos - Catálogo TIMSS'!$J$5:$J$107,MATCH(L501,'Datos - Catálogo TIMSS'!$A$5:$A$107,0)),"No")="Sí",1,0)</f>
        <v/>
      </c>
      <c r="AA501" s="11" t="inlineStr">
        <is>
          <t>T8-T3.1</t>
        </is>
      </c>
      <c r="AB501" s="11" t="inlineStr"/>
      <c r="AC501" s="11">
        <f>IF(AA501="FUERA","Fuera del marco",IF(AA501="N/A","Sin marco",IFERROR(INDEX('Datos - TIMSS 2023'!$C$5:$C$105,MATCH(AA501,'Datos - TIMSS 2023'!$A$5:$A$105,0)),"Pendiente de clasificar")))</f>
        <v/>
      </c>
      <c r="AD501" s="11" t="inlineStr">
        <is>
          <t>1. Explicar fenómenos científicamente</t>
        </is>
      </c>
      <c r="AE501" s="11">
        <f>IF(AD501="","",IF(LEFT(AD501,1)="1","C1",IF(LEFT(AD501,1)="2","C2",IF(LEFT(AD501,1)="3","C3",""))))</f>
        <v/>
      </c>
      <c r="AF501" s="11" t="inlineStr">
        <is>
          <t>E1</t>
        </is>
      </c>
      <c r="AG501" s="11" t="inlineStr">
        <is>
          <t>D1</t>
        </is>
      </c>
      <c r="AH501" s="11" t="inlineStr">
        <is>
          <t>E1</t>
        </is>
      </c>
      <c r="AI501" s="11" t="inlineStr">
        <is>
          <t>D4</t>
        </is>
      </c>
      <c r="AJ501" s="11" t="inlineStr">
        <is>
          <t>E6</t>
        </is>
      </c>
      <c r="AK501" s="11" t="inlineStr">
        <is>
          <t>PISA-T2</t>
        </is>
      </c>
      <c r="AL501" s="11" t="n"/>
      <c r="AM501" s="11">
        <f>IF(AK501="FUERA","Fuera del marco",IFERROR(INDEX('Datos - Catálogo PISA'!$C$5:$C$76,MATCH(AK501,'Datos - Catálogo PISA'!$A$5:$A$76,0)),"?"))</f>
        <v/>
      </c>
      <c r="AN501" s="11" t="inlineStr">
        <is>
          <t>Contenido</t>
        </is>
      </c>
      <c r="AO501" s="11" t="n"/>
      <c r="AP501" s="11" t="n"/>
      <c r="AQ501" s="11" t="inlineStr">
        <is>
          <t>Personal</t>
        </is>
      </c>
      <c r="AR501" s="11" t="inlineStr">
        <is>
          <t>Recursos naturales</t>
        </is>
      </c>
      <c r="AS501" s="11" t="inlineStr">
        <is>
          <t>Baja</t>
        </is>
      </c>
      <c r="AT501" s="11" t="inlineStr">
        <is>
          <t>media</t>
        </is>
      </c>
      <c r="AU501" s="11" t="inlineStr">
        <is>
          <t>Uso de minerales en objetos cotidianos</t>
        </is>
      </c>
      <c r="AV501" s="11" t="inlineStr">
        <is>
          <t>Ciclo 7°–9°</t>
        </is>
      </c>
      <c r="AW501" s="11">
        <f>AF501&amp;"; "&amp;AG501&amp;"; "&amp;AH501&amp;"; "&amp;AI501&amp;"; "&amp;AJ501</f>
        <v/>
      </c>
    </row>
    <row r="502">
      <c r="A502" s="11" t="inlineStr">
        <is>
          <t>T1136-G08-CIE</t>
        </is>
      </c>
      <c r="B502" s="11" t="n">
        <v>8</v>
      </c>
      <c r="C502" s="11" t="inlineStr">
        <is>
          <t>Ciencias</t>
        </is>
      </c>
      <c r="D502" s="11" t="inlineStr">
        <is>
          <t>Matriz_Ciencias_8vo_Grado_U1_U7.xlsx</t>
        </is>
      </c>
      <c r="E502" s="11" t="inlineStr">
        <is>
          <t>Unidad 5 - Minerales</t>
        </is>
      </c>
      <c r="F502" s="11" t="n">
        <v>4</v>
      </c>
      <c r="G502" s="11" t="inlineStr">
        <is>
          <t>5. Minerales</t>
        </is>
      </c>
      <c r="H502" s="11" t="inlineStr">
        <is>
          <t>Propiedades de los minerales</t>
        </is>
      </c>
      <c r="I502" s="38" t="inlineStr">
        <is>
          <t>5.2. Caracterización de los minerales con base en sus propiedades físicas.</t>
        </is>
      </c>
      <c r="J502" s="11" t="inlineStr">
        <is>
          <t>T8_27</t>
        </is>
      </c>
      <c r="K502" s="11" t="inlineStr">
        <is>
          <t>T8_27-C2.1</t>
        </is>
      </c>
      <c r="L502" s="11" t="inlineStr"/>
      <c r="M502" s="11">
        <f>IF(K502="FUERA","Fuera del marco",IF(K502="N/A","Sin marco",IFERROR(INDEX('Datos - Catálogo TIMSS'!$C$5:$C$107,MATCH(K502,'Datos - Catálogo TIMSS'!$A$5:$A$107,0)),"Pendiente de clasificar")))</f>
        <v/>
      </c>
      <c r="N502" s="11">
        <f>IF(K502="FUERA","Fuera del marco",IF(K502="N/A","Sin marco",IFERROR(INDEX('Datos - Catálogo TIMSS'!$F$5:$F$107,MATCH(K502,'Datos - Catálogo TIMSS'!$A$5:$A$107,0)),"Pendiente de clasificar")))</f>
        <v/>
      </c>
      <c r="O502" s="11">
        <f>IF(L502="","",IFERROR(INDEX('Datos - Catálogo TIMSS'!$C$5:$C$107,MATCH(L502,'Datos - Catálogo TIMSS'!$A$5:$A$107,0)),"?"))</f>
        <v/>
      </c>
      <c r="P502" s="11" t="inlineStr">
        <is>
          <t>media</t>
        </is>
      </c>
      <c r="Q502" s="38" t="inlineStr">
        <is>
          <t>Clasificar minerales por propiedades físicas</t>
        </is>
      </c>
      <c r="R502" s="38" t="inlineStr">
        <is>
          <t>Aplicar: caracterizar</t>
        </is>
      </c>
      <c r="S502" s="39">
        <f>IFERROR(ISNUMBER(SEARCH("Conocer",$R502))/(ISNUMBER(SEARCH("Conocer",$R502))+ISNUMBER(SEARCH("Aplicar",$R502))+ISNUMBER(SEARCH("Razonar",$R502))),0)</f>
        <v/>
      </c>
      <c r="T502" s="39">
        <f>IFERROR(ISNUMBER(SEARCH("Aplicar",$R502))/(ISNUMBER(SEARCH("Conocer",$R502))+ISNUMBER(SEARCH("Aplicar",$R502))+ISNUMBER(SEARCH("Razonar",$R502))),0)</f>
        <v/>
      </c>
      <c r="U502" s="39">
        <f>IFERROR(ISNUMBER(SEARCH("Razonar",$R502))/(ISNUMBER(SEARCH("Conocer",$R502))+ISNUMBER(SEARCH("Aplicar",$R502))+ISNUMBER(SEARCH("Razonar",$R502))),0)</f>
        <v/>
      </c>
      <c r="V502" s="11" t="inlineStr">
        <is>
          <t>8°</t>
        </is>
      </c>
      <c r="W502" s="11" t="inlineStr">
        <is>
          <t>Ciclo 5°–8°</t>
        </is>
      </c>
      <c r="X502" s="11">
        <f>IF(OR(IFERROR(INDEX('Datos - Catálogo TIMSS'!$I$5:$I$107,MATCH(K502,'Datos - Catálogo TIMSS'!$A$5:$A$107,0)),"No")="Sí",IFERROR(INDEX('Datos - Catálogo TIMSS'!$I$5:$I$107,MATCH(L502,'Datos - Catálogo TIMSS'!$A$5:$A$107,0)),"No")="Sí"),1,0)</f>
        <v/>
      </c>
      <c r="Y502" s="11">
        <f>IF(IFERROR(INDEX('Datos - Catálogo TIMSS'!$J$5:$J$107,MATCH(K502,'Datos - Catálogo TIMSS'!$A$5:$A$107,0)),"No")="Sí",1,0)</f>
        <v/>
      </c>
      <c r="Z502" s="11">
        <f>IF(IFERROR(INDEX('Datos - Catálogo TIMSS'!$J$5:$J$107,MATCH(L502,'Datos - Catálogo TIMSS'!$A$5:$A$107,0)),"No")="Sí",1,0)</f>
        <v/>
      </c>
      <c r="AA502" s="11" t="inlineStr">
        <is>
          <t>T8-Q2.2</t>
        </is>
      </c>
      <c r="AB502" s="11" t="inlineStr"/>
      <c r="AC502" s="11">
        <f>IF(AA502="FUERA","Fuera del marco",IF(AA502="N/A","Sin marco",IFERROR(INDEX('Datos - TIMSS 2023'!$C$5:$C$105,MATCH(AA502,'Datos - TIMSS 2023'!$A$5:$A$105,0)),"Pendiente de clasificar")))</f>
        <v/>
      </c>
      <c r="AD502" s="11" t="inlineStr">
        <is>
          <t>2. Construir y evaluar diseños para la indagación científica e interpretar datos y evidencia de forma crítica</t>
        </is>
      </c>
      <c r="AE502" s="11">
        <f>IF(AD502="","",IF(LEFT(AD502,1)="1","C1",IF(LEFT(AD502,1)="2","C2",IF(LEFT(AD502,1)="3","C3",""))))</f>
        <v/>
      </c>
      <c r="AF502" s="11" t="inlineStr">
        <is>
          <t>E1</t>
        </is>
      </c>
      <c r="AG502" s="11" t="inlineStr">
        <is>
          <t>D1</t>
        </is>
      </c>
      <c r="AH502" s="11" t="inlineStr">
        <is>
          <t>E1</t>
        </is>
      </c>
      <c r="AI502" s="11" t="inlineStr">
        <is>
          <t>D4</t>
        </is>
      </c>
      <c r="AJ502" s="11" t="inlineStr">
        <is>
          <t>E1</t>
        </is>
      </c>
      <c r="AK502" s="11" t="inlineStr">
        <is>
          <t>PISA-T1</t>
        </is>
      </c>
      <c r="AL502" s="11" t="inlineStr">
        <is>
          <t>PISA-F1</t>
        </is>
      </c>
      <c r="AM502" s="11">
        <f>IF(AK502="FUERA","Fuera del marco",IFERROR(INDEX('Datos - Catálogo PISA'!$C$5:$C$76,MATCH(AK502,'Datos - Catálogo PISA'!$A$5:$A$76,0)),"?"))</f>
        <v/>
      </c>
      <c r="AN502" s="11" t="inlineStr">
        <is>
          <t>Contenido</t>
        </is>
      </c>
      <c r="AO502" s="11" t="inlineStr">
        <is>
          <t>PISA-PR2;</t>
        </is>
      </c>
      <c r="AP502" s="11" t="n"/>
      <c r="AQ502" s="11" t="inlineStr">
        <is>
          <t>Sin contexto</t>
        </is>
      </c>
      <c r="AR502" s="11" t="n"/>
      <c r="AS502" s="11" t="inlineStr">
        <is>
          <t>Media</t>
        </is>
      </c>
      <c r="AT502" s="11" t="inlineStr">
        <is>
          <t>media</t>
        </is>
      </c>
      <c r="AU502" s="11" t="inlineStr">
        <is>
          <t>Propiedades físicas de minerales; geosfera y materia</t>
        </is>
      </c>
      <c r="AV502" s="11" t="inlineStr">
        <is>
          <t>Ciclo 7°–9°</t>
        </is>
      </c>
      <c r="AW502" s="11">
        <f>AF502&amp;"; "&amp;AG502&amp;"; "&amp;AH502&amp;"; "&amp;AI502&amp;"; "&amp;AJ502</f>
        <v/>
      </c>
    </row>
    <row r="503">
      <c r="A503" s="11" t="inlineStr">
        <is>
          <t>T1137-G08-CIE</t>
        </is>
      </c>
      <c r="B503" s="11" t="n">
        <v>8</v>
      </c>
      <c r="C503" s="11" t="inlineStr">
        <is>
          <t>Ciencias</t>
        </is>
      </c>
      <c r="D503" s="11" t="inlineStr">
        <is>
          <t>Matriz_Ciencias_8vo_Grado_U1_U7.xlsx</t>
        </is>
      </c>
      <c r="E503" s="11" t="inlineStr">
        <is>
          <t>Unidad 5 - Minerales</t>
        </is>
      </c>
      <c r="F503" s="11" t="n">
        <v>5</v>
      </c>
      <c r="G503" s="11" t="inlineStr">
        <is>
          <t>5. Minerales</t>
        </is>
      </c>
      <c r="H503" s="11" t="inlineStr">
        <is>
          <t>Propiedades de los minerales</t>
        </is>
      </c>
      <c r="I503" s="38" t="inlineStr">
        <is>
          <t>5.3. Reconocimiento de las combinaciones de elementos químicos presentes en los minerales.</t>
        </is>
      </c>
      <c r="J503" s="11" t="inlineStr">
        <is>
          <t>T8_27</t>
        </is>
      </c>
      <c r="K503" s="11" t="inlineStr">
        <is>
          <t>T8_27-C1.2</t>
        </is>
      </c>
      <c r="L503" s="11" t="inlineStr"/>
      <c r="M503" s="11">
        <f>IF(K503="FUERA","Fuera del marco",IF(K503="N/A","Sin marco",IFERROR(INDEX('Datos - Catálogo TIMSS'!$C$5:$C$107,MATCH(K503,'Datos - Catálogo TIMSS'!$A$5:$A$107,0)),"Pendiente de clasificar")))</f>
        <v/>
      </c>
      <c r="N503" s="11">
        <f>IF(K503="FUERA","Fuera del marco",IF(K503="N/A","Sin marco",IFERROR(INDEX('Datos - Catálogo TIMSS'!$F$5:$F$107,MATCH(K503,'Datos - Catálogo TIMSS'!$A$5:$A$107,0)),"Pendiente de clasificar")))</f>
        <v/>
      </c>
      <c r="O503" s="11">
        <f>IF(L503="","",IFERROR(INDEX('Datos - Catálogo TIMSS'!$C$5:$C$107,MATCH(L503,'Datos - Catálogo TIMSS'!$A$5:$A$107,0)),"?"))</f>
        <v/>
      </c>
      <c r="P503" s="11" t="inlineStr">
        <is>
          <t>media</t>
        </is>
      </c>
      <c r="Q503" s="38" t="inlineStr">
        <is>
          <t>Minerales como compuestos y combinaciones de elementos</t>
        </is>
      </c>
      <c r="R503" s="38" t="inlineStr">
        <is>
          <t>Aplicar: relacionar</t>
        </is>
      </c>
      <c r="S503" s="39">
        <f>IFERROR(ISNUMBER(SEARCH("Conocer",$R503))/(ISNUMBER(SEARCH("Conocer",$R503))+ISNUMBER(SEARCH("Aplicar",$R503))+ISNUMBER(SEARCH("Razonar",$R503))),0)</f>
        <v/>
      </c>
      <c r="T503" s="39">
        <f>IFERROR(ISNUMBER(SEARCH("Aplicar",$R503))/(ISNUMBER(SEARCH("Conocer",$R503))+ISNUMBER(SEARCH("Aplicar",$R503))+ISNUMBER(SEARCH("Razonar",$R503))),0)</f>
        <v/>
      </c>
      <c r="U503" s="39">
        <f>IFERROR(ISNUMBER(SEARCH("Razonar",$R503))/(ISNUMBER(SEARCH("Conocer",$R503))+ISNUMBER(SEARCH("Aplicar",$R503))+ISNUMBER(SEARCH("Razonar",$R503))),0)</f>
        <v/>
      </c>
      <c r="V503" s="11" t="inlineStr">
        <is>
          <t>8°</t>
        </is>
      </c>
      <c r="W503" s="11" t="inlineStr">
        <is>
          <t>Ciclo 5°–8°</t>
        </is>
      </c>
      <c r="X503" s="11">
        <f>IF(OR(IFERROR(INDEX('Datos - Catálogo TIMSS'!$I$5:$I$107,MATCH(K503,'Datos - Catálogo TIMSS'!$A$5:$A$107,0)),"No")="Sí",IFERROR(INDEX('Datos - Catálogo TIMSS'!$I$5:$I$107,MATCH(L503,'Datos - Catálogo TIMSS'!$A$5:$A$107,0)),"No")="Sí"),1,0)</f>
        <v/>
      </c>
      <c r="Y503" s="11">
        <f>IF(IFERROR(INDEX('Datos - Catálogo TIMSS'!$J$5:$J$107,MATCH(K503,'Datos - Catálogo TIMSS'!$A$5:$A$107,0)),"No")="Sí",1,0)</f>
        <v/>
      </c>
      <c r="Z503" s="11">
        <f>IF(IFERROR(INDEX('Datos - Catálogo TIMSS'!$J$5:$J$107,MATCH(L503,'Datos - Catálogo TIMSS'!$A$5:$A$107,0)),"No")="Sí",1,0)</f>
        <v/>
      </c>
      <c r="AA503" s="11" t="inlineStr">
        <is>
          <t>T8-Q1.2</t>
        </is>
      </c>
      <c r="AB503" s="11" t="inlineStr"/>
      <c r="AC503" s="11">
        <f>IF(AA503="FUERA","Fuera del marco",IF(AA503="N/A","Sin marco",IFERROR(INDEX('Datos - TIMSS 2023'!$C$5:$C$105,MATCH(AA503,'Datos - TIMSS 2023'!$A$5:$A$105,0)),"Pendiente de clasificar")))</f>
        <v/>
      </c>
      <c r="AD503" s="11" t="inlineStr">
        <is>
          <t>1. Explicar fenómenos científicamente</t>
        </is>
      </c>
      <c r="AE503" s="11">
        <f>IF(AD503="","",IF(LEFT(AD503,1)="1","C1",IF(LEFT(AD503,1)="2","C2",IF(LEFT(AD503,1)="3","C3",""))))</f>
        <v/>
      </c>
      <c r="AF503" s="11" t="inlineStr">
        <is>
          <t>E1</t>
        </is>
      </c>
      <c r="AG503" s="11" t="inlineStr">
        <is>
          <t>D1</t>
        </is>
      </c>
      <c r="AH503" s="11" t="inlineStr">
        <is>
          <t>E1</t>
        </is>
      </c>
      <c r="AI503" s="11" t="inlineStr">
        <is>
          <t>D4</t>
        </is>
      </c>
      <c r="AJ503" s="11" t="inlineStr">
        <is>
          <t>E1</t>
        </is>
      </c>
      <c r="AK503" s="11" t="inlineStr">
        <is>
          <t>PISA-T1</t>
        </is>
      </c>
      <c r="AL503" s="11" t="inlineStr">
        <is>
          <t>PISA-F1</t>
        </is>
      </c>
      <c r="AM503" s="11">
        <f>IF(AK503="FUERA","Fuera del marco",IFERROR(INDEX('Datos - Catálogo PISA'!$C$5:$C$76,MATCH(AK503,'Datos - Catálogo PISA'!$A$5:$A$76,0)),"?"))</f>
        <v/>
      </c>
      <c r="AN503" s="11" t="inlineStr">
        <is>
          <t>Contenido</t>
        </is>
      </c>
      <c r="AO503" s="11" t="n"/>
      <c r="AP503" s="11" t="n"/>
      <c r="AQ503" s="11" t="inlineStr">
        <is>
          <t>Sin contexto</t>
        </is>
      </c>
      <c r="AR503" s="11" t="n"/>
      <c r="AS503" s="11" t="inlineStr">
        <is>
          <t>Baja</t>
        </is>
      </c>
      <c r="AT503" s="11" t="inlineStr">
        <is>
          <t>media</t>
        </is>
      </c>
      <c r="AU503" s="11" t="inlineStr">
        <is>
          <t>Composición química de los minerales de la geosfera</t>
        </is>
      </c>
      <c r="AV503" s="11" t="inlineStr">
        <is>
          <t>Ciclo 7°–9°</t>
        </is>
      </c>
      <c r="AW503" s="11">
        <f>AF503&amp;"; "&amp;AG503&amp;"; "&amp;AH503&amp;"; "&amp;AI503&amp;"; "&amp;AJ503</f>
        <v/>
      </c>
    </row>
    <row r="504">
      <c r="A504" s="11" t="inlineStr">
        <is>
          <t>T1138-G08-CIE</t>
        </is>
      </c>
      <c r="B504" s="11" t="n">
        <v>8</v>
      </c>
      <c r="C504" s="11" t="inlineStr">
        <is>
          <t>Ciencias</t>
        </is>
      </c>
      <c r="D504" s="11" t="inlineStr">
        <is>
          <t>Matriz_Ciencias_8vo_Grado_U1_U7.xlsx</t>
        </is>
      </c>
      <c r="E504" s="11" t="inlineStr">
        <is>
          <t>Unidad 5 - Minerales</t>
        </is>
      </c>
      <c r="F504" s="11" t="n">
        <v>6</v>
      </c>
      <c r="G504" s="11" t="inlineStr">
        <is>
          <t>5. Minerales</t>
        </is>
      </c>
      <c r="H504" s="11" t="inlineStr">
        <is>
          <t>Estructura</t>
        </is>
      </c>
      <c r="I504" s="38" t="inlineStr">
        <is>
          <t>5.4. Indagación del proceso de formación de cristales a partir de un experimento.</t>
        </is>
      </c>
      <c r="J504" s="11" t="inlineStr">
        <is>
          <t>T8_27</t>
        </is>
      </c>
      <c r="K504" s="11" t="inlineStr">
        <is>
          <t>T8_27-C2.2</t>
        </is>
      </c>
      <c r="L504" s="11" t="inlineStr">
        <is>
          <t>T8_27-E1.2</t>
        </is>
      </c>
      <c r="M504" s="11">
        <f>IF(K504="FUERA","Fuera del marco",IF(K504="N/A","Sin marco",IFERROR(INDEX('Datos - Catálogo TIMSS'!$C$5:$C$107,MATCH(K504,'Datos - Catálogo TIMSS'!$A$5:$A$107,0)),"Pendiente de clasificar")))</f>
        <v/>
      </c>
      <c r="N504" s="11">
        <f>IF(K504="FUERA","Fuera del marco",IF(K504="N/A","Sin marco",IFERROR(INDEX('Datos - Catálogo TIMSS'!$F$5:$F$107,MATCH(K504,'Datos - Catálogo TIMSS'!$A$5:$A$107,0)),"Pendiente de clasificar")))</f>
        <v/>
      </c>
      <c r="O504" s="11">
        <f>IF(L504="","",IFERROR(INDEX('Datos - Catálogo TIMSS'!$C$5:$C$107,MATCH(L504,'Datos - Catálogo TIMSS'!$A$5:$A$107,0)),"?"))</f>
        <v/>
      </c>
      <c r="P504" s="11" t="inlineStr">
        <is>
          <t>baja</t>
        </is>
      </c>
      <c r="Q504" s="38" t="inlineStr">
        <is>
          <t>Cristalización desde disoluciones; vínculo débil con formación de rocas</t>
        </is>
      </c>
      <c r="R504" s="38" t="inlineStr">
        <is>
          <t>Razonar: diseñar y comprobar</t>
        </is>
      </c>
      <c r="S504" s="39">
        <f>IFERROR(ISNUMBER(SEARCH("Conocer",$R504))/(ISNUMBER(SEARCH("Conocer",$R504))+ISNUMBER(SEARCH("Aplicar",$R504))+ISNUMBER(SEARCH("Razonar",$R504))),0)</f>
        <v/>
      </c>
      <c r="T504" s="39">
        <f>IFERROR(ISNUMBER(SEARCH("Aplicar",$R504))/(ISNUMBER(SEARCH("Conocer",$R504))+ISNUMBER(SEARCH("Aplicar",$R504))+ISNUMBER(SEARCH("Razonar",$R504))),0)</f>
        <v/>
      </c>
      <c r="U504" s="39">
        <f>IFERROR(ISNUMBER(SEARCH("Razonar",$R504))/(ISNUMBER(SEARCH("Conocer",$R504))+ISNUMBER(SEARCH("Aplicar",$R504))+ISNUMBER(SEARCH("Razonar",$R504))),0)</f>
        <v/>
      </c>
      <c r="V504" s="11" t="inlineStr">
        <is>
          <t>8°</t>
        </is>
      </c>
      <c r="W504" s="11" t="inlineStr">
        <is>
          <t>Ciclo 5°–8°</t>
        </is>
      </c>
      <c r="X504" s="11">
        <f>IF(OR(IFERROR(INDEX('Datos - Catálogo TIMSS'!$I$5:$I$107,MATCH(K504,'Datos - Catálogo TIMSS'!$A$5:$A$107,0)),"No")="Sí",IFERROR(INDEX('Datos - Catálogo TIMSS'!$I$5:$I$107,MATCH(L504,'Datos - Catálogo TIMSS'!$A$5:$A$107,0)),"No")="Sí"),1,0)</f>
        <v/>
      </c>
      <c r="Y504" s="11">
        <f>IF(IFERROR(INDEX('Datos - Catálogo TIMSS'!$J$5:$J$107,MATCH(K504,'Datos - Catálogo TIMSS'!$A$5:$A$107,0)),"No")="Sí",1,0)</f>
        <v/>
      </c>
      <c r="Z504" s="11">
        <f>IF(IFERROR(INDEX('Datos - Catálogo TIMSS'!$J$5:$J$107,MATCH(L504,'Datos - Catálogo TIMSS'!$A$5:$A$107,0)),"No")="Sí",1,0)</f>
        <v/>
      </c>
      <c r="AA504" s="11" t="inlineStr">
        <is>
          <t>T8-T2.1</t>
        </is>
      </c>
      <c r="AB504" s="11" t="inlineStr">
        <is>
          <t>T8-Q2.3</t>
        </is>
      </c>
      <c r="AC504" s="11">
        <f>IF(AA504="FUERA","Fuera del marco",IF(AA504="N/A","Sin marco",IFERROR(INDEX('Datos - TIMSS 2023'!$C$5:$C$105,MATCH(AA504,'Datos - TIMSS 2023'!$A$5:$A$105,0)),"Pendiente de clasificar")))</f>
        <v/>
      </c>
      <c r="AD504" s="11" t="inlineStr">
        <is>
          <t>2. Construir y evaluar diseños para la indagación científica e interpretar datos y evidencia de forma crítica</t>
        </is>
      </c>
      <c r="AE504" s="11">
        <f>IF(AD504="","",IF(LEFT(AD504,1)="1","C1",IF(LEFT(AD504,1)="2","C2",IF(LEFT(AD504,1)="3","C3",""))))</f>
        <v/>
      </c>
      <c r="AF504" s="11" t="inlineStr">
        <is>
          <t>E1</t>
        </is>
      </c>
      <c r="AG504" s="11" t="inlineStr">
        <is>
          <t>E3</t>
        </is>
      </c>
      <c r="AH504" s="11" t="inlineStr">
        <is>
          <t>E1</t>
        </is>
      </c>
      <c r="AI504" s="11" t="inlineStr">
        <is>
          <t>D2</t>
        </is>
      </c>
      <c r="AJ504" s="11" t="inlineStr">
        <is>
          <t>E1</t>
        </is>
      </c>
      <c r="AK504" s="11" t="inlineStr">
        <is>
          <t>PISA-F1</t>
        </is>
      </c>
      <c r="AL504" s="11" t="inlineStr">
        <is>
          <t>PISA-T1</t>
        </is>
      </c>
      <c r="AM504" s="11">
        <f>IF(AK504="FUERA","Fuera del marco",IFERROR(INDEX('Datos - Catálogo PISA'!$C$5:$C$76,MATCH(AK504,'Datos - Catálogo PISA'!$A$5:$A$76,0)),"?"))</f>
        <v/>
      </c>
      <c r="AN504" s="11" t="inlineStr">
        <is>
          <t>Contenido</t>
        </is>
      </c>
      <c r="AO504" s="11" t="inlineStr">
        <is>
          <t>PISA-PR1;</t>
        </is>
      </c>
      <c r="AP504" s="11" t="n"/>
      <c r="AQ504" s="11" t="inlineStr">
        <is>
          <t>Sin contexto</t>
        </is>
      </c>
      <c r="AR504" s="11" t="n"/>
      <c r="AS504" s="11" t="inlineStr">
        <is>
          <t>Media</t>
        </is>
      </c>
      <c r="AT504" s="11" t="inlineStr">
        <is>
          <t>media</t>
        </is>
      </c>
      <c r="AU504" s="11" t="inlineStr">
        <is>
          <t>Cristalización en distintas condiciones experimentales</t>
        </is>
      </c>
      <c r="AV504" s="11" t="inlineStr">
        <is>
          <t>Ciclo 7°–9°</t>
        </is>
      </c>
      <c r="AW504" s="11">
        <f>AF504&amp;"; "&amp;AG504&amp;"; "&amp;AH504&amp;"; "&amp;AI504&amp;"; "&amp;AJ504</f>
        <v/>
      </c>
    </row>
    <row r="505">
      <c r="A505" s="11" t="inlineStr">
        <is>
          <t>T1139-G08-CIE</t>
        </is>
      </c>
      <c r="B505" s="11" t="n">
        <v>8</v>
      </c>
      <c r="C505" s="11" t="inlineStr">
        <is>
          <t>Ciencias</t>
        </is>
      </c>
      <c r="D505" s="11" t="inlineStr">
        <is>
          <t>Matriz_Ciencias_8vo_Grado_U1_U7.xlsx</t>
        </is>
      </c>
      <c r="E505" s="11" t="inlineStr">
        <is>
          <t>Unidad 5 - Minerales</t>
        </is>
      </c>
      <c r="F505" s="11" t="n">
        <v>7</v>
      </c>
      <c r="G505" s="11" t="inlineStr">
        <is>
          <t>5. Minerales</t>
        </is>
      </c>
      <c r="H505" s="11" t="inlineStr">
        <is>
          <t>Estructura</t>
        </is>
      </c>
      <c r="I505" s="38" t="inlineStr">
        <is>
          <t>5.5. Determinación del hábito cristalino de un mineral preparado experimentalmente.</t>
        </is>
      </c>
      <c r="J505" s="11" t="inlineStr">
        <is>
          <t>T8_27</t>
        </is>
      </c>
      <c r="K505" s="11" t="inlineStr">
        <is>
          <t>T8_27-C2.1</t>
        </is>
      </c>
      <c r="L505" s="11" t="inlineStr"/>
      <c r="M505" s="11">
        <f>IF(K505="FUERA","Fuera del marco",IF(K505="N/A","Sin marco",IFERROR(INDEX('Datos - Catálogo TIMSS'!$C$5:$C$107,MATCH(K505,'Datos - Catálogo TIMSS'!$A$5:$A$107,0)),"Pendiente de clasificar")))</f>
        <v/>
      </c>
      <c r="N505" s="11">
        <f>IF(K505="FUERA","Fuera del marco",IF(K505="N/A","Sin marco",IFERROR(INDEX('Datos - Catálogo TIMSS'!$F$5:$F$107,MATCH(K505,'Datos - Catálogo TIMSS'!$A$5:$A$107,0)),"Pendiente de clasificar")))</f>
        <v/>
      </c>
      <c r="O505" s="11">
        <f>IF(L505="","",IFERROR(INDEX('Datos - Catálogo TIMSS'!$C$5:$C$107,MATCH(L505,'Datos - Catálogo TIMSS'!$A$5:$A$107,0)),"?"))</f>
        <v/>
      </c>
      <c r="P505" s="11" t="inlineStr">
        <is>
          <t>baja</t>
        </is>
      </c>
      <c r="Q505" s="38" t="inlineStr">
        <is>
          <t>Hábito cristalino como propiedad física observable del mineral</t>
        </is>
      </c>
      <c r="R505" s="38" t="inlineStr">
        <is>
          <t>Aplicar: identificar</t>
        </is>
      </c>
      <c r="S505" s="39">
        <f>IFERROR(ISNUMBER(SEARCH("Conocer",$R505))/(ISNUMBER(SEARCH("Conocer",$R505))+ISNUMBER(SEARCH("Aplicar",$R505))+ISNUMBER(SEARCH("Razonar",$R505))),0)</f>
        <v/>
      </c>
      <c r="T505" s="39">
        <f>IFERROR(ISNUMBER(SEARCH("Aplicar",$R505))/(ISNUMBER(SEARCH("Conocer",$R505))+ISNUMBER(SEARCH("Aplicar",$R505))+ISNUMBER(SEARCH("Razonar",$R505))),0)</f>
        <v/>
      </c>
      <c r="U505" s="39">
        <f>IFERROR(ISNUMBER(SEARCH("Razonar",$R505))/(ISNUMBER(SEARCH("Conocer",$R505))+ISNUMBER(SEARCH("Aplicar",$R505))+ISNUMBER(SEARCH("Razonar",$R505))),0)</f>
        <v/>
      </c>
      <c r="V505" s="11" t="inlineStr">
        <is>
          <t>8°</t>
        </is>
      </c>
      <c r="W505" s="11" t="inlineStr">
        <is>
          <t>Ciclo 5°–8°</t>
        </is>
      </c>
      <c r="X505" s="11">
        <f>IF(OR(IFERROR(INDEX('Datos - Catálogo TIMSS'!$I$5:$I$107,MATCH(K505,'Datos - Catálogo TIMSS'!$A$5:$A$107,0)),"No")="Sí",IFERROR(INDEX('Datos - Catálogo TIMSS'!$I$5:$I$107,MATCH(L505,'Datos - Catálogo TIMSS'!$A$5:$A$107,0)),"No")="Sí"),1,0)</f>
        <v/>
      </c>
      <c r="Y505" s="11">
        <f>IF(IFERROR(INDEX('Datos - Catálogo TIMSS'!$J$5:$J$107,MATCH(K505,'Datos - Catálogo TIMSS'!$A$5:$A$107,0)),"No")="Sí",1,0)</f>
        <v/>
      </c>
      <c r="Z505" s="11">
        <f>IF(IFERROR(INDEX('Datos - Catálogo TIMSS'!$J$5:$J$107,MATCH(L505,'Datos - Catálogo TIMSS'!$A$5:$A$107,0)),"No")="Sí",1,0)</f>
        <v/>
      </c>
      <c r="AA505" s="11" t="inlineStr">
        <is>
          <t>T8-Q2.2</t>
        </is>
      </c>
      <c r="AB505" s="11" t="inlineStr"/>
      <c r="AC505" s="11">
        <f>IF(AA505="FUERA","Fuera del marco",IF(AA505="N/A","Sin marco",IFERROR(INDEX('Datos - TIMSS 2023'!$C$5:$C$105,MATCH(AA505,'Datos - TIMSS 2023'!$A$5:$A$105,0)),"Pendiente de clasificar")))</f>
        <v/>
      </c>
      <c r="AD505" s="11" t="inlineStr">
        <is>
          <t>2. Construir y evaluar diseños para la indagación científica e interpretar datos y evidencia de forma crítica</t>
        </is>
      </c>
      <c r="AE505" s="11">
        <f>IF(AD505="","",IF(LEFT(AD505,1)="1","C1",IF(LEFT(AD505,1)="2","C2",IF(LEFT(AD505,1)="3","C3",""))))</f>
        <v/>
      </c>
      <c r="AF505" s="11" t="inlineStr">
        <is>
          <t>E1</t>
        </is>
      </c>
      <c r="AG505" s="11" t="inlineStr">
        <is>
          <t>D1</t>
        </is>
      </c>
      <c r="AH505" s="11" t="inlineStr">
        <is>
          <t>E1</t>
        </is>
      </c>
      <c r="AI505" s="11" t="inlineStr">
        <is>
          <t>D4</t>
        </is>
      </c>
      <c r="AJ505" s="11" t="inlineStr">
        <is>
          <t>E1</t>
        </is>
      </c>
      <c r="AK505" s="11" t="inlineStr">
        <is>
          <t>PISA-F1</t>
        </is>
      </c>
      <c r="AL505" s="11" t="inlineStr">
        <is>
          <t>PISA-T1</t>
        </is>
      </c>
      <c r="AM505" s="11">
        <f>IF(AK505="FUERA","Fuera del marco",IFERROR(INDEX('Datos - Catálogo PISA'!$C$5:$C$76,MATCH(AK505,'Datos - Catálogo PISA'!$A$5:$A$76,0)),"?"))</f>
        <v/>
      </c>
      <c r="AN505" s="11" t="inlineStr">
        <is>
          <t>Contenido</t>
        </is>
      </c>
      <c r="AO505" s="11" t="n"/>
      <c r="AP505" s="11" t="n"/>
      <c r="AQ505" s="11" t="inlineStr">
        <is>
          <t>Sin contexto</t>
        </is>
      </c>
      <c r="AR505" s="11" t="n"/>
      <c r="AS505" s="11" t="inlineStr">
        <is>
          <t>Baja</t>
        </is>
      </c>
      <c r="AT505" s="11" t="inlineStr">
        <is>
          <t>media</t>
        </is>
      </c>
      <c r="AU505" s="11" t="inlineStr">
        <is>
          <t>Hábito cristalino de un mineral preparado</t>
        </is>
      </c>
      <c r="AV505" s="11" t="inlineStr">
        <is>
          <t>Ciclo 7°–9°</t>
        </is>
      </c>
      <c r="AW505" s="11">
        <f>AF505&amp;"; "&amp;AG505&amp;"; "&amp;AH505&amp;"; "&amp;AI505&amp;"; "&amp;AJ505</f>
        <v/>
      </c>
    </row>
    <row r="506">
      <c r="A506" s="11" t="inlineStr">
        <is>
          <t>T1140-G08-CIE</t>
        </is>
      </c>
      <c r="B506" s="11" t="n">
        <v>8</v>
      </c>
      <c r="C506" s="11" t="inlineStr">
        <is>
          <t>Ciencias</t>
        </is>
      </c>
      <c r="D506" s="11" t="inlineStr">
        <is>
          <t>Matriz_Ciencias_8vo_Grado_U1_U7.xlsx</t>
        </is>
      </c>
      <c r="E506" s="11" t="inlineStr">
        <is>
          <t>Unidad 5 - Minerales</t>
        </is>
      </c>
      <c r="F506" s="11" t="n">
        <v>8</v>
      </c>
      <c r="G506" s="11" t="inlineStr">
        <is>
          <t>5. Minerales</t>
        </is>
      </c>
      <c r="H506" s="11" t="inlineStr">
        <is>
          <t>Estructura</t>
        </is>
      </c>
      <c r="I506" s="38" t="inlineStr">
        <is>
          <t>5.6. Reconocimiento de las estructuras cristalinas de los minerales.</t>
        </is>
      </c>
      <c r="J506" s="11" t="inlineStr">
        <is>
          <t>T8_27</t>
        </is>
      </c>
      <c r="K506" s="11" t="inlineStr">
        <is>
          <t>T8_27-C1.1</t>
        </is>
      </c>
      <c r="L506" s="11" t="inlineStr"/>
      <c r="M506" s="11">
        <f>IF(K506="FUERA","Fuera del marco",IF(K506="N/A","Sin marco",IFERROR(INDEX('Datos - Catálogo TIMSS'!$C$5:$C$107,MATCH(K506,'Datos - Catálogo TIMSS'!$A$5:$A$107,0)),"Pendiente de clasificar")))</f>
        <v/>
      </c>
      <c r="N506" s="11">
        <f>IF(K506="FUERA","Fuera del marco",IF(K506="N/A","Sin marco",IFERROR(INDEX('Datos - Catálogo TIMSS'!$F$5:$F$107,MATCH(K506,'Datos - Catálogo TIMSS'!$A$5:$A$107,0)),"Pendiente de clasificar")))</f>
        <v/>
      </c>
      <c r="O506" s="11">
        <f>IF(L506="","",IFERROR(INDEX('Datos - Catálogo TIMSS'!$C$5:$C$107,MATCH(L506,'Datos - Catálogo TIMSS'!$A$5:$A$107,0)),"?"))</f>
        <v/>
      </c>
      <c r="P506" s="11" t="inlineStr">
        <is>
          <t>baja</t>
        </is>
      </c>
      <c r="Q506" s="38" t="inlineStr">
        <is>
          <t>Red cristalina como ordenamiento de partículas; nivel superior a TIMSS</t>
        </is>
      </c>
      <c r="R506" s="38" t="inlineStr">
        <is>
          <t>Aplicar: construir modelos</t>
        </is>
      </c>
      <c r="S506" s="39">
        <f>IFERROR(ISNUMBER(SEARCH("Conocer",$R506))/(ISNUMBER(SEARCH("Conocer",$R506))+ISNUMBER(SEARCH("Aplicar",$R506))+ISNUMBER(SEARCH("Razonar",$R506))),0)</f>
        <v/>
      </c>
      <c r="T506" s="39">
        <f>IFERROR(ISNUMBER(SEARCH("Aplicar",$R506))/(ISNUMBER(SEARCH("Conocer",$R506))+ISNUMBER(SEARCH("Aplicar",$R506))+ISNUMBER(SEARCH("Razonar",$R506))),0)</f>
        <v/>
      </c>
      <c r="U506" s="39">
        <f>IFERROR(ISNUMBER(SEARCH("Razonar",$R506))/(ISNUMBER(SEARCH("Conocer",$R506))+ISNUMBER(SEARCH("Aplicar",$R506))+ISNUMBER(SEARCH("Razonar",$R506))),0)</f>
        <v/>
      </c>
      <c r="V506" s="11" t="inlineStr">
        <is>
          <t>8°</t>
        </is>
      </c>
      <c r="W506" s="11" t="inlineStr">
        <is>
          <t>Ciclo 5°–8°</t>
        </is>
      </c>
      <c r="X506" s="11">
        <f>IF(OR(IFERROR(INDEX('Datos - Catálogo TIMSS'!$I$5:$I$107,MATCH(K506,'Datos - Catálogo TIMSS'!$A$5:$A$107,0)),"No")="Sí",IFERROR(INDEX('Datos - Catálogo TIMSS'!$I$5:$I$107,MATCH(L506,'Datos - Catálogo TIMSS'!$A$5:$A$107,0)),"No")="Sí"),1,0)</f>
        <v/>
      </c>
      <c r="Y506" s="11">
        <f>IF(IFERROR(INDEX('Datos - Catálogo TIMSS'!$J$5:$J$107,MATCH(K506,'Datos - Catálogo TIMSS'!$A$5:$A$107,0)),"No")="Sí",1,0)</f>
        <v/>
      </c>
      <c r="Z506" s="11">
        <f>IF(IFERROR(INDEX('Datos - Catálogo TIMSS'!$J$5:$J$107,MATCH(L506,'Datos - Catálogo TIMSS'!$A$5:$A$107,0)),"No")="Sí",1,0)</f>
        <v/>
      </c>
      <c r="AA506" s="11" t="inlineStr">
        <is>
          <t>T8-Q1.1</t>
        </is>
      </c>
      <c r="AB506" s="11" t="inlineStr"/>
      <c r="AC506" s="11">
        <f>IF(AA506="FUERA","Fuera del marco",IF(AA506="N/A","Sin marco",IFERROR(INDEX('Datos - TIMSS 2023'!$C$5:$C$105,MATCH(AA506,'Datos - TIMSS 2023'!$A$5:$A$105,0)),"Pendiente de clasificar")))</f>
        <v/>
      </c>
      <c r="AD506" s="11" t="inlineStr">
        <is>
          <t>1. Explicar fenómenos científicamente</t>
        </is>
      </c>
      <c r="AE506" s="11">
        <f>IF(AD506="","",IF(LEFT(AD506,1)="1","C1",IF(LEFT(AD506,1)="2","C2",IF(LEFT(AD506,1)="3","C3",""))))</f>
        <v/>
      </c>
      <c r="AF506" s="11" t="inlineStr">
        <is>
          <t>E1</t>
        </is>
      </c>
      <c r="AG506" s="11" t="inlineStr">
        <is>
          <t>D1</t>
        </is>
      </c>
      <c r="AH506" s="11" t="inlineStr">
        <is>
          <t>E4</t>
        </is>
      </c>
      <c r="AI506" s="11" t="inlineStr">
        <is>
          <t>E4</t>
        </is>
      </c>
      <c r="AJ506" s="11" t="inlineStr">
        <is>
          <t>E1</t>
        </is>
      </c>
      <c r="AK506" s="11" t="inlineStr">
        <is>
          <t>PISA-F1</t>
        </is>
      </c>
      <c r="AL506" s="11" t="inlineStr">
        <is>
          <t>PISA-T1</t>
        </is>
      </c>
      <c r="AM506" s="11">
        <f>IF(AK506="FUERA","Fuera del marco",IFERROR(INDEX('Datos - Catálogo PISA'!$C$5:$C$76,MATCH(AK506,'Datos - Catálogo PISA'!$A$5:$A$76,0)),"?"))</f>
        <v/>
      </c>
      <c r="AN506" s="11" t="inlineStr">
        <is>
          <t>Contenido</t>
        </is>
      </c>
      <c r="AO506" s="11" t="n"/>
      <c r="AP506" s="11" t="inlineStr">
        <is>
          <t>PISA-EP4;</t>
        </is>
      </c>
      <c r="AQ506" s="11" t="inlineStr">
        <is>
          <t>Sin contexto</t>
        </is>
      </c>
      <c r="AR506" s="11" t="n"/>
      <c r="AS506" s="11" t="inlineStr">
        <is>
          <t>Baja</t>
        </is>
      </c>
      <c r="AT506" s="11" t="inlineStr">
        <is>
          <t>media</t>
        </is>
      </c>
      <c r="AU506" s="11" t="inlineStr">
        <is>
          <t>Estructura cristalina interna de la materia con modelo</t>
        </is>
      </c>
      <c r="AV506" s="11" t="inlineStr">
        <is>
          <t>Ciclo 7°–9°</t>
        </is>
      </c>
      <c r="AW506" s="11">
        <f>AF506&amp;"; "&amp;AG506&amp;"; "&amp;AH506&amp;"; "&amp;AI506&amp;"; "&amp;AJ506</f>
        <v/>
      </c>
    </row>
    <row r="507">
      <c r="A507" s="11" t="inlineStr">
        <is>
          <t>T1141-G08-CIE</t>
        </is>
      </c>
      <c r="B507" s="11" t="n">
        <v>8</v>
      </c>
      <c r="C507" s="11" t="inlineStr">
        <is>
          <t>Ciencias</t>
        </is>
      </c>
      <c r="D507" s="11" t="inlineStr">
        <is>
          <t>Matriz_Ciencias_8vo_Grado_U1_U7.xlsx</t>
        </is>
      </c>
      <c r="E507" s="11" t="inlineStr">
        <is>
          <t>Unidad 5 - Minerales</t>
        </is>
      </c>
      <c r="F507" s="11" t="n">
        <v>9</v>
      </c>
      <c r="G507" s="11" t="inlineStr">
        <is>
          <t>5. Minerales</t>
        </is>
      </c>
      <c r="H507" s="11" t="inlineStr">
        <is>
          <t>Minerales y rocas</t>
        </is>
      </c>
      <c r="I507" s="38" t="inlineStr">
        <is>
          <t>5.7. Exploración de los minerales presentes según los tipos de roca.</t>
        </is>
      </c>
      <c r="J507" s="11" t="inlineStr">
        <is>
          <t>T8_27</t>
        </is>
      </c>
      <c r="K507" s="11" t="inlineStr">
        <is>
          <t>T8_27-E1.2</t>
        </is>
      </c>
      <c r="L507" s="11" t="inlineStr"/>
      <c r="M507" s="11">
        <f>IF(K507="FUERA","Fuera del marco",IF(K507="N/A","Sin marco",IFERROR(INDEX('Datos - Catálogo TIMSS'!$C$5:$C$107,MATCH(K507,'Datos - Catálogo TIMSS'!$A$5:$A$107,0)),"Pendiente de clasificar")))</f>
        <v/>
      </c>
      <c r="N507" s="11">
        <f>IF(K507="FUERA","Fuera del marco",IF(K507="N/A","Sin marco",IFERROR(INDEX('Datos - Catálogo TIMSS'!$F$5:$F$107,MATCH(K507,'Datos - Catálogo TIMSS'!$A$5:$A$107,0)),"Pendiente de clasificar")))</f>
        <v/>
      </c>
      <c r="O507" s="11">
        <f>IF(L507="","",IFERROR(INDEX('Datos - Catálogo TIMSS'!$C$5:$C$107,MATCH(L507,'Datos - Catálogo TIMSS'!$A$5:$A$107,0)),"?"))</f>
        <v/>
      </c>
      <c r="P507" s="11" t="inlineStr">
        <is>
          <t>media</t>
        </is>
      </c>
      <c r="Q507" s="38" t="inlineStr">
        <is>
          <t>Minerales en tipos de roca: ciclo de las rocas</t>
        </is>
      </c>
      <c r="R507" s="38" t="inlineStr">
        <is>
          <t>Aplicar: identificar</t>
        </is>
      </c>
      <c r="S507" s="39">
        <f>IFERROR(ISNUMBER(SEARCH("Conocer",$R507))/(ISNUMBER(SEARCH("Conocer",$R507))+ISNUMBER(SEARCH("Aplicar",$R507))+ISNUMBER(SEARCH("Razonar",$R507))),0)</f>
        <v/>
      </c>
      <c r="T507" s="39">
        <f>IFERROR(ISNUMBER(SEARCH("Aplicar",$R507))/(ISNUMBER(SEARCH("Conocer",$R507))+ISNUMBER(SEARCH("Aplicar",$R507))+ISNUMBER(SEARCH("Razonar",$R507))),0)</f>
        <v/>
      </c>
      <c r="U507" s="39">
        <f>IFERROR(ISNUMBER(SEARCH("Razonar",$R507))/(ISNUMBER(SEARCH("Conocer",$R507))+ISNUMBER(SEARCH("Aplicar",$R507))+ISNUMBER(SEARCH("Razonar",$R507))),0)</f>
        <v/>
      </c>
      <c r="V507" s="11" t="inlineStr">
        <is>
          <t>8°</t>
        </is>
      </c>
      <c r="W507" s="11" t="inlineStr">
        <is>
          <t>Ciclo 5°–8°</t>
        </is>
      </c>
      <c r="X507" s="11">
        <f>IF(OR(IFERROR(INDEX('Datos - Catálogo TIMSS'!$I$5:$I$107,MATCH(K507,'Datos - Catálogo TIMSS'!$A$5:$A$107,0)),"No")="Sí",IFERROR(INDEX('Datos - Catálogo TIMSS'!$I$5:$I$107,MATCH(L507,'Datos - Catálogo TIMSS'!$A$5:$A$107,0)),"No")="Sí"),1,0)</f>
        <v/>
      </c>
      <c r="Y507" s="11">
        <f>IF(IFERROR(INDEX('Datos - Catálogo TIMSS'!$J$5:$J$107,MATCH(K507,'Datos - Catálogo TIMSS'!$A$5:$A$107,0)),"No")="Sí",1,0)</f>
        <v/>
      </c>
      <c r="Z507" s="11">
        <f>IF(IFERROR(INDEX('Datos - Catálogo TIMSS'!$J$5:$J$107,MATCH(L507,'Datos - Catálogo TIMSS'!$A$5:$A$107,0)),"No")="Sí",1,0)</f>
        <v/>
      </c>
      <c r="AA507" s="11" t="inlineStr">
        <is>
          <t>T8-T2.1</t>
        </is>
      </c>
      <c r="AB507" s="11" t="inlineStr"/>
      <c r="AC507" s="11">
        <f>IF(AA507="FUERA","Fuera del marco",IF(AA507="N/A","Sin marco",IFERROR(INDEX('Datos - TIMSS 2023'!$C$5:$C$105,MATCH(AA507,'Datos - TIMSS 2023'!$A$5:$A$105,0)),"Pendiente de clasificar")))</f>
        <v/>
      </c>
      <c r="AD507" s="11" t="inlineStr">
        <is>
          <t>2. Construir y evaluar diseños para la indagación científica e interpretar datos y evidencia de forma crítica</t>
        </is>
      </c>
      <c r="AE507" s="11">
        <f>IF(AD507="","",IF(LEFT(AD507,1)="1","C1",IF(LEFT(AD507,1)="2","C2",IF(LEFT(AD507,1)="3","C3",""))))</f>
        <v/>
      </c>
      <c r="AF507" s="11" t="inlineStr">
        <is>
          <t>E1</t>
        </is>
      </c>
      <c r="AG507" s="11" t="inlineStr">
        <is>
          <t>D1</t>
        </is>
      </c>
      <c r="AH507" s="11" t="inlineStr">
        <is>
          <t>E1</t>
        </is>
      </c>
      <c r="AI507" s="11" t="inlineStr">
        <is>
          <t>D4</t>
        </is>
      </c>
      <c r="AJ507" s="11" t="inlineStr">
        <is>
          <t>E1</t>
        </is>
      </c>
      <c r="AK507" s="11" t="inlineStr">
        <is>
          <t>PISA-T1</t>
        </is>
      </c>
      <c r="AL507" s="11" t="n"/>
      <c r="AM507" s="11">
        <f>IF(AK507="FUERA","Fuera del marco",IFERROR(INDEX('Datos - Catálogo PISA'!$C$5:$C$76,MATCH(AK507,'Datos - Catálogo PISA'!$A$5:$A$76,0)),"?"))</f>
        <v/>
      </c>
      <c r="AN507" s="11" t="inlineStr">
        <is>
          <t>Contenido</t>
        </is>
      </c>
      <c r="AO507" s="11" t="n"/>
      <c r="AP507" s="11" t="n"/>
      <c r="AQ507" s="11" t="inlineStr">
        <is>
          <t>Sin contexto</t>
        </is>
      </c>
      <c r="AR507" s="11" t="n"/>
      <c r="AS507" s="11" t="inlineStr">
        <is>
          <t>Media</t>
        </is>
      </c>
      <c r="AT507" s="11" t="inlineStr">
        <is>
          <t>alta</t>
        </is>
      </c>
      <c r="AU507" s="11" t="inlineStr">
        <is>
          <t>Minerales presentes según tipo de roca de la geosfera</t>
        </is>
      </c>
      <c r="AV507" s="11" t="inlineStr">
        <is>
          <t>Ciclo 7°–9°</t>
        </is>
      </c>
      <c r="AW507" s="11">
        <f>AF507&amp;"; "&amp;AG507&amp;"; "&amp;AH507&amp;"; "&amp;AI507&amp;"; "&amp;AJ507</f>
        <v/>
      </c>
    </row>
    <row r="508">
      <c r="A508" s="11" t="inlineStr">
        <is>
          <t>T1142-G08-CIE</t>
        </is>
      </c>
      <c r="B508" s="11" t="n">
        <v>8</v>
      </c>
      <c r="C508" s="11" t="inlineStr">
        <is>
          <t>Ciencias</t>
        </is>
      </c>
      <c r="D508" s="11" t="inlineStr">
        <is>
          <t>Matriz_Ciencias_8vo_Grado_U1_U7.xlsx</t>
        </is>
      </c>
      <c r="E508" s="11" t="inlineStr">
        <is>
          <t>Unidad 5 - Minerales</t>
        </is>
      </c>
      <c r="F508" s="11" t="n">
        <v>10</v>
      </c>
      <c r="G508" s="11" t="inlineStr">
        <is>
          <t>5. Minerales</t>
        </is>
      </c>
      <c r="H508" s="11" t="inlineStr">
        <is>
          <t>Usos de los minerales</t>
        </is>
      </c>
      <c r="I508" s="38" t="inlineStr">
        <is>
          <t>5.8. Ubicación de los principales yacimientos mineralógicos de El Salvador.</t>
        </is>
      </c>
      <c r="J508" s="11" t="inlineStr">
        <is>
          <t>T8_27</t>
        </is>
      </c>
      <c r="K508" s="11" t="inlineStr">
        <is>
          <t>T8_27-E3.2</t>
        </is>
      </c>
      <c r="L508" s="11" t="inlineStr"/>
      <c r="M508" s="11">
        <f>IF(K508="FUERA","Fuera del marco",IF(K508="N/A","Sin marco",IFERROR(INDEX('Datos - Catálogo TIMSS'!$C$5:$C$107,MATCH(K508,'Datos - Catálogo TIMSS'!$A$5:$A$107,0)),"Pendiente de clasificar")))</f>
        <v/>
      </c>
      <c r="N508" s="11">
        <f>IF(K508="FUERA","Fuera del marco",IF(K508="N/A","Sin marco",IFERROR(INDEX('Datos - Catálogo TIMSS'!$F$5:$F$107,MATCH(K508,'Datos - Catálogo TIMSS'!$A$5:$A$107,0)),"Pendiente de clasificar")))</f>
        <v/>
      </c>
      <c r="O508" s="11">
        <f>IF(L508="","",IFERROR(INDEX('Datos - Catálogo TIMSS'!$C$5:$C$107,MATCH(L508,'Datos - Catálogo TIMSS'!$A$5:$A$107,0)),"?"))</f>
        <v/>
      </c>
      <c r="P508" s="11" t="inlineStr">
        <is>
          <t>media</t>
        </is>
      </c>
      <c r="Q508" s="38" t="inlineStr">
        <is>
          <t>Yacimientos minerales del país como recursos de la Tierra</t>
        </is>
      </c>
      <c r="R508" s="38" t="inlineStr">
        <is>
          <t>Aplicar: interpretar mapas</t>
        </is>
      </c>
      <c r="S508" s="39">
        <f>IFERROR(ISNUMBER(SEARCH("Conocer",$R508))/(ISNUMBER(SEARCH("Conocer",$R508))+ISNUMBER(SEARCH("Aplicar",$R508))+ISNUMBER(SEARCH("Razonar",$R508))),0)</f>
        <v/>
      </c>
      <c r="T508" s="39">
        <f>IFERROR(ISNUMBER(SEARCH("Aplicar",$R508))/(ISNUMBER(SEARCH("Conocer",$R508))+ISNUMBER(SEARCH("Aplicar",$R508))+ISNUMBER(SEARCH("Razonar",$R508))),0)</f>
        <v/>
      </c>
      <c r="U508" s="39">
        <f>IFERROR(ISNUMBER(SEARCH("Razonar",$R508))/(ISNUMBER(SEARCH("Conocer",$R508))+ISNUMBER(SEARCH("Aplicar",$R508))+ISNUMBER(SEARCH("Razonar",$R508))),0)</f>
        <v/>
      </c>
      <c r="V508" s="11" t="inlineStr">
        <is>
          <t>8°</t>
        </is>
      </c>
      <c r="W508" s="11" t="inlineStr">
        <is>
          <t>Ciclo 5°–8°</t>
        </is>
      </c>
      <c r="X508" s="11">
        <f>IF(OR(IFERROR(INDEX('Datos - Catálogo TIMSS'!$I$5:$I$107,MATCH(K508,'Datos - Catálogo TIMSS'!$A$5:$A$107,0)),"No")="Sí",IFERROR(INDEX('Datos - Catálogo TIMSS'!$I$5:$I$107,MATCH(L508,'Datos - Catálogo TIMSS'!$A$5:$A$107,0)),"No")="Sí"),1,0)</f>
        <v/>
      </c>
      <c r="Y508" s="11">
        <f>IF(IFERROR(INDEX('Datos - Catálogo TIMSS'!$J$5:$J$107,MATCH(K508,'Datos - Catálogo TIMSS'!$A$5:$A$107,0)),"No")="Sí",1,0)</f>
        <v/>
      </c>
      <c r="Z508" s="11">
        <f>IF(IFERROR(INDEX('Datos - Catálogo TIMSS'!$J$5:$J$107,MATCH(L508,'Datos - Catálogo TIMSS'!$A$5:$A$107,0)),"No")="Sí",1,0)</f>
        <v/>
      </c>
      <c r="AA508" s="11" t="inlineStr">
        <is>
          <t>T8-T3.1</t>
        </is>
      </c>
      <c r="AB508" s="11" t="inlineStr"/>
      <c r="AC508" s="11">
        <f>IF(AA508="FUERA","Fuera del marco",IF(AA508="N/A","Sin marco",IFERROR(INDEX('Datos - TIMSS 2023'!$C$5:$C$105,MATCH(AA508,'Datos - TIMSS 2023'!$A$5:$A$105,0)),"Pendiente de clasificar")))</f>
        <v/>
      </c>
      <c r="AD508" s="11" t="inlineStr">
        <is>
          <t>3. Investigar, evaluar y usar información científica para tomar decisiones y actuar</t>
        </is>
      </c>
      <c r="AE508" s="11">
        <f>IF(AD508="","",IF(LEFT(AD508,1)="1","C1",IF(LEFT(AD508,1)="2","C2",IF(LEFT(AD508,1)="3","C3",""))))</f>
        <v/>
      </c>
      <c r="AF508" s="11" t="inlineStr">
        <is>
          <t>E6</t>
        </is>
      </c>
      <c r="AG508" s="11" t="inlineStr">
        <is>
          <t>D1</t>
        </is>
      </c>
      <c r="AH508" s="11" t="inlineStr">
        <is>
          <t>E2</t>
        </is>
      </c>
      <c r="AI508" s="11" t="inlineStr">
        <is>
          <t>I1</t>
        </is>
      </c>
      <c r="AJ508" s="11" t="inlineStr">
        <is>
          <t>E6</t>
        </is>
      </c>
      <c r="AK508" s="11" t="inlineStr">
        <is>
          <t>PISA-T2</t>
        </is>
      </c>
      <c r="AL508" s="11" t="n"/>
      <c r="AM508" s="11">
        <f>IF(AK508="FUERA","Fuera del marco",IFERROR(INDEX('Datos - Catálogo PISA'!$C$5:$C$76,MATCH(AK508,'Datos - Catálogo PISA'!$A$5:$A$76,0)),"?"))</f>
        <v/>
      </c>
      <c r="AN508" s="11" t="inlineStr">
        <is>
          <t>Contenido</t>
        </is>
      </c>
      <c r="AO508" s="11" t="n"/>
      <c r="AP508" s="11" t="n"/>
      <c r="AQ508" s="11" t="inlineStr">
        <is>
          <t>Local/nacional</t>
        </is>
      </c>
      <c r="AR508" s="11" t="inlineStr">
        <is>
          <t>Recursos naturales</t>
        </is>
      </c>
      <c r="AS508" s="11" t="inlineStr">
        <is>
          <t>Baja</t>
        </is>
      </c>
      <c r="AT508" s="11" t="inlineStr">
        <is>
          <t>alta</t>
        </is>
      </c>
      <c r="AU508" s="11" t="inlineStr">
        <is>
          <t>Yacimientos minerales de El Salvador</t>
        </is>
      </c>
      <c r="AV508" s="11" t="inlineStr">
        <is>
          <t>Ciclo 7°–9°</t>
        </is>
      </c>
      <c r="AW508" s="11">
        <f>AF508&amp;"; "&amp;AG508&amp;"; "&amp;AH508&amp;"; "&amp;AI508&amp;"; "&amp;AJ508</f>
        <v/>
      </c>
    </row>
    <row r="509">
      <c r="A509" s="11" t="inlineStr">
        <is>
          <t>T1143-G08-CIE</t>
        </is>
      </c>
      <c r="B509" s="11" t="n">
        <v>8</v>
      </c>
      <c r="C509" s="11" t="inlineStr">
        <is>
          <t>Ciencias</t>
        </is>
      </c>
      <c r="D509" s="11" t="inlineStr">
        <is>
          <t>Matriz_Ciencias_8vo_Grado_U1_U7.xlsx</t>
        </is>
      </c>
      <c r="E509" s="11" t="inlineStr">
        <is>
          <t>Unidad 5 - Minerales</t>
        </is>
      </c>
      <c r="F509" s="11" t="n">
        <v>11</v>
      </c>
      <c r="G509" s="11" t="inlineStr">
        <is>
          <t>5. Minerales</t>
        </is>
      </c>
      <c r="H509" s="11" t="inlineStr">
        <is>
          <t>Usos de los minerales</t>
        </is>
      </c>
      <c r="I509" s="38" t="inlineStr">
        <is>
          <t>5.9. Análisis de los impactos de la minería y su regulación en El Salvador.</t>
        </is>
      </c>
      <c r="J509" s="11" t="inlineStr">
        <is>
          <t>T8_27</t>
        </is>
      </c>
      <c r="K509" s="11" t="inlineStr">
        <is>
          <t>T8_27-E3.2</t>
        </is>
      </c>
      <c r="L509" s="11" t="inlineStr">
        <is>
          <t>T8_27-B5.6</t>
        </is>
      </c>
      <c r="M509" s="11">
        <f>IF(K509="FUERA","Fuera del marco",IF(K509="N/A","Sin marco",IFERROR(INDEX('Datos - Catálogo TIMSS'!$C$5:$C$107,MATCH(K509,'Datos - Catálogo TIMSS'!$A$5:$A$107,0)),"Pendiente de clasificar")))</f>
        <v/>
      </c>
      <c r="N509" s="11">
        <f>IF(K509="FUERA","Fuera del marco",IF(K509="N/A","Sin marco",IFERROR(INDEX('Datos - Catálogo TIMSS'!$F$5:$F$107,MATCH(K509,'Datos - Catálogo TIMSS'!$A$5:$A$107,0)),"Pendiente de clasificar")))</f>
        <v/>
      </c>
      <c r="O509" s="11">
        <f>IF(L509="","",IFERROR(INDEX('Datos - Catálogo TIMSS'!$C$5:$C$107,MATCH(L509,'Datos - Catálogo TIMSS'!$A$5:$A$107,0)),"?"))</f>
        <v/>
      </c>
      <c r="P509" s="11" t="inlineStr">
        <is>
          <t>alta</t>
        </is>
      </c>
      <c r="Q509" s="38" t="inlineStr">
        <is>
          <t>Impactos de la minería en recursos y ecosistemas</t>
        </is>
      </c>
      <c r="R509" s="38" t="inlineStr">
        <is>
          <t>Razonar: evaluar evidencia y argumentar</t>
        </is>
      </c>
      <c r="S509" s="39">
        <f>IFERROR(ISNUMBER(SEARCH("Conocer",$R509))/(ISNUMBER(SEARCH("Conocer",$R509))+ISNUMBER(SEARCH("Aplicar",$R509))+ISNUMBER(SEARCH("Razonar",$R509))),0)</f>
        <v/>
      </c>
      <c r="T509" s="39">
        <f>IFERROR(ISNUMBER(SEARCH("Aplicar",$R509))/(ISNUMBER(SEARCH("Conocer",$R509))+ISNUMBER(SEARCH("Aplicar",$R509))+ISNUMBER(SEARCH("Razonar",$R509))),0)</f>
        <v/>
      </c>
      <c r="U509" s="39">
        <f>IFERROR(ISNUMBER(SEARCH("Razonar",$R509))/(ISNUMBER(SEARCH("Conocer",$R509))+ISNUMBER(SEARCH("Aplicar",$R509))+ISNUMBER(SEARCH("Razonar",$R509))),0)</f>
        <v/>
      </c>
      <c r="V509" s="11" t="inlineStr">
        <is>
          <t>8°</t>
        </is>
      </c>
      <c r="W509" s="11" t="inlineStr">
        <is>
          <t>Ciclo 5°–8°</t>
        </is>
      </c>
      <c r="X509" s="11">
        <f>IF(OR(IFERROR(INDEX('Datos - Catálogo TIMSS'!$I$5:$I$107,MATCH(K509,'Datos - Catálogo TIMSS'!$A$5:$A$107,0)),"No")="Sí",IFERROR(INDEX('Datos - Catálogo TIMSS'!$I$5:$I$107,MATCH(L509,'Datos - Catálogo TIMSS'!$A$5:$A$107,0)),"No")="Sí"),1,0)</f>
        <v/>
      </c>
      <c r="Y509" s="11">
        <f>IF(IFERROR(INDEX('Datos - Catálogo TIMSS'!$J$5:$J$107,MATCH(K509,'Datos - Catálogo TIMSS'!$A$5:$A$107,0)),"No")="Sí",1,0)</f>
        <v/>
      </c>
      <c r="Z509" s="11">
        <f>IF(IFERROR(INDEX('Datos - Catálogo TIMSS'!$J$5:$J$107,MATCH(L509,'Datos - Catálogo TIMSS'!$A$5:$A$107,0)),"No")="Sí",1,0)</f>
        <v/>
      </c>
      <c r="AA509" s="11" t="inlineStr">
        <is>
          <t>T8-B5.5</t>
        </is>
      </c>
      <c r="AB509" s="11" t="inlineStr">
        <is>
          <t>T8-T3.1</t>
        </is>
      </c>
      <c r="AC509" s="11">
        <f>IF(AA509="FUERA","Fuera del marco",IF(AA509="N/A","Sin marco",IFERROR(INDEX('Datos - TIMSS 2023'!$C$5:$C$105,MATCH(AA509,'Datos - TIMSS 2023'!$A$5:$A$105,0)),"Pendiente de clasificar")))</f>
        <v/>
      </c>
      <c r="AD509" s="11" t="inlineStr">
        <is>
          <t>3. Investigar, evaluar y usar información científica para tomar decisiones y actuar</t>
        </is>
      </c>
      <c r="AE509" s="11">
        <f>IF(AD509="","",IF(LEFT(AD509,1)="1","C1",IF(LEFT(AD509,1)="2","C2",IF(LEFT(AD509,1)="3","C3",""))))</f>
        <v/>
      </c>
      <c r="AF509" s="11" t="inlineStr">
        <is>
          <t>E6</t>
        </is>
      </c>
      <c r="AG509" s="11" t="inlineStr">
        <is>
          <t>D1</t>
        </is>
      </c>
      <c r="AH509" s="11" t="inlineStr">
        <is>
          <t>E1</t>
        </is>
      </c>
      <c r="AI509" s="11" t="inlineStr">
        <is>
          <t>I2</t>
        </is>
      </c>
      <c r="AJ509" s="11" t="inlineStr">
        <is>
          <t>I5</t>
        </is>
      </c>
      <c r="AK509" s="11" t="inlineStr">
        <is>
          <t>PISA-T2</t>
        </is>
      </c>
      <c r="AL509" s="11" t="inlineStr">
        <is>
          <t>PISA-V8</t>
        </is>
      </c>
      <c r="AM509" s="11">
        <f>IF(AK509="FUERA","Fuera del marco",IFERROR(INDEX('Datos - Catálogo PISA'!$C$5:$C$76,MATCH(AK509,'Datos - Catálogo PISA'!$A$5:$A$76,0)),"?"))</f>
        <v/>
      </c>
      <c r="AN509" s="11" t="inlineStr">
        <is>
          <t>Contenido</t>
        </is>
      </c>
      <c r="AO509" s="11" t="n"/>
      <c r="AP509" s="11" t="inlineStr">
        <is>
          <t>PISA-EP14;</t>
        </is>
      </c>
      <c r="AQ509" s="11" t="inlineStr">
        <is>
          <t>Local/nacional</t>
        </is>
      </c>
      <c r="AR509" s="11" t="inlineStr">
        <is>
          <t>Recursos naturales</t>
        </is>
      </c>
      <c r="AS509" s="11" t="inlineStr">
        <is>
          <t>Alta</t>
        </is>
      </c>
      <c r="AT509" s="11" t="inlineStr">
        <is>
          <t>alta</t>
        </is>
      </c>
      <c r="AU509" s="11" t="inlineStr">
        <is>
          <t>Impactos y regulación de la minería en El Salvador</t>
        </is>
      </c>
      <c r="AV509" s="11" t="inlineStr">
        <is>
          <t>Ciclo 7°–9°</t>
        </is>
      </c>
      <c r="AW509" s="11">
        <f>AF509&amp;"; "&amp;AG509&amp;"; "&amp;AH509&amp;"; "&amp;AI509&amp;"; "&amp;AJ509</f>
        <v/>
      </c>
    </row>
    <row r="510">
      <c r="A510" s="11" t="inlineStr">
        <is>
          <t>T1144-G08-CIE</t>
        </is>
      </c>
      <c r="B510" s="11" t="n">
        <v>8</v>
      </c>
      <c r="C510" s="11" t="inlineStr">
        <is>
          <t>Ciencias</t>
        </is>
      </c>
      <c r="D510" s="11" t="inlineStr">
        <is>
          <t>Matriz_Ciencias_8vo_Grado_U1_U7.xlsx</t>
        </is>
      </c>
      <c r="E510" s="11" t="inlineStr">
        <is>
          <t>Unidad 6 - Anatomía y fisiologí</t>
        </is>
      </c>
      <c r="F510" s="11" t="n">
        <v>3</v>
      </c>
      <c r="G510" s="11" t="inlineStr">
        <is>
          <t>6. Anatomía y fisiología vegetal</t>
        </is>
      </c>
      <c r="H510" s="11" t="inlineStr">
        <is>
          <t>Los tejidos vegetales</t>
        </is>
      </c>
      <c r="I510" s="38" t="inlineStr">
        <is>
          <t>6.1. Indagación de propiedades de los tejidos vegetales a partir de pruebas físicas y químicas.</t>
        </is>
      </c>
      <c r="J510" s="11" t="inlineStr">
        <is>
          <t>T8_27</t>
        </is>
      </c>
      <c r="K510" s="11" t="inlineStr">
        <is>
          <t>T8_27-B2.1</t>
        </is>
      </c>
      <c r="L510" s="11" t="inlineStr"/>
      <c r="M510" s="11">
        <f>IF(K510="FUERA","Fuera del marco",IF(K510="N/A","Sin marco",IFERROR(INDEX('Datos - Catálogo TIMSS'!$C$5:$C$107,MATCH(K510,'Datos - Catálogo TIMSS'!$A$5:$A$107,0)),"Pendiente de clasificar")))</f>
        <v/>
      </c>
      <c r="N510" s="11">
        <f>IF(K510="FUERA","Fuera del marco",IF(K510="N/A","Sin marco",IFERROR(INDEX('Datos - Catálogo TIMSS'!$F$5:$F$107,MATCH(K510,'Datos - Catálogo TIMSS'!$A$5:$A$107,0)),"Pendiente de clasificar")))</f>
        <v/>
      </c>
      <c r="O510" s="11">
        <f>IF(L510="","",IFERROR(INDEX('Datos - Catálogo TIMSS'!$C$5:$C$107,MATCH(L510,'Datos - Catálogo TIMSS'!$A$5:$A$107,0)),"?"))</f>
        <v/>
      </c>
      <c r="P510" s="11" t="inlineStr">
        <is>
          <t>media</t>
        </is>
      </c>
      <c r="Q510" s="38" t="inlineStr">
        <is>
          <t>Propiedades de tejidos vegetales: células especializadas forman tejidos</t>
        </is>
      </c>
      <c r="R510" s="38" t="inlineStr">
        <is>
          <t>Aplicar: experimentar</t>
        </is>
      </c>
      <c r="S510" s="39">
        <f>IFERROR(ISNUMBER(SEARCH("Conocer",$R510))/(ISNUMBER(SEARCH("Conocer",$R510))+ISNUMBER(SEARCH("Aplicar",$R510))+ISNUMBER(SEARCH("Razonar",$R510))),0)</f>
        <v/>
      </c>
      <c r="T510" s="39">
        <f>IFERROR(ISNUMBER(SEARCH("Aplicar",$R510))/(ISNUMBER(SEARCH("Conocer",$R510))+ISNUMBER(SEARCH("Aplicar",$R510))+ISNUMBER(SEARCH("Razonar",$R510))),0)</f>
        <v/>
      </c>
      <c r="U510" s="39">
        <f>IFERROR(ISNUMBER(SEARCH("Razonar",$R510))/(ISNUMBER(SEARCH("Conocer",$R510))+ISNUMBER(SEARCH("Aplicar",$R510))+ISNUMBER(SEARCH("Razonar",$R510))),0)</f>
        <v/>
      </c>
      <c r="V510" s="11" t="inlineStr">
        <is>
          <t>8°</t>
        </is>
      </c>
      <c r="W510" s="11" t="inlineStr">
        <is>
          <t>Ciclo 5°–8°</t>
        </is>
      </c>
      <c r="X510" s="11">
        <f>IF(OR(IFERROR(INDEX('Datos - Catálogo TIMSS'!$I$5:$I$107,MATCH(K510,'Datos - Catálogo TIMSS'!$A$5:$A$107,0)),"No")="Sí",IFERROR(INDEX('Datos - Catálogo TIMSS'!$I$5:$I$107,MATCH(L510,'Datos - Catálogo TIMSS'!$A$5:$A$107,0)),"No")="Sí"),1,0)</f>
        <v/>
      </c>
      <c r="Y510" s="11">
        <f>IF(IFERROR(INDEX('Datos - Catálogo TIMSS'!$J$5:$J$107,MATCH(K510,'Datos - Catálogo TIMSS'!$A$5:$A$107,0)),"No")="Sí",1,0)</f>
        <v/>
      </c>
      <c r="Z510" s="11">
        <f>IF(IFERROR(INDEX('Datos - Catálogo TIMSS'!$J$5:$J$107,MATCH(L510,'Datos - Catálogo TIMSS'!$A$5:$A$107,0)),"No")="Sí",1,0)</f>
        <v/>
      </c>
      <c r="AA510" s="11" t="inlineStr">
        <is>
          <t>T8-B2.1</t>
        </is>
      </c>
      <c r="AB510" s="11" t="inlineStr"/>
      <c r="AC510" s="11">
        <f>IF(AA510="FUERA","Fuera del marco",IF(AA510="N/A","Sin marco",IFERROR(INDEX('Datos - TIMSS 2023'!$C$5:$C$105,MATCH(AA510,'Datos - TIMSS 2023'!$A$5:$A$105,0)),"Pendiente de clasificar")))</f>
        <v/>
      </c>
      <c r="AD510" s="11" t="inlineStr">
        <is>
          <t>2. Construir y evaluar diseños para la indagación científica e interpretar datos y evidencia de forma crítica</t>
        </is>
      </c>
      <c r="AE510" s="11">
        <f>IF(AD510="","",IF(LEFT(AD510,1)="1","C1",IF(LEFT(AD510,1)="2","C2",IF(LEFT(AD510,1)="3","C3",""))))</f>
        <v/>
      </c>
      <c r="AF510" s="11" t="inlineStr">
        <is>
          <t>E1</t>
        </is>
      </c>
      <c r="AG510" s="11" t="inlineStr">
        <is>
          <t>D1</t>
        </is>
      </c>
      <c r="AH510" s="11" t="inlineStr">
        <is>
          <t>E1</t>
        </is>
      </c>
      <c r="AI510" s="11" t="inlineStr">
        <is>
          <t>D4</t>
        </is>
      </c>
      <c r="AJ510" s="11" t="inlineStr">
        <is>
          <t>E1</t>
        </is>
      </c>
      <c r="AK510" s="11" t="inlineStr">
        <is>
          <t>PISA-V4</t>
        </is>
      </c>
      <c r="AL510" s="11" t="inlineStr">
        <is>
          <t>PISA-V3</t>
        </is>
      </c>
      <c r="AM510" s="11">
        <f>IF(AK510="FUERA","Fuera del marco",IFERROR(INDEX('Datos - Catálogo PISA'!$C$5:$C$76,MATCH(AK510,'Datos - Catálogo PISA'!$A$5:$A$76,0)),"?"))</f>
        <v/>
      </c>
      <c r="AN510" s="11" t="inlineStr">
        <is>
          <t>Contenido</t>
        </is>
      </c>
      <c r="AO510" s="11" t="n"/>
      <c r="AP510" s="11" t="n"/>
      <c r="AQ510" s="11" t="inlineStr">
        <is>
          <t>Sin contexto</t>
        </is>
      </c>
      <c r="AR510" s="11" t="n"/>
      <c r="AS510" s="11" t="inlineStr">
        <is>
          <t>Baja</t>
        </is>
      </c>
      <c r="AT510" s="11" t="inlineStr">
        <is>
          <t>alta</t>
        </is>
      </c>
      <c r="AU510" s="11" t="inlineStr">
        <is>
          <t>Propiedades de tejidos vegetales mediante pruebas</t>
        </is>
      </c>
      <c r="AV510" s="11" t="inlineStr">
        <is>
          <t>Ciclo 7°–9°</t>
        </is>
      </c>
      <c r="AW510" s="11">
        <f>AF510&amp;"; "&amp;AG510&amp;"; "&amp;AH510&amp;"; "&amp;AI510&amp;"; "&amp;AJ510</f>
        <v/>
      </c>
    </row>
    <row r="511">
      <c r="A511" s="11" t="inlineStr">
        <is>
          <t>T1145-G08-CIE</t>
        </is>
      </c>
      <c r="B511" s="11" t="n">
        <v>8</v>
      </c>
      <c r="C511" s="11" t="inlineStr">
        <is>
          <t>Ciencias</t>
        </is>
      </c>
      <c r="D511" s="11" t="inlineStr">
        <is>
          <t>Matriz_Ciencias_8vo_Grado_U1_U7.xlsx</t>
        </is>
      </c>
      <c r="E511" s="11" t="inlineStr">
        <is>
          <t>Unidad 6 - Anatomía y fisiologí</t>
        </is>
      </c>
      <c r="F511" s="11" t="n">
        <v>4</v>
      </c>
      <c r="G511" s="11" t="inlineStr">
        <is>
          <t>6. Anatomía y fisiología vegetal</t>
        </is>
      </c>
      <c r="H511" s="11" t="inlineStr">
        <is>
          <t>Los tejidos vegetales</t>
        </is>
      </c>
      <c r="I511" s="38" t="inlineStr">
        <is>
          <t>6.2. Identificación práctica de tejidos vegetales.</t>
        </is>
      </c>
      <c r="J511" s="11" t="inlineStr">
        <is>
          <t>T8_27</t>
        </is>
      </c>
      <c r="K511" s="11" t="inlineStr">
        <is>
          <t>T8_27-B2.1</t>
        </is>
      </c>
      <c r="L511" s="11" t="inlineStr">
        <is>
          <t>T8_27-B7.1</t>
        </is>
      </c>
      <c r="M511" s="11">
        <f>IF(K511="FUERA","Fuera del marco",IF(K511="N/A","Sin marco",IFERROR(INDEX('Datos - Catálogo TIMSS'!$C$5:$C$107,MATCH(K511,'Datos - Catálogo TIMSS'!$A$5:$A$107,0)),"Pendiente de clasificar")))</f>
        <v/>
      </c>
      <c r="N511" s="11">
        <f>IF(K511="FUERA","Fuera del marco",IF(K511="N/A","Sin marco",IFERROR(INDEX('Datos - Catálogo TIMSS'!$F$5:$F$107,MATCH(K511,'Datos - Catálogo TIMSS'!$A$5:$A$107,0)),"Pendiente de clasificar")))</f>
        <v/>
      </c>
      <c r="O511" s="11">
        <f>IF(L511="","",IFERROR(INDEX('Datos - Catálogo TIMSS'!$C$5:$C$107,MATCH(L511,'Datos - Catálogo TIMSS'!$A$5:$A$107,0)),"?"))</f>
        <v/>
      </c>
      <c r="P511" s="11" t="inlineStr">
        <is>
          <t>media</t>
        </is>
      </c>
      <c r="Q511" s="38" t="inlineStr">
        <is>
          <t>Identificar tejidos vegetales en muestras, con microscopio</t>
        </is>
      </c>
      <c r="R511" s="38" t="inlineStr">
        <is>
          <t>Aplicar: identificar</t>
        </is>
      </c>
      <c r="S511" s="39">
        <f>IFERROR(ISNUMBER(SEARCH("Conocer",$R511))/(ISNUMBER(SEARCH("Conocer",$R511))+ISNUMBER(SEARCH("Aplicar",$R511))+ISNUMBER(SEARCH("Razonar",$R511))),0)</f>
        <v/>
      </c>
      <c r="T511" s="39">
        <f>IFERROR(ISNUMBER(SEARCH("Aplicar",$R511))/(ISNUMBER(SEARCH("Conocer",$R511))+ISNUMBER(SEARCH("Aplicar",$R511))+ISNUMBER(SEARCH("Razonar",$R511))),0)</f>
        <v/>
      </c>
      <c r="U511" s="39">
        <f>IFERROR(ISNUMBER(SEARCH("Razonar",$R511))/(ISNUMBER(SEARCH("Conocer",$R511))+ISNUMBER(SEARCH("Aplicar",$R511))+ISNUMBER(SEARCH("Razonar",$R511))),0)</f>
        <v/>
      </c>
      <c r="V511" s="11" t="inlineStr">
        <is>
          <t>8°</t>
        </is>
      </c>
      <c r="W511" s="11" t="inlineStr">
        <is>
          <t>Ciclo 5°–8°</t>
        </is>
      </c>
      <c r="X511" s="11">
        <f>IF(OR(IFERROR(INDEX('Datos - Catálogo TIMSS'!$I$5:$I$107,MATCH(K511,'Datos - Catálogo TIMSS'!$A$5:$A$107,0)),"No")="Sí",IFERROR(INDEX('Datos - Catálogo TIMSS'!$I$5:$I$107,MATCH(L511,'Datos - Catálogo TIMSS'!$A$5:$A$107,0)),"No")="Sí"),1,0)</f>
        <v/>
      </c>
      <c r="Y511" s="11">
        <f>IF(IFERROR(INDEX('Datos - Catálogo TIMSS'!$J$5:$J$107,MATCH(K511,'Datos - Catálogo TIMSS'!$A$5:$A$107,0)),"No")="Sí",1,0)</f>
        <v/>
      </c>
      <c r="Z511" s="11">
        <f>IF(IFERROR(INDEX('Datos - Catálogo TIMSS'!$J$5:$J$107,MATCH(L511,'Datos - Catálogo TIMSS'!$A$5:$A$107,0)),"No")="Sí",1,0)</f>
        <v/>
      </c>
      <c r="AA511" s="11" t="inlineStr">
        <is>
          <t>T8-B2.1</t>
        </is>
      </c>
      <c r="AB511" s="11" t="inlineStr"/>
      <c r="AC511" s="11">
        <f>IF(AA511="FUERA","Fuera del marco",IF(AA511="N/A","Sin marco",IFERROR(INDEX('Datos - TIMSS 2023'!$C$5:$C$105,MATCH(AA511,'Datos - TIMSS 2023'!$A$5:$A$105,0)),"Pendiente de clasificar")))</f>
        <v/>
      </c>
      <c r="AD511" s="11" t="inlineStr">
        <is>
          <t>2. Construir y evaluar diseños para la indagación científica e interpretar datos y evidencia de forma crítica</t>
        </is>
      </c>
      <c r="AE511" s="11">
        <f>IF(AD511="","",IF(LEFT(AD511,1)="1","C1",IF(LEFT(AD511,1)="2","C2",IF(LEFT(AD511,1)="3","C3",""))))</f>
        <v/>
      </c>
      <c r="AF511" s="11" t="inlineStr">
        <is>
          <t>E1</t>
        </is>
      </c>
      <c r="AG511" s="11" t="inlineStr">
        <is>
          <t>D1</t>
        </is>
      </c>
      <c r="AH511" s="11" t="inlineStr">
        <is>
          <t>E1</t>
        </is>
      </c>
      <c r="AI511" s="11" t="inlineStr">
        <is>
          <t>D4</t>
        </is>
      </c>
      <c r="AJ511" s="11" t="inlineStr">
        <is>
          <t>E1</t>
        </is>
      </c>
      <c r="AK511" s="11" t="inlineStr">
        <is>
          <t>PISA-V4</t>
        </is>
      </c>
      <c r="AL511" s="11" t="inlineStr">
        <is>
          <t>PISA-V3</t>
        </is>
      </c>
      <c r="AM511" s="11">
        <f>IF(AK511="FUERA","Fuera del marco",IFERROR(INDEX('Datos - Catálogo PISA'!$C$5:$C$76,MATCH(AK511,'Datos - Catálogo PISA'!$A$5:$A$76,0)),"?"))</f>
        <v/>
      </c>
      <c r="AN511" s="11" t="inlineStr">
        <is>
          <t>Contenido</t>
        </is>
      </c>
      <c r="AO511" s="11" t="n"/>
      <c r="AP511" s="11" t="n"/>
      <c r="AQ511" s="11" t="inlineStr">
        <is>
          <t>Sin contexto</t>
        </is>
      </c>
      <c r="AR511" s="11" t="n"/>
      <c r="AS511" s="11" t="inlineStr">
        <is>
          <t>Baja</t>
        </is>
      </c>
      <c r="AT511" s="11" t="inlineStr">
        <is>
          <t>alta</t>
        </is>
      </c>
      <c r="AU511" s="11" t="inlineStr">
        <is>
          <t>Identificación de tejidos vegetales en muestras</t>
        </is>
      </c>
      <c r="AV511" s="11" t="inlineStr">
        <is>
          <t>Ciclo 7°–9°</t>
        </is>
      </c>
      <c r="AW511" s="11">
        <f>AF511&amp;"; "&amp;AG511&amp;"; "&amp;AH511&amp;"; "&amp;AI511&amp;"; "&amp;AJ511</f>
        <v/>
      </c>
    </row>
    <row r="512">
      <c r="A512" s="11" t="inlineStr">
        <is>
          <t>T1146-G08-CIE</t>
        </is>
      </c>
      <c r="B512" s="11" t="n">
        <v>8</v>
      </c>
      <c r="C512" s="11" t="inlineStr">
        <is>
          <t>Ciencias</t>
        </is>
      </c>
      <c r="D512" s="11" t="inlineStr">
        <is>
          <t>Matriz_Ciencias_8vo_Grado_U1_U7.xlsx</t>
        </is>
      </c>
      <c r="E512" s="11" t="inlineStr">
        <is>
          <t>Unidad 6 - Anatomía y fisiologí</t>
        </is>
      </c>
      <c r="F512" s="11" t="n">
        <v>5</v>
      </c>
      <c r="G512" s="11" t="inlineStr">
        <is>
          <t>6. Anatomía y fisiología vegetal</t>
        </is>
      </c>
      <c r="H512" s="11" t="inlineStr">
        <is>
          <t>Los tejidos vegetales</t>
        </is>
      </c>
      <c r="I512" s="38" t="inlineStr">
        <is>
          <t>6.3. Comparación de las adaptaciones estructurales de las células vegetales dentro de los tejidos.</t>
        </is>
      </c>
      <c r="J512" s="11" t="inlineStr">
        <is>
          <t>T8_27</t>
        </is>
      </c>
      <c r="K512" s="11" t="inlineStr">
        <is>
          <t>T8_27-B2.1</t>
        </is>
      </c>
      <c r="L512" s="11" t="inlineStr"/>
      <c r="M512" s="11">
        <f>IF(K512="FUERA","Fuera del marco",IF(K512="N/A","Sin marco",IFERROR(INDEX('Datos - Catálogo TIMSS'!$C$5:$C$107,MATCH(K512,'Datos - Catálogo TIMSS'!$A$5:$A$107,0)),"Pendiente de clasificar")))</f>
        <v/>
      </c>
      <c r="N512" s="11">
        <f>IF(K512="FUERA","Fuera del marco",IF(K512="N/A","Sin marco",IFERROR(INDEX('Datos - Catálogo TIMSS'!$F$5:$F$107,MATCH(K512,'Datos - Catálogo TIMSS'!$A$5:$A$107,0)),"Pendiente de clasificar")))</f>
        <v/>
      </c>
      <c r="O512" s="11">
        <f>IF(L512="","",IFERROR(INDEX('Datos - Catálogo TIMSS'!$C$5:$C$107,MATCH(L512,'Datos - Catálogo TIMSS'!$A$5:$A$107,0)),"?"))</f>
        <v/>
      </c>
      <c r="P512" s="11" t="inlineStr">
        <is>
          <t>alta</t>
        </is>
      </c>
      <c r="Q512" s="38" t="inlineStr">
        <is>
          <t>Adaptaciones de células vegetales en tejidos: estructura y función</t>
        </is>
      </c>
      <c r="R512" s="38" t="inlineStr">
        <is>
          <t>Aplicar: comparar</t>
        </is>
      </c>
      <c r="S512" s="39">
        <f>IFERROR(ISNUMBER(SEARCH("Conocer",$R512))/(ISNUMBER(SEARCH("Conocer",$R512))+ISNUMBER(SEARCH("Aplicar",$R512))+ISNUMBER(SEARCH("Razonar",$R512))),0)</f>
        <v/>
      </c>
      <c r="T512" s="39">
        <f>IFERROR(ISNUMBER(SEARCH("Aplicar",$R512))/(ISNUMBER(SEARCH("Conocer",$R512))+ISNUMBER(SEARCH("Aplicar",$R512))+ISNUMBER(SEARCH("Razonar",$R512))),0)</f>
        <v/>
      </c>
      <c r="U512" s="39">
        <f>IFERROR(ISNUMBER(SEARCH("Razonar",$R512))/(ISNUMBER(SEARCH("Conocer",$R512))+ISNUMBER(SEARCH("Aplicar",$R512))+ISNUMBER(SEARCH("Razonar",$R512))),0)</f>
        <v/>
      </c>
      <c r="V512" s="11" t="inlineStr">
        <is>
          <t>8°</t>
        </is>
      </c>
      <c r="W512" s="11" t="inlineStr">
        <is>
          <t>Ciclo 5°–8°</t>
        </is>
      </c>
      <c r="X512" s="11">
        <f>IF(OR(IFERROR(INDEX('Datos - Catálogo TIMSS'!$I$5:$I$107,MATCH(K512,'Datos - Catálogo TIMSS'!$A$5:$A$107,0)),"No")="Sí",IFERROR(INDEX('Datos - Catálogo TIMSS'!$I$5:$I$107,MATCH(L512,'Datos - Catálogo TIMSS'!$A$5:$A$107,0)),"No")="Sí"),1,0)</f>
        <v/>
      </c>
      <c r="Y512" s="11">
        <f>IF(IFERROR(INDEX('Datos - Catálogo TIMSS'!$J$5:$J$107,MATCH(K512,'Datos - Catálogo TIMSS'!$A$5:$A$107,0)),"No")="Sí",1,0)</f>
        <v/>
      </c>
      <c r="Z512" s="11">
        <f>IF(IFERROR(INDEX('Datos - Catálogo TIMSS'!$J$5:$J$107,MATCH(L512,'Datos - Catálogo TIMSS'!$A$5:$A$107,0)),"No")="Sí",1,0)</f>
        <v/>
      </c>
      <c r="AA512" s="11" t="inlineStr">
        <is>
          <t>T8-B2.1</t>
        </is>
      </c>
      <c r="AB512" s="11" t="inlineStr"/>
      <c r="AC512" s="11">
        <f>IF(AA512="FUERA","Fuera del marco",IF(AA512="N/A","Sin marco",IFERROR(INDEX('Datos - TIMSS 2023'!$C$5:$C$105,MATCH(AA512,'Datos - TIMSS 2023'!$A$5:$A$105,0)),"Pendiente de clasificar")))</f>
        <v/>
      </c>
      <c r="AD512" s="11" t="inlineStr">
        <is>
          <t>1. Explicar fenómenos científicamente</t>
        </is>
      </c>
      <c r="AE512" s="11">
        <f>IF(AD512="","",IF(LEFT(AD512,1)="1","C1",IF(LEFT(AD512,1)="2","C2",IF(LEFT(AD512,1)="3","C3",""))))</f>
        <v/>
      </c>
      <c r="AF512" s="11" t="inlineStr">
        <is>
          <t>E1</t>
        </is>
      </c>
      <c r="AG512" s="11" t="inlineStr">
        <is>
          <t>D1</t>
        </is>
      </c>
      <c r="AH512" s="11" t="inlineStr">
        <is>
          <t>E1</t>
        </is>
      </c>
      <c r="AI512" s="11" t="inlineStr">
        <is>
          <t>D4</t>
        </is>
      </c>
      <c r="AJ512" s="11" t="inlineStr">
        <is>
          <t>E1</t>
        </is>
      </c>
      <c r="AK512" s="11" t="inlineStr">
        <is>
          <t>PISA-V3</t>
        </is>
      </c>
      <c r="AL512" s="11" t="inlineStr">
        <is>
          <t>PISA-V4</t>
        </is>
      </c>
      <c r="AM512" s="11">
        <f>IF(AK512="FUERA","Fuera del marco",IFERROR(INDEX('Datos - Catálogo PISA'!$C$5:$C$76,MATCH(AK512,'Datos - Catálogo PISA'!$A$5:$A$76,0)),"?"))</f>
        <v/>
      </c>
      <c r="AN512" s="11" t="inlineStr">
        <is>
          <t>Contenido</t>
        </is>
      </c>
      <c r="AO512" s="11" t="n"/>
      <c r="AP512" s="11" t="n"/>
      <c r="AQ512" s="11" t="inlineStr">
        <is>
          <t>Sin contexto</t>
        </is>
      </c>
      <c r="AR512" s="11" t="n"/>
      <c r="AS512" s="11" t="inlineStr">
        <is>
          <t>Media</t>
        </is>
      </c>
      <c r="AT512" s="11" t="inlineStr">
        <is>
          <t>media</t>
        </is>
      </c>
      <c r="AU512" s="11" t="inlineStr">
        <is>
          <t>Adaptaciones estructurales de células vegetales en tejidos</t>
        </is>
      </c>
      <c r="AV512" s="11" t="inlineStr">
        <is>
          <t>Ciclo 7°–9°</t>
        </is>
      </c>
      <c r="AW512" s="11">
        <f>AF512&amp;"; "&amp;AG512&amp;"; "&amp;AH512&amp;"; "&amp;AI512&amp;"; "&amp;AJ512</f>
        <v/>
      </c>
    </row>
    <row r="513">
      <c r="A513" s="11" t="inlineStr">
        <is>
          <t>T1147-G08-CIE</t>
        </is>
      </c>
      <c r="B513" s="11" t="n">
        <v>8</v>
      </c>
      <c r="C513" s="11" t="inlineStr">
        <is>
          <t>Ciencias</t>
        </is>
      </c>
      <c r="D513" s="11" t="inlineStr">
        <is>
          <t>Matriz_Ciencias_8vo_Grado_U1_U7.xlsx</t>
        </is>
      </c>
      <c r="E513" s="11" t="inlineStr">
        <is>
          <t>Unidad 6 - Anatomía y fisiologí</t>
        </is>
      </c>
      <c r="F513" s="11" t="n">
        <v>6</v>
      </c>
      <c r="G513" s="11" t="inlineStr">
        <is>
          <t>6. Anatomía y fisiología vegetal</t>
        </is>
      </c>
      <c r="H513" s="11" t="inlineStr">
        <is>
          <t>Transporte de sustancias</t>
        </is>
      </c>
      <c r="I513" s="38" t="inlineStr">
        <is>
          <t>6.4. Demostración experimental de la conducción y el almacenamiento de sustancias a través de los órganos vegetales.</t>
        </is>
      </c>
      <c r="J513" s="11" t="inlineStr">
        <is>
          <t>T8_27</t>
        </is>
      </c>
      <c r="K513" s="11" t="inlineStr">
        <is>
          <t>T8_27-B1.2</t>
        </is>
      </c>
      <c r="L513" s="11" t="inlineStr">
        <is>
          <t>T8_27-B7.1</t>
        </is>
      </c>
      <c r="M513" s="11">
        <f>IF(K513="FUERA","Fuera del marco",IF(K513="N/A","Sin marco",IFERROR(INDEX('Datos - Catálogo TIMSS'!$C$5:$C$107,MATCH(K513,'Datos - Catálogo TIMSS'!$A$5:$A$107,0)),"Pendiente de clasificar")))</f>
        <v/>
      </c>
      <c r="N513" s="11">
        <f>IF(K513="FUERA","Fuera del marco",IF(K513="N/A","Sin marco",IFERROR(INDEX('Datos - Catálogo TIMSS'!$F$5:$F$107,MATCH(K513,'Datos - Catálogo TIMSS'!$A$5:$A$107,0)),"Pendiente de clasificar")))</f>
        <v/>
      </c>
      <c r="O513" s="11">
        <f>IF(L513="","",IFERROR(INDEX('Datos - Catálogo TIMSS'!$C$5:$C$107,MATCH(L513,'Datos - Catálogo TIMSS'!$A$5:$A$107,0)),"?"))</f>
        <v/>
      </c>
      <c r="P513" s="11" t="inlineStr">
        <is>
          <t>media</t>
        </is>
      </c>
      <c r="Q513" s="38" t="inlineStr">
        <is>
          <t>Conducción y almacenamiento en órganos vegetales mediante diseño experimental</t>
        </is>
      </c>
      <c r="R513" s="38" t="inlineStr">
        <is>
          <t>Razonar: diseñar</t>
        </is>
      </c>
      <c r="S513" s="39">
        <f>IFERROR(ISNUMBER(SEARCH("Conocer",$R513))/(ISNUMBER(SEARCH("Conocer",$R513))+ISNUMBER(SEARCH("Aplicar",$R513))+ISNUMBER(SEARCH("Razonar",$R513))),0)</f>
        <v/>
      </c>
      <c r="T513" s="39">
        <f>IFERROR(ISNUMBER(SEARCH("Aplicar",$R513))/(ISNUMBER(SEARCH("Conocer",$R513))+ISNUMBER(SEARCH("Aplicar",$R513))+ISNUMBER(SEARCH("Razonar",$R513))),0)</f>
        <v/>
      </c>
      <c r="U513" s="39">
        <f>IFERROR(ISNUMBER(SEARCH("Razonar",$R513))/(ISNUMBER(SEARCH("Conocer",$R513))+ISNUMBER(SEARCH("Aplicar",$R513))+ISNUMBER(SEARCH("Razonar",$R513))),0)</f>
        <v/>
      </c>
      <c r="V513" s="11" t="inlineStr">
        <is>
          <t>8°</t>
        </is>
      </c>
      <c r="W513" s="11" t="inlineStr">
        <is>
          <t>Ciclo 5°–8°</t>
        </is>
      </c>
      <c r="X513" s="11">
        <f>IF(OR(IFERROR(INDEX('Datos - Catálogo TIMSS'!$I$5:$I$107,MATCH(K513,'Datos - Catálogo TIMSS'!$A$5:$A$107,0)),"No")="Sí",IFERROR(INDEX('Datos - Catálogo TIMSS'!$I$5:$I$107,MATCH(L513,'Datos - Catálogo TIMSS'!$A$5:$A$107,0)),"No")="Sí"),1,0)</f>
        <v/>
      </c>
      <c r="Y513" s="11">
        <f>IF(IFERROR(INDEX('Datos - Catálogo TIMSS'!$J$5:$J$107,MATCH(K513,'Datos - Catálogo TIMSS'!$A$5:$A$107,0)),"No")="Sí",1,0)</f>
        <v/>
      </c>
      <c r="Z513" s="11">
        <f>IF(IFERROR(INDEX('Datos - Catálogo TIMSS'!$J$5:$J$107,MATCH(L513,'Datos - Catálogo TIMSS'!$A$5:$A$107,0)),"No")="Sí",1,0)</f>
        <v/>
      </c>
      <c r="AA513" s="11" t="inlineStr">
        <is>
          <t>T8-B1.2</t>
        </is>
      </c>
      <c r="AB513" s="11" t="inlineStr">
        <is>
          <t>T8-B2.1</t>
        </is>
      </c>
      <c r="AC513" s="11">
        <f>IF(AA513="FUERA","Fuera del marco",IF(AA513="N/A","Sin marco",IFERROR(INDEX('Datos - TIMSS 2023'!$C$5:$C$105,MATCH(AA513,'Datos - TIMSS 2023'!$A$5:$A$105,0)),"Pendiente de clasificar")))</f>
        <v/>
      </c>
      <c r="AD513" s="11" t="inlineStr">
        <is>
          <t>2. Construir y evaluar diseños para la indagación científica e interpretar datos y evidencia de forma crítica</t>
        </is>
      </c>
      <c r="AE513" s="11">
        <f>IF(AD513="","",IF(LEFT(AD513,1)="1","C1",IF(LEFT(AD513,1)="2","C2",IF(LEFT(AD513,1)="3","C3",""))))</f>
        <v/>
      </c>
      <c r="AF513" s="11" t="inlineStr">
        <is>
          <t>E1</t>
        </is>
      </c>
      <c r="AG513" s="11" t="inlineStr">
        <is>
          <t>D1</t>
        </is>
      </c>
      <c r="AH513" s="11" t="inlineStr">
        <is>
          <t>E3</t>
        </is>
      </c>
      <c r="AI513" s="11" t="inlineStr">
        <is>
          <t>D2</t>
        </is>
      </c>
      <c r="AJ513" s="11" t="inlineStr">
        <is>
          <t>D3</t>
        </is>
      </c>
      <c r="AK513" s="11" t="inlineStr">
        <is>
          <t>PISA-V4</t>
        </is>
      </c>
      <c r="AL513" s="11" t="n"/>
      <c r="AM513" s="11">
        <f>IF(AK513="FUERA","Fuera del marco",IFERROR(INDEX('Datos - Catálogo PISA'!$C$5:$C$76,MATCH(AK513,'Datos - Catálogo PISA'!$A$5:$A$76,0)),"?"))</f>
        <v/>
      </c>
      <c r="AN513" s="11" t="inlineStr">
        <is>
          <t>Contenido</t>
        </is>
      </c>
      <c r="AO513" s="11" t="inlineStr">
        <is>
          <t>PISA-PR7;</t>
        </is>
      </c>
      <c r="AP513" s="11" t="n"/>
      <c r="AQ513" s="11" t="inlineStr">
        <is>
          <t>Sin contexto</t>
        </is>
      </c>
      <c r="AR513" s="11" t="n"/>
      <c r="AS513" s="11" t="inlineStr">
        <is>
          <t>Alta</t>
        </is>
      </c>
      <c r="AT513" s="11" t="inlineStr">
        <is>
          <t>alta</t>
        </is>
      </c>
      <c r="AU513" s="11" t="inlineStr">
        <is>
          <t>Diseño empírico para evidenciar conducción y almacenamiento vegetal</t>
        </is>
      </c>
      <c r="AV513" s="11" t="inlineStr">
        <is>
          <t>Ciclo 7°–9°</t>
        </is>
      </c>
      <c r="AW513" s="11">
        <f>AF513&amp;"; "&amp;AG513&amp;"; "&amp;AH513&amp;"; "&amp;AI513&amp;"; "&amp;AJ513</f>
        <v/>
      </c>
    </row>
    <row r="514">
      <c r="A514" s="11" t="inlineStr">
        <is>
          <t>T1148-G08-CIE</t>
        </is>
      </c>
      <c r="B514" s="11" t="n">
        <v>8</v>
      </c>
      <c r="C514" s="11" t="inlineStr">
        <is>
          <t>Ciencias</t>
        </is>
      </c>
      <c r="D514" s="11" t="inlineStr">
        <is>
          <t>Matriz_Ciencias_8vo_Grado_U1_U7.xlsx</t>
        </is>
      </c>
      <c r="E514" s="11" t="inlineStr">
        <is>
          <t>Unidad 6 - Anatomía y fisiologí</t>
        </is>
      </c>
      <c r="F514" s="11" t="n">
        <v>7</v>
      </c>
      <c r="G514" s="11" t="inlineStr">
        <is>
          <t>6. Anatomía y fisiología vegetal</t>
        </is>
      </c>
      <c r="H514" s="11" t="inlineStr">
        <is>
          <t>Transporte de sustancias</t>
        </is>
      </c>
      <c r="I514" s="38" t="inlineStr">
        <is>
          <t>6.5. Exploración de estructuras vegetales para la conducción y el almacenamiento de sustancias.</t>
        </is>
      </c>
      <c r="J514" s="11" t="inlineStr">
        <is>
          <t>T8_27</t>
        </is>
      </c>
      <c r="K514" s="11" t="inlineStr">
        <is>
          <t>T8_27-B1.2</t>
        </is>
      </c>
      <c r="L514" s="11" t="inlineStr">
        <is>
          <t>T8_27-B2.1</t>
        </is>
      </c>
      <c r="M514" s="11">
        <f>IF(K514="FUERA","Fuera del marco",IF(K514="N/A","Sin marco",IFERROR(INDEX('Datos - Catálogo TIMSS'!$C$5:$C$107,MATCH(K514,'Datos - Catálogo TIMSS'!$A$5:$A$107,0)),"Pendiente de clasificar")))</f>
        <v/>
      </c>
      <c r="N514" s="11">
        <f>IF(K514="FUERA","Fuera del marco",IF(K514="N/A","Sin marco",IFERROR(INDEX('Datos - Catálogo TIMSS'!$F$5:$F$107,MATCH(K514,'Datos - Catálogo TIMSS'!$A$5:$A$107,0)),"Pendiente de clasificar")))</f>
        <v/>
      </c>
      <c r="O514" s="11">
        <f>IF(L514="","",IFERROR(INDEX('Datos - Catálogo TIMSS'!$C$5:$C$107,MATCH(L514,'Datos - Catálogo TIMSS'!$A$5:$A$107,0)),"?"))</f>
        <v/>
      </c>
      <c r="P514" s="11" t="inlineStr">
        <is>
          <t>media</t>
        </is>
      </c>
      <c r="Q514" s="38" t="inlineStr">
        <is>
          <t>Estructuras vegetales de conducción y almacenamiento: órganos y tejidos</t>
        </is>
      </c>
      <c r="R514" s="38" t="inlineStr">
        <is>
          <t>Conocer: ejemplificar</t>
        </is>
      </c>
      <c r="S514" s="39">
        <f>IFERROR(ISNUMBER(SEARCH("Conocer",$R514))/(ISNUMBER(SEARCH("Conocer",$R514))+ISNUMBER(SEARCH("Aplicar",$R514))+ISNUMBER(SEARCH("Razonar",$R514))),0)</f>
        <v/>
      </c>
      <c r="T514" s="39">
        <f>IFERROR(ISNUMBER(SEARCH("Aplicar",$R514))/(ISNUMBER(SEARCH("Conocer",$R514))+ISNUMBER(SEARCH("Aplicar",$R514))+ISNUMBER(SEARCH("Razonar",$R514))),0)</f>
        <v/>
      </c>
      <c r="U514" s="39">
        <f>IFERROR(ISNUMBER(SEARCH("Razonar",$R514))/(ISNUMBER(SEARCH("Conocer",$R514))+ISNUMBER(SEARCH("Aplicar",$R514))+ISNUMBER(SEARCH("Razonar",$R514))),0)</f>
        <v/>
      </c>
      <c r="V514" s="11" t="inlineStr">
        <is>
          <t>8°</t>
        </is>
      </c>
      <c r="W514" s="11" t="inlineStr">
        <is>
          <t>Ciclo 5°–8°</t>
        </is>
      </c>
      <c r="X514" s="11">
        <f>IF(OR(IFERROR(INDEX('Datos - Catálogo TIMSS'!$I$5:$I$107,MATCH(K514,'Datos - Catálogo TIMSS'!$A$5:$A$107,0)),"No")="Sí",IFERROR(INDEX('Datos - Catálogo TIMSS'!$I$5:$I$107,MATCH(L514,'Datos - Catálogo TIMSS'!$A$5:$A$107,0)),"No")="Sí"),1,0)</f>
        <v/>
      </c>
      <c r="Y514" s="11">
        <f>IF(IFERROR(INDEX('Datos - Catálogo TIMSS'!$J$5:$J$107,MATCH(K514,'Datos - Catálogo TIMSS'!$A$5:$A$107,0)),"No")="Sí",1,0)</f>
        <v/>
      </c>
      <c r="Z514" s="11">
        <f>IF(IFERROR(INDEX('Datos - Catálogo TIMSS'!$J$5:$J$107,MATCH(L514,'Datos - Catálogo TIMSS'!$A$5:$A$107,0)),"No")="Sí",1,0)</f>
        <v/>
      </c>
      <c r="AA514" s="11" t="inlineStr">
        <is>
          <t>T8-B1.2</t>
        </is>
      </c>
      <c r="AB514" s="11" t="inlineStr"/>
      <c r="AC514" s="11">
        <f>IF(AA514="FUERA","Fuera del marco",IF(AA514="N/A","Sin marco",IFERROR(INDEX('Datos - TIMSS 2023'!$C$5:$C$105,MATCH(AA514,'Datos - TIMSS 2023'!$A$5:$A$105,0)),"Pendiente de clasificar")))</f>
        <v/>
      </c>
      <c r="AD514" s="11" t="inlineStr">
        <is>
          <t>1. Explicar fenómenos científicamente</t>
        </is>
      </c>
      <c r="AE514" s="11">
        <f>IF(AD514="","",IF(LEFT(AD514,1)="1","C1",IF(LEFT(AD514,1)="2","C2",IF(LEFT(AD514,1)="3","C3",""))))</f>
        <v/>
      </c>
      <c r="AF514" s="11" t="inlineStr">
        <is>
          <t>E1</t>
        </is>
      </c>
      <c r="AG514" s="11" t="inlineStr">
        <is>
          <t>D1</t>
        </is>
      </c>
      <c r="AH514" s="11" t="inlineStr">
        <is>
          <t>E1</t>
        </is>
      </c>
      <c r="AI514" s="11" t="inlineStr">
        <is>
          <t>D4</t>
        </is>
      </c>
      <c r="AJ514" s="11" t="inlineStr">
        <is>
          <t>E1</t>
        </is>
      </c>
      <c r="AK514" s="11" t="inlineStr">
        <is>
          <t>PISA-V4</t>
        </is>
      </c>
      <c r="AL514" s="11" t="n"/>
      <c r="AM514" s="11">
        <f>IF(AK514="FUERA","Fuera del marco",IFERROR(INDEX('Datos - Catálogo PISA'!$C$5:$C$76,MATCH(AK514,'Datos - Catálogo PISA'!$A$5:$A$76,0)),"?"))</f>
        <v/>
      </c>
      <c r="AN514" s="11" t="inlineStr">
        <is>
          <t>Contenido</t>
        </is>
      </c>
      <c r="AO514" s="11" t="n"/>
      <c r="AP514" s="11" t="n"/>
      <c r="AQ514" s="11" t="inlineStr">
        <is>
          <t>Sin contexto</t>
        </is>
      </c>
      <c r="AR514" s="11" t="n"/>
      <c r="AS514" s="11" t="inlineStr">
        <is>
          <t>Baja</t>
        </is>
      </c>
      <c r="AT514" s="11" t="inlineStr">
        <is>
          <t>alta</t>
        </is>
      </c>
      <c r="AU514" s="11" t="inlineStr">
        <is>
          <t>Estructuras vegetales de conducción y almacenamiento</t>
        </is>
      </c>
      <c r="AV514" s="11" t="inlineStr">
        <is>
          <t>Ciclo 7°–9°</t>
        </is>
      </c>
      <c r="AW514" s="11">
        <f>AF514&amp;"; "&amp;AG514&amp;"; "&amp;AH514&amp;"; "&amp;AI514&amp;"; "&amp;AJ514</f>
        <v/>
      </c>
    </row>
    <row r="515">
      <c r="A515" s="11" t="inlineStr">
        <is>
          <t>T1149-G08-CIE</t>
        </is>
      </c>
      <c r="B515" s="11" t="n">
        <v>8</v>
      </c>
      <c r="C515" s="11" t="inlineStr">
        <is>
          <t>Ciencias</t>
        </is>
      </c>
      <c r="D515" s="11" t="inlineStr">
        <is>
          <t>Matriz_Ciencias_8vo_Grado_U1_U7.xlsx</t>
        </is>
      </c>
      <c r="E515" s="11" t="inlineStr">
        <is>
          <t>Unidad 6 - Anatomía y fisiologí</t>
        </is>
      </c>
      <c r="F515" s="11" t="n">
        <v>8</v>
      </c>
      <c r="G515" s="11" t="inlineStr">
        <is>
          <t>6. Anatomía y fisiología vegetal</t>
        </is>
      </c>
      <c r="H515" s="11" t="inlineStr">
        <is>
          <t>Transporte de sustancias</t>
        </is>
      </c>
      <c r="I515" s="38" t="inlineStr">
        <is>
          <t>6.6. Elaboración de un catálogo histológico a partir de muestras vegetales.</t>
        </is>
      </c>
      <c r="J515" s="11" t="inlineStr">
        <is>
          <t>T8_27</t>
        </is>
      </c>
      <c r="K515" s="11" t="inlineStr">
        <is>
          <t>T8_27-B2.1</t>
        </is>
      </c>
      <c r="L515" s="11" t="inlineStr">
        <is>
          <t>T8_27-B7.1</t>
        </is>
      </c>
      <c r="M515" s="11">
        <f>IF(K515="FUERA","Fuera del marco",IF(K515="N/A","Sin marco",IFERROR(INDEX('Datos - Catálogo TIMSS'!$C$5:$C$107,MATCH(K515,'Datos - Catálogo TIMSS'!$A$5:$A$107,0)),"Pendiente de clasificar")))</f>
        <v/>
      </c>
      <c r="N515" s="11">
        <f>IF(K515="FUERA","Fuera del marco",IF(K515="N/A","Sin marco",IFERROR(INDEX('Datos - Catálogo TIMSS'!$F$5:$F$107,MATCH(K515,'Datos - Catálogo TIMSS'!$A$5:$A$107,0)),"Pendiente de clasificar")))</f>
        <v/>
      </c>
      <c r="O515" s="11">
        <f>IF(L515="","",IFERROR(INDEX('Datos - Catálogo TIMSS'!$C$5:$C$107,MATCH(L515,'Datos - Catálogo TIMSS'!$A$5:$A$107,0)),"?"))</f>
        <v/>
      </c>
      <c r="P515" s="11" t="inlineStr">
        <is>
          <t>media</t>
        </is>
      </c>
      <c r="Q515" s="38" t="inlineStr">
        <is>
          <t>Catálogo histológico vegetal con muestras y microscopio</t>
        </is>
      </c>
      <c r="R515" s="38" t="inlineStr">
        <is>
          <t>Aplicar: organizar información</t>
        </is>
      </c>
      <c r="S515" s="39">
        <f>IFERROR(ISNUMBER(SEARCH("Conocer",$R515))/(ISNUMBER(SEARCH("Conocer",$R515))+ISNUMBER(SEARCH("Aplicar",$R515))+ISNUMBER(SEARCH("Razonar",$R515))),0)</f>
        <v/>
      </c>
      <c r="T515" s="39">
        <f>IFERROR(ISNUMBER(SEARCH("Aplicar",$R515))/(ISNUMBER(SEARCH("Conocer",$R515))+ISNUMBER(SEARCH("Aplicar",$R515))+ISNUMBER(SEARCH("Razonar",$R515))),0)</f>
        <v/>
      </c>
      <c r="U515" s="39">
        <f>IFERROR(ISNUMBER(SEARCH("Razonar",$R515))/(ISNUMBER(SEARCH("Conocer",$R515))+ISNUMBER(SEARCH("Aplicar",$R515))+ISNUMBER(SEARCH("Razonar",$R515))),0)</f>
        <v/>
      </c>
      <c r="V515" s="11" t="inlineStr">
        <is>
          <t>8°</t>
        </is>
      </c>
      <c r="W515" s="11" t="inlineStr">
        <is>
          <t>Ciclo 5°–8°</t>
        </is>
      </c>
      <c r="X515" s="11">
        <f>IF(OR(IFERROR(INDEX('Datos - Catálogo TIMSS'!$I$5:$I$107,MATCH(K515,'Datos - Catálogo TIMSS'!$A$5:$A$107,0)),"No")="Sí",IFERROR(INDEX('Datos - Catálogo TIMSS'!$I$5:$I$107,MATCH(L515,'Datos - Catálogo TIMSS'!$A$5:$A$107,0)),"No")="Sí"),1,0)</f>
        <v/>
      </c>
      <c r="Y515" s="11">
        <f>IF(IFERROR(INDEX('Datos - Catálogo TIMSS'!$J$5:$J$107,MATCH(K515,'Datos - Catálogo TIMSS'!$A$5:$A$107,0)),"No")="Sí",1,0)</f>
        <v/>
      </c>
      <c r="Z515" s="11">
        <f>IF(IFERROR(INDEX('Datos - Catálogo TIMSS'!$J$5:$J$107,MATCH(L515,'Datos - Catálogo TIMSS'!$A$5:$A$107,0)),"No")="Sí",1,0)</f>
        <v/>
      </c>
      <c r="AA515" s="11" t="inlineStr">
        <is>
          <t>T8-B2.1</t>
        </is>
      </c>
      <c r="AB515" s="11" t="inlineStr"/>
      <c r="AC515" s="11">
        <f>IF(AA515="FUERA","Fuera del marco",IF(AA515="N/A","Sin marco",IFERROR(INDEX('Datos - TIMSS 2023'!$C$5:$C$105,MATCH(AA515,'Datos - TIMSS 2023'!$A$5:$A$105,0)),"Pendiente de clasificar")))</f>
        <v/>
      </c>
      <c r="AD515" s="11" t="inlineStr">
        <is>
          <t>2. Construir y evaluar diseños para la indagación científica e interpretar datos y evidencia de forma crítica</t>
        </is>
      </c>
      <c r="AE515" s="11">
        <f>IF(AD515="","",IF(LEFT(AD515,1)="1","C1",IF(LEFT(AD515,1)="2","C2",IF(LEFT(AD515,1)="3","C3",""))))</f>
        <v/>
      </c>
      <c r="AF515" s="11" t="inlineStr">
        <is>
          <t>E1</t>
        </is>
      </c>
      <c r="AG515" s="11" t="inlineStr">
        <is>
          <t>D1</t>
        </is>
      </c>
      <c r="AH515" s="11" t="inlineStr">
        <is>
          <t>E2</t>
        </is>
      </c>
      <c r="AI515" s="11" t="inlineStr">
        <is>
          <t>D4</t>
        </is>
      </c>
      <c r="AJ515" s="11" t="inlineStr">
        <is>
          <t>E1</t>
        </is>
      </c>
      <c r="AK515" s="11" t="inlineStr">
        <is>
          <t>PISA-V4</t>
        </is>
      </c>
      <c r="AL515" s="11" t="inlineStr">
        <is>
          <t>PISA-V3</t>
        </is>
      </c>
      <c r="AM515" s="11">
        <f>IF(AK515="FUERA","Fuera del marco",IFERROR(INDEX('Datos - Catálogo PISA'!$C$5:$C$76,MATCH(AK515,'Datos - Catálogo PISA'!$A$5:$A$76,0)),"?"))</f>
        <v/>
      </c>
      <c r="AN515" s="11" t="inlineStr">
        <is>
          <t>Contenido</t>
        </is>
      </c>
      <c r="AO515" s="11" t="n"/>
      <c r="AP515" s="11" t="n"/>
      <c r="AQ515" s="11" t="inlineStr">
        <is>
          <t>Sin contexto</t>
        </is>
      </c>
      <c r="AR515" s="11" t="n"/>
      <c r="AS515" s="11" t="inlineStr">
        <is>
          <t>Media</t>
        </is>
      </c>
      <c r="AT515" s="11" t="inlineStr">
        <is>
          <t>alta</t>
        </is>
      </c>
      <c r="AU515" s="11" t="inlineStr">
        <is>
          <t>Catálogo histológico de tejidos vegetales</t>
        </is>
      </c>
      <c r="AV515" s="11" t="inlineStr">
        <is>
          <t>Ciclo 7°–9°</t>
        </is>
      </c>
      <c r="AW515" s="11">
        <f>AF515&amp;"; "&amp;AG515&amp;"; "&amp;AH515&amp;"; "&amp;AI515&amp;"; "&amp;AJ515</f>
        <v/>
      </c>
    </row>
    <row r="516">
      <c r="A516" s="11" t="inlineStr">
        <is>
          <t>T1150-G08-CIE</t>
        </is>
      </c>
      <c r="B516" s="11" t="n">
        <v>8</v>
      </c>
      <c r="C516" s="11" t="inlineStr">
        <is>
          <t>Ciencias</t>
        </is>
      </c>
      <c r="D516" s="11" t="inlineStr">
        <is>
          <t>Matriz_Ciencias_8vo_Grado_U1_U7.xlsx</t>
        </is>
      </c>
      <c r="E516" s="11" t="inlineStr">
        <is>
          <t>Unidad 6 - Anatomía y fisiologí</t>
        </is>
      </c>
      <c r="F516" s="11" t="n">
        <v>9</v>
      </c>
      <c r="G516" s="11" t="inlineStr">
        <is>
          <t>6. Anatomía y fisiología vegetal</t>
        </is>
      </c>
      <c r="H516" s="11" t="inlineStr">
        <is>
          <t>Desarrollo y reproducción vegetal</t>
        </is>
      </c>
      <c r="I516" s="38" t="inlineStr">
        <is>
          <t>6.7. Experimentación con las condiciones de germinación y crecimiento de plantas.</t>
        </is>
      </c>
      <c r="J516" s="11" t="inlineStr">
        <is>
          <t>T8_27</t>
        </is>
      </c>
      <c r="K516" s="11" t="inlineStr">
        <is>
          <t>T8_27-B7.1</t>
        </is>
      </c>
      <c r="L516" s="11" t="inlineStr"/>
      <c r="M516" s="11">
        <f>IF(K516="FUERA","Fuera del marco",IF(K516="N/A","Sin marco",IFERROR(INDEX('Datos - Catálogo TIMSS'!$C$5:$C$107,MATCH(K516,'Datos - Catálogo TIMSS'!$A$5:$A$107,0)),"Pendiente de clasificar")))</f>
        <v/>
      </c>
      <c r="N516" s="11">
        <f>IF(K516="FUERA","Fuera del marco",IF(K516="N/A","Sin marco",IFERROR(INDEX('Datos - Catálogo TIMSS'!$F$5:$F$107,MATCH(K516,'Datos - Catálogo TIMSS'!$A$5:$A$107,0)),"Pendiente de clasificar")))</f>
        <v/>
      </c>
      <c r="O516" s="11">
        <f>IF(L516="","",IFERROR(INDEX('Datos - Catálogo TIMSS'!$C$5:$C$107,MATCH(L516,'Datos - Catálogo TIMSS'!$A$5:$A$107,0)),"?"))</f>
        <v/>
      </c>
      <c r="P516" s="11" t="inlineStr">
        <is>
          <t>baja</t>
        </is>
      </c>
      <c r="Q516" s="38" t="inlineStr">
        <is>
          <t>Experimento de variables en germinación; ciclos de vida fuera de TIMSS 8</t>
        </is>
      </c>
      <c r="R516" s="38" t="inlineStr">
        <is>
          <t>Razonar: diseñar</t>
        </is>
      </c>
      <c r="S516" s="39">
        <f>IFERROR(ISNUMBER(SEARCH("Conocer",$R516))/(ISNUMBER(SEARCH("Conocer",$R516))+ISNUMBER(SEARCH("Aplicar",$R516))+ISNUMBER(SEARCH("Razonar",$R516))),0)</f>
        <v/>
      </c>
      <c r="T516" s="39">
        <f>IFERROR(ISNUMBER(SEARCH("Aplicar",$R516))/(ISNUMBER(SEARCH("Conocer",$R516))+ISNUMBER(SEARCH("Aplicar",$R516))+ISNUMBER(SEARCH("Razonar",$R516))),0)</f>
        <v/>
      </c>
      <c r="U516" s="39">
        <f>IFERROR(ISNUMBER(SEARCH("Razonar",$R516))/(ISNUMBER(SEARCH("Conocer",$R516))+ISNUMBER(SEARCH("Aplicar",$R516))+ISNUMBER(SEARCH("Razonar",$R516))),0)</f>
        <v/>
      </c>
      <c r="V516" s="11" t="inlineStr">
        <is>
          <t>8°</t>
        </is>
      </c>
      <c r="W516" s="11" t="inlineStr">
        <is>
          <t>Ciclo 5°–8°</t>
        </is>
      </c>
      <c r="X516" s="11">
        <f>IF(OR(IFERROR(INDEX('Datos - Catálogo TIMSS'!$I$5:$I$107,MATCH(K516,'Datos - Catálogo TIMSS'!$A$5:$A$107,0)),"No")="Sí",IFERROR(INDEX('Datos - Catálogo TIMSS'!$I$5:$I$107,MATCH(L516,'Datos - Catálogo TIMSS'!$A$5:$A$107,0)),"No")="Sí"),1,0)</f>
        <v/>
      </c>
      <c r="Y516" s="11">
        <f>IF(IFERROR(INDEX('Datos - Catálogo TIMSS'!$J$5:$J$107,MATCH(K516,'Datos - Catálogo TIMSS'!$A$5:$A$107,0)),"No")="Sí",1,0)</f>
        <v/>
      </c>
      <c r="Z516" s="11">
        <f>IF(IFERROR(INDEX('Datos - Catálogo TIMSS'!$J$5:$J$107,MATCH(L516,'Datos - Catálogo TIMSS'!$A$5:$A$107,0)),"No")="Sí",1,0)</f>
        <v/>
      </c>
      <c r="AA516" s="11" t="inlineStr">
        <is>
          <t>T8-B3.1</t>
        </is>
      </c>
      <c r="AB516" s="11" t="inlineStr"/>
      <c r="AC516" s="11">
        <f>IF(AA516="FUERA","Fuera del marco",IF(AA516="N/A","Sin marco",IFERROR(INDEX('Datos - TIMSS 2023'!$C$5:$C$105,MATCH(AA516,'Datos - TIMSS 2023'!$A$5:$A$105,0)),"Pendiente de clasificar")))</f>
        <v/>
      </c>
      <c r="AD516" s="11" t="inlineStr">
        <is>
          <t>2. Construir y evaluar diseños para la indagación científica e interpretar datos y evidencia de forma crítica</t>
        </is>
      </c>
      <c r="AE516" s="11">
        <f>IF(AD516="","",IF(LEFT(AD516,1)="1","C1",IF(LEFT(AD516,1)="2","C2",IF(LEFT(AD516,1)="3","C3",""))))</f>
        <v/>
      </c>
      <c r="AF516" s="11" t="inlineStr">
        <is>
          <t>E1</t>
        </is>
      </c>
      <c r="AG516" s="11" t="inlineStr">
        <is>
          <t>E3</t>
        </is>
      </c>
      <c r="AH516" s="11" t="inlineStr">
        <is>
          <t>E1</t>
        </is>
      </c>
      <c r="AI516" s="11" t="inlineStr">
        <is>
          <t>D3</t>
        </is>
      </c>
      <c r="AJ516" s="11" t="inlineStr">
        <is>
          <t>E6</t>
        </is>
      </c>
      <c r="AK516" s="11" t="inlineStr">
        <is>
          <t>PISA-V4</t>
        </is>
      </c>
      <c r="AL516" s="11" t="n"/>
      <c r="AM516" s="11">
        <f>IF(AK516="FUERA","Fuera del marco",IFERROR(INDEX('Datos - Catálogo PISA'!$C$5:$C$76,MATCH(AK516,'Datos - Catálogo PISA'!$A$5:$A$76,0)),"?"))</f>
        <v/>
      </c>
      <c r="AN516" s="11" t="inlineStr">
        <is>
          <t>Contenido</t>
        </is>
      </c>
      <c r="AO516" s="11" t="inlineStr">
        <is>
          <t>PISA-PR1; PISA-PR6;</t>
        </is>
      </c>
      <c r="AP516" s="11" t="n"/>
      <c r="AQ516" s="11" t="inlineStr">
        <is>
          <t>Sin contexto</t>
        </is>
      </c>
      <c r="AR516" s="11" t="n"/>
      <c r="AS516" s="11" t="inlineStr">
        <is>
          <t>Media</t>
        </is>
      </c>
      <c r="AT516" s="11" t="inlineStr">
        <is>
          <t>alta</t>
        </is>
      </c>
      <c r="AU516" s="11" t="inlineStr">
        <is>
          <t>Variables de germinación y crecimiento de plantas</t>
        </is>
      </c>
      <c r="AV516" s="11" t="inlineStr">
        <is>
          <t>Ciclo 7°–9°</t>
        </is>
      </c>
      <c r="AW516" s="11">
        <f>AF516&amp;"; "&amp;AG516&amp;"; "&amp;AH516&amp;"; "&amp;AI516&amp;"; "&amp;AJ516</f>
        <v/>
      </c>
    </row>
    <row r="517">
      <c r="A517" s="11" t="inlineStr">
        <is>
          <t>T1151-G08-CIE</t>
        </is>
      </c>
      <c r="B517" s="11" t="n">
        <v>8</v>
      </c>
      <c r="C517" s="11" t="inlineStr">
        <is>
          <t>Ciencias</t>
        </is>
      </c>
      <c r="D517" s="11" t="inlineStr">
        <is>
          <t>Matriz_Ciencias_8vo_Grado_U1_U7.xlsx</t>
        </is>
      </c>
      <c r="E517" s="11" t="inlineStr">
        <is>
          <t>Unidad 6 - Anatomía y fisiologí</t>
        </is>
      </c>
      <c r="F517" s="11" t="n">
        <v>10</v>
      </c>
      <c r="G517" s="11" t="inlineStr">
        <is>
          <t>6. Anatomía y fisiología vegetal</t>
        </is>
      </c>
      <c r="H517" s="11" t="inlineStr">
        <is>
          <t>Desarrollo y reproducción vegetal</t>
        </is>
      </c>
      <c r="I517" s="38" t="inlineStr">
        <is>
          <t>6.8. Caracterización de las regiones meristemáticas en muestras vegetales.</t>
        </is>
      </c>
      <c r="J517" s="11" t="inlineStr">
        <is>
          <t>T8_27</t>
        </is>
      </c>
      <c r="K517" s="11" t="inlineStr">
        <is>
          <t>T8_27-B2.1</t>
        </is>
      </c>
      <c r="L517" s="11" t="inlineStr"/>
      <c r="M517" s="11">
        <f>IF(K517="FUERA","Fuera del marco",IF(K517="N/A","Sin marco",IFERROR(INDEX('Datos - Catálogo TIMSS'!$C$5:$C$107,MATCH(K517,'Datos - Catálogo TIMSS'!$A$5:$A$107,0)),"Pendiente de clasificar")))</f>
        <v/>
      </c>
      <c r="N517" s="11">
        <f>IF(K517="FUERA","Fuera del marco",IF(K517="N/A","Sin marco",IFERROR(INDEX('Datos - Catálogo TIMSS'!$F$5:$F$107,MATCH(K517,'Datos - Catálogo TIMSS'!$A$5:$A$107,0)),"Pendiente de clasificar")))</f>
        <v/>
      </c>
      <c r="O517" s="11">
        <f>IF(L517="","",IFERROR(INDEX('Datos - Catálogo TIMSS'!$C$5:$C$107,MATCH(L517,'Datos - Catálogo TIMSS'!$A$5:$A$107,0)),"?"))</f>
        <v/>
      </c>
      <c r="P517" s="11" t="inlineStr">
        <is>
          <t>media</t>
        </is>
      </c>
      <c r="Q517" s="38" t="inlineStr">
        <is>
          <t>Meristemos: tejidos de células que se dividen</t>
        </is>
      </c>
      <c r="R517" s="38" t="inlineStr">
        <is>
          <t>Aplicar: identificar</t>
        </is>
      </c>
      <c r="S517" s="39">
        <f>IFERROR(ISNUMBER(SEARCH("Conocer",$R517))/(ISNUMBER(SEARCH("Conocer",$R517))+ISNUMBER(SEARCH("Aplicar",$R517))+ISNUMBER(SEARCH("Razonar",$R517))),0)</f>
        <v/>
      </c>
      <c r="T517" s="39">
        <f>IFERROR(ISNUMBER(SEARCH("Aplicar",$R517))/(ISNUMBER(SEARCH("Conocer",$R517))+ISNUMBER(SEARCH("Aplicar",$R517))+ISNUMBER(SEARCH("Razonar",$R517))),0)</f>
        <v/>
      </c>
      <c r="U517" s="39">
        <f>IFERROR(ISNUMBER(SEARCH("Razonar",$R517))/(ISNUMBER(SEARCH("Conocer",$R517))+ISNUMBER(SEARCH("Aplicar",$R517))+ISNUMBER(SEARCH("Razonar",$R517))),0)</f>
        <v/>
      </c>
      <c r="V517" s="11" t="inlineStr">
        <is>
          <t>8°</t>
        </is>
      </c>
      <c r="W517" s="11" t="inlineStr">
        <is>
          <t>Ciclo 5°–8°</t>
        </is>
      </c>
      <c r="X517" s="11">
        <f>IF(OR(IFERROR(INDEX('Datos - Catálogo TIMSS'!$I$5:$I$107,MATCH(K517,'Datos - Catálogo TIMSS'!$A$5:$A$107,0)),"No")="Sí",IFERROR(INDEX('Datos - Catálogo TIMSS'!$I$5:$I$107,MATCH(L517,'Datos - Catálogo TIMSS'!$A$5:$A$107,0)),"No")="Sí"),1,0)</f>
        <v/>
      </c>
      <c r="Y517" s="11">
        <f>IF(IFERROR(INDEX('Datos - Catálogo TIMSS'!$J$5:$J$107,MATCH(K517,'Datos - Catálogo TIMSS'!$A$5:$A$107,0)),"No")="Sí",1,0)</f>
        <v/>
      </c>
      <c r="Z517" s="11">
        <f>IF(IFERROR(INDEX('Datos - Catálogo TIMSS'!$J$5:$J$107,MATCH(L517,'Datos - Catálogo TIMSS'!$A$5:$A$107,0)),"No")="Sí",1,0)</f>
        <v/>
      </c>
      <c r="AA517" s="11" t="inlineStr">
        <is>
          <t>T8-B3.1</t>
        </is>
      </c>
      <c r="AB517" s="11" t="inlineStr">
        <is>
          <t>T8-B2.1</t>
        </is>
      </c>
      <c r="AC517" s="11">
        <f>IF(AA517="FUERA","Fuera del marco",IF(AA517="N/A","Sin marco",IFERROR(INDEX('Datos - TIMSS 2023'!$C$5:$C$105,MATCH(AA517,'Datos - TIMSS 2023'!$A$5:$A$105,0)),"Pendiente de clasificar")))</f>
        <v/>
      </c>
      <c r="AD517" s="11" t="inlineStr">
        <is>
          <t>1. Explicar fenómenos científicamente</t>
        </is>
      </c>
      <c r="AE517" s="11">
        <f>IF(AD517="","",IF(LEFT(AD517,1)="1","C1",IF(LEFT(AD517,1)="2","C2",IF(LEFT(AD517,1)="3","C3",""))))</f>
        <v/>
      </c>
      <c r="AF517" s="11" t="inlineStr">
        <is>
          <t>E1</t>
        </is>
      </c>
      <c r="AG517" s="11" t="inlineStr">
        <is>
          <t>D1</t>
        </is>
      </c>
      <c r="AH517" s="11" t="inlineStr">
        <is>
          <t>E1</t>
        </is>
      </c>
      <c r="AI517" s="11" t="inlineStr">
        <is>
          <t>D4</t>
        </is>
      </c>
      <c r="AJ517" s="11" t="inlineStr">
        <is>
          <t>E1</t>
        </is>
      </c>
      <c r="AK517" s="11" t="inlineStr">
        <is>
          <t>PISA-V3</t>
        </is>
      </c>
      <c r="AL517" s="11" t="inlineStr">
        <is>
          <t>PISA-V4</t>
        </is>
      </c>
      <c r="AM517" s="11">
        <f>IF(AK517="FUERA","Fuera del marco",IFERROR(INDEX('Datos - Catálogo PISA'!$C$5:$C$76,MATCH(AK517,'Datos - Catálogo PISA'!$A$5:$A$76,0)),"?"))</f>
        <v/>
      </c>
      <c r="AN517" s="11" t="inlineStr">
        <is>
          <t>Contenido</t>
        </is>
      </c>
      <c r="AO517" s="11" t="n"/>
      <c r="AP517" s="11" t="n"/>
      <c r="AQ517" s="11" t="inlineStr">
        <is>
          <t>Sin contexto</t>
        </is>
      </c>
      <c r="AR517" s="11" t="n"/>
      <c r="AS517" s="11" t="inlineStr">
        <is>
          <t>Baja</t>
        </is>
      </c>
      <c r="AT517" s="11" t="inlineStr">
        <is>
          <t>media</t>
        </is>
      </c>
      <c r="AU517" s="11" t="inlineStr">
        <is>
          <t>Meristemos: crecimiento por división celular</t>
        </is>
      </c>
      <c r="AV517" s="11" t="inlineStr">
        <is>
          <t>Ciclo 7°–9°</t>
        </is>
      </c>
      <c r="AW517" s="11">
        <f>AF517&amp;"; "&amp;AG517&amp;"; "&amp;AH517&amp;"; "&amp;AI517&amp;"; "&amp;AJ517</f>
        <v/>
      </c>
    </row>
    <row r="518">
      <c r="A518" s="11" t="inlineStr">
        <is>
          <t>T1152-G08-CIE</t>
        </is>
      </c>
      <c r="B518" s="11" t="n">
        <v>8</v>
      </c>
      <c r="C518" s="11" t="inlineStr">
        <is>
          <t>Ciencias</t>
        </is>
      </c>
      <c r="D518" s="11" t="inlineStr">
        <is>
          <t>Matriz_Ciencias_8vo_Grado_U1_U7.xlsx</t>
        </is>
      </c>
      <c r="E518" s="11" t="inlineStr">
        <is>
          <t>Unidad 6 - Anatomía y fisiologí</t>
        </is>
      </c>
      <c r="F518" s="11" t="n">
        <v>11</v>
      </c>
      <c r="G518" s="11" t="inlineStr">
        <is>
          <t>6. Anatomía y fisiología vegetal</t>
        </is>
      </c>
      <c r="H518" s="11" t="inlineStr">
        <is>
          <t>Desarrollo y reproducción vegetal</t>
        </is>
      </c>
      <c r="I518" s="38" t="inlineStr">
        <is>
          <t>6.9. Experimentación con las condiciones de maduración de los frutos.</t>
        </is>
      </c>
      <c r="J518" s="11" t="inlineStr">
        <is>
          <t>T8_27</t>
        </is>
      </c>
      <c r="K518" s="11" t="inlineStr">
        <is>
          <t>T8_27-B7.1</t>
        </is>
      </c>
      <c r="L518" s="11" t="inlineStr"/>
      <c r="M518" s="11">
        <f>IF(K518="FUERA","Fuera del marco",IF(K518="N/A","Sin marco",IFERROR(INDEX('Datos - Catálogo TIMSS'!$C$5:$C$107,MATCH(K518,'Datos - Catálogo TIMSS'!$A$5:$A$107,0)),"Pendiente de clasificar")))</f>
        <v/>
      </c>
      <c r="N518" s="11">
        <f>IF(K518="FUERA","Fuera del marco",IF(K518="N/A","Sin marco",IFERROR(INDEX('Datos - Catálogo TIMSS'!$F$5:$F$107,MATCH(K518,'Datos - Catálogo TIMSS'!$A$5:$A$107,0)),"Pendiente de clasificar")))</f>
        <v/>
      </c>
      <c r="O518" s="11">
        <f>IF(L518="","",IFERROR(INDEX('Datos - Catálogo TIMSS'!$C$5:$C$107,MATCH(L518,'Datos - Catálogo TIMSS'!$A$5:$A$107,0)),"?"))</f>
        <v/>
      </c>
      <c r="P518" s="11" t="inlineStr">
        <is>
          <t>baja</t>
        </is>
      </c>
      <c r="Q518" s="38" t="inlineStr">
        <is>
          <t>Diseñar experimento de variables; maduración de frutos fuera del catálogo</t>
        </is>
      </c>
      <c r="R518" s="38" t="inlineStr">
        <is>
          <t>Razonar: plantear experimentos</t>
        </is>
      </c>
      <c r="S518" s="39">
        <f>IFERROR(ISNUMBER(SEARCH("Conocer",$R518))/(ISNUMBER(SEARCH("Conocer",$R518))+ISNUMBER(SEARCH("Aplicar",$R518))+ISNUMBER(SEARCH("Razonar",$R518))),0)</f>
        <v/>
      </c>
      <c r="T518" s="39">
        <f>IFERROR(ISNUMBER(SEARCH("Aplicar",$R518))/(ISNUMBER(SEARCH("Conocer",$R518))+ISNUMBER(SEARCH("Aplicar",$R518))+ISNUMBER(SEARCH("Razonar",$R518))),0)</f>
        <v/>
      </c>
      <c r="U518" s="39">
        <f>IFERROR(ISNUMBER(SEARCH("Razonar",$R518))/(ISNUMBER(SEARCH("Conocer",$R518))+ISNUMBER(SEARCH("Aplicar",$R518))+ISNUMBER(SEARCH("Razonar",$R518))),0)</f>
        <v/>
      </c>
      <c r="V518" s="11" t="inlineStr">
        <is>
          <t>8°</t>
        </is>
      </c>
      <c r="W518" s="11" t="inlineStr">
        <is>
          <t>Ciclo 5°–8°</t>
        </is>
      </c>
      <c r="X518" s="11">
        <f>IF(OR(IFERROR(INDEX('Datos - Catálogo TIMSS'!$I$5:$I$107,MATCH(K518,'Datos - Catálogo TIMSS'!$A$5:$A$107,0)),"No")="Sí",IFERROR(INDEX('Datos - Catálogo TIMSS'!$I$5:$I$107,MATCH(L518,'Datos - Catálogo TIMSS'!$A$5:$A$107,0)),"No")="Sí"),1,0)</f>
        <v/>
      </c>
      <c r="Y518" s="11">
        <f>IF(IFERROR(INDEX('Datos - Catálogo TIMSS'!$J$5:$J$107,MATCH(K518,'Datos - Catálogo TIMSS'!$A$5:$A$107,0)),"No")="Sí",1,0)</f>
        <v/>
      </c>
      <c r="Z518" s="11">
        <f>IF(IFERROR(INDEX('Datos - Catálogo TIMSS'!$J$5:$J$107,MATCH(L518,'Datos - Catálogo TIMSS'!$A$5:$A$107,0)),"No")="Sí",1,0)</f>
        <v/>
      </c>
      <c r="AA518" s="11" t="inlineStr">
        <is>
          <t>T8-B3.1</t>
        </is>
      </c>
      <c r="AB518" s="11" t="inlineStr"/>
      <c r="AC518" s="11">
        <f>IF(AA518="FUERA","Fuera del marco",IF(AA518="N/A","Sin marco",IFERROR(INDEX('Datos - TIMSS 2023'!$C$5:$C$105,MATCH(AA518,'Datos - TIMSS 2023'!$A$5:$A$105,0)),"Pendiente de clasificar")))</f>
        <v/>
      </c>
      <c r="AD518" s="11" t="inlineStr">
        <is>
          <t>2. Construir y evaluar diseños para la indagación científica e interpretar datos y evidencia de forma crítica</t>
        </is>
      </c>
      <c r="AE518" s="11">
        <f>IF(AD518="","",IF(LEFT(AD518,1)="1","C1",IF(LEFT(AD518,1)="2","C2",IF(LEFT(AD518,1)="3","C3",""))))</f>
        <v/>
      </c>
      <c r="AF518" s="11" t="inlineStr">
        <is>
          <t>E1</t>
        </is>
      </c>
      <c r="AG518" s="11" t="inlineStr">
        <is>
          <t>E3</t>
        </is>
      </c>
      <c r="AH518" s="11" t="inlineStr">
        <is>
          <t>E1</t>
        </is>
      </c>
      <c r="AI518" s="11" t="inlineStr">
        <is>
          <t>D2</t>
        </is>
      </c>
      <c r="AJ518" s="11" t="inlineStr">
        <is>
          <t>E6</t>
        </is>
      </c>
      <c r="AK518" s="11" t="inlineStr">
        <is>
          <t>PISA-V4</t>
        </is>
      </c>
      <c r="AL518" s="11" t="n"/>
      <c r="AM518" s="11">
        <f>IF(AK518="FUERA","Fuera del marco",IFERROR(INDEX('Datos - Catálogo PISA'!$C$5:$C$76,MATCH(AK518,'Datos - Catálogo PISA'!$A$5:$A$76,0)),"?"))</f>
        <v/>
      </c>
      <c r="AN518" s="11" t="inlineStr">
        <is>
          <t>Contenido</t>
        </is>
      </c>
      <c r="AO518" s="11" t="inlineStr">
        <is>
          <t>PISA-PR1; PISA-PR7;</t>
        </is>
      </c>
      <c r="AP518" s="11" t="n"/>
      <c r="AQ518" s="11" t="inlineStr">
        <is>
          <t>Sin contexto</t>
        </is>
      </c>
      <c r="AR518" s="11" t="n"/>
      <c r="AS518" s="11" t="inlineStr">
        <is>
          <t>Alta</t>
        </is>
      </c>
      <c r="AT518" s="11" t="inlineStr">
        <is>
          <t>media</t>
        </is>
      </c>
      <c r="AU518" s="11" t="inlineStr">
        <is>
          <t>Planteo de experimento sobre variables de maduración del fruto</t>
        </is>
      </c>
      <c r="AV518" s="11" t="inlineStr">
        <is>
          <t>Ciclo 7°–9°</t>
        </is>
      </c>
      <c r="AW518" s="11">
        <f>AF518&amp;"; "&amp;AG518&amp;"; "&amp;AH518&amp;"; "&amp;AI518&amp;"; "&amp;AJ518</f>
        <v/>
      </c>
    </row>
    <row r="519">
      <c r="A519" s="11" t="inlineStr">
        <is>
          <t>T1153-G08-CIE</t>
        </is>
      </c>
      <c r="B519" s="11" t="n">
        <v>8</v>
      </c>
      <c r="C519" s="11" t="inlineStr">
        <is>
          <t>Ciencias</t>
        </is>
      </c>
      <c r="D519" s="11" t="inlineStr">
        <is>
          <t>Matriz_Ciencias_8vo_Grado_U1_U7.xlsx</t>
        </is>
      </c>
      <c r="E519" s="11" t="inlineStr">
        <is>
          <t>Unidad 6 - Anatomía y fisiologí</t>
        </is>
      </c>
      <c r="F519" s="11" t="n">
        <v>12</v>
      </c>
      <c r="G519" s="11" t="inlineStr">
        <is>
          <t>6. Anatomía y fisiología vegetal</t>
        </is>
      </c>
      <c r="H519" s="11" t="inlineStr">
        <is>
          <t>La hoja y sus funciones</t>
        </is>
      </c>
      <c r="I519" s="38" t="inlineStr">
        <is>
          <t>6.10. Indagación de las funciones fisiológicas de las hojas.</t>
        </is>
      </c>
      <c r="J519" s="11" t="inlineStr">
        <is>
          <t>T8_27</t>
        </is>
      </c>
      <c r="K519" s="11" t="inlineStr">
        <is>
          <t>T8_27-B1.3</t>
        </is>
      </c>
      <c r="L519" s="11" t="inlineStr"/>
      <c r="M519" s="11">
        <f>IF(K519="FUERA","Fuera del marco",IF(K519="N/A","Sin marco",IFERROR(INDEX('Datos - Catálogo TIMSS'!$C$5:$C$107,MATCH(K519,'Datos - Catálogo TIMSS'!$A$5:$A$107,0)),"Pendiente de clasificar")))</f>
        <v/>
      </c>
      <c r="N519" s="11">
        <f>IF(K519="FUERA","Fuera del marco",IF(K519="N/A","Sin marco",IFERROR(INDEX('Datos - Catálogo TIMSS'!$F$5:$F$107,MATCH(K519,'Datos - Catálogo TIMSS'!$A$5:$A$107,0)),"Pendiente de clasificar")))</f>
        <v/>
      </c>
      <c r="O519" s="11">
        <f>IF(L519="","",IFERROR(INDEX('Datos - Catálogo TIMSS'!$C$5:$C$107,MATCH(L519,'Datos - Catálogo TIMSS'!$A$5:$A$107,0)),"?"))</f>
        <v/>
      </c>
      <c r="P519" s="11" t="inlineStr">
        <is>
          <t>alta</t>
        </is>
      </c>
      <c r="Q519" s="38" t="inlineStr">
        <is>
          <t>Funciones de la hoja: fotosíntesis y transpiración</t>
        </is>
      </c>
      <c r="R519" s="38" t="inlineStr">
        <is>
          <t>Aplicar: observar</t>
        </is>
      </c>
      <c r="S519" s="39">
        <f>IFERROR(ISNUMBER(SEARCH("Conocer",$R519))/(ISNUMBER(SEARCH("Conocer",$R519))+ISNUMBER(SEARCH("Aplicar",$R519))+ISNUMBER(SEARCH("Razonar",$R519))),0)</f>
        <v/>
      </c>
      <c r="T519" s="39">
        <f>IFERROR(ISNUMBER(SEARCH("Aplicar",$R519))/(ISNUMBER(SEARCH("Conocer",$R519))+ISNUMBER(SEARCH("Aplicar",$R519))+ISNUMBER(SEARCH("Razonar",$R519))),0)</f>
        <v/>
      </c>
      <c r="U519" s="39">
        <f>IFERROR(ISNUMBER(SEARCH("Razonar",$R519))/(ISNUMBER(SEARCH("Conocer",$R519))+ISNUMBER(SEARCH("Aplicar",$R519))+ISNUMBER(SEARCH("Razonar",$R519))),0)</f>
        <v/>
      </c>
      <c r="V519" s="11" t="inlineStr">
        <is>
          <t>8°</t>
        </is>
      </c>
      <c r="W519" s="11" t="inlineStr">
        <is>
          <t>Ciclo 5°–8°</t>
        </is>
      </c>
      <c r="X519" s="11">
        <f>IF(OR(IFERROR(INDEX('Datos - Catálogo TIMSS'!$I$5:$I$107,MATCH(K519,'Datos - Catálogo TIMSS'!$A$5:$A$107,0)),"No")="Sí",IFERROR(INDEX('Datos - Catálogo TIMSS'!$I$5:$I$107,MATCH(L519,'Datos - Catálogo TIMSS'!$A$5:$A$107,0)),"No")="Sí"),1,0)</f>
        <v/>
      </c>
      <c r="Y519" s="11">
        <f>IF(IFERROR(INDEX('Datos - Catálogo TIMSS'!$J$5:$J$107,MATCH(K519,'Datos - Catálogo TIMSS'!$A$5:$A$107,0)),"No")="Sí",1,0)</f>
        <v/>
      </c>
      <c r="Z519" s="11">
        <f>IF(IFERROR(INDEX('Datos - Catálogo TIMSS'!$J$5:$J$107,MATCH(L519,'Datos - Catálogo TIMSS'!$A$5:$A$107,0)),"No")="Sí",1,0)</f>
        <v/>
      </c>
      <c r="AA519" s="11" t="inlineStr">
        <is>
          <t>T8-B2.2</t>
        </is>
      </c>
      <c r="AB519" s="11" t="inlineStr">
        <is>
          <t>T8-B1.3</t>
        </is>
      </c>
      <c r="AC519" s="11">
        <f>IF(AA519="FUERA","Fuera del marco",IF(AA519="N/A","Sin marco",IFERROR(INDEX('Datos - TIMSS 2023'!$C$5:$C$105,MATCH(AA519,'Datos - TIMSS 2023'!$A$5:$A$105,0)),"Pendiente de clasificar")))</f>
        <v/>
      </c>
      <c r="AD519" s="11" t="inlineStr">
        <is>
          <t>1. Explicar fenómenos científicamente</t>
        </is>
      </c>
      <c r="AE519" s="11">
        <f>IF(AD519="","",IF(LEFT(AD519,1)="1","C1",IF(LEFT(AD519,1)="2","C2",IF(LEFT(AD519,1)="3","C3",""))))</f>
        <v/>
      </c>
      <c r="AF519" s="11" t="inlineStr">
        <is>
          <t>E1</t>
        </is>
      </c>
      <c r="AG519" s="11" t="inlineStr">
        <is>
          <t>D1</t>
        </is>
      </c>
      <c r="AH519" s="11" t="inlineStr">
        <is>
          <t>E1</t>
        </is>
      </c>
      <c r="AI519" s="11" t="inlineStr">
        <is>
          <t>D4</t>
        </is>
      </c>
      <c r="AJ519" s="11" t="inlineStr">
        <is>
          <t>E1</t>
        </is>
      </c>
      <c r="AK519" s="11" t="inlineStr">
        <is>
          <t>PISA-V4</t>
        </is>
      </c>
      <c r="AL519" s="11" t="inlineStr">
        <is>
          <t>PISA-V3</t>
        </is>
      </c>
      <c r="AM519" s="11">
        <f>IF(AK519="FUERA","Fuera del marco",IFERROR(INDEX('Datos - Catálogo PISA'!$C$5:$C$76,MATCH(AK519,'Datos - Catálogo PISA'!$A$5:$A$76,0)),"?"))</f>
        <v/>
      </c>
      <c r="AN519" s="11" t="inlineStr">
        <is>
          <t>Contenido</t>
        </is>
      </c>
      <c r="AO519" s="11" t="n"/>
      <c r="AP519" s="11" t="n"/>
      <c r="AQ519" s="11" t="inlineStr">
        <is>
          <t>Sin contexto</t>
        </is>
      </c>
      <c r="AR519" s="11" t="n"/>
      <c r="AS519" s="11" t="inlineStr">
        <is>
          <t>Baja</t>
        </is>
      </c>
      <c r="AT519" s="11" t="inlineStr">
        <is>
          <t>alta</t>
        </is>
      </c>
      <c r="AU519" s="11" t="inlineStr">
        <is>
          <t>Funciones fisiológicas de la hoja</t>
        </is>
      </c>
      <c r="AV519" s="11" t="inlineStr">
        <is>
          <t>Ciclo 7°–9°</t>
        </is>
      </c>
      <c r="AW519" s="11">
        <f>AF519&amp;"; "&amp;AG519&amp;"; "&amp;AH519&amp;"; "&amp;AI519&amp;"; "&amp;AJ519</f>
        <v/>
      </c>
    </row>
    <row r="520">
      <c r="A520" s="11" t="inlineStr">
        <is>
          <t>T1154-G08-CIE</t>
        </is>
      </c>
      <c r="B520" s="11" t="n">
        <v>8</v>
      </c>
      <c r="C520" s="11" t="inlineStr">
        <is>
          <t>Ciencias</t>
        </is>
      </c>
      <c r="D520" s="11" t="inlineStr">
        <is>
          <t>Matriz_Ciencias_8vo_Grado_U1_U7.xlsx</t>
        </is>
      </c>
      <c r="E520" s="11" t="inlineStr">
        <is>
          <t>Unidad 6 - Anatomía y fisiologí</t>
        </is>
      </c>
      <c r="F520" s="11" t="n">
        <v>13</v>
      </c>
      <c r="G520" s="11" t="inlineStr">
        <is>
          <t>6. Anatomía y fisiología vegetal</t>
        </is>
      </c>
      <c r="H520" s="11" t="inlineStr">
        <is>
          <t>La hoja y sus funciones</t>
        </is>
      </c>
      <c r="I520" s="38" t="inlineStr">
        <is>
          <t>6.11. Experimentación con los procesos de transpiración y fotosíntesis en plantas.</t>
        </is>
      </c>
      <c r="J520" s="11" t="inlineStr">
        <is>
          <t>T8_27</t>
        </is>
      </c>
      <c r="K520" s="11" t="inlineStr">
        <is>
          <t>T8_27-B1.3</t>
        </is>
      </c>
      <c r="L520" s="11" t="inlineStr">
        <is>
          <t>T8_27-B7.1</t>
        </is>
      </c>
      <c r="M520" s="11">
        <f>IF(K520="FUERA","Fuera del marco",IF(K520="N/A","Sin marco",IFERROR(INDEX('Datos - Catálogo TIMSS'!$C$5:$C$107,MATCH(K520,'Datos - Catálogo TIMSS'!$A$5:$A$107,0)),"Pendiente de clasificar")))</f>
        <v/>
      </c>
      <c r="N520" s="11">
        <f>IF(K520="FUERA","Fuera del marco",IF(K520="N/A","Sin marco",IFERROR(INDEX('Datos - Catálogo TIMSS'!$F$5:$F$107,MATCH(K520,'Datos - Catálogo TIMSS'!$A$5:$A$107,0)),"Pendiente de clasificar")))</f>
        <v/>
      </c>
      <c r="O520" s="11">
        <f>IF(L520="","",IFERROR(INDEX('Datos - Catálogo TIMSS'!$C$5:$C$107,MATCH(L520,'Datos - Catálogo TIMSS'!$A$5:$A$107,0)),"?"))</f>
        <v/>
      </c>
      <c r="P520" s="11" t="inlineStr">
        <is>
          <t>alta</t>
        </is>
      </c>
      <c r="Q520" s="38" t="inlineStr">
        <is>
          <t>Experimento de transpiración y fotosíntesis comparando luz y sombra</t>
        </is>
      </c>
      <c r="R520" s="38" t="inlineStr">
        <is>
          <t>Aplicar: experimentar. Razonar: interpretar</t>
        </is>
      </c>
      <c r="S520" s="39">
        <f>IFERROR(ISNUMBER(SEARCH("Conocer",$R520))/(ISNUMBER(SEARCH("Conocer",$R520))+ISNUMBER(SEARCH("Aplicar",$R520))+ISNUMBER(SEARCH("Razonar",$R520))),0)</f>
        <v/>
      </c>
      <c r="T520" s="39">
        <f>IFERROR(ISNUMBER(SEARCH("Aplicar",$R520))/(ISNUMBER(SEARCH("Conocer",$R520))+ISNUMBER(SEARCH("Aplicar",$R520))+ISNUMBER(SEARCH("Razonar",$R520))),0)</f>
        <v/>
      </c>
      <c r="U520" s="39">
        <f>IFERROR(ISNUMBER(SEARCH("Razonar",$R520))/(ISNUMBER(SEARCH("Conocer",$R520))+ISNUMBER(SEARCH("Aplicar",$R520))+ISNUMBER(SEARCH("Razonar",$R520))),0)</f>
        <v/>
      </c>
      <c r="V520" s="11" t="inlineStr">
        <is>
          <t>8°</t>
        </is>
      </c>
      <c r="W520" s="11" t="inlineStr">
        <is>
          <t>Ciclo 5°–8°</t>
        </is>
      </c>
      <c r="X520" s="11">
        <f>IF(OR(IFERROR(INDEX('Datos - Catálogo TIMSS'!$I$5:$I$107,MATCH(K520,'Datos - Catálogo TIMSS'!$A$5:$A$107,0)),"No")="Sí",IFERROR(INDEX('Datos - Catálogo TIMSS'!$I$5:$I$107,MATCH(L520,'Datos - Catálogo TIMSS'!$A$5:$A$107,0)),"No")="Sí"),1,0)</f>
        <v/>
      </c>
      <c r="Y520" s="11">
        <f>IF(IFERROR(INDEX('Datos - Catálogo TIMSS'!$J$5:$J$107,MATCH(K520,'Datos - Catálogo TIMSS'!$A$5:$A$107,0)),"No")="Sí",1,0)</f>
        <v/>
      </c>
      <c r="Z520" s="11">
        <f>IF(IFERROR(INDEX('Datos - Catálogo TIMSS'!$J$5:$J$107,MATCH(L520,'Datos - Catálogo TIMSS'!$A$5:$A$107,0)),"No")="Sí",1,0)</f>
        <v/>
      </c>
      <c r="AA520" s="11" t="inlineStr">
        <is>
          <t>T8-B2.2</t>
        </is>
      </c>
      <c r="AB520" s="11" t="inlineStr">
        <is>
          <t>T8-B1.3</t>
        </is>
      </c>
      <c r="AC520" s="11">
        <f>IF(AA520="FUERA","Fuera del marco",IF(AA520="N/A","Sin marco",IFERROR(INDEX('Datos - TIMSS 2023'!$C$5:$C$105,MATCH(AA520,'Datos - TIMSS 2023'!$A$5:$A$105,0)),"Pendiente de clasificar")))</f>
        <v/>
      </c>
      <c r="AD520" s="11" t="inlineStr">
        <is>
          <t>2. Construir y evaluar diseños para la indagación científica e interpretar datos y evidencia de forma crítica</t>
        </is>
      </c>
      <c r="AE520" s="11">
        <f>IF(AD520="","",IF(LEFT(AD520,1)="1","C1",IF(LEFT(AD520,1)="2","C2",IF(LEFT(AD520,1)="3","C3",""))))</f>
        <v/>
      </c>
      <c r="AF520" s="11" t="inlineStr">
        <is>
          <t>E1</t>
        </is>
      </c>
      <c r="AG520" s="11" t="inlineStr">
        <is>
          <t>E3</t>
        </is>
      </c>
      <c r="AH520" s="11" t="inlineStr">
        <is>
          <t>E1</t>
        </is>
      </c>
      <c r="AI520" s="11" t="inlineStr">
        <is>
          <t>D4</t>
        </is>
      </c>
      <c r="AJ520" s="11" t="inlineStr">
        <is>
          <t>E6</t>
        </is>
      </c>
      <c r="AK520" s="11" t="inlineStr">
        <is>
          <t>PISA-V3</t>
        </is>
      </c>
      <c r="AL520" s="11" t="inlineStr">
        <is>
          <t>PISA-V4</t>
        </is>
      </c>
      <c r="AM520" s="11">
        <f>IF(AK520="FUERA","Fuera del marco",IFERROR(INDEX('Datos - Catálogo PISA'!$C$5:$C$76,MATCH(AK520,'Datos - Catálogo PISA'!$A$5:$A$76,0)),"?"))</f>
        <v/>
      </c>
      <c r="AN520" s="11" t="inlineStr">
        <is>
          <t>Contenido</t>
        </is>
      </c>
      <c r="AO520" s="11" t="inlineStr">
        <is>
          <t>PISA-PR1;</t>
        </is>
      </c>
      <c r="AP520" s="11" t="n"/>
      <c r="AQ520" s="11" t="inlineStr">
        <is>
          <t>Sin contexto</t>
        </is>
      </c>
      <c r="AR520" s="11" t="n"/>
      <c r="AS520" s="11" t="inlineStr">
        <is>
          <t>Media</t>
        </is>
      </c>
      <c r="AT520" s="11" t="inlineStr">
        <is>
          <t>alta</t>
        </is>
      </c>
      <c r="AU520" s="11" t="inlineStr">
        <is>
          <t>Transpiración y fotosíntesis en luz y sombra</t>
        </is>
      </c>
      <c r="AV520" s="11" t="inlineStr">
        <is>
          <t>Ciclo 7°–9°</t>
        </is>
      </c>
      <c r="AW520" s="11">
        <f>AF520&amp;"; "&amp;AG520&amp;"; "&amp;AH520&amp;"; "&amp;AI520&amp;"; "&amp;AJ520</f>
        <v/>
      </c>
    </row>
    <row r="521">
      <c r="A521" s="11" t="inlineStr">
        <is>
          <t>T1155-G08-CIE</t>
        </is>
      </c>
      <c r="B521" s="11" t="n">
        <v>8</v>
      </c>
      <c r="C521" s="11" t="inlineStr">
        <is>
          <t>Ciencias</t>
        </is>
      </c>
      <c r="D521" s="11" t="inlineStr">
        <is>
          <t>Matriz_Ciencias_8vo_Grado_U1_U7.xlsx</t>
        </is>
      </c>
      <c r="E521" s="11" t="inlineStr">
        <is>
          <t>Unidad 6 - Anatomía y fisiologí</t>
        </is>
      </c>
      <c r="F521" s="11" t="n">
        <v>14</v>
      </c>
      <c r="G521" s="11" t="inlineStr">
        <is>
          <t>6. Anatomía y fisiología vegetal</t>
        </is>
      </c>
      <c r="H521" s="11" t="inlineStr">
        <is>
          <t>La hoja y sus funciones</t>
        </is>
      </c>
      <c r="I521" s="38" t="inlineStr">
        <is>
          <t>6.12. Explicación de las principales funciones fisiológicas de las hojas.</t>
        </is>
      </c>
      <c r="J521" s="11" t="inlineStr">
        <is>
          <t>T8_27</t>
        </is>
      </c>
      <c r="K521" s="11" t="inlineStr">
        <is>
          <t>T8_27-B1.3</t>
        </is>
      </c>
      <c r="L521" s="11" t="inlineStr"/>
      <c r="M521" s="11">
        <f>IF(K521="FUERA","Fuera del marco",IF(K521="N/A","Sin marco",IFERROR(INDEX('Datos - Catálogo TIMSS'!$C$5:$C$107,MATCH(K521,'Datos - Catálogo TIMSS'!$A$5:$A$107,0)),"Pendiente de clasificar")))</f>
        <v/>
      </c>
      <c r="N521" s="11">
        <f>IF(K521="FUERA","Fuera del marco",IF(K521="N/A","Sin marco",IFERROR(INDEX('Datos - Catálogo TIMSS'!$F$5:$F$107,MATCH(K521,'Datos - Catálogo TIMSS'!$A$5:$A$107,0)),"Pendiente de clasificar")))</f>
        <v/>
      </c>
      <c r="O521" s="11">
        <f>IF(L521="","",IFERROR(INDEX('Datos - Catálogo TIMSS'!$C$5:$C$107,MATCH(L521,'Datos - Catálogo TIMSS'!$A$5:$A$107,0)),"?"))</f>
        <v/>
      </c>
      <c r="P521" s="11" t="inlineStr">
        <is>
          <t>alta</t>
        </is>
      </c>
      <c r="Q521" s="38" t="inlineStr">
        <is>
          <t>Explicar fotosíntesis y funciones fisiológicas de la hoja</t>
        </is>
      </c>
      <c r="R521" s="38" t="inlineStr">
        <is>
          <t>Conocer: explicar</t>
        </is>
      </c>
      <c r="S521" s="39">
        <f>IFERROR(ISNUMBER(SEARCH("Conocer",$R521))/(ISNUMBER(SEARCH("Conocer",$R521))+ISNUMBER(SEARCH("Aplicar",$R521))+ISNUMBER(SEARCH("Razonar",$R521))),0)</f>
        <v/>
      </c>
      <c r="T521" s="39">
        <f>IFERROR(ISNUMBER(SEARCH("Aplicar",$R521))/(ISNUMBER(SEARCH("Conocer",$R521))+ISNUMBER(SEARCH("Aplicar",$R521))+ISNUMBER(SEARCH("Razonar",$R521))),0)</f>
        <v/>
      </c>
      <c r="U521" s="39">
        <f>IFERROR(ISNUMBER(SEARCH("Razonar",$R521))/(ISNUMBER(SEARCH("Conocer",$R521))+ISNUMBER(SEARCH("Aplicar",$R521))+ISNUMBER(SEARCH("Razonar",$R521))),0)</f>
        <v/>
      </c>
      <c r="V521" s="11" t="inlineStr">
        <is>
          <t>8°</t>
        </is>
      </c>
      <c r="W521" s="11" t="inlineStr">
        <is>
          <t>Ciclo 5°–8°</t>
        </is>
      </c>
      <c r="X521" s="11">
        <f>IF(OR(IFERROR(INDEX('Datos - Catálogo TIMSS'!$I$5:$I$107,MATCH(K521,'Datos - Catálogo TIMSS'!$A$5:$A$107,0)),"No")="Sí",IFERROR(INDEX('Datos - Catálogo TIMSS'!$I$5:$I$107,MATCH(L521,'Datos - Catálogo TIMSS'!$A$5:$A$107,0)),"No")="Sí"),1,0)</f>
        <v/>
      </c>
      <c r="Y521" s="11">
        <f>IF(IFERROR(INDEX('Datos - Catálogo TIMSS'!$J$5:$J$107,MATCH(K521,'Datos - Catálogo TIMSS'!$A$5:$A$107,0)),"No")="Sí",1,0)</f>
        <v/>
      </c>
      <c r="Z521" s="11">
        <f>IF(IFERROR(INDEX('Datos - Catálogo TIMSS'!$J$5:$J$107,MATCH(L521,'Datos - Catálogo TIMSS'!$A$5:$A$107,0)),"No")="Sí",1,0)</f>
        <v/>
      </c>
      <c r="AA521" s="11" t="inlineStr">
        <is>
          <t>T8-B2.2</t>
        </is>
      </c>
      <c r="AB521" s="11" t="inlineStr">
        <is>
          <t>T8-B1.2</t>
        </is>
      </c>
      <c r="AC521" s="11">
        <f>IF(AA521="FUERA","Fuera del marco",IF(AA521="N/A","Sin marco",IFERROR(INDEX('Datos - TIMSS 2023'!$C$5:$C$105,MATCH(AA521,'Datos - TIMSS 2023'!$A$5:$A$105,0)),"Pendiente de clasificar")))</f>
        <v/>
      </c>
      <c r="AD521" s="11" t="inlineStr">
        <is>
          <t>1. Explicar fenómenos científicamente</t>
        </is>
      </c>
      <c r="AE521" s="11">
        <f>IF(AD521="","",IF(LEFT(AD521,1)="1","C1",IF(LEFT(AD521,1)="2","C2",IF(LEFT(AD521,1)="3","C3",""))))</f>
        <v/>
      </c>
      <c r="AF521" s="11" t="inlineStr">
        <is>
          <t>E1</t>
        </is>
      </c>
      <c r="AG521" s="11" t="inlineStr">
        <is>
          <t>D1</t>
        </is>
      </c>
      <c r="AH521" s="11" t="inlineStr">
        <is>
          <t>E2</t>
        </is>
      </c>
      <c r="AI521" s="11" t="inlineStr">
        <is>
          <t>D4</t>
        </is>
      </c>
      <c r="AJ521" s="11" t="inlineStr">
        <is>
          <t>E6</t>
        </is>
      </c>
      <c r="AK521" s="11" t="inlineStr">
        <is>
          <t>PISA-V4</t>
        </is>
      </c>
      <c r="AL521" s="11" t="inlineStr">
        <is>
          <t>PISA-V3</t>
        </is>
      </c>
      <c r="AM521" s="11">
        <f>IF(AK521="FUERA","Fuera del marco",IFERROR(INDEX('Datos - Catálogo PISA'!$C$5:$C$76,MATCH(AK521,'Datos - Catálogo PISA'!$A$5:$A$76,0)),"?"))</f>
        <v/>
      </c>
      <c r="AN521" s="11" t="inlineStr">
        <is>
          <t>Contenido</t>
        </is>
      </c>
      <c r="AO521" s="11" t="n"/>
      <c r="AP521" s="11" t="n"/>
      <c r="AQ521" s="11" t="inlineStr">
        <is>
          <t>Sin contexto</t>
        </is>
      </c>
      <c r="AR521" s="11" t="n"/>
      <c r="AS521" s="11" t="inlineStr">
        <is>
          <t>Media</t>
        </is>
      </c>
      <c r="AT521" s="11" t="inlineStr">
        <is>
          <t>alta</t>
        </is>
      </c>
      <c r="AU521" s="11" t="inlineStr">
        <is>
          <t>Explicación integrada de funciones de la hoja</t>
        </is>
      </c>
      <c r="AV521" s="11" t="inlineStr">
        <is>
          <t>Ciclo 7°–9°</t>
        </is>
      </c>
      <c r="AW521" s="11">
        <f>AF521&amp;"; "&amp;AG521&amp;"; "&amp;AH521&amp;"; "&amp;AI521&amp;"; "&amp;AJ521</f>
        <v/>
      </c>
    </row>
    <row r="522">
      <c r="A522" s="11" t="inlineStr">
        <is>
          <t>T1156-G08-CIE</t>
        </is>
      </c>
      <c r="B522" s="11" t="n">
        <v>8</v>
      </c>
      <c r="C522" s="11" t="inlineStr">
        <is>
          <t>Ciencias</t>
        </is>
      </c>
      <c r="D522" s="11" t="inlineStr">
        <is>
          <t>Matriz_Ciencias_8vo_Grado_U1_U7.xlsx</t>
        </is>
      </c>
      <c r="E522" s="11" t="inlineStr">
        <is>
          <t>Unidad 7 - Anatomía y Fisiologí</t>
        </is>
      </c>
      <c r="F522" s="11" t="n">
        <v>3</v>
      </c>
      <c r="G522" s="11" t="inlineStr">
        <is>
          <t>7. Anatomía y Fisiología Animal</t>
        </is>
      </c>
      <c r="H522" s="11" t="inlineStr">
        <is>
          <t>Tipos de tejidos animales</t>
        </is>
      </c>
      <c r="I522" s="38" t="inlineStr">
        <is>
          <t>7.1. Reconocimiento de las principales características estructurales y funcionales de los tejidos animales fundamentales.</t>
        </is>
      </c>
      <c r="J522" s="11" t="inlineStr">
        <is>
          <t>T8_27</t>
        </is>
      </c>
      <c r="K522" s="11" t="inlineStr">
        <is>
          <t>T8_27-B2.1</t>
        </is>
      </c>
      <c r="L522" s="11" t="inlineStr"/>
      <c r="M522" s="11">
        <f>IF(K522="FUERA","Fuera del marco",IF(K522="N/A","Sin marco",IFERROR(INDEX('Datos - Catálogo TIMSS'!$C$5:$C$107,MATCH(K522,'Datos - Catálogo TIMSS'!$A$5:$A$107,0)),"Pendiente de clasificar")))</f>
        <v/>
      </c>
      <c r="N522" s="11">
        <f>IF(K522="FUERA","Fuera del marco",IF(K522="N/A","Sin marco",IFERROR(INDEX('Datos - Catálogo TIMSS'!$F$5:$F$107,MATCH(K522,'Datos - Catálogo TIMSS'!$A$5:$A$107,0)),"Pendiente de clasificar")))</f>
        <v/>
      </c>
      <c r="O522" s="11">
        <f>IF(L522="","",IFERROR(INDEX('Datos - Catálogo TIMSS'!$C$5:$C$107,MATCH(L522,'Datos - Catálogo TIMSS'!$A$5:$A$107,0)),"?"))</f>
        <v/>
      </c>
      <c r="P522" s="11" t="inlineStr">
        <is>
          <t>alta</t>
        </is>
      </c>
      <c r="Q522" s="38" t="inlineStr">
        <is>
          <t>Tejidos animales formados por células especializadas</t>
        </is>
      </c>
      <c r="R522" s="38" t="inlineStr">
        <is>
          <t>Conocer: identificar</t>
        </is>
      </c>
      <c r="S522" s="39">
        <f>IFERROR(ISNUMBER(SEARCH("Conocer",$R522))/(ISNUMBER(SEARCH("Conocer",$R522))+ISNUMBER(SEARCH("Aplicar",$R522))+ISNUMBER(SEARCH("Razonar",$R522))),0)</f>
        <v/>
      </c>
      <c r="T522" s="39">
        <f>IFERROR(ISNUMBER(SEARCH("Aplicar",$R522))/(ISNUMBER(SEARCH("Conocer",$R522))+ISNUMBER(SEARCH("Aplicar",$R522))+ISNUMBER(SEARCH("Razonar",$R522))),0)</f>
        <v/>
      </c>
      <c r="U522" s="39">
        <f>IFERROR(ISNUMBER(SEARCH("Razonar",$R522))/(ISNUMBER(SEARCH("Conocer",$R522))+ISNUMBER(SEARCH("Aplicar",$R522))+ISNUMBER(SEARCH("Razonar",$R522))),0)</f>
        <v/>
      </c>
      <c r="V522" s="11" t="inlineStr">
        <is>
          <t>8°</t>
        </is>
      </c>
      <c r="W522" s="11" t="inlineStr">
        <is>
          <t>Ciclo 5°–8°</t>
        </is>
      </c>
      <c r="X522" s="11">
        <f>IF(OR(IFERROR(INDEX('Datos - Catálogo TIMSS'!$I$5:$I$107,MATCH(K522,'Datos - Catálogo TIMSS'!$A$5:$A$107,0)),"No")="Sí",IFERROR(INDEX('Datos - Catálogo TIMSS'!$I$5:$I$107,MATCH(L522,'Datos - Catálogo TIMSS'!$A$5:$A$107,0)),"No")="Sí"),1,0)</f>
        <v/>
      </c>
      <c r="Y522" s="11">
        <f>IF(IFERROR(INDEX('Datos - Catálogo TIMSS'!$J$5:$J$107,MATCH(K522,'Datos - Catálogo TIMSS'!$A$5:$A$107,0)),"No")="Sí",1,0)</f>
        <v/>
      </c>
      <c r="Z522" s="11">
        <f>IF(IFERROR(INDEX('Datos - Catálogo TIMSS'!$J$5:$J$107,MATCH(L522,'Datos - Catálogo TIMSS'!$A$5:$A$107,0)),"No")="Sí",1,0)</f>
        <v/>
      </c>
      <c r="AA522" s="11" t="inlineStr">
        <is>
          <t>T8-B2.1</t>
        </is>
      </c>
      <c r="AB522" s="11" t="inlineStr"/>
      <c r="AC522" s="11">
        <f>IF(AA522="FUERA","Fuera del marco",IF(AA522="N/A","Sin marco",IFERROR(INDEX('Datos - TIMSS 2023'!$C$5:$C$105,MATCH(AA522,'Datos - TIMSS 2023'!$A$5:$A$105,0)),"Pendiente de clasificar")))</f>
        <v/>
      </c>
      <c r="AD522" s="11" t="inlineStr">
        <is>
          <t>1. Explicar fenómenos científicamente</t>
        </is>
      </c>
      <c r="AE522" s="11">
        <f>IF(AD522="","",IF(LEFT(AD522,1)="1","C1",IF(LEFT(AD522,1)="2","C2",IF(LEFT(AD522,1)="3","C3",""))))</f>
        <v/>
      </c>
      <c r="AF522" s="11" t="inlineStr">
        <is>
          <t>E1</t>
        </is>
      </c>
      <c r="AG522" s="11" t="inlineStr">
        <is>
          <t>D1</t>
        </is>
      </c>
      <c r="AH522" s="11" t="inlineStr">
        <is>
          <t>E1</t>
        </is>
      </c>
      <c r="AI522" s="11" t="inlineStr">
        <is>
          <t>D4</t>
        </is>
      </c>
      <c r="AJ522" s="11" t="inlineStr">
        <is>
          <t>E1</t>
        </is>
      </c>
      <c r="AK522" s="11" t="inlineStr">
        <is>
          <t>PISA-V4</t>
        </is>
      </c>
      <c r="AL522" s="11" t="inlineStr">
        <is>
          <t>PISA-V3</t>
        </is>
      </c>
      <c r="AM522" s="11">
        <f>IF(AK522="FUERA","Fuera del marco",IFERROR(INDEX('Datos - Catálogo PISA'!$C$5:$C$76,MATCH(AK522,'Datos - Catálogo PISA'!$A$5:$A$76,0)),"?"))</f>
        <v/>
      </c>
      <c r="AN522" s="11" t="inlineStr">
        <is>
          <t>Contenido</t>
        </is>
      </c>
      <c r="AO522" s="11" t="n"/>
      <c r="AP522" s="11" t="n"/>
      <c r="AQ522" s="11" t="inlineStr">
        <is>
          <t>Sin contexto</t>
        </is>
      </c>
      <c r="AR522" s="11" t="n"/>
      <c r="AS522" s="11" t="inlineStr">
        <is>
          <t>Baja</t>
        </is>
      </c>
      <c r="AT522" s="11" t="inlineStr">
        <is>
          <t>alta</t>
        </is>
      </c>
      <c r="AU522" s="11" t="inlineStr">
        <is>
          <t>Estructura y función de tejidos animales</t>
        </is>
      </c>
      <c r="AV522" s="11" t="inlineStr">
        <is>
          <t>Ciclo 7°–9°</t>
        </is>
      </c>
      <c r="AW522" s="11">
        <f>AF522&amp;"; "&amp;AG522&amp;"; "&amp;AH522&amp;"; "&amp;AI522&amp;"; "&amp;AJ522</f>
        <v/>
      </c>
    </row>
    <row r="523">
      <c r="A523" s="11" t="inlineStr">
        <is>
          <t>T1157-G08-CIE</t>
        </is>
      </c>
      <c r="B523" s="11" t="n">
        <v>8</v>
      </c>
      <c r="C523" s="11" t="inlineStr">
        <is>
          <t>Ciencias</t>
        </is>
      </c>
      <c r="D523" s="11" t="inlineStr">
        <is>
          <t>Matriz_Ciencias_8vo_Grado_U1_U7.xlsx</t>
        </is>
      </c>
      <c r="E523" s="11" t="inlineStr">
        <is>
          <t>Unidad 7 - Anatomía y Fisiologí</t>
        </is>
      </c>
      <c r="F523" s="11" t="n">
        <v>4</v>
      </c>
      <c r="G523" s="11" t="inlineStr">
        <is>
          <t>7. Anatomía y Fisiología Animal</t>
        </is>
      </c>
      <c r="H523" s="11" t="inlineStr">
        <is>
          <t>Tipos de tejidos animales</t>
        </is>
      </c>
      <c r="I523" s="38" t="inlineStr">
        <is>
          <t>7.2. Representación de los tejidos animales fundamentales.</t>
        </is>
      </c>
      <c r="J523" s="11" t="inlineStr">
        <is>
          <t>T8_27</t>
        </is>
      </c>
      <c r="K523" s="11" t="inlineStr">
        <is>
          <t>T8_27-B2.1</t>
        </is>
      </c>
      <c r="L523" s="11" t="inlineStr"/>
      <c r="M523" s="11">
        <f>IF(K523="FUERA","Fuera del marco",IF(K523="N/A","Sin marco",IFERROR(INDEX('Datos - Catálogo TIMSS'!$C$5:$C$107,MATCH(K523,'Datos - Catálogo TIMSS'!$A$5:$A$107,0)),"Pendiente de clasificar")))</f>
        <v/>
      </c>
      <c r="N523" s="11">
        <f>IF(K523="FUERA","Fuera del marco",IF(K523="N/A","Sin marco",IFERROR(INDEX('Datos - Catálogo TIMSS'!$F$5:$F$107,MATCH(K523,'Datos - Catálogo TIMSS'!$A$5:$A$107,0)),"Pendiente de clasificar")))</f>
        <v/>
      </c>
      <c r="O523" s="11">
        <f>IF(L523="","",IFERROR(INDEX('Datos - Catálogo TIMSS'!$C$5:$C$107,MATCH(L523,'Datos - Catálogo TIMSS'!$A$5:$A$107,0)),"?"))</f>
        <v/>
      </c>
      <c r="P523" s="11" t="inlineStr">
        <is>
          <t>alta</t>
        </is>
      </c>
      <c r="Q523" s="38" t="inlineStr">
        <is>
          <t>Modelos de tejidos animales fundamentales</t>
        </is>
      </c>
      <c r="R523" s="38" t="inlineStr">
        <is>
          <t>Aplicar: representar</t>
        </is>
      </c>
      <c r="S523" s="39">
        <f>IFERROR(ISNUMBER(SEARCH("Conocer",$R523))/(ISNUMBER(SEARCH("Conocer",$R523))+ISNUMBER(SEARCH("Aplicar",$R523))+ISNUMBER(SEARCH("Razonar",$R523))),0)</f>
        <v/>
      </c>
      <c r="T523" s="39">
        <f>IFERROR(ISNUMBER(SEARCH("Aplicar",$R523))/(ISNUMBER(SEARCH("Conocer",$R523))+ISNUMBER(SEARCH("Aplicar",$R523))+ISNUMBER(SEARCH("Razonar",$R523))),0)</f>
        <v/>
      </c>
      <c r="U523" s="39">
        <f>IFERROR(ISNUMBER(SEARCH("Razonar",$R523))/(ISNUMBER(SEARCH("Conocer",$R523))+ISNUMBER(SEARCH("Aplicar",$R523))+ISNUMBER(SEARCH("Razonar",$R523))),0)</f>
        <v/>
      </c>
      <c r="V523" s="11" t="inlineStr">
        <is>
          <t>8°</t>
        </is>
      </c>
      <c r="W523" s="11" t="inlineStr">
        <is>
          <t>Ciclo 5°–8°</t>
        </is>
      </c>
      <c r="X523" s="11">
        <f>IF(OR(IFERROR(INDEX('Datos - Catálogo TIMSS'!$I$5:$I$107,MATCH(K523,'Datos - Catálogo TIMSS'!$A$5:$A$107,0)),"No")="Sí",IFERROR(INDEX('Datos - Catálogo TIMSS'!$I$5:$I$107,MATCH(L523,'Datos - Catálogo TIMSS'!$A$5:$A$107,0)),"No")="Sí"),1,0)</f>
        <v/>
      </c>
      <c r="Y523" s="11">
        <f>IF(IFERROR(INDEX('Datos - Catálogo TIMSS'!$J$5:$J$107,MATCH(K523,'Datos - Catálogo TIMSS'!$A$5:$A$107,0)),"No")="Sí",1,0)</f>
        <v/>
      </c>
      <c r="Z523" s="11">
        <f>IF(IFERROR(INDEX('Datos - Catálogo TIMSS'!$J$5:$J$107,MATCH(L523,'Datos - Catálogo TIMSS'!$A$5:$A$107,0)),"No")="Sí",1,0)</f>
        <v/>
      </c>
      <c r="AA523" s="11" t="inlineStr">
        <is>
          <t>T8-B2.1</t>
        </is>
      </c>
      <c r="AB523" s="11" t="inlineStr"/>
      <c r="AC523" s="11">
        <f>IF(AA523="FUERA","Fuera del marco",IF(AA523="N/A","Sin marco",IFERROR(INDEX('Datos - TIMSS 2023'!$C$5:$C$105,MATCH(AA523,'Datos - TIMSS 2023'!$A$5:$A$105,0)),"Pendiente de clasificar")))</f>
        <v/>
      </c>
      <c r="AD523" s="11" t="inlineStr">
        <is>
          <t>1. Explicar fenómenos científicamente</t>
        </is>
      </c>
      <c r="AE523" s="11">
        <f>IF(AD523="","",IF(LEFT(AD523,1)="1","C1",IF(LEFT(AD523,1)="2","C2",IF(LEFT(AD523,1)="3","C3",""))))</f>
        <v/>
      </c>
      <c r="AF523" s="11" t="inlineStr">
        <is>
          <t>E1</t>
        </is>
      </c>
      <c r="AG523" s="11" t="inlineStr">
        <is>
          <t>D1</t>
        </is>
      </c>
      <c r="AH523" s="11" t="inlineStr">
        <is>
          <t>E4</t>
        </is>
      </c>
      <c r="AI523" s="11" t="inlineStr">
        <is>
          <t>E4</t>
        </is>
      </c>
      <c r="AJ523" s="11" t="inlineStr">
        <is>
          <t>E1</t>
        </is>
      </c>
      <c r="AK523" s="11" t="inlineStr">
        <is>
          <t>PISA-V4</t>
        </is>
      </c>
      <c r="AL523" s="11" t="inlineStr">
        <is>
          <t>PISA-V3</t>
        </is>
      </c>
      <c r="AM523" s="11">
        <f>IF(AK523="FUERA","Fuera del marco",IFERROR(INDEX('Datos - Catálogo PISA'!$C$5:$C$76,MATCH(AK523,'Datos - Catálogo PISA'!$A$5:$A$76,0)),"?"))</f>
        <v/>
      </c>
      <c r="AN523" s="11" t="inlineStr">
        <is>
          <t>Contenido</t>
        </is>
      </c>
      <c r="AO523" s="11" t="n"/>
      <c r="AP523" s="11" t="inlineStr">
        <is>
          <t>PISA-EP4;</t>
        </is>
      </c>
      <c r="AQ523" s="11" t="inlineStr">
        <is>
          <t>Sin contexto</t>
        </is>
      </c>
      <c r="AR523" s="11" t="n"/>
      <c r="AS523" s="11" t="inlineStr">
        <is>
          <t>Media</t>
        </is>
      </c>
      <c r="AT523" s="11" t="inlineStr">
        <is>
          <t>alta</t>
        </is>
      </c>
      <c r="AU523" s="11" t="inlineStr">
        <is>
          <t>Modelo o esquema de tejidos animales</t>
        </is>
      </c>
      <c r="AV523" s="11" t="inlineStr">
        <is>
          <t>Ciclo 7°–9°</t>
        </is>
      </c>
      <c r="AW523" s="11">
        <f>AF523&amp;"; "&amp;AG523&amp;"; "&amp;AH523&amp;"; "&amp;AI523&amp;"; "&amp;AJ523</f>
        <v/>
      </c>
    </row>
    <row r="524">
      <c r="A524" s="11" t="inlineStr">
        <is>
          <t>T1158-G08-CIE</t>
        </is>
      </c>
      <c r="B524" s="11" t="n">
        <v>8</v>
      </c>
      <c r="C524" s="11" t="inlineStr">
        <is>
          <t>Ciencias</t>
        </is>
      </c>
      <c r="D524" s="11" t="inlineStr">
        <is>
          <t>Matriz_Ciencias_8vo_Grado_U1_U7.xlsx</t>
        </is>
      </c>
      <c r="E524" s="11" t="inlineStr">
        <is>
          <t>Unidad 7 - Anatomía y Fisiologí</t>
        </is>
      </c>
      <c r="F524" s="11" t="n">
        <v>5</v>
      </c>
      <c r="G524" s="11" t="inlineStr">
        <is>
          <t>7. Anatomía y Fisiología Animal</t>
        </is>
      </c>
      <c r="H524" s="11" t="inlineStr">
        <is>
          <t>Tipos de tejidos animales</t>
        </is>
      </c>
      <c r="I524" s="38" t="inlineStr">
        <is>
          <t>7.3. Explicación de las características y funciones de los tejidos animales fundamentales.</t>
        </is>
      </c>
      <c r="J524" s="11" t="inlineStr">
        <is>
          <t>T8_27</t>
        </is>
      </c>
      <c r="K524" s="11" t="inlineStr">
        <is>
          <t>T8_27-B2.1</t>
        </is>
      </c>
      <c r="L524" s="11" t="inlineStr"/>
      <c r="M524" s="11">
        <f>IF(K524="FUERA","Fuera del marco",IF(K524="N/A","Sin marco",IFERROR(INDEX('Datos - Catálogo TIMSS'!$C$5:$C$107,MATCH(K524,'Datos - Catálogo TIMSS'!$A$5:$A$107,0)),"Pendiente de clasificar")))</f>
        <v/>
      </c>
      <c r="N524" s="11">
        <f>IF(K524="FUERA","Fuera del marco",IF(K524="N/A","Sin marco",IFERROR(INDEX('Datos - Catálogo TIMSS'!$F$5:$F$107,MATCH(K524,'Datos - Catálogo TIMSS'!$A$5:$A$107,0)),"Pendiente de clasificar")))</f>
        <v/>
      </c>
      <c r="O524" s="11">
        <f>IF(L524="","",IFERROR(INDEX('Datos - Catálogo TIMSS'!$C$5:$C$107,MATCH(L524,'Datos - Catálogo TIMSS'!$A$5:$A$107,0)),"?"))</f>
        <v/>
      </c>
      <c r="P524" s="11" t="inlineStr">
        <is>
          <t>alta</t>
        </is>
      </c>
      <c r="Q524" s="38" t="inlineStr">
        <is>
          <t>Características y funciones de tejidos animales</t>
        </is>
      </c>
      <c r="R524" s="38" t="inlineStr">
        <is>
          <t>Conocer: explicar</t>
        </is>
      </c>
      <c r="S524" s="39">
        <f>IFERROR(ISNUMBER(SEARCH("Conocer",$R524))/(ISNUMBER(SEARCH("Conocer",$R524))+ISNUMBER(SEARCH("Aplicar",$R524))+ISNUMBER(SEARCH("Razonar",$R524))),0)</f>
        <v/>
      </c>
      <c r="T524" s="39">
        <f>IFERROR(ISNUMBER(SEARCH("Aplicar",$R524))/(ISNUMBER(SEARCH("Conocer",$R524))+ISNUMBER(SEARCH("Aplicar",$R524))+ISNUMBER(SEARCH("Razonar",$R524))),0)</f>
        <v/>
      </c>
      <c r="U524" s="39">
        <f>IFERROR(ISNUMBER(SEARCH("Razonar",$R524))/(ISNUMBER(SEARCH("Conocer",$R524))+ISNUMBER(SEARCH("Aplicar",$R524))+ISNUMBER(SEARCH("Razonar",$R524))),0)</f>
        <v/>
      </c>
      <c r="V524" s="11" t="inlineStr">
        <is>
          <t>8°</t>
        </is>
      </c>
      <c r="W524" s="11" t="inlineStr">
        <is>
          <t>Ciclo 5°–8°</t>
        </is>
      </c>
      <c r="X524" s="11">
        <f>IF(OR(IFERROR(INDEX('Datos - Catálogo TIMSS'!$I$5:$I$107,MATCH(K524,'Datos - Catálogo TIMSS'!$A$5:$A$107,0)),"No")="Sí",IFERROR(INDEX('Datos - Catálogo TIMSS'!$I$5:$I$107,MATCH(L524,'Datos - Catálogo TIMSS'!$A$5:$A$107,0)),"No")="Sí"),1,0)</f>
        <v/>
      </c>
      <c r="Y524" s="11">
        <f>IF(IFERROR(INDEX('Datos - Catálogo TIMSS'!$J$5:$J$107,MATCH(K524,'Datos - Catálogo TIMSS'!$A$5:$A$107,0)),"No")="Sí",1,0)</f>
        <v/>
      </c>
      <c r="Z524" s="11">
        <f>IF(IFERROR(INDEX('Datos - Catálogo TIMSS'!$J$5:$J$107,MATCH(L524,'Datos - Catálogo TIMSS'!$A$5:$A$107,0)),"No")="Sí",1,0)</f>
        <v/>
      </c>
      <c r="AA524" s="11" t="inlineStr">
        <is>
          <t>T8-B2.1</t>
        </is>
      </c>
      <c r="AB524" s="11" t="inlineStr"/>
      <c r="AC524" s="11">
        <f>IF(AA524="FUERA","Fuera del marco",IF(AA524="N/A","Sin marco",IFERROR(INDEX('Datos - TIMSS 2023'!$C$5:$C$105,MATCH(AA524,'Datos - TIMSS 2023'!$A$5:$A$105,0)),"Pendiente de clasificar")))</f>
        <v/>
      </c>
      <c r="AD524" s="11" t="inlineStr">
        <is>
          <t>1. Explicar fenómenos científicamente</t>
        </is>
      </c>
      <c r="AE524" s="11">
        <f>IF(AD524="","",IF(LEFT(AD524,1)="1","C1",IF(LEFT(AD524,1)="2","C2",IF(LEFT(AD524,1)="3","C3",""))))</f>
        <v/>
      </c>
      <c r="AF524" s="11" t="inlineStr">
        <is>
          <t>E1</t>
        </is>
      </c>
      <c r="AG524" s="11" t="inlineStr">
        <is>
          <t>D1</t>
        </is>
      </c>
      <c r="AH524" s="11" t="inlineStr">
        <is>
          <t>E1</t>
        </is>
      </c>
      <c r="AI524" s="11" t="inlineStr">
        <is>
          <t>D4</t>
        </is>
      </c>
      <c r="AJ524" s="11" t="inlineStr">
        <is>
          <t>E6</t>
        </is>
      </c>
      <c r="AK524" s="11" t="inlineStr">
        <is>
          <t>PISA-V4</t>
        </is>
      </c>
      <c r="AL524" s="11" t="inlineStr">
        <is>
          <t>PISA-V3</t>
        </is>
      </c>
      <c r="AM524" s="11">
        <f>IF(AK524="FUERA","Fuera del marco",IFERROR(INDEX('Datos - Catálogo PISA'!$C$5:$C$76,MATCH(AK524,'Datos - Catálogo PISA'!$A$5:$A$76,0)),"?"))</f>
        <v/>
      </c>
      <c r="AN524" s="11" t="inlineStr">
        <is>
          <t>Contenido</t>
        </is>
      </c>
      <c r="AO524" s="11" t="n"/>
      <c r="AP524" s="11" t="n"/>
      <c r="AQ524" s="11" t="inlineStr">
        <is>
          <t>Sin contexto</t>
        </is>
      </c>
      <c r="AR524" s="11" t="n"/>
      <c r="AS524" s="11" t="inlineStr">
        <is>
          <t>Media</t>
        </is>
      </c>
      <c r="AT524" s="11" t="inlineStr">
        <is>
          <t>alta</t>
        </is>
      </c>
      <c r="AU524" s="11" t="inlineStr">
        <is>
          <t>Explicación de funciones de tejidos animales</t>
        </is>
      </c>
      <c r="AV524" s="11" t="inlineStr">
        <is>
          <t>Ciclo 7°–9°</t>
        </is>
      </c>
      <c r="AW524" s="11">
        <f>AF524&amp;"; "&amp;AG524&amp;"; "&amp;AH524&amp;"; "&amp;AI524&amp;"; "&amp;AJ524</f>
        <v/>
      </c>
    </row>
    <row r="525">
      <c r="A525" s="11" t="inlineStr">
        <is>
          <t>T1159-G08-CIE</t>
        </is>
      </c>
      <c r="B525" s="11" t="n">
        <v>8</v>
      </c>
      <c r="C525" s="11" t="inlineStr">
        <is>
          <t>Ciencias</t>
        </is>
      </c>
      <c r="D525" s="11" t="inlineStr">
        <is>
          <t>Matriz_Ciencias_8vo_Grado_U1_U7.xlsx</t>
        </is>
      </c>
      <c r="E525" s="11" t="inlineStr">
        <is>
          <t>Unidad 7 - Anatomía y Fisiologí</t>
        </is>
      </c>
      <c r="F525" s="11" t="n">
        <v>6</v>
      </c>
      <c r="G525" s="11" t="inlineStr">
        <is>
          <t>7. Anatomía y Fisiología Animal</t>
        </is>
      </c>
      <c r="H525" s="11" t="inlineStr">
        <is>
          <t>Sistema músculoesquelético</t>
        </is>
      </c>
      <c r="I525" s="38" t="inlineStr">
        <is>
          <t>7.4. Reconocimiento de la morfología del sistema musculoesquelético.</t>
        </is>
      </c>
      <c r="J525" s="11" t="inlineStr">
        <is>
          <t>T8_27</t>
        </is>
      </c>
      <c r="K525" s="11" t="inlineStr">
        <is>
          <t>T8_27-B1.2</t>
        </is>
      </c>
      <c r="L525" s="11" t="inlineStr"/>
      <c r="M525" s="11">
        <f>IF(K525="FUERA","Fuera del marco",IF(K525="N/A","Sin marco",IFERROR(INDEX('Datos - Catálogo TIMSS'!$C$5:$C$107,MATCH(K525,'Datos - Catálogo TIMSS'!$A$5:$A$107,0)),"Pendiente de clasificar")))</f>
        <v/>
      </c>
      <c r="N525" s="11">
        <f>IF(K525="FUERA","Fuera del marco",IF(K525="N/A","Sin marco",IFERROR(INDEX('Datos - Catálogo TIMSS'!$F$5:$F$107,MATCH(K525,'Datos - Catálogo TIMSS'!$A$5:$A$107,0)),"Pendiente de clasificar")))</f>
        <v/>
      </c>
      <c r="O525" s="11">
        <f>IF(L525="","",IFERROR(INDEX('Datos - Catálogo TIMSS'!$C$5:$C$107,MATCH(L525,'Datos - Catálogo TIMSS'!$A$5:$A$107,0)),"?"))</f>
        <v/>
      </c>
      <c r="P525" s="11" t="inlineStr">
        <is>
          <t>alta</t>
        </is>
      </c>
      <c r="Q525" s="38" t="inlineStr">
        <is>
          <t>Estructura del sistema óseo y muscular</t>
        </is>
      </c>
      <c r="R525" s="38" t="inlineStr">
        <is>
          <t>Aplicar: identificar</t>
        </is>
      </c>
      <c r="S525" s="39">
        <f>IFERROR(ISNUMBER(SEARCH("Conocer",$R525))/(ISNUMBER(SEARCH("Conocer",$R525))+ISNUMBER(SEARCH("Aplicar",$R525))+ISNUMBER(SEARCH("Razonar",$R525))),0)</f>
        <v/>
      </c>
      <c r="T525" s="39">
        <f>IFERROR(ISNUMBER(SEARCH("Aplicar",$R525))/(ISNUMBER(SEARCH("Conocer",$R525))+ISNUMBER(SEARCH("Aplicar",$R525))+ISNUMBER(SEARCH("Razonar",$R525))),0)</f>
        <v/>
      </c>
      <c r="U525" s="39">
        <f>IFERROR(ISNUMBER(SEARCH("Razonar",$R525))/(ISNUMBER(SEARCH("Conocer",$R525))+ISNUMBER(SEARCH("Aplicar",$R525))+ISNUMBER(SEARCH("Razonar",$R525))),0)</f>
        <v/>
      </c>
      <c r="V525" s="11" t="inlineStr">
        <is>
          <t>8°</t>
        </is>
      </c>
      <c r="W525" s="11" t="inlineStr">
        <is>
          <t>Ciclo 5°–8°</t>
        </is>
      </c>
      <c r="X525" s="11">
        <f>IF(OR(IFERROR(INDEX('Datos - Catálogo TIMSS'!$I$5:$I$107,MATCH(K525,'Datos - Catálogo TIMSS'!$A$5:$A$107,0)),"No")="Sí",IFERROR(INDEX('Datos - Catálogo TIMSS'!$I$5:$I$107,MATCH(L525,'Datos - Catálogo TIMSS'!$A$5:$A$107,0)),"No")="Sí"),1,0)</f>
        <v/>
      </c>
      <c r="Y525" s="11">
        <f>IF(IFERROR(INDEX('Datos - Catálogo TIMSS'!$J$5:$J$107,MATCH(K525,'Datos - Catálogo TIMSS'!$A$5:$A$107,0)),"No")="Sí",1,0)</f>
        <v/>
      </c>
      <c r="Z525" s="11">
        <f>IF(IFERROR(INDEX('Datos - Catálogo TIMSS'!$J$5:$J$107,MATCH(L525,'Datos - Catálogo TIMSS'!$A$5:$A$107,0)),"No")="Sí",1,0)</f>
        <v/>
      </c>
      <c r="AA525" s="11" t="inlineStr">
        <is>
          <t>T8-B1.2</t>
        </is>
      </c>
      <c r="AB525" s="11" t="inlineStr"/>
      <c r="AC525" s="11">
        <f>IF(AA525="FUERA","Fuera del marco",IF(AA525="N/A","Sin marco",IFERROR(INDEX('Datos - TIMSS 2023'!$C$5:$C$105,MATCH(AA525,'Datos - TIMSS 2023'!$A$5:$A$105,0)),"Pendiente de clasificar")))</f>
        <v/>
      </c>
      <c r="AD525" s="11" t="inlineStr">
        <is>
          <t>1. Explicar fenómenos científicamente</t>
        </is>
      </c>
      <c r="AE525" s="11">
        <f>IF(AD525="","",IF(LEFT(AD525,1)="1","C1",IF(LEFT(AD525,1)="2","C2",IF(LEFT(AD525,1)="3","C3",""))))</f>
        <v/>
      </c>
      <c r="AF525" s="11" t="inlineStr">
        <is>
          <t>E1</t>
        </is>
      </c>
      <c r="AG525" s="11" t="inlineStr">
        <is>
          <t>D1</t>
        </is>
      </c>
      <c r="AH525" s="11" t="inlineStr">
        <is>
          <t>E1</t>
        </is>
      </c>
      <c r="AI525" s="11" t="inlineStr">
        <is>
          <t>D4</t>
        </is>
      </c>
      <c r="AJ525" s="11" t="inlineStr">
        <is>
          <t>E1</t>
        </is>
      </c>
      <c r="AK525" s="11" t="inlineStr">
        <is>
          <t>PISA-V4</t>
        </is>
      </c>
      <c r="AL525" s="11" t="n"/>
      <c r="AM525" s="11">
        <f>IF(AK525="FUERA","Fuera del marco",IFERROR(INDEX('Datos - Catálogo PISA'!$C$5:$C$76,MATCH(AK525,'Datos - Catálogo PISA'!$A$5:$A$76,0)),"?"))</f>
        <v/>
      </c>
      <c r="AN525" s="11" t="inlineStr">
        <is>
          <t>Contenido</t>
        </is>
      </c>
      <c r="AO525" s="11" t="n"/>
      <c r="AP525" s="11" t="n"/>
      <c r="AQ525" s="11" t="inlineStr">
        <is>
          <t>Sin contexto</t>
        </is>
      </c>
      <c r="AR525" s="11" t="n"/>
      <c r="AS525" s="11" t="inlineStr">
        <is>
          <t>Baja</t>
        </is>
      </c>
      <c r="AT525" s="11" t="inlineStr">
        <is>
          <t>alta</t>
        </is>
      </c>
      <c r="AU525" s="11" t="inlineStr">
        <is>
          <t>Morfología del sistema musculoesquelético</t>
        </is>
      </c>
      <c r="AV525" s="11" t="inlineStr">
        <is>
          <t>Ciclo 7°–9°</t>
        </is>
      </c>
      <c r="AW525" s="11">
        <f>AF525&amp;"; "&amp;AG525&amp;"; "&amp;AH525&amp;"; "&amp;AI525&amp;"; "&amp;AJ525</f>
        <v/>
      </c>
    </row>
    <row r="526">
      <c r="A526" s="11" t="inlineStr">
        <is>
          <t>T1160-G08-CIE</t>
        </is>
      </c>
      <c r="B526" s="11" t="n">
        <v>8</v>
      </c>
      <c r="C526" s="11" t="inlineStr">
        <is>
          <t>Ciencias</t>
        </is>
      </c>
      <c r="D526" s="11" t="inlineStr">
        <is>
          <t>Matriz_Ciencias_8vo_Grado_U1_U7.xlsx</t>
        </is>
      </c>
      <c r="E526" s="11" t="inlineStr">
        <is>
          <t>Unidad 7 - Anatomía y Fisiologí</t>
        </is>
      </c>
      <c r="F526" s="11" t="n">
        <v>7</v>
      </c>
      <c r="G526" s="11" t="inlineStr">
        <is>
          <t>7. Anatomía y Fisiología Animal</t>
        </is>
      </c>
      <c r="H526" s="11" t="inlineStr">
        <is>
          <t>Sistema músculoesquelético</t>
        </is>
      </c>
      <c r="I526" s="38" t="inlineStr">
        <is>
          <t>7.5. Comprobación de las propiedades y funciones de la contracción muscular.</t>
        </is>
      </c>
      <c r="J526" s="11" t="inlineStr">
        <is>
          <t>T8_27</t>
        </is>
      </c>
      <c r="K526" s="11" t="inlineStr">
        <is>
          <t>T8_27-B1.2</t>
        </is>
      </c>
      <c r="L526" s="11" t="inlineStr"/>
      <c r="M526" s="11">
        <f>IF(K526="FUERA","Fuera del marco",IF(K526="N/A","Sin marco",IFERROR(INDEX('Datos - Catálogo TIMSS'!$C$5:$C$107,MATCH(K526,'Datos - Catálogo TIMSS'!$A$5:$A$107,0)),"Pendiente de clasificar")))</f>
        <v/>
      </c>
      <c r="N526" s="11">
        <f>IF(K526="FUERA","Fuera del marco",IF(K526="N/A","Sin marco",IFERROR(INDEX('Datos - Catálogo TIMSS'!$F$5:$F$107,MATCH(K526,'Datos - Catálogo TIMSS'!$A$5:$A$107,0)),"Pendiente de clasificar")))</f>
        <v/>
      </c>
      <c r="O526" s="11">
        <f>IF(L526="","",IFERROR(INDEX('Datos - Catálogo TIMSS'!$C$5:$C$107,MATCH(L526,'Datos - Catálogo TIMSS'!$A$5:$A$107,0)),"?"))</f>
        <v/>
      </c>
      <c r="P526" s="11" t="inlineStr">
        <is>
          <t>media</t>
        </is>
      </c>
      <c r="Q526" s="38" t="inlineStr">
        <is>
          <t>Función de la contracción muscular en el sistema musculoesquelético</t>
        </is>
      </c>
      <c r="R526" s="38" t="inlineStr">
        <is>
          <t>Aplicar: medir. Razonar: interpretar</t>
        </is>
      </c>
      <c r="S526" s="39">
        <f>IFERROR(ISNUMBER(SEARCH("Conocer",$R526))/(ISNUMBER(SEARCH("Conocer",$R526))+ISNUMBER(SEARCH("Aplicar",$R526))+ISNUMBER(SEARCH("Razonar",$R526))),0)</f>
        <v/>
      </c>
      <c r="T526" s="39">
        <f>IFERROR(ISNUMBER(SEARCH("Aplicar",$R526))/(ISNUMBER(SEARCH("Conocer",$R526))+ISNUMBER(SEARCH("Aplicar",$R526))+ISNUMBER(SEARCH("Razonar",$R526))),0)</f>
        <v/>
      </c>
      <c r="U526" s="39">
        <f>IFERROR(ISNUMBER(SEARCH("Razonar",$R526))/(ISNUMBER(SEARCH("Conocer",$R526))+ISNUMBER(SEARCH("Aplicar",$R526))+ISNUMBER(SEARCH("Razonar",$R526))),0)</f>
        <v/>
      </c>
      <c r="V526" s="11" t="inlineStr">
        <is>
          <t>8°</t>
        </is>
      </c>
      <c r="W526" s="11" t="inlineStr">
        <is>
          <t>Ciclo 5°–8°</t>
        </is>
      </c>
      <c r="X526" s="11">
        <f>IF(OR(IFERROR(INDEX('Datos - Catálogo TIMSS'!$I$5:$I$107,MATCH(K526,'Datos - Catálogo TIMSS'!$A$5:$A$107,0)),"No")="Sí",IFERROR(INDEX('Datos - Catálogo TIMSS'!$I$5:$I$107,MATCH(L526,'Datos - Catálogo TIMSS'!$A$5:$A$107,0)),"No")="Sí"),1,0)</f>
        <v/>
      </c>
      <c r="Y526" s="11">
        <f>IF(IFERROR(INDEX('Datos - Catálogo TIMSS'!$J$5:$J$107,MATCH(K526,'Datos - Catálogo TIMSS'!$A$5:$A$107,0)),"No")="Sí",1,0)</f>
        <v/>
      </c>
      <c r="Z526" s="11">
        <f>IF(IFERROR(INDEX('Datos - Catálogo TIMSS'!$J$5:$J$107,MATCH(L526,'Datos - Catálogo TIMSS'!$A$5:$A$107,0)),"No")="Sí",1,0)</f>
        <v/>
      </c>
      <c r="AA526" s="11" t="inlineStr">
        <is>
          <t>T8-B1.2</t>
        </is>
      </c>
      <c r="AB526" s="11" t="inlineStr"/>
      <c r="AC526" s="11">
        <f>IF(AA526="FUERA","Fuera del marco",IF(AA526="N/A","Sin marco",IFERROR(INDEX('Datos - TIMSS 2023'!$C$5:$C$105,MATCH(AA526,'Datos - TIMSS 2023'!$A$5:$A$105,0)),"Pendiente de clasificar")))</f>
        <v/>
      </c>
      <c r="AD526" s="11" t="inlineStr">
        <is>
          <t>2. Construir y evaluar diseños para la indagación científica e interpretar datos y evidencia de forma crítica</t>
        </is>
      </c>
      <c r="AE526" s="11">
        <f>IF(AD526="","",IF(LEFT(AD526,1)="1","C1",IF(LEFT(AD526,1)="2","C2",IF(LEFT(AD526,1)="3","C3",""))))</f>
        <v/>
      </c>
      <c r="AF526" s="11" t="inlineStr">
        <is>
          <t>E1</t>
        </is>
      </c>
      <c r="AG526" s="11" t="inlineStr">
        <is>
          <t>E3</t>
        </is>
      </c>
      <c r="AH526" s="11" t="inlineStr">
        <is>
          <t>E1</t>
        </is>
      </c>
      <c r="AI526" s="11" t="inlineStr">
        <is>
          <t>D4</t>
        </is>
      </c>
      <c r="AJ526" s="11" t="inlineStr">
        <is>
          <t>E6</t>
        </is>
      </c>
      <c r="AK526" s="11" t="inlineStr">
        <is>
          <t>PISA-V4</t>
        </is>
      </c>
      <c r="AL526" s="11" t="n"/>
      <c r="AM526" s="11">
        <f>IF(AK526="FUERA","Fuera del marco",IFERROR(INDEX('Datos - Catálogo PISA'!$C$5:$C$76,MATCH(AK526,'Datos - Catálogo PISA'!$A$5:$A$76,0)),"?"))</f>
        <v/>
      </c>
      <c r="AN526" s="11" t="inlineStr">
        <is>
          <t>Contenido</t>
        </is>
      </c>
      <c r="AO526" s="11" t="inlineStr">
        <is>
          <t>PISA-PR2;</t>
        </is>
      </c>
      <c r="AP526" s="11" t="n"/>
      <c r="AQ526" s="11" t="inlineStr">
        <is>
          <t>Personal</t>
        </is>
      </c>
      <c r="AR526" s="11" t="inlineStr">
        <is>
          <t>Salud y enfermedad</t>
        </is>
      </c>
      <c r="AS526" s="11" t="inlineStr">
        <is>
          <t>Media</t>
        </is>
      </c>
      <c r="AT526" s="11" t="inlineStr">
        <is>
          <t>alta</t>
        </is>
      </c>
      <c r="AU526" s="11" t="inlineStr">
        <is>
          <t>Contracción y fatiga muscular registrada en el propio cuerpo</t>
        </is>
      </c>
      <c r="AV526" s="11" t="inlineStr">
        <is>
          <t>Ciclo 7°–9°</t>
        </is>
      </c>
      <c r="AW526" s="11">
        <f>AF526&amp;"; "&amp;AG526&amp;"; "&amp;AH526&amp;"; "&amp;AI526&amp;"; "&amp;AJ526</f>
        <v/>
      </c>
    </row>
    <row r="527">
      <c r="A527" s="11" t="inlineStr">
        <is>
          <t>T1161-G08-CIE</t>
        </is>
      </c>
      <c r="B527" s="11" t="n">
        <v>8</v>
      </c>
      <c r="C527" s="11" t="inlineStr">
        <is>
          <t>Ciencias</t>
        </is>
      </c>
      <c r="D527" s="11" t="inlineStr">
        <is>
          <t>Matriz_Ciencias_8vo_Grado_U1_U7.xlsx</t>
        </is>
      </c>
      <c r="E527" s="11" t="inlineStr">
        <is>
          <t>Unidad 7 - Anatomía y Fisiologí</t>
        </is>
      </c>
      <c r="F527" s="11" t="n">
        <v>8</v>
      </c>
      <c r="G527" s="11" t="inlineStr">
        <is>
          <t>7. Anatomía y Fisiología Animal</t>
        </is>
      </c>
      <c r="H527" s="11" t="inlineStr">
        <is>
          <t>Sistema músculoesquelético</t>
        </is>
      </c>
      <c r="I527" s="38" t="inlineStr">
        <is>
          <t>7.6. Modelaje del funcionamiento del sistema musculoesquelético.</t>
        </is>
      </c>
      <c r="J527" s="11" t="inlineStr">
        <is>
          <t>T8_27</t>
        </is>
      </c>
      <c r="K527" s="11" t="inlineStr">
        <is>
          <t>T8_27-B1.2</t>
        </is>
      </c>
      <c r="L527" s="11" t="inlineStr"/>
      <c r="M527" s="11">
        <f>IF(K527="FUERA","Fuera del marco",IF(K527="N/A","Sin marco",IFERROR(INDEX('Datos - Catálogo TIMSS'!$C$5:$C$107,MATCH(K527,'Datos - Catálogo TIMSS'!$A$5:$A$107,0)),"Pendiente de clasificar")))</f>
        <v/>
      </c>
      <c r="N527" s="11">
        <f>IF(K527="FUERA","Fuera del marco",IF(K527="N/A","Sin marco",IFERROR(INDEX('Datos - Catálogo TIMSS'!$F$5:$F$107,MATCH(K527,'Datos - Catálogo TIMSS'!$A$5:$A$107,0)),"Pendiente de clasificar")))</f>
        <v/>
      </c>
      <c r="O527" s="11">
        <f>IF(L527="","",IFERROR(INDEX('Datos - Catálogo TIMSS'!$C$5:$C$107,MATCH(L527,'Datos - Catálogo TIMSS'!$A$5:$A$107,0)),"?"))</f>
        <v/>
      </c>
      <c r="P527" s="11" t="inlineStr">
        <is>
          <t>alta</t>
        </is>
      </c>
      <c r="Q527" s="38" t="inlineStr">
        <is>
          <t>Modelo funcional del sistema musculoesquelético</t>
        </is>
      </c>
      <c r="R527" s="38" t="inlineStr">
        <is>
          <t>Aplicar: construir modelos</t>
        </is>
      </c>
      <c r="S527" s="39">
        <f>IFERROR(ISNUMBER(SEARCH("Conocer",$R527))/(ISNUMBER(SEARCH("Conocer",$R527))+ISNUMBER(SEARCH("Aplicar",$R527))+ISNUMBER(SEARCH("Razonar",$R527))),0)</f>
        <v/>
      </c>
      <c r="T527" s="39">
        <f>IFERROR(ISNUMBER(SEARCH("Aplicar",$R527))/(ISNUMBER(SEARCH("Conocer",$R527))+ISNUMBER(SEARCH("Aplicar",$R527))+ISNUMBER(SEARCH("Razonar",$R527))),0)</f>
        <v/>
      </c>
      <c r="U527" s="39">
        <f>IFERROR(ISNUMBER(SEARCH("Razonar",$R527))/(ISNUMBER(SEARCH("Conocer",$R527))+ISNUMBER(SEARCH("Aplicar",$R527))+ISNUMBER(SEARCH("Razonar",$R527))),0)</f>
        <v/>
      </c>
      <c r="V527" s="11" t="inlineStr">
        <is>
          <t>8°</t>
        </is>
      </c>
      <c r="W527" s="11" t="inlineStr">
        <is>
          <t>Ciclo 5°–8°</t>
        </is>
      </c>
      <c r="X527" s="11">
        <f>IF(OR(IFERROR(INDEX('Datos - Catálogo TIMSS'!$I$5:$I$107,MATCH(K527,'Datos - Catálogo TIMSS'!$A$5:$A$107,0)),"No")="Sí",IFERROR(INDEX('Datos - Catálogo TIMSS'!$I$5:$I$107,MATCH(L527,'Datos - Catálogo TIMSS'!$A$5:$A$107,0)),"No")="Sí"),1,0)</f>
        <v/>
      </c>
      <c r="Y527" s="11">
        <f>IF(IFERROR(INDEX('Datos - Catálogo TIMSS'!$J$5:$J$107,MATCH(K527,'Datos - Catálogo TIMSS'!$A$5:$A$107,0)),"No")="Sí",1,0)</f>
        <v/>
      </c>
      <c r="Z527" s="11">
        <f>IF(IFERROR(INDEX('Datos - Catálogo TIMSS'!$J$5:$J$107,MATCH(L527,'Datos - Catálogo TIMSS'!$A$5:$A$107,0)),"No")="Sí",1,0)</f>
        <v/>
      </c>
      <c r="AA527" s="11" t="inlineStr">
        <is>
          <t>T8-B1.2</t>
        </is>
      </c>
      <c r="AB527" s="11" t="inlineStr"/>
      <c r="AC527" s="11">
        <f>IF(AA527="FUERA","Fuera del marco",IF(AA527="N/A","Sin marco",IFERROR(INDEX('Datos - TIMSS 2023'!$C$5:$C$105,MATCH(AA527,'Datos - TIMSS 2023'!$A$5:$A$105,0)),"Pendiente de clasificar")))</f>
        <v/>
      </c>
      <c r="AD527" s="11" t="inlineStr">
        <is>
          <t>1. Explicar fenómenos científicamente</t>
        </is>
      </c>
      <c r="AE527" s="11">
        <f>IF(AD527="","",IF(LEFT(AD527,1)="1","C1",IF(LEFT(AD527,1)="2","C2",IF(LEFT(AD527,1)="3","C3",""))))</f>
        <v/>
      </c>
      <c r="AF527" s="11" t="inlineStr">
        <is>
          <t>E1</t>
        </is>
      </c>
      <c r="AG527" s="11" t="inlineStr">
        <is>
          <t>D1</t>
        </is>
      </c>
      <c r="AH527" s="11" t="inlineStr">
        <is>
          <t>E4</t>
        </is>
      </c>
      <c r="AI527" s="11" t="inlineStr">
        <is>
          <t>E4</t>
        </is>
      </c>
      <c r="AJ527" s="11" t="inlineStr">
        <is>
          <t>E3</t>
        </is>
      </c>
      <c r="AK527" s="11" t="inlineStr">
        <is>
          <t>PISA-V4</t>
        </is>
      </c>
      <c r="AL527" s="11" t="n"/>
      <c r="AM527" s="11">
        <f>IF(AK527="FUERA","Fuera del marco",IFERROR(INDEX('Datos - Catálogo PISA'!$C$5:$C$76,MATCH(AK527,'Datos - Catálogo PISA'!$A$5:$A$76,0)),"?"))</f>
        <v/>
      </c>
      <c r="AN527" s="11" t="inlineStr">
        <is>
          <t>Contenido</t>
        </is>
      </c>
      <c r="AO527" s="11" t="n"/>
      <c r="AP527" s="11" t="inlineStr">
        <is>
          <t>PISA-EP4;</t>
        </is>
      </c>
      <c r="AQ527" s="11" t="inlineStr">
        <is>
          <t>Sin contexto</t>
        </is>
      </c>
      <c r="AR527" s="11" t="n"/>
      <c r="AS527" s="11" t="inlineStr">
        <is>
          <t>Media</t>
        </is>
      </c>
      <c r="AT527" s="11" t="inlineStr">
        <is>
          <t>alta</t>
        </is>
      </c>
      <c r="AU527" s="11" t="inlineStr">
        <is>
          <t>Modelo funcional del sistema musculoesquelético</t>
        </is>
      </c>
      <c r="AV527" s="11" t="inlineStr">
        <is>
          <t>Ciclo 7°–9°</t>
        </is>
      </c>
      <c r="AW527" s="11">
        <f>AF527&amp;"; "&amp;AG527&amp;"; "&amp;AH527&amp;"; "&amp;AI527&amp;"; "&amp;AJ527</f>
        <v/>
      </c>
    </row>
    <row r="528">
      <c r="A528" s="11" t="inlineStr">
        <is>
          <t>T1162-G08-CIE</t>
        </is>
      </c>
      <c r="B528" s="11" t="n">
        <v>8</v>
      </c>
      <c r="C528" s="11" t="inlineStr">
        <is>
          <t>Ciencias</t>
        </is>
      </c>
      <c r="D528" s="11" t="inlineStr">
        <is>
          <t>Matriz_Ciencias_8vo_Grado_U1_U7.xlsx</t>
        </is>
      </c>
      <c r="E528" s="11" t="inlineStr">
        <is>
          <t>Unidad 7 - Anatomía y Fisiologí</t>
        </is>
      </c>
      <c r="F528" s="11" t="n">
        <v>9</v>
      </c>
      <c r="G528" s="11" t="inlineStr">
        <is>
          <t>7. Anatomía y Fisiología Animal</t>
        </is>
      </c>
      <c r="H528" s="11" t="inlineStr">
        <is>
          <t>Sistemas respiratorio y circulatorio</t>
        </is>
      </c>
      <c r="I528" s="38" t="inlineStr">
        <is>
          <t>7.7. Demostración práctica del vínculo entre el intercambio de gases y la circulación.</t>
        </is>
      </c>
      <c r="J528" s="11" t="inlineStr">
        <is>
          <t>T8_27</t>
        </is>
      </c>
      <c r="K528" s="11" t="inlineStr">
        <is>
          <t>T8_27-B1.2</t>
        </is>
      </c>
      <c r="L528" s="11" t="inlineStr">
        <is>
          <t>T8_27-B1.3</t>
        </is>
      </c>
      <c r="M528" s="11">
        <f>IF(K528="FUERA","Fuera del marco",IF(K528="N/A","Sin marco",IFERROR(INDEX('Datos - Catálogo TIMSS'!$C$5:$C$107,MATCH(K528,'Datos - Catálogo TIMSS'!$A$5:$A$107,0)),"Pendiente de clasificar")))</f>
        <v/>
      </c>
      <c r="N528" s="11">
        <f>IF(K528="FUERA","Fuera del marco",IF(K528="N/A","Sin marco",IFERROR(INDEX('Datos - Catálogo TIMSS'!$F$5:$F$107,MATCH(K528,'Datos - Catálogo TIMSS'!$A$5:$A$107,0)),"Pendiente de clasificar")))</f>
        <v/>
      </c>
      <c r="O528" s="11">
        <f>IF(L528="","",IFERROR(INDEX('Datos - Catálogo TIMSS'!$C$5:$C$107,MATCH(L528,'Datos - Catálogo TIMSS'!$A$5:$A$107,0)),"?"))</f>
        <v/>
      </c>
      <c r="P528" s="11" t="inlineStr">
        <is>
          <t>alta</t>
        </is>
      </c>
      <c r="Q528" s="38" t="inlineStr">
        <is>
          <t>Respiración y circulación; respuesta del cuerpo a la actividad</t>
        </is>
      </c>
      <c r="R528" s="38" t="inlineStr">
        <is>
          <t>Aplicar: medir y relacionar</t>
        </is>
      </c>
      <c r="S528" s="39">
        <f>IFERROR(ISNUMBER(SEARCH("Conocer",$R528))/(ISNUMBER(SEARCH("Conocer",$R528))+ISNUMBER(SEARCH("Aplicar",$R528))+ISNUMBER(SEARCH("Razonar",$R528))),0)</f>
        <v/>
      </c>
      <c r="T528" s="39">
        <f>IFERROR(ISNUMBER(SEARCH("Aplicar",$R528))/(ISNUMBER(SEARCH("Conocer",$R528))+ISNUMBER(SEARCH("Aplicar",$R528))+ISNUMBER(SEARCH("Razonar",$R528))),0)</f>
        <v/>
      </c>
      <c r="U528" s="39">
        <f>IFERROR(ISNUMBER(SEARCH("Razonar",$R528))/(ISNUMBER(SEARCH("Conocer",$R528))+ISNUMBER(SEARCH("Aplicar",$R528))+ISNUMBER(SEARCH("Razonar",$R528))),0)</f>
        <v/>
      </c>
      <c r="V528" s="11" t="inlineStr">
        <is>
          <t>8°</t>
        </is>
      </c>
      <c r="W528" s="11" t="inlineStr">
        <is>
          <t>Ciclo 5°–8°</t>
        </is>
      </c>
      <c r="X528" s="11">
        <f>IF(OR(IFERROR(INDEX('Datos - Catálogo TIMSS'!$I$5:$I$107,MATCH(K528,'Datos - Catálogo TIMSS'!$A$5:$A$107,0)),"No")="Sí",IFERROR(INDEX('Datos - Catálogo TIMSS'!$I$5:$I$107,MATCH(L528,'Datos - Catálogo TIMSS'!$A$5:$A$107,0)),"No")="Sí"),1,0)</f>
        <v/>
      </c>
      <c r="Y528" s="11">
        <f>IF(IFERROR(INDEX('Datos - Catálogo TIMSS'!$J$5:$J$107,MATCH(K528,'Datos - Catálogo TIMSS'!$A$5:$A$107,0)),"No")="Sí",1,0)</f>
        <v/>
      </c>
      <c r="Z528" s="11">
        <f>IF(IFERROR(INDEX('Datos - Catálogo TIMSS'!$J$5:$J$107,MATCH(L528,'Datos - Catálogo TIMSS'!$A$5:$A$107,0)),"No")="Sí",1,0)</f>
        <v/>
      </c>
      <c r="AA528" s="11" t="inlineStr">
        <is>
          <t>T8-B1.3</t>
        </is>
      </c>
      <c r="AB528" s="11" t="inlineStr">
        <is>
          <t>T8-B1.2</t>
        </is>
      </c>
      <c r="AC528" s="11">
        <f>IF(AA528="FUERA","Fuera del marco",IF(AA528="N/A","Sin marco",IFERROR(INDEX('Datos - TIMSS 2023'!$C$5:$C$105,MATCH(AA528,'Datos - TIMSS 2023'!$A$5:$A$105,0)),"Pendiente de clasificar")))</f>
        <v/>
      </c>
      <c r="AD528" s="11" t="inlineStr">
        <is>
          <t>1. Explicar fenómenos científicamente</t>
        </is>
      </c>
      <c r="AE528" s="11">
        <f>IF(AD528="","",IF(LEFT(AD528,1)="1","C1",IF(LEFT(AD528,1)="2","C2",IF(LEFT(AD528,1)="3","C3",""))))</f>
        <v/>
      </c>
      <c r="AF528" s="11" t="inlineStr">
        <is>
          <t>E1</t>
        </is>
      </c>
      <c r="AG528" s="11" t="inlineStr">
        <is>
          <t>D1</t>
        </is>
      </c>
      <c r="AH528" s="11" t="inlineStr">
        <is>
          <t>E1</t>
        </is>
      </c>
      <c r="AI528" s="11" t="inlineStr">
        <is>
          <t>D4</t>
        </is>
      </c>
      <c r="AJ528" s="11" t="inlineStr">
        <is>
          <t>E6</t>
        </is>
      </c>
      <c r="AK528" s="11" t="inlineStr">
        <is>
          <t>PISA-V4</t>
        </is>
      </c>
      <c r="AL528" s="11" t="n"/>
      <c r="AM528" s="11">
        <f>IF(AK528="FUERA","Fuera del marco",IFERROR(INDEX('Datos - Catálogo PISA'!$C$5:$C$76,MATCH(AK528,'Datos - Catálogo PISA'!$A$5:$A$76,0)),"?"))</f>
        <v/>
      </c>
      <c r="AN528" s="11" t="inlineStr">
        <is>
          <t>Contenido</t>
        </is>
      </c>
      <c r="AO528" s="11" t="inlineStr">
        <is>
          <t>PISA-PR2;</t>
        </is>
      </c>
      <c r="AP528" s="11" t="n"/>
      <c r="AQ528" s="11" t="inlineStr">
        <is>
          <t>Personal</t>
        </is>
      </c>
      <c r="AR528" s="11" t="inlineStr">
        <is>
          <t>Salud y enfermedad</t>
        </is>
      </c>
      <c r="AS528" s="11" t="inlineStr">
        <is>
          <t>Media</t>
        </is>
      </c>
      <c r="AT528" s="11" t="inlineStr">
        <is>
          <t>alta</t>
        </is>
      </c>
      <c r="AU528" s="11" t="inlineStr">
        <is>
          <t>Intercambio de gases y circulación; frecuencias en reposo y actividad</t>
        </is>
      </c>
      <c r="AV528" s="11" t="inlineStr">
        <is>
          <t>Ciclo 7°–9°</t>
        </is>
      </c>
      <c r="AW528" s="11">
        <f>AF528&amp;"; "&amp;AG528&amp;"; "&amp;AH528&amp;"; "&amp;AI528&amp;"; "&amp;AJ528</f>
        <v/>
      </c>
    </row>
    <row r="529">
      <c r="A529" s="11" t="inlineStr">
        <is>
          <t>T1163-G08-CIE</t>
        </is>
      </c>
      <c r="B529" s="11" t="n">
        <v>8</v>
      </c>
      <c r="C529" s="11" t="inlineStr">
        <is>
          <t>Ciencias</t>
        </is>
      </c>
      <c r="D529" s="11" t="inlineStr">
        <is>
          <t>Matriz_Ciencias_8vo_Grado_U1_U7.xlsx</t>
        </is>
      </c>
      <c r="E529" s="11" t="inlineStr">
        <is>
          <t>Unidad 7 - Anatomía y Fisiologí</t>
        </is>
      </c>
      <c r="F529" s="11" t="n">
        <v>10</v>
      </c>
      <c r="G529" s="11" t="inlineStr">
        <is>
          <t>7. Anatomía y Fisiología Animal</t>
        </is>
      </c>
      <c r="H529" s="11" t="inlineStr">
        <is>
          <t>Sistemas respiratrio y circulatorio</t>
        </is>
      </c>
      <c r="I529" s="38" t="inlineStr">
        <is>
          <t>7.8. Reconocimiento de las principales características y funciones de las estructuras respiratorias y circulatorias en vertebrados.</t>
        </is>
      </c>
      <c r="J529" s="11" t="inlineStr">
        <is>
          <t>T8_27</t>
        </is>
      </c>
      <c r="K529" s="11" t="inlineStr">
        <is>
          <t>T8_27-B1.2</t>
        </is>
      </c>
      <c r="L529" s="11" t="inlineStr"/>
      <c r="M529" s="11">
        <f>IF(K529="FUERA","Fuera del marco",IF(K529="N/A","Sin marco",IFERROR(INDEX('Datos - Catálogo TIMSS'!$C$5:$C$107,MATCH(K529,'Datos - Catálogo TIMSS'!$A$5:$A$107,0)),"Pendiente de clasificar")))</f>
        <v/>
      </c>
      <c r="N529" s="11">
        <f>IF(K529="FUERA","Fuera del marco",IF(K529="N/A","Sin marco",IFERROR(INDEX('Datos - Catálogo TIMSS'!$F$5:$F$107,MATCH(K529,'Datos - Catálogo TIMSS'!$A$5:$A$107,0)),"Pendiente de clasificar")))</f>
        <v/>
      </c>
      <c r="O529" s="11">
        <f>IF(L529="","",IFERROR(INDEX('Datos - Catálogo TIMSS'!$C$5:$C$107,MATCH(L529,'Datos - Catálogo TIMSS'!$A$5:$A$107,0)),"?"))</f>
        <v/>
      </c>
      <c r="P529" s="11" t="inlineStr">
        <is>
          <t>alta</t>
        </is>
      </c>
      <c r="Q529" s="38" t="inlineStr">
        <is>
          <t>Comparar estructuras respiratorias y circulatorias de vertebrados</t>
        </is>
      </c>
      <c r="R529" s="38" t="inlineStr">
        <is>
          <t>Aplicar: comparar</t>
        </is>
      </c>
      <c r="S529" s="39">
        <f>IFERROR(ISNUMBER(SEARCH("Conocer",$R529))/(ISNUMBER(SEARCH("Conocer",$R529))+ISNUMBER(SEARCH("Aplicar",$R529))+ISNUMBER(SEARCH("Razonar",$R529))),0)</f>
        <v/>
      </c>
      <c r="T529" s="39">
        <f>IFERROR(ISNUMBER(SEARCH("Aplicar",$R529))/(ISNUMBER(SEARCH("Conocer",$R529))+ISNUMBER(SEARCH("Aplicar",$R529))+ISNUMBER(SEARCH("Razonar",$R529))),0)</f>
        <v/>
      </c>
      <c r="U529" s="39">
        <f>IFERROR(ISNUMBER(SEARCH("Razonar",$R529))/(ISNUMBER(SEARCH("Conocer",$R529))+ISNUMBER(SEARCH("Aplicar",$R529))+ISNUMBER(SEARCH("Razonar",$R529))),0)</f>
        <v/>
      </c>
      <c r="V529" s="11" t="inlineStr">
        <is>
          <t>8°</t>
        </is>
      </c>
      <c r="W529" s="11" t="inlineStr">
        <is>
          <t>Ciclo 5°–8°</t>
        </is>
      </c>
      <c r="X529" s="11">
        <f>IF(OR(IFERROR(INDEX('Datos - Catálogo TIMSS'!$I$5:$I$107,MATCH(K529,'Datos - Catálogo TIMSS'!$A$5:$A$107,0)),"No")="Sí",IFERROR(INDEX('Datos - Catálogo TIMSS'!$I$5:$I$107,MATCH(L529,'Datos - Catálogo TIMSS'!$A$5:$A$107,0)),"No")="Sí"),1,0)</f>
        <v/>
      </c>
      <c r="Y529" s="11">
        <f>IF(IFERROR(INDEX('Datos - Catálogo TIMSS'!$J$5:$J$107,MATCH(K529,'Datos - Catálogo TIMSS'!$A$5:$A$107,0)),"No")="Sí",1,0)</f>
        <v/>
      </c>
      <c r="Z529" s="11">
        <f>IF(IFERROR(INDEX('Datos - Catálogo TIMSS'!$J$5:$J$107,MATCH(L529,'Datos - Catálogo TIMSS'!$A$5:$A$107,0)),"No")="Sí",1,0)</f>
        <v/>
      </c>
      <c r="AA529" s="11" t="inlineStr">
        <is>
          <t>T8-B1.2</t>
        </is>
      </c>
      <c r="AB529" s="11" t="inlineStr"/>
      <c r="AC529" s="11">
        <f>IF(AA529="FUERA","Fuera del marco",IF(AA529="N/A","Sin marco",IFERROR(INDEX('Datos - TIMSS 2023'!$C$5:$C$105,MATCH(AA529,'Datos - TIMSS 2023'!$A$5:$A$105,0)),"Pendiente de clasificar")))</f>
        <v/>
      </c>
      <c r="AD529" s="11" t="inlineStr">
        <is>
          <t>1. Explicar fenómenos científicamente</t>
        </is>
      </c>
      <c r="AE529" s="11">
        <f>IF(AD529="","",IF(LEFT(AD529,1)="1","C1",IF(LEFT(AD529,1)="2","C2",IF(LEFT(AD529,1)="3","C3",""))))</f>
        <v/>
      </c>
      <c r="AF529" s="11" t="inlineStr">
        <is>
          <t>E1</t>
        </is>
      </c>
      <c r="AG529" s="11" t="inlineStr">
        <is>
          <t>D1</t>
        </is>
      </c>
      <c r="AH529" s="11" t="inlineStr">
        <is>
          <t>E1</t>
        </is>
      </c>
      <c r="AI529" s="11" t="inlineStr">
        <is>
          <t>D4</t>
        </is>
      </c>
      <c r="AJ529" s="11" t="inlineStr">
        <is>
          <t>E1</t>
        </is>
      </c>
      <c r="AK529" s="11" t="inlineStr">
        <is>
          <t>PISA-V4</t>
        </is>
      </c>
      <c r="AL529" s="11" t="n"/>
      <c r="AM529" s="11">
        <f>IF(AK529="FUERA","Fuera del marco",IFERROR(INDEX('Datos - Catálogo PISA'!$C$5:$C$76,MATCH(AK529,'Datos - Catálogo PISA'!$A$5:$A$76,0)),"?"))</f>
        <v/>
      </c>
      <c r="AN529" s="11" t="inlineStr">
        <is>
          <t>Contenido</t>
        </is>
      </c>
      <c r="AO529" s="11" t="n"/>
      <c r="AP529" s="11" t="n"/>
      <c r="AQ529" s="11" t="inlineStr">
        <is>
          <t>Sin contexto</t>
        </is>
      </c>
      <c r="AR529" s="11" t="n"/>
      <c r="AS529" s="11" t="inlineStr">
        <is>
          <t>Baja</t>
        </is>
      </c>
      <c r="AT529" s="11" t="inlineStr">
        <is>
          <t>alta</t>
        </is>
      </c>
      <c r="AU529" s="11" t="inlineStr">
        <is>
          <t>Estructuras respiratorias y circulatorias de vertebrados</t>
        </is>
      </c>
      <c r="AV529" s="11" t="inlineStr">
        <is>
          <t>Ciclo 7°–9°</t>
        </is>
      </c>
      <c r="AW529" s="11">
        <f>AF529&amp;"; "&amp;AG529&amp;"; "&amp;AH529&amp;"; "&amp;AI529&amp;"; "&amp;AJ529</f>
        <v/>
      </c>
    </row>
    <row r="530">
      <c r="A530" s="11" t="inlineStr">
        <is>
          <t>T1164-G08-CIE</t>
        </is>
      </c>
      <c r="B530" s="11" t="n">
        <v>8</v>
      </c>
      <c r="C530" s="11" t="inlineStr">
        <is>
          <t>Ciencias</t>
        </is>
      </c>
      <c r="D530" s="11" t="inlineStr">
        <is>
          <t>Matriz_Ciencias_8vo_Grado_U1_U7.xlsx</t>
        </is>
      </c>
      <c r="E530" s="11" t="inlineStr">
        <is>
          <t>Unidad 7 - Anatomía y Fisiologí</t>
        </is>
      </c>
      <c r="F530" s="11" t="n">
        <v>11</v>
      </c>
      <c r="G530" s="11" t="inlineStr">
        <is>
          <t>7. Anatomía y Fisiología Animal</t>
        </is>
      </c>
      <c r="H530" s="11" t="inlineStr">
        <is>
          <t>Sistemas respiratrio y circulatorio</t>
        </is>
      </c>
      <c r="I530" s="38" t="inlineStr">
        <is>
          <t>7.9. Modelaje de una estructura respiratoria.</t>
        </is>
      </c>
      <c r="J530" s="11" t="inlineStr">
        <is>
          <t>T8_27</t>
        </is>
      </c>
      <c r="K530" s="11" t="inlineStr">
        <is>
          <t>T8_27-B1.2</t>
        </is>
      </c>
      <c r="L530" s="11" t="inlineStr"/>
      <c r="M530" s="11">
        <f>IF(K530="FUERA","Fuera del marco",IF(K530="N/A","Sin marco",IFERROR(INDEX('Datos - Catálogo TIMSS'!$C$5:$C$107,MATCH(K530,'Datos - Catálogo TIMSS'!$A$5:$A$107,0)),"Pendiente de clasificar")))</f>
        <v/>
      </c>
      <c r="N530" s="11">
        <f>IF(K530="FUERA","Fuera del marco",IF(K530="N/A","Sin marco",IFERROR(INDEX('Datos - Catálogo TIMSS'!$F$5:$F$107,MATCH(K530,'Datos - Catálogo TIMSS'!$A$5:$A$107,0)),"Pendiente de clasificar")))</f>
        <v/>
      </c>
      <c r="O530" s="11">
        <f>IF(L530="","",IFERROR(INDEX('Datos - Catálogo TIMSS'!$C$5:$C$107,MATCH(L530,'Datos - Catálogo TIMSS'!$A$5:$A$107,0)),"?"))</f>
        <v/>
      </c>
      <c r="P530" s="11" t="inlineStr">
        <is>
          <t>alta</t>
        </is>
      </c>
      <c r="Q530" s="38" t="inlineStr">
        <is>
          <t>Modelo de una estructura respiratoria: órganos y función</t>
        </is>
      </c>
      <c r="R530" s="38" t="inlineStr">
        <is>
          <t>Aplicar: construir y evaluar modelos</t>
        </is>
      </c>
      <c r="S530" s="39">
        <f>IFERROR(ISNUMBER(SEARCH("Conocer",$R530))/(ISNUMBER(SEARCH("Conocer",$R530))+ISNUMBER(SEARCH("Aplicar",$R530))+ISNUMBER(SEARCH("Razonar",$R530))),0)</f>
        <v/>
      </c>
      <c r="T530" s="39">
        <f>IFERROR(ISNUMBER(SEARCH("Aplicar",$R530))/(ISNUMBER(SEARCH("Conocer",$R530))+ISNUMBER(SEARCH("Aplicar",$R530))+ISNUMBER(SEARCH("Razonar",$R530))),0)</f>
        <v/>
      </c>
      <c r="U530" s="39">
        <f>IFERROR(ISNUMBER(SEARCH("Razonar",$R530))/(ISNUMBER(SEARCH("Conocer",$R530))+ISNUMBER(SEARCH("Aplicar",$R530))+ISNUMBER(SEARCH("Razonar",$R530))),0)</f>
        <v/>
      </c>
      <c r="V530" s="11" t="inlineStr">
        <is>
          <t>8°</t>
        </is>
      </c>
      <c r="W530" s="11" t="inlineStr">
        <is>
          <t>Ciclo 5°–8°</t>
        </is>
      </c>
      <c r="X530" s="11">
        <f>IF(OR(IFERROR(INDEX('Datos - Catálogo TIMSS'!$I$5:$I$107,MATCH(K530,'Datos - Catálogo TIMSS'!$A$5:$A$107,0)),"No")="Sí",IFERROR(INDEX('Datos - Catálogo TIMSS'!$I$5:$I$107,MATCH(L530,'Datos - Catálogo TIMSS'!$A$5:$A$107,0)),"No")="Sí"),1,0)</f>
        <v/>
      </c>
      <c r="Y530" s="11">
        <f>IF(IFERROR(INDEX('Datos - Catálogo TIMSS'!$J$5:$J$107,MATCH(K530,'Datos - Catálogo TIMSS'!$A$5:$A$107,0)),"No")="Sí",1,0)</f>
        <v/>
      </c>
      <c r="Z530" s="11">
        <f>IF(IFERROR(INDEX('Datos - Catálogo TIMSS'!$J$5:$J$107,MATCH(L530,'Datos - Catálogo TIMSS'!$A$5:$A$107,0)),"No")="Sí",1,0)</f>
        <v/>
      </c>
      <c r="AA530" s="11" t="inlineStr">
        <is>
          <t>T8-B1.2</t>
        </is>
      </c>
      <c r="AB530" s="11" t="inlineStr"/>
      <c r="AC530" s="11">
        <f>IF(AA530="FUERA","Fuera del marco",IF(AA530="N/A","Sin marco",IFERROR(INDEX('Datos - TIMSS 2023'!$C$5:$C$105,MATCH(AA530,'Datos - TIMSS 2023'!$A$5:$A$105,0)),"Pendiente de clasificar")))</f>
        <v/>
      </c>
      <c r="AD530" s="11" t="inlineStr">
        <is>
          <t>2. Construir y evaluar diseños para la indagación científica e interpretar datos y evidencia de forma crítica</t>
        </is>
      </c>
      <c r="AE530" s="11">
        <f>IF(AD530="","",IF(LEFT(AD530,1)="1","C1",IF(LEFT(AD530,1)="2","C2",IF(LEFT(AD530,1)="3","C3",""))))</f>
        <v/>
      </c>
      <c r="AF530" s="11" t="inlineStr">
        <is>
          <t>E1</t>
        </is>
      </c>
      <c r="AG530" s="11" t="inlineStr">
        <is>
          <t>D1</t>
        </is>
      </c>
      <c r="AH530" s="11" t="inlineStr">
        <is>
          <t>E4</t>
        </is>
      </c>
      <c r="AI530" s="11" t="inlineStr">
        <is>
          <t>D3</t>
        </is>
      </c>
      <c r="AJ530" s="11" t="inlineStr">
        <is>
          <t>E3</t>
        </is>
      </c>
      <c r="AK530" s="11" t="inlineStr">
        <is>
          <t>PISA-V4</t>
        </is>
      </c>
      <c r="AL530" s="11" t="n"/>
      <c r="AM530" s="11">
        <f>IF(AK530="FUERA","Fuera del marco",IFERROR(INDEX('Datos - Catálogo PISA'!$C$5:$C$76,MATCH(AK530,'Datos - Catálogo PISA'!$A$5:$A$76,0)),"?"))</f>
        <v/>
      </c>
      <c r="AN530" s="11" t="inlineStr">
        <is>
          <t>Contenido</t>
        </is>
      </c>
      <c r="AO530" s="11" t="n"/>
      <c r="AP530" s="11" t="inlineStr">
        <is>
          <t>PISA-EP4; PISA-EP7;</t>
        </is>
      </c>
      <c r="AQ530" s="11" t="inlineStr">
        <is>
          <t>Sin contexto</t>
        </is>
      </c>
      <c r="AR530" s="11" t="n"/>
      <c r="AS530" s="11" t="inlineStr">
        <is>
          <t>Media</t>
        </is>
      </c>
      <c r="AT530" s="11" t="inlineStr">
        <is>
          <t>alta</t>
        </is>
      </c>
      <c r="AU530" s="11" t="inlineStr">
        <is>
          <t>Modelo de estructura respiratoria con evaluación</t>
        </is>
      </c>
      <c r="AV530" s="11" t="inlineStr">
        <is>
          <t>Ciclo 7°–9°</t>
        </is>
      </c>
      <c r="AW530" s="11">
        <f>AF530&amp;"; "&amp;AG530&amp;"; "&amp;AH530&amp;"; "&amp;AI530&amp;"; "&amp;AJ530</f>
        <v/>
      </c>
    </row>
    <row r="531">
      <c r="A531" s="11" t="inlineStr">
        <is>
          <t>T1165-G08-CIE</t>
        </is>
      </c>
      <c r="B531" s="11" t="n">
        <v>8</v>
      </c>
      <c r="C531" s="11" t="inlineStr">
        <is>
          <t>Ciencias</t>
        </is>
      </c>
      <c r="D531" s="11" t="inlineStr">
        <is>
          <t>Matriz_Ciencias_8vo_Grado_U1_U7.xlsx</t>
        </is>
      </c>
      <c r="E531" s="11" t="inlineStr">
        <is>
          <t>Unidad 7 - Anatomía y Fisiologí</t>
        </is>
      </c>
      <c r="F531" s="11" t="n">
        <v>12</v>
      </c>
      <c r="G531" s="11" t="inlineStr">
        <is>
          <t>7. Anatomía y Fisiología Animal</t>
        </is>
      </c>
      <c r="H531" s="11" t="inlineStr">
        <is>
          <t>Sistemas digestivos</t>
        </is>
      </c>
      <c r="I531" s="38" t="inlineStr">
        <is>
          <t>7.10. Exploración de las principales características estructurales de los sistemas digestivos</t>
        </is>
      </c>
      <c r="J531" s="11" t="inlineStr">
        <is>
          <t>T8_27</t>
        </is>
      </c>
      <c r="K531" s="11" t="inlineStr">
        <is>
          <t>T8_27-B1.2</t>
        </is>
      </c>
      <c r="L531" s="11" t="inlineStr"/>
      <c r="M531" s="11">
        <f>IF(K531="FUERA","Fuera del marco",IF(K531="N/A","Sin marco",IFERROR(INDEX('Datos - Catálogo TIMSS'!$C$5:$C$107,MATCH(K531,'Datos - Catálogo TIMSS'!$A$5:$A$107,0)),"Pendiente de clasificar")))</f>
        <v/>
      </c>
      <c r="N531" s="11">
        <f>IF(K531="FUERA","Fuera del marco",IF(K531="N/A","Sin marco",IFERROR(INDEX('Datos - Catálogo TIMSS'!$F$5:$F$107,MATCH(K531,'Datos - Catálogo TIMSS'!$A$5:$A$107,0)),"Pendiente de clasificar")))</f>
        <v/>
      </c>
      <c r="O531" s="11">
        <f>IF(L531="","",IFERROR(INDEX('Datos - Catálogo TIMSS'!$C$5:$C$107,MATCH(L531,'Datos - Catálogo TIMSS'!$A$5:$A$107,0)),"?"))</f>
        <v/>
      </c>
      <c r="P531" s="11" t="inlineStr">
        <is>
          <t>alta</t>
        </is>
      </c>
      <c r="Q531" s="38" t="inlineStr">
        <is>
          <t>Comparar sistemas digestivos: estructura y función</t>
        </is>
      </c>
      <c r="R531" s="38" t="inlineStr">
        <is>
          <t>Aplicar: comparar</t>
        </is>
      </c>
      <c r="S531" s="39">
        <f>IFERROR(ISNUMBER(SEARCH("Conocer",$R531))/(ISNUMBER(SEARCH("Conocer",$R531))+ISNUMBER(SEARCH("Aplicar",$R531))+ISNUMBER(SEARCH("Razonar",$R531))),0)</f>
        <v/>
      </c>
      <c r="T531" s="39">
        <f>IFERROR(ISNUMBER(SEARCH("Aplicar",$R531))/(ISNUMBER(SEARCH("Conocer",$R531))+ISNUMBER(SEARCH("Aplicar",$R531))+ISNUMBER(SEARCH("Razonar",$R531))),0)</f>
        <v/>
      </c>
      <c r="U531" s="39">
        <f>IFERROR(ISNUMBER(SEARCH("Razonar",$R531))/(ISNUMBER(SEARCH("Conocer",$R531))+ISNUMBER(SEARCH("Aplicar",$R531))+ISNUMBER(SEARCH("Razonar",$R531))),0)</f>
        <v/>
      </c>
      <c r="V531" s="11" t="inlineStr">
        <is>
          <t>8°</t>
        </is>
      </c>
      <c r="W531" s="11" t="inlineStr">
        <is>
          <t>Ciclo 5°–8°</t>
        </is>
      </c>
      <c r="X531" s="11">
        <f>IF(OR(IFERROR(INDEX('Datos - Catálogo TIMSS'!$I$5:$I$107,MATCH(K531,'Datos - Catálogo TIMSS'!$A$5:$A$107,0)),"No")="Sí",IFERROR(INDEX('Datos - Catálogo TIMSS'!$I$5:$I$107,MATCH(L531,'Datos - Catálogo TIMSS'!$A$5:$A$107,0)),"No")="Sí"),1,0)</f>
        <v/>
      </c>
      <c r="Y531" s="11">
        <f>IF(IFERROR(INDEX('Datos - Catálogo TIMSS'!$J$5:$J$107,MATCH(K531,'Datos - Catálogo TIMSS'!$A$5:$A$107,0)),"No")="Sí",1,0)</f>
        <v/>
      </c>
      <c r="Z531" s="11">
        <f>IF(IFERROR(INDEX('Datos - Catálogo TIMSS'!$J$5:$J$107,MATCH(L531,'Datos - Catálogo TIMSS'!$A$5:$A$107,0)),"No")="Sí",1,0)</f>
        <v/>
      </c>
      <c r="AA531" s="11" t="inlineStr">
        <is>
          <t>T8-B1.2</t>
        </is>
      </c>
      <c r="AB531" s="11" t="inlineStr"/>
      <c r="AC531" s="11">
        <f>IF(AA531="FUERA","Fuera del marco",IF(AA531="N/A","Sin marco",IFERROR(INDEX('Datos - TIMSS 2023'!$C$5:$C$105,MATCH(AA531,'Datos - TIMSS 2023'!$A$5:$A$105,0)),"Pendiente de clasificar")))</f>
        <v/>
      </c>
      <c r="AD531" s="11" t="inlineStr">
        <is>
          <t>1. Explicar fenómenos científicamente</t>
        </is>
      </c>
      <c r="AE531" s="11">
        <f>IF(AD531="","",IF(LEFT(AD531,1)="1","C1",IF(LEFT(AD531,1)="2","C2",IF(LEFT(AD531,1)="3","C3",""))))</f>
        <v/>
      </c>
      <c r="AF531" s="11" t="inlineStr">
        <is>
          <t>E1</t>
        </is>
      </c>
      <c r="AG531" s="11" t="inlineStr">
        <is>
          <t>D1</t>
        </is>
      </c>
      <c r="AH531" s="11" t="inlineStr">
        <is>
          <t>E1</t>
        </is>
      </c>
      <c r="AI531" s="11" t="inlineStr">
        <is>
          <t>D4</t>
        </is>
      </c>
      <c r="AJ531" s="11" t="inlineStr">
        <is>
          <t>E1</t>
        </is>
      </c>
      <c r="AK531" s="11" t="inlineStr">
        <is>
          <t>PISA-V4</t>
        </is>
      </c>
      <c r="AL531" s="11" t="n"/>
      <c r="AM531" s="11">
        <f>IF(AK531="FUERA","Fuera del marco",IFERROR(INDEX('Datos - Catálogo PISA'!$C$5:$C$76,MATCH(AK531,'Datos - Catálogo PISA'!$A$5:$A$76,0)),"?"))</f>
        <v/>
      </c>
      <c r="AN531" s="11" t="inlineStr">
        <is>
          <t>Contenido</t>
        </is>
      </c>
      <c r="AO531" s="11" t="n"/>
      <c r="AP531" s="11" t="n"/>
      <c r="AQ531" s="11" t="inlineStr">
        <is>
          <t>Sin contexto</t>
        </is>
      </c>
      <c r="AR531" s="11" t="n"/>
      <c r="AS531" s="11" t="inlineStr">
        <is>
          <t>Baja</t>
        </is>
      </c>
      <c r="AT531" s="11" t="inlineStr">
        <is>
          <t>alta</t>
        </is>
      </c>
      <c r="AU531" s="11" t="inlineStr">
        <is>
          <t>Estructura de sistemas digestivos comparados</t>
        </is>
      </c>
      <c r="AV531" s="11" t="inlineStr">
        <is>
          <t>Ciclo 7°–9°</t>
        </is>
      </c>
      <c r="AW531" s="11">
        <f>AF531&amp;"; "&amp;AG531&amp;"; "&amp;AH531&amp;"; "&amp;AI531&amp;"; "&amp;AJ531</f>
        <v/>
      </c>
    </row>
    <row r="532">
      <c r="A532" s="11" t="inlineStr">
        <is>
          <t>T1166-G08-CIE</t>
        </is>
      </c>
      <c r="B532" s="11" t="n">
        <v>8</v>
      </c>
      <c r="C532" s="11" t="inlineStr">
        <is>
          <t>Ciencias</t>
        </is>
      </c>
      <c r="D532" s="11" t="inlineStr">
        <is>
          <t>Matriz_Ciencias_8vo_Grado_U1_U7.xlsx</t>
        </is>
      </c>
      <c r="E532" s="11" t="inlineStr">
        <is>
          <t>Unidad 7 - Anatomía y Fisiologí</t>
        </is>
      </c>
      <c r="F532" s="11" t="n">
        <v>13</v>
      </c>
      <c r="G532" s="11" t="inlineStr">
        <is>
          <t>7. Anatomía y Fisiología Animal</t>
        </is>
      </c>
      <c r="H532" s="11" t="inlineStr">
        <is>
          <t>Sistemas digestivos</t>
        </is>
      </c>
      <c r="I532" s="38" t="inlineStr">
        <is>
          <t>7.11. Experimentación con los procesos químicos y mecánicos que intervienen en la digestión.</t>
        </is>
      </c>
      <c r="J532" s="11" t="inlineStr">
        <is>
          <t>T8_27</t>
        </is>
      </c>
      <c r="K532" s="11" t="inlineStr">
        <is>
          <t>T8_27-B1.2</t>
        </is>
      </c>
      <c r="L532" s="11" t="inlineStr"/>
      <c r="M532" s="11">
        <f>IF(K532="FUERA","Fuera del marco",IF(K532="N/A","Sin marco",IFERROR(INDEX('Datos - Catálogo TIMSS'!$C$5:$C$107,MATCH(K532,'Datos - Catálogo TIMSS'!$A$5:$A$107,0)),"Pendiente de clasificar")))</f>
        <v/>
      </c>
      <c r="N532" s="11">
        <f>IF(K532="FUERA","Fuera del marco",IF(K532="N/A","Sin marco",IFERROR(INDEX('Datos - Catálogo TIMSS'!$F$5:$F$107,MATCH(K532,'Datos - Catálogo TIMSS'!$A$5:$A$107,0)),"Pendiente de clasificar")))</f>
        <v/>
      </c>
      <c r="O532" s="11">
        <f>IF(L532="","",IFERROR(INDEX('Datos - Catálogo TIMSS'!$C$5:$C$107,MATCH(L532,'Datos - Catálogo TIMSS'!$A$5:$A$107,0)),"?"))</f>
        <v/>
      </c>
      <c r="P532" s="11" t="inlineStr">
        <is>
          <t>alta</t>
        </is>
      </c>
      <c r="Q532" s="38" t="inlineStr">
        <is>
          <t>Simular digestión mecánica y química: función del sistema digestivo</t>
        </is>
      </c>
      <c r="R532" s="38" t="inlineStr">
        <is>
          <t>Razonar: simular y concluir</t>
        </is>
      </c>
      <c r="S532" s="39">
        <f>IFERROR(ISNUMBER(SEARCH("Conocer",$R532))/(ISNUMBER(SEARCH("Conocer",$R532))+ISNUMBER(SEARCH("Aplicar",$R532))+ISNUMBER(SEARCH("Razonar",$R532))),0)</f>
        <v/>
      </c>
      <c r="T532" s="39">
        <f>IFERROR(ISNUMBER(SEARCH("Aplicar",$R532))/(ISNUMBER(SEARCH("Conocer",$R532))+ISNUMBER(SEARCH("Aplicar",$R532))+ISNUMBER(SEARCH("Razonar",$R532))),0)</f>
        <v/>
      </c>
      <c r="U532" s="39">
        <f>IFERROR(ISNUMBER(SEARCH("Razonar",$R532))/(ISNUMBER(SEARCH("Conocer",$R532))+ISNUMBER(SEARCH("Aplicar",$R532))+ISNUMBER(SEARCH("Razonar",$R532))),0)</f>
        <v/>
      </c>
      <c r="V532" s="11" t="inlineStr">
        <is>
          <t>8°</t>
        </is>
      </c>
      <c r="W532" s="11" t="inlineStr">
        <is>
          <t>Ciclo 5°–8°</t>
        </is>
      </c>
      <c r="X532" s="11">
        <f>IF(OR(IFERROR(INDEX('Datos - Catálogo TIMSS'!$I$5:$I$107,MATCH(K532,'Datos - Catálogo TIMSS'!$A$5:$A$107,0)),"No")="Sí",IFERROR(INDEX('Datos - Catálogo TIMSS'!$I$5:$I$107,MATCH(L532,'Datos - Catálogo TIMSS'!$A$5:$A$107,0)),"No")="Sí"),1,0)</f>
        <v/>
      </c>
      <c r="Y532" s="11">
        <f>IF(IFERROR(INDEX('Datos - Catálogo TIMSS'!$J$5:$J$107,MATCH(K532,'Datos - Catálogo TIMSS'!$A$5:$A$107,0)),"No")="Sí",1,0)</f>
        <v/>
      </c>
      <c r="Z532" s="11">
        <f>IF(IFERROR(INDEX('Datos - Catálogo TIMSS'!$J$5:$J$107,MATCH(L532,'Datos - Catálogo TIMSS'!$A$5:$A$107,0)),"No")="Sí",1,0)</f>
        <v/>
      </c>
      <c r="AA532" s="11" t="inlineStr">
        <is>
          <t>T8-B1.2</t>
        </is>
      </c>
      <c r="AB532" s="11" t="inlineStr"/>
      <c r="AC532" s="11">
        <f>IF(AA532="FUERA","Fuera del marco",IF(AA532="N/A","Sin marco",IFERROR(INDEX('Datos - TIMSS 2023'!$C$5:$C$105,MATCH(AA532,'Datos - TIMSS 2023'!$A$5:$A$105,0)),"Pendiente de clasificar")))</f>
        <v/>
      </c>
      <c r="AD532" s="11" t="inlineStr">
        <is>
          <t>2. Construir y evaluar diseños para la indagación científica e interpretar datos y evidencia de forma crítica</t>
        </is>
      </c>
      <c r="AE532" s="11">
        <f>IF(AD532="","",IF(LEFT(AD532,1)="1","C1",IF(LEFT(AD532,1)="2","C2",IF(LEFT(AD532,1)="3","C3",""))))</f>
        <v/>
      </c>
      <c r="AF532" s="11" t="inlineStr">
        <is>
          <t>E1</t>
        </is>
      </c>
      <c r="AG532" s="11" t="inlineStr">
        <is>
          <t>E3</t>
        </is>
      </c>
      <c r="AH532" s="11" t="inlineStr">
        <is>
          <t>E1</t>
        </is>
      </c>
      <c r="AI532" s="11" t="inlineStr">
        <is>
          <t>D4</t>
        </is>
      </c>
      <c r="AJ532" s="11" t="inlineStr">
        <is>
          <t>E1</t>
        </is>
      </c>
      <c r="AK532" s="11" t="inlineStr">
        <is>
          <t>PISA-V4</t>
        </is>
      </c>
      <c r="AL532" s="11" t="n"/>
      <c r="AM532" s="11">
        <f>IF(AK532="FUERA","Fuera del marco",IFERROR(INDEX('Datos - Catálogo PISA'!$C$5:$C$76,MATCH(AK532,'Datos - Catálogo PISA'!$A$5:$A$76,0)),"?"))</f>
        <v/>
      </c>
      <c r="AN532" s="11" t="inlineStr">
        <is>
          <t>Contenido</t>
        </is>
      </c>
      <c r="AO532" s="11" t="n"/>
      <c r="AP532" s="11" t="inlineStr">
        <is>
          <t>PISA-EP4;</t>
        </is>
      </c>
      <c r="AQ532" s="11" t="inlineStr">
        <is>
          <t>Sin contexto</t>
        </is>
      </c>
      <c r="AR532" s="11" t="n"/>
      <c r="AS532" s="11" t="inlineStr">
        <is>
          <t>Media</t>
        </is>
      </c>
      <c r="AT532" s="11" t="inlineStr">
        <is>
          <t>alta</t>
        </is>
      </c>
      <c r="AU532" s="11" t="inlineStr">
        <is>
          <t>Simulación de digestión química y mecánica</t>
        </is>
      </c>
      <c r="AV532" s="11" t="inlineStr">
        <is>
          <t>Ciclo 7°–9°</t>
        </is>
      </c>
      <c r="AW532" s="11">
        <f>AF532&amp;"; "&amp;AG532&amp;"; "&amp;AH532&amp;"; "&amp;AI532&amp;"; "&amp;AJ532</f>
        <v/>
      </c>
    </row>
    <row r="533">
      <c r="A533" s="11" t="inlineStr">
        <is>
          <t>T1167-G08-CIE</t>
        </is>
      </c>
      <c r="B533" s="11" t="n">
        <v>8</v>
      </c>
      <c r="C533" s="11" t="inlineStr">
        <is>
          <t>Ciencias</t>
        </is>
      </c>
      <c r="D533" s="11" t="inlineStr">
        <is>
          <t>Matriz_Ciencias_8vo_Grado_U1_U7.xlsx</t>
        </is>
      </c>
      <c r="E533" s="11" t="inlineStr">
        <is>
          <t>Unidad 7 - Anatomía y Fisiologí</t>
        </is>
      </c>
      <c r="F533" s="11" t="n">
        <v>14</v>
      </c>
      <c r="G533" s="11" t="inlineStr">
        <is>
          <t>7. Anatomía y Fisiología Animal</t>
        </is>
      </c>
      <c r="H533" s="11" t="inlineStr">
        <is>
          <t>Sistemas digestivos</t>
        </is>
      </c>
      <c r="I533" s="38" t="inlineStr">
        <is>
          <t>7.12. Modelaje de la ingestión y la digestión en diferentes grupos de vertebrados.</t>
        </is>
      </c>
      <c r="J533" s="11" t="inlineStr">
        <is>
          <t>T8_27</t>
        </is>
      </c>
      <c r="K533" s="11" t="inlineStr">
        <is>
          <t>T8_27-B1.2</t>
        </is>
      </c>
      <c r="L533" s="11" t="inlineStr"/>
      <c r="M533" s="11">
        <f>IF(K533="FUERA","Fuera del marco",IF(K533="N/A","Sin marco",IFERROR(INDEX('Datos - Catálogo TIMSS'!$C$5:$C$107,MATCH(K533,'Datos - Catálogo TIMSS'!$A$5:$A$107,0)),"Pendiente de clasificar")))</f>
        <v/>
      </c>
      <c r="N533" s="11">
        <f>IF(K533="FUERA","Fuera del marco",IF(K533="N/A","Sin marco",IFERROR(INDEX('Datos - Catálogo TIMSS'!$F$5:$F$107,MATCH(K533,'Datos - Catálogo TIMSS'!$A$5:$A$107,0)),"Pendiente de clasificar")))</f>
        <v/>
      </c>
      <c r="O533" s="11">
        <f>IF(L533="","",IFERROR(INDEX('Datos - Catálogo TIMSS'!$C$5:$C$107,MATCH(L533,'Datos - Catálogo TIMSS'!$A$5:$A$107,0)),"?"))</f>
        <v/>
      </c>
      <c r="P533" s="11" t="inlineStr">
        <is>
          <t>alta</t>
        </is>
      </c>
      <c r="Q533" s="38" t="inlineStr">
        <is>
          <t>Comparar ingestión y digestión en vertebrados</t>
        </is>
      </c>
      <c r="R533" s="38" t="inlineStr">
        <is>
          <t>Aplicar: construir modelos</t>
        </is>
      </c>
      <c r="S533" s="39">
        <f>IFERROR(ISNUMBER(SEARCH("Conocer",$R533))/(ISNUMBER(SEARCH("Conocer",$R533))+ISNUMBER(SEARCH("Aplicar",$R533))+ISNUMBER(SEARCH("Razonar",$R533))),0)</f>
        <v/>
      </c>
      <c r="T533" s="39">
        <f>IFERROR(ISNUMBER(SEARCH("Aplicar",$R533))/(ISNUMBER(SEARCH("Conocer",$R533))+ISNUMBER(SEARCH("Aplicar",$R533))+ISNUMBER(SEARCH("Razonar",$R533))),0)</f>
        <v/>
      </c>
      <c r="U533" s="39">
        <f>IFERROR(ISNUMBER(SEARCH("Razonar",$R533))/(ISNUMBER(SEARCH("Conocer",$R533))+ISNUMBER(SEARCH("Aplicar",$R533))+ISNUMBER(SEARCH("Razonar",$R533))),0)</f>
        <v/>
      </c>
      <c r="V533" s="11" t="inlineStr">
        <is>
          <t>8°</t>
        </is>
      </c>
      <c r="W533" s="11" t="inlineStr">
        <is>
          <t>Ciclo 5°–8°</t>
        </is>
      </c>
      <c r="X533" s="11">
        <f>IF(OR(IFERROR(INDEX('Datos - Catálogo TIMSS'!$I$5:$I$107,MATCH(K533,'Datos - Catálogo TIMSS'!$A$5:$A$107,0)),"No")="Sí",IFERROR(INDEX('Datos - Catálogo TIMSS'!$I$5:$I$107,MATCH(L533,'Datos - Catálogo TIMSS'!$A$5:$A$107,0)),"No")="Sí"),1,0)</f>
        <v/>
      </c>
      <c r="Y533" s="11">
        <f>IF(IFERROR(INDEX('Datos - Catálogo TIMSS'!$J$5:$J$107,MATCH(K533,'Datos - Catálogo TIMSS'!$A$5:$A$107,0)),"No")="Sí",1,0)</f>
        <v/>
      </c>
      <c r="Z533" s="11">
        <f>IF(IFERROR(INDEX('Datos - Catálogo TIMSS'!$J$5:$J$107,MATCH(L533,'Datos - Catálogo TIMSS'!$A$5:$A$107,0)),"No")="Sí",1,0)</f>
        <v/>
      </c>
      <c r="AA533" s="11" t="inlineStr">
        <is>
          <t>T8-B1.2</t>
        </is>
      </c>
      <c r="AB533" s="11" t="inlineStr"/>
      <c r="AC533" s="11">
        <f>IF(AA533="FUERA","Fuera del marco",IF(AA533="N/A","Sin marco",IFERROR(INDEX('Datos - TIMSS 2023'!$C$5:$C$105,MATCH(AA533,'Datos - TIMSS 2023'!$A$5:$A$105,0)),"Pendiente de clasificar")))</f>
        <v/>
      </c>
      <c r="AD533" s="11" t="inlineStr">
        <is>
          <t>1. Explicar fenómenos científicamente</t>
        </is>
      </c>
      <c r="AE533" s="11">
        <f>IF(AD533="","",IF(LEFT(AD533,1)="1","C1",IF(LEFT(AD533,1)="2","C2",IF(LEFT(AD533,1)="3","C3",""))))</f>
        <v/>
      </c>
      <c r="AF533" s="11" t="inlineStr">
        <is>
          <t>E1</t>
        </is>
      </c>
      <c r="AG533" s="11" t="inlineStr">
        <is>
          <t>D1</t>
        </is>
      </c>
      <c r="AH533" s="11" t="inlineStr">
        <is>
          <t>E4</t>
        </is>
      </c>
      <c r="AI533" s="11" t="inlineStr">
        <is>
          <t>D4</t>
        </is>
      </c>
      <c r="AJ533" s="11" t="inlineStr">
        <is>
          <t>E1</t>
        </is>
      </c>
      <c r="AK533" s="11" t="inlineStr">
        <is>
          <t>PISA-V4</t>
        </is>
      </c>
      <c r="AL533" s="11" t="n"/>
      <c r="AM533" s="11">
        <f>IF(AK533="FUERA","Fuera del marco",IFERROR(INDEX('Datos - Catálogo PISA'!$C$5:$C$76,MATCH(AK533,'Datos - Catálogo PISA'!$A$5:$A$76,0)),"?"))</f>
        <v/>
      </c>
      <c r="AN533" s="11" t="inlineStr">
        <is>
          <t>Contenido</t>
        </is>
      </c>
      <c r="AO533" s="11" t="n"/>
      <c r="AP533" s="11" t="inlineStr">
        <is>
          <t>PISA-EP4;</t>
        </is>
      </c>
      <c r="AQ533" s="11" t="inlineStr">
        <is>
          <t>Sin contexto</t>
        </is>
      </c>
      <c r="AR533" s="11" t="n"/>
      <c r="AS533" s="11" t="inlineStr">
        <is>
          <t>Media</t>
        </is>
      </c>
      <c r="AT533" s="11" t="inlineStr">
        <is>
          <t>alta</t>
        </is>
      </c>
      <c r="AU533" s="11" t="inlineStr">
        <is>
          <t>Modelos comparativos de digestión en vertebrados</t>
        </is>
      </c>
      <c r="AV533" s="11" t="inlineStr">
        <is>
          <t>Ciclo 7°–9°</t>
        </is>
      </c>
      <c r="AW533" s="11">
        <f>AF533&amp;"; "&amp;AG533&amp;"; "&amp;AH533&amp;"; "&amp;AI533&amp;"; "&amp;AJ533</f>
        <v/>
      </c>
    </row>
    <row r="534">
      <c r="A534" s="11" t="inlineStr">
        <is>
          <t>T1168-G08-CIE</t>
        </is>
      </c>
      <c r="B534" s="11" t="n">
        <v>8</v>
      </c>
      <c r="C534" s="11" t="inlineStr">
        <is>
          <t>Ciencias</t>
        </is>
      </c>
      <c r="D534" s="11" t="inlineStr">
        <is>
          <t>Matriz_Ciencias_8vo_Grado_U1_U7.xlsx</t>
        </is>
      </c>
      <c r="E534" s="11" t="inlineStr">
        <is>
          <t>Unidad 7 - Anatomía y Fisiologí</t>
        </is>
      </c>
      <c r="F534" s="11" t="n">
        <v>15</v>
      </c>
      <c r="G534" s="11" t="inlineStr">
        <is>
          <t>7. Anatomía y Fisiología Animal</t>
        </is>
      </c>
      <c r="H534" s="11" t="inlineStr">
        <is>
          <t>Estructuras y sistemas excretores</t>
        </is>
      </c>
      <c r="I534" s="38" t="inlineStr">
        <is>
          <t>7.13. Indagación de los procesos generales que realizan los sistemas excretores.</t>
        </is>
      </c>
      <c r="J534" s="11" t="inlineStr">
        <is>
          <t>T8_27</t>
        </is>
      </c>
      <c r="K534" s="11" t="inlineStr">
        <is>
          <t>T8_27-B1.2</t>
        </is>
      </c>
      <c r="L534" s="11" t="inlineStr">
        <is>
          <t>T8_27-B1.3</t>
        </is>
      </c>
      <c r="M534" s="11">
        <f>IF(K534="FUERA","Fuera del marco",IF(K534="N/A","Sin marco",IFERROR(INDEX('Datos - Catálogo TIMSS'!$C$5:$C$107,MATCH(K534,'Datos - Catálogo TIMSS'!$A$5:$A$107,0)),"Pendiente de clasificar")))</f>
        <v/>
      </c>
      <c r="N534" s="11">
        <f>IF(K534="FUERA","Fuera del marco",IF(K534="N/A","Sin marco",IFERROR(INDEX('Datos - Catálogo TIMSS'!$F$5:$F$107,MATCH(K534,'Datos - Catálogo TIMSS'!$A$5:$A$107,0)),"Pendiente de clasificar")))</f>
        <v/>
      </c>
      <c r="O534" s="11">
        <f>IF(L534="","",IFERROR(INDEX('Datos - Catálogo TIMSS'!$C$5:$C$107,MATCH(L534,'Datos - Catálogo TIMSS'!$A$5:$A$107,0)),"?"))</f>
        <v/>
      </c>
      <c r="P534" s="11" t="inlineStr">
        <is>
          <t>media</t>
        </is>
      </c>
      <c r="Q534" s="38" t="inlineStr">
        <is>
          <t>Sistemas excretores y osmorregulación: órganos y homeostasis</t>
        </is>
      </c>
      <c r="R534" s="38" t="inlineStr">
        <is>
          <t>Conocer: ejemplificar</t>
        </is>
      </c>
      <c r="S534" s="39">
        <f>IFERROR(ISNUMBER(SEARCH("Conocer",$R534))/(ISNUMBER(SEARCH("Conocer",$R534))+ISNUMBER(SEARCH("Aplicar",$R534))+ISNUMBER(SEARCH("Razonar",$R534))),0)</f>
        <v/>
      </c>
      <c r="T534" s="39">
        <f>IFERROR(ISNUMBER(SEARCH("Aplicar",$R534))/(ISNUMBER(SEARCH("Conocer",$R534))+ISNUMBER(SEARCH("Aplicar",$R534))+ISNUMBER(SEARCH("Razonar",$R534))),0)</f>
        <v/>
      </c>
      <c r="U534" s="39">
        <f>IFERROR(ISNUMBER(SEARCH("Razonar",$R534))/(ISNUMBER(SEARCH("Conocer",$R534))+ISNUMBER(SEARCH("Aplicar",$R534))+ISNUMBER(SEARCH("Razonar",$R534))),0)</f>
        <v/>
      </c>
      <c r="V534" s="11" t="inlineStr">
        <is>
          <t>8°</t>
        </is>
      </c>
      <c r="W534" s="11" t="inlineStr">
        <is>
          <t>Ciclo 5°–8°</t>
        </is>
      </c>
      <c r="X534" s="11">
        <f>IF(OR(IFERROR(INDEX('Datos - Catálogo TIMSS'!$I$5:$I$107,MATCH(K534,'Datos - Catálogo TIMSS'!$A$5:$A$107,0)),"No")="Sí",IFERROR(INDEX('Datos - Catálogo TIMSS'!$I$5:$I$107,MATCH(L534,'Datos - Catálogo TIMSS'!$A$5:$A$107,0)),"No")="Sí"),1,0)</f>
        <v/>
      </c>
      <c r="Y534" s="11">
        <f>IF(IFERROR(INDEX('Datos - Catálogo TIMSS'!$J$5:$J$107,MATCH(K534,'Datos - Catálogo TIMSS'!$A$5:$A$107,0)),"No")="Sí",1,0)</f>
        <v/>
      </c>
      <c r="Z534" s="11">
        <f>IF(IFERROR(INDEX('Datos - Catálogo TIMSS'!$J$5:$J$107,MATCH(L534,'Datos - Catálogo TIMSS'!$A$5:$A$107,0)),"No")="Sí",1,0)</f>
        <v/>
      </c>
      <c r="AA534" s="11" t="inlineStr">
        <is>
          <t>T8-B1.2</t>
        </is>
      </c>
      <c r="AB534" s="11" t="inlineStr">
        <is>
          <t>T8-B1.3</t>
        </is>
      </c>
      <c r="AC534" s="11">
        <f>IF(AA534="FUERA","Fuera del marco",IF(AA534="N/A","Sin marco",IFERROR(INDEX('Datos - TIMSS 2023'!$C$5:$C$105,MATCH(AA534,'Datos - TIMSS 2023'!$A$5:$A$105,0)),"Pendiente de clasificar")))</f>
        <v/>
      </c>
      <c r="AD534" s="11" t="inlineStr">
        <is>
          <t>1. Explicar fenómenos científicamente</t>
        </is>
      </c>
      <c r="AE534" s="11">
        <f>IF(AD534="","",IF(LEFT(AD534,1)="1","C1",IF(LEFT(AD534,1)="2","C2",IF(LEFT(AD534,1)="3","C3",""))))</f>
        <v/>
      </c>
      <c r="AF534" s="11" t="inlineStr">
        <is>
          <t>E1</t>
        </is>
      </c>
      <c r="AG534" s="11" t="inlineStr">
        <is>
          <t>D1</t>
        </is>
      </c>
      <c r="AH534" s="11" t="inlineStr">
        <is>
          <t>E1</t>
        </is>
      </c>
      <c r="AI534" s="11" t="inlineStr">
        <is>
          <t>D4</t>
        </is>
      </c>
      <c r="AJ534" s="11" t="inlineStr">
        <is>
          <t>E6</t>
        </is>
      </c>
      <c r="AK534" s="11" t="inlineStr">
        <is>
          <t>PISA-V4</t>
        </is>
      </c>
      <c r="AL534" s="11" t="n"/>
      <c r="AM534" s="11">
        <f>IF(AK534="FUERA","Fuera del marco",IFERROR(INDEX('Datos - Catálogo PISA'!$C$5:$C$76,MATCH(AK534,'Datos - Catálogo PISA'!$A$5:$A$76,0)),"?"))</f>
        <v/>
      </c>
      <c r="AN534" s="11" t="inlineStr">
        <is>
          <t>Contenido</t>
        </is>
      </c>
      <c r="AO534" s="11" t="n"/>
      <c r="AP534" s="11" t="n"/>
      <c r="AQ534" s="11" t="inlineStr">
        <is>
          <t>Sin contexto</t>
        </is>
      </c>
      <c r="AR534" s="11" t="n"/>
      <c r="AS534" s="11" t="inlineStr">
        <is>
          <t>Baja</t>
        </is>
      </c>
      <c r="AT534" s="11" t="inlineStr">
        <is>
          <t>alta</t>
        </is>
      </c>
      <c r="AU534" s="11" t="inlineStr">
        <is>
          <t>Procesos generales de sistemas excretores</t>
        </is>
      </c>
      <c r="AV534" s="11" t="inlineStr">
        <is>
          <t>Ciclo 7°–9°</t>
        </is>
      </c>
      <c r="AW534" s="11">
        <f>AF534&amp;"; "&amp;AG534&amp;"; "&amp;AH534&amp;"; "&amp;AI534&amp;"; "&amp;AJ534</f>
        <v/>
      </c>
    </row>
    <row r="535">
      <c r="A535" s="11" t="inlineStr">
        <is>
          <t>T1169-G08-CIE</t>
        </is>
      </c>
      <c r="B535" s="11" t="n">
        <v>8</v>
      </c>
      <c r="C535" s="11" t="inlineStr">
        <is>
          <t>Ciencias</t>
        </is>
      </c>
      <c r="D535" s="11" t="inlineStr">
        <is>
          <t>Matriz_Ciencias_8vo_Grado_U1_U7.xlsx</t>
        </is>
      </c>
      <c r="E535" s="11" t="inlineStr">
        <is>
          <t>Unidad 7 - Anatomía y Fisiologí</t>
        </is>
      </c>
      <c r="F535" s="11" t="n">
        <v>16</v>
      </c>
      <c r="G535" s="11" t="inlineStr">
        <is>
          <t>7. Anatomía y Fisiología Animal</t>
        </is>
      </c>
      <c r="H535" s="11" t="inlineStr">
        <is>
          <t>Estructuras y sistemas excretores</t>
        </is>
      </c>
      <c r="I535" s="38" t="inlineStr">
        <is>
          <t>7.14. Experimentación de la función renal.</t>
        </is>
      </c>
      <c r="J535" s="11" t="inlineStr">
        <is>
          <t>T8_27</t>
        </is>
      </c>
      <c r="K535" s="11" t="inlineStr">
        <is>
          <t>T8_27-B1.2</t>
        </is>
      </c>
      <c r="L535" s="11" t="inlineStr">
        <is>
          <t>T8_27-B1.3</t>
        </is>
      </c>
      <c r="M535" s="11">
        <f>IF(K535="FUERA","Fuera del marco",IF(K535="N/A","Sin marco",IFERROR(INDEX('Datos - Catálogo TIMSS'!$C$5:$C$107,MATCH(K535,'Datos - Catálogo TIMSS'!$A$5:$A$107,0)),"Pendiente de clasificar")))</f>
        <v/>
      </c>
      <c r="N535" s="11">
        <f>IF(K535="FUERA","Fuera del marco",IF(K535="N/A","Sin marco",IFERROR(INDEX('Datos - Catálogo TIMSS'!$F$5:$F$107,MATCH(K535,'Datos - Catálogo TIMSS'!$A$5:$A$107,0)),"Pendiente de clasificar")))</f>
        <v/>
      </c>
      <c r="O535" s="11">
        <f>IF(L535="","",IFERROR(INDEX('Datos - Catálogo TIMSS'!$C$5:$C$107,MATCH(L535,'Datos - Catálogo TIMSS'!$A$5:$A$107,0)),"?"))</f>
        <v/>
      </c>
      <c r="P535" s="11" t="inlineStr">
        <is>
          <t>media</t>
        </is>
      </c>
      <c r="Q535" s="38" t="inlineStr">
        <is>
          <t>Función renal: órgano excretor y mantenimiento de condiciones estables</t>
        </is>
      </c>
      <c r="R535" s="38" t="inlineStr">
        <is>
          <t>Aplicar: usar modelos</t>
        </is>
      </c>
      <c r="S535" s="39">
        <f>IFERROR(ISNUMBER(SEARCH("Conocer",$R535))/(ISNUMBER(SEARCH("Conocer",$R535))+ISNUMBER(SEARCH("Aplicar",$R535))+ISNUMBER(SEARCH("Razonar",$R535))),0)</f>
        <v/>
      </c>
      <c r="T535" s="39">
        <f>IFERROR(ISNUMBER(SEARCH("Aplicar",$R535))/(ISNUMBER(SEARCH("Conocer",$R535))+ISNUMBER(SEARCH("Aplicar",$R535))+ISNUMBER(SEARCH("Razonar",$R535))),0)</f>
        <v/>
      </c>
      <c r="U535" s="39">
        <f>IFERROR(ISNUMBER(SEARCH("Razonar",$R535))/(ISNUMBER(SEARCH("Conocer",$R535))+ISNUMBER(SEARCH("Aplicar",$R535))+ISNUMBER(SEARCH("Razonar",$R535))),0)</f>
        <v/>
      </c>
      <c r="V535" s="11" t="inlineStr">
        <is>
          <t>8°</t>
        </is>
      </c>
      <c r="W535" s="11" t="inlineStr">
        <is>
          <t>Ciclo 5°–8°</t>
        </is>
      </c>
      <c r="X535" s="11">
        <f>IF(OR(IFERROR(INDEX('Datos - Catálogo TIMSS'!$I$5:$I$107,MATCH(K535,'Datos - Catálogo TIMSS'!$A$5:$A$107,0)),"No")="Sí",IFERROR(INDEX('Datos - Catálogo TIMSS'!$I$5:$I$107,MATCH(L535,'Datos - Catálogo TIMSS'!$A$5:$A$107,0)),"No")="Sí"),1,0)</f>
        <v/>
      </c>
      <c r="Y535" s="11">
        <f>IF(IFERROR(INDEX('Datos - Catálogo TIMSS'!$J$5:$J$107,MATCH(K535,'Datos - Catálogo TIMSS'!$A$5:$A$107,0)),"No")="Sí",1,0)</f>
        <v/>
      </c>
      <c r="Z535" s="11">
        <f>IF(IFERROR(INDEX('Datos - Catálogo TIMSS'!$J$5:$J$107,MATCH(L535,'Datos - Catálogo TIMSS'!$A$5:$A$107,0)),"No")="Sí",1,0)</f>
        <v/>
      </c>
      <c r="AA535" s="11" t="inlineStr">
        <is>
          <t>T8-B1.2</t>
        </is>
      </c>
      <c r="AB535" s="11" t="inlineStr">
        <is>
          <t>T8-B1.3</t>
        </is>
      </c>
      <c r="AC535" s="11">
        <f>IF(AA535="FUERA","Fuera del marco",IF(AA535="N/A","Sin marco",IFERROR(INDEX('Datos - TIMSS 2023'!$C$5:$C$105,MATCH(AA535,'Datos - TIMSS 2023'!$A$5:$A$105,0)),"Pendiente de clasificar")))</f>
        <v/>
      </c>
      <c r="AD535" s="11" t="inlineStr">
        <is>
          <t>2. Construir y evaluar diseños para la indagación científica e interpretar datos y evidencia de forma crítica</t>
        </is>
      </c>
      <c r="AE535" s="11">
        <f>IF(AD535="","",IF(LEFT(AD535,1)="1","C1",IF(LEFT(AD535,1)="2","C2",IF(LEFT(AD535,1)="3","C3",""))))</f>
        <v/>
      </c>
      <c r="AF535" s="11" t="inlineStr">
        <is>
          <t>E1</t>
        </is>
      </c>
      <c r="AG535" s="11" t="inlineStr">
        <is>
          <t>D1</t>
        </is>
      </c>
      <c r="AH535" s="11" t="inlineStr">
        <is>
          <t>E4</t>
        </is>
      </c>
      <c r="AI535" s="11" t="inlineStr">
        <is>
          <t>D4</t>
        </is>
      </c>
      <c r="AJ535" s="11" t="inlineStr">
        <is>
          <t>E6</t>
        </is>
      </c>
      <c r="AK535" s="11" t="inlineStr">
        <is>
          <t>PISA-V4</t>
        </is>
      </c>
      <c r="AL535" s="11" t="n"/>
      <c r="AM535" s="11">
        <f>IF(AK535="FUERA","Fuera del marco",IFERROR(INDEX('Datos - Catálogo PISA'!$C$5:$C$76,MATCH(AK535,'Datos - Catálogo PISA'!$A$5:$A$76,0)),"?"))</f>
        <v/>
      </c>
      <c r="AN535" s="11" t="inlineStr">
        <is>
          <t>Contenido</t>
        </is>
      </c>
      <c r="AO535" s="11" t="n"/>
      <c r="AP535" s="11" t="inlineStr">
        <is>
          <t>PISA-EP4; PISA-EP7;</t>
        </is>
      </c>
      <c r="AQ535" s="11" t="inlineStr">
        <is>
          <t>Sin contexto</t>
        </is>
      </c>
      <c r="AR535" s="11" t="n"/>
      <c r="AS535" s="11" t="inlineStr">
        <is>
          <t>Media</t>
        </is>
      </c>
      <c r="AT535" s="11" t="inlineStr">
        <is>
          <t>alta</t>
        </is>
      </c>
      <c r="AU535" s="11" t="inlineStr">
        <is>
          <t>Simulación de la función renal y sus limitaciones</t>
        </is>
      </c>
      <c r="AV535" s="11" t="inlineStr">
        <is>
          <t>Ciclo 7°–9°</t>
        </is>
      </c>
      <c r="AW535" s="11">
        <f>AF535&amp;"; "&amp;AG535&amp;"; "&amp;AH535&amp;"; "&amp;AI535&amp;"; "&amp;AJ535</f>
        <v/>
      </c>
    </row>
    <row r="536">
      <c r="A536" s="11" t="inlineStr">
        <is>
          <t>T1170-G08-CIE</t>
        </is>
      </c>
      <c r="B536" s="11" t="n">
        <v>8</v>
      </c>
      <c r="C536" s="11" t="inlineStr">
        <is>
          <t>Ciencias</t>
        </is>
      </c>
      <c r="D536" s="11" t="inlineStr">
        <is>
          <t>Matriz_Ciencias_8vo_Grado_U1_U7.xlsx</t>
        </is>
      </c>
      <c r="E536" s="11" t="inlineStr">
        <is>
          <t>Unidad 7 - Anatomía y Fisiologí</t>
        </is>
      </c>
      <c r="F536" s="11" t="n">
        <v>17</v>
      </c>
      <c r="G536" s="11" t="inlineStr">
        <is>
          <t>7. Anatomía y Fisiología Animal</t>
        </is>
      </c>
      <c r="H536" s="11" t="inlineStr">
        <is>
          <t>Estructuras y sistemas excretores</t>
        </is>
      </c>
      <c r="I536" s="38" t="inlineStr">
        <is>
          <t>7.15. Reconocimiento de los diferentes mecanismos de excreción en animales.</t>
        </is>
      </c>
      <c r="J536" s="11" t="inlineStr">
        <is>
          <t>T8_27</t>
        </is>
      </c>
      <c r="K536" s="11" t="inlineStr">
        <is>
          <t>T8_27-B1.2</t>
        </is>
      </c>
      <c r="L536" s="11" t="inlineStr"/>
      <c r="M536" s="11">
        <f>IF(K536="FUERA","Fuera del marco",IF(K536="N/A","Sin marco",IFERROR(INDEX('Datos - Catálogo TIMSS'!$C$5:$C$107,MATCH(K536,'Datos - Catálogo TIMSS'!$A$5:$A$107,0)),"Pendiente de clasificar")))</f>
        <v/>
      </c>
      <c r="N536" s="11">
        <f>IF(K536="FUERA","Fuera del marco",IF(K536="N/A","Sin marco",IFERROR(INDEX('Datos - Catálogo TIMSS'!$F$5:$F$107,MATCH(K536,'Datos - Catálogo TIMSS'!$A$5:$A$107,0)),"Pendiente de clasificar")))</f>
        <v/>
      </c>
      <c r="O536" s="11">
        <f>IF(L536="","",IFERROR(INDEX('Datos - Catálogo TIMSS'!$C$5:$C$107,MATCH(L536,'Datos - Catálogo TIMSS'!$A$5:$A$107,0)),"?"))</f>
        <v/>
      </c>
      <c r="P536" s="11" t="inlineStr">
        <is>
          <t>alta</t>
        </is>
      </c>
      <c r="Q536" s="38" t="inlineStr">
        <is>
          <t>Mecanismos de excreción en animales: órganos y sistemas</t>
        </is>
      </c>
      <c r="R536" s="38" t="inlineStr">
        <is>
          <t>Aplicar: clasificar</t>
        </is>
      </c>
      <c r="S536" s="39">
        <f>IFERROR(ISNUMBER(SEARCH("Conocer",$R536))/(ISNUMBER(SEARCH("Conocer",$R536))+ISNUMBER(SEARCH("Aplicar",$R536))+ISNUMBER(SEARCH("Razonar",$R536))),0)</f>
        <v/>
      </c>
      <c r="T536" s="39">
        <f>IFERROR(ISNUMBER(SEARCH("Aplicar",$R536))/(ISNUMBER(SEARCH("Conocer",$R536))+ISNUMBER(SEARCH("Aplicar",$R536))+ISNUMBER(SEARCH("Razonar",$R536))),0)</f>
        <v/>
      </c>
      <c r="U536" s="39">
        <f>IFERROR(ISNUMBER(SEARCH("Razonar",$R536))/(ISNUMBER(SEARCH("Conocer",$R536))+ISNUMBER(SEARCH("Aplicar",$R536))+ISNUMBER(SEARCH("Razonar",$R536))),0)</f>
        <v/>
      </c>
      <c r="V536" s="11" t="inlineStr">
        <is>
          <t>8°</t>
        </is>
      </c>
      <c r="W536" s="11" t="inlineStr">
        <is>
          <t>Ciclo 5°–8°</t>
        </is>
      </c>
      <c r="X536" s="11">
        <f>IF(OR(IFERROR(INDEX('Datos - Catálogo TIMSS'!$I$5:$I$107,MATCH(K536,'Datos - Catálogo TIMSS'!$A$5:$A$107,0)),"No")="Sí",IFERROR(INDEX('Datos - Catálogo TIMSS'!$I$5:$I$107,MATCH(L536,'Datos - Catálogo TIMSS'!$A$5:$A$107,0)),"No")="Sí"),1,0)</f>
        <v/>
      </c>
      <c r="Y536" s="11">
        <f>IF(IFERROR(INDEX('Datos - Catálogo TIMSS'!$J$5:$J$107,MATCH(K536,'Datos - Catálogo TIMSS'!$A$5:$A$107,0)),"No")="Sí",1,0)</f>
        <v/>
      </c>
      <c r="Z536" s="11">
        <f>IF(IFERROR(INDEX('Datos - Catálogo TIMSS'!$J$5:$J$107,MATCH(L536,'Datos - Catálogo TIMSS'!$A$5:$A$107,0)),"No")="Sí",1,0)</f>
        <v/>
      </c>
      <c r="AA536" s="11" t="inlineStr">
        <is>
          <t>T8-B1.2</t>
        </is>
      </c>
      <c r="AB536" s="11" t="inlineStr"/>
      <c r="AC536" s="11">
        <f>IF(AA536="FUERA","Fuera del marco",IF(AA536="N/A","Sin marco",IFERROR(INDEX('Datos - TIMSS 2023'!$C$5:$C$105,MATCH(AA536,'Datos - TIMSS 2023'!$A$5:$A$105,0)),"Pendiente de clasificar")))</f>
        <v/>
      </c>
      <c r="AD536" s="11" t="inlineStr">
        <is>
          <t>1. Explicar fenómenos científicamente</t>
        </is>
      </c>
      <c r="AE536" s="11">
        <f>IF(AD536="","",IF(LEFT(AD536,1)="1","C1",IF(LEFT(AD536,1)="2","C2",IF(LEFT(AD536,1)="3","C3",""))))</f>
        <v/>
      </c>
      <c r="AF536" s="11" t="inlineStr">
        <is>
          <t>E1</t>
        </is>
      </c>
      <c r="AG536" s="11" t="inlineStr">
        <is>
          <t>D1</t>
        </is>
      </c>
      <c r="AH536" s="11" t="inlineStr">
        <is>
          <t>E1</t>
        </is>
      </c>
      <c r="AI536" s="11" t="inlineStr">
        <is>
          <t>D4</t>
        </is>
      </c>
      <c r="AJ536" s="11" t="inlineStr">
        <is>
          <t>E1</t>
        </is>
      </c>
      <c r="AK536" s="11" t="inlineStr">
        <is>
          <t>PISA-V4</t>
        </is>
      </c>
      <c r="AL536" s="11" t="n"/>
      <c r="AM536" s="11">
        <f>IF(AK536="FUERA","Fuera del marco",IFERROR(INDEX('Datos - Catálogo PISA'!$C$5:$C$76,MATCH(AK536,'Datos - Catálogo PISA'!$A$5:$A$76,0)),"?"))</f>
        <v/>
      </c>
      <c r="AN536" s="11" t="inlineStr">
        <is>
          <t>Contenido</t>
        </is>
      </c>
      <c r="AO536" s="11" t="n"/>
      <c r="AP536" s="11" t="n"/>
      <c r="AQ536" s="11" t="inlineStr">
        <is>
          <t>Sin contexto</t>
        </is>
      </c>
      <c r="AR536" s="11" t="n"/>
      <c r="AS536" s="11" t="inlineStr">
        <is>
          <t>Baja</t>
        </is>
      </c>
      <c r="AT536" s="11" t="inlineStr">
        <is>
          <t>alta</t>
        </is>
      </c>
      <c r="AU536" s="11" t="inlineStr">
        <is>
          <t>Mecanismos de excreción en animales</t>
        </is>
      </c>
      <c r="AV536" s="11" t="inlineStr">
        <is>
          <t>Ciclo 7°–9°</t>
        </is>
      </c>
      <c r="AW536" s="11">
        <f>AF536&amp;"; "&amp;AG536&amp;"; "&amp;AH536&amp;"; "&amp;AI536&amp;"; "&amp;AJ536</f>
        <v/>
      </c>
    </row>
    <row r="537">
      <c r="A537" s="11" t="inlineStr">
        <is>
          <t>T1171-G09-CIE</t>
        </is>
      </c>
      <c r="B537" s="11" t="n">
        <v>9</v>
      </c>
      <c r="C537" s="11" t="inlineStr">
        <is>
          <t>Ciencias</t>
        </is>
      </c>
      <c r="D537" s="11" t="inlineStr">
        <is>
          <t>Matriz_Ciencias_9no_Grado_U1_U7.xlsx</t>
        </is>
      </c>
      <c r="E537" s="11" t="inlineStr">
        <is>
          <t>Unidad 1 - Mecánica de fluidos</t>
        </is>
      </c>
      <c r="F537" s="11" t="n">
        <v>3</v>
      </c>
      <c r="G537" s="11" t="inlineStr">
        <is>
          <t>1. Mecánica de fluidos</t>
        </is>
      </c>
      <c r="H537" s="11" t="inlineStr">
        <is>
          <t>Principio de Arquímedes</t>
        </is>
      </c>
      <c r="I537" s="38" t="inlineStr">
        <is>
          <t>1.1. Determinación experimental de las propiedades de un fluido que ejerce empuje sobre un objeto.</t>
        </is>
      </c>
      <c r="J537" s="11" t="inlineStr">
        <is>
          <t>PISA</t>
        </is>
      </c>
      <c r="K537" s="11" t="inlineStr">
        <is>
          <t>T8_27-P5.3</t>
        </is>
      </c>
      <c r="L537" s="11" t="inlineStr">
        <is>
          <t>T8_27-P6.1</t>
        </is>
      </c>
      <c r="M537" s="11">
        <f>IF(K537="FUERA","Fuera del marco",IF(K537="N/A","Sin marco",IFERROR(INDEX('Datos - Catálogo TIMSS'!$C$5:$C$107,MATCH(K537,'Datos - Catálogo TIMSS'!$A$5:$A$107,0)),"Pendiente de clasificar")))</f>
        <v/>
      </c>
      <c r="N537" s="11">
        <f>IF(K537="FUERA","Fuera del marco",IF(K537="N/A","Sin marco",IFERROR(INDEX('Datos - Catálogo TIMSS'!$F$5:$F$107,MATCH(K537,'Datos - Catálogo TIMSS'!$A$5:$A$107,0)),"Pendiente de clasificar")))</f>
        <v/>
      </c>
      <c r="O537" s="11">
        <f>IF(L537="","",IFERROR(INDEX('Datos - Catálogo TIMSS'!$C$5:$C$107,MATCH(L537,'Datos - Catálogo TIMSS'!$A$5:$A$107,0)),"?"))</f>
        <v/>
      </c>
      <c r="P537" s="11" t="inlineStr">
        <is>
          <t>alta</t>
        </is>
      </c>
      <c r="Q537" s="38" t="inlineStr">
        <is>
          <t>Empuje y densidad medidos experimentalmente en dos fluidos</t>
        </is>
      </c>
      <c r="R537" s="38" t="inlineStr">
        <is>
          <t>Aplicar: medir y calcular. Razonar: comparar</t>
        </is>
      </c>
      <c r="S537" s="39">
        <f>IFERROR(ISNUMBER(SEARCH("Conocer",$R537))/(ISNUMBER(SEARCH("Conocer",$R537))+ISNUMBER(SEARCH("Aplicar",$R537))+ISNUMBER(SEARCH("Razonar",$R537))),0)</f>
        <v/>
      </c>
      <c r="T537" s="39">
        <f>IFERROR(ISNUMBER(SEARCH("Aplicar",$R537))/(ISNUMBER(SEARCH("Conocer",$R537))+ISNUMBER(SEARCH("Aplicar",$R537))+ISNUMBER(SEARCH("Razonar",$R537))),0)</f>
        <v/>
      </c>
      <c r="U537" s="39">
        <f>IFERROR(ISNUMBER(SEARCH("Razonar",$R537))/(ISNUMBER(SEARCH("Conocer",$R537))+ISNUMBER(SEARCH("Aplicar",$R537))+ISNUMBER(SEARCH("Razonar",$R537))),0)</f>
        <v/>
      </c>
      <c r="V537" s="11" t="inlineStr">
        <is>
          <t>9°</t>
        </is>
      </c>
      <c r="W537" s="11" t="inlineStr">
        <is>
          <t>9°</t>
        </is>
      </c>
      <c r="X537" s="11">
        <f>IF(OR(IFERROR(INDEX('Datos - Catálogo TIMSS'!$I$5:$I$107,MATCH(K537,'Datos - Catálogo TIMSS'!$A$5:$A$107,0)),"No")="Sí",IFERROR(INDEX('Datos - Catálogo TIMSS'!$I$5:$I$107,MATCH(L537,'Datos - Catálogo TIMSS'!$A$5:$A$107,0)),"No")="Sí"),1,0)</f>
        <v/>
      </c>
      <c r="Y537" s="11">
        <f>IF(IFERROR(INDEX('Datos - Catálogo TIMSS'!$J$5:$J$107,MATCH(K537,'Datos - Catálogo TIMSS'!$A$5:$A$107,0)),"No")="Sí",1,0)</f>
        <v/>
      </c>
      <c r="Z537" s="11">
        <f>IF(IFERROR(INDEX('Datos - Catálogo TIMSS'!$J$5:$J$107,MATCH(L537,'Datos - Catálogo TIMSS'!$A$5:$A$107,0)),"No")="Sí",1,0)</f>
        <v/>
      </c>
      <c r="AA537" s="11" t="inlineStr">
        <is>
          <t>T8-F5.3</t>
        </is>
      </c>
      <c r="AB537" s="11" t="inlineStr"/>
      <c r="AC537" s="11">
        <f>IF(AA537="FUERA","Fuera del marco",IF(AA537="N/A","Sin marco",IFERROR(INDEX('Datos - TIMSS 2023'!$C$5:$C$105,MATCH(AA537,'Datos - TIMSS 2023'!$A$5:$A$105,0)),"Pendiente de clasificar")))</f>
        <v/>
      </c>
      <c r="AD537" s="11" t="inlineStr">
        <is>
          <t>2. Construir y evaluar diseños para la indagación científica e interpretar datos y evidencia de forma crítica</t>
        </is>
      </c>
      <c r="AE537" s="11">
        <f>IF(AD537="","",IF(LEFT(AD537,1)="1","C1",IF(LEFT(AD537,1)="2","C2",IF(LEFT(AD537,1)="3","C3",""))))</f>
        <v/>
      </c>
      <c r="AF537" s="11" t="inlineStr">
        <is>
          <t>E1</t>
        </is>
      </c>
      <c r="AG537" s="11" t="inlineStr">
        <is>
          <t>D1</t>
        </is>
      </c>
      <c r="AH537" s="11" t="inlineStr">
        <is>
          <t>E1</t>
        </is>
      </c>
      <c r="AI537" s="11" t="inlineStr">
        <is>
          <t>D2</t>
        </is>
      </c>
      <c r="AJ537" s="11" t="inlineStr">
        <is>
          <t>E3</t>
        </is>
      </c>
      <c r="AK537" s="11" t="inlineStr">
        <is>
          <t>PISA-F3</t>
        </is>
      </c>
      <c r="AL537" s="11" t="inlineStr">
        <is>
          <t>PISA-F1</t>
        </is>
      </c>
      <c r="AM537" s="11">
        <f>IF(AK537="FUERA","Fuera del marco",IFERROR(INDEX('Datos - Catálogo PISA'!$C$5:$C$76,MATCH(AK537,'Datos - Catálogo PISA'!$A$5:$A$76,0)),"?"))</f>
        <v/>
      </c>
      <c r="AN537" s="11" t="inlineStr">
        <is>
          <t>Contenido</t>
        </is>
      </c>
      <c r="AO537" s="11" t="inlineStr">
        <is>
          <t>PISA-PR2;</t>
        </is>
      </c>
      <c r="AP537" s="11" t="n"/>
      <c r="AQ537" s="11" t="inlineStr">
        <is>
          <t>Sin contexto</t>
        </is>
      </c>
      <c r="AR537" s="11" t="n"/>
      <c r="AS537" s="11" t="inlineStr">
        <is>
          <t>Media</t>
        </is>
      </c>
      <c r="AT537" s="11" t="inlineStr">
        <is>
          <t>alta</t>
        </is>
      </c>
      <c r="AU537" s="11" t="inlineStr">
        <is>
          <t>Empuje como fuerza de un fluido; mide densidades de dos fluidos.</t>
        </is>
      </c>
      <c r="AV537" s="11" t="inlineStr">
        <is>
          <t>Ciclo 7°–9°</t>
        </is>
      </c>
      <c r="AW537" s="11">
        <f>AF537&amp;"; "&amp;AG537&amp;"; "&amp;AH537&amp;"; "&amp;AI537&amp;"; "&amp;AJ537</f>
        <v/>
      </c>
    </row>
    <row r="538">
      <c r="A538" s="11" t="inlineStr">
        <is>
          <t>T1172-G09-CIE</t>
        </is>
      </c>
      <c r="B538" s="11" t="n">
        <v>9</v>
      </c>
      <c r="C538" s="11" t="inlineStr">
        <is>
          <t>Ciencias</t>
        </is>
      </c>
      <c r="D538" s="11" t="inlineStr">
        <is>
          <t>Matriz_Ciencias_9no_Grado_U1_U7.xlsx</t>
        </is>
      </c>
      <c r="E538" s="11" t="inlineStr">
        <is>
          <t>Unidad 1 - Mecánica de fluidos</t>
        </is>
      </c>
      <c r="F538" s="11" t="n">
        <v>4</v>
      </c>
      <c r="G538" s="11" t="inlineStr">
        <is>
          <t>1. Mecánica de fluidos</t>
        </is>
      </c>
      <c r="H538" s="11" t="inlineStr">
        <is>
          <t>Principio de Arquímedes</t>
        </is>
      </c>
      <c r="I538" s="38" t="inlineStr">
        <is>
          <t>1.2. Cálculo experimental del peso aparente de un objeto sumergido en un líquido a partir del empuje.</t>
        </is>
      </c>
      <c r="J538" s="11" t="inlineStr">
        <is>
          <t>PISA</t>
        </is>
      </c>
      <c r="K538" s="11" t="inlineStr">
        <is>
          <t>T8_27-P5.3</t>
        </is>
      </c>
      <c r="L538" s="11" t="inlineStr">
        <is>
          <t>T8_27-P5.2</t>
        </is>
      </c>
      <c r="M538" s="11">
        <f>IF(K538="FUERA","Fuera del marco",IF(K538="N/A","Sin marco",IFERROR(INDEX('Datos - Catálogo TIMSS'!$C$5:$C$107,MATCH(K538,'Datos - Catálogo TIMSS'!$A$5:$A$107,0)),"Pendiente de clasificar")))</f>
        <v/>
      </c>
      <c r="N538" s="11">
        <f>IF(K538="FUERA","Fuera del marco",IF(K538="N/A","Sin marco",IFERROR(INDEX('Datos - Catálogo TIMSS'!$F$5:$F$107,MATCH(K538,'Datos - Catálogo TIMSS'!$A$5:$A$107,0)),"Pendiente de clasificar")))</f>
        <v/>
      </c>
      <c r="O538" s="11">
        <f>IF(L538="","",IFERROR(INDEX('Datos - Catálogo TIMSS'!$C$5:$C$107,MATCH(L538,'Datos - Catálogo TIMSS'!$A$5:$A$107,0)),"?"))</f>
        <v/>
      </c>
      <c r="P538" s="11" t="inlineStr">
        <is>
          <t>alta</t>
        </is>
      </c>
      <c r="Q538" s="38" t="inlineStr">
        <is>
          <t>Peso aparente por empuje, con diagrama de fuerzas</t>
        </is>
      </c>
      <c r="R538" s="38" t="inlineStr">
        <is>
          <t>Aplicar: calcular</t>
        </is>
      </c>
      <c r="S538" s="39">
        <f>IFERROR(ISNUMBER(SEARCH("Conocer",$R538))/(ISNUMBER(SEARCH("Conocer",$R538))+ISNUMBER(SEARCH("Aplicar",$R538))+ISNUMBER(SEARCH("Razonar",$R538))),0)</f>
        <v/>
      </c>
      <c r="T538" s="39">
        <f>IFERROR(ISNUMBER(SEARCH("Aplicar",$R538))/(ISNUMBER(SEARCH("Conocer",$R538))+ISNUMBER(SEARCH("Aplicar",$R538))+ISNUMBER(SEARCH("Razonar",$R538))),0)</f>
        <v/>
      </c>
      <c r="U538" s="39">
        <f>IFERROR(ISNUMBER(SEARCH("Razonar",$R538))/(ISNUMBER(SEARCH("Conocer",$R538))+ISNUMBER(SEARCH("Aplicar",$R538))+ISNUMBER(SEARCH("Razonar",$R538))),0)</f>
        <v/>
      </c>
      <c r="V538" s="11" t="inlineStr">
        <is>
          <t>9°</t>
        </is>
      </c>
      <c r="W538" s="11" t="inlineStr">
        <is>
          <t>9°</t>
        </is>
      </c>
      <c r="X538" s="11">
        <f>IF(OR(IFERROR(INDEX('Datos - Catálogo TIMSS'!$I$5:$I$107,MATCH(K538,'Datos - Catálogo TIMSS'!$A$5:$A$107,0)),"No")="Sí",IFERROR(INDEX('Datos - Catálogo TIMSS'!$I$5:$I$107,MATCH(L538,'Datos - Catálogo TIMSS'!$A$5:$A$107,0)),"No")="Sí"),1,0)</f>
        <v/>
      </c>
      <c r="Y538" s="11">
        <f>IF(IFERROR(INDEX('Datos - Catálogo TIMSS'!$J$5:$J$107,MATCH(K538,'Datos - Catálogo TIMSS'!$A$5:$A$107,0)),"No")="Sí",1,0)</f>
        <v/>
      </c>
      <c r="Z538" s="11">
        <f>IF(IFERROR(INDEX('Datos - Catálogo TIMSS'!$J$5:$J$107,MATCH(L538,'Datos - Catálogo TIMSS'!$A$5:$A$107,0)),"No")="Sí",1,0)</f>
        <v/>
      </c>
      <c r="AA538" s="11" t="inlineStr">
        <is>
          <t>T8-F5.3</t>
        </is>
      </c>
      <c r="AB538" s="11" t="inlineStr">
        <is>
          <t>T8-F5.2</t>
        </is>
      </c>
      <c r="AC538" s="11">
        <f>IF(AA538="FUERA","Fuera del marco",IF(AA538="N/A","Sin marco",IFERROR(INDEX('Datos - TIMSS 2023'!$C$5:$C$105,MATCH(AA538,'Datos - TIMSS 2023'!$A$5:$A$105,0)),"Pendiente de clasificar")))</f>
        <v/>
      </c>
      <c r="AD538" s="11" t="inlineStr">
        <is>
          <t>2. Construir y evaluar diseños para la indagación científica e interpretar datos y evidencia de forma crítica</t>
        </is>
      </c>
      <c r="AE538" s="11">
        <f>IF(AD538="","",IF(LEFT(AD538,1)="1","C1",IF(LEFT(AD538,1)="2","C2",IF(LEFT(AD538,1)="3","C3",""))))</f>
        <v/>
      </c>
      <c r="AF538" s="11" t="inlineStr">
        <is>
          <t>E1</t>
        </is>
      </c>
      <c r="AG538" s="11" t="inlineStr">
        <is>
          <t>D1</t>
        </is>
      </c>
      <c r="AH538" s="11" t="inlineStr">
        <is>
          <t>E2</t>
        </is>
      </c>
      <c r="AI538" s="11" t="inlineStr">
        <is>
          <t>D4</t>
        </is>
      </c>
      <c r="AJ538" s="11" t="inlineStr">
        <is>
          <t>E3</t>
        </is>
      </c>
      <c r="AK538" s="11" t="inlineStr">
        <is>
          <t>PISA-F3</t>
        </is>
      </c>
      <c r="AL538" s="11" t="n"/>
      <c r="AM538" s="11">
        <f>IF(AK538="FUERA","Fuera del marco",IFERROR(INDEX('Datos - Catálogo PISA'!$C$5:$C$76,MATCH(AK538,'Datos - Catálogo PISA'!$A$5:$A$76,0)),"?"))</f>
        <v/>
      </c>
      <c r="AN538" s="11" t="inlineStr">
        <is>
          <t>Contenido</t>
        </is>
      </c>
      <c r="AO538" s="11" t="inlineStr">
        <is>
          <t>PISA-PR2;</t>
        </is>
      </c>
      <c r="AP538" s="11" t="n"/>
      <c r="AQ538" s="11" t="inlineStr">
        <is>
          <t>Sin contexto</t>
        </is>
      </c>
      <c r="AR538" s="11" t="n"/>
      <c r="AS538" s="11" t="inlineStr">
        <is>
          <t>Media</t>
        </is>
      </c>
      <c r="AT538" s="11" t="inlineStr">
        <is>
          <t>alta</t>
        </is>
      </c>
      <c r="AU538" s="11" t="inlineStr">
        <is>
          <t>Peso aparente con diagrama de cuerpo libre y fuerzas.</t>
        </is>
      </c>
      <c r="AV538" s="11" t="inlineStr">
        <is>
          <t>Ciclo 7°–9°</t>
        </is>
      </c>
      <c r="AW538" s="11">
        <f>AF538&amp;"; "&amp;AG538&amp;"; "&amp;AH538&amp;"; "&amp;AI538&amp;"; "&amp;AJ538</f>
        <v/>
      </c>
    </row>
    <row r="539">
      <c r="A539" s="11" t="inlineStr">
        <is>
          <t>T1173-G09-CIE</t>
        </is>
      </c>
      <c r="B539" s="11" t="n">
        <v>9</v>
      </c>
      <c r="C539" s="11" t="inlineStr">
        <is>
          <t>Ciencias</t>
        </is>
      </c>
      <c r="D539" s="11" t="inlineStr">
        <is>
          <t>Matriz_Ciencias_9no_Grado_U1_U7.xlsx</t>
        </is>
      </c>
      <c r="E539" s="11" t="inlineStr">
        <is>
          <t>Unidad 1 - Mecánica de fluidos</t>
        </is>
      </c>
      <c r="F539" s="11" t="n">
        <v>5</v>
      </c>
      <c r="G539" s="11" t="inlineStr">
        <is>
          <t>1. Mecánica de fluidos</t>
        </is>
      </c>
      <c r="H539" s="11" t="inlineStr">
        <is>
          <t>Principio de Arquímedes</t>
        </is>
      </c>
      <c r="I539" s="38" t="inlineStr">
        <is>
          <t>1.3. Presentación de resultados experimentales considerando el error de la medida.</t>
        </is>
      </c>
      <c r="J539" s="11" t="inlineStr">
        <is>
          <t>PISA</t>
        </is>
      </c>
      <c r="K539" s="11" t="inlineStr">
        <is>
          <t>T8_27-P6.1</t>
        </is>
      </c>
      <c r="L539" s="11" t="inlineStr">
        <is>
          <t>T8_27-P5.3</t>
        </is>
      </c>
      <c r="M539" s="11">
        <f>IF(K539="FUERA","Fuera del marco",IF(K539="N/A","Sin marco",IFERROR(INDEX('Datos - Catálogo TIMSS'!$C$5:$C$107,MATCH(K539,'Datos - Catálogo TIMSS'!$A$5:$A$107,0)),"Pendiente de clasificar")))</f>
        <v/>
      </c>
      <c r="N539" s="11">
        <f>IF(K539="FUERA","Fuera del marco",IF(K539="N/A","Sin marco",IFERROR(INDEX('Datos - Catálogo TIMSS'!$F$5:$F$107,MATCH(K539,'Datos - Catálogo TIMSS'!$A$5:$A$107,0)),"Pendiente de clasificar")))</f>
        <v/>
      </c>
      <c r="O539" s="11">
        <f>IF(L539="","",IFERROR(INDEX('Datos - Catálogo TIMSS'!$C$5:$C$107,MATCH(L539,'Datos - Catálogo TIMSS'!$A$5:$A$107,0)),"?"))</f>
        <v/>
      </c>
      <c r="P539" s="11" t="inlineStr">
        <is>
          <t>media</t>
        </is>
      </c>
      <c r="Q539" s="38" t="inlineStr">
        <is>
          <t>Foco en error de medida e informe de laboratorio</t>
        </is>
      </c>
      <c r="R539" s="38" t="inlineStr">
        <is>
          <t>Aplicar: presentar resultados</t>
        </is>
      </c>
      <c r="S539" s="39">
        <f>IFERROR(ISNUMBER(SEARCH("Conocer",$R539))/(ISNUMBER(SEARCH("Conocer",$R539))+ISNUMBER(SEARCH("Aplicar",$R539))+ISNUMBER(SEARCH("Razonar",$R539))),0)</f>
        <v/>
      </c>
      <c r="T539" s="39">
        <f>IFERROR(ISNUMBER(SEARCH("Aplicar",$R539))/(ISNUMBER(SEARCH("Conocer",$R539))+ISNUMBER(SEARCH("Aplicar",$R539))+ISNUMBER(SEARCH("Razonar",$R539))),0)</f>
        <v/>
      </c>
      <c r="U539" s="39">
        <f>IFERROR(ISNUMBER(SEARCH("Razonar",$R539))/(ISNUMBER(SEARCH("Conocer",$R539))+ISNUMBER(SEARCH("Aplicar",$R539))+ISNUMBER(SEARCH("Razonar",$R539))),0)</f>
        <v/>
      </c>
      <c r="V539" s="11" t="inlineStr">
        <is>
          <t>9°</t>
        </is>
      </c>
      <c r="W539" s="11" t="inlineStr">
        <is>
          <t>9°</t>
        </is>
      </c>
      <c r="X539" s="11">
        <f>IF(OR(IFERROR(INDEX('Datos - Catálogo TIMSS'!$I$5:$I$107,MATCH(K539,'Datos - Catálogo TIMSS'!$A$5:$A$107,0)),"No")="Sí",IFERROR(INDEX('Datos - Catálogo TIMSS'!$I$5:$I$107,MATCH(L539,'Datos - Catálogo TIMSS'!$A$5:$A$107,0)),"No")="Sí"),1,0)</f>
        <v/>
      </c>
      <c r="Y539" s="11">
        <f>IF(IFERROR(INDEX('Datos - Catálogo TIMSS'!$J$5:$J$107,MATCH(K539,'Datos - Catálogo TIMSS'!$A$5:$A$107,0)),"No")="Sí",1,0)</f>
        <v/>
      </c>
      <c r="Z539" s="11">
        <f>IF(IFERROR(INDEX('Datos - Catálogo TIMSS'!$J$5:$J$107,MATCH(L539,'Datos - Catálogo TIMSS'!$A$5:$A$107,0)),"No")="Sí",1,0)</f>
        <v/>
      </c>
      <c r="AA539" s="11" t="inlineStr">
        <is>
          <t>T8-F5.3</t>
        </is>
      </c>
      <c r="AB539" s="11" t="inlineStr"/>
      <c r="AC539" s="11">
        <f>IF(AA539="FUERA","Fuera del marco",IF(AA539="N/A","Sin marco",IFERROR(INDEX('Datos - TIMSS 2023'!$C$5:$C$105,MATCH(AA539,'Datos - TIMSS 2023'!$A$5:$A$105,0)),"Pendiente de clasificar")))</f>
        <v/>
      </c>
      <c r="AD539" s="11" t="inlineStr">
        <is>
          <t>2. Construir y evaluar diseños para la indagación científica e interpretar datos y evidencia de forma crítica</t>
        </is>
      </c>
      <c r="AE539" s="11">
        <f>IF(AD539="","",IF(LEFT(AD539,1)="1","C1",IF(LEFT(AD539,1)="2","C2",IF(LEFT(AD539,1)="3","C3",""))))</f>
        <v/>
      </c>
      <c r="AF539" s="11" t="inlineStr">
        <is>
          <t>E1</t>
        </is>
      </c>
      <c r="AG539" s="11" t="inlineStr">
        <is>
          <t>D1</t>
        </is>
      </c>
      <c r="AH539" s="11" t="inlineStr">
        <is>
          <t>E1</t>
        </is>
      </c>
      <c r="AI539" s="11" t="inlineStr">
        <is>
          <t>D4</t>
        </is>
      </c>
      <c r="AJ539" s="11" t="inlineStr">
        <is>
          <t>I4</t>
        </is>
      </c>
      <c r="AK539" s="11" t="inlineStr">
        <is>
          <t>PISA-F3</t>
        </is>
      </c>
      <c r="AL539" s="11" t="n"/>
      <c r="AM539" s="11">
        <f>IF(AK539="FUERA","Fuera del marco",IFERROR(INDEX('Datos - Catálogo PISA'!$C$5:$C$76,MATCH(AK539,'Datos - Catálogo PISA'!$A$5:$A$76,0)),"?"))</f>
        <v/>
      </c>
      <c r="AN539" s="11" t="inlineStr">
        <is>
          <t>Procedimental</t>
        </is>
      </c>
      <c r="AO539" s="11" t="inlineStr">
        <is>
          <t>PISA-PR3; PISA-PR5;</t>
        </is>
      </c>
      <c r="AP539" s="11" t="inlineStr">
        <is>
          <t>PISA-EP10;</t>
        </is>
      </c>
      <c r="AQ539" s="11" t="inlineStr">
        <is>
          <t>Sin contexto</t>
        </is>
      </c>
      <c r="AR539" s="11" t="n"/>
      <c r="AS539" s="11" t="inlineStr">
        <is>
          <t>Media</t>
        </is>
      </c>
      <c r="AT539" s="11" t="inlineStr">
        <is>
          <t>media</t>
        </is>
      </c>
      <c r="AU539" s="11" t="inlineStr">
        <is>
          <t>Foco en presentar resultados con error de medida; contexto empuje.</t>
        </is>
      </c>
      <c r="AV539" s="11" t="inlineStr">
        <is>
          <t>Ciclo 7°–9°</t>
        </is>
      </c>
      <c r="AW539" s="11">
        <f>AF539&amp;"; "&amp;AG539&amp;"; "&amp;AH539&amp;"; "&amp;AI539&amp;"; "&amp;AJ539</f>
        <v/>
      </c>
    </row>
    <row r="540">
      <c r="A540" s="11" t="inlineStr">
        <is>
          <t>T1174-G09-CIE</t>
        </is>
      </c>
      <c r="B540" s="11" t="n">
        <v>9</v>
      </c>
      <c r="C540" s="11" t="inlineStr">
        <is>
          <t>Ciencias</t>
        </is>
      </c>
      <c r="D540" s="11" t="inlineStr">
        <is>
          <t>Matriz_Ciencias_9no_Grado_U1_U7.xlsx</t>
        </is>
      </c>
      <c r="E540" s="11" t="inlineStr">
        <is>
          <t>Unidad 1 - Mecánica de fluidos</t>
        </is>
      </c>
      <c r="F540" s="11" t="n">
        <v>6</v>
      </c>
      <c r="G540" s="11" t="inlineStr">
        <is>
          <t>1. Mecánica de fluidos</t>
        </is>
      </c>
      <c r="H540" s="11" t="inlineStr">
        <is>
          <t>Principio de Pascal</t>
        </is>
      </c>
      <c r="I540" s="38" t="inlineStr">
        <is>
          <t>1.4. Elaboración de una prensa hidráulica para la comprobación experimental del principio de Pascal.</t>
        </is>
      </c>
      <c r="J540" s="11" t="inlineStr">
        <is>
          <t>PISA</t>
        </is>
      </c>
      <c r="K540" s="11" t="inlineStr">
        <is>
          <t>T8_27-P5.3</t>
        </is>
      </c>
      <c r="L540" s="11" t="inlineStr"/>
      <c r="M540" s="11">
        <f>IF(K540="FUERA","Fuera del marco",IF(K540="N/A","Sin marco",IFERROR(INDEX('Datos - Catálogo TIMSS'!$C$5:$C$107,MATCH(K540,'Datos - Catálogo TIMSS'!$A$5:$A$107,0)),"Pendiente de clasificar")))</f>
        <v/>
      </c>
      <c r="N540" s="11">
        <f>IF(K540="FUERA","Fuera del marco",IF(K540="N/A","Sin marco",IFERROR(INDEX('Datos - Catálogo TIMSS'!$F$5:$F$107,MATCH(K540,'Datos - Catálogo TIMSS'!$A$5:$A$107,0)),"Pendiente de clasificar")))</f>
        <v/>
      </c>
      <c r="O540" s="11">
        <f>IF(L540="","",IFERROR(INDEX('Datos - Catálogo TIMSS'!$C$5:$C$107,MATCH(L540,'Datos - Catálogo TIMSS'!$A$5:$A$107,0)),"?"))</f>
        <v/>
      </c>
      <c r="P540" s="11" t="inlineStr">
        <is>
          <t>alta</t>
        </is>
      </c>
      <c r="Q540" s="38" t="inlineStr">
        <is>
          <t>Principio de Pascal: presión y prensa hidráulica</t>
        </is>
      </c>
      <c r="R540" s="38" t="inlineStr">
        <is>
          <t>Aplicar: construir y comprobar</t>
        </is>
      </c>
      <c r="S540" s="39">
        <f>IFERROR(ISNUMBER(SEARCH("Conocer",$R540))/(ISNUMBER(SEARCH("Conocer",$R540))+ISNUMBER(SEARCH("Aplicar",$R540))+ISNUMBER(SEARCH("Razonar",$R540))),0)</f>
        <v/>
      </c>
      <c r="T540" s="39">
        <f>IFERROR(ISNUMBER(SEARCH("Aplicar",$R540))/(ISNUMBER(SEARCH("Conocer",$R540))+ISNUMBER(SEARCH("Aplicar",$R540))+ISNUMBER(SEARCH("Razonar",$R540))),0)</f>
        <v/>
      </c>
      <c r="U540" s="39">
        <f>IFERROR(ISNUMBER(SEARCH("Razonar",$R540))/(ISNUMBER(SEARCH("Conocer",$R540))+ISNUMBER(SEARCH("Aplicar",$R540))+ISNUMBER(SEARCH("Razonar",$R540))),0)</f>
        <v/>
      </c>
      <c r="V540" s="11" t="inlineStr">
        <is>
          <t>9°</t>
        </is>
      </c>
      <c r="W540" s="11" t="inlineStr">
        <is>
          <t>9°</t>
        </is>
      </c>
      <c r="X540" s="11">
        <f>IF(OR(IFERROR(INDEX('Datos - Catálogo TIMSS'!$I$5:$I$107,MATCH(K540,'Datos - Catálogo TIMSS'!$A$5:$A$107,0)),"No")="Sí",IFERROR(INDEX('Datos - Catálogo TIMSS'!$I$5:$I$107,MATCH(L540,'Datos - Catálogo TIMSS'!$A$5:$A$107,0)),"No")="Sí"),1,0)</f>
        <v/>
      </c>
      <c r="Y540" s="11">
        <f>IF(IFERROR(INDEX('Datos - Catálogo TIMSS'!$J$5:$J$107,MATCH(K540,'Datos - Catálogo TIMSS'!$A$5:$A$107,0)),"No")="Sí",1,0)</f>
        <v/>
      </c>
      <c r="Z540" s="11">
        <f>IF(IFERROR(INDEX('Datos - Catálogo TIMSS'!$J$5:$J$107,MATCH(L540,'Datos - Catálogo TIMSS'!$A$5:$A$107,0)),"No")="Sí",1,0)</f>
        <v/>
      </c>
      <c r="AA540" s="11" t="inlineStr">
        <is>
          <t>T8-F5.3</t>
        </is>
      </c>
      <c r="AB540" s="11" t="inlineStr"/>
      <c r="AC540" s="11">
        <f>IF(AA540="FUERA","Fuera del marco",IF(AA540="N/A","Sin marco",IFERROR(INDEX('Datos - TIMSS 2023'!$C$5:$C$105,MATCH(AA540,'Datos - TIMSS 2023'!$A$5:$A$105,0)),"Pendiente de clasificar")))</f>
        <v/>
      </c>
      <c r="AD540" s="11" t="inlineStr">
        <is>
          <t>2. Construir y evaluar diseños para la indagación científica e interpretar datos y evidencia de forma crítica</t>
        </is>
      </c>
      <c r="AE540" s="11">
        <f>IF(AD540="","",IF(LEFT(AD540,1)="1","C1",IF(LEFT(AD540,1)="2","C2",IF(LEFT(AD540,1)="3","C3",""))))</f>
        <v/>
      </c>
      <c r="AF540" s="11" t="inlineStr">
        <is>
          <t>E1</t>
        </is>
      </c>
      <c r="AG540" s="11" t="inlineStr">
        <is>
          <t>D1</t>
        </is>
      </c>
      <c r="AH540" s="11" t="inlineStr">
        <is>
          <t>E4</t>
        </is>
      </c>
      <c r="AI540" s="11" t="inlineStr">
        <is>
          <t>D4</t>
        </is>
      </c>
      <c r="AJ540" s="11" t="inlineStr">
        <is>
          <t>E6</t>
        </is>
      </c>
      <c r="AK540" s="11" t="inlineStr">
        <is>
          <t>PISA-F3</t>
        </is>
      </c>
      <c r="AL540" s="11" t="n"/>
      <c r="AM540" s="11">
        <f>IF(AK540="FUERA","Fuera del marco",IFERROR(INDEX('Datos - Catálogo PISA'!$C$5:$C$76,MATCH(AK540,'Datos - Catálogo PISA'!$A$5:$A$76,0)),"?"))</f>
        <v/>
      </c>
      <c r="AN540" s="11" t="inlineStr">
        <is>
          <t>Contenido</t>
        </is>
      </c>
      <c r="AO540" s="11" t="inlineStr">
        <is>
          <t>PISA-PR2;</t>
        </is>
      </c>
      <c r="AP540" s="11" t="n"/>
      <c r="AQ540" s="11" t="inlineStr">
        <is>
          <t>Sin contexto</t>
        </is>
      </c>
      <c r="AR540" s="11" t="n"/>
      <c r="AS540" s="11" t="inlineStr">
        <is>
          <t>Media</t>
        </is>
      </c>
      <c r="AT540" s="11" t="inlineStr">
        <is>
          <t>alta</t>
        </is>
      </c>
      <c r="AU540" s="11" t="inlineStr">
        <is>
          <t>Principio de Pascal: transmisión de presión en una prensa construida.</t>
        </is>
      </c>
      <c r="AV540" s="11" t="inlineStr">
        <is>
          <t>Ciclo 7°–9°</t>
        </is>
      </c>
      <c r="AW540" s="11">
        <f>AF540&amp;"; "&amp;AG540&amp;"; "&amp;AH540&amp;"; "&amp;AI540&amp;"; "&amp;AJ540</f>
        <v/>
      </c>
    </row>
    <row r="541">
      <c r="A541" s="11" t="inlineStr">
        <is>
          <t>T1175-G09-CIE</t>
        </is>
      </c>
      <c r="B541" s="11" t="n">
        <v>9</v>
      </c>
      <c r="C541" s="11" t="inlineStr">
        <is>
          <t>Ciencias</t>
        </is>
      </c>
      <c r="D541" s="11" t="inlineStr">
        <is>
          <t>Matriz_Ciencias_9no_Grado_U1_U7.xlsx</t>
        </is>
      </c>
      <c r="E541" s="11" t="inlineStr">
        <is>
          <t>Unidad 1 - Mecánica de fluidos</t>
        </is>
      </c>
      <c r="F541" s="11" t="n">
        <v>7</v>
      </c>
      <c r="G541" s="11" t="inlineStr">
        <is>
          <t>1. Mecánica de fluidos</t>
        </is>
      </c>
      <c r="H541" s="11" t="inlineStr">
        <is>
          <t>Principio de Pascal</t>
        </is>
      </c>
      <c r="I541" s="38" t="inlineStr">
        <is>
          <t>1.5. Experimentación con el principio de multiplicación de fuerzas en una prensa hidráulica.</t>
        </is>
      </c>
      <c r="J541" s="11" t="inlineStr">
        <is>
          <t>PISA</t>
        </is>
      </c>
      <c r="K541" s="11" t="inlineStr">
        <is>
          <t>T8_27-P5.3</t>
        </is>
      </c>
      <c r="L541" s="11" t="inlineStr"/>
      <c r="M541" s="11">
        <f>IF(K541="FUERA","Fuera del marco",IF(K541="N/A","Sin marco",IFERROR(INDEX('Datos - Catálogo TIMSS'!$C$5:$C$107,MATCH(K541,'Datos - Catálogo TIMSS'!$A$5:$A$107,0)),"Pendiente de clasificar")))</f>
        <v/>
      </c>
      <c r="N541" s="11">
        <f>IF(K541="FUERA","Fuera del marco",IF(K541="N/A","Sin marco",IFERROR(INDEX('Datos - Catálogo TIMSS'!$F$5:$F$107,MATCH(K541,'Datos - Catálogo TIMSS'!$A$5:$A$107,0)),"Pendiente de clasificar")))</f>
        <v/>
      </c>
      <c r="O541" s="11">
        <f>IF(L541="","",IFERROR(INDEX('Datos - Catálogo TIMSS'!$C$5:$C$107,MATCH(L541,'Datos - Catálogo TIMSS'!$A$5:$A$107,0)),"?"))</f>
        <v/>
      </c>
      <c r="P541" s="11" t="inlineStr">
        <is>
          <t>alta</t>
        </is>
      </c>
      <c r="Q541" s="38" t="inlineStr">
        <is>
          <t>Multiplicación de fuerzas según áreas: presión como fuerza sobre área</t>
        </is>
      </c>
      <c r="R541" s="38" t="inlineStr">
        <is>
          <t>Aplicar: medir y calcular</t>
        </is>
      </c>
      <c r="S541" s="39">
        <f>IFERROR(ISNUMBER(SEARCH("Conocer",$R541))/(ISNUMBER(SEARCH("Conocer",$R541))+ISNUMBER(SEARCH("Aplicar",$R541))+ISNUMBER(SEARCH("Razonar",$R541))),0)</f>
        <v/>
      </c>
      <c r="T541" s="39">
        <f>IFERROR(ISNUMBER(SEARCH("Aplicar",$R541))/(ISNUMBER(SEARCH("Conocer",$R541))+ISNUMBER(SEARCH("Aplicar",$R541))+ISNUMBER(SEARCH("Razonar",$R541))),0)</f>
        <v/>
      </c>
      <c r="U541" s="39">
        <f>IFERROR(ISNUMBER(SEARCH("Razonar",$R541))/(ISNUMBER(SEARCH("Conocer",$R541))+ISNUMBER(SEARCH("Aplicar",$R541))+ISNUMBER(SEARCH("Razonar",$R541))),0)</f>
        <v/>
      </c>
      <c r="V541" s="11" t="inlineStr">
        <is>
          <t>9°</t>
        </is>
      </c>
      <c r="W541" s="11" t="inlineStr">
        <is>
          <t>9°</t>
        </is>
      </c>
      <c r="X541" s="11">
        <f>IF(OR(IFERROR(INDEX('Datos - Catálogo TIMSS'!$I$5:$I$107,MATCH(K541,'Datos - Catálogo TIMSS'!$A$5:$A$107,0)),"No")="Sí",IFERROR(INDEX('Datos - Catálogo TIMSS'!$I$5:$I$107,MATCH(L541,'Datos - Catálogo TIMSS'!$A$5:$A$107,0)),"No")="Sí"),1,0)</f>
        <v/>
      </c>
      <c r="Y541" s="11">
        <f>IF(IFERROR(INDEX('Datos - Catálogo TIMSS'!$J$5:$J$107,MATCH(K541,'Datos - Catálogo TIMSS'!$A$5:$A$107,0)),"No")="Sí",1,0)</f>
        <v/>
      </c>
      <c r="Z541" s="11">
        <f>IF(IFERROR(INDEX('Datos - Catálogo TIMSS'!$J$5:$J$107,MATCH(L541,'Datos - Catálogo TIMSS'!$A$5:$A$107,0)),"No")="Sí",1,0)</f>
        <v/>
      </c>
      <c r="AA541" s="11" t="inlineStr">
        <is>
          <t>T8-F5.3</t>
        </is>
      </c>
      <c r="AB541" s="11" t="inlineStr"/>
      <c r="AC541" s="11">
        <f>IF(AA541="FUERA","Fuera del marco",IF(AA541="N/A","Sin marco",IFERROR(INDEX('Datos - TIMSS 2023'!$C$5:$C$105,MATCH(AA541,'Datos - TIMSS 2023'!$A$5:$A$105,0)),"Pendiente de clasificar")))</f>
        <v/>
      </c>
      <c r="AD541" s="11" t="inlineStr">
        <is>
          <t>2. Construir y evaluar diseños para la indagación científica e interpretar datos y evidencia de forma crítica</t>
        </is>
      </c>
      <c r="AE541" s="11">
        <f>IF(AD541="","",IF(LEFT(AD541,1)="1","C1",IF(LEFT(AD541,1)="2","C2",IF(LEFT(AD541,1)="3","C3",""))))</f>
        <v/>
      </c>
      <c r="AF541" s="11" t="inlineStr">
        <is>
          <t>E1</t>
        </is>
      </c>
      <c r="AG541" s="11" t="inlineStr">
        <is>
          <t>E3</t>
        </is>
      </c>
      <c r="AH541" s="11" t="inlineStr">
        <is>
          <t>E1</t>
        </is>
      </c>
      <c r="AI541" s="11" t="inlineStr">
        <is>
          <t>D4</t>
        </is>
      </c>
      <c r="AJ541" s="11" t="inlineStr">
        <is>
          <t>E6</t>
        </is>
      </c>
      <c r="AK541" s="11" t="inlineStr">
        <is>
          <t>PISA-F3</t>
        </is>
      </c>
      <c r="AL541" s="11" t="n"/>
      <c r="AM541" s="11">
        <f>IF(AK541="FUERA","Fuera del marco",IFERROR(INDEX('Datos - Catálogo PISA'!$C$5:$C$76,MATCH(AK541,'Datos - Catálogo PISA'!$A$5:$A$76,0)),"?"))</f>
        <v/>
      </c>
      <c r="AN541" s="11" t="inlineStr">
        <is>
          <t>Contenido</t>
        </is>
      </c>
      <c r="AO541" s="11" t="inlineStr">
        <is>
          <t>PISA-PR5;</t>
        </is>
      </c>
      <c r="AP541" s="11" t="n"/>
      <c r="AQ541" s="11" t="inlineStr">
        <is>
          <t>Sin contexto</t>
        </is>
      </c>
      <c r="AR541" s="11" t="n"/>
      <c r="AS541" s="11" t="inlineStr">
        <is>
          <t>Media</t>
        </is>
      </c>
      <c r="AT541" s="11" t="inlineStr">
        <is>
          <t>alta</t>
        </is>
      </c>
      <c r="AU541" s="11" t="inlineStr">
        <is>
          <t>Multiplicación de fuerzas según áreas de pistones, tabla de datos.</t>
        </is>
      </c>
      <c r="AV541" s="11" t="inlineStr">
        <is>
          <t>Ciclo 7°–9°</t>
        </is>
      </c>
      <c r="AW541" s="11">
        <f>AF541&amp;"; "&amp;AG541&amp;"; "&amp;AH541&amp;"; "&amp;AI541&amp;"; "&amp;AJ541</f>
        <v/>
      </c>
    </row>
    <row r="542">
      <c r="A542" s="11" t="inlineStr">
        <is>
          <t>T1176-G09-CIE</t>
        </is>
      </c>
      <c r="B542" s="11" t="n">
        <v>9</v>
      </c>
      <c r="C542" s="11" t="inlineStr">
        <is>
          <t>Ciencias</t>
        </is>
      </c>
      <c r="D542" s="11" t="inlineStr">
        <is>
          <t>Matriz_Ciencias_9no_Grado_U1_U7.xlsx</t>
        </is>
      </c>
      <c r="E542" s="11" t="inlineStr">
        <is>
          <t>Unidad 1 - Mecánica de fluidos</t>
        </is>
      </c>
      <c r="F542" s="11" t="n">
        <v>8</v>
      </c>
      <c r="G542" s="11" t="inlineStr">
        <is>
          <t>1. Mecánica de fluidos</t>
        </is>
      </c>
      <c r="H542" s="11" t="inlineStr">
        <is>
          <t>Teorema fundamental de la hidrostática</t>
        </is>
      </c>
      <c r="I542" s="38" t="inlineStr">
        <is>
          <t>1.6. Resolución de problemas empleando las leyes de la hidrostática.</t>
        </is>
      </c>
      <c r="J542" s="11" t="inlineStr">
        <is>
          <t>PISA</t>
        </is>
      </c>
      <c r="K542" s="11" t="inlineStr">
        <is>
          <t>T8_27-P5.3</t>
        </is>
      </c>
      <c r="L542" s="11" t="inlineStr"/>
      <c r="M542" s="11">
        <f>IF(K542="FUERA","Fuera del marco",IF(K542="N/A","Sin marco",IFERROR(INDEX('Datos - Catálogo TIMSS'!$C$5:$C$107,MATCH(K542,'Datos - Catálogo TIMSS'!$A$5:$A$107,0)),"Pendiente de clasificar")))</f>
        <v/>
      </c>
      <c r="N542" s="11">
        <f>IF(K542="FUERA","Fuera del marco",IF(K542="N/A","Sin marco",IFERROR(INDEX('Datos - Catálogo TIMSS'!$F$5:$F$107,MATCH(K542,'Datos - Catálogo TIMSS'!$A$5:$A$107,0)),"Pendiente de clasificar")))</f>
        <v/>
      </c>
      <c r="O542" s="11">
        <f>IF(L542="","",IFERROR(INDEX('Datos - Catálogo TIMSS'!$C$5:$C$107,MATCH(L542,'Datos - Catálogo TIMSS'!$A$5:$A$107,0)),"?"))</f>
        <v/>
      </c>
      <c r="P542" s="11" t="inlineStr">
        <is>
          <t>alta</t>
        </is>
      </c>
      <c r="Q542" s="38" t="inlineStr">
        <is>
          <t>Hidrostática: presión según profundidad y densidad</t>
        </is>
      </c>
      <c r="R542" s="38" t="inlineStr">
        <is>
          <t>Aplicar: resolver problemas</t>
        </is>
      </c>
      <c r="S542" s="39">
        <f>IFERROR(ISNUMBER(SEARCH("Conocer",$R542))/(ISNUMBER(SEARCH("Conocer",$R542))+ISNUMBER(SEARCH("Aplicar",$R542))+ISNUMBER(SEARCH("Razonar",$R542))),0)</f>
        <v/>
      </c>
      <c r="T542" s="39">
        <f>IFERROR(ISNUMBER(SEARCH("Aplicar",$R542))/(ISNUMBER(SEARCH("Conocer",$R542))+ISNUMBER(SEARCH("Aplicar",$R542))+ISNUMBER(SEARCH("Razonar",$R542))),0)</f>
        <v/>
      </c>
      <c r="U542" s="39">
        <f>IFERROR(ISNUMBER(SEARCH("Razonar",$R542))/(ISNUMBER(SEARCH("Conocer",$R542))+ISNUMBER(SEARCH("Aplicar",$R542))+ISNUMBER(SEARCH("Razonar",$R542))),0)</f>
        <v/>
      </c>
      <c r="V542" s="11" t="inlineStr">
        <is>
          <t>9°</t>
        </is>
      </c>
      <c r="W542" s="11" t="inlineStr">
        <is>
          <t>9°</t>
        </is>
      </c>
      <c r="X542" s="11">
        <f>IF(OR(IFERROR(INDEX('Datos - Catálogo TIMSS'!$I$5:$I$107,MATCH(K542,'Datos - Catálogo TIMSS'!$A$5:$A$107,0)),"No")="Sí",IFERROR(INDEX('Datos - Catálogo TIMSS'!$I$5:$I$107,MATCH(L542,'Datos - Catálogo TIMSS'!$A$5:$A$107,0)),"No")="Sí"),1,0)</f>
        <v/>
      </c>
      <c r="Y542" s="11">
        <f>IF(IFERROR(INDEX('Datos - Catálogo TIMSS'!$J$5:$J$107,MATCH(K542,'Datos - Catálogo TIMSS'!$A$5:$A$107,0)),"No")="Sí",1,0)</f>
        <v/>
      </c>
      <c r="Z542" s="11">
        <f>IF(IFERROR(INDEX('Datos - Catálogo TIMSS'!$J$5:$J$107,MATCH(L542,'Datos - Catálogo TIMSS'!$A$5:$A$107,0)),"No")="Sí",1,0)</f>
        <v/>
      </c>
      <c r="AA542" s="11" t="inlineStr">
        <is>
          <t>T8-F5.3</t>
        </is>
      </c>
      <c r="AB542" s="11" t="inlineStr"/>
      <c r="AC542" s="11">
        <f>IF(AA542="FUERA","Fuera del marco",IF(AA542="N/A","Sin marco",IFERROR(INDEX('Datos - TIMSS 2023'!$C$5:$C$105,MATCH(AA542,'Datos - TIMSS 2023'!$A$5:$A$105,0)),"Pendiente de clasificar")))</f>
        <v/>
      </c>
      <c r="AD542" s="11" t="inlineStr">
        <is>
          <t>2. Construir y evaluar diseños para la indagación científica e interpretar datos y evidencia de forma crítica</t>
        </is>
      </c>
      <c r="AE542" s="11">
        <f>IF(AD542="","",IF(LEFT(AD542,1)="1","C1",IF(LEFT(AD542,1)="2","C2",IF(LEFT(AD542,1)="3","C3",""))))</f>
        <v/>
      </c>
      <c r="AF542" s="11" t="inlineStr">
        <is>
          <t>E1</t>
        </is>
      </c>
      <c r="AG542" s="11" t="inlineStr">
        <is>
          <t>D1</t>
        </is>
      </c>
      <c r="AH542" s="11" t="inlineStr">
        <is>
          <t>E1</t>
        </is>
      </c>
      <c r="AI542" s="11" t="inlineStr">
        <is>
          <t>D4</t>
        </is>
      </c>
      <c r="AJ542" s="11" t="inlineStr">
        <is>
          <t>E6</t>
        </is>
      </c>
      <c r="AK542" s="11" t="inlineStr">
        <is>
          <t>PISA-F3</t>
        </is>
      </c>
      <c r="AL542" s="11" t="inlineStr">
        <is>
          <t>PISA-F1</t>
        </is>
      </c>
      <c r="AM542" s="11">
        <f>IF(AK542="FUERA","Fuera del marco",IFERROR(INDEX('Datos - Catálogo PISA'!$C$5:$C$76,MATCH(AK542,'Datos - Catálogo PISA'!$A$5:$A$76,0)),"?"))</f>
        <v/>
      </c>
      <c r="AN542" s="11" t="inlineStr">
        <is>
          <t>Contenido</t>
        </is>
      </c>
      <c r="AO542" s="11" t="n"/>
      <c r="AP542" s="11" t="n"/>
      <c r="AQ542" s="11" t="inlineStr">
        <is>
          <t>Sin contexto</t>
        </is>
      </c>
      <c r="AR542" s="11" t="n"/>
      <c r="AS542" s="11" t="inlineStr">
        <is>
          <t>Media</t>
        </is>
      </c>
      <c r="AT542" s="11" t="inlineStr">
        <is>
          <t>alta</t>
        </is>
      </c>
      <c r="AU542" s="11" t="inlineStr">
        <is>
          <t>Presión hidrostática según profundidad y densidad del líquido.</t>
        </is>
      </c>
      <c r="AV542" s="11" t="inlineStr">
        <is>
          <t>Ciclo 7°–9°</t>
        </is>
      </c>
      <c r="AW542" s="11">
        <f>AF542&amp;"; "&amp;AG542&amp;"; "&amp;AH542&amp;"; "&amp;AI542&amp;"; "&amp;AJ542</f>
        <v/>
      </c>
    </row>
    <row r="543">
      <c r="A543" s="11" t="inlineStr">
        <is>
          <t>T1177-G09-CIE</t>
        </is>
      </c>
      <c r="B543" s="11" t="n">
        <v>9</v>
      </c>
      <c r="C543" s="11" t="inlineStr">
        <is>
          <t>Ciencias</t>
        </is>
      </c>
      <c r="D543" s="11" t="inlineStr">
        <is>
          <t>Matriz_Ciencias_9no_Grado_U1_U7.xlsx</t>
        </is>
      </c>
      <c r="E543" s="11" t="inlineStr">
        <is>
          <t>Unidad 1 - Mecánica de fluidos</t>
        </is>
      </c>
      <c r="F543" s="11" t="n">
        <v>9</v>
      </c>
      <c r="G543" s="11" t="inlineStr">
        <is>
          <t>1. Mecánica de fluidos</t>
        </is>
      </c>
      <c r="H543" s="11" t="inlineStr">
        <is>
          <t>Principio de Bernoulli</t>
        </is>
      </c>
      <c r="I543" s="38" t="inlineStr">
        <is>
          <t>1.7. Relación entre presión y rapidez en un fluido ideal en movimiento a partir de análisis de casos.</t>
        </is>
      </c>
      <c r="J543" s="11" t="inlineStr">
        <is>
          <t>PISA</t>
        </is>
      </c>
      <c r="K543" s="11" t="inlineStr">
        <is>
          <t>T8_27-P5.3</t>
        </is>
      </c>
      <c r="L543" s="11" t="inlineStr"/>
      <c r="M543" s="11">
        <f>IF(K543="FUERA","Fuera del marco",IF(K543="N/A","Sin marco",IFERROR(INDEX('Datos - Catálogo TIMSS'!$C$5:$C$107,MATCH(K543,'Datos - Catálogo TIMSS'!$A$5:$A$107,0)),"Pendiente de clasificar")))</f>
        <v/>
      </c>
      <c r="N543" s="11">
        <f>IF(K543="FUERA","Fuera del marco",IF(K543="N/A","Sin marco",IFERROR(INDEX('Datos - Catálogo TIMSS'!$F$5:$F$107,MATCH(K543,'Datos - Catálogo TIMSS'!$A$5:$A$107,0)),"Pendiente de clasificar")))</f>
        <v/>
      </c>
      <c r="O543" s="11">
        <f>IF(L543="","",IFERROR(INDEX('Datos - Catálogo TIMSS'!$C$5:$C$107,MATCH(L543,'Datos - Catálogo TIMSS'!$A$5:$A$107,0)),"?"))</f>
        <v/>
      </c>
      <c r="P543" s="11" t="inlineStr">
        <is>
          <t>media</t>
        </is>
      </c>
      <c r="Q543" s="38" t="inlineStr">
        <is>
          <t>Bernoulli: presión en fluidos en movimiento, más allá de TIMSS</t>
        </is>
      </c>
      <c r="R543" s="38" t="inlineStr">
        <is>
          <t>Aplicar: relacionar. Razonar: analizar</t>
        </is>
      </c>
      <c r="S543" s="39">
        <f>IFERROR(ISNUMBER(SEARCH("Conocer",$R543))/(ISNUMBER(SEARCH("Conocer",$R543))+ISNUMBER(SEARCH("Aplicar",$R543))+ISNUMBER(SEARCH("Razonar",$R543))),0)</f>
        <v/>
      </c>
      <c r="T543" s="39">
        <f>IFERROR(ISNUMBER(SEARCH("Aplicar",$R543))/(ISNUMBER(SEARCH("Conocer",$R543))+ISNUMBER(SEARCH("Aplicar",$R543))+ISNUMBER(SEARCH("Razonar",$R543))),0)</f>
        <v/>
      </c>
      <c r="U543" s="39">
        <f>IFERROR(ISNUMBER(SEARCH("Razonar",$R543))/(ISNUMBER(SEARCH("Conocer",$R543))+ISNUMBER(SEARCH("Aplicar",$R543))+ISNUMBER(SEARCH("Razonar",$R543))),0)</f>
        <v/>
      </c>
      <c r="V543" s="11" t="inlineStr">
        <is>
          <t>9°</t>
        </is>
      </c>
      <c r="W543" s="11" t="inlineStr">
        <is>
          <t>9°</t>
        </is>
      </c>
      <c r="X543" s="11">
        <f>IF(OR(IFERROR(INDEX('Datos - Catálogo TIMSS'!$I$5:$I$107,MATCH(K543,'Datos - Catálogo TIMSS'!$A$5:$A$107,0)),"No")="Sí",IFERROR(INDEX('Datos - Catálogo TIMSS'!$I$5:$I$107,MATCH(L543,'Datos - Catálogo TIMSS'!$A$5:$A$107,0)),"No")="Sí"),1,0)</f>
        <v/>
      </c>
      <c r="Y543" s="11">
        <f>IF(IFERROR(INDEX('Datos - Catálogo TIMSS'!$J$5:$J$107,MATCH(K543,'Datos - Catálogo TIMSS'!$A$5:$A$107,0)),"No")="Sí",1,0)</f>
        <v/>
      </c>
      <c r="Z543" s="11">
        <f>IF(IFERROR(INDEX('Datos - Catálogo TIMSS'!$J$5:$J$107,MATCH(L543,'Datos - Catálogo TIMSS'!$A$5:$A$107,0)),"No")="Sí",1,0)</f>
        <v/>
      </c>
      <c r="AA543" s="11" t="inlineStr">
        <is>
          <t>T8-F5.3</t>
        </is>
      </c>
      <c r="AB543" s="11" t="inlineStr"/>
      <c r="AC543" s="11">
        <f>IF(AA543="FUERA","Fuera del marco",IF(AA543="N/A","Sin marco",IFERROR(INDEX('Datos - TIMSS 2023'!$C$5:$C$105,MATCH(AA543,'Datos - TIMSS 2023'!$A$5:$A$105,0)),"Pendiente de clasificar")))</f>
        <v/>
      </c>
      <c r="AD543" s="11" t="inlineStr">
        <is>
          <t>1. Explicar fenómenos científicamente</t>
        </is>
      </c>
      <c r="AE543" s="11">
        <f>IF(AD543="","",IF(LEFT(AD543,1)="1","C1",IF(LEFT(AD543,1)="2","C2",IF(LEFT(AD543,1)="3","C3",""))))</f>
        <v/>
      </c>
      <c r="AF543" s="11" t="inlineStr">
        <is>
          <t>E1</t>
        </is>
      </c>
      <c r="AG543" s="11" t="inlineStr">
        <is>
          <t>D1</t>
        </is>
      </c>
      <c r="AH543" s="11" t="inlineStr">
        <is>
          <t>E1</t>
        </is>
      </c>
      <c r="AI543" s="11" t="inlineStr">
        <is>
          <t>D4</t>
        </is>
      </c>
      <c r="AJ543" s="11" t="inlineStr">
        <is>
          <t>E6</t>
        </is>
      </c>
      <c r="AK543" s="11" t="inlineStr">
        <is>
          <t>PISA-F3</t>
        </is>
      </c>
      <c r="AL543" s="11" t="n"/>
      <c r="AM543" s="11">
        <f>IF(AK543="FUERA","Fuera del marco",IFERROR(INDEX('Datos - Catálogo PISA'!$C$5:$C$76,MATCH(AK543,'Datos - Catálogo PISA'!$A$5:$A$76,0)),"?"))</f>
        <v/>
      </c>
      <c r="AN543" s="11" t="inlineStr">
        <is>
          <t>Contenido</t>
        </is>
      </c>
      <c r="AO543" s="11" t="n"/>
      <c r="AP543" s="11" t="n"/>
      <c r="AQ543" s="11" t="inlineStr">
        <is>
          <t>Sin contexto</t>
        </is>
      </c>
      <c r="AR543" s="11" t="n"/>
      <c r="AS543" s="11" t="inlineStr">
        <is>
          <t>Media</t>
        </is>
      </c>
      <c r="AT543" s="11" t="inlineStr">
        <is>
          <t>media</t>
        </is>
      </c>
      <c r="AU543" s="11" t="inlineStr">
        <is>
          <t>Relación presión-rapidez en fluidos en movimiento.</t>
        </is>
      </c>
      <c r="AV543" s="11" t="inlineStr">
        <is>
          <t>Ciclo 7°–9°</t>
        </is>
      </c>
      <c r="AW543" s="11">
        <f>AF543&amp;"; "&amp;AG543&amp;"; "&amp;AH543&amp;"; "&amp;AI543&amp;"; "&amp;AJ543</f>
        <v/>
      </c>
    </row>
    <row r="544">
      <c r="A544" s="11" t="inlineStr">
        <is>
          <t>T1178-G09-CIE</t>
        </is>
      </c>
      <c r="B544" s="11" t="n">
        <v>9</v>
      </c>
      <c r="C544" s="11" t="inlineStr">
        <is>
          <t>Ciencias</t>
        </is>
      </c>
      <c r="D544" s="11" t="inlineStr">
        <is>
          <t>Matriz_Ciencias_9no_Grado_U1_U7.xlsx</t>
        </is>
      </c>
      <c r="E544" s="11" t="inlineStr">
        <is>
          <t>Unidad 1 - Mecánica de fluidos</t>
        </is>
      </c>
      <c r="F544" s="11" t="n">
        <v>10</v>
      </c>
      <c r="G544" s="11" t="inlineStr">
        <is>
          <t>1. Mecánica de fluidos</t>
        </is>
      </c>
      <c r="H544" s="11" t="inlineStr">
        <is>
          <t>Teorema de Torricelli</t>
        </is>
      </c>
      <c r="I544" s="38" t="inlineStr">
        <is>
          <t>1.8. Comprobación experimental del teorema de Torricelli empleando líquidos en recipientes perforados.</t>
        </is>
      </c>
      <c r="J544" s="11" t="inlineStr">
        <is>
          <t>PISA</t>
        </is>
      </c>
      <c r="K544" s="11" t="inlineStr">
        <is>
          <t>T8_27-P5.3</t>
        </is>
      </c>
      <c r="L544" s="11" t="inlineStr">
        <is>
          <t>T8_27-P6.1</t>
        </is>
      </c>
      <c r="M544" s="11">
        <f>IF(K544="FUERA","Fuera del marco",IF(K544="N/A","Sin marco",IFERROR(INDEX('Datos - Catálogo TIMSS'!$C$5:$C$107,MATCH(K544,'Datos - Catálogo TIMSS'!$A$5:$A$107,0)),"Pendiente de clasificar")))</f>
        <v/>
      </c>
      <c r="N544" s="11">
        <f>IF(K544="FUERA","Fuera del marco",IF(K544="N/A","Sin marco",IFERROR(INDEX('Datos - Catálogo TIMSS'!$F$5:$F$107,MATCH(K544,'Datos - Catálogo TIMSS'!$A$5:$A$107,0)),"Pendiente de clasificar")))</f>
        <v/>
      </c>
      <c r="O544" s="11">
        <f>IF(L544="","",IFERROR(INDEX('Datos - Catálogo TIMSS'!$C$5:$C$107,MATCH(L544,'Datos - Catálogo TIMSS'!$A$5:$A$107,0)),"?"))</f>
        <v/>
      </c>
      <c r="P544" s="11" t="inlineStr">
        <is>
          <t>media</t>
        </is>
      </c>
      <c r="Q544" s="38" t="inlineStr">
        <is>
          <t>Torricelli: presión y salida de líquido, con registro experimental</t>
        </is>
      </c>
      <c r="R544" s="38" t="inlineStr">
        <is>
          <t>Aplicar: medir. Razonar: comparar</t>
        </is>
      </c>
      <c r="S544" s="39">
        <f>IFERROR(ISNUMBER(SEARCH("Conocer",$R544))/(ISNUMBER(SEARCH("Conocer",$R544))+ISNUMBER(SEARCH("Aplicar",$R544))+ISNUMBER(SEARCH("Razonar",$R544))),0)</f>
        <v/>
      </c>
      <c r="T544" s="39">
        <f>IFERROR(ISNUMBER(SEARCH("Aplicar",$R544))/(ISNUMBER(SEARCH("Conocer",$R544))+ISNUMBER(SEARCH("Aplicar",$R544))+ISNUMBER(SEARCH("Razonar",$R544))),0)</f>
        <v/>
      </c>
      <c r="U544" s="39">
        <f>IFERROR(ISNUMBER(SEARCH("Razonar",$R544))/(ISNUMBER(SEARCH("Conocer",$R544))+ISNUMBER(SEARCH("Aplicar",$R544))+ISNUMBER(SEARCH("Razonar",$R544))),0)</f>
        <v/>
      </c>
      <c r="V544" s="11" t="inlineStr">
        <is>
          <t>9°</t>
        </is>
      </c>
      <c r="W544" s="11" t="inlineStr">
        <is>
          <t>9°</t>
        </is>
      </c>
      <c r="X544" s="11">
        <f>IF(OR(IFERROR(INDEX('Datos - Catálogo TIMSS'!$I$5:$I$107,MATCH(K544,'Datos - Catálogo TIMSS'!$A$5:$A$107,0)),"No")="Sí",IFERROR(INDEX('Datos - Catálogo TIMSS'!$I$5:$I$107,MATCH(L544,'Datos - Catálogo TIMSS'!$A$5:$A$107,0)),"No")="Sí"),1,0)</f>
        <v/>
      </c>
      <c r="Y544" s="11">
        <f>IF(IFERROR(INDEX('Datos - Catálogo TIMSS'!$J$5:$J$107,MATCH(K544,'Datos - Catálogo TIMSS'!$A$5:$A$107,0)),"No")="Sí",1,0)</f>
        <v/>
      </c>
      <c r="Z544" s="11">
        <f>IF(IFERROR(INDEX('Datos - Catálogo TIMSS'!$J$5:$J$107,MATCH(L544,'Datos - Catálogo TIMSS'!$A$5:$A$107,0)),"No")="Sí",1,0)</f>
        <v/>
      </c>
      <c r="AA544" s="11" t="inlineStr">
        <is>
          <t>T8-F5.3</t>
        </is>
      </c>
      <c r="AB544" s="11" t="inlineStr"/>
      <c r="AC544" s="11">
        <f>IF(AA544="FUERA","Fuera del marco",IF(AA544="N/A","Sin marco",IFERROR(INDEX('Datos - TIMSS 2023'!$C$5:$C$105,MATCH(AA544,'Datos - TIMSS 2023'!$A$5:$A$105,0)),"Pendiente de clasificar")))</f>
        <v/>
      </c>
      <c r="AD544" s="11" t="inlineStr">
        <is>
          <t>2. Construir y evaluar diseños para la indagación científica e interpretar datos y evidencia de forma crítica</t>
        </is>
      </c>
      <c r="AE544" s="11">
        <f>IF(AD544="","",IF(LEFT(AD544,1)="1","C1",IF(LEFT(AD544,1)="2","C2",IF(LEFT(AD544,1)="3","C3",""))))</f>
        <v/>
      </c>
      <c r="AF544" s="11" t="inlineStr">
        <is>
          <t>E1</t>
        </is>
      </c>
      <c r="AG544" s="11" t="inlineStr">
        <is>
          <t>E3</t>
        </is>
      </c>
      <c r="AH544" s="11" t="inlineStr">
        <is>
          <t>E1</t>
        </is>
      </c>
      <c r="AI544" s="11" t="inlineStr">
        <is>
          <t>D4</t>
        </is>
      </c>
      <c r="AJ544" s="11" t="inlineStr">
        <is>
          <t>E3</t>
        </is>
      </c>
      <c r="AK544" s="11" t="inlineStr">
        <is>
          <t>PISA-F3</t>
        </is>
      </c>
      <c r="AL544" s="11" t="n"/>
      <c r="AM544" s="11">
        <f>IF(AK544="FUERA","Fuera del marco",IFERROR(INDEX('Datos - Catálogo PISA'!$C$5:$C$76,MATCH(AK544,'Datos - Catálogo PISA'!$A$5:$A$76,0)),"?"))</f>
        <v/>
      </c>
      <c r="AN544" s="11" t="inlineStr">
        <is>
          <t>Contenido</t>
        </is>
      </c>
      <c r="AO544" s="11" t="inlineStr">
        <is>
          <t>PISA-PR1; PISA-PR2;</t>
        </is>
      </c>
      <c r="AP544" s="11" t="n"/>
      <c r="AQ544" s="11" t="inlineStr">
        <is>
          <t>Sin contexto</t>
        </is>
      </c>
      <c r="AR544" s="11" t="n"/>
      <c r="AS544" s="11" t="inlineStr">
        <is>
          <t>Media</t>
        </is>
      </c>
      <c r="AT544" s="11" t="inlineStr">
        <is>
          <t>media</t>
        </is>
      </c>
      <c r="AU544" s="11" t="inlineStr">
        <is>
          <t>Rapidez de salida del líquido según altura; mide alcance.</t>
        </is>
      </c>
      <c r="AV544" s="11" t="inlineStr">
        <is>
          <t>Ciclo 7°–9°</t>
        </is>
      </c>
      <c r="AW544" s="11">
        <f>AF544&amp;"; "&amp;AG544&amp;"; "&amp;AH544&amp;"; "&amp;AI544&amp;"; "&amp;AJ544</f>
        <v/>
      </c>
    </row>
    <row r="545">
      <c r="A545" s="11" t="inlineStr">
        <is>
          <t>T1179-G09-CIE</t>
        </is>
      </c>
      <c r="B545" s="11" t="n">
        <v>9</v>
      </c>
      <c r="C545" s="11" t="inlineStr">
        <is>
          <t>Ciencias</t>
        </is>
      </c>
      <c r="D545" s="11" t="inlineStr">
        <is>
          <t>Matriz_Ciencias_9no_Grado_U1_U7.xlsx</t>
        </is>
      </c>
      <c r="E545" s="11" t="inlineStr">
        <is>
          <t>Unidad 1 - Mecánica de fluidos</t>
        </is>
      </c>
      <c r="F545" s="11" t="n">
        <v>11</v>
      </c>
      <c r="G545" s="11" t="inlineStr">
        <is>
          <t>1. Mecánica de fluidos</t>
        </is>
      </c>
      <c r="H545" s="11" t="inlineStr">
        <is>
          <t>Teorema de Torricelli</t>
        </is>
      </c>
      <c r="I545" s="38" t="inlineStr">
        <is>
          <t>1.9 Cálculo de la rapidez de salida de un líquido por un orificio a partir del teorema de Torricelli.</t>
        </is>
      </c>
      <c r="J545" s="11" t="inlineStr">
        <is>
          <t>PISA</t>
        </is>
      </c>
      <c r="K545" s="11" t="inlineStr">
        <is>
          <t>T8_27-P5.3</t>
        </is>
      </c>
      <c r="L545" s="11" t="inlineStr"/>
      <c r="M545" s="11">
        <f>IF(K545="FUERA","Fuera del marco",IF(K545="N/A","Sin marco",IFERROR(INDEX('Datos - Catálogo TIMSS'!$C$5:$C$107,MATCH(K545,'Datos - Catálogo TIMSS'!$A$5:$A$107,0)),"Pendiente de clasificar")))</f>
        <v/>
      </c>
      <c r="N545" s="11">
        <f>IF(K545="FUERA","Fuera del marco",IF(K545="N/A","Sin marco",IFERROR(INDEX('Datos - Catálogo TIMSS'!$F$5:$F$107,MATCH(K545,'Datos - Catálogo TIMSS'!$A$5:$A$107,0)),"Pendiente de clasificar")))</f>
        <v/>
      </c>
      <c r="O545" s="11">
        <f>IF(L545="","",IFERROR(INDEX('Datos - Catálogo TIMSS'!$C$5:$C$107,MATCH(L545,'Datos - Catálogo TIMSS'!$A$5:$A$107,0)),"?"))</f>
        <v/>
      </c>
      <c r="P545" s="11" t="inlineStr">
        <is>
          <t>media</t>
        </is>
      </c>
      <c r="Q545" s="38" t="inlineStr">
        <is>
          <t>Rapidez de salida por presión hidrostática; nivel superior a TIMSS</t>
        </is>
      </c>
      <c r="R545" s="38" t="inlineStr">
        <is>
          <t>Aplicar: calcular</t>
        </is>
      </c>
      <c r="S545" s="39">
        <f>IFERROR(ISNUMBER(SEARCH("Conocer",$R545))/(ISNUMBER(SEARCH("Conocer",$R545))+ISNUMBER(SEARCH("Aplicar",$R545))+ISNUMBER(SEARCH("Razonar",$R545))),0)</f>
        <v/>
      </c>
      <c r="T545" s="39">
        <f>IFERROR(ISNUMBER(SEARCH("Aplicar",$R545))/(ISNUMBER(SEARCH("Conocer",$R545))+ISNUMBER(SEARCH("Aplicar",$R545))+ISNUMBER(SEARCH("Razonar",$R545))),0)</f>
        <v/>
      </c>
      <c r="U545" s="39">
        <f>IFERROR(ISNUMBER(SEARCH("Razonar",$R545))/(ISNUMBER(SEARCH("Conocer",$R545))+ISNUMBER(SEARCH("Aplicar",$R545))+ISNUMBER(SEARCH("Razonar",$R545))),0)</f>
        <v/>
      </c>
      <c r="V545" s="11" t="inlineStr">
        <is>
          <t>9°</t>
        </is>
      </c>
      <c r="W545" s="11" t="inlineStr">
        <is>
          <t>9°</t>
        </is>
      </c>
      <c r="X545" s="11">
        <f>IF(OR(IFERROR(INDEX('Datos - Catálogo TIMSS'!$I$5:$I$107,MATCH(K545,'Datos - Catálogo TIMSS'!$A$5:$A$107,0)),"No")="Sí",IFERROR(INDEX('Datos - Catálogo TIMSS'!$I$5:$I$107,MATCH(L545,'Datos - Catálogo TIMSS'!$A$5:$A$107,0)),"No")="Sí"),1,0)</f>
        <v/>
      </c>
      <c r="Y545" s="11">
        <f>IF(IFERROR(INDEX('Datos - Catálogo TIMSS'!$J$5:$J$107,MATCH(K545,'Datos - Catálogo TIMSS'!$A$5:$A$107,0)),"No")="Sí",1,0)</f>
        <v/>
      </c>
      <c r="Z545" s="11">
        <f>IF(IFERROR(INDEX('Datos - Catálogo TIMSS'!$J$5:$J$107,MATCH(L545,'Datos - Catálogo TIMSS'!$A$5:$A$107,0)),"No")="Sí",1,0)</f>
        <v/>
      </c>
      <c r="AA545" s="11" t="inlineStr">
        <is>
          <t>T8-F5.3</t>
        </is>
      </c>
      <c r="AB545" s="11" t="inlineStr"/>
      <c r="AC545" s="11">
        <f>IF(AA545="FUERA","Fuera del marco",IF(AA545="N/A","Sin marco",IFERROR(INDEX('Datos - TIMSS 2023'!$C$5:$C$105,MATCH(AA545,'Datos - TIMSS 2023'!$A$5:$A$105,0)),"Pendiente de clasificar")))</f>
        <v/>
      </c>
      <c r="AD545" s="11" t="inlineStr">
        <is>
          <t>2. Construir y evaluar diseños para la indagación científica e interpretar datos y evidencia de forma crítica</t>
        </is>
      </c>
      <c r="AE545" s="11">
        <f>IF(AD545="","",IF(LEFT(AD545,1)="1","C1",IF(LEFT(AD545,1)="2","C2",IF(LEFT(AD545,1)="3","C3",""))))</f>
        <v/>
      </c>
      <c r="AF545" s="11" t="inlineStr">
        <is>
          <t>E1</t>
        </is>
      </c>
      <c r="AG545" s="11" t="inlineStr">
        <is>
          <t>D1</t>
        </is>
      </c>
      <c r="AH545" s="11" t="inlineStr">
        <is>
          <t>E1</t>
        </is>
      </c>
      <c r="AI545" s="11" t="inlineStr">
        <is>
          <t>D4</t>
        </is>
      </c>
      <c r="AJ545" s="11" t="inlineStr">
        <is>
          <t>E3</t>
        </is>
      </c>
      <c r="AK545" s="11" t="inlineStr">
        <is>
          <t>PISA-F3</t>
        </is>
      </c>
      <c r="AL545" s="11" t="inlineStr">
        <is>
          <t>PISA-F4</t>
        </is>
      </c>
      <c r="AM545" s="11">
        <f>IF(AK545="FUERA","Fuera del marco",IFERROR(INDEX('Datos - Catálogo PISA'!$C$5:$C$76,MATCH(AK545,'Datos - Catálogo PISA'!$A$5:$A$76,0)),"?"))</f>
        <v/>
      </c>
      <c r="AN545" s="11" t="inlineStr">
        <is>
          <t>Contenido</t>
        </is>
      </c>
      <c r="AO545" s="11" t="inlineStr">
        <is>
          <t>PISA-PR4;</t>
        </is>
      </c>
      <c r="AP545" s="11" t="n"/>
      <c r="AQ545" s="11" t="inlineStr">
        <is>
          <t>Sin contexto</t>
        </is>
      </c>
      <c r="AR545" s="11" t="n"/>
      <c r="AS545" s="11" t="inlineStr">
        <is>
          <t>Media</t>
        </is>
      </c>
      <c r="AT545" s="11" t="inlineStr">
        <is>
          <t>media</t>
        </is>
      </c>
      <c r="AU545" s="11" t="inlineStr">
        <is>
          <t>Rapidez de salida por Torricelli comparada con la medición.</t>
        </is>
      </c>
      <c r="AV545" s="11" t="inlineStr">
        <is>
          <t>Ciclo 7°–9°</t>
        </is>
      </c>
      <c r="AW545" s="11">
        <f>AF545&amp;"; "&amp;AG545&amp;"; "&amp;AH545&amp;"; "&amp;AI545&amp;"; "&amp;AJ545</f>
        <v/>
      </c>
    </row>
    <row r="546">
      <c r="A546" s="11" t="inlineStr">
        <is>
          <t>T1180-G09-CIE</t>
        </is>
      </c>
      <c r="B546" s="11" t="n">
        <v>9</v>
      </c>
      <c r="C546" s="11" t="inlineStr">
        <is>
          <t>Ciencias</t>
        </is>
      </c>
      <c r="D546" s="11" t="inlineStr">
        <is>
          <t>Matriz_Ciencias_9no_Grado_U1_U7.xlsx</t>
        </is>
      </c>
      <c r="E546" s="11" t="inlineStr">
        <is>
          <t>Unidad 1 - Mecánica de fluidos</t>
        </is>
      </c>
      <c r="F546" s="11" t="n">
        <v>12</v>
      </c>
      <c r="G546" s="11" t="inlineStr">
        <is>
          <t>1. Mecánica de fluidos</t>
        </is>
      </c>
      <c r="H546" s="11" t="inlineStr">
        <is>
          <t>Ley de Stokes</t>
        </is>
      </c>
      <c r="I546" s="38" t="inlineStr">
        <is>
          <t>1.10. Medición de magnitudes físicas que permitan calcular la viscosidad de un fluido.</t>
        </is>
      </c>
      <c r="J546" s="11" t="inlineStr">
        <is>
          <t>PISA</t>
        </is>
      </c>
      <c r="K546" s="11" t="inlineStr">
        <is>
          <t>T8_27-P5.3</t>
        </is>
      </c>
      <c r="L546" s="11" t="inlineStr">
        <is>
          <t>T8_27-P6.1</t>
        </is>
      </c>
      <c r="M546" s="11">
        <f>IF(K546="FUERA","Fuera del marco",IF(K546="N/A","Sin marco",IFERROR(INDEX('Datos - Catálogo TIMSS'!$C$5:$C$107,MATCH(K546,'Datos - Catálogo TIMSS'!$A$5:$A$107,0)),"Pendiente de clasificar")))</f>
        <v/>
      </c>
      <c r="N546" s="11">
        <f>IF(K546="FUERA","Fuera del marco",IF(K546="N/A","Sin marco",IFERROR(INDEX('Datos - Catálogo TIMSS'!$F$5:$F$107,MATCH(K546,'Datos - Catálogo TIMSS'!$A$5:$A$107,0)),"Pendiente de clasificar")))</f>
        <v/>
      </c>
      <c r="O546" s="11">
        <f>IF(L546="","",IFERROR(INDEX('Datos - Catálogo TIMSS'!$C$5:$C$107,MATCH(L546,'Datos - Catálogo TIMSS'!$A$5:$A$107,0)),"?"))</f>
        <v/>
      </c>
      <c r="P546" s="11" t="inlineStr">
        <is>
          <t>media</t>
        </is>
      </c>
      <c r="Q546" s="38" t="inlineStr">
        <is>
          <t>Viscosidad: efecto de fricción del fluido sobre la caída</t>
        </is>
      </c>
      <c r="R546" s="38" t="inlineStr">
        <is>
          <t>Aplicar: medir</t>
        </is>
      </c>
      <c r="S546" s="39">
        <f>IFERROR(ISNUMBER(SEARCH("Conocer",$R546))/(ISNUMBER(SEARCH("Conocer",$R546))+ISNUMBER(SEARCH("Aplicar",$R546))+ISNUMBER(SEARCH("Razonar",$R546))),0)</f>
        <v/>
      </c>
      <c r="T546" s="39">
        <f>IFERROR(ISNUMBER(SEARCH("Aplicar",$R546))/(ISNUMBER(SEARCH("Conocer",$R546))+ISNUMBER(SEARCH("Aplicar",$R546))+ISNUMBER(SEARCH("Razonar",$R546))),0)</f>
        <v/>
      </c>
      <c r="U546" s="39">
        <f>IFERROR(ISNUMBER(SEARCH("Razonar",$R546))/(ISNUMBER(SEARCH("Conocer",$R546))+ISNUMBER(SEARCH("Aplicar",$R546))+ISNUMBER(SEARCH("Razonar",$R546))),0)</f>
        <v/>
      </c>
      <c r="V546" s="11" t="inlineStr">
        <is>
          <t>9°</t>
        </is>
      </c>
      <c r="W546" s="11" t="inlineStr">
        <is>
          <t>9°</t>
        </is>
      </c>
      <c r="X546" s="11">
        <f>IF(OR(IFERROR(INDEX('Datos - Catálogo TIMSS'!$I$5:$I$107,MATCH(K546,'Datos - Catálogo TIMSS'!$A$5:$A$107,0)),"No")="Sí",IFERROR(INDEX('Datos - Catálogo TIMSS'!$I$5:$I$107,MATCH(L546,'Datos - Catálogo TIMSS'!$A$5:$A$107,0)),"No")="Sí"),1,0)</f>
        <v/>
      </c>
      <c r="Y546" s="11">
        <f>IF(IFERROR(INDEX('Datos - Catálogo TIMSS'!$J$5:$J$107,MATCH(K546,'Datos - Catálogo TIMSS'!$A$5:$A$107,0)),"No")="Sí",1,0)</f>
        <v/>
      </c>
      <c r="Z546" s="11">
        <f>IF(IFERROR(INDEX('Datos - Catálogo TIMSS'!$J$5:$J$107,MATCH(L546,'Datos - Catálogo TIMSS'!$A$5:$A$107,0)),"No")="Sí",1,0)</f>
        <v/>
      </c>
      <c r="AA546" s="11" t="inlineStr">
        <is>
          <t>T8-F5.2</t>
        </is>
      </c>
      <c r="AB546" s="11" t="inlineStr"/>
      <c r="AC546" s="11">
        <f>IF(AA546="FUERA","Fuera del marco",IF(AA546="N/A","Sin marco",IFERROR(INDEX('Datos - TIMSS 2023'!$C$5:$C$105,MATCH(AA546,'Datos - TIMSS 2023'!$A$5:$A$105,0)),"Pendiente de clasificar")))</f>
        <v/>
      </c>
      <c r="AD546" s="11" t="inlineStr">
        <is>
          <t>2. Construir y evaluar diseños para la indagación científica e interpretar datos y evidencia de forma crítica</t>
        </is>
      </c>
      <c r="AE546" s="11">
        <f>IF(AD546="","",IF(LEFT(AD546,1)="1","C1",IF(LEFT(AD546,1)="2","C2",IF(LEFT(AD546,1)="3","C3",""))))</f>
        <v/>
      </c>
      <c r="AF546" s="11" t="inlineStr">
        <is>
          <t>E1</t>
        </is>
      </c>
      <c r="AG546" s="11" t="inlineStr">
        <is>
          <t>D1</t>
        </is>
      </c>
      <c r="AH546" s="11" t="inlineStr">
        <is>
          <t>E1</t>
        </is>
      </c>
      <c r="AI546" s="11" t="inlineStr">
        <is>
          <t>D2</t>
        </is>
      </c>
      <c r="AJ546" s="11" t="inlineStr">
        <is>
          <t>E3</t>
        </is>
      </c>
      <c r="AK546" s="11" t="inlineStr">
        <is>
          <t>PISA-F3</t>
        </is>
      </c>
      <c r="AL546" s="11" t="inlineStr">
        <is>
          <t>PISA-F1</t>
        </is>
      </c>
      <c r="AM546" s="11">
        <f>IF(AK546="FUERA","Fuera del marco",IFERROR(INDEX('Datos - Catálogo PISA'!$C$5:$C$76,MATCH(AK546,'Datos - Catálogo PISA'!$A$5:$A$76,0)),"?"))</f>
        <v/>
      </c>
      <c r="AN546" s="11" t="inlineStr">
        <is>
          <t>Procedimental</t>
        </is>
      </c>
      <c r="AO546" s="11" t="inlineStr">
        <is>
          <t>PISA-PR2; PISA-PR5;</t>
        </is>
      </c>
      <c r="AP546" s="11" t="n"/>
      <c r="AQ546" s="11" t="inlineStr">
        <is>
          <t>Sin contexto</t>
        </is>
      </c>
      <c r="AR546" s="11" t="n"/>
      <c r="AS546" s="11" t="inlineStr">
        <is>
          <t>Media</t>
        </is>
      </c>
      <c r="AT546" s="11" t="inlineStr">
        <is>
          <t>media</t>
        </is>
      </c>
      <c r="AU546" s="11" t="inlineStr">
        <is>
          <t>Foco en medir magnitudes para calcular viscosidad del fluido.</t>
        </is>
      </c>
      <c r="AV546" s="11" t="inlineStr">
        <is>
          <t>Ciclo 7°–9°</t>
        </is>
      </c>
      <c r="AW546" s="11">
        <f>AF546&amp;"; "&amp;AG546&amp;"; "&amp;AH546&amp;"; "&amp;AI546&amp;"; "&amp;AJ546</f>
        <v/>
      </c>
    </row>
    <row r="547">
      <c r="A547" s="11" t="inlineStr">
        <is>
          <t>T1181-G09-CIE</t>
        </is>
      </c>
      <c r="B547" s="11" t="n">
        <v>9</v>
      </c>
      <c r="C547" s="11" t="inlineStr">
        <is>
          <t>Ciencias</t>
        </is>
      </c>
      <c r="D547" s="11" t="inlineStr">
        <is>
          <t>Matriz_Ciencias_9no_Grado_U1_U7.xlsx</t>
        </is>
      </c>
      <c r="E547" s="11" t="inlineStr">
        <is>
          <t>Unidad 1 - Mecánica de fluidos</t>
        </is>
      </c>
      <c r="F547" s="11" t="n">
        <v>13</v>
      </c>
      <c r="G547" s="11" t="inlineStr">
        <is>
          <t>1. Mecánica de fluidos</t>
        </is>
      </c>
      <c r="H547" s="11" t="inlineStr">
        <is>
          <t>Ley de Stokes</t>
        </is>
      </c>
      <c r="I547" s="38" t="inlineStr">
        <is>
          <t>1.11. Comprobación experimental de la ley de Stokes.</t>
        </is>
      </c>
      <c r="J547" s="11" t="inlineStr">
        <is>
          <t>PISA</t>
        </is>
      </c>
      <c r="K547" s="11" t="inlineStr">
        <is>
          <t>T8_27-P5.3</t>
        </is>
      </c>
      <c r="L547" s="11" t="inlineStr">
        <is>
          <t>T8_27-P6.1</t>
        </is>
      </c>
      <c r="M547" s="11">
        <f>IF(K547="FUERA","Fuera del marco",IF(K547="N/A","Sin marco",IFERROR(INDEX('Datos - Catálogo TIMSS'!$C$5:$C$107,MATCH(K547,'Datos - Catálogo TIMSS'!$A$5:$A$107,0)),"Pendiente de clasificar")))</f>
        <v/>
      </c>
      <c r="N547" s="11">
        <f>IF(K547="FUERA","Fuera del marco",IF(K547="N/A","Sin marco",IFERROR(INDEX('Datos - Catálogo TIMSS'!$F$5:$F$107,MATCH(K547,'Datos - Catálogo TIMSS'!$A$5:$A$107,0)),"Pendiente de clasificar")))</f>
        <v/>
      </c>
      <c r="O547" s="11">
        <f>IF(L547="","",IFERROR(INDEX('Datos - Catálogo TIMSS'!$C$5:$C$107,MATCH(L547,'Datos - Catálogo TIMSS'!$A$5:$A$107,0)),"?"))</f>
        <v/>
      </c>
      <c r="P547" s="11" t="inlineStr">
        <is>
          <t>media</t>
        </is>
      </c>
      <c r="Q547" s="38" t="inlineStr">
        <is>
          <t>Ley de Stokes: fricción del fluido, comparación experimental-teórica</t>
        </is>
      </c>
      <c r="R547" s="38" t="inlineStr">
        <is>
          <t>Razonar: comparar teoría y experimento</t>
        </is>
      </c>
      <c r="S547" s="39">
        <f>IFERROR(ISNUMBER(SEARCH("Conocer",$R547))/(ISNUMBER(SEARCH("Conocer",$R547))+ISNUMBER(SEARCH("Aplicar",$R547))+ISNUMBER(SEARCH("Razonar",$R547))),0)</f>
        <v/>
      </c>
      <c r="T547" s="39">
        <f>IFERROR(ISNUMBER(SEARCH("Aplicar",$R547))/(ISNUMBER(SEARCH("Conocer",$R547))+ISNUMBER(SEARCH("Aplicar",$R547))+ISNUMBER(SEARCH("Razonar",$R547))),0)</f>
        <v/>
      </c>
      <c r="U547" s="39">
        <f>IFERROR(ISNUMBER(SEARCH("Razonar",$R547))/(ISNUMBER(SEARCH("Conocer",$R547))+ISNUMBER(SEARCH("Aplicar",$R547))+ISNUMBER(SEARCH("Razonar",$R547))),0)</f>
        <v/>
      </c>
      <c r="V547" s="11" t="inlineStr">
        <is>
          <t>9°</t>
        </is>
      </c>
      <c r="W547" s="11" t="inlineStr">
        <is>
          <t>9°</t>
        </is>
      </c>
      <c r="X547" s="11">
        <f>IF(OR(IFERROR(INDEX('Datos - Catálogo TIMSS'!$I$5:$I$107,MATCH(K547,'Datos - Catálogo TIMSS'!$A$5:$A$107,0)),"No")="Sí",IFERROR(INDEX('Datos - Catálogo TIMSS'!$I$5:$I$107,MATCH(L547,'Datos - Catálogo TIMSS'!$A$5:$A$107,0)),"No")="Sí"),1,0)</f>
        <v/>
      </c>
      <c r="Y547" s="11">
        <f>IF(IFERROR(INDEX('Datos - Catálogo TIMSS'!$J$5:$J$107,MATCH(K547,'Datos - Catálogo TIMSS'!$A$5:$A$107,0)),"No")="Sí",1,0)</f>
        <v/>
      </c>
      <c r="Z547" s="11">
        <f>IF(IFERROR(INDEX('Datos - Catálogo TIMSS'!$J$5:$J$107,MATCH(L547,'Datos - Catálogo TIMSS'!$A$5:$A$107,0)),"No")="Sí",1,0)</f>
        <v/>
      </c>
      <c r="AA547" s="11" t="inlineStr">
        <is>
          <t>T8-F5.2</t>
        </is>
      </c>
      <c r="AB547" s="11" t="inlineStr"/>
      <c r="AC547" s="11">
        <f>IF(AA547="FUERA","Fuera del marco",IF(AA547="N/A","Sin marco",IFERROR(INDEX('Datos - TIMSS 2023'!$C$5:$C$105,MATCH(AA547,'Datos - TIMSS 2023'!$A$5:$A$105,0)),"Pendiente de clasificar")))</f>
        <v/>
      </c>
      <c r="AD547" s="11" t="inlineStr">
        <is>
          <t>2. Construir y evaluar diseños para la indagación científica e interpretar datos y evidencia de forma crítica</t>
        </is>
      </c>
      <c r="AE547" s="11">
        <f>IF(AD547="","",IF(LEFT(AD547,1)="1","C1",IF(LEFT(AD547,1)="2","C2",IF(LEFT(AD547,1)="3","C3",""))))</f>
        <v/>
      </c>
      <c r="AF547" s="11" t="inlineStr">
        <is>
          <t>E1</t>
        </is>
      </c>
      <c r="AG547" s="11" t="inlineStr">
        <is>
          <t>D1</t>
        </is>
      </c>
      <c r="AH547" s="11" t="inlineStr">
        <is>
          <t>E1</t>
        </is>
      </c>
      <c r="AI547" s="11" t="inlineStr">
        <is>
          <t>D4</t>
        </is>
      </c>
      <c r="AJ547" s="11" t="inlineStr">
        <is>
          <t>I4</t>
        </is>
      </c>
      <c r="AK547" s="11" t="inlineStr">
        <is>
          <t>PISA-F3</t>
        </is>
      </c>
      <c r="AL547" s="11" t="n"/>
      <c r="AM547" s="11">
        <f>IF(AK547="FUERA","Fuera del marco",IFERROR(INDEX('Datos - Catálogo PISA'!$C$5:$C$76,MATCH(AK547,'Datos - Catálogo PISA'!$A$5:$A$76,0)),"?"))</f>
        <v/>
      </c>
      <c r="AN547" s="11" t="inlineStr">
        <is>
          <t>Contenido</t>
        </is>
      </c>
      <c r="AO547" s="11" t="inlineStr">
        <is>
          <t>PISA-PR4;</t>
        </is>
      </c>
      <c r="AP547" s="11" t="inlineStr">
        <is>
          <t>PISA-EP6;</t>
        </is>
      </c>
      <c r="AQ547" s="11" t="inlineStr">
        <is>
          <t>Sin contexto</t>
        </is>
      </c>
      <c r="AR547" s="11" t="n"/>
      <c r="AS547" s="11" t="inlineStr">
        <is>
          <t>Alta</t>
        </is>
      </c>
      <c r="AT547" s="11" t="inlineStr">
        <is>
          <t>media</t>
        </is>
      </c>
      <c r="AU547" s="11" t="inlineStr">
        <is>
          <t>Fricción viscosa: contrasta datos experimentales con el modelo de Stokes.</t>
        </is>
      </c>
      <c r="AV547" s="11" t="inlineStr">
        <is>
          <t>Ciclo 7°–9°</t>
        </is>
      </c>
      <c r="AW547" s="11">
        <f>AF547&amp;"; "&amp;AG547&amp;"; "&amp;AH547&amp;"; "&amp;AI547&amp;"; "&amp;AJ547</f>
        <v/>
      </c>
    </row>
    <row r="548">
      <c r="A548" s="11" t="inlineStr">
        <is>
          <t>T1182-G09-CIE</t>
        </is>
      </c>
      <c r="B548" s="11" t="n">
        <v>9</v>
      </c>
      <c r="C548" s="11" t="inlineStr">
        <is>
          <t>Ciencias</t>
        </is>
      </c>
      <c r="D548" s="11" t="inlineStr">
        <is>
          <t>Matriz_Ciencias_9no_Grado_U1_U7.xlsx</t>
        </is>
      </c>
      <c r="E548" s="11" t="inlineStr">
        <is>
          <t>Unidad 1 - Mecánica de fluidos</t>
        </is>
      </c>
      <c r="F548" s="11" t="n">
        <v>14</v>
      </c>
      <c r="G548" s="11" t="inlineStr">
        <is>
          <t>1. Mecánica de fluidos</t>
        </is>
      </c>
      <c r="H548" s="11" t="inlineStr">
        <is>
          <t>Ley de Stokes</t>
        </is>
      </c>
      <c r="I548" s="38" t="inlineStr">
        <is>
          <t>1.12. Resolución de problemas teóricos sobre hidrodinámica.</t>
        </is>
      </c>
      <c r="J548" s="11" t="inlineStr">
        <is>
          <t>PISA</t>
        </is>
      </c>
      <c r="K548" s="11" t="inlineStr">
        <is>
          <t>T8_27-P5.3</t>
        </is>
      </c>
      <c r="L548" s="11" t="inlineStr"/>
      <c r="M548" s="11">
        <f>IF(K548="FUERA","Fuera del marco",IF(K548="N/A","Sin marco",IFERROR(INDEX('Datos - Catálogo TIMSS'!$C$5:$C$107,MATCH(K548,'Datos - Catálogo TIMSS'!$A$5:$A$107,0)),"Pendiente de clasificar")))</f>
        <v/>
      </c>
      <c r="N548" s="11">
        <f>IF(K548="FUERA","Fuera del marco",IF(K548="N/A","Sin marco",IFERROR(INDEX('Datos - Catálogo TIMSS'!$F$5:$F$107,MATCH(K548,'Datos - Catálogo TIMSS'!$A$5:$A$107,0)),"Pendiente de clasificar")))</f>
        <v/>
      </c>
      <c r="O548" s="11">
        <f>IF(L548="","",IFERROR(INDEX('Datos - Catálogo TIMSS'!$C$5:$C$107,MATCH(L548,'Datos - Catálogo TIMSS'!$A$5:$A$107,0)),"?"))</f>
        <v/>
      </c>
      <c r="P548" s="11" t="inlineStr">
        <is>
          <t>baja</t>
        </is>
      </c>
      <c r="Q548" s="38" t="inlineStr">
        <is>
          <t>Hidrodinámica general; encaje parcial con presión y fuerzas</t>
        </is>
      </c>
      <c r="R548" s="38" t="inlineStr">
        <is>
          <t>Aplicar: resolver problemas</t>
        </is>
      </c>
      <c r="S548" s="39">
        <f>IFERROR(ISNUMBER(SEARCH("Conocer",$R548))/(ISNUMBER(SEARCH("Conocer",$R548))+ISNUMBER(SEARCH("Aplicar",$R548))+ISNUMBER(SEARCH("Razonar",$R548))),0)</f>
        <v/>
      </c>
      <c r="T548" s="39">
        <f>IFERROR(ISNUMBER(SEARCH("Aplicar",$R548))/(ISNUMBER(SEARCH("Conocer",$R548))+ISNUMBER(SEARCH("Aplicar",$R548))+ISNUMBER(SEARCH("Razonar",$R548))),0)</f>
        <v/>
      </c>
      <c r="U548" s="39">
        <f>IFERROR(ISNUMBER(SEARCH("Razonar",$R548))/(ISNUMBER(SEARCH("Conocer",$R548))+ISNUMBER(SEARCH("Aplicar",$R548))+ISNUMBER(SEARCH("Razonar",$R548))),0)</f>
        <v/>
      </c>
      <c r="V548" s="11" t="inlineStr">
        <is>
          <t>9°</t>
        </is>
      </c>
      <c r="W548" s="11" t="inlineStr">
        <is>
          <t>9°</t>
        </is>
      </c>
      <c r="X548" s="11">
        <f>IF(OR(IFERROR(INDEX('Datos - Catálogo TIMSS'!$I$5:$I$107,MATCH(K548,'Datos - Catálogo TIMSS'!$A$5:$A$107,0)),"No")="Sí",IFERROR(INDEX('Datos - Catálogo TIMSS'!$I$5:$I$107,MATCH(L548,'Datos - Catálogo TIMSS'!$A$5:$A$107,0)),"No")="Sí"),1,0)</f>
        <v/>
      </c>
      <c r="Y548" s="11">
        <f>IF(IFERROR(INDEX('Datos - Catálogo TIMSS'!$J$5:$J$107,MATCH(K548,'Datos - Catálogo TIMSS'!$A$5:$A$107,0)),"No")="Sí",1,0)</f>
        <v/>
      </c>
      <c r="Z548" s="11">
        <f>IF(IFERROR(INDEX('Datos - Catálogo TIMSS'!$J$5:$J$107,MATCH(L548,'Datos - Catálogo TIMSS'!$A$5:$A$107,0)),"No")="Sí",1,0)</f>
        <v/>
      </c>
      <c r="AA548" s="11" t="inlineStr">
        <is>
          <t>T8-F5.3</t>
        </is>
      </c>
      <c r="AB548" s="11" t="inlineStr"/>
      <c r="AC548" s="11">
        <f>IF(AA548="FUERA","Fuera del marco",IF(AA548="N/A","Sin marco",IFERROR(INDEX('Datos - TIMSS 2023'!$C$5:$C$105,MATCH(AA548,'Datos - TIMSS 2023'!$A$5:$A$105,0)),"Pendiente de clasificar")))</f>
        <v/>
      </c>
      <c r="AD548" s="11" t="inlineStr">
        <is>
          <t>2. Construir y evaluar diseños para la indagación científica e interpretar datos y evidencia de forma crítica</t>
        </is>
      </c>
      <c r="AE548" s="11">
        <f>IF(AD548="","",IF(LEFT(AD548,1)="1","C1",IF(LEFT(AD548,1)="2","C2",IF(LEFT(AD548,1)="3","C3",""))))</f>
        <v/>
      </c>
      <c r="AF548" s="11" t="inlineStr">
        <is>
          <t>E1</t>
        </is>
      </c>
      <c r="AG548" s="11" t="inlineStr">
        <is>
          <t>D1</t>
        </is>
      </c>
      <c r="AH548" s="11" t="inlineStr">
        <is>
          <t>E1</t>
        </is>
      </c>
      <c r="AI548" s="11" t="inlineStr">
        <is>
          <t>D4</t>
        </is>
      </c>
      <c r="AJ548" s="11" t="inlineStr">
        <is>
          <t>E3</t>
        </is>
      </c>
      <c r="AK548" s="11" t="inlineStr">
        <is>
          <t>PISA-F3</t>
        </is>
      </c>
      <c r="AL548" s="11" t="n"/>
      <c r="AM548" s="11">
        <f>IF(AK548="FUERA","Fuera del marco",IFERROR(INDEX('Datos - Catálogo PISA'!$C$5:$C$76,MATCH(AK548,'Datos - Catálogo PISA'!$A$5:$A$76,0)),"?"))</f>
        <v/>
      </c>
      <c r="AN548" s="11" t="inlineStr">
        <is>
          <t>Contenido</t>
        </is>
      </c>
      <c r="AO548" s="11" t="n"/>
      <c r="AP548" s="11" t="n"/>
      <c r="AQ548" s="11" t="inlineStr">
        <is>
          <t>Sin contexto</t>
        </is>
      </c>
      <c r="AR548" s="11" t="n"/>
      <c r="AS548" s="11" t="inlineStr">
        <is>
          <t>Media</t>
        </is>
      </c>
      <c r="AT548" s="11" t="inlineStr">
        <is>
          <t>media</t>
        </is>
      </c>
      <c r="AU548" s="11" t="inlineStr">
        <is>
          <t>Problemas de hidrodinámica: movimiento de fluidos.</t>
        </is>
      </c>
      <c r="AV548" s="11" t="inlineStr">
        <is>
          <t>Ciclo 7°–9°</t>
        </is>
      </c>
      <c r="AW548" s="11">
        <f>AF548&amp;"; "&amp;AG548&amp;"; "&amp;AH548&amp;"; "&amp;AI548&amp;"; "&amp;AJ548</f>
        <v/>
      </c>
    </row>
    <row r="549">
      <c r="A549" s="11" t="inlineStr">
        <is>
          <t>T1183-G09-CIE</t>
        </is>
      </c>
      <c r="B549" s="11" t="n">
        <v>9</v>
      </c>
      <c r="C549" s="11" t="inlineStr">
        <is>
          <t>Ciencias</t>
        </is>
      </c>
      <c r="D549" s="11" t="inlineStr">
        <is>
          <t>Matriz_Ciencias_9no_Grado_U1_U7.xlsx</t>
        </is>
      </c>
      <c r="E549" s="11" t="inlineStr">
        <is>
          <t>Unidad 2 - Calor y temperatura</t>
        </is>
      </c>
      <c r="F549" s="11" t="n">
        <v>3</v>
      </c>
      <c r="G549" s="11" t="inlineStr">
        <is>
          <t>2. Calor y temperatura</t>
        </is>
      </c>
      <c r="H549" s="11" t="inlineStr">
        <is>
          <t>Cambios de temperatura y fase</t>
        </is>
      </c>
      <c r="I549" s="38" t="inlineStr">
        <is>
          <t>2.1. Experimentación con cambios de fase en sustancias puras.</t>
        </is>
      </c>
      <c r="J549" s="11" t="inlineStr">
        <is>
          <t>PISA</t>
        </is>
      </c>
      <c r="K549" s="11" t="inlineStr">
        <is>
          <t>T8_27-P1.2</t>
        </is>
      </c>
      <c r="L549" s="11" t="inlineStr"/>
      <c r="M549" s="11">
        <f>IF(K549="FUERA","Fuera del marco",IF(K549="N/A","Sin marco",IFERROR(INDEX('Datos - Catálogo TIMSS'!$C$5:$C$107,MATCH(K549,'Datos - Catálogo TIMSS'!$A$5:$A$107,0)),"Pendiente de clasificar")))</f>
        <v/>
      </c>
      <c r="N549" s="11">
        <f>IF(K549="FUERA","Fuera del marco",IF(K549="N/A","Sin marco",IFERROR(INDEX('Datos - Catálogo TIMSS'!$F$5:$F$107,MATCH(K549,'Datos - Catálogo TIMSS'!$A$5:$A$107,0)),"Pendiente de clasificar")))</f>
        <v/>
      </c>
      <c r="O549" s="11">
        <f>IF(L549="","",IFERROR(INDEX('Datos - Catálogo TIMSS'!$C$5:$C$107,MATCH(L549,'Datos - Catálogo TIMSS'!$A$5:$A$107,0)),"?"))</f>
        <v/>
      </c>
      <c r="P549" s="11" t="inlineStr">
        <is>
          <t>alta</t>
        </is>
      </c>
      <c r="Q549" s="38" t="inlineStr">
        <is>
          <t>Cambios de fase observados en sustancias puras</t>
        </is>
      </c>
      <c r="R549" s="38" t="inlineStr">
        <is>
          <t>Conocer: distinguir</t>
        </is>
      </c>
      <c r="S549" s="39">
        <f>IFERROR(ISNUMBER(SEARCH("Conocer",$R549))/(ISNUMBER(SEARCH("Conocer",$R549))+ISNUMBER(SEARCH("Aplicar",$R549))+ISNUMBER(SEARCH("Razonar",$R549))),0)</f>
        <v/>
      </c>
      <c r="T549" s="39">
        <f>IFERROR(ISNUMBER(SEARCH("Aplicar",$R549))/(ISNUMBER(SEARCH("Conocer",$R549))+ISNUMBER(SEARCH("Aplicar",$R549))+ISNUMBER(SEARCH("Razonar",$R549))),0)</f>
        <v/>
      </c>
      <c r="U549" s="39">
        <f>IFERROR(ISNUMBER(SEARCH("Razonar",$R549))/(ISNUMBER(SEARCH("Conocer",$R549))+ISNUMBER(SEARCH("Aplicar",$R549))+ISNUMBER(SEARCH("Razonar",$R549))),0)</f>
        <v/>
      </c>
      <c r="V549" s="11" t="inlineStr">
        <is>
          <t>9°</t>
        </is>
      </c>
      <c r="W549" s="11" t="inlineStr">
        <is>
          <t>9°</t>
        </is>
      </c>
      <c r="X549" s="11">
        <f>IF(OR(IFERROR(INDEX('Datos - Catálogo TIMSS'!$I$5:$I$107,MATCH(K549,'Datos - Catálogo TIMSS'!$A$5:$A$107,0)),"No")="Sí",IFERROR(INDEX('Datos - Catálogo TIMSS'!$I$5:$I$107,MATCH(L549,'Datos - Catálogo TIMSS'!$A$5:$A$107,0)),"No")="Sí"),1,0)</f>
        <v/>
      </c>
      <c r="Y549" s="11">
        <f>IF(IFERROR(INDEX('Datos - Catálogo TIMSS'!$J$5:$J$107,MATCH(K549,'Datos - Catálogo TIMSS'!$A$5:$A$107,0)),"No")="Sí",1,0)</f>
        <v/>
      </c>
      <c r="Z549" s="11">
        <f>IF(IFERROR(INDEX('Datos - Catálogo TIMSS'!$J$5:$J$107,MATCH(L549,'Datos - Catálogo TIMSS'!$A$5:$A$107,0)),"No")="Sí",1,0)</f>
        <v/>
      </c>
      <c r="AA549" s="11" t="inlineStr">
        <is>
          <t>T8-F1.2</t>
        </is>
      </c>
      <c r="AB549" s="11" t="inlineStr"/>
      <c r="AC549" s="11">
        <f>IF(AA549="FUERA","Fuera del marco",IF(AA549="N/A","Sin marco",IFERROR(INDEX('Datos - TIMSS 2023'!$C$5:$C$105,MATCH(AA549,'Datos - TIMSS 2023'!$A$5:$A$105,0)),"Pendiente de clasificar")))</f>
        <v/>
      </c>
      <c r="AD549" s="11" t="inlineStr">
        <is>
          <t>2. Construir y evaluar diseños para la indagación científica e interpretar datos y evidencia de forma crítica</t>
        </is>
      </c>
      <c r="AE549" s="11">
        <f>IF(AD549="","",IF(LEFT(AD549,1)="1","C1",IF(LEFT(AD549,1)="2","C2",IF(LEFT(AD549,1)="3","C3",""))))</f>
        <v/>
      </c>
      <c r="AF549" s="11" t="inlineStr">
        <is>
          <t>E1</t>
        </is>
      </c>
      <c r="AG549" s="11" t="inlineStr">
        <is>
          <t>D1</t>
        </is>
      </c>
      <c r="AH549" s="11" t="inlineStr">
        <is>
          <t>E1</t>
        </is>
      </c>
      <c r="AI549" s="11" t="inlineStr">
        <is>
          <t>D4</t>
        </is>
      </c>
      <c r="AJ549" s="11" t="inlineStr">
        <is>
          <t>E1</t>
        </is>
      </c>
      <c r="AK549" s="11" t="inlineStr">
        <is>
          <t>PISA-F1</t>
        </is>
      </c>
      <c r="AL549" s="11" t="n"/>
      <c r="AM549" s="11">
        <f>IF(AK549="FUERA","Fuera del marco",IFERROR(INDEX('Datos - Catálogo PISA'!$C$5:$C$76,MATCH(AK549,'Datos - Catálogo PISA'!$A$5:$A$76,0)),"?"))</f>
        <v/>
      </c>
      <c r="AN549" s="11" t="inlineStr">
        <is>
          <t>Contenido</t>
        </is>
      </c>
      <c r="AO549" s="11" t="n"/>
      <c r="AP549" s="11" t="n"/>
      <c r="AQ549" s="11" t="inlineStr">
        <is>
          <t>Sin contexto</t>
        </is>
      </c>
      <c r="AR549" s="11" t="n"/>
      <c r="AS549" s="11" t="inlineStr">
        <is>
          <t>Baja</t>
        </is>
      </c>
      <c r="AT549" s="11" t="inlineStr">
        <is>
          <t>alta</t>
        </is>
      </c>
      <c r="AU549" s="11" t="inlineStr">
        <is>
          <t>Cambios de estado en sustancias puras observados experimentalmente.</t>
        </is>
      </c>
      <c r="AV549" s="11" t="inlineStr">
        <is>
          <t>Ciclo 7°–9°</t>
        </is>
      </c>
      <c r="AW549" s="11">
        <f>AF549&amp;"; "&amp;AG549&amp;"; "&amp;AH549&amp;"; "&amp;AI549&amp;"; "&amp;AJ549</f>
        <v/>
      </c>
    </row>
    <row r="550">
      <c r="A550" s="11" t="inlineStr">
        <is>
          <t>T1184-G09-CIE</t>
        </is>
      </c>
      <c r="B550" s="11" t="n">
        <v>9</v>
      </c>
      <c r="C550" s="11" t="inlineStr">
        <is>
          <t>Ciencias</t>
        </is>
      </c>
      <c r="D550" s="11" t="inlineStr">
        <is>
          <t>Matriz_Ciencias_9no_Grado_U1_U7.xlsx</t>
        </is>
      </c>
      <c r="E550" s="11" t="inlineStr">
        <is>
          <t>Unidad 2 - Calor y temperatura</t>
        </is>
      </c>
      <c r="F550" s="11" t="n">
        <v>4</v>
      </c>
      <c r="G550" s="11" t="inlineStr">
        <is>
          <t>2. Calor y temperatura</t>
        </is>
      </c>
      <c r="H550" s="11" t="inlineStr">
        <is>
          <t>Cambios de temperatura y fase</t>
        </is>
      </c>
      <c r="I550" s="38" t="inlineStr">
        <is>
          <t>2.2. Elaboración de un gráfico de temperatura versus tiempo de una sustancia a partir de datos experimentales.</t>
        </is>
      </c>
      <c r="J550" s="11" t="inlineStr">
        <is>
          <t>PISA</t>
        </is>
      </c>
      <c r="K550" s="11" t="inlineStr">
        <is>
          <t>T8_27-P1.2</t>
        </is>
      </c>
      <c r="L550" s="11" t="inlineStr">
        <is>
          <t>T8_27-P6.1</t>
        </is>
      </c>
      <c r="M550" s="11">
        <f>IF(K550="FUERA","Fuera del marco",IF(K550="N/A","Sin marco",IFERROR(INDEX('Datos - Catálogo TIMSS'!$C$5:$C$107,MATCH(K550,'Datos - Catálogo TIMSS'!$A$5:$A$107,0)),"Pendiente de clasificar")))</f>
        <v/>
      </c>
      <c r="N550" s="11">
        <f>IF(K550="FUERA","Fuera del marco",IF(K550="N/A","Sin marco",IFERROR(INDEX('Datos - Catálogo TIMSS'!$F$5:$F$107,MATCH(K550,'Datos - Catálogo TIMSS'!$A$5:$A$107,0)),"Pendiente de clasificar")))</f>
        <v/>
      </c>
      <c r="O550" s="11">
        <f>IF(L550="","",IFERROR(INDEX('Datos - Catálogo TIMSS'!$C$5:$C$107,MATCH(L550,'Datos - Catálogo TIMSS'!$A$5:$A$107,0)),"?"))</f>
        <v/>
      </c>
      <c r="P550" s="11" t="inlineStr">
        <is>
          <t>alta</t>
        </is>
      </c>
      <c r="Q550" s="38" t="inlineStr">
        <is>
          <t>Curva de calentamiento construida e interpretada con datos</t>
        </is>
      </c>
      <c r="R550" s="38" t="inlineStr">
        <is>
          <t>Aplicar: graficar. Razonar: interpretar</t>
        </is>
      </c>
      <c r="S550" s="39">
        <f>IFERROR(ISNUMBER(SEARCH("Conocer",$R550))/(ISNUMBER(SEARCH("Conocer",$R550))+ISNUMBER(SEARCH("Aplicar",$R550))+ISNUMBER(SEARCH("Razonar",$R550))),0)</f>
        <v/>
      </c>
      <c r="T550" s="39">
        <f>IFERROR(ISNUMBER(SEARCH("Aplicar",$R550))/(ISNUMBER(SEARCH("Conocer",$R550))+ISNUMBER(SEARCH("Aplicar",$R550))+ISNUMBER(SEARCH("Razonar",$R550))),0)</f>
        <v/>
      </c>
      <c r="U550" s="39">
        <f>IFERROR(ISNUMBER(SEARCH("Razonar",$R550))/(ISNUMBER(SEARCH("Conocer",$R550))+ISNUMBER(SEARCH("Aplicar",$R550))+ISNUMBER(SEARCH("Razonar",$R550))),0)</f>
        <v/>
      </c>
      <c r="V550" s="11" t="inlineStr">
        <is>
          <t>9°</t>
        </is>
      </c>
      <c r="W550" s="11" t="inlineStr">
        <is>
          <t>9°</t>
        </is>
      </c>
      <c r="X550" s="11">
        <f>IF(OR(IFERROR(INDEX('Datos - Catálogo TIMSS'!$I$5:$I$107,MATCH(K550,'Datos - Catálogo TIMSS'!$A$5:$A$107,0)),"No")="Sí",IFERROR(INDEX('Datos - Catálogo TIMSS'!$I$5:$I$107,MATCH(L550,'Datos - Catálogo TIMSS'!$A$5:$A$107,0)),"No")="Sí"),1,0)</f>
        <v/>
      </c>
      <c r="Y550" s="11">
        <f>IF(IFERROR(INDEX('Datos - Catálogo TIMSS'!$J$5:$J$107,MATCH(K550,'Datos - Catálogo TIMSS'!$A$5:$A$107,0)),"No")="Sí",1,0)</f>
        <v/>
      </c>
      <c r="Z550" s="11">
        <f>IF(IFERROR(INDEX('Datos - Catálogo TIMSS'!$J$5:$J$107,MATCH(L550,'Datos - Catálogo TIMSS'!$A$5:$A$107,0)),"No")="Sí",1,0)</f>
        <v/>
      </c>
      <c r="AA550" s="11" t="inlineStr">
        <is>
          <t>T8-F2.2</t>
        </is>
      </c>
      <c r="AB550" s="11" t="inlineStr">
        <is>
          <t>T8-F1.2</t>
        </is>
      </c>
      <c r="AC550" s="11">
        <f>IF(AA550="FUERA","Fuera del marco",IF(AA550="N/A","Sin marco",IFERROR(INDEX('Datos - TIMSS 2023'!$C$5:$C$105,MATCH(AA550,'Datos - TIMSS 2023'!$A$5:$A$105,0)),"Pendiente de clasificar")))</f>
        <v/>
      </c>
      <c r="AD550" s="11" t="inlineStr">
        <is>
          <t>2. Construir y evaluar diseños para la indagación científica e interpretar datos y evidencia de forma crítica</t>
        </is>
      </c>
      <c r="AE550" s="11">
        <f>IF(AD550="","",IF(LEFT(AD550,1)="1","C1",IF(LEFT(AD550,1)="2","C2",IF(LEFT(AD550,1)="3","C3",""))))</f>
        <v/>
      </c>
      <c r="AF550" s="11" t="inlineStr">
        <is>
          <t>E1</t>
        </is>
      </c>
      <c r="AG550" s="11" t="inlineStr">
        <is>
          <t>D1</t>
        </is>
      </c>
      <c r="AH550" s="11" t="inlineStr">
        <is>
          <t>E2</t>
        </is>
      </c>
      <c r="AI550" s="11" t="inlineStr">
        <is>
          <t>D4</t>
        </is>
      </c>
      <c r="AJ550" s="11" t="inlineStr">
        <is>
          <t>E3</t>
        </is>
      </c>
      <c r="AK550" s="11" t="inlineStr">
        <is>
          <t>PISA-F4</t>
        </is>
      </c>
      <c r="AL550" s="11" t="inlineStr">
        <is>
          <t>PISA-F1</t>
        </is>
      </c>
      <c r="AM550" s="11">
        <f>IF(AK550="FUERA","Fuera del marco",IFERROR(INDEX('Datos - Catálogo PISA'!$C$5:$C$76,MATCH(AK550,'Datos - Catálogo PISA'!$A$5:$A$76,0)),"?"))</f>
        <v/>
      </c>
      <c r="AN550" s="11" t="inlineStr">
        <is>
          <t>Contenido</t>
        </is>
      </c>
      <c r="AO550" s="11" t="inlineStr">
        <is>
          <t>PISA-PR5;</t>
        </is>
      </c>
      <c r="AP550" s="11" t="n"/>
      <c r="AQ550" s="11" t="inlineStr">
        <is>
          <t>Sin contexto</t>
        </is>
      </c>
      <c r="AR550" s="11" t="n"/>
      <c r="AS550" s="11" t="inlineStr">
        <is>
          <t>Media</t>
        </is>
      </c>
      <c r="AT550" s="11" t="inlineStr">
        <is>
          <t>alta</t>
        </is>
      </c>
      <c r="AU550" s="11" t="inlineStr">
        <is>
          <t>Gráfica temperatura-tiempo: energía transferida y cambios de fase.</t>
        </is>
      </c>
      <c r="AV550" s="11" t="inlineStr">
        <is>
          <t>Ciclo 7°–9°</t>
        </is>
      </c>
      <c r="AW550" s="11">
        <f>AF550&amp;"; "&amp;AG550&amp;"; "&amp;AH550&amp;"; "&amp;AI550&amp;"; "&amp;AJ550</f>
        <v/>
      </c>
    </row>
    <row r="551">
      <c r="A551" s="11" t="inlineStr">
        <is>
          <t>T1185-G09-CIE</t>
        </is>
      </c>
      <c r="B551" s="11" t="n">
        <v>9</v>
      </c>
      <c r="C551" s="11" t="inlineStr">
        <is>
          <t>Ciencias</t>
        </is>
      </c>
      <c r="D551" s="11" t="inlineStr">
        <is>
          <t>Matriz_Ciencias_9no_Grado_U1_U7.xlsx</t>
        </is>
      </c>
      <c r="E551" s="11" t="inlineStr">
        <is>
          <t>Unidad 2 - Calor y temperatura</t>
        </is>
      </c>
      <c r="F551" s="11" t="n">
        <v>5</v>
      </c>
      <c r="G551" s="11" t="inlineStr">
        <is>
          <t>2. Calor y temperatura</t>
        </is>
      </c>
      <c r="H551" s="11" t="inlineStr">
        <is>
          <t>Cambios de temperatura y fase</t>
        </is>
      </c>
      <c r="I551" s="38" t="inlineStr">
        <is>
          <t>2.3. Cálculo del calor latente y del calor específico a partir de un gráfico de calentamiento.</t>
        </is>
      </c>
      <c r="J551" s="11" t="inlineStr">
        <is>
          <t>PISA</t>
        </is>
      </c>
      <c r="K551" s="11" t="inlineStr">
        <is>
          <t>T8_27-P1.2</t>
        </is>
      </c>
      <c r="L551" s="11" t="inlineStr">
        <is>
          <t>T8_27-P2.2</t>
        </is>
      </c>
      <c r="M551" s="11">
        <f>IF(K551="FUERA","Fuera del marco",IF(K551="N/A","Sin marco",IFERROR(INDEX('Datos - Catálogo TIMSS'!$C$5:$C$107,MATCH(K551,'Datos - Catálogo TIMSS'!$A$5:$A$107,0)),"Pendiente de clasificar")))</f>
        <v/>
      </c>
      <c r="N551" s="11">
        <f>IF(K551="FUERA","Fuera del marco",IF(K551="N/A","Sin marco",IFERROR(INDEX('Datos - Catálogo TIMSS'!$F$5:$F$107,MATCH(K551,'Datos - Catálogo TIMSS'!$A$5:$A$107,0)),"Pendiente de clasificar")))</f>
        <v/>
      </c>
      <c r="O551" s="11">
        <f>IF(L551="","",IFERROR(INDEX('Datos - Catálogo TIMSS'!$C$5:$C$107,MATCH(L551,'Datos - Catálogo TIMSS'!$A$5:$A$107,0)),"?"))</f>
        <v/>
      </c>
      <c r="P551" s="11" t="inlineStr">
        <is>
          <t>media</t>
        </is>
      </c>
      <c r="Q551" s="38" t="inlineStr">
        <is>
          <t>Calor latente y específico calculados desde curva de calentamiento</t>
        </is>
      </c>
      <c r="R551" s="38" t="inlineStr">
        <is>
          <t>Aplicar: calcular</t>
        </is>
      </c>
      <c r="S551" s="39">
        <f>IFERROR(ISNUMBER(SEARCH("Conocer",$R551))/(ISNUMBER(SEARCH("Conocer",$R551))+ISNUMBER(SEARCH("Aplicar",$R551))+ISNUMBER(SEARCH("Razonar",$R551))),0)</f>
        <v/>
      </c>
      <c r="T551" s="39">
        <f>IFERROR(ISNUMBER(SEARCH("Aplicar",$R551))/(ISNUMBER(SEARCH("Conocer",$R551))+ISNUMBER(SEARCH("Aplicar",$R551))+ISNUMBER(SEARCH("Razonar",$R551))),0)</f>
        <v/>
      </c>
      <c r="U551" s="39">
        <f>IFERROR(ISNUMBER(SEARCH("Razonar",$R551))/(ISNUMBER(SEARCH("Conocer",$R551))+ISNUMBER(SEARCH("Aplicar",$R551))+ISNUMBER(SEARCH("Razonar",$R551))),0)</f>
        <v/>
      </c>
      <c r="V551" s="11" t="inlineStr">
        <is>
          <t>9°</t>
        </is>
      </c>
      <c r="W551" s="11" t="inlineStr">
        <is>
          <t>9°</t>
        </is>
      </c>
      <c r="X551" s="11">
        <f>IF(OR(IFERROR(INDEX('Datos - Catálogo TIMSS'!$I$5:$I$107,MATCH(K551,'Datos - Catálogo TIMSS'!$A$5:$A$107,0)),"No")="Sí",IFERROR(INDEX('Datos - Catálogo TIMSS'!$I$5:$I$107,MATCH(L551,'Datos - Catálogo TIMSS'!$A$5:$A$107,0)),"No")="Sí"),1,0)</f>
        <v/>
      </c>
      <c r="Y551" s="11">
        <f>IF(IFERROR(INDEX('Datos - Catálogo TIMSS'!$J$5:$J$107,MATCH(K551,'Datos - Catálogo TIMSS'!$A$5:$A$107,0)),"No")="Sí",1,0)</f>
        <v/>
      </c>
      <c r="Z551" s="11">
        <f>IF(IFERROR(INDEX('Datos - Catálogo TIMSS'!$J$5:$J$107,MATCH(L551,'Datos - Catálogo TIMSS'!$A$5:$A$107,0)),"No")="Sí",1,0)</f>
        <v/>
      </c>
      <c r="AA551" s="11" t="inlineStr">
        <is>
          <t>T8-F2.2</t>
        </is>
      </c>
      <c r="AB551" s="11" t="inlineStr">
        <is>
          <t>T8-F1.2</t>
        </is>
      </c>
      <c r="AC551" s="11">
        <f>IF(AA551="FUERA","Fuera del marco",IF(AA551="N/A","Sin marco",IFERROR(INDEX('Datos - TIMSS 2023'!$C$5:$C$105,MATCH(AA551,'Datos - TIMSS 2023'!$A$5:$A$105,0)),"Pendiente de clasificar")))</f>
        <v/>
      </c>
      <c r="AD551" s="11" t="inlineStr">
        <is>
          <t>2. Construir y evaluar diseños para la indagación científica e interpretar datos y evidencia de forma crítica</t>
        </is>
      </c>
      <c r="AE551" s="11">
        <f>IF(AD551="","",IF(LEFT(AD551,1)="1","C1",IF(LEFT(AD551,1)="2","C2",IF(LEFT(AD551,1)="3","C3",""))))</f>
        <v/>
      </c>
      <c r="AF551" s="11" t="inlineStr">
        <is>
          <t>E1</t>
        </is>
      </c>
      <c r="AG551" s="11" t="inlineStr">
        <is>
          <t>D1</t>
        </is>
      </c>
      <c r="AH551" s="11" t="inlineStr">
        <is>
          <t>E1</t>
        </is>
      </c>
      <c r="AI551" s="11" t="inlineStr">
        <is>
          <t>D4</t>
        </is>
      </c>
      <c r="AJ551" s="11" t="inlineStr">
        <is>
          <t>E6</t>
        </is>
      </c>
      <c r="AK551" s="11" t="inlineStr">
        <is>
          <t>PISA-F4</t>
        </is>
      </c>
      <c r="AL551" s="11" t="inlineStr">
        <is>
          <t>PISA-F1</t>
        </is>
      </c>
      <c r="AM551" s="11">
        <f>IF(AK551="FUERA","Fuera del marco",IFERROR(INDEX('Datos - Catálogo PISA'!$C$5:$C$76,MATCH(AK551,'Datos - Catálogo PISA'!$A$5:$A$76,0)),"?"))</f>
        <v/>
      </c>
      <c r="AN551" s="11" t="inlineStr">
        <is>
          <t>Contenido</t>
        </is>
      </c>
      <c r="AO551" s="11" t="inlineStr">
        <is>
          <t>PISA-PR5;</t>
        </is>
      </c>
      <c r="AP551" s="11" t="n"/>
      <c r="AQ551" s="11" t="inlineStr">
        <is>
          <t>Sin contexto</t>
        </is>
      </c>
      <c r="AR551" s="11" t="n"/>
      <c r="AS551" s="11" t="inlineStr">
        <is>
          <t>Media</t>
        </is>
      </c>
      <c r="AT551" s="11" t="inlineStr">
        <is>
          <t>alta</t>
        </is>
      </c>
      <c r="AU551" s="11" t="inlineStr">
        <is>
          <t>Calor latente y específico calculados desde gráfica de calentamiento.</t>
        </is>
      </c>
      <c r="AV551" s="11" t="inlineStr">
        <is>
          <t>Ciclo 7°–9°</t>
        </is>
      </c>
      <c r="AW551" s="11">
        <f>AF551&amp;"; "&amp;AG551&amp;"; "&amp;AH551&amp;"; "&amp;AI551&amp;"; "&amp;AJ551</f>
        <v/>
      </c>
    </row>
    <row r="552">
      <c r="A552" s="11" t="inlineStr">
        <is>
          <t>T1186-G09-CIE</t>
        </is>
      </c>
      <c r="B552" s="11" t="n">
        <v>9</v>
      </c>
      <c r="C552" s="11" t="inlineStr">
        <is>
          <t>Ciencias</t>
        </is>
      </c>
      <c r="D552" s="11" t="inlineStr">
        <is>
          <t>Matriz_Ciencias_9no_Grado_U1_U7.xlsx</t>
        </is>
      </c>
      <c r="E552" s="11" t="inlineStr">
        <is>
          <t>Unidad 2 - Calor y temperatura</t>
        </is>
      </c>
      <c r="F552" s="11" t="n">
        <v>6</v>
      </c>
      <c r="G552" s="11" t="inlineStr">
        <is>
          <t>2. Calor y temperatura</t>
        </is>
      </c>
      <c r="H552" s="11" t="inlineStr">
        <is>
          <t>Procesos termodinámicos</t>
        </is>
      </c>
      <c r="I552" s="38" t="inlineStr">
        <is>
          <t>2.4. Experimentación con procesos termodinámicos en un gas ideal.</t>
        </is>
      </c>
      <c r="J552" s="11" t="inlineStr">
        <is>
          <t>PISA</t>
        </is>
      </c>
      <c r="K552" s="11" t="inlineStr">
        <is>
          <t>T8_27-P1.1</t>
        </is>
      </c>
      <c r="L552" s="11" t="inlineStr"/>
      <c r="M552" s="11">
        <f>IF(K552="FUERA","Fuera del marco",IF(K552="N/A","Sin marco",IFERROR(INDEX('Datos - Catálogo TIMSS'!$C$5:$C$107,MATCH(K552,'Datos - Catálogo TIMSS'!$A$5:$A$107,0)),"Pendiente de clasificar")))</f>
        <v/>
      </c>
      <c r="N552" s="11">
        <f>IF(K552="FUERA","Fuera del marco",IF(K552="N/A","Sin marco",IFERROR(INDEX('Datos - Catálogo TIMSS'!$F$5:$F$107,MATCH(K552,'Datos - Catálogo TIMSS'!$A$5:$A$107,0)),"Pendiente de clasificar")))</f>
        <v/>
      </c>
      <c r="O552" s="11">
        <f>IF(L552="","",IFERROR(INDEX('Datos - Catálogo TIMSS'!$C$5:$C$107,MATCH(L552,'Datos - Catálogo TIMSS'!$A$5:$A$107,0)),"?"))</f>
        <v/>
      </c>
      <c r="P552" s="11" t="inlineStr">
        <is>
          <t>media</t>
        </is>
      </c>
      <c r="Q552" s="38" t="inlineStr">
        <is>
          <t>Gas ideal: presión, volumen y temperatura en procesos</t>
        </is>
      </c>
      <c r="R552" s="38" t="inlineStr">
        <is>
          <t>Aplicar: experimentar y clasificar</t>
        </is>
      </c>
      <c r="S552" s="39">
        <f>IFERROR(ISNUMBER(SEARCH("Conocer",$R552))/(ISNUMBER(SEARCH("Conocer",$R552))+ISNUMBER(SEARCH("Aplicar",$R552))+ISNUMBER(SEARCH("Razonar",$R552))),0)</f>
        <v/>
      </c>
      <c r="T552" s="39">
        <f>IFERROR(ISNUMBER(SEARCH("Aplicar",$R552))/(ISNUMBER(SEARCH("Conocer",$R552))+ISNUMBER(SEARCH("Aplicar",$R552))+ISNUMBER(SEARCH("Razonar",$R552))),0)</f>
        <v/>
      </c>
      <c r="U552" s="39">
        <f>IFERROR(ISNUMBER(SEARCH("Razonar",$R552))/(ISNUMBER(SEARCH("Conocer",$R552))+ISNUMBER(SEARCH("Aplicar",$R552))+ISNUMBER(SEARCH("Razonar",$R552))),0)</f>
        <v/>
      </c>
      <c r="V552" s="11" t="inlineStr">
        <is>
          <t>9°</t>
        </is>
      </c>
      <c r="W552" s="11" t="inlineStr">
        <is>
          <t>9°</t>
        </is>
      </c>
      <c r="X552" s="11">
        <f>IF(OR(IFERROR(INDEX('Datos - Catálogo TIMSS'!$I$5:$I$107,MATCH(K552,'Datos - Catálogo TIMSS'!$A$5:$A$107,0)),"No")="Sí",IFERROR(INDEX('Datos - Catálogo TIMSS'!$I$5:$I$107,MATCH(L552,'Datos - Catálogo TIMSS'!$A$5:$A$107,0)),"No")="Sí"),1,0)</f>
        <v/>
      </c>
      <c r="Y552" s="11">
        <f>IF(IFERROR(INDEX('Datos - Catálogo TIMSS'!$J$5:$J$107,MATCH(K552,'Datos - Catálogo TIMSS'!$A$5:$A$107,0)),"No")="Sí",1,0)</f>
        <v/>
      </c>
      <c r="Z552" s="11">
        <f>IF(IFERROR(INDEX('Datos - Catálogo TIMSS'!$J$5:$J$107,MATCH(L552,'Datos - Catálogo TIMSS'!$A$5:$A$107,0)),"No")="Sí",1,0)</f>
        <v/>
      </c>
      <c r="AA552" s="11" t="inlineStr">
        <is>
          <t>T8-F1.1</t>
        </is>
      </c>
      <c r="AB552" s="11" t="inlineStr">
        <is>
          <t>T8-F2.2</t>
        </is>
      </c>
      <c r="AC552" s="11">
        <f>IF(AA552="FUERA","Fuera del marco",IF(AA552="N/A","Sin marco",IFERROR(INDEX('Datos - TIMSS 2023'!$C$5:$C$105,MATCH(AA552,'Datos - TIMSS 2023'!$A$5:$A$105,0)),"Pendiente de clasificar")))</f>
        <v/>
      </c>
      <c r="AD552" s="11" t="inlineStr">
        <is>
          <t>2. Construir y evaluar diseños para la indagación científica e interpretar datos y evidencia de forma crítica</t>
        </is>
      </c>
      <c r="AE552" s="11">
        <f>IF(AD552="","",IF(LEFT(AD552,1)="1","C1",IF(LEFT(AD552,1)="2","C2",IF(LEFT(AD552,1)="3","C3",""))))</f>
        <v/>
      </c>
      <c r="AF552" s="11" t="inlineStr">
        <is>
          <t>E1</t>
        </is>
      </c>
      <c r="AG552" s="11" t="inlineStr">
        <is>
          <t>E3</t>
        </is>
      </c>
      <c r="AH552" s="11" t="inlineStr">
        <is>
          <t>E1</t>
        </is>
      </c>
      <c r="AI552" s="11" t="inlineStr">
        <is>
          <t>D2</t>
        </is>
      </c>
      <c r="AJ552" s="11" t="inlineStr">
        <is>
          <t>E1</t>
        </is>
      </c>
      <c r="AK552" s="11" t="inlineStr">
        <is>
          <t>PISA-F1</t>
        </is>
      </c>
      <c r="AL552" s="11" t="inlineStr">
        <is>
          <t>PISA-F4</t>
        </is>
      </c>
      <c r="AM552" s="11">
        <f>IF(AK552="FUERA","Fuera del marco",IFERROR(INDEX('Datos - Catálogo PISA'!$C$5:$C$76,MATCH(AK552,'Datos - Catálogo PISA'!$A$5:$A$76,0)),"?"))</f>
        <v/>
      </c>
      <c r="AN552" s="11" t="inlineStr">
        <is>
          <t>Contenido</t>
        </is>
      </c>
      <c r="AO552" s="11" t="n"/>
      <c r="AP552" s="11" t="n"/>
      <c r="AQ552" s="11" t="inlineStr">
        <is>
          <t>Sin contexto</t>
        </is>
      </c>
      <c r="AR552" s="11" t="n"/>
      <c r="AS552" s="11" t="inlineStr">
        <is>
          <t>Media</t>
        </is>
      </c>
      <c r="AT552" s="11" t="inlineStr">
        <is>
          <t>media</t>
        </is>
      </c>
      <c r="AU552" s="11" t="inlineStr">
        <is>
          <t>Procesos en gas ideal: comportamiento de partículas y energía.</t>
        </is>
      </c>
      <c r="AV552" s="11" t="inlineStr">
        <is>
          <t>Ciclo 7°–9°</t>
        </is>
      </c>
      <c r="AW552" s="11">
        <f>AF552&amp;"; "&amp;AG552&amp;"; "&amp;AH552&amp;"; "&amp;AI552&amp;"; "&amp;AJ552</f>
        <v/>
      </c>
    </row>
    <row r="553">
      <c r="A553" s="11" t="inlineStr">
        <is>
          <t>T1187-G09-CIE</t>
        </is>
      </c>
      <c r="B553" s="11" t="n">
        <v>9</v>
      </c>
      <c r="C553" s="11" t="inlineStr">
        <is>
          <t>Ciencias</t>
        </is>
      </c>
      <c r="D553" s="11" t="inlineStr">
        <is>
          <t>Matriz_Ciencias_9no_Grado_U1_U7.xlsx</t>
        </is>
      </c>
      <c r="E553" s="11" t="inlineStr">
        <is>
          <t>Unidad 2 - Calor y temperatura</t>
        </is>
      </c>
      <c r="F553" s="11" t="n">
        <v>7</v>
      </c>
      <c r="G553" s="11" t="inlineStr">
        <is>
          <t>2. Calor y temperatura</t>
        </is>
      </c>
      <c r="H553" s="11" t="inlineStr">
        <is>
          <t>Procesos termodinámicos</t>
        </is>
      </c>
      <c r="I553" s="38" t="inlineStr">
        <is>
          <t>2.5. Resolución de problemas a partir de gráficas de procesos termodinámicos.</t>
        </is>
      </c>
      <c r="J553" s="11" t="inlineStr">
        <is>
          <t>PISA</t>
        </is>
      </c>
      <c r="K553" s="11" t="inlineStr">
        <is>
          <t>T8_27-P1.1</t>
        </is>
      </c>
      <c r="L553" s="11" t="inlineStr">
        <is>
          <t>T8_27-P2.1</t>
        </is>
      </c>
      <c r="M553" s="11">
        <f>IF(K553="FUERA","Fuera del marco",IF(K553="N/A","Sin marco",IFERROR(INDEX('Datos - Catálogo TIMSS'!$C$5:$C$107,MATCH(K553,'Datos - Catálogo TIMSS'!$A$5:$A$107,0)),"Pendiente de clasificar")))</f>
        <v/>
      </c>
      <c r="N553" s="11">
        <f>IF(K553="FUERA","Fuera del marco",IF(K553="N/A","Sin marco",IFERROR(INDEX('Datos - Catálogo TIMSS'!$F$5:$F$107,MATCH(K553,'Datos - Catálogo TIMSS'!$A$5:$A$107,0)),"Pendiente de clasificar")))</f>
        <v/>
      </c>
      <c r="O553" s="11">
        <f>IF(L553="","",IFERROR(INDEX('Datos - Catálogo TIMSS'!$C$5:$C$107,MATCH(L553,'Datos - Catálogo TIMSS'!$A$5:$A$107,0)),"?"))</f>
        <v/>
      </c>
      <c r="P553" s="11" t="inlineStr">
        <is>
          <t>media</t>
        </is>
      </c>
      <c r="Q553" s="38" t="inlineStr">
        <is>
          <t>Gráficas P-V de gases; trabajo y energía</t>
        </is>
      </c>
      <c r="R553" s="38" t="inlineStr">
        <is>
          <t>Aplicar: resolver problemas con gráficas</t>
        </is>
      </c>
      <c r="S553" s="39">
        <f>IFERROR(ISNUMBER(SEARCH("Conocer",$R553))/(ISNUMBER(SEARCH("Conocer",$R553))+ISNUMBER(SEARCH("Aplicar",$R553))+ISNUMBER(SEARCH("Razonar",$R553))),0)</f>
        <v/>
      </c>
      <c r="T553" s="39">
        <f>IFERROR(ISNUMBER(SEARCH("Aplicar",$R553))/(ISNUMBER(SEARCH("Conocer",$R553))+ISNUMBER(SEARCH("Aplicar",$R553))+ISNUMBER(SEARCH("Razonar",$R553))),0)</f>
        <v/>
      </c>
      <c r="U553" s="39">
        <f>IFERROR(ISNUMBER(SEARCH("Razonar",$R553))/(ISNUMBER(SEARCH("Conocer",$R553))+ISNUMBER(SEARCH("Aplicar",$R553))+ISNUMBER(SEARCH("Razonar",$R553))),0)</f>
        <v/>
      </c>
      <c r="V553" s="11" t="inlineStr">
        <is>
          <t>9°</t>
        </is>
      </c>
      <c r="W553" s="11" t="inlineStr">
        <is>
          <t>9°</t>
        </is>
      </c>
      <c r="X553" s="11">
        <f>IF(OR(IFERROR(INDEX('Datos - Catálogo TIMSS'!$I$5:$I$107,MATCH(K553,'Datos - Catálogo TIMSS'!$A$5:$A$107,0)),"No")="Sí",IFERROR(INDEX('Datos - Catálogo TIMSS'!$I$5:$I$107,MATCH(L553,'Datos - Catálogo TIMSS'!$A$5:$A$107,0)),"No")="Sí"),1,0)</f>
        <v/>
      </c>
      <c r="Y553" s="11">
        <f>IF(IFERROR(INDEX('Datos - Catálogo TIMSS'!$J$5:$J$107,MATCH(K553,'Datos - Catálogo TIMSS'!$A$5:$A$107,0)),"No")="Sí",1,0)</f>
        <v/>
      </c>
      <c r="Z553" s="11">
        <f>IF(IFERROR(INDEX('Datos - Catálogo TIMSS'!$J$5:$J$107,MATCH(L553,'Datos - Catálogo TIMSS'!$A$5:$A$107,0)),"No")="Sí",1,0)</f>
        <v/>
      </c>
      <c r="AA553" s="11" t="inlineStr">
        <is>
          <t>T8-F2.1</t>
        </is>
      </c>
      <c r="AB553" s="11" t="inlineStr">
        <is>
          <t>T8-F1.1</t>
        </is>
      </c>
      <c r="AC553" s="11">
        <f>IF(AA553="FUERA","Fuera del marco",IF(AA553="N/A","Sin marco",IFERROR(INDEX('Datos - TIMSS 2023'!$C$5:$C$105,MATCH(AA553,'Datos - TIMSS 2023'!$A$5:$A$105,0)),"Pendiente de clasificar")))</f>
        <v/>
      </c>
      <c r="AD553" s="11" t="inlineStr">
        <is>
          <t>2. Construir y evaluar diseños para la indagación científica e interpretar datos y evidencia de forma crítica</t>
        </is>
      </c>
      <c r="AE553" s="11">
        <f>IF(AD553="","",IF(LEFT(AD553,1)="1","C1",IF(LEFT(AD553,1)="2","C2",IF(LEFT(AD553,1)="3","C3",""))))</f>
        <v/>
      </c>
      <c r="AF553" s="11" t="inlineStr">
        <is>
          <t>E1</t>
        </is>
      </c>
      <c r="AG553" s="11" t="inlineStr">
        <is>
          <t>D1</t>
        </is>
      </c>
      <c r="AH553" s="11" t="inlineStr">
        <is>
          <t>E2</t>
        </is>
      </c>
      <c r="AI553" s="11" t="inlineStr">
        <is>
          <t>D4</t>
        </is>
      </c>
      <c r="AJ553" s="11" t="inlineStr">
        <is>
          <t>E3</t>
        </is>
      </c>
      <c r="AK553" s="11" t="inlineStr">
        <is>
          <t>PISA-F4</t>
        </is>
      </c>
      <c r="AL553" s="11" t="inlineStr">
        <is>
          <t>PISA-F1</t>
        </is>
      </c>
      <c r="AM553" s="11">
        <f>IF(AK553="FUERA","Fuera del marco",IFERROR(INDEX('Datos - Catálogo PISA'!$C$5:$C$76,MATCH(AK553,'Datos - Catálogo PISA'!$A$5:$A$76,0)),"?"))</f>
        <v/>
      </c>
      <c r="AN553" s="11" t="inlineStr">
        <is>
          <t>Contenido</t>
        </is>
      </c>
      <c r="AO553" s="11" t="inlineStr">
        <is>
          <t>PISA-PR5;</t>
        </is>
      </c>
      <c r="AP553" s="11" t="n"/>
      <c r="AQ553" s="11" t="inlineStr">
        <is>
          <t>Sin contexto</t>
        </is>
      </c>
      <c r="AR553" s="11" t="n"/>
      <c r="AS553" s="11" t="inlineStr">
        <is>
          <t>Media</t>
        </is>
      </c>
      <c r="AT553" s="11" t="inlineStr">
        <is>
          <t>media</t>
        </is>
      </c>
      <c r="AU553" s="11" t="inlineStr">
        <is>
          <t>Gráficas P-V y energía en procesos termodinámicos.</t>
        </is>
      </c>
      <c r="AV553" s="11" t="inlineStr">
        <is>
          <t>Ciclo 7°–9°</t>
        </is>
      </c>
      <c r="AW553" s="11">
        <f>AF553&amp;"; "&amp;AG553&amp;"; "&amp;AH553&amp;"; "&amp;AI553&amp;"; "&amp;AJ553</f>
        <v/>
      </c>
    </row>
    <row r="554">
      <c r="A554" s="11" t="inlineStr">
        <is>
          <t>T1188-G09-CIE</t>
        </is>
      </c>
      <c r="B554" s="11" t="n">
        <v>9</v>
      </c>
      <c r="C554" s="11" t="inlineStr">
        <is>
          <t>Ciencias</t>
        </is>
      </c>
      <c r="D554" s="11" t="inlineStr">
        <is>
          <t>Matriz_Ciencias_9no_Grado_U1_U7.xlsx</t>
        </is>
      </c>
      <c r="E554" s="11" t="inlineStr">
        <is>
          <t>Unidad 2 - Calor y temperatura</t>
        </is>
      </c>
      <c r="F554" s="11" t="n">
        <v>8</v>
      </c>
      <c r="G554" s="11" t="inlineStr">
        <is>
          <t>2. Calor y temperatura</t>
        </is>
      </c>
      <c r="H554" s="11" t="inlineStr">
        <is>
          <t>Ley Cero de la Termodinámica</t>
        </is>
      </c>
      <c r="I554" s="38" t="inlineStr">
        <is>
          <t>2.6. Indagación del concepto de equilibrio térmico entre dos cuerpos.</t>
        </is>
      </c>
      <c r="J554" s="11" t="inlineStr">
        <is>
          <t>PISA</t>
        </is>
      </c>
      <c r="K554" s="11" t="inlineStr">
        <is>
          <t>T8_27-P2.2</t>
        </is>
      </c>
      <c r="L554" s="11" t="inlineStr"/>
      <c r="M554" s="11">
        <f>IF(K554="FUERA","Fuera del marco",IF(K554="N/A","Sin marco",IFERROR(INDEX('Datos - Catálogo TIMSS'!$C$5:$C$107,MATCH(K554,'Datos - Catálogo TIMSS'!$A$5:$A$107,0)),"Pendiente de clasificar")))</f>
        <v/>
      </c>
      <c r="N554" s="11">
        <f>IF(K554="FUERA","Fuera del marco",IF(K554="N/A","Sin marco",IFERROR(INDEX('Datos - Catálogo TIMSS'!$F$5:$F$107,MATCH(K554,'Datos - Catálogo TIMSS'!$A$5:$A$107,0)),"Pendiente de clasificar")))</f>
        <v/>
      </c>
      <c r="O554" s="11">
        <f>IF(L554="","",IFERROR(INDEX('Datos - Catálogo TIMSS'!$C$5:$C$107,MATCH(L554,'Datos - Catálogo TIMSS'!$A$5:$A$107,0)),"?"))</f>
        <v/>
      </c>
      <c r="P554" s="11" t="inlineStr">
        <is>
          <t>alta</t>
        </is>
      </c>
      <c r="Q554" s="38" t="inlineStr">
        <is>
          <t>Equilibrio térmico entre cuerpos: transferencia de calor</t>
        </is>
      </c>
      <c r="R554" s="38" t="inlineStr">
        <is>
          <t>Conocer: explicar</t>
        </is>
      </c>
      <c r="S554" s="39">
        <f>IFERROR(ISNUMBER(SEARCH("Conocer",$R554))/(ISNUMBER(SEARCH("Conocer",$R554))+ISNUMBER(SEARCH("Aplicar",$R554))+ISNUMBER(SEARCH("Razonar",$R554))),0)</f>
        <v/>
      </c>
      <c r="T554" s="39">
        <f>IFERROR(ISNUMBER(SEARCH("Aplicar",$R554))/(ISNUMBER(SEARCH("Conocer",$R554))+ISNUMBER(SEARCH("Aplicar",$R554))+ISNUMBER(SEARCH("Razonar",$R554))),0)</f>
        <v/>
      </c>
      <c r="U554" s="39">
        <f>IFERROR(ISNUMBER(SEARCH("Razonar",$R554))/(ISNUMBER(SEARCH("Conocer",$R554))+ISNUMBER(SEARCH("Aplicar",$R554))+ISNUMBER(SEARCH("Razonar",$R554))),0)</f>
        <v/>
      </c>
      <c r="V554" s="11" t="inlineStr">
        <is>
          <t>9°</t>
        </is>
      </c>
      <c r="W554" s="11" t="inlineStr">
        <is>
          <t>9°</t>
        </is>
      </c>
      <c r="X554" s="11">
        <f>IF(OR(IFERROR(INDEX('Datos - Catálogo TIMSS'!$I$5:$I$107,MATCH(K554,'Datos - Catálogo TIMSS'!$A$5:$A$107,0)),"No")="Sí",IFERROR(INDEX('Datos - Catálogo TIMSS'!$I$5:$I$107,MATCH(L554,'Datos - Catálogo TIMSS'!$A$5:$A$107,0)),"No")="Sí"),1,0)</f>
        <v/>
      </c>
      <c r="Y554" s="11">
        <f>IF(IFERROR(INDEX('Datos - Catálogo TIMSS'!$J$5:$J$107,MATCH(K554,'Datos - Catálogo TIMSS'!$A$5:$A$107,0)),"No")="Sí",1,0)</f>
        <v/>
      </c>
      <c r="Z554" s="11">
        <f>IF(IFERROR(INDEX('Datos - Catálogo TIMSS'!$J$5:$J$107,MATCH(L554,'Datos - Catálogo TIMSS'!$A$5:$A$107,0)),"No")="Sí",1,0)</f>
        <v/>
      </c>
      <c r="AA554" s="11" t="inlineStr">
        <is>
          <t>T8-F2.2</t>
        </is>
      </c>
      <c r="AB554" s="11" t="inlineStr"/>
      <c r="AC554" s="11">
        <f>IF(AA554="FUERA","Fuera del marco",IF(AA554="N/A","Sin marco",IFERROR(INDEX('Datos - TIMSS 2023'!$C$5:$C$105,MATCH(AA554,'Datos - TIMSS 2023'!$A$5:$A$105,0)),"Pendiente de clasificar")))</f>
        <v/>
      </c>
      <c r="AD554" s="11" t="inlineStr">
        <is>
          <t>1. Explicar fenómenos científicamente</t>
        </is>
      </c>
      <c r="AE554" s="11">
        <f>IF(AD554="","",IF(LEFT(AD554,1)="1","C1",IF(LEFT(AD554,1)="2","C2",IF(LEFT(AD554,1)="3","C3",""))))</f>
        <v/>
      </c>
      <c r="AF554" s="11" t="inlineStr">
        <is>
          <t>E1</t>
        </is>
      </c>
      <c r="AG554" s="11" t="inlineStr">
        <is>
          <t>D1</t>
        </is>
      </c>
      <c r="AH554" s="11" t="inlineStr">
        <is>
          <t>E1</t>
        </is>
      </c>
      <c r="AI554" s="11" t="inlineStr">
        <is>
          <t>D4</t>
        </is>
      </c>
      <c r="AJ554" s="11" t="inlineStr">
        <is>
          <t>E1</t>
        </is>
      </c>
      <c r="AK554" s="11" t="inlineStr">
        <is>
          <t>PISA-F4</t>
        </is>
      </c>
      <c r="AL554" s="11" t="n"/>
      <c r="AM554" s="11">
        <f>IF(AK554="FUERA","Fuera del marco",IFERROR(INDEX('Datos - Catálogo PISA'!$C$5:$C$76,MATCH(AK554,'Datos - Catálogo PISA'!$A$5:$A$76,0)),"?"))</f>
        <v/>
      </c>
      <c r="AN554" s="11" t="inlineStr">
        <is>
          <t>Contenido</t>
        </is>
      </c>
      <c r="AO554" s="11" t="n"/>
      <c r="AP554" s="11" t="n"/>
      <c r="AQ554" s="11" t="inlineStr">
        <is>
          <t>Sin contexto</t>
        </is>
      </c>
      <c r="AR554" s="11" t="n"/>
      <c r="AS554" s="11" t="inlineStr">
        <is>
          <t>Media</t>
        </is>
      </c>
      <c r="AT554" s="11" t="inlineStr">
        <is>
          <t>alta</t>
        </is>
      </c>
      <c r="AU554" s="11" t="inlineStr">
        <is>
          <t>Equilibrio térmico: transferencia de calor entre cuerpos.</t>
        </is>
      </c>
      <c r="AV554" s="11" t="inlineStr">
        <is>
          <t>Ciclo 7°–9°</t>
        </is>
      </c>
      <c r="AW554" s="11">
        <f>AF554&amp;"; "&amp;AG554&amp;"; "&amp;AH554&amp;"; "&amp;AI554&amp;"; "&amp;AJ554</f>
        <v/>
      </c>
    </row>
    <row r="555">
      <c r="A555" s="11" t="inlineStr">
        <is>
          <t>T1189-G09-CIE</t>
        </is>
      </c>
      <c r="B555" s="11" t="n">
        <v>9</v>
      </c>
      <c r="C555" s="11" t="inlineStr">
        <is>
          <t>Ciencias</t>
        </is>
      </c>
      <c r="D555" s="11" t="inlineStr">
        <is>
          <t>Matriz_Ciencias_9no_Grado_U1_U7.xlsx</t>
        </is>
      </c>
      <c r="E555" s="11" t="inlineStr">
        <is>
          <t>Unidad 2 - Calor y temperatura</t>
        </is>
      </c>
      <c r="F555" s="11" t="n">
        <v>9</v>
      </c>
      <c r="G555" s="11" t="inlineStr">
        <is>
          <t>2. Calor y temperatura</t>
        </is>
      </c>
      <c r="H555" s="11" t="inlineStr">
        <is>
          <t>Primera ley de la termodinámica</t>
        </is>
      </c>
      <c r="I555" s="38" t="inlineStr">
        <is>
          <t>2.7. Elaboración de dispositivos que transformen el calor en trabajo mecánico.</t>
        </is>
      </c>
      <c r="J555" s="11" t="inlineStr">
        <is>
          <t>PISA</t>
        </is>
      </c>
      <c r="K555" s="11" t="inlineStr">
        <is>
          <t>T8_27-P2.1</t>
        </is>
      </c>
      <c r="L555" s="11" t="inlineStr"/>
      <c r="M555" s="11">
        <f>IF(K555="FUERA","Fuera del marco",IF(K555="N/A","Sin marco",IFERROR(INDEX('Datos - Catálogo TIMSS'!$C$5:$C$107,MATCH(K555,'Datos - Catálogo TIMSS'!$A$5:$A$107,0)),"Pendiente de clasificar")))</f>
        <v/>
      </c>
      <c r="N555" s="11">
        <f>IF(K555="FUERA","Fuera del marco",IF(K555="N/A","Sin marco",IFERROR(INDEX('Datos - Catálogo TIMSS'!$F$5:$F$107,MATCH(K555,'Datos - Catálogo TIMSS'!$A$5:$A$107,0)),"Pendiente de clasificar")))</f>
        <v/>
      </c>
      <c r="O555" s="11">
        <f>IF(L555="","",IFERROR(INDEX('Datos - Catálogo TIMSS'!$C$5:$C$107,MATCH(L555,'Datos - Catálogo TIMSS'!$A$5:$A$107,0)),"?"))</f>
        <v/>
      </c>
      <c r="P555" s="11" t="inlineStr">
        <is>
          <t>media</t>
        </is>
      </c>
      <c r="Q555" s="38" t="inlineStr">
        <is>
          <t>Dispositivo que transforma calor en trabajo mecánico</t>
        </is>
      </c>
      <c r="R555" s="38" t="inlineStr">
        <is>
          <t>Aplicar: construir. Razonar: evaluar</t>
        </is>
      </c>
      <c r="S555" s="39">
        <f>IFERROR(ISNUMBER(SEARCH("Conocer",$R555))/(ISNUMBER(SEARCH("Conocer",$R555))+ISNUMBER(SEARCH("Aplicar",$R555))+ISNUMBER(SEARCH("Razonar",$R555))),0)</f>
        <v/>
      </c>
      <c r="T555" s="39">
        <f>IFERROR(ISNUMBER(SEARCH("Aplicar",$R555))/(ISNUMBER(SEARCH("Conocer",$R555))+ISNUMBER(SEARCH("Aplicar",$R555))+ISNUMBER(SEARCH("Razonar",$R555))),0)</f>
        <v/>
      </c>
      <c r="U555" s="39">
        <f>IFERROR(ISNUMBER(SEARCH("Razonar",$R555))/(ISNUMBER(SEARCH("Conocer",$R555))+ISNUMBER(SEARCH("Aplicar",$R555))+ISNUMBER(SEARCH("Razonar",$R555))),0)</f>
        <v/>
      </c>
      <c r="V555" s="11" t="inlineStr">
        <is>
          <t>9°</t>
        </is>
      </c>
      <c r="W555" s="11" t="inlineStr">
        <is>
          <t>9°</t>
        </is>
      </c>
      <c r="X555" s="11">
        <f>IF(OR(IFERROR(INDEX('Datos - Catálogo TIMSS'!$I$5:$I$107,MATCH(K555,'Datos - Catálogo TIMSS'!$A$5:$A$107,0)),"No")="Sí",IFERROR(INDEX('Datos - Catálogo TIMSS'!$I$5:$I$107,MATCH(L555,'Datos - Catálogo TIMSS'!$A$5:$A$107,0)),"No")="Sí"),1,0)</f>
        <v/>
      </c>
      <c r="Y555" s="11">
        <f>IF(IFERROR(INDEX('Datos - Catálogo TIMSS'!$J$5:$J$107,MATCH(K555,'Datos - Catálogo TIMSS'!$A$5:$A$107,0)),"No")="Sí",1,0)</f>
        <v/>
      </c>
      <c r="Z555" s="11">
        <f>IF(IFERROR(INDEX('Datos - Catálogo TIMSS'!$J$5:$J$107,MATCH(L555,'Datos - Catálogo TIMSS'!$A$5:$A$107,0)),"No")="Sí",1,0)</f>
        <v/>
      </c>
      <c r="AA555" s="11" t="inlineStr">
        <is>
          <t>T8-F2.1</t>
        </is>
      </c>
      <c r="AB555" s="11" t="inlineStr"/>
      <c r="AC555" s="11">
        <f>IF(AA555="FUERA","Fuera del marco",IF(AA555="N/A","Sin marco",IFERROR(INDEX('Datos - TIMSS 2023'!$C$5:$C$105,MATCH(AA555,'Datos - TIMSS 2023'!$A$5:$A$105,0)),"Pendiente de clasificar")))</f>
        <v/>
      </c>
      <c r="AD555" s="11" t="inlineStr">
        <is>
          <t>2. Construir y evaluar diseños para la indagación científica e interpretar datos y evidencia de forma crítica</t>
        </is>
      </c>
      <c r="AE555" s="11">
        <f>IF(AD555="","",IF(LEFT(AD555,1)="1","C1",IF(LEFT(AD555,1)="2","C2",IF(LEFT(AD555,1)="3","C3",""))))</f>
        <v/>
      </c>
      <c r="AF555" s="11" t="inlineStr">
        <is>
          <t>E1</t>
        </is>
      </c>
      <c r="AG555" s="11" t="inlineStr">
        <is>
          <t>D1</t>
        </is>
      </c>
      <c r="AH555" s="11" t="inlineStr">
        <is>
          <t>E4</t>
        </is>
      </c>
      <c r="AI555" s="11" t="inlineStr">
        <is>
          <t>D3</t>
        </is>
      </c>
      <c r="AJ555" s="11" t="inlineStr">
        <is>
          <t>E6</t>
        </is>
      </c>
      <c r="AK555" s="11" t="inlineStr">
        <is>
          <t>PISA-F4</t>
        </is>
      </c>
      <c r="AL555" s="11" t="n"/>
      <c r="AM555" s="11">
        <f>IF(AK555="FUERA","Fuera del marco",IFERROR(INDEX('Datos - Catálogo PISA'!$C$5:$C$76,MATCH(AK555,'Datos - Catálogo PISA'!$A$5:$A$76,0)),"?"))</f>
        <v/>
      </c>
      <c r="AN555" s="11" t="inlineStr">
        <is>
          <t>Contenido</t>
        </is>
      </c>
      <c r="AO555" s="11" t="n"/>
      <c r="AP555" s="11" t="n"/>
      <c r="AQ555" s="11" t="inlineStr">
        <is>
          <t>Sin contexto</t>
        </is>
      </c>
      <c r="AR555" s="11" t="n"/>
      <c r="AS555" s="11" t="inlineStr">
        <is>
          <t>Media</t>
        </is>
      </c>
      <c r="AT555" s="11" t="inlineStr">
        <is>
          <t>alta</t>
        </is>
      </c>
      <c r="AU555" s="11" t="inlineStr">
        <is>
          <t>Dispositivo que transforma calor en trabajo mecánico.</t>
        </is>
      </c>
      <c r="AV555" s="11" t="inlineStr">
        <is>
          <t>Ciclo 7°–9°</t>
        </is>
      </c>
      <c r="AW555" s="11">
        <f>AF555&amp;"; "&amp;AG555&amp;"; "&amp;AH555&amp;"; "&amp;AI555&amp;"; "&amp;AJ555</f>
        <v/>
      </c>
    </row>
    <row r="556">
      <c r="A556" s="11" t="inlineStr">
        <is>
          <t>T1190-G09-CIE</t>
        </is>
      </c>
      <c r="B556" s="11" t="n">
        <v>9</v>
      </c>
      <c r="C556" s="11" t="inlineStr">
        <is>
          <t>Ciencias</t>
        </is>
      </c>
      <c r="D556" s="11" t="inlineStr">
        <is>
          <t>Matriz_Ciencias_9no_Grado_U1_U7.xlsx</t>
        </is>
      </c>
      <c r="E556" s="11" t="inlineStr">
        <is>
          <t>Unidad 2 - Calor y temperatura</t>
        </is>
      </c>
      <c r="F556" s="11" t="n">
        <v>10</v>
      </c>
      <c r="G556" s="11" t="inlineStr">
        <is>
          <t>2. Calor y temperatura</t>
        </is>
      </c>
      <c r="H556" s="11" t="inlineStr">
        <is>
          <t>Primera ley de la termodinámica</t>
        </is>
      </c>
      <c r="I556" s="38" t="inlineStr">
        <is>
          <t>2.8. Resolución de problemas empleando la Primera ley de la termodinámica.</t>
        </is>
      </c>
      <c r="J556" s="11" t="inlineStr">
        <is>
          <t>PISA</t>
        </is>
      </c>
      <c r="K556" s="11" t="inlineStr">
        <is>
          <t>T8_27-P2.1</t>
        </is>
      </c>
      <c r="L556" s="11" t="inlineStr"/>
      <c r="M556" s="11">
        <f>IF(K556="FUERA","Fuera del marco",IF(K556="N/A","Sin marco",IFERROR(INDEX('Datos - Catálogo TIMSS'!$C$5:$C$107,MATCH(K556,'Datos - Catálogo TIMSS'!$A$5:$A$107,0)),"Pendiente de clasificar")))</f>
        <v/>
      </c>
      <c r="N556" s="11">
        <f>IF(K556="FUERA","Fuera del marco",IF(K556="N/A","Sin marco",IFERROR(INDEX('Datos - Catálogo TIMSS'!$F$5:$F$107,MATCH(K556,'Datos - Catálogo TIMSS'!$A$5:$A$107,0)),"Pendiente de clasificar")))</f>
        <v/>
      </c>
      <c r="O556" s="11">
        <f>IF(L556="","",IFERROR(INDEX('Datos - Catálogo TIMSS'!$C$5:$C$107,MATCH(L556,'Datos - Catálogo TIMSS'!$A$5:$A$107,0)),"?"))</f>
        <v/>
      </c>
      <c r="P556" s="11" t="inlineStr">
        <is>
          <t>alta</t>
        </is>
      </c>
      <c r="Q556" s="38" t="inlineStr">
        <is>
          <t>Primera ley: conservación de la energía en sistema cerrado</t>
        </is>
      </c>
      <c r="R556" s="38" t="inlineStr">
        <is>
          <t>Aplicar: resolver problemas</t>
        </is>
      </c>
      <c r="S556" s="39">
        <f>IFERROR(ISNUMBER(SEARCH("Conocer",$R556))/(ISNUMBER(SEARCH("Conocer",$R556))+ISNUMBER(SEARCH("Aplicar",$R556))+ISNUMBER(SEARCH("Razonar",$R556))),0)</f>
        <v/>
      </c>
      <c r="T556" s="39">
        <f>IFERROR(ISNUMBER(SEARCH("Aplicar",$R556))/(ISNUMBER(SEARCH("Conocer",$R556))+ISNUMBER(SEARCH("Aplicar",$R556))+ISNUMBER(SEARCH("Razonar",$R556))),0)</f>
        <v/>
      </c>
      <c r="U556" s="39">
        <f>IFERROR(ISNUMBER(SEARCH("Razonar",$R556))/(ISNUMBER(SEARCH("Conocer",$R556))+ISNUMBER(SEARCH("Aplicar",$R556))+ISNUMBER(SEARCH("Razonar",$R556))),0)</f>
        <v/>
      </c>
      <c r="V556" s="11" t="inlineStr">
        <is>
          <t>9°</t>
        </is>
      </c>
      <c r="W556" s="11" t="inlineStr">
        <is>
          <t>9°</t>
        </is>
      </c>
      <c r="X556" s="11">
        <f>IF(OR(IFERROR(INDEX('Datos - Catálogo TIMSS'!$I$5:$I$107,MATCH(K556,'Datos - Catálogo TIMSS'!$A$5:$A$107,0)),"No")="Sí",IFERROR(INDEX('Datos - Catálogo TIMSS'!$I$5:$I$107,MATCH(L556,'Datos - Catálogo TIMSS'!$A$5:$A$107,0)),"No")="Sí"),1,0)</f>
        <v/>
      </c>
      <c r="Y556" s="11">
        <f>IF(IFERROR(INDEX('Datos - Catálogo TIMSS'!$J$5:$J$107,MATCH(K556,'Datos - Catálogo TIMSS'!$A$5:$A$107,0)),"No")="Sí",1,0)</f>
        <v/>
      </c>
      <c r="Z556" s="11">
        <f>IF(IFERROR(INDEX('Datos - Catálogo TIMSS'!$J$5:$J$107,MATCH(L556,'Datos - Catálogo TIMSS'!$A$5:$A$107,0)),"No")="Sí",1,0)</f>
        <v/>
      </c>
      <c r="AA556" s="11" t="inlineStr">
        <is>
          <t>T8-F2.1</t>
        </is>
      </c>
      <c r="AB556" s="11" t="inlineStr"/>
      <c r="AC556" s="11">
        <f>IF(AA556="FUERA","Fuera del marco",IF(AA556="N/A","Sin marco",IFERROR(INDEX('Datos - TIMSS 2023'!$C$5:$C$105,MATCH(AA556,'Datos - TIMSS 2023'!$A$5:$A$105,0)),"Pendiente de clasificar")))</f>
        <v/>
      </c>
      <c r="AD556" s="11" t="inlineStr">
        <is>
          <t>2. Construir y evaluar diseños para la indagación científica e interpretar datos y evidencia de forma crítica</t>
        </is>
      </c>
      <c r="AE556" s="11">
        <f>IF(AD556="","",IF(LEFT(AD556,1)="1","C1",IF(LEFT(AD556,1)="2","C2",IF(LEFT(AD556,1)="3","C3",""))))</f>
        <v/>
      </c>
      <c r="AF556" s="11" t="inlineStr">
        <is>
          <t>E1</t>
        </is>
      </c>
      <c r="AG556" s="11" t="inlineStr">
        <is>
          <t>D1</t>
        </is>
      </c>
      <c r="AH556" s="11" t="inlineStr">
        <is>
          <t>E1</t>
        </is>
      </c>
      <c r="AI556" s="11" t="inlineStr">
        <is>
          <t>D4</t>
        </is>
      </c>
      <c r="AJ556" s="11" t="inlineStr">
        <is>
          <t>E3</t>
        </is>
      </c>
      <c r="AK556" s="11" t="inlineStr">
        <is>
          <t>PISA-F4</t>
        </is>
      </c>
      <c r="AL556" s="11" t="n"/>
      <c r="AM556" s="11">
        <f>IF(AK556="FUERA","Fuera del marco",IFERROR(INDEX('Datos - Catálogo PISA'!$C$5:$C$76,MATCH(AK556,'Datos - Catálogo PISA'!$A$5:$A$76,0)),"?"))</f>
        <v/>
      </c>
      <c r="AN556" s="11" t="inlineStr">
        <is>
          <t>Contenido</t>
        </is>
      </c>
      <c r="AO556" s="11" t="n"/>
      <c r="AP556" s="11" t="n"/>
      <c r="AQ556" s="11" t="inlineStr">
        <is>
          <t>Sin contexto</t>
        </is>
      </c>
      <c r="AR556" s="11" t="n"/>
      <c r="AS556" s="11" t="inlineStr">
        <is>
          <t>Media</t>
        </is>
      </c>
      <c r="AT556" s="11" t="inlineStr">
        <is>
          <t>alta</t>
        </is>
      </c>
      <c r="AU556" s="11" t="inlineStr">
        <is>
          <t>Primera ley: conservación de la energía en sistemas cerrados.</t>
        </is>
      </c>
      <c r="AV556" s="11" t="inlineStr">
        <is>
          <t>Ciclo 7°–9°</t>
        </is>
      </c>
      <c r="AW556" s="11">
        <f>AF556&amp;"; "&amp;AG556&amp;"; "&amp;AH556&amp;"; "&amp;AI556&amp;"; "&amp;AJ556</f>
        <v/>
      </c>
    </row>
    <row r="557">
      <c r="A557" s="11" t="inlineStr">
        <is>
          <t>T1191-G09-CIE</t>
        </is>
      </c>
      <c r="B557" s="11" t="n">
        <v>9</v>
      </c>
      <c r="C557" s="11" t="inlineStr">
        <is>
          <t>Ciencias</t>
        </is>
      </c>
      <c r="D557" s="11" t="inlineStr">
        <is>
          <t>Matriz_Ciencias_9no_Grado_U1_U7.xlsx</t>
        </is>
      </c>
      <c r="E557" s="11" t="inlineStr">
        <is>
          <t>Unidad 2 - Calor y temperatura</t>
        </is>
      </c>
      <c r="F557" s="11" t="n">
        <v>11</v>
      </c>
      <c r="G557" s="11" t="inlineStr">
        <is>
          <t>2. Calor y temperatura</t>
        </is>
      </c>
      <c r="H557" s="11" t="inlineStr">
        <is>
          <t>Segunda ley de la termodinámica</t>
        </is>
      </c>
      <c r="I557" s="38" t="inlineStr">
        <is>
          <t>2.9. Experimentación con un proceso irreversible de extracción de calor por medio de trabajo mecánico.</t>
        </is>
      </c>
      <c r="J557" s="11" t="inlineStr">
        <is>
          <t>PISA</t>
        </is>
      </c>
      <c r="K557" s="11" t="inlineStr">
        <is>
          <t>T8_27-P2.2</t>
        </is>
      </c>
      <c r="L557" s="11" t="inlineStr">
        <is>
          <t>T8_27-P2.1</t>
        </is>
      </c>
      <c r="M557" s="11">
        <f>IF(K557="FUERA","Fuera del marco",IF(K557="N/A","Sin marco",IFERROR(INDEX('Datos - Catálogo TIMSS'!$C$5:$C$107,MATCH(K557,'Datos - Catálogo TIMSS'!$A$5:$A$107,0)),"Pendiente de clasificar")))</f>
        <v/>
      </c>
      <c r="N557" s="11">
        <f>IF(K557="FUERA","Fuera del marco",IF(K557="N/A","Sin marco",IFERROR(INDEX('Datos - Catálogo TIMSS'!$F$5:$F$107,MATCH(K557,'Datos - Catálogo TIMSS'!$A$5:$A$107,0)),"Pendiente de clasificar")))</f>
        <v/>
      </c>
      <c r="O557" s="11">
        <f>IF(L557="","",IFERROR(INDEX('Datos - Catálogo TIMSS'!$C$5:$C$107,MATCH(L557,'Datos - Catálogo TIMSS'!$A$5:$A$107,0)),"?"))</f>
        <v/>
      </c>
      <c r="P557" s="11" t="inlineStr">
        <is>
          <t>media</t>
        </is>
      </c>
      <c r="Q557" s="38" t="inlineStr">
        <is>
          <t>Refrigeración: extracción de calor mediante trabajo</t>
        </is>
      </c>
      <c r="R557" s="38" t="inlineStr">
        <is>
          <t>Conocer: explicar procesos</t>
        </is>
      </c>
      <c r="S557" s="39">
        <f>IFERROR(ISNUMBER(SEARCH("Conocer",$R557))/(ISNUMBER(SEARCH("Conocer",$R557))+ISNUMBER(SEARCH("Aplicar",$R557))+ISNUMBER(SEARCH("Razonar",$R557))),0)</f>
        <v/>
      </c>
      <c r="T557" s="39">
        <f>IFERROR(ISNUMBER(SEARCH("Aplicar",$R557))/(ISNUMBER(SEARCH("Conocer",$R557))+ISNUMBER(SEARCH("Aplicar",$R557))+ISNUMBER(SEARCH("Razonar",$R557))),0)</f>
        <v/>
      </c>
      <c r="U557" s="39">
        <f>IFERROR(ISNUMBER(SEARCH("Razonar",$R557))/(ISNUMBER(SEARCH("Conocer",$R557))+ISNUMBER(SEARCH("Aplicar",$R557))+ISNUMBER(SEARCH("Razonar",$R557))),0)</f>
        <v/>
      </c>
      <c r="V557" s="11" t="inlineStr">
        <is>
          <t>9°</t>
        </is>
      </c>
      <c r="W557" s="11" t="inlineStr">
        <is>
          <t>9°</t>
        </is>
      </c>
      <c r="X557" s="11">
        <f>IF(OR(IFERROR(INDEX('Datos - Catálogo TIMSS'!$I$5:$I$107,MATCH(K557,'Datos - Catálogo TIMSS'!$A$5:$A$107,0)),"No")="Sí",IFERROR(INDEX('Datos - Catálogo TIMSS'!$I$5:$I$107,MATCH(L557,'Datos - Catálogo TIMSS'!$A$5:$A$107,0)),"No")="Sí"),1,0)</f>
        <v/>
      </c>
      <c r="Y557" s="11">
        <f>IF(IFERROR(INDEX('Datos - Catálogo TIMSS'!$J$5:$J$107,MATCH(K557,'Datos - Catálogo TIMSS'!$A$5:$A$107,0)),"No")="Sí",1,0)</f>
        <v/>
      </c>
      <c r="Z557" s="11">
        <f>IF(IFERROR(INDEX('Datos - Catálogo TIMSS'!$J$5:$J$107,MATCH(L557,'Datos - Catálogo TIMSS'!$A$5:$A$107,0)),"No")="Sí",1,0)</f>
        <v/>
      </c>
      <c r="AA557" s="11" t="inlineStr">
        <is>
          <t>T8-F2.2</t>
        </is>
      </c>
      <c r="AB557" s="11" t="inlineStr">
        <is>
          <t>T8-F2.1</t>
        </is>
      </c>
      <c r="AC557" s="11">
        <f>IF(AA557="FUERA","Fuera del marco",IF(AA557="N/A","Sin marco",IFERROR(INDEX('Datos - TIMSS 2023'!$C$5:$C$105,MATCH(AA557,'Datos - TIMSS 2023'!$A$5:$A$105,0)),"Pendiente de clasificar")))</f>
        <v/>
      </c>
      <c r="AD557" s="11" t="inlineStr">
        <is>
          <t>1. Explicar fenómenos científicamente</t>
        </is>
      </c>
      <c r="AE557" s="11">
        <f>IF(AD557="","",IF(LEFT(AD557,1)="1","C1",IF(LEFT(AD557,1)="2","C2",IF(LEFT(AD557,1)="3","C3",""))))</f>
        <v/>
      </c>
      <c r="AF557" s="11" t="inlineStr">
        <is>
          <t>E1</t>
        </is>
      </c>
      <c r="AG557" s="11" t="inlineStr">
        <is>
          <t>D1</t>
        </is>
      </c>
      <c r="AH557" s="11" t="inlineStr">
        <is>
          <t>E1</t>
        </is>
      </c>
      <c r="AI557" s="11" t="inlineStr">
        <is>
          <t>D4</t>
        </is>
      </c>
      <c r="AJ557" s="11" t="inlineStr">
        <is>
          <t>E6</t>
        </is>
      </c>
      <c r="AK557" s="11" t="inlineStr">
        <is>
          <t>PISA-F4</t>
        </is>
      </c>
      <c r="AL557" s="11" t="n"/>
      <c r="AM557" s="11">
        <f>IF(AK557="FUERA","Fuera del marco",IFERROR(INDEX('Datos - Catálogo PISA'!$C$5:$C$76,MATCH(AK557,'Datos - Catálogo PISA'!$A$5:$A$76,0)),"?"))</f>
        <v/>
      </c>
      <c r="AN557" s="11" t="inlineStr">
        <is>
          <t>Contenido</t>
        </is>
      </c>
      <c r="AO557" s="11" t="n"/>
      <c r="AP557" s="11" t="n"/>
      <c r="AQ557" s="11" t="inlineStr">
        <is>
          <t>Personal</t>
        </is>
      </c>
      <c r="AR557" s="11" t="inlineStr">
        <is>
          <t>Avances y desafíos científicos y tecnológicos</t>
        </is>
      </c>
      <c r="AS557" s="11" t="inlineStr">
        <is>
          <t>Media</t>
        </is>
      </c>
      <c r="AT557" s="11" t="inlineStr">
        <is>
          <t>media</t>
        </is>
      </c>
      <c r="AU557" s="11" t="inlineStr">
        <is>
          <t>Proceso irreversible en ciclo de refrigeración; disipación de energía.</t>
        </is>
      </c>
      <c r="AV557" s="11" t="inlineStr">
        <is>
          <t>Ciclo 7°–9°</t>
        </is>
      </c>
      <c r="AW557" s="11">
        <f>AF557&amp;"; "&amp;AG557&amp;"; "&amp;AH557&amp;"; "&amp;AI557&amp;"; "&amp;AJ557</f>
        <v/>
      </c>
    </row>
    <row r="558">
      <c r="A558" s="11" t="inlineStr">
        <is>
          <t>T1192-G09-CIE</t>
        </is>
      </c>
      <c r="B558" s="11" t="n">
        <v>9</v>
      </c>
      <c r="C558" s="11" t="inlineStr">
        <is>
          <t>Ciencias</t>
        </is>
      </c>
      <c r="D558" s="11" t="inlineStr">
        <is>
          <t>Matriz_Ciencias_9no_Grado_U1_U7.xlsx</t>
        </is>
      </c>
      <c r="E558" s="11" t="inlineStr">
        <is>
          <t>Unidad 2 - Calor y temperatura</t>
        </is>
      </c>
      <c r="F558" s="11" t="n">
        <v>12</v>
      </c>
      <c r="G558" s="11" t="inlineStr">
        <is>
          <t>2. Calor y temperatura</t>
        </is>
      </c>
      <c r="H558" s="11" t="inlineStr">
        <is>
          <t>Segunda ley de la termodinámica</t>
        </is>
      </c>
      <c r="I558" s="38" t="inlineStr">
        <is>
          <t>2.10. Resolución de problemas acerca de la máxima eficiencia posible en una reversión parcial con máquinas térmicas.</t>
        </is>
      </c>
      <c r="J558" s="11" t="inlineStr">
        <is>
          <t>PISA</t>
        </is>
      </c>
      <c r="K558" s="11" t="inlineStr">
        <is>
          <t>T8_27-P2.1</t>
        </is>
      </c>
      <c r="L558" s="11" t="inlineStr"/>
      <c r="M558" s="11">
        <f>IF(K558="FUERA","Fuera del marco",IF(K558="N/A","Sin marco",IFERROR(INDEX('Datos - Catálogo TIMSS'!$C$5:$C$107,MATCH(K558,'Datos - Catálogo TIMSS'!$A$5:$A$107,0)),"Pendiente de clasificar")))</f>
        <v/>
      </c>
      <c r="N558" s="11">
        <f>IF(K558="FUERA","Fuera del marco",IF(K558="N/A","Sin marco",IFERROR(INDEX('Datos - Catálogo TIMSS'!$F$5:$F$107,MATCH(K558,'Datos - Catálogo TIMSS'!$A$5:$A$107,0)),"Pendiente de clasificar")))</f>
        <v/>
      </c>
      <c r="O558" s="11">
        <f>IF(L558="","",IFERROR(INDEX('Datos - Catálogo TIMSS'!$C$5:$C$107,MATCH(L558,'Datos - Catálogo TIMSS'!$A$5:$A$107,0)),"?"))</f>
        <v/>
      </c>
      <c r="P558" s="11" t="inlineStr">
        <is>
          <t>media</t>
        </is>
      </c>
      <c r="Q558" s="38" t="inlineStr">
        <is>
          <t>Eficiencia de máquinas térmicas: transformaciones de energía</t>
        </is>
      </c>
      <c r="R558" s="38" t="inlineStr">
        <is>
          <t>Aplicar: resolver problemas. Razonar: justificar</t>
        </is>
      </c>
      <c r="S558" s="39">
        <f>IFERROR(ISNUMBER(SEARCH("Conocer",$R558))/(ISNUMBER(SEARCH("Conocer",$R558))+ISNUMBER(SEARCH("Aplicar",$R558))+ISNUMBER(SEARCH("Razonar",$R558))),0)</f>
        <v/>
      </c>
      <c r="T558" s="39">
        <f>IFERROR(ISNUMBER(SEARCH("Aplicar",$R558))/(ISNUMBER(SEARCH("Conocer",$R558))+ISNUMBER(SEARCH("Aplicar",$R558))+ISNUMBER(SEARCH("Razonar",$R558))),0)</f>
        <v/>
      </c>
      <c r="U558" s="39">
        <f>IFERROR(ISNUMBER(SEARCH("Razonar",$R558))/(ISNUMBER(SEARCH("Conocer",$R558))+ISNUMBER(SEARCH("Aplicar",$R558))+ISNUMBER(SEARCH("Razonar",$R558))),0)</f>
        <v/>
      </c>
      <c r="V558" s="11" t="inlineStr">
        <is>
          <t>9°</t>
        </is>
      </c>
      <c r="W558" s="11" t="inlineStr">
        <is>
          <t>9°</t>
        </is>
      </c>
      <c r="X558" s="11">
        <f>IF(OR(IFERROR(INDEX('Datos - Catálogo TIMSS'!$I$5:$I$107,MATCH(K558,'Datos - Catálogo TIMSS'!$A$5:$A$107,0)),"No")="Sí",IFERROR(INDEX('Datos - Catálogo TIMSS'!$I$5:$I$107,MATCH(L558,'Datos - Catálogo TIMSS'!$A$5:$A$107,0)),"No")="Sí"),1,0)</f>
        <v/>
      </c>
      <c r="Y558" s="11">
        <f>IF(IFERROR(INDEX('Datos - Catálogo TIMSS'!$J$5:$J$107,MATCH(K558,'Datos - Catálogo TIMSS'!$A$5:$A$107,0)),"No")="Sí",1,0)</f>
        <v/>
      </c>
      <c r="Z558" s="11">
        <f>IF(IFERROR(INDEX('Datos - Catálogo TIMSS'!$J$5:$J$107,MATCH(L558,'Datos - Catálogo TIMSS'!$A$5:$A$107,0)),"No")="Sí",1,0)</f>
        <v/>
      </c>
      <c r="AA558" s="11" t="inlineStr">
        <is>
          <t>T8-F2.1</t>
        </is>
      </c>
      <c r="AB558" s="11" t="inlineStr"/>
      <c r="AC558" s="11">
        <f>IF(AA558="FUERA","Fuera del marco",IF(AA558="N/A","Sin marco",IFERROR(INDEX('Datos - TIMSS 2023'!$C$5:$C$105,MATCH(AA558,'Datos - TIMSS 2023'!$A$5:$A$105,0)),"Pendiente de clasificar")))</f>
        <v/>
      </c>
      <c r="AD558" s="11" t="inlineStr">
        <is>
          <t>2. Construir y evaluar diseños para la indagación científica e interpretar datos y evidencia de forma crítica</t>
        </is>
      </c>
      <c r="AE558" s="11">
        <f>IF(AD558="","",IF(LEFT(AD558,1)="1","C1",IF(LEFT(AD558,1)="2","C2",IF(LEFT(AD558,1)="3","C3",""))))</f>
        <v/>
      </c>
      <c r="AF558" s="11" t="inlineStr">
        <is>
          <t>E1</t>
        </is>
      </c>
      <c r="AG558" s="11" t="inlineStr">
        <is>
          <t>D1</t>
        </is>
      </c>
      <c r="AH558" s="11" t="inlineStr">
        <is>
          <t>E1</t>
        </is>
      </c>
      <c r="AI558" s="11" t="inlineStr">
        <is>
          <t>D4</t>
        </is>
      </c>
      <c r="AJ558" s="11" t="inlineStr">
        <is>
          <t>I5</t>
        </is>
      </c>
      <c r="AK558" s="11" t="inlineStr">
        <is>
          <t>PISA-F4</t>
        </is>
      </c>
      <c r="AL558" s="11" t="n"/>
      <c r="AM558" s="11">
        <f>IF(AK558="FUERA","Fuera del marco",IFERROR(INDEX('Datos - Catálogo PISA'!$C$5:$C$76,MATCH(AK558,'Datos - Catálogo PISA'!$A$5:$A$76,0)),"?"))</f>
        <v/>
      </c>
      <c r="AN558" s="11" t="inlineStr">
        <is>
          <t>Contenido</t>
        </is>
      </c>
      <c r="AO558" s="11" t="n"/>
      <c r="AP558" s="11" t="n"/>
      <c r="AQ558" s="11" t="inlineStr">
        <is>
          <t>Sin contexto</t>
        </is>
      </c>
      <c r="AR558" s="11" t="n"/>
      <c r="AS558" s="11" t="inlineStr">
        <is>
          <t>Media</t>
        </is>
      </c>
      <c r="AT558" s="11" t="inlineStr">
        <is>
          <t>alta</t>
        </is>
      </c>
      <c r="AU558" s="11" t="inlineStr">
        <is>
          <t>Eficiencia máxima de máquinas térmicas; disipación de energía.</t>
        </is>
      </c>
      <c r="AV558" s="11" t="inlineStr">
        <is>
          <t>Ciclo 7°–9°</t>
        </is>
      </c>
      <c r="AW558" s="11">
        <f>AF558&amp;"; "&amp;AG558&amp;"; "&amp;AH558&amp;"; "&amp;AI558&amp;"; "&amp;AJ558</f>
        <v/>
      </c>
    </row>
    <row r="559">
      <c r="A559" s="11" t="inlineStr">
        <is>
          <t>T1193-G09-CIE</t>
        </is>
      </c>
      <c r="B559" s="11" t="n">
        <v>9</v>
      </c>
      <c r="C559" s="11" t="inlineStr">
        <is>
          <t>Ciencias</t>
        </is>
      </c>
      <c r="D559" s="11" t="inlineStr">
        <is>
          <t>Matriz_Ciencias_9no_Grado_U1_U7.xlsx</t>
        </is>
      </c>
      <c r="E559" s="11" t="inlineStr">
        <is>
          <t>Unidad 3 - Equilibrio químico</t>
        </is>
      </c>
      <c r="F559" s="11" t="n">
        <v>3</v>
      </c>
      <c r="G559" s="11" t="inlineStr">
        <is>
          <t>3. Equilibrio químico</t>
        </is>
      </c>
      <c r="H559" s="11" t="inlineStr">
        <is>
          <t>Introducción al equilibrio químico</t>
        </is>
      </c>
      <c r="I559" s="38" t="inlineStr">
        <is>
          <t>3.1. Indagación del concepto de equilibrio químico.</t>
        </is>
      </c>
      <c r="J559" s="11" t="inlineStr">
        <is>
          <t>PISA</t>
        </is>
      </c>
      <c r="K559" s="11" t="inlineStr">
        <is>
          <t>T8_27-C3.2</t>
        </is>
      </c>
      <c r="L559" s="11" t="inlineStr"/>
      <c r="M559" s="11">
        <f>IF(K559="FUERA","Fuera del marco",IF(K559="N/A","Sin marco",IFERROR(INDEX('Datos - Catálogo TIMSS'!$C$5:$C$107,MATCH(K559,'Datos - Catálogo TIMSS'!$A$5:$A$107,0)),"Pendiente de clasificar")))</f>
        <v/>
      </c>
      <c r="N559" s="11">
        <f>IF(K559="FUERA","Fuera del marco",IF(K559="N/A","Sin marco",IFERROR(INDEX('Datos - Catálogo TIMSS'!$F$5:$F$107,MATCH(K559,'Datos - Catálogo TIMSS'!$A$5:$A$107,0)),"Pendiente de clasificar")))</f>
        <v/>
      </c>
      <c r="O559" s="11">
        <f>IF(L559="","",IFERROR(INDEX('Datos - Catálogo TIMSS'!$C$5:$C$107,MATCH(L559,'Datos - Catálogo TIMSS'!$A$5:$A$107,0)),"?"))</f>
        <v/>
      </c>
      <c r="P559" s="11" t="inlineStr">
        <is>
          <t>media</t>
        </is>
      </c>
      <c r="Q559" s="38" t="inlineStr">
        <is>
          <t>Equilibrio químico ligado a rapidez de reacción; supera TIMSS</t>
        </is>
      </c>
      <c r="R559" s="38" t="inlineStr">
        <is>
          <t>Conocer: definir. Aplicar: usar modelos</t>
        </is>
      </c>
      <c r="S559" s="39">
        <f>IFERROR(ISNUMBER(SEARCH("Conocer",$R559))/(ISNUMBER(SEARCH("Conocer",$R559))+ISNUMBER(SEARCH("Aplicar",$R559))+ISNUMBER(SEARCH("Razonar",$R559))),0)</f>
        <v/>
      </c>
      <c r="T559" s="39">
        <f>IFERROR(ISNUMBER(SEARCH("Aplicar",$R559))/(ISNUMBER(SEARCH("Conocer",$R559))+ISNUMBER(SEARCH("Aplicar",$R559))+ISNUMBER(SEARCH("Razonar",$R559))),0)</f>
        <v/>
      </c>
      <c r="U559" s="39">
        <f>IFERROR(ISNUMBER(SEARCH("Razonar",$R559))/(ISNUMBER(SEARCH("Conocer",$R559))+ISNUMBER(SEARCH("Aplicar",$R559))+ISNUMBER(SEARCH("Razonar",$R559))),0)</f>
        <v/>
      </c>
      <c r="V559" s="11" t="inlineStr">
        <is>
          <t>9°</t>
        </is>
      </c>
      <c r="W559" s="11" t="inlineStr">
        <is>
          <t>9°</t>
        </is>
      </c>
      <c r="X559" s="11">
        <f>IF(OR(IFERROR(INDEX('Datos - Catálogo TIMSS'!$I$5:$I$107,MATCH(K559,'Datos - Catálogo TIMSS'!$A$5:$A$107,0)),"No")="Sí",IFERROR(INDEX('Datos - Catálogo TIMSS'!$I$5:$I$107,MATCH(L559,'Datos - Catálogo TIMSS'!$A$5:$A$107,0)),"No")="Sí"),1,0)</f>
        <v/>
      </c>
      <c r="Y559" s="11">
        <f>IF(IFERROR(INDEX('Datos - Catálogo TIMSS'!$J$5:$J$107,MATCH(K559,'Datos - Catálogo TIMSS'!$A$5:$A$107,0)),"No")="Sí",1,0)</f>
        <v/>
      </c>
      <c r="Z559" s="11">
        <f>IF(IFERROR(INDEX('Datos - Catálogo TIMSS'!$J$5:$J$107,MATCH(L559,'Datos - Catálogo TIMSS'!$A$5:$A$107,0)),"No")="Sí",1,0)</f>
        <v/>
      </c>
      <c r="AA559" s="11" t="inlineStr">
        <is>
          <t>T8-Q3.2</t>
        </is>
      </c>
      <c r="AB559" s="11" t="inlineStr"/>
      <c r="AC559" s="11">
        <f>IF(AA559="FUERA","Fuera del marco",IF(AA559="N/A","Sin marco",IFERROR(INDEX('Datos - TIMSS 2023'!$C$5:$C$105,MATCH(AA559,'Datos - TIMSS 2023'!$A$5:$A$105,0)),"Pendiente de clasificar")))</f>
        <v/>
      </c>
      <c r="AD559" s="11" t="inlineStr">
        <is>
          <t>1. Explicar fenómenos científicamente</t>
        </is>
      </c>
      <c r="AE559" s="11">
        <f>IF(AD559="","",IF(LEFT(AD559,1)="1","C1",IF(LEFT(AD559,1)="2","C2",IF(LEFT(AD559,1)="3","C3",""))))</f>
        <v/>
      </c>
      <c r="AF559" s="11" t="inlineStr">
        <is>
          <t>E1</t>
        </is>
      </c>
      <c r="AG559" s="11" t="inlineStr">
        <is>
          <t>D1</t>
        </is>
      </c>
      <c r="AH559" s="11" t="inlineStr">
        <is>
          <t>E1</t>
        </is>
      </c>
      <c r="AI559" s="11" t="inlineStr">
        <is>
          <t>D4</t>
        </is>
      </c>
      <c r="AJ559" s="11" t="inlineStr">
        <is>
          <t>E1</t>
        </is>
      </c>
      <c r="AK559" s="11" t="inlineStr">
        <is>
          <t>PISA-F2</t>
        </is>
      </c>
      <c r="AL559" s="11" t="n"/>
      <c r="AM559" s="11">
        <f>IF(AK559="FUERA","Fuera del marco",IFERROR(INDEX('Datos - Catálogo PISA'!$C$5:$C$76,MATCH(AK559,'Datos - Catálogo PISA'!$A$5:$A$76,0)),"?"))</f>
        <v/>
      </c>
      <c r="AN559" s="11" t="inlineStr">
        <is>
          <t>Contenido</t>
        </is>
      </c>
      <c r="AO559" s="11" t="n"/>
      <c r="AP559" s="11" t="inlineStr">
        <is>
          <t>PISA-EP4;</t>
        </is>
      </c>
      <c r="AQ559" s="11" t="inlineStr">
        <is>
          <t>Sin contexto</t>
        </is>
      </c>
      <c r="AR559" s="11" t="n"/>
      <c r="AS559" s="11" t="inlineStr">
        <is>
          <t>Media</t>
        </is>
      </c>
      <c r="AT559" s="11" t="inlineStr">
        <is>
          <t>alta</t>
        </is>
      </c>
      <c r="AU559" s="11" t="inlineStr">
        <is>
          <t>Equilibrio químico en reacciones reversibles explicado con modelo.</t>
        </is>
      </c>
      <c r="AV559" s="11" t="inlineStr">
        <is>
          <t>Ciclo 7°–9°</t>
        </is>
      </c>
      <c r="AW559" s="11">
        <f>AF559&amp;"; "&amp;AG559&amp;"; "&amp;AH559&amp;"; "&amp;AI559&amp;"; "&amp;AJ559</f>
        <v/>
      </c>
    </row>
    <row r="560">
      <c r="A560" s="11" t="inlineStr">
        <is>
          <t>T1194-G09-CIE</t>
        </is>
      </c>
      <c r="B560" s="11" t="n">
        <v>9</v>
      </c>
      <c r="C560" s="11" t="inlineStr">
        <is>
          <t>Ciencias</t>
        </is>
      </c>
      <c r="D560" s="11" t="inlineStr">
        <is>
          <t>Matriz_Ciencias_9no_Grado_U1_U7.xlsx</t>
        </is>
      </c>
      <c r="E560" s="11" t="inlineStr">
        <is>
          <t>Unidad 3 - Equilibrio químico</t>
        </is>
      </c>
      <c r="F560" s="11" t="n">
        <v>4</v>
      </c>
      <c r="G560" s="11" t="inlineStr">
        <is>
          <t>3. Equilibrio químico</t>
        </is>
      </c>
      <c r="H560" s="11" t="inlineStr">
        <is>
          <t>Introducción al equilibrio químico</t>
        </is>
      </c>
      <c r="I560" s="38" t="inlineStr">
        <is>
          <t>3.2. Identificación experimental de los factores que afecta la rapidez de reacción.</t>
        </is>
      </c>
      <c r="J560" s="11" t="inlineStr">
        <is>
          <t>PISA</t>
        </is>
      </c>
      <c r="K560" s="11" t="inlineStr">
        <is>
          <t>T8_27-C3.2</t>
        </is>
      </c>
      <c r="L560" s="11" t="inlineStr">
        <is>
          <t>T8_27-C4.1</t>
        </is>
      </c>
      <c r="M560" s="11">
        <f>IF(K560="FUERA","Fuera del marco",IF(K560="N/A","Sin marco",IFERROR(INDEX('Datos - Catálogo TIMSS'!$C$5:$C$107,MATCH(K560,'Datos - Catálogo TIMSS'!$A$5:$A$107,0)),"Pendiente de clasificar")))</f>
        <v/>
      </c>
      <c r="N560" s="11">
        <f>IF(K560="FUERA","Fuera del marco",IF(K560="N/A","Sin marco",IFERROR(INDEX('Datos - Catálogo TIMSS'!$F$5:$F$107,MATCH(K560,'Datos - Catálogo TIMSS'!$A$5:$A$107,0)),"Pendiente de clasificar")))</f>
        <v/>
      </c>
      <c r="O560" s="11">
        <f>IF(L560="","",IFERROR(INDEX('Datos - Catálogo TIMSS'!$C$5:$C$107,MATCH(L560,'Datos - Catálogo TIMSS'!$A$5:$A$107,0)),"?"))</f>
        <v/>
      </c>
      <c r="P560" s="11" t="inlineStr">
        <is>
          <t>alta</t>
        </is>
      </c>
      <c r="Q560" s="38" t="inlineStr">
        <is>
          <t>Factores de rapidez de reacción identificados experimentalmente</t>
        </is>
      </c>
      <c r="R560" s="38" t="inlineStr">
        <is>
          <t>Razonar: diseñar prueba justa</t>
        </is>
      </c>
      <c r="S560" s="39">
        <f>IFERROR(ISNUMBER(SEARCH("Conocer",$R560))/(ISNUMBER(SEARCH("Conocer",$R560))+ISNUMBER(SEARCH("Aplicar",$R560))+ISNUMBER(SEARCH("Razonar",$R560))),0)</f>
        <v/>
      </c>
      <c r="T560" s="39">
        <f>IFERROR(ISNUMBER(SEARCH("Aplicar",$R560))/(ISNUMBER(SEARCH("Conocer",$R560))+ISNUMBER(SEARCH("Aplicar",$R560))+ISNUMBER(SEARCH("Razonar",$R560))),0)</f>
        <v/>
      </c>
      <c r="U560" s="39">
        <f>IFERROR(ISNUMBER(SEARCH("Razonar",$R560))/(ISNUMBER(SEARCH("Conocer",$R560))+ISNUMBER(SEARCH("Aplicar",$R560))+ISNUMBER(SEARCH("Razonar",$R560))),0)</f>
        <v/>
      </c>
      <c r="V560" s="11" t="inlineStr">
        <is>
          <t>9°</t>
        </is>
      </c>
      <c r="W560" s="11" t="inlineStr">
        <is>
          <t>9°</t>
        </is>
      </c>
      <c r="X560" s="11">
        <f>IF(OR(IFERROR(INDEX('Datos - Catálogo TIMSS'!$I$5:$I$107,MATCH(K560,'Datos - Catálogo TIMSS'!$A$5:$A$107,0)),"No")="Sí",IFERROR(INDEX('Datos - Catálogo TIMSS'!$I$5:$I$107,MATCH(L560,'Datos - Catálogo TIMSS'!$A$5:$A$107,0)),"No")="Sí"),1,0)</f>
        <v/>
      </c>
      <c r="Y560" s="11">
        <f>IF(IFERROR(INDEX('Datos - Catálogo TIMSS'!$J$5:$J$107,MATCH(K560,'Datos - Catálogo TIMSS'!$A$5:$A$107,0)),"No")="Sí",1,0)</f>
        <v/>
      </c>
      <c r="Z560" s="11">
        <f>IF(IFERROR(INDEX('Datos - Catálogo TIMSS'!$J$5:$J$107,MATCH(L560,'Datos - Catálogo TIMSS'!$A$5:$A$107,0)),"No")="Sí",1,0)</f>
        <v/>
      </c>
      <c r="AA560" s="11" t="inlineStr">
        <is>
          <t>T8-Q3.2</t>
        </is>
      </c>
      <c r="AB560" s="11" t="inlineStr"/>
      <c r="AC560" s="11">
        <f>IF(AA560="FUERA","Fuera del marco",IF(AA560="N/A","Sin marco",IFERROR(INDEX('Datos - TIMSS 2023'!$C$5:$C$105,MATCH(AA560,'Datos - TIMSS 2023'!$A$5:$A$105,0)),"Pendiente de clasificar")))</f>
        <v/>
      </c>
      <c r="AD560" s="11" t="inlineStr">
        <is>
          <t>2. Construir y evaluar diseños para la indagación científica e interpretar datos y evidencia de forma crítica</t>
        </is>
      </c>
      <c r="AE560" s="11">
        <f>IF(AD560="","",IF(LEFT(AD560,1)="1","C1",IF(LEFT(AD560,1)="2","C2",IF(LEFT(AD560,1)="3","C3",""))))</f>
        <v/>
      </c>
      <c r="AF560" s="11" t="inlineStr">
        <is>
          <t>E1</t>
        </is>
      </c>
      <c r="AG560" s="11" t="inlineStr">
        <is>
          <t>E3</t>
        </is>
      </c>
      <c r="AH560" s="11" t="inlineStr">
        <is>
          <t>E1</t>
        </is>
      </c>
      <c r="AI560" s="11" t="inlineStr">
        <is>
          <t>D3</t>
        </is>
      </c>
      <c r="AJ560" s="11" t="inlineStr">
        <is>
          <t>E6</t>
        </is>
      </c>
      <c r="AK560" s="11" t="inlineStr">
        <is>
          <t>PISA-F2</t>
        </is>
      </c>
      <c r="AL560" s="11" t="n"/>
      <c r="AM560" s="11">
        <f>IF(AK560="FUERA","Fuera del marco",IFERROR(INDEX('Datos - Catálogo PISA'!$C$5:$C$76,MATCH(AK560,'Datos - Catálogo PISA'!$A$5:$A$76,0)),"?"))</f>
        <v/>
      </c>
      <c r="AN560" s="11" t="inlineStr">
        <is>
          <t>Contenido</t>
        </is>
      </c>
      <c r="AO560" s="11" t="inlineStr">
        <is>
          <t>PISA-PR1; PISA-PR6;</t>
        </is>
      </c>
      <c r="AP560" s="11" t="n"/>
      <c r="AQ560" s="11" t="inlineStr">
        <is>
          <t>Sin contexto</t>
        </is>
      </c>
      <c r="AR560" s="11" t="n"/>
      <c r="AS560" s="11" t="inlineStr">
        <is>
          <t>Media</t>
        </is>
      </c>
      <c r="AT560" s="11" t="inlineStr">
        <is>
          <t>alta</t>
        </is>
      </c>
      <c r="AU560" s="11" t="inlineStr">
        <is>
          <t>Factores de rapidez de reacción variando uno por vez.</t>
        </is>
      </c>
      <c r="AV560" s="11" t="inlineStr">
        <is>
          <t>Ciclo 7°–9°</t>
        </is>
      </c>
      <c r="AW560" s="11">
        <f>AF560&amp;"; "&amp;AG560&amp;"; "&amp;AH560&amp;"; "&amp;AI560&amp;"; "&amp;AJ560</f>
        <v/>
      </c>
    </row>
    <row r="561">
      <c r="A561" s="11" t="inlineStr">
        <is>
          <t>T1195-G09-CIE</t>
        </is>
      </c>
      <c r="B561" s="11" t="n">
        <v>9</v>
      </c>
      <c r="C561" s="11" t="inlineStr">
        <is>
          <t>Ciencias</t>
        </is>
      </c>
      <c r="D561" s="11" t="inlineStr">
        <is>
          <t>Matriz_Ciencias_9no_Grado_U1_U7.xlsx</t>
        </is>
      </c>
      <c r="E561" s="11" t="inlineStr">
        <is>
          <t>Unidad 3 - Equilibrio químico</t>
        </is>
      </c>
      <c r="F561" s="11" t="n">
        <v>5</v>
      </c>
      <c r="G561" s="11" t="inlineStr">
        <is>
          <t>3. Equilibrio químico</t>
        </is>
      </c>
      <c r="H561" s="11" t="inlineStr">
        <is>
          <t>Introducción al equilibrio químico</t>
        </is>
      </c>
      <c r="I561" s="38" t="inlineStr">
        <is>
          <t>3.3. Identificación del tipo de equilibrio químico y la expresión de la constante de equilibrio en una reacción.</t>
        </is>
      </c>
      <c r="J561" s="11" t="inlineStr">
        <is>
          <t>PISA</t>
        </is>
      </c>
      <c r="K561" s="11" t="inlineStr">
        <is>
          <t>T8_27-C3.2</t>
        </is>
      </c>
      <c r="L561" s="11" t="inlineStr"/>
      <c r="M561" s="11">
        <f>IF(K561="FUERA","Fuera del marco",IF(K561="N/A","Sin marco",IFERROR(INDEX('Datos - Catálogo TIMSS'!$C$5:$C$107,MATCH(K561,'Datos - Catálogo TIMSS'!$A$5:$A$107,0)),"Pendiente de clasificar")))</f>
        <v/>
      </c>
      <c r="N561" s="11">
        <f>IF(K561="FUERA","Fuera del marco",IF(K561="N/A","Sin marco",IFERROR(INDEX('Datos - Catálogo TIMSS'!$F$5:$F$107,MATCH(K561,'Datos - Catálogo TIMSS'!$A$5:$A$107,0)),"Pendiente de clasificar")))</f>
        <v/>
      </c>
      <c r="O561" s="11">
        <f>IF(L561="","",IFERROR(INDEX('Datos - Catálogo TIMSS'!$C$5:$C$107,MATCH(L561,'Datos - Catálogo TIMSS'!$A$5:$A$107,0)),"?"))</f>
        <v/>
      </c>
      <c r="P561" s="11" t="inlineStr">
        <is>
          <t>baja</t>
        </is>
      </c>
      <c r="Q561" s="38" t="inlineStr">
        <is>
          <t>Constante de equilibrio no está en TIMSS 8.°</t>
        </is>
      </c>
      <c r="R561" s="38" t="inlineStr">
        <is>
          <t>Aplicar: representar</t>
        </is>
      </c>
      <c r="S561" s="39">
        <f>IFERROR(ISNUMBER(SEARCH("Conocer",$R561))/(ISNUMBER(SEARCH("Conocer",$R561))+ISNUMBER(SEARCH("Aplicar",$R561))+ISNUMBER(SEARCH("Razonar",$R561))),0)</f>
        <v/>
      </c>
      <c r="T561" s="39">
        <f>IFERROR(ISNUMBER(SEARCH("Aplicar",$R561))/(ISNUMBER(SEARCH("Conocer",$R561))+ISNUMBER(SEARCH("Aplicar",$R561))+ISNUMBER(SEARCH("Razonar",$R561))),0)</f>
        <v/>
      </c>
      <c r="U561" s="39">
        <f>IFERROR(ISNUMBER(SEARCH("Razonar",$R561))/(ISNUMBER(SEARCH("Conocer",$R561))+ISNUMBER(SEARCH("Aplicar",$R561))+ISNUMBER(SEARCH("Razonar",$R561))),0)</f>
        <v/>
      </c>
      <c r="V561" s="11" t="inlineStr">
        <is>
          <t>9°</t>
        </is>
      </c>
      <c r="W561" s="11" t="inlineStr">
        <is>
          <t>9°</t>
        </is>
      </c>
      <c r="X561" s="11">
        <f>IF(OR(IFERROR(INDEX('Datos - Catálogo TIMSS'!$I$5:$I$107,MATCH(K561,'Datos - Catálogo TIMSS'!$A$5:$A$107,0)),"No")="Sí",IFERROR(INDEX('Datos - Catálogo TIMSS'!$I$5:$I$107,MATCH(L561,'Datos - Catálogo TIMSS'!$A$5:$A$107,0)),"No")="Sí"),1,0)</f>
        <v/>
      </c>
      <c r="Y561" s="11">
        <f>IF(IFERROR(INDEX('Datos - Catálogo TIMSS'!$J$5:$J$107,MATCH(K561,'Datos - Catálogo TIMSS'!$A$5:$A$107,0)),"No")="Sí",1,0)</f>
        <v/>
      </c>
      <c r="Z561" s="11">
        <f>IF(IFERROR(INDEX('Datos - Catálogo TIMSS'!$J$5:$J$107,MATCH(L561,'Datos - Catálogo TIMSS'!$A$5:$A$107,0)),"No")="Sí",1,0)</f>
        <v/>
      </c>
      <c r="AA561" s="11" t="inlineStr">
        <is>
          <t>T8-Q3.2</t>
        </is>
      </c>
      <c r="AB561" s="11" t="inlineStr"/>
      <c r="AC561" s="11">
        <f>IF(AA561="FUERA","Fuera del marco",IF(AA561="N/A","Sin marco",IFERROR(INDEX('Datos - TIMSS 2023'!$C$5:$C$105,MATCH(AA561,'Datos - TIMSS 2023'!$A$5:$A$105,0)),"Pendiente de clasificar")))</f>
        <v/>
      </c>
      <c r="AD561" s="11" t="inlineStr">
        <is>
          <t>1. Explicar fenómenos científicamente</t>
        </is>
      </c>
      <c r="AE561" s="11">
        <f>IF(AD561="","",IF(LEFT(AD561,1)="1","C1",IF(LEFT(AD561,1)="2","C2",IF(LEFT(AD561,1)="3","C3",""))))</f>
        <v/>
      </c>
      <c r="AF561" s="11" t="inlineStr">
        <is>
          <t>E1</t>
        </is>
      </c>
      <c r="AG561" s="11" t="inlineStr">
        <is>
          <t>D1</t>
        </is>
      </c>
      <c r="AH561" s="11" t="inlineStr">
        <is>
          <t>E1</t>
        </is>
      </c>
      <c r="AI561" s="11" t="inlineStr">
        <is>
          <t>D4</t>
        </is>
      </c>
      <c r="AJ561" s="11" t="inlineStr">
        <is>
          <t>E1</t>
        </is>
      </c>
      <c r="AK561" s="11" t="inlineStr">
        <is>
          <t>PISA-F2</t>
        </is>
      </c>
      <c r="AL561" s="11" t="n"/>
      <c r="AM561" s="11">
        <f>IF(AK561="FUERA","Fuera del marco",IFERROR(INDEX('Datos - Catálogo PISA'!$C$5:$C$76,MATCH(AK561,'Datos - Catálogo PISA'!$A$5:$A$76,0)),"?"))</f>
        <v/>
      </c>
      <c r="AN561" s="11" t="inlineStr">
        <is>
          <t>Contenido</t>
        </is>
      </c>
      <c r="AO561" s="11" t="n"/>
      <c r="AP561" s="11" t="n"/>
      <c r="AQ561" s="11" t="inlineStr">
        <is>
          <t>Sin contexto</t>
        </is>
      </c>
      <c r="AR561" s="11" t="n"/>
      <c r="AS561" s="11" t="inlineStr">
        <is>
          <t>Baja</t>
        </is>
      </c>
      <c r="AT561" s="11" t="inlineStr">
        <is>
          <t>alta</t>
        </is>
      </c>
      <c r="AU561" s="11" t="inlineStr">
        <is>
          <t>Tipos de equilibrio y expresión de la constante Kc.</t>
        </is>
      </c>
      <c r="AV561" s="11" t="inlineStr">
        <is>
          <t>Ciclo 7°–9°</t>
        </is>
      </c>
      <c r="AW561" s="11">
        <f>AF561&amp;"; "&amp;AG561&amp;"; "&amp;AH561&amp;"; "&amp;AI561&amp;"; "&amp;AJ561</f>
        <v/>
      </c>
    </row>
    <row r="562">
      <c r="A562" s="11" t="inlineStr">
        <is>
          <t>T1196-G09-CIE</t>
        </is>
      </c>
      <c r="B562" s="11" t="n">
        <v>9</v>
      </c>
      <c r="C562" s="11" t="inlineStr">
        <is>
          <t>Ciencias</t>
        </is>
      </c>
      <c r="D562" s="11" t="inlineStr">
        <is>
          <t>Matriz_Ciencias_9no_Grado_U1_U7.xlsx</t>
        </is>
      </c>
      <c r="E562" s="11" t="inlineStr">
        <is>
          <t>Unidad 3 - Equilibrio químico</t>
        </is>
      </c>
      <c r="F562" s="11" t="n">
        <v>6</v>
      </c>
      <c r="G562" s="11" t="inlineStr">
        <is>
          <t>3. Equilibrio químico</t>
        </is>
      </c>
      <c r="H562" s="11" t="inlineStr">
        <is>
          <t>Constante de equilibrio y su interpretación</t>
        </is>
      </c>
      <c r="I562" s="38" t="inlineStr">
        <is>
          <t>3.4. Identificación experimental de los factores que afecta el equilibrio químico.</t>
        </is>
      </c>
      <c r="J562" s="11" t="inlineStr">
        <is>
          <t>PISA</t>
        </is>
      </c>
      <c r="K562" s="11" t="inlineStr">
        <is>
          <t>T8_27-C3.2</t>
        </is>
      </c>
      <c r="L562" s="11" t="inlineStr">
        <is>
          <t>T8_27-C3.1</t>
        </is>
      </c>
      <c r="M562" s="11">
        <f>IF(K562="FUERA","Fuera del marco",IF(K562="N/A","Sin marco",IFERROR(INDEX('Datos - Catálogo TIMSS'!$C$5:$C$107,MATCH(K562,'Datos - Catálogo TIMSS'!$A$5:$A$107,0)),"Pendiente de clasificar")))</f>
        <v/>
      </c>
      <c r="N562" s="11">
        <f>IF(K562="FUERA","Fuera del marco",IF(K562="N/A","Sin marco",IFERROR(INDEX('Datos - Catálogo TIMSS'!$F$5:$F$107,MATCH(K562,'Datos - Catálogo TIMSS'!$A$5:$A$107,0)),"Pendiente de clasificar")))</f>
        <v/>
      </c>
      <c r="O562" s="11">
        <f>IF(L562="","",IFERROR(INDEX('Datos - Catálogo TIMSS'!$C$5:$C$107,MATCH(L562,'Datos - Catálogo TIMSS'!$A$5:$A$107,0)),"?"))</f>
        <v/>
      </c>
      <c r="P562" s="11" t="inlineStr">
        <is>
          <t>media</t>
        </is>
      </c>
      <c r="Q562" s="38" t="inlineStr">
        <is>
          <t>Factores del equilibrio, evidenciados por cambios de color</t>
        </is>
      </c>
      <c r="R562" s="38" t="inlineStr">
        <is>
          <t>Aplicar: identificar. Razonar: interpretar</t>
        </is>
      </c>
      <c r="S562" s="39">
        <f>IFERROR(ISNUMBER(SEARCH("Conocer",$R562))/(ISNUMBER(SEARCH("Conocer",$R562))+ISNUMBER(SEARCH("Aplicar",$R562))+ISNUMBER(SEARCH("Razonar",$R562))),0)</f>
        <v/>
      </c>
      <c r="T562" s="39">
        <f>IFERROR(ISNUMBER(SEARCH("Aplicar",$R562))/(ISNUMBER(SEARCH("Conocer",$R562))+ISNUMBER(SEARCH("Aplicar",$R562))+ISNUMBER(SEARCH("Razonar",$R562))),0)</f>
        <v/>
      </c>
      <c r="U562" s="39">
        <f>IFERROR(ISNUMBER(SEARCH("Razonar",$R562))/(ISNUMBER(SEARCH("Conocer",$R562))+ISNUMBER(SEARCH("Aplicar",$R562))+ISNUMBER(SEARCH("Razonar",$R562))),0)</f>
        <v/>
      </c>
      <c r="V562" s="11" t="inlineStr">
        <is>
          <t>9°</t>
        </is>
      </c>
      <c r="W562" s="11" t="inlineStr">
        <is>
          <t>9°</t>
        </is>
      </c>
      <c r="X562" s="11">
        <f>IF(OR(IFERROR(INDEX('Datos - Catálogo TIMSS'!$I$5:$I$107,MATCH(K562,'Datos - Catálogo TIMSS'!$A$5:$A$107,0)),"No")="Sí",IFERROR(INDEX('Datos - Catálogo TIMSS'!$I$5:$I$107,MATCH(L562,'Datos - Catálogo TIMSS'!$A$5:$A$107,0)),"No")="Sí"),1,0)</f>
        <v/>
      </c>
      <c r="Y562" s="11">
        <f>IF(IFERROR(INDEX('Datos - Catálogo TIMSS'!$J$5:$J$107,MATCH(K562,'Datos - Catálogo TIMSS'!$A$5:$A$107,0)),"No")="Sí",1,0)</f>
        <v/>
      </c>
      <c r="Z562" s="11">
        <f>IF(IFERROR(INDEX('Datos - Catálogo TIMSS'!$J$5:$J$107,MATCH(L562,'Datos - Catálogo TIMSS'!$A$5:$A$107,0)),"No")="Sí",1,0)</f>
        <v/>
      </c>
      <c r="AA562" s="11" t="inlineStr">
        <is>
          <t>T8-Q3.2</t>
        </is>
      </c>
      <c r="AB562" s="11" t="inlineStr">
        <is>
          <t>T8-Q3.1</t>
        </is>
      </c>
      <c r="AC562" s="11">
        <f>IF(AA562="FUERA","Fuera del marco",IF(AA562="N/A","Sin marco",IFERROR(INDEX('Datos - TIMSS 2023'!$C$5:$C$105,MATCH(AA562,'Datos - TIMSS 2023'!$A$5:$A$105,0)),"Pendiente de clasificar")))</f>
        <v/>
      </c>
      <c r="AD562" s="11" t="inlineStr">
        <is>
          <t>2. Construir y evaluar diseños para la indagación científica e interpretar datos y evidencia de forma crítica</t>
        </is>
      </c>
      <c r="AE562" s="11">
        <f>IF(AD562="","",IF(LEFT(AD562,1)="1","C1",IF(LEFT(AD562,1)="2","C2",IF(LEFT(AD562,1)="3","C3",""))))</f>
        <v/>
      </c>
      <c r="AF562" s="11" t="inlineStr">
        <is>
          <t>E1</t>
        </is>
      </c>
      <c r="AG562" s="11" t="inlineStr">
        <is>
          <t>E3</t>
        </is>
      </c>
      <c r="AH562" s="11" t="inlineStr">
        <is>
          <t>E1</t>
        </is>
      </c>
      <c r="AI562" s="11" t="inlineStr">
        <is>
          <t>D4</t>
        </is>
      </c>
      <c r="AJ562" s="11" t="inlineStr">
        <is>
          <t>E6</t>
        </is>
      </c>
      <c r="AK562" s="11" t="inlineStr">
        <is>
          <t>PISA-F2</t>
        </is>
      </c>
      <c r="AL562" s="11" t="n"/>
      <c r="AM562" s="11">
        <f>IF(AK562="FUERA","Fuera del marco",IFERROR(INDEX('Datos - Catálogo PISA'!$C$5:$C$76,MATCH(AK562,'Datos - Catálogo PISA'!$A$5:$A$76,0)),"?"))</f>
        <v/>
      </c>
      <c r="AN562" s="11" t="inlineStr">
        <is>
          <t>Contenido</t>
        </is>
      </c>
      <c r="AO562" s="11" t="inlineStr">
        <is>
          <t>PISA-PR1;</t>
        </is>
      </c>
      <c r="AP562" s="11" t="n"/>
      <c r="AQ562" s="11" t="inlineStr">
        <is>
          <t>Sin contexto</t>
        </is>
      </c>
      <c r="AR562" s="11" t="n"/>
      <c r="AS562" s="11" t="inlineStr">
        <is>
          <t>Media</t>
        </is>
      </c>
      <c r="AT562" s="11" t="inlineStr">
        <is>
          <t>alta</t>
        </is>
      </c>
      <c r="AU562" s="11" t="inlineStr">
        <is>
          <t>Factores que desplazan el equilibrio observados por cambios de color.</t>
        </is>
      </c>
      <c r="AV562" s="11" t="inlineStr">
        <is>
          <t>Ciclo 7°–9°</t>
        </is>
      </c>
      <c r="AW562" s="11">
        <f>AF562&amp;"; "&amp;AG562&amp;"; "&amp;AH562&amp;"; "&amp;AI562&amp;"; "&amp;AJ562</f>
        <v/>
      </c>
    </row>
    <row r="563">
      <c r="A563" s="11" t="inlineStr">
        <is>
          <t>T1197-G09-CIE</t>
        </is>
      </c>
      <c r="B563" s="11" t="n">
        <v>9</v>
      </c>
      <c r="C563" s="11" t="inlineStr">
        <is>
          <t>Ciencias</t>
        </is>
      </c>
      <c r="D563" s="11" t="inlineStr">
        <is>
          <t>Matriz_Ciencias_9no_Grado_U1_U7.xlsx</t>
        </is>
      </c>
      <c r="E563" s="11" t="inlineStr">
        <is>
          <t>Unidad 3 - Equilibrio químico</t>
        </is>
      </c>
      <c r="F563" s="11" t="n">
        <v>7</v>
      </c>
      <c r="G563" s="11" t="inlineStr">
        <is>
          <t>3. Equilibrio químico</t>
        </is>
      </c>
      <c r="H563" s="11" t="inlineStr">
        <is>
          <t>Constante de equilibrio y su interpretación</t>
        </is>
      </c>
      <c r="I563" s="38" t="inlineStr">
        <is>
          <t>3.5. Predicción del desplazamiento de la reacción aplicando el principio de Le Châtelier.</t>
        </is>
      </c>
      <c r="J563" s="11" t="inlineStr">
        <is>
          <t>PISA</t>
        </is>
      </c>
      <c r="K563" s="11" t="inlineStr">
        <is>
          <t>T8_27-C3.2</t>
        </is>
      </c>
      <c r="L563" s="11" t="inlineStr"/>
      <c r="M563" s="11">
        <f>IF(K563="FUERA","Fuera del marco",IF(K563="N/A","Sin marco",IFERROR(INDEX('Datos - Catálogo TIMSS'!$C$5:$C$107,MATCH(K563,'Datos - Catálogo TIMSS'!$A$5:$A$107,0)),"Pendiente de clasificar")))</f>
        <v/>
      </c>
      <c r="N563" s="11">
        <f>IF(K563="FUERA","Fuera del marco",IF(K563="N/A","Sin marco",IFERROR(INDEX('Datos - Catálogo TIMSS'!$F$5:$F$107,MATCH(K563,'Datos - Catálogo TIMSS'!$A$5:$A$107,0)),"Pendiente de clasificar")))</f>
        <v/>
      </c>
      <c r="O563" s="11">
        <f>IF(L563="","",IFERROR(INDEX('Datos - Catálogo TIMSS'!$C$5:$C$107,MATCH(L563,'Datos - Catálogo TIMSS'!$A$5:$A$107,0)),"?"))</f>
        <v/>
      </c>
      <c r="P563" s="11" t="inlineStr">
        <is>
          <t>media</t>
        </is>
      </c>
      <c r="Q563" s="38" t="inlineStr">
        <is>
          <t>Le Châtelier: efecto de concentración y temperatura en reacciones</t>
        </is>
      </c>
      <c r="R563" s="38" t="inlineStr">
        <is>
          <t>Razonar: predecir</t>
        </is>
      </c>
      <c r="S563" s="39">
        <f>IFERROR(ISNUMBER(SEARCH("Conocer",$R563))/(ISNUMBER(SEARCH("Conocer",$R563))+ISNUMBER(SEARCH("Aplicar",$R563))+ISNUMBER(SEARCH("Razonar",$R563))),0)</f>
        <v/>
      </c>
      <c r="T563" s="39">
        <f>IFERROR(ISNUMBER(SEARCH("Aplicar",$R563))/(ISNUMBER(SEARCH("Conocer",$R563))+ISNUMBER(SEARCH("Aplicar",$R563))+ISNUMBER(SEARCH("Razonar",$R563))),0)</f>
        <v/>
      </c>
      <c r="U563" s="39">
        <f>IFERROR(ISNUMBER(SEARCH("Razonar",$R563))/(ISNUMBER(SEARCH("Conocer",$R563))+ISNUMBER(SEARCH("Aplicar",$R563))+ISNUMBER(SEARCH("Razonar",$R563))),0)</f>
        <v/>
      </c>
      <c r="V563" s="11" t="inlineStr">
        <is>
          <t>9°</t>
        </is>
      </c>
      <c r="W563" s="11" t="inlineStr">
        <is>
          <t>9°</t>
        </is>
      </c>
      <c r="X563" s="11">
        <f>IF(OR(IFERROR(INDEX('Datos - Catálogo TIMSS'!$I$5:$I$107,MATCH(K563,'Datos - Catálogo TIMSS'!$A$5:$A$107,0)),"No")="Sí",IFERROR(INDEX('Datos - Catálogo TIMSS'!$I$5:$I$107,MATCH(L563,'Datos - Catálogo TIMSS'!$A$5:$A$107,0)),"No")="Sí"),1,0)</f>
        <v/>
      </c>
      <c r="Y563" s="11">
        <f>IF(IFERROR(INDEX('Datos - Catálogo TIMSS'!$J$5:$J$107,MATCH(K563,'Datos - Catálogo TIMSS'!$A$5:$A$107,0)),"No")="Sí",1,0)</f>
        <v/>
      </c>
      <c r="Z563" s="11">
        <f>IF(IFERROR(INDEX('Datos - Catálogo TIMSS'!$J$5:$J$107,MATCH(L563,'Datos - Catálogo TIMSS'!$A$5:$A$107,0)),"No")="Sí",1,0)</f>
        <v/>
      </c>
      <c r="AA563" s="11" t="inlineStr">
        <is>
          <t>T8-Q3.2</t>
        </is>
      </c>
      <c r="AB563" s="11" t="inlineStr"/>
      <c r="AC563" s="11">
        <f>IF(AA563="FUERA","Fuera del marco",IF(AA563="N/A","Sin marco",IFERROR(INDEX('Datos - TIMSS 2023'!$C$5:$C$105,MATCH(AA563,'Datos - TIMSS 2023'!$A$5:$A$105,0)),"Pendiente de clasificar")))</f>
        <v/>
      </c>
      <c r="AD563" s="11" t="inlineStr">
        <is>
          <t>1. Explicar fenómenos científicamente</t>
        </is>
      </c>
      <c r="AE563" s="11">
        <f>IF(AD563="","",IF(LEFT(AD563,1)="1","C1",IF(LEFT(AD563,1)="2","C2",IF(LEFT(AD563,1)="3","C3",""))))</f>
        <v/>
      </c>
      <c r="AF563" s="11" t="inlineStr">
        <is>
          <t>E1</t>
        </is>
      </c>
      <c r="AG563" s="11" t="inlineStr">
        <is>
          <t>D1</t>
        </is>
      </c>
      <c r="AH563" s="11" t="inlineStr">
        <is>
          <t>E1</t>
        </is>
      </c>
      <c r="AI563" s="11" t="inlineStr">
        <is>
          <t>D4</t>
        </is>
      </c>
      <c r="AJ563" s="11" t="inlineStr">
        <is>
          <t>E6</t>
        </is>
      </c>
      <c r="AK563" s="11" t="inlineStr">
        <is>
          <t>PISA-F2</t>
        </is>
      </c>
      <c r="AL563" s="11" t="n"/>
      <c r="AM563" s="11">
        <f>IF(AK563="FUERA","Fuera del marco",IFERROR(INDEX('Datos - Catálogo PISA'!$C$5:$C$76,MATCH(AK563,'Datos - Catálogo PISA'!$A$5:$A$76,0)),"?"))</f>
        <v/>
      </c>
      <c r="AN563" s="11" t="inlineStr">
        <is>
          <t>Contenido</t>
        </is>
      </c>
      <c r="AO563" s="11" t="n"/>
      <c r="AP563" s="11" t="n"/>
      <c r="AQ563" s="11" t="inlineStr">
        <is>
          <t>Sin contexto</t>
        </is>
      </c>
      <c r="AR563" s="11" t="n"/>
      <c r="AS563" s="11" t="inlineStr">
        <is>
          <t>Media</t>
        </is>
      </c>
      <c r="AT563" s="11" t="inlineStr">
        <is>
          <t>alta</t>
        </is>
      </c>
      <c r="AU563" s="11" t="inlineStr">
        <is>
          <t>Predice desplazamiento del equilibrio con Le Châtelier.</t>
        </is>
      </c>
      <c r="AV563" s="11" t="inlineStr">
        <is>
          <t>Ciclo 7°–9°</t>
        </is>
      </c>
      <c r="AW563" s="11">
        <f>AF563&amp;"; "&amp;AG563&amp;"; "&amp;AH563&amp;"; "&amp;AI563&amp;"; "&amp;AJ563</f>
        <v/>
      </c>
    </row>
    <row r="564">
      <c r="A564" s="11" t="inlineStr">
        <is>
          <t>T1198-G09-CIE</t>
        </is>
      </c>
      <c r="B564" s="11" t="n">
        <v>9</v>
      </c>
      <c r="C564" s="11" t="inlineStr">
        <is>
          <t>Ciencias</t>
        </is>
      </c>
      <c r="D564" s="11" t="inlineStr">
        <is>
          <t>Matriz_Ciencias_9no_Grado_U1_U7.xlsx</t>
        </is>
      </c>
      <c r="E564" s="11" t="inlineStr">
        <is>
          <t>Unidad 3 - Equilibrio químico</t>
        </is>
      </c>
      <c r="F564" s="11" t="n">
        <v>8</v>
      </c>
      <c r="G564" s="11" t="inlineStr">
        <is>
          <t>3. Equilibrio químico</t>
        </is>
      </c>
      <c r="H564" s="11" t="inlineStr">
        <is>
          <t>Constante de equilibrio y su interpretación</t>
        </is>
      </c>
      <c r="I564" s="38" t="inlineStr">
        <is>
          <t>3.6. Representación de la constante de equilibrio a partir de ecuaciones de reacción química.</t>
        </is>
      </c>
      <c r="J564" s="11" t="inlineStr">
        <is>
          <t>PISA</t>
        </is>
      </c>
      <c r="K564" s="11" t="inlineStr">
        <is>
          <t>T8_27-C3.2</t>
        </is>
      </c>
      <c r="L564" s="11" t="inlineStr"/>
      <c r="M564" s="11">
        <f>IF(K564="FUERA","Fuera del marco",IF(K564="N/A","Sin marco",IFERROR(INDEX('Datos - Catálogo TIMSS'!$C$5:$C$107,MATCH(K564,'Datos - Catálogo TIMSS'!$A$5:$A$107,0)),"Pendiente de clasificar")))</f>
        <v/>
      </c>
      <c r="N564" s="11">
        <f>IF(K564="FUERA","Fuera del marco",IF(K564="N/A","Sin marco",IFERROR(INDEX('Datos - Catálogo TIMSS'!$F$5:$F$107,MATCH(K564,'Datos - Catálogo TIMSS'!$A$5:$A$107,0)),"Pendiente de clasificar")))</f>
        <v/>
      </c>
      <c r="O564" s="11">
        <f>IF(L564="","",IFERROR(INDEX('Datos - Catálogo TIMSS'!$C$5:$C$107,MATCH(L564,'Datos - Catálogo TIMSS'!$A$5:$A$107,0)),"?"))</f>
        <v/>
      </c>
      <c r="P564" s="11" t="inlineStr">
        <is>
          <t>baja</t>
        </is>
      </c>
      <c r="Q564" s="38" t="inlineStr">
        <is>
          <t>Expresión de Kc; contenido ausente en TIMSS 8.°</t>
        </is>
      </c>
      <c r="R564" s="38" t="inlineStr">
        <is>
          <t>Aplicar: representar e interpretar</t>
        </is>
      </c>
      <c r="S564" s="39">
        <f>IFERROR(ISNUMBER(SEARCH("Conocer",$R564))/(ISNUMBER(SEARCH("Conocer",$R564))+ISNUMBER(SEARCH("Aplicar",$R564))+ISNUMBER(SEARCH("Razonar",$R564))),0)</f>
        <v/>
      </c>
      <c r="T564" s="39">
        <f>IFERROR(ISNUMBER(SEARCH("Aplicar",$R564))/(ISNUMBER(SEARCH("Conocer",$R564))+ISNUMBER(SEARCH("Aplicar",$R564))+ISNUMBER(SEARCH("Razonar",$R564))),0)</f>
        <v/>
      </c>
      <c r="U564" s="39">
        <f>IFERROR(ISNUMBER(SEARCH("Razonar",$R564))/(ISNUMBER(SEARCH("Conocer",$R564))+ISNUMBER(SEARCH("Aplicar",$R564))+ISNUMBER(SEARCH("Razonar",$R564))),0)</f>
        <v/>
      </c>
      <c r="V564" s="11" t="inlineStr">
        <is>
          <t>9°</t>
        </is>
      </c>
      <c r="W564" s="11" t="inlineStr">
        <is>
          <t>9°</t>
        </is>
      </c>
      <c r="X564" s="11">
        <f>IF(OR(IFERROR(INDEX('Datos - Catálogo TIMSS'!$I$5:$I$107,MATCH(K564,'Datos - Catálogo TIMSS'!$A$5:$A$107,0)),"No")="Sí",IFERROR(INDEX('Datos - Catálogo TIMSS'!$I$5:$I$107,MATCH(L564,'Datos - Catálogo TIMSS'!$A$5:$A$107,0)),"No")="Sí"),1,0)</f>
        <v/>
      </c>
      <c r="Y564" s="11">
        <f>IF(IFERROR(INDEX('Datos - Catálogo TIMSS'!$J$5:$J$107,MATCH(K564,'Datos - Catálogo TIMSS'!$A$5:$A$107,0)),"No")="Sí",1,0)</f>
        <v/>
      </c>
      <c r="Z564" s="11">
        <f>IF(IFERROR(INDEX('Datos - Catálogo TIMSS'!$J$5:$J$107,MATCH(L564,'Datos - Catálogo TIMSS'!$A$5:$A$107,0)),"No")="Sí",1,0)</f>
        <v/>
      </c>
      <c r="AA564" s="11" t="inlineStr">
        <is>
          <t>T8-Q3.2</t>
        </is>
      </c>
      <c r="AB564" s="11" t="inlineStr"/>
      <c r="AC564" s="11">
        <f>IF(AA564="FUERA","Fuera del marco",IF(AA564="N/A","Sin marco",IFERROR(INDEX('Datos - TIMSS 2023'!$C$5:$C$105,MATCH(AA564,'Datos - TIMSS 2023'!$A$5:$A$105,0)),"Pendiente de clasificar")))</f>
        <v/>
      </c>
      <c r="AD564" s="11" t="inlineStr">
        <is>
          <t>1. Explicar fenómenos científicamente</t>
        </is>
      </c>
      <c r="AE564" s="11">
        <f>IF(AD564="","",IF(LEFT(AD564,1)="1","C1",IF(LEFT(AD564,1)="2","C2",IF(LEFT(AD564,1)="3","C3",""))))</f>
        <v/>
      </c>
      <c r="AF564" s="11" t="inlineStr">
        <is>
          <t>E1</t>
        </is>
      </c>
      <c r="AG564" s="11" t="inlineStr">
        <is>
          <t>D1</t>
        </is>
      </c>
      <c r="AH564" s="11" t="inlineStr">
        <is>
          <t>E2</t>
        </is>
      </c>
      <c r="AI564" s="11" t="inlineStr">
        <is>
          <t>D4</t>
        </is>
      </c>
      <c r="AJ564" s="11" t="inlineStr">
        <is>
          <t>E1</t>
        </is>
      </c>
      <c r="AK564" s="11" t="inlineStr">
        <is>
          <t>PISA-F2</t>
        </is>
      </c>
      <c r="AL564" s="11" t="n"/>
      <c r="AM564" s="11">
        <f>IF(AK564="FUERA","Fuera del marco",IFERROR(INDEX('Datos - Catálogo PISA'!$C$5:$C$76,MATCH(AK564,'Datos - Catálogo PISA'!$A$5:$A$76,0)),"?"))</f>
        <v/>
      </c>
      <c r="AN564" s="11" t="inlineStr">
        <is>
          <t>Contenido</t>
        </is>
      </c>
      <c r="AO564" s="11" t="n"/>
      <c r="AP564" s="11" t="n"/>
      <c r="AQ564" s="11" t="inlineStr">
        <is>
          <t>Sin contexto</t>
        </is>
      </c>
      <c r="AR564" s="11" t="n"/>
      <c r="AS564" s="11" t="inlineStr">
        <is>
          <t>Media</t>
        </is>
      </c>
      <c r="AT564" s="11" t="inlineStr">
        <is>
          <t>alta</t>
        </is>
      </c>
      <c r="AU564" s="11" t="inlineStr">
        <is>
          <t>Representa constantes de equilibrio desde ecuaciones químicas.</t>
        </is>
      </c>
      <c r="AV564" s="11" t="inlineStr">
        <is>
          <t>Ciclo 7°–9°</t>
        </is>
      </c>
      <c r="AW564" s="11">
        <f>AF564&amp;"; "&amp;AG564&amp;"; "&amp;AH564&amp;"; "&amp;AI564&amp;"; "&amp;AJ564</f>
        <v/>
      </c>
    </row>
    <row r="565">
      <c r="A565" s="11" t="inlineStr">
        <is>
          <t>T1199-G09-CIE</t>
        </is>
      </c>
      <c r="B565" s="11" t="n">
        <v>9</v>
      </c>
      <c r="C565" s="11" t="inlineStr">
        <is>
          <t>Ciencias</t>
        </is>
      </c>
      <c r="D565" s="11" t="inlineStr">
        <is>
          <t>Matriz_Ciencias_9no_Grado_U1_U7.xlsx</t>
        </is>
      </c>
      <c r="E565" s="11" t="inlineStr">
        <is>
          <t>Unidad 3 - Equilibrio químico</t>
        </is>
      </c>
      <c r="F565" s="11" t="n">
        <v>9</v>
      </c>
      <c r="G565" s="11" t="inlineStr">
        <is>
          <t>3. Equilibrio químico</t>
        </is>
      </c>
      <c r="H565" s="11" t="inlineStr">
        <is>
          <t>Constante de equilibrio y su interpretación</t>
        </is>
      </c>
      <c r="I565" s="38" t="inlineStr">
        <is>
          <t>3.7. Resolución de problemas de determinación de la constante de equilibrio químico de una reacción.</t>
        </is>
      </c>
      <c r="J565" s="11" t="inlineStr">
        <is>
          <t>PISA</t>
        </is>
      </c>
      <c r="K565" s="11" t="inlineStr">
        <is>
          <t>T8_27-C3.2</t>
        </is>
      </c>
      <c r="L565" s="11" t="inlineStr"/>
      <c r="M565" s="11">
        <f>IF(K565="FUERA","Fuera del marco",IF(K565="N/A","Sin marco",IFERROR(INDEX('Datos - Catálogo TIMSS'!$C$5:$C$107,MATCH(K565,'Datos - Catálogo TIMSS'!$A$5:$A$107,0)),"Pendiente de clasificar")))</f>
        <v/>
      </c>
      <c r="N565" s="11">
        <f>IF(K565="FUERA","Fuera del marco",IF(K565="N/A","Sin marco",IFERROR(INDEX('Datos - Catálogo TIMSS'!$F$5:$F$107,MATCH(K565,'Datos - Catálogo TIMSS'!$A$5:$A$107,0)),"Pendiente de clasificar")))</f>
        <v/>
      </c>
      <c r="O565" s="11">
        <f>IF(L565="","",IFERROR(INDEX('Datos - Catálogo TIMSS'!$C$5:$C$107,MATCH(L565,'Datos - Catálogo TIMSS'!$A$5:$A$107,0)),"?"))</f>
        <v/>
      </c>
      <c r="P565" s="11" t="inlineStr">
        <is>
          <t>baja</t>
        </is>
      </c>
      <c r="Q565" s="38" t="inlineStr">
        <is>
          <t>Cálculo de Kc; contenido ausente en TIMSS 8.°</t>
        </is>
      </c>
      <c r="R565" s="38" t="inlineStr">
        <is>
          <t>Aplicar: calcular</t>
        </is>
      </c>
      <c r="S565" s="39">
        <f>IFERROR(ISNUMBER(SEARCH("Conocer",$R565))/(ISNUMBER(SEARCH("Conocer",$R565))+ISNUMBER(SEARCH("Aplicar",$R565))+ISNUMBER(SEARCH("Razonar",$R565))),0)</f>
        <v/>
      </c>
      <c r="T565" s="39">
        <f>IFERROR(ISNUMBER(SEARCH("Aplicar",$R565))/(ISNUMBER(SEARCH("Conocer",$R565))+ISNUMBER(SEARCH("Aplicar",$R565))+ISNUMBER(SEARCH("Razonar",$R565))),0)</f>
        <v/>
      </c>
      <c r="U565" s="39">
        <f>IFERROR(ISNUMBER(SEARCH("Razonar",$R565))/(ISNUMBER(SEARCH("Conocer",$R565))+ISNUMBER(SEARCH("Aplicar",$R565))+ISNUMBER(SEARCH("Razonar",$R565))),0)</f>
        <v/>
      </c>
      <c r="V565" s="11" t="inlineStr">
        <is>
          <t>9°</t>
        </is>
      </c>
      <c r="W565" s="11" t="inlineStr">
        <is>
          <t>9°</t>
        </is>
      </c>
      <c r="X565" s="11">
        <f>IF(OR(IFERROR(INDEX('Datos - Catálogo TIMSS'!$I$5:$I$107,MATCH(K565,'Datos - Catálogo TIMSS'!$A$5:$A$107,0)),"No")="Sí",IFERROR(INDEX('Datos - Catálogo TIMSS'!$I$5:$I$107,MATCH(L565,'Datos - Catálogo TIMSS'!$A$5:$A$107,0)),"No")="Sí"),1,0)</f>
        <v/>
      </c>
      <c r="Y565" s="11">
        <f>IF(IFERROR(INDEX('Datos - Catálogo TIMSS'!$J$5:$J$107,MATCH(K565,'Datos - Catálogo TIMSS'!$A$5:$A$107,0)),"No")="Sí",1,0)</f>
        <v/>
      </c>
      <c r="Z565" s="11">
        <f>IF(IFERROR(INDEX('Datos - Catálogo TIMSS'!$J$5:$J$107,MATCH(L565,'Datos - Catálogo TIMSS'!$A$5:$A$107,0)),"No")="Sí",1,0)</f>
        <v/>
      </c>
      <c r="AA565" s="11" t="inlineStr">
        <is>
          <t>T8-Q3.2</t>
        </is>
      </c>
      <c r="AB565" s="11" t="inlineStr"/>
      <c r="AC565" s="11">
        <f>IF(AA565="FUERA","Fuera del marco",IF(AA565="N/A","Sin marco",IFERROR(INDEX('Datos - TIMSS 2023'!$C$5:$C$105,MATCH(AA565,'Datos - TIMSS 2023'!$A$5:$A$105,0)),"Pendiente de clasificar")))</f>
        <v/>
      </c>
      <c r="AD565" s="11" t="inlineStr">
        <is>
          <t>2. Construir y evaluar diseños para la indagación científica e interpretar datos y evidencia de forma crítica</t>
        </is>
      </c>
      <c r="AE565" s="11">
        <f>IF(AD565="","",IF(LEFT(AD565,1)="1","C1",IF(LEFT(AD565,1)="2","C2",IF(LEFT(AD565,1)="3","C3",""))))</f>
        <v/>
      </c>
      <c r="AF565" s="11" t="inlineStr">
        <is>
          <t>E1</t>
        </is>
      </c>
      <c r="AG565" s="11" t="inlineStr">
        <is>
          <t>D1</t>
        </is>
      </c>
      <c r="AH565" s="11" t="inlineStr">
        <is>
          <t>E1</t>
        </is>
      </c>
      <c r="AI565" s="11" t="inlineStr">
        <is>
          <t>D4</t>
        </is>
      </c>
      <c r="AJ565" s="11" t="inlineStr">
        <is>
          <t>E3</t>
        </is>
      </c>
      <c r="AK565" s="11" t="inlineStr">
        <is>
          <t>PISA-F2</t>
        </is>
      </c>
      <c r="AL565" s="11" t="n"/>
      <c r="AM565" s="11">
        <f>IF(AK565="FUERA","Fuera del marco",IFERROR(INDEX('Datos - Catálogo PISA'!$C$5:$C$76,MATCH(AK565,'Datos - Catálogo PISA'!$A$5:$A$76,0)),"?"))</f>
        <v/>
      </c>
      <c r="AN565" s="11" t="inlineStr">
        <is>
          <t>Contenido</t>
        </is>
      </c>
      <c r="AO565" s="11" t="n"/>
      <c r="AP565" s="11" t="n"/>
      <c r="AQ565" s="11" t="inlineStr">
        <is>
          <t>Sin contexto</t>
        </is>
      </c>
      <c r="AR565" s="11" t="n"/>
      <c r="AS565" s="11" t="inlineStr">
        <is>
          <t>Media</t>
        </is>
      </c>
      <c r="AT565" s="11" t="inlineStr">
        <is>
          <t>alta</t>
        </is>
      </c>
      <c r="AU565" s="11" t="inlineStr">
        <is>
          <t>Cálculo de la constante de equilibrio de una reacción.</t>
        </is>
      </c>
      <c r="AV565" s="11" t="inlineStr">
        <is>
          <t>Ciclo 7°–9°</t>
        </is>
      </c>
      <c r="AW565" s="11">
        <f>AF565&amp;"; "&amp;AG565&amp;"; "&amp;AH565&amp;"; "&amp;AI565&amp;"; "&amp;AJ565</f>
        <v/>
      </c>
    </row>
    <row r="566">
      <c r="A566" s="11" t="inlineStr">
        <is>
          <t>T1200-G09-CIE</t>
        </is>
      </c>
      <c r="B566" s="11" t="n">
        <v>9</v>
      </c>
      <c r="C566" s="11" t="inlineStr">
        <is>
          <t>Ciencias</t>
        </is>
      </c>
      <c r="D566" s="11" t="inlineStr">
        <is>
          <t>Matriz_Ciencias_9no_Grado_U1_U7.xlsx</t>
        </is>
      </c>
      <c r="E566" s="11" t="inlineStr">
        <is>
          <t>Unidad 3 - Equilibrio químico</t>
        </is>
      </c>
      <c r="F566" s="11" t="n">
        <v>10</v>
      </c>
      <c r="G566" s="11" t="inlineStr">
        <is>
          <t>3. Equilibrio químico</t>
        </is>
      </c>
      <c r="H566" s="11" t="inlineStr">
        <is>
          <t>Equilibrio ácido base</t>
        </is>
      </c>
      <c r="I566" s="38" t="inlineStr">
        <is>
          <t>3.8. Indagación del concepto y las características de ácidos y bases.</t>
        </is>
      </c>
      <c r="J566" s="11" t="inlineStr">
        <is>
          <t>PISA</t>
        </is>
      </c>
      <c r="K566" s="11" t="inlineStr">
        <is>
          <t>T8_27-C2.3</t>
        </is>
      </c>
      <c r="L566" s="11" t="inlineStr"/>
      <c r="M566" s="11">
        <f>IF(K566="FUERA","Fuera del marco",IF(K566="N/A","Sin marco",IFERROR(INDEX('Datos - Catálogo TIMSS'!$C$5:$C$107,MATCH(K566,'Datos - Catálogo TIMSS'!$A$5:$A$107,0)),"Pendiente de clasificar")))</f>
        <v/>
      </c>
      <c r="N566" s="11">
        <f>IF(K566="FUERA","Fuera del marco",IF(K566="N/A","Sin marco",IFERROR(INDEX('Datos - Catálogo TIMSS'!$F$5:$F$107,MATCH(K566,'Datos - Catálogo TIMSS'!$A$5:$A$107,0)),"Pendiente de clasificar")))</f>
        <v/>
      </c>
      <c r="O566" s="11">
        <f>IF(L566="","",IFERROR(INDEX('Datos - Catálogo TIMSS'!$C$5:$C$107,MATCH(L566,'Datos - Catálogo TIMSS'!$A$5:$A$107,0)),"?"))</f>
        <v/>
      </c>
      <c r="P566" s="11" t="inlineStr">
        <is>
          <t>alta</t>
        </is>
      </c>
      <c r="Q566" s="38" t="inlineStr">
        <is>
          <t>Características de ácidos y bases cotidianos</t>
        </is>
      </c>
      <c r="R566" s="38" t="inlineStr">
        <is>
          <t>Aplicar: distinguir</t>
        </is>
      </c>
      <c r="S566" s="39">
        <f>IFERROR(ISNUMBER(SEARCH("Conocer",$R566))/(ISNUMBER(SEARCH("Conocer",$R566))+ISNUMBER(SEARCH("Aplicar",$R566))+ISNUMBER(SEARCH("Razonar",$R566))),0)</f>
        <v/>
      </c>
      <c r="T566" s="39">
        <f>IFERROR(ISNUMBER(SEARCH("Aplicar",$R566))/(ISNUMBER(SEARCH("Conocer",$R566))+ISNUMBER(SEARCH("Aplicar",$R566))+ISNUMBER(SEARCH("Razonar",$R566))),0)</f>
        <v/>
      </c>
      <c r="U566" s="39">
        <f>IFERROR(ISNUMBER(SEARCH("Razonar",$R566))/(ISNUMBER(SEARCH("Conocer",$R566))+ISNUMBER(SEARCH("Aplicar",$R566))+ISNUMBER(SEARCH("Razonar",$R566))),0)</f>
        <v/>
      </c>
      <c r="V566" s="11" t="inlineStr">
        <is>
          <t>9°</t>
        </is>
      </c>
      <c r="W566" s="11" t="inlineStr">
        <is>
          <t>9°</t>
        </is>
      </c>
      <c r="X566" s="11">
        <f>IF(OR(IFERROR(INDEX('Datos - Catálogo TIMSS'!$I$5:$I$107,MATCH(K566,'Datos - Catálogo TIMSS'!$A$5:$A$107,0)),"No")="Sí",IFERROR(INDEX('Datos - Catálogo TIMSS'!$I$5:$I$107,MATCH(L566,'Datos - Catálogo TIMSS'!$A$5:$A$107,0)),"No")="Sí"),1,0)</f>
        <v/>
      </c>
      <c r="Y566" s="11">
        <f>IF(IFERROR(INDEX('Datos - Catálogo TIMSS'!$J$5:$J$107,MATCH(K566,'Datos - Catálogo TIMSS'!$A$5:$A$107,0)),"No")="Sí",1,0)</f>
        <v/>
      </c>
      <c r="Z566" s="11">
        <f>IF(IFERROR(INDEX('Datos - Catálogo TIMSS'!$J$5:$J$107,MATCH(L566,'Datos - Catálogo TIMSS'!$A$5:$A$107,0)),"No")="Sí",1,0)</f>
        <v/>
      </c>
      <c r="AA566" s="11" t="inlineStr">
        <is>
          <t>T8-Q2.4</t>
        </is>
      </c>
      <c r="AB566" s="11" t="inlineStr"/>
      <c r="AC566" s="11">
        <f>IF(AA566="FUERA","Fuera del marco",IF(AA566="N/A","Sin marco",IFERROR(INDEX('Datos - TIMSS 2023'!$C$5:$C$105,MATCH(AA566,'Datos - TIMSS 2023'!$A$5:$A$105,0)),"Pendiente de clasificar")))</f>
        <v/>
      </c>
      <c r="AD566" s="11" t="inlineStr">
        <is>
          <t>2. Construir y evaluar diseños para la indagación científica e interpretar datos y evidencia de forma crítica</t>
        </is>
      </c>
      <c r="AE566" s="11">
        <f>IF(AD566="","",IF(LEFT(AD566,1)="1","C1",IF(LEFT(AD566,1)="2","C2",IF(LEFT(AD566,1)="3","C3",""))))</f>
        <v/>
      </c>
      <c r="AF566" s="11" t="inlineStr">
        <is>
          <t>E1</t>
        </is>
      </c>
      <c r="AG566" s="11" t="inlineStr">
        <is>
          <t>D1</t>
        </is>
      </c>
      <c r="AH566" s="11" t="inlineStr">
        <is>
          <t>E1</t>
        </is>
      </c>
      <c r="AI566" s="11" t="inlineStr">
        <is>
          <t>D4</t>
        </is>
      </c>
      <c r="AJ566" s="11" t="inlineStr">
        <is>
          <t>E6</t>
        </is>
      </c>
      <c r="AK566" s="11" t="inlineStr">
        <is>
          <t>PISA-F2</t>
        </is>
      </c>
      <c r="AL566" s="11" t="n"/>
      <c r="AM566" s="11">
        <f>IF(AK566="FUERA","Fuera del marco",IFERROR(INDEX('Datos - Catálogo PISA'!$C$5:$C$76,MATCH(AK566,'Datos - Catálogo PISA'!$A$5:$A$76,0)),"?"))</f>
        <v/>
      </c>
      <c r="AN566" s="11" t="inlineStr">
        <is>
          <t>Contenido</t>
        </is>
      </c>
      <c r="AO566" s="11" t="n"/>
      <c r="AP566" s="11" t="n"/>
      <c r="AQ566" s="11" t="inlineStr">
        <is>
          <t>Personal</t>
        </is>
      </c>
      <c r="AR566" s="11" t="n"/>
      <c r="AS566" s="11" t="inlineStr">
        <is>
          <t>Baja</t>
        </is>
      </c>
      <c r="AT566" s="11" t="inlineStr">
        <is>
          <t>alta</t>
        </is>
      </c>
      <c r="AU566" s="11" t="inlineStr">
        <is>
          <t>Propiedades de ácidos y bases en sustancias cotidianas.</t>
        </is>
      </c>
      <c r="AV566" s="11" t="inlineStr">
        <is>
          <t>Ciclo 7°–9°</t>
        </is>
      </c>
      <c r="AW566" s="11">
        <f>AF566&amp;"; "&amp;AG566&amp;"; "&amp;AH566&amp;"; "&amp;AI566&amp;"; "&amp;AJ566</f>
        <v/>
      </c>
    </row>
    <row r="567">
      <c r="A567" s="11" t="inlineStr">
        <is>
          <t>T1201-G09-CIE</t>
        </is>
      </c>
      <c r="B567" s="11" t="n">
        <v>9</v>
      </c>
      <c r="C567" s="11" t="inlineStr">
        <is>
          <t>Ciencias</t>
        </is>
      </c>
      <c r="D567" s="11" t="inlineStr">
        <is>
          <t>Matriz_Ciencias_9no_Grado_U1_U7.xlsx</t>
        </is>
      </c>
      <c r="E567" s="11" t="inlineStr">
        <is>
          <t>Unidad 3 - Equilibrio químico</t>
        </is>
      </c>
      <c r="F567" s="11" t="n">
        <v>11</v>
      </c>
      <c r="G567" s="11" t="inlineStr">
        <is>
          <t>3. Equilibrio químico</t>
        </is>
      </c>
      <c r="H567" s="11" t="inlineStr">
        <is>
          <t>Equilibrio ácido base</t>
        </is>
      </c>
      <c r="I567" s="38" t="inlineStr">
        <is>
          <t>3.9. Identificación de ácidos y bases según las teorías de Arrhenius, Bronsted-Lowry y Lewis.</t>
        </is>
      </c>
      <c r="J567" s="11" t="inlineStr">
        <is>
          <t>PISA</t>
        </is>
      </c>
      <c r="K567" s="11" t="inlineStr">
        <is>
          <t>T8_27-C2.3</t>
        </is>
      </c>
      <c r="L567" s="11" t="inlineStr"/>
      <c r="M567" s="11">
        <f>IF(K567="FUERA","Fuera del marco",IF(K567="N/A","Sin marco",IFERROR(INDEX('Datos - Catálogo TIMSS'!$C$5:$C$107,MATCH(K567,'Datos - Catálogo TIMSS'!$A$5:$A$107,0)),"Pendiente de clasificar")))</f>
        <v/>
      </c>
      <c r="N567" s="11">
        <f>IF(K567="FUERA","Fuera del marco",IF(K567="N/A","Sin marco",IFERROR(INDEX('Datos - Catálogo TIMSS'!$F$5:$F$107,MATCH(K567,'Datos - Catálogo TIMSS'!$A$5:$A$107,0)),"Pendiente de clasificar")))</f>
        <v/>
      </c>
      <c r="O567" s="11">
        <f>IF(L567="","",IFERROR(INDEX('Datos - Catálogo TIMSS'!$C$5:$C$107,MATCH(L567,'Datos - Catálogo TIMSS'!$A$5:$A$107,0)),"?"))</f>
        <v/>
      </c>
      <c r="P567" s="11" t="inlineStr">
        <is>
          <t>media</t>
        </is>
      </c>
      <c r="Q567" s="38" t="inlineStr">
        <is>
          <t>Teorías ácido-base; nivel superior a TIMSS</t>
        </is>
      </c>
      <c r="R567" s="38" t="inlineStr">
        <is>
          <t>Aplicar: comparar modelos</t>
        </is>
      </c>
      <c r="S567" s="39">
        <f>IFERROR(ISNUMBER(SEARCH("Conocer",$R567))/(ISNUMBER(SEARCH("Conocer",$R567))+ISNUMBER(SEARCH("Aplicar",$R567))+ISNUMBER(SEARCH("Razonar",$R567))),0)</f>
        <v/>
      </c>
      <c r="T567" s="39">
        <f>IFERROR(ISNUMBER(SEARCH("Aplicar",$R567))/(ISNUMBER(SEARCH("Conocer",$R567))+ISNUMBER(SEARCH("Aplicar",$R567))+ISNUMBER(SEARCH("Razonar",$R567))),0)</f>
        <v/>
      </c>
      <c r="U567" s="39">
        <f>IFERROR(ISNUMBER(SEARCH("Razonar",$R567))/(ISNUMBER(SEARCH("Conocer",$R567))+ISNUMBER(SEARCH("Aplicar",$R567))+ISNUMBER(SEARCH("Razonar",$R567))),0)</f>
        <v/>
      </c>
      <c r="V567" s="11" t="inlineStr">
        <is>
          <t>9°</t>
        </is>
      </c>
      <c r="W567" s="11" t="inlineStr">
        <is>
          <t>9°</t>
        </is>
      </c>
      <c r="X567" s="11">
        <f>IF(OR(IFERROR(INDEX('Datos - Catálogo TIMSS'!$I$5:$I$107,MATCH(K567,'Datos - Catálogo TIMSS'!$A$5:$A$107,0)),"No")="Sí",IFERROR(INDEX('Datos - Catálogo TIMSS'!$I$5:$I$107,MATCH(L567,'Datos - Catálogo TIMSS'!$A$5:$A$107,0)),"No")="Sí"),1,0)</f>
        <v/>
      </c>
      <c r="Y567" s="11">
        <f>IF(IFERROR(INDEX('Datos - Catálogo TIMSS'!$J$5:$J$107,MATCH(K567,'Datos - Catálogo TIMSS'!$A$5:$A$107,0)),"No")="Sí",1,0)</f>
        <v/>
      </c>
      <c r="Z567" s="11">
        <f>IF(IFERROR(INDEX('Datos - Catálogo TIMSS'!$J$5:$J$107,MATCH(L567,'Datos - Catálogo TIMSS'!$A$5:$A$107,0)),"No")="Sí",1,0)</f>
        <v/>
      </c>
      <c r="AA567" s="11" t="inlineStr">
        <is>
          <t>T8-Q2.4</t>
        </is>
      </c>
      <c r="AB567" s="11" t="inlineStr"/>
      <c r="AC567" s="11">
        <f>IF(AA567="FUERA","Fuera del marco",IF(AA567="N/A","Sin marco",IFERROR(INDEX('Datos - TIMSS 2023'!$C$5:$C$105,MATCH(AA567,'Datos - TIMSS 2023'!$A$5:$A$105,0)),"Pendiente de clasificar")))</f>
        <v/>
      </c>
      <c r="AD567" s="11" t="inlineStr">
        <is>
          <t>1. Explicar fenómenos científicamente</t>
        </is>
      </c>
      <c r="AE567" s="11">
        <f>IF(AD567="","",IF(LEFT(AD567,1)="1","C1",IF(LEFT(AD567,1)="2","C2",IF(LEFT(AD567,1)="3","C3",""))))</f>
        <v/>
      </c>
      <c r="AF567" s="11" t="inlineStr">
        <is>
          <t>E1</t>
        </is>
      </c>
      <c r="AG567" s="11" t="inlineStr">
        <is>
          <t>D1</t>
        </is>
      </c>
      <c r="AH567" s="11" t="inlineStr">
        <is>
          <t>E1</t>
        </is>
      </c>
      <c r="AI567" s="11" t="inlineStr">
        <is>
          <t>D4</t>
        </is>
      </c>
      <c r="AJ567" s="11" t="inlineStr">
        <is>
          <t>E6</t>
        </is>
      </c>
      <c r="AK567" s="11" t="inlineStr">
        <is>
          <t>PISA-F2</t>
        </is>
      </c>
      <c r="AL567" s="11" t="n"/>
      <c r="AM567" s="11">
        <f>IF(AK567="FUERA","Fuera del marco",IFERROR(INDEX('Datos - Catálogo PISA'!$C$5:$C$76,MATCH(AK567,'Datos - Catálogo PISA'!$A$5:$A$76,0)),"?"))</f>
        <v/>
      </c>
      <c r="AN567" s="11" t="inlineStr">
        <is>
          <t>Contenido</t>
        </is>
      </c>
      <c r="AO567" s="11" t="n"/>
      <c r="AP567" s="11" t="inlineStr">
        <is>
          <t>PISA-EP1;</t>
        </is>
      </c>
      <c r="AQ567" s="11" t="inlineStr">
        <is>
          <t>Sin contexto</t>
        </is>
      </c>
      <c r="AR567" s="11" t="n"/>
      <c r="AS567" s="11" t="inlineStr">
        <is>
          <t>Media</t>
        </is>
      </c>
      <c r="AT567" s="11" t="inlineStr">
        <is>
          <t>alta</t>
        </is>
      </c>
      <c r="AU567" s="11" t="inlineStr">
        <is>
          <t>Ácidos y bases según tres teorías comparadas.</t>
        </is>
      </c>
      <c r="AV567" s="11" t="inlineStr">
        <is>
          <t>Ciclo 7°–9°</t>
        </is>
      </c>
      <c r="AW567" s="11">
        <f>AF567&amp;"; "&amp;AG567&amp;"; "&amp;AH567&amp;"; "&amp;AI567&amp;"; "&amp;AJ567</f>
        <v/>
      </c>
    </row>
    <row r="568">
      <c r="A568" s="11" t="inlineStr">
        <is>
          <t>T1202-G09-CIE</t>
        </is>
      </c>
      <c r="B568" s="11" t="n">
        <v>9</v>
      </c>
      <c r="C568" s="11" t="inlineStr">
        <is>
          <t>Ciencias</t>
        </is>
      </c>
      <c r="D568" s="11" t="inlineStr">
        <is>
          <t>Matriz_Ciencias_9no_Grado_U1_U7.xlsx</t>
        </is>
      </c>
      <c r="E568" s="11" t="inlineStr">
        <is>
          <t>Unidad 3 - Equilibrio químico</t>
        </is>
      </c>
      <c r="F568" s="11" t="n">
        <v>12</v>
      </c>
      <c r="G568" s="11" t="inlineStr">
        <is>
          <t>3. Equilibrio químico</t>
        </is>
      </c>
      <c r="H568" s="11" t="inlineStr">
        <is>
          <t>Equilibrio ácido base</t>
        </is>
      </c>
      <c r="I568" s="38" t="inlineStr">
        <is>
          <t>3.10. Extracción de un indicador natural para la identificación cualitativa de ácidos y bases.</t>
        </is>
      </c>
      <c r="J568" s="11" t="inlineStr">
        <is>
          <t>PISA</t>
        </is>
      </c>
      <c r="K568" s="11" t="inlineStr">
        <is>
          <t>T8_27-C2.3</t>
        </is>
      </c>
      <c r="L568" s="11" t="inlineStr"/>
      <c r="M568" s="11">
        <f>IF(K568="FUERA","Fuera del marco",IF(K568="N/A","Sin marco",IFERROR(INDEX('Datos - Catálogo TIMSS'!$C$5:$C$107,MATCH(K568,'Datos - Catálogo TIMSS'!$A$5:$A$107,0)),"Pendiente de clasificar")))</f>
        <v/>
      </c>
      <c r="N568" s="11">
        <f>IF(K568="FUERA","Fuera del marco",IF(K568="N/A","Sin marco",IFERROR(INDEX('Datos - Catálogo TIMSS'!$F$5:$F$107,MATCH(K568,'Datos - Catálogo TIMSS'!$A$5:$A$107,0)),"Pendiente de clasificar")))</f>
        <v/>
      </c>
      <c r="O568" s="11">
        <f>IF(L568="","",IFERROR(INDEX('Datos - Catálogo TIMSS'!$C$5:$C$107,MATCH(L568,'Datos - Catálogo TIMSS'!$A$5:$A$107,0)),"?"))</f>
        <v/>
      </c>
      <c r="P568" s="11" t="inlineStr">
        <is>
          <t>alta</t>
        </is>
      </c>
      <c r="Q568" s="38" t="inlineStr">
        <is>
          <t>Indicador natural y cambio de color con ácidos y bases</t>
        </is>
      </c>
      <c r="R568" s="38" t="inlineStr">
        <is>
          <t>Aplicar: extraer y usar indicadores</t>
        </is>
      </c>
      <c r="S568" s="39">
        <f>IFERROR(ISNUMBER(SEARCH("Conocer",$R568))/(ISNUMBER(SEARCH("Conocer",$R568))+ISNUMBER(SEARCH("Aplicar",$R568))+ISNUMBER(SEARCH("Razonar",$R568))),0)</f>
        <v/>
      </c>
      <c r="T568" s="39">
        <f>IFERROR(ISNUMBER(SEARCH("Aplicar",$R568))/(ISNUMBER(SEARCH("Conocer",$R568))+ISNUMBER(SEARCH("Aplicar",$R568))+ISNUMBER(SEARCH("Razonar",$R568))),0)</f>
        <v/>
      </c>
      <c r="U568" s="39">
        <f>IFERROR(ISNUMBER(SEARCH("Razonar",$R568))/(ISNUMBER(SEARCH("Conocer",$R568))+ISNUMBER(SEARCH("Aplicar",$R568))+ISNUMBER(SEARCH("Razonar",$R568))),0)</f>
        <v/>
      </c>
      <c r="V568" s="11" t="inlineStr">
        <is>
          <t>9°</t>
        </is>
      </c>
      <c r="W568" s="11" t="inlineStr">
        <is>
          <t>9°</t>
        </is>
      </c>
      <c r="X568" s="11">
        <f>IF(OR(IFERROR(INDEX('Datos - Catálogo TIMSS'!$I$5:$I$107,MATCH(K568,'Datos - Catálogo TIMSS'!$A$5:$A$107,0)),"No")="Sí",IFERROR(INDEX('Datos - Catálogo TIMSS'!$I$5:$I$107,MATCH(L568,'Datos - Catálogo TIMSS'!$A$5:$A$107,0)),"No")="Sí"),1,0)</f>
        <v/>
      </c>
      <c r="Y568" s="11">
        <f>IF(IFERROR(INDEX('Datos - Catálogo TIMSS'!$J$5:$J$107,MATCH(K568,'Datos - Catálogo TIMSS'!$A$5:$A$107,0)),"No")="Sí",1,0)</f>
        <v/>
      </c>
      <c r="Z568" s="11">
        <f>IF(IFERROR(INDEX('Datos - Catálogo TIMSS'!$J$5:$J$107,MATCH(L568,'Datos - Catálogo TIMSS'!$A$5:$A$107,0)),"No")="Sí",1,0)</f>
        <v/>
      </c>
      <c r="AA568" s="11" t="inlineStr">
        <is>
          <t>T8-Q2.4</t>
        </is>
      </c>
      <c r="AB568" s="11" t="inlineStr"/>
      <c r="AC568" s="11">
        <f>IF(AA568="FUERA","Fuera del marco",IF(AA568="N/A","Sin marco",IFERROR(INDEX('Datos - TIMSS 2023'!$C$5:$C$105,MATCH(AA568,'Datos - TIMSS 2023'!$A$5:$A$105,0)),"Pendiente de clasificar")))</f>
        <v/>
      </c>
      <c r="AD568" s="11" t="inlineStr">
        <is>
          <t>2. Construir y evaluar diseños para la indagación científica e interpretar datos y evidencia de forma crítica</t>
        </is>
      </c>
      <c r="AE568" s="11">
        <f>IF(AD568="","",IF(LEFT(AD568,1)="1","C1",IF(LEFT(AD568,1)="2","C2",IF(LEFT(AD568,1)="3","C3",""))))</f>
        <v/>
      </c>
      <c r="AF568" s="11" t="inlineStr">
        <is>
          <t>E1</t>
        </is>
      </c>
      <c r="AG568" s="11" t="inlineStr">
        <is>
          <t>E3</t>
        </is>
      </c>
      <c r="AH568" s="11" t="inlineStr">
        <is>
          <t>E1</t>
        </is>
      </c>
      <c r="AI568" s="11" t="inlineStr">
        <is>
          <t>D2</t>
        </is>
      </c>
      <c r="AJ568" s="11" t="inlineStr">
        <is>
          <t>E3</t>
        </is>
      </c>
      <c r="AK568" s="11" t="inlineStr">
        <is>
          <t>PISA-F2</t>
        </is>
      </c>
      <c r="AL568" s="11" t="n"/>
      <c r="AM568" s="11">
        <f>IF(AK568="FUERA","Fuera del marco",IFERROR(INDEX('Datos - Catálogo PISA'!$C$5:$C$76,MATCH(AK568,'Datos - Catálogo PISA'!$A$5:$A$76,0)),"?"))</f>
        <v/>
      </c>
      <c r="AN568" s="11" t="inlineStr">
        <is>
          <t>Contenido</t>
        </is>
      </c>
      <c r="AO568" s="11" t="inlineStr">
        <is>
          <t>PISA-PR2;</t>
        </is>
      </c>
      <c r="AP568" s="11" t="n"/>
      <c r="AQ568" s="11" t="inlineStr">
        <is>
          <t>Sin contexto</t>
        </is>
      </c>
      <c r="AR568" s="11" t="n"/>
      <c r="AS568" s="11" t="inlineStr">
        <is>
          <t>Media</t>
        </is>
      </c>
      <c r="AT568" s="11" t="inlineStr">
        <is>
          <t>alta</t>
        </is>
      </c>
      <c r="AU568" s="11" t="inlineStr">
        <is>
          <t>Indicador natural para identificar cualitativamente ácidos y bases.</t>
        </is>
      </c>
      <c r="AV568" s="11" t="inlineStr">
        <is>
          <t>Ciclo 7°–9°</t>
        </is>
      </c>
      <c r="AW568" s="11">
        <f>AF568&amp;"; "&amp;AG568&amp;"; "&amp;AH568&amp;"; "&amp;AI568&amp;"; "&amp;AJ568</f>
        <v/>
      </c>
    </row>
    <row r="569">
      <c r="A569" s="11" t="inlineStr">
        <is>
          <t>T1203-G09-CIE</t>
        </is>
      </c>
      <c r="B569" s="11" t="n">
        <v>9</v>
      </c>
      <c r="C569" s="11" t="inlineStr">
        <is>
          <t>Ciencias</t>
        </is>
      </c>
      <c r="D569" s="11" t="inlineStr">
        <is>
          <t>Matriz_Ciencias_9no_Grado_U1_U7.xlsx</t>
        </is>
      </c>
      <c r="E569" s="11" t="inlineStr">
        <is>
          <t>Unidad 3 - Equilibrio químico</t>
        </is>
      </c>
      <c r="F569" s="11" t="n">
        <v>13</v>
      </c>
      <c r="G569" s="11" t="inlineStr">
        <is>
          <t>3. Equilibrio químico</t>
        </is>
      </c>
      <c r="H569" s="11" t="inlineStr">
        <is>
          <t>Equilibrio ácido base</t>
        </is>
      </c>
      <c r="I569" s="38" t="inlineStr">
        <is>
          <t>3.11. Cálculo del valor del pH de una solución.</t>
        </is>
      </c>
      <c r="J569" s="11" t="inlineStr">
        <is>
          <t>PISA</t>
        </is>
      </c>
      <c r="K569" s="11" t="inlineStr">
        <is>
          <t>T8_27-C2.3</t>
        </is>
      </c>
      <c r="L569" s="11" t="inlineStr"/>
      <c r="M569" s="11">
        <f>IF(K569="FUERA","Fuera del marco",IF(K569="N/A","Sin marco",IFERROR(INDEX('Datos - Catálogo TIMSS'!$C$5:$C$107,MATCH(K569,'Datos - Catálogo TIMSS'!$A$5:$A$107,0)),"Pendiente de clasificar")))</f>
        <v/>
      </c>
      <c r="N569" s="11">
        <f>IF(K569="FUERA","Fuera del marco",IF(K569="N/A","Sin marco",IFERROR(INDEX('Datos - Catálogo TIMSS'!$F$5:$F$107,MATCH(K569,'Datos - Catálogo TIMSS'!$A$5:$A$107,0)),"Pendiente de clasificar")))</f>
        <v/>
      </c>
      <c r="O569" s="11">
        <f>IF(L569="","",IFERROR(INDEX('Datos - Catálogo TIMSS'!$C$5:$C$107,MATCH(L569,'Datos - Catálogo TIMSS'!$A$5:$A$107,0)),"?"))</f>
        <v/>
      </c>
      <c r="P569" s="11" t="inlineStr">
        <is>
          <t>alta</t>
        </is>
      </c>
      <c r="Q569" s="38" t="inlineStr">
        <is>
          <t>Escala de pH de ácidos y bases</t>
        </is>
      </c>
      <c r="R569" s="38" t="inlineStr">
        <is>
          <t>Aplicar: calcular</t>
        </is>
      </c>
      <c r="S569" s="39">
        <f>IFERROR(ISNUMBER(SEARCH("Conocer",$R569))/(ISNUMBER(SEARCH("Conocer",$R569))+ISNUMBER(SEARCH("Aplicar",$R569))+ISNUMBER(SEARCH("Razonar",$R569))),0)</f>
        <v/>
      </c>
      <c r="T569" s="39">
        <f>IFERROR(ISNUMBER(SEARCH("Aplicar",$R569))/(ISNUMBER(SEARCH("Conocer",$R569))+ISNUMBER(SEARCH("Aplicar",$R569))+ISNUMBER(SEARCH("Razonar",$R569))),0)</f>
        <v/>
      </c>
      <c r="U569" s="39">
        <f>IFERROR(ISNUMBER(SEARCH("Razonar",$R569))/(ISNUMBER(SEARCH("Conocer",$R569))+ISNUMBER(SEARCH("Aplicar",$R569))+ISNUMBER(SEARCH("Razonar",$R569))),0)</f>
        <v/>
      </c>
      <c r="V569" s="11" t="inlineStr">
        <is>
          <t>9°</t>
        </is>
      </c>
      <c r="W569" s="11" t="inlineStr">
        <is>
          <t>9°</t>
        </is>
      </c>
      <c r="X569" s="11">
        <f>IF(OR(IFERROR(INDEX('Datos - Catálogo TIMSS'!$I$5:$I$107,MATCH(K569,'Datos - Catálogo TIMSS'!$A$5:$A$107,0)),"No")="Sí",IFERROR(INDEX('Datos - Catálogo TIMSS'!$I$5:$I$107,MATCH(L569,'Datos - Catálogo TIMSS'!$A$5:$A$107,0)),"No")="Sí"),1,0)</f>
        <v/>
      </c>
      <c r="Y569" s="11">
        <f>IF(IFERROR(INDEX('Datos - Catálogo TIMSS'!$J$5:$J$107,MATCH(K569,'Datos - Catálogo TIMSS'!$A$5:$A$107,0)),"No")="Sí",1,0)</f>
        <v/>
      </c>
      <c r="Z569" s="11">
        <f>IF(IFERROR(INDEX('Datos - Catálogo TIMSS'!$J$5:$J$107,MATCH(L569,'Datos - Catálogo TIMSS'!$A$5:$A$107,0)),"No")="Sí",1,0)</f>
        <v/>
      </c>
      <c r="AA569" s="11" t="inlineStr">
        <is>
          <t>T8-Q2.4</t>
        </is>
      </c>
      <c r="AB569" s="11" t="inlineStr"/>
      <c r="AC569" s="11">
        <f>IF(AA569="FUERA","Fuera del marco",IF(AA569="N/A","Sin marco",IFERROR(INDEX('Datos - TIMSS 2023'!$C$5:$C$105,MATCH(AA569,'Datos - TIMSS 2023'!$A$5:$A$105,0)),"Pendiente de clasificar")))</f>
        <v/>
      </c>
      <c r="AD569" s="11" t="inlineStr">
        <is>
          <t>2. Construir y evaluar diseños para la indagación científica e interpretar datos y evidencia de forma crítica</t>
        </is>
      </c>
      <c r="AE569" s="11">
        <f>IF(AD569="","",IF(LEFT(AD569,1)="1","C1",IF(LEFT(AD569,1)="2","C2",IF(LEFT(AD569,1)="3","C3",""))))</f>
        <v/>
      </c>
      <c r="AF569" s="11" t="inlineStr">
        <is>
          <t>E1</t>
        </is>
      </c>
      <c r="AG569" s="11" t="inlineStr">
        <is>
          <t>D1</t>
        </is>
      </c>
      <c r="AH569" s="11" t="inlineStr">
        <is>
          <t>E1</t>
        </is>
      </c>
      <c r="AI569" s="11" t="inlineStr">
        <is>
          <t>D4</t>
        </is>
      </c>
      <c r="AJ569" s="11" t="inlineStr">
        <is>
          <t>E1</t>
        </is>
      </c>
      <c r="AK569" s="11" t="inlineStr">
        <is>
          <t>PISA-F2</t>
        </is>
      </c>
      <c r="AL569" s="11" t="n"/>
      <c r="AM569" s="11">
        <f>IF(AK569="FUERA","Fuera del marco",IFERROR(INDEX('Datos - Catálogo PISA'!$C$5:$C$76,MATCH(AK569,'Datos - Catálogo PISA'!$A$5:$A$76,0)),"?"))</f>
        <v/>
      </c>
      <c r="AN569" s="11" t="inlineStr">
        <is>
          <t>Contenido</t>
        </is>
      </c>
      <c r="AO569" s="11" t="n"/>
      <c r="AP569" s="11" t="n"/>
      <c r="AQ569" s="11" t="inlineStr">
        <is>
          <t>Sin contexto</t>
        </is>
      </c>
      <c r="AR569" s="11" t="n"/>
      <c r="AS569" s="11" t="inlineStr">
        <is>
          <t>Media</t>
        </is>
      </c>
      <c r="AT569" s="11" t="inlineStr">
        <is>
          <t>alta</t>
        </is>
      </c>
      <c r="AU569" s="11" t="inlineStr">
        <is>
          <t>Cálculo del pH de soluciones.</t>
        </is>
      </c>
      <c r="AV569" s="11" t="inlineStr">
        <is>
          <t>Ciclo 7°–9°</t>
        </is>
      </c>
      <c r="AW569" s="11">
        <f>AF569&amp;"; "&amp;AG569&amp;"; "&amp;AH569&amp;"; "&amp;AI569&amp;"; "&amp;AJ569</f>
        <v/>
      </c>
    </row>
    <row r="570">
      <c r="A570" s="11" t="inlineStr">
        <is>
          <t>T1204-G09-CIE</t>
        </is>
      </c>
      <c r="B570" s="11" t="n">
        <v>9</v>
      </c>
      <c r="C570" s="11" t="inlineStr">
        <is>
          <t>Ciencias</t>
        </is>
      </c>
      <c r="D570" s="11" t="inlineStr">
        <is>
          <t>Matriz_Ciencias_9no_Grado_U1_U7.xlsx</t>
        </is>
      </c>
      <c r="E570" s="11" t="inlineStr">
        <is>
          <t>Unidad 3 - Equilibrio químico</t>
        </is>
      </c>
      <c r="F570" s="11" t="n">
        <v>14</v>
      </c>
      <c r="G570" s="11" t="inlineStr">
        <is>
          <t>3. Equilibrio químico</t>
        </is>
      </c>
      <c r="H570" s="11" t="inlineStr">
        <is>
          <t>Equilibrio ácido base</t>
        </is>
      </c>
      <c r="I570" s="38" t="inlineStr">
        <is>
          <t>3.12. Clasificación de soluciones en neutras, ácidas y básicas.</t>
        </is>
      </c>
      <c r="J570" s="11" t="inlineStr">
        <is>
          <t>PISA</t>
        </is>
      </c>
      <c r="K570" s="11" t="inlineStr">
        <is>
          <t>T8_27-C2.3</t>
        </is>
      </c>
      <c r="L570" s="11" t="inlineStr"/>
      <c r="M570" s="11">
        <f>IF(K570="FUERA","Fuera del marco",IF(K570="N/A","Sin marco",IFERROR(INDEX('Datos - Catálogo TIMSS'!$C$5:$C$107,MATCH(K570,'Datos - Catálogo TIMSS'!$A$5:$A$107,0)),"Pendiente de clasificar")))</f>
        <v/>
      </c>
      <c r="N570" s="11">
        <f>IF(K570="FUERA","Fuera del marco",IF(K570="N/A","Sin marco",IFERROR(INDEX('Datos - Catálogo TIMSS'!$F$5:$F$107,MATCH(K570,'Datos - Catálogo TIMSS'!$A$5:$A$107,0)),"Pendiente de clasificar")))</f>
        <v/>
      </c>
      <c r="O570" s="11">
        <f>IF(L570="","",IFERROR(INDEX('Datos - Catálogo TIMSS'!$C$5:$C$107,MATCH(L570,'Datos - Catálogo TIMSS'!$A$5:$A$107,0)),"?"))</f>
        <v/>
      </c>
      <c r="P570" s="11" t="inlineStr">
        <is>
          <t>alta</t>
        </is>
      </c>
      <c r="Q570" s="38" t="inlineStr">
        <is>
          <t>Clasificación de soluciones por pH</t>
        </is>
      </c>
      <c r="R570" s="38" t="inlineStr">
        <is>
          <t>Aplicar: clasificar</t>
        </is>
      </c>
      <c r="S570" s="39">
        <f>IFERROR(ISNUMBER(SEARCH("Conocer",$R570))/(ISNUMBER(SEARCH("Conocer",$R570))+ISNUMBER(SEARCH("Aplicar",$R570))+ISNUMBER(SEARCH("Razonar",$R570))),0)</f>
        <v/>
      </c>
      <c r="T570" s="39">
        <f>IFERROR(ISNUMBER(SEARCH("Aplicar",$R570))/(ISNUMBER(SEARCH("Conocer",$R570))+ISNUMBER(SEARCH("Aplicar",$R570))+ISNUMBER(SEARCH("Razonar",$R570))),0)</f>
        <v/>
      </c>
      <c r="U570" s="39">
        <f>IFERROR(ISNUMBER(SEARCH("Razonar",$R570))/(ISNUMBER(SEARCH("Conocer",$R570))+ISNUMBER(SEARCH("Aplicar",$R570))+ISNUMBER(SEARCH("Razonar",$R570))),0)</f>
        <v/>
      </c>
      <c r="V570" s="11" t="inlineStr">
        <is>
          <t>9°</t>
        </is>
      </c>
      <c r="W570" s="11" t="inlineStr">
        <is>
          <t>9°</t>
        </is>
      </c>
      <c r="X570" s="11">
        <f>IF(OR(IFERROR(INDEX('Datos - Catálogo TIMSS'!$I$5:$I$107,MATCH(K570,'Datos - Catálogo TIMSS'!$A$5:$A$107,0)),"No")="Sí",IFERROR(INDEX('Datos - Catálogo TIMSS'!$I$5:$I$107,MATCH(L570,'Datos - Catálogo TIMSS'!$A$5:$A$107,0)),"No")="Sí"),1,0)</f>
        <v/>
      </c>
      <c r="Y570" s="11">
        <f>IF(IFERROR(INDEX('Datos - Catálogo TIMSS'!$J$5:$J$107,MATCH(K570,'Datos - Catálogo TIMSS'!$A$5:$A$107,0)),"No")="Sí",1,0)</f>
        <v/>
      </c>
      <c r="Z570" s="11">
        <f>IF(IFERROR(INDEX('Datos - Catálogo TIMSS'!$J$5:$J$107,MATCH(L570,'Datos - Catálogo TIMSS'!$A$5:$A$107,0)),"No")="Sí",1,0)</f>
        <v/>
      </c>
      <c r="AA570" s="11" t="inlineStr">
        <is>
          <t>T8-Q2.4</t>
        </is>
      </c>
      <c r="AB570" s="11" t="inlineStr"/>
      <c r="AC570" s="11">
        <f>IF(AA570="FUERA","Fuera del marco",IF(AA570="N/A","Sin marco",IFERROR(INDEX('Datos - TIMSS 2023'!$C$5:$C$105,MATCH(AA570,'Datos - TIMSS 2023'!$A$5:$A$105,0)),"Pendiente de clasificar")))</f>
        <v/>
      </c>
      <c r="AD570" s="11" t="inlineStr">
        <is>
          <t>2. Construir y evaluar diseños para la indagación científica e interpretar datos y evidencia de forma crítica</t>
        </is>
      </c>
      <c r="AE570" s="11">
        <f>IF(AD570="","",IF(LEFT(AD570,1)="1","C1",IF(LEFT(AD570,1)="2","C2",IF(LEFT(AD570,1)="3","C3",""))))</f>
        <v/>
      </c>
      <c r="AF570" s="11" t="inlineStr">
        <is>
          <t>E1</t>
        </is>
      </c>
      <c r="AG570" s="11" t="inlineStr">
        <is>
          <t>D1</t>
        </is>
      </c>
      <c r="AH570" s="11" t="inlineStr">
        <is>
          <t>E1</t>
        </is>
      </c>
      <c r="AI570" s="11" t="inlineStr">
        <is>
          <t>D4</t>
        </is>
      </c>
      <c r="AJ570" s="11" t="inlineStr">
        <is>
          <t>E1</t>
        </is>
      </c>
      <c r="AK570" s="11" t="inlineStr">
        <is>
          <t>PISA-F2</t>
        </is>
      </c>
      <c r="AL570" s="11" t="n"/>
      <c r="AM570" s="11">
        <f>IF(AK570="FUERA","Fuera del marco",IFERROR(INDEX('Datos - Catálogo PISA'!$C$5:$C$76,MATCH(AK570,'Datos - Catálogo PISA'!$A$5:$A$76,0)),"?"))</f>
        <v/>
      </c>
      <c r="AN570" s="11" t="inlineStr">
        <is>
          <t>Contenido</t>
        </is>
      </c>
      <c r="AO570" s="11" t="n"/>
      <c r="AP570" s="11" t="n"/>
      <c r="AQ570" s="11" t="inlineStr">
        <is>
          <t>Personal</t>
        </is>
      </c>
      <c r="AR570" s="11" t="n"/>
      <c r="AS570" s="11" t="inlineStr">
        <is>
          <t>Baja</t>
        </is>
      </c>
      <c r="AT570" s="11" t="inlineStr">
        <is>
          <t>alta</t>
        </is>
      </c>
      <c r="AU570" s="11" t="inlineStr">
        <is>
          <t>Clasifica soluciones cotidianas por su pH.</t>
        </is>
      </c>
      <c r="AV570" s="11" t="inlineStr">
        <is>
          <t>Ciclo 7°–9°</t>
        </is>
      </c>
      <c r="AW570" s="11">
        <f>AF570&amp;"; "&amp;AG570&amp;"; "&amp;AH570&amp;"; "&amp;AI570&amp;"; "&amp;AJ570</f>
        <v/>
      </c>
    </row>
    <row r="571">
      <c r="A571" s="11" t="inlineStr">
        <is>
          <t>T1205-G09-CIE</t>
        </is>
      </c>
      <c r="B571" s="11" t="n">
        <v>9</v>
      </c>
      <c r="C571" s="11" t="inlineStr">
        <is>
          <t>Ciencias</t>
        </is>
      </c>
      <c r="D571" s="11" t="inlineStr">
        <is>
          <t>Matriz_Ciencias_9no_Grado_U1_U7.xlsx</t>
        </is>
      </c>
      <c r="E571" s="11" t="inlineStr">
        <is>
          <t>Unidad 3 - Equilibrio químico</t>
        </is>
      </c>
      <c r="F571" s="11" t="n">
        <v>15</v>
      </c>
      <c r="G571" s="11" t="inlineStr">
        <is>
          <t>3. Equilibrio químico</t>
        </is>
      </c>
      <c r="H571" s="11" t="inlineStr">
        <is>
          <t>Equilibrio ácido base</t>
        </is>
      </c>
      <c r="I571" s="38" t="inlineStr">
        <is>
          <t>3.13. Reconocimiento de ácidos y bases fuertes y débiles de acuerdo con su disociación en agua.</t>
        </is>
      </c>
      <c r="J571" s="11" t="inlineStr">
        <is>
          <t>PISA</t>
        </is>
      </c>
      <c r="K571" s="11" t="inlineStr">
        <is>
          <t>T8_27-C2.3</t>
        </is>
      </c>
      <c r="L571" s="11" t="inlineStr"/>
      <c r="M571" s="11">
        <f>IF(K571="FUERA","Fuera del marco",IF(K571="N/A","Sin marco",IFERROR(INDEX('Datos - Catálogo TIMSS'!$C$5:$C$107,MATCH(K571,'Datos - Catálogo TIMSS'!$A$5:$A$107,0)),"Pendiente de clasificar")))</f>
        <v/>
      </c>
      <c r="N571" s="11">
        <f>IF(K571="FUERA","Fuera del marco",IF(K571="N/A","Sin marco",IFERROR(INDEX('Datos - Catálogo TIMSS'!$F$5:$F$107,MATCH(K571,'Datos - Catálogo TIMSS'!$A$5:$A$107,0)),"Pendiente de clasificar")))</f>
        <v/>
      </c>
      <c r="O571" s="11">
        <f>IF(L571="","",IFERROR(INDEX('Datos - Catálogo TIMSS'!$C$5:$C$107,MATCH(L571,'Datos - Catálogo TIMSS'!$A$5:$A$107,0)),"?"))</f>
        <v/>
      </c>
      <c r="P571" s="11" t="inlineStr">
        <is>
          <t>media</t>
        </is>
      </c>
      <c r="Q571" s="38" t="inlineStr">
        <is>
          <t>Ácidos y bases fuertes y débiles por disociación</t>
        </is>
      </c>
      <c r="R571" s="38" t="inlineStr">
        <is>
          <t>Aplicar: clasificar</t>
        </is>
      </c>
      <c r="S571" s="39">
        <f>IFERROR(ISNUMBER(SEARCH("Conocer",$R571))/(ISNUMBER(SEARCH("Conocer",$R571))+ISNUMBER(SEARCH("Aplicar",$R571))+ISNUMBER(SEARCH("Razonar",$R571))),0)</f>
        <v/>
      </c>
      <c r="T571" s="39">
        <f>IFERROR(ISNUMBER(SEARCH("Aplicar",$R571))/(ISNUMBER(SEARCH("Conocer",$R571))+ISNUMBER(SEARCH("Aplicar",$R571))+ISNUMBER(SEARCH("Razonar",$R571))),0)</f>
        <v/>
      </c>
      <c r="U571" s="39">
        <f>IFERROR(ISNUMBER(SEARCH("Razonar",$R571))/(ISNUMBER(SEARCH("Conocer",$R571))+ISNUMBER(SEARCH("Aplicar",$R571))+ISNUMBER(SEARCH("Razonar",$R571))),0)</f>
        <v/>
      </c>
      <c r="V571" s="11" t="inlineStr">
        <is>
          <t>9°</t>
        </is>
      </c>
      <c r="W571" s="11" t="inlineStr">
        <is>
          <t>9°</t>
        </is>
      </c>
      <c r="X571" s="11">
        <f>IF(OR(IFERROR(INDEX('Datos - Catálogo TIMSS'!$I$5:$I$107,MATCH(K571,'Datos - Catálogo TIMSS'!$A$5:$A$107,0)),"No")="Sí",IFERROR(INDEX('Datos - Catálogo TIMSS'!$I$5:$I$107,MATCH(L571,'Datos - Catálogo TIMSS'!$A$5:$A$107,0)),"No")="Sí"),1,0)</f>
        <v/>
      </c>
      <c r="Y571" s="11">
        <f>IF(IFERROR(INDEX('Datos - Catálogo TIMSS'!$J$5:$J$107,MATCH(K571,'Datos - Catálogo TIMSS'!$A$5:$A$107,0)),"No")="Sí",1,0)</f>
        <v/>
      </c>
      <c r="Z571" s="11">
        <f>IF(IFERROR(INDEX('Datos - Catálogo TIMSS'!$J$5:$J$107,MATCH(L571,'Datos - Catálogo TIMSS'!$A$5:$A$107,0)),"No")="Sí",1,0)</f>
        <v/>
      </c>
      <c r="AA571" s="11" t="inlineStr">
        <is>
          <t>T8-Q2.4</t>
        </is>
      </c>
      <c r="AB571" s="11" t="inlineStr"/>
      <c r="AC571" s="11">
        <f>IF(AA571="FUERA","Fuera del marco",IF(AA571="N/A","Sin marco",IFERROR(INDEX('Datos - TIMSS 2023'!$C$5:$C$105,MATCH(AA571,'Datos - TIMSS 2023'!$A$5:$A$105,0)),"Pendiente de clasificar")))</f>
        <v/>
      </c>
      <c r="AD571" s="11" t="inlineStr">
        <is>
          <t>1. Explicar fenómenos científicamente</t>
        </is>
      </c>
      <c r="AE571" s="11">
        <f>IF(AD571="","",IF(LEFT(AD571,1)="1","C1",IF(LEFT(AD571,1)="2","C2",IF(LEFT(AD571,1)="3","C3",""))))</f>
        <v/>
      </c>
      <c r="AF571" s="11" t="inlineStr">
        <is>
          <t>E1</t>
        </is>
      </c>
      <c r="AG571" s="11" t="inlineStr">
        <is>
          <t>D1</t>
        </is>
      </c>
      <c r="AH571" s="11" t="inlineStr">
        <is>
          <t>E1</t>
        </is>
      </c>
      <c r="AI571" s="11" t="inlineStr">
        <is>
          <t>D4</t>
        </is>
      </c>
      <c r="AJ571" s="11" t="inlineStr">
        <is>
          <t>E1</t>
        </is>
      </c>
      <c r="AK571" s="11" t="inlineStr">
        <is>
          <t>PISA-F2</t>
        </is>
      </c>
      <c r="AL571" s="11" t="n"/>
      <c r="AM571" s="11">
        <f>IF(AK571="FUERA","Fuera del marco",IFERROR(INDEX('Datos - Catálogo PISA'!$C$5:$C$76,MATCH(AK571,'Datos - Catálogo PISA'!$A$5:$A$76,0)),"?"))</f>
        <v/>
      </c>
      <c r="AN571" s="11" t="inlineStr">
        <is>
          <t>Contenido</t>
        </is>
      </c>
      <c r="AO571" s="11" t="n"/>
      <c r="AP571" s="11" t="n"/>
      <c r="AQ571" s="11" t="inlineStr">
        <is>
          <t>Sin contexto</t>
        </is>
      </c>
      <c r="AR571" s="11" t="n"/>
      <c r="AS571" s="11" t="inlineStr">
        <is>
          <t>Baja</t>
        </is>
      </c>
      <c r="AT571" s="11" t="inlineStr">
        <is>
          <t>alta</t>
        </is>
      </c>
      <c r="AU571" s="11" t="inlineStr">
        <is>
          <t>Ácidos y bases fuertes o débiles según disociación.</t>
        </is>
      </c>
      <c r="AV571" s="11" t="inlineStr">
        <is>
          <t>Ciclo 7°–9°</t>
        </is>
      </c>
      <c r="AW571" s="11">
        <f>AF571&amp;"; "&amp;AG571&amp;"; "&amp;AH571&amp;"; "&amp;AI571&amp;"; "&amp;AJ571</f>
        <v/>
      </c>
    </row>
    <row r="572">
      <c r="A572" s="11" t="inlineStr">
        <is>
          <t>T1206-G09-CIE</t>
        </is>
      </c>
      <c r="B572" s="11" t="n">
        <v>9</v>
      </c>
      <c r="C572" s="11" t="inlineStr">
        <is>
          <t>Ciencias</t>
        </is>
      </c>
      <c r="D572" s="11" t="inlineStr">
        <is>
          <t>Matriz_Ciencias_9no_Grado_U1_U7.xlsx</t>
        </is>
      </c>
      <c r="E572" s="11" t="inlineStr">
        <is>
          <t>Unidad 3 - Equilibrio químico</t>
        </is>
      </c>
      <c r="F572" s="11" t="n">
        <v>16</v>
      </c>
      <c r="G572" s="11" t="inlineStr">
        <is>
          <t>3. Equilibrio químico</t>
        </is>
      </c>
      <c r="H572" s="11" t="inlineStr">
        <is>
          <t>Equilibrio ácido base</t>
        </is>
      </c>
      <c r="I572" s="38" t="inlineStr">
        <is>
          <t>3.14. Expresión de las constantes de ionización de ácidos y bases.</t>
        </is>
      </c>
      <c r="J572" s="11" t="inlineStr">
        <is>
          <t>PISA</t>
        </is>
      </c>
      <c r="K572" s="11" t="inlineStr">
        <is>
          <t>T8_27-C2.3</t>
        </is>
      </c>
      <c r="L572" s="11" t="inlineStr"/>
      <c r="M572" s="11">
        <f>IF(K572="FUERA","Fuera del marco",IF(K572="N/A","Sin marco",IFERROR(INDEX('Datos - Catálogo TIMSS'!$C$5:$C$107,MATCH(K572,'Datos - Catálogo TIMSS'!$A$5:$A$107,0)),"Pendiente de clasificar")))</f>
        <v/>
      </c>
      <c r="N572" s="11">
        <f>IF(K572="FUERA","Fuera del marco",IF(K572="N/A","Sin marco",IFERROR(INDEX('Datos - Catálogo TIMSS'!$F$5:$F$107,MATCH(K572,'Datos - Catálogo TIMSS'!$A$5:$A$107,0)),"Pendiente de clasificar")))</f>
        <v/>
      </c>
      <c r="O572" s="11">
        <f>IF(L572="","",IFERROR(INDEX('Datos - Catálogo TIMSS'!$C$5:$C$107,MATCH(L572,'Datos - Catálogo TIMSS'!$A$5:$A$107,0)),"?"))</f>
        <v/>
      </c>
      <c r="P572" s="11" t="inlineStr">
        <is>
          <t>media</t>
        </is>
      </c>
      <c r="Q572" s="38" t="inlineStr">
        <is>
          <t>Constantes Ka y Kb; nivel superior a TIMSS</t>
        </is>
      </c>
      <c r="R572" s="38" t="inlineStr">
        <is>
          <t>Aplicar: representar</t>
        </is>
      </c>
      <c r="S572" s="39">
        <f>IFERROR(ISNUMBER(SEARCH("Conocer",$R572))/(ISNUMBER(SEARCH("Conocer",$R572))+ISNUMBER(SEARCH("Aplicar",$R572))+ISNUMBER(SEARCH("Razonar",$R572))),0)</f>
        <v/>
      </c>
      <c r="T572" s="39">
        <f>IFERROR(ISNUMBER(SEARCH("Aplicar",$R572))/(ISNUMBER(SEARCH("Conocer",$R572))+ISNUMBER(SEARCH("Aplicar",$R572))+ISNUMBER(SEARCH("Razonar",$R572))),0)</f>
        <v/>
      </c>
      <c r="U572" s="39">
        <f>IFERROR(ISNUMBER(SEARCH("Razonar",$R572))/(ISNUMBER(SEARCH("Conocer",$R572))+ISNUMBER(SEARCH("Aplicar",$R572))+ISNUMBER(SEARCH("Razonar",$R572))),0)</f>
        <v/>
      </c>
      <c r="V572" s="11" t="inlineStr">
        <is>
          <t>9°</t>
        </is>
      </c>
      <c r="W572" s="11" t="inlineStr">
        <is>
          <t>9°</t>
        </is>
      </c>
      <c r="X572" s="11">
        <f>IF(OR(IFERROR(INDEX('Datos - Catálogo TIMSS'!$I$5:$I$107,MATCH(K572,'Datos - Catálogo TIMSS'!$A$5:$A$107,0)),"No")="Sí",IFERROR(INDEX('Datos - Catálogo TIMSS'!$I$5:$I$107,MATCH(L572,'Datos - Catálogo TIMSS'!$A$5:$A$107,0)),"No")="Sí"),1,0)</f>
        <v/>
      </c>
      <c r="Y572" s="11">
        <f>IF(IFERROR(INDEX('Datos - Catálogo TIMSS'!$J$5:$J$107,MATCH(K572,'Datos - Catálogo TIMSS'!$A$5:$A$107,0)),"No")="Sí",1,0)</f>
        <v/>
      </c>
      <c r="Z572" s="11">
        <f>IF(IFERROR(INDEX('Datos - Catálogo TIMSS'!$J$5:$J$107,MATCH(L572,'Datos - Catálogo TIMSS'!$A$5:$A$107,0)),"No")="Sí",1,0)</f>
        <v/>
      </c>
      <c r="AA572" s="11" t="inlineStr">
        <is>
          <t>T8-Q2.4</t>
        </is>
      </c>
      <c r="AB572" s="11" t="inlineStr"/>
      <c r="AC572" s="11">
        <f>IF(AA572="FUERA","Fuera del marco",IF(AA572="N/A","Sin marco",IFERROR(INDEX('Datos - TIMSS 2023'!$C$5:$C$105,MATCH(AA572,'Datos - TIMSS 2023'!$A$5:$A$105,0)),"Pendiente de clasificar")))</f>
        <v/>
      </c>
      <c r="AD572" s="11" t="inlineStr">
        <is>
          <t>1. Explicar fenómenos científicamente</t>
        </is>
      </c>
      <c r="AE572" s="11">
        <f>IF(AD572="","",IF(LEFT(AD572,1)="1","C1",IF(LEFT(AD572,1)="2","C2",IF(LEFT(AD572,1)="3","C3",""))))</f>
        <v/>
      </c>
      <c r="AF572" s="11" t="inlineStr">
        <is>
          <t>E1</t>
        </is>
      </c>
      <c r="AG572" s="11" t="inlineStr">
        <is>
          <t>D1</t>
        </is>
      </c>
      <c r="AH572" s="11" t="inlineStr">
        <is>
          <t>E1</t>
        </is>
      </c>
      <c r="AI572" s="11" t="inlineStr">
        <is>
          <t>D4</t>
        </is>
      </c>
      <c r="AJ572" s="11" t="inlineStr">
        <is>
          <t>E1</t>
        </is>
      </c>
      <c r="AK572" s="11" t="inlineStr">
        <is>
          <t>PISA-F2</t>
        </is>
      </c>
      <c r="AL572" s="11" t="n"/>
      <c r="AM572" s="11">
        <f>IF(AK572="FUERA","Fuera del marco",IFERROR(INDEX('Datos - Catálogo PISA'!$C$5:$C$76,MATCH(AK572,'Datos - Catálogo PISA'!$A$5:$A$76,0)),"?"))</f>
        <v/>
      </c>
      <c r="AN572" s="11" t="inlineStr">
        <is>
          <t>Contenido</t>
        </is>
      </c>
      <c r="AO572" s="11" t="n"/>
      <c r="AP572" s="11" t="n"/>
      <c r="AQ572" s="11" t="inlineStr">
        <is>
          <t>Sin contexto</t>
        </is>
      </c>
      <c r="AR572" s="11" t="n"/>
      <c r="AS572" s="11" t="inlineStr">
        <is>
          <t>Baja</t>
        </is>
      </c>
      <c r="AT572" s="11" t="inlineStr">
        <is>
          <t>alta</t>
        </is>
      </c>
      <c r="AU572" s="11" t="inlineStr">
        <is>
          <t>Expresiones de constantes de ionización Ka y Kb.</t>
        </is>
      </c>
      <c r="AV572" s="11" t="inlineStr">
        <is>
          <t>Ciclo 7°–9°</t>
        </is>
      </c>
      <c r="AW572" s="11">
        <f>AF572&amp;"; "&amp;AG572&amp;"; "&amp;AH572&amp;"; "&amp;AI572&amp;"; "&amp;AJ572</f>
        <v/>
      </c>
    </row>
    <row r="573">
      <c r="A573" s="11" t="inlineStr">
        <is>
          <t>T1207-G09-CIE</t>
        </is>
      </c>
      <c r="B573" s="11" t="n">
        <v>9</v>
      </c>
      <c r="C573" s="11" t="inlineStr">
        <is>
          <t>Ciencias</t>
        </is>
      </c>
      <c r="D573" s="11" t="inlineStr">
        <is>
          <t>Matriz_Ciencias_9no_Grado_U1_U7.xlsx</t>
        </is>
      </c>
      <c r="E573" s="11" t="inlineStr">
        <is>
          <t>Unidad 3 - Equilibrio químico</t>
        </is>
      </c>
      <c r="F573" s="11" t="n">
        <v>17</v>
      </c>
      <c r="G573" s="11" t="inlineStr">
        <is>
          <t>3. Equilibrio químico</t>
        </is>
      </c>
      <c r="H573" s="11" t="inlineStr">
        <is>
          <t>Equilibrio ácido base</t>
        </is>
      </c>
      <c r="I573" s="38" t="inlineStr">
        <is>
          <t>3.15. Análisis de la función de las soluciones buffer.</t>
        </is>
      </c>
      <c r="J573" s="11" t="inlineStr">
        <is>
          <t>PISA</t>
        </is>
      </c>
      <c r="K573" s="11" t="inlineStr">
        <is>
          <t>T8_27-C2.3</t>
        </is>
      </c>
      <c r="L573" s="11" t="inlineStr"/>
      <c r="M573" s="11">
        <f>IF(K573="FUERA","Fuera del marco",IF(K573="N/A","Sin marco",IFERROR(INDEX('Datos - Catálogo TIMSS'!$C$5:$C$107,MATCH(K573,'Datos - Catálogo TIMSS'!$A$5:$A$107,0)),"Pendiente de clasificar")))</f>
        <v/>
      </c>
      <c r="N573" s="11">
        <f>IF(K573="FUERA","Fuera del marco",IF(K573="N/A","Sin marco",IFERROR(INDEX('Datos - Catálogo TIMSS'!$F$5:$F$107,MATCH(K573,'Datos - Catálogo TIMSS'!$A$5:$A$107,0)),"Pendiente de clasificar")))</f>
        <v/>
      </c>
      <c r="O573" s="11">
        <f>IF(L573="","",IFERROR(INDEX('Datos - Catálogo TIMSS'!$C$5:$C$107,MATCH(L573,'Datos - Catálogo TIMSS'!$A$5:$A$107,0)),"?"))</f>
        <v/>
      </c>
      <c r="P573" s="11" t="inlineStr">
        <is>
          <t>media</t>
        </is>
      </c>
      <c r="Q573" s="38" t="inlineStr">
        <is>
          <t>Soluciones buffer y control del pH</t>
        </is>
      </c>
      <c r="R573" s="38" t="inlineStr">
        <is>
          <t>Conocer: explicar</t>
        </is>
      </c>
      <c r="S573" s="39">
        <f>IFERROR(ISNUMBER(SEARCH("Conocer",$R573))/(ISNUMBER(SEARCH("Conocer",$R573))+ISNUMBER(SEARCH("Aplicar",$R573))+ISNUMBER(SEARCH("Razonar",$R573))),0)</f>
        <v/>
      </c>
      <c r="T573" s="39">
        <f>IFERROR(ISNUMBER(SEARCH("Aplicar",$R573))/(ISNUMBER(SEARCH("Conocer",$R573))+ISNUMBER(SEARCH("Aplicar",$R573))+ISNUMBER(SEARCH("Razonar",$R573))),0)</f>
        <v/>
      </c>
      <c r="U573" s="39">
        <f>IFERROR(ISNUMBER(SEARCH("Razonar",$R573))/(ISNUMBER(SEARCH("Conocer",$R573))+ISNUMBER(SEARCH("Aplicar",$R573))+ISNUMBER(SEARCH("Razonar",$R573))),0)</f>
        <v/>
      </c>
      <c r="V573" s="11" t="inlineStr">
        <is>
          <t>9°</t>
        </is>
      </c>
      <c r="W573" s="11" t="inlineStr">
        <is>
          <t>9°</t>
        </is>
      </c>
      <c r="X573" s="11">
        <f>IF(OR(IFERROR(INDEX('Datos - Catálogo TIMSS'!$I$5:$I$107,MATCH(K573,'Datos - Catálogo TIMSS'!$A$5:$A$107,0)),"No")="Sí",IFERROR(INDEX('Datos - Catálogo TIMSS'!$I$5:$I$107,MATCH(L573,'Datos - Catálogo TIMSS'!$A$5:$A$107,0)),"No")="Sí"),1,0)</f>
        <v/>
      </c>
      <c r="Y573" s="11">
        <f>IF(IFERROR(INDEX('Datos - Catálogo TIMSS'!$J$5:$J$107,MATCH(K573,'Datos - Catálogo TIMSS'!$A$5:$A$107,0)),"No")="Sí",1,0)</f>
        <v/>
      </c>
      <c r="Z573" s="11">
        <f>IF(IFERROR(INDEX('Datos - Catálogo TIMSS'!$J$5:$J$107,MATCH(L573,'Datos - Catálogo TIMSS'!$A$5:$A$107,0)),"No")="Sí",1,0)</f>
        <v/>
      </c>
      <c r="AA573" s="11" t="inlineStr">
        <is>
          <t>T8-Q2.4</t>
        </is>
      </c>
      <c r="AB573" s="11" t="inlineStr"/>
      <c r="AC573" s="11">
        <f>IF(AA573="FUERA","Fuera del marco",IF(AA573="N/A","Sin marco",IFERROR(INDEX('Datos - TIMSS 2023'!$C$5:$C$105,MATCH(AA573,'Datos - TIMSS 2023'!$A$5:$A$105,0)),"Pendiente de clasificar")))</f>
        <v/>
      </c>
      <c r="AD573" s="11" t="inlineStr">
        <is>
          <t>1. Explicar fenómenos científicamente</t>
        </is>
      </c>
      <c r="AE573" s="11">
        <f>IF(AD573="","",IF(LEFT(AD573,1)="1","C1",IF(LEFT(AD573,1)="2","C2",IF(LEFT(AD573,1)="3","C3",""))))</f>
        <v/>
      </c>
      <c r="AF573" s="11" t="inlineStr">
        <is>
          <t>E1</t>
        </is>
      </c>
      <c r="AG573" s="11" t="inlineStr">
        <is>
          <t>D1</t>
        </is>
      </c>
      <c r="AH573" s="11" t="inlineStr">
        <is>
          <t>E1</t>
        </is>
      </c>
      <c r="AI573" s="11" t="inlineStr">
        <is>
          <t>D4</t>
        </is>
      </c>
      <c r="AJ573" s="11" t="inlineStr">
        <is>
          <t>E6</t>
        </is>
      </c>
      <c r="AK573" s="11" t="inlineStr">
        <is>
          <t>PISA-F2</t>
        </is>
      </c>
      <c r="AL573" s="11" t="n"/>
      <c r="AM573" s="11">
        <f>IF(AK573="FUERA","Fuera del marco",IFERROR(INDEX('Datos - Catálogo PISA'!$C$5:$C$76,MATCH(AK573,'Datos - Catálogo PISA'!$A$5:$A$76,0)),"?"))</f>
        <v/>
      </c>
      <c r="AN573" s="11" t="inlineStr">
        <is>
          <t>Contenido</t>
        </is>
      </c>
      <c r="AO573" s="11" t="n"/>
      <c r="AP573" s="11" t="n"/>
      <c r="AQ573" s="11" t="inlineStr">
        <is>
          <t>Sin contexto</t>
        </is>
      </c>
      <c r="AR573" s="11" t="n"/>
      <c r="AS573" s="11" t="inlineStr">
        <is>
          <t>Media</t>
        </is>
      </c>
      <c r="AT573" s="11" t="inlineStr">
        <is>
          <t>alta</t>
        </is>
      </c>
      <c r="AU573" s="11" t="inlineStr">
        <is>
          <t>Función amortiguadora de las soluciones buffer.</t>
        </is>
      </c>
      <c r="AV573" s="11" t="inlineStr">
        <is>
          <t>Ciclo 7°–9°</t>
        </is>
      </c>
      <c r="AW573" s="11">
        <f>AF573&amp;"; "&amp;AG573&amp;"; "&amp;AH573&amp;"; "&amp;AI573&amp;"; "&amp;AJ573</f>
        <v/>
      </c>
    </row>
    <row r="574">
      <c r="A574" s="11" t="inlineStr">
        <is>
          <t>T1208-G09-CIE</t>
        </is>
      </c>
      <c r="B574" s="11" t="n">
        <v>9</v>
      </c>
      <c r="C574" s="11" t="inlineStr">
        <is>
          <t>Ciencias</t>
        </is>
      </c>
      <c r="D574" s="11" t="inlineStr">
        <is>
          <t>Matriz_Ciencias_9no_Grado_U1_U7.xlsx</t>
        </is>
      </c>
      <c r="E574" s="11" t="inlineStr">
        <is>
          <t>Unidad 3 - Equilibrio químico</t>
        </is>
      </c>
      <c r="F574" s="11" t="n">
        <v>18</v>
      </c>
      <c r="G574" s="11" t="inlineStr">
        <is>
          <t>3. Equilibrio químico</t>
        </is>
      </c>
      <c r="H574" s="11" t="inlineStr">
        <is>
          <t>Equilibrio ácido base</t>
        </is>
      </c>
      <c r="I574" s="38" t="inlineStr">
        <is>
          <t>3.16. Comprobación experimental del efecto amortiguador de pH de las soluciones buffer.</t>
        </is>
      </c>
      <c r="J574" s="11" t="inlineStr">
        <is>
          <t>PISA</t>
        </is>
      </c>
      <c r="K574" s="11" t="inlineStr">
        <is>
          <t>T8_27-C2.3</t>
        </is>
      </c>
      <c r="L574" s="11" t="inlineStr"/>
      <c r="M574" s="11">
        <f>IF(K574="FUERA","Fuera del marco",IF(K574="N/A","Sin marco",IFERROR(INDEX('Datos - Catálogo TIMSS'!$C$5:$C$107,MATCH(K574,'Datos - Catálogo TIMSS'!$A$5:$A$107,0)),"Pendiente de clasificar")))</f>
        <v/>
      </c>
      <c r="N574" s="11">
        <f>IF(K574="FUERA","Fuera del marco",IF(K574="N/A","Sin marco",IFERROR(INDEX('Datos - Catálogo TIMSS'!$F$5:$F$107,MATCH(K574,'Datos - Catálogo TIMSS'!$A$5:$A$107,0)),"Pendiente de clasificar")))</f>
        <v/>
      </c>
      <c r="O574" s="11">
        <f>IF(L574="","",IFERROR(INDEX('Datos - Catálogo TIMSS'!$C$5:$C$107,MATCH(L574,'Datos - Catálogo TIMSS'!$A$5:$A$107,0)),"?"))</f>
        <v/>
      </c>
      <c r="P574" s="11" t="inlineStr">
        <is>
          <t>media</t>
        </is>
      </c>
      <c r="Q574" s="38" t="inlineStr">
        <is>
          <t>Efecto amortiguador del pH comprobado experimentalmente</t>
        </is>
      </c>
      <c r="R574" s="38" t="inlineStr">
        <is>
          <t>Razonar: comprobar y concluir</t>
        </is>
      </c>
      <c r="S574" s="39">
        <f>IFERROR(ISNUMBER(SEARCH("Conocer",$R574))/(ISNUMBER(SEARCH("Conocer",$R574))+ISNUMBER(SEARCH("Aplicar",$R574))+ISNUMBER(SEARCH("Razonar",$R574))),0)</f>
        <v/>
      </c>
      <c r="T574" s="39">
        <f>IFERROR(ISNUMBER(SEARCH("Aplicar",$R574))/(ISNUMBER(SEARCH("Conocer",$R574))+ISNUMBER(SEARCH("Aplicar",$R574))+ISNUMBER(SEARCH("Razonar",$R574))),0)</f>
        <v/>
      </c>
      <c r="U574" s="39">
        <f>IFERROR(ISNUMBER(SEARCH("Razonar",$R574))/(ISNUMBER(SEARCH("Conocer",$R574))+ISNUMBER(SEARCH("Aplicar",$R574))+ISNUMBER(SEARCH("Razonar",$R574))),0)</f>
        <v/>
      </c>
      <c r="V574" s="11" t="inlineStr">
        <is>
          <t>9°</t>
        </is>
      </c>
      <c r="W574" s="11" t="inlineStr">
        <is>
          <t>9°</t>
        </is>
      </c>
      <c r="X574" s="11">
        <f>IF(OR(IFERROR(INDEX('Datos - Catálogo TIMSS'!$I$5:$I$107,MATCH(K574,'Datos - Catálogo TIMSS'!$A$5:$A$107,0)),"No")="Sí",IFERROR(INDEX('Datos - Catálogo TIMSS'!$I$5:$I$107,MATCH(L574,'Datos - Catálogo TIMSS'!$A$5:$A$107,0)),"No")="Sí"),1,0)</f>
        <v/>
      </c>
      <c r="Y574" s="11">
        <f>IF(IFERROR(INDEX('Datos - Catálogo TIMSS'!$J$5:$J$107,MATCH(K574,'Datos - Catálogo TIMSS'!$A$5:$A$107,0)),"No")="Sí",1,0)</f>
        <v/>
      </c>
      <c r="Z574" s="11">
        <f>IF(IFERROR(INDEX('Datos - Catálogo TIMSS'!$J$5:$J$107,MATCH(L574,'Datos - Catálogo TIMSS'!$A$5:$A$107,0)),"No")="Sí",1,0)</f>
        <v/>
      </c>
      <c r="AA574" s="11" t="inlineStr">
        <is>
          <t>T8-Q2.4</t>
        </is>
      </c>
      <c r="AB574" s="11" t="inlineStr"/>
      <c r="AC574" s="11">
        <f>IF(AA574="FUERA","Fuera del marco",IF(AA574="N/A","Sin marco",IFERROR(INDEX('Datos - TIMSS 2023'!$C$5:$C$105,MATCH(AA574,'Datos - TIMSS 2023'!$A$5:$A$105,0)),"Pendiente de clasificar")))</f>
        <v/>
      </c>
      <c r="AD574" s="11" t="inlineStr">
        <is>
          <t>2. Construir y evaluar diseños para la indagación científica e interpretar datos y evidencia de forma crítica</t>
        </is>
      </c>
      <c r="AE574" s="11">
        <f>IF(AD574="","",IF(LEFT(AD574,1)="1","C1",IF(LEFT(AD574,1)="2","C2",IF(LEFT(AD574,1)="3","C3",""))))</f>
        <v/>
      </c>
      <c r="AF574" s="11" t="inlineStr">
        <is>
          <t>E1</t>
        </is>
      </c>
      <c r="AG574" s="11" t="inlineStr">
        <is>
          <t>E3</t>
        </is>
      </c>
      <c r="AH574" s="11" t="inlineStr">
        <is>
          <t>E1</t>
        </is>
      </c>
      <c r="AI574" s="11" t="inlineStr">
        <is>
          <t>D4</t>
        </is>
      </c>
      <c r="AJ574" s="11" t="inlineStr">
        <is>
          <t>E1</t>
        </is>
      </c>
      <c r="AK574" s="11" t="inlineStr">
        <is>
          <t>PISA-F2</t>
        </is>
      </c>
      <c r="AL574" s="11" t="n"/>
      <c r="AM574" s="11">
        <f>IF(AK574="FUERA","Fuera del marco",IFERROR(INDEX('Datos - Catálogo PISA'!$C$5:$C$76,MATCH(AK574,'Datos - Catálogo PISA'!$A$5:$A$76,0)),"?"))</f>
        <v/>
      </c>
      <c r="AN574" s="11" t="inlineStr">
        <is>
          <t>Contenido</t>
        </is>
      </c>
      <c r="AO574" s="11" t="inlineStr">
        <is>
          <t>PISA-PR1;</t>
        </is>
      </c>
      <c r="AP574" s="11" t="n"/>
      <c r="AQ574" s="11" t="inlineStr">
        <is>
          <t>Sin contexto</t>
        </is>
      </c>
      <c r="AR574" s="11" t="n"/>
      <c r="AS574" s="11" t="inlineStr">
        <is>
          <t>Media</t>
        </is>
      </c>
      <c r="AT574" s="11" t="inlineStr">
        <is>
          <t>alta</t>
        </is>
      </c>
      <c r="AU574" s="11" t="inlineStr">
        <is>
          <t>Compara cambio de pH en agua y en buffer.</t>
        </is>
      </c>
      <c r="AV574" s="11" t="inlineStr">
        <is>
          <t>Ciclo 7°–9°</t>
        </is>
      </c>
      <c r="AW574" s="11">
        <f>AF574&amp;"; "&amp;AG574&amp;"; "&amp;AH574&amp;"; "&amp;AI574&amp;"; "&amp;AJ574</f>
        <v/>
      </c>
    </row>
    <row r="575">
      <c r="A575" s="11" t="inlineStr">
        <is>
          <t>T1209-G09-CIE</t>
        </is>
      </c>
      <c r="B575" s="11" t="n">
        <v>9</v>
      </c>
      <c r="C575" s="11" t="inlineStr">
        <is>
          <t>Ciencias</t>
        </is>
      </c>
      <c r="D575" s="11" t="inlineStr">
        <is>
          <t>Matriz_Ciencias_9no_Grado_U1_U7.xlsx</t>
        </is>
      </c>
      <c r="E575" s="11" t="inlineStr">
        <is>
          <t>Unidad 3 - Equilibrio químico</t>
        </is>
      </c>
      <c r="F575" s="11" t="n">
        <v>19</v>
      </c>
      <c r="G575" s="11" t="inlineStr">
        <is>
          <t>3. Equilibrio químico</t>
        </is>
      </c>
      <c r="H575" s="11" t="inlineStr">
        <is>
          <t>Equilibrio ácido base</t>
        </is>
      </c>
      <c r="I575" s="38" t="inlineStr">
        <is>
          <t>3.17. Reconocimiento de aplicaciones y ocurrencia natural de las soluciones buffer.</t>
        </is>
      </c>
      <c r="J575" s="11" t="inlineStr">
        <is>
          <t>PISA</t>
        </is>
      </c>
      <c r="K575" s="11" t="inlineStr">
        <is>
          <t>T8_27-C2.3</t>
        </is>
      </c>
      <c r="L575" s="11" t="inlineStr"/>
      <c r="M575" s="11">
        <f>IF(K575="FUERA","Fuera del marco",IF(K575="N/A","Sin marco",IFERROR(INDEX('Datos - Catálogo TIMSS'!$C$5:$C$107,MATCH(K575,'Datos - Catálogo TIMSS'!$A$5:$A$107,0)),"Pendiente de clasificar")))</f>
        <v/>
      </c>
      <c r="N575" s="11">
        <f>IF(K575="FUERA","Fuera del marco",IF(K575="N/A","Sin marco",IFERROR(INDEX('Datos - Catálogo TIMSS'!$F$5:$F$107,MATCH(K575,'Datos - Catálogo TIMSS'!$A$5:$A$107,0)),"Pendiente de clasificar")))</f>
        <v/>
      </c>
      <c r="O575" s="11">
        <f>IF(L575="","",IFERROR(INDEX('Datos - Catálogo TIMSS'!$C$5:$C$107,MATCH(L575,'Datos - Catálogo TIMSS'!$A$5:$A$107,0)),"?"))</f>
        <v/>
      </c>
      <c r="P575" s="11" t="inlineStr">
        <is>
          <t>media</t>
        </is>
      </c>
      <c r="Q575" s="38" t="inlineStr">
        <is>
          <t>Aplicaciones de soluciones buffer</t>
        </is>
      </c>
      <c r="R575" s="38" t="inlineStr">
        <is>
          <t>Aplicar: ejemplificar</t>
        </is>
      </c>
      <c r="S575" s="39">
        <f>IFERROR(ISNUMBER(SEARCH("Conocer",$R575))/(ISNUMBER(SEARCH("Conocer",$R575))+ISNUMBER(SEARCH("Aplicar",$R575))+ISNUMBER(SEARCH("Razonar",$R575))),0)</f>
        <v/>
      </c>
      <c r="T575" s="39">
        <f>IFERROR(ISNUMBER(SEARCH("Aplicar",$R575))/(ISNUMBER(SEARCH("Conocer",$R575))+ISNUMBER(SEARCH("Aplicar",$R575))+ISNUMBER(SEARCH("Razonar",$R575))),0)</f>
        <v/>
      </c>
      <c r="U575" s="39">
        <f>IFERROR(ISNUMBER(SEARCH("Razonar",$R575))/(ISNUMBER(SEARCH("Conocer",$R575))+ISNUMBER(SEARCH("Aplicar",$R575))+ISNUMBER(SEARCH("Razonar",$R575))),0)</f>
        <v/>
      </c>
      <c r="V575" s="11" t="inlineStr">
        <is>
          <t>9°</t>
        </is>
      </c>
      <c r="W575" s="11" t="inlineStr">
        <is>
          <t>9°</t>
        </is>
      </c>
      <c r="X575" s="11">
        <f>IF(OR(IFERROR(INDEX('Datos - Catálogo TIMSS'!$I$5:$I$107,MATCH(K575,'Datos - Catálogo TIMSS'!$A$5:$A$107,0)),"No")="Sí",IFERROR(INDEX('Datos - Catálogo TIMSS'!$I$5:$I$107,MATCH(L575,'Datos - Catálogo TIMSS'!$A$5:$A$107,0)),"No")="Sí"),1,0)</f>
        <v/>
      </c>
      <c r="Y575" s="11">
        <f>IF(IFERROR(INDEX('Datos - Catálogo TIMSS'!$J$5:$J$107,MATCH(K575,'Datos - Catálogo TIMSS'!$A$5:$A$107,0)),"No")="Sí",1,0)</f>
        <v/>
      </c>
      <c r="Z575" s="11">
        <f>IF(IFERROR(INDEX('Datos - Catálogo TIMSS'!$J$5:$J$107,MATCH(L575,'Datos - Catálogo TIMSS'!$A$5:$A$107,0)),"No")="Sí",1,0)</f>
        <v/>
      </c>
      <c r="AA575" s="11" t="inlineStr">
        <is>
          <t>T8-Q2.4</t>
        </is>
      </c>
      <c r="AB575" s="11" t="inlineStr"/>
      <c r="AC575" s="11">
        <f>IF(AA575="FUERA","Fuera del marco",IF(AA575="N/A","Sin marco",IFERROR(INDEX('Datos - TIMSS 2023'!$C$5:$C$105,MATCH(AA575,'Datos - TIMSS 2023'!$A$5:$A$105,0)),"Pendiente de clasificar")))</f>
        <v/>
      </c>
      <c r="AD575" s="11" t="inlineStr">
        <is>
          <t>3. Investigar, evaluar y usar información científica para tomar decisiones y actuar</t>
        </is>
      </c>
      <c r="AE575" s="11">
        <f>IF(AD575="","",IF(LEFT(AD575,1)="1","C1",IF(LEFT(AD575,1)="2","C2",IF(LEFT(AD575,1)="3","C3",""))))</f>
        <v/>
      </c>
      <c r="AF575" s="11" t="inlineStr">
        <is>
          <t>E1</t>
        </is>
      </c>
      <c r="AG575" s="11" t="inlineStr">
        <is>
          <t>D1</t>
        </is>
      </c>
      <c r="AH575" s="11" t="inlineStr">
        <is>
          <t>E1</t>
        </is>
      </c>
      <c r="AI575" s="11" t="inlineStr">
        <is>
          <t>I1</t>
        </is>
      </c>
      <c r="AJ575" s="11" t="inlineStr">
        <is>
          <t>I5</t>
        </is>
      </c>
      <c r="AK575" s="11" t="inlineStr">
        <is>
          <t>PISA-F2</t>
        </is>
      </c>
      <c r="AL575" s="11" t="n"/>
      <c r="AM575" s="11">
        <f>IF(AK575="FUERA","Fuera del marco",IFERROR(INDEX('Datos - Catálogo PISA'!$C$5:$C$76,MATCH(AK575,'Datos - Catálogo PISA'!$A$5:$A$76,0)),"?"))</f>
        <v/>
      </c>
      <c r="AN575" s="11" t="inlineStr">
        <is>
          <t>Contenido</t>
        </is>
      </c>
      <c r="AO575" s="11" t="n"/>
      <c r="AP575" s="11" t="n"/>
      <c r="AQ575" s="11" t="inlineStr">
        <is>
          <t>Personal</t>
        </is>
      </c>
      <c r="AR575" s="11" t="inlineStr">
        <is>
          <t>Salud y enfermedad</t>
        </is>
      </c>
      <c r="AS575" s="11" t="inlineStr">
        <is>
          <t>Media</t>
        </is>
      </c>
      <c r="AT575" s="11" t="inlineStr">
        <is>
          <t>media</t>
        </is>
      </c>
      <c r="AU575" s="11" t="inlineStr">
        <is>
          <t>Aplicaciones y ocurrencia natural de buffers, como la sangre.</t>
        </is>
      </c>
      <c r="AV575" s="11" t="inlineStr">
        <is>
          <t>Ciclo 7°–9°</t>
        </is>
      </c>
      <c r="AW575" s="11">
        <f>AF575&amp;"; "&amp;AG575&amp;"; "&amp;AH575&amp;"; "&amp;AI575&amp;"; "&amp;AJ575</f>
        <v/>
      </c>
    </row>
    <row r="576">
      <c r="A576" s="11" t="inlineStr">
        <is>
          <t>T1210-G09-CIE</t>
        </is>
      </c>
      <c r="B576" s="11" t="n">
        <v>9</v>
      </c>
      <c r="C576" s="11" t="inlineStr">
        <is>
          <t>Ciencias</t>
        </is>
      </c>
      <c r="D576" s="11" t="inlineStr">
        <is>
          <t>Matriz_Ciencias_9no_Grado_U1_U7.xlsx</t>
        </is>
      </c>
      <c r="E576" s="11" t="inlineStr">
        <is>
          <t>Unidad 3 - Equilibrio químico</t>
        </is>
      </c>
      <c r="F576" s="11" t="n">
        <v>20</v>
      </c>
      <c r="G576" s="11" t="inlineStr">
        <is>
          <t>3. Equilibrio químico</t>
        </is>
      </c>
      <c r="H576" s="11" t="inlineStr">
        <is>
          <t>Equilibrio ácido base</t>
        </is>
      </c>
      <c r="I576" s="38" t="inlineStr">
        <is>
          <t>3.18. Aplicación experimental del principio de Le Châtelier en el equilibrio ácido base.</t>
        </is>
      </c>
      <c r="J576" s="11" t="inlineStr">
        <is>
          <t>PISA</t>
        </is>
      </c>
      <c r="K576" s="11" t="inlineStr">
        <is>
          <t>T8_27-C2.3</t>
        </is>
      </c>
      <c r="L576" s="11" t="inlineStr">
        <is>
          <t>T8_27-C3.2</t>
        </is>
      </c>
      <c r="M576" s="11">
        <f>IF(K576="FUERA","Fuera del marco",IF(K576="N/A","Sin marco",IFERROR(INDEX('Datos - Catálogo TIMSS'!$C$5:$C$107,MATCH(K576,'Datos - Catálogo TIMSS'!$A$5:$A$107,0)),"Pendiente de clasificar")))</f>
        <v/>
      </c>
      <c r="N576" s="11">
        <f>IF(K576="FUERA","Fuera del marco",IF(K576="N/A","Sin marco",IFERROR(INDEX('Datos - Catálogo TIMSS'!$F$5:$F$107,MATCH(K576,'Datos - Catálogo TIMSS'!$A$5:$A$107,0)),"Pendiente de clasificar")))</f>
        <v/>
      </c>
      <c r="O576" s="11">
        <f>IF(L576="","",IFERROR(INDEX('Datos - Catálogo TIMSS'!$C$5:$C$107,MATCH(L576,'Datos - Catálogo TIMSS'!$A$5:$A$107,0)),"?"))</f>
        <v/>
      </c>
      <c r="P576" s="11" t="inlineStr">
        <is>
          <t>media</t>
        </is>
      </c>
      <c r="Q576" s="38" t="inlineStr">
        <is>
          <t>Le Châtelier aplicado a equilibrio ácido-base</t>
        </is>
      </c>
      <c r="R576" s="38" t="inlineStr">
        <is>
          <t>Aplicar: aplicar principios</t>
        </is>
      </c>
      <c r="S576" s="39">
        <f>IFERROR(ISNUMBER(SEARCH("Conocer",$R576))/(ISNUMBER(SEARCH("Conocer",$R576))+ISNUMBER(SEARCH("Aplicar",$R576))+ISNUMBER(SEARCH("Razonar",$R576))),0)</f>
        <v/>
      </c>
      <c r="T576" s="39">
        <f>IFERROR(ISNUMBER(SEARCH("Aplicar",$R576))/(ISNUMBER(SEARCH("Conocer",$R576))+ISNUMBER(SEARCH("Aplicar",$R576))+ISNUMBER(SEARCH("Razonar",$R576))),0)</f>
        <v/>
      </c>
      <c r="U576" s="39">
        <f>IFERROR(ISNUMBER(SEARCH("Razonar",$R576))/(ISNUMBER(SEARCH("Conocer",$R576))+ISNUMBER(SEARCH("Aplicar",$R576))+ISNUMBER(SEARCH("Razonar",$R576))),0)</f>
        <v/>
      </c>
      <c r="V576" s="11" t="inlineStr">
        <is>
          <t>9°</t>
        </is>
      </c>
      <c r="W576" s="11" t="inlineStr">
        <is>
          <t>9°</t>
        </is>
      </c>
      <c r="X576" s="11">
        <f>IF(OR(IFERROR(INDEX('Datos - Catálogo TIMSS'!$I$5:$I$107,MATCH(K576,'Datos - Catálogo TIMSS'!$A$5:$A$107,0)),"No")="Sí",IFERROR(INDEX('Datos - Catálogo TIMSS'!$I$5:$I$107,MATCH(L576,'Datos - Catálogo TIMSS'!$A$5:$A$107,0)),"No")="Sí"),1,0)</f>
        <v/>
      </c>
      <c r="Y576" s="11">
        <f>IF(IFERROR(INDEX('Datos - Catálogo TIMSS'!$J$5:$J$107,MATCH(K576,'Datos - Catálogo TIMSS'!$A$5:$A$107,0)),"No")="Sí",1,0)</f>
        <v/>
      </c>
      <c r="Z576" s="11">
        <f>IF(IFERROR(INDEX('Datos - Catálogo TIMSS'!$J$5:$J$107,MATCH(L576,'Datos - Catálogo TIMSS'!$A$5:$A$107,0)),"No")="Sí",1,0)</f>
        <v/>
      </c>
      <c r="AA576" s="11" t="inlineStr">
        <is>
          <t>T8-Q2.4</t>
        </is>
      </c>
      <c r="AB576" s="11" t="inlineStr">
        <is>
          <t>T8-Q3.2</t>
        </is>
      </c>
      <c r="AC576" s="11">
        <f>IF(AA576="FUERA","Fuera del marco",IF(AA576="N/A","Sin marco",IFERROR(INDEX('Datos - TIMSS 2023'!$C$5:$C$105,MATCH(AA576,'Datos - TIMSS 2023'!$A$5:$A$105,0)),"Pendiente de clasificar")))</f>
        <v/>
      </c>
      <c r="AD576" s="11" t="inlineStr">
        <is>
          <t>2. Construir y evaluar diseños para la indagación científica e interpretar datos y evidencia de forma crítica</t>
        </is>
      </c>
      <c r="AE576" s="11">
        <f>IF(AD576="","",IF(LEFT(AD576,1)="1","C1",IF(LEFT(AD576,1)="2","C2",IF(LEFT(AD576,1)="3","C3",""))))</f>
        <v/>
      </c>
      <c r="AF576" s="11" t="inlineStr">
        <is>
          <t>E1</t>
        </is>
      </c>
      <c r="AG576" s="11" t="inlineStr">
        <is>
          <t>E3</t>
        </is>
      </c>
      <c r="AH576" s="11" t="inlineStr">
        <is>
          <t>E1</t>
        </is>
      </c>
      <c r="AI576" s="11" t="inlineStr">
        <is>
          <t>D4</t>
        </is>
      </c>
      <c r="AJ576" s="11" t="inlineStr">
        <is>
          <t>E1</t>
        </is>
      </c>
      <c r="AK576" s="11" t="inlineStr">
        <is>
          <t>PISA-F2</t>
        </is>
      </c>
      <c r="AL576" s="11" t="n"/>
      <c r="AM576" s="11">
        <f>IF(AK576="FUERA","Fuera del marco",IFERROR(INDEX('Datos - Catálogo PISA'!$C$5:$C$76,MATCH(AK576,'Datos - Catálogo PISA'!$A$5:$A$76,0)),"?"))</f>
        <v/>
      </c>
      <c r="AN576" s="11" t="inlineStr">
        <is>
          <t>Contenido</t>
        </is>
      </c>
      <c r="AO576" s="11" t="n"/>
      <c r="AP576" s="11" t="n"/>
      <c r="AQ576" s="11" t="inlineStr">
        <is>
          <t>Sin contexto</t>
        </is>
      </c>
      <c r="AR576" s="11" t="n"/>
      <c r="AS576" s="11" t="inlineStr">
        <is>
          <t>Media</t>
        </is>
      </c>
      <c r="AT576" s="11" t="inlineStr">
        <is>
          <t>alta</t>
        </is>
      </c>
      <c r="AU576" s="11" t="inlineStr">
        <is>
          <t>Le Châtelier aplicado experimentalmente al equilibrio ácido-base.</t>
        </is>
      </c>
      <c r="AV576" s="11" t="inlineStr">
        <is>
          <t>Ciclo 7°–9°</t>
        </is>
      </c>
      <c r="AW576" s="11">
        <f>AF576&amp;"; "&amp;AG576&amp;"; "&amp;AH576&amp;"; "&amp;AI576&amp;"; "&amp;AJ576</f>
        <v/>
      </c>
    </row>
    <row r="577">
      <c r="A577" s="11" t="inlineStr">
        <is>
          <t>T1211-G09-CIE</t>
        </is>
      </c>
      <c r="B577" s="11" t="n">
        <v>9</v>
      </c>
      <c r="C577" s="11" t="inlineStr">
        <is>
          <t>Ciencias</t>
        </is>
      </c>
      <c r="D577" s="11" t="inlineStr">
        <is>
          <t>Matriz_Ciencias_9no_Grado_U1_U7.xlsx</t>
        </is>
      </c>
      <c r="E577" s="11" t="inlineStr">
        <is>
          <t>Unidad 3 - Equilibrio químico</t>
        </is>
      </c>
      <c r="F577" s="11" t="n">
        <v>21</v>
      </c>
      <c r="G577" s="11" t="inlineStr">
        <is>
          <t>3. Equilibrio químico</t>
        </is>
      </c>
      <c r="H577" s="11" t="inlineStr">
        <is>
          <t>Equilibrio ácido base</t>
        </is>
      </c>
      <c r="I577" s="38" t="inlineStr">
        <is>
          <t>3.19. Detección del punto de equivalencia a partir de un experimento de titulación ácido-base.</t>
        </is>
      </c>
      <c r="J577" s="11" t="inlineStr">
        <is>
          <t>PISA</t>
        </is>
      </c>
      <c r="K577" s="11" t="inlineStr">
        <is>
          <t>T8_27-C2.3</t>
        </is>
      </c>
      <c r="L577" s="11" t="inlineStr">
        <is>
          <t>T8_27-C4.1</t>
        </is>
      </c>
      <c r="M577" s="11">
        <f>IF(K577="FUERA","Fuera del marco",IF(K577="N/A","Sin marco",IFERROR(INDEX('Datos - Catálogo TIMSS'!$C$5:$C$107,MATCH(K577,'Datos - Catálogo TIMSS'!$A$5:$A$107,0)),"Pendiente de clasificar")))</f>
        <v/>
      </c>
      <c r="N577" s="11">
        <f>IF(K577="FUERA","Fuera del marco",IF(K577="N/A","Sin marco",IFERROR(INDEX('Datos - Catálogo TIMSS'!$F$5:$F$107,MATCH(K577,'Datos - Catálogo TIMSS'!$A$5:$A$107,0)),"Pendiente de clasificar")))</f>
        <v/>
      </c>
      <c r="O577" s="11">
        <f>IF(L577="","",IFERROR(INDEX('Datos - Catálogo TIMSS'!$C$5:$C$107,MATCH(L577,'Datos - Catálogo TIMSS'!$A$5:$A$107,0)),"?"))</f>
        <v/>
      </c>
      <c r="P577" s="11" t="inlineStr">
        <is>
          <t>alta</t>
        </is>
      </c>
      <c r="Q577" s="38" t="inlineStr">
        <is>
          <t>Titulación: neutralización, indicador y uso de equipo</t>
        </is>
      </c>
      <c r="R577" s="38" t="inlineStr">
        <is>
          <t>Aplicar: experimentar y calcular</t>
        </is>
      </c>
      <c r="S577" s="39">
        <f>IFERROR(ISNUMBER(SEARCH("Conocer",$R577))/(ISNUMBER(SEARCH("Conocer",$R577))+ISNUMBER(SEARCH("Aplicar",$R577))+ISNUMBER(SEARCH("Razonar",$R577))),0)</f>
        <v/>
      </c>
      <c r="T577" s="39">
        <f>IFERROR(ISNUMBER(SEARCH("Aplicar",$R577))/(ISNUMBER(SEARCH("Conocer",$R577))+ISNUMBER(SEARCH("Aplicar",$R577))+ISNUMBER(SEARCH("Razonar",$R577))),0)</f>
        <v/>
      </c>
      <c r="U577" s="39">
        <f>IFERROR(ISNUMBER(SEARCH("Razonar",$R577))/(ISNUMBER(SEARCH("Conocer",$R577))+ISNUMBER(SEARCH("Aplicar",$R577))+ISNUMBER(SEARCH("Razonar",$R577))),0)</f>
        <v/>
      </c>
      <c r="V577" s="11" t="inlineStr">
        <is>
          <t>9°</t>
        </is>
      </c>
      <c r="W577" s="11" t="inlineStr">
        <is>
          <t>9°</t>
        </is>
      </c>
      <c r="X577" s="11">
        <f>IF(OR(IFERROR(INDEX('Datos - Catálogo TIMSS'!$I$5:$I$107,MATCH(K577,'Datos - Catálogo TIMSS'!$A$5:$A$107,0)),"No")="Sí",IFERROR(INDEX('Datos - Catálogo TIMSS'!$I$5:$I$107,MATCH(L577,'Datos - Catálogo TIMSS'!$A$5:$A$107,0)),"No")="Sí"),1,0)</f>
        <v/>
      </c>
      <c r="Y577" s="11">
        <f>IF(IFERROR(INDEX('Datos - Catálogo TIMSS'!$J$5:$J$107,MATCH(K577,'Datos - Catálogo TIMSS'!$A$5:$A$107,0)),"No")="Sí",1,0)</f>
        <v/>
      </c>
      <c r="Z577" s="11">
        <f>IF(IFERROR(INDEX('Datos - Catálogo TIMSS'!$J$5:$J$107,MATCH(L577,'Datos - Catálogo TIMSS'!$A$5:$A$107,0)),"No")="Sí",1,0)</f>
        <v/>
      </c>
      <c r="AA577" s="11" t="inlineStr">
        <is>
          <t>T8-Q2.4</t>
        </is>
      </c>
      <c r="AB577" s="11" t="inlineStr"/>
      <c r="AC577" s="11">
        <f>IF(AA577="FUERA","Fuera del marco",IF(AA577="N/A","Sin marco",IFERROR(INDEX('Datos - TIMSS 2023'!$C$5:$C$105,MATCH(AA577,'Datos - TIMSS 2023'!$A$5:$A$105,0)),"Pendiente de clasificar")))</f>
        <v/>
      </c>
      <c r="AD577" s="11" t="inlineStr">
        <is>
          <t>2. Construir y evaluar diseños para la indagación científica e interpretar datos y evidencia de forma crítica</t>
        </is>
      </c>
      <c r="AE577" s="11">
        <f>IF(AD577="","",IF(LEFT(AD577,1)="1","C1",IF(LEFT(AD577,1)="2","C2",IF(LEFT(AD577,1)="3","C3",""))))</f>
        <v/>
      </c>
      <c r="AF577" s="11" t="inlineStr">
        <is>
          <t>E1</t>
        </is>
      </c>
      <c r="AG577" s="11" t="inlineStr">
        <is>
          <t>D1</t>
        </is>
      </c>
      <c r="AH577" s="11" t="inlineStr">
        <is>
          <t>E1</t>
        </is>
      </c>
      <c r="AI577" s="11" t="inlineStr">
        <is>
          <t>D4</t>
        </is>
      </c>
      <c r="AJ577" s="11" t="inlineStr">
        <is>
          <t>E3</t>
        </is>
      </c>
      <c r="AK577" s="11" t="inlineStr">
        <is>
          <t>PISA-F2</t>
        </is>
      </c>
      <c r="AL577" s="11" t="n"/>
      <c r="AM577" s="11">
        <f>IF(AK577="FUERA","Fuera del marco",IFERROR(INDEX('Datos - Catálogo PISA'!$C$5:$C$76,MATCH(AK577,'Datos - Catálogo PISA'!$A$5:$A$76,0)),"?"))</f>
        <v/>
      </c>
      <c r="AN577" s="11" t="inlineStr">
        <is>
          <t>Contenido</t>
        </is>
      </c>
      <c r="AO577" s="11" t="inlineStr">
        <is>
          <t>PISA-PR5;</t>
        </is>
      </c>
      <c r="AP577" s="11" t="n"/>
      <c r="AQ577" s="11" t="inlineStr">
        <is>
          <t>Sin contexto</t>
        </is>
      </c>
      <c r="AR577" s="11" t="n"/>
      <c r="AS577" s="11" t="inlineStr">
        <is>
          <t>Media</t>
        </is>
      </c>
      <c r="AT577" s="11" t="inlineStr">
        <is>
          <t>alta</t>
        </is>
      </c>
      <c r="AU577" s="11" t="inlineStr">
        <is>
          <t>Titulación ácido-base y punto de equivalencia en curva.</t>
        </is>
      </c>
      <c r="AV577" s="11" t="inlineStr">
        <is>
          <t>Ciclo 7°–9°</t>
        </is>
      </c>
      <c r="AW577" s="11">
        <f>AF577&amp;"; "&amp;AG577&amp;"; "&amp;AH577&amp;"; "&amp;AI577&amp;"; "&amp;AJ577</f>
        <v/>
      </c>
    </row>
    <row r="578">
      <c r="A578" s="11" t="inlineStr">
        <is>
          <t>T1212-G09-CIE</t>
        </is>
      </c>
      <c r="B578" s="11" t="n">
        <v>9</v>
      </c>
      <c r="C578" s="11" t="inlineStr">
        <is>
          <t>Ciencias</t>
        </is>
      </c>
      <c r="D578" s="11" t="inlineStr">
        <is>
          <t>Matriz_Ciencias_9no_Grado_U1_U7.xlsx</t>
        </is>
      </c>
      <c r="E578" s="11" t="inlineStr">
        <is>
          <t>Unidad 3 - Equilibrio químico</t>
        </is>
      </c>
      <c r="F578" s="11" t="n">
        <v>22</v>
      </c>
      <c r="G578" s="11" t="inlineStr">
        <is>
          <t>3. Equilibrio químico</t>
        </is>
      </c>
      <c r="H578" s="11" t="inlineStr">
        <is>
          <t>Equilibrio ácido base</t>
        </is>
      </c>
      <c r="I578" s="38" t="inlineStr">
        <is>
          <t>3.20. Reconocimiento de las medidas para el manejo y tratamiento de ácidos y bases en función de sus propiedades.</t>
        </is>
      </c>
      <c r="J578" s="11" t="inlineStr">
        <is>
          <t>PISA</t>
        </is>
      </c>
      <c r="K578" s="11" t="inlineStr">
        <is>
          <t>T8_27-C2.3</t>
        </is>
      </c>
      <c r="L578" s="11" t="inlineStr">
        <is>
          <t>T8_27-C4.1</t>
        </is>
      </c>
      <c r="M578" s="11">
        <f>IF(K578="FUERA","Fuera del marco",IF(K578="N/A","Sin marco",IFERROR(INDEX('Datos - Catálogo TIMSS'!$C$5:$C$107,MATCH(K578,'Datos - Catálogo TIMSS'!$A$5:$A$107,0)),"Pendiente de clasificar")))</f>
        <v/>
      </c>
      <c r="N578" s="11">
        <f>IF(K578="FUERA","Fuera del marco",IF(K578="N/A","Sin marco",IFERROR(INDEX('Datos - Catálogo TIMSS'!$F$5:$F$107,MATCH(K578,'Datos - Catálogo TIMSS'!$A$5:$A$107,0)),"Pendiente de clasificar")))</f>
        <v/>
      </c>
      <c r="O578" s="11">
        <f>IF(L578="","",IFERROR(INDEX('Datos - Catálogo TIMSS'!$C$5:$C$107,MATCH(L578,'Datos - Catálogo TIMSS'!$A$5:$A$107,0)),"?"))</f>
        <v/>
      </c>
      <c r="P578" s="11" t="inlineStr">
        <is>
          <t>media</t>
        </is>
      </c>
      <c r="Q578" s="38" t="inlineStr">
        <is>
          <t>Manejo seguro de ácidos y bases según sus propiedades</t>
        </is>
      </c>
      <c r="R578" s="38" t="inlineStr">
        <is>
          <t>Razonar: evaluar información</t>
        </is>
      </c>
      <c r="S578" s="39">
        <f>IFERROR(ISNUMBER(SEARCH("Conocer",$R578))/(ISNUMBER(SEARCH("Conocer",$R578))+ISNUMBER(SEARCH("Aplicar",$R578))+ISNUMBER(SEARCH("Razonar",$R578))),0)</f>
        <v/>
      </c>
      <c r="T578" s="39">
        <f>IFERROR(ISNUMBER(SEARCH("Aplicar",$R578))/(ISNUMBER(SEARCH("Conocer",$R578))+ISNUMBER(SEARCH("Aplicar",$R578))+ISNUMBER(SEARCH("Razonar",$R578))),0)</f>
        <v/>
      </c>
      <c r="U578" s="39">
        <f>IFERROR(ISNUMBER(SEARCH("Razonar",$R578))/(ISNUMBER(SEARCH("Conocer",$R578))+ISNUMBER(SEARCH("Aplicar",$R578))+ISNUMBER(SEARCH("Razonar",$R578))),0)</f>
        <v/>
      </c>
      <c r="V578" s="11" t="inlineStr">
        <is>
          <t>9°</t>
        </is>
      </c>
      <c r="W578" s="11" t="inlineStr">
        <is>
          <t>9°</t>
        </is>
      </c>
      <c r="X578" s="11">
        <f>IF(OR(IFERROR(INDEX('Datos - Catálogo TIMSS'!$I$5:$I$107,MATCH(K578,'Datos - Catálogo TIMSS'!$A$5:$A$107,0)),"No")="Sí",IFERROR(INDEX('Datos - Catálogo TIMSS'!$I$5:$I$107,MATCH(L578,'Datos - Catálogo TIMSS'!$A$5:$A$107,0)),"No")="Sí"),1,0)</f>
        <v/>
      </c>
      <c r="Y578" s="11">
        <f>IF(IFERROR(INDEX('Datos - Catálogo TIMSS'!$J$5:$J$107,MATCH(K578,'Datos - Catálogo TIMSS'!$A$5:$A$107,0)),"No")="Sí",1,0)</f>
        <v/>
      </c>
      <c r="Z578" s="11">
        <f>IF(IFERROR(INDEX('Datos - Catálogo TIMSS'!$J$5:$J$107,MATCH(L578,'Datos - Catálogo TIMSS'!$A$5:$A$107,0)),"No")="Sí",1,0)</f>
        <v/>
      </c>
      <c r="AA578" s="11" t="inlineStr">
        <is>
          <t>T8-Q2.4</t>
        </is>
      </c>
      <c r="AB578" s="11" t="inlineStr">
        <is>
          <t>T8-Q2.1</t>
        </is>
      </c>
      <c r="AC578" s="11">
        <f>IF(AA578="FUERA","Fuera del marco",IF(AA578="N/A","Sin marco",IFERROR(INDEX('Datos - TIMSS 2023'!$C$5:$C$105,MATCH(AA578,'Datos - TIMSS 2023'!$A$5:$A$105,0)),"Pendiente de clasificar")))</f>
        <v/>
      </c>
      <c r="AD578" s="11" t="inlineStr">
        <is>
          <t>3. Investigar, evaluar y usar información científica para tomar decisiones y actuar</t>
        </is>
      </c>
      <c r="AE578" s="11">
        <f>IF(AD578="","",IF(LEFT(AD578,1)="1","C1",IF(LEFT(AD578,1)="2","C2",IF(LEFT(AD578,1)="3","C3",""))))</f>
        <v/>
      </c>
      <c r="AF578" s="11" t="inlineStr">
        <is>
          <t>E1</t>
        </is>
      </c>
      <c r="AG578" s="11" t="inlineStr">
        <is>
          <t>D1</t>
        </is>
      </c>
      <c r="AH578" s="11" t="inlineStr">
        <is>
          <t>E1</t>
        </is>
      </c>
      <c r="AI578" s="11" t="inlineStr">
        <is>
          <t>I1</t>
        </is>
      </c>
      <c r="AJ578" s="11" t="inlineStr">
        <is>
          <t>I5</t>
        </is>
      </c>
      <c r="AK578" s="11" t="inlineStr">
        <is>
          <t>PISA-F2</t>
        </is>
      </c>
      <c r="AL578" s="11" t="n"/>
      <c r="AM578" s="11">
        <f>IF(AK578="FUERA","Fuera del marco",IFERROR(INDEX('Datos - Catálogo PISA'!$C$5:$C$76,MATCH(AK578,'Datos - Catálogo PISA'!$A$5:$A$76,0)),"?"))</f>
        <v/>
      </c>
      <c r="AN578" s="11" t="inlineStr">
        <is>
          <t>Contenido</t>
        </is>
      </c>
      <c r="AO578" s="11" t="n"/>
      <c r="AP578" s="11" t="n"/>
      <c r="AQ578" s="11" t="inlineStr">
        <is>
          <t>Personal</t>
        </is>
      </c>
      <c r="AR578" s="11" t="inlineStr">
        <is>
          <t>Riesgos</t>
        </is>
      </c>
      <c r="AS578" s="11" t="inlineStr">
        <is>
          <t>Media</t>
        </is>
      </c>
      <c r="AT578" s="11" t="inlineStr">
        <is>
          <t>alta</t>
        </is>
      </c>
      <c r="AU578" s="11" t="inlineStr">
        <is>
          <t>Manejo seguro de ácidos y bases según sus propiedades.</t>
        </is>
      </c>
      <c r="AV578" s="11" t="inlineStr">
        <is>
          <t>Ciclo 7°–9°</t>
        </is>
      </c>
      <c r="AW578" s="11">
        <f>AF578&amp;"; "&amp;AG578&amp;"; "&amp;AH578&amp;"; "&amp;AI578&amp;"; "&amp;AJ578</f>
        <v/>
      </c>
    </row>
    <row r="579">
      <c r="A579" s="11" t="inlineStr">
        <is>
          <t>T1213-G09-CIE</t>
        </is>
      </c>
      <c r="B579" s="11" t="n">
        <v>9</v>
      </c>
      <c r="C579" s="11" t="inlineStr">
        <is>
          <t>Ciencias</t>
        </is>
      </c>
      <c r="D579" s="11" t="inlineStr">
        <is>
          <t>Matriz_Ciencias_9no_Grado_U1_U7.xlsx</t>
        </is>
      </c>
      <c r="E579" s="11" t="inlineStr">
        <is>
          <t>Unidad 4 - Oceanografía</t>
        </is>
      </c>
      <c r="F579" s="11" t="n">
        <v>3</v>
      </c>
      <c r="G579" s="11" t="inlineStr">
        <is>
          <t>4. Oceanografía</t>
        </is>
      </c>
      <c r="H579" s="11" t="inlineStr">
        <is>
          <t>Introducción al estudio de mares y océanos</t>
        </is>
      </c>
      <c r="I579" s="38" t="inlineStr">
        <is>
          <t>4.1. Indagación de la importancia de los mares y los océanos para la sociedad y la naturaleza.</t>
        </is>
      </c>
      <c r="J579" s="11" t="inlineStr">
        <is>
          <t>PISA</t>
        </is>
      </c>
      <c r="K579" s="11" t="inlineStr">
        <is>
          <t>T8_27-E3.2</t>
        </is>
      </c>
      <c r="L579" s="11" t="inlineStr"/>
      <c r="M579" s="11">
        <f>IF(K579="FUERA","Fuera del marco",IF(K579="N/A","Sin marco",IFERROR(INDEX('Datos - Catálogo TIMSS'!$C$5:$C$107,MATCH(K579,'Datos - Catálogo TIMSS'!$A$5:$A$107,0)),"Pendiente de clasificar")))</f>
        <v/>
      </c>
      <c r="N579" s="11">
        <f>IF(K579="FUERA","Fuera del marco",IF(K579="N/A","Sin marco",IFERROR(INDEX('Datos - Catálogo TIMSS'!$F$5:$F$107,MATCH(K579,'Datos - Catálogo TIMSS'!$A$5:$A$107,0)),"Pendiente de clasificar")))</f>
        <v/>
      </c>
      <c r="O579" s="11">
        <f>IF(L579="","",IFERROR(INDEX('Datos - Catálogo TIMSS'!$C$5:$C$107,MATCH(L579,'Datos - Catálogo TIMSS'!$A$5:$A$107,0)),"?"))</f>
        <v/>
      </c>
      <c r="P579" s="11" t="inlineStr">
        <is>
          <t>media</t>
        </is>
      </c>
      <c r="Q579" s="38" t="inlineStr">
        <is>
          <t>Océanos como recurso para sociedad y naturaleza</t>
        </is>
      </c>
      <c r="R579" s="38" t="inlineStr">
        <is>
          <t>Conocer: explicar</t>
        </is>
      </c>
      <c r="S579" s="39">
        <f>IFERROR(ISNUMBER(SEARCH("Conocer",$R579))/(ISNUMBER(SEARCH("Conocer",$R579))+ISNUMBER(SEARCH("Aplicar",$R579))+ISNUMBER(SEARCH("Razonar",$R579))),0)</f>
        <v/>
      </c>
      <c r="T579" s="39">
        <f>IFERROR(ISNUMBER(SEARCH("Aplicar",$R579))/(ISNUMBER(SEARCH("Conocer",$R579))+ISNUMBER(SEARCH("Aplicar",$R579))+ISNUMBER(SEARCH("Razonar",$R579))),0)</f>
        <v/>
      </c>
      <c r="U579" s="39">
        <f>IFERROR(ISNUMBER(SEARCH("Razonar",$R579))/(ISNUMBER(SEARCH("Conocer",$R579))+ISNUMBER(SEARCH("Aplicar",$R579))+ISNUMBER(SEARCH("Razonar",$R579))),0)</f>
        <v/>
      </c>
      <c r="V579" s="11" t="inlineStr">
        <is>
          <t>9°</t>
        </is>
      </c>
      <c r="W579" s="11" t="inlineStr">
        <is>
          <t>9°</t>
        </is>
      </c>
      <c r="X579" s="11">
        <f>IF(OR(IFERROR(INDEX('Datos - Catálogo TIMSS'!$I$5:$I$107,MATCH(K579,'Datos - Catálogo TIMSS'!$A$5:$A$107,0)),"No")="Sí",IFERROR(INDEX('Datos - Catálogo TIMSS'!$I$5:$I$107,MATCH(L579,'Datos - Catálogo TIMSS'!$A$5:$A$107,0)),"No")="Sí"),1,0)</f>
        <v/>
      </c>
      <c r="Y579" s="11">
        <f>IF(IFERROR(INDEX('Datos - Catálogo TIMSS'!$J$5:$J$107,MATCH(K579,'Datos - Catálogo TIMSS'!$A$5:$A$107,0)),"No")="Sí",1,0)</f>
        <v/>
      </c>
      <c r="Z579" s="11">
        <f>IF(IFERROR(INDEX('Datos - Catálogo TIMSS'!$J$5:$J$107,MATCH(L579,'Datos - Catálogo TIMSS'!$A$5:$A$107,0)),"No")="Sí",1,0)</f>
        <v/>
      </c>
      <c r="AA579" s="11" t="inlineStr">
        <is>
          <t>T8-T3.1</t>
        </is>
      </c>
      <c r="AB579" s="11" t="inlineStr"/>
      <c r="AC579" s="11">
        <f>IF(AA579="FUERA","Fuera del marco",IF(AA579="N/A","Sin marco",IFERROR(INDEX('Datos - TIMSS 2023'!$C$5:$C$105,MATCH(AA579,'Datos - TIMSS 2023'!$A$5:$A$105,0)),"Pendiente de clasificar")))</f>
        <v/>
      </c>
      <c r="AD579" s="11" t="inlineStr">
        <is>
          <t>3. Investigar, evaluar y usar información científica para tomar decisiones y actuar</t>
        </is>
      </c>
      <c r="AE579" s="11">
        <f>IF(AD579="","",IF(LEFT(AD579,1)="1","C1",IF(LEFT(AD579,1)="2","C2",IF(LEFT(AD579,1)="3","C3",""))))</f>
        <v/>
      </c>
      <c r="AF579" s="11" t="inlineStr">
        <is>
          <t>E6</t>
        </is>
      </c>
      <c r="AG579" s="11" t="inlineStr">
        <is>
          <t>D1</t>
        </is>
      </c>
      <c r="AH579" s="11" t="inlineStr">
        <is>
          <t>E1</t>
        </is>
      </c>
      <c r="AI579" s="11" t="inlineStr">
        <is>
          <t>I1</t>
        </is>
      </c>
      <c r="AJ579" s="11" t="inlineStr">
        <is>
          <t>I5</t>
        </is>
      </c>
      <c r="AK579" s="11" t="inlineStr">
        <is>
          <t>PISA-T1</t>
        </is>
      </c>
      <c r="AL579" s="11" t="inlineStr">
        <is>
          <t>PISA-V8</t>
        </is>
      </c>
      <c r="AM579" s="11">
        <f>IF(AK579="FUERA","Fuera del marco",IFERROR(INDEX('Datos - Catálogo PISA'!$C$5:$C$76,MATCH(AK579,'Datos - Catálogo PISA'!$A$5:$A$76,0)),"?"))</f>
        <v/>
      </c>
      <c r="AN579" s="11" t="inlineStr">
        <is>
          <t>Contenido</t>
        </is>
      </c>
      <c r="AO579" s="11" t="n"/>
      <c r="AP579" s="11" t="n"/>
      <c r="AQ579" s="11" t="inlineStr">
        <is>
          <t>Global</t>
        </is>
      </c>
      <c r="AR579" s="11" t="inlineStr">
        <is>
          <t>Recursos naturales</t>
        </is>
      </c>
      <c r="AS579" s="11" t="inlineStr">
        <is>
          <t>Media</t>
        </is>
      </c>
      <c r="AT579" s="11" t="inlineStr">
        <is>
          <t>media</t>
        </is>
      </c>
      <c r="AU579" s="11" t="inlineStr">
        <is>
          <t>Importancia del océano para sociedad y naturaleza.</t>
        </is>
      </c>
      <c r="AV579" s="11" t="inlineStr">
        <is>
          <t>Ciclo 7°–9°</t>
        </is>
      </c>
      <c r="AW579" s="11">
        <f>AF579&amp;"; "&amp;AG579&amp;"; "&amp;AH579&amp;"; "&amp;AI579&amp;"; "&amp;AJ579</f>
        <v/>
      </c>
    </row>
    <row r="580">
      <c r="A580" s="11" t="inlineStr">
        <is>
          <t>T1214-G09-CIE</t>
        </is>
      </c>
      <c r="B580" s="11" t="n">
        <v>9</v>
      </c>
      <c r="C580" s="11" t="inlineStr">
        <is>
          <t>Ciencias</t>
        </is>
      </c>
      <c r="D580" s="11" t="inlineStr">
        <is>
          <t>Matriz_Ciencias_9no_Grado_U1_U7.xlsx</t>
        </is>
      </c>
      <c r="E580" s="11" t="inlineStr">
        <is>
          <t>Unidad 4 - Oceanografía</t>
        </is>
      </c>
      <c r="F580" s="11" t="n">
        <v>4</v>
      </c>
      <c r="G580" s="11" t="inlineStr">
        <is>
          <t>4. Oceanografía</t>
        </is>
      </c>
      <c r="H580" s="11" t="inlineStr">
        <is>
          <t>Introducción al estudio de mares y océanos</t>
        </is>
      </c>
      <c r="I580" s="38" t="inlineStr">
        <is>
          <t>4.2. Exploración de las características y las propiedades físicas y químicas de los océanos.</t>
        </is>
      </c>
      <c r="J580" s="11" t="inlineStr">
        <is>
          <t>PISA</t>
        </is>
      </c>
      <c r="K580" s="11" t="inlineStr">
        <is>
          <t>T8_27-E1.1</t>
        </is>
      </c>
      <c r="L580" s="11" t="inlineStr"/>
      <c r="M580" s="11">
        <f>IF(K580="FUERA","Fuera del marco",IF(K580="N/A","Sin marco",IFERROR(INDEX('Datos - Catálogo TIMSS'!$C$5:$C$107,MATCH(K580,'Datos - Catálogo TIMSS'!$A$5:$A$107,0)),"Pendiente de clasificar")))</f>
        <v/>
      </c>
      <c r="N580" s="11">
        <f>IF(K580="FUERA","Fuera del marco",IF(K580="N/A","Sin marco",IFERROR(INDEX('Datos - Catálogo TIMSS'!$F$5:$F$107,MATCH(K580,'Datos - Catálogo TIMSS'!$A$5:$A$107,0)),"Pendiente de clasificar")))</f>
        <v/>
      </c>
      <c r="O580" s="11">
        <f>IF(L580="","",IFERROR(INDEX('Datos - Catálogo TIMSS'!$C$5:$C$107,MATCH(L580,'Datos - Catálogo TIMSS'!$A$5:$A$107,0)),"?"))</f>
        <v/>
      </c>
      <c r="P580" s="11" t="inlineStr">
        <is>
          <t>media</t>
        </is>
      </c>
      <c r="Q580" s="38" t="inlineStr">
        <is>
          <t>Propiedades del agua oceánica: salada, distribución</t>
        </is>
      </c>
      <c r="R580" s="38" t="inlineStr">
        <is>
          <t>Aplicar: comparar</t>
        </is>
      </c>
      <c r="S580" s="39">
        <f>IFERROR(ISNUMBER(SEARCH("Conocer",$R580))/(ISNUMBER(SEARCH("Conocer",$R580))+ISNUMBER(SEARCH("Aplicar",$R580))+ISNUMBER(SEARCH("Razonar",$R580))),0)</f>
        <v/>
      </c>
      <c r="T580" s="39">
        <f>IFERROR(ISNUMBER(SEARCH("Aplicar",$R580))/(ISNUMBER(SEARCH("Conocer",$R580))+ISNUMBER(SEARCH("Aplicar",$R580))+ISNUMBER(SEARCH("Razonar",$R580))),0)</f>
        <v/>
      </c>
      <c r="U580" s="39">
        <f>IFERROR(ISNUMBER(SEARCH("Razonar",$R580))/(ISNUMBER(SEARCH("Conocer",$R580))+ISNUMBER(SEARCH("Aplicar",$R580))+ISNUMBER(SEARCH("Razonar",$R580))),0)</f>
        <v/>
      </c>
      <c r="V580" s="11" t="inlineStr">
        <is>
          <t>9°</t>
        </is>
      </c>
      <c r="W580" s="11" t="inlineStr">
        <is>
          <t>9°</t>
        </is>
      </c>
      <c r="X580" s="11">
        <f>IF(OR(IFERROR(INDEX('Datos - Catálogo TIMSS'!$I$5:$I$107,MATCH(K580,'Datos - Catálogo TIMSS'!$A$5:$A$107,0)),"No")="Sí",IFERROR(INDEX('Datos - Catálogo TIMSS'!$I$5:$I$107,MATCH(L580,'Datos - Catálogo TIMSS'!$A$5:$A$107,0)),"No")="Sí"),1,0)</f>
        <v/>
      </c>
      <c r="Y580" s="11">
        <f>IF(IFERROR(INDEX('Datos - Catálogo TIMSS'!$J$5:$J$107,MATCH(K580,'Datos - Catálogo TIMSS'!$A$5:$A$107,0)),"No")="Sí",1,0)</f>
        <v/>
      </c>
      <c r="Z580" s="11">
        <f>IF(IFERROR(INDEX('Datos - Catálogo TIMSS'!$J$5:$J$107,MATCH(L580,'Datos - Catálogo TIMSS'!$A$5:$A$107,0)),"No")="Sí",1,0)</f>
        <v/>
      </c>
      <c r="AA580" s="11" t="inlineStr">
        <is>
          <t>T8-T1.1</t>
        </is>
      </c>
      <c r="AB580" s="11" t="inlineStr"/>
      <c r="AC580" s="11">
        <f>IF(AA580="FUERA","Fuera del marco",IF(AA580="N/A","Sin marco",IFERROR(INDEX('Datos - TIMSS 2023'!$C$5:$C$105,MATCH(AA580,'Datos - TIMSS 2023'!$A$5:$A$105,0)),"Pendiente de clasificar")))</f>
        <v/>
      </c>
      <c r="AD580" s="11" t="inlineStr">
        <is>
          <t>2. Construir y evaluar diseños para la indagación científica e interpretar datos y evidencia de forma crítica</t>
        </is>
      </c>
      <c r="AE580" s="11">
        <f>IF(AD580="","",IF(LEFT(AD580,1)="1","C1",IF(LEFT(AD580,1)="2","C2",IF(LEFT(AD580,1)="3","C3",""))))</f>
        <v/>
      </c>
      <c r="AF580" s="11" t="inlineStr">
        <is>
          <t>E1</t>
        </is>
      </c>
      <c r="AG580" s="11" t="inlineStr">
        <is>
          <t>D1</t>
        </is>
      </c>
      <c r="AH580" s="11" t="inlineStr">
        <is>
          <t>E1</t>
        </is>
      </c>
      <c r="AI580" s="11" t="inlineStr">
        <is>
          <t>D4</t>
        </is>
      </c>
      <c r="AJ580" s="11" t="inlineStr">
        <is>
          <t>E1</t>
        </is>
      </c>
      <c r="AK580" s="11" t="inlineStr">
        <is>
          <t>PISA-T1</t>
        </is>
      </c>
      <c r="AL580" s="11" t="inlineStr">
        <is>
          <t>PISA-F1</t>
        </is>
      </c>
      <c r="AM580" s="11">
        <f>IF(AK580="FUERA","Fuera del marco",IFERROR(INDEX('Datos - Catálogo PISA'!$C$5:$C$76,MATCH(AK580,'Datos - Catálogo PISA'!$A$5:$A$76,0)),"?"))</f>
        <v/>
      </c>
      <c r="AN580" s="11" t="inlineStr">
        <is>
          <t>Contenido</t>
        </is>
      </c>
      <c r="AO580" s="11" t="n"/>
      <c r="AP580" s="11" t="n"/>
      <c r="AQ580" s="11" t="inlineStr">
        <is>
          <t>Sin contexto</t>
        </is>
      </c>
      <c r="AR580" s="11" t="n"/>
      <c r="AS580" s="11" t="inlineStr">
        <is>
          <t>Baja</t>
        </is>
      </c>
      <c r="AT580" s="11" t="inlineStr">
        <is>
          <t>alta</t>
        </is>
      </c>
      <c r="AU580" s="11" t="inlineStr">
        <is>
          <t>Propiedades físicas y químicas del agua oceánica.</t>
        </is>
      </c>
      <c r="AV580" s="11" t="inlineStr">
        <is>
          <t>Ciclo 7°–9°</t>
        </is>
      </c>
      <c r="AW580" s="11">
        <f>AF580&amp;"; "&amp;AG580&amp;"; "&amp;AH580&amp;"; "&amp;AI580&amp;"; "&amp;AJ580</f>
        <v/>
      </c>
    </row>
    <row r="581">
      <c r="A581" s="11" t="inlineStr">
        <is>
          <t>T1215-G09-CIE</t>
        </is>
      </c>
      <c r="B581" s="11" t="n">
        <v>9</v>
      </c>
      <c r="C581" s="11" t="inlineStr">
        <is>
          <t>Ciencias</t>
        </is>
      </c>
      <c r="D581" s="11" t="inlineStr">
        <is>
          <t>Matriz_Ciencias_9no_Grado_U1_U7.xlsx</t>
        </is>
      </c>
      <c r="E581" s="11" t="inlineStr">
        <is>
          <t>Unidad 4 - Oceanografía</t>
        </is>
      </c>
      <c r="F581" s="11" t="n">
        <v>5</v>
      </c>
      <c r="G581" s="11" t="inlineStr">
        <is>
          <t>4. Oceanografía</t>
        </is>
      </c>
      <c r="H581" s="11" t="inlineStr">
        <is>
          <t>Introducción al estudio de mares y océanos</t>
        </is>
      </c>
      <c r="I581" s="38" t="inlineStr">
        <is>
          <t>4.3. Descripción de la topografía y la zonificación del ambiente marino.</t>
        </is>
      </c>
      <c r="J581" s="11" t="inlineStr">
        <is>
          <t>PISA</t>
        </is>
      </c>
      <c r="K581" s="11" t="inlineStr">
        <is>
          <t>T8_27-E1.1</t>
        </is>
      </c>
      <c r="L581" s="11" t="inlineStr"/>
      <c r="M581" s="11">
        <f>IF(K581="FUERA","Fuera del marco",IF(K581="N/A","Sin marco",IFERROR(INDEX('Datos - Catálogo TIMSS'!$C$5:$C$107,MATCH(K581,'Datos - Catálogo TIMSS'!$A$5:$A$107,0)),"Pendiente de clasificar")))</f>
        <v/>
      </c>
      <c r="N581" s="11">
        <f>IF(K581="FUERA","Fuera del marco",IF(K581="N/A","Sin marco",IFERROR(INDEX('Datos - Catálogo TIMSS'!$F$5:$F$107,MATCH(K581,'Datos - Catálogo TIMSS'!$A$5:$A$107,0)),"Pendiente de clasificar")))</f>
        <v/>
      </c>
      <c r="O581" s="11">
        <f>IF(L581="","",IFERROR(INDEX('Datos - Catálogo TIMSS'!$C$5:$C$107,MATCH(L581,'Datos - Catálogo TIMSS'!$A$5:$A$107,0)),"?"))</f>
        <v/>
      </c>
      <c r="P581" s="11" t="inlineStr">
        <is>
          <t>baja</t>
        </is>
      </c>
      <c r="Q581" s="38" t="inlineStr">
        <is>
          <t>Topografía y zonas marinas; encaje débil con estructura terrestre</t>
        </is>
      </c>
      <c r="R581" s="38" t="inlineStr">
        <is>
          <t>Aplicar: representar</t>
        </is>
      </c>
      <c r="S581" s="39">
        <f>IFERROR(ISNUMBER(SEARCH("Conocer",$R581))/(ISNUMBER(SEARCH("Conocer",$R581))+ISNUMBER(SEARCH("Aplicar",$R581))+ISNUMBER(SEARCH("Razonar",$R581))),0)</f>
        <v/>
      </c>
      <c r="T581" s="39">
        <f>IFERROR(ISNUMBER(SEARCH("Aplicar",$R581))/(ISNUMBER(SEARCH("Conocer",$R581))+ISNUMBER(SEARCH("Aplicar",$R581))+ISNUMBER(SEARCH("Razonar",$R581))),0)</f>
        <v/>
      </c>
      <c r="U581" s="39">
        <f>IFERROR(ISNUMBER(SEARCH("Razonar",$R581))/(ISNUMBER(SEARCH("Conocer",$R581))+ISNUMBER(SEARCH("Aplicar",$R581))+ISNUMBER(SEARCH("Razonar",$R581))),0)</f>
        <v/>
      </c>
      <c r="V581" s="11" t="inlineStr">
        <is>
          <t>9°</t>
        </is>
      </c>
      <c r="W581" s="11" t="inlineStr">
        <is>
          <t>9°</t>
        </is>
      </c>
      <c r="X581" s="11">
        <f>IF(OR(IFERROR(INDEX('Datos - Catálogo TIMSS'!$I$5:$I$107,MATCH(K581,'Datos - Catálogo TIMSS'!$A$5:$A$107,0)),"No")="Sí",IFERROR(INDEX('Datos - Catálogo TIMSS'!$I$5:$I$107,MATCH(L581,'Datos - Catálogo TIMSS'!$A$5:$A$107,0)),"No")="Sí"),1,0)</f>
        <v/>
      </c>
      <c r="Y581" s="11">
        <f>IF(IFERROR(INDEX('Datos - Catálogo TIMSS'!$J$5:$J$107,MATCH(K581,'Datos - Catálogo TIMSS'!$A$5:$A$107,0)),"No")="Sí",1,0)</f>
        <v/>
      </c>
      <c r="Z581" s="11">
        <f>IF(IFERROR(INDEX('Datos - Catálogo TIMSS'!$J$5:$J$107,MATCH(L581,'Datos - Catálogo TIMSS'!$A$5:$A$107,0)),"No")="Sí",1,0)</f>
        <v/>
      </c>
      <c r="AA581" s="11" t="inlineStr">
        <is>
          <t>T8-T1.1</t>
        </is>
      </c>
      <c r="AB581" s="11" t="inlineStr"/>
      <c r="AC581" s="11">
        <f>IF(AA581="FUERA","Fuera del marco",IF(AA581="N/A","Sin marco",IFERROR(INDEX('Datos - TIMSS 2023'!$C$5:$C$105,MATCH(AA581,'Datos - TIMSS 2023'!$A$5:$A$105,0)),"Pendiente de clasificar")))</f>
        <v/>
      </c>
      <c r="AD581" s="11" t="inlineStr">
        <is>
          <t>1. Explicar fenómenos científicamente</t>
        </is>
      </c>
      <c r="AE581" s="11">
        <f>IF(AD581="","",IF(LEFT(AD581,1)="1","C1",IF(LEFT(AD581,1)="2","C2",IF(LEFT(AD581,1)="3","C3",""))))</f>
        <v/>
      </c>
      <c r="AF581" s="11" t="inlineStr">
        <is>
          <t>E1</t>
        </is>
      </c>
      <c r="AG581" s="11" t="inlineStr">
        <is>
          <t>D1</t>
        </is>
      </c>
      <c r="AH581" s="11" t="inlineStr">
        <is>
          <t>E2</t>
        </is>
      </c>
      <c r="AI581" s="11" t="inlineStr">
        <is>
          <t>D4</t>
        </is>
      </c>
      <c r="AJ581" s="11" t="inlineStr">
        <is>
          <t>E1</t>
        </is>
      </c>
      <c r="AK581" s="11" t="inlineStr">
        <is>
          <t>PISA-T1</t>
        </is>
      </c>
      <c r="AL581" s="11" t="n"/>
      <c r="AM581" s="11">
        <f>IF(AK581="FUERA","Fuera del marco",IFERROR(INDEX('Datos - Catálogo PISA'!$C$5:$C$76,MATCH(AK581,'Datos - Catálogo PISA'!$A$5:$A$76,0)),"?"))</f>
        <v/>
      </c>
      <c r="AN581" s="11" t="inlineStr">
        <is>
          <t>Contenido</t>
        </is>
      </c>
      <c r="AO581" s="11" t="n"/>
      <c r="AP581" s="11" t="n"/>
      <c r="AQ581" s="11" t="inlineStr">
        <is>
          <t>Sin contexto</t>
        </is>
      </c>
      <c r="AR581" s="11" t="n"/>
      <c r="AS581" s="11" t="inlineStr">
        <is>
          <t>Baja</t>
        </is>
      </c>
      <c r="AT581" s="11" t="inlineStr">
        <is>
          <t>alta</t>
        </is>
      </c>
      <c r="AU581" s="11" t="inlineStr">
        <is>
          <t>Topografía y zonificación del ambiente marino en maqueta.</t>
        </is>
      </c>
      <c r="AV581" s="11" t="inlineStr">
        <is>
          <t>Ciclo 7°–9°</t>
        </is>
      </c>
      <c r="AW581" s="11">
        <f>AF581&amp;"; "&amp;AG581&amp;"; "&amp;AH581&amp;"; "&amp;AI581&amp;"; "&amp;AJ581</f>
        <v/>
      </c>
    </row>
    <row r="582">
      <c r="A582" s="11" t="inlineStr">
        <is>
          <t>T1216-G09-CIE</t>
        </is>
      </c>
      <c r="B582" s="11" t="n">
        <v>9</v>
      </c>
      <c r="C582" s="11" t="inlineStr">
        <is>
          <t>Ciencias</t>
        </is>
      </c>
      <c r="D582" s="11" t="inlineStr">
        <is>
          <t>Matriz_Ciencias_9no_Grado_U1_U7.xlsx</t>
        </is>
      </c>
      <c r="E582" s="11" t="inlineStr">
        <is>
          <t>Unidad 4 - Oceanografía</t>
        </is>
      </c>
      <c r="F582" s="11" t="n">
        <v>6</v>
      </c>
      <c r="G582" s="11" t="inlineStr">
        <is>
          <t>4. Oceanografía</t>
        </is>
      </c>
      <c r="H582" s="11" t="inlineStr">
        <is>
          <t>Oceanografía física</t>
        </is>
      </c>
      <c r="I582" s="38" t="inlineStr">
        <is>
          <t>4.4. Observación experimental de la incidencia del viento y del calor sobre una masa de agua.</t>
        </is>
      </c>
      <c r="J582" s="11" t="inlineStr">
        <is>
          <t>PISA</t>
        </is>
      </c>
      <c r="K582" s="11" t="inlineStr">
        <is>
          <t>T8_27-E2.3</t>
        </is>
      </c>
      <c r="L582" s="11" t="inlineStr">
        <is>
          <t>T8_27-P2.2</t>
        </is>
      </c>
      <c r="M582" s="11">
        <f>IF(K582="FUERA","Fuera del marco",IF(K582="N/A","Sin marco",IFERROR(INDEX('Datos - Catálogo TIMSS'!$C$5:$C$107,MATCH(K582,'Datos - Catálogo TIMSS'!$A$5:$A$107,0)),"Pendiente de clasificar")))</f>
        <v/>
      </c>
      <c r="N582" s="11">
        <f>IF(K582="FUERA","Fuera del marco",IF(K582="N/A","Sin marco",IFERROR(INDEX('Datos - Catálogo TIMSS'!$F$5:$F$107,MATCH(K582,'Datos - Catálogo TIMSS'!$A$5:$A$107,0)),"Pendiente de clasificar")))</f>
        <v/>
      </c>
      <c r="O582" s="11">
        <f>IF(L582="","",IFERROR(INDEX('Datos - Catálogo TIMSS'!$C$5:$C$107,MATCH(L582,'Datos - Catálogo TIMSS'!$A$5:$A$107,0)),"?"))</f>
        <v/>
      </c>
      <c r="P582" s="11" t="inlineStr">
        <is>
          <t>baja</t>
        </is>
      </c>
      <c r="Q582" s="38" t="inlineStr">
        <is>
          <t>Interacción océano-atmósfera por viento y calor</t>
        </is>
      </c>
      <c r="R582" s="38" t="inlineStr">
        <is>
          <t>Aplicar: experimentar</t>
        </is>
      </c>
      <c r="S582" s="39">
        <f>IFERROR(ISNUMBER(SEARCH("Conocer",$R582))/(ISNUMBER(SEARCH("Conocer",$R582))+ISNUMBER(SEARCH("Aplicar",$R582))+ISNUMBER(SEARCH("Razonar",$R582))),0)</f>
        <v/>
      </c>
      <c r="T582" s="39">
        <f>IFERROR(ISNUMBER(SEARCH("Aplicar",$R582))/(ISNUMBER(SEARCH("Conocer",$R582))+ISNUMBER(SEARCH("Aplicar",$R582))+ISNUMBER(SEARCH("Razonar",$R582))),0)</f>
        <v/>
      </c>
      <c r="U582" s="39">
        <f>IFERROR(ISNUMBER(SEARCH("Razonar",$R582))/(ISNUMBER(SEARCH("Conocer",$R582))+ISNUMBER(SEARCH("Aplicar",$R582))+ISNUMBER(SEARCH("Razonar",$R582))),0)</f>
        <v/>
      </c>
      <c r="V582" s="11" t="inlineStr">
        <is>
          <t>9°</t>
        </is>
      </c>
      <c r="W582" s="11" t="inlineStr">
        <is>
          <t>9°</t>
        </is>
      </c>
      <c r="X582" s="11">
        <f>IF(OR(IFERROR(INDEX('Datos - Catálogo TIMSS'!$I$5:$I$107,MATCH(K582,'Datos - Catálogo TIMSS'!$A$5:$A$107,0)),"No")="Sí",IFERROR(INDEX('Datos - Catálogo TIMSS'!$I$5:$I$107,MATCH(L582,'Datos - Catálogo TIMSS'!$A$5:$A$107,0)),"No")="Sí"),1,0)</f>
        <v/>
      </c>
      <c r="Y582" s="11">
        <f>IF(IFERROR(INDEX('Datos - Catálogo TIMSS'!$J$5:$J$107,MATCH(K582,'Datos - Catálogo TIMSS'!$A$5:$A$107,0)),"No")="Sí",1,0)</f>
        <v/>
      </c>
      <c r="Z582" s="11">
        <f>IF(IFERROR(INDEX('Datos - Catálogo TIMSS'!$J$5:$J$107,MATCH(L582,'Datos - Catálogo TIMSS'!$A$5:$A$107,0)),"No")="Sí",1,0)</f>
        <v/>
      </c>
      <c r="AA582" s="11" t="inlineStr">
        <is>
          <t>T8-T2.3</t>
        </is>
      </c>
      <c r="AB582" s="11" t="inlineStr">
        <is>
          <t>T8-F2.2</t>
        </is>
      </c>
      <c r="AC582" s="11">
        <f>IF(AA582="FUERA","Fuera del marco",IF(AA582="N/A","Sin marco",IFERROR(INDEX('Datos - TIMSS 2023'!$C$5:$C$105,MATCH(AA582,'Datos - TIMSS 2023'!$A$5:$A$105,0)),"Pendiente de clasificar")))</f>
        <v/>
      </c>
      <c r="AD582" s="11" t="inlineStr">
        <is>
          <t>2. Construir y evaluar diseños para la indagación científica e interpretar datos y evidencia de forma crítica</t>
        </is>
      </c>
      <c r="AE582" s="11">
        <f>IF(AD582="","",IF(LEFT(AD582,1)="1","C1",IF(LEFT(AD582,1)="2","C2",IF(LEFT(AD582,1)="3","C3",""))))</f>
        <v/>
      </c>
      <c r="AF582" s="11" t="inlineStr">
        <is>
          <t>E1</t>
        </is>
      </c>
      <c r="AG582" s="11" t="inlineStr">
        <is>
          <t>E3</t>
        </is>
      </c>
      <c r="AH582" s="11" t="inlineStr">
        <is>
          <t>E1</t>
        </is>
      </c>
      <c r="AI582" s="11" t="inlineStr">
        <is>
          <t>D2</t>
        </is>
      </c>
      <c r="AJ582" s="11" t="inlineStr">
        <is>
          <t>E6</t>
        </is>
      </c>
      <c r="AK582" s="11" t="inlineStr">
        <is>
          <t>PISA-T3</t>
        </is>
      </c>
      <c r="AL582" s="11" t="inlineStr">
        <is>
          <t>PISA-T5</t>
        </is>
      </c>
      <c r="AM582" s="11">
        <f>IF(AK582="FUERA","Fuera del marco",IFERROR(INDEX('Datos - Catálogo PISA'!$C$5:$C$76,MATCH(AK582,'Datos - Catálogo PISA'!$A$5:$A$76,0)),"?"))</f>
        <v/>
      </c>
      <c r="AN582" s="11" t="inlineStr">
        <is>
          <t>Contenido</t>
        </is>
      </c>
      <c r="AO582" s="11" t="n"/>
      <c r="AP582" s="11" t="n"/>
      <c r="AQ582" s="11" t="inlineStr">
        <is>
          <t>Sin contexto</t>
        </is>
      </c>
      <c r="AR582" s="11" t="n"/>
      <c r="AS582" s="11" t="inlineStr">
        <is>
          <t>Media</t>
        </is>
      </c>
      <c r="AT582" s="11" t="inlineStr">
        <is>
          <t>alta</t>
        </is>
      </c>
      <c r="AU582" s="11" t="inlineStr">
        <is>
          <t>Efecto del viento y el calor sobre masas de agua.</t>
        </is>
      </c>
      <c r="AV582" s="11" t="inlineStr">
        <is>
          <t>Ciclo 7°–9°</t>
        </is>
      </c>
      <c r="AW582" s="11">
        <f>AF582&amp;"; "&amp;AG582&amp;"; "&amp;AH582&amp;"; "&amp;AI582&amp;"; "&amp;AJ582</f>
        <v/>
      </c>
    </row>
    <row r="583">
      <c r="A583" s="11" t="inlineStr">
        <is>
          <t>T1217-G09-CIE</t>
        </is>
      </c>
      <c r="B583" s="11" t="n">
        <v>9</v>
      </c>
      <c r="C583" s="11" t="inlineStr">
        <is>
          <t>Ciencias</t>
        </is>
      </c>
      <c r="D583" s="11" t="inlineStr">
        <is>
          <t>Matriz_Ciencias_9no_Grado_U1_U7.xlsx</t>
        </is>
      </c>
      <c r="E583" s="11" t="inlineStr">
        <is>
          <t>Unidad 4 - Oceanografía</t>
        </is>
      </c>
      <c r="F583" s="11" t="n">
        <v>7</v>
      </c>
      <c r="G583" s="11" t="inlineStr">
        <is>
          <t>4. Oceanografía</t>
        </is>
      </c>
      <c r="H583" s="11" t="inlineStr">
        <is>
          <t>Oceanografía física</t>
        </is>
      </c>
      <c r="I583" s="38" t="inlineStr">
        <is>
          <t>4.5. Explicación de la influencia de la energía solar y del viento en las corrientes oceánicas.</t>
        </is>
      </c>
      <c r="J583" s="11" t="inlineStr">
        <is>
          <t>PISA</t>
        </is>
      </c>
      <c r="K583" s="11" t="inlineStr">
        <is>
          <t>T8_27-E2.3</t>
        </is>
      </c>
      <c r="L583" s="11" t="inlineStr"/>
      <c r="M583" s="11">
        <f>IF(K583="FUERA","Fuera del marco",IF(K583="N/A","Sin marco",IFERROR(INDEX('Datos - Catálogo TIMSS'!$C$5:$C$107,MATCH(K583,'Datos - Catálogo TIMSS'!$A$5:$A$107,0)),"Pendiente de clasificar")))</f>
        <v/>
      </c>
      <c r="N583" s="11">
        <f>IF(K583="FUERA","Fuera del marco",IF(K583="N/A","Sin marco",IFERROR(INDEX('Datos - Catálogo TIMSS'!$F$5:$F$107,MATCH(K583,'Datos - Catálogo TIMSS'!$A$5:$A$107,0)),"Pendiente de clasificar")))</f>
        <v/>
      </c>
      <c r="O583" s="11">
        <f>IF(L583="","",IFERROR(INDEX('Datos - Catálogo TIMSS'!$C$5:$C$107,MATCH(L583,'Datos - Catálogo TIMSS'!$A$5:$A$107,0)),"?"))</f>
        <v/>
      </c>
      <c r="P583" s="11" t="inlineStr">
        <is>
          <t>media</t>
        </is>
      </c>
      <c r="Q583" s="38" t="inlineStr">
        <is>
          <t>Corrientes por energía solar y viento; vínculo con clima</t>
        </is>
      </c>
      <c r="R583" s="38" t="inlineStr">
        <is>
          <t>Conocer: explicar</t>
        </is>
      </c>
      <c r="S583" s="39">
        <f>IFERROR(ISNUMBER(SEARCH("Conocer",$R583))/(ISNUMBER(SEARCH("Conocer",$R583))+ISNUMBER(SEARCH("Aplicar",$R583))+ISNUMBER(SEARCH("Razonar",$R583))),0)</f>
        <v/>
      </c>
      <c r="T583" s="39">
        <f>IFERROR(ISNUMBER(SEARCH("Aplicar",$R583))/(ISNUMBER(SEARCH("Conocer",$R583))+ISNUMBER(SEARCH("Aplicar",$R583))+ISNUMBER(SEARCH("Razonar",$R583))),0)</f>
        <v/>
      </c>
      <c r="U583" s="39">
        <f>IFERROR(ISNUMBER(SEARCH("Razonar",$R583))/(ISNUMBER(SEARCH("Conocer",$R583))+ISNUMBER(SEARCH("Aplicar",$R583))+ISNUMBER(SEARCH("Razonar",$R583))),0)</f>
        <v/>
      </c>
      <c r="V583" s="11" t="inlineStr">
        <is>
          <t>9°</t>
        </is>
      </c>
      <c r="W583" s="11" t="inlineStr">
        <is>
          <t>9°</t>
        </is>
      </c>
      <c r="X583" s="11">
        <f>IF(OR(IFERROR(INDEX('Datos - Catálogo TIMSS'!$I$5:$I$107,MATCH(K583,'Datos - Catálogo TIMSS'!$A$5:$A$107,0)),"No")="Sí",IFERROR(INDEX('Datos - Catálogo TIMSS'!$I$5:$I$107,MATCH(L583,'Datos - Catálogo TIMSS'!$A$5:$A$107,0)),"No")="Sí"),1,0)</f>
        <v/>
      </c>
      <c r="Y583" s="11">
        <f>IF(IFERROR(INDEX('Datos - Catálogo TIMSS'!$J$5:$J$107,MATCH(K583,'Datos - Catálogo TIMSS'!$A$5:$A$107,0)),"No")="Sí",1,0)</f>
        <v/>
      </c>
      <c r="Z583" s="11">
        <f>IF(IFERROR(INDEX('Datos - Catálogo TIMSS'!$J$5:$J$107,MATCH(L583,'Datos - Catálogo TIMSS'!$A$5:$A$107,0)),"No")="Sí",1,0)</f>
        <v/>
      </c>
      <c r="AA583" s="11" t="inlineStr">
        <is>
          <t>T8-T2.3</t>
        </is>
      </c>
      <c r="AB583" s="11" t="inlineStr"/>
      <c r="AC583" s="11">
        <f>IF(AA583="FUERA","Fuera del marco",IF(AA583="N/A","Sin marco",IFERROR(INDEX('Datos - TIMSS 2023'!$C$5:$C$105,MATCH(AA583,'Datos - TIMSS 2023'!$A$5:$A$105,0)),"Pendiente de clasificar")))</f>
        <v/>
      </c>
      <c r="AD583" s="11" t="inlineStr">
        <is>
          <t>1. Explicar fenómenos científicamente</t>
        </is>
      </c>
      <c r="AE583" s="11">
        <f>IF(AD583="","",IF(LEFT(AD583,1)="1","C1",IF(LEFT(AD583,1)="2","C2",IF(LEFT(AD583,1)="3","C3",""))))</f>
        <v/>
      </c>
      <c r="AF583" s="11" t="inlineStr">
        <is>
          <t>E1</t>
        </is>
      </c>
      <c r="AG583" s="11" t="inlineStr">
        <is>
          <t>D1</t>
        </is>
      </c>
      <c r="AH583" s="11" t="inlineStr">
        <is>
          <t>E1</t>
        </is>
      </c>
      <c r="AI583" s="11" t="inlineStr">
        <is>
          <t>D4</t>
        </is>
      </c>
      <c r="AJ583" s="11" t="inlineStr">
        <is>
          <t>E6</t>
        </is>
      </c>
      <c r="AK583" s="11" t="inlineStr">
        <is>
          <t>PISA-T3</t>
        </is>
      </c>
      <c r="AL583" s="11" t="inlineStr">
        <is>
          <t>PISA-T5</t>
        </is>
      </c>
      <c r="AM583" s="11">
        <f>IF(AK583="FUERA","Fuera del marco",IFERROR(INDEX('Datos - Catálogo PISA'!$C$5:$C$76,MATCH(AK583,'Datos - Catálogo PISA'!$A$5:$A$76,0)),"?"))</f>
        <v/>
      </c>
      <c r="AN583" s="11" t="inlineStr">
        <is>
          <t>Contenido</t>
        </is>
      </c>
      <c r="AO583" s="11" t="n"/>
      <c r="AP583" s="11" t="n"/>
      <c r="AQ583" s="11" t="inlineStr">
        <is>
          <t>Sin contexto</t>
        </is>
      </c>
      <c r="AR583" s="11" t="n"/>
      <c r="AS583" s="11" t="inlineStr">
        <is>
          <t>Media</t>
        </is>
      </c>
      <c r="AT583" s="11" t="inlineStr">
        <is>
          <t>alta</t>
        </is>
      </c>
      <c r="AU583" s="11" t="inlineStr">
        <is>
          <t>Energía solar y viento como causas de corrientes oceánicas.</t>
        </is>
      </c>
      <c r="AV583" s="11" t="inlineStr">
        <is>
          <t>Ciclo 7°–9°</t>
        </is>
      </c>
      <c r="AW583" s="11">
        <f>AF583&amp;"; "&amp;AG583&amp;"; "&amp;AH583&amp;"; "&amp;AI583&amp;"; "&amp;AJ583</f>
        <v/>
      </c>
    </row>
    <row r="584">
      <c r="A584" s="11" t="inlineStr">
        <is>
          <t>T1218-G09-CIE</t>
        </is>
      </c>
      <c r="B584" s="11" t="n">
        <v>9</v>
      </c>
      <c r="C584" s="11" t="inlineStr">
        <is>
          <t>Ciencias</t>
        </is>
      </c>
      <c r="D584" s="11" t="inlineStr">
        <is>
          <t>Matriz_Ciencias_9no_Grado_U1_U7.xlsx</t>
        </is>
      </c>
      <c r="E584" s="11" t="inlineStr">
        <is>
          <t>Unidad 4 - Oceanografía</t>
        </is>
      </c>
      <c r="F584" s="11" t="n">
        <v>8</v>
      </c>
      <c r="G584" s="11" t="inlineStr">
        <is>
          <t>4. Oceanografía</t>
        </is>
      </c>
      <c r="H584" s="11" t="inlineStr">
        <is>
          <t>Oceanografía física</t>
        </is>
      </c>
      <c r="I584" s="38" t="inlineStr">
        <is>
          <t>4.6. Identificación experimental de las magnitudes físicas que influyen en las corrientes oceánicas profundas.</t>
        </is>
      </c>
      <c r="J584" s="11" t="inlineStr">
        <is>
          <t>PISA</t>
        </is>
      </c>
      <c r="K584" s="11" t="inlineStr">
        <is>
          <t>T8_27-E2.3</t>
        </is>
      </c>
      <c r="L584" s="11" t="inlineStr">
        <is>
          <t>T8_27-P5.3</t>
        </is>
      </c>
      <c r="M584" s="11">
        <f>IF(K584="FUERA","Fuera del marco",IF(K584="N/A","Sin marco",IFERROR(INDEX('Datos - Catálogo TIMSS'!$C$5:$C$107,MATCH(K584,'Datos - Catálogo TIMSS'!$A$5:$A$107,0)),"Pendiente de clasificar")))</f>
        <v/>
      </c>
      <c r="N584" s="11">
        <f>IF(K584="FUERA","Fuera del marco",IF(K584="N/A","Sin marco",IFERROR(INDEX('Datos - Catálogo TIMSS'!$F$5:$F$107,MATCH(K584,'Datos - Catálogo TIMSS'!$A$5:$A$107,0)),"Pendiente de clasificar")))</f>
        <v/>
      </c>
      <c r="O584" s="11">
        <f>IF(L584="","",IFERROR(INDEX('Datos - Catálogo TIMSS'!$C$5:$C$107,MATCH(L584,'Datos - Catálogo TIMSS'!$A$5:$A$107,0)),"?"))</f>
        <v/>
      </c>
      <c r="P584" s="11" t="inlineStr">
        <is>
          <t>baja</t>
        </is>
      </c>
      <c r="Q584" s="38" t="inlineStr">
        <is>
          <t>Corrientes profundas por diferencias de densidad y temperatura</t>
        </is>
      </c>
      <c r="R584" s="38" t="inlineStr">
        <is>
          <t>Razonar: diseñar prueba justa</t>
        </is>
      </c>
      <c r="S584" s="39">
        <f>IFERROR(ISNUMBER(SEARCH("Conocer",$R584))/(ISNUMBER(SEARCH("Conocer",$R584))+ISNUMBER(SEARCH("Aplicar",$R584))+ISNUMBER(SEARCH("Razonar",$R584))),0)</f>
        <v/>
      </c>
      <c r="T584" s="39">
        <f>IFERROR(ISNUMBER(SEARCH("Aplicar",$R584))/(ISNUMBER(SEARCH("Conocer",$R584))+ISNUMBER(SEARCH("Aplicar",$R584))+ISNUMBER(SEARCH("Razonar",$R584))),0)</f>
        <v/>
      </c>
      <c r="U584" s="39">
        <f>IFERROR(ISNUMBER(SEARCH("Razonar",$R584))/(ISNUMBER(SEARCH("Conocer",$R584))+ISNUMBER(SEARCH("Aplicar",$R584))+ISNUMBER(SEARCH("Razonar",$R584))),0)</f>
        <v/>
      </c>
      <c r="V584" s="11" t="inlineStr">
        <is>
          <t>9°</t>
        </is>
      </c>
      <c r="W584" s="11" t="inlineStr">
        <is>
          <t>9°</t>
        </is>
      </c>
      <c r="X584" s="11">
        <f>IF(OR(IFERROR(INDEX('Datos - Catálogo TIMSS'!$I$5:$I$107,MATCH(K584,'Datos - Catálogo TIMSS'!$A$5:$A$107,0)),"No")="Sí",IFERROR(INDEX('Datos - Catálogo TIMSS'!$I$5:$I$107,MATCH(L584,'Datos - Catálogo TIMSS'!$A$5:$A$107,0)),"No")="Sí"),1,0)</f>
        <v/>
      </c>
      <c r="Y584" s="11">
        <f>IF(IFERROR(INDEX('Datos - Catálogo TIMSS'!$J$5:$J$107,MATCH(K584,'Datos - Catálogo TIMSS'!$A$5:$A$107,0)),"No")="Sí",1,0)</f>
        <v/>
      </c>
      <c r="Z584" s="11">
        <f>IF(IFERROR(INDEX('Datos - Catálogo TIMSS'!$J$5:$J$107,MATCH(L584,'Datos - Catálogo TIMSS'!$A$5:$A$107,0)),"No")="Sí",1,0)</f>
        <v/>
      </c>
      <c r="AA584" s="11" t="inlineStr">
        <is>
          <t>T8-T2.3</t>
        </is>
      </c>
      <c r="AB584" s="11" t="inlineStr"/>
      <c r="AC584" s="11">
        <f>IF(AA584="FUERA","Fuera del marco",IF(AA584="N/A","Sin marco",IFERROR(INDEX('Datos - TIMSS 2023'!$C$5:$C$105,MATCH(AA584,'Datos - TIMSS 2023'!$A$5:$A$105,0)),"Pendiente de clasificar")))</f>
        <v/>
      </c>
      <c r="AD584" s="11" t="inlineStr">
        <is>
          <t>2. Construir y evaluar diseños para la indagación científica e interpretar datos y evidencia de forma crítica</t>
        </is>
      </c>
      <c r="AE584" s="11">
        <f>IF(AD584="","",IF(LEFT(AD584,1)="1","C1",IF(LEFT(AD584,1)="2","C2",IF(LEFT(AD584,1)="3","C3",""))))</f>
        <v/>
      </c>
      <c r="AF584" s="11" t="inlineStr">
        <is>
          <t>E1</t>
        </is>
      </c>
      <c r="AG584" s="11" t="inlineStr">
        <is>
          <t>E3</t>
        </is>
      </c>
      <c r="AH584" s="11" t="inlineStr">
        <is>
          <t>E1</t>
        </is>
      </c>
      <c r="AI584" s="11" t="inlineStr">
        <is>
          <t>D3</t>
        </is>
      </c>
      <c r="AJ584" s="11" t="inlineStr">
        <is>
          <t>E1</t>
        </is>
      </c>
      <c r="AK584" s="11" t="inlineStr">
        <is>
          <t>PISA-T3</t>
        </is>
      </c>
      <c r="AL584" s="11" t="inlineStr">
        <is>
          <t>PISA-F1</t>
        </is>
      </c>
      <c r="AM584" s="11">
        <f>IF(AK584="FUERA","Fuera del marco",IFERROR(INDEX('Datos - Catálogo PISA'!$C$5:$C$76,MATCH(AK584,'Datos - Catálogo PISA'!$A$5:$A$76,0)),"?"))</f>
        <v/>
      </c>
      <c r="AN584" s="11" t="inlineStr">
        <is>
          <t>Contenido</t>
        </is>
      </c>
      <c r="AO584" s="11" t="inlineStr">
        <is>
          <t>PISA-PR1; PISA-PR6;</t>
        </is>
      </c>
      <c r="AP584" s="11" t="n"/>
      <c r="AQ584" s="11" t="inlineStr">
        <is>
          <t>Sin contexto</t>
        </is>
      </c>
      <c r="AR584" s="11" t="n"/>
      <c r="AS584" s="11" t="inlineStr">
        <is>
          <t>Media</t>
        </is>
      </c>
      <c r="AT584" s="11" t="inlineStr">
        <is>
          <t>alta</t>
        </is>
      </c>
      <c r="AU584" s="11" t="inlineStr">
        <is>
          <t>Corrientes profundas por densidad, con variables controladas.</t>
        </is>
      </c>
      <c r="AV584" s="11" t="inlineStr">
        <is>
          <t>Ciclo 7°–9°</t>
        </is>
      </c>
      <c r="AW584" s="11">
        <f>AF584&amp;"; "&amp;AG584&amp;"; "&amp;AH584&amp;"; "&amp;AI584&amp;"; "&amp;AJ584</f>
        <v/>
      </c>
    </row>
    <row r="585">
      <c r="A585" s="11" t="inlineStr">
        <is>
          <t>T1219-G09-CIE</t>
        </is>
      </c>
      <c r="B585" s="11" t="n">
        <v>9</v>
      </c>
      <c r="C585" s="11" t="inlineStr">
        <is>
          <t>Ciencias</t>
        </is>
      </c>
      <c r="D585" s="11" t="inlineStr">
        <is>
          <t>Matriz_Ciencias_9no_Grado_U1_U7.xlsx</t>
        </is>
      </c>
      <c r="E585" s="11" t="inlineStr">
        <is>
          <t>Unidad 4 - Oceanografía</t>
        </is>
      </c>
      <c r="F585" s="11" t="n">
        <v>9</v>
      </c>
      <c r="G585" s="11" t="inlineStr">
        <is>
          <t>4. Oceanografía</t>
        </is>
      </c>
      <c r="H585" s="11" t="inlineStr">
        <is>
          <t>Oceanografía física</t>
        </is>
      </c>
      <c r="I585" s="38" t="inlineStr">
        <is>
          <t>4.7. Representación de la configuración actual de las corrientes oceánicas superficiales.</t>
        </is>
      </c>
      <c r="J585" s="11" t="inlineStr">
        <is>
          <t>PISA</t>
        </is>
      </c>
      <c r="K585" s="11" t="inlineStr">
        <is>
          <t>T8_27-E2.3</t>
        </is>
      </c>
      <c r="L585" s="11" t="inlineStr"/>
      <c r="M585" s="11">
        <f>IF(K585="FUERA","Fuera del marco",IF(K585="N/A","Sin marco",IFERROR(INDEX('Datos - Catálogo TIMSS'!$C$5:$C$107,MATCH(K585,'Datos - Catálogo TIMSS'!$A$5:$A$107,0)),"Pendiente de clasificar")))</f>
        <v/>
      </c>
      <c r="N585" s="11">
        <f>IF(K585="FUERA","Fuera del marco",IF(K585="N/A","Sin marco",IFERROR(INDEX('Datos - Catálogo TIMSS'!$F$5:$F$107,MATCH(K585,'Datos - Catálogo TIMSS'!$A$5:$A$107,0)),"Pendiente de clasificar")))</f>
        <v/>
      </c>
      <c r="O585" s="11">
        <f>IF(L585="","",IFERROR(INDEX('Datos - Catálogo TIMSS'!$C$5:$C$107,MATCH(L585,'Datos - Catálogo TIMSS'!$A$5:$A$107,0)),"?"))</f>
        <v/>
      </c>
      <c r="P585" s="11" t="inlineStr">
        <is>
          <t>baja</t>
        </is>
      </c>
      <c r="Q585" s="38" t="inlineStr">
        <is>
          <t>Mapa de corrientes superficiales; relación indirecta con clima</t>
        </is>
      </c>
      <c r="R585" s="38" t="inlineStr">
        <is>
          <t>Aplicar: representar</t>
        </is>
      </c>
      <c r="S585" s="39">
        <f>IFERROR(ISNUMBER(SEARCH("Conocer",$R585))/(ISNUMBER(SEARCH("Conocer",$R585))+ISNUMBER(SEARCH("Aplicar",$R585))+ISNUMBER(SEARCH("Razonar",$R585))),0)</f>
        <v/>
      </c>
      <c r="T585" s="39">
        <f>IFERROR(ISNUMBER(SEARCH("Aplicar",$R585))/(ISNUMBER(SEARCH("Conocer",$R585))+ISNUMBER(SEARCH("Aplicar",$R585))+ISNUMBER(SEARCH("Razonar",$R585))),0)</f>
        <v/>
      </c>
      <c r="U585" s="39">
        <f>IFERROR(ISNUMBER(SEARCH("Razonar",$R585))/(ISNUMBER(SEARCH("Conocer",$R585))+ISNUMBER(SEARCH("Aplicar",$R585))+ISNUMBER(SEARCH("Razonar",$R585))),0)</f>
        <v/>
      </c>
      <c r="V585" s="11" t="inlineStr">
        <is>
          <t>9°</t>
        </is>
      </c>
      <c r="W585" s="11" t="inlineStr">
        <is>
          <t>9°</t>
        </is>
      </c>
      <c r="X585" s="11">
        <f>IF(OR(IFERROR(INDEX('Datos - Catálogo TIMSS'!$I$5:$I$107,MATCH(K585,'Datos - Catálogo TIMSS'!$A$5:$A$107,0)),"No")="Sí",IFERROR(INDEX('Datos - Catálogo TIMSS'!$I$5:$I$107,MATCH(L585,'Datos - Catálogo TIMSS'!$A$5:$A$107,0)),"No")="Sí"),1,0)</f>
        <v/>
      </c>
      <c r="Y585" s="11">
        <f>IF(IFERROR(INDEX('Datos - Catálogo TIMSS'!$J$5:$J$107,MATCH(K585,'Datos - Catálogo TIMSS'!$A$5:$A$107,0)),"No")="Sí",1,0)</f>
        <v/>
      </c>
      <c r="Z585" s="11">
        <f>IF(IFERROR(INDEX('Datos - Catálogo TIMSS'!$J$5:$J$107,MATCH(L585,'Datos - Catálogo TIMSS'!$A$5:$A$107,0)),"No")="Sí",1,0)</f>
        <v/>
      </c>
      <c r="AA585" s="11" t="inlineStr">
        <is>
          <t>T8-T2.3</t>
        </is>
      </c>
      <c r="AB585" s="11" t="inlineStr"/>
      <c r="AC585" s="11">
        <f>IF(AA585="FUERA","Fuera del marco",IF(AA585="N/A","Sin marco",IFERROR(INDEX('Datos - TIMSS 2023'!$C$5:$C$105,MATCH(AA585,'Datos - TIMSS 2023'!$A$5:$A$105,0)),"Pendiente de clasificar")))</f>
        <v/>
      </c>
      <c r="AD585" s="11" t="inlineStr">
        <is>
          <t>1. Explicar fenómenos científicamente</t>
        </is>
      </c>
      <c r="AE585" s="11">
        <f>IF(AD585="","",IF(LEFT(AD585,1)="1","C1",IF(LEFT(AD585,1)="2","C2",IF(LEFT(AD585,1)="3","C3",""))))</f>
        <v/>
      </c>
      <c r="AF585" s="11" t="inlineStr">
        <is>
          <t>E1</t>
        </is>
      </c>
      <c r="AG585" s="11" t="inlineStr">
        <is>
          <t>D1</t>
        </is>
      </c>
      <c r="AH585" s="11" t="inlineStr">
        <is>
          <t>E2</t>
        </is>
      </c>
      <c r="AI585" s="11" t="inlineStr">
        <is>
          <t>D4</t>
        </is>
      </c>
      <c r="AJ585" s="11" t="inlineStr">
        <is>
          <t>E1</t>
        </is>
      </c>
      <c r="AK585" s="11" t="inlineStr">
        <is>
          <t>PISA-T1</t>
        </is>
      </c>
      <c r="AL585" s="11" t="inlineStr">
        <is>
          <t>PISA-T3</t>
        </is>
      </c>
      <c r="AM585" s="11">
        <f>IF(AK585="FUERA","Fuera del marco",IFERROR(INDEX('Datos - Catálogo PISA'!$C$5:$C$76,MATCH(AK585,'Datos - Catálogo PISA'!$A$5:$A$76,0)),"?"))</f>
        <v/>
      </c>
      <c r="AN585" s="11" t="inlineStr">
        <is>
          <t>Contenido</t>
        </is>
      </c>
      <c r="AO585" s="11" t="n"/>
      <c r="AP585" s="11" t="n"/>
      <c r="AQ585" s="11" t="inlineStr">
        <is>
          <t>Global</t>
        </is>
      </c>
      <c r="AR585" s="11" t="n"/>
      <c r="AS585" s="11" t="inlineStr">
        <is>
          <t>Baja</t>
        </is>
      </c>
      <c r="AT585" s="11" t="inlineStr">
        <is>
          <t>alta</t>
        </is>
      </c>
      <c r="AU585" s="11" t="inlineStr">
        <is>
          <t>Mapa de las corrientes oceánicas superficiales del planeta.</t>
        </is>
      </c>
      <c r="AV585" s="11" t="inlineStr">
        <is>
          <t>Ciclo 7°–9°</t>
        </is>
      </c>
      <c r="AW585" s="11">
        <f>AF585&amp;"; "&amp;AG585&amp;"; "&amp;AH585&amp;"; "&amp;AI585&amp;"; "&amp;AJ585</f>
        <v/>
      </c>
    </row>
    <row r="586">
      <c r="A586" s="11" t="inlineStr">
        <is>
          <t>T1220-G09-CIE</t>
        </is>
      </c>
      <c r="B586" s="11" t="n">
        <v>9</v>
      </c>
      <c r="C586" s="11" t="inlineStr">
        <is>
          <t>Ciencias</t>
        </is>
      </c>
      <c r="D586" s="11" t="inlineStr">
        <is>
          <t>Matriz_Ciencias_9no_Grado_U1_U7.xlsx</t>
        </is>
      </c>
      <c r="E586" s="11" t="inlineStr">
        <is>
          <t>Unidad 4 - Oceanografía</t>
        </is>
      </c>
      <c r="F586" s="11" t="n">
        <v>10</v>
      </c>
      <c r="G586" s="11" t="inlineStr">
        <is>
          <t>4. Oceanografía</t>
        </is>
      </c>
      <c r="H586" s="11" t="inlineStr">
        <is>
          <t>Oceanografía física</t>
        </is>
      </c>
      <c r="I586" s="38" t="inlineStr">
        <is>
          <t>4.8. Indagación del fenómeno de oleaje.</t>
        </is>
      </c>
      <c r="J586" s="11" t="inlineStr">
        <is>
          <t>PISA</t>
        </is>
      </c>
      <c r="K586" s="11" t="inlineStr">
        <is>
          <t>T8_27-P2.1</t>
        </is>
      </c>
      <c r="L586" s="11" t="inlineStr"/>
      <c r="M586" s="11">
        <f>IF(K586="FUERA","Fuera del marco",IF(K586="N/A","Sin marco",IFERROR(INDEX('Datos - Catálogo TIMSS'!$C$5:$C$107,MATCH(K586,'Datos - Catálogo TIMSS'!$A$5:$A$107,0)),"Pendiente de clasificar")))</f>
        <v/>
      </c>
      <c r="N586" s="11">
        <f>IF(K586="FUERA","Fuera del marco",IF(K586="N/A","Sin marco",IFERROR(INDEX('Datos - Catálogo TIMSS'!$F$5:$F$107,MATCH(K586,'Datos - Catálogo TIMSS'!$A$5:$A$107,0)),"Pendiente de clasificar")))</f>
        <v/>
      </c>
      <c r="O586" s="11">
        <f>IF(L586="","",IFERROR(INDEX('Datos - Catálogo TIMSS'!$C$5:$C$107,MATCH(L586,'Datos - Catálogo TIMSS'!$A$5:$A$107,0)),"?"))</f>
        <v/>
      </c>
      <c r="P586" s="11" t="inlineStr">
        <is>
          <t>baja</t>
        </is>
      </c>
      <c r="Q586" s="38" t="inlineStr">
        <is>
          <t>Oleaje como transferencia de energía; sin objetivo específico</t>
        </is>
      </c>
      <c r="R586" s="38" t="inlineStr">
        <is>
          <t>Conocer: definir</t>
        </is>
      </c>
      <c r="S586" s="39">
        <f>IFERROR(ISNUMBER(SEARCH("Conocer",$R586))/(ISNUMBER(SEARCH("Conocer",$R586))+ISNUMBER(SEARCH("Aplicar",$R586))+ISNUMBER(SEARCH("Razonar",$R586))),0)</f>
        <v/>
      </c>
      <c r="T586" s="39">
        <f>IFERROR(ISNUMBER(SEARCH("Aplicar",$R586))/(ISNUMBER(SEARCH("Conocer",$R586))+ISNUMBER(SEARCH("Aplicar",$R586))+ISNUMBER(SEARCH("Razonar",$R586))),0)</f>
        <v/>
      </c>
      <c r="U586" s="39">
        <f>IFERROR(ISNUMBER(SEARCH("Razonar",$R586))/(ISNUMBER(SEARCH("Conocer",$R586))+ISNUMBER(SEARCH("Aplicar",$R586))+ISNUMBER(SEARCH("Razonar",$R586))),0)</f>
        <v/>
      </c>
      <c r="V586" s="11" t="inlineStr">
        <is>
          <t>9°</t>
        </is>
      </c>
      <c r="W586" s="11" t="inlineStr">
        <is>
          <t>9°</t>
        </is>
      </c>
      <c r="X586" s="11">
        <f>IF(OR(IFERROR(INDEX('Datos - Catálogo TIMSS'!$I$5:$I$107,MATCH(K586,'Datos - Catálogo TIMSS'!$A$5:$A$107,0)),"No")="Sí",IFERROR(INDEX('Datos - Catálogo TIMSS'!$I$5:$I$107,MATCH(L586,'Datos - Catálogo TIMSS'!$A$5:$A$107,0)),"No")="Sí"),1,0)</f>
        <v/>
      </c>
      <c r="Y586" s="11">
        <f>IF(IFERROR(INDEX('Datos - Catálogo TIMSS'!$J$5:$J$107,MATCH(K586,'Datos - Catálogo TIMSS'!$A$5:$A$107,0)),"No")="Sí",1,0)</f>
        <v/>
      </c>
      <c r="Z586" s="11">
        <f>IF(IFERROR(INDEX('Datos - Catálogo TIMSS'!$J$5:$J$107,MATCH(L586,'Datos - Catálogo TIMSS'!$A$5:$A$107,0)),"No")="Sí",1,0)</f>
        <v/>
      </c>
      <c r="AA586" s="11" t="inlineStr">
        <is>
          <t>T8-F2.1</t>
        </is>
      </c>
      <c r="AB586" s="11" t="inlineStr"/>
      <c r="AC586" s="11">
        <f>IF(AA586="FUERA","Fuera del marco",IF(AA586="N/A","Sin marco",IFERROR(INDEX('Datos - TIMSS 2023'!$C$5:$C$105,MATCH(AA586,'Datos - TIMSS 2023'!$A$5:$A$105,0)),"Pendiente de clasificar")))</f>
        <v/>
      </c>
      <c r="AD586" s="11" t="inlineStr">
        <is>
          <t>1. Explicar fenómenos científicamente</t>
        </is>
      </c>
      <c r="AE586" s="11">
        <f>IF(AD586="","",IF(LEFT(AD586,1)="1","C1",IF(LEFT(AD586,1)="2","C2",IF(LEFT(AD586,1)="3","C3",""))))</f>
        <v/>
      </c>
      <c r="AF586" s="11" t="inlineStr">
        <is>
          <t>E6</t>
        </is>
      </c>
      <c r="AG586" s="11" t="inlineStr">
        <is>
          <t>D1</t>
        </is>
      </c>
      <c r="AH586" s="11" t="inlineStr">
        <is>
          <t>E1</t>
        </is>
      </c>
      <c r="AI586" s="11" t="inlineStr">
        <is>
          <t>D4</t>
        </is>
      </c>
      <c r="AJ586" s="11" t="inlineStr">
        <is>
          <t>E1</t>
        </is>
      </c>
      <c r="AK586" s="11" t="inlineStr">
        <is>
          <t>PISA-T1</t>
        </is>
      </c>
      <c r="AL586" s="11" t="inlineStr">
        <is>
          <t>PISA-F5</t>
        </is>
      </c>
      <c r="AM586" s="11">
        <f>IF(AK586="FUERA","Fuera del marco",IFERROR(INDEX('Datos - Catálogo PISA'!$C$5:$C$76,MATCH(AK586,'Datos - Catálogo PISA'!$A$5:$A$76,0)),"?"))</f>
        <v/>
      </c>
      <c r="AN586" s="11" t="inlineStr">
        <is>
          <t>Contenido</t>
        </is>
      </c>
      <c r="AO586" s="11" t="n"/>
      <c r="AP586" s="11" t="n"/>
      <c r="AQ586" s="11" t="inlineStr">
        <is>
          <t>Sin contexto</t>
        </is>
      </c>
      <c r="AR586" s="11" t="n"/>
      <c r="AS586" s="11" t="inlineStr">
        <is>
          <t>Baja</t>
        </is>
      </c>
      <c r="AT586" s="11" t="inlineStr">
        <is>
          <t>media</t>
        </is>
      </c>
      <c r="AU586" s="11" t="inlineStr">
        <is>
          <t>Definición del oleaje en la hidrosfera.</t>
        </is>
      </c>
      <c r="AV586" s="11" t="inlineStr">
        <is>
          <t>Ciclo 7°–9°</t>
        </is>
      </c>
      <c r="AW586" s="11">
        <f>AF586&amp;"; "&amp;AG586&amp;"; "&amp;AH586&amp;"; "&amp;AI586&amp;"; "&amp;AJ586</f>
        <v/>
      </c>
    </row>
    <row r="587">
      <c r="A587" s="11" t="inlineStr">
        <is>
          <t>T1221-G09-CIE</t>
        </is>
      </c>
      <c r="B587" s="11" t="n">
        <v>9</v>
      </c>
      <c r="C587" s="11" t="inlineStr">
        <is>
          <t>Ciencias</t>
        </is>
      </c>
      <c r="D587" s="11" t="inlineStr">
        <is>
          <t>Matriz_Ciencias_9no_Grado_U1_U7.xlsx</t>
        </is>
      </c>
      <c r="E587" s="11" t="inlineStr">
        <is>
          <t>Unidad 4 - Oceanografía</t>
        </is>
      </c>
      <c r="F587" s="11" t="n">
        <v>11</v>
      </c>
      <c r="G587" s="11" t="inlineStr">
        <is>
          <t>4. Oceanografía</t>
        </is>
      </c>
      <c r="H587" s="11" t="inlineStr">
        <is>
          <t>Oceanografía física</t>
        </is>
      </c>
      <c r="I587" s="38" t="inlineStr">
        <is>
          <t>4.9. Experimentación con los procesos asociados a la generación y la propagación de olas.</t>
        </is>
      </c>
      <c r="J587" s="11" t="inlineStr">
        <is>
          <t>PISA</t>
        </is>
      </c>
      <c r="K587" s="11" t="inlineStr">
        <is>
          <t>T8_27-P2.1</t>
        </is>
      </c>
      <c r="L587" s="11" t="inlineStr"/>
      <c r="M587" s="11">
        <f>IF(K587="FUERA","Fuera del marco",IF(K587="N/A","Sin marco",IFERROR(INDEX('Datos - Catálogo TIMSS'!$C$5:$C$107,MATCH(K587,'Datos - Catálogo TIMSS'!$A$5:$A$107,0)),"Pendiente de clasificar")))</f>
        <v/>
      </c>
      <c r="N587" s="11">
        <f>IF(K587="FUERA","Fuera del marco",IF(K587="N/A","Sin marco",IFERROR(INDEX('Datos - Catálogo TIMSS'!$F$5:$F$107,MATCH(K587,'Datos - Catálogo TIMSS'!$A$5:$A$107,0)),"Pendiente de clasificar")))</f>
        <v/>
      </c>
      <c r="O587" s="11">
        <f>IF(L587="","",IFERROR(INDEX('Datos - Catálogo TIMSS'!$C$5:$C$107,MATCH(L587,'Datos - Catálogo TIMSS'!$A$5:$A$107,0)),"?"))</f>
        <v/>
      </c>
      <c r="P587" s="11" t="inlineStr">
        <is>
          <t>baja</t>
        </is>
      </c>
      <c r="Q587" s="38" t="inlineStr">
        <is>
          <t>Generación y propagación de olas; energía del viento</t>
        </is>
      </c>
      <c r="R587" s="38" t="inlineStr">
        <is>
          <t>Aplicar: experimentar</t>
        </is>
      </c>
      <c r="S587" s="39">
        <f>IFERROR(ISNUMBER(SEARCH("Conocer",$R587))/(ISNUMBER(SEARCH("Conocer",$R587))+ISNUMBER(SEARCH("Aplicar",$R587))+ISNUMBER(SEARCH("Razonar",$R587))),0)</f>
        <v/>
      </c>
      <c r="T587" s="39">
        <f>IFERROR(ISNUMBER(SEARCH("Aplicar",$R587))/(ISNUMBER(SEARCH("Conocer",$R587))+ISNUMBER(SEARCH("Aplicar",$R587))+ISNUMBER(SEARCH("Razonar",$R587))),0)</f>
        <v/>
      </c>
      <c r="U587" s="39">
        <f>IFERROR(ISNUMBER(SEARCH("Razonar",$R587))/(ISNUMBER(SEARCH("Conocer",$R587))+ISNUMBER(SEARCH("Aplicar",$R587))+ISNUMBER(SEARCH("Razonar",$R587))),0)</f>
        <v/>
      </c>
      <c r="V587" s="11" t="inlineStr">
        <is>
          <t>9°</t>
        </is>
      </c>
      <c r="W587" s="11" t="inlineStr">
        <is>
          <t>9°</t>
        </is>
      </c>
      <c r="X587" s="11">
        <f>IF(OR(IFERROR(INDEX('Datos - Catálogo TIMSS'!$I$5:$I$107,MATCH(K587,'Datos - Catálogo TIMSS'!$A$5:$A$107,0)),"No")="Sí",IFERROR(INDEX('Datos - Catálogo TIMSS'!$I$5:$I$107,MATCH(L587,'Datos - Catálogo TIMSS'!$A$5:$A$107,0)),"No")="Sí"),1,0)</f>
        <v/>
      </c>
      <c r="Y587" s="11">
        <f>IF(IFERROR(INDEX('Datos - Catálogo TIMSS'!$J$5:$J$107,MATCH(K587,'Datos - Catálogo TIMSS'!$A$5:$A$107,0)),"No")="Sí",1,0)</f>
        <v/>
      </c>
      <c r="Z587" s="11">
        <f>IF(IFERROR(INDEX('Datos - Catálogo TIMSS'!$J$5:$J$107,MATCH(L587,'Datos - Catálogo TIMSS'!$A$5:$A$107,0)),"No")="Sí",1,0)</f>
        <v/>
      </c>
      <c r="AA587" s="11" t="inlineStr">
        <is>
          <t>T8-F2.1</t>
        </is>
      </c>
      <c r="AB587" s="11" t="inlineStr">
        <is>
          <t>T8-T2.1</t>
        </is>
      </c>
      <c r="AC587" s="11">
        <f>IF(AA587="FUERA","Fuera del marco",IF(AA587="N/A","Sin marco",IFERROR(INDEX('Datos - TIMSS 2023'!$C$5:$C$105,MATCH(AA587,'Datos - TIMSS 2023'!$A$5:$A$105,0)),"Pendiente de clasificar")))</f>
        <v/>
      </c>
      <c r="AD587" s="11" t="inlineStr">
        <is>
          <t>2. Construir y evaluar diseños para la indagación científica e interpretar datos y evidencia de forma crítica</t>
        </is>
      </c>
      <c r="AE587" s="11">
        <f>IF(AD587="","",IF(LEFT(AD587,1)="1","C1",IF(LEFT(AD587,1)="2","C2",IF(LEFT(AD587,1)="3","C3",""))))</f>
        <v/>
      </c>
      <c r="AF587" s="11" t="inlineStr">
        <is>
          <t>E1</t>
        </is>
      </c>
      <c r="AG587" s="11" t="inlineStr">
        <is>
          <t>E3</t>
        </is>
      </c>
      <c r="AH587" s="11" t="inlineStr">
        <is>
          <t>E1</t>
        </is>
      </c>
      <c r="AI587" s="11" t="inlineStr">
        <is>
          <t>D2</t>
        </is>
      </c>
      <c r="AJ587" s="11" t="inlineStr">
        <is>
          <t>E6</t>
        </is>
      </c>
      <c r="AK587" s="11" t="inlineStr">
        <is>
          <t>PISA-F5</t>
        </is>
      </c>
      <c r="AL587" s="11" t="inlineStr">
        <is>
          <t>PISA-T1</t>
        </is>
      </c>
      <c r="AM587" s="11">
        <f>IF(AK587="FUERA","Fuera del marco",IFERROR(INDEX('Datos - Catálogo PISA'!$C$5:$C$76,MATCH(AK587,'Datos - Catálogo PISA'!$A$5:$A$76,0)),"?"))</f>
        <v/>
      </c>
      <c r="AN587" s="11" t="inlineStr">
        <is>
          <t>Contenido</t>
        </is>
      </c>
      <c r="AO587" s="11" t="n"/>
      <c r="AP587" s="11" t="inlineStr">
        <is>
          <t>PISA-EP4;</t>
        </is>
      </c>
      <c r="AQ587" s="11" t="inlineStr">
        <is>
          <t>Sin contexto</t>
        </is>
      </c>
      <c r="AR587" s="11" t="n"/>
      <c r="AS587" s="11" t="inlineStr">
        <is>
          <t>Media</t>
        </is>
      </c>
      <c r="AT587" s="11" t="inlineStr">
        <is>
          <t>media</t>
        </is>
      </c>
      <c r="AU587" s="11" t="inlineStr">
        <is>
          <t>Generación y propagación de olas en un modelo físico.</t>
        </is>
      </c>
      <c r="AV587" s="11" t="inlineStr">
        <is>
          <t>Ciclo 7°–9°</t>
        </is>
      </c>
      <c r="AW587" s="11">
        <f>AF587&amp;"; "&amp;AG587&amp;"; "&amp;AH587&amp;"; "&amp;AI587&amp;"; "&amp;AJ587</f>
        <v/>
      </c>
    </row>
    <row r="588">
      <c r="A588" s="11" t="inlineStr">
        <is>
          <t>T1222-G09-CIE</t>
        </is>
      </c>
      <c r="B588" s="11" t="n">
        <v>9</v>
      </c>
      <c r="C588" s="11" t="inlineStr">
        <is>
          <t>Ciencias</t>
        </is>
      </c>
      <c r="D588" s="11" t="inlineStr">
        <is>
          <t>Matriz_Ciencias_9no_Grado_U1_U7.xlsx</t>
        </is>
      </c>
      <c r="E588" s="11" t="inlineStr">
        <is>
          <t>Unidad 4 - Oceanografía</t>
        </is>
      </c>
      <c r="F588" s="11" t="n">
        <v>12</v>
      </c>
      <c r="G588" s="11" t="inlineStr">
        <is>
          <t>4. Oceanografía</t>
        </is>
      </c>
      <c r="H588" s="11" t="inlineStr">
        <is>
          <t>Oceanografía física</t>
        </is>
      </c>
      <c r="I588" s="38" t="inlineStr">
        <is>
          <t>4.10. Explicación del fenómeno de las mareas en el planeta Tierra.</t>
        </is>
      </c>
      <c r="J588" s="11" t="inlineStr">
        <is>
          <t>PISA</t>
        </is>
      </c>
      <c r="K588" s="11" t="inlineStr">
        <is>
          <t>T8_27-E4.1</t>
        </is>
      </c>
      <c r="L588" s="11" t="inlineStr"/>
      <c r="M588" s="11">
        <f>IF(K588="FUERA","Fuera del marco",IF(K588="N/A","Sin marco",IFERROR(INDEX('Datos - Catálogo TIMSS'!$C$5:$C$107,MATCH(K588,'Datos - Catálogo TIMSS'!$A$5:$A$107,0)),"Pendiente de clasificar")))</f>
        <v/>
      </c>
      <c r="N588" s="11">
        <f>IF(K588="FUERA","Fuera del marco",IF(K588="N/A","Sin marco",IFERROR(INDEX('Datos - Catálogo TIMSS'!$F$5:$F$107,MATCH(K588,'Datos - Catálogo TIMSS'!$A$5:$A$107,0)),"Pendiente de clasificar")))</f>
        <v/>
      </c>
      <c r="O588" s="11">
        <f>IF(L588="","",IFERROR(INDEX('Datos - Catálogo TIMSS'!$C$5:$C$107,MATCH(L588,'Datos - Catálogo TIMSS'!$A$5:$A$107,0)),"?"))</f>
        <v/>
      </c>
      <c r="P588" s="11" t="inlineStr">
        <is>
          <t>alta</t>
        </is>
      </c>
      <c r="Q588" s="38" t="inlineStr">
        <is>
          <t>Mareas causadas por la Luna</t>
        </is>
      </c>
      <c r="R588" s="38" t="inlineStr">
        <is>
          <t>Aplicar: usar modelos</t>
        </is>
      </c>
      <c r="S588" s="39">
        <f>IFERROR(ISNUMBER(SEARCH("Conocer",$R588))/(ISNUMBER(SEARCH("Conocer",$R588))+ISNUMBER(SEARCH("Aplicar",$R588))+ISNUMBER(SEARCH("Razonar",$R588))),0)</f>
        <v/>
      </c>
      <c r="T588" s="39">
        <f>IFERROR(ISNUMBER(SEARCH("Aplicar",$R588))/(ISNUMBER(SEARCH("Conocer",$R588))+ISNUMBER(SEARCH("Aplicar",$R588))+ISNUMBER(SEARCH("Razonar",$R588))),0)</f>
        <v/>
      </c>
      <c r="U588" s="39">
        <f>IFERROR(ISNUMBER(SEARCH("Razonar",$R588))/(ISNUMBER(SEARCH("Conocer",$R588))+ISNUMBER(SEARCH("Aplicar",$R588))+ISNUMBER(SEARCH("Razonar",$R588))),0)</f>
        <v/>
      </c>
      <c r="V588" s="11" t="inlineStr">
        <is>
          <t>9°</t>
        </is>
      </c>
      <c r="W588" s="11" t="inlineStr">
        <is>
          <t>9°</t>
        </is>
      </c>
      <c r="X588" s="11">
        <f>IF(OR(IFERROR(INDEX('Datos - Catálogo TIMSS'!$I$5:$I$107,MATCH(K588,'Datos - Catálogo TIMSS'!$A$5:$A$107,0)),"No")="Sí",IFERROR(INDEX('Datos - Catálogo TIMSS'!$I$5:$I$107,MATCH(L588,'Datos - Catálogo TIMSS'!$A$5:$A$107,0)),"No")="Sí"),1,0)</f>
        <v/>
      </c>
      <c r="Y588" s="11">
        <f>IF(IFERROR(INDEX('Datos - Catálogo TIMSS'!$J$5:$J$107,MATCH(K588,'Datos - Catálogo TIMSS'!$A$5:$A$107,0)),"No")="Sí",1,0)</f>
        <v/>
      </c>
      <c r="Z588" s="11">
        <f>IF(IFERROR(INDEX('Datos - Catálogo TIMSS'!$J$5:$J$107,MATCH(L588,'Datos - Catálogo TIMSS'!$A$5:$A$107,0)),"No")="Sí",1,0)</f>
        <v/>
      </c>
      <c r="AA588" s="11" t="inlineStr">
        <is>
          <t>T8-T4.1</t>
        </is>
      </c>
      <c r="AB588" s="11" t="inlineStr"/>
      <c r="AC588" s="11">
        <f>IF(AA588="FUERA","Fuera del marco",IF(AA588="N/A","Sin marco",IFERROR(INDEX('Datos - TIMSS 2023'!$C$5:$C$105,MATCH(AA588,'Datos - TIMSS 2023'!$A$5:$A$105,0)),"Pendiente de clasificar")))</f>
        <v/>
      </c>
      <c r="AD588" s="11" t="inlineStr">
        <is>
          <t>1. Explicar fenómenos científicamente</t>
        </is>
      </c>
      <c r="AE588" s="11">
        <f>IF(AD588="","",IF(LEFT(AD588,1)="1","C1",IF(LEFT(AD588,1)="2","C2",IF(LEFT(AD588,1)="3","C3",""))))</f>
        <v/>
      </c>
      <c r="AF588" s="11" t="inlineStr">
        <is>
          <t>E1</t>
        </is>
      </c>
      <c r="AG588" s="11" t="inlineStr">
        <is>
          <t>D1</t>
        </is>
      </c>
      <c r="AH588" s="11" t="inlineStr">
        <is>
          <t>E4</t>
        </is>
      </c>
      <c r="AI588" s="11" t="inlineStr">
        <is>
          <t>D4</t>
        </is>
      </c>
      <c r="AJ588" s="11" t="inlineStr">
        <is>
          <t>E6</t>
        </is>
      </c>
      <c r="AK588" s="11" t="inlineStr">
        <is>
          <t>PISA-T7</t>
        </is>
      </c>
      <c r="AL588" s="11" t="inlineStr">
        <is>
          <t>PISA-F3</t>
        </is>
      </c>
      <c r="AM588" s="11">
        <f>IF(AK588="FUERA","Fuera del marco",IFERROR(INDEX('Datos - Catálogo PISA'!$C$5:$C$76,MATCH(AK588,'Datos - Catálogo PISA'!$A$5:$A$76,0)),"?"))</f>
        <v/>
      </c>
      <c r="AN588" s="11" t="inlineStr">
        <is>
          <t>Contenido</t>
        </is>
      </c>
      <c r="AO588" s="11" t="n"/>
      <c r="AP588" s="11" t="inlineStr">
        <is>
          <t>PISA-EP4;</t>
        </is>
      </c>
      <c r="AQ588" s="11" t="inlineStr">
        <is>
          <t>Sin contexto</t>
        </is>
      </c>
      <c r="AR588" s="11" t="n"/>
      <c r="AS588" s="11" t="inlineStr">
        <is>
          <t>Media</t>
        </is>
      </c>
      <c r="AT588" s="11" t="inlineStr">
        <is>
          <t>alta</t>
        </is>
      </c>
      <c r="AU588" s="11" t="inlineStr">
        <is>
          <t>Mareas por atracción gravitatoria Luna-Sol, explicadas con modelo.</t>
        </is>
      </c>
      <c r="AV588" s="11" t="inlineStr">
        <is>
          <t>Ciclo 7°–9°</t>
        </is>
      </c>
      <c r="AW588" s="11">
        <f>AF588&amp;"; "&amp;AG588&amp;"; "&amp;AH588&amp;"; "&amp;AI588&amp;"; "&amp;AJ588</f>
        <v/>
      </c>
    </row>
    <row r="589">
      <c r="A589" s="11" t="inlineStr">
        <is>
          <t>T1223-G09-CIE</t>
        </is>
      </c>
      <c r="B589" s="11" t="n">
        <v>9</v>
      </c>
      <c r="C589" s="11" t="inlineStr">
        <is>
          <t>Ciencias</t>
        </is>
      </c>
      <c r="D589" s="11" t="inlineStr">
        <is>
          <t>Matriz_Ciencias_9no_Grado_U1_U7.xlsx</t>
        </is>
      </c>
      <c r="E589" s="11" t="inlineStr">
        <is>
          <t>Unidad 4 - Oceanografía</t>
        </is>
      </c>
      <c r="F589" s="11" t="n">
        <v>13</v>
      </c>
      <c r="G589" s="11" t="inlineStr">
        <is>
          <t>4. Oceanografía</t>
        </is>
      </c>
      <c r="H589" s="11" t="inlineStr">
        <is>
          <t>Oceanografía geológica</t>
        </is>
      </c>
      <c r="I589" s="38" t="inlineStr">
        <is>
          <t>4.11. Indagación del fenómeno de sedimentación marina a partir de modelos.</t>
        </is>
      </c>
      <c r="J589" s="11" t="inlineStr">
        <is>
          <t>PISA</t>
        </is>
      </c>
      <c r="K589" s="11" t="inlineStr">
        <is>
          <t>T8_27-E1.2</t>
        </is>
      </c>
      <c r="L589" s="11" t="inlineStr"/>
      <c r="M589" s="11">
        <f>IF(K589="FUERA","Fuera del marco",IF(K589="N/A","Sin marco",IFERROR(INDEX('Datos - Catálogo TIMSS'!$C$5:$C$107,MATCH(K589,'Datos - Catálogo TIMSS'!$A$5:$A$107,0)),"Pendiente de clasificar")))</f>
        <v/>
      </c>
      <c r="N589" s="11">
        <f>IF(K589="FUERA","Fuera del marco",IF(K589="N/A","Sin marco",IFERROR(INDEX('Datos - Catálogo TIMSS'!$F$5:$F$107,MATCH(K589,'Datos - Catálogo TIMSS'!$A$5:$A$107,0)),"Pendiente de clasificar")))</f>
        <v/>
      </c>
      <c r="O589" s="11">
        <f>IF(L589="","",IFERROR(INDEX('Datos - Catálogo TIMSS'!$C$5:$C$107,MATCH(L589,'Datos - Catálogo TIMSS'!$A$5:$A$107,0)),"?"))</f>
        <v/>
      </c>
      <c r="P589" s="11" t="inlineStr">
        <is>
          <t>media</t>
        </is>
      </c>
      <c r="Q589" s="38" t="inlineStr">
        <is>
          <t>Sedimentación marina dentro del ciclo de las rocas</t>
        </is>
      </c>
      <c r="R589" s="38" t="inlineStr">
        <is>
          <t>Aplicar: usar modelos</t>
        </is>
      </c>
      <c r="S589" s="39">
        <f>IFERROR(ISNUMBER(SEARCH("Conocer",$R589))/(ISNUMBER(SEARCH("Conocer",$R589))+ISNUMBER(SEARCH("Aplicar",$R589))+ISNUMBER(SEARCH("Razonar",$R589))),0)</f>
        <v/>
      </c>
      <c r="T589" s="39">
        <f>IFERROR(ISNUMBER(SEARCH("Aplicar",$R589))/(ISNUMBER(SEARCH("Conocer",$R589))+ISNUMBER(SEARCH("Aplicar",$R589))+ISNUMBER(SEARCH("Razonar",$R589))),0)</f>
        <v/>
      </c>
      <c r="U589" s="39">
        <f>IFERROR(ISNUMBER(SEARCH("Razonar",$R589))/(ISNUMBER(SEARCH("Conocer",$R589))+ISNUMBER(SEARCH("Aplicar",$R589))+ISNUMBER(SEARCH("Razonar",$R589))),0)</f>
        <v/>
      </c>
      <c r="V589" s="11" t="inlineStr">
        <is>
          <t>9°</t>
        </is>
      </c>
      <c r="W589" s="11" t="inlineStr">
        <is>
          <t>9°</t>
        </is>
      </c>
      <c r="X589" s="11">
        <f>IF(OR(IFERROR(INDEX('Datos - Catálogo TIMSS'!$I$5:$I$107,MATCH(K589,'Datos - Catálogo TIMSS'!$A$5:$A$107,0)),"No")="Sí",IFERROR(INDEX('Datos - Catálogo TIMSS'!$I$5:$I$107,MATCH(L589,'Datos - Catálogo TIMSS'!$A$5:$A$107,0)),"No")="Sí"),1,0)</f>
        <v/>
      </c>
      <c r="Y589" s="11">
        <f>IF(IFERROR(INDEX('Datos - Catálogo TIMSS'!$J$5:$J$107,MATCH(K589,'Datos - Catálogo TIMSS'!$A$5:$A$107,0)),"No")="Sí",1,0)</f>
        <v/>
      </c>
      <c r="Z589" s="11">
        <f>IF(IFERROR(INDEX('Datos - Catálogo TIMSS'!$J$5:$J$107,MATCH(L589,'Datos - Catálogo TIMSS'!$A$5:$A$107,0)),"No")="Sí",1,0)</f>
        <v/>
      </c>
      <c r="AA589" s="11" t="inlineStr">
        <is>
          <t>T8-T2.1</t>
        </is>
      </c>
      <c r="AB589" s="11" t="inlineStr"/>
      <c r="AC589" s="11">
        <f>IF(AA589="FUERA","Fuera del marco",IF(AA589="N/A","Sin marco",IFERROR(INDEX('Datos - TIMSS 2023'!$C$5:$C$105,MATCH(AA589,'Datos - TIMSS 2023'!$A$5:$A$105,0)),"Pendiente de clasificar")))</f>
        <v/>
      </c>
      <c r="AD589" s="11" t="inlineStr">
        <is>
          <t>1. Explicar fenómenos científicamente</t>
        </is>
      </c>
      <c r="AE589" s="11">
        <f>IF(AD589="","",IF(LEFT(AD589,1)="1","C1",IF(LEFT(AD589,1)="2","C2",IF(LEFT(AD589,1)="3","C3",""))))</f>
        <v/>
      </c>
      <c r="AF589" s="11" t="inlineStr">
        <is>
          <t>E1</t>
        </is>
      </c>
      <c r="AG589" s="11" t="inlineStr">
        <is>
          <t>D1</t>
        </is>
      </c>
      <c r="AH589" s="11" t="inlineStr">
        <is>
          <t>E4</t>
        </is>
      </c>
      <c r="AI589" s="11" t="inlineStr">
        <is>
          <t>D4</t>
        </is>
      </c>
      <c r="AJ589" s="11" t="inlineStr">
        <is>
          <t>E1</t>
        </is>
      </c>
      <c r="AK589" s="11" t="inlineStr">
        <is>
          <t>PISA-T6</t>
        </is>
      </c>
      <c r="AL589" s="11" t="n"/>
      <c r="AM589" s="11">
        <f>IF(AK589="FUERA","Fuera del marco",IFERROR(INDEX('Datos - Catálogo PISA'!$C$5:$C$76,MATCH(AK589,'Datos - Catálogo PISA'!$A$5:$A$76,0)),"?"))</f>
        <v/>
      </c>
      <c r="AN589" s="11" t="inlineStr">
        <is>
          <t>Contenido</t>
        </is>
      </c>
      <c r="AO589" s="11" t="n"/>
      <c r="AP589" s="11" t="inlineStr">
        <is>
          <t>PISA-EP4;</t>
        </is>
      </c>
      <c r="AQ589" s="11" t="inlineStr">
        <is>
          <t>Sin contexto</t>
        </is>
      </c>
      <c r="AR589" s="11" t="n"/>
      <c r="AS589" s="11" t="inlineStr">
        <is>
          <t>Media</t>
        </is>
      </c>
      <c r="AT589" s="11" t="inlineStr">
        <is>
          <t>alta</t>
        </is>
      </c>
      <c r="AU589" s="11" t="inlineStr">
        <is>
          <t>Sedimentación marina explicada mediante un modelo.</t>
        </is>
      </c>
      <c r="AV589" s="11" t="inlineStr">
        <is>
          <t>Ciclo 7°–9°</t>
        </is>
      </c>
      <c r="AW589" s="11">
        <f>AF589&amp;"; "&amp;AG589&amp;"; "&amp;AH589&amp;"; "&amp;AI589&amp;"; "&amp;AJ589</f>
        <v/>
      </c>
    </row>
    <row r="590">
      <c r="A590" s="11" t="inlineStr">
        <is>
          <t>T1224-G09-CIE</t>
        </is>
      </c>
      <c r="B590" s="11" t="n">
        <v>9</v>
      </c>
      <c r="C590" s="11" t="inlineStr">
        <is>
          <t>Ciencias</t>
        </is>
      </c>
      <c r="D590" s="11" t="inlineStr">
        <is>
          <t>Matriz_Ciencias_9no_Grado_U1_U7.xlsx</t>
        </is>
      </c>
      <c r="E590" s="11" t="inlineStr">
        <is>
          <t>Unidad 4 - Oceanografía</t>
        </is>
      </c>
      <c r="F590" s="11" t="n">
        <v>14</v>
      </c>
      <c r="G590" s="11" t="inlineStr">
        <is>
          <t>4. Oceanografía</t>
        </is>
      </c>
      <c r="H590" s="11" t="inlineStr">
        <is>
          <t>Oceanografía geológica</t>
        </is>
      </c>
      <c r="I590" s="38" t="inlineStr">
        <is>
          <t>4.12. Representación de los procesos que intervienen en la dinámica costera.</t>
        </is>
      </c>
      <c r="J590" s="11" t="inlineStr">
        <is>
          <t>PISA</t>
        </is>
      </c>
      <c r="K590" s="11" t="inlineStr">
        <is>
          <t>T8_27-E1.2</t>
        </is>
      </c>
      <c r="L590" s="11" t="inlineStr"/>
      <c r="M590" s="11">
        <f>IF(K590="FUERA","Fuera del marco",IF(K590="N/A","Sin marco",IFERROR(INDEX('Datos - Catálogo TIMSS'!$C$5:$C$107,MATCH(K590,'Datos - Catálogo TIMSS'!$A$5:$A$107,0)),"Pendiente de clasificar")))</f>
        <v/>
      </c>
      <c r="N590" s="11">
        <f>IF(K590="FUERA","Fuera del marco",IF(K590="N/A","Sin marco",IFERROR(INDEX('Datos - Catálogo TIMSS'!$F$5:$F$107,MATCH(K590,'Datos - Catálogo TIMSS'!$A$5:$A$107,0)),"Pendiente de clasificar")))</f>
        <v/>
      </c>
      <c r="O590" s="11">
        <f>IF(L590="","",IFERROR(INDEX('Datos - Catálogo TIMSS'!$C$5:$C$107,MATCH(L590,'Datos - Catálogo TIMSS'!$A$5:$A$107,0)),"?"))</f>
        <v/>
      </c>
      <c r="P590" s="11" t="inlineStr">
        <is>
          <t>media</t>
        </is>
      </c>
      <c r="Q590" s="38" t="inlineStr">
        <is>
          <t>Procesos costeros que cambian la superficie terrestre</t>
        </is>
      </c>
      <c r="R590" s="38" t="inlineStr">
        <is>
          <t>Aplicar: representar e interpretar</t>
        </is>
      </c>
      <c r="S590" s="39">
        <f>IFERROR(ISNUMBER(SEARCH("Conocer",$R590))/(ISNUMBER(SEARCH("Conocer",$R590))+ISNUMBER(SEARCH("Aplicar",$R590))+ISNUMBER(SEARCH("Razonar",$R590))),0)</f>
        <v/>
      </c>
      <c r="T590" s="39">
        <f>IFERROR(ISNUMBER(SEARCH("Aplicar",$R590))/(ISNUMBER(SEARCH("Conocer",$R590))+ISNUMBER(SEARCH("Aplicar",$R590))+ISNUMBER(SEARCH("Razonar",$R590))),0)</f>
        <v/>
      </c>
      <c r="U590" s="39">
        <f>IFERROR(ISNUMBER(SEARCH("Razonar",$R590))/(ISNUMBER(SEARCH("Conocer",$R590))+ISNUMBER(SEARCH("Aplicar",$R590))+ISNUMBER(SEARCH("Razonar",$R590))),0)</f>
        <v/>
      </c>
      <c r="V590" s="11" t="inlineStr">
        <is>
          <t>9°</t>
        </is>
      </c>
      <c r="W590" s="11" t="inlineStr">
        <is>
          <t>9°</t>
        </is>
      </c>
      <c r="X590" s="11">
        <f>IF(OR(IFERROR(INDEX('Datos - Catálogo TIMSS'!$I$5:$I$107,MATCH(K590,'Datos - Catálogo TIMSS'!$A$5:$A$107,0)),"No")="Sí",IFERROR(INDEX('Datos - Catálogo TIMSS'!$I$5:$I$107,MATCH(L590,'Datos - Catálogo TIMSS'!$A$5:$A$107,0)),"No")="Sí"),1,0)</f>
        <v/>
      </c>
      <c r="Y590" s="11">
        <f>IF(IFERROR(INDEX('Datos - Catálogo TIMSS'!$J$5:$J$107,MATCH(K590,'Datos - Catálogo TIMSS'!$A$5:$A$107,0)),"No")="Sí",1,0)</f>
        <v/>
      </c>
      <c r="Z590" s="11">
        <f>IF(IFERROR(INDEX('Datos - Catálogo TIMSS'!$J$5:$J$107,MATCH(L590,'Datos - Catálogo TIMSS'!$A$5:$A$107,0)),"No")="Sí",1,0)</f>
        <v/>
      </c>
      <c r="AA590" s="11" t="inlineStr">
        <is>
          <t>T8-T2.1</t>
        </is>
      </c>
      <c r="AB590" s="11" t="inlineStr"/>
      <c r="AC590" s="11">
        <f>IF(AA590="FUERA","Fuera del marco",IF(AA590="N/A","Sin marco",IFERROR(INDEX('Datos - TIMSS 2023'!$C$5:$C$105,MATCH(AA590,'Datos - TIMSS 2023'!$A$5:$A$105,0)),"Pendiente de clasificar")))</f>
        <v/>
      </c>
      <c r="AD590" s="11" t="inlineStr">
        <is>
          <t>1. Explicar fenómenos científicamente</t>
        </is>
      </c>
      <c r="AE590" s="11">
        <f>IF(AD590="","",IF(LEFT(AD590,1)="1","C1",IF(LEFT(AD590,1)="2","C2",IF(LEFT(AD590,1)="3","C3",""))))</f>
        <v/>
      </c>
      <c r="AF590" s="11" t="inlineStr">
        <is>
          <t>E6</t>
        </is>
      </c>
      <c r="AG590" s="11" t="inlineStr">
        <is>
          <t>D1</t>
        </is>
      </c>
      <c r="AH590" s="11" t="inlineStr">
        <is>
          <t>E4</t>
        </is>
      </c>
      <c r="AI590" s="11" t="inlineStr">
        <is>
          <t>D4</t>
        </is>
      </c>
      <c r="AJ590" s="11" t="inlineStr">
        <is>
          <t>E6</t>
        </is>
      </c>
      <c r="AK590" s="11" t="inlineStr">
        <is>
          <t>PISA-T6</t>
        </is>
      </c>
      <c r="AL590" s="11" t="inlineStr">
        <is>
          <t>PISA-T5</t>
        </is>
      </c>
      <c r="AM590" s="11">
        <f>IF(AK590="FUERA","Fuera del marco",IFERROR(INDEX('Datos - Catálogo PISA'!$C$5:$C$76,MATCH(AK590,'Datos - Catálogo PISA'!$A$5:$A$76,0)),"?"))</f>
        <v/>
      </c>
      <c r="AN590" s="11" t="inlineStr">
        <is>
          <t>Contenido</t>
        </is>
      </c>
      <c r="AO590" s="11" t="n"/>
      <c r="AP590" s="11" t="n"/>
      <c r="AQ590" s="11" t="inlineStr">
        <is>
          <t>Sin contexto</t>
        </is>
      </c>
      <c r="AR590" s="11" t="n"/>
      <c r="AS590" s="11" t="inlineStr">
        <is>
          <t>Baja</t>
        </is>
      </c>
      <c r="AT590" s="11" t="inlineStr">
        <is>
          <t>alta</t>
        </is>
      </c>
      <c r="AU590" s="11" t="inlineStr">
        <is>
          <t>Erosión y sedimentación en la dinámica costera.</t>
        </is>
      </c>
      <c r="AV590" s="11" t="inlineStr">
        <is>
          <t>Ciclo 7°–9°</t>
        </is>
      </c>
      <c r="AW590" s="11">
        <f>AF590&amp;"; "&amp;AG590&amp;"; "&amp;AH590&amp;"; "&amp;AI590&amp;"; "&amp;AJ590</f>
        <v/>
      </c>
    </row>
    <row r="591">
      <c r="A591" s="11" t="inlineStr">
        <is>
          <t>T1225-G09-CIE</t>
        </is>
      </c>
      <c r="B591" s="11" t="n">
        <v>9</v>
      </c>
      <c r="C591" s="11" t="inlineStr">
        <is>
          <t>Ciencias</t>
        </is>
      </c>
      <c r="D591" s="11" t="inlineStr">
        <is>
          <t>Matriz_Ciencias_9no_Grado_U1_U7.xlsx</t>
        </is>
      </c>
      <c r="E591" s="11" t="inlineStr">
        <is>
          <t>Unidad 4 - Oceanografía</t>
        </is>
      </c>
      <c r="F591" s="11" t="n">
        <v>15</v>
      </c>
      <c r="G591" s="11" t="inlineStr">
        <is>
          <t>4. Oceanografía</t>
        </is>
      </c>
      <c r="H591" s="11" t="inlineStr">
        <is>
          <t>Biología marina</t>
        </is>
      </c>
      <c r="I591" s="38" t="inlineStr">
        <is>
          <t>4.13. Caracterización de los ecosistemas marino-costeros.</t>
        </is>
      </c>
      <c r="J591" s="11" t="inlineStr">
        <is>
          <t>PISA</t>
        </is>
      </c>
      <c r="K591" s="11" t="inlineStr">
        <is>
          <t>T8_27-B5.1</t>
        </is>
      </c>
      <c r="L591" s="11" t="inlineStr"/>
      <c r="M591" s="11">
        <f>IF(K591="FUERA","Fuera del marco",IF(K591="N/A","Sin marco",IFERROR(INDEX('Datos - Catálogo TIMSS'!$C$5:$C$107,MATCH(K591,'Datos - Catálogo TIMSS'!$A$5:$A$107,0)),"Pendiente de clasificar")))</f>
        <v/>
      </c>
      <c r="N591" s="11">
        <f>IF(K591="FUERA","Fuera del marco",IF(K591="N/A","Sin marco",IFERROR(INDEX('Datos - Catálogo TIMSS'!$F$5:$F$107,MATCH(K591,'Datos - Catálogo TIMSS'!$A$5:$A$107,0)),"Pendiente de clasificar")))</f>
        <v/>
      </c>
      <c r="O591" s="11">
        <f>IF(L591="","",IFERROR(INDEX('Datos - Catálogo TIMSS'!$C$5:$C$107,MATCH(L591,'Datos - Catálogo TIMSS'!$A$5:$A$107,0)),"?"))</f>
        <v/>
      </c>
      <c r="P591" s="11" t="inlineStr">
        <is>
          <t>alta</t>
        </is>
      </c>
      <c r="Q591" s="38" t="inlineStr">
        <is>
          <t>Rasgos y organismos de ecosistemas marino-costeros</t>
        </is>
      </c>
      <c r="R591" s="38" t="inlineStr">
        <is>
          <t>Conocer: caracterizar</t>
        </is>
      </c>
      <c r="S591" s="39">
        <f>IFERROR(ISNUMBER(SEARCH("Conocer",$R591))/(ISNUMBER(SEARCH("Conocer",$R591))+ISNUMBER(SEARCH("Aplicar",$R591))+ISNUMBER(SEARCH("Razonar",$R591))),0)</f>
        <v/>
      </c>
      <c r="T591" s="39">
        <f>IFERROR(ISNUMBER(SEARCH("Aplicar",$R591))/(ISNUMBER(SEARCH("Conocer",$R591))+ISNUMBER(SEARCH("Aplicar",$R591))+ISNUMBER(SEARCH("Razonar",$R591))),0)</f>
        <v/>
      </c>
      <c r="U591" s="39">
        <f>IFERROR(ISNUMBER(SEARCH("Razonar",$R591))/(ISNUMBER(SEARCH("Conocer",$R591))+ISNUMBER(SEARCH("Aplicar",$R591))+ISNUMBER(SEARCH("Razonar",$R591))),0)</f>
        <v/>
      </c>
      <c r="V591" s="11" t="inlineStr">
        <is>
          <t>9°</t>
        </is>
      </c>
      <c r="W591" s="11" t="inlineStr">
        <is>
          <t>9°</t>
        </is>
      </c>
      <c r="X591" s="11">
        <f>IF(OR(IFERROR(INDEX('Datos - Catálogo TIMSS'!$I$5:$I$107,MATCH(K591,'Datos - Catálogo TIMSS'!$A$5:$A$107,0)),"No")="Sí",IFERROR(INDEX('Datos - Catálogo TIMSS'!$I$5:$I$107,MATCH(L591,'Datos - Catálogo TIMSS'!$A$5:$A$107,0)),"No")="Sí"),1,0)</f>
        <v/>
      </c>
      <c r="Y591" s="11">
        <f>IF(IFERROR(INDEX('Datos - Catálogo TIMSS'!$J$5:$J$107,MATCH(K591,'Datos - Catálogo TIMSS'!$A$5:$A$107,0)),"No")="Sí",1,0)</f>
        <v/>
      </c>
      <c r="Z591" s="11">
        <f>IF(IFERROR(INDEX('Datos - Catálogo TIMSS'!$J$5:$J$107,MATCH(L591,'Datos - Catálogo TIMSS'!$A$5:$A$107,0)),"No")="Sí",1,0)</f>
        <v/>
      </c>
      <c r="AA591" s="11" t="inlineStr">
        <is>
          <t>T8-B5.1</t>
        </is>
      </c>
      <c r="AB591" s="11" t="inlineStr"/>
      <c r="AC591" s="11">
        <f>IF(AA591="FUERA","Fuera del marco",IF(AA591="N/A","Sin marco",IFERROR(INDEX('Datos - TIMSS 2023'!$C$5:$C$105,MATCH(AA591,'Datos - TIMSS 2023'!$A$5:$A$105,0)),"Pendiente de clasificar")))</f>
        <v/>
      </c>
      <c r="AD591" s="11" t="inlineStr">
        <is>
          <t>1. Explicar fenómenos científicamente</t>
        </is>
      </c>
      <c r="AE591" s="11">
        <f>IF(AD591="","",IF(LEFT(AD591,1)="1","C1",IF(LEFT(AD591,1)="2","C2",IF(LEFT(AD591,1)="3","C3",""))))</f>
        <v/>
      </c>
      <c r="AF591" s="11" t="inlineStr">
        <is>
          <t>E6</t>
        </is>
      </c>
      <c r="AG591" s="11" t="inlineStr">
        <is>
          <t>D1</t>
        </is>
      </c>
      <c r="AH591" s="11" t="inlineStr">
        <is>
          <t>E1</t>
        </is>
      </c>
      <c r="AI591" s="11" t="inlineStr">
        <is>
          <t>D4</t>
        </is>
      </c>
      <c r="AJ591" s="11" t="inlineStr">
        <is>
          <t>E6</t>
        </is>
      </c>
      <c r="AK591" s="11" t="inlineStr">
        <is>
          <t>PISA-V6</t>
        </is>
      </c>
      <c r="AL591" s="11" t="n"/>
      <c r="AM591" s="11">
        <f>IF(AK591="FUERA","Fuera del marco",IFERROR(INDEX('Datos - Catálogo PISA'!$C$5:$C$76,MATCH(AK591,'Datos - Catálogo PISA'!$A$5:$A$76,0)),"?"))</f>
        <v/>
      </c>
      <c r="AN591" s="11" t="inlineStr">
        <is>
          <t>Contenido</t>
        </is>
      </c>
      <c r="AO591" s="11" t="n"/>
      <c r="AP591" s="11" t="n"/>
      <c r="AQ591" s="11" t="inlineStr">
        <is>
          <t>Local/nacional</t>
        </is>
      </c>
      <c r="AR591" s="11" t="inlineStr">
        <is>
          <t>Recursos naturales</t>
        </is>
      </c>
      <c r="AS591" s="11" t="inlineStr">
        <is>
          <t>Media</t>
        </is>
      </c>
      <c r="AT591" s="11" t="inlineStr">
        <is>
          <t>alta</t>
        </is>
      </c>
      <c r="AU591" s="11" t="inlineStr">
        <is>
          <t>Ecosistemas marino-costeros de El Salvador.</t>
        </is>
      </c>
      <c r="AV591" s="11" t="inlineStr">
        <is>
          <t>Ciclo 7°–9°</t>
        </is>
      </c>
      <c r="AW591" s="11">
        <f>AF591&amp;"; "&amp;AG591&amp;"; "&amp;AH591&amp;"; "&amp;AI591&amp;"; "&amp;AJ591</f>
        <v/>
      </c>
    </row>
    <row r="592">
      <c r="A592" s="11" t="inlineStr">
        <is>
          <t>T1226-G09-CIE</t>
        </is>
      </c>
      <c r="B592" s="11" t="n">
        <v>9</v>
      </c>
      <c r="C592" s="11" t="inlineStr">
        <is>
          <t>Ciencias</t>
        </is>
      </c>
      <c r="D592" s="11" t="inlineStr">
        <is>
          <t>Matriz_Ciencias_9no_Grado_U1_U7.xlsx</t>
        </is>
      </c>
      <c r="E592" s="11" t="inlineStr">
        <is>
          <t>Unidad 4 - Oceanografía</t>
        </is>
      </c>
      <c r="F592" s="11" t="n">
        <v>16</v>
      </c>
      <c r="G592" s="11" t="inlineStr">
        <is>
          <t>4. Oceanografía</t>
        </is>
      </c>
      <c r="H592" s="11" t="inlineStr">
        <is>
          <t>Biología marina</t>
        </is>
      </c>
      <c r="I592" s="38" t="inlineStr">
        <is>
          <t>4.14. Demostración experimental de las variables que influyen en la estratificación vertical del ambiente marino.</t>
        </is>
      </c>
      <c r="J592" s="11" t="inlineStr">
        <is>
          <t>PISA</t>
        </is>
      </c>
      <c r="K592" s="11" t="inlineStr">
        <is>
          <t>T8_27-P5.3</t>
        </is>
      </c>
      <c r="L592" s="11" t="inlineStr">
        <is>
          <t>T8_27-E1.1</t>
        </is>
      </c>
      <c r="M592" s="11">
        <f>IF(K592="FUERA","Fuera del marco",IF(K592="N/A","Sin marco",IFERROR(INDEX('Datos - Catálogo TIMSS'!$C$5:$C$107,MATCH(K592,'Datos - Catálogo TIMSS'!$A$5:$A$107,0)),"Pendiente de clasificar")))</f>
        <v/>
      </c>
      <c r="N592" s="11">
        <f>IF(K592="FUERA","Fuera del marco",IF(K592="N/A","Sin marco",IFERROR(INDEX('Datos - Catálogo TIMSS'!$F$5:$F$107,MATCH(K592,'Datos - Catálogo TIMSS'!$A$5:$A$107,0)),"Pendiente de clasificar")))</f>
        <v/>
      </c>
      <c r="O592" s="11">
        <f>IF(L592="","",IFERROR(INDEX('Datos - Catálogo TIMSS'!$C$5:$C$107,MATCH(L592,'Datos - Catálogo TIMSS'!$A$5:$A$107,0)),"?"))</f>
        <v/>
      </c>
      <c r="P592" s="11" t="inlineStr">
        <is>
          <t>baja</t>
        </is>
      </c>
      <c r="Q592" s="38" t="inlineStr">
        <is>
          <t>Estratificación por densidad y temperatura; encaje débil</t>
        </is>
      </c>
      <c r="R592" s="38" t="inlineStr">
        <is>
          <t>Aplicar: demostrar</t>
        </is>
      </c>
      <c r="S592" s="39">
        <f>IFERROR(ISNUMBER(SEARCH("Conocer",$R592))/(ISNUMBER(SEARCH("Conocer",$R592))+ISNUMBER(SEARCH("Aplicar",$R592))+ISNUMBER(SEARCH("Razonar",$R592))),0)</f>
        <v/>
      </c>
      <c r="T592" s="39">
        <f>IFERROR(ISNUMBER(SEARCH("Aplicar",$R592))/(ISNUMBER(SEARCH("Conocer",$R592))+ISNUMBER(SEARCH("Aplicar",$R592))+ISNUMBER(SEARCH("Razonar",$R592))),0)</f>
        <v/>
      </c>
      <c r="U592" s="39">
        <f>IFERROR(ISNUMBER(SEARCH("Razonar",$R592))/(ISNUMBER(SEARCH("Conocer",$R592))+ISNUMBER(SEARCH("Aplicar",$R592))+ISNUMBER(SEARCH("Razonar",$R592))),0)</f>
        <v/>
      </c>
      <c r="V592" s="11" t="inlineStr">
        <is>
          <t>9°</t>
        </is>
      </c>
      <c r="W592" s="11" t="inlineStr">
        <is>
          <t>9°</t>
        </is>
      </c>
      <c r="X592" s="11">
        <f>IF(OR(IFERROR(INDEX('Datos - Catálogo TIMSS'!$I$5:$I$107,MATCH(K592,'Datos - Catálogo TIMSS'!$A$5:$A$107,0)),"No")="Sí",IFERROR(INDEX('Datos - Catálogo TIMSS'!$I$5:$I$107,MATCH(L592,'Datos - Catálogo TIMSS'!$A$5:$A$107,0)),"No")="Sí"),1,0)</f>
        <v/>
      </c>
      <c r="Y592" s="11">
        <f>IF(IFERROR(INDEX('Datos - Catálogo TIMSS'!$J$5:$J$107,MATCH(K592,'Datos - Catálogo TIMSS'!$A$5:$A$107,0)),"No")="Sí",1,0)</f>
        <v/>
      </c>
      <c r="Z592" s="11">
        <f>IF(IFERROR(INDEX('Datos - Catálogo TIMSS'!$J$5:$J$107,MATCH(L592,'Datos - Catálogo TIMSS'!$A$5:$A$107,0)),"No")="Sí",1,0)</f>
        <v/>
      </c>
      <c r="AA592" s="11" t="inlineStr">
        <is>
          <t>T8-B5.4</t>
        </is>
      </c>
      <c r="AB592" s="11" t="inlineStr">
        <is>
          <t>T8-T1.1</t>
        </is>
      </c>
      <c r="AC592" s="11">
        <f>IF(AA592="FUERA","Fuera del marco",IF(AA592="N/A","Sin marco",IFERROR(INDEX('Datos - TIMSS 2023'!$C$5:$C$105,MATCH(AA592,'Datos - TIMSS 2023'!$A$5:$A$105,0)),"Pendiente de clasificar")))</f>
        <v/>
      </c>
      <c r="AD592" s="11" t="inlineStr">
        <is>
          <t>2. Construir y evaluar diseños para la indagación científica e interpretar datos y evidencia de forma crítica</t>
        </is>
      </c>
      <c r="AE592" s="11">
        <f>IF(AD592="","",IF(LEFT(AD592,1)="1","C1",IF(LEFT(AD592,1)="2","C2",IF(LEFT(AD592,1)="3","C3",""))))</f>
        <v/>
      </c>
      <c r="AF592" s="11" t="inlineStr">
        <is>
          <t>E1</t>
        </is>
      </c>
      <c r="AG592" s="11" t="inlineStr">
        <is>
          <t>E3</t>
        </is>
      </c>
      <c r="AH592" s="11" t="inlineStr">
        <is>
          <t>E1</t>
        </is>
      </c>
      <c r="AI592" s="11" t="inlineStr">
        <is>
          <t>D2</t>
        </is>
      </c>
      <c r="AJ592" s="11" t="inlineStr">
        <is>
          <t>E1</t>
        </is>
      </c>
      <c r="AK592" s="11" t="inlineStr">
        <is>
          <t>PISA-T1</t>
        </is>
      </c>
      <c r="AL592" s="11" t="inlineStr">
        <is>
          <t>PISA-F1</t>
        </is>
      </c>
      <c r="AM592" s="11">
        <f>IF(AK592="FUERA","Fuera del marco",IFERROR(INDEX('Datos - Catálogo PISA'!$C$5:$C$76,MATCH(AK592,'Datos - Catálogo PISA'!$A$5:$A$76,0)),"?"))</f>
        <v/>
      </c>
      <c r="AN592" s="11" t="inlineStr">
        <is>
          <t>Contenido</t>
        </is>
      </c>
      <c r="AO592" s="11" t="inlineStr">
        <is>
          <t>PISA-PR1;</t>
        </is>
      </c>
      <c r="AP592" s="11" t="n"/>
      <c r="AQ592" s="11" t="inlineStr">
        <is>
          <t>Sin contexto</t>
        </is>
      </c>
      <c r="AR592" s="11" t="n"/>
      <c r="AS592" s="11" t="inlineStr">
        <is>
          <t>Media</t>
        </is>
      </c>
      <c r="AT592" s="11" t="inlineStr">
        <is>
          <t>media</t>
        </is>
      </c>
      <c r="AU592" s="11" t="inlineStr">
        <is>
          <t>Estratificación vertical por temperatura, salinidad y luz.</t>
        </is>
      </c>
      <c r="AV592" s="11" t="inlineStr">
        <is>
          <t>Ciclo 7°–9°</t>
        </is>
      </c>
      <c r="AW592" s="11">
        <f>AF592&amp;"; "&amp;AG592&amp;"; "&amp;AH592&amp;"; "&amp;AI592&amp;"; "&amp;AJ592</f>
        <v/>
      </c>
    </row>
    <row r="593">
      <c r="A593" s="11" t="inlineStr">
        <is>
          <t>T1227-G09-CIE</t>
        </is>
      </c>
      <c r="B593" s="11" t="n">
        <v>9</v>
      </c>
      <c r="C593" s="11" t="inlineStr">
        <is>
          <t>Ciencias</t>
        </is>
      </c>
      <c r="D593" s="11" t="inlineStr">
        <is>
          <t>Matriz_Ciencias_9no_Grado_U1_U7.xlsx</t>
        </is>
      </c>
      <c r="E593" s="11" t="inlineStr">
        <is>
          <t>Unidad 4 - Oceanografía</t>
        </is>
      </c>
      <c r="F593" s="11" t="n">
        <v>17</v>
      </c>
      <c r="G593" s="11" t="inlineStr">
        <is>
          <t>4. Oceanografía</t>
        </is>
      </c>
      <c r="H593" s="11" t="inlineStr">
        <is>
          <t>Biología marina</t>
        </is>
      </c>
      <c r="I593" s="38" t="inlineStr">
        <is>
          <t>4.15. Descripción de la estructura y dinámica de los ecosistemas marinos.</t>
        </is>
      </c>
      <c r="J593" s="11" t="inlineStr">
        <is>
          <t>PISA</t>
        </is>
      </c>
      <c r="K593" s="11" t="inlineStr">
        <is>
          <t>T8_27-B5.4</t>
        </is>
      </c>
      <c r="L593" s="11" t="inlineStr">
        <is>
          <t>T8_27-B5.1</t>
        </is>
      </c>
      <c r="M593" s="11">
        <f>IF(K593="FUERA","Fuera del marco",IF(K593="N/A","Sin marco",IFERROR(INDEX('Datos - Catálogo TIMSS'!$C$5:$C$107,MATCH(K593,'Datos - Catálogo TIMSS'!$A$5:$A$107,0)),"Pendiente de clasificar")))</f>
        <v/>
      </c>
      <c r="N593" s="11">
        <f>IF(K593="FUERA","Fuera del marco",IF(K593="N/A","Sin marco",IFERROR(INDEX('Datos - Catálogo TIMSS'!$F$5:$F$107,MATCH(K593,'Datos - Catálogo TIMSS'!$A$5:$A$107,0)),"Pendiente de clasificar")))</f>
        <v/>
      </c>
      <c r="O593" s="11">
        <f>IF(L593="","",IFERROR(INDEX('Datos - Catálogo TIMSS'!$C$5:$C$107,MATCH(L593,'Datos - Catálogo TIMSS'!$A$5:$A$107,0)),"?"))</f>
        <v/>
      </c>
      <c r="P593" s="11" t="inlineStr">
        <is>
          <t>media</t>
        </is>
      </c>
      <c r="Q593" s="38" t="inlineStr">
        <is>
          <t>Red trófica y estructura de ecosistema marino</t>
        </is>
      </c>
      <c r="R593" s="38" t="inlineStr">
        <is>
          <t>Aplicar: representar</t>
        </is>
      </c>
      <c r="S593" s="39">
        <f>IFERROR(ISNUMBER(SEARCH("Conocer",$R593))/(ISNUMBER(SEARCH("Conocer",$R593))+ISNUMBER(SEARCH("Aplicar",$R593))+ISNUMBER(SEARCH("Razonar",$R593))),0)</f>
        <v/>
      </c>
      <c r="T593" s="39">
        <f>IFERROR(ISNUMBER(SEARCH("Aplicar",$R593))/(ISNUMBER(SEARCH("Conocer",$R593))+ISNUMBER(SEARCH("Aplicar",$R593))+ISNUMBER(SEARCH("Razonar",$R593))),0)</f>
        <v/>
      </c>
      <c r="U593" s="39">
        <f>IFERROR(ISNUMBER(SEARCH("Razonar",$R593))/(ISNUMBER(SEARCH("Conocer",$R593))+ISNUMBER(SEARCH("Aplicar",$R593))+ISNUMBER(SEARCH("Razonar",$R593))),0)</f>
        <v/>
      </c>
      <c r="V593" s="11" t="inlineStr">
        <is>
          <t>9°</t>
        </is>
      </c>
      <c r="W593" s="11" t="inlineStr">
        <is>
          <t>9°</t>
        </is>
      </c>
      <c r="X593" s="11">
        <f>IF(OR(IFERROR(INDEX('Datos - Catálogo TIMSS'!$I$5:$I$107,MATCH(K593,'Datos - Catálogo TIMSS'!$A$5:$A$107,0)),"No")="Sí",IFERROR(INDEX('Datos - Catálogo TIMSS'!$I$5:$I$107,MATCH(L593,'Datos - Catálogo TIMSS'!$A$5:$A$107,0)),"No")="Sí"),1,0)</f>
        <v/>
      </c>
      <c r="Y593" s="11">
        <f>IF(IFERROR(INDEX('Datos - Catálogo TIMSS'!$J$5:$J$107,MATCH(K593,'Datos - Catálogo TIMSS'!$A$5:$A$107,0)),"No")="Sí",1,0)</f>
        <v/>
      </c>
      <c r="Z593" s="11">
        <f>IF(IFERROR(INDEX('Datos - Catálogo TIMSS'!$J$5:$J$107,MATCH(L593,'Datos - Catálogo TIMSS'!$A$5:$A$107,0)),"No")="Sí",1,0)</f>
        <v/>
      </c>
      <c r="AA593" s="11" t="inlineStr">
        <is>
          <t>T8-B5.1</t>
        </is>
      </c>
      <c r="AB593" s="11" t="inlineStr">
        <is>
          <t>T8-B5.3</t>
        </is>
      </c>
      <c r="AC593" s="11">
        <f>IF(AA593="FUERA","Fuera del marco",IF(AA593="N/A","Sin marco",IFERROR(INDEX('Datos - TIMSS 2023'!$C$5:$C$105,MATCH(AA593,'Datos - TIMSS 2023'!$A$5:$A$105,0)),"Pendiente de clasificar")))</f>
        <v/>
      </c>
      <c r="AD593" s="11" t="inlineStr">
        <is>
          <t>1. Explicar fenómenos científicamente</t>
        </is>
      </c>
      <c r="AE593" s="11">
        <f>IF(AD593="","",IF(LEFT(AD593,1)="1","C1",IF(LEFT(AD593,1)="2","C2",IF(LEFT(AD593,1)="3","C3",""))))</f>
        <v/>
      </c>
      <c r="AF593" s="11" t="inlineStr">
        <is>
          <t>E1</t>
        </is>
      </c>
      <c r="AG593" s="11" t="inlineStr">
        <is>
          <t>D1</t>
        </is>
      </c>
      <c r="AH593" s="11" t="inlineStr">
        <is>
          <t>E4</t>
        </is>
      </c>
      <c r="AI593" s="11" t="inlineStr">
        <is>
          <t>D4</t>
        </is>
      </c>
      <c r="AJ593" s="11" t="inlineStr">
        <is>
          <t>E6</t>
        </is>
      </c>
      <c r="AK593" s="11" t="inlineStr">
        <is>
          <t>PISA-V6</t>
        </is>
      </c>
      <c r="AL593" s="11" t="n"/>
      <c r="AM593" s="11">
        <f>IF(AK593="FUERA","Fuera del marco",IFERROR(INDEX('Datos - Catálogo PISA'!$C$5:$C$76,MATCH(AK593,'Datos - Catálogo PISA'!$A$5:$A$76,0)),"?"))</f>
        <v/>
      </c>
      <c r="AN593" s="11" t="inlineStr">
        <is>
          <t>Contenido</t>
        </is>
      </c>
      <c r="AO593" s="11" t="n"/>
      <c r="AP593" s="11" t="n"/>
      <c r="AQ593" s="11" t="inlineStr">
        <is>
          <t>Local/nacional</t>
        </is>
      </c>
      <c r="AR593" s="11" t="inlineStr">
        <is>
          <t>Recursos naturales</t>
        </is>
      </c>
      <c r="AS593" s="11" t="inlineStr">
        <is>
          <t>Media</t>
        </is>
      </c>
      <c r="AT593" s="11" t="inlineStr">
        <is>
          <t>alta</t>
        </is>
      </c>
      <c r="AU593" s="11" t="inlineStr">
        <is>
          <t>Red trófica y dinámica de un ecosistema marino salvadoreño.</t>
        </is>
      </c>
      <c r="AV593" s="11" t="inlineStr">
        <is>
          <t>Ciclo 7°–9°</t>
        </is>
      </c>
      <c r="AW593" s="11">
        <f>AF593&amp;"; "&amp;AG593&amp;"; "&amp;AH593&amp;"; "&amp;AI593&amp;"; "&amp;AJ593</f>
        <v/>
      </c>
    </row>
    <row r="594">
      <c r="A594" s="11" t="inlineStr">
        <is>
          <t>T1228-G09-CIE</t>
        </is>
      </c>
      <c r="B594" s="11" t="n">
        <v>9</v>
      </c>
      <c r="C594" s="11" t="inlineStr">
        <is>
          <t>Ciencias</t>
        </is>
      </c>
      <c r="D594" s="11" t="inlineStr">
        <is>
          <t>Matriz_Ciencias_9no_Grado_U1_U7.xlsx</t>
        </is>
      </c>
      <c r="E594" s="11" t="inlineStr">
        <is>
          <t>Unidad 4 - Oceanografía</t>
        </is>
      </c>
      <c r="F594" s="11" t="n">
        <v>18</v>
      </c>
      <c r="G594" s="11" t="inlineStr">
        <is>
          <t>4. Oceanografía</t>
        </is>
      </c>
      <c r="H594" s="11" t="inlineStr">
        <is>
          <t>Biología marina</t>
        </is>
      </c>
      <c r="I594" s="38" t="inlineStr">
        <is>
          <t>4.16. Interpretación de la problemática ambiental oceánica.</t>
        </is>
      </c>
      <c r="J594" s="11" t="inlineStr">
        <is>
          <t>PISA</t>
        </is>
      </c>
      <c r="K594" s="11" t="inlineStr">
        <is>
          <t>T8_27-B5.6</t>
        </is>
      </c>
      <c r="L594" s="11" t="inlineStr"/>
      <c r="M594" s="11">
        <f>IF(K594="FUERA","Fuera del marco",IF(K594="N/A","Sin marco",IFERROR(INDEX('Datos - Catálogo TIMSS'!$C$5:$C$107,MATCH(K594,'Datos - Catálogo TIMSS'!$A$5:$A$107,0)),"Pendiente de clasificar")))</f>
        <v/>
      </c>
      <c r="N594" s="11">
        <f>IF(K594="FUERA","Fuera del marco",IF(K594="N/A","Sin marco",IFERROR(INDEX('Datos - Catálogo TIMSS'!$F$5:$F$107,MATCH(K594,'Datos - Catálogo TIMSS'!$A$5:$A$107,0)),"Pendiente de clasificar")))</f>
        <v/>
      </c>
      <c r="O594" s="11">
        <f>IF(L594="","",IFERROR(INDEX('Datos - Catálogo TIMSS'!$C$5:$C$107,MATCH(L594,'Datos - Catálogo TIMSS'!$A$5:$A$107,0)),"?"))</f>
        <v/>
      </c>
      <c r="P594" s="11" t="inlineStr">
        <is>
          <t>alta</t>
        </is>
      </c>
      <c r="Q594" s="38" t="inlineStr">
        <is>
          <t>Contaminación e impacto humano en océanos</t>
        </is>
      </c>
      <c r="R594" s="38" t="inlineStr">
        <is>
          <t>Razonar: argumentar</t>
        </is>
      </c>
      <c r="S594" s="39">
        <f>IFERROR(ISNUMBER(SEARCH("Conocer",$R594))/(ISNUMBER(SEARCH("Conocer",$R594))+ISNUMBER(SEARCH("Aplicar",$R594))+ISNUMBER(SEARCH("Razonar",$R594))),0)</f>
        <v/>
      </c>
      <c r="T594" s="39">
        <f>IFERROR(ISNUMBER(SEARCH("Aplicar",$R594))/(ISNUMBER(SEARCH("Conocer",$R594))+ISNUMBER(SEARCH("Aplicar",$R594))+ISNUMBER(SEARCH("Razonar",$R594))),0)</f>
        <v/>
      </c>
      <c r="U594" s="39">
        <f>IFERROR(ISNUMBER(SEARCH("Razonar",$R594))/(ISNUMBER(SEARCH("Conocer",$R594))+ISNUMBER(SEARCH("Aplicar",$R594))+ISNUMBER(SEARCH("Razonar",$R594))),0)</f>
        <v/>
      </c>
      <c r="V594" s="11" t="inlineStr">
        <is>
          <t>9°</t>
        </is>
      </c>
      <c r="W594" s="11" t="inlineStr">
        <is>
          <t>9°</t>
        </is>
      </c>
      <c r="X594" s="11">
        <f>IF(OR(IFERROR(INDEX('Datos - Catálogo TIMSS'!$I$5:$I$107,MATCH(K594,'Datos - Catálogo TIMSS'!$A$5:$A$107,0)),"No")="Sí",IFERROR(INDEX('Datos - Catálogo TIMSS'!$I$5:$I$107,MATCH(L594,'Datos - Catálogo TIMSS'!$A$5:$A$107,0)),"No")="Sí"),1,0)</f>
        <v/>
      </c>
      <c r="Y594" s="11">
        <f>IF(IFERROR(INDEX('Datos - Catálogo TIMSS'!$J$5:$J$107,MATCH(K594,'Datos - Catálogo TIMSS'!$A$5:$A$107,0)),"No")="Sí",1,0)</f>
        <v/>
      </c>
      <c r="Z594" s="11">
        <f>IF(IFERROR(INDEX('Datos - Catálogo TIMSS'!$J$5:$J$107,MATCH(L594,'Datos - Catálogo TIMSS'!$A$5:$A$107,0)),"No")="Sí",1,0)</f>
        <v/>
      </c>
      <c r="AA594" s="11" t="inlineStr">
        <is>
          <t>T8-B5.5</t>
        </is>
      </c>
      <c r="AB594" s="11" t="inlineStr"/>
      <c r="AC594" s="11">
        <f>IF(AA594="FUERA","Fuera del marco",IF(AA594="N/A","Sin marco",IFERROR(INDEX('Datos - TIMSS 2023'!$C$5:$C$105,MATCH(AA594,'Datos - TIMSS 2023'!$A$5:$A$105,0)),"Pendiente de clasificar")))</f>
        <v/>
      </c>
      <c r="AD594" s="11" t="inlineStr">
        <is>
          <t>3. Investigar, evaluar y usar información científica para tomar decisiones y actuar</t>
        </is>
      </c>
      <c r="AE594" s="11">
        <f>IF(AD594="","",IF(LEFT(AD594,1)="1","C1",IF(LEFT(AD594,1)="2","C2",IF(LEFT(AD594,1)="3","C3",""))))</f>
        <v/>
      </c>
      <c r="AF594" s="11" t="inlineStr">
        <is>
          <t>E6</t>
        </is>
      </c>
      <c r="AG594" s="11" t="inlineStr">
        <is>
          <t>D1</t>
        </is>
      </c>
      <c r="AH594" s="11" t="inlineStr">
        <is>
          <t>E1</t>
        </is>
      </c>
      <c r="AI594" s="11" t="inlineStr">
        <is>
          <t>I3</t>
        </is>
      </c>
      <c r="AJ594" s="11" t="inlineStr">
        <is>
          <t>I5</t>
        </is>
      </c>
      <c r="AK594" s="11" t="inlineStr">
        <is>
          <t>PISA-V8</t>
        </is>
      </c>
      <c r="AL594" s="11" t="inlineStr">
        <is>
          <t>PISA-T5</t>
        </is>
      </c>
      <c r="AM594" s="11">
        <f>IF(AK594="FUERA","Fuera del marco",IFERROR(INDEX('Datos - Catálogo PISA'!$C$5:$C$76,MATCH(AK594,'Datos - Catálogo PISA'!$A$5:$A$76,0)),"?"))</f>
        <v/>
      </c>
      <c r="AN594" s="11" t="inlineStr">
        <is>
          <t>Contenido</t>
        </is>
      </c>
      <c r="AO594" s="11" t="n"/>
      <c r="AP594" s="11" t="inlineStr">
        <is>
          <t>PISA-EP8;</t>
        </is>
      </c>
      <c r="AQ594" s="11" t="inlineStr">
        <is>
          <t>Global</t>
        </is>
      </c>
      <c r="AR594" s="11" t="inlineStr">
        <is>
          <t>Impactos ambientales y cambio climático</t>
        </is>
      </c>
      <c r="AS594" s="11" t="inlineStr">
        <is>
          <t>Alta</t>
        </is>
      </c>
      <c r="AT594" s="11" t="inlineStr">
        <is>
          <t>alta</t>
        </is>
      </c>
      <c r="AU594" s="11" t="inlineStr">
        <is>
          <t>Argumenta causas de la problemática ambiental oceánica.</t>
        </is>
      </c>
      <c r="AV594" s="11" t="inlineStr">
        <is>
          <t>Ciclo 7°–9°</t>
        </is>
      </c>
      <c r="AW594" s="11">
        <f>AF594&amp;"; "&amp;AG594&amp;"; "&amp;AH594&amp;"; "&amp;AI594&amp;"; "&amp;AJ594</f>
        <v/>
      </c>
    </row>
    <row r="595">
      <c r="A595" s="11" t="inlineStr">
        <is>
          <t>T1229-G09-CIE</t>
        </is>
      </c>
      <c r="B595" s="11" t="n">
        <v>9</v>
      </c>
      <c r="C595" s="11" t="inlineStr">
        <is>
          <t>Ciencias</t>
        </is>
      </c>
      <c r="D595" s="11" t="inlineStr">
        <is>
          <t>Matriz_Ciencias_9no_Grado_U1_U7.xlsx</t>
        </is>
      </c>
      <c r="E595" s="11" t="inlineStr">
        <is>
          <t>Unidad 5 - Geología de El Salva</t>
        </is>
      </c>
      <c r="F595" s="11" t="n">
        <v>3</v>
      </c>
      <c r="G595" s="11" t="inlineStr">
        <is>
          <t>5. Geología de El Salvador</t>
        </is>
      </c>
      <c r="H595" s="11" t="inlineStr">
        <is>
          <t>Introducción a la geología de El Salvador</t>
        </is>
      </c>
      <c r="I595" s="38" t="inlineStr">
        <is>
          <t>5.1. Indagación de las características físicas y clasificación de las rocas.</t>
        </is>
      </c>
      <c r="J595" s="11" t="inlineStr">
        <is>
          <t>PISA</t>
        </is>
      </c>
      <c r="K595" s="11" t="inlineStr">
        <is>
          <t>T8_27-E1.2</t>
        </is>
      </c>
      <c r="L595" s="11" t="inlineStr"/>
      <c r="M595" s="11">
        <f>IF(K595="FUERA","Fuera del marco",IF(K595="N/A","Sin marco",IFERROR(INDEX('Datos - Catálogo TIMSS'!$C$5:$C$107,MATCH(K595,'Datos - Catálogo TIMSS'!$A$5:$A$107,0)),"Pendiente de clasificar")))</f>
        <v/>
      </c>
      <c r="N595" s="11">
        <f>IF(K595="FUERA","Fuera del marco",IF(K595="N/A","Sin marco",IFERROR(INDEX('Datos - Catálogo TIMSS'!$F$5:$F$107,MATCH(K595,'Datos - Catálogo TIMSS'!$A$5:$A$107,0)),"Pendiente de clasificar")))</f>
        <v/>
      </c>
      <c r="O595" s="11">
        <f>IF(L595="","",IFERROR(INDEX('Datos - Catálogo TIMSS'!$C$5:$C$107,MATCH(L595,'Datos - Catálogo TIMSS'!$A$5:$A$107,0)),"?"))</f>
        <v/>
      </c>
      <c r="P595" s="11" t="inlineStr">
        <is>
          <t>media</t>
        </is>
      </c>
      <c r="Q595" s="38" t="inlineStr">
        <is>
          <t>Clasificación de rocas vinculada al ciclo de las rocas</t>
        </is>
      </c>
      <c r="R595" s="38" t="inlineStr">
        <is>
          <t>Aplicar: clasificar</t>
        </is>
      </c>
      <c r="S595" s="39">
        <f>IFERROR(ISNUMBER(SEARCH("Conocer",$R595))/(ISNUMBER(SEARCH("Conocer",$R595))+ISNUMBER(SEARCH("Aplicar",$R595))+ISNUMBER(SEARCH("Razonar",$R595))),0)</f>
        <v/>
      </c>
      <c r="T595" s="39">
        <f>IFERROR(ISNUMBER(SEARCH("Aplicar",$R595))/(ISNUMBER(SEARCH("Conocer",$R595))+ISNUMBER(SEARCH("Aplicar",$R595))+ISNUMBER(SEARCH("Razonar",$R595))),0)</f>
        <v/>
      </c>
      <c r="U595" s="39">
        <f>IFERROR(ISNUMBER(SEARCH("Razonar",$R595))/(ISNUMBER(SEARCH("Conocer",$R595))+ISNUMBER(SEARCH("Aplicar",$R595))+ISNUMBER(SEARCH("Razonar",$R595))),0)</f>
        <v/>
      </c>
      <c r="V595" s="11" t="inlineStr">
        <is>
          <t>9°</t>
        </is>
      </c>
      <c r="W595" s="11" t="inlineStr">
        <is>
          <t>9°</t>
        </is>
      </c>
      <c r="X595" s="11">
        <f>IF(OR(IFERROR(INDEX('Datos - Catálogo TIMSS'!$I$5:$I$107,MATCH(K595,'Datos - Catálogo TIMSS'!$A$5:$A$107,0)),"No")="Sí",IFERROR(INDEX('Datos - Catálogo TIMSS'!$I$5:$I$107,MATCH(L595,'Datos - Catálogo TIMSS'!$A$5:$A$107,0)),"No")="Sí"),1,0)</f>
        <v/>
      </c>
      <c r="Y595" s="11">
        <f>IF(IFERROR(INDEX('Datos - Catálogo TIMSS'!$J$5:$J$107,MATCH(K595,'Datos - Catálogo TIMSS'!$A$5:$A$107,0)),"No")="Sí",1,0)</f>
        <v/>
      </c>
      <c r="Z595" s="11">
        <f>IF(IFERROR(INDEX('Datos - Catálogo TIMSS'!$J$5:$J$107,MATCH(L595,'Datos - Catálogo TIMSS'!$A$5:$A$107,0)),"No")="Sí",1,0)</f>
        <v/>
      </c>
      <c r="AA595" s="11" t="inlineStr">
        <is>
          <t>T8-T2.1</t>
        </is>
      </c>
      <c r="AB595" s="11" t="inlineStr"/>
      <c r="AC595" s="11">
        <f>IF(AA595="FUERA","Fuera del marco",IF(AA595="N/A","Sin marco",IFERROR(INDEX('Datos - TIMSS 2023'!$C$5:$C$105,MATCH(AA595,'Datos - TIMSS 2023'!$A$5:$A$105,0)),"Pendiente de clasificar")))</f>
        <v/>
      </c>
      <c r="AD595" s="11" t="inlineStr">
        <is>
          <t>1. Explicar fenómenos científicamente</t>
        </is>
      </c>
      <c r="AE595" s="11">
        <f>IF(AD595="","",IF(LEFT(AD595,1)="1","C1",IF(LEFT(AD595,1)="2","C2",IF(LEFT(AD595,1)="3","C3",""))))</f>
        <v/>
      </c>
      <c r="AF595" s="11" t="inlineStr">
        <is>
          <t>E1</t>
        </is>
      </c>
      <c r="AG595" s="11" t="inlineStr">
        <is>
          <t>D1</t>
        </is>
      </c>
      <c r="AH595" s="11" t="inlineStr">
        <is>
          <t>E1</t>
        </is>
      </c>
      <c r="AI595" s="11" t="inlineStr">
        <is>
          <t>D4</t>
        </is>
      </c>
      <c r="AJ595" s="11" t="inlineStr">
        <is>
          <t>E1</t>
        </is>
      </c>
      <c r="AK595" s="11" t="inlineStr">
        <is>
          <t>PISA-T1</t>
        </is>
      </c>
      <c r="AL595" s="11" t="n"/>
      <c r="AM595" s="11">
        <f>IF(AK595="FUERA","Fuera del marco",IFERROR(INDEX('Datos - Catálogo PISA'!$C$5:$C$76,MATCH(AK595,'Datos - Catálogo PISA'!$A$5:$A$76,0)),"?"))</f>
        <v/>
      </c>
      <c r="AN595" s="11" t="inlineStr">
        <is>
          <t>Contenido</t>
        </is>
      </c>
      <c r="AO595" s="11" t="n"/>
      <c r="AP595" s="11" t="n"/>
      <c r="AQ595" s="11" t="inlineStr">
        <is>
          <t>Sin contexto</t>
        </is>
      </c>
      <c r="AR595" s="11" t="n"/>
      <c r="AS595" s="11" t="inlineStr">
        <is>
          <t>Baja</t>
        </is>
      </c>
      <c r="AT595" s="11" t="inlineStr">
        <is>
          <t>media</t>
        </is>
      </c>
      <c r="AU595" s="11" t="inlineStr">
        <is>
          <t>Clasificación de rocas por características físicas.</t>
        </is>
      </c>
      <c r="AV595" s="11" t="inlineStr">
        <is>
          <t>Ciclo 7°–9°</t>
        </is>
      </c>
      <c r="AW595" s="11">
        <f>AF595&amp;"; "&amp;AG595&amp;"; "&amp;AH595&amp;"; "&amp;AI595&amp;"; "&amp;AJ595</f>
        <v/>
      </c>
    </row>
    <row r="596">
      <c r="A596" s="11" t="inlineStr">
        <is>
          <t>T1230-G09-CIE</t>
        </is>
      </c>
      <c r="B596" s="11" t="n">
        <v>9</v>
      </c>
      <c r="C596" s="11" t="inlineStr">
        <is>
          <t>Ciencias</t>
        </is>
      </c>
      <c r="D596" s="11" t="inlineStr">
        <is>
          <t>Matriz_Ciencias_9no_Grado_U1_U7.xlsx</t>
        </is>
      </c>
      <c r="E596" s="11" t="inlineStr">
        <is>
          <t>Unidad 5 - Geología de El Salva</t>
        </is>
      </c>
      <c r="F596" s="11" t="n">
        <v>4</v>
      </c>
      <c r="G596" s="11" t="inlineStr">
        <is>
          <t>5. Geología de El Salvador</t>
        </is>
      </c>
      <c r="H596" s="11" t="inlineStr">
        <is>
          <t>Introducción a la geología de El Salvador</t>
        </is>
      </c>
      <c r="I596" s="38" t="inlineStr">
        <is>
          <t>5.2. Identificación de los tipos de rocas y su distribución en el territorio de El Salvador.</t>
        </is>
      </c>
      <c r="J596" s="11" t="inlineStr">
        <is>
          <t>PISA</t>
        </is>
      </c>
      <c r="K596" s="11" t="inlineStr">
        <is>
          <t>T8_27-E1.2</t>
        </is>
      </c>
      <c r="L596" s="11" t="inlineStr"/>
      <c r="M596" s="11">
        <f>IF(K596="FUERA","Fuera del marco",IF(K596="N/A","Sin marco",IFERROR(INDEX('Datos - Catálogo TIMSS'!$C$5:$C$107,MATCH(K596,'Datos - Catálogo TIMSS'!$A$5:$A$107,0)),"Pendiente de clasificar")))</f>
        <v/>
      </c>
      <c r="N596" s="11">
        <f>IF(K596="FUERA","Fuera del marco",IF(K596="N/A","Sin marco",IFERROR(INDEX('Datos - Catálogo TIMSS'!$F$5:$F$107,MATCH(K596,'Datos - Catálogo TIMSS'!$A$5:$A$107,0)),"Pendiente de clasificar")))</f>
        <v/>
      </c>
      <c r="O596" s="11">
        <f>IF(L596="","",IFERROR(INDEX('Datos - Catálogo TIMSS'!$C$5:$C$107,MATCH(L596,'Datos - Catálogo TIMSS'!$A$5:$A$107,0)),"?"))</f>
        <v/>
      </c>
      <c r="P596" s="11" t="inlineStr">
        <is>
          <t>media</t>
        </is>
      </c>
      <c r="Q596" s="38" t="inlineStr">
        <is>
          <t>Tipos de rocas y formaciones geológicas del país</t>
        </is>
      </c>
      <c r="R596" s="38" t="inlineStr">
        <is>
          <t>Aplicar: interpretar mapas</t>
        </is>
      </c>
      <c r="S596" s="39">
        <f>IFERROR(ISNUMBER(SEARCH("Conocer",$R596))/(ISNUMBER(SEARCH("Conocer",$R596))+ISNUMBER(SEARCH("Aplicar",$R596))+ISNUMBER(SEARCH("Razonar",$R596))),0)</f>
        <v/>
      </c>
      <c r="T596" s="39">
        <f>IFERROR(ISNUMBER(SEARCH("Aplicar",$R596))/(ISNUMBER(SEARCH("Conocer",$R596))+ISNUMBER(SEARCH("Aplicar",$R596))+ISNUMBER(SEARCH("Razonar",$R596))),0)</f>
        <v/>
      </c>
      <c r="U596" s="39">
        <f>IFERROR(ISNUMBER(SEARCH("Razonar",$R596))/(ISNUMBER(SEARCH("Conocer",$R596))+ISNUMBER(SEARCH("Aplicar",$R596))+ISNUMBER(SEARCH("Razonar",$R596))),0)</f>
        <v/>
      </c>
      <c r="V596" s="11" t="inlineStr">
        <is>
          <t>9°</t>
        </is>
      </c>
      <c r="W596" s="11" t="inlineStr">
        <is>
          <t>9°</t>
        </is>
      </c>
      <c r="X596" s="11">
        <f>IF(OR(IFERROR(INDEX('Datos - Catálogo TIMSS'!$I$5:$I$107,MATCH(K596,'Datos - Catálogo TIMSS'!$A$5:$A$107,0)),"No")="Sí",IFERROR(INDEX('Datos - Catálogo TIMSS'!$I$5:$I$107,MATCH(L596,'Datos - Catálogo TIMSS'!$A$5:$A$107,0)),"No")="Sí"),1,0)</f>
        <v/>
      </c>
      <c r="Y596" s="11">
        <f>IF(IFERROR(INDEX('Datos - Catálogo TIMSS'!$J$5:$J$107,MATCH(K596,'Datos - Catálogo TIMSS'!$A$5:$A$107,0)),"No")="Sí",1,0)</f>
        <v/>
      </c>
      <c r="Z596" s="11">
        <f>IF(IFERROR(INDEX('Datos - Catálogo TIMSS'!$J$5:$J$107,MATCH(L596,'Datos - Catálogo TIMSS'!$A$5:$A$107,0)),"No")="Sí",1,0)</f>
        <v/>
      </c>
      <c r="AA596" s="11" t="inlineStr">
        <is>
          <t>T8-T2.1</t>
        </is>
      </c>
      <c r="AB596" s="11" t="inlineStr"/>
      <c r="AC596" s="11">
        <f>IF(AA596="FUERA","Fuera del marco",IF(AA596="N/A","Sin marco",IFERROR(INDEX('Datos - TIMSS 2023'!$C$5:$C$105,MATCH(AA596,'Datos - TIMSS 2023'!$A$5:$A$105,0)),"Pendiente de clasificar")))</f>
        <v/>
      </c>
      <c r="AD596" s="11" t="inlineStr">
        <is>
          <t>3. Investigar, evaluar y usar información científica para tomar decisiones y actuar</t>
        </is>
      </c>
      <c r="AE596" s="11">
        <f>IF(AD596="","",IF(LEFT(AD596,1)="1","C1",IF(LEFT(AD596,1)="2","C2",IF(LEFT(AD596,1)="3","C3",""))))</f>
        <v/>
      </c>
      <c r="AF596" s="11" t="inlineStr">
        <is>
          <t>E6</t>
        </is>
      </c>
      <c r="AG596" s="11" t="inlineStr">
        <is>
          <t>D1</t>
        </is>
      </c>
      <c r="AH596" s="11" t="inlineStr">
        <is>
          <t>E2</t>
        </is>
      </c>
      <c r="AI596" s="11" t="inlineStr">
        <is>
          <t>I1</t>
        </is>
      </c>
      <c r="AJ596" s="11" t="inlineStr">
        <is>
          <t>E6</t>
        </is>
      </c>
      <c r="AK596" s="11" t="inlineStr">
        <is>
          <t>PISA-T1</t>
        </is>
      </c>
      <c r="AL596" s="11" t="n"/>
      <c r="AM596" s="11">
        <f>IF(AK596="FUERA","Fuera del marco",IFERROR(INDEX('Datos - Catálogo PISA'!$C$5:$C$76,MATCH(AK596,'Datos - Catálogo PISA'!$A$5:$A$76,0)),"?"))</f>
        <v/>
      </c>
      <c r="AN596" s="11" t="inlineStr">
        <is>
          <t>Contenido</t>
        </is>
      </c>
      <c r="AO596" s="11" t="n"/>
      <c r="AP596" s="11" t="n"/>
      <c r="AQ596" s="11" t="inlineStr">
        <is>
          <t>Local/nacional</t>
        </is>
      </c>
      <c r="AR596" s="11" t="inlineStr">
        <is>
          <t>Recursos naturales</t>
        </is>
      </c>
      <c r="AS596" s="11" t="inlineStr">
        <is>
          <t>Baja</t>
        </is>
      </c>
      <c r="AT596" s="11" t="inlineStr">
        <is>
          <t>alta</t>
        </is>
      </c>
      <c r="AU596" s="11" t="inlineStr">
        <is>
          <t>Tipos de roca y su distribución en El Salvador.</t>
        </is>
      </c>
      <c r="AV596" s="11" t="inlineStr">
        <is>
          <t>Ciclo 7°–9°</t>
        </is>
      </c>
      <c r="AW596" s="11">
        <f>AF596&amp;"; "&amp;AG596&amp;"; "&amp;AH596&amp;"; "&amp;AI596&amp;"; "&amp;AJ596</f>
        <v/>
      </c>
    </row>
    <row r="597">
      <c r="A597" s="11" t="inlineStr">
        <is>
          <t>T1231-G09-CIE</t>
        </is>
      </c>
      <c r="B597" s="11" t="n">
        <v>9</v>
      </c>
      <c r="C597" s="11" t="inlineStr">
        <is>
          <t>Ciencias</t>
        </is>
      </c>
      <c r="D597" s="11" t="inlineStr">
        <is>
          <t>Matriz_Ciencias_9no_Grado_U1_U7.xlsx</t>
        </is>
      </c>
      <c r="E597" s="11" t="inlineStr">
        <is>
          <t>Unidad 5 - Geología de El Salva</t>
        </is>
      </c>
      <c r="F597" s="11" t="n">
        <v>5</v>
      </c>
      <c r="G597" s="11" t="inlineStr">
        <is>
          <t>5. Geología de El Salvador</t>
        </is>
      </c>
      <c r="H597" s="11" t="inlineStr">
        <is>
          <t>Factores que alteran la geomorfología de El Salvador</t>
        </is>
      </c>
      <c r="I597" s="38" t="inlineStr">
        <is>
          <t>5.3. Reconocimiento de los principales rasgos geomorfológicos del país.</t>
        </is>
      </c>
      <c r="J597" s="11" t="inlineStr">
        <is>
          <t>PISA</t>
        </is>
      </c>
      <c r="K597" s="11" t="inlineStr">
        <is>
          <t>T8_27-E1.2</t>
        </is>
      </c>
      <c r="L597" s="11" t="inlineStr"/>
      <c r="M597" s="11">
        <f>IF(K597="FUERA","Fuera del marco",IF(K597="N/A","Sin marco",IFERROR(INDEX('Datos - Catálogo TIMSS'!$C$5:$C$107,MATCH(K597,'Datos - Catálogo TIMSS'!$A$5:$A$107,0)),"Pendiente de clasificar")))</f>
        <v/>
      </c>
      <c r="N597" s="11">
        <f>IF(K597="FUERA","Fuera del marco",IF(K597="N/A","Sin marco",IFERROR(INDEX('Datos - Catálogo TIMSS'!$F$5:$F$107,MATCH(K597,'Datos - Catálogo TIMSS'!$A$5:$A$107,0)),"Pendiente de clasificar")))</f>
        <v/>
      </c>
      <c r="O597" s="11">
        <f>IF(L597="","",IFERROR(INDEX('Datos - Catálogo TIMSS'!$C$5:$C$107,MATCH(L597,'Datos - Catálogo TIMSS'!$A$5:$A$107,0)),"?"))</f>
        <v/>
      </c>
      <c r="P597" s="11" t="inlineStr">
        <is>
          <t>media</t>
        </is>
      </c>
      <c r="Q597" s="38" t="inlineStr">
        <is>
          <t>Relieve formado por procesos geológicos</t>
        </is>
      </c>
      <c r="R597" s="38" t="inlineStr">
        <is>
          <t>Conocer: explicar</t>
        </is>
      </c>
      <c r="S597" s="39">
        <f>IFERROR(ISNUMBER(SEARCH("Conocer",$R597))/(ISNUMBER(SEARCH("Conocer",$R597))+ISNUMBER(SEARCH("Aplicar",$R597))+ISNUMBER(SEARCH("Razonar",$R597))),0)</f>
        <v/>
      </c>
      <c r="T597" s="39">
        <f>IFERROR(ISNUMBER(SEARCH("Aplicar",$R597))/(ISNUMBER(SEARCH("Conocer",$R597))+ISNUMBER(SEARCH("Aplicar",$R597))+ISNUMBER(SEARCH("Razonar",$R597))),0)</f>
        <v/>
      </c>
      <c r="U597" s="39">
        <f>IFERROR(ISNUMBER(SEARCH("Razonar",$R597))/(ISNUMBER(SEARCH("Conocer",$R597))+ISNUMBER(SEARCH("Aplicar",$R597))+ISNUMBER(SEARCH("Razonar",$R597))),0)</f>
        <v/>
      </c>
      <c r="V597" s="11" t="inlineStr">
        <is>
          <t>9°</t>
        </is>
      </c>
      <c r="W597" s="11" t="inlineStr">
        <is>
          <t>9°</t>
        </is>
      </c>
      <c r="X597" s="11">
        <f>IF(OR(IFERROR(INDEX('Datos - Catálogo TIMSS'!$I$5:$I$107,MATCH(K597,'Datos - Catálogo TIMSS'!$A$5:$A$107,0)),"No")="Sí",IFERROR(INDEX('Datos - Catálogo TIMSS'!$I$5:$I$107,MATCH(L597,'Datos - Catálogo TIMSS'!$A$5:$A$107,0)),"No")="Sí"),1,0)</f>
        <v/>
      </c>
      <c r="Y597" s="11">
        <f>IF(IFERROR(INDEX('Datos - Catálogo TIMSS'!$J$5:$J$107,MATCH(K597,'Datos - Catálogo TIMSS'!$A$5:$A$107,0)),"No")="Sí",1,0)</f>
        <v/>
      </c>
      <c r="Z597" s="11">
        <f>IF(IFERROR(INDEX('Datos - Catálogo TIMSS'!$J$5:$J$107,MATCH(L597,'Datos - Catálogo TIMSS'!$A$5:$A$107,0)),"No")="Sí",1,0)</f>
        <v/>
      </c>
      <c r="AA597" s="11" t="inlineStr">
        <is>
          <t>T8-T2.1</t>
        </is>
      </c>
      <c r="AB597" s="11" t="inlineStr">
        <is>
          <t>T8-T1.1</t>
        </is>
      </c>
      <c r="AC597" s="11">
        <f>IF(AA597="FUERA","Fuera del marco",IF(AA597="N/A","Sin marco",IFERROR(INDEX('Datos - TIMSS 2023'!$C$5:$C$105,MATCH(AA597,'Datos - TIMSS 2023'!$A$5:$A$105,0)),"Pendiente de clasificar")))</f>
        <v/>
      </c>
      <c r="AD597" s="11" t="inlineStr">
        <is>
          <t>1. Explicar fenómenos científicamente</t>
        </is>
      </c>
      <c r="AE597" s="11">
        <f>IF(AD597="","",IF(LEFT(AD597,1)="1","C1",IF(LEFT(AD597,1)="2","C2",IF(LEFT(AD597,1)="3","C3",""))))</f>
        <v/>
      </c>
      <c r="AF597" s="11" t="inlineStr">
        <is>
          <t>E6</t>
        </is>
      </c>
      <c r="AG597" s="11" t="inlineStr">
        <is>
          <t>D1</t>
        </is>
      </c>
      <c r="AH597" s="11" t="inlineStr">
        <is>
          <t>E1</t>
        </is>
      </c>
      <c r="AI597" s="11" t="inlineStr">
        <is>
          <t>D4</t>
        </is>
      </c>
      <c r="AJ597" s="11" t="inlineStr">
        <is>
          <t>E6</t>
        </is>
      </c>
      <c r="AK597" s="11" t="inlineStr">
        <is>
          <t>PISA-T1</t>
        </is>
      </c>
      <c r="AL597" s="11" t="inlineStr">
        <is>
          <t>PISA-T6</t>
        </is>
      </c>
      <c r="AM597" s="11">
        <f>IF(AK597="FUERA","Fuera del marco",IFERROR(INDEX('Datos - Catálogo PISA'!$C$5:$C$76,MATCH(AK597,'Datos - Catálogo PISA'!$A$5:$A$76,0)),"?"))</f>
        <v/>
      </c>
      <c r="AN597" s="11" t="inlineStr">
        <is>
          <t>Contenido</t>
        </is>
      </c>
      <c r="AO597" s="11" t="n"/>
      <c r="AP597" s="11" t="n"/>
      <c r="AQ597" s="11" t="inlineStr">
        <is>
          <t>Local/nacional</t>
        </is>
      </c>
      <c r="AR597" s="11" t="n"/>
      <c r="AS597" s="11" t="inlineStr">
        <is>
          <t>Media</t>
        </is>
      </c>
      <c r="AT597" s="11" t="inlineStr">
        <is>
          <t>media</t>
        </is>
      </c>
      <c r="AU597" s="11" t="inlineStr">
        <is>
          <t>Rasgos geomorfológicos del país y factores que los forman.</t>
        </is>
      </c>
      <c r="AV597" s="11" t="inlineStr">
        <is>
          <t>Ciclo 7°–9°</t>
        </is>
      </c>
      <c r="AW597" s="11">
        <f>AF597&amp;"; "&amp;AG597&amp;"; "&amp;AH597&amp;"; "&amp;AI597&amp;"; "&amp;AJ597</f>
        <v/>
      </c>
    </row>
    <row r="598">
      <c r="A598" s="11" t="inlineStr">
        <is>
          <t>T1232-G09-CIE</t>
        </is>
      </c>
      <c r="B598" s="11" t="n">
        <v>9</v>
      </c>
      <c r="C598" s="11" t="inlineStr">
        <is>
          <t>Ciencias</t>
        </is>
      </c>
      <c r="D598" s="11" t="inlineStr">
        <is>
          <t>Matriz_Ciencias_9no_Grado_U1_U7.xlsx</t>
        </is>
      </c>
      <c r="E598" s="11" t="inlineStr">
        <is>
          <t>Unidad 5 - Geología de El Salva</t>
        </is>
      </c>
      <c r="F598" s="11" t="n">
        <v>6</v>
      </c>
      <c r="G598" s="11" t="inlineStr">
        <is>
          <t>5. Geología de El Salvador</t>
        </is>
      </c>
      <c r="H598" s="11" t="inlineStr">
        <is>
          <t>Vulcanología</t>
        </is>
      </c>
      <c r="I598" s="38" t="inlineStr">
        <is>
          <t>5.4. Indagación de las diferentes estructuras volcánicas a partir de casos específicos de El Salvador.</t>
        </is>
      </c>
      <c r="J598" s="11" t="inlineStr">
        <is>
          <t>PISA</t>
        </is>
      </c>
      <c r="K598" s="11" t="inlineStr">
        <is>
          <t>T8_27-E1.2</t>
        </is>
      </c>
      <c r="L598" s="11" t="inlineStr"/>
      <c r="M598" s="11">
        <f>IF(K598="FUERA","Fuera del marco",IF(K598="N/A","Sin marco",IFERROR(INDEX('Datos - Catálogo TIMSS'!$C$5:$C$107,MATCH(K598,'Datos - Catálogo TIMSS'!$A$5:$A$107,0)),"Pendiente de clasificar")))</f>
        <v/>
      </c>
      <c r="N598" s="11">
        <f>IF(K598="FUERA","Fuera del marco",IF(K598="N/A","Sin marco",IFERROR(INDEX('Datos - Catálogo TIMSS'!$F$5:$F$107,MATCH(K598,'Datos - Catálogo TIMSS'!$A$5:$A$107,0)),"Pendiente de clasificar")))</f>
        <v/>
      </c>
      <c r="O598" s="11">
        <f>IF(L598="","",IFERROR(INDEX('Datos - Catálogo TIMSS'!$C$5:$C$107,MATCH(L598,'Datos - Catálogo TIMSS'!$A$5:$A$107,0)),"?"))</f>
        <v/>
      </c>
      <c r="P598" s="11" t="inlineStr">
        <is>
          <t>alta</t>
        </is>
      </c>
      <c r="Q598" s="38" t="inlineStr">
        <is>
          <t>Estructuras volcánicas: volcanes como proceso geológico</t>
        </is>
      </c>
      <c r="R598" s="38" t="inlineStr">
        <is>
          <t>Aplicar: identificar</t>
        </is>
      </c>
      <c r="S598" s="39">
        <f>IFERROR(ISNUMBER(SEARCH("Conocer",$R598))/(ISNUMBER(SEARCH("Conocer",$R598))+ISNUMBER(SEARCH("Aplicar",$R598))+ISNUMBER(SEARCH("Razonar",$R598))),0)</f>
        <v/>
      </c>
      <c r="T598" s="39">
        <f>IFERROR(ISNUMBER(SEARCH("Aplicar",$R598))/(ISNUMBER(SEARCH("Conocer",$R598))+ISNUMBER(SEARCH("Aplicar",$R598))+ISNUMBER(SEARCH("Razonar",$R598))),0)</f>
        <v/>
      </c>
      <c r="U598" s="39">
        <f>IFERROR(ISNUMBER(SEARCH("Razonar",$R598))/(ISNUMBER(SEARCH("Conocer",$R598))+ISNUMBER(SEARCH("Aplicar",$R598))+ISNUMBER(SEARCH("Razonar",$R598))),0)</f>
        <v/>
      </c>
      <c r="V598" s="11" t="inlineStr">
        <is>
          <t>9°</t>
        </is>
      </c>
      <c r="W598" s="11" t="inlineStr">
        <is>
          <t>9°</t>
        </is>
      </c>
      <c r="X598" s="11">
        <f>IF(OR(IFERROR(INDEX('Datos - Catálogo TIMSS'!$I$5:$I$107,MATCH(K598,'Datos - Catálogo TIMSS'!$A$5:$A$107,0)),"No")="Sí",IFERROR(INDEX('Datos - Catálogo TIMSS'!$I$5:$I$107,MATCH(L598,'Datos - Catálogo TIMSS'!$A$5:$A$107,0)),"No")="Sí"),1,0)</f>
        <v/>
      </c>
      <c r="Y598" s="11">
        <f>IF(IFERROR(INDEX('Datos - Catálogo TIMSS'!$J$5:$J$107,MATCH(K598,'Datos - Catálogo TIMSS'!$A$5:$A$107,0)),"No")="Sí",1,0)</f>
        <v/>
      </c>
      <c r="Z598" s="11">
        <f>IF(IFERROR(INDEX('Datos - Catálogo TIMSS'!$J$5:$J$107,MATCH(L598,'Datos - Catálogo TIMSS'!$A$5:$A$107,0)),"No")="Sí",1,0)</f>
        <v/>
      </c>
      <c r="AA598" s="11" t="inlineStr">
        <is>
          <t>T8-T2.1</t>
        </is>
      </c>
      <c r="AB598" s="11" t="inlineStr"/>
      <c r="AC598" s="11">
        <f>IF(AA598="FUERA","Fuera del marco",IF(AA598="N/A","Sin marco",IFERROR(INDEX('Datos - TIMSS 2023'!$C$5:$C$105,MATCH(AA598,'Datos - TIMSS 2023'!$A$5:$A$105,0)),"Pendiente de clasificar")))</f>
        <v/>
      </c>
      <c r="AD598" s="11" t="inlineStr">
        <is>
          <t>1. Explicar fenómenos científicamente</t>
        </is>
      </c>
      <c r="AE598" s="11">
        <f>IF(AD598="","",IF(LEFT(AD598,1)="1","C1",IF(LEFT(AD598,1)="2","C2",IF(LEFT(AD598,1)="3","C3",""))))</f>
        <v/>
      </c>
      <c r="AF598" s="11" t="inlineStr">
        <is>
          <t>E6</t>
        </is>
      </c>
      <c r="AG598" s="11" t="inlineStr">
        <is>
          <t>D1</t>
        </is>
      </c>
      <c r="AH598" s="11" t="inlineStr">
        <is>
          <t>E1</t>
        </is>
      </c>
      <c r="AI598" s="11" t="inlineStr">
        <is>
          <t>D4</t>
        </is>
      </c>
      <c r="AJ598" s="11" t="inlineStr">
        <is>
          <t>E1</t>
        </is>
      </c>
      <c r="AK598" s="11" t="inlineStr">
        <is>
          <t>PISA-T1</t>
        </is>
      </c>
      <c r="AL598" s="11" t="n"/>
      <c r="AM598" s="11">
        <f>IF(AK598="FUERA","Fuera del marco",IFERROR(INDEX('Datos - Catálogo PISA'!$C$5:$C$76,MATCH(AK598,'Datos - Catálogo PISA'!$A$5:$A$76,0)),"?"))</f>
        <v/>
      </c>
      <c r="AN598" s="11" t="inlineStr">
        <is>
          <t>Contenido</t>
        </is>
      </c>
      <c r="AO598" s="11" t="n"/>
      <c r="AP598" s="11" t="n"/>
      <c r="AQ598" s="11" t="inlineStr">
        <is>
          <t>Local/nacional</t>
        </is>
      </c>
      <c r="AR598" s="11" t="inlineStr">
        <is>
          <t>Riesgos</t>
        </is>
      </c>
      <c r="AS598" s="11" t="inlineStr">
        <is>
          <t>Baja</t>
        </is>
      </c>
      <c r="AT598" s="11" t="inlineStr">
        <is>
          <t>alta</t>
        </is>
      </c>
      <c r="AU598" s="11" t="inlineStr">
        <is>
          <t>Estructuras volcánicas con casos de El Salvador.</t>
        </is>
      </c>
      <c r="AV598" s="11" t="inlineStr">
        <is>
          <t>Ciclo 7°–9°</t>
        </is>
      </c>
      <c r="AW598" s="11">
        <f>AF598&amp;"; "&amp;AG598&amp;"; "&amp;AH598&amp;"; "&amp;AI598&amp;"; "&amp;AJ598</f>
        <v/>
      </c>
    </row>
    <row r="599">
      <c r="A599" s="11" t="inlineStr">
        <is>
          <t>T1233-G09-CIE</t>
        </is>
      </c>
      <c r="B599" s="11" t="n">
        <v>9</v>
      </c>
      <c r="C599" s="11" t="inlineStr">
        <is>
          <t>Ciencias</t>
        </is>
      </c>
      <c r="D599" s="11" t="inlineStr">
        <is>
          <t>Matriz_Ciencias_9no_Grado_U1_U7.xlsx</t>
        </is>
      </c>
      <c r="E599" s="11" t="inlineStr">
        <is>
          <t>Unidad 5 - Geología de El Salva</t>
        </is>
      </c>
      <c r="F599" s="11" t="n">
        <v>7</v>
      </c>
      <c r="G599" s="11" t="inlineStr">
        <is>
          <t>5. Geología de El Salvador</t>
        </is>
      </c>
      <c r="H599" s="11" t="inlineStr">
        <is>
          <t>Vulcanología</t>
        </is>
      </c>
      <c r="I599" s="38" t="inlineStr">
        <is>
          <t>5.5. Reconocimiento de las causas del fenómeno volcánico en El Salvador.</t>
        </is>
      </c>
      <c r="J599" s="11" t="inlineStr">
        <is>
          <t>PISA</t>
        </is>
      </c>
      <c r="K599" s="11" t="inlineStr">
        <is>
          <t>T8_27-E1.2</t>
        </is>
      </c>
      <c r="L599" s="11" t="inlineStr"/>
      <c r="M599" s="11">
        <f>IF(K599="FUERA","Fuera del marco",IF(K599="N/A","Sin marco",IFERROR(INDEX('Datos - Catálogo TIMSS'!$C$5:$C$107,MATCH(K599,'Datos - Catálogo TIMSS'!$A$5:$A$107,0)),"Pendiente de clasificar")))</f>
        <v/>
      </c>
      <c r="N599" s="11">
        <f>IF(K599="FUERA","Fuera del marco",IF(K599="N/A","Sin marco",IFERROR(INDEX('Datos - Catálogo TIMSS'!$F$5:$F$107,MATCH(K599,'Datos - Catálogo TIMSS'!$A$5:$A$107,0)),"Pendiente de clasificar")))</f>
        <v/>
      </c>
      <c r="O599" s="11">
        <f>IF(L599="","",IFERROR(INDEX('Datos - Catálogo TIMSS'!$C$5:$C$107,MATCH(L599,'Datos - Catálogo TIMSS'!$A$5:$A$107,0)),"?"))</f>
        <v/>
      </c>
      <c r="P599" s="11" t="inlineStr">
        <is>
          <t>alta</t>
        </is>
      </c>
      <c r="Q599" s="38" t="inlineStr">
        <is>
          <t>Vulcanismo por subducción de placas tectónicas</t>
        </is>
      </c>
      <c r="R599" s="38" t="inlineStr">
        <is>
          <t>Aplicar: usar modelos</t>
        </is>
      </c>
      <c r="S599" s="39">
        <f>IFERROR(ISNUMBER(SEARCH("Conocer",$R599))/(ISNUMBER(SEARCH("Conocer",$R599))+ISNUMBER(SEARCH("Aplicar",$R599))+ISNUMBER(SEARCH("Razonar",$R599))),0)</f>
        <v/>
      </c>
      <c r="T599" s="39">
        <f>IFERROR(ISNUMBER(SEARCH("Aplicar",$R599))/(ISNUMBER(SEARCH("Conocer",$R599))+ISNUMBER(SEARCH("Aplicar",$R599))+ISNUMBER(SEARCH("Razonar",$R599))),0)</f>
        <v/>
      </c>
      <c r="U599" s="39">
        <f>IFERROR(ISNUMBER(SEARCH("Razonar",$R599))/(ISNUMBER(SEARCH("Conocer",$R599))+ISNUMBER(SEARCH("Aplicar",$R599))+ISNUMBER(SEARCH("Razonar",$R599))),0)</f>
        <v/>
      </c>
      <c r="V599" s="11" t="inlineStr">
        <is>
          <t>9°</t>
        </is>
      </c>
      <c r="W599" s="11" t="inlineStr">
        <is>
          <t>9°</t>
        </is>
      </c>
      <c r="X599" s="11">
        <f>IF(OR(IFERROR(INDEX('Datos - Catálogo TIMSS'!$I$5:$I$107,MATCH(K599,'Datos - Catálogo TIMSS'!$A$5:$A$107,0)),"No")="Sí",IFERROR(INDEX('Datos - Catálogo TIMSS'!$I$5:$I$107,MATCH(L599,'Datos - Catálogo TIMSS'!$A$5:$A$107,0)),"No")="Sí"),1,0)</f>
        <v/>
      </c>
      <c r="Y599" s="11">
        <f>IF(IFERROR(INDEX('Datos - Catálogo TIMSS'!$J$5:$J$107,MATCH(K599,'Datos - Catálogo TIMSS'!$A$5:$A$107,0)),"No")="Sí",1,0)</f>
        <v/>
      </c>
      <c r="Z599" s="11">
        <f>IF(IFERROR(INDEX('Datos - Catálogo TIMSS'!$J$5:$J$107,MATCH(L599,'Datos - Catálogo TIMSS'!$A$5:$A$107,0)),"No")="Sí",1,0)</f>
        <v/>
      </c>
      <c r="AA599" s="11" t="inlineStr">
        <is>
          <t>T8-T2.1</t>
        </is>
      </c>
      <c r="AB599" s="11" t="inlineStr">
        <is>
          <t>T8-T1.1</t>
        </is>
      </c>
      <c r="AC599" s="11">
        <f>IF(AA599="FUERA","Fuera del marco",IF(AA599="N/A","Sin marco",IFERROR(INDEX('Datos - TIMSS 2023'!$C$5:$C$105,MATCH(AA599,'Datos - TIMSS 2023'!$A$5:$A$105,0)),"Pendiente de clasificar")))</f>
        <v/>
      </c>
      <c r="AD599" s="11" t="inlineStr">
        <is>
          <t>1. Explicar fenómenos científicamente</t>
        </is>
      </c>
      <c r="AE599" s="11">
        <f>IF(AD599="","",IF(LEFT(AD599,1)="1","C1",IF(LEFT(AD599,1)="2","C2",IF(LEFT(AD599,1)="3","C3",""))))</f>
        <v/>
      </c>
      <c r="AF599" s="11" t="inlineStr">
        <is>
          <t>E1</t>
        </is>
      </c>
      <c r="AG599" s="11" t="inlineStr">
        <is>
          <t>D1</t>
        </is>
      </c>
      <c r="AH599" s="11" t="inlineStr">
        <is>
          <t>E4</t>
        </is>
      </c>
      <c r="AI599" s="11" t="inlineStr">
        <is>
          <t>D4</t>
        </is>
      </c>
      <c r="AJ599" s="11" t="inlineStr">
        <is>
          <t>E1</t>
        </is>
      </c>
      <c r="AK599" s="11" t="inlineStr">
        <is>
          <t>PISA-T1</t>
        </is>
      </c>
      <c r="AL599" s="11" t="inlineStr">
        <is>
          <t>PISA-T5</t>
        </is>
      </c>
      <c r="AM599" s="11">
        <f>IF(AK599="FUERA","Fuera del marco",IFERROR(INDEX('Datos - Catálogo PISA'!$C$5:$C$76,MATCH(AK599,'Datos - Catálogo PISA'!$A$5:$A$76,0)),"?"))</f>
        <v/>
      </c>
      <c r="AN599" s="11" t="inlineStr">
        <is>
          <t>Contenido</t>
        </is>
      </c>
      <c r="AO599" s="11" t="n"/>
      <c r="AP599" s="11" t="inlineStr">
        <is>
          <t>PISA-EP4;</t>
        </is>
      </c>
      <c r="AQ599" s="11" t="inlineStr">
        <is>
          <t>Local/nacional</t>
        </is>
      </c>
      <c r="AR599" s="11" t="inlineStr">
        <is>
          <t>Riesgos</t>
        </is>
      </c>
      <c r="AS599" s="11" t="inlineStr">
        <is>
          <t>Media</t>
        </is>
      </c>
      <c r="AT599" s="11" t="inlineStr">
        <is>
          <t>alta</t>
        </is>
      </c>
      <c r="AU599" s="11" t="inlineStr">
        <is>
          <t>Subducción como causa del vulcanismo salvadoreño, con modelo.</t>
        </is>
      </c>
      <c r="AV599" s="11" t="inlineStr">
        <is>
          <t>Ciclo 7°–9°</t>
        </is>
      </c>
      <c r="AW599" s="11">
        <f>AF599&amp;"; "&amp;AG599&amp;"; "&amp;AH599&amp;"; "&amp;AI599&amp;"; "&amp;AJ599</f>
        <v/>
      </c>
    </row>
    <row r="600">
      <c r="A600" s="11" t="inlineStr">
        <is>
          <t>T1234-G09-CIE</t>
        </is>
      </c>
      <c r="B600" s="11" t="n">
        <v>9</v>
      </c>
      <c r="C600" s="11" t="inlineStr">
        <is>
          <t>Ciencias</t>
        </is>
      </c>
      <c r="D600" s="11" t="inlineStr">
        <is>
          <t>Matriz_Ciencias_9no_Grado_U1_U7.xlsx</t>
        </is>
      </c>
      <c r="E600" s="11" t="inlineStr">
        <is>
          <t>Unidad 5 - Geología de El Salva</t>
        </is>
      </c>
      <c r="F600" s="11" t="n">
        <v>8</v>
      </c>
      <c r="G600" s="11" t="inlineStr">
        <is>
          <t>5. Geología de El Salvador</t>
        </is>
      </c>
      <c r="H600" s="11" t="inlineStr">
        <is>
          <t>Vulcanología</t>
        </is>
      </c>
      <c r="I600" s="38" t="inlineStr">
        <is>
          <t>5.6. Exploración de la escala del fenómeno volcánico en el sistema solar.</t>
        </is>
      </c>
      <c r="J600" s="11" t="inlineStr">
        <is>
          <t>PISA</t>
        </is>
      </c>
      <c r="K600" s="11" t="inlineStr">
        <is>
          <t>T8_27-E1.2</t>
        </is>
      </c>
      <c r="L600" s="11" t="inlineStr">
        <is>
          <t>T8_27-E4.2</t>
        </is>
      </c>
      <c r="M600" s="11">
        <f>IF(K600="FUERA","Fuera del marco",IF(K600="N/A","Sin marco",IFERROR(INDEX('Datos - Catálogo TIMSS'!$C$5:$C$107,MATCH(K600,'Datos - Catálogo TIMSS'!$A$5:$A$107,0)),"Pendiente de clasificar")))</f>
        <v/>
      </c>
      <c r="N600" s="11">
        <f>IF(K600="FUERA","Fuera del marco",IF(K600="N/A","Sin marco",IFERROR(INDEX('Datos - Catálogo TIMSS'!$F$5:$F$107,MATCH(K600,'Datos - Catálogo TIMSS'!$A$5:$A$107,0)),"Pendiente de clasificar")))</f>
        <v/>
      </c>
      <c r="O600" s="11">
        <f>IF(L600="","",IFERROR(INDEX('Datos - Catálogo TIMSS'!$C$5:$C$107,MATCH(L600,'Datos - Catálogo TIMSS'!$A$5:$A$107,0)),"?"))</f>
        <v/>
      </c>
      <c r="P600" s="11" t="inlineStr">
        <is>
          <t>media</t>
        </is>
      </c>
      <c r="Q600" s="38" t="inlineStr">
        <is>
          <t>Vulcanismo comparado en planetas del sistema solar</t>
        </is>
      </c>
      <c r="R600" s="38" t="inlineStr">
        <is>
          <t>Aplicar: comparar escalas</t>
        </is>
      </c>
      <c r="S600" s="39">
        <f>IFERROR(ISNUMBER(SEARCH("Conocer",$R600))/(ISNUMBER(SEARCH("Conocer",$R600))+ISNUMBER(SEARCH("Aplicar",$R600))+ISNUMBER(SEARCH("Razonar",$R600))),0)</f>
        <v/>
      </c>
      <c r="T600" s="39">
        <f>IFERROR(ISNUMBER(SEARCH("Aplicar",$R600))/(ISNUMBER(SEARCH("Conocer",$R600))+ISNUMBER(SEARCH("Aplicar",$R600))+ISNUMBER(SEARCH("Razonar",$R600))),0)</f>
        <v/>
      </c>
      <c r="U600" s="39">
        <f>IFERROR(ISNUMBER(SEARCH("Razonar",$R600))/(ISNUMBER(SEARCH("Conocer",$R600))+ISNUMBER(SEARCH("Aplicar",$R600))+ISNUMBER(SEARCH("Razonar",$R600))),0)</f>
        <v/>
      </c>
      <c r="V600" s="11" t="inlineStr">
        <is>
          <t>9°</t>
        </is>
      </c>
      <c r="W600" s="11" t="inlineStr">
        <is>
          <t>9°</t>
        </is>
      </c>
      <c r="X600" s="11">
        <f>IF(OR(IFERROR(INDEX('Datos - Catálogo TIMSS'!$I$5:$I$107,MATCH(K600,'Datos - Catálogo TIMSS'!$A$5:$A$107,0)),"No")="Sí",IFERROR(INDEX('Datos - Catálogo TIMSS'!$I$5:$I$107,MATCH(L600,'Datos - Catálogo TIMSS'!$A$5:$A$107,0)),"No")="Sí"),1,0)</f>
        <v/>
      </c>
      <c r="Y600" s="11">
        <f>IF(IFERROR(INDEX('Datos - Catálogo TIMSS'!$J$5:$J$107,MATCH(K600,'Datos - Catálogo TIMSS'!$A$5:$A$107,0)),"No")="Sí",1,0)</f>
        <v/>
      </c>
      <c r="Z600" s="11">
        <f>IF(IFERROR(INDEX('Datos - Catálogo TIMSS'!$J$5:$J$107,MATCH(L600,'Datos - Catálogo TIMSS'!$A$5:$A$107,0)),"No")="Sí",1,0)</f>
        <v/>
      </c>
      <c r="AA600" s="11" t="inlineStr">
        <is>
          <t>T8-T4.2</t>
        </is>
      </c>
      <c r="AB600" s="11" t="inlineStr">
        <is>
          <t>T8-T2.1</t>
        </is>
      </c>
      <c r="AC600" s="11">
        <f>IF(AA600="FUERA","Fuera del marco",IF(AA600="N/A","Sin marco",IFERROR(INDEX('Datos - TIMSS 2023'!$C$5:$C$105,MATCH(AA600,'Datos - TIMSS 2023'!$A$5:$A$105,0)),"Pendiente de clasificar")))</f>
        <v/>
      </c>
      <c r="AD600" s="11" t="inlineStr">
        <is>
          <t>2. Construir y evaluar diseños para la indagación científica e interpretar datos y evidencia de forma crítica</t>
        </is>
      </c>
      <c r="AE600" s="11">
        <f>IF(AD600="","",IF(LEFT(AD600,1)="1","C1",IF(LEFT(AD600,1)="2","C2",IF(LEFT(AD600,1)="3","C3",""))))</f>
        <v/>
      </c>
      <c r="AF600" s="11" t="inlineStr">
        <is>
          <t>E1</t>
        </is>
      </c>
      <c r="AG600" s="11" t="inlineStr">
        <is>
          <t>D1</t>
        </is>
      </c>
      <c r="AH600" s="11" t="inlineStr">
        <is>
          <t>E2</t>
        </is>
      </c>
      <c r="AI600" s="11" t="inlineStr">
        <is>
          <t>D4</t>
        </is>
      </c>
      <c r="AJ600" s="11" t="inlineStr">
        <is>
          <t>E6</t>
        </is>
      </c>
      <c r="AK600" s="11" t="inlineStr">
        <is>
          <t>PISA-T7</t>
        </is>
      </c>
      <c r="AL600" s="11" t="inlineStr">
        <is>
          <t>PISA-T1</t>
        </is>
      </c>
      <c r="AM600" s="11">
        <f>IF(AK600="FUERA","Fuera del marco",IFERROR(INDEX('Datos - Catálogo PISA'!$C$5:$C$76,MATCH(AK600,'Datos - Catálogo PISA'!$A$5:$A$76,0)),"?"))</f>
        <v/>
      </c>
      <c r="AN600" s="11" t="inlineStr">
        <is>
          <t>Contenido</t>
        </is>
      </c>
      <c r="AO600" s="11" t="n"/>
      <c r="AP600" s="11" t="n"/>
      <c r="AQ600" s="11" t="inlineStr">
        <is>
          <t>Global</t>
        </is>
      </c>
      <c r="AR600" s="11" t="n"/>
      <c r="AS600" s="11" t="inlineStr">
        <is>
          <t>Baja</t>
        </is>
      </c>
      <c r="AT600" s="11" t="inlineStr">
        <is>
          <t>alta</t>
        </is>
      </c>
      <c r="AU600" s="11" t="inlineStr">
        <is>
          <t>Escala del vulcanismo en cuerpos del sistema solar.</t>
        </is>
      </c>
      <c r="AV600" s="11" t="inlineStr">
        <is>
          <t>Ciclo 7°–9°</t>
        </is>
      </c>
      <c r="AW600" s="11">
        <f>AF600&amp;"; "&amp;AG600&amp;"; "&amp;AH600&amp;"; "&amp;AI600&amp;"; "&amp;AJ600</f>
        <v/>
      </c>
    </row>
    <row r="601">
      <c r="A601" s="11" t="inlineStr">
        <is>
          <t>T1235-G09-CIE</t>
        </is>
      </c>
      <c r="B601" s="11" t="n">
        <v>9</v>
      </c>
      <c r="C601" s="11" t="inlineStr">
        <is>
          <t>Ciencias</t>
        </is>
      </c>
      <c r="D601" s="11" t="inlineStr">
        <is>
          <t>Matriz_Ciencias_9no_Grado_U1_U7.xlsx</t>
        </is>
      </c>
      <c r="E601" s="11" t="inlineStr">
        <is>
          <t>Unidad 5 - Geología de El Salva</t>
        </is>
      </c>
      <c r="F601" s="11" t="n">
        <v>9</v>
      </c>
      <c r="G601" s="11" t="inlineStr">
        <is>
          <t>5. Geología de El Salvador</t>
        </is>
      </c>
      <c r="H601" s="11" t="inlineStr">
        <is>
          <t>Vulcanología</t>
        </is>
      </c>
      <c r="I601" s="38" t="inlineStr">
        <is>
          <t>5.7. Reconocimiento de la actividad volcánica salvadoreña a partir del historial eruptivo y los volcanes activos.</t>
        </is>
      </c>
      <c r="J601" s="11" t="inlineStr">
        <is>
          <t>PISA</t>
        </is>
      </c>
      <c r="K601" s="11" t="inlineStr">
        <is>
          <t>T8_27-E1.2</t>
        </is>
      </c>
      <c r="L601" s="11" t="inlineStr"/>
      <c r="M601" s="11">
        <f>IF(K601="FUERA","Fuera del marco",IF(K601="N/A","Sin marco",IFERROR(INDEX('Datos - Catálogo TIMSS'!$C$5:$C$107,MATCH(K601,'Datos - Catálogo TIMSS'!$A$5:$A$107,0)),"Pendiente de clasificar")))</f>
        <v/>
      </c>
      <c r="N601" s="11">
        <f>IF(K601="FUERA","Fuera del marco",IF(K601="N/A","Sin marco",IFERROR(INDEX('Datos - Catálogo TIMSS'!$F$5:$F$107,MATCH(K601,'Datos - Catálogo TIMSS'!$A$5:$A$107,0)),"Pendiente de clasificar")))</f>
        <v/>
      </c>
      <c r="O601" s="11">
        <f>IF(L601="","",IFERROR(INDEX('Datos - Catálogo TIMSS'!$C$5:$C$107,MATCH(L601,'Datos - Catálogo TIMSS'!$A$5:$A$107,0)),"?"))</f>
        <v/>
      </c>
      <c r="P601" s="11" t="inlineStr">
        <is>
          <t>alta</t>
        </is>
      </c>
      <c r="Q601" s="38" t="inlineStr">
        <is>
          <t>Actividad volcánica salvadoreña: proceso geológico</t>
        </is>
      </c>
      <c r="R601" s="38" t="inlineStr">
        <is>
          <t>Aplicar: organizar información</t>
        </is>
      </c>
      <c r="S601" s="39">
        <f>IFERROR(ISNUMBER(SEARCH("Conocer",$R601))/(ISNUMBER(SEARCH("Conocer",$R601))+ISNUMBER(SEARCH("Aplicar",$R601))+ISNUMBER(SEARCH("Razonar",$R601))),0)</f>
        <v/>
      </c>
      <c r="T601" s="39">
        <f>IFERROR(ISNUMBER(SEARCH("Aplicar",$R601))/(ISNUMBER(SEARCH("Conocer",$R601))+ISNUMBER(SEARCH("Aplicar",$R601))+ISNUMBER(SEARCH("Razonar",$R601))),0)</f>
        <v/>
      </c>
      <c r="U601" s="39">
        <f>IFERROR(ISNUMBER(SEARCH("Razonar",$R601))/(ISNUMBER(SEARCH("Conocer",$R601))+ISNUMBER(SEARCH("Aplicar",$R601))+ISNUMBER(SEARCH("Razonar",$R601))),0)</f>
        <v/>
      </c>
      <c r="V601" s="11" t="inlineStr">
        <is>
          <t>9°</t>
        </is>
      </c>
      <c r="W601" s="11" t="inlineStr">
        <is>
          <t>9°</t>
        </is>
      </c>
      <c r="X601" s="11">
        <f>IF(OR(IFERROR(INDEX('Datos - Catálogo TIMSS'!$I$5:$I$107,MATCH(K601,'Datos - Catálogo TIMSS'!$A$5:$A$107,0)),"No")="Sí",IFERROR(INDEX('Datos - Catálogo TIMSS'!$I$5:$I$107,MATCH(L601,'Datos - Catálogo TIMSS'!$A$5:$A$107,0)),"No")="Sí"),1,0)</f>
        <v/>
      </c>
      <c r="Y601" s="11">
        <f>IF(IFERROR(INDEX('Datos - Catálogo TIMSS'!$J$5:$J$107,MATCH(K601,'Datos - Catálogo TIMSS'!$A$5:$A$107,0)),"No")="Sí",1,0)</f>
        <v/>
      </c>
      <c r="Z601" s="11">
        <f>IF(IFERROR(INDEX('Datos - Catálogo TIMSS'!$J$5:$J$107,MATCH(L601,'Datos - Catálogo TIMSS'!$A$5:$A$107,0)),"No")="Sí",1,0)</f>
        <v/>
      </c>
      <c r="AA601" s="11" t="inlineStr">
        <is>
          <t>T8-T2.1</t>
        </is>
      </c>
      <c r="AB601" s="11" t="inlineStr"/>
      <c r="AC601" s="11">
        <f>IF(AA601="FUERA","Fuera del marco",IF(AA601="N/A","Sin marco",IFERROR(INDEX('Datos - TIMSS 2023'!$C$5:$C$105,MATCH(AA601,'Datos - TIMSS 2023'!$A$5:$A$105,0)),"Pendiente de clasificar")))</f>
        <v/>
      </c>
      <c r="AD601" s="11" t="inlineStr">
        <is>
          <t>3. Investigar, evaluar y usar información científica para tomar decisiones y actuar</t>
        </is>
      </c>
      <c r="AE601" s="11">
        <f>IF(AD601="","",IF(LEFT(AD601,1)="1","C1",IF(LEFT(AD601,1)="2","C2",IF(LEFT(AD601,1)="3","C3",""))))</f>
        <v/>
      </c>
      <c r="AF601" s="11" t="inlineStr">
        <is>
          <t>E6</t>
        </is>
      </c>
      <c r="AG601" s="11" t="inlineStr">
        <is>
          <t>D1</t>
        </is>
      </c>
      <c r="AH601" s="11" t="inlineStr">
        <is>
          <t>E2</t>
        </is>
      </c>
      <c r="AI601" s="11" t="inlineStr">
        <is>
          <t>I1</t>
        </is>
      </c>
      <c r="AJ601" s="11" t="inlineStr">
        <is>
          <t>I5</t>
        </is>
      </c>
      <c r="AK601" s="11" t="inlineStr">
        <is>
          <t>PISA-T1</t>
        </is>
      </c>
      <c r="AL601" s="11" t="inlineStr">
        <is>
          <t>PISA-T6</t>
        </is>
      </c>
      <c r="AM601" s="11">
        <f>IF(AK601="FUERA","Fuera del marco",IFERROR(INDEX('Datos - Catálogo PISA'!$C$5:$C$76,MATCH(AK601,'Datos - Catálogo PISA'!$A$5:$A$76,0)),"?"))</f>
        <v/>
      </c>
      <c r="AN601" s="11" t="inlineStr">
        <is>
          <t>Contenido</t>
        </is>
      </c>
      <c r="AO601" s="11" t="n"/>
      <c r="AP601" s="11" t="n"/>
      <c r="AQ601" s="11" t="inlineStr">
        <is>
          <t>Local/nacional</t>
        </is>
      </c>
      <c r="AR601" s="11" t="inlineStr">
        <is>
          <t>Riesgos</t>
        </is>
      </c>
      <c r="AS601" s="11" t="inlineStr">
        <is>
          <t>Media</t>
        </is>
      </c>
      <c r="AT601" s="11" t="inlineStr">
        <is>
          <t>alta</t>
        </is>
      </c>
      <c r="AU601" s="11" t="inlineStr">
        <is>
          <t>Historial eruptivo y volcanes activos de El Salvador.</t>
        </is>
      </c>
      <c r="AV601" s="11" t="inlineStr">
        <is>
          <t>Ciclo 7°–9°</t>
        </is>
      </c>
      <c r="AW601" s="11">
        <f>AF601&amp;"; "&amp;AG601&amp;"; "&amp;AH601&amp;"; "&amp;AI601&amp;"; "&amp;AJ601</f>
        <v/>
      </c>
    </row>
    <row r="602">
      <c r="A602" s="11" t="inlineStr">
        <is>
          <t>T1236-G09-CIE</t>
        </is>
      </c>
      <c r="B602" s="11" t="n">
        <v>9</v>
      </c>
      <c r="C602" s="11" t="inlineStr">
        <is>
          <t>Ciencias</t>
        </is>
      </c>
      <c r="D602" s="11" t="inlineStr">
        <is>
          <t>Matriz_Ciencias_9no_Grado_U1_U7.xlsx</t>
        </is>
      </c>
      <c r="E602" s="11" t="inlineStr">
        <is>
          <t>Unidad 5 - Geología de El Salva</t>
        </is>
      </c>
      <c r="F602" s="11" t="n">
        <v>10</v>
      </c>
      <c r="G602" s="11" t="inlineStr">
        <is>
          <t>5. Geología de El Salvador</t>
        </is>
      </c>
      <c r="H602" s="11" t="inlineStr">
        <is>
          <t>Sismología</t>
        </is>
      </c>
      <c r="I602" s="38" t="inlineStr">
        <is>
          <t>5.8. Identificación de los principales parámetros de un sismo a partir del historial sísmico de El Salvador.</t>
        </is>
      </c>
      <c r="J602" s="11" t="inlineStr">
        <is>
          <t>PISA</t>
        </is>
      </c>
      <c r="K602" s="11" t="inlineStr">
        <is>
          <t>T8_27-E1.2</t>
        </is>
      </c>
      <c r="L602" s="11" t="inlineStr"/>
      <c r="M602" s="11">
        <f>IF(K602="FUERA","Fuera del marco",IF(K602="N/A","Sin marco",IFERROR(INDEX('Datos - Catálogo TIMSS'!$C$5:$C$107,MATCH(K602,'Datos - Catálogo TIMSS'!$A$5:$A$107,0)),"Pendiente de clasificar")))</f>
        <v/>
      </c>
      <c r="N602" s="11">
        <f>IF(K602="FUERA","Fuera del marco",IF(K602="N/A","Sin marco",IFERROR(INDEX('Datos - Catálogo TIMSS'!$F$5:$F$107,MATCH(K602,'Datos - Catálogo TIMSS'!$A$5:$A$107,0)),"Pendiente de clasificar")))</f>
        <v/>
      </c>
      <c r="O602" s="11">
        <f>IF(L602="","",IFERROR(INDEX('Datos - Catálogo TIMSS'!$C$5:$C$107,MATCH(L602,'Datos - Catálogo TIMSS'!$A$5:$A$107,0)),"?"))</f>
        <v/>
      </c>
      <c r="P602" s="11" t="inlineStr">
        <is>
          <t>alta</t>
        </is>
      </c>
      <c r="Q602" s="38" t="inlineStr">
        <is>
          <t>Parámetros de sismos a partir del historial</t>
        </is>
      </c>
      <c r="R602" s="38" t="inlineStr">
        <is>
          <t>Aplicar: analizar datos</t>
        </is>
      </c>
      <c r="S602" s="39">
        <f>IFERROR(ISNUMBER(SEARCH("Conocer",$R602))/(ISNUMBER(SEARCH("Conocer",$R602))+ISNUMBER(SEARCH("Aplicar",$R602))+ISNUMBER(SEARCH("Razonar",$R602))),0)</f>
        <v/>
      </c>
      <c r="T602" s="39">
        <f>IFERROR(ISNUMBER(SEARCH("Aplicar",$R602))/(ISNUMBER(SEARCH("Conocer",$R602))+ISNUMBER(SEARCH("Aplicar",$R602))+ISNUMBER(SEARCH("Razonar",$R602))),0)</f>
        <v/>
      </c>
      <c r="U602" s="39">
        <f>IFERROR(ISNUMBER(SEARCH("Razonar",$R602))/(ISNUMBER(SEARCH("Conocer",$R602))+ISNUMBER(SEARCH("Aplicar",$R602))+ISNUMBER(SEARCH("Razonar",$R602))),0)</f>
        <v/>
      </c>
      <c r="V602" s="11" t="inlineStr">
        <is>
          <t>9°</t>
        </is>
      </c>
      <c r="W602" s="11" t="inlineStr">
        <is>
          <t>9°</t>
        </is>
      </c>
      <c r="X602" s="11">
        <f>IF(OR(IFERROR(INDEX('Datos - Catálogo TIMSS'!$I$5:$I$107,MATCH(K602,'Datos - Catálogo TIMSS'!$A$5:$A$107,0)),"No")="Sí",IFERROR(INDEX('Datos - Catálogo TIMSS'!$I$5:$I$107,MATCH(L602,'Datos - Catálogo TIMSS'!$A$5:$A$107,0)),"No")="Sí"),1,0)</f>
        <v/>
      </c>
      <c r="Y602" s="11">
        <f>IF(IFERROR(INDEX('Datos - Catálogo TIMSS'!$J$5:$J$107,MATCH(K602,'Datos - Catálogo TIMSS'!$A$5:$A$107,0)),"No")="Sí",1,0)</f>
        <v/>
      </c>
      <c r="Z602" s="11">
        <f>IF(IFERROR(INDEX('Datos - Catálogo TIMSS'!$J$5:$J$107,MATCH(L602,'Datos - Catálogo TIMSS'!$A$5:$A$107,0)),"No")="Sí",1,0)</f>
        <v/>
      </c>
      <c r="AA602" s="11" t="inlineStr">
        <is>
          <t>T8-T2.1</t>
        </is>
      </c>
      <c r="AB602" s="11" t="inlineStr"/>
      <c r="AC602" s="11">
        <f>IF(AA602="FUERA","Fuera del marco",IF(AA602="N/A","Sin marco",IFERROR(INDEX('Datos - TIMSS 2023'!$C$5:$C$105,MATCH(AA602,'Datos - TIMSS 2023'!$A$5:$A$105,0)),"Pendiente de clasificar")))</f>
        <v/>
      </c>
      <c r="AD602" s="11" t="inlineStr">
        <is>
          <t>2. Construir y evaluar diseños para la indagación científica e interpretar datos y evidencia de forma crítica</t>
        </is>
      </c>
      <c r="AE602" s="11">
        <f>IF(AD602="","",IF(LEFT(AD602,1)="1","C1",IF(LEFT(AD602,1)="2","C2",IF(LEFT(AD602,1)="3","C3",""))))</f>
        <v/>
      </c>
      <c r="AF602" s="11" t="inlineStr">
        <is>
          <t>E6</t>
        </is>
      </c>
      <c r="AG602" s="11" t="inlineStr">
        <is>
          <t>D1</t>
        </is>
      </c>
      <c r="AH602" s="11" t="inlineStr">
        <is>
          <t>E1</t>
        </is>
      </c>
      <c r="AI602" s="11" t="inlineStr">
        <is>
          <t>D4</t>
        </is>
      </c>
      <c r="AJ602" s="11" t="inlineStr">
        <is>
          <t>E6</t>
        </is>
      </c>
      <c r="AK602" s="11" t="inlineStr">
        <is>
          <t>PISA-T1</t>
        </is>
      </c>
      <c r="AL602" s="11" t="n"/>
      <c r="AM602" s="11">
        <f>IF(AK602="FUERA","Fuera del marco",IFERROR(INDEX('Datos - Catálogo PISA'!$C$5:$C$76,MATCH(AK602,'Datos - Catálogo PISA'!$A$5:$A$76,0)),"?"))</f>
        <v/>
      </c>
      <c r="AN602" s="11" t="inlineStr">
        <is>
          <t>Contenido</t>
        </is>
      </c>
      <c r="AO602" s="11" t="inlineStr">
        <is>
          <t>PISA-PR2;</t>
        </is>
      </c>
      <c r="AP602" s="11" t="n"/>
      <c r="AQ602" s="11" t="inlineStr">
        <is>
          <t>Local/nacional</t>
        </is>
      </c>
      <c r="AR602" s="11" t="inlineStr">
        <is>
          <t>Riesgos</t>
        </is>
      </c>
      <c r="AS602" s="11" t="inlineStr">
        <is>
          <t>Media</t>
        </is>
      </c>
      <c r="AT602" s="11" t="inlineStr">
        <is>
          <t>alta</t>
        </is>
      </c>
      <c r="AU602" s="11" t="inlineStr">
        <is>
          <t>Parámetros de sismos y escalas desde el historial sísmico nacional.</t>
        </is>
      </c>
      <c r="AV602" s="11" t="inlineStr">
        <is>
          <t>Ciclo 7°–9°</t>
        </is>
      </c>
      <c r="AW602" s="11">
        <f>AF602&amp;"; "&amp;AG602&amp;"; "&amp;AH602&amp;"; "&amp;AI602&amp;"; "&amp;AJ602</f>
        <v/>
      </c>
    </row>
    <row r="603">
      <c r="A603" s="11" t="inlineStr">
        <is>
          <t>T1237-G09-CIE</t>
        </is>
      </c>
      <c r="B603" s="11" t="n">
        <v>9</v>
      </c>
      <c r="C603" s="11" t="inlineStr">
        <is>
          <t>Ciencias</t>
        </is>
      </c>
      <c r="D603" s="11" t="inlineStr">
        <is>
          <t>Matriz_Ciencias_9no_Grado_U1_U7.xlsx</t>
        </is>
      </c>
      <c r="E603" s="11" t="inlineStr">
        <is>
          <t>Unidad 5 - Geología de El Salva</t>
        </is>
      </c>
      <c r="F603" s="11" t="n">
        <v>11</v>
      </c>
      <c r="G603" s="11" t="inlineStr">
        <is>
          <t>5. Geología de El Salvador</t>
        </is>
      </c>
      <c r="H603" s="11" t="inlineStr">
        <is>
          <t>Sismología</t>
        </is>
      </c>
      <c r="I603" s="38" t="inlineStr">
        <is>
          <t>5.9. Simulación del comportamiento de las ondas sísmicas.</t>
        </is>
      </c>
      <c r="J603" s="11" t="inlineStr">
        <is>
          <t>PISA</t>
        </is>
      </c>
      <c r="K603" s="11" t="inlineStr">
        <is>
          <t>T8_27-E1.2</t>
        </is>
      </c>
      <c r="L603" s="11" t="inlineStr">
        <is>
          <t>T8_27-E1.1</t>
        </is>
      </c>
      <c r="M603" s="11">
        <f>IF(K603="FUERA","Fuera del marco",IF(K603="N/A","Sin marco",IFERROR(INDEX('Datos - Catálogo TIMSS'!$C$5:$C$107,MATCH(K603,'Datos - Catálogo TIMSS'!$A$5:$A$107,0)),"Pendiente de clasificar")))</f>
        <v/>
      </c>
      <c r="N603" s="11">
        <f>IF(K603="FUERA","Fuera del marco",IF(K603="N/A","Sin marco",IFERROR(INDEX('Datos - Catálogo TIMSS'!$F$5:$F$107,MATCH(K603,'Datos - Catálogo TIMSS'!$A$5:$A$107,0)),"Pendiente de clasificar")))</f>
        <v/>
      </c>
      <c r="O603" s="11">
        <f>IF(L603="","",IFERROR(INDEX('Datos - Catálogo TIMSS'!$C$5:$C$107,MATCH(L603,'Datos - Catálogo TIMSS'!$A$5:$A$107,0)),"?"))</f>
        <v/>
      </c>
      <c r="P603" s="11" t="inlineStr">
        <is>
          <t>media</t>
        </is>
      </c>
      <c r="Q603" s="38" t="inlineStr">
        <is>
          <t>Ondas sísmicas P y S y estructura interna</t>
        </is>
      </c>
      <c r="R603" s="38" t="inlineStr">
        <is>
          <t>Aplicar: simular. Razonar: comparar</t>
        </is>
      </c>
      <c r="S603" s="39">
        <f>IFERROR(ISNUMBER(SEARCH("Conocer",$R603))/(ISNUMBER(SEARCH("Conocer",$R603))+ISNUMBER(SEARCH("Aplicar",$R603))+ISNUMBER(SEARCH("Razonar",$R603))),0)</f>
        <v/>
      </c>
      <c r="T603" s="39">
        <f>IFERROR(ISNUMBER(SEARCH("Aplicar",$R603))/(ISNUMBER(SEARCH("Conocer",$R603))+ISNUMBER(SEARCH("Aplicar",$R603))+ISNUMBER(SEARCH("Razonar",$R603))),0)</f>
        <v/>
      </c>
      <c r="U603" s="39">
        <f>IFERROR(ISNUMBER(SEARCH("Razonar",$R603))/(ISNUMBER(SEARCH("Conocer",$R603))+ISNUMBER(SEARCH("Aplicar",$R603))+ISNUMBER(SEARCH("Razonar",$R603))),0)</f>
        <v/>
      </c>
      <c r="V603" s="11" t="inlineStr">
        <is>
          <t>9°</t>
        </is>
      </c>
      <c r="W603" s="11" t="inlineStr">
        <is>
          <t>9°</t>
        </is>
      </c>
      <c r="X603" s="11">
        <f>IF(OR(IFERROR(INDEX('Datos - Catálogo TIMSS'!$I$5:$I$107,MATCH(K603,'Datos - Catálogo TIMSS'!$A$5:$A$107,0)),"No")="Sí",IFERROR(INDEX('Datos - Catálogo TIMSS'!$I$5:$I$107,MATCH(L603,'Datos - Catálogo TIMSS'!$A$5:$A$107,0)),"No")="Sí"),1,0)</f>
        <v/>
      </c>
      <c r="Y603" s="11">
        <f>IF(IFERROR(INDEX('Datos - Catálogo TIMSS'!$J$5:$J$107,MATCH(K603,'Datos - Catálogo TIMSS'!$A$5:$A$107,0)),"No")="Sí",1,0)</f>
        <v/>
      </c>
      <c r="Z603" s="11">
        <f>IF(IFERROR(INDEX('Datos - Catálogo TIMSS'!$J$5:$J$107,MATCH(L603,'Datos - Catálogo TIMSS'!$A$5:$A$107,0)),"No")="Sí",1,0)</f>
        <v/>
      </c>
      <c r="AA603" s="11" t="inlineStr">
        <is>
          <t>T8-T2.1</t>
        </is>
      </c>
      <c r="AB603" s="11" t="inlineStr">
        <is>
          <t>T8-T1.1</t>
        </is>
      </c>
      <c r="AC603" s="11">
        <f>IF(AA603="FUERA","Fuera del marco",IF(AA603="N/A","Sin marco",IFERROR(INDEX('Datos - TIMSS 2023'!$C$5:$C$105,MATCH(AA603,'Datos - TIMSS 2023'!$A$5:$A$105,0)),"Pendiente de clasificar")))</f>
        <v/>
      </c>
      <c r="AD603" s="11" t="inlineStr">
        <is>
          <t>2. Construir y evaluar diseños para la indagación científica e interpretar datos y evidencia de forma crítica</t>
        </is>
      </c>
      <c r="AE603" s="11">
        <f>IF(AD603="","",IF(LEFT(AD603,1)="1","C1",IF(LEFT(AD603,1)="2","C2",IF(LEFT(AD603,1)="3","C3",""))))</f>
        <v/>
      </c>
      <c r="AF603" s="11" t="inlineStr">
        <is>
          <t>E1</t>
        </is>
      </c>
      <c r="AG603" s="11" t="inlineStr">
        <is>
          <t>D1</t>
        </is>
      </c>
      <c r="AH603" s="11" t="inlineStr">
        <is>
          <t>E4</t>
        </is>
      </c>
      <c r="AI603" s="11" t="inlineStr">
        <is>
          <t>D4</t>
        </is>
      </c>
      <c r="AJ603" s="11" t="inlineStr">
        <is>
          <t>E6</t>
        </is>
      </c>
      <c r="AK603" s="11" t="inlineStr">
        <is>
          <t>PISA-F5</t>
        </is>
      </c>
      <c r="AL603" s="11" t="inlineStr">
        <is>
          <t>PISA-T1</t>
        </is>
      </c>
      <c r="AM603" s="11">
        <f>IF(AK603="FUERA","Fuera del marco",IFERROR(INDEX('Datos - Catálogo PISA'!$C$5:$C$76,MATCH(AK603,'Datos - Catálogo PISA'!$A$5:$A$76,0)),"?"))</f>
        <v/>
      </c>
      <c r="AN603" s="11" t="inlineStr">
        <is>
          <t>Contenido</t>
        </is>
      </c>
      <c r="AO603" s="11" t="n"/>
      <c r="AP603" s="11" t="inlineStr">
        <is>
          <t>PISA-EP4;</t>
        </is>
      </c>
      <c r="AQ603" s="11" t="inlineStr">
        <is>
          <t>Sin contexto</t>
        </is>
      </c>
      <c r="AR603" s="11" t="n"/>
      <c r="AS603" s="11" t="inlineStr">
        <is>
          <t>Media</t>
        </is>
      </c>
      <c r="AT603" s="11" t="inlineStr">
        <is>
          <t>alta</t>
        </is>
      </c>
      <c r="AU603" s="11" t="inlineStr">
        <is>
          <t>Comportamiento de ondas sísmicas P y S con simulador.</t>
        </is>
      </c>
      <c r="AV603" s="11" t="inlineStr">
        <is>
          <t>Ciclo 7°–9°</t>
        </is>
      </c>
      <c r="AW603" s="11">
        <f>AF603&amp;"; "&amp;AG603&amp;"; "&amp;AH603&amp;"; "&amp;AI603&amp;"; "&amp;AJ603</f>
        <v/>
      </c>
    </row>
    <row r="604">
      <c r="A604" s="11" t="inlineStr">
        <is>
          <t>T1238-G09-CIE</t>
        </is>
      </c>
      <c r="B604" s="11" t="n">
        <v>9</v>
      </c>
      <c r="C604" s="11" t="inlineStr">
        <is>
          <t>Ciencias</t>
        </is>
      </c>
      <c r="D604" s="11" t="inlineStr">
        <is>
          <t>Matriz_Ciencias_9no_Grado_U1_U7.xlsx</t>
        </is>
      </c>
      <c r="E604" s="11" t="inlineStr">
        <is>
          <t>Unidad 5 - Geología de El Salva</t>
        </is>
      </c>
      <c r="F604" s="11" t="n">
        <v>12</v>
      </c>
      <c r="G604" s="11" t="inlineStr">
        <is>
          <t>5. Geología de El Salvador</t>
        </is>
      </c>
      <c r="H604" s="11" t="inlineStr">
        <is>
          <t>Sismología</t>
        </is>
      </c>
      <c r="I604" s="38" t="inlineStr">
        <is>
          <t>5.10. Identificación de fallas geológicas y zonas sísmicas de El Salvador.</t>
        </is>
      </c>
      <c r="J604" s="11" t="inlineStr">
        <is>
          <t>PISA</t>
        </is>
      </c>
      <c r="K604" s="11" t="inlineStr">
        <is>
          <t>T8_27-E1.2</t>
        </is>
      </c>
      <c r="L604" s="11" t="inlineStr"/>
      <c r="M604" s="11">
        <f>IF(K604="FUERA","Fuera del marco",IF(K604="N/A","Sin marco",IFERROR(INDEX('Datos - Catálogo TIMSS'!$C$5:$C$107,MATCH(K604,'Datos - Catálogo TIMSS'!$A$5:$A$107,0)),"Pendiente de clasificar")))</f>
        <v/>
      </c>
      <c r="N604" s="11">
        <f>IF(K604="FUERA","Fuera del marco",IF(K604="N/A","Sin marco",IFERROR(INDEX('Datos - Catálogo TIMSS'!$F$5:$F$107,MATCH(K604,'Datos - Catálogo TIMSS'!$A$5:$A$107,0)),"Pendiente de clasificar")))</f>
        <v/>
      </c>
      <c r="O604" s="11">
        <f>IF(L604="","",IFERROR(INDEX('Datos - Catálogo TIMSS'!$C$5:$C$107,MATCH(L604,'Datos - Catálogo TIMSS'!$A$5:$A$107,0)),"?"))</f>
        <v/>
      </c>
      <c r="P604" s="11" t="inlineStr">
        <is>
          <t>alta</t>
        </is>
      </c>
      <c r="Q604" s="38" t="inlineStr">
        <is>
          <t>Fallas y zonas sísmicas: tectónica de placas</t>
        </is>
      </c>
      <c r="R604" s="38" t="inlineStr">
        <is>
          <t>Aplicar: interpretar mapas. Razonar: argumentar</t>
        </is>
      </c>
      <c r="S604" s="39">
        <f>IFERROR(ISNUMBER(SEARCH("Conocer",$R604))/(ISNUMBER(SEARCH("Conocer",$R604))+ISNUMBER(SEARCH("Aplicar",$R604))+ISNUMBER(SEARCH("Razonar",$R604))),0)</f>
        <v/>
      </c>
      <c r="T604" s="39">
        <f>IFERROR(ISNUMBER(SEARCH("Aplicar",$R604))/(ISNUMBER(SEARCH("Conocer",$R604))+ISNUMBER(SEARCH("Aplicar",$R604))+ISNUMBER(SEARCH("Razonar",$R604))),0)</f>
        <v/>
      </c>
      <c r="U604" s="39">
        <f>IFERROR(ISNUMBER(SEARCH("Razonar",$R604))/(ISNUMBER(SEARCH("Conocer",$R604))+ISNUMBER(SEARCH("Aplicar",$R604))+ISNUMBER(SEARCH("Razonar",$R604))),0)</f>
        <v/>
      </c>
      <c r="V604" s="11" t="inlineStr">
        <is>
          <t>9°</t>
        </is>
      </c>
      <c r="W604" s="11" t="inlineStr">
        <is>
          <t>9°</t>
        </is>
      </c>
      <c r="X604" s="11">
        <f>IF(OR(IFERROR(INDEX('Datos - Catálogo TIMSS'!$I$5:$I$107,MATCH(K604,'Datos - Catálogo TIMSS'!$A$5:$A$107,0)),"No")="Sí",IFERROR(INDEX('Datos - Catálogo TIMSS'!$I$5:$I$107,MATCH(L604,'Datos - Catálogo TIMSS'!$A$5:$A$107,0)),"No")="Sí"),1,0)</f>
        <v/>
      </c>
      <c r="Y604" s="11">
        <f>IF(IFERROR(INDEX('Datos - Catálogo TIMSS'!$J$5:$J$107,MATCH(K604,'Datos - Catálogo TIMSS'!$A$5:$A$107,0)),"No")="Sí",1,0)</f>
        <v/>
      </c>
      <c r="Z604" s="11">
        <f>IF(IFERROR(INDEX('Datos - Catálogo TIMSS'!$J$5:$J$107,MATCH(L604,'Datos - Catálogo TIMSS'!$A$5:$A$107,0)),"No")="Sí",1,0)</f>
        <v/>
      </c>
      <c r="AA604" s="11" t="inlineStr">
        <is>
          <t>T8-T2.1</t>
        </is>
      </c>
      <c r="AB604" s="11" t="inlineStr"/>
      <c r="AC604" s="11">
        <f>IF(AA604="FUERA","Fuera del marco",IF(AA604="N/A","Sin marco",IFERROR(INDEX('Datos - TIMSS 2023'!$C$5:$C$105,MATCH(AA604,'Datos - TIMSS 2023'!$A$5:$A$105,0)),"Pendiente de clasificar")))</f>
        <v/>
      </c>
      <c r="AD604" s="11" t="inlineStr">
        <is>
          <t>3. Investigar, evaluar y usar información científica para tomar decisiones y actuar</t>
        </is>
      </c>
      <c r="AE604" s="11">
        <f>IF(AD604="","",IF(LEFT(AD604,1)="1","C1",IF(LEFT(AD604,1)="2","C2",IF(LEFT(AD604,1)="3","C3",""))))</f>
        <v/>
      </c>
      <c r="AF604" s="11" t="inlineStr">
        <is>
          <t>E6</t>
        </is>
      </c>
      <c r="AG604" s="11" t="inlineStr">
        <is>
          <t>D1</t>
        </is>
      </c>
      <c r="AH604" s="11" t="inlineStr">
        <is>
          <t>E2</t>
        </is>
      </c>
      <c r="AI604" s="11" t="inlineStr">
        <is>
          <t>I3</t>
        </is>
      </c>
      <c r="AJ604" s="11" t="inlineStr">
        <is>
          <t>I5</t>
        </is>
      </c>
      <c r="AK604" s="11" t="inlineStr">
        <is>
          <t>PISA-T1</t>
        </is>
      </c>
      <c r="AL604" s="11" t="inlineStr">
        <is>
          <t>PISA-T5</t>
        </is>
      </c>
      <c r="AM604" s="11">
        <f>IF(AK604="FUERA","Fuera del marco",IFERROR(INDEX('Datos - Catálogo PISA'!$C$5:$C$76,MATCH(AK604,'Datos - Catálogo PISA'!$A$5:$A$76,0)),"?"))</f>
        <v/>
      </c>
      <c r="AN604" s="11" t="inlineStr">
        <is>
          <t>Contenido</t>
        </is>
      </c>
      <c r="AO604" s="11" t="n"/>
      <c r="AP604" s="11" t="n"/>
      <c r="AQ604" s="11" t="inlineStr">
        <is>
          <t>Local/nacional</t>
        </is>
      </c>
      <c r="AR604" s="11" t="inlineStr">
        <is>
          <t>Riesgos</t>
        </is>
      </c>
      <c r="AS604" s="11" t="inlineStr">
        <is>
          <t>Media</t>
        </is>
      </c>
      <c r="AT604" s="11" t="inlineStr">
        <is>
          <t>alta</t>
        </is>
      </c>
      <c r="AU604" s="11" t="inlineStr">
        <is>
          <t>Fallas geológicas y zonas sísmicas del país con análisis de riesgo.</t>
        </is>
      </c>
      <c r="AV604" s="11" t="inlineStr">
        <is>
          <t>Ciclo 7°–9°</t>
        </is>
      </c>
      <c r="AW604" s="11">
        <f>AF604&amp;"; "&amp;AG604&amp;"; "&amp;AH604&amp;"; "&amp;AI604&amp;"; "&amp;AJ604</f>
        <v/>
      </c>
    </row>
    <row r="605">
      <c r="A605" s="11" t="inlineStr">
        <is>
          <t>T1239-G09-CIE</t>
        </is>
      </c>
      <c r="B605" s="11" t="n">
        <v>9</v>
      </c>
      <c r="C605" s="11" t="inlineStr">
        <is>
          <t>Ciencias</t>
        </is>
      </c>
      <c r="D605" s="11" t="inlineStr">
        <is>
          <t>Matriz_Ciencias_9no_Grado_U1_U7.xlsx</t>
        </is>
      </c>
      <c r="E605" s="11" t="inlineStr">
        <is>
          <t>Unidad 5 - Geología de El Salva</t>
        </is>
      </c>
      <c r="F605" s="11" t="n">
        <v>13</v>
      </c>
      <c r="G605" s="11" t="inlineStr">
        <is>
          <t>5. Geología de El Salvador</t>
        </is>
      </c>
      <c r="H605" s="11" t="inlineStr">
        <is>
          <t>Sistemas de alerta ante riesgos geológicos</t>
        </is>
      </c>
      <c r="I605" s="38" t="inlineStr">
        <is>
          <t>5.11. Reconocimiento de los sistemas de alerta temprana ante fenómenos geológicos en El Salvador.</t>
        </is>
      </c>
      <c r="J605" s="11" t="inlineStr">
        <is>
          <t>PISA</t>
        </is>
      </c>
      <c r="K605" s="11" t="inlineStr">
        <is>
          <t>FUERA</t>
        </is>
      </c>
      <c r="L605" s="11" t="inlineStr"/>
      <c r="M605" s="11">
        <f>IF(K605="FUERA","Fuera del marco",IF(K605="N/A","Sin marco",IFERROR(INDEX('Datos - Catálogo TIMSS'!$C$5:$C$107,MATCH(K605,'Datos - Catálogo TIMSS'!$A$5:$A$107,0)),"Pendiente de clasificar")))</f>
        <v/>
      </c>
      <c r="N605" s="11">
        <f>IF(K605="FUERA","Fuera del marco",IF(K605="N/A","Sin marco",IFERROR(INDEX('Datos - Catálogo TIMSS'!$F$5:$F$107,MATCH(K605,'Datos - Catálogo TIMSS'!$A$5:$A$107,0)),"Pendiente de clasificar")))</f>
        <v/>
      </c>
      <c r="O605" s="11">
        <f>IF(L605="","",IFERROR(INDEX('Datos - Catálogo TIMSS'!$C$5:$C$107,MATCH(L605,'Datos - Catálogo TIMSS'!$A$5:$A$107,0)),"?"))</f>
        <v/>
      </c>
      <c r="P605" s="11" t="inlineStr">
        <is>
          <t>alta</t>
        </is>
      </c>
      <c r="Q605" s="38" t="inlineStr">
        <is>
          <t>Alerta temprana: gestión de riesgos sin contenido del marco</t>
        </is>
      </c>
      <c r="R605" s="38" t="inlineStr">
        <is>
          <t>Conocer: reconocer. Razonar: evaluar información</t>
        </is>
      </c>
      <c r="S605" s="39">
        <f>IFERROR(ISNUMBER(SEARCH("Conocer",$R605))/(ISNUMBER(SEARCH("Conocer",$R605))+ISNUMBER(SEARCH("Aplicar",$R605))+ISNUMBER(SEARCH("Razonar",$R605))),0)</f>
        <v/>
      </c>
      <c r="T605" s="39">
        <f>IFERROR(ISNUMBER(SEARCH("Aplicar",$R605))/(ISNUMBER(SEARCH("Conocer",$R605))+ISNUMBER(SEARCH("Aplicar",$R605))+ISNUMBER(SEARCH("Razonar",$R605))),0)</f>
        <v/>
      </c>
      <c r="U605" s="39">
        <f>IFERROR(ISNUMBER(SEARCH("Razonar",$R605))/(ISNUMBER(SEARCH("Conocer",$R605))+ISNUMBER(SEARCH("Aplicar",$R605))+ISNUMBER(SEARCH("Razonar",$R605))),0)</f>
        <v/>
      </c>
      <c r="V605" s="11" t="inlineStr">
        <is>
          <t>9°</t>
        </is>
      </c>
      <c r="W605" s="11" t="inlineStr">
        <is>
          <t>9°</t>
        </is>
      </c>
      <c r="X605" s="11">
        <f>IF(OR(IFERROR(INDEX('Datos - Catálogo TIMSS'!$I$5:$I$107,MATCH(K605,'Datos - Catálogo TIMSS'!$A$5:$A$107,0)),"No")="Sí",IFERROR(INDEX('Datos - Catálogo TIMSS'!$I$5:$I$107,MATCH(L605,'Datos - Catálogo TIMSS'!$A$5:$A$107,0)),"No")="Sí"),1,0)</f>
        <v/>
      </c>
      <c r="Y605" s="11">
        <f>IF(IFERROR(INDEX('Datos - Catálogo TIMSS'!$J$5:$J$107,MATCH(K605,'Datos - Catálogo TIMSS'!$A$5:$A$107,0)),"No")="Sí",1,0)</f>
        <v/>
      </c>
      <c r="Z605" s="11">
        <f>IF(IFERROR(INDEX('Datos - Catálogo TIMSS'!$J$5:$J$107,MATCH(L605,'Datos - Catálogo TIMSS'!$A$5:$A$107,0)),"No")="Sí",1,0)</f>
        <v/>
      </c>
      <c r="AA605" s="11" t="inlineStr">
        <is>
          <t>FUERA</t>
        </is>
      </c>
      <c r="AB605" s="11" t="inlineStr"/>
      <c r="AC605" s="11">
        <f>IF(AA605="FUERA","Fuera del marco",IF(AA605="N/A","Sin marco",IFERROR(INDEX('Datos - TIMSS 2023'!$C$5:$C$105,MATCH(AA605,'Datos - TIMSS 2023'!$A$5:$A$105,0)),"Pendiente de clasificar")))</f>
        <v/>
      </c>
      <c r="AD605" s="11" t="inlineStr">
        <is>
          <t>3. Investigar, evaluar y usar información científica para tomar decisiones y actuar</t>
        </is>
      </c>
      <c r="AE605" s="11">
        <f>IF(AD605="","",IF(LEFT(AD605,1)="1","C1",IF(LEFT(AD605,1)="2","C2",IF(LEFT(AD605,1)="3","C3",""))))</f>
        <v/>
      </c>
      <c r="AF605" s="11" t="inlineStr">
        <is>
          <t>E1</t>
        </is>
      </c>
      <c r="AG605" s="11" t="inlineStr">
        <is>
          <t>D1</t>
        </is>
      </c>
      <c r="AH605" s="11" t="inlineStr">
        <is>
          <t>E1</t>
        </is>
      </c>
      <c r="AI605" s="11" t="inlineStr">
        <is>
          <t>I2</t>
        </is>
      </c>
      <c r="AJ605" s="11" t="inlineStr">
        <is>
          <t>I5</t>
        </is>
      </c>
      <c r="AK605" s="11" t="inlineStr">
        <is>
          <t>PISA-T1</t>
        </is>
      </c>
      <c r="AL605" s="11" t="n"/>
      <c r="AM605" s="11">
        <f>IF(AK605="FUERA","Fuera del marco",IFERROR(INDEX('Datos - Catálogo PISA'!$C$5:$C$76,MATCH(AK605,'Datos - Catálogo PISA'!$A$5:$A$76,0)),"?"))</f>
        <v/>
      </c>
      <c r="AN605" s="11" t="inlineStr">
        <is>
          <t>Contenido</t>
        </is>
      </c>
      <c r="AO605" s="11" t="n"/>
      <c r="AP605" s="11" t="n"/>
      <c r="AQ605" s="11" t="inlineStr">
        <is>
          <t>Local/nacional</t>
        </is>
      </c>
      <c r="AR605" s="11" t="inlineStr">
        <is>
          <t>Riesgos</t>
        </is>
      </c>
      <c r="AS605" s="11" t="inlineStr">
        <is>
          <t>Baja</t>
        </is>
      </c>
      <c r="AT605" s="11" t="inlineStr">
        <is>
          <t>media</t>
        </is>
      </c>
      <c r="AU605" s="11" t="inlineStr">
        <is>
          <t>Sistemas de alerta temprana ante sismos y volcanes en El Salvador.</t>
        </is>
      </c>
      <c r="AV605" s="11" t="inlineStr">
        <is>
          <t>Ciclo 7°–9°</t>
        </is>
      </c>
      <c r="AW605" s="11">
        <f>AF605&amp;"; "&amp;AG605&amp;"; "&amp;AH605&amp;"; "&amp;AI605&amp;"; "&amp;AJ605</f>
        <v/>
      </c>
    </row>
    <row r="606">
      <c r="A606" s="11" t="inlineStr">
        <is>
          <t>T1240-G09-CIE</t>
        </is>
      </c>
      <c r="B606" s="11" t="n">
        <v>9</v>
      </c>
      <c r="C606" s="11" t="inlineStr">
        <is>
          <t>Ciencias</t>
        </is>
      </c>
      <c r="D606" s="11" t="inlineStr">
        <is>
          <t>Matriz_Ciencias_9no_Grado_U1_U7.xlsx</t>
        </is>
      </c>
      <c r="E606" s="11" t="inlineStr">
        <is>
          <t>Unidad 6 - Electricidad</t>
        </is>
      </c>
      <c r="F606" s="11" t="n">
        <v>3</v>
      </c>
      <c r="G606" s="11" t="inlineStr">
        <is>
          <t>6. Electricidad</t>
        </is>
      </c>
      <c r="H606" s="11" t="inlineStr">
        <is>
          <t>Fundamentos de electricidad</t>
        </is>
      </c>
      <c r="I606" s="38" t="inlineStr">
        <is>
          <t>6.1. Demostración experimental de la carga eléctrica de los cuerpos.</t>
        </is>
      </c>
      <c r="J606" s="11" t="inlineStr">
        <is>
          <t>PISA</t>
        </is>
      </c>
      <c r="K606" s="11" t="inlineStr">
        <is>
          <t>T8_27-P4.1</t>
        </is>
      </c>
      <c r="L606" s="11" t="inlineStr"/>
      <c r="M606" s="11">
        <f>IF(K606="FUERA","Fuera del marco",IF(K606="N/A","Sin marco",IFERROR(INDEX('Datos - Catálogo TIMSS'!$C$5:$C$107,MATCH(K606,'Datos - Catálogo TIMSS'!$A$5:$A$107,0)),"Pendiente de clasificar")))</f>
        <v/>
      </c>
      <c r="N606" s="11">
        <f>IF(K606="FUERA","Fuera del marco",IF(K606="N/A","Sin marco",IFERROR(INDEX('Datos - Catálogo TIMSS'!$F$5:$F$107,MATCH(K606,'Datos - Catálogo TIMSS'!$A$5:$A$107,0)),"Pendiente de clasificar")))</f>
        <v/>
      </c>
      <c r="O606" s="11">
        <f>IF(L606="","",IFERROR(INDEX('Datos - Catálogo TIMSS'!$C$5:$C$107,MATCH(L606,'Datos - Catálogo TIMSS'!$A$5:$A$107,0)),"?"))</f>
        <v/>
      </c>
      <c r="P606" s="11" t="inlineStr">
        <is>
          <t>baja</t>
        </is>
      </c>
      <c r="Q606" s="38" t="inlineStr">
        <is>
          <t>Carga electrostática; marco 2027 solo trata circuitos</t>
        </is>
      </c>
      <c r="R606" s="38" t="inlineStr">
        <is>
          <t>Aplicar: construir y comprobar</t>
        </is>
      </c>
      <c r="S606" s="39">
        <f>IFERROR(ISNUMBER(SEARCH("Conocer",$R606))/(ISNUMBER(SEARCH("Conocer",$R606))+ISNUMBER(SEARCH("Aplicar",$R606))+ISNUMBER(SEARCH("Razonar",$R606))),0)</f>
        <v/>
      </c>
      <c r="T606" s="39">
        <f>IFERROR(ISNUMBER(SEARCH("Aplicar",$R606))/(ISNUMBER(SEARCH("Conocer",$R606))+ISNUMBER(SEARCH("Aplicar",$R606))+ISNUMBER(SEARCH("Razonar",$R606))),0)</f>
        <v/>
      </c>
      <c r="U606" s="39">
        <f>IFERROR(ISNUMBER(SEARCH("Razonar",$R606))/(ISNUMBER(SEARCH("Conocer",$R606))+ISNUMBER(SEARCH("Aplicar",$R606))+ISNUMBER(SEARCH("Razonar",$R606))),0)</f>
        <v/>
      </c>
      <c r="V606" s="11" t="inlineStr">
        <is>
          <t>9°</t>
        </is>
      </c>
      <c r="W606" s="11" t="inlineStr">
        <is>
          <t>9°</t>
        </is>
      </c>
      <c r="X606" s="11">
        <f>IF(OR(IFERROR(INDEX('Datos - Catálogo TIMSS'!$I$5:$I$107,MATCH(K606,'Datos - Catálogo TIMSS'!$A$5:$A$107,0)),"No")="Sí",IFERROR(INDEX('Datos - Catálogo TIMSS'!$I$5:$I$107,MATCH(L606,'Datos - Catálogo TIMSS'!$A$5:$A$107,0)),"No")="Sí"),1,0)</f>
        <v/>
      </c>
      <c r="Y606" s="11">
        <f>IF(IFERROR(INDEX('Datos - Catálogo TIMSS'!$J$5:$J$107,MATCH(K606,'Datos - Catálogo TIMSS'!$A$5:$A$107,0)),"No")="Sí",1,0)</f>
        <v/>
      </c>
      <c r="Z606" s="11">
        <f>IF(IFERROR(INDEX('Datos - Catálogo TIMSS'!$J$5:$J$107,MATCH(L606,'Datos - Catálogo TIMSS'!$A$5:$A$107,0)),"No")="Sí",1,0)</f>
        <v/>
      </c>
      <c r="AA606" s="11" t="inlineStr">
        <is>
          <t>T8-F4.1</t>
        </is>
      </c>
      <c r="AB606" s="11" t="inlineStr"/>
      <c r="AC606" s="11">
        <f>IF(AA606="FUERA","Fuera del marco",IF(AA606="N/A","Sin marco",IFERROR(INDEX('Datos - TIMSS 2023'!$C$5:$C$105,MATCH(AA606,'Datos - TIMSS 2023'!$A$5:$A$105,0)),"Pendiente de clasificar")))</f>
        <v/>
      </c>
      <c r="AD606" s="11" t="inlineStr">
        <is>
          <t>2. Construir y evaluar diseños para la indagación científica e interpretar datos y evidencia de forma crítica</t>
        </is>
      </c>
      <c r="AE606" s="11">
        <f>IF(AD606="","",IF(LEFT(AD606,1)="1","C1",IF(LEFT(AD606,1)="2","C2",IF(LEFT(AD606,1)="3","C3",""))))</f>
        <v/>
      </c>
      <c r="AF606" s="11" t="inlineStr">
        <is>
          <t>E1</t>
        </is>
      </c>
      <c r="AG606" s="11" t="inlineStr">
        <is>
          <t>D1</t>
        </is>
      </c>
      <c r="AH606" s="11" t="inlineStr">
        <is>
          <t>E1</t>
        </is>
      </c>
      <c r="AI606" s="11" t="inlineStr">
        <is>
          <t>D2</t>
        </is>
      </c>
      <c r="AJ606" s="11" t="inlineStr">
        <is>
          <t>E6</t>
        </is>
      </c>
      <c r="AK606" s="11" t="inlineStr">
        <is>
          <t>PISA-F3</t>
        </is>
      </c>
      <c r="AL606" s="11" t="inlineStr">
        <is>
          <t>PISA-F1</t>
        </is>
      </c>
      <c r="AM606" s="11">
        <f>IF(AK606="FUERA","Fuera del marco",IFERROR(INDEX('Datos - Catálogo PISA'!$C$5:$C$76,MATCH(AK606,'Datos - Catálogo PISA'!$A$5:$A$76,0)),"?"))</f>
        <v/>
      </c>
      <c r="AN606" s="11" t="inlineStr">
        <is>
          <t>Contenido</t>
        </is>
      </c>
      <c r="AO606" s="11" t="n"/>
      <c r="AP606" s="11" t="n"/>
      <c r="AQ606" s="11" t="inlineStr">
        <is>
          <t>Sin contexto</t>
        </is>
      </c>
      <c r="AR606" s="11" t="n"/>
      <c r="AS606" s="11" t="inlineStr">
        <is>
          <t>Baja</t>
        </is>
      </c>
      <c r="AT606" s="11" t="inlineStr">
        <is>
          <t>alta</t>
        </is>
      </c>
      <c r="AU606" s="11" t="inlineStr">
        <is>
          <t>Carga eléctrica de los cuerpos con electroscopio.</t>
        </is>
      </c>
      <c r="AV606" s="11" t="inlineStr">
        <is>
          <t>Ciclo 7°–9°</t>
        </is>
      </c>
      <c r="AW606" s="11">
        <f>AF606&amp;"; "&amp;AG606&amp;"; "&amp;AH606&amp;"; "&amp;AI606&amp;"; "&amp;AJ606</f>
        <v/>
      </c>
    </row>
    <row r="607">
      <c r="A607" s="11" t="inlineStr">
        <is>
          <t>T1241-G09-CIE</t>
        </is>
      </c>
      <c r="B607" s="11" t="n">
        <v>9</v>
      </c>
      <c r="C607" s="11" t="inlineStr">
        <is>
          <t>Ciencias</t>
        </is>
      </c>
      <c r="D607" s="11" t="inlineStr">
        <is>
          <t>Matriz_Ciencias_9no_Grado_U1_U7.xlsx</t>
        </is>
      </c>
      <c r="E607" s="11" t="inlineStr">
        <is>
          <t>Unidad 6 - Electricidad</t>
        </is>
      </c>
      <c r="F607" s="11" t="n">
        <v>4</v>
      </c>
      <c r="G607" s="11" t="inlineStr">
        <is>
          <t>6. Electricidad</t>
        </is>
      </c>
      <c r="H607" s="11" t="inlineStr">
        <is>
          <t>Fundamentos de electricidad</t>
        </is>
      </c>
      <c r="I607" s="38" t="inlineStr">
        <is>
          <t>6.2. Experimentación con las características del campo y la fuerza eléctrica.</t>
        </is>
      </c>
      <c r="J607" s="11" t="inlineStr">
        <is>
          <t>PISA</t>
        </is>
      </c>
      <c r="K607" s="11" t="inlineStr">
        <is>
          <t>T8_27-P5.2</t>
        </is>
      </c>
      <c r="L607" s="11" t="inlineStr">
        <is>
          <t>T8_27-P4.1</t>
        </is>
      </c>
      <c r="M607" s="11">
        <f>IF(K607="FUERA","Fuera del marco",IF(K607="N/A","Sin marco",IFERROR(INDEX('Datos - Catálogo TIMSS'!$C$5:$C$107,MATCH(K607,'Datos - Catálogo TIMSS'!$A$5:$A$107,0)),"Pendiente de clasificar")))</f>
        <v/>
      </c>
      <c r="N607" s="11">
        <f>IF(K607="FUERA","Fuera del marco",IF(K607="N/A","Sin marco",IFERROR(INDEX('Datos - Catálogo TIMSS'!$F$5:$F$107,MATCH(K607,'Datos - Catálogo TIMSS'!$A$5:$A$107,0)),"Pendiente de clasificar")))</f>
        <v/>
      </c>
      <c r="O607" s="11">
        <f>IF(L607="","",IFERROR(INDEX('Datos - Catálogo TIMSS'!$C$5:$C$107,MATCH(L607,'Datos - Catálogo TIMSS'!$A$5:$A$107,0)),"?"))</f>
        <v/>
      </c>
      <c r="P607" s="11" t="inlineStr">
        <is>
          <t>baja</t>
        </is>
      </c>
      <c r="Q607" s="38" t="inlineStr">
        <is>
          <t>Fuerza eléctrica con magnitud y dirección; electrostática fuera</t>
        </is>
      </c>
      <c r="R607" s="38" t="inlineStr">
        <is>
          <t>Aplicar: experimentar</t>
        </is>
      </c>
      <c r="S607" s="39">
        <f>IFERROR(ISNUMBER(SEARCH("Conocer",$R607))/(ISNUMBER(SEARCH("Conocer",$R607))+ISNUMBER(SEARCH("Aplicar",$R607))+ISNUMBER(SEARCH("Razonar",$R607))),0)</f>
        <v/>
      </c>
      <c r="T607" s="39">
        <f>IFERROR(ISNUMBER(SEARCH("Aplicar",$R607))/(ISNUMBER(SEARCH("Conocer",$R607))+ISNUMBER(SEARCH("Aplicar",$R607))+ISNUMBER(SEARCH("Razonar",$R607))),0)</f>
        <v/>
      </c>
      <c r="U607" s="39">
        <f>IFERROR(ISNUMBER(SEARCH("Razonar",$R607))/(ISNUMBER(SEARCH("Conocer",$R607))+ISNUMBER(SEARCH("Aplicar",$R607))+ISNUMBER(SEARCH("Razonar",$R607))),0)</f>
        <v/>
      </c>
      <c r="V607" s="11" t="inlineStr">
        <is>
          <t>9°</t>
        </is>
      </c>
      <c r="W607" s="11" t="inlineStr">
        <is>
          <t>9°</t>
        </is>
      </c>
      <c r="X607" s="11">
        <f>IF(OR(IFERROR(INDEX('Datos - Catálogo TIMSS'!$I$5:$I$107,MATCH(K607,'Datos - Catálogo TIMSS'!$A$5:$A$107,0)),"No")="Sí",IFERROR(INDEX('Datos - Catálogo TIMSS'!$I$5:$I$107,MATCH(L607,'Datos - Catálogo TIMSS'!$A$5:$A$107,0)),"No")="Sí"),1,0)</f>
        <v/>
      </c>
      <c r="Y607" s="11">
        <f>IF(IFERROR(INDEX('Datos - Catálogo TIMSS'!$J$5:$J$107,MATCH(K607,'Datos - Catálogo TIMSS'!$A$5:$A$107,0)),"No")="Sí",1,0)</f>
        <v/>
      </c>
      <c r="Z607" s="11">
        <f>IF(IFERROR(INDEX('Datos - Catálogo TIMSS'!$J$5:$J$107,MATCH(L607,'Datos - Catálogo TIMSS'!$A$5:$A$107,0)),"No")="Sí",1,0)</f>
        <v/>
      </c>
      <c r="AA607" s="11" t="inlineStr">
        <is>
          <t>T8-F4.1</t>
        </is>
      </c>
      <c r="AB607" s="11" t="inlineStr">
        <is>
          <t>T8-F5.2</t>
        </is>
      </c>
      <c r="AC607" s="11">
        <f>IF(AA607="FUERA","Fuera del marco",IF(AA607="N/A","Sin marco",IFERROR(INDEX('Datos - TIMSS 2023'!$C$5:$C$105,MATCH(AA607,'Datos - TIMSS 2023'!$A$5:$A$105,0)),"Pendiente de clasificar")))</f>
        <v/>
      </c>
      <c r="AD607" s="11" t="inlineStr">
        <is>
          <t>2. Construir y evaluar diseños para la indagación científica e interpretar datos y evidencia de forma crítica</t>
        </is>
      </c>
      <c r="AE607" s="11">
        <f>IF(AD607="","",IF(LEFT(AD607,1)="1","C1",IF(LEFT(AD607,1)="2","C2",IF(LEFT(AD607,1)="3","C3",""))))</f>
        <v/>
      </c>
      <c r="AF607" s="11" t="inlineStr">
        <is>
          <t>E1</t>
        </is>
      </c>
      <c r="AG607" s="11" t="inlineStr">
        <is>
          <t>E3</t>
        </is>
      </c>
      <c r="AH607" s="11" t="inlineStr">
        <is>
          <t>E1</t>
        </is>
      </c>
      <c r="AI607" s="11" t="inlineStr">
        <is>
          <t>D4</t>
        </is>
      </c>
      <c r="AJ607" s="11" t="inlineStr">
        <is>
          <t>E1</t>
        </is>
      </c>
      <c r="AK607" s="11" t="inlineStr">
        <is>
          <t>PISA-F3</t>
        </is>
      </c>
      <c r="AL607" s="11" t="n"/>
      <c r="AM607" s="11">
        <f>IF(AK607="FUERA","Fuera del marco",IFERROR(INDEX('Datos - Catálogo PISA'!$C$5:$C$76,MATCH(AK607,'Datos - Catálogo PISA'!$A$5:$A$76,0)),"?"))</f>
        <v/>
      </c>
      <c r="AN607" s="11" t="inlineStr">
        <is>
          <t>Contenido</t>
        </is>
      </c>
      <c r="AO607" s="11" t="inlineStr">
        <is>
          <t>PISA-PR1;</t>
        </is>
      </c>
      <c r="AP607" s="11" t="n"/>
      <c r="AQ607" s="11" t="inlineStr">
        <is>
          <t>Sin contexto</t>
        </is>
      </c>
      <c r="AR607" s="11" t="n"/>
      <c r="AS607" s="11" t="inlineStr">
        <is>
          <t>Media</t>
        </is>
      </c>
      <c r="AT607" s="11" t="inlineStr">
        <is>
          <t>alta</t>
        </is>
      </c>
      <c r="AU607" s="11" t="inlineStr">
        <is>
          <t>Fuerza eléctrica según distancia y líneas de campo.</t>
        </is>
      </c>
      <c r="AV607" s="11" t="inlineStr">
        <is>
          <t>Ciclo 7°–9°</t>
        </is>
      </c>
      <c r="AW607" s="11">
        <f>AF607&amp;"; "&amp;AG607&amp;"; "&amp;AH607&amp;"; "&amp;AI607&amp;"; "&amp;AJ607</f>
        <v/>
      </c>
    </row>
    <row r="608">
      <c r="A608" s="11" t="inlineStr">
        <is>
          <t>T1242-G09-CIE</t>
        </is>
      </c>
      <c r="B608" s="11" t="n">
        <v>9</v>
      </c>
      <c r="C608" s="11" t="inlineStr">
        <is>
          <t>Ciencias</t>
        </is>
      </c>
      <c r="D608" s="11" t="inlineStr">
        <is>
          <t>Matriz_Ciencias_9no_Grado_U1_U7.xlsx</t>
        </is>
      </c>
      <c r="E608" s="11" t="inlineStr">
        <is>
          <t>Unidad 6 - Electricidad</t>
        </is>
      </c>
      <c r="F608" s="11" t="n">
        <v>5</v>
      </c>
      <c r="G608" s="11" t="inlineStr">
        <is>
          <t>6. Electricidad</t>
        </is>
      </c>
      <c r="H608" s="11" t="inlineStr">
        <is>
          <t>Fundamentos de electricidad</t>
        </is>
      </c>
      <c r="I608" s="38" t="inlineStr">
        <is>
          <t>6.3. Cálculo de la fuerza eléctrica considerando cargas puntuales en una dimensión.</t>
        </is>
      </c>
      <c r="J608" s="11" t="inlineStr">
        <is>
          <t>PISA</t>
        </is>
      </c>
      <c r="K608" s="11" t="inlineStr">
        <is>
          <t>T8_27-P5.2</t>
        </is>
      </c>
      <c r="L608" s="11" t="inlineStr"/>
      <c r="M608" s="11">
        <f>IF(K608="FUERA","Fuera del marco",IF(K608="N/A","Sin marco",IFERROR(INDEX('Datos - Catálogo TIMSS'!$C$5:$C$107,MATCH(K608,'Datos - Catálogo TIMSS'!$A$5:$A$107,0)),"Pendiente de clasificar")))</f>
        <v/>
      </c>
      <c r="N608" s="11">
        <f>IF(K608="FUERA","Fuera del marco",IF(K608="N/A","Sin marco",IFERROR(INDEX('Datos - Catálogo TIMSS'!$F$5:$F$107,MATCH(K608,'Datos - Catálogo TIMSS'!$A$5:$A$107,0)),"Pendiente de clasificar")))</f>
        <v/>
      </c>
      <c r="O608" s="11">
        <f>IF(L608="","",IFERROR(INDEX('Datos - Catálogo TIMSS'!$C$5:$C$107,MATCH(L608,'Datos - Catálogo TIMSS'!$A$5:$A$107,0)),"?"))</f>
        <v/>
      </c>
      <c r="P608" s="11" t="inlineStr">
        <is>
          <t>baja</t>
        </is>
      </c>
      <c r="Q608" s="38" t="inlineStr">
        <is>
          <t>Ley de Coulomb: fuerza entre cargas; no explícita</t>
        </is>
      </c>
      <c r="R608" s="38" t="inlineStr">
        <is>
          <t>Aplicar: calcular</t>
        </is>
      </c>
      <c r="S608" s="39">
        <f>IFERROR(ISNUMBER(SEARCH("Conocer",$R608))/(ISNUMBER(SEARCH("Conocer",$R608))+ISNUMBER(SEARCH("Aplicar",$R608))+ISNUMBER(SEARCH("Razonar",$R608))),0)</f>
        <v/>
      </c>
      <c r="T608" s="39">
        <f>IFERROR(ISNUMBER(SEARCH("Aplicar",$R608))/(ISNUMBER(SEARCH("Conocer",$R608))+ISNUMBER(SEARCH("Aplicar",$R608))+ISNUMBER(SEARCH("Razonar",$R608))),0)</f>
        <v/>
      </c>
      <c r="U608" s="39">
        <f>IFERROR(ISNUMBER(SEARCH("Razonar",$R608))/(ISNUMBER(SEARCH("Conocer",$R608))+ISNUMBER(SEARCH("Aplicar",$R608))+ISNUMBER(SEARCH("Razonar",$R608))),0)</f>
        <v/>
      </c>
      <c r="V608" s="11" t="inlineStr">
        <is>
          <t>9°</t>
        </is>
      </c>
      <c r="W608" s="11" t="inlineStr">
        <is>
          <t>9°</t>
        </is>
      </c>
      <c r="X608" s="11">
        <f>IF(OR(IFERROR(INDEX('Datos - Catálogo TIMSS'!$I$5:$I$107,MATCH(K608,'Datos - Catálogo TIMSS'!$A$5:$A$107,0)),"No")="Sí",IFERROR(INDEX('Datos - Catálogo TIMSS'!$I$5:$I$107,MATCH(L608,'Datos - Catálogo TIMSS'!$A$5:$A$107,0)),"No")="Sí"),1,0)</f>
        <v/>
      </c>
      <c r="Y608" s="11">
        <f>IF(IFERROR(INDEX('Datos - Catálogo TIMSS'!$J$5:$J$107,MATCH(K608,'Datos - Catálogo TIMSS'!$A$5:$A$107,0)),"No")="Sí",1,0)</f>
        <v/>
      </c>
      <c r="Z608" s="11">
        <f>IF(IFERROR(INDEX('Datos - Catálogo TIMSS'!$J$5:$J$107,MATCH(L608,'Datos - Catálogo TIMSS'!$A$5:$A$107,0)),"No")="Sí",1,0)</f>
        <v/>
      </c>
      <c r="AA608" s="11" t="inlineStr">
        <is>
          <t>T8-F5.2</t>
        </is>
      </c>
      <c r="AB608" s="11" t="inlineStr">
        <is>
          <t>T8-F4.1</t>
        </is>
      </c>
      <c r="AC608" s="11">
        <f>IF(AA608="FUERA","Fuera del marco",IF(AA608="N/A","Sin marco",IFERROR(INDEX('Datos - TIMSS 2023'!$C$5:$C$105,MATCH(AA608,'Datos - TIMSS 2023'!$A$5:$A$105,0)),"Pendiente de clasificar")))</f>
        <v/>
      </c>
      <c r="AD608" s="11" t="inlineStr">
        <is>
          <t>2. Construir y evaluar diseños para la indagación científica e interpretar datos y evidencia de forma crítica</t>
        </is>
      </c>
      <c r="AE608" s="11">
        <f>IF(AD608="","",IF(LEFT(AD608,1)="1","C1",IF(LEFT(AD608,1)="2","C2",IF(LEFT(AD608,1)="3","C3",""))))</f>
        <v/>
      </c>
      <c r="AF608" s="11" t="inlineStr">
        <is>
          <t>E1</t>
        </is>
      </c>
      <c r="AG608" s="11" t="inlineStr">
        <is>
          <t>D1</t>
        </is>
      </c>
      <c r="AH608" s="11" t="inlineStr">
        <is>
          <t>E1</t>
        </is>
      </c>
      <c r="AI608" s="11" t="inlineStr">
        <is>
          <t>D4</t>
        </is>
      </c>
      <c r="AJ608" s="11" t="inlineStr">
        <is>
          <t>E3</t>
        </is>
      </c>
      <c r="AK608" s="11" t="inlineStr">
        <is>
          <t>PISA-F3</t>
        </is>
      </c>
      <c r="AL608" s="11" t="n"/>
      <c r="AM608" s="11">
        <f>IF(AK608="FUERA","Fuera del marco",IFERROR(INDEX('Datos - Catálogo PISA'!$C$5:$C$76,MATCH(AK608,'Datos - Catálogo PISA'!$A$5:$A$76,0)),"?"))</f>
        <v/>
      </c>
      <c r="AN608" s="11" t="inlineStr">
        <is>
          <t>Contenido</t>
        </is>
      </c>
      <c r="AO608" s="11" t="n"/>
      <c r="AP608" s="11" t="n"/>
      <c r="AQ608" s="11" t="inlineStr">
        <is>
          <t>Sin contexto</t>
        </is>
      </c>
      <c r="AR608" s="11" t="n"/>
      <c r="AS608" s="11" t="inlineStr">
        <is>
          <t>Media</t>
        </is>
      </c>
      <c r="AT608" s="11" t="inlineStr">
        <is>
          <t>alta</t>
        </is>
      </c>
      <c r="AU608" s="11" t="inlineStr">
        <is>
          <t>Ley de Coulomb: fuerza electrostática entre cargas puntuales.</t>
        </is>
      </c>
      <c r="AV608" s="11" t="inlineStr">
        <is>
          <t>Ciclo 7°–9°</t>
        </is>
      </c>
      <c r="AW608" s="11">
        <f>AF608&amp;"; "&amp;AG608&amp;"; "&amp;AH608&amp;"; "&amp;AI608&amp;"; "&amp;AJ608</f>
        <v/>
      </c>
    </row>
    <row r="609">
      <c r="A609" s="11" t="inlineStr">
        <is>
          <t>T1243-G09-CIE</t>
        </is>
      </c>
      <c r="B609" s="11" t="n">
        <v>9</v>
      </c>
      <c r="C609" s="11" t="inlineStr">
        <is>
          <t>Ciencias</t>
        </is>
      </c>
      <c r="D609" s="11" t="inlineStr">
        <is>
          <t>Matriz_Ciencias_9no_Grado_U1_U7.xlsx</t>
        </is>
      </c>
      <c r="E609" s="11" t="inlineStr">
        <is>
          <t>Unidad 6 - Electricidad</t>
        </is>
      </c>
      <c r="F609" s="11" t="n">
        <v>6</v>
      </c>
      <c r="G609" s="11" t="inlineStr">
        <is>
          <t>6. Electricidad</t>
        </is>
      </c>
      <c r="H609" s="11" t="inlineStr">
        <is>
          <t>Dispositivos electrónicos</t>
        </is>
      </c>
      <c r="I609" s="38" t="inlineStr">
        <is>
          <t>6.4. Reconocimiento de componentes electrónicos presentes en una placa madre.</t>
        </is>
      </c>
      <c r="J609" s="11" t="inlineStr">
        <is>
          <t>PISA</t>
        </is>
      </c>
      <c r="K609" s="11" t="inlineStr">
        <is>
          <t>FUERA</t>
        </is>
      </c>
      <c r="L609" s="11" t="inlineStr"/>
      <c r="M609" s="11">
        <f>IF(K609="FUERA","Fuera del marco",IF(K609="N/A","Sin marco",IFERROR(INDEX('Datos - Catálogo TIMSS'!$C$5:$C$107,MATCH(K609,'Datos - Catálogo TIMSS'!$A$5:$A$107,0)),"Pendiente de clasificar")))</f>
        <v/>
      </c>
      <c r="N609" s="11">
        <f>IF(K609="FUERA","Fuera del marco",IF(K609="N/A","Sin marco",IFERROR(INDEX('Datos - Catálogo TIMSS'!$F$5:$F$107,MATCH(K609,'Datos - Catálogo TIMSS'!$A$5:$A$107,0)),"Pendiente de clasificar")))</f>
        <v/>
      </c>
      <c r="O609" s="11">
        <f>IF(L609="","",IFERROR(INDEX('Datos - Catálogo TIMSS'!$C$5:$C$107,MATCH(L609,'Datos - Catálogo TIMSS'!$A$5:$A$107,0)),"?"))</f>
        <v/>
      </c>
      <c r="P609" s="11" t="inlineStr">
        <is>
          <t>alta</t>
        </is>
      </c>
      <c r="Q609" s="38" t="inlineStr">
        <is>
          <t>Componentes de placa madre: electrónica</t>
        </is>
      </c>
      <c r="R609" s="38" t="inlineStr">
        <is>
          <t>Aplicar: identificar</t>
        </is>
      </c>
      <c r="S609" s="39">
        <f>IFERROR(ISNUMBER(SEARCH("Conocer",$R609))/(ISNUMBER(SEARCH("Conocer",$R609))+ISNUMBER(SEARCH("Aplicar",$R609))+ISNUMBER(SEARCH("Razonar",$R609))),0)</f>
        <v/>
      </c>
      <c r="T609" s="39">
        <f>IFERROR(ISNUMBER(SEARCH("Aplicar",$R609))/(ISNUMBER(SEARCH("Conocer",$R609))+ISNUMBER(SEARCH("Aplicar",$R609))+ISNUMBER(SEARCH("Razonar",$R609))),0)</f>
        <v/>
      </c>
      <c r="U609" s="39">
        <f>IFERROR(ISNUMBER(SEARCH("Razonar",$R609))/(ISNUMBER(SEARCH("Conocer",$R609))+ISNUMBER(SEARCH("Aplicar",$R609))+ISNUMBER(SEARCH("Razonar",$R609))),0)</f>
        <v/>
      </c>
      <c r="V609" s="11" t="inlineStr">
        <is>
          <t>9°</t>
        </is>
      </c>
      <c r="W609" s="11" t="inlineStr">
        <is>
          <t>9°</t>
        </is>
      </c>
      <c r="X609" s="11">
        <f>IF(OR(IFERROR(INDEX('Datos - Catálogo TIMSS'!$I$5:$I$107,MATCH(K609,'Datos - Catálogo TIMSS'!$A$5:$A$107,0)),"No")="Sí",IFERROR(INDEX('Datos - Catálogo TIMSS'!$I$5:$I$107,MATCH(L609,'Datos - Catálogo TIMSS'!$A$5:$A$107,0)),"No")="Sí"),1,0)</f>
        <v/>
      </c>
      <c r="Y609" s="11">
        <f>IF(IFERROR(INDEX('Datos - Catálogo TIMSS'!$J$5:$J$107,MATCH(K609,'Datos - Catálogo TIMSS'!$A$5:$A$107,0)),"No")="Sí",1,0)</f>
        <v/>
      </c>
      <c r="Z609" s="11">
        <f>IF(IFERROR(INDEX('Datos - Catálogo TIMSS'!$J$5:$J$107,MATCH(L609,'Datos - Catálogo TIMSS'!$A$5:$A$107,0)),"No")="Sí",1,0)</f>
        <v/>
      </c>
      <c r="AA609" s="11" t="inlineStr">
        <is>
          <t>FUERA</t>
        </is>
      </c>
      <c r="AB609" s="11" t="inlineStr"/>
      <c r="AC609" s="11">
        <f>IF(AA609="FUERA","Fuera del marco",IF(AA609="N/A","Sin marco",IFERROR(INDEX('Datos - TIMSS 2023'!$C$5:$C$105,MATCH(AA609,'Datos - TIMSS 2023'!$A$5:$A$105,0)),"Pendiente de clasificar")))</f>
        <v/>
      </c>
      <c r="AD609" s="11" t="inlineStr">
        <is>
          <t>1. Explicar fenómenos científicamente</t>
        </is>
      </c>
      <c r="AE609" s="11">
        <f>IF(AD609="","",IF(LEFT(AD609,1)="1","C1",IF(LEFT(AD609,1)="2","C2",IF(LEFT(AD609,1)="3","C3",""))))</f>
        <v/>
      </c>
      <c r="AF609" s="11" t="inlineStr">
        <is>
          <t>E1</t>
        </is>
      </c>
      <c r="AG609" s="11" t="inlineStr">
        <is>
          <t>D1</t>
        </is>
      </c>
      <c r="AH609" s="11" t="inlineStr">
        <is>
          <t>E1</t>
        </is>
      </c>
      <c r="AI609" s="11" t="inlineStr">
        <is>
          <t>D4</t>
        </is>
      </c>
      <c r="AJ609" s="11" t="inlineStr">
        <is>
          <t>E6</t>
        </is>
      </c>
      <c r="AK609" s="11" t="inlineStr">
        <is>
          <t>FUERA</t>
        </is>
      </c>
      <c r="AL609" s="11" t="n"/>
      <c r="AM609" s="11">
        <f>IF(AK609="FUERA","Fuera del marco",IFERROR(INDEX('Datos - Catálogo PISA'!$C$5:$C$76,MATCH(AK609,'Datos - Catálogo PISA'!$A$5:$A$76,0)),"?"))</f>
        <v/>
      </c>
      <c r="AN609" s="11" t="inlineStr">
        <is>
          <t>Contenido</t>
        </is>
      </c>
      <c r="AO609" s="11" t="n"/>
      <c r="AP609" s="11" t="n"/>
      <c r="AQ609" s="11" t="inlineStr">
        <is>
          <t>Personal</t>
        </is>
      </c>
      <c r="AR609" s="11" t="inlineStr">
        <is>
          <t>Avances y desafíos científicos y tecnológicos</t>
        </is>
      </c>
      <c r="AS609" s="11" t="inlineStr">
        <is>
          <t>Baja</t>
        </is>
      </c>
      <c r="AT609" s="11" t="inlineStr">
        <is>
          <t>media</t>
        </is>
      </c>
      <c r="AU609" s="11" t="inlineStr">
        <is>
          <t>Reconocer componentes de placa madre es tecnología, sin contenido PISA.</t>
        </is>
      </c>
      <c r="AV609" s="11" t="inlineStr">
        <is>
          <t>Ciclo 7°–9°</t>
        </is>
      </c>
      <c r="AW609" s="11">
        <f>AF609&amp;"; "&amp;AG609&amp;"; "&amp;AH609&amp;"; "&amp;AI609&amp;"; "&amp;AJ609</f>
        <v/>
      </c>
    </row>
    <row r="610">
      <c r="A610" s="11" t="inlineStr">
        <is>
          <t>T1244-G09-CIE</t>
        </is>
      </c>
      <c r="B610" s="11" t="n">
        <v>9</v>
      </c>
      <c r="C610" s="11" t="inlineStr">
        <is>
          <t>Ciencias</t>
        </is>
      </c>
      <c r="D610" s="11" t="inlineStr">
        <is>
          <t>Matriz_Ciencias_9no_Grado_U1_U7.xlsx</t>
        </is>
      </c>
      <c r="E610" s="11" t="inlineStr">
        <is>
          <t>Unidad 6 - Electricidad</t>
        </is>
      </c>
      <c r="F610" s="11" t="n">
        <v>7</v>
      </c>
      <c r="G610" s="11" t="inlineStr">
        <is>
          <t>6. Electricidad</t>
        </is>
      </c>
      <c r="H610" s="11" t="inlineStr">
        <is>
          <t>Dispositivos electrónicos</t>
        </is>
      </c>
      <c r="I610" s="38" t="inlineStr">
        <is>
          <t>6.5. Construcción de un circuito eléctrico funcional que incluya diversos componentes electrónicos.</t>
        </is>
      </c>
      <c r="J610" s="11" t="inlineStr">
        <is>
          <t>PISA</t>
        </is>
      </c>
      <c r="K610" s="11" t="inlineStr">
        <is>
          <t>T8_27-P4.1</t>
        </is>
      </c>
      <c r="L610" s="11" t="inlineStr"/>
      <c r="M610" s="11">
        <f>IF(K610="FUERA","Fuera del marco",IF(K610="N/A","Sin marco",IFERROR(INDEX('Datos - Catálogo TIMSS'!$C$5:$C$107,MATCH(K610,'Datos - Catálogo TIMSS'!$A$5:$A$107,0)),"Pendiente de clasificar")))</f>
        <v/>
      </c>
      <c r="N610" s="11">
        <f>IF(K610="FUERA","Fuera del marco",IF(K610="N/A","Sin marco",IFERROR(INDEX('Datos - Catálogo TIMSS'!$F$5:$F$107,MATCH(K610,'Datos - Catálogo TIMSS'!$A$5:$A$107,0)),"Pendiente de clasificar")))</f>
        <v/>
      </c>
      <c r="O610" s="11">
        <f>IF(L610="","",IFERROR(INDEX('Datos - Catálogo TIMSS'!$C$5:$C$107,MATCH(L610,'Datos - Catálogo TIMSS'!$A$5:$A$107,0)),"?"))</f>
        <v/>
      </c>
      <c r="P610" s="11" t="inlineStr">
        <is>
          <t>alta</t>
        </is>
      </c>
      <c r="Q610" s="38" t="inlineStr">
        <is>
          <t>Circuito eléctrico funcional con componentes</t>
        </is>
      </c>
      <c r="R610" s="38" t="inlineStr">
        <is>
          <t>Aplicar: construir. Razonar: evaluar</t>
        </is>
      </c>
      <c r="S610" s="39">
        <f>IFERROR(ISNUMBER(SEARCH("Conocer",$R610))/(ISNUMBER(SEARCH("Conocer",$R610))+ISNUMBER(SEARCH("Aplicar",$R610))+ISNUMBER(SEARCH("Razonar",$R610))),0)</f>
        <v/>
      </c>
      <c r="T610" s="39">
        <f>IFERROR(ISNUMBER(SEARCH("Aplicar",$R610))/(ISNUMBER(SEARCH("Conocer",$R610))+ISNUMBER(SEARCH("Aplicar",$R610))+ISNUMBER(SEARCH("Razonar",$R610))),0)</f>
        <v/>
      </c>
      <c r="U610" s="39">
        <f>IFERROR(ISNUMBER(SEARCH("Razonar",$R610))/(ISNUMBER(SEARCH("Conocer",$R610))+ISNUMBER(SEARCH("Aplicar",$R610))+ISNUMBER(SEARCH("Razonar",$R610))),0)</f>
        <v/>
      </c>
      <c r="V610" s="11" t="inlineStr">
        <is>
          <t>9°</t>
        </is>
      </c>
      <c r="W610" s="11" t="inlineStr">
        <is>
          <t>9°</t>
        </is>
      </c>
      <c r="X610" s="11">
        <f>IF(OR(IFERROR(INDEX('Datos - Catálogo TIMSS'!$I$5:$I$107,MATCH(K610,'Datos - Catálogo TIMSS'!$A$5:$A$107,0)),"No")="Sí",IFERROR(INDEX('Datos - Catálogo TIMSS'!$I$5:$I$107,MATCH(L610,'Datos - Catálogo TIMSS'!$A$5:$A$107,0)),"No")="Sí"),1,0)</f>
        <v/>
      </c>
      <c r="Y610" s="11">
        <f>IF(IFERROR(INDEX('Datos - Catálogo TIMSS'!$J$5:$J$107,MATCH(K610,'Datos - Catálogo TIMSS'!$A$5:$A$107,0)),"No")="Sí",1,0)</f>
        <v/>
      </c>
      <c r="Z610" s="11">
        <f>IF(IFERROR(INDEX('Datos - Catálogo TIMSS'!$J$5:$J$107,MATCH(L610,'Datos - Catálogo TIMSS'!$A$5:$A$107,0)),"No")="Sí",1,0)</f>
        <v/>
      </c>
      <c r="AA610" s="11" t="inlineStr">
        <is>
          <t>T8-F4.1</t>
        </is>
      </c>
      <c r="AB610" s="11" t="inlineStr"/>
      <c r="AC610" s="11">
        <f>IF(AA610="FUERA","Fuera del marco",IF(AA610="N/A","Sin marco",IFERROR(INDEX('Datos - TIMSS 2023'!$C$5:$C$105,MATCH(AA610,'Datos - TIMSS 2023'!$A$5:$A$105,0)),"Pendiente de clasificar")))</f>
        <v/>
      </c>
      <c r="AD610" s="11" t="inlineStr">
        <is>
          <t>2. Construir y evaluar diseños para la indagación científica e interpretar datos y evidencia de forma crítica</t>
        </is>
      </c>
      <c r="AE610" s="11">
        <f>IF(AD610="","",IF(LEFT(AD610,1)="1","C1",IF(LEFT(AD610,1)="2","C2",IF(LEFT(AD610,1)="3","C3",""))))</f>
        <v/>
      </c>
      <c r="AF610" s="11" t="inlineStr">
        <is>
          <t>E1</t>
        </is>
      </c>
      <c r="AG610" s="11" t="inlineStr">
        <is>
          <t>D1</t>
        </is>
      </c>
      <c r="AH610" s="11" t="inlineStr">
        <is>
          <t>E4</t>
        </is>
      </c>
      <c r="AI610" s="11" t="inlineStr">
        <is>
          <t>D2</t>
        </is>
      </c>
      <c r="AJ610" s="11" t="inlineStr">
        <is>
          <t>D3</t>
        </is>
      </c>
      <c r="AK610" s="11" t="inlineStr">
        <is>
          <t>PISA-F4</t>
        </is>
      </c>
      <c r="AL610" s="11" t="inlineStr">
        <is>
          <t>PISA-F1</t>
        </is>
      </c>
      <c r="AM610" s="11">
        <f>IF(AK610="FUERA","Fuera del marco",IFERROR(INDEX('Datos - Catálogo PISA'!$C$5:$C$76,MATCH(AK610,'Datos - Catálogo PISA'!$A$5:$A$76,0)),"?"))</f>
        <v/>
      </c>
      <c r="AN610" s="11" t="inlineStr">
        <is>
          <t>Contenido</t>
        </is>
      </c>
      <c r="AO610" s="11" t="n"/>
      <c r="AP610" s="11" t="n"/>
      <c r="AQ610" s="11" t="inlineStr">
        <is>
          <t>Sin contexto</t>
        </is>
      </c>
      <c r="AR610" s="11" t="n"/>
      <c r="AS610" s="11" t="inlineStr">
        <is>
          <t>Media</t>
        </is>
      </c>
      <c r="AT610" s="11" t="inlineStr">
        <is>
          <t>media</t>
        </is>
      </c>
      <c r="AU610" s="11" t="inlineStr">
        <is>
          <t>Circuito funcional: transferencia de energía eléctrica entre componentes.</t>
        </is>
      </c>
      <c r="AV610" s="11" t="inlineStr">
        <is>
          <t>Ciclo 7°–9°</t>
        </is>
      </c>
      <c r="AW610" s="11">
        <f>AF610&amp;"; "&amp;AG610&amp;"; "&amp;AH610&amp;"; "&amp;AI610&amp;"; "&amp;AJ610</f>
        <v/>
      </c>
    </row>
    <row r="611">
      <c r="A611" s="11" t="inlineStr">
        <is>
          <t>T1245-G09-CIE</t>
        </is>
      </c>
      <c r="B611" s="11" t="n">
        <v>9</v>
      </c>
      <c r="C611" s="11" t="inlineStr">
        <is>
          <t>Ciencias</t>
        </is>
      </c>
      <c r="D611" s="11" t="inlineStr">
        <is>
          <t>Matriz_Ciencias_9no_Grado_U1_U7.xlsx</t>
        </is>
      </c>
      <c r="E611" s="11" t="inlineStr">
        <is>
          <t>Unidad 6 - Electricidad</t>
        </is>
      </c>
      <c r="F611" s="11" t="n">
        <v>8</v>
      </c>
      <c r="G611" s="11" t="inlineStr">
        <is>
          <t>6. Electricidad</t>
        </is>
      </c>
      <c r="H611" s="11" t="inlineStr">
        <is>
          <t>Dispositivos electrónicos</t>
        </is>
      </c>
      <c r="I611" s="38" t="inlineStr">
        <is>
          <t>6.6. Explicación del funcionamiento de algunos componentes electrónicos.</t>
        </is>
      </c>
      <c r="J611" s="11" t="inlineStr">
        <is>
          <t>PISA</t>
        </is>
      </c>
      <c r="K611" s="11" t="inlineStr">
        <is>
          <t>T8_27-P4.1</t>
        </is>
      </c>
      <c r="L611" s="11" t="inlineStr"/>
      <c r="M611" s="11">
        <f>IF(K611="FUERA","Fuera del marco",IF(K611="N/A","Sin marco",IFERROR(INDEX('Datos - Catálogo TIMSS'!$C$5:$C$107,MATCH(K611,'Datos - Catálogo TIMSS'!$A$5:$A$107,0)),"Pendiente de clasificar")))</f>
        <v/>
      </c>
      <c r="N611" s="11">
        <f>IF(K611="FUERA","Fuera del marco",IF(K611="N/A","Sin marco",IFERROR(INDEX('Datos - Catálogo TIMSS'!$F$5:$F$107,MATCH(K611,'Datos - Catálogo TIMSS'!$A$5:$A$107,0)),"Pendiente de clasificar")))</f>
        <v/>
      </c>
      <c r="O611" s="11">
        <f>IF(L611="","",IFERROR(INDEX('Datos - Catálogo TIMSS'!$C$5:$C$107,MATCH(L611,'Datos - Catálogo TIMSS'!$A$5:$A$107,0)),"?"))</f>
        <v/>
      </c>
      <c r="P611" s="11" t="inlineStr">
        <is>
          <t>media</t>
        </is>
      </c>
      <c r="Q611" s="38" t="inlineStr">
        <is>
          <t>Funcionamiento de componentes de circuito</t>
        </is>
      </c>
      <c r="R611" s="38" t="inlineStr">
        <is>
          <t>Conocer: explicar</t>
        </is>
      </c>
      <c r="S611" s="39">
        <f>IFERROR(ISNUMBER(SEARCH("Conocer",$R611))/(ISNUMBER(SEARCH("Conocer",$R611))+ISNUMBER(SEARCH("Aplicar",$R611))+ISNUMBER(SEARCH("Razonar",$R611))),0)</f>
        <v/>
      </c>
      <c r="T611" s="39">
        <f>IFERROR(ISNUMBER(SEARCH("Aplicar",$R611))/(ISNUMBER(SEARCH("Conocer",$R611))+ISNUMBER(SEARCH("Aplicar",$R611))+ISNUMBER(SEARCH("Razonar",$R611))),0)</f>
        <v/>
      </c>
      <c r="U611" s="39">
        <f>IFERROR(ISNUMBER(SEARCH("Razonar",$R611))/(ISNUMBER(SEARCH("Conocer",$R611))+ISNUMBER(SEARCH("Aplicar",$R611))+ISNUMBER(SEARCH("Razonar",$R611))),0)</f>
        <v/>
      </c>
      <c r="V611" s="11" t="inlineStr">
        <is>
          <t>9°</t>
        </is>
      </c>
      <c r="W611" s="11" t="inlineStr">
        <is>
          <t>9°</t>
        </is>
      </c>
      <c r="X611" s="11">
        <f>IF(OR(IFERROR(INDEX('Datos - Catálogo TIMSS'!$I$5:$I$107,MATCH(K611,'Datos - Catálogo TIMSS'!$A$5:$A$107,0)),"No")="Sí",IFERROR(INDEX('Datos - Catálogo TIMSS'!$I$5:$I$107,MATCH(L611,'Datos - Catálogo TIMSS'!$A$5:$A$107,0)),"No")="Sí"),1,0)</f>
        <v/>
      </c>
      <c r="Y611" s="11">
        <f>IF(IFERROR(INDEX('Datos - Catálogo TIMSS'!$J$5:$J$107,MATCH(K611,'Datos - Catálogo TIMSS'!$A$5:$A$107,0)),"No")="Sí",1,0)</f>
        <v/>
      </c>
      <c r="Z611" s="11">
        <f>IF(IFERROR(INDEX('Datos - Catálogo TIMSS'!$J$5:$J$107,MATCH(L611,'Datos - Catálogo TIMSS'!$A$5:$A$107,0)),"No")="Sí",1,0)</f>
        <v/>
      </c>
      <c r="AA611" s="11" t="inlineStr">
        <is>
          <t>T8-F4.1</t>
        </is>
      </c>
      <c r="AB611" s="11" t="inlineStr"/>
      <c r="AC611" s="11">
        <f>IF(AA611="FUERA","Fuera del marco",IF(AA611="N/A","Sin marco",IFERROR(INDEX('Datos - TIMSS 2023'!$C$5:$C$105,MATCH(AA611,'Datos - TIMSS 2023'!$A$5:$A$105,0)),"Pendiente de clasificar")))</f>
        <v/>
      </c>
      <c r="AD611" s="11" t="inlineStr">
        <is>
          <t>1. Explicar fenómenos científicamente</t>
        </is>
      </c>
      <c r="AE611" s="11">
        <f>IF(AD611="","",IF(LEFT(AD611,1)="1","C1",IF(LEFT(AD611,1)="2","C2",IF(LEFT(AD611,1)="3","C3",""))))</f>
        <v/>
      </c>
      <c r="AF611" s="11" t="inlineStr">
        <is>
          <t>E1</t>
        </is>
      </c>
      <c r="AG611" s="11" t="inlineStr">
        <is>
          <t>D1</t>
        </is>
      </c>
      <c r="AH611" s="11" t="inlineStr">
        <is>
          <t>E1</t>
        </is>
      </c>
      <c r="AI611" s="11" t="inlineStr">
        <is>
          <t>D4</t>
        </is>
      </c>
      <c r="AJ611" s="11" t="inlineStr">
        <is>
          <t>E1</t>
        </is>
      </c>
      <c r="AK611" s="11" t="inlineStr">
        <is>
          <t>PISA-F1</t>
        </is>
      </c>
      <c r="AL611" s="11" t="inlineStr">
        <is>
          <t>PISA-F4</t>
        </is>
      </c>
      <c r="AM611" s="11">
        <f>IF(AK611="FUERA","Fuera del marco",IFERROR(INDEX('Datos - Catálogo PISA'!$C$5:$C$76,MATCH(AK611,'Datos - Catálogo PISA'!$A$5:$A$76,0)),"?"))</f>
        <v/>
      </c>
      <c r="AN611" s="11" t="inlineStr">
        <is>
          <t>Contenido</t>
        </is>
      </c>
      <c r="AO611" s="11" t="n"/>
      <c r="AP611" s="11" t="n"/>
      <c r="AQ611" s="11" t="inlineStr">
        <is>
          <t>Sin contexto</t>
        </is>
      </c>
      <c r="AR611" s="11" t="n"/>
      <c r="AS611" s="11" t="inlineStr">
        <is>
          <t>Media</t>
        </is>
      </c>
      <c r="AT611" s="11" t="inlineStr">
        <is>
          <t>baja</t>
        </is>
      </c>
      <c r="AU611" s="11" t="inlineStr">
        <is>
          <t>Funcionamiento de componentes electrónicos; conducción eléctrica.</t>
        </is>
      </c>
      <c r="AV611" s="11" t="inlineStr">
        <is>
          <t>Ciclo 7°–9°</t>
        </is>
      </c>
      <c r="AW611" s="11">
        <f>AF611&amp;"; "&amp;AG611&amp;"; "&amp;AH611&amp;"; "&amp;AI611&amp;"; "&amp;AJ611</f>
        <v/>
      </c>
    </row>
    <row r="612">
      <c r="A612" s="11" t="inlineStr">
        <is>
          <t>T1246-G09-CIE</t>
        </is>
      </c>
      <c r="B612" s="11" t="n">
        <v>9</v>
      </c>
      <c r="C612" s="11" t="inlineStr">
        <is>
          <t>Ciencias</t>
        </is>
      </c>
      <c r="D612" s="11" t="inlineStr">
        <is>
          <t>Matriz_Ciencias_9no_Grado_U1_U7.xlsx</t>
        </is>
      </c>
      <c r="E612" s="11" t="inlineStr">
        <is>
          <t>Unidad 6 - Electricidad</t>
        </is>
      </c>
      <c r="F612" s="11" t="n">
        <v>9</v>
      </c>
      <c r="G612" s="11" t="inlineStr">
        <is>
          <t>6. Electricidad</t>
        </is>
      </c>
      <c r="H612" s="11" t="inlineStr">
        <is>
          <t>Circuito eléctrico del hogar</t>
        </is>
      </c>
      <c r="I612" s="38" t="inlineStr">
        <is>
          <t>6.7. Esquematización de la configuración eléctrica del hogar.</t>
        </is>
      </c>
      <c r="J612" s="11" t="inlineStr">
        <is>
          <t>PISA</t>
        </is>
      </c>
      <c r="K612" s="11" t="inlineStr">
        <is>
          <t>T8_27-P4.1</t>
        </is>
      </c>
      <c r="L612" s="11" t="inlineStr"/>
      <c r="M612" s="11">
        <f>IF(K612="FUERA","Fuera del marco",IF(K612="N/A","Sin marco",IFERROR(INDEX('Datos - Catálogo TIMSS'!$C$5:$C$107,MATCH(K612,'Datos - Catálogo TIMSS'!$A$5:$A$107,0)),"Pendiente de clasificar")))</f>
        <v/>
      </c>
      <c r="N612" s="11">
        <f>IF(K612="FUERA","Fuera del marco",IF(K612="N/A","Sin marco",IFERROR(INDEX('Datos - Catálogo TIMSS'!$F$5:$F$107,MATCH(K612,'Datos - Catálogo TIMSS'!$A$5:$A$107,0)),"Pendiente de clasificar")))</f>
        <v/>
      </c>
      <c r="O612" s="11">
        <f>IF(L612="","",IFERROR(INDEX('Datos - Catálogo TIMSS'!$C$5:$C$107,MATCH(L612,'Datos - Catálogo TIMSS'!$A$5:$A$107,0)),"?"))</f>
        <v/>
      </c>
      <c r="P612" s="11" t="inlineStr">
        <is>
          <t>alta</t>
        </is>
      </c>
      <c r="Q612" s="38" t="inlineStr">
        <is>
          <t>Instalación eléctrica del hogar: circuitos en paralelo</t>
        </is>
      </c>
      <c r="R612" s="38" t="inlineStr">
        <is>
          <t>Aplicar: esquematizar</t>
        </is>
      </c>
      <c r="S612" s="39">
        <f>IFERROR(ISNUMBER(SEARCH("Conocer",$R612))/(ISNUMBER(SEARCH("Conocer",$R612))+ISNUMBER(SEARCH("Aplicar",$R612))+ISNUMBER(SEARCH("Razonar",$R612))),0)</f>
        <v/>
      </c>
      <c r="T612" s="39">
        <f>IFERROR(ISNUMBER(SEARCH("Aplicar",$R612))/(ISNUMBER(SEARCH("Conocer",$R612))+ISNUMBER(SEARCH("Aplicar",$R612))+ISNUMBER(SEARCH("Razonar",$R612))),0)</f>
        <v/>
      </c>
      <c r="U612" s="39">
        <f>IFERROR(ISNUMBER(SEARCH("Razonar",$R612))/(ISNUMBER(SEARCH("Conocer",$R612))+ISNUMBER(SEARCH("Aplicar",$R612))+ISNUMBER(SEARCH("Razonar",$R612))),0)</f>
        <v/>
      </c>
      <c r="V612" s="11" t="inlineStr">
        <is>
          <t>9°</t>
        </is>
      </c>
      <c r="W612" s="11" t="inlineStr">
        <is>
          <t>9°</t>
        </is>
      </c>
      <c r="X612" s="11">
        <f>IF(OR(IFERROR(INDEX('Datos - Catálogo TIMSS'!$I$5:$I$107,MATCH(K612,'Datos - Catálogo TIMSS'!$A$5:$A$107,0)),"No")="Sí",IFERROR(INDEX('Datos - Catálogo TIMSS'!$I$5:$I$107,MATCH(L612,'Datos - Catálogo TIMSS'!$A$5:$A$107,0)),"No")="Sí"),1,0)</f>
        <v/>
      </c>
      <c r="Y612" s="11">
        <f>IF(IFERROR(INDEX('Datos - Catálogo TIMSS'!$J$5:$J$107,MATCH(K612,'Datos - Catálogo TIMSS'!$A$5:$A$107,0)),"No")="Sí",1,0)</f>
        <v/>
      </c>
      <c r="Z612" s="11">
        <f>IF(IFERROR(INDEX('Datos - Catálogo TIMSS'!$J$5:$J$107,MATCH(L612,'Datos - Catálogo TIMSS'!$A$5:$A$107,0)),"No")="Sí",1,0)</f>
        <v/>
      </c>
      <c r="AA612" s="11" t="inlineStr">
        <is>
          <t>T8-F4.1</t>
        </is>
      </c>
      <c r="AB612" s="11" t="inlineStr"/>
      <c r="AC612" s="11">
        <f>IF(AA612="FUERA","Fuera del marco",IF(AA612="N/A","Sin marco",IFERROR(INDEX('Datos - TIMSS 2023'!$C$5:$C$105,MATCH(AA612,'Datos - TIMSS 2023'!$A$5:$A$105,0)),"Pendiente de clasificar")))</f>
        <v/>
      </c>
      <c r="AD612" s="11" t="inlineStr">
        <is>
          <t>1. Explicar fenómenos científicamente</t>
        </is>
      </c>
      <c r="AE612" s="11">
        <f>IF(AD612="","",IF(LEFT(AD612,1)="1","C1",IF(LEFT(AD612,1)="2","C2",IF(LEFT(AD612,1)="3","C3",""))))</f>
        <v/>
      </c>
      <c r="AF612" s="11" t="inlineStr">
        <is>
          <t>E1</t>
        </is>
      </c>
      <c r="AG612" s="11" t="inlineStr">
        <is>
          <t>D1</t>
        </is>
      </c>
      <c r="AH612" s="11" t="inlineStr">
        <is>
          <t>E2</t>
        </is>
      </c>
      <c r="AI612" s="11" t="inlineStr">
        <is>
          <t>D4</t>
        </is>
      </c>
      <c r="AJ612" s="11" t="inlineStr">
        <is>
          <t>E6</t>
        </is>
      </c>
      <c r="AK612" s="11" t="inlineStr">
        <is>
          <t>PISA-F4</t>
        </is>
      </c>
      <c r="AL612" s="11" t="n"/>
      <c r="AM612" s="11">
        <f>IF(AK612="FUERA","Fuera del marco",IFERROR(INDEX('Datos - Catálogo PISA'!$C$5:$C$76,MATCH(AK612,'Datos - Catálogo PISA'!$A$5:$A$76,0)),"?"))</f>
        <v/>
      </c>
      <c r="AN612" s="11" t="inlineStr">
        <is>
          <t>Contenido</t>
        </is>
      </c>
      <c r="AO612" s="11" t="n"/>
      <c r="AP612" s="11" t="n"/>
      <c r="AQ612" s="11" t="inlineStr">
        <is>
          <t>Personal</t>
        </is>
      </c>
      <c r="AR612" s="11" t="inlineStr">
        <is>
          <t>Avances y desafíos científicos y tecnológicos</t>
        </is>
      </c>
      <c r="AS612" s="11" t="inlineStr">
        <is>
          <t>Media</t>
        </is>
      </c>
      <c r="AT612" s="11" t="inlineStr">
        <is>
          <t>media</t>
        </is>
      </c>
      <c r="AU612" s="11" t="inlineStr">
        <is>
          <t>Configuración eléctrica del hogar y transferencia de energía.</t>
        </is>
      </c>
      <c r="AV612" s="11" t="inlineStr">
        <is>
          <t>Ciclo 7°–9°</t>
        </is>
      </c>
      <c r="AW612" s="11">
        <f>AF612&amp;"; "&amp;AG612&amp;"; "&amp;AH612&amp;"; "&amp;AI612&amp;"; "&amp;AJ612</f>
        <v/>
      </c>
    </row>
    <row r="613">
      <c r="A613" s="11" t="inlineStr">
        <is>
          <t>T1247-G09-CIE</t>
        </is>
      </c>
      <c r="B613" s="11" t="n">
        <v>9</v>
      </c>
      <c r="C613" s="11" t="inlineStr">
        <is>
          <t>Ciencias</t>
        </is>
      </c>
      <c r="D613" s="11" t="inlineStr">
        <is>
          <t>Matriz_Ciencias_9no_Grado_U1_U7.xlsx</t>
        </is>
      </c>
      <c r="E613" s="11" t="inlineStr">
        <is>
          <t>Unidad 6 - Electricidad</t>
        </is>
      </c>
      <c r="F613" s="11" t="n">
        <v>10</v>
      </c>
      <c r="G613" s="11" t="inlineStr">
        <is>
          <t>6. Electricidad</t>
        </is>
      </c>
      <c r="H613" s="11" t="inlineStr">
        <is>
          <t>Circuito eléctrico del hogar</t>
        </is>
      </c>
      <c r="I613" s="38" t="inlineStr">
        <is>
          <t>6.8. Relación de las especificaciones de un dispositivo eléctrico con su funcionamiento.</t>
        </is>
      </c>
      <c r="J613" s="11" t="inlineStr">
        <is>
          <t>PISA</t>
        </is>
      </c>
      <c r="K613" s="11" t="inlineStr">
        <is>
          <t>T8_27-P4.1</t>
        </is>
      </c>
      <c r="L613" s="11" t="inlineStr">
        <is>
          <t>T8_27-P2.1</t>
        </is>
      </c>
      <c r="M613" s="11">
        <f>IF(K613="FUERA","Fuera del marco",IF(K613="N/A","Sin marco",IFERROR(INDEX('Datos - Catálogo TIMSS'!$C$5:$C$107,MATCH(K613,'Datos - Catálogo TIMSS'!$A$5:$A$107,0)),"Pendiente de clasificar")))</f>
        <v/>
      </c>
      <c r="N613" s="11">
        <f>IF(K613="FUERA","Fuera del marco",IF(K613="N/A","Sin marco",IFERROR(INDEX('Datos - Catálogo TIMSS'!$F$5:$F$107,MATCH(K613,'Datos - Catálogo TIMSS'!$A$5:$A$107,0)),"Pendiente de clasificar")))</f>
        <v/>
      </c>
      <c r="O613" s="11">
        <f>IF(L613="","",IFERROR(INDEX('Datos - Catálogo TIMSS'!$C$5:$C$107,MATCH(L613,'Datos - Catálogo TIMSS'!$A$5:$A$107,0)),"?"))</f>
        <v/>
      </c>
      <c r="P613" s="11" t="inlineStr">
        <is>
          <t>media</t>
        </is>
      </c>
      <c r="Q613" s="38" t="inlineStr">
        <is>
          <t>Especificaciones y consumo energético de dispositivos eléctricos</t>
        </is>
      </c>
      <c r="R613" s="38" t="inlineStr">
        <is>
          <t>Aplicar: relacionar. Razonar: justificar</t>
        </is>
      </c>
      <c r="S613" s="39">
        <f>IFERROR(ISNUMBER(SEARCH("Conocer",$R613))/(ISNUMBER(SEARCH("Conocer",$R613))+ISNUMBER(SEARCH("Aplicar",$R613))+ISNUMBER(SEARCH("Razonar",$R613))),0)</f>
        <v/>
      </c>
      <c r="T613" s="39">
        <f>IFERROR(ISNUMBER(SEARCH("Aplicar",$R613))/(ISNUMBER(SEARCH("Conocer",$R613))+ISNUMBER(SEARCH("Aplicar",$R613))+ISNUMBER(SEARCH("Razonar",$R613))),0)</f>
        <v/>
      </c>
      <c r="U613" s="39">
        <f>IFERROR(ISNUMBER(SEARCH("Razonar",$R613))/(ISNUMBER(SEARCH("Conocer",$R613))+ISNUMBER(SEARCH("Aplicar",$R613))+ISNUMBER(SEARCH("Razonar",$R613))),0)</f>
        <v/>
      </c>
      <c r="V613" s="11" t="inlineStr">
        <is>
          <t>9°</t>
        </is>
      </c>
      <c r="W613" s="11" t="inlineStr">
        <is>
          <t>9°</t>
        </is>
      </c>
      <c r="X613" s="11">
        <f>IF(OR(IFERROR(INDEX('Datos - Catálogo TIMSS'!$I$5:$I$107,MATCH(K613,'Datos - Catálogo TIMSS'!$A$5:$A$107,0)),"No")="Sí",IFERROR(INDEX('Datos - Catálogo TIMSS'!$I$5:$I$107,MATCH(L613,'Datos - Catálogo TIMSS'!$A$5:$A$107,0)),"No")="Sí"),1,0)</f>
        <v/>
      </c>
      <c r="Y613" s="11">
        <f>IF(IFERROR(INDEX('Datos - Catálogo TIMSS'!$J$5:$J$107,MATCH(K613,'Datos - Catálogo TIMSS'!$A$5:$A$107,0)),"No")="Sí",1,0)</f>
        <v/>
      </c>
      <c r="Z613" s="11">
        <f>IF(IFERROR(INDEX('Datos - Catálogo TIMSS'!$J$5:$J$107,MATCH(L613,'Datos - Catálogo TIMSS'!$A$5:$A$107,0)),"No")="Sí",1,0)</f>
        <v/>
      </c>
      <c r="AA613" s="11" t="inlineStr">
        <is>
          <t>T8-F4.1</t>
        </is>
      </c>
      <c r="AB613" s="11" t="inlineStr">
        <is>
          <t>T8-F2.1</t>
        </is>
      </c>
      <c r="AC613" s="11">
        <f>IF(AA613="FUERA","Fuera del marco",IF(AA613="N/A","Sin marco",IFERROR(INDEX('Datos - TIMSS 2023'!$C$5:$C$105,MATCH(AA613,'Datos - TIMSS 2023'!$A$5:$A$105,0)),"Pendiente de clasificar")))</f>
        <v/>
      </c>
      <c r="AD613" s="11" t="inlineStr">
        <is>
          <t>3. Investigar, evaluar y usar información científica para tomar decisiones y actuar</t>
        </is>
      </c>
      <c r="AE613" s="11">
        <f>IF(AD613="","",IF(LEFT(AD613,1)="1","C1",IF(LEFT(AD613,1)="2","C2",IF(LEFT(AD613,1)="3","C3",""))))</f>
        <v/>
      </c>
      <c r="AF613" s="11" t="inlineStr">
        <is>
          <t>E1</t>
        </is>
      </c>
      <c r="AG613" s="11" t="inlineStr">
        <is>
          <t>D1</t>
        </is>
      </c>
      <c r="AH613" s="11" t="inlineStr">
        <is>
          <t>E1</t>
        </is>
      </c>
      <c r="AI613" s="11" t="inlineStr">
        <is>
          <t>I3</t>
        </is>
      </c>
      <c r="AJ613" s="11" t="inlineStr">
        <is>
          <t>I5</t>
        </is>
      </c>
      <c r="AK613" s="11" t="inlineStr">
        <is>
          <t>PISA-F4</t>
        </is>
      </c>
      <c r="AL613" s="11" t="n"/>
      <c r="AM613" s="11">
        <f>IF(AK613="FUERA","Fuera del marco",IFERROR(INDEX('Datos - Catálogo PISA'!$C$5:$C$76,MATCH(AK613,'Datos - Catálogo PISA'!$A$5:$A$76,0)),"?"))</f>
        <v/>
      </c>
      <c r="AN613" s="11" t="inlineStr">
        <is>
          <t>Contenido</t>
        </is>
      </c>
      <c r="AO613" s="11" t="n"/>
      <c r="AP613" s="11" t="n"/>
      <c r="AQ613" s="11" t="inlineStr">
        <is>
          <t>Personal</t>
        </is>
      </c>
      <c r="AR613" s="11" t="inlineStr">
        <is>
          <t>Recursos naturales</t>
        </is>
      </c>
      <c r="AS613" s="11" t="inlineStr">
        <is>
          <t>Media</t>
        </is>
      </c>
      <c r="AT613" s="11" t="inlineStr">
        <is>
          <t>alta</t>
        </is>
      </c>
      <c r="AU613" s="11" t="inlineStr">
        <is>
          <t>Especificaciones y consumo energético de electrodomésticos.</t>
        </is>
      </c>
      <c r="AV613" s="11" t="inlineStr">
        <is>
          <t>Ciclo 7°–9°</t>
        </is>
      </c>
      <c r="AW613" s="11">
        <f>AF613&amp;"; "&amp;AG613&amp;"; "&amp;AH613&amp;"; "&amp;AI613&amp;"; "&amp;AJ613</f>
        <v/>
      </c>
    </row>
    <row r="614">
      <c r="A614" s="11" t="inlineStr">
        <is>
          <t>T1248-G09-CIE</t>
        </is>
      </c>
      <c r="B614" s="11" t="n">
        <v>9</v>
      </c>
      <c r="C614" s="11" t="inlineStr">
        <is>
          <t>Ciencias</t>
        </is>
      </c>
      <c r="D614" s="11" t="inlineStr">
        <is>
          <t>Matriz_Ciencias_9no_Grado_U1_U7.xlsx</t>
        </is>
      </c>
      <c r="E614" s="11" t="inlineStr">
        <is>
          <t>Unidad 6 - Electricidad</t>
        </is>
      </c>
      <c r="F614" s="11" t="n">
        <v>11</v>
      </c>
      <c r="G614" s="11" t="inlineStr">
        <is>
          <t>6. Electricidad</t>
        </is>
      </c>
      <c r="H614" s="11" t="inlineStr">
        <is>
          <t>Circuito eléctrico del hogar</t>
        </is>
      </c>
      <c r="I614" s="38" t="inlineStr">
        <is>
          <t>6.9. Reconocimiento de la utilidad de un rectificador de onda en los dispositivos eléctricos.</t>
        </is>
      </c>
      <c r="J614" s="11" t="inlineStr">
        <is>
          <t>PISA</t>
        </is>
      </c>
      <c r="K614" s="11" t="inlineStr">
        <is>
          <t>FUERA</t>
        </is>
      </c>
      <c r="L614" s="11" t="inlineStr"/>
      <c r="M614" s="11">
        <f>IF(K614="FUERA","Fuera del marco",IF(K614="N/A","Sin marco",IFERROR(INDEX('Datos - Catálogo TIMSS'!$C$5:$C$107,MATCH(K614,'Datos - Catálogo TIMSS'!$A$5:$A$107,0)),"Pendiente de clasificar")))</f>
        <v/>
      </c>
      <c r="N614" s="11">
        <f>IF(K614="FUERA","Fuera del marco",IF(K614="N/A","Sin marco",IFERROR(INDEX('Datos - Catálogo TIMSS'!$F$5:$F$107,MATCH(K614,'Datos - Catálogo TIMSS'!$A$5:$A$107,0)),"Pendiente de clasificar")))</f>
        <v/>
      </c>
      <c r="O614" s="11">
        <f>IF(L614="","",IFERROR(INDEX('Datos - Catálogo TIMSS'!$C$5:$C$107,MATCH(L614,'Datos - Catálogo TIMSS'!$A$5:$A$107,0)),"?"))</f>
        <v/>
      </c>
      <c r="P614" s="11" t="inlineStr">
        <is>
          <t>media</t>
        </is>
      </c>
      <c r="Q614" s="38" t="inlineStr">
        <is>
          <t>Rectificador de onda: electrónica</t>
        </is>
      </c>
      <c r="R614" s="38" t="inlineStr">
        <is>
          <t>Conocer: explicar</t>
        </is>
      </c>
      <c r="S614" s="39">
        <f>IFERROR(ISNUMBER(SEARCH("Conocer",$R614))/(ISNUMBER(SEARCH("Conocer",$R614))+ISNUMBER(SEARCH("Aplicar",$R614))+ISNUMBER(SEARCH("Razonar",$R614))),0)</f>
        <v/>
      </c>
      <c r="T614" s="39">
        <f>IFERROR(ISNUMBER(SEARCH("Aplicar",$R614))/(ISNUMBER(SEARCH("Conocer",$R614))+ISNUMBER(SEARCH("Aplicar",$R614))+ISNUMBER(SEARCH("Razonar",$R614))),0)</f>
        <v/>
      </c>
      <c r="U614" s="39">
        <f>IFERROR(ISNUMBER(SEARCH("Razonar",$R614))/(ISNUMBER(SEARCH("Conocer",$R614))+ISNUMBER(SEARCH("Aplicar",$R614))+ISNUMBER(SEARCH("Razonar",$R614))),0)</f>
        <v/>
      </c>
      <c r="V614" s="11" t="inlineStr">
        <is>
          <t>9°</t>
        </is>
      </c>
      <c r="W614" s="11" t="inlineStr">
        <is>
          <t>9°</t>
        </is>
      </c>
      <c r="X614" s="11">
        <f>IF(OR(IFERROR(INDEX('Datos - Catálogo TIMSS'!$I$5:$I$107,MATCH(K614,'Datos - Catálogo TIMSS'!$A$5:$A$107,0)),"No")="Sí",IFERROR(INDEX('Datos - Catálogo TIMSS'!$I$5:$I$107,MATCH(L614,'Datos - Catálogo TIMSS'!$A$5:$A$107,0)),"No")="Sí"),1,0)</f>
        <v/>
      </c>
      <c r="Y614" s="11">
        <f>IF(IFERROR(INDEX('Datos - Catálogo TIMSS'!$J$5:$J$107,MATCH(K614,'Datos - Catálogo TIMSS'!$A$5:$A$107,0)),"No")="Sí",1,0)</f>
        <v/>
      </c>
      <c r="Z614" s="11">
        <f>IF(IFERROR(INDEX('Datos - Catálogo TIMSS'!$J$5:$J$107,MATCH(L614,'Datos - Catálogo TIMSS'!$A$5:$A$107,0)),"No")="Sí",1,0)</f>
        <v/>
      </c>
      <c r="AA614" s="11" t="inlineStr">
        <is>
          <t>FUERA</t>
        </is>
      </c>
      <c r="AB614" s="11" t="inlineStr"/>
      <c r="AC614" s="11">
        <f>IF(AA614="FUERA","Fuera del marco",IF(AA614="N/A","Sin marco",IFERROR(INDEX('Datos - TIMSS 2023'!$C$5:$C$105,MATCH(AA614,'Datos - TIMSS 2023'!$A$5:$A$105,0)),"Pendiente de clasificar")))</f>
        <v/>
      </c>
      <c r="AD614" s="11" t="inlineStr">
        <is>
          <t>1. Explicar fenómenos científicamente</t>
        </is>
      </c>
      <c r="AE614" s="11">
        <f>IF(AD614="","",IF(LEFT(AD614,1)="1","C1",IF(LEFT(AD614,1)="2","C2",IF(LEFT(AD614,1)="3","C3",""))))</f>
        <v/>
      </c>
      <c r="AF614" s="11" t="inlineStr">
        <is>
          <t>E1</t>
        </is>
      </c>
      <c r="AG614" s="11" t="inlineStr">
        <is>
          <t>D1</t>
        </is>
      </c>
      <c r="AH614" s="11" t="inlineStr">
        <is>
          <t>E1</t>
        </is>
      </c>
      <c r="AI614" s="11" t="inlineStr">
        <is>
          <t>D4</t>
        </is>
      </c>
      <c r="AJ614" s="11" t="inlineStr">
        <is>
          <t>E6</t>
        </is>
      </c>
      <c r="AK614" s="11" t="inlineStr">
        <is>
          <t>PISA-F4</t>
        </is>
      </c>
      <c r="AL614" s="11" t="n"/>
      <c r="AM614" s="11">
        <f>IF(AK614="FUERA","Fuera del marco",IFERROR(INDEX('Datos - Catálogo PISA'!$C$5:$C$76,MATCH(AK614,'Datos - Catálogo PISA'!$A$5:$A$76,0)),"?"))</f>
        <v/>
      </c>
      <c r="AN614" s="11" t="inlineStr">
        <is>
          <t>Contenido</t>
        </is>
      </c>
      <c r="AO614" s="11" t="n"/>
      <c r="AP614" s="11" t="n"/>
      <c r="AQ614" s="11" t="inlineStr">
        <is>
          <t>Personal</t>
        </is>
      </c>
      <c r="AR614" s="11" t="inlineStr">
        <is>
          <t>Avances y desafíos científicos y tecnológicos</t>
        </is>
      </c>
      <c r="AS614" s="11" t="inlineStr">
        <is>
          <t>Media</t>
        </is>
      </c>
      <c r="AT614" s="11" t="inlineStr">
        <is>
          <t>baja</t>
        </is>
      </c>
      <c r="AU614" s="11" t="inlineStr">
        <is>
          <t>Rectificador de onda: electrónica aplicada, contenido físico débil.</t>
        </is>
      </c>
      <c r="AV614" s="11" t="inlineStr">
        <is>
          <t>Ciclo 7°–9°</t>
        </is>
      </c>
      <c r="AW614" s="11">
        <f>AF614&amp;"; "&amp;AG614&amp;"; "&amp;AH614&amp;"; "&amp;AI614&amp;"; "&amp;AJ614</f>
        <v/>
      </c>
    </row>
    <row r="615">
      <c r="A615" s="11" t="inlineStr">
        <is>
          <t>T1249-G09-CIE</t>
        </is>
      </c>
      <c r="B615" s="11" t="n">
        <v>9</v>
      </c>
      <c r="C615" s="11" t="inlineStr">
        <is>
          <t>Ciencias</t>
        </is>
      </c>
      <c r="D615" s="11" t="inlineStr">
        <is>
          <t>Matriz_Ciencias_9no_Grado_U1_U7.xlsx</t>
        </is>
      </c>
      <c r="E615" s="11" t="inlineStr">
        <is>
          <t>Unidad 6 - Electricidad</t>
        </is>
      </c>
      <c r="F615" s="11" t="n">
        <v>12</v>
      </c>
      <c r="G615" s="11" t="inlineStr">
        <is>
          <t>6. Electricidad</t>
        </is>
      </c>
      <c r="H615" s="11" t="inlineStr">
        <is>
          <t>Circuitos integrados</t>
        </is>
      </c>
      <c r="I615" s="38" t="inlineStr">
        <is>
          <t>6.10. Identificación de las características generales de los circuitos integrados.</t>
        </is>
      </c>
      <c r="J615" s="11" t="inlineStr">
        <is>
          <t>PISA</t>
        </is>
      </c>
      <c r="K615" s="11" t="inlineStr">
        <is>
          <t>FUERA</t>
        </is>
      </c>
      <c r="L615" s="11" t="inlineStr"/>
      <c r="M615" s="11">
        <f>IF(K615="FUERA","Fuera del marco",IF(K615="N/A","Sin marco",IFERROR(INDEX('Datos - Catálogo TIMSS'!$C$5:$C$107,MATCH(K615,'Datos - Catálogo TIMSS'!$A$5:$A$107,0)),"Pendiente de clasificar")))</f>
        <v/>
      </c>
      <c r="N615" s="11">
        <f>IF(K615="FUERA","Fuera del marco",IF(K615="N/A","Sin marco",IFERROR(INDEX('Datos - Catálogo TIMSS'!$F$5:$F$107,MATCH(K615,'Datos - Catálogo TIMSS'!$A$5:$A$107,0)),"Pendiente de clasificar")))</f>
        <v/>
      </c>
      <c r="O615" s="11">
        <f>IF(L615="","",IFERROR(INDEX('Datos - Catálogo TIMSS'!$C$5:$C$107,MATCH(L615,'Datos - Catálogo TIMSS'!$A$5:$A$107,0)),"?"))</f>
        <v/>
      </c>
      <c r="P615" s="11" t="inlineStr">
        <is>
          <t>alta</t>
        </is>
      </c>
      <c r="Q615" s="38" t="inlineStr">
        <is>
          <t>Circuitos integrados: electrónica</t>
        </is>
      </c>
      <c r="R615" s="38" t="inlineStr">
        <is>
          <t>Aplicar: interpretar información técnica</t>
        </is>
      </c>
      <c r="S615" s="39">
        <f>IFERROR(ISNUMBER(SEARCH("Conocer",$R615))/(ISNUMBER(SEARCH("Conocer",$R615))+ISNUMBER(SEARCH("Aplicar",$R615))+ISNUMBER(SEARCH("Razonar",$R615))),0)</f>
        <v/>
      </c>
      <c r="T615" s="39">
        <f>IFERROR(ISNUMBER(SEARCH("Aplicar",$R615))/(ISNUMBER(SEARCH("Conocer",$R615))+ISNUMBER(SEARCH("Aplicar",$R615))+ISNUMBER(SEARCH("Razonar",$R615))),0)</f>
        <v/>
      </c>
      <c r="U615" s="39">
        <f>IFERROR(ISNUMBER(SEARCH("Razonar",$R615))/(ISNUMBER(SEARCH("Conocer",$R615))+ISNUMBER(SEARCH("Aplicar",$R615))+ISNUMBER(SEARCH("Razonar",$R615))),0)</f>
        <v/>
      </c>
      <c r="V615" s="11" t="inlineStr">
        <is>
          <t>9°</t>
        </is>
      </c>
      <c r="W615" s="11" t="inlineStr">
        <is>
          <t>9°</t>
        </is>
      </c>
      <c r="X615" s="11">
        <f>IF(OR(IFERROR(INDEX('Datos - Catálogo TIMSS'!$I$5:$I$107,MATCH(K615,'Datos - Catálogo TIMSS'!$A$5:$A$107,0)),"No")="Sí",IFERROR(INDEX('Datos - Catálogo TIMSS'!$I$5:$I$107,MATCH(L615,'Datos - Catálogo TIMSS'!$A$5:$A$107,0)),"No")="Sí"),1,0)</f>
        <v/>
      </c>
      <c r="Y615" s="11">
        <f>IF(IFERROR(INDEX('Datos - Catálogo TIMSS'!$J$5:$J$107,MATCH(K615,'Datos - Catálogo TIMSS'!$A$5:$A$107,0)),"No")="Sí",1,0)</f>
        <v/>
      </c>
      <c r="Z615" s="11">
        <f>IF(IFERROR(INDEX('Datos - Catálogo TIMSS'!$J$5:$J$107,MATCH(L615,'Datos - Catálogo TIMSS'!$A$5:$A$107,0)),"No")="Sí",1,0)</f>
        <v/>
      </c>
      <c r="AA615" s="11" t="inlineStr">
        <is>
          <t>FUERA</t>
        </is>
      </c>
      <c r="AB615" s="11" t="inlineStr"/>
      <c r="AC615" s="11">
        <f>IF(AA615="FUERA","Fuera del marco",IF(AA615="N/A","Sin marco",IFERROR(INDEX('Datos - TIMSS 2023'!$C$5:$C$105,MATCH(AA615,'Datos - TIMSS 2023'!$A$5:$A$105,0)),"Pendiente de clasificar")))</f>
        <v/>
      </c>
      <c r="AD615" s="11" t="inlineStr">
        <is>
          <t>1. Explicar fenómenos científicamente</t>
        </is>
      </c>
      <c r="AE615" s="11">
        <f>IF(AD615="","",IF(LEFT(AD615,1)="1","C1",IF(LEFT(AD615,1)="2","C2",IF(LEFT(AD615,1)="3","C3",""))))</f>
        <v/>
      </c>
      <c r="AF615" s="11" t="inlineStr">
        <is>
          <t>E1</t>
        </is>
      </c>
      <c r="AG615" s="11" t="inlineStr">
        <is>
          <t>D1</t>
        </is>
      </c>
      <c r="AH615" s="11" t="inlineStr">
        <is>
          <t>E1</t>
        </is>
      </c>
      <c r="AI615" s="11" t="inlineStr">
        <is>
          <t>D4</t>
        </is>
      </c>
      <c r="AJ615" s="11" t="inlineStr">
        <is>
          <t>E6</t>
        </is>
      </c>
      <c r="AK615" s="11" t="inlineStr">
        <is>
          <t>FUERA</t>
        </is>
      </c>
      <c r="AL615" s="11" t="n"/>
      <c r="AM615" s="11">
        <f>IF(AK615="FUERA","Fuera del marco",IFERROR(INDEX('Datos - Catálogo PISA'!$C$5:$C$76,MATCH(AK615,'Datos - Catálogo PISA'!$A$5:$A$76,0)),"?"))</f>
        <v/>
      </c>
      <c r="AN615" s="11" t="inlineStr">
        <is>
          <t>Contenido</t>
        </is>
      </c>
      <c r="AO615" s="11" t="n"/>
      <c r="AP615" s="11" t="n"/>
      <c r="AQ615" s="11" t="inlineStr">
        <is>
          <t>Sin contexto</t>
        </is>
      </c>
      <c r="AR615" s="11" t="n"/>
      <c r="AS615" s="11" t="inlineStr">
        <is>
          <t>Baja</t>
        </is>
      </c>
      <c r="AT615" s="11" t="inlineStr">
        <is>
          <t>alta</t>
        </is>
      </c>
      <c r="AU615" s="11" t="inlineStr">
        <is>
          <t>Características de circuitos integrados: tecnología electrónica.</t>
        </is>
      </c>
      <c r="AV615" s="11" t="inlineStr">
        <is>
          <t>Ciclo 7°–9°</t>
        </is>
      </c>
      <c r="AW615" s="11">
        <f>AF615&amp;"; "&amp;AG615&amp;"; "&amp;AH615&amp;"; "&amp;AI615&amp;"; "&amp;AJ615</f>
        <v/>
      </c>
    </row>
    <row r="616">
      <c r="A616" s="11" t="inlineStr">
        <is>
          <t>T1250-G09-CIE</t>
        </is>
      </c>
      <c r="B616" s="11" t="n">
        <v>9</v>
      </c>
      <c r="C616" s="11" t="inlineStr">
        <is>
          <t>Ciencias</t>
        </is>
      </c>
      <c r="D616" s="11" t="inlineStr">
        <is>
          <t>Matriz_Ciencias_9no_Grado_U1_U7.xlsx</t>
        </is>
      </c>
      <c r="E616" s="11" t="inlineStr">
        <is>
          <t>Unidad 6 - Electricidad</t>
        </is>
      </c>
      <c r="F616" s="11" t="n">
        <v>13</v>
      </c>
      <c r="G616" s="11" t="inlineStr">
        <is>
          <t>6. Electricidad</t>
        </is>
      </c>
      <c r="H616" s="11" t="inlineStr">
        <is>
          <t>Circuitos integrados</t>
        </is>
      </c>
      <c r="I616" s="38" t="inlineStr">
        <is>
          <t>6.11. Construcción de un circuito eléctrico utilizando como componente principal un circuito integrado.</t>
        </is>
      </c>
      <c r="J616" s="11" t="inlineStr">
        <is>
          <t>PISA</t>
        </is>
      </c>
      <c r="K616" s="11" t="inlineStr">
        <is>
          <t>FUERA</t>
        </is>
      </c>
      <c r="L616" s="11" t="inlineStr"/>
      <c r="M616" s="11">
        <f>IF(K616="FUERA","Fuera del marco",IF(K616="N/A","Sin marco",IFERROR(INDEX('Datos - Catálogo TIMSS'!$C$5:$C$107,MATCH(K616,'Datos - Catálogo TIMSS'!$A$5:$A$107,0)),"Pendiente de clasificar")))</f>
        <v/>
      </c>
      <c r="N616" s="11">
        <f>IF(K616="FUERA","Fuera del marco",IF(K616="N/A","Sin marco",IFERROR(INDEX('Datos - Catálogo TIMSS'!$F$5:$F$107,MATCH(K616,'Datos - Catálogo TIMSS'!$A$5:$A$107,0)),"Pendiente de clasificar")))</f>
        <v/>
      </c>
      <c r="O616" s="11">
        <f>IF(L616="","",IFERROR(INDEX('Datos - Catálogo TIMSS'!$C$5:$C$107,MATCH(L616,'Datos - Catálogo TIMSS'!$A$5:$A$107,0)),"?"))</f>
        <v/>
      </c>
      <c r="P616" s="11" t="inlineStr">
        <is>
          <t>media</t>
        </is>
      </c>
      <c r="Q616" s="38" t="inlineStr">
        <is>
          <t>Circuito con integrado: electrónica más que circuitos básicos</t>
        </is>
      </c>
      <c r="R616" s="38" t="inlineStr">
        <is>
          <t>Aplicar: construir</t>
        </is>
      </c>
      <c r="S616" s="39">
        <f>IFERROR(ISNUMBER(SEARCH("Conocer",$R616))/(ISNUMBER(SEARCH("Conocer",$R616))+ISNUMBER(SEARCH("Aplicar",$R616))+ISNUMBER(SEARCH("Razonar",$R616))),0)</f>
        <v/>
      </c>
      <c r="T616" s="39">
        <f>IFERROR(ISNUMBER(SEARCH("Aplicar",$R616))/(ISNUMBER(SEARCH("Conocer",$R616))+ISNUMBER(SEARCH("Aplicar",$R616))+ISNUMBER(SEARCH("Razonar",$R616))),0)</f>
        <v/>
      </c>
      <c r="U616" s="39">
        <f>IFERROR(ISNUMBER(SEARCH("Razonar",$R616))/(ISNUMBER(SEARCH("Conocer",$R616))+ISNUMBER(SEARCH("Aplicar",$R616))+ISNUMBER(SEARCH("Razonar",$R616))),0)</f>
        <v/>
      </c>
      <c r="V616" s="11" t="inlineStr">
        <is>
          <t>9°</t>
        </is>
      </c>
      <c r="W616" s="11" t="inlineStr">
        <is>
          <t>9°</t>
        </is>
      </c>
      <c r="X616" s="11">
        <f>IF(OR(IFERROR(INDEX('Datos - Catálogo TIMSS'!$I$5:$I$107,MATCH(K616,'Datos - Catálogo TIMSS'!$A$5:$A$107,0)),"No")="Sí",IFERROR(INDEX('Datos - Catálogo TIMSS'!$I$5:$I$107,MATCH(L616,'Datos - Catálogo TIMSS'!$A$5:$A$107,0)),"No")="Sí"),1,0)</f>
        <v/>
      </c>
      <c r="Y616" s="11">
        <f>IF(IFERROR(INDEX('Datos - Catálogo TIMSS'!$J$5:$J$107,MATCH(K616,'Datos - Catálogo TIMSS'!$A$5:$A$107,0)),"No")="Sí",1,0)</f>
        <v/>
      </c>
      <c r="Z616" s="11">
        <f>IF(IFERROR(INDEX('Datos - Catálogo TIMSS'!$J$5:$J$107,MATCH(L616,'Datos - Catálogo TIMSS'!$A$5:$A$107,0)),"No")="Sí",1,0)</f>
        <v/>
      </c>
      <c r="AA616" s="11" t="inlineStr">
        <is>
          <t>FUERA</t>
        </is>
      </c>
      <c r="AB616" s="11" t="inlineStr"/>
      <c r="AC616" s="11">
        <f>IF(AA616="FUERA","Fuera del marco",IF(AA616="N/A","Sin marco",IFERROR(INDEX('Datos - TIMSS 2023'!$C$5:$C$105,MATCH(AA616,'Datos - TIMSS 2023'!$A$5:$A$105,0)),"Pendiente de clasificar")))</f>
        <v/>
      </c>
      <c r="AD616" s="11" t="inlineStr">
        <is>
          <t>2. Construir y evaluar diseños para la indagación científica e interpretar datos y evidencia de forma crítica</t>
        </is>
      </c>
      <c r="AE616" s="11">
        <f>IF(AD616="","",IF(LEFT(AD616,1)="1","C1",IF(LEFT(AD616,1)="2","C2",IF(LEFT(AD616,1)="3","C3",""))))</f>
        <v/>
      </c>
      <c r="AF616" s="11" t="inlineStr">
        <is>
          <t>E1</t>
        </is>
      </c>
      <c r="AG616" s="11" t="inlineStr">
        <is>
          <t>D1</t>
        </is>
      </c>
      <c r="AH616" s="11" t="inlineStr">
        <is>
          <t>E4</t>
        </is>
      </c>
      <c r="AI616" s="11" t="inlineStr">
        <is>
          <t>D3</t>
        </is>
      </c>
      <c r="AJ616" s="11" t="inlineStr">
        <is>
          <t>E3</t>
        </is>
      </c>
      <c r="AK616" s="11" t="inlineStr">
        <is>
          <t>FUERA</t>
        </is>
      </c>
      <c r="AL616" s="11" t="n"/>
      <c r="AM616" s="11">
        <f>IF(AK616="FUERA","Fuera del marco",IFERROR(INDEX('Datos - Catálogo PISA'!$C$5:$C$76,MATCH(AK616,'Datos - Catálogo PISA'!$A$5:$A$76,0)),"?"))</f>
        <v/>
      </c>
      <c r="AN616" s="11" t="inlineStr">
        <is>
          <t>Contenido</t>
        </is>
      </c>
      <c r="AO616" s="11" t="n"/>
      <c r="AP616" s="11" t="n"/>
      <c r="AQ616" s="11" t="inlineStr">
        <is>
          <t>Sin contexto</t>
        </is>
      </c>
      <c r="AR616" s="11" t="n"/>
      <c r="AS616" s="11" t="inlineStr">
        <is>
          <t>Media</t>
        </is>
      </c>
      <c r="AT616" s="11" t="inlineStr">
        <is>
          <t>media</t>
        </is>
      </c>
      <c r="AU616" s="11" t="inlineStr">
        <is>
          <t>Construcción de circuito con integrado: diseño tecnológico.</t>
        </is>
      </c>
      <c r="AV616" s="11" t="inlineStr">
        <is>
          <t>Ciclo 7°–9°</t>
        </is>
      </c>
      <c r="AW616" s="11">
        <f>AF616&amp;"; "&amp;AG616&amp;"; "&amp;AH616&amp;"; "&amp;AI616&amp;"; "&amp;AJ616</f>
        <v/>
      </c>
    </row>
    <row r="617">
      <c r="A617" s="11" t="inlineStr">
        <is>
          <t>T1251-G09-CIE</t>
        </is>
      </c>
      <c r="B617" s="11" t="n">
        <v>9</v>
      </c>
      <c r="C617" s="11" t="inlineStr">
        <is>
          <t>Ciencias</t>
        </is>
      </c>
      <c r="D617" s="11" t="inlineStr">
        <is>
          <t>Matriz_Ciencias_9no_Grado_U1_U7.xlsx</t>
        </is>
      </c>
      <c r="E617" s="11" t="inlineStr">
        <is>
          <t>Unidad 6 - Electricidad</t>
        </is>
      </c>
      <c r="F617" s="11" t="n">
        <v>14</v>
      </c>
      <c r="G617" s="11" t="inlineStr">
        <is>
          <t>6. Electricidad</t>
        </is>
      </c>
      <c r="H617" s="11" t="inlineStr">
        <is>
          <t>Compuertas lógicas</t>
        </is>
      </c>
      <c r="I617" s="38" t="inlineStr">
        <is>
          <t>6.12. Elaboración de una tabla de verdad a partir de premisas y preguntas con condicionales.</t>
        </is>
      </c>
      <c r="J617" s="11" t="inlineStr">
        <is>
          <t>PISA</t>
        </is>
      </c>
      <c r="K617" s="11" t="inlineStr">
        <is>
          <t>FUERA</t>
        </is>
      </c>
      <c r="L617" s="11" t="inlineStr"/>
      <c r="M617" s="11">
        <f>IF(K617="FUERA","Fuera del marco",IF(K617="N/A","Sin marco",IFERROR(INDEX('Datos - Catálogo TIMSS'!$C$5:$C$107,MATCH(K617,'Datos - Catálogo TIMSS'!$A$5:$A$107,0)),"Pendiente de clasificar")))</f>
        <v/>
      </c>
      <c r="N617" s="11">
        <f>IF(K617="FUERA","Fuera del marco",IF(K617="N/A","Sin marco",IFERROR(INDEX('Datos - Catálogo TIMSS'!$F$5:$F$107,MATCH(K617,'Datos - Catálogo TIMSS'!$A$5:$A$107,0)),"Pendiente de clasificar")))</f>
        <v/>
      </c>
      <c r="O617" s="11">
        <f>IF(L617="","",IFERROR(INDEX('Datos - Catálogo TIMSS'!$C$5:$C$107,MATCH(L617,'Datos - Catálogo TIMSS'!$A$5:$A$107,0)),"?"))</f>
        <v/>
      </c>
      <c r="P617" s="11" t="inlineStr">
        <is>
          <t>alta</t>
        </is>
      </c>
      <c r="Q617" s="38" t="inlineStr">
        <is>
          <t>Tablas de verdad: lógica digital</t>
        </is>
      </c>
      <c r="R617" s="38" t="inlineStr">
        <is>
          <t>Aplicar: razonar con lógica</t>
        </is>
      </c>
      <c r="S617" s="39">
        <f>IFERROR(ISNUMBER(SEARCH("Conocer",$R617))/(ISNUMBER(SEARCH("Conocer",$R617))+ISNUMBER(SEARCH("Aplicar",$R617))+ISNUMBER(SEARCH("Razonar",$R617))),0)</f>
        <v/>
      </c>
      <c r="T617" s="39">
        <f>IFERROR(ISNUMBER(SEARCH("Aplicar",$R617))/(ISNUMBER(SEARCH("Conocer",$R617))+ISNUMBER(SEARCH("Aplicar",$R617))+ISNUMBER(SEARCH("Razonar",$R617))),0)</f>
        <v/>
      </c>
      <c r="U617" s="39">
        <f>IFERROR(ISNUMBER(SEARCH("Razonar",$R617))/(ISNUMBER(SEARCH("Conocer",$R617))+ISNUMBER(SEARCH("Aplicar",$R617))+ISNUMBER(SEARCH("Razonar",$R617))),0)</f>
        <v/>
      </c>
      <c r="V617" s="11" t="inlineStr">
        <is>
          <t>9°</t>
        </is>
      </c>
      <c r="W617" s="11" t="inlineStr">
        <is>
          <t>9°</t>
        </is>
      </c>
      <c r="X617" s="11">
        <f>IF(OR(IFERROR(INDEX('Datos - Catálogo TIMSS'!$I$5:$I$107,MATCH(K617,'Datos - Catálogo TIMSS'!$A$5:$A$107,0)),"No")="Sí",IFERROR(INDEX('Datos - Catálogo TIMSS'!$I$5:$I$107,MATCH(L617,'Datos - Catálogo TIMSS'!$A$5:$A$107,0)),"No")="Sí"),1,0)</f>
        <v/>
      </c>
      <c r="Y617" s="11">
        <f>IF(IFERROR(INDEX('Datos - Catálogo TIMSS'!$J$5:$J$107,MATCH(K617,'Datos - Catálogo TIMSS'!$A$5:$A$107,0)),"No")="Sí",1,0)</f>
        <v/>
      </c>
      <c r="Z617" s="11">
        <f>IF(IFERROR(INDEX('Datos - Catálogo TIMSS'!$J$5:$J$107,MATCH(L617,'Datos - Catálogo TIMSS'!$A$5:$A$107,0)),"No")="Sí",1,0)</f>
        <v/>
      </c>
      <c r="AA617" s="11" t="inlineStr">
        <is>
          <t>FUERA</t>
        </is>
      </c>
      <c r="AB617" s="11" t="inlineStr"/>
      <c r="AC617" s="11">
        <f>IF(AA617="FUERA","Fuera del marco",IF(AA617="N/A","Sin marco",IFERROR(INDEX('Datos - TIMSS 2023'!$C$5:$C$105,MATCH(AA617,'Datos - TIMSS 2023'!$A$5:$A$105,0)),"Pendiente de clasificar")))</f>
        <v/>
      </c>
      <c r="AD617" s="11" t="inlineStr">
        <is>
          <t>2. Construir y evaluar diseños para la indagación científica e interpretar datos y evidencia de forma crítica</t>
        </is>
      </c>
      <c r="AE617" s="11">
        <f>IF(AD617="","",IF(LEFT(AD617,1)="1","C1",IF(LEFT(AD617,1)="2","C2",IF(LEFT(AD617,1)="3","C3",""))))</f>
        <v/>
      </c>
      <c r="AF617" s="11" t="inlineStr">
        <is>
          <t>E1</t>
        </is>
      </c>
      <c r="AG617" s="11" t="inlineStr">
        <is>
          <t>D1</t>
        </is>
      </c>
      <c r="AH617" s="11" t="inlineStr">
        <is>
          <t>E2</t>
        </is>
      </c>
      <c r="AI617" s="11" t="inlineStr">
        <is>
          <t>D4</t>
        </is>
      </c>
      <c r="AJ617" s="11" t="inlineStr">
        <is>
          <t>E1</t>
        </is>
      </c>
      <c r="AK617" s="11" t="inlineStr">
        <is>
          <t>FUERA</t>
        </is>
      </c>
      <c r="AL617" s="11" t="n"/>
      <c r="AM617" s="11">
        <f>IF(AK617="FUERA","Fuera del marco",IFERROR(INDEX('Datos - Catálogo PISA'!$C$5:$C$76,MATCH(AK617,'Datos - Catálogo PISA'!$A$5:$A$76,0)),"?"))</f>
        <v/>
      </c>
      <c r="AN617" s="11" t="inlineStr">
        <is>
          <t>Contenido</t>
        </is>
      </c>
      <c r="AO617" s="11" t="n"/>
      <c r="AP617" s="11" t="n"/>
      <c r="AQ617" s="11" t="inlineStr">
        <is>
          <t>Sin contexto</t>
        </is>
      </c>
      <c r="AR617" s="11" t="n"/>
      <c r="AS617" s="11" t="inlineStr">
        <is>
          <t>Media</t>
        </is>
      </c>
      <c r="AT617" s="11" t="inlineStr">
        <is>
          <t>alta</t>
        </is>
      </c>
      <c r="AU617" s="11" t="inlineStr">
        <is>
          <t>Tablas de verdad: lógica, sin contenido científico.</t>
        </is>
      </c>
      <c r="AV617" s="11" t="inlineStr">
        <is>
          <t>Ciclo 7°–9°</t>
        </is>
      </c>
      <c r="AW617" s="11">
        <f>AF617&amp;"; "&amp;AG617&amp;"; "&amp;AH617&amp;"; "&amp;AI617&amp;"; "&amp;AJ617</f>
        <v/>
      </c>
    </row>
    <row r="618">
      <c r="A618" s="11" t="inlineStr">
        <is>
          <t>T1252-G09-CIE</t>
        </is>
      </c>
      <c r="B618" s="11" t="n">
        <v>9</v>
      </c>
      <c r="C618" s="11" t="inlineStr">
        <is>
          <t>Ciencias</t>
        </is>
      </c>
      <c r="D618" s="11" t="inlineStr">
        <is>
          <t>Matriz_Ciencias_9no_Grado_U1_U7.xlsx</t>
        </is>
      </c>
      <c r="E618" s="11" t="inlineStr">
        <is>
          <t>Unidad 6 - Electricidad</t>
        </is>
      </c>
      <c r="F618" s="11" t="n">
        <v>15</v>
      </c>
      <c r="G618" s="11" t="inlineStr">
        <is>
          <t>6. Electricidad</t>
        </is>
      </c>
      <c r="H618" s="11" t="inlineStr">
        <is>
          <t>Compuertas lógicas</t>
        </is>
      </c>
      <c r="I618" s="38" t="inlineStr">
        <is>
          <t>6.13. Construcción de circuitos utilizando compuertas lógicas.</t>
        </is>
      </c>
      <c r="J618" s="11" t="inlineStr">
        <is>
          <t>PISA</t>
        </is>
      </c>
      <c r="K618" s="11" t="inlineStr">
        <is>
          <t>FUERA</t>
        </is>
      </c>
      <c r="L618" s="11" t="inlineStr"/>
      <c r="M618" s="11">
        <f>IF(K618="FUERA","Fuera del marco",IF(K618="N/A","Sin marco",IFERROR(INDEX('Datos - Catálogo TIMSS'!$C$5:$C$107,MATCH(K618,'Datos - Catálogo TIMSS'!$A$5:$A$107,0)),"Pendiente de clasificar")))</f>
        <v/>
      </c>
      <c r="N618" s="11">
        <f>IF(K618="FUERA","Fuera del marco",IF(K618="N/A","Sin marco",IFERROR(INDEX('Datos - Catálogo TIMSS'!$F$5:$F$107,MATCH(K618,'Datos - Catálogo TIMSS'!$A$5:$A$107,0)),"Pendiente de clasificar")))</f>
        <v/>
      </c>
      <c r="O618" s="11">
        <f>IF(L618="","",IFERROR(INDEX('Datos - Catálogo TIMSS'!$C$5:$C$107,MATCH(L618,'Datos - Catálogo TIMSS'!$A$5:$A$107,0)),"?"))</f>
        <v/>
      </c>
      <c r="P618" s="11" t="inlineStr">
        <is>
          <t>alta</t>
        </is>
      </c>
      <c r="Q618" s="38" t="inlineStr">
        <is>
          <t>Compuertas lógicas: electrónica digital</t>
        </is>
      </c>
      <c r="R618" s="38" t="inlineStr">
        <is>
          <t>Aplicar: construir</t>
        </is>
      </c>
      <c r="S618" s="39">
        <f>IFERROR(ISNUMBER(SEARCH("Conocer",$R618))/(ISNUMBER(SEARCH("Conocer",$R618))+ISNUMBER(SEARCH("Aplicar",$R618))+ISNUMBER(SEARCH("Razonar",$R618))),0)</f>
        <v/>
      </c>
      <c r="T618" s="39">
        <f>IFERROR(ISNUMBER(SEARCH("Aplicar",$R618))/(ISNUMBER(SEARCH("Conocer",$R618))+ISNUMBER(SEARCH("Aplicar",$R618))+ISNUMBER(SEARCH("Razonar",$R618))),0)</f>
        <v/>
      </c>
      <c r="U618" s="39">
        <f>IFERROR(ISNUMBER(SEARCH("Razonar",$R618))/(ISNUMBER(SEARCH("Conocer",$R618))+ISNUMBER(SEARCH("Aplicar",$R618))+ISNUMBER(SEARCH("Razonar",$R618))),0)</f>
        <v/>
      </c>
      <c r="V618" s="11" t="inlineStr">
        <is>
          <t>9°</t>
        </is>
      </c>
      <c r="W618" s="11" t="inlineStr">
        <is>
          <t>9°</t>
        </is>
      </c>
      <c r="X618" s="11">
        <f>IF(OR(IFERROR(INDEX('Datos - Catálogo TIMSS'!$I$5:$I$107,MATCH(K618,'Datos - Catálogo TIMSS'!$A$5:$A$107,0)),"No")="Sí",IFERROR(INDEX('Datos - Catálogo TIMSS'!$I$5:$I$107,MATCH(L618,'Datos - Catálogo TIMSS'!$A$5:$A$107,0)),"No")="Sí"),1,0)</f>
        <v/>
      </c>
      <c r="Y618" s="11">
        <f>IF(IFERROR(INDEX('Datos - Catálogo TIMSS'!$J$5:$J$107,MATCH(K618,'Datos - Catálogo TIMSS'!$A$5:$A$107,0)),"No")="Sí",1,0)</f>
        <v/>
      </c>
      <c r="Z618" s="11">
        <f>IF(IFERROR(INDEX('Datos - Catálogo TIMSS'!$J$5:$J$107,MATCH(L618,'Datos - Catálogo TIMSS'!$A$5:$A$107,0)),"No")="Sí",1,0)</f>
        <v/>
      </c>
      <c r="AA618" s="11" t="inlineStr">
        <is>
          <t>FUERA</t>
        </is>
      </c>
      <c r="AB618" s="11" t="inlineStr"/>
      <c r="AC618" s="11">
        <f>IF(AA618="FUERA","Fuera del marco",IF(AA618="N/A","Sin marco",IFERROR(INDEX('Datos - TIMSS 2023'!$C$5:$C$105,MATCH(AA618,'Datos - TIMSS 2023'!$A$5:$A$105,0)),"Pendiente de clasificar")))</f>
        <v/>
      </c>
      <c r="AD618" s="11" t="inlineStr">
        <is>
          <t>2. Construir y evaluar diseños para la indagación científica e interpretar datos y evidencia de forma crítica</t>
        </is>
      </c>
      <c r="AE618" s="11">
        <f>IF(AD618="","",IF(LEFT(AD618,1)="1","C1",IF(LEFT(AD618,1)="2","C2",IF(LEFT(AD618,1)="3","C3",""))))</f>
        <v/>
      </c>
      <c r="AF618" s="11" t="inlineStr">
        <is>
          <t>E1</t>
        </is>
      </c>
      <c r="AG618" s="11" t="inlineStr">
        <is>
          <t>D1</t>
        </is>
      </c>
      <c r="AH618" s="11" t="inlineStr">
        <is>
          <t>E4</t>
        </is>
      </c>
      <c r="AI618" s="11" t="inlineStr">
        <is>
          <t>D4</t>
        </is>
      </c>
      <c r="AJ618" s="11" t="inlineStr">
        <is>
          <t>E3</t>
        </is>
      </c>
      <c r="AK618" s="11" t="inlineStr">
        <is>
          <t>FUERA</t>
        </is>
      </c>
      <c r="AL618" s="11" t="n"/>
      <c r="AM618" s="11">
        <f>IF(AK618="FUERA","Fuera del marco",IFERROR(INDEX('Datos - Catálogo PISA'!$C$5:$C$76,MATCH(AK618,'Datos - Catálogo PISA'!$A$5:$A$76,0)),"?"))</f>
        <v/>
      </c>
      <c r="AN618" s="11" t="inlineStr">
        <is>
          <t>Contenido</t>
        </is>
      </c>
      <c r="AO618" s="11" t="n"/>
      <c r="AP618" s="11" t="n"/>
      <c r="AQ618" s="11" t="inlineStr">
        <is>
          <t>Sin contexto</t>
        </is>
      </c>
      <c r="AR618" s="11" t="n"/>
      <c r="AS618" s="11" t="inlineStr">
        <is>
          <t>Media</t>
        </is>
      </c>
      <c r="AT618" s="11" t="inlineStr">
        <is>
          <t>alta</t>
        </is>
      </c>
      <c r="AU618" s="11" t="inlineStr">
        <is>
          <t>Compuertas lógicas: diseño electrónico digital.</t>
        </is>
      </c>
      <c r="AV618" s="11" t="inlineStr">
        <is>
          <t>Ciclo 7°–9°</t>
        </is>
      </c>
      <c r="AW618" s="11">
        <f>AF618&amp;"; "&amp;AG618&amp;"; "&amp;AH618&amp;"; "&amp;AI618&amp;"; "&amp;AJ618</f>
        <v/>
      </c>
    </row>
    <row r="619">
      <c r="A619" s="11" t="inlineStr">
        <is>
          <t>T1253-G09-CIE</t>
        </is>
      </c>
      <c r="B619" s="11" t="n">
        <v>9</v>
      </c>
      <c r="C619" s="11" t="inlineStr">
        <is>
          <t>Ciencias</t>
        </is>
      </c>
      <c r="D619" s="11" t="inlineStr">
        <is>
          <t>Matriz_Ciencias_9no_Grado_U1_U7.xlsx</t>
        </is>
      </c>
      <c r="E619" s="11" t="inlineStr">
        <is>
          <t>Unidad 6 - Electricidad</t>
        </is>
      </c>
      <c r="F619" s="11" t="n">
        <v>16</v>
      </c>
      <c r="G619" s="11" t="inlineStr">
        <is>
          <t>6. Electricidad</t>
        </is>
      </c>
      <c r="H619" s="11" t="inlineStr">
        <is>
          <t>Compuertas lógicas</t>
        </is>
      </c>
      <c r="I619" s="38" t="inlineStr">
        <is>
          <t>6.14. Programación de condicionales utilizando funciones lógicas en hojas de cálculo.</t>
        </is>
      </c>
      <c r="J619" s="11" t="inlineStr">
        <is>
          <t>PISA</t>
        </is>
      </c>
      <c r="K619" s="11" t="inlineStr">
        <is>
          <t>FUERA</t>
        </is>
      </c>
      <c r="L619" s="11" t="inlineStr"/>
      <c r="M619" s="11">
        <f>IF(K619="FUERA","Fuera del marco",IF(K619="N/A","Sin marco",IFERROR(INDEX('Datos - Catálogo TIMSS'!$C$5:$C$107,MATCH(K619,'Datos - Catálogo TIMSS'!$A$5:$A$107,0)),"Pendiente de clasificar")))</f>
        <v/>
      </c>
      <c r="N619" s="11">
        <f>IF(K619="FUERA","Fuera del marco",IF(K619="N/A","Sin marco",IFERROR(INDEX('Datos - Catálogo TIMSS'!$F$5:$F$107,MATCH(K619,'Datos - Catálogo TIMSS'!$A$5:$A$107,0)),"Pendiente de clasificar")))</f>
        <v/>
      </c>
      <c r="O619" s="11">
        <f>IF(L619="","",IFERROR(INDEX('Datos - Catálogo TIMSS'!$C$5:$C$107,MATCH(L619,'Datos - Catálogo TIMSS'!$A$5:$A$107,0)),"?"))</f>
        <v/>
      </c>
      <c r="P619" s="11" t="inlineStr">
        <is>
          <t>alta</t>
        </is>
      </c>
      <c r="Q619" s="38" t="inlineStr">
        <is>
          <t>Programación de condicionales en hoja de cálculo</t>
        </is>
      </c>
      <c r="R619" s="38" t="inlineStr">
        <is>
          <t>Aplicar: programar</t>
        </is>
      </c>
      <c r="S619" s="39">
        <f>IFERROR(ISNUMBER(SEARCH("Conocer",$R619))/(ISNUMBER(SEARCH("Conocer",$R619))+ISNUMBER(SEARCH("Aplicar",$R619))+ISNUMBER(SEARCH("Razonar",$R619))),0)</f>
        <v/>
      </c>
      <c r="T619" s="39">
        <f>IFERROR(ISNUMBER(SEARCH("Aplicar",$R619))/(ISNUMBER(SEARCH("Conocer",$R619))+ISNUMBER(SEARCH("Aplicar",$R619))+ISNUMBER(SEARCH("Razonar",$R619))),0)</f>
        <v/>
      </c>
      <c r="U619" s="39">
        <f>IFERROR(ISNUMBER(SEARCH("Razonar",$R619))/(ISNUMBER(SEARCH("Conocer",$R619))+ISNUMBER(SEARCH("Aplicar",$R619))+ISNUMBER(SEARCH("Razonar",$R619))),0)</f>
        <v/>
      </c>
      <c r="V619" s="11" t="inlineStr">
        <is>
          <t>9°</t>
        </is>
      </c>
      <c r="W619" s="11" t="inlineStr">
        <is>
          <t>9°</t>
        </is>
      </c>
      <c r="X619" s="11">
        <f>IF(OR(IFERROR(INDEX('Datos - Catálogo TIMSS'!$I$5:$I$107,MATCH(K619,'Datos - Catálogo TIMSS'!$A$5:$A$107,0)),"No")="Sí",IFERROR(INDEX('Datos - Catálogo TIMSS'!$I$5:$I$107,MATCH(L619,'Datos - Catálogo TIMSS'!$A$5:$A$107,0)),"No")="Sí"),1,0)</f>
        <v/>
      </c>
      <c r="Y619" s="11">
        <f>IF(IFERROR(INDEX('Datos - Catálogo TIMSS'!$J$5:$J$107,MATCH(K619,'Datos - Catálogo TIMSS'!$A$5:$A$107,0)),"No")="Sí",1,0)</f>
        <v/>
      </c>
      <c r="Z619" s="11">
        <f>IF(IFERROR(INDEX('Datos - Catálogo TIMSS'!$J$5:$J$107,MATCH(L619,'Datos - Catálogo TIMSS'!$A$5:$A$107,0)),"No")="Sí",1,0)</f>
        <v/>
      </c>
      <c r="AA619" s="11" t="inlineStr">
        <is>
          <t>FUERA</t>
        </is>
      </c>
      <c r="AB619" s="11" t="inlineStr"/>
      <c r="AC619" s="11">
        <f>IF(AA619="FUERA","Fuera del marco",IF(AA619="N/A","Sin marco",IFERROR(INDEX('Datos - TIMSS 2023'!$C$5:$C$105,MATCH(AA619,'Datos - TIMSS 2023'!$A$5:$A$105,0)),"Pendiente de clasificar")))</f>
        <v/>
      </c>
      <c r="AD619" s="11" t="inlineStr">
        <is>
          <t>2. Construir y evaluar diseños para la indagación científica e interpretar datos y evidencia de forma crítica</t>
        </is>
      </c>
      <c r="AE619" s="11">
        <f>IF(AD619="","",IF(LEFT(AD619,1)="1","C1",IF(LEFT(AD619,1)="2","C2",IF(LEFT(AD619,1)="3","C3",""))))</f>
        <v/>
      </c>
      <c r="AF619" s="11" t="inlineStr">
        <is>
          <t>E1</t>
        </is>
      </c>
      <c r="AG619" s="11" t="inlineStr">
        <is>
          <t>D1</t>
        </is>
      </c>
      <c r="AH619" s="11" t="inlineStr">
        <is>
          <t>E1</t>
        </is>
      </c>
      <c r="AI619" s="11" t="inlineStr">
        <is>
          <t>D4</t>
        </is>
      </c>
      <c r="AJ619" s="11" t="inlineStr">
        <is>
          <t>E3</t>
        </is>
      </c>
      <c r="AK619" s="11" t="inlineStr">
        <is>
          <t>FUERA</t>
        </is>
      </c>
      <c r="AL619" s="11" t="n"/>
      <c r="AM619" s="11">
        <f>IF(AK619="FUERA","Fuera del marco",IFERROR(INDEX('Datos - Catálogo PISA'!$C$5:$C$76,MATCH(AK619,'Datos - Catálogo PISA'!$A$5:$A$76,0)),"?"))</f>
        <v/>
      </c>
      <c r="AN619" s="11" t="inlineStr">
        <is>
          <t>Contenido</t>
        </is>
      </c>
      <c r="AO619" s="11" t="n"/>
      <c r="AP619" s="11" t="n"/>
      <c r="AQ619" s="11" t="inlineStr">
        <is>
          <t>Sin contexto</t>
        </is>
      </c>
      <c r="AR619" s="11" t="n"/>
      <c r="AS619" s="11" t="inlineStr">
        <is>
          <t>Media</t>
        </is>
      </c>
      <c r="AT619" s="11" t="inlineStr">
        <is>
          <t>alta</t>
        </is>
      </c>
      <c r="AU619" s="11" t="inlineStr">
        <is>
          <t>Programación de condicionales en hoja de cálculo.</t>
        </is>
      </c>
      <c r="AV619" s="11" t="inlineStr">
        <is>
          <t>Ciclo 7°–9°</t>
        </is>
      </c>
      <c r="AW619" s="11">
        <f>AF619&amp;"; "&amp;AG619&amp;"; "&amp;AH619&amp;"; "&amp;AI619&amp;"; "&amp;AJ619</f>
        <v/>
      </c>
    </row>
    <row r="620">
      <c r="A620" s="11" t="inlineStr">
        <is>
          <t>T1254-G09-CIE</t>
        </is>
      </c>
      <c r="B620" s="11" t="n">
        <v>9</v>
      </c>
      <c r="C620" s="11" t="inlineStr">
        <is>
          <t>Ciencias</t>
        </is>
      </c>
      <c r="D620" s="11" t="inlineStr">
        <is>
          <t>Matriz_Ciencias_9no_Grado_U1_U7.xlsx</t>
        </is>
      </c>
      <c r="E620" s="11" t="inlineStr">
        <is>
          <t>Unidad 7 - Magnetismo aplicado</t>
        </is>
      </c>
      <c r="F620" s="11" t="n">
        <v>3</v>
      </c>
      <c r="G620" s="11" t="inlineStr">
        <is>
          <t>7. Magnetismo aplicado</t>
        </is>
      </c>
      <c r="H620" s="11" t="inlineStr">
        <is>
          <t>Magnetismo terrestre</t>
        </is>
      </c>
      <c r="I620" s="38" t="inlineStr">
        <is>
          <t>7.1. Reconocimiento de aplicaciones del campo magnético en fenómenos terrestres.</t>
        </is>
      </c>
      <c r="J620" s="11" t="inlineStr">
        <is>
          <t>PISA</t>
        </is>
      </c>
      <c r="K620" s="11" t="inlineStr">
        <is>
          <t>T8_27-P4.2</t>
        </is>
      </c>
      <c r="L620" s="11" t="inlineStr">
        <is>
          <t>T8_27-E5.1</t>
        </is>
      </c>
      <c r="M620" s="11">
        <f>IF(K620="FUERA","Fuera del marco",IF(K620="N/A","Sin marco",IFERROR(INDEX('Datos - Catálogo TIMSS'!$C$5:$C$107,MATCH(K620,'Datos - Catálogo TIMSS'!$A$5:$A$107,0)),"Pendiente de clasificar")))</f>
        <v/>
      </c>
      <c r="N620" s="11">
        <f>IF(K620="FUERA","Fuera del marco",IF(K620="N/A","Sin marco",IFERROR(INDEX('Datos - Catálogo TIMSS'!$F$5:$F$107,MATCH(K620,'Datos - Catálogo TIMSS'!$A$5:$A$107,0)),"Pendiente de clasificar")))</f>
        <v/>
      </c>
      <c r="O620" s="11">
        <f>IF(L620="","",IFERROR(INDEX('Datos - Catálogo TIMSS'!$C$5:$C$107,MATCH(L620,'Datos - Catálogo TIMSS'!$A$5:$A$107,0)),"?"))</f>
        <v/>
      </c>
      <c r="P620" s="11" t="inlineStr">
        <is>
          <t>media</t>
        </is>
      </c>
      <c r="Q620" s="38" t="inlineStr">
        <is>
          <t>Magnetismo terrestre registrado con brújula</t>
        </is>
      </c>
      <c r="R620" s="38" t="inlineStr">
        <is>
          <t>Aplicar: medir</t>
        </is>
      </c>
      <c r="S620" s="39">
        <f>IFERROR(ISNUMBER(SEARCH("Conocer",$R620))/(ISNUMBER(SEARCH("Conocer",$R620))+ISNUMBER(SEARCH("Aplicar",$R620))+ISNUMBER(SEARCH("Razonar",$R620))),0)</f>
        <v/>
      </c>
      <c r="T620" s="39">
        <f>IFERROR(ISNUMBER(SEARCH("Aplicar",$R620))/(ISNUMBER(SEARCH("Conocer",$R620))+ISNUMBER(SEARCH("Aplicar",$R620))+ISNUMBER(SEARCH("Razonar",$R620))),0)</f>
        <v/>
      </c>
      <c r="U620" s="39">
        <f>IFERROR(ISNUMBER(SEARCH("Razonar",$R620))/(ISNUMBER(SEARCH("Conocer",$R620))+ISNUMBER(SEARCH("Aplicar",$R620))+ISNUMBER(SEARCH("Razonar",$R620))),0)</f>
        <v/>
      </c>
      <c r="V620" s="11" t="inlineStr">
        <is>
          <t>9°</t>
        </is>
      </c>
      <c r="W620" s="11" t="inlineStr">
        <is>
          <t>9°</t>
        </is>
      </c>
      <c r="X620" s="11">
        <f>IF(OR(IFERROR(INDEX('Datos - Catálogo TIMSS'!$I$5:$I$107,MATCH(K620,'Datos - Catálogo TIMSS'!$A$5:$A$107,0)),"No")="Sí",IFERROR(INDEX('Datos - Catálogo TIMSS'!$I$5:$I$107,MATCH(L620,'Datos - Catálogo TIMSS'!$A$5:$A$107,0)),"No")="Sí"),1,0)</f>
        <v/>
      </c>
      <c r="Y620" s="11">
        <f>IF(IFERROR(INDEX('Datos - Catálogo TIMSS'!$J$5:$J$107,MATCH(K620,'Datos - Catálogo TIMSS'!$A$5:$A$107,0)),"No")="Sí",1,0)</f>
        <v/>
      </c>
      <c r="Z620" s="11">
        <f>IF(IFERROR(INDEX('Datos - Catálogo TIMSS'!$J$5:$J$107,MATCH(L620,'Datos - Catálogo TIMSS'!$A$5:$A$107,0)),"No")="Sí",1,0)</f>
        <v/>
      </c>
      <c r="AA620" s="11" t="inlineStr">
        <is>
          <t>T8-F4.2</t>
        </is>
      </c>
      <c r="AB620" s="11" t="inlineStr"/>
      <c r="AC620" s="11">
        <f>IF(AA620="FUERA","Fuera del marco",IF(AA620="N/A","Sin marco",IFERROR(INDEX('Datos - TIMSS 2023'!$C$5:$C$105,MATCH(AA620,'Datos - TIMSS 2023'!$A$5:$A$105,0)),"Pendiente de clasificar")))</f>
        <v/>
      </c>
      <c r="AD620" s="11" t="inlineStr">
        <is>
          <t>1. Explicar fenómenos científicamente</t>
        </is>
      </c>
      <c r="AE620" s="11">
        <f>IF(AD620="","",IF(LEFT(AD620,1)="1","C1",IF(LEFT(AD620,1)="2","C2",IF(LEFT(AD620,1)="3","C3",""))))</f>
        <v/>
      </c>
      <c r="AF620" s="11" t="inlineStr">
        <is>
          <t>E1</t>
        </is>
      </c>
      <c r="AG620" s="11" t="inlineStr">
        <is>
          <t>D1</t>
        </is>
      </c>
      <c r="AH620" s="11" t="inlineStr">
        <is>
          <t>E1</t>
        </is>
      </c>
      <c r="AI620" s="11" t="inlineStr">
        <is>
          <t>D4</t>
        </is>
      </c>
      <c r="AJ620" s="11" t="inlineStr">
        <is>
          <t>E6</t>
        </is>
      </c>
      <c r="AK620" s="11" t="inlineStr">
        <is>
          <t>PISA-F3</t>
        </is>
      </c>
      <c r="AL620" s="11" t="inlineStr">
        <is>
          <t>PISA-T1</t>
        </is>
      </c>
      <c r="AM620" s="11">
        <f>IF(AK620="FUERA","Fuera del marco",IFERROR(INDEX('Datos - Catálogo PISA'!$C$5:$C$76,MATCH(AK620,'Datos - Catálogo PISA'!$A$5:$A$76,0)),"?"))</f>
        <v/>
      </c>
      <c r="AN620" s="11" t="inlineStr">
        <is>
          <t>Contenido</t>
        </is>
      </c>
      <c r="AO620" s="11" t="inlineStr">
        <is>
          <t>PISA-PR2;</t>
        </is>
      </c>
      <c r="AP620" s="11" t="n"/>
      <c r="AQ620" s="11" t="inlineStr">
        <is>
          <t>Global</t>
        </is>
      </c>
      <c r="AR620" s="11" t="inlineStr">
        <is>
          <t>Avances y desafíos científicos y tecnológicos</t>
        </is>
      </c>
      <c r="AS620" s="11" t="inlineStr">
        <is>
          <t>Media</t>
        </is>
      </c>
      <c r="AT620" s="11" t="inlineStr">
        <is>
          <t>media</t>
        </is>
      </c>
      <c r="AU620" s="11" t="inlineStr">
        <is>
          <t>Campo magnético terrestre y sus aplicaciones geofísicas.</t>
        </is>
      </c>
      <c r="AV620" s="11" t="inlineStr">
        <is>
          <t>Ciclo 7°–9°</t>
        </is>
      </c>
      <c r="AW620" s="11">
        <f>AF620&amp;"; "&amp;AG620&amp;"; "&amp;AH620&amp;"; "&amp;AI620&amp;"; "&amp;AJ620</f>
        <v/>
      </c>
    </row>
    <row r="621">
      <c r="A621" s="11" t="inlineStr">
        <is>
          <t>T1255-G09-CIE</t>
        </is>
      </c>
      <c r="B621" s="11" t="n">
        <v>9</v>
      </c>
      <c r="C621" s="11" t="inlineStr">
        <is>
          <t>Ciencias</t>
        </is>
      </c>
      <c r="D621" s="11" t="inlineStr">
        <is>
          <t>Matriz_Ciencias_9no_Grado_U1_U7.xlsx</t>
        </is>
      </c>
      <c r="E621" s="11" t="inlineStr">
        <is>
          <t>Unidad 7 - Magnetismo aplicado</t>
        </is>
      </c>
      <c r="F621" s="11" t="n">
        <v>4</v>
      </c>
      <c r="G621" s="11" t="inlineStr">
        <is>
          <t>7. Magnetismo aplicado</t>
        </is>
      </c>
      <c r="H621" s="11" t="inlineStr">
        <is>
          <t>Magnetismo terrestre</t>
        </is>
      </c>
      <c r="I621" s="38" t="inlineStr">
        <is>
          <t>7.2. Reconocimiento de aplicaciones del campo magnético para la exploración espacial.</t>
        </is>
      </c>
      <c r="J621" s="11" t="inlineStr">
        <is>
          <t>PISA</t>
        </is>
      </c>
      <c r="K621" s="11" t="inlineStr">
        <is>
          <t>T8_27-P4.2</t>
        </is>
      </c>
      <c r="L621" s="11" t="inlineStr"/>
      <c r="M621" s="11">
        <f>IF(K621="FUERA","Fuera del marco",IF(K621="N/A","Sin marco",IFERROR(INDEX('Datos - Catálogo TIMSS'!$C$5:$C$107,MATCH(K621,'Datos - Catálogo TIMSS'!$A$5:$A$107,0)),"Pendiente de clasificar")))</f>
        <v/>
      </c>
      <c r="N621" s="11">
        <f>IF(K621="FUERA","Fuera del marco",IF(K621="N/A","Sin marco",IFERROR(INDEX('Datos - Catálogo TIMSS'!$F$5:$F$107,MATCH(K621,'Datos - Catálogo TIMSS'!$A$5:$A$107,0)),"Pendiente de clasificar")))</f>
        <v/>
      </c>
      <c r="O621" s="11">
        <f>IF(L621="","",IFERROR(INDEX('Datos - Catálogo TIMSS'!$C$5:$C$107,MATCH(L621,'Datos - Catálogo TIMSS'!$A$5:$A$107,0)),"?"))</f>
        <v/>
      </c>
      <c r="P621" s="11" t="inlineStr">
        <is>
          <t>baja</t>
        </is>
      </c>
      <c r="Q621" s="38" t="inlineStr">
        <is>
          <t>Aplicaciones magnéticas en exploración espacial; encaje indirecto</t>
        </is>
      </c>
      <c r="R621" s="38" t="inlineStr">
        <is>
          <t>Aplicar: relacionar</t>
        </is>
      </c>
      <c r="S621" s="39">
        <f>IFERROR(ISNUMBER(SEARCH("Conocer",$R621))/(ISNUMBER(SEARCH("Conocer",$R621))+ISNUMBER(SEARCH("Aplicar",$R621))+ISNUMBER(SEARCH("Razonar",$R621))),0)</f>
        <v/>
      </c>
      <c r="T621" s="39">
        <f>IFERROR(ISNUMBER(SEARCH("Aplicar",$R621))/(ISNUMBER(SEARCH("Conocer",$R621))+ISNUMBER(SEARCH("Aplicar",$R621))+ISNUMBER(SEARCH("Razonar",$R621))),0)</f>
        <v/>
      </c>
      <c r="U621" s="39">
        <f>IFERROR(ISNUMBER(SEARCH("Razonar",$R621))/(ISNUMBER(SEARCH("Conocer",$R621))+ISNUMBER(SEARCH("Aplicar",$R621))+ISNUMBER(SEARCH("Razonar",$R621))),0)</f>
        <v/>
      </c>
      <c r="V621" s="11" t="inlineStr">
        <is>
          <t>9°</t>
        </is>
      </c>
      <c r="W621" s="11" t="inlineStr">
        <is>
          <t>9°</t>
        </is>
      </c>
      <c r="X621" s="11">
        <f>IF(OR(IFERROR(INDEX('Datos - Catálogo TIMSS'!$I$5:$I$107,MATCH(K621,'Datos - Catálogo TIMSS'!$A$5:$A$107,0)),"No")="Sí",IFERROR(INDEX('Datos - Catálogo TIMSS'!$I$5:$I$107,MATCH(L621,'Datos - Catálogo TIMSS'!$A$5:$A$107,0)),"No")="Sí"),1,0)</f>
        <v/>
      </c>
      <c r="Y621" s="11">
        <f>IF(IFERROR(INDEX('Datos - Catálogo TIMSS'!$J$5:$J$107,MATCH(K621,'Datos - Catálogo TIMSS'!$A$5:$A$107,0)),"No")="Sí",1,0)</f>
        <v/>
      </c>
      <c r="Z621" s="11">
        <f>IF(IFERROR(INDEX('Datos - Catálogo TIMSS'!$J$5:$J$107,MATCH(L621,'Datos - Catálogo TIMSS'!$A$5:$A$107,0)),"No")="Sí",1,0)</f>
        <v/>
      </c>
      <c r="AA621" s="11" t="inlineStr">
        <is>
          <t>T8-F4.2</t>
        </is>
      </c>
      <c r="AB621" s="11" t="inlineStr"/>
      <c r="AC621" s="11">
        <f>IF(AA621="FUERA","Fuera del marco",IF(AA621="N/A","Sin marco",IFERROR(INDEX('Datos - TIMSS 2023'!$C$5:$C$105,MATCH(AA621,'Datos - TIMSS 2023'!$A$5:$A$105,0)),"Pendiente de clasificar")))</f>
        <v/>
      </c>
      <c r="AD621" s="11" t="inlineStr">
        <is>
          <t>3. Investigar, evaluar y usar información científica para tomar decisiones y actuar</t>
        </is>
      </c>
      <c r="AE621" s="11">
        <f>IF(AD621="","",IF(LEFT(AD621,1)="1","C1",IF(LEFT(AD621,1)="2","C2",IF(LEFT(AD621,1)="3","C3",""))))</f>
        <v/>
      </c>
      <c r="AF621" s="11" t="inlineStr">
        <is>
          <t>E1</t>
        </is>
      </c>
      <c r="AG621" s="11" t="inlineStr">
        <is>
          <t>D1</t>
        </is>
      </c>
      <c r="AH621" s="11" t="inlineStr">
        <is>
          <t>E1</t>
        </is>
      </c>
      <c r="AI621" s="11" t="inlineStr">
        <is>
          <t>I1</t>
        </is>
      </c>
      <c r="AJ621" s="11" t="inlineStr">
        <is>
          <t>I5</t>
        </is>
      </c>
      <c r="AK621" s="11" t="inlineStr">
        <is>
          <t>PISA-F3</t>
        </is>
      </c>
      <c r="AL621" s="11" t="inlineStr">
        <is>
          <t>PISA-T7</t>
        </is>
      </c>
      <c r="AM621" s="11">
        <f>IF(AK621="FUERA","Fuera del marco",IFERROR(INDEX('Datos - Catálogo PISA'!$C$5:$C$76,MATCH(AK621,'Datos - Catálogo PISA'!$A$5:$A$76,0)),"?"))</f>
        <v/>
      </c>
      <c r="AN621" s="11" t="inlineStr">
        <is>
          <t>Contenido</t>
        </is>
      </c>
      <c r="AO621" s="11" t="n"/>
      <c r="AP621" s="11" t="n"/>
      <c r="AQ621" s="11" t="inlineStr">
        <is>
          <t>Global</t>
        </is>
      </c>
      <c r="AR621" s="11" t="inlineStr">
        <is>
          <t>Avances y desafíos científicos y tecnológicos</t>
        </is>
      </c>
      <c r="AS621" s="11" t="inlineStr">
        <is>
          <t>Baja</t>
        </is>
      </c>
      <c r="AT621" s="11" t="inlineStr">
        <is>
          <t>media</t>
        </is>
      </c>
      <c r="AU621" s="11" t="inlineStr">
        <is>
          <t>Campo magnético aplicado a la exploración espacial.</t>
        </is>
      </c>
      <c r="AV621" s="11" t="inlineStr">
        <is>
          <t>Ciclo 7°–9°</t>
        </is>
      </c>
      <c r="AW621" s="11">
        <f>AF621&amp;"; "&amp;AG621&amp;"; "&amp;AH621&amp;"; "&amp;AI621&amp;"; "&amp;AJ621</f>
        <v/>
      </c>
    </row>
    <row r="622">
      <c r="A622" s="11" t="inlineStr">
        <is>
          <t>T1256-G09-CIE</t>
        </is>
      </c>
      <c r="B622" s="11" t="n">
        <v>9</v>
      </c>
      <c r="C622" s="11" t="inlineStr">
        <is>
          <t>Ciencias</t>
        </is>
      </c>
      <c r="D622" s="11" t="inlineStr">
        <is>
          <t>Matriz_Ciencias_9no_Grado_U1_U7.xlsx</t>
        </is>
      </c>
      <c r="E622" s="11" t="inlineStr">
        <is>
          <t>Unidad 7 - Magnetismo aplicado</t>
        </is>
      </c>
      <c r="F622" s="11" t="n">
        <v>5</v>
      </c>
      <c r="G622" s="11" t="inlineStr">
        <is>
          <t>7. Magnetismo aplicado</t>
        </is>
      </c>
      <c r="H622" s="11" t="inlineStr">
        <is>
          <t>Tecnologías médicas</t>
        </is>
      </c>
      <c r="I622" s="38" t="inlineStr">
        <is>
          <t>7.3. Indagación de aplicaciones magnéticas en el diagnóstico y los tratamientos médicos.</t>
        </is>
      </c>
      <c r="J622" s="11" t="inlineStr">
        <is>
          <t>PISA</t>
        </is>
      </c>
      <c r="K622" s="11" t="inlineStr">
        <is>
          <t>T8_27-P4.2</t>
        </is>
      </c>
      <c r="L622" s="11" t="inlineStr"/>
      <c r="M622" s="11">
        <f>IF(K622="FUERA","Fuera del marco",IF(K622="N/A","Sin marco",IFERROR(INDEX('Datos - Catálogo TIMSS'!$C$5:$C$107,MATCH(K622,'Datos - Catálogo TIMSS'!$A$5:$A$107,0)),"Pendiente de clasificar")))</f>
        <v/>
      </c>
      <c r="N622" s="11">
        <f>IF(K622="FUERA","Fuera del marco",IF(K622="N/A","Sin marco",IFERROR(INDEX('Datos - Catálogo TIMSS'!$F$5:$F$107,MATCH(K622,'Datos - Catálogo TIMSS'!$A$5:$A$107,0)),"Pendiente de clasificar")))</f>
        <v/>
      </c>
      <c r="O622" s="11">
        <f>IF(L622="","",IFERROR(INDEX('Datos - Catálogo TIMSS'!$C$5:$C$107,MATCH(L622,'Datos - Catálogo TIMSS'!$A$5:$A$107,0)),"?"))</f>
        <v/>
      </c>
      <c r="P622" s="11" t="inlineStr">
        <is>
          <t>media</t>
        </is>
      </c>
      <c r="Q622" s="38" t="inlineStr">
        <is>
          <t>Usos de imanes y electroimanes en medicina</t>
        </is>
      </c>
      <c r="R622" s="38" t="inlineStr">
        <is>
          <t>Razonar: evaluar información</t>
        </is>
      </c>
      <c r="S622" s="39">
        <f>IFERROR(ISNUMBER(SEARCH("Conocer",$R622))/(ISNUMBER(SEARCH("Conocer",$R622))+ISNUMBER(SEARCH("Aplicar",$R622))+ISNUMBER(SEARCH("Razonar",$R622))),0)</f>
        <v/>
      </c>
      <c r="T622" s="39">
        <f>IFERROR(ISNUMBER(SEARCH("Aplicar",$R622))/(ISNUMBER(SEARCH("Conocer",$R622))+ISNUMBER(SEARCH("Aplicar",$R622))+ISNUMBER(SEARCH("Razonar",$R622))),0)</f>
        <v/>
      </c>
      <c r="U622" s="39">
        <f>IFERROR(ISNUMBER(SEARCH("Razonar",$R622))/(ISNUMBER(SEARCH("Conocer",$R622))+ISNUMBER(SEARCH("Aplicar",$R622))+ISNUMBER(SEARCH("Razonar",$R622))),0)</f>
        <v/>
      </c>
      <c r="V622" s="11" t="inlineStr">
        <is>
          <t>9°</t>
        </is>
      </c>
      <c r="W622" s="11" t="inlineStr">
        <is>
          <t>9°</t>
        </is>
      </c>
      <c r="X622" s="11">
        <f>IF(OR(IFERROR(INDEX('Datos - Catálogo TIMSS'!$I$5:$I$107,MATCH(K622,'Datos - Catálogo TIMSS'!$A$5:$A$107,0)),"No")="Sí",IFERROR(INDEX('Datos - Catálogo TIMSS'!$I$5:$I$107,MATCH(L622,'Datos - Catálogo TIMSS'!$A$5:$A$107,0)),"No")="Sí"),1,0)</f>
        <v/>
      </c>
      <c r="Y622" s="11">
        <f>IF(IFERROR(INDEX('Datos - Catálogo TIMSS'!$J$5:$J$107,MATCH(K622,'Datos - Catálogo TIMSS'!$A$5:$A$107,0)),"No")="Sí",1,0)</f>
        <v/>
      </c>
      <c r="Z622" s="11">
        <f>IF(IFERROR(INDEX('Datos - Catálogo TIMSS'!$J$5:$J$107,MATCH(L622,'Datos - Catálogo TIMSS'!$A$5:$A$107,0)),"No")="Sí",1,0)</f>
        <v/>
      </c>
      <c r="AA622" s="11" t="inlineStr">
        <is>
          <t>T8-F4.2</t>
        </is>
      </c>
      <c r="AB622" s="11" t="inlineStr"/>
      <c r="AC622" s="11">
        <f>IF(AA622="FUERA","Fuera del marco",IF(AA622="N/A","Sin marco",IFERROR(INDEX('Datos - TIMSS 2023'!$C$5:$C$105,MATCH(AA622,'Datos - TIMSS 2023'!$A$5:$A$105,0)),"Pendiente de clasificar")))</f>
        <v/>
      </c>
      <c r="AD622" s="11" t="inlineStr">
        <is>
          <t>3. Investigar, evaluar y usar información científica para tomar decisiones y actuar</t>
        </is>
      </c>
      <c r="AE622" s="11">
        <f>IF(AD622="","",IF(LEFT(AD622,1)="1","C1",IF(LEFT(AD622,1)="2","C2",IF(LEFT(AD622,1)="3","C3",""))))</f>
        <v/>
      </c>
      <c r="AF622" s="11" t="inlineStr">
        <is>
          <t>E1</t>
        </is>
      </c>
      <c r="AG622" s="11" t="inlineStr">
        <is>
          <t>D1</t>
        </is>
      </c>
      <c r="AH622" s="11" t="inlineStr">
        <is>
          <t>E1</t>
        </is>
      </c>
      <c r="AI622" s="11" t="inlineStr">
        <is>
          <t>I1</t>
        </is>
      </c>
      <c r="AJ622" s="11" t="inlineStr">
        <is>
          <t>I2</t>
        </is>
      </c>
      <c r="AK622" s="11" t="inlineStr">
        <is>
          <t>PISA-F3</t>
        </is>
      </c>
      <c r="AL622" s="11" t="n"/>
      <c r="AM622" s="11">
        <f>IF(AK622="FUERA","Fuera del marco",IFERROR(INDEX('Datos - Catálogo PISA'!$C$5:$C$76,MATCH(AK622,'Datos - Catálogo PISA'!$A$5:$A$76,0)),"?"))</f>
        <v/>
      </c>
      <c r="AN622" s="11" t="inlineStr">
        <is>
          <t>Contenido</t>
        </is>
      </c>
      <c r="AO622" s="11" t="n"/>
      <c r="AP622" s="11" t="n"/>
      <c r="AQ622" s="11" t="inlineStr">
        <is>
          <t>Personal</t>
        </is>
      </c>
      <c r="AR622" s="11" t="inlineStr">
        <is>
          <t>Salud y enfermedad</t>
        </is>
      </c>
      <c r="AS622" s="11" t="inlineStr">
        <is>
          <t>Media</t>
        </is>
      </c>
      <c r="AT622" s="11" t="inlineStr">
        <is>
          <t>media</t>
        </is>
      </c>
      <c r="AU622" s="11" t="inlineStr">
        <is>
          <t>Aplicaciones magnéticas en diagnóstico y tratamiento médico.</t>
        </is>
      </c>
      <c r="AV622" s="11" t="inlineStr">
        <is>
          <t>Ciclo 7°–9°</t>
        </is>
      </c>
      <c r="AW622" s="11">
        <f>AF622&amp;"; "&amp;AG622&amp;"; "&amp;AH622&amp;"; "&amp;AI622&amp;"; "&amp;AJ622</f>
        <v/>
      </c>
    </row>
    <row r="623">
      <c r="A623" s="11" t="inlineStr">
        <is>
          <t>T1257-G09-CIE</t>
        </is>
      </c>
      <c r="B623" s="11" t="n">
        <v>9</v>
      </c>
      <c r="C623" s="11" t="inlineStr">
        <is>
          <t>Ciencias</t>
        </is>
      </c>
      <c r="D623" s="11" t="inlineStr">
        <is>
          <t>Matriz_Ciencias_9no_Grado_U1_U7.xlsx</t>
        </is>
      </c>
      <c r="E623" s="11" t="inlineStr">
        <is>
          <t>Unidad 7 - Magnetismo aplicado</t>
        </is>
      </c>
      <c r="F623" s="11" t="n">
        <v>6</v>
      </c>
      <c r="G623" s="11" t="inlineStr">
        <is>
          <t>7. Magnetismo aplicado</t>
        </is>
      </c>
      <c r="H623" s="11" t="inlineStr">
        <is>
          <t>Tecnologías médicas</t>
        </is>
      </c>
      <c r="I623" s="38" t="inlineStr">
        <is>
          <t>7.4. Explicación de los fenómenos magnéticos involucrados en equipos de uso médico.</t>
        </is>
      </c>
      <c r="J623" s="11" t="inlineStr">
        <is>
          <t>PISA</t>
        </is>
      </c>
      <c r="K623" s="11" t="inlineStr">
        <is>
          <t>T8_27-P4.2</t>
        </is>
      </c>
      <c r="L623" s="11" t="inlineStr"/>
      <c r="M623" s="11">
        <f>IF(K623="FUERA","Fuera del marco",IF(K623="N/A","Sin marco",IFERROR(INDEX('Datos - Catálogo TIMSS'!$C$5:$C$107,MATCH(K623,'Datos - Catálogo TIMSS'!$A$5:$A$107,0)),"Pendiente de clasificar")))</f>
        <v/>
      </c>
      <c r="N623" s="11">
        <f>IF(K623="FUERA","Fuera del marco",IF(K623="N/A","Sin marco",IFERROR(INDEX('Datos - Catálogo TIMSS'!$F$5:$F$107,MATCH(K623,'Datos - Catálogo TIMSS'!$A$5:$A$107,0)),"Pendiente de clasificar")))</f>
        <v/>
      </c>
      <c r="O623" s="11">
        <f>IF(L623="","",IFERROR(INDEX('Datos - Catálogo TIMSS'!$C$5:$C$107,MATCH(L623,'Datos - Catálogo TIMSS'!$A$5:$A$107,0)),"?"))</f>
        <v/>
      </c>
      <c r="P623" s="11" t="inlineStr">
        <is>
          <t>media</t>
        </is>
      </c>
      <c r="Q623" s="38" t="inlineStr">
        <is>
          <t>Fenómenos magnéticos en equipos médicos</t>
        </is>
      </c>
      <c r="R623" s="38" t="inlineStr">
        <is>
          <t>Conocer: explicar</t>
        </is>
      </c>
      <c r="S623" s="39">
        <f>IFERROR(ISNUMBER(SEARCH("Conocer",$R623))/(ISNUMBER(SEARCH("Conocer",$R623))+ISNUMBER(SEARCH("Aplicar",$R623))+ISNUMBER(SEARCH("Razonar",$R623))),0)</f>
        <v/>
      </c>
      <c r="T623" s="39">
        <f>IFERROR(ISNUMBER(SEARCH("Aplicar",$R623))/(ISNUMBER(SEARCH("Conocer",$R623))+ISNUMBER(SEARCH("Aplicar",$R623))+ISNUMBER(SEARCH("Razonar",$R623))),0)</f>
        <v/>
      </c>
      <c r="U623" s="39">
        <f>IFERROR(ISNUMBER(SEARCH("Razonar",$R623))/(ISNUMBER(SEARCH("Conocer",$R623))+ISNUMBER(SEARCH("Aplicar",$R623))+ISNUMBER(SEARCH("Razonar",$R623))),0)</f>
        <v/>
      </c>
      <c r="V623" s="11" t="inlineStr">
        <is>
          <t>9°</t>
        </is>
      </c>
      <c r="W623" s="11" t="inlineStr">
        <is>
          <t>9°</t>
        </is>
      </c>
      <c r="X623" s="11">
        <f>IF(OR(IFERROR(INDEX('Datos - Catálogo TIMSS'!$I$5:$I$107,MATCH(K623,'Datos - Catálogo TIMSS'!$A$5:$A$107,0)),"No")="Sí",IFERROR(INDEX('Datos - Catálogo TIMSS'!$I$5:$I$107,MATCH(L623,'Datos - Catálogo TIMSS'!$A$5:$A$107,0)),"No")="Sí"),1,0)</f>
        <v/>
      </c>
      <c r="Y623" s="11">
        <f>IF(IFERROR(INDEX('Datos - Catálogo TIMSS'!$J$5:$J$107,MATCH(K623,'Datos - Catálogo TIMSS'!$A$5:$A$107,0)),"No")="Sí",1,0)</f>
        <v/>
      </c>
      <c r="Z623" s="11">
        <f>IF(IFERROR(INDEX('Datos - Catálogo TIMSS'!$J$5:$J$107,MATCH(L623,'Datos - Catálogo TIMSS'!$A$5:$A$107,0)),"No")="Sí",1,0)</f>
        <v/>
      </c>
      <c r="AA623" s="11" t="inlineStr">
        <is>
          <t>T8-F4.2</t>
        </is>
      </c>
      <c r="AB623" s="11" t="inlineStr"/>
      <c r="AC623" s="11">
        <f>IF(AA623="FUERA","Fuera del marco",IF(AA623="N/A","Sin marco",IFERROR(INDEX('Datos - TIMSS 2023'!$C$5:$C$105,MATCH(AA623,'Datos - TIMSS 2023'!$A$5:$A$105,0)),"Pendiente de clasificar")))</f>
        <v/>
      </c>
      <c r="AD623" s="11" t="inlineStr">
        <is>
          <t>1. Explicar fenómenos científicamente</t>
        </is>
      </c>
      <c r="AE623" s="11">
        <f>IF(AD623="","",IF(LEFT(AD623,1)="1","C1",IF(LEFT(AD623,1)="2","C2",IF(LEFT(AD623,1)="3","C3",""))))</f>
        <v/>
      </c>
      <c r="AF623" s="11" t="inlineStr">
        <is>
          <t>E1</t>
        </is>
      </c>
      <c r="AG623" s="11" t="inlineStr">
        <is>
          <t>D1</t>
        </is>
      </c>
      <c r="AH623" s="11" t="inlineStr">
        <is>
          <t>E1</t>
        </is>
      </c>
      <c r="AI623" s="11" t="inlineStr">
        <is>
          <t>D4</t>
        </is>
      </c>
      <c r="AJ623" s="11" t="inlineStr">
        <is>
          <t>E6</t>
        </is>
      </c>
      <c r="AK623" s="11" t="inlineStr">
        <is>
          <t>PISA-F3</t>
        </is>
      </c>
      <c r="AL623" s="11" t="n"/>
      <c r="AM623" s="11">
        <f>IF(AK623="FUERA","Fuera del marco",IFERROR(INDEX('Datos - Catálogo PISA'!$C$5:$C$76,MATCH(AK623,'Datos - Catálogo PISA'!$A$5:$A$76,0)),"?"))</f>
        <v/>
      </c>
      <c r="AN623" s="11" t="inlineStr">
        <is>
          <t>Contenido</t>
        </is>
      </c>
      <c r="AO623" s="11" t="n"/>
      <c r="AP623" s="11" t="n"/>
      <c r="AQ623" s="11" t="inlineStr">
        <is>
          <t>Personal</t>
        </is>
      </c>
      <c r="AR623" s="11" t="inlineStr">
        <is>
          <t>Salud y enfermedad</t>
        </is>
      </c>
      <c r="AS623" s="11" t="inlineStr">
        <is>
          <t>Media</t>
        </is>
      </c>
      <c r="AT623" s="11" t="inlineStr">
        <is>
          <t>media</t>
        </is>
      </c>
      <c r="AU623" s="11" t="inlineStr">
        <is>
          <t>Fenómenos magnéticos entre equipo médico y cuerpo humano.</t>
        </is>
      </c>
      <c r="AV623" s="11" t="inlineStr">
        <is>
          <t>Ciclo 7°–9°</t>
        </is>
      </c>
      <c r="AW623" s="11">
        <f>AF623&amp;"; "&amp;AG623&amp;"; "&amp;AH623&amp;"; "&amp;AI623&amp;"; "&amp;AJ623</f>
        <v/>
      </c>
    </row>
    <row r="624">
      <c r="A624" s="11" t="inlineStr">
        <is>
          <t>T1258-G09-CIE</t>
        </is>
      </c>
      <c r="B624" s="11" t="n">
        <v>9</v>
      </c>
      <c r="C624" s="11" t="inlineStr">
        <is>
          <t>Ciencias</t>
        </is>
      </c>
      <c r="D624" s="11" t="inlineStr">
        <is>
          <t>Matriz_Ciencias_9no_Grado_U1_U7.xlsx</t>
        </is>
      </c>
      <c r="E624" s="11" t="inlineStr">
        <is>
          <t>Unidad 7 - Magnetismo aplicado</t>
        </is>
      </c>
      <c r="F624" s="11" t="n">
        <v>7</v>
      </c>
      <c r="G624" s="11" t="inlineStr">
        <is>
          <t>7. Magnetismo aplicado</t>
        </is>
      </c>
      <c r="H624" s="11" t="inlineStr">
        <is>
          <t>Principio del motor</t>
        </is>
      </c>
      <c r="I624" s="38" t="inlineStr">
        <is>
          <t>7.5. Construcción de un motor de corriente directa.</t>
        </is>
      </c>
      <c r="J624" s="11" t="inlineStr">
        <is>
          <t>PISA</t>
        </is>
      </c>
      <c r="K624" s="11" t="inlineStr">
        <is>
          <t>T8_27-P4.2</t>
        </is>
      </c>
      <c r="L624" s="11" t="inlineStr">
        <is>
          <t>T8_27-P4.1</t>
        </is>
      </c>
      <c r="M624" s="11">
        <f>IF(K624="FUERA","Fuera del marco",IF(K624="N/A","Sin marco",IFERROR(INDEX('Datos - Catálogo TIMSS'!$C$5:$C$107,MATCH(K624,'Datos - Catálogo TIMSS'!$A$5:$A$107,0)),"Pendiente de clasificar")))</f>
        <v/>
      </c>
      <c r="N624" s="11">
        <f>IF(K624="FUERA","Fuera del marco",IF(K624="N/A","Sin marco",IFERROR(INDEX('Datos - Catálogo TIMSS'!$F$5:$F$107,MATCH(K624,'Datos - Catálogo TIMSS'!$A$5:$A$107,0)),"Pendiente de clasificar")))</f>
        <v/>
      </c>
      <c r="O624" s="11">
        <f>IF(L624="","",IFERROR(INDEX('Datos - Catálogo TIMSS'!$C$5:$C$107,MATCH(L624,'Datos - Catálogo TIMSS'!$A$5:$A$107,0)),"?"))</f>
        <v/>
      </c>
      <c r="P624" s="11" t="inlineStr">
        <is>
          <t>alta</t>
        </is>
      </c>
      <c r="Q624" s="38" t="inlineStr">
        <is>
          <t>Motor DC: electroimán y circuito eléctrico</t>
        </is>
      </c>
      <c r="R624" s="38" t="inlineStr">
        <is>
          <t>Aplicar: construir</t>
        </is>
      </c>
      <c r="S624" s="39">
        <f>IFERROR(ISNUMBER(SEARCH("Conocer",$R624))/(ISNUMBER(SEARCH("Conocer",$R624))+ISNUMBER(SEARCH("Aplicar",$R624))+ISNUMBER(SEARCH("Razonar",$R624))),0)</f>
        <v/>
      </c>
      <c r="T624" s="39">
        <f>IFERROR(ISNUMBER(SEARCH("Aplicar",$R624))/(ISNUMBER(SEARCH("Conocer",$R624))+ISNUMBER(SEARCH("Aplicar",$R624))+ISNUMBER(SEARCH("Razonar",$R624))),0)</f>
        <v/>
      </c>
      <c r="U624" s="39">
        <f>IFERROR(ISNUMBER(SEARCH("Razonar",$R624))/(ISNUMBER(SEARCH("Conocer",$R624))+ISNUMBER(SEARCH("Aplicar",$R624))+ISNUMBER(SEARCH("Razonar",$R624))),0)</f>
        <v/>
      </c>
      <c r="V624" s="11" t="inlineStr">
        <is>
          <t>9°</t>
        </is>
      </c>
      <c r="W624" s="11" t="inlineStr">
        <is>
          <t>9°</t>
        </is>
      </c>
      <c r="X624" s="11">
        <f>IF(OR(IFERROR(INDEX('Datos - Catálogo TIMSS'!$I$5:$I$107,MATCH(K624,'Datos - Catálogo TIMSS'!$A$5:$A$107,0)),"No")="Sí",IFERROR(INDEX('Datos - Catálogo TIMSS'!$I$5:$I$107,MATCH(L624,'Datos - Catálogo TIMSS'!$A$5:$A$107,0)),"No")="Sí"),1,0)</f>
        <v/>
      </c>
      <c r="Y624" s="11">
        <f>IF(IFERROR(INDEX('Datos - Catálogo TIMSS'!$J$5:$J$107,MATCH(K624,'Datos - Catálogo TIMSS'!$A$5:$A$107,0)),"No")="Sí",1,0)</f>
        <v/>
      </c>
      <c r="Z624" s="11">
        <f>IF(IFERROR(INDEX('Datos - Catálogo TIMSS'!$J$5:$J$107,MATCH(L624,'Datos - Catálogo TIMSS'!$A$5:$A$107,0)),"No")="Sí",1,0)</f>
        <v/>
      </c>
      <c r="AA624" s="11" t="inlineStr">
        <is>
          <t>T8-F4.2</t>
        </is>
      </c>
      <c r="AB624" s="11" t="inlineStr">
        <is>
          <t>T8-F4.1</t>
        </is>
      </c>
      <c r="AC624" s="11">
        <f>IF(AA624="FUERA","Fuera del marco",IF(AA624="N/A","Sin marco",IFERROR(INDEX('Datos - TIMSS 2023'!$C$5:$C$105,MATCH(AA624,'Datos - TIMSS 2023'!$A$5:$A$105,0)),"Pendiente de clasificar")))</f>
        <v/>
      </c>
      <c r="AD624" s="11" t="inlineStr">
        <is>
          <t>2. Construir y evaluar diseños para la indagación científica e interpretar datos y evidencia de forma crítica</t>
        </is>
      </c>
      <c r="AE624" s="11">
        <f>IF(AD624="","",IF(LEFT(AD624,1)="1","C1",IF(LEFT(AD624,1)="2","C2",IF(LEFT(AD624,1)="3","C3",""))))</f>
        <v/>
      </c>
      <c r="AF624" s="11" t="inlineStr">
        <is>
          <t>E1</t>
        </is>
      </c>
      <c r="AG624" s="11" t="inlineStr">
        <is>
          <t>D1</t>
        </is>
      </c>
      <c r="AH624" s="11" t="inlineStr">
        <is>
          <t>E4</t>
        </is>
      </c>
      <c r="AI624" s="11" t="inlineStr">
        <is>
          <t>D3</t>
        </is>
      </c>
      <c r="AJ624" s="11" t="inlineStr">
        <is>
          <t>E3</t>
        </is>
      </c>
      <c r="AK624" s="11" t="inlineStr">
        <is>
          <t>PISA-F3</t>
        </is>
      </c>
      <c r="AL624" s="11" t="inlineStr">
        <is>
          <t>PISA-F4</t>
        </is>
      </c>
      <c r="AM624" s="11">
        <f>IF(AK624="FUERA","Fuera del marco",IFERROR(INDEX('Datos - Catálogo PISA'!$C$5:$C$76,MATCH(AK624,'Datos - Catálogo PISA'!$A$5:$A$76,0)),"?"))</f>
        <v/>
      </c>
      <c r="AN624" s="11" t="inlineStr">
        <is>
          <t>Contenido</t>
        </is>
      </c>
      <c r="AO624" s="11" t="n"/>
      <c r="AP624" s="11" t="n"/>
      <c r="AQ624" s="11" t="inlineStr">
        <is>
          <t>Sin contexto</t>
        </is>
      </c>
      <c r="AR624" s="11" t="n"/>
      <c r="AS624" s="11" t="inlineStr">
        <is>
          <t>Media</t>
        </is>
      </c>
      <c r="AT624" s="11" t="inlineStr">
        <is>
          <t>media</t>
        </is>
      </c>
      <c r="AU624" s="11" t="inlineStr">
        <is>
          <t>Motor DC: fuerza magnética sobre corriente; construcción.</t>
        </is>
      </c>
      <c r="AV624" s="11" t="inlineStr">
        <is>
          <t>Ciclo 7°–9°</t>
        </is>
      </c>
      <c r="AW624" s="11">
        <f>AF624&amp;"; "&amp;AG624&amp;"; "&amp;AH624&amp;"; "&amp;AI624&amp;"; "&amp;AJ624</f>
        <v/>
      </c>
    </row>
    <row r="625">
      <c r="A625" s="11" t="inlineStr">
        <is>
          <t>T1259-G09-CIE</t>
        </is>
      </c>
      <c r="B625" s="11" t="n">
        <v>9</v>
      </c>
      <c r="C625" s="11" t="inlineStr">
        <is>
          <t>Ciencias</t>
        </is>
      </c>
      <c r="D625" s="11" t="inlineStr">
        <is>
          <t>Matriz_Ciencias_9no_Grado_U1_U7.xlsx</t>
        </is>
      </c>
      <c r="E625" s="11" t="inlineStr">
        <is>
          <t>Unidad 7 - Magnetismo aplicado</t>
        </is>
      </c>
      <c r="F625" s="11" t="n">
        <v>8</v>
      </c>
      <c r="G625" s="11" t="inlineStr">
        <is>
          <t>7. Magnetismo aplicado</t>
        </is>
      </c>
      <c r="H625" s="11" t="inlineStr">
        <is>
          <t>Principio del motor</t>
        </is>
      </c>
      <c r="I625" s="38" t="inlineStr">
        <is>
          <t>7.6. Explicación del funcionamiento del motor de corriente directa.</t>
        </is>
      </c>
      <c r="J625" s="11" t="inlineStr">
        <is>
          <t>PISA</t>
        </is>
      </c>
      <c r="K625" s="11" t="inlineStr">
        <is>
          <t>T8_27-P4.2</t>
        </is>
      </c>
      <c r="L625" s="11" t="inlineStr">
        <is>
          <t>T8_27-P2.1</t>
        </is>
      </c>
      <c r="M625" s="11">
        <f>IF(K625="FUERA","Fuera del marco",IF(K625="N/A","Sin marco",IFERROR(INDEX('Datos - Catálogo TIMSS'!$C$5:$C$107,MATCH(K625,'Datos - Catálogo TIMSS'!$A$5:$A$107,0)),"Pendiente de clasificar")))</f>
        <v/>
      </c>
      <c r="N625" s="11">
        <f>IF(K625="FUERA","Fuera del marco",IF(K625="N/A","Sin marco",IFERROR(INDEX('Datos - Catálogo TIMSS'!$F$5:$F$107,MATCH(K625,'Datos - Catálogo TIMSS'!$A$5:$A$107,0)),"Pendiente de clasificar")))</f>
        <v/>
      </c>
      <c r="O625" s="11">
        <f>IF(L625="","",IFERROR(INDEX('Datos - Catálogo TIMSS'!$C$5:$C$107,MATCH(L625,'Datos - Catálogo TIMSS'!$A$5:$A$107,0)),"?"))</f>
        <v/>
      </c>
      <c r="P625" s="11" t="inlineStr">
        <is>
          <t>media</t>
        </is>
      </c>
      <c r="Q625" s="38" t="inlineStr">
        <is>
          <t>Motor: fuerzas magnéticas y transformación de energía</t>
        </is>
      </c>
      <c r="R625" s="38" t="inlineStr">
        <is>
          <t>Conocer: explicar. Razonar: predecir</t>
        </is>
      </c>
      <c r="S625" s="39">
        <f>IFERROR(ISNUMBER(SEARCH("Conocer",$R625))/(ISNUMBER(SEARCH("Conocer",$R625))+ISNUMBER(SEARCH("Aplicar",$R625))+ISNUMBER(SEARCH("Razonar",$R625))),0)</f>
        <v/>
      </c>
      <c r="T625" s="39">
        <f>IFERROR(ISNUMBER(SEARCH("Aplicar",$R625))/(ISNUMBER(SEARCH("Conocer",$R625))+ISNUMBER(SEARCH("Aplicar",$R625))+ISNUMBER(SEARCH("Razonar",$R625))),0)</f>
        <v/>
      </c>
      <c r="U625" s="39">
        <f>IFERROR(ISNUMBER(SEARCH("Razonar",$R625))/(ISNUMBER(SEARCH("Conocer",$R625))+ISNUMBER(SEARCH("Aplicar",$R625))+ISNUMBER(SEARCH("Razonar",$R625))),0)</f>
        <v/>
      </c>
      <c r="V625" s="11" t="inlineStr">
        <is>
          <t>9°</t>
        </is>
      </c>
      <c r="W625" s="11" t="inlineStr">
        <is>
          <t>9°</t>
        </is>
      </c>
      <c r="X625" s="11">
        <f>IF(OR(IFERROR(INDEX('Datos - Catálogo TIMSS'!$I$5:$I$107,MATCH(K625,'Datos - Catálogo TIMSS'!$A$5:$A$107,0)),"No")="Sí",IFERROR(INDEX('Datos - Catálogo TIMSS'!$I$5:$I$107,MATCH(L625,'Datos - Catálogo TIMSS'!$A$5:$A$107,0)),"No")="Sí"),1,0)</f>
        <v/>
      </c>
      <c r="Y625" s="11">
        <f>IF(IFERROR(INDEX('Datos - Catálogo TIMSS'!$J$5:$J$107,MATCH(K625,'Datos - Catálogo TIMSS'!$A$5:$A$107,0)),"No")="Sí",1,0)</f>
        <v/>
      </c>
      <c r="Z625" s="11">
        <f>IF(IFERROR(INDEX('Datos - Catálogo TIMSS'!$J$5:$J$107,MATCH(L625,'Datos - Catálogo TIMSS'!$A$5:$A$107,0)),"No")="Sí",1,0)</f>
        <v/>
      </c>
      <c r="AA625" s="11" t="inlineStr">
        <is>
          <t>T8-F4.2</t>
        </is>
      </c>
      <c r="AB625" s="11" t="inlineStr">
        <is>
          <t>T8-F2.1</t>
        </is>
      </c>
      <c r="AC625" s="11">
        <f>IF(AA625="FUERA","Fuera del marco",IF(AA625="N/A","Sin marco",IFERROR(INDEX('Datos - TIMSS 2023'!$C$5:$C$105,MATCH(AA625,'Datos - TIMSS 2023'!$A$5:$A$105,0)),"Pendiente de clasificar")))</f>
        <v/>
      </c>
      <c r="AD625" s="11" t="inlineStr">
        <is>
          <t>1. Explicar fenómenos científicamente</t>
        </is>
      </c>
      <c r="AE625" s="11">
        <f>IF(AD625="","",IF(LEFT(AD625,1)="1","C1",IF(LEFT(AD625,1)="2","C2",IF(LEFT(AD625,1)="3","C3",""))))</f>
        <v/>
      </c>
      <c r="AF625" s="11" t="inlineStr">
        <is>
          <t>E1</t>
        </is>
      </c>
      <c r="AG625" s="11" t="inlineStr">
        <is>
          <t>D1</t>
        </is>
      </c>
      <c r="AH625" s="11" t="inlineStr">
        <is>
          <t>E1</t>
        </is>
      </c>
      <c r="AI625" s="11" t="inlineStr">
        <is>
          <t>D4</t>
        </is>
      </c>
      <c r="AJ625" s="11" t="inlineStr">
        <is>
          <t>E3</t>
        </is>
      </c>
      <c r="AK625" s="11" t="inlineStr">
        <is>
          <t>PISA-F3</t>
        </is>
      </c>
      <c r="AL625" s="11" t="inlineStr">
        <is>
          <t>PISA-F4</t>
        </is>
      </c>
      <c r="AM625" s="11">
        <f>IF(AK625="FUERA","Fuera del marco",IFERROR(INDEX('Datos - Catálogo PISA'!$C$5:$C$76,MATCH(AK625,'Datos - Catálogo PISA'!$A$5:$A$76,0)),"?"))</f>
        <v/>
      </c>
      <c r="AN625" s="11" t="inlineStr">
        <is>
          <t>Contenido</t>
        </is>
      </c>
      <c r="AO625" s="11" t="n"/>
      <c r="AP625" s="11" t="n"/>
      <c r="AQ625" s="11" t="inlineStr">
        <is>
          <t>Sin contexto</t>
        </is>
      </c>
      <c r="AR625" s="11" t="n"/>
      <c r="AS625" s="11" t="inlineStr">
        <is>
          <t>Media</t>
        </is>
      </c>
      <c r="AT625" s="11" t="inlineStr">
        <is>
          <t>alta</t>
        </is>
      </c>
      <c r="AU625" s="11" t="inlineStr">
        <is>
          <t>Funcionamiento del motor por fuerzas magnéticas.</t>
        </is>
      </c>
      <c r="AV625" s="11" t="inlineStr">
        <is>
          <t>Ciclo 7°–9°</t>
        </is>
      </c>
      <c r="AW625" s="11">
        <f>AF625&amp;"; "&amp;AG625&amp;"; "&amp;AH625&amp;"; "&amp;AI625&amp;"; "&amp;AJ625</f>
        <v/>
      </c>
    </row>
    <row r="626">
      <c r="A626" s="11" t="inlineStr">
        <is>
          <t>T1260-G09-CIE</t>
        </is>
      </c>
      <c r="B626" s="11" t="n">
        <v>9</v>
      </c>
      <c r="C626" s="11" t="inlineStr">
        <is>
          <t>Ciencias</t>
        </is>
      </c>
      <c r="D626" s="11" t="inlineStr">
        <is>
          <t>Matriz_Ciencias_9no_Grado_U1_U7.xlsx</t>
        </is>
      </c>
      <c r="E626" s="11" t="inlineStr">
        <is>
          <t>Unidad 7 - Magnetismo aplicado</t>
        </is>
      </c>
      <c r="F626" s="11" t="n">
        <v>9</v>
      </c>
      <c r="G626" s="11" t="inlineStr">
        <is>
          <t>7. Magnetismo aplicado</t>
        </is>
      </c>
      <c r="H626" s="11" t="inlineStr">
        <is>
          <t>Principio del motor</t>
        </is>
      </c>
      <c r="I626" s="38" t="inlineStr">
        <is>
          <t>7.7. Comparación entre las tecnologías del motor eléctrico y el motor de combustión interna.</t>
        </is>
      </c>
      <c r="J626" s="11" t="inlineStr">
        <is>
          <t>PISA</t>
        </is>
      </c>
      <c r="K626" s="11" t="inlineStr">
        <is>
          <t>T8_27-P2.1</t>
        </is>
      </c>
      <c r="L626" s="11" t="inlineStr">
        <is>
          <t>T8_27-E3.1</t>
        </is>
      </c>
      <c r="M626" s="11">
        <f>IF(K626="FUERA","Fuera del marco",IF(K626="N/A","Sin marco",IFERROR(INDEX('Datos - Catálogo TIMSS'!$C$5:$C$107,MATCH(K626,'Datos - Catálogo TIMSS'!$A$5:$A$107,0)),"Pendiente de clasificar")))</f>
        <v/>
      </c>
      <c r="N626" s="11">
        <f>IF(K626="FUERA","Fuera del marco",IF(K626="N/A","Sin marco",IFERROR(INDEX('Datos - Catálogo TIMSS'!$F$5:$F$107,MATCH(K626,'Datos - Catálogo TIMSS'!$A$5:$A$107,0)),"Pendiente de clasificar")))</f>
        <v/>
      </c>
      <c r="O626" s="11">
        <f>IF(L626="","",IFERROR(INDEX('Datos - Catálogo TIMSS'!$C$5:$C$107,MATCH(L626,'Datos - Catálogo TIMSS'!$A$5:$A$107,0)),"?"))</f>
        <v/>
      </c>
      <c r="P626" s="11" t="inlineStr">
        <is>
          <t>media</t>
        </is>
      </c>
      <c r="Q626" s="38" t="inlineStr">
        <is>
          <t>Motores eléctrico y de combustión: energía y fuentes</t>
        </is>
      </c>
      <c r="R626" s="38" t="inlineStr">
        <is>
          <t>Razonar: comparar y justificar</t>
        </is>
      </c>
      <c r="S626" s="39">
        <f>IFERROR(ISNUMBER(SEARCH("Conocer",$R626))/(ISNUMBER(SEARCH("Conocer",$R626))+ISNUMBER(SEARCH("Aplicar",$R626))+ISNUMBER(SEARCH("Razonar",$R626))),0)</f>
        <v/>
      </c>
      <c r="T626" s="39">
        <f>IFERROR(ISNUMBER(SEARCH("Aplicar",$R626))/(ISNUMBER(SEARCH("Conocer",$R626))+ISNUMBER(SEARCH("Aplicar",$R626))+ISNUMBER(SEARCH("Razonar",$R626))),0)</f>
        <v/>
      </c>
      <c r="U626" s="39">
        <f>IFERROR(ISNUMBER(SEARCH("Razonar",$R626))/(ISNUMBER(SEARCH("Conocer",$R626))+ISNUMBER(SEARCH("Aplicar",$R626))+ISNUMBER(SEARCH("Razonar",$R626))),0)</f>
        <v/>
      </c>
      <c r="V626" s="11" t="inlineStr">
        <is>
          <t>9°</t>
        </is>
      </c>
      <c r="W626" s="11" t="inlineStr">
        <is>
          <t>9°</t>
        </is>
      </c>
      <c r="X626" s="11">
        <f>IF(OR(IFERROR(INDEX('Datos - Catálogo TIMSS'!$I$5:$I$107,MATCH(K626,'Datos - Catálogo TIMSS'!$A$5:$A$107,0)),"No")="Sí",IFERROR(INDEX('Datos - Catálogo TIMSS'!$I$5:$I$107,MATCH(L626,'Datos - Catálogo TIMSS'!$A$5:$A$107,0)),"No")="Sí"),1,0)</f>
        <v/>
      </c>
      <c r="Y626" s="11">
        <f>IF(IFERROR(INDEX('Datos - Catálogo TIMSS'!$J$5:$J$107,MATCH(K626,'Datos - Catálogo TIMSS'!$A$5:$A$107,0)),"No")="Sí",1,0)</f>
        <v/>
      </c>
      <c r="Z626" s="11">
        <f>IF(IFERROR(INDEX('Datos - Catálogo TIMSS'!$J$5:$J$107,MATCH(L626,'Datos - Catálogo TIMSS'!$A$5:$A$107,0)),"No")="Sí",1,0)</f>
        <v/>
      </c>
      <c r="AA626" s="11" t="inlineStr">
        <is>
          <t>T8-F2.1</t>
        </is>
      </c>
      <c r="AB626" s="11" t="inlineStr">
        <is>
          <t>T8-T3.1</t>
        </is>
      </c>
      <c r="AC626" s="11">
        <f>IF(AA626="FUERA","Fuera del marco",IF(AA626="N/A","Sin marco",IFERROR(INDEX('Datos - TIMSS 2023'!$C$5:$C$105,MATCH(AA626,'Datos - TIMSS 2023'!$A$5:$A$105,0)),"Pendiente de clasificar")))</f>
        <v/>
      </c>
      <c r="AD626" s="11" t="inlineStr">
        <is>
          <t>3. Investigar, evaluar y usar información científica para tomar decisiones y actuar</t>
        </is>
      </c>
      <c r="AE626" s="11">
        <f>IF(AD626="","",IF(LEFT(AD626,1)="1","C1",IF(LEFT(AD626,1)="2","C2",IF(LEFT(AD626,1)="3","C3",""))))</f>
        <v/>
      </c>
      <c r="AF626" s="11" t="inlineStr">
        <is>
          <t>E1</t>
        </is>
      </c>
      <c r="AG626" s="11" t="inlineStr">
        <is>
          <t>D1</t>
        </is>
      </c>
      <c r="AH626" s="11" t="inlineStr">
        <is>
          <t>E2</t>
        </is>
      </c>
      <c r="AI626" s="11" t="inlineStr">
        <is>
          <t>I3</t>
        </is>
      </c>
      <c r="AJ626" s="11" t="inlineStr">
        <is>
          <t>I5</t>
        </is>
      </c>
      <c r="AK626" s="11" t="inlineStr">
        <is>
          <t>PISA-F4</t>
        </is>
      </c>
      <c r="AL626" s="11" t="n"/>
      <c r="AM626" s="11">
        <f>IF(AK626="FUERA","Fuera del marco",IFERROR(INDEX('Datos - Catálogo PISA'!$C$5:$C$76,MATCH(AK626,'Datos - Catálogo PISA'!$A$5:$A$76,0)),"?"))</f>
        <v/>
      </c>
      <c r="AN626" s="11" t="inlineStr">
        <is>
          <t>Contenido</t>
        </is>
      </c>
      <c r="AO626" s="11" t="n"/>
      <c r="AP626" s="11" t="n"/>
      <c r="AQ626" s="11" t="inlineStr">
        <is>
          <t>Global</t>
        </is>
      </c>
      <c r="AR626" s="11" t="inlineStr">
        <is>
          <t>Impactos ambientales y cambio climático</t>
        </is>
      </c>
      <c r="AS626" s="11" t="inlineStr">
        <is>
          <t>Alta</t>
        </is>
      </c>
      <c r="AT626" s="11" t="inlineStr">
        <is>
          <t>media</t>
        </is>
      </c>
      <c r="AU626" s="11" t="inlineStr">
        <is>
          <t>Compara eficiencia e impacto de motor eléctrico y de combustión.</t>
        </is>
      </c>
      <c r="AV626" s="11" t="inlineStr">
        <is>
          <t>Ciclo 7°–9°</t>
        </is>
      </c>
      <c r="AW626" s="11">
        <f>AF626&amp;"; "&amp;AG626&amp;"; "&amp;AH626&amp;"; "&amp;AI626&amp;"; "&amp;AJ626</f>
        <v/>
      </c>
    </row>
    <row r="627">
      <c r="A627" s="11" t="inlineStr">
        <is>
          <t>T0163-G10-FÍS</t>
        </is>
      </c>
      <c r="B627" s="11" t="n">
        <v>10</v>
      </c>
      <c r="C627" s="11" t="inlineStr">
        <is>
          <t>Física</t>
        </is>
      </c>
      <c r="D627" s="11" t="inlineStr">
        <is>
          <t>Matriz_Bachillerato_Fisica_10_11.xlsx</t>
        </is>
      </c>
      <c r="E627" s="11" t="inlineStr">
        <is>
          <t>Física 10.°</t>
        </is>
      </c>
      <c r="F627" s="11" t="n">
        <v>3</v>
      </c>
      <c r="G627" s="11" t="inlineStr">
        <is>
          <t>1. La física como ciencia: ciclo de indagación</t>
        </is>
      </c>
      <c r="H627" s="11" t="inlineStr">
        <is>
          <t>La física y su método</t>
        </is>
      </c>
      <c r="I627" s="38" t="inlineStr">
        <is>
          <t>1.1. Identificación de los campos de estudio de la física en fenómenos cotidianos, tecnológicos y del entorno salvadoreño.</t>
        </is>
      </c>
      <c r="J627" s="11" t="inlineStr">
        <is>
          <t>TA</t>
        </is>
      </c>
      <c r="K627" s="11" t="inlineStr">
        <is>
          <t>FUERA</t>
        </is>
      </c>
      <c r="L627" s="11" t="inlineStr"/>
      <c r="M627" s="11">
        <f>IF(K627="FUERA","Fuera del marco",IF(K627="N/A","Sin marco",IFERROR(INDEX('Datos - Catálogo TIMSS'!$C$5:$C$107,MATCH(K627,'Datos - Catálogo TIMSS'!$A$5:$A$107,0)),"Pendiente de clasificar")))</f>
        <v/>
      </c>
      <c r="N627" s="11">
        <f>IF(K627="FUERA","Fuera del marco",IF(K627="N/A","Sin marco",IFERROR(INDEX('Datos - Catálogo TIMSS'!$F$5:$F$107,MATCH(K627,'Datos - Catálogo TIMSS'!$A$5:$A$107,0)),"Pendiente de clasificar")))</f>
        <v/>
      </c>
      <c r="O627" s="11">
        <f>IF(L627="","",IFERROR(INDEX('Datos - Catálogo TIMSS'!$C$5:$C$107,MATCH(L627,'Datos - Catálogo TIMSS'!$A$5:$A$107,0)),"?"))</f>
        <v/>
      </c>
      <c r="P627" s="11" t="inlineStr">
        <is>
          <t>alta</t>
        </is>
      </c>
      <c r="Q627" s="38" t="inlineStr">
        <is>
          <t>Campos de estudio de la física; sin objetivo del marco</t>
        </is>
      </c>
      <c r="R627" s="38" t="inlineStr">
        <is>
          <t>Conocer: identificar ramas de la física. Razonar: distinguir evidencia de opinión</t>
        </is>
      </c>
      <c r="S627" s="39">
        <f>IFERROR(ISNUMBER(SEARCH("Conocer",$R627))/(ISNUMBER(SEARCH("Conocer",$R627))+ISNUMBER(SEARCH("Aplicar",$R627))+ISNUMBER(SEARCH("Razonar",$R627))),0)</f>
        <v/>
      </c>
      <c r="T627" s="39">
        <f>IFERROR(ISNUMBER(SEARCH("Aplicar",$R627))/(ISNUMBER(SEARCH("Conocer",$R627))+ISNUMBER(SEARCH("Aplicar",$R627))+ISNUMBER(SEARCH("Razonar",$R627))),0)</f>
        <v/>
      </c>
      <c r="U627" s="39">
        <f>IFERROR(ISNUMBER(SEARCH("Razonar",$R627))/(ISNUMBER(SEARCH("Conocer",$R627))+ISNUMBER(SEARCH("Aplicar",$R627))+ISNUMBER(SEARCH("Razonar",$R627))),0)</f>
        <v/>
      </c>
      <c r="V627" s="11" t="inlineStr">
        <is>
          <t>Física 10°</t>
        </is>
      </c>
      <c r="W627" s="11" t="inlineStr">
        <is>
          <t>Física 10°–11°</t>
        </is>
      </c>
      <c r="X627" s="11">
        <f>IF(OR(IFERROR(INDEX('Datos - Catálogo TIMSS'!$I$5:$I$107,MATCH(K627,'Datos - Catálogo TIMSS'!$A$5:$A$107,0)),"No")="Sí",IFERROR(INDEX('Datos - Catálogo TIMSS'!$I$5:$I$107,MATCH(L627,'Datos - Catálogo TIMSS'!$A$5:$A$107,0)),"No")="Sí"),1,0)</f>
        <v/>
      </c>
      <c r="Y627" s="11">
        <f>IF(IFERROR(INDEX('Datos - Catálogo TIMSS'!$J$5:$J$107,MATCH(K627,'Datos - Catálogo TIMSS'!$A$5:$A$107,0)),"No")="Sí",1,0)</f>
        <v/>
      </c>
      <c r="Z627" s="11">
        <f>IF(IFERROR(INDEX('Datos - Catálogo TIMSS'!$J$5:$J$107,MATCH(L627,'Datos - Catálogo TIMSS'!$A$5:$A$107,0)),"No")="Sí",1,0)</f>
        <v/>
      </c>
      <c r="AA627" s="11" t="inlineStr">
        <is>
          <t>FUERA</t>
        </is>
      </c>
      <c r="AB627" s="11" t="inlineStr"/>
      <c r="AC627" s="11">
        <f>IF(AA627="FUERA","Fuera del marco",IF(AA627="N/A","Sin marco",IFERROR(INDEX('Datos - TIMSS 2023'!$C$5:$C$105,MATCH(AA627,'Datos - TIMSS 2023'!$A$5:$A$105,0)),"Pendiente de clasificar")))</f>
        <v/>
      </c>
      <c r="AD627" s="11" t="inlineStr">
        <is>
          <t>3. Investigar, evaluar y usar información científica para tomar decisiones y actuar</t>
        </is>
      </c>
      <c r="AE627" s="11">
        <f>IF(AD627="","",IF(LEFT(AD627,1)="1","C1",IF(LEFT(AD627,1)="2","C2",IF(LEFT(AD627,1)="3","C3",""))))</f>
        <v/>
      </c>
      <c r="AF627" s="11" t="inlineStr">
        <is>
          <t>E1</t>
        </is>
      </c>
      <c r="AG627" s="11" t="inlineStr">
        <is>
          <t>D1</t>
        </is>
      </c>
      <c r="AH627" s="11" t="inlineStr">
        <is>
          <t>E2</t>
        </is>
      </c>
      <c r="AI627" s="11" t="inlineStr">
        <is>
          <t>I2</t>
        </is>
      </c>
      <c r="AJ627" s="11" t="inlineStr">
        <is>
          <t>E6</t>
        </is>
      </c>
      <c r="AK627" s="11" t="n"/>
      <c r="AL627" s="11" t="n"/>
      <c r="AM627" s="11" t="n"/>
      <c r="AN627" s="11" t="n"/>
      <c r="AO627" s="11" t="n"/>
      <c r="AP627" s="11" t="n"/>
      <c r="AQ627" s="11" t="n"/>
      <c r="AR627" s="11" t="n"/>
      <c r="AS627" s="11" t="n"/>
      <c r="AT627" s="11" t="n"/>
      <c r="AU627" s="11" t="n"/>
      <c r="AV627" s="11" t="n"/>
      <c r="AW627" s="11">
        <f>AF627&amp;"; "&amp;AG627&amp;"; "&amp;AH627&amp;"; "&amp;AI627&amp;"; "&amp;AJ627</f>
        <v/>
      </c>
    </row>
    <row r="628">
      <c r="A628" s="11" t="inlineStr">
        <is>
          <t>T0164-G10-FÍS</t>
        </is>
      </c>
      <c r="B628" s="11" t="n">
        <v>10</v>
      </c>
      <c r="C628" s="11" t="inlineStr">
        <is>
          <t>Física</t>
        </is>
      </c>
      <c r="D628" s="11" t="inlineStr">
        <is>
          <t>Matriz_Bachillerato_Fisica_10_11.xlsx</t>
        </is>
      </c>
      <c r="E628" s="11" t="inlineStr">
        <is>
          <t>Física 10.°</t>
        </is>
      </c>
      <c r="F628" s="11" t="n">
        <v>4</v>
      </c>
      <c r="G628" s="11" t="inlineStr">
        <is>
          <t>1. La física como ciencia: ciclo de indagación</t>
        </is>
      </c>
      <c r="H628" s="11" t="inlineStr">
        <is>
          <t>La física y su método</t>
        </is>
      </c>
      <c r="I628" s="38" t="inlineStr">
        <is>
          <t>1.2. Formulación de preguntas investigables e hipótesis comprobables sobre fenómenos físicos observables en el aula.</t>
        </is>
      </c>
      <c r="J628" s="11" t="inlineStr">
        <is>
          <t>TA</t>
        </is>
      </c>
      <c r="K628" s="11" t="inlineStr">
        <is>
          <t>FUERA</t>
        </is>
      </c>
      <c r="L628" s="11" t="inlineStr"/>
      <c r="M628" s="11">
        <f>IF(K628="FUERA","Fuera del marco",IF(K628="N/A","Sin marco",IFERROR(INDEX('Datos - Catálogo TIMSS'!$C$5:$C$107,MATCH(K628,'Datos - Catálogo TIMSS'!$A$5:$A$107,0)),"Pendiente de clasificar")))</f>
        <v/>
      </c>
      <c r="N628" s="11">
        <f>IF(K628="FUERA","Fuera del marco",IF(K628="N/A","Sin marco",IFERROR(INDEX('Datos - Catálogo TIMSS'!$F$5:$F$107,MATCH(K628,'Datos - Catálogo TIMSS'!$A$5:$A$107,0)),"Pendiente de clasificar")))</f>
        <v/>
      </c>
      <c r="O628" s="11">
        <f>IF(L628="","",IFERROR(INDEX('Datos - Catálogo TIMSS'!$C$5:$C$107,MATCH(L628,'Datos - Catálogo TIMSS'!$A$5:$A$107,0)),"?"))</f>
        <v/>
      </c>
      <c r="P628" s="11" t="inlineStr">
        <is>
          <t>alta</t>
        </is>
      </c>
      <c r="Q628" s="38" t="inlineStr">
        <is>
          <t>Indagación: preguntas e hipótesis, método científico general</t>
        </is>
      </c>
      <c r="R628" s="38" t="inlineStr">
        <is>
          <t>Aplicar: formular hipótesis. Razonar: evaluar si una pregunta es investigable</t>
        </is>
      </c>
      <c r="S628" s="39">
        <f>IFERROR(ISNUMBER(SEARCH("Conocer",$R628))/(ISNUMBER(SEARCH("Conocer",$R628))+ISNUMBER(SEARCH("Aplicar",$R628))+ISNUMBER(SEARCH("Razonar",$R628))),0)</f>
        <v/>
      </c>
      <c r="T628" s="39">
        <f>IFERROR(ISNUMBER(SEARCH("Aplicar",$R628))/(ISNUMBER(SEARCH("Conocer",$R628))+ISNUMBER(SEARCH("Aplicar",$R628))+ISNUMBER(SEARCH("Razonar",$R628))),0)</f>
        <v/>
      </c>
      <c r="U628" s="39">
        <f>IFERROR(ISNUMBER(SEARCH("Razonar",$R628))/(ISNUMBER(SEARCH("Conocer",$R628))+ISNUMBER(SEARCH("Aplicar",$R628))+ISNUMBER(SEARCH("Razonar",$R628))),0)</f>
        <v/>
      </c>
      <c r="V628" s="11" t="inlineStr">
        <is>
          <t>Física 10°</t>
        </is>
      </c>
      <c r="W628" s="11" t="inlineStr">
        <is>
          <t>Física 10°–11°</t>
        </is>
      </c>
      <c r="X628" s="11">
        <f>IF(OR(IFERROR(INDEX('Datos - Catálogo TIMSS'!$I$5:$I$107,MATCH(K628,'Datos - Catálogo TIMSS'!$A$5:$A$107,0)),"No")="Sí",IFERROR(INDEX('Datos - Catálogo TIMSS'!$I$5:$I$107,MATCH(L628,'Datos - Catálogo TIMSS'!$A$5:$A$107,0)),"No")="Sí"),1,0)</f>
        <v/>
      </c>
      <c r="Y628" s="11">
        <f>IF(IFERROR(INDEX('Datos - Catálogo TIMSS'!$J$5:$J$107,MATCH(K628,'Datos - Catálogo TIMSS'!$A$5:$A$107,0)),"No")="Sí",1,0)</f>
        <v/>
      </c>
      <c r="Z628" s="11">
        <f>IF(IFERROR(INDEX('Datos - Catálogo TIMSS'!$J$5:$J$107,MATCH(L628,'Datos - Catálogo TIMSS'!$A$5:$A$107,0)),"No")="Sí",1,0)</f>
        <v/>
      </c>
      <c r="AA628" s="11" t="inlineStr">
        <is>
          <t>FUERA</t>
        </is>
      </c>
      <c r="AB628" s="11" t="inlineStr"/>
      <c r="AC628" s="11">
        <f>IF(AA628="FUERA","Fuera del marco",IF(AA628="N/A","Sin marco",IFERROR(INDEX('Datos - TIMSS 2023'!$C$5:$C$105,MATCH(AA628,'Datos - TIMSS 2023'!$A$5:$A$105,0)),"Pendiente de clasificar")))</f>
        <v/>
      </c>
      <c r="AD628" s="11" t="inlineStr">
        <is>
          <t>2. Construir y evaluar diseños para la indagación científica e interpretar datos y evidencia de forma crítica</t>
        </is>
      </c>
      <c r="AE628" s="11">
        <f>IF(AD628="","",IF(LEFT(AD628,1)="1","C1",IF(LEFT(AD628,1)="2","C2",IF(LEFT(AD628,1)="3","C3",""))))</f>
        <v/>
      </c>
      <c r="AF628" s="11" t="inlineStr">
        <is>
          <t>E1</t>
        </is>
      </c>
      <c r="AG628" s="11" t="inlineStr">
        <is>
          <t>D1</t>
        </is>
      </c>
      <c r="AH628" s="11" t="inlineStr">
        <is>
          <t>E4</t>
        </is>
      </c>
      <c r="AI628" s="11" t="inlineStr">
        <is>
          <t>D2</t>
        </is>
      </c>
      <c r="AJ628" s="11" t="inlineStr">
        <is>
          <t>D3</t>
        </is>
      </c>
      <c r="AK628" s="11" t="n"/>
      <c r="AL628" s="11" t="n"/>
      <c r="AM628" s="11" t="n"/>
      <c r="AN628" s="11" t="n"/>
      <c r="AO628" s="11" t="n"/>
      <c r="AP628" s="11" t="n"/>
      <c r="AQ628" s="11" t="n"/>
      <c r="AR628" s="11" t="n"/>
      <c r="AS628" s="11" t="n"/>
      <c r="AT628" s="11" t="n"/>
      <c r="AU628" s="11" t="n"/>
      <c r="AV628" s="11" t="n"/>
      <c r="AW628" s="11">
        <f>AF628&amp;"; "&amp;AG628&amp;"; "&amp;AH628&amp;"; "&amp;AI628&amp;"; "&amp;AJ628</f>
        <v/>
      </c>
    </row>
    <row r="629">
      <c r="A629" s="11" t="inlineStr">
        <is>
          <t>T0165-G10-FÍS</t>
        </is>
      </c>
      <c r="B629" s="11" t="n">
        <v>10</v>
      </c>
      <c r="C629" s="11" t="inlineStr">
        <is>
          <t>Física</t>
        </is>
      </c>
      <c r="D629" s="11" t="inlineStr">
        <is>
          <t>Matriz_Bachillerato_Fisica_10_11.xlsx</t>
        </is>
      </c>
      <c r="E629" s="11" t="inlineStr">
        <is>
          <t>Física 10.°</t>
        </is>
      </c>
      <c r="F629" s="11" t="n">
        <v>5</v>
      </c>
      <c r="G629" s="11" t="inlineStr">
        <is>
          <t>1. La física como ciencia: ciclo de indagación</t>
        </is>
      </c>
      <c r="H629" s="11" t="inlineStr">
        <is>
          <t>Diseño experimental</t>
        </is>
      </c>
      <c r="I629" s="38" t="inlineStr">
        <is>
          <t>1.3. Diseño de un experimento justo con identificación y control de las variables independiente, dependiente y controladas.</t>
        </is>
      </c>
      <c r="J629" s="11" t="inlineStr">
        <is>
          <t>TA</t>
        </is>
      </c>
      <c r="K629" s="11" t="inlineStr">
        <is>
          <t>FUERA</t>
        </is>
      </c>
      <c r="L629" s="11" t="inlineStr"/>
      <c r="M629" s="11">
        <f>IF(K629="FUERA","Fuera del marco",IF(K629="N/A","Sin marco",IFERROR(INDEX('Datos - Catálogo TIMSS'!$C$5:$C$107,MATCH(K629,'Datos - Catálogo TIMSS'!$A$5:$A$107,0)),"Pendiente de clasificar")))</f>
        <v/>
      </c>
      <c r="N629" s="11">
        <f>IF(K629="FUERA","Fuera del marco",IF(K629="N/A","Sin marco",IFERROR(INDEX('Datos - Catálogo TIMSS'!$F$5:$F$107,MATCH(K629,'Datos - Catálogo TIMSS'!$A$5:$A$107,0)),"Pendiente de clasificar")))</f>
        <v/>
      </c>
      <c r="O629" s="11">
        <f>IF(L629="","",IFERROR(INDEX('Datos - Catálogo TIMSS'!$C$5:$C$107,MATCH(L629,'Datos - Catálogo TIMSS'!$A$5:$A$107,0)),"?"))</f>
        <v/>
      </c>
      <c r="P629" s="11" t="inlineStr">
        <is>
          <t>alta</t>
        </is>
      </c>
      <c r="Q629" s="38" t="inlineStr">
        <is>
          <t>Diseño experimental y control de variables, método general</t>
        </is>
      </c>
      <c r="R629" s="38" t="inlineStr">
        <is>
          <t>Aplicar: identificar variables. Razonar: justificar el control de variables</t>
        </is>
      </c>
      <c r="S629" s="39">
        <f>IFERROR(ISNUMBER(SEARCH("Conocer",$R629))/(ISNUMBER(SEARCH("Conocer",$R629))+ISNUMBER(SEARCH("Aplicar",$R629))+ISNUMBER(SEARCH("Razonar",$R629))),0)</f>
        <v/>
      </c>
      <c r="T629" s="39">
        <f>IFERROR(ISNUMBER(SEARCH("Aplicar",$R629))/(ISNUMBER(SEARCH("Conocer",$R629))+ISNUMBER(SEARCH("Aplicar",$R629))+ISNUMBER(SEARCH("Razonar",$R629))),0)</f>
        <v/>
      </c>
      <c r="U629" s="39">
        <f>IFERROR(ISNUMBER(SEARCH("Razonar",$R629))/(ISNUMBER(SEARCH("Conocer",$R629))+ISNUMBER(SEARCH("Aplicar",$R629))+ISNUMBER(SEARCH("Razonar",$R629))),0)</f>
        <v/>
      </c>
      <c r="V629" s="11" t="inlineStr">
        <is>
          <t>Física 10°</t>
        </is>
      </c>
      <c r="W629" s="11" t="inlineStr">
        <is>
          <t>Física 10°–11°</t>
        </is>
      </c>
      <c r="X629" s="11">
        <f>IF(OR(IFERROR(INDEX('Datos - Catálogo TIMSS'!$I$5:$I$107,MATCH(K629,'Datos - Catálogo TIMSS'!$A$5:$A$107,0)),"No")="Sí",IFERROR(INDEX('Datos - Catálogo TIMSS'!$I$5:$I$107,MATCH(L629,'Datos - Catálogo TIMSS'!$A$5:$A$107,0)),"No")="Sí"),1,0)</f>
        <v/>
      </c>
      <c r="Y629" s="11">
        <f>IF(IFERROR(INDEX('Datos - Catálogo TIMSS'!$J$5:$J$107,MATCH(K629,'Datos - Catálogo TIMSS'!$A$5:$A$107,0)),"No")="Sí",1,0)</f>
        <v/>
      </c>
      <c r="Z629" s="11">
        <f>IF(IFERROR(INDEX('Datos - Catálogo TIMSS'!$J$5:$J$107,MATCH(L629,'Datos - Catálogo TIMSS'!$A$5:$A$107,0)),"No")="Sí",1,0)</f>
        <v/>
      </c>
      <c r="AA629" s="11" t="inlineStr">
        <is>
          <t>FUERA</t>
        </is>
      </c>
      <c r="AB629" s="11" t="inlineStr"/>
      <c r="AC629" s="11">
        <f>IF(AA629="FUERA","Fuera del marco",IF(AA629="N/A","Sin marco",IFERROR(INDEX('Datos - TIMSS 2023'!$C$5:$C$105,MATCH(AA629,'Datos - TIMSS 2023'!$A$5:$A$105,0)),"Pendiente de clasificar")))</f>
        <v/>
      </c>
      <c r="AD629" s="11" t="inlineStr">
        <is>
          <t>2. Construir y evaluar diseños para la indagación científica e interpretar datos y evidencia de forma crítica</t>
        </is>
      </c>
      <c r="AE629" s="11">
        <f>IF(AD629="","",IF(LEFT(AD629,1)="1","C1",IF(LEFT(AD629,1)="2","C2",IF(LEFT(AD629,1)="3","C3",""))))</f>
        <v/>
      </c>
      <c r="AF629" s="11" t="inlineStr">
        <is>
          <t>E1</t>
        </is>
      </c>
      <c r="AG629" s="11" t="inlineStr">
        <is>
          <t>E5</t>
        </is>
      </c>
      <c r="AH629" s="11" t="inlineStr">
        <is>
          <t>E2</t>
        </is>
      </c>
      <c r="AI629" s="11" t="inlineStr">
        <is>
          <t>D2</t>
        </is>
      </c>
      <c r="AJ629" s="11" t="inlineStr">
        <is>
          <t>D3</t>
        </is>
      </c>
      <c r="AK629" s="11" t="n"/>
      <c r="AL629" s="11" t="n"/>
      <c r="AM629" s="11" t="n"/>
      <c r="AN629" s="11" t="n"/>
      <c r="AO629" s="11" t="n"/>
      <c r="AP629" s="11" t="n"/>
      <c r="AQ629" s="11" t="n"/>
      <c r="AR629" s="11" t="n"/>
      <c r="AS629" s="11" t="n"/>
      <c r="AT629" s="11" t="n"/>
      <c r="AU629" s="11" t="n"/>
      <c r="AV629" s="11" t="n"/>
      <c r="AW629" s="11">
        <f>AF629&amp;"; "&amp;AG629&amp;"; "&amp;AH629&amp;"; "&amp;AI629&amp;"; "&amp;AJ629</f>
        <v/>
      </c>
    </row>
    <row r="630">
      <c r="A630" s="11" t="inlineStr">
        <is>
          <t>T0166-G10-FÍS</t>
        </is>
      </c>
      <c r="B630" s="11" t="n">
        <v>10</v>
      </c>
      <c r="C630" s="11" t="inlineStr">
        <is>
          <t>Física</t>
        </is>
      </c>
      <c r="D630" s="11" t="inlineStr">
        <is>
          <t>Matriz_Bachillerato_Fisica_10_11.xlsx</t>
        </is>
      </c>
      <c r="E630" s="11" t="inlineStr">
        <is>
          <t>Física 10.°</t>
        </is>
      </c>
      <c r="F630" s="11" t="n">
        <v>6</v>
      </c>
      <c r="G630" s="11" t="inlineStr">
        <is>
          <t>1. La física como ciencia: ciclo de indagación</t>
        </is>
      </c>
      <c r="H630" s="11" t="inlineStr">
        <is>
          <t>Análisis de datos</t>
        </is>
      </c>
      <c r="I630" s="38" t="inlineStr">
        <is>
          <t>1.4. Linealización de datos experimentales y cálculo de la pendiente y el intercepto de un ajuste lineal con interpretación física.</t>
        </is>
      </c>
      <c r="J630" s="11" t="inlineStr">
        <is>
          <t>TA</t>
        </is>
      </c>
      <c r="K630" s="11" t="inlineStr">
        <is>
          <t>FUERA</t>
        </is>
      </c>
      <c r="L630" s="11" t="inlineStr"/>
      <c r="M630" s="11">
        <f>IF(K630="FUERA","Fuera del marco",IF(K630="N/A","Sin marco",IFERROR(INDEX('Datos - Catálogo TIMSS'!$C$5:$C$107,MATCH(K630,'Datos - Catálogo TIMSS'!$A$5:$A$107,0)),"Pendiente de clasificar")))</f>
        <v/>
      </c>
      <c r="N630" s="11">
        <f>IF(K630="FUERA","Fuera del marco",IF(K630="N/A","Sin marco",IFERROR(INDEX('Datos - Catálogo TIMSS'!$F$5:$F$107,MATCH(K630,'Datos - Catálogo TIMSS'!$A$5:$A$107,0)),"Pendiente de clasificar")))</f>
        <v/>
      </c>
      <c r="O630" s="11">
        <f>IF(L630="","",IFERROR(INDEX('Datos - Catálogo TIMSS'!$C$5:$C$107,MATCH(L630,'Datos - Catálogo TIMSS'!$A$5:$A$107,0)),"?"))</f>
        <v/>
      </c>
      <c r="P630" s="11" t="inlineStr">
        <is>
          <t>alta</t>
        </is>
      </c>
      <c r="Q630" s="38" t="inlineStr">
        <is>
          <t>Análisis de datos y linealización, habilidad metodológica general</t>
        </is>
      </c>
      <c r="R630" s="38" t="inlineStr">
        <is>
          <t>Aplicar: construir gráficas y calcular pendientes. Razonar: interpretar parámetros del ajuste</t>
        </is>
      </c>
      <c r="S630" s="39">
        <f>IFERROR(ISNUMBER(SEARCH("Conocer",$R630))/(ISNUMBER(SEARCH("Conocer",$R630))+ISNUMBER(SEARCH("Aplicar",$R630))+ISNUMBER(SEARCH("Razonar",$R630))),0)</f>
        <v/>
      </c>
      <c r="T630" s="39">
        <f>IFERROR(ISNUMBER(SEARCH("Aplicar",$R630))/(ISNUMBER(SEARCH("Conocer",$R630))+ISNUMBER(SEARCH("Aplicar",$R630))+ISNUMBER(SEARCH("Razonar",$R630))),0)</f>
        <v/>
      </c>
      <c r="U630" s="39">
        <f>IFERROR(ISNUMBER(SEARCH("Razonar",$R630))/(ISNUMBER(SEARCH("Conocer",$R630))+ISNUMBER(SEARCH("Aplicar",$R630))+ISNUMBER(SEARCH("Razonar",$R630))),0)</f>
        <v/>
      </c>
      <c r="V630" s="11" t="inlineStr">
        <is>
          <t>Física 10°</t>
        </is>
      </c>
      <c r="W630" s="11" t="inlineStr">
        <is>
          <t>Física 10°–11°</t>
        </is>
      </c>
      <c r="X630" s="11">
        <f>IF(OR(IFERROR(INDEX('Datos - Catálogo TIMSS'!$I$5:$I$107,MATCH(K630,'Datos - Catálogo TIMSS'!$A$5:$A$107,0)),"No")="Sí",IFERROR(INDEX('Datos - Catálogo TIMSS'!$I$5:$I$107,MATCH(L630,'Datos - Catálogo TIMSS'!$A$5:$A$107,0)),"No")="Sí"),1,0)</f>
        <v/>
      </c>
      <c r="Y630" s="11">
        <f>IF(IFERROR(INDEX('Datos - Catálogo TIMSS'!$J$5:$J$107,MATCH(K630,'Datos - Catálogo TIMSS'!$A$5:$A$107,0)),"No")="Sí",1,0)</f>
        <v/>
      </c>
      <c r="Z630" s="11">
        <f>IF(IFERROR(INDEX('Datos - Catálogo TIMSS'!$J$5:$J$107,MATCH(L630,'Datos - Catálogo TIMSS'!$A$5:$A$107,0)),"No")="Sí",1,0)</f>
        <v/>
      </c>
      <c r="AA630" s="11" t="inlineStr">
        <is>
          <t>FUERA</t>
        </is>
      </c>
      <c r="AB630" s="11" t="inlineStr"/>
      <c r="AC630" s="11">
        <f>IF(AA630="FUERA","Fuera del marco",IF(AA630="N/A","Sin marco",IFERROR(INDEX('Datos - TIMSS 2023'!$C$5:$C$105,MATCH(AA630,'Datos - TIMSS 2023'!$A$5:$A$105,0)),"Pendiente de clasificar")))</f>
        <v/>
      </c>
      <c r="AD630" s="11" t="inlineStr">
        <is>
          <t>2. Construir y evaluar diseños para la indagación científica e interpretar datos y evidencia de forma crítica</t>
        </is>
      </c>
      <c r="AE630" s="11">
        <f>IF(AD630="","",IF(LEFT(AD630,1)="1","C1",IF(LEFT(AD630,1)="2","C2",IF(LEFT(AD630,1)="3","C3",""))))</f>
        <v/>
      </c>
      <c r="AF630" s="11" t="inlineStr">
        <is>
          <t>E1</t>
        </is>
      </c>
      <c r="AG630" s="11" t="inlineStr">
        <is>
          <t>E3</t>
        </is>
      </c>
      <c r="AH630" s="11" t="inlineStr">
        <is>
          <t>E2</t>
        </is>
      </c>
      <c r="AI630" s="11" t="inlineStr">
        <is>
          <t>D4</t>
        </is>
      </c>
      <c r="AJ630" s="11" t="inlineStr">
        <is>
          <t>E6</t>
        </is>
      </c>
      <c r="AK630" s="11" t="n"/>
      <c r="AL630" s="11" t="n"/>
      <c r="AM630" s="11" t="n"/>
      <c r="AN630" s="11" t="n"/>
      <c r="AO630" s="11" t="n"/>
      <c r="AP630" s="11" t="n"/>
      <c r="AQ630" s="11" t="n"/>
      <c r="AR630" s="11" t="n"/>
      <c r="AS630" s="11" t="n"/>
      <c r="AT630" s="11" t="n"/>
      <c r="AU630" s="11" t="n"/>
      <c r="AV630" s="11" t="n"/>
      <c r="AW630" s="11">
        <f>AF630&amp;"; "&amp;AG630&amp;"; "&amp;AH630&amp;"; "&amp;AI630&amp;"; "&amp;AJ630</f>
        <v/>
      </c>
    </row>
    <row r="631">
      <c r="A631" s="11" t="inlineStr">
        <is>
          <t>T0167-G10-FÍS</t>
        </is>
      </c>
      <c r="B631" s="11" t="n">
        <v>10</v>
      </c>
      <c r="C631" s="11" t="inlineStr">
        <is>
          <t>Física</t>
        </is>
      </c>
      <c r="D631" s="11" t="inlineStr">
        <is>
          <t>Matriz_Bachillerato_Fisica_10_11.xlsx</t>
        </is>
      </c>
      <c r="E631" s="11" t="inlineStr">
        <is>
          <t>Física 10.°</t>
        </is>
      </c>
      <c r="F631" s="11" t="n">
        <v>7</v>
      </c>
      <c r="G631" s="11" t="inlineStr">
        <is>
          <t>1. La física como ciencia: ciclo de indagación</t>
        </is>
      </c>
      <c r="H631" s="11" t="inlineStr">
        <is>
          <t>Modelos en física</t>
        </is>
      </c>
      <c r="I631" s="38" t="inlineStr">
        <is>
          <t>1.5. Análisis de modelos físicos idealizados y de las condiciones en que dejan de describir adecuadamente un fenómeno.</t>
        </is>
      </c>
      <c r="J631" s="11" t="inlineStr">
        <is>
          <t>TA</t>
        </is>
      </c>
      <c r="K631" s="11" t="inlineStr">
        <is>
          <t>FUERA</t>
        </is>
      </c>
      <c r="L631" s="11" t="inlineStr"/>
      <c r="M631" s="11">
        <f>IF(K631="FUERA","Fuera del marco",IF(K631="N/A","Sin marco",IFERROR(INDEX('Datos - Catálogo TIMSS'!$C$5:$C$107,MATCH(K631,'Datos - Catálogo TIMSS'!$A$5:$A$107,0)),"Pendiente de clasificar")))</f>
        <v/>
      </c>
      <c r="N631" s="11">
        <f>IF(K631="FUERA","Fuera del marco",IF(K631="N/A","Sin marco",IFERROR(INDEX('Datos - Catálogo TIMSS'!$F$5:$F$107,MATCH(K631,'Datos - Catálogo TIMSS'!$A$5:$A$107,0)),"Pendiente de clasificar")))</f>
        <v/>
      </c>
      <c r="O631" s="11">
        <f>IF(L631="","",IFERROR(INDEX('Datos - Catálogo TIMSS'!$C$5:$C$107,MATCH(L631,'Datos - Catálogo TIMSS'!$A$5:$A$107,0)),"?"))</f>
        <v/>
      </c>
      <c r="P631" s="11" t="inlineStr">
        <is>
          <t>media</t>
        </is>
      </c>
      <c r="Q631" s="38" t="inlineStr">
        <is>
          <t>Modelos idealizados y validez; naturaleza de la ciencia</t>
        </is>
      </c>
      <c r="R631" s="38" t="inlineStr">
        <is>
          <t>Razonar: evaluar modelos. Aplicar: comparar predicciones con datos</t>
        </is>
      </c>
      <c r="S631" s="39">
        <f>IFERROR(ISNUMBER(SEARCH("Conocer",$R631))/(ISNUMBER(SEARCH("Conocer",$R631))+ISNUMBER(SEARCH("Aplicar",$R631))+ISNUMBER(SEARCH("Razonar",$R631))),0)</f>
        <v/>
      </c>
      <c r="T631" s="39">
        <f>IFERROR(ISNUMBER(SEARCH("Aplicar",$R631))/(ISNUMBER(SEARCH("Conocer",$R631))+ISNUMBER(SEARCH("Aplicar",$R631))+ISNUMBER(SEARCH("Razonar",$R631))),0)</f>
        <v/>
      </c>
      <c r="U631" s="39">
        <f>IFERROR(ISNUMBER(SEARCH("Razonar",$R631))/(ISNUMBER(SEARCH("Conocer",$R631))+ISNUMBER(SEARCH("Aplicar",$R631))+ISNUMBER(SEARCH("Razonar",$R631))),0)</f>
        <v/>
      </c>
      <c r="V631" s="11" t="inlineStr">
        <is>
          <t>Física 10°</t>
        </is>
      </c>
      <c r="W631" s="11" t="inlineStr">
        <is>
          <t>Física 10°–11°</t>
        </is>
      </c>
      <c r="X631" s="11">
        <f>IF(OR(IFERROR(INDEX('Datos - Catálogo TIMSS'!$I$5:$I$107,MATCH(K631,'Datos - Catálogo TIMSS'!$A$5:$A$107,0)),"No")="Sí",IFERROR(INDEX('Datos - Catálogo TIMSS'!$I$5:$I$107,MATCH(L631,'Datos - Catálogo TIMSS'!$A$5:$A$107,0)),"No")="Sí"),1,0)</f>
        <v/>
      </c>
      <c r="Y631" s="11">
        <f>IF(IFERROR(INDEX('Datos - Catálogo TIMSS'!$J$5:$J$107,MATCH(K631,'Datos - Catálogo TIMSS'!$A$5:$A$107,0)),"No")="Sí",1,0)</f>
        <v/>
      </c>
      <c r="Z631" s="11">
        <f>IF(IFERROR(INDEX('Datos - Catálogo TIMSS'!$J$5:$J$107,MATCH(L631,'Datos - Catálogo TIMSS'!$A$5:$A$107,0)),"No")="Sí",1,0)</f>
        <v/>
      </c>
      <c r="AA631" s="11" t="inlineStr">
        <is>
          <t>FUERA</t>
        </is>
      </c>
      <c r="AB631" s="11" t="inlineStr"/>
      <c r="AC631" s="11">
        <f>IF(AA631="FUERA","Fuera del marco",IF(AA631="N/A","Sin marco",IFERROR(INDEX('Datos - TIMSS 2023'!$C$5:$C$105,MATCH(AA631,'Datos - TIMSS 2023'!$A$5:$A$105,0)),"Pendiente de clasificar")))</f>
        <v/>
      </c>
      <c r="AD631" s="11" t="inlineStr">
        <is>
          <t>1. Explicar fenómenos científicamente</t>
        </is>
      </c>
      <c r="AE631" s="11">
        <f>IF(AD631="","",IF(LEFT(AD631,1)="1","C1",IF(LEFT(AD631,1)="2","C2",IF(LEFT(AD631,1)="3","C3",""))))</f>
        <v/>
      </c>
      <c r="AF631" s="11" t="inlineStr">
        <is>
          <t>E6</t>
        </is>
      </c>
      <c r="AG631" s="11" t="inlineStr">
        <is>
          <t>E5</t>
        </is>
      </c>
      <c r="AH631" s="11" t="inlineStr">
        <is>
          <t>E4</t>
        </is>
      </c>
      <c r="AI631" s="11" t="inlineStr">
        <is>
          <t>D4</t>
        </is>
      </c>
      <c r="AJ631" s="11" t="inlineStr">
        <is>
          <t>I4</t>
        </is>
      </c>
      <c r="AK631" s="11" t="n"/>
      <c r="AL631" s="11" t="n"/>
      <c r="AM631" s="11" t="n"/>
      <c r="AN631" s="11" t="n"/>
      <c r="AO631" s="11" t="n"/>
      <c r="AP631" s="11" t="n"/>
      <c r="AQ631" s="11" t="n"/>
      <c r="AR631" s="11" t="n"/>
      <c r="AS631" s="11" t="n"/>
      <c r="AT631" s="11" t="n"/>
      <c r="AU631" s="11" t="n"/>
      <c r="AV631" s="11" t="n"/>
      <c r="AW631" s="11">
        <f>AF631&amp;"; "&amp;AG631&amp;"; "&amp;AH631&amp;"; "&amp;AI631&amp;"; "&amp;AJ631</f>
        <v/>
      </c>
    </row>
    <row r="632">
      <c r="A632" s="11" t="inlineStr">
        <is>
          <t>T0168-G10-FÍS</t>
        </is>
      </c>
      <c r="B632" s="11" t="n">
        <v>10</v>
      </c>
      <c r="C632" s="11" t="inlineStr">
        <is>
          <t>Física</t>
        </is>
      </c>
      <c r="D632" s="11" t="inlineStr">
        <is>
          <t>Matriz_Bachillerato_Fisica_10_11.xlsx</t>
        </is>
      </c>
      <c r="E632" s="11" t="inlineStr">
        <is>
          <t>Física 10.°</t>
        </is>
      </c>
      <c r="F632" s="11" t="n">
        <v>8</v>
      </c>
      <c r="G632" s="11" t="inlineStr">
        <is>
          <t>1. La física como ciencia: ciclo de indagación</t>
        </is>
      </c>
      <c r="H632" s="11" t="inlineStr">
        <is>
          <t>Comunicación científica</t>
        </is>
      </c>
      <c r="I632" s="38" t="inlineStr">
        <is>
          <t>1.6. Elaboración de un informe de laboratorio de física y revisión entre pares con criterios explícitos.</t>
        </is>
      </c>
      <c r="J632" s="11" t="inlineStr">
        <is>
          <t>TA</t>
        </is>
      </c>
      <c r="K632" s="11" t="inlineStr">
        <is>
          <t>FUERA</t>
        </is>
      </c>
      <c r="L632" s="11" t="inlineStr"/>
      <c r="M632" s="11">
        <f>IF(K632="FUERA","Fuera del marco",IF(K632="N/A","Sin marco",IFERROR(INDEX('Datos - Catálogo TIMSS'!$C$5:$C$107,MATCH(K632,'Datos - Catálogo TIMSS'!$A$5:$A$107,0)),"Pendiente de clasificar")))</f>
        <v/>
      </c>
      <c r="N632" s="11">
        <f>IF(K632="FUERA","Fuera del marco",IF(K632="N/A","Sin marco",IFERROR(INDEX('Datos - Catálogo TIMSS'!$F$5:$F$107,MATCH(K632,'Datos - Catálogo TIMSS'!$A$5:$A$107,0)),"Pendiente de clasificar")))</f>
        <v/>
      </c>
      <c r="O632" s="11">
        <f>IF(L632="","",IFERROR(INDEX('Datos - Catálogo TIMSS'!$C$5:$C$107,MATCH(L632,'Datos - Catálogo TIMSS'!$A$5:$A$107,0)),"?"))</f>
        <v/>
      </c>
      <c r="P632" s="11" t="inlineStr">
        <is>
          <t>alta</t>
        </is>
      </c>
      <c r="Q632" s="38" t="inlineStr">
        <is>
          <t>Comunicación científica e informe de laboratorio</t>
        </is>
      </c>
      <c r="R632" s="38" t="inlineStr">
        <is>
          <t>Razonar: argumentar con evidencia. Aplicar: estructurar un informe</t>
        </is>
      </c>
      <c r="S632" s="39">
        <f>IFERROR(ISNUMBER(SEARCH("Conocer",$R632))/(ISNUMBER(SEARCH("Conocer",$R632))+ISNUMBER(SEARCH("Aplicar",$R632))+ISNUMBER(SEARCH("Razonar",$R632))),0)</f>
        <v/>
      </c>
      <c r="T632" s="39">
        <f>IFERROR(ISNUMBER(SEARCH("Aplicar",$R632))/(ISNUMBER(SEARCH("Conocer",$R632))+ISNUMBER(SEARCH("Aplicar",$R632))+ISNUMBER(SEARCH("Razonar",$R632))),0)</f>
        <v/>
      </c>
      <c r="U632" s="39">
        <f>IFERROR(ISNUMBER(SEARCH("Razonar",$R632))/(ISNUMBER(SEARCH("Conocer",$R632))+ISNUMBER(SEARCH("Aplicar",$R632))+ISNUMBER(SEARCH("Razonar",$R632))),0)</f>
        <v/>
      </c>
      <c r="V632" s="11" t="inlineStr">
        <is>
          <t>Física 10°</t>
        </is>
      </c>
      <c r="W632" s="11" t="inlineStr">
        <is>
          <t>Física 10°–11°</t>
        </is>
      </c>
      <c r="X632" s="11">
        <f>IF(OR(IFERROR(INDEX('Datos - Catálogo TIMSS'!$I$5:$I$107,MATCH(K632,'Datos - Catálogo TIMSS'!$A$5:$A$107,0)),"No")="Sí",IFERROR(INDEX('Datos - Catálogo TIMSS'!$I$5:$I$107,MATCH(L632,'Datos - Catálogo TIMSS'!$A$5:$A$107,0)),"No")="Sí"),1,0)</f>
        <v/>
      </c>
      <c r="Y632" s="11">
        <f>IF(IFERROR(INDEX('Datos - Catálogo TIMSS'!$J$5:$J$107,MATCH(K632,'Datos - Catálogo TIMSS'!$A$5:$A$107,0)),"No")="Sí",1,0)</f>
        <v/>
      </c>
      <c r="Z632" s="11">
        <f>IF(IFERROR(INDEX('Datos - Catálogo TIMSS'!$J$5:$J$107,MATCH(L632,'Datos - Catálogo TIMSS'!$A$5:$A$107,0)),"No")="Sí",1,0)</f>
        <v/>
      </c>
      <c r="AA632" s="11" t="inlineStr">
        <is>
          <t>FUERA</t>
        </is>
      </c>
      <c r="AB632" s="11" t="inlineStr"/>
      <c r="AC632" s="11">
        <f>IF(AA632="FUERA","Fuera del marco",IF(AA632="N/A","Sin marco",IFERROR(INDEX('Datos - TIMSS 2023'!$C$5:$C$105,MATCH(AA632,'Datos - TIMSS 2023'!$A$5:$A$105,0)),"Pendiente de clasificar")))</f>
        <v/>
      </c>
      <c r="AD632" s="11" t="inlineStr">
        <is>
          <t>3. Investigar, evaluar y usar información científica para tomar decisiones y actuar</t>
        </is>
      </c>
      <c r="AE632" s="11">
        <f>IF(AD632="","",IF(LEFT(AD632,1)="1","C1",IF(LEFT(AD632,1)="2","C2",IF(LEFT(AD632,1)="3","C3",""))))</f>
        <v/>
      </c>
      <c r="AF632" s="11" t="inlineStr">
        <is>
          <t>E1</t>
        </is>
      </c>
      <c r="AG632" s="11" t="inlineStr">
        <is>
          <t>D1</t>
        </is>
      </c>
      <c r="AH632" s="11" t="inlineStr">
        <is>
          <t>E2</t>
        </is>
      </c>
      <c r="AI632" s="11" t="inlineStr">
        <is>
          <t>I3</t>
        </is>
      </c>
      <c r="AJ632" s="11" t="inlineStr">
        <is>
          <t>I4</t>
        </is>
      </c>
      <c r="AK632" s="11" t="n"/>
      <c r="AL632" s="11" t="n"/>
      <c r="AM632" s="11" t="n"/>
      <c r="AN632" s="11" t="n"/>
      <c r="AO632" s="11" t="n"/>
      <c r="AP632" s="11" t="n"/>
      <c r="AQ632" s="11" t="n"/>
      <c r="AR632" s="11" t="n"/>
      <c r="AS632" s="11" t="n"/>
      <c r="AT632" s="11" t="n"/>
      <c r="AU632" s="11" t="n"/>
      <c r="AV632" s="11" t="n"/>
      <c r="AW632" s="11">
        <f>AF632&amp;"; "&amp;AG632&amp;"; "&amp;AH632&amp;"; "&amp;AI632&amp;"; "&amp;AJ632</f>
        <v/>
      </c>
    </row>
    <row r="633">
      <c r="A633" s="11" t="inlineStr">
        <is>
          <t>T0169-G10-FÍS</t>
        </is>
      </c>
      <c r="B633" s="11" t="n">
        <v>10</v>
      </c>
      <c r="C633" s="11" t="inlineStr">
        <is>
          <t>Física</t>
        </is>
      </c>
      <c r="D633" s="11" t="inlineStr">
        <is>
          <t>Matriz_Bachillerato_Fisica_10_11.xlsx</t>
        </is>
      </c>
      <c r="E633" s="11" t="inlineStr">
        <is>
          <t>Física 10.°</t>
        </is>
      </c>
      <c r="F633" s="11" t="n">
        <v>9</v>
      </c>
      <c r="G633" s="11" t="inlineStr">
        <is>
          <t>2. Unidades y conceptos matemáticos en la física</t>
        </is>
      </c>
      <c r="H633" s="11" t="inlineStr">
        <is>
          <t>Magnitudes y unidades en la física</t>
        </is>
      </c>
      <c r="I633" s="38" t="inlineStr">
        <is>
          <t>2.1. Análisis dimensional de ecuaciones físicas a partir de las magnitudes fundamentales de la mecánica.</t>
        </is>
      </c>
      <c r="J633" s="11" t="inlineStr">
        <is>
          <t>TA</t>
        </is>
      </c>
      <c r="K633" s="11" t="inlineStr">
        <is>
          <t>FUERA</t>
        </is>
      </c>
      <c r="L633" s="11" t="inlineStr"/>
      <c r="M633" s="11">
        <f>IF(K633="FUERA","Fuera del marco",IF(K633="N/A","Sin marco",IFERROR(INDEX('Datos - Catálogo TIMSS'!$C$5:$C$107,MATCH(K633,'Datos - Catálogo TIMSS'!$A$5:$A$107,0)),"Pendiente de clasificar")))</f>
        <v/>
      </c>
      <c r="N633" s="11">
        <f>IF(K633="FUERA","Fuera del marco",IF(K633="N/A","Sin marco",IFERROR(INDEX('Datos - Catálogo TIMSS'!$F$5:$F$107,MATCH(K633,'Datos - Catálogo TIMSS'!$A$5:$A$107,0)),"Pendiente de clasificar")))</f>
        <v/>
      </c>
      <c r="O633" s="11">
        <f>IF(L633="","",IFERROR(INDEX('Datos - Catálogo TIMSS'!$C$5:$C$107,MATCH(L633,'Datos - Catálogo TIMSS'!$A$5:$A$107,0)),"?"))</f>
        <v/>
      </c>
      <c r="P633" s="11" t="inlineStr">
        <is>
          <t>alta</t>
        </is>
      </c>
      <c r="Q633" s="38" t="inlineStr">
        <is>
          <t>Análisis dimensional, excluido del marco</t>
        </is>
      </c>
      <c r="R633" s="38" t="inlineStr">
        <is>
          <t>Aplicar: expresar dimensiones. Razonar: evaluar la coherencia de ecuaciones</t>
        </is>
      </c>
      <c r="S633" s="39">
        <f>IFERROR(ISNUMBER(SEARCH("Conocer",$R633))/(ISNUMBER(SEARCH("Conocer",$R633))+ISNUMBER(SEARCH("Aplicar",$R633))+ISNUMBER(SEARCH("Razonar",$R633))),0)</f>
        <v/>
      </c>
      <c r="T633" s="39">
        <f>IFERROR(ISNUMBER(SEARCH("Aplicar",$R633))/(ISNUMBER(SEARCH("Conocer",$R633))+ISNUMBER(SEARCH("Aplicar",$R633))+ISNUMBER(SEARCH("Razonar",$R633))),0)</f>
        <v/>
      </c>
      <c r="U633" s="39">
        <f>IFERROR(ISNUMBER(SEARCH("Razonar",$R633))/(ISNUMBER(SEARCH("Conocer",$R633))+ISNUMBER(SEARCH("Aplicar",$R633))+ISNUMBER(SEARCH("Razonar",$R633))),0)</f>
        <v/>
      </c>
      <c r="V633" s="11" t="inlineStr">
        <is>
          <t>Física 10°</t>
        </is>
      </c>
      <c r="W633" s="11" t="inlineStr">
        <is>
          <t>Física 10°–11°</t>
        </is>
      </c>
      <c r="X633" s="11">
        <f>IF(OR(IFERROR(INDEX('Datos - Catálogo TIMSS'!$I$5:$I$107,MATCH(K633,'Datos - Catálogo TIMSS'!$A$5:$A$107,0)),"No")="Sí",IFERROR(INDEX('Datos - Catálogo TIMSS'!$I$5:$I$107,MATCH(L633,'Datos - Catálogo TIMSS'!$A$5:$A$107,0)),"No")="Sí"),1,0)</f>
        <v/>
      </c>
      <c r="Y633" s="11">
        <f>IF(IFERROR(INDEX('Datos - Catálogo TIMSS'!$J$5:$J$107,MATCH(K633,'Datos - Catálogo TIMSS'!$A$5:$A$107,0)),"No")="Sí",1,0)</f>
        <v/>
      </c>
      <c r="Z633" s="11">
        <f>IF(IFERROR(INDEX('Datos - Catálogo TIMSS'!$J$5:$J$107,MATCH(L633,'Datos - Catálogo TIMSS'!$A$5:$A$107,0)),"No")="Sí",1,0)</f>
        <v/>
      </c>
      <c r="AA633" s="11" t="inlineStr">
        <is>
          <t>FUERA</t>
        </is>
      </c>
      <c r="AB633" s="11" t="inlineStr"/>
      <c r="AC633" s="11">
        <f>IF(AA633="FUERA","Fuera del marco",IF(AA633="N/A","Sin marco",IFERROR(INDEX('Datos - TIMSS 2023'!$C$5:$C$105,MATCH(AA633,'Datos - TIMSS 2023'!$A$5:$A$105,0)),"Pendiente de clasificar")))</f>
        <v/>
      </c>
      <c r="AD633" s="11" t="inlineStr">
        <is>
          <t>1. Explicar fenómenos científicamente</t>
        </is>
      </c>
      <c r="AE633" s="11">
        <f>IF(AD633="","",IF(LEFT(AD633,1)="1","C1",IF(LEFT(AD633,1)="2","C2",IF(LEFT(AD633,1)="3","C3",""))))</f>
        <v/>
      </c>
      <c r="AF633" s="11" t="inlineStr">
        <is>
          <t>E1</t>
        </is>
      </c>
      <c r="AG633" s="11" t="inlineStr">
        <is>
          <t>E3</t>
        </is>
      </c>
      <c r="AH633" s="11" t="inlineStr">
        <is>
          <t>E2</t>
        </is>
      </c>
      <c r="AI633" s="11" t="inlineStr">
        <is>
          <t>E4</t>
        </is>
      </c>
      <c r="AJ633" s="11" t="inlineStr">
        <is>
          <t>I5</t>
        </is>
      </c>
      <c r="AK633" s="11" t="n"/>
      <c r="AL633" s="11" t="n"/>
      <c r="AM633" s="11" t="n"/>
      <c r="AN633" s="11" t="n"/>
      <c r="AO633" s="11" t="n"/>
      <c r="AP633" s="11" t="n"/>
      <c r="AQ633" s="11" t="n"/>
      <c r="AR633" s="11" t="n"/>
      <c r="AS633" s="11" t="n"/>
      <c r="AT633" s="11" t="n"/>
      <c r="AU633" s="11" t="n"/>
      <c r="AV633" s="11" t="n"/>
      <c r="AW633" s="11">
        <f>AF633&amp;"; "&amp;AG633&amp;"; "&amp;AH633&amp;"; "&amp;AI633&amp;"; "&amp;AJ633</f>
        <v/>
      </c>
    </row>
    <row r="634">
      <c r="A634" s="11" t="inlineStr">
        <is>
          <t>T0170-G10-FÍS</t>
        </is>
      </c>
      <c r="B634" s="11" t="n">
        <v>10</v>
      </c>
      <c r="C634" s="11" t="inlineStr">
        <is>
          <t>Física</t>
        </is>
      </c>
      <c r="D634" s="11" t="inlineStr">
        <is>
          <t>Matriz_Bachillerato_Fisica_10_11.xlsx</t>
        </is>
      </c>
      <c r="E634" s="11" t="inlineStr">
        <is>
          <t>Física 10.°</t>
        </is>
      </c>
      <c r="F634" s="11" t="n">
        <v>10</v>
      </c>
      <c r="G634" s="11" t="inlineStr">
        <is>
          <t>2. Unidades y conceptos matemáticos en la física</t>
        </is>
      </c>
      <c r="H634" s="11" t="inlineStr">
        <is>
          <t>Magnitudes y unidades en la física</t>
        </is>
      </c>
      <c r="I634" s="38" t="inlineStr">
        <is>
          <t>2.2. Resolución de problemas en contexto mediante conversiones encadenadas de unidades con factores unitarios.</t>
        </is>
      </c>
      <c r="J634" s="11" t="inlineStr">
        <is>
          <t>TA</t>
        </is>
      </c>
      <c r="K634" s="11" t="inlineStr">
        <is>
          <t>FUERA</t>
        </is>
      </c>
      <c r="L634" s="11" t="inlineStr"/>
      <c r="M634" s="11">
        <f>IF(K634="FUERA","Fuera del marco",IF(K634="N/A","Sin marco",IFERROR(INDEX('Datos - Catálogo TIMSS'!$C$5:$C$107,MATCH(K634,'Datos - Catálogo TIMSS'!$A$5:$A$107,0)),"Pendiente de clasificar")))</f>
        <v/>
      </c>
      <c r="N634" s="11">
        <f>IF(K634="FUERA","Fuera del marco",IF(K634="N/A","Sin marco",IFERROR(INDEX('Datos - Catálogo TIMSS'!$F$5:$F$107,MATCH(K634,'Datos - Catálogo TIMSS'!$A$5:$A$107,0)),"Pendiente de clasificar")))</f>
        <v/>
      </c>
      <c r="O634" s="11">
        <f>IF(L634="","",IFERROR(INDEX('Datos - Catálogo TIMSS'!$C$5:$C$107,MATCH(L634,'Datos - Catálogo TIMSS'!$A$5:$A$107,0)),"?"))</f>
        <v/>
      </c>
      <c r="P634" s="11" t="inlineStr">
        <is>
          <t>alta</t>
        </is>
      </c>
      <c r="Q634" s="38" t="inlineStr">
        <is>
          <t>Conversiones de unidades, excluido del marco</t>
        </is>
      </c>
      <c r="R634" s="38" t="inlineStr">
        <is>
          <t>Aplicar: convertir unidades. Razonar: verificar la plausibilidad de resultados</t>
        </is>
      </c>
      <c r="S634" s="39">
        <f>IFERROR(ISNUMBER(SEARCH("Conocer",$R634))/(ISNUMBER(SEARCH("Conocer",$R634))+ISNUMBER(SEARCH("Aplicar",$R634))+ISNUMBER(SEARCH("Razonar",$R634))),0)</f>
        <v/>
      </c>
      <c r="T634" s="39">
        <f>IFERROR(ISNUMBER(SEARCH("Aplicar",$R634))/(ISNUMBER(SEARCH("Conocer",$R634))+ISNUMBER(SEARCH("Aplicar",$R634))+ISNUMBER(SEARCH("Razonar",$R634))),0)</f>
        <v/>
      </c>
      <c r="U634" s="39">
        <f>IFERROR(ISNUMBER(SEARCH("Razonar",$R634))/(ISNUMBER(SEARCH("Conocer",$R634))+ISNUMBER(SEARCH("Aplicar",$R634))+ISNUMBER(SEARCH("Razonar",$R634))),0)</f>
        <v/>
      </c>
      <c r="V634" s="11" t="inlineStr">
        <is>
          <t>Física 10°</t>
        </is>
      </c>
      <c r="W634" s="11" t="inlineStr">
        <is>
          <t>Física 10°–11°</t>
        </is>
      </c>
      <c r="X634" s="11">
        <f>IF(OR(IFERROR(INDEX('Datos - Catálogo TIMSS'!$I$5:$I$107,MATCH(K634,'Datos - Catálogo TIMSS'!$A$5:$A$107,0)),"No")="Sí",IFERROR(INDEX('Datos - Catálogo TIMSS'!$I$5:$I$107,MATCH(L634,'Datos - Catálogo TIMSS'!$A$5:$A$107,0)),"No")="Sí"),1,0)</f>
        <v/>
      </c>
      <c r="Y634" s="11">
        <f>IF(IFERROR(INDEX('Datos - Catálogo TIMSS'!$J$5:$J$107,MATCH(K634,'Datos - Catálogo TIMSS'!$A$5:$A$107,0)),"No")="Sí",1,0)</f>
        <v/>
      </c>
      <c r="Z634" s="11">
        <f>IF(IFERROR(INDEX('Datos - Catálogo TIMSS'!$J$5:$J$107,MATCH(L634,'Datos - Catálogo TIMSS'!$A$5:$A$107,0)),"No")="Sí",1,0)</f>
        <v/>
      </c>
      <c r="AA634" s="11" t="inlineStr">
        <is>
          <t>FUERA</t>
        </is>
      </c>
      <c r="AB634" s="11" t="inlineStr"/>
      <c r="AC634" s="11">
        <f>IF(AA634="FUERA","Fuera del marco",IF(AA634="N/A","Sin marco",IFERROR(INDEX('Datos - TIMSS 2023'!$C$5:$C$105,MATCH(AA634,'Datos - TIMSS 2023'!$A$5:$A$105,0)),"Pendiente de clasificar")))</f>
        <v/>
      </c>
      <c r="AD634" s="11" t="inlineStr">
        <is>
          <t>3. Investigar, evaluar y usar información científica para tomar decisiones y actuar</t>
        </is>
      </c>
      <c r="AE634" s="11">
        <f>IF(AD634="","",IF(LEFT(AD634,1)="1","C1",IF(LEFT(AD634,1)="2","C2",IF(LEFT(AD634,1)="3","C3",""))))</f>
        <v/>
      </c>
      <c r="AF634" s="11" t="inlineStr">
        <is>
          <t>E6</t>
        </is>
      </c>
      <c r="AG634" s="11" t="inlineStr">
        <is>
          <t>D1</t>
        </is>
      </c>
      <c r="AH634" s="11" t="inlineStr">
        <is>
          <t>E1</t>
        </is>
      </c>
      <c r="AI634" s="11" t="inlineStr">
        <is>
          <t>I3</t>
        </is>
      </c>
      <c r="AJ634" s="11" t="inlineStr">
        <is>
          <t>E3</t>
        </is>
      </c>
      <c r="AK634" s="11" t="n"/>
      <c r="AL634" s="11" t="n"/>
      <c r="AM634" s="11" t="n"/>
      <c r="AN634" s="11" t="n"/>
      <c r="AO634" s="11" t="n"/>
      <c r="AP634" s="11" t="n"/>
      <c r="AQ634" s="11" t="n"/>
      <c r="AR634" s="11" t="n"/>
      <c r="AS634" s="11" t="n"/>
      <c r="AT634" s="11" t="n"/>
      <c r="AU634" s="11" t="n"/>
      <c r="AV634" s="11" t="n"/>
      <c r="AW634" s="11">
        <f>AF634&amp;"; "&amp;AG634&amp;"; "&amp;AH634&amp;"; "&amp;AI634&amp;"; "&amp;AJ634</f>
        <v/>
      </c>
    </row>
    <row r="635">
      <c r="A635" s="11" t="inlineStr">
        <is>
          <t>T0171-G10-FÍS</t>
        </is>
      </c>
      <c r="B635" s="11" t="n">
        <v>10</v>
      </c>
      <c r="C635" s="11" t="inlineStr">
        <is>
          <t>Física</t>
        </is>
      </c>
      <c r="D635" s="11" t="inlineStr">
        <is>
          <t>Matriz_Bachillerato_Fisica_10_11.xlsx</t>
        </is>
      </c>
      <c r="E635" s="11" t="inlineStr">
        <is>
          <t>Física 10.°</t>
        </is>
      </c>
      <c r="F635" s="11" t="n">
        <v>11</v>
      </c>
      <c r="G635" s="11" t="inlineStr">
        <is>
          <t>2. Unidades y conceptos matemáticos en la física</t>
        </is>
      </c>
      <c r="H635" s="11" t="inlineStr">
        <is>
          <t>Herramientas matemáticas</t>
        </is>
      </c>
      <c r="I635" s="38" t="inlineStr">
        <is>
          <t>2.3. Aplicación de las razones trigonométricas y sus inversas en la resolución de problemas físicos con triángulos rectángulos.</t>
        </is>
      </c>
      <c r="J635" s="11" t="inlineStr">
        <is>
          <t>TA</t>
        </is>
      </c>
      <c r="K635" s="11" t="inlineStr">
        <is>
          <t>FUERA</t>
        </is>
      </c>
      <c r="L635" s="11" t="inlineStr"/>
      <c r="M635" s="11">
        <f>IF(K635="FUERA","Fuera del marco",IF(K635="N/A","Sin marco",IFERROR(INDEX('Datos - Catálogo TIMSS'!$C$5:$C$107,MATCH(K635,'Datos - Catálogo TIMSS'!$A$5:$A$107,0)),"Pendiente de clasificar")))</f>
        <v/>
      </c>
      <c r="N635" s="11">
        <f>IF(K635="FUERA","Fuera del marco",IF(K635="N/A","Sin marco",IFERROR(INDEX('Datos - Catálogo TIMSS'!$F$5:$F$107,MATCH(K635,'Datos - Catálogo TIMSS'!$A$5:$A$107,0)),"Pendiente de clasificar")))</f>
        <v/>
      </c>
      <c r="O635" s="11">
        <f>IF(L635="","",IFERROR(INDEX('Datos - Catálogo TIMSS'!$C$5:$C$107,MATCH(L635,'Datos - Catálogo TIMSS'!$A$5:$A$107,0)),"?"))</f>
        <v/>
      </c>
      <c r="P635" s="11" t="inlineStr">
        <is>
          <t>alta</t>
        </is>
      </c>
      <c r="Q635" s="38" t="inlineStr">
        <is>
          <t>Trigonometría como herramienta matemática</t>
        </is>
      </c>
      <c r="R635" s="38" t="inlineStr">
        <is>
          <t>Aplicar: calcular con razones trigonométricas. Razonar: evaluar un procedimiento de medición</t>
        </is>
      </c>
      <c r="S635" s="39">
        <f>IFERROR(ISNUMBER(SEARCH("Conocer",$R635))/(ISNUMBER(SEARCH("Conocer",$R635))+ISNUMBER(SEARCH("Aplicar",$R635))+ISNUMBER(SEARCH("Razonar",$R635))),0)</f>
        <v/>
      </c>
      <c r="T635" s="39">
        <f>IFERROR(ISNUMBER(SEARCH("Aplicar",$R635))/(ISNUMBER(SEARCH("Conocer",$R635))+ISNUMBER(SEARCH("Aplicar",$R635))+ISNUMBER(SEARCH("Razonar",$R635))),0)</f>
        <v/>
      </c>
      <c r="U635" s="39">
        <f>IFERROR(ISNUMBER(SEARCH("Razonar",$R635))/(ISNUMBER(SEARCH("Conocer",$R635))+ISNUMBER(SEARCH("Aplicar",$R635))+ISNUMBER(SEARCH("Razonar",$R635))),0)</f>
        <v/>
      </c>
      <c r="V635" s="11" t="inlineStr">
        <is>
          <t>Física 10°</t>
        </is>
      </c>
      <c r="W635" s="11" t="inlineStr">
        <is>
          <t>Física 10°–11°</t>
        </is>
      </c>
      <c r="X635" s="11">
        <f>IF(OR(IFERROR(INDEX('Datos - Catálogo TIMSS'!$I$5:$I$107,MATCH(K635,'Datos - Catálogo TIMSS'!$A$5:$A$107,0)),"No")="Sí",IFERROR(INDEX('Datos - Catálogo TIMSS'!$I$5:$I$107,MATCH(L635,'Datos - Catálogo TIMSS'!$A$5:$A$107,0)),"No")="Sí"),1,0)</f>
        <v/>
      </c>
      <c r="Y635" s="11">
        <f>IF(IFERROR(INDEX('Datos - Catálogo TIMSS'!$J$5:$J$107,MATCH(K635,'Datos - Catálogo TIMSS'!$A$5:$A$107,0)),"No")="Sí",1,0)</f>
        <v/>
      </c>
      <c r="Z635" s="11">
        <f>IF(IFERROR(INDEX('Datos - Catálogo TIMSS'!$J$5:$J$107,MATCH(L635,'Datos - Catálogo TIMSS'!$A$5:$A$107,0)),"No")="Sí",1,0)</f>
        <v/>
      </c>
      <c r="AA635" s="11" t="inlineStr">
        <is>
          <t>FUERA</t>
        </is>
      </c>
      <c r="AB635" s="11" t="inlineStr"/>
      <c r="AC635" s="11">
        <f>IF(AA635="FUERA","Fuera del marco",IF(AA635="N/A","Sin marco",IFERROR(INDEX('Datos - TIMSS 2023'!$C$5:$C$105,MATCH(AA635,'Datos - TIMSS 2023'!$A$5:$A$105,0)),"Pendiente de clasificar")))</f>
        <v/>
      </c>
      <c r="AD635" s="11" t="inlineStr">
        <is>
          <t>2. Construir y evaluar diseños para la indagación científica e interpretar datos y evidencia de forma crítica</t>
        </is>
      </c>
      <c r="AE635" s="11">
        <f>IF(AD635="","",IF(LEFT(AD635,1)="1","C1",IF(LEFT(AD635,1)="2","C2",IF(LEFT(AD635,1)="3","C3",""))))</f>
        <v/>
      </c>
      <c r="AF635" s="11" t="inlineStr">
        <is>
          <t>E1</t>
        </is>
      </c>
      <c r="AG635" s="11" t="inlineStr">
        <is>
          <t>D1</t>
        </is>
      </c>
      <c r="AH635" s="11" t="inlineStr">
        <is>
          <t>E2</t>
        </is>
      </c>
      <c r="AI635" s="11" t="inlineStr">
        <is>
          <t>D2</t>
        </is>
      </c>
      <c r="AJ635" s="11" t="inlineStr">
        <is>
          <t>D3</t>
        </is>
      </c>
      <c r="AK635" s="11" t="n"/>
      <c r="AL635" s="11" t="n"/>
      <c r="AM635" s="11" t="n"/>
      <c r="AN635" s="11" t="n"/>
      <c r="AO635" s="11" t="n"/>
      <c r="AP635" s="11" t="n"/>
      <c r="AQ635" s="11" t="n"/>
      <c r="AR635" s="11" t="n"/>
      <c r="AS635" s="11" t="n"/>
      <c r="AT635" s="11" t="n"/>
      <c r="AU635" s="11" t="n"/>
      <c r="AV635" s="11" t="n"/>
      <c r="AW635" s="11">
        <f>AF635&amp;"; "&amp;AG635&amp;"; "&amp;AH635&amp;"; "&amp;AI635&amp;"; "&amp;AJ635</f>
        <v/>
      </c>
    </row>
    <row r="636">
      <c r="A636" s="11" t="inlineStr">
        <is>
          <t>T0172-G10-FÍS</t>
        </is>
      </c>
      <c r="B636" s="11" t="n">
        <v>10</v>
      </c>
      <c r="C636" s="11" t="inlineStr">
        <is>
          <t>Física</t>
        </is>
      </c>
      <c r="D636" s="11" t="inlineStr">
        <is>
          <t>Matriz_Bachillerato_Fisica_10_11.xlsx</t>
        </is>
      </c>
      <c r="E636" s="11" t="inlineStr">
        <is>
          <t>Física 10.°</t>
        </is>
      </c>
      <c r="F636" s="11" t="n">
        <v>12</v>
      </c>
      <c r="G636" s="11" t="inlineStr">
        <is>
          <t>2. Unidades y conceptos matemáticos en la física</t>
        </is>
      </c>
      <c r="H636" s="11" t="inlineStr">
        <is>
          <t>Vectores</t>
        </is>
      </c>
      <c r="I636" s="38" t="inlineStr">
        <is>
          <t>2.4. Representación de magnitudes vectoriales con notación polar y rumbos geográficos en situaciones de navegación.</t>
        </is>
      </c>
      <c r="J636" s="11" t="inlineStr">
        <is>
          <t>TA</t>
        </is>
      </c>
      <c r="K636" s="11" t="inlineStr">
        <is>
          <t>FUERA</t>
        </is>
      </c>
      <c r="L636" s="11" t="inlineStr"/>
      <c r="M636" s="11">
        <f>IF(K636="FUERA","Fuera del marco",IF(K636="N/A","Sin marco",IFERROR(INDEX('Datos - Catálogo TIMSS'!$C$5:$C$107,MATCH(K636,'Datos - Catálogo TIMSS'!$A$5:$A$107,0)),"Pendiente de clasificar")))</f>
        <v/>
      </c>
      <c r="N636" s="11">
        <f>IF(K636="FUERA","Fuera del marco",IF(K636="N/A","Sin marco",IFERROR(INDEX('Datos - Catálogo TIMSS'!$F$5:$F$107,MATCH(K636,'Datos - Catálogo TIMSS'!$A$5:$A$107,0)),"Pendiente de clasificar")))</f>
        <v/>
      </c>
      <c r="O636" s="11">
        <f>IF(L636="","",IFERROR(INDEX('Datos - Catálogo TIMSS'!$C$5:$C$107,MATCH(L636,'Datos - Catálogo TIMSS'!$A$5:$A$107,0)),"?"))</f>
        <v/>
      </c>
      <c r="P636" s="11" t="inlineStr">
        <is>
          <t>alta</t>
        </is>
      </c>
      <c r="Q636" s="38" t="inlineStr">
        <is>
          <t>Vectores como herramienta matemática pura</t>
        </is>
      </c>
      <c r="R636" s="38" t="inlineStr">
        <is>
          <t>Conocer: diferenciar escalares y vectores. Aplicar: representar vectores a escala</t>
        </is>
      </c>
      <c r="S636" s="39">
        <f>IFERROR(ISNUMBER(SEARCH("Conocer",$R636))/(ISNUMBER(SEARCH("Conocer",$R636))+ISNUMBER(SEARCH("Aplicar",$R636))+ISNUMBER(SEARCH("Razonar",$R636))),0)</f>
        <v/>
      </c>
      <c r="T636" s="39">
        <f>IFERROR(ISNUMBER(SEARCH("Aplicar",$R636))/(ISNUMBER(SEARCH("Conocer",$R636))+ISNUMBER(SEARCH("Aplicar",$R636))+ISNUMBER(SEARCH("Razonar",$R636))),0)</f>
        <v/>
      </c>
      <c r="U636" s="39">
        <f>IFERROR(ISNUMBER(SEARCH("Razonar",$R636))/(ISNUMBER(SEARCH("Conocer",$R636))+ISNUMBER(SEARCH("Aplicar",$R636))+ISNUMBER(SEARCH("Razonar",$R636))),0)</f>
        <v/>
      </c>
      <c r="V636" s="11" t="inlineStr">
        <is>
          <t>Física 10°</t>
        </is>
      </c>
      <c r="W636" s="11" t="inlineStr">
        <is>
          <t>Física 10°–11°</t>
        </is>
      </c>
      <c r="X636" s="11">
        <f>IF(OR(IFERROR(INDEX('Datos - Catálogo TIMSS'!$I$5:$I$107,MATCH(K636,'Datos - Catálogo TIMSS'!$A$5:$A$107,0)),"No")="Sí",IFERROR(INDEX('Datos - Catálogo TIMSS'!$I$5:$I$107,MATCH(L636,'Datos - Catálogo TIMSS'!$A$5:$A$107,0)),"No")="Sí"),1,0)</f>
        <v/>
      </c>
      <c r="Y636" s="11">
        <f>IF(IFERROR(INDEX('Datos - Catálogo TIMSS'!$J$5:$J$107,MATCH(K636,'Datos - Catálogo TIMSS'!$A$5:$A$107,0)),"No")="Sí",1,0)</f>
        <v/>
      </c>
      <c r="Z636" s="11">
        <f>IF(IFERROR(INDEX('Datos - Catálogo TIMSS'!$J$5:$J$107,MATCH(L636,'Datos - Catálogo TIMSS'!$A$5:$A$107,0)),"No")="Sí",1,0)</f>
        <v/>
      </c>
      <c r="AA636" s="11" t="inlineStr">
        <is>
          <t>FUERA</t>
        </is>
      </c>
      <c r="AB636" s="11" t="inlineStr"/>
      <c r="AC636" s="11">
        <f>IF(AA636="FUERA","Fuera del marco",IF(AA636="N/A","Sin marco",IFERROR(INDEX('Datos - TIMSS 2023'!$C$5:$C$105,MATCH(AA636,'Datos - TIMSS 2023'!$A$5:$A$105,0)),"Pendiente de clasificar")))</f>
        <v/>
      </c>
      <c r="AD636" s="11" t="inlineStr">
        <is>
          <t>1. Explicar fenómenos científicamente</t>
        </is>
      </c>
      <c r="AE636" s="11">
        <f>IF(AD636="","",IF(LEFT(AD636,1)="1","C1",IF(LEFT(AD636,1)="2","C2",IF(LEFT(AD636,1)="3","C3",""))))</f>
        <v/>
      </c>
      <c r="AF636" s="11" t="inlineStr">
        <is>
          <t>E1</t>
        </is>
      </c>
      <c r="AG636" s="11" t="inlineStr">
        <is>
          <t>E3</t>
        </is>
      </c>
      <c r="AH636" s="11" t="inlineStr">
        <is>
          <t>E2</t>
        </is>
      </c>
      <c r="AI636" s="11" t="inlineStr">
        <is>
          <t>I1</t>
        </is>
      </c>
      <c r="AJ636" s="11" t="inlineStr">
        <is>
          <t>E3</t>
        </is>
      </c>
      <c r="AK636" s="11" t="n"/>
      <c r="AL636" s="11" t="n"/>
      <c r="AM636" s="11" t="n"/>
      <c r="AN636" s="11" t="n"/>
      <c r="AO636" s="11" t="n"/>
      <c r="AP636" s="11" t="n"/>
      <c r="AQ636" s="11" t="n"/>
      <c r="AR636" s="11" t="n"/>
      <c r="AS636" s="11" t="n"/>
      <c r="AT636" s="11" t="n"/>
      <c r="AU636" s="11" t="n"/>
      <c r="AV636" s="11" t="n"/>
      <c r="AW636" s="11">
        <f>AF636&amp;"; "&amp;AG636&amp;"; "&amp;AH636&amp;"; "&amp;AI636&amp;"; "&amp;AJ636</f>
        <v/>
      </c>
    </row>
    <row r="637">
      <c r="A637" s="11" t="inlineStr">
        <is>
          <t>T0173-G10-FÍS</t>
        </is>
      </c>
      <c r="B637" s="11" t="n">
        <v>10</v>
      </c>
      <c r="C637" s="11" t="inlineStr">
        <is>
          <t>Física</t>
        </is>
      </c>
      <c r="D637" s="11" t="inlineStr">
        <is>
          <t>Matriz_Bachillerato_Fisica_10_11.xlsx</t>
        </is>
      </c>
      <c r="E637" s="11" t="inlineStr">
        <is>
          <t>Física 10.°</t>
        </is>
      </c>
      <c r="F637" s="11" t="n">
        <v>13</v>
      </c>
      <c r="G637" s="11" t="inlineStr">
        <is>
          <t>2. Unidades y conceptos matemáticos en la física</t>
        </is>
      </c>
      <c r="H637" s="11" t="inlineStr">
        <is>
          <t>Vectores</t>
        </is>
      </c>
      <c r="I637" s="38" t="inlineStr">
        <is>
          <t>2.5. Suma y resta de vectores con ángulos arbitrarios por métodos gráficos y mediante las leyes del seno y del coseno.</t>
        </is>
      </c>
      <c r="J637" s="11" t="inlineStr">
        <is>
          <t>TA</t>
        </is>
      </c>
      <c r="K637" s="11" t="inlineStr">
        <is>
          <t>FUERA</t>
        </is>
      </c>
      <c r="L637" s="11" t="inlineStr"/>
      <c r="M637" s="11">
        <f>IF(K637="FUERA","Fuera del marco",IF(K637="N/A","Sin marco",IFERROR(INDEX('Datos - Catálogo TIMSS'!$C$5:$C$107,MATCH(K637,'Datos - Catálogo TIMSS'!$A$5:$A$107,0)),"Pendiente de clasificar")))</f>
        <v/>
      </c>
      <c r="N637" s="11">
        <f>IF(K637="FUERA","Fuera del marco",IF(K637="N/A","Sin marco",IFERROR(INDEX('Datos - Catálogo TIMSS'!$F$5:$F$107,MATCH(K637,'Datos - Catálogo TIMSS'!$A$5:$A$107,0)),"Pendiente de clasificar")))</f>
        <v/>
      </c>
      <c r="O637" s="11">
        <f>IF(L637="","",IFERROR(INDEX('Datos - Catálogo TIMSS'!$C$5:$C$107,MATCH(L637,'Datos - Catálogo TIMSS'!$A$5:$A$107,0)),"?"))</f>
        <v/>
      </c>
      <c r="P637" s="11" t="inlineStr">
        <is>
          <t>alta</t>
        </is>
      </c>
      <c r="Q637" s="38" t="inlineStr">
        <is>
          <t>Suma de vectores, herramienta matemática</t>
        </is>
      </c>
      <c r="R637" s="38" t="inlineStr">
        <is>
          <t>Aplicar: sumar vectores gráfica y analíticamente. Razonar: comparar métodos</t>
        </is>
      </c>
      <c r="S637" s="39">
        <f>IFERROR(ISNUMBER(SEARCH("Conocer",$R637))/(ISNUMBER(SEARCH("Conocer",$R637))+ISNUMBER(SEARCH("Aplicar",$R637))+ISNUMBER(SEARCH("Razonar",$R637))),0)</f>
        <v/>
      </c>
      <c r="T637" s="39">
        <f>IFERROR(ISNUMBER(SEARCH("Aplicar",$R637))/(ISNUMBER(SEARCH("Conocer",$R637))+ISNUMBER(SEARCH("Aplicar",$R637))+ISNUMBER(SEARCH("Razonar",$R637))),0)</f>
        <v/>
      </c>
      <c r="U637" s="39">
        <f>IFERROR(ISNUMBER(SEARCH("Razonar",$R637))/(ISNUMBER(SEARCH("Conocer",$R637))+ISNUMBER(SEARCH("Aplicar",$R637))+ISNUMBER(SEARCH("Razonar",$R637))),0)</f>
        <v/>
      </c>
      <c r="V637" s="11" t="inlineStr">
        <is>
          <t>Física 10°</t>
        </is>
      </c>
      <c r="W637" s="11" t="inlineStr">
        <is>
          <t>Física 10°–11°</t>
        </is>
      </c>
      <c r="X637" s="11">
        <f>IF(OR(IFERROR(INDEX('Datos - Catálogo TIMSS'!$I$5:$I$107,MATCH(K637,'Datos - Catálogo TIMSS'!$A$5:$A$107,0)),"No")="Sí",IFERROR(INDEX('Datos - Catálogo TIMSS'!$I$5:$I$107,MATCH(L637,'Datos - Catálogo TIMSS'!$A$5:$A$107,0)),"No")="Sí"),1,0)</f>
        <v/>
      </c>
      <c r="Y637" s="11">
        <f>IF(IFERROR(INDEX('Datos - Catálogo TIMSS'!$J$5:$J$107,MATCH(K637,'Datos - Catálogo TIMSS'!$A$5:$A$107,0)),"No")="Sí",1,0)</f>
        <v/>
      </c>
      <c r="Z637" s="11">
        <f>IF(IFERROR(INDEX('Datos - Catálogo TIMSS'!$J$5:$J$107,MATCH(L637,'Datos - Catálogo TIMSS'!$A$5:$A$107,0)),"No")="Sí",1,0)</f>
        <v/>
      </c>
      <c r="AA637" s="11" t="inlineStr">
        <is>
          <t>FUERA</t>
        </is>
      </c>
      <c r="AB637" s="11" t="inlineStr"/>
      <c r="AC637" s="11">
        <f>IF(AA637="FUERA","Fuera del marco",IF(AA637="N/A","Sin marco",IFERROR(INDEX('Datos - TIMSS 2023'!$C$5:$C$105,MATCH(AA637,'Datos - TIMSS 2023'!$A$5:$A$105,0)),"Pendiente de clasificar")))</f>
        <v/>
      </c>
      <c r="AD637" s="11" t="inlineStr">
        <is>
          <t>1. Explicar fenómenos científicamente</t>
        </is>
      </c>
      <c r="AE637" s="11">
        <f>IF(AD637="","",IF(LEFT(AD637,1)="1","C1",IF(LEFT(AD637,1)="2","C2",IF(LEFT(AD637,1)="3","C3",""))))</f>
        <v/>
      </c>
      <c r="AF637" s="11" t="inlineStr">
        <is>
          <t>E1</t>
        </is>
      </c>
      <c r="AG637" s="11" t="inlineStr">
        <is>
          <t>D1</t>
        </is>
      </c>
      <c r="AH637" s="11" t="inlineStr">
        <is>
          <t>E2</t>
        </is>
      </c>
      <c r="AI637" s="11" t="inlineStr">
        <is>
          <t>E4</t>
        </is>
      </c>
      <c r="AJ637" s="11" t="inlineStr">
        <is>
          <t>D3</t>
        </is>
      </c>
      <c r="AK637" s="11" t="n"/>
      <c r="AL637" s="11" t="n"/>
      <c r="AM637" s="11" t="n"/>
      <c r="AN637" s="11" t="n"/>
      <c r="AO637" s="11" t="n"/>
      <c r="AP637" s="11" t="n"/>
      <c r="AQ637" s="11" t="n"/>
      <c r="AR637" s="11" t="n"/>
      <c r="AS637" s="11" t="n"/>
      <c r="AT637" s="11" t="n"/>
      <c r="AU637" s="11" t="n"/>
      <c r="AV637" s="11" t="n"/>
      <c r="AW637" s="11">
        <f>AF637&amp;"; "&amp;AG637&amp;"; "&amp;AH637&amp;"; "&amp;AI637&amp;"; "&amp;AJ637</f>
        <v/>
      </c>
    </row>
    <row r="638">
      <c r="A638" s="11" t="inlineStr">
        <is>
          <t>T0174-G10-FÍS</t>
        </is>
      </c>
      <c r="B638" s="11" t="n">
        <v>10</v>
      </c>
      <c r="C638" s="11" t="inlineStr">
        <is>
          <t>Física</t>
        </is>
      </c>
      <c r="D638" s="11" t="inlineStr">
        <is>
          <t>Matriz_Bachillerato_Fisica_10_11.xlsx</t>
        </is>
      </c>
      <c r="E638" s="11" t="inlineStr">
        <is>
          <t>Física 10.°</t>
        </is>
      </c>
      <c r="F638" s="11" t="n">
        <v>14</v>
      </c>
      <c r="G638" s="11" t="inlineStr">
        <is>
          <t>2. Unidades y conceptos matemáticos en la física</t>
        </is>
      </c>
      <c r="H638" s="11" t="inlineStr">
        <is>
          <t>Vectores</t>
        </is>
      </c>
      <c r="I638" s="38" t="inlineStr">
        <is>
          <t>2.6. Descomposición trigonométrica de vectores con ángulos arbitrarios y expresión con vectores unitarios.</t>
        </is>
      </c>
      <c r="J638" s="11" t="inlineStr">
        <is>
          <t>TA</t>
        </is>
      </c>
      <c r="K638" s="11" t="inlineStr">
        <is>
          <t>FUERA</t>
        </is>
      </c>
      <c r="L638" s="11" t="inlineStr"/>
      <c r="M638" s="11">
        <f>IF(K638="FUERA","Fuera del marco",IF(K638="N/A","Sin marco",IFERROR(INDEX('Datos - Catálogo TIMSS'!$C$5:$C$107,MATCH(K638,'Datos - Catálogo TIMSS'!$A$5:$A$107,0)),"Pendiente de clasificar")))</f>
        <v/>
      </c>
      <c r="N638" s="11">
        <f>IF(K638="FUERA","Fuera del marco",IF(K638="N/A","Sin marco",IFERROR(INDEX('Datos - Catálogo TIMSS'!$F$5:$F$107,MATCH(K638,'Datos - Catálogo TIMSS'!$A$5:$A$107,0)),"Pendiente de clasificar")))</f>
        <v/>
      </c>
      <c r="O638" s="11">
        <f>IF(L638="","",IFERROR(INDEX('Datos - Catálogo TIMSS'!$C$5:$C$107,MATCH(L638,'Datos - Catálogo TIMSS'!$A$5:$A$107,0)),"?"))</f>
        <v/>
      </c>
      <c r="P638" s="11" t="inlineStr">
        <is>
          <t>alta</t>
        </is>
      </c>
      <c r="Q638" s="38" t="inlineStr">
        <is>
          <t>Componentes vectoriales, herramienta matemática</t>
        </is>
      </c>
      <c r="R638" s="38" t="inlineStr">
        <is>
          <t>Aplicar: descomponer vectores. Razonar: analizar el cuadrante del ángulo</t>
        </is>
      </c>
      <c r="S638" s="39">
        <f>IFERROR(ISNUMBER(SEARCH("Conocer",$R638))/(ISNUMBER(SEARCH("Conocer",$R638))+ISNUMBER(SEARCH("Aplicar",$R638))+ISNUMBER(SEARCH("Razonar",$R638))),0)</f>
        <v/>
      </c>
      <c r="T638" s="39">
        <f>IFERROR(ISNUMBER(SEARCH("Aplicar",$R638))/(ISNUMBER(SEARCH("Conocer",$R638))+ISNUMBER(SEARCH("Aplicar",$R638))+ISNUMBER(SEARCH("Razonar",$R638))),0)</f>
        <v/>
      </c>
      <c r="U638" s="39">
        <f>IFERROR(ISNUMBER(SEARCH("Razonar",$R638))/(ISNUMBER(SEARCH("Conocer",$R638))+ISNUMBER(SEARCH("Aplicar",$R638))+ISNUMBER(SEARCH("Razonar",$R638))),0)</f>
        <v/>
      </c>
      <c r="V638" s="11" t="inlineStr">
        <is>
          <t>Física 10°</t>
        </is>
      </c>
      <c r="W638" s="11" t="inlineStr">
        <is>
          <t>Física 10°–11°</t>
        </is>
      </c>
      <c r="X638" s="11">
        <f>IF(OR(IFERROR(INDEX('Datos - Catálogo TIMSS'!$I$5:$I$107,MATCH(K638,'Datos - Catálogo TIMSS'!$A$5:$A$107,0)),"No")="Sí",IFERROR(INDEX('Datos - Catálogo TIMSS'!$I$5:$I$107,MATCH(L638,'Datos - Catálogo TIMSS'!$A$5:$A$107,0)),"No")="Sí"),1,0)</f>
        <v/>
      </c>
      <c r="Y638" s="11">
        <f>IF(IFERROR(INDEX('Datos - Catálogo TIMSS'!$J$5:$J$107,MATCH(K638,'Datos - Catálogo TIMSS'!$A$5:$A$107,0)),"No")="Sí",1,0)</f>
        <v/>
      </c>
      <c r="Z638" s="11">
        <f>IF(IFERROR(INDEX('Datos - Catálogo TIMSS'!$J$5:$J$107,MATCH(L638,'Datos - Catálogo TIMSS'!$A$5:$A$107,0)),"No")="Sí",1,0)</f>
        <v/>
      </c>
      <c r="AA638" s="11" t="inlineStr">
        <is>
          <t>FUERA</t>
        </is>
      </c>
      <c r="AB638" s="11" t="inlineStr"/>
      <c r="AC638" s="11">
        <f>IF(AA638="FUERA","Fuera del marco",IF(AA638="N/A","Sin marco",IFERROR(INDEX('Datos - TIMSS 2023'!$C$5:$C$105,MATCH(AA638,'Datos - TIMSS 2023'!$A$5:$A$105,0)),"Pendiente de clasificar")))</f>
        <v/>
      </c>
      <c r="AD638" s="11" t="inlineStr">
        <is>
          <t>1. Explicar fenómenos científicamente</t>
        </is>
      </c>
      <c r="AE638" s="11">
        <f>IF(AD638="","",IF(LEFT(AD638,1)="1","C1",IF(LEFT(AD638,1)="2","C2",IF(LEFT(AD638,1)="3","C3",""))))</f>
        <v/>
      </c>
      <c r="AF638" s="11" t="inlineStr">
        <is>
          <t>E1</t>
        </is>
      </c>
      <c r="AG638" s="11" t="inlineStr">
        <is>
          <t>E3</t>
        </is>
      </c>
      <c r="AH638" s="11" t="inlineStr">
        <is>
          <t>E2</t>
        </is>
      </c>
      <c r="AI638" s="11" t="inlineStr">
        <is>
          <t>E4</t>
        </is>
      </c>
      <c r="AJ638" s="11" t="inlineStr">
        <is>
          <t>I4</t>
        </is>
      </c>
      <c r="AK638" s="11" t="n"/>
      <c r="AL638" s="11" t="n"/>
      <c r="AM638" s="11" t="n"/>
      <c r="AN638" s="11" t="n"/>
      <c r="AO638" s="11" t="n"/>
      <c r="AP638" s="11" t="n"/>
      <c r="AQ638" s="11" t="n"/>
      <c r="AR638" s="11" t="n"/>
      <c r="AS638" s="11" t="n"/>
      <c r="AT638" s="11" t="n"/>
      <c r="AU638" s="11" t="n"/>
      <c r="AV638" s="11" t="n"/>
      <c r="AW638" s="11">
        <f>AF638&amp;"; "&amp;AG638&amp;"; "&amp;AH638&amp;"; "&amp;AI638&amp;"; "&amp;AJ638</f>
        <v/>
      </c>
    </row>
    <row r="639">
      <c r="A639" s="11" t="inlineStr">
        <is>
          <t>T0175-G10-FÍS</t>
        </is>
      </c>
      <c r="B639" s="11" t="n">
        <v>10</v>
      </c>
      <c r="C639" s="11" t="inlineStr">
        <is>
          <t>Física</t>
        </is>
      </c>
      <c r="D639" s="11" t="inlineStr">
        <is>
          <t>Matriz_Bachillerato_Fisica_10_11.xlsx</t>
        </is>
      </c>
      <c r="E639" s="11" t="inlineStr">
        <is>
          <t>Física 10.°</t>
        </is>
      </c>
      <c r="F639" s="11" t="n">
        <v>15</v>
      </c>
      <c r="G639" s="11" t="inlineStr">
        <is>
          <t>2. Unidades y conceptos matemáticos en la física</t>
        </is>
      </c>
      <c r="H639" s="11" t="inlineStr">
        <is>
          <t>Vectores</t>
        </is>
      </c>
      <c r="I639" s="38" t="inlineStr">
        <is>
          <t>2.7. Resolución de problemas en contexto con suma de tres o más vectores mediante componentes y vectores unitarios.</t>
        </is>
      </c>
      <c r="J639" s="11" t="inlineStr">
        <is>
          <t>TA</t>
        </is>
      </c>
      <c r="K639" s="11" t="inlineStr">
        <is>
          <t>FUERA</t>
        </is>
      </c>
      <c r="L639" s="11" t="inlineStr"/>
      <c r="M639" s="11">
        <f>IF(K639="FUERA","Fuera del marco",IF(K639="N/A","Sin marco",IFERROR(INDEX('Datos - Catálogo TIMSS'!$C$5:$C$107,MATCH(K639,'Datos - Catálogo TIMSS'!$A$5:$A$107,0)),"Pendiente de clasificar")))</f>
        <v/>
      </c>
      <c r="N639" s="11">
        <f>IF(K639="FUERA","Fuera del marco",IF(K639="N/A","Sin marco",IFERROR(INDEX('Datos - Catálogo TIMSS'!$F$5:$F$107,MATCH(K639,'Datos - Catálogo TIMSS'!$A$5:$A$107,0)),"Pendiente de clasificar")))</f>
        <v/>
      </c>
      <c r="O639" s="11">
        <f>IF(L639="","",IFERROR(INDEX('Datos - Catálogo TIMSS'!$C$5:$C$107,MATCH(L639,'Datos - Catálogo TIMSS'!$A$5:$A$107,0)),"?"))</f>
        <v/>
      </c>
      <c r="P639" s="11" t="inlineStr">
        <is>
          <t>media</t>
        </is>
      </c>
      <c r="Q639" s="38" t="inlineStr">
        <is>
          <t>Suma vectorial en contexto, sin contenido físico del catálogo</t>
        </is>
      </c>
      <c r="R639" s="38" t="inlineStr">
        <is>
          <t>Aplicar: sumar vectores por componentes. Razonar: interpretar la resultante en contexto</t>
        </is>
      </c>
      <c r="S639" s="39">
        <f>IFERROR(ISNUMBER(SEARCH("Conocer",$R639))/(ISNUMBER(SEARCH("Conocer",$R639))+ISNUMBER(SEARCH("Aplicar",$R639))+ISNUMBER(SEARCH("Razonar",$R639))),0)</f>
        <v/>
      </c>
      <c r="T639" s="39">
        <f>IFERROR(ISNUMBER(SEARCH("Aplicar",$R639))/(ISNUMBER(SEARCH("Conocer",$R639))+ISNUMBER(SEARCH("Aplicar",$R639))+ISNUMBER(SEARCH("Razonar",$R639))),0)</f>
        <v/>
      </c>
      <c r="U639" s="39">
        <f>IFERROR(ISNUMBER(SEARCH("Razonar",$R639))/(ISNUMBER(SEARCH("Conocer",$R639))+ISNUMBER(SEARCH("Aplicar",$R639))+ISNUMBER(SEARCH("Razonar",$R639))),0)</f>
        <v/>
      </c>
      <c r="V639" s="11" t="inlineStr">
        <is>
          <t>Física 10°</t>
        </is>
      </c>
      <c r="W639" s="11" t="inlineStr">
        <is>
          <t>Física 10°–11°</t>
        </is>
      </c>
      <c r="X639" s="11">
        <f>IF(OR(IFERROR(INDEX('Datos - Catálogo TIMSS'!$I$5:$I$107,MATCH(K639,'Datos - Catálogo TIMSS'!$A$5:$A$107,0)),"No")="Sí",IFERROR(INDEX('Datos - Catálogo TIMSS'!$I$5:$I$107,MATCH(L639,'Datos - Catálogo TIMSS'!$A$5:$A$107,0)),"No")="Sí"),1,0)</f>
        <v/>
      </c>
      <c r="Y639" s="11">
        <f>IF(IFERROR(INDEX('Datos - Catálogo TIMSS'!$J$5:$J$107,MATCH(K639,'Datos - Catálogo TIMSS'!$A$5:$A$107,0)),"No")="Sí",1,0)</f>
        <v/>
      </c>
      <c r="Z639" s="11">
        <f>IF(IFERROR(INDEX('Datos - Catálogo TIMSS'!$J$5:$J$107,MATCH(L639,'Datos - Catálogo TIMSS'!$A$5:$A$107,0)),"No")="Sí",1,0)</f>
        <v/>
      </c>
      <c r="AA639" s="11" t="inlineStr">
        <is>
          <t>FUERA</t>
        </is>
      </c>
      <c r="AB639" s="11" t="inlineStr"/>
      <c r="AC639" s="11">
        <f>IF(AA639="FUERA","Fuera del marco",IF(AA639="N/A","Sin marco",IFERROR(INDEX('Datos - TIMSS 2023'!$C$5:$C$105,MATCH(AA639,'Datos - TIMSS 2023'!$A$5:$A$105,0)),"Pendiente de clasificar")))</f>
        <v/>
      </c>
      <c r="AD639" s="11" t="inlineStr">
        <is>
          <t>1. Explicar fenómenos científicamente</t>
        </is>
      </c>
      <c r="AE639" s="11">
        <f>IF(AD639="","",IF(LEFT(AD639,1)="1","C1",IF(LEFT(AD639,1)="2","C2",IF(LEFT(AD639,1)="3","C3",""))))</f>
        <v/>
      </c>
      <c r="AF639" s="11" t="inlineStr">
        <is>
          <t>E6</t>
        </is>
      </c>
      <c r="AG639" s="11" t="inlineStr">
        <is>
          <t>E3</t>
        </is>
      </c>
      <c r="AH639" s="11" t="inlineStr">
        <is>
          <t>E2</t>
        </is>
      </c>
      <c r="AI639" s="11" t="inlineStr">
        <is>
          <t>D4</t>
        </is>
      </c>
      <c r="AJ639" s="11" t="inlineStr">
        <is>
          <t>I5</t>
        </is>
      </c>
      <c r="AK639" s="11" t="n"/>
      <c r="AL639" s="11" t="n"/>
      <c r="AM639" s="11" t="n"/>
      <c r="AN639" s="11" t="n"/>
      <c r="AO639" s="11" t="n"/>
      <c r="AP639" s="11" t="n"/>
      <c r="AQ639" s="11" t="n"/>
      <c r="AR639" s="11" t="n"/>
      <c r="AS639" s="11" t="n"/>
      <c r="AT639" s="11" t="n"/>
      <c r="AU639" s="11" t="n"/>
      <c r="AV639" s="11" t="n"/>
      <c r="AW639" s="11">
        <f>AF639&amp;"; "&amp;AG639&amp;"; "&amp;AH639&amp;"; "&amp;AI639&amp;"; "&amp;AJ639</f>
        <v/>
      </c>
    </row>
    <row r="640">
      <c r="A640" s="11" t="inlineStr">
        <is>
          <t>T0176-G10-FÍS</t>
        </is>
      </c>
      <c r="B640" s="11" t="n">
        <v>10</v>
      </c>
      <c r="C640" s="11" t="inlineStr">
        <is>
          <t>Física</t>
        </is>
      </c>
      <c r="D640" s="11" t="inlineStr">
        <is>
          <t>Matriz_Bachillerato_Fisica_10_11.xlsx</t>
        </is>
      </c>
      <c r="E640" s="11" t="inlineStr">
        <is>
          <t>Física 10.°</t>
        </is>
      </c>
      <c r="F640" s="11" t="n">
        <v>16</v>
      </c>
      <c r="G640" s="11" t="inlineStr">
        <is>
          <t>3. Movimiento: cinemática en una dimensión</t>
        </is>
      </c>
      <c r="H640" s="11" t="inlineStr">
        <is>
          <t>Descripción del movimiento rectilíneo</t>
        </is>
      </c>
      <c r="I640" s="38" t="inlineStr">
        <is>
          <t>3.1. Análisis del desplazamiento como magnitud vectorial a partir de un sistema de referencia elegido.</t>
        </is>
      </c>
      <c r="J640" s="11" t="inlineStr">
        <is>
          <t>TA</t>
        </is>
      </c>
      <c r="K640" s="11" t="inlineStr">
        <is>
          <t>TA-M1.1</t>
        </is>
      </c>
      <c r="L640" s="11" t="inlineStr"/>
      <c r="M640" s="11">
        <f>IF(K640="FUERA","Fuera del marco",IF(K640="N/A","Sin marco",IFERROR(INDEX('Datos - Catálogo TIMSS'!$C$5:$C$107,MATCH(K640,'Datos - Catálogo TIMSS'!$A$5:$A$107,0)),"Pendiente de clasificar")))</f>
        <v/>
      </c>
      <c r="N640" s="11">
        <f>IF(K640="FUERA","Fuera del marco",IF(K640="N/A","Sin marco",IFERROR(INDEX('Datos - Catálogo TIMSS'!$F$5:$F$107,MATCH(K640,'Datos - Catálogo TIMSS'!$A$5:$A$107,0)),"Pendiente de clasificar")))</f>
        <v/>
      </c>
      <c r="O640" s="11">
        <f>IF(L640="","",IFERROR(INDEX('Datos - Catálogo TIMSS'!$C$5:$C$107,MATCH(L640,'Datos - Catálogo TIMSS'!$A$5:$A$107,0)),"?"))</f>
        <v/>
      </c>
      <c r="P640" s="11" t="inlineStr">
        <is>
          <t>alta</t>
        </is>
      </c>
      <c r="Q640" s="38" t="inlineStr">
        <is>
          <t>Desplazamiento y sistema de referencia: cinemática lineal</t>
        </is>
      </c>
      <c r="R640" s="38" t="inlineStr">
        <is>
          <t>Aplicar: calcular desplazamientos. Razonar: analizar la dependencia del sistema de referencia</t>
        </is>
      </c>
      <c r="S640" s="39">
        <f>IFERROR(ISNUMBER(SEARCH("Conocer",$R640))/(ISNUMBER(SEARCH("Conocer",$R640))+ISNUMBER(SEARCH("Aplicar",$R640))+ISNUMBER(SEARCH("Razonar",$R640))),0)</f>
        <v/>
      </c>
      <c r="T640" s="39">
        <f>IFERROR(ISNUMBER(SEARCH("Aplicar",$R640))/(ISNUMBER(SEARCH("Conocer",$R640))+ISNUMBER(SEARCH("Aplicar",$R640))+ISNUMBER(SEARCH("Razonar",$R640))),0)</f>
        <v/>
      </c>
      <c r="U640" s="39">
        <f>IFERROR(ISNUMBER(SEARCH("Razonar",$R640))/(ISNUMBER(SEARCH("Conocer",$R640))+ISNUMBER(SEARCH("Aplicar",$R640))+ISNUMBER(SEARCH("Razonar",$R640))),0)</f>
        <v/>
      </c>
      <c r="V640" s="11" t="inlineStr">
        <is>
          <t>Física 10°</t>
        </is>
      </c>
      <c r="W640" s="11" t="inlineStr">
        <is>
          <t>Física 10°–11°</t>
        </is>
      </c>
      <c r="X640" s="11">
        <f>IF(OR(IFERROR(INDEX('Datos - Catálogo TIMSS'!$I$5:$I$107,MATCH(K640,'Datos - Catálogo TIMSS'!$A$5:$A$107,0)),"No")="Sí",IFERROR(INDEX('Datos - Catálogo TIMSS'!$I$5:$I$107,MATCH(L640,'Datos - Catálogo TIMSS'!$A$5:$A$107,0)),"No")="Sí"),1,0)</f>
        <v/>
      </c>
      <c r="Y640" s="11">
        <f>IF(IFERROR(INDEX('Datos - Catálogo TIMSS'!$J$5:$J$107,MATCH(K640,'Datos - Catálogo TIMSS'!$A$5:$A$107,0)),"No")="Sí",1,0)</f>
        <v/>
      </c>
      <c r="Z640" s="11">
        <f>IF(IFERROR(INDEX('Datos - Catálogo TIMSS'!$J$5:$J$107,MATCH(L640,'Datos - Catálogo TIMSS'!$A$5:$A$107,0)),"No")="Sí",1,0)</f>
        <v/>
      </c>
      <c r="AA640" s="11" t="inlineStr">
        <is>
          <t>TA-M1.1</t>
        </is>
      </c>
      <c r="AB640" s="11" t="inlineStr"/>
      <c r="AC640" s="11">
        <f>IF(AA640="FUERA","Fuera del marco",IF(AA640="N/A","Sin marco",IFERROR(INDEX('Datos - TIMSS 2023'!$C$5:$C$105,MATCH(AA640,'Datos - TIMSS 2023'!$A$5:$A$105,0)),"Pendiente de clasificar")))</f>
        <v/>
      </c>
      <c r="AD640" s="11" t="inlineStr">
        <is>
          <t>1. Explicar fenómenos científicamente</t>
        </is>
      </c>
      <c r="AE640" s="11">
        <f>IF(AD640="","",IF(LEFT(AD640,1)="1","C1",IF(LEFT(AD640,1)="2","C2",IF(LEFT(AD640,1)="3","C3",""))))</f>
        <v/>
      </c>
      <c r="AF640" s="11" t="inlineStr">
        <is>
          <t>E1</t>
        </is>
      </c>
      <c r="AG640" s="11" t="inlineStr">
        <is>
          <t>E3</t>
        </is>
      </c>
      <c r="AH640" s="11" t="inlineStr">
        <is>
          <t>E2</t>
        </is>
      </c>
      <c r="AI640" s="11" t="inlineStr">
        <is>
          <t>D4</t>
        </is>
      </c>
      <c r="AJ640" s="11" t="inlineStr">
        <is>
          <t>E3</t>
        </is>
      </c>
      <c r="AK640" s="11" t="n"/>
      <c r="AL640" s="11" t="n"/>
      <c r="AM640" s="11" t="n"/>
      <c r="AN640" s="11" t="n"/>
      <c r="AO640" s="11" t="n"/>
      <c r="AP640" s="11" t="n"/>
      <c r="AQ640" s="11" t="n"/>
      <c r="AR640" s="11" t="n"/>
      <c r="AS640" s="11" t="n"/>
      <c r="AT640" s="11" t="n"/>
      <c r="AU640" s="11" t="n"/>
      <c r="AV640" s="11" t="n"/>
      <c r="AW640" s="11">
        <f>AF640&amp;"; "&amp;AG640&amp;"; "&amp;AH640&amp;"; "&amp;AI640&amp;"; "&amp;AJ640</f>
        <v/>
      </c>
    </row>
    <row r="641">
      <c r="A641" s="11" t="inlineStr">
        <is>
          <t>T0177-G10-FÍS</t>
        </is>
      </c>
      <c r="B641" s="11" t="n">
        <v>10</v>
      </c>
      <c r="C641" s="11" t="inlineStr">
        <is>
          <t>Física</t>
        </is>
      </c>
      <c r="D641" s="11" t="inlineStr">
        <is>
          <t>Matriz_Bachillerato_Fisica_10_11.xlsx</t>
        </is>
      </c>
      <c r="E641" s="11" t="inlineStr">
        <is>
          <t>Física 10.°</t>
        </is>
      </c>
      <c r="F641" s="11" t="n">
        <v>17</v>
      </c>
      <c r="G641" s="11" t="inlineStr">
        <is>
          <t>3. Movimiento: cinemática en una dimensión</t>
        </is>
      </c>
      <c r="H641" s="11" t="inlineStr">
        <is>
          <t>Descripción del movimiento rectilíneo</t>
        </is>
      </c>
      <c r="I641" s="38" t="inlineStr">
        <is>
          <t>3.2. Cálculo de la rapidez media, la velocidad media y la velocidad instantánea a partir de datos y de la pendiente de gráficas posición-tiempo.</t>
        </is>
      </c>
      <c r="J641" s="11" t="inlineStr">
        <is>
          <t>TA</t>
        </is>
      </c>
      <c r="K641" s="11" t="inlineStr">
        <is>
          <t>TA-M1.1</t>
        </is>
      </c>
      <c r="L641" s="11" t="inlineStr"/>
      <c r="M641" s="11">
        <f>IF(K641="FUERA","Fuera del marco",IF(K641="N/A","Sin marco",IFERROR(INDEX('Datos - Catálogo TIMSS'!$C$5:$C$107,MATCH(K641,'Datos - Catálogo TIMSS'!$A$5:$A$107,0)),"Pendiente de clasificar")))</f>
        <v/>
      </c>
      <c r="N641" s="11">
        <f>IF(K641="FUERA","Fuera del marco",IF(K641="N/A","Sin marco",IFERROR(INDEX('Datos - Catálogo TIMSS'!$F$5:$F$107,MATCH(K641,'Datos - Catálogo TIMSS'!$A$5:$A$107,0)),"Pendiente de clasificar")))</f>
        <v/>
      </c>
      <c r="O641" s="11">
        <f>IF(L641="","",IFERROR(INDEX('Datos - Catálogo TIMSS'!$C$5:$C$107,MATCH(L641,'Datos - Catálogo TIMSS'!$A$5:$A$107,0)),"?"))</f>
        <v/>
      </c>
      <c r="P641" s="11" t="inlineStr">
        <is>
          <t>alta</t>
        </is>
      </c>
      <c r="Q641" s="38" t="inlineStr">
        <is>
          <t>Rapidez y velocidad media e instantánea: cinemática</t>
        </is>
      </c>
      <c r="R641" s="38" t="inlineStr">
        <is>
          <t>Aplicar: calcular velocidades medias e instantáneas. Razonar: justificar recomendaciones con datos</t>
        </is>
      </c>
      <c r="S641" s="39">
        <f>IFERROR(ISNUMBER(SEARCH("Conocer",$R641))/(ISNUMBER(SEARCH("Conocer",$R641))+ISNUMBER(SEARCH("Aplicar",$R641))+ISNUMBER(SEARCH("Razonar",$R641))),0)</f>
        <v/>
      </c>
      <c r="T641" s="39">
        <f>IFERROR(ISNUMBER(SEARCH("Aplicar",$R641))/(ISNUMBER(SEARCH("Conocer",$R641))+ISNUMBER(SEARCH("Aplicar",$R641))+ISNUMBER(SEARCH("Razonar",$R641))),0)</f>
        <v/>
      </c>
      <c r="U641" s="39">
        <f>IFERROR(ISNUMBER(SEARCH("Razonar",$R641))/(ISNUMBER(SEARCH("Conocer",$R641))+ISNUMBER(SEARCH("Aplicar",$R641))+ISNUMBER(SEARCH("Razonar",$R641))),0)</f>
        <v/>
      </c>
      <c r="V641" s="11" t="inlineStr">
        <is>
          <t>Física 10°</t>
        </is>
      </c>
      <c r="W641" s="11" t="inlineStr">
        <is>
          <t>Física 10°–11°</t>
        </is>
      </c>
      <c r="X641" s="11">
        <f>IF(OR(IFERROR(INDEX('Datos - Catálogo TIMSS'!$I$5:$I$107,MATCH(K641,'Datos - Catálogo TIMSS'!$A$5:$A$107,0)),"No")="Sí",IFERROR(INDEX('Datos - Catálogo TIMSS'!$I$5:$I$107,MATCH(L641,'Datos - Catálogo TIMSS'!$A$5:$A$107,0)),"No")="Sí"),1,0)</f>
        <v/>
      </c>
      <c r="Y641" s="11">
        <f>IF(IFERROR(INDEX('Datos - Catálogo TIMSS'!$J$5:$J$107,MATCH(K641,'Datos - Catálogo TIMSS'!$A$5:$A$107,0)),"No")="Sí",1,0)</f>
        <v/>
      </c>
      <c r="Z641" s="11">
        <f>IF(IFERROR(INDEX('Datos - Catálogo TIMSS'!$J$5:$J$107,MATCH(L641,'Datos - Catálogo TIMSS'!$A$5:$A$107,0)),"No")="Sí",1,0)</f>
        <v/>
      </c>
      <c r="AA641" s="11" t="inlineStr">
        <is>
          <t>TA-M1.1</t>
        </is>
      </c>
      <c r="AB641" s="11" t="inlineStr"/>
      <c r="AC641" s="11">
        <f>IF(AA641="FUERA","Fuera del marco",IF(AA641="N/A","Sin marco",IFERROR(INDEX('Datos - TIMSS 2023'!$C$5:$C$105,MATCH(AA641,'Datos - TIMSS 2023'!$A$5:$A$105,0)),"Pendiente de clasificar")))</f>
        <v/>
      </c>
      <c r="AD641" s="11" t="inlineStr">
        <is>
          <t>1. Explicar fenómenos científicamente</t>
        </is>
      </c>
      <c r="AE641" s="11">
        <f>IF(AD641="","",IF(LEFT(AD641,1)="1","C1",IF(LEFT(AD641,1)="2","C2",IF(LEFT(AD641,1)="3","C3",""))))</f>
        <v/>
      </c>
      <c r="AF641" s="11" t="inlineStr">
        <is>
          <t>E6</t>
        </is>
      </c>
      <c r="AG641" s="11" t="inlineStr">
        <is>
          <t>D1</t>
        </is>
      </c>
      <c r="AH641" s="11" t="inlineStr">
        <is>
          <t>E2</t>
        </is>
      </c>
      <c r="AI641" s="11" t="inlineStr">
        <is>
          <t>D4</t>
        </is>
      </c>
      <c r="AJ641" s="11" t="inlineStr">
        <is>
          <t>I5</t>
        </is>
      </c>
      <c r="AK641" s="11" t="n"/>
      <c r="AL641" s="11" t="n"/>
      <c r="AM641" s="11" t="n"/>
      <c r="AN641" s="11" t="n"/>
      <c r="AO641" s="11" t="n"/>
      <c r="AP641" s="11" t="n"/>
      <c r="AQ641" s="11" t="n"/>
      <c r="AR641" s="11" t="n"/>
      <c r="AS641" s="11" t="n"/>
      <c r="AT641" s="11" t="n"/>
      <c r="AU641" s="11" t="n"/>
      <c r="AV641" s="11" t="n"/>
      <c r="AW641" s="11">
        <f>AF641&amp;"; "&amp;AG641&amp;"; "&amp;AH641&amp;"; "&amp;AI641&amp;"; "&amp;AJ641</f>
        <v/>
      </c>
    </row>
    <row r="642">
      <c r="A642" s="11" t="inlineStr">
        <is>
          <t>T0178-G10-FÍS</t>
        </is>
      </c>
      <c r="B642" s="11" t="n">
        <v>10</v>
      </c>
      <c r="C642" s="11" t="inlineStr">
        <is>
          <t>Física</t>
        </is>
      </c>
      <c r="D642" s="11" t="inlineStr">
        <is>
          <t>Matriz_Bachillerato_Fisica_10_11.xlsx</t>
        </is>
      </c>
      <c r="E642" s="11" t="inlineStr">
        <is>
          <t>Física 10.°</t>
        </is>
      </c>
      <c r="F642" s="11" t="n">
        <v>18</v>
      </c>
      <c r="G642" s="11" t="inlineStr">
        <is>
          <t>3. Movimiento: cinemática en una dimensión</t>
        </is>
      </c>
      <c r="H642" s="11" t="inlineStr">
        <is>
          <t>Aceleración</t>
        </is>
      </c>
      <c r="I642" s="38" t="inlineStr">
        <is>
          <t>3.3. Medición y cálculo de la aceleración media de móviles reales e interpretación de su signo respecto de la velocidad.</t>
        </is>
      </c>
      <c r="J642" s="11" t="inlineStr">
        <is>
          <t>TA</t>
        </is>
      </c>
      <c r="K642" s="11" t="inlineStr">
        <is>
          <t>TA-M1.1</t>
        </is>
      </c>
      <c r="L642" s="11" t="inlineStr"/>
      <c r="M642" s="11">
        <f>IF(K642="FUERA","Fuera del marco",IF(K642="N/A","Sin marco",IFERROR(INDEX('Datos - Catálogo TIMSS'!$C$5:$C$107,MATCH(K642,'Datos - Catálogo TIMSS'!$A$5:$A$107,0)),"Pendiente de clasificar")))</f>
        <v/>
      </c>
      <c r="N642" s="11">
        <f>IF(K642="FUERA","Fuera del marco",IF(K642="N/A","Sin marco",IFERROR(INDEX('Datos - Catálogo TIMSS'!$F$5:$F$107,MATCH(K642,'Datos - Catálogo TIMSS'!$A$5:$A$107,0)),"Pendiente de clasificar")))</f>
        <v/>
      </c>
      <c r="O642" s="11">
        <f>IF(L642="","",IFERROR(INDEX('Datos - Catálogo TIMSS'!$C$5:$C$107,MATCH(L642,'Datos - Catálogo TIMSS'!$A$5:$A$107,0)),"?"))</f>
        <v/>
      </c>
      <c r="P642" s="11" t="inlineStr">
        <is>
          <t>alta</t>
        </is>
      </c>
      <c r="Q642" s="38" t="inlineStr">
        <is>
          <t>Aceleración media y su signo: cinemática</t>
        </is>
      </c>
      <c r="R642" s="38" t="inlineStr">
        <is>
          <t>Aplicar: calcular la aceleración media. Razonar: interpretar signos de v y a</t>
        </is>
      </c>
      <c r="S642" s="39">
        <f>IFERROR(ISNUMBER(SEARCH("Conocer",$R642))/(ISNUMBER(SEARCH("Conocer",$R642))+ISNUMBER(SEARCH("Aplicar",$R642))+ISNUMBER(SEARCH("Razonar",$R642))),0)</f>
        <v/>
      </c>
      <c r="T642" s="39">
        <f>IFERROR(ISNUMBER(SEARCH("Aplicar",$R642))/(ISNUMBER(SEARCH("Conocer",$R642))+ISNUMBER(SEARCH("Aplicar",$R642))+ISNUMBER(SEARCH("Razonar",$R642))),0)</f>
        <v/>
      </c>
      <c r="U642" s="39">
        <f>IFERROR(ISNUMBER(SEARCH("Razonar",$R642))/(ISNUMBER(SEARCH("Conocer",$R642))+ISNUMBER(SEARCH("Aplicar",$R642))+ISNUMBER(SEARCH("Razonar",$R642))),0)</f>
        <v/>
      </c>
      <c r="V642" s="11" t="inlineStr">
        <is>
          <t>Física 10°</t>
        </is>
      </c>
      <c r="W642" s="11" t="inlineStr">
        <is>
          <t>Física 10°–11°</t>
        </is>
      </c>
      <c r="X642" s="11">
        <f>IF(OR(IFERROR(INDEX('Datos - Catálogo TIMSS'!$I$5:$I$107,MATCH(K642,'Datos - Catálogo TIMSS'!$A$5:$A$107,0)),"No")="Sí",IFERROR(INDEX('Datos - Catálogo TIMSS'!$I$5:$I$107,MATCH(L642,'Datos - Catálogo TIMSS'!$A$5:$A$107,0)),"No")="Sí"),1,0)</f>
        <v/>
      </c>
      <c r="Y642" s="11">
        <f>IF(IFERROR(INDEX('Datos - Catálogo TIMSS'!$J$5:$J$107,MATCH(K642,'Datos - Catálogo TIMSS'!$A$5:$A$107,0)),"No")="Sí",1,0)</f>
        <v/>
      </c>
      <c r="Z642" s="11">
        <f>IF(IFERROR(INDEX('Datos - Catálogo TIMSS'!$J$5:$J$107,MATCH(L642,'Datos - Catálogo TIMSS'!$A$5:$A$107,0)),"No")="Sí",1,0)</f>
        <v/>
      </c>
      <c r="AA642" s="11" t="inlineStr">
        <is>
          <t>TA-M1.1</t>
        </is>
      </c>
      <c r="AB642" s="11" t="inlineStr"/>
      <c r="AC642" s="11">
        <f>IF(AA642="FUERA","Fuera del marco",IF(AA642="N/A","Sin marco",IFERROR(INDEX('Datos - TIMSS 2023'!$C$5:$C$105,MATCH(AA642,'Datos - TIMSS 2023'!$A$5:$A$105,0)),"Pendiente de clasificar")))</f>
        <v/>
      </c>
      <c r="AD642" s="11" t="inlineStr">
        <is>
          <t>2. Construir y evaluar diseños para la indagación científica e interpretar datos y evidencia de forma crítica</t>
        </is>
      </c>
      <c r="AE642" s="11">
        <f>IF(AD642="","",IF(LEFT(AD642,1)="1","C1",IF(LEFT(AD642,1)="2","C2",IF(LEFT(AD642,1)="3","C3",""))))</f>
        <v/>
      </c>
      <c r="AF642" s="11" t="inlineStr">
        <is>
          <t>E1</t>
        </is>
      </c>
      <c r="AG642" s="11" t="inlineStr">
        <is>
          <t>E5</t>
        </is>
      </c>
      <c r="AH642" s="11" t="inlineStr">
        <is>
          <t>E2</t>
        </is>
      </c>
      <c r="AI642" s="11" t="inlineStr">
        <is>
          <t>D2</t>
        </is>
      </c>
      <c r="AJ642" s="11" t="inlineStr">
        <is>
          <t>D3</t>
        </is>
      </c>
      <c r="AK642" s="11" t="n"/>
      <c r="AL642" s="11" t="n"/>
      <c r="AM642" s="11" t="n"/>
      <c r="AN642" s="11" t="n"/>
      <c r="AO642" s="11" t="n"/>
      <c r="AP642" s="11" t="n"/>
      <c r="AQ642" s="11" t="n"/>
      <c r="AR642" s="11" t="n"/>
      <c r="AS642" s="11" t="n"/>
      <c r="AT642" s="11" t="n"/>
      <c r="AU642" s="11" t="n"/>
      <c r="AV642" s="11" t="n"/>
      <c r="AW642" s="11">
        <f>AF642&amp;"; "&amp;AG642&amp;"; "&amp;AH642&amp;"; "&amp;AI642&amp;"; "&amp;AJ642</f>
        <v/>
      </c>
    </row>
    <row r="643">
      <c r="A643" s="11" t="inlineStr">
        <is>
          <t>T0179-G10-FÍS</t>
        </is>
      </c>
      <c r="B643" s="11" t="n">
        <v>10</v>
      </c>
      <c r="C643" s="11" t="inlineStr">
        <is>
          <t>Física</t>
        </is>
      </c>
      <c r="D643" s="11" t="inlineStr">
        <is>
          <t>Matriz_Bachillerato_Fisica_10_11.xlsx</t>
        </is>
      </c>
      <c r="E643" s="11" t="inlineStr">
        <is>
          <t>Física 10.°</t>
        </is>
      </c>
      <c r="F643" s="11" t="n">
        <v>19</v>
      </c>
      <c r="G643" s="11" t="inlineStr">
        <is>
          <t>3. Movimiento: cinemática en una dimensión</t>
        </is>
      </c>
      <c r="H643" s="11" t="inlineStr">
        <is>
          <t>Movimiento con aceleración constante</t>
        </is>
      </c>
      <c r="I643" s="38" t="inlineStr">
        <is>
          <t>3.4. Deducción de las ecuaciones del movimiento con aceleración constante a partir de la gráfica velocidad-tiempo.</t>
        </is>
      </c>
      <c r="J643" s="11" t="inlineStr">
        <is>
          <t>TA</t>
        </is>
      </c>
      <c r="K643" s="11" t="inlineStr">
        <is>
          <t>TA-M1.1</t>
        </is>
      </c>
      <c r="L643" s="11" t="inlineStr"/>
      <c r="M643" s="11">
        <f>IF(K643="FUERA","Fuera del marco",IF(K643="N/A","Sin marco",IFERROR(INDEX('Datos - Catálogo TIMSS'!$C$5:$C$107,MATCH(K643,'Datos - Catálogo TIMSS'!$A$5:$A$107,0)),"Pendiente de clasificar")))</f>
        <v/>
      </c>
      <c r="N643" s="11">
        <f>IF(K643="FUERA","Fuera del marco",IF(K643="N/A","Sin marco",IFERROR(INDEX('Datos - Catálogo TIMSS'!$F$5:$F$107,MATCH(K643,'Datos - Catálogo TIMSS'!$A$5:$A$107,0)),"Pendiente de clasificar")))</f>
        <v/>
      </c>
      <c r="O643" s="11">
        <f>IF(L643="","",IFERROR(INDEX('Datos - Catálogo TIMSS'!$C$5:$C$107,MATCH(L643,'Datos - Catálogo TIMSS'!$A$5:$A$107,0)),"?"))</f>
        <v/>
      </c>
      <c r="P643" s="11" t="inlineStr">
        <is>
          <t>alta</t>
        </is>
      </c>
      <c r="Q643" s="38" t="inlineStr">
        <is>
          <t>Ecuaciones del MRUA desde gráfica v-t</t>
        </is>
      </c>
      <c r="R643" s="38" t="inlineStr">
        <is>
          <t>Aplicar: deducir y seleccionar ecuaciones. Razonar: relacionar áreas y pendientes con magnitudes</t>
        </is>
      </c>
      <c r="S643" s="39">
        <f>IFERROR(ISNUMBER(SEARCH("Conocer",$R643))/(ISNUMBER(SEARCH("Conocer",$R643))+ISNUMBER(SEARCH("Aplicar",$R643))+ISNUMBER(SEARCH("Razonar",$R643))),0)</f>
        <v/>
      </c>
      <c r="T643" s="39">
        <f>IFERROR(ISNUMBER(SEARCH("Aplicar",$R643))/(ISNUMBER(SEARCH("Conocer",$R643))+ISNUMBER(SEARCH("Aplicar",$R643))+ISNUMBER(SEARCH("Razonar",$R643))),0)</f>
        <v/>
      </c>
      <c r="U643" s="39">
        <f>IFERROR(ISNUMBER(SEARCH("Razonar",$R643))/(ISNUMBER(SEARCH("Conocer",$R643))+ISNUMBER(SEARCH("Aplicar",$R643))+ISNUMBER(SEARCH("Razonar",$R643))),0)</f>
        <v/>
      </c>
      <c r="V643" s="11" t="inlineStr">
        <is>
          <t>Física 10°</t>
        </is>
      </c>
      <c r="W643" s="11" t="inlineStr">
        <is>
          <t>Física 10°–11°</t>
        </is>
      </c>
      <c r="X643" s="11">
        <f>IF(OR(IFERROR(INDEX('Datos - Catálogo TIMSS'!$I$5:$I$107,MATCH(K643,'Datos - Catálogo TIMSS'!$A$5:$A$107,0)),"No")="Sí",IFERROR(INDEX('Datos - Catálogo TIMSS'!$I$5:$I$107,MATCH(L643,'Datos - Catálogo TIMSS'!$A$5:$A$107,0)),"No")="Sí"),1,0)</f>
        <v/>
      </c>
      <c r="Y643" s="11">
        <f>IF(IFERROR(INDEX('Datos - Catálogo TIMSS'!$J$5:$J$107,MATCH(K643,'Datos - Catálogo TIMSS'!$A$5:$A$107,0)),"No")="Sí",1,0)</f>
        <v/>
      </c>
      <c r="Z643" s="11">
        <f>IF(IFERROR(INDEX('Datos - Catálogo TIMSS'!$J$5:$J$107,MATCH(L643,'Datos - Catálogo TIMSS'!$A$5:$A$107,0)),"No")="Sí",1,0)</f>
        <v/>
      </c>
      <c r="AA643" s="11" t="inlineStr">
        <is>
          <t>TA-M1.1</t>
        </is>
      </c>
      <c r="AB643" s="11" t="inlineStr"/>
      <c r="AC643" s="11">
        <f>IF(AA643="FUERA","Fuera del marco",IF(AA643="N/A","Sin marco",IFERROR(INDEX('Datos - TIMSS 2023'!$C$5:$C$105,MATCH(AA643,'Datos - TIMSS 2023'!$A$5:$A$105,0)),"Pendiente de clasificar")))</f>
        <v/>
      </c>
      <c r="AD643" s="11" t="inlineStr">
        <is>
          <t>1. Explicar fenómenos científicamente</t>
        </is>
      </c>
      <c r="AE643" s="11">
        <f>IF(AD643="","",IF(LEFT(AD643,1)="1","C1",IF(LEFT(AD643,1)="2","C2",IF(LEFT(AD643,1)="3","C3",""))))</f>
        <v/>
      </c>
      <c r="AF643" s="11" t="inlineStr">
        <is>
          <t>E1</t>
        </is>
      </c>
      <c r="AG643" s="11" t="inlineStr">
        <is>
          <t>E3</t>
        </is>
      </c>
      <c r="AH643" s="11" t="inlineStr">
        <is>
          <t>E4</t>
        </is>
      </c>
      <c r="AI643" s="11" t="inlineStr">
        <is>
          <t>E4</t>
        </is>
      </c>
      <c r="AJ643" s="11" t="inlineStr">
        <is>
          <t>E3</t>
        </is>
      </c>
      <c r="AK643" s="11" t="n"/>
      <c r="AL643" s="11" t="n"/>
      <c r="AM643" s="11" t="n"/>
      <c r="AN643" s="11" t="n"/>
      <c r="AO643" s="11" t="n"/>
      <c r="AP643" s="11" t="n"/>
      <c r="AQ643" s="11" t="n"/>
      <c r="AR643" s="11" t="n"/>
      <c r="AS643" s="11" t="n"/>
      <c r="AT643" s="11" t="n"/>
      <c r="AU643" s="11" t="n"/>
      <c r="AV643" s="11" t="n"/>
      <c r="AW643" s="11">
        <f>AF643&amp;"; "&amp;AG643&amp;"; "&amp;AH643&amp;"; "&amp;AI643&amp;"; "&amp;AJ643</f>
        <v/>
      </c>
    </row>
    <row r="644">
      <c r="A644" s="11" t="inlineStr">
        <is>
          <t>T0180-G10-FÍS</t>
        </is>
      </c>
      <c r="B644" s="11" t="n">
        <v>10</v>
      </c>
      <c r="C644" s="11" t="inlineStr">
        <is>
          <t>Física</t>
        </is>
      </c>
      <c r="D644" s="11" t="inlineStr">
        <is>
          <t>Matriz_Bachillerato_Fisica_10_11.xlsx</t>
        </is>
      </c>
      <c r="E644" s="11" t="inlineStr">
        <is>
          <t>Física 10.°</t>
        </is>
      </c>
      <c r="F644" s="11" t="n">
        <v>20</v>
      </c>
      <c r="G644" s="11" t="inlineStr">
        <is>
          <t>3. Movimiento: cinemática en una dimensión</t>
        </is>
      </c>
      <c r="H644" s="11" t="inlineStr">
        <is>
          <t>Movimiento con aceleración constante</t>
        </is>
      </c>
      <c r="I644" s="38" t="inlineStr">
        <is>
          <t>3.5. Resolución de problemas de conceptos múltiples con las ecuaciones de la cinemática, como distancias de frenado y encuentros entre móviles.</t>
        </is>
      </c>
      <c r="J644" s="11" t="inlineStr">
        <is>
          <t>TA</t>
        </is>
      </c>
      <c r="K644" s="11" t="inlineStr">
        <is>
          <t>TA-M1.1</t>
        </is>
      </c>
      <c r="L644" s="11" t="inlineStr"/>
      <c r="M644" s="11">
        <f>IF(K644="FUERA","Fuera del marco",IF(K644="N/A","Sin marco",IFERROR(INDEX('Datos - Catálogo TIMSS'!$C$5:$C$107,MATCH(K644,'Datos - Catálogo TIMSS'!$A$5:$A$107,0)),"Pendiente de clasificar")))</f>
        <v/>
      </c>
      <c r="N644" s="11">
        <f>IF(K644="FUERA","Fuera del marco",IF(K644="N/A","Sin marco",IFERROR(INDEX('Datos - Catálogo TIMSS'!$F$5:$F$107,MATCH(K644,'Datos - Catálogo TIMSS'!$A$5:$A$107,0)),"Pendiente de clasificar")))</f>
        <v/>
      </c>
      <c r="O644" s="11">
        <f>IF(L644="","",IFERROR(INDEX('Datos - Catálogo TIMSS'!$C$5:$C$107,MATCH(L644,'Datos - Catálogo TIMSS'!$A$5:$A$107,0)),"?"))</f>
        <v/>
      </c>
      <c r="P644" s="11" t="inlineStr">
        <is>
          <t>alta</t>
        </is>
      </c>
      <c r="Q644" s="38" t="inlineStr">
        <is>
          <t>Problemas de cinemática de varias etapas</t>
        </is>
      </c>
      <c r="R644" s="38" t="inlineStr">
        <is>
          <t>Aplicar: resolver problemas de varias etapas. Razonar: argumentar con resultados numéricos</t>
        </is>
      </c>
      <c r="S644" s="39">
        <f>IFERROR(ISNUMBER(SEARCH("Conocer",$R644))/(ISNUMBER(SEARCH("Conocer",$R644))+ISNUMBER(SEARCH("Aplicar",$R644))+ISNUMBER(SEARCH("Razonar",$R644))),0)</f>
        <v/>
      </c>
      <c r="T644" s="39">
        <f>IFERROR(ISNUMBER(SEARCH("Aplicar",$R644))/(ISNUMBER(SEARCH("Conocer",$R644))+ISNUMBER(SEARCH("Aplicar",$R644))+ISNUMBER(SEARCH("Razonar",$R644))),0)</f>
        <v/>
      </c>
      <c r="U644" s="39">
        <f>IFERROR(ISNUMBER(SEARCH("Razonar",$R644))/(ISNUMBER(SEARCH("Conocer",$R644))+ISNUMBER(SEARCH("Aplicar",$R644))+ISNUMBER(SEARCH("Razonar",$R644))),0)</f>
        <v/>
      </c>
      <c r="V644" s="11" t="inlineStr">
        <is>
          <t>Física 10°</t>
        </is>
      </c>
      <c r="W644" s="11" t="inlineStr">
        <is>
          <t>Física 10°–11°</t>
        </is>
      </c>
      <c r="X644" s="11">
        <f>IF(OR(IFERROR(INDEX('Datos - Catálogo TIMSS'!$I$5:$I$107,MATCH(K644,'Datos - Catálogo TIMSS'!$A$5:$A$107,0)),"No")="Sí",IFERROR(INDEX('Datos - Catálogo TIMSS'!$I$5:$I$107,MATCH(L644,'Datos - Catálogo TIMSS'!$A$5:$A$107,0)),"No")="Sí"),1,0)</f>
        <v/>
      </c>
      <c r="Y644" s="11">
        <f>IF(IFERROR(INDEX('Datos - Catálogo TIMSS'!$J$5:$J$107,MATCH(K644,'Datos - Catálogo TIMSS'!$A$5:$A$107,0)),"No")="Sí",1,0)</f>
        <v/>
      </c>
      <c r="Z644" s="11">
        <f>IF(IFERROR(INDEX('Datos - Catálogo TIMSS'!$J$5:$J$107,MATCH(L644,'Datos - Catálogo TIMSS'!$A$5:$A$107,0)),"No")="Sí",1,0)</f>
        <v/>
      </c>
      <c r="AA644" s="11" t="inlineStr">
        <is>
          <t>TA-M1.1</t>
        </is>
      </c>
      <c r="AB644" s="11" t="inlineStr"/>
      <c r="AC644" s="11">
        <f>IF(AA644="FUERA","Fuera del marco",IF(AA644="N/A","Sin marco",IFERROR(INDEX('Datos - TIMSS 2023'!$C$5:$C$105,MATCH(AA644,'Datos - TIMSS 2023'!$A$5:$A$105,0)),"Pendiente de clasificar")))</f>
        <v/>
      </c>
      <c r="AD644" s="11" t="inlineStr">
        <is>
          <t>3. Investigar, evaluar y usar información científica para tomar decisiones y actuar</t>
        </is>
      </c>
      <c r="AE644" s="11">
        <f>IF(AD644="","",IF(LEFT(AD644,1)="1","C1",IF(LEFT(AD644,1)="2","C2",IF(LEFT(AD644,1)="3","C3",""))))</f>
        <v/>
      </c>
      <c r="AF644" s="11" t="inlineStr">
        <is>
          <t>E6</t>
        </is>
      </c>
      <c r="AG644" s="11" t="inlineStr">
        <is>
          <t>E3</t>
        </is>
      </c>
      <c r="AH644" s="11" t="inlineStr">
        <is>
          <t>E1</t>
        </is>
      </c>
      <c r="AI644" s="11" t="inlineStr">
        <is>
          <t>I3</t>
        </is>
      </c>
      <c r="AJ644" s="11" t="inlineStr">
        <is>
          <t>I2</t>
        </is>
      </c>
      <c r="AK644" s="11" t="n"/>
      <c r="AL644" s="11" t="n"/>
      <c r="AM644" s="11" t="n"/>
      <c r="AN644" s="11" t="n"/>
      <c r="AO644" s="11" t="n"/>
      <c r="AP644" s="11" t="n"/>
      <c r="AQ644" s="11" t="n"/>
      <c r="AR644" s="11" t="n"/>
      <c r="AS644" s="11" t="n"/>
      <c r="AT644" s="11" t="n"/>
      <c r="AU644" s="11" t="n"/>
      <c r="AV644" s="11" t="n"/>
      <c r="AW644" s="11">
        <f>AF644&amp;"; "&amp;AG644&amp;"; "&amp;AH644&amp;"; "&amp;AI644&amp;"; "&amp;AJ644</f>
        <v/>
      </c>
    </row>
    <row r="645">
      <c r="A645" s="11" t="inlineStr">
        <is>
          <t>T0181-G10-FÍS</t>
        </is>
      </c>
      <c r="B645" s="11" t="n">
        <v>10</v>
      </c>
      <c r="C645" s="11" t="inlineStr">
        <is>
          <t>Física</t>
        </is>
      </c>
      <c r="D645" s="11" t="inlineStr">
        <is>
          <t>Matriz_Bachillerato_Fisica_10_11.xlsx</t>
        </is>
      </c>
      <c r="E645" s="11" t="inlineStr">
        <is>
          <t>Física 10.°</t>
        </is>
      </c>
      <c r="F645" s="11" t="n">
        <v>21</v>
      </c>
      <c r="G645" s="11" t="inlineStr">
        <is>
          <t>3. Movimiento: cinemática en una dimensión</t>
        </is>
      </c>
      <c r="H645" s="11" t="inlineStr">
        <is>
          <t>Caída libre</t>
        </is>
      </c>
      <c r="I645" s="38" t="inlineStr">
        <is>
          <t>3.6. Determinación experimental de la aceleración de la gravedad y aplicación de las ecuaciones de la cinemática a la caída libre y al lanzamiento vertical.</t>
        </is>
      </c>
      <c r="J645" s="11" t="inlineStr">
        <is>
          <t>TA</t>
        </is>
      </c>
      <c r="K645" s="11" t="inlineStr">
        <is>
          <t>TA-M1.1</t>
        </is>
      </c>
      <c r="L645" s="11" t="inlineStr"/>
      <c r="M645" s="11">
        <f>IF(K645="FUERA","Fuera del marco",IF(K645="N/A","Sin marco",IFERROR(INDEX('Datos - Catálogo TIMSS'!$C$5:$C$107,MATCH(K645,'Datos - Catálogo TIMSS'!$A$5:$A$107,0)),"Pendiente de clasificar")))</f>
        <v/>
      </c>
      <c r="N645" s="11">
        <f>IF(K645="FUERA","Fuera del marco",IF(K645="N/A","Sin marco",IFERROR(INDEX('Datos - Catálogo TIMSS'!$F$5:$F$107,MATCH(K645,'Datos - Catálogo TIMSS'!$A$5:$A$107,0)),"Pendiente de clasificar")))</f>
        <v/>
      </c>
      <c r="O645" s="11">
        <f>IF(L645="","",IFERROR(INDEX('Datos - Catálogo TIMSS'!$C$5:$C$107,MATCH(L645,'Datos - Catálogo TIMSS'!$A$5:$A$107,0)),"?"))</f>
        <v/>
      </c>
      <c r="P645" s="11" t="inlineStr">
        <is>
          <t>alta</t>
        </is>
      </c>
      <c r="Q645" s="38" t="inlineStr">
        <is>
          <t>Caída libre y lanzamiento vertical</t>
        </is>
      </c>
      <c r="R645" s="38" t="inlineStr">
        <is>
          <t>Aplicar: calcular con ecuaciones de caída libre. Razonar: interpretar el ajuste lineal</t>
        </is>
      </c>
      <c r="S645" s="39">
        <f>IFERROR(ISNUMBER(SEARCH("Conocer",$R645))/(ISNUMBER(SEARCH("Conocer",$R645))+ISNUMBER(SEARCH("Aplicar",$R645))+ISNUMBER(SEARCH("Razonar",$R645))),0)</f>
        <v/>
      </c>
      <c r="T645" s="39">
        <f>IFERROR(ISNUMBER(SEARCH("Aplicar",$R645))/(ISNUMBER(SEARCH("Conocer",$R645))+ISNUMBER(SEARCH("Aplicar",$R645))+ISNUMBER(SEARCH("Razonar",$R645))),0)</f>
        <v/>
      </c>
      <c r="U645" s="39">
        <f>IFERROR(ISNUMBER(SEARCH("Razonar",$R645))/(ISNUMBER(SEARCH("Conocer",$R645))+ISNUMBER(SEARCH("Aplicar",$R645))+ISNUMBER(SEARCH("Razonar",$R645))),0)</f>
        <v/>
      </c>
      <c r="V645" s="11" t="inlineStr">
        <is>
          <t>Física 10°</t>
        </is>
      </c>
      <c r="W645" s="11" t="inlineStr">
        <is>
          <t>Física 10°–11°</t>
        </is>
      </c>
      <c r="X645" s="11">
        <f>IF(OR(IFERROR(INDEX('Datos - Catálogo TIMSS'!$I$5:$I$107,MATCH(K645,'Datos - Catálogo TIMSS'!$A$5:$A$107,0)),"No")="Sí",IFERROR(INDEX('Datos - Catálogo TIMSS'!$I$5:$I$107,MATCH(L645,'Datos - Catálogo TIMSS'!$A$5:$A$107,0)),"No")="Sí"),1,0)</f>
        <v/>
      </c>
      <c r="Y645" s="11">
        <f>IF(IFERROR(INDEX('Datos - Catálogo TIMSS'!$J$5:$J$107,MATCH(K645,'Datos - Catálogo TIMSS'!$A$5:$A$107,0)),"No")="Sí",1,0)</f>
        <v/>
      </c>
      <c r="Z645" s="11">
        <f>IF(IFERROR(INDEX('Datos - Catálogo TIMSS'!$J$5:$J$107,MATCH(L645,'Datos - Catálogo TIMSS'!$A$5:$A$107,0)),"No")="Sí",1,0)</f>
        <v/>
      </c>
      <c r="AA645" s="11" t="inlineStr">
        <is>
          <t>TA-M1.1</t>
        </is>
      </c>
      <c r="AB645" s="11" t="inlineStr"/>
      <c r="AC645" s="11">
        <f>IF(AA645="FUERA","Fuera del marco",IF(AA645="N/A","Sin marco",IFERROR(INDEX('Datos - TIMSS 2023'!$C$5:$C$105,MATCH(AA645,'Datos - TIMSS 2023'!$A$5:$A$105,0)),"Pendiente de clasificar")))</f>
        <v/>
      </c>
      <c r="AD645" s="11" t="inlineStr">
        <is>
          <t>2. Construir y evaluar diseños para la indagación científica e interpretar datos y evidencia de forma crítica</t>
        </is>
      </c>
      <c r="AE645" s="11">
        <f>IF(AD645="","",IF(LEFT(AD645,1)="1","C1",IF(LEFT(AD645,1)="2","C2",IF(LEFT(AD645,1)="3","C3",""))))</f>
        <v/>
      </c>
      <c r="AF645" s="11" t="inlineStr">
        <is>
          <t>E1</t>
        </is>
      </c>
      <c r="AG645" s="11" t="inlineStr">
        <is>
          <t>D1</t>
        </is>
      </c>
      <c r="AH645" s="11" t="inlineStr">
        <is>
          <t>E2</t>
        </is>
      </c>
      <c r="AI645" s="11" t="inlineStr">
        <is>
          <t>D4</t>
        </is>
      </c>
      <c r="AJ645" s="11" t="inlineStr">
        <is>
          <t>E3</t>
        </is>
      </c>
      <c r="AK645" s="11" t="n"/>
      <c r="AL645" s="11" t="n"/>
      <c r="AM645" s="11" t="n"/>
      <c r="AN645" s="11" t="n"/>
      <c r="AO645" s="11" t="n"/>
      <c r="AP645" s="11" t="n"/>
      <c r="AQ645" s="11" t="n"/>
      <c r="AR645" s="11" t="n"/>
      <c r="AS645" s="11" t="n"/>
      <c r="AT645" s="11" t="n"/>
      <c r="AU645" s="11" t="n"/>
      <c r="AV645" s="11" t="n"/>
      <c r="AW645" s="11">
        <f>AF645&amp;"; "&amp;AG645&amp;"; "&amp;AH645&amp;"; "&amp;AI645&amp;"; "&amp;AJ645</f>
        <v/>
      </c>
    </row>
    <row r="646">
      <c r="A646" s="11" t="inlineStr">
        <is>
          <t>T0182-G10-FÍS</t>
        </is>
      </c>
      <c r="B646" s="11" t="n">
        <v>10</v>
      </c>
      <c r="C646" s="11" t="inlineStr">
        <is>
          <t>Física</t>
        </is>
      </c>
      <c r="D646" s="11" t="inlineStr">
        <is>
          <t>Matriz_Bachillerato_Fisica_10_11.xlsx</t>
        </is>
      </c>
      <c r="E646" s="11" t="inlineStr">
        <is>
          <t>Física 10.°</t>
        </is>
      </c>
      <c r="F646" s="11" t="n">
        <v>22</v>
      </c>
      <c r="G646" s="11" t="inlineStr">
        <is>
          <t>3. Movimiento: cinemática en una dimensión</t>
        </is>
      </c>
      <c r="H646" s="11" t="inlineStr">
        <is>
          <t>Análisis gráfico del movimiento</t>
        </is>
      </c>
      <c r="I646" s="38" t="inlineStr">
        <is>
          <t>3.7. Interpretación y construcción de gráficas posición-tiempo, velocidad-tiempo y aceleración-tiempo coherentes entre sí para movimientos por tramos.</t>
        </is>
      </c>
      <c r="J646" s="11" t="inlineStr">
        <is>
          <t>TA</t>
        </is>
      </c>
      <c r="K646" s="11" t="inlineStr">
        <is>
          <t>TA-M1.1</t>
        </is>
      </c>
      <c r="L646" s="11" t="inlineStr"/>
      <c r="M646" s="11">
        <f>IF(K646="FUERA","Fuera del marco",IF(K646="N/A","Sin marco",IFERROR(INDEX('Datos - Catálogo TIMSS'!$C$5:$C$107,MATCH(K646,'Datos - Catálogo TIMSS'!$A$5:$A$107,0)),"Pendiente de clasificar")))</f>
        <v/>
      </c>
      <c r="N646" s="11">
        <f>IF(K646="FUERA","Fuera del marco",IF(K646="N/A","Sin marco",IFERROR(INDEX('Datos - Catálogo TIMSS'!$F$5:$F$107,MATCH(K646,'Datos - Catálogo TIMSS'!$A$5:$A$107,0)),"Pendiente de clasificar")))</f>
        <v/>
      </c>
      <c r="O646" s="11">
        <f>IF(L646="","",IFERROR(INDEX('Datos - Catálogo TIMSS'!$C$5:$C$107,MATCH(L646,'Datos - Catálogo TIMSS'!$A$5:$A$107,0)),"?"))</f>
        <v/>
      </c>
      <c r="P646" s="11" t="inlineStr">
        <is>
          <t>alta</t>
        </is>
      </c>
      <c r="Q646" s="38" t="inlineStr">
        <is>
          <t>Gráficas x-t, v-t, a-t coherentes</t>
        </is>
      </c>
      <c r="R646" s="38" t="inlineStr">
        <is>
          <t>Aplicar: construir gráficas. Razonar: relacionar pendientes y áreas entre gráficas</t>
        </is>
      </c>
      <c r="S646" s="39">
        <f>IFERROR(ISNUMBER(SEARCH("Conocer",$R646))/(ISNUMBER(SEARCH("Conocer",$R646))+ISNUMBER(SEARCH("Aplicar",$R646))+ISNUMBER(SEARCH("Razonar",$R646))),0)</f>
        <v/>
      </c>
      <c r="T646" s="39">
        <f>IFERROR(ISNUMBER(SEARCH("Aplicar",$R646))/(ISNUMBER(SEARCH("Conocer",$R646))+ISNUMBER(SEARCH("Aplicar",$R646))+ISNUMBER(SEARCH("Razonar",$R646))),0)</f>
        <v/>
      </c>
      <c r="U646" s="39">
        <f>IFERROR(ISNUMBER(SEARCH("Razonar",$R646))/(ISNUMBER(SEARCH("Conocer",$R646))+ISNUMBER(SEARCH("Aplicar",$R646))+ISNUMBER(SEARCH("Razonar",$R646))),0)</f>
        <v/>
      </c>
      <c r="V646" s="11" t="inlineStr">
        <is>
          <t>Física 10°</t>
        </is>
      </c>
      <c r="W646" s="11" t="inlineStr">
        <is>
          <t>Física 10°–11°</t>
        </is>
      </c>
      <c r="X646" s="11">
        <f>IF(OR(IFERROR(INDEX('Datos - Catálogo TIMSS'!$I$5:$I$107,MATCH(K646,'Datos - Catálogo TIMSS'!$A$5:$A$107,0)),"No")="Sí",IFERROR(INDEX('Datos - Catálogo TIMSS'!$I$5:$I$107,MATCH(L646,'Datos - Catálogo TIMSS'!$A$5:$A$107,0)),"No")="Sí"),1,0)</f>
        <v/>
      </c>
      <c r="Y646" s="11">
        <f>IF(IFERROR(INDEX('Datos - Catálogo TIMSS'!$J$5:$J$107,MATCH(K646,'Datos - Catálogo TIMSS'!$A$5:$A$107,0)),"No")="Sí",1,0)</f>
        <v/>
      </c>
      <c r="Z646" s="11">
        <f>IF(IFERROR(INDEX('Datos - Catálogo TIMSS'!$J$5:$J$107,MATCH(L646,'Datos - Catálogo TIMSS'!$A$5:$A$107,0)),"No")="Sí",1,0)</f>
        <v/>
      </c>
      <c r="AA646" s="11" t="inlineStr">
        <is>
          <t>TA-M1.1</t>
        </is>
      </c>
      <c r="AB646" s="11" t="inlineStr"/>
      <c r="AC646" s="11">
        <f>IF(AA646="FUERA","Fuera del marco",IF(AA646="N/A","Sin marco",IFERROR(INDEX('Datos - TIMSS 2023'!$C$5:$C$105,MATCH(AA646,'Datos - TIMSS 2023'!$A$5:$A$105,0)),"Pendiente de clasificar")))</f>
        <v/>
      </c>
      <c r="AD646" s="11" t="inlineStr">
        <is>
          <t>2. Construir y evaluar diseños para la indagación científica e interpretar datos y evidencia de forma crítica</t>
        </is>
      </c>
      <c r="AE646" s="11">
        <f>IF(AD646="","",IF(LEFT(AD646,1)="1","C1",IF(LEFT(AD646,1)="2","C2",IF(LEFT(AD646,1)="3","C3",""))))</f>
        <v/>
      </c>
      <c r="AF646" s="11" t="inlineStr">
        <is>
          <t>E1</t>
        </is>
      </c>
      <c r="AG646" s="11" t="inlineStr">
        <is>
          <t>E3</t>
        </is>
      </c>
      <c r="AH646" s="11" t="inlineStr">
        <is>
          <t>E2</t>
        </is>
      </c>
      <c r="AI646" s="11" t="inlineStr">
        <is>
          <t>D4</t>
        </is>
      </c>
      <c r="AJ646" s="11" t="inlineStr">
        <is>
          <t>I4</t>
        </is>
      </c>
      <c r="AK646" s="11" t="n"/>
      <c r="AL646" s="11" t="n"/>
      <c r="AM646" s="11" t="n"/>
      <c r="AN646" s="11" t="n"/>
      <c r="AO646" s="11" t="n"/>
      <c r="AP646" s="11" t="n"/>
      <c r="AQ646" s="11" t="n"/>
      <c r="AR646" s="11" t="n"/>
      <c r="AS646" s="11" t="n"/>
      <c r="AT646" s="11" t="n"/>
      <c r="AU646" s="11" t="n"/>
      <c r="AV646" s="11" t="n"/>
      <c r="AW646" s="11">
        <f>AF646&amp;"; "&amp;AG646&amp;"; "&amp;AH646&amp;"; "&amp;AI646&amp;"; "&amp;AJ646</f>
        <v/>
      </c>
    </row>
    <row r="647">
      <c r="A647" s="11" t="inlineStr">
        <is>
          <t>T0183-G10-FÍS</t>
        </is>
      </c>
      <c r="B647" s="11" t="n">
        <v>10</v>
      </c>
      <c r="C647" s="11" t="inlineStr">
        <is>
          <t>Física</t>
        </is>
      </c>
      <c r="D647" s="11" t="inlineStr">
        <is>
          <t>Matriz_Bachillerato_Fisica_10_11.xlsx</t>
        </is>
      </c>
      <c r="E647" s="11" t="inlineStr">
        <is>
          <t>Física 10.°</t>
        </is>
      </c>
      <c r="F647" s="11" t="n">
        <v>23</v>
      </c>
      <c r="G647" s="11" t="inlineStr">
        <is>
          <t>4. Movimiento: cinemática en dos dimensiones</t>
        </is>
      </c>
      <c r="H647" s="11" t="inlineStr">
        <is>
          <t>Movimiento en el plano</t>
        </is>
      </c>
      <c r="I647" s="38" t="inlineStr">
        <is>
          <t>4.1. Cálculo vectorial del desplazamiento, la velocidad media y la aceleración media de un móvil que se desplaza en el plano.</t>
        </is>
      </c>
      <c r="J647" s="11" t="inlineStr">
        <is>
          <t>TA</t>
        </is>
      </c>
      <c r="K647" s="11" t="inlineStr">
        <is>
          <t>TA-M1.1</t>
        </is>
      </c>
      <c r="L647" s="11" t="inlineStr"/>
      <c r="M647" s="11">
        <f>IF(K647="FUERA","Fuera del marco",IF(K647="N/A","Sin marco",IFERROR(INDEX('Datos - Catálogo TIMSS'!$C$5:$C$107,MATCH(K647,'Datos - Catálogo TIMSS'!$A$5:$A$107,0)),"Pendiente de clasificar")))</f>
        <v/>
      </c>
      <c r="N647" s="11">
        <f>IF(K647="FUERA","Fuera del marco",IF(K647="N/A","Sin marco",IFERROR(INDEX('Datos - Catálogo TIMSS'!$F$5:$F$107,MATCH(K647,'Datos - Catálogo TIMSS'!$A$5:$A$107,0)),"Pendiente de clasificar")))</f>
        <v/>
      </c>
      <c r="O647" s="11">
        <f>IF(L647="","",IFERROR(INDEX('Datos - Catálogo TIMSS'!$C$5:$C$107,MATCH(L647,'Datos - Catálogo TIMSS'!$A$5:$A$107,0)),"?"))</f>
        <v/>
      </c>
      <c r="P647" s="11" t="inlineStr">
        <is>
          <t>alta</t>
        </is>
      </c>
      <c r="Q647" s="38" t="inlineStr">
        <is>
          <t>Cinemática vectorial en el plano</t>
        </is>
      </c>
      <c r="R647" s="38" t="inlineStr">
        <is>
          <t>Aplicar: operar vectores de movimiento. Razonar: explicar la aceleración por cambio de dirección</t>
        </is>
      </c>
      <c r="S647" s="39">
        <f>IFERROR(ISNUMBER(SEARCH("Conocer",$R647))/(ISNUMBER(SEARCH("Conocer",$R647))+ISNUMBER(SEARCH("Aplicar",$R647))+ISNUMBER(SEARCH("Razonar",$R647))),0)</f>
        <v/>
      </c>
      <c r="T647" s="39">
        <f>IFERROR(ISNUMBER(SEARCH("Aplicar",$R647))/(ISNUMBER(SEARCH("Conocer",$R647))+ISNUMBER(SEARCH("Aplicar",$R647))+ISNUMBER(SEARCH("Razonar",$R647))),0)</f>
        <v/>
      </c>
      <c r="U647" s="39">
        <f>IFERROR(ISNUMBER(SEARCH("Razonar",$R647))/(ISNUMBER(SEARCH("Conocer",$R647))+ISNUMBER(SEARCH("Aplicar",$R647))+ISNUMBER(SEARCH("Razonar",$R647))),0)</f>
        <v/>
      </c>
      <c r="V647" s="11" t="inlineStr">
        <is>
          <t>Física 10°</t>
        </is>
      </c>
      <c r="W647" s="11" t="inlineStr">
        <is>
          <t>Física 10°–11°</t>
        </is>
      </c>
      <c r="X647" s="11">
        <f>IF(OR(IFERROR(INDEX('Datos - Catálogo TIMSS'!$I$5:$I$107,MATCH(K647,'Datos - Catálogo TIMSS'!$A$5:$A$107,0)),"No")="Sí",IFERROR(INDEX('Datos - Catálogo TIMSS'!$I$5:$I$107,MATCH(L647,'Datos - Catálogo TIMSS'!$A$5:$A$107,0)),"No")="Sí"),1,0)</f>
        <v/>
      </c>
      <c r="Y647" s="11">
        <f>IF(IFERROR(INDEX('Datos - Catálogo TIMSS'!$J$5:$J$107,MATCH(K647,'Datos - Catálogo TIMSS'!$A$5:$A$107,0)),"No")="Sí",1,0)</f>
        <v/>
      </c>
      <c r="Z647" s="11">
        <f>IF(IFERROR(INDEX('Datos - Catálogo TIMSS'!$J$5:$J$107,MATCH(L647,'Datos - Catálogo TIMSS'!$A$5:$A$107,0)),"No")="Sí",1,0)</f>
        <v/>
      </c>
      <c r="AA647" s="11" t="inlineStr">
        <is>
          <t>TA-M1.1</t>
        </is>
      </c>
      <c r="AB647" s="11" t="inlineStr"/>
      <c r="AC647" s="11">
        <f>IF(AA647="FUERA","Fuera del marco",IF(AA647="N/A","Sin marco",IFERROR(INDEX('Datos - TIMSS 2023'!$C$5:$C$105,MATCH(AA647,'Datos - TIMSS 2023'!$A$5:$A$105,0)),"Pendiente de clasificar")))</f>
        <v/>
      </c>
      <c r="AD647" s="11" t="inlineStr">
        <is>
          <t>1. Explicar fenómenos científicamente</t>
        </is>
      </c>
      <c r="AE647" s="11">
        <f>IF(AD647="","",IF(LEFT(AD647,1)="1","C1",IF(LEFT(AD647,1)="2","C2",IF(LEFT(AD647,1)="3","C3",""))))</f>
        <v/>
      </c>
      <c r="AF647" s="11" t="inlineStr">
        <is>
          <t>E1</t>
        </is>
      </c>
      <c r="AG647" s="11" t="inlineStr">
        <is>
          <t>E3</t>
        </is>
      </c>
      <c r="AH647" s="11" t="inlineStr">
        <is>
          <t>E2</t>
        </is>
      </c>
      <c r="AI647" s="11" t="inlineStr">
        <is>
          <t>D4</t>
        </is>
      </c>
      <c r="AJ647" s="11" t="inlineStr">
        <is>
          <t>E3</t>
        </is>
      </c>
      <c r="AK647" s="11" t="n"/>
      <c r="AL647" s="11" t="n"/>
      <c r="AM647" s="11" t="n"/>
      <c r="AN647" s="11" t="n"/>
      <c r="AO647" s="11" t="n"/>
      <c r="AP647" s="11" t="n"/>
      <c r="AQ647" s="11" t="n"/>
      <c r="AR647" s="11" t="n"/>
      <c r="AS647" s="11" t="n"/>
      <c r="AT647" s="11" t="n"/>
      <c r="AU647" s="11" t="n"/>
      <c r="AV647" s="11" t="n"/>
      <c r="AW647" s="11">
        <f>AF647&amp;"; "&amp;AG647&amp;"; "&amp;AH647&amp;"; "&amp;AI647&amp;"; "&amp;AJ647</f>
        <v/>
      </c>
    </row>
    <row r="648">
      <c r="A648" s="11" t="inlineStr">
        <is>
          <t>T0184-G10-FÍS</t>
        </is>
      </c>
      <c r="B648" s="11" t="n">
        <v>10</v>
      </c>
      <c r="C648" s="11" t="inlineStr">
        <is>
          <t>Física</t>
        </is>
      </c>
      <c r="D648" s="11" t="inlineStr">
        <is>
          <t>Matriz_Bachillerato_Fisica_10_11.xlsx</t>
        </is>
      </c>
      <c r="E648" s="11" t="inlineStr">
        <is>
          <t>Física 10.°</t>
        </is>
      </c>
      <c r="F648" s="11" t="n">
        <v>24</v>
      </c>
      <c r="G648" s="11" t="inlineStr">
        <is>
          <t>4. Movimiento: cinemática en dos dimensiones</t>
        </is>
      </c>
      <c r="H648" s="11" t="inlineStr">
        <is>
          <t>Movimiento en el plano</t>
        </is>
      </c>
      <c r="I648" s="38" t="inlineStr">
        <is>
          <t>4.2. Aplicación de las ecuaciones de la cinemática por componentes a movimientos en el plano con aceleración constante.</t>
        </is>
      </c>
      <c r="J648" s="11" t="inlineStr">
        <is>
          <t>TA</t>
        </is>
      </c>
      <c r="K648" s="11" t="inlineStr">
        <is>
          <t>TA-M1.1</t>
        </is>
      </c>
      <c r="L648" s="11" t="inlineStr"/>
      <c r="M648" s="11">
        <f>IF(K648="FUERA","Fuera del marco",IF(K648="N/A","Sin marco",IFERROR(INDEX('Datos - Catálogo TIMSS'!$C$5:$C$107,MATCH(K648,'Datos - Catálogo TIMSS'!$A$5:$A$107,0)),"Pendiente de clasificar")))</f>
        <v/>
      </c>
      <c r="N648" s="11">
        <f>IF(K648="FUERA","Fuera del marco",IF(K648="N/A","Sin marco",IFERROR(INDEX('Datos - Catálogo TIMSS'!$F$5:$F$107,MATCH(K648,'Datos - Catálogo TIMSS'!$A$5:$A$107,0)),"Pendiente de clasificar")))</f>
        <v/>
      </c>
      <c r="O648" s="11">
        <f>IF(L648="","",IFERROR(INDEX('Datos - Catálogo TIMSS'!$C$5:$C$107,MATCH(L648,'Datos - Catálogo TIMSS'!$A$5:$A$107,0)),"?"))</f>
        <v/>
      </c>
      <c r="P648" s="11" t="inlineStr">
        <is>
          <t>alta</t>
        </is>
      </c>
      <c r="Q648" s="38" t="inlineStr">
        <is>
          <t>Cinemática por componentes con aceleración constante</t>
        </is>
      </c>
      <c r="R648" s="38" t="inlineStr">
        <is>
          <t>Aplicar: resolver por componentes. Razonar: argumentar con evidencia de video</t>
        </is>
      </c>
      <c r="S648" s="39">
        <f>IFERROR(ISNUMBER(SEARCH("Conocer",$R648))/(ISNUMBER(SEARCH("Conocer",$R648))+ISNUMBER(SEARCH("Aplicar",$R648))+ISNUMBER(SEARCH("Razonar",$R648))),0)</f>
        <v/>
      </c>
      <c r="T648" s="39">
        <f>IFERROR(ISNUMBER(SEARCH("Aplicar",$R648))/(ISNUMBER(SEARCH("Conocer",$R648))+ISNUMBER(SEARCH("Aplicar",$R648))+ISNUMBER(SEARCH("Razonar",$R648))),0)</f>
        <v/>
      </c>
      <c r="U648" s="39">
        <f>IFERROR(ISNUMBER(SEARCH("Razonar",$R648))/(ISNUMBER(SEARCH("Conocer",$R648))+ISNUMBER(SEARCH("Aplicar",$R648))+ISNUMBER(SEARCH("Razonar",$R648))),0)</f>
        <v/>
      </c>
      <c r="V648" s="11" t="inlineStr">
        <is>
          <t>Física 10°</t>
        </is>
      </c>
      <c r="W648" s="11" t="inlineStr">
        <is>
          <t>Física 10°–11°</t>
        </is>
      </c>
      <c r="X648" s="11">
        <f>IF(OR(IFERROR(INDEX('Datos - Catálogo TIMSS'!$I$5:$I$107,MATCH(K648,'Datos - Catálogo TIMSS'!$A$5:$A$107,0)),"No")="Sí",IFERROR(INDEX('Datos - Catálogo TIMSS'!$I$5:$I$107,MATCH(L648,'Datos - Catálogo TIMSS'!$A$5:$A$107,0)),"No")="Sí"),1,0)</f>
        <v/>
      </c>
      <c r="Y648" s="11">
        <f>IF(IFERROR(INDEX('Datos - Catálogo TIMSS'!$J$5:$J$107,MATCH(K648,'Datos - Catálogo TIMSS'!$A$5:$A$107,0)),"No")="Sí",1,0)</f>
        <v/>
      </c>
      <c r="Z648" s="11">
        <f>IF(IFERROR(INDEX('Datos - Catálogo TIMSS'!$J$5:$J$107,MATCH(L648,'Datos - Catálogo TIMSS'!$A$5:$A$107,0)),"No")="Sí",1,0)</f>
        <v/>
      </c>
      <c r="AA648" s="11" t="inlineStr">
        <is>
          <t>TA-M1.1</t>
        </is>
      </c>
      <c r="AB648" s="11" t="inlineStr"/>
      <c r="AC648" s="11">
        <f>IF(AA648="FUERA","Fuera del marco",IF(AA648="N/A","Sin marco",IFERROR(INDEX('Datos - TIMSS 2023'!$C$5:$C$105,MATCH(AA648,'Datos - TIMSS 2023'!$A$5:$A$105,0)),"Pendiente de clasificar")))</f>
        <v/>
      </c>
      <c r="AD648" s="11" t="inlineStr">
        <is>
          <t>1. Explicar fenómenos científicamente</t>
        </is>
      </c>
      <c r="AE648" s="11">
        <f>IF(AD648="","",IF(LEFT(AD648,1)="1","C1",IF(LEFT(AD648,1)="2","C2",IF(LEFT(AD648,1)="3","C3",""))))</f>
        <v/>
      </c>
      <c r="AF648" s="11" t="inlineStr">
        <is>
          <t>E1</t>
        </is>
      </c>
      <c r="AG648" s="11" t="inlineStr">
        <is>
          <t>E5</t>
        </is>
      </c>
      <c r="AH648" s="11" t="inlineStr">
        <is>
          <t>E4</t>
        </is>
      </c>
      <c r="AI648" s="11" t="inlineStr">
        <is>
          <t>I3</t>
        </is>
      </c>
      <c r="AJ648" s="11" t="inlineStr">
        <is>
          <t>E3</t>
        </is>
      </c>
      <c r="AK648" s="11" t="n"/>
      <c r="AL648" s="11" t="n"/>
      <c r="AM648" s="11" t="n"/>
      <c r="AN648" s="11" t="n"/>
      <c r="AO648" s="11" t="n"/>
      <c r="AP648" s="11" t="n"/>
      <c r="AQ648" s="11" t="n"/>
      <c r="AR648" s="11" t="n"/>
      <c r="AS648" s="11" t="n"/>
      <c r="AT648" s="11" t="n"/>
      <c r="AU648" s="11" t="n"/>
      <c r="AV648" s="11" t="n"/>
      <c r="AW648" s="11">
        <f>AF648&amp;"; "&amp;AG648&amp;"; "&amp;AH648&amp;"; "&amp;AI648&amp;"; "&amp;AJ648</f>
        <v/>
      </c>
    </row>
    <row r="649">
      <c r="A649" s="11" t="inlineStr">
        <is>
          <t>T0185-G10-FÍS</t>
        </is>
      </c>
      <c r="B649" s="11" t="n">
        <v>10</v>
      </c>
      <c r="C649" s="11" t="inlineStr">
        <is>
          <t>Física</t>
        </is>
      </c>
      <c r="D649" s="11" t="inlineStr">
        <is>
          <t>Matriz_Bachillerato_Fisica_10_11.xlsx</t>
        </is>
      </c>
      <c r="E649" s="11" t="inlineStr">
        <is>
          <t>Física 10.°</t>
        </is>
      </c>
      <c r="F649" s="11" t="n">
        <v>25</v>
      </c>
      <c r="G649" s="11" t="inlineStr">
        <is>
          <t>4. Movimiento: cinemática en dos dimensiones</t>
        </is>
      </c>
      <c r="H649" s="11" t="inlineStr">
        <is>
          <t>Movimiento de proyectiles</t>
        </is>
      </c>
      <c r="I649" s="38" t="inlineStr">
        <is>
          <t>4.3. Modelación del lanzamiento oblicuo de proyectiles y validación con un lanzador construido con materiales de bajo riesgo.</t>
        </is>
      </c>
      <c r="J649" s="11" t="inlineStr">
        <is>
          <t>TA</t>
        </is>
      </c>
      <c r="K649" s="11" t="inlineStr">
        <is>
          <t>TA-M1.1</t>
        </is>
      </c>
      <c r="L649" s="11" t="inlineStr"/>
      <c r="M649" s="11">
        <f>IF(K649="FUERA","Fuera del marco",IF(K649="N/A","Sin marco",IFERROR(INDEX('Datos - Catálogo TIMSS'!$C$5:$C$107,MATCH(K649,'Datos - Catálogo TIMSS'!$A$5:$A$107,0)),"Pendiente de clasificar")))</f>
        <v/>
      </c>
      <c r="N649" s="11">
        <f>IF(K649="FUERA","Fuera del marco",IF(K649="N/A","Sin marco",IFERROR(INDEX('Datos - Catálogo TIMSS'!$F$5:$F$107,MATCH(K649,'Datos - Catálogo TIMSS'!$A$5:$A$107,0)),"Pendiente de clasificar")))</f>
        <v/>
      </c>
      <c r="O649" s="11">
        <f>IF(L649="","",IFERROR(INDEX('Datos - Catálogo TIMSS'!$C$5:$C$107,MATCH(L649,'Datos - Catálogo TIMSS'!$A$5:$A$107,0)),"?"))</f>
        <v/>
      </c>
      <c r="P649" s="11" t="inlineStr">
        <is>
          <t>alta</t>
        </is>
      </c>
      <c r="Q649" s="38" t="inlineStr">
        <is>
          <t>Movimiento de proyectiles: alcance, altura, tiempo de vuelo</t>
        </is>
      </c>
      <c r="R649" s="38" t="inlineStr">
        <is>
          <t>Aplicar: calcular alcance y altura máxima. Razonar: evaluar el modelo con datos</t>
        </is>
      </c>
      <c r="S649" s="39">
        <f>IFERROR(ISNUMBER(SEARCH("Conocer",$R649))/(ISNUMBER(SEARCH("Conocer",$R649))+ISNUMBER(SEARCH("Aplicar",$R649))+ISNUMBER(SEARCH("Razonar",$R649))),0)</f>
        <v/>
      </c>
      <c r="T649" s="39">
        <f>IFERROR(ISNUMBER(SEARCH("Aplicar",$R649))/(ISNUMBER(SEARCH("Conocer",$R649))+ISNUMBER(SEARCH("Aplicar",$R649))+ISNUMBER(SEARCH("Razonar",$R649))),0)</f>
        <v/>
      </c>
      <c r="U649" s="39">
        <f>IFERROR(ISNUMBER(SEARCH("Razonar",$R649))/(ISNUMBER(SEARCH("Conocer",$R649))+ISNUMBER(SEARCH("Aplicar",$R649))+ISNUMBER(SEARCH("Razonar",$R649))),0)</f>
        <v/>
      </c>
      <c r="V649" s="11" t="inlineStr">
        <is>
          <t>Física 10°</t>
        </is>
      </c>
      <c r="W649" s="11" t="inlineStr">
        <is>
          <t>Física 10°–11°</t>
        </is>
      </c>
      <c r="X649" s="11">
        <f>IF(OR(IFERROR(INDEX('Datos - Catálogo TIMSS'!$I$5:$I$107,MATCH(K649,'Datos - Catálogo TIMSS'!$A$5:$A$107,0)),"No")="Sí",IFERROR(INDEX('Datos - Catálogo TIMSS'!$I$5:$I$107,MATCH(L649,'Datos - Catálogo TIMSS'!$A$5:$A$107,0)),"No")="Sí"),1,0)</f>
        <v/>
      </c>
      <c r="Y649" s="11">
        <f>IF(IFERROR(INDEX('Datos - Catálogo TIMSS'!$J$5:$J$107,MATCH(K649,'Datos - Catálogo TIMSS'!$A$5:$A$107,0)),"No")="Sí",1,0)</f>
        <v/>
      </c>
      <c r="Z649" s="11">
        <f>IF(IFERROR(INDEX('Datos - Catálogo TIMSS'!$J$5:$J$107,MATCH(L649,'Datos - Catálogo TIMSS'!$A$5:$A$107,0)),"No")="Sí",1,0)</f>
        <v/>
      </c>
      <c r="AA649" s="11" t="inlineStr">
        <is>
          <t>TA-M1.1</t>
        </is>
      </c>
      <c r="AB649" s="11" t="inlineStr"/>
      <c r="AC649" s="11">
        <f>IF(AA649="FUERA","Fuera del marco",IF(AA649="N/A","Sin marco",IFERROR(INDEX('Datos - TIMSS 2023'!$C$5:$C$105,MATCH(AA649,'Datos - TIMSS 2023'!$A$5:$A$105,0)),"Pendiente de clasificar")))</f>
        <v/>
      </c>
      <c r="AD649" s="11" t="inlineStr">
        <is>
          <t>2. Construir y evaluar diseños para la indagación científica e interpretar datos y evidencia de forma crítica</t>
        </is>
      </c>
      <c r="AE649" s="11">
        <f>IF(AD649="","",IF(LEFT(AD649,1)="1","C1",IF(LEFT(AD649,1)="2","C2",IF(LEFT(AD649,1)="3","C3",""))))</f>
        <v/>
      </c>
      <c r="AF649" s="11" t="inlineStr">
        <is>
          <t>E6</t>
        </is>
      </c>
      <c r="AG649" s="11" t="inlineStr">
        <is>
          <t>D1</t>
        </is>
      </c>
      <c r="AH649" s="11" t="inlineStr">
        <is>
          <t>E4</t>
        </is>
      </c>
      <c r="AI649" s="11" t="inlineStr">
        <is>
          <t>D2</t>
        </is>
      </c>
      <c r="AJ649" s="11" t="inlineStr">
        <is>
          <t>D3</t>
        </is>
      </c>
      <c r="AK649" s="11" t="n"/>
      <c r="AL649" s="11" t="n"/>
      <c r="AM649" s="11" t="n"/>
      <c r="AN649" s="11" t="n"/>
      <c r="AO649" s="11" t="n"/>
      <c r="AP649" s="11" t="n"/>
      <c r="AQ649" s="11" t="n"/>
      <c r="AR649" s="11" t="n"/>
      <c r="AS649" s="11" t="n"/>
      <c r="AT649" s="11" t="n"/>
      <c r="AU649" s="11" t="n"/>
      <c r="AV649" s="11" t="n"/>
      <c r="AW649" s="11">
        <f>AF649&amp;"; "&amp;AG649&amp;"; "&amp;AH649&amp;"; "&amp;AI649&amp;"; "&amp;AJ649</f>
        <v/>
      </c>
    </row>
    <row r="650">
      <c r="A650" s="11" t="inlineStr">
        <is>
          <t>T0186-G10-FÍS</t>
        </is>
      </c>
      <c r="B650" s="11" t="n">
        <v>10</v>
      </c>
      <c r="C650" s="11" t="inlineStr">
        <is>
          <t>Física</t>
        </is>
      </c>
      <c r="D650" s="11" t="inlineStr">
        <is>
          <t>Matriz_Bachillerato_Fisica_10_11.xlsx</t>
        </is>
      </c>
      <c r="E650" s="11" t="inlineStr">
        <is>
          <t>Física 10.°</t>
        </is>
      </c>
      <c r="F650" s="11" t="n">
        <v>26</v>
      </c>
      <c r="G650" s="11" t="inlineStr">
        <is>
          <t>4. Movimiento: cinemática en dos dimensiones</t>
        </is>
      </c>
      <c r="H650" s="11" t="inlineStr">
        <is>
          <t>Velocidad relativa</t>
        </is>
      </c>
      <c r="I650" s="38" t="inlineStr">
        <is>
          <t>4.4. Cálculo de velocidades relativas en el plano mediante la suma vectorial de velocidades respecto de distintos sistemas de referencia.</t>
        </is>
      </c>
      <c r="J650" s="11" t="inlineStr">
        <is>
          <t>TA</t>
        </is>
      </c>
      <c r="K650" s="11" t="inlineStr">
        <is>
          <t>TA-M1.1</t>
        </is>
      </c>
      <c r="L650" s="11" t="inlineStr"/>
      <c r="M650" s="11">
        <f>IF(K650="FUERA","Fuera del marco",IF(K650="N/A","Sin marco",IFERROR(INDEX('Datos - Catálogo TIMSS'!$C$5:$C$107,MATCH(K650,'Datos - Catálogo TIMSS'!$A$5:$A$107,0)),"Pendiente de clasificar")))</f>
        <v/>
      </c>
      <c r="N650" s="11">
        <f>IF(K650="FUERA","Fuera del marco",IF(K650="N/A","Sin marco",IFERROR(INDEX('Datos - Catálogo TIMSS'!$F$5:$F$107,MATCH(K650,'Datos - Catálogo TIMSS'!$A$5:$A$107,0)),"Pendiente de clasificar")))</f>
        <v/>
      </c>
      <c r="O650" s="11">
        <f>IF(L650="","",IFERROR(INDEX('Datos - Catálogo TIMSS'!$C$5:$C$107,MATCH(L650,'Datos - Catálogo TIMSS'!$A$5:$A$107,0)),"?"))</f>
        <v/>
      </c>
      <c r="P650" s="11" t="inlineStr">
        <is>
          <t>media</t>
        </is>
      </c>
      <c r="Q650" s="38" t="inlineStr">
        <is>
          <t>Velocidad relativa entre sistemas de referencia</t>
        </is>
      </c>
      <c r="R650" s="38" t="inlineStr">
        <is>
          <t>Aplicar: sumar velocidades vectorialmente. Razonar: justificar decisiones de rumbo</t>
        </is>
      </c>
      <c r="S650" s="39">
        <f>IFERROR(ISNUMBER(SEARCH("Conocer",$R650))/(ISNUMBER(SEARCH("Conocer",$R650))+ISNUMBER(SEARCH("Aplicar",$R650))+ISNUMBER(SEARCH("Razonar",$R650))),0)</f>
        <v/>
      </c>
      <c r="T650" s="39">
        <f>IFERROR(ISNUMBER(SEARCH("Aplicar",$R650))/(ISNUMBER(SEARCH("Conocer",$R650))+ISNUMBER(SEARCH("Aplicar",$R650))+ISNUMBER(SEARCH("Razonar",$R650))),0)</f>
        <v/>
      </c>
      <c r="U650" s="39">
        <f>IFERROR(ISNUMBER(SEARCH("Razonar",$R650))/(ISNUMBER(SEARCH("Conocer",$R650))+ISNUMBER(SEARCH("Aplicar",$R650))+ISNUMBER(SEARCH("Razonar",$R650))),0)</f>
        <v/>
      </c>
      <c r="V650" s="11" t="inlineStr">
        <is>
          <t>Física 10°</t>
        </is>
      </c>
      <c r="W650" s="11" t="inlineStr">
        <is>
          <t>Física 10°–11°</t>
        </is>
      </c>
      <c r="X650" s="11">
        <f>IF(OR(IFERROR(INDEX('Datos - Catálogo TIMSS'!$I$5:$I$107,MATCH(K650,'Datos - Catálogo TIMSS'!$A$5:$A$107,0)),"No")="Sí",IFERROR(INDEX('Datos - Catálogo TIMSS'!$I$5:$I$107,MATCH(L650,'Datos - Catálogo TIMSS'!$A$5:$A$107,0)),"No")="Sí"),1,0)</f>
        <v/>
      </c>
      <c r="Y650" s="11">
        <f>IF(IFERROR(INDEX('Datos - Catálogo TIMSS'!$J$5:$J$107,MATCH(K650,'Datos - Catálogo TIMSS'!$A$5:$A$107,0)),"No")="Sí",1,0)</f>
        <v/>
      </c>
      <c r="Z650" s="11">
        <f>IF(IFERROR(INDEX('Datos - Catálogo TIMSS'!$J$5:$J$107,MATCH(L650,'Datos - Catálogo TIMSS'!$A$5:$A$107,0)),"No")="Sí",1,0)</f>
        <v/>
      </c>
      <c r="AA650" s="11" t="inlineStr">
        <is>
          <t>TA-M1.1</t>
        </is>
      </c>
      <c r="AB650" s="11" t="inlineStr"/>
      <c r="AC650" s="11">
        <f>IF(AA650="FUERA","Fuera del marco",IF(AA650="N/A","Sin marco",IFERROR(INDEX('Datos - TIMSS 2023'!$C$5:$C$105,MATCH(AA650,'Datos - TIMSS 2023'!$A$5:$A$105,0)),"Pendiente de clasificar")))</f>
        <v/>
      </c>
      <c r="AD650" s="11" t="inlineStr">
        <is>
          <t>1. Explicar fenómenos científicamente</t>
        </is>
      </c>
      <c r="AE650" s="11">
        <f>IF(AD650="","",IF(LEFT(AD650,1)="1","C1",IF(LEFT(AD650,1)="2","C2",IF(LEFT(AD650,1)="3","C3",""))))</f>
        <v/>
      </c>
      <c r="AF650" s="11" t="inlineStr">
        <is>
          <t>E1</t>
        </is>
      </c>
      <c r="AG650" s="11" t="inlineStr">
        <is>
          <t>D1</t>
        </is>
      </c>
      <c r="AH650" s="11" t="inlineStr">
        <is>
          <t>E2</t>
        </is>
      </c>
      <c r="AI650" s="11" t="inlineStr">
        <is>
          <t>E4</t>
        </is>
      </c>
      <c r="AJ650" s="11" t="inlineStr">
        <is>
          <t>I5</t>
        </is>
      </c>
      <c r="AK650" s="11" t="n"/>
      <c r="AL650" s="11" t="n"/>
      <c r="AM650" s="11" t="n"/>
      <c r="AN650" s="11" t="n"/>
      <c r="AO650" s="11" t="n"/>
      <c r="AP650" s="11" t="n"/>
      <c r="AQ650" s="11" t="n"/>
      <c r="AR650" s="11" t="n"/>
      <c r="AS650" s="11" t="n"/>
      <c r="AT650" s="11" t="n"/>
      <c r="AU650" s="11" t="n"/>
      <c r="AV650" s="11" t="n"/>
      <c r="AW650" s="11">
        <f>AF650&amp;"; "&amp;AG650&amp;"; "&amp;AH650&amp;"; "&amp;AI650&amp;"; "&amp;AJ650</f>
        <v/>
      </c>
    </row>
    <row r="651">
      <c r="A651" s="11" t="inlineStr">
        <is>
          <t>T0187-G10-FÍS</t>
        </is>
      </c>
      <c r="B651" s="11" t="n">
        <v>10</v>
      </c>
      <c r="C651" s="11" t="inlineStr">
        <is>
          <t>Física</t>
        </is>
      </c>
      <c r="D651" s="11" t="inlineStr">
        <is>
          <t>Matriz_Bachillerato_Fisica_10_11.xlsx</t>
        </is>
      </c>
      <c r="E651" s="11" t="inlineStr">
        <is>
          <t>Física 10.°</t>
        </is>
      </c>
      <c r="F651" s="11" t="n">
        <v>27</v>
      </c>
      <c r="G651" s="11" t="inlineStr">
        <is>
          <t>5. Las leyes de Newton</t>
        </is>
      </c>
      <c r="H651" s="11" t="inlineStr">
        <is>
          <t>Fuerza y masa</t>
        </is>
      </c>
      <c r="I651" s="38" t="inlineStr">
        <is>
          <t>5.1. Análisis de los conceptos de fuerza y masa desde su significado cotidiano, técnico e histórico.</t>
        </is>
      </c>
      <c r="J651" s="11" t="inlineStr">
        <is>
          <t>TA</t>
        </is>
      </c>
      <c r="K651" s="11" t="inlineStr">
        <is>
          <t>TA-M1.1</t>
        </is>
      </c>
      <c r="L651" s="11" t="inlineStr"/>
      <c r="M651" s="11">
        <f>IF(K651="FUERA","Fuera del marco",IF(K651="N/A","Sin marco",IFERROR(INDEX('Datos - Catálogo TIMSS'!$C$5:$C$107,MATCH(K651,'Datos - Catálogo TIMSS'!$A$5:$A$107,0)),"Pendiente de clasificar")))</f>
        <v/>
      </c>
      <c r="N651" s="11">
        <f>IF(K651="FUERA","Fuera del marco",IF(K651="N/A","Sin marco",IFERROR(INDEX('Datos - Catálogo TIMSS'!$F$5:$F$107,MATCH(K651,'Datos - Catálogo TIMSS'!$A$5:$A$107,0)),"Pendiente de clasificar")))</f>
        <v/>
      </c>
      <c r="O651" s="11">
        <f>IF(L651="","",IFERROR(INDEX('Datos - Catálogo TIMSS'!$C$5:$C$107,MATCH(L651,'Datos - Catálogo TIMSS'!$A$5:$A$107,0)),"?"))</f>
        <v/>
      </c>
      <c r="P651" s="11" t="inlineStr">
        <is>
          <t>media</t>
        </is>
      </c>
      <c r="Q651" s="38" t="inlineStr">
        <is>
          <t>Concepto de fuerza, masa inercial y peso</t>
        </is>
      </c>
      <c r="R651" s="38" t="inlineStr">
        <is>
          <t>Conocer: definir fuerza y masa. Razonar: evaluar fuentes históricas</t>
        </is>
      </c>
      <c r="S651" s="39">
        <f>IFERROR(ISNUMBER(SEARCH("Conocer",$R651))/(ISNUMBER(SEARCH("Conocer",$R651))+ISNUMBER(SEARCH("Aplicar",$R651))+ISNUMBER(SEARCH("Razonar",$R651))),0)</f>
        <v/>
      </c>
      <c r="T651" s="39">
        <f>IFERROR(ISNUMBER(SEARCH("Aplicar",$R651))/(ISNUMBER(SEARCH("Conocer",$R651))+ISNUMBER(SEARCH("Aplicar",$R651))+ISNUMBER(SEARCH("Razonar",$R651))),0)</f>
        <v/>
      </c>
      <c r="U651" s="39">
        <f>IFERROR(ISNUMBER(SEARCH("Razonar",$R651))/(ISNUMBER(SEARCH("Conocer",$R651))+ISNUMBER(SEARCH("Aplicar",$R651))+ISNUMBER(SEARCH("Razonar",$R651))),0)</f>
        <v/>
      </c>
      <c r="V651" s="11" t="inlineStr">
        <is>
          <t>Física 10°</t>
        </is>
      </c>
      <c r="W651" s="11" t="inlineStr">
        <is>
          <t>Física 10°–11°</t>
        </is>
      </c>
      <c r="X651" s="11">
        <f>IF(OR(IFERROR(INDEX('Datos - Catálogo TIMSS'!$I$5:$I$107,MATCH(K651,'Datos - Catálogo TIMSS'!$A$5:$A$107,0)),"No")="Sí",IFERROR(INDEX('Datos - Catálogo TIMSS'!$I$5:$I$107,MATCH(L651,'Datos - Catálogo TIMSS'!$A$5:$A$107,0)),"No")="Sí"),1,0)</f>
        <v/>
      </c>
      <c r="Y651" s="11">
        <f>IF(IFERROR(INDEX('Datos - Catálogo TIMSS'!$J$5:$J$107,MATCH(K651,'Datos - Catálogo TIMSS'!$A$5:$A$107,0)),"No")="Sí",1,0)</f>
        <v/>
      </c>
      <c r="Z651" s="11">
        <f>IF(IFERROR(INDEX('Datos - Catálogo TIMSS'!$J$5:$J$107,MATCH(L651,'Datos - Catálogo TIMSS'!$A$5:$A$107,0)),"No")="Sí",1,0)</f>
        <v/>
      </c>
      <c r="AA651" s="11" t="inlineStr">
        <is>
          <t>TA-M1.1</t>
        </is>
      </c>
      <c r="AB651" s="11" t="inlineStr"/>
      <c r="AC651" s="11">
        <f>IF(AA651="FUERA","Fuera del marco",IF(AA651="N/A","Sin marco",IFERROR(INDEX('Datos - TIMSS 2023'!$C$5:$C$105,MATCH(AA651,'Datos - TIMSS 2023'!$A$5:$A$105,0)),"Pendiente de clasificar")))</f>
        <v/>
      </c>
      <c r="AD651" s="11" t="inlineStr">
        <is>
          <t>3. Investigar, evaluar y usar información científica para tomar decisiones y actuar</t>
        </is>
      </c>
      <c r="AE651" s="11">
        <f>IF(AD651="","",IF(LEFT(AD651,1)="1","C1",IF(LEFT(AD651,1)="2","C2",IF(LEFT(AD651,1)="3","C3",""))))</f>
        <v/>
      </c>
      <c r="AF651" s="11" t="inlineStr">
        <is>
          <t>E1</t>
        </is>
      </c>
      <c r="AG651" s="11" t="inlineStr">
        <is>
          <t>E5</t>
        </is>
      </c>
      <c r="AH651" s="11" t="inlineStr">
        <is>
          <t>E1</t>
        </is>
      </c>
      <c r="AI651" s="11" t="inlineStr">
        <is>
          <t>I1</t>
        </is>
      </c>
      <c r="AJ651" s="11" t="inlineStr">
        <is>
          <t>I2</t>
        </is>
      </c>
      <c r="AK651" s="11" t="n"/>
      <c r="AL651" s="11" t="n"/>
      <c r="AM651" s="11" t="n"/>
      <c r="AN651" s="11" t="n"/>
      <c r="AO651" s="11" t="n"/>
      <c r="AP651" s="11" t="n"/>
      <c r="AQ651" s="11" t="n"/>
      <c r="AR651" s="11" t="n"/>
      <c r="AS651" s="11" t="n"/>
      <c r="AT651" s="11" t="n"/>
      <c r="AU651" s="11" t="n"/>
      <c r="AV651" s="11" t="n"/>
      <c r="AW651" s="11">
        <f>AF651&amp;"; "&amp;AG651&amp;"; "&amp;AH651&amp;"; "&amp;AI651&amp;"; "&amp;AJ651</f>
        <v/>
      </c>
    </row>
    <row r="652">
      <c r="A652" s="11" t="inlineStr">
        <is>
          <t>T0188-G10-FÍS</t>
        </is>
      </c>
      <c r="B652" s="11" t="n">
        <v>10</v>
      </c>
      <c r="C652" s="11" t="inlineStr">
        <is>
          <t>Física</t>
        </is>
      </c>
      <c r="D652" s="11" t="inlineStr">
        <is>
          <t>Matriz_Bachillerato_Fisica_10_11.xlsx</t>
        </is>
      </c>
      <c r="E652" s="11" t="inlineStr">
        <is>
          <t>Física 10.°</t>
        </is>
      </c>
      <c r="F652" s="11" t="n">
        <v>28</v>
      </c>
      <c r="G652" s="11" t="inlineStr">
        <is>
          <t>5. Las leyes de Newton</t>
        </is>
      </c>
      <c r="H652" s="11" t="inlineStr">
        <is>
          <t>Leyes de Newton</t>
        </is>
      </c>
      <c r="I652" s="38" t="inlineStr">
        <is>
          <t>5.2. Explicación de situaciones cotidianas y de seguridad vial con la primera ley de Newton y el concepto de sistema de referencia inercial.</t>
        </is>
      </c>
      <c r="J652" s="11" t="inlineStr">
        <is>
          <t>TA</t>
        </is>
      </c>
      <c r="K652" s="11" t="inlineStr">
        <is>
          <t>TA-M1.1</t>
        </is>
      </c>
      <c r="L652" s="11" t="inlineStr"/>
      <c r="M652" s="11">
        <f>IF(K652="FUERA","Fuera del marco",IF(K652="N/A","Sin marco",IFERROR(INDEX('Datos - Catálogo TIMSS'!$C$5:$C$107,MATCH(K652,'Datos - Catálogo TIMSS'!$A$5:$A$107,0)),"Pendiente de clasificar")))</f>
        <v/>
      </c>
      <c r="N652" s="11">
        <f>IF(K652="FUERA","Fuera del marco",IF(K652="N/A","Sin marco",IFERROR(INDEX('Datos - Catálogo TIMSS'!$F$5:$F$107,MATCH(K652,'Datos - Catálogo TIMSS'!$A$5:$A$107,0)),"Pendiente de clasificar")))</f>
        <v/>
      </c>
      <c r="O652" s="11">
        <f>IF(L652="","",IFERROR(INDEX('Datos - Catálogo TIMSS'!$C$5:$C$107,MATCH(L652,'Datos - Catálogo TIMSS'!$A$5:$A$107,0)),"?"))</f>
        <v/>
      </c>
      <c r="P652" s="11" t="inlineStr">
        <is>
          <t>alta</t>
        </is>
      </c>
      <c r="Q652" s="38" t="inlineStr">
        <is>
          <t>Primera ley de Newton e inercia</t>
        </is>
      </c>
      <c r="R652" s="38" t="inlineStr">
        <is>
          <t>Razonar: explicar con la primera ley. Aplicar: identificar sistemas de referencia</t>
        </is>
      </c>
      <c r="S652" s="39">
        <f>IFERROR(ISNUMBER(SEARCH("Conocer",$R652))/(ISNUMBER(SEARCH("Conocer",$R652))+ISNUMBER(SEARCH("Aplicar",$R652))+ISNUMBER(SEARCH("Razonar",$R652))),0)</f>
        <v/>
      </c>
      <c r="T652" s="39">
        <f>IFERROR(ISNUMBER(SEARCH("Aplicar",$R652))/(ISNUMBER(SEARCH("Conocer",$R652))+ISNUMBER(SEARCH("Aplicar",$R652))+ISNUMBER(SEARCH("Razonar",$R652))),0)</f>
        <v/>
      </c>
      <c r="U652" s="39">
        <f>IFERROR(ISNUMBER(SEARCH("Razonar",$R652))/(ISNUMBER(SEARCH("Conocer",$R652))+ISNUMBER(SEARCH("Aplicar",$R652))+ISNUMBER(SEARCH("Razonar",$R652))),0)</f>
        <v/>
      </c>
      <c r="V652" s="11" t="inlineStr">
        <is>
          <t>Física 10°</t>
        </is>
      </c>
      <c r="W652" s="11" t="inlineStr">
        <is>
          <t>Física 10°–11°</t>
        </is>
      </c>
      <c r="X652" s="11">
        <f>IF(OR(IFERROR(INDEX('Datos - Catálogo TIMSS'!$I$5:$I$107,MATCH(K652,'Datos - Catálogo TIMSS'!$A$5:$A$107,0)),"No")="Sí",IFERROR(INDEX('Datos - Catálogo TIMSS'!$I$5:$I$107,MATCH(L652,'Datos - Catálogo TIMSS'!$A$5:$A$107,0)),"No")="Sí"),1,0)</f>
        <v/>
      </c>
      <c r="Y652" s="11">
        <f>IF(IFERROR(INDEX('Datos - Catálogo TIMSS'!$J$5:$J$107,MATCH(K652,'Datos - Catálogo TIMSS'!$A$5:$A$107,0)),"No")="Sí",1,0)</f>
        <v/>
      </c>
      <c r="Z652" s="11">
        <f>IF(IFERROR(INDEX('Datos - Catálogo TIMSS'!$J$5:$J$107,MATCH(L652,'Datos - Catálogo TIMSS'!$A$5:$A$107,0)),"No")="Sí",1,0)</f>
        <v/>
      </c>
      <c r="AA652" s="11" t="inlineStr">
        <is>
          <t>TA-M1.1</t>
        </is>
      </c>
      <c r="AB652" s="11" t="inlineStr"/>
      <c r="AC652" s="11">
        <f>IF(AA652="FUERA","Fuera del marco",IF(AA652="N/A","Sin marco",IFERROR(INDEX('Datos - TIMSS 2023'!$C$5:$C$105,MATCH(AA652,'Datos - TIMSS 2023'!$A$5:$A$105,0)),"Pendiente de clasificar")))</f>
        <v/>
      </c>
      <c r="AD652" s="11" t="inlineStr">
        <is>
          <t>1. Explicar fenómenos científicamente</t>
        </is>
      </c>
      <c r="AE652" s="11">
        <f>IF(AD652="","",IF(LEFT(AD652,1)="1","C1",IF(LEFT(AD652,1)="2","C2",IF(LEFT(AD652,1)="3","C3",""))))</f>
        <v/>
      </c>
      <c r="AF652" s="11" t="inlineStr">
        <is>
          <t>E6</t>
        </is>
      </c>
      <c r="AG652" s="11" t="inlineStr">
        <is>
          <t>D1</t>
        </is>
      </c>
      <c r="AH652" s="11" t="inlineStr">
        <is>
          <t>E4</t>
        </is>
      </c>
      <c r="AI652" s="11" t="inlineStr">
        <is>
          <t>I3</t>
        </is>
      </c>
      <c r="AJ652" s="11" t="inlineStr">
        <is>
          <t>I5</t>
        </is>
      </c>
      <c r="AK652" s="11" t="n"/>
      <c r="AL652" s="11" t="n"/>
      <c r="AM652" s="11" t="n"/>
      <c r="AN652" s="11" t="n"/>
      <c r="AO652" s="11" t="n"/>
      <c r="AP652" s="11" t="n"/>
      <c r="AQ652" s="11" t="n"/>
      <c r="AR652" s="11" t="n"/>
      <c r="AS652" s="11" t="n"/>
      <c r="AT652" s="11" t="n"/>
      <c r="AU652" s="11" t="n"/>
      <c r="AV652" s="11" t="n"/>
      <c r="AW652" s="11">
        <f>AF652&amp;"; "&amp;AG652&amp;"; "&amp;AH652&amp;"; "&amp;AI652&amp;"; "&amp;AJ652</f>
        <v/>
      </c>
    </row>
    <row r="653">
      <c r="A653" s="11" t="inlineStr">
        <is>
          <t>T0189-G10-FÍS</t>
        </is>
      </c>
      <c r="B653" s="11" t="n">
        <v>10</v>
      </c>
      <c r="C653" s="11" t="inlineStr">
        <is>
          <t>Física</t>
        </is>
      </c>
      <c r="D653" s="11" t="inlineStr">
        <is>
          <t>Matriz_Bachillerato_Fisica_10_11.xlsx</t>
        </is>
      </c>
      <c r="E653" s="11" t="inlineStr">
        <is>
          <t>Física 10.°</t>
        </is>
      </c>
      <c r="F653" s="11" t="n">
        <v>29</v>
      </c>
      <c r="G653" s="11" t="inlineStr">
        <is>
          <t>5. Las leyes de Newton</t>
        </is>
      </c>
      <c r="H653" s="11" t="inlineStr">
        <is>
          <t>Leyes de Newton</t>
        </is>
      </c>
      <c r="I653" s="38" t="inlineStr">
        <is>
          <t>5.3. Comprobación experimental de la segunda ley de Newton mediante la relación de la aceleración con la fuerza neta y con la masa.</t>
        </is>
      </c>
      <c r="J653" s="11" t="inlineStr">
        <is>
          <t>TA</t>
        </is>
      </c>
      <c r="K653" s="11" t="inlineStr">
        <is>
          <t>TA-M1.1</t>
        </is>
      </c>
      <c r="L653" s="11" t="inlineStr"/>
      <c r="M653" s="11">
        <f>IF(K653="FUERA","Fuera del marco",IF(K653="N/A","Sin marco",IFERROR(INDEX('Datos - Catálogo TIMSS'!$C$5:$C$107,MATCH(K653,'Datos - Catálogo TIMSS'!$A$5:$A$107,0)),"Pendiente de clasificar")))</f>
        <v/>
      </c>
      <c r="N653" s="11">
        <f>IF(K653="FUERA","Fuera del marco",IF(K653="N/A","Sin marco",IFERROR(INDEX('Datos - Catálogo TIMSS'!$F$5:$F$107,MATCH(K653,'Datos - Catálogo TIMSS'!$A$5:$A$107,0)),"Pendiente de clasificar")))</f>
        <v/>
      </c>
      <c r="O653" s="11">
        <f>IF(L653="","",IFERROR(INDEX('Datos - Catálogo TIMSS'!$C$5:$C$107,MATCH(L653,'Datos - Catálogo TIMSS'!$A$5:$A$107,0)),"?"))</f>
        <v/>
      </c>
      <c r="P653" s="11" t="inlineStr">
        <is>
          <t>alta</t>
        </is>
      </c>
      <c r="Q653" s="38" t="inlineStr">
        <is>
          <t>Segunda ley de Newton experimental</t>
        </is>
      </c>
      <c r="R653" s="38" t="inlineStr">
        <is>
          <t>Aplicar: calcular y graficar. Razonar: interpretar pendientes e interceptos</t>
        </is>
      </c>
      <c r="S653" s="39">
        <f>IFERROR(ISNUMBER(SEARCH("Conocer",$R653))/(ISNUMBER(SEARCH("Conocer",$R653))+ISNUMBER(SEARCH("Aplicar",$R653))+ISNUMBER(SEARCH("Razonar",$R653))),0)</f>
        <v/>
      </c>
      <c r="T653" s="39">
        <f>IFERROR(ISNUMBER(SEARCH("Aplicar",$R653))/(ISNUMBER(SEARCH("Conocer",$R653))+ISNUMBER(SEARCH("Aplicar",$R653))+ISNUMBER(SEARCH("Razonar",$R653))),0)</f>
        <v/>
      </c>
      <c r="U653" s="39">
        <f>IFERROR(ISNUMBER(SEARCH("Razonar",$R653))/(ISNUMBER(SEARCH("Conocer",$R653))+ISNUMBER(SEARCH("Aplicar",$R653))+ISNUMBER(SEARCH("Razonar",$R653))),0)</f>
        <v/>
      </c>
      <c r="V653" s="11" t="inlineStr">
        <is>
          <t>Física 10°</t>
        </is>
      </c>
      <c r="W653" s="11" t="inlineStr">
        <is>
          <t>Física 10°–11°</t>
        </is>
      </c>
      <c r="X653" s="11">
        <f>IF(OR(IFERROR(INDEX('Datos - Catálogo TIMSS'!$I$5:$I$107,MATCH(K653,'Datos - Catálogo TIMSS'!$A$5:$A$107,0)),"No")="Sí",IFERROR(INDEX('Datos - Catálogo TIMSS'!$I$5:$I$107,MATCH(L653,'Datos - Catálogo TIMSS'!$A$5:$A$107,0)),"No")="Sí"),1,0)</f>
        <v/>
      </c>
      <c r="Y653" s="11">
        <f>IF(IFERROR(INDEX('Datos - Catálogo TIMSS'!$J$5:$J$107,MATCH(K653,'Datos - Catálogo TIMSS'!$A$5:$A$107,0)),"No")="Sí",1,0)</f>
        <v/>
      </c>
      <c r="Z653" s="11">
        <f>IF(IFERROR(INDEX('Datos - Catálogo TIMSS'!$J$5:$J$107,MATCH(L653,'Datos - Catálogo TIMSS'!$A$5:$A$107,0)),"No")="Sí",1,0)</f>
        <v/>
      </c>
      <c r="AA653" s="11" t="inlineStr">
        <is>
          <t>TA-M1.1</t>
        </is>
      </c>
      <c r="AB653" s="11" t="inlineStr"/>
      <c r="AC653" s="11">
        <f>IF(AA653="FUERA","Fuera del marco",IF(AA653="N/A","Sin marco",IFERROR(INDEX('Datos - TIMSS 2023'!$C$5:$C$105,MATCH(AA653,'Datos - TIMSS 2023'!$A$5:$A$105,0)),"Pendiente de clasificar")))</f>
        <v/>
      </c>
      <c r="AD653" s="11" t="inlineStr">
        <is>
          <t>2. Construir y evaluar diseños para la indagación científica e interpretar datos y evidencia de forma crítica</t>
        </is>
      </c>
      <c r="AE653" s="11">
        <f>IF(AD653="","",IF(LEFT(AD653,1)="1","C1",IF(LEFT(AD653,1)="2","C2",IF(LEFT(AD653,1)="3","C3",""))))</f>
        <v/>
      </c>
      <c r="AF653" s="11" t="inlineStr">
        <is>
          <t>E1</t>
        </is>
      </c>
      <c r="AG653" s="11" t="inlineStr">
        <is>
          <t>E3</t>
        </is>
      </c>
      <c r="AH653" s="11" t="inlineStr">
        <is>
          <t>E2</t>
        </is>
      </c>
      <c r="AI653" s="11" t="inlineStr">
        <is>
          <t>D4</t>
        </is>
      </c>
      <c r="AJ653" s="11" t="inlineStr">
        <is>
          <t>D3</t>
        </is>
      </c>
      <c r="AK653" s="11" t="n"/>
      <c r="AL653" s="11" t="n"/>
      <c r="AM653" s="11" t="n"/>
      <c r="AN653" s="11" t="n"/>
      <c r="AO653" s="11" t="n"/>
      <c r="AP653" s="11" t="n"/>
      <c r="AQ653" s="11" t="n"/>
      <c r="AR653" s="11" t="n"/>
      <c r="AS653" s="11" t="n"/>
      <c r="AT653" s="11" t="n"/>
      <c r="AU653" s="11" t="n"/>
      <c r="AV653" s="11" t="n"/>
      <c r="AW653" s="11">
        <f>AF653&amp;"; "&amp;AG653&amp;"; "&amp;AH653&amp;"; "&amp;AI653&amp;"; "&amp;AJ653</f>
        <v/>
      </c>
    </row>
    <row r="654">
      <c r="A654" s="11" t="inlineStr">
        <is>
          <t>T0190-G10-FÍS</t>
        </is>
      </c>
      <c r="B654" s="11" t="n">
        <v>10</v>
      </c>
      <c r="C654" s="11" t="inlineStr">
        <is>
          <t>Física</t>
        </is>
      </c>
      <c r="D654" s="11" t="inlineStr">
        <is>
          <t>Matriz_Bachillerato_Fisica_10_11.xlsx</t>
        </is>
      </c>
      <c r="E654" s="11" t="inlineStr">
        <is>
          <t>Física 10.°</t>
        </is>
      </c>
      <c r="F654" s="11" t="n">
        <v>30</v>
      </c>
      <c r="G654" s="11" t="inlineStr">
        <is>
          <t>5. Las leyes de Newton</t>
        </is>
      </c>
      <c r="H654" s="11" t="inlineStr">
        <is>
          <t>Leyes de Newton</t>
        </is>
      </c>
      <c r="I654" s="38" t="inlineStr">
        <is>
          <t>5.4. Aplicación de la segunda ley de Newton por componentes a cuerpos sometidos a fuerzas en direcciones arbitrarias.</t>
        </is>
      </c>
      <c r="J654" s="11" t="inlineStr">
        <is>
          <t>TA</t>
        </is>
      </c>
      <c r="K654" s="11" t="inlineStr">
        <is>
          <t>TA-M1.1</t>
        </is>
      </c>
      <c r="L654" s="11" t="inlineStr">
        <is>
          <t>TA-M1.2</t>
        </is>
      </c>
      <c r="M654" s="11">
        <f>IF(K654="FUERA","Fuera del marco",IF(K654="N/A","Sin marco",IFERROR(INDEX('Datos - Catálogo TIMSS'!$C$5:$C$107,MATCH(K654,'Datos - Catálogo TIMSS'!$A$5:$A$107,0)),"Pendiente de clasificar")))</f>
        <v/>
      </c>
      <c r="N654" s="11">
        <f>IF(K654="FUERA","Fuera del marco",IF(K654="N/A","Sin marco",IFERROR(INDEX('Datos - Catálogo TIMSS'!$F$5:$F$107,MATCH(K654,'Datos - Catálogo TIMSS'!$A$5:$A$107,0)),"Pendiente de clasificar")))</f>
        <v/>
      </c>
      <c r="O654" s="11">
        <f>IF(L654="","",IFERROR(INDEX('Datos - Catálogo TIMSS'!$C$5:$C$107,MATCH(L654,'Datos - Catálogo TIMSS'!$A$5:$A$107,0)),"?"))</f>
        <v/>
      </c>
      <c r="P654" s="11" t="inlineStr">
        <is>
          <t>alta</t>
        </is>
      </c>
      <c r="Q654" s="38" t="inlineStr">
        <is>
          <t>Segunda ley por componentes con varias fuerzas</t>
        </is>
      </c>
      <c r="R654" s="38" t="inlineStr">
        <is>
          <t>Aplicar: plantear ecuaciones por componentes. Razonar: relacionar fuerza neta y aceleración</t>
        </is>
      </c>
      <c r="S654" s="39">
        <f>IFERROR(ISNUMBER(SEARCH("Conocer",$R654))/(ISNUMBER(SEARCH("Conocer",$R654))+ISNUMBER(SEARCH("Aplicar",$R654))+ISNUMBER(SEARCH("Razonar",$R654))),0)</f>
        <v/>
      </c>
      <c r="T654" s="39">
        <f>IFERROR(ISNUMBER(SEARCH("Aplicar",$R654))/(ISNUMBER(SEARCH("Conocer",$R654))+ISNUMBER(SEARCH("Aplicar",$R654))+ISNUMBER(SEARCH("Razonar",$R654))),0)</f>
        <v/>
      </c>
      <c r="U654" s="39">
        <f>IFERROR(ISNUMBER(SEARCH("Razonar",$R654))/(ISNUMBER(SEARCH("Conocer",$R654))+ISNUMBER(SEARCH("Aplicar",$R654))+ISNUMBER(SEARCH("Razonar",$R654))),0)</f>
        <v/>
      </c>
      <c r="V654" s="11" t="inlineStr">
        <is>
          <t>Física 10°</t>
        </is>
      </c>
      <c r="W654" s="11" t="inlineStr">
        <is>
          <t>Física 10°–11°</t>
        </is>
      </c>
      <c r="X654" s="11">
        <f>IF(OR(IFERROR(INDEX('Datos - Catálogo TIMSS'!$I$5:$I$107,MATCH(K654,'Datos - Catálogo TIMSS'!$A$5:$A$107,0)),"No")="Sí",IFERROR(INDEX('Datos - Catálogo TIMSS'!$I$5:$I$107,MATCH(L654,'Datos - Catálogo TIMSS'!$A$5:$A$107,0)),"No")="Sí"),1,0)</f>
        <v/>
      </c>
      <c r="Y654" s="11">
        <f>IF(IFERROR(INDEX('Datos - Catálogo TIMSS'!$J$5:$J$107,MATCH(K654,'Datos - Catálogo TIMSS'!$A$5:$A$107,0)),"No")="Sí",1,0)</f>
        <v/>
      </c>
      <c r="Z654" s="11">
        <f>IF(IFERROR(INDEX('Datos - Catálogo TIMSS'!$J$5:$J$107,MATCH(L654,'Datos - Catálogo TIMSS'!$A$5:$A$107,0)),"No")="Sí",1,0)</f>
        <v/>
      </c>
      <c r="AA654" s="11" t="inlineStr">
        <is>
          <t>TA-M1.1</t>
        </is>
      </c>
      <c r="AB654" s="11" t="inlineStr">
        <is>
          <t>TA-M1.2</t>
        </is>
      </c>
      <c r="AC654" s="11">
        <f>IF(AA654="FUERA","Fuera del marco",IF(AA654="N/A","Sin marco",IFERROR(INDEX('Datos - TIMSS 2023'!$C$5:$C$105,MATCH(AA654,'Datos - TIMSS 2023'!$A$5:$A$105,0)),"Pendiente de clasificar")))</f>
        <v/>
      </c>
      <c r="AD654" s="11" t="inlineStr">
        <is>
          <t>1. Explicar fenómenos científicamente</t>
        </is>
      </c>
      <c r="AE654" s="11">
        <f>IF(AD654="","",IF(LEFT(AD654,1)="1","C1",IF(LEFT(AD654,1)="2","C2",IF(LEFT(AD654,1)="3","C3",""))))</f>
        <v/>
      </c>
      <c r="AF654" s="11" t="inlineStr">
        <is>
          <t>E1</t>
        </is>
      </c>
      <c r="AG654" s="11" t="inlineStr">
        <is>
          <t>E3</t>
        </is>
      </c>
      <c r="AH654" s="11" t="inlineStr">
        <is>
          <t>E2</t>
        </is>
      </c>
      <c r="AI654" s="11" t="inlineStr">
        <is>
          <t>E4</t>
        </is>
      </c>
      <c r="AJ654" s="11" t="inlineStr">
        <is>
          <t>E3</t>
        </is>
      </c>
      <c r="AK654" s="11" t="n"/>
      <c r="AL654" s="11" t="n"/>
      <c r="AM654" s="11" t="n"/>
      <c r="AN654" s="11" t="n"/>
      <c r="AO654" s="11" t="n"/>
      <c r="AP654" s="11" t="n"/>
      <c r="AQ654" s="11" t="n"/>
      <c r="AR654" s="11" t="n"/>
      <c r="AS654" s="11" t="n"/>
      <c r="AT654" s="11" t="n"/>
      <c r="AU654" s="11" t="n"/>
      <c r="AV654" s="11" t="n"/>
      <c r="AW654" s="11">
        <f>AF654&amp;"; "&amp;AG654&amp;"; "&amp;AH654&amp;"; "&amp;AI654&amp;"; "&amp;AJ654</f>
        <v/>
      </c>
    </row>
    <row r="655">
      <c r="A655" s="11" t="inlineStr">
        <is>
          <t>T0191-G10-FÍS</t>
        </is>
      </c>
      <c r="B655" s="11" t="n">
        <v>10</v>
      </c>
      <c r="C655" s="11" t="inlineStr">
        <is>
          <t>Física</t>
        </is>
      </c>
      <c r="D655" s="11" t="inlineStr">
        <is>
          <t>Matriz_Bachillerato_Fisica_10_11.xlsx</t>
        </is>
      </c>
      <c r="E655" s="11" t="inlineStr">
        <is>
          <t>Física 10.°</t>
        </is>
      </c>
      <c r="F655" s="11" t="n">
        <v>31</v>
      </c>
      <c r="G655" s="11" t="inlineStr">
        <is>
          <t>5. Las leyes de Newton</t>
        </is>
      </c>
      <c r="H655" s="11" t="inlineStr">
        <is>
          <t>Leyes de Newton</t>
        </is>
      </c>
      <c r="I655" s="38" t="inlineStr">
        <is>
          <t>5.5. Identificación experimental de pares de acción y reacción y diferenciación entre pares de la tercera ley y fuerzas equilibradas sobre un mismo cuerpo.</t>
        </is>
      </c>
      <c r="J655" s="11" t="inlineStr">
        <is>
          <t>TA</t>
        </is>
      </c>
      <c r="K655" s="11" t="inlineStr">
        <is>
          <t>TA-M1.1</t>
        </is>
      </c>
      <c r="L655" s="11" t="inlineStr"/>
      <c r="M655" s="11">
        <f>IF(K655="FUERA","Fuera del marco",IF(K655="N/A","Sin marco",IFERROR(INDEX('Datos - Catálogo TIMSS'!$C$5:$C$107,MATCH(K655,'Datos - Catálogo TIMSS'!$A$5:$A$107,0)),"Pendiente de clasificar")))</f>
        <v/>
      </c>
      <c r="N655" s="11">
        <f>IF(K655="FUERA","Fuera del marco",IF(K655="N/A","Sin marco",IFERROR(INDEX('Datos - Catálogo TIMSS'!$F$5:$F$107,MATCH(K655,'Datos - Catálogo TIMSS'!$A$5:$A$107,0)),"Pendiente de clasificar")))</f>
        <v/>
      </c>
      <c r="O655" s="11">
        <f>IF(L655="","",IFERROR(INDEX('Datos - Catálogo TIMSS'!$C$5:$C$107,MATCH(L655,'Datos - Catálogo TIMSS'!$A$5:$A$107,0)),"?"))</f>
        <v/>
      </c>
      <c r="P655" s="11" t="inlineStr">
        <is>
          <t>alta</t>
        </is>
      </c>
      <c r="Q655" s="38" t="inlineStr">
        <is>
          <t>Tercera ley: pares acción-reacción</t>
        </is>
      </c>
      <c r="R655" s="38" t="inlineStr">
        <is>
          <t>Aplicar: identificar pares de fuerzas. Razonar: refutar argumentos erróneos</t>
        </is>
      </c>
      <c r="S655" s="39">
        <f>IFERROR(ISNUMBER(SEARCH("Conocer",$R655))/(ISNUMBER(SEARCH("Conocer",$R655))+ISNUMBER(SEARCH("Aplicar",$R655))+ISNUMBER(SEARCH("Razonar",$R655))),0)</f>
        <v/>
      </c>
      <c r="T655" s="39">
        <f>IFERROR(ISNUMBER(SEARCH("Aplicar",$R655))/(ISNUMBER(SEARCH("Conocer",$R655))+ISNUMBER(SEARCH("Aplicar",$R655))+ISNUMBER(SEARCH("Razonar",$R655))),0)</f>
        <v/>
      </c>
      <c r="U655" s="39">
        <f>IFERROR(ISNUMBER(SEARCH("Razonar",$R655))/(ISNUMBER(SEARCH("Conocer",$R655))+ISNUMBER(SEARCH("Aplicar",$R655))+ISNUMBER(SEARCH("Razonar",$R655))),0)</f>
        <v/>
      </c>
      <c r="V655" s="11" t="inlineStr">
        <is>
          <t>Física 10°</t>
        </is>
      </c>
      <c r="W655" s="11" t="inlineStr">
        <is>
          <t>Física 10°–11°</t>
        </is>
      </c>
      <c r="X655" s="11">
        <f>IF(OR(IFERROR(INDEX('Datos - Catálogo TIMSS'!$I$5:$I$107,MATCH(K655,'Datos - Catálogo TIMSS'!$A$5:$A$107,0)),"No")="Sí",IFERROR(INDEX('Datos - Catálogo TIMSS'!$I$5:$I$107,MATCH(L655,'Datos - Catálogo TIMSS'!$A$5:$A$107,0)),"No")="Sí"),1,0)</f>
        <v/>
      </c>
      <c r="Y655" s="11">
        <f>IF(IFERROR(INDEX('Datos - Catálogo TIMSS'!$J$5:$J$107,MATCH(K655,'Datos - Catálogo TIMSS'!$A$5:$A$107,0)),"No")="Sí",1,0)</f>
        <v/>
      </c>
      <c r="Z655" s="11">
        <f>IF(IFERROR(INDEX('Datos - Catálogo TIMSS'!$J$5:$J$107,MATCH(L655,'Datos - Catálogo TIMSS'!$A$5:$A$107,0)),"No")="Sí",1,0)</f>
        <v/>
      </c>
      <c r="AA655" s="11" t="inlineStr">
        <is>
          <t>TA-M1.1</t>
        </is>
      </c>
      <c r="AB655" s="11" t="inlineStr"/>
      <c r="AC655" s="11">
        <f>IF(AA655="FUERA","Fuera del marco",IF(AA655="N/A","Sin marco",IFERROR(INDEX('Datos - TIMSS 2023'!$C$5:$C$105,MATCH(AA655,'Datos - TIMSS 2023'!$A$5:$A$105,0)),"Pendiente de clasificar")))</f>
        <v/>
      </c>
      <c r="AD655" s="11" t="inlineStr">
        <is>
          <t>1. Explicar fenómenos científicamente</t>
        </is>
      </c>
      <c r="AE655" s="11">
        <f>IF(AD655="","",IF(LEFT(AD655,1)="1","C1",IF(LEFT(AD655,1)="2","C2",IF(LEFT(AD655,1)="3","C3",""))))</f>
        <v/>
      </c>
      <c r="AF655" s="11" t="inlineStr">
        <is>
          <t>E1</t>
        </is>
      </c>
      <c r="AG655" s="11" t="inlineStr">
        <is>
          <t>E5</t>
        </is>
      </c>
      <c r="AH655" s="11" t="inlineStr">
        <is>
          <t>E4</t>
        </is>
      </c>
      <c r="AI655" s="11" t="inlineStr">
        <is>
          <t>D4</t>
        </is>
      </c>
      <c r="AJ655" s="11" t="inlineStr">
        <is>
          <t>I4</t>
        </is>
      </c>
      <c r="AK655" s="11" t="n"/>
      <c r="AL655" s="11" t="n"/>
      <c r="AM655" s="11" t="n"/>
      <c r="AN655" s="11" t="n"/>
      <c r="AO655" s="11" t="n"/>
      <c r="AP655" s="11" t="n"/>
      <c r="AQ655" s="11" t="n"/>
      <c r="AR655" s="11" t="n"/>
      <c r="AS655" s="11" t="n"/>
      <c r="AT655" s="11" t="n"/>
      <c r="AU655" s="11" t="n"/>
      <c r="AV655" s="11" t="n"/>
      <c r="AW655" s="11">
        <f>AF655&amp;"; "&amp;AG655&amp;"; "&amp;AH655&amp;"; "&amp;AI655&amp;"; "&amp;AJ655</f>
        <v/>
      </c>
    </row>
    <row r="656">
      <c r="A656" s="11" t="inlineStr">
        <is>
          <t>T0192-G10-FÍS</t>
        </is>
      </c>
      <c r="B656" s="11" t="n">
        <v>10</v>
      </c>
      <c r="C656" s="11" t="inlineStr">
        <is>
          <t>Física</t>
        </is>
      </c>
      <c r="D656" s="11" t="inlineStr">
        <is>
          <t>Matriz_Bachillerato_Fisica_10_11.xlsx</t>
        </is>
      </c>
      <c r="E656" s="11" t="inlineStr">
        <is>
          <t>Física 10.°</t>
        </is>
      </c>
      <c r="F656" s="11" t="n">
        <v>32</v>
      </c>
      <c r="G656" s="11" t="inlineStr">
        <is>
          <t>5. Las leyes de Newton</t>
        </is>
      </c>
      <c r="H656" s="11" t="inlineStr">
        <is>
          <t>Tipos de fuerzas</t>
        </is>
      </c>
      <c r="I656" s="38" t="inlineStr">
        <is>
          <t>5.6. Clasificación de las fuerzas en interacciones fundamentales y fuerzas de contacto, y su identificación en situaciones reales.</t>
        </is>
      </c>
      <c r="J656" s="11" t="inlineStr">
        <is>
          <t>TA</t>
        </is>
      </c>
      <c r="K656" s="11" t="inlineStr">
        <is>
          <t>TA-M1.2</t>
        </is>
      </c>
      <c r="L656" s="11" t="inlineStr"/>
      <c r="M656" s="11">
        <f>IF(K656="FUERA","Fuera del marco",IF(K656="N/A","Sin marco",IFERROR(INDEX('Datos - Catálogo TIMSS'!$C$5:$C$107,MATCH(K656,'Datos - Catálogo TIMSS'!$A$5:$A$107,0)),"Pendiente de clasificar")))</f>
        <v/>
      </c>
      <c r="N656" s="11">
        <f>IF(K656="FUERA","Fuera del marco",IF(K656="N/A","Sin marco",IFERROR(INDEX('Datos - Catálogo TIMSS'!$F$5:$F$107,MATCH(K656,'Datos - Catálogo TIMSS'!$A$5:$A$107,0)),"Pendiente de clasificar")))</f>
        <v/>
      </c>
      <c r="O656" s="11">
        <f>IF(L656="","",IFERROR(INDEX('Datos - Catálogo TIMSS'!$C$5:$C$107,MATCH(L656,'Datos - Catálogo TIMSS'!$A$5:$A$107,0)),"?"))</f>
        <v/>
      </c>
      <c r="P656" s="11" t="inlineStr">
        <is>
          <t>media</t>
        </is>
      </c>
      <c r="Q656" s="38" t="inlineStr">
        <is>
          <t>Clasificación de fuerzas en situaciones reales</t>
        </is>
      </c>
      <c r="R656" s="38" t="inlineStr">
        <is>
          <t>Conocer: clasificar fuerzas. Razonar: justificar recomendaciones con datos</t>
        </is>
      </c>
      <c r="S656" s="39">
        <f>IFERROR(ISNUMBER(SEARCH("Conocer",$R656))/(ISNUMBER(SEARCH("Conocer",$R656))+ISNUMBER(SEARCH("Aplicar",$R656))+ISNUMBER(SEARCH("Razonar",$R656))),0)</f>
        <v/>
      </c>
      <c r="T656" s="39">
        <f>IFERROR(ISNUMBER(SEARCH("Aplicar",$R656))/(ISNUMBER(SEARCH("Conocer",$R656))+ISNUMBER(SEARCH("Aplicar",$R656))+ISNUMBER(SEARCH("Razonar",$R656))),0)</f>
        <v/>
      </c>
      <c r="U656" s="39">
        <f>IFERROR(ISNUMBER(SEARCH("Razonar",$R656))/(ISNUMBER(SEARCH("Conocer",$R656))+ISNUMBER(SEARCH("Aplicar",$R656))+ISNUMBER(SEARCH("Razonar",$R656))),0)</f>
        <v/>
      </c>
      <c r="V656" s="11" t="inlineStr">
        <is>
          <t>Física 10°</t>
        </is>
      </c>
      <c r="W656" s="11" t="inlineStr">
        <is>
          <t>Física 10°–11°</t>
        </is>
      </c>
      <c r="X656" s="11">
        <f>IF(OR(IFERROR(INDEX('Datos - Catálogo TIMSS'!$I$5:$I$107,MATCH(K656,'Datos - Catálogo TIMSS'!$A$5:$A$107,0)),"No")="Sí",IFERROR(INDEX('Datos - Catálogo TIMSS'!$I$5:$I$107,MATCH(L656,'Datos - Catálogo TIMSS'!$A$5:$A$107,0)),"No")="Sí"),1,0)</f>
        <v/>
      </c>
      <c r="Y656" s="11">
        <f>IF(IFERROR(INDEX('Datos - Catálogo TIMSS'!$J$5:$J$107,MATCH(K656,'Datos - Catálogo TIMSS'!$A$5:$A$107,0)),"No")="Sí",1,0)</f>
        <v/>
      </c>
      <c r="Z656" s="11">
        <f>IF(IFERROR(INDEX('Datos - Catálogo TIMSS'!$J$5:$J$107,MATCH(L656,'Datos - Catálogo TIMSS'!$A$5:$A$107,0)),"No")="Sí",1,0)</f>
        <v/>
      </c>
      <c r="AA656" s="11" t="inlineStr">
        <is>
          <t>TA-M1.2</t>
        </is>
      </c>
      <c r="AB656" s="11" t="inlineStr"/>
      <c r="AC656" s="11">
        <f>IF(AA656="FUERA","Fuera del marco",IF(AA656="N/A","Sin marco",IFERROR(INDEX('Datos - TIMSS 2023'!$C$5:$C$105,MATCH(AA656,'Datos - TIMSS 2023'!$A$5:$A$105,0)),"Pendiente de clasificar")))</f>
        <v/>
      </c>
      <c r="AD656" s="11" t="inlineStr">
        <is>
          <t>3. Investigar, evaluar y usar información científica para tomar decisiones y actuar</t>
        </is>
      </c>
      <c r="AE656" s="11">
        <f>IF(AD656="","",IF(LEFT(AD656,1)="1","C1",IF(LEFT(AD656,1)="2","C2",IF(LEFT(AD656,1)="3","C3",""))))</f>
        <v/>
      </c>
      <c r="AF656" s="11" t="inlineStr">
        <is>
          <t>E6</t>
        </is>
      </c>
      <c r="AG656" s="11" t="inlineStr">
        <is>
          <t>E3</t>
        </is>
      </c>
      <c r="AH656" s="11" t="inlineStr">
        <is>
          <t>E1</t>
        </is>
      </c>
      <c r="AI656" s="11" t="inlineStr">
        <is>
          <t>I1</t>
        </is>
      </c>
      <c r="AJ656" s="11" t="inlineStr">
        <is>
          <t>I5</t>
        </is>
      </c>
      <c r="AK656" s="11" t="n"/>
      <c r="AL656" s="11" t="n"/>
      <c r="AM656" s="11" t="n"/>
      <c r="AN656" s="11" t="n"/>
      <c r="AO656" s="11" t="n"/>
      <c r="AP656" s="11" t="n"/>
      <c r="AQ656" s="11" t="n"/>
      <c r="AR656" s="11" t="n"/>
      <c r="AS656" s="11" t="n"/>
      <c r="AT656" s="11" t="n"/>
      <c r="AU656" s="11" t="n"/>
      <c r="AV656" s="11" t="n"/>
      <c r="AW656" s="11">
        <f>AF656&amp;"; "&amp;AG656&amp;"; "&amp;AH656&amp;"; "&amp;AI656&amp;"; "&amp;AJ656</f>
        <v/>
      </c>
    </row>
    <row r="657">
      <c r="A657" s="11" t="inlineStr">
        <is>
          <t>T0193-G10-FÍS</t>
        </is>
      </c>
      <c r="B657" s="11" t="n">
        <v>10</v>
      </c>
      <c r="C657" s="11" t="inlineStr">
        <is>
          <t>Física</t>
        </is>
      </c>
      <c r="D657" s="11" t="inlineStr">
        <is>
          <t>Matriz_Bachillerato_Fisica_10_11.xlsx</t>
        </is>
      </c>
      <c r="E657" s="11" t="inlineStr">
        <is>
          <t>Física 10.°</t>
        </is>
      </c>
      <c r="F657" s="11" t="n">
        <v>33</v>
      </c>
      <c r="G657" s="11" t="inlineStr">
        <is>
          <t>5. Las leyes de Newton</t>
        </is>
      </c>
      <c r="H657" s="11" t="inlineStr">
        <is>
          <t>Tipos de fuerzas</t>
        </is>
      </c>
      <c r="I657" s="38" t="inlineStr">
        <is>
          <t>5.7. Cálculo de fuerzas gravitatorias con la ley de gravitación universal y relación del peso con la atracción terrestre.</t>
        </is>
      </c>
      <c r="J657" s="11" t="inlineStr">
        <is>
          <t>TA</t>
        </is>
      </c>
      <c r="K657" s="11" t="inlineStr">
        <is>
          <t>TA-M1.4</t>
        </is>
      </c>
      <c r="L657" s="11" t="inlineStr"/>
      <c r="M657" s="11">
        <f>IF(K657="FUERA","Fuera del marco",IF(K657="N/A","Sin marco",IFERROR(INDEX('Datos - Catálogo TIMSS'!$C$5:$C$107,MATCH(K657,'Datos - Catálogo TIMSS'!$A$5:$A$107,0)),"Pendiente de clasificar")))</f>
        <v/>
      </c>
      <c r="N657" s="11">
        <f>IF(K657="FUERA","Fuera del marco",IF(K657="N/A","Sin marco",IFERROR(INDEX('Datos - Catálogo TIMSS'!$F$5:$F$107,MATCH(K657,'Datos - Catálogo TIMSS'!$A$5:$A$107,0)),"Pendiente de clasificar")))</f>
        <v/>
      </c>
      <c r="O657" s="11">
        <f>IF(L657="","",IFERROR(INDEX('Datos - Catálogo TIMSS'!$C$5:$C$107,MATCH(L657,'Datos - Catálogo TIMSS'!$A$5:$A$107,0)),"?"))</f>
        <v/>
      </c>
      <c r="P657" s="11" t="inlineStr">
        <is>
          <t>alta</t>
        </is>
      </c>
      <c r="Q657" s="38" t="inlineStr">
        <is>
          <t>Ley de gravitación universal y peso</t>
        </is>
      </c>
      <c r="R657" s="38" t="inlineStr">
        <is>
          <t>Aplicar: calcular fuerzas gravitatorias. Razonar: relacionar distancia y fuerza</t>
        </is>
      </c>
      <c r="S657" s="39">
        <f>IFERROR(ISNUMBER(SEARCH("Conocer",$R657))/(ISNUMBER(SEARCH("Conocer",$R657))+ISNUMBER(SEARCH("Aplicar",$R657))+ISNUMBER(SEARCH("Razonar",$R657))),0)</f>
        <v/>
      </c>
      <c r="T657" s="39">
        <f>IFERROR(ISNUMBER(SEARCH("Aplicar",$R657))/(ISNUMBER(SEARCH("Conocer",$R657))+ISNUMBER(SEARCH("Aplicar",$R657))+ISNUMBER(SEARCH("Razonar",$R657))),0)</f>
        <v/>
      </c>
      <c r="U657" s="39">
        <f>IFERROR(ISNUMBER(SEARCH("Razonar",$R657))/(ISNUMBER(SEARCH("Conocer",$R657))+ISNUMBER(SEARCH("Aplicar",$R657))+ISNUMBER(SEARCH("Razonar",$R657))),0)</f>
        <v/>
      </c>
      <c r="V657" s="11" t="inlineStr">
        <is>
          <t>Física 10°</t>
        </is>
      </c>
      <c r="W657" s="11" t="inlineStr">
        <is>
          <t>Física 10°–11°</t>
        </is>
      </c>
      <c r="X657" s="11">
        <f>IF(OR(IFERROR(INDEX('Datos - Catálogo TIMSS'!$I$5:$I$107,MATCH(K657,'Datos - Catálogo TIMSS'!$A$5:$A$107,0)),"No")="Sí",IFERROR(INDEX('Datos - Catálogo TIMSS'!$I$5:$I$107,MATCH(L657,'Datos - Catálogo TIMSS'!$A$5:$A$107,0)),"No")="Sí"),1,0)</f>
        <v/>
      </c>
      <c r="Y657" s="11">
        <f>IF(IFERROR(INDEX('Datos - Catálogo TIMSS'!$J$5:$J$107,MATCH(K657,'Datos - Catálogo TIMSS'!$A$5:$A$107,0)),"No")="Sí",1,0)</f>
        <v/>
      </c>
      <c r="Z657" s="11">
        <f>IF(IFERROR(INDEX('Datos - Catálogo TIMSS'!$J$5:$J$107,MATCH(L657,'Datos - Catálogo TIMSS'!$A$5:$A$107,0)),"No")="Sí",1,0)</f>
        <v/>
      </c>
      <c r="AA657" s="11" t="inlineStr">
        <is>
          <t>TA-M1.4</t>
        </is>
      </c>
      <c r="AB657" s="11" t="inlineStr"/>
      <c r="AC657" s="11">
        <f>IF(AA657="FUERA","Fuera del marco",IF(AA657="N/A","Sin marco",IFERROR(INDEX('Datos - TIMSS 2023'!$C$5:$C$105,MATCH(AA657,'Datos - TIMSS 2023'!$A$5:$A$105,0)),"Pendiente de clasificar")))</f>
        <v/>
      </c>
      <c r="AD657" s="11" t="inlineStr">
        <is>
          <t>1. Explicar fenómenos científicamente</t>
        </is>
      </c>
      <c r="AE657" s="11">
        <f>IF(AD657="","",IF(LEFT(AD657,1)="1","C1",IF(LEFT(AD657,1)="2","C2",IF(LEFT(AD657,1)="3","C3",""))))</f>
        <v/>
      </c>
      <c r="AF657" s="11" t="inlineStr">
        <is>
          <t>E1</t>
        </is>
      </c>
      <c r="AG657" s="11" t="inlineStr">
        <is>
          <t>E3</t>
        </is>
      </c>
      <c r="AH657" s="11" t="inlineStr">
        <is>
          <t>E2</t>
        </is>
      </c>
      <c r="AI657" s="11" t="inlineStr">
        <is>
          <t>E4</t>
        </is>
      </c>
      <c r="AJ657" s="11" t="inlineStr">
        <is>
          <t>E3</t>
        </is>
      </c>
      <c r="AK657" s="11" t="n"/>
      <c r="AL657" s="11" t="n"/>
      <c r="AM657" s="11" t="n"/>
      <c r="AN657" s="11" t="n"/>
      <c r="AO657" s="11" t="n"/>
      <c r="AP657" s="11" t="n"/>
      <c r="AQ657" s="11" t="n"/>
      <c r="AR657" s="11" t="n"/>
      <c r="AS657" s="11" t="n"/>
      <c r="AT657" s="11" t="n"/>
      <c r="AU657" s="11" t="n"/>
      <c r="AV657" s="11" t="n"/>
      <c r="AW657" s="11">
        <f>AF657&amp;"; "&amp;AG657&amp;"; "&amp;AH657&amp;"; "&amp;AI657&amp;"; "&amp;AJ657</f>
        <v/>
      </c>
    </row>
    <row r="658">
      <c r="A658" s="11" t="inlineStr">
        <is>
          <t>T0194-G10-FÍS</t>
        </is>
      </c>
      <c r="B658" s="11" t="n">
        <v>10</v>
      </c>
      <c r="C658" s="11" t="inlineStr">
        <is>
          <t>Física</t>
        </is>
      </c>
      <c r="D658" s="11" t="inlineStr">
        <is>
          <t>Matriz_Bachillerato_Fisica_10_11.xlsx</t>
        </is>
      </c>
      <c r="E658" s="11" t="inlineStr">
        <is>
          <t>Física 10.°</t>
        </is>
      </c>
      <c r="F658" s="11" t="n">
        <v>34</v>
      </c>
      <c r="G658" s="11" t="inlineStr">
        <is>
          <t>5. Las leyes de Newton</t>
        </is>
      </c>
      <c r="H658" s="11" t="inlineStr">
        <is>
          <t>Fuerzas de contacto</t>
        </is>
      </c>
      <c r="I658" s="38" t="inlineStr">
        <is>
          <t>5.8. Determinación de la fuerza normal sobre cuerpos en superficies horizontales e inclinadas y con fuerzas aplicadas en ángulo.</t>
        </is>
      </c>
      <c r="J658" s="11" t="inlineStr">
        <is>
          <t>TA</t>
        </is>
      </c>
      <c r="K658" s="11" t="inlineStr">
        <is>
          <t>TA-M1.2</t>
        </is>
      </c>
      <c r="L658" s="11" t="inlineStr"/>
      <c r="M658" s="11">
        <f>IF(K658="FUERA","Fuera del marco",IF(K658="N/A","Sin marco",IFERROR(INDEX('Datos - Catálogo TIMSS'!$C$5:$C$107,MATCH(K658,'Datos - Catálogo TIMSS'!$A$5:$A$107,0)),"Pendiente de clasificar")))</f>
        <v/>
      </c>
      <c r="N658" s="11">
        <f>IF(K658="FUERA","Fuera del marco",IF(K658="N/A","Sin marco",IFERROR(INDEX('Datos - Catálogo TIMSS'!$F$5:$F$107,MATCH(K658,'Datos - Catálogo TIMSS'!$A$5:$A$107,0)),"Pendiente de clasificar")))</f>
        <v/>
      </c>
      <c r="O658" s="11">
        <f>IF(L658="","",IFERROR(INDEX('Datos - Catálogo TIMSS'!$C$5:$C$107,MATCH(L658,'Datos - Catálogo TIMSS'!$A$5:$A$107,0)),"?"))</f>
        <v/>
      </c>
      <c r="P658" s="11" t="inlineStr">
        <is>
          <t>alta</t>
        </is>
      </c>
      <c r="Q658" s="38" t="inlineStr">
        <is>
          <t>Fuerza normal en planos horizontales e inclinados</t>
        </is>
      </c>
      <c r="R658" s="38" t="inlineStr">
        <is>
          <t>Aplicar: calcular la fuerza normal. Razonar: justificar su variación con el ángulo</t>
        </is>
      </c>
      <c r="S658" s="39">
        <f>IFERROR(ISNUMBER(SEARCH("Conocer",$R658))/(ISNUMBER(SEARCH("Conocer",$R658))+ISNUMBER(SEARCH("Aplicar",$R658))+ISNUMBER(SEARCH("Razonar",$R658))),0)</f>
        <v/>
      </c>
      <c r="T658" s="39">
        <f>IFERROR(ISNUMBER(SEARCH("Aplicar",$R658))/(ISNUMBER(SEARCH("Conocer",$R658))+ISNUMBER(SEARCH("Aplicar",$R658))+ISNUMBER(SEARCH("Razonar",$R658))),0)</f>
        <v/>
      </c>
      <c r="U658" s="39">
        <f>IFERROR(ISNUMBER(SEARCH("Razonar",$R658))/(ISNUMBER(SEARCH("Conocer",$R658))+ISNUMBER(SEARCH("Aplicar",$R658))+ISNUMBER(SEARCH("Razonar",$R658))),0)</f>
        <v/>
      </c>
      <c r="V658" s="11" t="inlineStr">
        <is>
          <t>Física 10°</t>
        </is>
      </c>
      <c r="W658" s="11" t="inlineStr">
        <is>
          <t>Física 10°–11°</t>
        </is>
      </c>
      <c r="X658" s="11">
        <f>IF(OR(IFERROR(INDEX('Datos - Catálogo TIMSS'!$I$5:$I$107,MATCH(K658,'Datos - Catálogo TIMSS'!$A$5:$A$107,0)),"No")="Sí",IFERROR(INDEX('Datos - Catálogo TIMSS'!$I$5:$I$107,MATCH(L658,'Datos - Catálogo TIMSS'!$A$5:$A$107,0)),"No")="Sí"),1,0)</f>
        <v/>
      </c>
      <c r="Y658" s="11">
        <f>IF(IFERROR(INDEX('Datos - Catálogo TIMSS'!$J$5:$J$107,MATCH(K658,'Datos - Catálogo TIMSS'!$A$5:$A$107,0)),"No")="Sí",1,0)</f>
        <v/>
      </c>
      <c r="Z658" s="11">
        <f>IF(IFERROR(INDEX('Datos - Catálogo TIMSS'!$J$5:$J$107,MATCH(L658,'Datos - Catálogo TIMSS'!$A$5:$A$107,0)),"No")="Sí",1,0)</f>
        <v/>
      </c>
      <c r="AA658" s="11" t="inlineStr">
        <is>
          <t>TA-M1.2</t>
        </is>
      </c>
      <c r="AB658" s="11" t="inlineStr"/>
      <c r="AC658" s="11">
        <f>IF(AA658="FUERA","Fuera del marco",IF(AA658="N/A","Sin marco",IFERROR(INDEX('Datos - TIMSS 2023'!$C$5:$C$105,MATCH(AA658,'Datos - TIMSS 2023'!$A$5:$A$105,0)),"Pendiente de clasificar")))</f>
        <v/>
      </c>
      <c r="AD658" s="11" t="inlineStr">
        <is>
          <t>1. Explicar fenómenos científicamente</t>
        </is>
      </c>
      <c r="AE658" s="11">
        <f>IF(AD658="","",IF(LEFT(AD658,1)="1","C1",IF(LEFT(AD658,1)="2","C2",IF(LEFT(AD658,1)="3","C3",""))))</f>
        <v/>
      </c>
      <c r="AF658" s="11" t="inlineStr">
        <is>
          <t>E6</t>
        </is>
      </c>
      <c r="AG658" s="11" t="inlineStr">
        <is>
          <t>E3</t>
        </is>
      </c>
      <c r="AH658" s="11" t="inlineStr">
        <is>
          <t>E2</t>
        </is>
      </c>
      <c r="AI658" s="11" t="inlineStr">
        <is>
          <t>E4</t>
        </is>
      </c>
      <c r="AJ658" s="11" t="inlineStr">
        <is>
          <t>E3</t>
        </is>
      </c>
      <c r="AK658" s="11" t="n"/>
      <c r="AL658" s="11" t="n"/>
      <c r="AM658" s="11" t="n"/>
      <c r="AN658" s="11" t="n"/>
      <c r="AO658" s="11" t="n"/>
      <c r="AP658" s="11" t="n"/>
      <c r="AQ658" s="11" t="n"/>
      <c r="AR658" s="11" t="n"/>
      <c r="AS658" s="11" t="n"/>
      <c r="AT658" s="11" t="n"/>
      <c r="AU658" s="11" t="n"/>
      <c r="AV658" s="11" t="n"/>
      <c r="AW658" s="11">
        <f>AF658&amp;"; "&amp;AG658&amp;"; "&amp;AH658&amp;"; "&amp;AI658&amp;"; "&amp;AJ658</f>
        <v/>
      </c>
    </row>
    <row r="659">
      <c r="A659" s="11" t="inlineStr">
        <is>
          <t>T0195-G10-FÍS</t>
        </is>
      </c>
      <c r="B659" s="11" t="n">
        <v>10</v>
      </c>
      <c r="C659" s="11" t="inlineStr">
        <is>
          <t>Física</t>
        </is>
      </c>
      <c r="D659" s="11" t="inlineStr">
        <is>
          <t>Matriz_Bachillerato_Fisica_10_11.xlsx</t>
        </is>
      </c>
      <c r="E659" s="11" t="inlineStr">
        <is>
          <t>Física 10.°</t>
        </is>
      </c>
      <c r="F659" s="11" t="n">
        <v>35</v>
      </c>
      <c r="G659" s="11" t="inlineStr">
        <is>
          <t>5. Las leyes de Newton</t>
        </is>
      </c>
      <c r="H659" s="11" t="inlineStr">
        <is>
          <t>Fuerzas de contacto</t>
        </is>
      </c>
      <c r="I659" s="38" t="inlineStr">
        <is>
          <t>5.9. Determinación experimental de los coeficientes de rozamiento estático y cinético entre distintos materiales.</t>
        </is>
      </c>
      <c r="J659" s="11" t="inlineStr">
        <is>
          <t>TA</t>
        </is>
      </c>
      <c r="K659" s="11" t="inlineStr">
        <is>
          <t>TA-M1.2</t>
        </is>
      </c>
      <c r="L659" s="11" t="inlineStr"/>
      <c r="M659" s="11">
        <f>IF(K659="FUERA","Fuera del marco",IF(K659="N/A","Sin marco",IFERROR(INDEX('Datos - Catálogo TIMSS'!$C$5:$C$107,MATCH(K659,'Datos - Catálogo TIMSS'!$A$5:$A$107,0)),"Pendiente de clasificar")))</f>
        <v/>
      </c>
      <c r="N659" s="11">
        <f>IF(K659="FUERA","Fuera del marco",IF(K659="N/A","Sin marco",IFERROR(INDEX('Datos - Catálogo TIMSS'!$F$5:$F$107,MATCH(K659,'Datos - Catálogo TIMSS'!$A$5:$A$107,0)),"Pendiente de clasificar")))</f>
        <v/>
      </c>
      <c r="O659" s="11">
        <f>IF(L659="","",IFERROR(INDEX('Datos - Catálogo TIMSS'!$C$5:$C$107,MATCH(L659,'Datos - Catálogo TIMSS'!$A$5:$A$107,0)),"?"))</f>
        <v/>
      </c>
      <c r="P659" s="11" t="inlineStr">
        <is>
          <t>alta</t>
        </is>
      </c>
      <c r="Q659" s="38" t="inlineStr">
        <is>
          <t>Rozamiento estático y cinético</t>
        </is>
      </c>
      <c r="R659" s="38" t="inlineStr">
        <is>
          <t>Aplicar: calcular coeficientes de rozamiento. Razonar: predecir el deslizamiento</t>
        </is>
      </c>
      <c r="S659" s="39">
        <f>IFERROR(ISNUMBER(SEARCH("Conocer",$R659))/(ISNUMBER(SEARCH("Conocer",$R659))+ISNUMBER(SEARCH("Aplicar",$R659))+ISNUMBER(SEARCH("Razonar",$R659))),0)</f>
        <v/>
      </c>
      <c r="T659" s="39">
        <f>IFERROR(ISNUMBER(SEARCH("Aplicar",$R659))/(ISNUMBER(SEARCH("Conocer",$R659))+ISNUMBER(SEARCH("Aplicar",$R659))+ISNUMBER(SEARCH("Razonar",$R659))),0)</f>
        <v/>
      </c>
      <c r="U659" s="39">
        <f>IFERROR(ISNUMBER(SEARCH("Razonar",$R659))/(ISNUMBER(SEARCH("Conocer",$R659))+ISNUMBER(SEARCH("Aplicar",$R659))+ISNUMBER(SEARCH("Razonar",$R659))),0)</f>
        <v/>
      </c>
      <c r="V659" s="11" t="inlineStr">
        <is>
          <t>Física 10°</t>
        </is>
      </c>
      <c r="W659" s="11" t="inlineStr">
        <is>
          <t>Física 10°–11°</t>
        </is>
      </c>
      <c r="X659" s="11">
        <f>IF(OR(IFERROR(INDEX('Datos - Catálogo TIMSS'!$I$5:$I$107,MATCH(K659,'Datos - Catálogo TIMSS'!$A$5:$A$107,0)),"No")="Sí",IFERROR(INDEX('Datos - Catálogo TIMSS'!$I$5:$I$107,MATCH(L659,'Datos - Catálogo TIMSS'!$A$5:$A$107,0)),"No")="Sí"),1,0)</f>
        <v/>
      </c>
      <c r="Y659" s="11">
        <f>IF(IFERROR(INDEX('Datos - Catálogo TIMSS'!$J$5:$J$107,MATCH(K659,'Datos - Catálogo TIMSS'!$A$5:$A$107,0)),"No")="Sí",1,0)</f>
        <v/>
      </c>
      <c r="Z659" s="11">
        <f>IF(IFERROR(INDEX('Datos - Catálogo TIMSS'!$J$5:$J$107,MATCH(L659,'Datos - Catálogo TIMSS'!$A$5:$A$107,0)),"No")="Sí",1,0)</f>
        <v/>
      </c>
      <c r="AA659" s="11" t="inlineStr">
        <is>
          <t>TA-M1.2</t>
        </is>
      </c>
      <c r="AB659" s="11" t="inlineStr"/>
      <c r="AC659" s="11">
        <f>IF(AA659="FUERA","Fuera del marco",IF(AA659="N/A","Sin marco",IFERROR(INDEX('Datos - TIMSS 2023'!$C$5:$C$105,MATCH(AA659,'Datos - TIMSS 2023'!$A$5:$A$105,0)),"Pendiente de clasificar")))</f>
        <v/>
      </c>
      <c r="AD659" s="11" t="inlineStr">
        <is>
          <t>2. Construir y evaluar diseños para la indagación científica e interpretar datos y evidencia de forma crítica</t>
        </is>
      </c>
      <c r="AE659" s="11">
        <f>IF(AD659="","",IF(LEFT(AD659,1)="1","C1",IF(LEFT(AD659,1)="2","C2",IF(LEFT(AD659,1)="3","C3",""))))</f>
        <v/>
      </c>
      <c r="AF659" s="11" t="inlineStr">
        <is>
          <t>E1</t>
        </is>
      </c>
      <c r="AG659" s="11" t="inlineStr">
        <is>
          <t>D1</t>
        </is>
      </c>
      <c r="AH659" s="11" t="inlineStr">
        <is>
          <t>E4</t>
        </is>
      </c>
      <c r="AI659" s="11" t="inlineStr">
        <is>
          <t>D2</t>
        </is>
      </c>
      <c r="AJ659" s="11" t="inlineStr">
        <is>
          <t>I5</t>
        </is>
      </c>
      <c r="AK659" s="11" t="n"/>
      <c r="AL659" s="11" t="n"/>
      <c r="AM659" s="11" t="n"/>
      <c r="AN659" s="11" t="n"/>
      <c r="AO659" s="11" t="n"/>
      <c r="AP659" s="11" t="n"/>
      <c r="AQ659" s="11" t="n"/>
      <c r="AR659" s="11" t="n"/>
      <c r="AS659" s="11" t="n"/>
      <c r="AT659" s="11" t="n"/>
      <c r="AU659" s="11" t="n"/>
      <c r="AV659" s="11" t="n"/>
      <c r="AW659" s="11">
        <f>AF659&amp;"; "&amp;AG659&amp;"; "&amp;AH659&amp;"; "&amp;AI659&amp;"; "&amp;AJ659</f>
        <v/>
      </c>
    </row>
    <row r="660">
      <c r="A660" s="11" t="inlineStr">
        <is>
          <t>T0196-G10-FÍS</t>
        </is>
      </c>
      <c r="B660" s="11" t="n">
        <v>10</v>
      </c>
      <c r="C660" s="11" t="inlineStr">
        <is>
          <t>Física</t>
        </is>
      </c>
      <c r="D660" s="11" t="inlineStr">
        <is>
          <t>Matriz_Bachillerato_Fisica_10_11.xlsx</t>
        </is>
      </c>
      <c r="E660" s="11" t="inlineStr">
        <is>
          <t>Física 10.°</t>
        </is>
      </c>
      <c r="F660" s="11" t="n">
        <v>36</v>
      </c>
      <c r="G660" s="11" t="inlineStr">
        <is>
          <t>5. Las leyes de Newton</t>
        </is>
      </c>
      <c r="H660" s="11" t="inlineStr">
        <is>
          <t>Fuerzas de contacto</t>
        </is>
      </c>
      <c r="I660" s="38" t="inlineStr">
        <is>
          <t>5.10. Análisis de la fuerza de tensión en cuerdas, poleas y ascensores mediante las leyes de Newton.</t>
        </is>
      </c>
      <c r="J660" s="11" t="inlineStr">
        <is>
          <t>TA</t>
        </is>
      </c>
      <c r="K660" s="11" t="inlineStr">
        <is>
          <t>TA-M1.2</t>
        </is>
      </c>
      <c r="L660" s="11" t="inlineStr">
        <is>
          <t>TA-M1.1</t>
        </is>
      </c>
      <c r="M660" s="11">
        <f>IF(K660="FUERA","Fuera del marco",IF(K660="N/A","Sin marco",IFERROR(INDEX('Datos - Catálogo TIMSS'!$C$5:$C$107,MATCH(K660,'Datos - Catálogo TIMSS'!$A$5:$A$107,0)),"Pendiente de clasificar")))</f>
        <v/>
      </c>
      <c r="N660" s="11">
        <f>IF(K660="FUERA","Fuera del marco",IF(K660="N/A","Sin marco",IFERROR(INDEX('Datos - Catálogo TIMSS'!$F$5:$F$107,MATCH(K660,'Datos - Catálogo TIMSS'!$A$5:$A$107,0)),"Pendiente de clasificar")))</f>
        <v/>
      </c>
      <c r="O660" s="11">
        <f>IF(L660="","",IFERROR(INDEX('Datos - Catálogo TIMSS'!$C$5:$C$107,MATCH(L660,'Datos - Catálogo TIMSS'!$A$5:$A$107,0)),"?"))</f>
        <v/>
      </c>
      <c r="P660" s="11" t="inlineStr">
        <is>
          <t>alta</t>
        </is>
      </c>
      <c r="Q660" s="38" t="inlineStr">
        <is>
          <t>Tensión en cuerdas, poleas y ascensores con Newton</t>
        </is>
      </c>
      <c r="R660" s="38" t="inlineStr">
        <is>
          <t>Aplicar: calcular tensiones. Razonar: interpretar datos de aceleración</t>
        </is>
      </c>
      <c r="S660" s="39">
        <f>IFERROR(ISNUMBER(SEARCH("Conocer",$R660))/(ISNUMBER(SEARCH("Conocer",$R660))+ISNUMBER(SEARCH("Aplicar",$R660))+ISNUMBER(SEARCH("Razonar",$R660))),0)</f>
        <v/>
      </c>
      <c r="T660" s="39">
        <f>IFERROR(ISNUMBER(SEARCH("Aplicar",$R660))/(ISNUMBER(SEARCH("Conocer",$R660))+ISNUMBER(SEARCH("Aplicar",$R660))+ISNUMBER(SEARCH("Razonar",$R660))),0)</f>
        <v/>
      </c>
      <c r="U660" s="39">
        <f>IFERROR(ISNUMBER(SEARCH("Razonar",$R660))/(ISNUMBER(SEARCH("Conocer",$R660))+ISNUMBER(SEARCH("Aplicar",$R660))+ISNUMBER(SEARCH("Razonar",$R660))),0)</f>
        <v/>
      </c>
      <c r="V660" s="11" t="inlineStr">
        <is>
          <t>Física 10°</t>
        </is>
      </c>
      <c r="W660" s="11" t="inlineStr">
        <is>
          <t>Física 10°–11°</t>
        </is>
      </c>
      <c r="X660" s="11">
        <f>IF(OR(IFERROR(INDEX('Datos - Catálogo TIMSS'!$I$5:$I$107,MATCH(K660,'Datos - Catálogo TIMSS'!$A$5:$A$107,0)),"No")="Sí",IFERROR(INDEX('Datos - Catálogo TIMSS'!$I$5:$I$107,MATCH(L660,'Datos - Catálogo TIMSS'!$A$5:$A$107,0)),"No")="Sí"),1,0)</f>
        <v/>
      </c>
      <c r="Y660" s="11">
        <f>IF(IFERROR(INDEX('Datos - Catálogo TIMSS'!$J$5:$J$107,MATCH(K660,'Datos - Catálogo TIMSS'!$A$5:$A$107,0)),"No")="Sí",1,0)</f>
        <v/>
      </c>
      <c r="Z660" s="11">
        <f>IF(IFERROR(INDEX('Datos - Catálogo TIMSS'!$J$5:$J$107,MATCH(L660,'Datos - Catálogo TIMSS'!$A$5:$A$107,0)),"No")="Sí",1,0)</f>
        <v/>
      </c>
      <c r="AA660" s="11" t="inlineStr">
        <is>
          <t>TA-M1.2</t>
        </is>
      </c>
      <c r="AB660" s="11" t="inlineStr">
        <is>
          <t>TA-M1.1</t>
        </is>
      </c>
      <c r="AC660" s="11">
        <f>IF(AA660="FUERA","Fuera del marco",IF(AA660="N/A","Sin marco",IFERROR(INDEX('Datos - TIMSS 2023'!$C$5:$C$105,MATCH(AA660,'Datos - TIMSS 2023'!$A$5:$A$105,0)),"Pendiente de clasificar")))</f>
        <v/>
      </c>
      <c r="AD660" s="11" t="inlineStr">
        <is>
          <t>1. Explicar fenómenos científicamente</t>
        </is>
      </c>
      <c r="AE660" s="11">
        <f>IF(AD660="","",IF(LEFT(AD660,1)="1","C1",IF(LEFT(AD660,1)="2","C2",IF(LEFT(AD660,1)="3","C3",""))))</f>
        <v/>
      </c>
      <c r="AF660" s="11" t="inlineStr">
        <is>
          <t>E1</t>
        </is>
      </c>
      <c r="AG660" s="11" t="inlineStr">
        <is>
          <t>E3</t>
        </is>
      </c>
      <c r="AH660" s="11" t="inlineStr">
        <is>
          <t>E4</t>
        </is>
      </c>
      <c r="AI660" s="11" t="inlineStr">
        <is>
          <t>D4</t>
        </is>
      </c>
      <c r="AJ660" s="11" t="inlineStr">
        <is>
          <t>E3</t>
        </is>
      </c>
      <c r="AK660" s="11" t="n"/>
      <c r="AL660" s="11" t="n"/>
      <c r="AM660" s="11" t="n"/>
      <c r="AN660" s="11" t="n"/>
      <c r="AO660" s="11" t="n"/>
      <c r="AP660" s="11" t="n"/>
      <c r="AQ660" s="11" t="n"/>
      <c r="AR660" s="11" t="n"/>
      <c r="AS660" s="11" t="n"/>
      <c r="AT660" s="11" t="n"/>
      <c r="AU660" s="11" t="n"/>
      <c r="AV660" s="11" t="n"/>
      <c r="AW660" s="11">
        <f>AF660&amp;"; "&amp;AG660&amp;"; "&amp;AH660&amp;"; "&amp;AI660&amp;"; "&amp;AJ660</f>
        <v/>
      </c>
    </row>
    <row r="661">
      <c r="A661" s="11" t="inlineStr">
        <is>
          <t>T0197-G10-FÍS</t>
        </is>
      </c>
      <c r="B661" s="11" t="n">
        <v>10</v>
      </c>
      <c r="C661" s="11" t="inlineStr">
        <is>
          <t>Física</t>
        </is>
      </c>
      <c r="D661" s="11" t="inlineStr">
        <is>
          <t>Matriz_Bachillerato_Fisica_10_11.xlsx</t>
        </is>
      </c>
      <c r="E661" s="11" t="inlineStr">
        <is>
          <t>Física 10.°</t>
        </is>
      </c>
      <c r="F661" s="11" t="n">
        <v>37</v>
      </c>
      <c r="G661" s="11" t="inlineStr">
        <is>
          <t>5. Las leyes de Newton</t>
        </is>
      </c>
      <c r="H661" s="11" t="inlineStr">
        <is>
          <t>Aplicaciones de las leyes de Newton</t>
        </is>
      </c>
      <c r="I661" s="38" t="inlineStr">
        <is>
          <t>5.11. Resolución de problemas de equilibrio de traslación con fuerzas en varias direcciones mediante componentes.</t>
        </is>
      </c>
      <c r="J661" s="11" t="inlineStr">
        <is>
          <t>TA</t>
        </is>
      </c>
      <c r="K661" s="11" t="inlineStr">
        <is>
          <t>TA-M1.2</t>
        </is>
      </c>
      <c r="L661" s="11" t="inlineStr"/>
      <c r="M661" s="11">
        <f>IF(K661="FUERA","Fuera del marco",IF(K661="N/A","Sin marco",IFERROR(INDEX('Datos - Catálogo TIMSS'!$C$5:$C$107,MATCH(K661,'Datos - Catálogo TIMSS'!$A$5:$A$107,0)),"Pendiente de clasificar")))</f>
        <v/>
      </c>
      <c r="N661" s="11">
        <f>IF(K661="FUERA","Fuera del marco",IF(K661="N/A","Sin marco",IFERROR(INDEX('Datos - Catálogo TIMSS'!$F$5:$F$107,MATCH(K661,'Datos - Catálogo TIMSS'!$A$5:$A$107,0)),"Pendiente de clasificar")))</f>
        <v/>
      </c>
      <c r="O661" s="11">
        <f>IF(L661="","",IFERROR(INDEX('Datos - Catálogo TIMSS'!$C$5:$C$107,MATCH(L661,'Datos - Catálogo TIMSS'!$A$5:$A$107,0)),"?"))</f>
        <v/>
      </c>
      <c r="P661" s="11" t="inlineStr">
        <is>
          <t>alta</t>
        </is>
      </c>
      <c r="Q661" s="38" t="inlineStr">
        <is>
          <t>Equilibrio de traslación con fuerzas en varias direcciones</t>
        </is>
      </c>
      <c r="R661" s="38" t="inlineStr">
        <is>
          <t>Aplicar: resolver sistemas de ecuaciones. Razonar: comparar predicción y medición</t>
        </is>
      </c>
      <c r="S661" s="39">
        <f>IFERROR(ISNUMBER(SEARCH("Conocer",$R661))/(ISNUMBER(SEARCH("Conocer",$R661))+ISNUMBER(SEARCH("Aplicar",$R661))+ISNUMBER(SEARCH("Razonar",$R661))),0)</f>
        <v/>
      </c>
      <c r="T661" s="39">
        <f>IFERROR(ISNUMBER(SEARCH("Aplicar",$R661))/(ISNUMBER(SEARCH("Conocer",$R661))+ISNUMBER(SEARCH("Aplicar",$R661))+ISNUMBER(SEARCH("Razonar",$R661))),0)</f>
        <v/>
      </c>
      <c r="U661" s="39">
        <f>IFERROR(ISNUMBER(SEARCH("Razonar",$R661))/(ISNUMBER(SEARCH("Conocer",$R661))+ISNUMBER(SEARCH("Aplicar",$R661))+ISNUMBER(SEARCH("Razonar",$R661))),0)</f>
        <v/>
      </c>
      <c r="V661" s="11" t="inlineStr">
        <is>
          <t>Física 10°</t>
        </is>
      </c>
      <c r="W661" s="11" t="inlineStr">
        <is>
          <t>Física 10°–11°</t>
        </is>
      </c>
      <c r="X661" s="11">
        <f>IF(OR(IFERROR(INDEX('Datos - Catálogo TIMSS'!$I$5:$I$107,MATCH(K661,'Datos - Catálogo TIMSS'!$A$5:$A$107,0)),"No")="Sí",IFERROR(INDEX('Datos - Catálogo TIMSS'!$I$5:$I$107,MATCH(L661,'Datos - Catálogo TIMSS'!$A$5:$A$107,0)),"No")="Sí"),1,0)</f>
        <v/>
      </c>
      <c r="Y661" s="11">
        <f>IF(IFERROR(INDEX('Datos - Catálogo TIMSS'!$J$5:$J$107,MATCH(K661,'Datos - Catálogo TIMSS'!$A$5:$A$107,0)),"No")="Sí",1,0)</f>
        <v/>
      </c>
      <c r="Z661" s="11">
        <f>IF(IFERROR(INDEX('Datos - Catálogo TIMSS'!$J$5:$J$107,MATCH(L661,'Datos - Catálogo TIMSS'!$A$5:$A$107,0)),"No")="Sí",1,0)</f>
        <v/>
      </c>
      <c r="AA661" s="11" t="inlineStr">
        <is>
          <t>TA-M1.2</t>
        </is>
      </c>
      <c r="AB661" s="11" t="inlineStr"/>
      <c r="AC661" s="11">
        <f>IF(AA661="FUERA","Fuera del marco",IF(AA661="N/A","Sin marco",IFERROR(INDEX('Datos - TIMSS 2023'!$C$5:$C$105,MATCH(AA661,'Datos - TIMSS 2023'!$A$5:$A$105,0)),"Pendiente de clasificar")))</f>
        <v/>
      </c>
      <c r="AD661" s="11" t="inlineStr">
        <is>
          <t>2. Construir y evaluar diseños para la indagación científica e interpretar datos y evidencia de forma crítica</t>
        </is>
      </c>
      <c r="AE661" s="11">
        <f>IF(AD661="","",IF(LEFT(AD661,1)="1","C1",IF(LEFT(AD661,1)="2","C2",IF(LEFT(AD661,1)="3","C3",""))))</f>
        <v/>
      </c>
      <c r="AF661" s="11" t="inlineStr">
        <is>
          <t>E1</t>
        </is>
      </c>
      <c r="AG661" s="11" t="inlineStr">
        <is>
          <t>E3</t>
        </is>
      </c>
      <c r="AH661" s="11" t="inlineStr">
        <is>
          <t>E2</t>
        </is>
      </c>
      <c r="AI661" s="11" t="inlineStr">
        <is>
          <t>D2</t>
        </is>
      </c>
      <c r="AJ661" s="11" t="inlineStr">
        <is>
          <t>D3</t>
        </is>
      </c>
      <c r="AK661" s="11" t="n"/>
      <c r="AL661" s="11" t="n"/>
      <c r="AM661" s="11" t="n"/>
      <c r="AN661" s="11" t="n"/>
      <c r="AO661" s="11" t="n"/>
      <c r="AP661" s="11" t="n"/>
      <c r="AQ661" s="11" t="n"/>
      <c r="AR661" s="11" t="n"/>
      <c r="AS661" s="11" t="n"/>
      <c r="AT661" s="11" t="n"/>
      <c r="AU661" s="11" t="n"/>
      <c r="AV661" s="11" t="n"/>
      <c r="AW661" s="11">
        <f>AF661&amp;"; "&amp;AG661&amp;"; "&amp;AH661&amp;"; "&amp;AI661&amp;"; "&amp;AJ661</f>
        <v/>
      </c>
    </row>
    <row r="662">
      <c r="A662" s="11" t="inlineStr">
        <is>
          <t>T0198-G10-FÍS</t>
        </is>
      </c>
      <c r="B662" s="11" t="n">
        <v>10</v>
      </c>
      <c r="C662" s="11" t="inlineStr">
        <is>
          <t>Física</t>
        </is>
      </c>
      <c r="D662" s="11" t="inlineStr">
        <is>
          <t>Matriz_Bachillerato_Fisica_10_11.xlsx</t>
        </is>
      </c>
      <c r="E662" s="11" t="inlineStr">
        <is>
          <t>Física 10.°</t>
        </is>
      </c>
      <c r="F662" s="11" t="n">
        <v>38</v>
      </c>
      <c r="G662" s="11" t="inlineStr">
        <is>
          <t>5. Las leyes de Newton</t>
        </is>
      </c>
      <c r="H662" s="11" t="inlineStr">
        <is>
          <t>Aplicaciones de las leyes de Newton</t>
        </is>
      </c>
      <c r="I662" s="38" t="inlineStr">
        <is>
          <t>5.12. Resolución de problemas de no equilibrio con sistemas de cuerpos conectados, planos inclinados y rozamiento.</t>
        </is>
      </c>
      <c r="J662" s="11" t="inlineStr">
        <is>
          <t>TA</t>
        </is>
      </c>
      <c r="K662" s="11" t="inlineStr">
        <is>
          <t>TA-M1.2</t>
        </is>
      </c>
      <c r="L662" s="11" t="inlineStr">
        <is>
          <t>TA-M1.1</t>
        </is>
      </c>
      <c r="M662" s="11">
        <f>IF(K662="FUERA","Fuera del marco",IF(K662="N/A","Sin marco",IFERROR(INDEX('Datos - Catálogo TIMSS'!$C$5:$C$107,MATCH(K662,'Datos - Catálogo TIMSS'!$A$5:$A$107,0)),"Pendiente de clasificar")))</f>
        <v/>
      </c>
      <c r="N662" s="11">
        <f>IF(K662="FUERA","Fuera del marco",IF(K662="N/A","Sin marco",IFERROR(INDEX('Datos - Catálogo TIMSS'!$F$5:$F$107,MATCH(K662,'Datos - Catálogo TIMSS'!$A$5:$A$107,0)),"Pendiente de clasificar")))</f>
        <v/>
      </c>
      <c r="O662" s="11">
        <f>IF(L662="","",IFERROR(INDEX('Datos - Catálogo TIMSS'!$C$5:$C$107,MATCH(L662,'Datos - Catálogo TIMSS'!$A$5:$A$107,0)),"?"))</f>
        <v/>
      </c>
      <c r="P662" s="11" t="inlineStr">
        <is>
          <t>alta</t>
        </is>
      </c>
      <c r="Q662" s="38" t="inlineStr">
        <is>
          <t>Cuerpos conectados, planos inclinados y rozamiento</t>
        </is>
      </c>
      <c r="R662" s="38" t="inlineStr">
        <is>
          <t>Aplicar: plantear sistemas de ecuaciones. Razonar: justificar decisiones de diseño</t>
        </is>
      </c>
      <c r="S662" s="39">
        <f>IFERROR(ISNUMBER(SEARCH("Conocer",$R662))/(ISNUMBER(SEARCH("Conocer",$R662))+ISNUMBER(SEARCH("Aplicar",$R662))+ISNUMBER(SEARCH("Razonar",$R662))),0)</f>
        <v/>
      </c>
      <c r="T662" s="39">
        <f>IFERROR(ISNUMBER(SEARCH("Aplicar",$R662))/(ISNUMBER(SEARCH("Conocer",$R662))+ISNUMBER(SEARCH("Aplicar",$R662))+ISNUMBER(SEARCH("Razonar",$R662))),0)</f>
        <v/>
      </c>
      <c r="U662" s="39">
        <f>IFERROR(ISNUMBER(SEARCH("Razonar",$R662))/(ISNUMBER(SEARCH("Conocer",$R662))+ISNUMBER(SEARCH("Aplicar",$R662))+ISNUMBER(SEARCH("Razonar",$R662))),0)</f>
        <v/>
      </c>
      <c r="V662" s="11" t="inlineStr">
        <is>
          <t>Física 10°</t>
        </is>
      </c>
      <c r="W662" s="11" t="inlineStr">
        <is>
          <t>Física 10°–11°</t>
        </is>
      </c>
      <c r="X662" s="11">
        <f>IF(OR(IFERROR(INDEX('Datos - Catálogo TIMSS'!$I$5:$I$107,MATCH(K662,'Datos - Catálogo TIMSS'!$A$5:$A$107,0)),"No")="Sí",IFERROR(INDEX('Datos - Catálogo TIMSS'!$I$5:$I$107,MATCH(L662,'Datos - Catálogo TIMSS'!$A$5:$A$107,0)),"No")="Sí"),1,0)</f>
        <v/>
      </c>
      <c r="Y662" s="11">
        <f>IF(IFERROR(INDEX('Datos - Catálogo TIMSS'!$J$5:$J$107,MATCH(K662,'Datos - Catálogo TIMSS'!$A$5:$A$107,0)),"No")="Sí",1,0)</f>
        <v/>
      </c>
      <c r="Z662" s="11">
        <f>IF(IFERROR(INDEX('Datos - Catálogo TIMSS'!$J$5:$J$107,MATCH(L662,'Datos - Catálogo TIMSS'!$A$5:$A$107,0)),"No")="Sí",1,0)</f>
        <v/>
      </c>
      <c r="AA662" s="11" t="inlineStr">
        <is>
          <t>TA-M1.2</t>
        </is>
      </c>
      <c r="AB662" s="11" t="inlineStr">
        <is>
          <t>TA-M1.1</t>
        </is>
      </c>
      <c r="AC662" s="11">
        <f>IF(AA662="FUERA","Fuera del marco",IF(AA662="N/A","Sin marco",IFERROR(INDEX('Datos - TIMSS 2023'!$C$5:$C$105,MATCH(AA662,'Datos - TIMSS 2023'!$A$5:$A$105,0)),"Pendiente de clasificar")))</f>
        <v/>
      </c>
      <c r="AD662" s="11" t="inlineStr">
        <is>
          <t>3. Investigar, evaluar y usar información científica para tomar decisiones y actuar</t>
        </is>
      </c>
      <c r="AE662" s="11">
        <f>IF(AD662="","",IF(LEFT(AD662,1)="1","C1",IF(LEFT(AD662,1)="2","C2",IF(LEFT(AD662,1)="3","C3",""))))</f>
        <v/>
      </c>
      <c r="AF662" s="11" t="inlineStr">
        <is>
          <t>E1</t>
        </is>
      </c>
      <c r="AG662" s="11" t="inlineStr">
        <is>
          <t>E3</t>
        </is>
      </c>
      <c r="AH662" s="11" t="inlineStr">
        <is>
          <t>E2</t>
        </is>
      </c>
      <c r="AI662" s="11" t="inlineStr">
        <is>
          <t>I3</t>
        </is>
      </c>
      <c r="AJ662" s="11" t="inlineStr">
        <is>
          <t>I5</t>
        </is>
      </c>
      <c r="AK662" s="11" t="n"/>
      <c r="AL662" s="11" t="n"/>
      <c r="AM662" s="11" t="n"/>
      <c r="AN662" s="11" t="n"/>
      <c r="AO662" s="11" t="n"/>
      <c r="AP662" s="11" t="n"/>
      <c r="AQ662" s="11" t="n"/>
      <c r="AR662" s="11" t="n"/>
      <c r="AS662" s="11" t="n"/>
      <c r="AT662" s="11" t="n"/>
      <c r="AU662" s="11" t="n"/>
      <c r="AV662" s="11" t="n"/>
      <c r="AW662" s="11">
        <f>AF662&amp;"; "&amp;AG662&amp;"; "&amp;AH662&amp;"; "&amp;AI662&amp;"; "&amp;AJ662</f>
        <v/>
      </c>
    </row>
    <row r="663">
      <c r="A663" s="11" t="inlineStr">
        <is>
          <t>T0199-G10-FÍS</t>
        </is>
      </c>
      <c r="B663" s="11" t="n">
        <v>10</v>
      </c>
      <c r="C663" s="11" t="inlineStr">
        <is>
          <t>Física</t>
        </is>
      </c>
      <c r="D663" s="11" t="inlineStr">
        <is>
          <t>Matriz_Bachillerato_Fisica_10_11.xlsx</t>
        </is>
      </c>
      <c r="E663" s="11" t="inlineStr">
        <is>
          <t>Física 10.°</t>
        </is>
      </c>
      <c r="F663" s="11" t="n">
        <v>39</v>
      </c>
      <c r="G663" s="11" t="inlineStr">
        <is>
          <t>6. Movimiento circular uniforme</t>
        </is>
      </c>
      <c r="H663" s="11" t="inlineStr">
        <is>
          <t>Descripción del movimiento circular uniforme</t>
        </is>
      </c>
      <c r="I663" s="38" t="inlineStr">
        <is>
          <t>6.1. Modelación del movimiento circular uniforme a partir de la relación entre período, frecuencia, radio y rapidez tangencial.</t>
        </is>
      </c>
      <c r="J663" s="11" t="inlineStr">
        <is>
          <t>TA</t>
        </is>
      </c>
      <c r="K663" s="11" t="inlineStr">
        <is>
          <t>TA-M1.3</t>
        </is>
      </c>
      <c r="L663" s="11" t="inlineStr"/>
      <c r="M663" s="11">
        <f>IF(K663="FUERA","Fuera del marco",IF(K663="N/A","Sin marco",IFERROR(INDEX('Datos - Catálogo TIMSS'!$C$5:$C$107,MATCH(K663,'Datos - Catálogo TIMSS'!$A$5:$A$107,0)),"Pendiente de clasificar")))</f>
        <v/>
      </c>
      <c r="N663" s="11">
        <f>IF(K663="FUERA","Fuera del marco",IF(K663="N/A","Sin marco",IFERROR(INDEX('Datos - Catálogo TIMSS'!$F$5:$F$107,MATCH(K663,'Datos - Catálogo TIMSS'!$A$5:$A$107,0)),"Pendiente de clasificar")))</f>
        <v/>
      </c>
      <c r="O663" s="11">
        <f>IF(L663="","",IFERROR(INDEX('Datos - Catálogo TIMSS'!$C$5:$C$107,MATCH(L663,'Datos - Catálogo TIMSS'!$A$5:$A$107,0)),"?"))</f>
        <v/>
      </c>
      <c r="P663" s="11" t="inlineStr">
        <is>
          <t>alta</t>
        </is>
      </c>
      <c r="Q663" s="38" t="inlineStr">
        <is>
          <t>Movimiento circular uniforme: período, frecuencia, rapidez</t>
        </is>
      </c>
      <c r="R663" s="38" t="inlineStr">
        <is>
          <t>Aplicar: calcular período, frecuencia y rapidez. Razonar: justificar la variación de la velocidad</t>
        </is>
      </c>
      <c r="S663" s="39">
        <f>IFERROR(ISNUMBER(SEARCH("Conocer",$R663))/(ISNUMBER(SEARCH("Conocer",$R663))+ISNUMBER(SEARCH("Aplicar",$R663))+ISNUMBER(SEARCH("Razonar",$R663))),0)</f>
        <v/>
      </c>
      <c r="T663" s="39">
        <f>IFERROR(ISNUMBER(SEARCH("Aplicar",$R663))/(ISNUMBER(SEARCH("Conocer",$R663))+ISNUMBER(SEARCH("Aplicar",$R663))+ISNUMBER(SEARCH("Razonar",$R663))),0)</f>
        <v/>
      </c>
      <c r="U663" s="39">
        <f>IFERROR(ISNUMBER(SEARCH("Razonar",$R663))/(ISNUMBER(SEARCH("Conocer",$R663))+ISNUMBER(SEARCH("Aplicar",$R663))+ISNUMBER(SEARCH("Razonar",$R663))),0)</f>
        <v/>
      </c>
      <c r="V663" s="11" t="inlineStr">
        <is>
          <t>Física 10°</t>
        </is>
      </c>
      <c r="W663" s="11" t="inlineStr">
        <is>
          <t>Física 10°–11°</t>
        </is>
      </c>
      <c r="X663" s="11">
        <f>IF(OR(IFERROR(INDEX('Datos - Catálogo TIMSS'!$I$5:$I$107,MATCH(K663,'Datos - Catálogo TIMSS'!$A$5:$A$107,0)),"No")="Sí",IFERROR(INDEX('Datos - Catálogo TIMSS'!$I$5:$I$107,MATCH(L663,'Datos - Catálogo TIMSS'!$A$5:$A$107,0)),"No")="Sí"),1,0)</f>
        <v/>
      </c>
      <c r="Y663" s="11">
        <f>IF(IFERROR(INDEX('Datos - Catálogo TIMSS'!$J$5:$J$107,MATCH(K663,'Datos - Catálogo TIMSS'!$A$5:$A$107,0)),"No")="Sí",1,0)</f>
        <v/>
      </c>
      <c r="Z663" s="11">
        <f>IF(IFERROR(INDEX('Datos - Catálogo TIMSS'!$J$5:$J$107,MATCH(L663,'Datos - Catálogo TIMSS'!$A$5:$A$107,0)),"No")="Sí",1,0)</f>
        <v/>
      </c>
      <c r="AA663" s="11" t="inlineStr">
        <is>
          <t>TA-M1.3</t>
        </is>
      </c>
      <c r="AB663" s="11" t="inlineStr"/>
      <c r="AC663" s="11">
        <f>IF(AA663="FUERA","Fuera del marco",IF(AA663="N/A","Sin marco",IFERROR(INDEX('Datos - TIMSS 2023'!$C$5:$C$105,MATCH(AA663,'Datos - TIMSS 2023'!$A$5:$A$105,0)),"Pendiente de clasificar")))</f>
        <v/>
      </c>
      <c r="AD663" s="11" t="inlineStr">
        <is>
          <t>1. Explicar fenómenos científicamente</t>
        </is>
      </c>
      <c r="AE663" s="11">
        <f>IF(AD663="","",IF(LEFT(AD663,1)="1","C1",IF(LEFT(AD663,1)="2","C2",IF(LEFT(AD663,1)="3","C3",""))))</f>
        <v/>
      </c>
      <c r="AF663" s="11" t="inlineStr">
        <is>
          <t>E1</t>
        </is>
      </c>
      <c r="AG663" s="11" t="inlineStr">
        <is>
          <t>D1</t>
        </is>
      </c>
      <c r="AH663" s="11" t="inlineStr">
        <is>
          <t>E2</t>
        </is>
      </c>
      <c r="AI663" s="11" t="inlineStr">
        <is>
          <t>D4</t>
        </is>
      </c>
      <c r="AJ663" s="11" t="inlineStr">
        <is>
          <t>E3</t>
        </is>
      </c>
      <c r="AK663" s="11" t="n"/>
      <c r="AL663" s="11" t="n"/>
      <c r="AM663" s="11" t="n"/>
      <c r="AN663" s="11" t="n"/>
      <c r="AO663" s="11" t="n"/>
      <c r="AP663" s="11" t="n"/>
      <c r="AQ663" s="11" t="n"/>
      <c r="AR663" s="11" t="n"/>
      <c r="AS663" s="11" t="n"/>
      <c r="AT663" s="11" t="n"/>
      <c r="AU663" s="11" t="n"/>
      <c r="AV663" s="11" t="n"/>
      <c r="AW663" s="11">
        <f>AF663&amp;"; "&amp;AG663&amp;"; "&amp;AH663&amp;"; "&amp;AI663&amp;"; "&amp;AJ663</f>
        <v/>
      </c>
    </row>
    <row r="664">
      <c r="A664" s="11" t="inlineStr">
        <is>
          <t>T0200-G10-FÍS</t>
        </is>
      </c>
      <c r="B664" s="11" t="n">
        <v>10</v>
      </c>
      <c r="C664" s="11" t="inlineStr">
        <is>
          <t>Física</t>
        </is>
      </c>
      <c r="D664" s="11" t="inlineStr">
        <is>
          <t>Matriz_Bachillerato_Fisica_10_11.xlsx</t>
        </is>
      </c>
      <c r="E664" s="11" t="inlineStr">
        <is>
          <t>Física 10.°</t>
        </is>
      </c>
      <c r="F664" s="11" t="n">
        <v>40</v>
      </c>
      <c r="G664" s="11" t="inlineStr">
        <is>
          <t>6. Movimiento circular uniforme</t>
        </is>
      </c>
      <c r="H664" s="11" t="inlineStr">
        <is>
          <t>Aceleración centrípeta</t>
        </is>
      </c>
      <c r="I664" s="38" t="inlineStr">
        <is>
          <t>6.2. Deducción vectorial de la aceleración centrípeta a partir del cambio de dirección de la velocidad.</t>
        </is>
      </c>
      <c r="J664" s="11" t="inlineStr">
        <is>
          <t>TA</t>
        </is>
      </c>
      <c r="K664" s="11" t="inlineStr">
        <is>
          <t>TA-M1.3</t>
        </is>
      </c>
      <c r="L664" s="11" t="inlineStr"/>
      <c r="M664" s="11">
        <f>IF(K664="FUERA","Fuera del marco",IF(K664="N/A","Sin marco",IFERROR(INDEX('Datos - Catálogo TIMSS'!$C$5:$C$107,MATCH(K664,'Datos - Catálogo TIMSS'!$A$5:$A$107,0)),"Pendiente de clasificar")))</f>
        <v/>
      </c>
      <c r="N664" s="11">
        <f>IF(K664="FUERA","Fuera del marco",IF(K664="N/A","Sin marco",IFERROR(INDEX('Datos - Catálogo TIMSS'!$F$5:$F$107,MATCH(K664,'Datos - Catálogo TIMSS'!$A$5:$A$107,0)),"Pendiente de clasificar")))</f>
        <v/>
      </c>
      <c r="O664" s="11">
        <f>IF(L664="","",IFERROR(INDEX('Datos - Catálogo TIMSS'!$C$5:$C$107,MATCH(L664,'Datos - Catálogo TIMSS'!$A$5:$A$107,0)),"?"))</f>
        <v/>
      </c>
      <c r="P664" s="11" t="inlineStr">
        <is>
          <t>alta</t>
        </is>
      </c>
      <c r="Q664" s="38" t="inlineStr">
        <is>
          <t>Aceleración centrípeta</t>
        </is>
      </c>
      <c r="R664" s="38" t="inlineStr">
        <is>
          <t>Aplicar: calcular la aceleración centrípeta. Razonar: comparar resultados experimentales y teóricos</t>
        </is>
      </c>
      <c r="S664" s="39">
        <f>IFERROR(ISNUMBER(SEARCH("Conocer",$R664))/(ISNUMBER(SEARCH("Conocer",$R664))+ISNUMBER(SEARCH("Aplicar",$R664))+ISNUMBER(SEARCH("Razonar",$R664))),0)</f>
        <v/>
      </c>
      <c r="T664" s="39">
        <f>IFERROR(ISNUMBER(SEARCH("Aplicar",$R664))/(ISNUMBER(SEARCH("Conocer",$R664))+ISNUMBER(SEARCH("Aplicar",$R664))+ISNUMBER(SEARCH("Razonar",$R664))),0)</f>
        <v/>
      </c>
      <c r="U664" s="39">
        <f>IFERROR(ISNUMBER(SEARCH("Razonar",$R664))/(ISNUMBER(SEARCH("Conocer",$R664))+ISNUMBER(SEARCH("Aplicar",$R664))+ISNUMBER(SEARCH("Razonar",$R664))),0)</f>
        <v/>
      </c>
      <c r="V664" s="11" t="inlineStr">
        <is>
          <t>Física 10°</t>
        </is>
      </c>
      <c r="W664" s="11" t="inlineStr">
        <is>
          <t>Física 10°–11°</t>
        </is>
      </c>
      <c r="X664" s="11">
        <f>IF(OR(IFERROR(INDEX('Datos - Catálogo TIMSS'!$I$5:$I$107,MATCH(K664,'Datos - Catálogo TIMSS'!$A$5:$A$107,0)),"No")="Sí",IFERROR(INDEX('Datos - Catálogo TIMSS'!$I$5:$I$107,MATCH(L664,'Datos - Catálogo TIMSS'!$A$5:$A$107,0)),"No")="Sí"),1,0)</f>
        <v/>
      </c>
      <c r="Y664" s="11">
        <f>IF(IFERROR(INDEX('Datos - Catálogo TIMSS'!$J$5:$J$107,MATCH(K664,'Datos - Catálogo TIMSS'!$A$5:$A$107,0)),"No")="Sí",1,0)</f>
        <v/>
      </c>
      <c r="Z664" s="11">
        <f>IF(IFERROR(INDEX('Datos - Catálogo TIMSS'!$J$5:$J$107,MATCH(L664,'Datos - Catálogo TIMSS'!$A$5:$A$107,0)),"No")="Sí",1,0)</f>
        <v/>
      </c>
      <c r="AA664" s="11" t="inlineStr">
        <is>
          <t>TA-M1.3</t>
        </is>
      </c>
      <c r="AB664" s="11" t="inlineStr"/>
      <c r="AC664" s="11">
        <f>IF(AA664="FUERA","Fuera del marco",IF(AA664="N/A","Sin marco",IFERROR(INDEX('Datos - TIMSS 2023'!$C$5:$C$105,MATCH(AA664,'Datos - TIMSS 2023'!$A$5:$A$105,0)),"Pendiente de clasificar")))</f>
        <v/>
      </c>
      <c r="AD664" s="11" t="inlineStr">
        <is>
          <t>1. Explicar fenómenos científicamente</t>
        </is>
      </c>
      <c r="AE664" s="11">
        <f>IF(AD664="","",IF(LEFT(AD664,1)="1","C1",IF(LEFT(AD664,1)="2","C2",IF(LEFT(AD664,1)="3","C3",""))))</f>
        <v/>
      </c>
      <c r="AF664" s="11" t="inlineStr">
        <is>
          <t>E1</t>
        </is>
      </c>
      <c r="AG664" s="11" t="inlineStr">
        <is>
          <t>E3</t>
        </is>
      </c>
      <c r="AH664" s="11" t="inlineStr">
        <is>
          <t>E2</t>
        </is>
      </c>
      <c r="AI664" s="11" t="inlineStr">
        <is>
          <t>D4</t>
        </is>
      </c>
      <c r="AJ664" s="11" t="inlineStr">
        <is>
          <t>E3</t>
        </is>
      </c>
      <c r="AK664" s="11" t="n"/>
      <c r="AL664" s="11" t="n"/>
      <c r="AM664" s="11" t="n"/>
      <c r="AN664" s="11" t="n"/>
      <c r="AO664" s="11" t="n"/>
      <c r="AP664" s="11" t="n"/>
      <c r="AQ664" s="11" t="n"/>
      <c r="AR664" s="11" t="n"/>
      <c r="AS664" s="11" t="n"/>
      <c r="AT664" s="11" t="n"/>
      <c r="AU664" s="11" t="n"/>
      <c r="AV664" s="11" t="n"/>
      <c r="AW664" s="11">
        <f>AF664&amp;"; "&amp;AG664&amp;"; "&amp;AH664&amp;"; "&amp;AI664&amp;"; "&amp;AJ664</f>
        <v/>
      </c>
    </row>
    <row r="665">
      <c r="A665" s="11" t="inlineStr">
        <is>
          <t>T0201-G10-FÍS</t>
        </is>
      </c>
      <c r="B665" s="11" t="n">
        <v>10</v>
      </c>
      <c r="C665" s="11" t="inlineStr">
        <is>
          <t>Física</t>
        </is>
      </c>
      <c r="D665" s="11" t="inlineStr">
        <is>
          <t>Matriz_Bachillerato_Fisica_10_11.xlsx</t>
        </is>
      </c>
      <c r="E665" s="11" t="inlineStr">
        <is>
          <t>Física 10.°</t>
        </is>
      </c>
      <c r="F665" s="11" t="n">
        <v>41</v>
      </c>
      <c r="G665" s="11" t="inlineStr">
        <is>
          <t>6. Movimiento circular uniforme</t>
        </is>
      </c>
      <c r="H665" s="11" t="inlineStr">
        <is>
          <t>Dinámica del movimiento circular</t>
        </is>
      </c>
      <c r="I665" s="38" t="inlineStr">
        <is>
          <t>6.3. Aplicación de la segunda ley de Newton en la dirección radial para identificar la fuerza que produce la aceleración centrípeta.</t>
        </is>
      </c>
      <c r="J665" s="11" t="inlineStr">
        <is>
          <t>TA</t>
        </is>
      </c>
      <c r="K665" s="11" t="inlineStr">
        <is>
          <t>TA-M1.3</t>
        </is>
      </c>
      <c r="L665" s="11" t="inlineStr"/>
      <c r="M665" s="11">
        <f>IF(K665="FUERA","Fuera del marco",IF(K665="N/A","Sin marco",IFERROR(INDEX('Datos - Catálogo TIMSS'!$C$5:$C$107,MATCH(K665,'Datos - Catálogo TIMSS'!$A$5:$A$107,0)),"Pendiente de clasificar")))</f>
        <v/>
      </c>
      <c r="N665" s="11">
        <f>IF(K665="FUERA","Fuera del marco",IF(K665="N/A","Sin marco",IFERROR(INDEX('Datos - Catálogo TIMSS'!$F$5:$F$107,MATCH(K665,'Datos - Catálogo TIMSS'!$A$5:$A$107,0)),"Pendiente de clasificar")))</f>
        <v/>
      </c>
      <c r="O665" s="11">
        <f>IF(L665="","",IFERROR(INDEX('Datos - Catálogo TIMSS'!$C$5:$C$107,MATCH(L665,'Datos - Catálogo TIMSS'!$A$5:$A$107,0)),"?"))</f>
        <v/>
      </c>
      <c r="P665" s="11" t="inlineStr">
        <is>
          <t>alta</t>
        </is>
      </c>
      <c r="Q665" s="38" t="inlineStr">
        <is>
          <t>Fuerza centrípeta con segunda ley radial</t>
        </is>
      </c>
      <c r="R665" s="38" t="inlineStr">
        <is>
          <t>Aplicar: calcular fuerzas con la segunda ley de Newton. Razonar: identificar la fuerza centrípeta en cada caso</t>
        </is>
      </c>
      <c r="S665" s="39">
        <f>IFERROR(ISNUMBER(SEARCH("Conocer",$R665))/(ISNUMBER(SEARCH("Conocer",$R665))+ISNUMBER(SEARCH("Aplicar",$R665))+ISNUMBER(SEARCH("Razonar",$R665))),0)</f>
        <v/>
      </c>
      <c r="T665" s="39">
        <f>IFERROR(ISNUMBER(SEARCH("Aplicar",$R665))/(ISNUMBER(SEARCH("Conocer",$R665))+ISNUMBER(SEARCH("Aplicar",$R665))+ISNUMBER(SEARCH("Razonar",$R665))),0)</f>
        <v/>
      </c>
      <c r="U665" s="39">
        <f>IFERROR(ISNUMBER(SEARCH("Razonar",$R665))/(ISNUMBER(SEARCH("Conocer",$R665))+ISNUMBER(SEARCH("Aplicar",$R665))+ISNUMBER(SEARCH("Razonar",$R665))),0)</f>
        <v/>
      </c>
      <c r="V665" s="11" t="inlineStr">
        <is>
          <t>Física 10°</t>
        </is>
      </c>
      <c r="W665" s="11" t="inlineStr">
        <is>
          <t>Física 10°–11°</t>
        </is>
      </c>
      <c r="X665" s="11">
        <f>IF(OR(IFERROR(INDEX('Datos - Catálogo TIMSS'!$I$5:$I$107,MATCH(K665,'Datos - Catálogo TIMSS'!$A$5:$A$107,0)),"No")="Sí",IFERROR(INDEX('Datos - Catálogo TIMSS'!$I$5:$I$107,MATCH(L665,'Datos - Catálogo TIMSS'!$A$5:$A$107,0)),"No")="Sí"),1,0)</f>
        <v/>
      </c>
      <c r="Y665" s="11">
        <f>IF(IFERROR(INDEX('Datos - Catálogo TIMSS'!$J$5:$J$107,MATCH(K665,'Datos - Catálogo TIMSS'!$A$5:$A$107,0)),"No")="Sí",1,0)</f>
        <v/>
      </c>
      <c r="Z665" s="11">
        <f>IF(IFERROR(INDEX('Datos - Catálogo TIMSS'!$J$5:$J$107,MATCH(L665,'Datos - Catálogo TIMSS'!$A$5:$A$107,0)),"No")="Sí",1,0)</f>
        <v/>
      </c>
      <c r="AA665" s="11" t="inlineStr">
        <is>
          <t>TA-M1.3</t>
        </is>
      </c>
      <c r="AB665" s="11" t="inlineStr"/>
      <c r="AC665" s="11">
        <f>IF(AA665="FUERA","Fuera del marco",IF(AA665="N/A","Sin marco",IFERROR(INDEX('Datos - TIMSS 2023'!$C$5:$C$105,MATCH(AA665,'Datos - TIMSS 2023'!$A$5:$A$105,0)),"Pendiente de clasificar")))</f>
        <v/>
      </c>
      <c r="AD665" s="11" t="inlineStr">
        <is>
          <t>1. Explicar fenómenos científicamente</t>
        </is>
      </c>
      <c r="AE665" s="11">
        <f>IF(AD665="","",IF(LEFT(AD665,1)="1","C1",IF(LEFT(AD665,1)="2","C2",IF(LEFT(AD665,1)="3","C3",""))))</f>
        <v/>
      </c>
      <c r="AF665" s="11" t="inlineStr">
        <is>
          <t>E1</t>
        </is>
      </c>
      <c r="AG665" s="11" t="inlineStr">
        <is>
          <t>E5</t>
        </is>
      </c>
      <c r="AH665" s="11" t="inlineStr">
        <is>
          <t>E4</t>
        </is>
      </c>
      <c r="AI665" s="11" t="inlineStr">
        <is>
          <t>D4</t>
        </is>
      </c>
      <c r="AJ665" s="11" t="inlineStr">
        <is>
          <t>I5</t>
        </is>
      </c>
      <c r="AK665" s="11" t="n"/>
      <c r="AL665" s="11" t="n"/>
      <c r="AM665" s="11" t="n"/>
      <c r="AN665" s="11" t="n"/>
      <c r="AO665" s="11" t="n"/>
      <c r="AP665" s="11" t="n"/>
      <c r="AQ665" s="11" t="n"/>
      <c r="AR665" s="11" t="n"/>
      <c r="AS665" s="11" t="n"/>
      <c r="AT665" s="11" t="n"/>
      <c r="AU665" s="11" t="n"/>
      <c r="AV665" s="11" t="n"/>
      <c r="AW665" s="11">
        <f>AF665&amp;"; "&amp;AG665&amp;"; "&amp;AH665&amp;"; "&amp;AI665&amp;"; "&amp;AJ665</f>
        <v/>
      </c>
    </row>
    <row r="666">
      <c r="A666" s="11" t="inlineStr">
        <is>
          <t>T0202-G10-FÍS</t>
        </is>
      </c>
      <c r="B666" s="11" t="n">
        <v>10</v>
      </c>
      <c r="C666" s="11" t="inlineStr">
        <is>
          <t>Física</t>
        </is>
      </c>
      <c r="D666" s="11" t="inlineStr">
        <is>
          <t>Matriz_Bachillerato_Fisica_10_11.xlsx</t>
        </is>
      </c>
      <c r="E666" s="11" t="inlineStr">
        <is>
          <t>Física 10.°</t>
        </is>
      </c>
      <c r="F666" s="11" t="n">
        <v>42</v>
      </c>
      <c r="G666" s="11" t="inlineStr">
        <is>
          <t>6. Movimiento circular uniforme</t>
        </is>
      </c>
      <c r="H666" s="11" t="inlineStr">
        <is>
          <t>Dinámica del movimiento circular</t>
        </is>
      </c>
      <c r="I666" s="38" t="inlineStr">
        <is>
          <t>6.4. Comparación de la rapidez máxima segura de un vehículo en una curva plana y en una curva peraltada.</t>
        </is>
      </c>
      <c r="J666" s="11" t="inlineStr">
        <is>
          <t>TA</t>
        </is>
      </c>
      <c r="K666" s="11" t="inlineStr">
        <is>
          <t>TA-M1.3</t>
        </is>
      </c>
      <c r="L666" s="11" t="inlineStr">
        <is>
          <t>TA-M1.2</t>
        </is>
      </c>
      <c r="M666" s="11">
        <f>IF(K666="FUERA","Fuera del marco",IF(K666="N/A","Sin marco",IFERROR(INDEX('Datos - Catálogo TIMSS'!$C$5:$C$107,MATCH(K666,'Datos - Catálogo TIMSS'!$A$5:$A$107,0)),"Pendiente de clasificar")))</f>
        <v/>
      </c>
      <c r="N666" s="11">
        <f>IF(K666="FUERA","Fuera del marco",IF(K666="N/A","Sin marco",IFERROR(INDEX('Datos - Catálogo TIMSS'!$F$5:$F$107,MATCH(K666,'Datos - Catálogo TIMSS'!$A$5:$A$107,0)),"Pendiente de clasificar")))</f>
        <v/>
      </c>
      <c r="O666" s="11">
        <f>IF(L666="","",IFERROR(INDEX('Datos - Catálogo TIMSS'!$C$5:$C$107,MATCH(L666,'Datos - Catálogo TIMSS'!$A$5:$A$107,0)),"?"))</f>
        <v/>
      </c>
      <c r="P666" s="11" t="inlineStr">
        <is>
          <t>alta</t>
        </is>
      </c>
      <c r="Q666" s="38" t="inlineStr">
        <is>
          <t>Curvas planas y peraltadas: fuerza centrípeta y fricción</t>
        </is>
      </c>
      <c r="R666" s="38" t="inlineStr">
        <is>
          <t>Aplicar: calcular la rapidez de diseño. Razonar: justificar recomendaciones de seguridad vial</t>
        </is>
      </c>
      <c r="S666" s="39">
        <f>IFERROR(ISNUMBER(SEARCH("Conocer",$R666))/(ISNUMBER(SEARCH("Conocer",$R666))+ISNUMBER(SEARCH("Aplicar",$R666))+ISNUMBER(SEARCH("Razonar",$R666))),0)</f>
        <v/>
      </c>
      <c r="T666" s="39">
        <f>IFERROR(ISNUMBER(SEARCH("Aplicar",$R666))/(ISNUMBER(SEARCH("Conocer",$R666))+ISNUMBER(SEARCH("Aplicar",$R666))+ISNUMBER(SEARCH("Razonar",$R666))),0)</f>
        <v/>
      </c>
      <c r="U666" s="39">
        <f>IFERROR(ISNUMBER(SEARCH("Razonar",$R666))/(ISNUMBER(SEARCH("Conocer",$R666))+ISNUMBER(SEARCH("Aplicar",$R666))+ISNUMBER(SEARCH("Razonar",$R666))),0)</f>
        <v/>
      </c>
      <c r="V666" s="11" t="inlineStr">
        <is>
          <t>Física 10°</t>
        </is>
      </c>
      <c r="W666" s="11" t="inlineStr">
        <is>
          <t>Física 10°–11°</t>
        </is>
      </c>
      <c r="X666" s="11">
        <f>IF(OR(IFERROR(INDEX('Datos - Catálogo TIMSS'!$I$5:$I$107,MATCH(K666,'Datos - Catálogo TIMSS'!$A$5:$A$107,0)),"No")="Sí",IFERROR(INDEX('Datos - Catálogo TIMSS'!$I$5:$I$107,MATCH(L666,'Datos - Catálogo TIMSS'!$A$5:$A$107,0)),"No")="Sí"),1,0)</f>
        <v/>
      </c>
      <c r="Y666" s="11">
        <f>IF(IFERROR(INDEX('Datos - Catálogo TIMSS'!$J$5:$J$107,MATCH(K666,'Datos - Catálogo TIMSS'!$A$5:$A$107,0)),"No")="Sí",1,0)</f>
        <v/>
      </c>
      <c r="Z666" s="11">
        <f>IF(IFERROR(INDEX('Datos - Catálogo TIMSS'!$J$5:$J$107,MATCH(L666,'Datos - Catálogo TIMSS'!$A$5:$A$107,0)),"No")="Sí",1,0)</f>
        <v/>
      </c>
      <c r="AA666" s="11" t="inlineStr">
        <is>
          <t>TA-M1.3</t>
        </is>
      </c>
      <c r="AB666" s="11" t="inlineStr">
        <is>
          <t>TA-M1.2</t>
        </is>
      </c>
      <c r="AC666" s="11">
        <f>IF(AA666="FUERA","Fuera del marco",IF(AA666="N/A","Sin marco",IFERROR(INDEX('Datos - TIMSS 2023'!$C$5:$C$105,MATCH(AA666,'Datos - TIMSS 2023'!$A$5:$A$105,0)),"Pendiente de clasificar")))</f>
        <v/>
      </c>
      <c r="AD666" s="11" t="inlineStr">
        <is>
          <t>2. Construir y evaluar diseños para la indagación científica e interpretar datos y evidencia de forma crítica</t>
        </is>
      </c>
      <c r="AE666" s="11">
        <f>IF(AD666="","",IF(LEFT(AD666,1)="1","C1",IF(LEFT(AD666,1)="2","C2",IF(LEFT(AD666,1)="3","C3",""))))</f>
        <v/>
      </c>
      <c r="AF666" s="11" t="inlineStr">
        <is>
          <t>E6</t>
        </is>
      </c>
      <c r="AG666" s="11" t="inlineStr">
        <is>
          <t>E3</t>
        </is>
      </c>
      <c r="AH666" s="11" t="inlineStr">
        <is>
          <t>E4</t>
        </is>
      </c>
      <c r="AI666" s="11" t="inlineStr">
        <is>
          <t>D2</t>
        </is>
      </c>
      <c r="AJ666" s="11" t="inlineStr">
        <is>
          <t>I5</t>
        </is>
      </c>
      <c r="AK666" s="11" t="n"/>
      <c r="AL666" s="11" t="n"/>
      <c r="AM666" s="11" t="n"/>
      <c r="AN666" s="11" t="n"/>
      <c r="AO666" s="11" t="n"/>
      <c r="AP666" s="11" t="n"/>
      <c r="AQ666" s="11" t="n"/>
      <c r="AR666" s="11" t="n"/>
      <c r="AS666" s="11" t="n"/>
      <c r="AT666" s="11" t="n"/>
      <c r="AU666" s="11" t="n"/>
      <c r="AV666" s="11" t="n"/>
      <c r="AW666" s="11">
        <f>AF666&amp;"; "&amp;AG666&amp;"; "&amp;AH666&amp;"; "&amp;AI666&amp;"; "&amp;AJ666</f>
        <v/>
      </c>
    </row>
    <row r="667">
      <c r="A667" s="11" t="inlineStr">
        <is>
          <t>T0203-G10-FÍS</t>
        </is>
      </c>
      <c r="B667" s="11" t="n">
        <v>10</v>
      </c>
      <c r="C667" s="11" t="inlineStr">
        <is>
          <t>Física</t>
        </is>
      </c>
      <c r="D667" s="11" t="inlineStr">
        <is>
          <t>Matriz_Bachillerato_Fisica_10_11.xlsx</t>
        </is>
      </c>
      <c r="E667" s="11" t="inlineStr">
        <is>
          <t>Física 10.°</t>
        </is>
      </c>
      <c r="F667" s="11" t="n">
        <v>43</v>
      </c>
      <c r="G667" s="11" t="inlineStr">
        <is>
          <t>6. Movimiento circular uniforme</t>
        </is>
      </c>
      <c r="H667" s="11" t="inlineStr">
        <is>
          <t>Gravitación y órbitas circulares</t>
        </is>
      </c>
      <c r="I667" s="38" t="inlineStr">
        <is>
          <t>6.5. Cálculo de la rapidez y el período de satélites en órbitas circulares igualando la fuerza gravitatoria con la fuerza centrípeta.</t>
        </is>
      </c>
      <c r="J667" s="11" t="inlineStr">
        <is>
          <t>TA</t>
        </is>
      </c>
      <c r="K667" s="11" t="inlineStr">
        <is>
          <t>TA-M1.4</t>
        </is>
      </c>
      <c r="L667" s="11" t="inlineStr">
        <is>
          <t>TA-M1.3</t>
        </is>
      </c>
      <c r="M667" s="11">
        <f>IF(K667="FUERA","Fuera del marco",IF(K667="N/A","Sin marco",IFERROR(INDEX('Datos - Catálogo TIMSS'!$C$5:$C$107,MATCH(K667,'Datos - Catálogo TIMSS'!$A$5:$A$107,0)),"Pendiente de clasificar")))</f>
        <v/>
      </c>
      <c r="N667" s="11">
        <f>IF(K667="FUERA","Fuera del marco",IF(K667="N/A","Sin marco",IFERROR(INDEX('Datos - Catálogo TIMSS'!$F$5:$F$107,MATCH(K667,'Datos - Catálogo TIMSS'!$A$5:$A$107,0)),"Pendiente de clasificar")))</f>
        <v/>
      </c>
      <c r="O667" s="11">
        <f>IF(L667="","",IFERROR(INDEX('Datos - Catálogo TIMSS'!$C$5:$C$107,MATCH(L667,'Datos - Catálogo TIMSS'!$A$5:$A$107,0)),"?"))</f>
        <v/>
      </c>
      <c r="P667" s="11" t="inlineStr">
        <is>
          <t>alta</t>
        </is>
      </c>
      <c r="Q667" s="38" t="inlineStr">
        <is>
          <t>Órbitas circulares: gravedad como fuerza centrípeta</t>
        </is>
      </c>
      <c r="R667" s="38" t="inlineStr">
        <is>
          <t>Aplicar: calcular rapidez y período orbital. Razonar: justificar la independencia de la masa</t>
        </is>
      </c>
      <c r="S667" s="39">
        <f>IFERROR(ISNUMBER(SEARCH("Conocer",$R667))/(ISNUMBER(SEARCH("Conocer",$R667))+ISNUMBER(SEARCH("Aplicar",$R667))+ISNUMBER(SEARCH("Razonar",$R667))),0)</f>
        <v/>
      </c>
      <c r="T667" s="39">
        <f>IFERROR(ISNUMBER(SEARCH("Aplicar",$R667))/(ISNUMBER(SEARCH("Conocer",$R667))+ISNUMBER(SEARCH("Aplicar",$R667))+ISNUMBER(SEARCH("Razonar",$R667))),0)</f>
        <v/>
      </c>
      <c r="U667" s="39">
        <f>IFERROR(ISNUMBER(SEARCH("Razonar",$R667))/(ISNUMBER(SEARCH("Conocer",$R667))+ISNUMBER(SEARCH("Aplicar",$R667))+ISNUMBER(SEARCH("Razonar",$R667))),0)</f>
        <v/>
      </c>
      <c r="V667" s="11" t="inlineStr">
        <is>
          <t>Física 10°</t>
        </is>
      </c>
      <c r="W667" s="11" t="inlineStr">
        <is>
          <t>Física 10°–11°</t>
        </is>
      </c>
      <c r="X667" s="11">
        <f>IF(OR(IFERROR(INDEX('Datos - Catálogo TIMSS'!$I$5:$I$107,MATCH(K667,'Datos - Catálogo TIMSS'!$A$5:$A$107,0)),"No")="Sí",IFERROR(INDEX('Datos - Catálogo TIMSS'!$I$5:$I$107,MATCH(L667,'Datos - Catálogo TIMSS'!$A$5:$A$107,0)),"No")="Sí"),1,0)</f>
        <v/>
      </c>
      <c r="Y667" s="11">
        <f>IF(IFERROR(INDEX('Datos - Catálogo TIMSS'!$J$5:$J$107,MATCH(K667,'Datos - Catálogo TIMSS'!$A$5:$A$107,0)),"No")="Sí",1,0)</f>
        <v/>
      </c>
      <c r="Z667" s="11">
        <f>IF(IFERROR(INDEX('Datos - Catálogo TIMSS'!$J$5:$J$107,MATCH(L667,'Datos - Catálogo TIMSS'!$A$5:$A$107,0)),"No")="Sí",1,0)</f>
        <v/>
      </c>
      <c r="AA667" s="11" t="inlineStr">
        <is>
          <t>TA-M1.4</t>
        </is>
      </c>
      <c r="AB667" s="11" t="inlineStr">
        <is>
          <t>TA-M1.3</t>
        </is>
      </c>
      <c r="AC667" s="11">
        <f>IF(AA667="FUERA","Fuera del marco",IF(AA667="N/A","Sin marco",IFERROR(INDEX('Datos - TIMSS 2023'!$C$5:$C$105,MATCH(AA667,'Datos - TIMSS 2023'!$A$5:$A$105,0)),"Pendiente de clasificar")))</f>
        <v/>
      </c>
      <c r="AD667" s="11" t="inlineStr">
        <is>
          <t>3. Investigar, evaluar y usar información científica para tomar decisiones y actuar</t>
        </is>
      </c>
      <c r="AE667" s="11">
        <f>IF(AD667="","",IF(LEFT(AD667,1)="1","C1",IF(LEFT(AD667,1)="2","C2",IF(LEFT(AD667,1)="3","C3",""))))</f>
        <v/>
      </c>
      <c r="AF667" s="11" t="inlineStr">
        <is>
          <t>E6</t>
        </is>
      </c>
      <c r="AG667" s="11" t="inlineStr">
        <is>
          <t>E5</t>
        </is>
      </c>
      <c r="AH667" s="11" t="inlineStr">
        <is>
          <t>E4</t>
        </is>
      </c>
      <c r="AI667" s="11" t="inlineStr">
        <is>
          <t>I3</t>
        </is>
      </c>
      <c r="AJ667" s="11" t="inlineStr">
        <is>
          <t>E3</t>
        </is>
      </c>
      <c r="AK667" s="11" t="n"/>
      <c r="AL667" s="11" t="n"/>
      <c r="AM667" s="11" t="n"/>
      <c r="AN667" s="11" t="n"/>
      <c r="AO667" s="11" t="n"/>
      <c r="AP667" s="11" t="n"/>
      <c r="AQ667" s="11" t="n"/>
      <c r="AR667" s="11" t="n"/>
      <c r="AS667" s="11" t="n"/>
      <c r="AT667" s="11" t="n"/>
      <c r="AU667" s="11" t="n"/>
      <c r="AV667" s="11" t="n"/>
      <c r="AW667" s="11">
        <f>AF667&amp;"; "&amp;AG667&amp;"; "&amp;AH667&amp;"; "&amp;AI667&amp;"; "&amp;AJ667</f>
        <v/>
      </c>
    </row>
    <row r="668">
      <c r="A668" s="11" t="inlineStr">
        <is>
          <t>T0204-G10-FÍS</t>
        </is>
      </c>
      <c r="B668" s="11" t="n">
        <v>10</v>
      </c>
      <c r="C668" s="11" t="inlineStr">
        <is>
          <t>Física</t>
        </is>
      </c>
      <c r="D668" s="11" t="inlineStr">
        <is>
          <t>Matriz_Bachillerato_Fisica_10_11.xlsx</t>
        </is>
      </c>
      <c r="E668" s="11" t="inlineStr">
        <is>
          <t>Física 10.°</t>
        </is>
      </c>
      <c r="F668" s="11" t="n">
        <v>44</v>
      </c>
      <c r="G668" s="11" t="inlineStr">
        <is>
          <t>6. Movimiento circular uniforme</t>
        </is>
      </c>
      <c r="H668" s="11" t="inlineStr">
        <is>
          <t>Gravitación y órbitas circulares</t>
        </is>
      </c>
      <c r="I668" s="38" t="inlineStr">
        <is>
          <t>6.6. Análisis del peso aparente en ascensores, órbitas y estaciones espaciales giratorias mediante la segunda ley de Newton.</t>
        </is>
      </c>
      <c r="J668" s="11" t="inlineStr">
        <is>
          <t>TA</t>
        </is>
      </c>
      <c r="K668" s="11" t="inlineStr">
        <is>
          <t>TA-M1.3</t>
        </is>
      </c>
      <c r="L668" s="11" t="inlineStr">
        <is>
          <t>TA-M1.4</t>
        </is>
      </c>
      <c r="M668" s="11">
        <f>IF(K668="FUERA","Fuera del marco",IF(K668="N/A","Sin marco",IFERROR(INDEX('Datos - Catálogo TIMSS'!$C$5:$C$107,MATCH(K668,'Datos - Catálogo TIMSS'!$A$5:$A$107,0)),"Pendiente de clasificar")))</f>
        <v/>
      </c>
      <c r="N668" s="11">
        <f>IF(K668="FUERA","Fuera del marco",IF(K668="N/A","Sin marco",IFERROR(INDEX('Datos - Catálogo TIMSS'!$F$5:$F$107,MATCH(K668,'Datos - Catálogo TIMSS'!$A$5:$A$107,0)),"Pendiente de clasificar")))</f>
        <v/>
      </c>
      <c r="O668" s="11">
        <f>IF(L668="","",IFERROR(INDEX('Datos - Catálogo TIMSS'!$C$5:$C$107,MATCH(L668,'Datos - Catálogo TIMSS'!$A$5:$A$107,0)),"?"))</f>
        <v/>
      </c>
      <c r="P668" s="11" t="inlineStr">
        <is>
          <t>media</t>
        </is>
      </c>
      <c r="Q668" s="38" t="inlineStr">
        <is>
          <t>Peso aparente, ingravidez y gravedad artificial</t>
        </is>
      </c>
      <c r="R668" s="38" t="inlineStr">
        <is>
          <t>Aplicar: calcular el peso aparente. Razonar: explicar la ingravidez como caída libre</t>
        </is>
      </c>
      <c r="S668" s="39">
        <f>IFERROR(ISNUMBER(SEARCH("Conocer",$R668))/(ISNUMBER(SEARCH("Conocer",$R668))+ISNUMBER(SEARCH("Aplicar",$R668))+ISNUMBER(SEARCH("Razonar",$R668))),0)</f>
        <v/>
      </c>
      <c r="T668" s="39">
        <f>IFERROR(ISNUMBER(SEARCH("Aplicar",$R668))/(ISNUMBER(SEARCH("Conocer",$R668))+ISNUMBER(SEARCH("Aplicar",$R668))+ISNUMBER(SEARCH("Razonar",$R668))),0)</f>
        <v/>
      </c>
      <c r="U668" s="39">
        <f>IFERROR(ISNUMBER(SEARCH("Razonar",$R668))/(ISNUMBER(SEARCH("Conocer",$R668))+ISNUMBER(SEARCH("Aplicar",$R668))+ISNUMBER(SEARCH("Razonar",$R668))),0)</f>
        <v/>
      </c>
      <c r="V668" s="11" t="inlineStr">
        <is>
          <t>Física 10°</t>
        </is>
      </c>
      <c r="W668" s="11" t="inlineStr">
        <is>
          <t>Física 10°–11°</t>
        </is>
      </c>
      <c r="X668" s="11">
        <f>IF(OR(IFERROR(INDEX('Datos - Catálogo TIMSS'!$I$5:$I$107,MATCH(K668,'Datos - Catálogo TIMSS'!$A$5:$A$107,0)),"No")="Sí",IFERROR(INDEX('Datos - Catálogo TIMSS'!$I$5:$I$107,MATCH(L668,'Datos - Catálogo TIMSS'!$A$5:$A$107,0)),"No")="Sí"),1,0)</f>
        <v/>
      </c>
      <c r="Y668" s="11">
        <f>IF(IFERROR(INDEX('Datos - Catálogo TIMSS'!$J$5:$J$107,MATCH(K668,'Datos - Catálogo TIMSS'!$A$5:$A$107,0)),"No")="Sí",1,0)</f>
        <v/>
      </c>
      <c r="Z668" s="11">
        <f>IF(IFERROR(INDEX('Datos - Catálogo TIMSS'!$J$5:$J$107,MATCH(L668,'Datos - Catálogo TIMSS'!$A$5:$A$107,0)),"No")="Sí",1,0)</f>
        <v/>
      </c>
      <c r="AA668" s="11" t="inlineStr">
        <is>
          <t>TA-M1.3</t>
        </is>
      </c>
      <c r="AB668" s="11" t="inlineStr">
        <is>
          <t>TA-M1.4</t>
        </is>
      </c>
      <c r="AC668" s="11">
        <f>IF(AA668="FUERA","Fuera del marco",IF(AA668="N/A","Sin marco",IFERROR(INDEX('Datos - TIMSS 2023'!$C$5:$C$105,MATCH(AA668,'Datos - TIMSS 2023'!$A$5:$A$105,0)),"Pendiente de clasificar")))</f>
        <v/>
      </c>
      <c r="AD668" s="11" t="inlineStr">
        <is>
          <t>2. Construir y evaluar diseños para la indagación científica e interpretar datos y evidencia de forma crítica</t>
        </is>
      </c>
      <c r="AE668" s="11">
        <f>IF(AD668="","",IF(LEFT(AD668,1)="1","C1",IF(LEFT(AD668,1)="2","C2",IF(LEFT(AD668,1)="3","C3",""))))</f>
        <v/>
      </c>
      <c r="AF668" s="11" t="inlineStr">
        <is>
          <t>E1</t>
        </is>
      </c>
      <c r="AG668" s="11" t="inlineStr">
        <is>
          <t>D1</t>
        </is>
      </c>
      <c r="AH668" s="11" t="inlineStr">
        <is>
          <t>E4</t>
        </is>
      </c>
      <c r="AI668" s="11" t="inlineStr">
        <is>
          <t>D4</t>
        </is>
      </c>
      <c r="AJ668" s="11" t="inlineStr">
        <is>
          <t>E3</t>
        </is>
      </c>
      <c r="AK668" s="11" t="n"/>
      <c r="AL668" s="11" t="n"/>
      <c r="AM668" s="11" t="n"/>
      <c r="AN668" s="11" t="n"/>
      <c r="AO668" s="11" t="n"/>
      <c r="AP668" s="11" t="n"/>
      <c r="AQ668" s="11" t="n"/>
      <c r="AR668" s="11" t="n"/>
      <c r="AS668" s="11" t="n"/>
      <c r="AT668" s="11" t="n"/>
      <c r="AU668" s="11" t="n"/>
      <c r="AV668" s="11" t="n"/>
      <c r="AW668" s="11">
        <f>AF668&amp;"; "&amp;AG668&amp;"; "&amp;AH668&amp;"; "&amp;AI668&amp;"; "&amp;AJ668</f>
        <v/>
      </c>
    </row>
    <row r="669">
      <c r="A669" s="11" t="inlineStr">
        <is>
          <t>T0205-G10-FÍS</t>
        </is>
      </c>
      <c r="B669" s="11" t="n">
        <v>10</v>
      </c>
      <c r="C669" s="11" t="inlineStr">
        <is>
          <t>Física</t>
        </is>
      </c>
      <c r="D669" s="11" t="inlineStr">
        <is>
          <t>Matriz_Bachillerato_Fisica_10_11.xlsx</t>
        </is>
      </c>
      <c r="E669" s="11" t="inlineStr">
        <is>
          <t>Física 10.°</t>
        </is>
      </c>
      <c r="F669" s="11" t="n">
        <v>45</v>
      </c>
      <c r="G669" s="11" t="inlineStr">
        <is>
          <t>6. Movimiento circular uniforme</t>
        </is>
      </c>
      <c r="H669" s="11" t="inlineStr">
        <is>
          <t>Movimiento circular vertical</t>
        </is>
      </c>
      <c r="I669" s="38" t="inlineStr">
        <is>
          <t>6.7. Cálculo de fuerzas en los puntos extremos de un movimiento circular vertical y de la rapidez mínima para completar la vuelta.</t>
        </is>
      </c>
      <c r="J669" s="11" t="inlineStr">
        <is>
          <t>TA</t>
        </is>
      </c>
      <c r="K669" s="11" t="inlineStr">
        <is>
          <t>TA-M1.3</t>
        </is>
      </c>
      <c r="L669" s="11" t="inlineStr"/>
      <c r="M669" s="11">
        <f>IF(K669="FUERA","Fuera del marco",IF(K669="N/A","Sin marco",IFERROR(INDEX('Datos - Catálogo TIMSS'!$C$5:$C$107,MATCH(K669,'Datos - Catálogo TIMSS'!$A$5:$A$107,0)),"Pendiente de clasificar")))</f>
        <v/>
      </c>
      <c r="N669" s="11">
        <f>IF(K669="FUERA","Fuera del marco",IF(K669="N/A","Sin marco",IFERROR(INDEX('Datos - Catálogo TIMSS'!$F$5:$F$107,MATCH(K669,'Datos - Catálogo TIMSS'!$A$5:$A$107,0)),"Pendiente de clasificar")))</f>
        <v/>
      </c>
      <c r="O669" s="11">
        <f>IF(L669="","",IFERROR(INDEX('Datos - Catálogo TIMSS'!$C$5:$C$107,MATCH(L669,'Datos - Catálogo TIMSS'!$A$5:$A$107,0)),"?"))</f>
        <v/>
      </c>
      <c r="P669" s="11" t="inlineStr">
        <is>
          <t>alta</t>
        </is>
      </c>
      <c r="Q669" s="38" t="inlineStr">
        <is>
          <t>Movimiento circular vertical: fuerzas en extremos</t>
        </is>
      </c>
      <c r="R669" s="38" t="inlineStr">
        <is>
          <t>Aplicar: calcular la rapidez mínima. Razonar: comparar fuerzas en distintos puntos del círculo</t>
        </is>
      </c>
      <c r="S669" s="39">
        <f>IFERROR(ISNUMBER(SEARCH("Conocer",$R669))/(ISNUMBER(SEARCH("Conocer",$R669))+ISNUMBER(SEARCH("Aplicar",$R669))+ISNUMBER(SEARCH("Razonar",$R669))),0)</f>
        <v/>
      </c>
      <c r="T669" s="39">
        <f>IFERROR(ISNUMBER(SEARCH("Aplicar",$R669))/(ISNUMBER(SEARCH("Conocer",$R669))+ISNUMBER(SEARCH("Aplicar",$R669))+ISNUMBER(SEARCH("Razonar",$R669))),0)</f>
        <v/>
      </c>
      <c r="U669" s="39">
        <f>IFERROR(ISNUMBER(SEARCH("Razonar",$R669))/(ISNUMBER(SEARCH("Conocer",$R669))+ISNUMBER(SEARCH("Aplicar",$R669))+ISNUMBER(SEARCH("Razonar",$R669))),0)</f>
        <v/>
      </c>
      <c r="V669" s="11" t="inlineStr">
        <is>
          <t>Física 10°</t>
        </is>
      </c>
      <c r="W669" s="11" t="inlineStr">
        <is>
          <t>Física 10°–11°</t>
        </is>
      </c>
      <c r="X669" s="11">
        <f>IF(OR(IFERROR(INDEX('Datos - Catálogo TIMSS'!$I$5:$I$107,MATCH(K669,'Datos - Catálogo TIMSS'!$A$5:$A$107,0)),"No")="Sí",IFERROR(INDEX('Datos - Catálogo TIMSS'!$I$5:$I$107,MATCH(L669,'Datos - Catálogo TIMSS'!$A$5:$A$107,0)),"No")="Sí"),1,0)</f>
        <v/>
      </c>
      <c r="Y669" s="11">
        <f>IF(IFERROR(INDEX('Datos - Catálogo TIMSS'!$J$5:$J$107,MATCH(K669,'Datos - Catálogo TIMSS'!$A$5:$A$107,0)),"No")="Sí",1,0)</f>
        <v/>
      </c>
      <c r="Z669" s="11">
        <f>IF(IFERROR(INDEX('Datos - Catálogo TIMSS'!$J$5:$J$107,MATCH(L669,'Datos - Catálogo TIMSS'!$A$5:$A$107,0)),"No")="Sí",1,0)</f>
        <v/>
      </c>
      <c r="AA669" s="11" t="inlineStr">
        <is>
          <t>TA-M1.3</t>
        </is>
      </c>
      <c r="AB669" s="11" t="inlineStr"/>
      <c r="AC669" s="11">
        <f>IF(AA669="FUERA","Fuera del marco",IF(AA669="N/A","Sin marco",IFERROR(INDEX('Datos - TIMSS 2023'!$C$5:$C$105,MATCH(AA669,'Datos - TIMSS 2023'!$A$5:$A$105,0)),"Pendiente de clasificar")))</f>
        <v/>
      </c>
      <c r="AD669" s="11" t="inlineStr">
        <is>
          <t>1. Explicar fenómenos científicamente</t>
        </is>
      </c>
      <c r="AE669" s="11">
        <f>IF(AD669="","",IF(LEFT(AD669,1)="1","C1",IF(LEFT(AD669,1)="2","C2",IF(LEFT(AD669,1)="3","C3",""))))</f>
        <v/>
      </c>
      <c r="AF669" s="11" t="inlineStr">
        <is>
          <t>E1</t>
        </is>
      </c>
      <c r="AG669" s="11" t="inlineStr">
        <is>
          <t>E3</t>
        </is>
      </c>
      <c r="AH669" s="11" t="inlineStr">
        <is>
          <t>E4</t>
        </is>
      </c>
      <c r="AI669" s="11" t="inlineStr">
        <is>
          <t>D3</t>
        </is>
      </c>
      <c r="AJ669" s="11" t="inlineStr">
        <is>
          <t>E3</t>
        </is>
      </c>
      <c r="AK669" s="11" t="n"/>
      <c r="AL669" s="11" t="n"/>
      <c r="AM669" s="11" t="n"/>
      <c r="AN669" s="11" t="n"/>
      <c r="AO669" s="11" t="n"/>
      <c r="AP669" s="11" t="n"/>
      <c r="AQ669" s="11" t="n"/>
      <c r="AR669" s="11" t="n"/>
      <c r="AS669" s="11" t="n"/>
      <c r="AT669" s="11" t="n"/>
      <c r="AU669" s="11" t="n"/>
      <c r="AV669" s="11" t="n"/>
      <c r="AW669" s="11">
        <f>AF669&amp;"; "&amp;AG669&amp;"; "&amp;AH669&amp;"; "&amp;AI669&amp;"; "&amp;AJ669</f>
        <v/>
      </c>
    </row>
    <row r="670">
      <c r="A670" s="11" t="inlineStr">
        <is>
          <t>T0206-G10-FÍS</t>
        </is>
      </c>
      <c r="B670" s="11" t="n">
        <v>10</v>
      </c>
      <c r="C670" s="11" t="inlineStr">
        <is>
          <t>Física</t>
        </is>
      </c>
      <c r="D670" s="11" t="inlineStr">
        <is>
          <t>Matriz_Bachillerato_Fisica_10_11.xlsx</t>
        </is>
      </c>
      <c r="E670" s="11" t="inlineStr">
        <is>
          <t>Física 10.°</t>
        </is>
      </c>
      <c r="F670" s="11" t="n">
        <v>46</v>
      </c>
      <c r="G670" s="11" t="inlineStr">
        <is>
          <t>7. Trabajo y energía</t>
        </is>
      </c>
      <c r="H670" s="11" t="inlineStr">
        <is>
          <t>Trabajo de una fuerza</t>
        </is>
      </c>
      <c r="I670" s="38" t="inlineStr">
        <is>
          <t>7.1. Cálculo del trabajo de una fuerza constante que forma un ángulo con el desplazamiento mediante el producto escalar.</t>
        </is>
      </c>
      <c r="J670" s="11" t="inlineStr">
        <is>
          <t>TA</t>
        </is>
      </c>
      <c r="K670" s="11" t="inlineStr">
        <is>
          <t>TA-M2.1</t>
        </is>
      </c>
      <c r="L670" s="11" t="inlineStr"/>
      <c r="M670" s="11">
        <f>IF(K670="FUERA","Fuera del marco",IF(K670="N/A","Sin marco",IFERROR(INDEX('Datos - Catálogo TIMSS'!$C$5:$C$107,MATCH(K670,'Datos - Catálogo TIMSS'!$A$5:$A$107,0)),"Pendiente de clasificar")))</f>
        <v/>
      </c>
      <c r="N670" s="11">
        <f>IF(K670="FUERA","Fuera del marco",IF(K670="N/A","Sin marco",IFERROR(INDEX('Datos - Catálogo TIMSS'!$F$5:$F$107,MATCH(K670,'Datos - Catálogo TIMSS'!$A$5:$A$107,0)),"Pendiente de clasificar")))</f>
        <v/>
      </c>
      <c r="O670" s="11">
        <f>IF(L670="","",IFERROR(INDEX('Datos - Catálogo TIMSS'!$C$5:$C$107,MATCH(L670,'Datos - Catálogo TIMSS'!$A$5:$A$107,0)),"?"))</f>
        <v/>
      </c>
      <c r="P670" s="11" t="inlineStr">
        <is>
          <t>media</t>
        </is>
      </c>
      <c r="Q670" s="38" t="inlineStr">
        <is>
          <t>Trabajo de fuerzas, base de la energía mecánica</t>
        </is>
      </c>
      <c r="R670" s="38" t="inlineStr">
        <is>
          <t>Aplicar: calcular el trabajo con el producto escalar. Razonar: comparar el trabajo con distintos ángulos</t>
        </is>
      </c>
      <c r="S670" s="39">
        <f>IFERROR(ISNUMBER(SEARCH("Conocer",$R670))/(ISNUMBER(SEARCH("Conocer",$R670))+ISNUMBER(SEARCH("Aplicar",$R670))+ISNUMBER(SEARCH("Razonar",$R670))),0)</f>
        <v/>
      </c>
      <c r="T670" s="39">
        <f>IFERROR(ISNUMBER(SEARCH("Aplicar",$R670))/(ISNUMBER(SEARCH("Conocer",$R670))+ISNUMBER(SEARCH("Aplicar",$R670))+ISNUMBER(SEARCH("Razonar",$R670))),0)</f>
        <v/>
      </c>
      <c r="U670" s="39">
        <f>IFERROR(ISNUMBER(SEARCH("Razonar",$R670))/(ISNUMBER(SEARCH("Conocer",$R670))+ISNUMBER(SEARCH("Aplicar",$R670))+ISNUMBER(SEARCH("Razonar",$R670))),0)</f>
        <v/>
      </c>
      <c r="V670" s="11" t="inlineStr">
        <is>
          <t>Física 10°</t>
        </is>
      </c>
      <c r="W670" s="11" t="inlineStr">
        <is>
          <t>Física 10°–11°</t>
        </is>
      </c>
      <c r="X670" s="11">
        <f>IF(OR(IFERROR(INDEX('Datos - Catálogo TIMSS'!$I$5:$I$107,MATCH(K670,'Datos - Catálogo TIMSS'!$A$5:$A$107,0)),"No")="Sí",IFERROR(INDEX('Datos - Catálogo TIMSS'!$I$5:$I$107,MATCH(L670,'Datos - Catálogo TIMSS'!$A$5:$A$107,0)),"No")="Sí"),1,0)</f>
        <v/>
      </c>
      <c r="Y670" s="11">
        <f>IF(IFERROR(INDEX('Datos - Catálogo TIMSS'!$J$5:$J$107,MATCH(K670,'Datos - Catálogo TIMSS'!$A$5:$A$107,0)),"No")="Sí",1,0)</f>
        <v/>
      </c>
      <c r="Z670" s="11">
        <f>IF(IFERROR(INDEX('Datos - Catálogo TIMSS'!$J$5:$J$107,MATCH(L670,'Datos - Catálogo TIMSS'!$A$5:$A$107,0)),"No")="Sí",1,0)</f>
        <v/>
      </c>
      <c r="AA670" s="11" t="inlineStr">
        <is>
          <t>TA-M2.1</t>
        </is>
      </c>
      <c r="AB670" s="11" t="inlineStr"/>
      <c r="AC670" s="11">
        <f>IF(AA670="FUERA","Fuera del marco",IF(AA670="N/A","Sin marco",IFERROR(INDEX('Datos - TIMSS 2023'!$C$5:$C$105,MATCH(AA670,'Datos - TIMSS 2023'!$A$5:$A$105,0)),"Pendiente de clasificar")))</f>
        <v/>
      </c>
      <c r="AD670" s="11" t="inlineStr">
        <is>
          <t>1. Explicar fenómenos científicamente</t>
        </is>
      </c>
      <c r="AE670" s="11">
        <f>IF(AD670="","",IF(LEFT(AD670,1)="1","C1",IF(LEFT(AD670,1)="2","C2",IF(LEFT(AD670,1)="3","C3",""))))</f>
        <v/>
      </c>
      <c r="AF670" s="11" t="inlineStr">
        <is>
          <t>E1</t>
        </is>
      </c>
      <c r="AG670" s="11" t="inlineStr">
        <is>
          <t>E3</t>
        </is>
      </c>
      <c r="AH670" s="11" t="inlineStr">
        <is>
          <t>E2</t>
        </is>
      </c>
      <c r="AI670" s="11" t="inlineStr">
        <is>
          <t>D4</t>
        </is>
      </c>
      <c r="AJ670" s="11" t="inlineStr">
        <is>
          <t>E3</t>
        </is>
      </c>
      <c r="AK670" s="11" t="n"/>
      <c r="AL670" s="11" t="n"/>
      <c r="AM670" s="11" t="n"/>
      <c r="AN670" s="11" t="n"/>
      <c r="AO670" s="11" t="n"/>
      <c r="AP670" s="11" t="n"/>
      <c r="AQ670" s="11" t="n"/>
      <c r="AR670" s="11" t="n"/>
      <c r="AS670" s="11" t="n"/>
      <c r="AT670" s="11" t="n"/>
      <c r="AU670" s="11" t="n"/>
      <c r="AV670" s="11" t="n"/>
      <c r="AW670" s="11">
        <f>AF670&amp;"; "&amp;AG670&amp;"; "&amp;AH670&amp;"; "&amp;AI670&amp;"; "&amp;AJ670</f>
        <v/>
      </c>
    </row>
    <row r="671">
      <c r="A671" s="11" t="inlineStr">
        <is>
          <t>T0207-G10-FÍS</t>
        </is>
      </c>
      <c r="B671" s="11" t="n">
        <v>10</v>
      </c>
      <c r="C671" s="11" t="inlineStr">
        <is>
          <t>Física</t>
        </is>
      </c>
      <c r="D671" s="11" t="inlineStr">
        <is>
          <t>Matriz_Bachillerato_Fisica_10_11.xlsx</t>
        </is>
      </c>
      <c r="E671" s="11" t="inlineStr">
        <is>
          <t>Física 10.°</t>
        </is>
      </c>
      <c r="F671" s="11" t="n">
        <v>47</v>
      </c>
      <c r="G671" s="11" t="inlineStr">
        <is>
          <t>7. Trabajo y energía</t>
        </is>
      </c>
      <c r="H671" s="11" t="inlineStr">
        <is>
          <t>Trabajo y energía cinética</t>
        </is>
      </c>
      <c r="I671" s="38" t="inlineStr">
        <is>
          <t>7.2. Aplicación del teorema del trabajo y la energía cinética a situaciones con varias fuerzas y cambios de rapidez.</t>
        </is>
      </c>
      <c r="J671" s="11" t="inlineStr">
        <is>
          <t>TA</t>
        </is>
      </c>
      <c r="K671" s="11" t="inlineStr">
        <is>
          <t>TA-M2.1</t>
        </is>
      </c>
      <c r="L671" s="11" t="inlineStr"/>
      <c r="M671" s="11">
        <f>IF(K671="FUERA","Fuera del marco",IF(K671="N/A","Sin marco",IFERROR(INDEX('Datos - Catálogo TIMSS'!$C$5:$C$107,MATCH(K671,'Datos - Catálogo TIMSS'!$A$5:$A$107,0)),"Pendiente de clasificar")))</f>
        <v/>
      </c>
      <c r="N671" s="11">
        <f>IF(K671="FUERA","Fuera del marco",IF(K671="N/A","Sin marco",IFERROR(INDEX('Datos - Catálogo TIMSS'!$F$5:$F$107,MATCH(K671,'Datos - Catálogo TIMSS'!$A$5:$A$107,0)),"Pendiente de clasificar")))</f>
        <v/>
      </c>
      <c r="O671" s="11">
        <f>IF(L671="","",IFERROR(INDEX('Datos - Catálogo TIMSS'!$C$5:$C$107,MATCH(L671,'Datos - Catálogo TIMSS'!$A$5:$A$107,0)),"?"))</f>
        <v/>
      </c>
      <c r="P671" s="11" t="inlineStr">
        <is>
          <t>media</t>
        </is>
      </c>
      <c r="Q671" s="38" t="inlineStr">
        <is>
          <t>Teorema trabajo-energía cinética</t>
        </is>
      </c>
      <c r="R671" s="38" t="inlineStr">
        <is>
          <t>Aplicar: calcular distancias de frenado. Razonar: interpretar la pendiente de una gráfica</t>
        </is>
      </c>
      <c r="S671" s="39">
        <f>IFERROR(ISNUMBER(SEARCH("Conocer",$R671))/(ISNUMBER(SEARCH("Conocer",$R671))+ISNUMBER(SEARCH("Aplicar",$R671))+ISNUMBER(SEARCH("Razonar",$R671))),0)</f>
        <v/>
      </c>
      <c r="T671" s="39">
        <f>IFERROR(ISNUMBER(SEARCH("Aplicar",$R671))/(ISNUMBER(SEARCH("Conocer",$R671))+ISNUMBER(SEARCH("Aplicar",$R671))+ISNUMBER(SEARCH("Razonar",$R671))),0)</f>
        <v/>
      </c>
      <c r="U671" s="39">
        <f>IFERROR(ISNUMBER(SEARCH("Razonar",$R671))/(ISNUMBER(SEARCH("Conocer",$R671))+ISNUMBER(SEARCH("Aplicar",$R671))+ISNUMBER(SEARCH("Razonar",$R671))),0)</f>
        <v/>
      </c>
      <c r="V671" s="11" t="inlineStr">
        <is>
          <t>Física 10°</t>
        </is>
      </c>
      <c r="W671" s="11" t="inlineStr">
        <is>
          <t>Física 10°–11°</t>
        </is>
      </c>
      <c r="X671" s="11">
        <f>IF(OR(IFERROR(INDEX('Datos - Catálogo TIMSS'!$I$5:$I$107,MATCH(K671,'Datos - Catálogo TIMSS'!$A$5:$A$107,0)),"No")="Sí",IFERROR(INDEX('Datos - Catálogo TIMSS'!$I$5:$I$107,MATCH(L671,'Datos - Catálogo TIMSS'!$A$5:$A$107,0)),"No")="Sí"),1,0)</f>
        <v/>
      </c>
      <c r="Y671" s="11">
        <f>IF(IFERROR(INDEX('Datos - Catálogo TIMSS'!$J$5:$J$107,MATCH(K671,'Datos - Catálogo TIMSS'!$A$5:$A$107,0)),"No")="Sí",1,0)</f>
        <v/>
      </c>
      <c r="Z671" s="11">
        <f>IF(IFERROR(INDEX('Datos - Catálogo TIMSS'!$J$5:$J$107,MATCH(L671,'Datos - Catálogo TIMSS'!$A$5:$A$107,0)),"No")="Sí",1,0)</f>
        <v/>
      </c>
      <c r="AA671" s="11" t="inlineStr">
        <is>
          <t>TA-M2.1</t>
        </is>
      </c>
      <c r="AB671" s="11" t="inlineStr"/>
      <c r="AC671" s="11">
        <f>IF(AA671="FUERA","Fuera del marco",IF(AA671="N/A","Sin marco",IFERROR(INDEX('Datos - TIMSS 2023'!$C$5:$C$105,MATCH(AA671,'Datos - TIMSS 2023'!$A$5:$A$105,0)),"Pendiente de clasificar")))</f>
        <v/>
      </c>
      <c r="AD671" s="11" t="inlineStr">
        <is>
          <t>1. Explicar fenómenos científicamente</t>
        </is>
      </c>
      <c r="AE671" s="11">
        <f>IF(AD671="","",IF(LEFT(AD671,1)="1","C1",IF(LEFT(AD671,1)="2","C2",IF(LEFT(AD671,1)="3","C3",""))))</f>
        <v/>
      </c>
      <c r="AF671" s="11" t="inlineStr">
        <is>
          <t>E6</t>
        </is>
      </c>
      <c r="AG671" s="11" t="inlineStr">
        <is>
          <t>E5</t>
        </is>
      </c>
      <c r="AH671" s="11" t="inlineStr">
        <is>
          <t>E1</t>
        </is>
      </c>
      <c r="AI671" s="11" t="inlineStr">
        <is>
          <t>D4</t>
        </is>
      </c>
      <c r="AJ671" s="11" t="inlineStr">
        <is>
          <t>I5</t>
        </is>
      </c>
      <c r="AK671" s="11" t="n"/>
      <c r="AL671" s="11" t="n"/>
      <c r="AM671" s="11" t="n"/>
      <c r="AN671" s="11" t="n"/>
      <c r="AO671" s="11" t="n"/>
      <c r="AP671" s="11" t="n"/>
      <c r="AQ671" s="11" t="n"/>
      <c r="AR671" s="11" t="n"/>
      <c r="AS671" s="11" t="n"/>
      <c r="AT671" s="11" t="n"/>
      <c r="AU671" s="11" t="n"/>
      <c r="AV671" s="11" t="n"/>
      <c r="AW671" s="11">
        <f>AF671&amp;"; "&amp;AG671&amp;"; "&amp;AH671&amp;"; "&amp;AI671&amp;"; "&amp;AJ671</f>
        <v/>
      </c>
    </row>
    <row r="672">
      <c r="A672" s="11" t="inlineStr">
        <is>
          <t>T0208-G10-FÍS</t>
        </is>
      </c>
      <c r="B672" s="11" t="n">
        <v>10</v>
      </c>
      <c r="C672" s="11" t="inlineStr">
        <is>
          <t>Física</t>
        </is>
      </c>
      <c r="D672" s="11" t="inlineStr">
        <is>
          <t>Matriz_Bachillerato_Fisica_10_11.xlsx</t>
        </is>
      </c>
      <c r="E672" s="11" t="inlineStr">
        <is>
          <t>Física 10.°</t>
        </is>
      </c>
      <c r="F672" s="11" t="n">
        <v>48</v>
      </c>
      <c r="G672" s="11" t="inlineStr">
        <is>
          <t>7. Trabajo y energía</t>
        </is>
      </c>
      <c r="H672" s="11" t="inlineStr">
        <is>
          <t>Energía potencial</t>
        </is>
      </c>
      <c r="I672" s="38" t="inlineStr">
        <is>
          <t>7.3. Cálculo del trabajo realizado por el peso y su relación con el cambio de energía potencial gravitatoria.</t>
        </is>
      </c>
      <c r="J672" s="11" t="inlineStr">
        <is>
          <t>TA</t>
        </is>
      </c>
      <c r="K672" s="11" t="inlineStr">
        <is>
          <t>TA-M2.1</t>
        </is>
      </c>
      <c r="L672" s="11" t="inlineStr"/>
      <c r="M672" s="11">
        <f>IF(K672="FUERA","Fuera del marco",IF(K672="N/A","Sin marco",IFERROR(INDEX('Datos - Catálogo TIMSS'!$C$5:$C$107,MATCH(K672,'Datos - Catálogo TIMSS'!$A$5:$A$107,0)),"Pendiente de clasificar")))</f>
        <v/>
      </c>
      <c r="N672" s="11">
        <f>IF(K672="FUERA","Fuera del marco",IF(K672="N/A","Sin marco",IFERROR(INDEX('Datos - Catálogo TIMSS'!$F$5:$F$107,MATCH(K672,'Datos - Catálogo TIMSS'!$A$5:$A$107,0)),"Pendiente de clasificar")))</f>
        <v/>
      </c>
      <c r="O672" s="11">
        <f>IF(L672="","",IFERROR(INDEX('Datos - Catálogo TIMSS'!$C$5:$C$107,MATCH(L672,'Datos - Catálogo TIMSS'!$A$5:$A$107,0)),"?"))</f>
        <v/>
      </c>
      <c r="P672" s="11" t="inlineStr">
        <is>
          <t>alta</t>
        </is>
      </c>
      <c r="Q672" s="38" t="inlineStr">
        <is>
          <t>Energía potencial gravitatoria y trabajo del peso</t>
        </is>
      </c>
      <c r="R672" s="38" t="inlineStr">
        <is>
          <t>Aplicar: calcular la energía potencial gravitatoria. Razonar: justificar la independencia de la trayectoria</t>
        </is>
      </c>
      <c r="S672" s="39">
        <f>IFERROR(ISNUMBER(SEARCH("Conocer",$R672))/(ISNUMBER(SEARCH("Conocer",$R672))+ISNUMBER(SEARCH("Aplicar",$R672))+ISNUMBER(SEARCH("Razonar",$R672))),0)</f>
        <v/>
      </c>
      <c r="T672" s="39">
        <f>IFERROR(ISNUMBER(SEARCH("Aplicar",$R672))/(ISNUMBER(SEARCH("Conocer",$R672))+ISNUMBER(SEARCH("Aplicar",$R672))+ISNUMBER(SEARCH("Razonar",$R672))),0)</f>
        <v/>
      </c>
      <c r="U672" s="39">
        <f>IFERROR(ISNUMBER(SEARCH("Razonar",$R672))/(ISNUMBER(SEARCH("Conocer",$R672))+ISNUMBER(SEARCH("Aplicar",$R672))+ISNUMBER(SEARCH("Razonar",$R672))),0)</f>
        <v/>
      </c>
      <c r="V672" s="11" t="inlineStr">
        <is>
          <t>Física 10°</t>
        </is>
      </c>
      <c r="W672" s="11" t="inlineStr">
        <is>
          <t>Física 10°–11°</t>
        </is>
      </c>
      <c r="X672" s="11">
        <f>IF(OR(IFERROR(INDEX('Datos - Catálogo TIMSS'!$I$5:$I$107,MATCH(K672,'Datos - Catálogo TIMSS'!$A$5:$A$107,0)),"No")="Sí",IFERROR(INDEX('Datos - Catálogo TIMSS'!$I$5:$I$107,MATCH(L672,'Datos - Catálogo TIMSS'!$A$5:$A$107,0)),"No")="Sí"),1,0)</f>
        <v/>
      </c>
      <c r="Y672" s="11">
        <f>IF(IFERROR(INDEX('Datos - Catálogo TIMSS'!$J$5:$J$107,MATCH(K672,'Datos - Catálogo TIMSS'!$A$5:$A$107,0)),"No")="Sí",1,0)</f>
        <v/>
      </c>
      <c r="Z672" s="11">
        <f>IF(IFERROR(INDEX('Datos - Catálogo TIMSS'!$J$5:$J$107,MATCH(L672,'Datos - Catálogo TIMSS'!$A$5:$A$107,0)),"No")="Sí",1,0)</f>
        <v/>
      </c>
      <c r="AA672" s="11" t="inlineStr">
        <is>
          <t>TA-M2.1</t>
        </is>
      </c>
      <c r="AB672" s="11" t="inlineStr"/>
      <c r="AC672" s="11">
        <f>IF(AA672="FUERA","Fuera del marco",IF(AA672="N/A","Sin marco",IFERROR(INDEX('Datos - TIMSS 2023'!$C$5:$C$105,MATCH(AA672,'Datos - TIMSS 2023'!$A$5:$A$105,0)),"Pendiente de clasificar")))</f>
        <v/>
      </c>
      <c r="AD672" s="11" t="inlineStr">
        <is>
          <t>1. Explicar fenómenos científicamente</t>
        </is>
      </c>
      <c r="AE672" s="11">
        <f>IF(AD672="","",IF(LEFT(AD672,1)="1","C1",IF(LEFT(AD672,1)="2","C2",IF(LEFT(AD672,1)="3","C3",""))))</f>
        <v/>
      </c>
      <c r="AF672" s="11" t="inlineStr">
        <is>
          <t>E6</t>
        </is>
      </c>
      <c r="AG672" s="11" t="inlineStr">
        <is>
          <t>D1</t>
        </is>
      </c>
      <c r="AH672" s="11" t="inlineStr">
        <is>
          <t>E4</t>
        </is>
      </c>
      <c r="AI672" s="11" t="inlineStr">
        <is>
          <t>D2</t>
        </is>
      </c>
      <c r="AJ672" s="11" t="inlineStr">
        <is>
          <t>E3</t>
        </is>
      </c>
      <c r="AK672" s="11" t="n"/>
      <c r="AL672" s="11" t="n"/>
      <c r="AM672" s="11" t="n"/>
      <c r="AN672" s="11" t="n"/>
      <c r="AO672" s="11" t="n"/>
      <c r="AP672" s="11" t="n"/>
      <c r="AQ672" s="11" t="n"/>
      <c r="AR672" s="11" t="n"/>
      <c r="AS672" s="11" t="n"/>
      <c r="AT672" s="11" t="n"/>
      <c r="AU672" s="11" t="n"/>
      <c r="AV672" s="11" t="n"/>
      <c r="AW672" s="11">
        <f>AF672&amp;"; "&amp;AG672&amp;"; "&amp;AH672&amp;"; "&amp;AI672&amp;"; "&amp;AJ672</f>
        <v/>
      </c>
    </row>
    <row r="673">
      <c r="A673" s="11" t="inlineStr">
        <is>
          <t>T0209-G10-FÍS</t>
        </is>
      </c>
      <c r="B673" s="11" t="n">
        <v>10</v>
      </c>
      <c r="C673" s="11" t="inlineStr">
        <is>
          <t>Física</t>
        </is>
      </c>
      <c r="D673" s="11" t="inlineStr">
        <is>
          <t>Matriz_Bachillerato_Fisica_10_11.xlsx</t>
        </is>
      </c>
      <c r="E673" s="11" t="inlineStr">
        <is>
          <t>Física 10.°</t>
        </is>
      </c>
      <c r="F673" s="11" t="n">
        <v>49</v>
      </c>
      <c r="G673" s="11" t="inlineStr">
        <is>
          <t>7. Trabajo y energía</t>
        </is>
      </c>
      <c r="H673" s="11" t="inlineStr">
        <is>
          <t>Fuerzas conservativas y no conservativas</t>
        </is>
      </c>
      <c r="I673" s="38" t="inlineStr">
        <is>
          <t>7.4. Clasificación de fuerzas como conservativas o no conservativas a partir del trabajo realizado en trayectorias cerradas.</t>
        </is>
      </c>
      <c r="J673" s="11" t="inlineStr">
        <is>
          <t>TA</t>
        </is>
      </c>
      <c r="K673" s="11" t="inlineStr">
        <is>
          <t>TA-M2.1</t>
        </is>
      </c>
      <c r="L673" s="11" t="inlineStr"/>
      <c r="M673" s="11">
        <f>IF(K673="FUERA","Fuera del marco",IF(K673="N/A","Sin marco",IFERROR(INDEX('Datos - Catálogo TIMSS'!$C$5:$C$107,MATCH(K673,'Datos - Catálogo TIMSS'!$A$5:$A$107,0)),"Pendiente de clasificar")))</f>
        <v/>
      </c>
      <c r="N673" s="11">
        <f>IF(K673="FUERA","Fuera del marco",IF(K673="N/A","Sin marco",IFERROR(INDEX('Datos - Catálogo TIMSS'!$F$5:$F$107,MATCH(K673,'Datos - Catálogo TIMSS'!$A$5:$A$107,0)),"Pendiente de clasificar")))</f>
        <v/>
      </c>
      <c r="O673" s="11">
        <f>IF(L673="","",IFERROR(INDEX('Datos - Catálogo TIMSS'!$C$5:$C$107,MATCH(L673,'Datos - Catálogo TIMSS'!$A$5:$A$107,0)),"?"))</f>
        <v/>
      </c>
      <c r="P673" s="11" t="inlineStr">
        <is>
          <t>media</t>
        </is>
      </c>
      <c r="Q673" s="38" t="inlineStr">
        <is>
          <t>Fuerzas conservativas y no conservativas</t>
        </is>
      </c>
      <c r="R673" s="38" t="inlineStr">
        <is>
          <t>Conocer: definir fuerza conservativa. Aplicar: calcular trabajo en trayectorias cerradas. Razonar: clasificar fuerzas</t>
        </is>
      </c>
      <c r="S673" s="39">
        <f>IFERROR(ISNUMBER(SEARCH("Conocer",$R673))/(ISNUMBER(SEARCH("Conocer",$R673))+ISNUMBER(SEARCH("Aplicar",$R673))+ISNUMBER(SEARCH("Razonar",$R673))),0)</f>
        <v/>
      </c>
      <c r="T673" s="39">
        <f>IFERROR(ISNUMBER(SEARCH("Aplicar",$R673))/(ISNUMBER(SEARCH("Conocer",$R673))+ISNUMBER(SEARCH("Aplicar",$R673))+ISNUMBER(SEARCH("Razonar",$R673))),0)</f>
        <v/>
      </c>
      <c r="U673" s="39">
        <f>IFERROR(ISNUMBER(SEARCH("Razonar",$R673))/(ISNUMBER(SEARCH("Conocer",$R673))+ISNUMBER(SEARCH("Aplicar",$R673))+ISNUMBER(SEARCH("Razonar",$R673))),0)</f>
        <v/>
      </c>
      <c r="V673" s="11" t="inlineStr">
        <is>
          <t>Física 10°</t>
        </is>
      </c>
      <c r="W673" s="11" t="inlineStr">
        <is>
          <t>Física 10°–11°</t>
        </is>
      </c>
      <c r="X673" s="11">
        <f>IF(OR(IFERROR(INDEX('Datos - Catálogo TIMSS'!$I$5:$I$107,MATCH(K673,'Datos - Catálogo TIMSS'!$A$5:$A$107,0)),"No")="Sí",IFERROR(INDEX('Datos - Catálogo TIMSS'!$I$5:$I$107,MATCH(L673,'Datos - Catálogo TIMSS'!$A$5:$A$107,0)),"No")="Sí"),1,0)</f>
        <v/>
      </c>
      <c r="Y673" s="11">
        <f>IF(IFERROR(INDEX('Datos - Catálogo TIMSS'!$J$5:$J$107,MATCH(K673,'Datos - Catálogo TIMSS'!$A$5:$A$107,0)),"No")="Sí",1,0)</f>
        <v/>
      </c>
      <c r="Z673" s="11">
        <f>IF(IFERROR(INDEX('Datos - Catálogo TIMSS'!$J$5:$J$107,MATCH(L673,'Datos - Catálogo TIMSS'!$A$5:$A$107,0)),"No")="Sí",1,0)</f>
        <v/>
      </c>
      <c r="AA673" s="11" t="inlineStr">
        <is>
          <t>TA-M2.1</t>
        </is>
      </c>
      <c r="AB673" s="11" t="inlineStr"/>
      <c r="AC673" s="11">
        <f>IF(AA673="FUERA","Fuera del marco",IF(AA673="N/A","Sin marco",IFERROR(INDEX('Datos - TIMSS 2023'!$C$5:$C$105,MATCH(AA673,'Datos - TIMSS 2023'!$A$5:$A$105,0)),"Pendiente de clasificar")))</f>
        <v/>
      </c>
      <c r="AD673" s="11" t="inlineStr">
        <is>
          <t>2. Construir y evaluar diseños para la indagación científica e interpretar datos y evidencia de forma crítica</t>
        </is>
      </c>
      <c r="AE673" s="11">
        <f>IF(AD673="","",IF(LEFT(AD673,1)="1","C1",IF(LEFT(AD673,1)="2","C2",IF(LEFT(AD673,1)="3","C3",""))))</f>
        <v/>
      </c>
      <c r="AF673" s="11" t="inlineStr">
        <is>
          <t>E1</t>
        </is>
      </c>
      <c r="AG673" s="11" t="inlineStr">
        <is>
          <t>D1</t>
        </is>
      </c>
      <c r="AH673" s="11" t="inlineStr">
        <is>
          <t>E2</t>
        </is>
      </c>
      <c r="AI673" s="11" t="inlineStr">
        <is>
          <t>D4</t>
        </is>
      </c>
      <c r="AJ673" s="11" t="inlineStr">
        <is>
          <t>E3</t>
        </is>
      </c>
      <c r="AK673" s="11" t="n"/>
      <c r="AL673" s="11" t="n"/>
      <c r="AM673" s="11" t="n"/>
      <c r="AN673" s="11" t="n"/>
      <c r="AO673" s="11" t="n"/>
      <c r="AP673" s="11" t="n"/>
      <c r="AQ673" s="11" t="n"/>
      <c r="AR673" s="11" t="n"/>
      <c r="AS673" s="11" t="n"/>
      <c r="AT673" s="11" t="n"/>
      <c r="AU673" s="11" t="n"/>
      <c r="AV673" s="11" t="n"/>
      <c r="AW673" s="11">
        <f>AF673&amp;"; "&amp;AG673&amp;"; "&amp;AH673&amp;"; "&amp;AI673&amp;"; "&amp;AJ673</f>
        <v/>
      </c>
    </row>
    <row r="674">
      <c r="A674" s="11" t="inlineStr">
        <is>
          <t>T0210-G10-FÍS</t>
        </is>
      </c>
      <c r="B674" s="11" t="n">
        <v>10</v>
      </c>
      <c r="C674" s="11" t="inlineStr">
        <is>
          <t>Física</t>
        </is>
      </c>
      <c r="D674" s="11" t="inlineStr">
        <is>
          <t>Matriz_Bachillerato_Fisica_10_11.xlsx</t>
        </is>
      </c>
      <c r="E674" s="11" t="inlineStr">
        <is>
          <t>Física 10.°</t>
        </is>
      </c>
      <c r="F674" s="11" t="n">
        <v>50</v>
      </c>
      <c r="G674" s="11" t="inlineStr">
        <is>
          <t>7. Trabajo y energía</t>
        </is>
      </c>
      <c r="H674" s="11" t="inlineStr">
        <is>
          <t>Conservación de la energía mecánica</t>
        </is>
      </c>
      <c r="I674" s="38" t="inlineStr">
        <is>
          <t>7.5. Aplicación de la conservación de la energía mecánica en sistemas con energía potencial gravitatoria y elástica.</t>
        </is>
      </c>
      <c r="J674" s="11" t="inlineStr">
        <is>
          <t>TA</t>
        </is>
      </c>
      <c r="K674" s="11" t="inlineStr">
        <is>
          <t>TA-M2.1</t>
        </is>
      </c>
      <c r="L674" s="11" t="inlineStr"/>
      <c r="M674" s="11">
        <f>IF(K674="FUERA","Fuera del marco",IF(K674="N/A","Sin marco",IFERROR(INDEX('Datos - Catálogo TIMSS'!$C$5:$C$107,MATCH(K674,'Datos - Catálogo TIMSS'!$A$5:$A$107,0)),"Pendiente de clasificar")))</f>
        <v/>
      </c>
      <c r="N674" s="11">
        <f>IF(K674="FUERA","Fuera del marco",IF(K674="N/A","Sin marco",IFERROR(INDEX('Datos - Catálogo TIMSS'!$F$5:$F$107,MATCH(K674,'Datos - Catálogo TIMSS'!$A$5:$A$107,0)),"Pendiente de clasificar")))</f>
        <v/>
      </c>
      <c r="O674" s="11">
        <f>IF(L674="","",IFERROR(INDEX('Datos - Catálogo TIMSS'!$C$5:$C$107,MATCH(L674,'Datos - Catálogo TIMSS'!$A$5:$A$107,0)),"?"))</f>
        <v/>
      </c>
      <c r="P674" s="11" t="inlineStr">
        <is>
          <t>alta</t>
        </is>
      </c>
      <c r="Q674" s="38" t="inlineStr">
        <is>
          <t>Conservación de energía mecánica gravitatoria y elástica</t>
        </is>
      </c>
      <c r="R674" s="38" t="inlineStr">
        <is>
          <t>Aplicar: calcular con la conservación de la energía. Razonar: comparar el modelo ideal con los datos</t>
        </is>
      </c>
      <c r="S674" s="39">
        <f>IFERROR(ISNUMBER(SEARCH("Conocer",$R674))/(ISNUMBER(SEARCH("Conocer",$R674))+ISNUMBER(SEARCH("Aplicar",$R674))+ISNUMBER(SEARCH("Razonar",$R674))),0)</f>
        <v/>
      </c>
      <c r="T674" s="39">
        <f>IFERROR(ISNUMBER(SEARCH("Aplicar",$R674))/(ISNUMBER(SEARCH("Conocer",$R674))+ISNUMBER(SEARCH("Aplicar",$R674))+ISNUMBER(SEARCH("Razonar",$R674))),0)</f>
        <v/>
      </c>
      <c r="U674" s="39">
        <f>IFERROR(ISNUMBER(SEARCH("Razonar",$R674))/(ISNUMBER(SEARCH("Conocer",$R674))+ISNUMBER(SEARCH("Aplicar",$R674))+ISNUMBER(SEARCH("Razonar",$R674))),0)</f>
        <v/>
      </c>
      <c r="V674" s="11" t="inlineStr">
        <is>
          <t>Física 10°</t>
        </is>
      </c>
      <c r="W674" s="11" t="inlineStr">
        <is>
          <t>Física 10°–11°</t>
        </is>
      </c>
      <c r="X674" s="11">
        <f>IF(OR(IFERROR(INDEX('Datos - Catálogo TIMSS'!$I$5:$I$107,MATCH(K674,'Datos - Catálogo TIMSS'!$A$5:$A$107,0)),"No")="Sí",IFERROR(INDEX('Datos - Catálogo TIMSS'!$I$5:$I$107,MATCH(L674,'Datos - Catálogo TIMSS'!$A$5:$A$107,0)),"No")="Sí"),1,0)</f>
        <v/>
      </c>
      <c r="Y674" s="11">
        <f>IF(IFERROR(INDEX('Datos - Catálogo TIMSS'!$J$5:$J$107,MATCH(K674,'Datos - Catálogo TIMSS'!$A$5:$A$107,0)),"No")="Sí",1,0)</f>
        <v/>
      </c>
      <c r="Z674" s="11">
        <f>IF(IFERROR(INDEX('Datos - Catálogo TIMSS'!$J$5:$J$107,MATCH(L674,'Datos - Catálogo TIMSS'!$A$5:$A$107,0)),"No")="Sí",1,0)</f>
        <v/>
      </c>
      <c r="AA674" s="11" t="inlineStr">
        <is>
          <t>TA-M2.1</t>
        </is>
      </c>
      <c r="AB674" s="11" t="inlineStr"/>
      <c r="AC674" s="11">
        <f>IF(AA674="FUERA","Fuera del marco",IF(AA674="N/A","Sin marco",IFERROR(INDEX('Datos - TIMSS 2023'!$C$5:$C$105,MATCH(AA674,'Datos - TIMSS 2023'!$A$5:$A$105,0)),"Pendiente de clasificar")))</f>
        <v/>
      </c>
      <c r="AD674" s="11" t="inlineStr">
        <is>
          <t>1. Explicar fenómenos científicamente</t>
        </is>
      </c>
      <c r="AE674" s="11">
        <f>IF(AD674="","",IF(LEFT(AD674,1)="1","C1",IF(LEFT(AD674,1)="2","C2",IF(LEFT(AD674,1)="3","C3",""))))</f>
        <v/>
      </c>
      <c r="AF674" s="11" t="inlineStr">
        <is>
          <t>E1</t>
        </is>
      </c>
      <c r="AG674" s="11" t="inlineStr">
        <is>
          <t>E3</t>
        </is>
      </c>
      <c r="AH674" s="11" t="inlineStr">
        <is>
          <t>E2</t>
        </is>
      </c>
      <c r="AI674" s="11" t="inlineStr">
        <is>
          <t>D4</t>
        </is>
      </c>
      <c r="AJ674" s="11" t="inlineStr">
        <is>
          <t>D3</t>
        </is>
      </c>
      <c r="AK674" s="11" t="n"/>
      <c r="AL674" s="11" t="n"/>
      <c r="AM674" s="11" t="n"/>
      <c r="AN674" s="11" t="n"/>
      <c r="AO674" s="11" t="n"/>
      <c r="AP674" s="11" t="n"/>
      <c r="AQ674" s="11" t="n"/>
      <c r="AR674" s="11" t="n"/>
      <c r="AS674" s="11" t="n"/>
      <c r="AT674" s="11" t="n"/>
      <c r="AU674" s="11" t="n"/>
      <c r="AV674" s="11" t="n"/>
      <c r="AW674" s="11">
        <f>AF674&amp;"; "&amp;AG674&amp;"; "&amp;AH674&amp;"; "&amp;AI674&amp;"; "&amp;AJ674</f>
        <v/>
      </c>
    </row>
    <row r="675">
      <c r="A675" s="11" t="inlineStr">
        <is>
          <t>T0211-G10-FÍS</t>
        </is>
      </c>
      <c r="B675" s="11" t="n">
        <v>10</v>
      </c>
      <c r="C675" s="11" t="inlineStr">
        <is>
          <t>Física</t>
        </is>
      </c>
      <c r="D675" s="11" t="inlineStr">
        <is>
          <t>Matriz_Bachillerato_Fisica_10_11.xlsx</t>
        </is>
      </c>
      <c r="E675" s="11" t="inlineStr">
        <is>
          <t>Física 10.°</t>
        </is>
      </c>
      <c r="F675" s="11" t="n">
        <v>51</v>
      </c>
      <c r="G675" s="11" t="inlineStr">
        <is>
          <t>7. Trabajo y energía</t>
        </is>
      </c>
      <c r="H675" s="11" t="inlineStr">
        <is>
          <t>Conservación de la energía mecánica</t>
        </is>
      </c>
      <c r="I675" s="38" t="inlineStr">
        <is>
          <t>7.6. Cálculo del trabajo de las fuerzas no conservativas como variación de la energía mecánica del sistema.</t>
        </is>
      </c>
      <c r="J675" s="11" t="inlineStr">
        <is>
          <t>TA</t>
        </is>
      </c>
      <c r="K675" s="11" t="inlineStr">
        <is>
          <t>TA-M2.1</t>
        </is>
      </c>
      <c r="L675" s="11" t="inlineStr"/>
      <c r="M675" s="11">
        <f>IF(K675="FUERA","Fuera del marco",IF(K675="N/A","Sin marco",IFERROR(INDEX('Datos - Catálogo TIMSS'!$C$5:$C$107,MATCH(K675,'Datos - Catálogo TIMSS'!$A$5:$A$107,0)),"Pendiente de clasificar")))</f>
        <v/>
      </c>
      <c r="N675" s="11">
        <f>IF(K675="FUERA","Fuera del marco",IF(K675="N/A","Sin marco",IFERROR(INDEX('Datos - Catálogo TIMSS'!$F$5:$F$107,MATCH(K675,'Datos - Catálogo TIMSS'!$A$5:$A$107,0)),"Pendiente de clasificar")))</f>
        <v/>
      </c>
      <c r="O675" s="11">
        <f>IF(L675="","",IFERROR(INDEX('Datos - Catálogo TIMSS'!$C$5:$C$107,MATCH(L675,'Datos - Catálogo TIMSS'!$A$5:$A$107,0)),"?"))</f>
        <v/>
      </c>
      <c r="P675" s="11" t="inlineStr">
        <is>
          <t>alta</t>
        </is>
      </c>
      <c r="Q675" s="38" t="inlineStr">
        <is>
          <t>Energía mecánica disipada por fuerzas no conservativas</t>
        </is>
      </c>
      <c r="R675" s="38" t="inlineStr">
        <is>
          <t>Aplicar: calcular el trabajo de la fricción. Razonar: interpretar la pérdida de energía mecánica</t>
        </is>
      </c>
      <c r="S675" s="39">
        <f>IFERROR(ISNUMBER(SEARCH("Conocer",$R675))/(ISNUMBER(SEARCH("Conocer",$R675))+ISNUMBER(SEARCH("Aplicar",$R675))+ISNUMBER(SEARCH("Razonar",$R675))),0)</f>
        <v/>
      </c>
      <c r="T675" s="39">
        <f>IFERROR(ISNUMBER(SEARCH("Aplicar",$R675))/(ISNUMBER(SEARCH("Conocer",$R675))+ISNUMBER(SEARCH("Aplicar",$R675))+ISNUMBER(SEARCH("Razonar",$R675))),0)</f>
        <v/>
      </c>
      <c r="U675" s="39">
        <f>IFERROR(ISNUMBER(SEARCH("Razonar",$R675))/(ISNUMBER(SEARCH("Conocer",$R675))+ISNUMBER(SEARCH("Aplicar",$R675))+ISNUMBER(SEARCH("Razonar",$R675))),0)</f>
        <v/>
      </c>
      <c r="V675" s="11" t="inlineStr">
        <is>
          <t>Física 10°</t>
        </is>
      </c>
      <c r="W675" s="11" t="inlineStr">
        <is>
          <t>Física 10°–11°</t>
        </is>
      </c>
      <c r="X675" s="11">
        <f>IF(OR(IFERROR(INDEX('Datos - Catálogo TIMSS'!$I$5:$I$107,MATCH(K675,'Datos - Catálogo TIMSS'!$A$5:$A$107,0)),"No")="Sí",IFERROR(INDEX('Datos - Catálogo TIMSS'!$I$5:$I$107,MATCH(L675,'Datos - Catálogo TIMSS'!$A$5:$A$107,0)),"No")="Sí"),1,0)</f>
        <v/>
      </c>
      <c r="Y675" s="11">
        <f>IF(IFERROR(INDEX('Datos - Catálogo TIMSS'!$J$5:$J$107,MATCH(K675,'Datos - Catálogo TIMSS'!$A$5:$A$107,0)),"No")="Sí",1,0)</f>
        <v/>
      </c>
      <c r="Z675" s="11">
        <f>IF(IFERROR(INDEX('Datos - Catálogo TIMSS'!$J$5:$J$107,MATCH(L675,'Datos - Catálogo TIMSS'!$A$5:$A$107,0)),"No")="Sí",1,0)</f>
        <v/>
      </c>
      <c r="AA675" s="11" t="inlineStr">
        <is>
          <t>TA-M2.1</t>
        </is>
      </c>
      <c r="AB675" s="11" t="inlineStr"/>
      <c r="AC675" s="11">
        <f>IF(AA675="FUERA","Fuera del marco",IF(AA675="N/A","Sin marco",IFERROR(INDEX('Datos - TIMSS 2023'!$C$5:$C$105,MATCH(AA675,'Datos - TIMSS 2023'!$A$5:$A$105,0)),"Pendiente de clasificar")))</f>
        <v/>
      </c>
      <c r="AD675" s="11" t="inlineStr">
        <is>
          <t>2. Construir y evaluar diseños para la indagación científica e interpretar datos y evidencia de forma crítica</t>
        </is>
      </c>
      <c r="AE675" s="11">
        <f>IF(AD675="","",IF(LEFT(AD675,1)="1","C1",IF(LEFT(AD675,1)="2","C2",IF(LEFT(AD675,1)="3","C3",""))))</f>
        <v/>
      </c>
      <c r="AF675" s="11" t="inlineStr">
        <is>
          <t>E6</t>
        </is>
      </c>
      <c r="AG675" s="11" t="inlineStr">
        <is>
          <t>D1</t>
        </is>
      </c>
      <c r="AH675" s="11" t="inlineStr">
        <is>
          <t>E1</t>
        </is>
      </c>
      <c r="AI675" s="11" t="inlineStr">
        <is>
          <t>D4</t>
        </is>
      </c>
      <c r="AJ675" s="11" t="inlineStr">
        <is>
          <t>E3</t>
        </is>
      </c>
      <c r="AK675" s="11" t="n"/>
      <c r="AL675" s="11" t="n"/>
      <c r="AM675" s="11" t="n"/>
      <c r="AN675" s="11" t="n"/>
      <c r="AO675" s="11" t="n"/>
      <c r="AP675" s="11" t="n"/>
      <c r="AQ675" s="11" t="n"/>
      <c r="AR675" s="11" t="n"/>
      <c r="AS675" s="11" t="n"/>
      <c r="AT675" s="11" t="n"/>
      <c r="AU675" s="11" t="n"/>
      <c r="AV675" s="11" t="n"/>
      <c r="AW675" s="11">
        <f>AF675&amp;"; "&amp;AG675&amp;"; "&amp;AH675&amp;"; "&amp;AI675&amp;"; "&amp;AJ675</f>
        <v/>
      </c>
    </row>
    <row r="676">
      <c r="A676" s="11" t="inlineStr">
        <is>
          <t>T0212-G10-FÍS</t>
        </is>
      </c>
      <c r="B676" s="11" t="n">
        <v>10</v>
      </c>
      <c r="C676" s="11" t="inlineStr">
        <is>
          <t>Física</t>
        </is>
      </c>
      <c r="D676" s="11" t="inlineStr">
        <is>
          <t>Matriz_Bachillerato_Fisica_10_11.xlsx</t>
        </is>
      </c>
      <c r="E676" s="11" t="inlineStr">
        <is>
          <t>Física 10.°</t>
        </is>
      </c>
      <c r="F676" s="11" t="n">
        <v>52</v>
      </c>
      <c r="G676" s="11" t="inlineStr">
        <is>
          <t>7. Trabajo y energía</t>
        </is>
      </c>
      <c r="H676" s="11" t="inlineStr">
        <is>
          <t>Potencia y eficiencia</t>
        </is>
      </c>
      <c r="I676" s="38" t="inlineStr">
        <is>
          <t>7.7. Cálculo de la potencia media e instantánea y de la eficiencia de máquinas y motores.</t>
        </is>
      </c>
      <c r="J676" s="11" t="inlineStr">
        <is>
          <t>TA</t>
        </is>
      </c>
      <c r="K676" s="11" t="inlineStr">
        <is>
          <t>TA-M2.1</t>
        </is>
      </c>
      <c r="L676" s="11" t="inlineStr"/>
      <c r="M676" s="11">
        <f>IF(K676="FUERA","Fuera del marco",IF(K676="N/A","Sin marco",IFERROR(INDEX('Datos - Catálogo TIMSS'!$C$5:$C$107,MATCH(K676,'Datos - Catálogo TIMSS'!$A$5:$A$107,0)),"Pendiente de clasificar")))</f>
        <v/>
      </c>
      <c r="N676" s="11">
        <f>IF(K676="FUERA","Fuera del marco",IF(K676="N/A","Sin marco",IFERROR(INDEX('Datos - Catálogo TIMSS'!$F$5:$F$107,MATCH(K676,'Datos - Catálogo TIMSS'!$A$5:$A$107,0)),"Pendiente de clasificar")))</f>
        <v/>
      </c>
      <c r="O676" s="11">
        <f>IF(L676="","",IFERROR(INDEX('Datos - Catálogo TIMSS'!$C$5:$C$107,MATCH(L676,'Datos - Catálogo TIMSS'!$A$5:$A$107,0)),"?"))</f>
        <v/>
      </c>
      <c r="P676" s="11" t="inlineStr">
        <is>
          <t>media</t>
        </is>
      </c>
      <c r="Q676" s="38" t="inlineStr">
        <is>
          <t>Potencia y eficiencia de máquinas</t>
        </is>
      </c>
      <c r="R676" s="38" t="inlineStr">
        <is>
          <t>Aplicar: calcular potencia y eficiencia. Razonar: comparar el rendimiento de máquinas</t>
        </is>
      </c>
      <c r="S676" s="39">
        <f>IFERROR(ISNUMBER(SEARCH("Conocer",$R676))/(ISNUMBER(SEARCH("Conocer",$R676))+ISNUMBER(SEARCH("Aplicar",$R676))+ISNUMBER(SEARCH("Razonar",$R676))),0)</f>
        <v/>
      </c>
      <c r="T676" s="39">
        <f>IFERROR(ISNUMBER(SEARCH("Aplicar",$R676))/(ISNUMBER(SEARCH("Conocer",$R676))+ISNUMBER(SEARCH("Aplicar",$R676))+ISNUMBER(SEARCH("Razonar",$R676))),0)</f>
        <v/>
      </c>
      <c r="U676" s="39">
        <f>IFERROR(ISNUMBER(SEARCH("Razonar",$R676))/(ISNUMBER(SEARCH("Conocer",$R676))+ISNUMBER(SEARCH("Aplicar",$R676))+ISNUMBER(SEARCH("Razonar",$R676))),0)</f>
        <v/>
      </c>
      <c r="V676" s="11" t="inlineStr">
        <is>
          <t>Física 10°</t>
        </is>
      </c>
      <c r="W676" s="11" t="inlineStr">
        <is>
          <t>Física 10°–11°</t>
        </is>
      </c>
      <c r="X676" s="11">
        <f>IF(OR(IFERROR(INDEX('Datos - Catálogo TIMSS'!$I$5:$I$107,MATCH(K676,'Datos - Catálogo TIMSS'!$A$5:$A$107,0)),"No")="Sí",IFERROR(INDEX('Datos - Catálogo TIMSS'!$I$5:$I$107,MATCH(L676,'Datos - Catálogo TIMSS'!$A$5:$A$107,0)),"No")="Sí"),1,0)</f>
        <v/>
      </c>
      <c r="Y676" s="11">
        <f>IF(IFERROR(INDEX('Datos - Catálogo TIMSS'!$J$5:$J$107,MATCH(K676,'Datos - Catálogo TIMSS'!$A$5:$A$107,0)),"No")="Sí",1,0)</f>
        <v/>
      </c>
      <c r="Z676" s="11">
        <f>IF(IFERROR(INDEX('Datos - Catálogo TIMSS'!$J$5:$J$107,MATCH(L676,'Datos - Catálogo TIMSS'!$A$5:$A$107,0)),"No")="Sí",1,0)</f>
        <v/>
      </c>
      <c r="AA676" s="11" t="inlineStr">
        <is>
          <t>TA-M2.1</t>
        </is>
      </c>
      <c r="AB676" s="11" t="inlineStr"/>
      <c r="AC676" s="11">
        <f>IF(AA676="FUERA","Fuera del marco",IF(AA676="N/A","Sin marco",IFERROR(INDEX('Datos - TIMSS 2023'!$C$5:$C$105,MATCH(AA676,'Datos - TIMSS 2023'!$A$5:$A$105,0)),"Pendiente de clasificar")))</f>
        <v/>
      </c>
      <c r="AD676" s="11" t="inlineStr">
        <is>
          <t>1. Explicar fenómenos científicamente</t>
        </is>
      </c>
      <c r="AE676" s="11">
        <f>IF(AD676="","",IF(LEFT(AD676,1)="1","C1",IF(LEFT(AD676,1)="2","C2",IF(LEFT(AD676,1)="3","C3",""))))</f>
        <v/>
      </c>
      <c r="AF676" s="11" t="inlineStr">
        <is>
          <t>E1</t>
        </is>
      </c>
      <c r="AG676" s="11" t="inlineStr">
        <is>
          <t>E5</t>
        </is>
      </c>
      <c r="AH676" s="11" t="inlineStr">
        <is>
          <t>E1</t>
        </is>
      </c>
      <c r="AI676" s="11" t="inlineStr">
        <is>
          <t>D4</t>
        </is>
      </c>
      <c r="AJ676" s="11" t="inlineStr">
        <is>
          <t>E6</t>
        </is>
      </c>
      <c r="AK676" s="11" t="n"/>
      <c r="AL676" s="11" t="n"/>
      <c r="AM676" s="11" t="n"/>
      <c r="AN676" s="11" t="n"/>
      <c r="AO676" s="11" t="n"/>
      <c r="AP676" s="11" t="n"/>
      <c r="AQ676" s="11" t="n"/>
      <c r="AR676" s="11" t="n"/>
      <c r="AS676" s="11" t="n"/>
      <c r="AT676" s="11" t="n"/>
      <c r="AU676" s="11" t="n"/>
      <c r="AV676" s="11" t="n"/>
      <c r="AW676" s="11">
        <f>AF676&amp;"; "&amp;AG676&amp;"; "&amp;AH676&amp;"; "&amp;AI676&amp;"; "&amp;AJ676</f>
        <v/>
      </c>
    </row>
    <row r="677">
      <c r="A677" s="11" t="inlineStr">
        <is>
          <t>T0213-G10-FÍS</t>
        </is>
      </c>
      <c r="B677" s="11" t="n">
        <v>10</v>
      </c>
      <c r="C677" s="11" t="inlineStr">
        <is>
          <t>Física</t>
        </is>
      </c>
      <c r="D677" s="11" t="inlineStr">
        <is>
          <t>Matriz_Bachillerato_Fisica_10_11.xlsx</t>
        </is>
      </c>
      <c r="E677" s="11" t="inlineStr">
        <is>
          <t>Física 10.°</t>
        </is>
      </c>
      <c r="F677" s="11" t="n">
        <v>53</v>
      </c>
      <c r="G677" s="11" t="inlineStr">
        <is>
          <t>7. Trabajo y energía</t>
        </is>
      </c>
      <c r="H677" s="11" t="inlineStr">
        <is>
          <t>Potencia y eficiencia</t>
        </is>
      </c>
      <c r="I677" s="38" t="inlineStr">
        <is>
          <t>7.8. Análisis de cadenas de transformación de la energía en sistemas de generación eléctrica del país.</t>
        </is>
      </c>
      <c r="J677" s="11" t="inlineStr">
        <is>
          <t>TA</t>
        </is>
      </c>
      <c r="K677" s="11" t="inlineStr">
        <is>
          <t>TA-M2.1</t>
        </is>
      </c>
      <c r="L677" s="11" t="inlineStr"/>
      <c r="M677" s="11">
        <f>IF(K677="FUERA","Fuera del marco",IF(K677="N/A","Sin marco",IFERROR(INDEX('Datos - Catálogo TIMSS'!$C$5:$C$107,MATCH(K677,'Datos - Catálogo TIMSS'!$A$5:$A$107,0)),"Pendiente de clasificar")))</f>
        <v/>
      </c>
      <c r="N677" s="11">
        <f>IF(K677="FUERA","Fuera del marco",IF(K677="N/A","Sin marco",IFERROR(INDEX('Datos - Catálogo TIMSS'!$F$5:$F$107,MATCH(K677,'Datos - Catálogo TIMSS'!$A$5:$A$107,0)),"Pendiente de clasificar")))</f>
        <v/>
      </c>
      <c r="O677" s="11">
        <f>IF(L677="","",IFERROR(INDEX('Datos - Catálogo TIMSS'!$C$5:$C$107,MATCH(L677,'Datos - Catálogo TIMSS'!$A$5:$A$107,0)),"?"))</f>
        <v/>
      </c>
      <c r="P677" s="11" t="inlineStr">
        <is>
          <t>media</t>
        </is>
      </c>
      <c r="Q677" s="38" t="inlineStr">
        <is>
          <t>Conservación de la energía en cadenas de transformación</t>
        </is>
      </c>
      <c r="R677" s="38" t="inlineStr">
        <is>
          <t>Conocer: identificar formas de energía. Aplicar: calcular eficiencias. Razonar: argumentar con datos</t>
        </is>
      </c>
      <c r="S677" s="39">
        <f>IFERROR(ISNUMBER(SEARCH("Conocer",$R677))/(ISNUMBER(SEARCH("Conocer",$R677))+ISNUMBER(SEARCH("Aplicar",$R677))+ISNUMBER(SEARCH("Razonar",$R677))),0)</f>
        <v/>
      </c>
      <c r="T677" s="39">
        <f>IFERROR(ISNUMBER(SEARCH("Aplicar",$R677))/(ISNUMBER(SEARCH("Conocer",$R677))+ISNUMBER(SEARCH("Aplicar",$R677))+ISNUMBER(SEARCH("Razonar",$R677))),0)</f>
        <v/>
      </c>
      <c r="U677" s="39">
        <f>IFERROR(ISNUMBER(SEARCH("Razonar",$R677))/(ISNUMBER(SEARCH("Conocer",$R677))+ISNUMBER(SEARCH("Aplicar",$R677))+ISNUMBER(SEARCH("Razonar",$R677))),0)</f>
        <v/>
      </c>
      <c r="V677" s="11" t="inlineStr">
        <is>
          <t>Física 10°</t>
        </is>
      </c>
      <c r="W677" s="11" t="inlineStr">
        <is>
          <t>Física 10°–11°</t>
        </is>
      </c>
      <c r="X677" s="11">
        <f>IF(OR(IFERROR(INDEX('Datos - Catálogo TIMSS'!$I$5:$I$107,MATCH(K677,'Datos - Catálogo TIMSS'!$A$5:$A$107,0)),"No")="Sí",IFERROR(INDEX('Datos - Catálogo TIMSS'!$I$5:$I$107,MATCH(L677,'Datos - Catálogo TIMSS'!$A$5:$A$107,0)),"No")="Sí"),1,0)</f>
        <v/>
      </c>
      <c r="Y677" s="11">
        <f>IF(IFERROR(INDEX('Datos - Catálogo TIMSS'!$J$5:$J$107,MATCH(K677,'Datos - Catálogo TIMSS'!$A$5:$A$107,0)),"No")="Sí",1,0)</f>
        <v/>
      </c>
      <c r="Z677" s="11">
        <f>IF(IFERROR(INDEX('Datos - Catálogo TIMSS'!$J$5:$J$107,MATCH(L677,'Datos - Catálogo TIMSS'!$A$5:$A$107,0)),"No")="Sí",1,0)</f>
        <v/>
      </c>
      <c r="AA677" s="11" t="inlineStr">
        <is>
          <t>TA-M2.1</t>
        </is>
      </c>
      <c r="AB677" s="11" t="inlineStr"/>
      <c r="AC677" s="11">
        <f>IF(AA677="FUERA","Fuera del marco",IF(AA677="N/A","Sin marco",IFERROR(INDEX('Datos - TIMSS 2023'!$C$5:$C$105,MATCH(AA677,'Datos - TIMSS 2023'!$A$5:$A$105,0)),"Pendiente de clasificar")))</f>
        <v/>
      </c>
      <c r="AD677" s="11" t="inlineStr">
        <is>
          <t>3. Investigar, evaluar y usar información científica para tomar decisiones y actuar</t>
        </is>
      </c>
      <c r="AE677" s="11">
        <f>IF(AD677="","",IF(LEFT(AD677,1)="1","C1",IF(LEFT(AD677,1)="2","C2",IF(LEFT(AD677,1)="3","C3",""))))</f>
        <v/>
      </c>
      <c r="AF677" s="11" t="inlineStr">
        <is>
          <t>E6</t>
        </is>
      </c>
      <c r="AG677" s="11" t="inlineStr">
        <is>
          <t>E3</t>
        </is>
      </c>
      <c r="AH677" s="11" t="inlineStr">
        <is>
          <t>E4</t>
        </is>
      </c>
      <c r="AI677" s="11" t="inlineStr">
        <is>
          <t>I3</t>
        </is>
      </c>
      <c r="AJ677" s="11" t="inlineStr">
        <is>
          <t>I5</t>
        </is>
      </c>
      <c r="AK677" s="11" t="n"/>
      <c r="AL677" s="11" t="n"/>
      <c r="AM677" s="11" t="n"/>
      <c r="AN677" s="11" t="n"/>
      <c r="AO677" s="11" t="n"/>
      <c r="AP677" s="11" t="n"/>
      <c r="AQ677" s="11" t="n"/>
      <c r="AR677" s="11" t="n"/>
      <c r="AS677" s="11" t="n"/>
      <c r="AT677" s="11" t="n"/>
      <c r="AU677" s="11" t="n"/>
      <c r="AV677" s="11" t="n"/>
      <c r="AW677" s="11">
        <f>AF677&amp;"; "&amp;AG677&amp;"; "&amp;AH677&amp;"; "&amp;AI677&amp;"; "&amp;AJ677</f>
        <v/>
      </c>
    </row>
    <row r="678">
      <c r="A678" s="11" t="inlineStr">
        <is>
          <t>T0214-G10-FÍS</t>
        </is>
      </c>
      <c r="B678" s="11" t="n">
        <v>10</v>
      </c>
      <c r="C678" s="11" t="inlineStr">
        <is>
          <t>Física</t>
        </is>
      </c>
      <c r="D678" s="11" t="inlineStr">
        <is>
          <t>Matriz_Bachillerato_Fisica_10_11.xlsx</t>
        </is>
      </c>
      <c r="E678" s="11" t="inlineStr">
        <is>
          <t>Física 10.°</t>
        </is>
      </c>
      <c r="F678" s="11" t="n">
        <v>54</v>
      </c>
      <c r="G678" s="11" t="inlineStr">
        <is>
          <t>7. Trabajo y energía</t>
        </is>
      </c>
      <c r="H678" s="11" t="inlineStr">
        <is>
          <t>Trabajo de una fuerza variable</t>
        </is>
      </c>
      <c r="I678" s="38" t="inlineStr">
        <is>
          <t>7.9. Cálculo del trabajo de una fuerza variable como área bajo la curva en gráficas fuerza-posición.</t>
        </is>
      </c>
      <c r="J678" s="11" t="inlineStr">
        <is>
          <t>TA</t>
        </is>
      </c>
      <c r="K678" s="11" t="inlineStr">
        <is>
          <t>TA-M2.1</t>
        </is>
      </c>
      <c r="L678" s="11" t="inlineStr">
        <is>
          <t>TA-M1.2</t>
        </is>
      </c>
      <c r="M678" s="11">
        <f>IF(K678="FUERA","Fuera del marco",IF(K678="N/A","Sin marco",IFERROR(INDEX('Datos - Catálogo TIMSS'!$C$5:$C$107,MATCH(K678,'Datos - Catálogo TIMSS'!$A$5:$A$107,0)),"Pendiente de clasificar")))</f>
        <v/>
      </c>
      <c r="N678" s="11">
        <f>IF(K678="FUERA","Fuera del marco",IF(K678="N/A","Sin marco",IFERROR(INDEX('Datos - Catálogo TIMSS'!$F$5:$F$107,MATCH(K678,'Datos - Catálogo TIMSS'!$A$5:$A$107,0)),"Pendiente de clasificar")))</f>
        <v/>
      </c>
      <c r="O678" s="11">
        <f>IF(L678="","",IFERROR(INDEX('Datos - Catálogo TIMSS'!$C$5:$C$107,MATCH(L678,'Datos - Catálogo TIMSS'!$A$5:$A$107,0)),"?"))</f>
        <v/>
      </c>
      <c r="P678" s="11" t="inlineStr">
        <is>
          <t>media</t>
        </is>
      </c>
      <c r="Q678" s="38" t="inlineStr">
        <is>
          <t>Trabajo de fuerza variable; ley de Hooke</t>
        </is>
      </c>
      <c r="R678" s="38" t="inlineStr">
        <is>
          <t>Aplicar: calcular áreas bajo la curva. Razonar: comparar el comportamiento del resorte y la liga</t>
        </is>
      </c>
      <c r="S678" s="39">
        <f>IFERROR(ISNUMBER(SEARCH("Conocer",$R678))/(ISNUMBER(SEARCH("Conocer",$R678))+ISNUMBER(SEARCH("Aplicar",$R678))+ISNUMBER(SEARCH("Razonar",$R678))),0)</f>
        <v/>
      </c>
      <c r="T678" s="39">
        <f>IFERROR(ISNUMBER(SEARCH("Aplicar",$R678))/(ISNUMBER(SEARCH("Conocer",$R678))+ISNUMBER(SEARCH("Aplicar",$R678))+ISNUMBER(SEARCH("Razonar",$R678))),0)</f>
        <v/>
      </c>
      <c r="U678" s="39">
        <f>IFERROR(ISNUMBER(SEARCH("Razonar",$R678))/(ISNUMBER(SEARCH("Conocer",$R678))+ISNUMBER(SEARCH("Aplicar",$R678))+ISNUMBER(SEARCH("Razonar",$R678))),0)</f>
        <v/>
      </c>
      <c r="V678" s="11" t="inlineStr">
        <is>
          <t>Física 10°</t>
        </is>
      </c>
      <c r="W678" s="11" t="inlineStr">
        <is>
          <t>Física 10°–11°</t>
        </is>
      </c>
      <c r="X678" s="11">
        <f>IF(OR(IFERROR(INDEX('Datos - Catálogo TIMSS'!$I$5:$I$107,MATCH(K678,'Datos - Catálogo TIMSS'!$A$5:$A$107,0)),"No")="Sí",IFERROR(INDEX('Datos - Catálogo TIMSS'!$I$5:$I$107,MATCH(L678,'Datos - Catálogo TIMSS'!$A$5:$A$107,0)),"No")="Sí"),1,0)</f>
        <v/>
      </c>
      <c r="Y678" s="11">
        <f>IF(IFERROR(INDEX('Datos - Catálogo TIMSS'!$J$5:$J$107,MATCH(K678,'Datos - Catálogo TIMSS'!$A$5:$A$107,0)),"No")="Sí",1,0)</f>
        <v/>
      </c>
      <c r="Z678" s="11">
        <f>IF(IFERROR(INDEX('Datos - Catálogo TIMSS'!$J$5:$J$107,MATCH(L678,'Datos - Catálogo TIMSS'!$A$5:$A$107,0)),"No")="Sí",1,0)</f>
        <v/>
      </c>
      <c r="AA678" s="11" t="inlineStr">
        <is>
          <t>TA-M2.1</t>
        </is>
      </c>
      <c r="AB678" s="11" t="inlineStr">
        <is>
          <t>TA-M1.2</t>
        </is>
      </c>
      <c r="AC678" s="11">
        <f>IF(AA678="FUERA","Fuera del marco",IF(AA678="N/A","Sin marco",IFERROR(INDEX('Datos - TIMSS 2023'!$C$5:$C$105,MATCH(AA678,'Datos - TIMSS 2023'!$A$5:$A$105,0)),"Pendiente de clasificar")))</f>
        <v/>
      </c>
      <c r="AD678" s="11" t="inlineStr">
        <is>
          <t>2. Construir y evaluar diseños para la indagación científica e interpretar datos y evidencia de forma crítica</t>
        </is>
      </c>
      <c r="AE678" s="11">
        <f>IF(AD678="","",IF(LEFT(AD678,1)="1","C1",IF(LEFT(AD678,1)="2","C2",IF(LEFT(AD678,1)="3","C3",""))))</f>
        <v/>
      </c>
      <c r="AF678" s="11" t="inlineStr">
        <is>
          <t>E1</t>
        </is>
      </c>
      <c r="AG678" s="11" t="inlineStr">
        <is>
          <t>D1</t>
        </is>
      </c>
      <c r="AH678" s="11" t="inlineStr">
        <is>
          <t>E2</t>
        </is>
      </c>
      <c r="AI678" s="11" t="inlineStr">
        <is>
          <t>D4</t>
        </is>
      </c>
      <c r="AJ678" s="11" t="inlineStr">
        <is>
          <t>E3</t>
        </is>
      </c>
      <c r="AK678" s="11" t="n"/>
      <c r="AL678" s="11" t="n"/>
      <c r="AM678" s="11" t="n"/>
      <c r="AN678" s="11" t="n"/>
      <c r="AO678" s="11" t="n"/>
      <c r="AP678" s="11" t="n"/>
      <c r="AQ678" s="11" t="n"/>
      <c r="AR678" s="11" t="n"/>
      <c r="AS678" s="11" t="n"/>
      <c r="AT678" s="11" t="n"/>
      <c r="AU678" s="11" t="n"/>
      <c r="AV678" s="11" t="n"/>
      <c r="AW678" s="11">
        <f>AF678&amp;"; "&amp;AG678&amp;"; "&amp;AH678&amp;"; "&amp;AI678&amp;"; "&amp;AJ678</f>
        <v/>
      </c>
    </row>
    <row r="679">
      <c r="A679" s="11" t="inlineStr">
        <is>
          <t>T0215-G10-FÍS</t>
        </is>
      </c>
      <c r="B679" s="11" t="n">
        <v>10</v>
      </c>
      <c r="C679" s="11" t="inlineStr">
        <is>
          <t>Física</t>
        </is>
      </c>
      <c r="D679" s="11" t="inlineStr">
        <is>
          <t>Matriz_Bachillerato_Fisica_10_11.xlsx</t>
        </is>
      </c>
      <c r="E679" s="11" t="inlineStr">
        <is>
          <t>Física 10.°</t>
        </is>
      </c>
      <c r="F679" s="11" t="n">
        <v>55</v>
      </c>
      <c r="G679" s="11" t="inlineStr">
        <is>
          <t>8. Impulso y momento</t>
        </is>
      </c>
      <c r="H679" s="11" t="inlineStr">
        <is>
          <t>Impulso y momento lineal</t>
        </is>
      </c>
      <c r="I679" s="38" t="inlineStr">
        <is>
          <t>8.1. Cálculo del impulso de una fuerza variable como área bajo la gráfica fuerza-tiempo y de la fuerza media de impacto.</t>
        </is>
      </c>
      <c r="J679" s="11" t="inlineStr">
        <is>
          <t>TA</t>
        </is>
      </c>
      <c r="K679" s="11" t="inlineStr">
        <is>
          <t>TA-M2.2</t>
        </is>
      </c>
      <c r="L679" s="11" t="inlineStr"/>
      <c r="M679" s="11">
        <f>IF(K679="FUERA","Fuera del marco",IF(K679="N/A","Sin marco",IFERROR(INDEX('Datos - Catálogo TIMSS'!$C$5:$C$107,MATCH(K679,'Datos - Catálogo TIMSS'!$A$5:$A$107,0)),"Pendiente de clasificar")))</f>
        <v/>
      </c>
      <c r="N679" s="11">
        <f>IF(K679="FUERA","Fuera del marco",IF(K679="N/A","Sin marco",IFERROR(INDEX('Datos - Catálogo TIMSS'!$F$5:$F$107,MATCH(K679,'Datos - Catálogo TIMSS'!$A$5:$A$107,0)),"Pendiente de clasificar")))</f>
        <v/>
      </c>
      <c r="O679" s="11">
        <f>IF(L679="","",IFERROR(INDEX('Datos - Catálogo TIMSS'!$C$5:$C$107,MATCH(L679,'Datos - Catálogo TIMSS'!$A$5:$A$107,0)),"?"))</f>
        <v/>
      </c>
      <c r="P679" s="11" t="inlineStr">
        <is>
          <t>media</t>
        </is>
      </c>
      <c r="Q679" s="38" t="inlineStr">
        <is>
          <t>Impulso y fuerza media de impacto</t>
        </is>
      </c>
      <c r="R679" s="38" t="inlineStr">
        <is>
          <t>Aplicar: calcular el impulso por el área. Razonar: relacionar tiempo de contacto y fuerza media</t>
        </is>
      </c>
      <c r="S679" s="39">
        <f>IFERROR(ISNUMBER(SEARCH("Conocer",$R679))/(ISNUMBER(SEARCH("Conocer",$R679))+ISNUMBER(SEARCH("Aplicar",$R679))+ISNUMBER(SEARCH("Razonar",$R679))),0)</f>
        <v/>
      </c>
      <c r="T679" s="39">
        <f>IFERROR(ISNUMBER(SEARCH("Aplicar",$R679))/(ISNUMBER(SEARCH("Conocer",$R679))+ISNUMBER(SEARCH("Aplicar",$R679))+ISNUMBER(SEARCH("Razonar",$R679))),0)</f>
        <v/>
      </c>
      <c r="U679" s="39">
        <f>IFERROR(ISNUMBER(SEARCH("Razonar",$R679))/(ISNUMBER(SEARCH("Conocer",$R679))+ISNUMBER(SEARCH("Aplicar",$R679))+ISNUMBER(SEARCH("Razonar",$R679))),0)</f>
        <v/>
      </c>
      <c r="V679" s="11" t="inlineStr">
        <is>
          <t>Física 10°</t>
        </is>
      </c>
      <c r="W679" s="11" t="inlineStr">
        <is>
          <t>Física 10°–11°</t>
        </is>
      </c>
      <c r="X679" s="11">
        <f>IF(OR(IFERROR(INDEX('Datos - Catálogo TIMSS'!$I$5:$I$107,MATCH(K679,'Datos - Catálogo TIMSS'!$A$5:$A$107,0)),"No")="Sí",IFERROR(INDEX('Datos - Catálogo TIMSS'!$I$5:$I$107,MATCH(L679,'Datos - Catálogo TIMSS'!$A$5:$A$107,0)),"No")="Sí"),1,0)</f>
        <v/>
      </c>
      <c r="Y679" s="11">
        <f>IF(IFERROR(INDEX('Datos - Catálogo TIMSS'!$J$5:$J$107,MATCH(K679,'Datos - Catálogo TIMSS'!$A$5:$A$107,0)),"No")="Sí",1,0)</f>
        <v/>
      </c>
      <c r="Z679" s="11">
        <f>IF(IFERROR(INDEX('Datos - Catálogo TIMSS'!$J$5:$J$107,MATCH(L679,'Datos - Catálogo TIMSS'!$A$5:$A$107,0)),"No")="Sí",1,0)</f>
        <v/>
      </c>
      <c r="AA679" s="11" t="inlineStr">
        <is>
          <t>TA-M2.2</t>
        </is>
      </c>
      <c r="AB679" s="11" t="inlineStr"/>
      <c r="AC679" s="11">
        <f>IF(AA679="FUERA","Fuera del marco",IF(AA679="N/A","Sin marco",IFERROR(INDEX('Datos - TIMSS 2023'!$C$5:$C$105,MATCH(AA679,'Datos - TIMSS 2023'!$A$5:$A$105,0)),"Pendiente de clasificar")))</f>
        <v/>
      </c>
      <c r="AD679" s="11" t="inlineStr">
        <is>
          <t>2. Construir y evaluar diseños para la indagación científica e interpretar datos y evidencia de forma crítica</t>
        </is>
      </c>
      <c r="AE679" s="11">
        <f>IF(AD679="","",IF(LEFT(AD679,1)="1","C1",IF(LEFT(AD679,1)="2","C2",IF(LEFT(AD679,1)="3","C3",""))))</f>
        <v/>
      </c>
      <c r="AF679" s="11" t="inlineStr">
        <is>
          <t>E1</t>
        </is>
      </c>
      <c r="AG679" s="11" t="inlineStr">
        <is>
          <t>D1</t>
        </is>
      </c>
      <c r="AH679" s="11" t="inlineStr">
        <is>
          <t>E2</t>
        </is>
      </c>
      <c r="AI679" s="11" t="inlineStr">
        <is>
          <t>D4</t>
        </is>
      </c>
      <c r="AJ679" s="11" t="inlineStr">
        <is>
          <t>I5</t>
        </is>
      </c>
      <c r="AK679" s="11" t="n"/>
      <c r="AL679" s="11" t="n"/>
      <c r="AM679" s="11" t="n"/>
      <c r="AN679" s="11" t="n"/>
      <c r="AO679" s="11" t="n"/>
      <c r="AP679" s="11" t="n"/>
      <c r="AQ679" s="11" t="n"/>
      <c r="AR679" s="11" t="n"/>
      <c r="AS679" s="11" t="n"/>
      <c r="AT679" s="11" t="n"/>
      <c r="AU679" s="11" t="n"/>
      <c r="AV679" s="11" t="n"/>
      <c r="AW679" s="11">
        <f>AF679&amp;"; "&amp;AG679&amp;"; "&amp;AH679&amp;"; "&amp;AI679&amp;"; "&amp;AJ679</f>
        <v/>
      </c>
    </row>
    <row r="680">
      <c r="A680" s="11" t="inlineStr">
        <is>
          <t>T0216-G10-FÍS</t>
        </is>
      </c>
      <c r="B680" s="11" t="n">
        <v>10</v>
      </c>
      <c r="C680" s="11" t="inlineStr">
        <is>
          <t>Física</t>
        </is>
      </c>
      <c r="D680" s="11" t="inlineStr">
        <is>
          <t>Matriz_Bachillerato_Fisica_10_11.xlsx</t>
        </is>
      </c>
      <c r="E680" s="11" t="inlineStr">
        <is>
          <t>Física 10.°</t>
        </is>
      </c>
      <c r="F680" s="11" t="n">
        <v>56</v>
      </c>
      <c r="G680" s="11" t="inlineStr">
        <is>
          <t>8. Impulso y momento</t>
        </is>
      </c>
      <c r="H680" s="11" t="inlineStr">
        <is>
          <t>Conservación del momento lineal</t>
        </is>
      </c>
      <c r="I680" s="38" t="inlineStr">
        <is>
          <t>8.2. Aplicación de la conservación vectorial del momento lineal en sistemas aislados, incluidas explosiones y retroceso.</t>
        </is>
      </c>
      <c r="J680" s="11" t="inlineStr">
        <is>
          <t>TA</t>
        </is>
      </c>
      <c r="K680" s="11" t="inlineStr">
        <is>
          <t>TA-M2.2</t>
        </is>
      </c>
      <c r="L680" s="11" t="inlineStr"/>
      <c r="M680" s="11">
        <f>IF(K680="FUERA","Fuera del marco",IF(K680="N/A","Sin marco",IFERROR(INDEX('Datos - Catálogo TIMSS'!$C$5:$C$107,MATCH(K680,'Datos - Catálogo TIMSS'!$A$5:$A$107,0)),"Pendiente de clasificar")))</f>
        <v/>
      </c>
      <c r="N680" s="11">
        <f>IF(K680="FUERA","Fuera del marco",IF(K680="N/A","Sin marco",IFERROR(INDEX('Datos - Catálogo TIMSS'!$F$5:$F$107,MATCH(K680,'Datos - Catálogo TIMSS'!$A$5:$A$107,0)),"Pendiente de clasificar")))</f>
        <v/>
      </c>
      <c r="O680" s="11">
        <f>IF(L680="","",IFERROR(INDEX('Datos - Catálogo TIMSS'!$C$5:$C$107,MATCH(L680,'Datos - Catálogo TIMSS'!$A$5:$A$107,0)),"?"))</f>
        <v/>
      </c>
      <c r="P680" s="11" t="inlineStr">
        <is>
          <t>alta</t>
        </is>
      </c>
      <c r="Q680" s="38" t="inlineStr">
        <is>
          <t>Conservación del momento lineal: explosiones, retroceso</t>
        </is>
      </c>
      <c r="R680" s="38" t="inlineStr">
        <is>
          <t>Aplicar: calcular velocidades con la conservación del momento. Razonar: distinguir fuerzas internas y externas</t>
        </is>
      </c>
      <c r="S680" s="39">
        <f>IFERROR(ISNUMBER(SEARCH("Conocer",$R680))/(ISNUMBER(SEARCH("Conocer",$R680))+ISNUMBER(SEARCH("Aplicar",$R680))+ISNUMBER(SEARCH("Razonar",$R680))),0)</f>
        <v/>
      </c>
      <c r="T680" s="39">
        <f>IFERROR(ISNUMBER(SEARCH("Aplicar",$R680))/(ISNUMBER(SEARCH("Conocer",$R680))+ISNUMBER(SEARCH("Aplicar",$R680))+ISNUMBER(SEARCH("Razonar",$R680))),0)</f>
        <v/>
      </c>
      <c r="U680" s="39">
        <f>IFERROR(ISNUMBER(SEARCH("Razonar",$R680))/(ISNUMBER(SEARCH("Conocer",$R680))+ISNUMBER(SEARCH("Aplicar",$R680))+ISNUMBER(SEARCH("Razonar",$R680))),0)</f>
        <v/>
      </c>
      <c r="V680" s="11" t="inlineStr">
        <is>
          <t>Física 10°</t>
        </is>
      </c>
      <c r="W680" s="11" t="inlineStr">
        <is>
          <t>Física 10°–11°</t>
        </is>
      </c>
      <c r="X680" s="11">
        <f>IF(OR(IFERROR(INDEX('Datos - Catálogo TIMSS'!$I$5:$I$107,MATCH(K680,'Datos - Catálogo TIMSS'!$A$5:$A$107,0)),"No")="Sí",IFERROR(INDEX('Datos - Catálogo TIMSS'!$I$5:$I$107,MATCH(L680,'Datos - Catálogo TIMSS'!$A$5:$A$107,0)),"No")="Sí"),1,0)</f>
        <v/>
      </c>
      <c r="Y680" s="11">
        <f>IF(IFERROR(INDEX('Datos - Catálogo TIMSS'!$J$5:$J$107,MATCH(K680,'Datos - Catálogo TIMSS'!$A$5:$A$107,0)),"No")="Sí",1,0)</f>
        <v/>
      </c>
      <c r="Z680" s="11">
        <f>IF(IFERROR(INDEX('Datos - Catálogo TIMSS'!$J$5:$J$107,MATCH(L680,'Datos - Catálogo TIMSS'!$A$5:$A$107,0)),"No")="Sí",1,0)</f>
        <v/>
      </c>
      <c r="AA680" s="11" t="inlineStr">
        <is>
          <t>TA-M2.2</t>
        </is>
      </c>
      <c r="AB680" s="11" t="inlineStr"/>
      <c r="AC680" s="11">
        <f>IF(AA680="FUERA","Fuera del marco",IF(AA680="N/A","Sin marco",IFERROR(INDEX('Datos - TIMSS 2023'!$C$5:$C$105,MATCH(AA680,'Datos - TIMSS 2023'!$A$5:$A$105,0)),"Pendiente de clasificar")))</f>
        <v/>
      </c>
      <c r="AD680" s="11" t="inlineStr">
        <is>
          <t>1. Explicar fenómenos científicamente</t>
        </is>
      </c>
      <c r="AE680" s="11">
        <f>IF(AD680="","",IF(LEFT(AD680,1)="1","C1",IF(LEFT(AD680,1)="2","C2",IF(LEFT(AD680,1)="3","C3",""))))</f>
        <v/>
      </c>
      <c r="AF680" s="11" t="inlineStr">
        <is>
          <t>E1</t>
        </is>
      </c>
      <c r="AG680" s="11" t="inlineStr">
        <is>
          <t>E3</t>
        </is>
      </c>
      <c r="AH680" s="11" t="inlineStr">
        <is>
          <t>E4</t>
        </is>
      </c>
      <c r="AI680" s="11" t="inlineStr">
        <is>
          <t>D4</t>
        </is>
      </c>
      <c r="AJ680" s="11" t="inlineStr">
        <is>
          <t>E3</t>
        </is>
      </c>
      <c r="AK680" s="11" t="n"/>
      <c r="AL680" s="11" t="n"/>
      <c r="AM680" s="11" t="n"/>
      <c r="AN680" s="11" t="n"/>
      <c r="AO680" s="11" t="n"/>
      <c r="AP680" s="11" t="n"/>
      <c r="AQ680" s="11" t="n"/>
      <c r="AR680" s="11" t="n"/>
      <c r="AS680" s="11" t="n"/>
      <c r="AT680" s="11" t="n"/>
      <c r="AU680" s="11" t="n"/>
      <c r="AV680" s="11" t="n"/>
      <c r="AW680" s="11">
        <f>AF680&amp;"; "&amp;AG680&amp;"; "&amp;AH680&amp;"; "&amp;AI680&amp;"; "&amp;AJ680</f>
        <v/>
      </c>
    </row>
    <row r="681">
      <c r="A681" s="11" t="inlineStr">
        <is>
          <t>T0217-G10-FÍS</t>
        </is>
      </c>
      <c r="B681" s="11" t="n">
        <v>10</v>
      </c>
      <c r="C681" s="11" t="inlineStr">
        <is>
          <t>Física</t>
        </is>
      </c>
      <c r="D681" s="11" t="inlineStr">
        <is>
          <t>Matriz_Bachillerato_Fisica_10_11.xlsx</t>
        </is>
      </c>
      <c r="E681" s="11" t="inlineStr">
        <is>
          <t>Física 10.°</t>
        </is>
      </c>
      <c r="F681" s="11" t="n">
        <v>57</v>
      </c>
      <c r="G681" s="11" t="inlineStr">
        <is>
          <t>8. Impulso y momento</t>
        </is>
      </c>
      <c r="H681" s="11" t="inlineStr">
        <is>
          <t>Colisiones</t>
        </is>
      </c>
      <c r="I681" s="38" t="inlineStr">
        <is>
          <t>8.3. Clasificación de colisiones en una dimensión según la conservación de la energía cinética y el coeficiente de restitución.</t>
        </is>
      </c>
      <c r="J681" s="11" t="inlineStr">
        <is>
          <t>TA</t>
        </is>
      </c>
      <c r="K681" s="11" t="inlineStr">
        <is>
          <t>TA-M2.2</t>
        </is>
      </c>
      <c r="L681" s="11" t="inlineStr">
        <is>
          <t>TA-M2.1</t>
        </is>
      </c>
      <c r="M681" s="11">
        <f>IF(K681="FUERA","Fuera del marco",IF(K681="N/A","Sin marco",IFERROR(INDEX('Datos - Catálogo TIMSS'!$C$5:$C$107,MATCH(K681,'Datos - Catálogo TIMSS'!$A$5:$A$107,0)),"Pendiente de clasificar")))</f>
        <v/>
      </c>
      <c r="N681" s="11">
        <f>IF(K681="FUERA","Fuera del marco",IF(K681="N/A","Sin marco",IFERROR(INDEX('Datos - Catálogo TIMSS'!$F$5:$F$107,MATCH(K681,'Datos - Catálogo TIMSS'!$A$5:$A$107,0)),"Pendiente de clasificar")))</f>
        <v/>
      </c>
      <c r="O681" s="11">
        <f>IF(L681="","",IFERROR(INDEX('Datos - Catálogo TIMSS'!$C$5:$C$107,MATCH(L681,'Datos - Catálogo TIMSS'!$A$5:$A$107,0)),"?"))</f>
        <v/>
      </c>
      <c r="P681" s="11" t="inlineStr">
        <is>
          <t>alta</t>
        </is>
      </c>
      <c r="Q681" s="38" t="inlineStr">
        <is>
          <t>Choques elásticos e inelásticos, energía cinética perdida</t>
        </is>
      </c>
      <c r="R681" s="38" t="inlineStr">
        <is>
          <t>Aplicar: calcular el coeficiente de restitución. Razonar: clasificar colisiones con datos</t>
        </is>
      </c>
      <c r="S681" s="39">
        <f>IFERROR(ISNUMBER(SEARCH("Conocer",$R681))/(ISNUMBER(SEARCH("Conocer",$R681))+ISNUMBER(SEARCH("Aplicar",$R681))+ISNUMBER(SEARCH("Razonar",$R681))),0)</f>
        <v/>
      </c>
      <c r="T681" s="39">
        <f>IFERROR(ISNUMBER(SEARCH("Aplicar",$R681))/(ISNUMBER(SEARCH("Conocer",$R681))+ISNUMBER(SEARCH("Aplicar",$R681))+ISNUMBER(SEARCH("Razonar",$R681))),0)</f>
        <v/>
      </c>
      <c r="U681" s="39">
        <f>IFERROR(ISNUMBER(SEARCH("Razonar",$R681))/(ISNUMBER(SEARCH("Conocer",$R681))+ISNUMBER(SEARCH("Aplicar",$R681))+ISNUMBER(SEARCH("Razonar",$R681))),0)</f>
        <v/>
      </c>
      <c r="V681" s="11" t="inlineStr">
        <is>
          <t>Física 10°</t>
        </is>
      </c>
      <c r="W681" s="11" t="inlineStr">
        <is>
          <t>Física 10°–11°</t>
        </is>
      </c>
      <c r="X681" s="11">
        <f>IF(OR(IFERROR(INDEX('Datos - Catálogo TIMSS'!$I$5:$I$107,MATCH(K681,'Datos - Catálogo TIMSS'!$A$5:$A$107,0)),"No")="Sí",IFERROR(INDEX('Datos - Catálogo TIMSS'!$I$5:$I$107,MATCH(L681,'Datos - Catálogo TIMSS'!$A$5:$A$107,0)),"No")="Sí"),1,0)</f>
        <v/>
      </c>
      <c r="Y681" s="11">
        <f>IF(IFERROR(INDEX('Datos - Catálogo TIMSS'!$J$5:$J$107,MATCH(K681,'Datos - Catálogo TIMSS'!$A$5:$A$107,0)),"No")="Sí",1,0)</f>
        <v/>
      </c>
      <c r="Z681" s="11">
        <f>IF(IFERROR(INDEX('Datos - Catálogo TIMSS'!$J$5:$J$107,MATCH(L681,'Datos - Catálogo TIMSS'!$A$5:$A$107,0)),"No")="Sí",1,0)</f>
        <v/>
      </c>
      <c r="AA681" s="11" t="inlineStr">
        <is>
          <t>TA-M2.2</t>
        </is>
      </c>
      <c r="AB681" s="11" t="inlineStr">
        <is>
          <t>TA-M2.1</t>
        </is>
      </c>
      <c r="AC681" s="11">
        <f>IF(AA681="FUERA","Fuera del marco",IF(AA681="N/A","Sin marco",IFERROR(INDEX('Datos - TIMSS 2023'!$C$5:$C$105,MATCH(AA681,'Datos - TIMSS 2023'!$A$5:$A$105,0)),"Pendiente de clasificar")))</f>
        <v/>
      </c>
      <c r="AD681" s="11" t="inlineStr">
        <is>
          <t>2. Construir y evaluar diseños para la indagación científica e interpretar datos y evidencia de forma crítica</t>
        </is>
      </c>
      <c r="AE681" s="11">
        <f>IF(AD681="","",IF(LEFT(AD681,1)="1","C1",IF(LEFT(AD681,1)="2","C2",IF(LEFT(AD681,1)="3","C3",""))))</f>
        <v/>
      </c>
      <c r="AF681" s="11" t="inlineStr">
        <is>
          <t>E6</t>
        </is>
      </c>
      <c r="AG681" s="11" t="inlineStr">
        <is>
          <t>D1</t>
        </is>
      </c>
      <c r="AH681" s="11" t="inlineStr">
        <is>
          <t>E1</t>
        </is>
      </c>
      <c r="AI681" s="11" t="inlineStr">
        <is>
          <t>D4</t>
        </is>
      </c>
      <c r="AJ681" s="11" t="inlineStr">
        <is>
          <t>D3</t>
        </is>
      </c>
      <c r="AK681" s="11" t="n"/>
      <c r="AL681" s="11" t="n"/>
      <c r="AM681" s="11" t="n"/>
      <c r="AN681" s="11" t="n"/>
      <c r="AO681" s="11" t="n"/>
      <c r="AP681" s="11" t="n"/>
      <c r="AQ681" s="11" t="n"/>
      <c r="AR681" s="11" t="n"/>
      <c r="AS681" s="11" t="n"/>
      <c r="AT681" s="11" t="n"/>
      <c r="AU681" s="11" t="n"/>
      <c r="AV681" s="11" t="n"/>
      <c r="AW681" s="11">
        <f>AF681&amp;"; "&amp;AG681&amp;"; "&amp;AH681&amp;"; "&amp;AI681&amp;"; "&amp;AJ681</f>
        <v/>
      </c>
    </row>
    <row r="682">
      <c r="A682" s="11" t="inlineStr">
        <is>
          <t>T0218-G10-FÍS</t>
        </is>
      </c>
      <c r="B682" s="11" t="n">
        <v>10</v>
      </c>
      <c r="C682" s="11" t="inlineStr">
        <is>
          <t>Física</t>
        </is>
      </c>
      <c r="D682" s="11" t="inlineStr">
        <is>
          <t>Matriz_Bachillerato_Fisica_10_11.xlsx</t>
        </is>
      </c>
      <c r="E682" s="11" t="inlineStr">
        <is>
          <t>Física 10.°</t>
        </is>
      </c>
      <c r="F682" s="11" t="n">
        <v>58</v>
      </c>
      <c r="G682" s="11" t="inlineStr">
        <is>
          <t>8. Impulso y momento</t>
        </is>
      </c>
      <c r="H682" s="11" t="inlineStr">
        <is>
          <t>Colisiones</t>
        </is>
      </c>
      <c r="I682" s="38" t="inlineStr">
        <is>
          <t>8.4. Resolución de colisiones en dos dimensiones mediante la conservación del momento lineal en componentes rectangulares.</t>
        </is>
      </c>
      <c r="J682" s="11" t="inlineStr">
        <is>
          <t>TA</t>
        </is>
      </c>
      <c r="K682" s="11" t="inlineStr">
        <is>
          <t>TA-M2.2</t>
        </is>
      </c>
      <c r="L682" s="11" t="inlineStr"/>
      <c r="M682" s="11">
        <f>IF(K682="FUERA","Fuera del marco",IF(K682="N/A","Sin marco",IFERROR(INDEX('Datos - Catálogo TIMSS'!$C$5:$C$107,MATCH(K682,'Datos - Catálogo TIMSS'!$A$5:$A$107,0)),"Pendiente de clasificar")))</f>
        <v/>
      </c>
      <c r="N682" s="11">
        <f>IF(K682="FUERA","Fuera del marco",IF(K682="N/A","Sin marco",IFERROR(INDEX('Datos - Catálogo TIMSS'!$F$5:$F$107,MATCH(K682,'Datos - Catálogo TIMSS'!$A$5:$A$107,0)),"Pendiente de clasificar")))</f>
        <v/>
      </c>
      <c r="O682" s="11">
        <f>IF(L682="","",IFERROR(INDEX('Datos - Catálogo TIMSS'!$C$5:$C$107,MATCH(L682,'Datos - Catálogo TIMSS'!$A$5:$A$107,0)),"?"))</f>
        <v/>
      </c>
      <c r="P682" s="11" t="inlineStr">
        <is>
          <t>alta</t>
        </is>
      </c>
      <c r="Q682" s="38" t="inlineStr">
        <is>
          <t>Colisiones en dos dimensiones por componentes</t>
        </is>
      </c>
      <c r="R682" s="38" t="inlineStr">
        <is>
          <t>Aplicar: resolver ecuaciones por componentes. Razonar: verificar la conservación con datos de video</t>
        </is>
      </c>
      <c r="S682" s="39">
        <f>IFERROR(ISNUMBER(SEARCH("Conocer",$R682))/(ISNUMBER(SEARCH("Conocer",$R682))+ISNUMBER(SEARCH("Aplicar",$R682))+ISNUMBER(SEARCH("Razonar",$R682))),0)</f>
        <v/>
      </c>
      <c r="T682" s="39">
        <f>IFERROR(ISNUMBER(SEARCH("Aplicar",$R682))/(ISNUMBER(SEARCH("Conocer",$R682))+ISNUMBER(SEARCH("Aplicar",$R682))+ISNUMBER(SEARCH("Razonar",$R682))),0)</f>
        <v/>
      </c>
      <c r="U682" s="39">
        <f>IFERROR(ISNUMBER(SEARCH("Razonar",$R682))/(ISNUMBER(SEARCH("Conocer",$R682))+ISNUMBER(SEARCH("Aplicar",$R682))+ISNUMBER(SEARCH("Razonar",$R682))),0)</f>
        <v/>
      </c>
      <c r="V682" s="11" t="inlineStr">
        <is>
          <t>Física 10°</t>
        </is>
      </c>
      <c r="W682" s="11" t="inlineStr">
        <is>
          <t>Física 10°–11°</t>
        </is>
      </c>
      <c r="X682" s="11">
        <f>IF(OR(IFERROR(INDEX('Datos - Catálogo TIMSS'!$I$5:$I$107,MATCH(K682,'Datos - Catálogo TIMSS'!$A$5:$A$107,0)),"No")="Sí",IFERROR(INDEX('Datos - Catálogo TIMSS'!$I$5:$I$107,MATCH(L682,'Datos - Catálogo TIMSS'!$A$5:$A$107,0)),"No")="Sí"),1,0)</f>
        <v/>
      </c>
      <c r="Y682" s="11">
        <f>IF(IFERROR(INDEX('Datos - Catálogo TIMSS'!$J$5:$J$107,MATCH(K682,'Datos - Catálogo TIMSS'!$A$5:$A$107,0)),"No")="Sí",1,0)</f>
        <v/>
      </c>
      <c r="Z682" s="11">
        <f>IF(IFERROR(INDEX('Datos - Catálogo TIMSS'!$J$5:$J$107,MATCH(L682,'Datos - Catálogo TIMSS'!$A$5:$A$107,0)),"No")="Sí",1,0)</f>
        <v/>
      </c>
      <c r="AA682" s="11" t="inlineStr">
        <is>
          <t>TA-M2.2</t>
        </is>
      </c>
      <c r="AB682" s="11" t="inlineStr"/>
      <c r="AC682" s="11">
        <f>IF(AA682="FUERA","Fuera del marco",IF(AA682="N/A","Sin marco",IFERROR(INDEX('Datos - TIMSS 2023'!$C$5:$C$105,MATCH(AA682,'Datos - TIMSS 2023'!$A$5:$A$105,0)),"Pendiente de clasificar")))</f>
        <v/>
      </c>
      <c r="AD682" s="11" t="inlineStr">
        <is>
          <t>1. Explicar fenómenos científicamente</t>
        </is>
      </c>
      <c r="AE682" s="11">
        <f>IF(AD682="","",IF(LEFT(AD682,1)="1","C1",IF(LEFT(AD682,1)="2","C2",IF(LEFT(AD682,1)="3","C3",""))))</f>
        <v/>
      </c>
      <c r="AF682" s="11" t="inlineStr">
        <is>
          <t>E1</t>
        </is>
      </c>
      <c r="AG682" s="11" t="inlineStr">
        <is>
          <t>E3</t>
        </is>
      </c>
      <c r="AH682" s="11" t="inlineStr">
        <is>
          <t>E2</t>
        </is>
      </c>
      <c r="AI682" s="11" t="inlineStr">
        <is>
          <t>D4</t>
        </is>
      </c>
      <c r="AJ682" s="11" t="inlineStr">
        <is>
          <t>E3</t>
        </is>
      </c>
      <c r="AK682" s="11" t="n"/>
      <c r="AL682" s="11" t="n"/>
      <c r="AM682" s="11" t="n"/>
      <c r="AN682" s="11" t="n"/>
      <c r="AO682" s="11" t="n"/>
      <c r="AP682" s="11" t="n"/>
      <c r="AQ682" s="11" t="n"/>
      <c r="AR682" s="11" t="n"/>
      <c r="AS682" s="11" t="n"/>
      <c r="AT682" s="11" t="n"/>
      <c r="AU682" s="11" t="n"/>
      <c r="AV682" s="11" t="n"/>
      <c r="AW682" s="11">
        <f>AF682&amp;"; "&amp;AG682&amp;"; "&amp;AH682&amp;"; "&amp;AI682&amp;"; "&amp;AJ682</f>
        <v/>
      </c>
    </row>
    <row r="683">
      <c r="A683" s="11" t="inlineStr">
        <is>
          <t>T0219-G10-FÍS</t>
        </is>
      </c>
      <c r="B683" s="11" t="n">
        <v>10</v>
      </c>
      <c r="C683" s="11" t="inlineStr">
        <is>
          <t>Física</t>
        </is>
      </c>
      <c r="D683" s="11" t="inlineStr">
        <is>
          <t>Matriz_Bachillerato_Fisica_10_11.xlsx</t>
        </is>
      </c>
      <c r="E683" s="11" t="inlineStr">
        <is>
          <t>Física 10.°</t>
        </is>
      </c>
      <c r="F683" s="11" t="n">
        <v>59</v>
      </c>
      <c r="G683" s="11" t="inlineStr">
        <is>
          <t>8. Impulso y momento</t>
        </is>
      </c>
      <c r="H683" s="11" t="inlineStr">
        <is>
          <t>Centro de masas</t>
        </is>
      </c>
      <c r="I683" s="38" t="inlineStr">
        <is>
          <t>8.5. Cálculo de la posición y la velocidad del centro de masas de un sistema antes y después de una colisión.</t>
        </is>
      </c>
      <c r="J683" s="11" t="inlineStr">
        <is>
          <t>TA</t>
        </is>
      </c>
      <c r="K683" s="11" t="inlineStr">
        <is>
          <t>TA-M2.2</t>
        </is>
      </c>
      <c r="L683" s="11" t="inlineStr"/>
      <c r="M683" s="11">
        <f>IF(K683="FUERA","Fuera del marco",IF(K683="N/A","Sin marco",IFERROR(INDEX('Datos - Catálogo TIMSS'!$C$5:$C$107,MATCH(K683,'Datos - Catálogo TIMSS'!$A$5:$A$107,0)),"Pendiente de clasificar")))</f>
        <v/>
      </c>
      <c r="N683" s="11">
        <f>IF(K683="FUERA","Fuera del marco",IF(K683="N/A","Sin marco",IFERROR(INDEX('Datos - Catálogo TIMSS'!$F$5:$F$107,MATCH(K683,'Datos - Catálogo TIMSS'!$A$5:$A$107,0)),"Pendiente de clasificar")))</f>
        <v/>
      </c>
      <c r="O683" s="11">
        <f>IF(L683="","",IFERROR(INDEX('Datos - Catálogo TIMSS'!$C$5:$C$107,MATCH(L683,'Datos - Catálogo TIMSS'!$A$5:$A$107,0)),"?"))</f>
        <v/>
      </c>
      <c r="P683" s="11" t="inlineStr">
        <is>
          <t>media</t>
        </is>
      </c>
      <c r="Q683" s="38" t="inlineStr">
        <is>
          <t>Centro de masas en colisiones sin fuerza externa</t>
        </is>
      </c>
      <c r="R683" s="38" t="inlineStr">
        <is>
          <t>Aplicar: calcular la posición y la velocidad del centro de masas. Razonar: justificar su movimiento uniforme</t>
        </is>
      </c>
      <c r="S683" s="39">
        <f>IFERROR(ISNUMBER(SEARCH("Conocer",$R683))/(ISNUMBER(SEARCH("Conocer",$R683))+ISNUMBER(SEARCH("Aplicar",$R683))+ISNUMBER(SEARCH("Razonar",$R683))),0)</f>
        <v/>
      </c>
      <c r="T683" s="39">
        <f>IFERROR(ISNUMBER(SEARCH("Aplicar",$R683))/(ISNUMBER(SEARCH("Conocer",$R683))+ISNUMBER(SEARCH("Aplicar",$R683))+ISNUMBER(SEARCH("Razonar",$R683))),0)</f>
        <v/>
      </c>
      <c r="U683" s="39">
        <f>IFERROR(ISNUMBER(SEARCH("Razonar",$R683))/(ISNUMBER(SEARCH("Conocer",$R683))+ISNUMBER(SEARCH("Aplicar",$R683))+ISNUMBER(SEARCH("Razonar",$R683))),0)</f>
        <v/>
      </c>
      <c r="V683" s="11" t="inlineStr">
        <is>
          <t>Física 10°</t>
        </is>
      </c>
      <c r="W683" s="11" t="inlineStr">
        <is>
          <t>Física 10°–11°</t>
        </is>
      </c>
      <c r="X683" s="11">
        <f>IF(OR(IFERROR(INDEX('Datos - Catálogo TIMSS'!$I$5:$I$107,MATCH(K683,'Datos - Catálogo TIMSS'!$A$5:$A$107,0)),"No")="Sí",IFERROR(INDEX('Datos - Catálogo TIMSS'!$I$5:$I$107,MATCH(L683,'Datos - Catálogo TIMSS'!$A$5:$A$107,0)),"No")="Sí"),1,0)</f>
        <v/>
      </c>
      <c r="Y683" s="11">
        <f>IF(IFERROR(INDEX('Datos - Catálogo TIMSS'!$J$5:$J$107,MATCH(K683,'Datos - Catálogo TIMSS'!$A$5:$A$107,0)),"No")="Sí",1,0)</f>
        <v/>
      </c>
      <c r="Z683" s="11">
        <f>IF(IFERROR(INDEX('Datos - Catálogo TIMSS'!$J$5:$J$107,MATCH(L683,'Datos - Catálogo TIMSS'!$A$5:$A$107,0)),"No")="Sí",1,0)</f>
        <v/>
      </c>
      <c r="AA683" s="11" t="inlineStr">
        <is>
          <t>TA-M2.2</t>
        </is>
      </c>
      <c r="AB683" s="11" t="inlineStr"/>
      <c r="AC683" s="11">
        <f>IF(AA683="FUERA","Fuera del marco",IF(AA683="N/A","Sin marco",IFERROR(INDEX('Datos - TIMSS 2023'!$C$5:$C$105,MATCH(AA683,'Datos - TIMSS 2023'!$A$5:$A$105,0)),"Pendiente de clasificar")))</f>
        <v/>
      </c>
      <c r="AD683" s="11" t="inlineStr">
        <is>
          <t>1. Explicar fenómenos científicamente</t>
        </is>
      </c>
      <c r="AE683" s="11">
        <f>IF(AD683="","",IF(LEFT(AD683,1)="1","C1",IF(LEFT(AD683,1)="2","C2",IF(LEFT(AD683,1)="3","C3",""))))</f>
        <v/>
      </c>
      <c r="AF683" s="11" t="inlineStr">
        <is>
          <t>E1</t>
        </is>
      </c>
      <c r="AG683" s="11" t="inlineStr">
        <is>
          <t>D1</t>
        </is>
      </c>
      <c r="AH683" s="11" t="inlineStr">
        <is>
          <t>E1</t>
        </is>
      </c>
      <c r="AI683" s="11" t="inlineStr">
        <is>
          <t>D4</t>
        </is>
      </c>
      <c r="AJ683" s="11" t="inlineStr">
        <is>
          <t>E3</t>
        </is>
      </c>
      <c r="AK683" s="11" t="n"/>
      <c r="AL683" s="11" t="n"/>
      <c r="AM683" s="11" t="n"/>
      <c r="AN683" s="11" t="n"/>
      <c r="AO683" s="11" t="n"/>
      <c r="AP683" s="11" t="n"/>
      <c r="AQ683" s="11" t="n"/>
      <c r="AR683" s="11" t="n"/>
      <c r="AS683" s="11" t="n"/>
      <c r="AT683" s="11" t="n"/>
      <c r="AU683" s="11" t="n"/>
      <c r="AV683" s="11" t="n"/>
      <c r="AW683" s="11">
        <f>AF683&amp;"; "&amp;AG683&amp;"; "&amp;AH683&amp;"; "&amp;AI683&amp;"; "&amp;AJ683</f>
        <v/>
      </c>
    </row>
    <row r="684">
      <c r="A684" s="11" t="inlineStr">
        <is>
          <t>T0220-G10-FÍS</t>
        </is>
      </c>
      <c r="B684" s="11" t="n">
        <v>10</v>
      </c>
      <c r="C684" s="11" t="inlineStr">
        <is>
          <t>Física</t>
        </is>
      </c>
      <c r="D684" s="11" t="inlineStr">
        <is>
          <t>Matriz_Bachillerato_Fisica_10_11.xlsx</t>
        </is>
      </c>
      <c r="E684" s="11" t="inlineStr">
        <is>
          <t>Física 10.°</t>
        </is>
      </c>
      <c r="F684" s="11" t="n">
        <v>60</v>
      </c>
      <c r="G684" s="11" t="inlineStr">
        <is>
          <t>9. Cinemática de rotación</t>
        </is>
      </c>
      <c r="H684" s="11" t="inlineStr">
        <is>
          <t>Variables angulares</t>
        </is>
      </c>
      <c r="I684" s="38" t="inlineStr">
        <is>
          <t>9.1. Medición del desplazamiento angular de objetos que giran y su conversión entre radianes, grados y revoluciones.</t>
        </is>
      </c>
      <c r="J684" s="11" t="inlineStr">
        <is>
          <t>TA</t>
        </is>
      </c>
      <c r="K684" s="11" t="inlineStr">
        <is>
          <t>FUERA</t>
        </is>
      </c>
      <c r="L684" s="11" t="inlineStr"/>
      <c r="M684" s="11">
        <f>IF(K684="FUERA","Fuera del marco",IF(K684="N/A","Sin marco",IFERROR(INDEX('Datos - Catálogo TIMSS'!$C$5:$C$107,MATCH(K684,'Datos - Catálogo TIMSS'!$A$5:$A$107,0)),"Pendiente de clasificar")))</f>
        <v/>
      </c>
      <c r="N684" s="11">
        <f>IF(K684="FUERA","Fuera del marco",IF(K684="N/A","Sin marco",IFERROR(INDEX('Datos - Catálogo TIMSS'!$F$5:$F$107,MATCH(K684,'Datos - Catálogo TIMSS'!$A$5:$A$107,0)),"Pendiente de clasificar")))</f>
        <v/>
      </c>
      <c r="O684" s="11">
        <f>IF(L684="","",IFERROR(INDEX('Datos - Catálogo TIMSS'!$C$5:$C$107,MATCH(L684,'Datos - Catálogo TIMSS'!$A$5:$A$107,0)),"?"))</f>
        <v/>
      </c>
      <c r="P684" s="11" t="inlineStr">
        <is>
          <t>media</t>
        </is>
      </c>
      <c r="Q684" s="38" t="inlineStr">
        <is>
          <t>Variables angulares; cinemática rotacional fuera del marco</t>
        </is>
      </c>
      <c r="R684" s="38" t="inlineStr">
        <is>
          <t>Conocer: definir el radián. Aplicar: convertir unidades angulares. Razonar: relacionar arco y ángulo</t>
        </is>
      </c>
      <c r="S684" s="39">
        <f>IFERROR(ISNUMBER(SEARCH("Conocer",$R684))/(ISNUMBER(SEARCH("Conocer",$R684))+ISNUMBER(SEARCH("Aplicar",$R684))+ISNUMBER(SEARCH("Razonar",$R684))),0)</f>
        <v/>
      </c>
      <c r="T684" s="39">
        <f>IFERROR(ISNUMBER(SEARCH("Aplicar",$R684))/(ISNUMBER(SEARCH("Conocer",$R684))+ISNUMBER(SEARCH("Aplicar",$R684))+ISNUMBER(SEARCH("Razonar",$R684))),0)</f>
        <v/>
      </c>
      <c r="U684" s="39">
        <f>IFERROR(ISNUMBER(SEARCH("Razonar",$R684))/(ISNUMBER(SEARCH("Conocer",$R684))+ISNUMBER(SEARCH("Aplicar",$R684))+ISNUMBER(SEARCH("Razonar",$R684))),0)</f>
        <v/>
      </c>
      <c r="V684" s="11" t="inlineStr">
        <is>
          <t>Física 10°</t>
        </is>
      </c>
      <c r="W684" s="11" t="inlineStr">
        <is>
          <t>Física 10°–11°</t>
        </is>
      </c>
      <c r="X684" s="11">
        <f>IF(OR(IFERROR(INDEX('Datos - Catálogo TIMSS'!$I$5:$I$107,MATCH(K684,'Datos - Catálogo TIMSS'!$A$5:$A$107,0)),"No")="Sí",IFERROR(INDEX('Datos - Catálogo TIMSS'!$I$5:$I$107,MATCH(L684,'Datos - Catálogo TIMSS'!$A$5:$A$107,0)),"No")="Sí"),1,0)</f>
        <v/>
      </c>
      <c r="Y684" s="11">
        <f>IF(IFERROR(INDEX('Datos - Catálogo TIMSS'!$J$5:$J$107,MATCH(K684,'Datos - Catálogo TIMSS'!$A$5:$A$107,0)),"No")="Sí",1,0)</f>
        <v/>
      </c>
      <c r="Z684" s="11">
        <f>IF(IFERROR(INDEX('Datos - Catálogo TIMSS'!$J$5:$J$107,MATCH(L684,'Datos - Catálogo TIMSS'!$A$5:$A$107,0)),"No")="Sí",1,0)</f>
        <v/>
      </c>
      <c r="AA684" s="11" t="inlineStr">
        <is>
          <t>FUERA</t>
        </is>
      </c>
      <c r="AB684" s="11" t="inlineStr"/>
      <c r="AC684" s="11">
        <f>IF(AA684="FUERA","Fuera del marco",IF(AA684="N/A","Sin marco",IFERROR(INDEX('Datos - TIMSS 2023'!$C$5:$C$105,MATCH(AA684,'Datos - TIMSS 2023'!$A$5:$A$105,0)),"Pendiente de clasificar")))</f>
        <v/>
      </c>
      <c r="AD684" s="11" t="inlineStr">
        <is>
          <t>1. Explicar fenómenos científicamente</t>
        </is>
      </c>
      <c r="AE684" s="11">
        <f>IF(AD684="","",IF(LEFT(AD684,1)="1","C1",IF(LEFT(AD684,1)="2","C2",IF(LEFT(AD684,1)="3","C3",""))))</f>
        <v/>
      </c>
      <c r="AF684" s="11" t="inlineStr">
        <is>
          <t>E1</t>
        </is>
      </c>
      <c r="AG684" s="11" t="inlineStr">
        <is>
          <t>E3</t>
        </is>
      </c>
      <c r="AH684" s="11" t="inlineStr">
        <is>
          <t>E1</t>
        </is>
      </c>
      <c r="AI684" s="11" t="inlineStr">
        <is>
          <t>D4</t>
        </is>
      </c>
      <c r="AJ684" s="11" t="inlineStr">
        <is>
          <t>E3</t>
        </is>
      </c>
      <c r="AK684" s="11" t="n"/>
      <c r="AL684" s="11" t="n"/>
      <c r="AM684" s="11" t="n"/>
      <c r="AN684" s="11" t="n"/>
      <c r="AO684" s="11" t="n"/>
      <c r="AP684" s="11" t="n"/>
      <c r="AQ684" s="11" t="n"/>
      <c r="AR684" s="11" t="n"/>
      <c r="AS684" s="11" t="n"/>
      <c r="AT684" s="11" t="n"/>
      <c r="AU684" s="11" t="n"/>
      <c r="AV684" s="11" t="n"/>
      <c r="AW684" s="11">
        <f>AF684&amp;"; "&amp;AG684&amp;"; "&amp;AH684&amp;"; "&amp;AI684&amp;"; "&amp;AJ684</f>
        <v/>
      </c>
    </row>
    <row r="685">
      <c r="A685" s="11" t="inlineStr">
        <is>
          <t>T0221-G10-FÍS</t>
        </is>
      </c>
      <c r="B685" s="11" t="n">
        <v>10</v>
      </c>
      <c r="C685" s="11" t="inlineStr">
        <is>
          <t>Física</t>
        </is>
      </c>
      <c r="D685" s="11" t="inlineStr">
        <is>
          <t>Matriz_Bachillerato_Fisica_10_11.xlsx</t>
        </is>
      </c>
      <c r="E685" s="11" t="inlineStr">
        <is>
          <t>Física 10.°</t>
        </is>
      </c>
      <c r="F685" s="11" t="n">
        <v>61</v>
      </c>
      <c r="G685" s="11" t="inlineStr">
        <is>
          <t>9. Cinemática de rotación</t>
        </is>
      </c>
      <c r="H685" s="11" t="inlineStr">
        <is>
          <t>Variables angulares</t>
        </is>
      </c>
      <c r="I685" s="38" t="inlineStr">
        <is>
          <t>9.2. Cálculo de la velocidad y la aceleración angulares medias e instantáneas a partir de gráficas ángulo-tiempo.</t>
        </is>
      </c>
      <c r="J685" s="11" t="inlineStr">
        <is>
          <t>TA</t>
        </is>
      </c>
      <c r="K685" s="11" t="inlineStr">
        <is>
          <t>FUERA</t>
        </is>
      </c>
      <c r="L685" s="11" t="inlineStr"/>
      <c r="M685" s="11">
        <f>IF(K685="FUERA","Fuera del marco",IF(K685="N/A","Sin marco",IFERROR(INDEX('Datos - Catálogo TIMSS'!$C$5:$C$107,MATCH(K685,'Datos - Catálogo TIMSS'!$A$5:$A$107,0)),"Pendiente de clasificar")))</f>
        <v/>
      </c>
      <c r="N685" s="11">
        <f>IF(K685="FUERA","Fuera del marco",IF(K685="N/A","Sin marco",IFERROR(INDEX('Datos - Catálogo TIMSS'!$F$5:$F$107,MATCH(K685,'Datos - Catálogo TIMSS'!$A$5:$A$107,0)),"Pendiente de clasificar")))</f>
        <v/>
      </c>
      <c r="O685" s="11">
        <f>IF(L685="","",IFERROR(INDEX('Datos - Catálogo TIMSS'!$C$5:$C$107,MATCH(L685,'Datos - Catálogo TIMSS'!$A$5:$A$107,0)),"?"))</f>
        <v/>
      </c>
      <c r="P685" s="11" t="inlineStr">
        <is>
          <t>media</t>
        </is>
      </c>
      <c r="Q685" s="38" t="inlineStr">
        <is>
          <t>Velocidad y aceleración angular; cinemática rotacional</t>
        </is>
      </c>
      <c r="R685" s="38" t="inlineStr">
        <is>
          <t>Aplicar: calcular pendientes. Razonar: interpretar gráficas de rotación</t>
        </is>
      </c>
      <c r="S685" s="39">
        <f>IFERROR(ISNUMBER(SEARCH("Conocer",$R685))/(ISNUMBER(SEARCH("Conocer",$R685))+ISNUMBER(SEARCH("Aplicar",$R685))+ISNUMBER(SEARCH("Razonar",$R685))),0)</f>
        <v/>
      </c>
      <c r="T685" s="39">
        <f>IFERROR(ISNUMBER(SEARCH("Aplicar",$R685))/(ISNUMBER(SEARCH("Conocer",$R685))+ISNUMBER(SEARCH("Aplicar",$R685))+ISNUMBER(SEARCH("Razonar",$R685))),0)</f>
        <v/>
      </c>
      <c r="U685" s="39">
        <f>IFERROR(ISNUMBER(SEARCH("Razonar",$R685))/(ISNUMBER(SEARCH("Conocer",$R685))+ISNUMBER(SEARCH("Aplicar",$R685))+ISNUMBER(SEARCH("Razonar",$R685))),0)</f>
        <v/>
      </c>
      <c r="V685" s="11" t="inlineStr">
        <is>
          <t>Física 10°</t>
        </is>
      </c>
      <c r="W685" s="11" t="inlineStr">
        <is>
          <t>Física 10°–11°</t>
        </is>
      </c>
      <c r="X685" s="11">
        <f>IF(OR(IFERROR(INDEX('Datos - Catálogo TIMSS'!$I$5:$I$107,MATCH(K685,'Datos - Catálogo TIMSS'!$A$5:$A$107,0)),"No")="Sí",IFERROR(INDEX('Datos - Catálogo TIMSS'!$I$5:$I$107,MATCH(L685,'Datos - Catálogo TIMSS'!$A$5:$A$107,0)),"No")="Sí"),1,0)</f>
        <v/>
      </c>
      <c r="Y685" s="11">
        <f>IF(IFERROR(INDEX('Datos - Catálogo TIMSS'!$J$5:$J$107,MATCH(K685,'Datos - Catálogo TIMSS'!$A$5:$A$107,0)),"No")="Sí",1,0)</f>
        <v/>
      </c>
      <c r="Z685" s="11">
        <f>IF(IFERROR(INDEX('Datos - Catálogo TIMSS'!$J$5:$J$107,MATCH(L685,'Datos - Catálogo TIMSS'!$A$5:$A$107,0)),"No")="Sí",1,0)</f>
        <v/>
      </c>
      <c r="AA685" s="11" t="inlineStr">
        <is>
          <t>FUERA</t>
        </is>
      </c>
      <c r="AB685" s="11" t="inlineStr"/>
      <c r="AC685" s="11">
        <f>IF(AA685="FUERA","Fuera del marco",IF(AA685="N/A","Sin marco",IFERROR(INDEX('Datos - TIMSS 2023'!$C$5:$C$105,MATCH(AA685,'Datos - TIMSS 2023'!$A$5:$A$105,0)),"Pendiente de clasificar")))</f>
        <v/>
      </c>
      <c r="AD685" s="11" t="inlineStr">
        <is>
          <t>2. Construir y evaluar diseños para la indagación científica e interpretar datos y evidencia de forma crítica</t>
        </is>
      </c>
      <c r="AE685" s="11">
        <f>IF(AD685="","",IF(LEFT(AD685,1)="1","C1",IF(LEFT(AD685,1)="2","C2",IF(LEFT(AD685,1)="3","C3",""))))</f>
        <v/>
      </c>
      <c r="AF685" s="11" t="inlineStr">
        <is>
          <t>E1</t>
        </is>
      </c>
      <c r="AG685" s="11" t="inlineStr">
        <is>
          <t>D1</t>
        </is>
      </c>
      <c r="AH685" s="11" t="inlineStr">
        <is>
          <t>E2</t>
        </is>
      </c>
      <c r="AI685" s="11" t="inlineStr">
        <is>
          <t>D4</t>
        </is>
      </c>
      <c r="AJ685" s="11" t="inlineStr">
        <is>
          <t>E3</t>
        </is>
      </c>
      <c r="AK685" s="11" t="n"/>
      <c r="AL685" s="11" t="n"/>
      <c r="AM685" s="11" t="n"/>
      <c r="AN685" s="11" t="n"/>
      <c r="AO685" s="11" t="n"/>
      <c r="AP685" s="11" t="n"/>
      <c r="AQ685" s="11" t="n"/>
      <c r="AR685" s="11" t="n"/>
      <c r="AS685" s="11" t="n"/>
      <c r="AT685" s="11" t="n"/>
      <c r="AU685" s="11" t="n"/>
      <c r="AV685" s="11" t="n"/>
      <c r="AW685" s="11">
        <f>AF685&amp;"; "&amp;AG685&amp;"; "&amp;AH685&amp;"; "&amp;AI685&amp;"; "&amp;AJ685</f>
        <v/>
      </c>
    </row>
    <row r="686">
      <c r="A686" s="11" t="inlineStr">
        <is>
          <t>T0222-G10-FÍS</t>
        </is>
      </c>
      <c r="B686" s="11" t="n">
        <v>10</v>
      </c>
      <c r="C686" s="11" t="inlineStr">
        <is>
          <t>Física</t>
        </is>
      </c>
      <c r="D686" s="11" t="inlineStr">
        <is>
          <t>Matriz_Bachillerato_Fisica_10_11.xlsx</t>
        </is>
      </c>
      <c r="E686" s="11" t="inlineStr">
        <is>
          <t>Física 10.°</t>
        </is>
      </c>
      <c r="F686" s="11" t="n">
        <v>62</v>
      </c>
      <c r="G686" s="11" t="inlineStr">
        <is>
          <t>9. Cinemática de rotación</t>
        </is>
      </c>
      <c r="H686" s="11" t="inlineStr">
        <is>
          <t>Cinemática rotacional</t>
        </is>
      </c>
      <c r="I686" s="38" t="inlineStr">
        <is>
          <t>9.3. Resolución de problemas con las ecuaciones de la cinemática rotacional con aceleración angular constante.</t>
        </is>
      </c>
      <c r="J686" s="11" t="inlineStr">
        <is>
          <t>TA</t>
        </is>
      </c>
      <c r="K686" s="11" t="inlineStr">
        <is>
          <t>FUERA</t>
        </is>
      </c>
      <c r="L686" s="11" t="inlineStr"/>
      <c r="M686" s="11">
        <f>IF(K686="FUERA","Fuera del marco",IF(K686="N/A","Sin marco",IFERROR(INDEX('Datos - Catálogo TIMSS'!$C$5:$C$107,MATCH(K686,'Datos - Catálogo TIMSS'!$A$5:$A$107,0)),"Pendiente de clasificar")))</f>
        <v/>
      </c>
      <c r="N686" s="11">
        <f>IF(K686="FUERA","Fuera del marco",IF(K686="N/A","Sin marco",IFERROR(INDEX('Datos - Catálogo TIMSS'!$F$5:$F$107,MATCH(K686,'Datos - Catálogo TIMSS'!$A$5:$A$107,0)),"Pendiente de clasificar")))</f>
        <v/>
      </c>
      <c r="O686" s="11">
        <f>IF(L686="","",IFERROR(INDEX('Datos - Catálogo TIMSS'!$C$5:$C$107,MATCH(L686,'Datos - Catálogo TIMSS'!$A$5:$A$107,0)),"?"))</f>
        <v/>
      </c>
      <c r="P686" s="11" t="inlineStr">
        <is>
          <t>media</t>
        </is>
      </c>
      <c r="Q686" s="38" t="inlineStr">
        <is>
          <t>Ecuaciones de cinemática rotacional</t>
        </is>
      </c>
      <c r="R686" s="38" t="inlineStr">
        <is>
          <t>Aplicar: resolver ecuaciones de la cinemática rotacional. Razonar: establecer analogías</t>
        </is>
      </c>
      <c r="S686" s="39">
        <f>IFERROR(ISNUMBER(SEARCH("Conocer",$R686))/(ISNUMBER(SEARCH("Conocer",$R686))+ISNUMBER(SEARCH("Aplicar",$R686))+ISNUMBER(SEARCH("Razonar",$R686))),0)</f>
        <v/>
      </c>
      <c r="T686" s="39">
        <f>IFERROR(ISNUMBER(SEARCH("Aplicar",$R686))/(ISNUMBER(SEARCH("Conocer",$R686))+ISNUMBER(SEARCH("Aplicar",$R686))+ISNUMBER(SEARCH("Razonar",$R686))),0)</f>
        <v/>
      </c>
      <c r="U686" s="39">
        <f>IFERROR(ISNUMBER(SEARCH("Razonar",$R686))/(ISNUMBER(SEARCH("Conocer",$R686))+ISNUMBER(SEARCH("Aplicar",$R686))+ISNUMBER(SEARCH("Razonar",$R686))),0)</f>
        <v/>
      </c>
      <c r="V686" s="11" t="inlineStr">
        <is>
          <t>Física 10°</t>
        </is>
      </c>
      <c r="W686" s="11" t="inlineStr">
        <is>
          <t>Física 10°–11°</t>
        </is>
      </c>
      <c r="X686" s="11">
        <f>IF(OR(IFERROR(INDEX('Datos - Catálogo TIMSS'!$I$5:$I$107,MATCH(K686,'Datos - Catálogo TIMSS'!$A$5:$A$107,0)),"No")="Sí",IFERROR(INDEX('Datos - Catálogo TIMSS'!$I$5:$I$107,MATCH(L686,'Datos - Catálogo TIMSS'!$A$5:$A$107,0)),"No")="Sí"),1,0)</f>
        <v/>
      </c>
      <c r="Y686" s="11">
        <f>IF(IFERROR(INDEX('Datos - Catálogo TIMSS'!$J$5:$J$107,MATCH(K686,'Datos - Catálogo TIMSS'!$A$5:$A$107,0)),"No")="Sí",1,0)</f>
        <v/>
      </c>
      <c r="Z686" s="11">
        <f>IF(IFERROR(INDEX('Datos - Catálogo TIMSS'!$J$5:$J$107,MATCH(L686,'Datos - Catálogo TIMSS'!$A$5:$A$107,0)),"No")="Sí",1,0)</f>
        <v/>
      </c>
      <c r="AA686" s="11" t="inlineStr">
        <is>
          <t>FUERA</t>
        </is>
      </c>
      <c r="AB686" s="11" t="inlineStr"/>
      <c r="AC686" s="11">
        <f>IF(AA686="FUERA","Fuera del marco",IF(AA686="N/A","Sin marco",IFERROR(INDEX('Datos - TIMSS 2023'!$C$5:$C$105,MATCH(AA686,'Datos - TIMSS 2023'!$A$5:$A$105,0)),"Pendiente de clasificar")))</f>
        <v/>
      </c>
      <c r="AD686" s="11" t="inlineStr">
        <is>
          <t>1. Explicar fenómenos científicamente</t>
        </is>
      </c>
      <c r="AE686" s="11">
        <f>IF(AD686="","",IF(LEFT(AD686,1)="1","C1",IF(LEFT(AD686,1)="2","C2",IF(LEFT(AD686,1)="3","C3",""))))</f>
        <v/>
      </c>
      <c r="AF686" s="11" t="inlineStr">
        <is>
          <t>E1</t>
        </is>
      </c>
      <c r="AG686" s="11" t="inlineStr">
        <is>
          <t>E5</t>
        </is>
      </c>
      <c r="AH686" s="11" t="inlineStr">
        <is>
          <t>E4</t>
        </is>
      </c>
      <c r="AI686" s="11" t="inlineStr">
        <is>
          <t>I3</t>
        </is>
      </c>
      <c r="AJ686" s="11" t="inlineStr">
        <is>
          <t>E3</t>
        </is>
      </c>
      <c r="AK686" s="11" t="n"/>
      <c r="AL686" s="11" t="n"/>
      <c r="AM686" s="11" t="n"/>
      <c r="AN686" s="11" t="n"/>
      <c r="AO686" s="11" t="n"/>
      <c r="AP686" s="11" t="n"/>
      <c r="AQ686" s="11" t="n"/>
      <c r="AR686" s="11" t="n"/>
      <c r="AS686" s="11" t="n"/>
      <c r="AT686" s="11" t="n"/>
      <c r="AU686" s="11" t="n"/>
      <c r="AV686" s="11" t="n"/>
      <c r="AW686" s="11">
        <f>AF686&amp;"; "&amp;AG686&amp;"; "&amp;AH686&amp;"; "&amp;AI686&amp;"; "&amp;AJ686</f>
        <v/>
      </c>
    </row>
    <row r="687">
      <c r="A687" s="11" t="inlineStr">
        <is>
          <t>T0223-G10-FÍS</t>
        </is>
      </c>
      <c r="B687" s="11" t="n">
        <v>10</v>
      </c>
      <c r="C687" s="11" t="inlineStr">
        <is>
          <t>Física</t>
        </is>
      </c>
      <c r="D687" s="11" t="inlineStr">
        <is>
          <t>Matriz_Bachillerato_Fisica_10_11.xlsx</t>
        </is>
      </c>
      <c r="E687" s="11" t="inlineStr">
        <is>
          <t>Física 10.°</t>
        </is>
      </c>
      <c r="F687" s="11" t="n">
        <v>63</v>
      </c>
      <c r="G687" s="11" t="inlineStr">
        <is>
          <t>9. Cinemática de rotación</t>
        </is>
      </c>
      <c r="H687" s="11" t="inlineStr">
        <is>
          <t>Relación entre variables angulares y tangenciales</t>
        </is>
      </c>
      <c r="I687" s="38" t="inlineStr">
        <is>
          <t>9.4. Relación de la velocidad angular con la velocidad tangencial en ruedas, poleas y sistemas de transmisión.</t>
        </is>
      </c>
      <c r="J687" s="11" t="inlineStr">
        <is>
          <t>TA</t>
        </is>
      </c>
      <c r="K687" s="11" t="inlineStr">
        <is>
          <t>FUERA</t>
        </is>
      </c>
      <c r="L687" s="11" t="inlineStr"/>
      <c r="M687" s="11">
        <f>IF(K687="FUERA","Fuera del marco",IF(K687="N/A","Sin marco",IFERROR(INDEX('Datos - Catálogo TIMSS'!$C$5:$C$107,MATCH(K687,'Datos - Catálogo TIMSS'!$A$5:$A$107,0)),"Pendiente de clasificar")))</f>
        <v/>
      </c>
      <c r="N687" s="11">
        <f>IF(K687="FUERA","Fuera del marco",IF(K687="N/A","Sin marco",IFERROR(INDEX('Datos - Catálogo TIMSS'!$F$5:$F$107,MATCH(K687,'Datos - Catálogo TIMSS'!$A$5:$A$107,0)),"Pendiente de clasificar")))</f>
        <v/>
      </c>
      <c r="O687" s="11">
        <f>IF(L687="","",IFERROR(INDEX('Datos - Catálogo TIMSS'!$C$5:$C$107,MATCH(L687,'Datos - Catálogo TIMSS'!$A$5:$A$107,0)),"?"))</f>
        <v/>
      </c>
      <c r="P687" s="11" t="inlineStr">
        <is>
          <t>baja</t>
        </is>
      </c>
      <c r="Q687" s="38" t="inlineStr">
        <is>
          <t>Transmisión por engranajes v=ωr; rotación, no centrípeta</t>
        </is>
      </c>
      <c r="R687" s="38" t="inlineStr">
        <is>
          <t>Aplicar: calcular velocidades tangenciales. Razonar: justificar la relación de transmisión</t>
        </is>
      </c>
      <c r="S687" s="39">
        <f>IFERROR(ISNUMBER(SEARCH("Conocer",$R687))/(ISNUMBER(SEARCH("Conocer",$R687))+ISNUMBER(SEARCH("Aplicar",$R687))+ISNUMBER(SEARCH("Razonar",$R687))),0)</f>
        <v/>
      </c>
      <c r="T687" s="39">
        <f>IFERROR(ISNUMBER(SEARCH("Aplicar",$R687))/(ISNUMBER(SEARCH("Conocer",$R687))+ISNUMBER(SEARCH("Aplicar",$R687))+ISNUMBER(SEARCH("Razonar",$R687))),0)</f>
        <v/>
      </c>
      <c r="U687" s="39">
        <f>IFERROR(ISNUMBER(SEARCH("Razonar",$R687))/(ISNUMBER(SEARCH("Conocer",$R687))+ISNUMBER(SEARCH("Aplicar",$R687))+ISNUMBER(SEARCH("Razonar",$R687))),0)</f>
        <v/>
      </c>
      <c r="V687" s="11" t="inlineStr">
        <is>
          <t>Física 10°</t>
        </is>
      </c>
      <c r="W687" s="11" t="inlineStr">
        <is>
          <t>Física 10°–11°</t>
        </is>
      </c>
      <c r="X687" s="11">
        <f>IF(OR(IFERROR(INDEX('Datos - Catálogo TIMSS'!$I$5:$I$107,MATCH(K687,'Datos - Catálogo TIMSS'!$A$5:$A$107,0)),"No")="Sí",IFERROR(INDEX('Datos - Catálogo TIMSS'!$I$5:$I$107,MATCH(L687,'Datos - Catálogo TIMSS'!$A$5:$A$107,0)),"No")="Sí"),1,0)</f>
        <v/>
      </c>
      <c r="Y687" s="11">
        <f>IF(IFERROR(INDEX('Datos - Catálogo TIMSS'!$J$5:$J$107,MATCH(K687,'Datos - Catálogo TIMSS'!$A$5:$A$107,0)),"No")="Sí",1,0)</f>
        <v/>
      </c>
      <c r="Z687" s="11">
        <f>IF(IFERROR(INDEX('Datos - Catálogo TIMSS'!$J$5:$J$107,MATCH(L687,'Datos - Catálogo TIMSS'!$A$5:$A$107,0)),"No")="Sí",1,0)</f>
        <v/>
      </c>
      <c r="AA687" s="11" t="inlineStr">
        <is>
          <t>FUERA</t>
        </is>
      </c>
      <c r="AB687" s="11" t="inlineStr"/>
      <c r="AC687" s="11">
        <f>IF(AA687="FUERA","Fuera del marco",IF(AA687="N/A","Sin marco",IFERROR(INDEX('Datos - TIMSS 2023'!$C$5:$C$105,MATCH(AA687,'Datos - TIMSS 2023'!$A$5:$A$105,0)),"Pendiente de clasificar")))</f>
        <v/>
      </c>
      <c r="AD687" s="11" t="inlineStr">
        <is>
          <t>3. Investigar, evaluar y usar información científica para tomar decisiones y actuar</t>
        </is>
      </c>
      <c r="AE687" s="11">
        <f>IF(AD687="","",IF(LEFT(AD687,1)="1","C1",IF(LEFT(AD687,1)="2","C2",IF(LEFT(AD687,1)="3","C3",""))))</f>
        <v/>
      </c>
      <c r="AF687" s="11" t="inlineStr">
        <is>
          <t>E6</t>
        </is>
      </c>
      <c r="AG687" s="11" t="inlineStr">
        <is>
          <t>D1</t>
        </is>
      </c>
      <c r="AH687" s="11" t="inlineStr">
        <is>
          <t>E1</t>
        </is>
      </c>
      <c r="AI687" s="11" t="inlineStr">
        <is>
          <t>I1</t>
        </is>
      </c>
      <c r="AJ687" s="11" t="inlineStr">
        <is>
          <t>E3</t>
        </is>
      </c>
      <c r="AK687" s="11" t="n"/>
      <c r="AL687" s="11" t="n"/>
      <c r="AM687" s="11" t="n"/>
      <c r="AN687" s="11" t="n"/>
      <c r="AO687" s="11" t="n"/>
      <c r="AP687" s="11" t="n"/>
      <c r="AQ687" s="11" t="n"/>
      <c r="AR687" s="11" t="n"/>
      <c r="AS687" s="11" t="n"/>
      <c r="AT687" s="11" t="n"/>
      <c r="AU687" s="11" t="n"/>
      <c r="AV687" s="11" t="n"/>
      <c r="AW687" s="11">
        <f>AF687&amp;"; "&amp;AG687&amp;"; "&amp;AH687&amp;"; "&amp;AI687&amp;"; "&amp;AJ687</f>
        <v/>
      </c>
    </row>
    <row r="688">
      <c r="A688" s="11" t="inlineStr">
        <is>
          <t>T0224-G10-FÍS</t>
        </is>
      </c>
      <c r="B688" s="11" t="n">
        <v>10</v>
      </c>
      <c r="C688" s="11" t="inlineStr">
        <is>
          <t>Física</t>
        </is>
      </c>
      <c r="D688" s="11" t="inlineStr">
        <is>
          <t>Matriz_Bachillerato_Fisica_10_11.xlsx</t>
        </is>
      </c>
      <c r="E688" s="11" t="inlineStr">
        <is>
          <t>Física 10.°</t>
        </is>
      </c>
      <c r="F688" s="11" t="n">
        <v>64</v>
      </c>
      <c r="G688" s="11" t="inlineStr">
        <is>
          <t>9. Cinemática de rotación</t>
        </is>
      </c>
      <c r="H688" s="11" t="inlineStr">
        <is>
          <t>Relación entre variables angulares y tangenciales</t>
        </is>
      </c>
      <c r="I688" s="38" t="inlineStr">
        <is>
          <t>9.5. Cálculo de las componentes tangencial y centrípeta de la aceleración de un punto de un cuerpo que gira con aceleración angular.</t>
        </is>
      </c>
      <c r="J688" s="11" t="inlineStr">
        <is>
          <t>TA</t>
        </is>
      </c>
      <c r="K688" s="11" t="inlineStr">
        <is>
          <t>TA-M1.3</t>
        </is>
      </c>
      <c r="L688" s="11" t="inlineStr"/>
      <c r="M688" s="11">
        <f>IF(K688="FUERA","Fuera del marco",IF(K688="N/A","Sin marco",IFERROR(INDEX('Datos - Catálogo TIMSS'!$C$5:$C$107,MATCH(K688,'Datos - Catálogo TIMSS'!$A$5:$A$107,0)),"Pendiente de clasificar")))</f>
        <v/>
      </c>
      <c r="N688" s="11">
        <f>IF(K688="FUERA","Fuera del marco",IF(K688="N/A","Sin marco",IFERROR(INDEX('Datos - Catálogo TIMSS'!$F$5:$F$107,MATCH(K688,'Datos - Catálogo TIMSS'!$A$5:$A$107,0)),"Pendiente de clasificar")))</f>
        <v/>
      </c>
      <c r="O688" s="11">
        <f>IF(L688="","",IFERROR(INDEX('Datos - Catálogo TIMSS'!$C$5:$C$107,MATCH(L688,'Datos - Catálogo TIMSS'!$A$5:$A$107,0)),"?"))</f>
        <v/>
      </c>
      <c r="P688" s="11" t="inlineStr">
        <is>
          <t>media</t>
        </is>
      </c>
      <c r="Q688" s="38" t="inlineStr">
        <is>
          <t>Aceleración centrípeta y tangencial en rotación</t>
        </is>
      </c>
      <c r="R688" s="38" t="inlineStr">
        <is>
          <t>Aplicar: calcular componentes de la aceleración. Razonar: interpretar la dirección de la aceleración total</t>
        </is>
      </c>
      <c r="S688" s="39">
        <f>IFERROR(ISNUMBER(SEARCH("Conocer",$R688))/(ISNUMBER(SEARCH("Conocer",$R688))+ISNUMBER(SEARCH("Aplicar",$R688))+ISNUMBER(SEARCH("Razonar",$R688))),0)</f>
        <v/>
      </c>
      <c r="T688" s="39">
        <f>IFERROR(ISNUMBER(SEARCH("Aplicar",$R688))/(ISNUMBER(SEARCH("Conocer",$R688))+ISNUMBER(SEARCH("Aplicar",$R688))+ISNUMBER(SEARCH("Razonar",$R688))),0)</f>
        <v/>
      </c>
      <c r="U688" s="39">
        <f>IFERROR(ISNUMBER(SEARCH("Razonar",$R688))/(ISNUMBER(SEARCH("Conocer",$R688))+ISNUMBER(SEARCH("Aplicar",$R688))+ISNUMBER(SEARCH("Razonar",$R688))),0)</f>
        <v/>
      </c>
      <c r="V688" s="11" t="inlineStr">
        <is>
          <t>Física 10°</t>
        </is>
      </c>
      <c r="W688" s="11" t="inlineStr">
        <is>
          <t>Física 10°–11°</t>
        </is>
      </c>
      <c r="X688" s="11">
        <f>IF(OR(IFERROR(INDEX('Datos - Catálogo TIMSS'!$I$5:$I$107,MATCH(K688,'Datos - Catálogo TIMSS'!$A$5:$A$107,0)),"No")="Sí",IFERROR(INDEX('Datos - Catálogo TIMSS'!$I$5:$I$107,MATCH(L688,'Datos - Catálogo TIMSS'!$A$5:$A$107,0)),"No")="Sí"),1,0)</f>
        <v/>
      </c>
      <c r="Y688" s="11">
        <f>IF(IFERROR(INDEX('Datos - Catálogo TIMSS'!$J$5:$J$107,MATCH(K688,'Datos - Catálogo TIMSS'!$A$5:$A$107,0)),"No")="Sí",1,0)</f>
        <v/>
      </c>
      <c r="Z688" s="11">
        <f>IF(IFERROR(INDEX('Datos - Catálogo TIMSS'!$J$5:$J$107,MATCH(L688,'Datos - Catálogo TIMSS'!$A$5:$A$107,0)),"No")="Sí",1,0)</f>
        <v/>
      </c>
      <c r="AA688" s="11" t="inlineStr">
        <is>
          <t>TA-M1.3</t>
        </is>
      </c>
      <c r="AB688" s="11" t="inlineStr"/>
      <c r="AC688" s="11">
        <f>IF(AA688="FUERA","Fuera del marco",IF(AA688="N/A","Sin marco",IFERROR(INDEX('Datos - TIMSS 2023'!$C$5:$C$105,MATCH(AA688,'Datos - TIMSS 2023'!$A$5:$A$105,0)),"Pendiente de clasificar")))</f>
        <v/>
      </c>
      <c r="AD688" s="11" t="inlineStr">
        <is>
          <t>1. Explicar fenómenos científicamente</t>
        </is>
      </c>
      <c r="AE688" s="11">
        <f>IF(AD688="","",IF(LEFT(AD688,1)="1","C1",IF(LEFT(AD688,1)="2","C2",IF(LEFT(AD688,1)="3","C3",""))))</f>
        <v/>
      </c>
      <c r="AF688" s="11" t="inlineStr">
        <is>
          <t>E1</t>
        </is>
      </c>
      <c r="AG688" s="11" t="inlineStr">
        <is>
          <t>E3</t>
        </is>
      </c>
      <c r="AH688" s="11" t="inlineStr">
        <is>
          <t>E2</t>
        </is>
      </c>
      <c r="AI688" s="11" t="inlineStr">
        <is>
          <t>D4</t>
        </is>
      </c>
      <c r="AJ688" s="11" t="inlineStr">
        <is>
          <t>E3</t>
        </is>
      </c>
      <c r="AK688" s="11" t="n"/>
      <c r="AL688" s="11" t="n"/>
      <c r="AM688" s="11" t="n"/>
      <c r="AN688" s="11" t="n"/>
      <c r="AO688" s="11" t="n"/>
      <c r="AP688" s="11" t="n"/>
      <c r="AQ688" s="11" t="n"/>
      <c r="AR688" s="11" t="n"/>
      <c r="AS688" s="11" t="n"/>
      <c r="AT688" s="11" t="n"/>
      <c r="AU688" s="11" t="n"/>
      <c r="AV688" s="11" t="n"/>
      <c r="AW688" s="11">
        <f>AF688&amp;"; "&amp;AG688&amp;"; "&amp;AH688&amp;"; "&amp;AI688&amp;"; "&amp;AJ688</f>
        <v/>
      </c>
    </row>
    <row r="689">
      <c r="A689" s="11" t="inlineStr">
        <is>
          <t>T0225-G10-FÍS</t>
        </is>
      </c>
      <c r="B689" s="11" t="n">
        <v>10</v>
      </c>
      <c r="C689" s="11" t="inlineStr">
        <is>
          <t>Física</t>
        </is>
      </c>
      <c r="D689" s="11" t="inlineStr">
        <is>
          <t>Matriz_Bachillerato_Fisica_10_11.xlsx</t>
        </is>
      </c>
      <c r="E689" s="11" t="inlineStr">
        <is>
          <t>Física 10.°</t>
        </is>
      </c>
      <c r="F689" s="11" t="n">
        <v>65</v>
      </c>
      <c r="G689" s="11" t="inlineStr">
        <is>
          <t>9. Cinemática de rotación</t>
        </is>
      </c>
      <c r="H689" s="11" t="inlineStr">
        <is>
          <t>Movimiento de rodadura</t>
        </is>
      </c>
      <c r="I689" s="38" t="inlineStr">
        <is>
          <t>9.6. Análisis del movimiento de rodadura sin deslizamiento como combinación de traslación y rotación.</t>
        </is>
      </c>
      <c r="J689" s="11" t="inlineStr">
        <is>
          <t>TA</t>
        </is>
      </c>
      <c r="K689" s="11" t="inlineStr">
        <is>
          <t>FUERA</t>
        </is>
      </c>
      <c r="L689" s="11" t="inlineStr"/>
      <c r="M689" s="11">
        <f>IF(K689="FUERA","Fuera del marco",IF(K689="N/A","Sin marco",IFERROR(INDEX('Datos - Catálogo TIMSS'!$C$5:$C$107,MATCH(K689,'Datos - Catálogo TIMSS'!$A$5:$A$107,0)),"Pendiente de clasificar")))</f>
        <v/>
      </c>
      <c r="N689" s="11">
        <f>IF(K689="FUERA","Fuera del marco",IF(K689="N/A","Sin marco",IFERROR(INDEX('Datos - Catálogo TIMSS'!$F$5:$F$107,MATCH(K689,'Datos - Catálogo TIMSS'!$A$5:$A$107,0)),"Pendiente de clasificar")))</f>
        <v/>
      </c>
      <c r="O689" s="11">
        <f>IF(L689="","",IFERROR(INDEX('Datos - Catálogo TIMSS'!$C$5:$C$107,MATCH(L689,'Datos - Catálogo TIMSS'!$A$5:$A$107,0)),"?"))</f>
        <v/>
      </c>
      <c r="P689" s="11" t="inlineStr">
        <is>
          <t>media</t>
        </is>
      </c>
      <c r="Q689" s="38" t="inlineStr">
        <is>
          <t>Rodadura sin deslizamiento; cinemática rotacional</t>
        </is>
      </c>
      <c r="R689" s="38" t="inlineStr">
        <is>
          <t>Aplicar: verificar la condición de rodadura. Razonar: explicar la velocidad de los puntos de la rueda</t>
        </is>
      </c>
      <c r="S689" s="39">
        <f>IFERROR(ISNUMBER(SEARCH("Conocer",$R689))/(ISNUMBER(SEARCH("Conocer",$R689))+ISNUMBER(SEARCH("Aplicar",$R689))+ISNUMBER(SEARCH("Razonar",$R689))),0)</f>
        <v/>
      </c>
      <c r="T689" s="39">
        <f>IFERROR(ISNUMBER(SEARCH("Aplicar",$R689))/(ISNUMBER(SEARCH("Conocer",$R689))+ISNUMBER(SEARCH("Aplicar",$R689))+ISNUMBER(SEARCH("Razonar",$R689))),0)</f>
        <v/>
      </c>
      <c r="U689" s="39">
        <f>IFERROR(ISNUMBER(SEARCH("Razonar",$R689))/(ISNUMBER(SEARCH("Conocer",$R689))+ISNUMBER(SEARCH("Aplicar",$R689))+ISNUMBER(SEARCH("Razonar",$R689))),0)</f>
        <v/>
      </c>
      <c r="V689" s="11" t="inlineStr">
        <is>
          <t>Física 10°</t>
        </is>
      </c>
      <c r="W689" s="11" t="inlineStr">
        <is>
          <t>Física 10°–11°</t>
        </is>
      </c>
      <c r="X689" s="11">
        <f>IF(OR(IFERROR(INDEX('Datos - Catálogo TIMSS'!$I$5:$I$107,MATCH(K689,'Datos - Catálogo TIMSS'!$A$5:$A$107,0)),"No")="Sí",IFERROR(INDEX('Datos - Catálogo TIMSS'!$I$5:$I$107,MATCH(L689,'Datos - Catálogo TIMSS'!$A$5:$A$107,0)),"No")="Sí"),1,0)</f>
        <v/>
      </c>
      <c r="Y689" s="11">
        <f>IF(IFERROR(INDEX('Datos - Catálogo TIMSS'!$J$5:$J$107,MATCH(K689,'Datos - Catálogo TIMSS'!$A$5:$A$107,0)),"No")="Sí",1,0)</f>
        <v/>
      </c>
      <c r="Z689" s="11">
        <f>IF(IFERROR(INDEX('Datos - Catálogo TIMSS'!$J$5:$J$107,MATCH(L689,'Datos - Catálogo TIMSS'!$A$5:$A$107,0)),"No")="Sí",1,0)</f>
        <v/>
      </c>
      <c r="AA689" s="11" t="inlineStr">
        <is>
          <t>FUERA</t>
        </is>
      </c>
      <c r="AB689" s="11" t="inlineStr"/>
      <c r="AC689" s="11">
        <f>IF(AA689="FUERA","Fuera del marco",IF(AA689="N/A","Sin marco",IFERROR(INDEX('Datos - TIMSS 2023'!$C$5:$C$105,MATCH(AA689,'Datos - TIMSS 2023'!$A$5:$A$105,0)),"Pendiente de clasificar")))</f>
        <v/>
      </c>
      <c r="AD689" s="11" t="inlineStr">
        <is>
          <t>1. Explicar fenómenos científicamente</t>
        </is>
      </c>
      <c r="AE689" s="11">
        <f>IF(AD689="","",IF(LEFT(AD689,1)="1","C1",IF(LEFT(AD689,1)="2","C2",IF(LEFT(AD689,1)="3","C3",""))))</f>
        <v/>
      </c>
      <c r="AF689" s="11" t="inlineStr">
        <is>
          <t>E1</t>
        </is>
      </c>
      <c r="AG689" s="11" t="inlineStr">
        <is>
          <t>E5</t>
        </is>
      </c>
      <c r="AH689" s="11" t="inlineStr">
        <is>
          <t>E4</t>
        </is>
      </c>
      <c r="AI689" s="11" t="inlineStr">
        <is>
          <t>D4</t>
        </is>
      </c>
      <c r="AJ689" s="11" t="inlineStr">
        <is>
          <t>E3</t>
        </is>
      </c>
      <c r="AK689" s="11" t="n"/>
      <c r="AL689" s="11" t="n"/>
      <c r="AM689" s="11" t="n"/>
      <c r="AN689" s="11" t="n"/>
      <c r="AO689" s="11" t="n"/>
      <c r="AP689" s="11" t="n"/>
      <c r="AQ689" s="11" t="n"/>
      <c r="AR689" s="11" t="n"/>
      <c r="AS689" s="11" t="n"/>
      <c r="AT689" s="11" t="n"/>
      <c r="AU689" s="11" t="n"/>
      <c r="AV689" s="11" t="n"/>
      <c r="AW689" s="11">
        <f>AF689&amp;"; "&amp;AG689&amp;"; "&amp;AH689&amp;"; "&amp;AI689&amp;"; "&amp;AJ689</f>
        <v/>
      </c>
    </row>
    <row r="690">
      <c r="A690" s="11" t="inlineStr">
        <is>
          <t>T0226-G10-FÍS</t>
        </is>
      </c>
      <c r="B690" s="11" t="n">
        <v>10</v>
      </c>
      <c r="C690" s="11" t="inlineStr">
        <is>
          <t>Física</t>
        </is>
      </c>
      <c r="D690" s="11" t="inlineStr">
        <is>
          <t>Matriz_Bachillerato_Fisica_10_11.xlsx</t>
        </is>
      </c>
      <c r="E690" s="11" t="inlineStr">
        <is>
          <t>Física 10.°</t>
        </is>
      </c>
      <c r="F690" s="11" t="n">
        <v>66</v>
      </c>
      <c r="G690" s="11" t="inlineStr">
        <is>
          <t>9. Cinemática de rotación</t>
        </is>
      </c>
      <c r="H690" s="11" t="inlineStr">
        <is>
          <t>Naturaleza vectorial de las variables angulares</t>
        </is>
      </c>
      <c r="I690" s="38" t="inlineStr">
        <is>
          <t>9.7. Representación vectorial de la velocidad y la aceleración angulares mediante la regla de la mano derecha.</t>
        </is>
      </c>
      <c r="J690" s="11" t="inlineStr">
        <is>
          <t>TA</t>
        </is>
      </c>
      <c r="K690" s="11" t="inlineStr">
        <is>
          <t>FUERA</t>
        </is>
      </c>
      <c r="L690" s="11" t="inlineStr"/>
      <c r="M690" s="11">
        <f>IF(K690="FUERA","Fuera del marco",IF(K690="N/A","Sin marco",IFERROR(INDEX('Datos - Catálogo TIMSS'!$C$5:$C$107,MATCH(K690,'Datos - Catálogo TIMSS'!$A$5:$A$107,0)),"Pendiente de clasificar")))</f>
        <v/>
      </c>
      <c r="N690" s="11">
        <f>IF(K690="FUERA","Fuera del marco",IF(K690="N/A","Sin marco",IFERROR(INDEX('Datos - Catálogo TIMSS'!$F$5:$F$107,MATCH(K690,'Datos - Catálogo TIMSS'!$A$5:$A$107,0)),"Pendiente de clasificar")))</f>
        <v/>
      </c>
      <c r="O690" s="11">
        <f>IF(L690="","",IFERROR(INDEX('Datos - Catálogo TIMSS'!$C$5:$C$107,MATCH(L690,'Datos - Catálogo TIMSS'!$A$5:$A$107,0)),"?"))</f>
        <v/>
      </c>
      <c r="P690" s="11" t="inlineStr">
        <is>
          <t>alta</t>
        </is>
      </c>
      <c r="Q690" s="38" t="inlineStr">
        <is>
          <t>Vectores angulares y regla de mano derecha</t>
        </is>
      </c>
      <c r="R690" s="38" t="inlineStr">
        <is>
          <t>Conocer: identificar la dirección del vector angular. Aplicar: usar la regla de la mano derecha. Razonar: argumentar</t>
        </is>
      </c>
      <c r="S690" s="39">
        <f>IFERROR(ISNUMBER(SEARCH("Conocer",$R690))/(ISNUMBER(SEARCH("Conocer",$R690))+ISNUMBER(SEARCH("Aplicar",$R690))+ISNUMBER(SEARCH("Razonar",$R690))),0)</f>
        <v/>
      </c>
      <c r="T690" s="39">
        <f>IFERROR(ISNUMBER(SEARCH("Aplicar",$R690))/(ISNUMBER(SEARCH("Conocer",$R690))+ISNUMBER(SEARCH("Aplicar",$R690))+ISNUMBER(SEARCH("Razonar",$R690))),0)</f>
        <v/>
      </c>
      <c r="U690" s="39">
        <f>IFERROR(ISNUMBER(SEARCH("Razonar",$R690))/(ISNUMBER(SEARCH("Conocer",$R690))+ISNUMBER(SEARCH("Aplicar",$R690))+ISNUMBER(SEARCH("Razonar",$R690))),0)</f>
        <v/>
      </c>
      <c r="V690" s="11" t="inlineStr">
        <is>
          <t>Física 10°</t>
        </is>
      </c>
      <c r="W690" s="11" t="inlineStr">
        <is>
          <t>Física 10°–11°</t>
        </is>
      </c>
      <c r="X690" s="11">
        <f>IF(OR(IFERROR(INDEX('Datos - Catálogo TIMSS'!$I$5:$I$107,MATCH(K690,'Datos - Catálogo TIMSS'!$A$5:$A$107,0)),"No")="Sí",IFERROR(INDEX('Datos - Catálogo TIMSS'!$I$5:$I$107,MATCH(L690,'Datos - Catálogo TIMSS'!$A$5:$A$107,0)),"No")="Sí"),1,0)</f>
        <v/>
      </c>
      <c r="Y690" s="11">
        <f>IF(IFERROR(INDEX('Datos - Catálogo TIMSS'!$J$5:$J$107,MATCH(K690,'Datos - Catálogo TIMSS'!$A$5:$A$107,0)),"No")="Sí",1,0)</f>
        <v/>
      </c>
      <c r="Z690" s="11">
        <f>IF(IFERROR(INDEX('Datos - Catálogo TIMSS'!$J$5:$J$107,MATCH(L690,'Datos - Catálogo TIMSS'!$A$5:$A$107,0)),"No")="Sí",1,0)</f>
        <v/>
      </c>
      <c r="AA690" s="11" t="inlineStr">
        <is>
          <t>FUERA</t>
        </is>
      </c>
      <c r="AB690" s="11" t="inlineStr"/>
      <c r="AC690" s="11">
        <f>IF(AA690="FUERA","Fuera del marco",IF(AA690="N/A","Sin marco",IFERROR(INDEX('Datos - TIMSS 2023'!$C$5:$C$105,MATCH(AA690,'Datos - TIMSS 2023'!$A$5:$A$105,0)),"Pendiente de clasificar")))</f>
        <v/>
      </c>
      <c r="AD690" s="11" t="inlineStr">
        <is>
          <t>1. Explicar fenómenos científicamente</t>
        </is>
      </c>
      <c r="AE690" s="11">
        <f>IF(AD690="","",IF(LEFT(AD690,1)="1","C1",IF(LEFT(AD690,1)="2","C2",IF(LEFT(AD690,1)="3","C3",""))))</f>
        <v/>
      </c>
      <c r="AF690" s="11" t="inlineStr">
        <is>
          <t>E1</t>
        </is>
      </c>
      <c r="AG690" s="11" t="inlineStr">
        <is>
          <t>D1</t>
        </is>
      </c>
      <c r="AH690" s="11" t="inlineStr">
        <is>
          <t>E2</t>
        </is>
      </c>
      <c r="AI690" s="11" t="inlineStr">
        <is>
          <t>I3</t>
        </is>
      </c>
      <c r="AJ690" s="11" t="inlineStr">
        <is>
          <t>E3</t>
        </is>
      </c>
      <c r="AK690" s="11" t="n"/>
      <c r="AL690" s="11" t="n"/>
      <c r="AM690" s="11" t="n"/>
      <c r="AN690" s="11" t="n"/>
      <c r="AO690" s="11" t="n"/>
      <c r="AP690" s="11" t="n"/>
      <c r="AQ690" s="11" t="n"/>
      <c r="AR690" s="11" t="n"/>
      <c r="AS690" s="11" t="n"/>
      <c r="AT690" s="11" t="n"/>
      <c r="AU690" s="11" t="n"/>
      <c r="AV690" s="11" t="n"/>
      <c r="AW690" s="11">
        <f>AF690&amp;"; "&amp;AG690&amp;"; "&amp;AH690&amp;"; "&amp;AI690&amp;"; "&amp;AJ690</f>
        <v/>
      </c>
    </row>
    <row r="691">
      <c r="A691" s="11" t="inlineStr">
        <is>
          <t>T0227-G10-FÍS</t>
        </is>
      </c>
      <c r="B691" s="11" t="n">
        <v>10</v>
      </c>
      <c r="C691" s="11" t="inlineStr">
        <is>
          <t>Física</t>
        </is>
      </c>
      <c r="D691" s="11" t="inlineStr">
        <is>
          <t>Matriz_Bachillerato_Fisica_10_11.xlsx</t>
        </is>
      </c>
      <c r="E691" s="11" t="inlineStr">
        <is>
          <t>Física 10.°</t>
        </is>
      </c>
      <c r="F691" s="11" t="n">
        <v>67</v>
      </c>
      <c r="G691" s="11" t="inlineStr">
        <is>
          <t>10. Dinámica de rotación</t>
        </is>
      </c>
      <c r="H691" s="11" t="inlineStr">
        <is>
          <t>Torque y equilibrio</t>
        </is>
      </c>
      <c r="I691" s="38" t="inlineStr">
        <is>
          <t>10.1. Cálculo vectorial del torque de fuerzas aplicadas con distintos ángulos y puntos de aplicación.</t>
        </is>
      </c>
      <c r="J691" s="11" t="inlineStr">
        <is>
          <t>TA</t>
        </is>
      </c>
      <c r="K691" s="11" t="inlineStr">
        <is>
          <t>FUERA</t>
        </is>
      </c>
      <c r="L691" s="11" t="inlineStr"/>
      <c r="M691" s="11">
        <f>IF(K691="FUERA","Fuera del marco",IF(K691="N/A","Sin marco",IFERROR(INDEX('Datos - Catálogo TIMSS'!$C$5:$C$107,MATCH(K691,'Datos - Catálogo TIMSS'!$A$5:$A$107,0)),"Pendiente de clasificar")))</f>
        <v/>
      </c>
      <c r="N691" s="11">
        <f>IF(K691="FUERA","Fuera del marco",IF(K691="N/A","Sin marco",IFERROR(INDEX('Datos - Catálogo TIMSS'!$F$5:$F$107,MATCH(K691,'Datos - Catálogo TIMSS'!$A$5:$A$107,0)),"Pendiente de clasificar")))</f>
        <v/>
      </c>
      <c r="O691" s="11">
        <f>IF(L691="","",IFERROR(INDEX('Datos - Catálogo TIMSS'!$C$5:$C$107,MATCH(L691,'Datos - Catálogo TIMSS'!$A$5:$A$107,0)),"?"))</f>
        <v/>
      </c>
      <c r="P691" s="11" t="inlineStr">
        <is>
          <t>media</t>
        </is>
      </c>
      <c r="Q691" s="38" t="inlineStr">
        <is>
          <t>Torque como producto vectorial; dinámica rotacional</t>
        </is>
      </c>
      <c r="R691" s="38" t="inlineStr">
        <is>
          <t>Aplicar: calcular torques con ángulo. Razonar: justificar la dirección del torque</t>
        </is>
      </c>
      <c r="S691" s="39">
        <f>IFERROR(ISNUMBER(SEARCH("Conocer",$R691))/(ISNUMBER(SEARCH("Conocer",$R691))+ISNUMBER(SEARCH("Aplicar",$R691))+ISNUMBER(SEARCH("Razonar",$R691))),0)</f>
        <v/>
      </c>
      <c r="T691" s="39">
        <f>IFERROR(ISNUMBER(SEARCH("Aplicar",$R691))/(ISNUMBER(SEARCH("Conocer",$R691))+ISNUMBER(SEARCH("Aplicar",$R691))+ISNUMBER(SEARCH("Razonar",$R691))),0)</f>
        <v/>
      </c>
      <c r="U691" s="39">
        <f>IFERROR(ISNUMBER(SEARCH("Razonar",$R691))/(ISNUMBER(SEARCH("Conocer",$R691))+ISNUMBER(SEARCH("Aplicar",$R691))+ISNUMBER(SEARCH("Razonar",$R691))),0)</f>
        <v/>
      </c>
      <c r="V691" s="11" t="inlineStr">
        <is>
          <t>Física 10°</t>
        </is>
      </c>
      <c r="W691" s="11" t="inlineStr">
        <is>
          <t>Física 10°–11°</t>
        </is>
      </c>
      <c r="X691" s="11">
        <f>IF(OR(IFERROR(INDEX('Datos - Catálogo TIMSS'!$I$5:$I$107,MATCH(K691,'Datos - Catálogo TIMSS'!$A$5:$A$107,0)),"No")="Sí",IFERROR(INDEX('Datos - Catálogo TIMSS'!$I$5:$I$107,MATCH(L691,'Datos - Catálogo TIMSS'!$A$5:$A$107,0)),"No")="Sí"),1,0)</f>
        <v/>
      </c>
      <c r="Y691" s="11">
        <f>IF(IFERROR(INDEX('Datos - Catálogo TIMSS'!$J$5:$J$107,MATCH(K691,'Datos - Catálogo TIMSS'!$A$5:$A$107,0)),"No")="Sí",1,0)</f>
        <v/>
      </c>
      <c r="Z691" s="11">
        <f>IF(IFERROR(INDEX('Datos - Catálogo TIMSS'!$J$5:$J$107,MATCH(L691,'Datos - Catálogo TIMSS'!$A$5:$A$107,0)),"No")="Sí",1,0)</f>
        <v/>
      </c>
      <c r="AA691" s="11" t="inlineStr">
        <is>
          <t>FUERA</t>
        </is>
      </c>
      <c r="AB691" s="11" t="inlineStr"/>
      <c r="AC691" s="11">
        <f>IF(AA691="FUERA","Fuera del marco",IF(AA691="N/A","Sin marco",IFERROR(INDEX('Datos - TIMSS 2023'!$C$5:$C$105,MATCH(AA691,'Datos - TIMSS 2023'!$A$5:$A$105,0)),"Pendiente de clasificar")))</f>
        <v/>
      </c>
      <c r="AD691" s="11" t="inlineStr">
        <is>
          <t>1. Explicar fenómenos científicamente</t>
        </is>
      </c>
      <c r="AE691" s="11">
        <f>IF(AD691="","",IF(LEFT(AD691,1)="1","C1",IF(LEFT(AD691,1)="2","C2",IF(LEFT(AD691,1)="3","C3",""))))</f>
        <v/>
      </c>
      <c r="AF691" s="11" t="inlineStr">
        <is>
          <t>E1</t>
        </is>
      </c>
      <c r="AG691" s="11" t="inlineStr">
        <is>
          <t>E3</t>
        </is>
      </c>
      <c r="AH691" s="11" t="inlineStr">
        <is>
          <t>E2</t>
        </is>
      </c>
      <c r="AI691" s="11" t="inlineStr">
        <is>
          <t>D4</t>
        </is>
      </c>
      <c r="AJ691" s="11" t="inlineStr">
        <is>
          <t>E3</t>
        </is>
      </c>
      <c r="AK691" s="11" t="n"/>
      <c r="AL691" s="11" t="n"/>
      <c r="AM691" s="11" t="n"/>
      <c r="AN691" s="11" t="n"/>
      <c r="AO691" s="11" t="n"/>
      <c r="AP691" s="11" t="n"/>
      <c r="AQ691" s="11" t="n"/>
      <c r="AR691" s="11" t="n"/>
      <c r="AS691" s="11" t="n"/>
      <c r="AT691" s="11" t="n"/>
      <c r="AU691" s="11" t="n"/>
      <c r="AV691" s="11" t="n"/>
      <c r="AW691" s="11">
        <f>AF691&amp;"; "&amp;AG691&amp;"; "&amp;AH691&amp;"; "&amp;AI691&amp;"; "&amp;AJ691</f>
        <v/>
      </c>
    </row>
    <row r="692">
      <c r="A692" s="11" t="inlineStr">
        <is>
          <t>T0228-G10-FÍS</t>
        </is>
      </c>
      <c r="B692" s="11" t="n">
        <v>10</v>
      </c>
      <c r="C692" s="11" t="inlineStr">
        <is>
          <t>Física</t>
        </is>
      </c>
      <c r="D692" s="11" t="inlineStr">
        <is>
          <t>Matriz_Bachillerato_Fisica_10_11.xlsx</t>
        </is>
      </c>
      <c r="E692" s="11" t="inlineStr">
        <is>
          <t>Física 10.°</t>
        </is>
      </c>
      <c r="F692" s="11" t="n">
        <v>68</v>
      </c>
      <c r="G692" s="11" t="inlineStr">
        <is>
          <t>10. Dinámica de rotación</t>
        </is>
      </c>
      <c r="H692" s="11" t="inlineStr">
        <is>
          <t>Torque y equilibrio</t>
        </is>
      </c>
      <c r="I692" s="38" t="inlineStr">
        <is>
          <t>10.2. Resolución de problemas de sólidos rígidos en equilibrio aplicando las dos condiciones de equilibrio y funciones trigonométricas.</t>
        </is>
      </c>
      <c r="J692" s="11" t="inlineStr">
        <is>
          <t>TA</t>
        </is>
      </c>
      <c r="K692" s="11" t="inlineStr">
        <is>
          <t>TA-M1.2</t>
        </is>
      </c>
      <c r="L692" s="11" t="inlineStr"/>
      <c r="M692" s="11">
        <f>IF(K692="FUERA","Fuera del marco",IF(K692="N/A","Sin marco",IFERROR(INDEX('Datos - Catálogo TIMSS'!$C$5:$C$107,MATCH(K692,'Datos - Catálogo TIMSS'!$A$5:$A$107,0)),"Pendiente de clasificar")))</f>
        <v/>
      </c>
      <c r="N692" s="11">
        <f>IF(K692="FUERA","Fuera del marco",IF(K692="N/A","Sin marco",IFERROR(INDEX('Datos - Catálogo TIMSS'!$F$5:$F$107,MATCH(K692,'Datos - Catálogo TIMSS'!$A$5:$A$107,0)),"Pendiente de clasificar")))</f>
        <v/>
      </c>
      <c r="O692" s="11">
        <f>IF(L692="","",IFERROR(INDEX('Datos - Catálogo TIMSS'!$C$5:$C$107,MATCH(L692,'Datos - Catálogo TIMSS'!$A$5:$A$107,0)),"?"))</f>
        <v/>
      </c>
      <c r="P692" s="11" t="inlineStr">
        <is>
          <t>baja</t>
        </is>
      </c>
      <c r="Q692" s="38" t="inlineStr">
        <is>
          <t>Equilibrio de sólido rígido: tensiones y reacciones con torque</t>
        </is>
      </c>
      <c r="R692" s="38" t="inlineStr">
        <is>
          <t>Aplicar: resolver sistemas de ecuaciones de equilibrio. Razonar: predecir cambios en las tensiones</t>
        </is>
      </c>
      <c r="S692" s="39">
        <f>IFERROR(ISNUMBER(SEARCH("Conocer",$R692))/(ISNUMBER(SEARCH("Conocer",$R692))+ISNUMBER(SEARCH("Aplicar",$R692))+ISNUMBER(SEARCH("Razonar",$R692))),0)</f>
        <v/>
      </c>
      <c r="T692" s="39">
        <f>IFERROR(ISNUMBER(SEARCH("Aplicar",$R692))/(ISNUMBER(SEARCH("Conocer",$R692))+ISNUMBER(SEARCH("Aplicar",$R692))+ISNUMBER(SEARCH("Razonar",$R692))),0)</f>
        <v/>
      </c>
      <c r="U692" s="39">
        <f>IFERROR(ISNUMBER(SEARCH("Razonar",$R692))/(ISNUMBER(SEARCH("Conocer",$R692))+ISNUMBER(SEARCH("Aplicar",$R692))+ISNUMBER(SEARCH("Razonar",$R692))),0)</f>
        <v/>
      </c>
      <c r="V692" s="11" t="inlineStr">
        <is>
          <t>Física 10°</t>
        </is>
      </c>
      <c r="W692" s="11" t="inlineStr">
        <is>
          <t>Física 10°–11°</t>
        </is>
      </c>
      <c r="X692" s="11">
        <f>IF(OR(IFERROR(INDEX('Datos - Catálogo TIMSS'!$I$5:$I$107,MATCH(K692,'Datos - Catálogo TIMSS'!$A$5:$A$107,0)),"No")="Sí",IFERROR(INDEX('Datos - Catálogo TIMSS'!$I$5:$I$107,MATCH(L692,'Datos - Catálogo TIMSS'!$A$5:$A$107,0)),"No")="Sí"),1,0)</f>
        <v/>
      </c>
      <c r="Y692" s="11">
        <f>IF(IFERROR(INDEX('Datos - Catálogo TIMSS'!$J$5:$J$107,MATCH(K692,'Datos - Catálogo TIMSS'!$A$5:$A$107,0)),"No")="Sí",1,0)</f>
        <v/>
      </c>
      <c r="Z692" s="11">
        <f>IF(IFERROR(INDEX('Datos - Catálogo TIMSS'!$J$5:$J$107,MATCH(L692,'Datos - Catálogo TIMSS'!$A$5:$A$107,0)),"No")="Sí",1,0)</f>
        <v/>
      </c>
      <c r="AA692" s="11" t="inlineStr">
        <is>
          <t>TA-M1.2</t>
        </is>
      </c>
      <c r="AB692" s="11" t="inlineStr"/>
      <c r="AC692" s="11">
        <f>IF(AA692="FUERA","Fuera del marco",IF(AA692="N/A","Sin marco",IFERROR(INDEX('Datos - TIMSS 2023'!$C$5:$C$105,MATCH(AA692,'Datos - TIMSS 2023'!$A$5:$A$105,0)),"Pendiente de clasificar")))</f>
        <v/>
      </c>
      <c r="AD692" s="11" t="inlineStr">
        <is>
          <t>1. Explicar fenómenos científicamente</t>
        </is>
      </c>
      <c r="AE692" s="11">
        <f>IF(AD692="","",IF(LEFT(AD692,1)="1","C1",IF(LEFT(AD692,1)="2","C2",IF(LEFT(AD692,1)="3","C3",""))))</f>
        <v/>
      </c>
      <c r="AF692" s="11" t="inlineStr">
        <is>
          <t>E6</t>
        </is>
      </c>
      <c r="AG692" s="11" t="inlineStr">
        <is>
          <t>D1</t>
        </is>
      </c>
      <c r="AH692" s="11" t="inlineStr">
        <is>
          <t>E4</t>
        </is>
      </c>
      <c r="AI692" s="11" t="inlineStr">
        <is>
          <t>D2</t>
        </is>
      </c>
      <c r="AJ692" s="11" t="inlineStr">
        <is>
          <t>E3</t>
        </is>
      </c>
      <c r="AK692" s="11" t="n"/>
      <c r="AL692" s="11" t="n"/>
      <c r="AM692" s="11" t="n"/>
      <c r="AN692" s="11" t="n"/>
      <c r="AO692" s="11" t="n"/>
      <c r="AP692" s="11" t="n"/>
      <c r="AQ692" s="11" t="n"/>
      <c r="AR692" s="11" t="n"/>
      <c r="AS692" s="11" t="n"/>
      <c r="AT692" s="11" t="n"/>
      <c r="AU692" s="11" t="n"/>
      <c r="AV692" s="11" t="n"/>
      <c r="AW692" s="11">
        <f>AF692&amp;"; "&amp;AG692&amp;"; "&amp;AH692&amp;"; "&amp;AI692&amp;"; "&amp;AJ692</f>
        <v/>
      </c>
    </row>
    <row r="693">
      <c r="A693" s="11" t="inlineStr">
        <is>
          <t>T0229-G10-FÍS</t>
        </is>
      </c>
      <c r="B693" s="11" t="n">
        <v>10</v>
      </c>
      <c r="C693" s="11" t="inlineStr">
        <is>
          <t>Física</t>
        </is>
      </c>
      <c r="D693" s="11" t="inlineStr">
        <is>
          <t>Matriz_Bachillerato_Fisica_10_11.xlsx</t>
        </is>
      </c>
      <c r="E693" s="11" t="inlineStr">
        <is>
          <t>Física 10.°</t>
        </is>
      </c>
      <c r="F693" s="11" t="n">
        <v>69</v>
      </c>
      <c r="G693" s="11" t="inlineStr">
        <is>
          <t>10. Dinámica de rotación</t>
        </is>
      </c>
      <c r="H693" s="11" t="inlineStr">
        <is>
          <t>Centro de gravedad y estabilidad</t>
        </is>
      </c>
      <c r="I693" s="38" t="inlineStr">
        <is>
          <t>10.3. Cálculo del centro de gravedad de cuerpos compuestos y predicción de su estabilidad frente al vuelco.</t>
        </is>
      </c>
      <c r="J693" s="11" t="inlineStr">
        <is>
          <t>TA</t>
        </is>
      </c>
      <c r="K693" s="11" t="inlineStr">
        <is>
          <t>FUERA</t>
        </is>
      </c>
      <c r="L693" s="11" t="inlineStr"/>
      <c r="M693" s="11">
        <f>IF(K693="FUERA","Fuera del marco",IF(K693="N/A","Sin marco",IFERROR(INDEX('Datos - Catálogo TIMSS'!$C$5:$C$107,MATCH(K693,'Datos - Catálogo TIMSS'!$A$5:$A$107,0)),"Pendiente de clasificar")))</f>
        <v/>
      </c>
      <c r="N693" s="11">
        <f>IF(K693="FUERA","Fuera del marco",IF(K693="N/A","Sin marco",IFERROR(INDEX('Datos - Catálogo TIMSS'!$F$5:$F$107,MATCH(K693,'Datos - Catálogo TIMSS'!$A$5:$A$107,0)),"Pendiente de clasificar")))</f>
        <v/>
      </c>
      <c r="O693" s="11">
        <f>IF(L693="","",IFERROR(INDEX('Datos - Catálogo TIMSS'!$C$5:$C$107,MATCH(L693,'Datos - Catálogo TIMSS'!$A$5:$A$107,0)),"?"))</f>
        <v/>
      </c>
      <c r="P693" s="11" t="inlineStr">
        <is>
          <t>media</t>
        </is>
      </c>
      <c r="Q693" s="38" t="inlineStr">
        <is>
          <t>Centro de gravedad y estabilidad al vuelco</t>
        </is>
      </c>
      <c r="R693" s="38" t="inlineStr">
        <is>
          <t>Aplicar: calcular el centro de gravedad. Razonar: predecir el ángulo de vuelco</t>
        </is>
      </c>
      <c r="S693" s="39">
        <f>IFERROR(ISNUMBER(SEARCH("Conocer",$R693))/(ISNUMBER(SEARCH("Conocer",$R693))+ISNUMBER(SEARCH("Aplicar",$R693))+ISNUMBER(SEARCH("Razonar",$R693))),0)</f>
        <v/>
      </c>
      <c r="T693" s="39">
        <f>IFERROR(ISNUMBER(SEARCH("Aplicar",$R693))/(ISNUMBER(SEARCH("Conocer",$R693))+ISNUMBER(SEARCH("Aplicar",$R693))+ISNUMBER(SEARCH("Razonar",$R693))),0)</f>
        <v/>
      </c>
      <c r="U693" s="39">
        <f>IFERROR(ISNUMBER(SEARCH("Razonar",$R693))/(ISNUMBER(SEARCH("Conocer",$R693))+ISNUMBER(SEARCH("Aplicar",$R693))+ISNUMBER(SEARCH("Razonar",$R693))),0)</f>
        <v/>
      </c>
      <c r="V693" s="11" t="inlineStr">
        <is>
          <t>Física 10°</t>
        </is>
      </c>
      <c r="W693" s="11" t="inlineStr">
        <is>
          <t>Física 10°–11°</t>
        </is>
      </c>
      <c r="X693" s="11">
        <f>IF(OR(IFERROR(INDEX('Datos - Catálogo TIMSS'!$I$5:$I$107,MATCH(K693,'Datos - Catálogo TIMSS'!$A$5:$A$107,0)),"No")="Sí",IFERROR(INDEX('Datos - Catálogo TIMSS'!$I$5:$I$107,MATCH(L693,'Datos - Catálogo TIMSS'!$A$5:$A$107,0)),"No")="Sí"),1,0)</f>
        <v/>
      </c>
      <c r="Y693" s="11">
        <f>IF(IFERROR(INDEX('Datos - Catálogo TIMSS'!$J$5:$J$107,MATCH(K693,'Datos - Catálogo TIMSS'!$A$5:$A$107,0)),"No")="Sí",1,0)</f>
        <v/>
      </c>
      <c r="Z693" s="11">
        <f>IF(IFERROR(INDEX('Datos - Catálogo TIMSS'!$J$5:$J$107,MATCH(L693,'Datos - Catálogo TIMSS'!$A$5:$A$107,0)),"No")="Sí",1,0)</f>
        <v/>
      </c>
      <c r="AA693" s="11" t="inlineStr">
        <is>
          <t>FUERA</t>
        </is>
      </c>
      <c r="AB693" s="11" t="inlineStr"/>
      <c r="AC693" s="11">
        <f>IF(AA693="FUERA","Fuera del marco",IF(AA693="N/A","Sin marco",IFERROR(INDEX('Datos - TIMSS 2023'!$C$5:$C$105,MATCH(AA693,'Datos - TIMSS 2023'!$A$5:$A$105,0)),"Pendiente de clasificar")))</f>
        <v/>
      </c>
      <c r="AD693" s="11" t="inlineStr">
        <is>
          <t>1. Explicar fenómenos científicamente</t>
        </is>
      </c>
      <c r="AE693" s="11">
        <f>IF(AD693="","",IF(LEFT(AD693,1)="1","C1",IF(LEFT(AD693,1)="2","C2",IF(LEFT(AD693,1)="3","C3",""))))</f>
        <v/>
      </c>
      <c r="AF693" s="11" t="inlineStr">
        <is>
          <t>E6</t>
        </is>
      </c>
      <c r="AG693" s="11" t="inlineStr">
        <is>
          <t>E5</t>
        </is>
      </c>
      <c r="AH693" s="11" t="inlineStr">
        <is>
          <t>E1</t>
        </is>
      </c>
      <c r="AI693" s="11" t="inlineStr">
        <is>
          <t>D4</t>
        </is>
      </c>
      <c r="AJ693" s="11" t="inlineStr">
        <is>
          <t>E6</t>
        </is>
      </c>
      <c r="AK693" s="11" t="n"/>
      <c r="AL693" s="11" t="n"/>
      <c r="AM693" s="11" t="n"/>
      <c r="AN693" s="11" t="n"/>
      <c r="AO693" s="11" t="n"/>
      <c r="AP693" s="11" t="n"/>
      <c r="AQ693" s="11" t="n"/>
      <c r="AR693" s="11" t="n"/>
      <c r="AS693" s="11" t="n"/>
      <c r="AT693" s="11" t="n"/>
      <c r="AU693" s="11" t="n"/>
      <c r="AV693" s="11" t="n"/>
      <c r="AW693" s="11">
        <f>AF693&amp;"; "&amp;AG693&amp;"; "&amp;AH693&amp;"; "&amp;AI693&amp;"; "&amp;AJ693</f>
        <v/>
      </c>
    </row>
    <row r="694">
      <c r="A694" s="11" t="inlineStr">
        <is>
          <t>T0230-G10-FÍS</t>
        </is>
      </c>
      <c r="B694" s="11" t="n">
        <v>10</v>
      </c>
      <c r="C694" s="11" t="inlineStr">
        <is>
          <t>Física</t>
        </is>
      </c>
      <c r="D694" s="11" t="inlineStr">
        <is>
          <t>Matriz_Bachillerato_Fisica_10_11.xlsx</t>
        </is>
      </c>
      <c r="E694" s="11" t="inlineStr">
        <is>
          <t>Física 10.°</t>
        </is>
      </c>
      <c r="F694" s="11" t="n">
        <v>70</v>
      </c>
      <c r="G694" s="11" t="inlineStr">
        <is>
          <t>10. Dinámica de rotación</t>
        </is>
      </c>
      <c r="H694" s="11" t="inlineStr">
        <is>
          <t>Segunda ley de Newton para la rotación</t>
        </is>
      </c>
      <c r="I694" s="38" t="inlineStr">
        <is>
          <t>10.4. Aplicación de la segunda ley de Newton para la rotación en sistemas con poleas y cuerpos de distinta forma.</t>
        </is>
      </c>
      <c r="J694" s="11" t="inlineStr">
        <is>
          <t>TA</t>
        </is>
      </c>
      <c r="K694" s="11" t="inlineStr">
        <is>
          <t>FUERA</t>
        </is>
      </c>
      <c r="L694" s="11" t="inlineStr"/>
      <c r="M694" s="11">
        <f>IF(K694="FUERA","Fuera del marco",IF(K694="N/A","Sin marco",IFERROR(INDEX('Datos - Catálogo TIMSS'!$C$5:$C$107,MATCH(K694,'Datos - Catálogo TIMSS'!$A$5:$A$107,0)),"Pendiente de clasificar")))</f>
        <v/>
      </c>
      <c r="N694" s="11">
        <f>IF(K694="FUERA","Fuera del marco",IF(K694="N/A","Sin marco",IFERROR(INDEX('Datos - Catálogo TIMSS'!$F$5:$F$107,MATCH(K694,'Datos - Catálogo TIMSS'!$A$5:$A$107,0)),"Pendiente de clasificar")))</f>
        <v/>
      </c>
      <c r="O694" s="11">
        <f>IF(L694="","",IFERROR(INDEX('Datos - Catálogo TIMSS'!$C$5:$C$107,MATCH(L694,'Datos - Catálogo TIMSS'!$A$5:$A$107,0)),"?"))</f>
        <v/>
      </c>
      <c r="P694" s="11" t="inlineStr">
        <is>
          <t>alta</t>
        </is>
      </c>
      <c r="Q694" s="38" t="inlineStr">
        <is>
          <t>Segunda ley rotacional y momento de inercia</t>
        </is>
      </c>
      <c r="R694" s="38" t="inlineStr">
        <is>
          <t>Aplicar: calcular el momento de inercia. Razonar: comparar valores experimentales y teóricos</t>
        </is>
      </c>
      <c r="S694" s="39">
        <f>IFERROR(ISNUMBER(SEARCH("Conocer",$R694))/(ISNUMBER(SEARCH("Conocer",$R694))+ISNUMBER(SEARCH("Aplicar",$R694))+ISNUMBER(SEARCH("Razonar",$R694))),0)</f>
        <v/>
      </c>
      <c r="T694" s="39">
        <f>IFERROR(ISNUMBER(SEARCH("Aplicar",$R694))/(ISNUMBER(SEARCH("Conocer",$R694))+ISNUMBER(SEARCH("Aplicar",$R694))+ISNUMBER(SEARCH("Razonar",$R694))),0)</f>
        <v/>
      </c>
      <c r="U694" s="39">
        <f>IFERROR(ISNUMBER(SEARCH("Razonar",$R694))/(ISNUMBER(SEARCH("Conocer",$R694))+ISNUMBER(SEARCH("Aplicar",$R694))+ISNUMBER(SEARCH("Razonar",$R694))),0)</f>
        <v/>
      </c>
      <c r="V694" s="11" t="inlineStr">
        <is>
          <t>Física 10°</t>
        </is>
      </c>
      <c r="W694" s="11" t="inlineStr">
        <is>
          <t>Física 10°–11°</t>
        </is>
      </c>
      <c r="X694" s="11">
        <f>IF(OR(IFERROR(INDEX('Datos - Catálogo TIMSS'!$I$5:$I$107,MATCH(K694,'Datos - Catálogo TIMSS'!$A$5:$A$107,0)),"No")="Sí",IFERROR(INDEX('Datos - Catálogo TIMSS'!$I$5:$I$107,MATCH(L694,'Datos - Catálogo TIMSS'!$A$5:$A$107,0)),"No")="Sí"),1,0)</f>
        <v/>
      </c>
      <c r="Y694" s="11">
        <f>IF(IFERROR(INDEX('Datos - Catálogo TIMSS'!$J$5:$J$107,MATCH(K694,'Datos - Catálogo TIMSS'!$A$5:$A$107,0)),"No")="Sí",1,0)</f>
        <v/>
      </c>
      <c r="Z694" s="11">
        <f>IF(IFERROR(INDEX('Datos - Catálogo TIMSS'!$J$5:$J$107,MATCH(L694,'Datos - Catálogo TIMSS'!$A$5:$A$107,0)),"No")="Sí",1,0)</f>
        <v/>
      </c>
      <c r="AA694" s="11" t="inlineStr">
        <is>
          <t>FUERA</t>
        </is>
      </c>
      <c r="AB694" s="11" t="inlineStr"/>
      <c r="AC694" s="11">
        <f>IF(AA694="FUERA","Fuera del marco",IF(AA694="N/A","Sin marco",IFERROR(INDEX('Datos - TIMSS 2023'!$C$5:$C$105,MATCH(AA694,'Datos - TIMSS 2023'!$A$5:$A$105,0)),"Pendiente de clasificar")))</f>
        <v/>
      </c>
      <c r="AD694" s="11" t="inlineStr">
        <is>
          <t>2. Construir y evaluar diseños para la indagación científica e interpretar datos y evidencia de forma crítica</t>
        </is>
      </c>
      <c r="AE694" s="11">
        <f>IF(AD694="","",IF(LEFT(AD694,1)="1","C1",IF(LEFT(AD694,1)="2","C2",IF(LEFT(AD694,1)="3","C3",""))))</f>
        <v/>
      </c>
      <c r="AF694" s="11" t="inlineStr">
        <is>
          <t>E1</t>
        </is>
      </c>
      <c r="AG694" s="11" t="inlineStr">
        <is>
          <t>D1</t>
        </is>
      </c>
      <c r="AH694" s="11" t="inlineStr">
        <is>
          <t>E4</t>
        </is>
      </c>
      <c r="AI694" s="11" t="inlineStr">
        <is>
          <t>D4</t>
        </is>
      </c>
      <c r="AJ694" s="11" t="inlineStr">
        <is>
          <t>E3</t>
        </is>
      </c>
      <c r="AK694" s="11" t="n"/>
      <c r="AL694" s="11" t="n"/>
      <c r="AM694" s="11" t="n"/>
      <c r="AN694" s="11" t="n"/>
      <c r="AO694" s="11" t="n"/>
      <c r="AP694" s="11" t="n"/>
      <c r="AQ694" s="11" t="n"/>
      <c r="AR694" s="11" t="n"/>
      <c r="AS694" s="11" t="n"/>
      <c r="AT694" s="11" t="n"/>
      <c r="AU694" s="11" t="n"/>
      <c r="AV694" s="11" t="n"/>
      <c r="AW694" s="11">
        <f>AF694&amp;"; "&amp;AG694&amp;"; "&amp;AH694&amp;"; "&amp;AI694&amp;"; "&amp;AJ694</f>
        <v/>
      </c>
    </row>
    <row r="695">
      <c r="A695" s="11" t="inlineStr">
        <is>
          <t>T0231-G10-FÍS</t>
        </is>
      </c>
      <c r="B695" s="11" t="n">
        <v>10</v>
      </c>
      <c r="C695" s="11" t="inlineStr">
        <is>
          <t>Física</t>
        </is>
      </c>
      <c r="D695" s="11" t="inlineStr">
        <is>
          <t>Matriz_Bachillerato_Fisica_10_11.xlsx</t>
        </is>
      </c>
      <c r="E695" s="11" t="inlineStr">
        <is>
          <t>Física 10.°</t>
        </is>
      </c>
      <c r="F695" s="11" t="n">
        <v>71</v>
      </c>
      <c r="G695" s="11" t="inlineStr">
        <is>
          <t>10. Dinámica de rotación</t>
        </is>
      </c>
      <c r="H695" s="11" t="inlineStr">
        <is>
          <t>Energía y momento angular</t>
        </is>
      </c>
      <c r="I695" s="38" t="inlineStr">
        <is>
          <t>10.5. Aplicación de la conservación de la energía a cuerpos que ruedan combinando energía cinética de traslación y de rotación.</t>
        </is>
      </c>
      <c r="J695" s="11" t="inlineStr">
        <is>
          <t>TA</t>
        </is>
      </c>
      <c r="K695" s="11" t="inlineStr">
        <is>
          <t>TA-M2.1</t>
        </is>
      </c>
      <c r="L695" s="11" t="inlineStr"/>
      <c r="M695" s="11">
        <f>IF(K695="FUERA","Fuera del marco",IF(K695="N/A","Sin marco",IFERROR(INDEX('Datos - Catálogo TIMSS'!$C$5:$C$107,MATCH(K695,'Datos - Catálogo TIMSS'!$A$5:$A$107,0)),"Pendiente de clasificar")))</f>
        <v/>
      </c>
      <c r="N695" s="11">
        <f>IF(K695="FUERA","Fuera del marco",IF(K695="N/A","Sin marco",IFERROR(INDEX('Datos - Catálogo TIMSS'!$F$5:$F$107,MATCH(K695,'Datos - Catálogo TIMSS'!$A$5:$A$107,0)),"Pendiente de clasificar")))</f>
        <v/>
      </c>
      <c r="O695" s="11">
        <f>IF(L695="","",IFERROR(INDEX('Datos - Catálogo TIMSS'!$C$5:$C$107,MATCH(L695,'Datos - Catálogo TIMSS'!$A$5:$A$107,0)),"?"))</f>
        <v/>
      </c>
      <c r="P695" s="11" t="inlineStr">
        <is>
          <t>media</t>
        </is>
      </c>
      <c r="Q695" s="38" t="inlineStr">
        <is>
          <t>Conservación de energía con rodadura</t>
        </is>
      </c>
      <c r="R695" s="38" t="inlineStr">
        <is>
          <t>Aplicar: calcular la rapidez con energía rotacional. Razonar: criticar argumentos con datos</t>
        </is>
      </c>
      <c r="S695" s="39">
        <f>IFERROR(ISNUMBER(SEARCH("Conocer",$R695))/(ISNUMBER(SEARCH("Conocer",$R695))+ISNUMBER(SEARCH("Aplicar",$R695))+ISNUMBER(SEARCH("Razonar",$R695))),0)</f>
        <v/>
      </c>
      <c r="T695" s="39">
        <f>IFERROR(ISNUMBER(SEARCH("Aplicar",$R695))/(ISNUMBER(SEARCH("Conocer",$R695))+ISNUMBER(SEARCH("Aplicar",$R695))+ISNUMBER(SEARCH("Razonar",$R695))),0)</f>
        <v/>
      </c>
      <c r="U695" s="39">
        <f>IFERROR(ISNUMBER(SEARCH("Razonar",$R695))/(ISNUMBER(SEARCH("Conocer",$R695))+ISNUMBER(SEARCH("Aplicar",$R695))+ISNUMBER(SEARCH("Razonar",$R695))),0)</f>
        <v/>
      </c>
      <c r="V695" s="11" t="inlineStr">
        <is>
          <t>Física 10°</t>
        </is>
      </c>
      <c r="W695" s="11" t="inlineStr">
        <is>
          <t>Física 10°–11°</t>
        </is>
      </c>
      <c r="X695" s="11">
        <f>IF(OR(IFERROR(INDEX('Datos - Catálogo TIMSS'!$I$5:$I$107,MATCH(K695,'Datos - Catálogo TIMSS'!$A$5:$A$107,0)),"No")="Sí",IFERROR(INDEX('Datos - Catálogo TIMSS'!$I$5:$I$107,MATCH(L695,'Datos - Catálogo TIMSS'!$A$5:$A$107,0)),"No")="Sí"),1,0)</f>
        <v/>
      </c>
      <c r="Y695" s="11">
        <f>IF(IFERROR(INDEX('Datos - Catálogo TIMSS'!$J$5:$J$107,MATCH(K695,'Datos - Catálogo TIMSS'!$A$5:$A$107,0)),"No")="Sí",1,0)</f>
        <v/>
      </c>
      <c r="Z695" s="11">
        <f>IF(IFERROR(INDEX('Datos - Catálogo TIMSS'!$J$5:$J$107,MATCH(L695,'Datos - Catálogo TIMSS'!$A$5:$A$107,0)),"No")="Sí",1,0)</f>
        <v/>
      </c>
      <c r="AA695" s="11" t="inlineStr">
        <is>
          <t>TA-M2.1</t>
        </is>
      </c>
      <c r="AB695" s="11" t="inlineStr"/>
      <c r="AC695" s="11">
        <f>IF(AA695="FUERA","Fuera del marco",IF(AA695="N/A","Sin marco",IFERROR(INDEX('Datos - TIMSS 2023'!$C$5:$C$105,MATCH(AA695,'Datos - TIMSS 2023'!$A$5:$A$105,0)),"Pendiente de clasificar")))</f>
        <v/>
      </c>
      <c r="AD695" s="11" t="inlineStr">
        <is>
          <t>3. Investigar, evaluar y usar información científica para tomar decisiones y actuar</t>
        </is>
      </c>
      <c r="AE695" s="11">
        <f>IF(AD695="","",IF(LEFT(AD695,1)="1","C1",IF(LEFT(AD695,1)="2","C2",IF(LEFT(AD695,1)="3","C3",""))))</f>
        <v/>
      </c>
      <c r="AF695" s="11" t="inlineStr">
        <is>
          <t>E6</t>
        </is>
      </c>
      <c r="AG695" s="11" t="inlineStr">
        <is>
          <t>E3</t>
        </is>
      </c>
      <c r="AH695" s="11" t="inlineStr">
        <is>
          <t>E1</t>
        </is>
      </c>
      <c r="AI695" s="11" t="inlineStr">
        <is>
          <t>D4</t>
        </is>
      </c>
      <c r="AJ695" s="11" t="inlineStr">
        <is>
          <t>I4</t>
        </is>
      </c>
      <c r="AK695" s="11" t="n"/>
      <c r="AL695" s="11" t="n"/>
      <c r="AM695" s="11" t="n"/>
      <c r="AN695" s="11" t="n"/>
      <c r="AO695" s="11" t="n"/>
      <c r="AP695" s="11" t="n"/>
      <c r="AQ695" s="11" t="n"/>
      <c r="AR695" s="11" t="n"/>
      <c r="AS695" s="11" t="n"/>
      <c r="AT695" s="11" t="n"/>
      <c r="AU695" s="11" t="n"/>
      <c r="AV695" s="11" t="n"/>
      <c r="AW695" s="11">
        <f>AF695&amp;"; "&amp;AG695&amp;"; "&amp;AH695&amp;"; "&amp;AI695&amp;"; "&amp;AJ695</f>
        <v/>
      </c>
    </row>
    <row r="696">
      <c r="A696" s="11" t="inlineStr">
        <is>
          <t>T0232-G10-FÍS</t>
        </is>
      </c>
      <c r="B696" s="11" t="n">
        <v>10</v>
      </c>
      <c r="C696" s="11" t="inlineStr">
        <is>
          <t>Física</t>
        </is>
      </c>
      <c r="D696" s="11" t="inlineStr">
        <is>
          <t>Matriz_Bachillerato_Fisica_10_11.xlsx</t>
        </is>
      </c>
      <c r="E696" s="11" t="inlineStr">
        <is>
          <t>Física 10.°</t>
        </is>
      </c>
      <c r="F696" s="11" t="n">
        <v>72</v>
      </c>
      <c r="G696" s="11" t="inlineStr">
        <is>
          <t>10. Dinámica de rotación</t>
        </is>
      </c>
      <c r="H696" s="11" t="inlineStr">
        <is>
          <t>Energía y momento angular</t>
        </is>
      </c>
      <c r="I696" s="38" t="inlineStr">
        <is>
          <t>10.6. Aplicación de la conservación del momento angular en sistemas que cambian su momento de inercia.</t>
        </is>
      </c>
      <c r="J696" s="11" t="inlineStr">
        <is>
          <t>TA</t>
        </is>
      </c>
      <c r="K696" s="11" t="inlineStr">
        <is>
          <t>FUERA</t>
        </is>
      </c>
      <c r="L696" s="11" t="inlineStr"/>
      <c r="M696" s="11">
        <f>IF(K696="FUERA","Fuera del marco",IF(K696="N/A","Sin marco",IFERROR(INDEX('Datos - Catálogo TIMSS'!$C$5:$C$107,MATCH(K696,'Datos - Catálogo TIMSS'!$A$5:$A$107,0)),"Pendiente de clasificar")))</f>
        <v/>
      </c>
      <c r="N696" s="11">
        <f>IF(K696="FUERA","Fuera del marco",IF(K696="N/A","Sin marco",IFERROR(INDEX('Datos - Catálogo TIMSS'!$F$5:$F$107,MATCH(K696,'Datos - Catálogo TIMSS'!$A$5:$A$107,0)),"Pendiente de clasificar")))</f>
        <v/>
      </c>
      <c r="O696" s="11">
        <f>IF(L696="","",IFERROR(INDEX('Datos - Catálogo TIMSS'!$C$5:$C$107,MATCH(L696,'Datos - Catálogo TIMSS'!$A$5:$A$107,0)),"?"))</f>
        <v/>
      </c>
      <c r="P696" s="11" t="inlineStr">
        <is>
          <t>alta</t>
        </is>
      </c>
      <c r="Q696" s="38" t="inlineStr">
        <is>
          <t>Conservación del momento angular, no está en el marco</t>
        </is>
      </c>
      <c r="R696" s="38" t="inlineStr">
        <is>
          <t>Aplicar: calcular con la conservación del momento angular. Razonar: explicar el cambio de energía</t>
        </is>
      </c>
      <c r="S696" s="39">
        <f>IFERROR(ISNUMBER(SEARCH("Conocer",$R696))/(ISNUMBER(SEARCH("Conocer",$R696))+ISNUMBER(SEARCH("Aplicar",$R696))+ISNUMBER(SEARCH("Razonar",$R696))),0)</f>
        <v/>
      </c>
      <c r="T696" s="39">
        <f>IFERROR(ISNUMBER(SEARCH("Aplicar",$R696))/(ISNUMBER(SEARCH("Conocer",$R696))+ISNUMBER(SEARCH("Aplicar",$R696))+ISNUMBER(SEARCH("Razonar",$R696))),0)</f>
        <v/>
      </c>
      <c r="U696" s="39">
        <f>IFERROR(ISNUMBER(SEARCH("Razonar",$R696))/(ISNUMBER(SEARCH("Conocer",$R696))+ISNUMBER(SEARCH("Aplicar",$R696))+ISNUMBER(SEARCH("Razonar",$R696))),0)</f>
        <v/>
      </c>
      <c r="V696" s="11" t="inlineStr">
        <is>
          <t>Física 10°</t>
        </is>
      </c>
      <c r="W696" s="11" t="inlineStr">
        <is>
          <t>Física 10°–11°</t>
        </is>
      </c>
      <c r="X696" s="11">
        <f>IF(OR(IFERROR(INDEX('Datos - Catálogo TIMSS'!$I$5:$I$107,MATCH(K696,'Datos - Catálogo TIMSS'!$A$5:$A$107,0)),"No")="Sí",IFERROR(INDEX('Datos - Catálogo TIMSS'!$I$5:$I$107,MATCH(L696,'Datos - Catálogo TIMSS'!$A$5:$A$107,0)),"No")="Sí"),1,0)</f>
        <v/>
      </c>
      <c r="Y696" s="11">
        <f>IF(IFERROR(INDEX('Datos - Catálogo TIMSS'!$J$5:$J$107,MATCH(K696,'Datos - Catálogo TIMSS'!$A$5:$A$107,0)),"No")="Sí",1,0)</f>
        <v/>
      </c>
      <c r="Z696" s="11">
        <f>IF(IFERROR(INDEX('Datos - Catálogo TIMSS'!$J$5:$J$107,MATCH(L696,'Datos - Catálogo TIMSS'!$A$5:$A$107,0)),"No")="Sí",1,0)</f>
        <v/>
      </c>
      <c r="AA696" s="11" t="inlineStr">
        <is>
          <t>FUERA</t>
        </is>
      </c>
      <c r="AB696" s="11" t="inlineStr"/>
      <c r="AC696" s="11">
        <f>IF(AA696="FUERA","Fuera del marco",IF(AA696="N/A","Sin marco",IFERROR(INDEX('Datos - TIMSS 2023'!$C$5:$C$105,MATCH(AA696,'Datos - TIMSS 2023'!$A$5:$A$105,0)),"Pendiente de clasificar")))</f>
        <v/>
      </c>
      <c r="AD696" s="11" t="inlineStr">
        <is>
          <t>1. Explicar fenómenos científicamente</t>
        </is>
      </c>
      <c r="AE696" s="11">
        <f>IF(AD696="","",IF(LEFT(AD696,1)="1","C1",IF(LEFT(AD696,1)="2","C2",IF(LEFT(AD696,1)="3","C3",""))))</f>
        <v/>
      </c>
      <c r="AF696" s="11" t="inlineStr">
        <is>
          <t>E1</t>
        </is>
      </c>
      <c r="AG696" s="11" t="inlineStr">
        <is>
          <t>D1</t>
        </is>
      </c>
      <c r="AH696" s="11" t="inlineStr">
        <is>
          <t>E4</t>
        </is>
      </c>
      <c r="AI696" s="11" t="inlineStr">
        <is>
          <t>D4</t>
        </is>
      </c>
      <c r="AJ696" s="11" t="inlineStr">
        <is>
          <t>E3</t>
        </is>
      </c>
      <c r="AK696" s="11" t="n"/>
      <c r="AL696" s="11" t="n"/>
      <c r="AM696" s="11" t="n"/>
      <c r="AN696" s="11" t="n"/>
      <c r="AO696" s="11" t="n"/>
      <c r="AP696" s="11" t="n"/>
      <c r="AQ696" s="11" t="n"/>
      <c r="AR696" s="11" t="n"/>
      <c r="AS696" s="11" t="n"/>
      <c r="AT696" s="11" t="n"/>
      <c r="AU696" s="11" t="n"/>
      <c r="AV696" s="11" t="n"/>
      <c r="AW696" s="11">
        <f>AF696&amp;"; "&amp;AG696&amp;"; "&amp;AH696&amp;"; "&amp;AI696&amp;"; "&amp;AJ696</f>
        <v/>
      </c>
    </row>
    <row r="697">
      <c r="A697" s="11" t="inlineStr">
        <is>
          <t>T0233-G10-FÍS</t>
        </is>
      </c>
      <c r="B697" s="11" t="n">
        <v>10</v>
      </c>
      <c r="C697" s="11" t="inlineStr">
        <is>
          <t>Física</t>
        </is>
      </c>
      <c r="D697" s="11" t="inlineStr">
        <is>
          <t>Matriz_Bachillerato_Fisica_10_11.xlsx</t>
        </is>
      </c>
      <c r="E697" s="11" t="inlineStr">
        <is>
          <t>Física 10.°</t>
        </is>
      </c>
      <c r="F697" s="11" t="n">
        <v>73</v>
      </c>
      <c r="G697" s="11" t="inlineStr">
        <is>
          <t>11. Mecánica de fluidos</t>
        </is>
      </c>
      <c r="H697" s="11" t="inlineStr">
        <is>
          <t>Hidrostática cuantitativa</t>
        </is>
      </c>
      <c r="I697" s="38" t="inlineStr">
        <is>
          <t>11.1. Determinación experimental de la densidad y la densidad relativa de sólidos y líquidos con su incertidumbre.</t>
        </is>
      </c>
      <c r="J697" s="11" t="inlineStr">
        <is>
          <t>TA</t>
        </is>
      </c>
      <c r="K697" s="11" t="inlineStr">
        <is>
          <t>FUERA</t>
        </is>
      </c>
      <c r="L697" s="11" t="inlineStr"/>
      <c r="M697" s="11">
        <f>IF(K697="FUERA","Fuera del marco",IF(K697="N/A","Sin marco",IFERROR(INDEX('Datos - Catálogo TIMSS'!$C$5:$C$107,MATCH(K697,'Datos - Catálogo TIMSS'!$A$5:$A$107,0)),"Pendiente de clasificar")))</f>
        <v/>
      </c>
      <c r="N697" s="11">
        <f>IF(K697="FUERA","Fuera del marco",IF(K697="N/A","Sin marco",IFERROR(INDEX('Datos - Catálogo TIMSS'!$F$5:$F$107,MATCH(K697,'Datos - Catálogo TIMSS'!$A$5:$A$107,0)),"Pendiente de clasificar")))</f>
        <v/>
      </c>
      <c r="O697" s="11">
        <f>IF(L697="","",IFERROR(INDEX('Datos - Catálogo TIMSS'!$C$5:$C$107,MATCH(L697,'Datos - Catálogo TIMSS'!$A$5:$A$107,0)),"?"))</f>
        <v/>
      </c>
      <c r="P697" s="11" t="inlineStr">
        <is>
          <t>alta</t>
        </is>
      </c>
      <c r="Q697" s="38" t="inlineStr">
        <is>
          <t>Densidad; hidrostática fuera del marco</t>
        </is>
      </c>
      <c r="R697" s="38" t="inlineStr">
        <is>
          <t>Aplicar: calcular densidades con incertidumbre. Razonar: identificar materiales con datos</t>
        </is>
      </c>
      <c r="S697" s="39">
        <f>IFERROR(ISNUMBER(SEARCH("Conocer",$R697))/(ISNUMBER(SEARCH("Conocer",$R697))+ISNUMBER(SEARCH("Aplicar",$R697))+ISNUMBER(SEARCH("Razonar",$R697))),0)</f>
        <v/>
      </c>
      <c r="T697" s="39">
        <f>IFERROR(ISNUMBER(SEARCH("Aplicar",$R697))/(ISNUMBER(SEARCH("Conocer",$R697))+ISNUMBER(SEARCH("Aplicar",$R697))+ISNUMBER(SEARCH("Razonar",$R697))),0)</f>
        <v/>
      </c>
      <c r="U697" s="39">
        <f>IFERROR(ISNUMBER(SEARCH("Razonar",$R697))/(ISNUMBER(SEARCH("Conocer",$R697))+ISNUMBER(SEARCH("Aplicar",$R697))+ISNUMBER(SEARCH("Razonar",$R697))),0)</f>
        <v/>
      </c>
      <c r="V697" s="11" t="inlineStr">
        <is>
          <t>Física 10°</t>
        </is>
      </c>
      <c r="W697" s="11" t="inlineStr">
        <is>
          <t>Física 10°–11°</t>
        </is>
      </c>
      <c r="X697" s="11">
        <f>IF(OR(IFERROR(INDEX('Datos - Catálogo TIMSS'!$I$5:$I$107,MATCH(K697,'Datos - Catálogo TIMSS'!$A$5:$A$107,0)),"No")="Sí",IFERROR(INDEX('Datos - Catálogo TIMSS'!$I$5:$I$107,MATCH(L697,'Datos - Catálogo TIMSS'!$A$5:$A$107,0)),"No")="Sí"),1,0)</f>
        <v/>
      </c>
      <c r="Y697" s="11">
        <f>IF(IFERROR(INDEX('Datos - Catálogo TIMSS'!$J$5:$J$107,MATCH(K697,'Datos - Catálogo TIMSS'!$A$5:$A$107,0)),"No")="Sí",1,0)</f>
        <v/>
      </c>
      <c r="Z697" s="11">
        <f>IF(IFERROR(INDEX('Datos - Catálogo TIMSS'!$J$5:$J$107,MATCH(L697,'Datos - Catálogo TIMSS'!$A$5:$A$107,0)),"No")="Sí",1,0)</f>
        <v/>
      </c>
      <c r="AA697" s="11" t="inlineStr">
        <is>
          <t>FUERA</t>
        </is>
      </c>
      <c r="AB697" s="11" t="inlineStr"/>
      <c r="AC697" s="11">
        <f>IF(AA697="FUERA","Fuera del marco",IF(AA697="N/A","Sin marco",IFERROR(INDEX('Datos - TIMSS 2023'!$C$5:$C$105,MATCH(AA697,'Datos - TIMSS 2023'!$A$5:$A$105,0)),"Pendiente de clasificar")))</f>
        <v/>
      </c>
      <c r="AD697" s="11" t="inlineStr">
        <is>
          <t>2. Construir y evaluar diseños para la indagación científica e interpretar datos y evidencia de forma crítica</t>
        </is>
      </c>
      <c r="AE697" s="11">
        <f>IF(AD697="","",IF(LEFT(AD697,1)="1","C1",IF(LEFT(AD697,1)="2","C2",IF(LEFT(AD697,1)="3","C3",""))))</f>
        <v/>
      </c>
      <c r="AF697" s="11" t="inlineStr">
        <is>
          <t>E1</t>
        </is>
      </c>
      <c r="AG697" s="11" t="inlineStr">
        <is>
          <t>D1</t>
        </is>
      </c>
      <c r="AH697" s="11" t="inlineStr">
        <is>
          <t>E1</t>
        </is>
      </c>
      <c r="AI697" s="11" t="inlineStr">
        <is>
          <t>D4</t>
        </is>
      </c>
      <c r="AJ697" s="11" t="inlineStr">
        <is>
          <t>D3</t>
        </is>
      </c>
      <c r="AK697" s="11" t="n"/>
      <c r="AL697" s="11" t="n"/>
      <c r="AM697" s="11" t="n"/>
      <c r="AN697" s="11" t="n"/>
      <c r="AO697" s="11" t="n"/>
      <c r="AP697" s="11" t="n"/>
      <c r="AQ697" s="11" t="n"/>
      <c r="AR697" s="11" t="n"/>
      <c r="AS697" s="11" t="n"/>
      <c r="AT697" s="11" t="n"/>
      <c r="AU697" s="11" t="n"/>
      <c r="AV697" s="11" t="n"/>
      <c r="AW697" s="11">
        <f>AF697&amp;"; "&amp;AG697&amp;"; "&amp;AH697&amp;"; "&amp;AI697&amp;"; "&amp;AJ697</f>
        <v/>
      </c>
    </row>
    <row r="698">
      <c r="A698" s="11" t="inlineStr">
        <is>
          <t>T0234-G10-FÍS</t>
        </is>
      </c>
      <c r="B698" s="11" t="n">
        <v>10</v>
      </c>
      <c r="C698" s="11" t="inlineStr">
        <is>
          <t>Física</t>
        </is>
      </c>
      <c r="D698" s="11" t="inlineStr">
        <is>
          <t>Matriz_Bachillerato_Fisica_10_11.xlsx</t>
        </is>
      </c>
      <c r="E698" s="11" t="inlineStr">
        <is>
          <t>Física 10.°</t>
        </is>
      </c>
      <c r="F698" s="11" t="n">
        <v>74</v>
      </c>
      <c r="G698" s="11" t="inlineStr">
        <is>
          <t>11. Mecánica de fluidos</t>
        </is>
      </c>
      <c r="H698" s="11" t="inlineStr">
        <is>
          <t>Hidrostática cuantitativa</t>
        </is>
      </c>
      <c r="I698" s="38" t="inlineStr">
        <is>
          <t>11.2. Cálculo de la presión y de la fuerza que ejercen los fluidos sobre superficies de distinta área y orientación.</t>
        </is>
      </c>
      <c r="J698" s="11" t="inlineStr">
        <is>
          <t>TA</t>
        </is>
      </c>
      <c r="K698" s="11" t="inlineStr">
        <is>
          <t>FUERA</t>
        </is>
      </c>
      <c r="L698" s="11" t="inlineStr"/>
      <c r="M698" s="11">
        <f>IF(K698="FUERA","Fuera del marco",IF(K698="N/A","Sin marco",IFERROR(INDEX('Datos - Catálogo TIMSS'!$C$5:$C$107,MATCH(K698,'Datos - Catálogo TIMSS'!$A$5:$A$107,0)),"Pendiente de clasificar")))</f>
        <v/>
      </c>
      <c r="N698" s="11">
        <f>IF(K698="FUERA","Fuera del marco",IF(K698="N/A","Sin marco",IFERROR(INDEX('Datos - Catálogo TIMSS'!$F$5:$F$107,MATCH(K698,'Datos - Catálogo TIMSS'!$A$5:$A$107,0)),"Pendiente de clasificar")))</f>
        <v/>
      </c>
      <c r="O698" s="11">
        <f>IF(L698="","",IFERROR(INDEX('Datos - Catálogo TIMSS'!$C$5:$C$107,MATCH(L698,'Datos - Catálogo TIMSS'!$A$5:$A$107,0)),"?"))</f>
        <v/>
      </c>
      <c r="P698" s="11" t="inlineStr">
        <is>
          <t>alta</t>
        </is>
      </c>
      <c r="Q698" s="38" t="inlineStr">
        <is>
          <t>Presión en fluidos; hidrostática</t>
        </is>
      </c>
      <c r="R698" s="38" t="inlineStr">
        <is>
          <t>Aplicar: calcular presión y fuerza. Razonar: justificar la dirección de la fuerza de presión</t>
        </is>
      </c>
      <c r="S698" s="39">
        <f>IFERROR(ISNUMBER(SEARCH("Conocer",$R698))/(ISNUMBER(SEARCH("Conocer",$R698))+ISNUMBER(SEARCH("Aplicar",$R698))+ISNUMBER(SEARCH("Razonar",$R698))),0)</f>
        <v/>
      </c>
      <c r="T698" s="39">
        <f>IFERROR(ISNUMBER(SEARCH("Aplicar",$R698))/(ISNUMBER(SEARCH("Conocer",$R698))+ISNUMBER(SEARCH("Aplicar",$R698))+ISNUMBER(SEARCH("Razonar",$R698))),0)</f>
        <v/>
      </c>
      <c r="U698" s="39">
        <f>IFERROR(ISNUMBER(SEARCH("Razonar",$R698))/(ISNUMBER(SEARCH("Conocer",$R698))+ISNUMBER(SEARCH("Aplicar",$R698))+ISNUMBER(SEARCH("Razonar",$R698))),0)</f>
        <v/>
      </c>
      <c r="V698" s="11" t="inlineStr">
        <is>
          <t>Física 10°</t>
        </is>
      </c>
      <c r="W698" s="11" t="inlineStr">
        <is>
          <t>Física 10°–11°</t>
        </is>
      </c>
      <c r="X698" s="11">
        <f>IF(OR(IFERROR(INDEX('Datos - Catálogo TIMSS'!$I$5:$I$107,MATCH(K698,'Datos - Catálogo TIMSS'!$A$5:$A$107,0)),"No")="Sí",IFERROR(INDEX('Datos - Catálogo TIMSS'!$I$5:$I$107,MATCH(L698,'Datos - Catálogo TIMSS'!$A$5:$A$107,0)),"No")="Sí"),1,0)</f>
        <v/>
      </c>
      <c r="Y698" s="11">
        <f>IF(IFERROR(INDEX('Datos - Catálogo TIMSS'!$J$5:$J$107,MATCH(K698,'Datos - Catálogo TIMSS'!$A$5:$A$107,0)),"No")="Sí",1,0)</f>
        <v/>
      </c>
      <c r="Z698" s="11">
        <f>IF(IFERROR(INDEX('Datos - Catálogo TIMSS'!$J$5:$J$107,MATCH(L698,'Datos - Catálogo TIMSS'!$A$5:$A$107,0)),"No")="Sí",1,0)</f>
        <v/>
      </c>
      <c r="AA698" s="11" t="inlineStr">
        <is>
          <t>FUERA</t>
        </is>
      </c>
      <c r="AB698" s="11" t="inlineStr"/>
      <c r="AC698" s="11">
        <f>IF(AA698="FUERA","Fuera del marco",IF(AA698="N/A","Sin marco",IFERROR(INDEX('Datos - TIMSS 2023'!$C$5:$C$105,MATCH(AA698,'Datos - TIMSS 2023'!$A$5:$A$105,0)),"Pendiente de clasificar")))</f>
        <v/>
      </c>
      <c r="AD698" s="11" t="inlineStr">
        <is>
          <t>1. Explicar fenómenos científicamente</t>
        </is>
      </c>
      <c r="AE698" s="11">
        <f>IF(AD698="","",IF(LEFT(AD698,1)="1","C1",IF(LEFT(AD698,1)="2","C2",IF(LEFT(AD698,1)="3","C3",""))))</f>
        <v/>
      </c>
      <c r="AF698" s="11" t="inlineStr">
        <is>
          <t>E1</t>
        </is>
      </c>
      <c r="AG698" s="11" t="inlineStr">
        <is>
          <t>E3</t>
        </is>
      </c>
      <c r="AH698" s="11" t="inlineStr">
        <is>
          <t>E2</t>
        </is>
      </c>
      <c r="AI698" s="11" t="inlineStr">
        <is>
          <t>D4</t>
        </is>
      </c>
      <c r="AJ698" s="11" t="inlineStr">
        <is>
          <t>E6</t>
        </is>
      </c>
      <c r="AK698" s="11" t="n"/>
      <c r="AL698" s="11" t="n"/>
      <c r="AM698" s="11" t="n"/>
      <c r="AN698" s="11" t="n"/>
      <c r="AO698" s="11" t="n"/>
      <c r="AP698" s="11" t="n"/>
      <c r="AQ698" s="11" t="n"/>
      <c r="AR698" s="11" t="n"/>
      <c r="AS698" s="11" t="n"/>
      <c r="AT698" s="11" t="n"/>
      <c r="AU698" s="11" t="n"/>
      <c r="AV698" s="11" t="n"/>
      <c r="AW698" s="11">
        <f>AF698&amp;"; "&amp;AG698&amp;"; "&amp;AH698&amp;"; "&amp;AI698&amp;"; "&amp;AJ698</f>
        <v/>
      </c>
    </row>
    <row r="699">
      <c r="A699" s="11" t="inlineStr">
        <is>
          <t>T0235-G10-FÍS</t>
        </is>
      </c>
      <c r="B699" s="11" t="n">
        <v>10</v>
      </c>
      <c r="C699" s="11" t="inlineStr">
        <is>
          <t>Física</t>
        </is>
      </c>
      <c r="D699" s="11" t="inlineStr">
        <is>
          <t>Matriz_Bachillerato_Fisica_10_11.xlsx</t>
        </is>
      </c>
      <c r="E699" s="11" t="inlineStr">
        <is>
          <t>Física 10.°</t>
        </is>
      </c>
      <c r="F699" s="11" t="n">
        <v>75</v>
      </c>
      <c r="G699" s="11" t="inlineStr">
        <is>
          <t>11. Mecánica de fluidos</t>
        </is>
      </c>
      <c r="H699" s="11" t="inlineStr">
        <is>
          <t>Hidrostática cuantitativa</t>
        </is>
      </c>
      <c r="I699" s="38" t="inlineStr">
        <is>
          <t>11.3. Cálculo de la presión absoluta y manométrica a diferentes profundidades y altitudes.</t>
        </is>
      </c>
      <c r="J699" s="11" t="inlineStr">
        <is>
          <t>TA</t>
        </is>
      </c>
      <c r="K699" s="11" t="inlineStr">
        <is>
          <t>FUERA</t>
        </is>
      </c>
      <c r="L699" s="11" t="inlineStr"/>
      <c r="M699" s="11">
        <f>IF(K699="FUERA","Fuera del marco",IF(K699="N/A","Sin marco",IFERROR(INDEX('Datos - Catálogo TIMSS'!$C$5:$C$107,MATCH(K699,'Datos - Catálogo TIMSS'!$A$5:$A$107,0)),"Pendiente de clasificar")))</f>
        <v/>
      </c>
      <c r="N699" s="11">
        <f>IF(K699="FUERA","Fuera del marco",IF(K699="N/A","Sin marco",IFERROR(INDEX('Datos - Catálogo TIMSS'!$F$5:$F$107,MATCH(K699,'Datos - Catálogo TIMSS'!$A$5:$A$107,0)),"Pendiente de clasificar")))</f>
        <v/>
      </c>
      <c r="O699" s="11">
        <f>IF(L699="","",IFERROR(INDEX('Datos - Catálogo TIMSS'!$C$5:$C$107,MATCH(L699,'Datos - Catálogo TIMSS'!$A$5:$A$107,0)),"?"))</f>
        <v/>
      </c>
      <c r="P699" s="11" t="inlineStr">
        <is>
          <t>alta</t>
        </is>
      </c>
      <c r="Q699" s="38" t="inlineStr">
        <is>
          <t>Presión absoluta y manométrica; hidrostática</t>
        </is>
      </c>
      <c r="R699" s="38" t="inlineStr">
        <is>
          <t>Aplicar: calcular presión absoluta y manométrica. Razonar: relacionar presión y altitud</t>
        </is>
      </c>
      <c r="S699" s="39">
        <f>IFERROR(ISNUMBER(SEARCH("Conocer",$R699))/(ISNUMBER(SEARCH("Conocer",$R699))+ISNUMBER(SEARCH("Aplicar",$R699))+ISNUMBER(SEARCH("Razonar",$R699))),0)</f>
        <v/>
      </c>
      <c r="T699" s="39">
        <f>IFERROR(ISNUMBER(SEARCH("Aplicar",$R699))/(ISNUMBER(SEARCH("Conocer",$R699))+ISNUMBER(SEARCH("Aplicar",$R699))+ISNUMBER(SEARCH("Razonar",$R699))),0)</f>
        <v/>
      </c>
      <c r="U699" s="39">
        <f>IFERROR(ISNUMBER(SEARCH("Razonar",$R699))/(ISNUMBER(SEARCH("Conocer",$R699))+ISNUMBER(SEARCH("Aplicar",$R699))+ISNUMBER(SEARCH("Razonar",$R699))),0)</f>
        <v/>
      </c>
      <c r="V699" s="11" t="inlineStr">
        <is>
          <t>Física 10°</t>
        </is>
      </c>
      <c r="W699" s="11" t="inlineStr">
        <is>
          <t>Física 10°–11°</t>
        </is>
      </c>
      <c r="X699" s="11">
        <f>IF(OR(IFERROR(INDEX('Datos - Catálogo TIMSS'!$I$5:$I$107,MATCH(K699,'Datos - Catálogo TIMSS'!$A$5:$A$107,0)),"No")="Sí",IFERROR(INDEX('Datos - Catálogo TIMSS'!$I$5:$I$107,MATCH(L699,'Datos - Catálogo TIMSS'!$A$5:$A$107,0)),"No")="Sí"),1,0)</f>
        <v/>
      </c>
      <c r="Y699" s="11">
        <f>IF(IFERROR(INDEX('Datos - Catálogo TIMSS'!$J$5:$J$107,MATCH(K699,'Datos - Catálogo TIMSS'!$A$5:$A$107,0)),"No")="Sí",1,0)</f>
        <v/>
      </c>
      <c r="Z699" s="11">
        <f>IF(IFERROR(INDEX('Datos - Catálogo TIMSS'!$J$5:$J$107,MATCH(L699,'Datos - Catálogo TIMSS'!$A$5:$A$107,0)),"No")="Sí",1,0)</f>
        <v/>
      </c>
      <c r="AA699" s="11" t="inlineStr">
        <is>
          <t>FUERA</t>
        </is>
      </c>
      <c r="AB699" s="11" t="inlineStr"/>
      <c r="AC699" s="11">
        <f>IF(AA699="FUERA","Fuera del marco",IF(AA699="N/A","Sin marco",IFERROR(INDEX('Datos - TIMSS 2023'!$C$5:$C$105,MATCH(AA699,'Datos - TIMSS 2023'!$A$5:$A$105,0)),"Pendiente de clasificar")))</f>
        <v/>
      </c>
      <c r="AD699" s="11" t="inlineStr">
        <is>
          <t>3. Investigar, evaluar y usar información científica para tomar decisiones y actuar</t>
        </is>
      </c>
      <c r="AE699" s="11">
        <f>IF(AD699="","",IF(LEFT(AD699,1)="1","C1",IF(LEFT(AD699,1)="2","C2",IF(LEFT(AD699,1)="3","C3",""))))</f>
        <v/>
      </c>
      <c r="AF699" s="11" t="inlineStr">
        <is>
          <t>E1</t>
        </is>
      </c>
      <c r="AG699" s="11" t="inlineStr">
        <is>
          <t>E5</t>
        </is>
      </c>
      <c r="AH699" s="11" t="inlineStr">
        <is>
          <t>E1</t>
        </is>
      </c>
      <c r="AI699" s="11" t="inlineStr">
        <is>
          <t>I1</t>
        </is>
      </c>
      <c r="AJ699" s="11" t="inlineStr">
        <is>
          <t>E3</t>
        </is>
      </c>
      <c r="AK699" s="11" t="n"/>
      <c r="AL699" s="11" t="n"/>
      <c r="AM699" s="11" t="n"/>
      <c r="AN699" s="11" t="n"/>
      <c r="AO699" s="11" t="n"/>
      <c r="AP699" s="11" t="n"/>
      <c r="AQ699" s="11" t="n"/>
      <c r="AR699" s="11" t="n"/>
      <c r="AS699" s="11" t="n"/>
      <c r="AT699" s="11" t="n"/>
      <c r="AU699" s="11" t="n"/>
      <c r="AV699" s="11" t="n"/>
      <c r="AW699" s="11">
        <f>AF699&amp;"; "&amp;AG699&amp;"; "&amp;AH699&amp;"; "&amp;AI699&amp;"; "&amp;AJ699</f>
        <v/>
      </c>
    </row>
    <row r="700">
      <c r="A700" s="11" t="inlineStr">
        <is>
          <t>T0236-G10-FÍS</t>
        </is>
      </c>
      <c r="B700" s="11" t="n">
        <v>10</v>
      </c>
      <c r="C700" s="11" t="inlineStr">
        <is>
          <t>Física</t>
        </is>
      </c>
      <c r="D700" s="11" t="inlineStr">
        <is>
          <t>Matriz_Bachillerato_Fisica_10_11.xlsx</t>
        </is>
      </c>
      <c r="E700" s="11" t="inlineStr">
        <is>
          <t>Física 10.°</t>
        </is>
      </c>
      <c r="F700" s="11" t="n">
        <v>76</v>
      </c>
      <c r="G700" s="11" t="inlineStr">
        <is>
          <t>11. Mecánica de fluidos</t>
        </is>
      </c>
      <c r="H700" s="11" t="inlineStr">
        <is>
          <t>Medición de la presión</t>
        </is>
      </c>
      <c r="I700" s="38" t="inlineStr">
        <is>
          <t>11.4. Construcción y calibración de un manómetro de tubo en U para medir presiones manométricas.</t>
        </is>
      </c>
      <c r="J700" s="11" t="inlineStr">
        <is>
          <t>TA</t>
        </is>
      </c>
      <c r="K700" s="11" t="inlineStr">
        <is>
          <t>FUERA</t>
        </is>
      </c>
      <c r="L700" s="11" t="inlineStr"/>
      <c r="M700" s="11">
        <f>IF(K700="FUERA","Fuera del marco",IF(K700="N/A","Sin marco",IFERROR(INDEX('Datos - Catálogo TIMSS'!$C$5:$C$107,MATCH(K700,'Datos - Catálogo TIMSS'!$A$5:$A$107,0)),"Pendiente de clasificar")))</f>
        <v/>
      </c>
      <c r="N700" s="11">
        <f>IF(K700="FUERA","Fuera del marco",IF(K700="N/A","Sin marco",IFERROR(INDEX('Datos - Catálogo TIMSS'!$F$5:$F$107,MATCH(K700,'Datos - Catálogo TIMSS'!$A$5:$A$107,0)),"Pendiente de clasificar")))</f>
        <v/>
      </c>
      <c r="O700" s="11">
        <f>IF(L700="","",IFERROR(INDEX('Datos - Catálogo TIMSS'!$C$5:$C$107,MATCH(L700,'Datos - Catálogo TIMSS'!$A$5:$A$107,0)),"?"))</f>
        <v/>
      </c>
      <c r="P700" s="11" t="inlineStr">
        <is>
          <t>alta</t>
        </is>
      </c>
      <c r="Q700" s="38" t="inlineStr">
        <is>
          <t>Manómetros; hidrostática</t>
        </is>
      </c>
      <c r="R700" s="38" t="inlineStr">
        <is>
          <t>Aplicar: calcular presiones con diferencia de alturas. Razonar: evaluar un instrumento propio</t>
        </is>
      </c>
      <c r="S700" s="39">
        <f>IFERROR(ISNUMBER(SEARCH("Conocer",$R700))/(ISNUMBER(SEARCH("Conocer",$R700))+ISNUMBER(SEARCH("Aplicar",$R700))+ISNUMBER(SEARCH("Razonar",$R700))),0)</f>
        <v/>
      </c>
      <c r="T700" s="39">
        <f>IFERROR(ISNUMBER(SEARCH("Aplicar",$R700))/(ISNUMBER(SEARCH("Conocer",$R700))+ISNUMBER(SEARCH("Aplicar",$R700))+ISNUMBER(SEARCH("Razonar",$R700))),0)</f>
        <v/>
      </c>
      <c r="U700" s="39">
        <f>IFERROR(ISNUMBER(SEARCH("Razonar",$R700))/(ISNUMBER(SEARCH("Conocer",$R700))+ISNUMBER(SEARCH("Aplicar",$R700))+ISNUMBER(SEARCH("Razonar",$R700))),0)</f>
        <v/>
      </c>
      <c r="V700" s="11" t="inlineStr">
        <is>
          <t>Física 10°</t>
        </is>
      </c>
      <c r="W700" s="11" t="inlineStr">
        <is>
          <t>Física 10°–11°</t>
        </is>
      </c>
      <c r="X700" s="11">
        <f>IF(OR(IFERROR(INDEX('Datos - Catálogo TIMSS'!$I$5:$I$107,MATCH(K700,'Datos - Catálogo TIMSS'!$A$5:$A$107,0)),"No")="Sí",IFERROR(INDEX('Datos - Catálogo TIMSS'!$I$5:$I$107,MATCH(L700,'Datos - Catálogo TIMSS'!$A$5:$A$107,0)),"No")="Sí"),1,0)</f>
        <v/>
      </c>
      <c r="Y700" s="11">
        <f>IF(IFERROR(INDEX('Datos - Catálogo TIMSS'!$J$5:$J$107,MATCH(K700,'Datos - Catálogo TIMSS'!$A$5:$A$107,0)),"No")="Sí",1,0)</f>
        <v/>
      </c>
      <c r="Z700" s="11">
        <f>IF(IFERROR(INDEX('Datos - Catálogo TIMSS'!$J$5:$J$107,MATCH(L700,'Datos - Catálogo TIMSS'!$A$5:$A$107,0)),"No")="Sí",1,0)</f>
        <v/>
      </c>
      <c r="AA700" s="11" t="inlineStr">
        <is>
          <t>FUERA</t>
        </is>
      </c>
      <c r="AB700" s="11" t="inlineStr"/>
      <c r="AC700" s="11">
        <f>IF(AA700="FUERA","Fuera del marco",IF(AA700="N/A","Sin marco",IFERROR(INDEX('Datos - TIMSS 2023'!$C$5:$C$105,MATCH(AA700,'Datos - TIMSS 2023'!$A$5:$A$105,0)),"Pendiente de clasificar")))</f>
        <v/>
      </c>
      <c r="AD700" s="11" t="inlineStr">
        <is>
          <t>2. Construir y evaluar diseños para la indagación científica e interpretar datos y evidencia de forma crítica</t>
        </is>
      </c>
      <c r="AE700" s="11">
        <f>IF(AD700="","",IF(LEFT(AD700,1)="1","C1",IF(LEFT(AD700,1)="2","C2",IF(LEFT(AD700,1)="3","C3",""))))</f>
        <v/>
      </c>
      <c r="AF700" s="11" t="inlineStr">
        <is>
          <t>E1</t>
        </is>
      </c>
      <c r="AG700" s="11" t="inlineStr">
        <is>
          <t>D1</t>
        </is>
      </c>
      <c r="AH700" s="11" t="inlineStr">
        <is>
          <t>E4</t>
        </is>
      </c>
      <c r="AI700" s="11" t="inlineStr">
        <is>
          <t>D2</t>
        </is>
      </c>
      <c r="AJ700" s="11" t="inlineStr">
        <is>
          <t>D3</t>
        </is>
      </c>
      <c r="AK700" s="11" t="n"/>
      <c r="AL700" s="11" t="n"/>
      <c r="AM700" s="11" t="n"/>
      <c r="AN700" s="11" t="n"/>
      <c r="AO700" s="11" t="n"/>
      <c r="AP700" s="11" t="n"/>
      <c r="AQ700" s="11" t="n"/>
      <c r="AR700" s="11" t="n"/>
      <c r="AS700" s="11" t="n"/>
      <c r="AT700" s="11" t="n"/>
      <c r="AU700" s="11" t="n"/>
      <c r="AV700" s="11" t="n"/>
      <c r="AW700" s="11">
        <f>AF700&amp;"; "&amp;AG700&amp;"; "&amp;AH700&amp;"; "&amp;AI700&amp;"; "&amp;AJ700</f>
        <v/>
      </c>
    </row>
    <row r="701">
      <c r="A701" s="11" t="inlineStr">
        <is>
          <t>T0237-G10-FÍS</t>
        </is>
      </c>
      <c r="B701" s="11" t="n">
        <v>10</v>
      </c>
      <c r="C701" s="11" t="inlineStr">
        <is>
          <t>Física</t>
        </is>
      </c>
      <c r="D701" s="11" t="inlineStr">
        <is>
          <t>Matriz_Bachillerato_Fisica_10_11.xlsx</t>
        </is>
      </c>
      <c r="E701" s="11" t="inlineStr">
        <is>
          <t>Física 10.°</t>
        </is>
      </c>
      <c r="F701" s="11" t="n">
        <v>77</v>
      </c>
      <c r="G701" s="11" t="inlineStr">
        <is>
          <t>11. Mecánica de fluidos</t>
        </is>
      </c>
      <c r="H701" s="11" t="inlineStr">
        <is>
          <t>Transmisión de la presión</t>
        </is>
      </c>
      <c r="I701" s="38" t="inlineStr">
        <is>
          <t>11.5. Análisis cuantitativo de sistemas hidráulicos aplicando el principio de Pascal y la conservación del trabajo.</t>
        </is>
      </c>
      <c r="J701" s="11" t="inlineStr">
        <is>
          <t>TA</t>
        </is>
      </c>
      <c r="K701" s="11" t="inlineStr">
        <is>
          <t>FUERA</t>
        </is>
      </c>
      <c r="L701" s="11" t="inlineStr"/>
      <c r="M701" s="11">
        <f>IF(K701="FUERA","Fuera del marco",IF(K701="N/A","Sin marco",IFERROR(INDEX('Datos - Catálogo TIMSS'!$C$5:$C$107,MATCH(K701,'Datos - Catálogo TIMSS'!$A$5:$A$107,0)),"Pendiente de clasificar")))</f>
        <v/>
      </c>
      <c r="N701" s="11">
        <f>IF(K701="FUERA","Fuera del marco",IF(K701="N/A","Sin marco",IFERROR(INDEX('Datos - Catálogo TIMSS'!$F$5:$F$107,MATCH(K701,'Datos - Catálogo TIMSS'!$A$5:$A$107,0)),"Pendiente de clasificar")))</f>
        <v/>
      </c>
      <c r="O701" s="11">
        <f>IF(L701="","",IFERROR(INDEX('Datos - Catálogo TIMSS'!$C$5:$C$107,MATCH(L701,'Datos - Catálogo TIMSS'!$A$5:$A$107,0)),"?"))</f>
        <v/>
      </c>
      <c r="P701" s="11" t="inlineStr">
        <is>
          <t>alta</t>
        </is>
      </c>
      <c r="Q701" s="38" t="inlineStr">
        <is>
          <t>Principio de Pascal; hidrostática</t>
        </is>
      </c>
      <c r="R701" s="38" t="inlineStr">
        <is>
          <t>Aplicar: calcular fuerzas y desplazamientos. Razonar: justificar la conservación del trabajo</t>
        </is>
      </c>
      <c r="S701" s="39">
        <f>IFERROR(ISNUMBER(SEARCH("Conocer",$R701))/(ISNUMBER(SEARCH("Conocer",$R701))+ISNUMBER(SEARCH("Aplicar",$R701))+ISNUMBER(SEARCH("Razonar",$R701))),0)</f>
        <v/>
      </c>
      <c r="T701" s="39">
        <f>IFERROR(ISNUMBER(SEARCH("Aplicar",$R701))/(ISNUMBER(SEARCH("Conocer",$R701))+ISNUMBER(SEARCH("Aplicar",$R701))+ISNUMBER(SEARCH("Razonar",$R701))),0)</f>
        <v/>
      </c>
      <c r="U701" s="39">
        <f>IFERROR(ISNUMBER(SEARCH("Razonar",$R701))/(ISNUMBER(SEARCH("Conocer",$R701))+ISNUMBER(SEARCH("Aplicar",$R701))+ISNUMBER(SEARCH("Razonar",$R701))),0)</f>
        <v/>
      </c>
      <c r="V701" s="11" t="inlineStr">
        <is>
          <t>Física 10°</t>
        </is>
      </c>
      <c r="W701" s="11" t="inlineStr">
        <is>
          <t>Física 10°–11°</t>
        </is>
      </c>
      <c r="X701" s="11">
        <f>IF(OR(IFERROR(INDEX('Datos - Catálogo TIMSS'!$I$5:$I$107,MATCH(K701,'Datos - Catálogo TIMSS'!$A$5:$A$107,0)),"No")="Sí",IFERROR(INDEX('Datos - Catálogo TIMSS'!$I$5:$I$107,MATCH(L701,'Datos - Catálogo TIMSS'!$A$5:$A$107,0)),"No")="Sí"),1,0)</f>
        <v/>
      </c>
      <c r="Y701" s="11">
        <f>IF(IFERROR(INDEX('Datos - Catálogo TIMSS'!$J$5:$J$107,MATCH(K701,'Datos - Catálogo TIMSS'!$A$5:$A$107,0)),"No")="Sí",1,0)</f>
        <v/>
      </c>
      <c r="Z701" s="11">
        <f>IF(IFERROR(INDEX('Datos - Catálogo TIMSS'!$J$5:$J$107,MATCH(L701,'Datos - Catálogo TIMSS'!$A$5:$A$107,0)),"No")="Sí",1,0)</f>
        <v/>
      </c>
      <c r="AA701" s="11" t="inlineStr">
        <is>
          <t>FUERA</t>
        </is>
      </c>
      <c r="AB701" s="11" t="inlineStr"/>
      <c r="AC701" s="11">
        <f>IF(AA701="FUERA","Fuera del marco",IF(AA701="N/A","Sin marco",IFERROR(INDEX('Datos - TIMSS 2023'!$C$5:$C$105,MATCH(AA701,'Datos - TIMSS 2023'!$A$5:$A$105,0)),"Pendiente de clasificar")))</f>
        <v/>
      </c>
      <c r="AD701" s="11" t="inlineStr">
        <is>
          <t>1. Explicar fenómenos científicamente</t>
        </is>
      </c>
      <c r="AE701" s="11">
        <f>IF(AD701="","",IF(LEFT(AD701,1)="1","C1",IF(LEFT(AD701,1)="2","C2",IF(LEFT(AD701,1)="3","C3",""))))</f>
        <v/>
      </c>
      <c r="AF701" s="11" t="inlineStr">
        <is>
          <t>E1</t>
        </is>
      </c>
      <c r="AG701" s="11" t="inlineStr">
        <is>
          <t>E3</t>
        </is>
      </c>
      <c r="AH701" s="11" t="inlineStr">
        <is>
          <t>E4</t>
        </is>
      </c>
      <c r="AI701" s="11" t="inlineStr">
        <is>
          <t>D4</t>
        </is>
      </c>
      <c r="AJ701" s="11" t="inlineStr">
        <is>
          <t>E6</t>
        </is>
      </c>
      <c r="AK701" s="11" t="n"/>
      <c r="AL701" s="11" t="n"/>
      <c r="AM701" s="11" t="n"/>
      <c r="AN701" s="11" t="n"/>
      <c r="AO701" s="11" t="n"/>
      <c r="AP701" s="11" t="n"/>
      <c r="AQ701" s="11" t="n"/>
      <c r="AR701" s="11" t="n"/>
      <c r="AS701" s="11" t="n"/>
      <c r="AT701" s="11" t="n"/>
      <c r="AU701" s="11" t="n"/>
      <c r="AV701" s="11" t="n"/>
      <c r="AW701" s="11">
        <f>AF701&amp;"; "&amp;AG701&amp;"; "&amp;AH701&amp;"; "&amp;AI701&amp;"; "&amp;AJ701</f>
        <v/>
      </c>
    </row>
    <row r="702">
      <c r="A702" s="11" t="inlineStr">
        <is>
          <t>T0238-G10-FÍS</t>
        </is>
      </c>
      <c r="B702" s="11" t="n">
        <v>10</v>
      </c>
      <c r="C702" s="11" t="inlineStr">
        <is>
          <t>Física</t>
        </is>
      </c>
      <c r="D702" s="11" t="inlineStr">
        <is>
          <t>Matriz_Bachillerato_Fisica_10_11.xlsx</t>
        </is>
      </c>
      <c r="E702" s="11" t="inlineStr">
        <is>
          <t>Física 10.°</t>
        </is>
      </c>
      <c r="F702" s="11" t="n">
        <v>78</v>
      </c>
      <c r="G702" s="11" t="inlineStr">
        <is>
          <t>11. Mecánica de fluidos</t>
        </is>
      </c>
      <c r="H702" s="11" t="inlineStr">
        <is>
          <t>Transmisión de la presión</t>
        </is>
      </c>
      <c r="I702" s="38" t="inlineStr">
        <is>
          <t>11.6. Cálculo de la fracción sumergida de cuerpos flotantes y de la carga máxima de embarcaciones aplicando el principio de Arquímedes.</t>
        </is>
      </c>
      <c r="J702" s="11" t="inlineStr">
        <is>
          <t>TA</t>
        </is>
      </c>
      <c r="K702" s="11" t="inlineStr">
        <is>
          <t>FUERA</t>
        </is>
      </c>
      <c r="L702" s="11" t="inlineStr"/>
      <c r="M702" s="11">
        <f>IF(K702="FUERA","Fuera del marco",IF(K702="N/A","Sin marco",IFERROR(INDEX('Datos - Catálogo TIMSS'!$C$5:$C$107,MATCH(K702,'Datos - Catálogo TIMSS'!$A$5:$A$107,0)),"Pendiente de clasificar")))</f>
        <v/>
      </c>
      <c r="N702" s="11">
        <f>IF(K702="FUERA","Fuera del marco",IF(K702="N/A","Sin marco",IFERROR(INDEX('Datos - Catálogo TIMSS'!$F$5:$F$107,MATCH(K702,'Datos - Catálogo TIMSS'!$A$5:$A$107,0)),"Pendiente de clasificar")))</f>
        <v/>
      </c>
      <c r="O702" s="11">
        <f>IF(L702="","",IFERROR(INDEX('Datos - Catálogo TIMSS'!$C$5:$C$107,MATCH(L702,'Datos - Catálogo TIMSS'!$A$5:$A$107,0)),"?"))</f>
        <v/>
      </c>
      <c r="P702" s="11" t="inlineStr">
        <is>
          <t>media</t>
        </is>
      </c>
      <c r="Q702" s="38" t="inlineStr">
        <is>
          <t>Principio de Arquímedes y flotación; mecánica de fluidos</t>
        </is>
      </c>
      <c r="R702" s="38" t="inlineStr">
        <is>
          <t>Aplicar: calcular la fracción sumergida y la carga máxima. Razonar: justificar recomendaciones de seguridad</t>
        </is>
      </c>
      <c r="S702" s="39">
        <f>IFERROR(ISNUMBER(SEARCH("Conocer",$R702))/(ISNUMBER(SEARCH("Conocer",$R702))+ISNUMBER(SEARCH("Aplicar",$R702))+ISNUMBER(SEARCH("Razonar",$R702))),0)</f>
        <v/>
      </c>
      <c r="T702" s="39">
        <f>IFERROR(ISNUMBER(SEARCH("Aplicar",$R702))/(ISNUMBER(SEARCH("Conocer",$R702))+ISNUMBER(SEARCH("Aplicar",$R702))+ISNUMBER(SEARCH("Razonar",$R702))),0)</f>
        <v/>
      </c>
      <c r="U702" s="39">
        <f>IFERROR(ISNUMBER(SEARCH("Razonar",$R702))/(ISNUMBER(SEARCH("Conocer",$R702))+ISNUMBER(SEARCH("Aplicar",$R702))+ISNUMBER(SEARCH("Razonar",$R702))),0)</f>
        <v/>
      </c>
      <c r="V702" s="11" t="inlineStr">
        <is>
          <t>Física 10°</t>
        </is>
      </c>
      <c r="W702" s="11" t="inlineStr">
        <is>
          <t>Física 10°–11°</t>
        </is>
      </c>
      <c r="X702" s="11">
        <f>IF(OR(IFERROR(INDEX('Datos - Catálogo TIMSS'!$I$5:$I$107,MATCH(K702,'Datos - Catálogo TIMSS'!$A$5:$A$107,0)),"No")="Sí",IFERROR(INDEX('Datos - Catálogo TIMSS'!$I$5:$I$107,MATCH(L702,'Datos - Catálogo TIMSS'!$A$5:$A$107,0)),"No")="Sí"),1,0)</f>
        <v/>
      </c>
      <c r="Y702" s="11">
        <f>IF(IFERROR(INDEX('Datos - Catálogo TIMSS'!$J$5:$J$107,MATCH(K702,'Datos - Catálogo TIMSS'!$A$5:$A$107,0)),"No")="Sí",1,0)</f>
        <v/>
      </c>
      <c r="Z702" s="11">
        <f>IF(IFERROR(INDEX('Datos - Catálogo TIMSS'!$J$5:$J$107,MATCH(L702,'Datos - Catálogo TIMSS'!$A$5:$A$107,0)),"No")="Sí",1,0)</f>
        <v/>
      </c>
      <c r="AA702" s="11" t="inlineStr">
        <is>
          <t>FUERA</t>
        </is>
      </c>
      <c r="AB702" s="11" t="inlineStr"/>
      <c r="AC702" s="11">
        <f>IF(AA702="FUERA","Fuera del marco",IF(AA702="N/A","Sin marco",IFERROR(INDEX('Datos - TIMSS 2023'!$C$5:$C$105,MATCH(AA702,'Datos - TIMSS 2023'!$A$5:$A$105,0)),"Pendiente de clasificar")))</f>
        <v/>
      </c>
      <c r="AD702" s="11" t="inlineStr">
        <is>
          <t>1. Explicar fenómenos científicamente</t>
        </is>
      </c>
      <c r="AE702" s="11">
        <f>IF(AD702="","",IF(LEFT(AD702,1)="1","C1",IF(LEFT(AD702,1)="2","C2",IF(LEFT(AD702,1)="3","C3",""))))</f>
        <v/>
      </c>
      <c r="AF702" s="11" t="inlineStr">
        <is>
          <t>E6</t>
        </is>
      </c>
      <c r="AG702" s="11" t="inlineStr">
        <is>
          <t>E5</t>
        </is>
      </c>
      <c r="AH702" s="11" t="inlineStr">
        <is>
          <t>E1</t>
        </is>
      </c>
      <c r="AI702" s="11" t="inlineStr">
        <is>
          <t>D2</t>
        </is>
      </c>
      <c r="AJ702" s="11" t="inlineStr">
        <is>
          <t>I5</t>
        </is>
      </c>
      <c r="AK702" s="11" t="n"/>
      <c r="AL702" s="11" t="n"/>
      <c r="AM702" s="11" t="n"/>
      <c r="AN702" s="11" t="n"/>
      <c r="AO702" s="11" t="n"/>
      <c r="AP702" s="11" t="n"/>
      <c r="AQ702" s="11" t="n"/>
      <c r="AR702" s="11" t="n"/>
      <c r="AS702" s="11" t="n"/>
      <c r="AT702" s="11" t="n"/>
      <c r="AU702" s="11" t="n"/>
      <c r="AV702" s="11" t="n"/>
      <c r="AW702" s="11">
        <f>AF702&amp;"; "&amp;AG702&amp;"; "&amp;AH702&amp;"; "&amp;AI702&amp;"; "&amp;AJ702</f>
        <v/>
      </c>
    </row>
    <row r="703">
      <c r="A703" s="11" t="inlineStr">
        <is>
          <t>T0239-G10-FÍS</t>
        </is>
      </c>
      <c r="B703" s="11" t="n">
        <v>10</v>
      </c>
      <c r="C703" s="11" t="inlineStr">
        <is>
          <t>Física</t>
        </is>
      </c>
      <c r="D703" s="11" t="inlineStr">
        <is>
          <t>Matriz_Bachillerato_Fisica_10_11.xlsx</t>
        </is>
      </c>
      <c r="E703" s="11" t="inlineStr">
        <is>
          <t>Física 10.°</t>
        </is>
      </c>
      <c r="F703" s="11" t="n">
        <v>79</v>
      </c>
      <c r="G703" s="11" t="inlineStr">
        <is>
          <t>11. Mecánica de fluidos</t>
        </is>
      </c>
      <c r="H703" s="11" t="inlineStr">
        <is>
          <t>Hidrodinámica</t>
        </is>
      </c>
      <c r="I703" s="38" t="inlineStr">
        <is>
          <t>11.7. Clasificación de flujos laminares y turbulentos mediante la observación de líneas de corriente y el cálculo del número de Reynolds.</t>
        </is>
      </c>
      <c r="J703" s="11" t="inlineStr">
        <is>
          <t>TA</t>
        </is>
      </c>
      <c r="K703" s="11" t="inlineStr">
        <is>
          <t>FUERA</t>
        </is>
      </c>
      <c r="L703" s="11" t="inlineStr"/>
      <c r="M703" s="11">
        <f>IF(K703="FUERA","Fuera del marco",IF(K703="N/A","Sin marco",IFERROR(INDEX('Datos - Catálogo TIMSS'!$C$5:$C$107,MATCH(K703,'Datos - Catálogo TIMSS'!$A$5:$A$107,0)),"Pendiente de clasificar")))</f>
        <v/>
      </c>
      <c r="N703" s="11">
        <f>IF(K703="FUERA","Fuera del marco",IF(K703="N/A","Sin marco",IFERROR(INDEX('Datos - Catálogo TIMSS'!$F$5:$F$107,MATCH(K703,'Datos - Catálogo TIMSS'!$A$5:$A$107,0)),"Pendiente de clasificar")))</f>
        <v/>
      </c>
      <c r="O703" s="11">
        <f>IF(L703="","",IFERROR(INDEX('Datos - Catálogo TIMSS'!$C$5:$C$107,MATCH(L703,'Datos - Catálogo TIMSS'!$A$5:$A$107,0)),"?"))</f>
        <v/>
      </c>
      <c r="P703" s="11" t="inlineStr">
        <is>
          <t>alta</t>
        </is>
      </c>
      <c r="Q703" s="38" t="inlineStr">
        <is>
          <t>Flujo laminar y turbulento; hidrodinámica</t>
        </is>
      </c>
      <c r="R703" s="38" t="inlineStr">
        <is>
          <t>Aplicar: calcular el número de Reynolds. Razonar: clasificar el régimen de flujo</t>
        </is>
      </c>
      <c r="S703" s="39">
        <f>IFERROR(ISNUMBER(SEARCH("Conocer",$R703))/(ISNUMBER(SEARCH("Conocer",$R703))+ISNUMBER(SEARCH("Aplicar",$R703))+ISNUMBER(SEARCH("Razonar",$R703))),0)</f>
        <v/>
      </c>
      <c r="T703" s="39">
        <f>IFERROR(ISNUMBER(SEARCH("Aplicar",$R703))/(ISNUMBER(SEARCH("Conocer",$R703))+ISNUMBER(SEARCH("Aplicar",$R703))+ISNUMBER(SEARCH("Razonar",$R703))),0)</f>
        <v/>
      </c>
      <c r="U703" s="39">
        <f>IFERROR(ISNUMBER(SEARCH("Razonar",$R703))/(ISNUMBER(SEARCH("Conocer",$R703))+ISNUMBER(SEARCH("Aplicar",$R703))+ISNUMBER(SEARCH("Razonar",$R703))),0)</f>
        <v/>
      </c>
      <c r="V703" s="11" t="inlineStr">
        <is>
          <t>Física 10°</t>
        </is>
      </c>
      <c r="W703" s="11" t="inlineStr">
        <is>
          <t>Física 10°–11°</t>
        </is>
      </c>
      <c r="X703" s="11">
        <f>IF(OR(IFERROR(INDEX('Datos - Catálogo TIMSS'!$I$5:$I$107,MATCH(K703,'Datos - Catálogo TIMSS'!$A$5:$A$107,0)),"No")="Sí",IFERROR(INDEX('Datos - Catálogo TIMSS'!$I$5:$I$107,MATCH(L703,'Datos - Catálogo TIMSS'!$A$5:$A$107,0)),"No")="Sí"),1,0)</f>
        <v/>
      </c>
      <c r="Y703" s="11">
        <f>IF(IFERROR(INDEX('Datos - Catálogo TIMSS'!$J$5:$J$107,MATCH(K703,'Datos - Catálogo TIMSS'!$A$5:$A$107,0)),"No")="Sí",1,0)</f>
        <v/>
      </c>
      <c r="Z703" s="11">
        <f>IF(IFERROR(INDEX('Datos - Catálogo TIMSS'!$J$5:$J$107,MATCH(L703,'Datos - Catálogo TIMSS'!$A$5:$A$107,0)),"No")="Sí",1,0)</f>
        <v/>
      </c>
      <c r="AA703" s="11" t="inlineStr">
        <is>
          <t>FUERA</t>
        </is>
      </c>
      <c r="AB703" s="11" t="inlineStr"/>
      <c r="AC703" s="11">
        <f>IF(AA703="FUERA","Fuera del marco",IF(AA703="N/A","Sin marco",IFERROR(INDEX('Datos - TIMSS 2023'!$C$5:$C$105,MATCH(AA703,'Datos - TIMSS 2023'!$A$5:$A$105,0)),"Pendiente de clasificar")))</f>
        <v/>
      </c>
      <c r="AD703" s="11" t="inlineStr">
        <is>
          <t>1. Explicar fenómenos científicamente</t>
        </is>
      </c>
      <c r="AE703" s="11">
        <f>IF(AD703="","",IF(LEFT(AD703,1)="1","C1",IF(LEFT(AD703,1)="2","C2",IF(LEFT(AD703,1)="3","C3",""))))</f>
        <v/>
      </c>
      <c r="AF703" s="11" t="inlineStr">
        <is>
          <t>E1</t>
        </is>
      </c>
      <c r="AG703" s="11" t="inlineStr">
        <is>
          <t>D1</t>
        </is>
      </c>
      <c r="AH703" s="11" t="inlineStr">
        <is>
          <t>E2</t>
        </is>
      </c>
      <c r="AI703" s="11" t="inlineStr">
        <is>
          <t>D4</t>
        </is>
      </c>
      <c r="AJ703" s="11" t="inlineStr">
        <is>
          <t>E3</t>
        </is>
      </c>
      <c r="AK703" s="11" t="n"/>
      <c r="AL703" s="11" t="n"/>
      <c r="AM703" s="11" t="n"/>
      <c r="AN703" s="11" t="n"/>
      <c r="AO703" s="11" t="n"/>
      <c r="AP703" s="11" t="n"/>
      <c r="AQ703" s="11" t="n"/>
      <c r="AR703" s="11" t="n"/>
      <c r="AS703" s="11" t="n"/>
      <c r="AT703" s="11" t="n"/>
      <c r="AU703" s="11" t="n"/>
      <c r="AV703" s="11" t="n"/>
      <c r="AW703" s="11">
        <f>AF703&amp;"; "&amp;AG703&amp;"; "&amp;AH703&amp;"; "&amp;AI703&amp;"; "&amp;AJ703</f>
        <v/>
      </c>
    </row>
    <row r="704">
      <c r="A704" s="11" t="inlineStr">
        <is>
          <t>T0240-G10-FÍS</t>
        </is>
      </c>
      <c r="B704" s="11" t="n">
        <v>10</v>
      </c>
      <c r="C704" s="11" t="inlineStr">
        <is>
          <t>Física</t>
        </is>
      </c>
      <c r="D704" s="11" t="inlineStr">
        <is>
          <t>Matriz_Bachillerato_Fisica_10_11.xlsx</t>
        </is>
      </c>
      <c r="E704" s="11" t="inlineStr">
        <is>
          <t>Física 10.°</t>
        </is>
      </c>
      <c r="F704" s="11" t="n">
        <v>80</v>
      </c>
      <c r="G704" s="11" t="inlineStr">
        <is>
          <t>11. Mecánica de fluidos</t>
        </is>
      </c>
      <c r="H704" s="11" t="inlineStr">
        <is>
          <t>Hidrodinámica</t>
        </is>
      </c>
      <c r="I704" s="38" t="inlineStr">
        <is>
          <t>11.8. Aplicación de la ecuación de continuidad al cálculo de caudales y rapideces en tuberías, mangueras y canales de riego.</t>
        </is>
      </c>
      <c r="J704" s="11" t="inlineStr">
        <is>
          <t>TA</t>
        </is>
      </c>
      <c r="K704" s="11" t="inlineStr">
        <is>
          <t>FUERA</t>
        </is>
      </c>
      <c r="L704" s="11" t="inlineStr"/>
      <c r="M704" s="11">
        <f>IF(K704="FUERA","Fuera del marco",IF(K704="N/A","Sin marco",IFERROR(INDEX('Datos - Catálogo TIMSS'!$C$5:$C$107,MATCH(K704,'Datos - Catálogo TIMSS'!$A$5:$A$107,0)),"Pendiente de clasificar")))</f>
        <v/>
      </c>
      <c r="N704" s="11">
        <f>IF(K704="FUERA","Fuera del marco",IF(K704="N/A","Sin marco",IFERROR(INDEX('Datos - Catálogo TIMSS'!$F$5:$F$107,MATCH(K704,'Datos - Catálogo TIMSS'!$A$5:$A$107,0)),"Pendiente de clasificar")))</f>
        <v/>
      </c>
      <c r="O704" s="11">
        <f>IF(L704="","",IFERROR(INDEX('Datos - Catálogo TIMSS'!$C$5:$C$107,MATCH(L704,'Datos - Catálogo TIMSS'!$A$5:$A$107,0)),"?"))</f>
        <v/>
      </c>
      <c r="P704" s="11" t="inlineStr">
        <is>
          <t>alta</t>
        </is>
      </c>
      <c r="Q704" s="38" t="inlineStr">
        <is>
          <t>Ecuación de continuidad; hidrodinámica</t>
        </is>
      </c>
      <c r="R704" s="38" t="inlineStr">
        <is>
          <t>Aplicar: calcular caudales y rapideces. Razonar: justificar el diseño de una red de riego</t>
        </is>
      </c>
      <c r="S704" s="39">
        <f>IFERROR(ISNUMBER(SEARCH("Conocer",$R704))/(ISNUMBER(SEARCH("Conocer",$R704))+ISNUMBER(SEARCH("Aplicar",$R704))+ISNUMBER(SEARCH("Razonar",$R704))),0)</f>
        <v/>
      </c>
      <c r="T704" s="39">
        <f>IFERROR(ISNUMBER(SEARCH("Aplicar",$R704))/(ISNUMBER(SEARCH("Conocer",$R704))+ISNUMBER(SEARCH("Aplicar",$R704))+ISNUMBER(SEARCH("Razonar",$R704))),0)</f>
        <v/>
      </c>
      <c r="U704" s="39">
        <f>IFERROR(ISNUMBER(SEARCH("Razonar",$R704))/(ISNUMBER(SEARCH("Conocer",$R704))+ISNUMBER(SEARCH("Aplicar",$R704))+ISNUMBER(SEARCH("Razonar",$R704))),0)</f>
        <v/>
      </c>
      <c r="V704" s="11" t="inlineStr">
        <is>
          <t>Física 10°</t>
        </is>
      </c>
      <c r="W704" s="11" t="inlineStr">
        <is>
          <t>Física 10°–11°</t>
        </is>
      </c>
      <c r="X704" s="11">
        <f>IF(OR(IFERROR(INDEX('Datos - Catálogo TIMSS'!$I$5:$I$107,MATCH(K704,'Datos - Catálogo TIMSS'!$A$5:$A$107,0)),"No")="Sí",IFERROR(INDEX('Datos - Catálogo TIMSS'!$I$5:$I$107,MATCH(L704,'Datos - Catálogo TIMSS'!$A$5:$A$107,0)),"No")="Sí"),1,0)</f>
        <v/>
      </c>
      <c r="Y704" s="11">
        <f>IF(IFERROR(INDEX('Datos - Catálogo TIMSS'!$J$5:$J$107,MATCH(K704,'Datos - Catálogo TIMSS'!$A$5:$A$107,0)),"No")="Sí",1,0)</f>
        <v/>
      </c>
      <c r="Z704" s="11">
        <f>IF(IFERROR(INDEX('Datos - Catálogo TIMSS'!$J$5:$J$107,MATCH(L704,'Datos - Catálogo TIMSS'!$A$5:$A$107,0)),"No")="Sí",1,0)</f>
        <v/>
      </c>
      <c r="AA704" s="11" t="inlineStr">
        <is>
          <t>FUERA</t>
        </is>
      </c>
      <c r="AB704" s="11" t="inlineStr"/>
      <c r="AC704" s="11">
        <f>IF(AA704="FUERA","Fuera del marco",IF(AA704="N/A","Sin marco",IFERROR(INDEX('Datos - TIMSS 2023'!$C$5:$C$105,MATCH(AA704,'Datos - TIMSS 2023'!$A$5:$A$105,0)),"Pendiente de clasificar")))</f>
        <v/>
      </c>
      <c r="AD704" s="11" t="inlineStr">
        <is>
          <t>1. Explicar fenómenos científicamente</t>
        </is>
      </c>
      <c r="AE704" s="11">
        <f>IF(AD704="","",IF(LEFT(AD704,1)="1","C1",IF(LEFT(AD704,1)="2","C2",IF(LEFT(AD704,1)="3","C3",""))))</f>
        <v/>
      </c>
      <c r="AF704" s="11" t="inlineStr">
        <is>
          <t>E6</t>
        </is>
      </c>
      <c r="AG704" s="11" t="inlineStr">
        <is>
          <t>E3</t>
        </is>
      </c>
      <c r="AH704" s="11" t="inlineStr">
        <is>
          <t>E1</t>
        </is>
      </c>
      <c r="AI704" s="11" t="inlineStr">
        <is>
          <t>D4</t>
        </is>
      </c>
      <c r="AJ704" s="11" t="inlineStr">
        <is>
          <t>I5</t>
        </is>
      </c>
      <c r="AK704" s="11" t="n"/>
      <c r="AL704" s="11" t="n"/>
      <c r="AM704" s="11" t="n"/>
      <c r="AN704" s="11" t="n"/>
      <c r="AO704" s="11" t="n"/>
      <c r="AP704" s="11" t="n"/>
      <c r="AQ704" s="11" t="n"/>
      <c r="AR704" s="11" t="n"/>
      <c r="AS704" s="11" t="n"/>
      <c r="AT704" s="11" t="n"/>
      <c r="AU704" s="11" t="n"/>
      <c r="AV704" s="11" t="n"/>
      <c r="AW704" s="11">
        <f>AF704&amp;"; "&amp;AG704&amp;"; "&amp;AH704&amp;"; "&amp;AI704&amp;"; "&amp;AJ704</f>
        <v/>
      </c>
    </row>
    <row r="705">
      <c r="A705" s="11" t="inlineStr">
        <is>
          <t>T0241-G10-FÍS</t>
        </is>
      </c>
      <c r="B705" s="11" t="n">
        <v>10</v>
      </c>
      <c r="C705" s="11" t="inlineStr">
        <is>
          <t>Física</t>
        </is>
      </c>
      <c r="D705" s="11" t="inlineStr">
        <is>
          <t>Matriz_Bachillerato_Fisica_10_11.xlsx</t>
        </is>
      </c>
      <c r="E705" s="11" t="inlineStr">
        <is>
          <t>Física 10.°</t>
        </is>
      </c>
      <c r="F705" s="11" t="n">
        <v>81</v>
      </c>
      <c r="G705" s="11" t="inlineStr">
        <is>
          <t>11. Mecánica de fluidos</t>
        </is>
      </c>
      <c r="H705" s="11" t="inlineStr">
        <is>
          <t>Ecuación de Bernoulli</t>
        </is>
      </c>
      <c r="I705" s="38" t="inlineStr">
        <is>
          <t>11.9. Deducción de la ecuación de Bernoulli a partir del teorema del trabajo y la energía aplicado a un fluido ideal.</t>
        </is>
      </c>
      <c r="J705" s="11" t="inlineStr">
        <is>
          <t>TA</t>
        </is>
      </c>
      <c r="K705" s="11" t="inlineStr">
        <is>
          <t>FUERA</t>
        </is>
      </c>
      <c r="L705" s="11" t="inlineStr"/>
      <c r="M705" s="11">
        <f>IF(K705="FUERA","Fuera del marco",IF(K705="N/A","Sin marco",IFERROR(INDEX('Datos - Catálogo TIMSS'!$C$5:$C$107,MATCH(K705,'Datos - Catálogo TIMSS'!$A$5:$A$107,0)),"Pendiente de clasificar")))</f>
        <v/>
      </c>
      <c r="N705" s="11">
        <f>IF(K705="FUERA","Fuera del marco",IF(K705="N/A","Sin marco",IFERROR(INDEX('Datos - Catálogo TIMSS'!$F$5:$F$107,MATCH(K705,'Datos - Catálogo TIMSS'!$A$5:$A$107,0)),"Pendiente de clasificar")))</f>
        <v/>
      </c>
      <c r="O705" s="11">
        <f>IF(L705="","",IFERROR(INDEX('Datos - Catálogo TIMSS'!$C$5:$C$107,MATCH(L705,'Datos - Catálogo TIMSS'!$A$5:$A$107,0)),"?"))</f>
        <v/>
      </c>
      <c r="P705" s="11" t="inlineStr">
        <is>
          <t>media</t>
        </is>
      </c>
      <c r="Q705" s="38" t="inlineStr">
        <is>
          <t>Bernoulli desde trabajo-energía; hidrodinámica fuera del marco</t>
        </is>
      </c>
      <c r="R705" s="38" t="inlineStr">
        <is>
          <t>Razonar: deducir la ecuación de Bernoulli. Aplicar: calcular presiones en tuberías</t>
        </is>
      </c>
      <c r="S705" s="39">
        <f>IFERROR(ISNUMBER(SEARCH("Conocer",$R705))/(ISNUMBER(SEARCH("Conocer",$R705))+ISNUMBER(SEARCH("Aplicar",$R705))+ISNUMBER(SEARCH("Razonar",$R705))),0)</f>
        <v/>
      </c>
      <c r="T705" s="39">
        <f>IFERROR(ISNUMBER(SEARCH("Aplicar",$R705))/(ISNUMBER(SEARCH("Conocer",$R705))+ISNUMBER(SEARCH("Aplicar",$R705))+ISNUMBER(SEARCH("Razonar",$R705))),0)</f>
        <v/>
      </c>
      <c r="U705" s="39">
        <f>IFERROR(ISNUMBER(SEARCH("Razonar",$R705))/(ISNUMBER(SEARCH("Conocer",$R705))+ISNUMBER(SEARCH("Aplicar",$R705))+ISNUMBER(SEARCH("Razonar",$R705))),0)</f>
        <v/>
      </c>
      <c r="V705" s="11" t="inlineStr">
        <is>
          <t>Física 10°</t>
        </is>
      </c>
      <c r="W705" s="11" t="inlineStr">
        <is>
          <t>Física 10°–11°</t>
        </is>
      </c>
      <c r="X705" s="11">
        <f>IF(OR(IFERROR(INDEX('Datos - Catálogo TIMSS'!$I$5:$I$107,MATCH(K705,'Datos - Catálogo TIMSS'!$A$5:$A$107,0)),"No")="Sí",IFERROR(INDEX('Datos - Catálogo TIMSS'!$I$5:$I$107,MATCH(L705,'Datos - Catálogo TIMSS'!$A$5:$A$107,0)),"No")="Sí"),1,0)</f>
        <v/>
      </c>
      <c r="Y705" s="11">
        <f>IF(IFERROR(INDEX('Datos - Catálogo TIMSS'!$J$5:$J$107,MATCH(K705,'Datos - Catálogo TIMSS'!$A$5:$A$107,0)),"No")="Sí",1,0)</f>
        <v/>
      </c>
      <c r="Z705" s="11">
        <f>IF(IFERROR(INDEX('Datos - Catálogo TIMSS'!$J$5:$J$107,MATCH(L705,'Datos - Catálogo TIMSS'!$A$5:$A$107,0)),"No")="Sí",1,0)</f>
        <v/>
      </c>
      <c r="AA705" s="11" t="inlineStr">
        <is>
          <t>FUERA</t>
        </is>
      </c>
      <c r="AB705" s="11" t="inlineStr"/>
      <c r="AC705" s="11">
        <f>IF(AA705="FUERA","Fuera del marco",IF(AA705="N/A","Sin marco",IFERROR(INDEX('Datos - TIMSS 2023'!$C$5:$C$105,MATCH(AA705,'Datos - TIMSS 2023'!$A$5:$A$105,0)),"Pendiente de clasificar")))</f>
        <v/>
      </c>
      <c r="AD705" s="11" t="inlineStr">
        <is>
          <t>3. Investigar, evaluar y usar información científica para tomar decisiones y actuar</t>
        </is>
      </c>
      <c r="AE705" s="11">
        <f>IF(AD705="","",IF(LEFT(AD705,1)="1","C1",IF(LEFT(AD705,1)="2","C2",IF(LEFT(AD705,1)="3","C3",""))))</f>
        <v/>
      </c>
      <c r="AF705" s="11" t="inlineStr">
        <is>
          <t>E1</t>
        </is>
      </c>
      <c r="AG705" s="11" t="inlineStr">
        <is>
          <t>E5</t>
        </is>
      </c>
      <c r="AH705" s="11" t="inlineStr">
        <is>
          <t>E4</t>
        </is>
      </c>
      <c r="AI705" s="11" t="inlineStr">
        <is>
          <t>I3</t>
        </is>
      </c>
      <c r="AJ705" s="11" t="inlineStr">
        <is>
          <t>E3</t>
        </is>
      </c>
      <c r="AK705" s="11" t="n"/>
      <c r="AL705" s="11" t="n"/>
      <c r="AM705" s="11" t="n"/>
      <c r="AN705" s="11" t="n"/>
      <c r="AO705" s="11" t="n"/>
      <c r="AP705" s="11" t="n"/>
      <c r="AQ705" s="11" t="n"/>
      <c r="AR705" s="11" t="n"/>
      <c r="AS705" s="11" t="n"/>
      <c r="AT705" s="11" t="n"/>
      <c r="AU705" s="11" t="n"/>
      <c r="AV705" s="11" t="n"/>
      <c r="AW705" s="11">
        <f>AF705&amp;"; "&amp;AG705&amp;"; "&amp;AH705&amp;"; "&amp;AI705&amp;"; "&amp;AJ705</f>
        <v/>
      </c>
    </row>
    <row r="706">
      <c r="A706" s="11" t="inlineStr">
        <is>
          <t>T0242-G10-FÍS</t>
        </is>
      </c>
      <c r="B706" s="11" t="n">
        <v>10</v>
      </c>
      <c r="C706" s="11" t="inlineStr">
        <is>
          <t>Física</t>
        </is>
      </c>
      <c r="D706" s="11" t="inlineStr">
        <is>
          <t>Matriz_Bachillerato_Fisica_10_11.xlsx</t>
        </is>
      </c>
      <c r="E706" s="11" t="inlineStr">
        <is>
          <t>Física 10.°</t>
        </is>
      </c>
      <c r="F706" s="11" t="n">
        <v>82</v>
      </c>
      <c r="G706" s="11" t="inlineStr">
        <is>
          <t>11. Mecánica de fluidos</t>
        </is>
      </c>
      <c r="H706" s="11" t="inlineStr">
        <is>
          <t>Ecuación de Bernoulli</t>
        </is>
      </c>
      <c r="I706" s="38" t="inlineStr">
        <is>
          <t>11.10. Resolución de problemas tecnológicos aplicando la ecuación de Bernoulli junto con la ecuación de continuidad.</t>
        </is>
      </c>
      <c r="J706" s="11" t="inlineStr">
        <is>
          <t>TA</t>
        </is>
      </c>
      <c r="K706" s="11" t="inlineStr">
        <is>
          <t>FUERA</t>
        </is>
      </c>
      <c r="L706" s="11" t="inlineStr"/>
      <c r="M706" s="11">
        <f>IF(K706="FUERA","Fuera del marco",IF(K706="N/A","Sin marco",IFERROR(INDEX('Datos - Catálogo TIMSS'!$C$5:$C$107,MATCH(K706,'Datos - Catálogo TIMSS'!$A$5:$A$107,0)),"Pendiente de clasificar")))</f>
        <v/>
      </c>
      <c r="N706" s="11">
        <f>IF(K706="FUERA","Fuera del marco",IF(K706="N/A","Sin marco",IFERROR(INDEX('Datos - Catálogo TIMSS'!$F$5:$F$107,MATCH(K706,'Datos - Catálogo TIMSS'!$A$5:$A$107,0)),"Pendiente de clasificar")))</f>
        <v/>
      </c>
      <c r="O706" s="11">
        <f>IF(L706="","",IFERROR(INDEX('Datos - Catálogo TIMSS'!$C$5:$C$107,MATCH(L706,'Datos - Catálogo TIMSS'!$A$5:$A$107,0)),"?"))</f>
        <v/>
      </c>
      <c r="P706" s="11" t="inlineStr">
        <is>
          <t>alta</t>
        </is>
      </c>
      <c r="Q706" s="38" t="inlineStr">
        <is>
          <t>Aplicaciones de Bernoulli; hidrodinámica</t>
        </is>
      </c>
      <c r="R706" s="38" t="inlineStr">
        <is>
          <t>Aplicar: resolver problemas con Bernoulli y continuidad. Razonar: argumentar soluciones tecnológicas</t>
        </is>
      </c>
      <c r="S706" s="39">
        <f>IFERROR(ISNUMBER(SEARCH("Conocer",$R706))/(ISNUMBER(SEARCH("Conocer",$R706))+ISNUMBER(SEARCH("Aplicar",$R706))+ISNUMBER(SEARCH("Razonar",$R706))),0)</f>
        <v/>
      </c>
      <c r="T706" s="39">
        <f>IFERROR(ISNUMBER(SEARCH("Aplicar",$R706))/(ISNUMBER(SEARCH("Conocer",$R706))+ISNUMBER(SEARCH("Aplicar",$R706))+ISNUMBER(SEARCH("Razonar",$R706))),0)</f>
        <v/>
      </c>
      <c r="U706" s="39">
        <f>IFERROR(ISNUMBER(SEARCH("Razonar",$R706))/(ISNUMBER(SEARCH("Conocer",$R706))+ISNUMBER(SEARCH("Aplicar",$R706))+ISNUMBER(SEARCH("Razonar",$R706))),0)</f>
        <v/>
      </c>
      <c r="V706" s="11" t="inlineStr">
        <is>
          <t>Física 10°</t>
        </is>
      </c>
      <c r="W706" s="11" t="inlineStr">
        <is>
          <t>Física 10°–11°</t>
        </is>
      </c>
      <c r="X706" s="11">
        <f>IF(OR(IFERROR(INDEX('Datos - Catálogo TIMSS'!$I$5:$I$107,MATCH(K706,'Datos - Catálogo TIMSS'!$A$5:$A$107,0)),"No")="Sí",IFERROR(INDEX('Datos - Catálogo TIMSS'!$I$5:$I$107,MATCH(L706,'Datos - Catálogo TIMSS'!$A$5:$A$107,0)),"No")="Sí"),1,0)</f>
        <v/>
      </c>
      <c r="Y706" s="11">
        <f>IF(IFERROR(INDEX('Datos - Catálogo TIMSS'!$J$5:$J$107,MATCH(K706,'Datos - Catálogo TIMSS'!$A$5:$A$107,0)),"No")="Sí",1,0)</f>
        <v/>
      </c>
      <c r="Z706" s="11">
        <f>IF(IFERROR(INDEX('Datos - Catálogo TIMSS'!$J$5:$J$107,MATCH(L706,'Datos - Catálogo TIMSS'!$A$5:$A$107,0)),"No")="Sí",1,0)</f>
        <v/>
      </c>
      <c r="AA706" s="11" t="inlineStr">
        <is>
          <t>FUERA</t>
        </is>
      </c>
      <c r="AB706" s="11" t="inlineStr"/>
      <c r="AC706" s="11">
        <f>IF(AA706="FUERA","Fuera del marco",IF(AA706="N/A","Sin marco",IFERROR(INDEX('Datos - TIMSS 2023'!$C$5:$C$105,MATCH(AA706,'Datos - TIMSS 2023'!$A$5:$A$105,0)),"Pendiente de clasificar")))</f>
        <v/>
      </c>
      <c r="AD706" s="11" t="inlineStr">
        <is>
          <t>3. Investigar, evaluar y usar información científica para tomar decisiones y actuar</t>
        </is>
      </c>
      <c r="AE706" s="11">
        <f>IF(AD706="","",IF(LEFT(AD706,1)="1","C1",IF(LEFT(AD706,1)="2","C2",IF(LEFT(AD706,1)="3","C3",""))))</f>
        <v/>
      </c>
      <c r="AF706" s="11" t="inlineStr">
        <is>
          <t>E6</t>
        </is>
      </c>
      <c r="AG706" s="11" t="inlineStr">
        <is>
          <t>D1</t>
        </is>
      </c>
      <c r="AH706" s="11" t="inlineStr">
        <is>
          <t>E2</t>
        </is>
      </c>
      <c r="AI706" s="11" t="inlineStr">
        <is>
          <t>I3</t>
        </is>
      </c>
      <c r="AJ706" s="11" t="inlineStr">
        <is>
          <t>I1</t>
        </is>
      </c>
      <c r="AK706" s="11" t="n"/>
      <c r="AL706" s="11" t="n"/>
      <c r="AM706" s="11" t="n"/>
      <c r="AN706" s="11" t="n"/>
      <c r="AO706" s="11" t="n"/>
      <c r="AP706" s="11" t="n"/>
      <c r="AQ706" s="11" t="n"/>
      <c r="AR706" s="11" t="n"/>
      <c r="AS706" s="11" t="n"/>
      <c r="AT706" s="11" t="n"/>
      <c r="AU706" s="11" t="n"/>
      <c r="AV706" s="11" t="n"/>
      <c r="AW706" s="11">
        <f>AF706&amp;"; "&amp;AG706&amp;"; "&amp;AH706&amp;"; "&amp;AI706&amp;"; "&amp;AJ706</f>
        <v/>
      </c>
    </row>
    <row r="707">
      <c r="A707" s="11" t="inlineStr">
        <is>
          <t>T0243-G10-FÍS</t>
        </is>
      </c>
      <c r="B707" s="11" t="n">
        <v>10</v>
      </c>
      <c r="C707" s="11" t="inlineStr">
        <is>
          <t>Física</t>
        </is>
      </c>
      <c r="D707" s="11" t="inlineStr">
        <is>
          <t>Matriz_Bachillerato_Fisica_10_11.xlsx</t>
        </is>
      </c>
      <c r="E707" s="11" t="inlineStr">
        <is>
          <t>Física 10.°</t>
        </is>
      </c>
      <c r="F707" s="11" t="n">
        <v>83</v>
      </c>
      <c r="G707" s="11" t="inlineStr">
        <is>
          <t>11. Mecánica de fluidos</t>
        </is>
      </c>
      <c r="H707" s="11" t="inlineStr">
        <is>
          <t>Fluidos viscosos</t>
        </is>
      </c>
      <c r="I707" s="38" t="inlineStr">
        <is>
          <t>11.11. Análisis del efecto de la viscosidad en el flujo por tuberías y de las pérdidas de presión asociadas.</t>
        </is>
      </c>
      <c r="J707" s="11" t="inlineStr">
        <is>
          <t>TA</t>
        </is>
      </c>
      <c r="K707" s="11" t="inlineStr">
        <is>
          <t>FUERA</t>
        </is>
      </c>
      <c r="L707" s="11" t="inlineStr"/>
      <c r="M707" s="11">
        <f>IF(K707="FUERA","Fuera del marco",IF(K707="N/A","Sin marco",IFERROR(INDEX('Datos - Catálogo TIMSS'!$C$5:$C$107,MATCH(K707,'Datos - Catálogo TIMSS'!$A$5:$A$107,0)),"Pendiente de clasificar")))</f>
        <v/>
      </c>
      <c r="N707" s="11">
        <f>IF(K707="FUERA","Fuera del marco",IF(K707="N/A","Sin marco",IFERROR(INDEX('Datos - Catálogo TIMSS'!$F$5:$F$107,MATCH(K707,'Datos - Catálogo TIMSS'!$A$5:$A$107,0)),"Pendiente de clasificar")))</f>
        <v/>
      </c>
      <c r="O707" s="11">
        <f>IF(L707="","",IFERROR(INDEX('Datos - Catálogo TIMSS'!$C$5:$C$107,MATCH(L707,'Datos - Catálogo TIMSS'!$A$5:$A$107,0)),"?"))</f>
        <v/>
      </c>
      <c r="P707" s="11" t="inlineStr">
        <is>
          <t>alta</t>
        </is>
      </c>
      <c r="Q707" s="38" t="inlineStr">
        <is>
          <t>Viscosidad y Poiseuille; hidrodinámica</t>
        </is>
      </c>
      <c r="R707" s="38" t="inlineStr">
        <is>
          <t>Aplicar: calcular caudales con la ley de Poiseuille. Razonar: explicar la dependencia de r⁴</t>
        </is>
      </c>
      <c r="S707" s="39">
        <f>IFERROR(ISNUMBER(SEARCH("Conocer",$R707))/(ISNUMBER(SEARCH("Conocer",$R707))+ISNUMBER(SEARCH("Aplicar",$R707))+ISNUMBER(SEARCH("Razonar",$R707))),0)</f>
        <v/>
      </c>
      <c r="T707" s="39">
        <f>IFERROR(ISNUMBER(SEARCH("Aplicar",$R707))/(ISNUMBER(SEARCH("Conocer",$R707))+ISNUMBER(SEARCH("Aplicar",$R707))+ISNUMBER(SEARCH("Razonar",$R707))),0)</f>
        <v/>
      </c>
      <c r="U707" s="39">
        <f>IFERROR(ISNUMBER(SEARCH("Razonar",$R707))/(ISNUMBER(SEARCH("Conocer",$R707))+ISNUMBER(SEARCH("Aplicar",$R707))+ISNUMBER(SEARCH("Razonar",$R707))),0)</f>
        <v/>
      </c>
      <c r="V707" s="11" t="inlineStr">
        <is>
          <t>Física 10°</t>
        </is>
      </c>
      <c r="W707" s="11" t="inlineStr">
        <is>
          <t>Física 10°–11°</t>
        </is>
      </c>
      <c r="X707" s="11">
        <f>IF(OR(IFERROR(INDEX('Datos - Catálogo TIMSS'!$I$5:$I$107,MATCH(K707,'Datos - Catálogo TIMSS'!$A$5:$A$107,0)),"No")="Sí",IFERROR(INDEX('Datos - Catálogo TIMSS'!$I$5:$I$107,MATCH(L707,'Datos - Catálogo TIMSS'!$A$5:$A$107,0)),"No")="Sí"),1,0)</f>
        <v/>
      </c>
      <c r="Y707" s="11">
        <f>IF(IFERROR(INDEX('Datos - Catálogo TIMSS'!$J$5:$J$107,MATCH(K707,'Datos - Catálogo TIMSS'!$A$5:$A$107,0)),"No")="Sí",1,0)</f>
        <v/>
      </c>
      <c r="Z707" s="11">
        <f>IF(IFERROR(INDEX('Datos - Catálogo TIMSS'!$J$5:$J$107,MATCH(L707,'Datos - Catálogo TIMSS'!$A$5:$A$107,0)),"No")="Sí",1,0)</f>
        <v/>
      </c>
      <c r="AA707" s="11" t="inlineStr">
        <is>
          <t>FUERA</t>
        </is>
      </c>
      <c r="AB707" s="11" t="inlineStr"/>
      <c r="AC707" s="11">
        <f>IF(AA707="FUERA","Fuera del marco",IF(AA707="N/A","Sin marco",IFERROR(INDEX('Datos - TIMSS 2023'!$C$5:$C$105,MATCH(AA707,'Datos - TIMSS 2023'!$A$5:$A$105,0)),"Pendiente de clasificar")))</f>
        <v/>
      </c>
      <c r="AD707" s="11" t="inlineStr">
        <is>
          <t>1. Explicar fenómenos científicamente</t>
        </is>
      </c>
      <c r="AE707" s="11">
        <f>IF(AD707="","",IF(LEFT(AD707,1)="1","C1",IF(LEFT(AD707,1)="2","C2",IF(LEFT(AD707,1)="3","C3",""))))</f>
        <v/>
      </c>
      <c r="AF707" s="11" t="inlineStr">
        <is>
          <t>E1</t>
        </is>
      </c>
      <c r="AG707" s="11" t="inlineStr">
        <is>
          <t>E3</t>
        </is>
      </c>
      <c r="AH707" s="11" t="inlineStr">
        <is>
          <t>E4</t>
        </is>
      </c>
      <c r="AI707" s="11" t="inlineStr">
        <is>
          <t>D4</t>
        </is>
      </c>
      <c r="AJ707" s="11" t="inlineStr">
        <is>
          <t>I5</t>
        </is>
      </c>
      <c r="AK707" s="11" t="n"/>
      <c r="AL707" s="11" t="n"/>
      <c r="AM707" s="11" t="n"/>
      <c r="AN707" s="11" t="n"/>
      <c r="AO707" s="11" t="n"/>
      <c r="AP707" s="11" t="n"/>
      <c r="AQ707" s="11" t="n"/>
      <c r="AR707" s="11" t="n"/>
      <c r="AS707" s="11" t="n"/>
      <c r="AT707" s="11" t="n"/>
      <c r="AU707" s="11" t="n"/>
      <c r="AV707" s="11" t="n"/>
      <c r="AW707" s="11">
        <f>AF707&amp;"; "&amp;AG707&amp;"; "&amp;AH707&amp;"; "&amp;AI707&amp;"; "&amp;AJ707</f>
        <v/>
      </c>
    </row>
    <row r="708">
      <c r="A708" s="11" t="inlineStr">
        <is>
          <t>T0244-G10-FÍS</t>
        </is>
      </c>
      <c r="B708" s="11" t="n">
        <v>10</v>
      </c>
      <c r="C708" s="11" t="inlineStr">
        <is>
          <t>Física</t>
        </is>
      </c>
      <c r="D708" s="11" t="inlineStr">
        <is>
          <t>Matriz_Bachillerato_Fisica_10_11.xlsx</t>
        </is>
      </c>
      <c r="E708" s="11" t="inlineStr">
        <is>
          <t>Física 10.°</t>
        </is>
      </c>
      <c r="F708" s="11" t="n">
        <v>84</v>
      </c>
      <c r="G708" s="11" t="inlineStr">
        <is>
          <t>12. Temperatura y calor</t>
        </is>
      </c>
      <c r="H708" s="11" t="inlineStr">
        <is>
          <t>Temperatura y su medición</t>
        </is>
      </c>
      <c r="I708" s="38" t="inlineStr">
        <is>
          <t>12.1. Deducción de las ecuaciones de conversión entre escalas de temperatura a partir de sus puntos fijos.</t>
        </is>
      </c>
      <c r="J708" s="11" t="inlineStr">
        <is>
          <t>TA</t>
        </is>
      </c>
      <c r="K708" s="11" t="inlineStr">
        <is>
          <t>FUERA</t>
        </is>
      </c>
      <c r="L708" s="11" t="inlineStr"/>
      <c r="M708" s="11">
        <f>IF(K708="FUERA","Fuera del marco",IF(K708="N/A","Sin marco",IFERROR(INDEX('Datos - Catálogo TIMSS'!$C$5:$C$107,MATCH(K708,'Datos - Catálogo TIMSS'!$A$5:$A$107,0)),"Pendiente de clasificar")))</f>
        <v/>
      </c>
      <c r="N708" s="11">
        <f>IF(K708="FUERA","Fuera del marco",IF(K708="N/A","Sin marco",IFERROR(INDEX('Datos - Catálogo TIMSS'!$F$5:$F$107,MATCH(K708,'Datos - Catálogo TIMSS'!$A$5:$A$107,0)),"Pendiente de clasificar")))</f>
        <v/>
      </c>
      <c r="O708" s="11">
        <f>IF(L708="","",IFERROR(INDEX('Datos - Catálogo TIMSS'!$C$5:$C$107,MATCH(L708,'Datos - Catálogo TIMSS'!$A$5:$A$107,0)),"?"))</f>
        <v/>
      </c>
      <c r="P708" s="11" t="inlineStr">
        <is>
          <t>media</t>
        </is>
      </c>
      <c r="Q708" s="38" t="inlineStr">
        <is>
          <t>Conversión entre escalas de temperatura; unidades</t>
        </is>
      </c>
      <c r="R708" s="38" t="inlineStr">
        <is>
          <t>Aplicar: deducir y usar una relación lineal. Razonar: justificar un punto de coincidencia entre escalas</t>
        </is>
      </c>
      <c r="S708" s="39">
        <f>IFERROR(ISNUMBER(SEARCH("Conocer",$R708))/(ISNUMBER(SEARCH("Conocer",$R708))+ISNUMBER(SEARCH("Aplicar",$R708))+ISNUMBER(SEARCH("Razonar",$R708))),0)</f>
        <v/>
      </c>
      <c r="T708" s="39">
        <f>IFERROR(ISNUMBER(SEARCH("Aplicar",$R708))/(ISNUMBER(SEARCH("Conocer",$R708))+ISNUMBER(SEARCH("Aplicar",$R708))+ISNUMBER(SEARCH("Razonar",$R708))),0)</f>
        <v/>
      </c>
      <c r="U708" s="39">
        <f>IFERROR(ISNUMBER(SEARCH("Razonar",$R708))/(ISNUMBER(SEARCH("Conocer",$R708))+ISNUMBER(SEARCH("Aplicar",$R708))+ISNUMBER(SEARCH("Razonar",$R708))),0)</f>
        <v/>
      </c>
      <c r="V708" s="11" t="inlineStr">
        <is>
          <t>Física 10°</t>
        </is>
      </c>
      <c r="W708" s="11" t="inlineStr">
        <is>
          <t>Física 10°–11°</t>
        </is>
      </c>
      <c r="X708" s="11">
        <f>IF(OR(IFERROR(INDEX('Datos - Catálogo TIMSS'!$I$5:$I$107,MATCH(K708,'Datos - Catálogo TIMSS'!$A$5:$A$107,0)),"No")="Sí",IFERROR(INDEX('Datos - Catálogo TIMSS'!$I$5:$I$107,MATCH(L708,'Datos - Catálogo TIMSS'!$A$5:$A$107,0)),"No")="Sí"),1,0)</f>
        <v/>
      </c>
      <c r="Y708" s="11">
        <f>IF(IFERROR(INDEX('Datos - Catálogo TIMSS'!$J$5:$J$107,MATCH(K708,'Datos - Catálogo TIMSS'!$A$5:$A$107,0)),"No")="Sí",1,0)</f>
        <v/>
      </c>
      <c r="Z708" s="11">
        <f>IF(IFERROR(INDEX('Datos - Catálogo TIMSS'!$J$5:$J$107,MATCH(L708,'Datos - Catálogo TIMSS'!$A$5:$A$107,0)),"No")="Sí",1,0)</f>
        <v/>
      </c>
      <c r="AA708" s="11" t="inlineStr">
        <is>
          <t>FUERA</t>
        </is>
      </c>
      <c r="AB708" s="11" t="inlineStr"/>
      <c r="AC708" s="11">
        <f>IF(AA708="FUERA","Fuera del marco",IF(AA708="N/A","Sin marco",IFERROR(INDEX('Datos - TIMSS 2023'!$C$5:$C$105,MATCH(AA708,'Datos - TIMSS 2023'!$A$5:$A$105,0)),"Pendiente de clasificar")))</f>
        <v/>
      </c>
      <c r="AD708" s="11" t="inlineStr">
        <is>
          <t>1. Explicar fenómenos científicamente</t>
        </is>
      </c>
      <c r="AE708" s="11">
        <f>IF(AD708="","",IF(LEFT(AD708,1)="1","C1",IF(LEFT(AD708,1)="2","C2",IF(LEFT(AD708,1)="3","C3",""))))</f>
        <v/>
      </c>
      <c r="AF708" s="11" t="inlineStr">
        <is>
          <t>E1</t>
        </is>
      </c>
      <c r="AG708" s="11" t="inlineStr">
        <is>
          <t>D1</t>
        </is>
      </c>
      <c r="AH708" s="11" t="inlineStr">
        <is>
          <t>E2</t>
        </is>
      </c>
      <c r="AI708" s="11" t="inlineStr">
        <is>
          <t>D4</t>
        </is>
      </c>
      <c r="AJ708" s="11" t="inlineStr">
        <is>
          <t>E3</t>
        </is>
      </c>
      <c r="AK708" s="11" t="n"/>
      <c r="AL708" s="11" t="n"/>
      <c r="AM708" s="11" t="n"/>
      <c r="AN708" s="11" t="n"/>
      <c r="AO708" s="11" t="n"/>
      <c r="AP708" s="11" t="n"/>
      <c r="AQ708" s="11" t="n"/>
      <c r="AR708" s="11" t="n"/>
      <c r="AS708" s="11" t="n"/>
      <c r="AT708" s="11" t="n"/>
      <c r="AU708" s="11" t="n"/>
      <c r="AV708" s="11" t="n"/>
      <c r="AW708" s="11">
        <f>AF708&amp;"; "&amp;AG708&amp;"; "&amp;AH708&amp;"; "&amp;AI708&amp;"; "&amp;AJ708</f>
        <v/>
      </c>
    </row>
    <row r="709">
      <c r="A709" s="11" t="inlineStr">
        <is>
          <t>T0245-G10-FÍS</t>
        </is>
      </c>
      <c r="B709" s="11" t="n">
        <v>10</v>
      </c>
      <c r="C709" s="11" t="inlineStr">
        <is>
          <t>Física</t>
        </is>
      </c>
      <c r="D709" s="11" t="inlineStr">
        <is>
          <t>Matriz_Bachillerato_Fisica_10_11.xlsx</t>
        </is>
      </c>
      <c r="E709" s="11" t="inlineStr">
        <is>
          <t>Física 10.°</t>
        </is>
      </c>
      <c r="F709" s="11" t="n">
        <v>85</v>
      </c>
      <c r="G709" s="11" t="inlineStr">
        <is>
          <t>12. Temperatura y calor</t>
        </is>
      </c>
      <c r="H709" s="11" t="inlineStr">
        <is>
          <t>Temperatura y su medición</t>
        </is>
      </c>
      <c r="I709" s="38" t="inlineStr">
        <is>
          <t>12.2. Extrapolación de datos de presión y temperatura de un gas a volumen constante para estimar el cero absoluto.</t>
        </is>
      </c>
      <c r="J709" s="11" t="inlineStr">
        <is>
          <t>TA</t>
        </is>
      </c>
      <c r="K709" s="11" t="inlineStr">
        <is>
          <t>TA-M3.2</t>
        </is>
      </c>
      <c r="L709" s="11" t="inlineStr"/>
      <c r="M709" s="11">
        <f>IF(K709="FUERA","Fuera del marco",IF(K709="N/A","Sin marco",IFERROR(INDEX('Datos - Catálogo TIMSS'!$C$5:$C$107,MATCH(K709,'Datos - Catálogo TIMSS'!$A$5:$A$107,0)),"Pendiente de clasificar")))</f>
        <v/>
      </c>
      <c r="N709" s="11">
        <f>IF(K709="FUERA","Fuera del marco",IF(K709="N/A","Sin marco",IFERROR(INDEX('Datos - Catálogo TIMSS'!$F$5:$F$107,MATCH(K709,'Datos - Catálogo TIMSS'!$A$5:$A$107,0)),"Pendiente de clasificar")))</f>
        <v/>
      </c>
      <c r="O709" s="11">
        <f>IF(L709="","",IFERROR(INDEX('Datos - Catálogo TIMSS'!$C$5:$C$107,MATCH(L709,'Datos - Catálogo TIMSS'!$A$5:$A$107,0)),"?"))</f>
        <v/>
      </c>
      <c r="P709" s="11" t="inlineStr">
        <is>
          <t>media</t>
        </is>
      </c>
      <c r="Q709" s="38" t="inlineStr">
        <is>
          <t>Gas a volumen constante y cero absoluto</t>
        </is>
      </c>
      <c r="R709" s="38" t="inlineStr">
        <is>
          <t>Aplicar: graficar y ajustar una recta. Razonar: interpretar una extrapolación y su incertidumbre</t>
        </is>
      </c>
      <c r="S709" s="39">
        <f>IFERROR(ISNUMBER(SEARCH("Conocer",$R709))/(ISNUMBER(SEARCH("Conocer",$R709))+ISNUMBER(SEARCH("Aplicar",$R709))+ISNUMBER(SEARCH("Razonar",$R709))),0)</f>
        <v/>
      </c>
      <c r="T709" s="39">
        <f>IFERROR(ISNUMBER(SEARCH("Aplicar",$R709))/(ISNUMBER(SEARCH("Conocer",$R709))+ISNUMBER(SEARCH("Aplicar",$R709))+ISNUMBER(SEARCH("Razonar",$R709))),0)</f>
        <v/>
      </c>
      <c r="U709" s="39">
        <f>IFERROR(ISNUMBER(SEARCH("Razonar",$R709))/(ISNUMBER(SEARCH("Conocer",$R709))+ISNUMBER(SEARCH("Aplicar",$R709))+ISNUMBER(SEARCH("Razonar",$R709))),0)</f>
        <v/>
      </c>
      <c r="V709" s="11" t="inlineStr">
        <is>
          <t>Física 10°</t>
        </is>
      </c>
      <c r="W709" s="11" t="inlineStr">
        <is>
          <t>Física 10°–11°</t>
        </is>
      </c>
      <c r="X709" s="11">
        <f>IF(OR(IFERROR(INDEX('Datos - Catálogo TIMSS'!$I$5:$I$107,MATCH(K709,'Datos - Catálogo TIMSS'!$A$5:$A$107,0)),"No")="Sí",IFERROR(INDEX('Datos - Catálogo TIMSS'!$I$5:$I$107,MATCH(L709,'Datos - Catálogo TIMSS'!$A$5:$A$107,0)),"No")="Sí"),1,0)</f>
        <v/>
      </c>
      <c r="Y709" s="11">
        <f>IF(IFERROR(INDEX('Datos - Catálogo TIMSS'!$J$5:$J$107,MATCH(K709,'Datos - Catálogo TIMSS'!$A$5:$A$107,0)),"No")="Sí",1,0)</f>
        <v/>
      </c>
      <c r="Z709" s="11">
        <f>IF(IFERROR(INDEX('Datos - Catálogo TIMSS'!$J$5:$J$107,MATCH(L709,'Datos - Catálogo TIMSS'!$A$5:$A$107,0)),"No")="Sí",1,0)</f>
        <v/>
      </c>
      <c r="AA709" s="11" t="inlineStr">
        <is>
          <t>TA-M3.2</t>
        </is>
      </c>
      <c r="AB709" s="11" t="inlineStr"/>
      <c r="AC709" s="11">
        <f>IF(AA709="FUERA","Fuera del marco",IF(AA709="N/A","Sin marco",IFERROR(INDEX('Datos - TIMSS 2023'!$C$5:$C$105,MATCH(AA709,'Datos - TIMSS 2023'!$A$5:$A$105,0)),"Pendiente de clasificar")))</f>
        <v/>
      </c>
      <c r="AD709" s="11" t="inlineStr">
        <is>
          <t>2. Construir y evaluar diseños para la indagación científica e interpretar datos y evidencia de forma crítica</t>
        </is>
      </c>
      <c r="AE709" s="11">
        <f>IF(AD709="","",IF(LEFT(AD709,1)="1","C1",IF(LEFT(AD709,1)="2","C2",IF(LEFT(AD709,1)="3","C3",""))))</f>
        <v/>
      </c>
      <c r="AF709" s="11" t="inlineStr">
        <is>
          <t>E1</t>
        </is>
      </c>
      <c r="AG709" s="11" t="inlineStr">
        <is>
          <t>E3</t>
        </is>
      </c>
      <c r="AH709" s="11" t="inlineStr">
        <is>
          <t>E4</t>
        </is>
      </c>
      <c r="AI709" s="11" t="inlineStr">
        <is>
          <t>D4</t>
        </is>
      </c>
      <c r="AJ709" s="11" t="inlineStr">
        <is>
          <t>D3</t>
        </is>
      </c>
      <c r="AK709" s="11" t="n"/>
      <c r="AL709" s="11" t="n"/>
      <c r="AM709" s="11" t="n"/>
      <c r="AN709" s="11" t="n"/>
      <c r="AO709" s="11" t="n"/>
      <c r="AP709" s="11" t="n"/>
      <c r="AQ709" s="11" t="n"/>
      <c r="AR709" s="11" t="n"/>
      <c r="AS709" s="11" t="n"/>
      <c r="AT709" s="11" t="n"/>
      <c r="AU709" s="11" t="n"/>
      <c r="AV709" s="11" t="n"/>
      <c r="AW709" s="11">
        <f>AF709&amp;"; "&amp;AG709&amp;"; "&amp;AH709&amp;"; "&amp;AI709&amp;"; "&amp;AJ709</f>
        <v/>
      </c>
    </row>
    <row r="710">
      <c r="A710" s="11" t="inlineStr">
        <is>
          <t>T0246-G10-FÍS</t>
        </is>
      </c>
      <c r="B710" s="11" t="n">
        <v>10</v>
      </c>
      <c r="C710" s="11" t="inlineStr">
        <is>
          <t>Física</t>
        </is>
      </c>
      <c r="D710" s="11" t="inlineStr">
        <is>
          <t>Matriz_Bachillerato_Fisica_10_11.xlsx</t>
        </is>
      </c>
      <c r="E710" s="11" t="inlineStr">
        <is>
          <t>Física 10.°</t>
        </is>
      </c>
      <c r="F710" s="11" t="n">
        <v>86</v>
      </c>
      <c r="G710" s="11" t="inlineStr">
        <is>
          <t>12. Temperatura y calor</t>
        </is>
      </c>
      <c r="H710" s="11" t="inlineStr">
        <is>
          <t>Temperatura y su medición</t>
        </is>
      </c>
      <c r="I710" s="38" t="inlineStr">
        <is>
          <t>12.3. Calibración de un sensor de temperatura mediante dos puntos fijos y comparación con un termómetro de referencia.</t>
        </is>
      </c>
      <c r="J710" s="11" t="inlineStr">
        <is>
          <t>TA</t>
        </is>
      </c>
      <c r="K710" s="11" t="inlineStr">
        <is>
          <t>TA-M3.1</t>
        </is>
      </c>
      <c r="L710" s="11" t="inlineStr"/>
      <c r="M710" s="11">
        <f>IF(K710="FUERA","Fuera del marco",IF(K710="N/A","Sin marco",IFERROR(INDEX('Datos - Catálogo TIMSS'!$C$5:$C$107,MATCH(K710,'Datos - Catálogo TIMSS'!$A$5:$A$107,0)),"Pendiente de clasificar")))</f>
        <v/>
      </c>
      <c r="N710" s="11">
        <f>IF(K710="FUERA","Fuera del marco",IF(K710="N/A","Sin marco",IFERROR(INDEX('Datos - Catálogo TIMSS'!$F$5:$F$107,MATCH(K710,'Datos - Catálogo TIMSS'!$A$5:$A$107,0)),"Pendiente de clasificar")))</f>
        <v/>
      </c>
      <c r="O710" s="11">
        <f>IF(L710="","",IFERROR(INDEX('Datos - Catálogo TIMSS'!$C$5:$C$107,MATCH(L710,'Datos - Catálogo TIMSS'!$A$5:$A$107,0)),"?"))</f>
        <v/>
      </c>
      <c r="P710" s="11" t="inlineStr">
        <is>
          <t>baja</t>
        </is>
      </c>
      <c r="Q710" s="38" t="inlineStr">
        <is>
          <t>Termómetros y calibración; equilibrio térmico</t>
        </is>
      </c>
      <c r="R710" s="38" t="inlineStr">
        <is>
          <t>Conocer: identificar propiedades termométricas. Aplicar: calibrar con dos puntos. Razonar: seleccionar instrumentos</t>
        </is>
      </c>
      <c r="S710" s="39">
        <f>IFERROR(ISNUMBER(SEARCH("Conocer",$R710))/(ISNUMBER(SEARCH("Conocer",$R710))+ISNUMBER(SEARCH("Aplicar",$R710))+ISNUMBER(SEARCH("Razonar",$R710))),0)</f>
        <v/>
      </c>
      <c r="T710" s="39">
        <f>IFERROR(ISNUMBER(SEARCH("Aplicar",$R710))/(ISNUMBER(SEARCH("Conocer",$R710))+ISNUMBER(SEARCH("Aplicar",$R710))+ISNUMBER(SEARCH("Razonar",$R710))),0)</f>
        <v/>
      </c>
      <c r="U710" s="39">
        <f>IFERROR(ISNUMBER(SEARCH("Razonar",$R710))/(ISNUMBER(SEARCH("Conocer",$R710))+ISNUMBER(SEARCH("Aplicar",$R710))+ISNUMBER(SEARCH("Razonar",$R710))),0)</f>
        <v/>
      </c>
      <c r="V710" s="11" t="inlineStr">
        <is>
          <t>Física 10°</t>
        </is>
      </c>
      <c r="W710" s="11" t="inlineStr">
        <is>
          <t>Física 10°–11°</t>
        </is>
      </c>
      <c r="X710" s="11">
        <f>IF(OR(IFERROR(INDEX('Datos - Catálogo TIMSS'!$I$5:$I$107,MATCH(K710,'Datos - Catálogo TIMSS'!$A$5:$A$107,0)),"No")="Sí",IFERROR(INDEX('Datos - Catálogo TIMSS'!$I$5:$I$107,MATCH(L710,'Datos - Catálogo TIMSS'!$A$5:$A$107,0)),"No")="Sí"),1,0)</f>
        <v/>
      </c>
      <c r="Y710" s="11">
        <f>IF(IFERROR(INDEX('Datos - Catálogo TIMSS'!$J$5:$J$107,MATCH(K710,'Datos - Catálogo TIMSS'!$A$5:$A$107,0)),"No")="Sí",1,0)</f>
        <v/>
      </c>
      <c r="Z710" s="11">
        <f>IF(IFERROR(INDEX('Datos - Catálogo TIMSS'!$J$5:$J$107,MATCH(L710,'Datos - Catálogo TIMSS'!$A$5:$A$107,0)),"No")="Sí",1,0)</f>
        <v/>
      </c>
      <c r="AA710" s="11" t="inlineStr">
        <is>
          <t>TA-M3.1</t>
        </is>
      </c>
      <c r="AB710" s="11" t="inlineStr"/>
      <c r="AC710" s="11">
        <f>IF(AA710="FUERA","Fuera del marco",IF(AA710="N/A","Sin marco",IFERROR(INDEX('Datos - TIMSS 2023'!$C$5:$C$105,MATCH(AA710,'Datos - TIMSS 2023'!$A$5:$A$105,0)),"Pendiente de clasificar")))</f>
        <v/>
      </c>
      <c r="AD710" s="11" t="inlineStr">
        <is>
          <t>3. Investigar, evaluar y usar información científica para tomar decisiones y actuar</t>
        </is>
      </c>
      <c r="AE710" s="11">
        <f>IF(AD710="","",IF(LEFT(AD710,1)="1","C1",IF(LEFT(AD710,1)="2","C2",IF(LEFT(AD710,1)="3","C3",""))))</f>
        <v/>
      </c>
      <c r="AF710" s="11" t="inlineStr">
        <is>
          <t>E6</t>
        </is>
      </c>
      <c r="AG710" s="11" t="inlineStr">
        <is>
          <t>D1</t>
        </is>
      </c>
      <c r="AH710" s="11" t="inlineStr">
        <is>
          <t>E1</t>
        </is>
      </c>
      <c r="AI710" s="11" t="inlineStr">
        <is>
          <t>I1</t>
        </is>
      </c>
      <c r="AJ710" s="11" t="inlineStr">
        <is>
          <t>I5</t>
        </is>
      </c>
      <c r="AK710" s="11" t="n"/>
      <c r="AL710" s="11" t="n"/>
      <c r="AM710" s="11" t="n"/>
      <c r="AN710" s="11" t="n"/>
      <c r="AO710" s="11" t="n"/>
      <c r="AP710" s="11" t="n"/>
      <c r="AQ710" s="11" t="n"/>
      <c r="AR710" s="11" t="n"/>
      <c r="AS710" s="11" t="n"/>
      <c r="AT710" s="11" t="n"/>
      <c r="AU710" s="11" t="n"/>
      <c r="AV710" s="11" t="n"/>
      <c r="AW710" s="11">
        <f>AF710&amp;"; "&amp;AG710&amp;"; "&amp;AH710&amp;"; "&amp;AI710&amp;"; "&amp;AJ710</f>
        <v/>
      </c>
    </row>
    <row r="711">
      <c r="A711" s="11" t="inlineStr">
        <is>
          <t>T0247-G10-FÍS</t>
        </is>
      </c>
      <c r="B711" s="11" t="n">
        <v>10</v>
      </c>
      <c r="C711" s="11" t="inlineStr">
        <is>
          <t>Física</t>
        </is>
      </c>
      <c r="D711" s="11" t="inlineStr">
        <is>
          <t>Matriz_Bachillerato_Fisica_10_11.xlsx</t>
        </is>
      </c>
      <c r="E711" s="11" t="inlineStr">
        <is>
          <t>Física 10.°</t>
        </is>
      </c>
      <c r="F711" s="11" t="n">
        <v>87</v>
      </c>
      <c r="G711" s="11" t="inlineStr">
        <is>
          <t>12. Temperatura y calor</t>
        </is>
      </c>
      <c r="H711" s="11" t="inlineStr">
        <is>
          <t>Dilatación térmica</t>
        </is>
      </c>
      <c r="I711" s="38" t="inlineStr">
        <is>
          <t>12.4. Cálculo de la variación de longitud de materiales sometidos a cambios de temperatura mediante ΔL = αL₀ΔT.</t>
        </is>
      </c>
      <c r="J711" s="11" t="inlineStr">
        <is>
          <t>TA</t>
        </is>
      </c>
      <c r="K711" s="11" t="inlineStr">
        <is>
          <t>TA-M3.2</t>
        </is>
      </c>
      <c r="L711" s="11" t="inlineStr"/>
      <c r="M711" s="11">
        <f>IF(K711="FUERA","Fuera del marco",IF(K711="N/A","Sin marco",IFERROR(INDEX('Datos - Catálogo TIMSS'!$C$5:$C$107,MATCH(K711,'Datos - Catálogo TIMSS'!$A$5:$A$107,0)),"Pendiente de clasificar")))</f>
        <v/>
      </c>
      <c r="N711" s="11">
        <f>IF(K711="FUERA","Fuera del marco",IF(K711="N/A","Sin marco",IFERROR(INDEX('Datos - Catálogo TIMSS'!$F$5:$F$107,MATCH(K711,'Datos - Catálogo TIMSS'!$A$5:$A$107,0)),"Pendiente de clasificar")))</f>
        <v/>
      </c>
      <c r="O711" s="11">
        <f>IF(L711="","",IFERROR(INDEX('Datos - Catálogo TIMSS'!$C$5:$C$107,MATCH(L711,'Datos - Catálogo TIMSS'!$A$5:$A$107,0)),"?"))</f>
        <v/>
      </c>
      <c r="P711" s="11" t="inlineStr">
        <is>
          <t>alta</t>
        </is>
      </c>
      <c r="Q711" s="38" t="inlineStr">
        <is>
          <t>Dilatación lineal</t>
        </is>
      </c>
      <c r="R711" s="38" t="inlineStr">
        <is>
          <t>Aplicar: calcular variaciones de longitud. Razonar: justificar decisiones de diseño estructural</t>
        </is>
      </c>
      <c r="S711" s="39">
        <f>IFERROR(ISNUMBER(SEARCH("Conocer",$R711))/(ISNUMBER(SEARCH("Conocer",$R711))+ISNUMBER(SEARCH("Aplicar",$R711))+ISNUMBER(SEARCH("Razonar",$R711))),0)</f>
        <v/>
      </c>
      <c r="T711" s="39">
        <f>IFERROR(ISNUMBER(SEARCH("Aplicar",$R711))/(ISNUMBER(SEARCH("Conocer",$R711))+ISNUMBER(SEARCH("Aplicar",$R711))+ISNUMBER(SEARCH("Razonar",$R711))),0)</f>
        <v/>
      </c>
      <c r="U711" s="39">
        <f>IFERROR(ISNUMBER(SEARCH("Razonar",$R711))/(ISNUMBER(SEARCH("Conocer",$R711))+ISNUMBER(SEARCH("Aplicar",$R711))+ISNUMBER(SEARCH("Razonar",$R711))),0)</f>
        <v/>
      </c>
      <c r="V711" s="11" t="inlineStr">
        <is>
          <t>Física 10°</t>
        </is>
      </c>
      <c r="W711" s="11" t="inlineStr">
        <is>
          <t>Física 10°–11°</t>
        </is>
      </c>
      <c r="X711" s="11">
        <f>IF(OR(IFERROR(INDEX('Datos - Catálogo TIMSS'!$I$5:$I$107,MATCH(K711,'Datos - Catálogo TIMSS'!$A$5:$A$107,0)),"No")="Sí",IFERROR(INDEX('Datos - Catálogo TIMSS'!$I$5:$I$107,MATCH(L711,'Datos - Catálogo TIMSS'!$A$5:$A$107,0)),"No")="Sí"),1,0)</f>
        <v/>
      </c>
      <c r="Y711" s="11">
        <f>IF(IFERROR(INDEX('Datos - Catálogo TIMSS'!$J$5:$J$107,MATCH(K711,'Datos - Catálogo TIMSS'!$A$5:$A$107,0)),"No")="Sí",1,0)</f>
        <v/>
      </c>
      <c r="Z711" s="11">
        <f>IF(IFERROR(INDEX('Datos - Catálogo TIMSS'!$J$5:$J$107,MATCH(L711,'Datos - Catálogo TIMSS'!$A$5:$A$107,0)),"No")="Sí",1,0)</f>
        <v/>
      </c>
      <c r="AA711" s="11" t="inlineStr">
        <is>
          <t>TA-M3.2</t>
        </is>
      </c>
      <c r="AB711" s="11" t="inlineStr"/>
      <c r="AC711" s="11">
        <f>IF(AA711="FUERA","Fuera del marco",IF(AA711="N/A","Sin marco",IFERROR(INDEX('Datos - TIMSS 2023'!$C$5:$C$105,MATCH(AA711,'Datos - TIMSS 2023'!$A$5:$A$105,0)),"Pendiente de clasificar")))</f>
        <v/>
      </c>
      <c r="AD711" s="11" t="inlineStr">
        <is>
          <t>1. Explicar fenómenos científicamente</t>
        </is>
      </c>
      <c r="AE711" s="11">
        <f>IF(AD711="","",IF(LEFT(AD711,1)="1","C1",IF(LEFT(AD711,1)="2","C2",IF(LEFT(AD711,1)="3","C3",""))))</f>
        <v/>
      </c>
      <c r="AF711" s="11" t="inlineStr">
        <is>
          <t>E6</t>
        </is>
      </c>
      <c r="AG711" s="11" t="inlineStr">
        <is>
          <t>E5</t>
        </is>
      </c>
      <c r="AH711" s="11" t="inlineStr">
        <is>
          <t>E1</t>
        </is>
      </c>
      <c r="AI711" s="11" t="inlineStr">
        <is>
          <t>D2</t>
        </is>
      </c>
      <c r="AJ711" s="11" t="inlineStr">
        <is>
          <t>E3</t>
        </is>
      </c>
      <c r="AK711" s="11" t="n"/>
      <c r="AL711" s="11" t="n"/>
      <c r="AM711" s="11" t="n"/>
      <c r="AN711" s="11" t="n"/>
      <c r="AO711" s="11" t="n"/>
      <c r="AP711" s="11" t="n"/>
      <c r="AQ711" s="11" t="n"/>
      <c r="AR711" s="11" t="n"/>
      <c r="AS711" s="11" t="n"/>
      <c r="AT711" s="11" t="n"/>
      <c r="AU711" s="11" t="n"/>
      <c r="AV711" s="11" t="n"/>
      <c r="AW711" s="11">
        <f>AF711&amp;"; "&amp;AG711&amp;"; "&amp;AH711&amp;"; "&amp;AI711&amp;"; "&amp;AJ711</f>
        <v/>
      </c>
    </row>
    <row r="712">
      <c r="A712" s="11" t="inlineStr">
        <is>
          <t>T0248-G10-FÍS</t>
        </is>
      </c>
      <c r="B712" s="11" t="n">
        <v>10</v>
      </c>
      <c r="C712" s="11" t="inlineStr">
        <is>
          <t>Física</t>
        </is>
      </c>
      <c r="D712" s="11" t="inlineStr">
        <is>
          <t>Matriz_Bachillerato_Fisica_10_11.xlsx</t>
        </is>
      </c>
      <c r="E712" s="11" t="inlineStr">
        <is>
          <t>Física 10.°</t>
        </is>
      </c>
      <c r="F712" s="11" t="n">
        <v>88</v>
      </c>
      <c r="G712" s="11" t="inlineStr">
        <is>
          <t>12. Temperatura y calor</t>
        </is>
      </c>
      <c r="H712" s="11" t="inlineStr">
        <is>
          <t>Dilatación térmica</t>
        </is>
      </c>
      <c r="I712" s="38" t="inlineStr">
        <is>
          <t>12.5. Construcción e interpretación de gráficas volumen-temperatura para sólidos, líquidos y el agua entre 0 °C y 10 °C.</t>
        </is>
      </c>
      <c r="J712" s="11" t="inlineStr">
        <is>
          <t>TA</t>
        </is>
      </c>
      <c r="K712" s="11" t="inlineStr">
        <is>
          <t>TA-M3.2</t>
        </is>
      </c>
      <c r="L712" s="11" t="inlineStr"/>
      <c r="M712" s="11">
        <f>IF(K712="FUERA","Fuera del marco",IF(K712="N/A","Sin marco",IFERROR(INDEX('Datos - Catálogo TIMSS'!$C$5:$C$107,MATCH(K712,'Datos - Catálogo TIMSS'!$A$5:$A$107,0)),"Pendiente de clasificar")))</f>
        <v/>
      </c>
      <c r="N712" s="11">
        <f>IF(K712="FUERA","Fuera del marco",IF(K712="N/A","Sin marco",IFERROR(INDEX('Datos - Catálogo TIMSS'!$F$5:$F$107,MATCH(K712,'Datos - Catálogo TIMSS'!$A$5:$A$107,0)),"Pendiente de clasificar")))</f>
        <v/>
      </c>
      <c r="O712" s="11">
        <f>IF(L712="","",IFERROR(INDEX('Datos - Catálogo TIMSS'!$C$5:$C$107,MATCH(L712,'Datos - Catálogo TIMSS'!$A$5:$A$107,0)),"?"))</f>
        <v/>
      </c>
      <c r="P712" s="11" t="inlineStr">
        <is>
          <t>alta</t>
        </is>
      </c>
      <c r="Q712" s="38" t="inlineStr">
        <is>
          <t>Dilatación volumétrica y anomalía del agua</t>
        </is>
      </c>
      <c r="R712" s="38" t="inlineStr">
        <is>
          <t>Aplicar: calcular dilatación volumétrica. Razonar: interpretar una gráfica no lineal</t>
        </is>
      </c>
      <c r="S712" s="39">
        <f>IFERROR(ISNUMBER(SEARCH("Conocer",$R712))/(ISNUMBER(SEARCH("Conocer",$R712))+ISNUMBER(SEARCH("Aplicar",$R712))+ISNUMBER(SEARCH("Razonar",$R712))),0)</f>
        <v/>
      </c>
      <c r="T712" s="39">
        <f>IFERROR(ISNUMBER(SEARCH("Aplicar",$R712))/(ISNUMBER(SEARCH("Conocer",$R712))+ISNUMBER(SEARCH("Aplicar",$R712))+ISNUMBER(SEARCH("Razonar",$R712))),0)</f>
        <v/>
      </c>
      <c r="U712" s="39">
        <f>IFERROR(ISNUMBER(SEARCH("Razonar",$R712))/(ISNUMBER(SEARCH("Conocer",$R712))+ISNUMBER(SEARCH("Aplicar",$R712))+ISNUMBER(SEARCH("Razonar",$R712))),0)</f>
        <v/>
      </c>
      <c r="V712" s="11" t="inlineStr">
        <is>
          <t>Física 10°</t>
        </is>
      </c>
      <c r="W712" s="11" t="inlineStr">
        <is>
          <t>Física 10°–11°</t>
        </is>
      </c>
      <c r="X712" s="11">
        <f>IF(OR(IFERROR(INDEX('Datos - Catálogo TIMSS'!$I$5:$I$107,MATCH(K712,'Datos - Catálogo TIMSS'!$A$5:$A$107,0)),"No")="Sí",IFERROR(INDEX('Datos - Catálogo TIMSS'!$I$5:$I$107,MATCH(L712,'Datos - Catálogo TIMSS'!$A$5:$A$107,0)),"No")="Sí"),1,0)</f>
        <v/>
      </c>
      <c r="Y712" s="11">
        <f>IF(IFERROR(INDEX('Datos - Catálogo TIMSS'!$J$5:$J$107,MATCH(K712,'Datos - Catálogo TIMSS'!$A$5:$A$107,0)),"No")="Sí",1,0)</f>
        <v/>
      </c>
      <c r="Z712" s="11">
        <f>IF(IFERROR(INDEX('Datos - Catálogo TIMSS'!$J$5:$J$107,MATCH(L712,'Datos - Catálogo TIMSS'!$A$5:$A$107,0)),"No")="Sí",1,0)</f>
        <v/>
      </c>
      <c r="AA712" s="11" t="inlineStr">
        <is>
          <t>TA-M3.2</t>
        </is>
      </c>
      <c r="AB712" s="11" t="inlineStr"/>
      <c r="AC712" s="11">
        <f>IF(AA712="FUERA","Fuera del marco",IF(AA712="N/A","Sin marco",IFERROR(INDEX('Datos - TIMSS 2023'!$C$5:$C$105,MATCH(AA712,'Datos - TIMSS 2023'!$A$5:$A$105,0)),"Pendiente de clasificar")))</f>
        <v/>
      </c>
      <c r="AD712" s="11" t="inlineStr">
        <is>
          <t>2. Construir y evaluar diseños para la indagación científica e interpretar datos y evidencia de forma crítica</t>
        </is>
      </c>
      <c r="AE712" s="11">
        <f>IF(AD712="","",IF(LEFT(AD712,1)="1","C1",IF(LEFT(AD712,1)="2","C2",IF(LEFT(AD712,1)="3","C3",""))))</f>
        <v/>
      </c>
      <c r="AF712" s="11" t="inlineStr">
        <is>
          <t>E1</t>
        </is>
      </c>
      <c r="AG712" s="11" t="inlineStr">
        <is>
          <t>E3</t>
        </is>
      </c>
      <c r="AH712" s="11" t="inlineStr">
        <is>
          <t>E2</t>
        </is>
      </c>
      <c r="AI712" s="11" t="inlineStr">
        <is>
          <t>D4</t>
        </is>
      </c>
      <c r="AJ712" s="11" t="inlineStr">
        <is>
          <t>E6</t>
        </is>
      </c>
      <c r="AK712" s="11" t="n"/>
      <c r="AL712" s="11" t="n"/>
      <c r="AM712" s="11" t="n"/>
      <c r="AN712" s="11" t="n"/>
      <c r="AO712" s="11" t="n"/>
      <c r="AP712" s="11" t="n"/>
      <c r="AQ712" s="11" t="n"/>
      <c r="AR712" s="11" t="n"/>
      <c r="AS712" s="11" t="n"/>
      <c r="AT712" s="11" t="n"/>
      <c r="AU712" s="11" t="n"/>
      <c r="AV712" s="11" t="n"/>
      <c r="AW712" s="11">
        <f>AF712&amp;"; "&amp;AG712&amp;"; "&amp;AH712&amp;"; "&amp;AI712&amp;"; "&amp;AJ712</f>
        <v/>
      </c>
    </row>
    <row r="713">
      <c r="A713" s="11" t="inlineStr">
        <is>
          <t>T0249-G10-FÍS</t>
        </is>
      </c>
      <c r="B713" s="11" t="n">
        <v>10</v>
      </c>
      <c r="C713" s="11" t="inlineStr">
        <is>
          <t>Física</t>
        </is>
      </c>
      <c r="D713" s="11" t="inlineStr">
        <is>
          <t>Matriz_Bachillerato_Fisica_10_11.xlsx</t>
        </is>
      </c>
      <c r="E713" s="11" t="inlineStr">
        <is>
          <t>Física 10.°</t>
        </is>
      </c>
      <c r="F713" s="11" t="n">
        <v>89</v>
      </c>
      <c r="G713" s="11" t="inlineStr">
        <is>
          <t>12. Temperatura y calor</t>
        </is>
      </c>
      <c r="H713" s="11" t="inlineStr">
        <is>
          <t>Calor y energía interna</t>
        </is>
      </c>
      <c r="I713" s="38" t="inlineStr">
        <is>
          <t>12.6. Análisis del calor como energía transferida y de la energía interna como suma de energías de las partículas.</t>
        </is>
      </c>
      <c r="J713" s="11" t="inlineStr">
        <is>
          <t>TA</t>
        </is>
      </c>
      <c r="K713" s="11" t="inlineStr">
        <is>
          <t>TA-M3.1</t>
        </is>
      </c>
      <c r="L713" s="11" t="inlineStr">
        <is>
          <t>TA-M2.3</t>
        </is>
      </c>
      <c r="M713" s="11">
        <f>IF(K713="FUERA","Fuera del marco",IF(K713="N/A","Sin marco",IFERROR(INDEX('Datos - Catálogo TIMSS'!$C$5:$C$107,MATCH(K713,'Datos - Catálogo TIMSS'!$A$5:$A$107,0)),"Pendiente de clasificar")))</f>
        <v/>
      </c>
      <c r="N713" s="11">
        <f>IF(K713="FUERA","Fuera del marco",IF(K713="N/A","Sin marco",IFERROR(INDEX('Datos - Catálogo TIMSS'!$F$5:$F$107,MATCH(K713,'Datos - Catálogo TIMSS'!$A$5:$A$107,0)),"Pendiente de clasificar")))</f>
        <v/>
      </c>
      <c r="O713" s="11">
        <f>IF(L713="","",IFERROR(INDEX('Datos - Catálogo TIMSS'!$C$5:$C$107,MATCH(L713,'Datos - Catálogo TIMSS'!$A$5:$A$107,0)),"?"))</f>
        <v/>
      </c>
      <c r="P713" s="11" t="inlineStr">
        <is>
          <t>media</t>
        </is>
      </c>
      <c r="Q713" s="38" t="inlineStr">
        <is>
          <t>Calor, temperatura y energía interna</t>
        </is>
      </c>
      <c r="R713" s="38" t="inlineStr">
        <is>
          <t>Conocer: diferenciar calor y energía interna. Razonar: explicar transferencias con un modelo</t>
        </is>
      </c>
      <c r="S713" s="39">
        <f>IFERROR(ISNUMBER(SEARCH("Conocer",$R713))/(ISNUMBER(SEARCH("Conocer",$R713))+ISNUMBER(SEARCH("Aplicar",$R713))+ISNUMBER(SEARCH("Razonar",$R713))),0)</f>
        <v/>
      </c>
      <c r="T713" s="39">
        <f>IFERROR(ISNUMBER(SEARCH("Aplicar",$R713))/(ISNUMBER(SEARCH("Conocer",$R713))+ISNUMBER(SEARCH("Aplicar",$R713))+ISNUMBER(SEARCH("Razonar",$R713))),0)</f>
        <v/>
      </c>
      <c r="U713" s="39">
        <f>IFERROR(ISNUMBER(SEARCH("Razonar",$R713))/(ISNUMBER(SEARCH("Conocer",$R713))+ISNUMBER(SEARCH("Aplicar",$R713))+ISNUMBER(SEARCH("Razonar",$R713))),0)</f>
        <v/>
      </c>
      <c r="V713" s="11" t="inlineStr">
        <is>
          <t>Física 10°</t>
        </is>
      </c>
      <c r="W713" s="11" t="inlineStr">
        <is>
          <t>Física 10°–11°</t>
        </is>
      </c>
      <c r="X713" s="11">
        <f>IF(OR(IFERROR(INDEX('Datos - Catálogo TIMSS'!$I$5:$I$107,MATCH(K713,'Datos - Catálogo TIMSS'!$A$5:$A$107,0)),"No")="Sí",IFERROR(INDEX('Datos - Catálogo TIMSS'!$I$5:$I$107,MATCH(L713,'Datos - Catálogo TIMSS'!$A$5:$A$107,0)),"No")="Sí"),1,0)</f>
        <v/>
      </c>
      <c r="Y713" s="11">
        <f>IF(IFERROR(INDEX('Datos - Catálogo TIMSS'!$J$5:$J$107,MATCH(K713,'Datos - Catálogo TIMSS'!$A$5:$A$107,0)),"No")="Sí",1,0)</f>
        <v/>
      </c>
      <c r="Z713" s="11">
        <f>IF(IFERROR(INDEX('Datos - Catálogo TIMSS'!$J$5:$J$107,MATCH(L713,'Datos - Catálogo TIMSS'!$A$5:$A$107,0)),"No")="Sí",1,0)</f>
        <v/>
      </c>
      <c r="AA713" s="11" t="inlineStr">
        <is>
          <t>TA-M3.1</t>
        </is>
      </c>
      <c r="AB713" s="11" t="inlineStr">
        <is>
          <t>TA-M2.3</t>
        </is>
      </c>
      <c r="AC713" s="11">
        <f>IF(AA713="FUERA","Fuera del marco",IF(AA713="N/A","Sin marco",IFERROR(INDEX('Datos - TIMSS 2023'!$C$5:$C$105,MATCH(AA713,'Datos - TIMSS 2023'!$A$5:$A$105,0)),"Pendiente de clasificar")))</f>
        <v/>
      </c>
      <c r="AD713" s="11" t="inlineStr">
        <is>
          <t>1. Explicar fenómenos científicamente</t>
        </is>
      </c>
      <c r="AE713" s="11">
        <f>IF(AD713="","",IF(LEFT(AD713,1)="1","C1",IF(LEFT(AD713,1)="2","C2",IF(LEFT(AD713,1)="3","C3",""))))</f>
        <v/>
      </c>
      <c r="AF713" s="11" t="inlineStr">
        <is>
          <t>E1</t>
        </is>
      </c>
      <c r="AG713" s="11" t="inlineStr">
        <is>
          <t>E5</t>
        </is>
      </c>
      <c r="AH713" s="11" t="inlineStr">
        <is>
          <t>E4</t>
        </is>
      </c>
      <c r="AI713" s="11" t="inlineStr">
        <is>
          <t>D4</t>
        </is>
      </c>
      <c r="AJ713" s="11" t="inlineStr">
        <is>
          <t>I4</t>
        </is>
      </c>
      <c r="AK713" s="11" t="n"/>
      <c r="AL713" s="11" t="n"/>
      <c r="AM713" s="11" t="n"/>
      <c r="AN713" s="11" t="n"/>
      <c r="AO713" s="11" t="n"/>
      <c r="AP713" s="11" t="n"/>
      <c r="AQ713" s="11" t="n"/>
      <c r="AR713" s="11" t="n"/>
      <c r="AS713" s="11" t="n"/>
      <c r="AT713" s="11" t="n"/>
      <c r="AU713" s="11" t="n"/>
      <c r="AV713" s="11" t="n"/>
      <c r="AW713" s="11">
        <f>AF713&amp;"; "&amp;AG713&amp;"; "&amp;AH713&amp;"; "&amp;AI713&amp;"; "&amp;AJ713</f>
        <v/>
      </c>
    </row>
    <row r="714">
      <c r="A714" s="11" t="inlineStr">
        <is>
          <t>T0250-G10-FÍS</t>
        </is>
      </c>
      <c r="B714" s="11" t="n">
        <v>10</v>
      </c>
      <c r="C714" s="11" t="inlineStr">
        <is>
          <t>Física</t>
        </is>
      </c>
      <c r="D714" s="11" t="inlineStr">
        <is>
          <t>Matriz_Bachillerato_Fisica_10_11.xlsx</t>
        </is>
      </c>
      <c r="E714" s="11" t="inlineStr">
        <is>
          <t>Física 10.°</t>
        </is>
      </c>
      <c r="F714" s="11" t="n">
        <v>90</v>
      </c>
      <c r="G714" s="11" t="inlineStr">
        <is>
          <t>12. Temperatura y calor</t>
        </is>
      </c>
      <c r="H714" s="11" t="inlineStr">
        <is>
          <t>Calorimetría</t>
        </is>
      </c>
      <c r="I714" s="38" t="inlineStr">
        <is>
          <t>12.7. Determinación experimental del calor específico de un metal por el método de mezclas en un calorímetro.</t>
        </is>
      </c>
      <c r="J714" s="11" t="inlineStr">
        <is>
          <t>TA</t>
        </is>
      </c>
      <c r="K714" s="11" t="inlineStr">
        <is>
          <t>TA-M3.1</t>
        </is>
      </c>
      <c r="L714" s="11" t="inlineStr"/>
      <c r="M714" s="11">
        <f>IF(K714="FUERA","Fuera del marco",IF(K714="N/A","Sin marco",IFERROR(INDEX('Datos - Catálogo TIMSS'!$C$5:$C$107,MATCH(K714,'Datos - Catálogo TIMSS'!$A$5:$A$107,0)),"Pendiente de clasificar")))</f>
        <v/>
      </c>
      <c r="N714" s="11">
        <f>IF(K714="FUERA","Fuera del marco",IF(K714="N/A","Sin marco",IFERROR(INDEX('Datos - Catálogo TIMSS'!$F$5:$F$107,MATCH(K714,'Datos - Catálogo TIMSS'!$A$5:$A$107,0)),"Pendiente de clasificar")))</f>
        <v/>
      </c>
      <c r="O714" s="11">
        <f>IF(L714="","",IFERROR(INDEX('Datos - Catálogo TIMSS'!$C$5:$C$107,MATCH(L714,'Datos - Catálogo TIMSS'!$A$5:$A$107,0)),"?"))</f>
        <v/>
      </c>
      <c r="P714" s="11" t="inlineStr">
        <is>
          <t>alta</t>
        </is>
      </c>
      <c r="Q714" s="38" t="inlineStr">
        <is>
          <t>Calor específico por método de mezclas</t>
        </is>
      </c>
      <c r="R714" s="38" t="inlineStr">
        <is>
          <t>Aplicar: plantear y resolver balances de energía. Razonar: identificar un material por su calor específico</t>
        </is>
      </c>
      <c r="S714" s="39">
        <f>IFERROR(ISNUMBER(SEARCH("Conocer",$R714))/(ISNUMBER(SEARCH("Conocer",$R714))+ISNUMBER(SEARCH("Aplicar",$R714))+ISNUMBER(SEARCH("Razonar",$R714))),0)</f>
        <v/>
      </c>
      <c r="T714" s="39">
        <f>IFERROR(ISNUMBER(SEARCH("Aplicar",$R714))/(ISNUMBER(SEARCH("Conocer",$R714))+ISNUMBER(SEARCH("Aplicar",$R714))+ISNUMBER(SEARCH("Razonar",$R714))),0)</f>
        <v/>
      </c>
      <c r="U714" s="39">
        <f>IFERROR(ISNUMBER(SEARCH("Razonar",$R714))/(ISNUMBER(SEARCH("Conocer",$R714))+ISNUMBER(SEARCH("Aplicar",$R714))+ISNUMBER(SEARCH("Razonar",$R714))),0)</f>
        <v/>
      </c>
      <c r="V714" s="11" t="inlineStr">
        <is>
          <t>Física 10°</t>
        </is>
      </c>
      <c r="W714" s="11" t="inlineStr">
        <is>
          <t>Física 10°–11°</t>
        </is>
      </c>
      <c r="X714" s="11">
        <f>IF(OR(IFERROR(INDEX('Datos - Catálogo TIMSS'!$I$5:$I$107,MATCH(K714,'Datos - Catálogo TIMSS'!$A$5:$A$107,0)),"No")="Sí",IFERROR(INDEX('Datos - Catálogo TIMSS'!$I$5:$I$107,MATCH(L714,'Datos - Catálogo TIMSS'!$A$5:$A$107,0)),"No")="Sí"),1,0)</f>
        <v/>
      </c>
      <c r="Y714" s="11">
        <f>IF(IFERROR(INDEX('Datos - Catálogo TIMSS'!$J$5:$J$107,MATCH(K714,'Datos - Catálogo TIMSS'!$A$5:$A$107,0)),"No")="Sí",1,0)</f>
        <v/>
      </c>
      <c r="Z714" s="11">
        <f>IF(IFERROR(INDEX('Datos - Catálogo TIMSS'!$J$5:$J$107,MATCH(L714,'Datos - Catálogo TIMSS'!$A$5:$A$107,0)),"No")="Sí",1,0)</f>
        <v/>
      </c>
      <c r="AA714" s="11" t="inlineStr">
        <is>
          <t>TA-M3.1</t>
        </is>
      </c>
      <c r="AB714" s="11" t="inlineStr"/>
      <c r="AC714" s="11">
        <f>IF(AA714="FUERA","Fuera del marco",IF(AA714="N/A","Sin marco",IFERROR(INDEX('Datos - TIMSS 2023'!$C$5:$C$105,MATCH(AA714,'Datos - TIMSS 2023'!$A$5:$A$105,0)),"Pendiente de clasificar")))</f>
        <v/>
      </c>
      <c r="AD714" s="11" t="inlineStr">
        <is>
          <t>2. Construir y evaluar diseños para la indagación científica e interpretar datos y evidencia de forma crítica</t>
        </is>
      </c>
      <c r="AE714" s="11">
        <f>IF(AD714="","",IF(LEFT(AD714,1)="1","C1",IF(LEFT(AD714,1)="2","C2",IF(LEFT(AD714,1)="3","C3",""))))</f>
        <v/>
      </c>
      <c r="AF714" s="11" t="inlineStr">
        <is>
          <t>E6</t>
        </is>
      </c>
      <c r="AG714" s="11" t="inlineStr">
        <is>
          <t>D1</t>
        </is>
      </c>
      <c r="AH714" s="11" t="inlineStr">
        <is>
          <t>E1</t>
        </is>
      </c>
      <c r="AI714" s="11" t="inlineStr">
        <is>
          <t>D2</t>
        </is>
      </c>
      <c r="AJ714" s="11" t="inlineStr">
        <is>
          <t>D3</t>
        </is>
      </c>
      <c r="AK714" s="11" t="n"/>
      <c r="AL714" s="11" t="n"/>
      <c r="AM714" s="11" t="n"/>
      <c r="AN714" s="11" t="n"/>
      <c r="AO714" s="11" t="n"/>
      <c r="AP714" s="11" t="n"/>
      <c r="AQ714" s="11" t="n"/>
      <c r="AR714" s="11" t="n"/>
      <c r="AS714" s="11" t="n"/>
      <c r="AT714" s="11" t="n"/>
      <c r="AU714" s="11" t="n"/>
      <c r="AV714" s="11" t="n"/>
      <c r="AW714" s="11">
        <f>AF714&amp;"; "&amp;AG714&amp;"; "&amp;AH714&amp;"; "&amp;AI714&amp;"; "&amp;AJ714</f>
        <v/>
      </c>
    </row>
    <row r="715">
      <c r="A715" s="11" t="inlineStr">
        <is>
          <t>T0251-G10-FÍS</t>
        </is>
      </c>
      <c r="B715" s="11" t="n">
        <v>10</v>
      </c>
      <c r="C715" s="11" t="inlineStr">
        <is>
          <t>Física</t>
        </is>
      </c>
      <c r="D715" s="11" t="inlineStr">
        <is>
          <t>Matriz_Bachillerato_Fisica_10_11.xlsx</t>
        </is>
      </c>
      <c r="E715" s="11" t="inlineStr">
        <is>
          <t>Física 10.°</t>
        </is>
      </c>
      <c r="F715" s="11" t="n">
        <v>91</v>
      </c>
      <c r="G715" s="11" t="inlineStr">
        <is>
          <t>12. Temperatura y calor</t>
        </is>
      </c>
      <c r="H715" s="11" t="inlineStr">
        <is>
          <t>Calorimetría</t>
        </is>
      </c>
      <c r="I715" s="38" t="inlineStr">
        <is>
          <t>12.8. Resolución de problemas de calorimetría que combinan cambios de temperatura y cambios de fase.</t>
        </is>
      </c>
      <c r="J715" s="11" t="inlineStr">
        <is>
          <t>TA</t>
        </is>
      </c>
      <c r="K715" s="11" t="inlineStr">
        <is>
          <t>TA-M3.1</t>
        </is>
      </c>
      <c r="L715" s="11" t="inlineStr"/>
      <c r="M715" s="11">
        <f>IF(K715="FUERA","Fuera del marco",IF(K715="N/A","Sin marco",IFERROR(INDEX('Datos - Catálogo TIMSS'!$C$5:$C$107,MATCH(K715,'Datos - Catálogo TIMSS'!$A$5:$A$107,0)),"Pendiente de clasificar")))</f>
        <v/>
      </c>
      <c r="N715" s="11">
        <f>IF(K715="FUERA","Fuera del marco",IF(K715="N/A","Sin marco",IFERROR(INDEX('Datos - Catálogo TIMSS'!$F$5:$F$107,MATCH(K715,'Datos - Catálogo TIMSS'!$A$5:$A$107,0)),"Pendiente de clasificar")))</f>
        <v/>
      </c>
      <c r="O715" s="11">
        <f>IF(L715="","",IFERROR(INDEX('Datos - Catálogo TIMSS'!$C$5:$C$107,MATCH(L715,'Datos - Catálogo TIMSS'!$A$5:$A$107,0)),"?"))</f>
        <v/>
      </c>
      <c r="P715" s="11" t="inlineStr">
        <is>
          <t>alta</t>
        </is>
      </c>
      <c r="Q715" s="38" t="inlineStr">
        <is>
          <t>Calorimetría con calor latente y cambios de fase</t>
        </is>
      </c>
      <c r="R715" s="38" t="inlineStr">
        <is>
          <t>Aplicar: calcular calor en cambios de fase. Razonar: decidir qué fases coexisten al final de una mezcla</t>
        </is>
      </c>
      <c r="S715" s="39">
        <f>IFERROR(ISNUMBER(SEARCH("Conocer",$R715))/(ISNUMBER(SEARCH("Conocer",$R715))+ISNUMBER(SEARCH("Aplicar",$R715))+ISNUMBER(SEARCH("Razonar",$R715))),0)</f>
        <v/>
      </c>
      <c r="T715" s="39">
        <f>IFERROR(ISNUMBER(SEARCH("Aplicar",$R715))/(ISNUMBER(SEARCH("Conocer",$R715))+ISNUMBER(SEARCH("Aplicar",$R715))+ISNUMBER(SEARCH("Razonar",$R715))),0)</f>
        <v/>
      </c>
      <c r="U715" s="39">
        <f>IFERROR(ISNUMBER(SEARCH("Razonar",$R715))/(ISNUMBER(SEARCH("Conocer",$R715))+ISNUMBER(SEARCH("Aplicar",$R715))+ISNUMBER(SEARCH("Razonar",$R715))),0)</f>
        <v/>
      </c>
      <c r="V715" s="11" t="inlineStr">
        <is>
          <t>Física 10°</t>
        </is>
      </c>
      <c r="W715" s="11" t="inlineStr">
        <is>
          <t>Física 10°–11°</t>
        </is>
      </c>
      <c r="X715" s="11">
        <f>IF(OR(IFERROR(INDEX('Datos - Catálogo TIMSS'!$I$5:$I$107,MATCH(K715,'Datos - Catálogo TIMSS'!$A$5:$A$107,0)),"No")="Sí",IFERROR(INDEX('Datos - Catálogo TIMSS'!$I$5:$I$107,MATCH(L715,'Datos - Catálogo TIMSS'!$A$5:$A$107,0)),"No")="Sí"),1,0)</f>
        <v/>
      </c>
      <c r="Y715" s="11">
        <f>IF(IFERROR(INDEX('Datos - Catálogo TIMSS'!$J$5:$J$107,MATCH(K715,'Datos - Catálogo TIMSS'!$A$5:$A$107,0)),"No")="Sí",1,0)</f>
        <v/>
      </c>
      <c r="Z715" s="11">
        <f>IF(IFERROR(INDEX('Datos - Catálogo TIMSS'!$J$5:$J$107,MATCH(L715,'Datos - Catálogo TIMSS'!$A$5:$A$107,0)),"No")="Sí",1,0)</f>
        <v/>
      </c>
      <c r="AA715" s="11" t="inlineStr">
        <is>
          <t>TA-M3.1</t>
        </is>
      </c>
      <c r="AB715" s="11" t="inlineStr"/>
      <c r="AC715" s="11">
        <f>IF(AA715="FUERA","Fuera del marco",IF(AA715="N/A","Sin marco",IFERROR(INDEX('Datos - TIMSS 2023'!$C$5:$C$105,MATCH(AA715,'Datos - TIMSS 2023'!$A$5:$A$105,0)),"Pendiente de clasificar")))</f>
        <v/>
      </c>
      <c r="AD715" s="11" t="inlineStr">
        <is>
          <t>1. Explicar fenómenos científicamente</t>
        </is>
      </c>
      <c r="AE715" s="11">
        <f>IF(AD715="","",IF(LEFT(AD715,1)="1","C1",IF(LEFT(AD715,1)="2","C2",IF(LEFT(AD715,1)="3","C3",""))))</f>
        <v/>
      </c>
      <c r="AF715" s="11" t="inlineStr">
        <is>
          <t>E6</t>
        </is>
      </c>
      <c r="AG715" s="11" t="inlineStr">
        <is>
          <t>E3</t>
        </is>
      </c>
      <c r="AH715" s="11" t="inlineStr">
        <is>
          <t>E2</t>
        </is>
      </c>
      <c r="AI715" s="11" t="inlineStr">
        <is>
          <t>D4</t>
        </is>
      </c>
      <c r="AJ715" s="11" t="inlineStr">
        <is>
          <t>I5</t>
        </is>
      </c>
      <c r="AK715" s="11" t="n"/>
      <c r="AL715" s="11" t="n"/>
      <c r="AM715" s="11" t="n"/>
      <c r="AN715" s="11" t="n"/>
      <c r="AO715" s="11" t="n"/>
      <c r="AP715" s="11" t="n"/>
      <c r="AQ715" s="11" t="n"/>
      <c r="AR715" s="11" t="n"/>
      <c r="AS715" s="11" t="n"/>
      <c r="AT715" s="11" t="n"/>
      <c r="AU715" s="11" t="n"/>
      <c r="AV715" s="11" t="n"/>
      <c r="AW715" s="11">
        <f>AF715&amp;"; "&amp;AG715&amp;"; "&amp;AH715&amp;"; "&amp;AI715&amp;"; "&amp;AJ715</f>
        <v/>
      </c>
    </row>
    <row r="716">
      <c r="A716" s="11" t="inlineStr">
        <is>
          <t>T0252-G10-FÍS</t>
        </is>
      </c>
      <c r="B716" s="11" t="n">
        <v>10</v>
      </c>
      <c r="C716" s="11" t="inlineStr">
        <is>
          <t>Física</t>
        </is>
      </c>
      <c r="D716" s="11" t="inlineStr">
        <is>
          <t>Matriz_Bachillerato_Fisica_10_11.xlsx</t>
        </is>
      </c>
      <c r="E716" s="11" t="inlineStr">
        <is>
          <t>Física 10.°</t>
        </is>
      </c>
      <c r="F716" s="11" t="n">
        <v>92</v>
      </c>
      <c r="G716" s="11" t="inlineStr">
        <is>
          <t>12. Temperatura y calor</t>
        </is>
      </c>
      <c r="H716" s="11" t="inlineStr">
        <is>
          <t>Fases de la materia</t>
        </is>
      </c>
      <c r="I716" s="38" t="inlineStr">
        <is>
          <t>12.9. Interpretación de diagramas de fase presión-temperatura del agua y del dióxido de carbono.</t>
        </is>
      </c>
      <c r="J716" s="11" t="inlineStr">
        <is>
          <t>TA</t>
        </is>
      </c>
      <c r="K716" s="11" t="inlineStr">
        <is>
          <t>FUERA</t>
        </is>
      </c>
      <c r="L716" s="11" t="inlineStr"/>
      <c r="M716" s="11">
        <f>IF(K716="FUERA","Fuera del marco",IF(K716="N/A","Sin marco",IFERROR(INDEX('Datos - Catálogo TIMSS'!$C$5:$C$107,MATCH(K716,'Datos - Catálogo TIMSS'!$A$5:$A$107,0)),"Pendiente de clasificar")))</f>
        <v/>
      </c>
      <c r="N716" s="11">
        <f>IF(K716="FUERA","Fuera del marco",IF(K716="N/A","Sin marco",IFERROR(INDEX('Datos - Catálogo TIMSS'!$F$5:$F$107,MATCH(K716,'Datos - Catálogo TIMSS'!$A$5:$A$107,0)),"Pendiente de clasificar")))</f>
        <v/>
      </c>
      <c r="O716" s="11">
        <f>IF(L716="","",IFERROR(INDEX('Datos - Catálogo TIMSS'!$C$5:$C$107,MATCH(L716,'Datos - Catálogo TIMSS'!$A$5:$A$107,0)),"?"))</f>
        <v/>
      </c>
      <c r="P716" s="11" t="inlineStr">
        <is>
          <t>media</t>
        </is>
      </c>
      <c r="Q716" s="38" t="inlineStr">
        <is>
          <t>Diagramas de fase; no está en el catálogo</t>
        </is>
      </c>
      <c r="R716" s="38" t="inlineStr">
        <is>
          <t>Aplicar: leer un diagrama de fases. Razonar: predecir estados según presión y temperatura</t>
        </is>
      </c>
      <c r="S716" s="39">
        <f>IFERROR(ISNUMBER(SEARCH("Conocer",$R716))/(ISNUMBER(SEARCH("Conocer",$R716))+ISNUMBER(SEARCH("Aplicar",$R716))+ISNUMBER(SEARCH("Razonar",$R716))),0)</f>
        <v/>
      </c>
      <c r="T716" s="39">
        <f>IFERROR(ISNUMBER(SEARCH("Aplicar",$R716))/(ISNUMBER(SEARCH("Conocer",$R716))+ISNUMBER(SEARCH("Aplicar",$R716))+ISNUMBER(SEARCH("Razonar",$R716))),0)</f>
        <v/>
      </c>
      <c r="U716" s="39">
        <f>IFERROR(ISNUMBER(SEARCH("Razonar",$R716))/(ISNUMBER(SEARCH("Conocer",$R716))+ISNUMBER(SEARCH("Aplicar",$R716))+ISNUMBER(SEARCH("Razonar",$R716))),0)</f>
        <v/>
      </c>
      <c r="V716" s="11" t="inlineStr">
        <is>
          <t>Física 10°</t>
        </is>
      </c>
      <c r="W716" s="11" t="inlineStr">
        <is>
          <t>Física 10°–11°</t>
        </is>
      </c>
      <c r="X716" s="11">
        <f>IF(OR(IFERROR(INDEX('Datos - Catálogo TIMSS'!$I$5:$I$107,MATCH(K716,'Datos - Catálogo TIMSS'!$A$5:$A$107,0)),"No")="Sí",IFERROR(INDEX('Datos - Catálogo TIMSS'!$I$5:$I$107,MATCH(L716,'Datos - Catálogo TIMSS'!$A$5:$A$107,0)),"No")="Sí"),1,0)</f>
        <v/>
      </c>
      <c r="Y716" s="11">
        <f>IF(IFERROR(INDEX('Datos - Catálogo TIMSS'!$J$5:$J$107,MATCH(K716,'Datos - Catálogo TIMSS'!$A$5:$A$107,0)),"No")="Sí",1,0)</f>
        <v/>
      </c>
      <c r="Z716" s="11">
        <f>IF(IFERROR(INDEX('Datos - Catálogo TIMSS'!$J$5:$J$107,MATCH(L716,'Datos - Catálogo TIMSS'!$A$5:$A$107,0)),"No")="Sí",1,0)</f>
        <v/>
      </c>
      <c r="AA716" s="11" t="inlineStr">
        <is>
          <t>FUERA</t>
        </is>
      </c>
      <c r="AB716" s="11" t="inlineStr"/>
      <c r="AC716" s="11">
        <f>IF(AA716="FUERA","Fuera del marco",IF(AA716="N/A","Sin marco",IFERROR(INDEX('Datos - TIMSS 2023'!$C$5:$C$105,MATCH(AA716,'Datos - TIMSS 2023'!$A$5:$A$105,0)),"Pendiente de clasificar")))</f>
        <v/>
      </c>
      <c r="AD716" s="11" t="inlineStr">
        <is>
          <t>1. Explicar fenómenos científicamente</t>
        </is>
      </c>
      <c r="AE716" s="11">
        <f>IF(AD716="","",IF(LEFT(AD716,1)="1","C1",IF(LEFT(AD716,1)="2","C2",IF(LEFT(AD716,1)="3","C3",""))))</f>
        <v/>
      </c>
      <c r="AF716" s="11" t="inlineStr">
        <is>
          <t>E1</t>
        </is>
      </c>
      <c r="AG716" s="11" t="inlineStr">
        <is>
          <t>E5</t>
        </is>
      </c>
      <c r="AH716" s="11" t="inlineStr">
        <is>
          <t>E2</t>
        </is>
      </c>
      <c r="AI716" s="11" t="inlineStr">
        <is>
          <t>I3</t>
        </is>
      </c>
      <c r="AJ716" s="11" t="inlineStr">
        <is>
          <t>E3</t>
        </is>
      </c>
      <c r="AK716" s="11" t="n"/>
      <c r="AL716" s="11" t="n"/>
      <c r="AM716" s="11" t="n"/>
      <c r="AN716" s="11" t="n"/>
      <c r="AO716" s="11" t="n"/>
      <c r="AP716" s="11" t="n"/>
      <c r="AQ716" s="11" t="n"/>
      <c r="AR716" s="11" t="n"/>
      <c r="AS716" s="11" t="n"/>
      <c r="AT716" s="11" t="n"/>
      <c r="AU716" s="11" t="n"/>
      <c r="AV716" s="11" t="n"/>
      <c r="AW716" s="11">
        <f>AF716&amp;"; "&amp;AG716&amp;"; "&amp;AH716&amp;"; "&amp;AI716&amp;"; "&amp;AJ716</f>
        <v/>
      </c>
    </row>
    <row r="717">
      <c r="A717" s="11" t="inlineStr">
        <is>
          <t>T0253-G10-FÍS</t>
        </is>
      </c>
      <c r="B717" s="11" t="n">
        <v>10</v>
      </c>
      <c r="C717" s="11" t="inlineStr">
        <is>
          <t>Física</t>
        </is>
      </c>
      <c r="D717" s="11" t="inlineStr">
        <is>
          <t>Matriz_Bachillerato_Fisica_10_11.xlsx</t>
        </is>
      </c>
      <c r="E717" s="11" t="inlineStr">
        <is>
          <t>Física 10.°</t>
        </is>
      </c>
      <c r="F717" s="11" t="n">
        <v>93</v>
      </c>
      <c r="G717" s="11" t="inlineStr">
        <is>
          <t>12. Temperatura y calor</t>
        </is>
      </c>
      <c r="H717" s="11" t="inlineStr">
        <is>
          <t>Fases de la materia</t>
        </is>
      </c>
      <c r="I717" s="38" t="inlineStr">
        <is>
          <t>12.10. Cálculo de la humedad relativa y del punto de rocío a partir de datos meteorológicos de estaciones salvadoreñas.</t>
        </is>
      </c>
      <c r="J717" s="11" t="inlineStr">
        <is>
          <t>TA</t>
        </is>
      </c>
      <c r="K717" s="11" t="inlineStr">
        <is>
          <t>FUERA</t>
        </is>
      </c>
      <c r="L717" s="11" t="inlineStr"/>
      <c r="M717" s="11">
        <f>IF(K717="FUERA","Fuera del marco",IF(K717="N/A","Sin marco",IFERROR(INDEX('Datos - Catálogo TIMSS'!$C$5:$C$107,MATCH(K717,'Datos - Catálogo TIMSS'!$A$5:$A$107,0)),"Pendiente de clasificar")))</f>
        <v/>
      </c>
      <c r="N717" s="11">
        <f>IF(K717="FUERA","Fuera del marco",IF(K717="N/A","Sin marco",IFERROR(INDEX('Datos - Catálogo TIMSS'!$F$5:$F$107,MATCH(K717,'Datos - Catálogo TIMSS'!$A$5:$A$107,0)),"Pendiente de clasificar")))</f>
        <v/>
      </c>
      <c r="O717" s="11">
        <f>IF(L717="","",IFERROR(INDEX('Datos - Catálogo TIMSS'!$C$5:$C$107,MATCH(L717,'Datos - Catálogo TIMSS'!$A$5:$A$107,0)),"?"))</f>
        <v/>
      </c>
      <c r="P717" s="11" t="inlineStr">
        <is>
          <t>media</t>
        </is>
      </c>
      <c r="Q717" s="38" t="inlineStr">
        <is>
          <t>Humedad relativa y punto de rocío; meteorología</t>
        </is>
      </c>
      <c r="R717" s="38" t="inlineStr">
        <is>
          <t>Aplicar: calcular humedad relativa y punto de rocío. Razonar: explicar la variación diaria con datos</t>
        </is>
      </c>
      <c r="S717" s="39">
        <f>IFERROR(ISNUMBER(SEARCH("Conocer",$R717))/(ISNUMBER(SEARCH("Conocer",$R717))+ISNUMBER(SEARCH("Aplicar",$R717))+ISNUMBER(SEARCH("Razonar",$R717))),0)</f>
        <v/>
      </c>
      <c r="T717" s="39">
        <f>IFERROR(ISNUMBER(SEARCH("Aplicar",$R717))/(ISNUMBER(SEARCH("Conocer",$R717))+ISNUMBER(SEARCH("Aplicar",$R717))+ISNUMBER(SEARCH("Razonar",$R717))),0)</f>
        <v/>
      </c>
      <c r="U717" s="39">
        <f>IFERROR(ISNUMBER(SEARCH("Razonar",$R717))/(ISNUMBER(SEARCH("Conocer",$R717))+ISNUMBER(SEARCH("Aplicar",$R717))+ISNUMBER(SEARCH("Razonar",$R717))),0)</f>
        <v/>
      </c>
      <c r="V717" s="11" t="inlineStr">
        <is>
          <t>Física 10°</t>
        </is>
      </c>
      <c r="W717" s="11" t="inlineStr">
        <is>
          <t>Física 10°–11°</t>
        </is>
      </c>
      <c r="X717" s="11">
        <f>IF(OR(IFERROR(INDEX('Datos - Catálogo TIMSS'!$I$5:$I$107,MATCH(K717,'Datos - Catálogo TIMSS'!$A$5:$A$107,0)),"No")="Sí",IFERROR(INDEX('Datos - Catálogo TIMSS'!$I$5:$I$107,MATCH(L717,'Datos - Catálogo TIMSS'!$A$5:$A$107,0)),"No")="Sí"),1,0)</f>
        <v/>
      </c>
      <c r="Y717" s="11">
        <f>IF(IFERROR(INDEX('Datos - Catálogo TIMSS'!$J$5:$J$107,MATCH(K717,'Datos - Catálogo TIMSS'!$A$5:$A$107,0)),"No")="Sí",1,0)</f>
        <v/>
      </c>
      <c r="Z717" s="11">
        <f>IF(IFERROR(INDEX('Datos - Catálogo TIMSS'!$J$5:$J$107,MATCH(L717,'Datos - Catálogo TIMSS'!$A$5:$A$107,0)),"No")="Sí",1,0)</f>
        <v/>
      </c>
      <c r="AA717" s="11" t="inlineStr">
        <is>
          <t>FUERA</t>
        </is>
      </c>
      <c r="AB717" s="11" t="inlineStr"/>
      <c r="AC717" s="11">
        <f>IF(AA717="FUERA","Fuera del marco",IF(AA717="N/A","Sin marco",IFERROR(INDEX('Datos - TIMSS 2023'!$C$5:$C$105,MATCH(AA717,'Datos - TIMSS 2023'!$A$5:$A$105,0)),"Pendiente de clasificar")))</f>
        <v/>
      </c>
      <c r="AD717" s="11" t="inlineStr">
        <is>
          <t>3. Investigar, evaluar y usar información científica para tomar decisiones y actuar</t>
        </is>
      </c>
      <c r="AE717" s="11">
        <f>IF(AD717="","",IF(LEFT(AD717,1)="1","C1",IF(LEFT(AD717,1)="2","C2",IF(LEFT(AD717,1)="3","C3",""))))</f>
        <v/>
      </c>
      <c r="AF717" s="11" t="inlineStr">
        <is>
          <t>E6</t>
        </is>
      </c>
      <c r="AG717" s="11" t="inlineStr">
        <is>
          <t>D1</t>
        </is>
      </c>
      <c r="AH717" s="11" t="inlineStr">
        <is>
          <t>E1</t>
        </is>
      </c>
      <c r="AI717" s="11" t="inlineStr">
        <is>
          <t>I1</t>
        </is>
      </c>
      <c r="AJ717" s="11" t="inlineStr">
        <is>
          <t>I2</t>
        </is>
      </c>
      <c r="AK717" s="11" t="n"/>
      <c r="AL717" s="11" t="n"/>
      <c r="AM717" s="11" t="n"/>
      <c r="AN717" s="11" t="n"/>
      <c r="AO717" s="11" t="n"/>
      <c r="AP717" s="11" t="n"/>
      <c r="AQ717" s="11" t="n"/>
      <c r="AR717" s="11" t="n"/>
      <c r="AS717" s="11" t="n"/>
      <c r="AT717" s="11" t="n"/>
      <c r="AU717" s="11" t="n"/>
      <c r="AV717" s="11" t="n"/>
      <c r="AW717" s="11">
        <f>AF717&amp;"; "&amp;AG717&amp;"; "&amp;AH717&amp;"; "&amp;AI717&amp;"; "&amp;AJ717</f>
        <v/>
      </c>
    </row>
    <row r="718">
      <c r="A718" s="11" t="inlineStr">
        <is>
          <t>T0254-G10-FÍS</t>
        </is>
      </c>
      <c r="B718" s="11" t="n">
        <v>10</v>
      </c>
      <c r="C718" s="11" t="inlineStr">
        <is>
          <t>Física</t>
        </is>
      </c>
      <c r="D718" s="11" t="inlineStr">
        <is>
          <t>Matriz_Bachillerato_Fisica_10_11.xlsx</t>
        </is>
      </c>
      <c r="E718" s="11" t="inlineStr">
        <is>
          <t>Física 10.°</t>
        </is>
      </c>
      <c r="F718" s="11" t="n">
        <v>94</v>
      </c>
      <c r="G718" s="11" t="inlineStr">
        <is>
          <t>13. Transferencia de calor</t>
        </is>
      </c>
      <c r="H718" s="11" t="inlineStr">
        <is>
          <t>Mecanismos de transferencia de calor</t>
        </is>
      </c>
      <c r="I718" s="38" t="inlineStr">
        <is>
          <t>13.1. Análisis de corrientes de convección a partir de los cambios de densidad de un fluido con la temperatura.</t>
        </is>
      </c>
      <c r="J718" s="11" t="inlineStr">
        <is>
          <t>TA</t>
        </is>
      </c>
      <c r="K718" s="11" t="inlineStr">
        <is>
          <t>TA-M3.1</t>
        </is>
      </c>
      <c r="L718" s="11" t="inlineStr"/>
      <c r="M718" s="11">
        <f>IF(K718="FUERA","Fuera del marco",IF(K718="N/A","Sin marco",IFERROR(INDEX('Datos - Catálogo TIMSS'!$C$5:$C$107,MATCH(K718,'Datos - Catálogo TIMSS'!$A$5:$A$107,0)),"Pendiente de clasificar")))</f>
        <v/>
      </c>
      <c r="N718" s="11">
        <f>IF(K718="FUERA","Fuera del marco",IF(K718="N/A","Sin marco",IFERROR(INDEX('Datos - Catálogo TIMSS'!$F$5:$F$107,MATCH(K718,'Datos - Catálogo TIMSS'!$A$5:$A$107,0)),"Pendiente de clasificar")))</f>
        <v/>
      </c>
      <c r="O718" s="11">
        <f>IF(L718="","",IFERROR(INDEX('Datos - Catálogo TIMSS'!$C$5:$C$107,MATCH(L718,'Datos - Catálogo TIMSS'!$A$5:$A$107,0)),"?"))</f>
        <v/>
      </c>
      <c r="P718" s="11" t="inlineStr">
        <is>
          <t>alta</t>
        </is>
      </c>
      <c r="Q718" s="38" t="inlineStr">
        <is>
          <t>Convección como mecanismo de transferencia de calor</t>
        </is>
      </c>
      <c r="R718" s="38" t="inlineStr">
        <is>
          <t>Conocer: describir la convección. Razonar: explicar fenómenos atmosféricos y domésticos</t>
        </is>
      </c>
      <c r="S718" s="39">
        <f>IFERROR(ISNUMBER(SEARCH("Conocer",$R718))/(ISNUMBER(SEARCH("Conocer",$R718))+ISNUMBER(SEARCH("Aplicar",$R718))+ISNUMBER(SEARCH("Razonar",$R718))),0)</f>
        <v/>
      </c>
      <c r="T718" s="39">
        <f>IFERROR(ISNUMBER(SEARCH("Aplicar",$R718))/(ISNUMBER(SEARCH("Conocer",$R718))+ISNUMBER(SEARCH("Aplicar",$R718))+ISNUMBER(SEARCH("Razonar",$R718))),0)</f>
        <v/>
      </c>
      <c r="U718" s="39">
        <f>IFERROR(ISNUMBER(SEARCH("Razonar",$R718))/(ISNUMBER(SEARCH("Conocer",$R718))+ISNUMBER(SEARCH("Aplicar",$R718))+ISNUMBER(SEARCH("Razonar",$R718))),0)</f>
        <v/>
      </c>
      <c r="V718" s="11" t="inlineStr">
        <is>
          <t>Física 10°</t>
        </is>
      </c>
      <c r="W718" s="11" t="inlineStr">
        <is>
          <t>Física 10°–11°</t>
        </is>
      </c>
      <c r="X718" s="11">
        <f>IF(OR(IFERROR(INDEX('Datos - Catálogo TIMSS'!$I$5:$I$107,MATCH(K718,'Datos - Catálogo TIMSS'!$A$5:$A$107,0)),"No")="Sí",IFERROR(INDEX('Datos - Catálogo TIMSS'!$I$5:$I$107,MATCH(L718,'Datos - Catálogo TIMSS'!$A$5:$A$107,0)),"No")="Sí"),1,0)</f>
        <v/>
      </c>
      <c r="Y718" s="11">
        <f>IF(IFERROR(INDEX('Datos - Catálogo TIMSS'!$J$5:$J$107,MATCH(K718,'Datos - Catálogo TIMSS'!$A$5:$A$107,0)),"No")="Sí",1,0)</f>
        <v/>
      </c>
      <c r="Z718" s="11">
        <f>IF(IFERROR(INDEX('Datos - Catálogo TIMSS'!$J$5:$J$107,MATCH(L718,'Datos - Catálogo TIMSS'!$A$5:$A$107,0)),"No")="Sí",1,0)</f>
        <v/>
      </c>
      <c r="AA718" s="11" t="inlineStr">
        <is>
          <t>TA-M3.1</t>
        </is>
      </c>
      <c r="AB718" s="11" t="inlineStr"/>
      <c r="AC718" s="11">
        <f>IF(AA718="FUERA","Fuera del marco",IF(AA718="N/A","Sin marco",IFERROR(INDEX('Datos - TIMSS 2023'!$C$5:$C$105,MATCH(AA718,'Datos - TIMSS 2023'!$A$5:$A$105,0)),"Pendiente de clasificar")))</f>
        <v/>
      </c>
      <c r="AD718" s="11" t="inlineStr">
        <is>
          <t>1. Explicar fenómenos científicamente</t>
        </is>
      </c>
      <c r="AE718" s="11">
        <f>IF(AD718="","",IF(LEFT(AD718,1)="1","C1",IF(LEFT(AD718,1)="2","C2",IF(LEFT(AD718,1)="3","C3",""))))</f>
        <v/>
      </c>
      <c r="AF718" s="11" t="inlineStr">
        <is>
          <t>E6</t>
        </is>
      </c>
      <c r="AG718" s="11" t="inlineStr">
        <is>
          <t>E5</t>
        </is>
      </c>
      <c r="AH718" s="11" t="inlineStr">
        <is>
          <t>E4</t>
        </is>
      </c>
      <c r="AI718" s="11" t="inlineStr">
        <is>
          <t>D4</t>
        </is>
      </c>
      <c r="AJ718" s="11" t="inlineStr">
        <is>
          <t>E3</t>
        </is>
      </c>
      <c r="AK718" s="11" t="n"/>
      <c r="AL718" s="11" t="n"/>
      <c r="AM718" s="11" t="n"/>
      <c r="AN718" s="11" t="n"/>
      <c r="AO718" s="11" t="n"/>
      <c r="AP718" s="11" t="n"/>
      <c r="AQ718" s="11" t="n"/>
      <c r="AR718" s="11" t="n"/>
      <c r="AS718" s="11" t="n"/>
      <c r="AT718" s="11" t="n"/>
      <c r="AU718" s="11" t="n"/>
      <c r="AV718" s="11" t="n"/>
      <c r="AW718" s="11">
        <f>AF718&amp;"; "&amp;AG718&amp;"; "&amp;AH718&amp;"; "&amp;AI718&amp;"; "&amp;AJ718</f>
        <v/>
      </c>
    </row>
    <row r="719">
      <c r="A719" s="11" t="inlineStr">
        <is>
          <t>T0255-G10-FÍS</t>
        </is>
      </c>
      <c r="B719" s="11" t="n">
        <v>10</v>
      </c>
      <c r="C719" s="11" t="inlineStr">
        <is>
          <t>Física</t>
        </is>
      </c>
      <c r="D719" s="11" t="inlineStr">
        <is>
          <t>Matriz_Bachillerato_Fisica_10_11.xlsx</t>
        </is>
      </c>
      <c r="E719" s="11" t="inlineStr">
        <is>
          <t>Física 10.°</t>
        </is>
      </c>
      <c r="F719" s="11" t="n">
        <v>95</v>
      </c>
      <c r="G719" s="11" t="inlineStr">
        <is>
          <t>13. Transferencia de calor</t>
        </is>
      </c>
      <c r="H719" s="11" t="inlineStr">
        <is>
          <t>Mecanismos de transferencia de calor</t>
        </is>
      </c>
      <c r="I719" s="38" t="inlineStr">
        <is>
          <t>13.2. Cálculo del flujo de calor por conducción a través de paredes y techos mediante H = kAΔT/L.</t>
        </is>
      </c>
      <c r="J719" s="11" t="inlineStr">
        <is>
          <t>TA</t>
        </is>
      </c>
      <c r="K719" s="11" t="inlineStr">
        <is>
          <t>TA-M3.1</t>
        </is>
      </c>
      <c r="L719" s="11" t="inlineStr"/>
      <c r="M719" s="11">
        <f>IF(K719="FUERA","Fuera del marco",IF(K719="N/A","Sin marco",IFERROR(INDEX('Datos - Catálogo TIMSS'!$C$5:$C$107,MATCH(K719,'Datos - Catálogo TIMSS'!$A$5:$A$107,0)),"Pendiente de clasificar")))</f>
        <v/>
      </c>
      <c r="N719" s="11">
        <f>IF(K719="FUERA","Fuera del marco",IF(K719="N/A","Sin marco",IFERROR(INDEX('Datos - Catálogo TIMSS'!$F$5:$F$107,MATCH(K719,'Datos - Catálogo TIMSS'!$A$5:$A$107,0)),"Pendiente de clasificar")))</f>
        <v/>
      </c>
      <c r="O719" s="11">
        <f>IF(L719="","",IFERROR(INDEX('Datos - Catálogo TIMSS'!$C$5:$C$107,MATCH(L719,'Datos - Catálogo TIMSS'!$A$5:$A$107,0)),"?"))</f>
        <v/>
      </c>
      <c r="P719" s="11" t="inlineStr">
        <is>
          <t>alta</t>
        </is>
      </c>
      <c r="Q719" s="38" t="inlineStr">
        <is>
          <t>Conducción y ley de Fourier</t>
        </is>
      </c>
      <c r="R719" s="38" t="inlineStr">
        <is>
          <t>Aplicar: calcular flujo de calor. Razonar: comparar materiales y justificar una elección</t>
        </is>
      </c>
      <c r="S719" s="39">
        <f>IFERROR(ISNUMBER(SEARCH("Conocer",$R719))/(ISNUMBER(SEARCH("Conocer",$R719))+ISNUMBER(SEARCH("Aplicar",$R719))+ISNUMBER(SEARCH("Razonar",$R719))),0)</f>
        <v/>
      </c>
      <c r="T719" s="39">
        <f>IFERROR(ISNUMBER(SEARCH("Aplicar",$R719))/(ISNUMBER(SEARCH("Conocer",$R719))+ISNUMBER(SEARCH("Aplicar",$R719))+ISNUMBER(SEARCH("Razonar",$R719))),0)</f>
        <v/>
      </c>
      <c r="U719" s="39">
        <f>IFERROR(ISNUMBER(SEARCH("Razonar",$R719))/(ISNUMBER(SEARCH("Conocer",$R719))+ISNUMBER(SEARCH("Aplicar",$R719))+ISNUMBER(SEARCH("Razonar",$R719))),0)</f>
        <v/>
      </c>
      <c r="V719" s="11" t="inlineStr">
        <is>
          <t>Física 10°</t>
        </is>
      </c>
      <c r="W719" s="11" t="inlineStr">
        <is>
          <t>Física 10°–11°</t>
        </is>
      </c>
      <c r="X719" s="11">
        <f>IF(OR(IFERROR(INDEX('Datos - Catálogo TIMSS'!$I$5:$I$107,MATCH(K719,'Datos - Catálogo TIMSS'!$A$5:$A$107,0)),"No")="Sí",IFERROR(INDEX('Datos - Catálogo TIMSS'!$I$5:$I$107,MATCH(L719,'Datos - Catálogo TIMSS'!$A$5:$A$107,0)),"No")="Sí"),1,0)</f>
        <v/>
      </c>
      <c r="Y719" s="11">
        <f>IF(IFERROR(INDEX('Datos - Catálogo TIMSS'!$J$5:$J$107,MATCH(K719,'Datos - Catálogo TIMSS'!$A$5:$A$107,0)),"No")="Sí",1,0)</f>
        <v/>
      </c>
      <c r="Z719" s="11">
        <f>IF(IFERROR(INDEX('Datos - Catálogo TIMSS'!$J$5:$J$107,MATCH(L719,'Datos - Catálogo TIMSS'!$A$5:$A$107,0)),"No")="Sí",1,0)</f>
        <v/>
      </c>
      <c r="AA719" s="11" t="inlineStr">
        <is>
          <t>TA-M3.1</t>
        </is>
      </c>
      <c r="AB719" s="11" t="inlineStr"/>
      <c r="AC719" s="11">
        <f>IF(AA719="FUERA","Fuera del marco",IF(AA719="N/A","Sin marco",IFERROR(INDEX('Datos - TIMSS 2023'!$C$5:$C$105,MATCH(AA719,'Datos - TIMSS 2023'!$A$5:$A$105,0)),"Pendiente de clasificar")))</f>
        <v/>
      </c>
      <c r="AD719" s="11" t="inlineStr">
        <is>
          <t>2. Construir y evaluar diseños para la indagación científica e interpretar datos y evidencia de forma crítica</t>
        </is>
      </c>
      <c r="AE719" s="11">
        <f>IF(AD719="","",IF(LEFT(AD719,1)="1","C1",IF(LEFT(AD719,1)="2","C2",IF(LEFT(AD719,1)="3","C3",""))))</f>
        <v/>
      </c>
      <c r="AF719" s="11" t="inlineStr">
        <is>
          <t>E1</t>
        </is>
      </c>
      <c r="AG719" s="11" t="inlineStr">
        <is>
          <t>D1</t>
        </is>
      </c>
      <c r="AH719" s="11" t="inlineStr">
        <is>
          <t>E1</t>
        </is>
      </c>
      <c r="AI719" s="11" t="inlineStr">
        <is>
          <t>D2</t>
        </is>
      </c>
      <c r="AJ719" s="11" t="inlineStr">
        <is>
          <t>D3</t>
        </is>
      </c>
      <c r="AK719" s="11" t="n"/>
      <c r="AL719" s="11" t="n"/>
      <c r="AM719" s="11" t="n"/>
      <c r="AN719" s="11" t="n"/>
      <c r="AO719" s="11" t="n"/>
      <c r="AP719" s="11" t="n"/>
      <c r="AQ719" s="11" t="n"/>
      <c r="AR719" s="11" t="n"/>
      <c r="AS719" s="11" t="n"/>
      <c r="AT719" s="11" t="n"/>
      <c r="AU719" s="11" t="n"/>
      <c r="AV719" s="11" t="n"/>
      <c r="AW719" s="11">
        <f>AF719&amp;"; "&amp;AG719&amp;"; "&amp;AH719&amp;"; "&amp;AI719&amp;"; "&amp;AJ719</f>
        <v/>
      </c>
    </row>
    <row r="720">
      <c r="A720" s="11" t="inlineStr">
        <is>
          <t>T0256-G10-FÍS</t>
        </is>
      </c>
      <c r="B720" s="11" t="n">
        <v>10</v>
      </c>
      <c r="C720" s="11" t="inlineStr">
        <is>
          <t>Física</t>
        </is>
      </c>
      <c r="D720" s="11" t="inlineStr">
        <is>
          <t>Matriz_Bachillerato_Fisica_10_11.xlsx</t>
        </is>
      </c>
      <c r="E720" s="11" t="inlineStr">
        <is>
          <t>Física 10.°</t>
        </is>
      </c>
      <c r="F720" s="11" t="n">
        <v>96</v>
      </c>
      <c r="G720" s="11" t="inlineStr">
        <is>
          <t>13. Transferencia de calor</t>
        </is>
      </c>
      <c r="H720" s="11" t="inlineStr">
        <is>
          <t>Mecanismos de transferencia de calor</t>
        </is>
      </c>
      <c r="I720" s="38" t="inlineStr">
        <is>
          <t>13.3. Aplicación de la ley de Stefan-Boltzmann y de la ley de Wien al cálculo de la potencia radiada y del color de cuerpos calientes.</t>
        </is>
      </c>
      <c r="J720" s="11" t="inlineStr">
        <is>
          <t>TA</t>
        </is>
      </c>
      <c r="K720" s="11" t="inlineStr">
        <is>
          <t>TA-O1.3</t>
        </is>
      </c>
      <c r="L720" s="11" t="inlineStr">
        <is>
          <t>TA-M3.1</t>
        </is>
      </c>
      <c r="M720" s="11">
        <f>IF(K720="FUERA","Fuera del marco",IF(K720="N/A","Sin marco",IFERROR(INDEX('Datos - Catálogo TIMSS'!$C$5:$C$107,MATCH(K720,'Datos - Catálogo TIMSS'!$A$5:$A$107,0)),"Pendiente de clasificar")))</f>
        <v/>
      </c>
      <c r="N720" s="11">
        <f>IF(K720="FUERA","Fuera del marco",IF(K720="N/A","Sin marco",IFERROR(INDEX('Datos - Catálogo TIMSS'!$F$5:$F$107,MATCH(K720,'Datos - Catálogo TIMSS'!$A$5:$A$107,0)),"Pendiente de clasificar")))</f>
        <v/>
      </c>
      <c r="O720" s="11">
        <f>IF(L720="","",IFERROR(INDEX('Datos - Catálogo TIMSS'!$C$5:$C$107,MATCH(L720,'Datos - Catálogo TIMSS'!$A$5:$A$107,0)),"?"))</f>
        <v/>
      </c>
      <c r="P720" s="11" t="inlineStr">
        <is>
          <t>alta</t>
        </is>
      </c>
      <c r="Q720" s="38" t="inlineStr">
        <is>
          <t>Stefan-Boltzmann y Wien: radiación térmica</t>
        </is>
      </c>
      <c r="R720" s="38" t="inlineStr">
        <is>
          <t>Aplicar: calcular potencia radiada. Razonar: relacionar temperatura y espectro de emisión</t>
        </is>
      </c>
      <c r="S720" s="39">
        <f>IFERROR(ISNUMBER(SEARCH("Conocer",$R720))/(ISNUMBER(SEARCH("Conocer",$R720))+ISNUMBER(SEARCH("Aplicar",$R720))+ISNUMBER(SEARCH("Razonar",$R720))),0)</f>
        <v/>
      </c>
      <c r="T720" s="39">
        <f>IFERROR(ISNUMBER(SEARCH("Aplicar",$R720))/(ISNUMBER(SEARCH("Conocer",$R720))+ISNUMBER(SEARCH("Aplicar",$R720))+ISNUMBER(SEARCH("Razonar",$R720))),0)</f>
        <v/>
      </c>
      <c r="U720" s="39">
        <f>IFERROR(ISNUMBER(SEARCH("Razonar",$R720))/(ISNUMBER(SEARCH("Conocer",$R720))+ISNUMBER(SEARCH("Aplicar",$R720))+ISNUMBER(SEARCH("Razonar",$R720))),0)</f>
        <v/>
      </c>
      <c r="V720" s="11" t="inlineStr">
        <is>
          <t>Física 10°</t>
        </is>
      </c>
      <c r="W720" s="11" t="inlineStr">
        <is>
          <t>Física 10°–11°</t>
        </is>
      </c>
      <c r="X720" s="11">
        <f>IF(OR(IFERROR(INDEX('Datos - Catálogo TIMSS'!$I$5:$I$107,MATCH(K720,'Datos - Catálogo TIMSS'!$A$5:$A$107,0)),"No")="Sí",IFERROR(INDEX('Datos - Catálogo TIMSS'!$I$5:$I$107,MATCH(L720,'Datos - Catálogo TIMSS'!$A$5:$A$107,0)),"No")="Sí"),1,0)</f>
        <v/>
      </c>
      <c r="Y720" s="11">
        <f>IF(IFERROR(INDEX('Datos - Catálogo TIMSS'!$J$5:$J$107,MATCH(K720,'Datos - Catálogo TIMSS'!$A$5:$A$107,0)),"No")="Sí",1,0)</f>
        <v/>
      </c>
      <c r="Z720" s="11">
        <f>IF(IFERROR(INDEX('Datos - Catálogo TIMSS'!$J$5:$J$107,MATCH(L720,'Datos - Catálogo TIMSS'!$A$5:$A$107,0)),"No")="Sí",1,0)</f>
        <v/>
      </c>
      <c r="AA720" s="11" t="inlineStr">
        <is>
          <t>TA-O1.3</t>
        </is>
      </c>
      <c r="AB720" s="11" t="inlineStr">
        <is>
          <t>TA-M3.1</t>
        </is>
      </c>
      <c r="AC720" s="11">
        <f>IF(AA720="FUERA","Fuera del marco",IF(AA720="N/A","Sin marco",IFERROR(INDEX('Datos - TIMSS 2023'!$C$5:$C$105,MATCH(AA720,'Datos - TIMSS 2023'!$A$5:$A$105,0)),"Pendiente de clasificar")))</f>
        <v/>
      </c>
      <c r="AD720" s="11" t="inlineStr">
        <is>
          <t>1. Explicar fenómenos científicamente</t>
        </is>
      </c>
      <c r="AE720" s="11">
        <f>IF(AD720="","",IF(LEFT(AD720,1)="1","C1",IF(LEFT(AD720,1)="2","C2",IF(LEFT(AD720,1)="3","C3",""))))</f>
        <v/>
      </c>
      <c r="AF720" s="11" t="inlineStr">
        <is>
          <t>E1</t>
        </is>
      </c>
      <c r="AG720" s="11" t="inlineStr">
        <is>
          <t>E3</t>
        </is>
      </c>
      <c r="AH720" s="11" t="inlineStr">
        <is>
          <t>E2</t>
        </is>
      </c>
      <c r="AI720" s="11" t="inlineStr">
        <is>
          <t>I3</t>
        </is>
      </c>
      <c r="AJ720" s="11" t="inlineStr">
        <is>
          <t>E6</t>
        </is>
      </c>
      <c r="AK720" s="11" t="n"/>
      <c r="AL720" s="11" t="n"/>
      <c r="AM720" s="11" t="n"/>
      <c r="AN720" s="11" t="n"/>
      <c r="AO720" s="11" t="n"/>
      <c r="AP720" s="11" t="n"/>
      <c r="AQ720" s="11" t="n"/>
      <c r="AR720" s="11" t="n"/>
      <c r="AS720" s="11" t="n"/>
      <c r="AT720" s="11" t="n"/>
      <c r="AU720" s="11" t="n"/>
      <c r="AV720" s="11" t="n"/>
      <c r="AW720" s="11">
        <f>AF720&amp;"; "&amp;AG720&amp;"; "&amp;AH720&amp;"; "&amp;AI720&amp;"; "&amp;AJ720</f>
        <v/>
      </c>
    </row>
    <row r="721">
      <c r="A721" s="11" t="inlineStr">
        <is>
          <t>T0257-G10-FÍS</t>
        </is>
      </c>
      <c r="B721" s="11" t="n">
        <v>10</v>
      </c>
      <c r="C721" s="11" t="inlineStr">
        <is>
          <t>Física</t>
        </is>
      </c>
      <c r="D721" s="11" t="inlineStr">
        <is>
          <t>Matriz_Bachillerato_Fisica_10_11.xlsx</t>
        </is>
      </c>
      <c r="E721" s="11" t="inlineStr">
        <is>
          <t>Física 10.°</t>
        </is>
      </c>
      <c r="F721" s="11" t="n">
        <v>97</v>
      </c>
      <c r="G721" s="11" t="inlineStr">
        <is>
          <t>13. Transferencia de calor</t>
        </is>
      </c>
      <c r="H721" s="11" t="inlineStr">
        <is>
          <t>Aplicaciones de la transferencia de calor</t>
        </is>
      </c>
      <c r="I721" s="38" t="inlineStr">
        <is>
          <t>13.4. Diseño y evaluación de un dispositivo que controla los tres mecanismos de transferencia de calor.</t>
        </is>
      </c>
      <c r="J721" s="11" t="inlineStr">
        <is>
          <t>TA</t>
        </is>
      </c>
      <c r="K721" s="11" t="inlineStr">
        <is>
          <t>TA-M3.1</t>
        </is>
      </c>
      <c r="L721" s="11" t="inlineStr"/>
      <c r="M721" s="11">
        <f>IF(K721="FUERA","Fuera del marco",IF(K721="N/A","Sin marco",IFERROR(INDEX('Datos - Catálogo TIMSS'!$C$5:$C$107,MATCH(K721,'Datos - Catálogo TIMSS'!$A$5:$A$107,0)),"Pendiente de clasificar")))</f>
        <v/>
      </c>
      <c r="N721" s="11">
        <f>IF(K721="FUERA","Fuera del marco",IF(K721="N/A","Sin marco",IFERROR(INDEX('Datos - Catálogo TIMSS'!$F$5:$F$107,MATCH(K721,'Datos - Catálogo TIMSS'!$A$5:$A$107,0)),"Pendiente de clasificar")))</f>
        <v/>
      </c>
      <c r="O721" s="11">
        <f>IF(L721="","",IFERROR(INDEX('Datos - Catálogo TIMSS'!$C$5:$C$107,MATCH(L721,'Datos - Catálogo TIMSS'!$A$5:$A$107,0)),"?"))</f>
        <v/>
      </c>
      <c r="P721" s="11" t="inlineStr">
        <is>
          <t>alta</t>
        </is>
      </c>
      <c r="Q721" s="38" t="inlineStr">
        <is>
          <t>Control de conducción, convección y radiación en dispositivos</t>
        </is>
      </c>
      <c r="R721" s="38" t="inlineStr">
        <is>
          <t>Aplicar: modelar pérdidas de calor. Razonar: justificar decisiones de diseño con datos</t>
        </is>
      </c>
      <c r="S721" s="39">
        <f>IFERROR(ISNUMBER(SEARCH("Conocer",$R721))/(ISNUMBER(SEARCH("Conocer",$R721))+ISNUMBER(SEARCH("Aplicar",$R721))+ISNUMBER(SEARCH("Razonar",$R721))),0)</f>
        <v/>
      </c>
      <c r="T721" s="39">
        <f>IFERROR(ISNUMBER(SEARCH("Aplicar",$R721))/(ISNUMBER(SEARCH("Conocer",$R721))+ISNUMBER(SEARCH("Aplicar",$R721))+ISNUMBER(SEARCH("Razonar",$R721))),0)</f>
        <v/>
      </c>
      <c r="U721" s="39">
        <f>IFERROR(ISNUMBER(SEARCH("Razonar",$R721))/(ISNUMBER(SEARCH("Conocer",$R721))+ISNUMBER(SEARCH("Aplicar",$R721))+ISNUMBER(SEARCH("Razonar",$R721))),0)</f>
        <v/>
      </c>
      <c r="V721" s="11" t="inlineStr">
        <is>
          <t>Física 10°</t>
        </is>
      </c>
      <c r="W721" s="11" t="inlineStr">
        <is>
          <t>Física 10°–11°</t>
        </is>
      </c>
      <c r="X721" s="11">
        <f>IF(OR(IFERROR(INDEX('Datos - Catálogo TIMSS'!$I$5:$I$107,MATCH(K721,'Datos - Catálogo TIMSS'!$A$5:$A$107,0)),"No")="Sí",IFERROR(INDEX('Datos - Catálogo TIMSS'!$I$5:$I$107,MATCH(L721,'Datos - Catálogo TIMSS'!$A$5:$A$107,0)),"No")="Sí"),1,0)</f>
        <v/>
      </c>
      <c r="Y721" s="11">
        <f>IF(IFERROR(INDEX('Datos - Catálogo TIMSS'!$J$5:$J$107,MATCH(K721,'Datos - Catálogo TIMSS'!$A$5:$A$107,0)),"No")="Sí",1,0)</f>
        <v/>
      </c>
      <c r="Z721" s="11">
        <f>IF(IFERROR(INDEX('Datos - Catálogo TIMSS'!$J$5:$J$107,MATCH(L721,'Datos - Catálogo TIMSS'!$A$5:$A$107,0)),"No")="Sí",1,0)</f>
        <v/>
      </c>
      <c r="AA721" s="11" t="inlineStr">
        <is>
          <t>TA-M3.1</t>
        </is>
      </c>
      <c r="AB721" s="11" t="inlineStr"/>
      <c r="AC721" s="11">
        <f>IF(AA721="FUERA","Fuera del marco",IF(AA721="N/A","Sin marco",IFERROR(INDEX('Datos - TIMSS 2023'!$C$5:$C$105,MATCH(AA721,'Datos - TIMSS 2023'!$A$5:$A$105,0)),"Pendiente de clasificar")))</f>
        <v/>
      </c>
      <c r="AD721" s="11" t="inlineStr">
        <is>
          <t>3. Investigar, evaluar y usar información científica para tomar decisiones y actuar</t>
        </is>
      </c>
      <c r="AE721" s="11">
        <f>IF(AD721="","",IF(LEFT(AD721,1)="1","C1",IF(LEFT(AD721,1)="2","C2",IF(LEFT(AD721,1)="3","C3",""))))</f>
        <v/>
      </c>
      <c r="AF721" s="11" t="inlineStr">
        <is>
          <t>E6</t>
        </is>
      </c>
      <c r="AG721" s="11" t="inlineStr">
        <is>
          <t>E5</t>
        </is>
      </c>
      <c r="AH721" s="11" t="inlineStr">
        <is>
          <t>E4</t>
        </is>
      </c>
      <c r="AI721" s="11" t="inlineStr">
        <is>
          <t>I1</t>
        </is>
      </c>
      <c r="AJ721" s="11" t="inlineStr">
        <is>
          <t>I5</t>
        </is>
      </c>
      <c r="AK721" s="11" t="n"/>
      <c r="AL721" s="11" t="n"/>
      <c r="AM721" s="11" t="n"/>
      <c r="AN721" s="11" t="n"/>
      <c r="AO721" s="11" t="n"/>
      <c r="AP721" s="11" t="n"/>
      <c r="AQ721" s="11" t="n"/>
      <c r="AR721" s="11" t="n"/>
      <c r="AS721" s="11" t="n"/>
      <c r="AT721" s="11" t="n"/>
      <c r="AU721" s="11" t="n"/>
      <c r="AV721" s="11" t="n"/>
      <c r="AW721" s="11">
        <f>AF721&amp;"; "&amp;AG721&amp;"; "&amp;AH721&amp;"; "&amp;AI721&amp;"; "&amp;AJ721</f>
        <v/>
      </c>
    </row>
    <row r="722">
      <c r="A722" s="11" t="inlineStr">
        <is>
          <t>T0258-G10-FÍS</t>
        </is>
      </c>
      <c r="B722" s="11" t="n">
        <v>10</v>
      </c>
      <c r="C722" s="11" t="inlineStr">
        <is>
          <t>Física</t>
        </is>
      </c>
      <c r="D722" s="11" t="inlineStr">
        <is>
          <t>Matriz_Bachillerato_Fisica_10_11.xlsx</t>
        </is>
      </c>
      <c r="E722" s="11" t="inlineStr">
        <is>
          <t>Física 10.°</t>
        </is>
      </c>
      <c r="F722" s="11" t="n">
        <v>98</v>
      </c>
      <c r="G722" s="11" t="inlineStr">
        <is>
          <t>14. Los gases ideales</t>
        </is>
      </c>
      <c r="H722" s="11" t="inlineStr">
        <is>
          <t>Modelo del gas ideal</t>
        </is>
      </c>
      <c r="I722" s="38" t="inlineStr">
        <is>
          <t>14.1. Aplicación de la ecuación de estado del gas ideal a problemas con presión absoluta, volumen, temperatura y número de moléculas.</t>
        </is>
      </c>
      <c r="J722" s="11" t="inlineStr">
        <is>
          <t>TA</t>
        </is>
      </c>
      <c r="K722" s="11" t="inlineStr">
        <is>
          <t>TA-M3.2</t>
        </is>
      </c>
      <c r="L722" s="11" t="inlineStr"/>
      <c r="M722" s="11">
        <f>IF(K722="FUERA","Fuera del marco",IF(K722="N/A","Sin marco",IFERROR(INDEX('Datos - Catálogo TIMSS'!$C$5:$C$107,MATCH(K722,'Datos - Catálogo TIMSS'!$A$5:$A$107,0)),"Pendiente de clasificar")))</f>
        <v/>
      </c>
      <c r="N722" s="11">
        <f>IF(K722="FUERA","Fuera del marco",IF(K722="N/A","Sin marco",IFERROR(INDEX('Datos - Catálogo TIMSS'!$F$5:$F$107,MATCH(K722,'Datos - Catálogo TIMSS'!$A$5:$A$107,0)),"Pendiente de clasificar")))</f>
        <v/>
      </c>
      <c r="O722" s="11">
        <f>IF(L722="","",IFERROR(INDEX('Datos - Catálogo TIMSS'!$C$5:$C$107,MATCH(L722,'Datos - Catálogo TIMSS'!$A$5:$A$107,0)),"?"))</f>
        <v/>
      </c>
      <c r="P722" s="11" t="inlineStr">
        <is>
          <t>alta</t>
        </is>
      </c>
      <c r="Q722" s="38" t="inlineStr">
        <is>
          <t>Ecuación de estado del gas ideal</t>
        </is>
      </c>
      <c r="R722" s="38" t="inlineStr">
        <is>
          <t>Aplicar: usar la ecuación de estado y linealizar datos. Razonar: interpretar la pendiente de una gráfica</t>
        </is>
      </c>
      <c r="S722" s="39">
        <f>IFERROR(ISNUMBER(SEARCH("Conocer",$R722))/(ISNUMBER(SEARCH("Conocer",$R722))+ISNUMBER(SEARCH("Aplicar",$R722))+ISNUMBER(SEARCH("Razonar",$R722))),0)</f>
        <v/>
      </c>
      <c r="T722" s="39">
        <f>IFERROR(ISNUMBER(SEARCH("Aplicar",$R722))/(ISNUMBER(SEARCH("Conocer",$R722))+ISNUMBER(SEARCH("Aplicar",$R722))+ISNUMBER(SEARCH("Razonar",$R722))),0)</f>
        <v/>
      </c>
      <c r="U722" s="39">
        <f>IFERROR(ISNUMBER(SEARCH("Razonar",$R722))/(ISNUMBER(SEARCH("Conocer",$R722))+ISNUMBER(SEARCH("Aplicar",$R722))+ISNUMBER(SEARCH("Razonar",$R722))),0)</f>
        <v/>
      </c>
      <c r="V722" s="11" t="inlineStr">
        <is>
          <t>Física 10°</t>
        </is>
      </c>
      <c r="W722" s="11" t="inlineStr">
        <is>
          <t>Física 10°–11°</t>
        </is>
      </c>
      <c r="X722" s="11">
        <f>IF(OR(IFERROR(INDEX('Datos - Catálogo TIMSS'!$I$5:$I$107,MATCH(K722,'Datos - Catálogo TIMSS'!$A$5:$A$107,0)),"No")="Sí",IFERROR(INDEX('Datos - Catálogo TIMSS'!$I$5:$I$107,MATCH(L722,'Datos - Catálogo TIMSS'!$A$5:$A$107,0)),"No")="Sí"),1,0)</f>
        <v/>
      </c>
      <c r="Y722" s="11">
        <f>IF(IFERROR(INDEX('Datos - Catálogo TIMSS'!$J$5:$J$107,MATCH(K722,'Datos - Catálogo TIMSS'!$A$5:$A$107,0)),"No")="Sí",1,0)</f>
        <v/>
      </c>
      <c r="Z722" s="11">
        <f>IF(IFERROR(INDEX('Datos - Catálogo TIMSS'!$J$5:$J$107,MATCH(L722,'Datos - Catálogo TIMSS'!$A$5:$A$107,0)),"No")="Sí",1,0)</f>
        <v/>
      </c>
      <c r="AA722" s="11" t="inlineStr">
        <is>
          <t>TA-M3.2</t>
        </is>
      </c>
      <c r="AB722" s="11" t="inlineStr"/>
      <c r="AC722" s="11">
        <f>IF(AA722="FUERA","Fuera del marco",IF(AA722="N/A","Sin marco",IFERROR(INDEX('Datos - TIMSS 2023'!$C$5:$C$105,MATCH(AA722,'Datos - TIMSS 2023'!$A$5:$A$105,0)),"Pendiente de clasificar")))</f>
        <v/>
      </c>
      <c r="AD722" s="11" t="inlineStr">
        <is>
          <t>2. Construir y evaluar diseños para la indagación científica e interpretar datos y evidencia de forma crítica</t>
        </is>
      </c>
      <c r="AE722" s="11">
        <f>IF(AD722="","",IF(LEFT(AD722,1)="1","C1",IF(LEFT(AD722,1)="2","C2",IF(LEFT(AD722,1)="3","C3",""))))</f>
        <v/>
      </c>
      <c r="AF722" s="11" t="inlineStr">
        <is>
          <t>E1</t>
        </is>
      </c>
      <c r="AG722" s="11" t="inlineStr">
        <is>
          <t>D1</t>
        </is>
      </c>
      <c r="AH722" s="11" t="inlineStr">
        <is>
          <t>E2</t>
        </is>
      </c>
      <c r="AI722" s="11" t="inlineStr">
        <is>
          <t>D4</t>
        </is>
      </c>
      <c r="AJ722" s="11" t="inlineStr">
        <is>
          <t>D3</t>
        </is>
      </c>
      <c r="AK722" s="11" t="n"/>
      <c r="AL722" s="11" t="n"/>
      <c r="AM722" s="11" t="n"/>
      <c r="AN722" s="11" t="n"/>
      <c r="AO722" s="11" t="n"/>
      <c r="AP722" s="11" t="n"/>
      <c r="AQ722" s="11" t="n"/>
      <c r="AR722" s="11" t="n"/>
      <c r="AS722" s="11" t="n"/>
      <c r="AT722" s="11" t="n"/>
      <c r="AU722" s="11" t="n"/>
      <c r="AV722" s="11" t="n"/>
      <c r="AW722" s="11">
        <f>AF722&amp;"; "&amp;AG722&amp;"; "&amp;AH722&amp;"; "&amp;AI722&amp;"; "&amp;AJ722</f>
        <v/>
      </c>
    </row>
    <row r="723">
      <c r="A723" s="11" t="inlineStr">
        <is>
          <t>T0259-G10-FÍS</t>
        </is>
      </c>
      <c r="B723" s="11" t="n">
        <v>10</v>
      </c>
      <c r="C723" s="11" t="inlineStr">
        <is>
          <t>Física</t>
        </is>
      </c>
      <c r="D723" s="11" t="inlineStr">
        <is>
          <t>Matriz_Bachillerato_Fisica_10_11.xlsx</t>
        </is>
      </c>
      <c r="E723" s="11" t="inlineStr">
        <is>
          <t>Física 10.°</t>
        </is>
      </c>
      <c r="F723" s="11" t="n">
        <v>99</v>
      </c>
      <c r="G723" s="11" t="inlineStr">
        <is>
          <t>14. Los gases ideales</t>
        </is>
      </c>
      <c r="H723" s="11" t="inlineStr">
        <is>
          <t>Teoría cinética de los gases</t>
        </is>
      </c>
      <c r="I723" s="38" t="inlineStr">
        <is>
          <t>14.2. Deducción de la relación entre la energía cinética media de las moléculas y la temperatura absoluta del gas.</t>
        </is>
      </c>
      <c r="J723" s="11" t="inlineStr">
        <is>
          <t>TA</t>
        </is>
      </c>
      <c r="K723" s="11" t="inlineStr">
        <is>
          <t>TA-M3.2</t>
        </is>
      </c>
      <c r="L723" s="11" t="inlineStr"/>
      <c r="M723" s="11">
        <f>IF(K723="FUERA","Fuera del marco",IF(K723="N/A","Sin marco",IFERROR(INDEX('Datos - Catálogo TIMSS'!$C$5:$C$107,MATCH(K723,'Datos - Catálogo TIMSS'!$A$5:$A$107,0)),"Pendiente de clasificar")))</f>
        <v/>
      </c>
      <c r="N723" s="11">
        <f>IF(K723="FUERA","Fuera del marco",IF(K723="N/A","Sin marco",IFERROR(INDEX('Datos - Catálogo TIMSS'!$F$5:$F$107,MATCH(K723,'Datos - Catálogo TIMSS'!$A$5:$A$107,0)),"Pendiente de clasificar")))</f>
        <v/>
      </c>
      <c r="O723" s="11">
        <f>IF(L723="","",IFERROR(INDEX('Datos - Catálogo TIMSS'!$C$5:$C$107,MATCH(L723,'Datos - Catálogo TIMSS'!$A$5:$A$107,0)),"?"))</f>
        <v/>
      </c>
      <c r="P723" s="11" t="inlineStr">
        <is>
          <t>media</t>
        </is>
      </c>
      <c r="Q723" s="38" t="inlineStr">
        <is>
          <t>Teoría cinética: energía cinética media y temperatura</t>
        </is>
      </c>
      <c r="R723" s="38" t="inlineStr">
        <is>
          <t>Aplicar: calcular energía cinética media y v_rms. Razonar: vincular lo microscópico con lo macroscópico</t>
        </is>
      </c>
      <c r="S723" s="39">
        <f>IFERROR(ISNUMBER(SEARCH("Conocer",$R723))/(ISNUMBER(SEARCH("Conocer",$R723))+ISNUMBER(SEARCH("Aplicar",$R723))+ISNUMBER(SEARCH("Razonar",$R723))),0)</f>
        <v/>
      </c>
      <c r="T723" s="39">
        <f>IFERROR(ISNUMBER(SEARCH("Aplicar",$R723))/(ISNUMBER(SEARCH("Conocer",$R723))+ISNUMBER(SEARCH("Aplicar",$R723))+ISNUMBER(SEARCH("Razonar",$R723))),0)</f>
        <v/>
      </c>
      <c r="U723" s="39">
        <f>IFERROR(ISNUMBER(SEARCH("Razonar",$R723))/(ISNUMBER(SEARCH("Conocer",$R723))+ISNUMBER(SEARCH("Aplicar",$R723))+ISNUMBER(SEARCH("Razonar",$R723))),0)</f>
        <v/>
      </c>
      <c r="V723" s="11" t="inlineStr">
        <is>
          <t>Física 10°</t>
        </is>
      </c>
      <c r="W723" s="11" t="inlineStr">
        <is>
          <t>Física 10°–11°</t>
        </is>
      </c>
      <c r="X723" s="11">
        <f>IF(OR(IFERROR(INDEX('Datos - Catálogo TIMSS'!$I$5:$I$107,MATCH(K723,'Datos - Catálogo TIMSS'!$A$5:$A$107,0)),"No")="Sí",IFERROR(INDEX('Datos - Catálogo TIMSS'!$I$5:$I$107,MATCH(L723,'Datos - Catálogo TIMSS'!$A$5:$A$107,0)),"No")="Sí"),1,0)</f>
        <v/>
      </c>
      <c r="Y723" s="11">
        <f>IF(IFERROR(INDEX('Datos - Catálogo TIMSS'!$J$5:$J$107,MATCH(K723,'Datos - Catálogo TIMSS'!$A$5:$A$107,0)),"No")="Sí",1,0)</f>
        <v/>
      </c>
      <c r="Z723" s="11">
        <f>IF(IFERROR(INDEX('Datos - Catálogo TIMSS'!$J$5:$J$107,MATCH(L723,'Datos - Catálogo TIMSS'!$A$5:$A$107,0)),"No")="Sí",1,0)</f>
        <v/>
      </c>
      <c r="AA723" s="11" t="inlineStr">
        <is>
          <t>TA-M3.2</t>
        </is>
      </c>
      <c r="AB723" s="11" t="inlineStr"/>
      <c r="AC723" s="11">
        <f>IF(AA723="FUERA","Fuera del marco",IF(AA723="N/A","Sin marco",IFERROR(INDEX('Datos - TIMSS 2023'!$C$5:$C$105,MATCH(AA723,'Datos - TIMSS 2023'!$A$5:$A$105,0)),"Pendiente de clasificar")))</f>
        <v/>
      </c>
      <c r="AD723" s="11" t="inlineStr">
        <is>
          <t>1. Explicar fenómenos científicamente</t>
        </is>
      </c>
      <c r="AE723" s="11">
        <f>IF(AD723="","",IF(LEFT(AD723,1)="1","C1",IF(LEFT(AD723,1)="2","C2",IF(LEFT(AD723,1)="3","C3",""))))</f>
        <v/>
      </c>
      <c r="AF723" s="11" t="inlineStr">
        <is>
          <t>E1</t>
        </is>
      </c>
      <c r="AG723" s="11" t="inlineStr">
        <is>
          <t>E3</t>
        </is>
      </c>
      <c r="AH723" s="11" t="inlineStr">
        <is>
          <t>E4</t>
        </is>
      </c>
      <c r="AI723" s="11" t="inlineStr">
        <is>
          <t>D4</t>
        </is>
      </c>
      <c r="AJ723" s="11" t="inlineStr">
        <is>
          <t>E6</t>
        </is>
      </c>
      <c r="AK723" s="11" t="n"/>
      <c r="AL723" s="11" t="n"/>
      <c r="AM723" s="11" t="n"/>
      <c r="AN723" s="11" t="n"/>
      <c r="AO723" s="11" t="n"/>
      <c r="AP723" s="11" t="n"/>
      <c r="AQ723" s="11" t="n"/>
      <c r="AR723" s="11" t="n"/>
      <c r="AS723" s="11" t="n"/>
      <c r="AT723" s="11" t="n"/>
      <c r="AU723" s="11" t="n"/>
      <c r="AV723" s="11" t="n"/>
      <c r="AW723" s="11">
        <f>AF723&amp;"; "&amp;AG723&amp;"; "&amp;AH723&amp;"; "&amp;AI723&amp;"; "&amp;AJ723</f>
        <v/>
      </c>
    </row>
    <row r="724">
      <c r="A724" s="11" t="inlineStr">
        <is>
          <t>T0260-G10-FÍS</t>
        </is>
      </c>
      <c r="B724" s="11" t="n">
        <v>10</v>
      </c>
      <c r="C724" s="11" t="inlineStr">
        <is>
          <t>Física</t>
        </is>
      </c>
      <c r="D724" s="11" t="inlineStr">
        <is>
          <t>Matriz_Bachillerato_Fisica_10_11.xlsx</t>
        </is>
      </c>
      <c r="E724" s="11" t="inlineStr">
        <is>
          <t>Física 10.°</t>
        </is>
      </c>
      <c r="F724" s="11" t="n">
        <v>100</v>
      </c>
      <c r="G724" s="11" t="inlineStr">
        <is>
          <t>15. Termodinámica</t>
        </is>
      </c>
      <c r="H724" s="11" t="inlineStr">
        <is>
          <t>Fundamentos de la termodinámica</t>
        </is>
      </c>
      <c r="I724" s="38" t="inlineStr">
        <is>
          <t>15.1. Caracterización de sistemas termodinámicos reales identificando su frontera, su entorno y sus variables de estado.</t>
        </is>
      </c>
      <c r="J724" s="11" t="inlineStr">
        <is>
          <t>TA</t>
        </is>
      </c>
      <c r="K724" s="11" t="inlineStr">
        <is>
          <t>TA-M2.3</t>
        </is>
      </c>
      <c r="L724" s="11" t="inlineStr"/>
      <c r="M724" s="11">
        <f>IF(K724="FUERA","Fuera del marco",IF(K724="N/A","Sin marco",IFERROR(INDEX('Datos - Catálogo TIMSS'!$C$5:$C$107,MATCH(K724,'Datos - Catálogo TIMSS'!$A$5:$A$107,0)),"Pendiente de clasificar")))</f>
        <v/>
      </c>
      <c r="N724" s="11">
        <f>IF(K724="FUERA","Fuera del marco",IF(K724="N/A","Sin marco",IFERROR(INDEX('Datos - Catálogo TIMSS'!$F$5:$F$107,MATCH(K724,'Datos - Catálogo TIMSS'!$A$5:$A$107,0)),"Pendiente de clasificar")))</f>
        <v/>
      </c>
      <c r="O724" s="11">
        <f>IF(L724="","",IFERROR(INDEX('Datos - Catálogo TIMSS'!$C$5:$C$107,MATCH(L724,'Datos - Catálogo TIMSS'!$A$5:$A$107,0)),"?"))</f>
        <v/>
      </c>
      <c r="P724" s="11" t="inlineStr">
        <is>
          <t>baja</t>
        </is>
      </c>
      <c r="Q724" s="38" t="inlineStr">
        <is>
          <t>Sistemas termodinámicos y variables de estado</t>
        </is>
      </c>
      <c r="R724" s="38" t="inlineStr">
        <is>
          <t>Conocer: clasificar sistemas. Aplicar: identificar variables de estado y flujos</t>
        </is>
      </c>
      <c r="S724" s="39">
        <f>IFERROR(ISNUMBER(SEARCH("Conocer",$R724))/(ISNUMBER(SEARCH("Conocer",$R724))+ISNUMBER(SEARCH("Aplicar",$R724))+ISNUMBER(SEARCH("Razonar",$R724))),0)</f>
        <v/>
      </c>
      <c r="T724" s="39">
        <f>IFERROR(ISNUMBER(SEARCH("Aplicar",$R724))/(ISNUMBER(SEARCH("Conocer",$R724))+ISNUMBER(SEARCH("Aplicar",$R724))+ISNUMBER(SEARCH("Razonar",$R724))),0)</f>
        <v/>
      </c>
      <c r="U724" s="39">
        <f>IFERROR(ISNUMBER(SEARCH("Razonar",$R724))/(ISNUMBER(SEARCH("Conocer",$R724))+ISNUMBER(SEARCH("Aplicar",$R724))+ISNUMBER(SEARCH("Razonar",$R724))),0)</f>
        <v/>
      </c>
      <c r="V724" s="11" t="inlineStr">
        <is>
          <t>Física 10°</t>
        </is>
      </c>
      <c r="W724" s="11" t="inlineStr">
        <is>
          <t>Física 10°–11°</t>
        </is>
      </c>
      <c r="X724" s="11">
        <f>IF(OR(IFERROR(INDEX('Datos - Catálogo TIMSS'!$I$5:$I$107,MATCH(K724,'Datos - Catálogo TIMSS'!$A$5:$A$107,0)),"No")="Sí",IFERROR(INDEX('Datos - Catálogo TIMSS'!$I$5:$I$107,MATCH(L724,'Datos - Catálogo TIMSS'!$A$5:$A$107,0)),"No")="Sí"),1,0)</f>
        <v/>
      </c>
      <c r="Y724" s="11">
        <f>IF(IFERROR(INDEX('Datos - Catálogo TIMSS'!$J$5:$J$107,MATCH(K724,'Datos - Catálogo TIMSS'!$A$5:$A$107,0)),"No")="Sí",1,0)</f>
        <v/>
      </c>
      <c r="Z724" s="11">
        <f>IF(IFERROR(INDEX('Datos - Catálogo TIMSS'!$J$5:$J$107,MATCH(L724,'Datos - Catálogo TIMSS'!$A$5:$A$107,0)),"No")="Sí",1,0)</f>
        <v/>
      </c>
      <c r="AA724" s="11" t="inlineStr">
        <is>
          <t>TA-M2.3</t>
        </is>
      </c>
      <c r="AB724" s="11" t="inlineStr"/>
      <c r="AC724" s="11">
        <f>IF(AA724="FUERA","Fuera del marco",IF(AA724="N/A","Sin marco",IFERROR(INDEX('Datos - TIMSS 2023'!$C$5:$C$105,MATCH(AA724,'Datos - TIMSS 2023'!$A$5:$A$105,0)),"Pendiente de clasificar")))</f>
        <v/>
      </c>
      <c r="AD724" s="11" t="inlineStr">
        <is>
          <t>1. Explicar fenómenos científicamente</t>
        </is>
      </c>
      <c r="AE724" s="11">
        <f>IF(AD724="","",IF(LEFT(AD724,1)="1","C1",IF(LEFT(AD724,1)="2","C2",IF(LEFT(AD724,1)="3","C3",""))))</f>
        <v/>
      </c>
      <c r="AF724" s="11" t="inlineStr">
        <is>
          <t>E6</t>
        </is>
      </c>
      <c r="AG724" s="11" t="inlineStr">
        <is>
          <t>E3</t>
        </is>
      </c>
      <c r="AH724" s="11" t="inlineStr">
        <is>
          <t>E1</t>
        </is>
      </c>
      <c r="AI724" s="11" t="inlineStr">
        <is>
          <t>E4</t>
        </is>
      </c>
      <c r="AJ724" s="11" t="inlineStr">
        <is>
          <t>E6</t>
        </is>
      </c>
      <c r="AK724" s="11" t="n"/>
      <c r="AL724" s="11" t="n"/>
      <c r="AM724" s="11" t="n"/>
      <c r="AN724" s="11" t="n"/>
      <c r="AO724" s="11" t="n"/>
      <c r="AP724" s="11" t="n"/>
      <c r="AQ724" s="11" t="n"/>
      <c r="AR724" s="11" t="n"/>
      <c r="AS724" s="11" t="n"/>
      <c r="AT724" s="11" t="n"/>
      <c r="AU724" s="11" t="n"/>
      <c r="AV724" s="11" t="n"/>
      <c r="AW724" s="11">
        <f>AF724&amp;"; "&amp;AG724&amp;"; "&amp;AH724&amp;"; "&amp;AI724&amp;"; "&amp;AJ724</f>
        <v/>
      </c>
    </row>
    <row r="725">
      <c r="A725" s="11" t="inlineStr">
        <is>
          <t>T0261-G10-FÍS</t>
        </is>
      </c>
      <c r="B725" s="11" t="n">
        <v>10</v>
      </c>
      <c r="C725" s="11" t="inlineStr">
        <is>
          <t>Física</t>
        </is>
      </c>
      <c r="D725" s="11" t="inlineStr">
        <is>
          <t>Matriz_Bachillerato_Fisica_10_11.xlsx</t>
        </is>
      </c>
      <c r="E725" s="11" t="inlineStr">
        <is>
          <t>Física 10.°</t>
        </is>
      </c>
      <c r="F725" s="11" t="n">
        <v>101</v>
      </c>
      <c r="G725" s="11" t="inlineStr">
        <is>
          <t>15. Termodinámica</t>
        </is>
      </c>
      <c r="H725" s="11" t="inlineStr">
        <is>
          <t>Fundamentos de la termodinámica</t>
        </is>
      </c>
      <c r="I725" s="38" t="inlineStr">
        <is>
          <t>15.2. Análisis de curvas de aproximación al equilibrio térmico entre dos cuerpos y un termómetro.</t>
        </is>
      </c>
      <c r="J725" s="11" t="inlineStr">
        <is>
          <t>TA</t>
        </is>
      </c>
      <c r="K725" s="11" t="inlineStr">
        <is>
          <t>TA-M3.1</t>
        </is>
      </c>
      <c r="L725" s="11" t="inlineStr"/>
      <c r="M725" s="11">
        <f>IF(K725="FUERA","Fuera del marco",IF(K725="N/A","Sin marco",IFERROR(INDEX('Datos - Catálogo TIMSS'!$C$5:$C$107,MATCH(K725,'Datos - Catálogo TIMSS'!$A$5:$A$107,0)),"Pendiente de clasificar")))</f>
        <v/>
      </c>
      <c r="N725" s="11">
        <f>IF(K725="FUERA","Fuera del marco",IF(K725="N/A","Sin marco",IFERROR(INDEX('Datos - Catálogo TIMSS'!$F$5:$F$107,MATCH(K725,'Datos - Catálogo TIMSS'!$A$5:$A$107,0)),"Pendiente de clasificar")))</f>
        <v/>
      </c>
      <c r="O725" s="11">
        <f>IF(L725="","",IFERROR(INDEX('Datos - Catálogo TIMSS'!$C$5:$C$107,MATCH(L725,'Datos - Catálogo TIMSS'!$A$5:$A$107,0)),"?"))</f>
        <v/>
      </c>
      <c r="P725" s="11" t="inlineStr">
        <is>
          <t>alta</t>
        </is>
      </c>
      <c r="Q725" s="38" t="inlineStr">
        <is>
          <t>Ley cero y equilibrio térmico</t>
        </is>
      </c>
      <c r="R725" s="38" t="inlineStr">
        <is>
          <t>Aplicar: interpretar curvas de temperatura. Razonar: justificar el principio de medición</t>
        </is>
      </c>
      <c r="S725" s="39">
        <f>IFERROR(ISNUMBER(SEARCH("Conocer",$R725))/(ISNUMBER(SEARCH("Conocer",$R725))+ISNUMBER(SEARCH("Aplicar",$R725))+ISNUMBER(SEARCH("Razonar",$R725))),0)</f>
        <v/>
      </c>
      <c r="T725" s="39">
        <f>IFERROR(ISNUMBER(SEARCH("Aplicar",$R725))/(ISNUMBER(SEARCH("Conocer",$R725))+ISNUMBER(SEARCH("Aplicar",$R725))+ISNUMBER(SEARCH("Razonar",$R725))),0)</f>
        <v/>
      </c>
      <c r="U725" s="39">
        <f>IFERROR(ISNUMBER(SEARCH("Razonar",$R725))/(ISNUMBER(SEARCH("Conocer",$R725))+ISNUMBER(SEARCH("Aplicar",$R725))+ISNUMBER(SEARCH("Razonar",$R725))),0)</f>
        <v/>
      </c>
      <c r="V725" s="11" t="inlineStr">
        <is>
          <t>Física 10°</t>
        </is>
      </c>
      <c r="W725" s="11" t="inlineStr">
        <is>
          <t>Física 10°–11°</t>
        </is>
      </c>
      <c r="X725" s="11">
        <f>IF(OR(IFERROR(INDEX('Datos - Catálogo TIMSS'!$I$5:$I$107,MATCH(K725,'Datos - Catálogo TIMSS'!$A$5:$A$107,0)),"No")="Sí",IFERROR(INDEX('Datos - Catálogo TIMSS'!$I$5:$I$107,MATCH(L725,'Datos - Catálogo TIMSS'!$A$5:$A$107,0)),"No")="Sí"),1,0)</f>
        <v/>
      </c>
      <c r="Y725" s="11">
        <f>IF(IFERROR(INDEX('Datos - Catálogo TIMSS'!$J$5:$J$107,MATCH(K725,'Datos - Catálogo TIMSS'!$A$5:$A$107,0)),"No")="Sí",1,0)</f>
        <v/>
      </c>
      <c r="Z725" s="11">
        <f>IF(IFERROR(INDEX('Datos - Catálogo TIMSS'!$J$5:$J$107,MATCH(L725,'Datos - Catálogo TIMSS'!$A$5:$A$107,0)),"No")="Sí",1,0)</f>
        <v/>
      </c>
      <c r="AA725" s="11" t="inlineStr">
        <is>
          <t>TA-M3.1</t>
        </is>
      </c>
      <c r="AB725" s="11" t="inlineStr"/>
      <c r="AC725" s="11">
        <f>IF(AA725="FUERA","Fuera del marco",IF(AA725="N/A","Sin marco",IFERROR(INDEX('Datos - TIMSS 2023'!$C$5:$C$105,MATCH(AA725,'Datos - TIMSS 2023'!$A$5:$A$105,0)),"Pendiente de clasificar")))</f>
        <v/>
      </c>
      <c r="AD725" s="11" t="inlineStr">
        <is>
          <t>2. Construir y evaluar diseños para la indagación científica e interpretar datos y evidencia de forma crítica</t>
        </is>
      </c>
      <c r="AE725" s="11">
        <f>IF(AD725="","",IF(LEFT(AD725,1)="1","C1",IF(LEFT(AD725,1)="2","C2",IF(LEFT(AD725,1)="3","C3",""))))</f>
        <v/>
      </c>
      <c r="AF725" s="11" t="inlineStr">
        <is>
          <t>E1</t>
        </is>
      </c>
      <c r="AG725" s="11" t="inlineStr">
        <is>
          <t>D1</t>
        </is>
      </c>
      <c r="AH725" s="11" t="inlineStr">
        <is>
          <t>E2</t>
        </is>
      </c>
      <c r="AI725" s="11" t="inlineStr">
        <is>
          <t>D4</t>
        </is>
      </c>
      <c r="AJ725" s="11" t="inlineStr">
        <is>
          <t>D3</t>
        </is>
      </c>
      <c r="AK725" s="11" t="n"/>
      <c r="AL725" s="11" t="n"/>
      <c r="AM725" s="11" t="n"/>
      <c r="AN725" s="11" t="n"/>
      <c r="AO725" s="11" t="n"/>
      <c r="AP725" s="11" t="n"/>
      <c r="AQ725" s="11" t="n"/>
      <c r="AR725" s="11" t="n"/>
      <c r="AS725" s="11" t="n"/>
      <c r="AT725" s="11" t="n"/>
      <c r="AU725" s="11" t="n"/>
      <c r="AV725" s="11" t="n"/>
      <c r="AW725" s="11">
        <f>AF725&amp;"; "&amp;AG725&amp;"; "&amp;AH725&amp;"; "&amp;AI725&amp;"; "&amp;AJ725</f>
        <v/>
      </c>
    </row>
    <row r="726">
      <c r="A726" s="11" t="inlineStr">
        <is>
          <t>T0262-G10-FÍS</t>
        </is>
      </c>
      <c r="B726" s="11" t="n">
        <v>10</v>
      </c>
      <c r="C726" s="11" t="inlineStr">
        <is>
          <t>Física</t>
        </is>
      </c>
      <c r="D726" s="11" t="inlineStr">
        <is>
          <t>Matriz_Bachillerato_Fisica_10_11.xlsx</t>
        </is>
      </c>
      <c r="E726" s="11" t="inlineStr">
        <is>
          <t>Física 10.°</t>
        </is>
      </c>
      <c r="F726" s="11" t="n">
        <v>102</v>
      </c>
      <c r="G726" s="11" t="inlineStr">
        <is>
          <t>15. Termodinámica</t>
        </is>
      </c>
      <c r="H726" s="11" t="inlineStr">
        <is>
          <t>Primera ley de la termodinámica</t>
        </is>
      </c>
      <c r="I726" s="38" t="inlineStr">
        <is>
          <t>15.3. Aplicación de la primera ley a procesos en los que calor y trabajo actúan simultáneamente sobre un sistema.</t>
        </is>
      </c>
      <c r="J726" s="11" t="inlineStr">
        <is>
          <t>TA</t>
        </is>
      </c>
      <c r="K726" s="11" t="inlineStr">
        <is>
          <t>TA-M2.3</t>
        </is>
      </c>
      <c r="L726" s="11" t="inlineStr"/>
      <c r="M726" s="11">
        <f>IF(K726="FUERA","Fuera del marco",IF(K726="N/A","Sin marco",IFERROR(INDEX('Datos - Catálogo TIMSS'!$C$5:$C$107,MATCH(K726,'Datos - Catálogo TIMSS'!$A$5:$A$107,0)),"Pendiente de clasificar")))</f>
        <v/>
      </c>
      <c r="N726" s="11">
        <f>IF(K726="FUERA","Fuera del marco",IF(K726="N/A","Sin marco",IFERROR(INDEX('Datos - Catálogo TIMSS'!$F$5:$F$107,MATCH(K726,'Datos - Catálogo TIMSS'!$A$5:$A$107,0)),"Pendiente de clasificar")))</f>
        <v/>
      </c>
      <c r="O726" s="11">
        <f>IF(L726="","",IFERROR(INDEX('Datos - Catálogo TIMSS'!$C$5:$C$107,MATCH(L726,'Datos - Catálogo TIMSS'!$A$5:$A$107,0)),"?"))</f>
        <v/>
      </c>
      <c r="P726" s="11" t="inlineStr">
        <is>
          <t>alta</t>
        </is>
      </c>
      <c r="Q726" s="38" t="inlineStr">
        <is>
          <t>Primera ley ΔU = Q − W</t>
        </is>
      </c>
      <c r="R726" s="38" t="inlineStr">
        <is>
          <t>Aplicar: calcular ΔU, Q y W. Razonar: distinguir funciones de estado y de trayectoria</t>
        </is>
      </c>
      <c r="S726" s="39">
        <f>IFERROR(ISNUMBER(SEARCH("Conocer",$R726))/(ISNUMBER(SEARCH("Conocer",$R726))+ISNUMBER(SEARCH("Aplicar",$R726))+ISNUMBER(SEARCH("Razonar",$R726))),0)</f>
        <v/>
      </c>
      <c r="T726" s="39">
        <f>IFERROR(ISNUMBER(SEARCH("Aplicar",$R726))/(ISNUMBER(SEARCH("Conocer",$R726))+ISNUMBER(SEARCH("Aplicar",$R726))+ISNUMBER(SEARCH("Razonar",$R726))),0)</f>
        <v/>
      </c>
      <c r="U726" s="39">
        <f>IFERROR(ISNUMBER(SEARCH("Razonar",$R726))/(ISNUMBER(SEARCH("Conocer",$R726))+ISNUMBER(SEARCH("Aplicar",$R726))+ISNUMBER(SEARCH("Razonar",$R726))),0)</f>
        <v/>
      </c>
      <c r="V726" s="11" t="inlineStr">
        <is>
          <t>Física 10°</t>
        </is>
      </c>
      <c r="W726" s="11" t="inlineStr">
        <is>
          <t>Física 10°–11°</t>
        </is>
      </c>
      <c r="X726" s="11">
        <f>IF(OR(IFERROR(INDEX('Datos - Catálogo TIMSS'!$I$5:$I$107,MATCH(K726,'Datos - Catálogo TIMSS'!$A$5:$A$107,0)),"No")="Sí",IFERROR(INDEX('Datos - Catálogo TIMSS'!$I$5:$I$107,MATCH(L726,'Datos - Catálogo TIMSS'!$A$5:$A$107,0)),"No")="Sí"),1,0)</f>
        <v/>
      </c>
      <c r="Y726" s="11">
        <f>IF(IFERROR(INDEX('Datos - Catálogo TIMSS'!$J$5:$J$107,MATCH(K726,'Datos - Catálogo TIMSS'!$A$5:$A$107,0)),"No")="Sí",1,0)</f>
        <v/>
      </c>
      <c r="Z726" s="11">
        <f>IF(IFERROR(INDEX('Datos - Catálogo TIMSS'!$J$5:$J$107,MATCH(L726,'Datos - Catálogo TIMSS'!$A$5:$A$107,0)),"No")="Sí",1,0)</f>
        <v/>
      </c>
      <c r="AA726" s="11" t="inlineStr">
        <is>
          <t>TA-M2.3</t>
        </is>
      </c>
      <c r="AB726" s="11" t="inlineStr"/>
      <c r="AC726" s="11">
        <f>IF(AA726="FUERA","Fuera del marco",IF(AA726="N/A","Sin marco",IFERROR(INDEX('Datos - TIMSS 2023'!$C$5:$C$105,MATCH(AA726,'Datos - TIMSS 2023'!$A$5:$A$105,0)),"Pendiente de clasificar")))</f>
        <v/>
      </c>
      <c r="AD726" s="11" t="inlineStr">
        <is>
          <t>1. Explicar fenómenos científicamente</t>
        </is>
      </c>
      <c r="AE726" s="11">
        <f>IF(AD726="","",IF(LEFT(AD726,1)="1","C1",IF(LEFT(AD726,1)="2","C2",IF(LEFT(AD726,1)="3","C3",""))))</f>
        <v/>
      </c>
      <c r="AF726" s="11" t="inlineStr">
        <is>
          <t>E1</t>
        </is>
      </c>
      <c r="AG726" s="11" t="inlineStr">
        <is>
          <t>E3</t>
        </is>
      </c>
      <c r="AH726" s="11" t="inlineStr">
        <is>
          <t>E4</t>
        </is>
      </c>
      <c r="AI726" s="11" t="inlineStr">
        <is>
          <t>D4</t>
        </is>
      </c>
      <c r="AJ726" s="11" t="inlineStr">
        <is>
          <t>E3</t>
        </is>
      </c>
      <c r="AK726" s="11" t="n"/>
      <c r="AL726" s="11" t="n"/>
      <c r="AM726" s="11" t="n"/>
      <c r="AN726" s="11" t="n"/>
      <c r="AO726" s="11" t="n"/>
      <c r="AP726" s="11" t="n"/>
      <c r="AQ726" s="11" t="n"/>
      <c r="AR726" s="11" t="n"/>
      <c r="AS726" s="11" t="n"/>
      <c r="AT726" s="11" t="n"/>
      <c r="AU726" s="11" t="n"/>
      <c r="AV726" s="11" t="n"/>
      <c r="AW726" s="11">
        <f>AF726&amp;"; "&amp;AG726&amp;"; "&amp;AH726&amp;"; "&amp;AI726&amp;"; "&amp;AJ726</f>
        <v/>
      </c>
    </row>
    <row r="727">
      <c r="A727" s="11" t="inlineStr">
        <is>
          <t>T0263-G10-FÍS</t>
        </is>
      </c>
      <c r="B727" s="11" t="n">
        <v>10</v>
      </c>
      <c r="C727" s="11" t="inlineStr">
        <is>
          <t>Física</t>
        </is>
      </c>
      <c r="D727" s="11" t="inlineStr">
        <is>
          <t>Matriz_Bachillerato_Fisica_10_11.xlsx</t>
        </is>
      </c>
      <c r="E727" s="11" t="inlineStr">
        <is>
          <t>Física 10.°</t>
        </is>
      </c>
      <c r="F727" s="11" t="n">
        <v>103</v>
      </c>
      <c r="G727" s="11" t="inlineStr">
        <is>
          <t>15. Termodinámica</t>
        </is>
      </c>
      <c r="H727" s="11" t="inlineStr">
        <is>
          <t>Procesos termodinámicos</t>
        </is>
      </c>
      <c r="I727" s="38" t="inlineStr">
        <is>
          <t>15.4. Representación de procesos termodinámicos en diagramas p-V y cálculo del trabajo como área bajo la curva.</t>
        </is>
      </c>
      <c r="J727" s="11" t="inlineStr">
        <is>
          <t>TA</t>
        </is>
      </c>
      <c r="K727" s="11" t="inlineStr">
        <is>
          <t>TA-M2.3</t>
        </is>
      </c>
      <c r="L727" s="11" t="inlineStr">
        <is>
          <t>TA-M3.2</t>
        </is>
      </c>
      <c r="M727" s="11">
        <f>IF(K727="FUERA","Fuera del marco",IF(K727="N/A","Sin marco",IFERROR(INDEX('Datos - Catálogo TIMSS'!$C$5:$C$107,MATCH(K727,'Datos - Catálogo TIMSS'!$A$5:$A$107,0)),"Pendiente de clasificar")))</f>
        <v/>
      </c>
      <c r="N727" s="11">
        <f>IF(K727="FUERA","Fuera del marco",IF(K727="N/A","Sin marco",IFERROR(INDEX('Datos - Catálogo TIMSS'!$F$5:$F$107,MATCH(K727,'Datos - Catálogo TIMSS'!$A$5:$A$107,0)),"Pendiente de clasificar")))</f>
        <v/>
      </c>
      <c r="O727" s="11">
        <f>IF(L727="","",IFERROR(INDEX('Datos - Catálogo TIMSS'!$C$5:$C$107,MATCH(L727,'Datos - Catálogo TIMSS'!$A$5:$A$107,0)),"?"))</f>
        <v/>
      </c>
      <c r="P727" s="11" t="inlineStr">
        <is>
          <t>alta</t>
        </is>
      </c>
      <c r="Q727" s="38" t="inlineStr">
        <is>
          <t>Procesos termodinámicos y trabajo en diagrama p-V</t>
        </is>
      </c>
      <c r="R727" s="38" t="inlineStr">
        <is>
          <t>Aplicar: calcular áreas en el diagrama p-V. Razonar: relacionar el sentido del ciclo con el trabajo neto</t>
        </is>
      </c>
      <c r="S727" s="39">
        <f>IFERROR(ISNUMBER(SEARCH("Conocer",$R727))/(ISNUMBER(SEARCH("Conocer",$R727))+ISNUMBER(SEARCH("Aplicar",$R727))+ISNUMBER(SEARCH("Razonar",$R727))),0)</f>
        <v/>
      </c>
      <c r="T727" s="39">
        <f>IFERROR(ISNUMBER(SEARCH("Aplicar",$R727))/(ISNUMBER(SEARCH("Conocer",$R727))+ISNUMBER(SEARCH("Aplicar",$R727))+ISNUMBER(SEARCH("Razonar",$R727))),0)</f>
        <v/>
      </c>
      <c r="U727" s="39">
        <f>IFERROR(ISNUMBER(SEARCH("Razonar",$R727))/(ISNUMBER(SEARCH("Conocer",$R727))+ISNUMBER(SEARCH("Aplicar",$R727))+ISNUMBER(SEARCH("Razonar",$R727))),0)</f>
        <v/>
      </c>
      <c r="V727" s="11" t="inlineStr">
        <is>
          <t>Física 10°</t>
        </is>
      </c>
      <c r="W727" s="11" t="inlineStr">
        <is>
          <t>Física 10°–11°</t>
        </is>
      </c>
      <c r="X727" s="11">
        <f>IF(OR(IFERROR(INDEX('Datos - Catálogo TIMSS'!$I$5:$I$107,MATCH(K727,'Datos - Catálogo TIMSS'!$A$5:$A$107,0)),"No")="Sí",IFERROR(INDEX('Datos - Catálogo TIMSS'!$I$5:$I$107,MATCH(L727,'Datos - Catálogo TIMSS'!$A$5:$A$107,0)),"No")="Sí"),1,0)</f>
        <v/>
      </c>
      <c r="Y727" s="11">
        <f>IF(IFERROR(INDEX('Datos - Catálogo TIMSS'!$J$5:$J$107,MATCH(K727,'Datos - Catálogo TIMSS'!$A$5:$A$107,0)),"No")="Sí",1,0)</f>
        <v/>
      </c>
      <c r="Z727" s="11">
        <f>IF(IFERROR(INDEX('Datos - Catálogo TIMSS'!$J$5:$J$107,MATCH(L727,'Datos - Catálogo TIMSS'!$A$5:$A$107,0)),"No")="Sí",1,0)</f>
        <v/>
      </c>
      <c r="AA727" s="11" t="inlineStr">
        <is>
          <t>TA-M2.3</t>
        </is>
      </c>
      <c r="AB727" s="11" t="inlineStr">
        <is>
          <t>TA-M3.2</t>
        </is>
      </c>
      <c r="AC727" s="11">
        <f>IF(AA727="FUERA","Fuera del marco",IF(AA727="N/A","Sin marco",IFERROR(INDEX('Datos - TIMSS 2023'!$C$5:$C$105,MATCH(AA727,'Datos - TIMSS 2023'!$A$5:$A$105,0)),"Pendiente de clasificar")))</f>
        <v/>
      </c>
      <c r="AD727" s="11" t="inlineStr">
        <is>
          <t>1. Explicar fenómenos científicamente</t>
        </is>
      </c>
      <c r="AE727" s="11">
        <f>IF(AD727="","",IF(LEFT(AD727,1)="1","C1",IF(LEFT(AD727,1)="2","C2",IF(LEFT(AD727,1)="3","C3",""))))</f>
        <v/>
      </c>
      <c r="AF727" s="11" t="inlineStr">
        <is>
          <t>E1</t>
        </is>
      </c>
      <c r="AG727" s="11" t="inlineStr">
        <is>
          <t>E5</t>
        </is>
      </c>
      <c r="AH727" s="11" t="inlineStr">
        <is>
          <t>E2</t>
        </is>
      </c>
      <c r="AI727" s="11" t="inlineStr">
        <is>
          <t>E4</t>
        </is>
      </c>
      <c r="AJ727" s="11" t="inlineStr">
        <is>
          <t>E3</t>
        </is>
      </c>
      <c r="AK727" s="11" t="n"/>
      <c r="AL727" s="11" t="n"/>
      <c r="AM727" s="11" t="n"/>
      <c r="AN727" s="11" t="n"/>
      <c r="AO727" s="11" t="n"/>
      <c r="AP727" s="11" t="n"/>
      <c r="AQ727" s="11" t="n"/>
      <c r="AR727" s="11" t="n"/>
      <c r="AS727" s="11" t="n"/>
      <c r="AT727" s="11" t="n"/>
      <c r="AU727" s="11" t="n"/>
      <c r="AV727" s="11" t="n"/>
      <c r="AW727" s="11">
        <f>AF727&amp;"; "&amp;AG727&amp;"; "&amp;AH727&amp;"; "&amp;AI727&amp;"; "&amp;AJ727</f>
        <v/>
      </c>
    </row>
    <row r="728">
      <c r="A728" s="11" t="inlineStr">
        <is>
          <t>T0264-G10-FÍS</t>
        </is>
      </c>
      <c r="B728" s="11" t="n">
        <v>10</v>
      </c>
      <c r="C728" s="11" t="inlineStr">
        <is>
          <t>Física</t>
        </is>
      </c>
      <c r="D728" s="11" t="inlineStr">
        <is>
          <t>Matriz_Bachillerato_Fisica_10_11.xlsx</t>
        </is>
      </c>
      <c r="E728" s="11" t="inlineStr">
        <is>
          <t>Física 10.°</t>
        </is>
      </c>
      <c r="F728" s="11" t="n">
        <v>104</v>
      </c>
      <c r="G728" s="11" t="inlineStr">
        <is>
          <t>15. Termodinámica</t>
        </is>
      </c>
      <c r="H728" s="11" t="inlineStr">
        <is>
          <t>Procesos termodinámicos</t>
        </is>
      </c>
      <c r="I728" s="38" t="inlineStr">
        <is>
          <t>15.5. Cálculo del trabajo y del cambio de energía interna en expansiones y compresiones isotérmicas y adiabáticas de un gas ideal.</t>
        </is>
      </c>
      <c r="J728" s="11" t="inlineStr">
        <is>
          <t>TA</t>
        </is>
      </c>
      <c r="K728" s="11" t="inlineStr">
        <is>
          <t>TA-M2.3</t>
        </is>
      </c>
      <c r="L728" s="11" t="inlineStr">
        <is>
          <t>TA-M3.2</t>
        </is>
      </c>
      <c r="M728" s="11">
        <f>IF(K728="FUERA","Fuera del marco",IF(K728="N/A","Sin marco",IFERROR(INDEX('Datos - Catálogo TIMSS'!$C$5:$C$107,MATCH(K728,'Datos - Catálogo TIMSS'!$A$5:$A$107,0)),"Pendiente de clasificar")))</f>
        <v/>
      </c>
      <c r="N728" s="11">
        <f>IF(K728="FUERA","Fuera del marco",IF(K728="N/A","Sin marco",IFERROR(INDEX('Datos - Catálogo TIMSS'!$F$5:$F$107,MATCH(K728,'Datos - Catálogo TIMSS'!$A$5:$A$107,0)),"Pendiente de clasificar")))</f>
        <v/>
      </c>
      <c r="O728" s="11">
        <f>IF(L728="","",IFERROR(INDEX('Datos - Catálogo TIMSS'!$C$5:$C$107,MATCH(L728,'Datos - Catálogo TIMSS'!$A$5:$A$107,0)),"?"))</f>
        <v/>
      </c>
      <c r="P728" s="11" t="inlineStr">
        <is>
          <t>alta</t>
        </is>
      </c>
      <c r="Q728" s="38" t="inlineStr">
        <is>
          <t>Procesos isotérmicos y adiabáticos del gas ideal</t>
        </is>
      </c>
      <c r="R728" s="38" t="inlineStr">
        <is>
          <t>Aplicar: usar expresiones logarítmicas y potenciales. Razonar: validar un método numérico</t>
        </is>
      </c>
      <c r="S728" s="39">
        <f>IFERROR(ISNUMBER(SEARCH("Conocer",$R728))/(ISNUMBER(SEARCH("Conocer",$R728))+ISNUMBER(SEARCH("Aplicar",$R728))+ISNUMBER(SEARCH("Razonar",$R728))),0)</f>
        <v/>
      </c>
      <c r="T728" s="39">
        <f>IFERROR(ISNUMBER(SEARCH("Aplicar",$R728))/(ISNUMBER(SEARCH("Conocer",$R728))+ISNUMBER(SEARCH("Aplicar",$R728))+ISNUMBER(SEARCH("Razonar",$R728))),0)</f>
        <v/>
      </c>
      <c r="U728" s="39">
        <f>IFERROR(ISNUMBER(SEARCH("Razonar",$R728))/(ISNUMBER(SEARCH("Conocer",$R728))+ISNUMBER(SEARCH("Aplicar",$R728))+ISNUMBER(SEARCH("Razonar",$R728))),0)</f>
        <v/>
      </c>
      <c r="V728" s="11" t="inlineStr">
        <is>
          <t>Física 10°</t>
        </is>
      </c>
      <c r="W728" s="11" t="inlineStr">
        <is>
          <t>Física 10°–11°</t>
        </is>
      </c>
      <c r="X728" s="11">
        <f>IF(OR(IFERROR(INDEX('Datos - Catálogo TIMSS'!$I$5:$I$107,MATCH(K728,'Datos - Catálogo TIMSS'!$A$5:$A$107,0)),"No")="Sí",IFERROR(INDEX('Datos - Catálogo TIMSS'!$I$5:$I$107,MATCH(L728,'Datos - Catálogo TIMSS'!$A$5:$A$107,0)),"No")="Sí"),1,0)</f>
        <v/>
      </c>
      <c r="Y728" s="11">
        <f>IF(IFERROR(INDEX('Datos - Catálogo TIMSS'!$J$5:$J$107,MATCH(K728,'Datos - Catálogo TIMSS'!$A$5:$A$107,0)),"No")="Sí",1,0)</f>
        <v/>
      </c>
      <c r="Z728" s="11">
        <f>IF(IFERROR(INDEX('Datos - Catálogo TIMSS'!$J$5:$J$107,MATCH(L728,'Datos - Catálogo TIMSS'!$A$5:$A$107,0)),"No")="Sí",1,0)</f>
        <v/>
      </c>
      <c r="AA728" s="11" t="inlineStr">
        <is>
          <t>TA-M2.3</t>
        </is>
      </c>
      <c r="AB728" s="11" t="inlineStr">
        <is>
          <t>TA-M3.2</t>
        </is>
      </c>
      <c r="AC728" s="11">
        <f>IF(AA728="FUERA","Fuera del marco",IF(AA728="N/A","Sin marco",IFERROR(INDEX('Datos - TIMSS 2023'!$C$5:$C$105,MATCH(AA728,'Datos - TIMSS 2023'!$A$5:$A$105,0)),"Pendiente de clasificar")))</f>
        <v/>
      </c>
      <c r="AD728" s="11" t="inlineStr">
        <is>
          <t>2. Construir y evaluar diseños para la indagación científica e interpretar datos y evidencia de forma crítica</t>
        </is>
      </c>
      <c r="AE728" s="11">
        <f>IF(AD728="","",IF(LEFT(AD728,1)="1","C1",IF(LEFT(AD728,1)="2","C2",IF(LEFT(AD728,1)="3","C3",""))))</f>
        <v/>
      </c>
      <c r="AF728" s="11" t="inlineStr">
        <is>
          <t>E1</t>
        </is>
      </c>
      <c r="AG728" s="11" t="inlineStr">
        <is>
          <t>E3</t>
        </is>
      </c>
      <c r="AH728" s="11" t="inlineStr">
        <is>
          <t>E2</t>
        </is>
      </c>
      <c r="AI728" s="11" t="inlineStr">
        <is>
          <t>D4</t>
        </is>
      </c>
      <c r="AJ728" s="11" t="inlineStr">
        <is>
          <t>D3</t>
        </is>
      </c>
      <c r="AK728" s="11" t="n"/>
      <c r="AL728" s="11" t="n"/>
      <c r="AM728" s="11" t="n"/>
      <c r="AN728" s="11" t="n"/>
      <c r="AO728" s="11" t="n"/>
      <c r="AP728" s="11" t="n"/>
      <c r="AQ728" s="11" t="n"/>
      <c r="AR728" s="11" t="n"/>
      <c r="AS728" s="11" t="n"/>
      <c r="AT728" s="11" t="n"/>
      <c r="AU728" s="11" t="n"/>
      <c r="AV728" s="11" t="n"/>
      <c r="AW728" s="11">
        <f>AF728&amp;"; "&amp;AG728&amp;"; "&amp;AH728&amp;"; "&amp;AI728&amp;"; "&amp;AJ728</f>
        <v/>
      </c>
    </row>
    <row r="729">
      <c r="A729" s="11" t="inlineStr">
        <is>
          <t>T0265-G10-FÍS</t>
        </is>
      </c>
      <c r="B729" s="11" t="n">
        <v>10</v>
      </c>
      <c r="C729" s="11" t="inlineStr">
        <is>
          <t>Física</t>
        </is>
      </c>
      <c r="D729" s="11" t="inlineStr">
        <is>
          <t>Matriz_Bachillerato_Fisica_10_11.xlsx</t>
        </is>
      </c>
      <c r="E729" s="11" t="inlineStr">
        <is>
          <t>Física 10.°</t>
        </is>
      </c>
      <c r="F729" s="11" t="n">
        <v>105</v>
      </c>
      <c r="G729" s="11" t="inlineStr">
        <is>
          <t>15. Termodinámica</t>
        </is>
      </c>
      <c r="H729" s="11" t="inlineStr">
        <is>
          <t>Procesos termodinámicos</t>
        </is>
      </c>
      <c r="I729" s="38" t="inlineStr">
        <is>
          <t>15.6. Determinación de las capacidades caloríficas molares de un gas ideal mediante la primera ley.</t>
        </is>
      </c>
      <c r="J729" s="11" t="inlineStr">
        <is>
          <t>TA</t>
        </is>
      </c>
      <c r="K729" s="11" t="inlineStr">
        <is>
          <t>TA-M2.3</t>
        </is>
      </c>
      <c r="L729" s="11" t="inlineStr">
        <is>
          <t>TA-M3.1</t>
        </is>
      </c>
      <c r="M729" s="11">
        <f>IF(K729="FUERA","Fuera del marco",IF(K729="N/A","Sin marco",IFERROR(INDEX('Datos - Catálogo TIMSS'!$C$5:$C$107,MATCH(K729,'Datos - Catálogo TIMSS'!$A$5:$A$107,0)),"Pendiente de clasificar")))</f>
        <v/>
      </c>
      <c r="N729" s="11">
        <f>IF(K729="FUERA","Fuera del marco",IF(K729="N/A","Sin marco",IFERROR(INDEX('Datos - Catálogo TIMSS'!$F$5:$F$107,MATCH(K729,'Datos - Catálogo TIMSS'!$A$5:$A$107,0)),"Pendiente de clasificar")))</f>
        <v/>
      </c>
      <c r="O729" s="11">
        <f>IF(L729="","",IFERROR(INDEX('Datos - Catálogo TIMSS'!$C$5:$C$107,MATCH(L729,'Datos - Catálogo TIMSS'!$A$5:$A$107,0)),"?"))</f>
        <v/>
      </c>
      <c r="P729" s="11" t="inlineStr">
        <is>
          <t>alta</t>
        </is>
      </c>
      <c r="Q729" s="38" t="inlineStr">
        <is>
          <t>Capacidades caloríficas molares mediante primera ley</t>
        </is>
      </c>
      <c r="R729" s="38" t="inlineStr">
        <is>
          <t>Aplicar: deducir y usar relaciones entre capacidades caloríficas. Razonar: interpretar datos tabulados</t>
        </is>
      </c>
      <c r="S729" s="39">
        <f>IFERROR(ISNUMBER(SEARCH("Conocer",$R729))/(ISNUMBER(SEARCH("Conocer",$R729))+ISNUMBER(SEARCH("Aplicar",$R729))+ISNUMBER(SEARCH("Razonar",$R729))),0)</f>
        <v/>
      </c>
      <c r="T729" s="39">
        <f>IFERROR(ISNUMBER(SEARCH("Aplicar",$R729))/(ISNUMBER(SEARCH("Conocer",$R729))+ISNUMBER(SEARCH("Aplicar",$R729))+ISNUMBER(SEARCH("Razonar",$R729))),0)</f>
        <v/>
      </c>
      <c r="U729" s="39">
        <f>IFERROR(ISNUMBER(SEARCH("Razonar",$R729))/(ISNUMBER(SEARCH("Conocer",$R729))+ISNUMBER(SEARCH("Aplicar",$R729))+ISNUMBER(SEARCH("Razonar",$R729))),0)</f>
        <v/>
      </c>
      <c r="V729" s="11" t="inlineStr">
        <is>
          <t>Física 10°</t>
        </is>
      </c>
      <c r="W729" s="11" t="inlineStr">
        <is>
          <t>Física 10°–11°</t>
        </is>
      </c>
      <c r="X729" s="11">
        <f>IF(OR(IFERROR(INDEX('Datos - Catálogo TIMSS'!$I$5:$I$107,MATCH(K729,'Datos - Catálogo TIMSS'!$A$5:$A$107,0)),"No")="Sí",IFERROR(INDEX('Datos - Catálogo TIMSS'!$I$5:$I$107,MATCH(L729,'Datos - Catálogo TIMSS'!$A$5:$A$107,0)),"No")="Sí"),1,0)</f>
        <v/>
      </c>
      <c r="Y729" s="11">
        <f>IF(IFERROR(INDEX('Datos - Catálogo TIMSS'!$J$5:$J$107,MATCH(K729,'Datos - Catálogo TIMSS'!$A$5:$A$107,0)),"No")="Sí",1,0)</f>
        <v/>
      </c>
      <c r="Z729" s="11">
        <f>IF(IFERROR(INDEX('Datos - Catálogo TIMSS'!$J$5:$J$107,MATCH(L729,'Datos - Catálogo TIMSS'!$A$5:$A$107,0)),"No")="Sí",1,0)</f>
        <v/>
      </c>
      <c r="AA729" s="11" t="inlineStr">
        <is>
          <t>TA-M2.3</t>
        </is>
      </c>
      <c r="AB729" s="11" t="inlineStr">
        <is>
          <t>TA-M3.1</t>
        </is>
      </c>
      <c r="AC729" s="11">
        <f>IF(AA729="FUERA","Fuera del marco",IF(AA729="N/A","Sin marco",IFERROR(INDEX('Datos - TIMSS 2023'!$C$5:$C$105,MATCH(AA729,'Datos - TIMSS 2023'!$A$5:$A$105,0)),"Pendiente de clasificar")))</f>
        <v/>
      </c>
      <c r="AD729" s="11" t="inlineStr">
        <is>
          <t>1. Explicar fenómenos científicamente</t>
        </is>
      </c>
      <c r="AE729" s="11">
        <f>IF(AD729="","",IF(LEFT(AD729,1)="1","C1",IF(LEFT(AD729,1)="2","C2",IF(LEFT(AD729,1)="3","C3",""))))</f>
        <v/>
      </c>
      <c r="AF729" s="11" t="inlineStr">
        <is>
          <t>E1</t>
        </is>
      </c>
      <c r="AG729" s="11" t="inlineStr">
        <is>
          <t>D1</t>
        </is>
      </c>
      <c r="AH729" s="11" t="inlineStr">
        <is>
          <t>E1</t>
        </is>
      </c>
      <c r="AI729" s="11" t="inlineStr">
        <is>
          <t>I3</t>
        </is>
      </c>
      <c r="AJ729" s="11" t="inlineStr">
        <is>
          <t>E3</t>
        </is>
      </c>
      <c r="AK729" s="11" t="n"/>
      <c r="AL729" s="11" t="n"/>
      <c r="AM729" s="11" t="n"/>
      <c r="AN729" s="11" t="n"/>
      <c r="AO729" s="11" t="n"/>
      <c r="AP729" s="11" t="n"/>
      <c r="AQ729" s="11" t="n"/>
      <c r="AR729" s="11" t="n"/>
      <c r="AS729" s="11" t="n"/>
      <c r="AT729" s="11" t="n"/>
      <c r="AU729" s="11" t="n"/>
      <c r="AV729" s="11" t="n"/>
      <c r="AW729" s="11">
        <f>AF729&amp;"; "&amp;AG729&amp;"; "&amp;AH729&amp;"; "&amp;AI729&amp;"; "&amp;AJ729</f>
        <v/>
      </c>
    </row>
    <row r="730">
      <c r="A730" s="11" t="inlineStr">
        <is>
          <t>T0266-G10-FÍS</t>
        </is>
      </c>
      <c r="B730" s="11" t="n">
        <v>10</v>
      </c>
      <c r="C730" s="11" t="inlineStr">
        <is>
          <t>Física</t>
        </is>
      </c>
      <c r="D730" s="11" t="inlineStr">
        <is>
          <t>Matriz_Bachillerato_Fisica_10_11.xlsx</t>
        </is>
      </c>
      <c r="E730" s="11" t="inlineStr">
        <is>
          <t>Física 10.°</t>
        </is>
      </c>
      <c r="F730" s="11" t="n">
        <v>106</v>
      </c>
      <c r="G730" s="11" t="inlineStr">
        <is>
          <t>15. Termodinámica</t>
        </is>
      </c>
      <c r="H730" s="11" t="inlineStr">
        <is>
          <t>Segunda ley de la termodinámica</t>
        </is>
      </c>
      <c r="I730" s="38" t="inlineStr">
        <is>
          <t>15.7. Análisis de la equivalencia entre los enunciados de Kelvin-Planck y de Clausius de la segunda ley.</t>
        </is>
      </c>
      <c r="J730" s="11" t="inlineStr">
        <is>
          <t>TA</t>
        </is>
      </c>
      <c r="K730" s="11" t="inlineStr">
        <is>
          <t>FUERA</t>
        </is>
      </c>
      <c r="L730" s="11" t="inlineStr"/>
      <c r="M730" s="11">
        <f>IF(K730="FUERA","Fuera del marco",IF(K730="N/A","Sin marco",IFERROR(INDEX('Datos - Catálogo TIMSS'!$C$5:$C$107,MATCH(K730,'Datos - Catálogo TIMSS'!$A$5:$A$107,0)),"Pendiente de clasificar")))</f>
        <v/>
      </c>
      <c r="N730" s="11">
        <f>IF(K730="FUERA","Fuera del marco",IF(K730="N/A","Sin marco",IFERROR(INDEX('Datos - Catálogo TIMSS'!$F$5:$F$107,MATCH(K730,'Datos - Catálogo TIMSS'!$A$5:$A$107,0)),"Pendiente de clasificar")))</f>
        <v/>
      </c>
      <c r="O730" s="11">
        <f>IF(L730="","",IFERROR(INDEX('Datos - Catálogo TIMSS'!$C$5:$C$107,MATCH(L730,'Datos - Catálogo TIMSS'!$A$5:$A$107,0)),"?"))</f>
        <v/>
      </c>
      <c r="P730" s="11" t="inlineStr">
        <is>
          <t>media</t>
        </is>
      </c>
      <c r="Q730" s="38" t="inlineStr">
        <is>
          <t>Segunda ley: enunciados Kelvin-Planck y Clausius</t>
        </is>
      </c>
      <c r="R730" s="38" t="inlineStr">
        <is>
          <t>Razonar: argumentar la imposibilidad de procesos. Aplicar: usar los enunciados de la segunda ley</t>
        </is>
      </c>
      <c r="S730" s="39">
        <f>IFERROR(ISNUMBER(SEARCH("Conocer",$R730))/(ISNUMBER(SEARCH("Conocer",$R730))+ISNUMBER(SEARCH("Aplicar",$R730))+ISNUMBER(SEARCH("Razonar",$R730))),0)</f>
        <v/>
      </c>
      <c r="T730" s="39">
        <f>IFERROR(ISNUMBER(SEARCH("Aplicar",$R730))/(ISNUMBER(SEARCH("Conocer",$R730))+ISNUMBER(SEARCH("Aplicar",$R730))+ISNUMBER(SEARCH("Razonar",$R730))),0)</f>
        <v/>
      </c>
      <c r="U730" s="39">
        <f>IFERROR(ISNUMBER(SEARCH("Razonar",$R730))/(ISNUMBER(SEARCH("Conocer",$R730))+ISNUMBER(SEARCH("Aplicar",$R730))+ISNUMBER(SEARCH("Razonar",$R730))),0)</f>
        <v/>
      </c>
      <c r="V730" s="11" t="inlineStr">
        <is>
          <t>Física 10°</t>
        </is>
      </c>
      <c r="W730" s="11" t="inlineStr">
        <is>
          <t>Física 10°–11°</t>
        </is>
      </c>
      <c r="X730" s="11">
        <f>IF(OR(IFERROR(INDEX('Datos - Catálogo TIMSS'!$I$5:$I$107,MATCH(K730,'Datos - Catálogo TIMSS'!$A$5:$A$107,0)),"No")="Sí",IFERROR(INDEX('Datos - Catálogo TIMSS'!$I$5:$I$107,MATCH(L730,'Datos - Catálogo TIMSS'!$A$5:$A$107,0)),"No")="Sí"),1,0)</f>
        <v/>
      </c>
      <c r="Y730" s="11">
        <f>IF(IFERROR(INDEX('Datos - Catálogo TIMSS'!$J$5:$J$107,MATCH(K730,'Datos - Catálogo TIMSS'!$A$5:$A$107,0)),"No")="Sí",1,0)</f>
        <v/>
      </c>
      <c r="Z730" s="11">
        <f>IF(IFERROR(INDEX('Datos - Catálogo TIMSS'!$J$5:$J$107,MATCH(L730,'Datos - Catálogo TIMSS'!$A$5:$A$107,0)),"No")="Sí",1,0)</f>
        <v/>
      </c>
      <c r="AA730" s="11" t="inlineStr">
        <is>
          <t>FUERA</t>
        </is>
      </c>
      <c r="AB730" s="11" t="inlineStr"/>
      <c r="AC730" s="11">
        <f>IF(AA730="FUERA","Fuera del marco",IF(AA730="N/A","Sin marco",IFERROR(INDEX('Datos - TIMSS 2023'!$C$5:$C$105,MATCH(AA730,'Datos - TIMSS 2023'!$A$5:$A$105,0)),"Pendiente de clasificar")))</f>
        <v/>
      </c>
      <c r="AD730" s="11" t="inlineStr">
        <is>
          <t>3. Investigar, evaluar y usar información científica para tomar decisiones y actuar</t>
        </is>
      </c>
      <c r="AE730" s="11">
        <f>IF(AD730="","",IF(LEFT(AD730,1)="1","C1",IF(LEFT(AD730,1)="2","C2",IF(LEFT(AD730,1)="3","C3",""))))</f>
        <v/>
      </c>
      <c r="AF730" s="11" t="inlineStr">
        <is>
          <t>E1</t>
        </is>
      </c>
      <c r="AG730" s="11" t="inlineStr">
        <is>
          <t>E5</t>
        </is>
      </c>
      <c r="AH730" s="11" t="inlineStr">
        <is>
          <t>E1</t>
        </is>
      </c>
      <c r="AI730" s="11" t="inlineStr">
        <is>
          <t>I2</t>
        </is>
      </c>
      <c r="AJ730" s="11" t="inlineStr">
        <is>
          <t>I4</t>
        </is>
      </c>
      <c r="AK730" s="11" t="n"/>
      <c r="AL730" s="11" t="n"/>
      <c r="AM730" s="11" t="n"/>
      <c r="AN730" s="11" t="n"/>
      <c r="AO730" s="11" t="n"/>
      <c r="AP730" s="11" t="n"/>
      <c r="AQ730" s="11" t="n"/>
      <c r="AR730" s="11" t="n"/>
      <c r="AS730" s="11" t="n"/>
      <c r="AT730" s="11" t="n"/>
      <c r="AU730" s="11" t="n"/>
      <c r="AV730" s="11" t="n"/>
      <c r="AW730" s="11">
        <f>AF730&amp;"; "&amp;AG730&amp;"; "&amp;AH730&amp;"; "&amp;AI730&amp;"; "&amp;AJ730</f>
        <v/>
      </c>
    </row>
    <row r="731">
      <c r="A731" s="11" t="inlineStr">
        <is>
          <t>T0267-G10-FÍS</t>
        </is>
      </c>
      <c r="B731" s="11" t="n">
        <v>10</v>
      </c>
      <c r="C731" s="11" t="inlineStr">
        <is>
          <t>Física</t>
        </is>
      </c>
      <c r="D731" s="11" t="inlineStr">
        <is>
          <t>Matriz_Bachillerato_Fisica_10_11.xlsx</t>
        </is>
      </c>
      <c r="E731" s="11" t="inlineStr">
        <is>
          <t>Física 10.°</t>
        </is>
      </c>
      <c r="F731" s="11" t="n">
        <v>107</v>
      </c>
      <c r="G731" s="11" t="inlineStr">
        <is>
          <t>15. Termodinámica</t>
        </is>
      </c>
      <c r="H731" s="11" t="inlineStr">
        <is>
          <t>Segunda ley de la termodinámica</t>
        </is>
      </c>
      <c r="I731" s="38" t="inlineStr">
        <is>
          <t>15.8. Cálculo de la eficiencia de máquinas térmicas a partir de diagramas de flujo de energía y de datos reales de generación.</t>
        </is>
      </c>
      <c r="J731" s="11" t="inlineStr">
        <is>
          <t>TA</t>
        </is>
      </c>
      <c r="K731" s="11" t="inlineStr">
        <is>
          <t>TA-M2.3</t>
        </is>
      </c>
      <c r="L731" s="11" t="inlineStr"/>
      <c r="M731" s="11">
        <f>IF(K731="FUERA","Fuera del marco",IF(K731="N/A","Sin marco",IFERROR(INDEX('Datos - Catálogo TIMSS'!$C$5:$C$107,MATCH(K731,'Datos - Catálogo TIMSS'!$A$5:$A$107,0)),"Pendiente de clasificar")))</f>
        <v/>
      </c>
      <c r="N731" s="11">
        <f>IF(K731="FUERA","Fuera del marco",IF(K731="N/A","Sin marco",IFERROR(INDEX('Datos - Catálogo TIMSS'!$F$5:$F$107,MATCH(K731,'Datos - Catálogo TIMSS'!$A$5:$A$107,0)),"Pendiente de clasificar")))</f>
        <v/>
      </c>
      <c r="O731" s="11">
        <f>IF(L731="","",IFERROR(INDEX('Datos - Catálogo TIMSS'!$C$5:$C$107,MATCH(L731,'Datos - Catálogo TIMSS'!$A$5:$A$107,0)),"?"))</f>
        <v/>
      </c>
      <c r="P731" s="11" t="inlineStr">
        <is>
          <t>media</t>
        </is>
      </c>
      <c r="Q731" s="38" t="inlineStr">
        <is>
          <t>Eficiencia de máquinas térmicas por balance de energía</t>
        </is>
      </c>
      <c r="R731" s="38" t="inlineStr">
        <is>
          <t>Aplicar: calcular eficiencias con datos reales. Razonar: explicar el calor cedido al foco frío</t>
        </is>
      </c>
      <c r="S731" s="39">
        <f>IFERROR(ISNUMBER(SEARCH("Conocer",$R731))/(ISNUMBER(SEARCH("Conocer",$R731))+ISNUMBER(SEARCH("Aplicar",$R731))+ISNUMBER(SEARCH("Razonar",$R731))),0)</f>
        <v/>
      </c>
      <c r="T731" s="39">
        <f>IFERROR(ISNUMBER(SEARCH("Aplicar",$R731))/(ISNUMBER(SEARCH("Conocer",$R731))+ISNUMBER(SEARCH("Aplicar",$R731))+ISNUMBER(SEARCH("Razonar",$R731))),0)</f>
        <v/>
      </c>
      <c r="U731" s="39">
        <f>IFERROR(ISNUMBER(SEARCH("Razonar",$R731))/(ISNUMBER(SEARCH("Conocer",$R731))+ISNUMBER(SEARCH("Aplicar",$R731))+ISNUMBER(SEARCH("Razonar",$R731))),0)</f>
        <v/>
      </c>
      <c r="V731" s="11" t="inlineStr">
        <is>
          <t>Física 10°</t>
        </is>
      </c>
      <c r="W731" s="11" t="inlineStr">
        <is>
          <t>Física 10°–11°</t>
        </is>
      </c>
      <c r="X731" s="11">
        <f>IF(OR(IFERROR(INDEX('Datos - Catálogo TIMSS'!$I$5:$I$107,MATCH(K731,'Datos - Catálogo TIMSS'!$A$5:$A$107,0)),"No")="Sí",IFERROR(INDEX('Datos - Catálogo TIMSS'!$I$5:$I$107,MATCH(L731,'Datos - Catálogo TIMSS'!$A$5:$A$107,0)),"No")="Sí"),1,0)</f>
        <v/>
      </c>
      <c r="Y731" s="11">
        <f>IF(IFERROR(INDEX('Datos - Catálogo TIMSS'!$J$5:$J$107,MATCH(K731,'Datos - Catálogo TIMSS'!$A$5:$A$107,0)),"No")="Sí",1,0)</f>
        <v/>
      </c>
      <c r="Z731" s="11">
        <f>IF(IFERROR(INDEX('Datos - Catálogo TIMSS'!$J$5:$J$107,MATCH(L731,'Datos - Catálogo TIMSS'!$A$5:$A$107,0)),"No")="Sí",1,0)</f>
        <v/>
      </c>
      <c r="AA731" s="11" t="inlineStr">
        <is>
          <t>TA-M2.3</t>
        </is>
      </c>
      <c r="AB731" s="11" t="inlineStr"/>
      <c r="AC731" s="11">
        <f>IF(AA731="FUERA","Fuera del marco",IF(AA731="N/A","Sin marco",IFERROR(INDEX('Datos - TIMSS 2023'!$C$5:$C$105,MATCH(AA731,'Datos - TIMSS 2023'!$A$5:$A$105,0)),"Pendiente de clasificar")))</f>
        <v/>
      </c>
      <c r="AD731" s="11" t="inlineStr">
        <is>
          <t>3. Investigar, evaluar y usar información científica para tomar decisiones y actuar</t>
        </is>
      </c>
      <c r="AE731" s="11">
        <f>IF(AD731="","",IF(LEFT(AD731,1)="1","C1",IF(LEFT(AD731,1)="2","C2",IF(LEFT(AD731,1)="3","C3",""))))</f>
        <v/>
      </c>
      <c r="AF731" s="11" t="inlineStr">
        <is>
          <t>E6</t>
        </is>
      </c>
      <c r="AG731" s="11" t="inlineStr">
        <is>
          <t>D1</t>
        </is>
      </c>
      <c r="AH731" s="11" t="inlineStr">
        <is>
          <t>E2</t>
        </is>
      </c>
      <c r="AI731" s="11" t="inlineStr">
        <is>
          <t>I1</t>
        </is>
      </c>
      <c r="AJ731" s="11" t="inlineStr">
        <is>
          <t>I5</t>
        </is>
      </c>
      <c r="AK731" s="11" t="n"/>
      <c r="AL731" s="11" t="n"/>
      <c r="AM731" s="11" t="n"/>
      <c r="AN731" s="11" t="n"/>
      <c r="AO731" s="11" t="n"/>
      <c r="AP731" s="11" t="n"/>
      <c r="AQ731" s="11" t="n"/>
      <c r="AR731" s="11" t="n"/>
      <c r="AS731" s="11" t="n"/>
      <c r="AT731" s="11" t="n"/>
      <c r="AU731" s="11" t="n"/>
      <c r="AV731" s="11" t="n"/>
      <c r="AW731" s="11">
        <f>AF731&amp;"; "&amp;AG731&amp;"; "&amp;AH731&amp;"; "&amp;AI731&amp;"; "&amp;AJ731</f>
        <v/>
      </c>
    </row>
    <row r="732">
      <c r="A732" s="11" t="inlineStr">
        <is>
          <t>T0268-G10-FÍS</t>
        </is>
      </c>
      <c r="B732" s="11" t="n">
        <v>10</v>
      </c>
      <c r="C732" s="11" t="inlineStr">
        <is>
          <t>Física</t>
        </is>
      </c>
      <c r="D732" s="11" t="inlineStr">
        <is>
          <t>Matriz_Bachillerato_Fisica_10_11.xlsx</t>
        </is>
      </c>
      <c r="E732" s="11" t="inlineStr">
        <is>
          <t>Física 10.°</t>
        </is>
      </c>
      <c r="F732" s="11" t="n">
        <v>108</v>
      </c>
      <c r="G732" s="11" t="inlineStr">
        <is>
          <t>15. Termodinámica</t>
        </is>
      </c>
      <c r="H732" s="11" t="inlineStr">
        <is>
          <t>Segunda ley de la termodinámica</t>
        </is>
      </c>
      <c r="I732" s="38" t="inlineStr">
        <is>
          <t>15.9. Análisis del ciclo de Carnot en el diagrama p-V y deducción de su eficiencia a partir de las temperaturas de los focos.</t>
        </is>
      </c>
      <c r="J732" s="11" t="inlineStr">
        <is>
          <t>TA</t>
        </is>
      </c>
      <c r="K732" s="11" t="inlineStr">
        <is>
          <t>FUERA</t>
        </is>
      </c>
      <c r="L732" s="11" t="inlineStr"/>
      <c r="M732" s="11">
        <f>IF(K732="FUERA","Fuera del marco",IF(K732="N/A","Sin marco",IFERROR(INDEX('Datos - Catálogo TIMSS'!$C$5:$C$107,MATCH(K732,'Datos - Catálogo TIMSS'!$A$5:$A$107,0)),"Pendiente de clasificar")))</f>
        <v/>
      </c>
      <c r="N732" s="11">
        <f>IF(K732="FUERA","Fuera del marco",IF(K732="N/A","Sin marco",IFERROR(INDEX('Datos - Catálogo TIMSS'!$F$5:$F$107,MATCH(K732,'Datos - Catálogo TIMSS'!$A$5:$A$107,0)),"Pendiente de clasificar")))</f>
        <v/>
      </c>
      <c r="O732" s="11">
        <f>IF(L732="","",IFERROR(INDEX('Datos - Catálogo TIMSS'!$C$5:$C$107,MATCH(L732,'Datos - Catálogo TIMSS'!$A$5:$A$107,0)),"?"))</f>
        <v/>
      </c>
      <c r="P732" s="11" t="inlineStr">
        <is>
          <t>baja</t>
        </is>
      </c>
      <c r="Q732" s="38" t="inlineStr">
        <is>
          <t>Ciclo de Carnot; segunda ley fuera del catálogo</t>
        </is>
      </c>
      <c r="R732" s="38" t="inlineStr">
        <is>
          <t>Aplicar: calcular la eficiencia de Carnot. Razonar: comparar máquinas reales con el límite teórico</t>
        </is>
      </c>
      <c r="S732" s="39">
        <f>IFERROR(ISNUMBER(SEARCH("Conocer",$R732))/(ISNUMBER(SEARCH("Conocer",$R732))+ISNUMBER(SEARCH("Aplicar",$R732))+ISNUMBER(SEARCH("Razonar",$R732))),0)</f>
        <v/>
      </c>
      <c r="T732" s="39">
        <f>IFERROR(ISNUMBER(SEARCH("Aplicar",$R732))/(ISNUMBER(SEARCH("Conocer",$R732))+ISNUMBER(SEARCH("Aplicar",$R732))+ISNUMBER(SEARCH("Razonar",$R732))),0)</f>
        <v/>
      </c>
      <c r="U732" s="39">
        <f>IFERROR(ISNUMBER(SEARCH("Razonar",$R732))/(ISNUMBER(SEARCH("Conocer",$R732))+ISNUMBER(SEARCH("Aplicar",$R732))+ISNUMBER(SEARCH("Razonar",$R732))),0)</f>
        <v/>
      </c>
      <c r="V732" s="11" t="inlineStr">
        <is>
          <t>Física 10°</t>
        </is>
      </c>
      <c r="W732" s="11" t="inlineStr">
        <is>
          <t>Física 10°–11°</t>
        </is>
      </c>
      <c r="X732" s="11">
        <f>IF(OR(IFERROR(INDEX('Datos - Catálogo TIMSS'!$I$5:$I$107,MATCH(K732,'Datos - Catálogo TIMSS'!$A$5:$A$107,0)),"No")="Sí",IFERROR(INDEX('Datos - Catálogo TIMSS'!$I$5:$I$107,MATCH(L732,'Datos - Catálogo TIMSS'!$A$5:$A$107,0)),"No")="Sí"),1,0)</f>
        <v/>
      </c>
      <c r="Y732" s="11">
        <f>IF(IFERROR(INDEX('Datos - Catálogo TIMSS'!$J$5:$J$107,MATCH(K732,'Datos - Catálogo TIMSS'!$A$5:$A$107,0)),"No")="Sí",1,0)</f>
        <v/>
      </c>
      <c r="Z732" s="11">
        <f>IF(IFERROR(INDEX('Datos - Catálogo TIMSS'!$J$5:$J$107,MATCH(L732,'Datos - Catálogo TIMSS'!$A$5:$A$107,0)),"No")="Sí",1,0)</f>
        <v/>
      </c>
      <c r="AA732" s="11" t="inlineStr">
        <is>
          <t>FUERA</t>
        </is>
      </c>
      <c r="AB732" s="11" t="inlineStr"/>
      <c r="AC732" s="11">
        <f>IF(AA732="FUERA","Fuera del marco",IF(AA732="N/A","Sin marco",IFERROR(INDEX('Datos - TIMSS 2023'!$C$5:$C$105,MATCH(AA732,'Datos - TIMSS 2023'!$A$5:$A$105,0)),"Pendiente de clasificar")))</f>
        <v/>
      </c>
      <c r="AD732" s="11" t="inlineStr">
        <is>
          <t>1. Explicar fenómenos científicamente</t>
        </is>
      </c>
      <c r="AE732" s="11">
        <f>IF(AD732="","",IF(LEFT(AD732,1)="1","C1",IF(LEFT(AD732,1)="2","C2",IF(LEFT(AD732,1)="3","C3",""))))</f>
        <v/>
      </c>
      <c r="AF732" s="11" t="inlineStr">
        <is>
          <t>E1</t>
        </is>
      </c>
      <c r="AG732" s="11" t="inlineStr">
        <is>
          <t>E3</t>
        </is>
      </c>
      <c r="AH732" s="11" t="inlineStr">
        <is>
          <t>E4</t>
        </is>
      </c>
      <c r="AI732" s="11" t="inlineStr">
        <is>
          <t>D4</t>
        </is>
      </c>
      <c r="AJ732" s="11" t="inlineStr">
        <is>
          <t>I5</t>
        </is>
      </c>
      <c r="AK732" s="11" t="n"/>
      <c r="AL732" s="11" t="n"/>
      <c r="AM732" s="11" t="n"/>
      <c r="AN732" s="11" t="n"/>
      <c r="AO732" s="11" t="n"/>
      <c r="AP732" s="11" t="n"/>
      <c r="AQ732" s="11" t="n"/>
      <c r="AR732" s="11" t="n"/>
      <c r="AS732" s="11" t="n"/>
      <c r="AT732" s="11" t="n"/>
      <c r="AU732" s="11" t="n"/>
      <c r="AV732" s="11" t="n"/>
      <c r="AW732" s="11">
        <f>AF732&amp;"; "&amp;AG732&amp;"; "&amp;AH732&amp;"; "&amp;AI732&amp;"; "&amp;AJ732</f>
        <v/>
      </c>
    </row>
    <row r="733">
      <c r="A733" s="11" t="inlineStr">
        <is>
          <t>T0269-G10-FÍS</t>
        </is>
      </c>
      <c r="B733" s="11" t="n">
        <v>10</v>
      </c>
      <c r="C733" s="11" t="inlineStr">
        <is>
          <t>Física</t>
        </is>
      </c>
      <c r="D733" s="11" t="inlineStr">
        <is>
          <t>Matriz_Bachillerato_Fisica_10_11.xlsx</t>
        </is>
      </c>
      <c r="E733" s="11" t="inlineStr">
        <is>
          <t>Física 10.°</t>
        </is>
      </c>
      <c r="F733" s="11" t="n">
        <v>109</v>
      </c>
      <c r="G733" s="11" t="inlineStr">
        <is>
          <t>15. Termodinámica</t>
        </is>
      </c>
      <c r="H733" s="11" t="inlineStr">
        <is>
          <t>Máquinas frigoríficas</t>
        </is>
      </c>
      <c r="I733" s="38" t="inlineStr">
        <is>
          <t>15.10. Cálculo del coeficiente de rendimiento de refrigeradores, acondicionadores de aire y bombas de calor.</t>
        </is>
      </c>
      <c r="J733" s="11" t="inlineStr">
        <is>
          <t>TA</t>
        </is>
      </c>
      <c r="K733" s="11" t="inlineStr">
        <is>
          <t>TA-M2.3</t>
        </is>
      </c>
      <c r="L733" s="11" t="inlineStr"/>
      <c r="M733" s="11">
        <f>IF(K733="FUERA","Fuera del marco",IF(K733="N/A","Sin marco",IFERROR(INDEX('Datos - Catálogo TIMSS'!$C$5:$C$107,MATCH(K733,'Datos - Catálogo TIMSS'!$A$5:$A$107,0)),"Pendiente de clasificar")))</f>
        <v/>
      </c>
      <c r="N733" s="11">
        <f>IF(K733="FUERA","Fuera del marco",IF(K733="N/A","Sin marco",IFERROR(INDEX('Datos - Catálogo TIMSS'!$F$5:$F$107,MATCH(K733,'Datos - Catálogo TIMSS'!$A$5:$A$107,0)),"Pendiente de clasificar")))</f>
        <v/>
      </c>
      <c r="O733" s="11">
        <f>IF(L733="","",IFERROR(INDEX('Datos - Catálogo TIMSS'!$C$5:$C$107,MATCH(L733,'Datos - Catálogo TIMSS'!$A$5:$A$107,0)),"?"))</f>
        <v/>
      </c>
      <c r="P733" s="11" t="inlineStr">
        <is>
          <t>baja</t>
        </is>
      </c>
      <c r="Q733" s="38" t="inlineStr">
        <is>
          <t>Coeficiente de rendimiento de refrigeradores; balance energético</t>
        </is>
      </c>
      <c r="R733" s="38" t="inlineStr">
        <is>
          <t>Aplicar: calcular el coeficiente de rendimiento. Razonar: explicar el flujo de calor inverso</t>
        </is>
      </c>
      <c r="S733" s="39">
        <f>IFERROR(ISNUMBER(SEARCH("Conocer",$R733))/(ISNUMBER(SEARCH("Conocer",$R733))+ISNUMBER(SEARCH("Aplicar",$R733))+ISNUMBER(SEARCH("Razonar",$R733))),0)</f>
        <v/>
      </c>
      <c r="T733" s="39">
        <f>IFERROR(ISNUMBER(SEARCH("Aplicar",$R733))/(ISNUMBER(SEARCH("Conocer",$R733))+ISNUMBER(SEARCH("Aplicar",$R733))+ISNUMBER(SEARCH("Razonar",$R733))),0)</f>
        <v/>
      </c>
      <c r="U733" s="39">
        <f>IFERROR(ISNUMBER(SEARCH("Razonar",$R733))/(ISNUMBER(SEARCH("Conocer",$R733))+ISNUMBER(SEARCH("Aplicar",$R733))+ISNUMBER(SEARCH("Razonar",$R733))),0)</f>
        <v/>
      </c>
      <c r="V733" s="11" t="inlineStr">
        <is>
          <t>Física 10°</t>
        </is>
      </c>
      <c r="W733" s="11" t="inlineStr">
        <is>
          <t>Física 10°–11°</t>
        </is>
      </c>
      <c r="X733" s="11">
        <f>IF(OR(IFERROR(INDEX('Datos - Catálogo TIMSS'!$I$5:$I$107,MATCH(K733,'Datos - Catálogo TIMSS'!$A$5:$A$107,0)),"No")="Sí",IFERROR(INDEX('Datos - Catálogo TIMSS'!$I$5:$I$107,MATCH(L733,'Datos - Catálogo TIMSS'!$A$5:$A$107,0)),"No")="Sí"),1,0)</f>
        <v/>
      </c>
      <c r="Y733" s="11">
        <f>IF(IFERROR(INDEX('Datos - Catálogo TIMSS'!$J$5:$J$107,MATCH(K733,'Datos - Catálogo TIMSS'!$A$5:$A$107,0)),"No")="Sí",1,0)</f>
        <v/>
      </c>
      <c r="Z733" s="11">
        <f>IF(IFERROR(INDEX('Datos - Catálogo TIMSS'!$J$5:$J$107,MATCH(L733,'Datos - Catálogo TIMSS'!$A$5:$A$107,0)),"No")="Sí",1,0)</f>
        <v/>
      </c>
      <c r="AA733" s="11" t="inlineStr">
        <is>
          <t>TA-M2.3</t>
        </is>
      </c>
      <c r="AB733" s="11" t="inlineStr"/>
      <c r="AC733" s="11">
        <f>IF(AA733="FUERA","Fuera del marco",IF(AA733="N/A","Sin marco",IFERROR(INDEX('Datos - TIMSS 2023'!$C$5:$C$105,MATCH(AA733,'Datos - TIMSS 2023'!$A$5:$A$105,0)),"Pendiente de clasificar")))</f>
        <v/>
      </c>
      <c r="AD733" s="11" t="inlineStr">
        <is>
          <t>3. Investigar, evaluar y usar información científica para tomar decisiones y actuar</t>
        </is>
      </c>
      <c r="AE733" s="11">
        <f>IF(AD733="","",IF(LEFT(AD733,1)="1","C1",IF(LEFT(AD733,1)="2","C2",IF(LEFT(AD733,1)="3","C3",""))))</f>
        <v/>
      </c>
      <c r="AF733" s="11" t="inlineStr">
        <is>
          <t>E6</t>
        </is>
      </c>
      <c r="AG733" s="11" t="inlineStr">
        <is>
          <t>E3</t>
        </is>
      </c>
      <c r="AH733" s="11" t="inlineStr">
        <is>
          <t>E4</t>
        </is>
      </c>
      <c r="AI733" s="11" t="inlineStr">
        <is>
          <t>I3</t>
        </is>
      </c>
      <c r="AJ733" s="11" t="inlineStr">
        <is>
          <t>E6</t>
        </is>
      </c>
      <c r="AK733" s="11" t="n"/>
      <c r="AL733" s="11" t="n"/>
      <c r="AM733" s="11" t="n"/>
      <c r="AN733" s="11" t="n"/>
      <c r="AO733" s="11" t="n"/>
      <c r="AP733" s="11" t="n"/>
      <c r="AQ733" s="11" t="n"/>
      <c r="AR733" s="11" t="n"/>
      <c r="AS733" s="11" t="n"/>
      <c r="AT733" s="11" t="n"/>
      <c r="AU733" s="11" t="n"/>
      <c r="AV733" s="11" t="n"/>
      <c r="AW733" s="11">
        <f>AF733&amp;"; "&amp;AG733&amp;"; "&amp;AH733&amp;"; "&amp;AI733&amp;"; "&amp;AJ733</f>
        <v/>
      </c>
    </row>
    <row r="734">
      <c r="A734" s="11" t="inlineStr">
        <is>
          <t>T0270-G10-FÍS</t>
        </is>
      </c>
      <c r="B734" s="11" t="n">
        <v>10</v>
      </c>
      <c r="C734" s="11" t="inlineStr">
        <is>
          <t>Física</t>
        </is>
      </c>
      <c r="D734" s="11" t="inlineStr">
        <is>
          <t>Matriz_Bachillerato_Fisica_10_11.xlsx</t>
        </is>
      </c>
      <c r="E734" s="11" t="inlineStr">
        <is>
          <t>Física 10.°</t>
        </is>
      </c>
      <c r="F734" s="11" t="n">
        <v>110</v>
      </c>
      <c r="G734" s="11" t="inlineStr">
        <is>
          <t>15. Termodinámica</t>
        </is>
      </c>
      <c r="H734" s="11" t="inlineStr">
        <is>
          <t>Entropía</t>
        </is>
      </c>
      <c r="I734" s="38" t="inlineStr">
        <is>
          <t>15.11. Cálculo del cambio de entropía en cambios de fase, en el ciclo de Carnot y en la transferencia irreversible de calor.</t>
        </is>
      </c>
      <c r="J734" s="11" t="inlineStr">
        <is>
          <t>TA</t>
        </is>
      </c>
      <c r="K734" s="11" t="inlineStr">
        <is>
          <t>FUERA</t>
        </is>
      </c>
      <c r="L734" s="11" t="inlineStr"/>
      <c r="M734" s="11">
        <f>IF(K734="FUERA","Fuera del marco",IF(K734="N/A","Sin marco",IFERROR(INDEX('Datos - Catálogo TIMSS'!$C$5:$C$107,MATCH(K734,'Datos - Catálogo TIMSS'!$A$5:$A$107,0)),"Pendiente de clasificar")))</f>
        <v/>
      </c>
      <c r="N734" s="11">
        <f>IF(K734="FUERA","Fuera del marco",IF(K734="N/A","Sin marco",IFERROR(INDEX('Datos - Catálogo TIMSS'!$F$5:$F$107,MATCH(K734,'Datos - Catálogo TIMSS'!$A$5:$A$107,0)),"Pendiente de clasificar")))</f>
        <v/>
      </c>
      <c r="O734" s="11">
        <f>IF(L734="","",IFERROR(INDEX('Datos - Catálogo TIMSS'!$C$5:$C$107,MATCH(L734,'Datos - Catálogo TIMSS'!$A$5:$A$107,0)),"?"))</f>
        <v/>
      </c>
      <c r="P734" s="11" t="inlineStr">
        <is>
          <t>alta</t>
        </is>
      </c>
      <c r="Q734" s="38" t="inlineStr">
        <is>
          <t>Entropía, no está en el marco</t>
        </is>
      </c>
      <c r="R734" s="38" t="inlineStr">
        <is>
          <t>Aplicar: calcular cambios de entropía. Razonar: justificar la irreversibilidad</t>
        </is>
      </c>
      <c r="S734" s="39">
        <f>IFERROR(ISNUMBER(SEARCH("Conocer",$R734))/(ISNUMBER(SEARCH("Conocer",$R734))+ISNUMBER(SEARCH("Aplicar",$R734))+ISNUMBER(SEARCH("Razonar",$R734))),0)</f>
        <v/>
      </c>
      <c r="T734" s="39">
        <f>IFERROR(ISNUMBER(SEARCH("Aplicar",$R734))/(ISNUMBER(SEARCH("Conocer",$R734))+ISNUMBER(SEARCH("Aplicar",$R734))+ISNUMBER(SEARCH("Razonar",$R734))),0)</f>
        <v/>
      </c>
      <c r="U734" s="39">
        <f>IFERROR(ISNUMBER(SEARCH("Razonar",$R734))/(ISNUMBER(SEARCH("Conocer",$R734))+ISNUMBER(SEARCH("Aplicar",$R734))+ISNUMBER(SEARCH("Razonar",$R734))),0)</f>
        <v/>
      </c>
      <c r="V734" s="11" t="inlineStr">
        <is>
          <t>Física 10°</t>
        </is>
      </c>
      <c r="W734" s="11" t="inlineStr">
        <is>
          <t>Física 10°–11°</t>
        </is>
      </c>
      <c r="X734" s="11">
        <f>IF(OR(IFERROR(INDEX('Datos - Catálogo TIMSS'!$I$5:$I$107,MATCH(K734,'Datos - Catálogo TIMSS'!$A$5:$A$107,0)),"No")="Sí",IFERROR(INDEX('Datos - Catálogo TIMSS'!$I$5:$I$107,MATCH(L734,'Datos - Catálogo TIMSS'!$A$5:$A$107,0)),"No")="Sí"),1,0)</f>
        <v/>
      </c>
      <c r="Y734" s="11">
        <f>IF(IFERROR(INDEX('Datos - Catálogo TIMSS'!$J$5:$J$107,MATCH(K734,'Datos - Catálogo TIMSS'!$A$5:$A$107,0)),"No")="Sí",1,0)</f>
        <v/>
      </c>
      <c r="Z734" s="11">
        <f>IF(IFERROR(INDEX('Datos - Catálogo TIMSS'!$J$5:$J$107,MATCH(L734,'Datos - Catálogo TIMSS'!$A$5:$A$107,0)),"No")="Sí",1,0)</f>
        <v/>
      </c>
      <c r="AA734" s="11" t="inlineStr">
        <is>
          <t>FUERA</t>
        </is>
      </c>
      <c r="AB734" s="11" t="inlineStr"/>
      <c r="AC734" s="11">
        <f>IF(AA734="FUERA","Fuera del marco",IF(AA734="N/A","Sin marco",IFERROR(INDEX('Datos - TIMSS 2023'!$C$5:$C$105,MATCH(AA734,'Datos - TIMSS 2023'!$A$5:$A$105,0)),"Pendiente de clasificar")))</f>
        <v/>
      </c>
      <c r="AD734" s="11" t="inlineStr">
        <is>
          <t>1. Explicar fenómenos científicamente</t>
        </is>
      </c>
      <c r="AE734" s="11">
        <f>IF(AD734="","",IF(LEFT(AD734,1)="1","C1",IF(LEFT(AD734,1)="2","C2",IF(LEFT(AD734,1)="3","C3",""))))</f>
        <v/>
      </c>
      <c r="AF734" s="11" t="inlineStr">
        <is>
          <t>E1</t>
        </is>
      </c>
      <c r="AG734" s="11" t="inlineStr">
        <is>
          <t>E5</t>
        </is>
      </c>
      <c r="AH734" s="11" t="inlineStr">
        <is>
          <t>E1</t>
        </is>
      </c>
      <c r="AI734" s="11" t="inlineStr">
        <is>
          <t>D2</t>
        </is>
      </c>
      <c r="AJ734" s="11" t="inlineStr">
        <is>
          <t>E3</t>
        </is>
      </c>
      <c r="AK734" s="11" t="n"/>
      <c r="AL734" s="11" t="n"/>
      <c r="AM734" s="11" t="n"/>
      <c r="AN734" s="11" t="n"/>
      <c r="AO734" s="11" t="n"/>
      <c r="AP734" s="11" t="n"/>
      <c r="AQ734" s="11" t="n"/>
      <c r="AR734" s="11" t="n"/>
      <c r="AS734" s="11" t="n"/>
      <c r="AT734" s="11" t="n"/>
      <c r="AU734" s="11" t="n"/>
      <c r="AV734" s="11" t="n"/>
      <c r="AW734" s="11">
        <f>AF734&amp;"; "&amp;AG734&amp;"; "&amp;AH734&amp;"; "&amp;AI734&amp;"; "&amp;AJ734</f>
        <v/>
      </c>
    </row>
    <row r="735">
      <c r="A735" s="11" t="inlineStr">
        <is>
          <t>T0271-G10-FÍS</t>
        </is>
      </c>
      <c r="B735" s="11" t="n">
        <v>10</v>
      </c>
      <c r="C735" s="11" t="inlineStr">
        <is>
          <t>Física</t>
        </is>
      </c>
      <c r="D735" s="11" t="inlineStr">
        <is>
          <t>Matriz_Bachillerato_Fisica_10_11.xlsx</t>
        </is>
      </c>
      <c r="E735" s="11" t="inlineStr">
        <is>
          <t>Física 10.°</t>
        </is>
      </c>
      <c r="F735" s="11" t="n">
        <v>111</v>
      </c>
      <c r="G735" s="11" t="inlineStr">
        <is>
          <t>15. Termodinámica</t>
        </is>
      </c>
      <c r="H735" s="11" t="inlineStr">
        <is>
          <t>Entropía</t>
        </is>
      </c>
      <c r="I735" s="38" t="inlineStr">
        <is>
          <t>15.12. Investigación documental sobre la tercera ley y los métodos para alcanzar temperaturas cercanas al cero absoluto.</t>
        </is>
      </c>
      <c r="J735" s="11" t="inlineStr">
        <is>
          <t>TA</t>
        </is>
      </c>
      <c r="K735" s="11" t="inlineStr">
        <is>
          <t>FUERA</t>
        </is>
      </c>
      <c r="L735" s="11" t="inlineStr"/>
      <c r="M735" s="11">
        <f>IF(K735="FUERA","Fuera del marco",IF(K735="N/A","Sin marco",IFERROR(INDEX('Datos - Catálogo TIMSS'!$C$5:$C$107,MATCH(K735,'Datos - Catálogo TIMSS'!$A$5:$A$107,0)),"Pendiente de clasificar")))</f>
        <v/>
      </c>
      <c r="N735" s="11">
        <f>IF(K735="FUERA","Fuera del marco",IF(K735="N/A","Sin marco",IFERROR(INDEX('Datos - Catálogo TIMSS'!$F$5:$F$107,MATCH(K735,'Datos - Catálogo TIMSS'!$A$5:$A$107,0)),"Pendiente de clasificar")))</f>
        <v/>
      </c>
      <c r="O735" s="11">
        <f>IF(L735="","",IFERROR(INDEX('Datos - Catálogo TIMSS'!$C$5:$C$107,MATCH(L735,'Datos - Catálogo TIMSS'!$A$5:$A$107,0)),"?"))</f>
        <v/>
      </c>
      <c r="P735" s="11" t="inlineStr">
        <is>
          <t>alta</t>
        </is>
      </c>
      <c r="Q735" s="38" t="inlineStr">
        <is>
          <t>Tercera ley de la termodinámica</t>
        </is>
      </c>
      <c r="R735" s="38" t="inlineStr">
        <is>
          <t>Conocer: enunciar la tercera ley. Razonar: argumentar la inalcanzabilidad del cero absoluto</t>
        </is>
      </c>
      <c r="S735" s="39">
        <f>IFERROR(ISNUMBER(SEARCH("Conocer",$R735))/(ISNUMBER(SEARCH("Conocer",$R735))+ISNUMBER(SEARCH("Aplicar",$R735))+ISNUMBER(SEARCH("Razonar",$R735))),0)</f>
        <v/>
      </c>
      <c r="T735" s="39">
        <f>IFERROR(ISNUMBER(SEARCH("Aplicar",$R735))/(ISNUMBER(SEARCH("Conocer",$R735))+ISNUMBER(SEARCH("Aplicar",$R735))+ISNUMBER(SEARCH("Razonar",$R735))),0)</f>
        <v/>
      </c>
      <c r="U735" s="39">
        <f>IFERROR(ISNUMBER(SEARCH("Razonar",$R735))/(ISNUMBER(SEARCH("Conocer",$R735))+ISNUMBER(SEARCH("Aplicar",$R735))+ISNUMBER(SEARCH("Razonar",$R735))),0)</f>
        <v/>
      </c>
      <c r="V735" s="11" t="inlineStr">
        <is>
          <t>Física 10°</t>
        </is>
      </c>
      <c r="W735" s="11" t="inlineStr">
        <is>
          <t>Física 10°–11°</t>
        </is>
      </c>
      <c r="X735" s="11">
        <f>IF(OR(IFERROR(INDEX('Datos - Catálogo TIMSS'!$I$5:$I$107,MATCH(K735,'Datos - Catálogo TIMSS'!$A$5:$A$107,0)),"No")="Sí",IFERROR(INDEX('Datos - Catálogo TIMSS'!$I$5:$I$107,MATCH(L735,'Datos - Catálogo TIMSS'!$A$5:$A$107,0)),"No")="Sí"),1,0)</f>
        <v/>
      </c>
      <c r="Y735" s="11">
        <f>IF(IFERROR(INDEX('Datos - Catálogo TIMSS'!$J$5:$J$107,MATCH(K735,'Datos - Catálogo TIMSS'!$A$5:$A$107,0)),"No")="Sí",1,0)</f>
        <v/>
      </c>
      <c r="Z735" s="11">
        <f>IF(IFERROR(INDEX('Datos - Catálogo TIMSS'!$J$5:$J$107,MATCH(L735,'Datos - Catálogo TIMSS'!$A$5:$A$107,0)),"No")="Sí",1,0)</f>
        <v/>
      </c>
      <c r="AA735" s="11" t="inlineStr">
        <is>
          <t>FUERA</t>
        </is>
      </c>
      <c r="AB735" s="11" t="inlineStr"/>
      <c r="AC735" s="11">
        <f>IF(AA735="FUERA","Fuera del marco",IF(AA735="N/A","Sin marco",IFERROR(INDEX('Datos - TIMSS 2023'!$C$5:$C$105,MATCH(AA735,'Datos - TIMSS 2023'!$A$5:$A$105,0)),"Pendiente de clasificar")))</f>
        <v/>
      </c>
      <c r="AD735" s="11" t="inlineStr">
        <is>
          <t>3. Investigar, evaluar y usar información científica para tomar decisiones y actuar</t>
        </is>
      </c>
      <c r="AE735" s="11">
        <f>IF(AD735="","",IF(LEFT(AD735,1)="1","C1",IF(LEFT(AD735,1)="2","C2",IF(LEFT(AD735,1)="3","C3",""))))</f>
        <v/>
      </c>
      <c r="AF735" s="11" t="inlineStr">
        <is>
          <t>E1</t>
        </is>
      </c>
      <c r="AG735" s="11" t="inlineStr">
        <is>
          <t>E3</t>
        </is>
      </c>
      <c r="AH735" s="11" t="inlineStr">
        <is>
          <t>E1</t>
        </is>
      </c>
      <c r="AI735" s="11" t="inlineStr">
        <is>
          <t>I1</t>
        </is>
      </c>
      <c r="AJ735" s="11" t="inlineStr">
        <is>
          <t>I4</t>
        </is>
      </c>
      <c r="AK735" s="11" t="n"/>
      <c r="AL735" s="11" t="n"/>
      <c r="AM735" s="11" t="n"/>
      <c r="AN735" s="11" t="n"/>
      <c r="AO735" s="11" t="n"/>
      <c r="AP735" s="11" t="n"/>
      <c r="AQ735" s="11" t="n"/>
      <c r="AR735" s="11" t="n"/>
      <c r="AS735" s="11" t="n"/>
      <c r="AT735" s="11" t="n"/>
      <c r="AU735" s="11" t="n"/>
      <c r="AV735" s="11" t="n"/>
      <c r="AW735" s="11">
        <f>AF735&amp;"; "&amp;AG735&amp;"; "&amp;AH735&amp;"; "&amp;AI735&amp;"; "&amp;AJ735</f>
        <v/>
      </c>
    </row>
    <row r="736">
      <c r="A736" s="11" t="inlineStr">
        <is>
          <t>T0272-G10-FÍS</t>
        </is>
      </c>
      <c r="B736" s="11" t="n">
        <v>10</v>
      </c>
      <c r="C736" s="11" t="inlineStr">
        <is>
          <t>Física</t>
        </is>
      </c>
      <c r="D736" s="11" t="inlineStr">
        <is>
          <t>Matriz_Bachillerato_Fisica_10_11.xlsx</t>
        </is>
      </c>
      <c r="E736" s="11" t="inlineStr">
        <is>
          <t>Física 10.°</t>
        </is>
      </c>
      <c r="F736" s="11" t="n">
        <v>112</v>
      </c>
      <c r="G736" s="11" t="inlineStr">
        <is>
          <t>16. Óptica</t>
        </is>
      </c>
      <c r="H736" s="11" t="inlineStr">
        <is>
          <t>Óptica física</t>
        </is>
      </c>
      <c r="I736" s="38" t="inlineStr">
        <is>
          <t>16.1. Indagación de la propagación ondulatoria de la luz al incidir en objetos.</t>
        </is>
      </c>
      <c r="J736" s="11" t="inlineStr">
        <is>
          <t>TA</t>
        </is>
      </c>
      <c r="K736" s="11" t="inlineStr">
        <is>
          <t>TA-O1.4</t>
        </is>
      </c>
      <c r="L736" s="11" t="inlineStr"/>
      <c r="M736" s="11">
        <f>IF(K736="FUERA","Fuera del marco",IF(K736="N/A","Sin marco",IFERROR(INDEX('Datos - Catálogo TIMSS'!$C$5:$C$107,MATCH(K736,'Datos - Catálogo TIMSS'!$A$5:$A$107,0)),"Pendiente de clasificar")))</f>
        <v/>
      </c>
      <c r="N736" s="11">
        <f>IF(K736="FUERA","Fuera del marco",IF(K736="N/A","Sin marco",IFERROR(INDEX('Datos - Catálogo TIMSS'!$F$5:$F$107,MATCH(K736,'Datos - Catálogo TIMSS'!$A$5:$A$107,0)),"Pendiente de clasificar")))</f>
        <v/>
      </c>
      <c r="O736" s="11">
        <f>IF(L736="","",IFERROR(INDEX('Datos - Catálogo TIMSS'!$C$5:$C$107,MATCH(L736,'Datos - Catálogo TIMSS'!$A$5:$A$107,0)),"?"))</f>
        <v/>
      </c>
      <c r="P736" s="11" t="inlineStr">
        <is>
          <t>media</t>
        </is>
      </c>
      <c r="Q736" s="38" t="inlineStr">
        <is>
          <t>Propagación ondulatoria de la luz</t>
        </is>
      </c>
      <c r="R736" s="38" t="inlineStr">
        <is>
          <t>Conocer: describir la luz como onda. Aplicar: usar el principio de Huygens. Razonar: comparar aberturas y longitud de onda</t>
        </is>
      </c>
      <c r="S736" s="39">
        <f>IFERROR(ISNUMBER(SEARCH("Conocer",$R736))/(ISNUMBER(SEARCH("Conocer",$R736))+ISNUMBER(SEARCH("Aplicar",$R736))+ISNUMBER(SEARCH("Razonar",$R736))),0)</f>
        <v/>
      </c>
      <c r="T736" s="39">
        <f>IFERROR(ISNUMBER(SEARCH("Aplicar",$R736))/(ISNUMBER(SEARCH("Conocer",$R736))+ISNUMBER(SEARCH("Aplicar",$R736))+ISNUMBER(SEARCH("Razonar",$R736))),0)</f>
        <v/>
      </c>
      <c r="U736" s="39">
        <f>IFERROR(ISNUMBER(SEARCH("Razonar",$R736))/(ISNUMBER(SEARCH("Conocer",$R736))+ISNUMBER(SEARCH("Aplicar",$R736))+ISNUMBER(SEARCH("Razonar",$R736))),0)</f>
        <v/>
      </c>
      <c r="V736" s="11" t="inlineStr">
        <is>
          <t>Física 10°</t>
        </is>
      </c>
      <c r="W736" s="11" t="inlineStr">
        <is>
          <t>Física 10°–11°</t>
        </is>
      </c>
      <c r="X736" s="11">
        <f>IF(OR(IFERROR(INDEX('Datos - Catálogo TIMSS'!$I$5:$I$107,MATCH(K736,'Datos - Catálogo TIMSS'!$A$5:$A$107,0)),"No")="Sí",IFERROR(INDEX('Datos - Catálogo TIMSS'!$I$5:$I$107,MATCH(L736,'Datos - Catálogo TIMSS'!$A$5:$A$107,0)),"No")="Sí"),1,0)</f>
        <v/>
      </c>
      <c r="Y736" s="11">
        <f>IF(IFERROR(INDEX('Datos - Catálogo TIMSS'!$J$5:$J$107,MATCH(K736,'Datos - Catálogo TIMSS'!$A$5:$A$107,0)),"No")="Sí",1,0)</f>
        <v/>
      </c>
      <c r="Z736" s="11">
        <f>IF(IFERROR(INDEX('Datos - Catálogo TIMSS'!$J$5:$J$107,MATCH(L736,'Datos - Catálogo TIMSS'!$A$5:$A$107,0)),"No")="Sí",1,0)</f>
        <v/>
      </c>
      <c r="AA736" s="11" t="inlineStr">
        <is>
          <t>TA-O1.4</t>
        </is>
      </c>
      <c r="AB736" s="11" t="inlineStr"/>
      <c r="AC736" s="11">
        <f>IF(AA736="FUERA","Fuera del marco",IF(AA736="N/A","Sin marco",IFERROR(INDEX('Datos - TIMSS 2023'!$C$5:$C$105,MATCH(AA736,'Datos - TIMSS 2023'!$A$5:$A$105,0)),"Pendiente de clasificar")))</f>
        <v/>
      </c>
      <c r="AD736" s="11" t="inlineStr">
        <is>
          <t>1. Explicar fenómenos científicamente</t>
        </is>
      </c>
      <c r="AE736" s="11">
        <f>IF(AD736="","",IF(LEFT(AD736,1)="1","C1",IF(LEFT(AD736,1)="2","C2",IF(LEFT(AD736,1)="3","C3",""))))</f>
        <v/>
      </c>
      <c r="AF736" s="11" t="inlineStr">
        <is>
          <t>E1</t>
        </is>
      </c>
      <c r="AG736" s="11" t="inlineStr">
        <is>
          <t>E5</t>
        </is>
      </c>
      <c r="AH736" s="11" t="inlineStr">
        <is>
          <t>E4</t>
        </is>
      </c>
      <c r="AI736" s="11" t="inlineStr">
        <is>
          <t>D4</t>
        </is>
      </c>
      <c r="AJ736" s="11" t="inlineStr">
        <is>
          <t>E3</t>
        </is>
      </c>
      <c r="AK736" s="11" t="n"/>
      <c r="AL736" s="11" t="n"/>
      <c r="AM736" s="11" t="n"/>
      <c r="AN736" s="11" t="n"/>
      <c r="AO736" s="11" t="n"/>
      <c r="AP736" s="11" t="n"/>
      <c r="AQ736" s="11" t="n"/>
      <c r="AR736" s="11" t="n"/>
      <c r="AS736" s="11" t="n"/>
      <c r="AT736" s="11" t="n"/>
      <c r="AU736" s="11" t="n"/>
      <c r="AV736" s="11" t="n"/>
      <c r="AW736" s="11">
        <f>AF736&amp;"; "&amp;AG736&amp;"; "&amp;AH736&amp;"; "&amp;AI736&amp;"; "&amp;AJ736</f>
        <v/>
      </c>
    </row>
    <row r="737">
      <c r="A737" s="11" t="inlineStr">
        <is>
          <t>T0273-G10-FÍS</t>
        </is>
      </c>
      <c r="B737" s="11" t="n">
        <v>10</v>
      </c>
      <c r="C737" s="11" t="inlineStr">
        <is>
          <t>Física</t>
        </is>
      </c>
      <c r="D737" s="11" t="inlineStr">
        <is>
          <t>Matriz_Bachillerato_Fisica_10_11.xlsx</t>
        </is>
      </c>
      <c r="E737" s="11" t="inlineStr">
        <is>
          <t>Física 10.°</t>
        </is>
      </c>
      <c r="F737" s="11" t="n">
        <v>113</v>
      </c>
      <c r="G737" s="11" t="inlineStr">
        <is>
          <t>16. Óptica</t>
        </is>
      </c>
      <c r="H737" s="11" t="inlineStr">
        <is>
          <t>Óptica física</t>
        </is>
      </c>
      <c r="I737" s="38" t="inlineStr">
        <is>
          <t>16.2. Experimentación con los fenómenos de interferencia, difracción y polarización de la luz.</t>
        </is>
      </c>
      <c r="J737" s="11" t="inlineStr">
        <is>
          <t>TA</t>
        </is>
      </c>
      <c r="K737" s="11" t="inlineStr">
        <is>
          <t>TA-O1.4</t>
        </is>
      </c>
      <c r="L737" s="11" t="inlineStr"/>
      <c r="M737" s="11">
        <f>IF(K737="FUERA","Fuera del marco",IF(K737="N/A","Sin marco",IFERROR(INDEX('Datos - Catálogo TIMSS'!$C$5:$C$107,MATCH(K737,'Datos - Catálogo TIMSS'!$A$5:$A$107,0)),"Pendiente de clasificar")))</f>
        <v/>
      </c>
      <c r="N737" s="11">
        <f>IF(K737="FUERA","Fuera del marco",IF(K737="N/A","Sin marco",IFERROR(INDEX('Datos - Catálogo TIMSS'!$F$5:$F$107,MATCH(K737,'Datos - Catálogo TIMSS'!$A$5:$A$107,0)),"Pendiente de clasificar")))</f>
        <v/>
      </c>
      <c r="O737" s="11">
        <f>IF(L737="","",IFERROR(INDEX('Datos - Catálogo TIMSS'!$C$5:$C$107,MATCH(L737,'Datos - Catálogo TIMSS'!$A$5:$A$107,0)),"?"))</f>
        <v/>
      </c>
      <c r="P737" s="11" t="inlineStr">
        <is>
          <t>alta</t>
        </is>
      </c>
      <c r="Q737" s="38" t="inlineStr">
        <is>
          <t>Interferencia, difracción y polarización de la luz</t>
        </is>
      </c>
      <c r="R737" s="38" t="inlineStr">
        <is>
          <t>Aplicar: representar interferencia y polarización. Razonar: relacionar variables del montaje con el patrón</t>
        </is>
      </c>
      <c r="S737" s="39">
        <f>IFERROR(ISNUMBER(SEARCH("Conocer",$R737))/(ISNUMBER(SEARCH("Conocer",$R737))+ISNUMBER(SEARCH("Aplicar",$R737))+ISNUMBER(SEARCH("Razonar",$R737))),0)</f>
        <v/>
      </c>
      <c r="T737" s="39">
        <f>IFERROR(ISNUMBER(SEARCH("Aplicar",$R737))/(ISNUMBER(SEARCH("Conocer",$R737))+ISNUMBER(SEARCH("Aplicar",$R737))+ISNUMBER(SEARCH("Razonar",$R737))),0)</f>
        <v/>
      </c>
      <c r="U737" s="39">
        <f>IFERROR(ISNUMBER(SEARCH("Razonar",$R737))/(ISNUMBER(SEARCH("Conocer",$R737))+ISNUMBER(SEARCH("Aplicar",$R737))+ISNUMBER(SEARCH("Razonar",$R737))),0)</f>
        <v/>
      </c>
      <c r="V737" s="11" t="inlineStr">
        <is>
          <t>Física 10°</t>
        </is>
      </c>
      <c r="W737" s="11" t="inlineStr">
        <is>
          <t>Física 10°–11°</t>
        </is>
      </c>
      <c r="X737" s="11">
        <f>IF(OR(IFERROR(INDEX('Datos - Catálogo TIMSS'!$I$5:$I$107,MATCH(K737,'Datos - Catálogo TIMSS'!$A$5:$A$107,0)),"No")="Sí",IFERROR(INDEX('Datos - Catálogo TIMSS'!$I$5:$I$107,MATCH(L737,'Datos - Catálogo TIMSS'!$A$5:$A$107,0)),"No")="Sí"),1,0)</f>
        <v/>
      </c>
      <c r="Y737" s="11">
        <f>IF(IFERROR(INDEX('Datos - Catálogo TIMSS'!$J$5:$J$107,MATCH(K737,'Datos - Catálogo TIMSS'!$A$5:$A$107,0)),"No")="Sí",1,0)</f>
        <v/>
      </c>
      <c r="Z737" s="11">
        <f>IF(IFERROR(INDEX('Datos - Catálogo TIMSS'!$J$5:$J$107,MATCH(L737,'Datos - Catálogo TIMSS'!$A$5:$A$107,0)),"No")="Sí",1,0)</f>
        <v/>
      </c>
      <c r="AA737" s="11" t="inlineStr">
        <is>
          <t>TA-O1.4</t>
        </is>
      </c>
      <c r="AB737" s="11" t="inlineStr"/>
      <c r="AC737" s="11">
        <f>IF(AA737="FUERA","Fuera del marco",IF(AA737="N/A","Sin marco",IFERROR(INDEX('Datos - TIMSS 2023'!$C$5:$C$105,MATCH(AA737,'Datos - TIMSS 2023'!$A$5:$A$105,0)),"Pendiente de clasificar")))</f>
        <v/>
      </c>
      <c r="AD737" s="11" t="inlineStr">
        <is>
          <t>2. Construir y evaluar diseños para la indagación científica e interpretar datos y evidencia de forma crítica</t>
        </is>
      </c>
      <c r="AE737" s="11">
        <f>IF(AD737="","",IF(LEFT(AD737,1)="1","C1",IF(LEFT(AD737,1)="2","C2",IF(LEFT(AD737,1)="3","C3",""))))</f>
        <v/>
      </c>
      <c r="AF737" s="11" t="inlineStr">
        <is>
          <t>E1</t>
        </is>
      </c>
      <c r="AG737" s="11" t="inlineStr">
        <is>
          <t>D1</t>
        </is>
      </c>
      <c r="AH737" s="11" t="inlineStr">
        <is>
          <t>E2</t>
        </is>
      </c>
      <c r="AI737" s="11" t="inlineStr">
        <is>
          <t>D2</t>
        </is>
      </c>
      <c r="AJ737" s="11" t="inlineStr">
        <is>
          <t>D3</t>
        </is>
      </c>
      <c r="AK737" s="11" t="n"/>
      <c r="AL737" s="11" t="n"/>
      <c r="AM737" s="11" t="n"/>
      <c r="AN737" s="11" t="n"/>
      <c r="AO737" s="11" t="n"/>
      <c r="AP737" s="11" t="n"/>
      <c r="AQ737" s="11" t="n"/>
      <c r="AR737" s="11" t="n"/>
      <c r="AS737" s="11" t="n"/>
      <c r="AT737" s="11" t="n"/>
      <c r="AU737" s="11" t="n"/>
      <c r="AV737" s="11" t="n"/>
      <c r="AW737" s="11">
        <f>AF737&amp;"; "&amp;AG737&amp;"; "&amp;AH737&amp;"; "&amp;AI737&amp;"; "&amp;AJ737</f>
        <v/>
      </c>
    </row>
    <row r="738">
      <c r="A738" s="11" t="inlineStr">
        <is>
          <t>T0274-G10-FÍS</t>
        </is>
      </c>
      <c r="B738" s="11" t="n">
        <v>10</v>
      </c>
      <c r="C738" s="11" t="inlineStr">
        <is>
          <t>Física</t>
        </is>
      </c>
      <c r="D738" s="11" t="inlineStr">
        <is>
          <t>Matriz_Bachillerato_Fisica_10_11.xlsx</t>
        </is>
      </c>
      <c r="E738" s="11" t="inlineStr">
        <is>
          <t>Física 10.°</t>
        </is>
      </c>
      <c r="F738" s="11" t="n">
        <v>114</v>
      </c>
      <c r="G738" s="11" t="inlineStr">
        <is>
          <t>16. Óptica</t>
        </is>
      </c>
      <c r="H738" s="11" t="inlineStr">
        <is>
          <t>Óptica física</t>
        </is>
      </c>
      <c r="I738" s="38" t="inlineStr">
        <is>
          <t>16.3. Exploración de las aplicaciones tecnológicas de la interferencia, difracción y polarización.</t>
        </is>
      </c>
      <c r="J738" s="11" t="inlineStr">
        <is>
          <t>TA</t>
        </is>
      </c>
      <c r="K738" s="11" t="inlineStr">
        <is>
          <t>TA-O1.4</t>
        </is>
      </c>
      <c r="L738" s="11" t="inlineStr"/>
      <c r="M738" s="11">
        <f>IF(K738="FUERA","Fuera del marco",IF(K738="N/A","Sin marco",IFERROR(INDEX('Datos - Catálogo TIMSS'!$C$5:$C$107,MATCH(K738,'Datos - Catálogo TIMSS'!$A$5:$A$107,0)),"Pendiente de clasificar")))</f>
        <v/>
      </c>
      <c r="N738" s="11">
        <f>IF(K738="FUERA","Fuera del marco",IF(K738="N/A","Sin marco",IFERROR(INDEX('Datos - Catálogo TIMSS'!$F$5:$F$107,MATCH(K738,'Datos - Catálogo TIMSS'!$A$5:$A$107,0)),"Pendiente de clasificar")))</f>
        <v/>
      </c>
      <c r="O738" s="11">
        <f>IF(L738="","",IFERROR(INDEX('Datos - Catálogo TIMSS'!$C$5:$C$107,MATCH(L738,'Datos - Catálogo TIMSS'!$A$5:$A$107,0)),"?"))</f>
        <v/>
      </c>
      <c r="P738" s="11" t="inlineStr">
        <is>
          <t>media</t>
        </is>
      </c>
      <c r="Q738" s="38" t="inlineStr">
        <is>
          <t>Aplicaciones de interferencia y difracción</t>
        </is>
      </c>
      <c r="R738" s="38" t="inlineStr">
        <is>
          <t>Conocer: identificar aplicaciones. Razonar: explicar su funcionamiento con fenómenos ondulatorios</t>
        </is>
      </c>
      <c r="S738" s="39">
        <f>IFERROR(ISNUMBER(SEARCH("Conocer",$R738))/(ISNUMBER(SEARCH("Conocer",$R738))+ISNUMBER(SEARCH("Aplicar",$R738))+ISNUMBER(SEARCH("Razonar",$R738))),0)</f>
        <v/>
      </c>
      <c r="T738" s="39">
        <f>IFERROR(ISNUMBER(SEARCH("Aplicar",$R738))/(ISNUMBER(SEARCH("Conocer",$R738))+ISNUMBER(SEARCH("Aplicar",$R738))+ISNUMBER(SEARCH("Razonar",$R738))),0)</f>
        <v/>
      </c>
      <c r="U738" s="39">
        <f>IFERROR(ISNUMBER(SEARCH("Razonar",$R738))/(ISNUMBER(SEARCH("Conocer",$R738))+ISNUMBER(SEARCH("Aplicar",$R738))+ISNUMBER(SEARCH("Razonar",$R738))),0)</f>
        <v/>
      </c>
      <c r="V738" s="11" t="inlineStr">
        <is>
          <t>Física 10°</t>
        </is>
      </c>
      <c r="W738" s="11" t="inlineStr">
        <is>
          <t>Física 10°–11°</t>
        </is>
      </c>
      <c r="X738" s="11">
        <f>IF(OR(IFERROR(INDEX('Datos - Catálogo TIMSS'!$I$5:$I$107,MATCH(K738,'Datos - Catálogo TIMSS'!$A$5:$A$107,0)),"No")="Sí",IFERROR(INDEX('Datos - Catálogo TIMSS'!$I$5:$I$107,MATCH(L738,'Datos - Catálogo TIMSS'!$A$5:$A$107,0)),"No")="Sí"),1,0)</f>
        <v/>
      </c>
      <c r="Y738" s="11">
        <f>IF(IFERROR(INDEX('Datos - Catálogo TIMSS'!$J$5:$J$107,MATCH(K738,'Datos - Catálogo TIMSS'!$A$5:$A$107,0)),"No")="Sí",1,0)</f>
        <v/>
      </c>
      <c r="Z738" s="11">
        <f>IF(IFERROR(INDEX('Datos - Catálogo TIMSS'!$J$5:$J$107,MATCH(L738,'Datos - Catálogo TIMSS'!$A$5:$A$107,0)),"No")="Sí",1,0)</f>
        <v/>
      </c>
      <c r="AA738" s="11" t="inlineStr">
        <is>
          <t>TA-O1.4</t>
        </is>
      </c>
      <c r="AB738" s="11" t="inlineStr"/>
      <c r="AC738" s="11">
        <f>IF(AA738="FUERA","Fuera del marco",IF(AA738="N/A","Sin marco",IFERROR(INDEX('Datos - TIMSS 2023'!$C$5:$C$105,MATCH(AA738,'Datos - TIMSS 2023'!$A$5:$A$105,0)),"Pendiente de clasificar")))</f>
        <v/>
      </c>
      <c r="AD738" s="11" t="inlineStr">
        <is>
          <t>3. Investigar, evaluar y usar información científica para tomar decisiones y actuar</t>
        </is>
      </c>
      <c r="AE738" s="11">
        <f>IF(AD738="","",IF(LEFT(AD738,1)="1","C1",IF(LEFT(AD738,1)="2","C2",IF(LEFT(AD738,1)="3","C3",""))))</f>
        <v/>
      </c>
      <c r="AF738" s="11" t="inlineStr">
        <is>
          <t>E6</t>
        </is>
      </c>
      <c r="AG738" s="11" t="inlineStr">
        <is>
          <t>E3</t>
        </is>
      </c>
      <c r="AH738" s="11" t="inlineStr">
        <is>
          <t>E1</t>
        </is>
      </c>
      <c r="AI738" s="11" t="inlineStr">
        <is>
          <t>I1</t>
        </is>
      </c>
      <c r="AJ738" s="11" t="inlineStr">
        <is>
          <t>I5</t>
        </is>
      </c>
      <c r="AK738" s="11" t="n"/>
      <c r="AL738" s="11" t="n"/>
      <c r="AM738" s="11" t="n"/>
      <c r="AN738" s="11" t="n"/>
      <c r="AO738" s="11" t="n"/>
      <c r="AP738" s="11" t="n"/>
      <c r="AQ738" s="11" t="n"/>
      <c r="AR738" s="11" t="n"/>
      <c r="AS738" s="11" t="n"/>
      <c r="AT738" s="11" t="n"/>
      <c r="AU738" s="11" t="n"/>
      <c r="AV738" s="11" t="n"/>
      <c r="AW738" s="11">
        <f>AF738&amp;"; "&amp;AG738&amp;"; "&amp;AH738&amp;"; "&amp;AI738&amp;"; "&amp;AJ738</f>
        <v/>
      </c>
    </row>
    <row r="739">
      <c r="A739" s="11" t="inlineStr">
        <is>
          <t>T0275-G10-FÍS</t>
        </is>
      </c>
      <c r="B739" s="11" t="n">
        <v>10</v>
      </c>
      <c r="C739" s="11" t="inlineStr">
        <is>
          <t>Física</t>
        </is>
      </c>
      <c r="D739" s="11" t="inlineStr">
        <is>
          <t>Matriz_Bachillerato_Fisica_10_11.xlsx</t>
        </is>
      </c>
      <c r="E739" s="11" t="inlineStr">
        <is>
          <t>Física 10.°</t>
        </is>
      </c>
      <c r="F739" s="11" t="n">
        <v>115</v>
      </c>
      <c r="G739" s="11" t="inlineStr">
        <is>
          <t>16. Óptica</t>
        </is>
      </c>
      <c r="H739" s="11" t="inlineStr">
        <is>
          <t>Óptica física</t>
        </is>
      </c>
      <c r="I739" s="38" t="inlineStr">
        <is>
          <t>16.4. Reconocimiento de la dispersión y descomposición de la luz en situaciones cotidianas.</t>
        </is>
      </c>
      <c r="J739" s="11" t="inlineStr">
        <is>
          <t>TA</t>
        </is>
      </c>
      <c r="K739" s="11" t="inlineStr">
        <is>
          <t>TA-O1.4</t>
        </is>
      </c>
      <c r="L739" s="11" t="inlineStr">
        <is>
          <t>TA-O1.2</t>
        </is>
      </c>
      <c r="M739" s="11">
        <f>IF(K739="FUERA","Fuera del marco",IF(K739="N/A","Sin marco",IFERROR(INDEX('Datos - Catálogo TIMSS'!$C$5:$C$107,MATCH(K739,'Datos - Catálogo TIMSS'!$A$5:$A$107,0)),"Pendiente de clasificar")))</f>
        <v/>
      </c>
      <c r="N739" s="11">
        <f>IF(K739="FUERA","Fuera del marco",IF(K739="N/A","Sin marco",IFERROR(INDEX('Datos - Catálogo TIMSS'!$F$5:$F$107,MATCH(K739,'Datos - Catálogo TIMSS'!$A$5:$A$107,0)),"Pendiente de clasificar")))</f>
        <v/>
      </c>
      <c r="O739" s="11">
        <f>IF(L739="","",IFERROR(INDEX('Datos - Catálogo TIMSS'!$C$5:$C$107,MATCH(L739,'Datos - Catálogo TIMSS'!$A$5:$A$107,0)),"?"))</f>
        <v/>
      </c>
      <c r="P739" s="11" t="inlineStr">
        <is>
          <t>media</t>
        </is>
      </c>
      <c r="Q739" s="38" t="inlineStr">
        <is>
          <t>Dispersión de la luz como refracción; espectro visible</t>
        </is>
      </c>
      <c r="R739" s="38" t="inlineStr">
        <is>
          <t>Conocer: identificar dispersión y descomposición. Razonar: relacionar partículas con el color del cielo</t>
        </is>
      </c>
      <c r="S739" s="39">
        <f>IFERROR(ISNUMBER(SEARCH("Conocer",$R739))/(ISNUMBER(SEARCH("Conocer",$R739))+ISNUMBER(SEARCH("Aplicar",$R739))+ISNUMBER(SEARCH("Razonar",$R739))),0)</f>
        <v/>
      </c>
      <c r="T739" s="39">
        <f>IFERROR(ISNUMBER(SEARCH("Aplicar",$R739))/(ISNUMBER(SEARCH("Conocer",$R739))+ISNUMBER(SEARCH("Aplicar",$R739))+ISNUMBER(SEARCH("Razonar",$R739))),0)</f>
        <v/>
      </c>
      <c r="U739" s="39">
        <f>IFERROR(ISNUMBER(SEARCH("Razonar",$R739))/(ISNUMBER(SEARCH("Conocer",$R739))+ISNUMBER(SEARCH("Aplicar",$R739))+ISNUMBER(SEARCH("Razonar",$R739))),0)</f>
        <v/>
      </c>
      <c r="V739" s="11" t="inlineStr">
        <is>
          <t>Física 10°</t>
        </is>
      </c>
      <c r="W739" s="11" t="inlineStr">
        <is>
          <t>Física 10°–11°</t>
        </is>
      </c>
      <c r="X739" s="11">
        <f>IF(OR(IFERROR(INDEX('Datos - Catálogo TIMSS'!$I$5:$I$107,MATCH(K739,'Datos - Catálogo TIMSS'!$A$5:$A$107,0)),"No")="Sí",IFERROR(INDEX('Datos - Catálogo TIMSS'!$I$5:$I$107,MATCH(L739,'Datos - Catálogo TIMSS'!$A$5:$A$107,0)),"No")="Sí"),1,0)</f>
        <v/>
      </c>
      <c r="Y739" s="11">
        <f>IF(IFERROR(INDEX('Datos - Catálogo TIMSS'!$J$5:$J$107,MATCH(K739,'Datos - Catálogo TIMSS'!$A$5:$A$107,0)),"No")="Sí",1,0)</f>
        <v/>
      </c>
      <c r="Z739" s="11">
        <f>IF(IFERROR(INDEX('Datos - Catálogo TIMSS'!$J$5:$J$107,MATCH(L739,'Datos - Catálogo TIMSS'!$A$5:$A$107,0)),"No")="Sí",1,0)</f>
        <v/>
      </c>
      <c r="AA739" s="11" t="inlineStr">
        <is>
          <t>TA-O1.4</t>
        </is>
      </c>
      <c r="AB739" s="11" t="inlineStr">
        <is>
          <t>TA-O1.2</t>
        </is>
      </c>
      <c r="AC739" s="11">
        <f>IF(AA739="FUERA","Fuera del marco",IF(AA739="N/A","Sin marco",IFERROR(INDEX('Datos - TIMSS 2023'!$C$5:$C$105,MATCH(AA739,'Datos - TIMSS 2023'!$A$5:$A$105,0)),"Pendiente de clasificar")))</f>
        <v/>
      </c>
      <c r="AD739" s="11" t="inlineStr">
        <is>
          <t>1. Explicar fenómenos científicamente</t>
        </is>
      </c>
      <c r="AE739" s="11">
        <f>IF(AD739="","",IF(LEFT(AD739,1)="1","C1",IF(LEFT(AD739,1)="2","C2",IF(LEFT(AD739,1)="3","C3",""))))</f>
        <v/>
      </c>
      <c r="AF739" s="11" t="inlineStr">
        <is>
          <t>E1</t>
        </is>
      </c>
      <c r="AG739" s="11" t="inlineStr">
        <is>
          <t>E5</t>
        </is>
      </c>
      <c r="AH739" s="11" t="inlineStr">
        <is>
          <t>E1</t>
        </is>
      </c>
      <c r="AI739" s="11" t="inlineStr">
        <is>
          <t>D4</t>
        </is>
      </c>
      <c r="AJ739" s="11" t="inlineStr">
        <is>
          <t>E6</t>
        </is>
      </c>
      <c r="AK739" s="11" t="n"/>
      <c r="AL739" s="11" t="n"/>
      <c r="AM739" s="11" t="n"/>
      <c r="AN739" s="11" t="n"/>
      <c r="AO739" s="11" t="n"/>
      <c r="AP739" s="11" t="n"/>
      <c r="AQ739" s="11" t="n"/>
      <c r="AR739" s="11" t="n"/>
      <c r="AS739" s="11" t="n"/>
      <c r="AT739" s="11" t="n"/>
      <c r="AU739" s="11" t="n"/>
      <c r="AV739" s="11" t="n"/>
      <c r="AW739" s="11">
        <f>AF739&amp;"; "&amp;AG739&amp;"; "&amp;AH739&amp;"; "&amp;AI739&amp;"; "&amp;AJ739</f>
        <v/>
      </c>
    </row>
    <row r="740">
      <c r="A740" s="11" t="inlineStr">
        <is>
          <t>T0276-G10-FÍS</t>
        </is>
      </c>
      <c r="B740" s="11" t="n">
        <v>10</v>
      </c>
      <c r="C740" s="11" t="inlineStr">
        <is>
          <t>Física</t>
        </is>
      </c>
      <c r="D740" s="11" t="inlineStr">
        <is>
          <t>Matriz_Bachillerato_Fisica_10_11.xlsx</t>
        </is>
      </c>
      <c r="E740" s="11" t="inlineStr">
        <is>
          <t>Física 10.°</t>
        </is>
      </c>
      <c r="F740" s="11" t="n">
        <v>116</v>
      </c>
      <c r="G740" s="11" t="inlineStr">
        <is>
          <t>16. Óptica</t>
        </is>
      </c>
      <c r="H740" s="11" t="inlineStr">
        <is>
          <t>Óptica física</t>
        </is>
      </c>
      <c r="I740" s="38" t="inlineStr">
        <is>
          <t>16.5. Experimentación con los fenómenos de dispersión y descomposición de la luz.</t>
        </is>
      </c>
      <c r="J740" s="11" t="inlineStr">
        <is>
          <t>TA</t>
        </is>
      </c>
      <c r="K740" s="11" t="inlineStr">
        <is>
          <t>TA-O1.4</t>
        </is>
      </c>
      <c r="L740" s="11" t="inlineStr">
        <is>
          <t>TA-O1.2</t>
        </is>
      </c>
      <c r="M740" s="11">
        <f>IF(K740="FUERA","Fuera del marco",IF(K740="N/A","Sin marco",IFERROR(INDEX('Datos - Catálogo TIMSS'!$C$5:$C$107,MATCH(K740,'Datos - Catálogo TIMSS'!$A$5:$A$107,0)),"Pendiente de clasificar")))</f>
        <v/>
      </c>
      <c r="N740" s="11">
        <f>IF(K740="FUERA","Fuera del marco",IF(K740="N/A","Sin marco",IFERROR(INDEX('Datos - Catálogo TIMSS'!$F$5:$F$107,MATCH(K740,'Datos - Catálogo TIMSS'!$A$5:$A$107,0)),"Pendiente de clasificar")))</f>
        <v/>
      </c>
      <c r="O740" s="11">
        <f>IF(L740="","",IFERROR(INDEX('Datos - Catálogo TIMSS'!$C$5:$C$107,MATCH(L740,'Datos - Catálogo TIMSS'!$A$5:$A$107,0)),"?"))</f>
        <v/>
      </c>
      <c r="P740" s="11" t="inlineStr">
        <is>
          <t>media</t>
        </is>
      </c>
      <c r="Q740" s="38" t="inlineStr">
        <is>
          <t>Experimentación con dispersión y descomposición de la luz</t>
        </is>
      </c>
      <c r="R740" s="38" t="inlineStr">
        <is>
          <t>Aplicar: medir desviaciones angulares. Razonar: concluir sobre la dependencia del índice con la longitud de onda</t>
        </is>
      </c>
      <c r="S740" s="39">
        <f>IFERROR(ISNUMBER(SEARCH("Conocer",$R740))/(ISNUMBER(SEARCH("Conocer",$R740))+ISNUMBER(SEARCH("Aplicar",$R740))+ISNUMBER(SEARCH("Razonar",$R740))),0)</f>
        <v/>
      </c>
      <c r="T740" s="39">
        <f>IFERROR(ISNUMBER(SEARCH("Aplicar",$R740))/(ISNUMBER(SEARCH("Conocer",$R740))+ISNUMBER(SEARCH("Aplicar",$R740))+ISNUMBER(SEARCH("Razonar",$R740))),0)</f>
        <v/>
      </c>
      <c r="U740" s="39">
        <f>IFERROR(ISNUMBER(SEARCH("Razonar",$R740))/(ISNUMBER(SEARCH("Conocer",$R740))+ISNUMBER(SEARCH("Aplicar",$R740))+ISNUMBER(SEARCH("Razonar",$R740))),0)</f>
        <v/>
      </c>
      <c r="V740" s="11" t="inlineStr">
        <is>
          <t>Física 10°</t>
        </is>
      </c>
      <c r="W740" s="11" t="inlineStr">
        <is>
          <t>Física 10°–11°</t>
        </is>
      </c>
      <c r="X740" s="11">
        <f>IF(OR(IFERROR(INDEX('Datos - Catálogo TIMSS'!$I$5:$I$107,MATCH(K740,'Datos - Catálogo TIMSS'!$A$5:$A$107,0)),"No")="Sí",IFERROR(INDEX('Datos - Catálogo TIMSS'!$I$5:$I$107,MATCH(L740,'Datos - Catálogo TIMSS'!$A$5:$A$107,0)),"No")="Sí"),1,0)</f>
        <v/>
      </c>
      <c r="Y740" s="11">
        <f>IF(IFERROR(INDEX('Datos - Catálogo TIMSS'!$J$5:$J$107,MATCH(K740,'Datos - Catálogo TIMSS'!$A$5:$A$107,0)),"No")="Sí",1,0)</f>
        <v/>
      </c>
      <c r="Z740" s="11">
        <f>IF(IFERROR(INDEX('Datos - Catálogo TIMSS'!$J$5:$J$107,MATCH(L740,'Datos - Catálogo TIMSS'!$A$5:$A$107,0)),"No")="Sí",1,0)</f>
        <v/>
      </c>
      <c r="AA740" s="11" t="inlineStr">
        <is>
          <t>TA-O1.4</t>
        </is>
      </c>
      <c r="AB740" s="11" t="inlineStr">
        <is>
          <t>TA-O1.2</t>
        </is>
      </c>
      <c r="AC740" s="11">
        <f>IF(AA740="FUERA","Fuera del marco",IF(AA740="N/A","Sin marco",IFERROR(INDEX('Datos - TIMSS 2023'!$C$5:$C$105,MATCH(AA740,'Datos - TIMSS 2023'!$A$5:$A$105,0)),"Pendiente de clasificar")))</f>
        <v/>
      </c>
      <c r="AD740" s="11" t="inlineStr">
        <is>
          <t>2. Construir y evaluar diseños para la indagación científica e interpretar datos y evidencia de forma crítica</t>
        </is>
      </c>
      <c r="AE740" s="11">
        <f>IF(AD740="","",IF(LEFT(AD740,1)="1","C1",IF(LEFT(AD740,1)="2","C2",IF(LEFT(AD740,1)="3","C3",""))))</f>
        <v/>
      </c>
      <c r="AF740" s="11" t="inlineStr">
        <is>
          <t>E1</t>
        </is>
      </c>
      <c r="AG740" s="11" t="inlineStr">
        <is>
          <t>E3</t>
        </is>
      </c>
      <c r="AH740" s="11" t="inlineStr">
        <is>
          <t>E2</t>
        </is>
      </c>
      <c r="AI740" s="11" t="inlineStr">
        <is>
          <t>D4</t>
        </is>
      </c>
      <c r="AJ740" s="11" t="inlineStr">
        <is>
          <t>D3</t>
        </is>
      </c>
      <c r="AK740" s="11" t="n"/>
      <c r="AL740" s="11" t="n"/>
      <c r="AM740" s="11" t="n"/>
      <c r="AN740" s="11" t="n"/>
      <c r="AO740" s="11" t="n"/>
      <c r="AP740" s="11" t="n"/>
      <c r="AQ740" s="11" t="n"/>
      <c r="AR740" s="11" t="n"/>
      <c r="AS740" s="11" t="n"/>
      <c r="AT740" s="11" t="n"/>
      <c r="AU740" s="11" t="n"/>
      <c r="AV740" s="11" t="n"/>
      <c r="AW740" s="11">
        <f>AF740&amp;"; "&amp;AG740&amp;"; "&amp;AH740&amp;"; "&amp;AI740&amp;"; "&amp;AJ740</f>
        <v/>
      </c>
    </row>
    <row r="741">
      <c r="A741" s="11" t="inlineStr">
        <is>
          <t>T0277-G10-FÍS</t>
        </is>
      </c>
      <c r="B741" s="11" t="n">
        <v>10</v>
      </c>
      <c r="C741" s="11" t="inlineStr">
        <is>
          <t>Física</t>
        </is>
      </c>
      <c r="D741" s="11" t="inlineStr">
        <is>
          <t>Matriz_Bachillerato_Fisica_10_11.xlsx</t>
        </is>
      </c>
      <c r="E741" s="11" t="inlineStr">
        <is>
          <t>Física 10.°</t>
        </is>
      </c>
      <c r="F741" s="11" t="n">
        <v>117</v>
      </c>
      <c r="G741" s="11" t="inlineStr">
        <is>
          <t>16. Óptica</t>
        </is>
      </c>
      <c r="H741" s="11" t="inlineStr">
        <is>
          <t>Óptica física</t>
        </is>
      </c>
      <c r="I741" s="38" t="inlineStr">
        <is>
          <t>16.6. Exploración de las aplicaciones tecnológicas de la dispersión y descomposición de la luz.</t>
        </is>
      </c>
      <c r="J741" s="11" t="inlineStr">
        <is>
          <t>TA</t>
        </is>
      </c>
      <c r="K741" s="11" t="inlineStr">
        <is>
          <t>TA-O1.4</t>
        </is>
      </c>
      <c r="L741" s="11" t="inlineStr"/>
      <c r="M741" s="11">
        <f>IF(K741="FUERA","Fuera del marco",IF(K741="N/A","Sin marco",IFERROR(INDEX('Datos - Catálogo TIMSS'!$C$5:$C$107,MATCH(K741,'Datos - Catálogo TIMSS'!$A$5:$A$107,0)),"Pendiente de clasificar")))</f>
        <v/>
      </c>
      <c r="N741" s="11">
        <f>IF(K741="FUERA","Fuera del marco",IF(K741="N/A","Sin marco",IFERROR(INDEX('Datos - Catálogo TIMSS'!$F$5:$F$107,MATCH(K741,'Datos - Catálogo TIMSS'!$A$5:$A$107,0)),"Pendiente de clasificar")))</f>
        <v/>
      </c>
      <c r="O741" s="11">
        <f>IF(L741="","",IFERROR(INDEX('Datos - Catálogo TIMSS'!$C$5:$C$107,MATCH(L741,'Datos - Catálogo TIMSS'!$A$5:$A$107,0)),"?"))</f>
        <v/>
      </c>
      <c r="P741" s="11" t="inlineStr">
        <is>
          <t>baja</t>
        </is>
      </c>
      <c r="Q741" s="38" t="inlineStr">
        <is>
          <t>Aplicaciones tecnológicas de la dispersión</t>
        </is>
      </c>
      <c r="R741" s="38" t="inlineStr">
        <is>
          <t>Conocer: identificar aplicaciones. Aplicar: construir un espectroscopio. Razonar: valorar su uso social</t>
        </is>
      </c>
      <c r="S741" s="39">
        <f>IFERROR(ISNUMBER(SEARCH("Conocer",$R741))/(ISNUMBER(SEARCH("Conocer",$R741))+ISNUMBER(SEARCH("Aplicar",$R741))+ISNUMBER(SEARCH("Razonar",$R741))),0)</f>
        <v/>
      </c>
      <c r="T741" s="39">
        <f>IFERROR(ISNUMBER(SEARCH("Aplicar",$R741))/(ISNUMBER(SEARCH("Conocer",$R741))+ISNUMBER(SEARCH("Aplicar",$R741))+ISNUMBER(SEARCH("Razonar",$R741))),0)</f>
        <v/>
      </c>
      <c r="U741" s="39">
        <f>IFERROR(ISNUMBER(SEARCH("Razonar",$R741))/(ISNUMBER(SEARCH("Conocer",$R741))+ISNUMBER(SEARCH("Aplicar",$R741))+ISNUMBER(SEARCH("Razonar",$R741))),0)</f>
        <v/>
      </c>
      <c r="V741" s="11" t="inlineStr">
        <is>
          <t>Física 10°</t>
        </is>
      </c>
      <c r="W741" s="11" t="inlineStr">
        <is>
          <t>Física 10°–11°</t>
        </is>
      </c>
      <c r="X741" s="11">
        <f>IF(OR(IFERROR(INDEX('Datos - Catálogo TIMSS'!$I$5:$I$107,MATCH(K741,'Datos - Catálogo TIMSS'!$A$5:$A$107,0)),"No")="Sí",IFERROR(INDEX('Datos - Catálogo TIMSS'!$I$5:$I$107,MATCH(L741,'Datos - Catálogo TIMSS'!$A$5:$A$107,0)),"No")="Sí"),1,0)</f>
        <v/>
      </c>
      <c r="Y741" s="11">
        <f>IF(IFERROR(INDEX('Datos - Catálogo TIMSS'!$J$5:$J$107,MATCH(K741,'Datos - Catálogo TIMSS'!$A$5:$A$107,0)),"No")="Sí",1,0)</f>
        <v/>
      </c>
      <c r="Z741" s="11">
        <f>IF(IFERROR(INDEX('Datos - Catálogo TIMSS'!$J$5:$J$107,MATCH(L741,'Datos - Catálogo TIMSS'!$A$5:$A$107,0)),"No")="Sí",1,0)</f>
        <v/>
      </c>
      <c r="AA741" s="11" t="inlineStr">
        <is>
          <t>TA-O1.4</t>
        </is>
      </c>
      <c r="AB741" s="11" t="inlineStr"/>
      <c r="AC741" s="11">
        <f>IF(AA741="FUERA","Fuera del marco",IF(AA741="N/A","Sin marco",IFERROR(INDEX('Datos - TIMSS 2023'!$C$5:$C$105,MATCH(AA741,'Datos - TIMSS 2023'!$A$5:$A$105,0)),"Pendiente de clasificar")))</f>
        <v/>
      </c>
      <c r="AD741" s="11" t="inlineStr">
        <is>
          <t>3. Investigar, evaluar y usar información científica para tomar decisiones y actuar</t>
        </is>
      </c>
      <c r="AE741" s="11">
        <f>IF(AD741="","",IF(LEFT(AD741,1)="1","C1",IF(LEFT(AD741,1)="2","C2",IF(LEFT(AD741,1)="3","C3",""))))</f>
        <v/>
      </c>
      <c r="AF741" s="11" t="inlineStr">
        <is>
          <t>E6</t>
        </is>
      </c>
      <c r="AG741" s="11" t="inlineStr">
        <is>
          <t>D1</t>
        </is>
      </c>
      <c r="AH741" s="11" t="inlineStr">
        <is>
          <t>E1</t>
        </is>
      </c>
      <c r="AI741" s="11" t="inlineStr">
        <is>
          <t>I1</t>
        </is>
      </c>
      <c r="AJ741" s="11" t="inlineStr">
        <is>
          <t>I5</t>
        </is>
      </c>
      <c r="AK741" s="11" t="n"/>
      <c r="AL741" s="11" t="n"/>
      <c r="AM741" s="11" t="n"/>
      <c r="AN741" s="11" t="n"/>
      <c r="AO741" s="11" t="n"/>
      <c r="AP741" s="11" t="n"/>
      <c r="AQ741" s="11" t="n"/>
      <c r="AR741" s="11" t="n"/>
      <c r="AS741" s="11" t="n"/>
      <c r="AT741" s="11" t="n"/>
      <c r="AU741" s="11" t="n"/>
      <c r="AV741" s="11" t="n"/>
      <c r="AW741" s="11">
        <f>AF741&amp;"; "&amp;AG741&amp;"; "&amp;AH741&amp;"; "&amp;AI741&amp;"; "&amp;AJ741</f>
        <v/>
      </c>
    </row>
    <row r="742">
      <c r="A742" s="11" t="inlineStr">
        <is>
          <t>T0278-G10-FÍS</t>
        </is>
      </c>
      <c r="B742" s="11" t="n">
        <v>10</v>
      </c>
      <c r="C742" s="11" t="inlineStr">
        <is>
          <t>Física</t>
        </is>
      </c>
      <c r="D742" s="11" t="inlineStr">
        <is>
          <t>Matriz_Bachillerato_Fisica_10_11.xlsx</t>
        </is>
      </c>
      <c r="E742" s="11" t="inlineStr">
        <is>
          <t>Física 10.°</t>
        </is>
      </c>
      <c r="F742" s="11" t="n">
        <v>118</v>
      </c>
      <c r="G742" s="11" t="inlineStr">
        <is>
          <t>16. Óptica</t>
        </is>
      </c>
      <c r="H742" s="11" t="inlineStr">
        <is>
          <t>Óptica geométrica</t>
        </is>
      </c>
      <c r="I742" s="38" t="inlineStr">
        <is>
          <t>16.7. Indagación del comportamiento corpuscular de la luz.</t>
        </is>
      </c>
      <c r="J742" s="11" t="inlineStr">
        <is>
          <t>TA</t>
        </is>
      </c>
      <c r="K742" s="11" t="inlineStr">
        <is>
          <t>TA-O1.4</t>
        </is>
      </c>
      <c r="L742" s="11" t="inlineStr"/>
      <c r="M742" s="11">
        <f>IF(K742="FUERA","Fuera del marco",IF(K742="N/A","Sin marco",IFERROR(INDEX('Datos - Catálogo TIMSS'!$C$5:$C$107,MATCH(K742,'Datos - Catálogo TIMSS'!$A$5:$A$107,0)),"Pendiente de clasificar")))</f>
        <v/>
      </c>
      <c r="N742" s="11">
        <f>IF(K742="FUERA","Fuera del marco",IF(K742="N/A","Sin marco",IFERROR(INDEX('Datos - Catálogo TIMSS'!$F$5:$F$107,MATCH(K742,'Datos - Catálogo TIMSS'!$A$5:$A$107,0)),"Pendiente de clasificar")))</f>
        <v/>
      </c>
      <c r="O742" s="11">
        <f>IF(L742="","",IFERROR(INDEX('Datos - Catálogo TIMSS'!$C$5:$C$107,MATCH(L742,'Datos - Catálogo TIMSS'!$A$5:$A$107,0)),"?"))</f>
        <v/>
      </c>
      <c r="P742" s="11" t="inlineStr">
        <is>
          <t>media</t>
        </is>
      </c>
      <c r="Q742" s="38" t="inlineStr">
        <is>
          <t>Trayectoria de la luz en reflexión y refracción</t>
        </is>
      </c>
      <c r="R742" s="38" t="inlineStr">
        <is>
          <t>Conocer: describir la propagación rectilínea. Aplicar: predecir trayectorias. Razonar: comparar modelos de la luz</t>
        </is>
      </c>
      <c r="S742" s="39">
        <f>IFERROR(ISNUMBER(SEARCH("Conocer",$R742))/(ISNUMBER(SEARCH("Conocer",$R742))+ISNUMBER(SEARCH("Aplicar",$R742))+ISNUMBER(SEARCH("Razonar",$R742))),0)</f>
        <v/>
      </c>
      <c r="T742" s="39">
        <f>IFERROR(ISNUMBER(SEARCH("Aplicar",$R742))/(ISNUMBER(SEARCH("Conocer",$R742))+ISNUMBER(SEARCH("Aplicar",$R742))+ISNUMBER(SEARCH("Razonar",$R742))),0)</f>
        <v/>
      </c>
      <c r="U742" s="39">
        <f>IFERROR(ISNUMBER(SEARCH("Razonar",$R742))/(ISNUMBER(SEARCH("Conocer",$R742))+ISNUMBER(SEARCH("Aplicar",$R742))+ISNUMBER(SEARCH("Razonar",$R742))),0)</f>
        <v/>
      </c>
      <c r="V742" s="11" t="inlineStr">
        <is>
          <t>Física 10°</t>
        </is>
      </c>
      <c r="W742" s="11" t="inlineStr">
        <is>
          <t>Física 10°–11°</t>
        </is>
      </c>
      <c r="X742" s="11">
        <f>IF(OR(IFERROR(INDEX('Datos - Catálogo TIMSS'!$I$5:$I$107,MATCH(K742,'Datos - Catálogo TIMSS'!$A$5:$A$107,0)),"No")="Sí",IFERROR(INDEX('Datos - Catálogo TIMSS'!$I$5:$I$107,MATCH(L742,'Datos - Catálogo TIMSS'!$A$5:$A$107,0)),"No")="Sí"),1,0)</f>
        <v/>
      </c>
      <c r="Y742" s="11">
        <f>IF(IFERROR(INDEX('Datos - Catálogo TIMSS'!$J$5:$J$107,MATCH(K742,'Datos - Catálogo TIMSS'!$A$5:$A$107,0)),"No")="Sí",1,0)</f>
        <v/>
      </c>
      <c r="Z742" s="11">
        <f>IF(IFERROR(INDEX('Datos - Catálogo TIMSS'!$J$5:$J$107,MATCH(L742,'Datos - Catálogo TIMSS'!$A$5:$A$107,0)),"No")="Sí",1,0)</f>
        <v/>
      </c>
      <c r="AA742" s="11" t="inlineStr">
        <is>
          <t>TA-O1.4</t>
        </is>
      </c>
      <c r="AB742" s="11" t="inlineStr"/>
      <c r="AC742" s="11">
        <f>IF(AA742="FUERA","Fuera del marco",IF(AA742="N/A","Sin marco",IFERROR(INDEX('Datos - TIMSS 2023'!$C$5:$C$105,MATCH(AA742,'Datos - TIMSS 2023'!$A$5:$A$105,0)),"Pendiente de clasificar")))</f>
        <v/>
      </c>
      <c r="AD742" s="11" t="inlineStr">
        <is>
          <t>1. Explicar fenómenos científicamente</t>
        </is>
      </c>
      <c r="AE742" s="11">
        <f>IF(AD742="","",IF(LEFT(AD742,1)="1","C1",IF(LEFT(AD742,1)="2","C2",IF(LEFT(AD742,1)="3","C3",""))))</f>
        <v/>
      </c>
      <c r="AF742" s="11" t="inlineStr">
        <is>
          <t>E1</t>
        </is>
      </c>
      <c r="AG742" s="11" t="inlineStr">
        <is>
          <t>E3</t>
        </is>
      </c>
      <c r="AH742" s="11" t="inlineStr">
        <is>
          <t>E4</t>
        </is>
      </c>
      <c r="AI742" s="11" t="inlineStr">
        <is>
          <t>D4</t>
        </is>
      </c>
      <c r="AJ742" s="11" t="inlineStr">
        <is>
          <t>E3</t>
        </is>
      </c>
      <c r="AK742" s="11" t="n"/>
      <c r="AL742" s="11" t="n"/>
      <c r="AM742" s="11" t="n"/>
      <c r="AN742" s="11" t="n"/>
      <c r="AO742" s="11" t="n"/>
      <c r="AP742" s="11" t="n"/>
      <c r="AQ742" s="11" t="n"/>
      <c r="AR742" s="11" t="n"/>
      <c r="AS742" s="11" t="n"/>
      <c r="AT742" s="11" t="n"/>
      <c r="AU742" s="11" t="n"/>
      <c r="AV742" s="11" t="n"/>
      <c r="AW742" s="11">
        <f>AF742&amp;"; "&amp;AG742&amp;"; "&amp;AH742&amp;"; "&amp;AI742&amp;"; "&amp;AJ742</f>
        <v/>
      </c>
    </row>
    <row r="743">
      <c r="A743" s="11" t="inlineStr">
        <is>
          <t>T0279-G10-FÍS</t>
        </is>
      </c>
      <c r="B743" s="11" t="n">
        <v>10</v>
      </c>
      <c r="C743" s="11" t="inlineStr">
        <is>
          <t>Física</t>
        </is>
      </c>
      <c r="D743" s="11" t="inlineStr">
        <is>
          <t>Matriz_Bachillerato_Fisica_10_11.xlsx</t>
        </is>
      </c>
      <c r="E743" s="11" t="inlineStr">
        <is>
          <t>Física 10.°</t>
        </is>
      </c>
      <c r="F743" s="11" t="n">
        <v>119</v>
      </c>
      <c r="G743" s="11" t="inlineStr">
        <is>
          <t>16. Óptica</t>
        </is>
      </c>
      <c r="H743" s="11" t="inlineStr">
        <is>
          <t>Óptica geométrica</t>
        </is>
      </c>
      <c r="I743" s="38" t="inlineStr">
        <is>
          <t>16.8. Medición de los ángulos de incidencia, refracción, reflexión y crítico.</t>
        </is>
      </c>
      <c r="J743" s="11" t="inlineStr">
        <is>
          <t>TA</t>
        </is>
      </c>
      <c r="K743" s="11" t="inlineStr">
        <is>
          <t>TA-O1.4</t>
        </is>
      </c>
      <c r="L743" s="11" t="inlineStr"/>
      <c r="M743" s="11">
        <f>IF(K743="FUERA","Fuera del marco",IF(K743="N/A","Sin marco",IFERROR(INDEX('Datos - Catálogo TIMSS'!$C$5:$C$107,MATCH(K743,'Datos - Catálogo TIMSS'!$A$5:$A$107,0)),"Pendiente de clasificar")))</f>
        <v/>
      </c>
      <c r="N743" s="11">
        <f>IF(K743="FUERA","Fuera del marco",IF(K743="N/A","Sin marco",IFERROR(INDEX('Datos - Catálogo TIMSS'!$F$5:$F$107,MATCH(K743,'Datos - Catálogo TIMSS'!$A$5:$A$107,0)),"Pendiente de clasificar")))</f>
        <v/>
      </c>
      <c r="O743" s="11">
        <f>IF(L743="","",IFERROR(INDEX('Datos - Catálogo TIMSS'!$C$5:$C$107,MATCH(L743,'Datos - Catálogo TIMSS'!$A$5:$A$107,0)),"?"))</f>
        <v/>
      </c>
      <c r="P743" s="11" t="inlineStr">
        <is>
          <t>alta</t>
        </is>
      </c>
      <c r="Q743" s="38" t="inlineStr">
        <is>
          <t>Medición de ángulos de reflexión y refracción</t>
        </is>
      </c>
      <c r="R743" s="38" t="inlineStr">
        <is>
          <t>Aplicar: medir ángulos y linealizar datos. Razonar: validar la ley de Snell con evidencia</t>
        </is>
      </c>
      <c r="S743" s="39">
        <f>IFERROR(ISNUMBER(SEARCH("Conocer",$R743))/(ISNUMBER(SEARCH("Conocer",$R743))+ISNUMBER(SEARCH("Aplicar",$R743))+ISNUMBER(SEARCH("Razonar",$R743))),0)</f>
        <v/>
      </c>
      <c r="T743" s="39">
        <f>IFERROR(ISNUMBER(SEARCH("Aplicar",$R743))/(ISNUMBER(SEARCH("Conocer",$R743))+ISNUMBER(SEARCH("Aplicar",$R743))+ISNUMBER(SEARCH("Razonar",$R743))),0)</f>
        <v/>
      </c>
      <c r="U743" s="39">
        <f>IFERROR(ISNUMBER(SEARCH("Razonar",$R743))/(ISNUMBER(SEARCH("Conocer",$R743))+ISNUMBER(SEARCH("Aplicar",$R743))+ISNUMBER(SEARCH("Razonar",$R743))),0)</f>
        <v/>
      </c>
      <c r="V743" s="11" t="inlineStr">
        <is>
          <t>Física 10°</t>
        </is>
      </c>
      <c r="W743" s="11" t="inlineStr">
        <is>
          <t>Física 10°–11°</t>
        </is>
      </c>
      <c r="X743" s="11">
        <f>IF(OR(IFERROR(INDEX('Datos - Catálogo TIMSS'!$I$5:$I$107,MATCH(K743,'Datos - Catálogo TIMSS'!$A$5:$A$107,0)),"No")="Sí",IFERROR(INDEX('Datos - Catálogo TIMSS'!$I$5:$I$107,MATCH(L743,'Datos - Catálogo TIMSS'!$A$5:$A$107,0)),"No")="Sí"),1,0)</f>
        <v/>
      </c>
      <c r="Y743" s="11">
        <f>IF(IFERROR(INDEX('Datos - Catálogo TIMSS'!$J$5:$J$107,MATCH(K743,'Datos - Catálogo TIMSS'!$A$5:$A$107,0)),"No")="Sí",1,0)</f>
        <v/>
      </c>
      <c r="Z743" s="11">
        <f>IF(IFERROR(INDEX('Datos - Catálogo TIMSS'!$J$5:$J$107,MATCH(L743,'Datos - Catálogo TIMSS'!$A$5:$A$107,0)),"No")="Sí",1,0)</f>
        <v/>
      </c>
      <c r="AA743" s="11" t="inlineStr">
        <is>
          <t>TA-O1.4</t>
        </is>
      </c>
      <c r="AB743" s="11" t="inlineStr"/>
      <c r="AC743" s="11">
        <f>IF(AA743="FUERA","Fuera del marco",IF(AA743="N/A","Sin marco",IFERROR(INDEX('Datos - TIMSS 2023'!$C$5:$C$105,MATCH(AA743,'Datos - TIMSS 2023'!$A$5:$A$105,0)),"Pendiente de clasificar")))</f>
        <v/>
      </c>
      <c r="AD743" s="11" t="inlineStr">
        <is>
          <t>2. Construir y evaluar diseños para la indagación científica e interpretar datos y evidencia de forma crítica</t>
        </is>
      </c>
      <c r="AE743" s="11">
        <f>IF(AD743="","",IF(LEFT(AD743,1)="1","C1",IF(LEFT(AD743,1)="2","C2",IF(LEFT(AD743,1)="3","C3",""))))</f>
        <v/>
      </c>
      <c r="AF743" s="11" t="inlineStr">
        <is>
          <t>E1</t>
        </is>
      </c>
      <c r="AG743" s="11" t="inlineStr">
        <is>
          <t>D1</t>
        </is>
      </c>
      <c r="AH743" s="11" t="inlineStr">
        <is>
          <t>E2</t>
        </is>
      </c>
      <c r="AI743" s="11" t="inlineStr">
        <is>
          <t>D4</t>
        </is>
      </c>
      <c r="AJ743" s="11" t="inlineStr">
        <is>
          <t>D3</t>
        </is>
      </c>
      <c r="AK743" s="11" t="n"/>
      <c r="AL743" s="11" t="n"/>
      <c r="AM743" s="11" t="n"/>
      <c r="AN743" s="11" t="n"/>
      <c r="AO743" s="11" t="n"/>
      <c r="AP743" s="11" t="n"/>
      <c r="AQ743" s="11" t="n"/>
      <c r="AR743" s="11" t="n"/>
      <c r="AS743" s="11" t="n"/>
      <c r="AT743" s="11" t="n"/>
      <c r="AU743" s="11" t="n"/>
      <c r="AV743" s="11" t="n"/>
      <c r="AW743" s="11">
        <f>AF743&amp;"; "&amp;AG743&amp;"; "&amp;AH743&amp;"; "&amp;AI743&amp;"; "&amp;AJ743</f>
        <v/>
      </c>
    </row>
    <row r="744">
      <c r="A744" s="11" t="inlineStr">
        <is>
          <t>T0280-G10-FÍS</t>
        </is>
      </c>
      <c r="B744" s="11" t="n">
        <v>10</v>
      </c>
      <c r="C744" s="11" t="inlineStr">
        <is>
          <t>Física</t>
        </is>
      </c>
      <c r="D744" s="11" t="inlineStr">
        <is>
          <t>Matriz_Bachillerato_Fisica_10_11.xlsx</t>
        </is>
      </c>
      <c r="E744" s="11" t="inlineStr">
        <is>
          <t>Física 10.°</t>
        </is>
      </c>
      <c r="F744" s="11" t="n">
        <v>120</v>
      </c>
      <c r="G744" s="11" t="inlineStr">
        <is>
          <t>16. Óptica</t>
        </is>
      </c>
      <c r="H744" s="11" t="inlineStr">
        <is>
          <t>Óptica geométrica</t>
        </is>
      </c>
      <c r="I744" s="38" t="inlineStr">
        <is>
          <t>16.9. Resolución de problemas sobre reflexión, refracción y reflexión interna total.</t>
        </is>
      </c>
      <c r="J744" s="11" t="inlineStr">
        <is>
          <t>TA</t>
        </is>
      </c>
      <c r="K744" s="11" t="inlineStr">
        <is>
          <t>TA-O1.4</t>
        </is>
      </c>
      <c r="L744" s="11" t="inlineStr"/>
      <c r="M744" s="11">
        <f>IF(K744="FUERA","Fuera del marco",IF(K744="N/A","Sin marco",IFERROR(INDEX('Datos - Catálogo TIMSS'!$C$5:$C$107,MATCH(K744,'Datos - Catálogo TIMSS'!$A$5:$A$107,0)),"Pendiente de clasificar")))</f>
        <v/>
      </c>
      <c r="N744" s="11">
        <f>IF(K744="FUERA","Fuera del marco",IF(K744="N/A","Sin marco",IFERROR(INDEX('Datos - Catálogo TIMSS'!$F$5:$F$107,MATCH(K744,'Datos - Catálogo TIMSS'!$A$5:$A$107,0)),"Pendiente de clasificar")))</f>
        <v/>
      </c>
      <c r="O744" s="11">
        <f>IF(L744="","",IFERROR(INDEX('Datos - Catálogo TIMSS'!$C$5:$C$107,MATCH(L744,'Datos - Catálogo TIMSS'!$A$5:$A$107,0)),"?"))</f>
        <v/>
      </c>
      <c r="P744" s="11" t="inlineStr">
        <is>
          <t>alta</t>
        </is>
      </c>
      <c r="Q744" s="38" t="inlineStr">
        <is>
          <t>Problemas de reflexión, refracción y reflexión total</t>
        </is>
      </c>
      <c r="R744" s="38" t="inlineStr">
        <is>
          <t>Aplicar: resolver problemas con la ley de Snell. Razonar: decidir si ocurre reflexión interna total</t>
        </is>
      </c>
      <c r="S744" s="39">
        <f>IFERROR(ISNUMBER(SEARCH("Conocer",$R744))/(ISNUMBER(SEARCH("Conocer",$R744))+ISNUMBER(SEARCH("Aplicar",$R744))+ISNUMBER(SEARCH("Razonar",$R744))),0)</f>
        <v/>
      </c>
      <c r="T744" s="39">
        <f>IFERROR(ISNUMBER(SEARCH("Aplicar",$R744))/(ISNUMBER(SEARCH("Conocer",$R744))+ISNUMBER(SEARCH("Aplicar",$R744))+ISNUMBER(SEARCH("Razonar",$R744))),0)</f>
        <v/>
      </c>
      <c r="U744" s="39">
        <f>IFERROR(ISNUMBER(SEARCH("Razonar",$R744))/(ISNUMBER(SEARCH("Conocer",$R744))+ISNUMBER(SEARCH("Aplicar",$R744))+ISNUMBER(SEARCH("Razonar",$R744))),0)</f>
        <v/>
      </c>
      <c r="V744" s="11" t="inlineStr">
        <is>
          <t>Física 10°</t>
        </is>
      </c>
      <c r="W744" s="11" t="inlineStr">
        <is>
          <t>Física 10°–11°</t>
        </is>
      </c>
      <c r="X744" s="11">
        <f>IF(OR(IFERROR(INDEX('Datos - Catálogo TIMSS'!$I$5:$I$107,MATCH(K744,'Datos - Catálogo TIMSS'!$A$5:$A$107,0)),"No")="Sí",IFERROR(INDEX('Datos - Catálogo TIMSS'!$I$5:$I$107,MATCH(L744,'Datos - Catálogo TIMSS'!$A$5:$A$107,0)),"No")="Sí"),1,0)</f>
        <v/>
      </c>
      <c r="Y744" s="11">
        <f>IF(IFERROR(INDEX('Datos - Catálogo TIMSS'!$J$5:$J$107,MATCH(K744,'Datos - Catálogo TIMSS'!$A$5:$A$107,0)),"No")="Sí",1,0)</f>
        <v/>
      </c>
      <c r="Z744" s="11">
        <f>IF(IFERROR(INDEX('Datos - Catálogo TIMSS'!$J$5:$J$107,MATCH(L744,'Datos - Catálogo TIMSS'!$A$5:$A$107,0)),"No")="Sí",1,0)</f>
        <v/>
      </c>
      <c r="AA744" s="11" t="inlineStr">
        <is>
          <t>TA-O1.4</t>
        </is>
      </c>
      <c r="AB744" s="11" t="inlineStr"/>
      <c r="AC744" s="11">
        <f>IF(AA744="FUERA","Fuera del marco",IF(AA744="N/A","Sin marco",IFERROR(INDEX('Datos - TIMSS 2023'!$C$5:$C$105,MATCH(AA744,'Datos - TIMSS 2023'!$A$5:$A$105,0)),"Pendiente de clasificar")))</f>
        <v/>
      </c>
      <c r="AD744" s="11" t="inlineStr">
        <is>
          <t>1. Explicar fenómenos científicamente</t>
        </is>
      </c>
      <c r="AE744" s="11">
        <f>IF(AD744="","",IF(LEFT(AD744,1)="1","C1",IF(LEFT(AD744,1)="2","C2",IF(LEFT(AD744,1)="3","C3",""))))</f>
        <v/>
      </c>
      <c r="AF744" s="11" t="inlineStr">
        <is>
          <t>E1</t>
        </is>
      </c>
      <c r="AG744" s="11" t="inlineStr">
        <is>
          <t>E3</t>
        </is>
      </c>
      <c r="AH744" s="11" t="inlineStr">
        <is>
          <t>E1</t>
        </is>
      </c>
      <c r="AI744" s="11" t="inlineStr">
        <is>
          <t>E4</t>
        </is>
      </c>
      <c r="AJ744" s="11" t="inlineStr">
        <is>
          <t>E3</t>
        </is>
      </c>
      <c r="AK744" s="11" t="n"/>
      <c r="AL744" s="11" t="n"/>
      <c r="AM744" s="11" t="n"/>
      <c r="AN744" s="11" t="n"/>
      <c r="AO744" s="11" t="n"/>
      <c r="AP744" s="11" t="n"/>
      <c r="AQ744" s="11" t="n"/>
      <c r="AR744" s="11" t="n"/>
      <c r="AS744" s="11" t="n"/>
      <c r="AT744" s="11" t="n"/>
      <c r="AU744" s="11" t="n"/>
      <c r="AV744" s="11" t="n"/>
      <c r="AW744" s="11">
        <f>AF744&amp;"; "&amp;AG744&amp;"; "&amp;AH744&amp;"; "&amp;AI744&amp;"; "&amp;AJ744</f>
        <v/>
      </c>
    </row>
    <row r="745">
      <c r="A745" s="11" t="inlineStr">
        <is>
          <t>T0281-G10-FÍS</t>
        </is>
      </c>
      <c r="B745" s="11" t="n">
        <v>10</v>
      </c>
      <c r="C745" s="11" t="inlineStr">
        <is>
          <t>Física</t>
        </is>
      </c>
      <c r="D745" s="11" t="inlineStr">
        <is>
          <t>Matriz_Bachillerato_Fisica_10_11.xlsx</t>
        </is>
      </c>
      <c r="E745" s="11" t="inlineStr">
        <is>
          <t>Física 10.°</t>
        </is>
      </c>
      <c r="F745" s="11" t="n">
        <v>121</v>
      </c>
      <c r="G745" s="11" t="inlineStr">
        <is>
          <t>16. Óptica</t>
        </is>
      </c>
      <c r="H745" s="11" t="inlineStr">
        <is>
          <t>Óptica geométrica</t>
        </is>
      </c>
      <c r="I745" s="38" t="inlineStr">
        <is>
          <t>16.10. Indagación de las propiedades de las imágenes.</t>
        </is>
      </c>
      <c r="J745" s="11" t="inlineStr">
        <is>
          <t>TA</t>
        </is>
      </c>
      <c r="K745" s="11" t="inlineStr">
        <is>
          <t>TA-O1.4</t>
        </is>
      </c>
      <c r="L745" s="11" t="inlineStr"/>
      <c r="M745" s="11">
        <f>IF(K745="FUERA","Fuera del marco",IF(K745="N/A","Sin marco",IFERROR(INDEX('Datos - Catálogo TIMSS'!$C$5:$C$107,MATCH(K745,'Datos - Catálogo TIMSS'!$A$5:$A$107,0)),"Pendiente de clasificar")))</f>
        <v/>
      </c>
      <c r="N745" s="11">
        <f>IF(K745="FUERA","Fuera del marco",IF(K745="N/A","Sin marco",IFERROR(INDEX('Datos - Catálogo TIMSS'!$F$5:$F$107,MATCH(K745,'Datos - Catálogo TIMSS'!$A$5:$A$107,0)),"Pendiente de clasificar")))</f>
        <v/>
      </c>
      <c r="O745" s="11">
        <f>IF(L745="","",IFERROR(INDEX('Datos - Catálogo TIMSS'!$C$5:$C$107,MATCH(L745,'Datos - Catálogo TIMSS'!$A$5:$A$107,0)),"?"))</f>
        <v/>
      </c>
      <c r="P745" s="11" t="inlineStr">
        <is>
          <t>media</t>
        </is>
      </c>
      <c r="Q745" s="38" t="inlineStr">
        <is>
          <t>Propiedades de imágenes por reflexión y refracción</t>
        </is>
      </c>
      <c r="R745" s="38" t="inlineStr">
        <is>
          <t>Conocer: identificar propiedades de imágenes. Razonar: clasificar imágenes con diagramas de rayos</t>
        </is>
      </c>
      <c r="S745" s="39">
        <f>IFERROR(ISNUMBER(SEARCH("Conocer",$R745))/(ISNUMBER(SEARCH("Conocer",$R745))+ISNUMBER(SEARCH("Aplicar",$R745))+ISNUMBER(SEARCH("Razonar",$R745))),0)</f>
        <v/>
      </c>
      <c r="T745" s="39">
        <f>IFERROR(ISNUMBER(SEARCH("Aplicar",$R745))/(ISNUMBER(SEARCH("Conocer",$R745))+ISNUMBER(SEARCH("Aplicar",$R745))+ISNUMBER(SEARCH("Razonar",$R745))),0)</f>
        <v/>
      </c>
      <c r="U745" s="39">
        <f>IFERROR(ISNUMBER(SEARCH("Razonar",$R745))/(ISNUMBER(SEARCH("Conocer",$R745))+ISNUMBER(SEARCH("Aplicar",$R745))+ISNUMBER(SEARCH("Razonar",$R745))),0)</f>
        <v/>
      </c>
      <c r="V745" s="11" t="inlineStr">
        <is>
          <t>Física 10°</t>
        </is>
      </c>
      <c r="W745" s="11" t="inlineStr">
        <is>
          <t>Física 10°–11°</t>
        </is>
      </c>
      <c r="X745" s="11">
        <f>IF(OR(IFERROR(INDEX('Datos - Catálogo TIMSS'!$I$5:$I$107,MATCH(K745,'Datos - Catálogo TIMSS'!$A$5:$A$107,0)),"No")="Sí",IFERROR(INDEX('Datos - Catálogo TIMSS'!$I$5:$I$107,MATCH(L745,'Datos - Catálogo TIMSS'!$A$5:$A$107,0)),"No")="Sí"),1,0)</f>
        <v/>
      </c>
      <c r="Y745" s="11">
        <f>IF(IFERROR(INDEX('Datos - Catálogo TIMSS'!$J$5:$J$107,MATCH(K745,'Datos - Catálogo TIMSS'!$A$5:$A$107,0)),"No")="Sí",1,0)</f>
        <v/>
      </c>
      <c r="Z745" s="11">
        <f>IF(IFERROR(INDEX('Datos - Catálogo TIMSS'!$J$5:$J$107,MATCH(L745,'Datos - Catálogo TIMSS'!$A$5:$A$107,0)),"No")="Sí",1,0)</f>
        <v/>
      </c>
      <c r="AA745" s="11" t="inlineStr">
        <is>
          <t>TA-O1.4</t>
        </is>
      </c>
      <c r="AB745" s="11" t="inlineStr"/>
      <c r="AC745" s="11">
        <f>IF(AA745="FUERA","Fuera del marco",IF(AA745="N/A","Sin marco",IFERROR(INDEX('Datos - TIMSS 2023'!$C$5:$C$105,MATCH(AA745,'Datos - TIMSS 2023'!$A$5:$A$105,0)),"Pendiente de clasificar")))</f>
        <v/>
      </c>
      <c r="AD745" s="11" t="inlineStr">
        <is>
          <t>1. Explicar fenómenos científicamente</t>
        </is>
      </c>
      <c r="AE745" s="11">
        <f>IF(AD745="","",IF(LEFT(AD745,1)="1","C1",IF(LEFT(AD745,1)="2","C2",IF(LEFT(AD745,1)="3","C3",""))))</f>
        <v/>
      </c>
      <c r="AF745" s="11" t="inlineStr">
        <is>
          <t>E1</t>
        </is>
      </c>
      <c r="AG745" s="11" t="inlineStr">
        <is>
          <t>D1</t>
        </is>
      </c>
      <c r="AH745" s="11" t="inlineStr">
        <is>
          <t>E2</t>
        </is>
      </c>
      <c r="AI745" s="11" t="inlineStr">
        <is>
          <t>D4</t>
        </is>
      </c>
      <c r="AJ745" s="11" t="inlineStr">
        <is>
          <t>E3</t>
        </is>
      </c>
      <c r="AK745" s="11" t="n"/>
      <c r="AL745" s="11" t="n"/>
      <c r="AM745" s="11" t="n"/>
      <c r="AN745" s="11" t="n"/>
      <c r="AO745" s="11" t="n"/>
      <c r="AP745" s="11" t="n"/>
      <c r="AQ745" s="11" t="n"/>
      <c r="AR745" s="11" t="n"/>
      <c r="AS745" s="11" t="n"/>
      <c r="AT745" s="11" t="n"/>
      <c r="AU745" s="11" t="n"/>
      <c r="AV745" s="11" t="n"/>
      <c r="AW745" s="11">
        <f>AF745&amp;"; "&amp;AG745&amp;"; "&amp;AH745&amp;"; "&amp;AI745&amp;"; "&amp;AJ745</f>
        <v/>
      </c>
    </row>
    <row r="746">
      <c r="A746" s="11" t="inlineStr">
        <is>
          <t>T0282-G10-FÍS</t>
        </is>
      </c>
      <c r="B746" s="11" t="n">
        <v>10</v>
      </c>
      <c r="C746" s="11" t="inlineStr">
        <is>
          <t>Física</t>
        </is>
      </c>
      <c r="D746" s="11" t="inlineStr">
        <is>
          <t>Matriz_Bachillerato_Fisica_10_11.xlsx</t>
        </is>
      </c>
      <c r="E746" s="11" t="inlineStr">
        <is>
          <t>Física 10.°</t>
        </is>
      </c>
      <c r="F746" s="11" t="n">
        <v>122</v>
      </c>
      <c r="G746" s="11" t="inlineStr">
        <is>
          <t>16. Óptica</t>
        </is>
      </c>
      <c r="H746" s="11" t="inlineStr">
        <is>
          <t>Óptica geométrica</t>
        </is>
      </c>
      <c r="I746" s="38" t="inlineStr">
        <is>
          <t>16.11. Determinación de la posición y el tamaño de una imagen formada por refracción y reflexión.</t>
        </is>
      </c>
      <c r="J746" s="11" t="inlineStr">
        <is>
          <t>TA</t>
        </is>
      </c>
      <c r="K746" s="11" t="inlineStr">
        <is>
          <t>TA-O1.4</t>
        </is>
      </c>
      <c r="L746" s="11" t="inlineStr"/>
      <c r="M746" s="11">
        <f>IF(K746="FUERA","Fuera del marco",IF(K746="N/A","Sin marco",IFERROR(INDEX('Datos - Catálogo TIMSS'!$C$5:$C$107,MATCH(K746,'Datos - Catálogo TIMSS'!$A$5:$A$107,0)),"Pendiente de clasificar")))</f>
        <v/>
      </c>
      <c r="N746" s="11">
        <f>IF(K746="FUERA","Fuera del marco",IF(K746="N/A","Sin marco",IFERROR(INDEX('Datos - Catálogo TIMSS'!$F$5:$F$107,MATCH(K746,'Datos - Catálogo TIMSS'!$A$5:$A$107,0)),"Pendiente de clasificar")))</f>
        <v/>
      </c>
      <c r="O746" s="11">
        <f>IF(L746="","",IFERROR(INDEX('Datos - Catálogo TIMSS'!$C$5:$C$107,MATCH(L746,'Datos - Catálogo TIMSS'!$A$5:$A$107,0)),"?"))</f>
        <v/>
      </c>
      <c r="P746" s="11" t="inlineStr">
        <is>
          <t>media</t>
        </is>
      </c>
      <c r="Q746" s="38" t="inlineStr">
        <is>
          <t>Posición y tamaño de imágenes por espejos y lentes</t>
        </is>
      </c>
      <c r="R746" s="38" t="inlineStr">
        <is>
          <t>Aplicar: calcular posición y tamaño de imágenes. Razonar: contrastar cálculo y medición</t>
        </is>
      </c>
      <c r="S746" s="39">
        <f>IFERROR(ISNUMBER(SEARCH("Conocer",$R746))/(ISNUMBER(SEARCH("Conocer",$R746))+ISNUMBER(SEARCH("Aplicar",$R746))+ISNUMBER(SEARCH("Razonar",$R746))),0)</f>
        <v/>
      </c>
      <c r="T746" s="39">
        <f>IFERROR(ISNUMBER(SEARCH("Aplicar",$R746))/(ISNUMBER(SEARCH("Conocer",$R746))+ISNUMBER(SEARCH("Aplicar",$R746))+ISNUMBER(SEARCH("Razonar",$R746))),0)</f>
        <v/>
      </c>
      <c r="U746" s="39">
        <f>IFERROR(ISNUMBER(SEARCH("Razonar",$R746))/(ISNUMBER(SEARCH("Conocer",$R746))+ISNUMBER(SEARCH("Aplicar",$R746))+ISNUMBER(SEARCH("Razonar",$R746))),0)</f>
        <v/>
      </c>
      <c r="V746" s="11" t="inlineStr">
        <is>
          <t>Física 10°</t>
        </is>
      </c>
      <c r="W746" s="11" t="inlineStr">
        <is>
          <t>Física 10°–11°</t>
        </is>
      </c>
      <c r="X746" s="11">
        <f>IF(OR(IFERROR(INDEX('Datos - Catálogo TIMSS'!$I$5:$I$107,MATCH(K746,'Datos - Catálogo TIMSS'!$A$5:$A$107,0)),"No")="Sí",IFERROR(INDEX('Datos - Catálogo TIMSS'!$I$5:$I$107,MATCH(L746,'Datos - Catálogo TIMSS'!$A$5:$A$107,0)),"No")="Sí"),1,0)</f>
        <v/>
      </c>
      <c r="Y746" s="11">
        <f>IF(IFERROR(INDEX('Datos - Catálogo TIMSS'!$J$5:$J$107,MATCH(K746,'Datos - Catálogo TIMSS'!$A$5:$A$107,0)),"No")="Sí",1,0)</f>
        <v/>
      </c>
      <c r="Z746" s="11">
        <f>IF(IFERROR(INDEX('Datos - Catálogo TIMSS'!$J$5:$J$107,MATCH(L746,'Datos - Catálogo TIMSS'!$A$5:$A$107,0)),"No")="Sí",1,0)</f>
        <v/>
      </c>
      <c r="AA746" s="11" t="inlineStr">
        <is>
          <t>TA-O1.4</t>
        </is>
      </c>
      <c r="AB746" s="11" t="inlineStr"/>
      <c r="AC746" s="11">
        <f>IF(AA746="FUERA","Fuera del marco",IF(AA746="N/A","Sin marco",IFERROR(INDEX('Datos - TIMSS 2023'!$C$5:$C$105,MATCH(AA746,'Datos - TIMSS 2023'!$A$5:$A$105,0)),"Pendiente de clasificar")))</f>
        <v/>
      </c>
      <c r="AD746" s="11" t="inlineStr">
        <is>
          <t>2. Construir y evaluar diseños para la indagación científica e interpretar datos y evidencia de forma crítica</t>
        </is>
      </c>
      <c r="AE746" s="11">
        <f>IF(AD746="","",IF(LEFT(AD746,1)="1","C1",IF(LEFT(AD746,1)="2","C2",IF(LEFT(AD746,1)="3","C3",""))))</f>
        <v/>
      </c>
      <c r="AF746" s="11" t="inlineStr">
        <is>
          <t>E1</t>
        </is>
      </c>
      <c r="AG746" s="11" t="inlineStr">
        <is>
          <t>E3</t>
        </is>
      </c>
      <c r="AH746" s="11" t="inlineStr">
        <is>
          <t>E2</t>
        </is>
      </c>
      <c r="AI746" s="11" t="inlineStr">
        <is>
          <t>D4</t>
        </is>
      </c>
      <c r="AJ746" s="11" t="inlineStr">
        <is>
          <t>D3</t>
        </is>
      </c>
      <c r="AK746" s="11" t="n"/>
      <c r="AL746" s="11" t="n"/>
      <c r="AM746" s="11" t="n"/>
      <c r="AN746" s="11" t="n"/>
      <c r="AO746" s="11" t="n"/>
      <c r="AP746" s="11" t="n"/>
      <c r="AQ746" s="11" t="n"/>
      <c r="AR746" s="11" t="n"/>
      <c r="AS746" s="11" t="n"/>
      <c r="AT746" s="11" t="n"/>
      <c r="AU746" s="11" t="n"/>
      <c r="AV746" s="11" t="n"/>
      <c r="AW746" s="11">
        <f>AF746&amp;"; "&amp;AG746&amp;"; "&amp;AH746&amp;"; "&amp;AI746&amp;"; "&amp;AJ746</f>
        <v/>
      </c>
    </row>
    <row r="747">
      <c r="A747" s="11" t="inlineStr">
        <is>
          <t>T0283-G10-FÍS</t>
        </is>
      </c>
      <c r="B747" s="11" t="n">
        <v>10</v>
      </c>
      <c r="C747" s="11" t="inlineStr">
        <is>
          <t>Física</t>
        </is>
      </c>
      <c r="D747" s="11" t="inlineStr">
        <is>
          <t>Matriz_Bachillerato_Fisica_10_11.xlsx</t>
        </is>
      </c>
      <c r="E747" s="11" t="inlineStr">
        <is>
          <t>Física 10.°</t>
        </is>
      </c>
      <c r="F747" s="11" t="n">
        <v>123</v>
      </c>
      <c r="G747" s="11" t="inlineStr">
        <is>
          <t>16. Óptica</t>
        </is>
      </c>
      <c r="H747" s="11" t="inlineStr">
        <is>
          <t>Óptica geométrica</t>
        </is>
      </c>
      <c r="I747" s="38" t="inlineStr">
        <is>
          <t>16.12. Exploración de las aplicaciones tecnológicas de las propiedades de las imágenes.</t>
        </is>
      </c>
      <c r="J747" s="11" t="inlineStr">
        <is>
          <t>TA</t>
        </is>
      </c>
      <c r="K747" s="11" t="inlineStr">
        <is>
          <t>TA-O1.4</t>
        </is>
      </c>
      <c r="L747" s="11" t="inlineStr"/>
      <c r="M747" s="11">
        <f>IF(K747="FUERA","Fuera del marco",IF(K747="N/A","Sin marco",IFERROR(INDEX('Datos - Catálogo TIMSS'!$C$5:$C$107,MATCH(K747,'Datos - Catálogo TIMSS'!$A$5:$A$107,0)),"Pendiente de clasificar")))</f>
        <v/>
      </c>
      <c r="N747" s="11">
        <f>IF(K747="FUERA","Fuera del marco",IF(K747="N/A","Sin marco",IFERROR(INDEX('Datos - Catálogo TIMSS'!$F$5:$F$107,MATCH(K747,'Datos - Catálogo TIMSS'!$A$5:$A$107,0)),"Pendiente de clasificar")))</f>
        <v/>
      </c>
      <c r="O747" s="11">
        <f>IF(L747="","",IFERROR(INDEX('Datos - Catálogo TIMSS'!$C$5:$C$107,MATCH(L747,'Datos - Catálogo TIMSS'!$A$5:$A$107,0)),"?"))</f>
        <v/>
      </c>
      <c r="P747" s="11" t="inlineStr">
        <is>
          <t>baja</t>
        </is>
      </c>
      <c r="Q747" s="38" t="inlineStr">
        <is>
          <t>Aplicaciones tecnológicas de imágenes ópticas</t>
        </is>
      </c>
      <c r="R747" s="38" t="inlineStr">
        <is>
          <t>Aplicar: construir un dispositivo óptico. Razonar: explicar la formación de la imagen</t>
        </is>
      </c>
      <c r="S747" s="39">
        <f>IFERROR(ISNUMBER(SEARCH("Conocer",$R747))/(ISNUMBER(SEARCH("Conocer",$R747))+ISNUMBER(SEARCH("Aplicar",$R747))+ISNUMBER(SEARCH("Razonar",$R747))),0)</f>
        <v/>
      </c>
      <c r="T747" s="39">
        <f>IFERROR(ISNUMBER(SEARCH("Aplicar",$R747))/(ISNUMBER(SEARCH("Conocer",$R747))+ISNUMBER(SEARCH("Aplicar",$R747))+ISNUMBER(SEARCH("Razonar",$R747))),0)</f>
        <v/>
      </c>
      <c r="U747" s="39">
        <f>IFERROR(ISNUMBER(SEARCH("Razonar",$R747))/(ISNUMBER(SEARCH("Conocer",$R747))+ISNUMBER(SEARCH("Aplicar",$R747))+ISNUMBER(SEARCH("Razonar",$R747))),0)</f>
        <v/>
      </c>
      <c r="V747" s="11" t="inlineStr">
        <is>
          <t>Física 10°</t>
        </is>
      </c>
      <c r="W747" s="11" t="inlineStr">
        <is>
          <t>Física 10°–11°</t>
        </is>
      </c>
      <c r="X747" s="11">
        <f>IF(OR(IFERROR(INDEX('Datos - Catálogo TIMSS'!$I$5:$I$107,MATCH(K747,'Datos - Catálogo TIMSS'!$A$5:$A$107,0)),"No")="Sí",IFERROR(INDEX('Datos - Catálogo TIMSS'!$I$5:$I$107,MATCH(L747,'Datos - Catálogo TIMSS'!$A$5:$A$107,0)),"No")="Sí"),1,0)</f>
        <v/>
      </c>
      <c r="Y747" s="11">
        <f>IF(IFERROR(INDEX('Datos - Catálogo TIMSS'!$J$5:$J$107,MATCH(K747,'Datos - Catálogo TIMSS'!$A$5:$A$107,0)),"No")="Sí",1,0)</f>
        <v/>
      </c>
      <c r="Z747" s="11">
        <f>IF(IFERROR(INDEX('Datos - Catálogo TIMSS'!$J$5:$J$107,MATCH(L747,'Datos - Catálogo TIMSS'!$A$5:$A$107,0)),"No")="Sí",1,0)</f>
        <v/>
      </c>
      <c r="AA747" s="11" t="inlineStr">
        <is>
          <t>TA-O1.4</t>
        </is>
      </c>
      <c r="AB747" s="11" t="inlineStr"/>
      <c r="AC747" s="11">
        <f>IF(AA747="FUERA","Fuera del marco",IF(AA747="N/A","Sin marco",IFERROR(INDEX('Datos - TIMSS 2023'!$C$5:$C$105,MATCH(AA747,'Datos - TIMSS 2023'!$A$5:$A$105,0)),"Pendiente de clasificar")))</f>
        <v/>
      </c>
      <c r="AD747" s="11" t="inlineStr">
        <is>
          <t>1. Explicar fenómenos científicamente</t>
        </is>
      </c>
      <c r="AE747" s="11">
        <f>IF(AD747="","",IF(LEFT(AD747,1)="1","C1",IF(LEFT(AD747,1)="2","C2",IF(LEFT(AD747,1)="3","C3",""))))</f>
        <v/>
      </c>
      <c r="AF747" s="11" t="inlineStr">
        <is>
          <t>E6</t>
        </is>
      </c>
      <c r="AG747" s="11" t="inlineStr">
        <is>
          <t>E5</t>
        </is>
      </c>
      <c r="AH747" s="11" t="inlineStr">
        <is>
          <t>E4</t>
        </is>
      </c>
      <c r="AI747" s="11" t="inlineStr">
        <is>
          <t>D2</t>
        </is>
      </c>
      <c r="AJ747" s="11" t="inlineStr">
        <is>
          <t>E6</t>
        </is>
      </c>
      <c r="AK747" s="11" t="n"/>
      <c r="AL747" s="11" t="n"/>
      <c r="AM747" s="11" t="n"/>
      <c r="AN747" s="11" t="n"/>
      <c r="AO747" s="11" t="n"/>
      <c r="AP747" s="11" t="n"/>
      <c r="AQ747" s="11" t="n"/>
      <c r="AR747" s="11" t="n"/>
      <c r="AS747" s="11" t="n"/>
      <c r="AT747" s="11" t="n"/>
      <c r="AU747" s="11" t="n"/>
      <c r="AV747" s="11" t="n"/>
      <c r="AW747" s="11">
        <f>AF747&amp;"; "&amp;AG747&amp;"; "&amp;AH747&amp;"; "&amp;AI747&amp;"; "&amp;AJ747</f>
        <v/>
      </c>
    </row>
    <row r="748">
      <c r="A748" s="11" t="inlineStr">
        <is>
          <t>T0284-G11-FÍS</t>
        </is>
      </c>
      <c r="B748" s="11" t="n">
        <v>11</v>
      </c>
      <c r="C748" s="11" t="inlineStr">
        <is>
          <t>Física</t>
        </is>
      </c>
      <c r="D748" s="11" t="inlineStr">
        <is>
          <t>Matriz_Bachillerato_Fisica_10_11.xlsx</t>
        </is>
      </c>
      <c r="E748" s="11" t="inlineStr">
        <is>
          <t>Física 11.°</t>
        </is>
      </c>
      <c r="F748" s="11" t="n">
        <v>3</v>
      </c>
      <c r="G748" s="11" t="inlineStr">
        <is>
          <t>1. Movimiento armónico simple</t>
        </is>
      </c>
      <c r="H748" s="11" t="inlineStr">
        <is>
          <t>El oscilador masa-resorte</t>
        </is>
      </c>
      <c r="I748" s="38" t="inlineStr">
        <is>
          <t>1.1. Determinación experimental de la constante elástica de un resorte a partir de la gráfica fuerza-elongación.</t>
        </is>
      </c>
      <c r="J748" s="11" t="inlineStr">
        <is>
          <t>TA</t>
        </is>
      </c>
      <c r="K748" s="11" t="inlineStr">
        <is>
          <t>TA-M1.2</t>
        </is>
      </c>
      <c r="L748" s="11" t="inlineStr"/>
      <c r="M748" s="11">
        <f>IF(K748="FUERA","Fuera del marco",IF(K748="N/A","Sin marco",IFERROR(INDEX('Datos - Catálogo TIMSS'!$C$5:$C$107,MATCH(K748,'Datos - Catálogo TIMSS'!$A$5:$A$107,0)),"Pendiente de clasificar")))</f>
        <v/>
      </c>
      <c r="N748" s="11">
        <f>IF(K748="FUERA","Fuera del marco",IF(K748="N/A","Sin marco",IFERROR(INDEX('Datos - Catálogo TIMSS'!$F$5:$F$107,MATCH(K748,'Datos - Catálogo TIMSS'!$A$5:$A$107,0)),"Pendiente de clasificar")))</f>
        <v/>
      </c>
      <c r="O748" s="11">
        <f>IF(L748="","",IFERROR(INDEX('Datos - Catálogo TIMSS'!$C$5:$C$107,MATCH(L748,'Datos - Catálogo TIMSS'!$A$5:$A$107,0)),"?"))</f>
        <v/>
      </c>
      <c r="P748" s="11" t="inlineStr">
        <is>
          <t>media</t>
        </is>
      </c>
      <c r="Q748" s="38" t="inlineStr">
        <is>
          <t>Ley de Hooke: fuerza elástica y su efecto en un resorte</t>
        </is>
      </c>
      <c r="R748" s="38" t="inlineStr">
        <is>
          <t>Aplicar: medir, graficar y calcular la pendiente. Razonar: evaluar el modelo de resorte ideal</t>
        </is>
      </c>
      <c r="S748" s="39">
        <f>IFERROR(ISNUMBER(SEARCH("Conocer",$R748))/(ISNUMBER(SEARCH("Conocer",$R748))+ISNUMBER(SEARCH("Aplicar",$R748))+ISNUMBER(SEARCH("Razonar",$R748))),0)</f>
        <v/>
      </c>
      <c r="T748" s="39">
        <f>IFERROR(ISNUMBER(SEARCH("Aplicar",$R748))/(ISNUMBER(SEARCH("Conocer",$R748))+ISNUMBER(SEARCH("Aplicar",$R748))+ISNUMBER(SEARCH("Razonar",$R748))),0)</f>
        <v/>
      </c>
      <c r="U748" s="39">
        <f>IFERROR(ISNUMBER(SEARCH("Razonar",$R748))/(ISNUMBER(SEARCH("Conocer",$R748))+ISNUMBER(SEARCH("Aplicar",$R748))+ISNUMBER(SEARCH("Razonar",$R748))),0)</f>
        <v/>
      </c>
      <c r="V748" s="11" t="inlineStr">
        <is>
          <t>Física 11°</t>
        </is>
      </c>
      <c r="W748" s="11" t="inlineStr">
        <is>
          <t>Física 10°–11°</t>
        </is>
      </c>
      <c r="X748" s="11">
        <f>IF(OR(IFERROR(INDEX('Datos - Catálogo TIMSS'!$I$5:$I$107,MATCH(K748,'Datos - Catálogo TIMSS'!$A$5:$A$107,0)),"No")="Sí",IFERROR(INDEX('Datos - Catálogo TIMSS'!$I$5:$I$107,MATCH(L748,'Datos - Catálogo TIMSS'!$A$5:$A$107,0)),"No")="Sí"),1,0)</f>
        <v/>
      </c>
      <c r="Y748" s="11">
        <f>IF(IFERROR(INDEX('Datos - Catálogo TIMSS'!$J$5:$J$107,MATCH(K748,'Datos - Catálogo TIMSS'!$A$5:$A$107,0)),"No")="Sí",1,0)</f>
        <v/>
      </c>
      <c r="Z748" s="11">
        <f>IF(IFERROR(INDEX('Datos - Catálogo TIMSS'!$J$5:$J$107,MATCH(L748,'Datos - Catálogo TIMSS'!$A$5:$A$107,0)),"No")="Sí",1,0)</f>
        <v/>
      </c>
      <c r="AA748" s="11" t="inlineStr">
        <is>
          <t>TA-M1.2</t>
        </is>
      </c>
      <c r="AB748" s="11" t="inlineStr"/>
      <c r="AC748" s="11">
        <f>IF(AA748="FUERA","Fuera del marco",IF(AA748="N/A","Sin marco",IFERROR(INDEX('Datos - TIMSS 2023'!$C$5:$C$105,MATCH(AA748,'Datos - TIMSS 2023'!$A$5:$A$105,0)),"Pendiente de clasificar")))</f>
        <v/>
      </c>
      <c r="AD748" s="11" t="inlineStr">
        <is>
          <t>1. Explicar fenómenos científicamente</t>
        </is>
      </c>
      <c r="AE748" s="11">
        <f>IF(AD748="","",IF(LEFT(AD748,1)="1","C1",IF(LEFT(AD748,1)="2","C2",IF(LEFT(AD748,1)="3","C3",""))))</f>
        <v/>
      </c>
      <c r="AF748" s="11" t="inlineStr">
        <is>
          <t>E1</t>
        </is>
      </c>
      <c r="AG748" s="11" t="inlineStr">
        <is>
          <t>E3</t>
        </is>
      </c>
      <c r="AH748" s="11" t="inlineStr">
        <is>
          <t>E2</t>
        </is>
      </c>
      <c r="AI748" s="11" t="inlineStr">
        <is>
          <t>D4</t>
        </is>
      </c>
      <c r="AJ748" s="11" t="inlineStr">
        <is>
          <t>E3</t>
        </is>
      </c>
      <c r="AK748" s="11" t="n"/>
      <c r="AL748" s="11" t="n"/>
      <c r="AM748" s="11" t="n"/>
      <c r="AN748" s="11" t="n"/>
      <c r="AO748" s="11" t="n"/>
      <c r="AP748" s="11" t="n"/>
      <c r="AQ748" s="11" t="n"/>
      <c r="AR748" s="11" t="n"/>
      <c r="AS748" s="11" t="n"/>
      <c r="AT748" s="11" t="n"/>
      <c r="AU748" s="11" t="n"/>
      <c r="AV748" s="11" t="n"/>
      <c r="AW748" s="11">
        <f>AF748&amp;"; "&amp;AG748&amp;"; "&amp;AH748&amp;"; "&amp;AI748&amp;"; "&amp;AJ748</f>
        <v/>
      </c>
    </row>
    <row r="749">
      <c r="A749" s="11" t="inlineStr">
        <is>
          <t>T0285-G11-FÍS</t>
        </is>
      </c>
      <c r="B749" s="11" t="n">
        <v>11</v>
      </c>
      <c r="C749" s="11" t="inlineStr">
        <is>
          <t>Física</t>
        </is>
      </c>
      <c r="D749" s="11" t="inlineStr">
        <is>
          <t>Matriz_Bachillerato_Fisica_10_11.xlsx</t>
        </is>
      </c>
      <c r="E749" s="11" t="inlineStr">
        <is>
          <t>Física 11.°</t>
        </is>
      </c>
      <c r="F749" s="11" t="n">
        <v>4</v>
      </c>
      <c r="G749" s="11" t="inlineStr">
        <is>
          <t>1. Movimiento armónico simple</t>
        </is>
      </c>
      <c r="H749" s="11" t="inlineStr">
        <is>
          <t>El oscilador masa-resorte</t>
        </is>
      </c>
      <c r="I749" s="38" t="inlineStr">
        <is>
          <t>1.2. Representación del movimiento armónico simple como la proyección de un movimiento circular uniforme sobre un eje.</t>
        </is>
      </c>
      <c r="J749" s="11" t="inlineStr">
        <is>
          <t>TA</t>
        </is>
      </c>
      <c r="K749" s="11" t="inlineStr">
        <is>
          <t>FUERA</t>
        </is>
      </c>
      <c r="L749" s="11" t="inlineStr"/>
      <c r="M749" s="11">
        <f>IF(K749="FUERA","Fuera del marco",IF(K749="N/A","Sin marco",IFERROR(INDEX('Datos - Catálogo TIMSS'!$C$5:$C$107,MATCH(K749,'Datos - Catálogo TIMSS'!$A$5:$A$107,0)),"Pendiente de clasificar")))</f>
        <v/>
      </c>
      <c r="N749" s="11">
        <f>IF(K749="FUERA","Fuera del marco",IF(K749="N/A","Sin marco",IFERROR(INDEX('Datos - Catálogo TIMSS'!$F$5:$F$107,MATCH(K749,'Datos - Catálogo TIMSS'!$A$5:$A$107,0)),"Pendiente de clasificar")))</f>
        <v/>
      </c>
      <c r="O749" s="11">
        <f>IF(L749="","",IFERROR(INDEX('Datos - Catálogo TIMSS'!$C$5:$C$107,MATCH(L749,'Datos - Catálogo TIMSS'!$A$5:$A$107,0)),"?"))</f>
        <v/>
      </c>
      <c r="P749" s="11" t="inlineStr">
        <is>
          <t>media</t>
        </is>
      </c>
      <c r="Q749" s="38" t="inlineStr">
        <is>
          <t>Cinemática del MAS por círculo de referencia; MAS fuera del marco</t>
        </is>
      </c>
      <c r="R749" s="38" t="inlineStr">
        <is>
          <t>Aplicar: representar funciones sinusoidales. Razonar: relacionar movimiento circular y oscilatorio</t>
        </is>
      </c>
      <c r="S749" s="39">
        <f>IFERROR(ISNUMBER(SEARCH("Conocer",$R749))/(ISNUMBER(SEARCH("Conocer",$R749))+ISNUMBER(SEARCH("Aplicar",$R749))+ISNUMBER(SEARCH("Razonar",$R749))),0)</f>
        <v/>
      </c>
      <c r="T749" s="39">
        <f>IFERROR(ISNUMBER(SEARCH("Aplicar",$R749))/(ISNUMBER(SEARCH("Conocer",$R749))+ISNUMBER(SEARCH("Aplicar",$R749))+ISNUMBER(SEARCH("Razonar",$R749))),0)</f>
        <v/>
      </c>
      <c r="U749" s="39">
        <f>IFERROR(ISNUMBER(SEARCH("Razonar",$R749))/(ISNUMBER(SEARCH("Conocer",$R749))+ISNUMBER(SEARCH("Aplicar",$R749))+ISNUMBER(SEARCH("Razonar",$R749))),0)</f>
        <v/>
      </c>
      <c r="V749" s="11" t="inlineStr">
        <is>
          <t>Física 11°</t>
        </is>
      </c>
      <c r="W749" s="11" t="inlineStr">
        <is>
          <t>Física 10°–11°</t>
        </is>
      </c>
      <c r="X749" s="11">
        <f>IF(OR(IFERROR(INDEX('Datos - Catálogo TIMSS'!$I$5:$I$107,MATCH(K749,'Datos - Catálogo TIMSS'!$A$5:$A$107,0)),"No")="Sí",IFERROR(INDEX('Datos - Catálogo TIMSS'!$I$5:$I$107,MATCH(L749,'Datos - Catálogo TIMSS'!$A$5:$A$107,0)),"No")="Sí"),1,0)</f>
        <v/>
      </c>
      <c r="Y749" s="11">
        <f>IF(IFERROR(INDEX('Datos - Catálogo TIMSS'!$J$5:$J$107,MATCH(K749,'Datos - Catálogo TIMSS'!$A$5:$A$107,0)),"No")="Sí",1,0)</f>
        <v/>
      </c>
      <c r="Z749" s="11">
        <f>IF(IFERROR(INDEX('Datos - Catálogo TIMSS'!$J$5:$J$107,MATCH(L749,'Datos - Catálogo TIMSS'!$A$5:$A$107,0)),"No")="Sí",1,0)</f>
        <v/>
      </c>
      <c r="AA749" s="11" t="inlineStr">
        <is>
          <t>FUERA</t>
        </is>
      </c>
      <c r="AB749" s="11" t="inlineStr"/>
      <c r="AC749" s="11">
        <f>IF(AA749="FUERA","Fuera del marco",IF(AA749="N/A","Sin marco",IFERROR(INDEX('Datos - TIMSS 2023'!$C$5:$C$105,MATCH(AA749,'Datos - TIMSS 2023'!$A$5:$A$105,0)),"Pendiente de clasificar")))</f>
        <v/>
      </c>
      <c r="AD749" s="11" t="inlineStr">
        <is>
          <t>1. Explicar fenómenos científicamente</t>
        </is>
      </c>
      <c r="AE749" s="11">
        <f>IF(AD749="","",IF(LEFT(AD749,1)="1","C1",IF(LEFT(AD749,1)="2","C2",IF(LEFT(AD749,1)="3","C3",""))))</f>
        <v/>
      </c>
      <c r="AF749" s="11" t="inlineStr">
        <is>
          <t>E1</t>
        </is>
      </c>
      <c r="AG749" s="11" t="inlineStr">
        <is>
          <t>D1</t>
        </is>
      </c>
      <c r="AH749" s="11" t="inlineStr">
        <is>
          <t>E2</t>
        </is>
      </c>
      <c r="AI749" s="11" t="inlineStr">
        <is>
          <t>E4</t>
        </is>
      </c>
      <c r="AJ749" s="11" t="inlineStr">
        <is>
          <t>E3</t>
        </is>
      </c>
      <c r="AK749" s="11" t="n"/>
      <c r="AL749" s="11" t="n"/>
      <c r="AM749" s="11" t="n"/>
      <c r="AN749" s="11" t="n"/>
      <c r="AO749" s="11" t="n"/>
      <c r="AP749" s="11" t="n"/>
      <c r="AQ749" s="11" t="n"/>
      <c r="AR749" s="11" t="n"/>
      <c r="AS749" s="11" t="n"/>
      <c r="AT749" s="11" t="n"/>
      <c r="AU749" s="11" t="n"/>
      <c r="AV749" s="11" t="n"/>
      <c r="AW749" s="11">
        <f>AF749&amp;"; "&amp;AG749&amp;"; "&amp;AH749&amp;"; "&amp;AI749&amp;"; "&amp;AJ749</f>
        <v/>
      </c>
    </row>
    <row r="750">
      <c r="A750" s="11" t="inlineStr">
        <is>
          <t>T0286-G11-FÍS</t>
        </is>
      </c>
      <c r="B750" s="11" t="n">
        <v>11</v>
      </c>
      <c r="C750" s="11" t="inlineStr">
        <is>
          <t>Física</t>
        </is>
      </c>
      <c r="D750" s="11" t="inlineStr">
        <is>
          <t>Matriz_Bachillerato_Fisica_10_11.xlsx</t>
        </is>
      </c>
      <c r="E750" s="11" t="inlineStr">
        <is>
          <t>Física 11.°</t>
        </is>
      </c>
      <c r="F750" s="11" t="n">
        <v>5</v>
      </c>
      <c r="G750" s="11" t="inlineStr">
        <is>
          <t>1. Movimiento armónico simple</t>
        </is>
      </c>
      <c r="H750" s="11" t="inlineStr">
        <is>
          <t>Energía en las oscilaciones</t>
        </is>
      </c>
      <c r="I750" s="38" t="inlineStr">
        <is>
          <t>1.3. Cálculo de las energías potencial elástica, cinética y mecánica de un oscilador armónico en distintas posiciones.</t>
        </is>
      </c>
      <c r="J750" s="11" t="inlineStr">
        <is>
          <t>TA</t>
        </is>
      </c>
      <c r="K750" s="11" t="inlineStr">
        <is>
          <t>TA-M2.1</t>
        </is>
      </c>
      <c r="L750" s="11" t="inlineStr"/>
      <c r="M750" s="11">
        <f>IF(K750="FUERA","Fuera del marco",IF(K750="N/A","Sin marco",IFERROR(INDEX('Datos - Catálogo TIMSS'!$C$5:$C$107,MATCH(K750,'Datos - Catálogo TIMSS'!$A$5:$A$107,0)),"Pendiente de clasificar")))</f>
        <v/>
      </c>
      <c r="N750" s="11">
        <f>IF(K750="FUERA","Fuera del marco",IF(K750="N/A","Sin marco",IFERROR(INDEX('Datos - Catálogo TIMSS'!$F$5:$F$107,MATCH(K750,'Datos - Catálogo TIMSS'!$A$5:$A$107,0)),"Pendiente de clasificar")))</f>
        <v/>
      </c>
      <c r="O750" s="11">
        <f>IF(L750="","",IFERROR(INDEX('Datos - Catálogo TIMSS'!$C$5:$C$107,MATCH(L750,'Datos - Catálogo TIMSS'!$A$5:$A$107,0)),"?"))</f>
        <v/>
      </c>
      <c r="P750" s="11" t="inlineStr">
        <is>
          <t>alta</t>
        </is>
      </c>
      <c r="Q750" s="38" t="inlineStr">
        <is>
          <t>Conservación de energía mecánica en oscilador masa-resorte</t>
        </is>
      </c>
      <c r="R750" s="38" t="inlineStr">
        <is>
          <t>Aplicar: calcular energías. Razonar: justificar la conservación de la energía mecánica</t>
        </is>
      </c>
      <c r="S750" s="39">
        <f>IFERROR(ISNUMBER(SEARCH("Conocer",$R750))/(ISNUMBER(SEARCH("Conocer",$R750))+ISNUMBER(SEARCH("Aplicar",$R750))+ISNUMBER(SEARCH("Razonar",$R750))),0)</f>
        <v/>
      </c>
      <c r="T750" s="39">
        <f>IFERROR(ISNUMBER(SEARCH("Aplicar",$R750))/(ISNUMBER(SEARCH("Conocer",$R750))+ISNUMBER(SEARCH("Aplicar",$R750))+ISNUMBER(SEARCH("Razonar",$R750))),0)</f>
        <v/>
      </c>
      <c r="U750" s="39">
        <f>IFERROR(ISNUMBER(SEARCH("Razonar",$R750))/(ISNUMBER(SEARCH("Conocer",$R750))+ISNUMBER(SEARCH("Aplicar",$R750))+ISNUMBER(SEARCH("Razonar",$R750))),0)</f>
        <v/>
      </c>
      <c r="V750" s="11" t="inlineStr">
        <is>
          <t>Física 11°</t>
        </is>
      </c>
      <c r="W750" s="11" t="inlineStr">
        <is>
          <t>Física 10°–11°</t>
        </is>
      </c>
      <c r="X750" s="11">
        <f>IF(OR(IFERROR(INDEX('Datos - Catálogo TIMSS'!$I$5:$I$107,MATCH(K750,'Datos - Catálogo TIMSS'!$A$5:$A$107,0)),"No")="Sí",IFERROR(INDEX('Datos - Catálogo TIMSS'!$I$5:$I$107,MATCH(L750,'Datos - Catálogo TIMSS'!$A$5:$A$107,0)),"No")="Sí"),1,0)</f>
        <v/>
      </c>
      <c r="Y750" s="11">
        <f>IF(IFERROR(INDEX('Datos - Catálogo TIMSS'!$J$5:$J$107,MATCH(K750,'Datos - Catálogo TIMSS'!$A$5:$A$107,0)),"No")="Sí",1,0)</f>
        <v/>
      </c>
      <c r="Z750" s="11">
        <f>IF(IFERROR(INDEX('Datos - Catálogo TIMSS'!$J$5:$J$107,MATCH(L750,'Datos - Catálogo TIMSS'!$A$5:$A$107,0)),"No")="Sí",1,0)</f>
        <v/>
      </c>
      <c r="AA750" s="11" t="inlineStr">
        <is>
          <t>TA-M2.1</t>
        </is>
      </c>
      <c r="AB750" s="11" t="inlineStr"/>
      <c r="AC750" s="11">
        <f>IF(AA750="FUERA","Fuera del marco",IF(AA750="N/A","Sin marco",IFERROR(INDEX('Datos - TIMSS 2023'!$C$5:$C$105,MATCH(AA750,'Datos - TIMSS 2023'!$A$5:$A$105,0)),"Pendiente de clasificar")))</f>
        <v/>
      </c>
      <c r="AD750" s="11" t="inlineStr">
        <is>
          <t>1. Explicar fenómenos científicamente</t>
        </is>
      </c>
      <c r="AE750" s="11">
        <f>IF(AD750="","",IF(LEFT(AD750,1)="1","C1",IF(LEFT(AD750,1)="2","C2",IF(LEFT(AD750,1)="3","C3",""))))</f>
        <v/>
      </c>
      <c r="AF750" s="11" t="inlineStr">
        <is>
          <t>E1</t>
        </is>
      </c>
      <c r="AG750" s="11" t="inlineStr">
        <is>
          <t>E5</t>
        </is>
      </c>
      <c r="AH750" s="11" t="inlineStr">
        <is>
          <t>E1</t>
        </is>
      </c>
      <c r="AI750" s="11" t="inlineStr">
        <is>
          <t>D4</t>
        </is>
      </c>
      <c r="AJ750" s="11" t="inlineStr">
        <is>
          <t>E6</t>
        </is>
      </c>
      <c r="AK750" s="11" t="n"/>
      <c r="AL750" s="11" t="n"/>
      <c r="AM750" s="11" t="n"/>
      <c r="AN750" s="11" t="n"/>
      <c r="AO750" s="11" t="n"/>
      <c r="AP750" s="11" t="n"/>
      <c r="AQ750" s="11" t="n"/>
      <c r="AR750" s="11" t="n"/>
      <c r="AS750" s="11" t="n"/>
      <c r="AT750" s="11" t="n"/>
      <c r="AU750" s="11" t="n"/>
      <c r="AV750" s="11" t="n"/>
      <c r="AW750" s="11">
        <f>AF750&amp;"; "&amp;AG750&amp;"; "&amp;AH750&amp;"; "&amp;AI750&amp;"; "&amp;AJ750</f>
        <v/>
      </c>
    </row>
    <row r="751">
      <c r="A751" s="11" t="inlineStr">
        <is>
          <t>T0287-G11-FÍS</t>
        </is>
      </c>
      <c r="B751" s="11" t="n">
        <v>11</v>
      </c>
      <c r="C751" s="11" t="inlineStr">
        <is>
          <t>Física</t>
        </is>
      </c>
      <c r="D751" s="11" t="inlineStr">
        <is>
          <t>Matriz_Bachillerato_Fisica_10_11.xlsx</t>
        </is>
      </c>
      <c r="E751" s="11" t="inlineStr">
        <is>
          <t>Física 11.°</t>
        </is>
      </c>
      <c r="F751" s="11" t="n">
        <v>6</v>
      </c>
      <c r="G751" s="11" t="inlineStr">
        <is>
          <t>1. Movimiento armónico simple</t>
        </is>
      </c>
      <c r="H751" s="11" t="inlineStr">
        <is>
          <t>El péndulo simple</t>
        </is>
      </c>
      <c r="I751" s="38" t="inlineStr">
        <is>
          <t>1.4. Determinación del valor local de la aceleración de la gravedad mediante el período de un péndulo simple.</t>
        </is>
      </c>
      <c r="J751" s="11" t="inlineStr">
        <is>
          <t>TA</t>
        </is>
      </c>
      <c r="K751" s="11" t="inlineStr">
        <is>
          <t>FUERA</t>
        </is>
      </c>
      <c r="L751" s="11" t="inlineStr"/>
      <c r="M751" s="11">
        <f>IF(K751="FUERA","Fuera del marco",IF(K751="N/A","Sin marco",IFERROR(INDEX('Datos - Catálogo TIMSS'!$C$5:$C$107,MATCH(K751,'Datos - Catálogo TIMSS'!$A$5:$A$107,0)),"Pendiente de clasificar")))</f>
        <v/>
      </c>
      <c r="N751" s="11">
        <f>IF(K751="FUERA","Fuera del marco",IF(K751="N/A","Sin marco",IFERROR(INDEX('Datos - Catálogo TIMSS'!$F$5:$F$107,MATCH(K751,'Datos - Catálogo TIMSS'!$A$5:$A$107,0)),"Pendiente de clasificar")))</f>
        <v/>
      </c>
      <c r="O751" s="11">
        <f>IF(L751="","",IFERROR(INDEX('Datos - Catálogo TIMSS'!$C$5:$C$107,MATCH(L751,'Datos - Catálogo TIMSS'!$A$5:$A$107,0)),"?"))</f>
        <v/>
      </c>
      <c r="P751" s="11" t="inlineStr">
        <is>
          <t>baja</t>
        </is>
      </c>
      <c r="Q751" s="38" t="inlineStr">
        <is>
          <t>Péndulo simple (MAS) para medir g; no hay objetivo de oscilaciones</t>
        </is>
      </c>
      <c r="R751" s="38" t="inlineStr">
        <is>
          <t>Aplicar: linealizar y calcular. Razonar: evaluar incertidumbres y supuestos del modelo</t>
        </is>
      </c>
      <c r="S751" s="39">
        <f>IFERROR(ISNUMBER(SEARCH("Conocer",$R751))/(ISNUMBER(SEARCH("Conocer",$R751))+ISNUMBER(SEARCH("Aplicar",$R751))+ISNUMBER(SEARCH("Razonar",$R751))),0)</f>
        <v/>
      </c>
      <c r="T751" s="39">
        <f>IFERROR(ISNUMBER(SEARCH("Aplicar",$R751))/(ISNUMBER(SEARCH("Conocer",$R751))+ISNUMBER(SEARCH("Aplicar",$R751))+ISNUMBER(SEARCH("Razonar",$R751))),0)</f>
        <v/>
      </c>
      <c r="U751" s="39">
        <f>IFERROR(ISNUMBER(SEARCH("Razonar",$R751))/(ISNUMBER(SEARCH("Conocer",$R751))+ISNUMBER(SEARCH("Aplicar",$R751))+ISNUMBER(SEARCH("Razonar",$R751))),0)</f>
        <v/>
      </c>
      <c r="V751" s="11" t="inlineStr">
        <is>
          <t>Física 11°</t>
        </is>
      </c>
      <c r="W751" s="11" t="inlineStr">
        <is>
          <t>Física 10°–11°</t>
        </is>
      </c>
      <c r="X751" s="11">
        <f>IF(OR(IFERROR(INDEX('Datos - Catálogo TIMSS'!$I$5:$I$107,MATCH(K751,'Datos - Catálogo TIMSS'!$A$5:$A$107,0)),"No")="Sí",IFERROR(INDEX('Datos - Catálogo TIMSS'!$I$5:$I$107,MATCH(L751,'Datos - Catálogo TIMSS'!$A$5:$A$107,0)),"No")="Sí"),1,0)</f>
        <v/>
      </c>
      <c r="Y751" s="11">
        <f>IF(IFERROR(INDEX('Datos - Catálogo TIMSS'!$J$5:$J$107,MATCH(K751,'Datos - Catálogo TIMSS'!$A$5:$A$107,0)),"No")="Sí",1,0)</f>
        <v/>
      </c>
      <c r="Z751" s="11">
        <f>IF(IFERROR(INDEX('Datos - Catálogo TIMSS'!$J$5:$J$107,MATCH(L751,'Datos - Catálogo TIMSS'!$A$5:$A$107,0)),"No")="Sí",1,0)</f>
        <v/>
      </c>
      <c r="AA751" s="11" t="inlineStr">
        <is>
          <t>FUERA</t>
        </is>
      </c>
      <c r="AB751" s="11" t="inlineStr"/>
      <c r="AC751" s="11">
        <f>IF(AA751="FUERA","Fuera del marco",IF(AA751="N/A","Sin marco",IFERROR(INDEX('Datos - TIMSS 2023'!$C$5:$C$105,MATCH(AA751,'Datos - TIMSS 2023'!$A$5:$A$105,0)),"Pendiente de clasificar")))</f>
        <v/>
      </c>
      <c r="AD751" s="11" t="inlineStr">
        <is>
          <t>2. Construir y evaluar diseños para la indagación científica e interpretar datos y evidencia de forma crítica</t>
        </is>
      </c>
      <c r="AE751" s="11">
        <f>IF(AD751="","",IF(LEFT(AD751,1)="1","C1",IF(LEFT(AD751,1)="2","C2",IF(LEFT(AD751,1)="3","C3",""))))</f>
        <v/>
      </c>
      <c r="AF751" s="11" t="inlineStr">
        <is>
          <t>E1</t>
        </is>
      </c>
      <c r="AG751" s="11" t="inlineStr">
        <is>
          <t>D1</t>
        </is>
      </c>
      <c r="AH751" s="11" t="inlineStr">
        <is>
          <t>E2</t>
        </is>
      </c>
      <c r="AI751" s="11" t="inlineStr">
        <is>
          <t>D2</t>
        </is>
      </c>
      <c r="AJ751" s="11" t="inlineStr">
        <is>
          <t>D3</t>
        </is>
      </c>
      <c r="AK751" s="11" t="n"/>
      <c r="AL751" s="11" t="n"/>
      <c r="AM751" s="11" t="n"/>
      <c r="AN751" s="11" t="n"/>
      <c r="AO751" s="11" t="n"/>
      <c r="AP751" s="11" t="n"/>
      <c r="AQ751" s="11" t="n"/>
      <c r="AR751" s="11" t="n"/>
      <c r="AS751" s="11" t="n"/>
      <c r="AT751" s="11" t="n"/>
      <c r="AU751" s="11" t="n"/>
      <c r="AV751" s="11" t="n"/>
      <c r="AW751" s="11">
        <f>AF751&amp;"; "&amp;AG751&amp;"; "&amp;AH751&amp;"; "&amp;AI751&amp;"; "&amp;AJ751</f>
        <v/>
      </c>
    </row>
    <row r="752">
      <c r="A752" s="11" t="inlineStr">
        <is>
          <t>T0288-G11-FÍS</t>
        </is>
      </c>
      <c r="B752" s="11" t="n">
        <v>11</v>
      </c>
      <c r="C752" s="11" t="inlineStr">
        <is>
          <t>Física</t>
        </is>
      </c>
      <c r="D752" s="11" t="inlineStr">
        <is>
          <t>Matriz_Bachillerato_Fisica_10_11.xlsx</t>
        </is>
      </c>
      <c r="E752" s="11" t="inlineStr">
        <is>
          <t>Física 11.°</t>
        </is>
      </c>
      <c r="F752" s="11" t="n">
        <v>7</v>
      </c>
      <c r="G752" s="11" t="inlineStr">
        <is>
          <t>1. Movimiento armónico simple</t>
        </is>
      </c>
      <c r="H752" s="11" t="inlineStr">
        <is>
          <t>Oscilaciones reales</t>
        </is>
      </c>
      <c r="I752" s="38" t="inlineStr">
        <is>
          <t>1.5. Análisis gráfico del decaimiento de la amplitud en un oscilador amortiguado.</t>
        </is>
      </c>
      <c r="J752" s="11" t="inlineStr">
        <is>
          <t>TA</t>
        </is>
      </c>
      <c r="K752" s="11" t="inlineStr">
        <is>
          <t>FUERA</t>
        </is>
      </c>
      <c r="L752" s="11" t="inlineStr"/>
      <c r="M752" s="11">
        <f>IF(K752="FUERA","Fuera del marco",IF(K752="N/A","Sin marco",IFERROR(INDEX('Datos - Catálogo TIMSS'!$C$5:$C$107,MATCH(K752,'Datos - Catálogo TIMSS'!$A$5:$A$107,0)),"Pendiente de clasificar")))</f>
        <v/>
      </c>
      <c r="N752" s="11">
        <f>IF(K752="FUERA","Fuera del marco",IF(K752="N/A","Sin marco",IFERROR(INDEX('Datos - Catálogo TIMSS'!$F$5:$F$107,MATCH(K752,'Datos - Catálogo TIMSS'!$A$5:$A$107,0)),"Pendiente de clasificar")))</f>
        <v/>
      </c>
      <c r="O752" s="11">
        <f>IF(L752="","",IFERROR(INDEX('Datos - Catálogo TIMSS'!$C$5:$C$107,MATCH(L752,'Datos - Catálogo TIMSS'!$A$5:$A$107,0)),"?"))</f>
        <v/>
      </c>
      <c r="P752" s="11" t="inlineStr">
        <is>
          <t>alta</t>
        </is>
      </c>
      <c r="Q752" s="38" t="inlineStr">
        <is>
          <t>Oscilaciones amortiguadas no figuran en el marco</t>
        </is>
      </c>
      <c r="R752" s="38" t="inlineStr">
        <is>
          <t>Aplicar: ajustar una función exponencial. Razonar: comparar modelos de oscilación</t>
        </is>
      </c>
      <c r="S752" s="39">
        <f>IFERROR(ISNUMBER(SEARCH("Conocer",$R752))/(ISNUMBER(SEARCH("Conocer",$R752))+ISNUMBER(SEARCH("Aplicar",$R752))+ISNUMBER(SEARCH("Razonar",$R752))),0)</f>
        <v/>
      </c>
      <c r="T752" s="39">
        <f>IFERROR(ISNUMBER(SEARCH("Aplicar",$R752))/(ISNUMBER(SEARCH("Conocer",$R752))+ISNUMBER(SEARCH("Aplicar",$R752))+ISNUMBER(SEARCH("Razonar",$R752))),0)</f>
        <v/>
      </c>
      <c r="U752" s="39">
        <f>IFERROR(ISNUMBER(SEARCH("Razonar",$R752))/(ISNUMBER(SEARCH("Conocer",$R752))+ISNUMBER(SEARCH("Aplicar",$R752))+ISNUMBER(SEARCH("Razonar",$R752))),0)</f>
        <v/>
      </c>
      <c r="V752" s="11" t="inlineStr">
        <is>
          <t>Física 11°</t>
        </is>
      </c>
      <c r="W752" s="11" t="inlineStr">
        <is>
          <t>Física 10°–11°</t>
        </is>
      </c>
      <c r="X752" s="11">
        <f>IF(OR(IFERROR(INDEX('Datos - Catálogo TIMSS'!$I$5:$I$107,MATCH(K752,'Datos - Catálogo TIMSS'!$A$5:$A$107,0)),"No")="Sí",IFERROR(INDEX('Datos - Catálogo TIMSS'!$I$5:$I$107,MATCH(L752,'Datos - Catálogo TIMSS'!$A$5:$A$107,0)),"No")="Sí"),1,0)</f>
        <v/>
      </c>
      <c r="Y752" s="11">
        <f>IF(IFERROR(INDEX('Datos - Catálogo TIMSS'!$J$5:$J$107,MATCH(K752,'Datos - Catálogo TIMSS'!$A$5:$A$107,0)),"No")="Sí",1,0)</f>
        <v/>
      </c>
      <c r="Z752" s="11">
        <f>IF(IFERROR(INDEX('Datos - Catálogo TIMSS'!$J$5:$J$107,MATCH(L752,'Datos - Catálogo TIMSS'!$A$5:$A$107,0)),"No")="Sí",1,0)</f>
        <v/>
      </c>
      <c r="AA752" s="11" t="inlineStr">
        <is>
          <t>FUERA</t>
        </is>
      </c>
      <c r="AB752" s="11" t="inlineStr"/>
      <c r="AC752" s="11">
        <f>IF(AA752="FUERA","Fuera del marco",IF(AA752="N/A","Sin marco",IFERROR(INDEX('Datos - TIMSS 2023'!$C$5:$C$105,MATCH(AA752,'Datos - TIMSS 2023'!$A$5:$A$105,0)),"Pendiente de clasificar")))</f>
        <v/>
      </c>
      <c r="AD752" s="11" t="inlineStr">
        <is>
          <t>2. Construir y evaluar diseños para la indagación científica e interpretar datos y evidencia de forma crítica</t>
        </is>
      </c>
      <c r="AE752" s="11">
        <f>IF(AD752="","",IF(LEFT(AD752,1)="1","C1",IF(LEFT(AD752,1)="2","C2",IF(LEFT(AD752,1)="3","C3",""))))</f>
        <v/>
      </c>
      <c r="AF752" s="11" t="inlineStr">
        <is>
          <t>E6</t>
        </is>
      </c>
      <c r="AG752" s="11" t="inlineStr">
        <is>
          <t>E5</t>
        </is>
      </c>
      <c r="AH752" s="11" t="inlineStr">
        <is>
          <t>E2</t>
        </is>
      </c>
      <c r="AI752" s="11" t="inlineStr">
        <is>
          <t>D4</t>
        </is>
      </c>
      <c r="AJ752" s="11" t="inlineStr">
        <is>
          <t>I5</t>
        </is>
      </c>
      <c r="AK752" s="11" t="n"/>
      <c r="AL752" s="11" t="n"/>
      <c r="AM752" s="11" t="n"/>
      <c r="AN752" s="11" t="n"/>
      <c r="AO752" s="11" t="n"/>
      <c r="AP752" s="11" t="n"/>
      <c r="AQ752" s="11" t="n"/>
      <c r="AR752" s="11" t="n"/>
      <c r="AS752" s="11" t="n"/>
      <c r="AT752" s="11" t="n"/>
      <c r="AU752" s="11" t="n"/>
      <c r="AV752" s="11" t="n"/>
      <c r="AW752" s="11">
        <f>AF752&amp;"; "&amp;AG752&amp;"; "&amp;AH752&amp;"; "&amp;AI752&amp;"; "&amp;AJ752</f>
        <v/>
      </c>
    </row>
    <row r="753">
      <c r="A753" s="11" t="inlineStr">
        <is>
          <t>T0289-G11-FÍS</t>
        </is>
      </c>
      <c r="B753" s="11" t="n">
        <v>11</v>
      </c>
      <c r="C753" s="11" t="inlineStr">
        <is>
          <t>Física</t>
        </is>
      </c>
      <c r="D753" s="11" t="inlineStr">
        <is>
          <t>Matriz_Bachillerato_Fisica_10_11.xlsx</t>
        </is>
      </c>
      <c r="E753" s="11" t="inlineStr">
        <is>
          <t>Física 11.°</t>
        </is>
      </c>
      <c r="F753" s="11" t="n">
        <v>8</v>
      </c>
      <c r="G753" s="11" t="inlineStr">
        <is>
          <t>1. Movimiento armónico simple</t>
        </is>
      </c>
      <c r="H753" s="11" t="inlineStr">
        <is>
          <t>Oscilaciones reales</t>
        </is>
      </c>
      <c r="I753" s="38" t="inlineStr">
        <is>
          <t>1.6. Explicación de la resonancia en sistemas forzados y de sus efectos en estructuras y fenómenos naturales.</t>
        </is>
      </c>
      <c r="J753" s="11" t="inlineStr">
        <is>
          <t>TA</t>
        </is>
      </c>
      <c r="K753" s="11" t="inlineStr">
        <is>
          <t>FUERA</t>
        </is>
      </c>
      <c r="L753" s="11" t="inlineStr"/>
      <c r="M753" s="11">
        <f>IF(K753="FUERA","Fuera del marco",IF(K753="N/A","Sin marco",IFERROR(INDEX('Datos - Catálogo TIMSS'!$C$5:$C$107,MATCH(K753,'Datos - Catálogo TIMSS'!$A$5:$A$107,0)),"Pendiente de clasificar")))</f>
        <v/>
      </c>
      <c r="N753" s="11">
        <f>IF(K753="FUERA","Fuera del marco",IF(K753="N/A","Sin marco",IFERROR(INDEX('Datos - Catálogo TIMSS'!$F$5:$F$107,MATCH(K753,'Datos - Catálogo TIMSS'!$A$5:$A$107,0)),"Pendiente de clasificar")))</f>
        <v/>
      </c>
      <c r="O753" s="11">
        <f>IF(L753="","",IFERROR(INDEX('Datos - Catálogo TIMSS'!$C$5:$C$107,MATCH(L753,'Datos - Catálogo TIMSS'!$A$5:$A$107,0)),"?"))</f>
        <v/>
      </c>
      <c r="P753" s="11" t="inlineStr">
        <is>
          <t>media</t>
        </is>
      </c>
      <c r="Q753" s="38" t="inlineStr">
        <is>
          <t>Oscilaciones forzadas y resonancia mecánica fuera del marco</t>
        </is>
      </c>
      <c r="R753" s="38" t="inlineStr">
        <is>
          <t>Conocer: definir frecuencia natural. Razonar: explicar la resonancia en casos reales</t>
        </is>
      </c>
      <c r="S753" s="39">
        <f>IFERROR(ISNUMBER(SEARCH("Conocer",$R753))/(ISNUMBER(SEARCH("Conocer",$R753))+ISNUMBER(SEARCH("Aplicar",$R753))+ISNUMBER(SEARCH("Razonar",$R753))),0)</f>
        <v/>
      </c>
      <c r="T753" s="39">
        <f>IFERROR(ISNUMBER(SEARCH("Aplicar",$R753))/(ISNUMBER(SEARCH("Conocer",$R753))+ISNUMBER(SEARCH("Aplicar",$R753))+ISNUMBER(SEARCH("Razonar",$R753))),0)</f>
        <v/>
      </c>
      <c r="U753" s="39">
        <f>IFERROR(ISNUMBER(SEARCH("Razonar",$R753))/(ISNUMBER(SEARCH("Conocer",$R753))+ISNUMBER(SEARCH("Aplicar",$R753))+ISNUMBER(SEARCH("Razonar",$R753))),0)</f>
        <v/>
      </c>
      <c r="V753" s="11" t="inlineStr">
        <is>
          <t>Física 11°</t>
        </is>
      </c>
      <c r="W753" s="11" t="inlineStr">
        <is>
          <t>Física 10°–11°</t>
        </is>
      </c>
      <c r="X753" s="11">
        <f>IF(OR(IFERROR(INDEX('Datos - Catálogo TIMSS'!$I$5:$I$107,MATCH(K753,'Datos - Catálogo TIMSS'!$A$5:$A$107,0)),"No")="Sí",IFERROR(INDEX('Datos - Catálogo TIMSS'!$I$5:$I$107,MATCH(L753,'Datos - Catálogo TIMSS'!$A$5:$A$107,0)),"No")="Sí"),1,0)</f>
        <v/>
      </c>
      <c r="Y753" s="11">
        <f>IF(IFERROR(INDEX('Datos - Catálogo TIMSS'!$J$5:$J$107,MATCH(K753,'Datos - Catálogo TIMSS'!$A$5:$A$107,0)),"No")="Sí",1,0)</f>
        <v/>
      </c>
      <c r="Z753" s="11">
        <f>IF(IFERROR(INDEX('Datos - Catálogo TIMSS'!$J$5:$J$107,MATCH(L753,'Datos - Catálogo TIMSS'!$A$5:$A$107,0)),"No")="Sí",1,0)</f>
        <v/>
      </c>
      <c r="AA753" s="11" t="inlineStr">
        <is>
          <t>FUERA</t>
        </is>
      </c>
      <c r="AB753" s="11" t="inlineStr"/>
      <c r="AC753" s="11">
        <f>IF(AA753="FUERA","Fuera del marco",IF(AA753="N/A","Sin marco",IFERROR(INDEX('Datos - TIMSS 2023'!$C$5:$C$105,MATCH(AA753,'Datos - TIMSS 2023'!$A$5:$A$105,0)),"Pendiente de clasificar")))</f>
        <v/>
      </c>
      <c r="AD753" s="11" t="inlineStr">
        <is>
          <t>3. Investigar, evaluar y usar información científica para tomar decisiones y actuar</t>
        </is>
      </c>
      <c r="AE753" s="11">
        <f>IF(AD753="","",IF(LEFT(AD753,1)="1","C1",IF(LEFT(AD753,1)="2","C2",IF(LEFT(AD753,1)="3","C3",""))))</f>
        <v/>
      </c>
      <c r="AF753" s="11" t="inlineStr">
        <is>
          <t>E6</t>
        </is>
      </c>
      <c r="AG753" s="11" t="inlineStr">
        <is>
          <t>E3</t>
        </is>
      </c>
      <c r="AH753" s="11" t="inlineStr">
        <is>
          <t>E4</t>
        </is>
      </c>
      <c r="AI753" s="11" t="inlineStr">
        <is>
          <t>I1</t>
        </is>
      </c>
      <c r="AJ753" s="11" t="inlineStr">
        <is>
          <t>I4</t>
        </is>
      </c>
      <c r="AK753" s="11" t="n"/>
      <c r="AL753" s="11" t="n"/>
      <c r="AM753" s="11" t="n"/>
      <c r="AN753" s="11" t="n"/>
      <c r="AO753" s="11" t="n"/>
      <c r="AP753" s="11" t="n"/>
      <c r="AQ753" s="11" t="n"/>
      <c r="AR753" s="11" t="n"/>
      <c r="AS753" s="11" t="n"/>
      <c r="AT753" s="11" t="n"/>
      <c r="AU753" s="11" t="n"/>
      <c r="AV753" s="11" t="n"/>
      <c r="AW753" s="11">
        <f>AF753&amp;"; "&amp;AG753&amp;"; "&amp;AH753&amp;"; "&amp;AI753&amp;"; "&amp;AJ753</f>
        <v/>
      </c>
    </row>
    <row r="754">
      <c r="A754" s="11" t="inlineStr">
        <is>
          <t>T0290-G11-FÍS</t>
        </is>
      </c>
      <c r="B754" s="11" t="n">
        <v>11</v>
      </c>
      <c r="C754" s="11" t="inlineStr">
        <is>
          <t>Física</t>
        </is>
      </c>
      <c r="D754" s="11" t="inlineStr">
        <is>
          <t>Matriz_Bachillerato_Fisica_10_11.xlsx</t>
        </is>
      </c>
      <c r="E754" s="11" t="inlineStr">
        <is>
          <t>Física 11.°</t>
        </is>
      </c>
      <c r="F754" s="11" t="n">
        <v>9</v>
      </c>
      <c r="G754" s="11" t="inlineStr">
        <is>
          <t>2. Elasticidad</t>
        </is>
      </c>
      <c r="H754" s="11" t="inlineStr">
        <is>
          <t>Deformación de sólidos</t>
        </is>
      </c>
      <c r="I754" s="38" t="inlineStr">
        <is>
          <t>2.1. Cálculo del esfuerzo, la deformación unitaria y el módulo de Young en elementos sometidos a tensión y compresión.</t>
        </is>
      </c>
      <c r="J754" s="11" t="inlineStr">
        <is>
          <t>TA</t>
        </is>
      </c>
      <c r="K754" s="11" t="inlineStr">
        <is>
          <t>FUERA</t>
        </is>
      </c>
      <c r="L754" s="11" t="inlineStr"/>
      <c r="M754" s="11">
        <f>IF(K754="FUERA","Fuera del marco",IF(K754="N/A","Sin marco",IFERROR(INDEX('Datos - Catálogo TIMSS'!$C$5:$C$107,MATCH(K754,'Datos - Catálogo TIMSS'!$A$5:$A$107,0)),"Pendiente de clasificar")))</f>
        <v/>
      </c>
      <c r="N754" s="11">
        <f>IF(K754="FUERA","Fuera del marco",IF(K754="N/A","Sin marco",IFERROR(INDEX('Datos - Catálogo TIMSS'!$F$5:$F$107,MATCH(K754,'Datos - Catálogo TIMSS'!$A$5:$A$107,0)),"Pendiente de clasificar")))</f>
        <v/>
      </c>
      <c r="O754" s="11">
        <f>IF(L754="","",IFERROR(INDEX('Datos - Catálogo TIMSS'!$C$5:$C$107,MATCH(L754,'Datos - Catálogo TIMSS'!$A$5:$A$107,0)),"?"))</f>
        <v/>
      </c>
      <c r="P754" s="11" t="inlineStr">
        <is>
          <t>media</t>
        </is>
      </c>
      <c r="Q754" s="38" t="inlineStr">
        <is>
          <t>Elasticidad de sólidos: esfuerzo, deformación, módulo de Young</t>
        </is>
      </c>
      <c r="R754" s="38" t="inlineStr">
        <is>
          <t>Aplicar: calcular esfuerzo y deformación. Razonar: comparar materiales</t>
        </is>
      </c>
      <c r="S754" s="39">
        <f>IFERROR(ISNUMBER(SEARCH("Conocer",$R754))/(ISNUMBER(SEARCH("Conocer",$R754))+ISNUMBER(SEARCH("Aplicar",$R754))+ISNUMBER(SEARCH("Razonar",$R754))),0)</f>
        <v/>
      </c>
      <c r="T754" s="39">
        <f>IFERROR(ISNUMBER(SEARCH("Aplicar",$R754))/(ISNUMBER(SEARCH("Conocer",$R754))+ISNUMBER(SEARCH("Aplicar",$R754))+ISNUMBER(SEARCH("Razonar",$R754))),0)</f>
        <v/>
      </c>
      <c r="U754" s="39">
        <f>IFERROR(ISNUMBER(SEARCH("Razonar",$R754))/(ISNUMBER(SEARCH("Conocer",$R754))+ISNUMBER(SEARCH("Aplicar",$R754))+ISNUMBER(SEARCH("Razonar",$R754))),0)</f>
        <v/>
      </c>
      <c r="V754" s="11" t="inlineStr">
        <is>
          <t>Física 11°</t>
        </is>
      </c>
      <c r="W754" s="11" t="inlineStr">
        <is>
          <t>Física 10°–11°</t>
        </is>
      </c>
      <c r="X754" s="11">
        <f>IF(OR(IFERROR(INDEX('Datos - Catálogo TIMSS'!$I$5:$I$107,MATCH(K754,'Datos - Catálogo TIMSS'!$A$5:$A$107,0)),"No")="Sí",IFERROR(INDEX('Datos - Catálogo TIMSS'!$I$5:$I$107,MATCH(L754,'Datos - Catálogo TIMSS'!$A$5:$A$107,0)),"No")="Sí"),1,0)</f>
        <v/>
      </c>
      <c r="Y754" s="11">
        <f>IF(IFERROR(INDEX('Datos - Catálogo TIMSS'!$J$5:$J$107,MATCH(K754,'Datos - Catálogo TIMSS'!$A$5:$A$107,0)),"No")="Sí",1,0)</f>
        <v/>
      </c>
      <c r="Z754" s="11">
        <f>IF(IFERROR(INDEX('Datos - Catálogo TIMSS'!$J$5:$J$107,MATCH(L754,'Datos - Catálogo TIMSS'!$A$5:$A$107,0)),"No")="Sí",1,0)</f>
        <v/>
      </c>
      <c r="AA754" s="11" t="inlineStr">
        <is>
          <t>FUERA</t>
        </is>
      </c>
      <c r="AB754" s="11" t="inlineStr"/>
      <c r="AC754" s="11">
        <f>IF(AA754="FUERA","Fuera del marco",IF(AA754="N/A","Sin marco",IFERROR(INDEX('Datos - TIMSS 2023'!$C$5:$C$105,MATCH(AA754,'Datos - TIMSS 2023'!$A$5:$A$105,0)),"Pendiente de clasificar")))</f>
        <v/>
      </c>
      <c r="AD754" s="11" t="inlineStr">
        <is>
          <t>1. Explicar fenómenos científicamente</t>
        </is>
      </c>
      <c r="AE754" s="11">
        <f>IF(AD754="","",IF(LEFT(AD754,1)="1","C1",IF(LEFT(AD754,1)="2","C2",IF(LEFT(AD754,1)="3","C3",""))))</f>
        <v/>
      </c>
      <c r="AF754" s="11" t="inlineStr">
        <is>
          <t>E1</t>
        </is>
      </c>
      <c r="AG754" s="11" t="inlineStr">
        <is>
          <t>D1</t>
        </is>
      </c>
      <c r="AH754" s="11" t="inlineStr">
        <is>
          <t>E1</t>
        </is>
      </c>
      <c r="AI754" s="11" t="inlineStr">
        <is>
          <t>E4</t>
        </is>
      </c>
      <c r="AJ754" s="11" t="inlineStr">
        <is>
          <t>E3</t>
        </is>
      </c>
      <c r="AK754" s="11" t="n"/>
      <c r="AL754" s="11" t="n"/>
      <c r="AM754" s="11" t="n"/>
      <c r="AN754" s="11" t="n"/>
      <c r="AO754" s="11" t="n"/>
      <c r="AP754" s="11" t="n"/>
      <c r="AQ754" s="11" t="n"/>
      <c r="AR754" s="11" t="n"/>
      <c r="AS754" s="11" t="n"/>
      <c r="AT754" s="11" t="n"/>
      <c r="AU754" s="11" t="n"/>
      <c r="AV754" s="11" t="n"/>
      <c r="AW754" s="11">
        <f>AF754&amp;"; "&amp;AG754&amp;"; "&amp;AH754&amp;"; "&amp;AI754&amp;"; "&amp;AJ754</f>
        <v/>
      </c>
    </row>
    <row r="755">
      <c r="A755" s="11" t="inlineStr">
        <is>
          <t>T0291-G11-FÍS</t>
        </is>
      </c>
      <c r="B755" s="11" t="n">
        <v>11</v>
      </c>
      <c r="C755" s="11" t="inlineStr">
        <is>
          <t>Física</t>
        </is>
      </c>
      <c r="D755" s="11" t="inlineStr">
        <is>
          <t>Matriz_Bachillerato_Fisica_10_11.xlsx</t>
        </is>
      </c>
      <c r="E755" s="11" t="inlineStr">
        <is>
          <t>Física 11.°</t>
        </is>
      </c>
      <c r="F755" s="11" t="n">
        <v>10</v>
      </c>
      <c r="G755" s="11" t="inlineStr">
        <is>
          <t>2. Elasticidad</t>
        </is>
      </c>
      <c r="H755" s="11" t="inlineStr">
        <is>
          <t>Deformación de sólidos</t>
        </is>
      </c>
      <c r="I755" s="38" t="inlineStr">
        <is>
          <t>2.2. Interpretación de gráficas esfuerzo-deformación de materiales que cumplen y que no cumplen la ley de Hooke.</t>
        </is>
      </c>
      <c r="J755" s="11" t="inlineStr">
        <is>
          <t>TA</t>
        </is>
      </c>
      <c r="K755" s="11" t="inlineStr">
        <is>
          <t>FUERA</t>
        </is>
      </c>
      <c r="L755" s="11" t="inlineStr"/>
      <c r="M755" s="11">
        <f>IF(K755="FUERA","Fuera del marco",IF(K755="N/A","Sin marco",IFERROR(INDEX('Datos - Catálogo TIMSS'!$C$5:$C$107,MATCH(K755,'Datos - Catálogo TIMSS'!$A$5:$A$107,0)),"Pendiente de clasificar")))</f>
        <v/>
      </c>
      <c r="N755" s="11">
        <f>IF(K755="FUERA","Fuera del marco",IF(K755="N/A","Sin marco",IFERROR(INDEX('Datos - Catálogo TIMSS'!$F$5:$F$107,MATCH(K755,'Datos - Catálogo TIMSS'!$A$5:$A$107,0)),"Pendiente de clasificar")))</f>
        <v/>
      </c>
      <c r="O755" s="11">
        <f>IF(L755="","",IFERROR(INDEX('Datos - Catálogo TIMSS'!$C$5:$C$107,MATCH(L755,'Datos - Catálogo TIMSS'!$A$5:$A$107,0)),"?"))</f>
        <v/>
      </c>
      <c r="P755" s="11" t="inlineStr">
        <is>
          <t>media</t>
        </is>
      </c>
      <c r="Q755" s="38" t="inlineStr">
        <is>
          <t>Gráficas esfuerzo-deformación; elasticidad de materiales fuera del marco</t>
        </is>
      </c>
      <c r="R755" s="38" t="inlineStr">
        <is>
          <t>Aplicar: construir e interpretar gráficas. Razonar: distinguir comportamiento elástico y plástico</t>
        </is>
      </c>
      <c r="S755" s="39">
        <f>IFERROR(ISNUMBER(SEARCH("Conocer",$R755))/(ISNUMBER(SEARCH("Conocer",$R755))+ISNUMBER(SEARCH("Aplicar",$R755))+ISNUMBER(SEARCH("Razonar",$R755))),0)</f>
        <v/>
      </c>
      <c r="T755" s="39">
        <f>IFERROR(ISNUMBER(SEARCH("Aplicar",$R755))/(ISNUMBER(SEARCH("Conocer",$R755))+ISNUMBER(SEARCH("Aplicar",$R755))+ISNUMBER(SEARCH("Razonar",$R755))),0)</f>
        <v/>
      </c>
      <c r="U755" s="39">
        <f>IFERROR(ISNUMBER(SEARCH("Razonar",$R755))/(ISNUMBER(SEARCH("Conocer",$R755))+ISNUMBER(SEARCH("Aplicar",$R755))+ISNUMBER(SEARCH("Razonar",$R755))),0)</f>
        <v/>
      </c>
      <c r="V755" s="11" t="inlineStr">
        <is>
          <t>Física 11°</t>
        </is>
      </c>
      <c r="W755" s="11" t="inlineStr">
        <is>
          <t>Física 10°–11°</t>
        </is>
      </c>
      <c r="X755" s="11">
        <f>IF(OR(IFERROR(INDEX('Datos - Catálogo TIMSS'!$I$5:$I$107,MATCH(K755,'Datos - Catálogo TIMSS'!$A$5:$A$107,0)),"No")="Sí",IFERROR(INDEX('Datos - Catálogo TIMSS'!$I$5:$I$107,MATCH(L755,'Datos - Catálogo TIMSS'!$A$5:$A$107,0)),"No")="Sí"),1,0)</f>
        <v/>
      </c>
      <c r="Y755" s="11">
        <f>IF(IFERROR(INDEX('Datos - Catálogo TIMSS'!$J$5:$J$107,MATCH(K755,'Datos - Catálogo TIMSS'!$A$5:$A$107,0)),"No")="Sí",1,0)</f>
        <v/>
      </c>
      <c r="Z755" s="11">
        <f>IF(IFERROR(INDEX('Datos - Catálogo TIMSS'!$J$5:$J$107,MATCH(L755,'Datos - Catálogo TIMSS'!$A$5:$A$107,0)),"No")="Sí",1,0)</f>
        <v/>
      </c>
      <c r="AA755" s="11" t="inlineStr">
        <is>
          <t>FUERA</t>
        </is>
      </c>
      <c r="AB755" s="11" t="inlineStr"/>
      <c r="AC755" s="11">
        <f>IF(AA755="FUERA","Fuera del marco",IF(AA755="N/A","Sin marco",IFERROR(INDEX('Datos - TIMSS 2023'!$C$5:$C$105,MATCH(AA755,'Datos - TIMSS 2023'!$A$5:$A$105,0)),"Pendiente de clasificar")))</f>
        <v/>
      </c>
      <c r="AD755" s="11" t="inlineStr">
        <is>
          <t>2. Construir y evaluar diseños para la indagación científica e interpretar datos y evidencia de forma crítica</t>
        </is>
      </c>
      <c r="AE755" s="11">
        <f>IF(AD755="","",IF(LEFT(AD755,1)="1","C1",IF(LEFT(AD755,1)="2","C2",IF(LEFT(AD755,1)="3","C3",""))))</f>
        <v/>
      </c>
      <c r="AF755" s="11" t="inlineStr">
        <is>
          <t>E1</t>
        </is>
      </c>
      <c r="AG755" s="11" t="inlineStr">
        <is>
          <t>E5</t>
        </is>
      </c>
      <c r="AH755" s="11" t="inlineStr">
        <is>
          <t>E2</t>
        </is>
      </c>
      <c r="AI755" s="11" t="inlineStr">
        <is>
          <t>D4</t>
        </is>
      </c>
      <c r="AJ755" s="11" t="inlineStr">
        <is>
          <t>D3</t>
        </is>
      </c>
      <c r="AK755" s="11" t="n"/>
      <c r="AL755" s="11" t="n"/>
      <c r="AM755" s="11" t="n"/>
      <c r="AN755" s="11" t="n"/>
      <c r="AO755" s="11" t="n"/>
      <c r="AP755" s="11" t="n"/>
      <c r="AQ755" s="11" t="n"/>
      <c r="AR755" s="11" t="n"/>
      <c r="AS755" s="11" t="n"/>
      <c r="AT755" s="11" t="n"/>
      <c r="AU755" s="11" t="n"/>
      <c r="AV755" s="11" t="n"/>
      <c r="AW755" s="11">
        <f>AF755&amp;"; "&amp;AG755&amp;"; "&amp;AH755&amp;"; "&amp;AI755&amp;"; "&amp;AJ755</f>
        <v/>
      </c>
    </row>
    <row r="756">
      <c r="A756" s="11" t="inlineStr">
        <is>
          <t>T0292-G11-FÍS</t>
        </is>
      </c>
      <c r="B756" s="11" t="n">
        <v>11</v>
      </c>
      <c r="C756" s="11" t="inlineStr">
        <is>
          <t>Física</t>
        </is>
      </c>
      <c r="D756" s="11" t="inlineStr">
        <is>
          <t>Matriz_Bachillerato_Fisica_10_11.xlsx</t>
        </is>
      </c>
      <c r="E756" s="11" t="inlineStr">
        <is>
          <t>Física 11.°</t>
        </is>
      </c>
      <c r="F756" s="11" t="n">
        <v>11</v>
      </c>
      <c r="G756" s="11" t="inlineStr">
        <is>
          <t>2. Elasticidad</t>
        </is>
      </c>
      <c r="H756" s="11" t="inlineStr">
        <is>
          <t>Materiales y riesgo sísmico</t>
        </is>
      </c>
      <c r="I756" s="38" t="inlineStr">
        <is>
          <t>2.3. Comparación de las propiedades elásticas de materiales de construcción y de su papel en el diseño sismorresistente.</t>
        </is>
      </c>
      <c r="J756" s="11" t="inlineStr">
        <is>
          <t>TA</t>
        </is>
      </c>
      <c r="K756" s="11" t="inlineStr">
        <is>
          <t>FUERA</t>
        </is>
      </c>
      <c r="L756" s="11" t="inlineStr"/>
      <c r="M756" s="11">
        <f>IF(K756="FUERA","Fuera del marco",IF(K756="N/A","Sin marco",IFERROR(INDEX('Datos - Catálogo TIMSS'!$C$5:$C$107,MATCH(K756,'Datos - Catálogo TIMSS'!$A$5:$A$107,0)),"Pendiente de clasificar")))</f>
        <v/>
      </c>
      <c r="N756" s="11">
        <f>IF(K756="FUERA","Fuera del marco",IF(K756="N/A","Sin marco",IFERROR(INDEX('Datos - Catálogo TIMSS'!$F$5:$F$107,MATCH(K756,'Datos - Catálogo TIMSS'!$A$5:$A$107,0)),"Pendiente de clasificar")))</f>
        <v/>
      </c>
      <c r="O756" s="11">
        <f>IF(L756="","",IFERROR(INDEX('Datos - Catálogo TIMSS'!$C$5:$C$107,MATCH(L756,'Datos - Catálogo TIMSS'!$A$5:$A$107,0)),"?"))</f>
        <v/>
      </c>
      <c r="P756" s="11" t="inlineStr">
        <is>
          <t>alta</t>
        </is>
      </c>
      <c r="Q756" s="38" t="inlineStr">
        <is>
          <t>Aplicación de elasticidad a diseño sismorresistente</t>
        </is>
      </c>
      <c r="R756" s="38" t="inlineStr">
        <is>
          <t>Aplicar: comparar valores y calcular. Razonar: argumentar decisiones de diseño</t>
        </is>
      </c>
      <c r="S756" s="39">
        <f>IFERROR(ISNUMBER(SEARCH("Conocer",$R756))/(ISNUMBER(SEARCH("Conocer",$R756))+ISNUMBER(SEARCH("Aplicar",$R756))+ISNUMBER(SEARCH("Razonar",$R756))),0)</f>
        <v/>
      </c>
      <c r="T756" s="39">
        <f>IFERROR(ISNUMBER(SEARCH("Aplicar",$R756))/(ISNUMBER(SEARCH("Conocer",$R756))+ISNUMBER(SEARCH("Aplicar",$R756))+ISNUMBER(SEARCH("Razonar",$R756))),0)</f>
        <v/>
      </c>
      <c r="U756" s="39">
        <f>IFERROR(ISNUMBER(SEARCH("Razonar",$R756))/(ISNUMBER(SEARCH("Conocer",$R756))+ISNUMBER(SEARCH("Aplicar",$R756))+ISNUMBER(SEARCH("Razonar",$R756))),0)</f>
        <v/>
      </c>
      <c r="V756" s="11" t="inlineStr">
        <is>
          <t>Física 11°</t>
        </is>
      </c>
      <c r="W756" s="11" t="inlineStr">
        <is>
          <t>Física 10°–11°</t>
        </is>
      </c>
      <c r="X756" s="11">
        <f>IF(OR(IFERROR(INDEX('Datos - Catálogo TIMSS'!$I$5:$I$107,MATCH(K756,'Datos - Catálogo TIMSS'!$A$5:$A$107,0)),"No")="Sí",IFERROR(INDEX('Datos - Catálogo TIMSS'!$I$5:$I$107,MATCH(L756,'Datos - Catálogo TIMSS'!$A$5:$A$107,0)),"No")="Sí"),1,0)</f>
        <v/>
      </c>
      <c r="Y756" s="11">
        <f>IF(IFERROR(INDEX('Datos - Catálogo TIMSS'!$J$5:$J$107,MATCH(K756,'Datos - Catálogo TIMSS'!$A$5:$A$107,0)),"No")="Sí",1,0)</f>
        <v/>
      </c>
      <c r="Z756" s="11">
        <f>IF(IFERROR(INDEX('Datos - Catálogo TIMSS'!$J$5:$J$107,MATCH(L756,'Datos - Catálogo TIMSS'!$A$5:$A$107,0)),"No")="Sí",1,0)</f>
        <v/>
      </c>
      <c r="AA756" s="11" t="inlineStr">
        <is>
          <t>FUERA</t>
        </is>
      </c>
      <c r="AB756" s="11" t="inlineStr"/>
      <c r="AC756" s="11">
        <f>IF(AA756="FUERA","Fuera del marco",IF(AA756="N/A","Sin marco",IFERROR(INDEX('Datos - TIMSS 2023'!$C$5:$C$105,MATCH(AA756,'Datos - TIMSS 2023'!$A$5:$A$105,0)),"Pendiente de clasificar")))</f>
        <v/>
      </c>
      <c r="AD756" s="11" t="inlineStr">
        <is>
          <t>3. Investigar, evaluar y usar información científica para tomar decisiones y actuar</t>
        </is>
      </c>
      <c r="AE756" s="11">
        <f>IF(AD756="","",IF(LEFT(AD756,1)="1","C1",IF(LEFT(AD756,1)="2","C2",IF(LEFT(AD756,1)="3","C3",""))))</f>
        <v/>
      </c>
      <c r="AF756" s="11" t="inlineStr">
        <is>
          <t>E6</t>
        </is>
      </c>
      <c r="AG756" s="11" t="inlineStr">
        <is>
          <t>E3</t>
        </is>
      </c>
      <c r="AH756" s="11" t="inlineStr">
        <is>
          <t>E1</t>
        </is>
      </c>
      <c r="AI756" s="11" t="inlineStr">
        <is>
          <t>I3</t>
        </is>
      </c>
      <c r="AJ756" s="11" t="inlineStr">
        <is>
          <t>I5</t>
        </is>
      </c>
      <c r="AK756" s="11" t="n"/>
      <c r="AL756" s="11" t="n"/>
      <c r="AM756" s="11" t="n"/>
      <c r="AN756" s="11" t="n"/>
      <c r="AO756" s="11" t="n"/>
      <c r="AP756" s="11" t="n"/>
      <c r="AQ756" s="11" t="n"/>
      <c r="AR756" s="11" t="n"/>
      <c r="AS756" s="11" t="n"/>
      <c r="AT756" s="11" t="n"/>
      <c r="AU756" s="11" t="n"/>
      <c r="AV756" s="11" t="n"/>
      <c r="AW756" s="11">
        <f>AF756&amp;"; "&amp;AG756&amp;"; "&amp;AH756&amp;"; "&amp;AI756&amp;"; "&amp;AJ756</f>
        <v/>
      </c>
    </row>
    <row r="757">
      <c r="A757" s="11" t="inlineStr">
        <is>
          <t>T0293-G11-FÍS</t>
        </is>
      </c>
      <c r="B757" s="11" t="n">
        <v>11</v>
      </c>
      <c r="C757" s="11" t="inlineStr">
        <is>
          <t>Física</t>
        </is>
      </c>
      <c r="D757" s="11" t="inlineStr">
        <is>
          <t>Matriz_Bachillerato_Fisica_10_11.xlsx</t>
        </is>
      </c>
      <c r="E757" s="11" t="inlineStr">
        <is>
          <t>Física 11.°</t>
        </is>
      </c>
      <c r="F757" s="11" t="n">
        <v>12</v>
      </c>
      <c r="G757" s="11" t="inlineStr">
        <is>
          <t>3. Ondas</t>
        </is>
      </c>
      <c r="H757" s="11" t="inlineStr">
        <is>
          <t>Características de las ondas</t>
        </is>
      </c>
      <c r="I757" s="38" t="inlineStr">
        <is>
          <t>3.1. Clasificación de ondas mecánicas según la dirección de oscilación del medio y la de propagación.</t>
        </is>
      </c>
      <c r="J757" s="11" t="inlineStr">
        <is>
          <t>TA</t>
        </is>
      </c>
      <c r="K757" s="11" t="inlineStr">
        <is>
          <t>TA-O1.1</t>
        </is>
      </c>
      <c r="L757" s="11" t="inlineStr"/>
      <c r="M757" s="11">
        <f>IF(K757="FUERA","Fuera del marco",IF(K757="N/A","Sin marco",IFERROR(INDEX('Datos - Catálogo TIMSS'!$C$5:$C$107,MATCH(K757,'Datos - Catálogo TIMSS'!$A$5:$A$107,0)),"Pendiente de clasificar")))</f>
        <v/>
      </c>
      <c r="N757" s="11">
        <f>IF(K757="FUERA","Fuera del marco",IF(K757="N/A","Sin marco",IFERROR(INDEX('Datos - Catálogo TIMSS'!$F$5:$F$107,MATCH(K757,'Datos - Catálogo TIMSS'!$A$5:$A$107,0)),"Pendiente de clasificar")))</f>
        <v/>
      </c>
      <c r="O757" s="11">
        <f>IF(L757="","",IFERROR(INDEX('Datos - Catálogo TIMSS'!$C$5:$C$107,MATCH(L757,'Datos - Catálogo TIMSS'!$A$5:$A$107,0)),"?"))</f>
        <v/>
      </c>
      <c r="P757" s="11" t="inlineStr">
        <is>
          <t>alta</t>
        </is>
      </c>
      <c r="Q757" s="38" t="inlineStr">
        <is>
          <t>Ondas mecánicas transversales y longitudinales, transporte de energía</t>
        </is>
      </c>
      <c r="R757" s="38" t="inlineStr">
        <is>
          <t>Conocer: clasificar ondas. Aplicar: interpretar registros sísmicos</t>
        </is>
      </c>
      <c r="S757" s="39">
        <f>IFERROR(ISNUMBER(SEARCH("Conocer",$R757))/(ISNUMBER(SEARCH("Conocer",$R757))+ISNUMBER(SEARCH("Aplicar",$R757))+ISNUMBER(SEARCH("Razonar",$R757))),0)</f>
        <v/>
      </c>
      <c r="T757" s="39">
        <f>IFERROR(ISNUMBER(SEARCH("Aplicar",$R757))/(ISNUMBER(SEARCH("Conocer",$R757))+ISNUMBER(SEARCH("Aplicar",$R757))+ISNUMBER(SEARCH("Razonar",$R757))),0)</f>
        <v/>
      </c>
      <c r="U757" s="39">
        <f>IFERROR(ISNUMBER(SEARCH("Razonar",$R757))/(ISNUMBER(SEARCH("Conocer",$R757))+ISNUMBER(SEARCH("Aplicar",$R757))+ISNUMBER(SEARCH("Razonar",$R757))),0)</f>
        <v/>
      </c>
      <c r="V757" s="11" t="inlineStr">
        <is>
          <t>Física 11°</t>
        </is>
      </c>
      <c r="W757" s="11" t="inlineStr">
        <is>
          <t>Física 10°–11°</t>
        </is>
      </c>
      <c r="X757" s="11">
        <f>IF(OR(IFERROR(INDEX('Datos - Catálogo TIMSS'!$I$5:$I$107,MATCH(K757,'Datos - Catálogo TIMSS'!$A$5:$A$107,0)),"No")="Sí",IFERROR(INDEX('Datos - Catálogo TIMSS'!$I$5:$I$107,MATCH(L757,'Datos - Catálogo TIMSS'!$A$5:$A$107,0)),"No")="Sí"),1,0)</f>
        <v/>
      </c>
      <c r="Y757" s="11">
        <f>IF(IFERROR(INDEX('Datos - Catálogo TIMSS'!$J$5:$J$107,MATCH(K757,'Datos - Catálogo TIMSS'!$A$5:$A$107,0)),"No")="Sí",1,0)</f>
        <v/>
      </c>
      <c r="Z757" s="11">
        <f>IF(IFERROR(INDEX('Datos - Catálogo TIMSS'!$J$5:$J$107,MATCH(L757,'Datos - Catálogo TIMSS'!$A$5:$A$107,0)),"No")="Sí",1,0)</f>
        <v/>
      </c>
      <c r="AA757" s="11" t="inlineStr">
        <is>
          <t>TA-O1.1</t>
        </is>
      </c>
      <c r="AB757" s="11" t="inlineStr"/>
      <c r="AC757" s="11">
        <f>IF(AA757="FUERA","Fuera del marco",IF(AA757="N/A","Sin marco",IFERROR(INDEX('Datos - TIMSS 2023'!$C$5:$C$105,MATCH(AA757,'Datos - TIMSS 2023'!$A$5:$A$105,0)),"Pendiente de clasificar")))</f>
        <v/>
      </c>
      <c r="AD757" s="11" t="inlineStr">
        <is>
          <t>1. Explicar fenómenos científicamente</t>
        </is>
      </c>
      <c r="AE757" s="11">
        <f>IF(AD757="","",IF(LEFT(AD757,1)="1","C1",IF(LEFT(AD757,1)="2","C2",IF(LEFT(AD757,1)="3","C3",""))))</f>
        <v/>
      </c>
      <c r="AF757" s="11" t="inlineStr">
        <is>
          <t>E6</t>
        </is>
      </c>
      <c r="AG757" s="11" t="inlineStr">
        <is>
          <t>D1</t>
        </is>
      </c>
      <c r="AH757" s="11" t="inlineStr">
        <is>
          <t>E1</t>
        </is>
      </c>
      <c r="AI757" s="11" t="inlineStr">
        <is>
          <t>I1</t>
        </is>
      </c>
      <c r="AJ757" s="11" t="inlineStr">
        <is>
          <t>E3</t>
        </is>
      </c>
      <c r="AK757" s="11" t="n"/>
      <c r="AL757" s="11" t="n"/>
      <c r="AM757" s="11" t="n"/>
      <c r="AN757" s="11" t="n"/>
      <c r="AO757" s="11" t="n"/>
      <c r="AP757" s="11" t="n"/>
      <c r="AQ757" s="11" t="n"/>
      <c r="AR757" s="11" t="n"/>
      <c r="AS757" s="11" t="n"/>
      <c r="AT757" s="11" t="n"/>
      <c r="AU757" s="11" t="n"/>
      <c r="AV757" s="11" t="n"/>
      <c r="AW757" s="11">
        <f>AF757&amp;"; "&amp;AG757&amp;"; "&amp;AH757&amp;"; "&amp;AI757&amp;"; "&amp;AJ757</f>
        <v/>
      </c>
    </row>
    <row r="758">
      <c r="A758" s="11" t="inlineStr">
        <is>
          <t>T0294-G11-FÍS</t>
        </is>
      </c>
      <c r="B758" s="11" t="n">
        <v>11</v>
      </c>
      <c r="C758" s="11" t="inlineStr">
        <is>
          <t>Física</t>
        </is>
      </c>
      <c r="D758" s="11" t="inlineStr">
        <is>
          <t>Matriz_Bachillerato_Fisica_10_11.xlsx</t>
        </is>
      </c>
      <c r="E758" s="11" t="inlineStr">
        <is>
          <t>Física 11.°</t>
        </is>
      </c>
      <c r="F758" s="11" t="n">
        <v>13</v>
      </c>
      <c r="G758" s="11" t="inlineStr">
        <is>
          <t>3. Ondas</t>
        </is>
      </c>
      <c r="H758" s="11" t="inlineStr">
        <is>
          <t>Características de las ondas</t>
        </is>
      </c>
      <c r="I758" s="38" t="inlineStr">
        <is>
          <t>3.2. Relación entre las ondas periódicas y el movimiento armónico simple de cada punto del medio.</t>
        </is>
      </c>
      <c r="J758" s="11" t="inlineStr">
        <is>
          <t>TA</t>
        </is>
      </c>
      <c r="K758" s="11" t="inlineStr">
        <is>
          <t>TA-O1.1</t>
        </is>
      </c>
      <c r="L758" s="11" t="inlineStr"/>
      <c r="M758" s="11">
        <f>IF(K758="FUERA","Fuera del marco",IF(K758="N/A","Sin marco",IFERROR(INDEX('Datos - Catálogo TIMSS'!$C$5:$C$107,MATCH(K758,'Datos - Catálogo TIMSS'!$A$5:$A$107,0)),"Pendiente de clasificar")))</f>
        <v/>
      </c>
      <c r="N758" s="11">
        <f>IF(K758="FUERA","Fuera del marco",IF(K758="N/A","Sin marco",IFERROR(INDEX('Datos - Catálogo TIMSS'!$F$5:$F$107,MATCH(K758,'Datos - Catálogo TIMSS'!$A$5:$A$107,0)),"Pendiente de clasificar")))</f>
        <v/>
      </c>
      <c r="O758" s="11">
        <f>IF(L758="","",IFERROR(INDEX('Datos - Catálogo TIMSS'!$C$5:$C$107,MATCH(L758,'Datos - Catálogo TIMSS'!$A$5:$A$107,0)),"?"))</f>
        <v/>
      </c>
      <c r="P758" s="11" t="inlineStr">
        <is>
          <t>alta</t>
        </is>
      </c>
      <c r="Q758" s="38" t="inlineStr">
        <is>
          <t>Relación v = λf en ondas periódicas</t>
        </is>
      </c>
      <c r="R758" s="38" t="inlineStr">
        <is>
          <t>Aplicar: calcular con v = λf. Razonar: relacionar el MAS con la propagación</t>
        </is>
      </c>
      <c r="S758" s="39">
        <f>IFERROR(ISNUMBER(SEARCH("Conocer",$R758))/(ISNUMBER(SEARCH("Conocer",$R758))+ISNUMBER(SEARCH("Aplicar",$R758))+ISNUMBER(SEARCH("Razonar",$R758))),0)</f>
        <v/>
      </c>
      <c r="T758" s="39">
        <f>IFERROR(ISNUMBER(SEARCH("Aplicar",$R758))/(ISNUMBER(SEARCH("Conocer",$R758))+ISNUMBER(SEARCH("Aplicar",$R758))+ISNUMBER(SEARCH("Razonar",$R758))),0)</f>
        <v/>
      </c>
      <c r="U758" s="39">
        <f>IFERROR(ISNUMBER(SEARCH("Razonar",$R758))/(ISNUMBER(SEARCH("Conocer",$R758))+ISNUMBER(SEARCH("Aplicar",$R758))+ISNUMBER(SEARCH("Razonar",$R758))),0)</f>
        <v/>
      </c>
      <c r="V758" s="11" t="inlineStr">
        <is>
          <t>Física 11°</t>
        </is>
      </c>
      <c r="W758" s="11" t="inlineStr">
        <is>
          <t>Física 10°–11°</t>
        </is>
      </c>
      <c r="X758" s="11">
        <f>IF(OR(IFERROR(INDEX('Datos - Catálogo TIMSS'!$I$5:$I$107,MATCH(K758,'Datos - Catálogo TIMSS'!$A$5:$A$107,0)),"No")="Sí",IFERROR(INDEX('Datos - Catálogo TIMSS'!$I$5:$I$107,MATCH(L758,'Datos - Catálogo TIMSS'!$A$5:$A$107,0)),"No")="Sí"),1,0)</f>
        <v/>
      </c>
      <c r="Y758" s="11">
        <f>IF(IFERROR(INDEX('Datos - Catálogo TIMSS'!$J$5:$J$107,MATCH(K758,'Datos - Catálogo TIMSS'!$A$5:$A$107,0)),"No")="Sí",1,0)</f>
        <v/>
      </c>
      <c r="Z758" s="11">
        <f>IF(IFERROR(INDEX('Datos - Catálogo TIMSS'!$J$5:$J$107,MATCH(L758,'Datos - Catálogo TIMSS'!$A$5:$A$107,0)),"No")="Sí",1,0)</f>
        <v/>
      </c>
      <c r="AA758" s="11" t="inlineStr">
        <is>
          <t>TA-O1.1</t>
        </is>
      </c>
      <c r="AB758" s="11" t="inlineStr"/>
      <c r="AC758" s="11">
        <f>IF(AA758="FUERA","Fuera del marco",IF(AA758="N/A","Sin marco",IFERROR(INDEX('Datos - TIMSS 2023'!$C$5:$C$105,MATCH(AA758,'Datos - TIMSS 2023'!$A$5:$A$105,0)),"Pendiente de clasificar")))</f>
        <v/>
      </c>
      <c r="AD758" s="11" t="inlineStr">
        <is>
          <t>1. Explicar fenómenos científicamente</t>
        </is>
      </c>
      <c r="AE758" s="11">
        <f>IF(AD758="","",IF(LEFT(AD758,1)="1","C1",IF(LEFT(AD758,1)="2","C2",IF(LEFT(AD758,1)="3","C3",""))))</f>
        <v/>
      </c>
      <c r="AF758" s="11" t="inlineStr">
        <is>
          <t>E1</t>
        </is>
      </c>
      <c r="AG758" s="11" t="inlineStr">
        <is>
          <t>E3</t>
        </is>
      </c>
      <c r="AH758" s="11" t="inlineStr">
        <is>
          <t>E2</t>
        </is>
      </c>
      <c r="AI758" s="11" t="inlineStr">
        <is>
          <t>E4</t>
        </is>
      </c>
      <c r="AJ758" s="11" t="inlineStr">
        <is>
          <t>E3</t>
        </is>
      </c>
      <c r="AK758" s="11" t="n"/>
      <c r="AL758" s="11" t="n"/>
      <c r="AM758" s="11" t="n"/>
      <c r="AN758" s="11" t="n"/>
      <c r="AO758" s="11" t="n"/>
      <c r="AP758" s="11" t="n"/>
      <c r="AQ758" s="11" t="n"/>
      <c r="AR758" s="11" t="n"/>
      <c r="AS758" s="11" t="n"/>
      <c r="AT758" s="11" t="n"/>
      <c r="AU758" s="11" t="n"/>
      <c r="AV758" s="11" t="n"/>
      <c r="AW758" s="11">
        <f>AF758&amp;"; "&amp;AG758&amp;"; "&amp;AH758&amp;"; "&amp;AI758&amp;"; "&amp;AJ758</f>
        <v/>
      </c>
    </row>
    <row r="759">
      <c r="A759" s="11" t="inlineStr">
        <is>
          <t>T0295-G11-FÍS</t>
        </is>
      </c>
      <c r="B759" s="11" t="n">
        <v>11</v>
      </c>
      <c r="C759" s="11" t="inlineStr">
        <is>
          <t>Física</t>
        </is>
      </c>
      <c r="D759" s="11" t="inlineStr">
        <is>
          <t>Matriz_Bachillerato_Fisica_10_11.xlsx</t>
        </is>
      </c>
      <c r="E759" s="11" t="inlineStr">
        <is>
          <t>Física 11.°</t>
        </is>
      </c>
      <c r="F759" s="11" t="n">
        <v>14</v>
      </c>
      <c r="G759" s="11" t="inlineStr">
        <is>
          <t>3. Ondas</t>
        </is>
      </c>
      <c r="H759" s="11" t="inlineStr">
        <is>
          <t>Propagación en cuerdas</t>
        </is>
      </c>
      <c r="I759" s="38" t="inlineStr">
        <is>
          <t>3.3. Medición de la velocidad de propagación de pulsos en cuerdas con diferentes tensiones y densidades lineales.</t>
        </is>
      </c>
      <c r="J759" s="11" t="inlineStr">
        <is>
          <t>TA</t>
        </is>
      </c>
      <c r="K759" s="11" t="inlineStr">
        <is>
          <t>TA-O1.1</t>
        </is>
      </c>
      <c r="L759" s="11" t="inlineStr"/>
      <c r="M759" s="11">
        <f>IF(K759="FUERA","Fuera del marco",IF(K759="N/A","Sin marco",IFERROR(INDEX('Datos - Catálogo TIMSS'!$C$5:$C$107,MATCH(K759,'Datos - Catálogo TIMSS'!$A$5:$A$107,0)),"Pendiente de clasificar")))</f>
        <v/>
      </c>
      <c r="N759" s="11">
        <f>IF(K759="FUERA","Fuera del marco",IF(K759="N/A","Sin marco",IFERROR(INDEX('Datos - Catálogo TIMSS'!$F$5:$F$107,MATCH(K759,'Datos - Catálogo TIMSS'!$A$5:$A$107,0)),"Pendiente de clasificar")))</f>
        <v/>
      </c>
      <c r="O759" s="11">
        <f>IF(L759="","",IFERROR(INDEX('Datos - Catálogo TIMSS'!$C$5:$C$107,MATCH(L759,'Datos - Catálogo TIMSS'!$A$5:$A$107,0)),"?"))</f>
        <v/>
      </c>
      <c r="P759" s="11" t="inlineStr">
        <is>
          <t>alta</t>
        </is>
      </c>
      <c r="Q759" s="38" t="inlineStr">
        <is>
          <t>Rapidez de ondas en cuerdas según tensión y densidad</t>
        </is>
      </c>
      <c r="R759" s="38" t="inlineStr">
        <is>
          <t>Aplicar: medir y calcular velocidades. Razonar: contrastar datos con un modelo</t>
        </is>
      </c>
      <c r="S759" s="39">
        <f>IFERROR(ISNUMBER(SEARCH("Conocer",$R759))/(ISNUMBER(SEARCH("Conocer",$R759))+ISNUMBER(SEARCH("Aplicar",$R759))+ISNUMBER(SEARCH("Razonar",$R759))),0)</f>
        <v/>
      </c>
      <c r="T759" s="39">
        <f>IFERROR(ISNUMBER(SEARCH("Aplicar",$R759))/(ISNUMBER(SEARCH("Conocer",$R759))+ISNUMBER(SEARCH("Aplicar",$R759))+ISNUMBER(SEARCH("Razonar",$R759))),0)</f>
        <v/>
      </c>
      <c r="U759" s="39">
        <f>IFERROR(ISNUMBER(SEARCH("Razonar",$R759))/(ISNUMBER(SEARCH("Conocer",$R759))+ISNUMBER(SEARCH("Aplicar",$R759))+ISNUMBER(SEARCH("Razonar",$R759))),0)</f>
        <v/>
      </c>
      <c r="V759" s="11" t="inlineStr">
        <is>
          <t>Física 11°</t>
        </is>
      </c>
      <c r="W759" s="11" t="inlineStr">
        <is>
          <t>Física 10°–11°</t>
        </is>
      </c>
      <c r="X759" s="11">
        <f>IF(OR(IFERROR(INDEX('Datos - Catálogo TIMSS'!$I$5:$I$107,MATCH(K759,'Datos - Catálogo TIMSS'!$A$5:$A$107,0)),"No")="Sí",IFERROR(INDEX('Datos - Catálogo TIMSS'!$I$5:$I$107,MATCH(L759,'Datos - Catálogo TIMSS'!$A$5:$A$107,0)),"No")="Sí"),1,0)</f>
        <v/>
      </c>
      <c r="Y759" s="11">
        <f>IF(IFERROR(INDEX('Datos - Catálogo TIMSS'!$J$5:$J$107,MATCH(K759,'Datos - Catálogo TIMSS'!$A$5:$A$107,0)),"No")="Sí",1,0)</f>
        <v/>
      </c>
      <c r="Z759" s="11">
        <f>IF(IFERROR(INDEX('Datos - Catálogo TIMSS'!$J$5:$J$107,MATCH(L759,'Datos - Catálogo TIMSS'!$A$5:$A$107,0)),"No")="Sí",1,0)</f>
        <v/>
      </c>
      <c r="AA759" s="11" t="inlineStr">
        <is>
          <t>TA-O1.1</t>
        </is>
      </c>
      <c r="AB759" s="11" t="inlineStr"/>
      <c r="AC759" s="11">
        <f>IF(AA759="FUERA","Fuera del marco",IF(AA759="N/A","Sin marco",IFERROR(INDEX('Datos - TIMSS 2023'!$C$5:$C$105,MATCH(AA759,'Datos - TIMSS 2023'!$A$5:$A$105,0)),"Pendiente de clasificar")))</f>
        <v/>
      </c>
      <c r="AD759" s="11" t="inlineStr">
        <is>
          <t>2. Construir y evaluar diseños para la indagación científica e interpretar datos y evidencia de forma crítica</t>
        </is>
      </c>
      <c r="AE759" s="11">
        <f>IF(AD759="","",IF(LEFT(AD759,1)="1","C1",IF(LEFT(AD759,1)="2","C2",IF(LEFT(AD759,1)="3","C3",""))))</f>
        <v/>
      </c>
      <c r="AF759" s="11" t="inlineStr">
        <is>
          <t>E1</t>
        </is>
      </c>
      <c r="AG759" s="11" t="inlineStr">
        <is>
          <t>E5</t>
        </is>
      </c>
      <c r="AH759" s="11" t="inlineStr">
        <is>
          <t>E1</t>
        </is>
      </c>
      <c r="AI759" s="11" t="inlineStr">
        <is>
          <t>D2</t>
        </is>
      </c>
      <c r="AJ759" s="11" t="inlineStr">
        <is>
          <t>D3</t>
        </is>
      </c>
      <c r="AK759" s="11" t="n"/>
      <c r="AL759" s="11" t="n"/>
      <c r="AM759" s="11" t="n"/>
      <c r="AN759" s="11" t="n"/>
      <c r="AO759" s="11" t="n"/>
      <c r="AP759" s="11" t="n"/>
      <c r="AQ759" s="11" t="n"/>
      <c r="AR759" s="11" t="n"/>
      <c r="AS759" s="11" t="n"/>
      <c r="AT759" s="11" t="n"/>
      <c r="AU759" s="11" t="n"/>
      <c r="AV759" s="11" t="n"/>
      <c r="AW759" s="11">
        <f>AF759&amp;"; "&amp;AG759&amp;"; "&amp;AH759&amp;"; "&amp;AI759&amp;"; "&amp;AJ759</f>
        <v/>
      </c>
    </row>
    <row r="760">
      <c r="A760" s="11" t="inlineStr">
        <is>
          <t>T0296-G11-FÍS</t>
        </is>
      </c>
      <c r="B760" s="11" t="n">
        <v>11</v>
      </c>
      <c r="C760" s="11" t="inlineStr">
        <is>
          <t>Física</t>
        </is>
      </c>
      <c r="D760" s="11" t="inlineStr">
        <is>
          <t>Matriz_Bachillerato_Fisica_10_11.xlsx</t>
        </is>
      </c>
      <c r="E760" s="11" t="inlineStr">
        <is>
          <t>Física 11.°</t>
        </is>
      </c>
      <c r="F760" s="11" t="n">
        <v>15</v>
      </c>
      <c r="G760" s="11" t="inlineStr">
        <is>
          <t>3. Ondas</t>
        </is>
      </c>
      <c r="H760" s="11" t="inlineStr">
        <is>
          <t>Propagación en cuerdas</t>
        </is>
      </c>
      <c r="I760" s="38" t="inlineStr">
        <is>
          <t>3.4. Interpretación de la función de onda armónica y(x,t) = A sen(kx − ωt + φ) en ondas transversales y longitudinales.</t>
        </is>
      </c>
      <c r="J760" s="11" t="inlineStr">
        <is>
          <t>TA</t>
        </is>
      </c>
      <c r="K760" s="11" t="inlineStr">
        <is>
          <t>TA-O1.1</t>
        </is>
      </c>
      <c r="L760" s="11" t="inlineStr"/>
      <c r="M760" s="11">
        <f>IF(K760="FUERA","Fuera del marco",IF(K760="N/A","Sin marco",IFERROR(INDEX('Datos - Catálogo TIMSS'!$C$5:$C$107,MATCH(K760,'Datos - Catálogo TIMSS'!$A$5:$A$107,0)),"Pendiente de clasificar")))</f>
        <v/>
      </c>
      <c r="N760" s="11">
        <f>IF(K760="FUERA","Fuera del marco",IF(K760="N/A","Sin marco",IFERROR(INDEX('Datos - Catálogo TIMSS'!$F$5:$F$107,MATCH(K760,'Datos - Catálogo TIMSS'!$A$5:$A$107,0)),"Pendiente de clasificar")))</f>
        <v/>
      </c>
      <c r="O760" s="11">
        <f>IF(L760="","",IFERROR(INDEX('Datos - Catálogo TIMSS'!$C$5:$C$107,MATCH(L760,'Datos - Catálogo TIMSS'!$A$5:$A$107,0)),"?"))</f>
        <v/>
      </c>
      <c r="P760" s="11" t="inlineStr">
        <is>
          <t>alta</t>
        </is>
      </c>
      <c r="Q760" s="38" t="inlineStr">
        <is>
          <t>Función de onda: amplitud, longitud de onda, frecuencia, rapidez</t>
        </is>
      </c>
      <c r="R760" s="38" t="inlineStr">
        <is>
          <t>Aplicar: extraer parámetros de una función. Razonar: interpretar la fase</t>
        </is>
      </c>
      <c r="S760" s="39">
        <f>IFERROR(ISNUMBER(SEARCH("Conocer",$R760))/(ISNUMBER(SEARCH("Conocer",$R760))+ISNUMBER(SEARCH("Aplicar",$R760))+ISNUMBER(SEARCH("Razonar",$R760))),0)</f>
        <v/>
      </c>
      <c r="T760" s="39">
        <f>IFERROR(ISNUMBER(SEARCH("Aplicar",$R760))/(ISNUMBER(SEARCH("Conocer",$R760))+ISNUMBER(SEARCH("Aplicar",$R760))+ISNUMBER(SEARCH("Razonar",$R760))),0)</f>
        <v/>
      </c>
      <c r="U760" s="39">
        <f>IFERROR(ISNUMBER(SEARCH("Razonar",$R760))/(ISNUMBER(SEARCH("Conocer",$R760))+ISNUMBER(SEARCH("Aplicar",$R760))+ISNUMBER(SEARCH("Razonar",$R760))),0)</f>
        <v/>
      </c>
      <c r="V760" s="11" t="inlineStr">
        <is>
          <t>Física 11°</t>
        </is>
      </c>
      <c r="W760" s="11" t="inlineStr">
        <is>
          <t>Física 10°–11°</t>
        </is>
      </c>
      <c r="X760" s="11">
        <f>IF(OR(IFERROR(INDEX('Datos - Catálogo TIMSS'!$I$5:$I$107,MATCH(K760,'Datos - Catálogo TIMSS'!$A$5:$A$107,0)),"No")="Sí",IFERROR(INDEX('Datos - Catálogo TIMSS'!$I$5:$I$107,MATCH(L760,'Datos - Catálogo TIMSS'!$A$5:$A$107,0)),"No")="Sí"),1,0)</f>
        <v/>
      </c>
      <c r="Y760" s="11">
        <f>IF(IFERROR(INDEX('Datos - Catálogo TIMSS'!$J$5:$J$107,MATCH(K760,'Datos - Catálogo TIMSS'!$A$5:$A$107,0)),"No")="Sí",1,0)</f>
        <v/>
      </c>
      <c r="Z760" s="11">
        <f>IF(IFERROR(INDEX('Datos - Catálogo TIMSS'!$J$5:$J$107,MATCH(L760,'Datos - Catálogo TIMSS'!$A$5:$A$107,0)),"No")="Sí",1,0)</f>
        <v/>
      </c>
      <c r="AA760" s="11" t="inlineStr">
        <is>
          <t>TA-O1.1</t>
        </is>
      </c>
      <c r="AB760" s="11" t="inlineStr"/>
      <c r="AC760" s="11">
        <f>IF(AA760="FUERA","Fuera del marco",IF(AA760="N/A","Sin marco",IFERROR(INDEX('Datos - TIMSS 2023'!$C$5:$C$105,MATCH(AA760,'Datos - TIMSS 2023'!$A$5:$A$105,0)),"Pendiente de clasificar")))</f>
        <v/>
      </c>
      <c r="AD760" s="11" t="inlineStr">
        <is>
          <t>1. Explicar fenómenos científicamente</t>
        </is>
      </c>
      <c r="AE760" s="11">
        <f>IF(AD760="","",IF(LEFT(AD760,1)="1","C1",IF(LEFT(AD760,1)="2","C2",IF(LEFT(AD760,1)="3","C3",""))))</f>
        <v/>
      </c>
      <c r="AF760" s="11" t="inlineStr">
        <is>
          <t>E1</t>
        </is>
      </c>
      <c r="AG760" s="11" t="inlineStr">
        <is>
          <t>D1</t>
        </is>
      </c>
      <c r="AH760" s="11" t="inlineStr">
        <is>
          <t>E2</t>
        </is>
      </c>
      <c r="AI760" s="11" t="inlineStr">
        <is>
          <t>E4</t>
        </is>
      </c>
      <c r="AJ760" s="11" t="inlineStr">
        <is>
          <t>E3</t>
        </is>
      </c>
      <c r="AK760" s="11" t="n"/>
      <c r="AL760" s="11" t="n"/>
      <c r="AM760" s="11" t="n"/>
      <c r="AN760" s="11" t="n"/>
      <c r="AO760" s="11" t="n"/>
      <c r="AP760" s="11" t="n"/>
      <c r="AQ760" s="11" t="n"/>
      <c r="AR760" s="11" t="n"/>
      <c r="AS760" s="11" t="n"/>
      <c r="AT760" s="11" t="n"/>
      <c r="AU760" s="11" t="n"/>
      <c r="AV760" s="11" t="n"/>
      <c r="AW760" s="11">
        <f>AF760&amp;"; "&amp;AG760&amp;"; "&amp;AH760&amp;"; "&amp;AI760&amp;"; "&amp;AJ760</f>
        <v/>
      </c>
    </row>
    <row r="761">
      <c r="A761" s="11" t="inlineStr">
        <is>
          <t>T0297-G11-FÍS</t>
        </is>
      </c>
      <c r="B761" s="11" t="n">
        <v>11</v>
      </c>
      <c r="C761" s="11" t="inlineStr">
        <is>
          <t>Física</t>
        </is>
      </c>
      <c r="D761" s="11" t="inlineStr">
        <is>
          <t>Matriz_Bachillerato_Fisica_10_11.xlsx</t>
        </is>
      </c>
      <c r="E761" s="11" t="inlineStr">
        <is>
          <t>Física 11.°</t>
        </is>
      </c>
      <c r="F761" s="11" t="n">
        <v>16</v>
      </c>
      <c r="G761" s="11" t="inlineStr">
        <is>
          <t>4. Ondas de sonido</t>
        </is>
      </c>
      <c r="H761" s="11" t="inlineStr">
        <is>
          <t>El sonido como onda</t>
        </is>
      </c>
      <c r="I761" s="38" t="inlineStr">
        <is>
          <t>4.1. Análisis de la formación de ondas sonoras longitudinales como variaciones de presión en el aire.</t>
        </is>
      </c>
      <c r="J761" s="11" t="inlineStr">
        <is>
          <t>TA</t>
        </is>
      </c>
      <c r="K761" s="11" t="inlineStr">
        <is>
          <t>TA-O1.1</t>
        </is>
      </c>
      <c r="L761" s="11" t="inlineStr"/>
      <c r="M761" s="11">
        <f>IF(K761="FUERA","Fuera del marco",IF(K761="N/A","Sin marco",IFERROR(INDEX('Datos - Catálogo TIMSS'!$C$5:$C$107,MATCH(K761,'Datos - Catálogo TIMSS'!$A$5:$A$107,0)),"Pendiente de clasificar")))</f>
        <v/>
      </c>
      <c r="N761" s="11">
        <f>IF(K761="FUERA","Fuera del marco",IF(K761="N/A","Sin marco",IFERROR(INDEX('Datos - Catálogo TIMSS'!$F$5:$F$107,MATCH(K761,'Datos - Catálogo TIMSS'!$A$5:$A$107,0)),"Pendiente de clasificar")))</f>
        <v/>
      </c>
      <c r="O761" s="11">
        <f>IF(L761="","",IFERROR(INDEX('Datos - Catálogo TIMSS'!$C$5:$C$107,MATCH(L761,'Datos - Catálogo TIMSS'!$A$5:$A$107,0)),"?"))</f>
        <v/>
      </c>
      <c r="P761" s="11" t="inlineStr">
        <is>
          <t>alta</t>
        </is>
      </c>
      <c r="Q761" s="38" t="inlineStr">
        <is>
          <t>Sonido como onda mecánica longitudinal; frecuencia y tono</t>
        </is>
      </c>
      <c r="R761" s="38" t="inlineStr">
        <is>
          <t>Conocer: describir ondas sonoras. Aplicar: interpretar formas de onda</t>
        </is>
      </c>
      <c r="S761" s="39">
        <f>IFERROR(ISNUMBER(SEARCH("Conocer",$R761))/(ISNUMBER(SEARCH("Conocer",$R761))+ISNUMBER(SEARCH("Aplicar",$R761))+ISNUMBER(SEARCH("Razonar",$R761))),0)</f>
        <v/>
      </c>
      <c r="T761" s="39">
        <f>IFERROR(ISNUMBER(SEARCH("Aplicar",$R761))/(ISNUMBER(SEARCH("Conocer",$R761))+ISNUMBER(SEARCH("Aplicar",$R761))+ISNUMBER(SEARCH("Razonar",$R761))),0)</f>
        <v/>
      </c>
      <c r="U761" s="39">
        <f>IFERROR(ISNUMBER(SEARCH("Razonar",$R761))/(ISNUMBER(SEARCH("Conocer",$R761))+ISNUMBER(SEARCH("Aplicar",$R761))+ISNUMBER(SEARCH("Razonar",$R761))),0)</f>
        <v/>
      </c>
      <c r="V761" s="11" t="inlineStr">
        <is>
          <t>Física 11°</t>
        </is>
      </c>
      <c r="W761" s="11" t="inlineStr">
        <is>
          <t>Física 10°–11°</t>
        </is>
      </c>
      <c r="X761" s="11">
        <f>IF(OR(IFERROR(INDEX('Datos - Catálogo TIMSS'!$I$5:$I$107,MATCH(K761,'Datos - Catálogo TIMSS'!$A$5:$A$107,0)),"No")="Sí",IFERROR(INDEX('Datos - Catálogo TIMSS'!$I$5:$I$107,MATCH(L761,'Datos - Catálogo TIMSS'!$A$5:$A$107,0)),"No")="Sí"),1,0)</f>
        <v/>
      </c>
      <c r="Y761" s="11">
        <f>IF(IFERROR(INDEX('Datos - Catálogo TIMSS'!$J$5:$J$107,MATCH(K761,'Datos - Catálogo TIMSS'!$A$5:$A$107,0)),"No")="Sí",1,0)</f>
        <v/>
      </c>
      <c r="Z761" s="11">
        <f>IF(IFERROR(INDEX('Datos - Catálogo TIMSS'!$J$5:$J$107,MATCH(L761,'Datos - Catálogo TIMSS'!$A$5:$A$107,0)),"No")="Sí",1,0)</f>
        <v/>
      </c>
      <c r="AA761" s="11" t="inlineStr">
        <is>
          <t>TA-O1.1</t>
        </is>
      </c>
      <c r="AB761" s="11" t="inlineStr"/>
      <c r="AC761" s="11">
        <f>IF(AA761="FUERA","Fuera del marco",IF(AA761="N/A","Sin marco",IFERROR(INDEX('Datos - TIMSS 2023'!$C$5:$C$105,MATCH(AA761,'Datos - TIMSS 2023'!$A$5:$A$105,0)),"Pendiente de clasificar")))</f>
        <v/>
      </c>
      <c r="AD761" s="11" t="inlineStr">
        <is>
          <t>1. Explicar fenómenos científicamente</t>
        </is>
      </c>
      <c r="AE761" s="11">
        <f>IF(AD761="","",IF(LEFT(AD761,1)="1","C1",IF(LEFT(AD761,1)="2","C2",IF(LEFT(AD761,1)="3","C3",""))))</f>
        <v/>
      </c>
      <c r="AF761" s="11" t="inlineStr">
        <is>
          <t>E1</t>
        </is>
      </c>
      <c r="AG761" s="11" t="inlineStr">
        <is>
          <t>D1</t>
        </is>
      </c>
      <c r="AH761" s="11" t="inlineStr">
        <is>
          <t>E2</t>
        </is>
      </c>
      <c r="AI761" s="11" t="inlineStr">
        <is>
          <t>D4</t>
        </is>
      </c>
      <c r="AJ761" s="11" t="inlineStr">
        <is>
          <t>E3</t>
        </is>
      </c>
      <c r="AK761" s="11" t="n"/>
      <c r="AL761" s="11" t="n"/>
      <c r="AM761" s="11" t="n"/>
      <c r="AN761" s="11" t="n"/>
      <c r="AO761" s="11" t="n"/>
      <c r="AP761" s="11" t="n"/>
      <c r="AQ761" s="11" t="n"/>
      <c r="AR761" s="11" t="n"/>
      <c r="AS761" s="11" t="n"/>
      <c r="AT761" s="11" t="n"/>
      <c r="AU761" s="11" t="n"/>
      <c r="AV761" s="11" t="n"/>
      <c r="AW761" s="11">
        <f>AF761&amp;"; "&amp;AG761&amp;"; "&amp;AH761&amp;"; "&amp;AI761&amp;"; "&amp;AJ761</f>
        <v/>
      </c>
    </row>
    <row r="762">
      <c r="A762" s="11" t="inlineStr">
        <is>
          <t>T0298-G11-FÍS</t>
        </is>
      </c>
      <c r="B762" s="11" t="n">
        <v>11</v>
      </c>
      <c r="C762" s="11" t="inlineStr">
        <is>
          <t>Física</t>
        </is>
      </c>
      <c r="D762" s="11" t="inlineStr">
        <is>
          <t>Matriz_Bachillerato_Fisica_10_11.xlsx</t>
        </is>
      </c>
      <c r="E762" s="11" t="inlineStr">
        <is>
          <t>Física 11.°</t>
        </is>
      </c>
      <c r="F762" s="11" t="n">
        <v>17</v>
      </c>
      <c r="G762" s="11" t="inlineStr">
        <is>
          <t>4. Ondas de sonido</t>
        </is>
      </c>
      <c r="H762" s="11" t="inlineStr">
        <is>
          <t>El sonido como onda</t>
        </is>
      </c>
      <c r="I762" s="38" t="inlineStr">
        <is>
          <t>4.2. Medición de la velocidad del sonido en el aire y comparación con la velocidad en líquidos y sólidos.</t>
        </is>
      </c>
      <c r="J762" s="11" t="inlineStr">
        <is>
          <t>TA</t>
        </is>
      </c>
      <c r="K762" s="11" t="inlineStr">
        <is>
          <t>TA-O1.1</t>
        </is>
      </c>
      <c r="L762" s="11" t="inlineStr"/>
      <c r="M762" s="11">
        <f>IF(K762="FUERA","Fuera del marco",IF(K762="N/A","Sin marco",IFERROR(INDEX('Datos - Catálogo TIMSS'!$C$5:$C$107,MATCH(K762,'Datos - Catálogo TIMSS'!$A$5:$A$107,0)),"Pendiente de clasificar")))</f>
        <v/>
      </c>
      <c r="N762" s="11">
        <f>IF(K762="FUERA","Fuera del marco",IF(K762="N/A","Sin marco",IFERROR(INDEX('Datos - Catálogo TIMSS'!$F$5:$F$107,MATCH(K762,'Datos - Catálogo TIMSS'!$A$5:$A$107,0)),"Pendiente de clasificar")))</f>
        <v/>
      </c>
      <c r="O762" s="11">
        <f>IF(L762="","",IFERROR(INDEX('Datos - Catálogo TIMSS'!$C$5:$C$107,MATCH(L762,'Datos - Catálogo TIMSS'!$A$5:$A$107,0)),"?"))</f>
        <v/>
      </c>
      <c r="P762" s="11" t="inlineStr">
        <is>
          <t>alta</t>
        </is>
      </c>
      <c r="Q762" s="38" t="inlineStr">
        <is>
          <t>Rapidez del sonido en distintos medios</t>
        </is>
      </c>
      <c r="R762" s="38" t="inlineStr">
        <is>
          <t>Aplicar: medir y calcular velocidades. Razonar: relacionar velocidad con propiedades del medio</t>
        </is>
      </c>
      <c r="S762" s="39">
        <f>IFERROR(ISNUMBER(SEARCH("Conocer",$R762))/(ISNUMBER(SEARCH("Conocer",$R762))+ISNUMBER(SEARCH("Aplicar",$R762))+ISNUMBER(SEARCH("Razonar",$R762))),0)</f>
        <v/>
      </c>
      <c r="T762" s="39">
        <f>IFERROR(ISNUMBER(SEARCH("Aplicar",$R762))/(ISNUMBER(SEARCH("Conocer",$R762))+ISNUMBER(SEARCH("Aplicar",$R762))+ISNUMBER(SEARCH("Razonar",$R762))),0)</f>
        <v/>
      </c>
      <c r="U762" s="39">
        <f>IFERROR(ISNUMBER(SEARCH("Razonar",$R762))/(ISNUMBER(SEARCH("Conocer",$R762))+ISNUMBER(SEARCH("Aplicar",$R762))+ISNUMBER(SEARCH("Razonar",$R762))),0)</f>
        <v/>
      </c>
      <c r="V762" s="11" t="inlineStr">
        <is>
          <t>Física 11°</t>
        </is>
      </c>
      <c r="W762" s="11" t="inlineStr">
        <is>
          <t>Física 10°–11°</t>
        </is>
      </c>
      <c r="X762" s="11">
        <f>IF(OR(IFERROR(INDEX('Datos - Catálogo TIMSS'!$I$5:$I$107,MATCH(K762,'Datos - Catálogo TIMSS'!$A$5:$A$107,0)),"No")="Sí",IFERROR(INDEX('Datos - Catálogo TIMSS'!$I$5:$I$107,MATCH(L762,'Datos - Catálogo TIMSS'!$A$5:$A$107,0)),"No")="Sí"),1,0)</f>
        <v/>
      </c>
      <c r="Y762" s="11">
        <f>IF(IFERROR(INDEX('Datos - Catálogo TIMSS'!$J$5:$J$107,MATCH(K762,'Datos - Catálogo TIMSS'!$A$5:$A$107,0)),"No")="Sí",1,0)</f>
        <v/>
      </c>
      <c r="Z762" s="11">
        <f>IF(IFERROR(INDEX('Datos - Catálogo TIMSS'!$J$5:$J$107,MATCH(L762,'Datos - Catálogo TIMSS'!$A$5:$A$107,0)),"No")="Sí",1,0)</f>
        <v/>
      </c>
      <c r="AA762" s="11" t="inlineStr">
        <is>
          <t>TA-O1.1</t>
        </is>
      </c>
      <c r="AB762" s="11" t="inlineStr"/>
      <c r="AC762" s="11">
        <f>IF(AA762="FUERA","Fuera del marco",IF(AA762="N/A","Sin marco",IFERROR(INDEX('Datos - TIMSS 2023'!$C$5:$C$105,MATCH(AA762,'Datos - TIMSS 2023'!$A$5:$A$105,0)),"Pendiente de clasificar")))</f>
        <v/>
      </c>
      <c r="AD762" s="11" t="inlineStr">
        <is>
          <t>2. Construir y evaluar diseños para la indagación científica e interpretar datos y evidencia de forma crítica</t>
        </is>
      </c>
      <c r="AE762" s="11">
        <f>IF(AD762="","",IF(LEFT(AD762,1)="1","C1",IF(LEFT(AD762,1)="2","C2",IF(LEFT(AD762,1)="3","C3",""))))</f>
        <v/>
      </c>
      <c r="AF762" s="11" t="inlineStr">
        <is>
          <t>E1</t>
        </is>
      </c>
      <c r="AG762" s="11" t="inlineStr">
        <is>
          <t>E5</t>
        </is>
      </c>
      <c r="AH762" s="11" t="inlineStr">
        <is>
          <t>E1</t>
        </is>
      </c>
      <c r="AI762" s="11" t="inlineStr">
        <is>
          <t>D2</t>
        </is>
      </c>
      <c r="AJ762" s="11" t="inlineStr">
        <is>
          <t>D3</t>
        </is>
      </c>
      <c r="AK762" s="11" t="n"/>
      <c r="AL762" s="11" t="n"/>
      <c r="AM762" s="11" t="n"/>
      <c r="AN762" s="11" t="n"/>
      <c r="AO762" s="11" t="n"/>
      <c r="AP762" s="11" t="n"/>
      <c r="AQ762" s="11" t="n"/>
      <c r="AR762" s="11" t="n"/>
      <c r="AS762" s="11" t="n"/>
      <c r="AT762" s="11" t="n"/>
      <c r="AU762" s="11" t="n"/>
      <c r="AV762" s="11" t="n"/>
      <c r="AW762" s="11">
        <f>AF762&amp;"; "&amp;AG762&amp;"; "&amp;AH762&amp;"; "&amp;AI762&amp;"; "&amp;AJ762</f>
        <v/>
      </c>
    </row>
    <row r="763">
      <c r="A763" s="11" t="inlineStr">
        <is>
          <t>T0299-G11-FÍS</t>
        </is>
      </c>
      <c r="B763" s="11" t="n">
        <v>11</v>
      </c>
      <c r="C763" s="11" t="inlineStr">
        <is>
          <t>Física</t>
        </is>
      </c>
      <c r="D763" s="11" t="inlineStr">
        <is>
          <t>Matriz_Bachillerato_Fisica_10_11.xlsx</t>
        </is>
      </c>
      <c r="E763" s="11" t="inlineStr">
        <is>
          <t>Física 11.°</t>
        </is>
      </c>
      <c r="F763" s="11" t="n">
        <v>18</v>
      </c>
      <c r="G763" s="11" t="inlineStr">
        <is>
          <t>4. Ondas de sonido</t>
        </is>
      </c>
      <c r="H763" s="11" t="inlineStr">
        <is>
          <t>Intensidad del sonido</t>
        </is>
      </c>
      <c r="I763" s="38" t="inlineStr">
        <is>
          <t>4.3. Cálculo de la intensidad sonora a diferentes distancias de una fuente puntual.</t>
        </is>
      </c>
      <c r="J763" s="11" t="inlineStr">
        <is>
          <t>TA</t>
        </is>
      </c>
      <c r="K763" s="11" t="inlineStr">
        <is>
          <t>TA-O1.1</t>
        </is>
      </c>
      <c r="L763" s="11" t="inlineStr"/>
      <c r="M763" s="11">
        <f>IF(K763="FUERA","Fuera del marco",IF(K763="N/A","Sin marco",IFERROR(INDEX('Datos - Catálogo TIMSS'!$C$5:$C$107,MATCH(K763,'Datos - Catálogo TIMSS'!$A$5:$A$107,0)),"Pendiente de clasificar")))</f>
        <v/>
      </c>
      <c r="N763" s="11">
        <f>IF(K763="FUERA","Fuera del marco",IF(K763="N/A","Sin marco",IFERROR(INDEX('Datos - Catálogo TIMSS'!$F$5:$F$107,MATCH(K763,'Datos - Catálogo TIMSS'!$A$5:$A$107,0)),"Pendiente de clasificar")))</f>
        <v/>
      </c>
      <c r="O763" s="11">
        <f>IF(L763="","",IFERROR(INDEX('Datos - Catálogo TIMSS'!$C$5:$C$107,MATCH(L763,'Datos - Catálogo TIMSS'!$A$5:$A$107,0)),"?"))</f>
        <v/>
      </c>
      <c r="P763" s="11" t="inlineStr">
        <is>
          <t>media</t>
        </is>
      </c>
      <c r="Q763" s="38" t="inlineStr">
        <is>
          <t>Intensidad sonora e inverso del cuadrado en ondas mecánicas</t>
        </is>
      </c>
      <c r="R763" s="38" t="inlineStr">
        <is>
          <t>Aplicar: calcular intensidades. Razonar: justificar distancias seguras</t>
        </is>
      </c>
      <c r="S763" s="39">
        <f>IFERROR(ISNUMBER(SEARCH("Conocer",$R763))/(ISNUMBER(SEARCH("Conocer",$R763))+ISNUMBER(SEARCH("Aplicar",$R763))+ISNUMBER(SEARCH("Razonar",$R763))),0)</f>
        <v/>
      </c>
      <c r="T763" s="39">
        <f>IFERROR(ISNUMBER(SEARCH("Aplicar",$R763))/(ISNUMBER(SEARCH("Conocer",$R763))+ISNUMBER(SEARCH("Aplicar",$R763))+ISNUMBER(SEARCH("Razonar",$R763))),0)</f>
        <v/>
      </c>
      <c r="U763" s="39">
        <f>IFERROR(ISNUMBER(SEARCH("Razonar",$R763))/(ISNUMBER(SEARCH("Conocer",$R763))+ISNUMBER(SEARCH("Aplicar",$R763))+ISNUMBER(SEARCH("Razonar",$R763))),0)</f>
        <v/>
      </c>
      <c r="V763" s="11" t="inlineStr">
        <is>
          <t>Física 11°</t>
        </is>
      </c>
      <c r="W763" s="11" t="inlineStr">
        <is>
          <t>Física 10°–11°</t>
        </is>
      </c>
      <c r="X763" s="11">
        <f>IF(OR(IFERROR(INDEX('Datos - Catálogo TIMSS'!$I$5:$I$107,MATCH(K763,'Datos - Catálogo TIMSS'!$A$5:$A$107,0)),"No")="Sí",IFERROR(INDEX('Datos - Catálogo TIMSS'!$I$5:$I$107,MATCH(L763,'Datos - Catálogo TIMSS'!$A$5:$A$107,0)),"No")="Sí"),1,0)</f>
        <v/>
      </c>
      <c r="Y763" s="11">
        <f>IF(IFERROR(INDEX('Datos - Catálogo TIMSS'!$J$5:$J$107,MATCH(K763,'Datos - Catálogo TIMSS'!$A$5:$A$107,0)),"No")="Sí",1,0)</f>
        <v/>
      </c>
      <c r="Z763" s="11">
        <f>IF(IFERROR(INDEX('Datos - Catálogo TIMSS'!$J$5:$J$107,MATCH(L763,'Datos - Catálogo TIMSS'!$A$5:$A$107,0)),"No")="Sí",1,0)</f>
        <v/>
      </c>
      <c r="AA763" s="11" t="inlineStr">
        <is>
          <t>TA-O1.1</t>
        </is>
      </c>
      <c r="AB763" s="11" t="inlineStr"/>
      <c r="AC763" s="11">
        <f>IF(AA763="FUERA","Fuera del marco",IF(AA763="N/A","Sin marco",IFERROR(INDEX('Datos - TIMSS 2023'!$C$5:$C$105,MATCH(AA763,'Datos - TIMSS 2023'!$A$5:$A$105,0)),"Pendiente de clasificar")))</f>
        <v/>
      </c>
      <c r="AD763" s="11" t="inlineStr">
        <is>
          <t>1. Explicar fenómenos científicamente</t>
        </is>
      </c>
      <c r="AE763" s="11">
        <f>IF(AD763="","",IF(LEFT(AD763,1)="1","C1",IF(LEFT(AD763,1)="2","C2",IF(LEFT(AD763,1)="3","C3",""))))</f>
        <v/>
      </c>
      <c r="AF763" s="11" t="inlineStr">
        <is>
          <t>E6</t>
        </is>
      </c>
      <c r="AG763" s="11" t="inlineStr">
        <is>
          <t>E3</t>
        </is>
      </c>
      <c r="AH763" s="11" t="inlineStr">
        <is>
          <t>E2</t>
        </is>
      </c>
      <c r="AI763" s="11" t="inlineStr">
        <is>
          <t>E4</t>
        </is>
      </c>
      <c r="AJ763" s="11" t="inlineStr">
        <is>
          <t>I5</t>
        </is>
      </c>
      <c r="AK763" s="11" t="n"/>
      <c r="AL763" s="11" t="n"/>
      <c r="AM763" s="11" t="n"/>
      <c r="AN763" s="11" t="n"/>
      <c r="AO763" s="11" t="n"/>
      <c r="AP763" s="11" t="n"/>
      <c r="AQ763" s="11" t="n"/>
      <c r="AR763" s="11" t="n"/>
      <c r="AS763" s="11" t="n"/>
      <c r="AT763" s="11" t="n"/>
      <c r="AU763" s="11" t="n"/>
      <c r="AV763" s="11" t="n"/>
      <c r="AW763" s="11">
        <f>AF763&amp;"; "&amp;AG763&amp;"; "&amp;AH763&amp;"; "&amp;AI763&amp;"; "&amp;AJ763</f>
        <v/>
      </c>
    </row>
    <row r="764">
      <c r="A764" s="11" t="inlineStr">
        <is>
          <t>T0300-G11-FÍS</t>
        </is>
      </c>
      <c r="B764" s="11" t="n">
        <v>11</v>
      </c>
      <c r="C764" s="11" t="inlineStr">
        <is>
          <t>Física</t>
        </is>
      </c>
      <c r="D764" s="11" t="inlineStr">
        <is>
          <t>Matriz_Bachillerato_Fisica_10_11.xlsx</t>
        </is>
      </c>
      <c r="E764" s="11" t="inlineStr">
        <is>
          <t>Física 11.°</t>
        </is>
      </c>
      <c r="F764" s="11" t="n">
        <v>19</v>
      </c>
      <c r="G764" s="11" t="inlineStr">
        <is>
          <t>4. Ondas de sonido</t>
        </is>
      </c>
      <c r="H764" s="11" t="inlineStr">
        <is>
          <t>Intensidad del sonido</t>
        </is>
      </c>
      <c r="I764" s="38" t="inlineStr">
        <is>
          <t>4.4. Cálculo e interpretación de niveles de intensidad sonora en decibelios en ambientes cotidianos.</t>
        </is>
      </c>
      <c r="J764" s="11" t="inlineStr">
        <is>
          <t>TA</t>
        </is>
      </c>
      <c r="K764" s="11" t="inlineStr">
        <is>
          <t>TA-O1.1</t>
        </is>
      </c>
      <c r="L764" s="11" t="inlineStr"/>
      <c r="M764" s="11">
        <f>IF(K764="FUERA","Fuera del marco",IF(K764="N/A","Sin marco",IFERROR(INDEX('Datos - Catálogo TIMSS'!$C$5:$C$107,MATCH(K764,'Datos - Catálogo TIMSS'!$A$5:$A$107,0)),"Pendiente de clasificar")))</f>
        <v/>
      </c>
      <c r="N764" s="11">
        <f>IF(K764="FUERA","Fuera del marco",IF(K764="N/A","Sin marco",IFERROR(INDEX('Datos - Catálogo TIMSS'!$F$5:$F$107,MATCH(K764,'Datos - Catálogo TIMSS'!$A$5:$A$107,0)),"Pendiente de clasificar")))</f>
        <v/>
      </c>
      <c r="O764" s="11">
        <f>IF(L764="","",IFERROR(INDEX('Datos - Catálogo TIMSS'!$C$5:$C$107,MATCH(L764,'Datos - Catálogo TIMSS'!$A$5:$A$107,0)),"?"))</f>
        <v/>
      </c>
      <c r="P764" s="11" t="inlineStr">
        <is>
          <t>media</t>
        </is>
      </c>
      <c r="Q764" s="38" t="inlineStr">
        <is>
          <t>Nivel de intensidad sonora en decibelios</t>
        </is>
      </c>
      <c r="R764" s="38" t="inlineStr">
        <is>
          <t>Aplicar: calcular en escala logarítmica. Razonar: argumentar con datos medidos</t>
        </is>
      </c>
      <c r="S764" s="39">
        <f>IFERROR(ISNUMBER(SEARCH("Conocer",$R764))/(ISNUMBER(SEARCH("Conocer",$R764))+ISNUMBER(SEARCH("Aplicar",$R764))+ISNUMBER(SEARCH("Razonar",$R764))),0)</f>
        <v/>
      </c>
      <c r="T764" s="39">
        <f>IFERROR(ISNUMBER(SEARCH("Aplicar",$R764))/(ISNUMBER(SEARCH("Conocer",$R764))+ISNUMBER(SEARCH("Aplicar",$R764))+ISNUMBER(SEARCH("Razonar",$R764))),0)</f>
        <v/>
      </c>
      <c r="U764" s="39">
        <f>IFERROR(ISNUMBER(SEARCH("Razonar",$R764))/(ISNUMBER(SEARCH("Conocer",$R764))+ISNUMBER(SEARCH("Aplicar",$R764))+ISNUMBER(SEARCH("Razonar",$R764))),0)</f>
        <v/>
      </c>
      <c r="V764" s="11" t="inlineStr">
        <is>
          <t>Física 11°</t>
        </is>
      </c>
      <c r="W764" s="11" t="inlineStr">
        <is>
          <t>Física 10°–11°</t>
        </is>
      </c>
      <c r="X764" s="11">
        <f>IF(OR(IFERROR(INDEX('Datos - Catálogo TIMSS'!$I$5:$I$107,MATCH(K764,'Datos - Catálogo TIMSS'!$A$5:$A$107,0)),"No")="Sí",IFERROR(INDEX('Datos - Catálogo TIMSS'!$I$5:$I$107,MATCH(L764,'Datos - Catálogo TIMSS'!$A$5:$A$107,0)),"No")="Sí"),1,0)</f>
        <v/>
      </c>
      <c r="Y764" s="11">
        <f>IF(IFERROR(INDEX('Datos - Catálogo TIMSS'!$J$5:$J$107,MATCH(K764,'Datos - Catálogo TIMSS'!$A$5:$A$107,0)),"No")="Sí",1,0)</f>
        <v/>
      </c>
      <c r="Z764" s="11">
        <f>IF(IFERROR(INDEX('Datos - Catálogo TIMSS'!$J$5:$J$107,MATCH(L764,'Datos - Catálogo TIMSS'!$A$5:$A$107,0)),"No")="Sí",1,0)</f>
        <v/>
      </c>
      <c r="AA764" s="11" t="inlineStr">
        <is>
          <t>TA-O1.1</t>
        </is>
      </c>
      <c r="AB764" s="11" t="inlineStr"/>
      <c r="AC764" s="11">
        <f>IF(AA764="FUERA","Fuera del marco",IF(AA764="N/A","Sin marco",IFERROR(INDEX('Datos - TIMSS 2023'!$C$5:$C$105,MATCH(AA764,'Datos - TIMSS 2023'!$A$5:$A$105,0)),"Pendiente de clasificar")))</f>
        <v/>
      </c>
      <c r="AD764" s="11" t="inlineStr">
        <is>
          <t>3. Investigar, evaluar y usar información científica para tomar decisiones y actuar</t>
        </is>
      </c>
      <c r="AE764" s="11">
        <f>IF(AD764="","",IF(LEFT(AD764,1)="1","C1",IF(LEFT(AD764,1)="2","C2",IF(LEFT(AD764,1)="3","C3",""))))</f>
        <v/>
      </c>
      <c r="AF764" s="11" t="inlineStr">
        <is>
          <t>E6</t>
        </is>
      </c>
      <c r="AG764" s="11" t="inlineStr">
        <is>
          <t>D1</t>
        </is>
      </c>
      <c r="AH764" s="11" t="inlineStr">
        <is>
          <t>E1</t>
        </is>
      </c>
      <c r="AI764" s="11" t="inlineStr">
        <is>
          <t>I3</t>
        </is>
      </c>
      <c r="AJ764" s="11" t="inlineStr">
        <is>
          <t>I5</t>
        </is>
      </c>
      <c r="AK764" s="11" t="n"/>
      <c r="AL764" s="11" t="n"/>
      <c r="AM764" s="11" t="n"/>
      <c r="AN764" s="11" t="n"/>
      <c r="AO764" s="11" t="n"/>
      <c r="AP764" s="11" t="n"/>
      <c r="AQ764" s="11" t="n"/>
      <c r="AR764" s="11" t="n"/>
      <c r="AS764" s="11" t="n"/>
      <c r="AT764" s="11" t="n"/>
      <c r="AU764" s="11" t="n"/>
      <c r="AV764" s="11" t="n"/>
      <c r="AW764" s="11">
        <f>AF764&amp;"; "&amp;AG764&amp;"; "&amp;AH764&amp;"; "&amp;AI764&amp;"; "&amp;AJ764</f>
        <v/>
      </c>
    </row>
    <row r="765">
      <c r="A765" s="11" t="inlineStr">
        <is>
          <t>T0301-G11-FÍS</t>
        </is>
      </c>
      <c r="B765" s="11" t="n">
        <v>11</v>
      </c>
      <c r="C765" s="11" t="inlineStr">
        <is>
          <t>Física</t>
        </is>
      </c>
      <c r="D765" s="11" t="inlineStr">
        <is>
          <t>Matriz_Bachillerato_Fisica_10_11.xlsx</t>
        </is>
      </c>
      <c r="E765" s="11" t="inlineStr">
        <is>
          <t>Física 11.°</t>
        </is>
      </c>
      <c r="F765" s="11" t="n">
        <v>20</v>
      </c>
      <c r="G765" s="11" t="inlineStr">
        <is>
          <t>4. Ondas de sonido</t>
        </is>
      </c>
      <c r="H765" s="11" t="inlineStr">
        <is>
          <t>Sonido en movimiento</t>
        </is>
      </c>
      <c r="I765" s="38" t="inlineStr">
        <is>
          <t>4.5. Análisis del cambio de frecuencia percibida cuando la fuente o el observador se mueven.</t>
        </is>
      </c>
      <c r="J765" s="11" t="inlineStr">
        <is>
          <t>TA</t>
        </is>
      </c>
      <c r="K765" s="11" t="inlineStr">
        <is>
          <t>TA-O1.1</t>
        </is>
      </c>
      <c r="L765" s="11" t="inlineStr"/>
      <c r="M765" s="11">
        <f>IF(K765="FUERA","Fuera del marco",IF(K765="N/A","Sin marco",IFERROR(INDEX('Datos - Catálogo TIMSS'!$C$5:$C$107,MATCH(K765,'Datos - Catálogo TIMSS'!$A$5:$A$107,0)),"Pendiente de clasificar")))</f>
        <v/>
      </c>
      <c r="N765" s="11">
        <f>IF(K765="FUERA","Fuera del marco",IF(K765="N/A","Sin marco",IFERROR(INDEX('Datos - Catálogo TIMSS'!$F$5:$F$107,MATCH(K765,'Datos - Catálogo TIMSS'!$A$5:$A$107,0)),"Pendiente de clasificar")))</f>
        <v/>
      </c>
      <c r="O765" s="11">
        <f>IF(L765="","",IFERROR(INDEX('Datos - Catálogo TIMSS'!$C$5:$C$107,MATCH(L765,'Datos - Catálogo TIMSS'!$A$5:$A$107,0)),"?"))</f>
        <v/>
      </c>
      <c r="P765" s="11" t="inlineStr">
        <is>
          <t>media</t>
        </is>
      </c>
      <c r="Q765" s="38" t="inlineStr">
        <is>
          <t>Efecto Doppler: frecuencia percibida de ondas sonoras</t>
        </is>
      </c>
      <c r="R765" s="38" t="inlineStr">
        <is>
          <t>Aplicar: calcular frecuencias percibidas. Razonar: explicar con frentes de onda</t>
        </is>
      </c>
      <c r="S765" s="39">
        <f>IFERROR(ISNUMBER(SEARCH("Conocer",$R765))/(ISNUMBER(SEARCH("Conocer",$R765))+ISNUMBER(SEARCH("Aplicar",$R765))+ISNUMBER(SEARCH("Razonar",$R765))),0)</f>
        <v/>
      </c>
      <c r="T765" s="39">
        <f>IFERROR(ISNUMBER(SEARCH("Aplicar",$R765))/(ISNUMBER(SEARCH("Conocer",$R765))+ISNUMBER(SEARCH("Aplicar",$R765))+ISNUMBER(SEARCH("Razonar",$R765))),0)</f>
        <v/>
      </c>
      <c r="U765" s="39">
        <f>IFERROR(ISNUMBER(SEARCH("Razonar",$R765))/(ISNUMBER(SEARCH("Conocer",$R765))+ISNUMBER(SEARCH("Aplicar",$R765))+ISNUMBER(SEARCH("Razonar",$R765))),0)</f>
        <v/>
      </c>
      <c r="V765" s="11" t="inlineStr">
        <is>
          <t>Física 11°</t>
        </is>
      </c>
      <c r="W765" s="11" t="inlineStr">
        <is>
          <t>Física 10°–11°</t>
        </is>
      </c>
      <c r="X765" s="11">
        <f>IF(OR(IFERROR(INDEX('Datos - Catálogo TIMSS'!$I$5:$I$107,MATCH(K765,'Datos - Catálogo TIMSS'!$A$5:$A$107,0)),"No")="Sí",IFERROR(INDEX('Datos - Catálogo TIMSS'!$I$5:$I$107,MATCH(L765,'Datos - Catálogo TIMSS'!$A$5:$A$107,0)),"No")="Sí"),1,0)</f>
        <v/>
      </c>
      <c r="Y765" s="11">
        <f>IF(IFERROR(INDEX('Datos - Catálogo TIMSS'!$J$5:$J$107,MATCH(K765,'Datos - Catálogo TIMSS'!$A$5:$A$107,0)),"No")="Sí",1,0)</f>
        <v/>
      </c>
      <c r="Z765" s="11">
        <f>IF(IFERROR(INDEX('Datos - Catálogo TIMSS'!$J$5:$J$107,MATCH(L765,'Datos - Catálogo TIMSS'!$A$5:$A$107,0)),"No")="Sí",1,0)</f>
        <v/>
      </c>
      <c r="AA765" s="11" t="inlineStr">
        <is>
          <t>TA-O1.1</t>
        </is>
      </c>
      <c r="AB765" s="11" t="inlineStr"/>
      <c r="AC765" s="11">
        <f>IF(AA765="FUERA","Fuera del marco",IF(AA765="N/A","Sin marco",IFERROR(INDEX('Datos - TIMSS 2023'!$C$5:$C$105,MATCH(AA765,'Datos - TIMSS 2023'!$A$5:$A$105,0)),"Pendiente de clasificar")))</f>
        <v/>
      </c>
      <c r="AD765" s="11" t="inlineStr">
        <is>
          <t>1. Explicar fenómenos científicamente</t>
        </is>
      </c>
      <c r="AE765" s="11">
        <f>IF(AD765="","",IF(LEFT(AD765,1)="1","C1",IF(LEFT(AD765,1)="2","C2",IF(LEFT(AD765,1)="3","C3",""))))</f>
        <v/>
      </c>
      <c r="AF765" s="11" t="inlineStr">
        <is>
          <t>E1</t>
        </is>
      </c>
      <c r="AG765" s="11" t="inlineStr">
        <is>
          <t>E5</t>
        </is>
      </c>
      <c r="AH765" s="11" t="inlineStr">
        <is>
          <t>E4</t>
        </is>
      </c>
      <c r="AI765" s="11" t="inlineStr">
        <is>
          <t>D4</t>
        </is>
      </c>
      <c r="AJ765" s="11" t="inlineStr">
        <is>
          <t>E3</t>
        </is>
      </c>
      <c r="AK765" s="11" t="n"/>
      <c r="AL765" s="11" t="n"/>
      <c r="AM765" s="11" t="n"/>
      <c r="AN765" s="11" t="n"/>
      <c r="AO765" s="11" t="n"/>
      <c r="AP765" s="11" t="n"/>
      <c r="AQ765" s="11" t="n"/>
      <c r="AR765" s="11" t="n"/>
      <c r="AS765" s="11" t="n"/>
      <c r="AT765" s="11" t="n"/>
      <c r="AU765" s="11" t="n"/>
      <c r="AV765" s="11" t="n"/>
      <c r="AW765" s="11">
        <f>AF765&amp;"; "&amp;AG765&amp;"; "&amp;AH765&amp;"; "&amp;AI765&amp;"; "&amp;AJ765</f>
        <v/>
      </c>
    </row>
    <row r="766">
      <c r="A766" s="11" t="inlineStr">
        <is>
          <t>T0302-G11-FÍS</t>
        </is>
      </c>
      <c r="B766" s="11" t="n">
        <v>11</v>
      </c>
      <c r="C766" s="11" t="inlineStr">
        <is>
          <t>Física</t>
        </is>
      </c>
      <c r="D766" s="11" t="inlineStr">
        <is>
          <t>Matriz_Bachillerato_Fisica_10_11.xlsx</t>
        </is>
      </c>
      <c r="E766" s="11" t="inlineStr">
        <is>
          <t>Física 11.°</t>
        </is>
      </c>
      <c r="F766" s="11" t="n">
        <v>21</v>
      </c>
      <c r="G766" s="11" t="inlineStr">
        <is>
          <t>4. Ondas de sonido</t>
        </is>
      </c>
      <c r="H766" s="11" t="inlineStr">
        <is>
          <t>Sonido en movimiento</t>
        </is>
      </c>
      <c r="I766" s="38" t="inlineStr">
        <is>
          <t>4.6. Explicación de la física del ultrasonido y de sus aplicaciones diagnósticas y terapéuticas en la medicina.</t>
        </is>
      </c>
      <c r="J766" s="11" t="inlineStr">
        <is>
          <t>TA</t>
        </is>
      </c>
      <c r="K766" s="11" t="inlineStr">
        <is>
          <t>TA-O1.1</t>
        </is>
      </c>
      <c r="L766" s="11" t="inlineStr">
        <is>
          <t>TA-O1.4</t>
        </is>
      </c>
      <c r="M766" s="11">
        <f>IF(K766="FUERA","Fuera del marco",IF(K766="N/A","Sin marco",IFERROR(INDEX('Datos - Catálogo TIMSS'!$C$5:$C$107,MATCH(K766,'Datos - Catálogo TIMSS'!$A$5:$A$107,0)),"Pendiente de clasificar")))</f>
        <v/>
      </c>
      <c r="N766" s="11">
        <f>IF(K766="FUERA","Fuera del marco",IF(K766="N/A","Sin marco",IFERROR(INDEX('Datos - Catálogo TIMSS'!$F$5:$F$107,MATCH(K766,'Datos - Catálogo TIMSS'!$A$5:$A$107,0)),"Pendiente de clasificar")))</f>
        <v/>
      </c>
      <c r="O766" s="11">
        <f>IF(L766="","",IFERROR(INDEX('Datos - Catálogo TIMSS'!$C$5:$C$107,MATCH(L766,'Datos - Catálogo TIMSS'!$A$5:$A$107,0)),"?"))</f>
        <v/>
      </c>
      <c r="P766" s="11" t="inlineStr">
        <is>
          <t>media</t>
        </is>
      </c>
      <c r="Q766" s="38" t="inlineStr">
        <is>
          <t>Ultrasonido: Doppler y reflexión de ondas mecánicas</t>
        </is>
      </c>
      <c r="R766" s="38" t="inlineStr">
        <is>
          <t>Conocer: describir aplicaciones. Aplicar: calcular profundidades con ecos</t>
        </is>
      </c>
      <c r="S766" s="39">
        <f>IFERROR(ISNUMBER(SEARCH("Conocer",$R766))/(ISNUMBER(SEARCH("Conocer",$R766))+ISNUMBER(SEARCH("Aplicar",$R766))+ISNUMBER(SEARCH("Razonar",$R766))),0)</f>
        <v/>
      </c>
      <c r="T766" s="39">
        <f>IFERROR(ISNUMBER(SEARCH("Aplicar",$R766))/(ISNUMBER(SEARCH("Conocer",$R766))+ISNUMBER(SEARCH("Aplicar",$R766))+ISNUMBER(SEARCH("Razonar",$R766))),0)</f>
        <v/>
      </c>
      <c r="U766" s="39">
        <f>IFERROR(ISNUMBER(SEARCH("Razonar",$R766))/(ISNUMBER(SEARCH("Conocer",$R766))+ISNUMBER(SEARCH("Aplicar",$R766))+ISNUMBER(SEARCH("Razonar",$R766))),0)</f>
        <v/>
      </c>
      <c r="V766" s="11" t="inlineStr">
        <is>
          <t>Física 11°</t>
        </is>
      </c>
      <c r="W766" s="11" t="inlineStr">
        <is>
          <t>Física 10°–11°</t>
        </is>
      </c>
      <c r="X766" s="11">
        <f>IF(OR(IFERROR(INDEX('Datos - Catálogo TIMSS'!$I$5:$I$107,MATCH(K766,'Datos - Catálogo TIMSS'!$A$5:$A$107,0)),"No")="Sí",IFERROR(INDEX('Datos - Catálogo TIMSS'!$I$5:$I$107,MATCH(L766,'Datos - Catálogo TIMSS'!$A$5:$A$107,0)),"No")="Sí"),1,0)</f>
        <v/>
      </c>
      <c r="Y766" s="11">
        <f>IF(IFERROR(INDEX('Datos - Catálogo TIMSS'!$J$5:$J$107,MATCH(K766,'Datos - Catálogo TIMSS'!$A$5:$A$107,0)),"No")="Sí",1,0)</f>
        <v/>
      </c>
      <c r="Z766" s="11">
        <f>IF(IFERROR(INDEX('Datos - Catálogo TIMSS'!$J$5:$J$107,MATCH(L766,'Datos - Catálogo TIMSS'!$A$5:$A$107,0)),"No")="Sí",1,0)</f>
        <v/>
      </c>
      <c r="AA766" s="11" t="inlineStr">
        <is>
          <t>TA-O1.1</t>
        </is>
      </c>
      <c r="AB766" s="11" t="inlineStr">
        <is>
          <t>TA-O1.4</t>
        </is>
      </c>
      <c r="AC766" s="11">
        <f>IF(AA766="FUERA","Fuera del marco",IF(AA766="N/A","Sin marco",IFERROR(INDEX('Datos - TIMSS 2023'!$C$5:$C$105,MATCH(AA766,'Datos - TIMSS 2023'!$A$5:$A$105,0)),"Pendiente de clasificar")))</f>
        <v/>
      </c>
      <c r="AD766" s="11" t="inlineStr">
        <is>
          <t>3. Investigar, evaluar y usar información científica para tomar decisiones y actuar</t>
        </is>
      </c>
      <c r="AE766" s="11">
        <f>IF(AD766="","",IF(LEFT(AD766,1)="1","C1",IF(LEFT(AD766,1)="2","C2",IF(LEFT(AD766,1)="3","C3",""))))</f>
        <v/>
      </c>
      <c r="AF766" s="11" t="inlineStr">
        <is>
          <t>E6</t>
        </is>
      </c>
      <c r="AG766" s="11" t="inlineStr">
        <is>
          <t>E3</t>
        </is>
      </c>
      <c r="AH766" s="11" t="inlineStr">
        <is>
          <t>E1</t>
        </is>
      </c>
      <c r="AI766" s="11" t="inlineStr">
        <is>
          <t>I1</t>
        </is>
      </c>
      <c r="AJ766" s="11" t="inlineStr">
        <is>
          <t>I2</t>
        </is>
      </c>
      <c r="AK766" s="11" t="n"/>
      <c r="AL766" s="11" t="n"/>
      <c r="AM766" s="11" t="n"/>
      <c r="AN766" s="11" t="n"/>
      <c r="AO766" s="11" t="n"/>
      <c r="AP766" s="11" t="n"/>
      <c r="AQ766" s="11" t="n"/>
      <c r="AR766" s="11" t="n"/>
      <c r="AS766" s="11" t="n"/>
      <c r="AT766" s="11" t="n"/>
      <c r="AU766" s="11" t="n"/>
      <c r="AV766" s="11" t="n"/>
      <c r="AW766" s="11">
        <f>AF766&amp;"; "&amp;AG766&amp;"; "&amp;AH766&amp;"; "&amp;AI766&amp;"; "&amp;AJ766</f>
        <v/>
      </c>
    </row>
    <row r="767">
      <c r="A767" s="11" t="inlineStr">
        <is>
          <t>T0303-G11-FÍS</t>
        </is>
      </c>
      <c r="B767" s="11" t="n">
        <v>11</v>
      </c>
      <c r="C767" s="11" t="inlineStr">
        <is>
          <t>Física</t>
        </is>
      </c>
      <c r="D767" s="11" t="inlineStr">
        <is>
          <t>Matriz_Bachillerato_Fisica_10_11.xlsx</t>
        </is>
      </c>
      <c r="E767" s="11" t="inlineStr">
        <is>
          <t>Física 11.°</t>
        </is>
      </c>
      <c r="F767" s="11" t="n">
        <v>22</v>
      </c>
      <c r="G767" s="11" t="inlineStr">
        <is>
          <t>4. Ondas de sonido</t>
        </is>
      </c>
      <c r="H767" s="11" t="inlineStr">
        <is>
          <t>Audición humana</t>
        </is>
      </c>
      <c r="I767" s="38" t="inlineStr">
        <is>
          <t>4.7. Interpretación de las curvas de igual sonoridad y de los riesgos de la exposición prolongada a niveles altos de sonido.</t>
        </is>
      </c>
      <c r="J767" s="11" t="inlineStr">
        <is>
          <t>TA</t>
        </is>
      </c>
      <c r="K767" s="11" t="inlineStr">
        <is>
          <t>TA-O1.1</t>
        </is>
      </c>
      <c r="L767" s="11" t="inlineStr"/>
      <c r="M767" s="11">
        <f>IF(K767="FUERA","Fuera del marco",IF(K767="N/A","Sin marco",IFERROR(INDEX('Datos - Catálogo TIMSS'!$C$5:$C$107,MATCH(K767,'Datos - Catálogo TIMSS'!$A$5:$A$107,0)),"Pendiente de clasificar")))</f>
        <v/>
      </c>
      <c r="N767" s="11">
        <f>IF(K767="FUERA","Fuera del marco",IF(K767="N/A","Sin marco",IFERROR(INDEX('Datos - Catálogo TIMSS'!$F$5:$F$107,MATCH(K767,'Datos - Catálogo TIMSS'!$A$5:$A$107,0)),"Pendiente de clasificar")))</f>
        <v/>
      </c>
      <c r="O767" s="11">
        <f>IF(L767="","",IFERROR(INDEX('Datos - Catálogo TIMSS'!$C$5:$C$107,MATCH(L767,'Datos - Catálogo TIMSS'!$A$5:$A$107,0)),"?"))</f>
        <v/>
      </c>
      <c r="P767" s="11" t="inlineStr">
        <is>
          <t>baja</t>
        </is>
      </c>
      <c r="Q767" s="38" t="inlineStr">
        <is>
          <t>Audición y sensibilidad según frecuencia; contenido aplicado</t>
        </is>
      </c>
      <c r="R767" s="38" t="inlineStr">
        <is>
          <t>Aplicar: leer gráficas logarítmicas. Razonar: argumentar medidas de protección</t>
        </is>
      </c>
      <c r="S767" s="39">
        <f>IFERROR(ISNUMBER(SEARCH("Conocer",$R767))/(ISNUMBER(SEARCH("Conocer",$R767))+ISNUMBER(SEARCH("Aplicar",$R767))+ISNUMBER(SEARCH("Razonar",$R767))),0)</f>
        <v/>
      </c>
      <c r="T767" s="39">
        <f>IFERROR(ISNUMBER(SEARCH("Aplicar",$R767))/(ISNUMBER(SEARCH("Conocer",$R767))+ISNUMBER(SEARCH("Aplicar",$R767))+ISNUMBER(SEARCH("Razonar",$R767))),0)</f>
        <v/>
      </c>
      <c r="U767" s="39">
        <f>IFERROR(ISNUMBER(SEARCH("Razonar",$R767))/(ISNUMBER(SEARCH("Conocer",$R767))+ISNUMBER(SEARCH("Aplicar",$R767))+ISNUMBER(SEARCH("Razonar",$R767))),0)</f>
        <v/>
      </c>
      <c r="V767" s="11" t="inlineStr">
        <is>
          <t>Física 11°</t>
        </is>
      </c>
      <c r="W767" s="11" t="inlineStr">
        <is>
          <t>Física 10°–11°</t>
        </is>
      </c>
      <c r="X767" s="11">
        <f>IF(OR(IFERROR(INDEX('Datos - Catálogo TIMSS'!$I$5:$I$107,MATCH(K767,'Datos - Catálogo TIMSS'!$A$5:$A$107,0)),"No")="Sí",IFERROR(INDEX('Datos - Catálogo TIMSS'!$I$5:$I$107,MATCH(L767,'Datos - Catálogo TIMSS'!$A$5:$A$107,0)),"No")="Sí"),1,0)</f>
        <v/>
      </c>
      <c r="Y767" s="11">
        <f>IF(IFERROR(INDEX('Datos - Catálogo TIMSS'!$J$5:$J$107,MATCH(K767,'Datos - Catálogo TIMSS'!$A$5:$A$107,0)),"No")="Sí",1,0)</f>
        <v/>
      </c>
      <c r="Z767" s="11">
        <f>IF(IFERROR(INDEX('Datos - Catálogo TIMSS'!$J$5:$J$107,MATCH(L767,'Datos - Catálogo TIMSS'!$A$5:$A$107,0)),"No")="Sí",1,0)</f>
        <v/>
      </c>
      <c r="AA767" s="11" t="inlineStr">
        <is>
          <t>TA-O1.1</t>
        </is>
      </c>
      <c r="AB767" s="11" t="inlineStr"/>
      <c r="AC767" s="11">
        <f>IF(AA767="FUERA","Fuera del marco",IF(AA767="N/A","Sin marco",IFERROR(INDEX('Datos - TIMSS 2023'!$C$5:$C$105,MATCH(AA767,'Datos - TIMSS 2023'!$A$5:$A$105,0)),"Pendiente de clasificar")))</f>
        <v/>
      </c>
      <c r="AD767" s="11" t="inlineStr">
        <is>
          <t>1. Explicar fenómenos científicamente</t>
        </is>
      </c>
      <c r="AE767" s="11">
        <f>IF(AD767="","",IF(LEFT(AD767,1)="1","C1",IF(LEFT(AD767,1)="2","C2",IF(LEFT(AD767,1)="3","C3",""))))</f>
        <v/>
      </c>
      <c r="AF767" s="11" t="inlineStr">
        <is>
          <t>E1</t>
        </is>
      </c>
      <c r="AG767" s="11" t="inlineStr">
        <is>
          <t>D1</t>
        </is>
      </c>
      <c r="AH767" s="11" t="inlineStr">
        <is>
          <t>E2</t>
        </is>
      </c>
      <c r="AI767" s="11" t="inlineStr">
        <is>
          <t>I3</t>
        </is>
      </c>
      <c r="AJ767" s="11" t="inlineStr">
        <is>
          <t>E6</t>
        </is>
      </c>
      <c r="AK767" s="11" t="n"/>
      <c r="AL767" s="11" t="n"/>
      <c r="AM767" s="11" t="n"/>
      <c r="AN767" s="11" t="n"/>
      <c r="AO767" s="11" t="n"/>
      <c r="AP767" s="11" t="n"/>
      <c r="AQ767" s="11" t="n"/>
      <c r="AR767" s="11" t="n"/>
      <c r="AS767" s="11" t="n"/>
      <c r="AT767" s="11" t="n"/>
      <c r="AU767" s="11" t="n"/>
      <c r="AV767" s="11" t="n"/>
      <c r="AW767" s="11">
        <f>AF767&amp;"; "&amp;AG767&amp;"; "&amp;AH767&amp;"; "&amp;AI767&amp;"; "&amp;AJ767</f>
        <v/>
      </c>
    </row>
    <row r="768">
      <c r="A768" s="11" t="inlineStr">
        <is>
          <t>T0304-G11-FÍS</t>
        </is>
      </c>
      <c r="B768" s="11" t="n">
        <v>11</v>
      </c>
      <c r="C768" s="11" t="inlineStr">
        <is>
          <t>Física</t>
        </is>
      </c>
      <c r="D768" s="11" t="inlineStr">
        <is>
          <t>Matriz_Bachillerato_Fisica_10_11.xlsx</t>
        </is>
      </c>
      <c r="E768" s="11" t="inlineStr">
        <is>
          <t>Física 11.°</t>
        </is>
      </c>
      <c r="F768" s="11" t="n">
        <v>23</v>
      </c>
      <c r="G768" s="11" t="inlineStr">
        <is>
          <t>5. Superposición lineal y fenómenos de interferencia</t>
        </is>
      </c>
      <c r="H768" s="11" t="inlineStr">
        <is>
          <t>Principio de superposición</t>
        </is>
      </c>
      <c r="I768" s="38" t="inlineStr">
        <is>
          <t>5.1. Análisis de la superposición de pulsos que viajan en sentidos opuestos en un resorte largo.</t>
        </is>
      </c>
      <c r="J768" s="11" t="inlineStr">
        <is>
          <t>TA</t>
        </is>
      </c>
      <c r="K768" s="11" t="inlineStr">
        <is>
          <t>TA-O1.4</t>
        </is>
      </c>
      <c r="L768" s="11" t="inlineStr"/>
      <c r="M768" s="11">
        <f>IF(K768="FUERA","Fuera del marco",IF(K768="N/A","Sin marco",IFERROR(INDEX('Datos - Catálogo TIMSS'!$C$5:$C$107,MATCH(K768,'Datos - Catálogo TIMSS'!$A$5:$A$107,0)),"Pendiente de clasificar")))</f>
        <v/>
      </c>
      <c r="N768" s="11">
        <f>IF(K768="FUERA","Fuera del marco",IF(K768="N/A","Sin marco",IFERROR(INDEX('Datos - Catálogo TIMSS'!$F$5:$F$107,MATCH(K768,'Datos - Catálogo TIMSS'!$A$5:$A$107,0)),"Pendiente de clasificar")))</f>
        <v/>
      </c>
      <c r="O768" s="11">
        <f>IF(L768="","",IFERROR(INDEX('Datos - Catálogo TIMSS'!$C$5:$C$107,MATCH(L768,'Datos - Catálogo TIMSS'!$A$5:$A$107,0)),"?"))</f>
        <v/>
      </c>
      <c r="P768" s="11" t="inlineStr">
        <is>
          <t>alta</t>
        </is>
      </c>
      <c r="Q768" s="38" t="inlineStr">
        <is>
          <t>Superposición de pulsos: interferencia constructiva y destructiva</t>
        </is>
      </c>
      <c r="R768" s="38" t="inlineStr">
        <is>
          <t>Aplicar: sumar desplazamientos. Razonar: justificar la independencia de las ondas</t>
        </is>
      </c>
      <c r="S768" s="39">
        <f>IFERROR(ISNUMBER(SEARCH("Conocer",$R768))/(ISNUMBER(SEARCH("Conocer",$R768))+ISNUMBER(SEARCH("Aplicar",$R768))+ISNUMBER(SEARCH("Razonar",$R768))),0)</f>
        <v/>
      </c>
      <c r="T768" s="39">
        <f>IFERROR(ISNUMBER(SEARCH("Aplicar",$R768))/(ISNUMBER(SEARCH("Conocer",$R768))+ISNUMBER(SEARCH("Aplicar",$R768))+ISNUMBER(SEARCH("Razonar",$R768))),0)</f>
        <v/>
      </c>
      <c r="U768" s="39">
        <f>IFERROR(ISNUMBER(SEARCH("Razonar",$R768))/(ISNUMBER(SEARCH("Conocer",$R768))+ISNUMBER(SEARCH("Aplicar",$R768))+ISNUMBER(SEARCH("Razonar",$R768))),0)</f>
        <v/>
      </c>
      <c r="V768" s="11" t="inlineStr">
        <is>
          <t>Física 11°</t>
        </is>
      </c>
      <c r="W768" s="11" t="inlineStr">
        <is>
          <t>Física 10°–11°</t>
        </is>
      </c>
      <c r="X768" s="11">
        <f>IF(OR(IFERROR(INDEX('Datos - Catálogo TIMSS'!$I$5:$I$107,MATCH(K768,'Datos - Catálogo TIMSS'!$A$5:$A$107,0)),"No")="Sí",IFERROR(INDEX('Datos - Catálogo TIMSS'!$I$5:$I$107,MATCH(L768,'Datos - Catálogo TIMSS'!$A$5:$A$107,0)),"No")="Sí"),1,0)</f>
        <v/>
      </c>
      <c r="Y768" s="11">
        <f>IF(IFERROR(INDEX('Datos - Catálogo TIMSS'!$J$5:$J$107,MATCH(K768,'Datos - Catálogo TIMSS'!$A$5:$A$107,0)),"No")="Sí",1,0)</f>
        <v/>
      </c>
      <c r="Z768" s="11">
        <f>IF(IFERROR(INDEX('Datos - Catálogo TIMSS'!$J$5:$J$107,MATCH(L768,'Datos - Catálogo TIMSS'!$A$5:$A$107,0)),"No")="Sí",1,0)</f>
        <v/>
      </c>
      <c r="AA768" s="11" t="inlineStr">
        <is>
          <t>TA-O1.4</t>
        </is>
      </c>
      <c r="AB768" s="11" t="inlineStr"/>
      <c r="AC768" s="11">
        <f>IF(AA768="FUERA","Fuera del marco",IF(AA768="N/A","Sin marco",IFERROR(INDEX('Datos - TIMSS 2023'!$C$5:$C$105,MATCH(AA768,'Datos - TIMSS 2023'!$A$5:$A$105,0)),"Pendiente de clasificar")))</f>
        <v/>
      </c>
      <c r="AD768" s="11" t="inlineStr">
        <is>
          <t>1. Explicar fenómenos científicamente</t>
        </is>
      </c>
      <c r="AE768" s="11">
        <f>IF(AD768="","",IF(LEFT(AD768,1)="1","C1",IF(LEFT(AD768,1)="2","C2",IF(LEFT(AD768,1)="3","C3",""))))</f>
        <v/>
      </c>
      <c r="AF768" s="11" t="inlineStr">
        <is>
          <t>E1</t>
        </is>
      </c>
      <c r="AG768" s="11" t="inlineStr">
        <is>
          <t>E3</t>
        </is>
      </c>
      <c r="AH768" s="11" t="inlineStr">
        <is>
          <t>E2</t>
        </is>
      </c>
      <c r="AI768" s="11" t="inlineStr">
        <is>
          <t>E4</t>
        </is>
      </c>
      <c r="AJ768" s="11" t="inlineStr">
        <is>
          <t>E3</t>
        </is>
      </c>
      <c r="AK768" s="11" t="n"/>
      <c r="AL768" s="11" t="n"/>
      <c r="AM768" s="11" t="n"/>
      <c r="AN768" s="11" t="n"/>
      <c r="AO768" s="11" t="n"/>
      <c r="AP768" s="11" t="n"/>
      <c r="AQ768" s="11" t="n"/>
      <c r="AR768" s="11" t="n"/>
      <c r="AS768" s="11" t="n"/>
      <c r="AT768" s="11" t="n"/>
      <c r="AU768" s="11" t="n"/>
      <c r="AV768" s="11" t="n"/>
      <c r="AW768" s="11">
        <f>AF768&amp;"; "&amp;AG768&amp;"; "&amp;AH768&amp;"; "&amp;AI768&amp;"; "&amp;AJ768</f>
        <v/>
      </c>
    </row>
    <row r="769">
      <c r="A769" s="11" t="inlineStr">
        <is>
          <t>T0305-G11-FÍS</t>
        </is>
      </c>
      <c r="B769" s="11" t="n">
        <v>11</v>
      </c>
      <c r="C769" s="11" t="inlineStr">
        <is>
          <t>Física</t>
        </is>
      </c>
      <c r="D769" s="11" t="inlineStr">
        <is>
          <t>Matriz_Bachillerato_Fisica_10_11.xlsx</t>
        </is>
      </c>
      <c r="E769" s="11" t="inlineStr">
        <is>
          <t>Física 11.°</t>
        </is>
      </c>
      <c r="F769" s="11" t="n">
        <v>24</v>
      </c>
      <c r="G769" s="11" t="inlineStr">
        <is>
          <t>5. Superposición lineal y fenómenos de interferencia</t>
        </is>
      </c>
      <c r="H769" s="11" t="inlineStr">
        <is>
          <t>Principio de superposición</t>
        </is>
      </c>
      <c r="I769" s="38" t="inlineStr">
        <is>
          <t>5.2. Análisis de la interferencia constructiva y destructiva de ondas sonoras según la diferencia de camino.</t>
        </is>
      </c>
      <c r="J769" s="11" t="inlineStr">
        <is>
          <t>TA</t>
        </is>
      </c>
      <c r="K769" s="11" t="inlineStr">
        <is>
          <t>TA-O1.4</t>
        </is>
      </c>
      <c r="L769" s="11" t="inlineStr"/>
      <c r="M769" s="11">
        <f>IF(K769="FUERA","Fuera del marco",IF(K769="N/A","Sin marco",IFERROR(INDEX('Datos - Catálogo TIMSS'!$C$5:$C$107,MATCH(K769,'Datos - Catálogo TIMSS'!$A$5:$A$107,0)),"Pendiente de clasificar")))</f>
        <v/>
      </c>
      <c r="N769" s="11">
        <f>IF(K769="FUERA","Fuera del marco",IF(K769="N/A","Sin marco",IFERROR(INDEX('Datos - Catálogo TIMSS'!$F$5:$F$107,MATCH(K769,'Datos - Catálogo TIMSS'!$A$5:$A$107,0)),"Pendiente de clasificar")))</f>
        <v/>
      </c>
      <c r="O769" s="11">
        <f>IF(L769="","",IFERROR(INDEX('Datos - Catálogo TIMSS'!$C$5:$C$107,MATCH(L769,'Datos - Catálogo TIMSS'!$A$5:$A$107,0)),"?"))</f>
        <v/>
      </c>
      <c r="P769" s="11" t="inlineStr">
        <is>
          <t>alta</t>
        </is>
      </c>
      <c r="Q769" s="38" t="inlineStr">
        <is>
          <t>Interferencia de ondas sonoras según diferencia de camino</t>
        </is>
      </c>
      <c r="R769" s="38" t="inlineStr">
        <is>
          <t>Aplicar: calcular diferencias de camino. Razonar: interpretar patrones de interferencia</t>
        </is>
      </c>
      <c r="S769" s="39">
        <f>IFERROR(ISNUMBER(SEARCH("Conocer",$R769))/(ISNUMBER(SEARCH("Conocer",$R769))+ISNUMBER(SEARCH("Aplicar",$R769))+ISNUMBER(SEARCH("Razonar",$R769))),0)</f>
        <v/>
      </c>
      <c r="T769" s="39">
        <f>IFERROR(ISNUMBER(SEARCH("Aplicar",$R769))/(ISNUMBER(SEARCH("Conocer",$R769))+ISNUMBER(SEARCH("Aplicar",$R769))+ISNUMBER(SEARCH("Razonar",$R769))),0)</f>
        <v/>
      </c>
      <c r="U769" s="39">
        <f>IFERROR(ISNUMBER(SEARCH("Razonar",$R769))/(ISNUMBER(SEARCH("Conocer",$R769))+ISNUMBER(SEARCH("Aplicar",$R769))+ISNUMBER(SEARCH("Razonar",$R769))),0)</f>
        <v/>
      </c>
      <c r="V769" s="11" t="inlineStr">
        <is>
          <t>Física 11°</t>
        </is>
      </c>
      <c r="W769" s="11" t="inlineStr">
        <is>
          <t>Física 10°–11°</t>
        </is>
      </c>
      <c r="X769" s="11">
        <f>IF(OR(IFERROR(INDEX('Datos - Catálogo TIMSS'!$I$5:$I$107,MATCH(K769,'Datos - Catálogo TIMSS'!$A$5:$A$107,0)),"No")="Sí",IFERROR(INDEX('Datos - Catálogo TIMSS'!$I$5:$I$107,MATCH(L769,'Datos - Catálogo TIMSS'!$A$5:$A$107,0)),"No")="Sí"),1,0)</f>
        <v/>
      </c>
      <c r="Y769" s="11">
        <f>IF(IFERROR(INDEX('Datos - Catálogo TIMSS'!$J$5:$J$107,MATCH(K769,'Datos - Catálogo TIMSS'!$A$5:$A$107,0)),"No")="Sí",1,0)</f>
        <v/>
      </c>
      <c r="Z769" s="11">
        <f>IF(IFERROR(INDEX('Datos - Catálogo TIMSS'!$J$5:$J$107,MATCH(L769,'Datos - Catálogo TIMSS'!$A$5:$A$107,0)),"No")="Sí",1,0)</f>
        <v/>
      </c>
      <c r="AA769" s="11" t="inlineStr">
        <is>
          <t>TA-O1.4</t>
        </is>
      </c>
      <c r="AB769" s="11" t="inlineStr"/>
      <c r="AC769" s="11">
        <f>IF(AA769="FUERA","Fuera del marco",IF(AA769="N/A","Sin marco",IFERROR(INDEX('Datos - TIMSS 2023'!$C$5:$C$105,MATCH(AA769,'Datos - TIMSS 2023'!$A$5:$A$105,0)),"Pendiente de clasificar")))</f>
        <v/>
      </c>
      <c r="AD769" s="11" t="inlineStr">
        <is>
          <t>2. Construir y evaluar diseños para la indagación científica e interpretar datos y evidencia de forma crítica</t>
        </is>
      </c>
      <c r="AE769" s="11">
        <f>IF(AD769="","",IF(LEFT(AD769,1)="1","C1",IF(LEFT(AD769,1)="2","C2",IF(LEFT(AD769,1)="3","C3",""))))</f>
        <v/>
      </c>
      <c r="AF769" s="11" t="inlineStr">
        <is>
          <t>E6</t>
        </is>
      </c>
      <c r="AG769" s="11" t="inlineStr">
        <is>
          <t>D1</t>
        </is>
      </c>
      <c r="AH769" s="11" t="inlineStr">
        <is>
          <t>E2</t>
        </is>
      </c>
      <c r="AI769" s="11" t="inlineStr">
        <is>
          <t>D4</t>
        </is>
      </c>
      <c r="AJ769" s="11" t="inlineStr">
        <is>
          <t>D3</t>
        </is>
      </c>
      <c r="AK769" s="11" t="n"/>
      <c r="AL769" s="11" t="n"/>
      <c r="AM769" s="11" t="n"/>
      <c r="AN769" s="11" t="n"/>
      <c r="AO769" s="11" t="n"/>
      <c r="AP769" s="11" t="n"/>
      <c r="AQ769" s="11" t="n"/>
      <c r="AR769" s="11" t="n"/>
      <c r="AS769" s="11" t="n"/>
      <c r="AT769" s="11" t="n"/>
      <c r="AU769" s="11" t="n"/>
      <c r="AV769" s="11" t="n"/>
      <c r="AW769" s="11">
        <f>AF769&amp;"; "&amp;AG769&amp;"; "&amp;AH769&amp;"; "&amp;AI769&amp;"; "&amp;AJ769</f>
        <v/>
      </c>
    </row>
    <row r="770">
      <c r="A770" s="11" t="inlineStr">
        <is>
          <t>T0306-G11-FÍS</t>
        </is>
      </c>
      <c r="B770" s="11" t="n">
        <v>11</v>
      </c>
      <c r="C770" s="11" t="inlineStr">
        <is>
          <t>Física</t>
        </is>
      </c>
      <c r="D770" s="11" t="inlineStr">
        <is>
          <t>Matriz_Bachillerato_Fisica_10_11.xlsx</t>
        </is>
      </c>
      <c r="E770" s="11" t="inlineStr">
        <is>
          <t>Física 11.°</t>
        </is>
      </c>
      <c r="F770" s="11" t="n">
        <v>25</v>
      </c>
      <c r="G770" s="11" t="inlineStr">
        <is>
          <t>5. Superposición lineal y fenómenos de interferencia</t>
        </is>
      </c>
      <c r="H770" s="11" t="inlineStr">
        <is>
          <t>Difracción e interferencia</t>
        </is>
      </c>
      <c r="I770" s="38" t="inlineStr">
        <is>
          <t>5.3. Relación entre el ancho de una abertura, la longitud de onda y la amplitud de la difracción de ondas mecánicas.</t>
        </is>
      </c>
      <c r="J770" s="11" t="inlineStr">
        <is>
          <t>TA</t>
        </is>
      </c>
      <c r="K770" s="11" t="inlineStr">
        <is>
          <t>TA-O1.4</t>
        </is>
      </c>
      <c r="L770" s="11" t="inlineStr"/>
      <c r="M770" s="11">
        <f>IF(K770="FUERA","Fuera del marco",IF(K770="N/A","Sin marco",IFERROR(INDEX('Datos - Catálogo TIMSS'!$C$5:$C$107,MATCH(K770,'Datos - Catálogo TIMSS'!$A$5:$A$107,0)),"Pendiente de clasificar")))</f>
        <v/>
      </c>
      <c r="N770" s="11">
        <f>IF(K770="FUERA","Fuera del marco",IF(K770="N/A","Sin marco",IFERROR(INDEX('Datos - Catálogo TIMSS'!$F$5:$F$107,MATCH(K770,'Datos - Catálogo TIMSS'!$A$5:$A$107,0)),"Pendiente de clasificar")))</f>
        <v/>
      </c>
      <c r="O770" s="11">
        <f>IF(L770="","",IFERROR(INDEX('Datos - Catálogo TIMSS'!$C$5:$C$107,MATCH(L770,'Datos - Catálogo TIMSS'!$A$5:$A$107,0)),"?"))</f>
        <v/>
      </c>
      <c r="P770" s="11" t="inlineStr">
        <is>
          <t>alta</t>
        </is>
      </c>
      <c r="Q770" s="38" t="inlineStr">
        <is>
          <t>Difracción según relación abertura-longitud de onda</t>
        </is>
      </c>
      <c r="R770" s="38" t="inlineStr">
        <is>
          <t>Aplicar: comparar λ con la abertura. Razonar: explicar con el principio de Huygens</t>
        </is>
      </c>
      <c r="S770" s="39">
        <f>IFERROR(ISNUMBER(SEARCH("Conocer",$R770))/(ISNUMBER(SEARCH("Conocer",$R770))+ISNUMBER(SEARCH("Aplicar",$R770))+ISNUMBER(SEARCH("Razonar",$R770))),0)</f>
        <v/>
      </c>
      <c r="T770" s="39">
        <f>IFERROR(ISNUMBER(SEARCH("Aplicar",$R770))/(ISNUMBER(SEARCH("Conocer",$R770))+ISNUMBER(SEARCH("Aplicar",$R770))+ISNUMBER(SEARCH("Razonar",$R770))),0)</f>
        <v/>
      </c>
      <c r="U770" s="39">
        <f>IFERROR(ISNUMBER(SEARCH("Razonar",$R770))/(ISNUMBER(SEARCH("Conocer",$R770))+ISNUMBER(SEARCH("Aplicar",$R770))+ISNUMBER(SEARCH("Razonar",$R770))),0)</f>
        <v/>
      </c>
      <c r="V770" s="11" t="inlineStr">
        <is>
          <t>Física 11°</t>
        </is>
      </c>
      <c r="W770" s="11" t="inlineStr">
        <is>
          <t>Física 10°–11°</t>
        </is>
      </c>
      <c r="X770" s="11">
        <f>IF(OR(IFERROR(INDEX('Datos - Catálogo TIMSS'!$I$5:$I$107,MATCH(K770,'Datos - Catálogo TIMSS'!$A$5:$A$107,0)),"No")="Sí",IFERROR(INDEX('Datos - Catálogo TIMSS'!$I$5:$I$107,MATCH(L770,'Datos - Catálogo TIMSS'!$A$5:$A$107,0)),"No")="Sí"),1,0)</f>
        <v/>
      </c>
      <c r="Y770" s="11">
        <f>IF(IFERROR(INDEX('Datos - Catálogo TIMSS'!$J$5:$J$107,MATCH(K770,'Datos - Catálogo TIMSS'!$A$5:$A$107,0)),"No")="Sí",1,0)</f>
        <v/>
      </c>
      <c r="Z770" s="11">
        <f>IF(IFERROR(INDEX('Datos - Catálogo TIMSS'!$J$5:$J$107,MATCH(L770,'Datos - Catálogo TIMSS'!$A$5:$A$107,0)),"No")="Sí",1,0)</f>
        <v/>
      </c>
      <c r="AA770" s="11" t="inlineStr">
        <is>
          <t>TA-O1.4</t>
        </is>
      </c>
      <c r="AB770" s="11" t="inlineStr"/>
      <c r="AC770" s="11">
        <f>IF(AA770="FUERA","Fuera del marco",IF(AA770="N/A","Sin marco",IFERROR(INDEX('Datos - TIMSS 2023'!$C$5:$C$105,MATCH(AA770,'Datos - TIMSS 2023'!$A$5:$A$105,0)),"Pendiente de clasificar")))</f>
        <v/>
      </c>
      <c r="AD770" s="11" t="inlineStr">
        <is>
          <t>1. Explicar fenómenos científicamente</t>
        </is>
      </c>
      <c r="AE770" s="11">
        <f>IF(AD770="","",IF(LEFT(AD770,1)="1","C1",IF(LEFT(AD770,1)="2","C2",IF(LEFT(AD770,1)="3","C3",""))))</f>
        <v/>
      </c>
      <c r="AF770" s="11" t="inlineStr">
        <is>
          <t>E1</t>
        </is>
      </c>
      <c r="AG770" s="11" t="inlineStr">
        <is>
          <t>E5</t>
        </is>
      </c>
      <c r="AH770" s="11" t="inlineStr">
        <is>
          <t>E4</t>
        </is>
      </c>
      <c r="AI770" s="11" t="inlineStr">
        <is>
          <t>D4</t>
        </is>
      </c>
      <c r="AJ770" s="11" t="inlineStr">
        <is>
          <t>E6</t>
        </is>
      </c>
      <c r="AK770" s="11" t="n"/>
      <c r="AL770" s="11" t="n"/>
      <c r="AM770" s="11" t="n"/>
      <c r="AN770" s="11" t="n"/>
      <c r="AO770" s="11" t="n"/>
      <c r="AP770" s="11" t="n"/>
      <c r="AQ770" s="11" t="n"/>
      <c r="AR770" s="11" t="n"/>
      <c r="AS770" s="11" t="n"/>
      <c r="AT770" s="11" t="n"/>
      <c r="AU770" s="11" t="n"/>
      <c r="AV770" s="11" t="n"/>
      <c r="AW770" s="11">
        <f>AF770&amp;"; "&amp;AG770&amp;"; "&amp;AH770&amp;"; "&amp;AI770&amp;"; "&amp;AJ770</f>
        <v/>
      </c>
    </row>
    <row r="771">
      <c r="A771" s="11" t="inlineStr">
        <is>
          <t>T0307-G11-FÍS</t>
        </is>
      </c>
      <c r="B771" s="11" t="n">
        <v>11</v>
      </c>
      <c r="C771" s="11" t="inlineStr">
        <is>
          <t>Física</t>
        </is>
      </c>
      <c r="D771" s="11" t="inlineStr">
        <is>
          <t>Matriz_Bachillerato_Fisica_10_11.xlsx</t>
        </is>
      </c>
      <c r="E771" s="11" t="inlineStr">
        <is>
          <t>Física 11.°</t>
        </is>
      </c>
      <c r="F771" s="11" t="n">
        <v>26</v>
      </c>
      <c r="G771" s="11" t="inlineStr">
        <is>
          <t>5. Superposición lineal y fenómenos de interferencia</t>
        </is>
      </c>
      <c r="H771" s="11" t="inlineStr">
        <is>
          <t>Difracción e interferencia</t>
        </is>
      </c>
      <c r="I771" s="38" t="inlineStr">
        <is>
          <t>5.4. Cálculo de la frecuencia de pulsación entre dos sonidos de frecuencias cercanas y su uso en la afinación.</t>
        </is>
      </c>
      <c r="J771" s="11" t="inlineStr">
        <is>
          <t>TA</t>
        </is>
      </c>
      <c r="K771" s="11" t="inlineStr">
        <is>
          <t>TA-O1.4</t>
        </is>
      </c>
      <c r="L771" s="11" t="inlineStr">
        <is>
          <t>TA-O1.1</t>
        </is>
      </c>
      <c r="M771" s="11">
        <f>IF(K771="FUERA","Fuera del marco",IF(K771="N/A","Sin marco",IFERROR(INDEX('Datos - Catálogo TIMSS'!$C$5:$C$107,MATCH(K771,'Datos - Catálogo TIMSS'!$A$5:$A$107,0)),"Pendiente de clasificar")))</f>
        <v/>
      </c>
      <c r="N771" s="11">
        <f>IF(K771="FUERA","Fuera del marco",IF(K771="N/A","Sin marco",IFERROR(INDEX('Datos - Catálogo TIMSS'!$F$5:$F$107,MATCH(K771,'Datos - Catálogo TIMSS'!$A$5:$A$107,0)),"Pendiente de clasificar")))</f>
        <v/>
      </c>
      <c r="O771" s="11">
        <f>IF(L771="","",IFERROR(INDEX('Datos - Catálogo TIMSS'!$C$5:$C$107,MATCH(L771,'Datos - Catálogo TIMSS'!$A$5:$A$107,0)),"?"))</f>
        <v/>
      </c>
      <c r="P771" s="11" t="inlineStr">
        <is>
          <t>media</t>
        </is>
      </c>
      <c r="Q771" s="38" t="inlineStr">
        <is>
          <t>Pulsaciones como interferencia de frecuencias cercanas</t>
        </is>
      </c>
      <c r="R771" s="38" t="inlineStr">
        <is>
          <t>Aplicar: calcular frecuencias de pulsación. Razonar: evaluar un método de medición</t>
        </is>
      </c>
      <c r="S771" s="39">
        <f>IFERROR(ISNUMBER(SEARCH("Conocer",$R771))/(ISNUMBER(SEARCH("Conocer",$R771))+ISNUMBER(SEARCH("Aplicar",$R771))+ISNUMBER(SEARCH("Razonar",$R771))),0)</f>
        <v/>
      </c>
      <c r="T771" s="39">
        <f>IFERROR(ISNUMBER(SEARCH("Aplicar",$R771))/(ISNUMBER(SEARCH("Conocer",$R771))+ISNUMBER(SEARCH("Aplicar",$R771))+ISNUMBER(SEARCH("Razonar",$R771))),0)</f>
        <v/>
      </c>
      <c r="U771" s="39">
        <f>IFERROR(ISNUMBER(SEARCH("Razonar",$R771))/(ISNUMBER(SEARCH("Conocer",$R771))+ISNUMBER(SEARCH("Aplicar",$R771))+ISNUMBER(SEARCH("Razonar",$R771))),0)</f>
        <v/>
      </c>
      <c r="V771" s="11" t="inlineStr">
        <is>
          <t>Física 11°</t>
        </is>
      </c>
      <c r="W771" s="11" t="inlineStr">
        <is>
          <t>Física 10°–11°</t>
        </is>
      </c>
      <c r="X771" s="11">
        <f>IF(OR(IFERROR(INDEX('Datos - Catálogo TIMSS'!$I$5:$I$107,MATCH(K771,'Datos - Catálogo TIMSS'!$A$5:$A$107,0)),"No")="Sí",IFERROR(INDEX('Datos - Catálogo TIMSS'!$I$5:$I$107,MATCH(L771,'Datos - Catálogo TIMSS'!$A$5:$A$107,0)),"No")="Sí"),1,0)</f>
        <v/>
      </c>
      <c r="Y771" s="11">
        <f>IF(IFERROR(INDEX('Datos - Catálogo TIMSS'!$J$5:$J$107,MATCH(K771,'Datos - Catálogo TIMSS'!$A$5:$A$107,0)),"No")="Sí",1,0)</f>
        <v/>
      </c>
      <c r="Z771" s="11">
        <f>IF(IFERROR(INDEX('Datos - Catálogo TIMSS'!$J$5:$J$107,MATCH(L771,'Datos - Catálogo TIMSS'!$A$5:$A$107,0)),"No")="Sí",1,0)</f>
        <v/>
      </c>
      <c r="AA771" s="11" t="inlineStr">
        <is>
          <t>TA-O1.4</t>
        </is>
      </c>
      <c r="AB771" s="11" t="inlineStr">
        <is>
          <t>TA-O1.1</t>
        </is>
      </c>
      <c r="AC771" s="11">
        <f>IF(AA771="FUERA","Fuera del marco",IF(AA771="N/A","Sin marco",IFERROR(INDEX('Datos - TIMSS 2023'!$C$5:$C$105,MATCH(AA771,'Datos - TIMSS 2023'!$A$5:$A$105,0)),"Pendiente de clasificar")))</f>
        <v/>
      </c>
      <c r="AD771" s="11" t="inlineStr">
        <is>
          <t>2. Construir y evaluar diseños para la indagación científica e interpretar datos y evidencia de forma crítica</t>
        </is>
      </c>
      <c r="AE771" s="11">
        <f>IF(AD771="","",IF(LEFT(AD771,1)="1","C1",IF(LEFT(AD771,1)="2","C2",IF(LEFT(AD771,1)="3","C3",""))))</f>
        <v/>
      </c>
      <c r="AF771" s="11" t="inlineStr">
        <is>
          <t>E1</t>
        </is>
      </c>
      <c r="AG771" s="11" t="inlineStr">
        <is>
          <t>E3</t>
        </is>
      </c>
      <c r="AH771" s="11" t="inlineStr">
        <is>
          <t>E2</t>
        </is>
      </c>
      <c r="AI771" s="11" t="inlineStr">
        <is>
          <t>D2</t>
        </is>
      </c>
      <c r="AJ771" s="11" t="inlineStr">
        <is>
          <t>D3</t>
        </is>
      </c>
      <c r="AK771" s="11" t="n"/>
      <c r="AL771" s="11" t="n"/>
      <c r="AM771" s="11" t="n"/>
      <c r="AN771" s="11" t="n"/>
      <c r="AO771" s="11" t="n"/>
      <c r="AP771" s="11" t="n"/>
      <c r="AQ771" s="11" t="n"/>
      <c r="AR771" s="11" t="n"/>
      <c r="AS771" s="11" t="n"/>
      <c r="AT771" s="11" t="n"/>
      <c r="AU771" s="11" t="n"/>
      <c r="AV771" s="11" t="n"/>
      <c r="AW771" s="11">
        <f>AF771&amp;"; "&amp;AG771&amp;"; "&amp;AH771&amp;"; "&amp;AI771&amp;"; "&amp;AJ771</f>
        <v/>
      </c>
    </row>
    <row r="772">
      <c r="A772" s="11" t="inlineStr">
        <is>
          <t>T0308-G11-FÍS</t>
        </is>
      </c>
      <c r="B772" s="11" t="n">
        <v>11</v>
      </c>
      <c r="C772" s="11" t="inlineStr">
        <is>
          <t>Física</t>
        </is>
      </c>
      <c r="D772" s="11" t="inlineStr">
        <is>
          <t>Matriz_Bachillerato_Fisica_10_11.xlsx</t>
        </is>
      </c>
      <c r="E772" s="11" t="inlineStr">
        <is>
          <t>Física 11.°</t>
        </is>
      </c>
      <c r="F772" s="11" t="n">
        <v>27</v>
      </c>
      <c r="G772" s="11" t="inlineStr">
        <is>
          <t>5. Superposición lineal y fenómenos de interferencia</t>
        </is>
      </c>
      <c r="H772" s="11" t="inlineStr">
        <is>
          <t>Ondas estacionarias</t>
        </is>
      </c>
      <c r="I772" s="38" t="inlineStr">
        <is>
          <t>5.5. Cálculo de las frecuencias de los armónicos de una cuerda fija en ambos extremos.</t>
        </is>
      </c>
      <c r="J772" s="11" t="inlineStr">
        <is>
          <t>TA</t>
        </is>
      </c>
      <c r="K772" s="11" t="inlineStr">
        <is>
          <t>TA-O1.1</t>
        </is>
      </c>
      <c r="L772" s="11" t="inlineStr">
        <is>
          <t>TA-O1.4</t>
        </is>
      </c>
      <c r="M772" s="11">
        <f>IF(K772="FUERA","Fuera del marco",IF(K772="N/A","Sin marco",IFERROR(INDEX('Datos - Catálogo TIMSS'!$C$5:$C$107,MATCH(K772,'Datos - Catálogo TIMSS'!$A$5:$A$107,0)),"Pendiente de clasificar")))</f>
        <v/>
      </c>
      <c r="N772" s="11">
        <f>IF(K772="FUERA","Fuera del marco",IF(K772="N/A","Sin marco",IFERROR(INDEX('Datos - Catálogo TIMSS'!$F$5:$F$107,MATCH(K772,'Datos - Catálogo TIMSS'!$A$5:$A$107,0)),"Pendiente de clasificar")))</f>
        <v/>
      </c>
      <c r="O772" s="11">
        <f>IF(L772="","",IFERROR(INDEX('Datos - Catálogo TIMSS'!$C$5:$C$107,MATCH(L772,'Datos - Catálogo TIMSS'!$A$5:$A$107,0)),"?"))</f>
        <v/>
      </c>
      <c r="P772" s="11" t="inlineStr">
        <is>
          <t>media</t>
        </is>
      </c>
      <c r="Q772" s="38" t="inlineStr">
        <is>
          <t>Ondas estacionarias en cuerdas: armónicos, nodos, rapidez</t>
        </is>
      </c>
      <c r="R772" s="38" t="inlineStr">
        <is>
          <t>Aplicar: calcular armónicos. Razonar: explicar la cuantización de frecuencias</t>
        </is>
      </c>
      <c r="S772" s="39">
        <f>IFERROR(ISNUMBER(SEARCH("Conocer",$R772))/(ISNUMBER(SEARCH("Conocer",$R772))+ISNUMBER(SEARCH("Aplicar",$R772))+ISNUMBER(SEARCH("Razonar",$R772))),0)</f>
        <v/>
      </c>
      <c r="T772" s="39">
        <f>IFERROR(ISNUMBER(SEARCH("Aplicar",$R772))/(ISNUMBER(SEARCH("Conocer",$R772))+ISNUMBER(SEARCH("Aplicar",$R772))+ISNUMBER(SEARCH("Razonar",$R772))),0)</f>
        <v/>
      </c>
      <c r="U772" s="39">
        <f>IFERROR(ISNUMBER(SEARCH("Razonar",$R772))/(ISNUMBER(SEARCH("Conocer",$R772))+ISNUMBER(SEARCH("Aplicar",$R772))+ISNUMBER(SEARCH("Razonar",$R772))),0)</f>
        <v/>
      </c>
      <c r="V772" s="11" t="inlineStr">
        <is>
          <t>Física 11°</t>
        </is>
      </c>
      <c r="W772" s="11" t="inlineStr">
        <is>
          <t>Física 10°–11°</t>
        </is>
      </c>
      <c r="X772" s="11">
        <f>IF(OR(IFERROR(INDEX('Datos - Catálogo TIMSS'!$I$5:$I$107,MATCH(K772,'Datos - Catálogo TIMSS'!$A$5:$A$107,0)),"No")="Sí",IFERROR(INDEX('Datos - Catálogo TIMSS'!$I$5:$I$107,MATCH(L772,'Datos - Catálogo TIMSS'!$A$5:$A$107,0)),"No")="Sí"),1,0)</f>
        <v/>
      </c>
      <c r="Y772" s="11">
        <f>IF(IFERROR(INDEX('Datos - Catálogo TIMSS'!$J$5:$J$107,MATCH(K772,'Datos - Catálogo TIMSS'!$A$5:$A$107,0)),"No")="Sí",1,0)</f>
        <v/>
      </c>
      <c r="Z772" s="11">
        <f>IF(IFERROR(INDEX('Datos - Catálogo TIMSS'!$J$5:$J$107,MATCH(L772,'Datos - Catálogo TIMSS'!$A$5:$A$107,0)),"No")="Sí",1,0)</f>
        <v/>
      </c>
      <c r="AA772" s="11" t="inlineStr">
        <is>
          <t>TA-O1.1</t>
        </is>
      </c>
      <c r="AB772" s="11" t="inlineStr">
        <is>
          <t>TA-O1.4</t>
        </is>
      </c>
      <c r="AC772" s="11">
        <f>IF(AA772="FUERA","Fuera del marco",IF(AA772="N/A","Sin marco",IFERROR(INDEX('Datos - TIMSS 2023'!$C$5:$C$105,MATCH(AA772,'Datos - TIMSS 2023'!$A$5:$A$105,0)),"Pendiente de clasificar")))</f>
        <v/>
      </c>
      <c r="AD772" s="11" t="inlineStr">
        <is>
          <t>2. Construir y evaluar diseños para la indagación científica e interpretar datos y evidencia de forma crítica</t>
        </is>
      </c>
      <c r="AE772" s="11">
        <f>IF(AD772="","",IF(LEFT(AD772,1)="1","C1",IF(LEFT(AD772,1)="2","C2",IF(LEFT(AD772,1)="3","C3",""))))</f>
        <v/>
      </c>
      <c r="AF772" s="11" t="inlineStr">
        <is>
          <t>E1</t>
        </is>
      </c>
      <c r="AG772" s="11" t="inlineStr">
        <is>
          <t>D1</t>
        </is>
      </c>
      <c r="AH772" s="11" t="inlineStr">
        <is>
          <t>E4</t>
        </is>
      </c>
      <c r="AI772" s="11" t="inlineStr">
        <is>
          <t>D4</t>
        </is>
      </c>
      <c r="AJ772" s="11" t="inlineStr">
        <is>
          <t>E3</t>
        </is>
      </c>
      <c r="AK772" s="11" t="n"/>
      <c r="AL772" s="11" t="n"/>
      <c r="AM772" s="11" t="n"/>
      <c r="AN772" s="11" t="n"/>
      <c r="AO772" s="11" t="n"/>
      <c r="AP772" s="11" t="n"/>
      <c r="AQ772" s="11" t="n"/>
      <c r="AR772" s="11" t="n"/>
      <c r="AS772" s="11" t="n"/>
      <c r="AT772" s="11" t="n"/>
      <c r="AU772" s="11" t="n"/>
      <c r="AV772" s="11" t="n"/>
      <c r="AW772" s="11">
        <f>AF772&amp;"; "&amp;AG772&amp;"; "&amp;AH772&amp;"; "&amp;AI772&amp;"; "&amp;AJ772</f>
        <v/>
      </c>
    </row>
    <row r="773">
      <c r="A773" s="11" t="inlineStr">
        <is>
          <t>T0309-G11-FÍS</t>
        </is>
      </c>
      <c r="B773" s="11" t="n">
        <v>11</v>
      </c>
      <c r="C773" s="11" t="inlineStr">
        <is>
          <t>Física</t>
        </is>
      </c>
      <c r="D773" s="11" t="inlineStr">
        <is>
          <t>Matriz_Bachillerato_Fisica_10_11.xlsx</t>
        </is>
      </c>
      <c r="E773" s="11" t="inlineStr">
        <is>
          <t>Física 11.°</t>
        </is>
      </c>
      <c r="F773" s="11" t="n">
        <v>28</v>
      </c>
      <c r="G773" s="11" t="inlineStr">
        <is>
          <t>5. Superposición lineal y fenómenos de interferencia</t>
        </is>
      </c>
      <c r="H773" s="11" t="inlineStr">
        <is>
          <t>Ondas estacionarias</t>
        </is>
      </c>
      <c r="I773" s="38" t="inlineStr">
        <is>
          <t>5.6. Determinación de las frecuencias de resonancia en tubos abiertos y cerrados.</t>
        </is>
      </c>
      <c r="J773" s="11" t="inlineStr">
        <is>
          <t>TA</t>
        </is>
      </c>
      <c r="K773" s="11" t="inlineStr">
        <is>
          <t>TA-O1.1</t>
        </is>
      </c>
      <c r="L773" s="11" t="inlineStr">
        <is>
          <t>TA-O1.4</t>
        </is>
      </c>
      <c r="M773" s="11">
        <f>IF(K773="FUERA","Fuera del marco",IF(K773="N/A","Sin marco",IFERROR(INDEX('Datos - Catálogo TIMSS'!$C$5:$C$107,MATCH(K773,'Datos - Catálogo TIMSS'!$A$5:$A$107,0)),"Pendiente de clasificar")))</f>
        <v/>
      </c>
      <c r="N773" s="11">
        <f>IF(K773="FUERA","Fuera del marco",IF(K773="N/A","Sin marco",IFERROR(INDEX('Datos - Catálogo TIMSS'!$F$5:$F$107,MATCH(K773,'Datos - Catálogo TIMSS'!$A$5:$A$107,0)),"Pendiente de clasificar")))</f>
        <v/>
      </c>
      <c r="O773" s="11">
        <f>IF(L773="","",IFERROR(INDEX('Datos - Catálogo TIMSS'!$C$5:$C$107,MATCH(L773,'Datos - Catálogo TIMSS'!$A$5:$A$107,0)),"?"))</f>
        <v/>
      </c>
      <c r="P773" s="11" t="inlineStr">
        <is>
          <t>media</t>
        </is>
      </c>
      <c r="Q773" s="38" t="inlineStr">
        <is>
          <t>Resonancia en tubos; ondas estacionarias sonoras</t>
        </is>
      </c>
      <c r="R773" s="38" t="inlineStr">
        <is>
          <t>Aplicar: calcular frecuencias de resonancia. Razonar: comparar tubos abiertos y cerrados</t>
        </is>
      </c>
      <c r="S773" s="39">
        <f>IFERROR(ISNUMBER(SEARCH("Conocer",$R773))/(ISNUMBER(SEARCH("Conocer",$R773))+ISNUMBER(SEARCH("Aplicar",$R773))+ISNUMBER(SEARCH("Razonar",$R773))),0)</f>
        <v/>
      </c>
      <c r="T773" s="39">
        <f>IFERROR(ISNUMBER(SEARCH("Aplicar",$R773))/(ISNUMBER(SEARCH("Conocer",$R773))+ISNUMBER(SEARCH("Aplicar",$R773))+ISNUMBER(SEARCH("Razonar",$R773))),0)</f>
        <v/>
      </c>
      <c r="U773" s="39">
        <f>IFERROR(ISNUMBER(SEARCH("Razonar",$R773))/(ISNUMBER(SEARCH("Conocer",$R773))+ISNUMBER(SEARCH("Aplicar",$R773))+ISNUMBER(SEARCH("Razonar",$R773))),0)</f>
        <v/>
      </c>
      <c r="V773" s="11" t="inlineStr">
        <is>
          <t>Física 11°</t>
        </is>
      </c>
      <c r="W773" s="11" t="inlineStr">
        <is>
          <t>Física 10°–11°</t>
        </is>
      </c>
      <c r="X773" s="11">
        <f>IF(OR(IFERROR(INDEX('Datos - Catálogo TIMSS'!$I$5:$I$107,MATCH(K773,'Datos - Catálogo TIMSS'!$A$5:$A$107,0)),"No")="Sí",IFERROR(INDEX('Datos - Catálogo TIMSS'!$I$5:$I$107,MATCH(L773,'Datos - Catálogo TIMSS'!$A$5:$A$107,0)),"No")="Sí"),1,0)</f>
        <v/>
      </c>
      <c r="Y773" s="11">
        <f>IF(IFERROR(INDEX('Datos - Catálogo TIMSS'!$J$5:$J$107,MATCH(K773,'Datos - Catálogo TIMSS'!$A$5:$A$107,0)),"No")="Sí",1,0)</f>
        <v/>
      </c>
      <c r="Z773" s="11">
        <f>IF(IFERROR(INDEX('Datos - Catálogo TIMSS'!$J$5:$J$107,MATCH(L773,'Datos - Catálogo TIMSS'!$A$5:$A$107,0)),"No")="Sí",1,0)</f>
        <v/>
      </c>
      <c r="AA773" s="11" t="inlineStr">
        <is>
          <t>TA-O1.1</t>
        </is>
      </c>
      <c r="AB773" s="11" t="inlineStr">
        <is>
          <t>TA-O1.4</t>
        </is>
      </c>
      <c r="AC773" s="11">
        <f>IF(AA773="FUERA","Fuera del marco",IF(AA773="N/A","Sin marco",IFERROR(INDEX('Datos - TIMSS 2023'!$C$5:$C$105,MATCH(AA773,'Datos - TIMSS 2023'!$A$5:$A$105,0)),"Pendiente de clasificar")))</f>
        <v/>
      </c>
      <c r="AD773" s="11" t="inlineStr">
        <is>
          <t>2. Construir y evaluar diseños para la indagación científica e interpretar datos y evidencia de forma crítica</t>
        </is>
      </c>
      <c r="AE773" s="11">
        <f>IF(AD773="","",IF(LEFT(AD773,1)="1","C1",IF(LEFT(AD773,1)="2","C2",IF(LEFT(AD773,1)="3","C3",""))))</f>
        <v/>
      </c>
      <c r="AF773" s="11" t="inlineStr">
        <is>
          <t>E1</t>
        </is>
      </c>
      <c r="AG773" s="11" t="inlineStr">
        <is>
          <t>E5</t>
        </is>
      </c>
      <c r="AH773" s="11" t="inlineStr">
        <is>
          <t>E2</t>
        </is>
      </c>
      <c r="AI773" s="11" t="inlineStr">
        <is>
          <t>D4</t>
        </is>
      </c>
      <c r="AJ773" s="11" t="inlineStr">
        <is>
          <t>E3</t>
        </is>
      </c>
      <c r="AK773" s="11" t="n"/>
      <c r="AL773" s="11" t="n"/>
      <c r="AM773" s="11" t="n"/>
      <c r="AN773" s="11" t="n"/>
      <c r="AO773" s="11" t="n"/>
      <c r="AP773" s="11" t="n"/>
      <c r="AQ773" s="11" t="n"/>
      <c r="AR773" s="11" t="n"/>
      <c r="AS773" s="11" t="n"/>
      <c r="AT773" s="11" t="n"/>
      <c r="AU773" s="11" t="n"/>
      <c r="AV773" s="11" t="n"/>
      <c r="AW773" s="11">
        <f>AF773&amp;"; "&amp;AG773&amp;"; "&amp;AH773&amp;"; "&amp;AI773&amp;"; "&amp;AJ773</f>
        <v/>
      </c>
    </row>
    <row r="774">
      <c r="A774" s="11" t="inlineStr">
        <is>
          <t>T0310-G11-FÍS</t>
        </is>
      </c>
      <c r="B774" s="11" t="n">
        <v>11</v>
      </c>
      <c r="C774" s="11" t="inlineStr">
        <is>
          <t>Física</t>
        </is>
      </c>
      <c r="D774" s="11" t="inlineStr">
        <is>
          <t>Matriz_Bachillerato_Fisica_10_11.xlsx</t>
        </is>
      </c>
      <c r="E774" s="11" t="inlineStr">
        <is>
          <t>Física 11.°</t>
        </is>
      </c>
      <c r="F774" s="11" t="n">
        <v>29</v>
      </c>
      <c r="G774" s="11" t="inlineStr">
        <is>
          <t>5. Superposición lineal y fenómenos de interferencia</t>
        </is>
      </c>
      <c r="H774" s="11" t="inlineStr">
        <is>
          <t>Sonidos complejos</t>
        </is>
      </c>
      <c r="I774" s="38" t="inlineStr">
        <is>
          <t>5.7. Análisis del espectro de frecuencias de sonidos producidos por diferentes instrumentos musicales.</t>
        </is>
      </c>
      <c r="J774" s="11" t="inlineStr">
        <is>
          <t>TA</t>
        </is>
      </c>
      <c r="K774" s="11" t="inlineStr">
        <is>
          <t>TA-O1.1</t>
        </is>
      </c>
      <c r="L774" s="11" t="inlineStr"/>
      <c r="M774" s="11">
        <f>IF(K774="FUERA","Fuera del marco",IF(K774="N/A","Sin marco",IFERROR(INDEX('Datos - Catálogo TIMSS'!$C$5:$C$107,MATCH(K774,'Datos - Catálogo TIMSS'!$A$5:$A$107,0)),"Pendiente de clasificar")))</f>
        <v/>
      </c>
      <c r="N774" s="11">
        <f>IF(K774="FUERA","Fuera del marco",IF(K774="N/A","Sin marco",IFERROR(INDEX('Datos - Catálogo TIMSS'!$F$5:$F$107,MATCH(K774,'Datos - Catálogo TIMSS'!$A$5:$A$107,0)),"Pendiente de clasificar")))</f>
        <v/>
      </c>
      <c r="O774" s="11">
        <f>IF(L774="","",IFERROR(INDEX('Datos - Catálogo TIMSS'!$C$5:$C$107,MATCH(L774,'Datos - Catálogo TIMSS'!$A$5:$A$107,0)),"?"))</f>
        <v/>
      </c>
      <c r="P774" s="11" t="inlineStr">
        <is>
          <t>media</t>
        </is>
      </c>
      <c r="Q774" s="38" t="inlineStr">
        <is>
          <t>Timbre y espectro de frecuencias de ondas sonoras</t>
        </is>
      </c>
      <c r="R774" s="38" t="inlineStr">
        <is>
          <t>Aplicar: interpretar espectros. Razonar: argumentar con evidencia espectral</t>
        </is>
      </c>
      <c r="S774" s="39">
        <f>IFERROR(ISNUMBER(SEARCH("Conocer",$R774))/(ISNUMBER(SEARCH("Conocer",$R774))+ISNUMBER(SEARCH("Aplicar",$R774))+ISNUMBER(SEARCH("Razonar",$R774))),0)</f>
        <v/>
      </c>
      <c r="T774" s="39">
        <f>IFERROR(ISNUMBER(SEARCH("Aplicar",$R774))/(ISNUMBER(SEARCH("Conocer",$R774))+ISNUMBER(SEARCH("Aplicar",$R774))+ISNUMBER(SEARCH("Razonar",$R774))),0)</f>
        <v/>
      </c>
      <c r="U774" s="39">
        <f>IFERROR(ISNUMBER(SEARCH("Razonar",$R774))/(ISNUMBER(SEARCH("Conocer",$R774))+ISNUMBER(SEARCH("Aplicar",$R774))+ISNUMBER(SEARCH("Razonar",$R774))),0)</f>
        <v/>
      </c>
      <c r="V774" s="11" t="inlineStr">
        <is>
          <t>Física 11°</t>
        </is>
      </c>
      <c r="W774" s="11" t="inlineStr">
        <is>
          <t>Física 10°–11°</t>
        </is>
      </c>
      <c r="X774" s="11">
        <f>IF(OR(IFERROR(INDEX('Datos - Catálogo TIMSS'!$I$5:$I$107,MATCH(K774,'Datos - Catálogo TIMSS'!$A$5:$A$107,0)),"No")="Sí",IFERROR(INDEX('Datos - Catálogo TIMSS'!$I$5:$I$107,MATCH(L774,'Datos - Catálogo TIMSS'!$A$5:$A$107,0)),"No")="Sí"),1,0)</f>
        <v/>
      </c>
      <c r="Y774" s="11">
        <f>IF(IFERROR(INDEX('Datos - Catálogo TIMSS'!$J$5:$J$107,MATCH(K774,'Datos - Catálogo TIMSS'!$A$5:$A$107,0)),"No")="Sí",1,0)</f>
        <v/>
      </c>
      <c r="Z774" s="11">
        <f>IF(IFERROR(INDEX('Datos - Catálogo TIMSS'!$J$5:$J$107,MATCH(L774,'Datos - Catálogo TIMSS'!$A$5:$A$107,0)),"No")="Sí",1,0)</f>
        <v/>
      </c>
      <c r="AA774" s="11" t="inlineStr">
        <is>
          <t>TA-O1.1</t>
        </is>
      </c>
      <c r="AB774" s="11" t="inlineStr"/>
      <c r="AC774" s="11">
        <f>IF(AA774="FUERA","Fuera del marco",IF(AA774="N/A","Sin marco",IFERROR(INDEX('Datos - TIMSS 2023'!$C$5:$C$105,MATCH(AA774,'Datos - TIMSS 2023'!$A$5:$A$105,0)),"Pendiente de clasificar")))</f>
        <v/>
      </c>
      <c r="AD774" s="11" t="inlineStr">
        <is>
          <t>3. Investigar, evaluar y usar información científica para tomar decisiones y actuar</t>
        </is>
      </c>
      <c r="AE774" s="11">
        <f>IF(AD774="","",IF(LEFT(AD774,1)="1","C1",IF(LEFT(AD774,1)="2","C2",IF(LEFT(AD774,1)="3","C3",""))))</f>
        <v/>
      </c>
      <c r="AF774" s="11" t="inlineStr">
        <is>
          <t>E6</t>
        </is>
      </c>
      <c r="AG774" s="11" t="inlineStr">
        <is>
          <t>D1</t>
        </is>
      </c>
      <c r="AH774" s="11" t="inlineStr">
        <is>
          <t>E2</t>
        </is>
      </c>
      <c r="AI774" s="11" t="inlineStr">
        <is>
          <t>I3</t>
        </is>
      </c>
      <c r="AJ774" s="11" t="inlineStr">
        <is>
          <t>I4</t>
        </is>
      </c>
      <c r="AK774" s="11" t="n"/>
      <c r="AL774" s="11" t="n"/>
      <c r="AM774" s="11" t="n"/>
      <c r="AN774" s="11" t="n"/>
      <c r="AO774" s="11" t="n"/>
      <c r="AP774" s="11" t="n"/>
      <c r="AQ774" s="11" t="n"/>
      <c r="AR774" s="11" t="n"/>
      <c r="AS774" s="11" t="n"/>
      <c r="AT774" s="11" t="n"/>
      <c r="AU774" s="11" t="n"/>
      <c r="AV774" s="11" t="n"/>
      <c r="AW774" s="11">
        <f>AF774&amp;"; "&amp;AG774&amp;"; "&amp;AH774&amp;"; "&amp;AI774&amp;"; "&amp;AJ774</f>
        <v/>
      </c>
    </row>
    <row r="775">
      <c r="A775" s="11" t="inlineStr">
        <is>
          <t>T0311-G11-FÍS</t>
        </is>
      </c>
      <c r="B775" s="11" t="n">
        <v>11</v>
      </c>
      <c r="C775" s="11" t="inlineStr">
        <is>
          <t>Física</t>
        </is>
      </c>
      <c r="D775" s="11" t="inlineStr">
        <is>
          <t>Matriz_Bachillerato_Fisica_10_11.xlsx</t>
        </is>
      </c>
      <c r="E775" s="11" t="inlineStr">
        <is>
          <t>Física 11.°</t>
        </is>
      </c>
      <c r="F775" s="11" t="n">
        <v>30</v>
      </c>
      <c r="G775" s="11" t="inlineStr">
        <is>
          <t>6. Fuerzas eléctricas</t>
        </is>
      </c>
      <c r="H775" s="11" t="inlineStr">
        <is>
          <t>La carga eléctrica</t>
        </is>
      </c>
      <c r="I775" s="38" t="inlineStr">
        <is>
          <t>6.1. Relación entre la estructura atómica de la materia y el origen de la carga eléctrica cuantizada.</t>
        </is>
      </c>
      <c r="J775" s="11" t="inlineStr">
        <is>
          <t>TA</t>
        </is>
      </c>
      <c r="K775" s="11" t="inlineStr">
        <is>
          <t>TA-E1.1</t>
        </is>
      </c>
      <c r="L775" s="11" t="inlineStr">
        <is>
          <t>TA-O2.1</t>
        </is>
      </c>
      <c r="M775" s="11">
        <f>IF(K775="FUERA","Fuera del marco",IF(K775="N/A","Sin marco",IFERROR(INDEX('Datos - Catálogo TIMSS'!$C$5:$C$107,MATCH(K775,'Datos - Catálogo TIMSS'!$A$5:$A$107,0)),"Pendiente de clasificar")))</f>
        <v/>
      </c>
      <c r="N775" s="11">
        <f>IF(K775="FUERA","Fuera del marco",IF(K775="N/A","Sin marco",IFERROR(INDEX('Datos - Catálogo TIMSS'!$F$5:$F$107,MATCH(K775,'Datos - Catálogo TIMSS'!$A$5:$A$107,0)),"Pendiente de clasificar")))</f>
        <v/>
      </c>
      <c r="O775" s="11">
        <f>IF(L775="","",IFERROR(INDEX('Datos - Catálogo TIMSS'!$C$5:$C$107,MATCH(L775,'Datos - Catálogo TIMSS'!$A$5:$A$107,0)),"?"))</f>
        <v/>
      </c>
      <c r="P775" s="11" t="inlineStr">
        <is>
          <t>media</t>
        </is>
      </c>
      <c r="Q775" s="38" t="inlineStr">
        <is>
          <t>Origen y cuantización de la carga desde estructura atómica</t>
        </is>
      </c>
      <c r="R775" s="38" t="inlineStr">
        <is>
          <t>Conocer: describir la carga eléctrica. Aplicar: calcular número de electrones</t>
        </is>
      </c>
      <c r="S775" s="39">
        <f>IFERROR(ISNUMBER(SEARCH("Conocer",$R775))/(ISNUMBER(SEARCH("Conocer",$R775))+ISNUMBER(SEARCH("Aplicar",$R775))+ISNUMBER(SEARCH("Razonar",$R775))),0)</f>
        <v/>
      </c>
      <c r="T775" s="39">
        <f>IFERROR(ISNUMBER(SEARCH("Aplicar",$R775))/(ISNUMBER(SEARCH("Conocer",$R775))+ISNUMBER(SEARCH("Aplicar",$R775))+ISNUMBER(SEARCH("Razonar",$R775))),0)</f>
        <v/>
      </c>
      <c r="U775" s="39">
        <f>IFERROR(ISNUMBER(SEARCH("Razonar",$R775))/(ISNUMBER(SEARCH("Conocer",$R775))+ISNUMBER(SEARCH("Aplicar",$R775))+ISNUMBER(SEARCH("Razonar",$R775))),0)</f>
        <v/>
      </c>
      <c r="V775" s="11" t="inlineStr">
        <is>
          <t>Física 11°</t>
        </is>
      </c>
      <c r="W775" s="11" t="inlineStr">
        <is>
          <t>Física 10°–11°</t>
        </is>
      </c>
      <c r="X775" s="11">
        <f>IF(OR(IFERROR(INDEX('Datos - Catálogo TIMSS'!$I$5:$I$107,MATCH(K775,'Datos - Catálogo TIMSS'!$A$5:$A$107,0)),"No")="Sí",IFERROR(INDEX('Datos - Catálogo TIMSS'!$I$5:$I$107,MATCH(L775,'Datos - Catálogo TIMSS'!$A$5:$A$107,0)),"No")="Sí"),1,0)</f>
        <v/>
      </c>
      <c r="Y775" s="11">
        <f>IF(IFERROR(INDEX('Datos - Catálogo TIMSS'!$J$5:$J$107,MATCH(K775,'Datos - Catálogo TIMSS'!$A$5:$A$107,0)),"No")="Sí",1,0)</f>
        <v/>
      </c>
      <c r="Z775" s="11">
        <f>IF(IFERROR(INDEX('Datos - Catálogo TIMSS'!$J$5:$J$107,MATCH(L775,'Datos - Catálogo TIMSS'!$A$5:$A$107,0)),"No")="Sí",1,0)</f>
        <v/>
      </c>
      <c r="AA775" s="11" t="inlineStr">
        <is>
          <t>TA-E1.1</t>
        </is>
      </c>
      <c r="AB775" s="11" t="inlineStr">
        <is>
          <t>TA-O2.1</t>
        </is>
      </c>
      <c r="AC775" s="11">
        <f>IF(AA775="FUERA","Fuera del marco",IF(AA775="N/A","Sin marco",IFERROR(INDEX('Datos - TIMSS 2023'!$C$5:$C$105,MATCH(AA775,'Datos - TIMSS 2023'!$A$5:$A$105,0)),"Pendiente de clasificar")))</f>
        <v/>
      </c>
      <c r="AD775" s="11" t="inlineStr">
        <is>
          <t>1. Explicar fenómenos científicamente</t>
        </is>
      </c>
      <c r="AE775" s="11">
        <f>IF(AD775="","",IF(LEFT(AD775,1)="1","C1",IF(LEFT(AD775,1)="2","C2",IF(LEFT(AD775,1)="3","C3",""))))</f>
        <v/>
      </c>
      <c r="AF775" s="11" t="inlineStr">
        <is>
          <t>E1</t>
        </is>
      </c>
      <c r="AG775" s="11" t="inlineStr">
        <is>
          <t>D1</t>
        </is>
      </c>
      <c r="AH775" s="11" t="inlineStr">
        <is>
          <t>E1</t>
        </is>
      </c>
      <c r="AI775" s="11" t="inlineStr">
        <is>
          <t>I1</t>
        </is>
      </c>
      <c r="AJ775" s="11" t="inlineStr">
        <is>
          <t>E3</t>
        </is>
      </c>
      <c r="AK775" s="11" t="n"/>
      <c r="AL775" s="11" t="n"/>
      <c r="AM775" s="11" t="n"/>
      <c r="AN775" s="11" t="n"/>
      <c r="AO775" s="11" t="n"/>
      <c r="AP775" s="11" t="n"/>
      <c r="AQ775" s="11" t="n"/>
      <c r="AR775" s="11" t="n"/>
      <c r="AS775" s="11" t="n"/>
      <c r="AT775" s="11" t="n"/>
      <c r="AU775" s="11" t="n"/>
      <c r="AV775" s="11" t="n"/>
      <c r="AW775" s="11">
        <f>AF775&amp;"; "&amp;AG775&amp;"; "&amp;AH775&amp;"; "&amp;AI775&amp;"; "&amp;AJ775</f>
        <v/>
      </c>
    </row>
    <row r="776">
      <c r="A776" s="11" t="inlineStr">
        <is>
          <t>T0312-G11-FÍS</t>
        </is>
      </c>
      <c r="B776" s="11" t="n">
        <v>11</v>
      </c>
      <c r="C776" s="11" t="inlineStr">
        <is>
          <t>Física</t>
        </is>
      </c>
      <c r="D776" s="11" t="inlineStr">
        <is>
          <t>Matriz_Bachillerato_Fisica_10_11.xlsx</t>
        </is>
      </c>
      <c r="E776" s="11" t="inlineStr">
        <is>
          <t>Física 11.°</t>
        </is>
      </c>
      <c r="F776" s="11" t="n">
        <v>31</v>
      </c>
      <c r="G776" s="11" t="inlineStr">
        <is>
          <t>6. Fuerzas eléctricas</t>
        </is>
      </c>
      <c r="H776" s="11" t="inlineStr">
        <is>
          <t>La carga eléctrica</t>
        </is>
      </c>
      <c r="I776" s="38" t="inlineStr">
        <is>
          <t>6.2. Aplicación de la ley de conservación de la carga en procesos de electrización y en aplicaciones cotidianas de la electrostática.</t>
        </is>
      </c>
      <c r="J776" s="11" t="inlineStr">
        <is>
          <t>TA</t>
        </is>
      </c>
      <c r="K776" s="11" t="inlineStr">
        <is>
          <t>TA-E1.1</t>
        </is>
      </c>
      <c r="L776" s="11" t="inlineStr"/>
      <c r="M776" s="11">
        <f>IF(K776="FUERA","Fuera del marco",IF(K776="N/A","Sin marco",IFERROR(INDEX('Datos - Catálogo TIMSS'!$C$5:$C$107,MATCH(K776,'Datos - Catálogo TIMSS'!$A$5:$A$107,0)),"Pendiente de clasificar")))</f>
        <v/>
      </c>
      <c r="N776" s="11">
        <f>IF(K776="FUERA","Fuera del marco",IF(K776="N/A","Sin marco",IFERROR(INDEX('Datos - Catálogo TIMSS'!$F$5:$F$107,MATCH(K776,'Datos - Catálogo TIMSS'!$A$5:$A$107,0)),"Pendiente de clasificar")))</f>
        <v/>
      </c>
      <c r="O776" s="11">
        <f>IF(L776="","",IFERROR(INDEX('Datos - Catálogo TIMSS'!$C$5:$C$107,MATCH(L776,'Datos - Catálogo TIMSS'!$A$5:$A$107,0)),"?"))</f>
        <v/>
      </c>
      <c r="P776" s="11" t="inlineStr">
        <is>
          <t>media</t>
        </is>
      </c>
      <c r="Q776" s="38" t="inlineStr">
        <is>
          <t>Conservación de carga e interacción electrostática</t>
        </is>
      </c>
      <c r="R776" s="38" t="inlineStr">
        <is>
          <t>Aplicar: resolver problemas de conservación. Razonar: explicar aplicaciones tecnológicas</t>
        </is>
      </c>
      <c r="S776" s="39">
        <f>IFERROR(ISNUMBER(SEARCH("Conocer",$R776))/(ISNUMBER(SEARCH("Conocer",$R776))+ISNUMBER(SEARCH("Aplicar",$R776))+ISNUMBER(SEARCH("Razonar",$R776))),0)</f>
        <v/>
      </c>
      <c r="T776" s="39">
        <f>IFERROR(ISNUMBER(SEARCH("Aplicar",$R776))/(ISNUMBER(SEARCH("Conocer",$R776))+ISNUMBER(SEARCH("Aplicar",$R776))+ISNUMBER(SEARCH("Razonar",$R776))),0)</f>
        <v/>
      </c>
      <c r="U776" s="39">
        <f>IFERROR(ISNUMBER(SEARCH("Razonar",$R776))/(ISNUMBER(SEARCH("Conocer",$R776))+ISNUMBER(SEARCH("Aplicar",$R776))+ISNUMBER(SEARCH("Razonar",$R776))),0)</f>
        <v/>
      </c>
      <c r="V776" s="11" t="inlineStr">
        <is>
          <t>Física 11°</t>
        </is>
      </c>
      <c r="W776" s="11" t="inlineStr">
        <is>
          <t>Física 10°–11°</t>
        </is>
      </c>
      <c r="X776" s="11">
        <f>IF(OR(IFERROR(INDEX('Datos - Catálogo TIMSS'!$I$5:$I$107,MATCH(K776,'Datos - Catálogo TIMSS'!$A$5:$A$107,0)),"No")="Sí",IFERROR(INDEX('Datos - Catálogo TIMSS'!$I$5:$I$107,MATCH(L776,'Datos - Catálogo TIMSS'!$A$5:$A$107,0)),"No")="Sí"),1,0)</f>
        <v/>
      </c>
      <c r="Y776" s="11">
        <f>IF(IFERROR(INDEX('Datos - Catálogo TIMSS'!$J$5:$J$107,MATCH(K776,'Datos - Catálogo TIMSS'!$A$5:$A$107,0)),"No")="Sí",1,0)</f>
        <v/>
      </c>
      <c r="Z776" s="11">
        <f>IF(IFERROR(INDEX('Datos - Catálogo TIMSS'!$J$5:$J$107,MATCH(L776,'Datos - Catálogo TIMSS'!$A$5:$A$107,0)),"No")="Sí",1,0)</f>
        <v/>
      </c>
      <c r="AA776" s="11" t="inlineStr">
        <is>
          <t>TA-E1.1</t>
        </is>
      </c>
      <c r="AB776" s="11" t="inlineStr"/>
      <c r="AC776" s="11">
        <f>IF(AA776="FUERA","Fuera del marco",IF(AA776="N/A","Sin marco",IFERROR(INDEX('Datos - TIMSS 2023'!$C$5:$C$105,MATCH(AA776,'Datos - TIMSS 2023'!$A$5:$A$105,0)),"Pendiente de clasificar")))</f>
        <v/>
      </c>
      <c r="AD776" s="11" t="inlineStr">
        <is>
          <t>1. Explicar fenómenos científicamente</t>
        </is>
      </c>
      <c r="AE776" s="11">
        <f>IF(AD776="","",IF(LEFT(AD776,1)="1","C1",IF(LEFT(AD776,1)="2","C2",IF(LEFT(AD776,1)="3","C3",""))))</f>
        <v/>
      </c>
      <c r="AF776" s="11" t="inlineStr">
        <is>
          <t>E6</t>
        </is>
      </c>
      <c r="AG776" s="11" t="inlineStr">
        <is>
          <t>E3</t>
        </is>
      </c>
      <c r="AH776" s="11" t="inlineStr">
        <is>
          <t>E1</t>
        </is>
      </c>
      <c r="AI776" s="11" t="inlineStr">
        <is>
          <t>I2</t>
        </is>
      </c>
      <c r="AJ776" s="11" t="inlineStr">
        <is>
          <t>E6</t>
        </is>
      </c>
      <c r="AK776" s="11" t="n"/>
      <c r="AL776" s="11" t="n"/>
      <c r="AM776" s="11" t="n"/>
      <c r="AN776" s="11" t="n"/>
      <c r="AO776" s="11" t="n"/>
      <c r="AP776" s="11" t="n"/>
      <c r="AQ776" s="11" t="n"/>
      <c r="AR776" s="11" t="n"/>
      <c r="AS776" s="11" t="n"/>
      <c r="AT776" s="11" t="n"/>
      <c r="AU776" s="11" t="n"/>
      <c r="AV776" s="11" t="n"/>
      <c r="AW776" s="11">
        <f>AF776&amp;"; "&amp;AG776&amp;"; "&amp;AH776&amp;"; "&amp;AI776&amp;"; "&amp;AJ776</f>
        <v/>
      </c>
    </row>
    <row r="777">
      <c r="A777" s="11" t="inlineStr">
        <is>
          <t>T0313-G11-FÍS</t>
        </is>
      </c>
      <c r="B777" s="11" t="n">
        <v>11</v>
      </c>
      <c r="C777" s="11" t="inlineStr">
        <is>
          <t>Física</t>
        </is>
      </c>
      <c r="D777" s="11" t="inlineStr">
        <is>
          <t>Matriz_Bachillerato_Fisica_10_11.xlsx</t>
        </is>
      </c>
      <c r="E777" s="11" t="inlineStr">
        <is>
          <t>Física 11.°</t>
        </is>
      </c>
      <c r="F777" s="11" t="n">
        <v>32</v>
      </c>
      <c r="G777" s="11" t="inlineStr">
        <is>
          <t>6. Fuerzas eléctricas</t>
        </is>
      </c>
      <c r="H777" s="11" t="inlineStr">
        <is>
          <t>Materiales y electrización</t>
        </is>
      </c>
      <c r="I777" s="38" t="inlineStr">
        <is>
          <t>6.3. Clasificación de materiales como conductores o aislantes según la movilidad de sus cargas.</t>
        </is>
      </c>
      <c r="J777" s="11" t="inlineStr">
        <is>
          <t>TA</t>
        </is>
      </c>
      <c r="K777" s="11" t="inlineStr">
        <is>
          <t>TA-E1.1</t>
        </is>
      </c>
      <c r="L777" s="11" t="inlineStr"/>
      <c r="M777" s="11">
        <f>IF(K777="FUERA","Fuera del marco",IF(K777="N/A","Sin marco",IFERROR(INDEX('Datos - Catálogo TIMSS'!$C$5:$C$107,MATCH(K777,'Datos - Catálogo TIMSS'!$A$5:$A$107,0)),"Pendiente de clasificar")))</f>
        <v/>
      </c>
      <c r="N777" s="11">
        <f>IF(K777="FUERA","Fuera del marco",IF(K777="N/A","Sin marco",IFERROR(INDEX('Datos - Catálogo TIMSS'!$F$5:$F$107,MATCH(K777,'Datos - Catálogo TIMSS'!$A$5:$A$107,0)),"Pendiente de clasificar")))</f>
        <v/>
      </c>
      <c r="O777" s="11">
        <f>IF(L777="","",IFERROR(INDEX('Datos - Catálogo TIMSS'!$C$5:$C$107,MATCH(L777,'Datos - Catálogo TIMSS'!$A$5:$A$107,0)),"?"))</f>
        <v/>
      </c>
      <c r="P777" s="11" t="inlineStr">
        <is>
          <t>baja</t>
        </is>
      </c>
      <c r="Q777" s="38" t="inlineStr">
        <is>
          <t>Conductores y aislantes en electrostática; base para Coulomb</t>
        </is>
      </c>
      <c r="R777" s="38" t="inlineStr">
        <is>
          <t>Aplicar: clasificar materiales. Razonar: justificar con el modelo de electrones libres</t>
        </is>
      </c>
      <c r="S777" s="39">
        <f>IFERROR(ISNUMBER(SEARCH("Conocer",$R777))/(ISNUMBER(SEARCH("Conocer",$R777))+ISNUMBER(SEARCH("Aplicar",$R777))+ISNUMBER(SEARCH("Razonar",$R777))),0)</f>
        <v/>
      </c>
      <c r="T777" s="39">
        <f>IFERROR(ISNUMBER(SEARCH("Aplicar",$R777))/(ISNUMBER(SEARCH("Conocer",$R777))+ISNUMBER(SEARCH("Aplicar",$R777))+ISNUMBER(SEARCH("Razonar",$R777))),0)</f>
        <v/>
      </c>
      <c r="U777" s="39">
        <f>IFERROR(ISNUMBER(SEARCH("Razonar",$R777))/(ISNUMBER(SEARCH("Conocer",$R777))+ISNUMBER(SEARCH("Aplicar",$R777))+ISNUMBER(SEARCH("Razonar",$R777))),0)</f>
        <v/>
      </c>
      <c r="V777" s="11" t="inlineStr">
        <is>
          <t>Física 11°</t>
        </is>
      </c>
      <c r="W777" s="11" t="inlineStr">
        <is>
          <t>Física 10°–11°</t>
        </is>
      </c>
      <c r="X777" s="11">
        <f>IF(OR(IFERROR(INDEX('Datos - Catálogo TIMSS'!$I$5:$I$107,MATCH(K777,'Datos - Catálogo TIMSS'!$A$5:$A$107,0)),"No")="Sí",IFERROR(INDEX('Datos - Catálogo TIMSS'!$I$5:$I$107,MATCH(L777,'Datos - Catálogo TIMSS'!$A$5:$A$107,0)),"No")="Sí"),1,0)</f>
        <v/>
      </c>
      <c r="Y777" s="11">
        <f>IF(IFERROR(INDEX('Datos - Catálogo TIMSS'!$J$5:$J$107,MATCH(K777,'Datos - Catálogo TIMSS'!$A$5:$A$107,0)),"No")="Sí",1,0)</f>
        <v/>
      </c>
      <c r="Z777" s="11">
        <f>IF(IFERROR(INDEX('Datos - Catálogo TIMSS'!$J$5:$J$107,MATCH(L777,'Datos - Catálogo TIMSS'!$A$5:$A$107,0)),"No")="Sí",1,0)</f>
        <v/>
      </c>
      <c r="AA777" s="11" t="inlineStr">
        <is>
          <t>TA-E1.1</t>
        </is>
      </c>
      <c r="AB777" s="11" t="inlineStr"/>
      <c r="AC777" s="11">
        <f>IF(AA777="FUERA","Fuera del marco",IF(AA777="N/A","Sin marco",IFERROR(INDEX('Datos - TIMSS 2023'!$C$5:$C$105,MATCH(AA777,'Datos - TIMSS 2023'!$A$5:$A$105,0)),"Pendiente de clasificar")))</f>
        <v/>
      </c>
      <c r="AD777" s="11" t="inlineStr">
        <is>
          <t>2. Construir y evaluar diseños para la indagación científica e interpretar datos y evidencia de forma crítica</t>
        </is>
      </c>
      <c r="AE777" s="11">
        <f>IF(AD777="","",IF(LEFT(AD777,1)="1","C1",IF(LEFT(AD777,1)="2","C2",IF(LEFT(AD777,1)="3","C3",""))))</f>
        <v/>
      </c>
      <c r="AF777" s="11" t="inlineStr">
        <is>
          <t>E1</t>
        </is>
      </c>
      <c r="AG777" s="11" t="inlineStr">
        <is>
          <t>E5</t>
        </is>
      </c>
      <c r="AH777" s="11" t="inlineStr">
        <is>
          <t>E4</t>
        </is>
      </c>
      <c r="AI777" s="11" t="inlineStr">
        <is>
          <t>D4</t>
        </is>
      </c>
      <c r="AJ777" s="11" t="inlineStr">
        <is>
          <t>D3</t>
        </is>
      </c>
      <c r="AK777" s="11" t="n"/>
      <c r="AL777" s="11" t="n"/>
      <c r="AM777" s="11" t="n"/>
      <c r="AN777" s="11" t="n"/>
      <c r="AO777" s="11" t="n"/>
      <c r="AP777" s="11" t="n"/>
      <c r="AQ777" s="11" t="n"/>
      <c r="AR777" s="11" t="n"/>
      <c r="AS777" s="11" t="n"/>
      <c r="AT777" s="11" t="n"/>
      <c r="AU777" s="11" t="n"/>
      <c r="AV777" s="11" t="n"/>
      <c r="AW777" s="11">
        <f>AF777&amp;"; "&amp;AG777&amp;"; "&amp;AH777&amp;"; "&amp;AI777&amp;"; "&amp;AJ777</f>
        <v/>
      </c>
    </row>
    <row r="778">
      <c r="A778" s="11" t="inlineStr">
        <is>
          <t>T0314-G11-FÍS</t>
        </is>
      </c>
      <c r="B778" s="11" t="n">
        <v>11</v>
      </c>
      <c r="C778" s="11" t="inlineStr">
        <is>
          <t>Física</t>
        </is>
      </c>
      <c r="D778" s="11" t="inlineStr">
        <is>
          <t>Matriz_Bachillerato_Fisica_10_11.xlsx</t>
        </is>
      </c>
      <c r="E778" s="11" t="inlineStr">
        <is>
          <t>Física 11.°</t>
        </is>
      </c>
      <c r="F778" s="11" t="n">
        <v>33</v>
      </c>
      <c r="G778" s="11" t="inlineStr">
        <is>
          <t>6. Fuerzas eléctricas</t>
        </is>
      </c>
      <c r="H778" s="11" t="inlineStr">
        <is>
          <t>Materiales y electrización</t>
        </is>
      </c>
      <c r="I778" s="38" t="inlineStr">
        <is>
          <t>6.4. Comparación de los procesos de carga por contacto y por inducción mediante diagramas de distribución de cargas.</t>
        </is>
      </c>
      <c r="J778" s="11" t="inlineStr">
        <is>
          <t>TA</t>
        </is>
      </c>
      <c r="K778" s="11" t="inlineStr">
        <is>
          <t>TA-E1.1</t>
        </is>
      </c>
      <c r="L778" s="11" t="inlineStr"/>
      <c r="M778" s="11">
        <f>IF(K778="FUERA","Fuera del marco",IF(K778="N/A","Sin marco",IFERROR(INDEX('Datos - Catálogo TIMSS'!$C$5:$C$107,MATCH(K778,'Datos - Catálogo TIMSS'!$A$5:$A$107,0)),"Pendiente de clasificar")))</f>
        <v/>
      </c>
      <c r="N778" s="11">
        <f>IF(K778="FUERA","Fuera del marco",IF(K778="N/A","Sin marco",IFERROR(INDEX('Datos - Catálogo TIMSS'!$F$5:$F$107,MATCH(K778,'Datos - Catálogo TIMSS'!$A$5:$A$107,0)),"Pendiente de clasificar")))</f>
        <v/>
      </c>
      <c r="O778" s="11">
        <f>IF(L778="","",IFERROR(INDEX('Datos - Catálogo TIMSS'!$C$5:$C$107,MATCH(L778,'Datos - Catálogo TIMSS'!$A$5:$A$107,0)),"?"))</f>
        <v/>
      </c>
      <c r="P778" s="11" t="inlineStr">
        <is>
          <t>media</t>
        </is>
      </c>
      <c r="Q778" s="38" t="inlineStr">
        <is>
          <t>Electrización por contacto e inducción; fuerzas entre cargas</t>
        </is>
      </c>
      <c r="R778" s="38" t="inlineStr">
        <is>
          <t>Aplicar: representar distribuciones de carga. Razonar: justificar el signo de la carga inducida</t>
        </is>
      </c>
      <c r="S778" s="39">
        <f>IFERROR(ISNUMBER(SEARCH("Conocer",$R778))/(ISNUMBER(SEARCH("Conocer",$R778))+ISNUMBER(SEARCH("Aplicar",$R778))+ISNUMBER(SEARCH("Razonar",$R778))),0)</f>
        <v/>
      </c>
      <c r="T778" s="39">
        <f>IFERROR(ISNUMBER(SEARCH("Aplicar",$R778))/(ISNUMBER(SEARCH("Conocer",$R778))+ISNUMBER(SEARCH("Aplicar",$R778))+ISNUMBER(SEARCH("Razonar",$R778))),0)</f>
        <v/>
      </c>
      <c r="U778" s="39">
        <f>IFERROR(ISNUMBER(SEARCH("Razonar",$R778))/(ISNUMBER(SEARCH("Conocer",$R778))+ISNUMBER(SEARCH("Aplicar",$R778))+ISNUMBER(SEARCH("Razonar",$R778))),0)</f>
        <v/>
      </c>
      <c r="V778" s="11" t="inlineStr">
        <is>
          <t>Física 11°</t>
        </is>
      </c>
      <c r="W778" s="11" t="inlineStr">
        <is>
          <t>Física 10°–11°</t>
        </is>
      </c>
      <c r="X778" s="11">
        <f>IF(OR(IFERROR(INDEX('Datos - Catálogo TIMSS'!$I$5:$I$107,MATCH(K778,'Datos - Catálogo TIMSS'!$A$5:$A$107,0)),"No")="Sí",IFERROR(INDEX('Datos - Catálogo TIMSS'!$I$5:$I$107,MATCH(L778,'Datos - Catálogo TIMSS'!$A$5:$A$107,0)),"No")="Sí"),1,0)</f>
        <v/>
      </c>
      <c r="Y778" s="11">
        <f>IF(IFERROR(INDEX('Datos - Catálogo TIMSS'!$J$5:$J$107,MATCH(K778,'Datos - Catálogo TIMSS'!$A$5:$A$107,0)),"No")="Sí",1,0)</f>
        <v/>
      </c>
      <c r="Z778" s="11">
        <f>IF(IFERROR(INDEX('Datos - Catálogo TIMSS'!$J$5:$J$107,MATCH(L778,'Datos - Catálogo TIMSS'!$A$5:$A$107,0)),"No")="Sí",1,0)</f>
        <v/>
      </c>
      <c r="AA778" s="11" t="inlineStr">
        <is>
          <t>TA-E1.1</t>
        </is>
      </c>
      <c r="AB778" s="11" t="inlineStr"/>
      <c r="AC778" s="11">
        <f>IF(AA778="FUERA","Fuera del marco",IF(AA778="N/A","Sin marco",IFERROR(INDEX('Datos - TIMSS 2023'!$C$5:$C$105,MATCH(AA778,'Datos - TIMSS 2023'!$A$5:$A$105,0)),"Pendiente de clasificar")))</f>
        <v/>
      </c>
      <c r="AD778" s="11" t="inlineStr">
        <is>
          <t>1. Explicar fenómenos científicamente</t>
        </is>
      </c>
      <c r="AE778" s="11">
        <f>IF(AD778="","",IF(LEFT(AD778,1)="1","C1",IF(LEFT(AD778,1)="2","C2",IF(LEFT(AD778,1)="3","C3",""))))</f>
        <v/>
      </c>
      <c r="AF778" s="11" t="inlineStr">
        <is>
          <t>E1</t>
        </is>
      </c>
      <c r="AG778" s="11" t="inlineStr">
        <is>
          <t>D1</t>
        </is>
      </c>
      <c r="AH778" s="11" t="inlineStr">
        <is>
          <t>E2</t>
        </is>
      </c>
      <c r="AI778" s="11" t="inlineStr">
        <is>
          <t>D4</t>
        </is>
      </c>
      <c r="AJ778" s="11" t="inlineStr">
        <is>
          <t>E3</t>
        </is>
      </c>
      <c r="AK778" s="11" t="n"/>
      <c r="AL778" s="11" t="n"/>
      <c r="AM778" s="11" t="n"/>
      <c r="AN778" s="11" t="n"/>
      <c r="AO778" s="11" t="n"/>
      <c r="AP778" s="11" t="n"/>
      <c r="AQ778" s="11" t="n"/>
      <c r="AR778" s="11" t="n"/>
      <c r="AS778" s="11" t="n"/>
      <c r="AT778" s="11" t="n"/>
      <c r="AU778" s="11" t="n"/>
      <c r="AV778" s="11" t="n"/>
      <c r="AW778" s="11">
        <f>AF778&amp;"; "&amp;AG778&amp;"; "&amp;AH778&amp;"; "&amp;AI778&amp;"; "&amp;AJ778</f>
        <v/>
      </c>
    </row>
    <row r="779">
      <c r="A779" s="11" t="inlineStr">
        <is>
          <t>T0315-G11-FÍS</t>
        </is>
      </c>
      <c r="B779" s="11" t="n">
        <v>11</v>
      </c>
      <c r="C779" s="11" t="inlineStr">
        <is>
          <t>Física</t>
        </is>
      </c>
      <c r="D779" s="11" t="inlineStr">
        <is>
          <t>Matriz_Bachillerato_Fisica_10_11.xlsx</t>
        </is>
      </c>
      <c r="E779" s="11" t="inlineStr">
        <is>
          <t>Física 11.°</t>
        </is>
      </c>
      <c r="F779" s="11" t="n">
        <v>34</v>
      </c>
      <c r="G779" s="11" t="inlineStr">
        <is>
          <t>6. Fuerzas eléctricas</t>
        </is>
      </c>
      <c r="H779" s="11" t="inlineStr">
        <is>
          <t>Ley de Coulomb</t>
        </is>
      </c>
      <c r="I779" s="38" t="inlineStr">
        <is>
          <t>6.5. Cálculo vectorial de la fuerza eléctrica neta sobre una carga debida a varias cargas puntuales en un plano.</t>
        </is>
      </c>
      <c r="J779" s="11" t="inlineStr">
        <is>
          <t>TA</t>
        </is>
      </c>
      <c r="K779" s="11" t="inlineStr">
        <is>
          <t>TA-E1.1</t>
        </is>
      </c>
      <c r="L779" s="11" t="inlineStr"/>
      <c r="M779" s="11">
        <f>IF(K779="FUERA","Fuera del marco",IF(K779="N/A","Sin marco",IFERROR(INDEX('Datos - Catálogo TIMSS'!$C$5:$C$107,MATCH(K779,'Datos - Catálogo TIMSS'!$A$5:$A$107,0)),"Pendiente de clasificar")))</f>
        <v/>
      </c>
      <c r="N779" s="11">
        <f>IF(K779="FUERA","Fuera del marco",IF(K779="N/A","Sin marco",IFERROR(INDEX('Datos - Catálogo TIMSS'!$F$5:$F$107,MATCH(K779,'Datos - Catálogo TIMSS'!$A$5:$A$107,0)),"Pendiente de clasificar")))</f>
        <v/>
      </c>
      <c r="O779" s="11">
        <f>IF(L779="","",IFERROR(INDEX('Datos - Catálogo TIMSS'!$C$5:$C$107,MATCH(L779,'Datos - Catálogo TIMSS'!$A$5:$A$107,0)),"?"))</f>
        <v/>
      </c>
      <c r="P779" s="11" t="inlineStr">
        <is>
          <t>alta</t>
        </is>
      </c>
      <c r="Q779" s="38" t="inlineStr">
        <is>
          <t>Ley de Coulomb vectorial y superposición de fuerzas</t>
        </is>
      </c>
      <c r="R779" s="38" t="inlineStr">
        <is>
          <t>Aplicar: descomponer y sumar vectores. Razonar: justificar condiciones de equilibrio</t>
        </is>
      </c>
      <c r="S779" s="39">
        <f>IFERROR(ISNUMBER(SEARCH("Conocer",$R779))/(ISNUMBER(SEARCH("Conocer",$R779))+ISNUMBER(SEARCH("Aplicar",$R779))+ISNUMBER(SEARCH("Razonar",$R779))),0)</f>
        <v/>
      </c>
      <c r="T779" s="39">
        <f>IFERROR(ISNUMBER(SEARCH("Aplicar",$R779))/(ISNUMBER(SEARCH("Conocer",$R779))+ISNUMBER(SEARCH("Aplicar",$R779))+ISNUMBER(SEARCH("Razonar",$R779))),0)</f>
        <v/>
      </c>
      <c r="U779" s="39">
        <f>IFERROR(ISNUMBER(SEARCH("Razonar",$R779))/(ISNUMBER(SEARCH("Conocer",$R779))+ISNUMBER(SEARCH("Aplicar",$R779))+ISNUMBER(SEARCH("Razonar",$R779))),0)</f>
        <v/>
      </c>
      <c r="V779" s="11" t="inlineStr">
        <is>
          <t>Física 11°</t>
        </is>
      </c>
      <c r="W779" s="11" t="inlineStr">
        <is>
          <t>Física 10°–11°</t>
        </is>
      </c>
      <c r="X779" s="11">
        <f>IF(OR(IFERROR(INDEX('Datos - Catálogo TIMSS'!$I$5:$I$107,MATCH(K779,'Datos - Catálogo TIMSS'!$A$5:$A$107,0)),"No")="Sí",IFERROR(INDEX('Datos - Catálogo TIMSS'!$I$5:$I$107,MATCH(L779,'Datos - Catálogo TIMSS'!$A$5:$A$107,0)),"No")="Sí"),1,0)</f>
        <v/>
      </c>
      <c r="Y779" s="11">
        <f>IF(IFERROR(INDEX('Datos - Catálogo TIMSS'!$J$5:$J$107,MATCH(K779,'Datos - Catálogo TIMSS'!$A$5:$A$107,0)),"No")="Sí",1,0)</f>
        <v/>
      </c>
      <c r="Z779" s="11">
        <f>IF(IFERROR(INDEX('Datos - Catálogo TIMSS'!$J$5:$J$107,MATCH(L779,'Datos - Catálogo TIMSS'!$A$5:$A$107,0)),"No")="Sí",1,0)</f>
        <v/>
      </c>
      <c r="AA779" s="11" t="inlineStr">
        <is>
          <t>TA-E1.1</t>
        </is>
      </c>
      <c r="AB779" s="11" t="inlineStr"/>
      <c r="AC779" s="11">
        <f>IF(AA779="FUERA","Fuera del marco",IF(AA779="N/A","Sin marco",IFERROR(INDEX('Datos - TIMSS 2023'!$C$5:$C$105,MATCH(AA779,'Datos - TIMSS 2023'!$A$5:$A$105,0)),"Pendiente de clasificar")))</f>
        <v/>
      </c>
      <c r="AD779" s="11" t="inlineStr">
        <is>
          <t>1. Explicar fenómenos científicamente</t>
        </is>
      </c>
      <c r="AE779" s="11">
        <f>IF(AD779="","",IF(LEFT(AD779,1)="1","C1",IF(LEFT(AD779,1)="2","C2",IF(LEFT(AD779,1)="3","C3",""))))</f>
        <v/>
      </c>
      <c r="AF779" s="11" t="inlineStr">
        <is>
          <t>E1</t>
        </is>
      </c>
      <c r="AG779" s="11" t="inlineStr">
        <is>
          <t>E3</t>
        </is>
      </c>
      <c r="AH779" s="11" t="inlineStr">
        <is>
          <t>E2</t>
        </is>
      </c>
      <c r="AI779" s="11" t="inlineStr">
        <is>
          <t>E4</t>
        </is>
      </c>
      <c r="AJ779" s="11" t="inlineStr">
        <is>
          <t>I5</t>
        </is>
      </c>
      <c r="AK779" s="11" t="n"/>
      <c r="AL779" s="11" t="n"/>
      <c r="AM779" s="11" t="n"/>
      <c r="AN779" s="11" t="n"/>
      <c r="AO779" s="11" t="n"/>
      <c r="AP779" s="11" t="n"/>
      <c r="AQ779" s="11" t="n"/>
      <c r="AR779" s="11" t="n"/>
      <c r="AS779" s="11" t="n"/>
      <c r="AT779" s="11" t="n"/>
      <c r="AU779" s="11" t="n"/>
      <c r="AV779" s="11" t="n"/>
      <c r="AW779" s="11">
        <f>AF779&amp;"; "&amp;AG779&amp;"; "&amp;AH779&amp;"; "&amp;AI779&amp;"; "&amp;AJ779</f>
        <v/>
      </c>
    </row>
    <row r="780">
      <c r="A780" s="11" t="inlineStr">
        <is>
          <t>T0316-G11-FÍS</t>
        </is>
      </c>
      <c r="B780" s="11" t="n">
        <v>11</v>
      </c>
      <c r="C780" s="11" t="inlineStr">
        <is>
          <t>Física</t>
        </is>
      </c>
      <c r="D780" s="11" t="inlineStr">
        <is>
          <t>Matriz_Bachillerato_Fisica_10_11.xlsx</t>
        </is>
      </c>
      <c r="E780" s="11" t="inlineStr">
        <is>
          <t>Física 11.°</t>
        </is>
      </c>
      <c r="F780" s="11" t="n">
        <v>35</v>
      </c>
      <c r="G780" s="11" t="inlineStr">
        <is>
          <t>7. Campos eléctricos</t>
        </is>
      </c>
      <c r="H780" s="11" t="inlineStr">
        <is>
          <t>El campo eléctrico</t>
        </is>
      </c>
      <c r="I780" s="38" t="inlineStr">
        <is>
          <t>7.1. Cálculo del campo eléctrico producido por una o varias cargas puntuales en un punto del espacio.</t>
        </is>
      </c>
      <c r="J780" s="11" t="inlineStr">
        <is>
          <t>TA</t>
        </is>
      </c>
      <c r="K780" s="11" t="inlineStr">
        <is>
          <t>TA-E1.2</t>
        </is>
      </c>
      <c r="L780" s="11" t="inlineStr">
        <is>
          <t>TA-E1.1</t>
        </is>
      </c>
      <c r="M780" s="11">
        <f>IF(K780="FUERA","Fuera del marco",IF(K780="N/A","Sin marco",IFERROR(INDEX('Datos - Catálogo TIMSS'!$C$5:$C$107,MATCH(K780,'Datos - Catálogo TIMSS'!$A$5:$A$107,0)),"Pendiente de clasificar")))</f>
        <v/>
      </c>
      <c r="N780" s="11">
        <f>IF(K780="FUERA","Fuera del marco",IF(K780="N/A","Sin marco",IFERROR(INDEX('Datos - Catálogo TIMSS'!$F$5:$F$107,MATCH(K780,'Datos - Catálogo TIMSS'!$A$5:$A$107,0)),"Pendiente de clasificar")))</f>
        <v/>
      </c>
      <c r="O780" s="11">
        <f>IF(L780="","",IFERROR(INDEX('Datos - Catálogo TIMSS'!$C$5:$C$107,MATCH(L780,'Datos - Catálogo TIMSS'!$A$5:$A$107,0)),"?"))</f>
        <v/>
      </c>
      <c r="P780" s="11" t="inlineStr">
        <is>
          <t>alta</t>
        </is>
      </c>
      <c r="Q780" s="38" t="inlineStr">
        <is>
          <t>Campo eléctrico de cargas puntuales y fuerza sobre carga</t>
        </is>
      </c>
      <c r="R780" s="38" t="inlineStr">
        <is>
          <t>Aplicar: calcular campos vectoriales. Razonar: relacionar campo y fuerza</t>
        </is>
      </c>
      <c r="S780" s="39">
        <f>IFERROR(ISNUMBER(SEARCH("Conocer",$R780))/(ISNUMBER(SEARCH("Conocer",$R780))+ISNUMBER(SEARCH("Aplicar",$R780))+ISNUMBER(SEARCH("Razonar",$R780))),0)</f>
        <v/>
      </c>
      <c r="T780" s="39">
        <f>IFERROR(ISNUMBER(SEARCH("Aplicar",$R780))/(ISNUMBER(SEARCH("Conocer",$R780))+ISNUMBER(SEARCH("Aplicar",$R780))+ISNUMBER(SEARCH("Razonar",$R780))),0)</f>
        <v/>
      </c>
      <c r="U780" s="39">
        <f>IFERROR(ISNUMBER(SEARCH("Razonar",$R780))/(ISNUMBER(SEARCH("Conocer",$R780))+ISNUMBER(SEARCH("Aplicar",$R780))+ISNUMBER(SEARCH("Razonar",$R780))),0)</f>
        <v/>
      </c>
      <c r="V780" s="11" t="inlineStr">
        <is>
          <t>Física 11°</t>
        </is>
      </c>
      <c r="W780" s="11" t="inlineStr">
        <is>
          <t>Física 10°–11°</t>
        </is>
      </c>
      <c r="X780" s="11">
        <f>IF(OR(IFERROR(INDEX('Datos - Catálogo TIMSS'!$I$5:$I$107,MATCH(K780,'Datos - Catálogo TIMSS'!$A$5:$A$107,0)),"No")="Sí",IFERROR(INDEX('Datos - Catálogo TIMSS'!$I$5:$I$107,MATCH(L780,'Datos - Catálogo TIMSS'!$A$5:$A$107,0)),"No")="Sí"),1,0)</f>
        <v/>
      </c>
      <c r="Y780" s="11">
        <f>IF(IFERROR(INDEX('Datos - Catálogo TIMSS'!$J$5:$J$107,MATCH(K780,'Datos - Catálogo TIMSS'!$A$5:$A$107,0)),"No")="Sí",1,0)</f>
        <v/>
      </c>
      <c r="Z780" s="11">
        <f>IF(IFERROR(INDEX('Datos - Catálogo TIMSS'!$J$5:$J$107,MATCH(L780,'Datos - Catálogo TIMSS'!$A$5:$A$107,0)),"No")="Sí",1,0)</f>
        <v/>
      </c>
      <c r="AA780" s="11" t="inlineStr">
        <is>
          <t>TA-E1.2</t>
        </is>
      </c>
      <c r="AB780" s="11" t="inlineStr">
        <is>
          <t>TA-E1.1</t>
        </is>
      </c>
      <c r="AC780" s="11">
        <f>IF(AA780="FUERA","Fuera del marco",IF(AA780="N/A","Sin marco",IFERROR(INDEX('Datos - TIMSS 2023'!$C$5:$C$105,MATCH(AA780,'Datos - TIMSS 2023'!$A$5:$A$105,0)),"Pendiente de clasificar")))</f>
        <v/>
      </c>
      <c r="AD780" s="11" t="inlineStr">
        <is>
          <t>1. Explicar fenómenos científicamente</t>
        </is>
      </c>
      <c r="AE780" s="11">
        <f>IF(AD780="","",IF(LEFT(AD780,1)="1","C1",IF(LEFT(AD780,1)="2","C2",IF(LEFT(AD780,1)="3","C3",""))))</f>
        <v/>
      </c>
      <c r="AF780" s="11" t="inlineStr">
        <is>
          <t>E1</t>
        </is>
      </c>
      <c r="AG780" s="11" t="inlineStr">
        <is>
          <t>D1</t>
        </is>
      </c>
      <c r="AH780" s="11" t="inlineStr">
        <is>
          <t>E1</t>
        </is>
      </c>
      <c r="AI780" s="11" t="inlineStr">
        <is>
          <t>E4</t>
        </is>
      </c>
      <c r="AJ780" s="11" t="inlineStr">
        <is>
          <t>E3</t>
        </is>
      </c>
      <c r="AK780" s="11" t="n"/>
      <c r="AL780" s="11" t="n"/>
      <c r="AM780" s="11" t="n"/>
      <c r="AN780" s="11" t="n"/>
      <c r="AO780" s="11" t="n"/>
      <c r="AP780" s="11" t="n"/>
      <c r="AQ780" s="11" t="n"/>
      <c r="AR780" s="11" t="n"/>
      <c r="AS780" s="11" t="n"/>
      <c r="AT780" s="11" t="n"/>
      <c r="AU780" s="11" t="n"/>
      <c r="AV780" s="11" t="n"/>
      <c r="AW780" s="11">
        <f>AF780&amp;"; "&amp;AG780&amp;"; "&amp;AH780&amp;"; "&amp;AI780&amp;"; "&amp;AJ780</f>
        <v/>
      </c>
    </row>
    <row r="781">
      <c r="A781" s="11" t="inlineStr">
        <is>
          <t>T0317-G11-FÍS</t>
        </is>
      </c>
      <c r="B781" s="11" t="n">
        <v>11</v>
      </c>
      <c r="C781" s="11" t="inlineStr">
        <is>
          <t>Física</t>
        </is>
      </c>
      <c r="D781" s="11" t="inlineStr">
        <is>
          <t>Matriz_Bachillerato_Fisica_10_11.xlsx</t>
        </is>
      </c>
      <c r="E781" s="11" t="inlineStr">
        <is>
          <t>Física 11.°</t>
        </is>
      </c>
      <c r="F781" s="11" t="n">
        <v>36</v>
      </c>
      <c r="G781" s="11" t="inlineStr">
        <is>
          <t>7. Campos eléctricos</t>
        </is>
      </c>
      <c r="H781" s="11" t="inlineStr">
        <is>
          <t>El campo eléctrico</t>
        </is>
      </c>
      <c r="I781" s="38" t="inlineStr">
        <is>
          <t>7.2. Representación de campos eléctricos mediante líneas de campo para distintas configuraciones de carga.</t>
        </is>
      </c>
      <c r="J781" s="11" t="inlineStr">
        <is>
          <t>TA</t>
        </is>
      </c>
      <c r="K781" s="11" t="inlineStr">
        <is>
          <t>TA-E1.2</t>
        </is>
      </c>
      <c r="L781" s="11" t="inlineStr"/>
      <c r="M781" s="11">
        <f>IF(K781="FUERA","Fuera del marco",IF(K781="N/A","Sin marco",IFERROR(INDEX('Datos - Catálogo TIMSS'!$C$5:$C$107,MATCH(K781,'Datos - Catálogo TIMSS'!$A$5:$A$107,0)),"Pendiente de clasificar")))</f>
        <v/>
      </c>
      <c r="N781" s="11">
        <f>IF(K781="FUERA","Fuera del marco",IF(K781="N/A","Sin marco",IFERROR(INDEX('Datos - Catálogo TIMSS'!$F$5:$F$107,MATCH(K781,'Datos - Catálogo TIMSS'!$A$5:$A$107,0)),"Pendiente de clasificar")))</f>
        <v/>
      </c>
      <c r="O781" s="11">
        <f>IF(L781="","",IFERROR(INDEX('Datos - Catálogo TIMSS'!$C$5:$C$107,MATCH(L781,'Datos - Catálogo TIMSS'!$A$5:$A$107,0)),"?"))</f>
        <v/>
      </c>
      <c r="P781" s="11" t="inlineStr">
        <is>
          <t>alta</t>
        </is>
      </c>
      <c r="Q781" s="38" t="inlineStr">
        <is>
          <t>Líneas de campo eléctrico de distintas configuraciones</t>
        </is>
      </c>
      <c r="R781" s="38" t="inlineStr">
        <is>
          <t>Aplicar: representar líneas de campo. Razonar: inferir la intensidad del campo</t>
        </is>
      </c>
      <c r="S781" s="39">
        <f>IFERROR(ISNUMBER(SEARCH("Conocer",$R781))/(ISNUMBER(SEARCH("Conocer",$R781))+ISNUMBER(SEARCH("Aplicar",$R781))+ISNUMBER(SEARCH("Razonar",$R781))),0)</f>
        <v/>
      </c>
      <c r="T781" s="39">
        <f>IFERROR(ISNUMBER(SEARCH("Aplicar",$R781))/(ISNUMBER(SEARCH("Conocer",$R781))+ISNUMBER(SEARCH("Aplicar",$R781))+ISNUMBER(SEARCH("Razonar",$R781))),0)</f>
        <v/>
      </c>
      <c r="U781" s="39">
        <f>IFERROR(ISNUMBER(SEARCH("Razonar",$R781))/(ISNUMBER(SEARCH("Conocer",$R781))+ISNUMBER(SEARCH("Aplicar",$R781))+ISNUMBER(SEARCH("Razonar",$R781))),0)</f>
        <v/>
      </c>
      <c r="V781" s="11" t="inlineStr">
        <is>
          <t>Física 11°</t>
        </is>
      </c>
      <c r="W781" s="11" t="inlineStr">
        <is>
          <t>Física 10°–11°</t>
        </is>
      </c>
      <c r="X781" s="11">
        <f>IF(OR(IFERROR(INDEX('Datos - Catálogo TIMSS'!$I$5:$I$107,MATCH(K781,'Datos - Catálogo TIMSS'!$A$5:$A$107,0)),"No")="Sí",IFERROR(INDEX('Datos - Catálogo TIMSS'!$I$5:$I$107,MATCH(L781,'Datos - Catálogo TIMSS'!$A$5:$A$107,0)),"No")="Sí"),1,0)</f>
        <v/>
      </c>
      <c r="Y781" s="11">
        <f>IF(IFERROR(INDEX('Datos - Catálogo TIMSS'!$J$5:$J$107,MATCH(K781,'Datos - Catálogo TIMSS'!$A$5:$A$107,0)),"No")="Sí",1,0)</f>
        <v/>
      </c>
      <c r="Z781" s="11">
        <f>IF(IFERROR(INDEX('Datos - Catálogo TIMSS'!$J$5:$J$107,MATCH(L781,'Datos - Catálogo TIMSS'!$A$5:$A$107,0)),"No")="Sí",1,0)</f>
        <v/>
      </c>
      <c r="AA781" s="11" t="inlineStr">
        <is>
          <t>TA-E1.2</t>
        </is>
      </c>
      <c r="AB781" s="11" t="inlineStr"/>
      <c r="AC781" s="11">
        <f>IF(AA781="FUERA","Fuera del marco",IF(AA781="N/A","Sin marco",IFERROR(INDEX('Datos - TIMSS 2023'!$C$5:$C$105,MATCH(AA781,'Datos - TIMSS 2023'!$A$5:$A$105,0)),"Pendiente de clasificar")))</f>
        <v/>
      </c>
      <c r="AD781" s="11" t="inlineStr">
        <is>
          <t>1. Explicar fenómenos científicamente</t>
        </is>
      </c>
      <c r="AE781" s="11">
        <f>IF(AD781="","",IF(LEFT(AD781,1)="1","C1",IF(LEFT(AD781,1)="2","C2",IF(LEFT(AD781,1)="3","C3",""))))</f>
        <v/>
      </c>
      <c r="AF781" s="11" t="inlineStr">
        <is>
          <t>E1</t>
        </is>
      </c>
      <c r="AG781" s="11" t="inlineStr">
        <is>
          <t>E3</t>
        </is>
      </c>
      <c r="AH781" s="11" t="inlineStr">
        <is>
          <t>E2</t>
        </is>
      </c>
      <c r="AI781" s="11" t="inlineStr">
        <is>
          <t>D4</t>
        </is>
      </c>
      <c r="AJ781" s="11" t="inlineStr">
        <is>
          <t>E3</t>
        </is>
      </c>
      <c r="AK781" s="11" t="n"/>
      <c r="AL781" s="11" t="n"/>
      <c r="AM781" s="11" t="n"/>
      <c r="AN781" s="11" t="n"/>
      <c r="AO781" s="11" t="n"/>
      <c r="AP781" s="11" t="n"/>
      <c r="AQ781" s="11" t="n"/>
      <c r="AR781" s="11" t="n"/>
      <c r="AS781" s="11" t="n"/>
      <c r="AT781" s="11" t="n"/>
      <c r="AU781" s="11" t="n"/>
      <c r="AV781" s="11" t="n"/>
      <c r="AW781" s="11">
        <f>AF781&amp;"; "&amp;AG781&amp;"; "&amp;AH781&amp;"; "&amp;AI781&amp;"; "&amp;AJ781</f>
        <v/>
      </c>
    </row>
    <row r="782">
      <c r="A782" s="11" t="inlineStr">
        <is>
          <t>T0318-G11-FÍS</t>
        </is>
      </c>
      <c r="B782" s="11" t="n">
        <v>11</v>
      </c>
      <c r="C782" s="11" t="inlineStr">
        <is>
          <t>Física</t>
        </is>
      </c>
      <c r="D782" s="11" t="inlineStr">
        <is>
          <t>Matriz_Bachillerato_Fisica_10_11.xlsx</t>
        </is>
      </c>
      <c r="E782" s="11" t="inlineStr">
        <is>
          <t>Física 11.°</t>
        </is>
      </c>
      <c r="F782" s="11" t="n">
        <v>37</v>
      </c>
      <c r="G782" s="11" t="inlineStr">
        <is>
          <t>7. Campos eléctricos</t>
        </is>
      </c>
      <c r="H782" s="11" t="inlineStr">
        <is>
          <t>Conductores en equilibrio</t>
        </is>
      </c>
      <c r="I782" s="38" t="inlineStr">
        <is>
          <t>7.3. Comprobación experimental del blindaje electrostático en recintos conductores.</t>
        </is>
      </c>
      <c r="J782" s="11" t="inlineStr">
        <is>
          <t>TA</t>
        </is>
      </c>
      <c r="K782" s="11" t="inlineStr">
        <is>
          <t>TA-E1.2</t>
        </is>
      </c>
      <c r="L782" s="11" t="inlineStr"/>
      <c r="M782" s="11">
        <f>IF(K782="FUERA","Fuera del marco",IF(K782="N/A","Sin marco",IFERROR(INDEX('Datos - Catálogo TIMSS'!$C$5:$C$107,MATCH(K782,'Datos - Catálogo TIMSS'!$A$5:$A$107,0)),"Pendiente de clasificar")))</f>
        <v/>
      </c>
      <c r="N782" s="11">
        <f>IF(K782="FUERA","Fuera del marco",IF(K782="N/A","Sin marco",IFERROR(INDEX('Datos - Catálogo TIMSS'!$F$5:$F$107,MATCH(K782,'Datos - Catálogo TIMSS'!$A$5:$A$107,0)),"Pendiente de clasificar")))</f>
        <v/>
      </c>
      <c r="O782" s="11">
        <f>IF(L782="","",IFERROR(INDEX('Datos - Catálogo TIMSS'!$C$5:$C$107,MATCH(L782,'Datos - Catálogo TIMSS'!$A$5:$A$107,0)),"?"))</f>
        <v/>
      </c>
      <c r="P782" s="11" t="inlineStr">
        <is>
          <t>media</t>
        </is>
      </c>
      <c r="Q782" s="38" t="inlineStr">
        <is>
          <t>Campo eléctrico nulo en conductores en equilibrio</t>
        </is>
      </c>
      <c r="R782" s="38" t="inlineStr">
        <is>
          <t>Aplicar: comprobar el blindaje. Razonar: argumentar con el modelo de conductor en equilibrio</t>
        </is>
      </c>
      <c r="S782" s="39">
        <f>IFERROR(ISNUMBER(SEARCH("Conocer",$R782))/(ISNUMBER(SEARCH("Conocer",$R782))+ISNUMBER(SEARCH("Aplicar",$R782))+ISNUMBER(SEARCH("Razonar",$R782))),0)</f>
        <v/>
      </c>
      <c r="T782" s="39">
        <f>IFERROR(ISNUMBER(SEARCH("Aplicar",$R782))/(ISNUMBER(SEARCH("Conocer",$R782))+ISNUMBER(SEARCH("Aplicar",$R782))+ISNUMBER(SEARCH("Razonar",$R782))),0)</f>
        <v/>
      </c>
      <c r="U782" s="39">
        <f>IFERROR(ISNUMBER(SEARCH("Razonar",$R782))/(ISNUMBER(SEARCH("Conocer",$R782))+ISNUMBER(SEARCH("Aplicar",$R782))+ISNUMBER(SEARCH("Razonar",$R782))),0)</f>
        <v/>
      </c>
      <c r="V782" s="11" t="inlineStr">
        <is>
          <t>Física 11°</t>
        </is>
      </c>
      <c r="W782" s="11" t="inlineStr">
        <is>
          <t>Física 10°–11°</t>
        </is>
      </c>
      <c r="X782" s="11">
        <f>IF(OR(IFERROR(INDEX('Datos - Catálogo TIMSS'!$I$5:$I$107,MATCH(K782,'Datos - Catálogo TIMSS'!$A$5:$A$107,0)),"No")="Sí",IFERROR(INDEX('Datos - Catálogo TIMSS'!$I$5:$I$107,MATCH(L782,'Datos - Catálogo TIMSS'!$A$5:$A$107,0)),"No")="Sí"),1,0)</f>
        <v/>
      </c>
      <c r="Y782" s="11">
        <f>IF(IFERROR(INDEX('Datos - Catálogo TIMSS'!$J$5:$J$107,MATCH(K782,'Datos - Catálogo TIMSS'!$A$5:$A$107,0)),"No")="Sí",1,0)</f>
        <v/>
      </c>
      <c r="Z782" s="11">
        <f>IF(IFERROR(INDEX('Datos - Catálogo TIMSS'!$J$5:$J$107,MATCH(L782,'Datos - Catálogo TIMSS'!$A$5:$A$107,0)),"No")="Sí",1,0)</f>
        <v/>
      </c>
      <c r="AA782" s="11" t="inlineStr">
        <is>
          <t>TA-E1.2</t>
        </is>
      </c>
      <c r="AB782" s="11" t="inlineStr"/>
      <c r="AC782" s="11">
        <f>IF(AA782="FUERA","Fuera del marco",IF(AA782="N/A","Sin marco",IFERROR(INDEX('Datos - TIMSS 2023'!$C$5:$C$105,MATCH(AA782,'Datos - TIMSS 2023'!$A$5:$A$105,0)),"Pendiente de clasificar")))</f>
        <v/>
      </c>
      <c r="AD782" s="11" t="inlineStr">
        <is>
          <t>2. Construir y evaluar diseños para la indagación científica e interpretar datos y evidencia de forma crítica</t>
        </is>
      </c>
      <c r="AE782" s="11">
        <f>IF(AD782="","",IF(LEFT(AD782,1)="1","C1",IF(LEFT(AD782,1)="2","C2",IF(LEFT(AD782,1)="3","C3",""))))</f>
        <v/>
      </c>
      <c r="AF782" s="11" t="inlineStr">
        <is>
          <t>E6</t>
        </is>
      </c>
      <c r="AG782" s="11" t="inlineStr">
        <is>
          <t>E5</t>
        </is>
      </c>
      <c r="AH782" s="11" t="inlineStr">
        <is>
          <t>E4</t>
        </is>
      </c>
      <c r="AI782" s="11" t="inlineStr">
        <is>
          <t>D2</t>
        </is>
      </c>
      <c r="AJ782" s="11" t="inlineStr">
        <is>
          <t>I5</t>
        </is>
      </c>
      <c r="AK782" s="11" t="n"/>
      <c r="AL782" s="11" t="n"/>
      <c r="AM782" s="11" t="n"/>
      <c r="AN782" s="11" t="n"/>
      <c r="AO782" s="11" t="n"/>
      <c r="AP782" s="11" t="n"/>
      <c r="AQ782" s="11" t="n"/>
      <c r="AR782" s="11" t="n"/>
      <c r="AS782" s="11" t="n"/>
      <c r="AT782" s="11" t="n"/>
      <c r="AU782" s="11" t="n"/>
      <c r="AV782" s="11" t="n"/>
      <c r="AW782" s="11">
        <f>AF782&amp;"; "&amp;AG782&amp;"; "&amp;AH782&amp;"; "&amp;AI782&amp;"; "&amp;AJ782</f>
        <v/>
      </c>
    </row>
    <row r="783">
      <c r="A783" s="11" t="inlineStr">
        <is>
          <t>T0319-G11-FÍS</t>
        </is>
      </c>
      <c r="B783" s="11" t="n">
        <v>11</v>
      </c>
      <c r="C783" s="11" t="inlineStr">
        <is>
          <t>Física</t>
        </is>
      </c>
      <c r="D783" s="11" t="inlineStr">
        <is>
          <t>Matriz_Bachillerato_Fisica_10_11.xlsx</t>
        </is>
      </c>
      <c r="E783" s="11" t="inlineStr">
        <is>
          <t>Física 11.°</t>
        </is>
      </c>
      <c r="F783" s="11" t="n">
        <v>38</v>
      </c>
      <c r="G783" s="11" t="inlineStr">
        <is>
          <t>7. Campos eléctricos</t>
        </is>
      </c>
      <c r="H783" s="11" t="inlineStr">
        <is>
          <t>Conductores en equilibrio</t>
        </is>
      </c>
      <c r="I783" s="38" t="inlineStr">
        <is>
          <t>7.4. Aplicación de la ley de Gauss para calcular el campo eléctrico de distribuciones de carga con simetría esférica y plana.</t>
        </is>
      </c>
      <c r="J783" s="11" t="inlineStr">
        <is>
          <t>TA</t>
        </is>
      </c>
      <c r="K783" s="11" t="inlineStr">
        <is>
          <t>TA-E1.2</t>
        </is>
      </c>
      <c r="L783" s="11" t="inlineStr"/>
      <c r="M783" s="11">
        <f>IF(K783="FUERA","Fuera del marco",IF(K783="N/A","Sin marco",IFERROR(INDEX('Datos - Catálogo TIMSS'!$C$5:$C$107,MATCH(K783,'Datos - Catálogo TIMSS'!$A$5:$A$107,0)),"Pendiente de clasificar")))</f>
        <v/>
      </c>
      <c r="N783" s="11">
        <f>IF(K783="FUERA","Fuera del marco",IF(K783="N/A","Sin marco",IFERROR(INDEX('Datos - Catálogo TIMSS'!$F$5:$F$107,MATCH(K783,'Datos - Catálogo TIMSS'!$A$5:$A$107,0)),"Pendiente de clasificar")))</f>
        <v/>
      </c>
      <c r="O783" s="11">
        <f>IF(L783="","",IFERROR(INDEX('Datos - Catálogo TIMSS'!$C$5:$C$107,MATCH(L783,'Datos - Catálogo TIMSS'!$A$5:$A$107,0)),"?"))</f>
        <v/>
      </c>
      <c r="P783" s="11" t="inlineStr">
        <is>
          <t>media</t>
        </is>
      </c>
      <c r="Q783" s="38" t="inlineStr">
        <is>
          <t>Ley de Gauss para calcular campos eléctricos</t>
        </is>
      </c>
      <c r="R783" s="38" t="inlineStr">
        <is>
          <t>Aplicar: calcular flujo y campo. Razonar: evaluar la simetría de una distribución</t>
        </is>
      </c>
      <c r="S783" s="39">
        <f>IFERROR(ISNUMBER(SEARCH("Conocer",$R783))/(ISNUMBER(SEARCH("Conocer",$R783))+ISNUMBER(SEARCH("Aplicar",$R783))+ISNUMBER(SEARCH("Razonar",$R783))),0)</f>
        <v/>
      </c>
      <c r="T783" s="39">
        <f>IFERROR(ISNUMBER(SEARCH("Aplicar",$R783))/(ISNUMBER(SEARCH("Conocer",$R783))+ISNUMBER(SEARCH("Aplicar",$R783))+ISNUMBER(SEARCH("Razonar",$R783))),0)</f>
        <v/>
      </c>
      <c r="U783" s="39">
        <f>IFERROR(ISNUMBER(SEARCH("Razonar",$R783))/(ISNUMBER(SEARCH("Conocer",$R783))+ISNUMBER(SEARCH("Aplicar",$R783))+ISNUMBER(SEARCH("Razonar",$R783))),0)</f>
        <v/>
      </c>
      <c r="V783" s="11" t="inlineStr">
        <is>
          <t>Física 11°</t>
        </is>
      </c>
      <c r="W783" s="11" t="inlineStr">
        <is>
          <t>Física 10°–11°</t>
        </is>
      </c>
      <c r="X783" s="11">
        <f>IF(OR(IFERROR(INDEX('Datos - Catálogo TIMSS'!$I$5:$I$107,MATCH(K783,'Datos - Catálogo TIMSS'!$A$5:$A$107,0)),"No")="Sí",IFERROR(INDEX('Datos - Catálogo TIMSS'!$I$5:$I$107,MATCH(L783,'Datos - Catálogo TIMSS'!$A$5:$A$107,0)),"No")="Sí"),1,0)</f>
        <v/>
      </c>
      <c r="Y783" s="11">
        <f>IF(IFERROR(INDEX('Datos - Catálogo TIMSS'!$J$5:$J$107,MATCH(K783,'Datos - Catálogo TIMSS'!$A$5:$A$107,0)),"No")="Sí",1,0)</f>
        <v/>
      </c>
      <c r="Z783" s="11">
        <f>IF(IFERROR(INDEX('Datos - Catálogo TIMSS'!$J$5:$J$107,MATCH(L783,'Datos - Catálogo TIMSS'!$A$5:$A$107,0)),"No")="Sí",1,0)</f>
        <v/>
      </c>
      <c r="AA783" s="11" t="inlineStr">
        <is>
          <t>TA-E1.2</t>
        </is>
      </c>
      <c r="AB783" s="11" t="inlineStr"/>
      <c r="AC783" s="11">
        <f>IF(AA783="FUERA","Fuera del marco",IF(AA783="N/A","Sin marco",IFERROR(INDEX('Datos - TIMSS 2023'!$C$5:$C$105,MATCH(AA783,'Datos - TIMSS 2023'!$A$5:$A$105,0)),"Pendiente de clasificar")))</f>
        <v/>
      </c>
      <c r="AD783" s="11" t="inlineStr">
        <is>
          <t>1. Explicar fenómenos científicamente</t>
        </is>
      </c>
      <c r="AE783" s="11">
        <f>IF(AD783="","",IF(LEFT(AD783,1)="1","C1",IF(LEFT(AD783,1)="2","C2",IF(LEFT(AD783,1)="3","C3",""))))</f>
        <v/>
      </c>
      <c r="AF783" s="11" t="inlineStr">
        <is>
          <t>E1</t>
        </is>
      </c>
      <c r="AG783" s="11" t="inlineStr">
        <is>
          <t>E3</t>
        </is>
      </c>
      <c r="AH783" s="11" t="inlineStr">
        <is>
          <t>E2</t>
        </is>
      </c>
      <c r="AI783" s="11" t="inlineStr">
        <is>
          <t>E4</t>
        </is>
      </c>
      <c r="AJ783" s="11" t="inlineStr">
        <is>
          <t>I4</t>
        </is>
      </c>
      <c r="AK783" s="11" t="n"/>
      <c r="AL783" s="11" t="n"/>
      <c r="AM783" s="11" t="n"/>
      <c r="AN783" s="11" t="n"/>
      <c r="AO783" s="11" t="n"/>
      <c r="AP783" s="11" t="n"/>
      <c r="AQ783" s="11" t="n"/>
      <c r="AR783" s="11" t="n"/>
      <c r="AS783" s="11" t="n"/>
      <c r="AT783" s="11" t="n"/>
      <c r="AU783" s="11" t="n"/>
      <c r="AV783" s="11" t="n"/>
      <c r="AW783" s="11">
        <f>AF783&amp;"; "&amp;AG783&amp;"; "&amp;AH783&amp;"; "&amp;AI783&amp;"; "&amp;AJ783</f>
        <v/>
      </c>
    </row>
    <row r="784">
      <c r="A784" s="11" t="inlineStr">
        <is>
          <t>T0320-G11-FÍS</t>
        </is>
      </c>
      <c r="B784" s="11" t="n">
        <v>11</v>
      </c>
      <c r="C784" s="11" t="inlineStr">
        <is>
          <t>Física</t>
        </is>
      </c>
      <c r="D784" s="11" t="inlineStr">
        <is>
          <t>Matriz_Bachillerato_Fisica_10_11.xlsx</t>
        </is>
      </c>
      <c r="E784" s="11" t="inlineStr">
        <is>
          <t>Física 11.°</t>
        </is>
      </c>
      <c r="F784" s="11" t="n">
        <v>39</v>
      </c>
      <c r="G784" s="11" t="inlineStr">
        <is>
          <t>7. Campos eléctricos</t>
        </is>
      </c>
      <c r="H784" s="11" t="inlineStr">
        <is>
          <t>Aplicaciones tecnológicas</t>
        </is>
      </c>
      <c r="I784" s="38" t="inlineStr">
        <is>
          <t>7.5. Explicación de la física de la xerografía en fotocopiadoras e impresoras láser y comparación con las impresoras de inyección de tinta.</t>
        </is>
      </c>
      <c r="J784" s="11" t="inlineStr">
        <is>
          <t>TA</t>
        </is>
      </c>
      <c r="K784" s="11" t="inlineStr">
        <is>
          <t>TA-E1.2</t>
        </is>
      </c>
      <c r="L784" s="11" t="inlineStr"/>
      <c r="M784" s="11">
        <f>IF(K784="FUERA","Fuera del marco",IF(K784="N/A","Sin marco",IFERROR(INDEX('Datos - Catálogo TIMSS'!$C$5:$C$107,MATCH(K784,'Datos - Catálogo TIMSS'!$A$5:$A$107,0)),"Pendiente de clasificar")))</f>
        <v/>
      </c>
      <c r="N784" s="11">
        <f>IF(K784="FUERA","Fuera del marco",IF(K784="N/A","Sin marco",IFERROR(INDEX('Datos - Catálogo TIMSS'!$F$5:$F$107,MATCH(K784,'Datos - Catálogo TIMSS'!$A$5:$A$107,0)),"Pendiente de clasificar")))</f>
        <v/>
      </c>
      <c r="O784" s="11">
        <f>IF(L784="","",IFERROR(INDEX('Datos - Catálogo TIMSS'!$C$5:$C$107,MATCH(L784,'Datos - Catálogo TIMSS'!$A$5:$A$107,0)),"?"))</f>
        <v/>
      </c>
      <c r="P784" s="11" t="inlineStr">
        <is>
          <t>baja</t>
        </is>
      </c>
      <c r="Q784" s="38" t="inlineStr">
        <is>
          <t>Xerografía: aplicación de carga y campo eléctrico</t>
        </is>
      </c>
      <c r="R784" s="38" t="inlineStr">
        <is>
          <t>Conocer: describir etapas. Razonar: comparar tecnologías de impresión</t>
        </is>
      </c>
      <c r="S784" s="39">
        <f>IFERROR(ISNUMBER(SEARCH("Conocer",$R784))/(ISNUMBER(SEARCH("Conocer",$R784))+ISNUMBER(SEARCH("Aplicar",$R784))+ISNUMBER(SEARCH("Razonar",$R784))),0)</f>
        <v/>
      </c>
      <c r="T784" s="39">
        <f>IFERROR(ISNUMBER(SEARCH("Aplicar",$R784))/(ISNUMBER(SEARCH("Conocer",$R784))+ISNUMBER(SEARCH("Aplicar",$R784))+ISNUMBER(SEARCH("Razonar",$R784))),0)</f>
        <v/>
      </c>
      <c r="U784" s="39">
        <f>IFERROR(ISNUMBER(SEARCH("Razonar",$R784))/(ISNUMBER(SEARCH("Conocer",$R784))+ISNUMBER(SEARCH("Aplicar",$R784))+ISNUMBER(SEARCH("Razonar",$R784))),0)</f>
        <v/>
      </c>
      <c r="V784" s="11" t="inlineStr">
        <is>
          <t>Física 11°</t>
        </is>
      </c>
      <c r="W784" s="11" t="inlineStr">
        <is>
          <t>Física 10°–11°</t>
        </is>
      </c>
      <c r="X784" s="11">
        <f>IF(OR(IFERROR(INDEX('Datos - Catálogo TIMSS'!$I$5:$I$107,MATCH(K784,'Datos - Catálogo TIMSS'!$A$5:$A$107,0)),"No")="Sí",IFERROR(INDEX('Datos - Catálogo TIMSS'!$I$5:$I$107,MATCH(L784,'Datos - Catálogo TIMSS'!$A$5:$A$107,0)),"No")="Sí"),1,0)</f>
        <v/>
      </c>
      <c r="Y784" s="11">
        <f>IF(IFERROR(INDEX('Datos - Catálogo TIMSS'!$J$5:$J$107,MATCH(K784,'Datos - Catálogo TIMSS'!$A$5:$A$107,0)),"No")="Sí",1,0)</f>
        <v/>
      </c>
      <c r="Z784" s="11">
        <f>IF(IFERROR(INDEX('Datos - Catálogo TIMSS'!$J$5:$J$107,MATCH(L784,'Datos - Catálogo TIMSS'!$A$5:$A$107,0)),"No")="Sí",1,0)</f>
        <v/>
      </c>
      <c r="AA784" s="11" t="inlineStr">
        <is>
          <t>TA-E1.2</t>
        </is>
      </c>
      <c r="AB784" s="11" t="inlineStr"/>
      <c r="AC784" s="11">
        <f>IF(AA784="FUERA","Fuera del marco",IF(AA784="N/A","Sin marco",IFERROR(INDEX('Datos - TIMSS 2023'!$C$5:$C$105,MATCH(AA784,'Datos - TIMSS 2023'!$A$5:$A$105,0)),"Pendiente de clasificar")))</f>
        <v/>
      </c>
      <c r="AD784" s="11" t="inlineStr">
        <is>
          <t>3. Investigar, evaluar y usar información científica para tomar decisiones y actuar</t>
        </is>
      </c>
      <c r="AE784" s="11">
        <f>IF(AD784="","",IF(LEFT(AD784,1)="1","C1",IF(LEFT(AD784,1)="2","C2",IF(LEFT(AD784,1)="3","C3",""))))</f>
        <v/>
      </c>
      <c r="AF784" s="11" t="inlineStr">
        <is>
          <t>E6</t>
        </is>
      </c>
      <c r="AG784" s="11" t="inlineStr">
        <is>
          <t>E3</t>
        </is>
      </c>
      <c r="AH784" s="11" t="inlineStr">
        <is>
          <t>E4</t>
        </is>
      </c>
      <c r="AI784" s="11" t="inlineStr">
        <is>
          <t>I1</t>
        </is>
      </c>
      <c r="AJ784" s="11" t="inlineStr">
        <is>
          <t>I5</t>
        </is>
      </c>
      <c r="AK784" s="11" t="n"/>
      <c r="AL784" s="11" t="n"/>
      <c r="AM784" s="11" t="n"/>
      <c r="AN784" s="11" t="n"/>
      <c r="AO784" s="11" t="n"/>
      <c r="AP784" s="11" t="n"/>
      <c r="AQ784" s="11" t="n"/>
      <c r="AR784" s="11" t="n"/>
      <c r="AS784" s="11" t="n"/>
      <c r="AT784" s="11" t="n"/>
      <c r="AU784" s="11" t="n"/>
      <c r="AV784" s="11" t="n"/>
      <c r="AW784" s="11">
        <f>AF784&amp;"; "&amp;AG784&amp;"; "&amp;AH784&amp;"; "&amp;AI784&amp;"; "&amp;AJ784</f>
        <v/>
      </c>
    </row>
    <row r="785">
      <c r="A785" s="11" t="inlineStr">
        <is>
          <t>T0321-G11-FÍS</t>
        </is>
      </c>
      <c r="B785" s="11" t="n">
        <v>11</v>
      </c>
      <c r="C785" s="11" t="inlineStr">
        <is>
          <t>Física</t>
        </is>
      </c>
      <c r="D785" s="11" t="inlineStr">
        <is>
          <t>Matriz_Bachillerato_Fisica_10_11.xlsx</t>
        </is>
      </c>
      <c r="E785" s="11" t="inlineStr">
        <is>
          <t>Física 11.°</t>
        </is>
      </c>
      <c r="F785" s="11" t="n">
        <v>40</v>
      </c>
      <c r="G785" s="11" t="inlineStr">
        <is>
          <t>8. Energía potencial eléctrica</t>
        </is>
      </c>
      <c r="H785" s="11" t="inlineStr">
        <is>
          <t>Energía potencial eléctrica</t>
        </is>
      </c>
      <c r="I785" s="38" t="inlineStr">
        <is>
          <t>8.1. Comparación entre la energía potencial gravitatoria y la energía potencial eléctrica como energías asociadas a fuerzas conservativas.</t>
        </is>
      </c>
      <c r="J785" s="11" t="inlineStr">
        <is>
          <t>TA</t>
        </is>
      </c>
      <c r="K785" s="11" t="inlineStr">
        <is>
          <t>TA-E1.2</t>
        </is>
      </c>
      <c r="L785" s="11" t="inlineStr">
        <is>
          <t>TA-M2.1</t>
        </is>
      </c>
      <c r="M785" s="11">
        <f>IF(K785="FUERA","Fuera del marco",IF(K785="N/A","Sin marco",IFERROR(INDEX('Datos - Catálogo TIMSS'!$C$5:$C$107,MATCH(K785,'Datos - Catálogo TIMSS'!$A$5:$A$107,0)),"Pendiente de clasificar")))</f>
        <v/>
      </c>
      <c r="N785" s="11">
        <f>IF(K785="FUERA","Fuera del marco",IF(K785="N/A","Sin marco",IFERROR(INDEX('Datos - Catálogo TIMSS'!$F$5:$F$107,MATCH(K785,'Datos - Catálogo TIMSS'!$A$5:$A$107,0)),"Pendiente de clasificar")))</f>
        <v/>
      </c>
      <c r="O785" s="11">
        <f>IF(L785="","",IFERROR(INDEX('Datos - Catálogo TIMSS'!$C$5:$C$107,MATCH(L785,'Datos - Catálogo TIMSS'!$A$5:$A$107,0)),"?"))</f>
        <v/>
      </c>
      <c r="P785" s="11" t="inlineStr">
        <is>
          <t>media</t>
        </is>
      </c>
      <c r="Q785" s="38" t="inlineStr">
        <is>
          <t>Energía potencial eléctrica análoga a la gravitatoria</t>
        </is>
      </c>
      <c r="R785" s="38" t="inlineStr">
        <is>
          <t>Conocer: definir energía potencial eléctrica. Aplicar: comparar modelos. Razonar: identificar los límites de una analogía</t>
        </is>
      </c>
      <c r="S785" s="39">
        <f>IFERROR(ISNUMBER(SEARCH("Conocer",$R785))/(ISNUMBER(SEARCH("Conocer",$R785))+ISNUMBER(SEARCH("Aplicar",$R785))+ISNUMBER(SEARCH("Razonar",$R785))),0)</f>
        <v/>
      </c>
      <c r="T785" s="39">
        <f>IFERROR(ISNUMBER(SEARCH("Aplicar",$R785))/(ISNUMBER(SEARCH("Conocer",$R785))+ISNUMBER(SEARCH("Aplicar",$R785))+ISNUMBER(SEARCH("Razonar",$R785))),0)</f>
        <v/>
      </c>
      <c r="U785" s="39">
        <f>IFERROR(ISNUMBER(SEARCH("Razonar",$R785))/(ISNUMBER(SEARCH("Conocer",$R785))+ISNUMBER(SEARCH("Aplicar",$R785))+ISNUMBER(SEARCH("Razonar",$R785))),0)</f>
        <v/>
      </c>
      <c r="V785" s="11" t="inlineStr">
        <is>
          <t>Física 11°</t>
        </is>
      </c>
      <c r="W785" s="11" t="inlineStr">
        <is>
          <t>Física 10°–11°</t>
        </is>
      </c>
      <c r="X785" s="11">
        <f>IF(OR(IFERROR(INDEX('Datos - Catálogo TIMSS'!$I$5:$I$107,MATCH(K785,'Datos - Catálogo TIMSS'!$A$5:$A$107,0)),"No")="Sí",IFERROR(INDEX('Datos - Catálogo TIMSS'!$I$5:$I$107,MATCH(L785,'Datos - Catálogo TIMSS'!$A$5:$A$107,0)),"No")="Sí"),1,0)</f>
        <v/>
      </c>
      <c r="Y785" s="11">
        <f>IF(IFERROR(INDEX('Datos - Catálogo TIMSS'!$J$5:$J$107,MATCH(K785,'Datos - Catálogo TIMSS'!$A$5:$A$107,0)),"No")="Sí",1,0)</f>
        <v/>
      </c>
      <c r="Z785" s="11">
        <f>IF(IFERROR(INDEX('Datos - Catálogo TIMSS'!$J$5:$J$107,MATCH(L785,'Datos - Catálogo TIMSS'!$A$5:$A$107,0)),"No")="Sí",1,0)</f>
        <v/>
      </c>
      <c r="AA785" s="11" t="inlineStr">
        <is>
          <t>TA-E1.2</t>
        </is>
      </c>
      <c r="AB785" s="11" t="inlineStr">
        <is>
          <t>TA-M2.1</t>
        </is>
      </c>
      <c r="AC785" s="11">
        <f>IF(AA785="FUERA","Fuera del marco",IF(AA785="N/A","Sin marco",IFERROR(INDEX('Datos - TIMSS 2023'!$C$5:$C$105,MATCH(AA785,'Datos - TIMSS 2023'!$A$5:$A$105,0)),"Pendiente de clasificar")))</f>
        <v/>
      </c>
      <c r="AD785" s="11" t="inlineStr">
        <is>
          <t>1. Explicar fenómenos científicamente</t>
        </is>
      </c>
      <c r="AE785" s="11">
        <f>IF(AD785="","",IF(LEFT(AD785,1)="1","C1",IF(LEFT(AD785,1)="2","C2",IF(LEFT(AD785,1)="3","C3",""))))</f>
        <v/>
      </c>
      <c r="AF785" s="11" t="inlineStr">
        <is>
          <t>E1</t>
        </is>
      </c>
      <c r="AG785" s="11" t="inlineStr">
        <is>
          <t>E3</t>
        </is>
      </c>
      <c r="AH785" s="11" t="inlineStr">
        <is>
          <t>E2</t>
        </is>
      </c>
      <c r="AI785" s="11" t="inlineStr">
        <is>
          <t>E4</t>
        </is>
      </c>
      <c r="AJ785" s="11" t="inlineStr">
        <is>
          <t>E6</t>
        </is>
      </c>
      <c r="AK785" s="11" t="n"/>
      <c r="AL785" s="11" t="n"/>
      <c r="AM785" s="11" t="n"/>
      <c r="AN785" s="11" t="n"/>
      <c r="AO785" s="11" t="n"/>
      <c r="AP785" s="11" t="n"/>
      <c r="AQ785" s="11" t="n"/>
      <c r="AR785" s="11" t="n"/>
      <c r="AS785" s="11" t="n"/>
      <c r="AT785" s="11" t="n"/>
      <c r="AU785" s="11" t="n"/>
      <c r="AV785" s="11" t="n"/>
      <c r="AW785" s="11">
        <f>AF785&amp;"; "&amp;AG785&amp;"; "&amp;AH785&amp;"; "&amp;AI785&amp;"; "&amp;AJ785</f>
        <v/>
      </c>
    </row>
    <row r="786">
      <c r="A786" s="11" t="inlineStr">
        <is>
          <t>T0322-G11-FÍS</t>
        </is>
      </c>
      <c r="B786" s="11" t="n">
        <v>11</v>
      </c>
      <c r="C786" s="11" t="inlineStr">
        <is>
          <t>Física</t>
        </is>
      </c>
      <c r="D786" s="11" t="inlineStr">
        <is>
          <t>Matriz_Bachillerato_Fisica_10_11.xlsx</t>
        </is>
      </c>
      <c r="E786" s="11" t="inlineStr">
        <is>
          <t>Física 11.°</t>
        </is>
      </c>
      <c r="F786" s="11" t="n">
        <v>41</v>
      </c>
      <c r="G786" s="11" t="inlineStr">
        <is>
          <t>8. Energía potencial eléctrica</t>
        </is>
      </c>
      <c r="H786" s="11" t="inlineStr">
        <is>
          <t>Energía potencial eléctrica</t>
        </is>
      </c>
      <c r="I786" s="38" t="inlineStr">
        <is>
          <t>8.2. Cálculo de la diferencia de potencial a partir del trabajo realizado por la fuerza eléctrica sobre una carga de prueba.</t>
        </is>
      </c>
      <c r="J786" s="11" t="inlineStr">
        <is>
          <t>TA</t>
        </is>
      </c>
      <c r="K786" s="11" t="inlineStr">
        <is>
          <t>TA-E1.2</t>
        </is>
      </c>
      <c r="L786" s="11" t="inlineStr"/>
      <c r="M786" s="11">
        <f>IF(K786="FUERA","Fuera del marco",IF(K786="N/A","Sin marco",IFERROR(INDEX('Datos - Catálogo TIMSS'!$C$5:$C$107,MATCH(K786,'Datos - Catálogo TIMSS'!$A$5:$A$107,0)),"Pendiente de clasificar")))</f>
        <v/>
      </c>
      <c r="N786" s="11">
        <f>IF(K786="FUERA","Fuera del marco",IF(K786="N/A","Sin marco",IFERROR(INDEX('Datos - Catálogo TIMSS'!$F$5:$F$107,MATCH(K786,'Datos - Catálogo TIMSS'!$A$5:$A$107,0)),"Pendiente de clasificar")))</f>
        <v/>
      </c>
      <c r="O786" s="11">
        <f>IF(L786="","",IFERROR(INDEX('Datos - Catálogo TIMSS'!$C$5:$C$107,MATCH(L786,'Datos - Catálogo TIMSS'!$A$5:$A$107,0)),"?"))</f>
        <v/>
      </c>
      <c r="P786" s="11" t="inlineStr">
        <is>
          <t>alta</t>
        </is>
      </c>
      <c r="Q786" s="38" t="inlineStr">
        <is>
          <t>Diferencia de potencial y trabajo sobre carga en campo uniforme</t>
        </is>
      </c>
      <c r="R786" s="38" t="inlineStr">
        <is>
          <t>Aplicar: calcular diferencias de potencial y trabajo. Razonar: justificar el signo del trabajo eléctrico</t>
        </is>
      </c>
      <c r="S786" s="39">
        <f>IFERROR(ISNUMBER(SEARCH("Conocer",$R786))/(ISNUMBER(SEARCH("Conocer",$R786))+ISNUMBER(SEARCH("Aplicar",$R786))+ISNUMBER(SEARCH("Razonar",$R786))),0)</f>
        <v/>
      </c>
      <c r="T786" s="39">
        <f>IFERROR(ISNUMBER(SEARCH("Aplicar",$R786))/(ISNUMBER(SEARCH("Conocer",$R786))+ISNUMBER(SEARCH("Aplicar",$R786))+ISNUMBER(SEARCH("Razonar",$R786))),0)</f>
        <v/>
      </c>
      <c r="U786" s="39">
        <f>IFERROR(ISNUMBER(SEARCH("Razonar",$R786))/(ISNUMBER(SEARCH("Conocer",$R786))+ISNUMBER(SEARCH("Aplicar",$R786))+ISNUMBER(SEARCH("Razonar",$R786))),0)</f>
        <v/>
      </c>
      <c r="V786" s="11" t="inlineStr">
        <is>
          <t>Física 11°</t>
        </is>
      </c>
      <c r="W786" s="11" t="inlineStr">
        <is>
          <t>Física 10°–11°</t>
        </is>
      </c>
      <c r="X786" s="11">
        <f>IF(OR(IFERROR(INDEX('Datos - Catálogo TIMSS'!$I$5:$I$107,MATCH(K786,'Datos - Catálogo TIMSS'!$A$5:$A$107,0)),"No")="Sí",IFERROR(INDEX('Datos - Catálogo TIMSS'!$I$5:$I$107,MATCH(L786,'Datos - Catálogo TIMSS'!$A$5:$A$107,0)),"No")="Sí"),1,0)</f>
        <v/>
      </c>
      <c r="Y786" s="11">
        <f>IF(IFERROR(INDEX('Datos - Catálogo TIMSS'!$J$5:$J$107,MATCH(K786,'Datos - Catálogo TIMSS'!$A$5:$A$107,0)),"No")="Sí",1,0)</f>
        <v/>
      </c>
      <c r="Z786" s="11">
        <f>IF(IFERROR(INDEX('Datos - Catálogo TIMSS'!$J$5:$J$107,MATCH(L786,'Datos - Catálogo TIMSS'!$A$5:$A$107,0)),"No")="Sí",1,0)</f>
        <v/>
      </c>
      <c r="AA786" s="11" t="inlineStr">
        <is>
          <t>TA-E1.2</t>
        </is>
      </c>
      <c r="AB786" s="11" t="inlineStr"/>
      <c r="AC786" s="11">
        <f>IF(AA786="FUERA","Fuera del marco",IF(AA786="N/A","Sin marco",IFERROR(INDEX('Datos - TIMSS 2023'!$C$5:$C$105,MATCH(AA786,'Datos - TIMSS 2023'!$A$5:$A$105,0)),"Pendiente de clasificar")))</f>
        <v/>
      </c>
      <c r="AD786" s="11" t="inlineStr">
        <is>
          <t>1. Explicar fenómenos científicamente</t>
        </is>
      </c>
      <c r="AE786" s="11">
        <f>IF(AD786="","",IF(LEFT(AD786,1)="1","C1",IF(LEFT(AD786,1)="2","C2",IF(LEFT(AD786,1)="3","C3",""))))</f>
        <v/>
      </c>
      <c r="AF786" s="11" t="inlineStr">
        <is>
          <t>E1</t>
        </is>
      </c>
      <c r="AG786" s="11" t="inlineStr">
        <is>
          <t>D1</t>
        </is>
      </c>
      <c r="AH786" s="11" t="inlineStr">
        <is>
          <t>E1</t>
        </is>
      </c>
      <c r="AI786" s="11" t="inlineStr">
        <is>
          <t>D4</t>
        </is>
      </c>
      <c r="AJ786" s="11" t="inlineStr">
        <is>
          <t>E3</t>
        </is>
      </c>
      <c r="AK786" s="11" t="n"/>
      <c r="AL786" s="11" t="n"/>
      <c r="AM786" s="11" t="n"/>
      <c r="AN786" s="11" t="n"/>
      <c r="AO786" s="11" t="n"/>
      <c r="AP786" s="11" t="n"/>
      <c r="AQ786" s="11" t="n"/>
      <c r="AR786" s="11" t="n"/>
      <c r="AS786" s="11" t="n"/>
      <c r="AT786" s="11" t="n"/>
      <c r="AU786" s="11" t="n"/>
      <c r="AV786" s="11" t="n"/>
      <c r="AW786" s="11">
        <f>AF786&amp;"; "&amp;AG786&amp;"; "&amp;AH786&amp;"; "&amp;AI786&amp;"; "&amp;AJ786</f>
        <v/>
      </c>
    </row>
    <row r="787">
      <c r="A787" s="11" t="inlineStr">
        <is>
          <t>T0323-G11-FÍS</t>
        </is>
      </c>
      <c r="B787" s="11" t="n">
        <v>11</v>
      </c>
      <c r="C787" s="11" t="inlineStr">
        <is>
          <t>Física</t>
        </is>
      </c>
      <c r="D787" s="11" t="inlineStr">
        <is>
          <t>Matriz_Bachillerato_Fisica_10_11.xlsx</t>
        </is>
      </c>
      <c r="E787" s="11" t="inlineStr">
        <is>
          <t>Física 11.°</t>
        </is>
      </c>
      <c r="F787" s="11" t="n">
        <v>42</v>
      </c>
      <c r="G787" s="11" t="inlineStr">
        <is>
          <t>8. Energía potencial eléctrica</t>
        </is>
      </c>
      <c r="H787" s="11" t="inlineStr">
        <is>
          <t>Potencial de cargas puntuales</t>
        </is>
      </c>
      <c r="I787" s="38" t="inlineStr">
        <is>
          <t>8.3. Cálculo del potencial eléctrico total producido por varias cargas puntuales mediante suma escalar.</t>
        </is>
      </c>
      <c r="J787" s="11" t="inlineStr">
        <is>
          <t>TA</t>
        </is>
      </c>
      <c r="K787" s="11" t="inlineStr">
        <is>
          <t>TA-E1.2</t>
        </is>
      </c>
      <c r="L787" s="11" t="inlineStr">
        <is>
          <t>TA-E1.1</t>
        </is>
      </c>
      <c r="M787" s="11">
        <f>IF(K787="FUERA","Fuera del marco",IF(K787="N/A","Sin marco",IFERROR(INDEX('Datos - Catálogo TIMSS'!$C$5:$C$107,MATCH(K787,'Datos - Catálogo TIMSS'!$A$5:$A$107,0)),"Pendiente de clasificar")))</f>
        <v/>
      </c>
      <c r="N787" s="11">
        <f>IF(K787="FUERA","Fuera del marco",IF(K787="N/A","Sin marco",IFERROR(INDEX('Datos - Catálogo TIMSS'!$F$5:$F$107,MATCH(K787,'Datos - Catálogo TIMSS'!$A$5:$A$107,0)),"Pendiente de clasificar")))</f>
        <v/>
      </c>
      <c r="O787" s="11">
        <f>IF(L787="","",IFERROR(INDEX('Datos - Catálogo TIMSS'!$C$5:$C$107,MATCH(L787,'Datos - Catálogo TIMSS'!$A$5:$A$107,0)),"?"))</f>
        <v/>
      </c>
      <c r="P787" s="11" t="inlineStr">
        <is>
          <t>media</t>
        </is>
      </c>
      <c r="Q787" s="38" t="inlineStr">
        <is>
          <t>Potencial de cargas puntuales por superposición</t>
        </is>
      </c>
      <c r="R787" s="38" t="inlineStr">
        <is>
          <t>Aplicar: calcular y representar el potencial. Razonar: distinguir magnitudes escalares y vectoriales</t>
        </is>
      </c>
      <c r="S787" s="39">
        <f>IFERROR(ISNUMBER(SEARCH("Conocer",$R787))/(ISNUMBER(SEARCH("Conocer",$R787))+ISNUMBER(SEARCH("Aplicar",$R787))+ISNUMBER(SEARCH("Razonar",$R787))),0)</f>
        <v/>
      </c>
      <c r="T787" s="39">
        <f>IFERROR(ISNUMBER(SEARCH("Aplicar",$R787))/(ISNUMBER(SEARCH("Conocer",$R787))+ISNUMBER(SEARCH("Aplicar",$R787))+ISNUMBER(SEARCH("Razonar",$R787))),0)</f>
        <v/>
      </c>
      <c r="U787" s="39">
        <f>IFERROR(ISNUMBER(SEARCH("Razonar",$R787))/(ISNUMBER(SEARCH("Conocer",$R787))+ISNUMBER(SEARCH("Aplicar",$R787))+ISNUMBER(SEARCH("Razonar",$R787))),0)</f>
        <v/>
      </c>
      <c r="V787" s="11" t="inlineStr">
        <is>
          <t>Física 11°</t>
        </is>
      </c>
      <c r="W787" s="11" t="inlineStr">
        <is>
          <t>Física 10°–11°</t>
        </is>
      </c>
      <c r="X787" s="11">
        <f>IF(OR(IFERROR(INDEX('Datos - Catálogo TIMSS'!$I$5:$I$107,MATCH(K787,'Datos - Catálogo TIMSS'!$A$5:$A$107,0)),"No")="Sí",IFERROR(INDEX('Datos - Catálogo TIMSS'!$I$5:$I$107,MATCH(L787,'Datos - Catálogo TIMSS'!$A$5:$A$107,0)),"No")="Sí"),1,0)</f>
        <v/>
      </c>
      <c r="Y787" s="11">
        <f>IF(IFERROR(INDEX('Datos - Catálogo TIMSS'!$J$5:$J$107,MATCH(K787,'Datos - Catálogo TIMSS'!$A$5:$A$107,0)),"No")="Sí",1,0)</f>
        <v/>
      </c>
      <c r="Z787" s="11">
        <f>IF(IFERROR(INDEX('Datos - Catálogo TIMSS'!$J$5:$J$107,MATCH(L787,'Datos - Catálogo TIMSS'!$A$5:$A$107,0)),"No")="Sí",1,0)</f>
        <v/>
      </c>
      <c r="AA787" s="11" t="inlineStr">
        <is>
          <t>TA-E1.2</t>
        </is>
      </c>
      <c r="AB787" s="11" t="inlineStr">
        <is>
          <t>TA-E1.1</t>
        </is>
      </c>
      <c r="AC787" s="11">
        <f>IF(AA787="FUERA","Fuera del marco",IF(AA787="N/A","Sin marco",IFERROR(INDEX('Datos - TIMSS 2023'!$C$5:$C$105,MATCH(AA787,'Datos - TIMSS 2023'!$A$5:$A$105,0)),"Pendiente de clasificar")))</f>
        <v/>
      </c>
      <c r="AD787" s="11" t="inlineStr">
        <is>
          <t>1. Explicar fenómenos científicamente</t>
        </is>
      </c>
      <c r="AE787" s="11">
        <f>IF(AD787="","",IF(LEFT(AD787,1)="1","C1",IF(LEFT(AD787,1)="2","C2",IF(LEFT(AD787,1)="3","C3",""))))</f>
        <v/>
      </c>
      <c r="AF787" s="11" t="inlineStr">
        <is>
          <t>E1</t>
        </is>
      </c>
      <c r="AG787" s="11" t="inlineStr">
        <is>
          <t>E5</t>
        </is>
      </c>
      <c r="AH787" s="11" t="inlineStr">
        <is>
          <t>E2</t>
        </is>
      </c>
      <c r="AI787" s="11" t="inlineStr">
        <is>
          <t>E4</t>
        </is>
      </c>
      <c r="AJ787" s="11" t="inlineStr">
        <is>
          <t>D3</t>
        </is>
      </c>
      <c r="AK787" s="11" t="n"/>
      <c r="AL787" s="11" t="n"/>
      <c r="AM787" s="11" t="n"/>
      <c r="AN787" s="11" t="n"/>
      <c r="AO787" s="11" t="n"/>
      <c r="AP787" s="11" t="n"/>
      <c r="AQ787" s="11" t="n"/>
      <c r="AR787" s="11" t="n"/>
      <c r="AS787" s="11" t="n"/>
      <c r="AT787" s="11" t="n"/>
      <c r="AU787" s="11" t="n"/>
      <c r="AV787" s="11" t="n"/>
      <c r="AW787" s="11">
        <f>AF787&amp;"; "&amp;AG787&amp;"; "&amp;AH787&amp;"; "&amp;AI787&amp;"; "&amp;AJ787</f>
        <v/>
      </c>
    </row>
    <row r="788">
      <c r="A788" s="11" t="inlineStr">
        <is>
          <t>T0324-G11-FÍS</t>
        </is>
      </c>
      <c r="B788" s="11" t="n">
        <v>11</v>
      </c>
      <c r="C788" s="11" t="inlineStr">
        <is>
          <t>Física</t>
        </is>
      </c>
      <c r="D788" s="11" t="inlineStr">
        <is>
          <t>Matriz_Bachillerato_Fisica_10_11.xlsx</t>
        </is>
      </c>
      <c r="E788" s="11" t="inlineStr">
        <is>
          <t>Física 11.°</t>
        </is>
      </c>
      <c r="F788" s="11" t="n">
        <v>43</v>
      </c>
      <c r="G788" s="11" t="inlineStr">
        <is>
          <t>8. Energía potencial eléctrica</t>
        </is>
      </c>
      <c r="H788" s="11" t="inlineStr">
        <is>
          <t>Potencial de cargas puntuales</t>
        </is>
      </c>
      <c r="I788" s="38" t="inlineStr">
        <is>
          <t>8.4. Medición de líneas equipotenciales en un medio conductor alimentado con una pila de 9 V.</t>
        </is>
      </c>
      <c r="J788" s="11" t="inlineStr">
        <is>
          <t>TA</t>
        </is>
      </c>
      <c r="K788" s="11" t="inlineStr">
        <is>
          <t>TA-E1.2</t>
        </is>
      </c>
      <c r="L788" s="11" t="inlineStr"/>
      <c r="M788" s="11">
        <f>IF(K788="FUERA","Fuera del marco",IF(K788="N/A","Sin marco",IFERROR(INDEX('Datos - Catálogo TIMSS'!$C$5:$C$107,MATCH(K788,'Datos - Catálogo TIMSS'!$A$5:$A$107,0)),"Pendiente de clasificar")))</f>
        <v/>
      </c>
      <c r="N788" s="11">
        <f>IF(K788="FUERA","Fuera del marco",IF(K788="N/A","Sin marco",IFERROR(INDEX('Datos - Catálogo TIMSS'!$F$5:$F$107,MATCH(K788,'Datos - Catálogo TIMSS'!$A$5:$A$107,0)),"Pendiente de clasificar")))</f>
        <v/>
      </c>
      <c r="O788" s="11">
        <f>IF(L788="","",IFERROR(INDEX('Datos - Catálogo TIMSS'!$C$5:$C$107,MATCH(L788,'Datos - Catálogo TIMSS'!$A$5:$A$107,0)),"?"))</f>
        <v/>
      </c>
      <c r="P788" s="11" t="inlineStr">
        <is>
          <t>media</t>
        </is>
      </c>
      <c r="Q788" s="38" t="inlineStr">
        <is>
          <t>Equipotenciales y relación campo-potencial</t>
        </is>
      </c>
      <c r="R788" s="38" t="inlineStr">
        <is>
          <t>Aplicar: medir y representar equipotenciales. Razonar: justificar la perpendicularidad entre campo y equipotenciales</t>
        </is>
      </c>
      <c r="S788" s="39">
        <f>IFERROR(ISNUMBER(SEARCH("Conocer",$R788))/(ISNUMBER(SEARCH("Conocer",$R788))+ISNUMBER(SEARCH("Aplicar",$R788))+ISNUMBER(SEARCH("Razonar",$R788))),0)</f>
        <v/>
      </c>
      <c r="T788" s="39">
        <f>IFERROR(ISNUMBER(SEARCH("Aplicar",$R788))/(ISNUMBER(SEARCH("Conocer",$R788))+ISNUMBER(SEARCH("Aplicar",$R788))+ISNUMBER(SEARCH("Razonar",$R788))),0)</f>
        <v/>
      </c>
      <c r="U788" s="39">
        <f>IFERROR(ISNUMBER(SEARCH("Razonar",$R788))/(ISNUMBER(SEARCH("Conocer",$R788))+ISNUMBER(SEARCH("Aplicar",$R788))+ISNUMBER(SEARCH("Razonar",$R788))),0)</f>
        <v/>
      </c>
      <c r="V788" s="11" t="inlineStr">
        <is>
          <t>Física 11°</t>
        </is>
      </c>
      <c r="W788" s="11" t="inlineStr">
        <is>
          <t>Física 10°–11°</t>
        </is>
      </c>
      <c r="X788" s="11">
        <f>IF(OR(IFERROR(INDEX('Datos - Catálogo TIMSS'!$I$5:$I$107,MATCH(K788,'Datos - Catálogo TIMSS'!$A$5:$A$107,0)),"No")="Sí",IFERROR(INDEX('Datos - Catálogo TIMSS'!$I$5:$I$107,MATCH(L788,'Datos - Catálogo TIMSS'!$A$5:$A$107,0)),"No")="Sí"),1,0)</f>
        <v/>
      </c>
      <c r="Y788" s="11">
        <f>IF(IFERROR(INDEX('Datos - Catálogo TIMSS'!$J$5:$J$107,MATCH(K788,'Datos - Catálogo TIMSS'!$A$5:$A$107,0)),"No")="Sí",1,0)</f>
        <v/>
      </c>
      <c r="Z788" s="11">
        <f>IF(IFERROR(INDEX('Datos - Catálogo TIMSS'!$J$5:$J$107,MATCH(L788,'Datos - Catálogo TIMSS'!$A$5:$A$107,0)),"No")="Sí",1,0)</f>
        <v/>
      </c>
      <c r="AA788" s="11" t="inlineStr">
        <is>
          <t>TA-E1.2</t>
        </is>
      </c>
      <c r="AB788" s="11" t="inlineStr"/>
      <c r="AC788" s="11">
        <f>IF(AA788="FUERA","Fuera del marco",IF(AA788="N/A","Sin marco",IFERROR(INDEX('Datos - TIMSS 2023'!$C$5:$C$105,MATCH(AA788,'Datos - TIMSS 2023'!$A$5:$A$105,0)),"Pendiente de clasificar")))</f>
        <v/>
      </c>
      <c r="AD788" s="11" t="inlineStr">
        <is>
          <t>2. Construir y evaluar diseños para la indagación científica e interpretar datos y evidencia de forma crítica</t>
        </is>
      </c>
      <c r="AE788" s="11">
        <f>IF(AD788="","",IF(LEFT(AD788,1)="1","C1",IF(LEFT(AD788,1)="2","C2",IF(LEFT(AD788,1)="3","C3",""))))</f>
        <v/>
      </c>
      <c r="AF788" s="11" t="inlineStr">
        <is>
          <t>E1</t>
        </is>
      </c>
      <c r="AG788" s="11" t="inlineStr">
        <is>
          <t>D1</t>
        </is>
      </c>
      <c r="AH788" s="11" t="inlineStr">
        <is>
          <t>E2</t>
        </is>
      </c>
      <c r="AI788" s="11" t="inlineStr">
        <is>
          <t>D2</t>
        </is>
      </c>
      <c r="AJ788" s="11" t="inlineStr">
        <is>
          <t>E3</t>
        </is>
      </c>
      <c r="AK788" s="11" t="n"/>
      <c r="AL788" s="11" t="n"/>
      <c r="AM788" s="11" t="n"/>
      <c r="AN788" s="11" t="n"/>
      <c r="AO788" s="11" t="n"/>
      <c r="AP788" s="11" t="n"/>
      <c r="AQ788" s="11" t="n"/>
      <c r="AR788" s="11" t="n"/>
      <c r="AS788" s="11" t="n"/>
      <c r="AT788" s="11" t="n"/>
      <c r="AU788" s="11" t="n"/>
      <c r="AV788" s="11" t="n"/>
      <c r="AW788" s="11">
        <f>AF788&amp;"; "&amp;AG788&amp;"; "&amp;AH788&amp;"; "&amp;AI788&amp;"; "&amp;AJ788</f>
        <v/>
      </c>
    </row>
    <row r="789">
      <c r="A789" s="11" t="inlineStr">
        <is>
          <t>T0325-G11-FÍS</t>
        </is>
      </c>
      <c r="B789" s="11" t="n">
        <v>11</v>
      </c>
      <c r="C789" s="11" t="inlineStr">
        <is>
          <t>Física</t>
        </is>
      </c>
      <c r="D789" s="11" t="inlineStr">
        <is>
          <t>Matriz_Bachillerato_Fisica_10_11.xlsx</t>
        </is>
      </c>
      <c r="E789" s="11" t="inlineStr">
        <is>
          <t>Física 11.°</t>
        </is>
      </c>
      <c r="F789" s="11" t="n">
        <v>44</v>
      </c>
      <c r="G789" s="11" t="inlineStr">
        <is>
          <t>8. Energía potencial eléctrica</t>
        </is>
      </c>
      <c r="H789" s="11" t="inlineStr">
        <is>
          <t>Condensadores</t>
        </is>
      </c>
      <c r="I789" s="38" t="inlineStr">
        <is>
          <t>8.5. Construcción de un condensador de placas paralelas con papel aluminio y medición de su capacitancia con distintos dieléctricos.</t>
        </is>
      </c>
      <c r="J789" s="11" t="inlineStr">
        <is>
          <t>TA</t>
        </is>
      </c>
      <c r="K789" s="11" t="inlineStr">
        <is>
          <t>TA-E1.2</t>
        </is>
      </c>
      <c r="L789" s="11" t="inlineStr"/>
      <c r="M789" s="11">
        <f>IF(K789="FUERA","Fuera del marco",IF(K789="N/A","Sin marco",IFERROR(INDEX('Datos - Catálogo TIMSS'!$C$5:$C$107,MATCH(K789,'Datos - Catálogo TIMSS'!$A$5:$A$107,0)),"Pendiente de clasificar")))</f>
        <v/>
      </c>
      <c r="N789" s="11">
        <f>IF(K789="FUERA","Fuera del marco",IF(K789="N/A","Sin marco",IFERROR(INDEX('Datos - Catálogo TIMSS'!$F$5:$F$107,MATCH(K789,'Datos - Catálogo TIMSS'!$A$5:$A$107,0)),"Pendiente de clasificar")))</f>
        <v/>
      </c>
      <c r="O789" s="11">
        <f>IF(L789="","",IFERROR(INDEX('Datos - Catálogo TIMSS'!$C$5:$C$107,MATCH(L789,'Datos - Catálogo TIMSS'!$A$5:$A$107,0)),"?"))</f>
        <v/>
      </c>
      <c r="P789" s="11" t="inlineStr">
        <is>
          <t>baja</t>
        </is>
      </c>
      <c r="Q789" s="38" t="inlineStr">
        <is>
          <t>Condensador de placas: campo uniforme; capacitancia no explícita en marco</t>
        </is>
      </c>
      <c r="R789" s="38" t="inlineStr">
        <is>
          <t>Aplicar: calcular capacitancia y energía. Razonar: interpretar mediciones y fuentes de error</t>
        </is>
      </c>
      <c r="S789" s="39">
        <f>IFERROR(ISNUMBER(SEARCH("Conocer",$R789))/(ISNUMBER(SEARCH("Conocer",$R789))+ISNUMBER(SEARCH("Aplicar",$R789))+ISNUMBER(SEARCH("Razonar",$R789))),0)</f>
        <v/>
      </c>
      <c r="T789" s="39">
        <f>IFERROR(ISNUMBER(SEARCH("Aplicar",$R789))/(ISNUMBER(SEARCH("Conocer",$R789))+ISNUMBER(SEARCH("Aplicar",$R789))+ISNUMBER(SEARCH("Razonar",$R789))),0)</f>
        <v/>
      </c>
      <c r="U789" s="39">
        <f>IFERROR(ISNUMBER(SEARCH("Razonar",$R789))/(ISNUMBER(SEARCH("Conocer",$R789))+ISNUMBER(SEARCH("Aplicar",$R789))+ISNUMBER(SEARCH("Razonar",$R789))),0)</f>
        <v/>
      </c>
      <c r="V789" s="11" t="inlineStr">
        <is>
          <t>Física 11°</t>
        </is>
      </c>
      <c r="W789" s="11" t="inlineStr">
        <is>
          <t>Física 10°–11°</t>
        </is>
      </c>
      <c r="X789" s="11">
        <f>IF(OR(IFERROR(INDEX('Datos - Catálogo TIMSS'!$I$5:$I$107,MATCH(K789,'Datos - Catálogo TIMSS'!$A$5:$A$107,0)),"No")="Sí",IFERROR(INDEX('Datos - Catálogo TIMSS'!$I$5:$I$107,MATCH(L789,'Datos - Catálogo TIMSS'!$A$5:$A$107,0)),"No")="Sí"),1,0)</f>
        <v/>
      </c>
      <c r="Y789" s="11">
        <f>IF(IFERROR(INDEX('Datos - Catálogo TIMSS'!$J$5:$J$107,MATCH(K789,'Datos - Catálogo TIMSS'!$A$5:$A$107,0)),"No")="Sí",1,0)</f>
        <v/>
      </c>
      <c r="Z789" s="11">
        <f>IF(IFERROR(INDEX('Datos - Catálogo TIMSS'!$J$5:$J$107,MATCH(L789,'Datos - Catálogo TIMSS'!$A$5:$A$107,0)),"No")="Sí",1,0)</f>
        <v/>
      </c>
      <c r="AA789" s="11" t="inlineStr">
        <is>
          <t>TA-E1.2</t>
        </is>
      </c>
      <c r="AB789" s="11" t="inlineStr"/>
      <c r="AC789" s="11">
        <f>IF(AA789="FUERA","Fuera del marco",IF(AA789="N/A","Sin marco",IFERROR(INDEX('Datos - TIMSS 2023'!$C$5:$C$105,MATCH(AA789,'Datos - TIMSS 2023'!$A$5:$A$105,0)),"Pendiente de clasificar")))</f>
        <v/>
      </c>
      <c r="AD789" s="11" t="inlineStr">
        <is>
          <t>2. Construir y evaluar diseños para la indagación científica e interpretar datos y evidencia de forma crítica</t>
        </is>
      </c>
      <c r="AE789" s="11">
        <f>IF(AD789="","",IF(LEFT(AD789,1)="1","C1",IF(LEFT(AD789,1)="2","C2",IF(LEFT(AD789,1)="3","C3",""))))</f>
        <v/>
      </c>
      <c r="AF789" s="11" t="inlineStr">
        <is>
          <t>E1</t>
        </is>
      </c>
      <c r="AG789" s="11" t="inlineStr">
        <is>
          <t>E5</t>
        </is>
      </c>
      <c r="AH789" s="11" t="inlineStr">
        <is>
          <t>E1</t>
        </is>
      </c>
      <c r="AI789" s="11" t="inlineStr">
        <is>
          <t>D4</t>
        </is>
      </c>
      <c r="AJ789" s="11" t="inlineStr">
        <is>
          <t>I5</t>
        </is>
      </c>
      <c r="AK789" s="11" t="n"/>
      <c r="AL789" s="11" t="n"/>
      <c r="AM789" s="11" t="n"/>
      <c r="AN789" s="11" t="n"/>
      <c r="AO789" s="11" t="n"/>
      <c r="AP789" s="11" t="n"/>
      <c r="AQ789" s="11" t="n"/>
      <c r="AR789" s="11" t="n"/>
      <c r="AS789" s="11" t="n"/>
      <c r="AT789" s="11" t="n"/>
      <c r="AU789" s="11" t="n"/>
      <c r="AV789" s="11" t="n"/>
      <c r="AW789" s="11">
        <f>AF789&amp;"; "&amp;AG789&amp;"; "&amp;AH789&amp;"; "&amp;AI789&amp;"; "&amp;AJ789</f>
        <v/>
      </c>
    </row>
    <row r="790">
      <c r="A790" s="11" t="inlineStr">
        <is>
          <t>T0326-G11-FÍS</t>
        </is>
      </c>
      <c r="B790" s="11" t="n">
        <v>11</v>
      </c>
      <c r="C790" s="11" t="inlineStr">
        <is>
          <t>Física</t>
        </is>
      </c>
      <c r="D790" s="11" t="inlineStr">
        <is>
          <t>Matriz_Bachillerato_Fisica_10_11.xlsx</t>
        </is>
      </c>
      <c r="E790" s="11" t="inlineStr">
        <is>
          <t>Física 11.°</t>
        </is>
      </c>
      <c r="F790" s="11" t="n">
        <v>45</v>
      </c>
      <c r="G790" s="11" t="inlineStr">
        <is>
          <t>8. Energía potencial eléctrica</t>
        </is>
      </c>
      <c r="H790" s="11" t="inlineStr">
        <is>
          <t>Aplicaciones biomédicas</t>
        </is>
      </c>
      <c r="I790" s="38" t="inlineStr">
        <is>
          <t>8.6. Interpretación de las diferencias de potencial en neuronas y en el corazón como base de las técnicas de diagnóstico médico.</t>
        </is>
      </c>
      <c r="J790" s="11" t="inlineStr">
        <is>
          <t>TA</t>
        </is>
      </c>
      <c r="K790" s="11" t="inlineStr">
        <is>
          <t>FUERA</t>
        </is>
      </c>
      <c r="L790" s="11" t="inlineStr"/>
      <c r="M790" s="11">
        <f>IF(K790="FUERA","Fuera del marco",IF(K790="N/A","Sin marco",IFERROR(INDEX('Datos - Catálogo TIMSS'!$C$5:$C$107,MATCH(K790,'Datos - Catálogo TIMSS'!$A$5:$A$107,0)),"Pendiente de clasificar")))</f>
        <v/>
      </c>
      <c r="N790" s="11">
        <f>IF(K790="FUERA","Fuera del marco",IF(K790="N/A","Sin marco",IFERROR(INDEX('Datos - Catálogo TIMSS'!$F$5:$F$107,MATCH(K790,'Datos - Catálogo TIMSS'!$A$5:$A$107,0)),"Pendiente de clasificar")))</f>
        <v/>
      </c>
      <c r="O790" s="11">
        <f>IF(L790="","",IFERROR(INDEX('Datos - Catálogo TIMSS'!$C$5:$C$107,MATCH(L790,'Datos - Catálogo TIMSS'!$A$5:$A$107,0)),"?"))</f>
        <v/>
      </c>
      <c r="P790" s="11" t="inlineStr">
        <is>
          <t>media</t>
        </is>
      </c>
      <c r="Q790" s="38" t="inlineStr">
        <is>
          <t>Aplicación biomédica (ECG) sin contenido específico del catálogo</t>
        </is>
      </c>
      <c r="R790" s="38" t="inlineStr">
        <is>
          <t>Conocer: describir el potencial de membrana. Aplicar: estimar magnitudes. Razonar: evaluar fuentes</t>
        </is>
      </c>
      <c r="S790" s="39">
        <f>IFERROR(ISNUMBER(SEARCH("Conocer",$R790))/(ISNUMBER(SEARCH("Conocer",$R790))+ISNUMBER(SEARCH("Aplicar",$R790))+ISNUMBER(SEARCH("Razonar",$R790))),0)</f>
        <v/>
      </c>
      <c r="T790" s="39">
        <f>IFERROR(ISNUMBER(SEARCH("Aplicar",$R790))/(ISNUMBER(SEARCH("Conocer",$R790))+ISNUMBER(SEARCH("Aplicar",$R790))+ISNUMBER(SEARCH("Razonar",$R790))),0)</f>
        <v/>
      </c>
      <c r="U790" s="39">
        <f>IFERROR(ISNUMBER(SEARCH("Razonar",$R790))/(ISNUMBER(SEARCH("Conocer",$R790))+ISNUMBER(SEARCH("Aplicar",$R790))+ISNUMBER(SEARCH("Razonar",$R790))),0)</f>
        <v/>
      </c>
      <c r="V790" s="11" t="inlineStr">
        <is>
          <t>Física 11°</t>
        </is>
      </c>
      <c r="W790" s="11" t="inlineStr">
        <is>
          <t>Física 10°–11°</t>
        </is>
      </c>
      <c r="X790" s="11">
        <f>IF(OR(IFERROR(INDEX('Datos - Catálogo TIMSS'!$I$5:$I$107,MATCH(K790,'Datos - Catálogo TIMSS'!$A$5:$A$107,0)),"No")="Sí",IFERROR(INDEX('Datos - Catálogo TIMSS'!$I$5:$I$107,MATCH(L790,'Datos - Catálogo TIMSS'!$A$5:$A$107,0)),"No")="Sí"),1,0)</f>
        <v/>
      </c>
      <c r="Y790" s="11">
        <f>IF(IFERROR(INDEX('Datos - Catálogo TIMSS'!$J$5:$J$107,MATCH(K790,'Datos - Catálogo TIMSS'!$A$5:$A$107,0)),"No")="Sí",1,0)</f>
        <v/>
      </c>
      <c r="Z790" s="11">
        <f>IF(IFERROR(INDEX('Datos - Catálogo TIMSS'!$J$5:$J$107,MATCH(L790,'Datos - Catálogo TIMSS'!$A$5:$A$107,0)),"No")="Sí",1,0)</f>
        <v/>
      </c>
      <c r="AA790" s="11" t="inlineStr">
        <is>
          <t>FUERA</t>
        </is>
      </c>
      <c r="AB790" s="11" t="inlineStr"/>
      <c r="AC790" s="11">
        <f>IF(AA790="FUERA","Fuera del marco",IF(AA790="N/A","Sin marco",IFERROR(INDEX('Datos - TIMSS 2023'!$C$5:$C$105,MATCH(AA790,'Datos - TIMSS 2023'!$A$5:$A$105,0)),"Pendiente de clasificar")))</f>
        <v/>
      </c>
      <c r="AD790" s="11" t="inlineStr">
        <is>
          <t>3. Investigar, evaluar y usar información científica para tomar decisiones y actuar</t>
        </is>
      </c>
      <c r="AE790" s="11">
        <f>IF(AD790="","",IF(LEFT(AD790,1)="1","C1",IF(LEFT(AD790,1)="2","C2",IF(LEFT(AD790,1)="3","C3",""))))</f>
        <v/>
      </c>
      <c r="AF790" s="11" t="inlineStr">
        <is>
          <t>E6</t>
        </is>
      </c>
      <c r="AG790" s="11" t="inlineStr">
        <is>
          <t>E5</t>
        </is>
      </c>
      <c r="AH790" s="11" t="inlineStr">
        <is>
          <t>E4</t>
        </is>
      </c>
      <c r="AI790" s="11" t="inlineStr">
        <is>
          <t>I1</t>
        </is>
      </c>
      <c r="AJ790" s="11" t="inlineStr">
        <is>
          <t>E6</t>
        </is>
      </c>
      <c r="AK790" s="11" t="n"/>
      <c r="AL790" s="11" t="n"/>
      <c r="AM790" s="11" t="n"/>
      <c r="AN790" s="11" t="n"/>
      <c r="AO790" s="11" t="n"/>
      <c r="AP790" s="11" t="n"/>
      <c r="AQ790" s="11" t="n"/>
      <c r="AR790" s="11" t="n"/>
      <c r="AS790" s="11" t="n"/>
      <c r="AT790" s="11" t="n"/>
      <c r="AU790" s="11" t="n"/>
      <c r="AV790" s="11" t="n"/>
      <c r="AW790" s="11">
        <f>AF790&amp;"; "&amp;AG790&amp;"; "&amp;AH790&amp;"; "&amp;AI790&amp;"; "&amp;AJ790</f>
        <v/>
      </c>
    </row>
    <row r="791">
      <c r="A791" s="11" t="inlineStr">
        <is>
          <t>T0327-G11-FÍS</t>
        </is>
      </c>
      <c r="B791" s="11" t="n">
        <v>11</v>
      </c>
      <c r="C791" s="11" t="inlineStr">
        <is>
          <t>Física</t>
        </is>
      </c>
      <c r="D791" s="11" t="inlineStr">
        <is>
          <t>Matriz_Bachillerato_Fisica_10_11.xlsx</t>
        </is>
      </c>
      <c r="E791" s="11" t="inlineStr">
        <is>
          <t>Física 11.°</t>
        </is>
      </c>
      <c r="F791" s="11" t="n">
        <v>46</v>
      </c>
      <c r="G791" s="11" t="inlineStr">
        <is>
          <t>9. Circuitos eléctricos</t>
        </is>
      </c>
      <c r="H791" s="11" t="inlineStr">
        <is>
          <t>Corriente y fuerza electromotriz</t>
        </is>
      </c>
      <c r="I791" s="38" t="inlineStr">
        <is>
          <t>9.1. Análisis de la fuerza electromotriz como energía por unidad de carga que suministra una fuente y de la corriente como flujo de carga.</t>
        </is>
      </c>
      <c r="J791" s="11" t="inlineStr">
        <is>
          <t>TA</t>
        </is>
      </c>
      <c r="K791" s="11" t="inlineStr">
        <is>
          <t>TA-E1.3</t>
        </is>
      </c>
      <c r="L791" s="11" t="inlineStr"/>
      <c r="M791" s="11">
        <f>IF(K791="FUERA","Fuera del marco",IF(K791="N/A","Sin marco",IFERROR(INDEX('Datos - Catálogo TIMSS'!$C$5:$C$107,MATCH(K791,'Datos - Catálogo TIMSS'!$A$5:$A$107,0)),"Pendiente de clasificar")))</f>
        <v/>
      </c>
      <c r="N791" s="11">
        <f>IF(K791="FUERA","Fuera del marco",IF(K791="N/A","Sin marco",IFERROR(INDEX('Datos - Catálogo TIMSS'!$F$5:$F$107,MATCH(K791,'Datos - Catálogo TIMSS'!$A$5:$A$107,0)),"Pendiente de clasificar")))</f>
        <v/>
      </c>
      <c r="O791" s="11">
        <f>IF(L791="","",IFERROR(INDEX('Datos - Catálogo TIMSS'!$C$5:$C$107,MATCH(L791,'Datos - Catálogo TIMSS'!$A$5:$A$107,0)),"?"))</f>
        <v/>
      </c>
      <c r="P791" s="11" t="inlineStr">
        <is>
          <t>alta</t>
        </is>
      </c>
      <c r="Q791" s="38" t="inlineStr">
        <is>
          <t>Fuerza electromotriz, corriente y energía en circuitos</t>
        </is>
      </c>
      <c r="R791" s="38" t="inlineStr">
        <is>
          <t>Conocer: definir fuerza electromotriz y corriente. Aplicar: calcular carga y energía</t>
        </is>
      </c>
      <c r="S791" s="39">
        <f>IFERROR(ISNUMBER(SEARCH("Conocer",$R791))/(ISNUMBER(SEARCH("Conocer",$R791))+ISNUMBER(SEARCH("Aplicar",$R791))+ISNUMBER(SEARCH("Razonar",$R791))),0)</f>
        <v/>
      </c>
      <c r="T791" s="39">
        <f>IFERROR(ISNUMBER(SEARCH("Aplicar",$R791))/(ISNUMBER(SEARCH("Conocer",$R791))+ISNUMBER(SEARCH("Aplicar",$R791))+ISNUMBER(SEARCH("Razonar",$R791))),0)</f>
        <v/>
      </c>
      <c r="U791" s="39">
        <f>IFERROR(ISNUMBER(SEARCH("Razonar",$R791))/(ISNUMBER(SEARCH("Conocer",$R791))+ISNUMBER(SEARCH("Aplicar",$R791))+ISNUMBER(SEARCH("Razonar",$R791))),0)</f>
        <v/>
      </c>
      <c r="V791" s="11" t="inlineStr">
        <is>
          <t>Física 11°</t>
        </is>
      </c>
      <c r="W791" s="11" t="inlineStr">
        <is>
          <t>Física 10°–11°</t>
        </is>
      </c>
      <c r="X791" s="11">
        <f>IF(OR(IFERROR(INDEX('Datos - Catálogo TIMSS'!$I$5:$I$107,MATCH(K791,'Datos - Catálogo TIMSS'!$A$5:$A$107,0)),"No")="Sí",IFERROR(INDEX('Datos - Catálogo TIMSS'!$I$5:$I$107,MATCH(L791,'Datos - Catálogo TIMSS'!$A$5:$A$107,0)),"No")="Sí"),1,0)</f>
        <v/>
      </c>
      <c r="Y791" s="11">
        <f>IF(IFERROR(INDEX('Datos - Catálogo TIMSS'!$J$5:$J$107,MATCH(K791,'Datos - Catálogo TIMSS'!$A$5:$A$107,0)),"No")="Sí",1,0)</f>
        <v/>
      </c>
      <c r="Z791" s="11">
        <f>IF(IFERROR(INDEX('Datos - Catálogo TIMSS'!$J$5:$J$107,MATCH(L791,'Datos - Catálogo TIMSS'!$A$5:$A$107,0)),"No")="Sí",1,0)</f>
        <v/>
      </c>
      <c r="AA791" s="11" t="inlineStr">
        <is>
          <t>TA-E1.3</t>
        </is>
      </c>
      <c r="AB791" s="11" t="inlineStr"/>
      <c r="AC791" s="11">
        <f>IF(AA791="FUERA","Fuera del marco",IF(AA791="N/A","Sin marco",IFERROR(INDEX('Datos - TIMSS 2023'!$C$5:$C$105,MATCH(AA791,'Datos - TIMSS 2023'!$A$5:$A$105,0)),"Pendiente de clasificar")))</f>
        <v/>
      </c>
      <c r="AD791" s="11" t="inlineStr">
        <is>
          <t>1. Explicar fenómenos científicamente</t>
        </is>
      </c>
      <c r="AE791" s="11">
        <f>IF(AD791="","",IF(LEFT(AD791,1)="1","C1",IF(LEFT(AD791,1)="2","C2",IF(LEFT(AD791,1)="3","C3",""))))</f>
        <v/>
      </c>
      <c r="AF791" s="11" t="inlineStr">
        <is>
          <t>E1</t>
        </is>
      </c>
      <c r="AG791" s="11" t="inlineStr">
        <is>
          <t>D1</t>
        </is>
      </c>
      <c r="AH791" s="11" t="inlineStr">
        <is>
          <t>E1</t>
        </is>
      </c>
      <c r="AI791" s="11" t="inlineStr">
        <is>
          <t>D4</t>
        </is>
      </c>
      <c r="AJ791" s="11" t="inlineStr">
        <is>
          <t>E3</t>
        </is>
      </c>
      <c r="AK791" s="11" t="n"/>
      <c r="AL791" s="11" t="n"/>
      <c r="AM791" s="11" t="n"/>
      <c r="AN791" s="11" t="n"/>
      <c r="AO791" s="11" t="n"/>
      <c r="AP791" s="11" t="n"/>
      <c r="AQ791" s="11" t="n"/>
      <c r="AR791" s="11" t="n"/>
      <c r="AS791" s="11" t="n"/>
      <c r="AT791" s="11" t="n"/>
      <c r="AU791" s="11" t="n"/>
      <c r="AV791" s="11" t="n"/>
      <c r="AW791" s="11">
        <f>AF791&amp;"; "&amp;AG791&amp;"; "&amp;AH791&amp;"; "&amp;AI791&amp;"; "&amp;AJ791</f>
        <v/>
      </c>
    </row>
    <row r="792">
      <c r="A792" s="11" t="inlineStr">
        <is>
          <t>T0328-G11-FÍS</t>
        </is>
      </c>
      <c r="B792" s="11" t="n">
        <v>11</v>
      </c>
      <c r="C792" s="11" t="inlineStr">
        <is>
          <t>Física</t>
        </is>
      </c>
      <c r="D792" s="11" t="inlineStr">
        <is>
          <t>Matriz_Bachillerato_Fisica_10_11.xlsx</t>
        </is>
      </c>
      <c r="E792" s="11" t="inlineStr">
        <is>
          <t>Física 11.°</t>
        </is>
      </c>
      <c r="F792" s="11" t="n">
        <v>47</v>
      </c>
      <c r="G792" s="11" t="inlineStr">
        <is>
          <t>9. Circuitos eléctricos</t>
        </is>
      </c>
      <c r="H792" s="11" t="inlineStr">
        <is>
          <t>Corriente y fuerza electromotriz</t>
        </is>
      </c>
      <c r="I792" s="38" t="inlineStr">
        <is>
          <t>9.2. Construcción de curvas voltaje-corriente para un resistor y un LED alimentados con pilas.</t>
        </is>
      </c>
      <c r="J792" s="11" t="inlineStr">
        <is>
          <t>TA</t>
        </is>
      </c>
      <c r="K792" s="11" t="inlineStr">
        <is>
          <t>TA-E1.3</t>
        </is>
      </c>
      <c r="L792" s="11" t="inlineStr"/>
      <c r="M792" s="11">
        <f>IF(K792="FUERA","Fuera del marco",IF(K792="N/A","Sin marco",IFERROR(INDEX('Datos - Catálogo TIMSS'!$C$5:$C$107,MATCH(K792,'Datos - Catálogo TIMSS'!$A$5:$A$107,0)),"Pendiente de clasificar")))</f>
        <v/>
      </c>
      <c r="N792" s="11">
        <f>IF(K792="FUERA","Fuera del marco",IF(K792="N/A","Sin marco",IFERROR(INDEX('Datos - Catálogo TIMSS'!$F$5:$F$107,MATCH(K792,'Datos - Catálogo TIMSS'!$A$5:$A$107,0)),"Pendiente de clasificar")))</f>
        <v/>
      </c>
      <c r="O792" s="11">
        <f>IF(L792="","",IFERROR(INDEX('Datos - Catálogo TIMSS'!$C$5:$C$107,MATCH(L792,'Datos - Catálogo TIMSS'!$A$5:$A$107,0)),"?"))</f>
        <v/>
      </c>
      <c r="P792" s="11" t="inlineStr">
        <is>
          <t>alta</t>
        </is>
      </c>
      <c r="Q792" s="38" t="inlineStr">
        <is>
          <t>Ley de Ohm y curvas voltaje-corriente</t>
        </is>
      </c>
      <c r="R792" s="38" t="inlineStr">
        <is>
          <t>Aplicar: representar datos y calcular pendientes. Razonar: clasificar conductores con base en evidencia</t>
        </is>
      </c>
      <c r="S792" s="39">
        <f>IFERROR(ISNUMBER(SEARCH("Conocer",$R792))/(ISNUMBER(SEARCH("Conocer",$R792))+ISNUMBER(SEARCH("Aplicar",$R792))+ISNUMBER(SEARCH("Razonar",$R792))),0)</f>
        <v/>
      </c>
      <c r="T792" s="39">
        <f>IFERROR(ISNUMBER(SEARCH("Aplicar",$R792))/(ISNUMBER(SEARCH("Conocer",$R792))+ISNUMBER(SEARCH("Aplicar",$R792))+ISNUMBER(SEARCH("Razonar",$R792))),0)</f>
        <v/>
      </c>
      <c r="U792" s="39">
        <f>IFERROR(ISNUMBER(SEARCH("Razonar",$R792))/(ISNUMBER(SEARCH("Conocer",$R792))+ISNUMBER(SEARCH("Aplicar",$R792))+ISNUMBER(SEARCH("Razonar",$R792))),0)</f>
        <v/>
      </c>
      <c r="V792" s="11" t="inlineStr">
        <is>
          <t>Física 11°</t>
        </is>
      </c>
      <c r="W792" s="11" t="inlineStr">
        <is>
          <t>Física 10°–11°</t>
        </is>
      </c>
      <c r="X792" s="11">
        <f>IF(OR(IFERROR(INDEX('Datos - Catálogo TIMSS'!$I$5:$I$107,MATCH(K792,'Datos - Catálogo TIMSS'!$A$5:$A$107,0)),"No")="Sí",IFERROR(INDEX('Datos - Catálogo TIMSS'!$I$5:$I$107,MATCH(L792,'Datos - Catálogo TIMSS'!$A$5:$A$107,0)),"No")="Sí"),1,0)</f>
        <v/>
      </c>
      <c r="Y792" s="11">
        <f>IF(IFERROR(INDEX('Datos - Catálogo TIMSS'!$J$5:$J$107,MATCH(K792,'Datos - Catálogo TIMSS'!$A$5:$A$107,0)),"No")="Sí",1,0)</f>
        <v/>
      </c>
      <c r="Z792" s="11">
        <f>IF(IFERROR(INDEX('Datos - Catálogo TIMSS'!$J$5:$J$107,MATCH(L792,'Datos - Catálogo TIMSS'!$A$5:$A$107,0)),"No")="Sí",1,0)</f>
        <v/>
      </c>
      <c r="AA792" s="11" t="inlineStr">
        <is>
          <t>TA-E1.3</t>
        </is>
      </c>
      <c r="AB792" s="11" t="inlineStr"/>
      <c r="AC792" s="11">
        <f>IF(AA792="FUERA","Fuera del marco",IF(AA792="N/A","Sin marco",IFERROR(INDEX('Datos - TIMSS 2023'!$C$5:$C$105,MATCH(AA792,'Datos - TIMSS 2023'!$A$5:$A$105,0)),"Pendiente de clasificar")))</f>
        <v/>
      </c>
      <c r="AD792" s="11" t="inlineStr">
        <is>
          <t>2. Construir y evaluar diseños para la indagación científica e interpretar datos y evidencia de forma crítica</t>
        </is>
      </c>
      <c r="AE792" s="11">
        <f>IF(AD792="","",IF(LEFT(AD792,1)="1","C1",IF(LEFT(AD792,1)="2","C2",IF(LEFT(AD792,1)="3","C3",""))))</f>
        <v/>
      </c>
      <c r="AF792" s="11" t="inlineStr">
        <is>
          <t>E1</t>
        </is>
      </c>
      <c r="AG792" s="11" t="inlineStr">
        <is>
          <t>E3</t>
        </is>
      </c>
      <c r="AH792" s="11" t="inlineStr">
        <is>
          <t>E2</t>
        </is>
      </c>
      <c r="AI792" s="11" t="inlineStr">
        <is>
          <t>D4</t>
        </is>
      </c>
      <c r="AJ792" s="11" t="inlineStr">
        <is>
          <t>I2</t>
        </is>
      </c>
      <c r="AK792" s="11" t="n"/>
      <c r="AL792" s="11" t="n"/>
      <c r="AM792" s="11" t="n"/>
      <c r="AN792" s="11" t="n"/>
      <c r="AO792" s="11" t="n"/>
      <c r="AP792" s="11" t="n"/>
      <c r="AQ792" s="11" t="n"/>
      <c r="AR792" s="11" t="n"/>
      <c r="AS792" s="11" t="n"/>
      <c r="AT792" s="11" t="n"/>
      <c r="AU792" s="11" t="n"/>
      <c r="AV792" s="11" t="n"/>
      <c r="AW792" s="11">
        <f>AF792&amp;"; "&amp;AG792&amp;"; "&amp;AH792&amp;"; "&amp;AI792&amp;"; "&amp;AJ792</f>
        <v/>
      </c>
    </row>
    <row r="793">
      <c r="A793" s="11" t="inlineStr">
        <is>
          <t>T0329-G11-FÍS</t>
        </is>
      </c>
      <c r="B793" s="11" t="n">
        <v>11</v>
      </c>
      <c r="C793" s="11" t="inlineStr">
        <is>
          <t>Física</t>
        </is>
      </c>
      <c r="D793" s="11" t="inlineStr">
        <is>
          <t>Matriz_Bachillerato_Fisica_10_11.xlsx</t>
        </is>
      </c>
      <c r="E793" s="11" t="inlineStr">
        <is>
          <t>Física 11.°</t>
        </is>
      </c>
      <c r="F793" s="11" t="n">
        <v>48</v>
      </c>
      <c r="G793" s="11" t="inlineStr">
        <is>
          <t>9. Circuitos eléctricos</t>
        </is>
      </c>
      <c r="H793" s="11" t="inlineStr">
        <is>
          <t>Resistencia de los materiales</t>
        </is>
      </c>
      <c r="I793" s="38" t="inlineStr">
        <is>
          <t>9.3. Medición de la resistencia de alambres de distinta longitud y grosor para determinar la resistividad del material.</t>
        </is>
      </c>
      <c r="J793" s="11" t="inlineStr">
        <is>
          <t>TA</t>
        </is>
      </c>
      <c r="K793" s="11" t="inlineStr">
        <is>
          <t>TA-E1.3</t>
        </is>
      </c>
      <c r="L793" s="11" t="inlineStr"/>
      <c r="M793" s="11">
        <f>IF(K793="FUERA","Fuera del marco",IF(K793="N/A","Sin marco",IFERROR(INDEX('Datos - Catálogo TIMSS'!$C$5:$C$107,MATCH(K793,'Datos - Catálogo TIMSS'!$A$5:$A$107,0)),"Pendiente de clasificar")))</f>
        <v/>
      </c>
      <c r="N793" s="11">
        <f>IF(K793="FUERA","Fuera del marco",IF(K793="N/A","Sin marco",IFERROR(INDEX('Datos - Catálogo TIMSS'!$F$5:$F$107,MATCH(K793,'Datos - Catálogo TIMSS'!$A$5:$A$107,0)),"Pendiente de clasificar")))</f>
        <v/>
      </c>
      <c r="O793" s="11">
        <f>IF(L793="","",IFERROR(INDEX('Datos - Catálogo TIMSS'!$C$5:$C$107,MATCH(L793,'Datos - Catálogo TIMSS'!$A$5:$A$107,0)),"?"))</f>
        <v/>
      </c>
      <c r="P793" s="11" t="inlineStr">
        <is>
          <t>alta</t>
        </is>
      </c>
      <c r="Q793" s="38" t="inlineStr">
        <is>
          <t>Resistencia y resistividad de conductores</t>
        </is>
      </c>
      <c r="R793" s="38" t="inlineStr">
        <is>
          <t>Aplicar: calcular resistividad. Razonar: justificar la elección de materiales conductores</t>
        </is>
      </c>
      <c r="S793" s="39">
        <f>IFERROR(ISNUMBER(SEARCH("Conocer",$R793))/(ISNUMBER(SEARCH("Conocer",$R793))+ISNUMBER(SEARCH("Aplicar",$R793))+ISNUMBER(SEARCH("Razonar",$R793))),0)</f>
        <v/>
      </c>
      <c r="T793" s="39">
        <f>IFERROR(ISNUMBER(SEARCH("Aplicar",$R793))/(ISNUMBER(SEARCH("Conocer",$R793))+ISNUMBER(SEARCH("Aplicar",$R793))+ISNUMBER(SEARCH("Razonar",$R793))),0)</f>
        <v/>
      </c>
      <c r="U793" s="39">
        <f>IFERROR(ISNUMBER(SEARCH("Razonar",$R793))/(ISNUMBER(SEARCH("Conocer",$R793))+ISNUMBER(SEARCH("Aplicar",$R793))+ISNUMBER(SEARCH("Razonar",$R793))),0)</f>
        <v/>
      </c>
      <c r="V793" s="11" t="inlineStr">
        <is>
          <t>Física 11°</t>
        </is>
      </c>
      <c r="W793" s="11" t="inlineStr">
        <is>
          <t>Física 10°–11°</t>
        </is>
      </c>
      <c r="X793" s="11">
        <f>IF(OR(IFERROR(INDEX('Datos - Catálogo TIMSS'!$I$5:$I$107,MATCH(K793,'Datos - Catálogo TIMSS'!$A$5:$A$107,0)),"No")="Sí",IFERROR(INDEX('Datos - Catálogo TIMSS'!$I$5:$I$107,MATCH(L793,'Datos - Catálogo TIMSS'!$A$5:$A$107,0)),"No")="Sí"),1,0)</f>
        <v/>
      </c>
      <c r="Y793" s="11">
        <f>IF(IFERROR(INDEX('Datos - Catálogo TIMSS'!$J$5:$J$107,MATCH(K793,'Datos - Catálogo TIMSS'!$A$5:$A$107,0)),"No")="Sí",1,0)</f>
        <v/>
      </c>
      <c r="Z793" s="11">
        <f>IF(IFERROR(INDEX('Datos - Catálogo TIMSS'!$J$5:$J$107,MATCH(L793,'Datos - Catálogo TIMSS'!$A$5:$A$107,0)),"No")="Sí",1,0)</f>
        <v/>
      </c>
      <c r="AA793" s="11" t="inlineStr">
        <is>
          <t>TA-E1.3</t>
        </is>
      </c>
      <c r="AB793" s="11" t="inlineStr"/>
      <c r="AC793" s="11">
        <f>IF(AA793="FUERA","Fuera del marco",IF(AA793="N/A","Sin marco",IFERROR(INDEX('Datos - TIMSS 2023'!$C$5:$C$105,MATCH(AA793,'Datos - TIMSS 2023'!$A$5:$A$105,0)),"Pendiente de clasificar")))</f>
        <v/>
      </c>
      <c r="AD793" s="11" t="inlineStr">
        <is>
          <t>2. Construir y evaluar diseños para la indagación científica e interpretar datos y evidencia de forma crítica</t>
        </is>
      </c>
      <c r="AE793" s="11">
        <f>IF(AD793="","",IF(LEFT(AD793,1)="1","C1",IF(LEFT(AD793,1)="2","C2",IF(LEFT(AD793,1)="3","C3",""))))</f>
        <v/>
      </c>
      <c r="AF793" s="11" t="inlineStr">
        <is>
          <t>E6</t>
        </is>
      </c>
      <c r="AG793" s="11" t="inlineStr">
        <is>
          <t>E5</t>
        </is>
      </c>
      <c r="AH793" s="11" t="inlineStr">
        <is>
          <t>E1</t>
        </is>
      </c>
      <c r="AI793" s="11" t="inlineStr">
        <is>
          <t>D2</t>
        </is>
      </c>
      <c r="AJ793" s="11" t="inlineStr">
        <is>
          <t>I5</t>
        </is>
      </c>
      <c r="AK793" s="11" t="n"/>
      <c r="AL793" s="11" t="n"/>
      <c r="AM793" s="11" t="n"/>
      <c r="AN793" s="11" t="n"/>
      <c r="AO793" s="11" t="n"/>
      <c r="AP793" s="11" t="n"/>
      <c r="AQ793" s="11" t="n"/>
      <c r="AR793" s="11" t="n"/>
      <c r="AS793" s="11" t="n"/>
      <c r="AT793" s="11" t="n"/>
      <c r="AU793" s="11" t="n"/>
      <c r="AV793" s="11" t="n"/>
      <c r="AW793" s="11">
        <f>AF793&amp;"; "&amp;AG793&amp;"; "&amp;AH793&amp;"; "&amp;AI793&amp;"; "&amp;AJ793</f>
        <v/>
      </c>
    </row>
    <row r="794">
      <c r="A794" s="11" t="inlineStr">
        <is>
          <t>T0330-G11-FÍS</t>
        </is>
      </c>
      <c r="B794" s="11" t="n">
        <v>11</v>
      </c>
      <c r="C794" s="11" t="inlineStr">
        <is>
          <t>Física</t>
        </is>
      </c>
      <c r="D794" s="11" t="inlineStr">
        <is>
          <t>Matriz_Bachillerato_Fisica_10_11.xlsx</t>
        </is>
      </c>
      <c r="E794" s="11" t="inlineStr">
        <is>
          <t>Física 11.°</t>
        </is>
      </c>
      <c r="F794" s="11" t="n">
        <v>49</v>
      </c>
      <c r="G794" s="11" t="inlineStr">
        <is>
          <t>9. Circuitos eléctricos</t>
        </is>
      </c>
      <c r="H794" s="11" t="inlineStr">
        <is>
          <t>Resistencia de los materiales</t>
        </is>
      </c>
      <c r="I794" s="38" t="inlineStr">
        <is>
          <t>9.4. Cálculo de la potencia y la energía consumida por aparatos del hogar a partir de sus especificaciones.</t>
        </is>
      </c>
      <c r="J794" s="11" t="inlineStr">
        <is>
          <t>TA</t>
        </is>
      </c>
      <c r="K794" s="11" t="inlineStr">
        <is>
          <t>TA-E1.3</t>
        </is>
      </c>
      <c r="L794" s="11" t="inlineStr"/>
      <c r="M794" s="11">
        <f>IF(K794="FUERA","Fuera del marco",IF(K794="N/A","Sin marco",IFERROR(INDEX('Datos - Catálogo TIMSS'!$C$5:$C$107,MATCH(K794,'Datos - Catálogo TIMSS'!$A$5:$A$107,0)),"Pendiente de clasificar")))</f>
        <v/>
      </c>
      <c r="N794" s="11">
        <f>IF(K794="FUERA","Fuera del marco",IF(K794="N/A","Sin marco",IFERROR(INDEX('Datos - Catálogo TIMSS'!$F$5:$F$107,MATCH(K794,'Datos - Catálogo TIMSS'!$A$5:$A$107,0)),"Pendiente de clasificar")))</f>
        <v/>
      </c>
      <c r="O794" s="11">
        <f>IF(L794="","",IFERROR(INDEX('Datos - Catálogo TIMSS'!$C$5:$C$107,MATCH(L794,'Datos - Catálogo TIMSS'!$A$5:$A$107,0)),"?"))</f>
        <v/>
      </c>
      <c r="P794" s="11" t="inlineStr">
        <is>
          <t>alta</t>
        </is>
      </c>
      <c r="Q794" s="38" t="inlineStr">
        <is>
          <t>Potencia eléctrica y efecto Joule</t>
        </is>
      </c>
      <c r="R794" s="38" t="inlineStr">
        <is>
          <t>Aplicar: calcular potencia y energía. Razonar: argumentar decisiones de ahorro con datos</t>
        </is>
      </c>
      <c r="S794" s="39">
        <f>IFERROR(ISNUMBER(SEARCH("Conocer",$R794))/(ISNUMBER(SEARCH("Conocer",$R794))+ISNUMBER(SEARCH("Aplicar",$R794))+ISNUMBER(SEARCH("Razonar",$R794))),0)</f>
        <v/>
      </c>
      <c r="T794" s="39">
        <f>IFERROR(ISNUMBER(SEARCH("Aplicar",$R794))/(ISNUMBER(SEARCH("Conocer",$R794))+ISNUMBER(SEARCH("Aplicar",$R794))+ISNUMBER(SEARCH("Razonar",$R794))),0)</f>
        <v/>
      </c>
      <c r="U794" s="39">
        <f>IFERROR(ISNUMBER(SEARCH("Razonar",$R794))/(ISNUMBER(SEARCH("Conocer",$R794))+ISNUMBER(SEARCH("Aplicar",$R794))+ISNUMBER(SEARCH("Razonar",$R794))),0)</f>
        <v/>
      </c>
      <c r="V794" s="11" t="inlineStr">
        <is>
          <t>Física 11°</t>
        </is>
      </c>
      <c r="W794" s="11" t="inlineStr">
        <is>
          <t>Física 10°–11°</t>
        </is>
      </c>
      <c r="X794" s="11">
        <f>IF(OR(IFERROR(INDEX('Datos - Catálogo TIMSS'!$I$5:$I$107,MATCH(K794,'Datos - Catálogo TIMSS'!$A$5:$A$107,0)),"No")="Sí",IFERROR(INDEX('Datos - Catálogo TIMSS'!$I$5:$I$107,MATCH(L794,'Datos - Catálogo TIMSS'!$A$5:$A$107,0)),"No")="Sí"),1,0)</f>
        <v/>
      </c>
      <c r="Y794" s="11">
        <f>IF(IFERROR(INDEX('Datos - Catálogo TIMSS'!$J$5:$J$107,MATCH(K794,'Datos - Catálogo TIMSS'!$A$5:$A$107,0)),"No")="Sí",1,0)</f>
        <v/>
      </c>
      <c r="Z794" s="11">
        <f>IF(IFERROR(INDEX('Datos - Catálogo TIMSS'!$J$5:$J$107,MATCH(L794,'Datos - Catálogo TIMSS'!$A$5:$A$107,0)),"No")="Sí",1,0)</f>
        <v/>
      </c>
      <c r="AA794" s="11" t="inlineStr">
        <is>
          <t>TA-E1.3</t>
        </is>
      </c>
      <c r="AB794" s="11" t="inlineStr"/>
      <c r="AC794" s="11">
        <f>IF(AA794="FUERA","Fuera del marco",IF(AA794="N/A","Sin marco",IFERROR(INDEX('Datos - TIMSS 2023'!$C$5:$C$105,MATCH(AA794,'Datos - TIMSS 2023'!$A$5:$A$105,0)),"Pendiente de clasificar")))</f>
        <v/>
      </c>
      <c r="AD794" s="11" t="inlineStr">
        <is>
          <t>3. Investigar, evaluar y usar información científica para tomar decisiones y actuar</t>
        </is>
      </c>
      <c r="AE794" s="11">
        <f>IF(AD794="","",IF(LEFT(AD794,1)="1","C1",IF(LEFT(AD794,1)="2","C2",IF(LEFT(AD794,1)="3","C3",""))))</f>
        <v/>
      </c>
      <c r="AF794" s="11" t="inlineStr">
        <is>
          <t>E6</t>
        </is>
      </c>
      <c r="AG794" s="11" t="inlineStr">
        <is>
          <t>E3</t>
        </is>
      </c>
      <c r="AH794" s="11" t="inlineStr">
        <is>
          <t>E1</t>
        </is>
      </c>
      <c r="AI794" s="11" t="inlineStr">
        <is>
          <t>I3</t>
        </is>
      </c>
      <c r="AJ794" s="11" t="inlineStr">
        <is>
          <t>E6</t>
        </is>
      </c>
      <c r="AK794" s="11" t="n"/>
      <c r="AL794" s="11" t="n"/>
      <c r="AM794" s="11" t="n"/>
      <c r="AN794" s="11" t="n"/>
      <c r="AO794" s="11" t="n"/>
      <c r="AP794" s="11" t="n"/>
      <c r="AQ794" s="11" t="n"/>
      <c r="AR794" s="11" t="n"/>
      <c r="AS794" s="11" t="n"/>
      <c r="AT794" s="11" t="n"/>
      <c r="AU794" s="11" t="n"/>
      <c r="AV794" s="11" t="n"/>
      <c r="AW794" s="11">
        <f>AF794&amp;"; "&amp;AG794&amp;"; "&amp;AH794&amp;"; "&amp;AI794&amp;"; "&amp;AJ794</f>
        <v/>
      </c>
    </row>
    <row r="795">
      <c r="A795" s="11" t="inlineStr">
        <is>
          <t>T0331-G11-FÍS</t>
        </is>
      </c>
      <c r="B795" s="11" t="n">
        <v>11</v>
      </c>
      <c r="C795" s="11" t="inlineStr">
        <is>
          <t>Física</t>
        </is>
      </c>
      <c r="D795" s="11" t="inlineStr">
        <is>
          <t>Matriz_Bachillerato_Fisica_10_11.xlsx</t>
        </is>
      </c>
      <c r="E795" s="11" t="inlineStr">
        <is>
          <t>Física 11.°</t>
        </is>
      </c>
      <c r="F795" s="11" t="n">
        <v>50</v>
      </c>
      <c r="G795" s="11" t="inlineStr">
        <is>
          <t>9. Circuitos eléctricos</t>
        </is>
      </c>
      <c r="H795" s="11" t="inlineStr">
        <is>
          <t>Combinación de resistencias</t>
        </is>
      </c>
      <c r="I795" s="38" t="inlineStr">
        <is>
          <t>9.5. Análisis de la corriente, el voltaje y la potencia en resistencias conectadas en serie.</t>
        </is>
      </c>
      <c r="J795" s="11" t="inlineStr">
        <is>
          <t>TA</t>
        </is>
      </c>
      <c r="K795" s="11" t="inlineStr">
        <is>
          <t>TA-E1.3</t>
        </is>
      </c>
      <c r="L795" s="11" t="inlineStr"/>
      <c r="M795" s="11">
        <f>IF(K795="FUERA","Fuera del marco",IF(K795="N/A","Sin marco",IFERROR(INDEX('Datos - Catálogo TIMSS'!$C$5:$C$107,MATCH(K795,'Datos - Catálogo TIMSS'!$A$5:$A$107,0)),"Pendiente de clasificar")))</f>
        <v/>
      </c>
      <c r="N795" s="11">
        <f>IF(K795="FUERA","Fuera del marco",IF(K795="N/A","Sin marco",IFERROR(INDEX('Datos - Catálogo TIMSS'!$F$5:$F$107,MATCH(K795,'Datos - Catálogo TIMSS'!$A$5:$A$107,0)),"Pendiente de clasificar")))</f>
        <v/>
      </c>
      <c r="O795" s="11">
        <f>IF(L795="","",IFERROR(INDEX('Datos - Catálogo TIMSS'!$C$5:$C$107,MATCH(L795,'Datos - Catálogo TIMSS'!$A$5:$A$107,0)),"?"))</f>
        <v/>
      </c>
      <c r="P795" s="11" t="inlineStr">
        <is>
          <t>alta</t>
        </is>
      </c>
      <c r="Q795" s="38" t="inlineStr">
        <is>
          <t>Circuito en serie con ley de Ohm</t>
        </is>
      </c>
      <c r="R795" s="38" t="inlineStr">
        <is>
          <t>Aplicar: calcular resistencia equivalente y caídas de voltaje. Razonar: verificar predicciones con mediciones</t>
        </is>
      </c>
      <c r="S795" s="39">
        <f>IFERROR(ISNUMBER(SEARCH("Conocer",$R795))/(ISNUMBER(SEARCH("Conocer",$R795))+ISNUMBER(SEARCH("Aplicar",$R795))+ISNUMBER(SEARCH("Razonar",$R795))),0)</f>
        <v/>
      </c>
      <c r="T795" s="39">
        <f>IFERROR(ISNUMBER(SEARCH("Aplicar",$R795))/(ISNUMBER(SEARCH("Conocer",$R795))+ISNUMBER(SEARCH("Aplicar",$R795))+ISNUMBER(SEARCH("Razonar",$R795))),0)</f>
        <v/>
      </c>
      <c r="U795" s="39">
        <f>IFERROR(ISNUMBER(SEARCH("Razonar",$R795))/(ISNUMBER(SEARCH("Conocer",$R795))+ISNUMBER(SEARCH("Aplicar",$R795))+ISNUMBER(SEARCH("Razonar",$R795))),0)</f>
        <v/>
      </c>
      <c r="V795" s="11" t="inlineStr">
        <is>
          <t>Física 11°</t>
        </is>
      </c>
      <c r="W795" s="11" t="inlineStr">
        <is>
          <t>Física 10°–11°</t>
        </is>
      </c>
      <c r="X795" s="11">
        <f>IF(OR(IFERROR(INDEX('Datos - Catálogo TIMSS'!$I$5:$I$107,MATCH(K795,'Datos - Catálogo TIMSS'!$A$5:$A$107,0)),"No")="Sí",IFERROR(INDEX('Datos - Catálogo TIMSS'!$I$5:$I$107,MATCH(L795,'Datos - Catálogo TIMSS'!$A$5:$A$107,0)),"No")="Sí"),1,0)</f>
        <v/>
      </c>
      <c r="Y795" s="11">
        <f>IF(IFERROR(INDEX('Datos - Catálogo TIMSS'!$J$5:$J$107,MATCH(K795,'Datos - Catálogo TIMSS'!$A$5:$A$107,0)),"No")="Sí",1,0)</f>
        <v/>
      </c>
      <c r="Z795" s="11">
        <f>IF(IFERROR(INDEX('Datos - Catálogo TIMSS'!$J$5:$J$107,MATCH(L795,'Datos - Catálogo TIMSS'!$A$5:$A$107,0)),"No")="Sí",1,0)</f>
        <v/>
      </c>
      <c r="AA795" s="11" t="inlineStr">
        <is>
          <t>TA-E1.3</t>
        </is>
      </c>
      <c r="AB795" s="11" t="inlineStr"/>
      <c r="AC795" s="11">
        <f>IF(AA795="FUERA","Fuera del marco",IF(AA795="N/A","Sin marco",IFERROR(INDEX('Datos - TIMSS 2023'!$C$5:$C$105,MATCH(AA795,'Datos - TIMSS 2023'!$A$5:$A$105,0)),"Pendiente de clasificar")))</f>
        <v/>
      </c>
      <c r="AD795" s="11" t="inlineStr">
        <is>
          <t>1. Explicar fenómenos científicamente</t>
        </is>
      </c>
      <c r="AE795" s="11">
        <f>IF(AD795="","",IF(LEFT(AD795,1)="1","C1",IF(LEFT(AD795,1)="2","C2",IF(LEFT(AD795,1)="3","C3",""))))</f>
        <v/>
      </c>
      <c r="AF795" s="11" t="inlineStr">
        <is>
          <t>E1</t>
        </is>
      </c>
      <c r="AG795" s="11" t="inlineStr">
        <is>
          <t>D1</t>
        </is>
      </c>
      <c r="AH795" s="11" t="inlineStr">
        <is>
          <t>E2</t>
        </is>
      </c>
      <c r="AI795" s="11" t="inlineStr">
        <is>
          <t>D4</t>
        </is>
      </c>
      <c r="AJ795" s="11" t="inlineStr">
        <is>
          <t>E3</t>
        </is>
      </c>
      <c r="AK795" s="11" t="n"/>
      <c r="AL795" s="11" t="n"/>
      <c r="AM795" s="11" t="n"/>
      <c r="AN795" s="11" t="n"/>
      <c r="AO795" s="11" t="n"/>
      <c r="AP795" s="11" t="n"/>
      <c r="AQ795" s="11" t="n"/>
      <c r="AR795" s="11" t="n"/>
      <c r="AS795" s="11" t="n"/>
      <c r="AT795" s="11" t="n"/>
      <c r="AU795" s="11" t="n"/>
      <c r="AV795" s="11" t="n"/>
      <c r="AW795" s="11">
        <f>AF795&amp;"; "&amp;AG795&amp;"; "&amp;AH795&amp;"; "&amp;AI795&amp;"; "&amp;AJ795</f>
        <v/>
      </c>
    </row>
    <row r="796">
      <c r="A796" s="11" t="inlineStr">
        <is>
          <t>T0332-G11-FÍS</t>
        </is>
      </c>
      <c r="B796" s="11" t="n">
        <v>11</v>
      </c>
      <c r="C796" s="11" t="inlineStr">
        <is>
          <t>Física</t>
        </is>
      </c>
      <c r="D796" s="11" t="inlineStr">
        <is>
          <t>Matriz_Bachillerato_Fisica_10_11.xlsx</t>
        </is>
      </c>
      <c r="E796" s="11" t="inlineStr">
        <is>
          <t>Física 11.°</t>
        </is>
      </c>
      <c r="F796" s="11" t="n">
        <v>51</v>
      </c>
      <c r="G796" s="11" t="inlineStr">
        <is>
          <t>9. Circuitos eléctricos</t>
        </is>
      </c>
      <c r="H796" s="11" t="inlineStr">
        <is>
          <t>Combinación de resistencias</t>
        </is>
      </c>
      <c r="I796" s="38" t="inlineStr">
        <is>
          <t>9.6. Análisis de la distribución de corriente en resistencias conectadas en paralelo y su aplicación en las instalaciones del hogar.</t>
        </is>
      </c>
      <c r="J796" s="11" t="inlineStr">
        <is>
          <t>TA</t>
        </is>
      </c>
      <c r="K796" s="11" t="inlineStr">
        <is>
          <t>TA-E1.3</t>
        </is>
      </c>
      <c r="L796" s="11" t="inlineStr"/>
      <c r="M796" s="11">
        <f>IF(K796="FUERA","Fuera del marco",IF(K796="N/A","Sin marco",IFERROR(INDEX('Datos - Catálogo TIMSS'!$C$5:$C$107,MATCH(K796,'Datos - Catálogo TIMSS'!$A$5:$A$107,0)),"Pendiente de clasificar")))</f>
        <v/>
      </c>
      <c r="N796" s="11">
        <f>IF(K796="FUERA","Fuera del marco",IF(K796="N/A","Sin marco",IFERROR(INDEX('Datos - Catálogo TIMSS'!$F$5:$F$107,MATCH(K796,'Datos - Catálogo TIMSS'!$A$5:$A$107,0)),"Pendiente de clasificar")))</f>
        <v/>
      </c>
      <c r="O796" s="11">
        <f>IF(L796="","",IFERROR(INDEX('Datos - Catálogo TIMSS'!$C$5:$C$107,MATCH(L796,'Datos - Catálogo TIMSS'!$A$5:$A$107,0)),"?"))</f>
        <v/>
      </c>
      <c r="P796" s="11" t="inlineStr">
        <is>
          <t>alta</t>
        </is>
      </c>
      <c r="Q796" s="38" t="inlineStr">
        <is>
          <t>Circuito en paralelo con ley de Ohm</t>
        </is>
      </c>
      <c r="R796" s="38" t="inlineStr">
        <is>
          <t>Aplicar: calcular corrientes en paralelo. Razonar: justificar el diseño de las instalaciones domésticas</t>
        </is>
      </c>
      <c r="S796" s="39">
        <f>IFERROR(ISNUMBER(SEARCH("Conocer",$R796))/(ISNUMBER(SEARCH("Conocer",$R796))+ISNUMBER(SEARCH("Aplicar",$R796))+ISNUMBER(SEARCH("Razonar",$R796))),0)</f>
        <v/>
      </c>
      <c r="T796" s="39">
        <f>IFERROR(ISNUMBER(SEARCH("Aplicar",$R796))/(ISNUMBER(SEARCH("Conocer",$R796))+ISNUMBER(SEARCH("Aplicar",$R796))+ISNUMBER(SEARCH("Razonar",$R796))),0)</f>
        <v/>
      </c>
      <c r="U796" s="39">
        <f>IFERROR(ISNUMBER(SEARCH("Razonar",$R796))/(ISNUMBER(SEARCH("Conocer",$R796))+ISNUMBER(SEARCH("Aplicar",$R796))+ISNUMBER(SEARCH("Razonar",$R796))),0)</f>
        <v/>
      </c>
      <c r="V796" s="11" t="inlineStr">
        <is>
          <t>Física 11°</t>
        </is>
      </c>
      <c r="W796" s="11" t="inlineStr">
        <is>
          <t>Física 10°–11°</t>
        </is>
      </c>
      <c r="X796" s="11">
        <f>IF(OR(IFERROR(INDEX('Datos - Catálogo TIMSS'!$I$5:$I$107,MATCH(K796,'Datos - Catálogo TIMSS'!$A$5:$A$107,0)),"No")="Sí",IFERROR(INDEX('Datos - Catálogo TIMSS'!$I$5:$I$107,MATCH(L796,'Datos - Catálogo TIMSS'!$A$5:$A$107,0)),"No")="Sí"),1,0)</f>
        <v/>
      </c>
      <c r="Y796" s="11">
        <f>IF(IFERROR(INDEX('Datos - Catálogo TIMSS'!$J$5:$J$107,MATCH(K796,'Datos - Catálogo TIMSS'!$A$5:$A$107,0)),"No")="Sí",1,0)</f>
        <v/>
      </c>
      <c r="Z796" s="11">
        <f>IF(IFERROR(INDEX('Datos - Catálogo TIMSS'!$J$5:$J$107,MATCH(L796,'Datos - Catálogo TIMSS'!$A$5:$A$107,0)),"No")="Sí",1,0)</f>
        <v/>
      </c>
      <c r="AA796" s="11" t="inlineStr">
        <is>
          <t>TA-E1.3</t>
        </is>
      </c>
      <c r="AB796" s="11" t="inlineStr"/>
      <c r="AC796" s="11">
        <f>IF(AA796="FUERA","Fuera del marco",IF(AA796="N/A","Sin marco",IFERROR(INDEX('Datos - TIMSS 2023'!$C$5:$C$105,MATCH(AA796,'Datos - TIMSS 2023'!$A$5:$A$105,0)),"Pendiente de clasificar")))</f>
        <v/>
      </c>
      <c r="AD796" s="11" t="inlineStr">
        <is>
          <t>1. Explicar fenómenos científicamente</t>
        </is>
      </c>
      <c r="AE796" s="11">
        <f>IF(AD796="","",IF(LEFT(AD796,1)="1","C1",IF(LEFT(AD796,1)="2","C2",IF(LEFT(AD796,1)="3","C3",""))))</f>
        <v/>
      </c>
      <c r="AF796" s="11" t="inlineStr">
        <is>
          <t>E6</t>
        </is>
      </c>
      <c r="AG796" s="11" t="inlineStr">
        <is>
          <t>E3</t>
        </is>
      </c>
      <c r="AH796" s="11" t="inlineStr">
        <is>
          <t>E1</t>
        </is>
      </c>
      <c r="AI796" s="11" t="inlineStr">
        <is>
          <t>D4</t>
        </is>
      </c>
      <c r="AJ796" s="11" t="inlineStr">
        <is>
          <t>I5</t>
        </is>
      </c>
      <c r="AK796" s="11" t="n"/>
      <c r="AL796" s="11" t="n"/>
      <c r="AM796" s="11" t="n"/>
      <c r="AN796" s="11" t="n"/>
      <c r="AO796" s="11" t="n"/>
      <c r="AP796" s="11" t="n"/>
      <c r="AQ796" s="11" t="n"/>
      <c r="AR796" s="11" t="n"/>
      <c r="AS796" s="11" t="n"/>
      <c r="AT796" s="11" t="n"/>
      <c r="AU796" s="11" t="n"/>
      <c r="AV796" s="11" t="n"/>
      <c r="AW796" s="11">
        <f>AF796&amp;"; "&amp;AG796&amp;"; "&amp;AH796&amp;"; "&amp;AI796&amp;"; "&amp;AJ796</f>
        <v/>
      </c>
    </row>
    <row r="797">
      <c r="A797" s="11" t="inlineStr">
        <is>
          <t>T0333-G11-FÍS</t>
        </is>
      </c>
      <c r="B797" s="11" t="n">
        <v>11</v>
      </c>
      <c r="C797" s="11" t="inlineStr">
        <is>
          <t>Física</t>
        </is>
      </c>
      <c r="D797" s="11" t="inlineStr">
        <is>
          <t>Matriz_Bachillerato_Fisica_10_11.xlsx</t>
        </is>
      </c>
      <c r="E797" s="11" t="inlineStr">
        <is>
          <t>Física 11.°</t>
        </is>
      </c>
      <c r="F797" s="11" t="n">
        <v>52</v>
      </c>
      <c r="G797" s="11" t="inlineStr">
        <is>
          <t>9. Circuitos eléctricos</t>
        </is>
      </c>
      <c r="H797" s="11" t="inlineStr">
        <is>
          <t>Combinación de resistencias</t>
        </is>
      </c>
      <c r="I797" s="38" t="inlineStr">
        <is>
          <t>9.7. Resolución de circuitos con resistencias parcialmente en serie y parcialmente en paralelo mediante reducción sucesiva.</t>
        </is>
      </c>
      <c r="J797" s="11" t="inlineStr">
        <is>
          <t>TA</t>
        </is>
      </c>
      <c r="K797" s="11" t="inlineStr">
        <is>
          <t>TA-E1.3</t>
        </is>
      </c>
      <c r="L797" s="11" t="inlineStr"/>
      <c r="M797" s="11">
        <f>IF(K797="FUERA","Fuera del marco",IF(K797="N/A","Sin marco",IFERROR(INDEX('Datos - Catálogo TIMSS'!$C$5:$C$107,MATCH(K797,'Datos - Catálogo TIMSS'!$A$5:$A$107,0)),"Pendiente de clasificar")))</f>
        <v/>
      </c>
      <c r="N797" s="11">
        <f>IF(K797="FUERA","Fuera del marco",IF(K797="N/A","Sin marco",IFERROR(INDEX('Datos - Catálogo TIMSS'!$F$5:$F$107,MATCH(K797,'Datos - Catálogo TIMSS'!$A$5:$A$107,0)),"Pendiente de clasificar")))</f>
        <v/>
      </c>
      <c r="O797" s="11">
        <f>IF(L797="","",IFERROR(INDEX('Datos - Catálogo TIMSS'!$C$5:$C$107,MATCH(L797,'Datos - Catálogo TIMSS'!$A$5:$A$107,0)),"?"))</f>
        <v/>
      </c>
      <c r="P797" s="11" t="inlineStr">
        <is>
          <t>alta</t>
        </is>
      </c>
      <c r="Q797" s="38" t="inlineStr">
        <is>
          <t>Circuitos mixtos: corriente, voltaje y potencia</t>
        </is>
      </c>
      <c r="R797" s="38" t="inlineStr">
        <is>
          <t>Aplicar: resolver circuitos por reducción. Razonar: contrastar cálculo y medición</t>
        </is>
      </c>
      <c r="S797" s="39">
        <f>IFERROR(ISNUMBER(SEARCH("Conocer",$R797))/(ISNUMBER(SEARCH("Conocer",$R797))+ISNUMBER(SEARCH("Aplicar",$R797))+ISNUMBER(SEARCH("Razonar",$R797))),0)</f>
        <v/>
      </c>
      <c r="T797" s="39">
        <f>IFERROR(ISNUMBER(SEARCH("Aplicar",$R797))/(ISNUMBER(SEARCH("Conocer",$R797))+ISNUMBER(SEARCH("Aplicar",$R797))+ISNUMBER(SEARCH("Razonar",$R797))),0)</f>
        <v/>
      </c>
      <c r="U797" s="39">
        <f>IFERROR(ISNUMBER(SEARCH("Razonar",$R797))/(ISNUMBER(SEARCH("Conocer",$R797))+ISNUMBER(SEARCH("Aplicar",$R797))+ISNUMBER(SEARCH("Razonar",$R797))),0)</f>
        <v/>
      </c>
      <c r="V797" s="11" t="inlineStr">
        <is>
          <t>Física 11°</t>
        </is>
      </c>
      <c r="W797" s="11" t="inlineStr">
        <is>
          <t>Física 10°–11°</t>
        </is>
      </c>
      <c r="X797" s="11">
        <f>IF(OR(IFERROR(INDEX('Datos - Catálogo TIMSS'!$I$5:$I$107,MATCH(K797,'Datos - Catálogo TIMSS'!$A$5:$A$107,0)),"No")="Sí",IFERROR(INDEX('Datos - Catálogo TIMSS'!$I$5:$I$107,MATCH(L797,'Datos - Catálogo TIMSS'!$A$5:$A$107,0)),"No")="Sí"),1,0)</f>
        <v/>
      </c>
      <c r="Y797" s="11">
        <f>IF(IFERROR(INDEX('Datos - Catálogo TIMSS'!$J$5:$J$107,MATCH(K797,'Datos - Catálogo TIMSS'!$A$5:$A$107,0)),"No")="Sí",1,0)</f>
        <v/>
      </c>
      <c r="Z797" s="11">
        <f>IF(IFERROR(INDEX('Datos - Catálogo TIMSS'!$J$5:$J$107,MATCH(L797,'Datos - Catálogo TIMSS'!$A$5:$A$107,0)),"No")="Sí",1,0)</f>
        <v/>
      </c>
      <c r="AA797" s="11" t="inlineStr">
        <is>
          <t>TA-E1.3</t>
        </is>
      </c>
      <c r="AB797" s="11" t="inlineStr"/>
      <c r="AC797" s="11">
        <f>IF(AA797="FUERA","Fuera del marco",IF(AA797="N/A","Sin marco",IFERROR(INDEX('Datos - TIMSS 2023'!$C$5:$C$105,MATCH(AA797,'Datos - TIMSS 2023'!$A$5:$A$105,0)),"Pendiente de clasificar")))</f>
        <v/>
      </c>
      <c r="AD797" s="11" t="inlineStr">
        <is>
          <t>1. Explicar fenómenos científicamente</t>
        </is>
      </c>
      <c r="AE797" s="11">
        <f>IF(AD797="","",IF(LEFT(AD797,1)="1","C1",IF(LEFT(AD797,1)="2","C2",IF(LEFT(AD797,1)="3","C3",""))))</f>
        <v/>
      </c>
      <c r="AF797" s="11" t="inlineStr">
        <is>
          <t>E1</t>
        </is>
      </c>
      <c r="AG797" s="11" t="inlineStr">
        <is>
          <t>E3</t>
        </is>
      </c>
      <c r="AH797" s="11" t="inlineStr">
        <is>
          <t>E4</t>
        </is>
      </c>
      <c r="AI797" s="11" t="inlineStr">
        <is>
          <t>D4</t>
        </is>
      </c>
      <c r="AJ797" s="11" t="inlineStr">
        <is>
          <t>E3</t>
        </is>
      </c>
      <c r="AK797" s="11" t="n"/>
      <c r="AL797" s="11" t="n"/>
      <c r="AM797" s="11" t="n"/>
      <c r="AN797" s="11" t="n"/>
      <c r="AO797" s="11" t="n"/>
      <c r="AP797" s="11" t="n"/>
      <c r="AQ797" s="11" t="n"/>
      <c r="AR797" s="11" t="n"/>
      <c r="AS797" s="11" t="n"/>
      <c r="AT797" s="11" t="n"/>
      <c r="AU797" s="11" t="n"/>
      <c r="AV797" s="11" t="n"/>
      <c r="AW797" s="11">
        <f>AF797&amp;"; "&amp;AG797&amp;"; "&amp;AH797&amp;"; "&amp;AI797&amp;"; "&amp;AJ797</f>
        <v/>
      </c>
    </row>
    <row r="798">
      <c r="A798" s="11" t="inlineStr">
        <is>
          <t>T0334-G11-FÍS</t>
        </is>
      </c>
      <c r="B798" s="11" t="n">
        <v>11</v>
      </c>
      <c r="C798" s="11" t="inlineStr">
        <is>
          <t>Física</t>
        </is>
      </c>
      <c r="D798" s="11" t="inlineStr">
        <is>
          <t>Matriz_Bachillerato_Fisica_10_11.xlsx</t>
        </is>
      </c>
      <c r="E798" s="11" t="inlineStr">
        <is>
          <t>Física 11.°</t>
        </is>
      </c>
      <c r="F798" s="11" t="n">
        <v>53</v>
      </c>
      <c r="G798" s="11" t="inlineStr">
        <is>
          <t>9. Circuitos eléctricos</t>
        </is>
      </c>
      <c r="H798" s="11" t="inlineStr">
        <is>
          <t>Fuentes reales y leyes de Kirchhoff</t>
        </is>
      </c>
      <c r="I798" s="38" t="inlineStr">
        <is>
          <t>9.8. Determinación experimental de la fuerza electromotriz y la resistencia interna de una pila a partir de la gráfica voltaje en bornes-corriente.</t>
        </is>
      </c>
      <c r="J798" s="11" t="inlineStr">
        <is>
          <t>TA</t>
        </is>
      </c>
      <c r="K798" s="11" t="inlineStr">
        <is>
          <t>TA-E1.3</t>
        </is>
      </c>
      <c r="L798" s="11" t="inlineStr"/>
      <c r="M798" s="11">
        <f>IF(K798="FUERA","Fuera del marco",IF(K798="N/A","Sin marco",IFERROR(INDEX('Datos - Catálogo TIMSS'!$C$5:$C$107,MATCH(K798,'Datos - Catálogo TIMSS'!$A$5:$A$107,0)),"Pendiente de clasificar")))</f>
        <v/>
      </c>
      <c r="N798" s="11">
        <f>IF(K798="FUERA","Fuera del marco",IF(K798="N/A","Sin marco",IFERROR(INDEX('Datos - Catálogo TIMSS'!$F$5:$F$107,MATCH(K798,'Datos - Catálogo TIMSS'!$A$5:$A$107,0)),"Pendiente de clasificar")))</f>
        <v/>
      </c>
      <c r="O798" s="11">
        <f>IF(L798="","",IFERROR(INDEX('Datos - Catálogo TIMSS'!$C$5:$C$107,MATCH(L798,'Datos - Catálogo TIMSS'!$A$5:$A$107,0)),"?"))</f>
        <v/>
      </c>
      <c r="P798" s="11" t="inlineStr">
        <is>
          <t>alta</t>
        </is>
      </c>
      <c r="Q798" s="38" t="inlineStr">
        <is>
          <t>Resistencia interna y voltaje en bornes</t>
        </is>
      </c>
      <c r="R798" s="38" t="inlineStr">
        <is>
          <t>Aplicar: obtener parámetros de una gráfica. Razonar: interpretar el modelo de fuente real</t>
        </is>
      </c>
      <c r="S798" s="39">
        <f>IFERROR(ISNUMBER(SEARCH("Conocer",$R798))/(ISNUMBER(SEARCH("Conocer",$R798))+ISNUMBER(SEARCH("Aplicar",$R798))+ISNUMBER(SEARCH("Razonar",$R798))),0)</f>
        <v/>
      </c>
      <c r="T798" s="39">
        <f>IFERROR(ISNUMBER(SEARCH("Aplicar",$R798))/(ISNUMBER(SEARCH("Conocer",$R798))+ISNUMBER(SEARCH("Aplicar",$R798))+ISNUMBER(SEARCH("Razonar",$R798))),0)</f>
        <v/>
      </c>
      <c r="U798" s="39">
        <f>IFERROR(ISNUMBER(SEARCH("Razonar",$R798))/(ISNUMBER(SEARCH("Conocer",$R798))+ISNUMBER(SEARCH("Aplicar",$R798))+ISNUMBER(SEARCH("Razonar",$R798))),0)</f>
        <v/>
      </c>
      <c r="V798" s="11" t="inlineStr">
        <is>
          <t>Física 11°</t>
        </is>
      </c>
      <c r="W798" s="11" t="inlineStr">
        <is>
          <t>Física 10°–11°</t>
        </is>
      </c>
      <c r="X798" s="11">
        <f>IF(OR(IFERROR(INDEX('Datos - Catálogo TIMSS'!$I$5:$I$107,MATCH(K798,'Datos - Catálogo TIMSS'!$A$5:$A$107,0)),"No")="Sí",IFERROR(INDEX('Datos - Catálogo TIMSS'!$I$5:$I$107,MATCH(L798,'Datos - Catálogo TIMSS'!$A$5:$A$107,0)),"No")="Sí"),1,0)</f>
        <v/>
      </c>
      <c r="Y798" s="11">
        <f>IF(IFERROR(INDEX('Datos - Catálogo TIMSS'!$J$5:$J$107,MATCH(K798,'Datos - Catálogo TIMSS'!$A$5:$A$107,0)),"No")="Sí",1,0)</f>
        <v/>
      </c>
      <c r="Z798" s="11">
        <f>IF(IFERROR(INDEX('Datos - Catálogo TIMSS'!$J$5:$J$107,MATCH(L798,'Datos - Catálogo TIMSS'!$A$5:$A$107,0)),"No")="Sí",1,0)</f>
        <v/>
      </c>
      <c r="AA798" s="11" t="inlineStr">
        <is>
          <t>TA-E1.3</t>
        </is>
      </c>
      <c r="AB798" s="11" t="inlineStr"/>
      <c r="AC798" s="11">
        <f>IF(AA798="FUERA","Fuera del marco",IF(AA798="N/A","Sin marco",IFERROR(INDEX('Datos - TIMSS 2023'!$C$5:$C$105,MATCH(AA798,'Datos - TIMSS 2023'!$A$5:$A$105,0)),"Pendiente de clasificar")))</f>
        <v/>
      </c>
      <c r="AD798" s="11" t="inlineStr">
        <is>
          <t>2. Construir y evaluar diseños para la indagación científica e interpretar datos y evidencia de forma crítica</t>
        </is>
      </c>
      <c r="AE798" s="11">
        <f>IF(AD798="","",IF(LEFT(AD798,1)="1","C1",IF(LEFT(AD798,1)="2","C2",IF(LEFT(AD798,1)="3","C3",""))))</f>
        <v/>
      </c>
      <c r="AF798" s="11" t="inlineStr">
        <is>
          <t>E1</t>
        </is>
      </c>
      <c r="AG798" s="11" t="inlineStr">
        <is>
          <t>E5</t>
        </is>
      </c>
      <c r="AH798" s="11" t="inlineStr">
        <is>
          <t>E2</t>
        </is>
      </c>
      <c r="AI798" s="11" t="inlineStr">
        <is>
          <t>D4</t>
        </is>
      </c>
      <c r="AJ798" s="11" t="inlineStr">
        <is>
          <t>I5</t>
        </is>
      </c>
      <c r="AK798" s="11" t="n"/>
      <c r="AL798" s="11" t="n"/>
      <c r="AM798" s="11" t="n"/>
      <c r="AN798" s="11" t="n"/>
      <c r="AO798" s="11" t="n"/>
      <c r="AP798" s="11" t="n"/>
      <c r="AQ798" s="11" t="n"/>
      <c r="AR798" s="11" t="n"/>
      <c r="AS798" s="11" t="n"/>
      <c r="AT798" s="11" t="n"/>
      <c r="AU798" s="11" t="n"/>
      <c r="AV798" s="11" t="n"/>
      <c r="AW798" s="11">
        <f>AF798&amp;"; "&amp;AG798&amp;"; "&amp;AH798&amp;"; "&amp;AI798&amp;"; "&amp;AJ798</f>
        <v/>
      </c>
    </row>
    <row r="799">
      <c r="A799" s="11" t="inlineStr">
        <is>
          <t>T0335-G11-FÍS</t>
        </is>
      </c>
      <c r="B799" s="11" t="n">
        <v>11</v>
      </c>
      <c r="C799" s="11" t="inlineStr">
        <is>
          <t>Física</t>
        </is>
      </c>
      <c r="D799" s="11" t="inlineStr">
        <is>
          <t>Matriz_Bachillerato_Fisica_10_11.xlsx</t>
        </is>
      </c>
      <c r="E799" s="11" t="inlineStr">
        <is>
          <t>Física 11.°</t>
        </is>
      </c>
      <c r="F799" s="11" t="n">
        <v>54</v>
      </c>
      <c r="G799" s="11" t="inlineStr">
        <is>
          <t>9. Circuitos eléctricos</t>
        </is>
      </c>
      <c r="H799" s="11" t="inlineStr">
        <is>
          <t>Fuentes reales y leyes de Kirchhoff</t>
        </is>
      </c>
      <c r="I799" s="38" t="inlineStr">
        <is>
          <t>9.9. Aplicación de las reglas de Kirchhoff para resolver circuitos de dos mallas con dos fuentes.</t>
        </is>
      </c>
      <c r="J799" s="11" t="inlineStr">
        <is>
          <t>TA</t>
        </is>
      </c>
      <c r="K799" s="11" t="inlineStr">
        <is>
          <t>TA-E1.3</t>
        </is>
      </c>
      <c r="L799" s="11" t="inlineStr"/>
      <c r="M799" s="11">
        <f>IF(K799="FUERA","Fuera del marco",IF(K799="N/A","Sin marco",IFERROR(INDEX('Datos - Catálogo TIMSS'!$C$5:$C$107,MATCH(K799,'Datos - Catálogo TIMSS'!$A$5:$A$107,0)),"Pendiente de clasificar")))</f>
        <v/>
      </c>
      <c r="N799" s="11">
        <f>IF(K799="FUERA","Fuera del marco",IF(K799="N/A","Sin marco",IFERROR(INDEX('Datos - Catálogo TIMSS'!$F$5:$F$107,MATCH(K799,'Datos - Catálogo TIMSS'!$A$5:$A$107,0)),"Pendiente de clasificar")))</f>
        <v/>
      </c>
      <c r="O799" s="11">
        <f>IF(L799="","",IFERROR(INDEX('Datos - Catálogo TIMSS'!$C$5:$C$107,MATCH(L799,'Datos - Catálogo TIMSS'!$A$5:$A$107,0)),"?"))</f>
        <v/>
      </c>
      <c r="P799" s="11" t="inlineStr">
        <is>
          <t>alta</t>
        </is>
      </c>
      <c r="Q799" s="38" t="inlineStr">
        <is>
          <t>Leyes de Kirchhoff en circuitos de varias mallas</t>
        </is>
      </c>
      <c r="R799" s="38" t="inlineStr">
        <is>
          <t>Aplicar: plantear y resolver sistemas de ecuaciones. Razonar: evaluar la coherencia de los signos</t>
        </is>
      </c>
      <c r="S799" s="39">
        <f>IFERROR(ISNUMBER(SEARCH("Conocer",$R799))/(ISNUMBER(SEARCH("Conocer",$R799))+ISNUMBER(SEARCH("Aplicar",$R799))+ISNUMBER(SEARCH("Razonar",$R799))),0)</f>
        <v/>
      </c>
      <c r="T799" s="39">
        <f>IFERROR(ISNUMBER(SEARCH("Aplicar",$R799))/(ISNUMBER(SEARCH("Conocer",$R799))+ISNUMBER(SEARCH("Aplicar",$R799))+ISNUMBER(SEARCH("Razonar",$R799))),0)</f>
        <v/>
      </c>
      <c r="U799" s="39">
        <f>IFERROR(ISNUMBER(SEARCH("Razonar",$R799))/(ISNUMBER(SEARCH("Conocer",$R799))+ISNUMBER(SEARCH("Aplicar",$R799))+ISNUMBER(SEARCH("Razonar",$R799))),0)</f>
        <v/>
      </c>
      <c r="V799" s="11" t="inlineStr">
        <is>
          <t>Física 11°</t>
        </is>
      </c>
      <c r="W799" s="11" t="inlineStr">
        <is>
          <t>Física 10°–11°</t>
        </is>
      </c>
      <c r="X799" s="11">
        <f>IF(OR(IFERROR(INDEX('Datos - Catálogo TIMSS'!$I$5:$I$107,MATCH(K799,'Datos - Catálogo TIMSS'!$A$5:$A$107,0)),"No")="Sí",IFERROR(INDEX('Datos - Catálogo TIMSS'!$I$5:$I$107,MATCH(L799,'Datos - Catálogo TIMSS'!$A$5:$A$107,0)),"No")="Sí"),1,0)</f>
        <v/>
      </c>
      <c r="Y799" s="11">
        <f>IF(IFERROR(INDEX('Datos - Catálogo TIMSS'!$J$5:$J$107,MATCH(K799,'Datos - Catálogo TIMSS'!$A$5:$A$107,0)),"No")="Sí",1,0)</f>
        <v/>
      </c>
      <c r="Z799" s="11">
        <f>IF(IFERROR(INDEX('Datos - Catálogo TIMSS'!$J$5:$J$107,MATCH(L799,'Datos - Catálogo TIMSS'!$A$5:$A$107,0)),"No")="Sí",1,0)</f>
        <v/>
      </c>
      <c r="AA799" s="11" t="inlineStr">
        <is>
          <t>TA-E1.3</t>
        </is>
      </c>
      <c r="AB799" s="11" t="inlineStr"/>
      <c r="AC799" s="11">
        <f>IF(AA799="FUERA","Fuera del marco",IF(AA799="N/A","Sin marco",IFERROR(INDEX('Datos - TIMSS 2023'!$C$5:$C$105,MATCH(AA799,'Datos - TIMSS 2023'!$A$5:$A$105,0)),"Pendiente de clasificar")))</f>
        <v/>
      </c>
      <c r="AD799" s="11" t="inlineStr">
        <is>
          <t>1. Explicar fenómenos científicamente</t>
        </is>
      </c>
      <c r="AE799" s="11">
        <f>IF(AD799="","",IF(LEFT(AD799,1)="1","C1",IF(LEFT(AD799,1)="2","C2",IF(LEFT(AD799,1)="3","C3",""))))</f>
        <v/>
      </c>
      <c r="AF799" s="11" t="inlineStr">
        <is>
          <t>E1</t>
        </is>
      </c>
      <c r="AG799" s="11" t="inlineStr">
        <is>
          <t>D1</t>
        </is>
      </c>
      <c r="AH799" s="11" t="inlineStr">
        <is>
          <t>E4</t>
        </is>
      </c>
      <c r="AI799" s="11" t="inlineStr">
        <is>
          <t>D3</t>
        </is>
      </c>
      <c r="AJ799" s="11" t="inlineStr">
        <is>
          <t>E3</t>
        </is>
      </c>
      <c r="AK799" s="11" t="n"/>
      <c r="AL799" s="11" t="n"/>
      <c r="AM799" s="11" t="n"/>
      <c r="AN799" s="11" t="n"/>
      <c r="AO799" s="11" t="n"/>
      <c r="AP799" s="11" t="n"/>
      <c r="AQ799" s="11" t="n"/>
      <c r="AR799" s="11" t="n"/>
      <c r="AS799" s="11" t="n"/>
      <c r="AT799" s="11" t="n"/>
      <c r="AU799" s="11" t="n"/>
      <c r="AV799" s="11" t="n"/>
      <c r="AW799" s="11">
        <f>AF799&amp;"; "&amp;AG799&amp;"; "&amp;AH799&amp;"; "&amp;AI799&amp;"; "&amp;AJ799</f>
        <v/>
      </c>
    </row>
    <row r="800">
      <c r="A800" s="11" t="inlineStr">
        <is>
          <t>T0336-G11-FÍS</t>
        </is>
      </c>
      <c r="B800" s="11" t="n">
        <v>11</v>
      </c>
      <c r="C800" s="11" t="inlineStr">
        <is>
          <t>Física</t>
        </is>
      </c>
      <c r="D800" s="11" t="inlineStr">
        <is>
          <t>Matriz_Bachillerato_Fisica_10_11.xlsx</t>
        </is>
      </c>
      <c r="E800" s="11" t="inlineStr">
        <is>
          <t>Física 11.°</t>
        </is>
      </c>
      <c r="F800" s="11" t="n">
        <v>55</v>
      </c>
      <c r="G800" s="11" t="inlineStr">
        <is>
          <t>9. Circuitos eléctricos</t>
        </is>
      </c>
      <c r="H800" s="11" t="inlineStr">
        <is>
          <t>Fuentes reales y leyes de Kirchhoff</t>
        </is>
      </c>
      <c r="I800" s="38" t="inlineStr">
        <is>
          <t>9.10. Medición correcta de corriente y voltaje con el multímetro, analizando la conexión en serie o en paralelo del instrumento.</t>
        </is>
      </c>
      <c r="J800" s="11" t="inlineStr">
        <is>
          <t>TA</t>
        </is>
      </c>
      <c r="K800" s="11" t="inlineStr">
        <is>
          <t>TA-E1.3</t>
        </is>
      </c>
      <c r="L800" s="11" t="inlineStr"/>
      <c r="M800" s="11">
        <f>IF(K800="FUERA","Fuera del marco",IF(K800="N/A","Sin marco",IFERROR(INDEX('Datos - Catálogo TIMSS'!$C$5:$C$107,MATCH(K800,'Datos - Catálogo TIMSS'!$A$5:$A$107,0)),"Pendiente de clasificar")))</f>
        <v/>
      </c>
      <c r="N800" s="11">
        <f>IF(K800="FUERA","Fuera del marco",IF(K800="N/A","Sin marco",IFERROR(INDEX('Datos - Catálogo TIMSS'!$F$5:$F$107,MATCH(K800,'Datos - Catálogo TIMSS'!$A$5:$A$107,0)),"Pendiente de clasificar")))</f>
        <v/>
      </c>
      <c r="O800" s="11">
        <f>IF(L800="","",IFERROR(INDEX('Datos - Catálogo TIMSS'!$C$5:$C$107,MATCH(L800,'Datos - Catálogo TIMSS'!$A$5:$A$107,0)),"?"))</f>
        <v/>
      </c>
      <c r="P800" s="11" t="inlineStr">
        <is>
          <t>alta</t>
        </is>
      </c>
      <c r="Q800" s="38" t="inlineStr">
        <is>
          <t>Medición de corriente y voltaje en circuitos</t>
        </is>
      </c>
      <c r="R800" s="38" t="inlineStr">
        <is>
          <t>Conocer: identificar instrumentos. Aplicar: medir. Razonar: evaluar el efecto de carga del instrumento</t>
        </is>
      </c>
      <c r="S800" s="39">
        <f>IFERROR(ISNUMBER(SEARCH("Conocer",$R800))/(ISNUMBER(SEARCH("Conocer",$R800))+ISNUMBER(SEARCH("Aplicar",$R800))+ISNUMBER(SEARCH("Razonar",$R800))),0)</f>
        <v/>
      </c>
      <c r="T800" s="39">
        <f>IFERROR(ISNUMBER(SEARCH("Aplicar",$R800))/(ISNUMBER(SEARCH("Conocer",$R800))+ISNUMBER(SEARCH("Aplicar",$R800))+ISNUMBER(SEARCH("Razonar",$R800))),0)</f>
        <v/>
      </c>
      <c r="U800" s="39">
        <f>IFERROR(ISNUMBER(SEARCH("Razonar",$R800))/(ISNUMBER(SEARCH("Conocer",$R800))+ISNUMBER(SEARCH("Aplicar",$R800))+ISNUMBER(SEARCH("Razonar",$R800))),0)</f>
        <v/>
      </c>
      <c r="V800" s="11" t="inlineStr">
        <is>
          <t>Física 11°</t>
        </is>
      </c>
      <c r="W800" s="11" t="inlineStr">
        <is>
          <t>Física 10°–11°</t>
        </is>
      </c>
      <c r="X800" s="11">
        <f>IF(OR(IFERROR(INDEX('Datos - Catálogo TIMSS'!$I$5:$I$107,MATCH(K800,'Datos - Catálogo TIMSS'!$A$5:$A$107,0)),"No")="Sí",IFERROR(INDEX('Datos - Catálogo TIMSS'!$I$5:$I$107,MATCH(L800,'Datos - Catálogo TIMSS'!$A$5:$A$107,0)),"No")="Sí"),1,0)</f>
        <v/>
      </c>
      <c r="Y800" s="11">
        <f>IF(IFERROR(INDEX('Datos - Catálogo TIMSS'!$J$5:$J$107,MATCH(K800,'Datos - Catálogo TIMSS'!$A$5:$A$107,0)),"No")="Sí",1,0)</f>
        <v/>
      </c>
      <c r="Z800" s="11">
        <f>IF(IFERROR(INDEX('Datos - Catálogo TIMSS'!$J$5:$J$107,MATCH(L800,'Datos - Catálogo TIMSS'!$A$5:$A$107,0)),"No")="Sí",1,0)</f>
        <v/>
      </c>
      <c r="AA800" s="11" t="inlineStr">
        <is>
          <t>TA-E1.3</t>
        </is>
      </c>
      <c r="AB800" s="11" t="inlineStr"/>
      <c r="AC800" s="11">
        <f>IF(AA800="FUERA","Fuera del marco",IF(AA800="N/A","Sin marco",IFERROR(INDEX('Datos - TIMSS 2023'!$C$5:$C$105,MATCH(AA800,'Datos - TIMSS 2023'!$A$5:$A$105,0)),"Pendiente de clasificar")))</f>
        <v/>
      </c>
      <c r="AD800" s="11" t="inlineStr">
        <is>
          <t>2. Construir y evaluar diseños para la indagación científica e interpretar datos y evidencia de forma crítica</t>
        </is>
      </c>
      <c r="AE800" s="11">
        <f>IF(AD800="","",IF(LEFT(AD800,1)="1","C1",IF(LEFT(AD800,1)="2","C2",IF(LEFT(AD800,1)="3","C3",""))))</f>
        <v/>
      </c>
      <c r="AF800" s="11" t="inlineStr">
        <is>
          <t>E1</t>
        </is>
      </c>
      <c r="AG800" s="11" t="inlineStr">
        <is>
          <t>E3</t>
        </is>
      </c>
      <c r="AH800" s="11" t="inlineStr">
        <is>
          <t>E4</t>
        </is>
      </c>
      <c r="AI800" s="11" t="inlineStr">
        <is>
          <t>D2</t>
        </is>
      </c>
      <c r="AJ800" s="11" t="inlineStr">
        <is>
          <t>D3</t>
        </is>
      </c>
      <c r="AK800" s="11" t="n"/>
      <c r="AL800" s="11" t="n"/>
      <c r="AM800" s="11" t="n"/>
      <c r="AN800" s="11" t="n"/>
      <c r="AO800" s="11" t="n"/>
      <c r="AP800" s="11" t="n"/>
      <c r="AQ800" s="11" t="n"/>
      <c r="AR800" s="11" t="n"/>
      <c r="AS800" s="11" t="n"/>
      <c r="AT800" s="11" t="n"/>
      <c r="AU800" s="11" t="n"/>
      <c r="AV800" s="11" t="n"/>
      <c r="AW800" s="11">
        <f>AF800&amp;"; "&amp;AG800&amp;"; "&amp;AH800&amp;"; "&amp;AI800&amp;"; "&amp;AJ800</f>
        <v/>
      </c>
    </row>
    <row r="801">
      <c r="A801" s="11" t="inlineStr">
        <is>
          <t>T0337-G11-FÍS</t>
        </is>
      </c>
      <c r="B801" s="11" t="n">
        <v>11</v>
      </c>
      <c r="C801" s="11" t="inlineStr">
        <is>
          <t>Física</t>
        </is>
      </c>
      <c r="D801" s="11" t="inlineStr">
        <is>
          <t>Matriz_Bachillerato_Fisica_10_11.xlsx</t>
        </is>
      </c>
      <c r="E801" s="11" t="inlineStr">
        <is>
          <t>Física 11.°</t>
        </is>
      </c>
      <c r="F801" s="11" t="n">
        <v>56</v>
      </c>
      <c r="G801" s="11" t="inlineStr">
        <is>
          <t>9. Circuitos eléctricos</t>
        </is>
      </c>
      <c r="H801" s="11" t="inlineStr">
        <is>
          <t>Condensadores en circuitos</t>
        </is>
      </c>
      <c r="I801" s="38" t="inlineStr">
        <is>
          <t>9.11. Cálculo de la capacitancia equivalente y de la carga almacenada en combinaciones de condensadores en serie y en paralelo.</t>
        </is>
      </c>
      <c r="J801" s="11" t="inlineStr">
        <is>
          <t>TA</t>
        </is>
      </c>
      <c r="K801" s="11" t="inlineStr">
        <is>
          <t>TA-E1.3</t>
        </is>
      </c>
      <c r="L801" s="11" t="inlineStr"/>
      <c r="M801" s="11">
        <f>IF(K801="FUERA","Fuera del marco",IF(K801="N/A","Sin marco",IFERROR(INDEX('Datos - Catálogo TIMSS'!$C$5:$C$107,MATCH(K801,'Datos - Catálogo TIMSS'!$A$5:$A$107,0)),"Pendiente de clasificar")))</f>
        <v/>
      </c>
      <c r="N801" s="11">
        <f>IF(K801="FUERA","Fuera del marco",IF(K801="N/A","Sin marco",IFERROR(INDEX('Datos - Catálogo TIMSS'!$F$5:$F$107,MATCH(K801,'Datos - Catálogo TIMSS'!$A$5:$A$107,0)),"Pendiente de clasificar")))</f>
        <v/>
      </c>
      <c r="O801" s="11">
        <f>IF(L801="","",IFERROR(INDEX('Datos - Catálogo TIMSS'!$C$5:$C$107,MATCH(L801,'Datos - Catálogo TIMSS'!$A$5:$A$107,0)),"?"))</f>
        <v/>
      </c>
      <c r="P801" s="11" t="inlineStr">
        <is>
          <t>media</t>
        </is>
      </c>
      <c r="Q801" s="38" t="inlineStr">
        <is>
          <t>Condensadores en serie y paralelo dentro de circuitos</t>
        </is>
      </c>
      <c r="R801" s="38" t="inlineStr">
        <is>
          <t>Aplicar: calcular capacitancia equivalente y carga. Razonar: comparar reglas de combinación</t>
        </is>
      </c>
      <c r="S801" s="39">
        <f>IFERROR(ISNUMBER(SEARCH("Conocer",$R801))/(ISNUMBER(SEARCH("Conocer",$R801))+ISNUMBER(SEARCH("Aplicar",$R801))+ISNUMBER(SEARCH("Razonar",$R801))),0)</f>
        <v/>
      </c>
      <c r="T801" s="39">
        <f>IFERROR(ISNUMBER(SEARCH("Aplicar",$R801))/(ISNUMBER(SEARCH("Conocer",$R801))+ISNUMBER(SEARCH("Aplicar",$R801))+ISNUMBER(SEARCH("Razonar",$R801))),0)</f>
        <v/>
      </c>
      <c r="U801" s="39">
        <f>IFERROR(ISNUMBER(SEARCH("Razonar",$R801))/(ISNUMBER(SEARCH("Conocer",$R801))+ISNUMBER(SEARCH("Aplicar",$R801))+ISNUMBER(SEARCH("Razonar",$R801))),0)</f>
        <v/>
      </c>
      <c r="V801" s="11" t="inlineStr">
        <is>
          <t>Física 11°</t>
        </is>
      </c>
      <c r="W801" s="11" t="inlineStr">
        <is>
          <t>Física 10°–11°</t>
        </is>
      </c>
      <c r="X801" s="11">
        <f>IF(OR(IFERROR(INDEX('Datos - Catálogo TIMSS'!$I$5:$I$107,MATCH(K801,'Datos - Catálogo TIMSS'!$A$5:$A$107,0)),"No")="Sí",IFERROR(INDEX('Datos - Catálogo TIMSS'!$I$5:$I$107,MATCH(L801,'Datos - Catálogo TIMSS'!$A$5:$A$107,0)),"No")="Sí"),1,0)</f>
        <v/>
      </c>
      <c r="Y801" s="11">
        <f>IF(IFERROR(INDEX('Datos - Catálogo TIMSS'!$J$5:$J$107,MATCH(K801,'Datos - Catálogo TIMSS'!$A$5:$A$107,0)),"No")="Sí",1,0)</f>
        <v/>
      </c>
      <c r="Z801" s="11">
        <f>IF(IFERROR(INDEX('Datos - Catálogo TIMSS'!$J$5:$J$107,MATCH(L801,'Datos - Catálogo TIMSS'!$A$5:$A$107,0)),"No")="Sí",1,0)</f>
        <v/>
      </c>
      <c r="AA801" s="11" t="inlineStr">
        <is>
          <t>TA-E1.3</t>
        </is>
      </c>
      <c r="AB801" s="11" t="inlineStr"/>
      <c r="AC801" s="11">
        <f>IF(AA801="FUERA","Fuera del marco",IF(AA801="N/A","Sin marco",IFERROR(INDEX('Datos - TIMSS 2023'!$C$5:$C$105,MATCH(AA801,'Datos - TIMSS 2023'!$A$5:$A$105,0)),"Pendiente de clasificar")))</f>
        <v/>
      </c>
      <c r="AD801" s="11" t="inlineStr">
        <is>
          <t>1. Explicar fenómenos científicamente</t>
        </is>
      </c>
      <c r="AE801" s="11">
        <f>IF(AD801="","",IF(LEFT(AD801,1)="1","C1",IF(LEFT(AD801,1)="2","C2",IF(LEFT(AD801,1)="3","C3",""))))</f>
        <v/>
      </c>
      <c r="AF801" s="11" t="inlineStr">
        <is>
          <t>E1</t>
        </is>
      </c>
      <c r="AG801" s="11" t="inlineStr">
        <is>
          <t>E3</t>
        </is>
      </c>
      <c r="AH801" s="11" t="inlineStr">
        <is>
          <t>E2</t>
        </is>
      </c>
      <c r="AI801" s="11" t="inlineStr">
        <is>
          <t>D4</t>
        </is>
      </c>
      <c r="AJ801" s="11" t="inlineStr">
        <is>
          <t>E3</t>
        </is>
      </c>
      <c r="AK801" s="11" t="n"/>
      <c r="AL801" s="11" t="n"/>
      <c r="AM801" s="11" t="n"/>
      <c r="AN801" s="11" t="n"/>
      <c r="AO801" s="11" t="n"/>
      <c r="AP801" s="11" t="n"/>
      <c r="AQ801" s="11" t="n"/>
      <c r="AR801" s="11" t="n"/>
      <c r="AS801" s="11" t="n"/>
      <c r="AT801" s="11" t="n"/>
      <c r="AU801" s="11" t="n"/>
      <c r="AV801" s="11" t="n"/>
      <c r="AW801" s="11">
        <f>AF801&amp;"; "&amp;AG801&amp;"; "&amp;AH801&amp;"; "&amp;AI801&amp;"; "&amp;AJ801</f>
        <v/>
      </c>
    </row>
    <row r="802">
      <c r="A802" s="11" t="inlineStr">
        <is>
          <t>T0338-G11-FÍS</t>
        </is>
      </c>
      <c r="B802" s="11" t="n">
        <v>11</v>
      </c>
      <c r="C802" s="11" t="inlineStr">
        <is>
          <t>Física</t>
        </is>
      </c>
      <c r="D802" s="11" t="inlineStr">
        <is>
          <t>Matriz_Bachillerato_Fisica_10_11.xlsx</t>
        </is>
      </c>
      <c r="E802" s="11" t="inlineStr">
        <is>
          <t>Física 11.°</t>
        </is>
      </c>
      <c r="F802" s="11" t="n">
        <v>57</v>
      </c>
      <c r="G802" s="11" t="inlineStr">
        <is>
          <t>9. Circuitos eléctricos</t>
        </is>
      </c>
      <c r="H802" s="11" t="inlineStr">
        <is>
          <t>Condensadores en circuitos</t>
        </is>
      </c>
      <c r="I802" s="38" t="inlineStr">
        <is>
          <t>9.12. Medición de la carga y descarga de un condensador en un circuito RC alimentado con una pila de 9 V.</t>
        </is>
      </c>
      <c r="J802" s="11" t="inlineStr">
        <is>
          <t>TA</t>
        </is>
      </c>
      <c r="K802" s="11" t="inlineStr">
        <is>
          <t>TA-E1.3</t>
        </is>
      </c>
      <c r="L802" s="11" t="inlineStr"/>
      <c r="M802" s="11">
        <f>IF(K802="FUERA","Fuera del marco",IF(K802="N/A","Sin marco",IFERROR(INDEX('Datos - Catálogo TIMSS'!$C$5:$C$107,MATCH(K802,'Datos - Catálogo TIMSS'!$A$5:$A$107,0)),"Pendiente de clasificar")))</f>
        <v/>
      </c>
      <c r="N802" s="11">
        <f>IF(K802="FUERA","Fuera del marco",IF(K802="N/A","Sin marco",IFERROR(INDEX('Datos - Catálogo TIMSS'!$F$5:$F$107,MATCH(K802,'Datos - Catálogo TIMSS'!$A$5:$A$107,0)),"Pendiente de clasificar")))</f>
        <v/>
      </c>
      <c r="O802" s="11">
        <f>IF(L802="","",IFERROR(INDEX('Datos - Catálogo TIMSS'!$C$5:$C$107,MATCH(L802,'Datos - Catálogo TIMSS'!$A$5:$A$107,0)),"?"))</f>
        <v/>
      </c>
      <c r="P802" s="11" t="inlineStr">
        <is>
          <t>media</t>
        </is>
      </c>
      <c r="Q802" s="38" t="inlineStr">
        <is>
          <t>Circuito RC: carga y descarga; extensión de circuitos</t>
        </is>
      </c>
      <c r="R802" s="38" t="inlineStr">
        <is>
          <t>Aplicar: linealizar y ajustar datos. Razonar: comparar el valor experimental con el modelo</t>
        </is>
      </c>
      <c r="S802" s="39">
        <f>IFERROR(ISNUMBER(SEARCH("Conocer",$R802))/(ISNUMBER(SEARCH("Conocer",$R802))+ISNUMBER(SEARCH("Aplicar",$R802))+ISNUMBER(SEARCH("Razonar",$R802))),0)</f>
        <v/>
      </c>
      <c r="T802" s="39">
        <f>IFERROR(ISNUMBER(SEARCH("Aplicar",$R802))/(ISNUMBER(SEARCH("Conocer",$R802))+ISNUMBER(SEARCH("Aplicar",$R802))+ISNUMBER(SEARCH("Razonar",$R802))),0)</f>
        <v/>
      </c>
      <c r="U802" s="39">
        <f>IFERROR(ISNUMBER(SEARCH("Razonar",$R802))/(ISNUMBER(SEARCH("Conocer",$R802))+ISNUMBER(SEARCH("Aplicar",$R802))+ISNUMBER(SEARCH("Razonar",$R802))),0)</f>
        <v/>
      </c>
      <c r="V802" s="11" t="inlineStr">
        <is>
          <t>Física 11°</t>
        </is>
      </c>
      <c r="W802" s="11" t="inlineStr">
        <is>
          <t>Física 10°–11°</t>
        </is>
      </c>
      <c r="X802" s="11">
        <f>IF(OR(IFERROR(INDEX('Datos - Catálogo TIMSS'!$I$5:$I$107,MATCH(K802,'Datos - Catálogo TIMSS'!$A$5:$A$107,0)),"No")="Sí",IFERROR(INDEX('Datos - Catálogo TIMSS'!$I$5:$I$107,MATCH(L802,'Datos - Catálogo TIMSS'!$A$5:$A$107,0)),"No")="Sí"),1,0)</f>
        <v/>
      </c>
      <c r="Y802" s="11">
        <f>IF(IFERROR(INDEX('Datos - Catálogo TIMSS'!$J$5:$J$107,MATCH(K802,'Datos - Catálogo TIMSS'!$A$5:$A$107,0)),"No")="Sí",1,0)</f>
        <v/>
      </c>
      <c r="Z802" s="11">
        <f>IF(IFERROR(INDEX('Datos - Catálogo TIMSS'!$J$5:$J$107,MATCH(L802,'Datos - Catálogo TIMSS'!$A$5:$A$107,0)),"No")="Sí",1,0)</f>
        <v/>
      </c>
      <c r="AA802" s="11" t="inlineStr">
        <is>
          <t>TA-E1.3</t>
        </is>
      </c>
      <c r="AB802" s="11" t="inlineStr"/>
      <c r="AC802" s="11">
        <f>IF(AA802="FUERA","Fuera del marco",IF(AA802="N/A","Sin marco",IFERROR(INDEX('Datos - TIMSS 2023'!$C$5:$C$105,MATCH(AA802,'Datos - TIMSS 2023'!$A$5:$A$105,0)),"Pendiente de clasificar")))</f>
        <v/>
      </c>
      <c r="AD802" s="11" t="inlineStr">
        <is>
          <t>2. Construir y evaluar diseños para la indagación científica e interpretar datos y evidencia de forma crítica</t>
        </is>
      </c>
      <c r="AE802" s="11">
        <f>IF(AD802="","",IF(LEFT(AD802,1)="1","C1",IF(LEFT(AD802,1)="2","C2",IF(LEFT(AD802,1)="3","C3",""))))</f>
        <v/>
      </c>
      <c r="AF802" s="11" t="inlineStr">
        <is>
          <t>E1</t>
        </is>
      </c>
      <c r="AG802" s="11" t="inlineStr">
        <is>
          <t>D1</t>
        </is>
      </c>
      <c r="AH802" s="11" t="inlineStr">
        <is>
          <t>E2</t>
        </is>
      </c>
      <c r="AI802" s="11" t="inlineStr">
        <is>
          <t>D4</t>
        </is>
      </c>
      <c r="AJ802" s="11" t="inlineStr">
        <is>
          <t>E6</t>
        </is>
      </c>
      <c r="AK802" s="11" t="n"/>
      <c r="AL802" s="11" t="n"/>
      <c r="AM802" s="11" t="n"/>
      <c r="AN802" s="11" t="n"/>
      <c r="AO802" s="11" t="n"/>
      <c r="AP802" s="11" t="n"/>
      <c r="AQ802" s="11" t="n"/>
      <c r="AR802" s="11" t="n"/>
      <c r="AS802" s="11" t="n"/>
      <c r="AT802" s="11" t="n"/>
      <c r="AU802" s="11" t="n"/>
      <c r="AV802" s="11" t="n"/>
      <c r="AW802" s="11">
        <f>AF802&amp;"; "&amp;AG802&amp;"; "&amp;AH802&amp;"; "&amp;AI802&amp;"; "&amp;AJ802</f>
        <v/>
      </c>
    </row>
    <row r="803">
      <c r="A803" s="11" t="inlineStr">
        <is>
          <t>T0339-G11-FÍS</t>
        </is>
      </c>
      <c r="B803" s="11" t="n">
        <v>11</v>
      </c>
      <c r="C803" s="11" t="inlineStr">
        <is>
          <t>Física</t>
        </is>
      </c>
      <c r="D803" s="11" t="inlineStr">
        <is>
          <t>Matriz_Bachillerato_Fisica_10_11.xlsx</t>
        </is>
      </c>
      <c r="E803" s="11" t="inlineStr">
        <is>
          <t>Física 11.°</t>
        </is>
      </c>
      <c r="F803" s="11" t="n">
        <v>58</v>
      </c>
      <c r="G803" s="11" t="inlineStr">
        <is>
          <t>9. Circuitos eléctricos</t>
        </is>
      </c>
      <c r="H803" s="11" t="inlineStr">
        <is>
          <t>Seguridad eléctrica</t>
        </is>
      </c>
      <c r="I803" s="38" t="inlineStr">
        <is>
          <t>9.13. Análisis de los efectos fisiológicos de la corriente según su intensidad y de las medidas de protección en instalaciones eléctricas.</t>
        </is>
      </c>
      <c r="J803" s="11" t="inlineStr">
        <is>
          <t>TA</t>
        </is>
      </c>
      <c r="K803" s="11" t="inlineStr">
        <is>
          <t>TA-E1.3</t>
        </is>
      </c>
      <c r="L803" s="11" t="inlineStr"/>
      <c r="M803" s="11">
        <f>IF(K803="FUERA","Fuera del marco",IF(K803="N/A","Sin marco",IFERROR(INDEX('Datos - Catálogo TIMSS'!$C$5:$C$107,MATCH(K803,'Datos - Catálogo TIMSS'!$A$5:$A$107,0)),"Pendiente de clasificar")))</f>
        <v/>
      </c>
      <c r="N803" s="11">
        <f>IF(K803="FUERA","Fuera del marco",IF(K803="N/A","Sin marco",IFERROR(INDEX('Datos - Catálogo TIMSS'!$F$5:$F$107,MATCH(K803,'Datos - Catálogo TIMSS'!$A$5:$A$107,0)),"Pendiente de clasificar")))</f>
        <v/>
      </c>
      <c r="O803" s="11">
        <f>IF(L803="","",IFERROR(INDEX('Datos - Catálogo TIMSS'!$C$5:$C$107,MATCH(L803,'Datos - Catálogo TIMSS'!$A$5:$A$107,0)),"?"))</f>
        <v/>
      </c>
      <c r="P803" s="11" t="inlineStr">
        <is>
          <t>media</t>
        </is>
      </c>
      <c r="Q803" s="38" t="inlineStr">
        <is>
          <t>Ley de Ohm aplicada a seguridad eléctrica</t>
        </is>
      </c>
      <c r="R803" s="38" t="inlineStr">
        <is>
          <t>Conocer: describir efectos fisiológicos. Aplicar: estimar corrientes. Razonar: justificar medidas de seguridad</t>
        </is>
      </c>
      <c r="S803" s="39">
        <f>IFERROR(ISNUMBER(SEARCH("Conocer",$R803))/(ISNUMBER(SEARCH("Conocer",$R803))+ISNUMBER(SEARCH("Aplicar",$R803))+ISNUMBER(SEARCH("Razonar",$R803))),0)</f>
        <v/>
      </c>
      <c r="T803" s="39">
        <f>IFERROR(ISNUMBER(SEARCH("Aplicar",$R803))/(ISNUMBER(SEARCH("Conocer",$R803))+ISNUMBER(SEARCH("Aplicar",$R803))+ISNUMBER(SEARCH("Razonar",$R803))),0)</f>
        <v/>
      </c>
      <c r="U803" s="39">
        <f>IFERROR(ISNUMBER(SEARCH("Razonar",$R803))/(ISNUMBER(SEARCH("Conocer",$R803))+ISNUMBER(SEARCH("Aplicar",$R803))+ISNUMBER(SEARCH("Razonar",$R803))),0)</f>
        <v/>
      </c>
      <c r="V803" s="11" t="inlineStr">
        <is>
          <t>Física 11°</t>
        </is>
      </c>
      <c r="W803" s="11" t="inlineStr">
        <is>
          <t>Física 10°–11°</t>
        </is>
      </c>
      <c r="X803" s="11">
        <f>IF(OR(IFERROR(INDEX('Datos - Catálogo TIMSS'!$I$5:$I$107,MATCH(K803,'Datos - Catálogo TIMSS'!$A$5:$A$107,0)),"No")="Sí",IFERROR(INDEX('Datos - Catálogo TIMSS'!$I$5:$I$107,MATCH(L803,'Datos - Catálogo TIMSS'!$A$5:$A$107,0)),"No")="Sí"),1,0)</f>
        <v/>
      </c>
      <c r="Y803" s="11">
        <f>IF(IFERROR(INDEX('Datos - Catálogo TIMSS'!$J$5:$J$107,MATCH(K803,'Datos - Catálogo TIMSS'!$A$5:$A$107,0)),"No")="Sí",1,0)</f>
        <v/>
      </c>
      <c r="Z803" s="11">
        <f>IF(IFERROR(INDEX('Datos - Catálogo TIMSS'!$J$5:$J$107,MATCH(L803,'Datos - Catálogo TIMSS'!$A$5:$A$107,0)),"No")="Sí",1,0)</f>
        <v/>
      </c>
      <c r="AA803" s="11" t="inlineStr">
        <is>
          <t>TA-E1.3</t>
        </is>
      </c>
      <c r="AB803" s="11" t="inlineStr"/>
      <c r="AC803" s="11">
        <f>IF(AA803="FUERA","Fuera del marco",IF(AA803="N/A","Sin marco",IFERROR(INDEX('Datos - TIMSS 2023'!$C$5:$C$105,MATCH(AA803,'Datos - TIMSS 2023'!$A$5:$A$105,0)),"Pendiente de clasificar")))</f>
        <v/>
      </c>
      <c r="AD803" s="11" t="inlineStr">
        <is>
          <t>3. Investigar, evaluar y usar información científica para tomar decisiones y actuar</t>
        </is>
      </c>
      <c r="AE803" s="11">
        <f>IF(AD803="","",IF(LEFT(AD803,1)="1","C1",IF(LEFT(AD803,1)="2","C2",IF(LEFT(AD803,1)="3","C3",""))))</f>
        <v/>
      </c>
      <c r="AF803" s="11" t="inlineStr">
        <is>
          <t>E6</t>
        </is>
      </c>
      <c r="AG803" s="11" t="inlineStr">
        <is>
          <t>E3</t>
        </is>
      </c>
      <c r="AH803" s="11" t="inlineStr">
        <is>
          <t>E1</t>
        </is>
      </c>
      <c r="AI803" s="11" t="inlineStr">
        <is>
          <t>I3</t>
        </is>
      </c>
      <c r="AJ803" s="11" t="inlineStr">
        <is>
          <t>I5</t>
        </is>
      </c>
      <c r="AK803" s="11" t="n"/>
      <c r="AL803" s="11" t="n"/>
      <c r="AM803" s="11" t="n"/>
      <c r="AN803" s="11" t="n"/>
      <c r="AO803" s="11" t="n"/>
      <c r="AP803" s="11" t="n"/>
      <c r="AQ803" s="11" t="n"/>
      <c r="AR803" s="11" t="n"/>
      <c r="AS803" s="11" t="n"/>
      <c r="AT803" s="11" t="n"/>
      <c r="AU803" s="11" t="n"/>
      <c r="AV803" s="11" t="n"/>
      <c r="AW803" s="11">
        <f>AF803&amp;"; "&amp;AG803&amp;"; "&amp;AH803&amp;"; "&amp;AI803&amp;"; "&amp;AJ803</f>
        <v/>
      </c>
    </row>
    <row r="804">
      <c r="A804" s="11" t="inlineStr">
        <is>
          <t>T0340-G11-FÍS</t>
        </is>
      </c>
      <c r="B804" s="11" t="n">
        <v>11</v>
      </c>
      <c r="C804" s="11" t="inlineStr">
        <is>
          <t>Física</t>
        </is>
      </c>
      <c r="D804" s="11" t="inlineStr">
        <is>
          <t>Matriz_Bachillerato_Fisica_10_11.xlsx</t>
        </is>
      </c>
      <c r="E804" s="11" t="inlineStr">
        <is>
          <t>Física 11.°</t>
        </is>
      </c>
      <c r="F804" s="11" t="n">
        <v>59</v>
      </c>
      <c r="G804" s="11" t="inlineStr">
        <is>
          <t>10. Fuerzas magnéticas</t>
        </is>
      </c>
      <c r="H804" s="11" t="inlineStr">
        <is>
          <t>Fuerza magnética sobre cargas</t>
        </is>
      </c>
      <c r="I804" s="38" t="inlineStr">
        <is>
          <t>10.1. Cálculo de la magnitud y la dirección de la fuerza magnética sobre una carga en movimiento mediante el producto vectorial.</t>
        </is>
      </c>
      <c r="J804" s="11" t="inlineStr">
        <is>
          <t>TA</t>
        </is>
      </c>
      <c r="K804" s="11" t="inlineStr">
        <is>
          <t>TA-E2.1</t>
        </is>
      </c>
      <c r="L804" s="11" t="inlineStr"/>
      <c r="M804" s="11">
        <f>IF(K804="FUERA","Fuera del marco",IF(K804="N/A","Sin marco",IFERROR(INDEX('Datos - Catálogo TIMSS'!$C$5:$C$107,MATCH(K804,'Datos - Catálogo TIMSS'!$A$5:$A$107,0)),"Pendiente de clasificar")))</f>
        <v/>
      </c>
      <c r="N804" s="11">
        <f>IF(K804="FUERA","Fuera del marco",IF(K804="N/A","Sin marco",IFERROR(INDEX('Datos - Catálogo TIMSS'!$F$5:$F$107,MATCH(K804,'Datos - Catálogo TIMSS'!$A$5:$A$107,0)),"Pendiente de clasificar")))</f>
        <v/>
      </c>
      <c r="O804" s="11">
        <f>IF(L804="","",IFERROR(INDEX('Datos - Catálogo TIMSS'!$C$5:$C$107,MATCH(L804,'Datos - Catálogo TIMSS'!$A$5:$A$107,0)),"?"))</f>
        <v/>
      </c>
      <c r="P804" s="11" t="inlineStr">
        <is>
          <t>alta</t>
        </is>
      </c>
      <c r="Q804" s="38" t="inlineStr">
        <is>
          <t>Fuerza de Lorentz sobre cargas en movimiento</t>
        </is>
      </c>
      <c r="R804" s="38" t="inlineStr">
        <is>
          <t>Aplicar: calcular productos vectoriales. Razonar: justificar la dirección de la fuerza</t>
        </is>
      </c>
      <c r="S804" s="39">
        <f>IFERROR(ISNUMBER(SEARCH("Conocer",$R804))/(ISNUMBER(SEARCH("Conocer",$R804))+ISNUMBER(SEARCH("Aplicar",$R804))+ISNUMBER(SEARCH("Razonar",$R804))),0)</f>
        <v/>
      </c>
      <c r="T804" s="39">
        <f>IFERROR(ISNUMBER(SEARCH("Aplicar",$R804))/(ISNUMBER(SEARCH("Conocer",$R804))+ISNUMBER(SEARCH("Aplicar",$R804))+ISNUMBER(SEARCH("Razonar",$R804))),0)</f>
        <v/>
      </c>
      <c r="U804" s="39">
        <f>IFERROR(ISNUMBER(SEARCH("Razonar",$R804))/(ISNUMBER(SEARCH("Conocer",$R804))+ISNUMBER(SEARCH("Aplicar",$R804))+ISNUMBER(SEARCH("Razonar",$R804))),0)</f>
        <v/>
      </c>
      <c r="V804" s="11" t="inlineStr">
        <is>
          <t>Física 11°</t>
        </is>
      </c>
      <c r="W804" s="11" t="inlineStr">
        <is>
          <t>Física 10°–11°</t>
        </is>
      </c>
      <c r="X804" s="11">
        <f>IF(OR(IFERROR(INDEX('Datos - Catálogo TIMSS'!$I$5:$I$107,MATCH(K804,'Datos - Catálogo TIMSS'!$A$5:$A$107,0)),"No")="Sí",IFERROR(INDEX('Datos - Catálogo TIMSS'!$I$5:$I$107,MATCH(L804,'Datos - Catálogo TIMSS'!$A$5:$A$107,0)),"No")="Sí"),1,0)</f>
        <v/>
      </c>
      <c r="Y804" s="11">
        <f>IF(IFERROR(INDEX('Datos - Catálogo TIMSS'!$J$5:$J$107,MATCH(K804,'Datos - Catálogo TIMSS'!$A$5:$A$107,0)),"No")="Sí",1,0)</f>
        <v/>
      </c>
      <c r="Z804" s="11">
        <f>IF(IFERROR(INDEX('Datos - Catálogo TIMSS'!$J$5:$J$107,MATCH(L804,'Datos - Catálogo TIMSS'!$A$5:$A$107,0)),"No")="Sí",1,0)</f>
        <v/>
      </c>
      <c r="AA804" s="11" t="inlineStr">
        <is>
          <t>TA-E2.1</t>
        </is>
      </c>
      <c r="AB804" s="11" t="inlineStr"/>
      <c r="AC804" s="11">
        <f>IF(AA804="FUERA","Fuera del marco",IF(AA804="N/A","Sin marco",IFERROR(INDEX('Datos - TIMSS 2023'!$C$5:$C$105,MATCH(AA804,'Datos - TIMSS 2023'!$A$5:$A$105,0)),"Pendiente de clasificar")))</f>
        <v/>
      </c>
      <c r="AD804" s="11" t="inlineStr">
        <is>
          <t>1. Explicar fenómenos científicamente</t>
        </is>
      </c>
      <c r="AE804" s="11">
        <f>IF(AD804="","",IF(LEFT(AD804,1)="1","C1",IF(LEFT(AD804,1)="2","C2",IF(LEFT(AD804,1)="3","C3",""))))</f>
        <v/>
      </c>
      <c r="AF804" s="11" t="inlineStr">
        <is>
          <t>E6</t>
        </is>
      </c>
      <c r="AG804" s="11" t="inlineStr">
        <is>
          <t>D1</t>
        </is>
      </c>
      <c r="AH804" s="11" t="inlineStr">
        <is>
          <t>E2</t>
        </is>
      </c>
      <c r="AI804" s="11" t="inlineStr">
        <is>
          <t>E4</t>
        </is>
      </c>
      <c r="AJ804" s="11" t="inlineStr">
        <is>
          <t>E3</t>
        </is>
      </c>
      <c r="AK804" s="11" t="n"/>
      <c r="AL804" s="11" t="n"/>
      <c r="AM804" s="11" t="n"/>
      <c r="AN804" s="11" t="n"/>
      <c r="AO804" s="11" t="n"/>
      <c r="AP804" s="11" t="n"/>
      <c r="AQ804" s="11" t="n"/>
      <c r="AR804" s="11" t="n"/>
      <c r="AS804" s="11" t="n"/>
      <c r="AT804" s="11" t="n"/>
      <c r="AU804" s="11" t="n"/>
      <c r="AV804" s="11" t="n"/>
      <c r="AW804" s="11">
        <f>AF804&amp;"; "&amp;AG804&amp;"; "&amp;AH804&amp;"; "&amp;AI804&amp;"; "&amp;AJ804</f>
        <v/>
      </c>
    </row>
    <row r="805">
      <c r="A805" s="11" t="inlineStr">
        <is>
          <t>T0341-G11-FÍS</t>
        </is>
      </c>
      <c r="B805" s="11" t="n">
        <v>11</v>
      </c>
      <c r="C805" s="11" t="inlineStr">
        <is>
          <t>Física</t>
        </is>
      </c>
      <c r="D805" s="11" t="inlineStr">
        <is>
          <t>Matriz_Bachillerato_Fisica_10_11.xlsx</t>
        </is>
      </c>
      <c r="E805" s="11" t="inlineStr">
        <is>
          <t>Física 11.°</t>
        </is>
      </c>
      <c r="F805" s="11" t="n">
        <v>60</v>
      </c>
      <c r="G805" s="11" t="inlineStr">
        <is>
          <t>10. Fuerzas magnéticas</t>
        </is>
      </c>
      <c r="H805" s="11" t="inlineStr">
        <is>
          <t>Fuerza magnética sobre cargas</t>
        </is>
      </c>
      <c r="I805" s="38" t="inlineStr">
        <is>
          <t>10.2. Análisis del movimiento circular uniforme de una partícula cargada en un campo magnético uniforme.</t>
        </is>
      </c>
      <c r="J805" s="11" t="inlineStr">
        <is>
          <t>TA</t>
        </is>
      </c>
      <c r="K805" s="11" t="inlineStr">
        <is>
          <t>TA-E2.1</t>
        </is>
      </c>
      <c r="L805" s="11" t="inlineStr">
        <is>
          <t>TA-M1.3</t>
        </is>
      </c>
      <c r="M805" s="11">
        <f>IF(K805="FUERA","Fuera del marco",IF(K805="N/A","Sin marco",IFERROR(INDEX('Datos - Catálogo TIMSS'!$C$5:$C$107,MATCH(K805,'Datos - Catálogo TIMSS'!$A$5:$A$107,0)),"Pendiente de clasificar")))</f>
        <v/>
      </c>
      <c r="N805" s="11">
        <f>IF(K805="FUERA","Fuera del marco",IF(K805="N/A","Sin marco",IFERROR(INDEX('Datos - Catálogo TIMSS'!$F$5:$F$107,MATCH(K805,'Datos - Catálogo TIMSS'!$A$5:$A$107,0)),"Pendiente de clasificar")))</f>
        <v/>
      </c>
      <c r="O805" s="11">
        <f>IF(L805="","",IFERROR(INDEX('Datos - Catálogo TIMSS'!$C$5:$C$107,MATCH(L805,'Datos - Catálogo TIMSS'!$A$5:$A$107,0)),"?"))</f>
        <v/>
      </c>
      <c r="P805" s="11" t="inlineStr">
        <is>
          <t>alta</t>
        </is>
      </c>
      <c r="Q805" s="38" t="inlineStr">
        <is>
          <t>Trayectoria circular de cargas en campo magnético</t>
        </is>
      </c>
      <c r="R805" s="38" t="inlineStr">
        <is>
          <t>Aplicar: calcular radio y período. Razonar: comparar movimientos en campos eléctricos y magnéticos</t>
        </is>
      </c>
      <c r="S805" s="39">
        <f>IFERROR(ISNUMBER(SEARCH("Conocer",$R805))/(ISNUMBER(SEARCH("Conocer",$R805))+ISNUMBER(SEARCH("Aplicar",$R805))+ISNUMBER(SEARCH("Razonar",$R805))),0)</f>
        <v/>
      </c>
      <c r="T805" s="39">
        <f>IFERROR(ISNUMBER(SEARCH("Aplicar",$R805))/(ISNUMBER(SEARCH("Conocer",$R805))+ISNUMBER(SEARCH("Aplicar",$R805))+ISNUMBER(SEARCH("Razonar",$R805))),0)</f>
        <v/>
      </c>
      <c r="U805" s="39">
        <f>IFERROR(ISNUMBER(SEARCH("Razonar",$R805))/(ISNUMBER(SEARCH("Conocer",$R805))+ISNUMBER(SEARCH("Aplicar",$R805))+ISNUMBER(SEARCH("Razonar",$R805))),0)</f>
        <v/>
      </c>
      <c r="V805" s="11" t="inlineStr">
        <is>
          <t>Física 11°</t>
        </is>
      </c>
      <c r="W805" s="11" t="inlineStr">
        <is>
          <t>Física 10°–11°</t>
        </is>
      </c>
      <c r="X805" s="11">
        <f>IF(OR(IFERROR(INDEX('Datos - Catálogo TIMSS'!$I$5:$I$107,MATCH(K805,'Datos - Catálogo TIMSS'!$A$5:$A$107,0)),"No")="Sí",IFERROR(INDEX('Datos - Catálogo TIMSS'!$I$5:$I$107,MATCH(L805,'Datos - Catálogo TIMSS'!$A$5:$A$107,0)),"No")="Sí"),1,0)</f>
        <v/>
      </c>
      <c r="Y805" s="11">
        <f>IF(IFERROR(INDEX('Datos - Catálogo TIMSS'!$J$5:$J$107,MATCH(K805,'Datos - Catálogo TIMSS'!$A$5:$A$107,0)),"No")="Sí",1,0)</f>
        <v/>
      </c>
      <c r="Z805" s="11">
        <f>IF(IFERROR(INDEX('Datos - Catálogo TIMSS'!$J$5:$J$107,MATCH(L805,'Datos - Catálogo TIMSS'!$A$5:$A$107,0)),"No")="Sí",1,0)</f>
        <v/>
      </c>
      <c r="AA805" s="11" t="inlineStr">
        <is>
          <t>TA-E2.1</t>
        </is>
      </c>
      <c r="AB805" s="11" t="inlineStr">
        <is>
          <t>TA-M1.3</t>
        </is>
      </c>
      <c r="AC805" s="11">
        <f>IF(AA805="FUERA","Fuera del marco",IF(AA805="N/A","Sin marco",IFERROR(INDEX('Datos - TIMSS 2023'!$C$5:$C$105,MATCH(AA805,'Datos - TIMSS 2023'!$A$5:$A$105,0)),"Pendiente de clasificar")))</f>
        <v/>
      </c>
      <c r="AD805" s="11" t="inlineStr">
        <is>
          <t>1. Explicar fenómenos científicamente</t>
        </is>
      </c>
      <c r="AE805" s="11">
        <f>IF(AD805="","",IF(LEFT(AD805,1)="1","C1",IF(LEFT(AD805,1)="2","C2",IF(LEFT(AD805,1)="3","C3",""))))</f>
        <v/>
      </c>
      <c r="AF805" s="11" t="inlineStr">
        <is>
          <t>E1</t>
        </is>
      </c>
      <c r="AG805" s="11" t="inlineStr">
        <is>
          <t>E3</t>
        </is>
      </c>
      <c r="AH805" s="11" t="inlineStr">
        <is>
          <t>E4</t>
        </is>
      </c>
      <c r="AI805" s="11" t="inlineStr">
        <is>
          <t>D4</t>
        </is>
      </c>
      <c r="AJ805" s="11" t="inlineStr">
        <is>
          <t>E3</t>
        </is>
      </c>
      <c r="AK805" s="11" t="n"/>
      <c r="AL805" s="11" t="n"/>
      <c r="AM805" s="11" t="n"/>
      <c r="AN805" s="11" t="n"/>
      <c r="AO805" s="11" t="n"/>
      <c r="AP805" s="11" t="n"/>
      <c r="AQ805" s="11" t="n"/>
      <c r="AR805" s="11" t="n"/>
      <c r="AS805" s="11" t="n"/>
      <c r="AT805" s="11" t="n"/>
      <c r="AU805" s="11" t="n"/>
      <c r="AV805" s="11" t="n"/>
      <c r="AW805" s="11">
        <f>AF805&amp;"; "&amp;AG805&amp;"; "&amp;AH805&amp;"; "&amp;AI805&amp;"; "&amp;AJ805</f>
        <v/>
      </c>
    </row>
    <row r="806">
      <c r="A806" s="11" t="inlineStr">
        <is>
          <t>T0342-G11-FÍS</t>
        </is>
      </c>
      <c r="B806" s="11" t="n">
        <v>11</v>
      </c>
      <c r="C806" s="11" t="inlineStr">
        <is>
          <t>Física</t>
        </is>
      </c>
      <c r="D806" s="11" t="inlineStr">
        <is>
          <t>Matriz_Bachillerato_Fisica_10_11.xlsx</t>
        </is>
      </c>
      <c r="E806" s="11" t="inlineStr">
        <is>
          <t>Física 11.°</t>
        </is>
      </c>
      <c r="F806" s="11" t="n">
        <v>61</v>
      </c>
      <c r="G806" s="11" t="inlineStr">
        <is>
          <t>10. Fuerzas magnéticas</t>
        </is>
      </c>
      <c r="H806" s="11" t="inlineStr">
        <is>
          <t>Fuerza magnética sobre cargas</t>
        </is>
      </c>
      <c r="I806" s="38" t="inlineStr">
        <is>
          <t>10.3. Interpretación del funcionamiento del espectrómetro de masas y de sus aplicaciones en el análisis químico y ambiental.</t>
        </is>
      </c>
      <c r="J806" s="11" t="inlineStr">
        <is>
          <t>TA</t>
        </is>
      </c>
      <c r="K806" s="11" t="inlineStr">
        <is>
          <t>TA-E2.1</t>
        </is>
      </c>
      <c r="L806" s="11" t="inlineStr"/>
      <c r="M806" s="11">
        <f>IF(K806="FUERA","Fuera del marco",IF(K806="N/A","Sin marco",IFERROR(INDEX('Datos - Catálogo TIMSS'!$C$5:$C$107,MATCH(K806,'Datos - Catálogo TIMSS'!$A$5:$A$107,0)),"Pendiente de clasificar")))</f>
        <v/>
      </c>
      <c r="N806" s="11">
        <f>IF(K806="FUERA","Fuera del marco",IF(K806="N/A","Sin marco",IFERROR(INDEX('Datos - Catálogo TIMSS'!$F$5:$F$107,MATCH(K806,'Datos - Catálogo TIMSS'!$A$5:$A$107,0)),"Pendiente de clasificar")))</f>
        <v/>
      </c>
      <c r="O806" s="11">
        <f>IF(L806="","",IFERROR(INDEX('Datos - Catálogo TIMSS'!$C$5:$C$107,MATCH(L806,'Datos - Catálogo TIMSS'!$A$5:$A$107,0)),"?"))</f>
        <v/>
      </c>
      <c r="P806" s="11" t="inlineStr">
        <is>
          <t>alta</t>
        </is>
      </c>
      <c r="Q806" s="38" t="inlineStr">
        <is>
          <t>Espectrómetro de masas: trayectoria de iones en campo magnético</t>
        </is>
      </c>
      <c r="R806" s="38" t="inlineStr">
        <is>
          <t>Aplicar: calcular la relación masa-carga. Razonar: valorar aplicaciones científicas</t>
        </is>
      </c>
      <c r="S806" s="39">
        <f>IFERROR(ISNUMBER(SEARCH("Conocer",$R806))/(ISNUMBER(SEARCH("Conocer",$R806))+ISNUMBER(SEARCH("Aplicar",$R806))+ISNUMBER(SEARCH("Razonar",$R806))),0)</f>
        <v/>
      </c>
      <c r="T806" s="39">
        <f>IFERROR(ISNUMBER(SEARCH("Aplicar",$R806))/(ISNUMBER(SEARCH("Conocer",$R806))+ISNUMBER(SEARCH("Aplicar",$R806))+ISNUMBER(SEARCH("Razonar",$R806))),0)</f>
        <v/>
      </c>
      <c r="U806" s="39">
        <f>IFERROR(ISNUMBER(SEARCH("Razonar",$R806))/(ISNUMBER(SEARCH("Conocer",$R806))+ISNUMBER(SEARCH("Aplicar",$R806))+ISNUMBER(SEARCH("Razonar",$R806))),0)</f>
        <v/>
      </c>
      <c r="V806" s="11" t="inlineStr">
        <is>
          <t>Física 11°</t>
        </is>
      </c>
      <c r="W806" s="11" t="inlineStr">
        <is>
          <t>Física 10°–11°</t>
        </is>
      </c>
      <c r="X806" s="11">
        <f>IF(OR(IFERROR(INDEX('Datos - Catálogo TIMSS'!$I$5:$I$107,MATCH(K806,'Datos - Catálogo TIMSS'!$A$5:$A$107,0)),"No")="Sí",IFERROR(INDEX('Datos - Catálogo TIMSS'!$I$5:$I$107,MATCH(L806,'Datos - Catálogo TIMSS'!$A$5:$A$107,0)),"No")="Sí"),1,0)</f>
        <v/>
      </c>
      <c r="Y806" s="11">
        <f>IF(IFERROR(INDEX('Datos - Catálogo TIMSS'!$J$5:$J$107,MATCH(K806,'Datos - Catálogo TIMSS'!$A$5:$A$107,0)),"No")="Sí",1,0)</f>
        <v/>
      </c>
      <c r="Z806" s="11">
        <f>IF(IFERROR(INDEX('Datos - Catálogo TIMSS'!$J$5:$J$107,MATCH(L806,'Datos - Catálogo TIMSS'!$A$5:$A$107,0)),"No")="Sí",1,0)</f>
        <v/>
      </c>
      <c r="AA806" s="11" t="inlineStr">
        <is>
          <t>TA-E2.1</t>
        </is>
      </c>
      <c r="AB806" s="11" t="inlineStr"/>
      <c r="AC806" s="11">
        <f>IF(AA806="FUERA","Fuera del marco",IF(AA806="N/A","Sin marco",IFERROR(INDEX('Datos - TIMSS 2023'!$C$5:$C$105,MATCH(AA806,'Datos - TIMSS 2023'!$A$5:$A$105,0)),"Pendiente de clasificar")))</f>
        <v/>
      </c>
      <c r="AD806" s="11" t="inlineStr">
        <is>
          <t>3. Investigar, evaluar y usar información científica para tomar decisiones y actuar</t>
        </is>
      </c>
      <c r="AE806" s="11">
        <f>IF(AD806="","",IF(LEFT(AD806,1)="1","C1",IF(LEFT(AD806,1)="2","C2",IF(LEFT(AD806,1)="3","C3",""))))</f>
        <v/>
      </c>
      <c r="AF806" s="11" t="inlineStr">
        <is>
          <t>E6</t>
        </is>
      </c>
      <c r="AG806" s="11" t="inlineStr">
        <is>
          <t>E5</t>
        </is>
      </c>
      <c r="AH806" s="11" t="inlineStr">
        <is>
          <t>E1</t>
        </is>
      </c>
      <c r="AI806" s="11" t="inlineStr">
        <is>
          <t>I1</t>
        </is>
      </c>
      <c r="AJ806" s="11" t="inlineStr">
        <is>
          <t>I5</t>
        </is>
      </c>
      <c r="AK806" s="11" t="n"/>
      <c r="AL806" s="11" t="n"/>
      <c r="AM806" s="11" t="n"/>
      <c r="AN806" s="11" t="n"/>
      <c r="AO806" s="11" t="n"/>
      <c r="AP806" s="11" t="n"/>
      <c r="AQ806" s="11" t="n"/>
      <c r="AR806" s="11" t="n"/>
      <c r="AS806" s="11" t="n"/>
      <c r="AT806" s="11" t="n"/>
      <c r="AU806" s="11" t="n"/>
      <c r="AV806" s="11" t="n"/>
      <c r="AW806" s="11">
        <f>AF806&amp;"; "&amp;AG806&amp;"; "&amp;AH806&amp;"; "&amp;AI806&amp;"; "&amp;AJ806</f>
        <v/>
      </c>
    </row>
    <row r="807">
      <c r="A807" s="11" t="inlineStr">
        <is>
          <t>T0343-G11-FÍS</t>
        </is>
      </c>
      <c r="B807" s="11" t="n">
        <v>11</v>
      </c>
      <c r="C807" s="11" t="inlineStr">
        <is>
          <t>Física</t>
        </is>
      </c>
      <c r="D807" s="11" t="inlineStr">
        <is>
          <t>Matriz_Bachillerato_Fisica_10_11.xlsx</t>
        </is>
      </c>
      <c r="E807" s="11" t="inlineStr">
        <is>
          <t>Física 11.°</t>
        </is>
      </c>
      <c r="F807" s="11" t="n">
        <v>62</v>
      </c>
      <c r="G807" s="11" t="inlineStr">
        <is>
          <t>10. Fuerzas magnéticas</t>
        </is>
      </c>
      <c r="H807" s="11" t="inlineStr">
        <is>
          <t>Fuerza magnética sobre corrientes</t>
        </is>
      </c>
      <c r="I807" s="38" t="inlineStr">
        <is>
          <t>10.4. Medición de la fuerza magnética sobre un conductor con corriente suministrada por pilas en el campo de un imán.</t>
        </is>
      </c>
      <c r="J807" s="11" t="inlineStr">
        <is>
          <t>TA</t>
        </is>
      </c>
      <c r="K807" s="11" t="inlineStr">
        <is>
          <t>TA-E2.1</t>
        </is>
      </c>
      <c r="L807" s="11" t="inlineStr">
        <is>
          <t>TA-E2.2</t>
        </is>
      </c>
      <c r="M807" s="11">
        <f>IF(K807="FUERA","Fuera del marco",IF(K807="N/A","Sin marco",IFERROR(INDEX('Datos - Catálogo TIMSS'!$C$5:$C$107,MATCH(K807,'Datos - Catálogo TIMSS'!$A$5:$A$107,0)),"Pendiente de clasificar")))</f>
        <v/>
      </c>
      <c r="N807" s="11">
        <f>IF(K807="FUERA","Fuera del marco",IF(K807="N/A","Sin marco",IFERROR(INDEX('Datos - Catálogo TIMSS'!$F$5:$F$107,MATCH(K807,'Datos - Catálogo TIMSS'!$A$5:$A$107,0)),"Pendiente de clasificar")))</f>
        <v/>
      </c>
      <c r="O807" s="11">
        <f>IF(L807="","",IFERROR(INDEX('Datos - Catálogo TIMSS'!$C$5:$C$107,MATCH(L807,'Datos - Catálogo TIMSS'!$A$5:$A$107,0)),"?"))</f>
        <v/>
      </c>
      <c r="P807" s="11" t="inlineStr">
        <is>
          <t>media</t>
        </is>
      </c>
      <c r="Q807" s="38" t="inlineStr">
        <is>
          <t>Fuerza magnética sobre conductor con corriente; altavoz</t>
        </is>
      </c>
      <c r="R807" s="38" t="inlineStr">
        <is>
          <t>Aplicar: calcular y medir fuerzas sobre corrientes. Razonar: evaluar un diseño experimental</t>
        </is>
      </c>
      <c r="S807" s="39">
        <f>IFERROR(ISNUMBER(SEARCH("Conocer",$R807))/(ISNUMBER(SEARCH("Conocer",$R807))+ISNUMBER(SEARCH("Aplicar",$R807))+ISNUMBER(SEARCH("Razonar",$R807))),0)</f>
        <v/>
      </c>
      <c r="T807" s="39">
        <f>IFERROR(ISNUMBER(SEARCH("Aplicar",$R807))/(ISNUMBER(SEARCH("Conocer",$R807))+ISNUMBER(SEARCH("Aplicar",$R807))+ISNUMBER(SEARCH("Razonar",$R807))),0)</f>
        <v/>
      </c>
      <c r="U807" s="39">
        <f>IFERROR(ISNUMBER(SEARCH("Razonar",$R807))/(ISNUMBER(SEARCH("Conocer",$R807))+ISNUMBER(SEARCH("Aplicar",$R807))+ISNUMBER(SEARCH("Razonar",$R807))),0)</f>
        <v/>
      </c>
      <c r="V807" s="11" t="inlineStr">
        <is>
          <t>Física 11°</t>
        </is>
      </c>
      <c r="W807" s="11" t="inlineStr">
        <is>
          <t>Física 10°–11°</t>
        </is>
      </c>
      <c r="X807" s="11">
        <f>IF(OR(IFERROR(INDEX('Datos - Catálogo TIMSS'!$I$5:$I$107,MATCH(K807,'Datos - Catálogo TIMSS'!$A$5:$A$107,0)),"No")="Sí",IFERROR(INDEX('Datos - Catálogo TIMSS'!$I$5:$I$107,MATCH(L807,'Datos - Catálogo TIMSS'!$A$5:$A$107,0)),"No")="Sí"),1,0)</f>
        <v/>
      </c>
      <c r="Y807" s="11">
        <f>IF(IFERROR(INDEX('Datos - Catálogo TIMSS'!$J$5:$J$107,MATCH(K807,'Datos - Catálogo TIMSS'!$A$5:$A$107,0)),"No")="Sí",1,0)</f>
        <v/>
      </c>
      <c r="Z807" s="11">
        <f>IF(IFERROR(INDEX('Datos - Catálogo TIMSS'!$J$5:$J$107,MATCH(L807,'Datos - Catálogo TIMSS'!$A$5:$A$107,0)),"No")="Sí",1,0)</f>
        <v/>
      </c>
      <c r="AA807" s="11" t="inlineStr">
        <is>
          <t>TA-E2.1</t>
        </is>
      </c>
      <c r="AB807" s="11" t="inlineStr">
        <is>
          <t>TA-E2.2</t>
        </is>
      </c>
      <c r="AC807" s="11">
        <f>IF(AA807="FUERA","Fuera del marco",IF(AA807="N/A","Sin marco",IFERROR(INDEX('Datos - TIMSS 2023'!$C$5:$C$105,MATCH(AA807,'Datos - TIMSS 2023'!$A$5:$A$105,0)),"Pendiente de clasificar")))</f>
        <v/>
      </c>
      <c r="AD807" s="11" t="inlineStr">
        <is>
          <t>2. Construir y evaluar diseños para la indagación científica e interpretar datos y evidencia de forma crítica</t>
        </is>
      </c>
      <c r="AE807" s="11">
        <f>IF(AD807="","",IF(LEFT(AD807,1)="1","C1",IF(LEFT(AD807,1)="2","C2",IF(LEFT(AD807,1)="3","C3",""))))</f>
        <v/>
      </c>
      <c r="AF807" s="11" t="inlineStr">
        <is>
          <t>E1</t>
        </is>
      </c>
      <c r="AG807" s="11" t="inlineStr">
        <is>
          <t>E5</t>
        </is>
      </c>
      <c r="AH807" s="11" t="inlineStr">
        <is>
          <t>E1</t>
        </is>
      </c>
      <c r="AI807" s="11" t="inlineStr">
        <is>
          <t>D2</t>
        </is>
      </c>
      <c r="AJ807" s="11" t="inlineStr">
        <is>
          <t>D3</t>
        </is>
      </c>
      <c r="AK807" s="11" t="n"/>
      <c r="AL807" s="11" t="n"/>
      <c r="AM807" s="11" t="n"/>
      <c r="AN807" s="11" t="n"/>
      <c r="AO807" s="11" t="n"/>
      <c r="AP807" s="11" t="n"/>
      <c r="AQ807" s="11" t="n"/>
      <c r="AR807" s="11" t="n"/>
      <c r="AS807" s="11" t="n"/>
      <c r="AT807" s="11" t="n"/>
      <c r="AU807" s="11" t="n"/>
      <c r="AV807" s="11" t="n"/>
      <c r="AW807" s="11">
        <f>AF807&amp;"; "&amp;AG807&amp;"; "&amp;AH807&amp;"; "&amp;AI807&amp;"; "&amp;AJ807</f>
        <v/>
      </c>
    </row>
    <row r="808">
      <c r="A808" s="11" t="inlineStr">
        <is>
          <t>T0344-G11-FÍS</t>
        </is>
      </c>
      <c r="B808" s="11" t="n">
        <v>11</v>
      </c>
      <c r="C808" s="11" t="inlineStr">
        <is>
          <t>Física</t>
        </is>
      </c>
      <c r="D808" s="11" t="inlineStr">
        <is>
          <t>Matriz_Bachillerato_Fisica_10_11.xlsx</t>
        </is>
      </c>
      <c r="E808" s="11" t="inlineStr">
        <is>
          <t>Física 11.°</t>
        </is>
      </c>
      <c r="F808" s="11" t="n">
        <v>63</v>
      </c>
      <c r="G808" s="11" t="inlineStr">
        <is>
          <t>10. Fuerzas magnéticas</t>
        </is>
      </c>
      <c r="H808" s="11" t="inlineStr">
        <is>
          <t>Fuerza magnética sobre corrientes</t>
        </is>
      </c>
      <c r="I808" s="38" t="inlineStr">
        <is>
          <t>10.5. Cálculo del par de torsión sobre una bobina con corriente y análisis del funcionamiento de un motor de corriente continua.</t>
        </is>
      </c>
      <c r="J808" s="11" t="inlineStr">
        <is>
          <t>TA</t>
        </is>
      </c>
      <c r="K808" s="11" t="inlineStr">
        <is>
          <t>TA-E2.2</t>
        </is>
      </c>
      <c r="L808" s="11" t="inlineStr">
        <is>
          <t>TA-E2.1</t>
        </is>
      </c>
      <c r="M808" s="11">
        <f>IF(K808="FUERA","Fuera del marco",IF(K808="N/A","Sin marco",IFERROR(INDEX('Datos - Catálogo TIMSS'!$C$5:$C$107,MATCH(K808,'Datos - Catálogo TIMSS'!$A$5:$A$107,0)),"Pendiente de clasificar")))</f>
        <v/>
      </c>
      <c r="N808" s="11">
        <f>IF(K808="FUERA","Fuera del marco",IF(K808="N/A","Sin marco",IFERROR(INDEX('Datos - Catálogo TIMSS'!$F$5:$F$107,MATCH(K808,'Datos - Catálogo TIMSS'!$A$5:$A$107,0)),"Pendiente de clasificar")))</f>
        <v/>
      </c>
      <c r="O808" s="11">
        <f>IF(L808="","",IFERROR(INDEX('Datos - Catálogo TIMSS'!$C$5:$C$107,MATCH(L808,'Datos - Catálogo TIMSS'!$A$5:$A$107,0)),"?"))</f>
        <v/>
      </c>
      <c r="P808" s="11" t="inlineStr">
        <is>
          <t>media</t>
        </is>
      </c>
      <c r="Q808" s="38" t="inlineStr">
        <is>
          <t>Par sobre espira y motor de corriente continua</t>
        </is>
      </c>
      <c r="R808" s="38" t="inlineStr">
        <is>
          <t>Aplicar: calcular par de torsión. Razonar: explicar el funcionamiento del conmutador</t>
        </is>
      </c>
      <c r="S808" s="39">
        <f>IFERROR(ISNUMBER(SEARCH("Conocer",$R808))/(ISNUMBER(SEARCH("Conocer",$R808))+ISNUMBER(SEARCH("Aplicar",$R808))+ISNUMBER(SEARCH("Razonar",$R808))),0)</f>
        <v/>
      </c>
      <c r="T808" s="39">
        <f>IFERROR(ISNUMBER(SEARCH("Aplicar",$R808))/(ISNUMBER(SEARCH("Conocer",$R808))+ISNUMBER(SEARCH("Aplicar",$R808))+ISNUMBER(SEARCH("Razonar",$R808))),0)</f>
        <v/>
      </c>
      <c r="U808" s="39">
        <f>IFERROR(ISNUMBER(SEARCH("Razonar",$R808))/(ISNUMBER(SEARCH("Conocer",$R808))+ISNUMBER(SEARCH("Aplicar",$R808))+ISNUMBER(SEARCH("Razonar",$R808))),0)</f>
        <v/>
      </c>
      <c r="V808" s="11" t="inlineStr">
        <is>
          <t>Física 11°</t>
        </is>
      </c>
      <c r="W808" s="11" t="inlineStr">
        <is>
          <t>Física 10°–11°</t>
        </is>
      </c>
      <c r="X808" s="11">
        <f>IF(OR(IFERROR(INDEX('Datos - Catálogo TIMSS'!$I$5:$I$107,MATCH(K808,'Datos - Catálogo TIMSS'!$A$5:$A$107,0)),"No")="Sí",IFERROR(INDEX('Datos - Catálogo TIMSS'!$I$5:$I$107,MATCH(L808,'Datos - Catálogo TIMSS'!$A$5:$A$107,0)),"No")="Sí"),1,0)</f>
        <v/>
      </c>
      <c r="Y808" s="11">
        <f>IF(IFERROR(INDEX('Datos - Catálogo TIMSS'!$J$5:$J$107,MATCH(K808,'Datos - Catálogo TIMSS'!$A$5:$A$107,0)),"No")="Sí",1,0)</f>
        <v/>
      </c>
      <c r="Z808" s="11">
        <f>IF(IFERROR(INDEX('Datos - Catálogo TIMSS'!$J$5:$J$107,MATCH(L808,'Datos - Catálogo TIMSS'!$A$5:$A$107,0)),"No")="Sí",1,0)</f>
        <v/>
      </c>
      <c r="AA808" s="11" t="inlineStr">
        <is>
          <t>TA-E2.2</t>
        </is>
      </c>
      <c r="AB808" s="11" t="inlineStr">
        <is>
          <t>TA-E2.1</t>
        </is>
      </c>
      <c r="AC808" s="11">
        <f>IF(AA808="FUERA","Fuera del marco",IF(AA808="N/A","Sin marco",IFERROR(INDEX('Datos - TIMSS 2023'!$C$5:$C$105,MATCH(AA808,'Datos - TIMSS 2023'!$A$5:$A$105,0)),"Pendiente de clasificar")))</f>
        <v/>
      </c>
      <c r="AD808" s="11" t="inlineStr">
        <is>
          <t>1. Explicar fenómenos científicamente</t>
        </is>
      </c>
      <c r="AE808" s="11">
        <f>IF(AD808="","",IF(LEFT(AD808,1)="1","C1",IF(LEFT(AD808,1)="2","C2",IF(LEFT(AD808,1)="3","C3",""))))</f>
        <v/>
      </c>
      <c r="AF808" s="11" t="inlineStr">
        <is>
          <t>E1</t>
        </is>
      </c>
      <c r="AG808" s="11" t="inlineStr">
        <is>
          <t>D1</t>
        </is>
      </c>
      <c r="AH808" s="11" t="inlineStr">
        <is>
          <t>E2</t>
        </is>
      </c>
      <c r="AI808" s="11" t="inlineStr">
        <is>
          <t>D4</t>
        </is>
      </c>
      <c r="AJ808" s="11" t="inlineStr">
        <is>
          <t>E6</t>
        </is>
      </c>
      <c r="AK808" s="11" t="n"/>
      <c r="AL808" s="11" t="n"/>
      <c r="AM808" s="11" t="n"/>
      <c r="AN808" s="11" t="n"/>
      <c r="AO808" s="11" t="n"/>
      <c r="AP808" s="11" t="n"/>
      <c r="AQ808" s="11" t="n"/>
      <c r="AR808" s="11" t="n"/>
      <c r="AS808" s="11" t="n"/>
      <c r="AT808" s="11" t="n"/>
      <c r="AU808" s="11" t="n"/>
      <c r="AV808" s="11" t="n"/>
      <c r="AW808" s="11">
        <f>AF808&amp;"; "&amp;AG808&amp;"; "&amp;AH808&amp;"; "&amp;AI808&amp;"; "&amp;AJ808</f>
        <v/>
      </c>
    </row>
    <row r="809">
      <c r="A809" s="11" t="inlineStr">
        <is>
          <t>T0345-G11-FÍS</t>
        </is>
      </c>
      <c r="B809" s="11" t="n">
        <v>11</v>
      </c>
      <c r="C809" s="11" t="inlineStr">
        <is>
          <t>Física</t>
        </is>
      </c>
      <c r="D809" s="11" t="inlineStr">
        <is>
          <t>Matriz_Bachillerato_Fisica_10_11.xlsx</t>
        </is>
      </c>
      <c r="E809" s="11" t="inlineStr">
        <is>
          <t>Física 11.°</t>
        </is>
      </c>
      <c r="F809" s="11" t="n">
        <v>64</v>
      </c>
      <c r="G809" s="11" t="inlineStr">
        <is>
          <t>11. Campos magnéticos</t>
        </is>
      </c>
      <c r="H809" s="11" t="inlineStr">
        <is>
          <t>Campo magnético</t>
        </is>
      </c>
      <c r="I809" s="38" t="inlineStr">
        <is>
          <t>11.1. Representación de las líneas de campo magnético de imanes y del campo terrestre a partir de observaciones con brújulas y limaduras.</t>
        </is>
      </c>
      <c r="J809" s="11" t="inlineStr">
        <is>
          <t>TA</t>
        </is>
      </c>
      <c r="K809" s="11" t="inlineStr">
        <is>
          <t>TA-E2.2</t>
        </is>
      </c>
      <c r="L809" s="11" t="inlineStr"/>
      <c r="M809" s="11">
        <f>IF(K809="FUERA","Fuera del marco",IF(K809="N/A","Sin marco",IFERROR(INDEX('Datos - Catálogo TIMSS'!$C$5:$C$107,MATCH(K809,'Datos - Catálogo TIMSS'!$A$5:$A$107,0)),"Pendiente de clasificar")))</f>
        <v/>
      </c>
      <c r="N809" s="11">
        <f>IF(K809="FUERA","Fuera del marco",IF(K809="N/A","Sin marco",IFERROR(INDEX('Datos - Catálogo TIMSS'!$F$5:$F$107,MATCH(K809,'Datos - Catálogo TIMSS'!$A$5:$A$107,0)),"Pendiente de clasificar")))</f>
        <v/>
      </c>
      <c r="O809" s="11">
        <f>IF(L809="","",IFERROR(INDEX('Datos - Catálogo TIMSS'!$C$5:$C$107,MATCH(L809,'Datos - Catálogo TIMSS'!$A$5:$A$107,0)),"?"))</f>
        <v/>
      </c>
      <c r="P809" s="11" t="inlineStr">
        <is>
          <t>media</t>
        </is>
      </c>
      <c r="Q809" s="38" t="inlineStr">
        <is>
          <t>Imanes, líneas de campo magnético y campo terrestre</t>
        </is>
      </c>
      <c r="R809" s="38" t="inlineStr">
        <is>
          <t>Conocer: describir líneas de campo. Aplicar: representar campos. Razonar: interpretar la declinación</t>
        </is>
      </c>
      <c r="S809" s="39">
        <f>IFERROR(ISNUMBER(SEARCH("Conocer",$R809))/(ISNUMBER(SEARCH("Conocer",$R809))+ISNUMBER(SEARCH("Aplicar",$R809))+ISNUMBER(SEARCH("Razonar",$R809))),0)</f>
        <v/>
      </c>
      <c r="T809" s="39">
        <f>IFERROR(ISNUMBER(SEARCH("Aplicar",$R809))/(ISNUMBER(SEARCH("Conocer",$R809))+ISNUMBER(SEARCH("Aplicar",$R809))+ISNUMBER(SEARCH("Razonar",$R809))),0)</f>
        <v/>
      </c>
      <c r="U809" s="39">
        <f>IFERROR(ISNUMBER(SEARCH("Razonar",$R809))/(ISNUMBER(SEARCH("Conocer",$R809))+ISNUMBER(SEARCH("Aplicar",$R809))+ISNUMBER(SEARCH("Razonar",$R809))),0)</f>
        <v/>
      </c>
      <c r="V809" s="11" t="inlineStr">
        <is>
          <t>Física 11°</t>
        </is>
      </c>
      <c r="W809" s="11" t="inlineStr">
        <is>
          <t>Física 10°–11°</t>
        </is>
      </c>
      <c r="X809" s="11">
        <f>IF(OR(IFERROR(INDEX('Datos - Catálogo TIMSS'!$I$5:$I$107,MATCH(K809,'Datos - Catálogo TIMSS'!$A$5:$A$107,0)),"No")="Sí",IFERROR(INDEX('Datos - Catálogo TIMSS'!$I$5:$I$107,MATCH(L809,'Datos - Catálogo TIMSS'!$A$5:$A$107,0)),"No")="Sí"),1,0)</f>
        <v/>
      </c>
      <c r="Y809" s="11">
        <f>IF(IFERROR(INDEX('Datos - Catálogo TIMSS'!$J$5:$J$107,MATCH(K809,'Datos - Catálogo TIMSS'!$A$5:$A$107,0)),"No")="Sí",1,0)</f>
        <v/>
      </c>
      <c r="Z809" s="11">
        <f>IF(IFERROR(INDEX('Datos - Catálogo TIMSS'!$J$5:$J$107,MATCH(L809,'Datos - Catálogo TIMSS'!$A$5:$A$107,0)),"No")="Sí",1,0)</f>
        <v/>
      </c>
      <c r="AA809" s="11" t="inlineStr">
        <is>
          <t>TA-E2.2</t>
        </is>
      </c>
      <c r="AB809" s="11" t="inlineStr"/>
      <c r="AC809" s="11">
        <f>IF(AA809="FUERA","Fuera del marco",IF(AA809="N/A","Sin marco",IFERROR(INDEX('Datos - TIMSS 2023'!$C$5:$C$105,MATCH(AA809,'Datos - TIMSS 2023'!$A$5:$A$105,0)),"Pendiente de clasificar")))</f>
        <v/>
      </c>
      <c r="AD809" s="11" t="inlineStr">
        <is>
          <t>1. Explicar fenómenos científicamente</t>
        </is>
      </c>
      <c r="AE809" s="11">
        <f>IF(AD809="","",IF(LEFT(AD809,1)="1","C1",IF(LEFT(AD809,1)="2","C2",IF(LEFT(AD809,1)="3","C3",""))))</f>
        <v/>
      </c>
      <c r="AF809" s="11" t="inlineStr">
        <is>
          <t>E6</t>
        </is>
      </c>
      <c r="AG809" s="11" t="inlineStr">
        <is>
          <t>D1</t>
        </is>
      </c>
      <c r="AH809" s="11" t="inlineStr">
        <is>
          <t>E2</t>
        </is>
      </c>
      <c r="AI809" s="11" t="inlineStr">
        <is>
          <t>E4</t>
        </is>
      </c>
      <c r="AJ809" s="11" t="inlineStr">
        <is>
          <t>E3</t>
        </is>
      </c>
      <c r="AK809" s="11" t="n"/>
      <c r="AL809" s="11" t="n"/>
      <c r="AM809" s="11" t="n"/>
      <c r="AN809" s="11" t="n"/>
      <c r="AO809" s="11" t="n"/>
      <c r="AP809" s="11" t="n"/>
      <c r="AQ809" s="11" t="n"/>
      <c r="AR809" s="11" t="n"/>
      <c r="AS809" s="11" t="n"/>
      <c r="AT809" s="11" t="n"/>
      <c r="AU809" s="11" t="n"/>
      <c r="AV809" s="11" t="n"/>
      <c r="AW809" s="11">
        <f>AF809&amp;"; "&amp;AG809&amp;"; "&amp;AH809&amp;"; "&amp;AI809&amp;"; "&amp;AJ809</f>
        <v/>
      </c>
    </row>
    <row r="810">
      <c r="A810" s="11" t="inlineStr">
        <is>
          <t>T0346-G11-FÍS</t>
        </is>
      </c>
      <c r="B810" s="11" t="n">
        <v>11</v>
      </c>
      <c r="C810" s="11" t="inlineStr">
        <is>
          <t>Física</t>
        </is>
      </c>
      <c r="D810" s="11" t="inlineStr">
        <is>
          <t>Matriz_Bachillerato_Fisica_10_11.xlsx</t>
        </is>
      </c>
      <c r="E810" s="11" t="inlineStr">
        <is>
          <t>Física 11.°</t>
        </is>
      </c>
      <c r="F810" s="11" t="n">
        <v>65</v>
      </c>
      <c r="G810" s="11" t="inlineStr">
        <is>
          <t>11. Campos magnéticos</t>
        </is>
      </c>
      <c r="H810" s="11" t="inlineStr">
        <is>
          <t>Campo magnético</t>
        </is>
      </c>
      <c r="I810" s="38" t="inlineStr">
        <is>
          <t>11.2. Medición del campo magnético de un conductor rectilíneo y de una bobina con corriente de pilas usando el magnetómetro del teléfono.</t>
        </is>
      </c>
      <c r="J810" s="11" t="inlineStr">
        <is>
          <t>TA</t>
        </is>
      </c>
      <c r="K810" s="11" t="inlineStr">
        <is>
          <t>TA-E2.2</t>
        </is>
      </c>
      <c r="L810" s="11" t="inlineStr"/>
      <c r="M810" s="11">
        <f>IF(K810="FUERA","Fuera del marco",IF(K810="N/A","Sin marco",IFERROR(INDEX('Datos - Catálogo TIMSS'!$C$5:$C$107,MATCH(K810,'Datos - Catálogo TIMSS'!$A$5:$A$107,0)),"Pendiente de clasificar")))</f>
        <v/>
      </c>
      <c r="N810" s="11">
        <f>IF(K810="FUERA","Fuera del marco",IF(K810="N/A","Sin marco",IFERROR(INDEX('Datos - Catálogo TIMSS'!$F$5:$F$107,MATCH(K810,'Datos - Catálogo TIMSS'!$A$5:$A$107,0)),"Pendiente de clasificar")))</f>
        <v/>
      </c>
      <c r="O810" s="11">
        <f>IF(L810="","",IFERROR(INDEX('Datos - Catálogo TIMSS'!$C$5:$C$107,MATCH(L810,'Datos - Catálogo TIMSS'!$A$5:$A$107,0)),"?"))</f>
        <v/>
      </c>
      <c r="P810" s="11" t="inlineStr">
        <is>
          <t>alta</t>
        </is>
      </c>
      <c r="Q810" s="38" t="inlineStr">
        <is>
          <t>Oersted: campo magnético de una corriente</t>
        </is>
      </c>
      <c r="R810" s="38" t="inlineStr">
        <is>
          <t>Aplicar: calcular y medir campos magnéticos. Razonar: verificar una relación inversa con datos</t>
        </is>
      </c>
      <c r="S810" s="39">
        <f>IFERROR(ISNUMBER(SEARCH("Conocer",$R810))/(ISNUMBER(SEARCH("Conocer",$R810))+ISNUMBER(SEARCH("Aplicar",$R810))+ISNUMBER(SEARCH("Razonar",$R810))),0)</f>
        <v/>
      </c>
      <c r="T810" s="39">
        <f>IFERROR(ISNUMBER(SEARCH("Aplicar",$R810))/(ISNUMBER(SEARCH("Conocer",$R810))+ISNUMBER(SEARCH("Aplicar",$R810))+ISNUMBER(SEARCH("Razonar",$R810))),0)</f>
        <v/>
      </c>
      <c r="U810" s="39">
        <f>IFERROR(ISNUMBER(SEARCH("Razonar",$R810))/(ISNUMBER(SEARCH("Conocer",$R810))+ISNUMBER(SEARCH("Aplicar",$R810))+ISNUMBER(SEARCH("Razonar",$R810))),0)</f>
        <v/>
      </c>
      <c r="V810" s="11" t="inlineStr">
        <is>
          <t>Física 11°</t>
        </is>
      </c>
      <c r="W810" s="11" t="inlineStr">
        <is>
          <t>Física 10°–11°</t>
        </is>
      </c>
      <c r="X810" s="11">
        <f>IF(OR(IFERROR(INDEX('Datos - Catálogo TIMSS'!$I$5:$I$107,MATCH(K810,'Datos - Catálogo TIMSS'!$A$5:$A$107,0)),"No")="Sí",IFERROR(INDEX('Datos - Catálogo TIMSS'!$I$5:$I$107,MATCH(L810,'Datos - Catálogo TIMSS'!$A$5:$A$107,0)),"No")="Sí"),1,0)</f>
        <v/>
      </c>
      <c r="Y810" s="11">
        <f>IF(IFERROR(INDEX('Datos - Catálogo TIMSS'!$J$5:$J$107,MATCH(K810,'Datos - Catálogo TIMSS'!$A$5:$A$107,0)),"No")="Sí",1,0)</f>
        <v/>
      </c>
      <c r="Z810" s="11">
        <f>IF(IFERROR(INDEX('Datos - Catálogo TIMSS'!$J$5:$J$107,MATCH(L810,'Datos - Catálogo TIMSS'!$A$5:$A$107,0)),"No")="Sí",1,0)</f>
        <v/>
      </c>
      <c r="AA810" s="11" t="inlineStr">
        <is>
          <t>TA-E2.2</t>
        </is>
      </c>
      <c r="AB810" s="11" t="inlineStr"/>
      <c r="AC810" s="11">
        <f>IF(AA810="FUERA","Fuera del marco",IF(AA810="N/A","Sin marco",IFERROR(INDEX('Datos - TIMSS 2023'!$C$5:$C$105,MATCH(AA810,'Datos - TIMSS 2023'!$A$5:$A$105,0)),"Pendiente de clasificar")))</f>
        <v/>
      </c>
      <c r="AD810" s="11" t="inlineStr">
        <is>
          <t>2. Construir y evaluar diseños para la indagación científica e interpretar datos y evidencia de forma crítica</t>
        </is>
      </c>
      <c r="AE810" s="11">
        <f>IF(AD810="","",IF(LEFT(AD810,1)="1","C1",IF(LEFT(AD810,1)="2","C2",IF(LEFT(AD810,1)="3","C3",""))))</f>
        <v/>
      </c>
      <c r="AF810" s="11" t="inlineStr">
        <is>
          <t>E1</t>
        </is>
      </c>
      <c r="AG810" s="11" t="inlineStr">
        <is>
          <t>E5</t>
        </is>
      </c>
      <c r="AH810" s="11" t="inlineStr">
        <is>
          <t>E1</t>
        </is>
      </c>
      <c r="AI810" s="11" t="inlineStr">
        <is>
          <t>D4</t>
        </is>
      </c>
      <c r="AJ810" s="11" t="inlineStr">
        <is>
          <t>D3</t>
        </is>
      </c>
      <c r="AK810" s="11" t="n"/>
      <c r="AL810" s="11" t="n"/>
      <c r="AM810" s="11" t="n"/>
      <c r="AN810" s="11" t="n"/>
      <c r="AO810" s="11" t="n"/>
      <c r="AP810" s="11" t="n"/>
      <c r="AQ810" s="11" t="n"/>
      <c r="AR810" s="11" t="n"/>
      <c r="AS810" s="11" t="n"/>
      <c r="AT810" s="11" t="n"/>
      <c r="AU810" s="11" t="n"/>
      <c r="AV810" s="11" t="n"/>
      <c r="AW810" s="11">
        <f>AF810&amp;"; "&amp;AG810&amp;"; "&amp;AH810&amp;"; "&amp;AI810&amp;"; "&amp;AJ810</f>
        <v/>
      </c>
    </row>
    <row r="811">
      <c r="A811" s="11" t="inlineStr">
        <is>
          <t>T0347-G11-FÍS</t>
        </is>
      </c>
      <c r="B811" s="11" t="n">
        <v>11</v>
      </c>
      <c r="C811" s="11" t="inlineStr">
        <is>
          <t>Física</t>
        </is>
      </c>
      <c r="D811" s="11" t="inlineStr">
        <is>
          <t>Matriz_Bachillerato_Fisica_10_11.xlsx</t>
        </is>
      </c>
      <c r="E811" s="11" t="inlineStr">
        <is>
          <t>Física 11.°</t>
        </is>
      </c>
      <c r="F811" s="11" t="n">
        <v>66</v>
      </c>
      <c r="G811" s="11" t="inlineStr">
        <is>
          <t>11. Campos magnéticos</t>
        </is>
      </c>
      <c r="H811" s="11" t="inlineStr">
        <is>
          <t>Ley de Ampère</t>
        </is>
      </c>
      <c r="I811" s="38" t="inlineStr">
        <is>
          <t>11.3. Aplicación de la ley de Ampère para determinar el campo magnético de un conductor rectilíneo y de un solenoide.</t>
        </is>
      </c>
      <c r="J811" s="11" t="inlineStr">
        <is>
          <t>TA</t>
        </is>
      </c>
      <c r="K811" s="11" t="inlineStr">
        <is>
          <t>TA-E2.2</t>
        </is>
      </c>
      <c r="L811" s="11" t="inlineStr"/>
      <c r="M811" s="11">
        <f>IF(K811="FUERA","Fuera del marco",IF(K811="N/A","Sin marco",IFERROR(INDEX('Datos - Catálogo TIMSS'!$C$5:$C$107,MATCH(K811,'Datos - Catálogo TIMSS'!$A$5:$A$107,0)),"Pendiente de clasificar")))</f>
        <v/>
      </c>
      <c r="N811" s="11">
        <f>IF(K811="FUERA","Fuera del marco",IF(K811="N/A","Sin marco",IFERROR(INDEX('Datos - Catálogo TIMSS'!$F$5:$F$107,MATCH(K811,'Datos - Catálogo TIMSS'!$A$5:$A$107,0)),"Pendiente de clasificar")))</f>
        <v/>
      </c>
      <c r="O811" s="11">
        <f>IF(L811="","",IFERROR(INDEX('Datos - Catálogo TIMSS'!$C$5:$C$107,MATCH(L811,'Datos - Catálogo TIMSS'!$A$5:$A$107,0)),"?"))</f>
        <v/>
      </c>
      <c r="P811" s="11" t="inlineStr">
        <is>
          <t>alta</t>
        </is>
      </c>
      <c r="Q811" s="38" t="inlineStr">
        <is>
          <t>Ley de Ampère, solenoide y electroimán</t>
        </is>
      </c>
      <c r="R811" s="38" t="inlineStr">
        <is>
          <t>Aplicar: usar la ley de Ampère. Razonar: justificar la elección de la trayectoria cerrada</t>
        </is>
      </c>
      <c r="S811" s="39">
        <f>IFERROR(ISNUMBER(SEARCH("Conocer",$R811))/(ISNUMBER(SEARCH("Conocer",$R811))+ISNUMBER(SEARCH("Aplicar",$R811))+ISNUMBER(SEARCH("Razonar",$R811))),0)</f>
        <v/>
      </c>
      <c r="T811" s="39">
        <f>IFERROR(ISNUMBER(SEARCH("Aplicar",$R811))/(ISNUMBER(SEARCH("Conocer",$R811))+ISNUMBER(SEARCH("Aplicar",$R811))+ISNUMBER(SEARCH("Razonar",$R811))),0)</f>
        <v/>
      </c>
      <c r="U811" s="39">
        <f>IFERROR(ISNUMBER(SEARCH("Razonar",$R811))/(ISNUMBER(SEARCH("Conocer",$R811))+ISNUMBER(SEARCH("Aplicar",$R811))+ISNUMBER(SEARCH("Razonar",$R811))),0)</f>
        <v/>
      </c>
      <c r="V811" s="11" t="inlineStr">
        <is>
          <t>Física 11°</t>
        </is>
      </c>
      <c r="W811" s="11" t="inlineStr">
        <is>
          <t>Física 10°–11°</t>
        </is>
      </c>
      <c r="X811" s="11">
        <f>IF(OR(IFERROR(INDEX('Datos - Catálogo TIMSS'!$I$5:$I$107,MATCH(K811,'Datos - Catálogo TIMSS'!$A$5:$A$107,0)),"No")="Sí",IFERROR(INDEX('Datos - Catálogo TIMSS'!$I$5:$I$107,MATCH(L811,'Datos - Catálogo TIMSS'!$A$5:$A$107,0)),"No")="Sí"),1,0)</f>
        <v/>
      </c>
      <c r="Y811" s="11">
        <f>IF(IFERROR(INDEX('Datos - Catálogo TIMSS'!$J$5:$J$107,MATCH(K811,'Datos - Catálogo TIMSS'!$A$5:$A$107,0)),"No")="Sí",1,0)</f>
        <v/>
      </c>
      <c r="Z811" s="11">
        <f>IF(IFERROR(INDEX('Datos - Catálogo TIMSS'!$J$5:$J$107,MATCH(L811,'Datos - Catálogo TIMSS'!$A$5:$A$107,0)),"No")="Sí",1,0)</f>
        <v/>
      </c>
      <c r="AA811" s="11" t="inlineStr">
        <is>
          <t>TA-E2.2</t>
        </is>
      </c>
      <c r="AB811" s="11" t="inlineStr"/>
      <c r="AC811" s="11">
        <f>IF(AA811="FUERA","Fuera del marco",IF(AA811="N/A","Sin marco",IFERROR(INDEX('Datos - TIMSS 2023'!$C$5:$C$105,MATCH(AA811,'Datos - TIMSS 2023'!$A$5:$A$105,0)),"Pendiente de clasificar")))</f>
        <v/>
      </c>
      <c r="AD811" s="11" t="inlineStr">
        <is>
          <t>1. Explicar fenómenos científicamente</t>
        </is>
      </c>
      <c r="AE811" s="11">
        <f>IF(AD811="","",IF(LEFT(AD811,1)="1","C1",IF(LEFT(AD811,1)="2","C2",IF(LEFT(AD811,1)="3","C3",""))))</f>
        <v/>
      </c>
      <c r="AF811" s="11" t="inlineStr">
        <is>
          <t>E1</t>
        </is>
      </c>
      <c r="AG811" s="11" t="inlineStr">
        <is>
          <t>E3</t>
        </is>
      </c>
      <c r="AH811" s="11" t="inlineStr">
        <is>
          <t>E4</t>
        </is>
      </c>
      <c r="AI811" s="11" t="inlineStr">
        <is>
          <t>D4</t>
        </is>
      </c>
      <c r="AJ811" s="11" t="inlineStr">
        <is>
          <t>I4</t>
        </is>
      </c>
      <c r="AK811" s="11" t="n"/>
      <c r="AL811" s="11" t="n"/>
      <c r="AM811" s="11" t="n"/>
      <c r="AN811" s="11" t="n"/>
      <c r="AO811" s="11" t="n"/>
      <c r="AP811" s="11" t="n"/>
      <c r="AQ811" s="11" t="n"/>
      <c r="AR811" s="11" t="n"/>
      <c r="AS811" s="11" t="n"/>
      <c r="AT811" s="11" t="n"/>
      <c r="AU811" s="11" t="n"/>
      <c r="AV811" s="11" t="n"/>
      <c r="AW811" s="11">
        <f>AF811&amp;"; "&amp;AG811&amp;"; "&amp;AH811&amp;"; "&amp;AI811&amp;"; "&amp;AJ811</f>
        <v/>
      </c>
    </row>
    <row r="812">
      <c r="A812" s="11" t="inlineStr">
        <is>
          <t>T0348-G11-FÍS</t>
        </is>
      </c>
      <c r="B812" s="11" t="n">
        <v>11</v>
      </c>
      <c r="C812" s="11" t="inlineStr">
        <is>
          <t>Física</t>
        </is>
      </c>
      <c r="D812" s="11" t="inlineStr">
        <is>
          <t>Matriz_Bachillerato_Fisica_10_11.xlsx</t>
        </is>
      </c>
      <c r="E812" s="11" t="inlineStr">
        <is>
          <t>Física 11.°</t>
        </is>
      </c>
      <c r="F812" s="11" t="n">
        <v>67</v>
      </c>
      <c r="G812" s="11" t="inlineStr">
        <is>
          <t>11. Campos magnéticos</t>
        </is>
      </c>
      <c r="H812" s="11" t="inlineStr">
        <is>
          <t>Materiales magnéticos</t>
        </is>
      </c>
      <c r="I812" s="38" t="inlineStr">
        <is>
          <t>11.4. Clasificación de materiales según su respuesta magnética y análisis de sus aplicaciones tecnológicas.</t>
        </is>
      </c>
      <c r="J812" s="11" t="inlineStr">
        <is>
          <t>TA</t>
        </is>
      </c>
      <c r="K812" s="11" t="inlineStr">
        <is>
          <t>TA-E2.2</t>
        </is>
      </c>
      <c r="L812" s="11" t="inlineStr"/>
      <c r="M812" s="11">
        <f>IF(K812="FUERA","Fuera del marco",IF(K812="N/A","Sin marco",IFERROR(INDEX('Datos - Catálogo TIMSS'!$C$5:$C$107,MATCH(K812,'Datos - Catálogo TIMSS'!$A$5:$A$107,0)),"Pendiente de clasificar")))</f>
        <v/>
      </c>
      <c r="N812" s="11">
        <f>IF(K812="FUERA","Fuera del marco",IF(K812="N/A","Sin marco",IFERROR(INDEX('Datos - Catálogo TIMSS'!$F$5:$F$107,MATCH(K812,'Datos - Catálogo TIMSS'!$A$5:$A$107,0)),"Pendiente de clasificar")))</f>
        <v/>
      </c>
      <c r="O812" s="11">
        <f>IF(L812="","",IFERROR(INDEX('Datos - Catálogo TIMSS'!$C$5:$C$107,MATCH(L812,'Datos - Catálogo TIMSS'!$A$5:$A$107,0)),"?"))</f>
        <v/>
      </c>
      <c r="P812" s="11" t="inlineStr">
        <is>
          <t>baja</t>
        </is>
      </c>
      <c r="Q812" s="38" t="inlineStr">
        <is>
          <t>Materiales magnéticos; relación periférica con electroimanes</t>
        </is>
      </c>
      <c r="R812" s="38" t="inlineStr">
        <is>
          <t>Conocer: clasificar materiales. Aplicar: explicar aplicaciones. Razonar: justificar la recuperación de materiales</t>
        </is>
      </c>
      <c r="S812" s="39">
        <f>IFERROR(ISNUMBER(SEARCH("Conocer",$R812))/(ISNUMBER(SEARCH("Conocer",$R812))+ISNUMBER(SEARCH("Aplicar",$R812))+ISNUMBER(SEARCH("Razonar",$R812))),0)</f>
        <v/>
      </c>
      <c r="T812" s="39">
        <f>IFERROR(ISNUMBER(SEARCH("Aplicar",$R812))/(ISNUMBER(SEARCH("Conocer",$R812))+ISNUMBER(SEARCH("Aplicar",$R812))+ISNUMBER(SEARCH("Razonar",$R812))),0)</f>
        <v/>
      </c>
      <c r="U812" s="39">
        <f>IFERROR(ISNUMBER(SEARCH("Razonar",$R812))/(ISNUMBER(SEARCH("Conocer",$R812))+ISNUMBER(SEARCH("Aplicar",$R812))+ISNUMBER(SEARCH("Razonar",$R812))),0)</f>
        <v/>
      </c>
      <c r="V812" s="11" t="inlineStr">
        <is>
          <t>Física 11°</t>
        </is>
      </c>
      <c r="W812" s="11" t="inlineStr">
        <is>
          <t>Física 10°–11°</t>
        </is>
      </c>
      <c r="X812" s="11">
        <f>IF(OR(IFERROR(INDEX('Datos - Catálogo TIMSS'!$I$5:$I$107,MATCH(K812,'Datos - Catálogo TIMSS'!$A$5:$A$107,0)),"No")="Sí",IFERROR(INDEX('Datos - Catálogo TIMSS'!$I$5:$I$107,MATCH(L812,'Datos - Catálogo TIMSS'!$A$5:$A$107,0)),"No")="Sí"),1,0)</f>
        <v/>
      </c>
      <c r="Y812" s="11">
        <f>IF(IFERROR(INDEX('Datos - Catálogo TIMSS'!$J$5:$J$107,MATCH(K812,'Datos - Catálogo TIMSS'!$A$5:$A$107,0)),"No")="Sí",1,0)</f>
        <v/>
      </c>
      <c r="Z812" s="11">
        <f>IF(IFERROR(INDEX('Datos - Catálogo TIMSS'!$J$5:$J$107,MATCH(L812,'Datos - Catálogo TIMSS'!$A$5:$A$107,0)),"No")="Sí",1,0)</f>
        <v/>
      </c>
      <c r="AA812" s="11" t="inlineStr">
        <is>
          <t>TA-E2.2</t>
        </is>
      </c>
      <c r="AB812" s="11" t="inlineStr"/>
      <c r="AC812" s="11">
        <f>IF(AA812="FUERA","Fuera del marco",IF(AA812="N/A","Sin marco",IFERROR(INDEX('Datos - TIMSS 2023'!$C$5:$C$105,MATCH(AA812,'Datos - TIMSS 2023'!$A$5:$A$105,0)),"Pendiente de clasificar")))</f>
        <v/>
      </c>
      <c r="AD812" s="11" t="inlineStr">
        <is>
          <t>3. Investigar, evaluar y usar información científica para tomar decisiones y actuar</t>
        </is>
      </c>
      <c r="AE812" s="11">
        <f>IF(AD812="","",IF(LEFT(AD812,1)="1","C1",IF(LEFT(AD812,1)="2","C2",IF(LEFT(AD812,1)="3","C3",""))))</f>
        <v/>
      </c>
      <c r="AF812" s="11" t="inlineStr">
        <is>
          <t>E1</t>
        </is>
      </c>
      <c r="AG812" s="11" t="inlineStr">
        <is>
          <t>E5</t>
        </is>
      </c>
      <c r="AH812" s="11" t="inlineStr">
        <is>
          <t>E4</t>
        </is>
      </c>
      <c r="AI812" s="11" t="inlineStr">
        <is>
          <t>I1</t>
        </is>
      </c>
      <c r="AJ812" s="11" t="inlineStr">
        <is>
          <t>I5</t>
        </is>
      </c>
      <c r="AK812" s="11" t="n"/>
      <c r="AL812" s="11" t="n"/>
      <c r="AM812" s="11" t="n"/>
      <c r="AN812" s="11" t="n"/>
      <c r="AO812" s="11" t="n"/>
      <c r="AP812" s="11" t="n"/>
      <c r="AQ812" s="11" t="n"/>
      <c r="AR812" s="11" t="n"/>
      <c r="AS812" s="11" t="n"/>
      <c r="AT812" s="11" t="n"/>
      <c r="AU812" s="11" t="n"/>
      <c r="AV812" s="11" t="n"/>
      <c r="AW812" s="11">
        <f>AF812&amp;"; "&amp;AG812&amp;"; "&amp;AH812&amp;"; "&amp;AI812&amp;"; "&amp;AJ812</f>
        <v/>
      </c>
    </row>
    <row r="813">
      <c r="A813" s="11" t="inlineStr">
        <is>
          <t>T0349-G11-FÍS</t>
        </is>
      </c>
      <c r="B813" s="11" t="n">
        <v>11</v>
      </c>
      <c r="C813" s="11" t="inlineStr">
        <is>
          <t>Física</t>
        </is>
      </c>
      <c r="D813" s="11" t="inlineStr">
        <is>
          <t>Matriz_Bachillerato_Fisica_10_11.xlsx</t>
        </is>
      </c>
      <c r="E813" s="11" t="inlineStr">
        <is>
          <t>Física 11.°</t>
        </is>
      </c>
      <c r="F813" s="11" t="n">
        <v>68</v>
      </c>
      <c r="G813" s="11" t="inlineStr">
        <is>
          <t>12. Electromagnetismo</t>
        </is>
      </c>
      <c r="H813" s="11" t="inlineStr">
        <is>
          <t>Introducción a las ecuaciones de Maxwell</t>
        </is>
      </c>
      <c r="I813" s="38" t="inlineStr">
        <is>
          <t>12.1. Demostración práctica del voltaje inducido.</t>
        </is>
      </c>
      <c r="J813" s="11" t="inlineStr">
        <is>
          <t>TA</t>
        </is>
      </c>
      <c r="K813" s="11" t="inlineStr">
        <is>
          <t>TA-E2.3</t>
        </is>
      </c>
      <c r="L813" s="11" t="inlineStr"/>
      <c r="M813" s="11">
        <f>IF(K813="FUERA","Fuera del marco",IF(K813="N/A","Sin marco",IFERROR(INDEX('Datos - Catálogo TIMSS'!$C$5:$C$107,MATCH(K813,'Datos - Catálogo TIMSS'!$A$5:$A$107,0)),"Pendiente de clasificar")))</f>
        <v/>
      </c>
      <c r="N813" s="11">
        <f>IF(K813="FUERA","Fuera del marco",IF(K813="N/A","Sin marco",IFERROR(INDEX('Datos - Catálogo TIMSS'!$F$5:$F$107,MATCH(K813,'Datos - Catálogo TIMSS'!$A$5:$A$107,0)),"Pendiente de clasificar")))</f>
        <v/>
      </c>
      <c r="O813" s="11">
        <f>IF(L813="","",IFERROR(INDEX('Datos - Catálogo TIMSS'!$C$5:$C$107,MATCH(L813,'Datos - Catálogo TIMSS'!$A$5:$A$107,0)),"?"))</f>
        <v/>
      </c>
      <c r="P813" s="11" t="inlineStr">
        <is>
          <t>alta</t>
        </is>
      </c>
      <c r="Q813" s="38" t="inlineStr">
        <is>
          <t>Inducción de voltaje</t>
        </is>
      </c>
      <c r="R813" s="38" t="inlineStr">
        <is>
          <t>Aplicar: calcular flujo y fem inducida. Razonar: explicar el signo del voltaje con la ley de Lenz</t>
        </is>
      </c>
      <c r="S813" s="39">
        <f>IFERROR(ISNUMBER(SEARCH("Conocer",$R813))/(ISNUMBER(SEARCH("Conocer",$R813))+ISNUMBER(SEARCH("Aplicar",$R813))+ISNUMBER(SEARCH("Razonar",$R813))),0)</f>
        <v/>
      </c>
      <c r="T813" s="39">
        <f>IFERROR(ISNUMBER(SEARCH("Aplicar",$R813))/(ISNUMBER(SEARCH("Conocer",$R813))+ISNUMBER(SEARCH("Aplicar",$R813))+ISNUMBER(SEARCH("Razonar",$R813))),0)</f>
        <v/>
      </c>
      <c r="U813" s="39">
        <f>IFERROR(ISNUMBER(SEARCH("Razonar",$R813))/(ISNUMBER(SEARCH("Conocer",$R813))+ISNUMBER(SEARCH("Aplicar",$R813))+ISNUMBER(SEARCH("Razonar",$R813))),0)</f>
        <v/>
      </c>
      <c r="V813" s="11" t="inlineStr">
        <is>
          <t>Física 11°</t>
        </is>
      </c>
      <c r="W813" s="11" t="inlineStr">
        <is>
          <t>Física 10°–11°</t>
        </is>
      </c>
      <c r="X813" s="11">
        <f>IF(OR(IFERROR(INDEX('Datos - Catálogo TIMSS'!$I$5:$I$107,MATCH(K813,'Datos - Catálogo TIMSS'!$A$5:$A$107,0)),"No")="Sí",IFERROR(INDEX('Datos - Catálogo TIMSS'!$I$5:$I$107,MATCH(L813,'Datos - Catálogo TIMSS'!$A$5:$A$107,0)),"No")="Sí"),1,0)</f>
        <v/>
      </c>
      <c r="Y813" s="11">
        <f>IF(IFERROR(INDEX('Datos - Catálogo TIMSS'!$J$5:$J$107,MATCH(K813,'Datos - Catálogo TIMSS'!$A$5:$A$107,0)),"No")="Sí",1,0)</f>
        <v/>
      </c>
      <c r="Z813" s="11">
        <f>IF(IFERROR(INDEX('Datos - Catálogo TIMSS'!$J$5:$J$107,MATCH(L813,'Datos - Catálogo TIMSS'!$A$5:$A$107,0)),"No")="Sí",1,0)</f>
        <v/>
      </c>
      <c r="AA813" s="11" t="inlineStr">
        <is>
          <t>TA-E2.3</t>
        </is>
      </c>
      <c r="AB813" s="11" t="inlineStr"/>
      <c r="AC813" s="11">
        <f>IF(AA813="FUERA","Fuera del marco",IF(AA813="N/A","Sin marco",IFERROR(INDEX('Datos - TIMSS 2023'!$C$5:$C$105,MATCH(AA813,'Datos - TIMSS 2023'!$A$5:$A$105,0)),"Pendiente de clasificar")))</f>
        <v/>
      </c>
      <c r="AD813" s="11" t="inlineStr">
        <is>
          <t>1. Explicar fenómenos científicamente</t>
        </is>
      </c>
      <c r="AE813" s="11">
        <f>IF(AD813="","",IF(LEFT(AD813,1)="1","C1",IF(LEFT(AD813,1)="2","C2",IF(LEFT(AD813,1)="3","C3",""))))</f>
        <v/>
      </c>
      <c r="AF813" s="11" t="inlineStr">
        <is>
          <t>E1</t>
        </is>
      </c>
      <c r="AG813" s="11" t="inlineStr">
        <is>
          <t>D1</t>
        </is>
      </c>
      <c r="AH813" s="11" t="inlineStr">
        <is>
          <t>E4</t>
        </is>
      </c>
      <c r="AI813" s="11" t="inlineStr">
        <is>
          <t>D4</t>
        </is>
      </c>
      <c r="AJ813" s="11" t="inlineStr">
        <is>
          <t>E6</t>
        </is>
      </c>
      <c r="AK813" s="11" t="n"/>
      <c r="AL813" s="11" t="n"/>
      <c r="AM813" s="11" t="n"/>
      <c r="AN813" s="11" t="n"/>
      <c r="AO813" s="11" t="n"/>
      <c r="AP813" s="11" t="n"/>
      <c r="AQ813" s="11" t="n"/>
      <c r="AR813" s="11" t="n"/>
      <c r="AS813" s="11" t="n"/>
      <c r="AT813" s="11" t="n"/>
      <c r="AU813" s="11" t="n"/>
      <c r="AV813" s="11" t="n"/>
      <c r="AW813" s="11">
        <f>AF813&amp;"; "&amp;AG813&amp;"; "&amp;AH813&amp;"; "&amp;AI813&amp;"; "&amp;AJ813</f>
        <v/>
      </c>
    </row>
    <row r="814">
      <c r="A814" s="11" t="inlineStr">
        <is>
          <t>T0350-G11-FÍS</t>
        </is>
      </c>
      <c r="B814" s="11" t="n">
        <v>11</v>
      </c>
      <c r="C814" s="11" t="inlineStr">
        <is>
          <t>Física</t>
        </is>
      </c>
      <c r="D814" s="11" t="inlineStr">
        <is>
          <t>Matriz_Bachillerato_Fisica_10_11.xlsx</t>
        </is>
      </c>
      <c r="E814" s="11" t="inlineStr">
        <is>
          <t>Física 11.°</t>
        </is>
      </c>
      <c r="F814" s="11" t="n">
        <v>69</v>
      </c>
      <c r="G814" s="11" t="inlineStr">
        <is>
          <t>12. Electromagnetismo</t>
        </is>
      </c>
      <c r="H814" s="11" t="inlineStr">
        <is>
          <t>Introducción a las ecuaciones de Maxwell</t>
        </is>
      </c>
      <c r="I814" s="38" t="inlineStr">
        <is>
          <t>12.2. Comprobación experimental de las ecuaciones de Maxwell.</t>
        </is>
      </c>
      <c r="J814" s="11" t="inlineStr">
        <is>
          <t>TA</t>
        </is>
      </c>
      <c r="K814" s="11" t="inlineStr">
        <is>
          <t>TA-E2.3</t>
        </is>
      </c>
      <c r="L814" s="11" t="inlineStr">
        <is>
          <t>TA-E2.2</t>
        </is>
      </c>
      <c r="M814" s="11">
        <f>IF(K814="FUERA","Fuera del marco",IF(K814="N/A","Sin marco",IFERROR(INDEX('Datos - Catálogo TIMSS'!$C$5:$C$107,MATCH(K814,'Datos - Catálogo TIMSS'!$A$5:$A$107,0)),"Pendiente de clasificar")))</f>
        <v/>
      </c>
      <c r="N814" s="11">
        <f>IF(K814="FUERA","Fuera del marco",IF(K814="N/A","Sin marco",IFERROR(INDEX('Datos - Catálogo TIMSS'!$F$5:$F$107,MATCH(K814,'Datos - Catálogo TIMSS'!$A$5:$A$107,0)),"Pendiente de clasificar")))</f>
        <v/>
      </c>
      <c r="O814" s="11">
        <f>IF(L814="","",IFERROR(INDEX('Datos - Catálogo TIMSS'!$C$5:$C$107,MATCH(L814,'Datos - Catálogo TIMSS'!$A$5:$A$107,0)),"?"))</f>
        <v/>
      </c>
      <c r="P814" s="11" t="inlineStr">
        <is>
          <t>media</t>
        </is>
      </c>
      <c r="Q814" s="38" t="inlineStr">
        <is>
          <t>Generadores y motores; relación electricidad-magnetismo</t>
        </is>
      </c>
      <c r="R814" s="38" t="inlineStr">
        <is>
          <t>Conocer: enunciar las ecuaciones de Maxwell. Razonar: vincular cada ecuación con evidencia experimental</t>
        </is>
      </c>
      <c r="S814" s="39">
        <f>IFERROR(ISNUMBER(SEARCH("Conocer",$R814))/(ISNUMBER(SEARCH("Conocer",$R814))+ISNUMBER(SEARCH("Aplicar",$R814))+ISNUMBER(SEARCH("Razonar",$R814))),0)</f>
        <v/>
      </c>
      <c r="T814" s="39">
        <f>IFERROR(ISNUMBER(SEARCH("Aplicar",$R814))/(ISNUMBER(SEARCH("Conocer",$R814))+ISNUMBER(SEARCH("Aplicar",$R814))+ISNUMBER(SEARCH("Razonar",$R814))),0)</f>
        <v/>
      </c>
      <c r="U814" s="39">
        <f>IFERROR(ISNUMBER(SEARCH("Razonar",$R814))/(ISNUMBER(SEARCH("Conocer",$R814))+ISNUMBER(SEARCH("Aplicar",$R814))+ISNUMBER(SEARCH("Razonar",$R814))),0)</f>
        <v/>
      </c>
      <c r="V814" s="11" t="inlineStr">
        <is>
          <t>Física 11°</t>
        </is>
      </c>
      <c r="W814" s="11" t="inlineStr">
        <is>
          <t>Física 10°–11°</t>
        </is>
      </c>
      <c r="X814" s="11">
        <f>IF(OR(IFERROR(INDEX('Datos - Catálogo TIMSS'!$I$5:$I$107,MATCH(K814,'Datos - Catálogo TIMSS'!$A$5:$A$107,0)),"No")="Sí",IFERROR(INDEX('Datos - Catálogo TIMSS'!$I$5:$I$107,MATCH(L814,'Datos - Catálogo TIMSS'!$A$5:$A$107,0)),"No")="Sí"),1,0)</f>
        <v/>
      </c>
      <c r="Y814" s="11">
        <f>IF(IFERROR(INDEX('Datos - Catálogo TIMSS'!$J$5:$J$107,MATCH(K814,'Datos - Catálogo TIMSS'!$A$5:$A$107,0)),"No")="Sí",1,0)</f>
        <v/>
      </c>
      <c r="Z814" s="11">
        <f>IF(IFERROR(INDEX('Datos - Catálogo TIMSS'!$J$5:$J$107,MATCH(L814,'Datos - Catálogo TIMSS'!$A$5:$A$107,0)),"No")="Sí",1,0)</f>
        <v/>
      </c>
      <c r="AA814" s="11" t="inlineStr">
        <is>
          <t>TA-E2.3</t>
        </is>
      </c>
      <c r="AB814" s="11" t="inlineStr">
        <is>
          <t>TA-E2.2</t>
        </is>
      </c>
      <c r="AC814" s="11">
        <f>IF(AA814="FUERA","Fuera del marco",IF(AA814="N/A","Sin marco",IFERROR(INDEX('Datos - TIMSS 2023'!$C$5:$C$105,MATCH(AA814,'Datos - TIMSS 2023'!$A$5:$A$105,0)),"Pendiente de clasificar")))</f>
        <v/>
      </c>
      <c r="AD814" s="11" t="inlineStr">
        <is>
          <t>2. Construir y evaluar diseños para la indagación científica e interpretar datos y evidencia de forma crítica</t>
        </is>
      </c>
      <c r="AE814" s="11">
        <f>IF(AD814="","",IF(LEFT(AD814,1)="1","C1",IF(LEFT(AD814,1)="2","C2",IF(LEFT(AD814,1)="3","C3",""))))</f>
        <v/>
      </c>
      <c r="AF814" s="11" t="inlineStr">
        <is>
          <t>E1</t>
        </is>
      </c>
      <c r="AG814" s="11" t="inlineStr">
        <is>
          <t>E5</t>
        </is>
      </c>
      <c r="AH814" s="11" t="inlineStr">
        <is>
          <t>E2</t>
        </is>
      </c>
      <c r="AI814" s="11" t="inlineStr">
        <is>
          <t>D2</t>
        </is>
      </c>
      <c r="AJ814" s="11" t="inlineStr">
        <is>
          <t>D3</t>
        </is>
      </c>
      <c r="AK814" s="11" t="n"/>
      <c r="AL814" s="11" t="n"/>
      <c r="AM814" s="11" t="n"/>
      <c r="AN814" s="11" t="n"/>
      <c r="AO814" s="11" t="n"/>
      <c r="AP814" s="11" t="n"/>
      <c r="AQ814" s="11" t="n"/>
      <c r="AR814" s="11" t="n"/>
      <c r="AS814" s="11" t="n"/>
      <c r="AT814" s="11" t="n"/>
      <c r="AU814" s="11" t="n"/>
      <c r="AV814" s="11" t="n"/>
      <c r="AW814" s="11">
        <f>AF814&amp;"; "&amp;AG814&amp;"; "&amp;AH814&amp;"; "&amp;AI814&amp;"; "&amp;AJ814</f>
        <v/>
      </c>
    </row>
    <row r="815">
      <c r="A815" s="11" t="inlineStr">
        <is>
          <t>T0351-G11-FÍS</t>
        </is>
      </c>
      <c r="B815" s="11" t="n">
        <v>11</v>
      </c>
      <c r="C815" s="11" t="inlineStr">
        <is>
          <t>Física</t>
        </is>
      </c>
      <c r="D815" s="11" t="inlineStr">
        <is>
          <t>Matriz_Bachillerato_Fisica_10_11.xlsx</t>
        </is>
      </c>
      <c r="E815" s="11" t="inlineStr">
        <is>
          <t>Física 11.°</t>
        </is>
      </c>
      <c r="F815" s="11" t="n">
        <v>70</v>
      </c>
      <c r="G815" s="11" t="inlineStr">
        <is>
          <t>12. Electromagnetismo</t>
        </is>
      </c>
      <c r="H815" s="11" t="inlineStr">
        <is>
          <t>Introducción a las ecuaciones de Maxwell</t>
        </is>
      </c>
      <c r="I815" s="38" t="inlineStr">
        <is>
          <t>12.3. Cálculo de magnitudes físicas en dispositivos electromagnéticos.</t>
        </is>
      </c>
      <c r="J815" s="11" t="inlineStr">
        <is>
          <t>TA</t>
        </is>
      </c>
      <c r="K815" s="11" t="inlineStr">
        <is>
          <t>TA-E2.1</t>
        </is>
      </c>
      <c r="L815" s="11" t="inlineStr">
        <is>
          <t>TA-E1.2</t>
        </is>
      </c>
      <c r="M815" s="11">
        <f>IF(K815="FUERA","Fuera del marco",IF(K815="N/A","Sin marco",IFERROR(INDEX('Datos - Catálogo TIMSS'!$C$5:$C$107,MATCH(K815,'Datos - Catálogo TIMSS'!$A$5:$A$107,0)),"Pendiente de clasificar")))</f>
        <v/>
      </c>
      <c r="N815" s="11">
        <f>IF(K815="FUERA","Fuera del marco",IF(K815="N/A","Sin marco",IFERROR(INDEX('Datos - Catálogo TIMSS'!$F$5:$F$107,MATCH(K815,'Datos - Catálogo TIMSS'!$A$5:$A$107,0)),"Pendiente de clasificar")))</f>
        <v/>
      </c>
      <c r="O815" s="11">
        <f>IF(L815="","",IFERROR(INDEX('Datos - Catálogo TIMSS'!$C$5:$C$107,MATCH(L815,'Datos - Catálogo TIMSS'!$A$5:$A$107,0)),"?"))</f>
        <v/>
      </c>
      <c r="P815" s="11" t="inlineStr">
        <is>
          <t>media</t>
        </is>
      </c>
      <c r="Q815" s="38" t="inlineStr">
        <is>
          <t>Aceleradores: cargas en campos eléctricos y magnéticos</t>
        </is>
      </c>
      <c r="R815" s="38" t="inlineStr">
        <is>
          <t>Aplicar: calcular fem, radio y energía en dispositivos. Razonar: justificar dependencias entre variables</t>
        </is>
      </c>
      <c r="S815" s="39">
        <f>IFERROR(ISNUMBER(SEARCH("Conocer",$R815))/(ISNUMBER(SEARCH("Conocer",$R815))+ISNUMBER(SEARCH("Aplicar",$R815))+ISNUMBER(SEARCH("Razonar",$R815))),0)</f>
        <v/>
      </c>
      <c r="T815" s="39">
        <f>IFERROR(ISNUMBER(SEARCH("Aplicar",$R815))/(ISNUMBER(SEARCH("Conocer",$R815))+ISNUMBER(SEARCH("Aplicar",$R815))+ISNUMBER(SEARCH("Razonar",$R815))),0)</f>
        <v/>
      </c>
      <c r="U815" s="39">
        <f>IFERROR(ISNUMBER(SEARCH("Razonar",$R815))/(ISNUMBER(SEARCH("Conocer",$R815))+ISNUMBER(SEARCH("Aplicar",$R815))+ISNUMBER(SEARCH("Razonar",$R815))),0)</f>
        <v/>
      </c>
      <c r="V815" s="11" t="inlineStr">
        <is>
          <t>Física 11°</t>
        </is>
      </c>
      <c r="W815" s="11" t="inlineStr">
        <is>
          <t>Física 10°–11°</t>
        </is>
      </c>
      <c r="X815" s="11">
        <f>IF(OR(IFERROR(INDEX('Datos - Catálogo TIMSS'!$I$5:$I$107,MATCH(K815,'Datos - Catálogo TIMSS'!$A$5:$A$107,0)),"No")="Sí",IFERROR(INDEX('Datos - Catálogo TIMSS'!$I$5:$I$107,MATCH(L815,'Datos - Catálogo TIMSS'!$A$5:$A$107,0)),"No")="Sí"),1,0)</f>
        <v/>
      </c>
      <c r="Y815" s="11">
        <f>IF(IFERROR(INDEX('Datos - Catálogo TIMSS'!$J$5:$J$107,MATCH(K815,'Datos - Catálogo TIMSS'!$A$5:$A$107,0)),"No")="Sí",1,0)</f>
        <v/>
      </c>
      <c r="Z815" s="11">
        <f>IF(IFERROR(INDEX('Datos - Catálogo TIMSS'!$J$5:$J$107,MATCH(L815,'Datos - Catálogo TIMSS'!$A$5:$A$107,0)),"No")="Sí",1,0)</f>
        <v/>
      </c>
      <c r="AA815" s="11" t="inlineStr">
        <is>
          <t>TA-E2.1</t>
        </is>
      </c>
      <c r="AB815" s="11" t="inlineStr">
        <is>
          <t>TA-E1.2</t>
        </is>
      </c>
      <c r="AC815" s="11">
        <f>IF(AA815="FUERA","Fuera del marco",IF(AA815="N/A","Sin marco",IFERROR(INDEX('Datos - TIMSS 2023'!$C$5:$C$105,MATCH(AA815,'Datos - TIMSS 2023'!$A$5:$A$105,0)),"Pendiente de clasificar")))</f>
        <v/>
      </c>
      <c r="AD815" s="11" t="inlineStr">
        <is>
          <t>1. Explicar fenómenos científicamente</t>
        </is>
      </c>
      <c r="AE815" s="11">
        <f>IF(AD815="","",IF(LEFT(AD815,1)="1","C1",IF(LEFT(AD815,1)="2","C2",IF(LEFT(AD815,1)="3","C3",""))))</f>
        <v/>
      </c>
      <c r="AF815" s="11" t="inlineStr">
        <is>
          <t>E6</t>
        </is>
      </c>
      <c r="AG815" s="11" t="inlineStr">
        <is>
          <t>E3</t>
        </is>
      </c>
      <c r="AH815" s="11" t="inlineStr">
        <is>
          <t>E1</t>
        </is>
      </c>
      <c r="AI815" s="11" t="inlineStr">
        <is>
          <t>D4</t>
        </is>
      </c>
      <c r="AJ815" s="11" t="inlineStr">
        <is>
          <t>E3</t>
        </is>
      </c>
      <c r="AK815" s="11" t="n"/>
      <c r="AL815" s="11" t="n"/>
      <c r="AM815" s="11" t="n"/>
      <c r="AN815" s="11" t="n"/>
      <c r="AO815" s="11" t="n"/>
      <c r="AP815" s="11" t="n"/>
      <c r="AQ815" s="11" t="n"/>
      <c r="AR815" s="11" t="n"/>
      <c r="AS815" s="11" t="n"/>
      <c r="AT815" s="11" t="n"/>
      <c r="AU815" s="11" t="n"/>
      <c r="AV815" s="11" t="n"/>
      <c r="AW815" s="11">
        <f>AF815&amp;"; "&amp;AG815&amp;"; "&amp;AH815&amp;"; "&amp;AI815&amp;"; "&amp;AJ815</f>
        <v/>
      </c>
    </row>
    <row r="816">
      <c r="A816" s="11" t="inlineStr">
        <is>
          <t>T0352-G11-FÍS</t>
        </is>
      </c>
      <c r="B816" s="11" t="n">
        <v>11</v>
      </c>
      <c r="C816" s="11" t="inlineStr">
        <is>
          <t>Física</t>
        </is>
      </c>
      <c r="D816" s="11" t="inlineStr">
        <is>
          <t>Matriz_Bachillerato_Fisica_10_11.xlsx</t>
        </is>
      </c>
      <c r="E816" s="11" t="inlineStr">
        <is>
          <t>Física 11.°</t>
        </is>
      </c>
      <c r="F816" s="11" t="n">
        <v>71</v>
      </c>
      <c r="G816" s="11" t="inlineStr">
        <is>
          <t>12. Electromagnetismo</t>
        </is>
      </c>
      <c r="H816" s="11" t="inlineStr">
        <is>
          <t>Ondas electromagnéticas</t>
        </is>
      </c>
      <c r="I816" s="38" t="inlineStr">
        <is>
          <t>12.4. Indagación de los tipos de ondas que se encuentran en el espectro electromagnético.</t>
        </is>
      </c>
      <c r="J816" s="11" t="inlineStr">
        <is>
          <t>TA</t>
        </is>
      </c>
      <c r="K816" s="11" t="inlineStr">
        <is>
          <t>TA-O1.2</t>
        </is>
      </c>
      <c r="L816" s="11" t="inlineStr"/>
      <c r="M816" s="11">
        <f>IF(K816="FUERA","Fuera del marco",IF(K816="N/A","Sin marco",IFERROR(INDEX('Datos - Catálogo TIMSS'!$C$5:$C$107,MATCH(K816,'Datos - Catálogo TIMSS'!$A$5:$A$107,0)),"Pendiente de clasificar")))</f>
        <v/>
      </c>
      <c r="N816" s="11">
        <f>IF(K816="FUERA","Fuera del marco",IF(K816="N/A","Sin marco",IFERROR(INDEX('Datos - Catálogo TIMSS'!$F$5:$F$107,MATCH(K816,'Datos - Catálogo TIMSS'!$A$5:$A$107,0)),"Pendiente de clasificar")))</f>
        <v/>
      </c>
      <c r="O816" s="11">
        <f>IF(L816="","",IFERROR(INDEX('Datos - Catálogo TIMSS'!$C$5:$C$107,MATCH(L816,'Datos - Catálogo TIMSS'!$A$5:$A$107,0)),"?"))</f>
        <v/>
      </c>
      <c r="P816" s="11" t="inlineStr">
        <is>
          <t>alta</t>
        </is>
      </c>
      <c r="Q816" s="38" t="inlineStr">
        <is>
          <t>Espectro electromagnético</t>
        </is>
      </c>
      <c r="R816" s="38" t="inlineStr">
        <is>
          <t>Conocer: identificar regiones del espectro. Aplicar: calcular longitud de onda y frecuencia</t>
        </is>
      </c>
      <c r="S816" s="39">
        <f>IFERROR(ISNUMBER(SEARCH("Conocer",$R816))/(ISNUMBER(SEARCH("Conocer",$R816))+ISNUMBER(SEARCH("Aplicar",$R816))+ISNUMBER(SEARCH("Razonar",$R816))),0)</f>
        <v/>
      </c>
      <c r="T816" s="39">
        <f>IFERROR(ISNUMBER(SEARCH("Aplicar",$R816))/(ISNUMBER(SEARCH("Conocer",$R816))+ISNUMBER(SEARCH("Aplicar",$R816))+ISNUMBER(SEARCH("Razonar",$R816))),0)</f>
        <v/>
      </c>
      <c r="U816" s="39">
        <f>IFERROR(ISNUMBER(SEARCH("Razonar",$R816))/(ISNUMBER(SEARCH("Conocer",$R816))+ISNUMBER(SEARCH("Aplicar",$R816))+ISNUMBER(SEARCH("Razonar",$R816))),0)</f>
        <v/>
      </c>
      <c r="V816" s="11" t="inlineStr">
        <is>
          <t>Física 11°</t>
        </is>
      </c>
      <c r="W816" s="11" t="inlineStr">
        <is>
          <t>Física 10°–11°</t>
        </is>
      </c>
      <c r="X816" s="11">
        <f>IF(OR(IFERROR(INDEX('Datos - Catálogo TIMSS'!$I$5:$I$107,MATCH(K816,'Datos - Catálogo TIMSS'!$A$5:$A$107,0)),"No")="Sí",IFERROR(INDEX('Datos - Catálogo TIMSS'!$I$5:$I$107,MATCH(L816,'Datos - Catálogo TIMSS'!$A$5:$A$107,0)),"No")="Sí"),1,0)</f>
        <v/>
      </c>
      <c r="Y816" s="11">
        <f>IF(IFERROR(INDEX('Datos - Catálogo TIMSS'!$J$5:$J$107,MATCH(K816,'Datos - Catálogo TIMSS'!$A$5:$A$107,0)),"No")="Sí",1,0)</f>
        <v/>
      </c>
      <c r="Z816" s="11">
        <f>IF(IFERROR(INDEX('Datos - Catálogo TIMSS'!$J$5:$J$107,MATCH(L816,'Datos - Catálogo TIMSS'!$A$5:$A$107,0)),"No")="Sí",1,0)</f>
        <v/>
      </c>
      <c r="AA816" s="11" t="inlineStr">
        <is>
          <t>TA-O1.2</t>
        </is>
      </c>
      <c r="AB816" s="11" t="inlineStr"/>
      <c r="AC816" s="11">
        <f>IF(AA816="FUERA","Fuera del marco",IF(AA816="N/A","Sin marco",IFERROR(INDEX('Datos - TIMSS 2023'!$C$5:$C$105,MATCH(AA816,'Datos - TIMSS 2023'!$A$5:$A$105,0)),"Pendiente de clasificar")))</f>
        <v/>
      </c>
      <c r="AD816" s="11" t="inlineStr">
        <is>
          <t>3. Investigar, evaluar y usar información científica para tomar decisiones y actuar</t>
        </is>
      </c>
      <c r="AE816" s="11">
        <f>IF(AD816="","",IF(LEFT(AD816,1)="1","C1",IF(LEFT(AD816,1)="2","C2",IF(LEFT(AD816,1)="3","C3",""))))</f>
        <v/>
      </c>
      <c r="AF816" s="11" t="inlineStr">
        <is>
          <t>E1</t>
        </is>
      </c>
      <c r="AG816" s="11" t="inlineStr">
        <is>
          <t>D1</t>
        </is>
      </c>
      <c r="AH816" s="11" t="inlineStr">
        <is>
          <t>E2</t>
        </is>
      </c>
      <c r="AI816" s="11" t="inlineStr">
        <is>
          <t>I1</t>
        </is>
      </c>
      <c r="AJ816" s="11" t="inlineStr">
        <is>
          <t>E6</t>
        </is>
      </c>
      <c r="AK816" s="11" t="n"/>
      <c r="AL816" s="11" t="n"/>
      <c r="AM816" s="11" t="n"/>
      <c r="AN816" s="11" t="n"/>
      <c r="AO816" s="11" t="n"/>
      <c r="AP816" s="11" t="n"/>
      <c r="AQ816" s="11" t="n"/>
      <c r="AR816" s="11" t="n"/>
      <c r="AS816" s="11" t="n"/>
      <c r="AT816" s="11" t="n"/>
      <c r="AU816" s="11" t="n"/>
      <c r="AV816" s="11" t="n"/>
      <c r="AW816" s="11">
        <f>AF816&amp;"; "&amp;AG816&amp;"; "&amp;AH816&amp;"; "&amp;AI816&amp;"; "&amp;AJ816</f>
        <v/>
      </c>
    </row>
    <row r="817">
      <c r="A817" s="11" t="inlineStr">
        <is>
          <t>T0353-G11-FÍS</t>
        </is>
      </c>
      <c r="B817" s="11" t="n">
        <v>11</v>
      </c>
      <c r="C817" s="11" t="inlineStr">
        <is>
          <t>Física</t>
        </is>
      </c>
      <c r="D817" s="11" t="inlineStr">
        <is>
          <t>Matriz_Bachillerato_Fisica_10_11.xlsx</t>
        </is>
      </c>
      <c r="E817" s="11" t="inlineStr">
        <is>
          <t>Física 11.°</t>
        </is>
      </c>
      <c r="F817" s="11" t="n">
        <v>72</v>
      </c>
      <c r="G817" s="11" t="inlineStr">
        <is>
          <t>12. Electromagnetismo</t>
        </is>
      </c>
      <c r="H817" s="11" t="inlineStr">
        <is>
          <t>Ondas electromagnéticas</t>
        </is>
      </c>
      <c r="I817" s="38" t="inlineStr">
        <is>
          <t>12.5. Experimentación con ondas electromagnéticas para identificar sus propiedades.</t>
        </is>
      </c>
      <c r="J817" s="11" t="inlineStr">
        <is>
          <t>TA</t>
        </is>
      </c>
      <c r="K817" s="11" t="inlineStr">
        <is>
          <t>TA-O1.2</t>
        </is>
      </c>
      <c r="L817" s="11" t="inlineStr"/>
      <c r="M817" s="11">
        <f>IF(K817="FUERA","Fuera del marco",IF(K817="N/A","Sin marco",IFERROR(INDEX('Datos - Catálogo TIMSS'!$C$5:$C$107,MATCH(K817,'Datos - Catálogo TIMSS'!$A$5:$A$107,0)),"Pendiente de clasificar")))</f>
        <v/>
      </c>
      <c r="N817" s="11">
        <f>IF(K817="FUERA","Fuera del marco",IF(K817="N/A","Sin marco",IFERROR(INDEX('Datos - Catálogo TIMSS'!$F$5:$F$107,MATCH(K817,'Datos - Catálogo TIMSS'!$A$5:$A$107,0)),"Pendiente de clasificar")))</f>
        <v/>
      </c>
      <c r="O817" s="11">
        <f>IF(L817="","",IFERROR(INDEX('Datos - Catálogo TIMSS'!$C$5:$C$107,MATCH(L817,'Datos - Catálogo TIMSS'!$A$5:$A$107,0)),"?"))</f>
        <v/>
      </c>
      <c r="P817" s="11" t="inlineStr">
        <is>
          <t>alta</t>
        </is>
      </c>
      <c r="Q817" s="38" t="inlineStr">
        <is>
          <t>Propiedades de las ondas electromagnéticas</t>
        </is>
      </c>
      <c r="R817" s="38" t="inlineStr">
        <is>
          <t>Aplicar: medir la atenuación de señales. Razonar: explicar propiedades de las ondas con evidencia</t>
        </is>
      </c>
      <c r="S817" s="39">
        <f>IFERROR(ISNUMBER(SEARCH("Conocer",$R817))/(ISNUMBER(SEARCH("Conocer",$R817))+ISNUMBER(SEARCH("Aplicar",$R817))+ISNUMBER(SEARCH("Razonar",$R817))),0)</f>
        <v/>
      </c>
      <c r="T817" s="39">
        <f>IFERROR(ISNUMBER(SEARCH("Aplicar",$R817))/(ISNUMBER(SEARCH("Conocer",$R817))+ISNUMBER(SEARCH("Aplicar",$R817))+ISNUMBER(SEARCH("Razonar",$R817))),0)</f>
        <v/>
      </c>
      <c r="U817" s="39">
        <f>IFERROR(ISNUMBER(SEARCH("Razonar",$R817))/(ISNUMBER(SEARCH("Conocer",$R817))+ISNUMBER(SEARCH("Aplicar",$R817))+ISNUMBER(SEARCH("Razonar",$R817))),0)</f>
        <v/>
      </c>
      <c r="V817" s="11" t="inlineStr">
        <is>
          <t>Física 11°</t>
        </is>
      </c>
      <c r="W817" s="11" t="inlineStr">
        <is>
          <t>Física 10°–11°</t>
        </is>
      </c>
      <c r="X817" s="11">
        <f>IF(OR(IFERROR(INDEX('Datos - Catálogo TIMSS'!$I$5:$I$107,MATCH(K817,'Datos - Catálogo TIMSS'!$A$5:$A$107,0)),"No")="Sí",IFERROR(INDEX('Datos - Catálogo TIMSS'!$I$5:$I$107,MATCH(L817,'Datos - Catálogo TIMSS'!$A$5:$A$107,0)),"No")="Sí"),1,0)</f>
        <v/>
      </c>
      <c r="Y817" s="11">
        <f>IF(IFERROR(INDEX('Datos - Catálogo TIMSS'!$J$5:$J$107,MATCH(K817,'Datos - Catálogo TIMSS'!$A$5:$A$107,0)),"No")="Sí",1,0)</f>
        <v/>
      </c>
      <c r="Z817" s="11">
        <f>IF(IFERROR(INDEX('Datos - Catálogo TIMSS'!$J$5:$J$107,MATCH(L817,'Datos - Catálogo TIMSS'!$A$5:$A$107,0)),"No")="Sí",1,0)</f>
        <v/>
      </c>
      <c r="AA817" s="11" t="inlineStr">
        <is>
          <t>TA-O1.2</t>
        </is>
      </c>
      <c r="AB817" s="11" t="inlineStr"/>
      <c r="AC817" s="11">
        <f>IF(AA817="FUERA","Fuera del marco",IF(AA817="N/A","Sin marco",IFERROR(INDEX('Datos - TIMSS 2023'!$C$5:$C$105,MATCH(AA817,'Datos - TIMSS 2023'!$A$5:$A$105,0)),"Pendiente de clasificar")))</f>
        <v/>
      </c>
      <c r="AD817" s="11" t="inlineStr">
        <is>
          <t>2. Construir y evaluar diseños para la indagación científica e interpretar datos y evidencia de forma crítica</t>
        </is>
      </c>
      <c r="AE817" s="11">
        <f>IF(AD817="","",IF(LEFT(AD817,1)="1","C1",IF(LEFT(AD817,1)="2","C2",IF(LEFT(AD817,1)="3","C3",""))))</f>
        <v/>
      </c>
      <c r="AF817" s="11" t="inlineStr">
        <is>
          <t>E1</t>
        </is>
      </c>
      <c r="AG817" s="11" t="inlineStr">
        <is>
          <t>E5</t>
        </is>
      </c>
      <c r="AH817" s="11" t="inlineStr">
        <is>
          <t>E1</t>
        </is>
      </c>
      <c r="AI817" s="11" t="inlineStr">
        <is>
          <t>D2</t>
        </is>
      </c>
      <c r="AJ817" s="11" t="inlineStr">
        <is>
          <t>D3</t>
        </is>
      </c>
      <c r="AK817" s="11" t="n"/>
      <c r="AL817" s="11" t="n"/>
      <c r="AM817" s="11" t="n"/>
      <c r="AN817" s="11" t="n"/>
      <c r="AO817" s="11" t="n"/>
      <c r="AP817" s="11" t="n"/>
      <c r="AQ817" s="11" t="n"/>
      <c r="AR817" s="11" t="n"/>
      <c r="AS817" s="11" t="n"/>
      <c r="AT817" s="11" t="n"/>
      <c r="AU817" s="11" t="n"/>
      <c r="AV817" s="11" t="n"/>
      <c r="AW817" s="11">
        <f>AF817&amp;"; "&amp;AG817&amp;"; "&amp;AH817&amp;"; "&amp;AI817&amp;"; "&amp;AJ817</f>
        <v/>
      </c>
    </row>
    <row r="818">
      <c r="A818" s="11" t="inlineStr">
        <is>
          <t>T0354-G11-FÍS</t>
        </is>
      </c>
      <c r="B818" s="11" t="n">
        <v>11</v>
      </c>
      <c r="C818" s="11" t="inlineStr">
        <is>
          <t>Física</t>
        </is>
      </c>
      <c r="D818" s="11" t="inlineStr">
        <is>
          <t>Matriz_Bachillerato_Fisica_10_11.xlsx</t>
        </is>
      </c>
      <c r="E818" s="11" t="inlineStr">
        <is>
          <t>Física 11.°</t>
        </is>
      </c>
      <c r="F818" s="11" t="n">
        <v>73</v>
      </c>
      <c r="G818" s="11" t="inlineStr">
        <is>
          <t>12. Electromagnetismo</t>
        </is>
      </c>
      <c r="H818" s="11" t="inlineStr">
        <is>
          <t>Ondas electromagnéticas</t>
        </is>
      </c>
      <c r="I818" s="38" t="inlineStr">
        <is>
          <t>12.6. Resolución de problemas teóricos a partir de las gráficas de los campos eléctrico y magnético de una onda electromagnética.</t>
        </is>
      </c>
      <c r="J818" s="11" t="inlineStr">
        <is>
          <t>TA</t>
        </is>
      </c>
      <c r="K818" s="11" t="inlineStr">
        <is>
          <t>TA-O1.2</t>
        </is>
      </c>
      <c r="L818" s="11" t="inlineStr"/>
      <c r="M818" s="11">
        <f>IF(K818="FUERA","Fuera del marco",IF(K818="N/A","Sin marco",IFERROR(INDEX('Datos - Catálogo TIMSS'!$C$5:$C$107,MATCH(K818,'Datos - Catálogo TIMSS'!$A$5:$A$107,0)),"Pendiente de clasificar")))</f>
        <v/>
      </c>
      <c r="N818" s="11">
        <f>IF(K818="FUERA","Fuera del marco",IF(K818="N/A","Sin marco",IFERROR(INDEX('Datos - Catálogo TIMSS'!$F$5:$F$107,MATCH(K818,'Datos - Catálogo TIMSS'!$A$5:$A$107,0)),"Pendiente de clasificar")))</f>
        <v/>
      </c>
      <c r="O818" s="11">
        <f>IF(L818="","",IFERROR(INDEX('Datos - Catálogo TIMSS'!$C$5:$C$107,MATCH(L818,'Datos - Catálogo TIMSS'!$A$5:$A$107,0)),"?"))</f>
        <v/>
      </c>
      <c r="P818" s="11" t="inlineStr">
        <is>
          <t>media</t>
        </is>
      </c>
      <c r="Q818" s="38" t="inlineStr">
        <is>
          <t>Campos y energía de ondas electromagnéticas</t>
        </is>
      </c>
      <c r="R818" s="38" t="inlineStr">
        <is>
          <t>Aplicar: calcular intensidad y campos de una onda. Razonar: interpretar gráficas de campos</t>
        </is>
      </c>
      <c r="S818" s="39">
        <f>IFERROR(ISNUMBER(SEARCH("Conocer",$R818))/(ISNUMBER(SEARCH("Conocer",$R818))+ISNUMBER(SEARCH("Aplicar",$R818))+ISNUMBER(SEARCH("Razonar",$R818))),0)</f>
        <v/>
      </c>
      <c r="T818" s="39">
        <f>IFERROR(ISNUMBER(SEARCH("Aplicar",$R818))/(ISNUMBER(SEARCH("Conocer",$R818))+ISNUMBER(SEARCH("Aplicar",$R818))+ISNUMBER(SEARCH("Razonar",$R818))),0)</f>
        <v/>
      </c>
      <c r="U818" s="39">
        <f>IFERROR(ISNUMBER(SEARCH("Razonar",$R818))/(ISNUMBER(SEARCH("Conocer",$R818))+ISNUMBER(SEARCH("Aplicar",$R818))+ISNUMBER(SEARCH("Razonar",$R818))),0)</f>
        <v/>
      </c>
      <c r="V818" s="11" t="inlineStr">
        <is>
          <t>Física 11°</t>
        </is>
      </c>
      <c r="W818" s="11" t="inlineStr">
        <is>
          <t>Física 10°–11°</t>
        </is>
      </c>
      <c r="X818" s="11">
        <f>IF(OR(IFERROR(INDEX('Datos - Catálogo TIMSS'!$I$5:$I$107,MATCH(K818,'Datos - Catálogo TIMSS'!$A$5:$A$107,0)),"No")="Sí",IFERROR(INDEX('Datos - Catálogo TIMSS'!$I$5:$I$107,MATCH(L818,'Datos - Catálogo TIMSS'!$A$5:$A$107,0)),"No")="Sí"),1,0)</f>
        <v/>
      </c>
      <c r="Y818" s="11">
        <f>IF(IFERROR(INDEX('Datos - Catálogo TIMSS'!$J$5:$J$107,MATCH(K818,'Datos - Catálogo TIMSS'!$A$5:$A$107,0)),"No")="Sí",1,0)</f>
        <v/>
      </c>
      <c r="Z818" s="11">
        <f>IF(IFERROR(INDEX('Datos - Catálogo TIMSS'!$J$5:$J$107,MATCH(L818,'Datos - Catálogo TIMSS'!$A$5:$A$107,0)),"No")="Sí",1,0)</f>
        <v/>
      </c>
      <c r="AA818" s="11" t="inlineStr">
        <is>
          <t>TA-O1.2</t>
        </is>
      </c>
      <c r="AB818" s="11" t="inlineStr"/>
      <c r="AC818" s="11">
        <f>IF(AA818="FUERA","Fuera del marco",IF(AA818="N/A","Sin marco",IFERROR(INDEX('Datos - TIMSS 2023'!$C$5:$C$105,MATCH(AA818,'Datos - TIMSS 2023'!$A$5:$A$105,0)),"Pendiente de clasificar")))</f>
        <v/>
      </c>
      <c r="AD818" s="11" t="inlineStr">
        <is>
          <t>1. Explicar fenómenos científicamente</t>
        </is>
      </c>
      <c r="AE818" s="11">
        <f>IF(AD818="","",IF(LEFT(AD818,1)="1","C1",IF(LEFT(AD818,1)="2","C2",IF(LEFT(AD818,1)="3","C3",""))))</f>
        <v/>
      </c>
      <c r="AF818" s="11" t="inlineStr">
        <is>
          <t>E6</t>
        </is>
      </c>
      <c r="AG818" s="11" t="inlineStr">
        <is>
          <t>E3</t>
        </is>
      </c>
      <c r="AH818" s="11" t="inlineStr">
        <is>
          <t>E2</t>
        </is>
      </c>
      <c r="AI818" s="11" t="inlineStr">
        <is>
          <t>E4</t>
        </is>
      </c>
      <c r="AJ818" s="11" t="inlineStr">
        <is>
          <t>I5</t>
        </is>
      </c>
      <c r="AK818" s="11" t="n"/>
      <c r="AL818" s="11" t="n"/>
      <c r="AM818" s="11" t="n"/>
      <c r="AN818" s="11" t="n"/>
      <c r="AO818" s="11" t="n"/>
      <c r="AP818" s="11" t="n"/>
      <c r="AQ818" s="11" t="n"/>
      <c r="AR818" s="11" t="n"/>
      <c r="AS818" s="11" t="n"/>
      <c r="AT818" s="11" t="n"/>
      <c r="AU818" s="11" t="n"/>
      <c r="AV818" s="11" t="n"/>
      <c r="AW818" s="11">
        <f>AF818&amp;"; "&amp;AG818&amp;"; "&amp;AH818&amp;"; "&amp;AI818&amp;"; "&amp;AJ818</f>
        <v/>
      </c>
    </row>
    <row r="819">
      <c r="A819" s="11" t="inlineStr">
        <is>
          <t>T0355-G11-FÍS</t>
        </is>
      </c>
      <c r="B819" s="11" t="n">
        <v>11</v>
      </c>
      <c r="C819" s="11" t="inlineStr">
        <is>
          <t>Física</t>
        </is>
      </c>
      <c r="D819" s="11" t="inlineStr">
        <is>
          <t>Matriz_Bachillerato_Fisica_10_11.xlsx</t>
        </is>
      </c>
      <c r="E819" s="11" t="inlineStr">
        <is>
          <t>Física 11.°</t>
        </is>
      </c>
      <c r="F819" s="11" t="n">
        <v>74</v>
      </c>
      <c r="G819" s="11" t="inlineStr">
        <is>
          <t>12. Electromagnetismo</t>
        </is>
      </c>
      <c r="H819" s="11" t="inlineStr">
        <is>
          <t>Telecomunicaciones</t>
        </is>
      </c>
      <c r="I819" s="38" t="inlineStr">
        <is>
          <t>12.7. Indagación del funcionamiento de diferentes tecnologías de comunicación inalámbrica.</t>
        </is>
      </c>
      <c r="J819" s="11" t="inlineStr">
        <is>
          <t>TA</t>
        </is>
      </c>
      <c r="K819" s="11" t="inlineStr">
        <is>
          <t>TA-O1.2</t>
        </is>
      </c>
      <c r="L819" s="11" t="inlineStr"/>
      <c r="M819" s="11">
        <f>IF(K819="FUERA","Fuera del marco",IF(K819="N/A","Sin marco",IFERROR(INDEX('Datos - Catálogo TIMSS'!$C$5:$C$107,MATCH(K819,'Datos - Catálogo TIMSS'!$A$5:$A$107,0)),"Pendiente de clasificar")))</f>
        <v/>
      </c>
      <c r="N819" s="11">
        <f>IF(K819="FUERA","Fuera del marco",IF(K819="N/A","Sin marco",IFERROR(INDEX('Datos - Catálogo TIMSS'!$F$5:$F$107,MATCH(K819,'Datos - Catálogo TIMSS'!$A$5:$A$107,0)),"Pendiente de clasificar")))</f>
        <v/>
      </c>
      <c r="O819" s="11">
        <f>IF(L819="","",IFERROR(INDEX('Datos - Catálogo TIMSS'!$C$5:$C$107,MATCH(L819,'Datos - Catálogo TIMSS'!$A$5:$A$107,0)),"?"))</f>
        <v/>
      </c>
      <c r="P819" s="11" t="inlineStr">
        <is>
          <t>media</t>
        </is>
      </c>
      <c r="Q819" s="38" t="inlineStr">
        <is>
          <t>Comunicación inalámbrica con radiación electromagnética</t>
        </is>
      </c>
      <c r="R819" s="38" t="inlineStr">
        <is>
          <t>Conocer: describir tecnologías inalámbricas. Razonar: comparar alcance y frecuencia</t>
        </is>
      </c>
      <c r="S819" s="39">
        <f>IFERROR(ISNUMBER(SEARCH("Conocer",$R819))/(ISNUMBER(SEARCH("Conocer",$R819))+ISNUMBER(SEARCH("Aplicar",$R819))+ISNUMBER(SEARCH("Razonar",$R819))),0)</f>
        <v/>
      </c>
      <c r="T819" s="39">
        <f>IFERROR(ISNUMBER(SEARCH("Aplicar",$R819))/(ISNUMBER(SEARCH("Conocer",$R819))+ISNUMBER(SEARCH("Aplicar",$R819))+ISNUMBER(SEARCH("Razonar",$R819))),0)</f>
        <v/>
      </c>
      <c r="U819" s="39">
        <f>IFERROR(ISNUMBER(SEARCH("Razonar",$R819))/(ISNUMBER(SEARCH("Conocer",$R819))+ISNUMBER(SEARCH("Aplicar",$R819))+ISNUMBER(SEARCH("Razonar",$R819))),0)</f>
        <v/>
      </c>
      <c r="V819" s="11" t="inlineStr">
        <is>
          <t>Física 11°</t>
        </is>
      </c>
      <c r="W819" s="11" t="inlineStr">
        <is>
          <t>Física 10°–11°</t>
        </is>
      </c>
      <c r="X819" s="11">
        <f>IF(OR(IFERROR(INDEX('Datos - Catálogo TIMSS'!$I$5:$I$107,MATCH(K819,'Datos - Catálogo TIMSS'!$A$5:$A$107,0)),"No")="Sí",IFERROR(INDEX('Datos - Catálogo TIMSS'!$I$5:$I$107,MATCH(L819,'Datos - Catálogo TIMSS'!$A$5:$A$107,0)),"No")="Sí"),1,0)</f>
        <v/>
      </c>
      <c r="Y819" s="11">
        <f>IF(IFERROR(INDEX('Datos - Catálogo TIMSS'!$J$5:$J$107,MATCH(K819,'Datos - Catálogo TIMSS'!$A$5:$A$107,0)),"No")="Sí",1,0)</f>
        <v/>
      </c>
      <c r="Z819" s="11">
        <f>IF(IFERROR(INDEX('Datos - Catálogo TIMSS'!$J$5:$J$107,MATCH(L819,'Datos - Catálogo TIMSS'!$A$5:$A$107,0)),"No")="Sí",1,0)</f>
        <v/>
      </c>
      <c r="AA819" s="11" t="inlineStr">
        <is>
          <t>TA-O1.2</t>
        </is>
      </c>
      <c r="AB819" s="11" t="inlineStr"/>
      <c r="AC819" s="11">
        <f>IF(AA819="FUERA","Fuera del marco",IF(AA819="N/A","Sin marco",IFERROR(INDEX('Datos - TIMSS 2023'!$C$5:$C$105,MATCH(AA819,'Datos - TIMSS 2023'!$A$5:$A$105,0)),"Pendiente de clasificar")))</f>
        <v/>
      </c>
      <c r="AD819" s="11" t="inlineStr">
        <is>
          <t>3. Investigar, evaluar y usar información científica para tomar decisiones y actuar</t>
        </is>
      </c>
      <c r="AE819" s="11">
        <f>IF(AD819="","",IF(LEFT(AD819,1)="1","C1",IF(LEFT(AD819,1)="2","C2",IF(LEFT(AD819,1)="3","C3",""))))</f>
        <v/>
      </c>
      <c r="AF819" s="11" t="inlineStr">
        <is>
          <t>E6</t>
        </is>
      </c>
      <c r="AG819" s="11" t="inlineStr">
        <is>
          <t>D1</t>
        </is>
      </c>
      <c r="AH819" s="11" t="inlineStr">
        <is>
          <t>E2</t>
        </is>
      </c>
      <c r="AI819" s="11" t="inlineStr">
        <is>
          <t>I1</t>
        </is>
      </c>
      <c r="AJ819" s="11" t="inlineStr">
        <is>
          <t>I2</t>
        </is>
      </c>
      <c r="AK819" s="11" t="n"/>
      <c r="AL819" s="11" t="n"/>
      <c r="AM819" s="11" t="n"/>
      <c r="AN819" s="11" t="n"/>
      <c r="AO819" s="11" t="n"/>
      <c r="AP819" s="11" t="n"/>
      <c r="AQ819" s="11" t="n"/>
      <c r="AR819" s="11" t="n"/>
      <c r="AS819" s="11" t="n"/>
      <c r="AT819" s="11" t="n"/>
      <c r="AU819" s="11" t="n"/>
      <c r="AV819" s="11" t="n"/>
      <c r="AW819" s="11">
        <f>AF819&amp;"; "&amp;AG819&amp;"; "&amp;AH819&amp;"; "&amp;AI819&amp;"; "&amp;AJ819</f>
        <v/>
      </c>
    </row>
    <row r="820">
      <c r="A820" s="11" t="inlineStr">
        <is>
          <t>T0356-G11-FÍS</t>
        </is>
      </c>
      <c r="B820" s="11" t="n">
        <v>11</v>
      </c>
      <c r="C820" s="11" t="inlineStr">
        <is>
          <t>Física</t>
        </is>
      </c>
      <c r="D820" s="11" t="inlineStr">
        <is>
          <t>Matriz_Bachillerato_Fisica_10_11.xlsx</t>
        </is>
      </c>
      <c r="E820" s="11" t="inlineStr">
        <is>
          <t>Física 11.°</t>
        </is>
      </c>
      <c r="F820" s="11" t="n">
        <v>75</v>
      </c>
      <c r="G820" s="11" t="inlineStr">
        <is>
          <t>12. Electromagnetismo</t>
        </is>
      </c>
      <c r="H820" s="11" t="inlineStr">
        <is>
          <t>Telecomunicaciones</t>
        </is>
      </c>
      <c r="I820" s="38" t="inlineStr">
        <is>
          <t>12.8. Construcción de un sistema de radiocomunicación funcional que incluya componentes electrónicos.</t>
        </is>
      </c>
      <c r="J820" s="11" t="inlineStr">
        <is>
          <t>TA</t>
        </is>
      </c>
      <c r="K820" s="11" t="inlineStr">
        <is>
          <t>TA-O1.2</t>
        </is>
      </c>
      <c r="L820" s="11" t="inlineStr"/>
      <c r="M820" s="11">
        <f>IF(K820="FUERA","Fuera del marco",IF(K820="N/A","Sin marco",IFERROR(INDEX('Datos - Catálogo TIMSS'!$C$5:$C$107,MATCH(K820,'Datos - Catálogo TIMSS'!$A$5:$A$107,0)),"Pendiente de clasificar")))</f>
        <v/>
      </c>
      <c r="N820" s="11">
        <f>IF(K820="FUERA","Fuera del marco",IF(K820="N/A","Sin marco",IFERROR(INDEX('Datos - Catálogo TIMSS'!$F$5:$F$107,MATCH(K820,'Datos - Catálogo TIMSS'!$A$5:$A$107,0)),"Pendiente de clasificar")))</f>
        <v/>
      </c>
      <c r="O820" s="11">
        <f>IF(L820="","",IFERROR(INDEX('Datos - Catálogo TIMSS'!$C$5:$C$107,MATCH(L820,'Datos - Catálogo TIMSS'!$A$5:$A$107,0)),"?"))</f>
        <v/>
      </c>
      <c r="P820" s="11" t="inlineStr">
        <is>
          <t>baja</t>
        </is>
      </c>
      <c r="Q820" s="38" t="inlineStr">
        <is>
          <t>Construcción de radio; uso aplicado de ondas EM</t>
        </is>
      </c>
      <c r="R820" s="38" t="inlineStr">
        <is>
          <t>Aplicar: construir un circuito de recepción. Razonar: evaluar y mejorar un diseño tecnológico</t>
        </is>
      </c>
      <c r="S820" s="39">
        <f>IFERROR(ISNUMBER(SEARCH("Conocer",$R820))/(ISNUMBER(SEARCH("Conocer",$R820))+ISNUMBER(SEARCH("Aplicar",$R820))+ISNUMBER(SEARCH("Razonar",$R820))),0)</f>
        <v/>
      </c>
      <c r="T820" s="39">
        <f>IFERROR(ISNUMBER(SEARCH("Aplicar",$R820))/(ISNUMBER(SEARCH("Conocer",$R820))+ISNUMBER(SEARCH("Aplicar",$R820))+ISNUMBER(SEARCH("Razonar",$R820))),0)</f>
        <v/>
      </c>
      <c r="U820" s="39">
        <f>IFERROR(ISNUMBER(SEARCH("Razonar",$R820))/(ISNUMBER(SEARCH("Conocer",$R820))+ISNUMBER(SEARCH("Aplicar",$R820))+ISNUMBER(SEARCH("Razonar",$R820))),0)</f>
        <v/>
      </c>
      <c r="V820" s="11" t="inlineStr">
        <is>
          <t>Física 11°</t>
        </is>
      </c>
      <c r="W820" s="11" t="inlineStr">
        <is>
          <t>Física 10°–11°</t>
        </is>
      </c>
      <c r="X820" s="11">
        <f>IF(OR(IFERROR(INDEX('Datos - Catálogo TIMSS'!$I$5:$I$107,MATCH(K820,'Datos - Catálogo TIMSS'!$A$5:$A$107,0)),"No")="Sí",IFERROR(INDEX('Datos - Catálogo TIMSS'!$I$5:$I$107,MATCH(L820,'Datos - Catálogo TIMSS'!$A$5:$A$107,0)),"No")="Sí"),1,0)</f>
        <v/>
      </c>
      <c r="Y820" s="11">
        <f>IF(IFERROR(INDEX('Datos - Catálogo TIMSS'!$J$5:$J$107,MATCH(K820,'Datos - Catálogo TIMSS'!$A$5:$A$107,0)),"No")="Sí",1,0)</f>
        <v/>
      </c>
      <c r="Z820" s="11">
        <f>IF(IFERROR(INDEX('Datos - Catálogo TIMSS'!$J$5:$J$107,MATCH(L820,'Datos - Catálogo TIMSS'!$A$5:$A$107,0)),"No")="Sí",1,0)</f>
        <v/>
      </c>
      <c r="AA820" s="11" t="inlineStr">
        <is>
          <t>TA-O1.2</t>
        </is>
      </c>
      <c r="AB820" s="11" t="inlineStr"/>
      <c r="AC820" s="11">
        <f>IF(AA820="FUERA","Fuera del marco",IF(AA820="N/A","Sin marco",IFERROR(INDEX('Datos - TIMSS 2023'!$C$5:$C$105,MATCH(AA820,'Datos - TIMSS 2023'!$A$5:$A$105,0)),"Pendiente de clasificar")))</f>
        <v/>
      </c>
      <c r="AD820" s="11" t="inlineStr">
        <is>
          <t>2. Construir y evaluar diseños para la indagación científica e interpretar datos y evidencia de forma crítica</t>
        </is>
      </c>
      <c r="AE820" s="11">
        <f>IF(AD820="","",IF(LEFT(AD820,1)="1","C1",IF(LEFT(AD820,1)="2","C2",IF(LEFT(AD820,1)="3","C3",""))))</f>
        <v/>
      </c>
      <c r="AF820" s="11" t="inlineStr">
        <is>
          <t>E6</t>
        </is>
      </c>
      <c r="AG820" s="11" t="inlineStr">
        <is>
          <t>E3</t>
        </is>
      </c>
      <c r="AH820" s="11" t="inlineStr">
        <is>
          <t>E4</t>
        </is>
      </c>
      <c r="AI820" s="11" t="inlineStr">
        <is>
          <t>D2</t>
        </is>
      </c>
      <c r="AJ820" s="11" t="inlineStr">
        <is>
          <t>D3</t>
        </is>
      </c>
      <c r="AK820" s="11" t="n"/>
      <c r="AL820" s="11" t="n"/>
      <c r="AM820" s="11" t="n"/>
      <c r="AN820" s="11" t="n"/>
      <c r="AO820" s="11" t="n"/>
      <c r="AP820" s="11" t="n"/>
      <c r="AQ820" s="11" t="n"/>
      <c r="AR820" s="11" t="n"/>
      <c r="AS820" s="11" t="n"/>
      <c r="AT820" s="11" t="n"/>
      <c r="AU820" s="11" t="n"/>
      <c r="AV820" s="11" t="n"/>
      <c r="AW820" s="11">
        <f>AF820&amp;"; "&amp;AG820&amp;"; "&amp;AH820&amp;"; "&amp;AI820&amp;"; "&amp;AJ820</f>
        <v/>
      </c>
    </row>
    <row r="821">
      <c r="A821" s="11" t="inlineStr">
        <is>
          <t>T0357-G11-FÍS</t>
        </is>
      </c>
      <c r="B821" s="11" t="n">
        <v>11</v>
      </c>
      <c r="C821" s="11" t="inlineStr">
        <is>
          <t>Física</t>
        </is>
      </c>
      <c r="D821" s="11" t="inlineStr">
        <is>
          <t>Matriz_Bachillerato_Fisica_10_11.xlsx</t>
        </is>
      </c>
      <c r="E821" s="11" t="inlineStr">
        <is>
          <t>Física 11.°</t>
        </is>
      </c>
      <c r="F821" s="11" t="n">
        <v>76</v>
      </c>
      <c r="G821" s="11" t="inlineStr">
        <is>
          <t>12. Electromagnetismo</t>
        </is>
      </c>
      <c r="H821" s="11" t="inlineStr">
        <is>
          <t>Telecomunicaciones</t>
        </is>
      </c>
      <c r="I821" s="38" t="inlineStr">
        <is>
          <t>12.9. Investigación del desarrollo tecnológico de los sistemas de radiocomunicación.</t>
        </is>
      </c>
      <c r="J821" s="11" t="inlineStr">
        <is>
          <t>TA</t>
        </is>
      </c>
      <c r="K821" s="11" t="inlineStr">
        <is>
          <t>FUERA</t>
        </is>
      </c>
      <c r="L821" s="11" t="inlineStr"/>
      <c r="M821" s="11">
        <f>IF(K821="FUERA","Fuera del marco",IF(K821="N/A","Sin marco",IFERROR(INDEX('Datos - Catálogo TIMSS'!$C$5:$C$107,MATCH(K821,'Datos - Catálogo TIMSS'!$A$5:$A$107,0)),"Pendiente de clasificar")))</f>
        <v/>
      </c>
      <c r="N821" s="11">
        <f>IF(K821="FUERA","Fuera del marco",IF(K821="N/A","Sin marco",IFERROR(INDEX('Datos - Catálogo TIMSS'!$F$5:$F$107,MATCH(K821,'Datos - Catálogo TIMSS'!$A$5:$A$107,0)),"Pendiente de clasificar")))</f>
        <v/>
      </c>
      <c r="O821" s="11">
        <f>IF(L821="","",IFERROR(INDEX('Datos - Catálogo TIMSS'!$C$5:$C$107,MATCH(L821,'Datos - Catálogo TIMSS'!$A$5:$A$107,0)),"?"))</f>
        <v/>
      </c>
      <c r="P821" s="11" t="inlineStr">
        <is>
          <t>media</t>
        </is>
      </c>
      <c r="Q821" s="38" t="inlineStr">
        <is>
          <t>Historia de la radiocomunicación sin contenido del catálogo</t>
        </is>
      </c>
      <c r="R821" s="38" t="inlineStr">
        <is>
          <t>Conocer: identificar hitos históricos. Razonar: relacionar ciencia, tecnología y sociedad</t>
        </is>
      </c>
      <c r="S821" s="39">
        <f>IFERROR(ISNUMBER(SEARCH("Conocer",$R821))/(ISNUMBER(SEARCH("Conocer",$R821))+ISNUMBER(SEARCH("Aplicar",$R821))+ISNUMBER(SEARCH("Razonar",$R821))),0)</f>
        <v/>
      </c>
      <c r="T821" s="39">
        <f>IFERROR(ISNUMBER(SEARCH("Aplicar",$R821))/(ISNUMBER(SEARCH("Conocer",$R821))+ISNUMBER(SEARCH("Aplicar",$R821))+ISNUMBER(SEARCH("Razonar",$R821))),0)</f>
        <v/>
      </c>
      <c r="U821" s="39">
        <f>IFERROR(ISNUMBER(SEARCH("Razonar",$R821))/(ISNUMBER(SEARCH("Conocer",$R821))+ISNUMBER(SEARCH("Aplicar",$R821))+ISNUMBER(SEARCH("Razonar",$R821))),0)</f>
        <v/>
      </c>
      <c r="V821" s="11" t="inlineStr">
        <is>
          <t>Física 11°</t>
        </is>
      </c>
      <c r="W821" s="11" t="inlineStr">
        <is>
          <t>Física 10°–11°</t>
        </is>
      </c>
      <c r="X821" s="11">
        <f>IF(OR(IFERROR(INDEX('Datos - Catálogo TIMSS'!$I$5:$I$107,MATCH(K821,'Datos - Catálogo TIMSS'!$A$5:$A$107,0)),"No")="Sí",IFERROR(INDEX('Datos - Catálogo TIMSS'!$I$5:$I$107,MATCH(L821,'Datos - Catálogo TIMSS'!$A$5:$A$107,0)),"No")="Sí"),1,0)</f>
        <v/>
      </c>
      <c r="Y821" s="11">
        <f>IF(IFERROR(INDEX('Datos - Catálogo TIMSS'!$J$5:$J$107,MATCH(K821,'Datos - Catálogo TIMSS'!$A$5:$A$107,0)),"No")="Sí",1,0)</f>
        <v/>
      </c>
      <c r="Z821" s="11">
        <f>IF(IFERROR(INDEX('Datos - Catálogo TIMSS'!$J$5:$J$107,MATCH(L821,'Datos - Catálogo TIMSS'!$A$5:$A$107,0)),"No")="Sí",1,0)</f>
        <v/>
      </c>
      <c r="AA821" s="11" t="inlineStr">
        <is>
          <t>FUERA</t>
        </is>
      </c>
      <c r="AB821" s="11" t="inlineStr"/>
      <c r="AC821" s="11">
        <f>IF(AA821="FUERA","Fuera del marco",IF(AA821="N/A","Sin marco",IFERROR(INDEX('Datos - TIMSS 2023'!$C$5:$C$105,MATCH(AA821,'Datos - TIMSS 2023'!$A$5:$A$105,0)),"Pendiente de clasificar")))</f>
        <v/>
      </c>
      <c r="AD821" s="11" t="inlineStr">
        <is>
          <t>3. Investigar, evaluar y usar información científica para tomar decisiones y actuar</t>
        </is>
      </c>
      <c r="AE821" s="11">
        <f>IF(AD821="","",IF(LEFT(AD821,1)="1","C1",IF(LEFT(AD821,1)="2","C2",IF(LEFT(AD821,1)="3","C3",""))))</f>
        <v/>
      </c>
      <c r="AF821" s="11" t="inlineStr">
        <is>
          <t>E1</t>
        </is>
      </c>
      <c r="AG821" s="11" t="inlineStr">
        <is>
          <t>D1</t>
        </is>
      </c>
      <c r="AH821" s="11" t="inlineStr">
        <is>
          <t>E1</t>
        </is>
      </c>
      <c r="AI821" s="11" t="inlineStr">
        <is>
          <t>I1</t>
        </is>
      </c>
      <c r="AJ821" s="11" t="inlineStr">
        <is>
          <t>E6</t>
        </is>
      </c>
      <c r="AK821" s="11" t="n"/>
      <c r="AL821" s="11" t="n"/>
      <c r="AM821" s="11" t="n"/>
      <c r="AN821" s="11" t="n"/>
      <c r="AO821" s="11" t="n"/>
      <c r="AP821" s="11" t="n"/>
      <c r="AQ821" s="11" t="n"/>
      <c r="AR821" s="11" t="n"/>
      <c r="AS821" s="11" t="n"/>
      <c r="AT821" s="11" t="n"/>
      <c r="AU821" s="11" t="n"/>
      <c r="AV821" s="11" t="n"/>
      <c r="AW821" s="11">
        <f>AF821&amp;"; "&amp;AG821&amp;"; "&amp;AH821&amp;"; "&amp;AI821&amp;"; "&amp;AJ821</f>
        <v/>
      </c>
    </row>
    <row r="822">
      <c r="A822" s="11" t="inlineStr">
        <is>
          <t>T0358-G11-FÍS</t>
        </is>
      </c>
      <c r="B822" s="11" t="n">
        <v>11</v>
      </c>
      <c r="C822" s="11" t="inlineStr">
        <is>
          <t>Física</t>
        </is>
      </c>
      <c r="D822" s="11" t="inlineStr">
        <is>
          <t>Matriz_Bachillerato_Fisica_10_11.xlsx</t>
        </is>
      </c>
      <c r="E822" s="11" t="inlineStr">
        <is>
          <t>Física 11.°</t>
        </is>
      </c>
      <c r="F822" s="11" t="n">
        <v>77</v>
      </c>
      <c r="G822" s="11" t="inlineStr">
        <is>
          <t>13. Circuitos de corriente alterna</t>
        </is>
      </c>
      <c r="H822" s="11" t="inlineStr">
        <is>
          <t>Corriente alterna</t>
        </is>
      </c>
      <c r="I822" s="38" t="inlineStr">
        <is>
          <t>13.1. Análisis de la corriente alterna sinusoidal y cálculo de sus valores máximos y eficaces.</t>
        </is>
      </c>
      <c r="J822" s="11" t="inlineStr">
        <is>
          <t>TA</t>
        </is>
      </c>
      <c r="K822" s="11" t="inlineStr">
        <is>
          <t>TA-E1.3</t>
        </is>
      </c>
      <c r="L822" s="11" t="inlineStr">
        <is>
          <t>TA-E2.3</t>
        </is>
      </c>
      <c r="M822" s="11">
        <f>IF(K822="FUERA","Fuera del marco",IF(K822="N/A","Sin marco",IFERROR(INDEX('Datos - Catálogo TIMSS'!$C$5:$C$107,MATCH(K822,'Datos - Catálogo TIMSS'!$A$5:$A$107,0)),"Pendiente de clasificar")))</f>
        <v/>
      </c>
      <c r="N822" s="11">
        <f>IF(K822="FUERA","Fuera del marco",IF(K822="N/A","Sin marco",IFERROR(INDEX('Datos - Catálogo TIMSS'!$F$5:$F$107,MATCH(K822,'Datos - Catálogo TIMSS'!$A$5:$A$107,0)),"Pendiente de clasificar")))</f>
        <v/>
      </c>
      <c r="O822" s="11">
        <f>IF(L822="","",IFERROR(INDEX('Datos - Catálogo TIMSS'!$C$5:$C$107,MATCH(L822,'Datos - Catálogo TIMSS'!$A$5:$A$107,0)),"?"))</f>
        <v/>
      </c>
      <c r="P822" s="11" t="inlineStr">
        <is>
          <t>baja</t>
        </is>
      </c>
      <c r="Q822" s="38" t="inlineStr">
        <is>
          <t>Corriente alterna: valores eficaces; encaje parcial en circuitos</t>
        </is>
      </c>
      <c r="R822" s="38" t="inlineStr">
        <is>
          <t>Aplicar: calcular valores eficaces y período. Razonar: evaluar afirmaciones con evidencia física</t>
        </is>
      </c>
      <c r="S822" s="39">
        <f>IFERROR(ISNUMBER(SEARCH("Conocer",$R822))/(ISNUMBER(SEARCH("Conocer",$R822))+ISNUMBER(SEARCH("Aplicar",$R822))+ISNUMBER(SEARCH("Razonar",$R822))),0)</f>
        <v/>
      </c>
      <c r="T822" s="39">
        <f>IFERROR(ISNUMBER(SEARCH("Aplicar",$R822))/(ISNUMBER(SEARCH("Conocer",$R822))+ISNUMBER(SEARCH("Aplicar",$R822))+ISNUMBER(SEARCH("Razonar",$R822))),0)</f>
        <v/>
      </c>
      <c r="U822" s="39">
        <f>IFERROR(ISNUMBER(SEARCH("Razonar",$R822))/(ISNUMBER(SEARCH("Conocer",$R822))+ISNUMBER(SEARCH("Aplicar",$R822))+ISNUMBER(SEARCH("Razonar",$R822))),0)</f>
        <v/>
      </c>
      <c r="V822" s="11" t="inlineStr">
        <is>
          <t>Física 11°</t>
        </is>
      </c>
      <c r="W822" s="11" t="inlineStr">
        <is>
          <t>Física 10°–11°</t>
        </is>
      </c>
      <c r="X822" s="11">
        <f>IF(OR(IFERROR(INDEX('Datos - Catálogo TIMSS'!$I$5:$I$107,MATCH(K822,'Datos - Catálogo TIMSS'!$A$5:$A$107,0)),"No")="Sí",IFERROR(INDEX('Datos - Catálogo TIMSS'!$I$5:$I$107,MATCH(L822,'Datos - Catálogo TIMSS'!$A$5:$A$107,0)),"No")="Sí"),1,0)</f>
        <v/>
      </c>
      <c r="Y822" s="11">
        <f>IF(IFERROR(INDEX('Datos - Catálogo TIMSS'!$J$5:$J$107,MATCH(K822,'Datos - Catálogo TIMSS'!$A$5:$A$107,0)),"No")="Sí",1,0)</f>
        <v/>
      </c>
      <c r="Z822" s="11">
        <f>IF(IFERROR(INDEX('Datos - Catálogo TIMSS'!$J$5:$J$107,MATCH(L822,'Datos - Catálogo TIMSS'!$A$5:$A$107,0)),"No")="Sí",1,0)</f>
        <v/>
      </c>
      <c r="AA822" s="11" t="inlineStr">
        <is>
          <t>TA-E1.3</t>
        </is>
      </c>
      <c r="AB822" s="11" t="inlineStr">
        <is>
          <t>TA-E2.3</t>
        </is>
      </c>
      <c r="AC822" s="11">
        <f>IF(AA822="FUERA","Fuera del marco",IF(AA822="N/A","Sin marco",IFERROR(INDEX('Datos - TIMSS 2023'!$C$5:$C$105,MATCH(AA822,'Datos - TIMSS 2023'!$A$5:$A$105,0)),"Pendiente de clasificar")))</f>
        <v/>
      </c>
      <c r="AD822" s="11" t="inlineStr">
        <is>
          <t>3. Investigar, evaluar y usar información científica para tomar decisiones y actuar</t>
        </is>
      </c>
      <c r="AE822" s="11">
        <f>IF(AD822="","",IF(LEFT(AD822,1)="1","C1",IF(LEFT(AD822,1)="2","C2",IF(LEFT(AD822,1)="3","C3",""))))</f>
        <v/>
      </c>
      <c r="AF822" s="11" t="inlineStr">
        <is>
          <t>E1</t>
        </is>
      </c>
      <c r="AG822" s="11" t="inlineStr">
        <is>
          <t>E3</t>
        </is>
      </c>
      <c r="AH822" s="11" t="inlineStr">
        <is>
          <t>E2</t>
        </is>
      </c>
      <c r="AI822" s="11" t="inlineStr">
        <is>
          <t>I2</t>
        </is>
      </c>
      <c r="AJ822" s="11" t="inlineStr">
        <is>
          <t>E6</t>
        </is>
      </c>
      <c r="AK822" s="11" t="n"/>
      <c r="AL822" s="11" t="n"/>
      <c r="AM822" s="11" t="n"/>
      <c r="AN822" s="11" t="n"/>
      <c r="AO822" s="11" t="n"/>
      <c r="AP822" s="11" t="n"/>
      <c r="AQ822" s="11" t="n"/>
      <c r="AR822" s="11" t="n"/>
      <c r="AS822" s="11" t="n"/>
      <c r="AT822" s="11" t="n"/>
      <c r="AU822" s="11" t="n"/>
      <c r="AV822" s="11" t="n"/>
      <c r="AW822" s="11">
        <f>AF822&amp;"; "&amp;AG822&amp;"; "&amp;AH822&amp;"; "&amp;AI822&amp;"; "&amp;AJ822</f>
        <v/>
      </c>
    </row>
    <row r="823">
      <c r="A823" s="11" t="inlineStr">
        <is>
          <t>T0359-G11-FÍS</t>
        </is>
      </c>
      <c r="B823" s="11" t="n">
        <v>11</v>
      </c>
      <c r="C823" s="11" t="inlineStr">
        <is>
          <t>Física</t>
        </is>
      </c>
      <c r="D823" s="11" t="inlineStr">
        <is>
          <t>Matriz_Bachillerato_Fisica_10_11.xlsx</t>
        </is>
      </c>
      <c r="E823" s="11" t="inlineStr">
        <is>
          <t>Física 11.°</t>
        </is>
      </c>
      <c r="F823" s="11" t="n">
        <v>78</v>
      </c>
      <c r="G823" s="11" t="inlineStr">
        <is>
          <t>13. Circuitos de corriente alterna</t>
        </is>
      </c>
      <c r="H823" s="11" t="inlineStr">
        <is>
          <t>Corriente alterna</t>
        </is>
      </c>
      <c r="I823" s="38" t="inlineStr">
        <is>
          <t>13.2. Análisis del funcionamiento del transformador y de su papel en el transporte de energía eléctrica en la red salvadoreña.</t>
        </is>
      </c>
      <c r="J823" s="11" t="inlineStr">
        <is>
          <t>TA</t>
        </is>
      </c>
      <c r="K823" s="11" t="inlineStr">
        <is>
          <t>TA-E2.3</t>
        </is>
      </c>
      <c r="L823" s="11" t="inlineStr">
        <is>
          <t>TA-E1.3</t>
        </is>
      </c>
      <c r="M823" s="11">
        <f>IF(K823="FUERA","Fuera del marco",IF(K823="N/A","Sin marco",IFERROR(INDEX('Datos - Catálogo TIMSS'!$C$5:$C$107,MATCH(K823,'Datos - Catálogo TIMSS'!$A$5:$A$107,0)),"Pendiente de clasificar")))</f>
        <v/>
      </c>
      <c r="N823" s="11">
        <f>IF(K823="FUERA","Fuera del marco",IF(K823="N/A","Sin marco",IFERROR(INDEX('Datos - Catálogo TIMSS'!$F$5:$F$107,MATCH(K823,'Datos - Catálogo TIMSS'!$A$5:$A$107,0)),"Pendiente de clasificar")))</f>
        <v/>
      </c>
      <c r="O823" s="11">
        <f>IF(L823="","",IFERROR(INDEX('Datos - Catálogo TIMSS'!$C$5:$C$107,MATCH(L823,'Datos - Catálogo TIMSS'!$A$5:$A$107,0)),"?"))</f>
        <v/>
      </c>
      <c r="P823" s="11" t="inlineStr">
        <is>
          <t>media</t>
        </is>
      </c>
      <c r="Q823" s="38" t="inlineStr">
        <is>
          <t>Transformador por inducción y pérdidas Joule</t>
        </is>
      </c>
      <c r="R823" s="38" t="inlineStr">
        <is>
          <t>Aplicar: calcular relaciones del transformador y pérdidas. Razonar: justificar el transporte a alto voltaje</t>
        </is>
      </c>
      <c r="S823" s="39">
        <f>IFERROR(ISNUMBER(SEARCH("Conocer",$R823))/(ISNUMBER(SEARCH("Conocer",$R823))+ISNUMBER(SEARCH("Aplicar",$R823))+ISNUMBER(SEARCH("Razonar",$R823))),0)</f>
        <v/>
      </c>
      <c r="T823" s="39">
        <f>IFERROR(ISNUMBER(SEARCH("Aplicar",$R823))/(ISNUMBER(SEARCH("Conocer",$R823))+ISNUMBER(SEARCH("Aplicar",$R823))+ISNUMBER(SEARCH("Razonar",$R823))),0)</f>
        <v/>
      </c>
      <c r="U823" s="39">
        <f>IFERROR(ISNUMBER(SEARCH("Razonar",$R823))/(ISNUMBER(SEARCH("Conocer",$R823))+ISNUMBER(SEARCH("Aplicar",$R823))+ISNUMBER(SEARCH("Razonar",$R823))),0)</f>
        <v/>
      </c>
      <c r="V823" s="11" t="inlineStr">
        <is>
          <t>Física 11°</t>
        </is>
      </c>
      <c r="W823" s="11" t="inlineStr">
        <is>
          <t>Física 10°–11°</t>
        </is>
      </c>
      <c r="X823" s="11">
        <f>IF(OR(IFERROR(INDEX('Datos - Catálogo TIMSS'!$I$5:$I$107,MATCH(K823,'Datos - Catálogo TIMSS'!$A$5:$A$107,0)),"No")="Sí",IFERROR(INDEX('Datos - Catálogo TIMSS'!$I$5:$I$107,MATCH(L823,'Datos - Catálogo TIMSS'!$A$5:$A$107,0)),"No")="Sí"),1,0)</f>
        <v/>
      </c>
      <c r="Y823" s="11">
        <f>IF(IFERROR(INDEX('Datos - Catálogo TIMSS'!$J$5:$J$107,MATCH(K823,'Datos - Catálogo TIMSS'!$A$5:$A$107,0)),"No")="Sí",1,0)</f>
        <v/>
      </c>
      <c r="Z823" s="11">
        <f>IF(IFERROR(INDEX('Datos - Catálogo TIMSS'!$J$5:$J$107,MATCH(L823,'Datos - Catálogo TIMSS'!$A$5:$A$107,0)),"No")="Sí",1,0)</f>
        <v/>
      </c>
      <c r="AA823" s="11" t="inlineStr">
        <is>
          <t>TA-E2.3</t>
        </is>
      </c>
      <c r="AB823" s="11" t="inlineStr">
        <is>
          <t>TA-E1.3</t>
        </is>
      </c>
      <c r="AC823" s="11">
        <f>IF(AA823="FUERA","Fuera del marco",IF(AA823="N/A","Sin marco",IFERROR(INDEX('Datos - TIMSS 2023'!$C$5:$C$105,MATCH(AA823,'Datos - TIMSS 2023'!$A$5:$A$105,0)),"Pendiente de clasificar")))</f>
        <v/>
      </c>
      <c r="AD823" s="11" t="inlineStr">
        <is>
          <t>1. Explicar fenómenos científicamente</t>
        </is>
      </c>
      <c r="AE823" s="11">
        <f>IF(AD823="","",IF(LEFT(AD823,1)="1","C1",IF(LEFT(AD823,1)="2","C2",IF(LEFT(AD823,1)="3","C3",""))))</f>
        <v/>
      </c>
      <c r="AF823" s="11" t="inlineStr">
        <is>
          <t>E6</t>
        </is>
      </c>
      <c r="AG823" s="11" t="inlineStr">
        <is>
          <t>E5</t>
        </is>
      </c>
      <c r="AH823" s="11" t="inlineStr">
        <is>
          <t>E1</t>
        </is>
      </c>
      <c r="AI823" s="11" t="inlineStr">
        <is>
          <t>E4</t>
        </is>
      </c>
      <c r="AJ823" s="11" t="inlineStr">
        <is>
          <t>I5</t>
        </is>
      </c>
      <c r="AK823" s="11" t="n"/>
      <c r="AL823" s="11" t="n"/>
      <c r="AM823" s="11" t="n"/>
      <c r="AN823" s="11" t="n"/>
      <c r="AO823" s="11" t="n"/>
      <c r="AP823" s="11" t="n"/>
      <c r="AQ823" s="11" t="n"/>
      <c r="AR823" s="11" t="n"/>
      <c r="AS823" s="11" t="n"/>
      <c r="AT823" s="11" t="n"/>
      <c r="AU823" s="11" t="n"/>
      <c r="AV823" s="11" t="n"/>
      <c r="AW823" s="11">
        <f>AF823&amp;"; "&amp;AG823&amp;"; "&amp;AH823&amp;"; "&amp;AI823&amp;"; "&amp;AJ823</f>
        <v/>
      </c>
    </row>
    <row r="824">
      <c r="A824" s="11" t="inlineStr">
        <is>
          <t>T0360-G11-FÍS</t>
        </is>
      </c>
      <c r="B824" s="11" t="n">
        <v>11</v>
      </c>
      <c r="C824" s="11" t="inlineStr">
        <is>
          <t>Física</t>
        </is>
      </c>
      <c r="D824" s="11" t="inlineStr">
        <is>
          <t>Matriz_Bachillerato_Fisica_10_11.xlsx</t>
        </is>
      </c>
      <c r="E824" s="11" t="inlineStr">
        <is>
          <t>Física 11.°</t>
        </is>
      </c>
      <c r="F824" s="11" t="n">
        <v>79</v>
      </c>
      <c r="G824" s="11" t="inlineStr">
        <is>
          <t>13. Circuitos de corriente alterna</t>
        </is>
      </c>
      <c r="H824" s="11" t="inlineStr">
        <is>
          <t>Elementos reactivos</t>
        </is>
      </c>
      <c r="I824" s="38" t="inlineStr">
        <is>
          <t>13.3. Cálculo de la reactancia capacitiva y análisis de su dependencia con la frecuencia.</t>
        </is>
      </c>
      <c r="J824" s="11" t="inlineStr">
        <is>
          <t>TA</t>
        </is>
      </c>
      <c r="K824" s="11" t="inlineStr">
        <is>
          <t>FUERA</t>
        </is>
      </c>
      <c r="L824" s="11" t="inlineStr"/>
      <c r="M824" s="11">
        <f>IF(K824="FUERA","Fuera del marco",IF(K824="N/A","Sin marco",IFERROR(INDEX('Datos - Catálogo TIMSS'!$C$5:$C$107,MATCH(K824,'Datos - Catálogo TIMSS'!$A$5:$A$107,0)),"Pendiente de clasificar")))</f>
        <v/>
      </c>
      <c r="N824" s="11">
        <f>IF(K824="FUERA","Fuera del marco",IF(K824="N/A","Sin marco",IFERROR(INDEX('Datos - Catálogo TIMSS'!$F$5:$F$107,MATCH(K824,'Datos - Catálogo TIMSS'!$A$5:$A$107,0)),"Pendiente de clasificar")))</f>
        <v/>
      </c>
      <c r="O824" s="11">
        <f>IF(L824="","",IFERROR(INDEX('Datos - Catálogo TIMSS'!$C$5:$C$107,MATCH(L824,'Datos - Catálogo TIMSS'!$A$5:$A$107,0)),"?"))</f>
        <v/>
      </c>
      <c r="P824" s="11" t="inlineStr">
        <is>
          <t>media</t>
        </is>
      </c>
      <c r="Q824" s="38" t="inlineStr">
        <is>
          <t>Reactancia capacitiva en corriente alterna fuera del marco</t>
        </is>
      </c>
      <c r="R824" s="38" t="inlineStr">
        <is>
          <t>Aplicar: calcular reactancias y representar fasores. Razonar: interpretar el comportamiento en frecuencia</t>
        </is>
      </c>
      <c r="S824" s="39">
        <f>IFERROR(ISNUMBER(SEARCH("Conocer",$R824))/(ISNUMBER(SEARCH("Conocer",$R824))+ISNUMBER(SEARCH("Aplicar",$R824))+ISNUMBER(SEARCH("Razonar",$R824))),0)</f>
        <v/>
      </c>
      <c r="T824" s="39">
        <f>IFERROR(ISNUMBER(SEARCH("Aplicar",$R824))/(ISNUMBER(SEARCH("Conocer",$R824))+ISNUMBER(SEARCH("Aplicar",$R824))+ISNUMBER(SEARCH("Razonar",$R824))),0)</f>
        <v/>
      </c>
      <c r="U824" s="39">
        <f>IFERROR(ISNUMBER(SEARCH("Razonar",$R824))/(ISNUMBER(SEARCH("Conocer",$R824))+ISNUMBER(SEARCH("Aplicar",$R824))+ISNUMBER(SEARCH("Razonar",$R824))),0)</f>
        <v/>
      </c>
      <c r="V824" s="11" t="inlineStr">
        <is>
          <t>Física 11°</t>
        </is>
      </c>
      <c r="W824" s="11" t="inlineStr">
        <is>
          <t>Física 10°–11°</t>
        </is>
      </c>
      <c r="X824" s="11">
        <f>IF(OR(IFERROR(INDEX('Datos - Catálogo TIMSS'!$I$5:$I$107,MATCH(K824,'Datos - Catálogo TIMSS'!$A$5:$A$107,0)),"No")="Sí",IFERROR(INDEX('Datos - Catálogo TIMSS'!$I$5:$I$107,MATCH(L824,'Datos - Catálogo TIMSS'!$A$5:$A$107,0)),"No")="Sí"),1,0)</f>
        <v/>
      </c>
      <c r="Y824" s="11">
        <f>IF(IFERROR(INDEX('Datos - Catálogo TIMSS'!$J$5:$J$107,MATCH(K824,'Datos - Catálogo TIMSS'!$A$5:$A$107,0)),"No")="Sí",1,0)</f>
        <v/>
      </c>
      <c r="Z824" s="11">
        <f>IF(IFERROR(INDEX('Datos - Catálogo TIMSS'!$J$5:$J$107,MATCH(L824,'Datos - Catálogo TIMSS'!$A$5:$A$107,0)),"No")="Sí",1,0)</f>
        <v/>
      </c>
      <c r="AA824" s="11" t="inlineStr">
        <is>
          <t>FUERA</t>
        </is>
      </c>
      <c r="AB824" s="11" t="inlineStr"/>
      <c r="AC824" s="11">
        <f>IF(AA824="FUERA","Fuera del marco",IF(AA824="N/A","Sin marco",IFERROR(INDEX('Datos - TIMSS 2023'!$C$5:$C$105,MATCH(AA824,'Datos - TIMSS 2023'!$A$5:$A$105,0)),"Pendiente de clasificar")))</f>
        <v/>
      </c>
      <c r="AD824" s="11" t="inlineStr">
        <is>
          <t>1. Explicar fenómenos científicamente</t>
        </is>
      </c>
      <c r="AE824" s="11">
        <f>IF(AD824="","",IF(LEFT(AD824,1)="1","C1",IF(LEFT(AD824,1)="2","C2",IF(LEFT(AD824,1)="3","C3",""))))</f>
        <v/>
      </c>
      <c r="AF824" s="11" t="inlineStr">
        <is>
          <t>E1</t>
        </is>
      </c>
      <c r="AG824" s="11" t="inlineStr">
        <is>
          <t>E3</t>
        </is>
      </c>
      <c r="AH824" s="11" t="inlineStr">
        <is>
          <t>E2</t>
        </is>
      </c>
      <c r="AI824" s="11" t="inlineStr">
        <is>
          <t>D4</t>
        </is>
      </c>
      <c r="AJ824" s="11" t="inlineStr">
        <is>
          <t>E3</t>
        </is>
      </c>
      <c r="AK824" s="11" t="n"/>
      <c r="AL824" s="11" t="n"/>
      <c r="AM824" s="11" t="n"/>
      <c r="AN824" s="11" t="n"/>
      <c r="AO824" s="11" t="n"/>
      <c r="AP824" s="11" t="n"/>
      <c r="AQ824" s="11" t="n"/>
      <c r="AR824" s="11" t="n"/>
      <c r="AS824" s="11" t="n"/>
      <c r="AT824" s="11" t="n"/>
      <c r="AU824" s="11" t="n"/>
      <c r="AV824" s="11" t="n"/>
      <c r="AW824" s="11">
        <f>AF824&amp;"; "&amp;AG824&amp;"; "&amp;AH824&amp;"; "&amp;AI824&amp;"; "&amp;AJ824</f>
        <v/>
      </c>
    </row>
    <row r="825">
      <c r="A825" s="11" t="inlineStr">
        <is>
          <t>T0361-G11-FÍS</t>
        </is>
      </c>
      <c r="B825" s="11" t="n">
        <v>11</v>
      </c>
      <c r="C825" s="11" t="inlineStr">
        <is>
          <t>Física</t>
        </is>
      </c>
      <c r="D825" s="11" t="inlineStr">
        <is>
          <t>Matriz_Bachillerato_Fisica_10_11.xlsx</t>
        </is>
      </c>
      <c r="E825" s="11" t="inlineStr">
        <is>
          <t>Física 11.°</t>
        </is>
      </c>
      <c r="F825" s="11" t="n">
        <v>80</v>
      </c>
      <c r="G825" s="11" t="inlineStr">
        <is>
          <t>13. Circuitos de corriente alterna</t>
        </is>
      </c>
      <c r="H825" s="11" t="inlineStr">
        <is>
          <t>Elementos reactivos</t>
        </is>
      </c>
      <c r="I825" s="38" t="inlineStr">
        <is>
          <t>13.4. Medición de la reactancia inductiva de una bobina con un generador de señales de bajo voltaje a diferentes frecuencias.</t>
        </is>
      </c>
      <c r="J825" s="11" t="inlineStr">
        <is>
          <t>TA</t>
        </is>
      </c>
      <c r="K825" s="11" t="inlineStr">
        <is>
          <t>TA-E2.3</t>
        </is>
      </c>
      <c r="L825" s="11" t="inlineStr"/>
      <c r="M825" s="11">
        <f>IF(K825="FUERA","Fuera del marco",IF(K825="N/A","Sin marco",IFERROR(INDEX('Datos - Catálogo TIMSS'!$C$5:$C$107,MATCH(K825,'Datos - Catálogo TIMSS'!$A$5:$A$107,0)),"Pendiente de clasificar")))</f>
        <v/>
      </c>
      <c r="N825" s="11">
        <f>IF(K825="FUERA","Fuera del marco",IF(K825="N/A","Sin marco",IFERROR(INDEX('Datos - Catálogo TIMSS'!$F$5:$F$107,MATCH(K825,'Datos - Catálogo TIMSS'!$A$5:$A$107,0)),"Pendiente de clasificar")))</f>
        <v/>
      </c>
      <c r="O825" s="11">
        <f>IF(L825="","",IFERROR(INDEX('Datos - Catálogo TIMSS'!$C$5:$C$107,MATCH(L825,'Datos - Catálogo TIMSS'!$A$5:$A$107,0)),"?"))</f>
        <v/>
      </c>
      <c r="P825" s="11" t="inlineStr">
        <is>
          <t>baja</t>
        </is>
      </c>
      <c r="Q825" s="38" t="inlineStr">
        <is>
          <t>Reactancia inductiva vinculada a autoinducción de Faraday</t>
        </is>
      </c>
      <c r="R825" s="38" t="inlineStr">
        <is>
          <t>Aplicar: calcular inductancia a partir de datos. Razonar: relacionar reactancia con la ley de Faraday</t>
        </is>
      </c>
      <c r="S825" s="39">
        <f>IFERROR(ISNUMBER(SEARCH("Conocer",$R825))/(ISNUMBER(SEARCH("Conocer",$R825))+ISNUMBER(SEARCH("Aplicar",$R825))+ISNUMBER(SEARCH("Razonar",$R825))),0)</f>
        <v/>
      </c>
      <c r="T825" s="39">
        <f>IFERROR(ISNUMBER(SEARCH("Aplicar",$R825))/(ISNUMBER(SEARCH("Conocer",$R825))+ISNUMBER(SEARCH("Aplicar",$R825))+ISNUMBER(SEARCH("Razonar",$R825))),0)</f>
        <v/>
      </c>
      <c r="U825" s="39">
        <f>IFERROR(ISNUMBER(SEARCH("Razonar",$R825))/(ISNUMBER(SEARCH("Conocer",$R825))+ISNUMBER(SEARCH("Aplicar",$R825))+ISNUMBER(SEARCH("Razonar",$R825))),0)</f>
        <v/>
      </c>
      <c r="V825" s="11" t="inlineStr">
        <is>
          <t>Física 11°</t>
        </is>
      </c>
      <c r="W825" s="11" t="inlineStr">
        <is>
          <t>Física 10°–11°</t>
        </is>
      </c>
      <c r="X825" s="11">
        <f>IF(OR(IFERROR(INDEX('Datos - Catálogo TIMSS'!$I$5:$I$107,MATCH(K825,'Datos - Catálogo TIMSS'!$A$5:$A$107,0)),"No")="Sí",IFERROR(INDEX('Datos - Catálogo TIMSS'!$I$5:$I$107,MATCH(L825,'Datos - Catálogo TIMSS'!$A$5:$A$107,0)),"No")="Sí"),1,0)</f>
        <v/>
      </c>
      <c r="Y825" s="11">
        <f>IF(IFERROR(INDEX('Datos - Catálogo TIMSS'!$J$5:$J$107,MATCH(K825,'Datos - Catálogo TIMSS'!$A$5:$A$107,0)),"No")="Sí",1,0)</f>
        <v/>
      </c>
      <c r="Z825" s="11">
        <f>IF(IFERROR(INDEX('Datos - Catálogo TIMSS'!$J$5:$J$107,MATCH(L825,'Datos - Catálogo TIMSS'!$A$5:$A$107,0)),"No")="Sí",1,0)</f>
        <v/>
      </c>
      <c r="AA825" s="11" t="inlineStr">
        <is>
          <t>TA-E2.3</t>
        </is>
      </c>
      <c r="AB825" s="11" t="inlineStr"/>
      <c r="AC825" s="11">
        <f>IF(AA825="FUERA","Fuera del marco",IF(AA825="N/A","Sin marco",IFERROR(INDEX('Datos - TIMSS 2023'!$C$5:$C$105,MATCH(AA825,'Datos - TIMSS 2023'!$A$5:$A$105,0)),"Pendiente de clasificar")))</f>
        <v/>
      </c>
      <c r="AD825" s="11" t="inlineStr">
        <is>
          <t>2. Construir y evaluar diseños para la indagación científica e interpretar datos y evidencia de forma crítica</t>
        </is>
      </c>
      <c r="AE825" s="11">
        <f>IF(AD825="","",IF(LEFT(AD825,1)="1","C1",IF(LEFT(AD825,1)="2","C2",IF(LEFT(AD825,1)="3","C3",""))))</f>
        <v/>
      </c>
      <c r="AF825" s="11" t="inlineStr">
        <is>
          <t>E1</t>
        </is>
      </c>
      <c r="AG825" s="11" t="inlineStr">
        <is>
          <t>E5</t>
        </is>
      </c>
      <c r="AH825" s="11" t="inlineStr">
        <is>
          <t>E4</t>
        </is>
      </c>
      <c r="AI825" s="11" t="inlineStr">
        <is>
          <t>D4</t>
        </is>
      </c>
      <c r="AJ825" s="11" t="inlineStr">
        <is>
          <t>D3</t>
        </is>
      </c>
      <c r="AK825" s="11" t="n"/>
      <c r="AL825" s="11" t="n"/>
      <c r="AM825" s="11" t="n"/>
      <c r="AN825" s="11" t="n"/>
      <c r="AO825" s="11" t="n"/>
      <c r="AP825" s="11" t="n"/>
      <c r="AQ825" s="11" t="n"/>
      <c r="AR825" s="11" t="n"/>
      <c r="AS825" s="11" t="n"/>
      <c r="AT825" s="11" t="n"/>
      <c r="AU825" s="11" t="n"/>
      <c r="AV825" s="11" t="n"/>
      <c r="AW825" s="11">
        <f>AF825&amp;"; "&amp;AG825&amp;"; "&amp;AH825&amp;"; "&amp;AI825&amp;"; "&amp;AJ825</f>
        <v/>
      </c>
    </row>
    <row r="826">
      <c r="A826" s="11" t="inlineStr">
        <is>
          <t>T0362-G11-FÍS</t>
        </is>
      </c>
      <c r="B826" s="11" t="n">
        <v>11</v>
      </c>
      <c r="C826" s="11" t="inlineStr">
        <is>
          <t>Física</t>
        </is>
      </c>
      <c r="D826" s="11" t="inlineStr">
        <is>
          <t>Matriz_Bachillerato_Fisica_10_11.xlsx</t>
        </is>
      </c>
      <c r="E826" s="11" t="inlineStr">
        <is>
          <t>Física 11.°</t>
        </is>
      </c>
      <c r="F826" s="11" t="n">
        <v>81</v>
      </c>
      <c r="G826" s="11" t="inlineStr">
        <is>
          <t>13. Circuitos de corriente alterna</t>
        </is>
      </c>
      <c r="H826" s="11" t="inlineStr">
        <is>
          <t>Circuitos RLC</t>
        </is>
      </c>
      <c r="I826" s="38" t="inlineStr">
        <is>
          <t>13.5. Resolución de circuitos RLC en serie mediante el cálculo de impedancia, corriente y ángulo de fase.</t>
        </is>
      </c>
      <c r="J826" s="11" t="inlineStr">
        <is>
          <t>TA</t>
        </is>
      </c>
      <c r="K826" s="11" t="inlineStr">
        <is>
          <t>FUERA</t>
        </is>
      </c>
      <c r="L826" s="11" t="inlineStr"/>
      <c r="M826" s="11">
        <f>IF(K826="FUERA","Fuera del marco",IF(K826="N/A","Sin marco",IFERROR(INDEX('Datos - Catálogo TIMSS'!$C$5:$C$107,MATCH(K826,'Datos - Catálogo TIMSS'!$A$5:$A$107,0)),"Pendiente de clasificar")))</f>
        <v/>
      </c>
      <c r="N826" s="11">
        <f>IF(K826="FUERA","Fuera del marco",IF(K826="N/A","Sin marco",IFERROR(INDEX('Datos - Catálogo TIMSS'!$F$5:$F$107,MATCH(K826,'Datos - Catálogo TIMSS'!$A$5:$A$107,0)),"Pendiente de clasificar")))</f>
        <v/>
      </c>
      <c r="O826" s="11">
        <f>IF(L826="","",IFERROR(INDEX('Datos - Catálogo TIMSS'!$C$5:$C$107,MATCH(L826,'Datos - Catálogo TIMSS'!$A$5:$A$107,0)),"?"))</f>
        <v/>
      </c>
      <c r="P826" s="11" t="inlineStr">
        <is>
          <t>alta</t>
        </is>
      </c>
      <c r="Q826" s="38" t="inlineStr">
        <is>
          <t>Impedancia RLC en corriente alterna fuera del marco</t>
        </is>
      </c>
      <c r="R826" s="38" t="inlineStr">
        <is>
          <t>Aplicar: calcular impedancia y fase. Razonar: analizar la suma fasorial</t>
        </is>
      </c>
      <c r="S826" s="39">
        <f>IFERROR(ISNUMBER(SEARCH("Conocer",$R826))/(ISNUMBER(SEARCH("Conocer",$R826))+ISNUMBER(SEARCH("Aplicar",$R826))+ISNUMBER(SEARCH("Razonar",$R826))),0)</f>
        <v/>
      </c>
      <c r="T826" s="39">
        <f>IFERROR(ISNUMBER(SEARCH("Aplicar",$R826))/(ISNUMBER(SEARCH("Conocer",$R826))+ISNUMBER(SEARCH("Aplicar",$R826))+ISNUMBER(SEARCH("Razonar",$R826))),0)</f>
        <v/>
      </c>
      <c r="U826" s="39">
        <f>IFERROR(ISNUMBER(SEARCH("Razonar",$R826))/(ISNUMBER(SEARCH("Conocer",$R826))+ISNUMBER(SEARCH("Aplicar",$R826))+ISNUMBER(SEARCH("Razonar",$R826))),0)</f>
        <v/>
      </c>
      <c r="V826" s="11" t="inlineStr">
        <is>
          <t>Física 11°</t>
        </is>
      </c>
      <c r="W826" s="11" t="inlineStr">
        <is>
          <t>Física 10°–11°</t>
        </is>
      </c>
      <c r="X826" s="11">
        <f>IF(OR(IFERROR(INDEX('Datos - Catálogo TIMSS'!$I$5:$I$107,MATCH(K826,'Datos - Catálogo TIMSS'!$A$5:$A$107,0)),"No")="Sí",IFERROR(INDEX('Datos - Catálogo TIMSS'!$I$5:$I$107,MATCH(L826,'Datos - Catálogo TIMSS'!$A$5:$A$107,0)),"No")="Sí"),1,0)</f>
        <v/>
      </c>
      <c r="Y826" s="11">
        <f>IF(IFERROR(INDEX('Datos - Catálogo TIMSS'!$J$5:$J$107,MATCH(K826,'Datos - Catálogo TIMSS'!$A$5:$A$107,0)),"No")="Sí",1,0)</f>
        <v/>
      </c>
      <c r="Z826" s="11">
        <f>IF(IFERROR(INDEX('Datos - Catálogo TIMSS'!$J$5:$J$107,MATCH(L826,'Datos - Catálogo TIMSS'!$A$5:$A$107,0)),"No")="Sí",1,0)</f>
        <v/>
      </c>
      <c r="AA826" s="11" t="inlineStr">
        <is>
          <t>FUERA</t>
        </is>
      </c>
      <c r="AB826" s="11" t="inlineStr"/>
      <c r="AC826" s="11">
        <f>IF(AA826="FUERA","Fuera del marco",IF(AA826="N/A","Sin marco",IFERROR(INDEX('Datos - TIMSS 2023'!$C$5:$C$105,MATCH(AA826,'Datos - TIMSS 2023'!$A$5:$A$105,0)),"Pendiente de clasificar")))</f>
        <v/>
      </c>
      <c r="AD826" s="11" t="inlineStr">
        <is>
          <t>1. Explicar fenómenos científicamente</t>
        </is>
      </c>
      <c r="AE826" s="11">
        <f>IF(AD826="","",IF(LEFT(AD826,1)="1","C1",IF(LEFT(AD826,1)="2","C2",IF(LEFT(AD826,1)="3","C3",""))))</f>
        <v/>
      </c>
      <c r="AF826" s="11" t="inlineStr">
        <is>
          <t>E1</t>
        </is>
      </c>
      <c r="AG826" s="11" t="inlineStr">
        <is>
          <t>D1</t>
        </is>
      </c>
      <c r="AH826" s="11" t="inlineStr">
        <is>
          <t>E2</t>
        </is>
      </c>
      <c r="AI826" s="11" t="inlineStr">
        <is>
          <t>D4</t>
        </is>
      </c>
      <c r="AJ826" s="11" t="inlineStr">
        <is>
          <t>I4</t>
        </is>
      </c>
      <c r="AK826" s="11" t="n"/>
      <c r="AL826" s="11" t="n"/>
      <c r="AM826" s="11" t="n"/>
      <c r="AN826" s="11" t="n"/>
      <c r="AO826" s="11" t="n"/>
      <c r="AP826" s="11" t="n"/>
      <c r="AQ826" s="11" t="n"/>
      <c r="AR826" s="11" t="n"/>
      <c r="AS826" s="11" t="n"/>
      <c r="AT826" s="11" t="n"/>
      <c r="AU826" s="11" t="n"/>
      <c r="AV826" s="11" t="n"/>
      <c r="AW826" s="11">
        <f>AF826&amp;"; "&amp;AG826&amp;"; "&amp;AH826&amp;"; "&amp;AI826&amp;"; "&amp;AJ826</f>
        <v/>
      </c>
    </row>
    <row r="827">
      <c r="A827" s="11" t="inlineStr">
        <is>
          <t>T0363-G11-FÍS</t>
        </is>
      </c>
      <c r="B827" s="11" t="n">
        <v>11</v>
      </c>
      <c r="C827" s="11" t="inlineStr">
        <is>
          <t>Física</t>
        </is>
      </c>
      <c r="D827" s="11" t="inlineStr">
        <is>
          <t>Matriz_Bachillerato_Fisica_10_11.xlsx</t>
        </is>
      </c>
      <c r="E827" s="11" t="inlineStr">
        <is>
          <t>Física 11.°</t>
        </is>
      </c>
      <c r="F827" s="11" t="n">
        <v>82</v>
      </c>
      <c r="G827" s="11" t="inlineStr">
        <is>
          <t>13. Circuitos de corriente alterna</t>
        </is>
      </c>
      <c r="H827" s="11" t="inlineStr">
        <is>
          <t>Circuitos RLC</t>
        </is>
      </c>
      <c r="I827" s="38" t="inlineStr">
        <is>
          <t>13.6. Determinación de la frecuencia de resonancia de un circuito RLC y análisis del efecto de la resistencia en la curva de resonancia.</t>
        </is>
      </c>
      <c r="J827" s="11" t="inlineStr">
        <is>
          <t>TA</t>
        </is>
      </c>
      <c r="K827" s="11" t="inlineStr">
        <is>
          <t>FUERA</t>
        </is>
      </c>
      <c r="L827" s="11" t="inlineStr"/>
      <c r="M827" s="11">
        <f>IF(K827="FUERA","Fuera del marco",IF(K827="N/A","Sin marco",IFERROR(INDEX('Datos - Catálogo TIMSS'!$C$5:$C$107,MATCH(K827,'Datos - Catálogo TIMSS'!$A$5:$A$107,0)),"Pendiente de clasificar")))</f>
        <v/>
      </c>
      <c r="N827" s="11">
        <f>IF(K827="FUERA","Fuera del marco",IF(K827="N/A","Sin marco",IFERROR(INDEX('Datos - Catálogo TIMSS'!$F$5:$F$107,MATCH(K827,'Datos - Catálogo TIMSS'!$A$5:$A$107,0)),"Pendiente de clasificar")))</f>
        <v/>
      </c>
      <c r="O827" s="11">
        <f>IF(L827="","",IFERROR(INDEX('Datos - Catálogo TIMSS'!$C$5:$C$107,MATCH(L827,'Datos - Catálogo TIMSS'!$A$5:$A$107,0)),"?"))</f>
        <v/>
      </c>
      <c r="P827" s="11" t="inlineStr">
        <is>
          <t>media</t>
        </is>
      </c>
      <c r="Q827" s="38" t="inlineStr">
        <is>
          <t>Resonancia eléctrica RLC fuera del marco</t>
        </is>
      </c>
      <c r="R827" s="38" t="inlineStr">
        <is>
          <t>Aplicar: calcular la frecuencia de resonancia. Razonar: interpretar la selectividad del circuito</t>
        </is>
      </c>
      <c r="S827" s="39">
        <f>IFERROR(ISNUMBER(SEARCH("Conocer",$R827))/(ISNUMBER(SEARCH("Conocer",$R827))+ISNUMBER(SEARCH("Aplicar",$R827))+ISNUMBER(SEARCH("Razonar",$R827))),0)</f>
        <v/>
      </c>
      <c r="T827" s="39">
        <f>IFERROR(ISNUMBER(SEARCH("Aplicar",$R827))/(ISNUMBER(SEARCH("Conocer",$R827))+ISNUMBER(SEARCH("Aplicar",$R827))+ISNUMBER(SEARCH("Razonar",$R827))),0)</f>
        <v/>
      </c>
      <c r="U827" s="39">
        <f>IFERROR(ISNUMBER(SEARCH("Razonar",$R827))/(ISNUMBER(SEARCH("Conocer",$R827))+ISNUMBER(SEARCH("Aplicar",$R827))+ISNUMBER(SEARCH("Razonar",$R827))),0)</f>
        <v/>
      </c>
      <c r="V827" s="11" t="inlineStr">
        <is>
          <t>Física 11°</t>
        </is>
      </c>
      <c r="W827" s="11" t="inlineStr">
        <is>
          <t>Física 10°–11°</t>
        </is>
      </c>
      <c r="X827" s="11">
        <f>IF(OR(IFERROR(INDEX('Datos - Catálogo TIMSS'!$I$5:$I$107,MATCH(K827,'Datos - Catálogo TIMSS'!$A$5:$A$107,0)),"No")="Sí",IFERROR(INDEX('Datos - Catálogo TIMSS'!$I$5:$I$107,MATCH(L827,'Datos - Catálogo TIMSS'!$A$5:$A$107,0)),"No")="Sí"),1,0)</f>
        <v/>
      </c>
      <c r="Y827" s="11">
        <f>IF(IFERROR(INDEX('Datos - Catálogo TIMSS'!$J$5:$J$107,MATCH(K827,'Datos - Catálogo TIMSS'!$A$5:$A$107,0)),"No")="Sí",1,0)</f>
        <v/>
      </c>
      <c r="Z827" s="11">
        <f>IF(IFERROR(INDEX('Datos - Catálogo TIMSS'!$J$5:$J$107,MATCH(L827,'Datos - Catálogo TIMSS'!$A$5:$A$107,0)),"No")="Sí",1,0)</f>
        <v/>
      </c>
      <c r="AA827" s="11" t="inlineStr">
        <is>
          <t>FUERA</t>
        </is>
      </c>
      <c r="AB827" s="11" t="inlineStr"/>
      <c r="AC827" s="11">
        <f>IF(AA827="FUERA","Fuera del marco",IF(AA827="N/A","Sin marco",IFERROR(INDEX('Datos - TIMSS 2023'!$C$5:$C$105,MATCH(AA827,'Datos - TIMSS 2023'!$A$5:$A$105,0)),"Pendiente de clasificar")))</f>
        <v/>
      </c>
      <c r="AD827" s="11" t="inlineStr">
        <is>
          <t>1. Explicar fenómenos científicamente</t>
        </is>
      </c>
      <c r="AE827" s="11">
        <f>IF(AD827="","",IF(LEFT(AD827,1)="1","C1",IF(LEFT(AD827,1)="2","C2",IF(LEFT(AD827,1)="3","C3",""))))</f>
        <v/>
      </c>
      <c r="AF827" s="11" t="inlineStr">
        <is>
          <t>E6</t>
        </is>
      </c>
      <c r="AG827" s="11" t="inlineStr">
        <is>
          <t>E3</t>
        </is>
      </c>
      <c r="AH827" s="11" t="inlineStr">
        <is>
          <t>E1</t>
        </is>
      </c>
      <c r="AI827" s="11" t="inlineStr">
        <is>
          <t>D4</t>
        </is>
      </c>
      <c r="AJ827" s="11" t="inlineStr">
        <is>
          <t>I5</t>
        </is>
      </c>
      <c r="AK827" s="11" t="n"/>
      <c r="AL827" s="11" t="n"/>
      <c r="AM827" s="11" t="n"/>
      <c r="AN827" s="11" t="n"/>
      <c r="AO827" s="11" t="n"/>
      <c r="AP827" s="11" t="n"/>
      <c r="AQ827" s="11" t="n"/>
      <c r="AR827" s="11" t="n"/>
      <c r="AS827" s="11" t="n"/>
      <c r="AT827" s="11" t="n"/>
      <c r="AU827" s="11" t="n"/>
      <c r="AV827" s="11" t="n"/>
      <c r="AW827" s="11">
        <f>AF827&amp;"; "&amp;AG827&amp;"; "&amp;AH827&amp;"; "&amp;AI827&amp;"; "&amp;AJ827</f>
        <v/>
      </c>
    </row>
    <row r="828">
      <c r="A828" s="11" t="inlineStr">
        <is>
          <t>T0364-G11-FÍS</t>
        </is>
      </c>
      <c r="B828" s="11" t="n">
        <v>11</v>
      </c>
      <c r="C828" s="11" t="inlineStr">
        <is>
          <t>Física</t>
        </is>
      </c>
      <c r="D828" s="11" t="inlineStr">
        <is>
          <t>Matriz_Bachillerato_Fisica_10_11.xlsx</t>
        </is>
      </c>
      <c r="E828" s="11" t="inlineStr">
        <is>
          <t>Física 11.°</t>
        </is>
      </c>
      <c r="F828" s="11" t="n">
        <v>83</v>
      </c>
      <c r="G828" s="11" t="inlineStr">
        <is>
          <t>13. Circuitos de corriente alterna</t>
        </is>
      </c>
      <c r="H828" s="11" t="inlineStr">
        <is>
          <t>Dispositivos semiconductores</t>
        </is>
      </c>
      <c r="I828" s="38" t="inlineStr">
        <is>
          <t>13.7. Análisis de la conducción en semiconductores dopados y de la curva característica de un diodo alimentado con pilas.</t>
        </is>
      </c>
      <c r="J828" s="11" t="inlineStr">
        <is>
          <t>TA</t>
        </is>
      </c>
      <c r="K828" s="11" t="inlineStr">
        <is>
          <t>FUERA</t>
        </is>
      </c>
      <c r="L828" s="11" t="inlineStr"/>
      <c r="M828" s="11">
        <f>IF(K828="FUERA","Fuera del marco",IF(K828="N/A","Sin marco",IFERROR(INDEX('Datos - Catálogo TIMSS'!$C$5:$C$107,MATCH(K828,'Datos - Catálogo TIMSS'!$A$5:$A$107,0)),"Pendiente de clasificar")))</f>
        <v/>
      </c>
      <c r="N828" s="11">
        <f>IF(K828="FUERA","Fuera del marco",IF(K828="N/A","Sin marco",IFERROR(INDEX('Datos - Catálogo TIMSS'!$F$5:$F$107,MATCH(K828,'Datos - Catálogo TIMSS'!$A$5:$A$107,0)),"Pendiente de clasificar")))</f>
        <v/>
      </c>
      <c r="O828" s="11">
        <f>IF(L828="","",IFERROR(INDEX('Datos - Catálogo TIMSS'!$C$5:$C$107,MATCH(L828,'Datos - Catálogo TIMSS'!$A$5:$A$107,0)),"?"))</f>
        <v/>
      </c>
      <c r="P828" s="11" t="inlineStr">
        <is>
          <t>media</t>
        </is>
      </c>
      <c r="Q828" s="38" t="inlineStr">
        <is>
          <t>Semiconductores y diodos no figuran en el marco</t>
        </is>
      </c>
      <c r="R828" s="38" t="inlineStr">
        <is>
          <t>Conocer: describir semiconductores. Aplicar: medir la curva de un diodo. Razonar: explicar la rectificación</t>
        </is>
      </c>
      <c r="S828" s="39">
        <f>IFERROR(ISNUMBER(SEARCH("Conocer",$R828))/(ISNUMBER(SEARCH("Conocer",$R828))+ISNUMBER(SEARCH("Aplicar",$R828))+ISNUMBER(SEARCH("Razonar",$R828))),0)</f>
        <v/>
      </c>
      <c r="T828" s="39">
        <f>IFERROR(ISNUMBER(SEARCH("Aplicar",$R828))/(ISNUMBER(SEARCH("Conocer",$R828))+ISNUMBER(SEARCH("Aplicar",$R828))+ISNUMBER(SEARCH("Razonar",$R828))),0)</f>
        <v/>
      </c>
      <c r="U828" s="39">
        <f>IFERROR(ISNUMBER(SEARCH("Razonar",$R828))/(ISNUMBER(SEARCH("Conocer",$R828))+ISNUMBER(SEARCH("Aplicar",$R828))+ISNUMBER(SEARCH("Razonar",$R828))),0)</f>
        <v/>
      </c>
      <c r="V828" s="11" t="inlineStr">
        <is>
          <t>Física 11°</t>
        </is>
      </c>
      <c r="W828" s="11" t="inlineStr">
        <is>
          <t>Física 10°–11°</t>
        </is>
      </c>
      <c r="X828" s="11">
        <f>IF(OR(IFERROR(INDEX('Datos - Catálogo TIMSS'!$I$5:$I$107,MATCH(K828,'Datos - Catálogo TIMSS'!$A$5:$A$107,0)),"No")="Sí",IFERROR(INDEX('Datos - Catálogo TIMSS'!$I$5:$I$107,MATCH(L828,'Datos - Catálogo TIMSS'!$A$5:$A$107,0)),"No")="Sí"),1,0)</f>
        <v/>
      </c>
      <c r="Y828" s="11">
        <f>IF(IFERROR(INDEX('Datos - Catálogo TIMSS'!$J$5:$J$107,MATCH(K828,'Datos - Catálogo TIMSS'!$A$5:$A$107,0)),"No")="Sí",1,0)</f>
        <v/>
      </c>
      <c r="Z828" s="11">
        <f>IF(IFERROR(INDEX('Datos - Catálogo TIMSS'!$J$5:$J$107,MATCH(L828,'Datos - Catálogo TIMSS'!$A$5:$A$107,0)),"No")="Sí",1,0)</f>
        <v/>
      </c>
      <c r="AA828" s="11" t="inlineStr">
        <is>
          <t>FUERA</t>
        </is>
      </c>
      <c r="AB828" s="11" t="inlineStr"/>
      <c r="AC828" s="11">
        <f>IF(AA828="FUERA","Fuera del marco",IF(AA828="N/A","Sin marco",IFERROR(INDEX('Datos - TIMSS 2023'!$C$5:$C$105,MATCH(AA828,'Datos - TIMSS 2023'!$A$5:$A$105,0)),"Pendiente de clasificar")))</f>
        <v/>
      </c>
      <c r="AD828" s="11" t="inlineStr">
        <is>
          <t>1. Explicar fenómenos científicamente</t>
        </is>
      </c>
      <c r="AE828" s="11">
        <f>IF(AD828="","",IF(LEFT(AD828,1)="1","C1",IF(LEFT(AD828,1)="2","C2",IF(LEFT(AD828,1)="3","C3",""))))</f>
        <v/>
      </c>
      <c r="AF828" s="11" t="inlineStr">
        <is>
          <t>E1</t>
        </is>
      </c>
      <c r="AG828" s="11" t="inlineStr">
        <is>
          <t>E5</t>
        </is>
      </c>
      <c r="AH828" s="11" t="inlineStr">
        <is>
          <t>E4</t>
        </is>
      </c>
      <c r="AI828" s="11" t="inlineStr">
        <is>
          <t>D4</t>
        </is>
      </c>
      <c r="AJ828" s="11" t="inlineStr">
        <is>
          <t>E6</t>
        </is>
      </c>
      <c r="AK828" s="11" t="n"/>
      <c r="AL828" s="11" t="n"/>
      <c r="AM828" s="11" t="n"/>
      <c r="AN828" s="11" t="n"/>
      <c r="AO828" s="11" t="n"/>
      <c r="AP828" s="11" t="n"/>
      <c r="AQ828" s="11" t="n"/>
      <c r="AR828" s="11" t="n"/>
      <c r="AS828" s="11" t="n"/>
      <c r="AT828" s="11" t="n"/>
      <c r="AU828" s="11" t="n"/>
      <c r="AV828" s="11" t="n"/>
      <c r="AW828" s="11">
        <f>AF828&amp;"; "&amp;AG828&amp;"; "&amp;AH828&amp;"; "&amp;AI828&amp;"; "&amp;AJ828</f>
        <v/>
      </c>
    </row>
    <row r="829">
      <c r="A829" s="11" t="inlineStr">
        <is>
          <t>T0365-G11-FÍS</t>
        </is>
      </c>
      <c r="B829" s="11" t="n">
        <v>11</v>
      </c>
      <c r="C829" s="11" t="inlineStr">
        <is>
          <t>Física</t>
        </is>
      </c>
      <c r="D829" s="11" t="inlineStr">
        <is>
          <t>Matriz_Bachillerato_Fisica_10_11.xlsx</t>
        </is>
      </c>
      <c r="E829" s="11" t="inlineStr">
        <is>
          <t>Física 11.°</t>
        </is>
      </c>
      <c r="F829" s="11" t="n">
        <v>84</v>
      </c>
      <c r="G829" s="11" t="inlineStr">
        <is>
          <t>14. Ondas electromagnéticas</t>
        </is>
      </c>
      <c r="H829" s="11" t="inlineStr">
        <is>
          <t>Efecto Doppler electromagnético</t>
        </is>
      </c>
      <c r="I829" s="38" t="inlineStr">
        <is>
          <t>14.1. Cálculo del cambio de frecuencia de ondas electromagnéticas emitidas por fuentes que se acercan o se alejan del observador.</t>
        </is>
      </c>
      <c r="J829" s="11" t="inlineStr">
        <is>
          <t>TA</t>
        </is>
      </c>
      <c r="K829" s="11" t="inlineStr">
        <is>
          <t>TA-O1.2</t>
        </is>
      </c>
      <c r="L829" s="11" t="inlineStr"/>
      <c r="M829" s="11">
        <f>IF(K829="FUERA","Fuera del marco",IF(K829="N/A","Sin marco",IFERROR(INDEX('Datos - Catálogo TIMSS'!$C$5:$C$107,MATCH(K829,'Datos - Catálogo TIMSS'!$A$5:$A$107,0)),"Pendiente de clasificar")))</f>
        <v/>
      </c>
      <c r="N829" s="11">
        <f>IF(K829="FUERA","Fuera del marco",IF(K829="N/A","Sin marco",IFERROR(INDEX('Datos - Catálogo TIMSS'!$F$5:$F$107,MATCH(K829,'Datos - Catálogo TIMSS'!$A$5:$A$107,0)),"Pendiente de clasificar")))</f>
        <v/>
      </c>
      <c r="O829" s="11">
        <f>IF(L829="","",IFERROR(INDEX('Datos - Catálogo TIMSS'!$C$5:$C$107,MATCH(L829,'Datos - Catálogo TIMSS'!$A$5:$A$107,0)),"?"))</f>
        <v/>
      </c>
      <c r="P829" s="11" t="inlineStr">
        <is>
          <t>media</t>
        </is>
      </c>
      <c r="Q829" s="38" t="inlineStr">
        <is>
          <t>Corrimiento Doppler de radiación electromagnética</t>
        </is>
      </c>
      <c r="R829" s="38" t="inlineStr">
        <is>
          <t>Aplicar: calcular frecuencias y rapideces. Razonar: interpretar espectros y justificar aproximaciones</t>
        </is>
      </c>
      <c r="S829" s="39">
        <f>IFERROR(ISNUMBER(SEARCH("Conocer",$R829))/(ISNUMBER(SEARCH("Conocer",$R829))+ISNUMBER(SEARCH("Aplicar",$R829))+ISNUMBER(SEARCH("Razonar",$R829))),0)</f>
        <v/>
      </c>
      <c r="T829" s="39">
        <f>IFERROR(ISNUMBER(SEARCH("Aplicar",$R829))/(ISNUMBER(SEARCH("Conocer",$R829))+ISNUMBER(SEARCH("Aplicar",$R829))+ISNUMBER(SEARCH("Razonar",$R829))),0)</f>
        <v/>
      </c>
      <c r="U829" s="39">
        <f>IFERROR(ISNUMBER(SEARCH("Razonar",$R829))/(ISNUMBER(SEARCH("Conocer",$R829))+ISNUMBER(SEARCH("Aplicar",$R829))+ISNUMBER(SEARCH("Razonar",$R829))),0)</f>
        <v/>
      </c>
      <c r="V829" s="11" t="inlineStr">
        <is>
          <t>Física 11°</t>
        </is>
      </c>
      <c r="W829" s="11" t="inlineStr">
        <is>
          <t>Física 10°–11°</t>
        </is>
      </c>
      <c r="X829" s="11">
        <f>IF(OR(IFERROR(INDEX('Datos - Catálogo TIMSS'!$I$5:$I$107,MATCH(K829,'Datos - Catálogo TIMSS'!$A$5:$A$107,0)),"No")="Sí",IFERROR(INDEX('Datos - Catálogo TIMSS'!$I$5:$I$107,MATCH(L829,'Datos - Catálogo TIMSS'!$A$5:$A$107,0)),"No")="Sí"),1,0)</f>
        <v/>
      </c>
      <c r="Y829" s="11">
        <f>IF(IFERROR(INDEX('Datos - Catálogo TIMSS'!$J$5:$J$107,MATCH(K829,'Datos - Catálogo TIMSS'!$A$5:$A$107,0)),"No")="Sí",1,0)</f>
        <v/>
      </c>
      <c r="Z829" s="11">
        <f>IF(IFERROR(INDEX('Datos - Catálogo TIMSS'!$J$5:$J$107,MATCH(L829,'Datos - Catálogo TIMSS'!$A$5:$A$107,0)),"No")="Sí",1,0)</f>
        <v/>
      </c>
      <c r="AA829" s="11" t="inlineStr">
        <is>
          <t>TA-O1.2</t>
        </is>
      </c>
      <c r="AB829" s="11" t="inlineStr"/>
      <c r="AC829" s="11">
        <f>IF(AA829="FUERA","Fuera del marco",IF(AA829="N/A","Sin marco",IFERROR(INDEX('Datos - TIMSS 2023'!$C$5:$C$105,MATCH(AA829,'Datos - TIMSS 2023'!$A$5:$A$105,0)),"Pendiente de clasificar")))</f>
        <v/>
      </c>
      <c r="AD829" s="11" t="inlineStr">
        <is>
          <t>1. Explicar fenómenos científicamente</t>
        </is>
      </c>
      <c r="AE829" s="11">
        <f>IF(AD829="","",IF(LEFT(AD829,1)="1","C1",IF(LEFT(AD829,1)="2","C2",IF(LEFT(AD829,1)="3","C3",""))))</f>
        <v/>
      </c>
      <c r="AF829" s="11" t="inlineStr">
        <is>
          <t>E1</t>
        </is>
      </c>
      <c r="AG829" s="11" t="inlineStr">
        <is>
          <t>E3</t>
        </is>
      </c>
      <c r="AH829" s="11" t="inlineStr">
        <is>
          <t>E2</t>
        </is>
      </c>
      <c r="AI829" s="11" t="inlineStr">
        <is>
          <t>D4</t>
        </is>
      </c>
      <c r="AJ829" s="11" t="inlineStr">
        <is>
          <t>E6</t>
        </is>
      </c>
      <c r="AK829" s="11" t="n"/>
      <c r="AL829" s="11" t="n"/>
      <c r="AM829" s="11" t="n"/>
      <c r="AN829" s="11" t="n"/>
      <c r="AO829" s="11" t="n"/>
      <c r="AP829" s="11" t="n"/>
      <c r="AQ829" s="11" t="n"/>
      <c r="AR829" s="11" t="n"/>
      <c r="AS829" s="11" t="n"/>
      <c r="AT829" s="11" t="n"/>
      <c r="AU829" s="11" t="n"/>
      <c r="AV829" s="11" t="n"/>
      <c r="AW829" s="11">
        <f>AF829&amp;"; "&amp;AG829&amp;"; "&amp;AH829&amp;"; "&amp;AI829&amp;"; "&amp;AJ829</f>
        <v/>
      </c>
    </row>
    <row r="830">
      <c r="A830" s="11" t="inlineStr">
        <is>
          <t>T0366-G11-FÍS</t>
        </is>
      </c>
      <c r="B830" s="11" t="n">
        <v>11</v>
      </c>
      <c r="C830" s="11" t="inlineStr">
        <is>
          <t>Física</t>
        </is>
      </c>
      <c r="D830" s="11" t="inlineStr">
        <is>
          <t>Matriz_Bachillerato_Fisica_10_11.xlsx</t>
        </is>
      </c>
      <c r="E830" s="11" t="inlineStr">
        <is>
          <t>Física 11.°</t>
        </is>
      </c>
      <c r="F830" s="11" t="n">
        <v>85</v>
      </c>
      <c r="G830" s="11" t="inlineStr">
        <is>
          <t>14. Ondas electromagnéticas</t>
        </is>
      </c>
      <c r="H830" s="11" t="inlineStr">
        <is>
          <t>Polarización</t>
        </is>
      </c>
      <c r="I830" s="38" t="inlineStr">
        <is>
          <t>14.2. Medición de la intensidad de luz transmitida por un par de polarizadores en función del ángulo entre sus ejes.</t>
        </is>
      </c>
      <c r="J830" s="11" t="inlineStr">
        <is>
          <t>TA</t>
        </is>
      </c>
      <c r="K830" s="11" t="inlineStr">
        <is>
          <t>TA-O1.2</t>
        </is>
      </c>
      <c r="L830" s="11" t="inlineStr"/>
      <c r="M830" s="11">
        <f>IF(K830="FUERA","Fuera del marco",IF(K830="N/A","Sin marco",IFERROR(INDEX('Datos - Catálogo TIMSS'!$C$5:$C$107,MATCH(K830,'Datos - Catálogo TIMSS'!$A$5:$A$107,0)),"Pendiente de clasificar")))</f>
        <v/>
      </c>
      <c r="N830" s="11">
        <f>IF(K830="FUERA","Fuera del marco",IF(K830="N/A","Sin marco",IFERROR(INDEX('Datos - Catálogo TIMSS'!$F$5:$F$107,MATCH(K830,'Datos - Catálogo TIMSS'!$A$5:$A$107,0)),"Pendiente de clasificar")))</f>
        <v/>
      </c>
      <c r="O830" s="11">
        <f>IF(L830="","",IFERROR(INDEX('Datos - Catálogo TIMSS'!$C$5:$C$107,MATCH(L830,'Datos - Catálogo TIMSS'!$A$5:$A$107,0)),"?"))</f>
        <v/>
      </c>
      <c r="P830" s="11" t="inlineStr">
        <is>
          <t>baja</t>
        </is>
      </c>
      <c r="Q830" s="38" t="inlineStr">
        <is>
          <t>Polarización de luz; propiedad de ondas EM no explícita</t>
        </is>
      </c>
      <c r="R830" s="38" t="inlineStr">
        <is>
          <t>Aplicar: medir y calcular intensidades. Razonar: comparar datos con el modelo cos²θ</t>
        </is>
      </c>
      <c r="S830" s="39">
        <f>IFERROR(ISNUMBER(SEARCH("Conocer",$R830))/(ISNUMBER(SEARCH("Conocer",$R830))+ISNUMBER(SEARCH("Aplicar",$R830))+ISNUMBER(SEARCH("Razonar",$R830))),0)</f>
        <v/>
      </c>
      <c r="T830" s="39">
        <f>IFERROR(ISNUMBER(SEARCH("Aplicar",$R830))/(ISNUMBER(SEARCH("Conocer",$R830))+ISNUMBER(SEARCH("Aplicar",$R830))+ISNUMBER(SEARCH("Razonar",$R830))),0)</f>
        <v/>
      </c>
      <c r="U830" s="39">
        <f>IFERROR(ISNUMBER(SEARCH("Razonar",$R830))/(ISNUMBER(SEARCH("Conocer",$R830))+ISNUMBER(SEARCH("Aplicar",$R830))+ISNUMBER(SEARCH("Razonar",$R830))),0)</f>
        <v/>
      </c>
      <c r="V830" s="11" t="inlineStr">
        <is>
          <t>Física 11°</t>
        </is>
      </c>
      <c r="W830" s="11" t="inlineStr">
        <is>
          <t>Física 10°–11°</t>
        </is>
      </c>
      <c r="X830" s="11">
        <f>IF(OR(IFERROR(INDEX('Datos - Catálogo TIMSS'!$I$5:$I$107,MATCH(K830,'Datos - Catálogo TIMSS'!$A$5:$A$107,0)),"No")="Sí",IFERROR(INDEX('Datos - Catálogo TIMSS'!$I$5:$I$107,MATCH(L830,'Datos - Catálogo TIMSS'!$A$5:$A$107,0)),"No")="Sí"),1,0)</f>
        <v/>
      </c>
      <c r="Y830" s="11">
        <f>IF(IFERROR(INDEX('Datos - Catálogo TIMSS'!$J$5:$J$107,MATCH(K830,'Datos - Catálogo TIMSS'!$A$5:$A$107,0)),"No")="Sí",1,0)</f>
        <v/>
      </c>
      <c r="Z830" s="11">
        <f>IF(IFERROR(INDEX('Datos - Catálogo TIMSS'!$J$5:$J$107,MATCH(L830,'Datos - Catálogo TIMSS'!$A$5:$A$107,0)),"No")="Sí",1,0)</f>
        <v/>
      </c>
      <c r="AA830" s="11" t="inlineStr">
        <is>
          <t>TA-O1.2</t>
        </is>
      </c>
      <c r="AB830" s="11" t="inlineStr"/>
      <c r="AC830" s="11">
        <f>IF(AA830="FUERA","Fuera del marco",IF(AA830="N/A","Sin marco",IFERROR(INDEX('Datos - TIMSS 2023'!$C$5:$C$105,MATCH(AA830,'Datos - TIMSS 2023'!$A$5:$A$105,0)),"Pendiente de clasificar")))</f>
        <v/>
      </c>
      <c r="AD830" s="11" t="inlineStr">
        <is>
          <t>2. Construir y evaluar diseños para la indagación científica e interpretar datos y evidencia de forma crítica</t>
        </is>
      </c>
      <c r="AE830" s="11">
        <f>IF(AD830="","",IF(LEFT(AD830,1)="1","C1",IF(LEFT(AD830,1)="2","C2",IF(LEFT(AD830,1)="3","C3",""))))</f>
        <v/>
      </c>
      <c r="AF830" s="11" t="inlineStr">
        <is>
          <t>E6</t>
        </is>
      </c>
      <c r="AG830" s="11" t="inlineStr">
        <is>
          <t>D1</t>
        </is>
      </c>
      <c r="AH830" s="11" t="inlineStr">
        <is>
          <t>E4</t>
        </is>
      </c>
      <c r="AI830" s="11" t="inlineStr">
        <is>
          <t>D2</t>
        </is>
      </c>
      <c r="AJ830" s="11" t="inlineStr">
        <is>
          <t>D3</t>
        </is>
      </c>
      <c r="AK830" s="11" t="n"/>
      <c r="AL830" s="11" t="n"/>
      <c r="AM830" s="11" t="n"/>
      <c r="AN830" s="11" t="n"/>
      <c r="AO830" s="11" t="n"/>
      <c r="AP830" s="11" t="n"/>
      <c r="AQ830" s="11" t="n"/>
      <c r="AR830" s="11" t="n"/>
      <c r="AS830" s="11" t="n"/>
      <c r="AT830" s="11" t="n"/>
      <c r="AU830" s="11" t="n"/>
      <c r="AV830" s="11" t="n"/>
      <c r="AW830" s="11">
        <f>AF830&amp;"; "&amp;AG830&amp;"; "&amp;AH830&amp;"; "&amp;AI830&amp;"; "&amp;AJ830</f>
        <v/>
      </c>
    </row>
    <row r="831">
      <c r="A831" s="11" t="inlineStr">
        <is>
          <t>T0367-G11-FÍS</t>
        </is>
      </c>
      <c r="B831" s="11" t="n">
        <v>11</v>
      </c>
      <c r="C831" s="11" t="inlineStr">
        <is>
          <t>Física</t>
        </is>
      </c>
      <c r="D831" s="11" t="inlineStr">
        <is>
          <t>Matriz_Bachillerato_Fisica_10_11.xlsx</t>
        </is>
      </c>
      <c r="E831" s="11" t="inlineStr">
        <is>
          <t>Física 11.°</t>
        </is>
      </c>
      <c r="F831" s="11" t="n">
        <v>86</v>
      </c>
      <c r="G831" s="11" t="inlineStr">
        <is>
          <t>14. Ondas electromagnéticas</t>
        </is>
      </c>
      <c r="H831" s="11" t="inlineStr">
        <is>
          <t>Radiación no ionizante en la vida diaria</t>
        </is>
      </c>
      <c r="I831" s="38" t="inlineStr">
        <is>
          <t>14.3. Evaluación crítica de afirmaciones sobre los efectos en la salud de la radiación no ionizante emitida por antenas, redes wifi y hornos de microondas.</t>
        </is>
      </c>
      <c r="J831" s="11" t="inlineStr">
        <is>
          <t>TA</t>
        </is>
      </c>
      <c r="K831" s="11" t="inlineStr">
        <is>
          <t>TA-O1.2</t>
        </is>
      </c>
      <c r="L831" s="11" t="inlineStr"/>
      <c r="M831" s="11">
        <f>IF(K831="FUERA","Fuera del marco",IF(K831="N/A","Sin marco",IFERROR(INDEX('Datos - Catálogo TIMSS'!$C$5:$C$107,MATCH(K831,'Datos - Catálogo TIMSS'!$A$5:$A$107,0)),"Pendiente de clasificar")))</f>
        <v/>
      </c>
      <c r="N831" s="11">
        <f>IF(K831="FUERA","Fuera del marco",IF(K831="N/A","Sin marco",IFERROR(INDEX('Datos - Catálogo TIMSS'!$F$5:$F$107,MATCH(K831,'Datos - Catálogo TIMSS'!$A$5:$A$107,0)),"Pendiente de clasificar")))</f>
        <v/>
      </c>
      <c r="O831" s="11">
        <f>IF(L831="","",IFERROR(INDEX('Datos - Catálogo TIMSS'!$C$5:$C$107,MATCH(L831,'Datos - Catálogo TIMSS'!$A$5:$A$107,0)),"?"))</f>
        <v/>
      </c>
      <c r="P831" s="11" t="inlineStr">
        <is>
          <t>media</t>
        </is>
      </c>
      <c r="Q831" s="38" t="inlineStr">
        <is>
          <t>Radiación no ionizante: espectro y densidad de potencia</t>
        </is>
      </c>
      <c r="R831" s="38" t="inlineStr">
        <is>
          <t>Aplicar: estimar densidades de potencia. Razonar: evaluar afirmaciones y argumentar con evidencia</t>
        </is>
      </c>
      <c r="S831" s="39">
        <f>IFERROR(ISNUMBER(SEARCH("Conocer",$R831))/(ISNUMBER(SEARCH("Conocer",$R831))+ISNUMBER(SEARCH("Aplicar",$R831))+ISNUMBER(SEARCH("Razonar",$R831))),0)</f>
        <v/>
      </c>
      <c r="T831" s="39">
        <f>IFERROR(ISNUMBER(SEARCH("Aplicar",$R831))/(ISNUMBER(SEARCH("Conocer",$R831))+ISNUMBER(SEARCH("Aplicar",$R831))+ISNUMBER(SEARCH("Razonar",$R831))),0)</f>
        <v/>
      </c>
      <c r="U831" s="39">
        <f>IFERROR(ISNUMBER(SEARCH("Razonar",$R831))/(ISNUMBER(SEARCH("Conocer",$R831))+ISNUMBER(SEARCH("Aplicar",$R831))+ISNUMBER(SEARCH("Razonar",$R831))),0)</f>
        <v/>
      </c>
      <c r="V831" s="11" t="inlineStr">
        <is>
          <t>Física 11°</t>
        </is>
      </c>
      <c r="W831" s="11" t="inlineStr">
        <is>
          <t>Física 10°–11°</t>
        </is>
      </c>
      <c r="X831" s="11">
        <f>IF(OR(IFERROR(INDEX('Datos - Catálogo TIMSS'!$I$5:$I$107,MATCH(K831,'Datos - Catálogo TIMSS'!$A$5:$A$107,0)),"No")="Sí",IFERROR(INDEX('Datos - Catálogo TIMSS'!$I$5:$I$107,MATCH(L831,'Datos - Catálogo TIMSS'!$A$5:$A$107,0)),"No")="Sí"),1,0)</f>
        <v/>
      </c>
      <c r="Y831" s="11">
        <f>IF(IFERROR(INDEX('Datos - Catálogo TIMSS'!$J$5:$J$107,MATCH(K831,'Datos - Catálogo TIMSS'!$A$5:$A$107,0)),"No")="Sí",1,0)</f>
        <v/>
      </c>
      <c r="Z831" s="11">
        <f>IF(IFERROR(INDEX('Datos - Catálogo TIMSS'!$J$5:$J$107,MATCH(L831,'Datos - Catálogo TIMSS'!$A$5:$A$107,0)),"No")="Sí",1,0)</f>
        <v/>
      </c>
      <c r="AA831" s="11" t="inlineStr">
        <is>
          <t>TA-O1.2</t>
        </is>
      </c>
      <c r="AB831" s="11" t="inlineStr"/>
      <c r="AC831" s="11">
        <f>IF(AA831="FUERA","Fuera del marco",IF(AA831="N/A","Sin marco",IFERROR(INDEX('Datos - TIMSS 2023'!$C$5:$C$105,MATCH(AA831,'Datos - TIMSS 2023'!$A$5:$A$105,0)),"Pendiente de clasificar")))</f>
        <v/>
      </c>
      <c r="AD831" s="11" t="inlineStr">
        <is>
          <t>3. Investigar, evaluar y usar información científica para tomar decisiones y actuar</t>
        </is>
      </c>
      <c r="AE831" s="11">
        <f>IF(AD831="","",IF(LEFT(AD831,1)="1","C1",IF(LEFT(AD831,1)="2","C2",IF(LEFT(AD831,1)="3","C3",""))))</f>
        <v/>
      </c>
      <c r="AF831" s="11" t="inlineStr">
        <is>
          <t>E6</t>
        </is>
      </c>
      <c r="AG831" s="11" t="inlineStr">
        <is>
          <t>E5</t>
        </is>
      </c>
      <c r="AH831" s="11" t="inlineStr">
        <is>
          <t>E1</t>
        </is>
      </c>
      <c r="AI831" s="11" t="inlineStr">
        <is>
          <t>I2</t>
        </is>
      </c>
      <c r="AJ831" s="11" t="inlineStr">
        <is>
          <t>I4</t>
        </is>
      </c>
      <c r="AK831" s="11" t="n"/>
      <c r="AL831" s="11" t="n"/>
      <c r="AM831" s="11" t="n"/>
      <c r="AN831" s="11" t="n"/>
      <c r="AO831" s="11" t="n"/>
      <c r="AP831" s="11" t="n"/>
      <c r="AQ831" s="11" t="n"/>
      <c r="AR831" s="11" t="n"/>
      <c r="AS831" s="11" t="n"/>
      <c r="AT831" s="11" t="n"/>
      <c r="AU831" s="11" t="n"/>
      <c r="AV831" s="11" t="n"/>
      <c r="AW831" s="11">
        <f>AF831&amp;"; "&amp;AG831&amp;"; "&amp;AH831&amp;"; "&amp;AI831&amp;"; "&amp;AJ831</f>
        <v/>
      </c>
    </row>
    <row r="832">
      <c r="A832" s="11" t="inlineStr">
        <is>
          <t>T0368-G11-FÍS</t>
        </is>
      </c>
      <c r="B832" s="11" t="n">
        <v>11</v>
      </c>
      <c r="C832" s="11" t="inlineStr">
        <is>
          <t>Física</t>
        </is>
      </c>
      <c r="D832" s="11" t="inlineStr">
        <is>
          <t>Matriz_Bachillerato_Fisica_10_11.xlsx</t>
        </is>
      </c>
      <c r="E832" s="11" t="inlineStr">
        <is>
          <t>Física 11.°</t>
        </is>
      </c>
      <c r="F832" s="11" t="n">
        <v>87</v>
      </c>
      <c r="G832" s="11" t="inlineStr">
        <is>
          <t>15. La luz</t>
        </is>
      </c>
      <c r="H832" s="11" t="inlineStr">
        <is>
          <t>Rapidez de la luz</t>
        </is>
      </c>
      <c r="I832" s="38" t="inlineStr">
        <is>
          <t>15.1. Análisis de los experimentos históricos de Rømer y Fizeau para determinar la rapidez de la luz.</t>
        </is>
      </c>
      <c r="J832" s="11" t="inlineStr">
        <is>
          <t>TA</t>
        </is>
      </c>
      <c r="K832" s="11" t="inlineStr">
        <is>
          <t>TA-O1.2</t>
        </is>
      </c>
      <c r="L832" s="11" t="inlineStr"/>
      <c r="M832" s="11">
        <f>IF(K832="FUERA","Fuera del marco",IF(K832="N/A","Sin marco",IFERROR(INDEX('Datos - Catálogo TIMSS'!$C$5:$C$107,MATCH(K832,'Datos - Catálogo TIMSS'!$A$5:$A$107,0)),"Pendiente de clasificar")))</f>
        <v/>
      </c>
      <c r="N832" s="11">
        <f>IF(K832="FUERA","Fuera del marco",IF(K832="N/A","Sin marco",IFERROR(INDEX('Datos - Catálogo TIMSS'!$F$5:$F$107,MATCH(K832,'Datos - Catálogo TIMSS'!$A$5:$A$107,0)),"Pendiente de clasificar")))</f>
        <v/>
      </c>
      <c r="O832" s="11">
        <f>IF(L832="","",IFERROR(INDEX('Datos - Catálogo TIMSS'!$C$5:$C$107,MATCH(L832,'Datos - Catálogo TIMSS'!$A$5:$A$107,0)),"?"))</f>
        <v/>
      </c>
      <c r="P832" s="11" t="inlineStr">
        <is>
          <t>media</t>
        </is>
      </c>
      <c r="Q832" s="38" t="inlineStr">
        <is>
          <t>Rapidez de la luz como onda electromagnética</t>
        </is>
      </c>
      <c r="R832" s="38" t="inlineStr">
        <is>
          <t>Aplicar: calcular rapideces y errores relativos. Razonar: comparar métodos experimentales</t>
        </is>
      </c>
      <c r="S832" s="39">
        <f>IFERROR(ISNUMBER(SEARCH("Conocer",$R832))/(ISNUMBER(SEARCH("Conocer",$R832))+ISNUMBER(SEARCH("Aplicar",$R832))+ISNUMBER(SEARCH("Razonar",$R832))),0)</f>
        <v/>
      </c>
      <c r="T832" s="39">
        <f>IFERROR(ISNUMBER(SEARCH("Aplicar",$R832))/(ISNUMBER(SEARCH("Conocer",$R832))+ISNUMBER(SEARCH("Aplicar",$R832))+ISNUMBER(SEARCH("Razonar",$R832))),0)</f>
        <v/>
      </c>
      <c r="U832" s="39">
        <f>IFERROR(ISNUMBER(SEARCH("Razonar",$R832))/(ISNUMBER(SEARCH("Conocer",$R832))+ISNUMBER(SEARCH("Aplicar",$R832))+ISNUMBER(SEARCH("Razonar",$R832))),0)</f>
        <v/>
      </c>
      <c r="V832" s="11" t="inlineStr">
        <is>
          <t>Física 11°</t>
        </is>
      </c>
      <c r="W832" s="11" t="inlineStr">
        <is>
          <t>Física 10°–11°</t>
        </is>
      </c>
      <c r="X832" s="11">
        <f>IF(OR(IFERROR(INDEX('Datos - Catálogo TIMSS'!$I$5:$I$107,MATCH(K832,'Datos - Catálogo TIMSS'!$A$5:$A$107,0)),"No")="Sí",IFERROR(INDEX('Datos - Catálogo TIMSS'!$I$5:$I$107,MATCH(L832,'Datos - Catálogo TIMSS'!$A$5:$A$107,0)),"No")="Sí"),1,0)</f>
        <v/>
      </c>
      <c r="Y832" s="11">
        <f>IF(IFERROR(INDEX('Datos - Catálogo TIMSS'!$J$5:$J$107,MATCH(K832,'Datos - Catálogo TIMSS'!$A$5:$A$107,0)),"No")="Sí",1,0)</f>
        <v/>
      </c>
      <c r="Z832" s="11">
        <f>IF(IFERROR(INDEX('Datos - Catálogo TIMSS'!$J$5:$J$107,MATCH(L832,'Datos - Catálogo TIMSS'!$A$5:$A$107,0)),"No")="Sí",1,0)</f>
        <v/>
      </c>
      <c r="AA832" s="11" t="inlineStr">
        <is>
          <t>TA-O1.2</t>
        </is>
      </c>
      <c r="AB832" s="11" t="inlineStr"/>
      <c r="AC832" s="11">
        <f>IF(AA832="FUERA","Fuera del marco",IF(AA832="N/A","Sin marco",IFERROR(INDEX('Datos - TIMSS 2023'!$C$5:$C$105,MATCH(AA832,'Datos - TIMSS 2023'!$A$5:$A$105,0)),"Pendiente de clasificar")))</f>
        <v/>
      </c>
      <c r="AD832" s="11" t="inlineStr">
        <is>
          <t>2. Construir y evaluar diseños para la indagación científica e interpretar datos y evidencia de forma crítica</t>
        </is>
      </c>
      <c r="AE832" s="11">
        <f>IF(AD832="","",IF(LEFT(AD832,1)="1","C1",IF(LEFT(AD832,1)="2","C2",IF(LEFT(AD832,1)="3","C3",""))))</f>
        <v/>
      </c>
      <c r="AF832" s="11" t="inlineStr">
        <is>
          <t>E1</t>
        </is>
      </c>
      <c r="AG832" s="11" t="inlineStr">
        <is>
          <t>D1</t>
        </is>
      </c>
      <c r="AH832" s="11" t="inlineStr">
        <is>
          <t>E4</t>
        </is>
      </c>
      <c r="AI832" s="11" t="inlineStr">
        <is>
          <t>D4</t>
        </is>
      </c>
      <c r="AJ832" s="11" t="inlineStr">
        <is>
          <t>E3</t>
        </is>
      </c>
      <c r="AK832" s="11" t="n"/>
      <c r="AL832" s="11" t="n"/>
      <c r="AM832" s="11" t="n"/>
      <c r="AN832" s="11" t="n"/>
      <c r="AO832" s="11" t="n"/>
      <c r="AP832" s="11" t="n"/>
      <c r="AQ832" s="11" t="n"/>
      <c r="AR832" s="11" t="n"/>
      <c r="AS832" s="11" t="n"/>
      <c r="AT832" s="11" t="n"/>
      <c r="AU832" s="11" t="n"/>
      <c r="AV832" s="11" t="n"/>
      <c r="AW832" s="11">
        <f>AF832&amp;"; "&amp;AG832&amp;"; "&amp;AH832&amp;"; "&amp;AI832&amp;"; "&amp;AJ832</f>
        <v/>
      </c>
    </row>
    <row r="833">
      <c r="A833" s="11" t="inlineStr">
        <is>
          <t>T0369-G11-FÍS</t>
        </is>
      </c>
      <c r="B833" s="11" t="n">
        <v>11</v>
      </c>
      <c r="C833" s="11" t="inlineStr">
        <is>
          <t>Física</t>
        </is>
      </c>
      <c r="D833" s="11" t="inlineStr">
        <is>
          <t>Matriz_Bachillerato_Fisica_10_11.xlsx</t>
        </is>
      </c>
      <c r="E833" s="11" t="inlineStr">
        <is>
          <t>Física 11.°</t>
        </is>
      </c>
      <c r="F833" s="11" t="n">
        <v>88</v>
      </c>
      <c r="G833" s="11" t="inlineStr">
        <is>
          <t>15. La luz</t>
        </is>
      </c>
      <c r="H833" s="11" t="inlineStr">
        <is>
          <t>Naturaleza de la luz</t>
        </is>
      </c>
      <c r="I833" s="38" t="inlineStr">
        <is>
          <t>15.2. Reconstrucción histórica del debate entre los modelos corpuscular y ondulatorio de la luz hasta la dualidad onda-partícula.</t>
        </is>
      </c>
      <c r="J833" s="11" t="inlineStr">
        <is>
          <t>TA</t>
        </is>
      </c>
      <c r="K833" s="11" t="inlineStr">
        <is>
          <t>TA-O2.2</t>
        </is>
      </c>
      <c r="L833" s="11" t="inlineStr">
        <is>
          <t>TA-O1.4</t>
        </is>
      </c>
      <c r="M833" s="11">
        <f>IF(K833="FUERA","Fuera del marco",IF(K833="N/A","Sin marco",IFERROR(INDEX('Datos - Catálogo TIMSS'!$C$5:$C$107,MATCH(K833,'Datos - Catálogo TIMSS'!$A$5:$A$107,0)),"Pendiente de clasificar")))</f>
        <v/>
      </c>
      <c r="N833" s="11">
        <f>IF(K833="FUERA","Fuera del marco",IF(K833="N/A","Sin marco",IFERROR(INDEX('Datos - Catálogo TIMSS'!$F$5:$F$107,MATCH(K833,'Datos - Catálogo TIMSS'!$A$5:$A$107,0)),"Pendiente de clasificar")))</f>
        <v/>
      </c>
      <c r="O833" s="11">
        <f>IF(L833="","",IFERROR(INDEX('Datos - Catálogo TIMSS'!$C$5:$C$107,MATCH(L833,'Datos - Catálogo TIMSS'!$A$5:$A$107,0)),"?"))</f>
        <v/>
      </c>
      <c r="P833" s="11" t="inlineStr">
        <is>
          <t>alta</t>
        </is>
      </c>
      <c r="Q833" s="38" t="inlineStr">
        <is>
          <t>Modelos ondulatorio y corpuscular: dualidad onda-partícula</t>
        </is>
      </c>
      <c r="R833" s="38" t="inlineStr">
        <is>
          <t>Conocer: identificar modelos. Razonar: relacionar fenómenos con modelos y justificar la dualidad</t>
        </is>
      </c>
      <c r="S833" s="39">
        <f>IFERROR(ISNUMBER(SEARCH("Conocer",$R833))/(ISNUMBER(SEARCH("Conocer",$R833))+ISNUMBER(SEARCH("Aplicar",$R833))+ISNUMBER(SEARCH("Razonar",$R833))),0)</f>
        <v/>
      </c>
      <c r="T833" s="39">
        <f>IFERROR(ISNUMBER(SEARCH("Aplicar",$R833))/(ISNUMBER(SEARCH("Conocer",$R833))+ISNUMBER(SEARCH("Aplicar",$R833))+ISNUMBER(SEARCH("Razonar",$R833))),0)</f>
        <v/>
      </c>
      <c r="U833" s="39">
        <f>IFERROR(ISNUMBER(SEARCH("Razonar",$R833))/(ISNUMBER(SEARCH("Conocer",$R833))+ISNUMBER(SEARCH("Aplicar",$R833))+ISNUMBER(SEARCH("Razonar",$R833))),0)</f>
        <v/>
      </c>
      <c r="V833" s="11" t="inlineStr">
        <is>
          <t>Física 11°</t>
        </is>
      </c>
      <c r="W833" s="11" t="inlineStr">
        <is>
          <t>Física 10°–11°</t>
        </is>
      </c>
      <c r="X833" s="11">
        <f>IF(OR(IFERROR(INDEX('Datos - Catálogo TIMSS'!$I$5:$I$107,MATCH(K833,'Datos - Catálogo TIMSS'!$A$5:$A$107,0)),"No")="Sí",IFERROR(INDEX('Datos - Catálogo TIMSS'!$I$5:$I$107,MATCH(L833,'Datos - Catálogo TIMSS'!$A$5:$A$107,0)),"No")="Sí"),1,0)</f>
        <v/>
      </c>
      <c r="Y833" s="11">
        <f>IF(IFERROR(INDEX('Datos - Catálogo TIMSS'!$J$5:$J$107,MATCH(K833,'Datos - Catálogo TIMSS'!$A$5:$A$107,0)),"No")="Sí",1,0)</f>
        <v/>
      </c>
      <c r="Z833" s="11">
        <f>IF(IFERROR(INDEX('Datos - Catálogo TIMSS'!$J$5:$J$107,MATCH(L833,'Datos - Catálogo TIMSS'!$A$5:$A$107,0)),"No")="Sí",1,0)</f>
        <v/>
      </c>
      <c r="AA833" s="11" t="inlineStr">
        <is>
          <t>TA-O2.2</t>
        </is>
      </c>
      <c r="AB833" s="11" t="inlineStr">
        <is>
          <t>TA-O1.4</t>
        </is>
      </c>
      <c r="AC833" s="11">
        <f>IF(AA833="FUERA","Fuera del marco",IF(AA833="N/A","Sin marco",IFERROR(INDEX('Datos - TIMSS 2023'!$C$5:$C$105,MATCH(AA833,'Datos - TIMSS 2023'!$A$5:$A$105,0)),"Pendiente de clasificar")))</f>
        <v/>
      </c>
      <c r="AD833" s="11" t="inlineStr">
        <is>
          <t>1. Explicar fenómenos científicamente</t>
        </is>
      </c>
      <c r="AE833" s="11">
        <f>IF(AD833="","",IF(LEFT(AD833,1)="1","C1",IF(LEFT(AD833,1)="2","C2",IF(LEFT(AD833,1)="3","C3",""))))</f>
        <v/>
      </c>
      <c r="AF833" s="11" t="inlineStr">
        <is>
          <t>E6</t>
        </is>
      </c>
      <c r="AG833" s="11" t="inlineStr">
        <is>
          <t>E5</t>
        </is>
      </c>
      <c r="AH833" s="11" t="inlineStr">
        <is>
          <t>E2</t>
        </is>
      </c>
      <c r="AI833" s="11" t="inlineStr">
        <is>
          <t>I1</t>
        </is>
      </c>
      <c r="AJ833" s="11" t="inlineStr">
        <is>
          <t>E3</t>
        </is>
      </c>
      <c r="AK833" s="11" t="n"/>
      <c r="AL833" s="11" t="n"/>
      <c r="AM833" s="11" t="n"/>
      <c r="AN833" s="11" t="n"/>
      <c r="AO833" s="11" t="n"/>
      <c r="AP833" s="11" t="n"/>
      <c r="AQ833" s="11" t="n"/>
      <c r="AR833" s="11" t="n"/>
      <c r="AS833" s="11" t="n"/>
      <c r="AT833" s="11" t="n"/>
      <c r="AU833" s="11" t="n"/>
      <c r="AV833" s="11" t="n"/>
      <c r="AW833" s="11">
        <f>AF833&amp;"; "&amp;AG833&amp;"; "&amp;AH833&amp;"; "&amp;AI833&amp;"; "&amp;AJ833</f>
        <v/>
      </c>
    </row>
    <row r="834">
      <c r="A834" s="11" t="inlineStr">
        <is>
          <t>T0370-G11-FÍS</t>
        </is>
      </c>
      <c r="B834" s="11" t="n">
        <v>11</v>
      </c>
      <c r="C834" s="11" t="inlineStr">
        <is>
          <t>Física</t>
        </is>
      </c>
      <c r="D834" s="11" t="inlineStr">
        <is>
          <t>Matriz_Bachillerato_Fisica_10_11.xlsx</t>
        </is>
      </c>
      <c r="E834" s="11" t="inlineStr">
        <is>
          <t>Física 11.°</t>
        </is>
      </c>
      <c r="F834" s="11" t="n">
        <v>89</v>
      </c>
      <c r="G834" s="11" t="inlineStr">
        <is>
          <t>15. La luz</t>
        </is>
      </c>
      <c r="H834" s="11" t="inlineStr">
        <is>
          <t>Cuantización de la energía</t>
        </is>
      </c>
      <c r="I834" s="38" t="inlineStr">
        <is>
          <t>15.3. Interpretación de las curvas de emisión del cuerpo negro y de la hipótesis de Planck sobre la cuantización de la energía.</t>
        </is>
      </c>
      <c r="J834" s="11" t="inlineStr">
        <is>
          <t>TA</t>
        </is>
      </c>
      <c r="K834" s="11" t="inlineStr">
        <is>
          <t>TA-O1.3</t>
        </is>
      </c>
      <c r="L834" s="11" t="inlineStr">
        <is>
          <t>TA-O2.2</t>
        </is>
      </c>
      <c r="M834" s="11">
        <f>IF(K834="FUERA","Fuera del marco",IF(K834="N/A","Sin marco",IFERROR(INDEX('Datos - Catálogo TIMSS'!$C$5:$C$107,MATCH(K834,'Datos - Catálogo TIMSS'!$A$5:$A$107,0)),"Pendiente de clasificar")))</f>
        <v/>
      </c>
      <c r="N834" s="11">
        <f>IF(K834="FUERA","Fuera del marco",IF(K834="N/A","Sin marco",IFERROR(INDEX('Datos - Catálogo TIMSS'!$F$5:$F$107,MATCH(K834,'Datos - Catálogo TIMSS'!$A$5:$A$107,0)),"Pendiente de clasificar")))</f>
        <v/>
      </c>
      <c r="O834" s="11">
        <f>IF(L834="","",IFERROR(INDEX('Datos - Catálogo TIMSS'!$C$5:$C$107,MATCH(L834,'Datos - Catálogo TIMSS'!$A$5:$A$107,0)),"?"))</f>
        <v/>
      </c>
      <c r="P834" s="11" t="inlineStr">
        <is>
          <t>alta</t>
        </is>
      </c>
      <c r="Q834" s="38" t="inlineStr">
        <is>
          <t>Cuerpo negro, ley de Wien y cuantos de energía</t>
        </is>
      </c>
      <c r="R834" s="38" t="inlineStr">
        <is>
          <t>Aplicar: calcular longitudes de onda máximas y energías. Razonar: explicar la ruptura con la física clásica</t>
        </is>
      </c>
      <c r="S834" s="39">
        <f>IFERROR(ISNUMBER(SEARCH("Conocer",$R834))/(ISNUMBER(SEARCH("Conocer",$R834))+ISNUMBER(SEARCH("Aplicar",$R834))+ISNUMBER(SEARCH("Razonar",$R834))),0)</f>
        <v/>
      </c>
      <c r="T834" s="39">
        <f>IFERROR(ISNUMBER(SEARCH("Aplicar",$R834))/(ISNUMBER(SEARCH("Conocer",$R834))+ISNUMBER(SEARCH("Aplicar",$R834))+ISNUMBER(SEARCH("Razonar",$R834))),0)</f>
        <v/>
      </c>
      <c r="U834" s="39">
        <f>IFERROR(ISNUMBER(SEARCH("Razonar",$R834))/(ISNUMBER(SEARCH("Conocer",$R834))+ISNUMBER(SEARCH("Aplicar",$R834))+ISNUMBER(SEARCH("Razonar",$R834))),0)</f>
        <v/>
      </c>
      <c r="V834" s="11" t="inlineStr">
        <is>
          <t>Física 11°</t>
        </is>
      </c>
      <c r="W834" s="11" t="inlineStr">
        <is>
          <t>Física 10°–11°</t>
        </is>
      </c>
      <c r="X834" s="11">
        <f>IF(OR(IFERROR(INDEX('Datos - Catálogo TIMSS'!$I$5:$I$107,MATCH(K834,'Datos - Catálogo TIMSS'!$A$5:$A$107,0)),"No")="Sí",IFERROR(INDEX('Datos - Catálogo TIMSS'!$I$5:$I$107,MATCH(L834,'Datos - Catálogo TIMSS'!$A$5:$A$107,0)),"No")="Sí"),1,0)</f>
        <v/>
      </c>
      <c r="Y834" s="11">
        <f>IF(IFERROR(INDEX('Datos - Catálogo TIMSS'!$J$5:$J$107,MATCH(K834,'Datos - Catálogo TIMSS'!$A$5:$A$107,0)),"No")="Sí",1,0)</f>
        <v/>
      </c>
      <c r="Z834" s="11">
        <f>IF(IFERROR(INDEX('Datos - Catálogo TIMSS'!$J$5:$J$107,MATCH(L834,'Datos - Catálogo TIMSS'!$A$5:$A$107,0)),"No")="Sí",1,0)</f>
        <v/>
      </c>
      <c r="AA834" s="11" t="inlineStr">
        <is>
          <t>TA-O1.3</t>
        </is>
      </c>
      <c r="AB834" s="11" t="inlineStr">
        <is>
          <t>TA-O2.2</t>
        </is>
      </c>
      <c r="AC834" s="11">
        <f>IF(AA834="FUERA","Fuera del marco",IF(AA834="N/A","Sin marco",IFERROR(INDEX('Datos - TIMSS 2023'!$C$5:$C$105,MATCH(AA834,'Datos - TIMSS 2023'!$A$5:$A$105,0)),"Pendiente de clasificar")))</f>
        <v/>
      </c>
      <c r="AD834" s="11" t="inlineStr">
        <is>
          <t>1. Explicar fenómenos científicamente</t>
        </is>
      </c>
      <c r="AE834" s="11">
        <f>IF(AD834="","",IF(LEFT(AD834,1)="1","C1",IF(LEFT(AD834,1)="2","C2",IF(LEFT(AD834,1)="3","C3",""))))</f>
        <v/>
      </c>
      <c r="AF834" s="11" t="inlineStr">
        <is>
          <t>E1</t>
        </is>
      </c>
      <c r="AG834" s="11" t="inlineStr">
        <is>
          <t>D1</t>
        </is>
      </c>
      <c r="AH834" s="11" t="inlineStr">
        <is>
          <t>E2</t>
        </is>
      </c>
      <c r="AI834" s="11" t="inlineStr">
        <is>
          <t>E4</t>
        </is>
      </c>
      <c r="AJ834" s="11" t="inlineStr">
        <is>
          <t>E3</t>
        </is>
      </c>
      <c r="AK834" s="11" t="n"/>
      <c r="AL834" s="11" t="n"/>
      <c r="AM834" s="11" t="n"/>
      <c r="AN834" s="11" t="n"/>
      <c r="AO834" s="11" t="n"/>
      <c r="AP834" s="11" t="n"/>
      <c r="AQ834" s="11" t="n"/>
      <c r="AR834" s="11" t="n"/>
      <c r="AS834" s="11" t="n"/>
      <c r="AT834" s="11" t="n"/>
      <c r="AU834" s="11" t="n"/>
      <c r="AV834" s="11" t="n"/>
      <c r="AW834" s="11">
        <f>AF834&amp;"; "&amp;AG834&amp;"; "&amp;AH834&amp;"; "&amp;AI834&amp;"; "&amp;AJ834</f>
        <v/>
      </c>
    </row>
    <row r="835">
      <c r="A835" s="11" t="inlineStr">
        <is>
          <t>T0371-G11-FÍS</t>
        </is>
      </c>
      <c r="B835" s="11" t="n">
        <v>11</v>
      </c>
      <c r="C835" s="11" t="inlineStr">
        <is>
          <t>Física</t>
        </is>
      </c>
      <c r="D835" s="11" t="inlineStr">
        <is>
          <t>Matriz_Bachillerato_Fisica_10_11.xlsx</t>
        </is>
      </c>
      <c r="E835" s="11" t="inlineStr">
        <is>
          <t>Física 11.°</t>
        </is>
      </c>
      <c r="F835" s="11" t="n">
        <v>90</v>
      </c>
      <c r="G835" s="11" t="inlineStr">
        <is>
          <t>15. La luz</t>
        </is>
      </c>
      <c r="H835" s="11" t="inlineStr">
        <is>
          <t>Cuantización de la energía</t>
        </is>
      </c>
      <c r="I835" s="38" t="inlineStr">
        <is>
          <t>15.4. Análisis del efecto fotoeléctrico mediante la ecuación de Einstein y la relación entre frecuencia de la luz y energía cinética de los electrones.</t>
        </is>
      </c>
      <c r="J835" s="11" t="inlineStr">
        <is>
          <t>TA</t>
        </is>
      </c>
      <c r="K835" s="11" t="inlineStr">
        <is>
          <t>TA-O2.2</t>
        </is>
      </c>
      <c r="L835" s="11" t="inlineStr"/>
      <c r="M835" s="11">
        <f>IF(K835="FUERA","Fuera del marco",IF(K835="N/A","Sin marco",IFERROR(INDEX('Datos - Catálogo TIMSS'!$C$5:$C$107,MATCH(K835,'Datos - Catálogo TIMSS'!$A$5:$A$107,0)),"Pendiente de clasificar")))</f>
        <v/>
      </c>
      <c r="N835" s="11">
        <f>IF(K835="FUERA","Fuera del marco",IF(K835="N/A","Sin marco",IFERROR(INDEX('Datos - Catálogo TIMSS'!$F$5:$F$107,MATCH(K835,'Datos - Catálogo TIMSS'!$A$5:$A$107,0)),"Pendiente de clasificar")))</f>
        <v/>
      </c>
      <c r="O835" s="11">
        <f>IF(L835="","",IFERROR(INDEX('Datos - Catálogo TIMSS'!$C$5:$C$107,MATCH(L835,'Datos - Catálogo TIMSS'!$A$5:$A$107,0)),"?"))</f>
        <v/>
      </c>
      <c r="P835" s="11" t="inlineStr">
        <is>
          <t>alta</t>
        </is>
      </c>
      <c r="Q835" s="38" t="inlineStr">
        <is>
          <t>Efecto fotoeléctrico</t>
        </is>
      </c>
      <c r="R835" s="38" t="inlineStr">
        <is>
          <t>Aplicar: calcular energías y frecuencias umbral. Razonar: interpretar gráficas y justificar el modelo de fotones</t>
        </is>
      </c>
      <c r="S835" s="39">
        <f>IFERROR(ISNUMBER(SEARCH("Conocer",$R835))/(ISNUMBER(SEARCH("Conocer",$R835))+ISNUMBER(SEARCH("Aplicar",$R835))+ISNUMBER(SEARCH("Razonar",$R835))),0)</f>
        <v/>
      </c>
      <c r="T835" s="39">
        <f>IFERROR(ISNUMBER(SEARCH("Aplicar",$R835))/(ISNUMBER(SEARCH("Conocer",$R835))+ISNUMBER(SEARCH("Aplicar",$R835))+ISNUMBER(SEARCH("Razonar",$R835))),0)</f>
        <v/>
      </c>
      <c r="U835" s="39">
        <f>IFERROR(ISNUMBER(SEARCH("Razonar",$R835))/(ISNUMBER(SEARCH("Conocer",$R835))+ISNUMBER(SEARCH("Aplicar",$R835))+ISNUMBER(SEARCH("Razonar",$R835))),0)</f>
        <v/>
      </c>
      <c r="V835" s="11" t="inlineStr">
        <is>
          <t>Física 11°</t>
        </is>
      </c>
      <c r="W835" s="11" t="inlineStr">
        <is>
          <t>Física 10°–11°</t>
        </is>
      </c>
      <c r="X835" s="11">
        <f>IF(OR(IFERROR(INDEX('Datos - Catálogo TIMSS'!$I$5:$I$107,MATCH(K835,'Datos - Catálogo TIMSS'!$A$5:$A$107,0)),"No")="Sí",IFERROR(INDEX('Datos - Catálogo TIMSS'!$I$5:$I$107,MATCH(L835,'Datos - Catálogo TIMSS'!$A$5:$A$107,0)),"No")="Sí"),1,0)</f>
        <v/>
      </c>
      <c r="Y835" s="11">
        <f>IF(IFERROR(INDEX('Datos - Catálogo TIMSS'!$J$5:$J$107,MATCH(K835,'Datos - Catálogo TIMSS'!$A$5:$A$107,0)),"No")="Sí",1,0)</f>
        <v/>
      </c>
      <c r="Z835" s="11">
        <f>IF(IFERROR(INDEX('Datos - Catálogo TIMSS'!$J$5:$J$107,MATCH(L835,'Datos - Catálogo TIMSS'!$A$5:$A$107,0)),"No")="Sí",1,0)</f>
        <v/>
      </c>
      <c r="AA835" s="11" t="inlineStr">
        <is>
          <t>TA-O2.2</t>
        </is>
      </c>
      <c r="AB835" s="11" t="inlineStr"/>
      <c r="AC835" s="11">
        <f>IF(AA835="FUERA","Fuera del marco",IF(AA835="N/A","Sin marco",IFERROR(INDEX('Datos - TIMSS 2023'!$C$5:$C$105,MATCH(AA835,'Datos - TIMSS 2023'!$A$5:$A$105,0)),"Pendiente de clasificar")))</f>
        <v/>
      </c>
      <c r="AD835" s="11" t="inlineStr">
        <is>
          <t>2. Construir y evaluar diseños para la indagación científica e interpretar datos y evidencia de forma crítica</t>
        </is>
      </c>
      <c r="AE835" s="11">
        <f>IF(AD835="","",IF(LEFT(AD835,1)="1","C1",IF(LEFT(AD835,1)="2","C2",IF(LEFT(AD835,1)="3","C3",""))))</f>
        <v/>
      </c>
      <c r="AF835" s="11" t="inlineStr">
        <is>
          <t>E6</t>
        </is>
      </c>
      <c r="AG835" s="11" t="inlineStr">
        <is>
          <t>E3</t>
        </is>
      </c>
      <c r="AH835" s="11" t="inlineStr">
        <is>
          <t>E1</t>
        </is>
      </c>
      <c r="AI835" s="11" t="inlineStr">
        <is>
          <t>D4</t>
        </is>
      </c>
      <c r="AJ835" s="11" t="inlineStr">
        <is>
          <t>I5</t>
        </is>
      </c>
      <c r="AK835" s="11" t="n"/>
      <c r="AL835" s="11" t="n"/>
      <c r="AM835" s="11" t="n"/>
      <c r="AN835" s="11" t="n"/>
      <c r="AO835" s="11" t="n"/>
      <c r="AP835" s="11" t="n"/>
      <c r="AQ835" s="11" t="n"/>
      <c r="AR835" s="11" t="n"/>
      <c r="AS835" s="11" t="n"/>
      <c r="AT835" s="11" t="n"/>
      <c r="AU835" s="11" t="n"/>
      <c r="AV835" s="11" t="n"/>
      <c r="AW835" s="11">
        <f>AF835&amp;"; "&amp;AG835&amp;"; "&amp;AH835&amp;"; "&amp;AI835&amp;"; "&amp;AJ835</f>
        <v/>
      </c>
    </row>
    <row r="836">
      <c r="A836" s="11" t="inlineStr">
        <is>
          <t>T0372-G11-FÍS</t>
        </is>
      </c>
      <c r="B836" s="11" t="n">
        <v>11</v>
      </c>
      <c r="C836" s="11" t="inlineStr">
        <is>
          <t>Física</t>
        </is>
      </c>
      <c r="D836" s="11" t="inlineStr">
        <is>
          <t>Matriz_Bachillerato_Fisica_10_11.xlsx</t>
        </is>
      </c>
      <c r="E836" s="11" t="inlineStr">
        <is>
          <t>Física 11.°</t>
        </is>
      </c>
      <c r="F836" s="11" t="n">
        <v>91</v>
      </c>
      <c r="G836" s="11" t="inlineStr">
        <is>
          <t>15. La luz</t>
        </is>
      </c>
      <c r="H836" s="11" t="inlineStr">
        <is>
          <t>Momento del fotón</t>
        </is>
      </c>
      <c r="I836" s="38" t="inlineStr">
        <is>
          <t>15.5. Cálculo del momento de un fotón y del cambio de longitud de onda en la dispersión Compton.</t>
        </is>
      </c>
      <c r="J836" s="11" t="inlineStr">
        <is>
          <t>TA</t>
        </is>
      </c>
      <c r="K836" s="11" t="inlineStr">
        <is>
          <t>TA-O2.2</t>
        </is>
      </c>
      <c r="L836" s="11" t="inlineStr">
        <is>
          <t>TA-M2.2</t>
        </is>
      </c>
      <c r="M836" s="11">
        <f>IF(K836="FUERA","Fuera del marco",IF(K836="N/A","Sin marco",IFERROR(INDEX('Datos - Catálogo TIMSS'!$C$5:$C$107,MATCH(K836,'Datos - Catálogo TIMSS'!$A$5:$A$107,0)),"Pendiente de clasificar")))</f>
        <v/>
      </c>
      <c r="N836" s="11">
        <f>IF(K836="FUERA","Fuera del marco",IF(K836="N/A","Sin marco",IFERROR(INDEX('Datos - Catálogo TIMSS'!$F$5:$F$107,MATCH(K836,'Datos - Catálogo TIMSS'!$A$5:$A$107,0)),"Pendiente de clasificar")))</f>
        <v/>
      </c>
      <c r="O836" s="11">
        <f>IF(L836="","",IFERROR(INDEX('Datos - Catálogo TIMSS'!$C$5:$C$107,MATCH(L836,'Datos - Catálogo TIMSS'!$A$5:$A$107,0)),"?"))</f>
        <v/>
      </c>
      <c r="P836" s="11" t="inlineStr">
        <is>
          <t>alta</t>
        </is>
      </c>
      <c r="Q836" s="38" t="inlineStr">
        <is>
          <t>Efecto Compton: fotón como partícula en colisión</t>
        </is>
      </c>
      <c r="R836" s="38" t="inlineStr">
        <is>
          <t>Aplicar: calcular momentos y corrimientos. Razonar: justificar el comportamiento corpuscular</t>
        </is>
      </c>
      <c r="S836" s="39">
        <f>IFERROR(ISNUMBER(SEARCH("Conocer",$R836))/(ISNUMBER(SEARCH("Conocer",$R836))+ISNUMBER(SEARCH("Aplicar",$R836))+ISNUMBER(SEARCH("Razonar",$R836))),0)</f>
        <v/>
      </c>
      <c r="T836" s="39">
        <f>IFERROR(ISNUMBER(SEARCH("Aplicar",$R836))/(ISNUMBER(SEARCH("Conocer",$R836))+ISNUMBER(SEARCH("Aplicar",$R836))+ISNUMBER(SEARCH("Razonar",$R836))),0)</f>
        <v/>
      </c>
      <c r="U836" s="39">
        <f>IFERROR(ISNUMBER(SEARCH("Razonar",$R836))/(ISNUMBER(SEARCH("Conocer",$R836))+ISNUMBER(SEARCH("Aplicar",$R836))+ISNUMBER(SEARCH("Razonar",$R836))),0)</f>
        <v/>
      </c>
      <c r="V836" s="11" t="inlineStr">
        <is>
          <t>Física 11°</t>
        </is>
      </c>
      <c r="W836" s="11" t="inlineStr">
        <is>
          <t>Física 10°–11°</t>
        </is>
      </c>
      <c r="X836" s="11">
        <f>IF(OR(IFERROR(INDEX('Datos - Catálogo TIMSS'!$I$5:$I$107,MATCH(K836,'Datos - Catálogo TIMSS'!$A$5:$A$107,0)),"No")="Sí",IFERROR(INDEX('Datos - Catálogo TIMSS'!$I$5:$I$107,MATCH(L836,'Datos - Catálogo TIMSS'!$A$5:$A$107,0)),"No")="Sí"),1,0)</f>
        <v/>
      </c>
      <c r="Y836" s="11">
        <f>IF(IFERROR(INDEX('Datos - Catálogo TIMSS'!$J$5:$J$107,MATCH(K836,'Datos - Catálogo TIMSS'!$A$5:$A$107,0)),"No")="Sí",1,0)</f>
        <v/>
      </c>
      <c r="Z836" s="11">
        <f>IF(IFERROR(INDEX('Datos - Catálogo TIMSS'!$J$5:$J$107,MATCH(L836,'Datos - Catálogo TIMSS'!$A$5:$A$107,0)),"No")="Sí",1,0)</f>
        <v/>
      </c>
      <c r="AA836" s="11" t="inlineStr">
        <is>
          <t>TA-O2.2</t>
        </is>
      </c>
      <c r="AB836" s="11" t="inlineStr">
        <is>
          <t>TA-M2.2</t>
        </is>
      </c>
      <c r="AC836" s="11">
        <f>IF(AA836="FUERA","Fuera del marco",IF(AA836="N/A","Sin marco",IFERROR(INDEX('Datos - TIMSS 2023'!$C$5:$C$105,MATCH(AA836,'Datos - TIMSS 2023'!$A$5:$A$105,0)),"Pendiente de clasificar")))</f>
        <v/>
      </c>
      <c r="AD836" s="11" t="inlineStr">
        <is>
          <t>1. Explicar fenómenos científicamente</t>
        </is>
      </c>
      <c r="AE836" s="11">
        <f>IF(AD836="","",IF(LEFT(AD836,1)="1","C1",IF(LEFT(AD836,1)="2","C2",IF(LEFT(AD836,1)="3","C3",""))))</f>
        <v/>
      </c>
      <c r="AF836" s="11" t="inlineStr">
        <is>
          <t>E1</t>
        </is>
      </c>
      <c r="AG836" s="11" t="inlineStr">
        <is>
          <t>E5</t>
        </is>
      </c>
      <c r="AH836" s="11" t="inlineStr">
        <is>
          <t>E4</t>
        </is>
      </c>
      <c r="AI836" s="11" t="inlineStr">
        <is>
          <t>D4</t>
        </is>
      </c>
      <c r="AJ836" s="11" t="inlineStr">
        <is>
          <t>E3</t>
        </is>
      </c>
      <c r="AK836" s="11" t="n"/>
      <c r="AL836" s="11" t="n"/>
      <c r="AM836" s="11" t="n"/>
      <c r="AN836" s="11" t="n"/>
      <c r="AO836" s="11" t="n"/>
      <c r="AP836" s="11" t="n"/>
      <c r="AQ836" s="11" t="n"/>
      <c r="AR836" s="11" t="n"/>
      <c r="AS836" s="11" t="n"/>
      <c r="AT836" s="11" t="n"/>
      <c r="AU836" s="11" t="n"/>
      <c r="AV836" s="11" t="n"/>
      <c r="AW836" s="11">
        <f>AF836&amp;"; "&amp;AG836&amp;"; "&amp;AH836&amp;"; "&amp;AI836&amp;"; "&amp;AJ836</f>
        <v/>
      </c>
    </row>
    <row r="837">
      <c r="A837" s="11" t="inlineStr">
        <is>
          <t>T0373-G11-FÍS</t>
        </is>
      </c>
      <c r="B837" s="11" t="n">
        <v>11</v>
      </c>
      <c r="C837" s="11" t="inlineStr">
        <is>
          <t>Física</t>
        </is>
      </c>
      <c r="D837" s="11" t="inlineStr">
        <is>
          <t>Matriz_Bachillerato_Fisica_10_11.xlsx</t>
        </is>
      </c>
      <c r="E837" s="11" t="inlineStr">
        <is>
          <t>Física 11.°</t>
        </is>
      </c>
      <c r="F837" s="11" t="n">
        <v>92</v>
      </c>
      <c r="G837" s="11" t="inlineStr">
        <is>
          <t>15. La luz</t>
        </is>
      </c>
      <c r="H837" s="11" t="inlineStr">
        <is>
          <t>Naturaleza ondulatoria de la materia</t>
        </is>
      </c>
      <c r="I837" s="38" t="inlineStr">
        <is>
          <t>15.6. Cálculo de la longitud de onda de De Broglie de partículas y objetos macroscópicos.</t>
        </is>
      </c>
      <c r="J837" s="11" t="inlineStr">
        <is>
          <t>TA</t>
        </is>
      </c>
      <c r="K837" s="11" t="inlineStr">
        <is>
          <t>TA-O2.2</t>
        </is>
      </c>
      <c r="L837" s="11" t="inlineStr"/>
      <c r="M837" s="11">
        <f>IF(K837="FUERA","Fuera del marco",IF(K837="N/A","Sin marco",IFERROR(INDEX('Datos - Catálogo TIMSS'!$C$5:$C$107,MATCH(K837,'Datos - Catálogo TIMSS'!$A$5:$A$107,0)),"Pendiente de clasificar")))</f>
        <v/>
      </c>
      <c r="N837" s="11">
        <f>IF(K837="FUERA","Fuera del marco",IF(K837="N/A","Sin marco",IFERROR(INDEX('Datos - Catálogo TIMSS'!$F$5:$F$107,MATCH(K837,'Datos - Catálogo TIMSS'!$A$5:$A$107,0)),"Pendiente de clasificar")))</f>
        <v/>
      </c>
      <c r="O837" s="11">
        <f>IF(L837="","",IFERROR(INDEX('Datos - Catálogo TIMSS'!$C$5:$C$107,MATCH(L837,'Datos - Catálogo TIMSS'!$A$5:$A$107,0)),"?"))</f>
        <v/>
      </c>
      <c r="P837" s="11" t="inlineStr">
        <is>
          <t>alta</t>
        </is>
      </c>
      <c r="Q837" s="38" t="inlineStr">
        <is>
          <t>Longitud de onda de De Broglie: dualidad</t>
        </is>
      </c>
      <c r="R837" s="38" t="inlineStr">
        <is>
          <t>Aplicar: calcular longitudes de onda. Razonar: comparar escalas y justificar la observabilidad</t>
        </is>
      </c>
      <c r="S837" s="39">
        <f>IFERROR(ISNUMBER(SEARCH("Conocer",$R837))/(ISNUMBER(SEARCH("Conocer",$R837))+ISNUMBER(SEARCH("Aplicar",$R837))+ISNUMBER(SEARCH("Razonar",$R837))),0)</f>
        <v/>
      </c>
      <c r="T837" s="39">
        <f>IFERROR(ISNUMBER(SEARCH("Aplicar",$R837))/(ISNUMBER(SEARCH("Conocer",$R837))+ISNUMBER(SEARCH("Aplicar",$R837))+ISNUMBER(SEARCH("Razonar",$R837))),0)</f>
        <v/>
      </c>
      <c r="U837" s="39">
        <f>IFERROR(ISNUMBER(SEARCH("Razonar",$R837))/(ISNUMBER(SEARCH("Conocer",$R837))+ISNUMBER(SEARCH("Aplicar",$R837))+ISNUMBER(SEARCH("Razonar",$R837))),0)</f>
        <v/>
      </c>
      <c r="V837" s="11" t="inlineStr">
        <is>
          <t>Física 11°</t>
        </is>
      </c>
      <c r="W837" s="11" t="inlineStr">
        <is>
          <t>Física 10°–11°</t>
        </is>
      </c>
      <c r="X837" s="11">
        <f>IF(OR(IFERROR(INDEX('Datos - Catálogo TIMSS'!$I$5:$I$107,MATCH(K837,'Datos - Catálogo TIMSS'!$A$5:$A$107,0)),"No")="Sí",IFERROR(INDEX('Datos - Catálogo TIMSS'!$I$5:$I$107,MATCH(L837,'Datos - Catálogo TIMSS'!$A$5:$A$107,0)),"No")="Sí"),1,0)</f>
        <v/>
      </c>
      <c r="Y837" s="11">
        <f>IF(IFERROR(INDEX('Datos - Catálogo TIMSS'!$J$5:$J$107,MATCH(K837,'Datos - Catálogo TIMSS'!$A$5:$A$107,0)),"No")="Sí",1,0)</f>
        <v/>
      </c>
      <c r="Z837" s="11">
        <f>IF(IFERROR(INDEX('Datos - Catálogo TIMSS'!$J$5:$J$107,MATCH(L837,'Datos - Catálogo TIMSS'!$A$5:$A$107,0)),"No")="Sí",1,0)</f>
        <v/>
      </c>
      <c r="AA837" s="11" t="inlineStr">
        <is>
          <t>TA-O2.2</t>
        </is>
      </c>
      <c r="AB837" s="11" t="inlineStr"/>
      <c r="AC837" s="11">
        <f>IF(AA837="FUERA","Fuera del marco",IF(AA837="N/A","Sin marco",IFERROR(INDEX('Datos - TIMSS 2023'!$C$5:$C$105,MATCH(AA837,'Datos - TIMSS 2023'!$A$5:$A$105,0)),"Pendiente de clasificar")))</f>
        <v/>
      </c>
      <c r="AD837" s="11" t="inlineStr">
        <is>
          <t>1. Explicar fenómenos científicamente</t>
        </is>
      </c>
      <c r="AE837" s="11">
        <f>IF(AD837="","",IF(LEFT(AD837,1)="1","C1",IF(LEFT(AD837,1)="2","C2",IF(LEFT(AD837,1)="3","C3",""))))</f>
        <v/>
      </c>
      <c r="AF837" s="11" t="inlineStr">
        <is>
          <t>E1</t>
        </is>
      </c>
      <c r="AG837" s="11" t="inlineStr">
        <is>
          <t>E3</t>
        </is>
      </c>
      <c r="AH837" s="11" t="inlineStr">
        <is>
          <t>E2</t>
        </is>
      </c>
      <c r="AI837" s="11" t="inlineStr">
        <is>
          <t>D4</t>
        </is>
      </c>
      <c r="AJ837" s="11" t="inlineStr">
        <is>
          <t>E6</t>
        </is>
      </c>
      <c r="AK837" s="11" t="n"/>
      <c r="AL837" s="11" t="n"/>
      <c r="AM837" s="11" t="n"/>
      <c r="AN837" s="11" t="n"/>
      <c r="AO837" s="11" t="n"/>
      <c r="AP837" s="11" t="n"/>
      <c r="AQ837" s="11" t="n"/>
      <c r="AR837" s="11" t="n"/>
      <c r="AS837" s="11" t="n"/>
      <c r="AT837" s="11" t="n"/>
      <c r="AU837" s="11" t="n"/>
      <c r="AV837" s="11" t="n"/>
      <c r="AW837" s="11">
        <f>AF837&amp;"; "&amp;AG837&amp;"; "&amp;AH837&amp;"; "&amp;AI837&amp;"; "&amp;AJ837</f>
        <v/>
      </c>
    </row>
    <row r="838">
      <c r="A838" s="11" t="inlineStr">
        <is>
          <t>T0374-G11-FÍS</t>
        </is>
      </c>
      <c r="B838" s="11" t="n">
        <v>11</v>
      </c>
      <c r="C838" s="11" t="inlineStr">
        <is>
          <t>Física</t>
        </is>
      </c>
      <c r="D838" s="11" t="inlineStr">
        <is>
          <t>Matriz_Bachillerato_Fisica_10_11.xlsx</t>
        </is>
      </c>
      <c r="E838" s="11" t="inlineStr">
        <is>
          <t>Física 11.°</t>
        </is>
      </c>
      <c r="F838" s="11" t="n">
        <v>93</v>
      </c>
      <c r="G838" s="11" t="inlineStr">
        <is>
          <t>15. La luz</t>
        </is>
      </c>
      <c r="H838" s="11" t="inlineStr">
        <is>
          <t>Naturaleza ondulatoria de la materia</t>
        </is>
      </c>
      <c r="I838" s="38" t="inlineStr">
        <is>
          <t>15.7. Aplicación del principio de incertidumbre de Heisenberg a partículas confinadas y a objetos macroscópicos.</t>
        </is>
      </c>
      <c r="J838" s="11" t="inlineStr">
        <is>
          <t>TA</t>
        </is>
      </c>
      <c r="K838" s="11" t="inlineStr">
        <is>
          <t>TA-O2.2</t>
        </is>
      </c>
      <c r="L838" s="11" t="inlineStr"/>
      <c r="M838" s="11">
        <f>IF(K838="FUERA","Fuera del marco",IF(K838="N/A","Sin marco",IFERROR(INDEX('Datos - Catálogo TIMSS'!$C$5:$C$107,MATCH(K838,'Datos - Catálogo TIMSS'!$A$5:$A$107,0)),"Pendiente de clasificar")))</f>
        <v/>
      </c>
      <c r="N838" s="11">
        <f>IF(K838="FUERA","Fuera del marco",IF(K838="N/A","Sin marco",IFERROR(INDEX('Datos - Catálogo TIMSS'!$F$5:$F$107,MATCH(K838,'Datos - Catálogo TIMSS'!$A$5:$A$107,0)),"Pendiente de clasificar")))</f>
        <v/>
      </c>
      <c r="O838" s="11">
        <f>IF(L838="","",IFERROR(INDEX('Datos - Catálogo TIMSS'!$C$5:$C$107,MATCH(L838,'Datos - Catálogo TIMSS'!$A$5:$A$107,0)),"?"))</f>
        <v/>
      </c>
      <c r="P838" s="11" t="inlineStr">
        <is>
          <t>baja</t>
        </is>
      </c>
      <c r="Q838" s="38" t="inlineStr">
        <is>
          <t>Principio de incertidumbre; relación indirecta con dualidad</t>
        </is>
      </c>
      <c r="R838" s="38" t="inlineStr">
        <is>
          <t>Aplicar: estimar incertidumbres. Razonar: argumentar límites de validez y detectar malas interpretaciones</t>
        </is>
      </c>
      <c r="S838" s="39">
        <f>IFERROR(ISNUMBER(SEARCH("Conocer",$R838))/(ISNUMBER(SEARCH("Conocer",$R838))+ISNUMBER(SEARCH("Aplicar",$R838))+ISNUMBER(SEARCH("Razonar",$R838))),0)</f>
        <v/>
      </c>
      <c r="T838" s="39">
        <f>IFERROR(ISNUMBER(SEARCH("Aplicar",$R838))/(ISNUMBER(SEARCH("Conocer",$R838))+ISNUMBER(SEARCH("Aplicar",$R838))+ISNUMBER(SEARCH("Razonar",$R838))),0)</f>
        <v/>
      </c>
      <c r="U838" s="39">
        <f>IFERROR(ISNUMBER(SEARCH("Razonar",$R838))/(ISNUMBER(SEARCH("Conocer",$R838))+ISNUMBER(SEARCH("Aplicar",$R838))+ISNUMBER(SEARCH("Razonar",$R838))),0)</f>
        <v/>
      </c>
      <c r="V838" s="11" t="inlineStr">
        <is>
          <t>Física 11°</t>
        </is>
      </c>
      <c r="W838" s="11" t="inlineStr">
        <is>
          <t>Física 10°–11°</t>
        </is>
      </c>
      <c r="X838" s="11">
        <f>IF(OR(IFERROR(INDEX('Datos - Catálogo TIMSS'!$I$5:$I$107,MATCH(K838,'Datos - Catálogo TIMSS'!$A$5:$A$107,0)),"No")="Sí",IFERROR(INDEX('Datos - Catálogo TIMSS'!$I$5:$I$107,MATCH(L838,'Datos - Catálogo TIMSS'!$A$5:$A$107,0)),"No")="Sí"),1,0)</f>
        <v/>
      </c>
      <c r="Y838" s="11">
        <f>IF(IFERROR(INDEX('Datos - Catálogo TIMSS'!$J$5:$J$107,MATCH(K838,'Datos - Catálogo TIMSS'!$A$5:$A$107,0)),"No")="Sí",1,0)</f>
        <v/>
      </c>
      <c r="Z838" s="11">
        <f>IF(IFERROR(INDEX('Datos - Catálogo TIMSS'!$J$5:$J$107,MATCH(L838,'Datos - Catálogo TIMSS'!$A$5:$A$107,0)),"No")="Sí",1,0)</f>
        <v/>
      </c>
      <c r="AA838" s="11" t="inlineStr">
        <is>
          <t>TA-O2.2</t>
        </is>
      </c>
      <c r="AB838" s="11" t="inlineStr"/>
      <c r="AC838" s="11">
        <f>IF(AA838="FUERA","Fuera del marco",IF(AA838="N/A","Sin marco",IFERROR(INDEX('Datos - TIMSS 2023'!$C$5:$C$105,MATCH(AA838,'Datos - TIMSS 2023'!$A$5:$A$105,0)),"Pendiente de clasificar")))</f>
        <v/>
      </c>
      <c r="AD838" s="11" t="inlineStr">
        <is>
          <t>3. Investigar, evaluar y usar información científica para tomar decisiones y actuar</t>
        </is>
      </c>
      <c r="AE838" s="11">
        <f>IF(AD838="","",IF(LEFT(AD838,1)="1","C1",IF(LEFT(AD838,1)="2","C2",IF(LEFT(AD838,1)="3","C3",""))))</f>
        <v/>
      </c>
      <c r="AF838" s="11" t="inlineStr">
        <is>
          <t>E1</t>
        </is>
      </c>
      <c r="AG838" s="11" t="inlineStr">
        <is>
          <t>E5</t>
        </is>
      </c>
      <c r="AH838" s="11" t="inlineStr">
        <is>
          <t>E4</t>
        </is>
      </c>
      <c r="AI838" s="11" t="inlineStr">
        <is>
          <t>I3</t>
        </is>
      </c>
      <c r="AJ838" s="11" t="inlineStr">
        <is>
          <t>I4</t>
        </is>
      </c>
      <c r="AK838" s="11" t="n"/>
      <c r="AL838" s="11" t="n"/>
      <c r="AM838" s="11" t="n"/>
      <c r="AN838" s="11" t="n"/>
      <c r="AO838" s="11" t="n"/>
      <c r="AP838" s="11" t="n"/>
      <c r="AQ838" s="11" t="n"/>
      <c r="AR838" s="11" t="n"/>
      <c r="AS838" s="11" t="n"/>
      <c r="AT838" s="11" t="n"/>
      <c r="AU838" s="11" t="n"/>
      <c r="AV838" s="11" t="n"/>
      <c r="AW838" s="11">
        <f>AF838&amp;"; "&amp;AG838&amp;"; "&amp;AH838&amp;"; "&amp;AI838&amp;"; "&amp;AJ838</f>
        <v/>
      </c>
    </row>
    <row r="839">
      <c r="A839" s="11" t="inlineStr">
        <is>
          <t>T0375-G11-FÍS</t>
        </is>
      </c>
      <c r="B839" s="11" t="n">
        <v>11</v>
      </c>
      <c r="C839" s="11" t="inlineStr">
        <is>
          <t>Física</t>
        </is>
      </c>
      <c r="D839" s="11" t="inlineStr">
        <is>
          <t>Matriz_Bachillerato_Fisica_10_11.xlsx</t>
        </is>
      </c>
      <c r="E839" s="11" t="inlineStr">
        <is>
          <t>Física 11.°</t>
        </is>
      </c>
      <c r="F839" s="11" t="n">
        <v>94</v>
      </c>
      <c r="G839" s="11" t="inlineStr">
        <is>
          <t>16. Reflexión de la luz</t>
        </is>
      </c>
      <c r="H839" s="11" t="inlineStr">
        <is>
          <t>Modelo de rayos</t>
        </is>
      </c>
      <c r="I839" s="38" t="inlineStr">
        <is>
          <t>16.1. Representación de la luz mediante frentes de onda y rayos perpendiculares a ellos para fuentes puntuales y lejanas.</t>
        </is>
      </c>
      <c r="J839" s="11" t="inlineStr">
        <is>
          <t>TA</t>
        </is>
      </c>
      <c r="K839" s="11" t="inlineStr">
        <is>
          <t>TA-O1.4</t>
        </is>
      </c>
      <c r="L839" s="11" t="inlineStr"/>
      <c r="M839" s="11">
        <f>IF(K839="FUERA","Fuera del marco",IF(K839="N/A","Sin marco",IFERROR(INDEX('Datos - Catálogo TIMSS'!$C$5:$C$107,MATCH(K839,'Datos - Catálogo TIMSS'!$A$5:$A$107,0)),"Pendiente de clasificar")))</f>
        <v/>
      </c>
      <c r="N839" s="11">
        <f>IF(K839="FUERA","Fuera del marco",IF(K839="N/A","Sin marco",IFERROR(INDEX('Datos - Catálogo TIMSS'!$F$5:$F$107,MATCH(K839,'Datos - Catálogo TIMSS'!$A$5:$A$107,0)),"Pendiente de clasificar")))</f>
        <v/>
      </c>
      <c r="O839" s="11">
        <f>IF(L839="","",IFERROR(INDEX('Datos - Catálogo TIMSS'!$C$5:$C$107,MATCH(L839,'Datos - Catálogo TIMSS'!$A$5:$A$107,0)),"?"))</f>
        <v/>
      </c>
      <c r="P839" s="11" t="inlineStr">
        <is>
          <t>media</t>
        </is>
      </c>
      <c r="Q839" s="38" t="inlineStr">
        <is>
          <t>Frentes de onda y rayos; base de reflexión y refracción</t>
        </is>
      </c>
      <c r="R839" s="38" t="inlineStr">
        <is>
          <t>Conocer: definir frente de onda y rayo. Aplicar: representar gráficamente. Razonar: justificar la aproximación de rayos</t>
        </is>
      </c>
      <c r="S839" s="39">
        <f>IFERROR(ISNUMBER(SEARCH("Conocer",$R839))/(ISNUMBER(SEARCH("Conocer",$R839))+ISNUMBER(SEARCH("Aplicar",$R839))+ISNUMBER(SEARCH("Razonar",$R839))),0)</f>
        <v/>
      </c>
      <c r="T839" s="39">
        <f>IFERROR(ISNUMBER(SEARCH("Aplicar",$R839))/(ISNUMBER(SEARCH("Conocer",$R839))+ISNUMBER(SEARCH("Aplicar",$R839))+ISNUMBER(SEARCH("Razonar",$R839))),0)</f>
        <v/>
      </c>
      <c r="U839" s="39">
        <f>IFERROR(ISNUMBER(SEARCH("Razonar",$R839))/(ISNUMBER(SEARCH("Conocer",$R839))+ISNUMBER(SEARCH("Aplicar",$R839))+ISNUMBER(SEARCH("Razonar",$R839))),0)</f>
        <v/>
      </c>
      <c r="V839" s="11" t="inlineStr">
        <is>
          <t>Física 11°</t>
        </is>
      </c>
      <c r="W839" s="11" t="inlineStr">
        <is>
          <t>Física 10°–11°</t>
        </is>
      </c>
      <c r="X839" s="11">
        <f>IF(OR(IFERROR(INDEX('Datos - Catálogo TIMSS'!$I$5:$I$107,MATCH(K839,'Datos - Catálogo TIMSS'!$A$5:$A$107,0)),"No")="Sí",IFERROR(INDEX('Datos - Catálogo TIMSS'!$I$5:$I$107,MATCH(L839,'Datos - Catálogo TIMSS'!$A$5:$A$107,0)),"No")="Sí"),1,0)</f>
        <v/>
      </c>
      <c r="Y839" s="11">
        <f>IF(IFERROR(INDEX('Datos - Catálogo TIMSS'!$J$5:$J$107,MATCH(K839,'Datos - Catálogo TIMSS'!$A$5:$A$107,0)),"No")="Sí",1,0)</f>
        <v/>
      </c>
      <c r="Z839" s="11">
        <f>IF(IFERROR(INDEX('Datos - Catálogo TIMSS'!$J$5:$J$107,MATCH(L839,'Datos - Catálogo TIMSS'!$A$5:$A$107,0)),"No")="Sí",1,0)</f>
        <v/>
      </c>
      <c r="AA839" s="11" t="inlineStr">
        <is>
          <t>TA-O1.4</t>
        </is>
      </c>
      <c r="AB839" s="11" t="inlineStr"/>
      <c r="AC839" s="11">
        <f>IF(AA839="FUERA","Fuera del marco",IF(AA839="N/A","Sin marco",IFERROR(INDEX('Datos - TIMSS 2023'!$C$5:$C$105,MATCH(AA839,'Datos - TIMSS 2023'!$A$5:$A$105,0)),"Pendiente de clasificar")))</f>
        <v/>
      </c>
      <c r="AD839" s="11" t="inlineStr">
        <is>
          <t>1. Explicar fenómenos científicamente</t>
        </is>
      </c>
      <c r="AE839" s="11">
        <f>IF(AD839="","",IF(LEFT(AD839,1)="1","C1",IF(LEFT(AD839,1)="2","C2",IF(LEFT(AD839,1)="3","C3",""))))</f>
        <v/>
      </c>
      <c r="AF839" s="11" t="inlineStr">
        <is>
          <t>E1</t>
        </is>
      </c>
      <c r="AG839" s="11" t="inlineStr">
        <is>
          <t>E3</t>
        </is>
      </c>
      <c r="AH839" s="11" t="inlineStr">
        <is>
          <t>E2</t>
        </is>
      </c>
      <c r="AI839" s="11" t="inlineStr">
        <is>
          <t>E4</t>
        </is>
      </c>
      <c r="AJ839" s="11" t="inlineStr">
        <is>
          <t>E6</t>
        </is>
      </c>
      <c r="AK839" s="11" t="n"/>
      <c r="AL839" s="11" t="n"/>
      <c r="AM839" s="11" t="n"/>
      <c r="AN839" s="11" t="n"/>
      <c r="AO839" s="11" t="n"/>
      <c r="AP839" s="11" t="n"/>
      <c r="AQ839" s="11" t="n"/>
      <c r="AR839" s="11" t="n"/>
      <c r="AS839" s="11" t="n"/>
      <c r="AT839" s="11" t="n"/>
      <c r="AU839" s="11" t="n"/>
      <c r="AV839" s="11" t="n"/>
      <c r="AW839" s="11">
        <f>AF839&amp;"; "&amp;AG839&amp;"; "&amp;AH839&amp;"; "&amp;AI839&amp;"; "&amp;AJ839</f>
        <v/>
      </c>
    </row>
    <row r="840">
      <c r="A840" s="11" t="inlineStr">
        <is>
          <t>T0376-G11-FÍS</t>
        </is>
      </c>
      <c r="B840" s="11" t="n">
        <v>11</v>
      </c>
      <c r="C840" s="11" t="inlineStr">
        <is>
          <t>Física</t>
        </is>
      </c>
      <c r="D840" s="11" t="inlineStr">
        <is>
          <t>Matriz_Bachillerato_Fisica_10_11.xlsx</t>
        </is>
      </c>
      <c r="E840" s="11" t="inlineStr">
        <is>
          <t>Física 11.°</t>
        </is>
      </c>
      <c r="F840" s="11" t="n">
        <v>95</v>
      </c>
      <c r="G840" s="11" t="inlineStr">
        <is>
          <t>16. Reflexión de la luz</t>
        </is>
      </c>
      <c r="H840" s="11" t="inlineStr">
        <is>
          <t>Espejos planos</t>
        </is>
      </c>
      <c r="I840" s="38" t="inlineStr">
        <is>
          <t>16.2. Determinación geométrica de la posición de imágenes en espejos planos y en sistemas de dos espejos en ángulo.</t>
        </is>
      </c>
      <c r="J840" s="11" t="inlineStr">
        <is>
          <t>TA</t>
        </is>
      </c>
      <c r="K840" s="11" t="inlineStr">
        <is>
          <t>TA-O1.4</t>
        </is>
      </c>
      <c r="L840" s="11" t="inlineStr"/>
      <c r="M840" s="11">
        <f>IF(K840="FUERA","Fuera del marco",IF(K840="N/A","Sin marco",IFERROR(INDEX('Datos - Catálogo TIMSS'!$C$5:$C$107,MATCH(K840,'Datos - Catálogo TIMSS'!$A$5:$A$107,0)),"Pendiente de clasificar")))</f>
        <v/>
      </c>
      <c r="N840" s="11">
        <f>IF(K840="FUERA","Fuera del marco",IF(K840="N/A","Sin marco",IFERROR(INDEX('Datos - Catálogo TIMSS'!$F$5:$F$107,MATCH(K840,'Datos - Catálogo TIMSS'!$A$5:$A$107,0)),"Pendiente de clasificar")))</f>
        <v/>
      </c>
      <c r="O840" s="11">
        <f>IF(L840="","",IFERROR(INDEX('Datos - Catálogo TIMSS'!$C$5:$C$107,MATCH(L840,'Datos - Catálogo TIMSS'!$A$5:$A$107,0)),"?"))</f>
        <v/>
      </c>
      <c r="P840" s="11" t="inlineStr">
        <is>
          <t>media</t>
        </is>
      </c>
      <c r="Q840" s="38" t="inlineStr">
        <is>
          <t>Reflexión en espejos planos</t>
        </is>
      </c>
      <c r="R840" s="38" t="inlineStr">
        <is>
          <t>Aplicar: calcular número de imágenes y dimensiones. Razonar: generalizar una relación a partir de datos</t>
        </is>
      </c>
      <c r="S840" s="39">
        <f>IFERROR(ISNUMBER(SEARCH("Conocer",$R840))/(ISNUMBER(SEARCH("Conocer",$R840))+ISNUMBER(SEARCH("Aplicar",$R840))+ISNUMBER(SEARCH("Razonar",$R840))),0)</f>
        <v/>
      </c>
      <c r="T840" s="39">
        <f>IFERROR(ISNUMBER(SEARCH("Aplicar",$R840))/(ISNUMBER(SEARCH("Conocer",$R840))+ISNUMBER(SEARCH("Aplicar",$R840))+ISNUMBER(SEARCH("Razonar",$R840))),0)</f>
        <v/>
      </c>
      <c r="U840" s="39">
        <f>IFERROR(ISNUMBER(SEARCH("Razonar",$R840))/(ISNUMBER(SEARCH("Conocer",$R840))+ISNUMBER(SEARCH("Aplicar",$R840))+ISNUMBER(SEARCH("Razonar",$R840))),0)</f>
        <v/>
      </c>
      <c r="V840" s="11" t="inlineStr">
        <is>
          <t>Física 11°</t>
        </is>
      </c>
      <c r="W840" s="11" t="inlineStr">
        <is>
          <t>Física 10°–11°</t>
        </is>
      </c>
      <c r="X840" s="11">
        <f>IF(OR(IFERROR(INDEX('Datos - Catálogo TIMSS'!$I$5:$I$107,MATCH(K840,'Datos - Catálogo TIMSS'!$A$5:$A$107,0)),"No")="Sí",IFERROR(INDEX('Datos - Catálogo TIMSS'!$I$5:$I$107,MATCH(L840,'Datos - Catálogo TIMSS'!$A$5:$A$107,0)),"No")="Sí"),1,0)</f>
        <v/>
      </c>
      <c r="Y840" s="11">
        <f>IF(IFERROR(INDEX('Datos - Catálogo TIMSS'!$J$5:$J$107,MATCH(K840,'Datos - Catálogo TIMSS'!$A$5:$A$107,0)),"No")="Sí",1,0)</f>
        <v/>
      </c>
      <c r="Z840" s="11">
        <f>IF(IFERROR(INDEX('Datos - Catálogo TIMSS'!$J$5:$J$107,MATCH(L840,'Datos - Catálogo TIMSS'!$A$5:$A$107,0)),"No")="Sí",1,0)</f>
        <v/>
      </c>
      <c r="AA840" s="11" t="inlineStr">
        <is>
          <t>TA-O1.4</t>
        </is>
      </c>
      <c r="AB840" s="11" t="inlineStr"/>
      <c r="AC840" s="11">
        <f>IF(AA840="FUERA","Fuera del marco",IF(AA840="N/A","Sin marco",IFERROR(INDEX('Datos - TIMSS 2023'!$C$5:$C$105,MATCH(AA840,'Datos - TIMSS 2023'!$A$5:$A$105,0)),"Pendiente de clasificar")))</f>
        <v/>
      </c>
      <c r="AD840" s="11" t="inlineStr">
        <is>
          <t>2. Construir y evaluar diseños para la indagación científica e interpretar datos y evidencia de forma crítica</t>
        </is>
      </c>
      <c r="AE840" s="11">
        <f>IF(AD840="","",IF(LEFT(AD840,1)="1","C1",IF(LEFT(AD840,1)="2","C2",IF(LEFT(AD840,1)="3","C3",""))))</f>
        <v/>
      </c>
      <c r="AF840" s="11" t="inlineStr">
        <is>
          <t>E1</t>
        </is>
      </c>
      <c r="AG840" s="11" t="inlineStr">
        <is>
          <t>D1</t>
        </is>
      </c>
      <c r="AH840" s="11" t="inlineStr">
        <is>
          <t>E2</t>
        </is>
      </c>
      <c r="AI840" s="11" t="inlineStr">
        <is>
          <t>D4</t>
        </is>
      </c>
      <c r="AJ840" s="11" t="inlineStr">
        <is>
          <t>E3</t>
        </is>
      </c>
      <c r="AK840" s="11" t="n"/>
      <c r="AL840" s="11" t="n"/>
      <c r="AM840" s="11" t="n"/>
      <c r="AN840" s="11" t="n"/>
      <c r="AO840" s="11" t="n"/>
      <c r="AP840" s="11" t="n"/>
      <c r="AQ840" s="11" t="n"/>
      <c r="AR840" s="11" t="n"/>
      <c r="AS840" s="11" t="n"/>
      <c r="AT840" s="11" t="n"/>
      <c r="AU840" s="11" t="n"/>
      <c r="AV840" s="11" t="n"/>
      <c r="AW840" s="11">
        <f>AF840&amp;"; "&amp;AG840&amp;"; "&amp;AH840&amp;"; "&amp;AI840&amp;"; "&amp;AJ840</f>
        <v/>
      </c>
    </row>
    <row r="841">
      <c r="A841" s="11" t="inlineStr">
        <is>
          <t>T0377-G11-FÍS</t>
        </is>
      </c>
      <c r="B841" s="11" t="n">
        <v>11</v>
      </c>
      <c r="C841" s="11" t="inlineStr">
        <is>
          <t>Física</t>
        </is>
      </c>
      <c r="D841" s="11" t="inlineStr">
        <is>
          <t>Matriz_Bachillerato_Fisica_10_11.xlsx</t>
        </is>
      </c>
      <c r="E841" s="11" t="inlineStr">
        <is>
          <t>Física 11.°</t>
        </is>
      </c>
      <c r="F841" s="11" t="n">
        <v>96</v>
      </c>
      <c r="G841" s="11" t="inlineStr">
        <is>
          <t>16. Reflexión de la luz</t>
        </is>
      </c>
      <c r="H841" s="11" t="inlineStr">
        <is>
          <t>Espejos esféricos</t>
        </is>
      </c>
      <c r="I841" s="38" t="inlineStr">
        <is>
          <t>16.3. Determinación experimental de la distancia focal de un espejo cóncavo y de su relación con el radio de curvatura.</t>
        </is>
      </c>
      <c r="J841" s="11" t="inlineStr">
        <is>
          <t>TA</t>
        </is>
      </c>
      <c r="K841" s="11" t="inlineStr">
        <is>
          <t>TA-O1.4</t>
        </is>
      </c>
      <c r="L841" s="11" t="inlineStr"/>
      <c r="M841" s="11">
        <f>IF(K841="FUERA","Fuera del marco",IF(K841="N/A","Sin marco",IFERROR(INDEX('Datos - Catálogo TIMSS'!$C$5:$C$107,MATCH(K841,'Datos - Catálogo TIMSS'!$A$5:$A$107,0)),"Pendiente de clasificar")))</f>
        <v/>
      </c>
      <c r="N841" s="11">
        <f>IF(K841="FUERA","Fuera del marco",IF(K841="N/A","Sin marco",IFERROR(INDEX('Datos - Catálogo TIMSS'!$F$5:$F$107,MATCH(K841,'Datos - Catálogo TIMSS'!$A$5:$A$107,0)),"Pendiente de clasificar")))</f>
        <v/>
      </c>
      <c r="O841" s="11">
        <f>IF(L841="","",IFERROR(INDEX('Datos - Catálogo TIMSS'!$C$5:$C$107,MATCH(L841,'Datos - Catálogo TIMSS'!$A$5:$A$107,0)),"?"))</f>
        <v/>
      </c>
      <c r="P841" s="11" t="inlineStr">
        <is>
          <t>media</t>
        </is>
      </c>
      <c r="Q841" s="38" t="inlineStr">
        <is>
          <t>Reflexión en espejos esféricos</t>
        </is>
      </c>
      <c r="R841" s="38" t="inlineStr">
        <is>
          <t>Aplicar: medir distancias focales. Razonar: justificar la elección de espejos según su función</t>
        </is>
      </c>
      <c r="S841" s="39">
        <f>IFERROR(ISNUMBER(SEARCH("Conocer",$R841))/(ISNUMBER(SEARCH("Conocer",$R841))+ISNUMBER(SEARCH("Aplicar",$R841))+ISNUMBER(SEARCH("Razonar",$R841))),0)</f>
        <v/>
      </c>
      <c r="T841" s="39">
        <f>IFERROR(ISNUMBER(SEARCH("Aplicar",$R841))/(ISNUMBER(SEARCH("Conocer",$R841))+ISNUMBER(SEARCH("Aplicar",$R841))+ISNUMBER(SEARCH("Razonar",$R841))),0)</f>
        <v/>
      </c>
      <c r="U841" s="39">
        <f>IFERROR(ISNUMBER(SEARCH("Razonar",$R841))/(ISNUMBER(SEARCH("Conocer",$R841))+ISNUMBER(SEARCH("Aplicar",$R841))+ISNUMBER(SEARCH("Razonar",$R841))),0)</f>
        <v/>
      </c>
      <c r="V841" s="11" t="inlineStr">
        <is>
          <t>Física 11°</t>
        </is>
      </c>
      <c r="W841" s="11" t="inlineStr">
        <is>
          <t>Física 10°–11°</t>
        </is>
      </c>
      <c r="X841" s="11">
        <f>IF(OR(IFERROR(INDEX('Datos - Catálogo TIMSS'!$I$5:$I$107,MATCH(K841,'Datos - Catálogo TIMSS'!$A$5:$A$107,0)),"No")="Sí",IFERROR(INDEX('Datos - Catálogo TIMSS'!$I$5:$I$107,MATCH(L841,'Datos - Catálogo TIMSS'!$A$5:$A$107,0)),"No")="Sí"),1,0)</f>
        <v/>
      </c>
      <c r="Y841" s="11">
        <f>IF(IFERROR(INDEX('Datos - Catálogo TIMSS'!$J$5:$J$107,MATCH(K841,'Datos - Catálogo TIMSS'!$A$5:$A$107,0)),"No")="Sí",1,0)</f>
        <v/>
      </c>
      <c r="Z841" s="11">
        <f>IF(IFERROR(INDEX('Datos - Catálogo TIMSS'!$J$5:$J$107,MATCH(L841,'Datos - Catálogo TIMSS'!$A$5:$A$107,0)),"No")="Sí",1,0)</f>
        <v/>
      </c>
      <c r="AA841" s="11" t="inlineStr">
        <is>
          <t>TA-O1.4</t>
        </is>
      </c>
      <c r="AB841" s="11" t="inlineStr"/>
      <c r="AC841" s="11">
        <f>IF(AA841="FUERA","Fuera del marco",IF(AA841="N/A","Sin marco",IFERROR(INDEX('Datos - TIMSS 2023'!$C$5:$C$105,MATCH(AA841,'Datos - TIMSS 2023'!$A$5:$A$105,0)),"Pendiente de clasificar")))</f>
        <v/>
      </c>
      <c r="AD841" s="11" t="inlineStr">
        <is>
          <t>1. Explicar fenómenos científicamente</t>
        </is>
      </c>
      <c r="AE841" s="11">
        <f>IF(AD841="","",IF(LEFT(AD841,1)="1","C1",IF(LEFT(AD841,1)="2","C2",IF(LEFT(AD841,1)="3","C3",""))))</f>
        <v/>
      </c>
      <c r="AF841" s="11" t="inlineStr">
        <is>
          <t>E6</t>
        </is>
      </c>
      <c r="AG841" s="11" t="inlineStr">
        <is>
          <t>E5</t>
        </is>
      </c>
      <c r="AH841" s="11" t="inlineStr">
        <is>
          <t>E1</t>
        </is>
      </c>
      <c r="AI841" s="11" t="inlineStr">
        <is>
          <t>D2</t>
        </is>
      </c>
      <c r="AJ841" s="11" t="inlineStr">
        <is>
          <t>I5</t>
        </is>
      </c>
      <c r="AK841" s="11" t="n"/>
      <c r="AL841" s="11" t="n"/>
      <c r="AM841" s="11" t="n"/>
      <c r="AN841" s="11" t="n"/>
      <c r="AO841" s="11" t="n"/>
      <c r="AP841" s="11" t="n"/>
      <c r="AQ841" s="11" t="n"/>
      <c r="AR841" s="11" t="n"/>
      <c r="AS841" s="11" t="n"/>
      <c r="AT841" s="11" t="n"/>
      <c r="AU841" s="11" t="n"/>
      <c r="AV841" s="11" t="n"/>
      <c r="AW841" s="11">
        <f>AF841&amp;"; "&amp;AG841&amp;"; "&amp;AH841&amp;"; "&amp;AI841&amp;"; "&amp;AJ841</f>
        <v/>
      </c>
    </row>
    <row r="842">
      <c r="A842" s="11" t="inlineStr">
        <is>
          <t>T0378-G11-FÍS</t>
        </is>
      </c>
      <c r="B842" s="11" t="n">
        <v>11</v>
      </c>
      <c r="C842" s="11" t="inlineStr">
        <is>
          <t>Física</t>
        </is>
      </c>
      <c r="D842" s="11" t="inlineStr">
        <is>
          <t>Matriz_Bachillerato_Fisica_10_11.xlsx</t>
        </is>
      </c>
      <c r="E842" s="11" t="inlineStr">
        <is>
          <t>Física 11.°</t>
        </is>
      </c>
      <c r="F842" s="11" t="n">
        <v>97</v>
      </c>
      <c r="G842" s="11" t="inlineStr">
        <is>
          <t>16. Reflexión de la luz</t>
        </is>
      </c>
      <c r="H842" s="11" t="inlineStr">
        <is>
          <t>Espejos esféricos</t>
        </is>
      </c>
      <c r="I842" s="38" t="inlineStr">
        <is>
          <t>16.4. Construcción de diagramas de rayos principales para localizar imágenes en espejos cóncavos y convexos.</t>
        </is>
      </c>
      <c r="J842" s="11" t="inlineStr">
        <is>
          <t>TA</t>
        </is>
      </c>
      <c r="K842" s="11" t="inlineStr">
        <is>
          <t>TA-O1.4</t>
        </is>
      </c>
      <c r="L842" s="11" t="inlineStr"/>
      <c r="M842" s="11">
        <f>IF(K842="FUERA","Fuera del marco",IF(K842="N/A","Sin marco",IFERROR(INDEX('Datos - Catálogo TIMSS'!$C$5:$C$107,MATCH(K842,'Datos - Catálogo TIMSS'!$A$5:$A$107,0)),"Pendiente de clasificar")))</f>
        <v/>
      </c>
      <c r="N842" s="11">
        <f>IF(K842="FUERA","Fuera del marco",IF(K842="N/A","Sin marco",IFERROR(INDEX('Datos - Catálogo TIMSS'!$F$5:$F$107,MATCH(K842,'Datos - Catálogo TIMSS'!$A$5:$A$107,0)),"Pendiente de clasificar")))</f>
        <v/>
      </c>
      <c r="O842" s="11">
        <f>IF(L842="","",IFERROR(INDEX('Datos - Catálogo TIMSS'!$C$5:$C$107,MATCH(L842,'Datos - Catálogo TIMSS'!$A$5:$A$107,0)),"?"))</f>
        <v/>
      </c>
      <c r="P842" s="11" t="inlineStr">
        <is>
          <t>media</t>
        </is>
      </c>
      <c r="Q842" s="38" t="inlineStr">
        <is>
          <t>Trazado de rayos por reflexión en espejos</t>
        </is>
      </c>
      <c r="R842" s="38" t="inlineStr">
        <is>
          <t>Aplicar: construir diagramas de rayos. Razonar: generalizar el tipo de imagen según la posición del objeto</t>
        </is>
      </c>
      <c r="S842" s="39">
        <f>IFERROR(ISNUMBER(SEARCH("Conocer",$R842))/(ISNUMBER(SEARCH("Conocer",$R842))+ISNUMBER(SEARCH("Aplicar",$R842))+ISNUMBER(SEARCH("Razonar",$R842))),0)</f>
        <v/>
      </c>
      <c r="T842" s="39">
        <f>IFERROR(ISNUMBER(SEARCH("Aplicar",$R842))/(ISNUMBER(SEARCH("Conocer",$R842))+ISNUMBER(SEARCH("Aplicar",$R842))+ISNUMBER(SEARCH("Razonar",$R842))),0)</f>
        <v/>
      </c>
      <c r="U842" s="39">
        <f>IFERROR(ISNUMBER(SEARCH("Razonar",$R842))/(ISNUMBER(SEARCH("Conocer",$R842))+ISNUMBER(SEARCH("Aplicar",$R842))+ISNUMBER(SEARCH("Razonar",$R842))),0)</f>
        <v/>
      </c>
      <c r="V842" s="11" t="inlineStr">
        <is>
          <t>Física 11°</t>
        </is>
      </c>
      <c r="W842" s="11" t="inlineStr">
        <is>
          <t>Física 10°–11°</t>
        </is>
      </c>
      <c r="X842" s="11">
        <f>IF(OR(IFERROR(INDEX('Datos - Catálogo TIMSS'!$I$5:$I$107,MATCH(K842,'Datos - Catálogo TIMSS'!$A$5:$A$107,0)),"No")="Sí",IFERROR(INDEX('Datos - Catálogo TIMSS'!$I$5:$I$107,MATCH(L842,'Datos - Catálogo TIMSS'!$A$5:$A$107,0)),"No")="Sí"),1,0)</f>
        <v/>
      </c>
      <c r="Y842" s="11">
        <f>IF(IFERROR(INDEX('Datos - Catálogo TIMSS'!$J$5:$J$107,MATCH(K842,'Datos - Catálogo TIMSS'!$A$5:$A$107,0)),"No")="Sí",1,0)</f>
        <v/>
      </c>
      <c r="Z842" s="11">
        <f>IF(IFERROR(INDEX('Datos - Catálogo TIMSS'!$J$5:$J$107,MATCH(L842,'Datos - Catálogo TIMSS'!$A$5:$A$107,0)),"No")="Sí",1,0)</f>
        <v/>
      </c>
      <c r="AA842" s="11" t="inlineStr">
        <is>
          <t>TA-O1.4</t>
        </is>
      </c>
      <c r="AB842" s="11" t="inlineStr"/>
      <c r="AC842" s="11">
        <f>IF(AA842="FUERA","Fuera del marco",IF(AA842="N/A","Sin marco",IFERROR(INDEX('Datos - TIMSS 2023'!$C$5:$C$105,MATCH(AA842,'Datos - TIMSS 2023'!$A$5:$A$105,0)),"Pendiente de clasificar")))</f>
        <v/>
      </c>
      <c r="AD842" s="11" t="inlineStr">
        <is>
          <t>1. Explicar fenómenos científicamente</t>
        </is>
      </c>
      <c r="AE842" s="11">
        <f>IF(AD842="","",IF(LEFT(AD842,1)="1","C1",IF(LEFT(AD842,1)="2","C2",IF(LEFT(AD842,1)="3","C3",""))))</f>
        <v/>
      </c>
      <c r="AF842" s="11" t="inlineStr">
        <is>
          <t>E1</t>
        </is>
      </c>
      <c r="AG842" s="11" t="inlineStr">
        <is>
          <t>E3</t>
        </is>
      </c>
      <c r="AH842" s="11" t="inlineStr">
        <is>
          <t>E2</t>
        </is>
      </c>
      <c r="AI842" s="11" t="inlineStr">
        <is>
          <t>E4</t>
        </is>
      </c>
      <c r="AJ842" s="11" t="inlineStr">
        <is>
          <t>E3</t>
        </is>
      </c>
      <c r="AK842" s="11" t="n"/>
      <c r="AL842" s="11" t="n"/>
      <c r="AM842" s="11" t="n"/>
      <c r="AN842" s="11" t="n"/>
      <c r="AO842" s="11" t="n"/>
      <c r="AP842" s="11" t="n"/>
      <c r="AQ842" s="11" t="n"/>
      <c r="AR842" s="11" t="n"/>
      <c r="AS842" s="11" t="n"/>
      <c r="AT842" s="11" t="n"/>
      <c r="AU842" s="11" t="n"/>
      <c r="AV842" s="11" t="n"/>
      <c r="AW842" s="11">
        <f>AF842&amp;"; "&amp;AG842&amp;"; "&amp;AH842&amp;"; "&amp;AI842&amp;"; "&amp;AJ842</f>
        <v/>
      </c>
    </row>
    <row r="843">
      <c r="A843" s="11" t="inlineStr">
        <is>
          <t>T0379-G11-FÍS</t>
        </is>
      </c>
      <c r="B843" s="11" t="n">
        <v>11</v>
      </c>
      <c r="C843" s="11" t="inlineStr">
        <is>
          <t>Física</t>
        </is>
      </c>
      <c r="D843" s="11" t="inlineStr">
        <is>
          <t>Matriz_Bachillerato_Fisica_10_11.xlsx</t>
        </is>
      </c>
      <c r="E843" s="11" t="inlineStr">
        <is>
          <t>Física 11.°</t>
        </is>
      </c>
      <c r="F843" s="11" t="n">
        <v>98</v>
      </c>
      <c r="G843" s="11" t="inlineStr">
        <is>
          <t>16. Reflexión de la luz</t>
        </is>
      </c>
      <c r="H843" s="11" t="inlineStr">
        <is>
          <t>Ecuación del espejo</t>
        </is>
      </c>
      <c r="I843" s="38" t="inlineStr">
        <is>
          <t>16.5. Resolución de problemas con la ecuación del espejo y la ecuación del aumento aplicando la convención de signos.</t>
        </is>
      </c>
      <c r="J843" s="11" t="inlineStr">
        <is>
          <t>TA</t>
        </is>
      </c>
      <c r="K843" s="11" t="inlineStr">
        <is>
          <t>TA-O1.4</t>
        </is>
      </c>
      <c r="L843" s="11" t="inlineStr"/>
      <c r="M843" s="11">
        <f>IF(K843="FUERA","Fuera del marco",IF(K843="N/A","Sin marco",IFERROR(INDEX('Datos - Catálogo TIMSS'!$C$5:$C$107,MATCH(K843,'Datos - Catálogo TIMSS'!$A$5:$A$107,0)),"Pendiente de clasificar")))</f>
        <v/>
      </c>
      <c r="N843" s="11">
        <f>IF(K843="FUERA","Fuera del marco",IF(K843="N/A","Sin marco",IFERROR(INDEX('Datos - Catálogo TIMSS'!$F$5:$F$107,MATCH(K843,'Datos - Catálogo TIMSS'!$A$5:$A$107,0)),"Pendiente de clasificar")))</f>
        <v/>
      </c>
      <c r="O843" s="11">
        <f>IF(L843="","",IFERROR(INDEX('Datos - Catálogo TIMSS'!$C$5:$C$107,MATCH(L843,'Datos - Catálogo TIMSS'!$A$5:$A$107,0)),"?"))</f>
        <v/>
      </c>
      <c r="P843" s="11" t="inlineStr">
        <is>
          <t>media</t>
        </is>
      </c>
      <c r="Q843" s="38" t="inlineStr">
        <is>
          <t>Ecuación del espejo: imágenes por reflexión</t>
        </is>
      </c>
      <c r="R843" s="38" t="inlineStr">
        <is>
          <t>Aplicar: calcular posiciones y aumentos. Razonar: verificar un modelo con datos experimentales</t>
        </is>
      </c>
      <c r="S843" s="39">
        <f>IFERROR(ISNUMBER(SEARCH("Conocer",$R843))/(ISNUMBER(SEARCH("Conocer",$R843))+ISNUMBER(SEARCH("Aplicar",$R843))+ISNUMBER(SEARCH("Razonar",$R843))),0)</f>
        <v/>
      </c>
      <c r="T843" s="39">
        <f>IFERROR(ISNUMBER(SEARCH("Aplicar",$R843))/(ISNUMBER(SEARCH("Conocer",$R843))+ISNUMBER(SEARCH("Aplicar",$R843))+ISNUMBER(SEARCH("Razonar",$R843))),0)</f>
        <v/>
      </c>
      <c r="U843" s="39">
        <f>IFERROR(ISNUMBER(SEARCH("Razonar",$R843))/(ISNUMBER(SEARCH("Conocer",$R843))+ISNUMBER(SEARCH("Aplicar",$R843))+ISNUMBER(SEARCH("Razonar",$R843))),0)</f>
        <v/>
      </c>
      <c r="V843" s="11" t="inlineStr">
        <is>
          <t>Física 11°</t>
        </is>
      </c>
      <c r="W843" s="11" t="inlineStr">
        <is>
          <t>Física 10°–11°</t>
        </is>
      </c>
      <c r="X843" s="11">
        <f>IF(OR(IFERROR(INDEX('Datos - Catálogo TIMSS'!$I$5:$I$107,MATCH(K843,'Datos - Catálogo TIMSS'!$A$5:$A$107,0)),"No")="Sí",IFERROR(INDEX('Datos - Catálogo TIMSS'!$I$5:$I$107,MATCH(L843,'Datos - Catálogo TIMSS'!$A$5:$A$107,0)),"No")="Sí"),1,0)</f>
        <v/>
      </c>
      <c r="Y843" s="11">
        <f>IF(IFERROR(INDEX('Datos - Catálogo TIMSS'!$J$5:$J$107,MATCH(K843,'Datos - Catálogo TIMSS'!$A$5:$A$107,0)),"No")="Sí",1,0)</f>
        <v/>
      </c>
      <c r="Z843" s="11">
        <f>IF(IFERROR(INDEX('Datos - Catálogo TIMSS'!$J$5:$J$107,MATCH(L843,'Datos - Catálogo TIMSS'!$A$5:$A$107,0)),"No")="Sí",1,0)</f>
        <v/>
      </c>
      <c r="AA843" s="11" t="inlineStr">
        <is>
          <t>TA-O1.4</t>
        </is>
      </c>
      <c r="AB843" s="11" t="inlineStr"/>
      <c r="AC843" s="11">
        <f>IF(AA843="FUERA","Fuera del marco",IF(AA843="N/A","Sin marco",IFERROR(INDEX('Datos - TIMSS 2023'!$C$5:$C$105,MATCH(AA843,'Datos - TIMSS 2023'!$A$5:$A$105,0)),"Pendiente de clasificar")))</f>
        <v/>
      </c>
      <c r="AD843" s="11" t="inlineStr">
        <is>
          <t>2. Construir y evaluar diseños para la indagación científica e interpretar datos y evidencia de forma crítica</t>
        </is>
      </c>
      <c r="AE843" s="11">
        <f>IF(AD843="","",IF(LEFT(AD843,1)="1","C1",IF(LEFT(AD843,1)="2","C2",IF(LEFT(AD843,1)="3","C3",""))))</f>
        <v/>
      </c>
      <c r="AF843" s="11" t="inlineStr">
        <is>
          <t>E1</t>
        </is>
      </c>
      <c r="AG843" s="11" t="inlineStr">
        <is>
          <t>D1</t>
        </is>
      </c>
      <c r="AH843" s="11" t="inlineStr">
        <is>
          <t>E1</t>
        </is>
      </c>
      <c r="AI843" s="11" t="inlineStr">
        <is>
          <t>D4</t>
        </is>
      </c>
      <c r="AJ843" s="11" t="inlineStr">
        <is>
          <t>D3</t>
        </is>
      </c>
      <c r="AK843" s="11" t="n"/>
      <c r="AL843" s="11" t="n"/>
      <c r="AM843" s="11" t="n"/>
      <c r="AN843" s="11" t="n"/>
      <c r="AO843" s="11" t="n"/>
      <c r="AP843" s="11" t="n"/>
      <c r="AQ843" s="11" t="n"/>
      <c r="AR843" s="11" t="n"/>
      <c r="AS843" s="11" t="n"/>
      <c r="AT843" s="11" t="n"/>
      <c r="AU843" s="11" t="n"/>
      <c r="AV843" s="11" t="n"/>
      <c r="AW843" s="11">
        <f>AF843&amp;"; "&amp;AG843&amp;"; "&amp;AH843&amp;"; "&amp;AI843&amp;"; "&amp;AJ843</f>
        <v/>
      </c>
    </row>
    <row r="844">
      <c r="A844" s="11" t="inlineStr">
        <is>
          <t>T0380-G11-FÍS</t>
        </is>
      </c>
      <c r="B844" s="11" t="n">
        <v>11</v>
      </c>
      <c r="C844" s="11" t="inlineStr">
        <is>
          <t>Física</t>
        </is>
      </c>
      <c r="D844" s="11" t="inlineStr">
        <is>
          <t>Matriz_Bachillerato_Fisica_10_11.xlsx</t>
        </is>
      </c>
      <c r="E844" s="11" t="inlineStr">
        <is>
          <t>Física 11.°</t>
        </is>
      </c>
      <c r="F844" s="11" t="n">
        <v>99</v>
      </c>
      <c r="G844" s="11" t="inlineStr">
        <is>
          <t>17. Refracción de la luz</t>
        </is>
      </c>
      <c r="H844" s="11" t="inlineStr">
        <is>
          <t>Polarización por reflexión</t>
        </is>
      </c>
      <c r="I844" s="38" t="inlineStr">
        <is>
          <t>17.1. Determinación del ángulo de Brewster para superficies de agua y vidrio y comprobación de la polarización de la luz reflejada.</t>
        </is>
      </c>
      <c r="J844" s="11" t="inlineStr">
        <is>
          <t>TA</t>
        </is>
      </c>
      <c r="K844" s="11" t="inlineStr">
        <is>
          <t>TA-O1.4</t>
        </is>
      </c>
      <c r="L844" s="11" t="inlineStr">
        <is>
          <t>TA-O1.2</t>
        </is>
      </c>
      <c r="M844" s="11">
        <f>IF(K844="FUERA","Fuera del marco",IF(K844="N/A","Sin marco",IFERROR(INDEX('Datos - Catálogo TIMSS'!$C$5:$C$107,MATCH(K844,'Datos - Catálogo TIMSS'!$A$5:$A$107,0)),"Pendiente de clasificar")))</f>
        <v/>
      </c>
      <c r="N844" s="11">
        <f>IF(K844="FUERA","Fuera del marco",IF(K844="N/A","Sin marco",IFERROR(INDEX('Datos - Catálogo TIMSS'!$F$5:$F$107,MATCH(K844,'Datos - Catálogo TIMSS'!$A$5:$A$107,0)),"Pendiente de clasificar")))</f>
        <v/>
      </c>
      <c r="O844" s="11">
        <f>IF(L844="","",IFERROR(INDEX('Datos - Catálogo TIMSS'!$C$5:$C$107,MATCH(L844,'Datos - Catálogo TIMSS'!$A$5:$A$107,0)),"?"))</f>
        <v/>
      </c>
      <c r="P844" s="11" t="inlineStr">
        <is>
          <t>media</t>
        </is>
      </c>
      <c r="Q844" s="38" t="inlineStr">
        <is>
          <t>Reflexión y refracción en ángulo de Brewster; polarización</t>
        </is>
      </c>
      <c r="R844" s="38" t="inlineStr">
        <is>
          <t>Aplicar: calcular ángulos de Brewster. Razonar: contrastar la medición con la predicción teórica</t>
        </is>
      </c>
      <c r="S844" s="39">
        <f>IFERROR(ISNUMBER(SEARCH("Conocer",$R844))/(ISNUMBER(SEARCH("Conocer",$R844))+ISNUMBER(SEARCH("Aplicar",$R844))+ISNUMBER(SEARCH("Razonar",$R844))),0)</f>
        <v/>
      </c>
      <c r="T844" s="39">
        <f>IFERROR(ISNUMBER(SEARCH("Aplicar",$R844))/(ISNUMBER(SEARCH("Conocer",$R844))+ISNUMBER(SEARCH("Aplicar",$R844))+ISNUMBER(SEARCH("Razonar",$R844))),0)</f>
        <v/>
      </c>
      <c r="U844" s="39">
        <f>IFERROR(ISNUMBER(SEARCH("Razonar",$R844))/(ISNUMBER(SEARCH("Conocer",$R844))+ISNUMBER(SEARCH("Aplicar",$R844))+ISNUMBER(SEARCH("Razonar",$R844))),0)</f>
        <v/>
      </c>
      <c r="V844" s="11" t="inlineStr">
        <is>
          <t>Física 11°</t>
        </is>
      </c>
      <c r="W844" s="11" t="inlineStr">
        <is>
          <t>Física 10°–11°</t>
        </is>
      </c>
      <c r="X844" s="11">
        <f>IF(OR(IFERROR(INDEX('Datos - Catálogo TIMSS'!$I$5:$I$107,MATCH(K844,'Datos - Catálogo TIMSS'!$A$5:$A$107,0)),"No")="Sí",IFERROR(INDEX('Datos - Catálogo TIMSS'!$I$5:$I$107,MATCH(L844,'Datos - Catálogo TIMSS'!$A$5:$A$107,0)),"No")="Sí"),1,0)</f>
        <v/>
      </c>
      <c r="Y844" s="11">
        <f>IF(IFERROR(INDEX('Datos - Catálogo TIMSS'!$J$5:$J$107,MATCH(K844,'Datos - Catálogo TIMSS'!$A$5:$A$107,0)),"No")="Sí",1,0)</f>
        <v/>
      </c>
      <c r="Z844" s="11">
        <f>IF(IFERROR(INDEX('Datos - Catálogo TIMSS'!$J$5:$J$107,MATCH(L844,'Datos - Catálogo TIMSS'!$A$5:$A$107,0)),"No")="Sí",1,0)</f>
        <v/>
      </c>
      <c r="AA844" s="11" t="inlineStr">
        <is>
          <t>TA-O1.4</t>
        </is>
      </c>
      <c r="AB844" s="11" t="inlineStr">
        <is>
          <t>TA-O1.2</t>
        </is>
      </c>
      <c r="AC844" s="11">
        <f>IF(AA844="FUERA","Fuera del marco",IF(AA844="N/A","Sin marco",IFERROR(INDEX('Datos - TIMSS 2023'!$C$5:$C$105,MATCH(AA844,'Datos - TIMSS 2023'!$A$5:$A$105,0)),"Pendiente de clasificar")))</f>
        <v/>
      </c>
      <c r="AD844" s="11" t="inlineStr">
        <is>
          <t>2. Construir y evaluar diseños para la indagación científica e interpretar datos y evidencia de forma crítica</t>
        </is>
      </c>
      <c r="AE844" s="11">
        <f>IF(AD844="","",IF(LEFT(AD844,1)="1","C1",IF(LEFT(AD844,1)="2","C2",IF(LEFT(AD844,1)="3","C3",""))))</f>
        <v/>
      </c>
      <c r="AF844" s="11" t="inlineStr">
        <is>
          <t>E6</t>
        </is>
      </c>
      <c r="AG844" s="11" t="inlineStr">
        <is>
          <t>D1</t>
        </is>
      </c>
      <c r="AH844" s="11" t="inlineStr">
        <is>
          <t>E2</t>
        </is>
      </c>
      <c r="AI844" s="11" t="inlineStr">
        <is>
          <t>D2</t>
        </is>
      </c>
      <c r="AJ844" s="11" t="inlineStr">
        <is>
          <t>I5</t>
        </is>
      </c>
      <c r="AK844" s="11" t="n"/>
      <c r="AL844" s="11" t="n"/>
      <c r="AM844" s="11" t="n"/>
      <c r="AN844" s="11" t="n"/>
      <c r="AO844" s="11" t="n"/>
      <c r="AP844" s="11" t="n"/>
      <c r="AQ844" s="11" t="n"/>
      <c r="AR844" s="11" t="n"/>
      <c r="AS844" s="11" t="n"/>
      <c r="AT844" s="11" t="n"/>
      <c r="AU844" s="11" t="n"/>
      <c r="AV844" s="11" t="n"/>
      <c r="AW844" s="11">
        <f>AF844&amp;"; "&amp;AG844&amp;"; "&amp;AH844&amp;"; "&amp;AI844&amp;"; "&amp;AJ844</f>
        <v/>
      </c>
    </row>
    <row r="845">
      <c r="A845" s="11" t="inlineStr">
        <is>
          <t>T0381-G11-FÍS</t>
        </is>
      </c>
      <c r="B845" s="11" t="n">
        <v>11</v>
      </c>
      <c r="C845" s="11" t="inlineStr">
        <is>
          <t>Física</t>
        </is>
      </c>
      <c r="D845" s="11" t="inlineStr">
        <is>
          <t>Matriz_Bachillerato_Fisica_10_11.xlsx</t>
        </is>
      </c>
      <c r="E845" s="11" t="inlineStr">
        <is>
          <t>Física 11.°</t>
        </is>
      </c>
      <c r="F845" s="11" t="n">
        <v>100</v>
      </c>
      <c r="G845" s="11" t="inlineStr">
        <is>
          <t>17. Refracción de la luz</t>
        </is>
      </c>
      <c r="H845" s="11" t="inlineStr">
        <is>
          <t>Lentes delgadas</t>
        </is>
      </c>
      <c r="I845" s="38" t="inlineStr">
        <is>
          <t>17.2. Clasificación de lentes según su forma y determinación de su distancia focal y potencia en dioptrías.</t>
        </is>
      </c>
      <c r="J845" s="11" t="inlineStr">
        <is>
          <t>TA</t>
        </is>
      </c>
      <c r="K845" s="11" t="inlineStr">
        <is>
          <t>TA-O1.4</t>
        </is>
      </c>
      <c r="L845" s="11" t="inlineStr"/>
      <c r="M845" s="11">
        <f>IF(K845="FUERA","Fuera del marco",IF(K845="N/A","Sin marco",IFERROR(INDEX('Datos - Catálogo TIMSS'!$C$5:$C$107,MATCH(K845,'Datos - Catálogo TIMSS'!$A$5:$A$107,0)),"Pendiente de clasificar")))</f>
        <v/>
      </c>
      <c r="N845" s="11">
        <f>IF(K845="FUERA","Fuera del marco",IF(K845="N/A","Sin marco",IFERROR(INDEX('Datos - Catálogo TIMSS'!$F$5:$F$107,MATCH(K845,'Datos - Catálogo TIMSS'!$A$5:$A$107,0)),"Pendiente de clasificar")))</f>
        <v/>
      </c>
      <c r="O845" s="11">
        <f>IF(L845="","",IFERROR(INDEX('Datos - Catálogo TIMSS'!$C$5:$C$107,MATCH(L845,'Datos - Catálogo TIMSS'!$A$5:$A$107,0)),"?"))</f>
        <v/>
      </c>
      <c r="P845" s="11" t="inlineStr">
        <is>
          <t>media</t>
        </is>
      </c>
      <c r="Q845" s="38" t="inlineStr">
        <is>
          <t>Lentes delgadas: refracción y distancia focal</t>
        </is>
      </c>
      <c r="R845" s="38" t="inlineStr">
        <is>
          <t>Conocer: clasificar lentes. Aplicar: medir distancias focales y calcular potencias</t>
        </is>
      </c>
      <c r="S845" s="39">
        <f>IFERROR(ISNUMBER(SEARCH("Conocer",$R845))/(ISNUMBER(SEARCH("Conocer",$R845))+ISNUMBER(SEARCH("Aplicar",$R845))+ISNUMBER(SEARCH("Razonar",$R845))),0)</f>
        <v/>
      </c>
      <c r="T845" s="39">
        <f>IFERROR(ISNUMBER(SEARCH("Aplicar",$R845))/(ISNUMBER(SEARCH("Conocer",$R845))+ISNUMBER(SEARCH("Aplicar",$R845))+ISNUMBER(SEARCH("Razonar",$R845))),0)</f>
        <v/>
      </c>
      <c r="U845" s="39">
        <f>IFERROR(ISNUMBER(SEARCH("Razonar",$R845))/(ISNUMBER(SEARCH("Conocer",$R845))+ISNUMBER(SEARCH("Aplicar",$R845))+ISNUMBER(SEARCH("Razonar",$R845))),0)</f>
        <v/>
      </c>
      <c r="V845" s="11" t="inlineStr">
        <is>
          <t>Física 11°</t>
        </is>
      </c>
      <c r="W845" s="11" t="inlineStr">
        <is>
          <t>Física 10°–11°</t>
        </is>
      </c>
      <c r="X845" s="11">
        <f>IF(OR(IFERROR(INDEX('Datos - Catálogo TIMSS'!$I$5:$I$107,MATCH(K845,'Datos - Catálogo TIMSS'!$A$5:$A$107,0)),"No")="Sí",IFERROR(INDEX('Datos - Catálogo TIMSS'!$I$5:$I$107,MATCH(L845,'Datos - Catálogo TIMSS'!$A$5:$A$107,0)),"No")="Sí"),1,0)</f>
        <v/>
      </c>
      <c r="Y845" s="11">
        <f>IF(IFERROR(INDEX('Datos - Catálogo TIMSS'!$J$5:$J$107,MATCH(K845,'Datos - Catálogo TIMSS'!$A$5:$A$107,0)),"No")="Sí",1,0)</f>
        <v/>
      </c>
      <c r="Z845" s="11">
        <f>IF(IFERROR(INDEX('Datos - Catálogo TIMSS'!$J$5:$J$107,MATCH(L845,'Datos - Catálogo TIMSS'!$A$5:$A$107,0)),"No")="Sí",1,0)</f>
        <v/>
      </c>
      <c r="AA845" s="11" t="inlineStr">
        <is>
          <t>TA-O1.4</t>
        </is>
      </c>
      <c r="AB845" s="11" t="inlineStr"/>
      <c r="AC845" s="11">
        <f>IF(AA845="FUERA","Fuera del marco",IF(AA845="N/A","Sin marco",IFERROR(INDEX('Datos - TIMSS 2023'!$C$5:$C$105,MATCH(AA845,'Datos - TIMSS 2023'!$A$5:$A$105,0)),"Pendiente de clasificar")))</f>
        <v/>
      </c>
      <c r="AD845" s="11" t="inlineStr">
        <is>
          <t>1. Explicar fenómenos científicamente</t>
        </is>
      </c>
      <c r="AE845" s="11">
        <f>IF(AD845="","",IF(LEFT(AD845,1)="1","C1",IF(LEFT(AD845,1)="2","C2",IF(LEFT(AD845,1)="3","C3",""))))</f>
        <v/>
      </c>
      <c r="AF845" s="11" t="inlineStr">
        <is>
          <t>E1</t>
        </is>
      </c>
      <c r="AG845" s="11" t="inlineStr">
        <is>
          <t>E5</t>
        </is>
      </c>
      <c r="AH845" s="11" t="inlineStr">
        <is>
          <t>E1</t>
        </is>
      </c>
      <c r="AI845" s="11" t="inlineStr">
        <is>
          <t>D4</t>
        </is>
      </c>
      <c r="AJ845" s="11" t="inlineStr">
        <is>
          <t>E3</t>
        </is>
      </c>
      <c r="AK845" s="11" t="n"/>
      <c r="AL845" s="11" t="n"/>
      <c r="AM845" s="11" t="n"/>
      <c r="AN845" s="11" t="n"/>
      <c r="AO845" s="11" t="n"/>
      <c r="AP845" s="11" t="n"/>
      <c r="AQ845" s="11" t="n"/>
      <c r="AR845" s="11" t="n"/>
      <c r="AS845" s="11" t="n"/>
      <c r="AT845" s="11" t="n"/>
      <c r="AU845" s="11" t="n"/>
      <c r="AV845" s="11" t="n"/>
      <c r="AW845" s="11">
        <f>AF845&amp;"; "&amp;AG845&amp;"; "&amp;AH845&amp;"; "&amp;AI845&amp;"; "&amp;AJ845</f>
        <v/>
      </c>
    </row>
    <row r="846">
      <c r="A846" s="11" t="inlineStr">
        <is>
          <t>T0382-G11-FÍS</t>
        </is>
      </c>
      <c r="B846" s="11" t="n">
        <v>11</v>
      </c>
      <c r="C846" s="11" t="inlineStr">
        <is>
          <t>Física</t>
        </is>
      </c>
      <c r="D846" s="11" t="inlineStr">
        <is>
          <t>Matriz_Bachillerato_Fisica_10_11.xlsx</t>
        </is>
      </c>
      <c r="E846" s="11" t="inlineStr">
        <is>
          <t>Física 11.°</t>
        </is>
      </c>
      <c r="F846" s="11" t="n">
        <v>101</v>
      </c>
      <c r="G846" s="11" t="inlineStr">
        <is>
          <t>17. Refracción de la luz</t>
        </is>
      </c>
      <c r="H846" s="11" t="inlineStr">
        <is>
          <t>Lentes delgadas</t>
        </is>
      </c>
      <c r="I846" s="38" t="inlineStr">
        <is>
          <t>17.3. Construcción de diagramas de rayos para localizar imágenes formadas por lentes convergentes y divergentes.</t>
        </is>
      </c>
      <c r="J846" s="11" t="inlineStr">
        <is>
          <t>TA</t>
        </is>
      </c>
      <c r="K846" s="11" t="inlineStr">
        <is>
          <t>TA-O1.4</t>
        </is>
      </c>
      <c r="L846" s="11" t="inlineStr"/>
      <c r="M846" s="11">
        <f>IF(K846="FUERA","Fuera del marco",IF(K846="N/A","Sin marco",IFERROR(INDEX('Datos - Catálogo TIMSS'!$C$5:$C$107,MATCH(K846,'Datos - Catálogo TIMSS'!$A$5:$A$107,0)),"Pendiente de clasificar")))</f>
        <v/>
      </c>
      <c r="N846" s="11">
        <f>IF(K846="FUERA","Fuera del marco",IF(K846="N/A","Sin marco",IFERROR(INDEX('Datos - Catálogo TIMSS'!$F$5:$F$107,MATCH(K846,'Datos - Catálogo TIMSS'!$A$5:$A$107,0)),"Pendiente de clasificar")))</f>
        <v/>
      </c>
      <c r="O846" s="11">
        <f>IF(L846="","",IFERROR(INDEX('Datos - Catálogo TIMSS'!$C$5:$C$107,MATCH(L846,'Datos - Catálogo TIMSS'!$A$5:$A$107,0)),"?"))</f>
        <v/>
      </c>
      <c r="P846" s="11" t="inlineStr">
        <is>
          <t>media</t>
        </is>
      </c>
      <c r="Q846" s="38" t="inlineStr">
        <is>
          <t>Diagramas de rayos en lentes por refracción</t>
        </is>
      </c>
      <c r="R846" s="38" t="inlineStr">
        <is>
          <t>Aplicar: construir diagramas de rayos. Razonar: relacionar la posición del objeto con el tipo de imagen</t>
        </is>
      </c>
      <c r="S846" s="39">
        <f>IFERROR(ISNUMBER(SEARCH("Conocer",$R846))/(ISNUMBER(SEARCH("Conocer",$R846))+ISNUMBER(SEARCH("Aplicar",$R846))+ISNUMBER(SEARCH("Razonar",$R846))),0)</f>
        <v/>
      </c>
      <c r="T846" s="39">
        <f>IFERROR(ISNUMBER(SEARCH("Aplicar",$R846))/(ISNUMBER(SEARCH("Conocer",$R846))+ISNUMBER(SEARCH("Aplicar",$R846))+ISNUMBER(SEARCH("Razonar",$R846))),0)</f>
        <v/>
      </c>
      <c r="U846" s="39">
        <f>IFERROR(ISNUMBER(SEARCH("Razonar",$R846))/(ISNUMBER(SEARCH("Conocer",$R846))+ISNUMBER(SEARCH("Aplicar",$R846))+ISNUMBER(SEARCH("Razonar",$R846))),0)</f>
        <v/>
      </c>
      <c r="V846" s="11" t="inlineStr">
        <is>
          <t>Física 11°</t>
        </is>
      </c>
      <c r="W846" s="11" t="inlineStr">
        <is>
          <t>Física 10°–11°</t>
        </is>
      </c>
      <c r="X846" s="11">
        <f>IF(OR(IFERROR(INDEX('Datos - Catálogo TIMSS'!$I$5:$I$107,MATCH(K846,'Datos - Catálogo TIMSS'!$A$5:$A$107,0)),"No")="Sí",IFERROR(INDEX('Datos - Catálogo TIMSS'!$I$5:$I$107,MATCH(L846,'Datos - Catálogo TIMSS'!$A$5:$A$107,0)),"No")="Sí"),1,0)</f>
        <v/>
      </c>
      <c r="Y846" s="11">
        <f>IF(IFERROR(INDEX('Datos - Catálogo TIMSS'!$J$5:$J$107,MATCH(K846,'Datos - Catálogo TIMSS'!$A$5:$A$107,0)),"No")="Sí",1,0)</f>
        <v/>
      </c>
      <c r="Z846" s="11">
        <f>IF(IFERROR(INDEX('Datos - Catálogo TIMSS'!$J$5:$J$107,MATCH(L846,'Datos - Catálogo TIMSS'!$A$5:$A$107,0)),"No")="Sí",1,0)</f>
        <v/>
      </c>
      <c r="AA846" s="11" t="inlineStr">
        <is>
          <t>TA-O1.4</t>
        </is>
      </c>
      <c r="AB846" s="11" t="inlineStr"/>
      <c r="AC846" s="11">
        <f>IF(AA846="FUERA","Fuera del marco",IF(AA846="N/A","Sin marco",IFERROR(INDEX('Datos - TIMSS 2023'!$C$5:$C$105,MATCH(AA846,'Datos - TIMSS 2023'!$A$5:$A$105,0)),"Pendiente de clasificar")))</f>
        <v/>
      </c>
      <c r="AD846" s="11" t="inlineStr">
        <is>
          <t>1. Explicar fenómenos científicamente</t>
        </is>
      </c>
      <c r="AE846" s="11">
        <f>IF(AD846="","",IF(LEFT(AD846,1)="1","C1",IF(LEFT(AD846,1)="2","C2",IF(LEFT(AD846,1)="3","C3",""))))</f>
        <v/>
      </c>
      <c r="AF846" s="11" t="inlineStr">
        <is>
          <t>E1</t>
        </is>
      </c>
      <c r="AG846" s="11" t="inlineStr">
        <is>
          <t>E3</t>
        </is>
      </c>
      <c r="AH846" s="11" t="inlineStr">
        <is>
          <t>E2</t>
        </is>
      </c>
      <c r="AI846" s="11" t="inlineStr">
        <is>
          <t>E4</t>
        </is>
      </c>
      <c r="AJ846" s="11" t="inlineStr">
        <is>
          <t>E6</t>
        </is>
      </c>
      <c r="AK846" s="11" t="n"/>
      <c r="AL846" s="11" t="n"/>
      <c r="AM846" s="11" t="n"/>
      <c r="AN846" s="11" t="n"/>
      <c r="AO846" s="11" t="n"/>
      <c r="AP846" s="11" t="n"/>
      <c r="AQ846" s="11" t="n"/>
      <c r="AR846" s="11" t="n"/>
      <c r="AS846" s="11" t="n"/>
      <c r="AT846" s="11" t="n"/>
      <c r="AU846" s="11" t="n"/>
      <c r="AV846" s="11" t="n"/>
      <c r="AW846" s="11">
        <f>AF846&amp;"; "&amp;AG846&amp;"; "&amp;AH846&amp;"; "&amp;AI846&amp;"; "&amp;AJ846</f>
        <v/>
      </c>
    </row>
    <row r="847">
      <c r="A847" s="11" t="inlineStr">
        <is>
          <t>T0383-G11-FÍS</t>
        </is>
      </c>
      <c r="B847" s="11" t="n">
        <v>11</v>
      </c>
      <c r="C847" s="11" t="inlineStr">
        <is>
          <t>Física</t>
        </is>
      </c>
      <c r="D847" s="11" t="inlineStr">
        <is>
          <t>Matriz_Bachillerato_Fisica_10_11.xlsx</t>
        </is>
      </c>
      <c r="E847" s="11" t="inlineStr">
        <is>
          <t>Física 11.°</t>
        </is>
      </c>
      <c r="F847" s="11" t="n">
        <v>102</v>
      </c>
      <c r="G847" s="11" t="inlineStr">
        <is>
          <t>17. Refracción de la luz</t>
        </is>
      </c>
      <c r="H847" s="11" t="inlineStr">
        <is>
          <t>Ecuación de las lentes</t>
        </is>
      </c>
      <c r="I847" s="38" t="inlineStr">
        <is>
          <t>17.4. Verificación experimental de la ecuación de las lentes delgadas mediante la medición de distancias de objeto e imagen.</t>
        </is>
      </c>
      <c r="J847" s="11" t="inlineStr">
        <is>
          <t>TA</t>
        </is>
      </c>
      <c r="K847" s="11" t="inlineStr">
        <is>
          <t>TA-O1.4</t>
        </is>
      </c>
      <c r="L847" s="11" t="inlineStr"/>
      <c r="M847" s="11">
        <f>IF(K847="FUERA","Fuera del marco",IF(K847="N/A","Sin marco",IFERROR(INDEX('Datos - Catálogo TIMSS'!$C$5:$C$107,MATCH(K847,'Datos - Catálogo TIMSS'!$A$5:$A$107,0)),"Pendiente de clasificar")))</f>
        <v/>
      </c>
      <c r="N847" s="11">
        <f>IF(K847="FUERA","Fuera del marco",IF(K847="N/A","Sin marco",IFERROR(INDEX('Datos - Catálogo TIMSS'!$F$5:$F$107,MATCH(K847,'Datos - Catálogo TIMSS'!$A$5:$A$107,0)),"Pendiente de clasificar")))</f>
        <v/>
      </c>
      <c r="O847" s="11">
        <f>IF(L847="","",IFERROR(INDEX('Datos - Catálogo TIMSS'!$C$5:$C$107,MATCH(L847,'Datos - Catálogo TIMSS'!$A$5:$A$107,0)),"?"))</f>
        <v/>
      </c>
      <c r="P847" s="11" t="inlineStr">
        <is>
          <t>media</t>
        </is>
      </c>
      <c r="Q847" s="38" t="inlineStr">
        <is>
          <t>Ecuación de lentes delgadas: refracción</t>
        </is>
      </c>
      <c r="R847" s="38" t="inlineStr">
        <is>
          <t>Aplicar: calcular posiciones y aumentos. Razonar: validar un modelo con el análisis gráfico</t>
        </is>
      </c>
      <c r="S847" s="39">
        <f>IFERROR(ISNUMBER(SEARCH("Conocer",$R847))/(ISNUMBER(SEARCH("Conocer",$R847))+ISNUMBER(SEARCH("Aplicar",$R847))+ISNUMBER(SEARCH("Razonar",$R847))),0)</f>
        <v/>
      </c>
      <c r="T847" s="39">
        <f>IFERROR(ISNUMBER(SEARCH("Aplicar",$R847))/(ISNUMBER(SEARCH("Conocer",$R847))+ISNUMBER(SEARCH("Aplicar",$R847))+ISNUMBER(SEARCH("Razonar",$R847))),0)</f>
        <v/>
      </c>
      <c r="U847" s="39">
        <f>IFERROR(ISNUMBER(SEARCH("Razonar",$R847))/(ISNUMBER(SEARCH("Conocer",$R847))+ISNUMBER(SEARCH("Aplicar",$R847))+ISNUMBER(SEARCH("Razonar",$R847))),0)</f>
        <v/>
      </c>
      <c r="V847" s="11" t="inlineStr">
        <is>
          <t>Física 11°</t>
        </is>
      </c>
      <c r="W847" s="11" t="inlineStr">
        <is>
          <t>Física 10°–11°</t>
        </is>
      </c>
      <c r="X847" s="11">
        <f>IF(OR(IFERROR(INDEX('Datos - Catálogo TIMSS'!$I$5:$I$107,MATCH(K847,'Datos - Catálogo TIMSS'!$A$5:$A$107,0)),"No")="Sí",IFERROR(INDEX('Datos - Catálogo TIMSS'!$I$5:$I$107,MATCH(L847,'Datos - Catálogo TIMSS'!$A$5:$A$107,0)),"No")="Sí"),1,0)</f>
        <v/>
      </c>
      <c r="Y847" s="11">
        <f>IF(IFERROR(INDEX('Datos - Catálogo TIMSS'!$J$5:$J$107,MATCH(K847,'Datos - Catálogo TIMSS'!$A$5:$A$107,0)),"No")="Sí",1,0)</f>
        <v/>
      </c>
      <c r="Z847" s="11">
        <f>IF(IFERROR(INDEX('Datos - Catálogo TIMSS'!$J$5:$J$107,MATCH(L847,'Datos - Catálogo TIMSS'!$A$5:$A$107,0)),"No")="Sí",1,0)</f>
        <v/>
      </c>
      <c r="AA847" s="11" t="inlineStr">
        <is>
          <t>TA-O1.4</t>
        </is>
      </c>
      <c r="AB847" s="11" t="inlineStr"/>
      <c r="AC847" s="11">
        <f>IF(AA847="FUERA","Fuera del marco",IF(AA847="N/A","Sin marco",IFERROR(INDEX('Datos - TIMSS 2023'!$C$5:$C$105,MATCH(AA847,'Datos - TIMSS 2023'!$A$5:$A$105,0)),"Pendiente de clasificar")))</f>
        <v/>
      </c>
      <c r="AD847" s="11" t="inlineStr">
        <is>
          <t>2. Construir y evaluar diseños para la indagación científica e interpretar datos y evidencia de forma crítica</t>
        </is>
      </c>
      <c r="AE847" s="11">
        <f>IF(AD847="","",IF(LEFT(AD847,1)="1","C1",IF(LEFT(AD847,1)="2","C2",IF(LEFT(AD847,1)="3","C3",""))))</f>
        <v/>
      </c>
      <c r="AF847" s="11" t="inlineStr">
        <is>
          <t>E1</t>
        </is>
      </c>
      <c r="AG847" s="11" t="inlineStr">
        <is>
          <t>D1</t>
        </is>
      </c>
      <c r="AH847" s="11" t="inlineStr">
        <is>
          <t>E1</t>
        </is>
      </c>
      <c r="AI847" s="11" t="inlineStr">
        <is>
          <t>D4</t>
        </is>
      </c>
      <c r="AJ847" s="11" t="inlineStr">
        <is>
          <t>D3</t>
        </is>
      </c>
      <c r="AK847" s="11" t="n"/>
      <c r="AL847" s="11" t="n"/>
      <c r="AM847" s="11" t="n"/>
      <c r="AN847" s="11" t="n"/>
      <c r="AO847" s="11" t="n"/>
      <c r="AP847" s="11" t="n"/>
      <c r="AQ847" s="11" t="n"/>
      <c r="AR847" s="11" t="n"/>
      <c r="AS847" s="11" t="n"/>
      <c r="AT847" s="11" t="n"/>
      <c r="AU847" s="11" t="n"/>
      <c r="AV847" s="11" t="n"/>
      <c r="AW847" s="11">
        <f>AF847&amp;"; "&amp;AG847&amp;"; "&amp;AH847&amp;"; "&amp;AI847&amp;"; "&amp;AJ847</f>
        <v/>
      </c>
    </row>
    <row r="848">
      <c r="A848" s="11" t="inlineStr">
        <is>
          <t>T0384-G11-FÍS</t>
        </is>
      </c>
      <c r="B848" s="11" t="n">
        <v>11</v>
      </c>
      <c r="C848" s="11" t="inlineStr">
        <is>
          <t>Física</t>
        </is>
      </c>
      <c r="D848" s="11" t="inlineStr">
        <is>
          <t>Matriz_Bachillerato_Fisica_10_11.xlsx</t>
        </is>
      </c>
      <c r="E848" s="11" t="inlineStr">
        <is>
          <t>Física 11.°</t>
        </is>
      </c>
      <c r="F848" s="11" t="n">
        <v>103</v>
      </c>
      <c r="G848" s="11" t="inlineStr">
        <is>
          <t>17. Refracción de la luz</t>
        </is>
      </c>
      <c r="H848" s="11" t="inlineStr">
        <is>
          <t>Sistemas de lentes</t>
        </is>
      </c>
      <c r="I848" s="38" t="inlineStr">
        <is>
          <t>17.5. Resolución de problemas de sistemas de dos lentes en los que la imagen de la primera actúa como objeto de la segunda.</t>
        </is>
      </c>
      <c r="J848" s="11" t="inlineStr">
        <is>
          <t>TA</t>
        </is>
      </c>
      <c r="K848" s="11" t="inlineStr">
        <is>
          <t>TA-O1.4</t>
        </is>
      </c>
      <c r="L848" s="11" t="inlineStr"/>
      <c r="M848" s="11">
        <f>IF(K848="FUERA","Fuera del marco",IF(K848="N/A","Sin marco",IFERROR(INDEX('Datos - Catálogo TIMSS'!$C$5:$C$107,MATCH(K848,'Datos - Catálogo TIMSS'!$A$5:$A$107,0)),"Pendiente de clasificar")))</f>
        <v/>
      </c>
      <c r="N848" s="11">
        <f>IF(K848="FUERA","Fuera del marco",IF(K848="N/A","Sin marco",IFERROR(INDEX('Datos - Catálogo TIMSS'!$F$5:$F$107,MATCH(K848,'Datos - Catálogo TIMSS'!$A$5:$A$107,0)),"Pendiente de clasificar")))</f>
        <v/>
      </c>
      <c r="O848" s="11">
        <f>IF(L848="","",IFERROR(INDEX('Datos - Catálogo TIMSS'!$C$5:$C$107,MATCH(L848,'Datos - Catálogo TIMSS'!$A$5:$A$107,0)),"?"))</f>
        <v/>
      </c>
      <c r="P848" s="11" t="inlineStr">
        <is>
          <t>media</t>
        </is>
      </c>
      <c r="Q848" s="38" t="inlineStr">
        <is>
          <t>Sistemas de lentes por refracción</t>
        </is>
      </c>
      <c r="R848" s="38" t="inlineStr">
        <is>
          <t>Aplicar: calcular imágenes en dos etapas. Razonar: diseñar un sistema que cumpla una condición</t>
        </is>
      </c>
      <c r="S848" s="39">
        <f>IFERROR(ISNUMBER(SEARCH("Conocer",$R848))/(ISNUMBER(SEARCH("Conocer",$R848))+ISNUMBER(SEARCH("Aplicar",$R848))+ISNUMBER(SEARCH("Razonar",$R848))),0)</f>
        <v/>
      </c>
      <c r="T848" s="39">
        <f>IFERROR(ISNUMBER(SEARCH("Aplicar",$R848))/(ISNUMBER(SEARCH("Conocer",$R848))+ISNUMBER(SEARCH("Aplicar",$R848))+ISNUMBER(SEARCH("Razonar",$R848))),0)</f>
        <v/>
      </c>
      <c r="U848" s="39">
        <f>IFERROR(ISNUMBER(SEARCH("Razonar",$R848))/(ISNUMBER(SEARCH("Conocer",$R848))+ISNUMBER(SEARCH("Aplicar",$R848))+ISNUMBER(SEARCH("Razonar",$R848))),0)</f>
        <v/>
      </c>
      <c r="V848" s="11" t="inlineStr">
        <is>
          <t>Física 11°</t>
        </is>
      </c>
      <c r="W848" s="11" t="inlineStr">
        <is>
          <t>Física 10°–11°</t>
        </is>
      </c>
      <c r="X848" s="11">
        <f>IF(OR(IFERROR(INDEX('Datos - Catálogo TIMSS'!$I$5:$I$107,MATCH(K848,'Datos - Catálogo TIMSS'!$A$5:$A$107,0)),"No")="Sí",IFERROR(INDEX('Datos - Catálogo TIMSS'!$I$5:$I$107,MATCH(L848,'Datos - Catálogo TIMSS'!$A$5:$A$107,0)),"No")="Sí"),1,0)</f>
        <v/>
      </c>
      <c r="Y848" s="11">
        <f>IF(IFERROR(INDEX('Datos - Catálogo TIMSS'!$J$5:$J$107,MATCH(K848,'Datos - Catálogo TIMSS'!$A$5:$A$107,0)),"No")="Sí",1,0)</f>
        <v/>
      </c>
      <c r="Z848" s="11">
        <f>IF(IFERROR(INDEX('Datos - Catálogo TIMSS'!$J$5:$J$107,MATCH(L848,'Datos - Catálogo TIMSS'!$A$5:$A$107,0)),"No")="Sí",1,0)</f>
        <v/>
      </c>
      <c r="AA848" s="11" t="inlineStr">
        <is>
          <t>TA-O1.4</t>
        </is>
      </c>
      <c r="AB848" s="11" t="inlineStr"/>
      <c r="AC848" s="11">
        <f>IF(AA848="FUERA","Fuera del marco",IF(AA848="N/A","Sin marco",IFERROR(INDEX('Datos - TIMSS 2023'!$C$5:$C$105,MATCH(AA848,'Datos - TIMSS 2023'!$A$5:$A$105,0)),"Pendiente de clasificar")))</f>
        <v/>
      </c>
      <c r="AD848" s="11" t="inlineStr">
        <is>
          <t>1. Explicar fenómenos científicamente</t>
        </is>
      </c>
      <c r="AE848" s="11">
        <f>IF(AD848="","",IF(LEFT(AD848,1)="1","C1",IF(LEFT(AD848,1)="2","C2",IF(LEFT(AD848,1)="3","C3",""))))</f>
        <v/>
      </c>
      <c r="AF848" s="11" t="inlineStr">
        <is>
          <t>E6</t>
        </is>
      </c>
      <c r="AG848" s="11" t="inlineStr">
        <is>
          <t>E3</t>
        </is>
      </c>
      <c r="AH848" s="11" t="inlineStr">
        <is>
          <t>E1</t>
        </is>
      </c>
      <c r="AI848" s="11" t="inlineStr">
        <is>
          <t>D4</t>
        </is>
      </c>
      <c r="AJ848" s="11" t="inlineStr">
        <is>
          <t>E3</t>
        </is>
      </c>
      <c r="AK848" s="11" t="n"/>
      <c r="AL848" s="11" t="n"/>
      <c r="AM848" s="11" t="n"/>
      <c r="AN848" s="11" t="n"/>
      <c r="AO848" s="11" t="n"/>
      <c r="AP848" s="11" t="n"/>
      <c r="AQ848" s="11" t="n"/>
      <c r="AR848" s="11" t="n"/>
      <c r="AS848" s="11" t="n"/>
      <c r="AT848" s="11" t="n"/>
      <c r="AU848" s="11" t="n"/>
      <c r="AV848" s="11" t="n"/>
      <c r="AW848" s="11">
        <f>AF848&amp;"; "&amp;AG848&amp;"; "&amp;AH848&amp;"; "&amp;AI848&amp;"; "&amp;AJ848</f>
        <v/>
      </c>
    </row>
    <row r="849">
      <c r="A849" s="11" t="inlineStr">
        <is>
          <t>T0385-G11-FÍS</t>
        </is>
      </c>
      <c r="B849" s="11" t="n">
        <v>11</v>
      </c>
      <c r="C849" s="11" t="inlineStr">
        <is>
          <t>Física</t>
        </is>
      </c>
      <c r="D849" s="11" t="inlineStr">
        <is>
          <t>Matriz_Bachillerato_Fisica_10_11.xlsx</t>
        </is>
      </c>
      <c r="E849" s="11" t="inlineStr">
        <is>
          <t>Física 11.°</t>
        </is>
      </c>
      <c r="F849" s="11" t="n">
        <v>104</v>
      </c>
      <c r="G849" s="11" t="inlineStr">
        <is>
          <t>17. Refracción de la luz</t>
        </is>
      </c>
      <c r="H849" s="11" t="inlineStr">
        <is>
          <t>El ojo humano</t>
        </is>
      </c>
      <c r="I849" s="38" t="inlineStr">
        <is>
          <t>17.6. Análisis del ojo como sistema óptico y cálculo de la potencia de lentes correctoras para miopía e hipermetropía.</t>
        </is>
      </c>
      <c r="J849" s="11" t="inlineStr">
        <is>
          <t>TA</t>
        </is>
      </c>
      <c r="K849" s="11" t="inlineStr">
        <is>
          <t>TA-O1.4</t>
        </is>
      </c>
      <c r="L849" s="11" t="inlineStr"/>
      <c r="M849" s="11">
        <f>IF(K849="FUERA","Fuera del marco",IF(K849="N/A","Sin marco",IFERROR(INDEX('Datos - Catálogo TIMSS'!$C$5:$C$107,MATCH(K849,'Datos - Catálogo TIMSS'!$A$5:$A$107,0)),"Pendiente de clasificar")))</f>
        <v/>
      </c>
      <c r="N849" s="11">
        <f>IF(K849="FUERA","Fuera del marco",IF(K849="N/A","Sin marco",IFERROR(INDEX('Datos - Catálogo TIMSS'!$F$5:$F$107,MATCH(K849,'Datos - Catálogo TIMSS'!$A$5:$A$107,0)),"Pendiente de clasificar")))</f>
        <v/>
      </c>
      <c r="O849" s="11">
        <f>IF(L849="","",IFERROR(INDEX('Datos - Catálogo TIMSS'!$C$5:$C$107,MATCH(L849,'Datos - Catálogo TIMSS'!$A$5:$A$107,0)),"?"))</f>
        <v/>
      </c>
      <c r="P849" s="11" t="inlineStr">
        <is>
          <t>media</t>
        </is>
      </c>
      <c r="Q849" s="38" t="inlineStr">
        <is>
          <t>Óptica del ojo y lentes correctoras</t>
        </is>
      </c>
      <c r="R849" s="38" t="inlineStr">
        <is>
          <t>Aplicar: calcular potencias correctoras. Razonar: relacionar defectos visuales con el modelo óptico del ojo</t>
        </is>
      </c>
      <c r="S849" s="39">
        <f>IFERROR(ISNUMBER(SEARCH("Conocer",$R849))/(ISNUMBER(SEARCH("Conocer",$R849))+ISNUMBER(SEARCH("Aplicar",$R849))+ISNUMBER(SEARCH("Razonar",$R849))),0)</f>
        <v/>
      </c>
      <c r="T849" s="39">
        <f>IFERROR(ISNUMBER(SEARCH("Aplicar",$R849))/(ISNUMBER(SEARCH("Conocer",$R849))+ISNUMBER(SEARCH("Aplicar",$R849))+ISNUMBER(SEARCH("Razonar",$R849))),0)</f>
        <v/>
      </c>
      <c r="U849" s="39">
        <f>IFERROR(ISNUMBER(SEARCH("Razonar",$R849))/(ISNUMBER(SEARCH("Conocer",$R849))+ISNUMBER(SEARCH("Aplicar",$R849))+ISNUMBER(SEARCH("Razonar",$R849))),0)</f>
        <v/>
      </c>
      <c r="V849" s="11" t="inlineStr">
        <is>
          <t>Física 11°</t>
        </is>
      </c>
      <c r="W849" s="11" t="inlineStr">
        <is>
          <t>Física 10°–11°</t>
        </is>
      </c>
      <c r="X849" s="11">
        <f>IF(OR(IFERROR(INDEX('Datos - Catálogo TIMSS'!$I$5:$I$107,MATCH(K849,'Datos - Catálogo TIMSS'!$A$5:$A$107,0)),"No")="Sí",IFERROR(INDEX('Datos - Catálogo TIMSS'!$I$5:$I$107,MATCH(L849,'Datos - Catálogo TIMSS'!$A$5:$A$107,0)),"No")="Sí"),1,0)</f>
        <v/>
      </c>
      <c r="Y849" s="11">
        <f>IF(IFERROR(INDEX('Datos - Catálogo TIMSS'!$J$5:$J$107,MATCH(K849,'Datos - Catálogo TIMSS'!$A$5:$A$107,0)),"No")="Sí",1,0)</f>
        <v/>
      </c>
      <c r="Z849" s="11">
        <f>IF(IFERROR(INDEX('Datos - Catálogo TIMSS'!$J$5:$J$107,MATCH(L849,'Datos - Catálogo TIMSS'!$A$5:$A$107,0)),"No")="Sí",1,0)</f>
        <v/>
      </c>
      <c r="AA849" s="11" t="inlineStr">
        <is>
          <t>TA-O1.4</t>
        </is>
      </c>
      <c r="AB849" s="11" t="inlineStr"/>
      <c r="AC849" s="11">
        <f>IF(AA849="FUERA","Fuera del marco",IF(AA849="N/A","Sin marco",IFERROR(INDEX('Datos - TIMSS 2023'!$C$5:$C$105,MATCH(AA849,'Datos - TIMSS 2023'!$A$5:$A$105,0)),"Pendiente de clasificar")))</f>
        <v/>
      </c>
      <c r="AD849" s="11" t="inlineStr">
        <is>
          <t>3. Investigar, evaluar y usar información científica para tomar decisiones y actuar</t>
        </is>
      </c>
      <c r="AE849" s="11">
        <f>IF(AD849="","",IF(LEFT(AD849,1)="1","C1",IF(LEFT(AD849,1)="2","C2",IF(LEFT(AD849,1)="3","C3",""))))</f>
        <v/>
      </c>
      <c r="AF849" s="11" t="inlineStr">
        <is>
          <t>E6</t>
        </is>
      </c>
      <c r="AG849" s="11" t="inlineStr">
        <is>
          <t>E5</t>
        </is>
      </c>
      <c r="AH849" s="11" t="inlineStr">
        <is>
          <t>E4</t>
        </is>
      </c>
      <c r="AI849" s="11" t="inlineStr">
        <is>
          <t>I1</t>
        </is>
      </c>
      <c r="AJ849" s="11" t="inlineStr">
        <is>
          <t>I5</t>
        </is>
      </c>
      <c r="AK849" s="11" t="n"/>
      <c r="AL849" s="11" t="n"/>
      <c r="AM849" s="11" t="n"/>
      <c r="AN849" s="11" t="n"/>
      <c r="AO849" s="11" t="n"/>
      <c r="AP849" s="11" t="n"/>
      <c r="AQ849" s="11" t="n"/>
      <c r="AR849" s="11" t="n"/>
      <c r="AS849" s="11" t="n"/>
      <c r="AT849" s="11" t="n"/>
      <c r="AU849" s="11" t="n"/>
      <c r="AV849" s="11" t="n"/>
      <c r="AW849" s="11">
        <f>AF849&amp;"; "&amp;AG849&amp;"; "&amp;AH849&amp;"; "&amp;AI849&amp;"; "&amp;AJ849</f>
        <v/>
      </c>
    </row>
    <row r="850">
      <c r="A850" s="11" t="inlineStr">
        <is>
          <t>T0386-G11-FÍS</t>
        </is>
      </c>
      <c r="B850" s="11" t="n">
        <v>11</v>
      </c>
      <c r="C850" s="11" t="inlineStr">
        <is>
          <t>Física</t>
        </is>
      </c>
      <c r="D850" s="11" t="inlineStr">
        <is>
          <t>Matriz_Bachillerato_Fisica_10_11.xlsx</t>
        </is>
      </c>
      <c r="E850" s="11" t="inlineStr">
        <is>
          <t>Física 11.°</t>
        </is>
      </c>
      <c r="F850" s="11" t="n">
        <v>105</v>
      </c>
      <c r="G850" s="11" t="inlineStr">
        <is>
          <t>17. Refracción de la luz</t>
        </is>
      </c>
      <c r="H850" s="11" t="inlineStr">
        <is>
          <t>Instrumentos ópticos</t>
        </is>
      </c>
      <c r="I850" s="38" t="inlineStr">
        <is>
          <t>17.7. Cálculo del aumento angular de una lupa con la imagen en el punto cercano y en el infinito.</t>
        </is>
      </c>
      <c r="J850" s="11" t="inlineStr">
        <is>
          <t>TA</t>
        </is>
      </c>
      <c r="K850" s="11" t="inlineStr">
        <is>
          <t>TA-O1.4</t>
        </is>
      </c>
      <c r="L850" s="11" t="inlineStr"/>
      <c r="M850" s="11">
        <f>IF(K850="FUERA","Fuera del marco",IF(K850="N/A","Sin marco",IFERROR(INDEX('Datos - Catálogo TIMSS'!$C$5:$C$107,MATCH(K850,'Datos - Catálogo TIMSS'!$A$5:$A$107,0)),"Pendiente de clasificar")))</f>
        <v/>
      </c>
      <c r="N850" s="11">
        <f>IF(K850="FUERA","Fuera del marco",IF(K850="N/A","Sin marco",IFERROR(INDEX('Datos - Catálogo TIMSS'!$F$5:$F$107,MATCH(K850,'Datos - Catálogo TIMSS'!$A$5:$A$107,0)),"Pendiente de clasificar")))</f>
        <v/>
      </c>
      <c r="O850" s="11">
        <f>IF(L850="","",IFERROR(INDEX('Datos - Catálogo TIMSS'!$C$5:$C$107,MATCH(L850,'Datos - Catálogo TIMSS'!$A$5:$A$107,0)),"?"))</f>
        <v/>
      </c>
      <c r="P850" s="11" t="inlineStr">
        <is>
          <t>media</t>
        </is>
      </c>
      <c r="Q850" s="38" t="inlineStr">
        <is>
          <t>Lupa: refracción en lentes</t>
        </is>
      </c>
      <c r="R850" s="38" t="inlineStr">
        <is>
          <t>Aplicar: calcular aumentos angulares. Razonar: relacionar distancia focal y aumento</t>
        </is>
      </c>
      <c r="S850" s="39">
        <f>IFERROR(ISNUMBER(SEARCH("Conocer",$R850))/(ISNUMBER(SEARCH("Conocer",$R850))+ISNUMBER(SEARCH("Aplicar",$R850))+ISNUMBER(SEARCH("Razonar",$R850))),0)</f>
        <v/>
      </c>
      <c r="T850" s="39">
        <f>IFERROR(ISNUMBER(SEARCH("Aplicar",$R850))/(ISNUMBER(SEARCH("Conocer",$R850))+ISNUMBER(SEARCH("Aplicar",$R850))+ISNUMBER(SEARCH("Razonar",$R850))),0)</f>
        <v/>
      </c>
      <c r="U850" s="39">
        <f>IFERROR(ISNUMBER(SEARCH("Razonar",$R850))/(ISNUMBER(SEARCH("Conocer",$R850))+ISNUMBER(SEARCH("Aplicar",$R850))+ISNUMBER(SEARCH("Razonar",$R850))),0)</f>
        <v/>
      </c>
      <c r="V850" s="11" t="inlineStr">
        <is>
          <t>Física 11°</t>
        </is>
      </c>
      <c r="W850" s="11" t="inlineStr">
        <is>
          <t>Física 10°–11°</t>
        </is>
      </c>
      <c r="X850" s="11">
        <f>IF(OR(IFERROR(INDEX('Datos - Catálogo TIMSS'!$I$5:$I$107,MATCH(K850,'Datos - Catálogo TIMSS'!$A$5:$A$107,0)),"No")="Sí",IFERROR(INDEX('Datos - Catálogo TIMSS'!$I$5:$I$107,MATCH(L850,'Datos - Catálogo TIMSS'!$A$5:$A$107,0)),"No")="Sí"),1,0)</f>
        <v/>
      </c>
      <c r="Y850" s="11">
        <f>IF(IFERROR(INDEX('Datos - Catálogo TIMSS'!$J$5:$J$107,MATCH(K850,'Datos - Catálogo TIMSS'!$A$5:$A$107,0)),"No")="Sí",1,0)</f>
        <v/>
      </c>
      <c r="Z850" s="11">
        <f>IF(IFERROR(INDEX('Datos - Catálogo TIMSS'!$J$5:$J$107,MATCH(L850,'Datos - Catálogo TIMSS'!$A$5:$A$107,0)),"No")="Sí",1,0)</f>
        <v/>
      </c>
      <c r="AA850" s="11" t="inlineStr">
        <is>
          <t>TA-O1.4</t>
        </is>
      </c>
      <c r="AB850" s="11" t="inlineStr"/>
      <c r="AC850" s="11">
        <f>IF(AA850="FUERA","Fuera del marco",IF(AA850="N/A","Sin marco",IFERROR(INDEX('Datos - TIMSS 2023'!$C$5:$C$105,MATCH(AA850,'Datos - TIMSS 2023'!$A$5:$A$105,0)),"Pendiente de clasificar")))</f>
        <v/>
      </c>
      <c r="AD850" s="11" t="inlineStr">
        <is>
          <t>1. Explicar fenómenos científicamente</t>
        </is>
      </c>
      <c r="AE850" s="11">
        <f>IF(AD850="","",IF(LEFT(AD850,1)="1","C1",IF(LEFT(AD850,1)="2","C2",IF(LEFT(AD850,1)="3","C3",""))))</f>
        <v/>
      </c>
      <c r="AF850" s="11" t="inlineStr">
        <is>
          <t>E1</t>
        </is>
      </c>
      <c r="AG850" s="11" t="inlineStr">
        <is>
          <t>E3</t>
        </is>
      </c>
      <c r="AH850" s="11" t="inlineStr">
        <is>
          <t>E2</t>
        </is>
      </c>
      <c r="AI850" s="11" t="inlineStr">
        <is>
          <t>D4</t>
        </is>
      </c>
      <c r="AJ850" s="11" t="inlineStr">
        <is>
          <t>E6</t>
        </is>
      </c>
      <c r="AK850" s="11" t="n"/>
      <c r="AL850" s="11" t="n"/>
      <c r="AM850" s="11" t="n"/>
      <c r="AN850" s="11" t="n"/>
      <c r="AO850" s="11" t="n"/>
      <c r="AP850" s="11" t="n"/>
      <c r="AQ850" s="11" t="n"/>
      <c r="AR850" s="11" t="n"/>
      <c r="AS850" s="11" t="n"/>
      <c r="AT850" s="11" t="n"/>
      <c r="AU850" s="11" t="n"/>
      <c r="AV850" s="11" t="n"/>
      <c r="AW850" s="11">
        <f>AF850&amp;"; "&amp;AG850&amp;"; "&amp;AH850&amp;"; "&amp;AI850&amp;"; "&amp;AJ850</f>
        <v/>
      </c>
    </row>
    <row r="851">
      <c r="A851" s="11" t="inlineStr">
        <is>
          <t>T0387-G11-FÍS</t>
        </is>
      </c>
      <c r="B851" s="11" t="n">
        <v>11</v>
      </c>
      <c r="C851" s="11" t="inlineStr">
        <is>
          <t>Física</t>
        </is>
      </c>
      <c r="D851" s="11" t="inlineStr">
        <is>
          <t>Matriz_Bachillerato_Fisica_10_11.xlsx</t>
        </is>
      </c>
      <c r="E851" s="11" t="inlineStr">
        <is>
          <t>Física 11.°</t>
        </is>
      </c>
      <c r="F851" s="11" t="n">
        <v>106</v>
      </c>
      <c r="G851" s="11" t="inlineStr">
        <is>
          <t>17. Refracción de la luz</t>
        </is>
      </c>
      <c r="H851" s="11" t="inlineStr">
        <is>
          <t>Instrumentos ópticos</t>
        </is>
      </c>
      <c r="I851" s="38" t="inlineStr">
        <is>
          <t>17.8. Cálculo del aumento total de un microscopio compuesto a partir de las distancias focales del objetivo y del ocular.</t>
        </is>
      </c>
      <c r="J851" s="11" t="inlineStr">
        <is>
          <t>TA</t>
        </is>
      </c>
      <c r="K851" s="11" t="inlineStr">
        <is>
          <t>TA-O1.4</t>
        </is>
      </c>
      <c r="L851" s="11" t="inlineStr"/>
      <c r="M851" s="11">
        <f>IF(K851="FUERA","Fuera del marco",IF(K851="N/A","Sin marco",IFERROR(INDEX('Datos - Catálogo TIMSS'!$C$5:$C$107,MATCH(K851,'Datos - Catálogo TIMSS'!$A$5:$A$107,0)),"Pendiente de clasificar")))</f>
        <v/>
      </c>
      <c r="N851" s="11">
        <f>IF(K851="FUERA","Fuera del marco",IF(K851="N/A","Sin marco",IFERROR(INDEX('Datos - Catálogo TIMSS'!$F$5:$F$107,MATCH(K851,'Datos - Catálogo TIMSS'!$A$5:$A$107,0)),"Pendiente de clasificar")))</f>
        <v/>
      </c>
      <c r="O851" s="11">
        <f>IF(L851="","",IFERROR(INDEX('Datos - Catálogo TIMSS'!$C$5:$C$107,MATCH(L851,'Datos - Catálogo TIMSS'!$A$5:$A$107,0)),"?"))</f>
        <v/>
      </c>
      <c r="P851" s="11" t="inlineStr">
        <is>
          <t>media</t>
        </is>
      </c>
      <c r="Q851" s="38" t="inlineStr">
        <is>
          <t>Microscopio compuesto: sistema de lentes</t>
        </is>
      </c>
      <c r="R851" s="38" t="inlineStr">
        <is>
          <t>Aplicar: calcular aumentos totales. Razonar: explicar la función de cada lente del sistema</t>
        </is>
      </c>
      <c r="S851" s="39">
        <f>IFERROR(ISNUMBER(SEARCH("Conocer",$R851))/(ISNUMBER(SEARCH("Conocer",$R851))+ISNUMBER(SEARCH("Aplicar",$R851))+ISNUMBER(SEARCH("Razonar",$R851))),0)</f>
        <v/>
      </c>
      <c r="T851" s="39">
        <f>IFERROR(ISNUMBER(SEARCH("Aplicar",$R851))/(ISNUMBER(SEARCH("Conocer",$R851))+ISNUMBER(SEARCH("Aplicar",$R851))+ISNUMBER(SEARCH("Razonar",$R851))),0)</f>
        <v/>
      </c>
      <c r="U851" s="39">
        <f>IFERROR(ISNUMBER(SEARCH("Razonar",$R851))/(ISNUMBER(SEARCH("Conocer",$R851))+ISNUMBER(SEARCH("Aplicar",$R851))+ISNUMBER(SEARCH("Razonar",$R851))),0)</f>
        <v/>
      </c>
      <c r="V851" s="11" t="inlineStr">
        <is>
          <t>Física 11°</t>
        </is>
      </c>
      <c r="W851" s="11" t="inlineStr">
        <is>
          <t>Física 10°–11°</t>
        </is>
      </c>
      <c r="X851" s="11">
        <f>IF(OR(IFERROR(INDEX('Datos - Catálogo TIMSS'!$I$5:$I$107,MATCH(K851,'Datos - Catálogo TIMSS'!$A$5:$A$107,0)),"No")="Sí",IFERROR(INDEX('Datos - Catálogo TIMSS'!$I$5:$I$107,MATCH(L851,'Datos - Catálogo TIMSS'!$A$5:$A$107,0)),"No")="Sí"),1,0)</f>
        <v/>
      </c>
      <c r="Y851" s="11">
        <f>IF(IFERROR(INDEX('Datos - Catálogo TIMSS'!$J$5:$J$107,MATCH(K851,'Datos - Catálogo TIMSS'!$A$5:$A$107,0)),"No")="Sí",1,0)</f>
        <v/>
      </c>
      <c r="Z851" s="11">
        <f>IF(IFERROR(INDEX('Datos - Catálogo TIMSS'!$J$5:$J$107,MATCH(L851,'Datos - Catálogo TIMSS'!$A$5:$A$107,0)),"No")="Sí",1,0)</f>
        <v/>
      </c>
      <c r="AA851" s="11" t="inlineStr">
        <is>
          <t>TA-O1.4</t>
        </is>
      </c>
      <c r="AB851" s="11" t="inlineStr"/>
      <c r="AC851" s="11">
        <f>IF(AA851="FUERA","Fuera del marco",IF(AA851="N/A","Sin marco",IFERROR(INDEX('Datos - TIMSS 2023'!$C$5:$C$105,MATCH(AA851,'Datos - TIMSS 2023'!$A$5:$A$105,0)),"Pendiente de clasificar")))</f>
        <v/>
      </c>
      <c r="AD851" s="11" t="inlineStr">
        <is>
          <t>1. Explicar fenómenos científicamente</t>
        </is>
      </c>
      <c r="AE851" s="11">
        <f>IF(AD851="","",IF(LEFT(AD851,1)="1","C1",IF(LEFT(AD851,1)="2","C2",IF(LEFT(AD851,1)="3","C3",""))))</f>
        <v/>
      </c>
      <c r="AF851" s="11" t="inlineStr">
        <is>
          <t>E1</t>
        </is>
      </c>
      <c r="AG851" s="11" t="inlineStr">
        <is>
          <t>E3</t>
        </is>
      </c>
      <c r="AH851" s="11" t="inlineStr">
        <is>
          <t>E4</t>
        </is>
      </c>
      <c r="AI851" s="11" t="inlineStr">
        <is>
          <t>D4</t>
        </is>
      </c>
      <c r="AJ851" s="11" t="inlineStr">
        <is>
          <t>E6</t>
        </is>
      </c>
      <c r="AK851" s="11" t="n"/>
      <c r="AL851" s="11" t="n"/>
      <c r="AM851" s="11" t="n"/>
      <c r="AN851" s="11" t="n"/>
      <c r="AO851" s="11" t="n"/>
      <c r="AP851" s="11" t="n"/>
      <c r="AQ851" s="11" t="n"/>
      <c r="AR851" s="11" t="n"/>
      <c r="AS851" s="11" t="n"/>
      <c r="AT851" s="11" t="n"/>
      <c r="AU851" s="11" t="n"/>
      <c r="AV851" s="11" t="n"/>
      <c r="AW851" s="11">
        <f>AF851&amp;"; "&amp;AG851&amp;"; "&amp;AH851&amp;"; "&amp;AI851&amp;"; "&amp;AJ851</f>
        <v/>
      </c>
    </row>
    <row r="852">
      <c r="A852" s="11" t="inlineStr">
        <is>
          <t>T0388-G11-FÍS</t>
        </is>
      </c>
      <c r="B852" s="11" t="n">
        <v>11</v>
      </c>
      <c r="C852" s="11" t="inlineStr">
        <is>
          <t>Física</t>
        </is>
      </c>
      <c r="D852" s="11" t="inlineStr">
        <is>
          <t>Matriz_Bachillerato_Fisica_10_11.xlsx</t>
        </is>
      </c>
      <c r="E852" s="11" t="inlineStr">
        <is>
          <t>Física 11.°</t>
        </is>
      </c>
      <c r="F852" s="11" t="n">
        <v>107</v>
      </c>
      <c r="G852" s="11" t="inlineStr">
        <is>
          <t>17. Refracción de la luz</t>
        </is>
      </c>
      <c r="H852" s="11" t="inlineStr">
        <is>
          <t>Instrumentos ópticos</t>
        </is>
      </c>
      <c r="I852" s="38" t="inlineStr">
        <is>
          <t>17.9. Cálculo del aumento angular de un telescopio astronómico a partir de las distancias focales del objetivo y del ocular.</t>
        </is>
      </c>
      <c r="J852" s="11" t="inlineStr">
        <is>
          <t>TA</t>
        </is>
      </c>
      <c r="K852" s="11" t="inlineStr">
        <is>
          <t>TA-O1.4</t>
        </is>
      </c>
      <c r="L852" s="11" t="inlineStr"/>
      <c r="M852" s="11">
        <f>IF(K852="FUERA","Fuera del marco",IF(K852="N/A","Sin marco",IFERROR(INDEX('Datos - Catálogo TIMSS'!$C$5:$C$107,MATCH(K852,'Datos - Catálogo TIMSS'!$A$5:$A$107,0)),"Pendiente de clasificar")))</f>
        <v/>
      </c>
      <c r="N852" s="11">
        <f>IF(K852="FUERA","Fuera del marco",IF(K852="N/A","Sin marco",IFERROR(INDEX('Datos - Catálogo TIMSS'!$F$5:$F$107,MATCH(K852,'Datos - Catálogo TIMSS'!$A$5:$A$107,0)),"Pendiente de clasificar")))</f>
        <v/>
      </c>
      <c r="O852" s="11">
        <f>IF(L852="","",IFERROR(INDEX('Datos - Catálogo TIMSS'!$C$5:$C$107,MATCH(L852,'Datos - Catálogo TIMSS'!$A$5:$A$107,0)),"?"))</f>
        <v/>
      </c>
      <c r="P852" s="11" t="inlineStr">
        <is>
          <t>media</t>
        </is>
      </c>
      <c r="Q852" s="38" t="inlineStr">
        <is>
          <t>Telescopio refractor: lentes objetivo y ocular</t>
        </is>
      </c>
      <c r="R852" s="38" t="inlineStr">
        <is>
          <t>Aplicar: calcular aumentos angulares. Razonar: justificar el diseño del instrumento</t>
        </is>
      </c>
      <c r="S852" s="39">
        <f>IFERROR(ISNUMBER(SEARCH("Conocer",$R852))/(ISNUMBER(SEARCH("Conocer",$R852))+ISNUMBER(SEARCH("Aplicar",$R852))+ISNUMBER(SEARCH("Razonar",$R852))),0)</f>
        <v/>
      </c>
      <c r="T852" s="39">
        <f>IFERROR(ISNUMBER(SEARCH("Aplicar",$R852))/(ISNUMBER(SEARCH("Conocer",$R852))+ISNUMBER(SEARCH("Aplicar",$R852))+ISNUMBER(SEARCH("Razonar",$R852))),0)</f>
        <v/>
      </c>
      <c r="U852" s="39">
        <f>IFERROR(ISNUMBER(SEARCH("Razonar",$R852))/(ISNUMBER(SEARCH("Conocer",$R852))+ISNUMBER(SEARCH("Aplicar",$R852))+ISNUMBER(SEARCH("Razonar",$R852))),0)</f>
        <v/>
      </c>
      <c r="V852" s="11" t="inlineStr">
        <is>
          <t>Física 11°</t>
        </is>
      </c>
      <c r="W852" s="11" t="inlineStr">
        <is>
          <t>Física 10°–11°</t>
        </is>
      </c>
      <c r="X852" s="11">
        <f>IF(OR(IFERROR(INDEX('Datos - Catálogo TIMSS'!$I$5:$I$107,MATCH(K852,'Datos - Catálogo TIMSS'!$A$5:$A$107,0)),"No")="Sí",IFERROR(INDEX('Datos - Catálogo TIMSS'!$I$5:$I$107,MATCH(L852,'Datos - Catálogo TIMSS'!$A$5:$A$107,0)),"No")="Sí"),1,0)</f>
        <v/>
      </c>
      <c r="Y852" s="11">
        <f>IF(IFERROR(INDEX('Datos - Catálogo TIMSS'!$J$5:$J$107,MATCH(K852,'Datos - Catálogo TIMSS'!$A$5:$A$107,0)),"No")="Sí",1,0)</f>
        <v/>
      </c>
      <c r="Z852" s="11">
        <f>IF(IFERROR(INDEX('Datos - Catálogo TIMSS'!$J$5:$J$107,MATCH(L852,'Datos - Catálogo TIMSS'!$A$5:$A$107,0)),"No")="Sí",1,0)</f>
        <v/>
      </c>
      <c r="AA852" s="11" t="inlineStr">
        <is>
          <t>TA-O1.4</t>
        </is>
      </c>
      <c r="AB852" s="11" t="inlineStr"/>
      <c r="AC852" s="11">
        <f>IF(AA852="FUERA","Fuera del marco",IF(AA852="N/A","Sin marco",IFERROR(INDEX('Datos - TIMSS 2023'!$C$5:$C$105,MATCH(AA852,'Datos - TIMSS 2023'!$A$5:$A$105,0)),"Pendiente de clasificar")))</f>
        <v/>
      </c>
      <c r="AD852" s="11" t="inlineStr">
        <is>
          <t>1. Explicar fenómenos científicamente</t>
        </is>
      </c>
      <c r="AE852" s="11">
        <f>IF(AD852="","",IF(LEFT(AD852,1)="1","C1",IF(LEFT(AD852,1)="2","C2",IF(LEFT(AD852,1)="3","C3",""))))</f>
        <v/>
      </c>
      <c r="AF852" s="11" t="inlineStr">
        <is>
          <t>E1</t>
        </is>
      </c>
      <c r="AG852" s="11" t="inlineStr">
        <is>
          <t>E3</t>
        </is>
      </c>
      <c r="AH852" s="11" t="inlineStr">
        <is>
          <t>E2</t>
        </is>
      </c>
      <c r="AI852" s="11" t="inlineStr">
        <is>
          <t>D2</t>
        </is>
      </c>
      <c r="AJ852" s="11" t="inlineStr">
        <is>
          <t>I5</t>
        </is>
      </c>
      <c r="AK852" s="11" t="n"/>
      <c r="AL852" s="11" t="n"/>
      <c r="AM852" s="11" t="n"/>
      <c r="AN852" s="11" t="n"/>
      <c r="AO852" s="11" t="n"/>
      <c r="AP852" s="11" t="n"/>
      <c r="AQ852" s="11" t="n"/>
      <c r="AR852" s="11" t="n"/>
      <c r="AS852" s="11" t="n"/>
      <c r="AT852" s="11" t="n"/>
      <c r="AU852" s="11" t="n"/>
      <c r="AV852" s="11" t="n"/>
      <c r="AW852" s="11">
        <f>AF852&amp;"; "&amp;AG852&amp;"; "&amp;AH852&amp;"; "&amp;AI852&amp;"; "&amp;AJ852</f>
        <v/>
      </c>
    </row>
    <row r="853">
      <c r="A853" s="11" t="inlineStr">
        <is>
          <t>T0389-G11-FÍS</t>
        </is>
      </c>
      <c r="B853" s="11" t="n">
        <v>11</v>
      </c>
      <c r="C853" s="11" t="inlineStr">
        <is>
          <t>Física</t>
        </is>
      </c>
      <c r="D853" s="11" t="inlineStr">
        <is>
          <t>Matriz_Bachillerato_Fisica_10_11.xlsx</t>
        </is>
      </c>
      <c r="E853" s="11" t="inlineStr">
        <is>
          <t>Física 11.°</t>
        </is>
      </c>
      <c r="F853" s="11" t="n">
        <v>108</v>
      </c>
      <c r="G853" s="11" t="inlineStr">
        <is>
          <t>17. Refracción de la luz</t>
        </is>
      </c>
      <c r="H853" s="11" t="inlineStr">
        <is>
          <t>Instrumentos ópticos</t>
        </is>
      </c>
      <c r="I853" s="38" t="inlineStr">
        <is>
          <t>17.10. Análisis de las aberraciones esférica y cromática de las lentes y de las estrategias para corregirlas.</t>
        </is>
      </c>
      <c r="J853" s="11" t="inlineStr">
        <is>
          <t>TA</t>
        </is>
      </c>
      <c r="K853" s="11" t="inlineStr">
        <is>
          <t>TA-O1.4</t>
        </is>
      </c>
      <c r="L853" s="11" t="inlineStr"/>
      <c r="M853" s="11">
        <f>IF(K853="FUERA","Fuera del marco",IF(K853="N/A","Sin marco",IFERROR(INDEX('Datos - Catálogo TIMSS'!$C$5:$C$107,MATCH(K853,'Datos - Catálogo TIMSS'!$A$5:$A$107,0)),"Pendiente de clasificar")))</f>
        <v/>
      </c>
      <c r="N853" s="11">
        <f>IF(K853="FUERA","Fuera del marco",IF(K853="N/A","Sin marco",IFERROR(INDEX('Datos - Catálogo TIMSS'!$F$5:$F$107,MATCH(K853,'Datos - Catálogo TIMSS'!$A$5:$A$107,0)),"Pendiente de clasificar")))</f>
        <v/>
      </c>
      <c r="O853" s="11">
        <f>IF(L853="","",IFERROR(INDEX('Datos - Catálogo TIMSS'!$C$5:$C$107,MATCH(L853,'Datos - Catálogo TIMSS'!$A$5:$A$107,0)),"?"))</f>
        <v/>
      </c>
      <c r="P853" s="11" t="inlineStr">
        <is>
          <t>baja</t>
        </is>
      </c>
      <c r="Q853" s="38" t="inlineStr">
        <is>
          <t>Aberraciones esférica y cromática en espejos y lentes</t>
        </is>
      </c>
      <c r="R853" s="38" t="inlineStr">
        <is>
          <t>Conocer: identificar aberraciones. Razonar: explicar su origen y justificar estrategias de corrección</t>
        </is>
      </c>
      <c r="S853" s="39">
        <f>IFERROR(ISNUMBER(SEARCH("Conocer",$R853))/(ISNUMBER(SEARCH("Conocer",$R853))+ISNUMBER(SEARCH("Aplicar",$R853))+ISNUMBER(SEARCH("Razonar",$R853))),0)</f>
        <v/>
      </c>
      <c r="T853" s="39">
        <f>IFERROR(ISNUMBER(SEARCH("Aplicar",$R853))/(ISNUMBER(SEARCH("Conocer",$R853))+ISNUMBER(SEARCH("Aplicar",$R853))+ISNUMBER(SEARCH("Razonar",$R853))),0)</f>
        <v/>
      </c>
      <c r="U853" s="39">
        <f>IFERROR(ISNUMBER(SEARCH("Razonar",$R853))/(ISNUMBER(SEARCH("Conocer",$R853))+ISNUMBER(SEARCH("Aplicar",$R853))+ISNUMBER(SEARCH("Razonar",$R853))),0)</f>
        <v/>
      </c>
      <c r="V853" s="11" t="inlineStr">
        <is>
          <t>Física 11°</t>
        </is>
      </c>
      <c r="W853" s="11" t="inlineStr">
        <is>
          <t>Física 10°–11°</t>
        </is>
      </c>
      <c r="X853" s="11">
        <f>IF(OR(IFERROR(INDEX('Datos - Catálogo TIMSS'!$I$5:$I$107,MATCH(K853,'Datos - Catálogo TIMSS'!$A$5:$A$107,0)),"No")="Sí",IFERROR(INDEX('Datos - Catálogo TIMSS'!$I$5:$I$107,MATCH(L853,'Datos - Catálogo TIMSS'!$A$5:$A$107,0)),"No")="Sí"),1,0)</f>
        <v/>
      </c>
      <c r="Y853" s="11">
        <f>IF(IFERROR(INDEX('Datos - Catálogo TIMSS'!$J$5:$J$107,MATCH(K853,'Datos - Catálogo TIMSS'!$A$5:$A$107,0)),"No")="Sí",1,0)</f>
        <v/>
      </c>
      <c r="Z853" s="11">
        <f>IF(IFERROR(INDEX('Datos - Catálogo TIMSS'!$J$5:$J$107,MATCH(L853,'Datos - Catálogo TIMSS'!$A$5:$A$107,0)),"No")="Sí",1,0)</f>
        <v/>
      </c>
      <c r="AA853" s="11" t="inlineStr">
        <is>
          <t>TA-O1.4</t>
        </is>
      </c>
      <c r="AB853" s="11" t="inlineStr"/>
      <c r="AC853" s="11">
        <f>IF(AA853="FUERA","Fuera del marco",IF(AA853="N/A","Sin marco",IFERROR(INDEX('Datos - TIMSS 2023'!$C$5:$C$105,MATCH(AA853,'Datos - TIMSS 2023'!$A$5:$A$105,0)),"Pendiente de clasificar")))</f>
        <v/>
      </c>
      <c r="AD853" s="11" t="inlineStr">
        <is>
          <t>1. Explicar fenómenos científicamente</t>
        </is>
      </c>
      <c r="AE853" s="11">
        <f>IF(AD853="","",IF(LEFT(AD853,1)="1","C1",IF(LEFT(AD853,1)="2","C2",IF(LEFT(AD853,1)="3","C3",""))))</f>
        <v/>
      </c>
      <c r="AF853" s="11" t="inlineStr">
        <is>
          <t>E1</t>
        </is>
      </c>
      <c r="AG853" s="11" t="inlineStr">
        <is>
          <t>E5</t>
        </is>
      </c>
      <c r="AH853" s="11" t="inlineStr">
        <is>
          <t>E4</t>
        </is>
      </c>
      <c r="AI853" s="11" t="inlineStr">
        <is>
          <t>I1</t>
        </is>
      </c>
      <c r="AJ853" s="11" t="inlineStr">
        <is>
          <t>E3</t>
        </is>
      </c>
      <c r="AK853" s="11" t="n"/>
      <c r="AL853" s="11" t="n"/>
      <c r="AM853" s="11" t="n"/>
      <c r="AN853" s="11" t="n"/>
      <c r="AO853" s="11" t="n"/>
      <c r="AP853" s="11" t="n"/>
      <c r="AQ853" s="11" t="n"/>
      <c r="AR853" s="11" t="n"/>
      <c r="AS853" s="11" t="n"/>
      <c r="AT853" s="11" t="n"/>
      <c r="AU853" s="11" t="n"/>
      <c r="AV853" s="11" t="n"/>
      <c r="AW853" s="11">
        <f>AF853&amp;"; "&amp;AG853&amp;"; "&amp;AH853&amp;"; "&amp;AI853&amp;"; "&amp;AJ853</f>
        <v/>
      </c>
    </row>
    <row r="854">
      <c r="A854" s="11" t="inlineStr">
        <is>
          <t>T0390-G11-FÍS</t>
        </is>
      </c>
      <c r="B854" s="11" t="n">
        <v>11</v>
      </c>
      <c r="C854" s="11" t="inlineStr">
        <is>
          <t>Física</t>
        </is>
      </c>
      <c r="D854" s="11" t="inlineStr">
        <is>
          <t>Matriz_Bachillerato_Fisica_10_11.xlsx</t>
        </is>
      </c>
      <c r="E854" s="11" t="inlineStr">
        <is>
          <t>Física 11.°</t>
        </is>
      </c>
      <c r="F854" s="11" t="n">
        <v>109</v>
      </c>
      <c r="G854" s="11" t="inlineStr">
        <is>
          <t>18. Naturaleza ondulatoria de la luz</t>
        </is>
      </c>
      <c r="H854" s="11" t="inlineStr">
        <is>
          <t>Interferencia</t>
        </is>
      </c>
      <c r="I854" s="38" t="inlineStr">
        <is>
          <t>18.1. Medición de la longitud de onda de un láser a partir del patrón de interferencia de doble rendija.</t>
        </is>
      </c>
      <c r="J854" s="11" t="inlineStr">
        <is>
          <t>TA</t>
        </is>
      </c>
      <c r="K854" s="11" t="inlineStr">
        <is>
          <t>TA-O1.4</t>
        </is>
      </c>
      <c r="L854" s="11" t="inlineStr"/>
      <c r="M854" s="11">
        <f>IF(K854="FUERA","Fuera del marco",IF(K854="N/A","Sin marco",IFERROR(INDEX('Datos - Catálogo TIMSS'!$C$5:$C$107,MATCH(K854,'Datos - Catálogo TIMSS'!$A$5:$A$107,0)),"Pendiente de clasificar")))</f>
        <v/>
      </c>
      <c r="N854" s="11">
        <f>IF(K854="FUERA","Fuera del marco",IF(K854="N/A","Sin marco",IFERROR(INDEX('Datos - Catálogo TIMSS'!$F$5:$F$107,MATCH(K854,'Datos - Catálogo TIMSS'!$A$5:$A$107,0)),"Pendiente de clasificar")))</f>
        <v/>
      </c>
      <c r="O854" s="11">
        <f>IF(L854="","",IFERROR(INDEX('Datos - Catálogo TIMSS'!$C$5:$C$107,MATCH(L854,'Datos - Catálogo TIMSS'!$A$5:$A$107,0)),"?"))</f>
        <v/>
      </c>
      <c r="P854" s="11" t="inlineStr">
        <is>
          <t>alta</t>
        </is>
      </c>
      <c r="Q854" s="38" t="inlineStr">
        <is>
          <t>Interferencia de doble rendija de Young</t>
        </is>
      </c>
      <c r="R854" s="38" t="inlineStr">
        <is>
          <t>Aplicar: medir y calcular longitudes de onda. Razonar: evaluar incertidumbres y concluir</t>
        </is>
      </c>
      <c r="S854" s="39">
        <f>IFERROR(ISNUMBER(SEARCH("Conocer",$R854))/(ISNUMBER(SEARCH("Conocer",$R854))+ISNUMBER(SEARCH("Aplicar",$R854))+ISNUMBER(SEARCH("Razonar",$R854))),0)</f>
        <v/>
      </c>
      <c r="T854" s="39">
        <f>IFERROR(ISNUMBER(SEARCH("Aplicar",$R854))/(ISNUMBER(SEARCH("Conocer",$R854))+ISNUMBER(SEARCH("Aplicar",$R854))+ISNUMBER(SEARCH("Razonar",$R854))),0)</f>
        <v/>
      </c>
      <c r="U854" s="39">
        <f>IFERROR(ISNUMBER(SEARCH("Razonar",$R854))/(ISNUMBER(SEARCH("Conocer",$R854))+ISNUMBER(SEARCH("Aplicar",$R854))+ISNUMBER(SEARCH("Razonar",$R854))),0)</f>
        <v/>
      </c>
      <c r="V854" s="11" t="inlineStr">
        <is>
          <t>Física 11°</t>
        </is>
      </c>
      <c r="W854" s="11" t="inlineStr">
        <is>
          <t>Física 10°–11°</t>
        </is>
      </c>
      <c r="X854" s="11">
        <f>IF(OR(IFERROR(INDEX('Datos - Catálogo TIMSS'!$I$5:$I$107,MATCH(K854,'Datos - Catálogo TIMSS'!$A$5:$A$107,0)),"No")="Sí",IFERROR(INDEX('Datos - Catálogo TIMSS'!$I$5:$I$107,MATCH(L854,'Datos - Catálogo TIMSS'!$A$5:$A$107,0)),"No")="Sí"),1,0)</f>
        <v/>
      </c>
      <c r="Y854" s="11">
        <f>IF(IFERROR(INDEX('Datos - Catálogo TIMSS'!$J$5:$J$107,MATCH(K854,'Datos - Catálogo TIMSS'!$A$5:$A$107,0)),"No")="Sí",1,0)</f>
        <v/>
      </c>
      <c r="Z854" s="11">
        <f>IF(IFERROR(INDEX('Datos - Catálogo TIMSS'!$J$5:$J$107,MATCH(L854,'Datos - Catálogo TIMSS'!$A$5:$A$107,0)),"No")="Sí",1,0)</f>
        <v/>
      </c>
      <c r="AA854" s="11" t="inlineStr">
        <is>
          <t>TA-O1.4</t>
        </is>
      </c>
      <c r="AB854" s="11" t="inlineStr"/>
      <c r="AC854" s="11">
        <f>IF(AA854="FUERA","Fuera del marco",IF(AA854="N/A","Sin marco",IFERROR(INDEX('Datos - TIMSS 2023'!$C$5:$C$105,MATCH(AA854,'Datos - TIMSS 2023'!$A$5:$A$105,0)),"Pendiente de clasificar")))</f>
        <v/>
      </c>
      <c r="AD854" s="11" t="inlineStr">
        <is>
          <t>2. Construir y evaluar diseños para la indagación científica e interpretar datos y evidencia de forma crítica</t>
        </is>
      </c>
      <c r="AE854" s="11">
        <f>IF(AD854="","",IF(LEFT(AD854,1)="1","C1",IF(LEFT(AD854,1)="2","C2",IF(LEFT(AD854,1)="3","C3",""))))</f>
        <v/>
      </c>
      <c r="AF854" s="11" t="inlineStr">
        <is>
          <t>E1</t>
        </is>
      </c>
      <c r="AG854" s="11" t="inlineStr">
        <is>
          <t>D1</t>
        </is>
      </c>
      <c r="AH854" s="11" t="inlineStr">
        <is>
          <t>E2</t>
        </is>
      </c>
      <c r="AI854" s="11" t="inlineStr">
        <is>
          <t>D4</t>
        </is>
      </c>
      <c r="AJ854" s="11" t="inlineStr">
        <is>
          <t>D3</t>
        </is>
      </c>
      <c r="AK854" s="11" t="n"/>
      <c r="AL854" s="11" t="n"/>
      <c r="AM854" s="11" t="n"/>
      <c r="AN854" s="11" t="n"/>
      <c r="AO854" s="11" t="n"/>
      <c r="AP854" s="11" t="n"/>
      <c r="AQ854" s="11" t="n"/>
      <c r="AR854" s="11" t="n"/>
      <c r="AS854" s="11" t="n"/>
      <c r="AT854" s="11" t="n"/>
      <c r="AU854" s="11" t="n"/>
      <c r="AV854" s="11" t="n"/>
      <c r="AW854" s="11">
        <f>AF854&amp;"; "&amp;AG854&amp;"; "&amp;AH854&amp;"; "&amp;AI854&amp;"; "&amp;AJ854</f>
        <v/>
      </c>
    </row>
    <row r="855">
      <c r="A855" s="11" t="inlineStr">
        <is>
          <t>T0391-G11-FÍS</t>
        </is>
      </c>
      <c r="B855" s="11" t="n">
        <v>11</v>
      </c>
      <c r="C855" s="11" t="inlineStr">
        <is>
          <t>Física</t>
        </is>
      </c>
      <c r="D855" s="11" t="inlineStr">
        <is>
          <t>Matriz_Bachillerato_Fisica_10_11.xlsx</t>
        </is>
      </c>
      <c r="E855" s="11" t="inlineStr">
        <is>
          <t>Física 11.°</t>
        </is>
      </c>
      <c r="F855" s="11" t="n">
        <v>110</v>
      </c>
      <c r="G855" s="11" t="inlineStr">
        <is>
          <t>18. Naturaleza ondulatoria de la luz</t>
        </is>
      </c>
      <c r="H855" s="11" t="inlineStr">
        <is>
          <t>Interferencia</t>
        </is>
      </c>
      <c r="I855" s="38" t="inlineStr">
        <is>
          <t>18.2. Análisis de la interferencia en películas delgadas considerando el cambio de fase por reflexión y el espesor de la película.</t>
        </is>
      </c>
      <c r="J855" s="11" t="inlineStr">
        <is>
          <t>TA</t>
        </is>
      </c>
      <c r="K855" s="11" t="inlineStr">
        <is>
          <t>TA-O1.4</t>
        </is>
      </c>
      <c r="L855" s="11" t="inlineStr"/>
      <c r="M855" s="11">
        <f>IF(K855="FUERA","Fuera del marco",IF(K855="N/A","Sin marco",IFERROR(INDEX('Datos - Catálogo TIMSS'!$C$5:$C$107,MATCH(K855,'Datos - Catálogo TIMSS'!$A$5:$A$107,0)),"Pendiente de clasificar")))</f>
        <v/>
      </c>
      <c r="N855" s="11">
        <f>IF(K855="FUERA","Fuera del marco",IF(K855="N/A","Sin marco",IFERROR(INDEX('Datos - Catálogo TIMSS'!$F$5:$F$107,MATCH(K855,'Datos - Catálogo TIMSS'!$A$5:$A$107,0)),"Pendiente de clasificar")))</f>
        <v/>
      </c>
      <c r="O855" s="11">
        <f>IF(L855="","",IFERROR(INDEX('Datos - Catálogo TIMSS'!$C$5:$C$107,MATCH(L855,'Datos - Catálogo TIMSS'!$A$5:$A$107,0)),"?"))</f>
        <v/>
      </c>
      <c r="P855" s="11" t="inlineStr">
        <is>
          <t>alta</t>
        </is>
      </c>
      <c r="Q855" s="38" t="inlineStr">
        <is>
          <t>Interferencia en películas delgadas</t>
        </is>
      </c>
      <c r="R855" s="38" t="inlineStr">
        <is>
          <t>Aplicar: calcular espesores. Razonar: explicar colores con el modelo de interferencia</t>
        </is>
      </c>
      <c r="S855" s="39">
        <f>IFERROR(ISNUMBER(SEARCH("Conocer",$R855))/(ISNUMBER(SEARCH("Conocer",$R855))+ISNUMBER(SEARCH("Aplicar",$R855))+ISNUMBER(SEARCH("Razonar",$R855))),0)</f>
        <v/>
      </c>
      <c r="T855" s="39">
        <f>IFERROR(ISNUMBER(SEARCH("Aplicar",$R855))/(ISNUMBER(SEARCH("Conocer",$R855))+ISNUMBER(SEARCH("Aplicar",$R855))+ISNUMBER(SEARCH("Razonar",$R855))),0)</f>
        <v/>
      </c>
      <c r="U855" s="39">
        <f>IFERROR(ISNUMBER(SEARCH("Razonar",$R855))/(ISNUMBER(SEARCH("Conocer",$R855))+ISNUMBER(SEARCH("Aplicar",$R855))+ISNUMBER(SEARCH("Razonar",$R855))),0)</f>
        <v/>
      </c>
      <c r="V855" s="11" t="inlineStr">
        <is>
          <t>Física 11°</t>
        </is>
      </c>
      <c r="W855" s="11" t="inlineStr">
        <is>
          <t>Física 10°–11°</t>
        </is>
      </c>
      <c r="X855" s="11">
        <f>IF(OR(IFERROR(INDEX('Datos - Catálogo TIMSS'!$I$5:$I$107,MATCH(K855,'Datos - Catálogo TIMSS'!$A$5:$A$107,0)),"No")="Sí",IFERROR(INDEX('Datos - Catálogo TIMSS'!$I$5:$I$107,MATCH(L855,'Datos - Catálogo TIMSS'!$A$5:$A$107,0)),"No")="Sí"),1,0)</f>
        <v/>
      </c>
      <c r="Y855" s="11">
        <f>IF(IFERROR(INDEX('Datos - Catálogo TIMSS'!$J$5:$J$107,MATCH(K855,'Datos - Catálogo TIMSS'!$A$5:$A$107,0)),"No")="Sí",1,0)</f>
        <v/>
      </c>
      <c r="Z855" s="11">
        <f>IF(IFERROR(INDEX('Datos - Catálogo TIMSS'!$J$5:$J$107,MATCH(L855,'Datos - Catálogo TIMSS'!$A$5:$A$107,0)),"No")="Sí",1,0)</f>
        <v/>
      </c>
      <c r="AA855" s="11" t="inlineStr">
        <is>
          <t>TA-O1.4</t>
        </is>
      </c>
      <c r="AB855" s="11" t="inlineStr"/>
      <c r="AC855" s="11">
        <f>IF(AA855="FUERA","Fuera del marco",IF(AA855="N/A","Sin marco",IFERROR(INDEX('Datos - TIMSS 2023'!$C$5:$C$105,MATCH(AA855,'Datos - TIMSS 2023'!$A$5:$A$105,0)),"Pendiente de clasificar")))</f>
        <v/>
      </c>
      <c r="AD855" s="11" t="inlineStr">
        <is>
          <t>1. Explicar fenómenos científicamente</t>
        </is>
      </c>
      <c r="AE855" s="11">
        <f>IF(AD855="","",IF(LEFT(AD855,1)="1","C1",IF(LEFT(AD855,1)="2","C2",IF(LEFT(AD855,1)="3","C3",""))))</f>
        <v/>
      </c>
      <c r="AF855" s="11" t="inlineStr">
        <is>
          <t>E6</t>
        </is>
      </c>
      <c r="AG855" s="11" t="inlineStr">
        <is>
          <t>E5</t>
        </is>
      </c>
      <c r="AH855" s="11" t="inlineStr">
        <is>
          <t>E4</t>
        </is>
      </c>
      <c r="AI855" s="11" t="inlineStr">
        <is>
          <t>E4</t>
        </is>
      </c>
      <c r="AJ855" s="11" t="inlineStr">
        <is>
          <t>E3</t>
        </is>
      </c>
      <c r="AK855" s="11" t="n"/>
      <c r="AL855" s="11" t="n"/>
      <c r="AM855" s="11" t="n"/>
      <c r="AN855" s="11" t="n"/>
      <c r="AO855" s="11" t="n"/>
      <c r="AP855" s="11" t="n"/>
      <c r="AQ855" s="11" t="n"/>
      <c r="AR855" s="11" t="n"/>
      <c r="AS855" s="11" t="n"/>
      <c r="AT855" s="11" t="n"/>
      <c r="AU855" s="11" t="n"/>
      <c r="AV855" s="11" t="n"/>
      <c r="AW855" s="11">
        <f>AF855&amp;"; "&amp;AG855&amp;"; "&amp;AH855&amp;"; "&amp;AI855&amp;"; "&amp;AJ855</f>
        <v/>
      </c>
    </row>
    <row r="856">
      <c r="A856" s="11" t="inlineStr">
        <is>
          <t>T0392-G11-FÍS</t>
        </is>
      </c>
      <c r="B856" s="11" t="n">
        <v>11</v>
      </c>
      <c r="C856" s="11" t="inlineStr">
        <is>
          <t>Física</t>
        </is>
      </c>
      <c r="D856" s="11" t="inlineStr">
        <is>
          <t>Matriz_Bachillerato_Fisica_10_11.xlsx</t>
        </is>
      </c>
      <c r="E856" s="11" t="inlineStr">
        <is>
          <t>Física 11.°</t>
        </is>
      </c>
      <c r="F856" s="11" t="n">
        <v>111</v>
      </c>
      <c r="G856" s="11" t="inlineStr">
        <is>
          <t>18. Naturaleza ondulatoria de la luz</t>
        </is>
      </c>
      <c r="H856" s="11" t="inlineStr">
        <is>
          <t>Interferencia</t>
        </is>
      </c>
      <c r="I856" s="38" t="inlineStr">
        <is>
          <t>18.3. Cálculo de desplazamientos microscópicos a partir del número de franjas que cambian en un interferómetro de Michelson.</t>
        </is>
      </c>
      <c r="J856" s="11" t="inlineStr">
        <is>
          <t>TA</t>
        </is>
      </c>
      <c r="K856" s="11" t="inlineStr">
        <is>
          <t>TA-O1.4</t>
        </is>
      </c>
      <c r="L856" s="11" t="inlineStr"/>
      <c r="M856" s="11">
        <f>IF(K856="FUERA","Fuera del marco",IF(K856="N/A","Sin marco",IFERROR(INDEX('Datos - Catálogo TIMSS'!$C$5:$C$107,MATCH(K856,'Datos - Catálogo TIMSS'!$A$5:$A$107,0)),"Pendiente de clasificar")))</f>
        <v/>
      </c>
      <c r="N856" s="11">
        <f>IF(K856="FUERA","Fuera del marco",IF(K856="N/A","Sin marco",IFERROR(INDEX('Datos - Catálogo TIMSS'!$F$5:$F$107,MATCH(K856,'Datos - Catálogo TIMSS'!$A$5:$A$107,0)),"Pendiente de clasificar")))</f>
        <v/>
      </c>
      <c r="O856" s="11">
        <f>IF(L856="","",IFERROR(INDEX('Datos - Catálogo TIMSS'!$C$5:$C$107,MATCH(L856,'Datos - Catálogo TIMSS'!$A$5:$A$107,0)),"?"))</f>
        <v/>
      </c>
      <c r="P856" s="11" t="inlineStr">
        <is>
          <t>alta</t>
        </is>
      </c>
      <c r="Q856" s="38" t="inlineStr">
        <is>
          <t>Interferómetro de Michelson</t>
        </is>
      </c>
      <c r="R856" s="38" t="inlineStr">
        <is>
          <t>Aplicar: calcular desplazamientos. Razonar: argumentar la precisión del instrumento</t>
        </is>
      </c>
      <c r="S856" s="39">
        <f>IFERROR(ISNUMBER(SEARCH("Conocer",$R856))/(ISNUMBER(SEARCH("Conocer",$R856))+ISNUMBER(SEARCH("Aplicar",$R856))+ISNUMBER(SEARCH("Razonar",$R856))),0)</f>
        <v/>
      </c>
      <c r="T856" s="39">
        <f>IFERROR(ISNUMBER(SEARCH("Aplicar",$R856))/(ISNUMBER(SEARCH("Conocer",$R856))+ISNUMBER(SEARCH("Aplicar",$R856))+ISNUMBER(SEARCH("Razonar",$R856))),0)</f>
        <v/>
      </c>
      <c r="U856" s="39">
        <f>IFERROR(ISNUMBER(SEARCH("Razonar",$R856))/(ISNUMBER(SEARCH("Conocer",$R856))+ISNUMBER(SEARCH("Aplicar",$R856))+ISNUMBER(SEARCH("Razonar",$R856))),0)</f>
        <v/>
      </c>
      <c r="V856" s="11" t="inlineStr">
        <is>
          <t>Física 11°</t>
        </is>
      </c>
      <c r="W856" s="11" t="inlineStr">
        <is>
          <t>Física 10°–11°</t>
        </is>
      </c>
      <c r="X856" s="11">
        <f>IF(OR(IFERROR(INDEX('Datos - Catálogo TIMSS'!$I$5:$I$107,MATCH(K856,'Datos - Catálogo TIMSS'!$A$5:$A$107,0)),"No")="Sí",IFERROR(INDEX('Datos - Catálogo TIMSS'!$I$5:$I$107,MATCH(L856,'Datos - Catálogo TIMSS'!$A$5:$A$107,0)),"No")="Sí"),1,0)</f>
        <v/>
      </c>
      <c r="Y856" s="11">
        <f>IF(IFERROR(INDEX('Datos - Catálogo TIMSS'!$J$5:$J$107,MATCH(K856,'Datos - Catálogo TIMSS'!$A$5:$A$107,0)),"No")="Sí",1,0)</f>
        <v/>
      </c>
      <c r="Z856" s="11">
        <f>IF(IFERROR(INDEX('Datos - Catálogo TIMSS'!$J$5:$J$107,MATCH(L856,'Datos - Catálogo TIMSS'!$A$5:$A$107,0)),"No")="Sí",1,0)</f>
        <v/>
      </c>
      <c r="AA856" s="11" t="inlineStr">
        <is>
          <t>TA-O1.4</t>
        </is>
      </c>
      <c r="AB856" s="11" t="inlineStr"/>
      <c r="AC856" s="11">
        <f>IF(AA856="FUERA","Fuera del marco",IF(AA856="N/A","Sin marco",IFERROR(INDEX('Datos - TIMSS 2023'!$C$5:$C$105,MATCH(AA856,'Datos - TIMSS 2023'!$A$5:$A$105,0)),"Pendiente de clasificar")))</f>
        <v/>
      </c>
      <c r="AD856" s="11" t="inlineStr">
        <is>
          <t>3. Investigar, evaluar y usar información científica para tomar decisiones y actuar</t>
        </is>
      </c>
      <c r="AE856" s="11">
        <f>IF(AD856="","",IF(LEFT(AD856,1)="1","C1",IF(LEFT(AD856,1)="2","C2",IF(LEFT(AD856,1)="3","C3",""))))</f>
        <v/>
      </c>
      <c r="AF856" s="11" t="inlineStr">
        <is>
          <t>E6</t>
        </is>
      </c>
      <c r="AG856" s="11" t="inlineStr">
        <is>
          <t>E3</t>
        </is>
      </c>
      <c r="AH856" s="11" t="inlineStr">
        <is>
          <t>E4</t>
        </is>
      </c>
      <c r="AI856" s="11" t="inlineStr">
        <is>
          <t>I3</t>
        </is>
      </c>
      <c r="AJ856" s="11" t="inlineStr">
        <is>
          <t>I2</t>
        </is>
      </c>
      <c r="AK856" s="11" t="n"/>
      <c r="AL856" s="11" t="n"/>
      <c r="AM856" s="11" t="n"/>
      <c r="AN856" s="11" t="n"/>
      <c r="AO856" s="11" t="n"/>
      <c r="AP856" s="11" t="n"/>
      <c r="AQ856" s="11" t="n"/>
      <c r="AR856" s="11" t="n"/>
      <c r="AS856" s="11" t="n"/>
      <c r="AT856" s="11" t="n"/>
      <c r="AU856" s="11" t="n"/>
      <c r="AV856" s="11" t="n"/>
      <c r="AW856" s="11">
        <f>AF856&amp;"; "&amp;AG856&amp;"; "&amp;AH856&amp;"; "&amp;AI856&amp;"; "&amp;AJ856</f>
        <v/>
      </c>
    </row>
    <row r="857">
      <c r="A857" s="11" t="inlineStr">
        <is>
          <t>T0393-G11-FÍS</t>
        </is>
      </c>
      <c r="B857" s="11" t="n">
        <v>11</v>
      </c>
      <c r="C857" s="11" t="inlineStr">
        <is>
          <t>Física</t>
        </is>
      </c>
      <c r="D857" s="11" t="inlineStr">
        <is>
          <t>Matriz_Bachillerato_Fisica_10_11.xlsx</t>
        </is>
      </c>
      <c r="E857" s="11" t="inlineStr">
        <is>
          <t>Física 11.°</t>
        </is>
      </c>
      <c r="F857" s="11" t="n">
        <v>112</v>
      </c>
      <c r="G857" s="11" t="inlineStr">
        <is>
          <t>18. Naturaleza ondulatoria de la luz</t>
        </is>
      </c>
      <c r="H857" s="11" t="inlineStr">
        <is>
          <t>Difracción</t>
        </is>
      </c>
      <c r="I857" s="38" t="inlineStr">
        <is>
          <t>18.4. Medición del ancho de una rendija o de un cabello a partir del patrón de difracción de un láser.</t>
        </is>
      </c>
      <c r="J857" s="11" t="inlineStr">
        <is>
          <t>TA</t>
        </is>
      </c>
      <c r="K857" s="11" t="inlineStr">
        <is>
          <t>TA-O1.4</t>
        </is>
      </c>
      <c r="L857" s="11" t="inlineStr"/>
      <c r="M857" s="11">
        <f>IF(K857="FUERA","Fuera del marco",IF(K857="N/A","Sin marco",IFERROR(INDEX('Datos - Catálogo TIMSS'!$C$5:$C$107,MATCH(K857,'Datos - Catálogo TIMSS'!$A$5:$A$107,0)),"Pendiente de clasificar")))</f>
        <v/>
      </c>
      <c r="N857" s="11">
        <f>IF(K857="FUERA","Fuera del marco",IF(K857="N/A","Sin marco",IFERROR(INDEX('Datos - Catálogo TIMSS'!$F$5:$F$107,MATCH(K857,'Datos - Catálogo TIMSS'!$A$5:$A$107,0)),"Pendiente de clasificar")))</f>
        <v/>
      </c>
      <c r="O857" s="11">
        <f>IF(L857="","",IFERROR(INDEX('Datos - Catálogo TIMSS'!$C$5:$C$107,MATCH(L857,'Datos - Catálogo TIMSS'!$A$5:$A$107,0)),"?"))</f>
        <v/>
      </c>
      <c r="P857" s="11" t="inlineStr">
        <is>
          <t>alta</t>
        </is>
      </c>
      <c r="Q857" s="38" t="inlineStr">
        <is>
          <t>Difracción por una rendija</t>
        </is>
      </c>
      <c r="R857" s="38" t="inlineStr">
        <is>
          <t>Aplicar: calcular dimensiones a partir de patrones. Razonar: diseñar y justificar el procedimiento</t>
        </is>
      </c>
      <c r="S857" s="39">
        <f>IFERROR(ISNUMBER(SEARCH("Conocer",$R857))/(ISNUMBER(SEARCH("Conocer",$R857))+ISNUMBER(SEARCH("Aplicar",$R857))+ISNUMBER(SEARCH("Razonar",$R857))),0)</f>
        <v/>
      </c>
      <c r="T857" s="39">
        <f>IFERROR(ISNUMBER(SEARCH("Aplicar",$R857))/(ISNUMBER(SEARCH("Conocer",$R857))+ISNUMBER(SEARCH("Aplicar",$R857))+ISNUMBER(SEARCH("Razonar",$R857))),0)</f>
        <v/>
      </c>
      <c r="U857" s="39">
        <f>IFERROR(ISNUMBER(SEARCH("Razonar",$R857))/(ISNUMBER(SEARCH("Conocer",$R857))+ISNUMBER(SEARCH("Aplicar",$R857))+ISNUMBER(SEARCH("Razonar",$R857))),0)</f>
        <v/>
      </c>
      <c r="V857" s="11" t="inlineStr">
        <is>
          <t>Física 11°</t>
        </is>
      </c>
      <c r="W857" s="11" t="inlineStr">
        <is>
          <t>Física 10°–11°</t>
        </is>
      </c>
      <c r="X857" s="11">
        <f>IF(OR(IFERROR(INDEX('Datos - Catálogo TIMSS'!$I$5:$I$107,MATCH(K857,'Datos - Catálogo TIMSS'!$A$5:$A$107,0)),"No")="Sí",IFERROR(INDEX('Datos - Catálogo TIMSS'!$I$5:$I$107,MATCH(L857,'Datos - Catálogo TIMSS'!$A$5:$A$107,0)),"No")="Sí"),1,0)</f>
        <v/>
      </c>
      <c r="Y857" s="11">
        <f>IF(IFERROR(INDEX('Datos - Catálogo TIMSS'!$J$5:$J$107,MATCH(K857,'Datos - Catálogo TIMSS'!$A$5:$A$107,0)),"No")="Sí",1,0)</f>
        <v/>
      </c>
      <c r="Z857" s="11">
        <f>IF(IFERROR(INDEX('Datos - Catálogo TIMSS'!$J$5:$J$107,MATCH(L857,'Datos - Catálogo TIMSS'!$A$5:$A$107,0)),"No")="Sí",1,0)</f>
        <v/>
      </c>
      <c r="AA857" s="11" t="inlineStr">
        <is>
          <t>TA-O1.4</t>
        </is>
      </c>
      <c r="AB857" s="11" t="inlineStr"/>
      <c r="AC857" s="11">
        <f>IF(AA857="FUERA","Fuera del marco",IF(AA857="N/A","Sin marco",IFERROR(INDEX('Datos - TIMSS 2023'!$C$5:$C$105,MATCH(AA857,'Datos - TIMSS 2023'!$A$5:$A$105,0)),"Pendiente de clasificar")))</f>
        <v/>
      </c>
      <c r="AD857" s="11" t="inlineStr">
        <is>
          <t>2. Construir y evaluar diseños para la indagación científica e interpretar datos y evidencia de forma crítica</t>
        </is>
      </c>
      <c r="AE857" s="11">
        <f>IF(AD857="","",IF(LEFT(AD857,1)="1","C1",IF(LEFT(AD857,1)="2","C2",IF(LEFT(AD857,1)="3","C3",""))))</f>
        <v/>
      </c>
      <c r="AF857" s="11" t="inlineStr">
        <is>
          <t>E1</t>
        </is>
      </c>
      <c r="AG857" s="11" t="inlineStr">
        <is>
          <t>D1</t>
        </is>
      </c>
      <c r="AH857" s="11" t="inlineStr">
        <is>
          <t>E4</t>
        </is>
      </c>
      <c r="AI857" s="11" t="inlineStr">
        <is>
          <t>D2</t>
        </is>
      </c>
      <c r="AJ857" s="11" t="inlineStr">
        <is>
          <t>E3</t>
        </is>
      </c>
      <c r="AK857" s="11" t="n"/>
      <c r="AL857" s="11" t="n"/>
      <c r="AM857" s="11" t="n"/>
      <c r="AN857" s="11" t="n"/>
      <c r="AO857" s="11" t="n"/>
      <c r="AP857" s="11" t="n"/>
      <c r="AQ857" s="11" t="n"/>
      <c r="AR857" s="11" t="n"/>
      <c r="AS857" s="11" t="n"/>
      <c r="AT857" s="11" t="n"/>
      <c r="AU857" s="11" t="n"/>
      <c r="AV857" s="11" t="n"/>
      <c r="AW857" s="11">
        <f>AF857&amp;"; "&amp;AG857&amp;"; "&amp;AH857&amp;"; "&amp;AI857&amp;"; "&amp;AJ857</f>
        <v/>
      </c>
    </row>
    <row r="858">
      <c r="A858" s="11" t="inlineStr">
        <is>
          <t>T0394-G11-FÍS</t>
        </is>
      </c>
      <c r="B858" s="11" t="n">
        <v>11</v>
      </c>
      <c r="C858" s="11" t="inlineStr">
        <is>
          <t>Física</t>
        </is>
      </c>
      <c r="D858" s="11" t="inlineStr">
        <is>
          <t>Matriz_Bachillerato_Fisica_10_11.xlsx</t>
        </is>
      </c>
      <c r="E858" s="11" t="inlineStr">
        <is>
          <t>Física 11.°</t>
        </is>
      </c>
      <c r="F858" s="11" t="n">
        <v>113</v>
      </c>
      <c r="G858" s="11" t="inlineStr">
        <is>
          <t>18. Naturaleza ondulatoria de la luz</t>
        </is>
      </c>
      <c r="H858" s="11" t="inlineStr">
        <is>
          <t>Difracción</t>
        </is>
      </c>
      <c r="I858" s="38" t="inlineStr">
        <is>
          <t>18.5. Aplicación del criterio de Rayleigh para determinar la separación angular mínima que distingue un instrumento óptico.</t>
        </is>
      </c>
      <c r="J858" s="11" t="inlineStr">
        <is>
          <t>TA</t>
        </is>
      </c>
      <c r="K858" s="11" t="inlineStr">
        <is>
          <t>TA-O1.4</t>
        </is>
      </c>
      <c r="L858" s="11" t="inlineStr"/>
      <c r="M858" s="11">
        <f>IF(K858="FUERA","Fuera del marco",IF(K858="N/A","Sin marco",IFERROR(INDEX('Datos - Catálogo TIMSS'!$C$5:$C$107,MATCH(K858,'Datos - Catálogo TIMSS'!$A$5:$A$107,0)),"Pendiente de clasificar")))</f>
        <v/>
      </c>
      <c r="N858" s="11">
        <f>IF(K858="FUERA","Fuera del marco",IF(K858="N/A","Sin marco",IFERROR(INDEX('Datos - Catálogo TIMSS'!$F$5:$F$107,MATCH(K858,'Datos - Catálogo TIMSS'!$A$5:$A$107,0)),"Pendiente de clasificar")))</f>
        <v/>
      </c>
      <c r="O858" s="11">
        <f>IF(L858="","",IFERROR(INDEX('Datos - Catálogo TIMSS'!$C$5:$C$107,MATCH(L858,'Datos - Catálogo TIMSS'!$A$5:$A$107,0)),"?"))</f>
        <v/>
      </c>
      <c r="P858" s="11" t="inlineStr">
        <is>
          <t>alta</t>
        </is>
      </c>
      <c r="Q858" s="38" t="inlineStr">
        <is>
          <t>Difracción en aberturas circulares y poder de resolución</t>
        </is>
      </c>
      <c r="R858" s="38" t="inlineStr">
        <is>
          <t>Aplicar: calcular resoluciones angulares. Razonar: contrastar predicciones con mediciones</t>
        </is>
      </c>
      <c r="S858" s="39">
        <f>IFERROR(ISNUMBER(SEARCH("Conocer",$R858))/(ISNUMBER(SEARCH("Conocer",$R858))+ISNUMBER(SEARCH("Aplicar",$R858))+ISNUMBER(SEARCH("Razonar",$R858))),0)</f>
        <v/>
      </c>
      <c r="T858" s="39">
        <f>IFERROR(ISNUMBER(SEARCH("Aplicar",$R858))/(ISNUMBER(SEARCH("Conocer",$R858))+ISNUMBER(SEARCH("Aplicar",$R858))+ISNUMBER(SEARCH("Razonar",$R858))),0)</f>
        <v/>
      </c>
      <c r="U858" s="39">
        <f>IFERROR(ISNUMBER(SEARCH("Razonar",$R858))/(ISNUMBER(SEARCH("Conocer",$R858))+ISNUMBER(SEARCH("Aplicar",$R858))+ISNUMBER(SEARCH("Razonar",$R858))),0)</f>
        <v/>
      </c>
      <c r="V858" s="11" t="inlineStr">
        <is>
          <t>Física 11°</t>
        </is>
      </c>
      <c r="W858" s="11" t="inlineStr">
        <is>
          <t>Física 10°–11°</t>
        </is>
      </c>
      <c r="X858" s="11">
        <f>IF(OR(IFERROR(INDEX('Datos - Catálogo TIMSS'!$I$5:$I$107,MATCH(K858,'Datos - Catálogo TIMSS'!$A$5:$A$107,0)),"No")="Sí",IFERROR(INDEX('Datos - Catálogo TIMSS'!$I$5:$I$107,MATCH(L858,'Datos - Catálogo TIMSS'!$A$5:$A$107,0)),"No")="Sí"),1,0)</f>
        <v/>
      </c>
      <c r="Y858" s="11">
        <f>IF(IFERROR(INDEX('Datos - Catálogo TIMSS'!$J$5:$J$107,MATCH(K858,'Datos - Catálogo TIMSS'!$A$5:$A$107,0)),"No")="Sí",1,0)</f>
        <v/>
      </c>
      <c r="Z858" s="11">
        <f>IF(IFERROR(INDEX('Datos - Catálogo TIMSS'!$J$5:$J$107,MATCH(L858,'Datos - Catálogo TIMSS'!$A$5:$A$107,0)),"No")="Sí",1,0)</f>
        <v/>
      </c>
      <c r="AA858" s="11" t="inlineStr">
        <is>
          <t>TA-O1.4</t>
        </is>
      </c>
      <c r="AB858" s="11" t="inlineStr"/>
      <c r="AC858" s="11">
        <f>IF(AA858="FUERA","Fuera del marco",IF(AA858="N/A","Sin marco",IFERROR(INDEX('Datos - TIMSS 2023'!$C$5:$C$105,MATCH(AA858,'Datos - TIMSS 2023'!$A$5:$A$105,0)),"Pendiente de clasificar")))</f>
        <v/>
      </c>
      <c r="AD858" s="11" t="inlineStr">
        <is>
          <t>1. Explicar fenómenos científicamente</t>
        </is>
      </c>
      <c r="AE858" s="11">
        <f>IF(AD858="","",IF(LEFT(AD858,1)="1","C1",IF(LEFT(AD858,1)="2","C2",IF(LEFT(AD858,1)="3","C3",""))))</f>
        <v/>
      </c>
      <c r="AF858" s="11" t="inlineStr">
        <is>
          <t>E1</t>
        </is>
      </c>
      <c r="AG858" s="11" t="inlineStr">
        <is>
          <t>E3</t>
        </is>
      </c>
      <c r="AH858" s="11" t="inlineStr">
        <is>
          <t>E1</t>
        </is>
      </c>
      <c r="AI858" s="11" t="inlineStr">
        <is>
          <t>D4</t>
        </is>
      </c>
      <c r="AJ858" s="11" t="inlineStr">
        <is>
          <t>I5</t>
        </is>
      </c>
      <c r="AK858" s="11" t="n"/>
      <c r="AL858" s="11" t="n"/>
      <c r="AM858" s="11" t="n"/>
      <c r="AN858" s="11" t="n"/>
      <c r="AO858" s="11" t="n"/>
      <c r="AP858" s="11" t="n"/>
      <c r="AQ858" s="11" t="n"/>
      <c r="AR858" s="11" t="n"/>
      <c r="AS858" s="11" t="n"/>
      <c r="AT858" s="11" t="n"/>
      <c r="AU858" s="11" t="n"/>
      <c r="AV858" s="11" t="n"/>
      <c r="AW858" s="11">
        <f>AF858&amp;"; "&amp;AG858&amp;"; "&amp;AH858&amp;"; "&amp;AI858&amp;"; "&amp;AJ858</f>
        <v/>
      </c>
    </row>
    <row r="859">
      <c r="A859" s="11" t="inlineStr">
        <is>
          <t>T0395-G11-FÍS</t>
        </is>
      </c>
      <c r="B859" s="11" t="n">
        <v>11</v>
      </c>
      <c r="C859" s="11" t="inlineStr">
        <is>
          <t>Física</t>
        </is>
      </c>
      <c r="D859" s="11" t="inlineStr">
        <is>
          <t>Matriz_Bachillerato_Fisica_10_11.xlsx</t>
        </is>
      </c>
      <c r="E859" s="11" t="inlineStr">
        <is>
          <t>Física 11.°</t>
        </is>
      </c>
      <c r="F859" s="11" t="n">
        <v>114</v>
      </c>
      <c r="G859" s="11" t="inlineStr">
        <is>
          <t>18. Naturaleza ondulatoria de la luz</t>
        </is>
      </c>
      <c r="H859" s="11" t="inlineStr">
        <is>
          <t>Difracción</t>
        </is>
      </c>
      <c r="I859" s="38" t="inlineStr">
        <is>
          <t>18.6. Determinación de la separación entre pistas de discos CD y DVD usándolos como redes de difracción por reflexión.</t>
        </is>
      </c>
      <c r="J859" s="11" t="inlineStr">
        <is>
          <t>TA</t>
        </is>
      </c>
      <c r="K859" s="11" t="inlineStr">
        <is>
          <t>TA-O1.4</t>
        </is>
      </c>
      <c r="L859" s="11" t="inlineStr"/>
      <c r="M859" s="11">
        <f>IF(K859="FUERA","Fuera del marco",IF(K859="N/A","Sin marco",IFERROR(INDEX('Datos - Catálogo TIMSS'!$C$5:$C$107,MATCH(K859,'Datos - Catálogo TIMSS'!$A$5:$A$107,0)),"Pendiente de clasificar")))</f>
        <v/>
      </c>
      <c r="N859" s="11">
        <f>IF(K859="FUERA","Fuera del marco",IF(K859="N/A","Sin marco",IFERROR(INDEX('Datos - Catálogo TIMSS'!$F$5:$F$107,MATCH(K859,'Datos - Catálogo TIMSS'!$A$5:$A$107,0)),"Pendiente de clasificar")))</f>
        <v/>
      </c>
      <c r="O859" s="11">
        <f>IF(L859="","",IFERROR(INDEX('Datos - Catálogo TIMSS'!$C$5:$C$107,MATCH(L859,'Datos - Catálogo TIMSS'!$A$5:$A$107,0)),"?"))</f>
        <v/>
      </c>
      <c r="P859" s="11" t="inlineStr">
        <is>
          <t>alta</t>
        </is>
      </c>
      <c r="Q859" s="38" t="inlineStr">
        <is>
          <t>Red de difracción y espectroscopia</t>
        </is>
      </c>
      <c r="R859" s="38" t="inlineStr">
        <is>
          <t>Aplicar: calcular separaciones de líneas. Razonar: relacionar la separación con la capacidad de almacenamiento</t>
        </is>
      </c>
      <c r="S859" s="39">
        <f>IFERROR(ISNUMBER(SEARCH("Conocer",$R859))/(ISNUMBER(SEARCH("Conocer",$R859))+ISNUMBER(SEARCH("Aplicar",$R859))+ISNUMBER(SEARCH("Razonar",$R859))),0)</f>
        <v/>
      </c>
      <c r="T859" s="39">
        <f>IFERROR(ISNUMBER(SEARCH("Aplicar",$R859))/(ISNUMBER(SEARCH("Conocer",$R859))+ISNUMBER(SEARCH("Aplicar",$R859))+ISNUMBER(SEARCH("Razonar",$R859))),0)</f>
        <v/>
      </c>
      <c r="U859" s="39">
        <f>IFERROR(ISNUMBER(SEARCH("Razonar",$R859))/(ISNUMBER(SEARCH("Conocer",$R859))+ISNUMBER(SEARCH("Aplicar",$R859))+ISNUMBER(SEARCH("Razonar",$R859))),0)</f>
        <v/>
      </c>
      <c r="V859" s="11" t="inlineStr">
        <is>
          <t>Física 11°</t>
        </is>
      </c>
      <c r="W859" s="11" t="inlineStr">
        <is>
          <t>Física 10°–11°</t>
        </is>
      </c>
      <c r="X859" s="11">
        <f>IF(OR(IFERROR(INDEX('Datos - Catálogo TIMSS'!$I$5:$I$107,MATCH(K859,'Datos - Catálogo TIMSS'!$A$5:$A$107,0)),"No")="Sí",IFERROR(INDEX('Datos - Catálogo TIMSS'!$I$5:$I$107,MATCH(L859,'Datos - Catálogo TIMSS'!$A$5:$A$107,0)),"No")="Sí"),1,0)</f>
        <v/>
      </c>
      <c r="Y859" s="11">
        <f>IF(IFERROR(INDEX('Datos - Catálogo TIMSS'!$J$5:$J$107,MATCH(K859,'Datos - Catálogo TIMSS'!$A$5:$A$107,0)),"No")="Sí",1,0)</f>
        <v/>
      </c>
      <c r="Z859" s="11">
        <f>IF(IFERROR(INDEX('Datos - Catálogo TIMSS'!$J$5:$J$107,MATCH(L859,'Datos - Catálogo TIMSS'!$A$5:$A$107,0)),"No")="Sí",1,0)</f>
        <v/>
      </c>
      <c r="AA859" s="11" t="inlineStr">
        <is>
          <t>TA-O1.4</t>
        </is>
      </c>
      <c r="AB859" s="11" t="inlineStr"/>
      <c r="AC859" s="11">
        <f>IF(AA859="FUERA","Fuera del marco",IF(AA859="N/A","Sin marco",IFERROR(INDEX('Datos - TIMSS 2023'!$C$5:$C$105,MATCH(AA859,'Datos - TIMSS 2023'!$A$5:$A$105,0)),"Pendiente de clasificar")))</f>
        <v/>
      </c>
      <c r="AD859" s="11" t="inlineStr">
        <is>
          <t>2. Construir y evaluar diseños para la indagación científica e interpretar datos y evidencia de forma crítica</t>
        </is>
      </c>
      <c r="AE859" s="11">
        <f>IF(AD859="","",IF(LEFT(AD859,1)="1","C1",IF(LEFT(AD859,1)="2","C2",IF(LEFT(AD859,1)="3","C3",""))))</f>
        <v/>
      </c>
      <c r="AF859" s="11" t="inlineStr">
        <is>
          <t>E6</t>
        </is>
      </c>
      <c r="AG859" s="11" t="inlineStr">
        <is>
          <t>E5</t>
        </is>
      </c>
      <c r="AH859" s="11" t="inlineStr">
        <is>
          <t>E2</t>
        </is>
      </c>
      <c r="AI859" s="11" t="inlineStr">
        <is>
          <t>D4</t>
        </is>
      </c>
      <c r="AJ859" s="11" t="inlineStr">
        <is>
          <t>E3</t>
        </is>
      </c>
      <c r="AK859" s="11" t="n"/>
      <c r="AL859" s="11" t="n"/>
      <c r="AM859" s="11" t="n"/>
      <c r="AN859" s="11" t="n"/>
      <c r="AO859" s="11" t="n"/>
      <c r="AP859" s="11" t="n"/>
      <c r="AQ859" s="11" t="n"/>
      <c r="AR859" s="11" t="n"/>
      <c r="AS859" s="11" t="n"/>
      <c r="AT859" s="11" t="n"/>
      <c r="AU859" s="11" t="n"/>
      <c r="AV859" s="11" t="n"/>
      <c r="AW859" s="11">
        <f>AF859&amp;"; "&amp;AG859&amp;"; "&amp;AH859&amp;"; "&amp;AI859&amp;"; "&amp;AJ859</f>
        <v/>
      </c>
    </row>
    <row r="860">
      <c r="A860" s="11" t="inlineStr">
        <is>
          <t>T0396-G11-FÍS</t>
        </is>
      </c>
      <c r="B860" s="11" t="n">
        <v>11</v>
      </c>
      <c r="C860" s="11" t="inlineStr">
        <is>
          <t>Física</t>
        </is>
      </c>
      <c r="D860" s="11" t="inlineStr">
        <is>
          <t>Matriz_Bachillerato_Fisica_10_11.xlsx</t>
        </is>
      </c>
      <c r="E860" s="11" t="inlineStr">
        <is>
          <t>Física 11.°</t>
        </is>
      </c>
      <c r="F860" s="11" t="n">
        <v>115</v>
      </c>
      <c r="G860" s="11" t="inlineStr">
        <is>
          <t>18. Naturaleza ondulatoria de la luz</t>
        </is>
      </c>
      <c r="H860" s="11" t="inlineStr">
        <is>
          <t>Difracción de rayos X</t>
        </is>
      </c>
      <c r="I860" s="38" t="inlineStr">
        <is>
          <t>18.7. Aplicación de la ley de Bragg para calcular la separación entre planos cristalinos a partir de datos de difracción de rayos X.</t>
        </is>
      </c>
      <c r="J860" s="11" t="inlineStr">
        <is>
          <t>TA</t>
        </is>
      </c>
      <c r="K860" s="11" t="inlineStr">
        <is>
          <t>TA-O1.4</t>
        </is>
      </c>
      <c r="L860" s="11" t="inlineStr"/>
      <c r="M860" s="11">
        <f>IF(K860="FUERA","Fuera del marco",IF(K860="N/A","Sin marco",IFERROR(INDEX('Datos - Catálogo TIMSS'!$C$5:$C$107,MATCH(K860,'Datos - Catálogo TIMSS'!$A$5:$A$107,0)),"Pendiente de clasificar")))</f>
        <v/>
      </c>
      <c r="N860" s="11">
        <f>IF(K860="FUERA","Fuera del marco",IF(K860="N/A","Sin marco",IFERROR(INDEX('Datos - Catálogo TIMSS'!$F$5:$F$107,MATCH(K860,'Datos - Catálogo TIMSS'!$A$5:$A$107,0)),"Pendiente de clasificar")))</f>
        <v/>
      </c>
      <c r="O860" s="11">
        <f>IF(L860="","",IFERROR(INDEX('Datos - Catálogo TIMSS'!$C$5:$C$107,MATCH(L860,'Datos - Catálogo TIMSS'!$A$5:$A$107,0)),"?"))</f>
        <v/>
      </c>
      <c r="P860" s="11" t="inlineStr">
        <is>
          <t>alta</t>
        </is>
      </c>
      <c r="Q860" s="38" t="inlineStr">
        <is>
          <t>Difracción de rayos X: ley de Bragg</t>
        </is>
      </c>
      <c r="R860" s="38" t="inlineStr">
        <is>
          <t>Aplicar: calcular separaciones interplanares. Razonar: justificar el uso de rayos X y sus aplicaciones</t>
        </is>
      </c>
      <c r="S860" s="39">
        <f>IFERROR(ISNUMBER(SEARCH("Conocer",$R860))/(ISNUMBER(SEARCH("Conocer",$R860))+ISNUMBER(SEARCH("Aplicar",$R860))+ISNUMBER(SEARCH("Razonar",$R860))),0)</f>
        <v/>
      </c>
      <c r="T860" s="39">
        <f>IFERROR(ISNUMBER(SEARCH("Aplicar",$R860))/(ISNUMBER(SEARCH("Conocer",$R860))+ISNUMBER(SEARCH("Aplicar",$R860))+ISNUMBER(SEARCH("Razonar",$R860))),0)</f>
        <v/>
      </c>
      <c r="U860" s="39">
        <f>IFERROR(ISNUMBER(SEARCH("Razonar",$R860))/(ISNUMBER(SEARCH("Conocer",$R860))+ISNUMBER(SEARCH("Aplicar",$R860))+ISNUMBER(SEARCH("Razonar",$R860))),0)</f>
        <v/>
      </c>
      <c r="V860" s="11" t="inlineStr">
        <is>
          <t>Física 11°</t>
        </is>
      </c>
      <c r="W860" s="11" t="inlineStr">
        <is>
          <t>Física 10°–11°</t>
        </is>
      </c>
      <c r="X860" s="11">
        <f>IF(OR(IFERROR(INDEX('Datos - Catálogo TIMSS'!$I$5:$I$107,MATCH(K860,'Datos - Catálogo TIMSS'!$A$5:$A$107,0)),"No")="Sí",IFERROR(INDEX('Datos - Catálogo TIMSS'!$I$5:$I$107,MATCH(L860,'Datos - Catálogo TIMSS'!$A$5:$A$107,0)),"No")="Sí"),1,0)</f>
        <v/>
      </c>
      <c r="Y860" s="11">
        <f>IF(IFERROR(INDEX('Datos - Catálogo TIMSS'!$J$5:$J$107,MATCH(K860,'Datos - Catálogo TIMSS'!$A$5:$A$107,0)),"No")="Sí",1,0)</f>
        <v/>
      </c>
      <c r="Z860" s="11">
        <f>IF(IFERROR(INDEX('Datos - Catálogo TIMSS'!$J$5:$J$107,MATCH(L860,'Datos - Catálogo TIMSS'!$A$5:$A$107,0)),"No")="Sí",1,0)</f>
        <v/>
      </c>
      <c r="AA860" s="11" t="inlineStr">
        <is>
          <t>TA-O1.4</t>
        </is>
      </c>
      <c r="AB860" s="11" t="inlineStr"/>
      <c r="AC860" s="11">
        <f>IF(AA860="FUERA","Fuera del marco",IF(AA860="N/A","Sin marco",IFERROR(INDEX('Datos - TIMSS 2023'!$C$5:$C$105,MATCH(AA860,'Datos - TIMSS 2023'!$A$5:$A$105,0)),"Pendiente de clasificar")))</f>
        <v/>
      </c>
      <c r="AD860" s="11" t="inlineStr">
        <is>
          <t>3. Investigar, evaluar y usar información científica para tomar decisiones y actuar</t>
        </is>
      </c>
      <c r="AE860" s="11">
        <f>IF(AD860="","",IF(LEFT(AD860,1)="1","C1",IF(LEFT(AD860,1)="2","C2",IF(LEFT(AD860,1)="3","C3",""))))</f>
        <v/>
      </c>
      <c r="AF860" s="11" t="inlineStr">
        <is>
          <t>E6</t>
        </is>
      </c>
      <c r="AG860" s="11" t="inlineStr">
        <is>
          <t>E3</t>
        </is>
      </c>
      <c r="AH860" s="11" t="inlineStr">
        <is>
          <t>E4</t>
        </is>
      </c>
      <c r="AI860" s="11" t="inlineStr">
        <is>
          <t>I1</t>
        </is>
      </c>
      <c r="AJ860" s="11" t="inlineStr">
        <is>
          <t>I5</t>
        </is>
      </c>
      <c r="AK860" s="11" t="n"/>
      <c r="AL860" s="11" t="n"/>
      <c r="AM860" s="11" t="n"/>
      <c r="AN860" s="11" t="n"/>
      <c r="AO860" s="11" t="n"/>
      <c r="AP860" s="11" t="n"/>
      <c r="AQ860" s="11" t="n"/>
      <c r="AR860" s="11" t="n"/>
      <c r="AS860" s="11" t="n"/>
      <c r="AT860" s="11" t="n"/>
      <c r="AU860" s="11" t="n"/>
      <c r="AV860" s="11" t="n"/>
      <c r="AW860" s="11">
        <f>AF860&amp;"; "&amp;AG860&amp;"; "&amp;AH860&amp;"; "&amp;AI860&amp;"; "&amp;AJ860</f>
        <v/>
      </c>
    </row>
    <row r="861">
      <c r="A861" s="11" t="inlineStr">
        <is>
          <t>T0397-G11-FÍS</t>
        </is>
      </c>
      <c r="B861" s="11" t="n">
        <v>11</v>
      </c>
      <c r="C861" s="11" t="inlineStr">
        <is>
          <t>Física</t>
        </is>
      </c>
      <c r="D861" s="11" t="inlineStr">
        <is>
          <t>Matriz_Bachillerato_Fisica_10_11.xlsx</t>
        </is>
      </c>
      <c r="E861" s="11" t="inlineStr">
        <is>
          <t>Física 11.°</t>
        </is>
      </c>
      <c r="F861" s="11" t="n">
        <v>116</v>
      </c>
      <c r="G861" s="11" t="inlineStr">
        <is>
          <t>19. Relatividad</t>
        </is>
      </c>
      <c r="H861" s="11" t="inlineStr">
        <is>
          <t>Postulados de la relatividad especial</t>
        </is>
      </c>
      <c r="I861" s="38" t="inlineStr">
        <is>
          <t>19.1. Análisis de los dos postulados de Einstein y de su contradicción con la suma galileana de velocidades aplicada a la luz.</t>
        </is>
      </c>
      <c r="J861" s="11" t="inlineStr">
        <is>
          <t>TA</t>
        </is>
      </c>
      <c r="K861" s="11" t="inlineStr">
        <is>
          <t>FUERA</t>
        </is>
      </c>
      <c r="L861" s="11" t="inlineStr"/>
      <c r="M861" s="11">
        <f>IF(K861="FUERA","Fuera del marco",IF(K861="N/A","Sin marco",IFERROR(INDEX('Datos - Catálogo TIMSS'!$C$5:$C$107,MATCH(K861,'Datos - Catálogo TIMSS'!$A$5:$A$107,0)),"Pendiente de clasificar")))</f>
        <v/>
      </c>
      <c r="N861" s="11">
        <f>IF(K861="FUERA","Fuera del marco",IF(K861="N/A","Sin marco",IFERROR(INDEX('Datos - Catálogo TIMSS'!$F$5:$F$107,MATCH(K861,'Datos - Catálogo TIMSS'!$A$5:$A$107,0)),"Pendiente de clasificar")))</f>
        <v/>
      </c>
      <c r="O861" s="11">
        <f>IF(L861="","",IFERROR(INDEX('Datos - Catálogo TIMSS'!$C$5:$C$107,MATCH(L861,'Datos - Catálogo TIMSS'!$A$5:$A$107,0)),"?"))</f>
        <v/>
      </c>
      <c r="P861" s="11" t="inlineStr">
        <is>
          <t>alta</t>
        </is>
      </c>
      <c r="Q861" s="38" t="inlineStr">
        <is>
          <t>Postulados de relatividad especial fuera del marco</t>
        </is>
      </c>
      <c r="R861" s="38" t="inlineStr">
        <is>
          <t>Conocer: enunciar los postulados. Razonar: justificar la ruptura con la mecánica clásica</t>
        </is>
      </c>
      <c r="S861" s="39">
        <f>IFERROR(ISNUMBER(SEARCH("Conocer",$R861))/(ISNUMBER(SEARCH("Conocer",$R861))+ISNUMBER(SEARCH("Aplicar",$R861))+ISNUMBER(SEARCH("Razonar",$R861))),0)</f>
        <v/>
      </c>
      <c r="T861" s="39">
        <f>IFERROR(ISNUMBER(SEARCH("Aplicar",$R861))/(ISNUMBER(SEARCH("Conocer",$R861))+ISNUMBER(SEARCH("Aplicar",$R861))+ISNUMBER(SEARCH("Razonar",$R861))),0)</f>
        <v/>
      </c>
      <c r="U861" s="39">
        <f>IFERROR(ISNUMBER(SEARCH("Razonar",$R861))/(ISNUMBER(SEARCH("Conocer",$R861))+ISNUMBER(SEARCH("Aplicar",$R861))+ISNUMBER(SEARCH("Razonar",$R861))),0)</f>
        <v/>
      </c>
      <c r="V861" s="11" t="inlineStr">
        <is>
          <t>Física 11°</t>
        </is>
      </c>
      <c r="W861" s="11" t="inlineStr">
        <is>
          <t>Física 10°–11°</t>
        </is>
      </c>
      <c r="X861" s="11">
        <f>IF(OR(IFERROR(INDEX('Datos - Catálogo TIMSS'!$I$5:$I$107,MATCH(K861,'Datos - Catálogo TIMSS'!$A$5:$A$107,0)),"No")="Sí",IFERROR(INDEX('Datos - Catálogo TIMSS'!$I$5:$I$107,MATCH(L861,'Datos - Catálogo TIMSS'!$A$5:$A$107,0)),"No")="Sí"),1,0)</f>
        <v/>
      </c>
      <c r="Y861" s="11">
        <f>IF(IFERROR(INDEX('Datos - Catálogo TIMSS'!$J$5:$J$107,MATCH(K861,'Datos - Catálogo TIMSS'!$A$5:$A$107,0)),"No")="Sí",1,0)</f>
        <v/>
      </c>
      <c r="Z861" s="11">
        <f>IF(IFERROR(INDEX('Datos - Catálogo TIMSS'!$J$5:$J$107,MATCH(L861,'Datos - Catálogo TIMSS'!$A$5:$A$107,0)),"No")="Sí",1,0)</f>
        <v/>
      </c>
      <c r="AA861" s="11" t="inlineStr">
        <is>
          <t>FUERA</t>
        </is>
      </c>
      <c r="AB861" s="11" t="inlineStr"/>
      <c r="AC861" s="11">
        <f>IF(AA861="FUERA","Fuera del marco",IF(AA861="N/A","Sin marco",IFERROR(INDEX('Datos - TIMSS 2023'!$C$5:$C$105,MATCH(AA861,'Datos - TIMSS 2023'!$A$5:$A$105,0)),"Pendiente de clasificar")))</f>
        <v/>
      </c>
      <c r="AD861" s="11" t="inlineStr">
        <is>
          <t>1. Explicar fenómenos científicamente</t>
        </is>
      </c>
      <c r="AE861" s="11">
        <f>IF(AD861="","",IF(LEFT(AD861,1)="1","C1",IF(LEFT(AD861,1)="2","C2",IF(LEFT(AD861,1)="3","C3",""))))</f>
        <v/>
      </c>
      <c r="AF861" s="11" t="inlineStr">
        <is>
          <t>E1</t>
        </is>
      </c>
      <c r="AG861" s="11" t="inlineStr">
        <is>
          <t>D1</t>
        </is>
      </c>
      <c r="AH861" s="11" t="inlineStr">
        <is>
          <t>E4</t>
        </is>
      </c>
      <c r="AI861" s="11" t="inlineStr">
        <is>
          <t>I1</t>
        </is>
      </c>
      <c r="AJ861" s="11" t="inlineStr">
        <is>
          <t>E3</t>
        </is>
      </c>
      <c r="AK861" s="11" t="n"/>
      <c r="AL861" s="11" t="n"/>
      <c r="AM861" s="11" t="n"/>
      <c r="AN861" s="11" t="n"/>
      <c r="AO861" s="11" t="n"/>
      <c r="AP861" s="11" t="n"/>
      <c r="AQ861" s="11" t="n"/>
      <c r="AR861" s="11" t="n"/>
      <c r="AS861" s="11" t="n"/>
      <c r="AT861" s="11" t="n"/>
      <c r="AU861" s="11" t="n"/>
      <c r="AV861" s="11" t="n"/>
      <c r="AW861" s="11">
        <f>AF861&amp;"; "&amp;AG861&amp;"; "&amp;AH861&amp;"; "&amp;AI861&amp;"; "&amp;AJ861</f>
        <v/>
      </c>
    </row>
    <row r="862">
      <c r="A862" s="11" t="inlineStr">
        <is>
          <t>T0398-G11-FÍS</t>
        </is>
      </c>
      <c r="B862" s="11" t="n">
        <v>11</v>
      </c>
      <c r="C862" s="11" t="inlineStr">
        <is>
          <t>Física</t>
        </is>
      </c>
      <c r="D862" s="11" t="inlineStr">
        <is>
          <t>Matriz_Bachillerato_Fisica_10_11.xlsx</t>
        </is>
      </c>
      <c r="E862" s="11" t="inlineStr">
        <is>
          <t>Física 11.°</t>
        </is>
      </c>
      <c r="F862" s="11" t="n">
        <v>117</v>
      </c>
      <c r="G862" s="11" t="inlineStr">
        <is>
          <t>19. Relatividad</t>
        </is>
      </c>
      <c r="H862" s="11" t="inlineStr">
        <is>
          <t>Consecuencias en el tiempo</t>
        </is>
      </c>
      <c r="I862" s="38" t="inlineStr">
        <is>
          <t>19.2. Cálculo del intervalo de tiempo dilatado mediante el factor de Lorentz en relojes que se mueven a gran rapidez.</t>
        </is>
      </c>
      <c r="J862" s="11" t="inlineStr">
        <is>
          <t>TA</t>
        </is>
      </c>
      <c r="K862" s="11" t="inlineStr">
        <is>
          <t>FUERA</t>
        </is>
      </c>
      <c r="L862" s="11" t="inlineStr"/>
      <c r="M862" s="11">
        <f>IF(K862="FUERA","Fuera del marco",IF(K862="N/A","Sin marco",IFERROR(INDEX('Datos - Catálogo TIMSS'!$C$5:$C$107,MATCH(K862,'Datos - Catálogo TIMSS'!$A$5:$A$107,0)),"Pendiente de clasificar")))</f>
        <v/>
      </c>
      <c r="N862" s="11">
        <f>IF(K862="FUERA","Fuera del marco",IF(K862="N/A","Sin marco",IFERROR(INDEX('Datos - Catálogo TIMSS'!$F$5:$F$107,MATCH(K862,'Datos - Catálogo TIMSS'!$A$5:$A$107,0)),"Pendiente de clasificar")))</f>
        <v/>
      </c>
      <c r="O862" s="11">
        <f>IF(L862="","",IFERROR(INDEX('Datos - Catálogo TIMSS'!$C$5:$C$107,MATCH(L862,'Datos - Catálogo TIMSS'!$A$5:$A$107,0)),"?"))</f>
        <v/>
      </c>
      <c r="P862" s="11" t="inlineStr">
        <is>
          <t>alta</t>
        </is>
      </c>
      <c r="Q862" s="38" t="inlineStr">
        <is>
          <t>Dilatación del tiempo relativista fuera del marco</t>
        </is>
      </c>
      <c r="R862" s="38" t="inlineStr">
        <is>
          <t>Aplicar: calcular γ y Δt. Razonar: justificar con datos experimentales</t>
        </is>
      </c>
      <c r="S862" s="39">
        <f>IFERROR(ISNUMBER(SEARCH("Conocer",$R862))/(ISNUMBER(SEARCH("Conocer",$R862))+ISNUMBER(SEARCH("Aplicar",$R862))+ISNUMBER(SEARCH("Razonar",$R862))),0)</f>
        <v/>
      </c>
      <c r="T862" s="39">
        <f>IFERROR(ISNUMBER(SEARCH("Aplicar",$R862))/(ISNUMBER(SEARCH("Conocer",$R862))+ISNUMBER(SEARCH("Aplicar",$R862))+ISNUMBER(SEARCH("Razonar",$R862))),0)</f>
        <v/>
      </c>
      <c r="U862" s="39">
        <f>IFERROR(ISNUMBER(SEARCH("Razonar",$R862))/(ISNUMBER(SEARCH("Conocer",$R862))+ISNUMBER(SEARCH("Aplicar",$R862))+ISNUMBER(SEARCH("Razonar",$R862))),0)</f>
        <v/>
      </c>
      <c r="V862" s="11" t="inlineStr">
        <is>
          <t>Física 11°</t>
        </is>
      </c>
      <c r="W862" s="11" t="inlineStr">
        <is>
          <t>Física 10°–11°</t>
        </is>
      </c>
      <c r="X862" s="11">
        <f>IF(OR(IFERROR(INDEX('Datos - Catálogo TIMSS'!$I$5:$I$107,MATCH(K862,'Datos - Catálogo TIMSS'!$A$5:$A$107,0)),"No")="Sí",IFERROR(INDEX('Datos - Catálogo TIMSS'!$I$5:$I$107,MATCH(L862,'Datos - Catálogo TIMSS'!$A$5:$A$107,0)),"No")="Sí"),1,0)</f>
        <v/>
      </c>
      <c r="Y862" s="11">
        <f>IF(IFERROR(INDEX('Datos - Catálogo TIMSS'!$J$5:$J$107,MATCH(K862,'Datos - Catálogo TIMSS'!$A$5:$A$107,0)),"No")="Sí",1,0)</f>
        <v/>
      </c>
      <c r="Z862" s="11">
        <f>IF(IFERROR(INDEX('Datos - Catálogo TIMSS'!$J$5:$J$107,MATCH(L862,'Datos - Catálogo TIMSS'!$A$5:$A$107,0)),"No")="Sí",1,0)</f>
        <v/>
      </c>
      <c r="AA862" s="11" t="inlineStr">
        <is>
          <t>FUERA</t>
        </is>
      </c>
      <c r="AB862" s="11" t="inlineStr"/>
      <c r="AC862" s="11">
        <f>IF(AA862="FUERA","Fuera del marco",IF(AA862="N/A","Sin marco",IFERROR(INDEX('Datos - TIMSS 2023'!$C$5:$C$105,MATCH(AA862,'Datos - TIMSS 2023'!$A$5:$A$105,0)),"Pendiente de clasificar")))</f>
        <v/>
      </c>
      <c r="AD862" s="11" t="inlineStr">
        <is>
          <t>1. Explicar fenómenos científicamente</t>
        </is>
      </c>
      <c r="AE862" s="11">
        <f>IF(AD862="","",IF(LEFT(AD862,1)="1","C1",IF(LEFT(AD862,1)="2","C2",IF(LEFT(AD862,1)="3","C3",""))))</f>
        <v/>
      </c>
      <c r="AF862" s="11" t="inlineStr">
        <is>
          <t>E1</t>
        </is>
      </c>
      <c r="AG862" s="11" t="inlineStr">
        <is>
          <t>E3</t>
        </is>
      </c>
      <c r="AH862" s="11" t="inlineStr">
        <is>
          <t>E2</t>
        </is>
      </c>
      <c r="AI862" s="11" t="inlineStr">
        <is>
          <t>D4</t>
        </is>
      </c>
      <c r="AJ862" s="11" t="inlineStr">
        <is>
          <t>I5</t>
        </is>
      </c>
      <c r="AK862" s="11" t="n"/>
      <c r="AL862" s="11" t="n"/>
      <c r="AM862" s="11" t="n"/>
      <c r="AN862" s="11" t="n"/>
      <c r="AO862" s="11" t="n"/>
      <c r="AP862" s="11" t="n"/>
      <c r="AQ862" s="11" t="n"/>
      <c r="AR862" s="11" t="n"/>
      <c r="AS862" s="11" t="n"/>
      <c r="AT862" s="11" t="n"/>
      <c r="AU862" s="11" t="n"/>
      <c r="AV862" s="11" t="n"/>
      <c r="AW862" s="11">
        <f>AF862&amp;"; "&amp;AG862&amp;"; "&amp;AH862&amp;"; "&amp;AI862&amp;"; "&amp;AJ862</f>
        <v/>
      </c>
    </row>
    <row r="863">
      <c r="A863" s="11" t="inlineStr">
        <is>
          <t>T0399-G11-FÍS</t>
        </is>
      </c>
      <c r="B863" s="11" t="n">
        <v>11</v>
      </c>
      <c r="C863" s="11" t="inlineStr">
        <is>
          <t>Física</t>
        </is>
      </c>
      <c r="D863" s="11" t="inlineStr">
        <is>
          <t>Matriz_Bachillerato_Fisica_10_11.xlsx</t>
        </is>
      </c>
      <c r="E863" s="11" t="inlineStr">
        <is>
          <t>Física 11.°</t>
        </is>
      </c>
      <c r="F863" s="11" t="n">
        <v>118</v>
      </c>
      <c r="G863" s="11" t="inlineStr">
        <is>
          <t>19. Relatividad</t>
        </is>
      </c>
      <c r="H863" s="11" t="inlineStr">
        <is>
          <t>Dinámica relativista</t>
        </is>
      </c>
      <c r="I863" s="38" t="inlineStr">
        <is>
          <t>19.3. Comparación del momento clásico y el momento relativista de partículas aceleradas a rapideces próximas a la de la luz.</t>
        </is>
      </c>
      <c r="J863" s="11" t="inlineStr">
        <is>
          <t>TA</t>
        </is>
      </c>
      <c r="K863" s="11" t="inlineStr">
        <is>
          <t>FUERA</t>
        </is>
      </c>
      <c r="L863" s="11" t="inlineStr"/>
      <c r="M863" s="11">
        <f>IF(K863="FUERA","Fuera del marco",IF(K863="N/A","Sin marco",IFERROR(INDEX('Datos - Catálogo TIMSS'!$C$5:$C$107,MATCH(K863,'Datos - Catálogo TIMSS'!$A$5:$A$107,0)),"Pendiente de clasificar")))</f>
        <v/>
      </c>
      <c r="N863" s="11">
        <f>IF(K863="FUERA","Fuera del marco",IF(K863="N/A","Sin marco",IFERROR(INDEX('Datos - Catálogo TIMSS'!$F$5:$F$107,MATCH(K863,'Datos - Catálogo TIMSS'!$A$5:$A$107,0)),"Pendiente de clasificar")))</f>
        <v/>
      </c>
      <c r="O863" s="11">
        <f>IF(L863="","",IFERROR(INDEX('Datos - Catálogo TIMSS'!$C$5:$C$107,MATCH(L863,'Datos - Catálogo TIMSS'!$A$5:$A$107,0)),"?"))</f>
        <v/>
      </c>
      <c r="P863" s="11" t="inlineStr">
        <is>
          <t>media</t>
        </is>
      </c>
      <c r="Q863" s="38" t="inlineStr">
        <is>
          <t>Momento relativista fuera del marco</t>
        </is>
      </c>
      <c r="R863" s="38" t="inlineStr">
        <is>
          <t>Aplicar: calcular momentos. Razonar: comparar modelos clásico y relativista</t>
        </is>
      </c>
      <c r="S863" s="39">
        <f>IFERROR(ISNUMBER(SEARCH("Conocer",$R863))/(ISNUMBER(SEARCH("Conocer",$R863))+ISNUMBER(SEARCH("Aplicar",$R863))+ISNUMBER(SEARCH("Razonar",$R863))),0)</f>
        <v/>
      </c>
      <c r="T863" s="39">
        <f>IFERROR(ISNUMBER(SEARCH("Aplicar",$R863))/(ISNUMBER(SEARCH("Conocer",$R863))+ISNUMBER(SEARCH("Aplicar",$R863))+ISNUMBER(SEARCH("Razonar",$R863))),0)</f>
        <v/>
      </c>
      <c r="U863" s="39">
        <f>IFERROR(ISNUMBER(SEARCH("Razonar",$R863))/(ISNUMBER(SEARCH("Conocer",$R863))+ISNUMBER(SEARCH("Aplicar",$R863))+ISNUMBER(SEARCH("Razonar",$R863))),0)</f>
        <v/>
      </c>
      <c r="V863" s="11" t="inlineStr">
        <is>
          <t>Física 11°</t>
        </is>
      </c>
      <c r="W863" s="11" t="inlineStr">
        <is>
          <t>Física 10°–11°</t>
        </is>
      </c>
      <c r="X863" s="11">
        <f>IF(OR(IFERROR(INDEX('Datos - Catálogo TIMSS'!$I$5:$I$107,MATCH(K863,'Datos - Catálogo TIMSS'!$A$5:$A$107,0)),"No")="Sí",IFERROR(INDEX('Datos - Catálogo TIMSS'!$I$5:$I$107,MATCH(L863,'Datos - Catálogo TIMSS'!$A$5:$A$107,0)),"No")="Sí"),1,0)</f>
        <v/>
      </c>
      <c r="Y863" s="11">
        <f>IF(IFERROR(INDEX('Datos - Catálogo TIMSS'!$J$5:$J$107,MATCH(K863,'Datos - Catálogo TIMSS'!$A$5:$A$107,0)),"No")="Sí",1,0)</f>
        <v/>
      </c>
      <c r="Z863" s="11">
        <f>IF(IFERROR(INDEX('Datos - Catálogo TIMSS'!$J$5:$J$107,MATCH(L863,'Datos - Catálogo TIMSS'!$A$5:$A$107,0)),"No")="Sí",1,0)</f>
        <v/>
      </c>
      <c r="AA863" s="11" t="inlineStr">
        <is>
          <t>FUERA</t>
        </is>
      </c>
      <c r="AB863" s="11" t="inlineStr"/>
      <c r="AC863" s="11">
        <f>IF(AA863="FUERA","Fuera del marco",IF(AA863="N/A","Sin marco",IFERROR(INDEX('Datos - TIMSS 2023'!$C$5:$C$105,MATCH(AA863,'Datos - TIMSS 2023'!$A$5:$A$105,0)),"Pendiente de clasificar")))</f>
        <v/>
      </c>
      <c r="AD863" s="11" t="inlineStr">
        <is>
          <t>1. Explicar fenómenos científicamente</t>
        </is>
      </c>
      <c r="AE863" s="11">
        <f>IF(AD863="","",IF(LEFT(AD863,1)="1","C1",IF(LEFT(AD863,1)="2","C2",IF(LEFT(AD863,1)="3","C3",""))))</f>
        <v/>
      </c>
      <c r="AF863" s="11" t="inlineStr">
        <is>
          <t>E1</t>
        </is>
      </c>
      <c r="AG863" s="11" t="inlineStr">
        <is>
          <t>E5</t>
        </is>
      </c>
      <c r="AH863" s="11" t="inlineStr">
        <is>
          <t>E2</t>
        </is>
      </c>
      <c r="AI863" s="11" t="inlineStr">
        <is>
          <t>E4</t>
        </is>
      </c>
      <c r="AJ863" s="11" t="inlineStr">
        <is>
          <t>E3</t>
        </is>
      </c>
      <c r="AK863" s="11" t="n"/>
      <c r="AL863" s="11" t="n"/>
      <c r="AM863" s="11" t="n"/>
      <c r="AN863" s="11" t="n"/>
      <c r="AO863" s="11" t="n"/>
      <c r="AP863" s="11" t="n"/>
      <c r="AQ863" s="11" t="n"/>
      <c r="AR863" s="11" t="n"/>
      <c r="AS863" s="11" t="n"/>
      <c r="AT863" s="11" t="n"/>
      <c r="AU863" s="11" t="n"/>
      <c r="AV863" s="11" t="n"/>
      <c r="AW863" s="11">
        <f>AF863&amp;"; "&amp;AG863&amp;"; "&amp;AH863&amp;"; "&amp;AI863&amp;"; "&amp;AJ863</f>
        <v/>
      </c>
    </row>
    <row r="864">
      <c r="A864" s="11" t="inlineStr">
        <is>
          <t>T0400-G11-FÍS</t>
        </is>
      </c>
      <c r="B864" s="11" t="n">
        <v>11</v>
      </c>
      <c r="C864" s="11" t="inlineStr">
        <is>
          <t>Física</t>
        </is>
      </c>
      <c r="D864" s="11" t="inlineStr">
        <is>
          <t>Matriz_Bachillerato_Fisica_10_11.xlsx</t>
        </is>
      </c>
      <c r="E864" s="11" t="inlineStr">
        <is>
          <t>Física 11.°</t>
        </is>
      </c>
      <c r="F864" s="11" t="n">
        <v>119</v>
      </c>
      <c r="G864" s="11" t="inlineStr">
        <is>
          <t>19. Relatividad</t>
        </is>
      </c>
      <c r="H864" s="11" t="inlineStr">
        <is>
          <t>Dinámica relativista</t>
        </is>
      </c>
      <c r="I864" s="38" t="inlineStr">
        <is>
          <t>19.4. Aplicación de la equivalencia masa-energía y de la relación E² = (pc)² + (mc²)² en partículas y procesos nucleares.</t>
        </is>
      </c>
      <c r="J864" s="11" t="inlineStr">
        <is>
          <t>TA</t>
        </is>
      </c>
      <c r="K864" s="11" t="inlineStr">
        <is>
          <t>TA-O2.4</t>
        </is>
      </c>
      <c r="L864" s="11" t="inlineStr"/>
      <c r="M864" s="11">
        <f>IF(K864="FUERA","Fuera del marco",IF(K864="N/A","Sin marco",IFERROR(INDEX('Datos - Catálogo TIMSS'!$C$5:$C$107,MATCH(K864,'Datos - Catálogo TIMSS'!$A$5:$A$107,0)),"Pendiente de clasificar")))</f>
        <v/>
      </c>
      <c r="N864" s="11">
        <f>IF(K864="FUERA","Fuera del marco",IF(K864="N/A","Sin marco",IFERROR(INDEX('Datos - Catálogo TIMSS'!$F$5:$F$107,MATCH(K864,'Datos - Catálogo TIMSS'!$A$5:$A$107,0)),"Pendiente de clasificar")))</f>
        <v/>
      </c>
      <c r="O864" s="11">
        <f>IF(L864="","",IFERROR(INDEX('Datos - Catálogo TIMSS'!$C$5:$C$107,MATCH(L864,'Datos - Catálogo TIMSS'!$A$5:$A$107,0)),"?"))</f>
        <v/>
      </c>
      <c r="P864" s="11" t="inlineStr">
        <is>
          <t>media</t>
        </is>
      </c>
      <c r="Q864" s="38" t="inlineStr">
        <is>
          <t>Energía en reposo E=mc² y energía relativista</t>
        </is>
      </c>
      <c r="R864" s="38" t="inlineStr">
        <is>
          <t>Aplicar: calcular energías relativistas. Razonar: justificar el límite clásico</t>
        </is>
      </c>
      <c r="S864" s="39">
        <f>IFERROR(ISNUMBER(SEARCH("Conocer",$R864))/(ISNUMBER(SEARCH("Conocer",$R864))+ISNUMBER(SEARCH("Aplicar",$R864))+ISNUMBER(SEARCH("Razonar",$R864))),0)</f>
        <v/>
      </c>
      <c r="T864" s="39">
        <f>IFERROR(ISNUMBER(SEARCH("Aplicar",$R864))/(ISNUMBER(SEARCH("Conocer",$R864))+ISNUMBER(SEARCH("Aplicar",$R864))+ISNUMBER(SEARCH("Razonar",$R864))),0)</f>
        <v/>
      </c>
      <c r="U864" s="39">
        <f>IFERROR(ISNUMBER(SEARCH("Razonar",$R864))/(ISNUMBER(SEARCH("Conocer",$R864))+ISNUMBER(SEARCH("Aplicar",$R864))+ISNUMBER(SEARCH("Razonar",$R864))),0)</f>
        <v/>
      </c>
      <c r="V864" s="11" t="inlineStr">
        <is>
          <t>Física 11°</t>
        </is>
      </c>
      <c r="W864" s="11" t="inlineStr">
        <is>
          <t>Física 10°–11°</t>
        </is>
      </c>
      <c r="X864" s="11">
        <f>IF(OR(IFERROR(INDEX('Datos - Catálogo TIMSS'!$I$5:$I$107,MATCH(K864,'Datos - Catálogo TIMSS'!$A$5:$A$107,0)),"No")="Sí",IFERROR(INDEX('Datos - Catálogo TIMSS'!$I$5:$I$107,MATCH(L864,'Datos - Catálogo TIMSS'!$A$5:$A$107,0)),"No")="Sí"),1,0)</f>
        <v/>
      </c>
      <c r="Y864" s="11">
        <f>IF(IFERROR(INDEX('Datos - Catálogo TIMSS'!$J$5:$J$107,MATCH(K864,'Datos - Catálogo TIMSS'!$A$5:$A$107,0)),"No")="Sí",1,0)</f>
        <v/>
      </c>
      <c r="Z864" s="11">
        <f>IF(IFERROR(INDEX('Datos - Catálogo TIMSS'!$J$5:$J$107,MATCH(L864,'Datos - Catálogo TIMSS'!$A$5:$A$107,0)),"No")="Sí",1,0)</f>
        <v/>
      </c>
      <c r="AA864" s="11" t="inlineStr">
        <is>
          <t>TA-O2.4</t>
        </is>
      </c>
      <c r="AB864" s="11" t="inlineStr"/>
      <c r="AC864" s="11">
        <f>IF(AA864="FUERA","Fuera del marco",IF(AA864="N/A","Sin marco",IFERROR(INDEX('Datos - TIMSS 2023'!$C$5:$C$105,MATCH(AA864,'Datos - TIMSS 2023'!$A$5:$A$105,0)),"Pendiente de clasificar")))</f>
        <v/>
      </c>
      <c r="AD864" s="11" t="inlineStr">
        <is>
          <t>1. Explicar fenómenos científicamente</t>
        </is>
      </c>
      <c r="AE864" s="11">
        <f>IF(AD864="","",IF(LEFT(AD864,1)="1","C1",IF(LEFT(AD864,1)="2","C2",IF(LEFT(AD864,1)="3","C3",""))))</f>
        <v/>
      </c>
      <c r="AF864" s="11" t="inlineStr">
        <is>
          <t>E6</t>
        </is>
      </c>
      <c r="AG864" s="11" t="inlineStr">
        <is>
          <t>D1</t>
        </is>
      </c>
      <c r="AH864" s="11" t="inlineStr">
        <is>
          <t>E1</t>
        </is>
      </c>
      <c r="AI864" s="11" t="inlineStr">
        <is>
          <t>I3</t>
        </is>
      </c>
      <c r="AJ864" s="11" t="inlineStr">
        <is>
          <t>E3</t>
        </is>
      </c>
      <c r="AK864" s="11" t="n"/>
      <c r="AL864" s="11" t="n"/>
      <c r="AM864" s="11" t="n"/>
      <c r="AN864" s="11" t="n"/>
      <c r="AO864" s="11" t="n"/>
      <c r="AP864" s="11" t="n"/>
      <c r="AQ864" s="11" t="n"/>
      <c r="AR864" s="11" t="n"/>
      <c r="AS864" s="11" t="n"/>
      <c r="AT864" s="11" t="n"/>
      <c r="AU864" s="11" t="n"/>
      <c r="AV864" s="11" t="n"/>
      <c r="AW864" s="11">
        <f>AF864&amp;"; "&amp;AG864&amp;"; "&amp;AH864&amp;"; "&amp;AI864&amp;"; "&amp;AJ864</f>
        <v/>
      </c>
    </row>
    <row r="865">
      <c r="A865" s="11" t="inlineStr">
        <is>
          <t>T0401-G11-FÍS</t>
        </is>
      </c>
      <c r="B865" s="11" t="n">
        <v>11</v>
      </c>
      <c r="C865" s="11" t="inlineStr">
        <is>
          <t>Física</t>
        </is>
      </c>
      <c r="D865" s="11" t="inlineStr">
        <is>
          <t>Matriz_Bachillerato_Fisica_10_11.xlsx</t>
        </is>
      </c>
      <c r="E865" s="11" t="inlineStr">
        <is>
          <t>Física 11.°</t>
        </is>
      </c>
      <c r="F865" s="11" t="n">
        <v>120</v>
      </c>
      <c r="G865" s="11" t="inlineStr">
        <is>
          <t>19. Relatividad</t>
        </is>
      </c>
      <c r="H865" s="11" t="inlineStr">
        <is>
          <t>Cinemática relativista</t>
        </is>
      </c>
      <c r="I865" s="38" t="inlineStr">
        <is>
          <t>19.5. Cálculo de velocidades relativas mediante la fórmula relativista de adición y comparación con la suma galileana.</t>
        </is>
      </c>
      <c r="J865" s="11" t="inlineStr">
        <is>
          <t>TA</t>
        </is>
      </c>
      <c r="K865" s="11" t="inlineStr">
        <is>
          <t>FUERA</t>
        </is>
      </c>
      <c r="L865" s="11" t="inlineStr"/>
      <c r="M865" s="11">
        <f>IF(K865="FUERA","Fuera del marco",IF(K865="N/A","Sin marco",IFERROR(INDEX('Datos - Catálogo TIMSS'!$C$5:$C$107,MATCH(K865,'Datos - Catálogo TIMSS'!$A$5:$A$107,0)),"Pendiente de clasificar")))</f>
        <v/>
      </c>
      <c r="N865" s="11">
        <f>IF(K865="FUERA","Fuera del marco",IF(K865="N/A","Sin marco",IFERROR(INDEX('Datos - Catálogo TIMSS'!$F$5:$F$107,MATCH(K865,'Datos - Catálogo TIMSS'!$A$5:$A$107,0)),"Pendiente de clasificar")))</f>
        <v/>
      </c>
      <c r="O865" s="11">
        <f>IF(L865="","",IFERROR(INDEX('Datos - Catálogo TIMSS'!$C$5:$C$107,MATCH(L865,'Datos - Catálogo TIMSS'!$A$5:$A$107,0)),"?"))</f>
        <v/>
      </c>
      <c r="P865" s="11" t="inlineStr">
        <is>
          <t>alta</t>
        </is>
      </c>
      <c r="Q865" s="38" t="inlineStr">
        <is>
          <t>Adición relativista de velocidades fuera del marco</t>
        </is>
      </c>
      <c r="R865" s="38" t="inlineStr">
        <is>
          <t>Aplicar: calcular velocidades relativas. Razonar: evaluar la validez de la aproximación clásica</t>
        </is>
      </c>
      <c r="S865" s="39">
        <f>IFERROR(ISNUMBER(SEARCH("Conocer",$R865))/(ISNUMBER(SEARCH("Conocer",$R865))+ISNUMBER(SEARCH("Aplicar",$R865))+ISNUMBER(SEARCH("Razonar",$R865))),0)</f>
        <v/>
      </c>
      <c r="T865" s="39">
        <f>IFERROR(ISNUMBER(SEARCH("Aplicar",$R865))/(ISNUMBER(SEARCH("Conocer",$R865))+ISNUMBER(SEARCH("Aplicar",$R865))+ISNUMBER(SEARCH("Razonar",$R865))),0)</f>
        <v/>
      </c>
      <c r="U865" s="39">
        <f>IFERROR(ISNUMBER(SEARCH("Razonar",$R865))/(ISNUMBER(SEARCH("Conocer",$R865))+ISNUMBER(SEARCH("Aplicar",$R865))+ISNUMBER(SEARCH("Razonar",$R865))),0)</f>
        <v/>
      </c>
      <c r="V865" s="11" t="inlineStr">
        <is>
          <t>Física 11°</t>
        </is>
      </c>
      <c r="W865" s="11" t="inlineStr">
        <is>
          <t>Física 10°–11°</t>
        </is>
      </c>
      <c r="X865" s="11">
        <f>IF(OR(IFERROR(INDEX('Datos - Catálogo TIMSS'!$I$5:$I$107,MATCH(K865,'Datos - Catálogo TIMSS'!$A$5:$A$107,0)),"No")="Sí",IFERROR(INDEX('Datos - Catálogo TIMSS'!$I$5:$I$107,MATCH(L865,'Datos - Catálogo TIMSS'!$A$5:$A$107,0)),"No")="Sí"),1,0)</f>
        <v/>
      </c>
      <c r="Y865" s="11">
        <f>IF(IFERROR(INDEX('Datos - Catálogo TIMSS'!$J$5:$J$107,MATCH(K865,'Datos - Catálogo TIMSS'!$A$5:$A$107,0)),"No")="Sí",1,0)</f>
        <v/>
      </c>
      <c r="Z865" s="11">
        <f>IF(IFERROR(INDEX('Datos - Catálogo TIMSS'!$J$5:$J$107,MATCH(L865,'Datos - Catálogo TIMSS'!$A$5:$A$107,0)),"No")="Sí",1,0)</f>
        <v/>
      </c>
      <c r="AA865" s="11" t="inlineStr">
        <is>
          <t>FUERA</t>
        </is>
      </c>
      <c r="AB865" s="11" t="inlineStr"/>
      <c r="AC865" s="11">
        <f>IF(AA865="FUERA","Fuera del marco",IF(AA865="N/A","Sin marco",IFERROR(INDEX('Datos - TIMSS 2023'!$C$5:$C$105,MATCH(AA865,'Datos - TIMSS 2023'!$A$5:$A$105,0)),"Pendiente de clasificar")))</f>
        <v/>
      </c>
      <c r="AD865" s="11" t="inlineStr">
        <is>
          <t>2. Construir y evaluar diseños para la indagación científica e interpretar datos y evidencia de forma crítica</t>
        </is>
      </c>
      <c r="AE865" s="11">
        <f>IF(AD865="","",IF(LEFT(AD865,1)="1","C1",IF(LEFT(AD865,1)="2","C2",IF(LEFT(AD865,1)="3","C3",""))))</f>
        <v/>
      </c>
      <c r="AF865" s="11" t="inlineStr">
        <is>
          <t>E1</t>
        </is>
      </c>
      <c r="AG865" s="11" t="inlineStr">
        <is>
          <t>D1</t>
        </is>
      </c>
      <c r="AH865" s="11" t="inlineStr">
        <is>
          <t>E2</t>
        </is>
      </c>
      <c r="AI865" s="11" t="inlineStr">
        <is>
          <t>D4</t>
        </is>
      </c>
      <c r="AJ865" s="11" t="inlineStr">
        <is>
          <t>D3</t>
        </is>
      </c>
      <c r="AK865" s="11" t="n"/>
      <c r="AL865" s="11" t="n"/>
      <c r="AM865" s="11" t="n"/>
      <c r="AN865" s="11" t="n"/>
      <c r="AO865" s="11" t="n"/>
      <c r="AP865" s="11" t="n"/>
      <c r="AQ865" s="11" t="n"/>
      <c r="AR865" s="11" t="n"/>
      <c r="AS865" s="11" t="n"/>
      <c r="AT865" s="11" t="n"/>
      <c r="AU865" s="11" t="n"/>
      <c r="AV865" s="11" t="n"/>
      <c r="AW865" s="11">
        <f>AF865&amp;"; "&amp;AG865&amp;"; "&amp;AH865&amp;"; "&amp;AI865&amp;"; "&amp;AJ865</f>
        <v/>
      </c>
    </row>
    <row r="866">
      <c r="A866" s="11" t="inlineStr">
        <is>
          <t>T0402-G11-FÍS</t>
        </is>
      </c>
      <c r="B866" s="11" t="n">
        <v>11</v>
      </c>
      <c r="C866" s="11" t="inlineStr">
        <is>
          <t>Física</t>
        </is>
      </c>
      <c r="D866" s="11" t="inlineStr">
        <is>
          <t>Matriz_Bachillerato_Fisica_10_11.xlsx</t>
        </is>
      </c>
      <c r="E866" s="11" t="inlineStr">
        <is>
          <t>Física 11.°</t>
        </is>
      </c>
      <c r="F866" s="11" t="n">
        <v>121</v>
      </c>
      <c r="G866" s="11" t="inlineStr">
        <is>
          <t>20. Física nuclear</t>
        </is>
      </c>
      <c r="H866" s="11" t="inlineStr">
        <is>
          <t>El núcleo atómico</t>
        </is>
      </c>
      <c r="I866" s="38" t="inlineStr">
        <is>
          <t>20.1. Cálculo del radio y la densidad nuclear mediante R = R₀A^(1/3) y comparación con la densidad de la materia ordinaria.</t>
        </is>
      </c>
      <c r="J866" s="11" t="inlineStr">
        <is>
          <t>TA</t>
        </is>
      </c>
      <c r="K866" s="11" t="inlineStr">
        <is>
          <t>TA-O2.1</t>
        </is>
      </c>
      <c r="L866" s="11" t="inlineStr"/>
      <c r="M866" s="11">
        <f>IF(K866="FUERA","Fuera del marco",IF(K866="N/A","Sin marco",IFERROR(INDEX('Datos - Catálogo TIMSS'!$C$5:$C$107,MATCH(K866,'Datos - Catálogo TIMSS'!$A$5:$A$107,0)),"Pendiente de clasificar")))</f>
        <v/>
      </c>
      <c r="N866" s="11">
        <f>IF(K866="FUERA","Fuera del marco",IF(K866="N/A","Sin marco",IFERROR(INDEX('Datos - Catálogo TIMSS'!$F$5:$F$107,MATCH(K866,'Datos - Catálogo TIMSS'!$A$5:$A$107,0)),"Pendiente de clasificar")))</f>
        <v/>
      </c>
      <c r="O866" s="11">
        <f>IF(L866="","",IFERROR(INDEX('Datos - Catálogo TIMSS'!$C$5:$C$107,MATCH(L866,'Datos - Catálogo TIMSS'!$A$5:$A$107,0)),"?"))</f>
        <v/>
      </c>
      <c r="P866" s="11" t="inlineStr">
        <is>
          <t>media</t>
        </is>
      </c>
      <c r="Q866" s="38" t="inlineStr">
        <is>
          <t>Estructura del núcleo: nucleones, isótopos, tamaño</t>
        </is>
      </c>
      <c r="R866" s="38" t="inlineStr">
        <is>
          <t>Aplicar: calcular radio y densidad nuclear. Razonar: generalizar una tendencia</t>
        </is>
      </c>
      <c r="S866" s="39">
        <f>IFERROR(ISNUMBER(SEARCH("Conocer",$R866))/(ISNUMBER(SEARCH("Conocer",$R866))+ISNUMBER(SEARCH("Aplicar",$R866))+ISNUMBER(SEARCH("Razonar",$R866))),0)</f>
        <v/>
      </c>
      <c r="T866" s="39">
        <f>IFERROR(ISNUMBER(SEARCH("Aplicar",$R866))/(ISNUMBER(SEARCH("Conocer",$R866))+ISNUMBER(SEARCH("Aplicar",$R866))+ISNUMBER(SEARCH("Razonar",$R866))),0)</f>
        <v/>
      </c>
      <c r="U866" s="39">
        <f>IFERROR(ISNUMBER(SEARCH("Razonar",$R866))/(ISNUMBER(SEARCH("Conocer",$R866))+ISNUMBER(SEARCH("Aplicar",$R866))+ISNUMBER(SEARCH("Razonar",$R866))),0)</f>
        <v/>
      </c>
      <c r="V866" s="11" t="inlineStr">
        <is>
          <t>Física 11°</t>
        </is>
      </c>
      <c r="W866" s="11" t="inlineStr">
        <is>
          <t>Física 10°–11°</t>
        </is>
      </c>
      <c r="X866" s="11">
        <f>IF(OR(IFERROR(INDEX('Datos - Catálogo TIMSS'!$I$5:$I$107,MATCH(K866,'Datos - Catálogo TIMSS'!$A$5:$A$107,0)),"No")="Sí",IFERROR(INDEX('Datos - Catálogo TIMSS'!$I$5:$I$107,MATCH(L866,'Datos - Catálogo TIMSS'!$A$5:$A$107,0)),"No")="Sí"),1,0)</f>
        <v/>
      </c>
      <c r="Y866" s="11">
        <f>IF(IFERROR(INDEX('Datos - Catálogo TIMSS'!$J$5:$J$107,MATCH(K866,'Datos - Catálogo TIMSS'!$A$5:$A$107,0)),"No")="Sí",1,0)</f>
        <v/>
      </c>
      <c r="Z866" s="11">
        <f>IF(IFERROR(INDEX('Datos - Catálogo TIMSS'!$J$5:$J$107,MATCH(L866,'Datos - Catálogo TIMSS'!$A$5:$A$107,0)),"No")="Sí",1,0)</f>
        <v/>
      </c>
      <c r="AA866" s="11" t="inlineStr">
        <is>
          <t>TA-O2.1</t>
        </is>
      </c>
      <c r="AB866" s="11" t="inlineStr"/>
      <c r="AC866" s="11">
        <f>IF(AA866="FUERA","Fuera del marco",IF(AA866="N/A","Sin marco",IFERROR(INDEX('Datos - TIMSS 2023'!$C$5:$C$105,MATCH(AA866,'Datos - TIMSS 2023'!$A$5:$A$105,0)),"Pendiente de clasificar")))</f>
        <v/>
      </c>
      <c r="AD866" s="11" t="inlineStr">
        <is>
          <t>1. Explicar fenómenos científicamente</t>
        </is>
      </c>
      <c r="AE866" s="11">
        <f>IF(AD866="","",IF(LEFT(AD866,1)="1","C1",IF(LEFT(AD866,1)="2","C2",IF(LEFT(AD866,1)="3","C3",""))))</f>
        <v/>
      </c>
      <c r="AF866" s="11" t="inlineStr">
        <is>
          <t>E1</t>
        </is>
      </c>
      <c r="AG866" s="11" t="inlineStr">
        <is>
          <t>D1</t>
        </is>
      </c>
      <c r="AH866" s="11" t="inlineStr">
        <is>
          <t>E1</t>
        </is>
      </c>
      <c r="AI866" s="11" t="inlineStr">
        <is>
          <t>D4</t>
        </is>
      </c>
      <c r="AJ866" s="11" t="inlineStr">
        <is>
          <t>E3</t>
        </is>
      </c>
      <c r="AK866" s="11" t="n"/>
      <c r="AL866" s="11" t="n"/>
      <c r="AM866" s="11" t="n"/>
      <c r="AN866" s="11" t="n"/>
      <c r="AO866" s="11" t="n"/>
      <c r="AP866" s="11" t="n"/>
      <c r="AQ866" s="11" t="n"/>
      <c r="AR866" s="11" t="n"/>
      <c r="AS866" s="11" t="n"/>
      <c r="AT866" s="11" t="n"/>
      <c r="AU866" s="11" t="n"/>
      <c r="AV866" s="11" t="n"/>
      <c r="AW866" s="11">
        <f>AF866&amp;"; "&amp;AG866&amp;"; "&amp;AH866&amp;"; "&amp;AI866&amp;"; "&amp;AJ866</f>
        <v/>
      </c>
    </row>
    <row r="867">
      <c r="A867" s="11" t="inlineStr">
        <is>
          <t>T0403-G11-FÍS</t>
        </is>
      </c>
      <c r="B867" s="11" t="n">
        <v>11</v>
      </c>
      <c r="C867" s="11" t="inlineStr">
        <is>
          <t>Física</t>
        </is>
      </c>
      <c r="D867" s="11" t="inlineStr">
        <is>
          <t>Matriz_Bachillerato_Fisica_10_11.xlsx</t>
        </is>
      </c>
      <c r="E867" s="11" t="inlineStr">
        <is>
          <t>Física 11.°</t>
        </is>
      </c>
      <c r="F867" s="11" t="n">
        <v>122</v>
      </c>
      <c r="G867" s="11" t="inlineStr">
        <is>
          <t>20. Física nuclear</t>
        </is>
      </c>
      <c r="H867" s="11" t="inlineStr">
        <is>
          <t>El núcleo atómico</t>
        </is>
      </c>
      <c r="I867" s="38" t="inlineStr">
        <is>
          <t>20.2. Análisis de la competencia entre la fuerza nuclear fuerte y la repulsión eléctrica en la banda de estabilidad N frente a Z.</t>
        </is>
      </c>
      <c r="J867" s="11" t="inlineStr">
        <is>
          <t>TA</t>
        </is>
      </c>
      <c r="K867" s="11" t="inlineStr">
        <is>
          <t>TA-O2.3</t>
        </is>
      </c>
      <c r="L867" s="11" t="inlineStr">
        <is>
          <t>TA-O2.1</t>
        </is>
      </c>
      <c r="M867" s="11">
        <f>IF(K867="FUERA","Fuera del marco",IF(K867="N/A","Sin marco",IFERROR(INDEX('Datos - Catálogo TIMSS'!$C$5:$C$107,MATCH(K867,'Datos - Catálogo TIMSS'!$A$5:$A$107,0)),"Pendiente de clasificar")))</f>
        <v/>
      </c>
      <c r="N867" s="11">
        <f>IF(K867="FUERA","Fuera del marco",IF(K867="N/A","Sin marco",IFERROR(INDEX('Datos - Catálogo TIMSS'!$F$5:$F$107,MATCH(K867,'Datos - Catálogo TIMSS'!$A$5:$A$107,0)),"Pendiente de clasificar")))</f>
        <v/>
      </c>
      <c r="O867" s="11">
        <f>IF(L867="","",IFERROR(INDEX('Datos - Catálogo TIMSS'!$C$5:$C$107,MATCH(L867,'Datos - Catálogo TIMSS'!$A$5:$A$107,0)),"?"))</f>
        <v/>
      </c>
      <c r="P867" s="11" t="inlineStr">
        <is>
          <t>media</t>
        </is>
      </c>
      <c r="Q867" s="38" t="inlineStr">
        <is>
          <t>Estabilidad nuclear: fuerza fuerte y repulsión eléctrica</t>
        </is>
      </c>
      <c r="R867" s="38" t="inlineStr">
        <is>
          <t>Aplicar: calcular fuerzas eléctricas. Razonar: explicar la estabilidad con un modelo</t>
        </is>
      </c>
      <c r="S867" s="39">
        <f>IFERROR(ISNUMBER(SEARCH("Conocer",$R867))/(ISNUMBER(SEARCH("Conocer",$R867))+ISNUMBER(SEARCH("Aplicar",$R867))+ISNUMBER(SEARCH("Razonar",$R867))),0)</f>
        <v/>
      </c>
      <c r="T867" s="39">
        <f>IFERROR(ISNUMBER(SEARCH("Aplicar",$R867))/(ISNUMBER(SEARCH("Conocer",$R867))+ISNUMBER(SEARCH("Aplicar",$R867))+ISNUMBER(SEARCH("Razonar",$R867))),0)</f>
        <v/>
      </c>
      <c r="U867" s="39">
        <f>IFERROR(ISNUMBER(SEARCH("Razonar",$R867))/(ISNUMBER(SEARCH("Conocer",$R867))+ISNUMBER(SEARCH("Aplicar",$R867))+ISNUMBER(SEARCH("Razonar",$R867))),0)</f>
        <v/>
      </c>
      <c r="V867" s="11" t="inlineStr">
        <is>
          <t>Física 11°</t>
        </is>
      </c>
      <c r="W867" s="11" t="inlineStr">
        <is>
          <t>Física 10°–11°</t>
        </is>
      </c>
      <c r="X867" s="11">
        <f>IF(OR(IFERROR(INDEX('Datos - Catálogo TIMSS'!$I$5:$I$107,MATCH(K867,'Datos - Catálogo TIMSS'!$A$5:$A$107,0)),"No")="Sí",IFERROR(INDEX('Datos - Catálogo TIMSS'!$I$5:$I$107,MATCH(L867,'Datos - Catálogo TIMSS'!$A$5:$A$107,0)),"No")="Sí"),1,0)</f>
        <v/>
      </c>
      <c r="Y867" s="11">
        <f>IF(IFERROR(INDEX('Datos - Catálogo TIMSS'!$J$5:$J$107,MATCH(K867,'Datos - Catálogo TIMSS'!$A$5:$A$107,0)),"No")="Sí",1,0)</f>
        <v/>
      </c>
      <c r="Z867" s="11">
        <f>IF(IFERROR(INDEX('Datos - Catálogo TIMSS'!$J$5:$J$107,MATCH(L867,'Datos - Catálogo TIMSS'!$A$5:$A$107,0)),"No")="Sí",1,0)</f>
        <v/>
      </c>
      <c r="AA867" s="11" t="inlineStr">
        <is>
          <t>TA-O2.3</t>
        </is>
      </c>
      <c r="AB867" s="11" t="inlineStr">
        <is>
          <t>TA-O2.1</t>
        </is>
      </c>
      <c r="AC867" s="11">
        <f>IF(AA867="FUERA","Fuera del marco",IF(AA867="N/A","Sin marco",IFERROR(INDEX('Datos - TIMSS 2023'!$C$5:$C$105,MATCH(AA867,'Datos - TIMSS 2023'!$A$5:$A$105,0)),"Pendiente de clasificar")))</f>
        <v/>
      </c>
      <c r="AD867" s="11" t="inlineStr">
        <is>
          <t>1. Explicar fenómenos científicamente</t>
        </is>
      </c>
      <c r="AE867" s="11">
        <f>IF(AD867="","",IF(LEFT(AD867,1)="1","C1",IF(LEFT(AD867,1)="2","C2",IF(LEFT(AD867,1)="3","C3",""))))</f>
        <v/>
      </c>
      <c r="AF867" s="11" t="inlineStr">
        <is>
          <t>E1</t>
        </is>
      </c>
      <c r="AG867" s="11" t="inlineStr">
        <is>
          <t>E5</t>
        </is>
      </c>
      <c r="AH867" s="11" t="inlineStr">
        <is>
          <t>E4</t>
        </is>
      </c>
      <c r="AI867" s="11" t="inlineStr">
        <is>
          <t>D2</t>
        </is>
      </c>
      <c r="AJ867" s="11" t="inlineStr">
        <is>
          <t>E3</t>
        </is>
      </c>
      <c r="AK867" s="11" t="n"/>
      <c r="AL867" s="11" t="n"/>
      <c r="AM867" s="11" t="n"/>
      <c r="AN867" s="11" t="n"/>
      <c r="AO867" s="11" t="n"/>
      <c r="AP867" s="11" t="n"/>
      <c r="AQ867" s="11" t="n"/>
      <c r="AR867" s="11" t="n"/>
      <c r="AS867" s="11" t="n"/>
      <c r="AT867" s="11" t="n"/>
      <c r="AU867" s="11" t="n"/>
      <c r="AV867" s="11" t="n"/>
      <c r="AW867" s="11">
        <f>AF867&amp;"; "&amp;AG867&amp;"; "&amp;AH867&amp;"; "&amp;AI867&amp;"; "&amp;AJ867</f>
        <v/>
      </c>
    </row>
    <row r="868">
      <c r="A868" s="11" t="inlineStr">
        <is>
          <t>T0404-G11-FÍS</t>
        </is>
      </c>
      <c r="B868" s="11" t="n">
        <v>11</v>
      </c>
      <c r="C868" s="11" t="inlineStr">
        <is>
          <t>Física</t>
        </is>
      </c>
      <c r="D868" s="11" t="inlineStr">
        <is>
          <t>Matriz_Bachillerato_Fisica_10_11.xlsx</t>
        </is>
      </c>
      <c r="E868" s="11" t="inlineStr">
        <is>
          <t>Física 11.°</t>
        </is>
      </c>
      <c r="F868" s="11" t="n">
        <v>123</v>
      </c>
      <c r="G868" s="11" t="inlineStr">
        <is>
          <t>20. Física nuclear</t>
        </is>
      </c>
      <c r="H868" s="11" t="inlineStr">
        <is>
          <t>Energía nuclear</t>
        </is>
      </c>
      <c r="I868" s="38" t="inlineStr">
        <is>
          <t>20.3. Cálculo del defecto de masa y la energía de enlace por nucleón, y construcción de la curva de energía de enlace.</t>
        </is>
      </c>
      <c r="J868" s="11" t="inlineStr">
        <is>
          <t>TA</t>
        </is>
      </c>
      <c r="K868" s="11" t="inlineStr">
        <is>
          <t>TA-O2.4</t>
        </is>
      </c>
      <c r="L868" s="11" t="inlineStr">
        <is>
          <t>TA-O2.3</t>
        </is>
      </c>
      <c r="M868" s="11">
        <f>IF(K868="FUERA","Fuera del marco",IF(K868="N/A","Sin marco",IFERROR(INDEX('Datos - Catálogo TIMSS'!$C$5:$C$107,MATCH(K868,'Datos - Catálogo TIMSS'!$A$5:$A$107,0)),"Pendiente de clasificar")))</f>
        <v/>
      </c>
      <c r="N868" s="11">
        <f>IF(K868="FUERA","Fuera del marco",IF(K868="N/A","Sin marco",IFERROR(INDEX('Datos - Catálogo TIMSS'!$F$5:$F$107,MATCH(K868,'Datos - Catálogo TIMSS'!$A$5:$A$107,0)),"Pendiente de clasificar")))</f>
        <v/>
      </c>
      <c r="O868" s="11">
        <f>IF(L868="","",IFERROR(INDEX('Datos - Catálogo TIMSS'!$C$5:$C$107,MATCH(L868,'Datos - Catálogo TIMSS'!$A$5:$A$107,0)),"?"))</f>
        <v/>
      </c>
      <c r="P868" s="11" t="inlineStr">
        <is>
          <t>alta</t>
        </is>
      </c>
      <c r="Q868" s="38" t="inlineStr">
        <is>
          <t>Defecto de masa y energía de enlace</t>
        </is>
      </c>
      <c r="R868" s="38" t="inlineStr">
        <is>
          <t>Aplicar: calcular defectos de masa y energías de enlace. Razonar: interpretar una curva</t>
        </is>
      </c>
      <c r="S868" s="39">
        <f>IFERROR(ISNUMBER(SEARCH("Conocer",$R868))/(ISNUMBER(SEARCH("Conocer",$R868))+ISNUMBER(SEARCH("Aplicar",$R868))+ISNUMBER(SEARCH("Razonar",$R868))),0)</f>
        <v/>
      </c>
      <c r="T868" s="39">
        <f>IFERROR(ISNUMBER(SEARCH("Aplicar",$R868))/(ISNUMBER(SEARCH("Conocer",$R868))+ISNUMBER(SEARCH("Aplicar",$R868))+ISNUMBER(SEARCH("Razonar",$R868))),0)</f>
        <v/>
      </c>
      <c r="U868" s="39">
        <f>IFERROR(ISNUMBER(SEARCH("Razonar",$R868))/(ISNUMBER(SEARCH("Conocer",$R868))+ISNUMBER(SEARCH("Aplicar",$R868))+ISNUMBER(SEARCH("Razonar",$R868))),0)</f>
        <v/>
      </c>
      <c r="V868" s="11" t="inlineStr">
        <is>
          <t>Física 11°</t>
        </is>
      </c>
      <c r="W868" s="11" t="inlineStr">
        <is>
          <t>Física 10°–11°</t>
        </is>
      </c>
      <c r="X868" s="11">
        <f>IF(OR(IFERROR(INDEX('Datos - Catálogo TIMSS'!$I$5:$I$107,MATCH(K868,'Datos - Catálogo TIMSS'!$A$5:$A$107,0)),"No")="Sí",IFERROR(INDEX('Datos - Catálogo TIMSS'!$I$5:$I$107,MATCH(L868,'Datos - Catálogo TIMSS'!$A$5:$A$107,0)),"No")="Sí"),1,0)</f>
        <v/>
      </c>
      <c r="Y868" s="11">
        <f>IF(IFERROR(INDEX('Datos - Catálogo TIMSS'!$J$5:$J$107,MATCH(K868,'Datos - Catálogo TIMSS'!$A$5:$A$107,0)),"No")="Sí",1,0)</f>
        <v/>
      </c>
      <c r="Z868" s="11">
        <f>IF(IFERROR(INDEX('Datos - Catálogo TIMSS'!$J$5:$J$107,MATCH(L868,'Datos - Catálogo TIMSS'!$A$5:$A$107,0)),"No")="Sí",1,0)</f>
        <v/>
      </c>
      <c r="AA868" s="11" t="inlineStr">
        <is>
          <t>TA-O2.4</t>
        </is>
      </c>
      <c r="AB868" s="11" t="inlineStr">
        <is>
          <t>TA-O2.3</t>
        </is>
      </c>
      <c r="AC868" s="11">
        <f>IF(AA868="FUERA","Fuera del marco",IF(AA868="N/A","Sin marco",IFERROR(INDEX('Datos - TIMSS 2023'!$C$5:$C$105,MATCH(AA868,'Datos - TIMSS 2023'!$A$5:$A$105,0)),"Pendiente de clasificar")))</f>
        <v/>
      </c>
      <c r="AD868" s="11" t="inlineStr">
        <is>
          <t>2. Construir y evaluar diseños para la indagación científica e interpretar datos y evidencia de forma crítica</t>
        </is>
      </c>
      <c r="AE868" s="11">
        <f>IF(AD868="","",IF(LEFT(AD868,1)="1","C1",IF(LEFT(AD868,1)="2","C2",IF(LEFT(AD868,1)="3","C3",""))))</f>
        <v/>
      </c>
      <c r="AF868" s="11" t="inlineStr">
        <is>
          <t>E6</t>
        </is>
      </c>
      <c r="AG868" s="11" t="inlineStr">
        <is>
          <t>E3</t>
        </is>
      </c>
      <c r="AH868" s="11" t="inlineStr">
        <is>
          <t>E1</t>
        </is>
      </c>
      <c r="AI868" s="11" t="inlineStr">
        <is>
          <t>D4</t>
        </is>
      </c>
      <c r="AJ868" s="11" t="inlineStr">
        <is>
          <t>E3</t>
        </is>
      </c>
      <c r="AK868" s="11" t="n"/>
      <c r="AL868" s="11" t="n"/>
      <c r="AM868" s="11" t="n"/>
      <c r="AN868" s="11" t="n"/>
      <c r="AO868" s="11" t="n"/>
      <c r="AP868" s="11" t="n"/>
      <c r="AQ868" s="11" t="n"/>
      <c r="AR868" s="11" t="n"/>
      <c r="AS868" s="11" t="n"/>
      <c r="AT868" s="11" t="n"/>
      <c r="AU868" s="11" t="n"/>
      <c r="AV868" s="11" t="n"/>
      <c r="AW868" s="11">
        <f>AF868&amp;"; "&amp;AG868&amp;"; "&amp;AH868&amp;"; "&amp;AI868&amp;"; "&amp;AJ868</f>
        <v/>
      </c>
    </row>
    <row r="869">
      <c r="A869" s="11" t="inlineStr">
        <is>
          <t>T0405-G11-FÍS</t>
        </is>
      </c>
      <c r="B869" s="11" t="n">
        <v>11</v>
      </c>
      <c r="C869" s="11" t="inlineStr">
        <is>
          <t>Física</t>
        </is>
      </c>
      <c r="D869" s="11" t="inlineStr">
        <is>
          <t>Matriz_Bachillerato_Fisica_10_11.xlsx</t>
        </is>
      </c>
      <c r="E869" s="11" t="inlineStr">
        <is>
          <t>Física 11.°</t>
        </is>
      </c>
      <c r="F869" s="11" t="n">
        <v>124</v>
      </c>
      <c r="G869" s="11" t="inlineStr">
        <is>
          <t>20. Física nuclear</t>
        </is>
      </c>
      <c r="H869" s="11" t="inlineStr">
        <is>
          <t>Partículas subatómicas</t>
        </is>
      </c>
      <c r="I869" s="38" t="inlineStr">
        <is>
          <t>20.4. Análisis del espectro continuo de energía de la desintegración beta como evidencia de la existencia del neutrino.</t>
        </is>
      </c>
      <c r="J869" s="11" t="inlineStr">
        <is>
          <t>TA</t>
        </is>
      </c>
      <c r="K869" s="11" t="inlineStr">
        <is>
          <t>TA-O2.3</t>
        </is>
      </c>
      <c r="L869" s="11" t="inlineStr"/>
      <c r="M869" s="11">
        <f>IF(K869="FUERA","Fuera del marco",IF(K869="N/A","Sin marco",IFERROR(INDEX('Datos - Catálogo TIMSS'!$C$5:$C$107,MATCH(K869,'Datos - Catálogo TIMSS'!$A$5:$A$107,0)),"Pendiente de clasificar")))</f>
        <v/>
      </c>
      <c r="N869" s="11">
        <f>IF(K869="FUERA","Fuera del marco",IF(K869="N/A","Sin marco",IFERROR(INDEX('Datos - Catálogo TIMSS'!$F$5:$F$107,MATCH(K869,'Datos - Catálogo TIMSS'!$A$5:$A$107,0)),"Pendiente de clasificar")))</f>
        <v/>
      </c>
      <c r="O869" s="11">
        <f>IF(L869="","",IFERROR(INDEX('Datos - Catálogo TIMSS'!$C$5:$C$107,MATCH(L869,'Datos - Catálogo TIMSS'!$A$5:$A$107,0)),"?"))</f>
        <v/>
      </c>
      <c r="P869" s="11" t="inlineStr">
        <is>
          <t>media</t>
        </is>
      </c>
      <c r="Q869" s="38" t="inlineStr">
        <is>
          <t>Desintegración beta y neutrino</t>
        </is>
      </c>
      <c r="R869" s="38" t="inlineStr">
        <is>
          <t>Conocer: describir el neutrino. Razonar: justificar su existencia con la conservación de la energía</t>
        </is>
      </c>
      <c r="S869" s="39">
        <f>IFERROR(ISNUMBER(SEARCH("Conocer",$R869))/(ISNUMBER(SEARCH("Conocer",$R869))+ISNUMBER(SEARCH("Aplicar",$R869))+ISNUMBER(SEARCH("Razonar",$R869))),0)</f>
        <v/>
      </c>
      <c r="T869" s="39">
        <f>IFERROR(ISNUMBER(SEARCH("Aplicar",$R869))/(ISNUMBER(SEARCH("Conocer",$R869))+ISNUMBER(SEARCH("Aplicar",$R869))+ISNUMBER(SEARCH("Razonar",$R869))),0)</f>
        <v/>
      </c>
      <c r="U869" s="39">
        <f>IFERROR(ISNUMBER(SEARCH("Razonar",$R869))/(ISNUMBER(SEARCH("Conocer",$R869))+ISNUMBER(SEARCH("Aplicar",$R869))+ISNUMBER(SEARCH("Razonar",$R869))),0)</f>
        <v/>
      </c>
      <c r="V869" s="11" t="inlineStr">
        <is>
          <t>Física 11°</t>
        </is>
      </c>
      <c r="W869" s="11" t="inlineStr">
        <is>
          <t>Física 10°–11°</t>
        </is>
      </c>
      <c r="X869" s="11">
        <f>IF(OR(IFERROR(INDEX('Datos - Catálogo TIMSS'!$I$5:$I$107,MATCH(K869,'Datos - Catálogo TIMSS'!$A$5:$A$107,0)),"No")="Sí",IFERROR(INDEX('Datos - Catálogo TIMSS'!$I$5:$I$107,MATCH(L869,'Datos - Catálogo TIMSS'!$A$5:$A$107,0)),"No")="Sí"),1,0)</f>
        <v/>
      </c>
      <c r="Y869" s="11">
        <f>IF(IFERROR(INDEX('Datos - Catálogo TIMSS'!$J$5:$J$107,MATCH(K869,'Datos - Catálogo TIMSS'!$A$5:$A$107,0)),"No")="Sí",1,0)</f>
        <v/>
      </c>
      <c r="Z869" s="11">
        <f>IF(IFERROR(INDEX('Datos - Catálogo TIMSS'!$J$5:$J$107,MATCH(L869,'Datos - Catálogo TIMSS'!$A$5:$A$107,0)),"No")="Sí",1,0)</f>
        <v/>
      </c>
      <c r="AA869" s="11" t="inlineStr">
        <is>
          <t>TA-O2.3</t>
        </is>
      </c>
      <c r="AB869" s="11" t="inlineStr"/>
      <c r="AC869" s="11">
        <f>IF(AA869="FUERA","Fuera del marco",IF(AA869="N/A","Sin marco",IFERROR(INDEX('Datos - TIMSS 2023'!$C$5:$C$105,MATCH(AA869,'Datos - TIMSS 2023'!$A$5:$A$105,0)),"Pendiente de clasificar")))</f>
        <v/>
      </c>
      <c r="AD869" s="11" t="inlineStr">
        <is>
          <t>3. Investigar, evaluar y usar información científica para tomar decisiones y actuar</t>
        </is>
      </c>
      <c r="AE869" s="11">
        <f>IF(AD869="","",IF(LEFT(AD869,1)="1","C1",IF(LEFT(AD869,1)="2","C2",IF(LEFT(AD869,1)="3","C3",""))))</f>
        <v/>
      </c>
      <c r="AF869" s="11" t="inlineStr">
        <is>
          <t>E1</t>
        </is>
      </c>
      <c r="AG869" s="11" t="inlineStr">
        <is>
          <t>D1</t>
        </is>
      </c>
      <c r="AH869" s="11" t="inlineStr">
        <is>
          <t>E2</t>
        </is>
      </c>
      <c r="AI869" s="11" t="inlineStr">
        <is>
          <t>I1</t>
        </is>
      </c>
      <c r="AJ869" s="11" t="inlineStr">
        <is>
          <t>I2</t>
        </is>
      </c>
      <c r="AK869" s="11" t="n"/>
      <c r="AL869" s="11" t="n"/>
      <c r="AM869" s="11" t="n"/>
      <c r="AN869" s="11" t="n"/>
      <c r="AO869" s="11" t="n"/>
      <c r="AP869" s="11" t="n"/>
      <c r="AQ869" s="11" t="n"/>
      <c r="AR869" s="11" t="n"/>
      <c r="AS869" s="11" t="n"/>
      <c r="AT869" s="11" t="n"/>
      <c r="AU869" s="11" t="n"/>
      <c r="AV869" s="11" t="n"/>
      <c r="AW869" s="11">
        <f>AF869&amp;"; "&amp;AG869&amp;"; "&amp;AH869&amp;"; "&amp;AI869&amp;"; "&amp;AJ869</f>
        <v/>
      </c>
    </row>
    <row r="870">
      <c r="A870" s="11" t="inlineStr">
        <is>
          <t>T0406-G11-FÍS</t>
        </is>
      </c>
      <c r="B870" s="11" t="n">
        <v>11</v>
      </c>
      <c r="C870" s="11" t="inlineStr">
        <is>
          <t>Física</t>
        </is>
      </c>
      <c r="D870" s="11" t="inlineStr">
        <is>
          <t>Matriz_Bachillerato_Fisica_10_11.xlsx</t>
        </is>
      </c>
      <c r="E870" s="11" t="inlineStr">
        <is>
          <t>Física 11.°</t>
        </is>
      </c>
      <c r="F870" s="11" t="n">
        <v>125</v>
      </c>
      <c r="G870" s="11" t="inlineStr">
        <is>
          <t>20. Física nuclear</t>
        </is>
      </c>
      <c r="H870" s="11" t="inlineStr">
        <is>
          <t>Partículas elementales</t>
        </is>
      </c>
      <c r="I870" s="38" t="inlineStr">
        <is>
          <t>20.5. Clasificación de las partículas elementales según el modelo estándar y descripción de las interacciones fundamentales.</t>
        </is>
      </c>
      <c r="J870" s="11" t="inlineStr">
        <is>
          <t>TA</t>
        </is>
      </c>
      <c r="K870" s="11" t="inlineStr">
        <is>
          <t>FUERA</t>
        </is>
      </c>
      <c r="L870" s="11" t="inlineStr"/>
      <c r="M870" s="11">
        <f>IF(K870="FUERA","Fuera del marco",IF(K870="N/A","Sin marco",IFERROR(INDEX('Datos - Catálogo TIMSS'!$C$5:$C$107,MATCH(K870,'Datos - Catálogo TIMSS'!$A$5:$A$107,0)),"Pendiente de clasificar")))</f>
        <v/>
      </c>
      <c r="N870" s="11">
        <f>IF(K870="FUERA","Fuera del marco",IF(K870="N/A","Sin marco",IFERROR(INDEX('Datos - Catálogo TIMSS'!$F$5:$F$107,MATCH(K870,'Datos - Catálogo TIMSS'!$A$5:$A$107,0)),"Pendiente de clasificar")))</f>
        <v/>
      </c>
      <c r="O870" s="11">
        <f>IF(L870="","",IFERROR(INDEX('Datos - Catálogo TIMSS'!$C$5:$C$107,MATCH(L870,'Datos - Catálogo TIMSS'!$A$5:$A$107,0)),"?"))</f>
        <v/>
      </c>
      <c r="P870" s="11" t="inlineStr">
        <is>
          <t>alta</t>
        </is>
      </c>
      <c r="Q870" s="38" t="inlineStr">
        <is>
          <t>Partículas elementales y modelo estándar</t>
        </is>
      </c>
      <c r="R870" s="38" t="inlineStr">
        <is>
          <t>Conocer: clasificar partículas. Aplicar: calcular cargas de hadrones. Razonar: argumentar</t>
        </is>
      </c>
      <c r="S870" s="39">
        <f>IFERROR(ISNUMBER(SEARCH("Conocer",$R870))/(ISNUMBER(SEARCH("Conocer",$R870))+ISNUMBER(SEARCH("Aplicar",$R870))+ISNUMBER(SEARCH("Razonar",$R870))),0)</f>
        <v/>
      </c>
      <c r="T870" s="39">
        <f>IFERROR(ISNUMBER(SEARCH("Aplicar",$R870))/(ISNUMBER(SEARCH("Conocer",$R870))+ISNUMBER(SEARCH("Aplicar",$R870))+ISNUMBER(SEARCH("Razonar",$R870))),0)</f>
        <v/>
      </c>
      <c r="U870" s="39">
        <f>IFERROR(ISNUMBER(SEARCH("Razonar",$R870))/(ISNUMBER(SEARCH("Conocer",$R870))+ISNUMBER(SEARCH("Aplicar",$R870))+ISNUMBER(SEARCH("Razonar",$R870))),0)</f>
        <v/>
      </c>
      <c r="V870" s="11" t="inlineStr">
        <is>
          <t>Física 11°</t>
        </is>
      </c>
      <c r="W870" s="11" t="inlineStr">
        <is>
          <t>Física 10°–11°</t>
        </is>
      </c>
      <c r="X870" s="11">
        <f>IF(OR(IFERROR(INDEX('Datos - Catálogo TIMSS'!$I$5:$I$107,MATCH(K870,'Datos - Catálogo TIMSS'!$A$5:$A$107,0)),"No")="Sí",IFERROR(INDEX('Datos - Catálogo TIMSS'!$I$5:$I$107,MATCH(L870,'Datos - Catálogo TIMSS'!$A$5:$A$107,0)),"No")="Sí"),1,0)</f>
        <v/>
      </c>
      <c r="Y870" s="11">
        <f>IF(IFERROR(INDEX('Datos - Catálogo TIMSS'!$J$5:$J$107,MATCH(K870,'Datos - Catálogo TIMSS'!$A$5:$A$107,0)),"No")="Sí",1,0)</f>
        <v/>
      </c>
      <c r="Z870" s="11">
        <f>IF(IFERROR(INDEX('Datos - Catálogo TIMSS'!$J$5:$J$107,MATCH(L870,'Datos - Catálogo TIMSS'!$A$5:$A$107,0)),"No")="Sí",1,0)</f>
        <v/>
      </c>
      <c r="AA870" s="11" t="inlineStr">
        <is>
          <t>FUERA</t>
        </is>
      </c>
      <c r="AB870" s="11" t="inlineStr"/>
      <c r="AC870" s="11">
        <f>IF(AA870="FUERA","Fuera del marco",IF(AA870="N/A","Sin marco",IFERROR(INDEX('Datos - TIMSS 2023'!$C$5:$C$105,MATCH(AA870,'Datos - TIMSS 2023'!$A$5:$A$105,0)),"Pendiente de clasificar")))</f>
        <v/>
      </c>
      <c r="AD870" s="11" t="inlineStr">
        <is>
          <t>1. Explicar fenómenos científicamente</t>
        </is>
      </c>
      <c r="AE870" s="11">
        <f>IF(AD870="","",IF(LEFT(AD870,1)="1","C1",IF(LEFT(AD870,1)="2","C2",IF(LEFT(AD870,1)="3","C3",""))))</f>
        <v/>
      </c>
      <c r="AF870" s="11" t="inlineStr">
        <is>
          <t>E1</t>
        </is>
      </c>
      <c r="AG870" s="11" t="inlineStr">
        <is>
          <t>E5</t>
        </is>
      </c>
      <c r="AH870" s="11" t="inlineStr">
        <is>
          <t>E4</t>
        </is>
      </c>
      <c r="AI870" s="11" t="inlineStr">
        <is>
          <t>I3</t>
        </is>
      </c>
      <c r="AJ870" s="11" t="inlineStr">
        <is>
          <t>I4</t>
        </is>
      </c>
      <c r="AK870" s="11" t="n"/>
      <c r="AL870" s="11" t="n"/>
      <c r="AM870" s="11" t="n"/>
      <c r="AN870" s="11" t="n"/>
      <c r="AO870" s="11" t="n"/>
      <c r="AP870" s="11" t="n"/>
      <c r="AQ870" s="11" t="n"/>
      <c r="AR870" s="11" t="n"/>
      <c r="AS870" s="11" t="n"/>
      <c r="AT870" s="11" t="n"/>
      <c r="AU870" s="11" t="n"/>
      <c r="AV870" s="11" t="n"/>
      <c r="AW870" s="11">
        <f>AF870&amp;"; "&amp;AG870&amp;"; "&amp;AH870&amp;"; "&amp;AI870&amp;"; "&amp;AJ870</f>
        <v/>
      </c>
    </row>
    <row r="871">
      <c r="A871" s="11" t="inlineStr">
        <is>
          <t>T0407-G11-FÍS</t>
        </is>
      </c>
      <c r="B871" s="11" t="n">
        <v>11</v>
      </c>
      <c r="C871" s="11" t="inlineStr">
        <is>
          <t>Física</t>
        </is>
      </c>
      <c r="D871" s="11" t="inlineStr">
        <is>
          <t>Matriz_Bachillerato_Fisica_10_11.xlsx</t>
        </is>
      </c>
      <c r="E871" s="11" t="inlineStr">
        <is>
          <t>Física 11.°</t>
        </is>
      </c>
      <c r="F871" s="11" t="n">
        <v>126</v>
      </c>
      <c r="G871" s="11" t="inlineStr">
        <is>
          <t>20. Física nuclear</t>
        </is>
      </c>
      <c r="H871" s="11" t="inlineStr">
        <is>
          <t>Cosmología</t>
        </is>
      </c>
      <c r="I871" s="38" t="inlineStr">
        <is>
          <t>20.6. Interpretación de las evidencias de la teoría del Big Bang: ley de Hubble, radiación cósmica de fondo y abundancia de elementos ligeros.</t>
        </is>
      </c>
      <c r="J871" s="11" t="inlineStr">
        <is>
          <t>TA</t>
        </is>
      </c>
      <c r="K871" s="11" t="inlineStr">
        <is>
          <t>FUERA</t>
        </is>
      </c>
      <c r="L871" s="11" t="inlineStr"/>
      <c r="M871" s="11">
        <f>IF(K871="FUERA","Fuera del marco",IF(K871="N/A","Sin marco",IFERROR(INDEX('Datos - Catálogo TIMSS'!$C$5:$C$107,MATCH(K871,'Datos - Catálogo TIMSS'!$A$5:$A$107,0)),"Pendiente de clasificar")))</f>
        <v/>
      </c>
      <c r="N871" s="11">
        <f>IF(K871="FUERA","Fuera del marco",IF(K871="N/A","Sin marco",IFERROR(INDEX('Datos - Catálogo TIMSS'!$F$5:$F$107,MATCH(K871,'Datos - Catálogo TIMSS'!$A$5:$A$107,0)),"Pendiente de clasificar")))</f>
        <v/>
      </c>
      <c r="O871" s="11">
        <f>IF(L871="","",IFERROR(INDEX('Datos - Catálogo TIMSS'!$C$5:$C$107,MATCH(L871,'Datos - Catálogo TIMSS'!$A$5:$A$107,0)),"?"))</f>
        <v/>
      </c>
      <c r="P871" s="11" t="inlineStr">
        <is>
          <t>alta</t>
        </is>
      </c>
      <c r="Q871" s="38" t="inlineStr">
        <is>
          <t>Cosmología y Big Bang</t>
        </is>
      </c>
      <c r="R871" s="38" t="inlineStr">
        <is>
          <t>Aplicar: calcular la constante de Hubble. Razonar: evaluar evidencias</t>
        </is>
      </c>
      <c r="S871" s="39">
        <f>IFERROR(ISNUMBER(SEARCH("Conocer",$R871))/(ISNUMBER(SEARCH("Conocer",$R871))+ISNUMBER(SEARCH("Aplicar",$R871))+ISNUMBER(SEARCH("Razonar",$R871))),0)</f>
        <v/>
      </c>
      <c r="T871" s="39">
        <f>IFERROR(ISNUMBER(SEARCH("Aplicar",$R871))/(ISNUMBER(SEARCH("Conocer",$R871))+ISNUMBER(SEARCH("Aplicar",$R871))+ISNUMBER(SEARCH("Razonar",$R871))),0)</f>
        <v/>
      </c>
      <c r="U871" s="39">
        <f>IFERROR(ISNUMBER(SEARCH("Razonar",$R871))/(ISNUMBER(SEARCH("Conocer",$R871))+ISNUMBER(SEARCH("Aplicar",$R871))+ISNUMBER(SEARCH("Razonar",$R871))),0)</f>
        <v/>
      </c>
      <c r="V871" s="11" t="inlineStr">
        <is>
          <t>Física 11°</t>
        </is>
      </c>
      <c r="W871" s="11" t="inlineStr">
        <is>
          <t>Física 10°–11°</t>
        </is>
      </c>
      <c r="X871" s="11">
        <f>IF(OR(IFERROR(INDEX('Datos - Catálogo TIMSS'!$I$5:$I$107,MATCH(K871,'Datos - Catálogo TIMSS'!$A$5:$A$107,0)),"No")="Sí",IFERROR(INDEX('Datos - Catálogo TIMSS'!$I$5:$I$107,MATCH(L871,'Datos - Catálogo TIMSS'!$A$5:$A$107,0)),"No")="Sí"),1,0)</f>
        <v/>
      </c>
      <c r="Y871" s="11">
        <f>IF(IFERROR(INDEX('Datos - Catálogo TIMSS'!$J$5:$J$107,MATCH(K871,'Datos - Catálogo TIMSS'!$A$5:$A$107,0)),"No")="Sí",1,0)</f>
        <v/>
      </c>
      <c r="Z871" s="11">
        <f>IF(IFERROR(INDEX('Datos - Catálogo TIMSS'!$J$5:$J$107,MATCH(L871,'Datos - Catálogo TIMSS'!$A$5:$A$107,0)),"No")="Sí",1,0)</f>
        <v/>
      </c>
      <c r="AA871" s="11" t="inlineStr">
        <is>
          <t>FUERA</t>
        </is>
      </c>
      <c r="AB871" s="11" t="inlineStr"/>
      <c r="AC871" s="11">
        <f>IF(AA871="FUERA","Fuera del marco",IF(AA871="N/A","Sin marco",IFERROR(INDEX('Datos - TIMSS 2023'!$C$5:$C$105,MATCH(AA871,'Datos - TIMSS 2023'!$A$5:$A$105,0)),"Pendiente de clasificar")))</f>
        <v/>
      </c>
      <c r="AD871" s="11" t="inlineStr">
        <is>
          <t>2. Construir y evaluar diseños para la indagación científica e interpretar datos y evidencia de forma crítica</t>
        </is>
      </c>
      <c r="AE871" s="11">
        <f>IF(AD871="","",IF(LEFT(AD871,1)="1","C1",IF(LEFT(AD871,1)="2","C2",IF(LEFT(AD871,1)="3","C3",""))))</f>
        <v/>
      </c>
      <c r="AF871" s="11" t="inlineStr">
        <is>
          <t>E6</t>
        </is>
      </c>
      <c r="AG871" s="11" t="inlineStr">
        <is>
          <t>D1</t>
        </is>
      </c>
      <c r="AH871" s="11" t="inlineStr">
        <is>
          <t>E2</t>
        </is>
      </c>
      <c r="AI871" s="11" t="inlineStr">
        <is>
          <t>D4</t>
        </is>
      </c>
      <c r="AJ871" s="11" t="inlineStr">
        <is>
          <t>I5</t>
        </is>
      </c>
      <c r="AK871" s="11" t="n"/>
      <c r="AL871" s="11" t="n"/>
      <c r="AM871" s="11" t="n"/>
      <c r="AN871" s="11" t="n"/>
      <c r="AO871" s="11" t="n"/>
      <c r="AP871" s="11" t="n"/>
      <c r="AQ871" s="11" t="n"/>
      <c r="AR871" s="11" t="n"/>
      <c r="AS871" s="11" t="n"/>
      <c r="AT871" s="11" t="n"/>
      <c r="AU871" s="11" t="n"/>
      <c r="AV871" s="11" t="n"/>
      <c r="AW871" s="11">
        <f>AF871&amp;"; "&amp;AG871&amp;"; "&amp;AH871&amp;"; "&amp;AI871&amp;"; "&amp;AJ871</f>
        <v/>
      </c>
    </row>
    <row r="872">
      <c r="A872" s="11" t="inlineStr">
        <is>
          <t>T0408-G11-FÍS</t>
        </is>
      </c>
      <c r="B872" s="11" t="n">
        <v>11</v>
      </c>
      <c r="C872" s="11" t="inlineStr">
        <is>
          <t>Física</t>
        </is>
      </c>
      <c r="D872" s="11" t="inlineStr">
        <is>
          <t>Matriz_Bachillerato_Fisica_10_11.xlsx</t>
        </is>
      </c>
      <c r="E872" s="11" t="inlineStr">
        <is>
          <t>Física 11.°</t>
        </is>
      </c>
      <c r="F872" s="11" t="n">
        <v>127</v>
      </c>
      <c r="G872" s="11" t="inlineStr">
        <is>
          <t>21. Física radiactiva</t>
        </is>
      </c>
      <c r="H872" s="11" t="inlineStr">
        <is>
          <t>Desintegración radiactiva</t>
        </is>
      </c>
      <c r="I872" s="38" t="inlineStr">
        <is>
          <t>21.1. Escritura y balance de ecuaciones de desintegración alfa, beta y gamma aplicando la conservación del número másico y de la carga.</t>
        </is>
      </c>
      <c r="J872" s="11" t="inlineStr">
        <is>
          <t>TA</t>
        </is>
      </c>
      <c r="K872" s="11" t="inlineStr">
        <is>
          <t>TA-O2.3</t>
        </is>
      </c>
      <c r="L872" s="11" t="inlineStr"/>
      <c r="M872" s="11">
        <f>IF(K872="FUERA","Fuera del marco",IF(K872="N/A","Sin marco",IFERROR(INDEX('Datos - Catálogo TIMSS'!$C$5:$C$107,MATCH(K872,'Datos - Catálogo TIMSS'!$A$5:$A$107,0)),"Pendiente de clasificar")))</f>
        <v/>
      </c>
      <c r="N872" s="11">
        <f>IF(K872="FUERA","Fuera del marco",IF(K872="N/A","Sin marco",IFERROR(INDEX('Datos - Catálogo TIMSS'!$F$5:$F$107,MATCH(K872,'Datos - Catálogo TIMSS'!$A$5:$A$107,0)),"Pendiente de clasificar")))</f>
        <v/>
      </c>
      <c r="O872" s="11">
        <f>IF(L872="","",IFERROR(INDEX('Datos - Catálogo TIMSS'!$C$5:$C$107,MATCH(L872,'Datos - Catálogo TIMSS'!$A$5:$A$107,0)),"?"))</f>
        <v/>
      </c>
      <c r="P872" s="11" t="inlineStr">
        <is>
          <t>alta</t>
        </is>
      </c>
      <c r="Q872" s="38" t="inlineStr">
        <is>
          <t>Ecuaciones de desintegración alfa, beta y gamma</t>
        </is>
      </c>
      <c r="R872" s="38" t="inlineStr">
        <is>
          <t>Aplicar: balancear ecuaciones nucleares. Razonar: generalizar reglas de conservación</t>
        </is>
      </c>
      <c r="S872" s="39">
        <f>IFERROR(ISNUMBER(SEARCH("Conocer",$R872))/(ISNUMBER(SEARCH("Conocer",$R872))+ISNUMBER(SEARCH("Aplicar",$R872))+ISNUMBER(SEARCH("Razonar",$R872))),0)</f>
        <v/>
      </c>
      <c r="T872" s="39">
        <f>IFERROR(ISNUMBER(SEARCH("Aplicar",$R872))/(ISNUMBER(SEARCH("Conocer",$R872))+ISNUMBER(SEARCH("Aplicar",$R872))+ISNUMBER(SEARCH("Razonar",$R872))),0)</f>
        <v/>
      </c>
      <c r="U872" s="39">
        <f>IFERROR(ISNUMBER(SEARCH("Razonar",$R872))/(ISNUMBER(SEARCH("Conocer",$R872))+ISNUMBER(SEARCH("Aplicar",$R872))+ISNUMBER(SEARCH("Razonar",$R872))),0)</f>
        <v/>
      </c>
      <c r="V872" s="11" t="inlineStr">
        <is>
          <t>Física 11°</t>
        </is>
      </c>
      <c r="W872" s="11" t="inlineStr">
        <is>
          <t>Física 10°–11°</t>
        </is>
      </c>
      <c r="X872" s="11">
        <f>IF(OR(IFERROR(INDEX('Datos - Catálogo TIMSS'!$I$5:$I$107,MATCH(K872,'Datos - Catálogo TIMSS'!$A$5:$A$107,0)),"No")="Sí",IFERROR(INDEX('Datos - Catálogo TIMSS'!$I$5:$I$107,MATCH(L872,'Datos - Catálogo TIMSS'!$A$5:$A$107,0)),"No")="Sí"),1,0)</f>
        <v/>
      </c>
      <c r="Y872" s="11">
        <f>IF(IFERROR(INDEX('Datos - Catálogo TIMSS'!$J$5:$J$107,MATCH(K872,'Datos - Catálogo TIMSS'!$A$5:$A$107,0)),"No")="Sí",1,0)</f>
        <v/>
      </c>
      <c r="Z872" s="11">
        <f>IF(IFERROR(INDEX('Datos - Catálogo TIMSS'!$J$5:$J$107,MATCH(L872,'Datos - Catálogo TIMSS'!$A$5:$A$107,0)),"No")="Sí",1,0)</f>
        <v/>
      </c>
      <c r="AA872" s="11" t="inlineStr">
        <is>
          <t>TA-O2.3</t>
        </is>
      </c>
      <c r="AB872" s="11" t="inlineStr"/>
      <c r="AC872" s="11">
        <f>IF(AA872="FUERA","Fuera del marco",IF(AA872="N/A","Sin marco",IFERROR(INDEX('Datos - TIMSS 2023'!$C$5:$C$105,MATCH(AA872,'Datos - TIMSS 2023'!$A$5:$A$105,0)),"Pendiente de clasificar")))</f>
        <v/>
      </c>
      <c r="AD872" s="11" t="inlineStr">
        <is>
          <t>1. Explicar fenómenos científicamente</t>
        </is>
      </c>
      <c r="AE872" s="11">
        <f>IF(AD872="","",IF(LEFT(AD872,1)="1","C1",IF(LEFT(AD872,1)="2","C2",IF(LEFT(AD872,1)="3","C3",""))))</f>
        <v/>
      </c>
      <c r="AF872" s="11" t="inlineStr">
        <is>
          <t>E1</t>
        </is>
      </c>
      <c r="AG872" s="11" t="inlineStr">
        <is>
          <t>D1</t>
        </is>
      </c>
      <c r="AH872" s="11" t="inlineStr">
        <is>
          <t>E2</t>
        </is>
      </c>
      <c r="AI872" s="11" t="inlineStr">
        <is>
          <t>D4</t>
        </is>
      </c>
      <c r="AJ872" s="11" t="inlineStr">
        <is>
          <t>E3</t>
        </is>
      </c>
      <c r="AK872" s="11" t="n"/>
      <c r="AL872" s="11" t="n"/>
      <c r="AM872" s="11" t="n"/>
      <c r="AN872" s="11" t="n"/>
      <c r="AO872" s="11" t="n"/>
      <c r="AP872" s="11" t="n"/>
      <c r="AQ872" s="11" t="n"/>
      <c r="AR872" s="11" t="n"/>
      <c r="AS872" s="11" t="n"/>
      <c r="AT872" s="11" t="n"/>
      <c r="AU872" s="11" t="n"/>
      <c r="AV872" s="11" t="n"/>
      <c r="AW872" s="11">
        <f>AF872&amp;"; "&amp;AG872&amp;"; "&amp;AH872&amp;"; "&amp;AI872&amp;"; "&amp;AJ872</f>
        <v/>
      </c>
    </row>
    <row r="873">
      <c r="A873" s="11" t="inlineStr">
        <is>
          <t>T0409-G11-FÍS</t>
        </is>
      </c>
      <c r="B873" s="11" t="n">
        <v>11</v>
      </c>
      <c r="C873" s="11" t="inlineStr">
        <is>
          <t>Física</t>
        </is>
      </c>
      <c r="D873" s="11" t="inlineStr">
        <is>
          <t>Matriz_Bachillerato_Fisica_10_11.xlsx</t>
        </is>
      </c>
      <c r="E873" s="11" t="inlineStr">
        <is>
          <t>Física 11.°</t>
        </is>
      </c>
      <c r="F873" s="11" t="n">
        <v>128</v>
      </c>
      <c r="G873" s="11" t="inlineStr">
        <is>
          <t>21. Física radiactiva</t>
        </is>
      </c>
      <c r="H873" s="11" t="inlineStr">
        <is>
          <t>Ley de desintegración</t>
        </is>
      </c>
      <c r="I873" s="38" t="inlineStr">
        <is>
          <t>21.2. Modelación de la desintegración radiactiva con dados y simulaciones, y cálculo de la actividad y la vida media con la ley exponencial.</t>
        </is>
      </c>
      <c r="J873" s="11" t="inlineStr">
        <is>
          <t>TA</t>
        </is>
      </c>
      <c r="K873" s="11" t="inlineStr">
        <is>
          <t>TA-O2.3</t>
        </is>
      </c>
      <c r="L873" s="11" t="inlineStr"/>
      <c r="M873" s="11">
        <f>IF(K873="FUERA","Fuera del marco",IF(K873="N/A","Sin marco",IFERROR(INDEX('Datos - Catálogo TIMSS'!$C$5:$C$107,MATCH(K873,'Datos - Catálogo TIMSS'!$A$5:$A$107,0)),"Pendiente de clasificar")))</f>
        <v/>
      </c>
      <c r="N873" s="11">
        <f>IF(K873="FUERA","Fuera del marco",IF(K873="N/A","Sin marco",IFERROR(INDEX('Datos - Catálogo TIMSS'!$F$5:$F$107,MATCH(K873,'Datos - Catálogo TIMSS'!$A$5:$A$107,0)),"Pendiente de clasificar")))</f>
        <v/>
      </c>
      <c r="O873" s="11">
        <f>IF(L873="","",IFERROR(INDEX('Datos - Catálogo TIMSS'!$C$5:$C$107,MATCH(L873,'Datos - Catálogo TIMSS'!$A$5:$A$107,0)),"?"))</f>
        <v/>
      </c>
      <c r="P873" s="11" t="inlineStr">
        <is>
          <t>alta</t>
        </is>
      </c>
      <c r="Q873" s="38" t="inlineStr">
        <is>
          <t>Ley de desintegración radiactiva y vida media</t>
        </is>
      </c>
      <c r="R873" s="38" t="inlineStr">
        <is>
          <t>Aplicar: calcular actividades y vidas medias. Razonar: evaluar un modelo estadístico</t>
        </is>
      </c>
      <c r="S873" s="39">
        <f>IFERROR(ISNUMBER(SEARCH("Conocer",$R873))/(ISNUMBER(SEARCH("Conocer",$R873))+ISNUMBER(SEARCH("Aplicar",$R873))+ISNUMBER(SEARCH("Razonar",$R873))),0)</f>
        <v/>
      </c>
      <c r="T873" s="39">
        <f>IFERROR(ISNUMBER(SEARCH("Aplicar",$R873))/(ISNUMBER(SEARCH("Conocer",$R873))+ISNUMBER(SEARCH("Aplicar",$R873))+ISNUMBER(SEARCH("Razonar",$R873))),0)</f>
        <v/>
      </c>
      <c r="U873" s="39">
        <f>IFERROR(ISNUMBER(SEARCH("Razonar",$R873))/(ISNUMBER(SEARCH("Conocer",$R873))+ISNUMBER(SEARCH("Aplicar",$R873))+ISNUMBER(SEARCH("Razonar",$R873))),0)</f>
        <v/>
      </c>
      <c r="V873" s="11" t="inlineStr">
        <is>
          <t>Física 11°</t>
        </is>
      </c>
      <c r="W873" s="11" t="inlineStr">
        <is>
          <t>Física 10°–11°</t>
        </is>
      </c>
      <c r="X873" s="11">
        <f>IF(OR(IFERROR(INDEX('Datos - Catálogo TIMSS'!$I$5:$I$107,MATCH(K873,'Datos - Catálogo TIMSS'!$A$5:$A$107,0)),"No")="Sí",IFERROR(INDEX('Datos - Catálogo TIMSS'!$I$5:$I$107,MATCH(L873,'Datos - Catálogo TIMSS'!$A$5:$A$107,0)),"No")="Sí"),1,0)</f>
        <v/>
      </c>
      <c r="Y873" s="11">
        <f>IF(IFERROR(INDEX('Datos - Catálogo TIMSS'!$J$5:$J$107,MATCH(K873,'Datos - Catálogo TIMSS'!$A$5:$A$107,0)),"No")="Sí",1,0)</f>
        <v/>
      </c>
      <c r="Z873" s="11">
        <f>IF(IFERROR(INDEX('Datos - Catálogo TIMSS'!$J$5:$J$107,MATCH(L873,'Datos - Catálogo TIMSS'!$A$5:$A$107,0)),"No")="Sí",1,0)</f>
        <v/>
      </c>
      <c r="AA873" s="11" t="inlineStr">
        <is>
          <t>TA-O2.3</t>
        </is>
      </c>
      <c r="AB873" s="11" t="inlineStr"/>
      <c r="AC873" s="11">
        <f>IF(AA873="FUERA","Fuera del marco",IF(AA873="N/A","Sin marco",IFERROR(INDEX('Datos - TIMSS 2023'!$C$5:$C$105,MATCH(AA873,'Datos - TIMSS 2023'!$A$5:$A$105,0)),"Pendiente de clasificar")))</f>
        <v/>
      </c>
      <c r="AD873" s="11" t="inlineStr">
        <is>
          <t>2. Construir y evaluar diseños para la indagación científica e interpretar datos y evidencia de forma crítica</t>
        </is>
      </c>
      <c r="AE873" s="11">
        <f>IF(AD873="","",IF(LEFT(AD873,1)="1","C1",IF(LEFT(AD873,1)="2","C2",IF(LEFT(AD873,1)="3","C3",""))))</f>
        <v/>
      </c>
      <c r="AF873" s="11" t="inlineStr">
        <is>
          <t>E1</t>
        </is>
      </c>
      <c r="AG873" s="11" t="inlineStr">
        <is>
          <t>E5</t>
        </is>
      </c>
      <c r="AH873" s="11" t="inlineStr">
        <is>
          <t>E4</t>
        </is>
      </c>
      <c r="AI873" s="11" t="inlineStr">
        <is>
          <t>D4</t>
        </is>
      </c>
      <c r="AJ873" s="11" t="inlineStr">
        <is>
          <t>D3</t>
        </is>
      </c>
      <c r="AK873" s="11" t="n"/>
      <c r="AL873" s="11" t="n"/>
      <c r="AM873" s="11" t="n"/>
      <c r="AN873" s="11" t="n"/>
      <c r="AO873" s="11" t="n"/>
      <c r="AP873" s="11" t="n"/>
      <c r="AQ873" s="11" t="n"/>
      <c r="AR873" s="11" t="n"/>
      <c r="AS873" s="11" t="n"/>
      <c r="AT873" s="11" t="n"/>
      <c r="AU873" s="11" t="n"/>
      <c r="AV873" s="11" t="n"/>
      <c r="AW873" s="11">
        <f>AF873&amp;"; "&amp;AG873&amp;"; "&amp;AH873&amp;"; "&amp;AI873&amp;"; "&amp;AJ873</f>
        <v/>
      </c>
    </row>
    <row r="874">
      <c r="A874" s="11" t="inlineStr">
        <is>
          <t>T0410-G11-FÍS</t>
        </is>
      </c>
      <c r="B874" s="11" t="n">
        <v>11</v>
      </c>
      <c r="C874" s="11" t="inlineStr">
        <is>
          <t>Física</t>
        </is>
      </c>
      <c r="D874" s="11" t="inlineStr">
        <is>
          <t>Matriz_Bachillerato_Fisica_10_11.xlsx</t>
        </is>
      </c>
      <c r="E874" s="11" t="inlineStr">
        <is>
          <t>Física 11.°</t>
        </is>
      </c>
      <c r="F874" s="11" t="n">
        <v>129</v>
      </c>
      <c r="G874" s="11" t="inlineStr">
        <is>
          <t>21. Física radiactiva</t>
        </is>
      </c>
      <c r="H874" s="11" t="inlineStr">
        <is>
          <t>Aplicaciones de la ley de desintegración</t>
        </is>
      </c>
      <c r="I874" s="38" t="inlineStr">
        <is>
          <t>21.3. Cálculo de la edad de muestras arqueológicas y geológicas con la ley de desintegración a partir de datos publicados.</t>
        </is>
      </c>
      <c r="J874" s="11" t="inlineStr">
        <is>
          <t>TA</t>
        </is>
      </c>
      <c r="K874" s="11" t="inlineStr">
        <is>
          <t>TA-O2.3</t>
        </is>
      </c>
      <c r="L874" s="11" t="inlineStr"/>
      <c r="M874" s="11">
        <f>IF(K874="FUERA","Fuera del marco",IF(K874="N/A","Sin marco",IFERROR(INDEX('Datos - Catálogo TIMSS'!$C$5:$C$107,MATCH(K874,'Datos - Catálogo TIMSS'!$A$5:$A$107,0)),"Pendiente de clasificar")))</f>
        <v/>
      </c>
      <c r="N874" s="11">
        <f>IF(K874="FUERA","Fuera del marco",IF(K874="N/A","Sin marco",IFERROR(INDEX('Datos - Catálogo TIMSS'!$F$5:$F$107,MATCH(K874,'Datos - Catálogo TIMSS'!$A$5:$A$107,0)),"Pendiente de clasificar")))</f>
        <v/>
      </c>
      <c r="O874" s="11">
        <f>IF(L874="","",IFERROR(INDEX('Datos - Catálogo TIMSS'!$C$5:$C$107,MATCH(L874,'Datos - Catálogo TIMSS'!$A$5:$A$107,0)),"?"))</f>
        <v/>
      </c>
      <c r="P874" s="11" t="inlineStr">
        <is>
          <t>alta</t>
        </is>
      </c>
      <c r="Q874" s="38" t="inlineStr">
        <is>
          <t>Datación radiactiva con vida media</t>
        </is>
      </c>
      <c r="R874" s="38" t="inlineStr">
        <is>
          <t>Aplicar: calcular edades radiométricas. Razonar: evaluar incertidumbres y métodos</t>
        </is>
      </c>
      <c r="S874" s="39">
        <f>IFERROR(ISNUMBER(SEARCH("Conocer",$R874))/(ISNUMBER(SEARCH("Conocer",$R874))+ISNUMBER(SEARCH("Aplicar",$R874))+ISNUMBER(SEARCH("Razonar",$R874))),0)</f>
        <v/>
      </c>
      <c r="T874" s="39">
        <f>IFERROR(ISNUMBER(SEARCH("Aplicar",$R874))/(ISNUMBER(SEARCH("Conocer",$R874))+ISNUMBER(SEARCH("Aplicar",$R874))+ISNUMBER(SEARCH("Razonar",$R874))),0)</f>
        <v/>
      </c>
      <c r="U874" s="39">
        <f>IFERROR(ISNUMBER(SEARCH("Razonar",$R874))/(ISNUMBER(SEARCH("Conocer",$R874))+ISNUMBER(SEARCH("Aplicar",$R874))+ISNUMBER(SEARCH("Razonar",$R874))),0)</f>
        <v/>
      </c>
      <c r="V874" s="11" t="inlineStr">
        <is>
          <t>Física 11°</t>
        </is>
      </c>
      <c r="W874" s="11" t="inlineStr">
        <is>
          <t>Física 10°–11°</t>
        </is>
      </c>
      <c r="X874" s="11">
        <f>IF(OR(IFERROR(INDEX('Datos - Catálogo TIMSS'!$I$5:$I$107,MATCH(K874,'Datos - Catálogo TIMSS'!$A$5:$A$107,0)),"No")="Sí",IFERROR(INDEX('Datos - Catálogo TIMSS'!$I$5:$I$107,MATCH(L874,'Datos - Catálogo TIMSS'!$A$5:$A$107,0)),"No")="Sí"),1,0)</f>
        <v/>
      </c>
      <c r="Y874" s="11">
        <f>IF(IFERROR(INDEX('Datos - Catálogo TIMSS'!$J$5:$J$107,MATCH(K874,'Datos - Catálogo TIMSS'!$A$5:$A$107,0)),"No")="Sí",1,0)</f>
        <v/>
      </c>
      <c r="Z874" s="11">
        <f>IF(IFERROR(INDEX('Datos - Catálogo TIMSS'!$J$5:$J$107,MATCH(L874,'Datos - Catálogo TIMSS'!$A$5:$A$107,0)),"No")="Sí",1,0)</f>
        <v/>
      </c>
      <c r="AA874" s="11" t="inlineStr">
        <is>
          <t>TA-O2.3</t>
        </is>
      </c>
      <c r="AB874" s="11" t="inlineStr"/>
      <c r="AC874" s="11">
        <f>IF(AA874="FUERA","Fuera del marco",IF(AA874="N/A","Sin marco",IFERROR(INDEX('Datos - TIMSS 2023'!$C$5:$C$105,MATCH(AA874,'Datos - TIMSS 2023'!$A$5:$A$105,0)),"Pendiente de clasificar")))</f>
        <v/>
      </c>
      <c r="AD874" s="11" t="inlineStr">
        <is>
          <t>3. Investigar, evaluar y usar información científica para tomar decisiones y actuar</t>
        </is>
      </c>
      <c r="AE874" s="11">
        <f>IF(AD874="","",IF(LEFT(AD874,1)="1","C1",IF(LEFT(AD874,1)="2","C2",IF(LEFT(AD874,1)="3","C3",""))))</f>
        <v/>
      </c>
      <c r="AF874" s="11" t="inlineStr">
        <is>
          <t>E6</t>
        </is>
      </c>
      <c r="AG874" s="11" t="inlineStr">
        <is>
          <t>D1</t>
        </is>
      </c>
      <c r="AH874" s="11" t="inlineStr">
        <is>
          <t>E1</t>
        </is>
      </c>
      <c r="AI874" s="11" t="inlineStr">
        <is>
          <t>I1</t>
        </is>
      </c>
      <c r="AJ874" s="11" t="inlineStr">
        <is>
          <t>I5</t>
        </is>
      </c>
      <c r="AK874" s="11" t="n"/>
      <c r="AL874" s="11" t="n"/>
      <c r="AM874" s="11" t="n"/>
      <c r="AN874" s="11" t="n"/>
      <c r="AO874" s="11" t="n"/>
      <c r="AP874" s="11" t="n"/>
      <c r="AQ874" s="11" t="n"/>
      <c r="AR874" s="11" t="n"/>
      <c r="AS874" s="11" t="n"/>
      <c r="AT874" s="11" t="n"/>
      <c r="AU874" s="11" t="n"/>
      <c r="AV874" s="11" t="n"/>
      <c r="AW874" s="11">
        <f>AF874&amp;"; "&amp;AG874&amp;"; "&amp;AH874&amp;"; "&amp;AI874&amp;"; "&amp;AJ874</f>
        <v/>
      </c>
    </row>
    <row r="875">
      <c r="A875" s="11" t="inlineStr">
        <is>
          <t>T0411-G11-FÍS</t>
        </is>
      </c>
      <c r="B875" s="11" t="n">
        <v>11</v>
      </c>
      <c r="C875" s="11" t="inlineStr">
        <is>
          <t>Física</t>
        </is>
      </c>
      <c r="D875" s="11" t="inlineStr">
        <is>
          <t>Matriz_Bachillerato_Fisica_10_11.xlsx</t>
        </is>
      </c>
      <c r="E875" s="11" t="inlineStr">
        <is>
          <t>Física 11.°</t>
        </is>
      </c>
      <c r="F875" s="11" t="n">
        <v>130</v>
      </c>
      <c r="G875" s="11" t="inlineStr">
        <is>
          <t>21. Física radiactiva</t>
        </is>
      </c>
      <c r="H875" s="11" t="inlineStr">
        <is>
          <t>Medición de la radiación</t>
        </is>
      </c>
      <c r="I875" s="38" t="inlineStr">
        <is>
          <t>21.4. Análisis del principio de funcionamiento de los detectores de radiación a partir de la ionización y la excitación que produce la radiación.</t>
        </is>
      </c>
      <c r="J875" s="11" t="inlineStr">
        <is>
          <t>TA</t>
        </is>
      </c>
      <c r="K875" s="11" t="inlineStr">
        <is>
          <t>TA-O2.3</t>
        </is>
      </c>
      <c r="L875" s="11" t="inlineStr"/>
      <c r="M875" s="11">
        <f>IF(K875="FUERA","Fuera del marco",IF(K875="N/A","Sin marco",IFERROR(INDEX('Datos - Catálogo TIMSS'!$C$5:$C$107,MATCH(K875,'Datos - Catálogo TIMSS'!$A$5:$A$107,0)),"Pendiente de clasificar")))</f>
        <v/>
      </c>
      <c r="N875" s="11">
        <f>IF(K875="FUERA","Fuera del marco",IF(K875="N/A","Sin marco",IFERROR(INDEX('Datos - Catálogo TIMSS'!$F$5:$F$107,MATCH(K875,'Datos - Catálogo TIMSS'!$A$5:$A$107,0)),"Pendiente de clasificar")))</f>
        <v/>
      </c>
      <c r="O875" s="11">
        <f>IF(L875="","",IFERROR(INDEX('Datos - Catálogo TIMSS'!$C$5:$C$107,MATCH(L875,'Datos - Catálogo TIMSS'!$A$5:$A$107,0)),"?"))</f>
        <v/>
      </c>
      <c r="P875" s="11" t="inlineStr">
        <is>
          <t>media</t>
        </is>
      </c>
      <c r="Q875" s="38" t="inlineStr">
        <is>
          <t>Detección de radiación de decaimiento</t>
        </is>
      </c>
      <c r="R875" s="38" t="inlineStr">
        <is>
          <t>Conocer: describir detectores. Razonar: seleccionar el detector adecuado</t>
        </is>
      </c>
      <c r="S875" s="39">
        <f>IFERROR(ISNUMBER(SEARCH("Conocer",$R875))/(ISNUMBER(SEARCH("Conocer",$R875))+ISNUMBER(SEARCH("Aplicar",$R875))+ISNUMBER(SEARCH("Razonar",$R875))),0)</f>
        <v/>
      </c>
      <c r="T875" s="39">
        <f>IFERROR(ISNUMBER(SEARCH("Aplicar",$R875))/(ISNUMBER(SEARCH("Conocer",$R875))+ISNUMBER(SEARCH("Aplicar",$R875))+ISNUMBER(SEARCH("Razonar",$R875))),0)</f>
        <v/>
      </c>
      <c r="U875" s="39">
        <f>IFERROR(ISNUMBER(SEARCH("Razonar",$R875))/(ISNUMBER(SEARCH("Conocer",$R875))+ISNUMBER(SEARCH("Aplicar",$R875))+ISNUMBER(SEARCH("Razonar",$R875))),0)</f>
        <v/>
      </c>
      <c r="V875" s="11" t="inlineStr">
        <is>
          <t>Física 11°</t>
        </is>
      </c>
      <c r="W875" s="11" t="inlineStr">
        <is>
          <t>Física 10°–11°</t>
        </is>
      </c>
      <c r="X875" s="11">
        <f>IF(OR(IFERROR(INDEX('Datos - Catálogo TIMSS'!$I$5:$I$107,MATCH(K875,'Datos - Catálogo TIMSS'!$A$5:$A$107,0)),"No")="Sí",IFERROR(INDEX('Datos - Catálogo TIMSS'!$I$5:$I$107,MATCH(L875,'Datos - Catálogo TIMSS'!$A$5:$A$107,0)),"No")="Sí"),1,0)</f>
        <v/>
      </c>
      <c r="Y875" s="11">
        <f>IF(IFERROR(INDEX('Datos - Catálogo TIMSS'!$J$5:$J$107,MATCH(K875,'Datos - Catálogo TIMSS'!$A$5:$A$107,0)),"No")="Sí",1,0)</f>
        <v/>
      </c>
      <c r="Z875" s="11">
        <f>IF(IFERROR(INDEX('Datos - Catálogo TIMSS'!$J$5:$J$107,MATCH(L875,'Datos - Catálogo TIMSS'!$A$5:$A$107,0)),"No")="Sí",1,0)</f>
        <v/>
      </c>
      <c r="AA875" s="11" t="inlineStr">
        <is>
          <t>TA-O2.3</t>
        </is>
      </c>
      <c r="AB875" s="11" t="inlineStr"/>
      <c r="AC875" s="11">
        <f>IF(AA875="FUERA","Fuera del marco",IF(AA875="N/A","Sin marco",IFERROR(INDEX('Datos - TIMSS 2023'!$C$5:$C$105,MATCH(AA875,'Datos - TIMSS 2023'!$A$5:$A$105,0)),"Pendiente de clasificar")))</f>
        <v/>
      </c>
      <c r="AD875" s="11" t="inlineStr">
        <is>
          <t>1. Explicar fenómenos científicamente</t>
        </is>
      </c>
      <c r="AE875" s="11">
        <f>IF(AD875="","",IF(LEFT(AD875,1)="1","C1",IF(LEFT(AD875,1)="2","C2",IF(LEFT(AD875,1)="3","C3",""))))</f>
        <v/>
      </c>
      <c r="AF875" s="11" t="inlineStr">
        <is>
          <t>E6</t>
        </is>
      </c>
      <c r="AG875" s="11" t="inlineStr">
        <is>
          <t>E3</t>
        </is>
      </c>
      <c r="AH875" s="11" t="inlineStr">
        <is>
          <t>E4</t>
        </is>
      </c>
      <c r="AI875" s="11" t="inlineStr">
        <is>
          <t>D4</t>
        </is>
      </c>
      <c r="AJ875" s="11" t="inlineStr">
        <is>
          <t>D3</t>
        </is>
      </c>
      <c r="AK875" s="11" t="n"/>
      <c r="AL875" s="11" t="n"/>
      <c r="AM875" s="11" t="n"/>
      <c r="AN875" s="11" t="n"/>
      <c r="AO875" s="11" t="n"/>
      <c r="AP875" s="11" t="n"/>
      <c r="AQ875" s="11" t="n"/>
      <c r="AR875" s="11" t="n"/>
      <c r="AS875" s="11" t="n"/>
      <c r="AT875" s="11" t="n"/>
      <c r="AU875" s="11" t="n"/>
      <c r="AV875" s="11" t="n"/>
      <c r="AW875" s="11">
        <f>AF875&amp;"; "&amp;AG875&amp;"; "&amp;AH875&amp;"; "&amp;AI875&amp;"; "&amp;AJ875</f>
        <v/>
      </c>
    </row>
    <row r="876">
      <c r="A876" s="11" t="inlineStr">
        <is>
          <t>T0412-G11-FÍS</t>
        </is>
      </c>
      <c r="B876" s="11" t="n">
        <v>11</v>
      </c>
      <c r="C876" s="11" t="inlineStr">
        <is>
          <t>Física</t>
        </is>
      </c>
      <c r="D876" s="11" t="inlineStr">
        <is>
          <t>Matriz_Bachillerato_Fisica_10_11.xlsx</t>
        </is>
      </c>
      <c r="E876" s="11" t="inlineStr">
        <is>
          <t>Física 11.°</t>
        </is>
      </c>
      <c r="F876" s="11" t="n">
        <v>131</v>
      </c>
      <c r="G876" s="11" t="inlineStr">
        <is>
          <t>22. Ciencias del espacio</t>
        </is>
      </c>
      <c r="H876" s="11" t="inlineStr">
        <is>
          <t>Sistema solar</t>
        </is>
      </c>
      <c r="I876" s="38" t="inlineStr">
        <is>
          <t>22.1. Exploración del razonamiento que originó los sistemas geocéntrico y heliocéntrico.</t>
        </is>
      </c>
      <c r="J876" s="11" t="inlineStr">
        <is>
          <t>TA</t>
        </is>
      </c>
      <c r="K876" s="11" t="inlineStr">
        <is>
          <t>FUERA</t>
        </is>
      </c>
      <c r="L876" s="11" t="inlineStr"/>
      <c r="M876" s="11">
        <f>IF(K876="FUERA","Fuera del marco",IF(K876="N/A","Sin marco",IFERROR(INDEX('Datos - Catálogo TIMSS'!$C$5:$C$107,MATCH(K876,'Datos - Catálogo TIMSS'!$A$5:$A$107,0)),"Pendiente de clasificar")))</f>
        <v/>
      </c>
      <c r="N876" s="11">
        <f>IF(K876="FUERA","Fuera del marco",IF(K876="N/A","Sin marco",IFERROR(INDEX('Datos - Catálogo TIMSS'!$F$5:$F$107,MATCH(K876,'Datos - Catálogo TIMSS'!$A$5:$A$107,0)),"Pendiente de clasificar")))</f>
        <v/>
      </c>
      <c r="O876" s="11">
        <f>IF(L876="","",IFERROR(INDEX('Datos - Catálogo TIMSS'!$C$5:$C$107,MATCH(L876,'Datos - Catálogo TIMSS'!$A$5:$A$107,0)),"?"))</f>
        <v/>
      </c>
      <c r="P876" s="11" t="inlineStr">
        <is>
          <t>media</t>
        </is>
      </c>
      <c r="Q876" s="38" t="inlineStr">
        <is>
          <t>Modelos geocéntrico y heliocéntrico: historia de la astronomía</t>
        </is>
      </c>
      <c r="R876" s="38" t="inlineStr">
        <is>
          <t>Conocer: describir modelos. Razonar: argumentar con evidencias históricas</t>
        </is>
      </c>
      <c r="S876" s="39">
        <f>IFERROR(ISNUMBER(SEARCH("Conocer",$R876))/(ISNUMBER(SEARCH("Conocer",$R876))+ISNUMBER(SEARCH("Aplicar",$R876))+ISNUMBER(SEARCH("Razonar",$R876))),0)</f>
        <v/>
      </c>
      <c r="T876" s="39">
        <f>IFERROR(ISNUMBER(SEARCH("Aplicar",$R876))/(ISNUMBER(SEARCH("Conocer",$R876))+ISNUMBER(SEARCH("Aplicar",$R876))+ISNUMBER(SEARCH("Razonar",$R876))),0)</f>
        <v/>
      </c>
      <c r="U876" s="39">
        <f>IFERROR(ISNUMBER(SEARCH("Razonar",$R876))/(ISNUMBER(SEARCH("Conocer",$R876))+ISNUMBER(SEARCH("Aplicar",$R876))+ISNUMBER(SEARCH("Razonar",$R876))),0)</f>
        <v/>
      </c>
      <c r="V876" s="11" t="inlineStr">
        <is>
          <t>Física 11°</t>
        </is>
      </c>
      <c r="W876" s="11" t="inlineStr">
        <is>
          <t>Física 10°–11°</t>
        </is>
      </c>
      <c r="X876" s="11">
        <f>IF(OR(IFERROR(INDEX('Datos - Catálogo TIMSS'!$I$5:$I$107,MATCH(K876,'Datos - Catálogo TIMSS'!$A$5:$A$107,0)),"No")="Sí",IFERROR(INDEX('Datos - Catálogo TIMSS'!$I$5:$I$107,MATCH(L876,'Datos - Catálogo TIMSS'!$A$5:$A$107,0)),"No")="Sí"),1,0)</f>
        <v/>
      </c>
      <c r="Y876" s="11">
        <f>IF(IFERROR(INDEX('Datos - Catálogo TIMSS'!$J$5:$J$107,MATCH(K876,'Datos - Catálogo TIMSS'!$A$5:$A$107,0)),"No")="Sí",1,0)</f>
        <v/>
      </c>
      <c r="Z876" s="11">
        <f>IF(IFERROR(INDEX('Datos - Catálogo TIMSS'!$J$5:$J$107,MATCH(L876,'Datos - Catálogo TIMSS'!$A$5:$A$107,0)),"No")="Sí",1,0)</f>
        <v/>
      </c>
      <c r="AA876" s="11" t="inlineStr">
        <is>
          <t>FUERA</t>
        </is>
      </c>
      <c r="AB876" s="11" t="inlineStr"/>
      <c r="AC876" s="11">
        <f>IF(AA876="FUERA","Fuera del marco",IF(AA876="N/A","Sin marco",IFERROR(INDEX('Datos - TIMSS 2023'!$C$5:$C$105,MATCH(AA876,'Datos - TIMSS 2023'!$A$5:$A$105,0)),"Pendiente de clasificar")))</f>
        <v/>
      </c>
      <c r="AD876" s="11" t="inlineStr">
        <is>
          <t>1. Explicar fenómenos científicamente</t>
        </is>
      </c>
      <c r="AE876" s="11">
        <f>IF(AD876="","",IF(LEFT(AD876,1)="1","C1",IF(LEFT(AD876,1)="2","C2",IF(LEFT(AD876,1)="3","C3",""))))</f>
        <v/>
      </c>
      <c r="AF876" s="11" t="inlineStr">
        <is>
          <t>E1</t>
        </is>
      </c>
      <c r="AG876" s="11" t="inlineStr">
        <is>
          <t>D1</t>
        </is>
      </c>
      <c r="AH876" s="11" t="inlineStr">
        <is>
          <t>E4</t>
        </is>
      </c>
      <c r="AI876" s="11" t="inlineStr">
        <is>
          <t>I3</t>
        </is>
      </c>
      <c r="AJ876" s="11" t="inlineStr">
        <is>
          <t>E6</t>
        </is>
      </c>
      <c r="AK876" s="11" t="n"/>
      <c r="AL876" s="11" t="n"/>
      <c r="AM876" s="11" t="n"/>
      <c r="AN876" s="11" t="n"/>
      <c r="AO876" s="11" t="n"/>
      <c r="AP876" s="11" t="n"/>
      <c r="AQ876" s="11" t="n"/>
      <c r="AR876" s="11" t="n"/>
      <c r="AS876" s="11" t="n"/>
      <c r="AT876" s="11" t="n"/>
      <c r="AU876" s="11" t="n"/>
      <c r="AV876" s="11" t="n"/>
      <c r="AW876" s="11">
        <f>AF876&amp;"; "&amp;AG876&amp;"; "&amp;AH876&amp;"; "&amp;AI876&amp;"; "&amp;AJ876</f>
        <v/>
      </c>
    </row>
    <row r="877">
      <c r="A877" s="11" t="inlineStr">
        <is>
          <t>T0413-G11-FÍS</t>
        </is>
      </c>
      <c r="B877" s="11" t="n">
        <v>11</v>
      </c>
      <c r="C877" s="11" t="inlineStr">
        <is>
          <t>Física</t>
        </is>
      </c>
      <c r="D877" s="11" t="inlineStr">
        <is>
          <t>Matriz_Bachillerato_Fisica_10_11.xlsx</t>
        </is>
      </c>
      <c r="E877" s="11" t="inlineStr">
        <is>
          <t>Física 11.°</t>
        </is>
      </c>
      <c r="F877" s="11" t="n">
        <v>132</v>
      </c>
      <c r="G877" s="11" t="inlineStr">
        <is>
          <t>22. Ciencias del espacio</t>
        </is>
      </c>
      <c r="H877" s="11" t="inlineStr">
        <is>
          <t>Sistema solar</t>
        </is>
      </c>
      <c r="I877" s="38" t="inlineStr">
        <is>
          <t>22.2. Simulación de los parámetros orbitales de sistemas planetarios descritos por las leyes de Kepler.</t>
        </is>
      </c>
      <c r="J877" s="11" t="inlineStr">
        <is>
          <t>TA</t>
        </is>
      </c>
      <c r="K877" s="11" t="inlineStr">
        <is>
          <t>TA-M1.4</t>
        </is>
      </c>
      <c r="L877" s="11" t="inlineStr"/>
      <c r="M877" s="11">
        <f>IF(K877="FUERA","Fuera del marco",IF(K877="N/A","Sin marco",IFERROR(INDEX('Datos - Catálogo TIMSS'!$C$5:$C$107,MATCH(K877,'Datos - Catálogo TIMSS'!$A$5:$A$107,0)),"Pendiente de clasificar")))</f>
        <v/>
      </c>
      <c r="N877" s="11">
        <f>IF(K877="FUERA","Fuera del marco",IF(K877="N/A","Sin marco",IFERROR(INDEX('Datos - Catálogo TIMSS'!$F$5:$F$107,MATCH(K877,'Datos - Catálogo TIMSS'!$A$5:$A$107,0)),"Pendiente de clasificar")))</f>
        <v/>
      </c>
      <c r="O877" s="11">
        <f>IF(L877="","",IFERROR(INDEX('Datos - Catálogo TIMSS'!$C$5:$C$107,MATCH(L877,'Datos - Catálogo TIMSS'!$A$5:$A$107,0)),"?"))</f>
        <v/>
      </c>
      <c r="P877" s="11" t="inlineStr">
        <is>
          <t>alta</t>
        </is>
      </c>
      <c r="Q877" s="38" t="inlineStr">
        <is>
          <t>Leyes de Kepler del movimiento planetario</t>
        </is>
      </c>
      <c r="R877" s="38" t="inlineStr">
        <is>
          <t>Aplicar: calcular periodos orbitales. Razonar: generalizar una ley con datos</t>
        </is>
      </c>
      <c r="S877" s="39">
        <f>IFERROR(ISNUMBER(SEARCH("Conocer",$R877))/(ISNUMBER(SEARCH("Conocer",$R877))+ISNUMBER(SEARCH("Aplicar",$R877))+ISNUMBER(SEARCH("Razonar",$R877))),0)</f>
        <v/>
      </c>
      <c r="T877" s="39">
        <f>IFERROR(ISNUMBER(SEARCH("Aplicar",$R877))/(ISNUMBER(SEARCH("Conocer",$R877))+ISNUMBER(SEARCH("Aplicar",$R877))+ISNUMBER(SEARCH("Razonar",$R877))),0)</f>
        <v/>
      </c>
      <c r="U877" s="39">
        <f>IFERROR(ISNUMBER(SEARCH("Razonar",$R877))/(ISNUMBER(SEARCH("Conocer",$R877))+ISNUMBER(SEARCH("Aplicar",$R877))+ISNUMBER(SEARCH("Razonar",$R877))),0)</f>
        <v/>
      </c>
      <c r="V877" s="11" t="inlineStr">
        <is>
          <t>Física 11°</t>
        </is>
      </c>
      <c r="W877" s="11" t="inlineStr">
        <is>
          <t>Física 10°–11°</t>
        </is>
      </c>
      <c r="X877" s="11">
        <f>IF(OR(IFERROR(INDEX('Datos - Catálogo TIMSS'!$I$5:$I$107,MATCH(K877,'Datos - Catálogo TIMSS'!$A$5:$A$107,0)),"No")="Sí",IFERROR(INDEX('Datos - Catálogo TIMSS'!$I$5:$I$107,MATCH(L877,'Datos - Catálogo TIMSS'!$A$5:$A$107,0)),"No")="Sí"),1,0)</f>
        <v/>
      </c>
      <c r="Y877" s="11">
        <f>IF(IFERROR(INDEX('Datos - Catálogo TIMSS'!$J$5:$J$107,MATCH(K877,'Datos - Catálogo TIMSS'!$A$5:$A$107,0)),"No")="Sí",1,0)</f>
        <v/>
      </c>
      <c r="Z877" s="11">
        <f>IF(IFERROR(INDEX('Datos - Catálogo TIMSS'!$J$5:$J$107,MATCH(L877,'Datos - Catálogo TIMSS'!$A$5:$A$107,0)),"No")="Sí",1,0)</f>
        <v/>
      </c>
      <c r="AA877" s="11" t="inlineStr">
        <is>
          <t>TA-M1.4</t>
        </is>
      </c>
      <c r="AB877" s="11" t="inlineStr"/>
      <c r="AC877" s="11">
        <f>IF(AA877="FUERA","Fuera del marco",IF(AA877="N/A","Sin marco",IFERROR(INDEX('Datos - TIMSS 2023'!$C$5:$C$105,MATCH(AA877,'Datos - TIMSS 2023'!$A$5:$A$105,0)),"Pendiente de clasificar")))</f>
        <v/>
      </c>
      <c r="AD877" s="11" t="inlineStr">
        <is>
          <t>2. Construir y evaluar diseños para la indagación científica e interpretar datos y evidencia de forma crítica</t>
        </is>
      </c>
      <c r="AE877" s="11">
        <f>IF(AD877="","",IF(LEFT(AD877,1)="1","C1",IF(LEFT(AD877,1)="2","C2",IF(LEFT(AD877,1)="3","C3",""))))</f>
        <v/>
      </c>
      <c r="AF877" s="11" t="inlineStr">
        <is>
          <t>E1</t>
        </is>
      </c>
      <c r="AG877" s="11" t="inlineStr">
        <is>
          <t>D1</t>
        </is>
      </c>
      <c r="AH877" s="11" t="inlineStr">
        <is>
          <t>E2</t>
        </is>
      </c>
      <c r="AI877" s="11" t="inlineStr">
        <is>
          <t>D4</t>
        </is>
      </c>
      <c r="AJ877" s="11" t="inlineStr">
        <is>
          <t>E3</t>
        </is>
      </c>
      <c r="AK877" s="11" t="n"/>
      <c r="AL877" s="11" t="n"/>
      <c r="AM877" s="11" t="n"/>
      <c r="AN877" s="11" t="n"/>
      <c r="AO877" s="11" t="n"/>
      <c r="AP877" s="11" t="n"/>
      <c r="AQ877" s="11" t="n"/>
      <c r="AR877" s="11" t="n"/>
      <c r="AS877" s="11" t="n"/>
      <c r="AT877" s="11" t="n"/>
      <c r="AU877" s="11" t="n"/>
      <c r="AV877" s="11" t="n"/>
      <c r="AW877" s="11">
        <f>AF877&amp;"; "&amp;AG877&amp;"; "&amp;AH877&amp;"; "&amp;AI877&amp;"; "&amp;AJ877</f>
        <v/>
      </c>
    </row>
    <row r="878">
      <c r="A878" s="11" t="inlineStr">
        <is>
          <t>T0414-G11-FÍS</t>
        </is>
      </c>
      <c r="B878" s="11" t="n">
        <v>11</v>
      </c>
      <c r="C878" s="11" t="inlineStr">
        <is>
          <t>Física</t>
        </is>
      </c>
      <c r="D878" s="11" t="inlineStr">
        <is>
          <t>Matriz_Bachillerato_Fisica_10_11.xlsx</t>
        </is>
      </c>
      <c r="E878" s="11" t="inlineStr">
        <is>
          <t>Física 11.°</t>
        </is>
      </c>
      <c r="F878" s="11" t="n">
        <v>133</v>
      </c>
      <c r="G878" s="11" t="inlineStr">
        <is>
          <t>22. Ciencias del espacio</t>
        </is>
      </c>
      <c r="H878" s="11" t="inlineStr">
        <is>
          <t>Sistema solar</t>
        </is>
      </c>
      <c r="I878" s="38" t="inlineStr">
        <is>
          <t>22.3. Cálculo de la masa de la Tierra a partir de la ley de la gravitación universal de Newton.</t>
        </is>
      </c>
      <c r="J878" s="11" t="inlineStr">
        <is>
          <t>TA</t>
        </is>
      </c>
      <c r="K878" s="11" t="inlineStr">
        <is>
          <t>TA-M1.4</t>
        </is>
      </c>
      <c r="L878" s="11" t="inlineStr"/>
      <c r="M878" s="11">
        <f>IF(K878="FUERA","Fuera del marco",IF(K878="N/A","Sin marco",IFERROR(INDEX('Datos - Catálogo TIMSS'!$C$5:$C$107,MATCH(K878,'Datos - Catálogo TIMSS'!$A$5:$A$107,0)),"Pendiente de clasificar")))</f>
        <v/>
      </c>
      <c r="N878" s="11">
        <f>IF(K878="FUERA","Fuera del marco",IF(K878="N/A","Sin marco",IFERROR(INDEX('Datos - Catálogo TIMSS'!$F$5:$F$107,MATCH(K878,'Datos - Catálogo TIMSS'!$A$5:$A$107,0)),"Pendiente de clasificar")))</f>
        <v/>
      </c>
      <c r="O878" s="11">
        <f>IF(L878="","",IFERROR(INDEX('Datos - Catálogo TIMSS'!$C$5:$C$107,MATCH(L878,'Datos - Catálogo TIMSS'!$A$5:$A$107,0)),"?"))</f>
        <v/>
      </c>
      <c r="P878" s="11" t="inlineStr">
        <is>
          <t>alta</t>
        </is>
      </c>
      <c r="Q878" s="38" t="inlineStr">
        <is>
          <t>Gravitación universal para calcular masa terrestre</t>
        </is>
      </c>
      <c r="R878" s="38" t="inlineStr">
        <is>
          <t>Aplicar: calcular la masa de la Tierra. Razonar: evaluar métodos y errores</t>
        </is>
      </c>
      <c r="S878" s="39">
        <f>IFERROR(ISNUMBER(SEARCH("Conocer",$R878))/(ISNUMBER(SEARCH("Conocer",$R878))+ISNUMBER(SEARCH("Aplicar",$R878))+ISNUMBER(SEARCH("Razonar",$R878))),0)</f>
        <v/>
      </c>
      <c r="T878" s="39">
        <f>IFERROR(ISNUMBER(SEARCH("Aplicar",$R878))/(ISNUMBER(SEARCH("Conocer",$R878))+ISNUMBER(SEARCH("Aplicar",$R878))+ISNUMBER(SEARCH("Razonar",$R878))),0)</f>
        <v/>
      </c>
      <c r="U878" s="39">
        <f>IFERROR(ISNUMBER(SEARCH("Razonar",$R878))/(ISNUMBER(SEARCH("Conocer",$R878))+ISNUMBER(SEARCH("Aplicar",$R878))+ISNUMBER(SEARCH("Razonar",$R878))),0)</f>
        <v/>
      </c>
      <c r="V878" s="11" t="inlineStr">
        <is>
          <t>Física 11°</t>
        </is>
      </c>
      <c r="W878" s="11" t="inlineStr">
        <is>
          <t>Física 10°–11°</t>
        </is>
      </c>
      <c r="X878" s="11">
        <f>IF(OR(IFERROR(INDEX('Datos - Catálogo TIMSS'!$I$5:$I$107,MATCH(K878,'Datos - Catálogo TIMSS'!$A$5:$A$107,0)),"No")="Sí",IFERROR(INDEX('Datos - Catálogo TIMSS'!$I$5:$I$107,MATCH(L878,'Datos - Catálogo TIMSS'!$A$5:$A$107,0)),"No")="Sí"),1,0)</f>
        <v/>
      </c>
      <c r="Y878" s="11">
        <f>IF(IFERROR(INDEX('Datos - Catálogo TIMSS'!$J$5:$J$107,MATCH(K878,'Datos - Catálogo TIMSS'!$A$5:$A$107,0)),"No")="Sí",1,0)</f>
        <v/>
      </c>
      <c r="Z878" s="11">
        <f>IF(IFERROR(INDEX('Datos - Catálogo TIMSS'!$J$5:$J$107,MATCH(L878,'Datos - Catálogo TIMSS'!$A$5:$A$107,0)),"No")="Sí",1,0)</f>
        <v/>
      </c>
      <c r="AA878" s="11" t="inlineStr">
        <is>
          <t>TA-M1.4</t>
        </is>
      </c>
      <c r="AB878" s="11" t="inlineStr"/>
      <c r="AC878" s="11">
        <f>IF(AA878="FUERA","Fuera del marco",IF(AA878="N/A","Sin marco",IFERROR(INDEX('Datos - TIMSS 2023'!$C$5:$C$105,MATCH(AA878,'Datos - TIMSS 2023'!$A$5:$A$105,0)),"Pendiente de clasificar")))</f>
        <v/>
      </c>
      <c r="AD878" s="11" t="inlineStr">
        <is>
          <t>1. Explicar fenómenos científicamente</t>
        </is>
      </c>
      <c r="AE878" s="11">
        <f>IF(AD878="","",IF(LEFT(AD878,1)="1","C1",IF(LEFT(AD878,1)="2","C2",IF(LEFT(AD878,1)="3","C3",""))))</f>
        <v/>
      </c>
      <c r="AF878" s="11" t="inlineStr">
        <is>
          <t>E1</t>
        </is>
      </c>
      <c r="AG878" s="11" t="inlineStr">
        <is>
          <t>E3</t>
        </is>
      </c>
      <c r="AH878" s="11" t="inlineStr">
        <is>
          <t>E1</t>
        </is>
      </c>
      <c r="AI878" s="11" t="inlineStr">
        <is>
          <t>D2</t>
        </is>
      </c>
      <c r="AJ878" s="11" t="inlineStr">
        <is>
          <t>D3</t>
        </is>
      </c>
      <c r="AK878" s="11" t="n"/>
      <c r="AL878" s="11" t="n"/>
      <c r="AM878" s="11" t="n"/>
      <c r="AN878" s="11" t="n"/>
      <c r="AO878" s="11" t="n"/>
      <c r="AP878" s="11" t="n"/>
      <c r="AQ878" s="11" t="n"/>
      <c r="AR878" s="11" t="n"/>
      <c r="AS878" s="11" t="n"/>
      <c r="AT878" s="11" t="n"/>
      <c r="AU878" s="11" t="n"/>
      <c r="AV878" s="11" t="n"/>
      <c r="AW878" s="11">
        <f>AF878&amp;"; "&amp;AG878&amp;"; "&amp;AH878&amp;"; "&amp;AI878&amp;"; "&amp;AJ878</f>
        <v/>
      </c>
    </row>
    <row r="879">
      <c r="A879" s="11" t="inlineStr">
        <is>
          <t>T0415-G11-FÍS</t>
        </is>
      </c>
      <c r="B879" s="11" t="n">
        <v>11</v>
      </c>
      <c r="C879" s="11" t="inlineStr">
        <is>
          <t>Física</t>
        </is>
      </c>
      <c r="D879" s="11" t="inlineStr">
        <is>
          <t>Matriz_Bachillerato_Fisica_10_11.xlsx</t>
        </is>
      </c>
      <c r="E879" s="11" t="inlineStr">
        <is>
          <t>Física 11.°</t>
        </is>
      </c>
      <c r="F879" s="11" t="n">
        <v>134</v>
      </c>
      <c r="G879" s="11" t="inlineStr">
        <is>
          <t>22. Ciencias del espacio</t>
        </is>
      </c>
      <c r="H879" s="11" t="inlineStr">
        <is>
          <t>Tecnologías para la observación espacial</t>
        </is>
      </c>
      <c r="I879" s="38" t="inlineStr">
        <is>
          <t>22.4. Análisis del espectro de radiación térmica emitido por un cuerpo celeste.</t>
        </is>
      </c>
      <c r="J879" s="11" t="inlineStr">
        <is>
          <t>TA</t>
        </is>
      </c>
      <c r="K879" s="11" t="inlineStr">
        <is>
          <t>TA-O1.3</t>
        </is>
      </c>
      <c r="L879" s="11" t="inlineStr"/>
      <c r="M879" s="11">
        <f>IF(K879="FUERA","Fuera del marco",IF(K879="N/A","Sin marco",IFERROR(INDEX('Datos - Catálogo TIMSS'!$C$5:$C$107,MATCH(K879,'Datos - Catálogo TIMSS'!$A$5:$A$107,0)),"Pendiente de clasificar")))</f>
        <v/>
      </c>
      <c r="N879" s="11">
        <f>IF(K879="FUERA","Fuera del marco",IF(K879="N/A","Sin marco",IFERROR(INDEX('Datos - Catálogo TIMSS'!$F$5:$F$107,MATCH(K879,'Datos - Catálogo TIMSS'!$A$5:$A$107,0)),"Pendiente de clasificar")))</f>
        <v/>
      </c>
      <c r="O879" s="11">
        <f>IF(L879="","",IFERROR(INDEX('Datos - Catálogo TIMSS'!$C$5:$C$107,MATCH(L879,'Datos - Catálogo TIMSS'!$A$5:$A$107,0)),"?"))</f>
        <v/>
      </c>
      <c r="P879" s="11" t="inlineStr">
        <is>
          <t>alta</t>
        </is>
      </c>
      <c r="Q879" s="38" t="inlineStr">
        <is>
          <t>Radiación emitida según temperatura del objeto</t>
        </is>
      </c>
      <c r="R879" s="38" t="inlineStr">
        <is>
          <t>Aplicar: calcular temperaturas con la ley de Wien. Razonar: relacionar temperatura y radiación</t>
        </is>
      </c>
      <c r="S879" s="39">
        <f>IFERROR(ISNUMBER(SEARCH("Conocer",$R879))/(ISNUMBER(SEARCH("Conocer",$R879))+ISNUMBER(SEARCH("Aplicar",$R879))+ISNUMBER(SEARCH("Razonar",$R879))),0)</f>
        <v/>
      </c>
      <c r="T879" s="39">
        <f>IFERROR(ISNUMBER(SEARCH("Aplicar",$R879))/(ISNUMBER(SEARCH("Conocer",$R879))+ISNUMBER(SEARCH("Aplicar",$R879))+ISNUMBER(SEARCH("Razonar",$R879))),0)</f>
        <v/>
      </c>
      <c r="U879" s="39">
        <f>IFERROR(ISNUMBER(SEARCH("Razonar",$R879))/(ISNUMBER(SEARCH("Conocer",$R879))+ISNUMBER(SEARCH("Aplicar",$R879))+ISNUMBER(SEARCH("Razonar",$R879))),0)</f>
        <v/>
      </c>
      <c r="V879" s="11" t="inlineStr">
        <is>
          <t>Física 11°</t>
        </is>
      </c>
      <c r="W879" s="11" t="inlineStr">
        <is>
          <t>Física 10°–11°</t>
        </is>
      </c>
      <c r="X879" s="11">
        <f>IF(OR(IFERROR(INDEX('Datos - Catálogo TIMSS'!$I$5:$I$107,MATCH(K879,'Datos - Catálogo TIMSS'!$A$5:$A$107,0)),"No")="Sí",IFERROR(INDEX('Datos - Catálogo TIMSS'!$I$5:$I$107,MATCH(L879,'Datos - Catálogo TIMSS'!$A$5:$A$107,0)),"No")="Sí"),1,0)</f>
        <v/>
      </c>
      <c r="Y879" s="11">
        <f>IF(IFERROR(INDEX('Datos - Catálogo TIMSS'!$J$5:$J$107,MATCH(K879,'Datos - Catálogo TIMSS'!$A$5:$A$107,0)),"No")="Sí",1,0)</f>
        <v/>
      </c>
      <c r="Z879" s="11">
        <f>IF(IFERROR(INDEX('Datos - Catálogo TIMSS'!$J$5:$J$107,MATCH(L879,'Datos - Catálogo TIMSS'!$A$5:$A$107,0)),"No")="Sí",1,0)</f>
        <v/>
      </c>
      <c r="AA879" s="11" t="inlineStr">
        <is>
          <t>TA-O1.3</t>
        </is>
      </c>
      <c r="AB879" s="11" t="inlineStr"/>
      <c r="AC879" s="11">
        <f>IF(AA879="FUERA","Fuera del marco",IF(AA879="N/A","Sin marco",IFERROR(INDEX('Datos - TIMSS 2023'!$C$5:$C$105,MATCH(AA879,'Datos - TIMSS 2023'!$A$5:$A$105,0)),"Pendiente de clasificar")))</f>
        <v/>
      </c>
      <c r="AD879" s="11" t="inlineStr">
        <is>
          <t>1. Explicar fenómenos científicamente</t>
        </is>
      </c>
      <c r="AE879" s="11">
        <f>IF(AD879="","",IF(LEFT(AD879,1)="1","C1",IF(LEFT(AD879,1)="2","C2",IF(LEFT(AD879,1)="3","C3",""))))</f>
        <v/>
      </c>
      <c r="AF879" s="11" t="inlineStr">
        <is>
          <t>E1</t>
        </is>
      </c>
      <c r="AG879" s="11" t="inlineStr">
        <is>
          <t>E5</t>
        </is>
      </c>
      <c r="AH879" s="11" t="inlineStr">
        <is>
          <t>E2</t>
        </is>
      </c>
      <c r="AI879" s="11" t="inlineStr">
        <is>
          <t>D4</t>
        </is>
      </c>
      <c r="AJ879" s="11" t="inlineStr">
        <is>
          <t>E3</t>
        </is>
      </c>
      <c r="AK879" s="11" t="n"/>
      <c r="AL879" s="11" t="n"/>
      <c r="AM879" s="11" t="n"/>
      <c r="AN879" s="11" t="n"/>
      <c r="AO879" s="11" t="n"/>
      <c r="AP879" s="11" t="n"/>
      <c r="AQ879" s="11" t="n"/>
      <c r="AR879" s="11" t="n"/>
      <c r="AS879" s="11" t="n"/>
      <c r="AT879" s="11" t="n"/>
      <c r="AU879" s="11" t="n"/>
      <c r="AV879" s="11" t="n"/>
      <c r="AW879" s="11">
        <f>AF879&amp;"; "&amp;AG879&amp;"; "&amp;AH879&amp;"; "&amp;AI879&amp;"; "&amp;AJ879</f>
        <v/>
      </c>
    </row>
    <row r="880">
      <c r="A880" s="11" t="inlineStr">
        <is>
          <t>T0416-G11-FÍS</t>
        </is>
      </c>
      <c r="B880" s="11" t="n">
        <v>11</v>
      </c>
      <c r="C880" s="11" t="inlineStr">
        <is>
          <t>Física</t>
        </is>
      </c>
      <c r="D880" s="11" t="inlineStr">
        <is>
          <t>Matriz_Bachillerato_Fisica_10_11.xlsx</t>
        </is>
      </c>
      <c r="E880" s="11" t="inlineStr">
        <is>
          <t>Física 11.°</t>
        </is>
      </c>
      <c r="F880" s="11" t="n">
        <v>135</v>
      </c>
      <c r="G880" s="11" t="inlineStr">
        <is>
          <t>22. Ciencias del espacio</t>
        </is>
      </c>
      <c r="H880" s="11" t="inlineStr">
        <is>
          <t>Tecnologías para la observación espacial</t>
        </is>
      </c>
      <c r="I880" s="38" t="inlineStr">
        <is>
          <t>22.5. Reconocimiento de las ventajas y desventajas en el uso de telescopios de refracción y reflexión.</t>
        </is>
      </c>
      <c r="J880" s="11" t="inlineStr">
        <is>
          <t>TA</t>
        </is>
      </c>
      <c r="K880" s="11" t="inlineStr">
        <is>
          <t>TA-O1.4</t>
        </is>
      </c>
      <c r="L880" s="11" t="inlineStr"/>
      <c r="M880" s="11">
        <f>IF(K880="FUERA","Fuera del marco",IF(K880="N/A","Sin marco",IFERROR(INDEX('Datos - Catálogo TIMSS'!$C$5:$C$107,MATCH(K880,'Datos - Catálogo TIMSS'!$A$5:$A$107,0)),"Pendiente de clasificar")))</f>
        <v/>
      </c>
      <c r="N880" s="11">
        <f>IF(K880="FUERA","Fuera del marco",IF(K880="N/A","Sin marco",IFERROR(INDEX('Datos - Catálogo TIMSS'!$F$5:$F$107,MATCH(K880,'Datos - Catálogo TIMSS'!$A$5:$A$107,0)),"Pendiente de clasificar")))</f>
        <v/>
      </c>
      <c r="O880" s="11">
        <f>IF(L880="","",IFERROR(INDEX('Datos - Catálogo TIMSS'!$C$5:$C$107,MATCH(L880,'Datos - Catálogo TIMSS'!$A$5:$A$107,0)),"?"))</f>
        <v/>
      </c>
      <c r="P880" s="11" t="inlineStr">
        <is>
          <t>baja</t>
        </is>
      </c>
      <c r="Q880" s="38" t="inlineStr">
        <is>
          <t>Telescopios refractores y reflectores: refracción y reflexión</t>
        </is>
      </c>
      <c r="R880" s="38" t="inlineStr">
        <is>
          <t>Aplicar: calcular aumentos. Razonar: justificar la selección de un instrumento</t>
        </is>
      </c>
      <c r="S880" s="39">
        <f>IFERROR(ISNUMBER(SEARCH("Conocer",$R880))/(ISNUMBER(SEARCH("Conocer",$R880))+ISNUMBER(SEARCH("Aplicar",$R880))+ISNUMBER(SEARCH("Razonar",$R880))),0)</f>
        <v/>
      </c>
      <c r="T880" s="39">
        <f>IFERROR(ISNUMBER(SEARCH("Aplicar",$R880))/(ISNUMBER(SEARCH("Conocer",$R880))+ISNUMBER(SEARCH("Aplicar",$R880))+ISNUMBER(SEARCH("Razonar",$R880))),0)</f>
        <v/>
      </c>
      <c r="U880" s="39">
        <f>IFERROR(ISNUMBER(SEARCH("Razonar",$R880))/(ISNUMBER(SEARCH("Conocer",$R880))+ISNUMBER(SEARCH("Aplicar",$R880))+ISNUMBER(SEARCH("Razonar",$R880))),0)</f>
        <v/>
      </c>
      <c r="V880" s="11" t="inlineStr">
        <is>
          <t>Física 11°</t>
        </is>
      </c>
      <c r="W880" s="11" t="inlineStr">
        <is>
          <t>Física 10°–11°</t>
        </is>
      </c>
      <c r="X880" s="11">
        <f>IF(OR(IFERROR(INDEX('Datos - Catálogo TIMSS'!$I$5:$I$107,MATCH(K880,'Datos - Catálogo TIMSS'!$A$5:$A$107,0)),"No")="Sí",IFERROR(INDEX('Datos - Catálogo TIMSS'!$I$5:$I$107,MATCH(L880,'Datos - Catálogo TIMSS'!$A$5:$A$107,0)),"No")="Sí"),1,0)</f>
        <v/>
      </c>
      <c r="Y880" s="11">
        <f>IF(IFERROR(INDEX('Datos - Catálogo TIMSS'!$J$5:$J$107,MATCH(K880,'Datos - Catálogo TIMSS'!$A$5:$A$107,0)),"No")="Sí",1,0)</f>
        <v/>
      </c>
      <c r="Z880" s="11">
        <f>IF(IFERROR(INDEX('Datos - Catálogo TIMSS'!$J$5:$J$107,MATCH(L880,'Datos - Catálogo TIMSS'!$A$5:$A$107,0)),"No")="Sí",1,0)</f>
        <v/>
      </c>
      <c r="AA880" s="11" t="inlineStr">
        <is>
          <t>TA-O1.4</t>
        </is>
      </c>
      <c r="AB880" s="11" t="inlineStr"/>
      <c r="AC880" s="11">
        <f>IF(AA880="FUERA","Fuera del marco",IF(AA880="N/A","Sin marco",IFERROR(INDEX('Datos - TIMSS 2023'!$C$5:$C$105,MATCH(AA880,'Datos - TIMSS 2023'!$A$5:$A$105,0)),"Pendiente de clasificar")))</f>
        <v/>
      </c>
      <c r="AD880" s="11" t="inlineStr">
        <is>
          <t>3. Investigar, evaluar y usar información científica para tomar decisiones y actuar</t>
        </is>
      </c>
      <c r="AE880" s="11">
        <f>IF(AD880="","",IF(LEFT(AD880,1)="1","C1",IF(LEFT(AD880,1)="2","C2",IF(LEFT(AD880,1)="3","C3",""))))</f>
        <v/>
      </c>
      <c r="AF880" s="11" t="inlineStr">
        <is>
          <t>E6</t>
        </is>
      </c>
      <c r="AG880" s="11" t="inlineStr">
        <is>
          <t>E3</t>
        </is>
      </c>
      <c r="AH880" s="11" t="inlineStr">
        <is>
          <t>E2</t>
        </is>
      </c>
      <c r="AI880" s="11" t="inlineStr">
        <is>
          <t>I1</t>
        </is>
      </c>
      <c r="AJ880" s="11" t="inlineStr">
        <is>
          <t>I5</t>
        </is>
      </c>
      <c r="AK880" s="11" t="n"/>
      <c r="AL880" s="11" t="n"/>
      <c r="AM880" s="11" t="n"/>
      <c r="AN880" s="11" t="n"/>
      <c r="AO880" s="11" t="n"/>
      <c r="AP880" s="11" t="n"/>
      <c r="AQ880" s="11" t="n"/>
      <c r="AR880" s="11" t="n"/>
      <c r="AS880" s="11" t="n"/>
      <c r="AT880" s="11" t="n"/>
      <c r="AU880" s="11" t="n"/>
      <c r="AV880" s="11" t="n"/>
      <c r="AW880" s="11">
        <f>AF880&amp;"; "&amp;AG880&amp;"; "&amp;AH880&amp;"; "&amp;AI880&amp;"; "&amp;AJ880</f>
        <v/>
      </c>
    </row>
    <row r="881">
      <c r="A881" s="11" t="inlineStr">
        <is>
          <t>T0417-G11-FÍS</t>
        </is>
      </c>
      <c r="B881" s="11" t="n">
        <v>11</v>
      </c>
      <c r="C881" s="11" t="inlineStr">
        <is>
          <t>Física</t>
        </is>
      </c>
      <c r="D881" s="11" t="inlineStr">
        <is>
          <t>Matriz_Bachillerato_Fisica_10_11.xlsx</t>
        </is>
      </c>
      <c r="E881" s="11" t="inlineStr">
        <is>
          <t>Física 11.°</t>
        </is>
      </c>
      <c r="F881" s="11" t="n">
        <v>136</v>
      </c>
      <c r="G881" s="11" t="inlineStr">
        <is>
          <t>22. Ciencias del espacio</t>
        </is>
      </c>
      <c r="H881" s="11" t="inlineStr">
        <is>
          <t>Tecnologías para la observación espacial</t>
        </is>
      </c>
      <c r="I881" s="38" t="inlineStr">
        <is>
          <t>22.6. Exploración de los tipos de detectores de imágenes empleados en los observatorios astronómicos terrestres y espaciales.</t>
        </is>
      </c>
      <c r="J881" s="11" t="inlineStr">
        <is>
          <t>TA</t>
        </is>
      </c>
      <c r="K881" s="11" t="inlineStr">
        <is>
          <t>FUERA</t>
        </is>
      </c>
      <c r="L881" s="11" t="inlineStr"/>
      <c r="M881" s="11">
        <f>IF(K881="FUERA","Fuera del marco",IF(K881="N/A","Sin marco",IFERROR(INDEX('Datos - Catálogo TIMSS'!$C$5:$C$107,MATCH(K881,'Datos - Catálogo TIMSS'!$A$5:$A$107,0)),"Pendiente de clasificar")))</f>
        <v/>
      </c>
      <c r="N881" s="11">
        <f>IF(K881="FUERA","Fuera del marco",IF(K881="N/A","Sin marco",IFERROR(INDEX('Datos - Catálogo TIMSS'!$F$5:$F$107,MATCH(K881,'Datos - Catálogo TIMSS'!$A$5:$A$107,0)),"Pendiente de clasificar")))</f>
        <v/>
      </c>
      <c r="O881" s="11">
        <f>IF(L881="","",IFERROR(INDEX('Datos - Catálogo TIMSS'!$C$5:$C$107,MATCH(L881,'Datos - Catálogo TIMSS'!$A$5:$A$107,0)),"?"))</f>
        <v/>
      </c>
      <c r="P881" s="11" t="inlineStr">
        <is>
          <t>media</t>
        </is>
      </c>
      <c r="Q881" s="38" t="inlineStr">
        <is>
          <t>Detectores astronómicos; tecnología sin contenido del catálogo</t>
        </is>
      </c>
      <c r="R881" s="38" t="inlineStr">
        <is>
          <t>Conocer: clasificar detectores. Aplicar: relacionar detector y longitud de onda</t>
        </is>
      </c>
      <c r="S881" s="39">
        <f>IFERROR(ISNUMBER(SEARCH("Conocer",$R881))/(ISNUMBER(SEARCH("Conocer",$R881))+ISNUMBER(SEARCH("Aplicar",$R881))+ISNUMBER(SEARCH("Razonar",$R881))),0)</f>
        <v/>
      </c>
      <c r="T881" s="39">
        <f>IFERROR(ISNUMBER(SEARCH("Aplicar",$R881))/(ISNUMBER(SEARCH("Conocer",$R881))+ISNUMBER(SEARCH("Aplicar",$R881))+ISNUMBER(SEARCH("Razonar",$R881))),0)</f>
        <v/>
      </c>
      <c r="U881" s="39">
        <f>IFERROR(ISNUMBER(SEARCH("Razonar",$R881))/(ISNUMBER(SEARCH("Conocer",$R881))+ISNUMBER(SEARCH("Aplicar",$R881))+ISNUMBER(SEARCH("Razonar",$R881))),0)</f>
        <v/>
      </c>
      <c r="V881" s="11" t="inlineStr">
        <is>
          <t>Física 11°</t>
        </is>
      </c>
      <c r="W881" s="11" t="inlineStr">
        <is>
          <t>Física 10°–11°</t>
        </is>
      </c>
      <c r="X881" s="11">
        <f>IF(OR(IFERROR(INDEX('Datos - Catálogo TIMSS'!$I$5:$I$107,MATCH(K881,'Datos - Catálogo TIMSS'!$A$5:$A$107,0)),"No")="Sí",IFERROR(INDEX('Datos - Catálogo TIMSS'!$I$5:$I$107,MATCH(L881,'Datos - Catálogo TIMSS'!$A$5:$A$107,0)),"No")="Sí"),1,0)</f>
        <v/>
      </c>
      <c r="Y881" s="11">
        <f>IF(IFERROR(INDEX('Datos - Catálogo TIMSS'!$J$5:$J$107,MATCH(K881,'Datos - Catálogo TIMSS'!$A$5:$A$107,0)),"No")="Sí",1,0)</f>
        <v/>
      </c>
      <c r="Z881" s="11">
        <f>IF(IFERROR(INDEX('Datos - Catálogo TIMSS'!$J$5:$J$107,MATCH(L881,'Datos - Catálogo TIMSS'!$A$5:$A$107,0)),"No")="Sí",1,0)</f>
        <v/>
      </c>
      <c r="AA881" s="11" t="inlineStr">
        <is>
          <t>FUERA</t>
        </is>
      </c>
      <c r="AB881" s="11" t="inlineStr"/>
      <c r="AC881" s="11">
        <f>IF(AA881="FUERA","Fuera del marco",IF(AA881="N/A","Sin marco",IFERROR(INDEX('Datos - TIMSS 2023'!$C$5:$C$105,MATCH(AA881,'Datos - TIMSS 2023'!$A$5:$A$105,0)),"Pendiente de clasificar")))</f>
        <v/>
      </c>
      <c r="AD881" s="11" t="inlineStr">
        <is>
          <t>1. Explicar fenómenos científicamente</t>
        </is>
      </c>
      <c r="AE881" s="11">
        <f>IF(AD881="","",IF(LEFT(AD881,1)="1","C1",IF(LEFT(AD881,1)="2","C2",IF(LEFT(AD881,1)="3","C3",""))))</f>
        <v/>
      </c>
      <c r="AF881" s="11" t="inlineStr">
        <is>
          <t>E1</t>
        </is>
      </c>
      <c r="AG881" s="11" t="inlineStr">
        <is>
          <t>D1</t>
        </is>
      </c>
      <c r="AH881" s="11" t="inlineStr">
        <is>
          <t>E4</t>
        </is>
      </c>
      <c r="AI881" s="11" t="inlineStr">
        <is>
          <t>I1</t>
        </is>
      </c>
      <c r="AJ881" s="11" t="inlineStr">
        <is>
          <t>E6</t>
        </is>
      </c>
      <c r="AK881" s="11" t="n"/>
      <c r="AL881" s="11" t="n"/>
      <c r="AM881" s="11" t="n"/>
      <c r="AN881" s="11" t="n"/>
      <c r="AO881" s="11" t="n"/>
      <c r="AP881" s="11" t="n"/>
      <c r="AQ881" s="11" t="n"/>
      <c r="AR881" s="11" t="n"/>
      <c r="AS881" s="11" t="n"/>
      <c r="AT881" s="11" t="n"/>
      <c r="AU881" s="11" t="n"/>
      <c r="AV881" s="11" t="n"/>
      <c r="AW881" s="11">
        <f>AF881&amp;"; "&amp;AG881&amp;"; "&amp;AH881&amp;"; "&amp;AI881&amp;"; "&amp;AJ881</f>
        <v/>
      </c>
    </row>
    <row r="882">
      <c r="A882" s="11" t="inlineStr">
        <is>
          <t>T0418-G11-FÍS</t>
        </is>
      </c>
      <c r="B882" s="11" t="n">
        <v>11</v>
      </c>
      <c r="C882" s="11" t="inlineStr">
        <is>
          <t>Física</t>
        </is>
      </c>
      <c r="D882" s="11" t="inlineStr">
        <is>
          <t>Matriz_Bachillerato_Fisica_10_11.xlsx</t>
        </is>
      </c>
      <c r="E882" s="11" t="inlineStr">
        <is>
          <t>Física 11.°</t>
        </is>
      </c>
      <c r="F882" s="11" t="n">
        <v>137</v>
      </c>
      <c r="G882" s="11" t="inlineStr">
        <is>
          <t>22. Ciencias del espacio</t>
        </is>
      </c>
      <c r="H882" s="11" t="inlineStr">
        <is>
          <t>Sistemas planetarios</t>
        </is>
      </c>
      <c r="I882" s="38" t="inlineStr">
        <is>
          <t>22.7. Indagación de los métodos para detectar y caracterizar un exoplaneta.</t>
        </is>
      </c>
      <c r="J882" s="11" t="inlineStr">
        <is>
          <t>TA</t>
        </is>
      </c>
      <c r="K882" s="11" t="inlineStr">
        <is>
          <t>FUERA</t>
        </is>
      </c>
      <c r="L882" s="11" t="inlineStr"/>
      <c r="M882" s="11">
        <f>IF(K882="FUERA","Fuera del marco",IF(K882="N/A","Sin marco",IFERROR(INDEX('Datos - Catálogo TIMSS'!$C$5:$C$107,MATCH(K882,'Datos - Catálogo TIMSS'!$A$5:$A$107,0)),"Pendiente de clasificar")))</f>
        <v/>
      </c>
      <c r="N882" s="11">
        <f>IF(K882="FUERA","Fuera del marco",IF(K882="N/A","Sin marco",IFERROR(INDEX('Datos - Catálogo TIMSS'!$F$5:$F$107,MATCH(K882,'Datos - Catálogo TIMSS'!$A$5:$A$107,0)),"Pendiente de clasificar")))</f>
        <v/>
      </c>
      <c r="O882" s="11">
        <f>IF(L882="","",IFERROR(INDEX('Datos - Catálogo TIMSS'!$C$5:$C$107,MATCH(L882,'Datos - Catálogo TIMSS'!$A$5:$A$107,0)),"?"))</f>
        <v/>
      </c>
      <c r="P882" s="11" t="inlineStr">
        <is>
          <t>media</t>
        </is>
      </c>
      <c r="Q882" s="38" t="inlineStr">
        <is>
          <t>Métodos de detección de exoplanetas; astronomía aplicada</t>
        </is>
      </c>
      <c r="R882" s="38" t="inlineStr">
        <is>
          <t>Aplicar: calcular el radio de un exoplaneta. Razonar: evaluar sesgos de un método</t>
        </is>
      </c>
      <c r="S882" s="39">
        <f>IFERROR(ISNUMBER(SEARCH("Conocer",$R882))/(ISNUMBER(SEARCH("Conocer",$R882))+ISNUMBER(SEARCH("Aplicar",$R882))+ISNUMBER(SEARCH("Razonar",$R882))),0)</f>
        <v/>
      </c>
      <c r="T882" s="39">
        <f>IFERROR(ISNUMBER(SEARCH("Aplicar",$R882))/(ISNUMBER(SEARCH("Conocer",$R882))+ISNUMBER(SEARCH("Aplicar",$R882))+ISNUMBER(SEARCH("Razonar",$R882))),0)</f>
        <v/>
      </c>
      <c r="U882" s="39">
        <f>IFERROR(ISNUMBER(SEARCH("Razonar",$R882))/(ISNUMBER(SEARCH("Conocer",$R882))+ISNUMBER(SEARCH("Aplicar",$R882))+ISNUMBER(SEARCH("Razonar",$R882))),0)</f>
        <v/>
      </c>
      <c r="V882" s="11" t="inlineStr">
        <is>
          <t>Física 11°</t>
        </is>
      </c>
      <c r="W882" s="11" t="inlineStr">
        <is>
          <t>Física 10°–11°</t>
        </is>
      </c>
      <c r="X882" s="11">
        <f>IF(OR(IFERROR(INDEX('Datos - Catálogo TIMSS'!$I$5:$I$107,MATCH(K882,'Datos - Catálogo TIMSS'!$A$5:$A$107,0)),"No")="Sí",IFERROR(INDEX('Datos - Catálogo TIMSS'!$I$5:$I$107,MATCH(L882,'Datos - Catálogo TIMSS'!$A$5:$A$107,0)),"No")="Sí"),1,0)</f>
        <v/>
      </c>
      <c r="Y882" s="11">
        <f>IF(IFERROR(INDEX('Datos - Catálogo TIMSS'!$J$5:$J$107,MATCH(K882,'Datos - Catálogo TIMSS'!$A$5:$A$107,0)),"No")="Sí",1,0)</f>
        <v/>
      </c>
      <c r="Z882" s="11">
        <f>IF(IFERROR(INDEX('Datos - Catálogo TIMSS'!$J$5:$J$107,MATCH(L882,'Datos - Catálogo TIMSS'!$A$5:$A$107,0)),"No")="Sí",1,0)</f>
        <v/>
      </c>
      <c r="AA882" s="11" t="inlineStr">
        <is>
          <t>FUERA</t>
        </is>
      </c>
      <c r="AB882" s="11" t="inlineStr"/>
      <c r="AC882" s="11">
        <f>IF(AA882="FUERA","Fuera del marco",IF(AA882="N/A","Sin marco",IFERROR(INDEX('Datos - TIMSS 2023'!$C$5:$C$105,MATCH(AA882,'Datos - TIMSS 2023'!$A$5:$A$105,0)),"Pendiente de clasificar")))</f>
        <v/>
      </c>
      <c r="AD882" s="11" t="inlineStr">
        <is>
          <t>2. Construir y evaluar diseños para la indagación científica e interpretar datos y evidencia de forma crítica</t>
        </is>
      </c>
      <c r="AE882" s="11">
        <f>IF(AD882="","",IF(LEFT(AD882,1)="1","C1",IF(LEFT(AD882,1)="2","C2",IF(LEFT(AD882,1)="3","C3",""))))</f>
        <v/>
      </c>
      <c r="AF882" s="11" t="inlineStr">
        <is>
          <t>E1</t>
        </is>
      </c>
      <c r="AG882" s="11" t="inlineStr">
        <is>
          <t>D1</t>
        </is>
      </c>
      <c r="AH882" s="11" t="inlineStr">
        <is>
          <t>E2</t>
        </is>
      </c>
      <c r="AI882" s="11" t="inlineStr">
        <is>
          <t>D4</t>
        </is>
      </c>
      <c r="AJ882" s="11" t="inlineStr">
        <is>
          <t>D3</t>
        </is>
      </c>
      <c r="AK882" s="11" t="n"/>
      <c r="AL882" s="11" t="n"/>
      <c r="AM882" s="11" t="n"/>
      <c r="AN882" s="11" t="n"/>
      <c r="AO882" s="11" t="n"/>
      <c r="AP882" s="11" t="n"/>
      <c r="AQ882" s="11" t="n"/>
      <c r="AR882" s="11" t="n"/>
      <c r="AS882" s="11" t="n"/>
      <c r="AT882" s="11" t="n"/>
      <c r="AU882" s="11" t="n"/>
      <c r="AV882" s="11" t="n"/>
      <c r="AW882" s="11">
        <f>AF882&amp;"; "&amp;AG882&amp;"; "&amp;AH882&amp;"; "&amp;AI882&amp;"; "&amp;AJ882</f>
        <v/>
      </c>
    </row>
    <row r="883">
      <c r="A883" s="11" t="inlineStr">
        <is>
          <t>T0419-G11-FÍS</t>
        </is>
      </c>
      <c r="B883" s="11" t="n">
        <v>11</v>
      </c>
      <c r="C883" s="11" t="inlineStr">
        <is>
          <t>Física</t>
        </is>
      </c>
      <c r="D883" s="11" t="inlineStr">
        <is>
          <t>Matriz_Bachillerato_Fisica_10_11.xlsx</t>
        </is>
      </c>
      <c r="E883" s="11" t="inlineStr">
        <is>
          <t>Física 11.°</t>
        </is>
      </c>
      <c r="F883" s="11" t="n">
        <v>138</v>
      </c>
      <c r="G883" s="11" t="inlineStr">
        <is>
          <t>22. Ciencias del espacio</t>
        </is>
      </c>
      <c r="H883" s="11" t="inlineStr">
        <is>
          <t>Sistemas planetarios</t>
        </is>
      </c>
      <c r="I883" s="38" t="inlineStr">
        <is>
          <t>22.8. Exploración de las propiedades deducibles de los exoplanetas.</t>
        </is>
      </c>
      <c r="J883" s="11" t="inlineStr">
        <is>
          <t>TA</t>
        </is>
      </c>
      <c r="K883" s="11" t="inlineStr">
        <is>
          <t>FUERA</t>
        </is>
      </c>
      <c r="L883" s="11" t="inlineStr"/>
      <c r="M883" s="11">
        <f>IF(K883="FUERA","Fuera del marco",IF(K883="N/A","Sin marco",IFERROR(INDEX('Datos - Catálogo TIMSS'!$C$5:$C$107,MATCH(K883,'Datos - Catálogo TIMSS'!$A$5:$A$107,0)),"Pendiente de clasificar")))</f>
        <v/>
      </c>
      <c r="N883" s="11">
        <f>IF(K883="FUERA","Fuera del marco",IF(K883="N/A","Sin marco",IFERROR(INDEX('Datos - Catálogo TIMSS'!$F$5:$F$107,MATCH(K883,'Datos - Catálogo TIMSS'!$A$5:$A$107,0)),"Pendiente de clasificar")))</f>
        <v/>
      </c>
      <c r="O883" s="11">
        <f>IF(L883="","",IFERROR(INDEX('Datos - Catálogo TIMSS'!$C$5:$C$107,MATCH(L883,'Datos - Catálogo TIMSS'!$A$5:$A$107,0)),"?"))</f>
        <v/>
      </c>
      <c r="P883" s="11" t="inlineStr">
        <is>
          <t>baja</t>
        </is>
      </c>
      <c r="Q883" s="38" t="inlineStr">
        <is>
          <t>Propiedades de exoplanetas; astronomía sin objetivo explícito</t>
        </is>
      </c>
      <c r="R883" s="38" t="inlineStr">
        <is>
          <t>Aplicar: calcular densidades. Razonar: argumentar sobre la habitabilidad</t>
        </is>
      </c>
      <c r="S883" s="39">
        <f>IFERROR(ISNUMBER(SEARCH("Conocer",$R883))/(ISNUMBER(SEARCH("Conocer",$R883))+ISNUMBER(SEARCH("Aplicar",$R883))+ISNUMBER(SEARCH("Razonar",$R883))),0)</f>
        <v/>
      </c>
      <c r="T883" s="39">
        <f>IFERROR(ISNUMBER(SEARCH("Aplicar",$R883))/(ISNUMBER(SEARCH("Conocer",$R883))+ISNUMBER(SEARCH("Aplicar",$R883))+ISNUMBER(SEARCH("Razonar",$R883))),0)</f>
        <v/>
      </c>
      <c r="U883" s="39">
        <f>IFERROR(ISNUMBER(SEARCH("Razonar",$R883))/(ISNUMBER(SEARCH("Conocer",$R883))+ISNUMBER(SEARCH("Aplicar",$R883))+ISNUMBER(SEARCH("Razonar",$R883))),0)</f>
        <v/>
      </c>
      <c r="V883" s="11" t="inlineStr">
        <is>
          <t>Física 11°</t>
        </is>
      </c>
      <c r="W883" s="11" t="inlineStr">
        <is>
          <t>Física 10°–11°</t>
        </is>
      </c>
      <c r="X883" s="11">
        <f>IF(OR(IFERROR(INDEX('Datos - Catálogo TIMSS'!$I$5:$I$107,MATCH(K883,'Datos - Catálogo TIMSS'!$A$5:$A$107,0)),"No")="Sí",IFERROR(INDEX('Datos - Catálogo TIMSS'!$I$5:$I$107,MATCH(L883,'Datos - Catálogo TIMSS'!$A$5:$A$107,0)),"No")="Sí"),1,0)</f>
        <v/>
      </c>
      <c r="Y883" s="11">
        <f>IF(IFERROR(INDEX('Datos - Catálogo TIMSS'!$J$5:$J$107,MATCH(K883,'Datos - Catálogo TIMSS'!$A$5:$A$107,0)),"No")="Sí",1,0)</f>
        <v/>
      </c>
      <c r="Z883" s="11">
        <f>IF(IFERROR(INDEX('Datos - Catálogo TIMSS'!$J$5:$J$107,MATCH(L883,'Datos - Catálogo TIMSS'!$A$5:$A$107,0)),"No")="Sí",1,0)</f>
        <v/>
      </c>
      <c r="AA883" s="11" t="inlineStr">
        <is>
          <t>FUERA</t>
        </is>
      </c>
      <c r="AB883" s="11" t="inlineStr"/>
      <c r="AC883" s="11">
        <f>IF(AA883="FUERA","Fuera del marco",IF(AA883="N/A","Sin marco",IFERROR(INDEX('Datos - TIMSS 2023'!$C$5:$C$105,MATCH(AA883,'Datos - TIMSS 2023'!$A$5:$A$105,0)),"Pendiente de clasificar")))</f>
        <v/>
      </c>
      <c r="AD883" s="11" t="inlineStr">
        <is>
          <t>3. Investigar, evaluar y usar información científica para tomar decisiones y actuar</t>
        </is>
      </c>
      <c r="AE883" s="11">
        <f>IF(AD883="","",IF(LEFT(AD883,1)="1","C1",IF(LEFT(AD883,1)="2","C2",IF(LEFT(AD883,1)="3","C3",""))))</f>
        <v/>
      </c>
      <c r="AF883" s="11" t="inlineStr">
        <is>
          <t>E6</t>
        </is>
      </c>
      <c r="AG883" s="11" t="inlineStr">
        <is>
          <t>E5</t>
        </is>
      </c>
      <c r="AH883" s="11" t="inlineStr">
        <is>
          <t>E1</t>
        </is>
      </c>
      <c r="AI883" s="11" t="inlineStr">
        <is>
          <t>I3</t>
        </is>
      </c>
      <c r="AJ883" s="11" t="inlineStr">
        <is>
          <t>I2</t>
        </is>
      </c>
      <c r="AK883" s="11" t="n"/>
      <c r="AL883" s="11" t="n"/>
      <c r="AM883" s="11" t="n"/>
      <c r="AN883" s="11" t="n"/>
      <c r="AO883" s="11" t="n"/>
      <c r="AP883" s="11" t="n"/>
      <c r="AQ883" s="11" t="n"/>
      <c r="AR883" s="11" t="n"/>
      <c r="AS883" s="11" t="n"/>
      <c r="AT883" s="11" t="n"/>
      <c r="AU883" s="11" t="n"/>
      <c r="AV883" s="11" t="n"/>
      <c r="AW883" s="11">
        <f>AF883&amp;"; "&amp;AG883&amp;"; "&amp;AH883&amp;"; "&amp;AI883&amp;"; "&amp;AJ883</f>
        <v/>
      </c>
    </row>
    <row r="884">
      <c r="A884" s="11" t="inlineStr">
        <is>
          <t>T0420-G11-FÍS</t>
        </is>
      </c>
      <c r="B884" s="11" t="n">
        <v>11</v>
      </c>
      <c r="C884" s="11" t="inlineStr">
        <is>
          <t>Física</t>
        </is>
      </c>
      <c r="D884" s="11" t="inlineStr">
        <is>
          <t>Matriz_Bachillerato_Fisica_10_11.xlsx</t>
        </is>
      </c>
      <c r="E884" s="11" t="inlineStr">
        <is>
          <t>Física 11.°</t>
        </is>
      </c>
      <c r="F884" s="11" t="n">
        <v>139</v>
      </c>
      <c r="G884" s="11" t="inlineStr">
        <is>
          <t>22. Ciencias del espacio</t>
        </is>
      </c>
      <c r="H884" s="11" t="inlineStr">
        <is>
          <t>Sistemas planetarios</t>
        </is>
      </c>
      <c r="I884" s="38" t="inlineStr">
        <is>
          <t>22.9. Discusión acerca de las condiciones que permiten el desarrollo de vida en un planeta y cómo detectarlas.</t>
        </is>
      </c>
      <c r="J884" s="11" t="inlineStr">
        <is>
          <t>TA</t>
        </is>
      </c>
      <c r="K884" s="11" t="inlineStr">
        <is>
          <t>FUERA</t>
        </is>
      </c>
      <c r="L884" s="11" t="inlineStr"/>
      <c r="M884" s="11">
        <f>IF(K884="FUERA","Fuera del marco",IF(K884="N/A","Sin marco",IFERROR(INDEX('Datos - Catálogo TIMSS'!$C$5:$C$107,MATCH(K884,'Datos - Catálogo TIMSS'!$A$5:$A$107,0)),"Pendiente de clasificar")))</f>
        <v/>
      </c>
      <c r="N884" s="11">
        <f>IF(K884="FUERA","Fuera del marco",IF(K884="N/A","Sin marco",IFERROR(INDEX('Datos - Catálogo TIMSS'!$F$5:$F$107,MATCH(K884,'Datos - Catálogo TIMSS'!$A$5:$A$107,0)),"Pendiente de clasificar")))</f>
        <v/>
      </c>
      <c r="O884" s="11">
        <f>IF(L884="","",IFERROR(INDEX('Datos - Catálogo TIMSS'!$C$5:$C$107,MATCH(L884,'Datos - Catálogo TIMSS'!$A$5:$A$107,0)),"?"))</f>
        <v/>
      </c>
      <c r="P884" s="11" t="inlineStr">
        <is>
          <t>alta</t>
        </is>
      </c>
      <c r="Q884" s="38" t="inlineStr">
        <is>
          <t>Astrobiología fuera del marco</t>
        </is>
      </c>
      <c r="R884" s="38" t="inlineStr">
        <is>
          <t>Razonar: argumentar sobre condiciones de habitabilidad y evaluar evidencias</t>
        </is>
      </c>
      <c r="S884" s="39">
        <f>IFERROR(ISNUMBER(SEARCH("Conocer",$R884))/(ISNUMBER(SEARCH("Conocer",$R884))+ISNUMBER(SEARCH("Aplicar",$R884))+ISNUMBER(SEARCH("Razonar",$R884))),0)</f>
        <v/>
      </c>
      <c r="T884" s="39">
        <f>IFERROR(ISNUMBER(SEARCH("Aplicar",$R884))/(ISNUMBER(SEARCH("Conocer",$R884))+ISNUMBER(SEARCH("Aplicar",$R884))+ISNUMBER(SEARCH("Razonar",$R884))),0)</f>
        <v/>
      </c>
      <c r="U884" s="39">
        <f>IFERROR(ISNUMBER(SEARCH("Razonar",$R884))/(ISNUMBER(SEARCH("Conocer",$R884))+ISNUMBER(SEARCH("Aplicar",$R884))+ISNUMBER(SEARCH("Razonar",$R884))),0)</f>
        <v/>
      </c>
      <c r="V884" s="11" t="inlineStr">
        <is>
          <t>Física 11°</t>
        </is>
      </c>
      <c r="W884" s="11" t="inlineStr">
        <is>
          <t>Física 10°–11°</t>
        </is>
      </c>
      <c r="X884" s="11">
        <f>IF(OR(IFERROR(INDEX('Datos - Catálogo TIMSS'!$I$5:$I$107,MATCH(K884,'Datos - Catálogo TIMSS'!$A$5:$A$107,0)),"No")="Sí",IFERROR(INDEX('Datos - Catálogo TIMSS'!$I$5:$I$107,MATCH(L884,'Datos - Catálogo TIMSS'!$A$5:$A$107,0)),"No")="Sí"),1,0)</f>
        <v/>
      </c>
      <c r="Y884" s="11">
        <f>IF(IFERROR(INDEX('Datos - Catálogo TIMSS'!$J$5:$J$107,MATCH(K884,'Datos - Catálogo TIMSS'!$A$5:$A$107,0)),"No")="Sí",1,0)</f>
        <v/>
      </c>
      <c r="Z884" s="11">
        <f>IF(IFERROR(INDEX('Datos - Catálogo TIMSS'!$J$5:$J$107,MATCH(L884,'Datos - Catálogo TIMSS'!$A$5:$A$107,0)),"No")="Sí",1,0)</f>
        <v/>
      </c>
      <c r="AA884" s="11" t="inlineStr">
        <is>
          <t>FUERA</t>
        </is>
      </c>
      <c r="AB884" s="11" t="inlineStr"/>
      <c r="AC884" s="11">
        <f>IF(AA884="FUERA","Fuera del marco",IF(AA884="N/A","Sin marco",IFERROR(INDEX('Datos - TIMSS 2023'!$C$5:$C$105,MATCH(AA884,'Datos - TIMSS 2023'!$A$5:$A$105,0)),"Pendiente de clasificar")))</f>
        <v/>
      </c>
      <c r="AD884" s="11" t="inlineStr">
        <is>
          <t>3. Investigar, evaluar y usar información científica para tomar decisiones y actuar</t>
        </is>
      </c>
      <c r="AE884" s="11">
        <f>IF(AD884="","",IF(LEFT(AD884,1)="1","C1",IF(LEFT(AD884,1)="2","C2",IF(LEFT(AD884,1)="3","C3",""))))</f>
        <v/>
      </c>
      <c r="AF884" s="11" t="inlineStr">
        <is>
          <t>E6</t>
        </is>
      </c>
      <c r="AG884" s="11" t="inlineStr">
        <is>
          <t>E3</t>
        </is>
      </c>
      <c r="AH884" s="11" t="inlineStr">
        <is>
          <t>E4</t>
        </is>
      </c>
      <c r="AI884" s="11" t="inlineStr">
        <is>
          <t>I3</t>
        </is>
      </c>
      <c r="AJ884" s="11" t="inlineStr">
        <is>
          <t>I4</t>
        </is>
      </c>
      <c r="AK884" s="11" t="n"/>
      <c r="AL884" s="11" t="n"/>
      <c r="AM884" s="11" t="n"/>
      <c r="AN884" s="11" t="n"/>
      <c r="AO884" s="11" t="n"/>
      <c r="AP884" s="11" t="n"/>
      <c r="AQ884" s="11" t="n"/>
      <c r="AR884" s="11" t="n"/>
      <c r="AS884" s="11" t="n"/>
      <c r="AT884" s="11" t="n"/>
      <c r="AU884" s="11" t="n"/>
      <c r="AV884" s="11" t="n"/>
      <c r="AW884" s="11">
        <f>AF884&amp;"; "&amp;AG884&amp;"; "&amp;AH884&amp;"; "&amp;AI884&amp;"; "&amp;AJ884</f>
        <v/>
      </c>
    </row>
    <row r="885">
      <c r="A885" s="11" t="inlineStr">
        <is>
          <t>T0421-G11-FÍS</t>
        </is>
      </c>
      <c r="B885" s="11" t="n">
        <v>11</v>
      </c>
      <c r="C885" s="11" t="inlineStr">
        <is>
          <t>Física</t>
        </is>
      </c>
      <c r="D885" s="11" t="inlineStr">
        <is>
          <t>Matriz_Bachillerato_Fisica_10_11.xlsx</t>
        </is>
      </c>
      <c r="E885" s="11" t="inlineStr">
        <is>
          <t>Física 11.°</t>
        </is>
      </c>
      <c r="F885" s="11" t="n">
        <v>140</v>
      </c>
      <c r="G885" s="11" t="inlineStr">
        <is>
          <t>23. Introducción a la física moderna</t>
        </is>
      </c>
      <c r="H885" s="11" t="inlineStr">
        <is>
          <t>Teoría de la relatividad especial</t>
        </is>
      </c>
      <c r="I885" s="38" t="inlineStr">
        <is>
          <t>23.1. Reconocimiento de las métricas del espacio relativista y no relativista, y sus invarianzas.</t>
        </is>
      </c>
      <c r="J885" s="11" t="inlineStr">
        <is>
          <t>TA</t>
        </is>
      </c>
      <c r="K885" s="11" t="inlineStr">
        <is>
          <t>FUERA</t>
        </is>
      </c>
      <c r="L885" s="11" t="inlineStr"/>
      <c r="M885" s="11">
        <f>IF(K885="FUERA","Fuera del marco",IF(K885="N/A","Sin marco",IFERROR(INDEX('Datos - Catálogo TIMSS'!$C$5:$C$107,MATCH(K885,'Datos - Catálogo TIMSS'!$A$5:$A$107,0)),"Pendiente de clasificar")))</f>
        <v/>
      </c>
      <c r="N885" s="11">
        <f>IF(K885="FUERA","Fuera del marco",IF(K885="N/A","Sin marco",IFERROR(INDEX('Datos - Catálogo TIMSS'!$F$5:$F$107,MATCH(K885,'Datos - Catálogo TIMSS'!$A$5:$A$107,0)),"Pendiente de clasificar")))</f>
        <v/>
      </c>
      <c r="O885" s="11">
        <f>IF(L885="","",IFERROR(INDEX('Datos - Catálogo TIMSS'!$C$5:$C$107,MATCH(L885,'Datos - Catálogo TIMSS'!$A$5:$A$107,0)),"?"))</f>
        <v/>
      </c>
      <c r="P885" s="11" t="inlineStr">
        <is>
          <t>alta</t>
        </is>
      </c>
      <c r="Q885" s="38" t="inlineStr">
        <is>
          <t>Métricas euclidiana y de Minkowski: relatividad</t>
        </is>
      </c>
      <c r="R885" s="38" t="inlineStr">
        <is>
          <t>Aplicar: calcular intervalos. Razonar: justificar invariancias</t>
        </is>
      </c>
      <c r="S885" s="39">
        <f>IFERROR(ISNUMBER(SEARCH("Conocer",$R885))/(ISNUMBER(SEARCH("Conocer",$R885))+ISNUMBER(SEARCH("Aplicar",$R885))+ISNUMBER(SEARCH("Razonar",$R885))),0)</f>
        <v/>
      </c>
      <c r="T885" s="39">
        <f>IFERROR(ISNUMBER(SEARCH("Aplicar",$R885))/(ISNUMBER(SEARCH("Conocer",$R885))+ISNUMBER(SEARCH("Aplicar",$R885))+ISNUMBER(SEARCH("Razonar",$R885))),0)</f>
        <v/>
      </c>
      <c r="U885" s="39">
        <f>IFERROR(ISNUMBER(SEARCH("Razonar",$R885))/(ISNUMBER(SEARCH("Conocer",$R885))+ISNUMBER(SEARCH("Aplicar",$R885))+ISNUMBER(SEARCH("Razonar",$R885))),0)</f>
        <v/>
      </c>
      <c r="V885" s="11" t="inlineStr">
        <is>
          <t>Física 11°</t>
        </is>
      </c>
      <c r="W885" s="11" t="inlineStr">
        <is>
          <t>Física 10°–11°</t>
        </is>
      </c>
      <c r="X885" s="11">
        <f>IF(OR(IFERROR(INDEX('Datos - Catálogo TIMSS'!$I$5:$I$107,MATCH(K885,'Datos - Catálogo TIMSS'!$A$5:$A$107,0)),"No")="Sí",IFERROR(INDEX('Datos - Catálogo TIMSS'!$I$5:$I$107,MATCH(L885,'Datos - Catálogo TIMSS'!$A$5:$A$107,0)),"No")="Sí"),1,0)</f>
        <v/>
      </c>
      <c r="Y885" s="11">
        <f>IF(IFERROR(INDEX('Datos - Catálogo TIMSS'!$J$5:$J$107,MATCH(K885,'Datos - Catálogo TIMSS'!$A$5:$A$107,0)),"No")="Sí",1,0)</f>
        <v/>
      </c>
      <c r="Z885" s="11">
        <f>IF(IFERROR(INDEX('Datos - Catálogo TIMSS'!$J$5:$J$107,MATCH(L885,'Datos - Catálogo TIMSS'!$A$5:$A$107,0)),"No")="Sí",1,0)</f>
        <v/>
      </c>
      <c r="AA885" s="11" t="inlineStr">
        <is>
          <t>FUERA</t>
        </is>
      </c>
      <c r="AB885" s="11" t="inlineStr"/>
      <c r="AC885" s="11">
        <f>IF(AA885="FUERA","Fuera del marco",IF(AA885="N/A","Sin marco",IFERROR(INDEX('Datos - TIMSS 2023'!$C$5:$C$105,MATCH(AA885,'Datos - TIMSS 2023'!$A$5:$A$105,0)),"Pendiente de clasificar")))</f>
        <v/>
      </c>
      <c r="AD885" s="11" t="inlineStr">
        <is>
          <t>1. Explicar fenómenos científicamente</t>
        </is>
      </c>
      <c r="AE885" s="11">
        <f>IF(AD885="","",IF(LEFT(AD885,1)="1","C1",IF(LEFT(AD885,1)="2","C2",IF(LEFT(AD885,1)="3","C3",""))))</f>
        <v/>
      </c>
      <c r="AF885" s="11" t="inlineStr">
        <is>
          <t>E1</t>
        </is>
      </c>
      <c r="AG885" s="11" t="inlineStr">
        <is>
          <t>E3</t>
        </is>
      </c>
      <c r="AH885" s="11" t="inlineStr">
        <is>
          <t>E2</t>
        </is>
      </c>
      <c r="AI885" s="11" t="inlineStr">
        <is>
          <t>E4</t>
        </is>
      </c>
      <c r="AJ885" s="11" t="inlineStr">
        <is>
          <t>I5</t>
        </is>
      </c>
      <c r="AK885" s="11" t="n"/>
      <c r="AL885" s="11" t="n"/>
      <c r="AM885" s="11" t="n"/>
      <c r="AN885" s="11" t="n"/>
      <c r="AO885" s="11" t="n"/>
      <c r="AP885" s="11" t="n"/>
      <c r="AQ885" s="11" t="n"/>
      <c r="AR885" s="11" t="n"/>
      <c r="AS885" s="11" t="n"/>
      <c r="AT885" s="11" t="n"/>
      <c r="AU885" s="11" t="n"/>
      <c r="AV885" s="11" t="n"/>
      <c r="AW885" s="11">
        <f>AF885&amp;"; "&amp;AG885&amp;"; "&amp;AH885&amp;"; "&amp;AI885&amp;"; "&amp;AJ885</f>
        <v/>
      </c>
    </row>
    <row r="886">
      <c r="A886" s="11" t="inlineStr">
        <is>
          <t>T0422-G11-FÍS</t>
        </is>
      </c>
      <c r="B886" s="11" t="n">
        <v>11</v>
      </c>
      <c r="C886" s="11" t="inlineStr">
        <is>
          <t>Física</t>
        </is>
      </c>
      <c r="D886" s="11" t="inlineStr">
        <is>
          <t>Matriz_Bachillerato_Fisica_10_11.xlsx</t>
        </is>
      </c>
      <c r="E886" s="11" t="inlineStr">
        <is>
          <t>Física 11.°</t>
        </is>
      </c>
      <c r="F886" s="11" t="n">
        <v>141</v>
      </c>
      <c r="G886" s="11" t="inlineStr">
        <is>
          <t>23. Introducción a la física moderna</t>
        </is>
      </c>
      <c r="H886" s="11" t="inlineStr">
        <is>
          <t>Teoría de la relatividad especial</t>
        </is>
      </c>
      <c r="I886" s="38" t="inlineStr">
        <is>
          <t>23.2. Interpretación de los marcos de referencia inerciales para eventos simultáneos.</t>
        </is>
      </c>
      <c r="J886" s="11" t="inlineStr">
        <is>
          <t>TA</t>
        </is>
      </c>
      <c r="K886" s="11" t="inlineStr">
        <is>
          <t>FUERA</t>
        </is>
      </c>
      <c r="L886" s="11" t="inlineStr"/>
      <c r="M886" s="11">
        <f>IF(K886="FUERA","Fuera del marco",IF(K886="N/A","Sin marco",IFERROR(INDEX('Datos - Catálogo TIMSS'!$C$5:$C$107,MATCH(K886,'Datos - Catálogo TIMSS'!$A$5:$A$107,0)),"Pendiente de clasificar")))</f>
        <v/>
      </c>
      <c r="N886" s="11">
        <f>IF(K886="FUERA","Fuera del marco",IF(K886="N/A","Sin marco",IFERROR(INDEX('Datos - Catálogo TIMSS'!$F$5:$F$107,MATCH(K886,'Datos - Catálogo TIMSS'!$A$5:$A$107,0)),"Pendiente de clasificar")))</f>
        <v/>
      </c>
      <c r="O886" s="11">
        <f>IF(L886="","",IFERROR(INDEX('Datos - Catálogo TIMSS'!$C$5:$C$107,MATCH(L886,'Datos - Catálogo TIMSS'!$A$5:$A$107,0)),"?"))</f>
        <v/>
      </c>
      <c r="P886" s="11" t="inlineStr">
        <is>
          <t>alta</t>
        </is>
      </c>
      <c r="Q886" s="38" t="inlineStr">
        <is>
          <t>Simultaneidad relativista fuera del marco</t>
        </is>
      </c>
      <c r="R886" s="38" t="inlineStr">
        <is>
          <t>Razonar: interpretar la relatividad de la simultaneidad con diagramas</t>
        </is>
      </c>
      <c r="S886" s="39">
        <f>IFERROR(ISNUMBER(SEARCH("Conocer",$R886))/(ISNUMBER(SEARCH("Conocer",$R886))+ISNUMBER(SEARCH("Aplicar",$R886))+ISNUMBER(SEARCH("Razonar",$R886))),0)</f>
        <v/>
      </c>
      <c r="T886" s="39">
        <f>IFERROR(ISNUMBER(SEARCH("Aplicar",$R886))/(ISNUMBER(SEARCH("Conocer",$R886))+ISNUMBER(SEARCH("Aplicar",$R886))+ISNUMBER(SEARCH("Razonar",$R886))),0)</f>
        <v/>
      </c>
      <c r="U886" s="39">
        <f>IFERROR(ISNUMBER(SEARCH("Razonar",$R886))/(ISNUMBER(SEARCH("Conocer",$R886))+ISNUMBER(SEARCH("Aplicar",$R886))+ISNUMBER(SEARCH("Razonar",$R886))),0)</f>
        <v/>
      </c>
      <c r="V886" s="11" t="inlineStr">
        <is>
          <t>Física 11°</t>
        </is>
      </c>
      <c r="W886" s="11" t="inlineStr">
        <is>
          <t>Física 10°–11°</t>
        </is>
      </c>
      <c r="X886" s="11">
        <f>IF(OR(IFERROR(INDEX('Datos - Catálogo TIMSS'!$I$5:$I$107,MATCH(K886,'Datos - Catálogo TIMSS'!$A$5:$A$107,0)),"No")="Sí",IFERROR(INDEX('Datos - Catálogo TIMSS'!$I$5:$I$107,MATCH(L886,'Datos - Catálogo TIMSS'!$A$5:$A$107,0)),"No")="Sí"),1,0)</f>
        <v/>
      </c>
      <c r="Y886" s="11">
        <f>IF(IFERROR(INDEX('Datos - Catálogo TIMSS'!$J$5:$J$107,MATCH(K886,'Datos - Catálogo TIMSS'!$A$5:$A$107,0)),"No")="Sí",1,0)</f>
        <v/>
      </c>
      <c r="Z886" s="11">
        <f>IF(IFERROR(INDEX('Datos - Catálogo TIMSS'!$J$5:$J$107,MATCH(L886,'Datos - Catálogo TIMSS'!$A$5:$A$107,0)),"No")="Sí",1,0)</f>
        <v/>
      </c>
      <c r="AA886" s="11" t="inlineStr">
        <is>
          <t>FUERA</t>
        </is>
      </c>
      <c r="AB886" s="11" t="inlineStr"/>
      <c r="AC886" s="11">
        <f>IF(AA886="FUERA","Fuera del marco",IF(AA886="N/A","Sin marco",IFERROR(INDEX('Datos - TIMSS 2023'!$C$5:$C$105,MATCH(AA886,'Datos - TIMSS 2023'!$A$5:$A$105,0)),"Pendiente de clasificar")))</f>
        <v/>
      </c>
      <c r="AD886" s="11" t="inlineStr">
        <is>
          <t>1. Explicar fenómenos científicamente</t>
        </is>
      </c>
      <c r="AE886" s="11">
        <f>IF(AD886="","",IF(LEFT(AD886,1)="1","C1",IF(LEFT(AD886,1)="2","C2",IF(LEFT(AD886,1)="3","C3",""))))</f>
        <v/>
      </c>
      <c r="AF886" s="11" t="inlineStr">
        <is>
          <t>E1</t>
        </is>
      </c>
      <c r="AG886" s="11" t="inlineStr">
        <is>
          <t>D1</t>
        </is>
      </c>
      <c r="AH886" s="11" t="inlineStr">
        <is>
          <t>E4</t>
        </is>
      </c>
      <c r="AI886" s="11" t="inlineStr">
        <is>
          <t>I3</t>
        </is>
      </c>
      <c r="AJ886" s="11" t="inlineStr">
        <is>
          <t>E3</t>
        </is>
      </c>
      <c r="AK886" s="11" t="n"/>
      <c r="AL886" s="11" t="n"/>
      <c r="AM886" s="11" t="n"/>
      <c r="AN886" s="11" t="n"/>
      <c r="AO886" s="11" t="n"/>
      <c r="AP886" s="11" t="n"/>
      <c r="AQ886" s="11" t="n"/>
      <c r="AR886" s="11" t="n"/>
      <c r="AS886" s="11" t="n"/>
      <c r="AT886" s="11" t="n"/>
      <c r="AU886" s="11" t="n"/>
      <c r="AV886" s="11" t="n"/>
      <c r="AW886" s="11">
        <f>AF886&amp;"; "&amp;AG886&amp;"; "&amp;AH886&amp;"; "&amp;AI886&amp;"; "&amp;AJ886</f>
        <v/>
      </c>
    </row>
    <row r="887">
      <c r="A887" s="11" t="inlineStr">
        <is>
          <t>T0423-G11-FÍS</t>
        </is>
      </c>
      <c r="B887" s="11" t="n">
        <v>11</v>
      </c>
      <c r="C887" s="11" t="inlineStr">
        <is>
          <t>Física</t>
        </is>
      </c>
      <c r="D887" s="11" t="inlineStr">
        <is>
          <t>Matriz_Bachillerato_Fisica_10_11.xlsx</t>
        </is>
      </c>
      <c r="E887" s="11" t="inlineStr">
        <is>
          <t>Física 11.°</t>
        </is>
      </c>
      <c r="F887" s="11" t="n">
        <v>142</v>
      </c>
      <c r="G887" s="11" t="inlineStr">
        <is>
          <t>23. Introducción a la física moderna</t>
        </is>
      </c>
      <c r="H887" s="11" t="inlineStr">
        <is>
          <t>Teoría de la relatividad especial</t>
        </is>
      </c>
      <c r="I887" s="38" t="inlineStr">
        <is>
          <t>23.3. Cálculo de la longitud de objetos que se mueven a una rapidez cercana a la de la luz.</t>
        </is>
      </c>
      <c r="J887" s="11" t="inlineStr">
        <is>
          <t>TA</t>
        </is>
      </c>
      <c r="K887" s="11" t="inlineStr">
        <is>
          <t>FUERA</t>
        </is>
      </c>
      <c r="L887" s="11" t="inlineStr"/>
      <c r="M887" s="11">
        <f>IF(K887="FUERA","Fuera del marco",IF(K887="N/A","Sin marco",IFERROR(INDEX('Datos - Catálogo TIMSS'!$C$5:$C$107,MATCH(K887,'Datos - Catálogo TIMSS'!$A$5:$A$107,0)),"Pendiente de clasificar")))</f>
        <v/>
      </c>
      <c r="N887" s="11">
        <f>IF(K887="FUERA","Fuera del marco",IF(K887="N/A","Sin marco",IFERROR(INDEX('Datos - Catálogo TIMSS'!$F$5:$F$107,MATCH(K887,'Datos - Catálogo TIMSS'!$A$5:$A$107,0)),"Pendiente de clasificar")))</f>
        <v/>
      </c>
      <c r="O887" s="11">
        <f>IF(L887="","",IFERROR(INDEX('Datos - Catálogo TIMSS'!$C$5:$C$107,MATCH(L887,'Datos - Catálogo TIMSS'!$A$5:$A$107,0)),"?"))</f>
        <v/>
      </c>
      <c r="P887" s="11" t="inlineStr">
        <is>
          <t>alta</t>
        </is>
      </c>
      <c r="Q887" s="38" t="inlineStr">
        <is>
          <t>Contracción de la longitud fuera del marco</t>
        </is>
      </c>
      <c r="R887" s="38" t="inlineStr">
        <is>
          <t>Aplicar: calcular longitudes contraídas. Razonar: relacionar contracción y dilatación</t>
        </is>
      </c>
      <c r="S887" s="39">
        <f>IFERROR(ISNUMBER(SEARCH("Conocer",$R887))/(ISNUMBER(SEARCH("Conocer",$R887))+ISNUMBER(SEARCH("Aplicar",$R887))+ISNUMBER(SEARCH("Razonar",$R887))),0)</f>
        <v/>
      </c>
      <c r="T887" s="39">
        <f>IFERROR(ISNUMBER(SEARCH("Aplicar",$R887))/(ISNUMBER(SEARCH("Conocer",$R887))+ISNUMBER(SEARCH("Aplicar",$R887))+ISNUMBER(SEARCH("Razonar",$R887))),0)</f>
        <v/>
      </c>
      <c r="U887" s="39">
        <f>IFERROR(ISNUMBER(SEARCH("Razonar",$R887))/(ISNUMBER(SEARCH("Conocer",$R887))+ISNUMBER(SEARCH("Aplicar",$R887))+ISNUMBER(SEARCH("Razonar",$R887))),0)</f>
        <v/>
      </c>
      <c r="V887" s="11" t="inlineStr">
        <is>
          <t>Física 11°</t>
        </is>
      </c>
      <c r="W887" s="11" t="inlineStr">
        <is>
          <t>Física 10°–11°</t>
        </is>
      </c>
      <c r="X887" s="11">
        <f>IF(OR(IFERROR(INDEX('Datos - Catálogo TIMSS'!$I$5:$I$107,MATCH(K887,'Datos - Catálogo TIMSS'!$A$5:$A$107,0)),"No")="Sí",IFERROR(INDEX('Datos - Catálogo TIMSS'!$I$5:$I$107,MATCH(L887,'Datos - Catálogo TIMSS'!$A$5:$A$107,0)),"No")="Sí"),1,0)</f>
        <v/>
      </c>
      <c r="Y887" s="11">
        <f>IF(IFERROR(INDEX('Datos - Catálogo TIMSS'!$J$5:$J$107,MATCH(K887,'Datos - Catálogo TIMSS'!$A$5:$A$107,0)),"No")="Sí",1,0)</f>
        <v/>
      </c>
      <c r="Z887" s="11">
        <f>IF(IFERROR(INDEX('Datos - Catálogo TIMSS'!$J$5:$J$107,MATCH(L887,'Datos - Catálogo TIMSS'!$A$5:$A$107,0)),"No")="Sí",1,0)</f>
        <v/>
      </c>
      <c r="AA887" s="11" t="inlineStr">
        <is>
          <t>FUERA</t>
        </is>
      </c>
      <c r="AB887" s="11" t="inlineStr"/>
      <c r="AC887" s="11">
        <f>IF(AA887="FUERA","Fuera del marco",IF(AA887="N/A","Sin marco",IFERROR(INDEX('Datos - TIMSS 2023'!$C$5:$C$105,MATCH(AA887,'Datos - TIMSS 2023'!$A$5:$A$105,0)),"Pendiente de clasificar")))</f>
        <v/>
      </c>
      <c r="AD887" s="11" t="inlineStr">
        <is>
          <t>1. Explicar fenómenos científicamente</t>
        </is>
      </c>
      <c r="AE887" s="11">
        <f>IF(AD887="","",IF(LEFT(AD887,1)="1","C1",IF(LEFT(AD887,1)="2","C2",IF(LEFT(AD887,1)="3","C3",""))))</f>
        <v/>
      </c>
      <c r="AF887" s="11" t="inlineStr">
        <is>
          <t>E6</t>
        </is>
      </c>
      <c r="AG887" s="11" t="inlineStr">
        <is>
          <t>E3</t>
        </is>
      </c>
      <c r="AH887" s="11" t="inlineStr">
        <is>
          <t>E1</t>
        </is>
      </c>
      <c r="AI887" s="11" t="inlineStr">
        <is>
          <t>E4</t>
        </is>
      </c>
      <c r="AJ887" s="11" t="inlineStr">
        <is>
          <t>E3</t>
        </is>
      </c>
      <c r="AK887" s="11" t="n"/>
      <c r="AL887" s="11" t="n"/>
      <c r="AM887" s="11" t="n"/>
      <c r="AN887" s="11" t="n"/>
      <c r="AO887" s="11" t="n"/>
      <c r="AP887" s="11" t="n"/>
      <c r="AQ887" s="11" t="n"/>
      <c r="AR887" s="11" t="n"/>
      <c r="AS887" s="11" t="n"/>
      <c r="AT887" s="11" t="n"/>
      <c r="AU887" s="11" t="n"/>
      <c r="AV887" s="11" t="n"/>
      <c r="AW887" s="11">
        <f>AF887&amp;"; "&amp;AG887&amp;"; "&amp;AH887&amp;"; "&amp;AI887&amp;"; "&amp;AJ887</f>
        <v/>
      </c>
    </row>
    <row r="888">
      <c r="A888" s="11" t="inlineStr">
        <is>
          <t>T0424-G11-FÍS</t>
        </is>
      </c>
      <c r="B888" s="11" t="n">
        <v>11</v>
      </c>
      <c r="C888" s="11" t="inlineStr">
        <is>
          <t>Física</t>
        </is>
      </c>
      <c r="D888" s="11" t="inlineStr">
        <is>
          <t>Matriz_Bachillerato_Fisica_10_11.xlsx</t>
        </is>
      </c>
      <c r="E888" s="11" t="inlineStr">
        <is>
          <t>Física 11.°</t>
        </is>
      </c>
      <c r="F888" s="11" t="n">
        <v>143</v>
      </c>
      <c r="G888" s="11" t="inlineStr">
        <is>
          <t>23. Introducción a la física moderna</t>
        </is>
      </c>
      <c r="H888" s="11" t="inlineStr">
        <is>
          <t>Interacción de la radiación y la materia</t>
        </is>
      </c>
      <c r="I888" s="38" t="inlineStr">
        <is>
          <t>23.4. Exploración de los tipos de radiación ionizante y sus efectos en las células.</t>
        </is>
      </c>
      <c r="J888" s="11" t="inlineStr">
        <is>
          <t>TA</t>
        </is>
      </c>
      <c r="K888" s="11" t="inlineStr">
        <is>
          <t>TA-O2.3</t>
        </is>
      </c>
      <c r="L888" s="11" t="inlineStr"/>
      <c r="M888" s="11">
        <f>IF(K888="FUERA","Fuera del marco",IF(K888="N/A","Sin marco",IFERROR(INDEX('Datos - Catálogo TIMSS'!$C$5:$C$107,MATCH(K888,'Datos - Catálogo TIMSS'!$A$5:$A$107,0)),"Pendiente de clasificar")))</f>
        <v/>
      </c>
      <c r="N888" s="11">
        <f>IF(K888="FUERA","Fuera del marco",IF(K888="N/A","Sin marco",IFERROR(INDEX('Datos - Catálogo TIMSS'!$F$5:$F$107,MATCH(K888,'Datos - Catálogo TIMSS'!$A$5:$A$107,0)),"Pendiente de clasificar")))</f>
        <v/>
      </c>
      <c r="O888" s="11">
        <f>IF(L888="","",IFERROR(INDEX('Datos - Catálogo TIMSS'!$C$5:$C$107,MATCH(L888,'Datos - Catálogo TIMSS'!$A$5:$A$107,0)),"?"))</f>
        <v/>
      </c>
      <c r="P888" s="11" t="inlineStr">
        <is>
          <t>baja</t>
        </is>
      </c>
      <c r="Q888" s="38" t="inlineStr">
        <is>
          <t>Radiación ionizante de decaimiento y efectos biológicos</t>
        </is>
      </c>
      <c r="R888" s="38" t="inlineStr">
        <is>
          <t>Conocer: clasificar radiaciones. Razonar: distinguir evidencia de opinión</t>
        </is>
      </c>
      <c r="S888" s="39">
        <f>IFERROR(ISNUMBER(SEARCH("Conocer",$R888))/(ISNUMBER(SEARCH("Conocer",$R888))+ISNUMBER(SEARCH("Aplicar",$R888))+ISNUMBER(SEARCH("Razonar",$R888))),0)</f>
        <v/>
      </c>
      <c r="T888" s="39">
        <f>IFERROR(ISNUMBER(SEARCH("Aplicar",$R888))/(ISNUMBER(SEARCH("Conocer",$R888))+ISNUMBER(SEARCH("Aplicar",$R888))+ISNUMBER(SEARCH("Razonar",$R888))),0)</f>
        <v/>
      </c>
      <c r="U888" s="39">
        <f>IFERROR(ISNUMBER(SEARCH("Razonar",$R888))/(ISNUMBER(SEARCH("Conocer",$R888))+ISNUMBER(SEARCH("Aplicar",$R888))+ISNUMBER(SEARCH("Razonar",$R888))),0)</f>
        <v/>
      </c>
      <c r="V888" s="11" t="inlineStr">
        <is>
          <t>Física 11°</t>
        </is>
      </c>
      <c r="W888" s="11" t="inlineStr">
        <is>
          <t>Física 10°–11°</t>
        </is>
      </c>
      <c r="X888" s="11">
        <f>IF(OR(IFERROR(INDEX('Datos - Catálogo TIMSS'!$I$5:$I$107,MATCH(K888,'Datos - Catálogo TIMSS'!$A$5:$A$107,0)),"No")="Sí",IFERROR(INDEX('Datos - Catálogo TIMSS'!$I$5:$I$107,MATCH(L888,'Datos - Catálogo TIMSS'!$A$5:$A$107,0)),"No")="Sí"),1,0)</f>
        <v/>
      </c>
      <c r="Y888" s="11">
        <f>IF(IFERROR(INDEX('Datos - Catálogo TIMSS'!$J$5:$J$107,MATCH(K888,'Datos - Catálogo TIMSS'!$A$5:$A$107,0)),"No")="Sí",1,0)</f>
        <v/>
      </c>
      <c r="Z888" s="11">
        <f>IF(IFERROR(INDEX('Datos - Catálogo TIMSS'!$J$5:$J$107,MATCH(L888,'Datos - Catálogo TIMSS'!$A$5:$A$107,0)),"No")="Sí",1,0)</f>
        <v/>
      </c>
      <c r="AA888" s="11" t="inlineStr">
        <is>
          <t>TA-O2.3</t>
        </is>
      </c>
      <c r="AB888" s="11" t="inlineStr"/>
      <c r="AC888" s="11">
        <f>IF(AA888="FUERA","Fuera del marco",IF(AA888="N/A","Sin marco",IFERROR(INDEX('Datos - TIMSS 2023'!$C$5:$C$105,MATCH(AA888,'Datos - TIMSS 2023'!$A$5:$A$105,0)),"Pendiente de clasificar")))</f>
        <v/>
      </c>
      <c r="AD888" s="11" t="inlineStr">
        <is>
          <t>3. Investigar, evaluar y usar información científica para tomar decisiones y actuar</t>
        </is>
      </c>
      <c r="AE888" s="11">
        <f>IF(AD888="","",IF(LEFT(AD888,1)="1","C1",IF(LEFT(AD888,1)="2","C2",IF(LEFT(AD888,1)="3","C3",""))))</f>
        <v/>
      </c>
      <c r="AF888" s="11" t="inlineStr">
        <is>
          <t>E6</t>
        </is>
      </c>
      <c r="AG888" s="11" t="inlineStr">
        <is>
          <t>D1</t>
        </is>
      </c>
      <c r="AH888" s="11" t="inlineStr">
        <is>
          <t>E1</t>
        </is>
      </c>
      <c r="AI888" s="11" t="inlineStr">
        <is>
          <t>I2</t>
        </is>
      </c>
      <c r="AJ888" s="11" t="inlineStr">
        <is>
          <t>E6</t>
        </is>
      </c>
      <c r="AK888" s="11" t="n"/>
      <c r="AL888" s="11" t="n"/>
      <c r="AM888" s="11" t="n"/>
      <c r="AN888" s="11" t="n"/>
      <c r="AO888" s="11" t="n"/>
      <c r="AP888" s="11" t="n"/>
      <c r="AQ888" s="11" t="n"/>
      <c r="AR888" s="11" t="n"/>
      <c r="AS888" s="11" t="n"/>
      <c r="AT888" s="11" t="n"/>
      <c r="AU888" s="11" t="n"/>
      <c r="AV888" s="11" t="n"/>
      <c r="AW888" s="11">
        <f>AF888&amp;"; "&amp;AG888&amp;"; "&amp;AH888&amp;"; "&amp;AI888&amp;"; "&amp;AJ888</f>
        <v/>
      </c>
    </row>
    <row r="889">
      <c r="A889" s="11" t="inlineStr">
        <is>
          <t>T0425-G11-FÍS</t>
        </is>
      </c>
      <c r="B889" s="11" t="n">
        <v>11</v>
      </c>
      <c r="C889" s="11" t="inlineStr">
        <is>
          <t>Física</t>
        </is>
      </c>
      <c r="D889" s="11" t="inlineStr">
        <is>
          <t>Matriz_Bachillerato_Fisica_10_11.xlsx</t>
        </is>
      </c>
      <c r="E889" s="11" t="inlineStr">
        <is>
          <t>Física 11.°</t>
        </is>
      </c>
      <c r="F889" s="11" t="n">
        <v>144</v>
      </c>
      <c r="G889" s="11" t="inlineStr">
        <is>
          <t>23. Introducción a la física moderna</t>
        </is>
      </c>
      <c r="H889" s="11" t="inlineStr">
        <is>
          <t>Interacción de la radiación y la materia</t>
        </is>
      </c>
      <c r="I889" s="38" t="inlineStr">
        <is>
          <t>23.5. Reconocimiento de la radiación de partículas y la radiación electromagnética a partir de sus interacciones con la materia.</t>
        </is>
      </c>
      <c r="J889" s="11" t="inlineStr">
        <is>
          <t>TA</t>
        </is>
      </c>
      <c r="K889" s="11" t="inlineStr">
        <is>
          <t>TA-O2.3</t>
        </is>
      </c>
      <c r="L889" s="11" t="inlineStr">
        <is>
          <t>TA-O1.2</t>
        </is>
      </c>
      <c r="M889" s="11">
        <f>IF(K889="FUERA","Fuera del marco",IF(K889="N/A","Sin marco",IFERROR(INDEX('Datos - Catálogo TIMSS'!$C$5:$C$107,MATCH(K889,'Datos - Catálogo TIMSS'!$A$5:$A$107,0)),"Pendiente de clasificar")))</f>
        <v/>
      </c>
      <c r="N889" s="11">
        <f>IF(K889="FUERA","Fuera del marco",IF(K889="N/A","Sin marco",IFERROR(INDEX('Datos - Catálogo TIMSS'!$F$5:$F$107,MATCH(K889,'Datos - Catálogo TIMSS'!$A$5:$A$107,0)),"Pendiente de clasificar")))</f>
        <v/>
      </c>
      <c r="O889" s="11">
        <f>IF(L889="","",IFERROR(INDEX('Datos - Catálogo TIMSS'!$C$5:$C$107,MATCH(L889,'Datos - Catálogo TIMSS'!$A$5:$A$107,0)),"?"))</f>
        <v/>
      </c>
      <c r="P889" s="11" t="inlineStr">
        <is>
          <t>baja</t>
        </is>
      </c>
      <c r="Q889" s="38" t="inlineStr">
        <is>
          <t>Radiación de partículas y electromagnética con la materia</t>
        </is>
      </c>
      <c r="R889" s="38" t="inlineStr">
        <is>
          <t>Aplicar: interpretar datos de atenuación. Razonar: justificar blindajes</t>
        </is>
      </c>
      <c r="S889" s="39">
        <f>IFERROR(ISNUMBER(SEARCH("Conocer",$R889))/(ISNUMBER(SEARCH("Conocer",$R889))+ISNUMBER(SEARCH("Aplicar",$R889))+ISNUMBER(SEARCH("Razonar",$R889))),0)</f>
        <v/>
      </c>
      <c r="T889" s="39">
        <f>IFERROR(ISNUMBER(SEARCH("Aplicar",$R889))/(ISNUMBER(SEARCH("Conocer",$R889))+ISNUMBER(SEARCH("Aplicar",$R889))+ISNUMBER(SEARCH("Razonar",$R889))),0)</f>
        <v/>
      </c>
      <c r="U889" s="39">
        <f>IFERROR(ISNUMBER(SEARCH("Razonar",$R889))/(ISNUMBER(SEARCH("Conocer",$R889))+ISNUMBER(SEARCH("Aplicar",$R889))+ISNUMBER(SEARCH("Razonar",$R889))),0)</f>
        <v/>
      </c>
      <c r="V889" s="11" t="inlineStr">
        <is>
          <t>Física 11°</t>
        </is>
      </c>
      <c r="W889" s="11" t="inlineStr">
        <is>
          <t>Física 10°–11°</t>
        </is>
      </c>
      <c r="X889" s="11">
        <f>IF(OR(IFERROR(INDEX('Datos - Catálogo TIMSS'!$I$5:$I$107,MATCH(K889,'Datos - Catálogo TIMSS'!$A$5:$A$107,0)),"No")="Sí",IFERROR(INDEX('Datos - Catálogo TIMSS'!$I$5:$I$107,MATCH(L889,'Datos - Catálogo TIMSS'!$A$5:$A$107,0)),"No")="Sí"),1,0)</f>
        <v/>
      </c>
      <c r="Y889" s="11">
        <f>IF(IFERROR(INDEX('Datos - Catálogo TIMSS'!$J$5:$J$107,MATCH(K889,'Datos - Catálogo TIMSS'!$A$5:$A$107,0)),"No")="Sí",1,0)</f>
        <v/>
      </c>
      <c r="Z889" s="11">
        <f>IF(IFERROR(INDEX('Datos - Catálogo TIMSS'!$J$5:$J$107,MATCH(L889,'Datos - Catálogo TIMSS'!$A$5:$A$107,0)),"No")="Sí",1,0)</f>
        <v/>
      </c>
      <c r="AA889" s="11" t="inlineStr">
        <is>
          <t>TA-O2.3</t>
        </is>
      </c>
      <c r="AB889" s="11" t="inlineStr">
        <is>
          <t>TA-O1.2</t>
        </is>
      </c>
      <c r="AC889" s="11">
        <f>IF(AA889="FUERA","Fuera del marco",IF(AA889="N/A","Sin marco",IFERROR(INDEX('Datos - TIMSS 2023'!$C$5:$C$105,MATCH(AA889,'Datos - TIMSS 2023'!$A$5:$A$105,0)),"Pendiente de clasificar")))</f>
        <v/>
      </c>
      <c r="AD889" s="11" t="inlineStr">
        <is>
          <t>1. Explicar fenómenos científicamente</t>
        </is>
      </c>
      <c r="AE889" s="11">
        <f>IF(AD889="","",IF(LEFT(AD889,1)="1","C1",IF(LEFT(AD889,1)="2","C2",IF(LEFT(AD889,1)="3","C3",""))))</f>
        <v/>
      </c>
      <c r="AF889" s="11" t="inlineStr">
        <is>
          <t>E1</t>
        </is>
      </c>
      <c r="AG889" s="11" t="inlineStr">
        <is>
          <t>E5</t>
        </is>
      </c>
      <c r="AH889" s="11" t="inlineStr">
        <is>
          <t>E2</t>
        </is>
      </c>
      <c r="AI889" s="11" t="inlineStr">
        <is>
          <t>D4</t>
        </is>
      </c>
      <c r="AJ889" s="11" t="inlineStr">
        <is>
          <t>E3</t>
        </is>
      </c>
      <c r="AK889" s="11" t="n"/>
      <c r="AL889" s="11" t="n"/>
      <c r="AM889" s="11" t="n"/>
      <c r="AN889" s="11" t="n"/>
      <c r="AO889" s="11" t="n"/>
      <c r="AP889" s="11" t="n"/>
      <c r="AQ889" s="11" t="n"/>
      <c r="AR889" s="11" t="n"/>
      <c r="AS889" s="11" t="n"/>
      <c r="AT889" s="11" t="n"/>
      <c r="AU889" s="11" t="n"/>
      <c r="AV889" s="11" t="n"/>
      <c r="AW889" s="11">
        <f>AF889&amp;"; "&amp;AG889&amp;"; "&amp;AH889&amp;"; "&amp;AI889&amp;"; "&amp;AJ889</f>
        <v/>
      </c>
    </row>
    <row r="890">
      <c r="A890" s="11" t="inlineStr">
        <is>
          <t>T0426-G11-FÍS</t>
        </is>
      </c>
      <c r="B890" s="11" t="n">
        <v>11</v>
      </c>
      <c r="C890" s="11" t="inlineStr">
        <is>
          <t>Física</t>
        </is>
      </c>
      <c r="D890" s="11" t="inlineStr">
        <is>
          <t>Matriz_Bachillerato_Fisica_10_11.xlsx</t>
        </is>
      </c>
      <c r="E890" s="11" t="inlineStr">
        <is>
          <t>Física 11.°</t>
        </is>
      </c>
      <c r="F890" s="11" t="n">
        <v>145</v>
      </c>
      <c r="G890" s="11" t="inlineStr">
        <is>
          <t>23. Introducción a la física moderna</t>
        </is>
      </c>
      <c r="H890" s="11" t="inlineStr">
        <is>
          <t>Interacción de la radiación y la materia</t>
        </is>
      </c>
      <c r="I890" s="38" t="inlineStr">
        <is>
          <t>23.6. Identificación de los tipos de radiación ionizante y sus aplicaciones médicas.</t>
        </is>
      </c>
      <c r="J890" s="11" t="inlineStr">
        <is>
          <t>TA</t>
        </is>
      </c>
      <c r="K890" s="11" t="inlineStr">
        <is>
          <t>TA-O2.3</t>
        </is>
      </c>
      <c r="L890" s="11" t="inlineStr"/>
      <c r="M890" s="11">
        <f>IF(K890="FUERA","Fuera del marco",IF(K890="N/A","Sin marco",IFERROR(INDEX('Datos - Catálogo TIMSS'!$C$5:$C$107,MATCH(K890,'Datos - Catálogo TIMSS'!$A$5:$A$107,0)),"Pendiente de clasificar")))</f>
        <v/>
      </c>
      <c r="N890" s="11">
        <f>IF(K890="FUERA","Fuera del marco",IF(K890="N/A","Sin marco",IFERROR(INDEX('Datos - Catálogo TIMSS'!$F$5:$F$107,MATCH(K890,'Datos - Catálogo TIMSS'!$A$5:$A$107,0)),"Pendiente de clasificar")))</f>
        <v/>
      </c>
      <c r="O890" s="11">
        <f>IF(L890="","",IFERROR(INDEX('Datos - Catálogo TIMSS'!$C$5:$C$107,MATCH(L890,'Datos - Catálogo TIMSS'!$A$5:$A$107,0)),"?"))</f>
        <v/>
      </c>
      <c r="P890" s="11" t="inlineStr">
        <is>
          <t>baja</t>
        </is>
      </c>
      <c r="Q890" s="38" t="inlineStr">
        <is>
          <t>Aplicaciones médicas de radiación ionizante</t>
        </is>
      </c>
      <c r="R890" s="38" t="inlineStr">
        <is>
          <t>Conocer: identificar aplicaciones médicas. Razonar: valorar riesgos y beneficios</t>
        </is>
      </c>
      <c r="S890" s="39">
        <f>IFERROR(ISNUMBER(SEARCH("Conocer",$R890))/(ISNUMBER(SEARCH("Conocer",$R890))+ISNUMBER(SEARCH("Aplicar",$R890))+ISNUMBER(SEARCH("Razonar",$R890))),0)</f>
        <v/>
      </c>
      <c r="T890" s="39">
        <f>IFERROR(ISNUMBER(SEARCH("Aplicar",$R890))/(ISNUMBER(SEARCH("Conocer",$R890))+ISNUMBER(SEARCH("Aplicar",$R890))+ISNUMBER(SEARCH("Razonar",$R890))),0)</f>
        <v/>
      </c>
      <c r="U890" s="39">
        <f>IFERROR(ISNUMBER(SEARCH("Razonar",$R890))/(ISNUMBER(SEARCH("Conocer",$R890))+ISNUMBER(SEARCH("Aplicar",$R890))+ISNUMBER(SEARCH("Razonar",$R890))),0)</f>
        <v/>
      </c>
      <c r="V890" s="11" t="inlineStr">
        <is>
          <t>Física 11°</t>
        </is>
      </c>
      <c r="W890" s="11" t="inlineStr">
        <is>
          <t>Física 10°–11°</t>
        </is>
      </c>
      <c r="X890" s="11">
        <f>IF(OR(IFERROR(INDEX('Datos - Catálogo TIMSS'!$I$5:$I$107,MATCH(K890,'Datos - Catálogo TIMSS'!$A$5:$A$107,0)),"No")="Sí",IFERROR(INDEX('Datos - Catálogo TIMSS'!$I$5:$I$107,MATCH(L890,'Datos - Catálogo TIMSS'!$A$5:$A$107,0)),"No")="Sí"),1,0)</f>
        <v/>
      </c>
      <c r="Y890" s="11">
        <f>IF(IFERROR(INDEX('Datos - Catálogo TIMSS'!$J$5:$J$107,MATCH(K890,'Datos - Catálogo TIMSS'!$A$5:$A$107,0)),"No")="Sí",1,0)</f>
        <v/>
      </c>
      <c r="Z890" s="11">
        <f>IF(IFERROR(INDEX('Datos - Catálogo TIMSS'!$J$5:$J$107,MATCH(L890,'Datos - Catálogo TIMSS'!$A$5:$A$107,0)),"No")="Sí",1,0)</f>
        <v/>
      </c>
      <c r="AA890" s="11" t="inlineStr">
        <is>
          <t>TA-O2.3</t>
        </is>
      </c>
      <c r="AB890" s="11" t="inlineStr"/>
      <c r="AC890" s="11">
        <f>IF(AA890="FUERA","Fuera del marco",IF(AA890="N/A","Sin marco",IFERROR(INDEX('Datos - TIMSS 2023'!$C$5:$C$105,MATCH(AA890,'Datos - TIMSS 2023'!$A$5:$A$105,0)),"Pendiente de clasificar")))</f>
        <v/>
      </c>
      <c r="AD890" s="11" t="inlineStr">
        <is>
          <t>3. Investigar, evaluar y usar información científica para tomar decisiones y actuar</t>
        </is>
      </c>
      <c r="AE890" s="11">
        <f>IF(AD890="","",IF(LEFT(AD890,1)="1","C1",IF(LEFT(AD890,1)="2","C2",IF(LEFT(AD890,1)="3","C3",""))))</f>
        <v/>
      </c>
      <c r="AF890" s="11" t="inlineStr">
        <is>
          <t>E6</t>
        </is>
      </c>
      <c r="AG890" s="11" t="inlineStr">
        <is>
          <t>D1</t>
        </is>
      </c>
      <c r="AH890" s="11" t="inlineStr">
        <is>
          <t>E1</t>
        </is>
      </c>
      <c r="AI890" s="11" t="inlineStr">
        <is>
          <t>I1</t>
        </is>
      </c>
      <c r="AJ890" s="11" t="inlineStr">
        <is>
          <t>I5</t>
        </is>
      </c>
      <c r="AK890" s="11" t="n"/>
      <c r="AL890" s="11" t="n"/>
      <c r="AM890" s="11" t="n"/>
      <c r="AN890" s="11" t="n"/>
      <c r="AO890" s="11" t="n"/>
      <c r="AP890" s="11" t="n"/>
      <c r="AQ890" s="11" t="n"/>
      <c r="AR890" s="11" t="n"/>
      <c r="AS890" s="11" t="n"/>
      <c r="AT890" s="11" t="n"/>
      <c r="AU890" s="11" t="n"/>
      <c r="AV890" s="11" t="n"/>
      <c r="AW890" s="11">
        <f>AF890&amp;"; "&amp;AG890&amp;"; "&amp;AH890&amp;"; "&amp;AI890&amp;"; "&amp;AJ890</f>
        <v/>
      </c>
    </row>
    <row r="891">
      <c r="A891" s="11" t="inlineStr">
        <is>
          <t>T0427-G11-FÍS</t>
        </is>
      </c>
      <c r="B891" s="11" t="n">
        <v>11</v>
      </c>
      <c r="C891" s="11" t="inlineStr">
        <is>
          <t>Física</t>
        </is>
      </c>
      <c r="D891" s="11" t="inlineStr">
        <is>
          <t>Matriz_Bachillerato_Fisica_10_11.xlsx</t>
        </is>
      </c>
      <c r="E891" s="11" t="inlineStr">
        <is>
          <t>Física 11.°</t>
        </is>
      </c>
      <c r="F891" s="11" t="n">
        <v>146</v>
      </c>
      <c r="G891" s="11" t="inlineStr">
        <is>
          <t>23. Introducción a la física moderna</t>
        </is>
      </c>
      <c r="H891" s="11" t="inlineStr">
        <is>
          <t>Física nuclear</t>
        </is>
      </c>
      <c r="I891" s="38" t="inlineStr">
        <is>
          <t>23.7. Indagación del concepto y características fundamentales de las reacciones de fisión y fusión nuclear.</t>
        </is>
      </c>
      <c r="J891" s="11" t="inlineStr">
        <is>
          <t>TA</t>
        </is>
      </c>
      <c r="K891" s="11" t="inlineStr">
        <is>
          <t>TA-O2.3</t>
        </is>
      </c>
      <c r="L891" s="11" t="inlineStr">
        <is>
          <t>TA-O2.4</t>
        </is>
      </c>
      <c r="M891" s="11">
        <f>IF(K891="FUERA","Fuera del marco",IF(K891="N/A","Sin marco",IFERROR(INDEX('Datos - Catálogo TIMSS'!$C$5:$C$107,MATCH(K891,'Datos - Catálogo TIMSS'!$A$5:$A$107,0)),"Pendiente de clasificar")))</f>
        <v/>
      </c>
      <c r="N891" s="11">
        <f>IF(K891="FUERA","Fuera del marco",IF(K891="N/A","Sin marco",IFERROR(INDEX('Datos - Catálogo TIMSS'!$F$5:$F$107,MATCH(K891,'Datos - Catálogo TIMSS'!$A$5:$A$107,0)),"Pendiente de clasificar")))</f>
        <v/>
      </c>
      <c r="O891" s="11">
        <f>IF(L891="","",IFERROR(INDEX('Datos - Catálogo TIMSS'!$C$5:$C$107,MATCH(L891,'Datos - Catálogo TIMSS'!$A$5:$A$107,0)),"?"))</f>
        <v/>
      </c>
      <c r="P891" s="11" t="inlineStr">
        <is>
          <t>alta</t>
        </is>
      </c>
      <c r="Q891" s="38" t="inlineStr">
        <is>
          <t>Reacciones de fisión y fusión nuclear</t>
        </is>
      </c>
      <c r="R891" s="38" t="inlineStr">
        <is>
          <t>Aplicar: calcular la energía liberada. Razonar: comparar fuentes de energía</t>
        </is>
      </c>
      <c r="S891" s="39">
        <f>IFERROR(ISNUMBER(SEARCH("Conocer",$R891))/(ISNUMBER(SEARCH("Conocer",$R891))+ISNUMBER(SEARCH("Aplicar",$R891))+ISNUMBER(SEARCH("Razonar",$R891))),0)</f>
        <v/>
      </c>
      <c r="T891" s="39">
        <f>IFERROR(ISNUMBER(SEARCH("Aplicar",$R891))/(ISNUMBER(SEARCH("Conocer",$R891))+ISNUMBER(SEARCH("Aplicar",$R891))+ISNUMBER(SEARCH("Razonar",$R891))),0)</f>
        <v/>
      </c>
      <c r="U891" s="39">
        <f>IFERROR(ISNUMBER(SEARCH("Razonar",$R891))/(ISNUMBER(SEARCH("Conocer",$R891))+ISNUMBER(SEARCH("Aplicar",$R891))+ISNUMBER(SEARCH("Razonar",$R891))),0)</f>
        <v/>
      </c>
      <c r="V891" s="11" t="inlineStr">
        <is>
          <t>Física 11°</t>
        </is>
      </c>
      <c r="W891" s="11" t="inlineStr">
        <is>
          <t>Física 10°–11°</t>
        </is>
      </c>
      <c r="X891" s="11">
        <f>IF(OR(IFERROR(INDEX('Datos - Catálogo TIMSS'!$I$5:$I$107,MATCH(K891,'Datos - Catálogo TIMSS'!$A$5:$A$107,0)),"No")="Sí",IFERROR(INDEX('Datos - Catálogo TIMSS'!$I$5:$I$107,MATCH(L891,'Datos - Catálogo TIMSS'!$A$5:$A$107,0)),"No")="Sí"),1,0)</f>
        <v/>
      </c>
      <c r="Y891" s="11">
        <f>IF(IFERROR(INDEX('Datos - Catálogo TIMSS'!$J$5:$J$107,MATCH(K891,'Datos - Catálogo TIMSS'!$A$5:$A$107,0)),"No")="Sí",1,0)</f>
        <v/>
      </c>
      <c r="Z891" s="11">
        <f>IF(IFERROR(INDEX('Datos - Catálogo TIMSS'!$J$5:$J$107,MATCH(L891,'Datos - Catálogo TIMSS'!$A$5:$A$107,0)),"No")="Sí",1,0)</f>
        <v/>
      </c>
      <c r="AA891" s="11" t="inlineStr">
        <is>
          <t>TA-O2.3</t>
        </is>
      </c>
      <c r="AB891" s="11" t="inlineStr">
        <is>
          <t>TA-O2.4</t>
        </is>
      </c>
      <c r="AC891" s="11">
        <f>IF(AA891="FUERA","Fuera del marco",IF(AA891="N/A","Sin marco",IFERROR(INDEX('Datos - TIMSS 2023'!$C$5:$C$105,MATCH(AA891,'Datos - TIMSS 2023'!$A$5:$A$105,0)),"Pendiente de clasificar")))</f>
        <v/>
      </c>
      <c r="AD891" s="11" t="inlineStr">
        <is>
          <t>1. Explicar fenómenos científicamente</t>
        </is>
      </c>
      <c r="AE891" s="11">
        <f>IF(AD891="","",IF(LEFT(AD891,1)="1","C1",IF(LEFT(AD891,1)="2","C2",IF(LEFT(AD891,1)="3","C3",""))))</f>
        <v/>
      </c>
      <c r="AF891" s="11" t="inlineStr">
        <is>
          <t>E1</t>
        </is>
      </c>
      <c r="AG891" s="11" t="inlineStr">
        <is>
          <t>E3</t>
        </is>
      </c>
      <c r="AH891" s="11" t="inlineStr">
        <is>
          <t>E1</t>
        </is>
      </c>
      <c r="AI891" s="11" t="inlineStr">
        <is>
          <t>D4</t>
        </is>
      </c>
      <c r="AJ891" s="11" t="inlineStr">
        <is>
          <t>E6</t>
        </is>
      </c>
      <c r="AK891" s="11" t="n"/>
      <c r="AL891" s="11" t="n"/>
      <c r="AM891" s="11" t="n"/>
      <c r="AN891" s="11" t="n"/>
      <c r="AO891" s="11" t="n"/>
      <c r="AP891" s="11" t="n"/>
      <c r="AQ891" s="11" t="n"/>
      <c r="AR891" s="11" t="n"/>
      <c r="AS891" s="11" t="n"/>
      <c r="AT891" s="11" t="n"/>
      <c r="AU891" s="11" t="n"/>
      <c r="AV891" s="11" t="n"/>
      <c r="AW891" s="11">
        <f>AF891&amp;"; "&amp;AG891&amp;"; "&amp;AH891&amp;"; "&amp;AI891&amp;"; "&amp;AJ891</f>
        <v/>
      </c>
    </row>
    <row r="892">
      <c r="A892" s="11" t="inlineStr">
        <is>
          <t>T0428-G11-FÍS</t>
        </is>
      </c>
      <c r="B892" s="11" t="n">
        <v>11</v>
      </c>
      <c r="C892" s="11" t="inlineStr">
        <is>
          <t>Física</t>
        </is>
      </c>
      <c r="D892" s="11" t="inlineStr">
        <is>
          <t>Matriz_Bachillerato_Fisica_10_11.xlsx</t>
        </is>
      </c>
      <c r="E892" s="11" t="inlineStr">
        <is>
          <t>Física 11.°</t>
        </is>
      </c>
      <c r="F892" s="11" t="n">
        <v>147</v>
      </c>
      <c r="G892" s="11" t="inlineStr">
        <is>
          <t>23. Introducción a la física moderna</t>
        </is>
      </c>
      <c r="H892" s="11" t="inlineStr">
        <is>
          <t>Física nuclear</t>
        </is>
      </c>
      <c r="I892" s="38" t="inlineStr">
        <is>
          <t>23.8. Generalización del proceso de transformación del combustible nuclear en energía eléctrica.</t>
        </is>
      </c>
      <c r="J892" s="11" t="inlineStr">
        <is>
          <t>TA</t>
        </is>
      </c>
      <c r="K892" s="11" t="inlineStr">
        <is>
          <t>TA-O2.3</t>
        </is>
      </c>
      <c r="L892" s="11" t="inlineStr">
        <is>
          <t>TA-O2.4</t>
        </is>
      </c>
      <c r="M892" s="11">
        <f>IF(K892="FUERA","Fuera del marco",IF(K892="N/A","Sin marco",IFERROR(INDEX('Datos - Catálogo TIMSS'!$C$5:$C$107,MATCH(K892,'Datos - Catálogo TIMSS'!$A$5:$A$107,0)),"Pendiente de clasificar")))</f>
        <v/>
      </c>
      <c r="N892" s="11">
        <f>IF(K892="FUERA","Fuera del marco",IF(K892="N/A","Sin marco",IFERROR(INDEX('Datos - Catálogo TIMSS'!$F$5:$F$107,MATCH(K892,'Datos - Catálogo TIMSS'!$A$5:$A$107,0)),"Pendiente de clasificar")))</f>
        <v/>
      </c>
      <c r="O892" s="11">
        <f>IF(L892="","",IFERROR(INDEX('Datos - Catálogo TIMSS'!$C$5:$C$107,MATCH(L892,'Datos - Catálogo TIMSS'!$A$5:$A$107,0)),"?"))</f>
        <v/>
      </c>
      <c r="P892" s="11" t="inlineStr">
        <is>
          <t>media</t>
        </is>
      </c>
      <c r="Q892" s="38" t="inlineStr">
        <is>
          <t>Reactores: fisión y conversión de energía</t>
        </is>
      </c>
      <c r="R892" s="38" t="inlineStr">
        <is>
          <t>Conocer: identificar componentes. Aplicar: representar transformaciones de energía</t>
        </is>
      </c>
      <c r="S892" s="39">
        <f>IFERROR(ISNUMBER(SEARCH("Conocer",$R892))/(ISNUMBER(SEARCH("Conocer",$R892))+ISNUMBER(SEARCH("Aplicar",$R892))+ISNUMBER(SEARCH("Razonar",$R892))),0)</f>
        <v/>
      </c>
      <c r="T892" s="39">
        <f>IFERROR(ISNUMBER(SEARCH("Aplicar",$R892))/(ISNUMBER(SEARCH("Conocer",$R892))+ISNUMBER(SEARCH("Aplicar",$R892))+ISNUMBER(SEARCH("Razonar",$R892))),0)</f>
        <v/>
      </c>
      <c r="U892" s="39">
        <f>IFERROR(ISNUMBER(SEARCH("Razonar",$R892))/(ISNUMBER(SEARCH("Conocer",$R892))+ISNUMBER(SEARCH("Aplicar",$R892))+ISNUMBER(SEARCH("Razonar",$R892))),0)</f>
        <v/>
      </c>
      <c r="V892" s="11" t="inlineStr">
        <is>
          <t>Física 11°</t>
        </is>
      </c>
      <c r="W892" s="11" t="inlineStr">
        <is>
          <t>Física 10°–11°</t>
        </is>
      </c>
      <c r="X892" s="11">
        <f>IF(OR(IFERROR(INDEX('Datos - Catálogo TIMSS'!$I$5:$I$107,MATCH(K892,'Datos - Catálogo TIMSS'!$A$5:$A$107,0)),"No")="Sí",IFERROR(INDEX('Datos - Catálogo TIMSS'!$I$5:$I$107,MATCH(L892,'Datos - Catálogo TIMSS'!$A$5:$A$107,0)),"No")="Sí"),1,0)</f>
        <v/>
      </c>
      <c r="Y892" s="11">
        <f>IF(IFERROR(INDEX('Datos - Catálogo TIMSS'!$J$5:$J$107,MATCH(K892,'Datos - Catálogo TIMSS'!$A$5:$A$107,0)),"No")="Sí",1,0)</f>
        <v/>
      </c>
      <c r="Z892" s="11">
        <f>IF(IFERROR(INDEX('Datos - Catálogo TIMSS'!$J$5:$J$107,MATCH(L892,'Datos - Catálogo TIMSS'!$A$5:$A$107,0)),"No")="Sí",1,0)</f>
        <v/>
      </c>
      <c r="AA892" s="11" t="inlineStr">
        <is>
          <t>TA-O2.3</t>
        </is>
      </c>
      <c r="AB892" s="11" t="inlineStr">
        <is>
          <t>TA-O2.4</t>
        </is>
      </c>
      <c r="AC892" s="11">
        <f>IF(AA892="FUERA","Fuera del marco",IF(AA892="N/A","Sin marco",IFERROR(INDEX('Datos - TIMSS 2023'!$C$5:$C$105,MATCH(AA892,'Datos - TIMSS 2023'!$A$5:$A$105,0)),"Pendiente de clasificar")))</f>
        <v/>
      </c>
      <c r="AD892" s="11" t="inlineStr">
        <is>
          <t>1. Explicar fenómenos científicamente</t>
        </is>
      </c>
      <c r="AE892" s="11">
        <f>IF(AD892="","",IF(LEFT(AD892,1)="1","C1",IF(LEFT(AD892,1)="2","C2",IF(LEFT(AD892,1)="3","C3",""))))</f>
        <v/>
      </c>
      <c r="AF892" s="11" t="inlineStr">
        <is>
          <t>E6</t>
        </is>
      </c>
      <c r="AG892" s="11" t="inlineStr">
        <is>
          <t>D1</t>
        </is>
      </c>
      <c r="AH892" s="11" t="inlineStr">
        <is>
          <t>E4</t>
        </is>
      </c>
      <c r="AI892" s="11" t="inlineStr">
        <is>
          <t>E4</t>
        </is>
      </c>
      <c r="AJ892" s="11" t="inlineStr">
        <is>
          <t>E3</t>
        </is>
      </c>
      <c r="AK892" s="11" t="n"/>
      <c r="AL892" s="11" t="n"/>
      <c r="AM892" s="11" t="n"/>
      <c r="AN892" s="11" t="n"/>
      <c r="AO892" s="11" t="n"/>
      <c r="AP892" s="11" t="n"/>
      <c r="AQ892" s="11" t="n"/>
      <c r="AR892" s="11" t="n"/>
      <c r="AS892" s="11" t="n"/>
      <c r="AT892" s="11" t="n"/>
      <c r="AU892" s="11" t="n"/>
      <c r="AV892" s="11" t="n"/>
      <c r="AW892" s="11">
        <f>AF892&amp;"; "&amp;AG892&amp;"; "&amp;AH892&amp;"; "&amp;AI892&amp;"; "&amp;AJ892</f>
        <v/>
      </c>
    </row>
    <row r="893">
      <c r="A893" s="11" t="inlineStr">
        <is>
          <t>T0429-G11-FÍS</t>
        </is>
      </c>
      <c r="B893" s="11" t="n">
        <v>11</v>
      </c>
      <c r="C893" s="11" t="inlineStr">
        <is>
          <t>Física</t>
        </is>
      </c>
      <c r="D893" s="11" t="inlineStr">
        <is>
          <t>Matriz_Bachillerato_Fisica_10_11.xlsx</t>
        </is>
      </c>
      <c r="E893" s="11" t="inlineStr">
        <is>
          <t>Física 11.°</t>
        </is>
      </c>
      <c r="F893" s="11" t="n">
        <v>148</v>
      </c>
      <c r="G893" s="11" t="inlineStr">
        <is>
          <t>23. Introducción a la física moderna</t>
        </is>
      </c>
      <c r="H893" s="11" t="inlineStr">
        <is>
          <t>Física nuclear</t>
        </is>
      </c>
      <c r="I893" s="38" t="inlineStr">
        <is>
          <t>23.9. Investigación de las aplicaciones tecnológicas nucleares no eléctricas.</t>
        </is>
      </c>
      <c r="J893" s="11" t="inlineStr">
        <is>
          <t>TA</t>
        </is>
      </c>
      <c r="K893" s="11" t="inlineStr">
        <is>
          <t>TA-O2.3</t>
        </is>
      </c>
      <c r="L893" s="11" t="inlineStr"/>
      <c r="M893" s="11">
        <f>IF(K893="FUERA","Fuera del marco",IF(K893="N/A","Sin marco",IFERROR(INDEX('Datos - Catálogo TIMSS'!$C$5:$C$107,MATCH(K893,'Datos - Catálogo TIMSS'!$A$5:$A$107,0)),"Pendiente de clasificar")))</f>
        <v/>
      </c>
      <c r="N893" s="11">
        <f>IF(K893="FUERA","Fuera del marco",IF(K893="N/A","Sin marco",IFERROR(INDEX('Datos - Catálogo TIMSS'!$F$5:$F$107,MATCH(K893,'Datos - Catálogo TIMSS'!$A$5:$A$107,0)),"Pendiente de clasificar")))</f>
        <v/>
      </c>
      <c r="O893" s="11">
        <f>IF(L893="","",IFERROR(INDEX('Datos - Catálogo TIMSS'!$C$5:$C$107,MATCH(L893,'Datos - Catálogo TIMSS'!$A$5:$A$107,0)),"?"))</f>
        <v/>
      </c>
      <c r="P893" s="11" t="inlineStr">
        <is>
          <t>baja</t>
        </is>
      </c>
      <c r="Q893" s="38" t="inlineStr">
        <is>
          <t>Aplicaciones tecnológicas nucleares no eléctricas</t>
        </is>
      </c>
      <c r="R893" s="38" t="inlineStr">
        <is>
          <t>Conocer: ejemplificar aplicaciones. Razonar: justificar decisiones con criterios</t>
        </is>
      </c>
      <c r="S893" s="39">
        <f>IFERROR(ISNUMBER(SEARCH("Conocer",$R893))/(ISNUMBER(SEARCH("Conocer",$R893))+ISNUMBER(SEARCH("Aplicar",$R893))+ISNUMBER(SEARCH("Razonar",$R893))),0)</f>
        <v/>
      </c>
      <c r="T893" s="39">
        <f>IFERROR(ISNUMBER(SEARCH("Aplicar",$R893))/(ISNUMBER(SEARCH("Conocer",$R893))+ISNUMBER(SEARCH("Aplicar",$R893))+ISNUMBER(SEARCH("Razonar",$R893))),0)</f>
        <v/>
      </c>
      <c r="U893" s="39">
        <f>IFERROR(ISNUMBER(SEARCH("Razonar",$R893))/(ISNUMBER(SEARCH("Conocer",$R893))+ISNUMBER(SEARCH("Aplicar",$R893))+ISNUMBER(SEARCH("Razonar",$R893))),0)</f>
        <v/>
      </c>
      <c r="V893" s="11" t="inlineStr">
        <is>
          <t>Física 11°</t>
        </is>
      </c>
      <c r="W893" s="11" t="inlineStr">
        <is>
          <t>Física 10°–11°</t>
        </is>
      </c>
      <c r="X893" s="11">
        <f>IF(OR(IFERROR(INDEX('Datos - Catálogo TIMSS'!$I$5:$I$107,MATCH(K893,'Datos - Catálogo TIMSS'!$A$5:$A$107,0)),"No")="Sí",IFERROR(INDEX('Datos - Catálogo TIMSS'!$I$5:$I$107,MATCH(L893,'Datos - Catálogo TIMSS'!$A$5:$A$107,0)),"No")="Sí"),1,0)</f>
        <v/>
      </c>
      <c r="Y893" s="11">
        <f>IF(IFERROR(INDEX('Datos - Catálogo TIMSS'!$J$5:$J$107,MATCH(K893,'Datos - Catálogo TIMSS'!$A$5:$A$107,0)),"No")="Sí",1,0)</f>
        <v/>
      </c>
      <c r="Z893" s="11">
        <f>IF(IFERROR(INDEX('Datos - Catálogo TIMSS'!$J$5:$J$107,MATCH(L893,'Datos - Catálogo TIMSS'!$A$5:$A$107,0)),"No")="Sí",1,0)</f>
        <v/>
      </c>
      <c r="AA893" s="11" t="inlineStr">
        <is>
          <t>TA-O2.3</t>
        </is>
      </c>
      <c r="AB893" s="11" t="inlineStr"/>
      <c r="AC893" s="11">
        <f>IF(AA893="FUERA","Fuera del marco",IF(AA893="N/A","Sin marco",IFERROR(INDEX('Datos - TIMSS 2023'!$C$5:$C$105,MATCH(AA893,'Datos - TIMSS 2023'!$A$5:$A$105,0)),"Pendiente de clasificar")))</f>
        <v/>
      </c>
      <c r="AD893" s="11" t="inlineStr">
        <is>
          <t>3. Investigar, evaluar y usar información científica para tomar decisiones y actuar</t>
        </is>
      </c>
      <c r="AE893" s="11">
        <f>IF(AD893="","",IF(LEFT(AD893,1)="1","C1",IF(LEFT(AD893,1)="2","C2",IF(LEFT(AD893,1)="3","C3",""))))</f>
        <v/>
      </c>
      <c r="AF893" s="11" t="inlineStr">
        <is>
          <t>E6</t>
        </is>
      </c>
      <c r="AG893" s="11" t="inlineStr">
        <is>
          <t>E5</t>
        </is>
      </c>
      <c r="AH893" s="11" t="inlineStr">
        <is>
          <t>E1</t>
        </is>
      </c>
      <c r="AI893" s="11" t="inlineStr">
        <is>
          <t>I1</t>
        </is>
      </c>
      <c r="AJ893" s="11" t="inlineStr">
        <is>
          <t>I5</t>
        </is>
      </c>
      <c r="AK893" s="11" t="n"/>
      <c r="AL893" s="11" t="n"/>
      <c r="AM893" s="11" t="n"/>
      <c r="AN893" s="11" t="n"/>
      <c r="AO893" s="11" t="n"/>
      <c r="AP893" s="11" t="n"/>
      <c r="AQ893" s="11" t="n"/>
      <c r="AR893" s="11" t="n"/>
      <c r="AS893" s="11" t="n"/>
      <c r="AT893" s="11" t="n"/>
      <c r="AU893" s="11" t="n"/>
      <c r="AV893" s="11" t="n"/>
      <c r="AW893" s="11">
        <f>AF893&amp;"; "&amp;AG893&amp;"; "&amp;AH893&amp;"; "&amp;AI893&amp;"; "&amp;AJ893</f>
        <v/>
      </c>
    </row>
    <row r="894">
      <c r="A894" s="11" t="inlineStr">
        <is>
          <t>T0430-G10-QUÍ</t>
        </is>
      </c>
      <c r="B894" s="11" t="n">
        <v>10</v>
      </c>
      <c r="C894" s="11" t="inlineStr">
        <is>
          <t>Química</t>
        </is>
      </c>
      <c r="D894" s="11" t="inlineStr">
        <is>
          <t>Matriz_Bachillerato_Quimica_10_11.xlsx</t>
        </is>
      </c>
      <c r="E894" s="11" t="inlineStr">
        <is>
          <t>Química 10.°</t>
        </is>
      </c>
      <c r="F894" s="11" t="n">
        <v>3</v>
      </c>
      <c r="G894" s="11" t="inlineStr">
        <is>
          <t>1. La química como ciencia: ciclo de indagación</t>
        </is>
      </c>
      <c r="H894" s="11" t="inlineStr">
        <is>
          <t>La química y su método</t>
        </is>
      </c>
      <c r="I894" s="38" t="inlineStr">
        <is>
          <t>1.1. Análisis de la química como ciencia central que conecta las ciencias físicas, las ciencias de la vida y las ciencias aplicadas.</t>
        </is>
      </c>
      <c r="J894" s="11" t="inlineStr">
        <is>
          <t>Sin marco</t>
        </is>
      </c>
      <c r="K894" s="11" t="inlineStr">
        <is>
          <t>N/A</t>
        </is>
      </c>
      <c r="L894" s="11" t="inlineStr"/>
      <c r="M894" s="11">
        <f>IF(K894="FUERA","Fuera del marco",IF(K894="N/A","Sin marco",IFERROR(INDEX('Datos - Catálogo TIMSS'!$C$5:$C$107,MATCH(K894,'Datos - Catálogo TIMSS'!$A$5:$A$107,0)),"Pendiente de clasificar")))</f>
        <v/>
      </c>
      <c r="N894" s="11">
        <f>IF(K894="FUERA","Fuera del marco",IF(K894="N/A","Sin marco",IFERROR(INDEX('Datos - Catálogo TIMSS'!$F$5:$F$107,MATCH(K894,'Datos - Catálogo TIMSS'!$A$5:$A$107,0)),"Pendiente de clasificar")))</f>
        <v/>
      </c>
      <c r="O894" s="11">
        <f>IF(L894="","",IFERROR(INDEX('Datos - Catálogo TIMSS'!$C$5:$C$107,MATCH(L894,'Datos - Catálogo TIMSS'!$A$5:$A$107,0)),"?"))</f>
        <v/>
      </c>
      <c r="P894" s="11" t="inlineStr">
        <is>
          <t>N/A</t>
        </is>
      </c>
      <c r="Q894" s="38" t="inlineStr">
        <is>
          <t>Sin marco TIMSS de contenido para esta asignatura en Bachillerato</t>
        </is>
      </c>
      <c r="R894" s="38" t="inlineStr">
        <is>
          <t>Conocer: identificar el objeto de estudio. Razonar: relacionar disciplinas científicas</t>
        </is>
      </c>
      <c r="S894" s="39">
        <f>IFERROR(ISNUMBER(SEARCH("Conocer",$R894))/(ISNUMBER(SEARCH("Conocer",$R894))+ISNUMBER(SEARCH("Aplicar",$R894))+ISNUMBER(SEARCH("Razonar",$R894))),0)</f>
        <v/>
      </c>
      <c r="T894" s="39">
        <f>IFERROR(ISNUMBER(SEARCH("Aplicar",$R894))/(ISNUMBER(SEARCH("Conocer",$R894))+ISNUMBER(SEARCH("Aplicar",$R894))+ISNUMBER(SEARCH("Razonar",$R894))),0)</f>
        <v/>
      </c>
      <c r="U894" s="39">
        <f>IFERROR(ISNUMBER(SEARCH("Razonar",$R894))/(ISNUMBER(SEARCH("Conocer",$R894))+ISNUMBER(SEARCH("Aplicar",$R894))+ISNUMBER(SEARCH("Razonar",$R894))),0)</f>
        <v/>
      </c>
      <c r="V894" s="11" t="inlineStr">
        <is>
          <t>Química 10°</t>
        </is>
      </c>
      <c r="W894" s="11" t="inlineStr">
        <is>
          <t>Química 10°–11°</t>
        </is>
      </c>
      <c r="X894" s="11">
        <f>IF(OR(IFERROR(INDEX('Datos - Catálogo TIMSS'!$I$5:$I$107,MATCH(K894,'Datos - Catálogo TIMSS'!$A$5:$A$107,0)),"No")="Sí",IFERROR(INDEX('Datos - Catálogo TIMSS'!$I$5:$I$107,MATCH(L894,'Datos - Catálogo TIMSS'!$A$5:$A$107,0)),"No")="Sí"),1,0)</f>
        <v/>
      </c>
      <c r="Y894" s="11">
        <f>IF(IFERROR(INDEX('Datos - Catálogo TIMSS'!$J$5:$J$107,MATCH(K894,'Datos - Catálogo TIMSS'!$A$5:$A$107,0)),"No")="Sí",1,0)</f>
        <v/>
      </c>
      <c r="Z894" s="11">
        <f>IF(IFERROR(INDEX('Datos - Catálogo TIMSS'!$J$5:$J$107,MATCH(L894,'Datos - Catálogo TIMSS'!$A$5:$A$107,0)),"No")="Sí",1,0)</f>
        <v/>
      </c>
      <c r="AA894" s="11" t="inlineStr">
        <is>
          <t>N/A</t>
        </is>
      </c>
      <c r="AB894" s="11" t="inlineStr"/>
      <c r="AC894" s="11">
        <f>IF(AA894="FUERA","Fuera del marco",IF(AA894="N/A","Sin marco",IFERROR(INDEX('Datos - TIMSS 2023'!$C$5:$C$105,MATCH(AA894,'Datos - TIMSS 2023'!$A$5:$A$105,0)),"Pendiente de clasificar")))</f>
        <v/>
      </c>
      <c r="AD894" s="11" t="inlineStr">
        <is>
          <t>1. Explicar fenómenos científicamente</t>
        </is>
      </c>
      <c r="AE894" s="11">
        <f>IF(AD894="","",IF(LEFT(AD894,1)="1","C1",IF(LEFT(AD894,1)="2","C2",IF(LEFT(AD894,1)="3","C3",""))))</f>
        <v/>
      </c>
      <c r="AF894" s="11" t="inlineStr">
        <is>
          <t>E1</t>
        </is>
      </c>
      <c r="AG894" s="11" t="inlineStr">
        <is>
          <t>E5</t>
        </is>
      </c>
      <c r="AH894" s="11" t="inlineStr">
        <is>
          <t>E2</t>
        </is>
      </c>
      <c r="AI894" s="11" t="inlineStr">
        <is>
          <t>I1</t>
        </is>
      </c>
      <c r="AJ894" s="11" t="inlineStr">
        <is>
          <t>E6</t>
        </is>
      </c>
      <c r="AK894" s="11" t="n"/>
      <c r="AL894" s="11" t="n"/>
      <c r="AM894" s="11" t="n"/>
      <c r="AN894" s="11" t="n"/>
      <c r="AO894" s="11" t="n"/>
      <c r="AP894" s="11" t="n"/>
      <c r="AQ894" s="11" t="n"/>
      <c r="AR894" s="11" t="n"/>
      <c r="AS894" s="11" t="n"/>
      <c r="AT894" s="11" t="n"/>
      <c r="AU894" s="11" t="n"/>
      <c r="AV894" s="11" t="n"/>
      <c r="AW894" s="11">
        <f>AF894&amp;"; "&amp;AG894&amp;"; "&amp;AH894&amp;"; "&amp;AI894&amp;"; "&amp;AJ894</f>
        <v/>
      </c>
    </row>
    <row r="895">
      <c r="A895" s="11" t="inlineStr">
        <is>
          <t>T0431-G10-QUÍ</t>
        </is>
      </c>
      <c r="B895" s="11" t="n">
        <v>10</v>
      </c>
      <c r="C895" s="11" t="inlineStr">
        <is>
          <t>Química</t>
        </is>
      </c>
      <c r="D895" s="11" t="inlineStr">
        <is>
          <t>Matriz_Bachillerato_Quimica_10_11.xlsx</t>
        </is>
      </c>
      <c r="E895" s="11" t="inlineStr">
        <is>
          <t>Química 10.°</t>
        </is>
      </c>
      <c r="F895" s="11" t="n">
        <v>4</v>
      </c>
      <c r="G895" s="11" t="inlineStr">
        <is>
          <t>1. La química como ciencia: ciclo de indagación</t>
        </is>
      </c>
      <c r="H895" s="11" t="inlineStr">
        <is>
          <t>La química y su método</t>
        </is>
      </c>
      <c r="I895" s="38" t="inlineStr">
        <is>
          <t>1.2. Clasificación de problemas y productos cotidianos según la rama de la química que los estudia.</t>
        </is>
      </c>
      <c r="J895" s="11" t="inlineStr">
        <is>
          <t>Sin marco</t>
        </is>
      </c>
      <c r="K895" s="11" t="inlineStr">
        <is>
          <t>N/A</t>
        </is>
      </c>
      <c r="L895" s="11" t="inlineStr"/>
      <c r="M895" s="11">
        <f>IF(K895="FUERA","Fuera del marco",IF(K895="N/A","Sin marco",IFERROR(INDEX('Datos - Catálogo TIMSS'!$C$5:$C$107,MATCH(K895,'Datos - Catálogo TIMSS'!$A$5:$A$107,0)),"Pendiente de clasificar")))</f>
        <v/>
      </c>
      <c r="N895" s="11">
        <f>IF(K895="FUERA","Fuera del marco",IF(K895="N/A","Sin marco",IFERROR(INDEX('Datos - Catálogo TIMSS'!$F$5:$F$107,MATCH(K895,'Datos - Catálogo TIMSS'!$A$5:$A$107,0)),"Pendiente de clasificar")))</f>
        <v/>
      </c>
      <c r="O895" s="11">
        <f>IF(L895="","",IFERROR(INDEX('Datos - Catálogo TIMSS'!$C$5:$C$107,MATCH(L895,'Datos - Catálogo TIMSS'!$A$5:$A$107,0)),"?"))</f>
        <v/>
      </c>
      <c r="P895" s="11" t="inlineStr">
        <is>
          <t>N/A</t>
        </is>
      </c>
      <c r="Q895" s="38" t="inlineStr">
        <is>
          <t>Sin marco TIMSS de contenido para esta asignatura en Bachillerato</t>
        </is>
      </c>
      <c r="R895" s="38" t="inlineStr">
        <is>
          <t>Conocer: describir ramas de la química. Aplicar: clasificar situaciones. Razonar: justificar</t>
        </is>
      </c>
      <c r="S895" s="39">
        <f>IFERROR(ISNUMBER(SEARCH("Conocer",$R895))/(ISNUMBER(SEARCH("Conocer",$R895))+ISNUMBER(SEARCH("Aplicar",$R895))+ISNUMBER(SEARCH("Razonar",$R895))),0)</f>
        <v/>
      </c>
      <c r="T895" s="39">
        <f>IFERROR(ISNUMBER(SEARCH("Aplicar",$R895))/(ISNUMBER(SEARCH("Conocer",$R895))+ISNUMBER(SEARCH("Aplicar",$R895))+ISNUMBER(SEARCH("Razonar",$R895))),0)</f>
        <v/>
      </c>
      <c r="U895" s="39">
        <f>IFERROR(ISNUMBER(SEARCH("Razonar",$R895))/(ISNUMBER(SEARCH("Conocer",$R895))+ISNUMBER(SEARCH("Aplicar",$R895))+ISNUMBER(SEARCH("Razonar",$R895))),0)</f>
        <v/>
      </c>
      <c r="V895" s="11" t="inlineStr">
        <is>
          <t>Química 10°</t>
        </is>
      </c>
      <c r="W895" s="11" t="inlineStr">
        <is>
          <t>Química 10°–11°</t>
        </is>
      </c>
      <c r="X895" s="11">
        <f>IF(OR(IFERROR(INDEX('Datos - Catálogo TIMSS'!$I$5:$I$107,MATCH(K895,'Datos - Catálogo TIMSS'!$A$5:$A$107,0)),"No")="Sí",IFERROR(INDEX('Datos - Catálogo TIMSS'!$I$5:$I$107,MATCH(L895,'Datos - Catálogo TIMSS'!$A$5:$A$107,0)),"No")="Sí"),1,0)</f>
        <v/>
      </c>
      <c r="Y895" s="11">
        <f>IF(IFERROR(INDEX('Datos - Catálogo TIMSS'!$J$5:$J$107,MATCH(K895,'Datos - Catálogo TIMSS'!$A$5:$A$107,0)),"No")="Sí",1,0)</f>
        <v/>
      </c>
      <c r="Z895" s="11">
        <f>IF(IFERROR(INDEX('Datos - Catálogo TIMSS'!$J$5:$J$107,MATCH(L895,'Datos - Catálogo TIMSS'!$A$5:$A$107,0)),"No")="Sí",1,0)</f>
        <v/>
      </c>
      <c r="AA895" s="11" t="inlineStr">
        <is>
          <t>N/A</t>
        </is>
      </c>
      <c r="AB895" s="11" t="inlineStr"/>
      <c r="AC895" s="11">
        <f>IF(AA895="FUERA","Fuera del marco",IF(AA895="N/A","Sin marco",IFERROR(INDEX('Datos - TIMSS 2023'!$C$5:$C$105,MATCH(AA895,'Datos - TIMSS 2023'!$A$5:$A$105,0)),"Pendiente de clasificar")))</f>
        <v/>
      </c>
      <c r="AD895" s="11" t="inlineStr">
        <is>
          <t>1. Explicar fenómenos científicamente</t>
        </is>
      </c>
      <c r="AE895" s="11">
        <f>IF(AD895="","",IF(LEFT(AD895,1)="1","C1",IF(LEFT(AD895,1)="2","C2",IF(LEFT(AD895,1)="3","C3",""))))</f>
        <v/>
      </c>
      <c r="AF895" s="11" t="inlineStr">
        <is>
          <t>E1</t>
        </is>
      </c>
      <c r="AG895" s="11" t="inlineStr">
        <is>
          <t>D1</t>
        </is>
      </c>
      <c r="AH895" s="11" t="inlineStr">
        <is>
          <t>E1</t>
        </is>
      </c>
      <c r="AI895" s="11" t="inlineStr">
        <is>
          <t>E4</t>
        </is>
      </c>
      <c r="AJ895" s="11" t="inlineStr">
        <is>
          <t>E3</t>
        </is>
      </c>
      <c r="AK895" s="11" t="n"/>
      <c r="AL895" s="11" t="n"/>
      <c r="AM895" s="11" t="n"/>
      <c r="AN895" s="11" t="n"/>
      <c r="AO895" s="11" t="n"/>
      <c r="AP895" s="11" t="n"/>
      <c r="AQ895" s="11" t="n"/>
      <c r="AR895" s="11" t="n"/>
      <c r="AS895" s="11" t="n"/>
      <c r="AT895" s="11" t="n"/>
      <c r="AU895" s="11" t="n"/>
      <c r="AV895" s="11" t="n"/>
      <c r="AW895" s="11">
        <f>AF895&amp;"; "&amp;AG895&amp;"; "&amp;AH895&amp;"; "&amp;AI895&amp;"; "&amp;AJ895</f>
        <v/>
      </c>
    </row>
    <row r="896">
      <c r="A896" s="11" t="inlineStr">
        <is>
          <t>T0432-G10-QUÍ</t>
        </is>
      </c>
      <c r="B896" s="11" t="n">
        <v>10</v>
      </c>
      <c r="C896" s="11" t="inlineStr">
        <is>
          <t>Química</t>
        </is>
      </c>
      <c r="D896" s="11" t="inlineStr">
        <is>
          <t>Matriz_Bachillerato_Quimica_10_11.xlsx</t>
        </is>
      </c>
      <c r="E896" s="11" t="inlineStr">
        <is>
          <t>Química 10.°</t>
        </is>
      </c>
      <c r="F896" s="11" t="n">
        <v>5</v>
      </c>
      <c r="G896" s="11" t="inlineStr">
        <is>
          <t>1. La química como ciencia: ciclo de indagación</t>
        </is>
      </c>
      <c r="H896" s="11" t="inlineStr">
        <is>
          <t>La química y su método</t>
        </is>
      </c>
      <c r="I896" s="38" t="inlineStr">
        <is>
          <t>1.3. Evaluación de avances tecnológicos basados en conocimientos químicos, con sus beneficios y riesgos.</t>
        </is>
      </c>
      <c r="J896" s="11" t="inlineStr">
        <is>
          <t>Sin marco</t>
        </is>
      </c>
      <c r="K896" s="11" t="inlineStr">
        <is>
          <t>N/A</t>
        </is>
      </c>
      <c r="L896" s="11" t="inlineStr"/>
      <c r="M896" s="11">
        <f>IF(K896="FUERA","Fuera del marco",IF(K896="N/A","Sin marco",IFERROR(INDEX('Datos - Catálogo TIMSS'!$C$5:$C$107,MATCH(K896,'Datos - Catálogo TIMSS'!$A$5:$A$107,0)),"Pendiente de clasificar")))</f>
        <v/>
      </c>
      <c r="N896" s="11">
        <f>IF(K896="FUERA","Fuera del marco",IF(K896="N/A","Sin marco",IFERROR(INDEX('Datos - Catálogo TIMSS'!$F$5:$F$107,MATCH(K896,'Datos - Catálogo TIMSS'!$A$5:$A$107,0)),"Pendiente de clasificar")))</f>
        <v/>
      </c>
      <c r="O896" s="11">
        <f>IF(L896="","",IFERROR(INDEX('Datos - Catálogo TIMSS'!$C$5:$C$107,MATCH(L896,'Datos - Catálogo TIMSS'!$A$5:$A$107,0)),"?"))</f>
        <v/>
      </c>
      <c r="P896" s="11" t="inlineStr">
        <is>
          <t>N/A</t>
        </is>
      </c>
      <c r="Q896" s="38" t="inlineStr">
        <is>
          <t>Sin marco TIMSS de contenido para esta asignatura en Bachillerato</t>
        </is>
      </c>
      <c r="R896" s="38" t="inlineStr">
        <is>
          <t>Aplicar: comparar beneficios y riesgos. Razonar: evaluar argumentos con datos</t>
        </is>
      </c>
      <c r="S896" s="39">
        <f>IFERROR(ISNUMBER(SEARCH("Conocer",$R896))/(ISNUMBER(SEARCH("Conocer",$R896))+ISNUMBER(SEARCH("Aplicar",$R896))+ISNUMBER(SEARCH("Razonar",$R896))),0)</f>
        <v/>
      </c>
      <c r="T896" s="39">
        <f>IFERROR(ISNUMBER(SEARCH("Aplicar",$R896))/(ISNUMBER(SEARCH("Conocer",$R896))+ISNUMBER(SEARCH("Aplicar",$R896))+ISNUMBER(SEARCH("Razonar",$R896))),0)</f>
        <v/>
      </c>
      <c r="U896" s="39">
        <f>IFERROR(ISNUMBER(SEARCH("Razonar",$R896))/(ISNUMBER(SEARCH("Conocer",$R896))+ISNUMBER(SEARCH("Aplicar",$R896))+ISNUMBER(SEARCH("Razonar",$R896))),0)</f>
        <v/>
      </c>
      <c r="V896" s="11" t="inlineStr">
        <is>
          <t>Química 10°</t>
        </is>
      </c>
      <c r="W896" s="11" t="inlineStr">
        <is>
          <t>Química 10°–11°</t>
        </is>
      </c>
      <c r="X896" s="11">
        <f>IF(OR(IFERROR(INDEX('Datos - Catálogo TIMSS'!$I$5:$I$107,MATCH(K896,'Datos - Catálogo TIMSS'!$A$5:$A$107,0)),"No")="Sí",IFERROR(INDEX('Datos - Catálogo TIMSS'!$I$5:$I$107,MATCH(L896,'Datos - Catálogo TIMSS'!$A$5:$A$107,0)),"No")="Sí"),1,0)</f>
        <v/>
      </c>
      <c r="Y896" s="11">
        <f>IF(IFERROR(INDEX('Datos - Catálogo TIMSS'!$J$5:$J$107,MATCH(K896,'Datos - Catálogo TIMSS'!$A$5:$A$107,0)),"No")="Sí",1,0)</f>
        <v/>
      </c>
      <c r="Z896" s="11">
        <f>IF(IFERROR(INDEX('Datos - Catálogo TIMSS'!$J$5:$J$107,MATCH(L896,'Datos - Catálogo TIMSS'!$A$5:$A$107,0)),"No")="Sí",1,0)</f>
        <v/>
      </c>
      <c r="AA896" s="11" t="inlineStr">
        <is>
          <t>N/A</t>
        </is>
      </c>
      <c r="AB896" s="11" t="inlineStr"/>
      <c r="AC896" s="11">
        <f>IF(AA896="FUERA","Fuera del marco",IF(AA896="N/A","Sin marco",IFERROR(INDEX('Datos - TIMSS 2023'!$C$5:$C$105,MATCH(AA896,'Datos - TIMSS 2023'!$A$5:$A$105,0)),"Pendiente de clasificar")))</f>
        <v/>
      </c>
      <c r="AD896" s="11" t="inlineStr">
        <is>
          <t>3. Investigar, evaluar y usar información científica para tomar decisiones y actuar</t>
        </is>
      </c>
      <c r="AE896" s="11">
        <f>IF(AD896="","",IF(LEFT(AD896,1)="1","C1",IF(LEFT(AD896,1)="2","C2",IF(LEFT(AD896,1)="3","C3",""))))</f>
        <v/>
      </c>
      <c r="AF896" s="11" t="inlineStr">
        <is>
          <t>E6</t>
        </is>
      </c>
      <c r="AG896" s="11" t="inlineStr">
        <is>
          <t>E3</t>
        </is>
      </c>
      <c r="AH896" s="11" t="inlineStr">
        <is>
          <t>E1</t>
        </is>
      </c>
      <c r="AI896" s="11" t="inlineStr">
        <is>
          <t>I3</t>
        </is>
      </c>
      <c r="AJ896" s="11" t="inlineStr">
        <is>
          <t>I4</t>
        </is>
      </c>
      <c r="AK896" s="11" t="n"/>
      <c r="AL896" s="11" t="n"/>
      <c r="AM896" s="11" t="n"/>
      <c r="AN896" s="11" t="n"/>
      <c r="AO896" s="11" t="n"/>
      <c r="AP896" s="11" t="n"/>
      <c r="AQ896" s="11" t="n"/>
      <c r="AR896" s="11" t="n"/>
      <c r="AS896" s="11" t="n"/>
      <c r="AT896" s="11" t="n"/>
      <c r="AU896" s="11" t="n"/>
      <c r="AV896" s="11" t="n"/>
      <c r="AW896" s="11">
        <f>AF896&amp;"; "&amp;AG896&amp;"; "&amp;AH896&amp;"; "&amp;AI896&amp;"; "&amp;AJ896</f>
        <v/>
      </c>
    </row>
    <row r="897">
      <c r="A897" s="11" t="inlineStr">
        <is>
          <t>T0433-G10-QUÍ</t>
        </is>
      </c>
      <c r="B897" s="11" t="n">
        <v>10</v>
      </c>
      <c r="C897" s="11" t="inlineStr">
        <is>
          <t>Química</t>
        </is>
      </c>
      <c r="D897" s="11" t="inlineStr">
        <is>
          <t>Matriz_Bachillerato_Quimica_10_11.xlsx</t>
        </is>
      </c>
      <c r="E897" s="11" t="inlineStr">
        <is>
          <t>Química 10.°</t>
        </is>
      </c>
      <c r="F897" s="11" t="n">
        <v>6</v>
      </c>
      <c r="G897" s="11" t="inlineStr">
        <is>
          <t>1. La química como ciencia: ciclo de indagación</t>
        </is>
      </c>
      <c r="H897" s="11" t="inlineStr">
        <is>
          <t>La química y su método</t>
        </is>
      </c>
      <c r="I897" s="38" t="inlineStr">
        <is>
          <t>1.4. Reconstrucción de la historia de la química a partir de descubrimientos que transformaron la sociedad.</t>
        </is>
      </c>
      <c r="J897" s="11" t="inlineStr">
        <is>
          <t>Sin marco</t>
        </is>
      </c>
      <c r="K897" s="11" t="inlineStr">
        <is>
          <t>N/A</t>
        </is>
      </c>
      <c r="L897" s="11" t="inlineStr"/>
      <c r="M897" s="11">
        <f>IF(K897="FUERA","Fuera del marco",IF(K897="N/A","Sin marco",IFERROR(INDEX('Datos - Catálogo TIMSS'!$C$5:$C$107,MATCH(K897,'Datos - Catálogo TIMSS'!$A$5:$A$107,0)),"Pendiente de clasificar")))</f>
        <v/>
      </c>
      <c r="N897" s="11">
        <f>IF(K897="FUERA","Fuera del marco",IF(K897="N/A","Sin marco",IFERROR(INDEX('Datos - Catálogo TIMSS'!$F$5:$F$107,MATCH(K897,'Datos - Catálogo TIMSS'!$A$5:$A$107,0)),"Pendiente de clasificar")))</f>
        <v/>
      </c>
      <c r="O897" s="11">
        <f>IF(L897="","",IFERROR(INDEX('Datos - Catálogo TIMSS'!$C$5:$C$107,MATCH(L897,'Datos - Catálogo TIMSS'!$A$5:$A$107,0)),"?"))</f>
        <v/>
      </c>
      <c r="P897" s="11" t="inlineStr">
        <is>
          <t>N/A</t>
        </is>
      </c>
      <c r="Q897" s="38" t="inlineStr">
        <is>
          <t>Sin marco TIMSS de contenido para esta asignatura en Bachillerato</t>
        </is>
      </c>
      <c r="R897" s="38" t="inlineStr">
        <is>
          <t>Conocer: identificar científicos y aportes. Razonar: relacionar descubrimientos con cambios de método</t>
        </is>
      </c>
      <c r="S897" s="39">
        <f>IFERROR(ISNUMBER(SEARCH("Conocer",$R897))/(ISNUMBER(SEARCH("Conocer",$R897))+ISNUMBER(SEARCH("Aplicar",$R897))+ISNUMBER(SEARCH("Razonar",$R897))),0)</f>
        <v/>
      </c>
      <c r="T897" s="39">
        <f>IFERROR(ISNUMBER(SEARCH("Aplicar",$R897))/(ISNUMBER(SEARCH("Conocer",$R897))+ISNUMBER(SEARCH("Aplicar",$R897))+ISNUMBER(SEARCH("Razonar",$R897))),0)</f>
        <v/>
      </c>
      <c r="U897" s="39">
        <f>IFERROR(ISNUMBER(SEARCH("Razonar",$R897))/(ISNUMBER(SEARCH("Conocer",$R897))+ISNUMBER(SEARCH("Aplicar",$R897))+ISNUMBER(SEARCH("Razonar",$R897))),0)</f>
        <v/>
      </c>
      <c r="V897" s="11" t="inlineStr">
        <is>
          <t>Química 10°</t>
        </is>
      </c>
      <c r="W897" s="11" t="inlineStr">
        <is>
          <t>Química 10°–11°</t>
        </is>
      </c>
      <c r="X897" s="11">
        <f>IF(OR(IFERROR(INDEX('Datos - Catálogo TIMSS'!$I$5:$I$107,MATCH(K897,'Datos - Catálogo TIMSS'!$A$5:$A$107,0)),"No")="Sí",IFERROR(INDEX('Datos - Catálogo TIMSS'!$I$5:$I$107,MATCH(L897,'Datos - Catálogo TIMSS'!$A$5:$A$107,0)),"No")="Sí"),1,0)</f>
        <v/>
      </c>
      <c r="Y897" s="11">
        <f>IF(IFERROR(INDEX('Datos - Catálogo TIMSS'!$J$5:$J$107,MATCH(K897,'Datos - Catálogo TIMSS'!$A$5:$A$107,0)),"No")="Sí",1,0)</f>
        <v/>
      </c>
      <c r="Z897" s="11">
        <f>IF(IFERROR(INDEX('Datos - Catálogo TIMSS'!$J$5:$J$107,MATCH(L897,'Datos - Catálogo TIMSS'!$A$5:$A$107,0)),"No")="Sí",1,0)</f>
        <v/>
      </c>
      <c r="AA897" s="11" t="inlineStr">
        <is>
          <t>N/A</t>
        </is>
      </c>
      <c r="AB897" s="11" t="inlineStr"/>
      <c r="AC897" s="11">
        <f>IF(AA897="FUERA","Fuera del marco",IF(AA897="N/A","Sin marco",IFERROR(INDEX('Datos - TIMSS 2023'!$C$5:$C$105,MATCH(AA897,'Datos - TIMSS 2023'!$A$5:$A$105,0)),"Pendiente de clasificar")))</f>
        <v/>
      </c>
      <c r="AD897" s="11" t="inlineStr">
        <is>
          <t>1. Explicar fenómenos científicamente</t>
        </is>
      </c>
      <c r="AE897" s="11">
        <f>IF(AD897="","",IF(LEFT(AD897,1)="1","C1",IF(LEFT(AD897,1)="2","C2",IF(LEFT(AD897,1)="3","C3",""))))</f>
        <v/>
      </c>
      <c r="AF897" s="11" t="inlineStr">
        <is>
          <t>E1</t>
        </is>
      </c>
      <c r="AG897" s="11" t="inlineStr">
        <is>
          <t>D1</t>
        </is>
      </c>
      <c r="AH897" s="11" t="inlineStr">
        <is>
          <t>E2</t>
        </is>
      </c>
      <c r="AI897" s="11" t="inlineStr">
        <is>
          <t>I1</t>
        </is>
      </c>
      <c r="AJ897" s="11" t="inlineStr">
        <is>
          <t>E6</t>
        </is>
      </c>
      <c r="AK897" s="11" t="n"/>
      <c r="AL897" s="11" t="n"/>
      <c r="AM897" s="11" t="n"/>
      <c r="AN897" s="11" t="n"/>
      <c r="AO897" s="11" t="n"/>
      <c r="AP897" s="11" t="n"/>
      <c r="AQ897" s="11" t="n"/>
      <c r="AR897" s="11" t="n"/>
      <c r="AS897" s="11" t="n"/>
      <c r="AT897" s="11" t="n"/>
      <c r="AU897" s="11" t="n"/>
      <c r="AV897" s="11" t="n"/>
      <c r="AW897" s="11">
        <f>AF897&amp;"; "&amp;AG897&amp;"; "&amp;AH897&amp;"; "&amp;AI897&amp;"; "&amp;AJ897</f>
        <v/>
      </c>
    </row>
    <row r="898">
      <c r="A898" s="11" t="inlineStr">
        <is>
          <t>T0434-G10-QUÍ</t>
        </is>
      </c>
      <c r="B898" s="11" t="n">
        <v>10</v>
      </c>
      <c r="C898" s="11" t="inlineStr">
        <is>
          <t>Química</t>
        </is>
      </c>
      <c r="D898" s="11" t="inlineStr">
        <is>
          <t>Matriz_Bachillerato_Quimica_10_11.xlsx</t>
        </is>
      </c>
      <c r="E898" s="11" t="inlineStr">
        <is>
          <t>Química 10.°</t>
        </is>
      </c>
      <c r="F898" s="11" t="n">
        <v>7</v>
      </c>
      <c r="G898" s="11" t="inlineStr">
        <is>
          <t>1. La química como ciencia: ciclo de indagación</t>
        </is>
      </c>
      <c r="H898" s="11" t="inlineStr">
        <is>
          <t>La química y su método</t>
        </is>
      </c>
      <c r="I898" s="38" t="inlineStr">
        <is>
          <t>1.5. Análisis de la contribución social de la química y la tecnología a la calidad de vida en El Salvador.</t>
        </is>
      </c>
      <c r="J898" s="11" t="inlineStr">
        <is>
          <t>Sin marco</t>
        </is>
      </c>
      <c r="K898" s="11" t="inlineStr">
        <is>
          <t>N/A</t>
        </is>
      </c>
      <c r="L898" s="11" t="inlineStr"/>
      <c r="M898" s="11">
        <f>IF(K898="FUERA","Fuera del marco",IF(K898="N/A","Sin marco",IFERROR(INDEX('Datos - Catálogo TIMSS'!$C$5:$C$107,MATCH(K898,'Datos - Catálogo TIMSS'!$A$5:$A$107,0)),"Pendiente de clasificar")))</f>
        <v/>
      </c>
      <c r="N898" s="11">
        <f>IF(K898="FUERA","Fuera del marco",IF(K898="N/A","Sin marco",IFERROR(INDEX('Datos - Catálogo TIMSS'!$F$5:$F$107,MATCH(K898,'Datos - Catálogo TIMSS'!$A$5:$A$107,0)),"Pendiente de clasificar")))</f>
        <v/>
      </c>
      <c r="O898" s="11">
        <f>IF(L898="","",IFERROR(INDEX('Datos - Catálogo TIMSS'!$C$5:$C$107,MATCH(L898,'Datos - Catálogo TIMSS'!$A$5:$A$107,0)),"?"))</f>
        <v/>
      </c>
      <c r="P898" s="11" t="inlineStr">
        <is>
          <t>N/A</t>
        </is>
      </c>
      <c r="Q898" s="38" t="inlineStr">
        <is>
          <t>Sin marco TIMSS de contenido para esta asignatura en Bachillerato</t>
        </is>
      </c>
      <c r="R898" s="38" t="inlineStr">
        <is>
          <t>Aplicar: interpretar datos sociales. Razonar: argumentar el aporte de la química</t>
        </is>
      </c>
      <c r="S898" s="39">
        <f>IFERROR(ISNUMBER(SEARCH("Conocer",$R898))/(ISNUMBER(SEARCH("Conocer",$R898))+ISNUMBER(SEARCH("Aplicar",$R898))+ISNUMBER(SEARCH("Razonar",$R898))),0)</f>
        <v/>
      </c>
      <c r="T898" s="39">
        <f>IFERROR(ISNUMBER(SEARCH("Aplicar",$R898))/(ISNUMBER(SEARCH("Conocer",$R898))+ISNUMBER(SEARCH("Aplicar",$R898))+ISNUMBER(SEARCH("Razonar",$R898))),0)</f>
        <v/>
      </c>
      <c r="U898" s="39">
        <f>IFERROR(ISNUMBER(SEARCH("Razonar",$R898))/(ISNUMBER(SEARCH("Conocer",$R898))+ISNUMBER(SEARCH("Aplicar",$R898))+ISNUMBER(SEARCH("Razonar",$R898))),0)</f>
        <v/>
      </c>
      <c r="V898" s="11" t="inlineStr">
        <is>
          <t>Química 10°</t>
        </is>
      </c>
      <c r="W898" s="11" t="inlineStr">
        <is>
          <t>Química 10°–11°</t>
        </is>
      </c>
      <c r="X898" s="11">
        <f>IF(OR(IFERROR(INDEX('Datos - Catálogo TIMSS'!$I$5:$I$107,MATCH(K898,'Datos - Catálogo TIMSS'!$A$5:$A$107,0)),"No")="Sí",IFERROR(INDEX('Datos - Catálogo TIMSS'!$I$5:$I$107,MATCH(L898,'Datos - Catálogo TIMSS'!$A$5:$A$107,0)),"No")="Sí"),1,0)</f>
        <v/>
      </c>
      <c r="Y898" s="11">
        <f>IF(IFERROR(INDEX('Datos - Catálogo TIMSS'!$J$5:$J$107,MATCH(K898,'Datos - Catálogo TIMSS'!$A$5:$A$107,0)),"No")="Sí",1,0)</f>
        <v/>
      </c>
      <c r="Z898" s="11">
        <f>IF(IFERROR(INDEX('Datos - Catálogo TIMSS'!$J$5:$J$107,MATCH(L898,'Datos - Catálogo TIMSS'!$A$5:$A$107,0)),"No")="Sí",1,0)</f>
        <v/>
      </c>
      <c r="AA898" s="11" t="inlineStr">
        <is>
          <t>N/A</t>
        </is>
      </c>
      <c r="AB898" s="11" t="inlineStr"/>
      <c r="AC898" s="11">
        <f>IF(AA898="FUERA","Fuera del marco",IF(AA898="N/A","Sin marco",IFERROR(INDEX('Datos - TIMSS 2023'!$C$5:$C$105,MATCH(AA898,'Datos - TIMSS 2023'!$A$5:$A$105,0)),"Pendiente de clasificar")))</f>
        <v/>
      </c>
      <c r="AD898" s="11" t="inlineStr">
        <is>
          <t>3. Investigar, evaluar y usar información científica para tomar decisiones y actuar</t>
        </is>
      </c>
      <c r="AE898" s="11">
        <f>IF(AD898="","",IF(LEFT(AD898,1)="1","C1",IF(LEFT(AD898,1)="2","C2",IF(LEFT(AD898,1)="3","C3",""))))</f>
        <v/>
      </c>
      <c r="AF898" s="11" t="inlineStr">
        <is>
          <t>E6</t>
        </is>
      </c>
      <c r="AG898" s="11" t="inlineStr">
        <is>
          <t>E5</t>
        </is>
      </c>
      <c r="AH898" s="11" t="inlineStr">
        <is>
          <t>E1</t>
        </is>
      </c>
      <c r="AI898" s="11" t="inlineStr">
        <is>
          <t>I3</t>
        </is>
      </c>
      <c r="AJ898" s="11" t="inlineStr">
        <is>
          <t>I5</t>
        </is>
      </c>
      <c r="AK898" s="11" t="n"/>
      <c r="AL898" s="11" t="n"/>
      <c r="AM898" s="11" t="n"/>
      <c r="AN898" s="11" t="n"/>
      <c r="AO898" s="11" t="n"/>
      <c r="AP898" s="11" t="n"/>
      <c r="AQ898" s="11" t="n"/>
      <c r="AR898" s="11" t="n"/>
      <c r="AS898" s="11" t="n"/>
      <c r="AT898" s="11" t="n"/>
      <c r="AU898" s="11" t="n"/>
      <c r="AV898" s="11" t="n"/>
      <c r="AW898" s="11">
        <f>AF898&amp;"; "&amp;AG898&amp;"; "&amp;AH898&amp;"; "&amp;AI898&amp;"; "&amp;AJ898</f>
        <v/>
      </c>
    </row>
    <row r="899">
      <c r="A899" s="11" t="inlineStr">
        <is>
          <t>T0435-G10-QUÍ</t>
        </is>
      </c>
      <c r="B899" s="11" t="n">
        <v>10</v>
      </c>
      <c r="C899" s="11" t="inlineStr">
        <is>
          <t>Química</t>
        </is>
      </c>
      <c r="D899" s="11" t="inlineStr">
        <is>
          <t>Matriz_Bachillerato_Quimica_10_11.xlsx</t>
        </is>
      </c>
      <c r="E899" s="11" t="inlineStr">
        <is>
          <t>Química 10.°</t>
        </is>
      </c>
      <c r="F899" s="11" t="n">
        <v>8</v>
      </c>
      <c r="G899" s="11" t="inlineStr">
        <is>
          <t>1. La química como ciencia: ciclo de indagación</t>
        </is>
      </c>
      <c r="H899" s="11" t="inlineStr">
        <is>
          <t>El método científico en química</t>
        </is>
      </c>
      <c r="I899" s="38" t="inlineStr">
        <is>
          <t>1.6. Aplicación de las etapas del método científico a una investigación química sencilla con materiales seguros.</t>
        </is>
      </c>
      <c r="J899" s="11" t="inlineStr">
        <is>
          <t>Sin marco</t>
        </is>
      </c>
      <c r="K899" s="11" t="inlineStr">
        <is>
          <t>N/A</t>
        </is>
      </c>
      <c r="L899" s="11" t="inlineStr"/>
      <c r="M899" s="11">
        <f>IF(K899="FUERA","Fuera del marco",IF(K899="N/A","Sin marco",IFERROR(INDEX('Datos - Catálogo TIMSS'!$C$5:$C$107,MATCH(K899,'Datos - Catálogo TIMSS'!$A$5:$A$107,0)),"Pendiente de clasificar")))</f>
        <v/>
      </c>
      <c r="N899" s="11">
        <f>IF(K899="FUERA","Fuera del marco",IF(K899="N/A","Sin marco",IFERROR(INDEX('Datos - Catálogo TIMSS'!$F$5:$F$107,MATCH(K899,'Datos - Catálogo TIMSS'!$A$5:$A$107,0)),"Pendiente de clasificar")))</f>
        <v/>
      </c>
      <c r="O899" s="11">
        <f>IF(L899="","",IFERROR(INDEX('Datos - Catálogo TIMSS'!$C$5:$C$107,MATCH(L899,'Datos - Catálogo TIMSS'!$A$5:$A$107,0)),"?"))</f>
        <v/>
      </c>
      <c r="P899" s="11" t="inlineStr">
        <is>
          <t>N/A</t>
        </is>
      </c>
      <c r="Q899" s="38" t="inlineStr">
        <is>
          <t>Sin marco TIMSS de contenido para esta asignatura en Bachillerato</t>
        </is>
      </c>
      <c r="R899" s="38" t="inlineStr">
        <is>
          <t>Aplicar: controlar variables y medir. Razonar: contrastar hipótesis con datos</t>
        </is>
      </c>
      <c r="S899" s="39">
        <f>IFERROR(ISNUMBER(SEARCH("Conocer",$R899))/(ISNUMBER(SEARCH("Conocer",$R899))+ISNUMBER(SEARCH("Aplicar",$R899))+ISNUMBER(SEARCH("Razonar",$R899))),0)</f>
        <v/>
      </c>
      <c r="T899" s="39">
        <f>IFERROR(ISNUMBER(SEARCH("Aplicar",$R899))/(ISNUMBER(SEARCH("Conocer",$R899))+ISNUMBER(SEARCH("Aplicar",$R899))+ISNUMBER(SEARCH("Razonar",$R899))),0)</f>
        <v/>
      </c>
      <c r="U899" s="39">
        <f>IFERROR(ISNUMBER(SEARCH("Razonar",$R899))/(ISNUMBER(SEARCH("Conocer",$R899))+ISNUMBER(SEARCH("Aplicar",$R899))+ISNUMBER(SEARCH("Razonar",$R899))),0)</f>
        <v/>
      </c>
      <c r="V899" s="11" t="inlineStr">
        <is>
          <t>Química 10°</t>
        </is>
      </c>
      <c r="W899" s="11" t="inlineStr">
        <is>
          <t>Química 10°–11°</t>
        </is>
      </c>
      <c r="X899" s="11">
        <f>IF(OR(IFERROR(INDEX('Datos - Catálogo TIMSS'!$I$5:$I$107,MATCH(K899,'Datos - Catálogo TIMSS'!$A$5:$A$107,0)),"No")="Sí",IFERROR(INDEX('Datos - Catálogo TIMSS'!$I$5:$I$107,MATCH(L899,'Datos - Catálogo TIMSS'!$A$5:$A$107,0)),"No")="Sí"),1,0)</f>
        <v/>
      </c>
      <c r="Y899" s="11">
        <f>IF(IFERROR(INDEX('Datos - Catálogo TIMSS'!$J$5:$J$107,MATCH(K899,'Datos - Catálogo TIMSS'!$A$5:$A$107,0)),"No")="Sí",1,0)</f>
        <v/>
      </c>
      <c r="Z899" s="11">
        <f>IF(IFERROR(INDEX('Datos - Catálogo TIMSS'!$J$5:$J$107,MATCH(L899,'Datos - Catálogo TIMSS'!$A$5:$A$107,0)),"No")="Sí",1,0)</f>
        <v/>
      </c>
      <c r="AA899" s="11" t="inlineStr">
        <is>
          <t>N/A</t>
        </is>
      </c>
      <c r="AB899" s="11" t="inlineStr"/>
      <c r="AC899" s="11">
        <f>IF(AA899="FUERA","Fuera del marco",IF(AA899="N/A","Sin marco",IFERROR(INDEX('Datos - TIMSS 2023'!$C$5:$C$105,MATCH(AA899,'Datos - TIMSS 2023'!$A$5:$A$105,0)),"Pendiente de clasificar")))</f>
        <v/>
      </c>
      <c r="AD899" s="11" t="inlineStr">
        <is>
          <t>2. Construir y evaluar diseños para la indagación científica e interpretar datos y evidencia de forma crítica</t>
        </is>
      </c>
      <c r="AE899" s="11">
        <f>IF(AD899="","",IF(LEFT(AD899,1)="1","C1",IF(LEFT(AD899,1)="2","C2",IF(LEFT(AD899,1)="3","C3",""))))</f>
        <v/>
      </c>
      <c r="AF899" s="11" t="inlineStr">
        <is>
          <t>E1</t>
        </is>
      </c>
      <c r="AG899" s="11" t="inlineStr">
        <is>
          <t>D1</t>
        </is>
      </c>
      <c r="AH899" s="11" t="inlineStr">
        <is>
          <t>E1</t>
        </is>
      </c>
      <c r="AI899" s="11" t="inlineStr">
        <is>
          <t>D2</t>
        </is>
      </c>
      <c r="AJ899" s="11" t="inlineStr">
        <is>
          <t>D3</t>
        </is>
      </c>
      <c r="AK899" s="11" t="n"/>
      <c r="AL899" s="11" t="n"/>
      <c r="AM899" s="11" t="n"/>
      <c r="AN899" s="11" t="n"/>
      <c r="AO899" s="11" t="n"/>
      <c r="AP899" s="11" t="n"/>
      <c r="AQ899" s="11" t="n"/>
      <c r="AR899" s="11" t="n"/>
      <c r="AS899" s="11" t="n"/>
      <c r="AT899" s="11" t="n"/>
      <c r="AU899" s="11" t="n"/>
      <c r="AV899" s="11" t="n"/>
      <c r="AW899" s="11">
        <f>AF899&amp;"; "&amp;AG899&amp;"; "&amp;AH899&amp;"; "&amp;AI899&amp;"; "&amp;AJ899</f>
        <v/>
      </c>
    </row>
    <row r="900">
      <c r="A900" s="11" t="inlineStr">
        <is>
          <t>T0436-G10-QUÍ</t>
        </is>
      </c>
      <c r="B900" s="11" t="n">
        <v>10</v>
      </c>
      <c r="C900" s="11" t="inlineStr">
        <is>
          <t>Química</t>
        </is>
      </c>
      <c r="D900" s="11" t="inlineStr">
        <is>
          <t>Matriz_Bachillerato_Quimica_10_11.xlsx</t>
        </is>
      </c>
      <c r="E900" s="11" t="inlineStr">
        <is>
          <t>Química 10.°</t>
        </is>
      </c>
      <c r="F900" s="11" t="n">
        <v>9</v>
      </c>
      <c r="G900" s="11" t="inlineStr">
        <is>
          <t>1. La química como ciencia: ciclo de indagación</t>
        </is>
      </c>
      <c r="H900" s="11" t="inlineStr">
        <is>
          <t>La medición en el laboratorio químico</t>
        </is>
      </c>
      <c r="I900" s="38" t="inlineStr">
        <is>
          <t>1.7. Uso de la notación científica y los órdenes de magnitud para expresar y operar cantidades químicas muy grandes o muy pequeñas.</t>
        </is>
      </c>
      <c r="J900" s="11" t="inlineStr">
        <is>
          <t>Sin marco</t>
        </is>
      </c>
      <c r="K900" s="11" t="inlineStr">
        <is>
          <t>N/A</t>
        </is>
      </c>
      <c r="L900" s="11" t="inlineStr"/>
      <c r="M900" s="11">
        <f>IF(K900="FUERA","Fuera del marco",IF(K900="N/A","Sin marco",IFERROR(INDEX('Datos - Catálogo TIMSS'!$C$5:$C$107,MATCH(K900,'Datos - Catálogo TIMSS'!$A$5:$A$107,0)),"Pendiente de clasificar")))</f>
        <v/>
      </c>
      <c r="N900" s="11">
        <f>IF(K900="FUERA","Fuera del marco",IF(K900="N/A","Sin marco",IFERROR(INDEX('Datos - Catálogo TIMSS'!$F$5:$F$107,MATCH(K900,'Datos - Catálogo TIMSS'!$A$5:$A$107,0)),"Pendiente de clasificar")))</f>
        <v/>
      </c>
      <c r="O900" s="11">
        <f>IF(L900="","",IFERROR(INDEX('Datos - Catálogo TIMSS'!$C$5:$C$107,MATCH(L900,'Datos - Catálogo TIMSS'!$A$5:$A$107,0)),"?"))</f>
        <v/>
      </c>
      <c r="P900" s="11" t="inlineStr">
        <is>
          <t>N/A</t>
        </is>
      </c>
      <c r="Q900" s="38" t="inlineStr">
        <is>
          <t>Sin marco TIMSS de contenido para esta asignatura en Bachillerato</t>
        </is>
      </c>
      <c r="R900" s="38" t="inlineStr">
        <is>
          <t>Aplicar: transformar y operar en notación científica. Razonar: estimar órdenes de magnitud</t>
        </is>
      </c>
      <c r="S900" s="39">
        <f>IFERROR(ISNUMBER(SEARCH("Conocer",$R900))/(ISNUMBER(SEARCH("Conocer",$R900))+ISNUMBER(SEARCH("Aplicar",$R900))+ISNUMBER(SEARCH("Razonar",$R900))),0)</f>
        <v/>
      </c>
      <c r="T900" s="39">
        <f>IFERROR(ISNUMBER(SEARCH("Aplicar",$R900))/(ISNUMBER(SEARCH("Conocer",$R900))+ISNUMBER(SEARCH("Aplicar",$R900))+ISNUMBER(SEARCH("Razonar",$R900))),0)</f>
        <v/>
      </c>
      <c r="U900" s="39">
        <f>IFERROR(ISNUMBER(SEARCH("Razonar",$R900))/(ISNUMBER(SEARCH("Conocer",$R900))+ISNUMBER(SEARCH("Aplicar",$R900))+ISNUMBER(SEARCH("Razonar",$R900))),0)</f>
        <v/>
      </c>
      <c r="V900" s="11" t="inlineStr">
        <is>
          <t>Química 10°</t>
        </is>
      </c>
      <c r="W900" s="11" t="inlineStr">
        <is>
          <t>Química 10°–11°</t>
        </is>
      </c>
      <c r="X900" s="11">
        <f>IF(OR(IFERROR(INDEX('Datos - Catálogo TIMSS'!$I$5:$I$107,MATCH(K900,'Datos - Catálogo TIMSS'!$A$5:$A$107,0)),"No")="Sí",IFERROR(INDEX('Datos - Catálogo TIMSS'!$I$5:$I$107,MATCH(L900,'Datos - Catálogo TIMSS'!$A$5:$A$107,0)),"No")="Sí"),1,0)</f>
        <v/>
      </c>
      <c r="Y900" s="11">
        <f>IF(IFERROR(INDEX('Datos - Catálogo TIMSS'!$J$5:$J$107,MATCH(K900,'Datos - Catálogo TIMSS'!$A$5:$A$107,0)),"No")="Sí",1,0)</f>
        <v/>
      </c>
      <c r="Z900" s="11">
        <f>IF(IFERROR(INDEX('Datos - Catálogo TIMSS'!$J$5:$J$107,MATCH(L900,'Datos - Catálogo TIMSS'!$A$5:$A$107,0)),"No")="Sí",1,0)</f>
        <v/>
      </c>
      <c r="AA900" s="11" t="inlineStr">
        <is>
          <t>N/A</t>
        </is>
      </c>
      <c r="AB900" s="11" t="inlineStr"/>
      <c r="AC900" s="11">
        <f>IF(AA900="FUERA","Fuera del marco",IF(AA900="N/A","Sin marco",IFERROR(INDEX('Datos - TIMSS 2023'!$C$5:$C$105,MATCH(AA900,'Datos - TIMSS 2023'!$A$5:$A$105,0)),"Pendiente de clasificar")))</f>
        <v/>
      </c>
      <c r="AD900" s="11" t="inlineStr">
        <is>
          <t>1. Explicar fenómenos científicamente</t>
        </is>
      </c>
      <c r="AE900" s="11">
        <f>IF(AD900="","",IF(LEFT(AD900,1)="1","C1",IF(LEFT(AD900,1)="2","C2",IF(LEFT(AD900,1)="3","C3",""))))</f>
        <v/>
      </c>
      <c r="AF900" s="11" t="inlineStr">
        <is>
          <t>E1</t>
        </is>
      </c>
      <c r="AG900" s="11" t="inlineStr">
        <is>
          <t>E3</t>
        </is>
      </c>
      <c r="AH900" s="11" t="inlineStr">
        <is>
          <t>E2</t>
        </is>
      </c>
      <c r="AI900" s="11" t="inlineStr">
        <is>
          <t>D4</t>
        </is>
      </c>
      <c r="AJ900" s="11" t="inlineStr">
        <is>
          <t>E3</t>
        </is>
      </c>
      <c r="AK900" s="11" t="n"/>
      <c r="AL900" s="11" t="n"/>
      <c r="AM900" s="11" t="n"/>
      <c r="AN900" s="11" t="n"/>
      <c r="AO900" s="11" t="n"/>
      <c r="AP900" s="11" t="n"/>
      <c r="AQ900" s="11" t="n"/>
      <c r="AR900" s="11" t="n"/>
      <c r="AS900" s="11" t="n"/>
      <c r="AT900" s="11" t="n"/>
      <c r="AU900" s="11" t="n"/>
      <c r="AV900" s="11" t="n"/>
      <c r="AW900" s="11">
        <f>AF900&amp;"; "&amp;AG900&amp;"; "&amp;AH900&amp;"; "&amp;AI900&amp;"; "&amp;AJ900</f>
        <v/>
      </c>
    </row>
    <row r="901">
      <c r="A901" s="11" t="inlineStr">
        <is>
          <t>T0437-G10-QUÍ</t>
        </is>
      </c>
      <c r="B901" s="11" t="n">
        <v>10</v>
      </c>
      <c r="C901" s="11" t="inlineStr">
        <is>
          <t>Química</t>
        </is>
      </c>
      <c r="D901" s="11" t="inlineStr">
        <is>
          <t>Matriz_Bachillerato_Quimica_10_11.xlsx</t>
        </is>
      </c>
      <c r="E901" s="11" t="inlineStr">
        <is>
          <t>Química 10.°</t>
        </is>
      </c>
      <c r="F901" s="11" t="n">
        <v>10</v>
      </c>
      <c r="G901" s="11" t="inlineStr">
        <is>
          <t>1. La química como ciencia: ciclo de indagación</t>
        </is>
      </c>
      <c r="H901" s="11" t="inlineStr">
        <is>
          <t>La medición en el laboratorio químico</t>
        </is>
      </c>
      <c r="I901" s="38" t="inlineStr">
        <is>
          <t>1.8. Comparación de la exactitud y la precisión de mediciones de volumen realizadas con distintos instrumentos de laboratorio.</t>
        </is>
      </c>
      <c r="J901" s="11" t="inlineStr">
        <is>
          <t>Sin marco</t>
        </is>
      </c>
      <c r="K901" s="11" t="inlineStr">
        <is>
          <t>N/A</t>
        </is>
      </c>
      <c r="L901" s="11" t="inlineStr"/>
      <c r="M901" s="11">
        <f>IF(K901="FUERA","Fuera del marco",IF(K901="N/A","Sin marco",IFERROR(INDEX('Datos - Catálogo TIMSS'!$C$5:$C$107,MATCH(K901,'Datos - Catálogo TIMSS'!$A$5:$A$107,0)),"Pendiente de clasificar")))</f>
        <v/>
      </c>
      <c r="N901" s="11">
        <f>IF(K901="FUERA","Fuera del marco",IF(K901="N/A","Sin marco",IFERROR(INDEX('Datos - Catálogo TIMSS'!$F$5:$F$107,MATCH(K901,'Datos - Catálogo TIMSS'!$A$5:$A$107,0)),"Pendiente de clasificar")))</f>
        <v/>
      </c>
      <c r="O901" s="11">
        <f>IF(L901="","",IFERROR(INDEX('Datos - Catálogo TIMSS'!$C$5:$C$107,MATCH(L901,'Datos - Catálogo TIMSS'!$A$5:$A$107,0)),"?"))</f>
        <v/>
      </c>
      <c r="P901" s="11" t="inlineStr">
        <is>
          <t>N/A</t>
        </is>
      </c>
      <c r="Q901" s="38" t="inlineStr">
        <is>
          <t>Sin marco TIMSS de contenido para esta asignatura en Bachillerato</t>
        </is>
      </c>
      <c r="R901" s="38" t="inlineStr">
        <is>
          <t>Aplicar: calcular error relativo y dispersión. Razonar: distinguir errores sistemáticos y aleatorios</t>
        </is>
      </c>
      <c r="S901" s="39">
        <f>IFERROR(ISNUMBER(SEARCH("Conocer",$R901))/(ISNUMBER(SEARCH("Conocer",$R901))+ISNUMBER(SEARCH("Aplicar",$R901))+ISNUMBER(SEARCH("Razonar",$R901))),0)</f>
        <v/>
      </c>
      <c r="T901" s="39">
        <f>IFERROR(ISNUMBER(SEARCH("Aplicar",$R901))/(ISNUMBER(SEARCH("Conocer",$R901))+ISNUMBER(SEARCH("Aplicar",$R901))+ISNUMBER(SEARCH("Razonar",$R901))),0)</f>
        <v/>
      </c>
      <c r="U901" s="39">
        <f>IFERROR(ISNUMBER(SEARCH("Razonar",$R901))/(ISNUMBER(SEARCH("Conocer",$R901))+ISNUMBER(SEARCH("Aplicar",$R901))+ISNUMBER(SEARCH("Razonar",$R901))),0)</f>
        <v/>
      </c>
      <c r="V901" s="11" t="inlineStr">
        <is>
          <t>Química 10°</t>
        </is>
      </c>
      <c r="W901" s="11" t="inlineStr">
        <is>
          <t>Química 10°–11°</t>
        </is>
      </c>
      <c r="X901" s="11">
        <f>IF(OR(IFERROR(INDEX('Datos - Catálogo TIMSS'!$I$5:$I$107,MATCH(K901,'Datos - Catálogo TIMSS'!$A$5:$A$107,0)),"No")="Sí",IFERROR(INDEX('Datos - Catálogo TIMSS'!$I$5:$I$107,MATCH(L901,'Datos - Catálogo TIMSS'!$A$5:$A$107,0)),"No")="Sí"),1,0)</f>
        <v/>
      </c>
      <c r="Y901" s="11">
        <f>IF(IFERROR(INDEX('Datos - Catálogo TIMSS'!$J$5:$J$107,MATCH(K901,'Datos - Catálogo TIMSS'!$A$5:$A$107,0)),"No")="Sí",1,0)</f>
        <v/>
      </c>
      <c r="Z901" s="11">
        <f>IF(IFERROR(INDEX('Datos - Catálogo TIMSS'!$J$5:$J$107,MATCH(L901,'Datos - Catálogo TIMSS'!$A$5:$A$107,0)),"No")="Sí",1,0)</f>
        <v/>
      </c>
      <c r="AA901" s="11" t="inlineStr">
        <is>
          <t>N/A</t>
        </is>
      </c>
      <c r="AB901" s="11" t="inlineStr"/>
      <c r="AC901" s="11">
        <f>IF(AA901="FUERA","Fuera del marco",IF(AA901="N/A","Sin marco",IFERROR(INDEX('Datos - TIMSS 2023'!$C$5:$C$105,MATCH(AA901,'Datos - TIMSS 2023'!$A$5:$A$105,0)),"Pendiente de clasificar")))</f>
        <v/>
      </c>
      <c r="AD901" s="11" t="inlineStr">
        <is>
          <t>2. Construir y evaluar diseños para la indagación científica e interpretar datos y evidencia de forma crítica</t>
        </is>
      </c>
      <c r="AE901" s="11">
        <f>IF(AD901="","",IF(LEFT(AD901,1)="1","C1",IF(LEFT(AD901,1)="2","C2",IF(LEFT(AD901,1)="3","C3",""))))</f>
        <v/>
      </c>
      <c r="AF901" s="11" t="inlineStr">
        <is>
          <t>E1</t>
        </is>
      </c>
      <c r="AG901" s="11" t="inlineStr">
        <is>
          <t>D1</t>
        </is>
      </c>
      <c r="AH901" s="11" t="inlineStr">
        <is>
          <t>E2</t>
        </is>
      </c>
      <c r="AI901" s="11" t="inlineStr">
        <is>
          <t>D4</t>
        </is>
      </c>
      <c r="AJ901" s="11" t="inlineStr">
        <is>
          <t>D3</t>
        </is>
      </c>
      <c r="AK901" s="11" t="n"/>
      <c r="AL901" s="11" t="n"/>
      <c r="AM901" s="11" t="n"/>
      <c r="AN901" s="11" t="n"/>
      <c r="AO901" s="11" t="n"/>
      <c r="AP901" s="11" t="n"/>
      <c r="AQ901" s="11" t="n"/>
      <c r="AR901" s="11" t="n"/>
      <c r="AS901" s="11" t="n"/>
      <c r="AT901" s="11" t="n"/>
      <c r="AU901" s="11" t="n"/>
      <c r="AV901" s="11" t="n"/>
      <c r="AW901" s="11">
        <f>AF901&amp;"; "&amp;AG901&amp;"; "&amp;AH901&amp;"; "&amp;AI901&amp;"; "&amp;AJ901</f>
        <v/>
      </c>
    </row>
    <row r="902">
      <c r="A902" s="11" t="inlineStr">
        <is>
          <t>T0438-G10-QUÍ</t>
        </is>
      </c>
      <c r="B902" s="11" t="n">
        <v>10</v>
      </c>
      <c r="C902" s="11" t="inlineStr">
        <is>
          <t>Química</t>
        </is>
      </c>
      <c r="D902" s="11" t="inlineStr">
        <is>
          <t>Matriz_Bachillerato_Quimica_10_11.xlsx</t>
        </is>
      </c>
      <c r="E902" s="11" t="inlineStr">
        <is>
          <t>Química 10.°</t>
        </is>
      </c>
      <c r="F902" s="11" t="n">
        <v>11</v>
      </c>
      <c r="G902" s="11" t="inlineStr">
        <is>
          <t>1. La química como ciencia: ciclo de indagación</t>
        </is>
      </c>
      <c r="H902" s="11" t="inlineStr">
        <is>
          <t>La medición en el laboratorio químico</t>
        </is>
      </c>
      <c r="I902" s="38" t="inlineStr">
        <is>
          <t>1.9. Aplicación de las reglas de las cifras significativas al registro de mediciones y a los cálculos de magnitudes derivadas.</t>
        </is>
      </c>
      <c r="J902" s="11" t="inlineStr">
        <is>
          <t>Sin marco</t>
        </is>
      </c>
      <c r="K902" s="11" t="inlineStr">
        <is>
          <t>N/A</t>
        </is>
      </c>
      <c r="L902" s="11" t="inlineStr"/>
      <c r="M902" s="11">
        <f>IF(K902="FUERA","Fuera del marco",IF(K902="N/A","Sin marco",IFERROR(INDEX('Datos - Catálogo TIMSS'!$C$5:$C$107,MATCH(K902,'Datos - Catálogo TIMSS'!$A$5:$A$107,0)),"Pendiente de clasificar")))</f>
        <v/>
      </c>
      <c r="N902" s="11">
        <f>IF(K902="FUERA","Fuera del marco",IF(K902="N/A","Sin marco",IFERROR(INDEX('Datos - Catálogo TIMSS'!$F$5:$F$107,MATCH(K902,'Datos - Catálogo TIMSS'!$A$5:$A$107,0)),"Pendiente de clasificar")))</f>
        <v/>
      </c>
      <c r="O902" s="11">
        <f>IF(L902="","",IFERROR(INDEX('Datos - Catálogo TIMSS'!$C$5:$C$107,MATCH(L902,'Datos - Catálogo TIMSS'!$A$5:$A$107,0)),"?"))</f>
        <v/>
      </c>
      <c r="P902" s="11" t="inlineStr">
        <is>
          <t>N/A</t>
        </is>
      </c>
      <c r="Q902" s="38" t="inlineStr">
        <is>
          <t>Sin marco TIMSS de contenido para esta asignatura en Bachillerato</t>
        </is>
      </c>
      <c r="R902" s="38" t="inlineStr">
        <is>
          <t>Aplicar: contar y redondear cifras significativas. Razonar: justificar la precisión de un resultado</t>
        </is>
      </c>
      <c r="S902" s="39">
        <f>IFERROR(ISNUMBER(SEARCH("Conocer",$R902))/(ISNUMBER(SEARCH("Conocer",$R902))+ISNUMBER(SEARCH("Aplicar",$R902))+ISNUMBER(SEARCH("Razonar",$R902))),0)</f>
        <v/>
      </c>
      <c r="T902" s="39">
        <f>IFERROR(ISNUMBER(SEARCH("Aplicar",$R902))/(ISNUMBER(SEARCH("Conocer",$R902))+ISNUMBER(SEARCH("Aplicar",$R902))+ISNUMBER(SEARCH("Razonar",$R902))),0)</f>
        <v/>
      </c>
      <c r="U902" s="39">
        <f>IFERROR(ISNUMBER(SEARCH("Razonar",$R902))/(ISNUMBER(SEARCH("Conocer",$R902))+ISNUMBER(SEARCH("Aplicar",$R902))+ISNUMBER(SEARCH("Razonar",$R902))),0)</f>
        <v/>
      </c>
      <c r="V902" s="11" t="inlineStr">
        <is>
          <t>Química 10°</t>
        </is>
      </c>
      <c r="W902" s="11" t="inlineStr">
        <is>
          <t>Química 10°–11°</t>
        </is>
      </c>
      <c r="X902" s="11">
        <f>IF(OR(IFERROR(INDEX('Datos - Catálogo TIMSS'!$I$5:$I$107,MATCH(K902,'Datos - Catálogo TIMSS'!$A$5:$A$107,0)),"No")="Sí",IFERROR(INDEX('Datos - Catálogo TIMSS'!$I$5:$I$107,MATCH(L902,'Datos - Catálogo TIMSS'!$A$5:$A$107,0)),"No")="Sí"),1,0)</f>
        <v/>
      </c>
      <c r="Y902" s="11">
        <f>IF(IFERROR(INDEX('Datos - Catálogo TIMSS'!$J$5:$J$107,MATCH(K902,'Datos - Catálogo TIMSS'!$A$5:$A$107,0)),"No")="Sí",1,0)</f>
        <v/>
      </c>
      <c r="Z902" s="11">
        <f>IF(IFERROR(INDEX('Datos - Catálogo TIMSS'!$J$5:$J$107,MATCH(L902,'Datos - Catálogo TIMSS'!$A$5:$A$107,0)),"No")="Sí",1,0)</f>
        <v/>
      </c>
      <c r="AA902" s="11" t="inlineStr">
        <is>
          <t>N/A</t>
        </is>
      </c>
      <c r="AB902" s="11" t="inlineStr"/>
      <c r="AC902" s="11">
        <f>IF(AA902="FUERA","Fuera del marco",IF(AA902="N/A","Sin marco",IFERROR(INDEX('Datos - TIMSS 2023'!$C$5:$C$105,MATCH(AA902,'Datos - TIMSS 2023'!$A$5:$A$105,0)),"Pendiente de clasificar")))</f>
        <v/>
      </c>
      <c r="AD902" s="11" t="inlineStr">
        <is>
          <t>1. Explicar fenómenos científicamente</t>
        </is>
      </c>
      <c r="AE902" s="11">
        <f>IF(AD902="","",IF(LEFT(AD902,1)="1","C1",IF(LEFT(AD902,1)="2","C2",IF(LEFT(AD902,1)="3","C3",""))))</f>
        <v/>
      </c>
      <c r="AF902" s="11" t="inlineStr">
        <is>
          <t>E1</t>
        </is>
      </c>
      <c r="AG902" s="11" t="inlineStr">
        <is>
          <t>E3</t>
        </is>
      </c>
      <c r="AH902" s="11" t="inlineStr">
        <is>
          <t>E1</t>
        </is>
      </c>
      <c r="AI902" s="11" t="inlineStr">
        <is>
          <t>D4</t>
        </is>
      </c>
      <c r="AJ902" s="11" t="inlineStr">
        <is>
          <t>E3</t>
        </is>
      </c>
      <c r="AK902" s="11" t="n"/>
      <c r="AL902" s="11" t="n"/>
      <c r="AM902" s="11" t="n"/>
      <c r="AN902" s="11" t="n"/>
      <c r="AO902" s="11" t="n"/>
      <c r="AP902" s="11" t="n"/>
      <c r="AQ902" s="11" t="n"/>
      <c r="AR902" s="11" t="n"/>
      <c r="AS902" s="11" t="n"/>
      <c r="AT902" s="11" t="n"/>
      <c r="AU902" s="11" t="n"/>
      <c r="AV902" s="11" t="n"/>
      <c r="AW902" s="11">
        <f>AF902&amp;"; "&amp;AG902&amp;"; "&amp;AH902&amp;"; "&amp;AI902&amp;"; "&amp;AJ902</f>
        <v/>
      </c>
    </row>
    <row r="903">
      <c r="A903" s="11" t="inlineStr">
        <is>
          <t>T0439-G10-QUÍ</t>
        </is>
      </c>
      <c r="B903" s="11" t="n">
        <v>10</v>
      </c>
      <c r="C903" s="11" t="inlineStr">
        <is>
          <t>Química</t>
        </is>
      </c>
      <c r="D903" s="11" t="inlineStr">
        <is>
          <t>Matriz_Bachillerato_Quimica_10_11.xlsx</t>
        </is>
      </c>
      <c r="E903" s="11" t="inlineStr">
        <is>
          <t>Química 10.°</t>
        </is>
      </c>
      <c r="F903" s="11" t="n">
        <v>12</v>
      </c>
      <c r="G903" s="11" t="inlineStr">
        <is>
          <t>1. La química como ciencia: ciclo de indagación</t>
        </is>
      </c>
      <c r="H903" s="11" t="inlineStr">
        <is>
          <t>La medición en el laboratorio químico</t>
        </is>
      </c>
      <c r="I903" s="38" t="inlineStr">
        <is>
          <t>1.10. Aplicación de una técnica sistemática para resolver problemas químicos cuantitativos.</t>
        </is>
      </c>
      <c r="J903" s="11" t="inlineStr">
        <is>
          <t>Sin marco</t>
        </is>
      </c>
      <c r="K903" s="11" t="inlineStr">
        <is>
          <t>N/A</t>
        </is>
      </c>
      <c r="L903" s="11" t="inlineStr"/>
      <c r="M903" s="11">
        <f>IF(K903="FUERA","Fuera del marco",IF(K903="N/A","Sin marco",IFERROR(INDEX('Datos - Catálogo TIMSS'!$C$5:$C$107,MATCH(K903,'Datos - Catálogo TIMSS'!$A$5:$A$107,0)),"Pendiente de clasificar")))</f>
        <v/>
      </c>
      <c r="N903" s="11">
        <f>IF(K903="FUERA","Fuera del marco",IF(K903="N/A","Sin marco",IFERROR(INDEX('Datos - Catálogo TIMSS'!$F$5:$F$107,MATCH(K903,'Datos - Catálogo TIMSS'!$A$5:$A$107,0)),"Pendiente de clasificar")))</f>
        <v/>
      </c>
      <c r="O903" s="11">
        <f>IF(L903="","",IFERROR(INDEX('Datos - Catálogo TIMSS'!$C$5:$C$107,MATCH(L903,'Datos - Catálogo TIMSS'!$A$5:$A$107,0)),"?"))</f>
        <v/>
      </c>
      <c r="P903" s="11" t="inlineStr">
        <is>
          <t>N/A</t>
        </is>
      </c>
      <c r="Q903" s="38" t="inlineStr">
        <is>
          <t>Sin marco TIMSS de contenido para esta asignatura en Bachillerato</t>
        </is>
      </c>
      <c r="R903" s="38" t="inlineStr">
        <is>
          <t>Aplicar: planificar y calcular. Razonar: verificar la razonabilidad del resultado</t>
        </is>
      </c>
      <c r="S903" s="39">
        <f>IFERROR(ISNUMBER(SEARCH("Conocer",$R903))/(ISNUMBER(SEARCH("Conocer",$R903))+ISNUMBER(SEARCH("Aplicar",$R903))+ISNUMBER(SEARCH("Razonar",$R903))),0)</f>
        <v/>
      </c>
      <c r="T903" s="39">
        <f>IFERROR(ISNUMBER(SEARCH("Aplicar",$R903))/(ISNUMBER(SEARCH("Conocer",$R903))+ISNUMBER(SEARCH("Aplicar",$R903))+ISNUMBER(SEARCH("Razonar",$R903))),0)</f>
        <v/>
      </c>
      <c r="U903" s="39">
        <f>IFERROR(ISNUMBER(SEARCH("Razonar",$R903))/(ISNUMBER(SEARCH("Conocer",$R903))+ISNUMBER(SEARCH("Aplicar",$R903))+ISNUMBER(SEARCH("Razonar",$R903))),0)</f>
        <v/>
      </c>
      <c r="V903" s="11" t="inlineStr">
        <is>
          <t>Química 10°</t>
        </is>
      </c>
      <c r="W903" s="11" t="inlineStr">
        <is>
          <t>Química 10°–11°</t>
        </is>
      </c>
      <c r="X903" s="11">
        <f>IF(OR(IFERROR(INDEX('Datos - Catálogo TIMSS'!$I$5:$I$107,MATCH(K903,'Datos - Catálogo TIMSS'!$A$5:$A$107,0)),"No")="Sí",IFERROR(INDEX('Datos - Catálogo TIMSS'!$I$5:$I$107,MATCH(L903,'Datos - Catálogo TIMSS'!$A$5:$A$107,0)),"No")="Sí"),1,0)</f>
        <v/>
      </c>
      <c r="Y903" s="11">
        <f>IF(IFERROR(INDEX('Datos - Catálogo TIMSS'!$J$5:$J$107,MATCH(K903,'Datos - Catálogo TIMSS'!$A$5:$A$107,0)),"No")="Sí",1,0)</f>
        <v/>
      </c>
      <c r="Z903" s="11">
        <f>IF(IFERROR(INDEX('Datos - Catálogo TIMSS'!$J$5:$J$107,MATCH(L903,'Datos - Catálogo TIMSS'!$A$5:$A$107,0)),"No")="Sí",1,0)</f>
        <v/>
      </c>
      <c r="AA903" s="11" t="inlineStr">
        <is>
          <t>N/A</t>
        </is>
      </c>
      <c r="AB903" s="11" t="inlineStr"/>
      <c r="AC903" s="11">
        <f>IF(AA903="FUERA","Fuera del marco",IF(AA903="N/A","Sin marco",IFERROR(INDEX('Datos - TIMSS 2023'!$C$5:$C$105,MATCH(AA903,'Datos - TIMSS 2023'!$A$5:$A$105,0)),"Pendiente de clasificar")))</f>
        <v/>
      </c>
      <c r="AD903" s="11" t="inlineStr">
        <is>
          <t>3. Investigar, evaluar y usar información científica para tomar decisiones y actuar</t>
        </is>
      </c>
      <c r="AE903" s="11">
        <f>IF(AD903="","",IF(LEFT(AD903,1)="1","C1",IF(LEFT(AD903,1)="2","C2",IF(LEFT(AD903,1)="3","C3",""))))</f>
        <v/>
      </c>
      <c r="AF903" s="11" t="inlineStr">
        <is>
          <t>E1</t>
        </is>
      </c>
      <c r="AG903" s="11" t="inlineStr">
        <is>
          <t>D1</t>
        </is>
      </c>
      <c r="AH903" s="11" t="inlineStr">
        <is>
          <t>E2</t>
        </is>
      </c>
      <c r="AI903" s="11" t="inlineStr">
        <is>
          <t>I3</t>
        </is>
      </c>
      <c r="AJ903" s="11" t="inlineStr">
        <is>
          <t>I4</t>
        </is>
      </c>
      <c r="AK903" s="11" t="n"/>
      <c r="AL903" s="11" t="n"/>
      <c r="AM903" s="11" t="n"/>
      <c r="AN903" s="11" t="n"/>
      <c r="AO903" s="11" t="n"/>
      <c r="AP903" s="11" t="n"/>
      <c r="AQ903" s="11" t="n"/>
      <c r="AR903" s="11" t="n"/>
      <c r="AS903" s="11" t="n"/>
      <c r="AT903" s="11" t="n"/>
      <c r="AU903" s="11" t="n"/>
      <c r="AV903" s="11" t="n"/>
      <c r="AW903" s="11">
        <f>AF903&amp;"; "&amp;AG903&amp;"; "&amp;AH903&amp;"; "&amp;AI903&amp;"; "&amp;AJ903</f>
        <v/>
      </c>
    </row>
    <row r="904">
      <c r="A904" s="11" t="inlineStr">
        <is>
          <t>T0440-G10-QUÍ</t>
        </is>
      </c>
      <c r="B904" s="11" t="n">
        <v>10</v>
      </c>
      <c r="C904" s="11" t="inlineStr">
        <is>
          <t>Química</t>
        </is>
      </c>
      <c r="D904" s="11" t="inlineStr">
        <is>
          <t>Matriz_Bachillerato_Quimica_10_11.xlsx</t>
        </is>
      </c>
      <c r="E904" s="11" t="inlineStr">
        <is>
          <t>Química 10.°</t>
        </is>
      </c>
      <c r="F904" s="11" t="n">
        <v>13</v>
      </c>
      <c r="G904" s="11" t="inlineStr">
        <is>
          <t>1. La química como ciencia: ciclo de indagación</t>
        </is>
      </c>
      <c r="H904" s="11" t="inlineStr">
        <is>
          <t>La materia y sus propiedades</t>
        </is>
      </c>
      <c r="I904" s="38" t="inlineStr">
        <is>
          <t>1.11. Interpretación de los estados de la materia y de los sistemas materiales mediante el modelo cinético-molecular.</t>
        </is>
      </c>
      <c r="J904" s="11" t="inlineStr">
        <is>
          <t>Sin marco</t>
        </is>
      </c>
      <c r="K904" s="11" t="inlineStr">
        <is>
          <t>N/A</t>
        </is>
      </c>
      <c r="L904" s="11" t="inlineStr"/>
      <c r="M904" s="11">
        <f>IF(K904="FUERA","Fuera del marco",IF(K904="N/A","Sin marco",IFERROR(INDEX('Datos - Catálogo TIMSS'!$C$5:$C$107,MATCH(K904,'Datos - Catálogo TIMSS'!$A$5:$A$107,0)),"Pendiente de clasificar")))</f>
        <v/>
      </c>
      <c r="N904" s="11">
        <f>IF(K904="FUERA","Fuera del marco",IF(K904="N/A","Sin marco",IFERROR(INDEX('Datos - Catálogo TIMSS'!$F$5:$F$107,MATCH(K904,'Datos - Catálogo TIMSS'!$A$5:$A$107,0)),"Pendiente de clasificar")))</f>
        <v/>
      </c>
      <c r="O904" s="11">
        <f>IF(L904="","",IFERROR(INDEX('Datos - Catálogo TIMSS'!$C$5:$C$107,MATCH(L904,'Datos - Catálogo TIMSS'!$A$5:$A$107,0)),"?"))</f>
        <v/>
      </c>
      <c r="P904" s="11" t="inlineStr">
        <is>
          <t>N/A</t>
        </is>
      </c>
      <c r="Q904" s="38" t="inlineStr">
        <is>
          <t>Sin marco TIMSS de contenido para esta asignatura en Bachillerato</t>
        </is>
      </c>
      <c r="R904" s="38" t="inlineStr">
        <is>
          <t>Conocer: describir estados de la materia. Razonar: explicar con el modelo cinético-molecular</t>
        </is>
      </c>
      <c r="S904" s="39">
        <f>IFERROR(ISNUMBER(SEARCH("Conocer",$R904))/(ISNUMBER(SEARCH("Conocer",$R904))+ISNUMBER(SEARCH("Aplicar",$R904))+ISNUMBER(SEARCH("Razonar",$R904))),0)</f>
        <v/>
      </c>
      <c r="T904" s="39">
        <f>IFERROR(ISNUMBER(SEARCH("Aplicar",$R904))/(ISNUMBER(SEARCH("Conocer",$R904))+ISNUMBER(SEARCH("Aplicar",$R904))+ISNUMBER(SEARCH("Razonar",$R904))),0)</f>
        <v/>
      </c>
      <c r="U904" s="39">
        <f>IFERROR(ISNUMBER(SEARCH("Razonar",$R904))/(ISNUMBER(SEARCH("Conocer",$R904))+ISNUMBER(SEARCH("Aplicar",$R904))+ISNUMBER(SEARCH("Razonar",$R904))),0)</f>
        <v/>
      </c>
      <c r="V904" s="11" t="inlineStr">
        <is>
          <t>Química 10°</t>
        </is>
      </c>
      <c r="W904" s="11" t="inlineStr">
        <is>
          <t>Química 10°–11°</t>
        </is>
      </c>
      <c r="X904" s="11">
        <f>IF(OR(IFERROR(INDEX('Datos - Catálogo TIMSS'!$I$5:$I$107,MATCH(K904,'Datos - Catálogo TIMSS'!$A$5:$A$107,0)),"No")="Sí",IFERROR(INDEX('Datos - Catálogo TIMSS'!$I$5:$I$107,MATCH(L904,'Datos - Catálogo TIMSS'!$A$5:$A$107,0)),"No")="Sí"),1,0)</f>
        <v/>
      </c>
      <c r="Y904" s="11">
        <f>IF(IFERROR(INDEX('Datos - Catálogo TIMSS'!$J$5:$J$107,MATCH(K904,'Datos - Catálogo TIMSS'!$A$5:$A$107,0)),"No")="Sí",1,0)</f>
        <v/>
      </c>
      <c r="Z904" s="11">
        <f>IF(IFERROR(INDEX('Datos - Catálogo TIMSS'!$J$5:$J$107,MATCH(L904,'Datos - Catálogo TIMSS'!$A$5:$A$107,0)),"No")="Sí",1,0)</f>
        <v/>
      </c>
      <c r="AA904" s="11" t="inlineStr">
        <is>
          <t>N/A</t>
        </is>
      </c>
      <c r="AB904" s="11" t="inlineStr"/>
      <c r="AC904" s="11">
        <f>IF(AA904="FUERA","Fuera del marco",IF(AA904="N/A","Sin marco",IFERROR(INDEX('Datos - TIMSS 2023'!$C$5:$C$105,MATCH(AA904,'Datos - TIMSS 2023'!$A$5:$A$105,0)),"Pendiente de clasificar")))</f>
        <v/>
      </c>
      <c r="AD904" s="11" t="inlineStr">
        <is>
          <t>1. Explicar fenómenos científicamente</t>
        </is>
      </c>
      <c r="AE904" s="11">
        <f>IF(AD904="","",IF(LEFT(AD904,1)="1","C1",IF(LEFT(AD904,1)="2","C2",IF(LEFT(AD904,1)="3","C3",""))))</f>
        <v/>
      </c>
      <c r="AF904" s="11" t="inlineStr">
        <is>
          <t>E1</t>
        </is>
      </c>
      <c r="AG904" s="11" t="inlineStr">
        <is>
          <t>E5</t>
        </is>
      </c>
      <c r="AH904" s="11" t="inlineStr">
        <is>
          <t>E4</t>
        </is>
      </c>
      <c r="AI904" s="11" t="inlineStr">
        <is>
          <t>E4</t>
        </is>
      </c>
      <c r="AJ904" s="11" t="inlineStr">
        <is>
          <t>E3</t>
        </is>
      </c>
      <c r="AK904" s="11" t="n"/>
      <c r="AL904" s="11" t="n"/>
      <c r="AM904" s="11" t="n"/>
      <c r="AN904" s="11" t="n"/>
      <c r="AO904" s="11" t="n"/>
      <c r="AP904" s="11" t="n"/>
      <c r="AQ904" s="11" t="n"/>
      <c r="AR904" s="11" t="n"/>
      <c r="AS904" s="11" t="n"/>
      <c r="AT904" s="11" t="n"/>
      <c r="AU904" s="11" t="n"/>
      <c r="AV904" s="11" t="n"/>
      <c r="AW904" s="11">
        <f>AF904&amp;"; "&amp;AG904&amp;"; "&amp;AH904&amp;"; "&amp;AI904&amp;"; "&amp;AJ904</f>
        <v/>
      </c>
    </row>
    <row r="905">
      <c r="A905" s="11" t="inlineStr">
        <is>
          <t>T0441-G10-QUÍ</t>
        </is>
      </c>
      <c r="B905" s="11" t="n">
        <v>10</v>
      </c>
      <c r="C905" s="11" t="inlineStr">
        <is>
          <t>Química</t>
        </is>
      </c>
      <c r="D905" s="11" t="inlineStr">
        <is>
          <t>Matriz_Bachillerato_Quimica_10_11.xlsx</t>
        </is>
      </c>
      <c r="E905" s="11" t="inlineStr">
        <is>
          <t>Química 10.°</t>
        </is>
      </c>
      <c r="F905" s="11" t="n">
        <v>14</v>
      </c>
      <c r="G905" s="11" t="inlineStr">
        <is>
          <t>1. La química como ciencia: ciclo de indagación</t>
        </is>
      </c>
      <c r="H905" s="11" t="inlineStr">
        <is>
          <t>La materia y sus propiedades</t>
        </is>
      </c>
      <c r="I905" s="38" t="inlineStr">
        <is>
          <t>1.12. Determinación experimental de la densidad de sólidos y líquidos como propiedad intensiva para identificar sustancias.</t>
        </is>
      </c>
      <c r="J905" s="11" t="inlineStr">
        <is>
          <t>Sin marco</t>
        </is>
      </c>
      <c r="K905" s="11" t="inlineStr">
        <is>
          <t>N/A</t>
        </is>
      </c>
      <c r="L905" s="11" t="inlineStr"/>
      <c r="M905" s="11">
        <f>IF(K905="FUERA","Fuera del marco",IF(K905="N/A","Sin marco",IFERROR(INDEX('Datos - Catálogo TIMSS'!$C$5:$C$107,MATCH(K905,'Datos - Catálogo TIMSS'!$A$5:$A$107,0)),"Pendiente de clasificar")))</f>
        <v/>
      </c>
      <c r="N905" s="11">
        <f>IF(K905="FUERA","Fuera del marco",IF(K905="N/A","Sin marco",IFERROR(INDEX('Datos - Catálogo TIMSS'!$F$5:$F$107,MATCH(K905,'Datos - Catálogo TIMSS'!$A$5:$A$107,0)),"Pendiente de clasificar")))</f>
        <v/>
      </c>
      <c r="O905" s="11">
        <f>IF(L905="","",IFERROR(INDEX('Datos - Catálogo TIMSS'!$C$5:$C$107,MATCH(L905,'Datos - Catálogo TIMSS'!$A$5:$A$107,0)),"?"))</f>
        <v/>
      </c>
      <c r="P905" s="11" t="inlineStr">
        <is>
          <t>N/A</t>
        </is>
      </c>
      <c r="Q905" s="38" t="inlineStr">
        <is>
          <t>Sin marco TIMSS de contenido para esta asignatura en Bachillerato</t>
        </is>
      </c>
      <c r="R905" s="38" t="inlineStr">
        <is>
          <t>Aplicar: medir y calcular la densidad. Razonar: identificar sustancias con datos</t>
        </is>
      </c>
      <c r="S905" s="39">
        <f>IFERROR(ISNUMBER(SEARCH("Conocer",$R905))/(ISNUMBER(SEARCH("Conocer",$R905))+ISNUMBER(SEARCH("Aplicar",$R905))+ISNUMBER(SEARCH("Razonar",$R905))),0)</f>
        <v/>
      </c>
      <c r="T905" s="39">
        <f>IFERROR(ISNUMBER(SEARCH("Aplicar",$R905))/(ISNUMBER(SEARCH("Conocer",$R905))+ISNUMBER(SEARCH("Aplicar",$R905))+ISNUMBER(SEARCH("Razonar",$R905))),0)</f>
        <v/>
      </c>
      <c r="U905" s="39">
        <f>IFERROR(ISNUMBER(SEARCH("Razonar",$R905))/(ISNUMBER(SEARCH("Conocer",$R905))+ISNUMBER(SEARCH("Aplicar",$R905))+ISNUMBER(SEARCH("Razonar",$R905))),0)</f>
        <v/>
      </c>
      <c r="V905" s="11" t="inlineStr">
        <is>
          <t>Química 10°</t>
        </is>
      </c>
      <c r="W905" s="11" t="inlineStr">
        <is>
          <t>Química 10°–11°</t>
        </is>
      </c>
      <c r="X905" s="11">
        <f>IF(OR(IFERROR(INDEX('Datos - Catálogo TIMSS'!$I$5:$I$107,MATCH(K905,'Datos - Catálogo TIMSS'!$A$5:$A$107,0)),"No")="Sí",IFERROR(INDEX('Datos - Catálogo TIMSS'!$I$5:$I$107,MATCH(L905,'Datos - Catálogo TIMSS'!$A$5:$A$107,0)),"No")="Sí"),1,0)</f>
        <v/>
      </c>
      <c r="Y905" s="11">
        <f>IF(IFERROR(INDEX('Datos - Catálogo TIMSS'!$J$5:$J$107,MATCH(K905,'Datos - Catálogo TIMSS'!$A$5:$A$107,0)),"No")="Sí",1,0)</f>
        <v/>
      </c>
      <c r="Z905" s="11">
        <f>IF(IFERROR(INDEX('Datos - Catálogo TIMSS'!$J$5:$J$107,MATCH(L905,'Datos - Catálogo TIMSS'!$A$5:$A$107,0)),"No")="Sí",1,0)</f>
        <v/>
      </c>
      <c r="AA905" s="11" t="inlineStr">
        <is>
          <t>N/A</t>
        </is>
      </c>
      <c r="AB905" s="11" t="inlineStr"/>
      <c r="AC905" s="11">
        <f>IF(AA905="FUERA","Fuera del marco",IF(AA905="N/A","Sin marco",IFERROR(INDEX('Datos - TIMSS 2023'!$C$5:$C$105,MATCH(AA905,'Datos - TIMSS 2023'!$A$5:$A$105,0)),"Pendiente de clasificar")))</f>
        <v/>
      </c>
      <c r="AD905" s="11" t="inlineStr">
        <is>
          <t>2. Construir y evaluar diseños para la indagación científica e interpretar datos y evidencia de forma crítica</t>
        </is>
      </c>
      <c r="AE905" s="11">
        <f>IF(AD905="","",IF(LEFT(AD905,1)="1","C1",IF(LEFT(AD905,1)="2","C2",IF(LEFT(AD905,1)="3","C3",""))))</f>
        <v/>
      </c>
      <c r="AF905" s="11" t="inlineStr">
        <is>
          <t>E1</t>
        </is>
      </c>
      <c r="AG905" s="11" t="inlineStr">
        <is>
          <t>D1</t>
        </is>
      </c>
      <c r="AH905" s="11" t="inlineStr">
        <is>
          <t>E1</t>
        </is>
      </c>
      <c r="AI905" s="11" t="inlineStr">
        <is>
          <t>D4</t>
        </is>
      </c>
      <c r="AJ905" s="11" t="inlineStr">
        <is>
          <t>D3</t>
        </is>
      </c>
      <c r="AK905" s="11" t="n"/>
      <c r="AL905" s="11" t="n"/>
      <c r="AM905" s="11" t="n"/>
      <c r="AN905" s="11" t="n"/>
      <c r="AO905" s="11" t="n"/>
      <c r="AP905" s="11" t="n"/>
      <c r="AQ905" s="11" t="n"/>
      <c r="AR905" s="11" t="n"/>
      <c r="AS905" s="11" t="n"/>
      <c r="AT905" s="11" t="n"/>
      <c r="AU905" s="11" t="n"/>
      <c r="AV905" s="11" t="n"/>
      <c r="AW905" s="11">
        <f>AF905&amp;"; "&amp;AG905&amp;"; "&amp;AH905&amp;"; "&amp;AI905&amp;"; "&amp;AJ905</f>
        <v/>
      </c>
    </row>
    <row r="906">
      <c r="A906" s="11" t="inlineStr">
        <is>
          <t>T0442-G10-QUÍ</t>
        </is>
      </c>
      <c r="B906" s="11" t="n">
        <v>10</v>
      </c>
      <c r="C906" s="11" t="inlineStr">
        <is>
          <t>Química</t>
        </is>
      </c>
      <c r="D906" s="11" t="inlineStr">
        <is>
          <t>Matriz_Bachillerato_Quimica_10_11.xlsx</t>
        </is>
      </c>
      <c r="E906" s="11" t="inlineStr">
        <is>
          <t>Química 10.°</t>
        </is>
      </c>
      <c r="F906" s="11" t="n">
        <v>15</v>
      </c>
      <c r="G906" s="11" t="inlineStr">
        <is>
          <t>1. La química como ciencia: ciclo de indagación</t>
        </is>
      </c>
      <c r="H906" s="11" t="inlineStr">
        <is>
          <t>La materia y sus propiedades</t>
        </is>
      </c>
      <c r="I906" s="38" t="inlineStr">
        <is>
          <t>1.13. Clasificación de muestras de materia en sustancias puras, mezclas homogéneas, mezclas heterogéneas, coloides y emulsiones.</t>
        </is>
      </c>
      <c r="J906" s="11" t="inlineStr">
        <is>
          <t>Sin marco</t>
        </is>
      </c>
      <c r="K906" s="11" t="inlineStr">
        <is>
          <t>N/A</t>
        </is>
      </c>
      <c r="L906" s="11" t="inlineStr"/>
      <c r="M906" s="11">
        <f>IF(K906="FUERA","Fuera del marco",IF(K906="N/A","Sin marco",IFERROR(INDEX('Datos - Catálogo TIMSS'!$C$5:$C$107,MATCH(K906,'Datos - Catálogo TIMSS'!$A$5:$A$107,0)),"Pendiente de clasificar")))</f>
        <v/>
      </c>
      <c r="N906" s="11">
        <f>IF(K906="FUERA","Fuera del marco",IF(K906="N/A","Sin marco",IFERROR(INDEX('Datos - Catálogo TIMSS'!$F$5:$F$107,MATCH(K906,'Datos - Catálogo TIMSS'!$A$5:$A$107,0)),"Pendiente de clasificar")))</f>
        <v/>
      </c>
      <c r="O906" s="11">
        <f>IF(L906="","",IFERROR(INDEX('Datos - Catálogo TIMSS'!$C$5:$C$107,MATCH(L906,'Datos - Catálogo TIMSS'!$A$5:$A$107,0)),"?"))</f>
        <v/>
      </c>
      <c r="P906" s="11" t="inlineStr">
        <is>
          <t>N/A</t>
        </is>
      </c>
      <c r="Q906" s="38" t="inlineStr">
        <is>
          <t>Sin marco TIMSS de contenido para esta asignatura en Bachillerato</t>
        </is>
      </c>
      <c r="R906" s="38" t="inlineStr">
        <is>
          <t>Conocer: diferenciar sustancias y mezclas. Aplicar: clasificar muestras. Razonar: justificar</t>
        </is>
      </c>
      <c r="S906" s="39">
        <f>IFERROR(ISNUMBER(SEARCH("Conocer",$R906))/(ISNUMBER(SEARCH("Conocer",$R906))+ISNUMBER(SEARCH("Aplicar",$R906))+ISNUMBER(SEARCH("Razonar",$R906))),0)</f>
        <v/>
      </c>
      <c r="T906" s="39">
        <f>IFERROR(ISNUMBER(SEARCH("Aplicar",$R906))/(ISNUMBER(SEARCH("Conocer",$R906))+ISNUMBER(SEARCH("Aplicar",$R906))+ISNUMBER(SEARCH("Razonar",$R906))),0)</f>
        <v/>
      </c>
      <c r="U906" s="39">
        <f>IFERROR(ISNUMBER(SEARCH("Razonar",$R906))/(ISNUMBER(SEARCH("Conocer",$R906))+ISNUMBER(SEARCH("Aplicar",$R906))+ISNUMBER(SEARCH("Razonar",$R906))),0)</f>
        <v/>
      </c>
      <c r="V906" s="11" t="inlineStr">
        <is>
          <t>Química 10°</t>
        </is>
      </c>
      <c r="W906" s="11" t="inlineStr">
        <is>
          <t>Química 10°–11°</t>
        </is>
      </c>
      <c r="X906" s="11">
        <f>IF(OR(IFERROR(INDEX('Datos - Catálogo TIMSS'!$I$5:$I$107,MATCH(K906,'Datos - Catálogo TIMSS'!$A$5:$A$107,0)),"No")="Sí",IFERROR(INDEX('Datos - Catálogo TIMSS'!$I$5:$I$107,MATCH(L906,'Datos - Catálogo TIMSS'!$A$5:$A$107,0)),"No")="Sí"),1,0)</f>
        <v/>
      </c>
      <c r="Y906" s="11">
        <f>IF(IFERROR(INDEX('Datos - Catálogo TIMSS'!$J$5:$J$107,MATCH(K906,'Datos - Catálogo TIMSS'!$A$5:$A$107,0)),"No")="Sí",1,0)</f>
        <v/>
      </c>
      <c r="Z906" s="11">
        <f>IF(IFERROR(INDEX('Datos - Catálogo TIMSS'!$J$5:$J$107,MATCH(L906,'Datos - Catálogo TIMSS'!$A$5:$A$107,0)),"No")="Sí",1,0)</f>
        <v/>
      </c>
      <c r="AA906" s="11" t="inlineStr">
        <is>
          <t>N/A</t>
        </is>
      </c>
      <c r="AB906" s="11" t="inlineStr"/>
      <c r="AC906" s="11">
        <f>IF(AA906="FUERA","Fuera del marco",IF(AA906="N/A","Sin marco",IFERROR(INDEX('Datos - TIMSS 2023'!$C$5:$C$105,MATCH(AA906,'Datos - TIMSS 2023'!$A$5:$A$105,0)),"Pendiente de clasificar")))</f>
        <v/>
      </c>
      <c r="AD906" s="11" t="inlineStr">
        <is>
          <t>1. Explicar fenómenos científicamente</t>
        </is>
      </c>
      <c r="AE906" s="11">
        <f>IF(AD906="","",IF(LEFT(AD906,1)="1","C1",IF(LEFT(AD906,1)="2","C2",IF(LEFT(AD906,1)="3","C3",""))))</f>
        <v/>
      </c>
      <c r="AF906" s="11" t="inlineStr">
        <is>
          <t>E1</t>
        </is>
      </c>
      <c r="AG906" s="11" t="inlineStr">
        <is>
          <t>E5</t>
        </is>
      </c>
      <c r="AH906" s="11" t="inlineStr">
        <is>
          <t>E2</t>
        </is>
      </c>
      <c r="AI906" s="11" t="inlineStr">
        <is>
          <t>D4</t>
        </is>
      </c>
      <c r="AJ906" s="11" t="inlineStr">
        <is>
          <t>E3</t>
        </is>
      </c>
      <c r="AK906" s="11" t="n"/>
      <c r="AL906" s="11" t="n"/>
      <c r="AM906" s="11" t="n"/>
      <c r="AN906" s="11" t="n"/>
      <c r="AO906" s="11" t="n"/>
      <c r="AP906" s="11" t="n"/>
      <c r="AQ906" s="11" t="n"/>
      <c r="AR906" s="11" t="n"/>
      <c r="AS906" s="11" t="n"/>
      <c r="AT906" s="11" t="n"/>
      <c r="AU906" s="11" t="n"/>
      <c r="AV906" s="11" t="n"/>
      <c r="AW906" s="11">
        <f>AF906&amp;"; "&amp;AG906&amp;"; "&amp;AH906&amp;"; "&amp;AI906&amp;"; "&amp;AJ906</f>
        <v/>
      </c>
    </row>
    <row r="907">
      <c r="A907" s="11" t="inlineStr">
        <is>
          <t>T0443-G10-QUÍ</t>
        </is>
      </c>
      <c r="B907" s="11" t="n">
        <v>10</v>
      </c>
      <c r="C907" s="11" t="inlineStr">
        <is>
          <t>Química</t>
        </is>
      </c>
      <c r="D907" s="11" t="inlineStr">
        <is>
          <t>Matriz_Bachillerato_Quimica_10_11.xlsx</t>
        </is>
      </c>
      <c r="E907" s="11" t="inlineStr">
        <is>
          <t>Química 10.°</t>
        </is>
      </c>
      <c r="F907" s="11" t="n">
        <v>16</v>
      </c>
      <c r="G907" s="11" t="inlineStr">
        <is>
          <t>1. La química como ciencia: ciclo de indagación</t>
        </is>
      </c>
      <c r="H907" s="11" t="inlineStr">
        <is>
          <t>La materia y sus propiedades</t>
        </is>
      </c>
      <c r="I907" s="38" t="inlineStr">
        <is>
          <t>1.14. Selección y aplicación de métodos de separación de mezclas según las propiedades de sus componentes.</t>
        </is>
      </c>
      <c r="J907" s="11" t="inlineStr">
        <is>
          <t>Sin marco</t>
        </is>
      </c>
      <c r="K907" s="11" t="inlineStr">
        <is>
          <t>N/A</t>
        </is>
      </c>
      <c r="L907" s="11" t="inlineStr"/>
      <c r="M907" s="11">
        <f>IF(K907="FUERA","Fuera del marco",IF(K907="N/A","Sin marco",IFERROR(INDEX('Datos - Catálogo TIMSS'!$C$5:$C$107,MATCH(K907,'Datos - Catálogo TIMSS'!$A$5:$A$107,0)),"Pendiente de clasificar")))</f>
        <v/>
      </c>
      <c r="N907" s="11">
        <f>IF(K907="FUERA","Fuera del marco",IF(K907="N/A","Sin marco",IFERROR(INDEX('Datos - Catálogo TIMSS'!$F$5:$F$107,MATCH(K907,'Datos - Catálogo TIMSS'!$A$5:$A$107,0)),"Pendiente de clasificar")))</f>
        <v/>
      </c>
      <c r="O907" s="11">
        <f>IF(L907="","",IFERROR(INDEX('Datos - Catálogo TIMSS'!$C$5:$C$107,MATCH(L907,'Datos - Catálogo TIMSS'!$A$5:$A$107,0)),"?"))</f>
        <v/>
      </c>
      <c r="P907" s="11" t="inlineStr">
        <is>
          <t>N/A</t>
        </is>
      </c>
      <c r="Q907" s="38" t="inlineStr">
        <is>
          <t>Sin marco TIMSS de contenido para esta asignatura en Bachillerato</t>
        </is>
      </c>
      <c r="R907" s="38" t="inlineStr">
        <is>
          <t>Aplicar: seleccionar y ejecutar métodos de separación. Razonar: justificar con propiedades</t>
        </is>
      </c>
      <c r="S907" s="39">
        <f>IFERROR(ISNUMBER(SEARCH("Conocer",$R907))/(ISNUMBER(SEARCH("Conocer",$R907))+ISNUMBER(SEARCH("Aplicar",$R907))+ISNUMBER(SEARCH("Razonar",$R907))),0)</f>
        <v/>
      </c>
      <c r="T907" s="39">
        <f>IFERROR(ISNUMBER(SEARCH("Aplicar",$R907))/(ISNUMBER(SEARCH("Conocer",$R907))+ISNUMBER(SEARCH("Aplicar",$R907))+ISNUMBER(SEARCH("Razonar",$R907))),0)</f>
        <v/>
      </c>
      <c r="U907" s="39">
        <f>IFERROR(ISNUMBER(SEARCH("Razonar",$R907))/(ISNUMBER(SEARCH("Conocer",$R907))+ISNUMBER(SEARCH("Aplicar",$R907))+ISNUMBER(SEARCH("Razonar",$R907))),0)</f>
        <v/>
      </c>
      <c r="V907" s="11" t="inlineStr">
        <is>
          <t>Química 10°</t>
        </is>
      </c>
      <c r="W907" s="11" t="inlineStr">
        <is>
          <t>Química 10°–11°</t>
        </is>
      </c>
      <c r="X907" s="11">
        <f>IF(OR(IFERROR(INDEX('Datos - Catálogo TIMSS'!$I$5:$I$107,MATCH(K907,'Datos - Catálogo TIMSS'!$A$5:$A$107,0)),"No")="Sí",IFERROR(INDEX('Datos - Catálogo TIMSS'!$I$5:$I$107,MATCH(L907,'Datos - Catálogo TIMSS'!$A$5:$A$107,0)),"No")="Sí"),1,0)</f>
        <v/>
      </c>
      <c r="Y907" s="11">
        <f>IF(IFERROR(INDEX('Datos - Catálogo TIMSS'!$J$5:$J$107,MATCH(K907,'Datos - Catálogo TIMSS'!$A$5:$A$107,0)),"No")="Sí",1,0)</f>
        <v/>
      </c>
      <c r="Z907" s="11">
        <f>IF(IFERROR(INDEX('Datos - Catálogo TIMSS'!$J$5:$J$107,MATCH(L907,'Datos - Catálogo TIMSS'!$A$5:$A$107,0)),"No")="Sí",1,0)</f>
        <v/>
      </c>
      <c r="AA907" s="11" t="inlineStr">
        <is>
          <t>N/A</t>
        </is>
      </c>
      <c r="AB907" s="11" t="inlineStr"/>
      <c r="AC907" s="11">
        <f>IF(AA907="FUERA","Fuera del marco",IF(AA907="N/A","Sin marco",IFERROR(INDEX('Datos - TIMSS 2023'!$C$5:$C$105,MATCH(AA907,'Datos - TIMSS 2023'!$A$5:$A$105,0)),"Pendiente de clasificar")))</f>
        <v/>
      </c>
      <c r="AD907" s="11" t="inlineStr">
        <is>
          <t>2. Construir y evaluar diseños para la indagación científica e interpretar datos y evidencia de forma crítica</t>
        </is>
      </c>
      <c r="AE907" s="11">
        <f>IF(AD907="","",IF(LEFT(AD907,1)="1","C1",IF(LEFT(AD907,1)="2","C2",IF(LEFT(AD907,1)="3","C3",""))))</f>
        <v/>
      </c>
      <c r="AF907" s="11" t="inlineStr">
        <is>
          <t>E6</t>
        </is>
      </c>
      <c r="AG907" s="11" t="inlineStr">
        <is>
          <t>D1</t>
        </is>
      </c>
      <c r="AH907" s="11" t="inlineStr">
        <is>
          <t>E1</t>
        </is>
      </c>
      <c r="AI907" s="11" t="inlineStr">
        <is>
          <t>D2</t>
        </is>
      </c>
      <c r="AJ907" s="11" t="inlineStr">
        <is>
          <t>I5</t>
        </is>
      </c>
      <c r="AK907" s="11" t="n"/>
      <c r="AL907" s="11" t="n"/>
      <c r="AM907" s="11" t="n"/>
      <c r="AN907" s="11" t="n"/>
      <c r="AO907" s="11" t="n"/>
      <c r="AP907" s="11" t="n"/>
      <c r="AQ907" s="11" t="n"/>
      <c r="AR907" s="11" t="n"/>
      <c r="AS907" s="11" t="n"/>
      <c r="AT907" s="11" t="n"/>
      <c r="AU907" s="11" t="n"/>
      <c r="AV907" s="11" t="n"/>
      <c r="AW907" s="11">
        <f>AF907&amp;"; "&amp;AG907&amp;"; "&amp;AH907&amp;"; "&amp;AI907&amp;"; "&amp;AJ907</f>
        <v/>
      </c>
    </row>
    <row r="908">
      <c r="A908" s="11" t="inlineStr">
        <is>
          <t>T0444-G10-QUÍ</t>
        </is>
      </c>
      <c r="B908" s="11" t="n">
        <v>10</v>
      </c>
      <c r="C908" s="11" t="inlineStr">
        <is>
          <t>Química</t>
        </is>
      </c>
      <c r="D908" s="11" t="inlineStr">
        <is>
          <t>Matriz_Bachillerato_Quimica_10_11.xlsx</t>
        </is>
      </c>
      <c r="E908" s="11" t="inlineStr">
        <is>
          <t>Química 10.°</t>
        </is>
      </c>
      <c r="F908" s="11" t="n">
        <v>17</v>
      </c>
      <c r="G908" s="11" t="inlineStr">
        <is>
          <t>2. Las cantidades en química</t>
        </is>
      </c>
      <c r="H908" s="11" t="inlineStr">
        <is>
          <t>Leyes de la combinación química</t>
        </is>
      </c>
      <c r="I908" s="38" t="inlineStr">
        <is>
          <t>2.1. Comprobación experimental de la ley de conservación de la masa y análisis de datos de las leyes de las proporciones definidas y múltiples.</t>
        </is>
      </c>
      <c r="J908" s="11" t="inlineStr">
        <is>
          <t>Sin marco</t>
        </is>
      </c>
      <c r="K908" s="11" t="inlineStr">
        <is>
          <t>N/A</t>
        </is>
      </c>
      <c r="L908" s="11" t="inlineStr"/>
      <c r="M908" s="11">
        <f>IF(K908="FUERA","Fuera del marco",IF(K908="N/A","Sin marco",IFERROR(INDEX('Datos - Catálogo TIMSS'!$C$5:$C$107,MATCH(K908,'Datos - Catálogo TIMSS'!$A$5:$A$107,0)),"Pendiente de clasificar")))</f>
        <v/>
      </c>
      <c r="N908" s="11">
        <f>IF(K908="FUERA","Fuera del marco",IF(K908="N/A","Sin marco",IFERROR(INDEX('Datos - Catálogo TIMSS'!$F$5:$F$107,MATCH(K908,'Datos - Catálogo TIMSS'!$A$5:$A$107,0)),"Pendiente de clasificar")))</f>
        <v/>
      </c>
      <c r="O908" s="11">
        <f>IF(L908="","",IFERROR(INDEX('Datos - Catálogo TIMSS'!$C$5:$C$107,MATCH(L908,'Datos - Catálogo TIMSS'!$A$5:$A$107,0)),"?"))</f>
        <v/>
      </c>
      <c r="P908" s="11" t="inlineStr">
        <is>
          <t>N/A</t>
        </is>
      </c>
      <c r="Q908" s="38" t="inlineStr">
        <is>
          <t>Sin marco TIMSS de contenido para esta asignatura en Bachillerato</t>
        </is>
      </c>
      <c r="R908" s="38" t="inlineStr">
        <is>
          <t>Aplicar: calcular razones de masa. Razonar: interpretar datos para comprobar una ley</t>
        </is>
      </c>
      <c r="S908" s="39">
        <f>IFERROR(ISNUMBER(SEARCH("Conocer",$R908))/(ISNUMBER(SEARCH("Conocer",$R908))+ISNUMBER(SEARCH("Aplicar",$R908))+ISNUMBER(SEARCH("Razonar",$R908))),0)</f>
        <v/>
      </c>
      <c r="T908" s="39">
        <f>IFERROR(ISNUMBER(SEARCH("Aplicar",$R908))/(ISNUMBER(SEARCH("Conocer",$R908))+ISNUMBER(SEARCH("Aplicar",$R908))+ISNUMBER(SEARCH("Razonar",$R908))),0)</f>
        <v/>
      </c>
      <c r="U908" s="39">
        <f>IFERROR(ISNUMBER(SEARCH("Razonar",$R908))/(ISNUMBER(SEARCH("Conocer",$R908))+ISNUMBER(SEARCH("Aplicar",$R908))+ISNUMBER(SEARCH("Razonar",$R908))),0)</f>
        <v/>
      </c>
      <c r="V908" s="11" t="inlineStr">
        <is>
          <t>Química 10°</t>
        </is>
      </c>
      <c r="W908" s="11" t="inlineStr">
        <is>
          <t>Química 10°–11°</t>
        </is>
      </c>
      <c r="X908" s="11">
        <f>IF(OR(IFERROR(INDEX('Datos - Catálogo TIMSS'!$I$5:$I$107,MATCH(K908,'Datos - Catálogo TIMSS'!$A$5:$A$107,0)),"No")="Sí",IFERROR(INDEX('Datos - Catálogo TIMSS'!$I$5:$I$107,MATCH(L908,'Datos - Catálogo TIMSS'!$A$5:$A$107,0)),"No")="Sí"),1,0)</f>
        <v/>
      </c>
      <c r="Y908" s="11">
        <f>IF(IFERROR(INDEX('Datos - Catálogo TIMSS'!$J$5:$J$107,MATCH(K908,'Datos - Catálogo TIMSS'!$A$5:$A$107,0)),"No")="Sí",1,0)</f>
        <v/>
      </c>
      <c r="Z908" s="11">
        <f>IF(IFERROR(INDEX('Datos - Catálogo TIMSS'!$J$5:$J$107,MATCH(L908,'Datos - Catálogo TIMSS'!$A$5:$A$107,0)),"No")="Sí",1,0)</f>
        <v/>
      </c>
      <c r="AA908" s="11" t="inlineStr">
        <is>
          <t>N/A</t>
        </is>
      </c>
      <c r="AB908" s="11" t="inlineStr"/>
      <c r="AC908" s="11">
        <f>IF(AA908="FUERA","Fuera del marco",IF(AA908="N/A","Sin marco",IFERROR(INDEX('Datos - TIMSS 2023'!$C$5:$C$105,MATCH(AA908,'Datos - TIMSS 2023'!$A$5:$A$105,0)),"Pendiente de clasificar")))</f>
        <v/>
      </c>
      <c r="AD908" s="11" t="inlineStr">
        <is>
          <t>2. Construir y evaluar diseños para la indagación científica e interpretar datos y evidencia de forma crítica</t>
        </is>
      </c>
      <c r="AE908" s="11">
        <f>IF(AD908="","",IF(LEFT(AD908,1)="1","C1",IF(LEFT(AD908,1)="2","C2",IF(LEFT(AD908,1)="3","C3",""))))</f>
        <v/>
      </c>
      <c r="AF908" s="11" t="inlineStr">
        <is>
          <t>E1</t>
        </is>
      </c>
      <c r="AG908" s="11" t="inlineStr">
        <is>
          <t>D1</t>
        </is>
      </c>
      <c r="AH908" s="11" t="inlineStr">
        <is>
          <t>E2</t>
        </is>
      </c>
      <c r="AI908" s="11" t="inlineStr">
        <is>
          <t>D4</t>
        </is>
      </c>
      <c r="AJ908" s="11" t="inlineStr">
        <is>
          <t>D3</t>
        </is>
      </c>
      <c r="AK908" s="11" t="n"/>
      <c r="AL908" s="11" t="n"/>
      <c r="AM908" s="11" t="n"/>
      <c r="AN908" s="11" t="n"/>
      <c r="AO908" s="11" t="n"/>
      <c r="AP908" s="11" t="n"/>
      <c r="AQ908" s="11" t="n"/>
      <c r="AR908" s="11" t="n"/>
      <c r="AS908" s="11" t="n"/>
      <c r="AT908" s="11" t="n"/>
      <c r="AU908" s="11" t="n"/>
      <c r="AV908" s="11" t="n"/>
      <c r="AW908" s="11">
        <f>AF908&amp;"; "&amp;AG908&amp;"; "&amp;AH908&amp;"; "&amp;AI908&amp;"; "&amp;AJ908</f>
        <v/>
      </c>
    </row>
    <row r="909">
      <c r="A909" s="11" t="inlineStr">
        <is>
          <t>T0445-G10-QUÍ</t>
        </is>
      </c>
      <c r="B909" s="11" t="n">
        <v>10</v>
      </c>
      <c r="C909" s="11" t="inlineStr">
        <is>
          <t>Química</t>
        </is>
      </c>
      <c r="D909" s="11" t="inlineStr">
        <is>
          <t>Matriz_Bachillerato_Quimica_10_11.xlsx</t>
        </is>
      </c>
      <c r="E909" s="11" t="inlineStr">
        <is>
          <t>Química 10.°</t>
        </is>
      </c>
      <c r="F909" s="11" t="n">
        <v>18</v>
      </c>
      <c r="G909" s="11" t="inlineStr">
        <is>
          <t>2. Las cantidades en química</t>
        </is>
      </c>
      <c r="H909" s="11" t="inlineStr">
        <is>
          <t>Leyes de la combinación química</t>
        </is>
      </c>
      <c r="I909" s="38" t="inlineStr">
        <is>
          <t>2.2. Explicación de las leyes ponderales a partir de los postulados de la teoría atómica de Dalton y análisis de sus limitaciones.</t>
        </is>
      </c>
      <c r="J909" s="11" t="inlineStr">
        <is>
          <t>Sin marco</t>
        </is>
      </c>
      <c r="K909" s="11" t="inlineStr">
        <is>
          <t>N/A</t>
        </is>
      </c>
      <c r="L909" s="11" t="inlineStr"/>
      <c r="M909" s="11">
        <f>IF(K909="FUERA","Fuera del marco",IF(K909="N/A","Sin marco",IFERROR(INDEX('Datos - Catálogo TIMSS'!$C$5:$C$107,MATCH(K909,'Datos - Catálogo TIMSS'!$A$5:$A$107,0)),"Pendiente de clasificar")))</f>
        <v/>
      </c>
      <c r="N909" s="11">
        <f>IF(K909="FUERA","Fuera del marco",IF(K909="N/A","Sin marco",IFERROR(INDEX('Datos - Catálogo TIMSS'!$F$5:$F$107,MATCH(K909,'Datos - Catálogo TIMSS'!$A$5:$A$107,0)),"Pendiente de clasificar")))</f>
        <v/>
      </c>
      <c r="O909" s="11">
        <f>IF(L909="","",IFERROR(INDEX('Datos - Catálogo TIMSS'!$C$5:$C$107,MATCH(L909,'Datos - Catálogo TIMSS'!$A$5:$A$107,0)),"?"))</f>
        <v/>
      </c>
      <c r="P909" s="11" t="inlineStr">
        <is>
          <t>N/A</t>
        </is>
      </c>
      <c r="Q909" s="38" t="inlineStr">
        <is>
          <t>Sin marco TIMSS de contenido para esta asignatura en Bachillerato</t>
        </is>
      </c>
      <c r="R909" s="38" t="inlineStr">
        <is>
          <t>Conocer: enunciar postulados. Razonar: explicar leyes con un modelo y evaluar sus límites</t>
        </is>
      </c>
      <c r="S909" s="39">
        <f>IFERROR(ISNUMBER(SEARCH("Conocer",$R909))/(ISNUMBER(SEARCH("Conocer",$R909))+ISNUMBER(SEARCH("Aplicar",$R909))+ISNUMBER(SEARCH("Razonar",$R909))),0)</f>
        <v/>
      </c>
      <c r="T909" s="39">
        <f>IFERROR(ISNUMBER(SEARCH("Aplicar",$R909))/(ISNUMBER(SEARCH("Conocer",$R909))+ISNUMBER(SEARCH("Aplicar",$R909))+ISNUMBER(SEARCH("Razonar",$R909))),0)</f>
        <v/>
      </c>
      <c r="U909" s="39">
        <f>IFERROR(ISNUMBER(SEARCH("Razonar",$R909))/(ISNUMBER(SEARCH("Conocer",$R909))+ISNUMBER(SEARCH("Aplicar",$R909))+ISNUMBER(SEARCH("Razonar",$R909))),0)</f>
        <v/>
      </c>
      <c r="V909" s="11" t="inlineStr">
        <is>
          <t>Química 10°</t>
        </is>
      </c>
      <c r="W909" s="11" t="inlineStr">
        <is>
          <t>Química 10°–11°</t>
        </is>
      </c>
      <c r="X909" s="11">
        <f>IF(OR(IFERROR(INDEX('Datos - Catálogo TIMSS'!$I$5:$I$107,MATCH(K909,'Datos - Catálogo TIMSS'!$A$5:$A$107,0)),"No")="Sí",IFERROR(INDEX('Datos - Catálogo TIMSS'!$I$5:$I$107,MATCH(L909,'Datos - Catálogo TIMSS'!$A$5:$A$107,0)),"No")="Sí"),1,0)</f>
        <v/>
      </c>
      <c r="Y909" s="11">
        <f>IF(IFERROR(INDEX('Datos - Catálogo TIMSS'!$J$5:$J$107,MATCH(K909,'Datos - Catálogo TIMSS'!$A$5:$A$107,0)),"No")="Sí",1,0)</f>
        <v/>
      </c>
      <c r="Z909" s="11">
        <f>IF(IFERROR(INDEX('Datos - Catálogo TIMSS'!$J$5:$J$107,MATCH(L909,'Datos - Catálogo TIMSS'!$A$5:$A$107,0)),"No")="Sí",1,0)</f>
        <v/>
      </c>
      <c r="AA909" s="11" t="inlineStr">
        <is>
          <t>N/A</t>
        </is>
      </c>
      <c r="AB909" s="11" t="inlineStr"/>
      <c r="AC909" s="11">
        <f>IF(AA909="FUERA","Fuera del marco",IF(AA909="N/A","Sin marco",IFERROR(INDEX('Datos - TIMSS 2023'!$C$5:$C$105,MATCH(AA909,'Datos - TIMSS 2023'!$A$5:$A$105,0)),"Pendiente de clasificar")))</f>
        <v/>
      </c>
      <c r="AD909" s="11" t="inlineStr">
        <is>
          <t>1. Explicar fenómenos científicamente</t>
        </is>
      </c>
      <c r="AE909" s="11">
        <f>IF(AD909="","",IF(LEFT(AD909,1)="1","C1",IF(LEFT(AD909,1)="2","C2",IF(LEFT(AD909,1)="3","C3",""))))</f>
        <v/>
      </c>
      <c r="AF909" s="11" t="inlineStr">
        <is>
          <t>E1</t>
        </is>
      </c>
      <c r="AG909" s="11" t="inlineStr">
        <is>
          <t>E3</t>
        </is>
      </c>
      <c r="AH909" s="11" t="inlineStr">
        <is>
          <t>E4</t>
        </is>
      </c>
      <c r="AI909" s="11" t="inlineStr">
        <is>
          <t>I2</t>
        </is>
      </c>
      <c r="AJ909" s="11" t="inlineStr">
        <is>
          <t>I4</t>
        </is>
      </c>
      <c r="AK909" s="11" t="n"/>
      <c r="AL909" s="11" t="n"/>
      <c r="AM909" s="11" t="n"/>
      <c r="AN909" s="11" t="n"/>
      <c r="AO909" s="11" t="n"/>
      <c r="AP909" s="11" t="n"/>
      <c r="AQ909" s="11" t="n"/>
      <c r="AR909" s="11" t="n"/>
      <c r="AS909" s="11" t="n"/>
      <c r="AT909" s="11" t="n"/>
      <c r="AU909" s="11" t="n"/>
      <c r="AV909" s="11" t="n"/>
      <c r="AW909" s="11">
        <f>AF909&amp;"; "&amp;AG909&amp;"; "&amp;AH909&amp;"; "&amp;AI909&amp;"; "&amp;AJ909</f>
        <v/>
      </c>
    </row>
    <row r="910">
      <c r="A910" s="11" t="inlineStr">
        <is>
          <t>T0446-G10-QUÍ</t>
        </is>
      </c>
      <c r="B910" s="11" t="n">
        <v>10</v>
      </c>
      <c r="C910" s="11" t="inlineStr">
        <is>
          <t>Química</t>
        </is>
      </c>
      <c r="D910" s="11" t="inlineStr">
        <is>
          <t>Matriz_Bachillerato_Quimica_10_11.xlsx</t>
        </is>
      </c>
      <c r="E910" s="11" t="inlineStr">
        <is>
          <t>Química 10.°</t>
        </is>
      </c>
      <c r="F910" s="11" t="n">
        <v>19</v>
      </c>
      <c r="G910" s="11" t="inlineStr">
        <is>
          <t>2. Las cantidades en química</t>
        </is>
      </c>
      <c r="H910" s="11" t="inlineStr">
        <is>
          <t>Leyes de la combinación química</t>
        </is>
      </c>
      <c r="I910" s="38" t="inlineStr">
        <is>
          <t>2.3. Interpretación de la ley de los volúmenes de combinación y de la hipótesis de Avogadro como complemento de la teoría atómica.</t>
        </is>
      </c>
      <c r="J910" s="11" t="inlineStr">
        <is>
          <t>Sin marco</t>
        </is>
      </c>
      <c r="K910" s="11" t="inlineStr">
        <is>
          <t>N/A</t>
        </is>
      </c>
      <c r="L910" s="11" t="inlineStr"/>
      <c r="M910" s="11">
        <f>IF(K910="FUERA","Fuera del marco",IF(K910="N/A","Sin marco",IFERROR(INDEX('Datos - Catálogo TIMSS'!$C$5:$C$107,MATCH(K910,'Datos - Catálogo TIMSS'!$A$5:$A$107,0)),"Pendiente de clasificar")))</f>
        <v/>
      </c>
      <c r="N910" s="11">
        <f>IF(K910="FUERA","Fuera del marco",IF(K910="N/A","Sin marco",IFERROR(INDEX('Datos - Catálogo TIMSS'!$F$5:$F$107,MATCH(K910,'Datos - Catálogo TIMSS'!$A$5:$A$107,0)),"Pendiente de clasificar")))</f>
        <v/>
      </c>
      <c r="O910" s="11">
        <f>IF(L910="","",IFERROR(INDEX('Datos - Catálogo TIMSS'!$C$5:$C$107,MATCH(L910,'Datos - Catálogo TIMSS'!$A$5:$A$107,0)),"?"))</f>
        <v/>
      </c>
      <c r="P910" s="11" t="inlineStr">
        <is>
          <t>N/A</t>
        </is>
      </c>
      <c r="Q910" s="38" t="inlineStr">
        <is>
          <t>Sin marco TIMSS de contenido para esta asignatura en Bachillerato</t>
        </is>
      </c>
      <c r="R910" s="38" t="inlineStr">
        <is>
          <t>Aplicar: relacionar volúmenes y fórmulas. Razonar: explicar con la hipótesis de Avogadro</t>
        </is>
      </c>
      <c r="S910" s="39">
        <f>IFERROR(ISNUMBER(SEARCH("Conocer",$R910))/(ISNUMBER(SEARCH("Conocer",$R910))+ISNUMBER(SEARCH("Aplicar",$R910))+ISNUMBER(SEARCH("Razonar",$R910))),0)</f>
        <v/>
      </c>
      <c r="T910" s="39">
        <f>IFERROR(ISNUMBER(SEARCH("Aplicar",$R910))/(ISNUMBER(SEARCH("Conocer",$R910))+ISNUMBER(SEARCH("Aplicar",$R910))+ISNUMBER(SEARCH("Razonar",$R910))),0)</f>
        <v/>
      </c>
      <c r="U910" s="39">
        <f>IFERROR(ISNUMBER(SEARCH("Razonar",$R910))/(ISNUMBER(SEARCH("Conocer",$R910))+ISNUMBER(SEARCH("Aplicar",$R910))+ISNUMBER(SEARCH("Razonar",$R910))),0)</f>
        <v/>
      </c>
      <c r="V910" s="11" t="inlineStr">
        <is>
          <t>Química 10°</t>
        </is>
      </c>
      <c r="W910" s="11" t="inlineStr">
        <is>
          <t>Química 10°–11°</t>
        </is>
      </c>
      <c r="X910" s="11">
        <f>IF(OR(IFERROR(INDEX('Datos - Catálogo TIMSS'!$I$5:$I$107,MATCH(K910,'Datos - Catálogo TIMSS'!$A$5:$A$107,0)),"No")="Sí",IFERROR(INDEX('Datos - Catálogo TIMSS'!$I$5:$I$107,MATCH(L910,'Datos - Catálogo TIMSS'!$A$5:$A$107,0)),"No")="Sí"),1,0)</f>
        <v/>
      </c>
      <c r="Y910" s="11">
        <f>IF(IFERROR(INDEX('Datos - Catálogo TIMSS'!$J$5:$J$107,MATCH(K910,'Datos - Catálogo TIMSS'!$A$5:$A$107,0)),"No")="Sí",1,0)</f>
        <v/>
      </c>
      <c r="Z910" s="11">
        <f>IF(IFERROR(INDEX('Datos - Catálogo TIMSS'!$J$5:$J$107,MATCH(L910,'Datos - Catálogo TIMSS'!$A$5:$A$107,0)),"No")="Sí",1,0)</f>
        <v/>
      </c>
      <c r="AA910" s="11" t="inlineStr">
        <is>
          <t>N/A</t>
        </is>
      </c>
      <c r="AB910" s="11" t="inlineStr"/>
      <c r="AC910" s="11">
        <f>IF(AA910="FUERA","Fuera del marco",IF(AA910="N/A","Sin marco",IFERROR(INDEX('Datos - TIMSS 2023'!$C$5:$C$105,MATCH(AA910,'Datos - TIMSS 2023'!$A$5:$A$105,0)),"Pendiente de clasificar")))</f>
        <v/>
      </c>
      <c r="AD910" s="11" t="inlineStr">
        <is>
          <t>1. Explicar fenómenos científicamente</t>
        </is>
      </c>
      <c r="AE910" s="11">
        <f>IF(AD910="","",IF(LEFT(AD910,1)="1","C1",IF(LEFT(AD910,1)="2","C2",IF(LEFT(AD910,1)="3","C3",""))))</f>
        <v/>
      </c>
      <c r="AF910" s="11" t="inlineStr">
        <is>
          <t>E6</t>
        </is>
      </c>
      <c r="AG910" s="11" t="inlineStr">
        <is>
          <t>E5</t>
        </is>
      </c>
      <c r="AH910" s="11" t="inlineStr">
        <is>
          <t>E4</t>
        </is>
      </c>
      <c r="AI910" s="11" t="inlineStr">
        <is>
          <t>D4</t>
        </is>
      </c>
      <c r="AJ910" s="11" t="inlineStr">
        <is>
          <t>E3</t>
        </is>
      </c>
      <c r="AK910" s="11" t="n"/>
      <c r="AL910" s="11" t="n"/>
      <c r="AM910" s="11" t="n"/>
      <c r="AN910" s="11" t="n"/>
      <c r="AO910" s="11" t="n"/>
      <c r="AP910" s="11" t="n"/>
      <c r="AQ910" s="11" t="n"/>
      <c r="AR910" s="11" t="n"/>
      <c r="AS910" s="11" t="n"/>
      <c r="AT910" s="11" t="n"/>
      <c r="AU910" s="11" t="n"/>
      <c r="AV910" s="11" t="n"/>
      <c r="AW910" s="11">
        <f>AF910&amp;"; "&amp;AG910&amp;"; "&amp;AH910&amp;"; "&amp;AI910&amp;"; "&amp;AJ910</f>
        <v/>
      </c>
    </row>
    <row r="911">
      <c r="A911" s="11" t="inlineStr">
        <is>
          <t>T0447-G10-QUÍ</t>
        </is>
      </c>
      <c r="B911" s="11" t="n">
        <v>10</v>
      </c>
      <c r="C911" s="11" t="inlineStr">
        <is>
          <t>Química</t>
        </is>
      </c>
      <c r="D911" s="11" t="inlineStr">
        <is>
          <t>Matriz_Bachillerato_Quimica_10_11.xlsx</t>
        </is>
      </c>
      <c r="E911" s="11" t="inlineStr">
        <is>
          <t>Química 10.°</t>
        </is>
      </c>
      <c r="F911" s="11" t="n">
        <v>20</v>
      </c>
      <c r="G911" s="11" t="inlineStr">
        <is>
          <t>2. Las cantidades en química</t>
        </is>
      </c>
      <c r="H911" s="11" t="inlineStr">
        <is>
          <t>La cantidad de sustancia</t>
        </is>
      </c>
      <c r="I911" s="38" t="inlineStr">
        <is>
          <t>2.4. Resolución de problemas que relacionan masa, cantidad de sustancia y número de partículas en muestras reales.</t>
        </is>
      </c>
      <c r="J911" s="11" t="inlineStr">
        <is>
          <t>Sin marco</t>
        </is>
      </c>
      <c r="K911" s="11" t="inlineStr">
        <is>
          <t>N/A</t>
        </is>
      </c>
      <c r="L911" s="11" t="inlineStr"/>
      <c r="M911" s="11">
        <f>IF(K911="FUERA","Fuera del marco",IF(K911="N/A","Sin marco",IFERROR(INDEX('Datos - Catálogo TIMSS'!$C$5:$C$107,MATCH(K911,'Datos - Catálogo TIMSS'!$A$5:$A$107,0)),"Pendiente de clasificar")))</f>
        <v/>
      </c>
      <c r="N911" s="11">
        <f>IF(K911="FUERA","Fuera del marco",IF(K911="N/A","Sin marco",IFERROR(INDEX('Datos - Catálogo TIMSS'!$F$5:$F$107,MATCH(K911,'Datos - Catálogo TIMSS'!$A$5:$A$107,0)),"Pendiente de clasificar")))</f>
        <v/>
      </c>
      <c r="O911" s="11">
        <f>IF(L911="","",IFERROR(INDEX('Datos - Catálogo TIMSS'!$C$5:$C$107,MATCH(L911,'Datos - Catálogo TIMSS'!$A$5:$A$107,0)),"?"))</f>
        <v/>
      </c>
      <c r="P911" s="11" t="inlineStr">
        <is>
          <t>N/A</t>
        </is>
      </c>
      <c r="Q911" s="38" t="inlineStr">
        <is>
          <t>Sin marco TIMSS de contenido para esta asignatura en Bachillerato</t>
        </is>
      </c>
      <c r="R911" s="38" t="inlineStr">
        <is>
          <t>Aplicar: convertir entre masa, moles y partículas. Razonar: comparar cantidades</t>
        </is>
      </c>
      <c r="S911" s="39">
        <f>IFERROR(ISNUMBER(SEARCH("Conocer",$R911))/(ISNUMBER(SEARCH("Conocer",$R911))+ISNUMBER(SEARCH("Aplicar",$R911))+ISNUMBER(SEARCH("Razonar",$R911))),0)</f>
        <v/>
      </c>
      <c r="T911" s="39">
        <f>IFERROR(ISNUMBER(SEARCH("Aplicar",$R911))/(ISNUMBER(SEARCH("Conocer",$R911))+ISNUMBER(SEARCH("Aplicar",$R911))+ISNUMBER(SEARCH("Razonar",$R911))),0)</f>
        <v/>
      </c>
      <c r="U911" s="39">
        <f>IFERROR(ISNUMBER(SEARCH("Razonar",$R911))/(ISNUMBER(SEARCH("Conocer",$R911))+ISNUMBER(SEARCH("Aplicar",$R911))+ISNUMBER(SEARCH("Razonar",$R911))),0)</f>
        <v/>
      </c>
      <c r="V911" s="11" t="inlineStr">
        <is>
          <t>Química 10°</t>
        </is>
      </c>
      <c r="W911" s="11" t="inlineStr">
        <is>
          <t>Química 10°–11°</t>
        </is>
      </c>
      <c r="X911" s="11">
        <f>IF(OR(IFERROR(INDEX('Datos - Catálogo TIMSS'!$I$5:$I$107,MATCH(K911,'Datos - Catálogo TIMSS'!$A$5:$A$107,0)),"No")="Sí",IFERROR(INDEX('Datos - Catálogo TIMSS'!$I$5:$I$107,MATCH(L911,'Datos - Catálogo TIMSS'!$A$5:$A$107,0)),"No")="Sí"),1,0)</f>
        <v/>
      </c>
      <c r="Y911" s="11">
        <f>IF(IFERROR(INDEX('Datos - Catálogo TIMSS'!$J$5:$J$107,MATCH(K911,'Datos - Catálogo TIMSS'!$A$5:$A$107,0)),"No")="Sí",1,0)</f>
        <v/>
      </c>
      <c r="Z911" s="11">
        <f>IF(IFERROR(INDEX('Datos - Catálogo TIMSS'!$J$5:$J$107,MATCH(L911,'Datos - Catálogo TIMSS'!$A$5:$A$107,0)),"No")="Sí",1,0)</f>
        <v/>
      </c>
      <c r="AA911" s="11" t="inlineStr">
        <is>
          <t>N/A</t>
        </is>
      </c>
      <c r="AB911" s="11" t="inlineStr"/>
      <c r="AC911" s="11">
        <f>IF(AA911="FUERA","Fuera del marco",IF(AA911="N/A","Sin marco",IFERROR(INDEX('Datos - TIMSS 2023'!$C$5:$C$105,MATCH(AA911,'Datos - TIMSS 2023'!$A$5:$A$105,0)),"Pendiente de clasificar")))</f>
        <v/>
      </c>
      <c r="AD911" s="11" t="inlineStr">
        <is>
          <t>1. Explicar fenómenos científicamente</t>
        </is>
      </c>
      <c r="AE911" s="11">
        <f>IF(AD911="","",IF(LEFT(AD911,1)="1","C1",IF(LEFT(AD911,1)="2","C2",IF(LEFT(AD911,1)="3","C3",""))))</f>
        <v/>
      </c>
      <c r="AF911" s="11" t="inlineStr">
        <is>
          <t>E1</t>
        </is>
      </c>
      <c r="AG911" s="11" t="inlineStr">
        <is>
          <t>E3</t>
        </is>
      </c>
      <c r="AH911" s="11" t="inlineStr">
        <is>
          <t>E2</t>
        </is>
      </c>
      <c r="AI911" s="11" t="inlineStr">
        <is>
          <t>D4</t>
        </is>
      </c>
      <c r="AJ911" s="11" t="inlineStr">
        <is>
          <t>E3</t>
        </is>
      </c>
      <c r="AK911" s="11" t="n"/>
      <c r="AL911" s="11" t="n"/>
      <c r="AM911" s="11" t="n"/>
      <c r="AN911" s="11" t="n"/>
      <c r="AO911" s="11" t="n"/>
      <c r="AP911" s="11" t="n"/>
      <c r="AQ911" s="11" t="n"/>
      <c r="AR911" s="11" t="n"/>
      <c r="AS911" s="11" t="n"/>
      <c r="AT911" s="11" t="n"/>
      <c r="AU911" s="11" t="n"/>
      <c r="AV911" s="11" t="n"/>
      <c r="AW911" s="11">
        <f>AF911&amp;"; "&amp;AG911&amp;"; "&amp;AH911&amp;"; "&amp;AI911&amp;"; "&amp;AJ911</f>
        <v/>
      </c>
    </row>
    <row r="912">
      <c r="A912" s="11" t="inlineStr">
        <is>
          <t>T0448-G10-QUÍ</t>
        </is>
      </c>
      <c r="B912" s="11" t="n">
        <v>10</v>
      </c>
      <c r="C912" s="11" t="inlineStr">
        <is>
          <t>Química</t>
        </is>
      </c>
      <c r="D912" s="11" t="inlineStr">
        <is>
          <t>Matriz_Bachillerato_Quimica_10_11.xlsx</t>
        </is>
      </c>
      <c r="E912" s="11" t="inlineStr">
        <is>
          <t>Química 10.°</t>
        </is>
      </c>
      <c r="F912" s="11" t="n">
        <v>21</v>
      </c>
      <c r="G912" s="11" t="inlineStr">
        <is>
          <t>2. Las cantidades en química</t>
        </is>
      </c>
      <c r="H912" s="11" t="inlineStr">
        <is>
          <t>La cantidad de sustancia</t>
        </is>
      </c>
      <c r="I912" s="38" t="inlineStr">
        <is>
          <t>2.5. Cálculo de la composición centesimal, la fórmula empírica y la fórmula molecular de compuestos a partir de datos experimentales.</t>
        </is>
      </c>
      <c r="J912" s="11" t="inlineStr">
        <is>
          <t>Sin marco</t>
        </is>
      </c>
      <c r="K912" s="11" t="inlineStr">
        <is>
          <t>N/A</t>
        </is>
      </c>
      <c r="L912" s="11" t="inlineStr"/>
      <c r="M912" s="11">
        <f>IF(K912="FUERA","Fuera del marco",IF(K912="N/A","Sin marco",IFERROR(INDEX('Datos - Catálogo TIMSS'!$C$5:$C$107,MATCH(K912,'Datos - Catálogo TIMSS'!$A$5:$A$107,0)),"Pendiente de clasificar")))</f>
        <v/>
      </c>
      <c r="N912" s="11">
        <f>IF(K912="FUERA","Fuera del marco",IF(K912="N/A","Sin marco",IFERROR(INDEX('Datos - Catálogo TIMSS'!$F$5:$F$107,MATCH(K912,'Datos - Catálogo TIMSS'!$A$5:$A$107,0)),"Pendiente de clasificar")))</f>
        <v/>
      </c>
      <c r="O912" s="11">
        <f>IF(L912="","",IFERROR(INDEX('Datos - Catálogo TIMSS'!$C$5:$C$107,MATCH(L912,'Datos - Catálogo TIMSS'!$A$5:$A$107,0)),"?"))</f>
        <v/>
      </c>
      <c r="P912" s="11" t="inlineStr">
        <is>
          <t>N/A</t>
        </is>
      </c>
      <c r="Q912" s="38" t="inlineStr">
        <is>
          <t>Sin marco TIMSS de contenido para esta asignatura en Bachillerato</t>
        </is>
      </c>
      <c r="R912" s="38" t="inlineStr">
        <is>
          <t>Aplicar: calcular composición y fórmulas. Razonar: comparar compuestos con datos</t>
        </is>
      </c>
      <c r="S912" s="39">
        <f>IFERROR(ISNUMBER(SEARCH("Conocer",$R912))/(ISNUMBER(SEARCH("Conocer",$R912))+ISNUMBER(SEARCH("Aplicar",$R912))+ISNUMBER(SEARCH("Razonar",$R912))),0)</f>
        <v/>
      </c>
      <c r="T912" s="39">
        <f>IFERROR(ISNUMBER(SEARCH("Aplicar",$R912))/(ISNUMBER(SEARCH("Conocer",$R912))+ISNUMBER(SEARCH("Aplicar",$R912))+ISNUMBER(SEARCH("Razonar",$R912))),0)</f>
        <v/>
      </c>
      <c r="U912" s="39">
        <f>IFERROR(ISNUMBER(SEARCH("Razonar",$R912))/(ISNUMBER(SEARCH("Conocer",$R912))+ISNUMBER(SEARCH("Aplicar",$R912))+ISNUMBER(SEARCH("Razonar",$R912))),0)</f>
        <v/>
      </c>
      <c r="V912" s="11" t="inlineStr">
        <is>
          <t>Química 10°</t>
        </is>
      </c>
      <c r="W912" s="11" t="inlineStr">
        <is>
          <t>Química 10°–11°</t>
        </is>
      </c>
      <c r="X912" s="11">
        <f>IF(OR(IFERROR(INDEX('Datos - Catálogo TIMSS'!$I$5:$I$107,MATCH(K912,'Datos - Catálogo TIMSS'!$A$5:$A$107,0)),"No")="Sí",IFERROR(INDEX('Datos - Catálogo TIMSS'!$I$5:$I$107,MATCH(L912,'Datos - Catálogo TIMSS'!$A$5:$A$107,0)),"No")="Sí"),1,0)</f>
        <v/>
      </c>
      <c r="Y912" s="11">
        <f>IF(IFERROR(INDEX('Datos - Catálogo TIMSS'!$J$5:$J$107,MATCH(K912,'Datos - Catálogo TIMSS'!$A$5:$A$107,0)),"No")="Sí",1,0)</f>
        <v/>
      </c>
      <c r="Z912" s="11">
        <f>IF(IFERROR(INDEX('Datos - Catálogo TIMSS'!$J$5:$J$107,MATCH(L912,'Datos - Catálogo TIMSS'!$A$5:$A$107,0)),"No")="Sí",1,0)</f>
        <v/>
      </c>
      <c r="AA912" s="11" t="inlineStr">
        <is>
          <t>N/A</t>
        </is>
      </c>
      <c r="AB912" s="11" t="inlineStr"/>
      <c r="AC912" s="11">
        <f>IF(AA912="FUERA","Fuera del marco",IF(AA912="N/A","Sin marco",IFERROR(INDEX('Datos - TIMSS 2023'!$C$5:$C$105,MATCH(AA912,'Datos - TIMSS 2023'!$A$5:$A$105,0)),"Pendiente de clasificar")))</f>
        <v/>
      </c>
      <c r="AD912" s="11" t="inlineStr">
        <is>
          <t>1. Explicar fenómenos científicamente</t>
        </is>
      </c>
      <c r="AE912" s="11">
        <f>IF(AD912="","",IF(LEFT(AD912,1)="1","C1",IF(LEFT(AD912,1)="2","C2",IF(LEFT(AD912,1)="3","C3",""))))</f>
        <v/>
      </c>
      <c r="AF912" s="11" t="inlineStr">
        <is>
          <t>E1</t>
        </is>
      </c>
      <c r="AG912" s="11" t="inlineStr">
        <is>
          <t>E3</t>
        </is>
      </c>
      <c r="AH912" s="11" t="inlineStr">
        <is>
          <t>E2</t>
        </is>
      </c>
      <c r="AI912" s="11" t="inlineStr">
        <is>
          <t>D4</t>
        </is>
      </c>
      <c r="AJ912" s="11" t="inlineStr">
        <is>
          <t>I5</t>
        </is>
      </c>
      <c r="AK912" s="11" t="n"/>
      <c r="AL912" s="11" t="n"/>
      <c r="AM912" s="11" t="n"/>
      <c r="AN912" s="11" t="n"/>
      <c r="AO912" s="11" t="n"/>
      <c r="AP912" s="11" t="n"/>
      <c r="AQ912" s="11" t="n"/>
      <c r="AR912" s="11" t="n"/>
      <c r="AS912" s="11" t="n"/>
      <c r="AT912" s="11" t="n"/>
      <c r="AU912" s="11" t="n"/>
      <c r="AV912" s="11" t="n"/>
      <c r="AW912" s="11">
        <f>AF912&amp;"; "&amp;AG912&amp;"; "&amp;AH912&amp;"; "&amp;AI912&amp;"; "&amp;AJ912</f>
        <v/>
      </c>
    </row>
    <row r="913">
      <c r="A913" s="11" t="inlineStr">
        <is>
          <t>T0449-G10-QUÍ</t>
        </is>
      </c>
      <c r="B913" s="11" t="n">
        <v>10</v>
      </c>
      <c r="C913" s="11" t="inlineStr">
        <is>
          <t>Química</t>
        </is>
      </c>
      <c r="D913" s="11" t="inlineStr">
        <is>
          <t>Matriz_Bachillerato_Quimica_10_11.xlsx</t>
        </is>
      </c>
      <c r="E913" s="11" t="inlineStr">
        <is>
          <t>Química 10.°</t>
        </is>
      </c>
      <c r="F913" s="11" t="n">
        <v>22</v>
      </c>
      <c r="G913" s="11" t="inlineStr">
        <is>
          <t>2. Las cantidades en química</t>
        </is>
      </c>
      <c r="H913" s="11" t="inlineStr">
        <is>
          <t>La cantidad de sustancia</t>
        </is>
      </c>
      <c r="I913" s="38" t="inlineStr">
        <is>
          <t>2.6. Determinación de la fórmula de compuestos orgánicos a partir de datos de análisis elemental y reconocimiento de isómeros.</t>
        </is>
      </c>
      <c r="J913" s="11" t="inlineStr">
        <is>
          <t>Sin marco</t>
        </is>
      </c>
      <c r="K913" s="11" t="inlineStr">
        <is>
          <t>N/A</t>
        </is>
      </c>
      <c r="L913" s="11" t="inlineStr"/>
      <c r="M913" s="11">
        <f>IF(K913="FUERA","Fuera del marco",IF(K913="N/A","Sin marco",IFERROR(INDEX('Datos - Catálogo TIMSS'!$C$5:$C$107,MATCH(K913,'Datos - Catálogo TIMSS'!$A$5:$A$107,0)),"Pendiente de clasificar")))</f>
        <v/>
      </c>
      <c r="N913" s="11">
        <f>IF(K913="FUERA","Fuera del marco",IF(K913="N/A","Sin marco",IFERROR(INDEX('Datos - Catálogo TIMSS'!$F$5:$F$107,MATCH(K913,'Datos - Catálogo TIMSS'!$A$5:$A$107,0)),"Pendiente de clasificar")))</f>
        <v/>
      </c>
      <c r="O913" s="11">
        <f>IF(L913="","",IFERROR(INDEX('Datos - Catálogo TIMSS'!$C$5:$C$107,MATCH(L913,'Datos - Catálogo TIMSS'!$A$5:$A$107,0)),"?"))</f>
        <v/>
      </c>
      <c r="P913" s="11" t="inlineStr">
        <is>
          <t>N/A</t>
        </is>
      </c>
      <c r="Q913" s="38" t="inlineStr">
        <is>
          <t>Sin marco TIMSS de contenido para esta asignatura en Bachillerato</t>
        </is>
      </c>
      <c r="R913" s="38" t="inlineStr">
        <is>
          <t>Aplicar: calcular fórmulas a partir de datos analíticos. Razonar: distinguir isómeros con evidencia</t>
        </is>
      </c>
      <c r="S913" s="39">
        <f>IFERROR(ISNUMBER(SEARCH("Conocer",$R913))/(ISNUMBER(SEARCH("Conocer",$R913))+ISNUMBER(SEARCH("Aplicar",$R913))+ISNUMBER(SEARCH("Razonar",$R913))),0)</f>
        <v/>
      </c>
      <c r="T913" s="39">
        <f>IFERROR(ISNUMBER(SEARCH("Aplicar",$R913))/(ISNUMBER(SEARCH("Conocer",$R913))+ISNUMBER(SEARCH("Aplicar",$R913))+ISNUMBER(SEARCH("Razonar",$R913))),0)</f>
        <v/>
      </c>
      <c r="U913" s="39">
        <f>IFERROR(ISNUMBER(SEARCH("Razonar",$R913))/(ISNUMBER(SEARCH("Conocer",$R913))+ISNUMBER(SEARCH("Aplicar",$R913))+ISNUMBER(SEARCH("Razonar",$R913))),0)</f>
        <v/>
      </c>
      <c r="V913" s="11" t="inlineStr">
        <is>
          <t>Química 10°</t>
        </is>
      </c>
      <c r="W913" s="11" t="inlineStr">
        <is>
          <t>Química 10°–11°</t>
        </is>
      </c>
      <c r="X913" s="11">
        <f>IF(OR(IFERROR(INDEX('Datos - Catálogo TIMSS'!$I$5:$I$107,MATCH(K913,'Datos - Catálogo TIMSS'!$A$5:$A$107,0)),"No")="Sí",IFERROR(INDEX('Datos - Catálogo TIMSS'!$I$5:$I$107,MATCH(L913,'Datos - Catálogo TIMSS'!$A$5:$A$107,0)),"No")="Sí"),1,0)</f>
        <v/>
      </c>
      <c r="Y913" s="11">
        <f>IF(IFERROR(INDEX('Datos - Catálogo TIMSS'!$J$5:$J$107,MATCH(K913,'Datos - Catálogo TIMSS'!$A$5:$A$107,0)),"No")="Sí",1,0)</f>
        <v/>
      </c>
      <c r="Z913" s="11">
        <f>IF(IFERROR(INDEX('Datos - Catálogo TIMSS'!$J$5:$J$107,MATCH(L913,'Datos - Catálogo TIMSS'!$A$5:$A$107,0)),"No")="Sí",1,0)</f>
        <v/>
      </c>
      <c r="AA913" s="11" t="inlineStr">
        <is>
          <t>N/A</t>
        </is>
      </c>
      <c r="AB913" s="11" t="inlineStr"/>
      <c r="AC913" s="11">
        <f>IF(AA913="FUERA","Fuera del marco",IF(AA913="N/A","Sin marco",IFERROR(INDEX('Datos - TIMSS 2023'!$C$5:$C$105,MATCH(AA913,'Datos - TIMSS 2023'!$A$5:$A$105,0)),"Pendiente de clasificar")))</f>
        <v/>
      </c>
      <c r="AD913" s="11" t="inlineStr">
        <is>
          <t>3. Investigar, evaluar y usar información científica para tomar decisiones y actuar</t>
        </is>
      </c>
      <c r="AE913" s="11">
        <f>IF(AD913="","",IF(LEFT(AD913,1)="1","C1",IF(LEFT(AD913,1)="2","C2",IF(LEFT(AD913,1)="3","C3",""))))</f>
        <v/>
      </c>
      <c r="AF913" s="11" t="inlineStr">
        <is>
          <t>E1</t>
        </is>
      </c>
      <c r="AG913" s="11" t="inlineStr">
        <is>
          <t>D1</t>
        </is>
      </c>
      <c r="AH913" s="11" t="inlineStr">
        <is>
          <t>E2</t>
        </is>
      </c>
      <c r="AI913" s="11" t="inlineStr">
        <is>
          <t>I1</t>
        </is>
      </c>
      <c r="AJ913" s="11" t="inlineStr">
        <is>
          <t>I2</t>
        </is>
      </c>
      <c r="AK913" s="11" t="n"/>
      <c r="AL913" s="11" t="n"/>
      <c r="AM913" s="11" t="n"/>
      <c r="AN913" s="11" t="n"/>
      <c r="AO913" s="11" t="n"/>
      <c r="AP913" s="11" t="n"/>
      <c r="AQ913" s="11" t="n"/>
      <c r="AR913" s="11" t="n"/>
      <c r="AS913" s="11" t="n"/>
      <c r="AT913" s="11" t="n"/>
      <c r="AU913" s="11" t="n"/>
      <c r="AV913" s="11" t="n"/>
      <c r="AW913" s="11">
        <f>AF913&amp;"; "&amp;AG913&amp;"; "&amp;AH913&amp;"; "&amp;AI913&amp;"; "&amp;AJ913</f>
        <v/>
      </c>
    </row>
    <row r="914">
      <c r="A914" s="11" t="inlineStr">
        <is>
          <t>T0450-G10-QUÍ</t>
        </is>
      </c>
      <c r="B914" s="11" t="n">
        <v>10</v>
      </c>
      <c r="C914" s="11" t="inlineStr">
        <is>
          <t>Química</t>
        </is>
      </c>
      <c r="D914" s="11" t="inlineStr">
        <is>
          <t>Matriz_Bachillerato_Quimica_10_11.xlsx</t>
        </is>
      </c>
      <c r="E914" s="11" t="inlineStr">
        <is>
          <t>Química 10.°</t>
        </is>
      </c>
      <c r="F914" s="11" t="n">
        <v>23</v>
      </c>
      <c r="G914" s="11" t="inlineStr">
        <is>
          <t>3. Modelos atómicos y estructura</t>
        </is>
      </c>
      <c r="H914" s="11" t="inlineStr">
        <is>
          <t>Evolución de los modelos atómicos</t>
        </is>
      </c>
      <c r="I914" s="38" t="inlineStr">
        <is>
          <t>3.1. Análisis de los experimentos con rayos catódicos que condujeron al descubrimiento del electrón y al modelo de Thomson.</t>
        </is>
      </c>
      <c r="J914" s="11" t="inlineStr">
        <is>
          <t>Sin marco</t>
        </is>
      </c>
      <c r="K914" s="11" t="inlineStr">
        <is>
          <t>N/A</t>
        </is>
      </c>
      <c r="L914" s="11" t="inlineStr"/>
      <c r="M914" s="11">
        <f>IF(K914="FUERA","Fuera del marco",IF(K914="N/A","Sin marco",IFERROR(INDEX('Datos - Catálogo TIMSS'!$C$5:$C$107,MATCH(K914,'Datos - Catálogo TIMSS'!$A$5:$A$107,0)),"Pendiente de clasificar")))</f>
        <v/>
      </c>
      <c r="N914" s="11">
        <f>IF(K914="FUERA","Fuera del marco",IF(K914="N/A","Sin marco",IFERROR(INDEX('Datos - Catálogo TIMSS'!$F$5:$F$107,MATCH(K914,'Datos - Catálogo TIMSS'!$A$5:$A$107,0)),"Pendiente de clasificar")))</f>
        <v/>
      </c>
      <c r="O914" s="11">
        <f>IF(L914="","",IFERROR(INDEX('Datos - Catálogo TIMSS'!$C$5:$C$107,MATCH(L914,'Datos - Catálogo TIMSS'!$A$5:$A$107,0)),"?"))</f>
        <v/>
      </c>
      <c r="P914" s="11" t="inlineStr">
        <is>
          <t>N/A</t>
        </is>
      </c>
      <c r="Q914" s="38" t="inlineStr">
        <is>
          <t>Sin marco TIMSS de contenido para esta asignatura en Bachillerato</t>
        </is>
      </c>
      <c r="R914" s="38" t="inlineStr">
        <is>
          <t>Conocer: describir experimentos históricos. Aplicar: calcular la masa del electrón. Razonar: interpretar evidencia</t>
        </is>
      </c>
      <c r="S914" s="39">
        <f>IFERROR(ISNUMBER(SEARCH("Conocer",$R914))/(ISNUMBER(SEARCH("Conocer",$R914))+ISNUMBER(SEARCH("Aplicar",$R914))+ISNUMBER(SEARCH("Razonar",$R914))),0)</f>
        <v/>
      </c>
      <c r="T914" s="39">
        <f>IFERROR(ISNUMBER(SEARCH("Aplicar",$R914))/(ISNUMBER(SEARCH("Conocer",$R914))+ISNUMBER(SEARCH("Aplicar",$R914))+ISNUMBER(SEARCH("Razonar",$R914))),0)</f>
        <v/>
      </c>
      <c r="U914" s="39">
        <f>IFERROR(ISNUMBER(SEARCH("Razonar",$R914))/(ISNUMBER(SEARCH("Conocer",$R914))+ISNUMBER(SEARCH("Aplicar",$R914))+ISNUMBER(SEARCH("Razonar",$R914))),0)</f>
        <v/>
      </c>
      <c r="V914" s="11" t="inlineStr">
        <is>
          <t>Química 10°</t>
        </is>
      </c>
      <c r="W914" s="11" t="inlineStr">
        <is>
          <t>Química 10°–11°</t>
        </is>
      </c>
      <c r="X914" s="11">
        <f>IF(OR(IFERROR(INDEX('Datos - Catálogo TIMSS'!$I$5:$I$107,MATCH(K914,'Datos - Catálogo TIMSS'!$A$5:$A$107,0)),"No")="Sí",IFERROR(INDEX('Datos - Catálogo TIMSS'!$I$5:$I$107,MATCH(L914,'Datos - Catálogo TIMSS'!$A$5:$A$107,0)),"No")="Sí"),1,0)</f>
        <v/>
      </c>
      <c r="Y914" s="11">
        <f>IF(IFERROR(INDEX('Datos - Catálogo TIMSS'!$J$5:$J$107,MATCH(K914,'Datos - Catálogo TIMSS'!$A$5:$A$107,0)),"No")="Sí",1,0)</f>
        <v/>
      </c>
      <c r="Z914" s="11">
        <f>IF(IFERROR(INDEX('Datos - Catálogo TIMSS'!$J$5:$J$107,MATCH(L914,'Datos - Catálogo TIMSS'!$A$5:$A$107,0)),"No")="Sí",1,0)</f>
        <v/>
      </c>
      <c r="AA914" s="11" t="inlineStr">
        <is>
          <t>N/A</t>
        </is>
      </c>
      <c r="AB914" s="11" t="inlineStr"/>
      <c r="AC914" s="11">
        <f>IF(AA914="FUERA","Fuera del marco",IF(AA914="N/A","Sin marco",IFERROR(INDEX('Datos - TIMSS 2023'!$C$5:$C$105,MATCH(AA914,'Datos - TIMSS 2023'!$A$5:$A$105,0)),"Pendiente de clasificar")))</f>
        <v/>
      </c>
      <c r="AD914" s="11" t="inlineStr">
        <is>
          <t>1. Explicar fenómenos científicamente</t>
        </is>
      </c>
      <c r="AE914" s="11">
        <f>IF(AD914="","",IF(LEFT(AD914,1)="1","C1",IF(LEFT(AD914,1)="2","C2",IF(LEFT(AD914,1)="3","C3",""))))</f>
        <v/>
      </c>
      <c r="AF914" s="11" t="inlineStr">
        <is>
          <t>E1</t>
        </is>
      </c>
      <c r="AG914" s="11" t="inlineStr">
        <is>
          <t>E5</t>
        </is>
      </c>
      <c r="AH914" s="11" t="inlineStr">
        <is>
          <t>E4</t>
        </is>
      </c>
      <c r="AI914" s="11" t="inlineStr">
        <is>
          <t>D4</t>
        </is>
      </c>
      <c r="AJ914" s="11" t="inlineStr">
        <is>
          <t>E3</t>
        </is>
      </c>
      <c r="AK914" s="11" t="n"/>
      <c r="AL914" s="11" t="n"/>
      <c r="AM914" s="11" t="n"/>
      <c r="AN914" s="11" t="n"/>
      <c r="AO914" s="11" t="n"/>
      <c r="AP914" s="11" t="n"/>
      <c r="AQ914" s="11" t="n"/>
      <c r="AR914" s="11" t="n"/>
      <c r="AS914" s="11" t="n"/>
      <c r="AT914" s="11" t="n"/>
      <c r="AU914" s="11" t="n"/>
      <c r="AV914" s="11" t="n"/>
      <c r="AW914" s="11">
        <f>AF914&amp;"; "&amp;AG914&amp;"; "&amp;AH914&amp;"; "&amp;AI914&amp;"; "&amp;AJ914</f>
        <v/>
      </c>
    </row>
    <row r="915">
      <c r="A915" s="11" t="inlineStr">
        <is>
          <t>T0451-G10-QUÍ</t>
        </is>
      </c>
      <c r="B915" s="11" t="n">
        <v>10</v>
      </c>
      <c r="C915" s="11" t="inlineStr">
        <is>
          <t>Química</t>
        </is>
      </c>
      <c r="D915" s="11" t="inlineStr">
        <is>
          <t>Matriz_Bachillerato_Quimica_10_11.xlsx</t>
        </is>
      </c>
      <c r="E915" s="11" t="inlineStr">
        <is>
          <t>Química 10.°</t>
        </is>
      </c>
      <c r="F915" s="11" t="n">
        <v>24</v>
      </c>
      <c r="G915" s="11" t="inlineStr">
        <is>
          <t>3. Modelos atómicos y estructura</t>
        </is>
      </c>
      <c r="H915" s="11" t="inlineStr">
        <is>
          <t>Evolución de los modelos atómicos</t>
        </is>
      </c>
      <c r="I915" s="38" t="inlineStr">
        <is>
          <t>3.2. Interpretación del experimento de Geiger y Marsden y de las propiedades de las radiaciones alfa, beta y gamma mediante un simulador.</t>
        </is>
      </c>
      <c r="J915" s="11" t="inlineStr">
        <is>
          <t>Sin marco</t>
        </is>
      </c>
      <c r="K915" s="11" t="inlineStr">
        <is>
          <t>N/A</t>
        </is>
      </c>
      <c r="L915" s="11" t="inlineStr"/>
      <c r="M915" s="11">
        <f>IF(K915="FUERA","Fuera del marco",IF(K915="N/A","Sin marco",IFERROR(INDEX('Datos - Catálogo TIMSS'!$C$5:$C$107,MATCH(K915,'Datos - Catálogo TIMSS'!$A$5:$A$107,0)),"Pendiente de clasificar")))</f>
        <v/>
      </c>
      <c r="N915" s="11">
        <f>IF(K915="FUERA","Fuera del marco",IF(K915="N/A","Sin marco",IFERROR(INDEX('Datos - Catálogo TIMSS'!$F$5:$F$107,MATCH(K915,'Datos - Catálogo TIMSS'!$A$5:$A$107,0)),"Pendiente de clasificar")))</f>
        <v/>
      </c>
      <c r="O915" s="11">
        <f>IF(L915="","",IFERROR(INDEX('Datos - Catálogo TIMSS'!$C$5:$C$107,MATCH(L915,'Datos - Catálogo TIMSS'!$A$5:$A$107,0)),"?"))</f>
        <v/>
      </c>
      <c r="P915" s="11" t="inlineStr">
        <is>
          <t>N/A</t>
        </is>
      </c>
      <c r="Q915" s="38" t="inlineStr">
        <is>
          <t>Sin marco TIMSS de contenido para esta asignatura en Bachillerato</t>
        </is>
      </c>
      <c r="R915" s="38" t="inlineStr">
        <is>
          <t>Aplicar: registrar y analizar datos simulados. Razonar: deducir la estructura nuclear</t>
        </is>
      </c>
      <c r="S915" s="39">
        <f>IFERROR(ISNUMBER(SEARCH("Conocer",$R915))/(ISNUMBER(SEARCH("Conocer",$R915))+ISNUMBER(SEARCH("Aplicar",$R915))+ISNUMBER(SEARCH("Razonar",$R915))),0)</f>
        <v/>
      </c>
      <c r="T915" s="39">
        <f>IFERROR(ISNUMBER(SEARCH("Aplicar",$R915))/(ISNUMBER(SEARCH("Conocer",$R915))+ISNUMBER(SEARCH("Aplicar",$R915))+ISNUMBER(SEARCH("Razonar",$R915))),0)</f>
        <v/>
      </c>
      <c r="U915" s="39">
        <f>IFERROR(ISNUMBER(SEARCH("Razonar",$R915))/(ISNUMBER(SEARCH("Conocer",$R915))+ISNUMBER(SEARCH("Aplicar",$R915))+ISNUMBER(SEARCH("Razonar",$R915))),0)</f>
        <v/>
      </c>
      <c r="V915" s="11" t="inlineStr">
        <is>
          <t>Química 10°</t>
        </is>
      </c>
      <c r="W915" s="11" t="inlineStr">
        <is>
          <t>Química 10°–11°</t>
        </is>
      </c>
      <c r="X915" s="11">
        <f>IF(OR(IFERROR(INDEX('Datos - Catálogo TIMSS'!$I$5:$I$107,MATCH(K915,'Datos - Catálogo TIMSS'!$A$5:$A$107,0)),"No")="Sí",IFERROR(INDEX('Datos - Catálogo TIMSS'!$I$5:$I$107,MATCH(L915,'Datos - Catálogo TIMSS'!$A$5:$A$107,0)),"No")="Sí"),1,0)</f>
        <v/>
      </c>
      <c r="Y915" s="11">
        <f>IF(IFERROR(INDEX('Datos - Catálogo TIMSS'!$J$5:$J$107,MATCH(K915,'Datos - Catálogo TIMSS'!$A$5:$A$107,0)),"No")="Sí",1,0)</f>
        <v/>
      </c>
      <c r="Z915" s="11">
        <f>IF(IFERROR(INDEX('Datos - Catálogo TIMSS'!$J$5:$J$107,MATCH(L915,'Datos - Catálogo TIMSS'!$A$5:$A$107,0)),"No")="Sí",1,0)</f>
        <v/>
      </c>
      <c r="AA915" s="11" t="inlineStr">
        <is>
          <t>N/A</t>
        </is>
      </c>
      <c r="AB915" s="11" t="inlineStr"/>
      <c r="AC915" s="11">
        <f>IF(AA915="FUERA","Fuera del marco",IF(AA915="N/A","Sin marco",IFERROR(INDEX('Datos - TIMSS 2023'!$C$5:$C$105,MATCH(AA915,'Datos - TIMSS 2023'!$A$5:$A$105,0)),"Pendiente de clasificar")))</f>
        <v/>
      </c>
      <c r="AD915" s="11" t="inlineStr">
        <is>
          <t>2. Construir y evaluar diseños para la indagación científica e interpretar datos y evidencia de forma crítica</t>
        </is>
      </c>
      <c r="AE915" s="11">
        <f>IF(AD915="","",IF(LEFT(AD915,1)="1","C1",IF(LEFT(AD915,1)="2","C2",IF(LEFT(AD915,1)="3","C3",""))))</f>
        <v/>
      </c>
      <c r="AF915" s="11" t="inlineStr">
        <is>
          <t>E1</t>
        </is>
      </c>
      <c r="AG915" s="11" t="inlineStr">
        <is>
          <t>D1</t>
        </is>
      </c>
      <c r="AH915" s="11" t="inlineStr">
        <is>
          <t>E1</t>
        </is>
      </c>
      <c r="AI915" s="11" t="inlineStr">
        <is>
          <t>D4</t>
        </is>
      </c>
      <c r="AJ915" s="11" t="inlineStr">
        <is>
          <t>E3</t>
        </is>
      </c>
      <c r="AK915" s="11" t="n"/>
      <c r="AL915" s="11" t="n"/>
      <c r="AM915" s="11" t="n"/>
      <c r="AN915" s="11" t="n"/>
      <c r="AO915" s="11" t="n"/>
      <c r="AP915" s="11" t="n"/>
      <c r="AQ915" s="11" t="n"/>
      <c r="AR915" s="11" t="n"/>
      <c r="AS915" s="11" t="n"/>
      <c r="AT915" s="11" t="n"/>
      <c r="AU915" s="11" t="n"/>
      <c r="AV915" s="11" t="n"/>
      <c r="AW915" s="11">
        <f>AF915&amp;"; "&amp;AG915&amp;"; "&amp;AH915&amp;"; "&amp;AI915&amp;"; "&amp;AJ915</f>
        <v/>
      </c>
    </row>
    <row r="916">
      <c r="A916" s="11" t="inlineStr">
        <is>
          <t>T0452-G10-QUÍ</t>
        </is>
      </c>
      <c r="B916" s="11" t="n">
        <v>10</v>
      </c>
      <c r="C916" s="11" t="inlineStr">
        <is>
          <t>Química</t>
        </is>
      </c>
      <c r="D916" s="11" t="inlineStr">
        <is>
          <t>Matriz_Bachillerato_Quimica_10_11.xlsx</t>
        </is>
      </c>
      <c r="E916" s="11" t="inlineStr">
        <is>
          <t>Química 10.°</t>
        </is>
      </c>
      <c r="F916" s="11" t="n">
        <v>25</v>
      </c>
      <c r="G916" s="11" t="inlineStr">
        <is>
          <t>3. Modelos atómicos y estructura</t>
        </is>
      </c>
      <c r="H916" s="11" t="inlineStr">
        <is>
          <t>Evolución de los modelos atómicos</t>
        </is>
      </c>
      <c r="I916" s="38" t="inlineStr">
        <is>
          <t>3.3. Análisis del descubrimiento del protón y del neutrón y comparación de las propiedades de las partículas subatómicas.</t>
        </is>
      </c>
      <c r="J916" s="11" t="inlineStr">
        <is>
          <t>Sin marco</t>
        </is>
      </c>
      <c r="K916" s="11" t="inlineStr">
        <is>
          <t>N/A</t>
        </is>
      </c>
      <c r="L916" s="11" t="inlineStr"/>
      <c r="M916" s="11">
        <f>IF(K916="FUERA","Fuera del marco",IF(K916="N/A","Sin marco",IFERROR(INDEX('Datos - Catálogo TIMSS'!$C$5:$C$107,MATCH(K916,'Datos - Catálogo TIMSS'!$A$5:$A$107,0)),"Pendiente de clasificar")))</f>
        <v/>
      </c>
      <c r="N916" s="11">
        <f>IF(K916="FUERA","Fuera del marco",IF(K916="N/A","Sin marco",IFERROR(INDEX('Datos - Catálogo TIMSS'!$F$5:$F$107,MATCH(K916,'Datos - Catálogo TIMSS'!$A$5:$A$107,0)),"Pendiente de clasificar")))</f>
        <v/>
      </c>
      <c r="O916" s="11">
        <f>IF(L916="","",IFERROR(INDEX('Datos - Catálogo TIMSS'!$C$5:$C$107,MATCH(L916,'Datos - Catálogo TIMSS'!$A$5:$A$107,0)),"?"))</f>
        <v/>
      </c>
      <c r="P916" s="11" t="inlineStr">
        <is>
          <t>N/A</t>
        </is>
      </c>
      <c r="Q916" s="38" t="inlineStr">
        <is>
          <t>Sin marco TIMSS de contenido para esta asignatura en Bachillerato</t>
        </is>
      </c>
      <c r="R916" s="38" t="inlineStr">
        <is>
          <t>Conocer: comparar propiedades de partículas. Razonar: justificar con evidencia histórica</t>
        </is>
      </c>
      <c r="S916" s="39">
        <f>IFERROR(ISNUMBER(SEARCH("Conocer",$R916))/(ISNUMBER(SEARCH("Conocer",$R916))+ISNUMBER(SEARCH("Aplicar",$R916))+ISNUMBER(SEARCH("Razonar",$R916))),0)</f>
        <v/>
      </c>
      <c r="T916" s="39">
        <f>IFERROR(ISNUMBER(SEARCH("Aplicar",$R916))/(ISNUMBER(SEARCH("Conocer",$R916))+ISNUMBER(SEARCH("Aplicar",$R916))+ISNUMBER(SEARCH("Razonar",$R916))),0)</f>
        <v/>
      </c>
      <c r="U916" s="39">
        <f>IFERROR(ISNUMBER(SEARCH("Razonar",$R916))/(ISNUMBER(SEARCH("Conocer",$R916))+ISNUMBER(SEARCH("Aplicar",$R916))+ISNUMBER(SEARCH("Razonar",$R916))),0)</f>
        <v/>
      </c>
      <c r="V916" s="11" t="inlineStr">
        <is>
          <t>Química 10°</t>
        </is>
      </c>
      <c r="W916" s="11" t="inlineStr">
        <is>
          <t>Química 10°–11°</t>
        </is>
      </c>
      <c r="X916" s="11">
        <f>IF(OR(IFERROR(INDEX('Datos - Catálogo TIMSS'!$I$5:$I$107,MATCH(K916,'Datos - Catálogo TIMSS'!$A$5:$A$107,0)),"No")="Sí",IFERROR(INDEX('Datos - Catálogo TIMSS'!$I$5:$I$107,MATCH(L916,'Datos - Catálogo TIMSS'!$A$5:$A$107,0)),"No")="Sí"),1,0)</f>
        <v/>
      </c>
      <c r="Y916" s="11">
        <f>IF(IFERROR(INDEX('Datos - Catálogo TIMSS'!$J$5:$J$107,MATCH(K916,'Datos - Catálogo TIMSS'!$A$5:$A$107,0)),"No")="Sí",1,0)</f>
        <v/>
      </c>
      <c r="Z916" s="11">
        <f>IF(IFERROR(INDEX('Datos - Catálogo TIMSS'!$J$5:$J$107,MATCH(L916,'Datos - Catálogo TIMSS'!$A$5:$A$107,0)),"No")="Sí",1,0)</f>
        <v/>
      </c>
      <c r="AA916" s="11" t="inlineStr">
        <is>
          <t>N/A</t>
        </is>
      </c>
      <c r="AB916" s="11" t="inlineStr"/>
      <c r="AC916" s="11">
        <f>IF(AA916="FUERA","Fuera del marco",IF(AA916="N/A","Sin marco",IFERROR(INDEX('Datos - TIMSS 2023'!$C$5:$C$105,MATCH(AA916,'Datos - TIMSS 2023'!$A$5:$A$105,0)),"Pendiente de clasificar")))</f>
        <v/>
      </c>
      <c r="AD916" s="11" t="inlineStr">
        <is>
          <t>1. Explicar fenómenos científicamente</t>
        </is>
      </c>
      <c r="AE916" s="11">
        <f>IF(AD916="","",IF(LEFT(AD916,1)="1","C1",IF(LEFT(AD916,1)="2","C2",IF(LEFT(AD916,1)="3","C3",""))))</f>
        <v/>
      </c>
      <c r="AF916" s="11" t="inlineStr">
        <is>
          <t>E1</t>
        </is>
      </c>
      <c r="AG916" s="11" t="inlineStr">
        <is>
          <t>E5</t>
        </is>
      </c>
      <c r="AH916" s="11" t="inlineStr">
        <is>
          <t>E2</t>
        </is>
      </c>
      <c r="AI916" s="11" t="inlineStr">
        <is>
          <t>E4</t>
        </is>
      </c>
      <c r="AJ916" s="11" t="inlineStr">
        <is>
          <t>E3</t>
        </is>
      </c>
      <c r="AK916" s="11" t="n"/>
      <c r="AL916" s="11" t="n"/>
      <c r="AM916" s="11" t="n"/>
      <c r="AN916" s="11" t="n"/>
      <c r="AO916" s="11" t="n"/>
      <c r="AP916" s="11" t="n"/>
      <c r="AQ916" s="11" t="n"/>
      <c r="AR916" s="11" t="n"/>
      <c r="AS916" s="11" t="n"/>
      <c r="AT916" s="11" t="n"/>
      <c r="AU916" s="11" t="n"/>
      <c r="AV916" s="11" t="n"/>
      <c r="AW916" s="11">
        <f>AF916&amp;"; "&amp;AG916&amp;"; "&amp;AH916&amp;"; "&amp;AI916&amp;"; "&amp;AJ916</f>
        <v/>
      </c>
    </row>
    <row r="917">
      <c r="A917" s="11" t="inlineStr">
        <is>
          <t>T0453-G10-QUÍ</t>
        </is>
      </c>
      <c r="B917" s="11" t="n">
        <v>10</v>
      </c>
      <c r="C917" s="11" t="inlineStr">
        <is>
          <t>Química</t>
        </is>
      </c>
      <c r="D917" s="11" t="inlineStr">
        <is>
          <t>Matriz_Bachillerato_Quimica_10_11.xlsx</t>
        </is>
      </c>
      <c r="E917" s="11" t="inlineStr">
        <is>
          <t>Química 10.°</t>
        </is>
      </c>
      <c r="F917" s="11" t="n">
        <v>26</v>
      </c>
      <c r="G917" s="11" t="inlineStr">
        <is>
          <t>3. Modelos atómicos y estructura</t>
        </is>
      </c>
      <c r="H917" s="11" t="inlineStr">
        <is>
          <t>Estructura del átomo</t>
        </is>
      </c>
      <c r="I917" s="38" t="inlineStr">
        <is>
          <t>3.4. Cálculo de las partículas subatómicas de átomos e iones y de la masa atómica promedio de un elemento a partir de la abundancia de sus isótopos.</t>
        </is>
      </c>
      <c r="J917" s="11" t="inlineStr">
        <is>
          <t>Sin marco</t>
        </is>
      </c>
      <c r="K917" s="11" t="inlineStr">
        <is>
          <t>N/A</t>
        </is>
      </c>
      <c r="L917" s="11" t="inlineStr"/>
      <c r="M917" s="11">
        <f>IF(K917="FUERA","Fuera del marco",IF(K917="N/A","Sin marco",IFERROR(INDEX('Datos - Catálogo TIMSS'!$C$5:$C$107,MATCH(K917,'Datos - Catálogo TIMSS'!$A$5:$A$107,0)),"Pendiente de clasificar")))</f>
        <v/>
      </c>
      <c r="N917" s="11">
        <f>IF(K917="FUERA","Fuera del marco",IF(K917="N/A","Sin marco",IFERROR(INDEX('Datos - Catálogo TIMSS'!$F$5:$F$107,MATCH(K917,'Datos - Catálogo TIMSS'!$A$5:$A$107,0)),"Pendiente de clasificar")))</f>
        <v/>
      </c>
      <c r="O917" s="11">
        <f>IF(L917="","",IFERROR(INDEX('Datos - Catálogo TIMSS'!$C$5:$C$107,MATCH(L917,'Datos - Catálogo TIMSS'!$A$5:$A$107,0)),"?"))</f>
        <v/>
      </c>
      <c r="P917" s="11" t="inlineStr">
        <is>
          <t>N/A</t>
        </is>
      </c>
      <c r="Q917" s="38" t="inlineStr">
        <is>
          <t>Sin marco TIMSS de contenido para esta asignatura en Bachillerato</t>
        </is>
      </c>
      <c r="R917" s="38" t="inlineStr">
        <is>
          <t>Aplicar: calcular partículas y masa atómica promedio. Razonar: argumentar con datos isotópicos</t>
        </is>
      </c>
      <c r="S917" s="39">
        <f>IFERROR(ISNUMBER(SEARCH("Conocer",$R917))/(ISNUMBER(SEARCH("Conocer",$R917))+ISNUMBER(SEARCH("Aplicar",$R917))+ISNUMBER(SEARCH("Razonar",$R917))),0)</f>
        <v/>
      </c>
      <c r="T917" s="39">
        <f>IFERROR(ISNUMBER(SEARCH("Aplicar",$R917))/(ISNUMBER(SEARCH("Conocer",$R917))+ISNUMBER(SEARCH("Aplicar",$R917))+ISNUMBER(SEARCH("Razonar",$R917))),0)</f>
        <v/>
      </c>
      <c r="U917" s="39">
        <f>IFERROR(ISNUMBER(SEARCH("Razonar",$R917))/(ISNUMBER(SEARCH("Conocer",$R917))+ISNUMBER(SEARCH("Aplicar",$R917))+ISNUMBER(SEARCH("Razonar",$R917))),0)</f>
        <v/>
      </c>
      <c r="V917" s="11" t="inlineStr">
        <is>
          <t>Química 10°</t>
        </is>
      </c>
      <c r="W917" s="11" t="inlineStr">
        <is>
          <t>Química 10°–11°</t>
        </is>
      </c>
      <c r="X917" s="11">
        <f>IF(OR(IFERROR(INDEX('Datos - Catálogo TIMSS'!$I$5:$I$107,MATCH(K917,'Datos - Catálogo TIMSS'!$A$5:$A$107,0)),"No")="Sí",IFERROR(INDEX('Datos - Catálogo TIMSS'!$I$5:$I$107,MATCH(L917,'Datos - Catálogo TIMSS'!$A$5:$A$107,0)),"No")="Sí"),1,0)</f>
        <v/>
      </c>
      <c r="Y917" s="11">
        <f>IF(IFERROR(INDEX('Datos - Catálogo TIMSS'!$J$5:$J$107,MATCH(K917,'Datos - Catálogo TIMSS'!$A$5:$A$107,0)),"No")="Sí",1,0)</f>
        <v/>
      </c>
      <c r="Z917" s="11">
        <f>IF(IFERROR(INDEX('Datos - Catálogo TIMSS'!$J$5:$J$107,MATCH(L917,'Datos - Catálogo TIMSS'!$A$5:$A$107,0)),"No")="Sí",1,0)</f>
        <v/>
      </c>
      <c r="AA917" s="11" t="inlineStr">
        <is>
          <t>N/A</t>
        </is>
      </c>
      <c r="AB917" s="11" t="inlineStr"/>
      <c r="AC917" s="11">
        <f>IF(AA917="FUERA","Fuera del marco",IF(AA917="N/A","Sin marco",IFERROR(INDEX('Datos - TIMSS 2023'!$C$5:$C$105,MATCH(AA917,'Datos - TIMSS 2023'!$A$5:$A$105,0)),"Pendiente de clasificar")))</f>
        <v/>
      </c>
      <c r="AD917" s="11" t="inlineStr">
        <is>
          <t>3. Investigar, evaluar y usar información científica para tomar decisiones y actuar</t>
        </is>
      </c>
      <c r="AE917" s="11">
        <f>IF(AD917="","",IF(LEFT(AD917,1)="1","C1",IF(LEFT(AD917,1)="2","C2",IF(LEFT(AD917,1)="3","C3",""))))</f>
        <v/>
      </c>
      <c r="AF917" s="11" t="inlineStr">
        <is>
          <t>E6</t>
        </is>
      </c>
      <c r="AG917" s="11" t="inlineStr">
        <is>
          <t>E3</t>
        </is>
      </c>
      <c r="AH917" s="11" t="inlineStr">
        <is>
          <t>E1</t>
        </is>
      </c>
      <c r="AI917" s="11" t="inlineStr">
        <is>
          <t>I3</t>
        </is>
      </c>
      <c r="AJ917" s="11" t="inlineStr">
        <is>
          <t>I1</t>
        </is>
      </c>
      <c r="AK917" s="11" t="n"/>
      <c r="AL917" s="11" t="n"/>
      <c r="AM917" s="11" t="n"/>
      <c r="AN917" s="11" t="n"/>
      <c r="AO917" s="11" t="n"/>
      <c r="AP917" s="11" t="n"/>
      <c r="AQ917" s="11" t="n"/>
      <c r="AR917" s="11" t="n"/>
      <c r="AS917" s="11" t="n"/>
      <c r="AT917" s="11" t="n"/>
      <c r="AU917" s="11" t="n"/>
      <c r="AV917" s="11" t="n"/>
      <c r="AW917" s="11">
        <f>AF917&amp;"; "&amp;AG917&amp;"; "&amp;AH917&amp;"; "&amp;AI917&amp;"; "&amp;AJ917</f>
        <v/>
      </c>
    </row>
    <row r="918">
      <c r="A918" s="11" t="inlineStr">
        <is>
          <t>T0454-G10-QUÍ</t>
        </is>
      </c>
      <c r="B918" s="11" t="n">
        <v>10</v>
      </c>
      <c r="C918" s="11" t="inlineStr">
        <is>
          <t>Química</t>
        </is>
      </c>
      <c r="D918" s="11" t="inlineStr">
        <is>
          <t>Matriz_Bachillerato_Quimica_10_11.xlsx</t>
        </is>
      </c>
      <c r="E918" s="11" t="inlineStr">
        <is>
          <t>Química 10.°</t>
        </is>
      </c>
      <c r="F918" s="11" t="n">
        <v>27</v>
      </c>
      <c r="G918" s="11" t="inlineStr">
        <is>
          <t>3. Modelos atómicos y estructura</t>
        </is>
      </c>
      <c r="H918" s="11" t="inlineStr">
        <is>
          <t>Estructura del átomo</t>
        </is>
      </c>
      <c r="I918" s="38" t="inlineStr">
        <is>
          <t>3.5. Observación y análisis de espectros de emisión con un espectroscopio sencillo y relación de la luz con la energía de los fotones.</t>
        </is>
      </c>
      <c r="J918" s="11" t="inlineStr">
        <is>
          <t>Sin marco</t>
        </is>
      </c>
      <c r="K918" s="11" t="inlineStr">
        <is>
          <t>N/A</t>
        </is>
      </c>
      <c r="L918" s="11" t="inlineStr"/>
      <c r="M918" s="11">
        <f>IF(K918="FUERA","Fuera del marco",IF(K918="N/A","Sin marco",IFERROR(INDEX('Datos - Catálogo TIMSS'!$C$5:$C$107,MATCH(K918,'Datos - Catálogo TIMSS'!$A$5:$A$107,0)),"Pendiente de clasificar")))</f>
        <v/>
      </c>
      <c r="N918" s="11">
        <f>IF(K918="FUERA","Fuera del marco",IF(K918="N/A","Sin marco",IFERROR(INDEX('Datos - Catálogo TIMSS'!$F$5:$F$107,MATCH(K918,'Datos - Catálogo TIMSS'!$A$5:$A$107,0)),"Pendiente de clasificar")))</f>
        <v/>
      </c>
      <c r="O918" s="11">
        <f>IF(L918="","",IFERROR(INDEX('Datos - Catálogo TIMSS'!$C$5:$C$107,MATCH(L918,'Datos - Catálogo TIMSS'!$A$5:$A$107,0)),"?"))</f>
        <v/>
      </c>
      <c r="P918" s="11" t="inlineStr">
        <is>
          <t>N/A</t>
        </is>
      </c>
      <c r="Q918" s="38" t="inlineStr">
        <is>
          <t>Sin marco TIMSS de contenido para esta asignatura en Bachillerato</t>
        </is>
      </c>
      <c r="R918" s="38" t="inlineStr">
        <is>
          <t>Aplicar: calcular frecuencia y energía. Razonar: identificar elementos con espectros</t>
        </is>
      </c>
      <c r="S918" s="39">
        <f>IFERROR(ISNUMBER(SEARCH("Conocer",$R918))/(ISNUMBER(SEARCH("Conocer",$R918))+ISNUMBER(SEARCH("Aplicar",$R918))+ISNUMBER(SEARCH("Razonar",$R918))),0)</f>
        <v/>
      </c>
      <c r="T918" s="39">
        <f>IFERROR(ISNUMBER(SEARCH("Aplicar",$R918))/(ISNUMBER(SEARCH("Conocer",$R918))+ISNUMBER(SEARCH("Aplicar",$R918))+ISNUMBER(SEARCH("Razonar",$R918))),0)</f>
        <v/>
      </c>
      <c r="U918" s="39">
        <f>IFERROR(ISNUMBER(SEARCH("Razonar",$R918))/(ISNUMBER(SEARCH("Conocer",$R918))+ISNUMBER(SEARCH("Aplicar",$R918))+ISNUMBER(SEARCH("Razonar",$R918))),0)</f>
        <v/>
      </c>
      <c r="V918" s="11" t="inlineStr">
        <is>
          <t>Química 10°</t>
        </is>
      </c>
      <c r="W918" s="11" t="inlineStr">
        <is>
          <t>Química 10°–11°</t>
        </is>
      </c>
      <c r="X918" s="11">
        <f>IF(OR(IFERROR(INDEX('Datos - Catálogo TIMSS'!$I$5:$I$107,MATCH(K918,'Datos - Catálogo TIMSS'!$A$5:$A$107,0)),"No")="Sí",IFERROR(INDEX('Datos - Catálogo TIMSS'!$I$5:$I$107,MATCH(L918,'Datos - Catálogo TIMSS'!$A$5:$A$107,0)),"No")="Sí"),1,0)</f>
        <v/>
      </c>
      <c r="Y918" s="11">
        <f>IF(IFERROR(INDEX('Datos - Catálogo TIMSS'!$J$5:$J$107,MATCH(K918,'Datos - Catálogo TIMSS'!$A$5:$A$107,0)),"No")="Sí",1,0)</f>
        <v/>
      </c>
      <c r="Z918" s="11">
        <f>IF(IFERROR(INDEX('Datos - Catálogo TIMSS'!$J$5:$J$107,MATCH(L918,'Datos - Catálogo TIMSS'!$A$5:$A$107,0)),"No")="Sí",1,0)</f>
        <v/>
      </c>
      <c r="AA918" s="11" t="inlineStr">
        <is>
          <t>N/A</t>
        </is>
      </c>
      <c r="AB918" s="11" t="inlineStr"/>
      <c r="AC918" s="11">
        <f>IF(AA918="FUERA","Fuera del marco",IF(AA918="N/A","Sin marco",IFERROR(INDEX('Datos - TIMSS 2023'!$C$5:$C$105,MATCH(AA918,'Datos - TIMSS 2023'!$A$5:$A$105,0)),"Pendiente de clasificar")))</f>
        <v/>
      </c>
      <c r="AD918" s="11" t="inlineStr">
        <is>
          <t>2. Construir y evaluar diseños para la indagación científica e interpretar datos y evidencia de forma crítica</t>
        </is>
      </c>
      <c r="AE918" s="11">
        <f>IF(AD918="","",IF(LEFT(AD918,1)="1","C1",IF(LEFT(AD918,1)="2","C2",IF(LEFT(AD918,1)="3","C3",""))))</f>
        <v/>
      </c>
      <c r="AF918" s="11" t="inlineStr">
        <is>
          <t>E1</t>
        </is>
      </c>
      <c r="AG918" s="11" t="inlineStr">
        <is>
          <t>D1</t>
        </is>
      </c>
      <c r="AH918" s="11" t="inlineStr">
        <is>
          <t>E2</t>
        </is>
      </c>
      <c r="AI918" s="11" t="inlineStr">
        <is>
          <t>D2</t>
        </is>
      </c>
      <c r="AJ918" s="11" t="inlineStr">
        <is>
          <t>I1</t>
        </is>
      </c>
      <c r="AK918" s="11" t="n"/>
      <c r="AL918" s="11" t="n"/>
      <c r="AM918" s="11" t="n"/>
      <c r="AN918" s="11" t="n"/>
      <c r="AO918" s="11" t="n"/>
      <c r="AP918" s="11" t="n"/>
      <c r="AQ918" s="11" t="n"/>
      <c r="AR918" s="11" t="n"/>
      <c r="AS918" s="11" t="n"/>
      <c r="AT918" s="11" t="n"/>
      <c r="AU918" s="11" t="n"/>
      <c r="AV918" s="11" t="n"/>
      <c r="AW918" s="11">
        <f>AF918&amp;"; "&amp;AG918&amp;"; "&amp;AH918&amp;"; "&amp;AI918&amp;"; "&amp;AJ918</f>
        <v/>
      </c>
    </row>
    <row r="919">
      <c r="A919" s="11" t="inlineStr">
        <is>
          <t>T0455-G10-QUÍ</t>
        </is>
      </c>
      <c r="B919" s="11" t="n">
        <v>10</v>
      </c>
      <c r="C919" s="11" t="inlineStr">
        <is>
          <t>Química</t>
        </is>
      </c>
      <c r="D919" s="11" t="inlineStr">
        <is>
          <t>Matriz_Bachillerato_Quimica_10_11.xlsx</t>
        </is>
      </c>
      <c r="E919" s="11" t="inlineStr">
        <is>
          <t>Química 10.°</t>
        </is>
      </c>
      <c r="F919" s="11" t="n">
        <v>28</v>
      </c>
      <c r="G919" s="11" t="inlineStr">
        <is>
          <t>3. Modelos atómicos y estructura</t>
        </is>
      </c>
      <c r="H919" s="11" t="inlineStr">
        <is>
          <t>Estructura del átomo</t>
        </is>
      </c>
      <c r="I919" s="38" t="inlineStr">
        <is>
          <t>3.6. Cálculo de las energías y longitudes de onda de las transiciones del átomo de hidrógeno con el modelo de Bohr.</t>
        </is>
      </c>
      <c r="J919" s="11" t="inlineStr">
        <is>
          <t>Sin marco</t>
        </is>
      </c>
      <c r="K919" s="11" t="inlineStr">
        <is>
          <t>N/A</t>
        </is>
      </c>
      <c r="L919" s="11" t="inlineStr"/>
      <c r="M919" s="11">
        <f>IF(K919="FUERA","Fuera del marco",IF(K919="N/A","Sin marco",IFERROR(INDEX('Datos - Catálogo TIMSS'!$C$5:$C$107,MATCH(K919,'Datos - Catálogo TIMSS'!$A$5:$A$107,0)),"Pendiente de clasificar")))</f>
        <v/>
      </c>
      <c r="N919" s="11">
        <f>IF(K919="FUERA","Fuera del marco",IF(K919="N/A","Sin marco",IFERROR(INDEX('Datos - Catálogo TIMSS'!$F$5:$F$107,MATCH(K919,'Datos - Catálogo TIMSS'!$A$5:$A$107,0)),"Pendiente de clasificar")))</f>
        <v/>
      </c>
      <c r="O919" s="11">
        <f>IF(L919="","",IFERROR(INDEX('Datos - Catálogo TIMSS'!$C$5:$C$107,MATCH(L919,'Datos - Catálogo TIMSS'!$A$5:$A$107,0)),"?"))</f>
        <v/>
      </c>
      <c r="P919" s="11" t="inlineStr">
        <is>
          <t>N/A</t>
        </is>
      </c>
      <c r="Q919" s="38" t="inlineStr">
        <is>
          <t>Sin marco TIMSS de contenido para esta asignatura en Bachillerato</t>
        </is>
      </c>
      <c r="R919" s="38" t="inlineStr">
        <is>
          <t>Aplicar: calcular longitudes de onda con la ecuación de Rydberg. Razonar: validar un modelo con datos</t>
        </is>
      </c>
      <c r="S919" s="39">
        <f>IFERROR(ISNUMBER(SEARCH("Conocer",$R919))/(ISNUMBER(SEARCH("Conocer",$R919))+ISNUMBER(SEARCH("Aplicar",$R919))+ISNUMBER(SEARCH("Razonar",$R919))),0)</f>
        <v/>
      </c>
      <c r="T919" s="39">
        <f>IFERROR(ISNUMBER(SEARCH("Aplicar",$R919))/(ISNUMBER(SEARCH("Conocer",$R919))+ISNUMBER(SEARCH("Aplicar",$R919))+ISNUMBER(SEARCH("Razonar",$R919))),0)</f>
        <v/>
      </c>
      <c r="U919" s="39">
        <f>IFERROR(ISNUMBER(SEARCH("Razonar",$R919))/(ISNUMBER(SEARCH("Conocer",$R919))+ISNUMBER(SEARCH("Aplicar",$R919))+ISNUMBER(SEARCH("Razonar",$R919))),0)</f>
        <v/>
      </c>
      <c r="V919" s="11" t="inlineStr">
        <is>
          <t>Química 10°</t>
        </is>
      </c>
      <c r="W919" s="11" t="inlineStr">
        <is>
          <t>Química 10°–11°</t>
        </is>
      </c>
      <c r="X919" s="11">
        <f>IF(OR(IFERROR(INDEX('Datos - Catálogo TIMSS'!$I$5:$I$107,MATCH(K919,'Datos - Catálogo TIMSS'!$A$5:$A$107,0)),"No")="Sí",IFERROR(INDEX('Datos - Catálogo TIMSS'!$I$5:$I$107,MATCH(L919,'Datos - Catálogo TIMSS'!$A$5:$A$107,0)),"No")="Sí"),1,0)</f>
        <v/>
      </c>
      <c r="Y919" s="11">
        <f>IF(IFERROR(INDEX('Datos - Catálogo TIMSS'!$J$5:$J$107,MATCH(K919,'Datos - Catálogo TIMSS'!$A$5:$A$107,0)),"No")="Sí",1,0)</f>
        <v/>
      </c>
      <c r="Z919" s="11">
        <f>IF(IFERROR(INDEX('Datos - Catálogo TIMSS'!$J$5:$J$107,MATCH(L919,'Datos - Catálogo TIMSS'!$A$5:$A$107,0)),"No")="Sí",1,0)</f>
        <v/>
      </c>
      <c r="AA919" s="11" t="inlineStr">
        <is>
          <t>N/A</t>
        </is>
      </c>
      <c r="AB919" s="11" t="inlineStr"/>
      <c r="AC919" s="11">
        <f>IF(AA919="FUERA","Fuera del marco",IF(AA919="N/A","Sin marco",IFERROR(INDEX('Datos - TIMSS 2023'!$C$5:$C$105,MATCH(AA919,'Datos - TIMSS 2023'!$A$5:$A$105,0)),"Pendiente de clasificar")))</f>
        <v/>
      </c>
      <c r="AD919" s="11" t="inlineStr">
        <is>
          <t>1. Explicar fenómenos científicamente</t>
        </is>
      </c>
      <c r="AE919" s="11">
        <f>IF(AD919="","",IF(LEFT(AD919,1)="1","C1",IF(LEFT(AD919,1)="2","C2",IF(LEFT(AD919,1)="3","C3",""))))</f>
        <v/>
      </c>
      <c r="AF919" s="11" t="inlineStr">
        <is>
          <t>E1</t>
        </is>
      </c>
      <c r="AG919" s="11" t="inlineStr">
        <is>
          <t>E3</t>
        </is>
      </c>
      <c r="AH919" s="11" t="inlineStr">
        <is>
          <t>E4</t>
        </is>
      </c>
      <c r="AI919" s="11" t="inlineStr">
        <is>
          <t>D4</t>
        </is>
      </c>
      <c r="AJ919" s="11" t="inlineStr">
        <is>
          <t>E3</t>
        </is>
      </c>
      <c r="AK919" s="11" t="n"/>
      <c r="AL919" s="11" t="n"/>
      <c r="AM919" s="11" t="n"/>
      <c r="AN919" s="11" t="n"/>
      <c r="AO919" s="11" t="n"/>
      <c r="AP919" s="11" t="n"/>
      <c r="AQ919" s="11" t="n"/>
      <c r="AR919" s="11" t="n"/>
      <c r="AS919" s="11" t="n"/>
      <c r="AT919" s="11" t="n"/>
      <c r="AU919" s="11" t="n"/>
      <c r="AV919" s="11" t="n"/>
      <c r="AW919" s="11">
        <f>AF919&amp;"; "&amp;AG919&amp;"; "&amp;AH919&amp;"; "&amp;AI919&amp;"; "&amp;AJ919</f>
        <v/>
      </c>
    </row>
    <row r="920">
      <c r="A920" s="11" t="inlineStr">
        <is>
          <t>T0456-G10-QUÍ</t>
        </is>
      </c>
      <c r="B920" s="11" t="n">
        <v>10</v>
      </c>
      <c r="C920" s="11" t="inlineStr">
        <is>
          <t>Química</t>
        </is>
      </c>
      <c r="D920" s="11" t="inlineStr">
        <is>
          <t>Matriz_Bachillerato_Quimica_10_11.xlsx</t>
        </is>
      </c>
      <c r="E920" s="11" t="inlineStr">
        <is>
          <t>Química 10.°</t>
        </is>
      </c>
      <c r="F920" s="11" t="n">
        <v>29</v>
      </c>
      <c r="G920" s="11" t="inlineStr">
        <is>
          <t>3. Modelos atómicos y estructura</t>
        </is>
      </c>
      <c r="H920" s="11" t="inlineStr">
        <is>
          <t>El modelo mecanocuántico</t>
        </is>
      </c>
      <c r="I920" s="38" t="inlineStr">
        <is>
          <t>3.7. Análisis de las limitaciones del modelo de Bohr y de las hipótesis que fundamentan el modelo mecanocuántico del átomo.</t>
        </is>
      </c>
      <c r="J920" s="11" t="inlineStr">
        <is>
          <t>Sin marco</t>
        </is>
      </c>
      <c r="K920" s="11" t="inlineStr">
        <is>
          <t>N/A</t>
        </is>
      </c>
      <c r="L920" s="11" t="inlineStr"/>
      <c r="M920" s="11">
        <f>IF(K920="FUERA","Fuera del marco",IF(K920="N/A","Sin marco",IFERROR(INDEX('Datos - Catálogo TIMSS'!$C$5:$C$107,MATCH(K920,'Datos - Catálogo TIMSS'!$A$5:$A$107,0)),"Pendiente de clasificar")))</f>
        <v/>
      </c>
      <c r="N920" s="11">
        <f>IF(K920="FUERA","Fuera del marco",IF(K920="N/A","Sin marco",IFERROR(INDEX('Datos - Catálogo TIMSS'!$F$5:$F$107,MATCH(K920,'Datos - Catálogo TIMSS'!$A$5:$A$107,0)),"Pendiente de clasificar")))</f>
        <v/>
      </c>
      <c r="O920" s="11">
        <f>IF(L920="","",IFERROR(INDEX('Datos - Catálogo TIMSS'!$C$5:$C$107,MATCH(L920,'Datos - Catálogo TIMSS'!$A$5:$A$107,0)),"?"))</f>
        <v/>
      </c>
      <c r="P920" s="11" t="inlineStr">
        <is>
          <t>N/A</t>
        </is>
      </c>
      <c r="Q920" s="38" t="inlineStr">
        <is>
          <t>Sin marco TIMSS de contenido para esta asignatura en Bachillerato</t>
        </is>
      </c>
      <c r="R920" s="38" t="inlineStr">
        <is>
          <t>Aplicar: calcular la longitud de onda de De Broglie. Razonar: contrastar modelos</t>
        </is>
      </c>
      <c r="S920" s="39">
        <f>IFERROR(ISNUMBER(SEARCH("Conocer",$R920))/(ISNUMBER(SEARCH("Conocer",$R920))+ISNUMBER(SEARCH("Aplicar",$R920))+ISNUMBER(SEARCH("Razonar",$R920))),0)</f>
        <v/>
      </c>
      <c r="T920" s="39">
        <f>IFERROR(ISNUMBER(SEARCH("Aplicar",$R920))/(ISNUMBER(SEARCH("Conocer",$R920))+ISNUMBER(SEARCH("Aplicar",$R920))+ISNUMBER(SEARCH("Razonar",$R920))),0)</f>
        <v/>
      </c>
      <c r="U920" s="39">
        <f>IFERROR(ISNUMBER(SEARCH("Razonar",$R920))/(ISNUMBER(SEARCH("Conocer",$R920))+ISNUMBER(SEARCH("Aplicar",$R920))+ISNUMBER(SEARCH("Razonar",$R920))),0)</f>
        <v/>
      </c>
      <c r="V920" s="11" t="inlineStr">
        <is>
          <t>Química 10°</t>
        </is>
      </c>
      <c r="W920" s="11" t="inlineStr">
        <is>
          <t>Química 10°–11°</t>
        </is>
      </c>
      <c r="X920" s="11">
        <f>IF(OR(IFERROR(INDEX('Datos - Catálogo TIMSS'!$I$5:$I$107,MATCH(K920,'Datos - Catálogo TIMSS'!$A$5:$A$107,0)),"No")="Sí",IFERROR(INDEX('Datos - Catálogo TIMSS'!$I$5:$I$107,MATCH(L920,'Datos - Catálogo TIMSS'!$A$5:$A$107,0)),"No")="Sí"),1,0)</f>
        <v/>
      </c>
      <c r="Y920" s="11">
        <f>IF(IFERROR(INDEX('Datos - Catálogo TIMSS'!$J$5:$J$107,MATCH(K920,'Datos - Catálogo TIMSS'!$A$5:$A$107,0)),"No")="Sí",1,0)</f>
        <v/>
      </c>
      <c r="Z920" s="11">
        <f>IF(IFERROR(INDEX('Datos - Catálogo TIMSS'!$J$5:$J$107,MATCH(L920,'Datos - Catálogo TIMSS'!$A$5:$A$107,0)),"No")="Sí",1,0)</f>
        <v/>
      </c>
      <c r="AA920" s="11" t="inlineStr">
        <is>
          <t>N/A</t>
        </is>
      </c>
      <c r="AB920" s="11" t="inlineStr"/>
      <c r="AC920" s="11">
        <f>IF(AA920="FUERA","Fuera del marco",IF(AA920="N/A","Sin marco",IFERROR(INDEX('Datos - TIMSS 2023'!$C$5:$C$105,MATCH(AA920,'Datos - TIMSS 2023'!$A$5:$A$105,0)),"Pendiente de clasificar")))</f>
        <v/>
      </c>
      <c r="AD920" s="11" t="inlineStr">
        <is>
          <t>1. Explicar fenómenos científicamente</t>
        </is>
      </c>
      <c r="AE920" s="11">
        <f>IF(AD920="","",IF(LEFT(AD920,1)="1","C1",IF(LEFT(AD920,1)="2","C2",IF(LEFT(AD920,1)="3","C3",""))))</f>
        <v/>
      </c>
      <c r="AF920" s="11" t="inlineStr">
        <is>
          <t>E1</t>
        </is>
      </c>
      <c r="AG920" s="11" t="inlineStr">
        <is>
          <t>E5</t>
        </is>
      </c>
      <c r="AH920" s="11" t="inlineStr">
        <is>
          <t>E1</t>
        </is>
      </c>
      <c r="AI920" s="11" t="inlineStr">
        <is>
          <t>I2</t>
        </is>
      </c>
      <c r="AJ920" s="11" t="inlineStr">
        <is>
          <t>I1</t>
        </is>
      </c>
      <c r="AK920" s="11" t="n"/>
      <c r="AL920" s="11" t="n"/>
      <c r="AM920" s="11" t="n"/>
      <c r="AN920" s="11" t="n"/>
      <c r="AO920" s="11" t="n"/>
      <c r="AP920" s="11" t="n"/>
      <c r="AQ920" s="11" t="n"/>
      <c r="AR920" s="11" t="n"/>
      <c r="AS920" s="11" t="n"/>
      <c r="AT920" s="11" t="n"/>
      <c r="AU920" s="11" t="n"/>
      <c r="AV920" s="11" t="n"/>
      <c r="AW920" s="11">
        <f>AF920&amp;"; "&amp;AG920&amp;"; "&amp;AH920&amp;"; "&amp;AI920&amp;"; "&amp;AJ920</f>
        <v/>
      </c>
    </row>
    <row r="921">
      <c r="A921" s="11" t="inlineStr">
        <is>
          <t>T0457-G10-QUÍ</t>
        </is>
      </c>
      <c r="B921" s="11" t="n">
        <v>10</v>
      </c>
      <c r="C921" s="11" t="inlineStr">
        <is>
          <t>Química</t>
        </is>
      </c>
      <c r="D921" s="11" t="inlineStr">
        <is>
          <t>Matriz_Bachillerato_Quimica_10_11.xlsx</t>
        </is>
      </c>
      <c r="E921" s="11" t="inlineStr">
        <is>
          <t>Química 10.°</t>
        </is>
      </c>
      <c r="F921" s="11" t="n">
        <v>30</v>
      </c>
      <c r="G921" s="11" t="inlineStr">
        <is>
          <t>3. Modelos atómicos y estructura</t>
        </is>
      </c>
      <c r="H921" s="11" t="inlineStr">
        <is>
          <t>El modelo mecanocuántico</t>
        </is>
      </c>
      <c r="I921" s="38" t="inlineStr">
        <is>
          <t>3.8. Determinación de los valores permitidos de los números cuánticos y de su relación con niveles, subniveles y orbitales.</t>
        </is>
      </c>
      <c r="J921" s="11" t="inlineStr">
        <is>
          <t>Sin marco</t>
        </is>
      </c>
      <c r="K921" s="11" t="inlineStr">
        <is>
          <t>N/A</t>
        </is>
      </c>
      <c r="L921" s="11" t="inlineStr"/>
      <c r="M921" s="11">
        <f>IF(K921="FUERA","Fuera del marco",IF(K921="N/A","Sin marco",IFERROR(INDEX('Datos - Catálogo TIMSS'!$C$5:$C$107,MATCH(K921,'Datos - Catálogo TIMSS'!$A$5:$A$107,0)),"Pendiente de clasificar")))</f>
        <v/>
      </c>
      <c r="N921" s="11">
        <f>IF(K921="FUERA","Fuera del marco",IF(K921="N/A","Sin marco",IFERROR(INDEX('Datos - Catálogo TIMSS'!$F$5:$F$107,MATCH(K921,'Datos - Catálogo TIMSS'!$A$5:$A$107,0)),"Pendiente de clasificar")))</f>
        <v/>
      </c>
      <c r="O921" s="11">
        <f>IF(L921="","",IFERROR(INDEX('Datos - Catálogo TIMSS'!$C$5:$C$107,MATCH(L921,'Datos - Catálogo TIMSS'!$A$5:$A$107,0)),"?"))</f>
        <v/>
      </c>
      <c r="P921" s="11" t="inlineStr">
        <is>
          <t>N/A</t>
        </is>
      </c>
      <c r="Q921" s="38" t="inlineStr">
        <is>
          <t>Sin marco TIMSS de contenido para esta asignatura en Bachillerato</t>
        </is>
      </c>
      <c r="R921" s="38" t="inlineStr">
        <is>
          <t>Aplicar: asignar números cuánticos. Razonar: detectar conjuntos imposibles</t>
        </is>
      </c>
      <c r="S921" s="39">
        <f>IFERROR(ISNUMBER(SEARCH("Conocer",$R921))/(ISNUMBER(SEARCH("Conocer",$R921))+ISNUMBER(SEARCH("Aplicar",$R921))+ISNUMBER(SEARCH("Razonar",$R921))),0)</f>
        <v/>
      </c>
      <c r="T921" s="39">
        <f>IFERROR(ISNUMBER(SEARCH("Aplicar",$R921))/(ISNUMBER(SEARCH("Conocer",$R921))+ISNUMBER(SEARCH("Aplicar",$R921))+ISNUMBER(SEARCH("Razonar",$R921))),0)</f>
        <v/>
      </c>
      <c r="U921" s="39">
        <f>IFERROR(ISNUMBER(SEARCH("Razonar",$R921))/(ISNUMBER(SEARCH("Conocer",$R921))+ISNUMBER(SEARCH("Aplicar",$R921))+ISNUMBER(SEARCH("Razonar",$R921))),0)</f>
        <v/>
      </c>
      <c r="V921" s="11" t="inlineStr">
        <is>
          <t>Química 10°</t>
        </is>
      </c>
      <c r="W921" s="11" t="inlineStr">
        <is>
          <t>Química 10°–11°</t>
        </is>
      </c>
      <c r="X921" s="11">
        <f>IF(OR(IFERROR(INDEX('Datos - Catálogo TIMSS'!$I$5:$I$107,MATCH(K921,'Datos - Catálogo TIMSS'!$A$5:$A$107,0)),"No")="Sí",IFERROR(INDEX('Datos - Catálogo TIMSS'!$I$5:$I$107,MATCH(L921,'Datos - Catálogo TIMSS'!$A$5:$A$107,0)),"No")="Sí"),1,0)</f>
        <v/>
      </c>
      <c r="Y921" s="11">
        <f>IF(IFERROR(INDEX('Datos - Catálogo TIMSS'!$J$5:$J$107,MATCH(K921,'Datos - Catálogo TIMSS'!$A$5:$A$107,0)),"No")="Sí",1,0)</f>
        <v/>
      </c>
      <c r="Z921" s="11">
        <f>IF(IFERROR(INDEX('Datos - Catálogo TIMSS'!$J$5:$J$107,MATCH(L921,'Datos - Catálogo TIMSS'!$A$5:$A$107,0)),"No")="Sí",1,0)</f>
        <v/>
      </c>
      <c r="AA921" s="11" t="inlineStr">
        <is>
          <t>N/A</t>
        </is>
      </c>
      <c r="AB921" s="11" t="inlineStr"/>
      <c r="AC921" s="11">
        <f>IF(AA921="FUERA","Fuera del marco",IF(AA921="N/A","Sin marco",IFERROR(INDEX('Datos - TIMSS 2023'!$C$5:$C$105,MATCH(AA921,'Datos - TIMSS 2023'!$A$5:$A$105,0)),"Pendiente de clasificar")))</f>
        <v/>
      </c>
      <c r="AD921" s="11" t="inlineStr">
        <is>
          <t>1. Explicar fenómenos científicamente</t>
        </is>
      </c>
      <c r="AE921" s="11">
        <f>IF(AD921="","",IF(LEFT(AD921,1)="1","C1",IF(LEFT(AD921,1)="2","C2",IF(LEFT(AD921,1)="3","C3",""))))</f>
        <v/>
      </c>
      <c r="AF921" s="11" t="inlineStr">
        <is>
          <t>E1</t>
        </is>
      </c>
      <c r="AG921" s="11" t="inlineStr">
        <is>
          <t>E3</t>
        </is>
      </c>
      <c r="AH921" s="11" t="inlineStr">
        <is>
          <t>E2</t>
        </is>
      </c>
      <c r="AI921" s="11" t="inlineStr">
        <is>
          <t>E4</t>
        </is>
      </c>
      <c r="AJ921" s="11" t="inlineStr">
        <is>
          <t>I4</t>
        </is>
      </c>
      <c r="AK921" s="11" t="n"/>
      <c r="AL921" s="11" t="n"/>
      <c r="AM921" s="11" t="n"/>
      <c r="AN921" s="11" t="n"/>
      <c r="AO921" s="11" t="n"/>
      <c r="AP921" s="11" t="n"/>
      <c r="AQ921" s="11" t="n"/>
      <c r="AR921" s="11" t="n"/>
      <c r="AS921" s="11" t="n"/>
      <c r="AT921" s="11" t="n"/>
      <c r="AU921" s="11" t="n"/>
      <c r="AV921" s="11" t="n"/>
      <c r="AW921" s="11">
        <f>AF921&amp;"; "&amp;AG921&amp;"; "&amp;AH921&amp;"; "&amp;AI921&amp;"; "&amp;AJ921</f>
        <v/>
      </c>
    </row>
    <row r="922">
      <c r="A922" s="11" t="inlineStr">
        <is>
          <t>T0458-G10-QUÍ</t>
        </is>
      </c>
      <c r="B922" s="11" t="n">
        <v>10</v>
      </c>
      <c r="C922" s="11" t="inlineStr">
        <is>
          <t>Química</t>
        </is>
      </c>
      <c r="D922" s="11" t="inlineStr">
        <is>
          <t>Matriz_Bachillerato_Quimica_10_11.xlsx</t>
        </is>
      </c>
      <c r="E922" s="11" t="inlineStr">
        <is>
          <t>Química 10.°</t>
        </is>
      </c>
      <c r="F922" s="11" t="n">
        <v>31</v>
      </c>
      <c r="G922" s="11" t="inlineStr">
        <is>
          <t>3. Modelos atómicos y estructura</t>
        </is>
      </c>
      <c r="H922" s="11" t="inlineStr">
        <is>
          <t>El modelo mecanocuántico</t>
        </is>
      </c>
      <c r="I922" s="38" t="inlineStr">
        <is>
          <t>3.9. Interpretación de la forma, el tamaño y la energía relativa de los orbitales y de su orden de llenado mediante el diagrama de Möller.</t>
        </is>
      </c>
      <c r="J922" s="11" t="inlineStr">
        <is>
          <t>Sin marco</t>
        </is>
      </c>
      <c r="K922" s="11" t="inlineStr">
        <is>
          <t>N/A</t>
        </is>
      </c>
      <c r="L922" s="11" t="inlineStr"/>
      <c r="M922" s="11">
        <f>IF(K922="FUERA","Fuera del marco",IF(K922="N/A","Sin marco",IFERROR(INDEX('Datos - Catálogo TIMSS'!$C$5:$C$107,MATCH(K922,'Datos - Catálogo TIMSS'!$A$5:$A$107,0)),"Pendiente de clasificar")))</f>
        <v/>
      </c>
      <c r="N922" s="11">
        <f>IF(K922="FUERA","Fuera del marco",IF(K922="N/A","Sin marco",IFERROR(INDEX('Datos - Catálogo TIMSS'!$F$5:$F$107,MATCH(K922,'Datos - Catálogo TIMSS'!$A$5:$A$107,0)),"Pendiente de clasificar")))</f>
        <v/>
      </c>
      <c r="O922" s="11">
        <f>IF(L922="","",IFERROR(INDEX('Datos - Catálogo TIMSS'!$C$5:$C$107,MATCH(L922,'Datos - Catálogo TIMSS'!$A$5:$A$107,0)),"?"))</f>
        <v/>
      </c>
      <c r="P922" s="11" t="inlineStr">
        <is>
          <t>N/A</t>
        </is>
      </c>
      <c r="Q922" s="38" t="inlineStr">
        <is>
          <t>Sin marco TIMSS de contenido para esta asignatura en Bachillerato</t>
        </is>
      </c>
      <c r="R922" s="38" t="inlineStr">
        <is>
          <t>Conocer: describir la forma de orbitales. Aplicar: ordenar subniveles. Razonar: justificar con la regla n + l</t>
        </is>
      </c>
      <c r="S922" s="39">
        <f>IFERROR(ISNUMBER(SEARCH("Conocer",$R922))/(ISNUMBER(SEARCH("Conocer",$R922))+ISNUMBER(SEARCH("Aplicar",$R922))+ISNUMBER(SEARCH("Razonar",$R922))),0)</f>
        <v/>
      </c>
      <c r="T922" s="39">
        <f>IFERROR(ISNUMBER(SEARCH("Aplicar",$R922))/(ISNUMBER(SEARCH("Conocer",$R922))+ISNUMBER(SEARCH("Aplicar",$R922))+ISNUMBER(SEARCH("Razonar",$R922))),0)</f>
        <v/>
      </c>
      <c r="U922" s="39">
        <f>IFERROR(ISNUMBER(SEARCH("Razonar",$R922))/(ISNUMBER(SEARCH("Conocer",$R922))+ISNUMBER(SEARCH("Aplicar",$R922))+ISNUMBER(SEARCH("Razonar",$R922))),0)</f>
        <v/>
      </c>
      <c r="V922" s="11" t="inlineStr">
        <is>
          <t>Química 10°</t>
        </is>
      </c>
      <c r="W922" s="11" t="inlineStr">
        <is>
          <t>Química 10°–11°</t>
        </is>
      </c>
      <c r="X922" s="11">
        <f>IF(OR(IFERROR(INDEX('Datos - Catálogo TIMSS'!$I$5:$I$107,MATCH(K922,'Datos - Catálogo TIMSS'!$A$5:$A$107,0)),"No")="Sí",IFERROR(INDEX('Datos - Catálogo TIMSS'!$I$5:$I$107,MATCH(L922,'Datos - Catálogo TIMSS'!$A$5:$A$107,0)),"No")="Sí"),1,0)</f>
        <v/>
      </c>
      <c r="Y922" s="11">
        <f>IF(IFERROR(INDEX('Datos - Catálogo TIMSS'!$J$5:$J$107,MATCH(K922,'Datos - Catálogo TIMSS'!$A$5:$A$107,0)),"No")="Sí",1,0)</f>
        <v/>
      </c>
      <c r="Z922" s="11">
        <f>IF(IFERROR(INDEX('Datos - Catálogo TIMSS'!$J$5:$J$107,MATCH(L922,'Datos - Catálogo TIMSS'!$A$5:$A$107,0)),"No")="Sí",1,0)</f>
        <v/>
      </c>
      <c r="AA922" s="11" t="inlineStr">
        <is>
          <t>N/A</t>
        </is>
      </c>
      <c r="AB922" s="11" t="inlineStr"/>
      <c r="AC922" s="11">
        <f>IF(AA922="FUERA","Fuera del marco",IF(AA922="N/A","Sin marco",IFERROR(INDEX('Datos - TIMSS 2023'!$C$5:$C$105,MATCH(AA922,'Datos - TIMSS 2023'!$A$5:$A$105,0)),"Pendiente de clasificar")))</f>
        <v/>
      </c>
      <c r="AD922" s="11" t="inlineStr">
        <is>
          <t>1. Explicar fenómenos científicamente</t>
        </is>
      </c>
      <c r="AE922" s="11">
        <f>IF(AD922="","",IF(LEFT(AD922,1)="1","C1",IF(LEFT(AD922,1)="2","C2",IF(LEFT(AD922,1)="3","C3",""))))</f>
        <v/>
      </c>
      <c r="AF922" s="11" t="inlineStr">
        <is>
          <t>E1</t>
        </is>
      </c>
      <c r="AG922" s="11" t="inlineStr">
        <is>
          <t>E3</t>
        </is>
      </c>
      <c r="AH922" s="11" t="inlineStr">
        <is>
          <t>E2</t>
        </is>
      </c>
      <c r="AI922" s="11" t="inlineStr">
        <is>
          <t>E4</t>
        </is>
      </c>
      <c r="AJ922" s="11" t="inlineStr">
        <is>
          <t>E3</t>
        </is>
      </c>
      <c r="AK922" s="11" t="n"/>
      <c r="AL922" s="11" t="n"/>
      <c r="AM922" s="11" t="n"/>
      <c r="AN922" s="11" t="n"/>
      <c r="AO922" s="11" t="n"/>
      <c r="AP922" s="11" t="n"/>
      <c r="AQ922" s="11" t="n"/>
      <c r="AR922" s="11" t="n"/>
      <c r="AS922" s="11" t="n"/>
      <c r="AT922" s="11" t="n"/>
      <c r="AU922" s="11" t="n"/>
      <c r="AV922" s="11" t="n"/>
      <c r="AW922" s="11">
        <f>AF922&amp;"; "&amp;AG922&amp;"; "&amp;AH922&amp;"; "&amp;AI922&amp;"; "&amp;AJ922</f>
        <v/>
      </c>
    </row>
    <row r="923">
      <c r="A923" s="11" t="inlineStr">
        <is>
          <t>T0459-G10-QUÍ</t>
        </is>
      </c>
      <c r="B923" s="11" t="n">
        <v>10</v>
      </c>
      <c r="C923" s="11" t="inlineStr">
        <is>
          <t>Química</t>
        </is>
      </c>
      <c r="D923" s="11" t="inlineStr">
        <is>
          <t>Matriz_Bachillerato_Quimica_10_11.xlsx</t>
        </is>
      </c>
      <c r="E923" s="11" t="inlineStr">
        <is>
          <t>Química 10.°</t>
        </is>
      </c>
      <c r="F923" s="11" t="n">
        <v>32</v>
      </c>
      <c r="G923" s="11" t="inlineStr">
        <is>
          <t>3. Modelos atómicos y estructura</t>
        </is>
      </c>
      <c r="H923" s="11" t="inlineStr">
        <is>
          <t>El modelo mecanocuántico</t>
        </is>
      </c>
      <c r="I923" s="38" t="inlineStr">
        <is>
          <t>3.10. Escritura de configuraciones electrónicas y diagramas de orbitales de átomos e iones, incluidos los elementos de transición, aplicando los principios de construcción.</t>
        </is>
      </c>
      <c r="J923" s="11" t="inlineStr">
        <is>
          <t>Sin marco</t>
        </is>
      </c>
      <c r="K923" s="11" t="inlineStr">
        <is>
          <t>N/A</t>
        </is>
      </c>
      <c r="L923" s="11" t="inlineStr"/>
      <c r="M923" s="11">
        <f>IF(K923="FUERA","Fuera del marco",IF(K923="N/A","Sin marco",IFERROR(INDEX('Datos - Catálogo TIMSS'!$C$5:$C$107,MATCH(K923,'Datos - Catálogo TIMSS'!$A$5:$A$107,0)),"Pendiente de clasificar")))</f>
        <v/>
      </c>
      <c r="N923" s="11">
        <f>IF(K923="FUERA","Fuera del marco",IF(K923="N/A","Sin marco",IFERROR(INDEX('Datos - Catálogo TIMSS'!$F$5:$F$107,MATCH(K923,'Datos - Catálogo TIMSS'!$A$5:$A$107,0)),"Pendiente de clasificar")))</f>
        <v/>
      </c>
      <c r="O923" s="11">
        <f>IF(L923="","",IFERROR(INDEX('Datos - Catálogo TIMSS'!$C$5:$C$107,MATCH(L923,'Datos - Catálogo TIMSS'!$A$5:$A$107,0)),"?"))</f>
        <v/>
      </c>
      <c r="P923" s="11" t="inlineStr">
        <is>
          <t>N/A</t>
        </is>
      </c>
      <c r="Q923" s="38" t="inlineStr">
        <is>
          <t>Sin marco TIMSS de contenido para esta asignatura en Bachillerato</t>
        </is>
      </c>
      <c r="R923" s="38" t="inlineStr">
        <is>
          <t>Aplicar: escribir configuraciones electrónicas. Razonar: predecir propiedades magnéticas</t>
        </is>
      </c>
      <c r="S923" s="39">
        <f>IFERROR(ISNUMBER(SEARCH("Conocer",$R923))/(ISNUMBER(SEARCH("Conocer",$R923))+ISNUMBER(SEARCH("Aplicar",$R923))+ISNUMBER(SEARCH("Razonar",$R923))),0)</f>
        <v/>
      </c>
      <c r="T923" s="39">
        <f>IFERROR(ISNUMBER(SEARCH("Aplicar",$R923))/(ISNUMBER(SEARCH("Conocer",$R923))+ISNUMBER(SEARCH("Aplicar",$R923))+ISNUMBER(SEARCH("Razonar",$R923))),0)</f>
        <v/>
      </c>
      <c r="U923" s="39">
        <f>IFERROR(ISNUMBER(SEARCH("Razonar",$R923))/(ISNUMBER(SEARCH("Conocer",$R923))+ISNUMBER(SEARCH("Aplicar",$R923))+ISNUMBER(SEARCH("Razonar",$R923))),0)</f>
        <v/>
      </c>
      <c r="V923" s="11" t="inlineStr">
        <is>
          <t>Química 10°</t>
        </is>
      </c>
      <c r="W923" s="11" t="inlineStr">
        <is>
          <t>Química 10°–11°</t>
        </is>
      </c>
      <c r="X923" s="11">
        <f>IF(OR(IFERROR(INDEX('Datos - Catálogo TIMSS'!$I$5:$I$107,MATCH(K923,'Datos - Catálogo TIMSS'!$A$5:$A$107,0)),"No")="Sí",IFERROR(INDEX('Datos - Catálogo TIMSS'!$I$5:$I$107,MATCH(L923,'Datos - Catálogo TIMSS'!$A$5:$A$107,0)),"No")="Sí"),1,0)</f>
        <v/>
      </c>
      <c r="Y923" s="11">
        <f>IF(IFERROR(INDEX('Datos - Catálogo TIMSS'!$J$5:$J$107,MATCH(K923,'Datos - Catálogo TIMSS'!$A$5:$A$107,0)),"No")="Sí",1,0)</f>
        <v/>
      </c>
      <c r="Z923" s="11">
        <f>IF(IFERROR(INDEX('Datos - Catálogo TIMSS'!$J$5:$J$107,MATCH(L923,'Datos - Catálogo TIMSS'!$A$5:$A$107,0)),"No")="Sí",1,0)</f>
        <v/>
      </c>
      <c r="AA923" s="11" t="inlineStr">
        <is>
          <t>N/A</t>
        </is>
      </c>
      <c r="AB923" s="11" t="inlineStr"/>
      <c r="AC923" s="11">
        <f>IF(AA923="FUERA","Fuera del marco",IF(AA923="N/A","Sin marco",IFERROR(INDEX('Datos - TIMSS 2023'!$C$5:$C$105,MATCH(AA923,'Datos - TIMSS 2023'!$A$5:$A$105,0)),"Pendiente de clasificar")))</f>
        <v/>
      </c>
      <c r="AD923" s="11" t="inlineStr">
        <is>
          <t>1. Explicar fenómenos científicamente</t>
        </is>
      </c>
      <c r="AE923" s="11">
        <f>IF(AD923="","",IF(LEFT(AD923,1)="1","C1",IF(LEFT(AD923,1)="2","C2",IF(LEFT(AD923,1)="3","C3",""))))</f>
        <v/>
      </c>
      <c r="AF923" s="11" t="inlineStr">
        <is>
          <t>E1</t>
        </is>
      </c>
      <c r="AG923" s="11" t="inlineStr">
        <is>
          <t>E3</t>
        </is>
      </c>
      <c r="AH923" s="11" t="inlineStr">
        <is>
          <t>E2</t>
        </is>
      </c>
      <c r="AI923" s="11" t="inlineStr">
        <is>
          <t>D4</t>
        </is>
      </c>
      <c r="AJ923" s="11" t="inlineStr">
        <is>
          <t>I4</t>
        </is>
      </c>
      <c r="AK923" s="11" t="n"/>
      <c r="AL923" s="11" t="n"/>
      <c r="AM923" s="11" t="n"/>
      <c r="AN923" s="11" t="n"/>
      <c r="AO923" s="11" t="n"/>
      <c r="AP923" s="11" t="n"/>
      <c r="AQ923" s="11" t="n"/>
      <c r="AR923" s="11" t="n"/>
      <c r="AS923" s="11" t="n"/>
      <c r="AT923" s="11" t="n"/>
      <c r="AU923" s="11" t="n"/>
      <c r="AV923" s="11" t="n"/>
      <c r="AW923" s="11">
        <f>AF923&amp;"; "&amp;AG923&amp;"; "&amp;AH923&amp;"; "&amp;AI923&amp;"; "&amp;AJ923</f>
        <v/>
      </c>
    </row>
    <row r="924">
      <c r="A924" s="11" t="inlineStr">
        <is>
          <t>T0460-G10-QUÍ</t>
        </is>
      </c>
      <c r="B924" s="11" t="n">
        <v>10</v>
      </c>
      <c r="C924" s="11" t="inlineStr">
        <is>
          <t>Química</t>
        </is>
      </c>
      <c r="D924" s="11" t="inlineStr">
        <is>
          <t>Matriz_Bachillerato_Quimica_10_11.xlsx</t>
        </is>
      </c>
      <c r="E924" s="11" t="inlineStr">
        <is>
          <t>Química 10.°</t>
        </is>
      </c>
      <c r="F924" s="11" t="n">
        <v>33</v>
      </c>
      <c r="G924" s="11" t="inlineStr">
        <is>
          <t>4. Tabla periódica de los elementos</t>
        </is>
      </c>
      <c r="H924" s="11" t="inlineStr">
        <is>
          <t>Construcción de la tabla periódica</t>
        </is>
      </c>
      <c r="I924" s="38" t="inlineStr">
        <is>
          <t>4.1. Análisis de los aportes y las limitaciones de las clasificaciones históricas de los elementos hasta la tabla de Mendeléiev.</t>
        </is>
      </c>
      <c r="J924" s="11" t="inlineStr">
        <is>
          <t>Sin marco</t>
        </is>
      </c>
      <c r="K924" s="11" t="inlineStr">
        <is>
          <t>N/A</t>
        </is>
      </c>
      <c r="L924" s="11" t="inlineStr"/>
      <c r="M924" s="11">
        <f>IF(K924="FUERA","Fuera del marco",IF(K924="N/A","Sin marco",IFERROR(INDEX('Datos - Catálogo TIMSS'!$C$5:$C$107,MATCH(K924,'Datos - Catálogo TIMSS'!$A$5:$A$107,0)),"Pendiente de clasificar")))</f>
        <v/>
      </c>
      <c r="N924" s="11">
        <f>IF(K924="FUERA","Fuera del marco",IF(K924="N/A","Sin marco",IFERROR(INDEX('Datos - Catálogo TIMSS'!$F$5:$F$107,MATCH(K924,'Datos - Catálogo TIMSS'!$A$5:$A$107,0)),"Pendiente de clasificar")))</f>
        <v/>
      </c>
      <c r="O924" s="11">
        <f>IF(L924="","",IFERROR(INDEX('Datos - Catálogo TIMSS'!$C$5:$C$107,MATCH(L924,'Datos - Catálogo TIMSS'!$A$5:$A$107,0)),"?"))</f>
        <v/>
      </c>
      <c r="P924" s="11" t="inlineStr">
        <is>
          <t>N/A</t>
        </is>
      </c>
      <c r="Q924" s="38" t="inlineStr">
        <is>
          <t>Sin marco TIMSS de contenido para esta asignatura en Bachillerato</t>
        </is>
      </c>
      <c r="R924" s="38" t="inlineStr">
        <is>
          <t>Conocer: describir clasificaciones históricas. Razonar: evaluar el valor predictivo de un modelo</t>
        </is>
      </c>
      <c r="S924" s="39">
        <f>IFERROR(ISNUMBER(SEARCH("Conocer",$R924))/(ISNUMBER(SEARCH("Conocer",$R924))+ISNUMBER(SEARCH("Aplicar",$R924))+ISNUMBER(SEARCH("Razonar",$R924))),0)</f>
        <v/>
      </c>
      <c r="T924" s="39">
        <f>IFERROR(ISNUMBER(SEARCH("Aplicar",$R924))/(ISNUMBER(SEARCH("Conocer",$R924))+ISNUMBER(SEARCH("Aplicar",$R924))+ISNUMBER(SEARCH("Razonar",$R924))),0)</f>
        <v/>
      </c>
      <c r="U924" s="39">
        <f>IFERROR(ISNUMBER(SEARCH("Razonar",$R924))/(ISNUMBER(SEARCH("Conocer",$R924))+ISNUMBER(SEARCH("Aplicar",$R924))+ISNUMBER(SEARCH("Razonar",$R924))),0)</f>
        <v/>
      </c>
      <c r="V924" s="11" t="inlineStr">
        <is>
          <t>Química 10°</t>
        </is>
      </c>
      <c r="W924" s="11" t="inlineStr">
        <is>
          <t>Química 10°–11°</t>
        </is>
      </c>
      <c r="X924" s="11">
        <f>IF(OR(IFERROR(INDEX('Datos - Catálogo TIMSS'!$I$5:$I$107,MATCH(K924,'Datos - Catálogo TIMSS'!$A$5:$A$107,0)),"No")="Sí",IFERROR(INDEX('Datos - Catálogo TIMSS'!$I$5:$I$107,MATCH(L924,'Datos - Catálogo TIMSS'!$A$5:$A$107,0)),"No")="Sí"),1,0)</f>
        <v/>
      </c>
      <c r="Y924" s="11">
        <f>IF(IFERROR(INDEX('Datos - Catálogo TIMSS'!$J$5:$J$107,MATCH(K924,'Datos - Catálogo TIMSS'!$A$5:$A$107,0)),"No")="Sí",1,0)</f>
        <v/>
      </c>
      <c r="Z924" s="11">
        <f>IF(IFERROR(INDEX('Datos - Catálogo TIMSS'!$J$5:$J$107,MATCH(L924,'Datos - Catálogo TIMSS'!$A$5:$A$107,0)),"No")="Sí",1,0)</f>
        <v/>
      </c>
      <c r="AA924" s="11" t="inlineStr">
        <is>
          <t>N/A</t>
        </is>
      </c>
      <c r="AB924" s="11" t="inlineStr"/>
      <c r="AC924" s="11">
        <f>IF(AA924="FUERA","Fuera del marco",IF(AA924="N/A","Sin marco",IFERROR(INDEX('Datos - TIMSS 2023'!$C$5:$C$105,MATCH(AA924,'Datos - TIMSS 2023'!$A$5:$A$105,0)),"Pendiente de clasificar")))</f>
        <v/>
      </c>
      <c r="AD924" s="11" t="inlineStr">
        <is>
          <t>1. Explicar fenómenos científicamente</t>
        </is>
      </c>
      <c r="AE924" s="11">
        <f>IF(AD924="","",IF(LEFT(AD924,1)="1","C1",IF(LEFT(AD924,1)="2","C2",IF(LEFT(AD924,1)="3","C3",""))))</f>
        <v/>
      </c>
      <c r="AF924" s="11" t="inlineStr">
        <is>
          <t>E1</t>
        </is>
      </c>
      <c r="AG924" s="11" t="inlineStr">
        <is>
          <t>E5</t>
        </is>
      </c>
      <c r="AH924" s="11" t="inlineStr">
        <is>
          <t>E1</t>
        </is>
      </c>
      <c r="AI924" s="11" t="inlineStr">
        <is>
          <t>D4</t>
        </is>
      </c>
      <c r="AJ924" s="11" t="inlineStr">
        <is>
          <t>E6</t>
        </is>
      </c>
      <c r="AK924" s="11" t="n"/>
      <c r="AL924" s="11" t="n"/>
      <c r="AM924" s="11" t="n"/>
      <c r="AN924" s="11" t="n"/>
      <c r="AO924" s="11" t="n"/>
      <c r="AP924" s="11" t="n"/>
      <c r="AQ924" s="11" t="n"/>
      <c r="AR924" s="11" t="n"/>
      <c r="AS924" s="11" t="n"/>
      <c r="AT924" s="11" t="n"/>
      <c r="AU924" s="11" t="n"/>
      <c r="AV924" s="11" t="n"/>
      <c r="AW924" s="11">
        <f>AF924&amp;"; "&amp;AG924&amp;"; "&amp;AH924&amp;"; "&amp;AI924&amp;"; "&amp;AJ924</f>
        <v/>
      </c>
    </row>
    <row r="925">
      <c r="A925" s="11" t="inlineStr">
        <is>
          <t>T0461-G10-QUÍ</t>
        </is>
      </c>
      <c r="B925" s="11" t="n">
        <v>10</v>
      </c>
      <c r="C925" s="11" t="inlineStr">
        <is>
          <t>Química</t>
        </is>
      </c>
      <c r="D925" s="11" t="inlineStr">
        <is>
          <t>Matriz_Bachillerato_Quimica_10_11.xlsx</t>
        </is>
      </c>
      <c r="E925" s="11" t="inlineStr">
        <is>
          <t>Química 10.°</t>
        </is>
      </c>
      <c r="F925" s="11" t="n">
        <v>34</v>
      </c>
      <c r="G925" s="11" t="inlineStr">
        <is>
          <t>4. Tabla periódica de los elementos</t>
        </is>
      </c>
      <c r="H925" s="11" t="inlineStr">
        <is>
          <t>Construcción de la tabla periódica</t>
        </is>
      </c>
      <c r="I925" s="38" t="inlineStr">
        <is>
          <t>4.2. Interpretación de la ley periódica actual y de la organización de la tabla en grupos, periodos y tipos de elementos.</t>
        </is>
      </c>
      <c r="J925" s="11" t="inlineStr">
        <is>
          <t>Sin marco</t>
        </is>
      </c>
      <c r="K925" s="11" t="inlineStr">
        <is>
          <t>N/A</t>
        </is>
      </c>
      <c r="L925" s="11" t="inlineStr"/>
      <c r="M925" s="11">
        <f>IF(K925="FUERA","Fuera del marco",IF(K925="N/A","Sin marco",IFERROR(INDEX('Datos - Catálogo TIMSS'!$C$5:$C$107,MATCH(K925,'Datos - Catálogo TIMSS'!$A$5:$A$107,0)),"Pendiente de clasificar")))</f>
        <v/>
      </c>
      <c r="N925" s="11">
        <f>IF(K925="FUERA","Fuera del marco",IF(K925="N/A","Sin marco",IFERROR(INDEX('Datos - Catálogo TIMSS'!$F$5:$F$107,MATCH(K925,'Datos - Catálogo TIMSS'!$A$5:$A$107,0)),"Pendiente de clasificar")))</f>
        <v/>
      </c>
      <c r="O925" s="11">
        <f>IF(L925="","",IFERROR(INDEX('Datos - Catálogo TIMSS'!$C$5:$C$107,MATCH(L925,'Datos - Catálogo TIMSS'!$A$5:$A$107,0)),"?"))</f>
        <v/>
      </c>
      <c r="P925" s="11" t="inlineStr">
        <is>
          <t>N/A</t>
        </is>
      </c>
      <c r="Q925" s="38" t="inlineStr">
        <is>
          <t>Sin marco TIMSS de contenido para esta asignatura en Bachillerato</t>
        </is>
      </c>
      <c r="R925" s="38" t="inlineStr">
        <is>
          <t>Conocer: identificar grupos y periodos. Aplicar: ubicar elementos. Razonar: explicar la ley periódica</t>
        </is>
      </c>
      <c r="S925" s="39">
        <f>IFERROR(ISNUMBER(SEARCH("Conocer",$R925))/(ISNUMBER(SEARCH("Conocer",$R925))+ISNUMBER(SEARCH("Aplicar",$R925))+ISNUMBER(SEARCH("Razonar",$R925))),0)</f>
        <v/>
      </c>
      <c r="T925" s="39">
        <f>IFERROR(ISNUMBER(SEARCH("Aplicar",$R925))/(ISNUMBER(SEARCH("Conocer",$R925))+ISNUMBER(SEARCH("Aplicar",$R925))+ISNUMBER(SEARCH("Razonar",$R925))),0)</f>
        <v/>
      </c>
      <c r="U925" s="39">
        <f>IFERROR(ISNUMBER(SEARCH("Razonar",$R925))/(ISNUMBER(SEARCH("Conocer",$R925))+ISNUMBER(SEARCH("Aplicar",$R925))+ISNUMBER(SEARCH("Razonar",$R925))),0)</f>
        <v/>
      </c>
      <c r="V925" s="11" t="inlineStr">
        <is>
          <t>Química 10°</t>
        </is>
      </c>
      <c r="W925" s="11" t="inlineStr">
        <is>
          <t>Química 10°–11°</t>
        </is>
      </c>
      <c r="X925" s="11">
        <f>IF(OR(IFERROR(INDEX('Datos - Catálogo TIMSS'!$I$5:$I$107,MATCH(K925,'Datos - Catálogo TIMSS'!$A$5:$A$107,0)),"No")="Sí",IFERROR(INDEX('Datos - Catálogo TIMSS'!$I$5:$I$107,MATCH(L925,'Datos - Catálogo TIMSS'!$A$5:$A$107,0)),"No")="Sí"),1,0)</f>
        <v/>
      </c>
      <c r="Y925" s="11">
        <f>IF(IFERROR(INDEX('Datos - Catálogo TIMSS'!$J$5:$J$107,MATCH(K925,'Datos - Catálogo TIMSS'!$A$5:$A$107,0)),"No")="Sí",1,0)</f>
        <v/>
      </c>
      <c r="Z925" s="11">
        <f>IF(IFERROR(INDEX('Datos - Catálogo TIMSS'!$J$5:$J$107,MATCH(L925,'Datos - Catálogo TIMSS'!$A$5:$A$107,0)),"No")="Sí",1,0)</f>
        <v/>
      </c>
      <c r="AA925" s="11" t="inlineStr">
        <is>
          <t>N/A</t>
        </is>
      </c>
      <c r="AB925" s="11" t="inlineStr"/>
      <c r="AC925" s="11">
        <f>IF(AA925="FUERA","Fuera del marco",IF(AA925="N/A","Sin marco",IFERROR(INDEX('Datos - TIMSS 2023'!$C$5:$C$105,MATCH(AA925,'Datos - TIMSS 2023'!$A$5:$A$105,0)),"Pendiente de clasificar")))</f>
        <v/>
      </c>
      <c r="AD925" s="11" t="inlineStr">
        <is>
          <t>1. Explicar fenómenos científicamente</t>
        </is>
      </c>
      <c r="AE925" s="11">
        <f>IF(AD925="","",IF(LEFT(AD925,1)="1","C1",IF(LEFT(AD925,1)="2","C2",IF(LEFT(AD925,1)="3","C3",""))))</f>
        <v/>
      </c>
      <c r="AF925" s="11" t="inlineStr">
        <is>
          <t>E1</t>
        </is>
      </c>
      <c r="AG925" s="11" t="inlineStr">
        <is>
          <t>D1</t>
        </is>
      </c>
      <c r="AH925" s="11" t="inlineStr">
        <is>
          <t>E1</t>
        </is>
      </c>
      <c r="AI925" s="11" t="inlineStr">
        <is>
          <t>I1</t>
        </is>
      </c>
      <c r="AJ925" s="11" t="inlineStr">
        <is>
          <t>E6</t>
        </is>
      </c>
      <c r="AK925" s="11" t="n"/>
      <c r="AL925" s="11" t="n"/>
      <c r="AM925" s="11" t="n"/>
      <c r="AN925" s="11" t="n"/>
      <c r="AO925" s="11" t="n"/>
      <c r="AP925" s="11" t="n"/>
      <c r="AQ925" s="11" t="n"/>
      <c r="AR925" s="11" t="n"/>
      <c r="AS925" s="11" t="n"/>
      <c r="AT925" s="11" t="n"/>
      <c r="AU925" s="11" t="n"/>
      <c r="AV925" s="11" t="n"/>
      <c r="AW925" s="11">
        <f>AF925&amp;"; "&amp;AG925&amp;"; "&amp;AH925&amp;"; "&amp;AI925&amp;"; "&amp;AJ925</f>
        <v/>
      </c>
    </row>
    <row r="926">
      <c r="A926" s="11" t="inlineStr">
        <is>
          <t>T0462-G10-QUÍ</t>
        </is>
      </c>
      <c r="B926" s="11" t="n">
        <v>10</v>
      </c>
      <c r="C926" s="11" t="inlineStr">
        <is>
          <t>Química</t>
        </is>
      </c>
      <c r="D926" s="11" t="inlineStr">
        <is>
          <t>Matriz_Bachillerato_Quimica_10_11.xlsx</t>
        </is>
      </c>
      <c r="E926" s="11" t="inlineStr">
        <is>
          <t>Química 10.°</t>
        </is>
      </c>
      <c r="F926" s="11" t="n">
        <v>35</v>
      </c>
      <c r="G926" s="11" t="inlineStr">
        <is>
          <t>4. Tabla periódica de los elementos</t>
        </is>
      </c>
      <c r="H926" s="11" t="inlineStr">
        <is>
          <t>Construcción de la tabla periódica</t>
        </is>
      </c>
      <c r="I926" s="38" t="inlineStr">
        <is>
          <t>4.3. Relación entre la configuración electrónica de la capa de valencia y la posición de los elementos en los bloques de la tabla periódica.</t>
        </is>
      </c>
      <c r="J926" s="11" t="inlineStr">
        <is>
          <t>Sin marco</t>
        </is>
      </c>
      <c r="K926" s="11" t="inlineStr">
        <is>
          <t>N/A</t>
        </is>
      </c>
      <c r="L926" s="11" t="inlineStr"/>
      <c r="M926" s="11">
        <f>IF(K926="FUERA","Fuera del marco",IF(K926="N/A","Sin marco",IFERROR(INDEX('Datos - Catálogo TIMSS'!$C$5:$C$107,MATCH(K926,'Datos - Catálogo TIMSS'!$A$5:$A$107,0)),"Pendiente de clasificar")))</f>
        <v/>
      </c>
      <c r="N926" s="11">
        <f>IF(K926="FUERA","Fuera del marco",IF(K926="N/A","Sin marco",IFERROR(INDEX('Datos - Catálogo TIMSS'!$F$5:$F$107,MATCH(K926,'Datos - Catálogo TIMSS'!$A$5:$A$107,0)),"Pendiente de clasificar")))</f>
        <v/>
      </c>
      <c r="O926" s="11">
        <f>IF(L926="","",IFERROR(INDEX('Datos - Catálogo TIMSS'!$C$5:$C$107,MATCH(L926,'Datos - Catálogo TIMSS'!$A$5:$A$107,0)),"?"))</f>
        <v/>
      </c>
      <c r="P926" s="11" t="inlineStr">
        <is>
          <t>N/A</t>
        </is>
      </c>
      <c r="Q926" s="38" t="inlineStr">
        <is>
          <t>Sin marco TIMSS de contenido para esta asignatura en Bachillerato</t>
        </is>
      </c>
      <c r="R926" s="38" t="inlineStr">
        <is>
          <t>Aplicar: relacionar configuración y posición. Razonar: justificar semejanzas de grupo</t>
        </is>
      </c>
      <c r="S926" s="39">
        <f>IFERROR(ISNUMBER(SEARCH("Conocer",$R926))/(ISNUMBER(SEARCH("Conocer",$R926))+ISNUMBER(SEARCH("Aplicar",$R926))+ISNUMBER(SEARCH("Razonar",$R926))),0)</f>
        <v/>
      </c>
      <c r="T926" s="39">
        <f>IFERROR(ISNUMBER(SEARCH("Aplicar",$R926))/(ISNUMBER(SEARCH("Conocer",$R926))+ISNUMBER(SEARCH("Aplicar",$R926))+ISNUMBER(SEARCH("Razonar",$R926))),0)</f>
        <v/>
      </c>
      <c r="U926" s="39">
        <f>IFERROR(ISNUMBER(SEARCH("Razonar",$R926))/(ISNUMBER(SEARCH("Conocer",$R926))+ISNUMBER(SEARCH("Aplicar",$R926))+ISNUMBER(SEARCH("Razonar",$R926))),0)</f>
        <v/>
      </c>
      <c r="V926" s="11" t="inlineStr">
        <is>
          <t>Química 10°</t>
        </is>
      </c>
      <c r="W926" s="11" t="inlineStr">
        <is>
          <t>Química 10°–11°</t>
        </is>
      </c>
      <c r="X926" s="11">
        <f>IF(OR(IFERROR(INDEX('Datos - Catálogo TIMSS'!$I$5:$I$107,MATCH(K926,'Datos - Catálogo TIMSS'!$A$5:$A$107,0)),"No")="Sí",IFERROR(INDEX('Datos - Catálogo TIMSS'!$I$5:$I$107,MATCH(L926,'Datos - Catálogo TIMSS'!$A$5:$A$107,0)),"No")="Sí"),1,0)</f>
        <v/>
      </c>
      <c r="Y926" s="11">
        <f>IF(IFERROR(INDEX('Datos - Catálogo TIMSS'!$J$5:$J$107,MATCH(K926,'Datos - Catálogo TIMSS'!$A$5:$A$107,0)),"No")="Sí",1,0)</f>
        <v/>
      </c>
      <c r="Z926" s="11">
        <f>IF(IFERROR(INDEX('Datos - Catálogo TIMSS'!$J$5:$J$107,MATCH(L926,'Datos - Catálogo TIMSS'!$A$5:$A$107,0)),"No")="Sí",1,0)</f>
        <v/>
      </c>
      <c r="AA926" s="11" t="inlineStr">
        <is>
          <t>N/A</t>
        </is>
      </c>
      <c r="AB926" s="11" t="inlineStr"/>
      <c r="AC926" s="11">
        <f>IF(AA926="FUERA","Fuera del marco",IF(AA926="N/A","Sin marco",IFERROR(INDEX('Datos - TIMSS 2023'!$C$5:$C$105,MATCH(AA926,'Datos - TIMSS 2023'!$A$5:$A$105,0)),"Pendiente de clasificar")))</f>
        <v/>
      </c>
      <c r="AD926" s="11" t="inlineStr">
        <is>
          <t>1. Explicar fenómenos científicamente</t>
        </is>
      </c>
      <c r="AE926" s="11">
        <f>IF(AD926="","",IF(LEFT(AD926,1)="1","C1",IF(LEFT(AD926,1)="2","C2",IF(LEFT(AD926,1)="3","C3",""))))</f>
        <v/>
      </c>
      <c r="AF926" s="11" t="inlineStr">
        <is>
          <t>E1</t>
        </is>
      </c>
      <c r="AG926" s="11" t="inlineStr">
        <is>
          <t>E3</t>
        </is>
      </c>
      <c r="AH926" s="11" t="inlineStr">
        <is>
          <t>E2</t>
        </is>
      </c>
      <c r="AI926" s="11" t="inlineStr">
        <is>
          <t>E4</t>
        </is>
      </c>
      <c r="AJ926" s="11" t="inlineStr">
        <is>
          <t>E3</t>
        </is>
      </c>
      <c r="AK926" s="11" t="n"/>
      <c r="AL926" s="11" t="n"/>
      <c r="AM926" s="11" t="n"/>
      <c r="AN926" s="11" t="n"/>
      <c r="AO926" s="11" t="n"/>
      <c r="AP926" s="11" t="n"/>
      <c r="AQ926" s="11" t="n"/>
      <c r="AR926" s="11" t="n"/>
      <c r="AS926" s="11" t="n"/>
      <c r="AT926" s="11" t="n"/>
      <c r="AU926" s="11" t="n"/>
      <c r="AV926" s="11" t="n"/>
      <c r="AW926" s="11">
        <f>AF926&amp;"; "&amp;AG926&amp;"; "&amp;AH926&amp;"; "&amp;AI926&amp;"; "&amp;AJ926</f>
        <v/>
      </c>
    </row>
    <row r="927">
      <c r="A927" s="11" t="inlineStr">
        <is>
          <t>T0463-G10-QUÍ</t>
        </is>
      </c>
      <c r="B927" s="11" t="n">
        <v>10</v>
      </c>
      <c r="C927" s="11" t="inlineStr">
        <is>
          <t>Química</t>
        </is>
      </c>
      <c r="D927" s="11" t="inlineStr">
        <is>
          <t>Matriz_Bachillerato_Quimica_10_11.xlsx</t>
        </is>
      </c>
      <c r="E927" s="11" t="inlineStr">
        <is>
          <t>Química 10.°</t>
        </is>
      </c>
      <c r="F927" s="11" t="n">
        <v>36</v>
      </c>
      <c r="G927" s="11" t="inlineStr">
        <is>
          <t>4. Tabla periódica de los elementos</t>
        </is>
      </c>
      <c r="H927" s="11" t="inlineStr">
        <is>
          <t>Propiedades periódicas</t>
        </is>
      </c>
      <c r="I927" s="38" t="inlineStr">
        <is>
          <t>4.4. Análisis de la variación del radio atómico y del radio iónico en la tabla periódica en función de la carga nuclear efectiva.</t>
        </is>
      </c>
      <c r="J927" s="11" t="inlineStr">
        <is>
          <t>Sin marco</t>
        </is>
      </c>
      <c r="K927" s="11" t="inlineStr">
        <is>
          <t>N/A</t>
        </is>
      </c>
      <c r="L927" s="11" t="inlineStr"/>
      <c r="M927" s="11">
        <f>IF(K927="FUERA","Fuera del marco",IF(K927="N/A","Sin marco",IFERROR(INDEX('Datos - Catálogo TIMSS'!$C$5:$C$107,MATCH(K927,'Datos - Catálogo TIMSS'!$A$5:$A$107,0)),"Pendiente de clasificar")))</f>
        <v/>
      </c>
      <c r="N927" s="11">
        <f>IF(K927="FUERA","Fuera del marco",IF(K927="N/A","Sin marco",IFERROR(INDEX('Datos - Catálogo TIMSS'!$F$5:$F$107,MATCH(K927,'Datos - Catálogo TIMSS'!$A$5:$A$107,0)),"Pendiente de clasificar")))</f>
        <v/>
      </c>
      <c r="O927" s="11">
        <f>IF(L927="","",IFERROR(INDEX('Datos - Catálogo TIMSS'!$C$5:$C$107,MATCH(L927,'Datos - Catálogo TIMSS'!$A$5:$A$107,0)),"?"))</f>
        <v/>
      </c>
      <c r="P927" s="11" t="inlineStr">
        <is>
          <t>N/A</t>
        </is>
      </c>
      <c r="Q927" s="38" t="inlineStr">
        <is>
          <t>Sin marco TIMSS de contenido para esta asignatura en Bachillerato</t>
        </is>
      </c>
      <c r="R927" s="38" t="inlineStr">
        <is>
          <t>Aplicar: graficar datos periódicos. Razonar: explicar tendencias con la carga nuclear efectiva</t>
        </is>
      </c>
      <c r="S927" s="39">
        <f>IFERROR(ISNUMBER(SEARCH("Conocer",$R927))/(ISNUMBER(SEARCH("Conocer",$R927))+ISNUMBER(SEARCH("Aplicar",$R927))+ISNUMBER(SEARCH("Razonar",$R927))),0)</f>
        <v/>
      </c>
      <c r="T927" s="39">
        <f>IFERROR(ISNUMBER(SEARCH("Aplicar",$R927))/(ISNUMBER(SEARCH("Conocer",$R927))+ISNUMBER(SEARCH("Aplicar",$R927))+ISNUMBER(SEARCH("Razonar",$R927))),0)</f>
        <v/>
      </c>
      <c r="U927" s="39">
        <f>IFERROR(ISNUMBER(SEARCH("Razonar",$R927))/(ISNUMBER(SEARCH("Conocer",$R927))+ISNUMBER(SEARCH("Aplicar",$R927))+ISNUMBER(SEARCH("Razonar",$R927))),0)</f>
        <v/>
      </c>
      <c r="V927" s="11" t="inlineStr">
        <is>
          <t>Química 10°</t>
        </is>
      </c>
      <c r="W927" s="11" t="inlineStr">
        <is>
          <t>Química 10°–11°</t>
        </is>
      </c>
      <c r="X927" s="11">
        <f>IF(OR(IFERROR(INDEX('Datos - Catálogo TIMSS'!$I$5:$I$107,MATCH(K927,'Datos - Catálogo TIMSS'!$A$5:$A$107,0)),"No")="Sí",IFERROR(INDEX('Datos - Catálogo TIMSS'!$I$5:$I$107,MATCH(L927,'Datos - Catálogo TIMSS'!$A$5:$A$107,0)),"No")="Sí"),1,0)</f>
        <v/>
      </c>
      <c r="Y927" s="11">
        <f>IF(IFERROR(INDEX('Datos - Catálogo TIMSS'!$J$5:$J$107,MATCH(K927,'Datos - Catálogo TIMSS'!$A$5:$A$107,0)),"No")="Sí",1,0)</f>
        <v/>
      </c>
      <c r="Z927" s="11">
        <f>IF(IFERROR(INDEX('Datos - Catálogo TIMSS'!$J$5:$J$107,MATCH(L927,'Datos - Catálogo TIMSS'!$A$5:$A$107,0)),"No")="Sí",1,0)</f>
        <v/>
      </c>
      <c r="AA927" s="11" t="inlineStr">
        <is>
          <t>N/A</t>
        </is>
      </c>
      <c r="AB927" s="11" t="inlineStr"/>
      <c r="AC927" s="11">
        <f>IF(AA927="FUERA","Fuera del marco",IF(AA927="N/A","Sin marco",IFERROR(INDEX('Datos - TIMSS 2023'!$C$5:$C$105,MATCH(AA927,'Datos - TIMSS 2023'!$A$5:$A$105,0)),"Pendiente de clasificar")))</f>
        <v/>
      </c>
      <c r="AD927" s="11" t="inlineStr">
        <is>
          <t>2. Construir y evaluar diseños para la indagación científica e interpretar datos y evidencia de forma crítica</t>
        </is>
      </c>
      <c r="AE927" s="11">
        <f>IF(AD927="","",IF(LEFT(AD927,1)="1","C1",IF(LEFT(AD927,1)="2","C2",IF(LEFT(AD927,1)="3","C3",""))))</f>
        <v/>
      </c>
      <c r="AF927" s="11" t="inlineStr">
        <is>
          <t>E1</t>
        </is>
      </c>
      <c r="AG927" s="11" t="inlineStr">
        <is>
          <t>D1</t>
        </is>
      </c>
      <c r="AH927" s="11" t="inlineStr">
        <is>
          <t>E4</t>
        </is>
      </c>
      <c r="AI927" s="11" t="inlineStr">
        <is>
          <t>D4</t>
        </is>
      </c>
      <c r="AJ927" s="11" t="inlineStr">
        <is>
          <t>E3</t>
        </is>
      </c>
      <c r="AK927" s="11" t="n"/>
      <c r="AL927" s="11" t="n"/>
      <c r="AM927" s="11" t="n"/>
      <c r="AN927" s="11" t="n"/>
      <c r="AO927" s="11" t="n"/>
      <c r="AP927" s="11" t="n"/>
      <c r="AQ927" s="11" t="n"/>
      <c r="AR927" s="11" t="n"/>
      <c r="AS927" s="11" t="n"/>
      <c r="AT927" s="11" t="n"/>
      <c r="AU927" s="11" t="n"/>
      <c r="AV927" s="11" t="n"/>
      <c r="AW927" s="11">
        <f>AF927&amp;"; "&amp;AG927&amp;"; "&amp;AH927&amp;"; "&amp;AI927&amp;"; "&amp;AJ927</f>
        <v/>
      </c>
    </row>
    <row r="928">
      <c r="A928" s="11" t="inlineStr">
        <is>
          <t>T0464-G10-QUÍ</t>
        </is>
      </c>
      <c r="B928" s="11" t="n">
        <v>10</v>
      </c>
      <c r="C928" s="11" t="inlineStr">
        <is>
          <t>Química</t>
        </is>
      </c>
      <c r="D928" s="11" t="inlineStr">
        <is>
          <t>Matriz_Bachillerato_Quimica_10_11.xlsx</t>
        </is>
      </c>
      <c r="E928" s="11" t="inlineStr">
        <is>
          <t>Química 10.°</t>
        </is>
      </c>
      <c r="F928" s="11" t="n">
        <v>37</v>
      </c>
      <c r="G928" s="11" t="inlineStr">
        <is>
          <t>4. Tabla periódica de los elementos</t>
        </is>
      </c>
      <c r="H928" s="11" t="inlineStr">
        <is>
          <t>Propiedades periódicas</t>
        </is>
      </c>
      <c r="I928" s="38" t="inlineStr">
        <is>
          <t>4.5. Interpretación de las energías de ionización sucesivas y de su variación en la tabla periódica a partir de datos reales.</t>
        </is>
      </c>
      <c r="J928" s="11" t="inlineStr">
        <is>
          <t>Sin marco</t>
        </is>
      </c>
      <c r="K928" s="11" t="inlineStr">
        <is>
          <t>N/A</t>
        </is>
      </c>
      <c r="L928" s="11" t="inlineStr"/>
      <c r="M928" s="11">
        <f>IF(K928="FUERA","Fuera del marco",IF(K928="N/A","Sin marco",IFERROR(INDEX('Datos - Catálogo TIMSS'!$C$5:$C$107,MATCH(K928,'Datos - Catálogo TIMSS'!$A$5:$A$107,0)),"Pendiente de clasificar")))</f>
        <v/>
      </c>
      <c r="N928" s="11">
        <f>IF(K928="FUERA","Fuera del marco",IF(K928="N/A","Sin marco",IFERROR(INDEX('Datos - Catálogo TIMSS'!$F$5:$F$107,MATCH(K928,'Datos - Catálogo TIMSS'!$A$5:$A$107,0)),"Pendiente de clasificar")))</f>
        <v/>
      </c>
      <c r="O928" s="11">
        <f>IF(L928="","",IFERROR(INDEX('Datos - Catálogo TIMSS'!$C$5:$C$107,MATCH(L928,'Datos - Catálogo TIMSS'!$A$5:$A$107,0)),"?"))</f>
        <v/>
      </c>
      <c r="P928" s="11" t="inlineStr">
        <is>
          <t>N/A</t>
        </is>
      </c>
      <c r="Q928" s="38" t="inlineStr">
        <is>
          <t>Sin marco TIMSS de contenido para esta asignatura en Bachillerato</t>
        </is>
      </c>
      <c r="R928" s="38" t="inlineStr">
        <is>
          <t>Aplicar: graficar energías de ionización. Razonar: deducir electrones de valencia y explicar anomalías</t>
        </is>
      </c>
      <c r="S928" s="39">
        <f>IFERROR(ISNUMBER(SEARCH("Conocer",$R928))/(ISNUMBER(SEARCH("Conocer",$R928))+ISNUMBER(SEARCH("Aplicar",$R928))+ISNUMBER(SEARCH("Razonar",$R928))),0)</f>
        <v/>
      </c>
      <c r="T928" s="39">
        <f>IFERROR(ISNUMBER(SEARCH("Aplicar",$R928))/(ISNUMBER(SEARCH("Conocer",$R928))+ISNUMBER(SEARCH("Aplicar",$R928))+ISNUMBER(SEARCH("Razonar",$R928))),0)</f>
        <v/>
      </c>
      <c r="U928" s="39">
        <f>IFERROR(ISNUMBER(SEARCH("Razonar",$R928))/(ISNUMBER(SEARCH("Conocer",$R928))+ISNUMBER(SEARCH("Aplicar",$R928))+ISNUMBER(SEARCH("Razonar",$R928))),0)</f>
        <v/>
      </c>
      <c r="V928" s="11" t="inlineStr">
        <is>
          <t>Química 10°</t>
        </is>
      </c>
      <c r="W928" s="11" t="inlineStr">
        <is>
          <t>Química 10°–11°</t>
        </is>
      </c>
      <c r="X928" s="11">
        <f>IF(OR(IFERROR(INDEX('Datos - Catálogo TIMSS'!$I$5:$I$107,MATCH(K928,'Datos - Catálogo TIMSS'!$A$5:$A$107,0)),"No")="Sí",IFERROR(INDEX('Datos - Catálogo TIMSS'!$I$5:$I$107,MATCH(L928,'Datos - Catálogo TIMSS'!$A$5:$A$107,0)),"No")="Sí"),1,0)</f>
        <v/>
      </c>
      <c r="Y928" s="11">
        <f>IF(IFERROR(INDEX('Datos - Catálogo TIMSS'!$J$5:$J$107,MATCH(K928,'Datos - Catálogo TIMSS'!$A$5:$A$107,0)),"No")="Sí",1,0)</f>
        <v/>
      </c>
      <c r="Z928" s="11">
        <f>IF(IFERROR(INDEX('Datos - Catálogo TIMSS'!$J$5:$J$107,MATCH(L928,'Datos - Catálogo TIMSS'!$A$5:$A$107,0)),"No")="Sí",1,0)</f>
        <v/>
      </c>
      <c r="AA928" s="11" t="inlineStr">
        <is>
          <t>N/A</t>
        </is>
      </c>
      <c r="AB928" s="11" t="inlineStr"/>
      <c r="AC928" s="11">
        <f>IF(AA928="FUERA","Fuera del marco",IF(AA928="N/A","Sin marco",IFERROR(INDEX('Datos - TIMSS 2023'!$C$5:$C$105,MATCH(AA928,'Datos - TIMSS 2023'!$A$5:$A$105,0)),"Pendiente de clasificar")))</f>
        <v/>
      </c>
      <c r="AD928" s="11" t="inlineStr">
        <is>
          <t>2. Construir y evaluar diseños para la indagación científica e interpretar datos y evidencia de forma crítica</t>
        </is>
      </c>
      <c r="AE928" s="11">
        <f>IF(AD928="","",IF(LEFT(AD928,1)="1","C1",IF(LEFT(AD928,1)="2","C2",IF(LEFT(AD928,1)="3","C3",""))))</f>
        <v/>
      </c>
      <c r="AF928" s="11" t="inlineStr">
        <is>
          <t>E1</t>
        </is>
      </c>
      <c r="AG928" s="11" t="inlineStr">
        <is>
          <t>E3</t>
        </is>
      </c>
      <c r="AH928" s="11" t="inlineStr">
        <is>
          <t>E2</t>
        </is>
      </c>
      <c r="AI928" s="11" t="inlineStr">
        <is>
          <t>D4</t>
        </is>
      </c>
      <c r="AJ928" s="11" t="inlineStr">
        <is>
          <t>I5</t>
        </is>
      </c>
      <c r="AK928" s="11" t="n"/>
      <c r="AL928" s="11" t="n"/>
      <c r="AM928" s="11" t="n"/>
      <c r="AN928" s="11" t="n"/>
      <c r="AO928" s="11" t="n"/>
      <c r="AP928" s="11" t="n"/>
      <c r="AQ928" s="11" t="n"/>
      <c r="AR928" s="11" t="n"/>
      <c r="AS928" s="11" t="n"/>
      <c r="AT928" s="11" t="n"/>
      <c r="AU928" s="11" t="n"/>
      <c r="AV928" s="11" t="n"/>
      <c r="AW928" s="11">
        <f>AF928&amp;"; "&amp;AG928&amp;"; "&amp;AH928&amp;"; "&amp;AI928&amp;"; "&amp;AJ928</f>
        <v/>
      </c>
    </row>
    <row r="929">
      <c r="A929" s="11" t="inlineStr">
        <is>
          <t>T0465-G10-QUÍ</t>
        </is>
      </c>
      <c r="B929" s="11" t="n">
        <v>10</v>
      </c>
      <c r="C929" s="11" t="inlineStr">
        <is>
          <t>Química</t>
        </is>
      </c>
      <c r="D929" s="11" t="inlineStr">
        <is>
          <t>Matriz_Bachillerato_Quimica_10_11.xlsx</t>
        </is>
      </c>
      <c r="E929" s="11" t="inlineStr">
        <is>
          <t>Química 10.°</t>
        </is>
      </c>
      <c r="F929" s="11" t="n">
        <v>38</v>
      </c>
      <c r="G929" s="11" t="inlineStr">
        <is>
          <t>4. Tabla periódica de los elementos</t>
        </is>
      </c>
      <c r="H929" s="11" t="inlineStr">
        <is>
          <t>Propiedades periódicas</t>
        </is>
      </c>
      <c r="I929" s="38" t="inlineStr">
        <is>
          <t>4.6. Interpretación de la afinidad electrónica como cambio de energía y de su variación según la posición de los elementos en la tabla periódica.</t>
        </is>
      </c>
      <c r="J929" s="11" t="inlineStr">
        <is>
          <t>Sin marco</t>
        </is>
      </c>
      <c r="K929" s="11" t="inlineStr">
        <is>
          <t>N/A</t>
        </is>
      </c>
      <c r="L929" s="11" t="inlineStr"/>
      <c r="M929" s="11">
        <f>IF(K929="FUERA","Fuera del marco",IF(K929="N/A","Sin marco",IFERROR(INDEX('Datos - Catálogo TIMSS'!$C$5:$C$107,MATCH(K929,'Datos - Catálogo TIMSS'!$A$5:$A$107,0)),"Pendiente de clasificar")))</f>
        <v/>
      </c>
      <c r="N929" s="11">
        <f>IF(K929="FUERA","Fuera del marco",IF(K929="N/A","Sin marco",IFERROR(INDEX('Datos - Catálogo TIMSS'!$F$5:$F$107,MATCH(K929,'Datos - Catálogo TIMSS'!$A$5:$A$107,0)),"Pendiente de clasificar")))</f>
        <v/>
      </c>
      <c r="O929" s="11">
        <f>IF(L929="","",IFERROR(INDEX('Datos - Catálogo TIMSS'!$C$5:$C$107,MATCH(L929,'Datos - Catálogo TIMSS'!$A$5:$A$107,0)),"?"))</f>
        <v/>
      </c>
      <c r="P929" s="11" t="inlineStr">
        <is>
          <t>N/A</t>
        </is>
      </c>
      <c r="Q929" s="38" t="inlineStr">
        <is>
          <t>Sin marco TIMSS de contenido para esta asignatura en Bachillerato</t>
        </is>
      </c>
      <c r="R929" s="38" t="inlineStr">
        <is>
          <t>Aplicar: interpretar datos energéticos. Razonar: justificar tendencias y excepciones</t>
        </is>
      </c>
      <c r="S929" s="39">
        <f>IFERROR(ISNUMBER(SEARCH("Conocer",$R929))/(ISNUMBER(SEARCH("Conocer",$R929))+ISNUMBER(SEARCH("Aplicar",$R929))+ISNUMBER(SEARCH("Razonar",$R929))),0)</f>
        <v/>
      </c>
      <c r="T929" s="39">
        <f>IFERROR(ISNUMBER(SEARCH("Aplicar",$R929))/(ISNUMBER(SEARCH("Conocer",$R929))+ISNUMBER(SEARCH("Aplicar",$R929))+ISNUMBER(SEARCH("Razonar",$R929))),0)</f>
        <v/>
      </c>
      <c r="U929" s="39">
        <f>IFERROR(ISNUMBER(SEARCH("Razonar",$R929))/(ISNUMBER(SEARCH("Conocer",$R929))+ISNUMBER(SEARCH("Aplicar",$R929))+ISNUMBER(SEARCH("Razonar",$R929))),0)</f>
        <v/>
      </c>
      <c r="V929" s="11" t="inlineStr">
        <is>
          <t>Química 10°</t>
        </is>
      </c>
      <c r="W929" s="11" t="inlineStr">
        <is>
          <t>Química 10°–11°</t>
        </is>
      </c>
      <c r="X929" s="11">
        <f>IF(OR(IFERROR(INDEX('Datos - Catálogo TIMSS'!$I$5:$I$107,MATCH(K929,'Datos - Catálogo TIMSS'!$A$5:$A$107,0)),"No")="Sí",IFERROR(INDEX('Datos - Catálogo TIMSS'!$I$5:$I$107,MATCH(L929,'Datos - Catálogo TIMSS'!$A$5:$A$107,0)),"No")="Sí"),1,0)</f>
        <v/>
      </c>
      <c r="Y929" s="11">
        <f>IF(IFERROR(INDEX('Datos - Catálogo TIMSS'!$J$5:$J$107,MATCH(K929,'Datos - Catálogo TIMSS'!$A$5:$A$107,0)),"No")="Sí",1,0)</f>
        <v/>
      </c>
      <c r="Z929" s="11">
        <f>IF(IFERROR(INDEX('Datos - Catálogo TIMSS'!$J$5:$J$107,MATCH(L929,'Datos - Catálogo TIMSS'!$A$5:$A$107,0)),"No")="Sí",1,0)</f>
        <v/>
      </c>
      <c r="AA929" s="11" t="inlineStr">
        <is>
          <t>N/A</t>
        </is>
      </c>
      <c r="AB929" s="11" t="inlineStr"/>
      <c r="AC929" s="11">
        <f>IF(AA929="FUERA","Fuera del marco",IF(AA929="N/A","Sin marco",IFERROR(INDEX('Datos - TIMSS 2023'!$C$5:$C$105,MATCH(AA929,'Datos - TIMSS 2023'!$A$5:$A$105,0)),"Pendiente de clasificar")))</f>
        <v/>
      </c>
      <c r="AD929" s="11" t="inlineStr">
        <is>
          <t>1. Explicar fenómenos científicamente</t>
        </is>
      </c>
      <c r="AE929" s="11">
        <f>IF(AD929="","",IF(LEFT(AD929,1)="1","C1",IF(LEFT(AD929,1)="2","C2",IF(LEFT(AD929,1)="3","C3",""))))</f>
        <v/>
      </c>
      <c r="AF929" s="11" t="inlineStr">
        <is>
          <t>E1</t>
        </is>
      </c>
      <c r="AG929" s="11" t="inlineStr">
        <is>
          <t>E3</t>
        </is>
      </c>
      <c r="AH929" s="11" t="inlineStr">
        <is>
          <t>E1</t>
        </is>
      </c>
      <c r="AI929" s="11" t="inlineStr">
        <is>
          <t>D4</t>
        </is>
      </c>
      <c r="AJ929" s="11" t="inlineStr">
        <is>
          <t>E3</t>
        </is>
      </c>
      <c r="AK929" s="11" t="n"/>
      <c r="AL929" s="11" t="n"/>
      <c r="AM929" s="11" t="n"/>
      <c r="AN929" s="11" t="n"/>
      <c r="AO929" s="11" t="n"/>
      <c r="AP929" s="11" t="n"/>
      <c r="AQ929" s="11" t="n"/>
      <c r="AR929" s="11" t="n"/>
      <c r="AS929" s="11" t="n"/>
      <c r="AT929" s="11" t="n"/>
      <c r="AU929" s="11" t="n"/>
      <c r="AV929" s="11" t="n"/>
      <c r="AW929" s="11">
        <f>AF929&amp;"; "&amp;AG929&amp;"; "&amp;AH929&amp;"; "&amp;AI929&amp;"; "&amp;AJ929</f>
        <v/>
      </c>
    </row>
    <row r="930">
      <c r="A930" s="11" t="inlineStr">
        <is>
          <t>T0466-G10-QUÍ</t>
        </is>
      </c>
      <c r="B930" s="11" t="n">
        <v>10</v>
      </c>
      <c r="C930" s="11" t="inlineStr">
        <is>
          <t>Química</t>
        </is>
      </c>
      <c r="D930" s="11" t="inlineStr">
        <is>
          <t>Matriz_Bachillerato_Quimica_10_11.xlsx</t>
        </is>
      </c>
      <c r="E930" s="11" t="inlineStr">
        <is>
          <t>Química 10.°</t>
        </is>
      </c>
      <c r="F930" s="11" t="n">
        <v>39</v>
      </c>
      <c r="G930" s="11" t="inlineStr">
        <is>
          <t>4. Tabla periódica de los elementos</t>
        </is>
      </c>
      <c r="H930" s="11" t="inlineStr">
        <is>
          <t>Propiedades periódicas</t>
        </is>
      </c>
      <c r="I930" s="38" t="inlineStr">
        <is>
          <t>4.7. Comparación de las escalas de electronegatividad y uso de la diferencia de electronegatividad para anticipar el tipo de enlace.</t>
        </is>
      </c>
      <c r="J930" s="11" t="inlineStr">
        <is>
          <t>Sin marco</t>
        </is>
      </c>
      <c r="K930" s="11" t="inlineStr">
        <is>
          <t>N/A</t>
        </is>
      </c>
      <c r="L930" s="11" t="inlineStr"/>
      <c r="M930" s="11">
        <f>IF(K930="FUERA","Fuera del marco",IF(K930="N/A","Sin marco",IFERROR(INDEX('Datos - Catálogo TIMSS'!$C$5:$C$107,MATCH(K930,'Datos - Catálogo TIMSS'!$A$5:$A$107,0)),"Pendiente de clasificar")))</f>
        <v/>
      </c>
      <c r="N930" s="11">
        <f>IF(K930="FUERA","Fuera del marco",IF(K930="N/A","Sin marco",IFERROR(INDEX('Datos - Catálogo TIMSS'!$F$5:$F$107,MATCH(K930,'Datos - Catálogo TIMSS'!$A$5:$A$107,0)),"Pendiente de clasificar")))</f>
        <v/>
      </c>
      <c r="O930" s="11">
        <f>IF(L930="","",IFERROR(INDEX('Datos - Catálogo TIMSS'!$C$5:$C$107,MATCH(L930,'Datos - Catálogo TIMSS'!$A$5:$A$107,0)),"?"))</f>
        <v/>
      </c>
      <c r="P930" s="11" t="inlineStr">
        <is>
          <t>N/A</t>
        </is>
      </c>
      <c r="Q930" s="38" t="inlineStr">
        <is>
          <t>Sin marco TIMSS de contenido para esta asignatura en Bachillerato</t>
        </is>
      </c>
      <c r="R930" s="38" t="inlineStr">
        <is>
          <t>Aplicar: calcular diferencias de electronegatividad. Razonar: predecir el tipo de enlace</t>
        </is>
      </c>
      <c r="S930" s="39">
        <f>IFERROR(ISNUMBER(SEARCH("Conocer",$R930))/(ISNUMBER(SEARCH("Conocer",$R930))+ISNUMBER(SEARCH("Aplicar",$R930))+ISNUMBER(SEARCH("Razonar",$R930))),0)</f>
        <v/>
      </c>
      <c r="T930" s="39">
        <f>IFERROR(ISNUMBER(SEARCH("Aplicar",$R930))/(ISNUMBER(SEARCH("Conocer",$R930))+ISNUMBER(SEARCH("Aplicar",$R930))+ISNUMBER(SEARCH("Razonar",$R930))),0)</f>
        <v/>
      </c>
      <c r="U930" s="39">
        <f>IFERROR(ISNUMBER(SEARCH("Razonar",$R930))/(ISNUMBER(SEARCH("Conocer",$R930))+ISNUMBER(SEARCH("Aplicar",$R930))+ISNUMBER(SEARCH("Razonar",$R930))),0)</f>
        <v/>
      </c>
      <c r="V930" s="11" t="inlineStr">
        <is>
          <t>Química 10°</t>
        </is>
      </c>
      <c r="W930" s="11" t="inlineStr">
        <is>
          <t>Química 10°–11°</t>
        </is>
      </c>
      <c r="X930" s="11">
        <f>IF(OR(IFERROR(INDEX('Datos - Catálogo TIMSS'!$I$5:$I$107,MATCH(K930,'Datos - Catálogo TIMSS'!$A$5:$A$107,0)),"No")="Sí",IFERROR(INDEX('Datos - Catálogo TIMSS'!$I$5:$I$107,MATCH(L930,'Datos - Catálogo TIMSS'!$A$5:$A$107,0)),"No")="Sí"),1,0)</f>
        <v/>
      </c>
      <c r="Y930" s="11">
        <f>IF(IFERROR(INDEX('Datos - Catálogo TIMSS'!$J$5:$J$107,MATCH(K930,'Datos - Catálogo TIMSS'!$A$5:$A$107,0)),"No")="Sí",1,0)</f>
        <v/>
      </c>
      <c r="Z930" s="11">
        <f>IF(IFERROR(INDEX('Datos - Catálogo TIMSS'!$J$5:$J$107,MATCH(L930,'Datos - Catálogo TIMSS'!$A$5:$A$107,0)),"No")="Sí",1,0)</f>
        <v/>
      </c>
      <c r="AA930" s="11" t="inlineStr">
        <is>
          <t>N/A</t>
        </is>
      </c>
      <c r="AB930" s="11" t="inlineStr"/>
      <c r="AC930" s="11">
        <f>IF(AA930="FUERA","Fuera del marco",IF(AA930="N/A","Sin marco",IFERROR(INDEX('Datos - TIMSS 2023'!$C$5:$C$105,MATCH(AA930,'Datos - TIMSS 2023'!$A$5:$A$105,0)),"Pendiente de clasificar")))</f>
        <v/>
      </c>
      <c r="AD930" s="11" t="inlineStr">
        <is>
          <t>1. Explicar fenómenos científicamente</t>
        </is>
      </c>
      <c r="AE930" s="11">
        <f>IF(AD930="","",IF(LEFT(AD930,1)="1","C1",IF(LEFT(AD930,1)="2","C2",IF(LEFT(AD930,1)="3","C3",""))))</f>
        <v/>
      </c>
      <c r="AF930" s="11" t="inlineStr">
        <is>
          <t>E1</t>
        </is>
      </c>
      <c r="AG930" s="11" t="inlineStr">
        <is>
          <t>E5</t>
        </is>
      </c>
      <c r="AH930" s="11" t="inlineStr">
        <is>
          <t>E1</t>
        </is>
      </c>
      <c r="AI930" s="11" t="inlineStr">
        <is>
          <t>I3</t>
        </is>
      </c>
      <c r="AJ930" s="11" t="inlineStr">
        <is>
          <t>E3</t>
        </is>
      </c>
      <c r="AK930" s="11" t="n"/>
      <c r="AL930" s="11" t="n"/>
      <c r="AM930" s="11" t="n"/>
      <c r="AN930" s="11" t="n"/>
      <c r="AO930" s="11" t="n"/>
      <c r="AP930" s="11" t="n"/>
      <c r="AQ930" s="11" t="n"/>
      <c r="AR930" s="11" t="n"/>
      <c r="AS930" s="11" t="n"/>
      <c r="AT930" s="11" t="n"/>
      <c r="AU930" s="11" t="n"/>
      <c r="AV930" s="11" t="n"/>
      <c r="AW930" s="11">
        <f>AF930&amp;"; "&amp;AG930&amp;"; "&amp;AH930&amp;"; "&amp;AI930&amp;"; "&amp;AJ930</f>
        <v/>
      </c>
    </row>
    <row r="931">
      <c r="A931" s="11" t="inlineStr">
        <is>
          <t>T0467-G10-QUÍ</t>
        </is>
      </c>
      <c r="B931" s="11" t="n">
        <v>10</v>
      </c>
      <c r="C931" s="11" t="inlineStr">
        <is>
          <t>Química</t>
        </is>
      </c>
      <c r="D931" s="11" t="inlineStr">
        <is>
          <t>Matriz_Bachillerato_Quimica_10_11.xlsx</t>
        </is>
      </c>
      <c r="E931" s="11" t="inlineStr">
        <is>
          <t>Química 10.°</t>
        </is>
      </c>
      <c r="F931" s="11" t="n">
        <v>40</v>
      </c>
      <c r="G931" s="11" t="inlineStr">
        <is>
          <t>4. Tabla periódica de los elementos</t>
        </is>
      </c>
      <c r="H931" s="11" t="inlineStr">
        <is>
          <t>Propiedades periódicas</t>
        </is>
      </c>
      <c r="I931" s="38" t="inlineStr">
        <is>
          <t>4.8. Análisis de las tendencias de reactividad de metales y no metales en la tabla periódica a partir de demostraciones y videos.</t>
        </is>
      </c>
      <c r="J931" s="11" t="inlineStr">
        <is>
          <t>Sin marco</t>
        </is>
      </c>
      <c r="K931" s="11" t="inlineStr">
        <is>
          <t>N/A</t>
        </is>
      </c>
      <c r="L931" s="11" t="inlineStr"/>
      <c r="M931" s="11">
        <f>IF(K931="FUERA","Fuera del marco",IF(K931="N/A","Sin marco",IFERROR(INDEX('Datos - Catálogo TIMSS'!$C$5:$C$107,MATCH(K931,'Datos - Catálogo TIMSS'!$A$5:$A$107,0)),"Pendiente de clasificar")))</f>
        <v/>
      </c>
      <c r="N931" s="11">
        <f>IF(K931="FUERA","Fuera del marco",IF(K931="N/A","Sin marco",IFERROR(INDEX('Datos - Catálogo TIMSS'!$F$5:$F$107,MATCH(K931,'Datos - Catálogo TIMSS'!$A$5:$A$107,0)),"Pendiente de clasificar")))</f>
        <v/>
      </c>
      <c r="O931" s="11">
        <f>IF(L931="","",IFERROR(INDEX('Datos - Catálogo TIMSS'!$C$5:$C$107,MATCH(L931,'Datos - Catálogo TIMSS'!$A$5:$A$107,0)),"?"))</f>
        <v/>
      </c>
      <c r="P931" s="11" t="inlineStr">
        <is>
          <t>N/A</t>
        </is>
      </c>
      <c r="Q931" s="38" t="inlineStr">
        <is>
          <t>Sin marco TIMSS de contenido para esta asignatura en Bachillerato</t>
        </is>
      </c>
      <c r="R931" s="38" t="inlineStr">
        <is>
          <t>Aplicar: ordenar por reactividad. Razonar: explicar tendencias con propiedades periódicas</t>
        </is>
      </c>
      <c r="S931" s="39">
        <f>IFERROR(ISNUMBER(SEARCH("Conocer",$R931))/(ISNUMBER(SEARCH("Conocer",$R931))+ISNUMBER(SEARCH("Aplicar",$R931))+ISNUMBER(SEARCH("Razonar",$R931))),0)</f>
        <v/>
      </c>
      <c r="T931" s="39">
        <f>IFERROR(ISNUMBER(SEARCH("Aplicar",$R931))/(ISNUMBER(SEARCH("Conocer",$R931))+ISNUMBER(SEARCH("Aplicar",$R931))+ISNUMBER(SEARCH("Razonar",$R931))),0)</f>
        <v/>
      </c>
      <c r="U931" s="39">
        <f>IFERROR(ISNUMBER(SEARCH("Razonar",$R931))/(ISNUMBER(SEARCH("Conocer",$R931))+ISNUMBER(SEARCH("Aplicar",$R931))+ISNUMBER(SEARCH("Razonar",$R931))),0)</f>
        <v/>
      </c>
      <c r="V931" s="11" t="inlineStr">
        <is>
          <t>Química 10°</t>
        </is>
      </c>
      <c r="W931" s="11" t="inlineStr">
        <is>
          <t>Química 10°–11°</t>
        </is>
      </c>
      <c r="X931" s="11">
        <f>IF(OR(IFERROR(INDEX('Datos - Catálogo TIMSS'!$I$5:$I$107,MATCH(K931,'Datos - Catálogo TIMSS'!$A$5:$A$107,0)),"No")="Sí",IFERROR(INDEX('Datos - Catálogo TIMSS'!$I$5:$I$107,MATCH(L931,'Datos - Catálogo TIMSS'!$A$5:$A$107,0)),"No")="Sí"),1,0)</f>
        <v/>
      </c>
      <c r="Y931" s="11">
        <f>IF(IFERROR(INDEX('Datos - Catálogo TIMSS'!$J$5:$J$107,MATCH(K931,'Datos - Catálogo TIMSS'!$A$5:$A$107,0)),"No")="Sí",1,0)</f>
        <v/>
      </c>
      <c r="Z931" s="11">
        <f>IF(IFERROR(INDEX('Datos - Catálogo TIMSS'!$J$5:$J$107,MATCH(L931,'Datos - Catálogo TIMSS'!$A$5:$A$107,0)),"No")="Sí",1,0)</f>
        <v/>
      </c>
      <c r="AA931" s="11" t="inlineStr">
        <is>
          <t>N/A</t>
        </is>
      </c>
      <c r="AB931" s="11" t="inlineStr"/>
      <c r="AC931" s="11">
        <f>IF(AA931="FUERA","Fuera del marco",IF(AA931="N/A","Sin marco",IFERROR(INDEX('Datos - TIMSS 2023'!$C$5:$C$105,MATCH(AA931,'Datos - TIMSS 2023'!$A$5:$A$105,0)),"Pendiente de clasificar")))</f>
        <v/>
      </c>
      <c r="AD931" s="11" t="inlineStr">
        <is>
          <t>3. Investigar, evaluar y usar información científica para tomar decisiones y actuar</t>
        </is>
      </c>
      <c r="AE931" s="11">
        <f>IF(AD931="","",IF(LEFT(AD931,1)="1","C1",IF(LEFT(AD931,1)="2","C2",IF(LEFT(AD931,1)="3","C3",""))))</f>
        <v/>
      </c>
      <c r="AF931" s="11" t="inlineStr">
        <is>
          <t>E6</t>
        </is>
      </c>
      <c r="AG931" s="11" t="inlineStr">
        <is>
          <t>D1</t>
        </is>
      </c>
      <c r="AH931" s="11" t="inlineStr">
        <is>
          <t>E4</t>
        </is>
      </c>
      <c r="AI931" s="11" t="inlineStr">
        <is>
          <t>D4</t>
        </is>
      </c>
      <c r="AJ931" s="11" t="inlineStr">
        <is>
          <t>I5</t>
        </is>
      </c>
      <c r="AK931" s="11" t="n"/>
      <c r="AL931" s="11" t="n"/>
      <c r="AM931" s="11" t="n"/>
      <c r="AN931" s="11" t="n"/>
      <c r="AO931" s="11" t="n"/>
      <c r="AP931" s="11" t="n"/>
      <c r="AQ931" s="11" t="n"/>
      <c r="AR931" s="11" t="n"/>
      <c r="AS931" s="11" t="n"/>
      <c r="AT931" s="11" t="n"/>
      <c r="AU931" s="11" t="n"/>
      <c r="AV931" s="11" t="n"/>
      <c r="AW931" s="11">
        <f>AF931&amp;"; "&amp;AG931&amp;"; "&amp;AH931&amp;"; "&amp;AI931&amp;"; "&amp;AJ931</f>
        <v/>
      </c>
    </row>
    <row r="932">
      <c r="A932" s="11" t="inlineStr">
        <is>
          <t>T0468-G10-QUÍ</t>
        </is>
      </c>
      <c r="B932" s="11" t="n">
        <v>10</v>
      </c>
      <c r="C932" s="11" t="inlineStr">
        <is>
          <t>Química</t>
        </is>
      </c>
      <c r="D932" s="11" t="inlineStr">
        <is>
          <t>Matriz_Bachillerato_Quimica_10_11.xlsx</t>
        </is>
      </c>
      <c r="E932" s="11" t="inlineStr">
        <is>
          <t>Química 10.°</t>
        </is>
      </c>
      <c r="F932" s="11" t="n">
        <v>41</v>
      </c>
      <c r="G932" s="11" t="inlineStr">
        <is>
          <t>5. Los enlaces químicos</t>
        </is>
      </c>
      <c r="H932" s="11" t="inlineStr">
        <is>
          <t>Naturaleza del enlace químico</t>
        </is>
      </c>
      <c r="I932" s="38" t="inlineStr">
        <is>
          <t>5.1. Interpretación de la curva de energía potencial frente a la distancia internuclear en la formación de un enlace.</t>
        </is>
      </c>
      <c r="J932" s="11" t="inlineStr">
        <is>
          <t>Sin marco</t>
        </is>
      </c>
      <c r="K932" s="11" t="inlineStr">
        <is>
          <t>N/A</t>
        </is>
      </c>
      <c r="L932" s="11" t="inlineStr"/>
      <c r="M932" s="11">
        <f>IF(K932="FUERA","Fuera del marco",IF(K932="N/A","Sin marco",IFERROR(INDEX('Datos - Catálogo TIMSS'!$C$5:$C$107,MATCH(K932,'Datos - Catálogo TIMSS'!$A$5:$A$107,0)),"Pendiente de clasificar")))</f>
        <v/>
      </c>
      <c r="N932" s="11">
        <f>IF(K932="FUERA","Fuera del marco",IF(K932="N/A","Sin marco",IFERROR(INDEX('Datos - Catálogo TIMSS'!$F$5:$F$107,MATCH(K932,'Datos - Catálogo TIMSS'!$A$5:$A$107,0)),"Pendiente de clasificar")))</f>
        <v/>
      </c>
      <c r="O932" s="11">
        <f>IF(L932="","",IFERROR(INDEX('Datos - Catálogo TIMSS'!$C$5:$C$107,MATCH(L932,'Datos - Catálogo TIMSS'!$A$5:$A$107,0)),"?"))</f>
        <v/>
      </c>
      <c r="P932" s="11" t="inlineStr">
        <is>
          <t>N/A</t>
        </is>
      </c>
      <c r="Q932" s="38" t="inlineStr">
        <is>
          <t>Sin marco TIMSS de contenido para esta asignatura en Bachillerato</t>
        </is>
      </c>
      <c r="R932" s="38" t="inlineStr">
        <is>
          <t>Aplicar: interpretar una gráfica energía-distancia. Razonar: justificar la estabilidad del enlace</t>
        </is>
      </c>
      <c r="S932" s="39">
        <f>IFERROR(ISNUMBER(SEARCH("Conocer",$R932))/(ISNUMBER(SEARCH("Conocer",$R932))+ISNUMBER(SEARCH("Aplicar",$R932))+ISNUMBER(SEARCH("Razonar",$R932))),0)</f>
        <v/>
      </c>
      <c r="T932" s="39">
        <f>IFERROR(ISNUMBER(SEARCH("Aplicar",$R932))/(ISNUMBER(SEARCH("Conocer",$R932))+ISNUMBER(SEARCH("Aplicar",$R932))+ISNUMBER(SEARCH("Razonar",$R932))),0)</f>
        <v/>
      </c>
      <c r="U932" s="39">
        <f>IFERROR(ISNUMBER(SEARCH("Razonar",$R932))/(ISNUMBER(SEARCH("Conocer",$R932))+ISNUMBER(SEARCH("Aplicar",$R932))+ISNUMBER(SEARCH("Razonar",$R932))),0)</f>
        <v/>
      </c>
      <c r="V932" s="11" t="inlineStr">
        <is>
          <t>Química 10°</t>
        </is>
      </c>
      <c r="W932" s="11" t="inlineStr">
        <is>
          <t>Química 10°–11°</t>
        </is>
      </c>
      <c r="X932" s="11">
        <f>IF(OR(IFERROR(INDEX('Datos - Catálogo TIMSS'!$I$5:$I$107,MATCH(K932,'Datos - Catálogo TIMSS'!$A$5:$A$107,0)),"No")="Sí",IFERROR(INDEX('Datos - Catálogo TIMSS'!$I$5:$I$107,MATCH(L932,'Datos - Catálogo TIMSS'!$A$5:$A$107,0)),"No")="Sí"),1,0)</f>
        <v/>
      </c>
      <c r="Y932" s="11">
        <f>IF(IFERROR(INDEX('Datos - Catálogo TIMSS'!$J$5:$J$107,MATCH(K932,'Datos - Catálogo TIMSS'!$A$5:$A$107,0)),"No")="Sí",1,0)</f>
        <v/>
      </c>
      <c r="Z932" s="11">
        <f>IF(IFERROR(INDEX('Datos - Catálogo TIMSS'!$J$5:$J$107,MATCH(L932,'Datos - Catálogo TIMSS'!$A$5:$A$107,0)),"No")="Sí",1,0)</f>
        <v/>
      </c>
      <c r="AA932" s="11" t="inlineStr">
        <is>
          <t>N/A</t>
        </is>
      </c>
      <c r="AB932" s="11" t="inlineStr"/>
      <c r="AC932" s="11">
        <f>IF(AA932="FUERA","Fuera del marco",IF(AA932="N/A","Sin marco",IFERROR(INDEX('Datos - TIMSS 2023'!$C$5:$C$105,MATCH(AA932,'Datos - TIMSS 2023'!$A$5:$A$105,0)),"Pendiente de clasificar")))</f>
        <v/>
      </c>
      <c r="AD932" s="11" t="inlineStr">
        <is>
          <t>1. Explicar fenómenos científicamente</t>
        </is>
      </c>
      <c r="AE932" s="11">
        <f>IF(AD932="","",IF(LEFT(AD932,1)="1","C1",IF(LEFT(AD932,1)="2","C2",IF(LEFT(AD932,1)="3","C3",""))))</f>
        <v/>
      </c>
      <c r="AF932" s="11" t="inlineStr">
        <is>
          <t>E1</t>
        </is>
      </c>
      <c r="AG932" s="11" t="inlineStr">
        <is>
          <t>D1</t>
        </is>
      </c>
      <c r="AH932" s="11" t="inlineStr">
        <is>
          <t>E2</t>
        </is>
      </c>
      <c r="AI932" s="11" t="inlineStr">
        <is>
          <t>D4</t>
        </is>
      </c>
      <c r="AJ932" s="11" t="inlineStr">
        <is>
          <t>E3</t>
        </is>
      </c>
      <c r="AK932" s="11" t="n"/>
      <c r="AL932" s="11" t="n"/>
      <c r="AM932" s="11" t="n"/>
      <c r="AN932" s="11" t="n"/>
      <c r="AO932" s="11" t="n"/>
      <c r="AP932" s="11" t="n"/>
      <c r="AQ932" s="11" t="n"/>
      <c r="AR932" s="11" t="n"/>
      <c r="AS932" s="11" t="n"/>
      <c r="AT932" s="11" t="n"/>
      <c r="AU932" s="11" t="n"/>
      <c r="AV932" s="11" t="n"/>
      <c r="AW932" s="11">
        <f>AF932&amp;"; "&amp;AG932&amp;"; "&amp;AH932&amp;"; "&amp;AI932&amp;"; "&amp;AJ932</f>
        <v/>
      </c>
    </row>
    <row r="933">
      <c r="A933" s="11" t="inlineStr">
        <is>
          <t>T0469-G10-QUÍ</t>
        </is>
      </c>
      <c r="B933" s="11" t="n">
        <v>10</v>
      </c>
      <c r="C933" s="11" t="inlineStr">
        <is>
          <t>Química</t>
        </is>
      </c>
      <c r="D933" s="11" t="inlineStr">
        <is>
          <t>Matriz_Bachillerato_Quimica_10_11.xlsx</t>
        </is>
      </c>
      <c r="E933" s="11" t="inlineStr">
        <is>
          <t>Química 10.°</t>
        </is>
      </c>
      <c r="F933" s="11" t="n">
        <v>42</v>
      </c>
      <c r="G933" s="11" t="inlineStr">
        <is>
          <t>5. Los enlaces químicos</t>
        </is>
      </c>
      <c r="H933" s="11" t="inlineStr">
        <is>
          <t>Enlace covalente</t>
        </is>
      </c>
      <c r="I933" s="38" t="inlineStr">
        <is>
          <t>5.2. Construcción de estructuras de Lewis de moléculas e iones poliatómicos, incluidas las excepciones a la regla del octeto.</t>
        </is>
      </c>
      <c r="J933" s="11" t="inlineStr">
        <is>
          <t>Sin marco</t>
        </is>
      </c>
      <c r="K933" s="11" t="inlineStr">
        <is>
          <t>N/A</t>
        </is>
      </c>
      <c r="L933" s="11" t="inlineStr"/>
      <c r="M933" s="11">
        <f>IF(K933="FUERA","Fuera del marco",IF(K933="N/A","Sin marco",IFERROR(INDEX('Datos - Catálogo TIMSS'!$C$5:$C$107,MATCH(K933,'Datos - Catálogo TIMSS'!$A$5:$A$107,0)),"Pendiente de clasificar")))</f>
        <v/>
      </c>
      <c r="N933" s="11">
        <f>IF(K933="FUERA","Fuera del marco",IF(K933="N/A","Sin marco",IFERROR(INDEX('Datos - Catálogo TIMSS'!$F$5:$F$107,MATCH(K933,'Datos - Catálogo TIMSS'!$A$5:$A$107,0)),"Pendiente de clasificar")))</f>
        <v/>
      </c>
      <c r="O933" s="11">
        <f>IF(L933="","",IFERROR(INDEX('Datos - Catálogo TIMSS'!$C$5:$C$107,MATCH(L933,'Datos - Catálogo TIMSS'!$A$5:$A$107,0)),"?"))</f>
        <v/>
      </c>
      <c r="P933" s="11" t="inlineStr">
        <is>
          <t>N/A</t>
        </is>
      </c>
      <c r="Q933" s="38" t="inlineStr">
        <is>
          <t>Sin marco TIMSS de contenido para esta asignatura en Bachillerato</t>
        </is>
      </c>
      <c r="R933" s="38" t="inlineStr">
        <is>
          <t>Aplicar: representar moléculas con estructuras de Lewis. Razonar: evaluar la validez de una estructura</t>
        </is>
      </c>
      <c r="S933" s="39">
        <f>IFERROR(ISNUMBER(SEARCH("Conocer",$R933))/(ISNUMBER(SEARCH("Conocer",$R933))+ISNUMBER(SEARCH("Aplicar",$R933))+ISNUMBER(SEARCH("Razonar",$R933))),0)</f>
        <v/>
      </c>
      <c r="T933" s="39">
        <f>IFERROR(ISNUMBER(SEARCH("Aplicar",$R933))/(ISNUMBER(SEARCH("Conocer",$R933))+ISNUMBER(SEARCH("Aplicar",$R933))+ISNUMBER(SEARCH("Razonar",$R933))),0)</f>
        <v/>
      </c>
      <c r="U933" s="39">
        <f>IFERROR(ISNUMBER(SEARCH("Razonar",$R933))/(ISNUMBER(SEARCH("Conocer",$R933))+ISNUMBER(SEARCH("Aplicar",$R933))+ISNUMBER(SEARCH("Razonar",$R933))),0)</f>
        <v/>
      </c>
      <c r="V933" s="11" t="inlineStr">
        <is>
          <t>Química 10°</t>
        </is>
      </c>
      <c r="W933" s="11" t="inlineStr">
        <is>
          <t>Química 10°–11°</t>
        </is>
      </c>
      <c r="X933" s="11">
        <f>IF(OR(IFERROR(INDEX('Datos - Catálogo TIMSS'!$I$5:$I$107,MATCH(K933,'Datos - Catálogo TIMSS'!$A$5:$A$107,0)),"No")="Sí",IFERROR(INDEX('Datos - Catálogo TIMSS'!$I$5:$I$107,MATCH(L933,'Datos - Catálogo TIMSS'!$A$5:$A$107,0)),"No")="Sí"),1,0)</f>
        <v/>
      </c>
      <c r="Y933" s="11">
        <f>IF(IFERROR(INDEX('Datos - Catálogo TIMSS'!$J$5:$J$107,MATCH(K933,'Datos - Catálogo TIMSS'!$A$5:$A$107,0)),"No")="Sí",1,0)</f>
        <v/>
      </c>
      <c r="Z933" s="11">
        <f>IF(IFERROR(INDEX('Datos - Catálogo TIMSS'!$J$5:$J$107,MATCH(L933,'Datos - Catálogo TIMSS'!$A$5:$A$107,0)),"No")="Sí",1,0)</f>
        <v/>
      </c>
      <c r="AA933" s="11" t="inlineStr">
        <is>
          <t>N/A</t>
        </is>
      </c>
      <c r="AB933" s="11" t="inlineStr"/>
      <c r="AC933" s="11">
        <f>IF(AA933="FUERA","Fuera del marco",IF(AA933="N/A","Sin marco",IFERROR(INDEX('Datos - TIMSS 2023'!$C$5:$C$105,MATCH(AA933,'Datos - TIMSS 2023'!$A$5:$A$105,0)),"Pendiente de clasificar")))</f>
        <v/>
      </c>
      <c r="AD933" s="11" t="inlineStr">
        <is>
          <t>1. Explicar fenómenos científicamente</t>
        </is>
      </c>
      <c r="AE933" s="11">
        <f>IF(AD933="","",IF(LEFT(AD933,1)="1","C1",IF(LEFT(AD933,1)="2","C2",IF(LEFT(AD933,1)="3","C3",""))))</f>
        <v/>
      </c>
      <c r="AF933" s="11" t="inlineStr">
        <is>
          <t>E1</t>
        </is>
      </c>
      <c r="AG933" s="11" t="inlineStr">
        <is>
          <t>E3</t>
        </is>
      </c>
      <c r="AH933" s="11" t="inlineStr">
        <is>
          <t>E2</t>
        </is>
      </c>
      <c r="AI933" s="11" t="inlineStr">
        <is>
          <t>D3</t>
        </is>
      </c>
      <c r="AJ933" s="11" t="inlineStr">
        <is>
          <t>I4</t>
        </is>
      </c>
      <c r="AK933" s="11" t="n"/>
      <c r="AL933" s="11" t="n"/>
      <c r="AM933" s="11" t="n"/>
      <c r="AN933" s="11" t="n"/>
      <c r="AO933" s="11" t="n"/>
      <c r="AP933" s="11" t="n"/>
      <c r="AQ933" s="11" t="n"/>
      <c r="AR933" s="11" t="n"/>
      <c r="AS933" s="11" t="n"/>
      <c r="AT933" s="11" t="n"/>
      <c r="AU933" s="11" t="n"/>
      <c r="AV933" s="11" t="n"/>
      <c r="AW933" s="11">
        <f>AF933&amp;"; "&amp;AG933&amp;"; "&amp;AH933&amp;"; "&amp;AI933&amp;"; "&amp;AJ933</f>
        <v/>
      </c>
    </row>
    <row r="934">
      <c r="A934" s="11" t="inlineStr">
        <is>
          <t>T0470-G10-QUÍ</t>
        </is>
      </c>
      <c r="B934" s="11" t="n">
        <v>10</v>
      </c>
      <c r="C934" s="11" t="inlineStr">
        <is>
          <t>Química</t>
        </is>
      </c>
      <c r="D934" s="11" t="inlineStr">
        <is>
          <t>Matriz_Bachillerato_Quimica_10_11.xlsx</t>
        </is>
      </c>
      <c r="E934" s="11" t="inlineStr">
        <is>
          <t>Química 10.°</t>
        </is>
      </c>
      <c r="F934" s="11" t="n">
        <v>43</v>
      </c>
      <c r="G934" s="11" t="inlineStr">
        <is>
          <t>5. Los enlaces químicos</t>
        </is>
      </c>
      <c r="H934" s="11" t="inlineStr">
        <is>
          <t>Enlace covalente</t>
        </is>
      </c>
      <c r="I934" s="38" t="inlineStr">
        <is>
          <t>5.3. Comparación de la teoría del enlace de valencia y la teoría de orbitales moleculares en la explicación del enlace covalente.</t>
        </is>
      </c>
      <c r="J934" s="11" t="inlineStr">
        <is>
          <t>Sin marco</t>
        </is>
      </c>
      <c r="K934" s="11" t="inlineStr">
        <is>
          <t>N/A</t>
        </is>
      </c>
      <c r="L934" s="11" t="inlineStr"/>
      <c r="M934" s="11">
        <f>IF(K934="FUERA","Fuera del marco",IF(K934="N/A","Sin marco",IFERROR(INDEX('Datos - Catálogo TIMSS'!$C$5:$C$107,MATCH(K934,'Datos - Catálogo TIMSS'!$A$5:$A$107,0)),"Pendiente de clasificar")))</f>
        <v/>
      </c>
      <c r="N934" s="11">
        <f>IF(K934="FUERA","Fuera del marco",IF(K934="N/A","Sin marco",IFERROR(INDEX('Datos - Catálogo TIMSS'!$F$5:$F$107,MATCH(K934,'Datos - Catálogo TIMSS'!$A$5:$A$107,0)),"Pendiente de clasificar")))</f>
        <v/>
      </c>
      <c r="O934" s="11">
        <f>IF(L934="","",IFERROR(INDEX('Datos - Catálogo TIMSS'!$C$5:$C$107,MATCH(L934,'Datos - Catálogo TIMSS'!$A$5:$A$107,0)),"?"))</f>
        <v/>
      </c>
      <c r="P934" s="11" t="inlineStr">
        <is>
          <t>N/A</t>
        </is>
      </c>
      <c r="Q934" s="38" t="inlineStr">
        <is>
          <t>Sin marco TIMSS de contenido para esta asignatura en Bachillerato</t>
        </is>
      </c>
      <c r="R934" s="38" t="inlineStr">
        <is>
          <t>Aplicar: calcular el orden de enlace. Razonar: comparar el poder explicativo de dos modelos</t>
        </is>
      </c>
      <c r="S934" s="39">
        <f>IFERROR(ISNUMBER(SEARCH("Conocer",$R934))/(ISNUMBER(SEARCH("Conocer",$R934))+ISNUMBER(SEARCH("Aplicar",$R934))+ISNUMBER(SEARCH("Razonar",$R934))),0)</f>
        <v/>
      </c>
      <c r="T934" s="39">
        <f>IFERROR(ISNUMBER(SEARCH("Aplicar",$R934))/(ISNUMBER(SEARCH("Conocer",$R934))+ISNUMBER(SEARCH("Aplicar",$R934))+ISNUMBER(SEARCH("Razonar",$R934))),0)</f>
        <v/>
      </c>
      <c r="U934" s="39">
        <f>IFERROR(ISNUMBER(SEARCH("Razonar",$R934))/(ISNUMBER(SEARCH("Conocer",$R934))+ISNUMBER(SEARCH("Aplicar",$R934))+ISNUMBER(SEARCH("Razonar",$R934))),0)</f>
        <v/>
      </c>
      <c r="V934" s="11" t="inlineStr">
        <is>
          <t>Química 10°</t>
        </is>
      </c>
      <c r="W934" s="11" t="inlineStr">
        <is>
          <t>Química 10°–11°</t>
        </is>
      </c>
      <c r="X934" s="11">
        <f>IF(OR(IFERROR(INDEX('Datos - Catálogo TIMSS'!$I$5:$I$107,MATCH(K934,'Datos - Catálogo TIMSS'!$A$5:$A$107,0)),"No")="Sí",IFERROR(INDEX('Datos - Catálogo TIMSS'!$I$5:$I$107,MATCH(L934,'Datos - Catálogo TIMSS'!$A$5:$A$107,0)),"No")="Sí"),1,0)</f>
        <v/>
      </c>
      <c r="Y934" s="11">
        <f>IF(IFERROR(INDEX('Datos - Catálogo TIMSS'!$J$5:$J$107,MATCH(K934,'Datos - Catálogo TIMSS'!$A$5:$A$107,0)),"No")="Sí",1,0)</f>
        <v/>
      </c>
      <c r="Z934" s="11">
        <f>IF(IFERROR(INDEX('Datos - Catálogo TIMSS'!$J$5:$J$107,MATCH(L934,'Datos - Catálogo TIMSS'!$A$5:$A$107,0)),"No")="Sí",1,0)</f>
        <v/>
      </c>
      <c r="AA934" s="11" t="inlineStr">
        <is>
          <t>N/A</t>
        </is>
      </c>
      <c r="AB934" s="11" t="inlineStr"/>
      <c r="AC934" s="11">
        <f>IF(AA934="FUERA","Fuera del marco",IF(AA934="N/A","Sin marco",IFERROR(INDEX('Datos - TIMSS 2023'!$C$5:$C$105,MATCH(AA934,'Datos - TIMSS 2023'!$A$5:$A$105,0)),"Pendiente de clasificar")))</f>
        <v/>
      </c>
      <c r="AD934" s="11" t="inlineStr">
        <is>
          <t>3. Investigar, evaluar y usar información científica para tomar decisiones y actuar</t>
        </is>
      </c>
      <c r="AE934" s="11">
        <f>IF(AD934="","",IF(LEFT(AD934,1)="1","C1",IF(LEFT(AD934,1)="2","C2",IF(LEFT(AD934,1)="3","C3",""))))</f>
        <v/>
      </c>
      <c r="AF934" s="11" t="inlineStr">
        <is>
          <t>E6</t>
        </is>
      </c>
      <c r="AG934" s="11" t="inlineStr">
        <is>
          <t>D1</t>
        </is>
      </c>
      <c r="AH934" s="11" t="inlineStr">
        <is>
          <t>E4</t>
        </is>
      </c>
      <c r="AI934" s="11" t="inlineStr">
        <is>
          <t>I1</t>
        </is>
      </c>
      <c r="AJ934" s="11" t="inlineStr">
        <is>
          <t>I5</t>
        </is>
      </c>
      <c r="AK934" s="11" t="n"/>
      <c r="AL934" s="11" t="n"/>
      <c r="AM934" s="11" t="n"/>
      <c r="AN934" s="11" t="n"/>
      <c r="AO934" s="11" t="n"/>
      <c r="AP934" s="11" t="n"/>
      <c r="AQ934" s="11" t="n"/>
      <c r="AR934" s="11" t="n"/>
      <c r="AS934" s="11" t="n"/>
      <c r="AT934" s="11" t="n"/>
      <c r="AU934" s="11" t="n"/>
      <c r="AV934" s="11" t="n"/>
      <c r="AW934" s="11">
        <f>AF934&amp;"; "&amp;AG934&amp;"; "&amp;AH934&amp;"; "&amp;AI934&amp;"; "&amp;AJ934</f>
        <v/>
      </c>
    </row>
    <row r="935">
      <c r="A935" s="11" t="inlineStr">
        <is>
          <t>T0471-G10-QUÍ</t>
        </is>
      </c>
      <c r="B935" s="11" t="n">
        <v>10</v>
      </c>
      <c r="C935" s="11" t="inlineStr">
        <is>
          <t>Química</t>
        </is>
      </c>
      <c r="D935" s="11" t="inlineStr">
        <is>
          <t>Matriz_Bachillerato_Quimica_10_11.xlsx</t>
        </is>
      </c>
      <c r="E935" s="11" t="inlineStr">
        <is>
          <t>Química 10.°</t>
        </is>
      </c>
      <c r="F935" s="11" t="n">
        <v>44</v>
      </c>
      <c r="G935" s="11" t="inlineStr">
        <is>
          <t>5. Los enlaces químicos</t>
        </is>
      </c>
      <c r="H935" s="11" t="inlineStr">
        <is>
          <t>Enlace covalente</t>
        </is>
      </c>
      <c r="I935" s="38" t="inlineStr">
        <is>
          <t>5.4. Representación de enlaces múltiples y estructuras resonantes en moléculas e iones.</t>
        </is>
      </c>
      <c r="J935" s="11" t="inlineStr">
        <is>
          <t>Sin marco</t>
        </is>
      </c>
      <c r="K935" s="11" t="inlineStr">
        <is>
          <t>N/A</t>
        </is>
      </c>
      <c r="L935" s="11" t="inlineStr"/>
      <c r="M935" s="11">
        <f>IF(K935="FUERA","Fuera del marco",IF(K935="N/A","Sin marco",IFERROR(INDEX('Datos - Catálogo TIMSS'!$C$5:$C$107,MATCH(K935,'Datos - Catálogo TIMSS'!$A$5:$A$107,0)),"Pendiente de clasificar")))</f>
        <v/>
      </c>
      <c r="N935" s="11">
        <f>IF(K935="FUERA","Fuera del marco",IF(K935="N/A","Sin marco",IFERROR(INDEX('Datos - Catálogo TIMSS'!$F$5:$F$107,MATCH(K935,'Datos - Catálogo TIMSS'!$A$5:$A$107,0)),"Pendiente de clasificar")))</f>
        <v/>
      </c>
      <c r="O935" s="11">
        <f>IF(L935="","",IFERROR(INDEX('Datos - Catálogo TIMSS'!$C$5:$C$107,MATCH(L935,'Datos - Catálogo TIMSS'!$A$5:$A$107,0)),"?"))</f>
        <v/>
      </c>
      <c r="P935" s="11" t="inlineStr">
        <is>
          <t>N/A</t>
        </is>
      </c>
      <c r="Q935" s="38" t="inlineStr">
        <is>
          <t>Sin marco TIMSS de contenido para esta asignatura en Bachillerato</t>
        </is>
      </c>
      <c r="R935" s="38" t="inlineStr">
        <is>
          <t>Aplicar: representar estructuras resonantes. Razonar: relacionar la resonancia con datos de longitud de enlace</t>
        </is>
      </c>
      <c r="S935" s="39">
        <f>IFERROR(ISNUMBER(SEARCH("Conocer",$R935))/(ISNUMBER(SEARCH("Conocer",$R935))+ISNUMBER(SEARCH("Aplicar",$R935))+ISNUMBER(SEARCH("Razonar",$R935))),0)</f>
        <v/>
      </c>
      <c r="T935" s="39">
        <f>IFERROR(ISNUMBER(SEARCH("Aplicar",$R935))/(ISNUMBER(SEARCH("Conocer",$R935))+ISNUMBER(SEARCH("Aplicar",$R935))+ISNUMBER(SEARCH("Razonar",$R935))),0)</f>
        <v/>
      </c>
      <c r="U935" s="39">
        <f>IFERROR(ISNUMBER(SEARCH("Razonar",$R935))/(ISNUMBER(SEARCH("Conocer",$R935))+ISNUMBER(SEARCH("Aplicar",$R935))+ISNUMBER(SEARCH("Razonar",$R935))),0)</f>
        <v/>
      </c>
      <c r="V935" s="11" t="inlineStr">
        <is>
          <t>Química 10°</t>
        </is>
      </c>
      <c r="W935" s="11" t="inlineStr">
        <is>
          <t>Química 10°–11°</t>
        </is>
      </c>
      <c r="X935" s="11">
        <f>IF(OR(IFERROR(INDEX('Datos - Catálogo TIMSS'!$I$5:$I$107,MATCH(K935,'Datos - Catálogo TIMSS'!$A$5:$A$107,0)),"No")="Sí",IFERROR(INDEX('Datos - Catálogo TIMSS'!$I$5:$I$107,MATCH(L935,'Datos - Catálogo TIMSS'!$A$5:$A$107,0)),"No")="Sí"),1,0)</f>
        <v/>
      </c>
      <c r="Y935" s="11">
        <f>IF(IFERROR(INDEX('Datos - Catálogo TIMSS'!$J$5:$J$107,MATCH(K935,'Datos - Catálogo TIMSS'!$A$5:$A$107,0)),"No")="Sí",1,0)</f>
        <v/>
      </c>
      <c r="Z935" s="11">
        <f>IF(IFERROR(INDEX('Datos - Catálogo TIMSS'!$J$5:$J$107,MATCH(L935,'Datos - Catálogo TIMSS'!$A$5:$A$107,0)),"No")="Sí",1,0)</f>
        <v/>
      </c>
      <c r="AA935" s="11" t="inlineStr">
        <is>
          <t>N/A</t>
        </is>
      </c>
      <c r="AB935" s="11" t="inlineStr"/>
      <c r="AC935" s="11">
        <f>IF(AA935="FUERA","Fuera del marco",IF(AA935="N/A","Sin marco",IFERROR(INDEX('Datos - TIMSS 2023'!$C$5:$C$105,MATCH(AA935,'Datos - TIMSS 2023'!$A$5:$A$105,0)),"Pendiente de clasificar")))</f>
        <v/>
      </c>
      <c r="AD935" s="11" t="inlineStr">
        <is>
          <t>1. Explicar fenómenos científicamente</t>
        </is>
      </c>
      <c r="AE935" s="11">
        <f>IF(AD935="","",IF(LEFT(AD935,1)="1","C1",IF(LEFT(AD935,1)="2","C2",IF(LEFT(AD935,1)="3","C3",""))))</f>
        <v/>
      </c>
      <c r="AF935" s="11" t="inlineStr">
        <is>
          <t>E6</t>
        </is>
      </c>
      <c r="AG935" s="11" t="inlineStr">
        <is>
          <t>E3</t>
        </is>
      </c>
      <c r="AH935" s="11" t="inlineStr">
        <is>
          <t>E2</t>
        </is>
      </c>
      <c r="AI935" s="11" t="inlineStr">
        <is>
          <t>D4</t>
        </is>
      </c>
      <c r="AJ935" s="11" t="inlineStr">
        <is>
          <t>E3</t>
        </is>
      </c>
      <c r="AK935" s="11" t="n"/>
      <c r="AL935" s="11" t="n"/>
      <c r="AM935" s="11" t="n"/>
      <c r="AN935" s="11" t="n"/>
      <c r="AO935" s="11" t="n"/>
      <c r="AP935" s="11" t="n"/>
      <c r="AQ935" s="11" t="n"/>
      <c r="AR935" s="11" t="n"/>
      <c r="AS935" s="11" t="n"/>
      <c r="AT935" s="11" t="n"/>
      <c r="AU935" s="11" t="n"/>
      <c r="AV935" s="11" t="n"/>
      <c r="AW935" s="11">
        <f>AF935&amp;"; "&amp;AG935&amp;"; "&amp;AH935&amp;"; "&amp;AI935&amp;"; "&amp;AJ935</f>
        <v/>
      </c>
    </row>
    <row r="936">
      <c r="A936" s="11" t="inlineStr">
        <is>
          <t>T0472-G10-QUÍ</t>
        </is>
      </c>
      <c r="B936" s="11" t="n">
        <v>10</v>
      </c>
      <c r="C936" s="11" t="inlineStr">
        <is>
          <t>Química</t>
        </is>
      </c>
      <c r="D936" s="11" t="inlineStr">
        <is>
          <t>Matriz_Bachillerato_Quimica_10_11.xlsx</t>
        </is>
      </c>
      <c r="E936" s="11" t="inlineStr">
        <is>
          <t>Química 10.°</t>
        </is>
      </c>
      <c r="F936" s="11" t="n">
        <v>45</v>
      </c>
      <c r="G936" s="11" t="inlineStr">
        <is>
          <t>5. Los enlaces químicos</t>
        </is>
      </c>
      <c r="H936" s="11" t="inlineStr">
        <is>
          <t>Polaridad de las moléculas</t>
        </is>
      </c>
      <c r="I936" s="38" t="inlineStr">
        <is>
          <t>5.5. Clasificación de enlaces y moléculas según la diferencia de electronegatividad y el momento dipolar.</t>
        </is>
      </c>
      <c r="J936" s="11" t="inlineStr">
        <is>
          <t>Sin marco</t>
        </is>
      </c>
      <c r="K936" s="11" t="inlineStr">
        <is>
          <t>N/A</t>
        </is>
      </c>
      <c r="L936" s="11" t="inlineStr"/>
      <c r="M936" s="11">
        <f>IF(K936="FUERA","Fuera del marco",IF(K936="N/A","Sin marco",IFERROR(INDEX('Datos - Catálogo TIMSS'!$C$5:$C$107,MATCH(K936,'Datos - Catálogo TIMSS'!$A$5:$A$107,0)),"Pendiente de clasificar")))</f>
        <v/>
      </c>
      <c r="N936" s="11">
        <f>IF(K936="FUERA","Fuera del marco",IF(K936="N/A","Sin marco",IFERROR(INDEX('Datos - Catálogo TIMSS'!$F$5:$F$107,MATCH(K936,'Datos - Catálogo TIMSS'!$A$5:$A$107,0)),"Pendiente de clasificar")))</f>
        <v/>
      </c>
      <c r="O936" s="11">
        <f>IF(L936="","",IFERROR(INDEX('Datos - Catálogo TIMSS'!$C$5:$C$107,MATCH(L936,'Datos - Catálogo TIMSS'!$A$5:$A$107,0)),"?"))</f>
        <v/>
      </c>
      <c r="P936" s="11" t="inlineStr">
        <is>
          <t>N/A</t>
        </is>
      </c>
      <c r="Q936" s="38" t="inlineStr">
        <is>
          <t>Sin marco TIMSS de contenido para esta asignatura en Bachillerato</t>
        </is>
      </c>
      <c r="R936" s="38" t="inlineStr">
        <is>
          <t>Aplicar: calcular diferencias de electronegatividad. Razonar: inferir la polaridad a partir de la geometría</t>
        </is>
      </c>
      <c r="S936" s="39">
        <f>IFERROR(ISNUMBER(SEARCH("Conocer",$R936))/(ISNUMBER(SEARCH("Conocer",$R936))+ISNUMBER(SEARCH("Aplicar",$R936))+ISNUMBER(SEARCH("Razonar",$R936))),0)</f>
        <v/>
      </c>
      <c r="T936" s="39">
        <f>IFERROR(ISNUMBER(SEARCH("Aplicar",$R936))/(ISNUMBER(SEARCH("Conocer",$R936))+ISNUMBER(SEARCH("Aplicar",$R936))+ISNUMBER(SEARCH("Razonar",$R936))),0)</f>
        <v/>
      </c>
      <c r="U936" s="39">
        <f>IFERROR(ISNUMBER(SEARCH("Razonar",$R936))/(ISNUMBER(SEARCH("Conocer",$R936))+ISNUMBER(SEARCH("Aplicar",$R936))+ISNUMBER(SEARCH("Razonar",$R936))),0)</f>
        <v/>
      </c>
      <c r="V936" s="11" t="inlineStr">
        <is>
          <t>Química 10°</t>
        </is>
      </c>
      <c r="W936" s="11" t="inlineStr">
        <is>
          <t>Química 10°–11°</t>
        </is>
      </c>
      <c r="X936" s="11">
        <f>IF(OR(IFERROR(INDEX('Datos - Catálogo TIMSS'!$I$5:$I$107,MATCH(K936,'Datos - Catálogo TIMSS'!$A$5:$A$107,0)),"No")="Sí",IFERROR(INDEX('Datos - Catálogo TIMSS'!$I$5:$I$107,MATCH(L936,'Datos - Catálogo TIMSS'!$A$5:$A$107,0)),"No")="Sí"),1,0)</f>
        <v/>
      </c>
      <c r="Y936" s="11">
        <f>IF(IFERROR(INDEX('Datos - Catálogo TIMSS'!$J$5:$J$107,MATCH(K936,'Datos - Catálogo TIMSS'!$A$5:$A$107,0)),"No")="Sí",1,0)</f>
        <v/>
      </c>
      <c r="Z936" s="11">
        <f>IF(IFERROR(INDEX('Datos - Catálogo TIMSS'!$J$5:$J$107,MATCH(L936,'Datos - Catálogo TIMSS'!$A$5:$A$107,0)),"No")="Sí",1,0)</f>
        <v/>
      </c>
      <c r="AA936" s="11" t="inlineStr">
        <is>
          <t>N/A</t>
        </is>
      </c>
      <c r="AB936" s="11" t="inlineStr"/>
      <c r="AC936" s="11">
        <f>IF(AA936="FUERA","Fuera del marco",IF(AA936="N/A","Sin marco",IFERROR(INDEX('Datos - TIMSS 2023'!$C$5:$C$105,MATCH(AA936,'Datos - TIMSS 2023'!$A$5:$A$105,0)),"Pendiente de clasificar")))</f>
        <v/>
      </c>
      <c r="AD936" s="11" t="inlineStr">
        <is>
          <t>1. Explicar fenómenos científicamente</t>
        </is>
      </c>
      <c r="AE936" s="11">
        <f>IF(AD936="","",IF(LEFT(AD936,1)="1","C1",IF(LEFT(AD936,1)="2","C2",IF(LEFT(AD936,1)="3","C3",""))))</f>
        <v/>
      </c>
      <c r="AF936" s="11" t="inlineStr">
        <is>
          <t>E1</t>
        </is>
      </c>
      <c r="AG936" s="11" t="inlineStr">
        <is>
          <t>E5</t>
        </is>
      </c>
      <c r="AH936" s="11" t="inlineStr">
        <is>
          <t>E4</t>
        </is>
      </c>
      <c r="AI936" s="11" t="inlineStr">
        <is>
          <t>D4</t>
        </is>
      </c>
      <c r="AJ936" s="11" t="inlineStr">
        <is>
          <t>E6</t>
        </is>
      </c>
      <c r="AK936" s="11" t="n"/>
      <c r="AL936" s="11" t="n"/>
      <c r="AM936" s="11" t="n"/>
      <c r="AN936" s="11" t="n"/>
      <c r="AO936" s="11" t="n"/>
      <c r="AP936" s="11" t="n"/>
      <c r="AQ936" s="11" t="n"/>
      <c r="AR936" s="11" t="n"/>
      <c r="AS936" s="11" t="n"/>
      <c r="AT936" s="11" t="n"/>
      <c r="AU936" s="11" t="n"/>
      <c r="AV936" s="11" t="n"/>
      <c r="AW936" s="11">
        <f>AF936&amp;"; "&amp;AG936&amp;"; "&amp;AH936&amp;"; "&amp;AI936&amp;"; "&amp;AJ936</f>
        <v/>
      </c>
    </row>
    <row r="937">
      <c r="A937" s="11" t="inlineStr">
        <is>
          <t>T0473-G10-QUÍ</t>
        </is>
      </c>
      <c r="B937" s="11" t="n">
        <v>10</v>
      </c>
      <c r="C937" s="11" t="inlineStr">
        <is>
          <t>Química</t>
        </is>
      </c>
      <c r="D937" s="11" t="inlineStr">
        <is>
          <t>Matriz_Bachillerato_Quimica_10_11.xlsx</t>
        </is>
      </c>
      <c r="E937" s="11" t="inlineStr">
        <is>
          <t>Química 10.°</t>
        </is>
      </c>
      <c r="F937" s="11" t="n">
        <v>46</v>
      </c>
      <c r="G937" s="11" t="inlineStr">
        <is>
          <t>5. Los enlaces químicos</t>
        </is>
      </c>
      <c r="H937" s="11" t="inlineStr">
        <is>
          <t>Geometría molecular</t>
        </is>
      </c>
      <c r="I937" s="38" t="inlineStr">
        <is>
          <t>5.6. Predicción de la geometría molecular y los ángulos de enlace mediante la teoría de repulsión de los pares electrónicos de la capa de valencia.</t>
        </is>
      </c>
      <c r="J937" s="11" t="inlineStr">
        <is>
          <t>Sin marco</t>
        </is>
      </c>
      <c r="K937" s="11" t="inlineStr">
        <is>
          <t>N/A</t>
        </is>
      </c>
      <c r="L937" s="11" t="inlineStr"/>
      <c r="M937" s="11">
        <f>IF(K937="FUERA","Fuera del marco",IF(K937="N/A","Sin marco",IFERROR(INDEX('Datos - Catálogo TIMSS'!$C$5:$C$107,MATCH(K937,'Datos - Catálogo TIMSS'!$A$5:$A$107,0)),"Pendiente de clasificar")))</f>
        <v/>
      </c>
      <c r="N937" s="11">
        <f>IF(K937="FUERA","Fuera del marco",IF(K937="N/A","Sin marco",IFERROR(INDEX('Datos - Catálogo TIMSS'!$F$5:$F$107,MATCH(K937,'Datos - Catálogo TIMSS'!$A$5:$A$107,0)),"Pendiente de clasificar")))</f>
        <v/>
      </c>
      <c r="O937" s="11">
        <f>IF(L937="","",IFERROR(INDEX('Datos - Catálogo TIMSS'!$C$5:$C$107,MATCH(L937,'Datos - Catálogo TIMSS'!$A$5:$A$107,0)),"?"))</f>
        <v/>
      </c>
      <c r="P937" s="11" t="inlineStr">
        <is>
          <t>N/A</t>
        </is>
      </c>
      <c r="Q937" s="38" t="inlineStr">
        <is>
          <t>Sin marco TIMSS de contenido para esta asignatura en Bachillerato</t>
        </is>
      </c>
      <c r="R937" s="38" t="inlineStr">
        <is>
          <t>Aplicar: predecir geometrías con la TRPECV. Razonar: explicar desviaciones de los ángulos ideales</t>
        </is>
      </c>
      <c r="S937" s="39">
        <f>IFERROR(ISNUMBER(SEARCH("Conocer",$R937))/(ISNUMBER(SEARCH("Conocer",$R937))+ISNUMBER(SEARCH("Aplicar",$R937))+ISNUMBER(SEARCH("Razonar",$R937))),0)</f>
        <v/>
      </c>
      <c r="T937" s="39">
        <f>IFERROR(ISNUMBER(SEARCH("Aplicar",$R937))/(ISNUMBER(SEARCH("Conocer",$R937))+ISNUMBER(SEARCH("Aplicar",$R937))+ISNUMBER(SEARCH("Razonar",$R937))),0)</f>
        <v/>
      </c>
      <c r="U937" s="39">
        <f>IFERROR(ISNUMBER(SEARCH("Razonar",$R937))/(ISNUMBER(SEARCH("Conocer",$R937))+ISNUMBER(SEARCH("Aplicar",$R937))+ISNUMBER(SEARCH("Razonar",$R937))),0)</f>
        <v/>
      </c>
      <c r="V937" s="11" t="inlineStr">
        <is>
          <t>Química 10°</t>
        </is>
      </c>
      <c r="W937" s="11" t="inlineStr">
        <is>
          <t>Química 10°–11°</t>
        </is>
      </c>
      <c r="X937" s="11">
        <f>IF(OR(IFERROR(INDEX('Datos - Catálogo TIMSS'!$I$5:$I$107,MATCH(K937,'Datos - Catálogo TIMSS'!$A$5:$A$107,0)),"No")="Sí",IFERROR(INDEX('Datos - Catálogo TIMSS'!$I$5:$I$107,MATCH(L937,'Datos - Catálogo TIMSS'!$A$5:$A$107,0)),"No")="Sí"),1,0)</f>
        <v/>
      </c>
      <c r="Y937" s="11">
        <f>IF(IFERROR(INDEX('Datos - Catálogo TIMSS'!$J$5:$J$107,MATCH(K937,'Datos - Catálogo TIMSS'!$A$5:$A$107,0)),"No")="Sí",1,0)</f>
        <v/>
      </c>
      <c r="Z937" s="11">
        <f>IF(IFERROR(INDEX('Datos - Catálogo TIMSS'!$J$5:$J$107,MATCH(L937,'Datos - Catálogo TIMSS'!$A$5:$A$107,0)),"No")="Sí",1,0)</f>
        <v/>
      </c>
      <c r="AA937" s="11" t="inlineStr">
        <is>
          <t>N/A</t>
        </is>
      </c>
      <c r="AB937" s="11" t="inlineStr"/>
      <c r="AC937" s="11">
        <f>IF(AA937="FUERA","Fuera del marco",IF(AA937="N/A","Sin marco",IFERROR(INDEX('Datos - TIMSS 2023'!$C$5:$C$105,MATCH(AA937,'Datos - TIMSS 2023'!$A$5:$A$105,0)),"Pendiente de clasificar")))</f>
        <v/>
      </c>
      <c r="AD937" s="11" t="inlineStr">
        <is>
          <t>1. Explicar fenómenos científicamente</t>
        </is>
      </c>
      <c r="AE937" s="11">
        <f>IF(AD937="","",IF(LEFT(AD937,1)="1","C1",IF(LEFT(AD937,1)="2","C2",IF(LEFT(AD937,1)="3","C3",""))))</f>
        <v/>
      </c>
      <c r="AF937" s="11" t="inlineStr">
        <is>
          <t>E1</t>
        </is>
      </c>
      <c r="AG937" s="11" t="inlineStr">
        <is>
          <t>E5</t>
        </is>
      </c>
      <c r="AH937" s="11" t="inlineStr">
        <is>
          <t>E4</t>
        </is>
      </c>
      <c r="AI937" s="11" t="inlineStr">
        <is>
          <t>D4</t>
        </is>
      </c>
      <c r="AJ937" s="11" t="inlineStr">
        <is>
          <t>E3</t>
        </is>
      </c>
      <c r="AK937" s="11" t="n"/>
      <c r="AL937" s="11" t="n"/>
      <c r="AM937" s="11" t="n"/>
      <c r="AN937" s="11" t="n"/>
      <c r="AO937" s="11" t="n"/>
      <c r="AP937" s="11" t="n"/>
      <c r="AQ937" s="11" t="n"/>
      <c r="AR937" s="11" t="n"/>
      <c r="AS937" s="11" t="n"/>
      <c r="AT937" s="11" t="n"/>
      <c r="AU937" s="11" t="n"/>
      <c r="AV937" s="11" t="n"/>
      <c r="AW937" s="11">
        <f>AF937&amp;"; "&amp;AG937&amp;"; "&amp;AH937&amp;"; "&amp;AI937&amp;"; "&amp;AJ937</f>
        <v/>
      </c>
    </row>
    <row r="938">
      <c r="A938" s="11" t="inlineStr">
        <is>
          <t>T0474-G10-QUÍ</t>
        </is>
      </c>
      <c r="B938" s="11" t="n">
        <v>10</v>
      </c>
      <c r="C938" s="11" t="inlineStr">
        <is>
          <t>Química</t>
        </is>
      </c>
      <c r="D938" s="11" t="inlineStr">
        <is>
          <t>Matriz_Bachillerato_Quimica_10_11.xlsx</t>
        </is>
      </c>
      <c r="E938" s="11" t="inlineStr">
        <is>
          <t>Química 10.°</t>
        </is>
      </c>
      <c r="F938" s="11" t="n">
        <v>47</v>
      </c>
      <c r="G938" s="11" t="inlineStr">
        <is>
          <t>5. Los enlaces químicos</t>
        </is>
      </c>
      <c r="H938" s="11" t="inlineStr">
        <is>
          <t>Geometría molecular</t>
        </is>
      </c>
      <c r="I938" s="38" t="inlineStr">
        <is>
          <t>5.7. Relación entre el tipo de hibridación del átomo central y la geometría de la molécula.</t>
        </is>
      </c>
      <c r="J938" s="11" t="inlineStr">
        <is>
          <t>Sin marco</t>
        </is>
      </c>
      <c r="K938" s="11" t="inlineStr">
        <is>
          <t>N/A</t>
        </is>
      </c>
      <c r="L938" s="11" t="inlineStr"/>
      <c r="M938" s="11">
        <f>IF(K938="FUERA","Fuera del marco",IF(K938="N/A","Sin marco",IFERROR(INDEX('Datos - Catálogo TIMSS'!$C$5:$C$107,MATCH(K938,'Datos - Catálogo TIMSS'!$A$5:$A$107,0)),"Pendiente de clasificar")))</f>
        <v/>
      </c>
      <c r="N938" s="11">
        <f>IF(K938="FUERA","Fuera del marco",IF(K938="N/A","Sin marco",IFERROR(INDEX('Datos - Catálogo TIMSS'!$F$5:$F$107,MATCH(K938,'Datos - Catálogo TIMSS'!$A$5:$A$107,0)),"Pendiente de clasificar")))</f>
        <v/>
      </c>
      <c r="O938" s="11">
        <f>IF(L938="","",IFERROR(INDEX('Datos - Catálogo TIMSS'!$C$5:$C$107,MATCH(L938,'Datos - Catálogo TIMSS'!$A$5:$A$107,0)),"?"))</f>
        <v/>
      </c>
      <c r="P938" s="11" t="inlineStr">
        <is>
          <t>N/A</t>
        </is>
      </c>
      <c r="Q938" s="38" t="inlineStr">
        <is>
          <t>Sin marco TIMSS de contenido para esta asignatura en Bachillerato</t>
        </is>
      </c>
      <c r="R938" s="38" t="inlineStr">
        <is>
          <t>Aplicar: asignar hibridaciones. Razonar: vincular hibridación, geometría y tipo de enlace</t>
        </is>
      </c>
      <c r="S938" s="39">
        <f>IFERROR(ISNUMBER(SEARCH("Conocer",$R938))/(ISNUMBER(SEARCH("Conocer",$R938))+ISNUMBER(SEARCH("Aplicar",$R938))+ISNUMBER(SEARCH("Razonar",$R938))),0)</f>
        <v/>
      </c>
      <c r="T938" s="39">
        <f>IFERROR(ISNUMBER(SEARCH("Aplicar",$R938))/(ISNUMBER(SEARCH("Conocer",$R938))+ISNUMBER(SEARCH("Aplicar",$R938))+ISNUMBER(SEARCH("Razonar",$R938))),0)</f>
        <v/>
      </c>
      <c r="U938" s="39">
        <f>IFERROR(ISNUMBER(SEARCH("Razonar",$R938))/(ISNUMBER(SEARCH("Conocer",$R938))+ISNUMBER(SEARCH("Aplicar",$R938))+ISNUMBER(SEARCH("Razonar",$R938))),0)</f>
        <v/>
      </c>
      <c r="V938" s="11" t="inlineStr">
        <is>
          <t>Química 10°</t>
        </is>
      </c>
      <c r="W938" s="11" t="inlineStr">
        <is>
          <t>Química 10°–11°</t>
        </is>
      </c>
      <c r="X938" s="11">
        <f>IF(OR(IFERROR(INDEX('Datos - Catálogo TIMSS'!$I$5:$I$107,MATCH(K938,'Datos - Catálogo TIMSS'!$A$5:$A$107,0)),"No")="Sí",IFERROR(INDEX('Datos - Catálogo TIMSS'!$I$5:$I$107,MATCH(L938,'Datos - Catálogo TIMSS'!$A$5:$A$107,0)),"No")="Sí"),1,0)</f>
        <v/>
      </c>
      <c r="Y938" s="11">
        <f>IF(IFERROR(INDEX('Datos - Catálogo TIMSS'!$J$5:$J$107,MATCH(K938,'Datos - Catálogo TIMSS'!$A$5:$A$107,0)),"No")="Sí",1,0)</f>
        <v/>
      </c>
      <c r="Z938" s="11">
        <f>IF(IFERROR(INDEX('Datos - Catálogo TIMSS'!$J$5:$J$107,MATCH(L938,'Datos - Catálogo TIMSS'!$A$5:$A$107,0)),"No")="Sí",1,0)</f>
        <v/>
      </c>
      <c r="AA938" s="11" t="inlineStr">
        <is>
          <t>N/A</t>
        </is>
      </c>
      <c r="AB938" s="11" t="inlineStr"/>
      <c r="AC938" s="11">
        <f>IF(AA938="FUERA","Fuera del marco",IF(AA938="N/A","Sin marco",IFERROR(INDEX('Datos - TIMSS 2023'!$C$5:$C$105,MATCH(AA938,'Datos - TIMSS 2023'!$A$5:$A$105,0)),"Pendiente de clasificar")))</f>
        <v/>
      </c>
      <c r="AD938" s="11" t="inlineStr">
        <is>
          <t>1. Explicar fenómenos científicamente</t>
        </is>
      </c>
      <c r="AE938" s="11">
        <f>IF(AD938="","",IF(LEFT(AD938,1)="1","C1",IF(LEFT(AD938,1)="2","C2",IF(LEFT(AD938,1)="3","C3",""))))</f>
        <v/>
      </c>
      <c r="AF938" s="11" t="inlineStr">
        <is>
          <t>E1</t>
        </is>
      </c>
      <c r="AG938" s="11" t="inlineStr">
        <is>
          <t>D1</t>
        </is>
      </c>
      <c r="AH938" s="11" t="inlineStr">
        <is>
          <t>E4</t>
        </is>
      </c>
      <c r="AI938" s="11" t="inlineStr">
        <is>
          <t>I1</t>
        </is>
      </c>
      <c r="AJ938" s="11" t="inlineStr">
        <is>
          <t>E3</t>
        </is>
      </c>
      <c r="AK938" s="11" t="n"/>
      <c r="AL938" s="11" t="n"/>
      <c r="AM938" s="11" t="n"/>
      <c r="AN938" s="11" t="n"/>
      <c r="AO938" s="11" t="n"/>
      <c r="AP938" s="11" t="n"/>
      <c r="AQ938" s="11" t="n"/>
      <c r="AR938" s="11" t="n"/>
      <c r="AS938" s="11" t="n"/>
      <c r="AT938" s="11" t="n"/>
      <c r="AU938" s="11" t="n"/>
      <c r="AV938" s="11" t="n"/>
      <c r="AW938" s="11">
        <f>AF938&amp;"; "&amp;AG938&amp;"; "&amp;AH938&amp;"; "&amp;AI938&amp;"; "&amp;AJ938</f>
        <v/>
      </c>
    </row>
    <row r="939">
      <c r="A939" s="11" t="inlineStr">
        <is>
          <t>T0475-G10-QUÍ</t>
        </is>
      </c>
      <c r="B939" s="11" t="n">
        <v>10</v>
      </c>
      <c r="C939" s="11" t="inlineStr">
        <is>
          <t>Química</t>
        </is>
      </c>
      <c r="D939" s="11" t="inlineStr">
        <is>
          <t>Matriz_Bachillerato_Quimica_10_11.xlsx</t>
        </is>
      </c>
      <c r="E939" s="11" t="inlineStr">
        <is>
          <t>Química 10.°</t>
        </is>
      </c>
      <c r="F939" s="11" t="n">
        <v>48</v>
      </c>
      <c r="G939" s="11" t="inlineStr">
        <is>
          <t>5. Los enlaces químicos</t>
        </is>
      </c>
      <c r="H939" s="11" t="inlineStr">
        <is>
          <t>Fuerzas intermoleculares</t>
        </is>
      </c>
      <c r="I939" s="38" t="inlineStr">
        <is>
          <t>5.8. Análisis de la relación entre el tipo de fuerza intermolecular y el punto de ebullición de sustancias moleculares.</t>
        </is>
      </c>
      <c r="J939" s="11" t="inlineStr">
        <is>
          <t>Sin marco</t>
        </is>
      </c>
      <c r="K939" s="11" t="inlineStr">
        <is>
          <t>N/A</t>
        </is>
      </c>
      <c r="L939" s="11" t="inlineStr"/>
      <c r="M939" s="11">
        <f>IF(K939="FUERA","Fuera del marco",IF(K939="N/A","Sin marco",IFERROR(INDEX('Datos - Catálogo TIMSS'!$C$5:$C$107,MATCH(K939,'Datos - Catálogo TIMSS'!$A$5:$A$107,0)),"Pendiente de clasificar")))</f>
        <v/>
      </c>
      <c r="N939" s="11">
        <f>IF(K939="FUERA","Fuera del marco",IF(K939="N/A","Sin marco",IFERROR(INDEX('Datos - Catálogo TIMSS'!$F$5:$F$107,MATCH(K939,'Datos - Catálogo TIMSS'!$A$5:$A$107,0)),"Pendiente de clasificar")))</f>
        <v/>
      </c>
      <c r="O939" s="11">
        <f>IF(L939="","",IFERROR(INDEX('Datos - Catálogo TIMSS'!$C$5:$C$107,MATCH(L939,'Datos - Catálogo TIMSS'!$A$5:$A$107,0)),"?"))</f>
        <v/>
      </c>
      <c r="P939" s="11" t="inlineStr">
        <is>
          <t>N/A</t>
        </is>
      </c>
      <c r="Q939" s="38" t="inlineStr">
        <is>
          <t>Sin marco TIMSS de contenido para esta asignatura en Bachillerato</t>
        </is>
      </c>
      <c r="R939" s="38" t="inlineStr">
        <is>
          <t>Aplicar: graficar datos de ebullición. Razonar: explicar anomalías con modelos de interacción</t>
        </is>
      </c>
      <c r="S939" s="39">
        <f>IFERROR(ISNUMBER(SEARCH("Conocer",$R939))/(ISNUMBER(SEARCH("Conocer",$R939))+ISNUMBER(SEARCH("Aplicar",$R939))+ISNUMBER(SEARCH("Razonar",$R939))),0)</f>
        <v/>
      </c>
      <c r="T939" s="39">
        <f>IFERROR(ISNUMBER(SEARCH("Aplicar",$R939))/(ISNUMBER(SEARCH("Conocer",$R939))+ISNUMBER(SEARCH("Aplicar",$R939))+ISNUMBER(SEARCH("Razonar",$R939))),0)</f>
        <v/>
      </c>
      <c r="U939" s="39">
        <f>IFERROR(ISNUMBER(SEARCH("Razonar",$R939))/(ISNUMBER(SEARCH("Conocer",$R939))+ISNUMBER(SEARCH("Aplicar",$R939))+ISNUMBER(SEARCH("Razonar",$R939))),0)</f>
        <v/>
      </c>
      <c r="V939" s="11" t="inlineStr">
        <is>
          <t>Química 10°</t>
        </is>
      </c>
      <c r="W939" s="11" t="inlineStr">
        <is>
          <t>Química 10°–11°</t>
        </is>
      </c>
      <c r="X939" s="11">
        <f>IF(OR(IFERROR(INDEX('Datos - Catálogo TIMSS'!$I$5:$I$107,MATCH(K939,'Datos - Catálogo TIMSS'!$A$5:$A$107,0)),"No")="Sí",IFERROR(INDEX('Datos - Catálogo TIMSS'!$I$5:$I$107,MATCH(L939,'Datos - Catálogo TIMSS'!$A$5:$A$107,0)),"No")="Sí"),1,0)</f>
        <v/>
      </c>
      <c r="Y939" s="11">
        <f>IF(IFERROR(INDEX('Datos - Catálogo TIMSS'!$J$5:$J$107,MATCH(K939,'Datos - Catálogo TIMSS'!$A$5:$A$107,0)),"No")="Sí",1,0)</f>
        <v/>
      </c>
      <c r="Z939" s="11">
        <f>IF(IFERROR(INDEX('Datos - Catálogo TIMSS'!$J$5:$J$107,MATCH(L939,'Datos - Catálogo TIMSS'!$A$5:$A$107,0)),"No")="Sí",1,0)</f>
        <v/>
      </c>
      <c r="AA939" s="11" t="inlineStr">
        <is>
          <t>N/A</t>
        </is>
      </c>
      <c r="AB939" s="11" t="inlineStr"/>
      <c r="AC939" s="11">
        <f>IF(AA939="FUERA","Fuera del marco",IF(AA939="N/A","Sin marco",IFERROR(INDEX('Datos - TIMSS 2023'!$C$5:$C$105,MATCH(AA939,'Datos - TIMSS 2023'!$A$5:$A$105,0)),"Pendiente de clasificar")))</f>
        <v/>
      </c>
      <c r="AD939" s="11" t="inlineStr">
        <is>
          <t>2. Construir y evaluar diseños para la indagación científica e interpretar datos y evidencia de forma crítica</t>
        </is>
      </c>
      <c r="AE939" s="11">
        <f>IF(AD939="","",IF(LEFT(AD939,1)="1","C1",IF(LEFT(AD939,1)="2","C2",IF(LEFT(AD939,1)="3","C3",""))))</f>
        <v/>
      </c>
      <c r="AF939" s="11" t="inlineStr">
        <is>
          <t>E6</t>
        </is>
      </c>
      <c r="AG939" s="11" t="inlineStr">
        <is>
          <t>D1</t>
        </is>
      </c>
      <c r="AH939" s="11" t="inlineStr">
        <is>
          <t>E2</t>
        </is>
      </c>
      <c r="AI939" s="11" t="inlineStr">
        <is>
          <t>D4</t>
        </is>
      </c>
      <c r="AJ939" s="11" t="inlineStr">
        <is>
          <t>E3</t>
        </is>
      </c>
      <c r="AK939" s="11" t="n"/>
      <c r="AL939" s="11" t="n"/>
      <c r="AM939" s="11" t="n"/>
      <c r="AN939" s="11" t="n"/>
      <c r="AO939" s="11" t="n"/>
      <c r="AP939" s="11" t="n"/>
      <c r="AQ939" s="11" t="n"/>
      <c r="AR939" s="11" t="n"/>
      <c r="AS939" s="11" t="n"/>
      <c r="AT939" s="11" t="n"/>
      <c r="AU939" s="11" t="n"/>
      <c r="AV939" s="11" t="n"/>
      <c r="AW939" s="11">
        <f>AF939&amp;"; "&amp;AG939&amp;"; "&amp;AH939&amp;"; "&amp;AI939&amp;"; "&amp;AJ939</f>
        <v/>
      </c>
    </row>
    <row r="940">
      <c r="A940" s="11" t="inlineStr">
        <is>
          <t>T0476-G10-QUÍ</t>
        </is>
      </c>
      <c r="B940" s="11" t="n">
        <v>10</v>
      </c>
      <c r="C940" s="11" t="inlineStr">
        <is>
          <t>Química</t>
        </is>
      </c>
      <c r="D940" s="11" t="inlineStr">
        <is>
          <t>Matriz_Bachillerato_Quimica_10_11.xlsx</t>
        </is>
      </c>
      <c r="E940" s="11" t="inlineStr">
        <is>
          <t>Química 10.°</t>
        </is>
      </c>
      <c r="F940" s="11" t="n">
        <v>49</v>
      </c>
      <c r="G940" s="11" t="inlineStr">
        <is>
          <t>5. Los enlaces químicos</t>
        </is>
      </c>
      <c r="H940" s="11" t="inlineStr">
        <is>
          <t>Sustancias covalentes</t>
        </is>
      </c>
      <c r="I940" s="38" t="inlineStr">
        <is>
          <t>5.9. Comparación de las propiedades de las sustancias moleculares y los sólidos covalentes reticulares.</t>
        </is>
      </c>
      <c r="J940" s="11" t="inlineStr">
        <is>
          <t>Sin marco</t>
        </is>
      </c>
      <c r="K940" s="11" t="inlineStr">
        <is>
          <t>N/A</t>
        </is>
      </c>
      <c r="L940" s="11" t="inlineStr"/>
      <c r="M940" s="11">
        <f>IF(K940="FUERA","Fuera del marco",IF(K940="N/A","Sin marco",IFERROR(INDEX('Datos - Catálogo TIMSS'!$C$5:$C$107,MATCH(K940,'Datos - Catálogo TIMSS'!$A$5:$A$107,0)),"Pendiente de clasificar")))</f>
        <v/>
      </c>
      <c r="N940" s="11">
        <f>IF(K940="FUERA","Fuera del marco",IF(K940="N/A","Sin marco",IFERROR(INDEX('Datos - Catálogo TIMSS'!$F$5:$F$107,MATCH(K940,'Datos - Catálogo TIMSS'!$A$5:$A$107,0)),"Pendiente de clasificar")))</f>
        <v/>
      </c>
      <c r="O940" s="11">
        <f>IF(L940="","",IFERROR(INDEX('Datos - Catálogo TIMSS'!$C$5:$C$107,MATCH(L940,'Datos - Catálogo TIMSS'!$A$5:$A$107,0)),"?"))</f>
        <v/>
      </c>
      <c r="P940" s="11" t="inlineStr">
        <is>
          <t>N/A</t>
        </is>
      </c>
      <c r="Q940" s="38" t="inlineStr">
        <is>
          <t>Sin marco TIMSS de contenido para esta asignatura en Bachillerato</t>
        </is>
      </c>
      <c r="R940" s="38" t="inlineStr">
        <is>
          <t>Conocer: identificar tipos de sustancias covalentes. Razonar: argumentar usos a partir de propiedades</t>
        </is>
      </c>
      <c r="S940" s="39">
        <f>IFERROR(ISNUMBER(SEARCH("Conocer",$R940))/(ISNUMBER(SEARCH("Conocer",$R940))+ISNUMBER(SEARCH("Aplicar",$R940))+ISNUMBER(SEARCH("Razonar",$R940))),0)</f>
        <v/>
      </c>
      <c r="T940" s="39">
        <f>IFERROR(ISNUMBER(SEARCH("Aplicar",$R940))/(ISNUMBER(SEARCH("Conocer",$R940))+ISNUMBER(SEARCH("Aplicar",$R940))+ISNUMBER(SEARCH("Razonar",$R940))),0)</f>
        <v/>
      </c>
      <c r="U940" s="39">
        <f>IFERROR(ISNUMBER(SEARCH("Razonar",$R940))/(ISNUMBER(SEARCH("Conocer",$R940))+ISNUMBER(SEARCH("Aplicar",$R940))+ISNUMBER(SEARCH("Razonar",$R940))),0)</f>
        <v/>
      </c>
      <c r="V940" s="11" t="inlineStr">
        <is>
          <t>Química 10°</t>
        </is>
      </c>
      <c r="W940" s="11" t="inlineStr">
        <is>
          <t>Química 10°–11°</t>
        </is>
      </c>
      <c r="X940" s="11">
        <f>IF(OR(IFERROR(INDEX('Datos - Catálogo TIMSS'!$I$5:$I$107,MATCH(K940,'Datos - Catálogo TIMSS'!$A$5:$A$107,0)),"No")="Sí",IFERROR(INDEX('Datos - Catálogo TIMSS'!$I$5:$I$107,MATCH(L940,'Datos - Catálogo TIMSS'!$A$5:$A$107,0)),"No")="Sí"),1,0)</f>
        <v/>
      </c>
      <c r="Y940" s="11">
        <f>IF(IFERROR(INDEX('Datos - Catálogo TIMSS'!$J$5:$J$107,MATCH(K940,'Datos - Catálogo TIMSS'!$A$5:$A$107,0)),"No")="Sí",1,0)</f>
        <v/>
      </c>
      <c r="Z940" s="11">
        <f>IF(IFERROR(INDEX('Datos - Catálogo TIMSS'!$J$5:$J$107,MATCH(L940,'Datos - Catálogo TIMSS'!$A$5:$A$107,0)),"No")="Sí",1,0)</f>
        <v/>
      </c>
      <c r="AA940" s="11" t="inlineStr">
        <is>
          <t>N/A</t>
        </is>
      </c>
      <c r="AB940" s="11" t="inlineStr"/>
      <c r="AC940" s="11">
        <f>IF(AA940="FUERA","Fuera del marco",IF(AA940="N/A","Sin marco",IFERROR(INDEX('Datos - TIMSS 2023'!$C$5:$C$105,MATCH(AA940,'Datos - TIMSS 2023'!$A$5:$A$105,0)),"Pendiente de clasificar")))</f>
        <v/>
      </c>
      <c r="AD940" s="11" t="inlineStr">
        <is>
          <t>1. Explicar fenómenos científicamente</t>
        </is>
      </c>
      <c r="AE940" s="11">
        <f>IF(AD940="","",IF(LEFT(AD940,1)="1","C1",IF(LEFT(AD940,1)="2","C2",IF(LEFT(AD940,1)="3","C3",""))))</f>
        <v/>
      </c>
      <c r="AF940" s="11" t="inlineStr">
        <is>
          <t>E1</t>
        </is>
      </c>
      <c r="AG940" s="11" t="inlineStr">
        <is>
          <t>E3</t>
        </is>
      </c>
      <c r="AH940" s="11" t="inlineStr">
        <is>
          <t>E4</t>
        </is>
      </c>
      <c r="AI940" s="11" t="inlineStr">
        <is>
          <t>I3</t>
        </is>
      </c>
      <c r="AJ940" s="11" t="inlineStr">
        <is>
          <t>E6</t>
        </is>
      </c>
      <c r="AK940" s="11" t="n"/>
      <c r="AL940" s="11" t="n"/>
      <c r="AM940" s="11" t="n"/>
      <c r="AN940" s="11" t="n"/>
      <c r="AO940" s="11" t="n"/>
      <c r="AP940" s="11" t="n"/>
      <c r="AQ940" s="11" t="n"/>
      <c r="AR940" s="11" t="n"/>
      <c r="AS940" s="11" t="n"/>
      <c r="AT940" s="11" t="n"/>
      <c r="AU940" s="11" t="n"/>
      <c r="AV940" s="11" t="n"/>
      <c r="AW940" s="11">
        <f>AF940&amp;"; "&amp;AG940&amp;"; "&amp;AH940&amp;"; "&amp;AI940&amp;"; "&amp;AJ940</f>
        <v/>
      </c>
    </row>
    <row r="941">
      <c r="A941" s="11" t="inlineStr">
        <is>
          <t>T0477-G10-QUÍ</t>
        </is>
      </c>
      <c r="B941" s="11" t="n">
        <v>10</v>
      </c>
      <c r="C941" s="11" t="inlineStr">
        <is>
          <t>Química</t>
        </is>
      </c>
      <c r="D941" s="11" t="inlineStr">
        <is>
          <t>Matriz_Bachillerato_Quimica_10_11.xlsx</t>
        </is>
      </c>
      <c r="E941" s="11" t="inlineStr">
        <is>
          <t>Química 10.°</t>
        </is>
      </c>
      <c r="F941" s="11" t="n">
        <v>50</v>
      </c>
      <c r="G941" s="11" t="inlineStr">
        <is>
          <t>5. Los enlaces químicos</t>
        </is>
      </c>
      <c r="H941" s="11" t="inlineStr">
        <is>
          <t>Enlace iónico</t>
        </is>
      </c>
      <c r="I941" s="38" t="inlineStr">
        <is>
          <t>5.10. Descripción de las etapas de formación de un compuesto iónico y de los tipos de redes cristalinas.</t>
        </is>
      </c>
      <c r="J941" s="11" t="inlineStr">
        <is>
          <t>Sin marco</t>
        </is>
      </c>
      <c r="K941" s="11" t="inlineStr">
        <is>
          <t>N/A</t>
        </is>
      </c>
      <c r="L941" s="11" t="inlineStr"/>
      <c r="M941" s="11">
        <f>IF(K941="FUERA","Fuera del marco",IF(K941="N/A","Sin marco",IFERROR(INDEX('Datos - Catálogo TIMSS'!$C$5:$C$107,MATCH(K941,'Datos - Catálogo TIMSS'!$A$5:$A$107,0)),"Pendiente de clasificar")))</f>
        <v/>
      </c>
      <c r="N941" s="11">
        <f>IF(K941="FUERA","Fuera del marco",IF(K941="N/A","Sin marco",IFERROR(INDEX('Datos - Catálogo TIMSS'!$F$5:$F$107,MATCH(K941,'Datos - Catálogo TIMSS'!$A$5:$A$107,0)),"Pendiente de clasificar")))</f>
        <v/>
      </c>
      <c r="O941" s="11">
        <f>IF(L941="","",IFERROR(INDEX('Datos - Catálogo TIMSS'!$C$5:$C$107,MATCH(L941,'Datos - Catálogo TIMSS'!$A$5:$A$107,0)),"?"))</f>
        <v/>
      </c>
      <c r="P941" s="11" t="inlineStr">
        <is>
          <t>N/A</t>
        </is>
      </c>
      <c r="Q941" s="38" t="inlineStr">
        <is>
          <t>Sin marco TIMSS de contenido para esta asignatura en Bachillerato</t>
        </is>
      </c>
      <c r="R941" s="38" t="inlineStr">
        <is>
          <t>Aplicar: modelar redes iónicas. Razonar: relacionar el tamaño de los iones con la estructura</t>
        </is>
      </c>
      <c r="S941" s="39">
        <f>IFERROR(ISNUMBER(SEARCH("Conocer",$R941))/(ISNUMBER(SEARCH("Conocer",$R941))+ISNUMBER(SEARCH("Aplicar",$R941))+ISNUMBER(SEARCH("Razonar",$R941))),0)</f>
        <v/>
      </c>
      <c r="T941" s="39">
        <f>IFERROR(ISNUMBER(SEARCH("Aplicar",$R941))/(ISNUMBER(SEARCH("Conocer",$R941))+ISNUMBER(SEARCH("Aplicar",$R941))+ISNUMBER(SEARCH("Razonar",$R941))),0)</f>
        <v/>
      </c>
      <c r="U941" s="39">
        <f>IFERROR(ISNUMBER(SEARCH("Razonar",$R941))/(ISNUMBER(SEARCH("Conocer",$R941))+ISNUMBER(SEARCH("Aplicar",$R941))+ISNUMBER(SEARCH("Razonar",$R941))),0)</f>
        <v/>
      </c>
      <c r="V941" s="11" t="inlineStr">
        <is>
          <t>Química 10°</t>
        </is>
      </c>
      <c r="W941" s="11" t="inlineStr">
        <is>
          <t>Química 10°–11°</t>
        </is>
      </c>
      <c r="X941" s="11">
        <f>IF(OR(IFERROR(INDEX('Datos - Catálogo TIMSS'!$I$5:$I$107,MATCH(K941,'Datos - Catálogo TIMSS'!$A$5:$A$107,0)),"No")="Sí",IFERROR(INDEX('Datos - Catálogo TIMSS'!$I$5:$I$107,MATCH(L941,'Datos - Catálogo TIMSS'!$A$5:$A$107,0)),"No")="Sí"),1,0)</f>
        <v/>
      </c>
      <c r="Y941" s="11">
        <f>IF(IFERROR(INDEX('Datos - Catálogo TIMSS'!$J$5:$J$107,MATCH(K941,'Datos - Catálogo TIMSS'!$A$5:$A$107,0)),"No")="Sí",1,0)</f>
        <v/>
      </c>
      <c r="Z941" s="11">
        <f>IF(IFERROR(INDEX('Datos - Catálogo TIMSS'!$J$5:$J$107,MATCH(L941,'Datos - Catálogo TIMSS'!$A$5:$A$107,0)),"No")="Sí",1,0)</f>
        <v/>
      </c>
      <c r="AA941" s="11" t="inlineStr">
        <is>
          <t>N/A</t>
        </is>
      </c>
      <c r="AB941" s="11" t="inlineStr"/>
      <c r="AC941" s="11">
        <f>IF(AA941="FUERA","Fuera del marco",IF(AA941="N/A","Sin marco",IFERROR(INDEX('Datos - TIMSS 2023'!$C$5:$C$105,MATCH(AA941,'Datos - TIMSS 2023'!$A$5:$A$105,0)),"Pendiente de clasificar")))</f>
        <v/>
      </c>
      <c r="AD941" s="11" t="inlineStr">
        <is>
          <t>1. Explicar fenómenos científicamente</t>
        </is>
      </c>
      <c r="AE941" s="11">
        <f>IF(AD941="","",IF(LEFT(AD941,1)="1","C1",IF(LEFT(AD941,1)="2","C2",IF(LEFT(AD941,1)="3","C3",""))))</f>
        <v/>
      </c>
      <c r="AF941" s="11" t="inlineStr">
        <is>
          <t>E1</t>
        </is>
      </c>
      <c r="AG941" s="11" t="inlineStr">
        <is>
          <t>D1</t>
        </is>
      </c>
      <c r="AH941" s="11" t="inlineStr">
        <is>
          <t>E4</t>
        </is>
      </c>
      <c r="AI941" s="11" t="inlineStr">
        <is>
          <t>D4</t>
        </is>
      </c>
      <c r="AJ941" s="11" t="inlineStr">
        <is>
          <t>E3</t>
        </is>
      </c>
      <c r="AK941" s="11" t="n"/>
      <c r="AL941" s="11" t="n"/>
      <c r="AM941" s="11" t="n"/>
      <c r="AN941" s="11" t="n"/>
      <c r="AO941" s="11" t="n"/>
      <c r="AP941" s="11" t="n"/>
      <c r="AQ941" s="11" t="n"/>
      <c r="AR941" s="11" t="n"/>
      <c r="AS941" s="11" t="n"/>
      <c r="AT941" s="11" t="n"/>
      <c r="AU941" s="11" t="n"/>
      <c r="AV941" s="11" t="n"/>
      <c r="AW941" s="11">
        <f>AF941&amp;"; "&amp;AG941&amp;"; "&amp;AH941&amp;"; "&amp;AI941&amp;"; "&amp;AJ941</f>
        <v/>
      </c>
    </row>
    <row r="942">
      <c r="A942" s="11" t="inlineStr">
        <is>
          <t>T0478-G10-QUÍ</t>
        </is>
      </c>
      <c r="B942" s="11" t="n">
        <v>10</v>
      </c>
      <c r="C942" s="11" t="inlineStr">
        <is>
          <t>Química</t>
        </is>
      </c>
      <c r="D942" s="11" t="inlineStr">
        <is>
          <t>Matriz_Bachillerato_Quimica_10_11.xlsx</t>
        </is>
      </c>
      <c r="E942" s="11" t="inlineStr">
        <is>
          <t>Química 10.°</t>
        </is>
      </c>
      <c r="F942" s="11" t="n">
        <v>51</v>
      </c>
      <c r="G942" s="11" t="inlineStr">
        <is>
          <t>5. Los enlaces químicos</t>
        </is>
      </c>
      <c r="H942" s="11" t="inlineStr">
        <is>
          <t>Enlace iónico</t>
        </is>
      </c>
      <c r="I942" s="38" t="inlineStr">
        <is>
          <t>5.11. Cálculo de la energía reticular de compuestos iónicos mediante el ciclo de Born-Haber.</t>
        </is>
      </c>
      <c r="J942" s="11" t="inlineStr">
        <is>
          <t>Sin marco</t>
        </is>
      </c>
      <c r="K942" s="11" t="inlineStr">
        <is>
          <t>N/A</t>
        </is>
      </c>
      <c r="L942" s="11" t="inlineStr"/>
      <c r="M942" s="11">
        <f>IF(K942="FUERA","Fuera del marco",IF(K942="N/A","Sin marco",IFERROR(INDEX('Datos - Catálogo TIMSS'!$C$5:$C$107,MATCH(K942,'Datos - Catálogo TIMSS'!$A$5:$A$107,0)),"Pendiente de clasificar")))</f>
        <v/>
      </c>
      <c r="N942" s="11">
        <f>IF(K942="FUERA","Fuera del marco",IF(K942="N/A","Sin marco",IFERROR(INDEX('Datos - Catálogo TIMSS'!$F$5:$F$107,MATCH(K942,'Datos - Catálogo TIMSS'!$A$5:$A$107,0)),"Pendiente de clasificar")))</f>
        <v/>
      </c>
      <c r="O942" s="11">
        <f>IF(L942="","",IFERROR(INDEX('Datos - Catálogo TIMSS'!$C$5:$C$107,MATCH(L942,'Datos - Catálogo TIMSS'!$A$5:$A$107,0)),"?"))</f>
        <v/>
      </c>
      <c r="P942" s="11" t="inlineStr">
        <is>
          <t>N/A</t>
        </is>
      </c>
      <c r="Q942" s="38" t="inlineStr">
        <is>
          <t>Sin marco TIMSS de contenido para esta asignatura en Bachillerato</t>
        </is>
      </c>
      <c r="R942" s="38" t="inlineStr">
        <is>
          <t>Aplicar: calcular con el ciclo de Born-Haber. Razonar: relacionar carga, radio y estabilidad</t>
        </is>
      </c>
      <c r="S942" s="39">
        <f>IFERROR(ISNUMBER(SEARCH("Conocer",$R942))/(ISNUMBER(SEARCH("Conocer",$R942))+ISNUMBER(SEARCH("Aplicar",$R942))+ISNUMBER(SEARCH("Razonar",$R942))),0)</f>
        <v/>
      </c>
      <c r="T942" s="39">
        <f>IFERROR(ISNUMBER(SEARCH("Aplicar",$R942))/(ISNUMBER(SEARCH("Conocer",$R942))+ISNUMBER(SEARCH("Aplicar",$R942))+ISNUMBER(SEARCH("Razonar",$R942))),0)</f>
        <v/>
      </c>
      <c r="U942" s="39">
        <f>IFERROR(ISNUMBER(SEARCH("Razonar",$R942))/(ISNUMBER(SEARCH("Conocer",$R942))+ISNUMBER(SEARCH("Aplicar",$R942))+ISNUMBER(SEARCH("Razonar",$R942))),0)</f>
        <v/>
      </c>
      <c r="V942" s="11" t="inlineStr">
        <is>
          <t>Química 10°</t>
        </is>
      </c>
      <c r="W942" s="11" t="inlineStr">
        <is>
          <t>Química 10°–11°</t>
        </is>
      </c>
      <c r="X942" s="11">
        <f>IF(OR(IFERROR(INDEX('Datos - Catálogo TIMSS'!$I$5:$I$107,MATCH(K942,'Datos - Catálogo TIMSS'!$A$5:$A$107,0)),"No")="Sí",IFERROR(INDEX('Datos - Catálogo TIMSS'!$I$5:$I$107,MATCH(L942,'Datos - Catálogo TIMSS'!$A$5:$A$107,0)),"No")="Sí"),1,0)</f>
        <v/>
      </c>
      <c r="Y942" s="11">
        <f>IF(IFERROR(INDEX('Datos - Catálogo TIMSS'!$J$5:$J$107,MATCH(K942,'Datos - Catálogo TIMSS'!$A$5:$A$107,0)),"No")="Sí",1,0)</f>
        <v/>
      </c>
      <c r="Z942" s="11">
        <f>IF(IFERROR(INDEX('Datos - Catálogo TIMSS'!$J$5:$J$107,MATCH(L942,'Datos - Catálogo TIMSS'!$A$5:$A$107,0)),"No")="Sí",1,0)</f>
        <v/>
      </c>
      <c r="AA942" s="11" t="inlineStr">
        <is>
          <t>N/A</t>
        </is>
      </c>
      <c r="AB942" s="11" t="inlineStr"/>
      <c r="AC942" s="11">
        <f>IF(AA942="FUERA","Fuera del marco",IF(AA942="N/A","Sin marco",IFERROR(INDEX('Datos - TIMSS 2023'!$C$5:$C$105,MATCH(AA942,'Datos - TIMSS 2023'!$A$5:$A$105,0)),"Pendiente de clasificar")))</f>
        <v/>
      </c>
      <c r="AD942" s="11" t="inlineStr">
        <is>
          <t>1. Explicar fenómenos científicamente</t>
        </is>
      </c>
      <c r="AE942" s="11">
        <f>IF(AD942="","",IF(LEFT(AD942,1)="1","C1",IF(LEFT(AD942,1)="2","C2",IF(LEFT(AD942,1)="3","C3",""))))</f>
        <v/>
      </c>
      <c r="AF942" s="11" t="inlineStr">
        <is>
          <t>E1</t>
        </is>
      </c>
      <c r="AG942" s="11" t="inlineStr">
        <is>
          <t>E3</t>
        </is>
      </c>
      <c r="AH942" s="11" t="inlineStr">
        <is>
          <t>E2</t>
        </is>
      </c>
      <c r="AI942" s="11" t="inlineStr">
        <is>
          <t>D4</t>
        </is>
      </c>
      <c r="AJ942" s="11" t="inlineStr">
        <is>
          <t>I5</t>
        </is>
      </c>
      <c r="AK942" s="11" t="n"/>
      <c r="AL942" s="11" t="n"/>
      <c r="AM942" s="11" t="n"/>
      <c r="AN942" s="11" t="n"/>
      <c r="AO942" s="11" t="n"/>
      <c r="AP942" s="11" t="n"/>
      <c r="AQ942" s="11" t="n"/>
      <c r="AR942" s="11" t="n"/>
      <c r="AS942" s="11" t="n"/>
      <c r="AT942" s="11" t="n"/>
      <c r="AU942" s="11" t="n"/>
      <c r="AV942" s="11" t="n"/>
      <c r="AW942" s="11">
        <f>AF942&amp;"; "&amp;AG942&amp;"; "&amp;AH942&amp;"; "&amp;AI942&amp;"; "&amp;AJ942</f>
        <v/>
      </c>
    </row>
    <row r="943">
      <c r="A943" s="11" t="inlineStr">
        <is>
          <t>T0479-G10-QUÍ</t>
        </is>
      </c>
      <c r="B943" s="11" t="n">
        <v>10</v>
      </c>
      <c r="C943" s="11" t="inlineStr">
        <is>
          <t>Química</t>
        </is>
      </c>
      <c r="D943" s="11" t="inlineStr">
        <is>
          <t>Matriz_Bachillerato_Quimica_10_11.xlsx</t>
        </is>
      </c>
      <c r="E943" s="11" t="inlineStr">
        <is>
          <t>Química 10.°</t>
        </is>
      </c>
      <c r="F943" s="11" t="n">
        <v>52</v>
      </c>
      <c r="G943" s="11" t="inlineStr">
        <is>
          <t>5. Los enlaces químicos</t>
        </is>
      </c>
      <c r="H943" s="11" t="inlineStr">
        <is>
          <t>Propiedades de las sustancias iónicas</t>
        </is>
      </c>
      <c r="I943" s="38" t="inlineStr">
        <is>
          <t>5.12. Comprobación experimental de la conductividad eléctrica de sustancias iónicas en estado sólido y en disolución.</t>
        </is>
      </c>
      <c r="J943" s="11" t="inlineStr">
        <is>
          <t>Sin marco</t>
        </is>
      </c>
      <c r="K943" s="11" t="inlineStr">
        <is>
          <t>N/A</t>
        </is>
      </c>
      <c r="L943" s="11" t="inlineStr"/>
      <c r="M943" s="11">
        <f>IF(K943="FUERA","Fuera del marco",IF(K943="N/A","Sin marco",IFERROR(INDEX('Datos - Catálogo TIMSS'!$C$5:$C$107,MATCH(K943,'Datos - Catálogo TIMSS'!$A$5:$A$107,0)),"Pendiente de clasificar")))</f>
        <v/>
      </c>
      <c r="N943" s="11">
        <f>IF(K943="FUERA","Fuera del marco",IF(K943="N/A","Sin marco",IFERROR(INDEX('Datos - Catálogo TIMSS'!$F$5:$F$107,MATCH(K943,'Datos - Catálogo TIMSS'!$A$5:$A$107,0)),"Pendiente de clasificar")))</f>
        <v/>
      </c>
      <c r="O943" s="11">
        <f>IF(L943="","",IFERROR(INDEX('Datos - Catálogo TIMSS'!$C$5:$C$107,MATCH(L943,'Datos - Catálogo TIMSS'!$A$5:$A$107,0)),"?"))</f>
        <v/>
      </c>
      <c r="P943" s="11" t="inlineStr">
        <is>
          <t>N/A</t>
        </is>
      </c>
      <c r="Q943" s="38" t="inlineStr">
        <is>
          <t>Sin marco TIMSS de contenido para esta asignatura en Bachillerato</t>
        </is>
      </c>
      <c r="R943" s="38" t="inlineStr">
        <is>
          <t>Aplicar: comprobar experimentalmente la conductividad. Razonar: explicar resultados con el modelo iónico</t>
        </is>
      </c>
      <c r="S943" s="39">
        <f>IFERROR(ISNUMBER(SEARCH("Conocer",$R943))/(ISNUMBER(SEARCH("Conocer",$R943))+ISNUMBER(SEARCH("Aplicar",$R943))+ISNUMBER(SEARCH("Razonar",$R943))),0)</f>
        <v/>
      </c>
      <c r="T943" s="39">
        <f>IFERROR(ISNUMBER(SEARCH("Aplicar",$R943))/(ISNUMBER(SEARCH("Conocer",$R943))+ISNUMBER(SEARCH("Aplicar",$R943))+ISNUMBER(SEARCH("Razonar",$R943))),0)</f>
        <v/>
      </c>
      <c r="U943" s="39">
        <f>IFERROR(ISNUMBER(SEARCH("Razonar",$R943))/(ISNUMBER(SEARCH("Conocer",$R943))+ISNUMBER(SEARCH("Aplicar",$R943))+ISNUMBER(SEARCH("Razonar",$R943))),0)</f>
        <v/>
      </c>
      <c r="V943" s="11" t="inlineStr">
        <is>
          <t>Química 10°</t>
        </is>
      </c>
      <c r="W943" s="11" t="inlineStr">
        <is>
          <t>Química 10°–11°</t>
        </is>
      </c>
      <c r="X943" s="11">
        <f>IF(OR(IFERROR(INDEX('Datos - Catálogo TIMSS'!$I$5:$I$107,MATCH(K943,'Datos - Catálogo TIMSS'!$A$5:$A$107,0)),"No")="Sí",IFERROR(INDEX('Datos - Catálogo TIMSS'!$I$5:$I$107,MATCH(L943,'Datos - Catálogo TIMSS'!$A$5:$A$107,0)),"No")="Sí"),1,0)</f>
        <v/>
      </c>
      <c r="Y943" s="11">
        <f>IF(IFERROR(INDEX('Datos - Catálogo TIMSS'!$J$5:$J$107,MATCH(K943,'Datos - Catálogo TIMSS'!$A$5:$A$107,0)),"No")="Sí",1,0)</f>
        <v/>
      </c>
      <c r="Z943" s="11">
        <f>IF(IFERROR(INDEX('Datos - Catálogo TIMSS'!$J$5:$J$107,MATCH(L943,'Datos - Catálogo TIMSS'!$A$5:$A$107,0)),"No")="Sí",1,0)</f>
        <v/>
      </c>
      <c r="AA943" s="11" t="inlineStr">
        <is>
          <t>N/A</t>
        </is>
      </c>
      <c r="AB943" s="11" t="inlineStr"/>
      <c r="AC943" s="11">
        <f>IF(AA943="FUERA","Fuera del marco",IF(AA943="N/A","Sin marco",IFERROR(INDEX('Datos - TIMSS 2023'!$C$5:$C$105,MATCH(AA943,'Datos - TIMSS 2023'!$A$5:$A$105,0)),"Pendiente de clasificar")))</f>
        <v/>
      </c>
      <c r="AD943" s="11" t="inlineStr">
        <is>
          <t>2. Construir y evaluar diseños para la indagación científica e interpretar datos y evidencia de forma crítica</t>
        </is>
      </c>
      <c r="AE943" s="11">
        <f>IF(AD943="","",IF(LEFT(AD943,1)="1","C1",IF(LEFT(AD943,1)="2","C2",IF(LEFT(AD943,1)="3","C3",""))))</f>
        <v/>
      </c>
      <c r="AF943" s="11" t="inlineStr">
        <is>
          <t>E1</t>
        </is>
      </c>
      <c r="AG943" s="11" t="inlineStr">
        <is>
          <t>E5</t>
        </is>
      </c>
      <c r="AH943" s="11" t="inlineStr">
        <is>
          <t>E4</t>
        </is>
      </c>
      <c r="AI943" s="11" t="inlineStr">
        <is>
          <t>D2</t>
        </is>
      </c>
      <c r="AJ943" s="11" t="inlineStr">
        <is>
          <t>D3</t>
        </is>
      </c>
      <c r="AK943" s="11" t="n"/>
      <c r="AL943" s="11" t="n"/>
      <c r="AM943" s="11" t="n"/>
      <c r="AN943" s="11" t="n"/>
      <c r="AO943" s="11" t="n"/>
      <c r="AP943" s="11" t="n"/>
      <c r="AQ943" s="11" t="n"/>
      <c r="AR943" s="11" t="n"/>
      <c r="AS943" s="11" t="n"/>
      <c r="AT943" s="11" t="n"/>
      <c r="AU943" s="11" t="n"/>
      <c r="AV943" s="11" t="n"/>
      <c r="AW943" s="11">
        <f>AF943&amp;"; "&amp;AG943&amp;"; "&amp;AH943&amp;"; "&amp;AI943&amp;"; "&amp;AJ943</f>
        <v/>
      </c>
    </row>
    <row r="944">
      <c r="A944" s="11" t="inlineStr">
        <is>
          <t>T0480-G10-QUÍ</t>
        </is>
      </c>
      <c r="B944" s="11" t="n">
        <v>10</v>
      </c>
      <c r="C944" s="11" t="inlineStr">
        <is>
          <t>Química</t>
        </is>
      </c>
      <c r="D944" s="11" t="inlineStr">
        <is>
          <t>Matriz_Bachillerato_Quimica_10_11.xlsx</t>
        </is>
      </c>
      <c r="E944" s="11" t="inlineStr">
        <is>
          <t>Química 10.°</t>
        </is>
      </c>
      <c r="F944" s="11" t="n">
        <v>53</v>
      </c>
      <c r="G944" s="11" t="inlineStr">
        <is>
          <t>5. Los enlaces químicos</t>
        </is>
      </c>
      <c r="H944" s="11" t="inlineStr">
        <is>
          <t>Enlace metálico</t>
        </is>
      </c>
      <c r="I944" s="38" t="inlineStr">
        <is>
          <t>5.13. Explicación del enlace metálico mediante el modelo de la nube electrónica y la teoría de bandas.</t>
        </is>
      </c>
      <c r="J944" s="11" t="inlineStr">
        <is>
          <t>Sin marco</t>
        </is>
      </c>
      <c r="K944" s="11" t="inlineStr">
        <is>
          <t>N/A</t>
        </is>
      </c>
      <c r="L944" s="11" t="inlineStr"/>
      <c r="M944" s="11">
        <f>IF(K944="FUERA","Fuera del marco",IF(K944="N/A","Sin marco",IFERROR(INDEX('Datos - Catálogo TIMSS'!$C$5:$C$107,MATCH(K944,'Datos - Catálogo TIMSS'!$A$5:$A$107,0)),"Pendiente de clasificar")))</f>
        <v/>
      </c>
      <c r="N944" s="11">
        <f>IF(K944="FUERA","Fuera del marco",IF(K944="N/A","Sin marco",IFERROR(INDEX('Datos - Catálogo TIMSS'!$F$5:$F$107,MATCH(K944,'Datos - Catálogo TIMSS'!$A$5:$A$107,0)),"Pendiente de clasificar")))</f>
        <v/>
      </c>
      <c r="O944" s="11">
        <f>IF(L944="","",IFERROR(INDEX('Datos - Catálogo TIMSS'!$C$5:$C$107,MATCH(L944,'Datos - Catálogo TIMSS'!$A$5:$A$107,0)),"?"))</f>
        <v/>
      </c>
      <c r="P944" s="11" t="inlineStr">
        <is>
          <t>N/A</t>
        </is>
      </c>
      <c r="Q944" s="38" t="inlineStr">
        <is>
          <t>Sin marco TIMSS de contenido para esta asignatura en Bachillerato</t>
        </is>
      </c>
      <c r="R944" s="38" t="inlineStr">
        <is>
          <t>Conocer: describir modelos de enlace metálico. Razonar: explicar la conductividad con la teoría de bandas</t>
        </is>
      </c>
      <c r="S944" s="39">
        <f>IFERROR(ISNUMBER(SEARCH("Conocer",$R944))/(ISNUMBER(SEARCH("Conocer",$R944))+ISNUMBER(SEARCH("Aplicar",$R944))+ISNUMBER(SEARCH("Razonar",$R944))),0)</f>
        <v/>
      </c>
      <c r="T944" s="39">
        <f>IFERROR(ISNUMBER(SEARCH("Aplicar",$R944))/(ISNUMBER(SEARCH("Conocer",$R944))+ISNUMBER(SEARCH("Aplicar",$R944))+ISNUMBER(SEARCH("Razonar",$R944))),0)</f>
        <v/>
      </c>
      <c r="U944" s="39">
        <f>IFERROR(ISNUMBER(SEARCH("Razonar",$R944))/(ISNUMBER(SEARCH("Conocer",$R944))+ISNUMBER(SEARCH("Aplicar",$R944))+ISNUMBER(SEARCH("Razonar",$R944))),0)</f>
        <v/>
      </c>
      <c r="V944" s="11" t="inlineStr">
        <is>
          <t>Química 10°</t>
        </is>
      </c>
      <c r="W944" s="11" t="inlineStr">
        <is>
          <t>Química 10°–11°</t>
        </is>
      </c>
      <c r="X944" s="11">
        <f>IF(OR(IFERROR(INDEX('Datos - Catálogo TIMSS'!$I$5:$I$107,MATCH(K944,'Datos - Catálogo TIMSS'!$A$5:$A$107,0)),"No")="Sí",IFERROR(INDEX('Datos - Catálogo TIMSS'!$I$5:$I$107,MATCH(L944,'Datos - Catálogo TIMSS'!$A$5:$A$107,0)),"No")="Sí"),1,0)</f>
        <v/>
      </c>
      <c r="Y944" s="11">
        <f>IF(IFERROR(INDEX('Datos - Catálogo TIMSS'!$J$5:$J$107,MATCH(K944,'Datos - Catálogo TIMSS'!$A$5:$A$107,0)),"No")="Sí",1,0)</f>
        <v/>
      </c>
      <c r="Z944" s="11">
        <f>IF(IFERROR(INDEX('Datos - Catálogo TIMSS'!$J$5:$J$107,MATCH(L944,'Datos - Catálogo TIMSS'!$A$5:$A$107,0)),"No")="Sí",1,0)</f>
        <v/>
      </c>
      <c r="AA944" s="11" t="inlineStr">
        <is>
          <t>N/A</t>
        </is>
      </c>
      <c r="AB944" s="11" t="inlineStr"/>
      <c r="AC944" s="11">
        <f>IF(AA944="FUERA","Fuera del marco",IF(AA944="N/A","Sin marco",IFERROR(INDEX('Datos - TIMSS 2023'!$C$5:$C$105,MATCH(AA944,'Datos - TIMSS 2023'!$A$5:$A$105,0)),"Pendiente de clasificar")))</f>
        <v/>
      </c>
      <c r="AD944" s="11" t="inlineStr">
        <is>
          <t>1. Explicar fenómenos científicamente</t>
        </is>
      </c>
      <c r="AE944" s="11">
        <f>IF(AD944="","",IF(LEFT(AD944,1)="1","C1",IF(LEFT(AD944,1)="2","C2",IF(LEFT(AD944,1)="3","C3",""))))</f>
        <v/>
      </c>
      <c r="AF944" s="11" t="inlineStr">
        <is>
          <t>E6</t>
        </is>
      </c>
      <c r="AG944" s="11" t="inlineStr">
        <is>
          <t>D1</t>
        </is>
      </c>
      <c r="AH944" s="11" t="inlineStr">
        <is>
          <t>E4</t>
        </is>
      </c>
      <c r="AI944" s="11" t="inlineStr">
        <is>
          <t>I1</t>
        </is>
      </c>
      <c r="AJ944" s="11" t="inlineStr">
        <is>
          <t>I5</t>
        </is>
      </c>
      <c r="AK944" s="11" t="n"/>
      <c r="AL944" s="11" t="n"/>
      <c r="AM944" s="11" t="n"/>
      <c r="AN944" s="11" t="n"/>
      <c r="AO944" s="11" t="n"/>
      <c r="AP944" s="11" t="n"/>
      <c r="AQ944" s="11" t="n"/>
      <c r="AR944" s="11" t="n"/>
      <c r="AS944" s="11" t="n"/>
      <c r="AT944" s="11" t="n"/>
      <c r="AU944" s="11" t="n"/>
      <c r="AV944" s="11" t="n"/>
      <c r="AW944" s="11">
        <f>AF944&amp;"; "&amp;AG944&amp;"; "&amp;AH944&amp;"; "&amp;AI944&amp;"; "&amp;AJ944</f>
        <v/>
      </c>
    </row>
    <row r="945">
      <c r="A945" s="11" t="inlineStr">
        <is>
          <t>T0481-G10-QUÍ</t>
        </is>
      </c>
      <c r="B945" s="11" t="n">
        <v>10</v>
      </c>
      <c r="C945" s="11" t="inlineStr">
        <is>
          <t>Química</t>
        </is>
      </c>
      <c r="D945" s="11" t="inlineStr">
        <is>
          <t>Matriz_Bachillerato_Quimica_10_11.xlsx</t>
        </is>
      </c>
      <c r="E945" s="11" t="inlineStr">
        <is>
          <t>Química 10.°</t>
        </is>
      </c>
      <c r="F945" s="11" t="n">
        <v>54</v>
      </c>
      <c r="G945" s="11" t="inlineStr">
        <is>
          <t>5. Los enlaces químicos</t>
        </is>
      </c>
      <c r="H945" s="11" t="inlineStr">
        <is>
          <t>Propiedades de las sustancias metálicas</t>
        </is>
      </c>
      <c r="I945" s="38" t="inlineStr">
        <is>
          <t>5.14. Relación de las propiedades de los metales y sus aleaciones con el modelo de enlace metálico.</t>
        </is>
      </c>
      <c r="J945" s="11" t="inlineStr">
        <is>
          <t>Sin marco</t>
        </is>
      </c>
      <c r="K945" s="11" t="inlineStr">
        <is>
          <t>N/A</t>
        </is>
      </c>
      <c r="L945" s="11" t="inlineStr"/>
      <c r="M945" s="11">
        <f>IF(K945="FUERA","Fuera del marco",IF(K945="N/A","Sin marco",IFERROR(INDEX('Datos - Catálogo TIMSS'!$C$5:$C$107,MATCH(K945,'Datos - Catálogo TIMSS'!$A$5:$A$107,0)),"Pendiente de clasificar")))</f>
        <v/>
      </c>
      <c r="N945" s="11">
        <f>IF(K945="FUERA","Fuera del marco",IF(K945="N/A","Sin marco",IFERROR(INDEX('Datos - Catálogo TIMSS'!$F$5:$F$107,MATCH(K945,'Datos - Catálogo TIMSS'!$A$5:$A$107,0)),"Pendiente de clasificar")))</f>
        <v/>
      </c>
      <c r="O945" s="11">
        <f>IF(L945="","",IFERROR(INDEX('Datos - Catálogo TIMSS'!$C$5:$C$107,MATCH(L945,'Datos - Catálogo TIMSS'!$A$5:$A$107,0)),"?"))</f>
        <v/>
      </c>
      <c r="P945" s="11" t="inlineStr">
        <is>
          <t>N/A</t>
        </is>
      </c>
      <c r="Q945" s="38" t="inlineStr">
        <is>
          <t>Sin marco TIMSS de contenido para esta asignatura en Bachillerato</t>
        </is>
      </c>
      <c r="R945" s="38" t="inlineStr">
        <is>
          <t>Aplicar: relacionar propiedades con el modelo de enlace. Razonar: argumentar la elección de un material</t>
        </is>
      </c>
      <c r="S945" s="39">
        <f>IFERROR(ISNUMBER(SEARCH("Conocer",$R945))/(ISNUMBER(SEARCH("Conocer",$R945))+ISNUMBER(SEARCH("Aplicar",$R945))+ISNUMBER(SEARCH("Razonar",$R945))),0)</f>
        <v/>
      </c>
      <c r="T945" s="39">
        <f>IFERROR(ISNUMBER(SEARCH("Aplicar",$R945))/(ISNUMBER(SEARCH("Conocer",$R945))+ISNUMBER(SEARCH("Aplicar",$R945))+ISNUMBER(SEARCH("Razonar",$R945))),0)</f>
        <v/>
      </c>
      <c r="U945" s="39">
        <f>IFERROR(ISNUMBER(SEARCH("Razonar",$R945))/(ISNUMBER(SEARCH("Conocer",$R945))+ISNUMBER(SEARCH("Aplicar",$R945))+ISNUMBER(SEARCH("Razonar",$R945))),0)</f>
        <v/>
      </c>
      <c r="V945" s="11" t="inlineStr">
        <is>
          <t>Química 10°</t>
        </is>
      </c>
      <c r="W945" s="11" t="inlineStr">
        <is>
          <t>Química 10°–11°</t>
        </is>
      </c>
      <c r="X945" s="11">
        <f>IF(OR(IFERROR(INDEX('Datos - Catálogo TIMSS'!$I$5:$I$107,MATCH(K945,'Datos - Catálogo TIMSS'!$A$5:$A$107,0)),"No")="Sí",IFERROR(INDEX('Datos - Catálogo TIMSS'!$I$5:$I$107,MATCH(L945,'Datos - Catálogo TIMSS'!$A$5:$A$107,0)),"No")="Sí"),1,0)</f>
        <v/>
      </c>
      <c r="Y945" s="11">
        <f>IF(IFERROR(INDEX('Datos - Catálogo TIMSS'!$J$5:$J$107,MATCH(K945,'Datos - Catálogo TIMSS'!$A$5:$A$107,0)),"No")="Sí",1,0)</f>
        <v/>
      </c>
      <c r="Z945" s="11">
        <f>IF(IFERROR(INDEX('Datos - Catálogo TIMSS'!$J$5:$J$107,MATCH(L945,'Datos - Catálogo TIMSS'!$A$5:$A$107,0)),"No")="Sí",1,0)</f>
        <v/>
      </c>
      <c r="AA945" s="11" t="inlineStr">
        <is>
          <t>N/A</t>
        </is>
      </c>
      <c r="AB945" s="11" t="inlineStr"/>
      <c r="AC945" s="11">
        <f>IF(AA945="FUERA","Fuera del marco",IF(AA945="N/A","Sin marco",IFERROR(INDEX('Datos - TIMSS 2023'!$C$5:$C$105,MATCH(AA945,'Datos - TIMSS 2023'!$A$5:$A$105,0)),"Pendiente de clasificar")))</f>
        <v/>
      </c>
      <c r="AD945" s="11" t="inlineStr">
        <is>
          <t>3. Investigar, evaluar y usar información científica para tomar decisiones y actuar</t>
        </is>
      </c>
      <c r="AE945" s="11">
        <f>IF(AD945="","",IF(LEFT(AD945,1)="1","C1",IF(LEFT(AD945,1)="2","C2",IF(LEFT(AD945,1)="3","C3",""))))</f>
        <v/>
      </c>
      <c r="AF945" s="11" t="inlineStr">
        <is>
          <t>E1</t>
        </is>
      </c>
      <c r="AG945" s="11" t="inlineStr">
        <is>
          <t>E3</t>
        </is>
      </c>
      <c r="AH945" s="11" t="inlineStr">
        <is>
          <t>E1</t>
        </is>
      </c>
      <c r="AI945" s="11" t="inlineStr">
        <is>
          <t>I3</t>
        </is>
      </c>
      <c r="AJ945" s="11" t="inlineStr">
        <is>
          <t>E6</t>
        </is>
      </c>
      <c r="AK945" s="11" t="n"/>
      <c r="AL945" s="11" t="n"/>
      <c r="AM945" s="11" t="n"/>
      <c r="AN945" s="11" t="n"/>
      <c r="AO945" s="11" t="n"/>
      <c r="AP945" s="11" t="n"/>
      <c r="AQ945" s="11" t="n"/>
      <c r="AR945" s="11" t="n"/>
      <c r="AS945" s="11" t="n"/>
      <c r="AT945" s="11" t="n"/>
      <c r="AU945" s="11" t="n"/>
      <c r="AV945" s="11" t="n"/>
      <c r="AW945" s="11">
        <f>AF945&amp;"; "&amp;AG945&amp;"; "&amp;AH945&amp;"; "&amp;AI945&amp;"; "&amp;AJ945</f>
        <v/>
      </c>
    </row>
    <row r="946">
      <c r="A946" s="11" t="inlineStr">
        <is>
          <t>T0482-G10-QUÍ</t>
        </is>
      </c>
      <c r="B946" s="11" t="n">
        <v>10</v>
      </c>
      <c r="C946" s="11" t="inlineStr">
        <is>
          <t>Química</t>
        </is>
      </c>
      <c r="D946" s="11" t="inlineStr">
        <is>
          <t>Matriz_Bachillerato_Quimica_10_11.xlsx</t>
        </is>
      </c>
      <c r="E946" s="11" t="inlineStr">
        <is>
          <t>Química 10.°</t>
        </is>
      </c>
      <c r="F946" s="11" t="n">
        <v>55</v>
      </c>
      <c r="G946" s="11" t="inlineStr">
        <is>
          <t>6. Los gases</t>
        </is>
      </c>
      <c r="H946" s="11" t="inlineStr">
        <is>
          <t>El estado gaseoso</t>
        </is>
      </c>
      <c r="I946" s="38" t="inlineStr">
        <is>
          <t>6.1. Medición de la presión atmosférica y análisis de su variación con la altitud.</t>
        </is>
      </c>
      <c r="J946" s="11" t="inlineStr">
        <is>
          <t>Sin marco</t>
        </is>
      </c>
      <c r="K946" s="11" t="inlineStr">
        <is>
          <t>N/A</t>
        </is>
      </c>
      <c r="L946" s="11" t="inlineStr"/>
      <c r="M946" s="11">
        <f>IF(K946="FUERA","Fuera del marco",IF(K946="N/A","Sin marco",IFERROR(INDEX('Datos - Catálogo TIMSS'!$C$5:$C$107,MATCH(K946,'Datos - Catálogo TIMSS'!$A$5:$A$107,0)),"Pendiente de clasificar")))</f>
        <v/>
      </c>
      <c r="N946" s="11">
        <f>IF(K946="FUERA","Fuera del marco",IF(K946="N/A","Sin marco",IFERROR(INDEX('Datos - Catálogo TIMSS'!$F$5:$F$107,MATCH(K946,'Datos - Catálogo TIMSS'!$A$5:$A$107,0)),"Pendiente de clasificar")))</f>
        <v/>
      </c>
      <c r="O946" s="11">
        <f>IF(L946="","",IFERROR(INDEX('Datos - Catálogo TIMSS'!$C$5:$C$107,MATCH(L946,'Datos - Catálogo TIMSS'!$A$5:$A$107,0)),"?"))</f>
        <v/>
      </c>
      <c r="P946" s="11" t="inlineStr">
        <is>
          <t>N/A</t>
        </is>
      </c>
      <c r="Q946" s="38" t="inlineStr">
        <is>
          <t>Sin marco TIMSS de contenido para esta asignatura en Bachillerato</t>
        </is>
      </c>
      <c r="R946" s="38" t="inlineStr">
        <is>
          <t>Aplicar: convertir unidades de presión. Razonar: interpretar la variación de la presión con la altitud</t>
        </is>
      </c>
      <c r="S946" s="39">
        <f>IFERROR(ISNUMBER(SEARCH("Conocer",$R946))/(ISNUMBER(SEARCH("Conocer",$R946))+ISNUMBER(SEARCH("Aplicar",$R946))+ISNUMBER(SEARCH("Razonar",$R946))),0)</f>
        <v/>
      </c>
      <c r="T946" s="39">
        <f>IFERROR(ISNUMBER(SEARCH("Aplicar",$R946))/(ISNUMBER(SEARCH("Conocer",$R946))+ISNUMBER(SEARCH("Aplicar",$R946))+ISNUMBER(SEARCH("Razonar",$R946))),0)</f>
        <v/>
      </c>
      <c r="U946" s="39">
        <f>IFERROR(ISNUMBER(SEARCH("Razonar",$R946))/(ISNUMBER(SEARCH("Conocer",$R946))+ISNUMBER(SEARCH("Aplicar",$R946))+ISNUMBER(SEARCH("Razonar",$R946))),0)</f>
        <v/>
      </c>
      <c r="V946" s="11" t="inlineStr">
        <is>
          <t>Química 10°</t>
        </is>
      </c>
      <c r="W946" s="11" t="inlineStr">
        <is>
          <t>Química 10°–11°</t>
        </is>
      </c>
      <c r="X946" s="11">
        <f>IF(OR(IFERROR(INDEX('Datos - Catálogo TIMSS'!$I$5:$I$107,MATCH(K946,'Datos - Catálogo TIMSS'!$A$5:$A$107,0)),"No")="Sí",IFERROR(INDEX('Datos - Catálogo TIMSS'!$I$5:$I$107,MATCH(L946,'Datos - Catálogo TIMSS'!$A$5:$A$107,0)),"No")="Sí"),1,0)</f>
        <v/>
      </c>
      <c r="Y946" s="11">
        <f>IF(IFERROR(INDEX('Datos - Catálogo TIMSS'!$J$5:$J$107,MATCH(K946,'Datos - Catálogo TIMSS'!$A$5:$A$107,0)),"No")="Sí",1,0)</f>
        <v/>
      </c>
      <c r="Z946" s="11">
        <f>IF(IFERROR(INDEX('Datos - Catálogo TIMSS'!$J$5:$J$107,MATCH(L946,'Datos - Catálogo TIMSS'!$A$5:$A$107,0)),"No")="Sí",1,0)</f>
        <v/>
      </c>
      <c r="AA946" s="11" t="inlineStr">
        <is>
          <t>N/A</t>
        </is>
      </c>
      <c r="AB946" s="11" t="inlineStr"/>
      <c r="AC946" s="11">
        <f>IF(AA946="FUERA","Fuera del marco",IF(AA946="N/A","Sin marco",IFERROR(INDEX('Datos - TIMSS 2023'!$C$5:$C$105,MATCH(AA946,'Datos - TIMSS 2023'!$A$5:$A$105,0)),"Pendiente de clasificar")))</f>
        <v/>
      </c>
      <c r="AD946" s="11" t="inlineStr">
        <is>
          <t>2. Construir y evaluar diseños para la indagación científica e interpretar datos y evidencia de forma crítica</t>
        </is>
      </c>
      <c r="AE946" s="11">
        <f>IF(AD946="","",IF(LEFT(AD946,1)="1","C1",IF(LEFT(AD946,1)="2","C2",IF(LEFT(AD946,1)="3","C3",""))))</f>
        <v/>
      </c>
      <c r="AF946" s="11" t="inlineStr">
        <is>
          <t>E1</t>
        </is>
      </c>
      <c r="AG946" s="11" t="inlineStr">
        <is>
          <t>D1</t>
        </is>
      </c>
      <c r="AH946" s="11" t="inlineStr">
        <is>
          <t>E2</t>
        </is>
      </c>
      <c r="AI946" s="11" t="inlineStr">
        <is>
          <t>D4</t>
        </is>
      </c>
      <c r="AJ946" s="11" t="inlineStr">
        <is>
          <t>E6</t>
        </is>
      </c>
      <c r="AK946" s="11" t="n"/>
      <c r="AL946" s="11" t="n"/>
      <c r="AM946" s="11" t="n"/>
      <c r="AN946" s="11" t="n"/>
      <c r="AO946" s="11" t="n"/>
      <c r="AP946" s="11" t="n"/>
      <c r="AQ946" s="11" t="n"/>
      <c r="AR946" s="11" t="n"/>
      <c r="AS946" s="11" t="n"/>
      <c r="AT946" s="11" t="n"/>
      <c r="AU946" s="11" t="n"/>
      <c r="AV946" s="11" t="n"/>
      <c r="AW946" s="11">
        <f>AF946&amp;"; "&amp;AG946&amp;"; "&amp;AH946&amp;"; "&amp;AI946&amp;"; "&amp;AJ946</f>
        <v/>
      </c>
    </row>
    <row r="947">
      <c r="A947" s="11" t="inlineStr">
        <is>
          <t>T0483-G10-QUÍ</t>
        </is>
      </c>
      <c r="B947" s="11" t="n">
        <v>10</v>
      </c>
      <c r="C947" s="11" t="inlineStr">
        <is>
          <t>Química</t>
        </is>
      </c>
      <c r="D947" s="11" t="inlineStr">
        <is>
          <t>Matriz_Bachillerato_Quimica_10_11.xlsx</t>
        </is>
      </c>
      <c r="E947" s="11" t="inlineStr">
        <is>
          <t>Química 10.°</t>
        </is>
      </c>
      <c r="F947" s="11" t="n">
        <v>56</v>
      </c>
      <c r="G947" s="11" t="inlineStr">
        <is>
          <t>6. Los gases</t>
        </is>
      </c>
      <c r="H947" s="11" t="inlineStr">
        <is>
          <t>Leyes de los gases</t>
        </is>
      </c>
      <c r="I947" s="38" t="inlineStr">
        <is>
          <t>6.2. Comprobación experimental de la ley de Boyle-Mariotte y análisis gráfico de las leyes de Charles y Gay-Lussac.</t>
        </is>
      </c>
      <c r="J947" s="11" t="inlineStr">
        <is>
          <t>Sin marco</t>
        </is>
      </c>
      <c r="K947" s="11" t="inlineStr">
        <is>
          <t>N/A</t>
        </is>
      </c>
      <c r="L947" s="11" t="inlineStr"/>
      <c r="M947" s="11">
        <f>IF(K947="FUERA","Fuera del marco",IF(K947="N/A","Sin marco",IFERROR(INDEX('Datos - Catálogo TIMSS'!$C$5:$C$107,MATCH(K947,'Datos - Catálogo TIMSS'!$A$5:$A$107,0)),"Pendiente de clasificar")))</f>
        <v/>
      </c>
      <c r="N947" s="11">
        <f>IF(K947="FUERA","Fuera del marco",IF(K947="N/A","Sin marco",IFERROR(INDEX('Datos - Catálogo TIMSS'!$F$5:$F$107,MATCH(K947,'Datos - Catálogo TIMSS'!$A$5:$A$107,0)),"Pendiente de clasificar")))</f>
        <v/>
      </c>
      <c r="O947" s="11">
        <f>IF(L947="","",IFERROR(INDEX('Datos - Catálogo TIMSS'!$C$5:$C$107,MATCH(L947,'Datos - Catálogo TIMSS'!$A$5:$A$107,0)),"?"))</f>
        <v/>
      </c>
      <c r="P947" s="11" t="inlineStr">
        <is>
          <t>N/A</t>
        </is>
      </c>
      <c r="Q947" s="38" t="inlineStr">
        <is>
          <t>Sin marco TIMSS de contenido para esta asignatura en Bachillerato</t>
        </is>
      </c>
      <c r="R947" s="38" t="inlineStr">
        <is>
          <t>Aplicar: linealizar y graficar datos. Razonar: justificar las condiciones de control del experimento</t>
        </is>
      </c>
      <c r="S947" s="39">
        <f>IFERROR(ISNUMBER(SEARCH("Conocer",$R947))/(ISNUMBER(SEARCH("Conocer",$R947))+ISNUMBER(SEARCH("Aplicar",$R947))+ISNUMBER(SEARCH("Razonar",$R947))),0)</f>
        <v/>
      </c>
      <c r="T947" s="39">
        <f>IFERROR(ISNUMBER(SEARCH("Aplicar",$R947))/(ISNUMBER(SEARCH("Conocer",$R947))+ISNUMBER(SEARCH("Aplicar",$R947))+ISNUMBER(SEARCH("Razonar",$R947))),0)</f>
        <v/>
      </c>
      <c r="U947" s="39">
        <f>IFERROR(ISNUMBER(SEARCH("Razonar",$R947))/(ISNUMBER(SEARCH("Conocer",$R947))+ISNUMBER(SEARCH("Aplicar",$R947))+ISNUMBER(SEARCH("Razonar",$R947))),0)</f>
        <v/>
      </c>
      <c r="V947" s="11" t="inlineStr">
        <is>
          <t>Química 10°</t>
        </is>
      </c>
      <c r="W947" s="11" t="inlineStr">
        <is>
          <t>Química 10°–11°</t>
        </is>
      </c>
      <c r="X947" s="11">
        <f>IF(OR(IFERROR(INDEX('Datos - Catálogo TIMSS'!$I$5:$I$107,MATCH(K947,'Datos - Catálogo TIMSS'!$A$5:$A$107,0)),"No")="Sí",IFERROR(INDEX('Datos - Catálogo TIMSS'!$I$5:$I$107,MATCH(L947,'Datos - Catálogo TIMSS'!$A$5:$A$107,0)),"No")="Sí"),1,0)</f>
        <v/>
      </c>
      <c r="Y947" s="11">
        <f>IF(IFERROR(INDEX('Datos - Catálogo TIMSS'!$J$5:$J$107,MATCH(K947,'Datos - Catálogo TIMSS'!$A$5:$A$107,0)),"No")="Sí",1,0)</f>
        <v/>
      </c>
      <c r="Z947" s="11">
        <f>IF(IFERROR(INDEX('Datos - Catálogo TIMSS'!$J$5:$J$107,MATCH(L947,'Datos - Catálogo TIMSS'!$A$5:$A$107,0)),"No")="Sí",1,0)</f>
        <v/>
      </c>
      <c r="AA947" s="11" t="inlineStr">
        <is>
          <t>N/A</t>
        </is>
      </c>
      <c r="AB947" s="11" t="inlineStr"/>
      <c r="AC947" s="11">
        <f>IF(AA947="FUERA","Fuera del marco",IF(AA947="N/A","Sin marco",IFERROR(INDEX('Datos - TIMSS 2023'!$C$5:$C$105,MATCH(AA947,'Datos - TIMSS 2023'!$A$5:$A$105,0)),"Pendiente de clasificar")))</f>
        <v/>
      </c>
      <c r="AD947" s="11" t="inlineStr">
        <is>
          <t>2. Construir y evaluar diseños para la indagación científica e interpretar datos y evidencia de forma crítica</t>
        </is>
      </c>
      <c r="AE947" s="11">
        <f>IF(AD947="","",IF(LEFT(AD947,1)="1","C1",IF(LEFT(AD947,1)="2","C2",IF(LEFT(AD947,1)="3","C3",""))))</f>
        <v/>
      </c>
      <c r="AF947" s="11" t="inlineStr">
        <is>
          <t>E1</t>
        </is>
      </c>
      <c r="AG947" s="11" t="inlineStr">
        <is>
          <t>E3</t>
        </is>
      </c>
      <c r="AH947" s="11" t="inlineStr">
        <is>
          <t>E2</t>
        </is>
      </c>
      <c r="AI947" s="11" t="inlineStr">
        <is>
          <t>D4</t>
        </is>
      </c>
      <c r="AJ947" s="11" t="inlineStr">
        <is>
          <t>D3</t>
        </is>
      </c>
      <c r="AK947" s="11" t="n"/>
      <c r="AL947" s="11" t="n"/>
      <c r="AM947" s="11" t="n"/>
      <c r="AN947" s="11" t="n"/>
      <c r="AO947" s="11" t="n"/>
      <c r="AP947" s="11" t="n"/>
      <c r="AQ947" s="11" t="n"/>
      <c r="AR947" s="11" t="n"/>
      <c r="AS947" s="11" t="n"/>
      <c r="AT947" s="11" t="n"/>
      <c r="AU947" s="11" t="n"/>
      <c r="AV947" s="11" t="n"/>
      <c r="AW947" s="11">
        <f>AF947&amp;"; "&amp;AG947&amp;"; "&amp;AH947&amp;"; "&amp;AI947&amp;"; "&amp;AJ947</f>
        <v/>
      </c>
    </row>
    <row r="948">
      <c r="A948" s="11" t="inlineStr">
        <is>
          <t>T0484-G10-QUÍ</t>
        </is>
      </c>
      <c r="B948" s="11" t="n">
        <v>10</v>
      </c>
      <c r="C948" s="11" t="inlineStr">
        <is>
          <t>Química</t>
        </is>
      </c>
      <c r="D948" s="11" t="inlineStr">
        <is>
          <t>Matriz_Bachillerato_Quimica_10_11.xlsx</t>
        </is>
      </c>
      <c r="E948" s="11" t="inlineStr">
        <is>
          <t>Química 10.°</t>
        </is>
      </c>
      <c r="F948" s="11" t="n">
        <v>57</v>
      </c>
      <c r="G948" s="11" t="inlineStr">
        <is>
          <t>6. Los gases</t>
        </is>
      </c>
      <c r="H948" s="11" t="inlineStr">
        <is>
          <t>Ecuación de estado</t>
        </is>
      </c>
      <c r="I948" s="38" t="inlineStr">
        <is>
          <t>6.3. Cálculo de cantidades de gases producidos o consumidos en reacciones químicas mediante la ecuación de estado del gas ideal.</t>
        </is>
      </c>
      <c r="J948" s="11" t="inlineStr">
        <is>
          <t>Sin marco</t>
        </is>
      </c>
      <c r="K948" s="11" t="inlineStr">
        <is>
          <t>N/A</t>
        </is>
      </c>
      <c r="L948" s="11" t="inlineStr"/>
      <c r="M948" s="11">
        <f>IF(K948="FUERA","Fuera del marco",IF(K948="N/A","Sin marco",IFERROR(INDEX('Datos - Catálogo TIMSS'!$C$5:$C$107,MATCH(K948,'Datos - Catálogo TIMSS'!$A$5:$A$107,0)),"Pendiente de clasificar")))</f>
        <v/>
      </c>
      <c r="N948" s="11">
        <f>IF(K948="FUERA","Fuera del marco",IF(K948="N/A","Sin marco",IFERROR(INDEX('Datos - Catálogo TIMSS'!$F$5:$F$107,MATCH(K948,'Datos - Catálogo TIMSS'!$A$5:$A$107,0)),"Pendiente de clasificar")))</f>
        <v/>
      </c>
      <c r="O948" s="11">
        <f>IF(L948="","",IFERROR(INDEX('Datos - Catálogo TIMSS'!$C$5:$C$107,MATCH(L948,'Datos - Catálogo TIMSS'!$A$5:$A$107,0)),"?"))</f>
        <v/>
      </c>
      <c r="P948" s="11" t="inlineStr">
        <is>
          <t>N/A</t>
        </is>
      </c>
      <c r="Q948" s="38" t="inlineStr">
        <is>
          <t>Sin marco TIMSS de contenido para esta asignatura en Bachillerato</t>
        </is>
      </c>
      <c r="R948" s="38" t="inlineStr">
        <is>
          <t>Aplicar: calcular con PV = nRT y estequiometría. Razonar: comparar resultados teóricos y experimentales</t>
        </is>
      </c>
      <c r="S948" s="39">
        <f>IFERROR(ISNUMBER(SEARCH("Conocer",$R948))/(ISNUMBER(SEARCH("Conocer",$R948))+ISNUMBER(SEARCH("Aplicar",$R948))+ISNUMBER(SEARCH("Razonar",$R948))),0)</f>
        <v/>
      </c>
      <c r="T948" s="39">
        <f>IFERROR(ISNUMBER(SEARCH("Aplicar",$R948))/(ISNUMBER(SEARCH("Conocer",$R948))+ISNUMBER(SEARCH("Aplicar",$R948))+ISNUMBER(SEARCH("Razonar",$R948))),0)</f>
        <v/>
      </c>
      <c r="U948" s="39">
        <f>IFERROR(ISNUMBER(SEARCH("Razonar",$R948))/(ISNUMBER(SEARCH("Conocer",$R948))+ISNUMBER(SEARCH("Aplicar",$R948))+ISNUMBER(SEARCH("Razonar",$R948))),0)</f>
        <v/>
      </c>
      <c r="V948" s="11" t="inlineStr">
        <is>
          <t>Química 10°</t>
        </is>
      </c>
      <c r="W948" s="11" t="inlineStr">
        <is>
          <t>Química 10°–11°</t>
        </is>
      </c>
      <c r="X948" s="11">
        <f>IF(OR(IFERROR(INDEX('Datos - Catálogo TIMSS'!$I$5:$I$107,MATCH(K948,'Datos - Catálogo TIMSS'!$A$5:$A$107,0)),"No")="Sí",IFERROR(INDEX('Datos - Catálogo TIMSS'!$I$5:$I$107,MATCH(L948,'Datos - Catálogo TIMSS'!$A$5:$A$107,0)),"No")="Sí"),1,0)</f>
        <v/>
      </c>
      <c r="Y948" s="11">
        <f>IF(IFERROR(INDEX('Datos - Catálogo TIMSS'!$J$5:$J$107,MATCH(K948,'Datos - Catálogo TIMSS'!$A$5:$A$107,0)),"No")="Sí",1,0)</f>
        <v/>
      </c>
      <c r="Z948" s="11">
        <f>IF(IFERROR(INDEX('Datos - Catálogo TIMSS'!$J$5:$J$107,MATCH(L948,'Datos - Catálogo TIMSS'!$A$5:$A$107,0)),"No")="Sí",1,0)</f>
        <v/>
      </c>
      <c r="AA948" s="11" t="inlineStr">
        <is>
          <t>N/A</t>
        </is>
      </c>
      <c r="AB948" s="11" t="inlineStr"/>
      <c r="AC948" s="11">
        <f>IF(AA948="FUERA","Fuera del marco",IF(AA948="N/A","Sin marco",IFERROR(INDEX('Datos - TIMSS 2023'!$C$5:$C$105,MATCH(AA948,'Datos - TIMSS 2023'!$A$5:$A$105,0)),"Pendiente de clasificar")))</f>
        <v/>
      </c>
      <c r="AD948" s="11" t="inlineStr">
        <is>
          <t>1. Explicar fenómenos científicamente</t>
        </is>
      </c>
      <c r="AE948" s="11">
        <f>IF(AD948="","",IF(LEFT(AD948,1)="1","C1",IF(LEFT(AD948,1)="2","C2",IF(LEFT(AD948,1)="3","C3",""))))</f>
        <v/>
      </c>
      <c r="AF948" s="11" t="inlineStr">
        <is>
          <t>E1</t>
        </is>
      </c>
      <c r="AG948" s="11" t="inlineStr">
        <is>
          <t>E3</t>
        </is>
      </c>
      <c r="AH948" s="11" t="inlineStr">
        <is>
          <t>E1</t>
        </is>
      </c>
      <c r="AI948" s="11" t="inlineStr">
        <is>
          <t>D4</t>
        </is>
      </c>
      <c r="AJ948" s="11" t="inlineStr">
        <is>
          <t>I5</t>
        </is>
      </c>
      <c r="AK948" s="11" t="n"/>
      <c r="AL948" s="11" t="n"/>
      <c r="AM948" s="11" t="n"/>
      <c r="AN948" s="11" t="n"/>
      <c r="AO948" s="11" t="n"/>
      <c r="AP948" s="11" t="n"/>
      <c r="AQ948" s="11" t="n"/>
      <c r="AR948" s="11" t="n"/>
      <c r="AS948" s="11" t="n"/>
      <c r="AT948" s="11" t="n"/>
      <c r="AU948" s="11" t="n"/>
      <c r="AV948" s="11" t="n"/>
      <c r="AW948" s="11">
        <f>AF948&amp;"; "&amp;AG948&amp;"; "&amp;AH948&amp;"; "&amp;AI948&amp;"; "&amp;AJ948</f>
        <v/>
      </c>
    </row>
    <row r="949">
      <c r="A949" s="11" t="inlineStr">
        <is>
          <t>T0485-G10-QUÍ</t>
        </is>
      </c>
      <c r="B949" s="11" t="n">
        <v>10</v>
      </c>
      <c r="C949" s="11" t="inlineStr">
        <is>
          <t>Química</t>
        </is>
      </c>
      <c r="D949" s="11" t="inlineStr">
        <is>
          <t>Matriz_Bachillerato_Quimica_10_11.xlsx</t>
        </is>
      </c>
      <c r="E949" s="11" t="inlineStr">
        <is>
          <t>Química 10.°</t>
        </is>
      </c>
      <c r="F949" s="11" t="n">
        <v>58</v>
      </c>
      <c r="G949" s="11" t="inlineStr">
        <is>
          <t>6. Los gases</t>
        </is>
      </c>
      <c r="H949" s="11" t="inlineStr">
        <is>
          <t>Mezclas de gases</t>
        </is>
      </c>
      <c r="I949" s="38" t="inlineStr">
        <is>
          <t>6.4. Cálculo de presiones parciales y fracciones molares en mezclas de gases, incluida la recolección de gases sobre agua.</t>
        </is>
      </c>
      <c r="J949" s="11" t="inlineStr">
        <is>
          <t>Sin marco</t>
        </is>
      </c>
      <c r="K949" s="11" t="inlineStr">
        <is>
          <t>N/A</t>
        </is>
      </c>
      <c r="L949" s="11" t="inlineStr"/>
      <c r="M949" s="11">
        <f>IF(K949="FUERA","Fuera del marco",IF(K949="N/A","Sin marco",IFERROR(INDEX('Datos - Catálogo TIMSS'!$C$5:$C$107,MATCH(K949,'Datos - Catálogo TIMSS'!$A$5:$A$107,0)),"Pendiente de clasificar")))</f>
        <v/>
      </c>
      <c r="N949" s="11">
        <f>IF(K949="FUERA","Fuera del marco",IF(K949="N/A","Sin marco",IFERROR(INDEX('Datos - Catálogo TIMSS'!$F$5:$F$107,MATCH(K949,'Datos - Catálogo TIMSS'!$A$5:$A$107,0)),"Pendiente de clasificar")))</f>
        <v/>
      </c>
      <c r="O949" s="11">
        <f>IF(L949="","",IFERROR(INDEX('Datos - Catálogo TIMSS'!$C$5:$C$107,MATCH(L949,'Datos - Catálogo TIMSS'!$A$5:$A$107,0)),"?"))</f>
        <v/>
      </c>
      <c r="P949" s="11" t="inlineStr">
        <is>
          <t>N/A</t>
        </is>
      </c>
      <c r="Q949" s="38" t="inlineStr">
        <is>
          <t>Sin marco TIMSS de contenido para esta asignatura en Bachillerato</t>
        </is>
      </c>
      <c r="R949" s="38" t="inlineStr">
        <is>
          <t>Aplicar: calcular presiones parciales y fracciones molares. Razonar: justificar correcciones experimentales</t>
        </is>
      </c>
      <c r="S949" s="39">
        <f>IFERROR(ISNUMBER(SEARCH("Conocer",$R949))/(ISNUMBER(SEARCH("Conocer",$R949))+ISNUMBER(SEARCH("Aplicar",$R949))+ISNUMBER(SEARCH("Razonar",$R949))),0)</f>
        <v/>
      </c>
      <c r="T949" s="39">
        <f>IFERROR(ISNUMBER(SEARCH("Aplicar",$R949))/(ISNUMBER(SEARCH("Conocer",$R949))+ISNUMBER(SEARCH("Aplicar",$R949))+ISNUMBER(SEARCH("Razonar",$R949))),0)</f>
        <v/>
      </c>
      <c r="U949" s="39">
        <f>IFERROR(ISNUMBER(SEARCH("Razonar",$R949))/(ISNUMBER(SEARCH("Conocer",$R949))+ISNUMBER(SEARCH("Aplicar",$R949))+ISNUMBER(SEARCH("Razonar",$R949))),0)</f>
        <v/>
      </c>
      <c r="V949" s="11" t="inlineStr">
        <is>
          <t>Química 10°</t>
        </is>
      </c>
      <c r="W949" s="11" t="inlineStr">
        <is>
          <t>Química 10°–11°</t>
        </is>
      </c>
      <c r="X949" s="11">
        <f>IF(OR(IFERROR(INDEX('Datos - Catálogo TIMSS'!$I$5:$I$107,MATCH(K949,'Datos - Catálogo TIMSS'!$A$5:$A$107,0)),"No")="Sí",IFERROR(INDEX('Datos - Catálogo TIMSS'!$I$5:$I$107,MATCH(L949,'Datos - Catálogo TIMSS'!$A$5:$A$107,0)),"No")="Sí"),1,0)</f>
        <v/>
      </c>
      <c r="Y949" s="11">
        <f>IF(IFERROR(INDEX('Datos - Catálogo TIMSS'!$J$5:$J$107,MATCH(K949,'Datos - Catálogo TIMSS'!$A$5:$A$107,0)),"No")="Sí",1,0)</f>
        <v/>
      </c>
      <c r="Z949" s="11">
        <f>IF(IFERROR(INDEX('Datos - Catálogo TIMSS'!$J$5:$J$107,MATCH(L949,'Datos - Catálogo TIMSS'!$A$5:$A$107,0)),"No")="Sí",1,0)</f>
        <v/>
      </c>
      <c r="AA949" s="11" t="inlineStr">
        <is>
          <t>N/A</t>
        </is>
      </c>
      <c r="AB949" s="11" t="inlineStr"/>
      <c r="AC949" s="11">
        <f>IF(AA949="FUERA","Fuera del marco",IF(AA949="N/A","Sin marco",IFERROR(INDEX('Datos - TIMSS 2023'!$C$5:$C$105,MATCH(AA949,'Datos - TIMSS 2023'!$A$5:$A$105,0)),"Pendiente de clasificar")))</f>
        <v/>
      </c>
      <c r="AD949" s="11" t="inlineStr">
        <is>
          <t>1. Explicar fenómenos científicamente</t>
        </is>
      </c>
      <c r="AE949" s="11">
        <f>IF(AD949="","",IF(LEFT(AD949,1)="1","C1",IF(LEFT(AD949,1)="2","C2",IF(LEFT(AD949,1)="3","C3",""))))</f>
        <v/>
      </c>
      <c r="AF949" s="11" t="inlineStr">
        <is>
          <t>E6</t>
        </is>
      </c>
      <c r="AG949" s="11" t="inlineStr">
        <is>
          <t>D1</t>
        </is>
      </c>
      <c r="AH949" s="11" t="inlineStr">
        <is>
          <t>E2</t>
        </is>
      </c>
      <c r="AI949" s="11" t="inlineStr">
        <is>
          <t>I3</t>
        </is>
      </c>
      <c r="AJ949" s="11" t="inlineStr">
        <is>
          <t>E3</t>
        </is>
      </c>
      <c r="AK949" s="11" t="n"/>
      <c r="AL949" s="11" t="n"/>
      <c r="AM949" s="11" t="n"/>
      <c r="AN949" s="11" t="n"/>
      <c r="AO949" s="11" t="n"/>
      <c r="AP949" s="11" t="n"/>
      <c r="AQ949" s="11" t="n"/>
      <c r="AR949" s="11" t="n"/>
      <c r="AS949" s="11" t="n"/>
      <c r="AT949" s="11" t="n"/>
      <c r="AU949" s="11" t="n"/>
      <c r="AV949" s="11" t="n"/>
      <c r="AW949" s="11">
        <f>AF949&amp;"; "&amp;AG949&amp;"; "&amp;AH949&amp;"; "&amp;AI949&amp;"; "&amp;AJ949</f>
        <v/>
      </c>
    </row>
    <row r="950">
      <c r="A950" s="11" t="inlineStr">
        <is>
          <t>T0486-G10-QUÍ</t>
        </is>
      </c>
      <c r="B950" s="11" t="n">
        <v>10</v>
      </c>
      <c r="C950" s="11" t="inlineStr">
        <is>
          <t>Química</t>
        </is>
      </c>
      <c r="D950" s="11" t="inlineStr">
        <is>
          <t>Matriz_Bachillerato_Quimica_10_11.xlsx</t>
        </is>
      </c>
      <c r="E950" s="11" t="inlineStr">
        <is>
          <t>Química 10.°</t>
        </is>
      </c>
      <c r="F950" s="11" t="n">
        <v>59</v>
      </c>
      <c r="G950" s="11" t="inlineStr">
        <is>
          <t>6. Los gases</t>
        </is>
      </c>
      <c r="H950" s="11" t="inlineStr">
        <is>
          <t>El aire</t>
        </is>
      </c>
      <c r="I950" s="38" t="inlineStr">
        <is>
          <t>6.5. Análisis de la composición del aire y de datos de humedad y contaminantes atmosféricos en El Salvador.</t>
        </is>
      </c>
      <c r="J950" s="11" t="inlineStr">
        <is>
          <t>Sin marco</t>
        </is>
      </c>
      <c r="K950" s="11" t="inlineStr">
        <is>
          <t>N/A</t>
        </is>
      </c>
      <c r="L950" s="11" t="inlineStr"/>
      <c r="M950" s="11">
        <f>IF(K950="FUERA","Fuera del marco",IF(K950="N/A","Sin marco",IFERROR(INDEX('Datos - Catálogo TIMSS'!$C$5:$C$107,MATCH(K950,'Datos - Catálogo TIMSS'!$A$5:$A$107,0)),"Pendiente de clasificar")))</f>
        <v/>
      </c>
      <c r="N950" s="11">
        <f>IF(K950="FUERA","Fuera del marco",IF(K950="N/A","Sin marco",IFERROR(INDEX('Datos - Catálogo TIMSS'!$F$5:$F$107,MATCH(K950,'Datos - Catálogo TIMSS'!$A$5:$A$107,0)),"Pendiente de clasificar")))</f>
        <v/>
      </c>
      <c r="O950" s="11">
        <f>IF(L950="","",IFERROR(INDEX('Datos - Catálogo TIMSS'!$C$5:$C$107,MATCH(L950,'Datos - Catálogo TIMSS'!$A$5:$A$107,0)),"?"))</f>
        <v/>
      </c>
      <c r="P950" s="11" t="inlineStr">
        <is>
          <t>N/A</t>
        </is>
      </c>
      <c r="Q950" s="38" t="inlineStr">
        <is>
          <t>Sin marco TIMSS de contenido para esta asignatura en Bachillerato</t>
        </is>
      </c>
      <c r="R950" s="38" t="inlineStr">
        <is>
          <t>Aplicar: interpretar datos atmosféricos. Razonar: fundamentar decisiones ambientales con evidencia</t>
        </is>
      </c>
      <c r="S950" s="39">
        <f>IFERROR(ISNUMBER(SEARCH("Conocer",$R950))/(ISNUMBER(SEARCH("Conocer",$R950))+ISNUMBER(SEARCH("Aplicar",$R950))+ISNUMBER(SEARCH("Razonar",$R950))),0)</f>
        <v/>
      </c>
      <c r="T950" s="39">
        <f>IFERROR(ISNUMBER(SEARCH("Aplicar",$R950))/(ISNUMBER(SEARCH("Conocer",$R950))+ISNUMBER(SEARCH("Aplicar",$R950))+ISNUMBER(SEARCH("Razonar",$R950))),0)</f>
        <v/>
      </c>
      <c r="U950" s="39">
        <f>IFERROR(ISNUMBER(SEARCH("Razonar",$R950))/(ISNUMBER(SEARCH("Conocer",$R950))+ISNUMBER(SEARCH("Aplicar",$R950))+ISNUMBER(SEARCH("Razonar",$R950))),0)</f>
        <v/>
      </c>
      <c r="V950" s="11" t="inlineStr">
        <is>
          <t>Química 10°</t>
        </is>
      </c>
      <c r="W950" s="11" t="inlineStr">
        <is>
          <t>Química 10°–11°</t>
        </is>
      </c>
      <c r="X950" s="11">
        <f>IF(OR(IFERROR(INDEX('Datos - Catálogo TIMSS'!$I$5:$I$107,MATCH(K950,'Datos - Catálogo TIMSS'!$A$5:$A$107,0)),"No")="Sí",IFERROR(INDEX('Datos - Catálogo TIMSS'!$I$5:$I$107,MATCH(L950,'Datos - Catálogo TIMSS'!$A$5:$A$107,0)),"No")="Sí"),1,0)</f>
        <v/>
      </c>
      <c r="Y950" s="11">
        <f>IF(IFERROR(INDEX('Datos - Catálogo TIMSS'!$J$5:$J$107,MATCH(K950,'Datos - Catálogo TIMSS'!$A$5:$A$107,0)),"No")="Sí",1,0)</f>
        <v/>
      </c>
      <c r="Z950" s="11">
        <f>IF(IFERROR(INDEX('Datos - Catálogo TIMSS'!$J$5:$J$107,MATCH(L950,'Datos - Catálogo TIMSS'!$A$5:$A$107,0)),"No")="Sí",1,0)</f>
        <v/>
      </c>
      <c r="AA950" s="11" t="inlineStr">
        <is>
          <t>N/A</t>
        </is>
      </c>
      <c r="AB950" s="11" t="inlineStr"/>
      <c r="AC950" s="11">
        <f>IF(AA950="FUERA","Fuera del marco",IF(AA950="N/A","Sin marco",IFERROR(INDEX('Datos - TIMSS 2023'!$C$5:$C$105,MATCH(AA950,'Datos - TIMSS 2023'!$A$5:$A$105,0)),"Pendiente de clasificar")))</f>
        <v/>
      </c>
      <c r="AD950" s="11" t="inlineStr">
        <is>
          <t>3. Investigar, evaluar y usar información científica para tomar decisiones y actuar</t>
        </is>
      </c>
      <c r="AE950" s="11">
        <f>IF(AD950="","",IF(LEFT(AD950,1)="1","C1",IF(LEFT(AD950,1)="2","C2",IF(LEFT(AD950,1)="3","C3",""))))</f>
        <v/>
      </c>
      <c r="AF950" s="11" t="inlineStr">
        <is>
          <t>E1</t>
        </is>
      </c>
      <c r="AG950" s="11" t="inlineStr">
        <is>
          <t>E5</t>
        </is>
      </c>
      <c r="AH950" s="11" t="inlineStr">
        <is>
          <t>E2</t>
        </is>
      </c>
      <c r="AI950" s="11" t="inlineStr">
        <is>
          <t>I1</t>
        </is>
      </c>
      <c r="AJ950" s="11" t="inlineStr">
        <is>
          <t>I5</t>
        </is>
      </c>
      <c r="AK950" s="11" t="n"/>
      <c r="AL950" s="11" t="n"/>
      <c r="AM950" s="11" t="n"/>
      <c r="AN950" s="11" t="n"/>
      <c r="AO950" s="11" t="n"/>
      <c r="AP950" s="11" t="n"/>
      <c r="AQ950" s="11" t="n"/>
      <c r="AR950" s="11" t="n"/>
      <c r="AS950" s="11" t="n"/>
      <c r="AT950" s="11" t="n"/>
      <c r="AU950" s="11" t="n"/>
      <c r="AV950" s="11" t="n"/>
      <c r="AW950" s="11">
        <f>AF950&amp;"; "&amp;AG950&amp;"; "&amp;AH950&amp;"; "&amp;AI950&amp;"; "&amp;AJ950</f>
        <v/>
      </c>
    </row>
    <row r="951">
      <c r="A951" s="11" t="inlineStr">
        <is>
          <t>T0487-G10-QUÍ</t>
        </is>
      </c>
      <c r="B951" s="11" t="n">
        <v>10</v>
      </c>
      <c r="C951" s="11" t="inlineStr">
        <is>
          <t>Química</t>
        </is>
      </c>
      <c r="D951" s="11" t="inlineStr">
        <is>
          <t>Matriz_Bachillerato_Quimica_10_11.xlsx</t>
        </is>
      </c>
      <c r="E951" s="11" t="inlineStr">
        <is>
          <t>Química 10.°</t>
        </is>
      </c>
      <c r="F951" s="11" t="n">
        <v>60</v>
      </c>
      <c r="G951" s="11" t="inlineStr">
        <is>
          <t>6. Los gases</t>
        </is>
      </c>
      <c r="H951" s="11" t="inlineStr">
        <is>
          <t>Difusión y efusión</t>
        </is>
      </c>
      <c r="I951" s="38" t="inlineStr">
        <is>
          <t>6.6. Aplicación de la ley de Graham para comparar las velocidades de difusión y efusión de distintos gases.</t>
        </is>
      </c>
      <c r="J951" s="11" t="inlineStr">
        <is>
          <t>Sin marco</t>
        </is>
      </c>
      <c r="K951" s="11" t="inlineStr">
        <is>
          <t>N/A</t>
        </is>
      </c>
      <c r="L951" s="11" t="inlineStr"/>
      <c r="M951" s="11">
        <f>IF(K951="FUERA","Fuera del marco",IF(K951="N/A","Sin marco",IFERROR(INDEX('Datos - Catálogo TIMSS'!$C$5:$C$107,MATCH(K951,'Datos - Catálogo TIMSS'!$A$5:$A$107,0)),"Pendiente de clasificar")))</f>
        <v/>
      </c>
      <c r="N951" s="11">
        <f>IF(K951="FUERA","Fuera del marco",IF(K951="N/A","Sin marco",IFERROR(INDEX('Datos - Catálogo TIMSS'!$F$5:$F$107,MATCH(K951,'Datos - Catálogo TIMSS'!$A$5:$A$107,0)),"Pendiente de clasificar")))</f>
        <v/>
      </c>
      <c r="O951" s="11">
        <f>IF(L951="","",IFERROR(INDEX('Datos - Catálogo TIMSS'!$C$5:$C$107,MATCH(L951,'Datos - Catálogo TIMSS'!$A$5:$A$107,0)),"?"))</f>
        <v/>
      </c>
      <c r="P951" s="11" t="inlineStr">
        <is>
          <t>N/A</t>
        </is>
      </c>
      <c r="Q951" s="38" t="inlineStr">
        <is>
          <t>Sin marco TIMSS de contenido para esta asignatura en Bachillerato</t>
        </is>
      </c>
      <c r="R951" s="38" t="inlineStr">
        <is>
          <t>Aplicar: calcular con la ley de Graham. Razonar: explicar diferencias de velocidad por la masa molar</t>
        </is>
      </c>
      <c r="S951" s="39">
        <f>IFERROR(ISNUMBER(SEARCH("Conocer",$R951))/(ISNUMBER(SEARCH("Conocer",$R951))+ISNUMBER(SEARCH("Aplicar",$R951))+ISNUMBER(SEARCH("Razonar",$R951))),0)</f>
        <v/>
      </c>
      <c r="T951" s="39">
        <f>IFERROR(ISNUMBER(SEARCH("Aplicar",$R951))/(ISNUMBER(SEARCH("Conocer",$R951))+ISNUMBER(SEARCH("Aplicar",$R951))+ISNUMBER(SEARCH("Razonar",$R951))),0)</f>
        <v/>
      </c>
      <c r="U951" s="39">
        <f>IFERROR(ISNUMBER(SEARCH("Razonar",$R951))/(ISNUMBER(SEARCH("Conocer",$R951))+ISNUMBER(SEARCH("Aplicar",$R951))+ISNUMBER(SEARCH("Razonar",$R951))),0)</f>
        <v/>
      </c>
      <c r="V951" s="11" t="inlineStr">
        <is>
          <t>Química 10°</t>
        </is>
      </c>
      <c r="W951" s="11" t="inlineStr">
        <is>
          <t>Química 10°–11°</t>
        </is>
      </c>
      <c r="X951" s="11">
        <f>IF(OR(IFERROR(INDEX('Datos - Catálogo TIMSS'!$I$5:$I$107,MATCH(K951,'Datos - Catálogo TIMSS'!$A$5:$A$107,0)),"No")="Sí",IFERROR(INDEX('Datos - Catálogo TIMSS'!$I$5:$I$107,MATCH(L951,'Datos - Catálogo TIMSS'!$A$5:$A$107,0)),"No")="Sí"),1,0)</f>
        <v/>
      </c>
      <c r="Y951" s="11">
        <f>IF(IFERROR(INDEX('Datos - Catálogo TIMSS'!$J$5:$J$107,MATCH(K951,'Datos - Catálogo TIMSS'!$A$5:$A$107,0)),"No")="Sí",1,0)</f>
        <v/>
      </c>
      <c r="Z951" s="11">
        <f>IF(IFERROR(INDEX('Datos - Catálogo TIMSS'!$J$5:$J$107,MATCH(L951,'Datos - Catálogo TIMSS'!$A$5:$A$107,0)),"No")="Sí",1,0)</f>
        <v/>
      </c>
      <c r="AA951" s="11" t="inlineStr">
        <is>
          <t>N/A</t>
        </is>
      </c>
      <c r="AB951" s="11" t="inlineStr"/>
      <c r="AC951" s="11">
        <f>IF(AA951="FUERA","Fuera del marco",IF(AA951="N/A","Sin marco",IFERROR(INDEX('Datos - TIMSS 2023'!$C$5:$C$105,MATCH(AA951,'Datos - TIMSS 2023'!$A$5:$A$105,0)),"Pendiente de clasificar")))</f>
        <v/>
      </c>
      <c r="AD951" s="11" t="inlineStr">
        <is>
          <t>1. Explicar fenómenos científicamente</t>
        </is>
      </c>
      <c r="AE951" s="11">
        <f>IF(AD951="","",IF(LEFT(AD951,1)="1","C1",IF(LEFT(AD951,1)="2","C2",IF(LEFT(AD951,1)="3","C3",""))))</f>
        <v/>
      </c>
      <c r="AF951" s="11" t="inlineStr">
        <is>
          <t>E1</t>
        </is>
      </c>
      <c r="AG951" s="11" t="inlineStr">
        <is>
          <t>E3</t>
        </is>
      </c>
      <c r="AH951" s="11" t="inlineStr">
        <is>
          <t>E1</t>
        </is>
      </c>
      <c r="AI951" s="11" t="inlineStr">
        <is>
          <t>D4</t>
        </is>
      </c>
      <c r="AJ951" s="11" t="inlineStr">
        <is>
          <t>E6</t>
        </is>
      </c>
      <c r="AK951" s="11" t="n"/>
      <c r="AL951" s="11" t="n"/>
      <c r="AM951" s="11" t="n"/>
      <c r="AN951" s="11" t="n"/>
      <c r="AO951" s="11" t="n"/>
      <c r="AP951" s="11" t="n"/>
      <c r="AQ951" s="11" t="n"/>
      <c r="AR951" s="11" t="n"/>
      <c r="AS951" s="11" t="n"/>
      <c r="AT951" s="11" t="n"/>
      <c r="AU951" s="11" t="n"/>
      <c r="AV951" s="11" t="n"/>
      <c r="AW951" s="11">
        <f>AF951&amp;"; "&amp;AG951&amp;"; "&amp;AH951&amp;"; "&amp;AI951&amp;"; "&amp;AJ951</f>
        <v/>
      </c>
    </row>
    <row r="952">
      <c r="A952" s="11" t="inlineStr">
        <is>
          <t>T0488-G10-QUÍ</t>
        </is>
      </c>
      <c r="B952" s="11" t="n">
        <v>10</v>
      </c>
      <c r="C952" s="11" t="inlineStr">
        <is>
          <t>Química</t>
        </is>
      </c>
      <c r="D952" s="11" t="inlineStr">
        <is>
          <t>Matriz_Bachillerato_Quimica_10_11.xlsx</t>
        </is>
      </c>
      <c r="E952" s="11" t="inlineStr">
        <is>
          <t>Química 10.°</t>
        </is>
      </c>
      <c r="F952" s="11" t="n">
        <v>61</v>
      </c>
      <c r="G952" s="11" t="inlineStr">
        <is>
          <t>6. Los gases</t>
        </is>
      </c>
      <c r="H952" s="11" t="inlineStr">
        <is>
          <t>Gases reales</t>
        </is>
      </c>
      <c r="I952" s="38" t="inlineStr">
        <is>
          <t>6.7. Comparación del comportamiento de gases reales e ideales mediante el factor de compresibilidad y la ecuación de van der Waals.</t>
        </is>
      </c>
      <c r="J952" s="11" t="inlineStr">
        <is>
          <t>Sin marco</t>
        </is>
      </c>
      <c r="K952" s="11" t="inlineStr">
        <is>
          <t>N/A</t>
        </is>
      </c>
      <c r="L952" s="11" t="inlineStr"/>
      <c r="M952" s="11">
        <f>IF(K952="FUERA","Fuera del marco",IF(K952="N/A","Sin marco",IFERROR(INDEX('Datos - Catálogo TIMSS'!$C$5:$C$107,MATCH(K952,'Datos - Catálogo TIMSS'!$A$5:$A$107,0)),"Pendiente de clasificar")))</f>
        <v/>
      </c>
      <c r="N952" s="11">
        <f>IF(K952="FUERA","Fuera del marco",IF(K952="N/A","Sin marco",IFERROR(INDEX('Datos - Catálogo TIMSS'!$F$5:$F$107,MATCH(K952,'Datos - Catálogo TIMSS'!$A$5:$A$107,0)),"Pendiente de clasificar")))</f>
        <v/>
      </c>
      <c r="O952" s="11">
        <f>IF(L952="","",IFERROR(INDEX('Datos - Catálogo TIMSS'!$C$5:$C$107,MATCH(L952,'Datos - Catálogo TIMSS'!$A$5:$A$107,0)),"?"))</f>
        <v/>
      </c>
      <c r="P952" s="11" t="inlineStr">
        <is>
          <t>N/A</t>
        </is>
      </c>
      <c r="Q952" s="38" t="inlineStr">
        <is>
          <t>Sin marco TIMSS de contenido para esta asignatura en Bachillerato</t>
        </is>
      </c>
      <c r="R952" s="38" t="inlineStr">
        <is>
          <t>Aplicar: calcular con la ecuación de van der Waals. Razonar: interpretar desviaciones de la idealidad</t>
        </is>
      </c>
      <c r="S952" s="39">
        <f>IFERROR(ISNUMBER(SEARCH("Conocer",$R952))/(ISNUMBER(SEARCH("Conocer",$R952))+ISNUMBER(SEARCH("Aplicar",$R952))+ISNUMBER(SEARCH("Razonar",$R952))),0)</f>
        <v/>
      </c>
      <c r="T952" s="39">
        <f>IFERROR(ISNUMBER(SEARCH("Aplicar",$R952))/(ISNUMBER(SEARCH("Conocer",$R952))+ISNUMBER(SEARCH("Aplicar",$R952))+ISNUMBER(SEARCH("Razonar",$R952))),0)</f>
        <v/>
      </c>
      <c r="U952" s="39">
        <f>IFERROR(ISNUMBER(SEARCH("Razonar",$R952))/(ISNUMBER(SEARCH("Conocer",$R952))+ISNUMBER(SEARCH("Aplicar",$R952))+ISNUMBER(SEARCH("Razonar",$R952))),0)</f>
        <v/>
      </c>
      <c r="V952" s="11" t="inlineStr">
        <is>
          <t>Química 10°</t>
        </is>
      </c>
      <c r="W952" s="11" t="inlineStr">
        <is>
          <t>Química 10°–11°</t>
        </is>
      </c>
      <c r="X952" s="11">
        <f>IF(OR(IFERROR(INDEX('Datos - Catálogo TIMSS'!$I$5:$I$107,MATCH(K952,'Datos - Catálogo TIMSS'!$A$5:$A$107,0)),"No")="Sí",IFERROR(INDEX('Datos - Catálogo TIMSS'!$I$5:$I$107,MATCH(L952,'Datos - Catálogo TIMSS'!$A$5:$A$107,0)),"No")="Sí"),1,0)</f>
        <v/>
      </c>
      <c r="Y952" s="11">
        <f>IF(IFERROR(INDEX('Datos - Catálogo TIMSS'!$J$5:$J$107,MATCH(K952,'Datos - Catálogo TIMSS'!$A$5:$A$107,0)),"No")="Sí",1,0)</f>
        <v/>
      </c>
      <c r="Z952" s="11">
        <f>IF(IFERROR(INDEX('Datos - Catálogo TIMSS'!$J$5:$J$107,MATCH(L952,'Datos - Catálogo TIMSS'!$A$5:$A$107,0)),"No")="Sí",1,0)</f>
        <v/>
      </c>
      <c r="AA952" s="11" t="inlineStr">
        <is>
          <t>N/A</t>
        </is>
      </c>
      <c r="AB952" s="11" t="inlineStr"/>
      <c r="AC952" s="11">
        <f>IF(AA952="FUERA","Fuera del marco",IF(AA952="N/A","Sin marco",IFERROR(INDEX('Datos - TIMSS 2023'!$C$5:$C$105,MATCH(AA952,'Datos - TIMSS 2023'!$A$5:$A$105,0)),"Pendiente de clasificar")))</f>
        <v/>
      </c>
      <c r="AD952" s="11" t="inlineStr">
        <is>
          <t>2. Construir y evaluar diseños para la indagación científica e interpretar datos y evidencia de forma crítica</t>
        </is>
      </c>
      <c r="AE952" s="11">
        <f>IF(AD952="","",IF(LEFT(AD952,1)="1","C1",IF(LEFT(AD952,1)="2","C2",IF(LEFT(AD952,1)="3","C3",""))))</f>
        <v/>
      </c>
      <c r="AF952" s="11" t="inlineStr">
        <is>
          <t>E6</t>
        </is>
      </c>
      <c r="AG952" s="11" t="inlineStr">
        <is>
          <t>E5</t>
        </is>
      </c>
      <c r="AH952" s="11" t="inlineStr">
        <is>
          <t>E4</t>
        </is>
      </c>
      <c r="AI952" s="11" t="inlineStr">
        <is>
          <t>D4</t>
        </is>
      </c>
      <c r="AJ952" s="11" t="inlineStr">
        <is>
          <t>E3</t>
        </is>
      </c>
      <c r="AK952" s="11" t="n"/>
      <c r="AL952" s="11" t="n"/>
      <c r="AM952" s="11" t="n"/>
      <c r="AN952" s="11" t="n"/>
      <c r="AO952" s="11" t="n"/>
      <c r="AP952" s="11" t="n"/>
      <c r="AQ952" s="11" t="n"/>
      <c r="AR952" s="11" t="n"/>
      <c r="AS952" s="11" t="n"/>
      <c r="AT952" s="11" t="n"/>
      <c r="AU952" s="11" t="n"/>
      <c r="AV952" s="11" t="n"/>
      <c r="AW952" s="11">
        <f>AF952&amp;"; "&amp;AG952&amp;"; "&amp;AH952&amp;"; "&amp;AI952&amp;"; "&amp;AJ952</f>
        <v/>
      </c>
    </row>
    <row r="953">
      <c r="A953" s="11" t="inlineStr">
        <is>
          <t>T0489-G10-QUÍ</t>
        </is>
      </c>
      <c r="B953" s="11" t="n">
        <v>10</v>
      </c>
      <c r="C953" s="11" t="inlineStr">
        <is>
          <t>Química</t>
        </is>
      </c>
      <c r="D953" s="11" t="inlineStr">
        <is>
          <t>Matriz_Bachillerato_Quimica_10_11.xlsx</t>
        </is>
      </c>
      <c r="E953" s="11" t="inlineStr">
        <is>
          <t>Química 10.°</t>
        </is>
      </c>
      <c r="F953" s="11" t="n">
        <v>62</v>
      </c>
      <c r="G953" s="11" t="inlineStr">
        <is>
          <t>7. Los líquidos y los sólidos</t>
        </is>
      </c>
      <c r="H953" s="11" t="inlineStr">
        <is>
          <t>Estados de agregación</t>
        </is>
      </c>
      <c r="I953" s="38" t="inlineStr">
        <is>
          <t>7.1. Comparación de las características de sólidos, líquidos y gases mediante el modelo cinético de partículas.</t>
        </is>
      </c>
      <c r="J953" s="11" t="inlineStr">
        <is>
          <t>Sin marco</t>
        </is>
      </c>
      <c r="K953" s="11" t="inlineStr">
        <is>
          <t>N/A</t>
        </is>
      </c>
      <c r="L953" s="11" t="inlineStr"/>
      <c r="M953" s="11">
        <f>IF(K953="FUERA","Fuera del marco",IF(K953="N/A","Sin marco",IFERROR(INDEX('Datos - Catálogo TIMSS'!$C$5:$C$107,MATCH(K953,'Datos - Catálogo TIMSS'!$A$5:$A$107,0)),"Pendiente de clasificar")))</f>
        <v/>
      </c>
      <c r="N953" s="11">
        <f>IF(K953="FUERA","Fuera del marco",IF(K953="N/A","Sin marco",IFERROR(INDEX('Datos - Catálogo TIMSS'!$F$5:$F$107,MATCH(K953,'Datos - Catálogo TIMSS'!$A$5:$A$107,0)),"Pendiente de clasificar")))</f>
        <v/>
      </c>
      <c r="O953" s="11">
        <f>IF(L953="","",IFERROR(INDEX('Datos - Catálogo TIMSS'!$C$5:$C$107,MATCH(L953,'Datos - Catálogo TIMSS'!$A$5:$A$107,0)),"?"))</f>
        <v/>
      </c>
      <c r="P953" s="11" t="inlineStr">
        <is>
          <t>N/A</t>
        </is>
      </c>
      <c r="Q953" s="38" t="inlineStr">
        <is>
          <t>Sin marco TIMSS de contenido para esta asignatura en Bachillerato</t>
        </is>
      </c>
      <c r="R953" s="38" t="inlineStr">
        <is>
          <t>Conocer: describir los estados de agregación. Razonar: explicar propiedades con el modelo de partículas</t>
        </is>
      </c>
      <c r="S953" s="39">
        <f>IFERROR(ISNUMBER(SEARCH("Conocer",$R953))/(ISNUMBER(SEARCH("Conocer",$R953))+ISNUMBER(SEARCH("Aplicar",$R953))+ISNUMBER(SEARCH("Razonar",$R953))),0)</f>
        <v/>
      </c>
      <c r="T953" s="39">
        <f>IFERROR(ISNUMBER(SEARCH("Aplicar",$R953))/(ISNUMBER(SEARCH("Conocer",$R953))+ISNUMBER(SEARCH("Aplicar",$R953))+ISNUMBER(SEARCH("Razonar",$R953))),0)</f>
        <v/>
      </c>
      <c r="U953" s="39">
        <f>IFERROR(ISNUMBER(SEARCH("Razonar",$R953))/(ISNUMBER(SEARCH("Conocer",$R953))+ISNUMBER(SEARCH("Aplicar",$R953))+ISNUMBER(SEARCH("Razonar",$R953))),0)</f>
        <v/>
      </c>
      <c r="V953" s="11" t="inlineStr">
        <is>
          <t>Química 10°</t>
        </is>
      </c>
      <c r="W953" s="11" t="inlineStr">
        <is>
          <t>Química 10°–11°</t>
        </is>
      </c>
      <c r="X953" s="11">
        <f>IF(OR(IFERROR(INDEX('Datos - Catálogo TIMSS'!$I$5:$I$107,MATCH(K953,'Datos - Catálogo TIMSS'!$A$5:$A$107,0)),"No")="Sí",IFERROR(INDEX('Datos - Catálogo TIMSS'!$I$5:$I$107,MATCH(L953,'Datos - Catálogo TIMSS'!$A$5:$A$107,0)),"No")="Sí"),1,0)</f>
        <v/>
      </c>
      <c r="Y953" s="11">
        <f>IF(IFERROR(INDEX('Datos - Catálogo TIMSS'!$J$5:$J$107,MATCH(K953,'Datos - Catálogo TIMSS'!$A$5:$A$107,0)),"No")="Sí",1,0)</f>
        <v/>
      </c>
      <c r="Z953" s="11">
        <f>IF(IFERROR(INDEX('Datos - Catálogo TIMSS'!$J$5:$J$107,MATCH(L953,'Datos - Catálogo TIMSS'!$A$5:$A$107,0)),"No")="Sí",1,0)</f>
        <v/>
      </c>
      <c r="AA953" s="11" t="inlineStr">
        <is>
          <t>N/A</t>
        </is>
      </c>
      <c r="AB953" s="11" t="inlineStr"/>
      <c r="AC953" s="11">
        <f>IF(AA953="FUERA","Fuera del marco",IF(AA953="N/A","Sin marco",IFERROR(INDEX('Datos - TIMSS 2023'!$C$5:$C$105,MATCH(AA953,'Datos - TIMSS 2023'!$A$5:$A$105,0)),"Pendiente de clasificar")))</f>
        <v/>
      </c>
      <c r="AD953" s="11" t="inlineStr">
        <is>
          <t>1. Explicar fenómenos científicamente</t>
        </is>
      </c>
      <c r="AE953" s="11">
        <f>IF(AD953="","",IF(LEFT(AD953,1)="1","C1",IF(LEFT(AD953,1)="2","C2",IF(LEFT(AD953,1)="3","C3",""))))</f>
        <v/>
      </c>
      <c r="AF953" s="11" t="inlineStr">
        <is>
          <t>E1</t>
        </is>
      </c>
      <c r="AG953" s="11" t="inlineStr">
        <is>
          <t>E3</t>
        </is>
      </c>
      <c r="AH953" s="11" t="inlineStr">
        <is>
          <t>E4</t>
        </is>
      </c>
      <c r="AI953" s="11" t="inlineStr">
        <is>
          <t>D4</t>
        </is>
      </c>
      <c r="AJ953" s="11" t="inlineStr">
        <is>
          <t>E3</t>
        </is>
      </c>
      <c r="AK953" s="11" t="n"/>
      <c r="AL953" s="11" t="n"/>
      <c r="AM953" s="11" t="n"/>
      <c r="AN953" s="11" t="n"/>
      <c r="AO953" s="11" t="n"/>
      <c r="AP953" s="11" t="n"/>
      <c r="AQ953" s="11" t="n"/>
      <c r="AR953" s="11" t="n"/>
      <c r="AS953" s="11" t="n"/>
      <c r="AT953" s="11" t="n"/>
      <c r="AU953" s="11" t="n"/>
      <c r="AV953" s="11" t="n"/>
      <c r="AW953" s="11">
        <f>AF953&amp;"; "&amp;AG953&amp;"; "&amp;AH953&amp;"; "&amp;AI953&amp;"; "&amp;AJ953</f>
        <v/>
      </c>
    </row>
    <row r="954">
      <c r="A954" s="11" t="inlineStr">
        <is>
          <t>T0490-G10-QUÍ</t>
        </is>
      </c>
      <c r="B954" s="11" t="n">
        <v>10</v>
      </c>
      <c r="C954" s="11" t="inlineStr">
        <is>
          <t>Química</t>
        </is>
      </c>
      <c r="D954" s="11" t="inlineStr">
        <is>
          <t>Matriz_Bachillerato_Quimica_10_11.xlsx</t>
        </is>
      </c>
      <c r="E954" s="11" t="inlineStr">
        <is>
          <t>Química 10.°</t>
        </is>
      </c>
      <c r="F954" s="11" t="n">
        <v>63</v>
      </c>
      <c r="G954" s="11" t="inlineStr">
        <is>
          <t>7. Los líquidos y los sólidos</t>
        </is>
      </c>
      <c r="H954" s="11" t="inlineStr">
        <is>
          <t>Fuerzas entre partículas</t>
        </is>
      </c>
      <c r="I954" s="38" t="inlineStr">
        <is>
          <t>7.2. Relación entre el tipo de partículas y de fuerzas presentes en un sólido y sus puntos de fusión.</t>
        </is>
      </c>
      <c r="J954" s="11" t="inlineStr">
        <is>
          <t>Sin marco</t>
        </is>
      </c>
      <c r="K954" s="11" t="inlineStr">
        <is>
          <t>N/A</t>
        </is>
      </c>
      <c r="L954" s="11" t="inlineStr"/>
      <c r="M954" s="11">
        <f>IF(K954="FUERA","Fuera del marco",IF(K954="N/A","Sin marco",IFERROR(INDEX('Datos - Catálogo TIMSS'!$C$5:$C$107,MATCH(K954,'Datos - Catálogo TIMSS'!$A$5:$A$107,0)),"Pendiente de clasificar")))</f>
        <v/>
      </c>
      <c r="N954" s="11">
        <f>IF(K954="FUERA","Fuera del marco",IF(K954="N/A","Sin marco",IFERROR(INDEX('Datos - Catálogo TIMSS'!$F$5:$F$107,MATCH(K954,'Datos - Catálogo TIMSS'!$A$5:$A$107,0)),"Pendiente de clasificar")))</f>
        <v/>
      </c>
      <c r="O954" s="11">
        <f>IF(L954="","",IFERROR(INDEX('Datos - Catálogo TIMSS'!$C$5:$C$107,MATCH(L954,'Datos - Catálogo TIMSS'!$A$5:$A$107,0)),"?"))</f>
        <v/>
      </c>
      <c r="P954" s="11" t="inlineStr">
        <is>
          <t>N/A</t>
        </is>
      </c>
      <c r="Q954" s="38" t="inlineStr">
        <is>
          <t>Sin marco TIMSS de contenido para esta asignatura en Bachillerato</t>
        </is>
      </c>
      <c r="R954" s="38" t="inlineStr">
        <is>
          <t>Aplicar: clasificar sólidos por sus fuerzas. Razonar: predecir propiedades a partir del tipo de sólido</t>
        </is>
      </c>
      <c r="S954" s="39">
        <f>IFERROR(ISNUMBER(SEARCH("Conocer",$R954))/(ISNUMBER(SEARCH("Conocer",$R954))+ISNUMBER(SEARCH("Aplicar",$R954))+ISNUMBER(SEARCH("Razonar",$R954))),0)</f>
        <v/>
      </c>
      <c r="T954" s="39">
        <f>IFERROR(ISNUMBER(SEARCH("Aplicar",$R954))/(ISNUMBER(SEARCH("Conocer",$R954))+ISNUMBER(SEARCH("Aplicar",$R954))+ISNUMBER(SEARCH("Razonar",$R954))),0)</f>
        <v/>
      </c>
      <c r="U954" s="39">
        <f>IFERROR(ISNUMBER(SEARCH("Razonar",$R954))/(ISNUMBER(SEARCH("Conocer",$R954))+ISNUMBER(SEARCH("Aplicar",$R954))+ISNUMBER(SEARCH("Razonar",$R954))),0)</f>
        <v/>
      </c>
      <c r="V954" s="11" t="inlineStr">
        <is>
          <t>Química 10°</t>
        </is>
      </c>
      <c r="W954" s="11" t="inlineStr">
        <is>
          <t>Química 10°–11°</t>
        </is>
      </c>
      <c r="X954" s="11">
        <f>IF(OR(IFERROR(INDEX('Datos - Catálogo TIMSS'!$I$5:$I$107,MATCH(K954,'Datos - Catálogo TIMSS'!$A$5:$A$107,0)),"No")="Sí",IFERROR(INDEX('Datos - Catálogo TIMSS'!$I$5:$I$107,MATCH(L954,'Datos - Catálogo TIMSS'!$A$5:$A$107,0)),"No")="Sí"),1,0)</f>
        <v/>
      </c>
      <c r="Y954" s="11">
        <f>IF(IFERROR(INDEX('Datos - Catálogo TIMSS'!$J$5:$J$107,MATCH(K954,'Datos - Catálogo TIMSS'!$A$5:$A$107,0)),"No")="Sí",1,0)</f>
        <v/>
      </c>
      <c r="Z954" s="11">
        <f>IF(IFERROR(INDEX('Datos - Catálogo TIMSS'!$J$5:$J$107,MATCH(L954,'Datos - Catálogo TIMSS'!$A$5:$A$107,0)),"No")="Sí",1,0)</f>
        <v/>
      </c>
      <c r="AA954" s="11" t="inlineStr">
        <is>
          <t>N/A</t>
        </is>
      </c>
      <c r="AB954" s="11" t="inlineStr"/>
      <c r="AC954" s="11">
        <f>IF(AA954="FUERA","Fuera del marco",IF(AA954="N/A","Sin marco",IFERROR(INDEX('Datos - TIMSS 2023'!$C$5:$C$105,MATCH(AA954,'Datos - TIMSS 2023'!$A$5:$A$105,0)),"Pendiente de clasificar")))</f>
        <v/>
      </c>
      <c r="AD954" s="11" t="inlineStr">
        <is>
          <t>1. Explicar fenómenos científicamente</t>
        </is>
      </c>
      <c r="AE954" s="11">
        <f>IF(AD954="","",IF(LEFT(AD954,1)="1","C1",IF(LEFT(AD954,1)="2","C2",IF(LEFT(AD954,1)="3","C3",""))))</f>
        <v/>
      </c>
      <c r="AF954" s="11" t="inlineStr">
        <is>
          <t>E1</t>
        </is>
      </c>
      <c r="AG954" s="11" t="inlineStr">
        <is>
          <t>D1</t>
        </is>
      </c>
      <c r="AH954" s="11" t="inlineStr">
        <is>
          <t>E4</t>
        </is>
      </c>
      <c r="AI954" s="11" t="inlineStr">
        <is>
          <t>I3</t>
        </is>
      </c>
      <c r="AJ954" s="11" t="inlineStr">
        <is>
          <t>E3</t>
        </is>
      </c>
      <c r="AK954" s="11" t="n"/>
      <c r="AL954" s="11" t="n"/>
      <c r="AM954" s="11" t="n"/>
      <c r="AN954" s="11" t="n"/>
      <c r="AO954" s="11" t="n"/>
      <c r="AP954" s="11" t="n"/>
      <c r="AQ954" s="11" t="n"/>
      <c r="AR954" s="11" t="n"/>
      <c r="AS954" s="11" t="n"/>
      <c r="AT954" s="11" t="n"/>
      <c r="AU954" s="11" t="n"/>
      <c r="AV954" s="11" t="n"/>
      <c r="AW954" s="11">
        <f>AF954&amp;"; "&amp;AG954&amp;"; "&amp;AH954&amp;"; "&amp;AI954&amp;"; "&amp;AJ954</f>
        <v/>
      </c>
    </row>
    <row r="955">
      <c r="A955" s="11" t="inlineStr">
        <is>
          <t>T0491-G10-QUÍ</t>
        </is>
      </c>
      <c r="B955" s="11" t="n">
        <v>10</v>
      </c>
      <c r="C955" s="11" t="inlineStr">
        <is>
          <t>Química</t>
        </is>
      </c>
      <c r="D955" s="11" t="inlineStr">
        <is>
          <t>Matriz_Bachillerato_Quimica_10_11.xlsx</t>
        </is>
      </c>
      <c r="E955" s="11" t="inlineStr">
        <is>
          <t>Química 10.°</t>
        </is>
      </c>
      <c r="F955" s="11" t="n">
        <v>64</v>
      </c>
      <c r="G955" s="11" t="inlineStr">
        <is>
          <t>7. Los líquidos y los sólidos</t>
        </is>
      </c>
      <c r="H955" s="11" t="inlineStr">
        <is>
          <t>Propiedades de los líquidos</t>
        </is>
      </c>
      <c r="I955" s="38" t="inlineStr">
        <is>
          <t>7.3. Medición de la viscosidad, la tensión superficial y la capilaridad de líquidos y su relación con las fuerzas intermoleculares.</t>
        </is>
      </c>
      <c r="J955" s="11" t="inlineStr">
        <is>
          <t>Sin marco</t>
        </is>
      </c>
      <c r="K955" s="11" t="inlineStr">
        <is>
          <t>N/A</t>
        </is>
      </c>
      <c r="L955" s="11" t="inlineStr"/>
      <c r="M955" s="11">
        <f>IF(K955="FUERA","Fuera del marco",IF(K955="N/A","Sin marco",IFERROR(INDEX('Datos - Catálogo TIMSS'!$C$5:$C$107,MATCH(K955,'Datos - Catálogo TIMSS'!$A$5:$A$107,0)),"Pendiente de clasificar")))</f>
        <v/>
      </c>
      <c r="N955" s="11">
        <f>IF(K955="FUERA","Fuera del marco",IF(K955="N/A","Sin marco",IFERROR(INDEX('Datos - Catálogo TIMSS'!$F$5:$F$107,MATCH(K955,'Datos - Catálogo TIMSS'!$A$5:$A$107,0)),"Pendiente de clasificar")))</f>
        <v/>
      </c>
      <c r="O955" s="11">
        <f>IF(L955="","",IFERROR(INDEX('Datos - Catálogo TIMSS'!$C$5:$C$107,MATCH(L955,'Datos - Catálogo TIMSS'!$A$5:$A$107,0)),"?"))</f>
        <v/>
      </c>
      <c r="P955" s="11" t="inlineStr">
        <is>
          <t>N/A</t>
        </is>
      </c>
      <c r="Q955" s="38" t="inlineStr">
        <is>
          <t>Sin marco TIMSS de contenido para esta asignatura en Bachillerato</t>
        </is>
      </c>
      <c r="R955" s="38" t="inlineStr">
        <is>
          <t>Aplicar: medir propiedades de líquidos. Razonar: relacionar propiedades con fuerzas intermoleculares</t>
        </is>
      </c>
      <c r="S955" s="39">
        <f>IFERROR(ISNUMBER(SEARCH("Conocer",$R955))/(ISNUMBER(SEARCH("Conocer",$R955))+ISNUMBER(SEARCH("Aplicar",$R955))+ISNUMBER(SEARCH("Razonar",$R955))),0)</f>
        <v/>
      </c>
      <c r="T955" s="39">
        <f>IFERROR(ISNUMBER(SEARCH("Aplicar",$R955))/(ISNUMBER(SEARCH("Conocer",$R955))+ISNUMBER(SEARCH("Aplicar",$R955))+ISNUMBER(SEARCH("Razonar",$R955))),0)</f>
        <v/>
      </c>
      <c r="U955" s="39">
        <f>IFERROR(ISNUMBER(SEARCH("Razonar",$R955))/(ISNUMBER(SEARCH("Conocer",$R955))+ISNUMBER(SEARCH("Aplicar",$R955))+ISNUMBER(SEARCH("Razonar",$R955))),0)</f>
        <v/>
      </c>
      <c r="V955" s="11" t="inlineStr">
        <is>
          <t>Química 10°</t>
        </is>
      </c>
      <c r="W955" s="11" t="inlineStr">
        <is>
          <t>Química 10°–11°</t>
        </is>
      </c>
      <c r="X955" s="11">
        <f>IF(OR(IFERROR(INDEX('Datos - Catálogo TIMSS'!$I$5:$I$107,MATCH(K955,'Datos - Catálogo TIMSS'!$A$5:$A$107,0)),"No")="Sí",IFERROR(INDEX('Datos - Catálogo TIMSS'!$I$5:$I$107,MATCH(L955,'Datos - Catálogo TIMSS'!$A$5:$A$107,0)),"No")="Sí"),1,0)</f>
        <v/>
      </c>
      <c r="Y955" s="11">
        <f>IF(IFERROR(INDEX('Datos - Catálogo TIMSS'!$J$5:$J$107,MATCH(K955,'Datos - Catálogo TIMSS'!$A$5:$A$107,0)),"No")="Sí",1,0)</f>
        <v/>
      </c>
      <c r="Z955" s="11">
        <f>IF(IFERROR(INDEX('Datos - Catálogo TIMSS'!$J$5:$J$107,MATCH(L955,'Datos - Catálogo TIMSS'!$A$5:$A$107,0)),"No")="Sí",1,0)</f>
        <v/>
      </c>
      <c r="AA955" s="11" t="inlineStr">
        <is>
          <t>N/A</t>
        </is>
      </c>
      <c r="AB955" s="11" t="inlineStr"/>
      <c r="AC955" s="11">
        <f>IF(AA955="FUERA","Fuera del marco",IF(AA955="N/A","Sin marco",IFERROR(INDEX('Datos - TIMSS 2023'!$C$5:$C$105,MATCH(AA955,'Datos - TIMSS 2023'!$A$5:$A$105,0)),"Pendiente de clasificar")))</f>
        <v/>
      </c>
      <c r="AD955" s="11" t="inlineStr">
        <is>
          <t>2. Construir y evaluar diseños para la indagación científica e interpretar datos y evidencia de forma crítica</t>
        </is>
      </c>
      <c r="AE955" s="11">
        <f>IF(AD955="","",IF(LEFT(AD955,1)="1","C1",IF(LEFT(AD955,1)="2","C2",IF(LEFT(AD955,1)="3","C3",""))))</f>
        <v/>
      </c>
      <c r="AF955" s="11" t="inlineStr">
        <is>
          <t>E6</t>
        </is>
      </c>
      <c r="AG955" s="11" t="inlineStr">
        <is>
          <t>E5</t>
        </is>
      </c>
      <c r="AH955" s="11" t="inlineStr">
        <is>
          <t>E1</t>
        </is>
      </c>
      <c r="AI955" s="11" t="inlineStr">
        <is>
          <t>D2</t>
        </is>
      </c>
      <c r="AJ955" s="11" t="inlineStr">
        <is>
          <t>D3</t>
        </is>
      </c>
      <c r="AK955" s="11" t="n"/>
      <c r="AL955" s="11" t="n"/>
      <c r="AM955" s="11" t="n"/>
      <c r="AN955" s="11" t="n"/>
      <c r="AO955" s="11" t="n"/>
      <c r="AP955" s="11" t="n"/>
      <c r="AQ955" s="11" t="n"/>
      <c r="AR955" s="11" t="n"/>
      <c r="AS955" s="11" t="n"/>
      <c r="AT955" s="11" t="n"/>
      <c r="AU955" s="11" t="n"/>
      <c r="AV955" s="11" t="n"/>
      <c r="AW955" s="11">
        <f>AF955&amp;"; "&amp;AG955&amp;"; "&amp;AH955&amp;"; "&amp;AI955&amp;"; "&amp;AJ955</f>
        <v/>
      </c>
    </row>
    <row r="956">
      <c r="A956" s="11" t="inlineStr">
        <is>
          <t>T0492-G10-QUÍ</t>
        </is>
      </c>
      <c r="B956" s="11" t="n">
        <v>10</v>
      </c>
      <c r="C956" s="11" t="inlineStr">
        <is>
          <t>Química</t>
        </is>
      </c>
      <c r="D956" s="11" t="inlineStr">
        <is>
          <t>Matriz_Bachillerato_Quimica_10_11.xlsx</t>
        </is>
      </c>
      <c r="E956" s="11" t="inlineStr">
        <is>
          <t>Química 10.°</t>
        </is>
      </c>
      <c r="F956" s="11" t="n">
        <v>65</v>
      </c>
      <c r="G956" s="11" t="inlineStr">
        <is>
          <t>7. Los líquidos y los sólidos</t>
        </is>
      </c>
      <c r="H956" s="11" t="inlineStr">
        <is>
          <t>Propiedades de los sólidos</t>
        </is>
      </c>
      <c r="I956" s="38" t="inlineStr">
        <is>
          <t>7.4. Análisis de las curvas de calentamiento de sólidos cristalinos y amorfos y del proceso de sublimación.</t>
        </is>
      </c>
      <c r="J956" s="11" t="inlineStr">
        <is>
          <t>Sin marco</t>
        </is>
      </c>
      <c r="K956" s="11" t="inlineStr">
        <is>
          <t>N/A</t>
        </is>
      </c>
      <c r="L956" s="11" t="inlineStr"/>
      <c r="M956" s="11">
        <f>IF(K956="FUERA","Fuera del marco",IF(K956="N/A","Sin marco",IFERROR(INDEX('Datos - Catálogo TIMSS'!$C$5:$C$107,MATCH(K956,'Datos - Catálogo TIMSS'!$A$5:$A$107,0)),"Pendiente de clasificar")))</f>
        <v/>
      </c>
      <c r="N956" s="11">
        <f>IF(K956="FUERA","Fuera del marco",IF(K956="N/A","Sin marco",IFERROR(INDEX('Datos - Catálogo TIMSS'!$F$5:$F$107,MATCH(K956,'Datos - Catálogo TIMSS'!$A$5:$A$107,0)),"Pendiente de clasificar")))</f>
        <v/>
      </c>
      <c r="O956" s="11">
        <f>IF(L956="","",IFERROR(INDEX('Datos - Catálogo TIMSS'!$C$5:$C$107,MATCH(L956,'Datos - Catálogo TIMSS'!$A$5:$A$107,0)),"?"))</f>
        <v/>
      </c>
      <c r="P956" s="11" t="inlineStr">
        <is>
          <t>N/A</t>
        </is>
      </c>
      <c r="Q956" s="38" t="inlineStr">
        <is>
          <t>Sin marco TIMSS de contenido para esta asignatura en Bachillerato</t>
        </is>
      </c>
      <c r="R956" s="38" t="inlineStr">
        <is>
          <t>Aplicar: interpretar curvas de calentamiento. Razonar: distinguir sólidos cristalinos y amorfos con datos</t>
        </is>
      </c>
      <c r="S956" s="39">
        <f>IFERROR(ISNUMBER(SEARCH("Conocer",$R956))/(ISNUMBER(SEARCH("Conocer",$R956))+ISNUMBER(SEARCH("Aplicar",$R956))+ISNUMBER(SEARCH("Razonar",$R956))),0)</f>
        <v/>
      </c>
      <c r="T956" s="39">
        <f>IFERROR(ISNUMBER(SEARCH("Aplicar",$R956))/(ISNUMBER(SEARCH("Conocer",$R956))+ISNUMBER(SEARCH("Aplicar",$R956))+ISNUMBER(SEARCH("Razonar",$R956))),0)</f>
        <v/>
      </c>
      <c r="U956" s="39">
        <f>IFERROR(ISNUMBER(SEARCH("Razonar",$R956))/(ISNUMBER(SEARCH("Conocer",$R956))+ISNUMBER(SEARCH("Aplicar",$R956))+ISNUMBER(SEARCH("Razonar",$R956))),0)</f>
        <v/>
      </c>
      <c r="V956" s="11" t="inlineStr">
        <is>
          <t>Química 10°</t>
        </is>
      </c>
      <c r="W956" s="11" t="inlineStr">
        <is>
          <t>Química 10°–11°</t>
        </is>
      </c>
      <c r="X956" s="11">
        <f>IF(OR(IFERROR(INDEX('Datos - Catálogo TIMSS'!$I$5:$I$107,MATCH(K956,'Datos - Catálogo TIMSS'!$A$5:$A$107,0)),"No")="Sí",IFERROR(INDEX('Datos - Catálogo TIMSS'!$I$5:$I$107,MATCH(L956,'Datos - Catálogo TIMSS'!$A$5:$A$107,0)),"No")="Sí"),1,0)</f>
        <v/>
      </c>
      <c r="Y956" s="11">
        <f>IF(IFERROR(INDEX('Datos - Catálogo TIMSS'!$J$5:$J$107,MATCH(K956,'Datos - Catálogo TIMSS'!$A$5:$A$107,0)),"No")="Sí",1,0)</f>
        <v/>
      </c>
      <c r="Z956" s="11">
        <f>IF(IFERROR(INDEX('Datos - Catálogo TIMSS'!$J$5:$J$107,MATCH(L956,'Datos - Catálogo TIMSS'!$A$5:$A$107,0)),"No")="Sí",1,0)</f>
        <v/>
      </c>
      <c r="AA956" s="11" t="inlineStr">
        <is>
          <t>N/A</t>
        </is>
      </c>
      <c r="AB956" s="11" t="inlineStr"/>
      <c r="AC956" s="11">
        <f>IF(AA956="FUERA","Fuera del marco",IF(AA956="N/A","Sin marco",IFERROR(INDEX('Datos - TIMSS 2023'!$C$5:$C$105,MATCH(AA956,'Datos - TIMSS 2023'!$A$5:$A$105,0)),"Pendiente de clasificar")))</f>
        <v/>
      </c>
      <c r="AD956" s="11" t="inlineStr">
        <is>
          <t>1. Explicar fenómenos científicamente</t>
        </is>
      </c>
      <c r="AE956" s="11">
        <f>IF(AD956="","",IF(LEFT(AD956,1)="1","C1",IF(LEFT(AD956,1)="2","C2",IF(LEFT(AD956,1)="3","C3",""))))</f>
        <v/>
      </c>
      <c r="AF956" s="11" t="inlineStr">
        <is>
          <t>E1</t>
        </is>
      </c>
      <c r="AG956" s="11" t="inlineStr">
        <is>
          <t>E3</t>
        </is>
      </c>
      <c r="AH956" s="11" t="inlineStr">
        <is>
          <t>E2</t>
        </is>
      </c>
      <c r="AI956" s="11" t="inlineStr">
        <is>
          <t>D4</t>
        </is>
      </c>
      <c r="AJ956" s="11" t="inlineStr">
        <is>
          <t>E6</t>
        </is>
      </c>
      <c r="AK956" s="11" t="n"/>
      <c r="AL956" s="11" t="n"/>
      <c r="AM956" s="11" t="n"/>
      <c r="AN956" s="11" t="n"/>
      <c r="AO956" s="11" t="n"/>
      <c r="AP956" s="11" t="n"/>
      <c r="AQ956" s="11" t="n"/>
      <c r="AR956" s="11" t="n"/>
      <c r="AS956" s="11" t="n"/>
      <c r="AT956" s="11" t="n"/>
      <c r="AU956" s="11" t="n"/>
      <c r="AV956" s="11" t="n"/>
      <c r="AW956" s="11">
        <f>AF956&amp;"; "&amp;AG956&amp;"; "&amp;AH956&amp;"; "&amp;AI956&amp;"; "&amp;AJ956</f>
        <v/>
      </c>
    </row>
    <row r="957">
      <c r="A957" s="11" t="inlineStr">
        <is>
          <t>T0493-G10-QUÍ</t>
        </is>
      </c>
      <c r="B957" s="11" t="n">
        <v>10</v>
      </c>
      <c r="C957" s="11" t="inlineStr">
        <is>
          <t>Química</t>
        </is>
      </c>
      <c r="D957" s="11" t="inlineStr">
        <is>
          <t>Matriz_Bachillerato_Quimica_10_11.xlsx</t>
        </is>
      </c>
      <c r="E957" s="11" t="inlineStr">
        <is>
          <t>Química 10.°</t>
        </is>
      </c>
      <c r="F957" s="11" t="n">
        <v>66</v>
      </c>
      <c r="G957" s="11" t="inlineStr">
        <is>
          <t>7. Los líquidos y los sólidos</t>
        </is>
      </c>
      <c r="H957" s="11" t="inlineStr">
        <is>
          <t>Diagramas de fases</t>
        </is>
      </c>
      <c r="I957" s="38" t="inlineStr">
        <is>
          <t>7.5. Interpretación de diagramas de fases para predecir el estado de una sustancia a una presión y temperatura dadas.</t>
        </is>
      </c>
      <c r="J957" s="11" t="inlineStr">
        <is>
          <t>Sin marco</t>
        </is>
      </c>
      <c r="K957" s="11" t="inlineStr">
        <is>
          <t>N/A</t>
        </is>
      </c>
      <c r="L957" s="11" t="inlineStr"/>
      <c r="M957" s="11">
        <f>IF(K957="FUERA","Fuera del marco",IF(K957="N/A","Sin marco",IFERROR(INDEX('Datos - Catálogo TIMSS'!$C$5:$C$107,MATCH(K957,'Datos - Catálogo TIMSS'!$A$5:$A$107,0)),"Pendiente de clasificar")))</f>
        <v/>
      </c>
      <c r="N957" s="11">
        <f>IF(K957="FUERA","Fuera del marco",IF(K957="N/A","Sin marco",IFERROR(INDEX('Datos - Catálogo TIMSS'!$F$5:$F$107,MATCH(K957,'Datos - Catálogo TIMSS'!$A$5:$A$107,0)),"Pendiente de clasificar")))</f>
        <v/>
      </c>
      <c r="O957" s="11">
        <f>IF(L957="","",IFERROR(INDEX('Datos - Catálogo TIMSS'!$C$5:$C$107,MATCH(L957,'Datos - Catálogo TIMSS'!$A$5:$A$107,0)),"?"))</f>
        <v/>
      </c>
      <c r="P957" s="11" t="inlineStr">
        <is>
          <t>N/A</t>
        </is>
      </c>
      <c r="Q957" s="38" t="inlineStr">
        <is>
          <t>Sin marco TIMSS de contenido para esta asignatura en Bachillerato</t>
        </is>
      </c>
      <c r="R957" s="38" t="inlineStr">
        <is>
          <t>Aplicar: leer diagramas de fases. Razonar: predecir estados y cambios de fase</t>
        </is>
      </c>
      <c r="S957" s="39">
        <f>IFERROR(ISNUMBER(SEARCH("Conocer",$R957))/(ISNUMBER(SEARCH("Conocer",$R957))+ISNUMBER(SEARCH("Aplicar",$R957))+ISNUMBER(SEARCH("Razonar",$R957))),0)</f>
        <v/>
      </c>
      <c r="T957" s="39">
        <f>IFERROR(ISNUMBER(SEARCH("Aplicar",$R957))/(ISNUMBER(SEARCH("Conocer",$R957))+ISNUMBER(SEARCH("Aplicar",$R957))+ISNUMBER(SEARCH("Razonar",$R957))),0)</f>
        <v/>
      </c>
      <c r="U957" s="39">
        <f>IFERROR(ISNUMBER(SEARCH("Razonar",$R957))/(ISNUMBER(SEARCH("Conocer",$R957))+ISNUMBER(SEARCH("Aplicar",$R957))+ISNUMBER(SEARCH("Razonar",$R957))),0)</f>
        <v/>
      </c>
      <c r="V957" s="11" t="inlineStr">
        <is>
          <t>Química 10°</t>
        </is>
      </c>
      <c r="W957" s="11" t="inlineStr">
        <is>
          <t>Química 10°–11°</t>
        </is>
      </c>
      <c r="X957" s="11">
        <f>IF(OR(IFERROR(INDEX('Datos - Catálogo TIMSS'!$I$5:$I$107,MATCH(K957,'Datos - Catálogo TIMSS'!$A$5:$A$107,0)),"No")="Sí",IFERROR(INDEX('Datos - Catálogo TIMSS'!$I$5:$I$107,MATCH(L957,'Datos - Catálogo TIMSS'!$A$5:$A$107,0)),"No")="Sí"),1,0)</f>
        <v/>
      </c>
      <c r="Y957" s="11">
        <f>IF(IFERROR(INDEX('Datos - Catálogo TIMSS'!$J$5:$J$107,MATCH(K957,'Datos - Catálogo TIMSS'!$A$5:$A$107,0)),"No")="Sí",1,0)</f>
        <v/>
      </c>
      <c r="Z957" s="11">
        <f>IF(IFERROR(INDEX('Datos - Catálogo TIMSS'!$J$5:$J$107,MATCH(L957,'Datos - Catálogo TIMSS'!$A$5:$A$107,0)),"No")="Sí",1,0)</f>
        <v/>
      </c>
      <c r="AA957" s="11" t="inlineStr">
        <is>
          <t>N/A</t>
        </is>
      </c>
      <c r="AB957" s="11" t="inlineStr"/>
      <c r="AC957" s="11">
        <f>IF(AA957="FUERA","Fuera del marco",IF(AA957="N/A","Sin marco",IFERROR(INDEX('Datos - TIMSS 2023'!$C$5:$C$105,MATCH(AA957,'Datos - TIMSS 2023'!$A$5:$A$105,0)),"Pendiente de clasificar")))</f>
        <v/>
      </c>
      <c r="AD957" s="11" t="inlineStr">
        <is>
          <t>1. Explicar fenómenos científicamente</t>
        </is>
      </c>
      <c r="AE957" s="11">
        <f>IF(AD957="","",IF(LEFT(AD957,1)="1","C1",IF(LEFT(AD957,1)="2","C2",IF(LEFT(AD957,1)="3","C3",""))))</f>
        <v/>
      </c>
      <c r="AF957" s="11" t="inlineStr">
        <is>
          <t>E6</t>
        </is>
      </c>
      <c r="AG957" s="11" t="inlineStr">
        <is>
          <t>D1</t>
        </is>
      </c>
      <c r="AH957" s="11" t="inlineStr">
        <is>
          <t>E2</t>
        </is>
      </c>
      <c r="AI957" s="11" t="inlineStr">
        <is>
          <t>I3</t>
        </is>
      </c>
      <c r="AJ957" s="11" t="inlineStr">
        <is>
          <t>E3</t>
        </is>
      </c>
      <c r="AK957" s="11" t="n"/>
      <c r="AL957" s="11" t="n"/>
      <c r="AM957" s="11" t="n"/>
      <c r="AN957" s="11" t="n"/>
      <c r="AO957" s="11" t="n"/>
      <c r="AP957" s="11" t="n"/>
      <c r="AQ957" s="11" t="n"/>
      <c r="AR957" s="11" t="n"/>
      <c r="AS957" s="11" t="n"/>
      <c r="AT957" s="11" t="n"/>
      <c r="AU957" s="11" t="n"/>
      <c r="AV957" s="11" t="n"/>
      <c r="AW957" s="11">
        <f>AF957&amp;"; "&amp;AG957&amp;"; "&amp;AH957&amp;"; "&amp;AI957&amp;"; "&amp;AJ957</f>
        <v/>
      </c>
    </row>
    <row r="958">
      <c r="A958" s="11" t="inlineStr">
        <is>
          <t>T0494-G10-QUÍ</t>
        </is>
      </c>
      <c r="B958" s="11" t="n">
        <v>10</v>
      </c>
      <c r="C958" s="11" t="inlineStr">
        <is>
          <t>Química</t>
        </is>
      </c>
      <c r="D958" s="11" t="inlineStr">
        <is>
          <t>Matriz_Bachillerato_Quimica_10_11.xlsx</t>
        </is>
      </c>
      <c r="E958" s="11" t="inlineStr">
        <is>
          <t>Química 10.°</t>
        </is>
      </c>
      <c r="F958" s="11" t="n">
        <v>67</v>
      </c>
      <c r="G958" s="11" t="inlineStr">
        <is>
          <t>7. Los líquidos y los sólidos</t>
        </is>
      </c>
      <c r="H958" s="11" t="inlineStr">
        <is>
          <t>El agua</t>
        </is>
      </c>
      <c r="I958" s="38" t="inlineStr">
        <is>
          <t>7.6. Análisis del comportamiento anómalo de la densidad del agua y de su importancia para los ecosistemas acuáticos.</t>
        </is>
      </c>
      <c r="J958" s="11" t="inlineStr">
        <is>
          <t>Sin marco</t>
        </is>
      </c>
      <c r="K958" s="11" t="inlineStr">
        <is>
          <t>N/A</t>
        </is>
      </c>
      <c r="L958" s="11" t="inlineStr"/>
      <c r="M958" s="11">
        <f>IF(K958="FUERA","Fuera del marco",IF(K958="N/A","Sin marco",IFERROR(INDEX('Datos - Catálogo TIMSS'!$C$5:$C$107,MATCH(K958,'Datos - Catálogo TIMSS'!$A$5:$A$107,0)),"Pendiente de clasificar")))</f>
        <v/>
      </c>
      <c r="N958" s="11">
        <f>IF(K958="FUERA","Fuera del marco",IF(K958="N/A","Sin marco",IFERROR(INDEX('Datos - Catálogo TIMSS'!$F$5:$F$107,MATCH(K958,'Datos - Catálogo TIMSS'!$A$5:$A$107,0)),"Pendiente de clasificar")))</f>
        <v/>
      </c>
      <c r="O958" s="11">
        <f>IF(L958="","",IFERROR(INDEX('Datos - Catálogo TIMSS'!$C$5:$C$107,MATCH(L958,'Datos - Catálogo TIMSS'!$A$5:$A$107,0)),"?"))</f>
        <v/>
      </c>
      <c r="P958" s="11" t="inlineStr">
        <is>
          <t>N/A</t>
        </is>
      </c>
      <c r="Q958" s="38" t="inlineStr">
        <is>
          <t>Sin marco TIMSS de contenido para esta asignatura en Bachillerato</t>
        </is>
      </c>
      <c r="R958" s="38" t="inlineStr">
        <is>
          <t>Aplicar: calcular densidades y graficar. Razonar: relacionar estructura molecular y propiedades anómalas</t>
        </is>
      </c>
      <c r="S958" s="39">
        <f>IFERROR(ISNUMBER(SEARCH("Conocer",$R958))/(ISNUMBER(SEARCH("Conocer",$R958))+ISNUMBER(SEARCH("Aplicar",$R958))+ISNUMBER(SEARCH("Razonar",$R958))),0)</f>
        <v/>
      </c>
      <c r="T958" s="39">
        <f>IFERROR(ISNUMBER(SEARCH("Aplicar",$R958))/(ISNUMBER(SEARCH("Conocer",$R958))+ISNUMBER(SEARCH("Aplicar",$R958))+ISNUMBER(SEARCH("Razonar",$R958))),0)</f>
        <v/>
      </c>
      <c r="U958" s="39">
        <f>IFERROR(ISNUMBER(SEARCH("Razonar",$R958))/(ISNUMBER(SEARCH("Conocer",$R958))+ISNUMBER(SEARCH("Aplicar",$R958))+ISNUMBER(SEARCH("Razonar",$R958))),0)</f>
        <v/>
      </c>
      <c r="V958" s="11" t="inlineStr">
        <is>
          <t>Química 10°</t>
        </is>
      </c>
      <c r="W958" s="11" t="inlineStr">
        <is>
          <t>Química 10°–11°</t>
        </is>
      </c>
      <c r="X958" s="11">
        <f>IF(OR(IFERROR(INDEX('Datos - Catálogo TIMSS'!$I$5:$I$107,MATCH(K958,'Datos - Catálogo TIMSS'!$A$5:$A$107,0)),"No")="Sí",IFERROR(INDEX('Datos - Catálogo TIMSS'!$I$5:$I$107,MATCH(L958,'Datos - Catálogo TIMSS'!$A$5:$A$107,0)),"No")="Sí"),1,0)</f>
        <v/>
      </c>
      <c r="Y958" s="11">
        <f>IF(IFERROR(INDEX('Datos - Catálogo TIMSS'!$J$5:$J$107,MATCH(K958,'Datos - Catálogo TIMSS'!$A$5:$A$107,0)),"No")="Sí",1,0)</f>
        <v/>
      </c>
      <c r="Z958" s="11">
        <f>IF(IFERROR(INDEX('Datos - Catálogo TIMSS'!$J$5:$J$107,MATCH(L958,'Datos - Catálogo TIMSS'!$A$5:$A$107,0)),"No")="Sí",1,0)</f>
        <v/>
      </c>
      <c r="AA958" s="11" t="inlineStr">
        <is>
          <t>N/A</t>
        </is>
      </c>
      <c r="AB958" s="11" t="inlineStr"/>
      <c r="AC958" s="11">
        <f>IF(AA958="FUERA","Fuera del marco",IF(AA958="N/A","Sin marco",IFERROR(INDEX('Datos - TIMSS 2023'!$C$5:$C$105,MATCH(AA958,'Datos - TIMSS 2023'!$A$5:$A$105,0)),"Pendiente de clasificar")))</f>
        <v/>
      </c>
      <c r="AD958" s="11" t="inlineStr">
        <is>
          <t>2. Construir y evaluar diseños para la indagación científica e interpretar datos y evidencia de forma crítica</t>
        </is>
      </c>
      <c r="AE958" s="11">
        <f>IF(AD958="","",IF(LEFT(AD958,1)="1","C1",IF(LEFT(AD958,1)="2","C2",IF(LEFT(AD958,1)="3","C3",""))))</f>
        <v/>
      </c>
      <c r="AF958" s="11" t="inlineStr">
        <is>
          <t>E6</t>
        </is>
      </c>
      <c r="AG958" s="11" t="inlineStr">
        <is>
          <t>E3</t>
        </is>
      </c>
      <c r="AH958" s="11" t="inlineStr">
        <is>
          <t>E4</t>
        </is>
      </c>
      <c r="AI958" s="11" t="inlineStr">
        <is>
          <t>D4</t>
        </is>
      </c>
      <c r="AJ958" s="11" t="inlineStr">
        <is>
          <t>I2</t>
        </is>
      </c>
      <c r="AK958" s="11" t="n"/>
      <c r="AL958" s="11" t="n"/>
      <c r="AM958" s="11" t="n"/>
      <c r="AN958" s="11" t="n"/>
      <c r="AO958" s="11" t="n"/>
      <c r="AP958" s="11" t="n"/>
      <c r="AQ958" s="11" t="n"/>
      <c r="AR958" s="11" t="n"/>
      <c r="AS958" s="11" t="n"/>
      <c r="AT958" s="11" t="n"/>
      <c r="AU958" s="11" t="n"/>
      <c r="AV958" s="11" t="n"/>
      <c r="AW958" s="11">
        <f>AF958&amp;"; "&amp;AG958&amp;"; "&amp;AH958&amp;"; "&amp;AI958&amp;"; "&amp;AJ958</f>
        <v/>
      </c>
    </row>
    <row r="959">
      <c r="A959" s="11" t="inlineStr">
        <is>
          <t>T0495-G10-QUÍ</t>
        </is>
      </c>
      <c r="B959" s="11" t="n">
        <v>10</v>
      </c>
      <c r="C959" s="11" t="inlineStr">
        <is>
          <t>Química</t>
        </is>
      </c>
      <c r="D959" s="11" t="inlineStr">
        <is>
          <t>Matriz_Bachillerato_Quimica_10_11.xlsx</t>
        </is>
      </c>
      <c r="E959" s="11" t="inlineStr">
        <is>
          <t>Química 10.°</t>
        </is>
      </c>
      <c r="F959" s="11" t="n">
        <v>68</v>
      </c>
      <c r="G959" s="11" t="inlineStr">
        <is>
          <t>7. Los líquidos y los sólidos</t>
        </is>
      </c>
      <c r="H959" s="11" t="inlineStr">
        <is>
          <t>Estados frontera</t>
        </is>
      </c>
      <c r="I959" s="38" t="inlineStr">
        <is>
          <t>7.7. Descripción de las características intermedias de los vidrios y los cristales líquidos y de sus aplicaciones tecnológicas.</t>
        </is>
      </c>
      <c r="J959" s="11" t="inlineStr">
        <is>
          <t>Sin marco</t>
        </is>
      </c>
      <c r="K959" s="11" t="inlineStr">
        <is>
          <t>N/A</t>
        </is>
      </c>
      <c r="L959" s="11" t="inlineStr"/>
      <c r="M959" s="11">
        <f>IF(K959="FUERA","Fuera del marco",IF(K959="N/A","Sin marco",IFERROR(INDEX('Datos - Catálogo TIMSS'!$C$5:$C$107,MATCH(K959,'Datos - Catálogo TIMSS'!$A$5:$A$107,0)),"Pendiente de clasificar")))</f>
        <v/>
      </c>
      <c r="N959" s="11">
        <f>IF(K959="FUERA","Fuera del marco",IF(K959="N/A","Sin marco",IFERROR(INDEX('Datos - Catálogo TIMSS'!$F$5:$F$107,MATCH(K959,'Datos - Catálogo TIMSS'!$A$5:$A$107,0)),"Pendiente de clasificar")))</f>
        <v/>
      </c>
      <c r="O959" s="11">
        <f>IF(L959="","",IFERROR(INDEX('Datos - Catálogo TIMSS'!$C$5:$C$107,MATCH(L959,'Datos - Catálogo TIMSS'!$A$5:$A$107,0)),"?"))</f>
        <v/>
      </c>
      <c r="P959" s="11" t="inlineStr">
        <is>
          <t>N/A</t>
        </is>
      </c>
      <c r="Q959" s="38" t="inlineStr">
        <is>
          <t>Sin marco TIMSS de contenido para esta asignatura en Bachillerato</t>
        </is>
      </c>
      <c r="R959" s="38" t="inlineStr">
        <is>
          <t>Conocer: describir estados frontera. Razonar: justificar decisiones de manejo de residuos tecnológicos</t>
        </is>
      </c>
      <c r="S959" s="39">
        <f>IFERROR(ISNUMBER(SEARCH("Conocer",$R959))/(ISNUMBER(SEARCH("Conocer",$R959))+ISNUMBER(SEARCH("Aplicar",$R959))+ISNUMBER(SEARCH("Razonar",$R959))),0)</f>
        <v/>
      </c>
      <c r="T959" s="39">
        <f>IFERROR(ISNUMBER(SEARCH("Aplicar",$R959))/(ISNUMBER(SEARCH("Conocer",$R959))+ISNUMBER(SEARCH("Aplicar",$R959))+ISNUMBER(SEARCH("Razonar",$R959))),0)</f>
        <v/>
      </c>
      <c r="U959" s="39">
        <f>IFERROR(ISNUMBER(SEARCH("Razonar",$R959))/(ISNUMBER(SEARCH("Conocer",$R959))+ISNUMBER(SEARCH("Aplicar",$R959))+ISNUMBER(SEARCH("Razonar",$R959))),0)</f>
        <v/>
      </c>
      <c r="V959" s="11" t="inlineStr">
        <is>
          <t>Química 10°</t>
        </is>
      </c>
      <c r="W959" s="11" t="inlineStr">
        <is>
          <t>Química 10°–11°</t>
        </is>
      </c>
      <c r="X959" s="11">
        <f>IF(OR(IFERROR(INDEX('Datos - Catálogo TIMSS'!$I$5:$I$107,MATCH(K959,'Datos - Catálogo TIMSS'!$A$5:$A$107,0)),"No")="Sí",IFERROR(INDEX('Datos - Catálogo TIMSS'!$I$5:$I$107,MATCH(L959,'Datos - Catálogo TIMSS'!$A$5:$A$107,0)),"No")="Sí"),1,0)</f>
        <v/>
      </c>
      <c r="Y959" s="11">
        <f>IF(IFERROR(INDEX('Datos - Catálogo TIMSS'!$J$5:$J$107,MATCH(K959,'Datos - Catálogo TIMSS'!$A$5:$A$107,0)),"No")="Sí",1,0)</f>
        <v/>
      </c>
      <c r="Z959" s="11">
        <f>IF(IFERROR(INDEX('Datos - Catálogo TIMSS'!$J$5:$J$107,MATCH(L959,'Datos - Catálogo TIMSS'!$A$5:$A$107,0)),"No")="Sí",1,0)</f>
        <v/>
      </c>
      <c r="AA959" s="11" t="inlineStr">
        <is>
          <t>N/A</t>
        </is>
      </c>
      <c r="AB959" s="11" t="inlineStr"/>
      <c r="AC959" s="11">
        <f>IF(AA959="FUERA","Fuera del marco",IF(AA959="N/A","Sin marco",IFERROR(INDEX('Datos - TIMSS 2023'!$C$5:$C$105,MATCH(AA959,'Datos - TIMSS 2023'!$A$5:$A$105,0)),"Pendiente de clasificar")))</f>
        <v/>
      </c>
      <c r="AD959" s="11" t="inlineStr">
        <is>
          <t>3. Investigar, evaluar y usar información científica para tomar decisiones y actuar</t>
        </is>
      </c>
      <c r="AE959" s="11">
        <f>IF(AD959="","",IF(LEFT(AD959,1)="1","C1",IF(LEFT(AD959,1)="2","C2",IF(LEFT(AD959,1)="3","C3",""))))</f>
        <v/>
      </c>
      <c r="AF959" s="11" t="inlineStr">
        <is>
          <t>E1</t>
        </is>
      </c>
      <c r="AG959" s="11" t="inlineStr">
        <is>
          <t>E5</t>
        </is>
      </c>
      <c r="AH959" s="11" t="inlineStr">
        <is>
          <t>E4</t>
        </is>
      </c>
      <c r="AI959" s="11" t="inlineStr">
        <is>
          <t>I1</t>
        </is>
      </c>
      <c r="AJ959" s="11" t="inlineStr">
        <is>
          <t>I5</t>
        </is>
      </c>
      <c r="AK959" s="11" t="n"/>
      <c r="AL959" s="11" t="n"/>
      <c r="AM959" s="11" t="n"/>
      <c r="AN959" s="11" t="n"/>
      <c r="AO959" s="11" t="n"/>
      <c r="AP959" s="11" t="n"/>
      <c r="AQ959" s="11" t="n"/>
      <c r="AR959" s="11" t="n"/>
      <c r="AS959" s="11" t="n"/>
      <c r="AT959" s="11" t="n"/>
      <c r="AU959" s="11" t="n"/>
      <c r="AV959" s="11" t="n"/>
      <c r="AW959" s="11">
        <f>AF959&amp;"; "&amp;AG959&amp;"; "&amp;AH959&amp;"; "&amp;AI959&amp;"; "&amp;AJ959</f>
        <v/>
      </c>
    </row>
    <row r="960">
      <c r="A960" s="11" t="inlineStr">
        <is>
          <t>T0496-G10-QUÍ</t>
        </is>
      </c>
      <c r="B960" s="11" t="n">
        <v>10</v>
      </c>
      <c r="C960" s="11" t="inlineStr">
        <is>
          <t>Química</t>
        </is>
      </c>
      <c r="D960" s="11" t="inlineStr">
        <is>
          <t>Matriz_Bachillerato_Quimica_10_11.xlsx</t>
        </is>
      </c>
      <c r="E960" s="11" t="inlineStr">
        <is>
          <t>Química 10.°</t>
        </is>
      </c>
      <c r="F960" s="11" t="n">
        <v>69</v>
      </c>
      <c r="G960" s="11" t="inlineStr">
        <is>
          <t>8. Disoluciones y coloides</t>
        </is>
      </c>
      <c r="H960" s="11" t="inlineStr">
        <is>
          <t>Dispersiones</t>
        </is>
      </c>
      <c r="I960" s="38" t="inlineStr">
        <is>
          <t>8.1. Clasificación de dispersiones según el tamaño de las partículas de la fase dispersa y el estado de las fases.</t>
        </is>
      </c>
      <c r="J960" s="11" t="inlineStr">
        <is>
          <t>Sin marco</t>
        </is>
      </c>
      <c r="K960" s="11" t="inlineStr">
        <is>
          <t>N/A</t>
        </is>
      </c>
      <c r="L960" s="11" t="inlineStr"/>
      <c r="M960" s="11">
        <f>IF(K960="FUERA","Fuera del marco",IF(K960="N/A","Sin marco",IFERROR(INDEX('Datos - Catálogo TIMSS'!$C$5:$C$107,MATCH(K960,'Datos - Catálogo TIMSS'!$A$5:$A$107,0)),"Pendiente de clasificar")))</f>
        <v/>
      </c>
      <c r="N960" s="11">
        <f>IF(K960="FUERA","Fuera del marco",IF(K960="N/A","Sin marco",IFERROR(INDEX('Datos - Catálogo TIMSS'!$F$5:$F$107,MATCH(K960,'Datos - Catálogo TIMSS'!$A$5:$A$107,0)),"Pendiente de clasificar")))</f>
        <v/>
      </c>
      <c r="O960" s="11">
        <f>IF(L960="","",IFERROR(INDEX('Datos - Catálogo TIMSS'!$C$5:$C$107,MATCH(L960,'Datos - Catálogo TIMSS'!$A$5:$A$107,0)),"?"))</f>
        <v/>
      </c>
      <c r="P960" s="11" t="inlineStr">
        <is>
          <t>N/A</t>
        </is>
      </c>
      <c r="Q960" s="38" t="inlineStr">
        <is>
          <t>Sin marco TIMSS de contenido para esta asignatura en Bachillerato</t>
        </is>
      </c>
      <c r="R960" s="38" t="inlineStr">
        <is>
          <t>Conocer: identificar tipos de dispersiones. Aplicar: clasificar muestras según el tamaño de partícula</t>
        </is>
      </c>
      <c r="S960" s="39">
        <f>IFERROR(ISNUMBER(SEARCH("Conocer",$R960))/(ISNUMBER(SEARCH("Conocer",$R960))+ISNUMBER(SEARCH("Aplicar",$R960))+ISNUMBER(SEARCH("Razonar",$R960))),0)</f>
        <v/>
      </c>
      <c r="T960" s="39">
        <f>IFERROR(ISNUMBER(SEARCH("Aplicar",$R960))/(ISNUMBER(SEARCH("Conocer",$R960))+ISNUMBER(SEARCH("Aplicar",$R960))+ISNUMBER(SEARCH("Razonar",$R960))),0)</f>
        <v/>
      </c>
      <c r="U960" s="39">
        <f>IFERROR(ISNUMBER(SEARCH("Razonar",$R960))/(ISNUMBER(SEARCH("Conocer",$R960))+ISNUMBER(SEARCH("Aplicar",$R960))+ISNUMBER(SEARCH("Razonar",$R960))),0)</f>
        <v/>
      </c>
      <c r="V960" s="11" t="inlineStr">
        <is>
          <t>Química 10°</t>
        </is>
      </c>
      <c r="W960" s="11" t="inlineStr">
        <is>
          <t>Química 10°–11°</t>
        </is>
      </c>
      <c r="X960" s="11">
        <f>IF(OR(IFERROR(INDEX('Datos - Catálogo TIMSS'!$I$5:$I$107,MATCH(K960,'Datos - Catálogo TIMSS'!$A$5:$A$107,0)),"No")="Sí",IFERROR(INDEX('Datos - Catálogo TIMSS'!$I$5:$I$107,MATCH(L960,'Datos - Catálogo TIMSS'!$A$5:$A$107,0)),"No")="Sí"),1,0)</f>
        <v/>
      </c>
      <c r="Y960" s="11">
        <f>IF(IFERROR(INDEX('Datos - Catálogo TIMSS'!$J$5:$J$107,MATCH(K960,'Datos - Catálogo TIMSS'!$A$5:$A$107,0)),"No")="Sí",1,0)</f>
        <v/>
      </c>
      <c r="Z960" s="11">
        <f>IF(IFERROR(INDEX('Datos - Catálogo TIMSS'!$J$5:$J$107,MATCH(L960,'Datos - Catálogo TIMSS'!$A$5:$A$107,0)),"No")="Sí",1,0)</f>
        <v/>
      </c>
      <c r="AA960" s="11" t="inlineStr">
        <is>
          <t>N/A</t>
        </is>
      </c>
      <c r="AB960" s="11" t="inlineStr"/>
      <c r="AC960" s="11">
        <f>IF(AA960="FUERA","Fuera del marco",IF(AA960="N/A","Sin marco",IFERROR(INDEX('Datos - TIMSS 2023'!$C$5:$C$105,MATCH(AA960,'Datos - TIMSS 2023'!$A$5:$A$105,0)),"Pendiente de clasificar")))</f>
        <v/>
      </c>
      <c r="AD960" s="11" t="inlineStr">
        <is>
          <t>1. Explicar fenómenos científicamente</t>
        </is>
      </c>
      <c r="AE960" s="11">
        <f>IF(AD960="","",IF(LEFT(AD960,1)="1","C1",IF(LEFT(AD960,1)="2","C2",IF(LEFT(AD960,1)="3","C3",""))))</f>
        <v/>
      </c>
      <c r="AF960" s="11" t="inlineStr">
        <is>
          <t>E1</t>
        </is>
      </c>
      <c r="AG960" s="11" t="inlineStr">
        <is>
          <t>D1</t>
        </is>
      </c>
      <c r="AH960" s="11" t="inlineStr">
        <is>
          <t>E2</t>
        </is>
      </c>
      <c r="AI960" s="11" t="inlineStr">
        <is>
          <t>D4</t>
        </is>
      </c>
      <c r="AJ960" s="11" t="inlineStr">
        <is>
          <t>E6</t>
        </is>
      </c>
      <c r="AK960" s="11" t="n"/>
      <c r="AL960" s="11" t="n"/>
      <c r="AM960" s="11" t="n"/>
      <c r="AN960" s="11" t="n"/>
      <c r="AO960" s="11" t="n"/>
      <c r="AP960" s="11" t="n"/>
      <c r="AQ960" s="11" t="n"/>
      <c r="AR960" s="11" t="n"/>
      <c r="AS960" s="11" t="n"/>
      <c r="AT960" s="11" t="n"/>
      <c r="AU960" s="11" t="n"/>
      <c r="AV960" s="11" t="n"/>
      <c r="AW960" s="11">
        <f>AF960&amp;"; "&amp;AG960&amp;"; "&amp;AH960&amp;"; "&amp;AI960&amp;"; "&amp;AJ960</f>
        <v/>
      </c>
    </row>
    <row r="961">
      <c r="A961" s="11" t="inlineStr">
        <is>
          <t>T0497-G10-QUÍ</t>
        </is>
      </c>
      <c r="B961" s="11" t="n">
        <v>10</v>
      </c>
      <c r="C961" s="11" t="inlineStr">
        <is>
          <t>Química</t>
        </is>
      </c>
      <c r="D961" s="11" t="inlineStr">
        <is>
          <t>Matriz_Bachillerato_Quimica_10_11.xlsx</t>
        </is>
      </c>
      <c r="E961" s="11" t="inlineStr">
        <is>
          <t>Química 10.°</t>
        </is>
      </c>
      <c r="F961" s="11" t="n">
        <v>70</v>
      </c>
      <c r="G961" s="11" t="inlineStr">
        <is>
          <t>8. Disoluciones y coloides</t>
        </is>
      </c>
      <c r="H961" s="11" t="inlineStr">
        <is>
          <t>Coloides</t>
        </is>
      </c>
      <c r="I961" s="38" t="inlineStr">
        <is>
          <t>8.2. Identificación de coloides mediante el efecto Tyndall y clasificación en hidrófilos e hidrófobos.</t>
        </is>
      </c>
      <c r="J961" s="11" t="inlineStr">
        <is>
          <t>Sin marco</t>
        </is>
      </c>
      <c r="K961" s="11" t="inlineStr">
        <is>
          <t>N/A</t>
        </is>
      </c>
      <c r="L961" s="11" t="inlineStr"/>
      <c r="M961" s="11">
        <f>IF(K961="FUERA","Fuera del marco",IF(K961="N/A","Sin marco",IFERROR(INDEX('Datos - Catálogo TIMSS'!$C$5:$C$107,MATCH(K961,'Datos - Catálogo TIMSS'!$A$5:$A$107,0)),"Pendiente de clasificar")))</f>
        <v/>
      </c>
      <c r="N961" s="11">
        <f>IF(K961="FUERA","Fuera del marco",IF(K961="N/A","Sin marco",IFERROR(INDEX('Datos - Catálogo TIMSS'!$F$5:$F$107,MATCH(K961,'Datos - Catálogo TIMSS'!$A$5:$A$107,0)),"Pendiente de clasificar")))</f>
        <v/>
      </c>
      <c r="O961" s="11">
        <f>IF(L961="","",IFERROR(INDEX('Datos - Catálogo TIMSS'!$C$5:$C$107,MATCH(L961,'Datos - Catálogo TIMSS'!$A$5:$A$107,0)),"?"))</f>
        <v/>
      </c>
      <c r="P961" s="11" t="inlineStr">
        <is>
          <t>N/A</t>
        </is>
      </c>
      <c r="Q961" s="38" t="inlineStr">
        <is>
          <t>Sin marco TIMSS de contenido para esta asignatura en Bachillerato</t>
        </is>
      </c>
      <c r="R961" s="38" t="inlineStr">
        <is>
          <t>Aplicar: identificar coloides experimentalmente. Razonar: explicar su estabilidad con modelos</t>
        </is>
      </c>
      <c r="S961" s="39">
        <f>IFERROR(ISNUMBER(SEARCH("Conocer",$R961))/(ISNUMBER(SEARCH("Conocer",$R961))+ISNUMBER(SEARCH("Aplicar",$R961))+ISNUMBER(SEARCH("Razonar",$R961))),0)</f>
        <v/>
      </c>
      <c r="T961" s="39">
        <f>IFERROR(ISNUMBER(SEARCH("Aplicar",$R961))/(ISNUMBER(SEARCH("Conocer",$R961))+ISNUMBER(SEARCH("Aplicar",$R961))+ISNUMBER(SEARCH("Razonar",$R961))),0)</f>
        <v/>
      </c>
      <c r="U961" s="39">
        <f>IFERROR(ISNUMBER(SEARCH("Razonar",$R961))/(ISNUMBER(SEARCH("Conocer",$R961))+ISNUMBER(SEARCH("Aplicar",$R961))+ISNUMBER(SEARCH("Razonar",$R961))),0)</f>
        <v/>
      </c>
      <c r="V961" s="11" t="inlineStr">
        <is>
          <t>Química 10°</t>
        </is>
      </c>
      <c r="W961" s="11" t="inlineStr">
        <is>
          <t>Química 10°–11°</t>
        </is>
      </c>
      <c r="X961" s="11">
        <f>IF(OR(IFERROR(INDEX('Datos - Catálogo TIMSS'!$I$5:$I$107,MATCH(K961,'Datos - Catálogo TIMSS'!$A$5:$A$107,0)),"No")="Sí",IFERROR(INDEX('Datos - Catálogo TIMSS'!$I$5:$I$107,MATCH(L961,'Datos - Catálogo TIMSS'!$A$5:$A$107,0)),"No")="Sí"),1,0)</f>
        <v/>
      </c>
      <c r="Y961" s="11">
        <f>IF(IFERROR(INDEX('Datos - Catálogo TIMSS'!$J$5:$J$107,MATCH(K961,'Datos - Catálogo TIMSS'!$A$5:$A$107,0)),"No")="Sí",1,0)</f>
        <v/>
      </c>
      <c r="Z961" s="11">
        <f>IF(IFERROR(INDEX('Datos - Catálogo TIMSS'!$J$5:$J$107,MATCH(L961,'Datos - Catálogo TIMSS'!$A$5:$A$107,0)),"No")="Sí",1,0)</f>
        <v/>
      </c>
      <c r="AA961" s="11" t="inlineStr">
        <is>
          <t>N/A</t>
        </is>
      </c>
      <c r="AB961" s="11" t="inlineStr"/>
      <c r="AC961" s="11">
        <f>IF(AA961="FUERA","Fuera del marco",IF(AA961="N/A","Sin marco",IFERROR(INDEX('Datos - TIMSS 2023'!$C$5:$C$105,MATCH(AA961,'Datos - TIMSS 2023'!$A$5:$A$105,0)),"Pendiente de clasificar")))</f>
        <v/>
      </c>
      <c r="AD961" s="11" t="inlineStr">
        <is>
          <t>2. Construir y evaluar diseños para la indagación científica e interpretar datos y evidencia de forma crítica</t>
        </is>
      </c>
      <c r="AE961" s="11">
        <f>IF(AD961="","",IF(LEFT(AD961,1)="1","C1",IF(LEFT(AD961,1)="2","C2",IF(LEFT(AD961,1)="3","C3",""))))</f>
        <v/>
      </c>
      <c r="AF961" s="11" t="inlineStr">
        <is>
          <t>E6</t>
        </is>
      </c>
      <c r="AG961" s="11" t="inlineStr">
        <is>
          <t>E5</t>
        </is>
      </c>
      <c r="AH961" s="11" t="inlineStr">
        <is>
          <t>E4</t>
        </is>
      </c>
      <c r="AI961" s="11" t="inlineStr">
        <is>
          <t>D2</t>
        </is>
      </c>
      <c r="AJ961" s="11" t="inlineStr">
        <is>
          <t>D3</t>
        </is>
      </c>
      <c r="AK961" s="11" t="n"/>
      <c r="AL961" s="11" t="n"/>
      <c r="AM961" s="11" t="n"/>
      <c r="AN961" s="11" t="n"/>
      <c r="AO961" s="11" t="n"/>
      <c r="AP961" s="11" t="n"/>
      <c r="AQ961" s="11" t="n"/>
      <c r="AR961" s="11" t="n"/>
      <c r="AS961" s="11" t="n"/>
      <c r="AT961" s="11" t="n"/>
      <c r="AU961" s="11" t="n"/>
      <c r="AV961" s="11" t="n"/>
      <c r="AW961" s="11">
        <f>AF961&amp;"; "&amp;AG961&amp;"; "&amp;AH961&amp;"; "&amp;AI961&amp;"; "&amp;AJ961</f>
        <v/>
      </c>
    </row>
    <row r="962">
      <c r="A962" s="11" t="inlineStr">
        <is>
          <t>T0498-G10-QUÍ</t>
        </is>
      </c>
      <c r="B962" s="11" t="n">
        <v>10</v>
      </c>
      <c r="C962" s="11" t="inlineStr">
        <is>
          <t>Química</t>
        </is>
      </c>
      <c r="D962" s="11" t="inlineStr">
        <is>
          <t>Matriz_Bachillerato_Quimica_10_11.xlsx</t>
        </is>
      </c>
      <c r="E962" s="11" t="inlineStr">
        <is>
          <t>Química 10.°</t>
        </is>
      </c>
      <c r="F962" s="11" t="n">
        <v>71</v>
      </c>
      <c r="G962" s="11" t="inlineStr">
        <is>
          <t>8. Disoluciones y coloides</t>
        </is>
      </c>
      <c r="H962" s="11" t="inlineStr">
        <is>
          <t>Concentración de las disoluciones</t>
        </is>
      </c>
      <c r="I962" s="38" t="inlineStr">
        <is>
          <t>8.3. Cálculo de la concentración de disoluciones en molaridad, molalidad, fracción molar y partes por millón.</t>
        </is>
      </c>
      <c r="J962" s="11" t="inlineStr">
        <is>
          <t>Sin marco</t>
        </is>
      </c>
      <c r="K962" s="11" t="inlineStr">
        <is>
          <t>N/A</t>
        </is>
      </c>
      <c r="L962" s="11" t="inlineStr"/>
      <c r="M962" s="11">
        <f>IF(K962="FUERA","Fuera del marco",IF(K962="N/A","Sin marco",IFERROR(INDEX('Datos - Catálogo TIMSS'!$C$5:$C$107,MATCH(K962,'Datos - Catálogo TIMSS'!$A$5:$A$107,0)),"Pendiente de clasificar")))</f>
        <v/>
      </c>
      <c r="N962" s="11">
        <f>IF(K962="FUERA","Fuera del marco",IF(K962="N/A","Sin marco",IFERROR(INDEX('Datos - Catálogo TIMSS'!$F$5:$F$107,MATCH(K962,'Datos - Catálogo TIMSS'!$A$5:$A$107,0)),"Pendiente de clasificar")))</f>
        <v/>
      </c>
      <c r="O962" s="11">
        <f>IF(L962="","",IFERROR(INDEX('Datos - Catálogo TIMSS'!$C$5:$C$107,MATCH(L962,'Datos - Catálogo TIMSS'!$A$5:$A$107,0)),"?"))</f>
        <v/>
      </c>
      <c r="P962" s="11" t="inlineStr">
        <is>
          <t>N/A</t>
        </is>
      </c>
      <c r="Q962" s="38" t="inlineStr">
        <is>
          <t>Sin marco TIMSS de contenido para esta asignatura en Bachillerato</t>
        </is>
      </c>
      <c r="R962" s="38" t="inlineStr">
        <is>
          <t>Aplicar: calcular y convertir concentraciones. Razonar: seleccionar la unidad adecuada</t>
        </is>
      </c>
      <c r="S962" s="39">
        <f>IFERROR(ISNUMBER(SEARCH("Conocer",$R962))/(ISNUMBER(SEARCH("Conocer",$R962))+ISNUMBER(SEARCH("Aplicar",$R962))+ISNUMBER(SEARCH("Razonar",$R962))),0)</f>
        <v/>
      </c>
      <c r="T962" s="39">
        <f>IFERROR(ISNUMBER(SEARCH("Aplicar",$R962))/(ISNUMBER(SEARCH("Conocer",$R962))+ISNUMBER(SEARCH("Aplicar",$R962))+ISNUMBER(SEARCH("Razonar",$R962))),0)</f>
        <v/>
      </c>
      <c r="U962" s="39">
        <f>IFERROR(ISNUMBER(SEARCH("Razonar",$R962))/(ISNUMBER(SEARCH("Conocer",$R962))+ISNUMBER(SEARCH("Aplicar",$R962))+ISNUMBER(SEARCH("Razonar",$R962))),0)</f>
        <v/>
      </c>
      <c r="V962" s="11" t="inlineStr">
        <is>
          <t>Química 10°</t>
        </is>
      </c>
      <c r="W962" s="11" t="inlineStr">
        <is>
          <t>Química 10°–11°</t>
        </is>
      </c>
      <c r="X962" s="11">
        <f>IF(OR(IFERROR(INDEX('Datos - Catálogo TIMSS'!$I$5:$I$107,MATCH(K962,'Datos - Catálogo TIMSS'!$A$5:$A$107,0)),"No")="Sí",IFERROR(INDEX('Datos - Catálogo TIMSS'!$I$5:$I$107,MATCH(L962,'Datos - Catálogo TIMSS'!$A$5:$A$107,0)),"No")="Sí"),1,0)</f>
        <v/>
      </c>
      <c r="Y962" s="11">
        <f>IF(IFERROR(INDEX('Datos - Catálogo TIMSS'!$J$5:$J$107,MATCH(K962,'Datos - Catálogo TIMSS'!$A$5:$A$107,0)),"No")="Sí",1,0)</f>
        <v/>
      </c>
      <c r="Z962" s="11">
        <f>IF(IFERROR(INDEX('Datos - Catálogo TIMSS'!$J$5:$J$107,MATCH(L962,'Datos - Catálogo TIMSS'!$A$5:$A$107,0)),"No")="Sí",1,0)</f>
        <v/>
      </c>
      <c r="AA962" s="11" t="inlineStr">
        <is>
          <t>N/A</t>
        </is>
      </c>
      <c r="AB962" s="11" t="inlineStr"/>
      <c r="AC962" s="11">
        <f>IF(AA962="FUERA","Fuera del marco",IF(AA962="N/A","Sin marco",IFERROR(INDEX('Datos - TIMSS 2023'!$C$5:$C$105,MATCH(AA962,'Datos - TIMSS 2023'!$A$5:$A$105,0)),"Pendiente de clasificar")))</f>
        <v/>
      </c>
      <c r="AD962" s="11" t="inlineStr">
        <is>
          <t>1. Explicar fenómenos científicamente</t>
        </is>
      </c>
      <c r="AE962" s="11">
        <f>IF(AD962="","",IF(LEFT(AD962,1)="1","C1",IF(LEFT(AD962,1)="2","C2",IF(LEFT(AD962,1)="3","C3",""))))</f>
        <v/>
      </c>
      <c r="AF962" s="11" t="inlineStr">
        <is>
          <t>E1</t>
        </is>
      </c>
      <c r="AG962" s="11" t="inlineStr">
        <is>
          <t>E3</t>
        </is>
      </c>
      <c r="AH962" s="11" t="inlineStr">
        <is>
          <t>E1</t>
        </is>
      </c>
      <c r="AI962" s="11" t="inlineStr">
        <is>
          <t>D4</t>
        </is>
      </c>
      <c r="AJ962" s="11" t="inlineStr">
        <is>
          <t>I5</t>
        </is>
      </c>
      <c r="AK962" s="11" t="n"/>
      <c r="AL962" s="11" t="n"/>
      <c r="AM962" s="11" t="n"/>
      <c r="AN962" s="11" t="n"/>
      <c r="AO962" s="11" t="n"/>
      <c r="AP962" s="11" t="n"/>
      <c r="AQ962" s="11" t="n"/>
      <c r="AR962" s="11" t="n"/>
      <c r="AS962" s="11" t="n"/>
      <c r="AT962" s="11" t="n"/>
      <c r="AU962" s="11" t="n"/>
      <c r="AV962" s="11" t="n"/>
      <c r="AW962" s="11">
        <f>AF962&amp;"; "&amp;AG962&amp;"; "&amp;AH962&amp;"; "&amp;AI962&amp;"; "&amp;AJ962</f>
        <v/>
      </c>
    </row>
    <row r="963">
      <c r="A963" s="11" t="inlineStr">
        <is>
          <t>T0499-G10-QUÍ</t>
        </is>
      </c>
      <c r="B963" s="11" t="n">
        <v>10</v>
      </c>
      <c r="C963" s="11" t="inlineStr">
        <is>
          <t>Química</t>
        </is>
      </c>
      <c r="D963" s="11" t="inlineStr">
        <is>
          <t>Matriz_Bachillerato_Quimica_10_11.xlsx</t>
        </is>
      </c>
      <c r="E963" s="11" t="inlineStr">
        <is>
          <t>Química 10.°</t>
        </is>
      </c>
      <c r="F963" s="11" t="n">
        <v>72</v>
      </c>
      <c r="G963" s="11" t="inlineStr">
        <is>
          <t>8. Disoluciones y coloides</t>
        </is>
      </c>
      <c r="H963" s="11" t="inlineStr">
        <is>
          <t>Preparación de disoluciones</t>
        </is>
      </c>
      <c r="I963" s="38" t="inlineStr">
        <is>
          <t>8.4. Preparación de disoluciones de concentración conocida a partir de un soluto sólido y por dilución de una disolución madre.</t>
        </is>
      </c>
      <c r="J963" s="11" t="inlineStr">
        <is>
          <t>Sin marco</t>
        </is>
      </c>
      <c r="K963" s="11" t="inlineStr">
        <is>
          <t>N/A</t>
        </is>
      </c>
      <c r="L963" s="11" t="inlineStr"/>
      <c r="M963" s="11">
        <f>IF(K963="FUERA","Fuera del marco",IF(K963="N/A","Sin marco",IFERROR(INDEX('Datos - Catálogo TIMSS'!$C$5:$C$107,MATCH(K963,'Datos - Catálogo TIMSS'!$A$5:$A$107,0)),"Pendiente de clasificar")))</f>
        <v/>
      </c>
      <c r="N963" s="11">
        <f>IF(K963="FUERA","Fuera del marco",IF(K963="N/A","Sin marco",IFERROR(INDEX('Datos - Catálogo TIMSS'!$F$5:$F$107,MATCH(K963,'Datos - Catálogo TIMSS'!$A$5:$A$107,0)),"Pendiente de clasificar")))</f>
        <v/>
      </c>
      <c r="O963" s="11">
        <f>IF(L963="","",IFERROR(INDEX('Datos - Catálogo TIMSS'!$C$5:$C$107,MATCH(L963,'Datos - Catálogo TIMSS'!$A$5:$A$107,0)),"?"))</f>
        <v/>
      </c>
      <c r="P963" s="11" t="inlineStr">
        <is>
          <t>N/A</t>
        </is>
      </c>
      <c r="Q963" s="38" t="inlineStr">
        <is>
          <t>Sin marco TIMSS de contenido para esta asignatura en Bachillerato</t>
        </is>
      </c>
      <c r="R963" s="38" t="inlineStr">
        <is>
          <t>Aplicar: calcular y preparar disoluciones. Razonar: evaluar fuentes de error en un procedimiento</t>
        </is>
      </c>
      <c r="S963" s="39">
        <f>IFERROR(ISNUMBER(SEARCH("Conocer",$R963))/(ISNUMBER(SEARCH("Conocer",$R963))+ISNUMBER(SEARCH("Aplicar",$R963))+ISNUMBER(SEARCH("Razonar",$R963))),0)</f>
        <v/>
      </c>
      <c r="T963" s="39">
        <f>IFERROR(ISNUMBER(SEARCH("Aplicar",$R963))/(ISNUMBER(SEARCH("Conocer",$R963))+ISNUMBER(SEARCH("Aplicar",$R963))+ISNUMBER(SEARCH("Razonar",$R963))),0)</f>
        <v/>
      </c>
      <c r="U963" s="39">
        <f>IFERROR(ISNUMBER(SEARCH("Razonar",$R963))/(ISNUMBER(SEARCH("Conocer",$R963))+ISNUMBER(SEARCH("Aplicar",$R963))+ISNUMBER(SEARCH("Razonar",$R963))),0)</f>
        <v/>
      </c>
      <c r="V963" s="11" t="inlineStr">
        <is>
          <t>Química 10°</t>
        </is>
      </c>
      <c r="W963" s="11" t="inlineStr">
        <is>
          <t>Química 10°–11°</t>
        </is>
      </c>
      <c r="X963" s="11">
        <f>IF(OR(IFERROR(INDEX('Datos - Catálogo TIMSS'!$I$5:$I$107,MATCH(K963,'Datos - Catálogo TIMSS'!$A$5:$A$107,0)),"No")="Sí",IFERROR(INDEX('Datos - Catálogo TIMSS'!$I$5:$I$107,MATCH(L963,'Datos - Catálogo TIMSS'!$A$5:$A$107,0)),"No")="Sí"),1,0)</f>
        <v/>
      </c>
      <c r="Y963" s="11">
        <f>IF(IFERROR(INDEX('Datos - Catálogo TIMSS'!$J$5:$J$107,MATCH(K963,'Datos - Catálogo TIMSS'!$A$5:$A$107,0)),"No")="Sí",1,0)</f>
        <v/>
      </c>
      <c r="Z963" s="11">
        <f>IF(IFERROR(INDEX('Datos - Catálogo TIMSS'!$J$5:$J$107,MATCH(L963,'Datos - Catálogo TIMSS'!$A$5:$A$107,0)),"No")="Sí",1,0)</f>
        <v/>
      </c>
      <c r="AA963" s="11" t="inlineStr">
        <is>
          <t>N/A</t>
        </is>
      </c>
      <c r="AB963" s="11" t="inlineStr"/>
      <c r="AC963" s="11">
        <f>IF(AA963="FUERA","Fuera del marco",IF(AA963="N/A","Sin marco",IFERROR(INDEX('Datos - TIMSS 2023'!$C$5:$C$105,MATCH(AA963,'Datos - TIMSS 2023'!$A$5:$A$105,0)),"Pendiente de clasificar")))</f>
        <v/>
      </c>
      <c r="AD963" s="11" t="inlineStr">
        <is>
          <t>2. Construir y evaluar diseños para la indagación científica e interpretar datos y evidencia de forma crítica</t>
        </is>
      </c>
      <c r="AE963" s="11">
        <f>IF(AD963="","",IF(LEFT(AD963,1)="1","C1",IF(LEFT(AD963,1)="2","C2",IF(LEFT(AD963,1)="3","C3",""))))</f>
        <v/>
      </c>
      <c r="AF963" s="11" t="inlineStr">
        <is>
          <t>E1</t>
        </is>
      </c>
      <c r="AG963" s="11" t="inlineStr">
        <is>
          <t>E3</t>
        </is>
      </c>
      <c r="AH963" s="11" t="inlineStr">
        <is>
          <t>E1</t>
        </is>
      </c>
      <c r="AI963" s="11" t="inlineStr">
        <is>
          <t>D2</t>
        </is>
      </c>
      <c r="AJ963" s="11" t="inlineStr">
        <is>
          <t>D3</t>
        </is>
      </c>
      <c r="AK963" s="11" t="n"/>
      <c r="AL963" s="11" t="n"/>
      <c r="AM963" s="11" t="n"/>
      <c r="AN963" s="11" t="n"/>
      <c r="AO963" s="11" t="n"/>
      <c r="AP963" s="11" t="n"/>
      <c r="AQ963" s="11" t="n"/>
      <c r="AR963" s="11" t="n"/>
      <c r="AS963" s="11" t="n"/>
      <c r="AT963" s="11" t="n"/>
      <c r="AU963" s="11" t="n"/>
      <c r="AV963" s="11" t="n"/>
      <c r="AW963" s="11">
        <f>AF963&amp;"; "&amp;AG963&amp;"; "&amp;AH963&amp;"; "&amp;AI963&amp;"; "&amp;AJ963</f>
        <v/>
      </c>
    </row>
    <row r="964">
      <c r="A964" s="11" t="inlineStr">
        <is>
          <t>T0500-G10-QUÍ</t>
        </is>
      </c>
      <c r="B964" s="11" t="n">
        <v>10</v>
      </c>
      <c r="C964" s="11" t="inlineStr">
        <is>
          <t>Química</t>
        </is>
      </c>
      <c r="D964" s="11" t="inlineStr">
        <is>
          <t>Matriz_Bachillerato_Quimica_10_11.xlsx</t>
        </is>
      </c>
      <c r="E964" s="11" t="inlineStr">
        <is>
          <t>Química 10.°</t>
        </is>
      </c>
      <c r="F964" s="11" t="n">
        <v>73</v>
      </c>
      <c r="G964" s="11" t="inlineStr">
        <is>
          <t>8. Disoluciones y coloides</t>
        </is>
      </c>
      <c r="H964" s="11" t="inlineStr">
        <is>
          <t>Cálculos con disoluciones</t>
        </is>
      </c>
      <c r="I964" s="38" t="inlineStr">
        <is>
          <t>8.5. Resolución de problemas de conversión de unidades de concentración, mezcla de disoluciones y estequiometría en disolución.</t>
        </is>
      </c>
      <c r="J964" s="11" t="inlineStr">
        <is>
          <t>Sin marco</t>
        </is>
      </c>
      <c r="K964" s="11" t="inlineStr">
        <is>
          <t>N/A</t>
        </is>
      </c>
      <c r="L964" s="11" t="inlineStr"/>
      <c r="M964" s="11">
        <f>IF(K964="FUERA","Fuera del marco",IF(K964="N/A","Sin marco",IFERROR(INDEX('Datos - Catálogo TIMSS'!$C$5:$C$107,MATCH(K964,'Datos - Catálogo TIMSS'!$A$5:$A$107,0)),"Pendiente de clasificar")))</f>
        <v/>
      </c>
      <c r="N964" s="11">
        <f>IF(K964="FUERA","Fuera del marco",IF(K964="N/A","Sin marco",IFERROR(INDEX('Datos - Catálogo TIMSS'!$F$5:$F$107,MATCH(K964,'Datos - Catálogo TIMSS'!$A$5:$A$107,0)),"Pendiente de clasificar")))</f>
        <v/>
      </c>
      <c r="O964" s="11">
        <f>IF(L964="","",IFERROR(INDEX('Datos - Catálogo TIMSS'!$C$5:$C$107,MATCH(L964,'Datos - Catálogo TIMSS'!$A$5:$A$107,0)),"?"))</f>
        <v/>
      </c>
      <c r="P964" s="11" t="inlineStr">
        <is>
          <t>N/A</t>
        </is>
      </c>
      <c r="Q964" s="38" t="inlineStr">
        <is>
          <t>Sin marco TIMSS de contenido para esta asignatura en Bachillerato</t>
        </is>
      </c>
      <c r="R964" s="38" t="inlineStr">
        <is>
          <t>Aplicar: resolver problemas de concentración. Razonar: argumentar decisiones sobre la calidad del agua</t>
        </is>
      </c>
      <c r="S964" s="39">
        <f>IFERROR(ISNUMBER(SEARCH("Conocer",$R964))/(ISNUMBER(SEARCH("Conocer",$R964))+ISNUMBER(SEARCH("Aplicar",$R964))+ISNUMBER(SEARCH("Razonar",$R964))),0)</f>
        <v/>
      </c>
      <c r="T964" s="39">
        <f>IFERROR(ISNUMBER(SEARCH("Aplicar",$R964))/(ISNUMBER(SEARCH("Conocer",$R964))+ISNUMBER(SEARCH("Aplicar",$R964))+ISNUMBER(SEARCH("Razonar",$R964))),0)</f>
        <v/>
      </c>
      <c r="U964" s="39">
        <f>IFERROR(ISNUMBER(SEARCH("Razonar",$R964))/(ISNUMBER(SEARCH("Conocer",$R964))+ISNUMBER(SEARCH("Aplicar",$R964))+ISNUMBER(SEARCH("Razonar",$R964))),0)</f>
        <v/>
      </c>
      <c r="V964" s="11" t="inlineStr">
        <is>
          <t>Química 10°</t>
        </is>
      </c>
      <c r="W964" s="11" t="inlineStr">
        <is>
          <t>Química 10°–11°</t>
        </is>
      </c>
      <c r="X964" s="11">
        <f>IF(OR(IFERROR(INDEX('Datos - Catálogo TIMSS'!$I$5:$I$107,MATCH(K964,'Datos - Catálogo TIMSS'!$A$5:$A$107,0)),"No")="Sí",IFERROR(INDEX('Datos - Catálogo TIMSS'!$I$5:$I$107,MATCH(L964,'Datos - Catálogo TIMSS'!$A$5:$A$107,0)),"No")="Sí"),1,0)</f>
        <v/>
      </c>
      <c r="Y964" s="11">
        <f>IF(IFERROR(INDEX('Datos - Catálogo TIMSS'!$J$5:$J$107,MATCH(K964,'Datos - Catálogo TIMSS'!$A$5:$A$107,0)),"No")="Sí",1,0)</f>
        <v/>
      </c>
      <c r="Z964" s="11">
        <f>IF(IFERROR(INDEX('Datos - Catálogo TIMSS'!$J$5:$J$107,MATCH(L964,'Datos - Catálogo TIMSS'!$A$5:$A$107,0)),"No")="Sí",1,0)</f>
        <v/>
      </c>
      <c r="AA964" s="11" t="inlineStr">
        <is>
          <t>N/A</t>
        </is>
      </c>
      <c r="AB964" s="11" t="inlineStr"/>
      <c r="AC964" s="11">
        <f>IF(AA964="FUERA","Fuera del marco",IF(AA964="N/A","Sin marco",IFERROR(INDEX('Datos - TIMSS 2023'!$C$5:$C$105,MATCH(AA964,'Datos - TIMSS 2023'!$A$5:$A$105,0)),"Pendiente de clasificar")))</f>
        <v/>
      </c>
      <c r="AD964" s="11" t="inlineStr">
        <is>
          <t>3. Investigar, evaluar y usar información científica para tomar decisiones y actuar</t>
        </is>
      </c>
      <c r="AE964" s="11">
        <f>IF(AD964="","",IF(LEFT(AD964,1)="1","C1",IF(LEFT(AD964,1)="2","C2",IF(LEFT(AD964,1)="3","C3",""))))</f>
        <v/>
      </c>
      <c r="AF964" s="11" t="inlineStr">
        <is>
          <t>E1</t>
        </is>
      </c>
      <c r="AG964" s="11" t="inlineStr">
        <is>
          <t>E3</t>
        </is>
      </c>
      <c r="AH964" s="11" t="inlineStr">
        <is>
          <t>E1</t>
        </is>
      </c>
      <c r="AI964" s="11" t="inlineStr">
        <is>
          <t>I3</t>
        </is>
      </c>
      <c r="AJ964" s="11" t="inlineStr">
        <is>
          <t>I5</t>
        </is>
      </c>
      <c r="AK964" s="11" t="n"/>
      <c r="AL964" s="11" t="n"/>
      <c r="AM964" s="11" t="n"/>
      <c r="AN964" s="11" t="n"/>
      <c r="AO964" s="11" t="n"/>
      <c r="AP964" s="11" t="n"/>
      <c r="AQ964" s="11" t="n"/>
      <c r="AR964" s="11" t="n"/>
      <c r="AS964" s="11" t="n"/>
      <c r="AT964" s="11" t="n"/>
      <c r="AU964" s="11" t="n"/>
      <c r="AV964" s="11" t="n"/>
      <c r="AW964" s="11">
        <f>AF964&amp;"; "&amp;AG964&amp;"; "&amp;AH964&amp;"; "&amp;AI964&amp;"; "&amp;AJ964</f>
        <v/>
      </c>
    </row>
    <row r="965">
      <c r="A965" s="11" t="inlineStr">
        <is>
          <t>T0501-G10-QUÍ</t>
        </is>
      </c>
      <c r="B965" s="11" t="n">
        <v>10</v>
      </c>
      <c r="C965" s="11" t="inlineStr">
        <is>
          <t>Química</t>
        </is>
      </c>
      <c r="D965" s="11" t="inlineStr">
        <is>
          <t>Matriz_Bachillerato_Quimica_10_11.xlsx</t>
        </is>
      </c>
      <c r="E965" s="11" t="inlineStr">
        <is>
          <t>Química 10.°</t>
        </is>
      </c>
      <c r="F965" s="11" t="n">
        <v>74</v>
      </c>
      <c r="G965" s="11" t="inlineStr">
        <is>
          <t>8. Disoluciones y coloides</t>
        </is>
      </c>
      <c r="H965" s="11" t="inlineStr">
        <is>
          <t>Proceso de disolución</t>
        </is>
      </c>
      <c r="I965" s="38" t="inlineStr">
        <is>
          <t>8.6. Análisis del proceso de disolución de compuestos iónicos y covalentes polares y de su balance energético.</t>
        </is>
      </c>
      <c r="J965" s="11" t="inlineStr">
        <is>
          <t>Sin marco</t>
        </is>
      </c>
      <c r="K965" s="11" t="inlineStr">
        <is>
          <t>N/A</t>
        </is>
      </c>
      <c r="L965" s="11" t="inlineStr"/>
      <c r="M965" s="11">
        <f>IF(K965="FUERA","Fuera del marco",IF(K965="N/A","Sin marco",IFERROR(INDEX('Datos - Catálogo TIMSS'!$C$5:$C$107,MATCH(K965,'Datos - Catálogo TIMSS'!$A$5:$A$107,0)),"Pendiente de clasificar")))</f>
        <v/>
      </c>
      <c r="N965" s="11">
        <f>IF(K965="FUERA","Fuera del marco",IF(K965="N/A","Sin marco",IFERROR(INDEX('Datos - Catálogo TIMSS'!$F$5:$F$107,MATCH(K965,'Datos - Catálogo TIMSS'!$A$5:$A$107,0)),"Pendiente de clasificar")))</f>
        <v/>
      </c>
      <c r="O965" s="11">
        <f>IF(L965="","",IFERROR(INDEX('Datos - Catálogo TIMSS'!$C$5:$C$107,MATCH(L965,'Datos - Catálogo TIMSS'!$A$5:$A$107,0)),"?"))</f>
        <v/>
      </c>
      <c r="P965" s="11" t="inlineStr">
        <is>
          <t>N/A</t>
        </is>
      </c>
      <c r="Q965" s="38" t="inlineStr">
        <is>
          <t>Sin marco TIMSS de contenido para esta asignatura en Bachillerato</t>
        </is>
      </c>
      <c r="R965" s="38" t="inlineStr">
        <is>
          <t>Aplicar: medir cambios de temperatura en disoluciones. Razonar: explicar el balance energético de la disolución</t>
        </is>
      </c>
      <c r="S965" s="39">
        <f>IFERROR(ISNUMBER(SEARCH("Conocer",$R965))/(ISNUMBER(SEARCH("Conocer",$R965))+ISNUMBER(SEARCH("Aplicar",$R965))+ISNUMBER(SEARCH("Razonar",$R965))),0)</f>
        <v/>
      </c>
      <c r="T965" s="39">
        <f>IFERROR(ISNUMBER(SEARCH("Aplicar",$R965))/(ISNUMBER(SEARCH("Conocer",$R965))+ISNUMBER(SEARCH("Aplicar",$R965))+ISNUMBER(SEARCH("Razonar",$R965))),0)</f>
        <v/>
      </c>
      <c r="U965" s="39">
        <f>IFERROR(ISNUMBER(SEARCH("Razonar",$R965))/(ISNUMBER(SEARCH("Conocer",$R965))+ISNUMBER(SEARCH("Aplicar",$R965))+ISNUMBER(SEARCH("Razonar",$R965))),0)</f>
        <v/>
      </c>
      <c r="V965" s="11" t="inlineStr">
        <is>
          <t>Química 10°</t>
        </is>
      </c>
      <c r="W965" s="11" t="inlineStr">
        <is>
          <t>Química 10°–11°</t>
        </is>
      </c>
      <c r="X965" s="11">
        <f>IF(OR(IFERROR(INDEX('Datos - Catálogo TIMSS'!$I$5:$I$107,MATCH(K965,'Datos - Catálogo TIMSS'!$A$5:$A$107,0)),"No")="Sí",IFERROR(INDEX('Datos - Catálogo TIMSS'!$I$5:$I$107,MATCH(L965,'Datos - Catálogo TIMSS'!$A$5:$A$107,0)),"No")="Sí"),1,0)</f>
        <v/>
      </c>
      <c r="Y965" s="11">
        <f>IF(IFERROR(INDEX('Datos - Catálogo TIMSS'!$J$5:$J$107,MATCH(K965,'Datos - Catálogo TIMSS'!$A$5:$A$107,0)),"No")="Sí",1,0)</f>
        <v/>
      </c>
      <c r="Z965" s="11">
        <f>IF(IFERROR(INDEX('Datos - Catálogo TIMSS'!$J$5:$J$107,MATCH(L965,'Datos - Catálogo TIMSS'!$A$5:$A$107,0)),"No")="Sí",1,0)</f>
        <v/>
      </c>
      <c r="AA965" s="11" t="inlineStr">
        <is>
          <t>N/A</t>
        </is>
      </c>
      <c r="AB965" s="11" t="inlineStr"/>
      <c r="AC965" s="11">
        <f>IF(AA965="FUERA","Fuera del marco",IF(AA965="N/A","Sin marco",IFERROR(INDEX('Datos - TIMSS 2023'!$C$5:$C$105,MATCH(AA965,'Datos - TIMSS 2023'!$A$5:$A$105,0)),"Pendiente de clasificar")))</f>
        <v/>
      </c>
      <c r="AD965" s="11" t="inlineStr">
        <is>
          <t>1. Explicar fenómenos científicamente</t>
        </is>
      </c>
      <c r="AE965" s="11">
        <f>IF(AD965="","",IF(LEFT(AD965,1)="1","C1",IF(LEFT(AD965,1)="2","C2",IF(LEFT(AD965,1)="3","C3",""))))</f>
        <v/>
      </c>
      <c r="AF965" s="11" t="inlineStr">
        <is>
          <t>E1</t>
        </is>
      </c>
      <c r="AG965" s="11" t="inlineStr">
        <is>
          <t>D1</t>
        </is>
      </c>
      <c r="AH965" s="11" t="inlineStr">
        <is>
          <t>E4</t>
        </is>
      </c>
      <c r="AI965" s="11" t="inlineStr">
        <is>
          <t>D4</t>
        </is>
      </c>
      <c r="AJ965" s="11" t="inlineStr">
        <is>
          <t>E3</t>
        </is>
      </c>
      <c r="AK965" s="11" t="n"/>
      <c r="AL965" s="11" t="n"/>
      <c r="AM965" s="11" t="n"/>
      <c r="AN965" s="11" t="n"/>
      <c r="AO965" s="11" t="n"/>
      <c r="AP965" s="11" t="n"/>
      <c r="AQ965" s="11" t="n"/>
      <c r="AR965" s="11" t="n"/>
      <c r="AS965" s="11" t="n"/>
      <c r="AT965" s="11" t="n"/>
      <c r="AU965" s="11" t="n"/>
      <c r="AV965" s="11" t="n"/>
      <c r="AW965" s="11">
        <f>AF965&amp;"; "&amp;AG965&amp;"; "&amp;AH965&amp;"; "&amp;AI965&amp;"; "&amp;AJ965</f>
        <v/>
      </c>
    </row>
    <row r="966">
      <c r="A966" s="11" t="inlineStr">
        <is>
          <t>T0502-G10-QUÍ</t>
        </is>
      </c>
      <c r="B966" s="11" t="n">
        <v>10</v>
      </c>
      <c r="C966" s="11" t="inlineStr">
        <is>
          <t>Química</t>
        </is>
      </c>
      <c r="D966" s="11" t="inlineStr">
        <is>
          <t>Matriz_Bachillerato_Quimica_10_11.xlsx</t>
        </is>
      </c>
      <c r="E966" s="11" t="inlineStr">
        <is>
          <t>Química 10.°</t>
        </is>
      </c>
      <c r="F966" s="11" t="n">
        <v>75</v>
      </c>
      <c r="G966" s="11" t="inlineStr">
        <is>
          <t>8. Disoluciones y coloides</t>
        </is>
      </c>
      <c r="H966" s="11" t="inlineStr">
        <is>
          <t>Solubilidad</t>
        </is>
      </c>
      <c r="I966" s="38" t="inlineStr">
        <is>
          <t>8.7. Interpretación de curvas de solubilidad de sólidos y gases en agua en función de la temperatura.</t>
        </is>
      </c>
      <c r="J966" s="11" t="inlineStr">
        <is>
          <t>Sin marco</t>
        </is>
      </c>
      <c r="K966" s="11" t="inlineStr">
        <is>
          <t>N/A</t>
        </is>
      </c>
      <c r="L966" s="11" t="inlineStr"/>
      <c r="M966" s="11">
        <f>IF(K966="FUERA","Fuera del marco",IF(K966="N/A","Sin marco",IFERROR(INDEX('Datos - Catálogo TIMSS'!$C$5:$C$107,MATCH(K966,'Datos - Catálogo TIMSS'!$A$5:$A$107,0)),"Pendiente de clasificar")))</f>
        <v/>
      </c>
      <c r="N966" s="11">
        <f>IF(K966="FUERA","Fuera del marco",IF(K966="N/A","Sin marco",IFERROR(INDEX('Datos - Catálogo TIMSS'!$F$5:$F$107,MATCH(K966,'Datos - Catálogo TIMSS'!$A$5:$A$107,0)),"Pendiente de clasificar")))</f>
        <v/>
      </c>
      <c r="O966" s="11">
        <f>IF(L966="","",IFERROR(INDEX('Datos - Catálogo TIMSS'!$C$5:$C$107,MATCH(L966,'Datos - Catálogo TIMSS'!$A$5:$A$107,0)),"?"))</f>
        <v/>
      </c>
      <c r="P966" s="11" t="inlineStr">
        <is>
          <t>N/A</t>
        </is>
      </c>
      <c r="Q966" s="38" t="inlineStr">
        <is>
          <t>Sin marco TIMSS de contenido para esta asignatura en Bachillerato</t>
        </is>
      </c>
      <c r="R966" s="38" t="inlineStr">
        <is>
          <t>Aplicar: interpretar curvas de solubilidad. Razonar: explicar efectos ambientales de la temperatura</t>
        </is>
      </c>
      <c r="S966" s="39">
        <f>IFERROR(ISNUMBER(SEARCH("Conocer",$R966))/(ISNUMBER(SEARCH("Conocer",$R966))+ISNUMBER(SEARCH("Aplicar",$R966))+ISNUMBER(SEARCH("Razonar",$R966))),0)</f>
        <v/>
      </c>
      <c r="T966" s="39">
        <f>IFERROR(ISNUMBER(SEARCH("Aplicar",$R966))/(ISNUMBER(SEARCH("Conocer",$R966))+ISNUMBER(SEARCH("Aplicar",$R966))+ISNUMBER(SEARCH("Razonar",$R966))),0)</f>
        <v/>
      </c>
      <c r="U966" s="39">
        <f>IFERROR(ISNUMBER(SEARCH("Razonar",$R966))/(ISNUMBER(SEARCH("Conocer",$R966))+ISNUMBER(SEARCH("Aplicar",$R966))+ISNUMBER(SEARCH("Razonar",$R966))),0)</f>
        <v/>
      </c>
      <c r="V966" s="11" t="inlineStr">
        <is>
          <t>Química 10°</t>
        </is>
      </c>
      <c r="W966" s="11" t="inlineStr">
        <is>
          <t>Química 10°–11°</t>
        </is>
      </c>
      <c r="X966" s="11">
        <f>IF(OR(IFERROR(INDEX('Datos - Catálogo TIMSS'!$I$5:$I$107,MATCH(K966,'Datos - Catálogo TIMSS'!$A$5:$A$107,0)),"No")="Sí",IFERROR(INDEX('Datos - Catálogo TIMSS'!$I$5:$I$107,MATCH(L966,'Datos - Catálogo TIMSS'!$A$5:$A$107,0)),"No")="Sí"),1,0)</f>
        <v/>
      </c>
      <c r="Y966" s="11">
        <f>IF(IFERROR(INDEX('Datos - Catálogo TIMSS'!$J$5:$J$107,MATCH(K966,'Datos - Catálogo TIMSS'!$A$5:$A$107,0)),"No")="Sí",1,0)</f>
        <v/>
      </c>
      <c r="Z966" s="11">
        <f>IF(IFERROR(INDEX('Datos - Catálogo TIMSS'!$J$5:$J$107,MATCH(L966,'Datos - Catálogo TIMSS'!$A$5:$A$107,0)),"No")="Sí",1,0)</f>
        <v/>
      </c>
      <c r="AA966" s="11" t="inlineStr">
        <is>
          <t>N/A</t>
        </is>
      </c>
      <c r="AB966" s="11" t="inlineStr"/>
      <c r="AC966" s="11">
        <f>IF(AA966="FUERA","Fuera del marco",IF(AA966="N/A","Sin marco",IFERROR(INDEX('Datos - TIMSS 2023'!$C$5:$C$105,MATCH(AA966,'Datos - TIMSS 2023'!$A$5:$A$105,0)),"Pendiente de clasificar")))</f>
        <v/>
      </c>
      <c r="AD966" s="11" t="inlineStr">
        <is>
          <t>2. Construir y evaluar diseños para la indagación científica e interpretar datos y evidencia de forma crítica</t>
        </is>
      </c>
      <c r="AE966" s="11">
        <f>IF(AD966="","",IF(LEFT(AD966,1)="1","C1",IF(LEFT(AD966,1)="2","C2",IF(LEFT(AD966,1)="3","C3",""))))</f>
        <v/>
      </c>
      <c r="AF966" s="11" t="inlineStr">
        <is>
          <t>E6</t>
        </is>
      </c>
      <c r="AG966" s="11" t="inlineStr">
        <is>
          <t>E5</t>
        </is>
      </c>
      <c r="AH966" s="11" t="inlineStr">
        <is>
          <t>E2</t>
        </is>
      </c>
      <c r="AI966" s="11" t="inlineStr">
        <is>
          <t>D4</t>
        </is>
      </c>
      <c r="AJ966" s="11" t="inlineStr">
        <is>
          <t>I2</t>
        </is>
      </c>
      <c r="AK966" s="11" t="n"/>
      <c r="AL966" s="11" t="n"/>
      <c r="AM966" s="11" t="n"/>
      <c r="AN966" s="11" t="n"/>
      <c r="AO966" s="11" t="n"/>
      <c r="AP966" s="11" t="n"/>
      <c r="AQ966" s="11" t="n"/>
      <c r="AR966" s="11" t="n"/>
      <c r="AS966" s="11" t="n"/>
      <c r="AT966" s="11" t="n"/>
      <c r="AU966" s="11" t="n"/>
      <c r="AV966" s="11" t="n"/>
      <c r="AW966" s="11">
        <f>AF966&amp;"; "&amp;AG966&amp;"; "&amp;AH966&amp;"; "&amp;AI966&amp;"; "&amp;AJ966</f>
        <v/>
      </c>
    </row>
    <row r="967">
      <c r="A967" s="11" t="inlineStr">
        <is>
          <t>T0503-G10-QUÍ</t>
        </is>
      </c>
      <c r="B967" s="11" t="n">
        <v>10</v>
      </c>
      <c r="C967" s="11" t="inlineStr">
        <is>
          <t>Química</t>
        </is>
      </c>
      <c r="D967" s="11" t="inlineStr">
        <is>
          <t>Matriz_Bachillerato_Quimica_10_11.xlsx</t>
        </is>
      </c>
      <c r="E967" s="11" t="inlineStr">
        <is>
          <t>Química 10.°</t>
        </is>
      </c>
      <c r="F967" s="11" t="n">
        <v>76</v>
      </c>
      <c r="G967" s="11" t="inlineStr">
        <is>
          <t>8. Disoluciones y coloides</t>
        </is>
      </c>
      <c r="H967" s="11" t="inlineStr">
        <is>
          <t>Propiedades coligativas</t>
        </is>
      </c>
      <c r="I967" s="38" t="inlineStr">
        <is>
          <t>8.8. Cálculo de las variaciones de las propiedades coligativas y su aplicación en procesos tecnológicos y biológicos.</t>
        </is>
      </c>
      <c r="J967" s="11" t="inlineStr">
        <is>
          <t>Sin marco</t>
        </is>
      </c>
      <c r="K967" s="11" t="inlineStr">
        <is>
          <t>N/A</t>
        </is>
      </c>
      <c r="L967" s="11" t="inlineStr"/>
      <c r="M967" s="11">
        <f>IF(K967="FUERA","Fuera del marco",IF(K967="N/A","Sin marco",IFERROR(INDEX('Datos - Catálogo TIMSS'!$C$5:$C$107,MATCH(K967,'Datos - Catálogo TIMSS'!$A$5:$A$107,0)),"Pendiente de clasificar")))</f>
        <v/>
      </c>
      <c r="N967" s="11">
        <f>IF(K967="FUERA","Fuera del marco",IF(K967="N/A","Sin marco",IFERROR(INDEX('Datos - Catálogo TIMSS'!$F$5:$F$107,MATCH(K967,'Datos - Catálogo TIMSS'!$A$5:$A$107,0)),"Pendiente de clasificar")))</f>
        <v/>
      </c>
      <c r="O967" s="11">
        <f>IF(L967="","",IFERROR(INDEX('Datos - Catálogo TIMSS'!$C$5:$C$107,MATCH(L967,'Datos - Catálogo TIMSS'!$A$5:$A$107,0)),"?"))</f>
        <v/>
      </c>
      <c r="P967" s="11" t="inlineStr">
        <is>
          <t>N/A</t>
        </is>
      </c>
      <c r="Q967" s="38" t="inlineStr">
        <is>
          <t>Sin marco TIMSS de contenido para esta asignatura en Bachillerato</t>
        </is>
      </c>
      <c r="R967" s="38" t="inlineStr">
        <is>
          <t>Aplicar: calcular propiedades coligativas. Razonar: evaluar aplicaciones tecnológicas de la ósmosis</t>
        </is>
      </c>
      <c r="S967" s="39">
        <f>IFERROR(ISNUMBER(SEARCH("Conocer",$R967))/(ISNUMBER(SEARCH("Conocer",$R967))+ISNUMBER(SEARCH("Aplicar",$R967))+ISNUMBER(SEARCH("Razonar",$R967))),0)</f>
        <v/>
      </c>
      <c r="T967" s="39">
        <f>IFERROR(ISNUMBER(SEARCH("Aplicar",$R967))/(ISNUMBER(SEARCH("Conocer",$R967))+ISNUMBER(SEARCH("Aplicar",$R967))+ISNUMBER(SEARCH("Razonar",$R967))),0)</f>
        <v/>
      </c>
      <c r="U967" s="39">
        <f>IFERROR(ISNUMBER(SEARCH("Razonar",$R967))/(ISNUMBER(SEARCH("Conocer",$R967))+ISNUMBER(SEARCH("Aplicar",$R967))+ISNUMBER(SEARCH("Razonar",$R967))),0)</f>
        <v/>
      </c>
      <c r="V967" s="11" t="inlineStr">
        <is>
          <t>Química 10°</t>
        </is>
      </c>
      <c r="W967" s="11" t="inlineStr">
        <is>
          <t>Química 10°–11°</t>
        </is>
      </c>
      <c r="X967" s="11">
        <f>IF(OR(IFERROR(INDEX('Datos - Catálogo TIMSS'!$I$5:$I$107,MATCH(K967,'Datos - Catálogo TIMSS'!$A$5:$A$107,0)),"No")="Sí",IFERROR(INDEX('Datos - Catálogo TIMSS'!$I$5:$I$107,MATCH(L967,'Datos - Catálogo TIMSS'!$A$5:$A$107,0)),"No")="Sí"),1,0)</f>
        <v/>
      </c>
      <c r="Y967" s="11">
        <f>IF(IFERROR(INDEX('Datos - Catálogo TIMSS'!$J$5:$J$107,MATCH(K967,'Datos - Catálogo TIMSS'!$A$5:$A$107,0)),"No")="Sí",1,0)</f>
        <v/>
      </c>
      <c r="Z967" s="11">
        <f>IF(IFERROR(INDEX('Datos - Catálogo TIMSS'!$J$5:$J$107,MATCH(L967,'Datos - Catálogo TIMSS'!$A$5:$A$107,0)),"No")="Sí",1,0)</f>
        <v/>
      </c>
      <c r="AA967" s="11" t="inlineStr">
        <is>
          <t>N/A</t>
        </is>
      </c>
      <c r="AB967" s="11" t="inlineStr"/>
      <c r="AC967" s="11">
        <f>IF(AA967="FUERA","Fuera del marco",IF(AA967="N/A","Sin marco",IFERROR(INDEX('Datos - TIMSS 2023'!$C$5:$C$105,MATCH(AA967,'Datos - TIMSS 2023'!$A$5:$A$105,0)),"Pendiente de clasificar")))</f>
        <v/>
      </c>
      <c r="AD967" s="11" t="inlineStr">
        <is>
          <t>1. Explicar fenómenos científicamente</t>
        </is>
      </c>
      <c r="AE967" s="11">
        <f>IF(AD967="","",IF(LEFT(AD967,1)="1","C1",IF(LEFT(AD967,1)="2","C2",IF(LEFT(AD967,1)="3","C3",""))))</f>
        <v/>
      </c>
      <c r="AF967" s="11" t="inlineStr">
        <is>
          <t>E6</t>
        </is>
      </c>
      <c r="AG967" s="11" t="inlineStr">
        <is>
          <t>E3</t>
        </is>
      </c>
      <c r="AH967" s="11" t="inlineStr">
        <is>
          <t>E1</t>
        </is>
      </c>
      <c r="AI967" s="11" t="inlineStr">
        <is>
          <t>D4</t>
        </is>
      </c>
      <c r="AJ967" s="11" t="inlineStr">
        <is>
          <t>I5</t>
        </is>
      </c>
      <c r="AK967" s="11" t="n"/>
      <c r="AL967" s="11" t="n"/>
      <c r="AM967" s="11" t="n"/>
      <c r="AN967" s="11" t="n"/>
      <c r="AO967" s="11" t="n"/>
      <c r="AP967" s="11" t="n"/>
      <c r="AQ967" s="11" t="n"/>
      <c r="AR967" s="11" t="n"/>
      <c r="AS967" s="11" t="n"/>
      <c r="AT967" s="11" t="n"/>
      <c r="AU967" s="11" t="n"/>
      <c r="AV967" s="11" t="n"/>
      <c r="AW967" s="11">
        <f>AF967&amp;"; "&amp;AG967&amp;"; "&amp;AH967&amp;"; "&amp;AI967&amp;"; "&amp;AJ967</f>
        <v/>
      </c>
    </row>
    <row r="968">
      <c r="A968" s="11" t="inlineStr">
        <is>
          <t>T0504-G10-QUÍ</t>
        </is>
      </c>
      <c r="B968" s="11" t="n">
        <v>10</v>
      </c>
      <c r="C968" s="11" t="inlineStr">
        <is>
          <t>Química</t>
        </is>
      </c>
      <c r="D968" s="11" t="inlineStr">
        <is>
          <t>Matriz_Bachillerato_Quimica_10_11.xlsx</t>
        </is>
      </c>
      <c r="E968" s="11" t="inlineStr">
        <is>
          <t>Química 10.°</t>
        </is>
      </c>
      <c r="F968" s="11" t="n">
        <v>77</v>
      </c>
      <c r="G968" s="11" t="inlineStr">
        <is>
          <t>9. Reacciones químicas</t>
        </is>
      </c>
      <c r="H968" s="11" t="inlineStr">
        <is>
          <t>Representación de las reacciones químicas</t>
        </is>
      </c>
      <c r="I968" s="38" t="inlineStr">
        <is>
          <t>9.1. Interpretación de ecuaciones químicas balanceadas con estados de agregación, condiciones de reacción y conservación de átomos y masa.</t>
        </is>
      </c>
      <c r="J968" s="11" t="inlineStr">
        <is>
          <t>Sin marco</t>
        </is>
      </c>
      <c r="K968" s="11" t="inlineStr">
        <is>
          <t>N/A</t>
        </is>
      </c>
      <c r="L968" s="11" t="inlineStr"/>
      <c r="M968" s="11">
        <f>IF(K968="FUERA","Fuera del marco",IF(K968="N/A","Sin marco",IFERROR(INDEX('Datos - Catálogo TIMSS'!$C$5:$C$107,MATCH(K968,'Datos - Catálogo TIMSS'!$A$5:$A$107,0)),"Pendiente de clasificar")))</f>
        <v/>
      </c>
      <c r="N968" s="11">
        <f>IF(K968="FUERA","Fuera del marco",IF(K968="N/A","Sin marco",IFERROR(INDEX('Datos - Catálogo TIMSS'!$F$5:$F$107,MATCH(K968,'Datos - Catálogo TIMSS'!$A$5:$A$107,0)),"Pendiente de clasificar")))</f>
        <v/>
      </c>
      <c r="O968" s="11">
        <f>IF(L968="","",IFERROR(INDEX('Datos - Catálogo TIMSS'!$C$5:$C$107,MATCH(L968,'Datos - Catálogo TIMSS'!$A$5:$A$107,0)),"?"))</f>
        <v/>
      </c>
      <c r="P968" s="11" t="inlineStr">
        <is>
          <t>N/A</t>
        </is>
      </c>
      <c r="Q968" s="38" t="inlineStr">
        <is>
          <t>Sin marco TIMSS de contenido para esta asignatura en Bachillerato</t>
        </is>
      </c>
      <c r="R968" s="38" t="inlineStr">
        <is>
          <t>Conocer: identificar reactivos y productos. Aplicar: representar con ecuaciones. Razonar: justificar la conservación de la masa</t>
        </is>
      </c>
      <c r="S968" s="39">
        <f>IFERROR(ISNUMBER(SEARCH("Conocer",$R968))/(ISNUMBER(SEARCH("Conocer",$R968))+ISNUMBER(SEARCH("Aplicar",$R968))+ISNUMBER(SEARCH("Razonar",$R968))),0)</f>
        <v/>
      </c>
      <c r="T968" s="39">
        <f>IFERROR(ISNUMBER(SEARCH("Aplicar",$R968))/(ISNUMBER(SEARCH("Conocer",$R968))+ISNUMBER(SEARCH("Aplicar",$R968))+ISNUMBER(SEARCH("Razonar",$R968))),0)</f>
        <v/>
      </c>
      <c r="U968" s="39">
        <f>IFERROR(ISNUMBER(SEARCH("Razonar",$R968))/(ISNUMBER(SEARCH("Conocer",$R968))+ISNUMBER(SEARCH("Aplicar",$R968))+ISNUMBER(SEARCH("Razonar",$R968))),0)</f>
        <v/>
      </c>
      <c r="V968" s="11" t="inlineStr">
        <is>
          <t>Química 10°</t>
        </is>
      </c>
      <c r="W968" s="11" t="inlineStr">
        <is>
          <t>Química 10°–11°</t>
        </is>
      </c>
      <c r="X968" s="11">
        <f>IF(OR(IFERROR(INDEX('Datos - Catálogo TIMSS'!$I$5:$I$107,MATCH(K968,'Datos - Catálogo TIMSS'!$A$5:$A$107,0)),"No")="Sí",IFERROR(INDEX('Datos - Catálogo TIMSS'!$I$5:$I$107,MATCH(L968,'Datos - Catálogo TIMSS'!$A$5:$A$107,0)),"No")="Sí"),1,0)</f>
        <v/>
      </c>
      <c r="Y968" s="11">
        <f>IF(IFERROR(INDEX('Datos - Catálogo TIMSS'!$J$5:$J$107,MATCH(K968,'Datos - Catálogo TIMSS'!$A$5:$A$107,0)),"No")="Sí",1,0)</f>
        <v/>
      </c>
      <c r="Z968" s="11">
        <f>IF(IFERROR(INDEX('Datos - Catálogo TIMSS'!$J$5:$J$107,MATCH(L968,'Datos - Catálogo TIMSS'!$A$5:$A$107,0)),"No")="Sí",1,0)</f>
        <v/>
      </c>
      <c r="AA968" s="11" t="inlineStr">
        <is>
          <t>N/A</t>
        </is>
      </c>
      <c r="AB968" s="11" t="inlineStr"/>
      <c r="AC968" s="11">
        <f>IF(AA968="FUERA","Fuera del marco",IF(AA968="N/A","Sin marco",IFERROR(INDEX('Datos - TIMSS 2023'!$C$5:$C$105,MATCH(AA968,'Datos - TIMSS 2023'!$A$5:$A$105,0)),"Pendiente de clasificar")))</f>
        <v/>
      </c>
      <c r="AD968" s="11" t="inlineStr">
        <is>
          <t>1. Explicar fenómenos científicamente</t>
        </is>
      </c>
      <c r="AE968" s="11">
        <f>IF(AD968="","",IF(LEFT(AD968,1)="1","C1",IF(LEFT(AD968,1)="2","C2",IF(LEFT(AD968,1)="3","C3",""))))</f>
        <v/>
      </c>
      <c r="AF968" s="11" t="inlineStr">
        <is>
          <t>E1</t>
        </is>
      </c>
      <c r="AG968" s="11" t="inlineStr">
        <is>
          <t>D1</t>
        </is>
      </c>
      <c r="AH968" s="11" t="inlineStr">
        <is>
          <t>E2</t>
        </is>
      </c>
      <c r="AI968" s="11" t="inlineStr">
        <is>
          <t>D4</t>
        </is>
      </c>
      <c r="AJ968" s="11" t="inlineStr">
        <is>
          <t>E3</t>
        </is>
      </c>
      <c r="AK968" s="11" t="n"/>
      <c r="AL968" s="11" t="n"/>
      <c r="AM968" s="11" t="n"/>
      <c r="AN968" s="11" t="n"/>
      <c r="AO968" s="11" t="n"/>
      <c r="AP968" s="11" t="n"/>
      <c r="AQ968" s="11" t="n"/>
      <c r="AR968" s="11" t="n"/>
      <c r="AS968" s="11" t="n"/>
      <c r="AT968" s="11" t="n"/>
      <c r="AU968" s="11" t="n"/>
      <c r="AV968" s="11" t="n"/>
      <c r="AW968" s="11">
        <f>AF968&amp;"; "&amp;AG968&amp;"; "&amp;AH968&amp;"; "&amp;AI968&amp;"; "&amp;AJ968</f>
        <v/>
      </c>
    </row>
    <row r="969">
      <c r="A969" s="11" t="inlineStr">
        <is>
          <t>T0505-G10-QUÍ</t>
        </is>
      </c>
      <c r="B969" s="11" t="n">
        <v>10</v>
      </c>
      <c r="C969" s="11" t="inlineStr">
        <is>
          <t>Química</t>
        </is>
      </c>
      <c r="D969" s="11" t="inlineStr">
        <is>
          <t>Matriz_Bachillerato_Quimica_10_11.xlsx</t>
        </is>
      </c>
      <c r="E969" s="11" t="inlineStr">
        <is>
          <t>Química 10.°</t>
        </is>
      </c>
      <c r="F969" s="11" t="n">
        <v>78</v>
      </c>
      <c r="G969" s="11" t="inlineStr">
        <is>
          <t>9. Reacciones químicas</t>
        </is>
      </c>
      <c r="H969" s="11" t="inlineStr">
        <is>
          <t>Clasificación de las reacciones químicas</t>
        </is>
      </c>
      <c r="I969" s="38" t="inlineStr">
        <is>
          <t>9.2. Clasificación de reacciones químicas cotidianas e industriales según la reorganización de sus reactivos y productos.</t>
        </is>
      </c>
      <c r="J969" s="11" t="inlineStr">
        <is>
          <t>Sin marco</t>
        </is>
      </c>
      <c r="K969" s="11" t="inlineStr">
        <is>
          <t>N/A</t>
        </is>
      </c>
      <c r="L969" s="11" t="inlineStr"/>
      <c r="M969" s="11">
        <f>IF(K969="FUERA","Fuera del marco",IF(K969="N/A","Sin marco",IFERROR(INDEX('Datos - Catálogo TIMSS'!$C$5:$C$107,MATCH(K969,'Datos - Catálogo TIMSS'!$A$5:$A$107,0)),"Pendiente de clasificar")))</f>
        <v/>
      </c>
      <c r="N969" s="11">
        <f>IF(K969="FUERA","Fuera del marco",IF(K969="N/A","Sin marco",IFERROR(INDEX('Datos - Catálogo TIMSS'!$F$5:$F$107,MATCH(K969,'Datos - Catálogo TIMSS'!$A$5:$A$107,0)),"Pendiente de clasificar")))</f>
        <v/>
      </c>
      <c r="O969" s="11">
        <f>IF(L969="","",IFERROR(INDEX('Datos - Catálogo TIMSS'!$C$5:$C$107,MATCH(L969,'Datos - Catálogo TIMSS'!$A$5:$A$107,0)),"?"))</f>
        <v/>
      </c>
      <c r="P969" s="11" t="inlineStr">
        <is>
          <t>N/A</t>
        </is>
      </c>
      <c r="Q969" s="38" t="inlineStr">
        <is>
          <t>Sin marco TIMSS de contenido para esta asignatura en Bachillerato</t>
        </is>
      </c>
      <c r="R969" s="38" t="inlineStr">
        <is>
          <t>Aplicar: clasificar reacciones. Razonar: justificar criterios de clasificación y predecir productos</t>
        </is>
      </c>
      <c r="S969" s="39">
        <f>IFERROR(ISNUMBER(SEARCH("Conocer",$R969))/(ISNUMBER(SEARCH("Conocer",$R969))+ISNUMBER(SEARCH("Aplicar",$R969))+ISNUMBER(SEARCH("Razonar",$R969))),0)</f>
        <v/>
      </c>
      <c r="T969" s="39">
        <f>IFERROR(ISNUMBER(SEARCH("Aplicar",$R969))/(ISNUMBER(SEARCH("Conocer",$R969))+ISNUMBER(SEARCH("Aplicar",$R969))+ISNUMBER(SEARCH("Razonar",$R969))),0)</f>
        <v/>
      </c>
      <c r="U969" s="39">
        <f>IFERROR(ISNUMBER(SEARCH("Razonar",$R969))/(ISNUMBER(SEARCH("Conocer",$R969))+ISNUMBER(SEARCH("Aplicar",$R969))+ISNUMBER(SEARCH("Razonar",$R969))),0)</f>
        <v/>
      </c>
      <c r="V969" s="11" t="inlineStr">
        <is>
          <t>Química 10°</t>
        </is>
      </c>
      <c r="W969" s="11" t="inlineStr">
        <is>
          <t>Química 10°–11°</t>
        </is>
      </c>
      <c r="X969" s="11">
        <f>IF(OR(IFERROR(INDEX('Datos - Catálogo TIMSS'!$I$5:$I$107,MATCH(K969,'Datos - Catálogo TIMSS'!$A$5:$A$107,0)),"No")="Sí",IFERROR(INDEX('Datos - Catálogo TIMSS'!$I$5:$I$107,MATCH(L969,'Datos - Catálogo TIMSS'!$A$5:$A$107,0)),"No")="Sí"),1,0)</f>
        <v/>
      </c>
      <c r="Y969" s="11">
        <f>IF(IFERROR(INDEX('Datos - Catálogo TIMSS'!$J$5:$J$107,MATCH(K969,'Datos - Catálogo TIMSS'!$A$5:$A$107,0)),"No")="Sí",1,0)</f>
        <v/>
      </c>
      <c r="Z969" s="11">
        <f>IF(IFERROR(INDEX('Datos - Catálogo TIMSS'!$J$5:$J$107,MATCH(L969,'Datos - Catálogo TIMSS'!$A$5:$A$107,0)),"No")="Sí",1,0)</f>
        <v/>
      </c>
      <c r="AA969" s="11" t="inlineStr">
        <is>
          <t>N/A</t>
        </is>
      </c>
      <c r="AB969" s="11" t="inlineStr"/>
      <c r="AC969" s="11">
        <f>IF(AA969="FUERA","Fuera del marco",IF(AA969="N/A","Sin marco",IFERROR(INDEX('Datos - TIMSS 2023'!$C$5:$C$105,MATCH(AA969,'Datos - TIMSS 2023'!$A$5:$A$105,0)),"Pendiente de clasificar")))</f>
        <v/>
      </c>
      <c r="AD969" s="11" t="inlineStr">
        <is>
          <t>1. Explicar fenómenos científicamente</t>
        </is>
      </c>
      <c r="AE969" s="11">
        <f>IF(AD969="","",IF(LEFT(AD969,1)="1","C1",IF(LEFT(AD969,1)="2","C2",IF(LEFT(AD969,1)="3","C3",""))))</f>
        <v/>
      </c>
      <c r="AF969" s="11" t="inlineStr">
        <is>
          <t>E6</t>
        </is>
      </c>
      <c r="AG969" s="11" t="inlineStr">
        <is>
          <t>E5</t>
        </is>
      </c>
      <c r="AH969" s="11" t="inlineStr">
        <is>
          <t>E4</t>
        </is>
      </c>
      <c r="AI969" s="11" t="inlineStr">
        <is>
          <t>I3</t>
        </is>
      </c>
      <c r="AJ969" s="11" t="inlineStr">
        <is>
          <t>E3</t>
        </is>
      </c>
      <c r="AK969" s="11" t="n"/>
      <c r="AL969" s="11" t="n"/>
      <c r="AM969" s="11" t="n"/>
      <c r="AN969" s="11" t="n"/>
      <c r="AO969" s="11" t="n"/>
      <c r="AP969" s="11" t="n"/>
      <c r="AQ969" s="11" t="n"/>
      <c r="AR969" s="11" t="n"/>
      <c r="AS969" s="11" t="n"/>
      <c r="AT969" s="11" t="n"/>
      <c r="AU969" s="11" t="n"/>
      <c r="AV969" s="11" t="n"/>
      <c r="AW969" s="11">
        <f>AF969&amp;"; "&amp;AG969&amp;"; "&amp;AH969&amp;"; "&amp;AI969&amp;"; "&amp;AJ969</f>
        <v/>
      </c>
    </row>
    <row r="970">
      <c r="A970" s="11" t="inlineStr">
        <is>
          <t>T0506-G10-QUÍ</t>
        </is>
      </c>
      <c r="B970" s="11" t="n">
        <v>10</v>
      </c>
      <c r="C970" s="11" t="inlineStr">
        <is>
          <t>Química</t>
        </is>
      </c>
      <c r="D970" s="11" t="inlineStr">
        <is>
          <t>Matriz_Bachillerato_Quimica_10_11.xlsx</t>
        </is>
      </c>
      <c r="E970" s="11" t="inlineStr">
        <is>
          <t>Química 10.°</t>
        </is>
      </c>
      <c r="F970" s="11" t="n">
        <v>79</v>
      </c>
      <c r="G970" s="11" t="inlineStr">
        <is>
          <t>9. Reacciones químicas</t>
        </is>
      </c>
      <c r="H970" s="11" t="inlineStr">
        <is>
          <t>Evidencias de las reacciones químicas</t>
        </is>
      </c>
      <c r="I970" s="38" t="inlineStr">
        <is>
          <t>9.3. Observación experimental de evidencias de cambio químico en reacciones con reactivos seguros de uso escolar.</t>
        </is>
      </c>
      <c r="J970" s="11" t="inlineStr">
        <is>
          <t>Sin marco</t>
        </is>
      </c>
      <c r="K970" s="11" t="inlineStr">
        <is>
          <t>N/A</t>
        </is>
      </c>
      <c r="L970" s="11" t="inlineStr"/>
      <c r="M970" s="11">
        <f>IF(K970="FUERA","Fuera del marco",IF(K970="N/A","Sin marco",IFERROR(INDEX('Datos - Catálogo TIMSS'!$C$5:$C$107,MATCH(K970,'Datos - Catálogo TIMSS'!$A$5:$A$107,0)),"Pendiente de clasificar")))</f>
        <v/>
      </c>
      <c r="N970" s="11">
        <f>IF(K970="FUERA","Fuera del marco",IF(K970="N/A","Sin marco",IFERROR(INDEX('Datos - Catálogo TIMSS'!$F$5:$F$107,MATCH(K970,'Datos - Catálogo TIMSS'!$A$5:$A$107,0)),"Pendiente de clasificar")))</f>
        <v/>
      </c>
      <c r="O970" s="11">
        <f>IF(L970="","",IFERROR(INDEX('Datos - Catálogo TIMSS'!$C$5:$C$107,MATCH(L970,'Datos - Catálogo TIMSS'!$A$5:$A$107,0)),"?"))</f>
        <v/>
      </c>
      <c r="P970" s="11" t="inlineStr">
        <is>
          <t>N/A</t>
        </is>
      </c>
      <c r="Q970" s="38" t="inlineStr">
        <is>
          <t>Sin marco TIMSS de contenido para esta asignatura en Bachillerato</t>
        </is>
      </c>
      <c r="R970" s="38" t="inlineStr">
        <is>
          <t>Conocer: identificar evidencias de cambio químico. Razonar: distinguir cambios físicos de químicos</t>
        </is>
      </c>
      <c r="S970" s="39">
        <f>IFERROR(ISNUMBER(SEARCH("Conocer",$R970))/(ISNUMBER(SEARCH("Conocer",$R970))+ISNUMBER(SEARCH("Aplicar",$R970))+ISNUMBER(SEARCH("Razonar",$R970))),0)</f>
        <v/>
      </c>
      <c r="T970" s="39">
        <f>IFERROR(ISNUMBER(SEARCH("Aplicar",$R970))/(ISNUMBER(SEARCH("Conocer",$R970))+ISNUMBER(SEARCH("Aplicar",$R970))+ISNUMBER(SEARCH("Razonar",$R970))),0)</f>
        <v/>
      </c>
      <c r="U970" s="39">
        <f>IFERROR(ISNUMBER(SEARCH("Razonar",$R970))/(ISNUMBER(SEARCH("Conocer",$R970))+ISNUMBER(SEARCH("Aplicar",$R970))+ISNUMBER(SEARCH("Razonar",$R970))),0)</f>
        <v/>
      </c>
      <c r="V970" s="11" t="inlineStr">
        <is>
          <t>Química 10°</t>
        </is>
      </c>
      <c r="W970" s="11" t="inlineStr">
        <is>
          <t>Química 10°–11°</t>
        </is>
      </c>
      <c r="X970" s="11">
        <f>IF(OR(IFERROR(INDEX('Datos - Catálogo TIMSS'!$I$5:$I$107,MATCH(K970,'Datos - Catálogo TIMSS'!$A$5:$A$107,0)),"No")="Sí",IFERROR(INDEX('Datos - Catálogo TIMSS'!$I$5:$I$107,MATCH(L970,'Datos - Catálogo TIMSS'!$A$5:$A$107,0)),"No")="Sí"),1,0)</f>
        <v/>
      </c>
      <c r="Y970" s="11">
        <f>IF(IFERROR(INDEX('Datos - Catálogo TIMSS'!$J$5:$J$107,MATCH(K970,'Datos - Catálogo TIMSS'!$A$5:$A$107,0)),"No")="Sí",1,0)</f>
        <v/>
      </c>
      <c r="Z970" s="11">
        <f>IF(IFERROR(INDEX('Datos - Catálogo TIMSS'!$J$5:$J$107,MATCH(L970,'Datos - Catálogo TIMSS'!$A$5:$A$107,0)),"No")="Sí",1,0)</f>
        <v/>
      </c>
      <c r="AA970" s="11" t="inlineStr">
        <is>
          <t>N/A</t>
        </is>
      </c>
      <c r="AB970" s="11" t="inlineStr"/>
      <c r="AC970" s="11">
        <f>IF(AA970="FUERA","Fuera del marco",IF(AA970="N/A","Sin marco",IFERROR(INDEX('Datos - TIMSS 2023'!$C$5:$C$105,MATCH(AA970,'Datos - TIMSS 2023'!$A$5:$A$105,0)),"Pendiente de clasificar")))</f>
        <v/>
      </c>
      <c r="AD970" s="11" t="inlineStr">
        <is>
          <t>2. Construir y evaluar diseños para la indagación científica e interpretar datos y evidencia de forma crítica</t>
        </is>
      </c>
      <c r="AE970" s="11">
        <f>IF(AD970="","",IF(LEFT(AD970,1)="1","C1",IF(LEFT(AD970,1)="2","C2",IF(LEFT(AD970,1)="3","C3",""))))</f>
        <v/>
      </c>
      <c r="AF970" s="11" t="inlineStr">
        <is>
          <t>E1</t>
        </is>
      </c>
      <c r="AG970" s="11" t="inlineStr">
        <is>
          <t>D1</t>
        </is>
      </c>
      <c r="AH970" s="11" t="inlineStr">
        <is>
          <t>E1</t>
        </is>
      </c>
      <c r="AI970" s="11" t="inlineStr">
        <is>
          <t>D2</t>
        </is>
      </c>
      <c r="AJ970" s="11" t="inlineStr">
        <is>
          <t>D3</t>
        </is>
      </c>
      <c r="AK970" s="11" t="n"/>
      <c r="AL970" s="11" t="n"/>
      <c r="AM970" s="11" t="n"/>
      <c r="AN970" s="11" t="n"/>
      <c r="AO970" s="11" t="n"/>
      <c r="AP970" s="11" t="n"/>
      <c r="AQ970" s="11" t="n"/>
      <c r="AR970" s="11" t="n"/>
      <c r="AS970" s="11" t="n"/>
      <c r="AT970" s="11" t="n"/>
      <c r="AU970" s="11" t="n"/>
      <c r="AV970" s="11" t="n"/>
      <c r="AW970" s="11">
        <f>AF970&amp;"; "&amp;AG970&amp;"; "&amp;AH970&amp;"; "&amp;AI970&amp;"; "&amp;AJ970</f>
        <v/>
      </c>
    </row>
    <row r="971">
      <c r="A971" s="11" t="inlineStr">
        <is>
          <t>T0507-G10-QUÍ</t>
        </is>
      </c>
      <c r="B971" s="11" t="n">
        <v>10</v>
      </c>
      <c r="C971" s="11" t="inlineStr">
        <is>
          <t>Química</t>
        </is>
      </c>
      <c r="D971" s="11" t="inlineStr">
        <is>
          <t>Matriz_Bachillerato_Quimica_10_11.xlsx</t>
        </is>
      </c>
      <c r="E971" s="11" t="inlineStr">
        <is>
          <t>Química 10.°</t>
        </is>
      </c>
      <c r="F971" s="11" t="n">
        <v>80</v>
      </c>
      <c r="G971" s="11" t="inlineStr">
        <is>
          <t>9. Reacciones químicas</t>
        </is>
      </c>
      <c r="H971" s="11" t="inlineStr">
        <is>
          <t>Seguridad en el laboratorio de química</t>
        </is>
      </c>
      <c r="I971" s="38" t="inlineStr">
        <is>
          <t>9.4. Análisis de pictogramas SGA y fichas de datos de seguridad para planificar el manejo y la disposición de residuos de las reacciones escolares.</t>
        </is>
      </c>
      <c r="J971" s="11" t="inlineStr">
        <is>
          <t>Sin marco</t>
        </is>
      </c>
      <c r="K971" s="11" t="inlineStr">
        <is>
          <t>N/A</t>
        </is>
      </c>
      <c r="L971" s="11" t="inlineStr"/>
      <c r="M971" s="11">
        <f>IF(K971="FUERA","Fuera del marco",IF(K971="N/A","Sin marco",IFERROR(INDEX('Datos - Catálogo TIMSS'!$C$5:$C$107,MATCH(K971,'Datos - Catálogo TIMSS'!$A$5:$A$107,0)),"Pendiente de clasificar")))</f>
        <v/>
      </c>
      <c r="N971" s="11">
        <f>IF(K971="FUERA","Fuera del marco",IF(K971="N/A","Sin marco",IFERROR(INDEX('Datos - Catálogo TIMSS'!$F$5:$F$107,MATCH(K971,'Datos - Catálogo TIMSS'!$A$5:$A$107,0)),"Pendiente de clasificar")))</f>
        <v/>
      </c>
      <c r="O971" s="11">
        <f>IF(L971="","",IFERROR(INDEX('Datos - Catálogo TIMSS'!$C$5:$C$107,MATCH(L971,'Datos - Catálogo TIMSS'!$A$5:$A$107,0)),"?"))</f>
        <v/>
      </c>
      <c r="P971" s="11" t="inlineStr">
        <is>
          <t>N/A</t>
        </is>
      </c>
      <c r="Q971" s="38" t="inlineStr">
        <is>
          <t>Sin marco TIMSS de contenido para esta asignatura en Bachillerato</t>
        </is>
      </c>
      <c r="R971" s="38" t="inlineStr">
        <is>
          <t>Conocer: reconocer pictogramas. Aplicar: interpretar fichas de seguridad. Razonar: decidir la disposición de residuos</t>
        </is>
      </c>
      <c r="S971" s="39">
        <f>IFERROR(ISNUMBER(SEARCH("Conocer",$R971))/(ISNUMBER(SEARCH("Conocer",$R971))+ISNUMBER(SEARCH("Aplicar",$R971))+ISNUMBER(SEARCH("Razonar",$R971))),0)</f>
        <v/>
      </c>
      <c r="T971" s="39">
        <f>IFERROR(ISNUMBER(SEARCH("Aplicar",$R971))/(ISNUMBER(SEARCH("Conocer",$R971))+ISNUMBER(SEARCH("Aplicar",$R971))+ISNUMBER(SEARCH("Razonar",$R971))),0)</f>
        <v/>
      </c>
      <c r="U971" s="39">
        <f>IFERROR(ISNUMBER(SEARCH("Razonar",$R971))/(ISNUMBER(SEARCH("Conocer",$R971))+ISNUMBER(SEARCH("Aplicar",$R971))+ISNUMBER(SEARCH("Razonar",$R971))),0)</f>
        <v/>
      </c>
      <c r="V971" s="11" t="inlineStr">
        <is>
          <t>Química 10°</t>
        </is>
      </c>
      <c r="W971" s="11" t="inlineStr">
        <is>
          <t>Química 10°–11°</t>
        </is>
      </c>
      <c r="X971" s="11">
        <f>IF(OR(IFERROR(INDEX('Datos - Catálogo TIMSS'!$I$5:$I$107,MATCH(K971,'Datos - Catálogo TIMSS'!$A$5:$A$107,0)),"No")="Sí",IFERROR(INDEX('Datos - Catálogo TIMSS'!$I$5:$I$107,MATCH(L971,'Datos - Catálogo TIMSS'!$A$5:$A$107,0)),"No")="Sí"),1,0)</f>
        <v/>
      </c>
      <c r="Y971" s="11">
        <f>IF(IFERROR(INDEX('Datos - Catálogo TIMSS'!$J$5:$J$107,MATCH(K971,'Datos - Catálogo TIMSS'!$A$5:$A$107,0)),"No")="Sí",1,0)</f>
        <v/>
      </c>
      <c r="Z971" s="11">
        <f>IF(IFERROR(INDEX('Datos - Catálogo TIMSS'!$J$5:$J$107,MATCH(L971,'Datos - Catálogo TIMSS'!$A$5:$A$107,0)),"No")="Sí",1,0)</f>
        <v/>
      </c>
      <c r="AA971" s="11" t="inlineStr">
        <is>
          <t>N/A</t>
        </is>
      </c>
      <c r="AB971" s="11" t="inlineStr"/>
      <c r="AC971" s="11">
        <f>IF(AA971="FUERA","Fuera del marco",IF(AA971="N/A","Sin marco",IFERROR(INDEX('Datos - TIMSS 2023'!$C$5:$C$105,MATCH(AA971,'Datos - TIMSS 2023'!$A$5:$A$105,0)),"Pendiente de clasificar")))</f>
        <v/>
      </c>
      <c r="AD971" s="11" t="inlineStr">
        <is>
          <t>3. Investigar, evaluar y usar información científica para tomar decisiones y actuar</t>
        </is>
      </c>
      <c r="AE971" s="11">
        <f>IF(AD971="","",IF(LEFT(AD971,1)="1","C1",IF(LEFT(AD971,1)="2","C2",IF(LEFT(AD971,1)="3","C3",""))))</f>
        <v/>
      </c>
      <c r="AF971" s="11" t="inlineStr">
        <is>
          <t>E6</t>
        </is>
      </c>
      <c r="AG971" s="11" t="inlineStr">
        <is>
          <t>D1</t>
        </is>
      </c>
      <c r="AH971" s="11" t="inlineStr">
        <is>
          <t>E2</t>
        </is>
      </c>
      <c r="AI971" s="11" t="inlineStr">
        <is>
          <t>I1</t>
        </is>
      </c>
      <c r="AJ971" s="11" t="inlineStr">
        <is>
          <t>I5</t>
        </is>
      </c>
      <c r="AK971" s="11" t="n"/>
      <c r="AL971" s="11" t="n"/>
      <c r="AM971" s="11" t="n"/>
      <c r="AN971" s="11" t="n"/>
      <c r="AO971" s="11" t="n"/>
      <c r="AP971" s="11" t="n"/>
      <c r="AQ971" s="11" t="n"/>
      <c r="AR971" s="11" t="n"/>
      <c r="AS971" s="11" t="n"/>
      <c r="AT971" s="11" t="n"/>
      <c r="AU971" s="11" t="n"/>
      <c r="AV971" s="11" t="n"/>
      <c r="AW971" s="11">
        <f>AF971&amp;"; "&amp;AG971&amp;"; "&amp;AH971&amp;"; "&amp;AI971&amp;"; "&amp;AJ971</f>
        <v/>
      </c>
    </row>
    <row r="972">
      <c r="A972" s="11" t="inlineStr">
        <is>
          <t>T0508-G10-QUÍ</t>
        </is>
      </c>
      <c r="B972" s="11" t="n">
        <v>10</v>
      </c>
      <c r="C972" s="11" t="inlineStr">
        <is>
          <t>Química</t>
        </is>
      </c>
      <c r="D972" s="11" t="inlineStr">
        <is>
          <t>Matriz_Bachillerato_Quimica_10_11.xlsx</t>
        </is>
      </c>
      <c r="E972" s="11" t="inlineStr">
        <is>
          <t>Química 10.°</t>
        </is>
      </c>
      <c r="F972" s="11" t="n">
        <v>81</v>
      </c>
      <c r="G972" s="11" t="inlineStr">
        <is>
          <t>10. Cálculos estequiométricos</t>
        </is>
      </c>
      <c r="H972" s="11" t="inlineStr">
        <is>
          <t>Relaciones estequiométricas</t>
        </is>
      </c>
      <c r="I972" s="38" t="inlineStr">
        <is>
          <t>10.1. Cálculo de cantidades de reactivos y productos a partir de ecuaciones balanceadas considerando la pureza de los reactivos y la concentración de disoluciones.</t>
        </is>
      </c>
      <c r="J972" s="11" t="inlineStr">
        <is>
          <t>Sin marco</t>
        </is>
      </c>
      <c r="K972" s="11" t="inlineStr">
        <is>
          <t>N/A</t>
        </is>
      </c>
      <c r="L972" s="11" t="inlineStr"/>
      <c r="M972" s="11">
        <f>IF(K972="FUERA","Fuera del marco",IF(K972="N/A","Sin marco",IFERROR(INDEX('Datos - Catálogo TIMSS'!$C$5:$C$107,MATCH(K972,'Datos - Catálogo TIMSS'!$A$5:$A$107,0)),"Pendiente de clasificar")))</f>
        <v/>
      </c>
      <c r="N972" s="11">
        <f>IF(K972="FUERA","Fuera del marco",IF(K972="N/A","Sin marco",IFERROR(INDEX('Datos - Catálogo TIMSS'!$F$5:$F$107,MATCH(K972,'Datos - Catálogo TIMSS'!$A$5:$A$107,0)),"Pendiente de clasificar")))</f>
        <v/>
      </c>
      <c r="O972" s="11">
        <f>IF(L972="","",IFERROR(INDEX('Datos - Catálogo TIMSS'!$C$5:$C$107,MATCH(L972,'Datos - Catálogo TIMSS'!$A$5:$A$107,0)),"?"))</f>
        <v/>
      </c>
      <c r="P972" s="11" t="inlineStr">
        <is>
          <t>N/A</t>
        </is>
      </c>
      <c r="Q972" s="38" t="inlineStr">
        <is>
          <t>Sin marco TIMSS de contenido para esta asignatura en Bachillerato</t>
        </is>
      </c>
      <c r="R972" s="38" t="inlineStr">
        <is>
          <t>Aplicar: calcular cantidades con pureza y concentración. Razonar: interpretar el significado de los resultados</t>
        </is>
      </c>
      <c r="S972" s="39">
        <f>IFERROR(ISNUMBER(SEARCH("Conocer",$R972))/(ISNUMBER(SEARCH("Conocer",$R972))+ISNUMBER(SEARCH("Aplicar",$R972))+ISNUMBER(SEARCH("Razonar",$R972))),0)</f>
        <v/>
      </c>
      <c r="T972" s="39">
        <f>IFERROR(ISNUMBER(SEARCH("Aplicar",$R972))/(ISNUMBER(SEARCH("Conocer",$R972))+ISNUMBER(SEARCH("Aplicar",$R972))+ISNUMBER(SEARCH("Razonar",$R972))),0)</f>
        <v/>
      </c>
      <c r="U972" s="39">
        <f>IFERROR(ISNUMBER(SEARCH("Razonar",$R972))/(ISNUMBER(SEARCH("Conocer",$R972))+ISNUMBER(SEARCH("Aplicar",$R972))+ISNUMBER(SEARCH("Razonar",$R972))),0)</f>
        <v/>
      </c>
      <c r="V972" s="11" t="inlineStr">
        <is>
          <t>Química 10°</t>
        </is>
      </c>
      <c r="W972" s="11" t="inlineStr">
        <is>
          <t>Química 10°–11°</t>
        </is>
      </c>
      <c r="X972" s="11">
        <f>IF(OR(IFERROR(INDEX('Datos - Catálogo TIMSS'!$I$5:$I$107,MATCH(K972,'Datos - Catálogo TIMSS'!$A$5:$A$107,0)),"No")="Sí",IFERROR(INDEX('Datos - Catálogo TIMSS'!$I$5:$I$107,MATCH(L972,'Datos - Catálogo TIMSS'!$A$5:$A$107,0)),"No")="Sí"),1,0)</f>
        <v/>
      </c>
      <c r="Y972" s="11">
        <f>IF(IFERROR(INDEX('Datos - Catálogo TIMSS'!$J$5:$J$107,MATCH(K972,'Datos - Catálogo TIMSS'!$A$5:$A$107,0)),"No")="Sí",1,0)</f>
        <v/>
      </c>
      <c r="Z972" s="11">
        <f>IF(IFERROR(INDEX('Datos - Catálogo TIMSS'!$J$5:$J$107,MATCH(L972,'Datos - Catálogo TIMSS'!$A$5:$A$107,0)),"No")="Sí",1,0)</f>
        <v/>
      </c>
      <c r="AA972" s="11" t="inlineStr">
        <is>
          <t>N/A</t>
        </is>
      </c>
      <c r="AB972" s="11" t="inlineStr"/>
      <c r="AC972" s="11">
        <f>IF(AA972="FUERA","Fuera del marco",IF(AA972="N/A","Sin marco",IFERROR(INDEX('Datos - TIMSS 2023'!$C$5:$C$105,MATCH(AA972,'Datos - TIMSS 2023'!$A$5:$A$105,0)),"Pendiente de clasificar")))</f>
        <v/>
      </c>
      <c r="AD972" s="11" t="inlineStr">
        <is>
          <t>1. Explicar fenómenos científicamente</t>
        </is>
      </c>
      <c r="AE972" s="11">
        <f>IF(AD972="","",IF(LEFT(AD972,1)="1","C1",IF(LEFT(AD972,1)="2","C2",IF(LEFT(AD972,1)="3","C3",""))))</f>
        <v/>
      </c>
      <c r="AF972" s="11" t="inlineStr">
        <is>
          <t>E1</t>
        </is>
      </c>
      <c r="AG972" s="11" t="inlineStr">
        <is>
          <t>E3</t>
        </is>
      </c>
      <c r="AH972" s="11" t="inlineStr">
        <is>
          <t>E2</t>
        </is>
      </c>
      <c r="AI972" s="11" t="inlineStr">
        <is>
          <t>D4</t>
        </is>
      </c>
      <c r="AJ972" s="11" t="inlineStr">
        <is>
          <t>I5</t>
        </is>
      </c>
      <c r="AK972" s="11" t="n"/>
      <c r="AL972" s="11" t="n"/>
      <c r="AM972" s="11" t="n"/>
      <c r="AN972" s="11" t="n"/>
      <c r="AO972" s="11" t="n"/>
      <c r="AP972" s="11" t="n"/>
      <c r="AQ972" s="11" t="n"/>
      <c r="AR972" s="11" t="n"/>
      <c r="AS972" s="11" t="n"/>
      <c r="AT972" s="11" t="n"/>
      <c r="AU972" s="11" t="n"/>
      <c r="AV972" s="11" t="n"/>
      <c r="AW972" s="11">
        <f>AF972&amp;"; "&amp;AG972&amp;"; "&amp;AH972&amp;"; "&amp;AI972&amp;"; "&amp;AJ972</f>
        <v/>
      </c>
    </row>
    <row r="973">
      <c r="A973" s="11" t="inlineStr">
        <is>
          <t>T0509-G10-QUÍ</t>
        </is>
      </c>
      <c r="B973" s="11" t="n">
        <v>10</v>
      </c>
      <c r="C973" s="11" t="inlineStr">
        <is>
          <t>Química</t>
        </is>
      </c>
      <c r="D973" s="11" t="inlineStr">
        <is>
          <t>Matriz_Bachillerato_Quimica_10_11.xlsx</t>
        </is>
      </c>
      <c r="E973" s="11" t="inlineStr">
        <is>
          <t>Química 10.°</t>
        </is>
      </c>
      <c r="F973" s="11" t="n">
        <v>82</v>
      </c>
      <c r="G973" s="11" t="inlineStr">
        <is>
          <t>10. Cálculos estequiométricos</t>
        </is>
      </c>
      <c r="H973" s="11" t="inlineStr">
        <is>
          <t>Relaciones estequiométricas</t>
        </is>
      </c>
      <c r="I973" s="38" t="inlineStr">
        <is>
          <t>10.2. Determinación del reactivo limitante y del reactivo en exceso en reacciones con cantidades iniciales arbitrarias.</t>
        </is>
      </c>
      <c r="J973" s="11" t="inlineStr">
        <is>
          <t>Sin marco</t>
        </is>
      </c>
      <c r="K973" s="11" t="inlineStr">
        <is>
          <t>N/A</t>
        </is>
      </c>
      <c r="L973" s="11" t="inlineStr"/>
      <c r="M973" s="11">
        <f>IF(K973="FUERA","Fuera del marco",IF(K973="N/A","Sin marco",IFERROR(INDEX('Datos - Catálogo TIMSS'!$C$5:$C$107,MATCH(K973,'Datos - Catálogo TIMSS'!$A$5:$A$107,0)),"Pendiente de clasificar")))</f>
        <v/>
      </c>
      <c r="N973" s="11">
        <f>IF(K973="FUERA","Fuera del marco",IF(K973="N/A","Sin marco",IFERROR(INDEX('Datos - Catálogo TIMSS'!$F$5:$F$107,MATCH(K973,'Datos - Catálogo TIMSS'!$A$5:$A$107,0)),"Pendiente de clasificar")))</f>
        <v/>
      </c>
      <c r="O973" s="11">
        <f>IF(L973="","",IFERROR(INDEX('Datos - Catálogo TIMSS'!$C$5:$C$107,MATCH(L973,'Datos - Catálogo TIMSS'!$A$5:$A$107,0)),"?"))</f>
        <v/>
      </c>
      <c r="P973" s="11" t="inlineStr">
        <is>
          <t>N/A</t>
        </is>
      </c>
      <c r="Q973" s="38" t="inlineStr">
        <is>
          <t>Sin marco TIMSS de contenido para esta asignatura en Bachillerato</t>
        </is>
      </c>
      <c r="R973" s="38" t="inlineStr">
        <is>
          <t>Aplicar: identificar el reactivo limitante y calcular. Razonar: interpretar la meseta de la gráfica</t>
        </is>
      </c>
      <c r="S973" s="39">
        <f>IFERROR(ISNUMBER(SEARCH("Conocer",$R973))/(ISNUMBER(SEARCH("Conocer",$R973))+ISNUMBER(SEARCH("Aplicar",$R973))+ISNUMBER(SEARCH("Razonar",$R973))),0)</f>
        <v/>
      </c>
      <c r="T973" s="39">
        <f>IFERROR(ISNUMBER(SEARCH("Aplicar",$R973))/(ISNUMBER(SEARCH("Conocer",$R973))+ISNUMBER(SEARCH("Aplicar",$R973))+ISNUMBER(SEARCH("Razonar",$R973))),0)</f>
        <v/>
      </c>
      <c r="U973" s="39">
        <f>IFERROR(ISNUMBER(SEARCH("Razonar",$R973))/(ISNUMBER(SEARCH("Conocer",$R973))+ISNUMBER(SEARCH("Aplicar",$R973))+ISNUMBER(SEARCH("Razonar",$R973))),0)</f>
        <v/>
      </c>
      <c r="V973" s="11" t="inlineStr">
        <is>
          <t>Química 10°</t>
        </is>
      </c>
      <c r="W973" s="11" t="inlineStr">
        <is>
          <t>Química 10°–11°</t>
        </is>
      </c>
      <c r="X973" s="11">
        <f>IF(OR(IFERROR(INDEX('Datos - Catálogo TIMSS'!$I$5:$I$107,MATCH(K973,'Datos - Catálogo TIMSS'!$A$5:$A$107,0)),"No")="Sí",IFERROR(INDEX('Datos - Catálogo TIMSS'!$I$5:$I$107,MATCH(L973,'Datos - Catálogo TIMSS'!$A$5:$A$107,0)),"No")="Sí"),1,0)</f>
        <v/>
      </c>
      <c r="Y973" s="11">
        <f>IF(IFERROR(INDEX('Datos - Catálogo TIMSS'!$J$5:$J$107,MATCH(K973,'Datos - Catálogo TIMSS'!$A$5:$A$107,0)),"No")="Sí",1,0)</f>
        <v/>
      </c>
      <c r="Z973" s="11">
        <f>IF(IFERROR(INDEX('Datos - Catálogo TIMSS'!$J$5:$J$107,MATCH(L973,'Datos - Catálogo TIMSS'!$A$5:$A$107,0)),"No")="Sí",1,0)</f>
        <v/>
      </c>
      <c r="AA973" s="11" t="inlineStr">
        <is>
          <t>N/A</t>
        </is>
      </c>
      <c r="AB973" s="11" t="inlineStr"/>
      <c r="AC973" s="11">
        <f>IF(AA973="FUERA","Fuera del marco",IF(AA973="N/A","Sin marco",IFERROR(INDEX('Datos - TIMSS 2023'!$C$5:$C$105,MATCH(AA973,'Datos - TIMSS 2023'!$A$5:$A$105,0)),"Pendiente de clasificar")))</f>
        <v/>
      </c>
      <c r="AD973" s="11" t="inlineStr">
        <is>
          <t>2. Construir y evaluar diseños para la indagación científica e interpretar datos y evidencia de forma crítica</t>
        </is>
      </c>
      <c r="AE973" s="11">
        <f>IF(AD973="","",IF(LEFT(AD973,1)="1","C1",IF(LEFT(AD973,1)="2","C2",IF(LEFT(AD973,1)="3","C3",""))))</f>
        <v/>
      </c>
      <c r="AF973" s="11" t="inlineStr">
        <is>
          <t>E1</t>
        </is>
      </c>
      <c r="AG973" s="11" t="inlineStr">
        <is>
          <t>D1</t>
        </is>
      </c>
      <c r="AH973" s="11" t="inlineStr">
        <is>
          <t>E4</t>
        </is>
      </c>
      <c r="AI973" s="11" t="inlineStr">
        <is>
          <t>D4</t>
        </is>
      </c>
      <c r="AJ973" s="11" t="inlineStr">
        <is>
          <t>D3</t>
        </is>
      </c>
      <c r="AK973" s="11" t="n"/>
      <c r="AL973" s="11" t="n"/>
      <c r="AM973" s="11" t="n"/>
      <c r="AN973" s="11" t="n"/>
      <c r="AO973" s="11" t="n"/>
      <c r="AP973" s="11" t="n"/>
      <c r="AQ973" s="11" t="n"/>
      <c r="AR973" s="11" t="n"/>
      <c r="AS973" s="11" t="n"/>
      <c r="AT973" s="11" t="n"/>
      <c r="AU973" s="11" t="n"/>
      <c r="AV973" s="11" t="n"/>
      <c r="AW973" s="11">
        <f>AF973&amp;"; "&amp;AG973&amp;"; "&amp;AH973&amp;"; "&amp;AI973&amp;"; "&amp;AJ973</f>
        <v/>
      </c>
    </row>
    <row r="974">
      <c r="A974" s="11" t="inlineStr">
        <is>
          <t>T0510-G10-QUÍ</t>
        </is>
      </c>
      <c r="B974" s="11" t="n">
        <v>10</v>
      </c>
      <c r="C974" s="11" t="inlineStr">
        <is>
          <t>Química</t>
        </is>
      </c>
      <c r="D974" s="11" t="inlineStr">
        <is>
          <t>Matriz_Bachillerato_Quimica_10_11.xlsx</t>
        </is>
      </c>
      <c r="E974" s="11" t="inlineStr">
        <is>
          <t>Química 10.°</t>
        </is>
      </c>
      <c r="F974" s="11" t="n">
        <v>83</v>
      </c>
      <c r="G974" s="11" t="inlineStr">
        <is>
          <t>10. Cálculos estequiométricos</t>
        </is>
      </c>
      <c r="H974" s="11" t="inlineStr">
        <is>
          <t>Eficiencia de las reacciones</t>
        </is>
      </c>
      <c r="I974" s="38" t="inlineStr">
        <is>
          <t>10.3. Cálculo del rendimiento porcentual de una reacción y análisis de las causas de diferencia entre el rendimiento teórico y el experimental.</t>
        </is>
      </c>
      <c r="J974" s="11" t="inlineStr">
        <is>
          <t>Sin marco</t>
        </is>
      </c>
      <c r="K974" s="11" t="inlineStr">
        <is>
          <t>N/A</t>
        </is>
      </c>
      <c r="L974" s="11" t="inlineStr"/>
      <c r="M974" s="11">
        <f>IF(K974="FUERA","Fuera del marco",IF(K974="N/A","Sin marco",IFERROR(INDEX('Datos - Catálogo TIMSS'!$C$5:$C$107,MATCH(K974,'Datos - Catálogo TIMSS'!$A$5:$A$107,0)),"Pendiente de clasificar")))</f>
        <v/>
      </c>
      <c r="N974" s="11">
        <f>IF(K974="FUERA","Fuera del marco",IF(K974="N/A","Sin marco",IFERROR(INDEX('Datos - Catálogo TIMSS'!$F$5:$F$107,MATCH(K974,'Datos - Catálogo TIMSS'!$A$5:$A$107,0)),"Pendiente de clasificar")))</f>
        <v/>
      </c>
      <c r="O974" s="11">
        <f>IF(L974="","",IFERROR(INDEX('Datos - Catálogo TIMSS'!$C$5:$C$107,MATCH(L974,'Datos - Catálogo TIMSS'!$A$5:$A$107,0)),"?"))</f>
        <v/>
      </c>
      <c r="P974" s="11" t="inlineStr">
        <is>
          <t>N/A</t>
        </is>
      </c>
      <c r="Q974" s="38" t="inlineStr">
        <is>
          <t>Sin marco TIMSS de contenido para esta asignatura en Bachillerato</t>
        </is>
      </c>
      <c r="R974" s="38" t="inlineStr">
        <is>
          <t>Aplicar: calcular rendimientos. Razonar: explicar diferencias entre valores teóricos y experimentales</t>
        </is>
      </c>
      <c r="S974" s="39">
        <f>IFERROR(ISNUMBER(SEARCH("Conocer",$R974))/(ISNUMBER(SEARCH("Conocer",$R974))+ISNUMBER(SEARCH("Aplicar",$R974))+ISNUMBER(SEARCH("Razonar",$R974))),0)</f>
        <v/>
      </c>
      <c r="T974" s="39">
        <f>IFERROR(ISNUMBER(SEARCH("Aplicar",$R974))/(ISNUMBER(SEARCH("Conocer",$R974))+ISNUMBER(SEARCH("Aplicar",$R974))+ISNUMBER(SEARCH("Razonar",$R974))),0)</f>
        <v/>
      </c>
      <c r="U974" s="39">
        <f>IFERROR(ISNUMBER(SEARCH("Razonar",$R974))/(ISNUMBER(SEARCH("Conocer",$R974))+ISNUMBER(SEARCH("Aplicar",$R974))+ISNUMBER(SEARCH("Razonar",$R974))),0)</f>
        <v/>
      </c>
      <c r="V974" s="11" t="inlineStr">
        <is>
          <t>Química 10°</t>
        </is>
      </c>
      <c r="W974" s="11" t="inlineStr">
        <is>
          <t>Química 10°–11°</t>
        </is>
      </c>
      <c r="X974" s="11">
        <f>IF(OR(IFERROR(INDEX('Datos - Catálogo TIMSS'!$I$5:$I$107,MATCH(K974,'Datos - Catálogo TIMSS'!$A$5:$A$107,0)),"No")="Sí",IFERROR(INDEX('Datos - Catálogo TIMSS'!$I$5:$I$107,MATCH(L974,'Datos - Catálogo TIMSS'!$A$5:$A$107,0)),"No")="Sí"),1,0)</f>
        <v/>
      </c>
      <c r="Y974" s="11">
        <f>IF(IFERROR(INDEX('Datos - Catálogo TIMSS'!$J$5:$J$107,MATCH(K974,'Datos - Catálogo TIMSS'!$A$5:$A$107,0)),"No")="Sí",1,0)</f>
        <v/>
      </c>
      <c r="Z974" s="11">
        <f>IF(IFERROR(INDEX('Datos - Catálogo TIMSS'!$J$5:$J$107,MATCH(L974,'Datos - Catálogo TIMSS'!$A$5:$A$107,0)),"No")="Sí",1,0)</f>
        <v/>
      </c>
      <c r="AA974" s="11" t="inlineStr">
        <is>
          <t>N/A</t>
        </is>
      </c>
      <c r="AB974" s="11" t="inlineStr"/>
      <c r="AC974" s="11">
        <f>IF(AA974="FUERA","Fuera del marco",IF(AA974="N/A","Sin marco",IFERROR(INDEX('Datos - TIMSS 2023'!$C$5:$C$105,MATCH(AA974,'Datos - TIMSS 2023'!$A$5:$A$105,0)),"Pendiente de clasificar")))</f>
        <v/>
      </c>
      <c r="AD974" s="11" t="inlineStr">
        <is>
          <t>1. Explicar fenómenos científicamente</t>
        </is>
      </c>
      <c r="AE974" s="11">
        <f>IF(AD974="","",IF(LEFT(AD974,1)="1","C1",IF(LEFT(AD974,1)="2","C2",IF(LEFT(AD974,1)="3","C3",""))))</f>
        <v/>
      </c>
      <c r="AF974" s="11" t="inlineStr">
        <is>
          <t>E6</t>
        </is>
      </c>
      <c r="AG974" s="11" t="inlineStr">
        <is>
          <t>E5</t>
        </is>
      </c>
      <c r="AH974" s="11" t="inlineStr">
        <is>
          <t>E1</t>
        </is>
      </c>
      <c r="AI974" s="11" t="inlineStr">
        <is>
          <t>D4</t>
        </is>
      </c>
      <c r="AJ974" s="11" t="inlineStr">
        <is>
          <t>E3</t>
        </is>
      </c>
      <c r="AK974" s="11" t="n"/>
      <c r="AL974" s="11" t="n"/>
      <c r="AM974" s="11" t="n"/>
      <c r="AN974" s="11" t="n"/>
      <c r="AO974" s="11" t="n"/>
      <c r="AP974" s="11" t="n"/>
      <c r="AQ974" s="11" t="n"/>
      <c r="AR974" s="11" t="n"/>
      <c r="AS974" s="11" t="n"/>
      <c r="AT974" s="11" t="n"/>
      <c r="AU974" s="11" t="n"/>
      <c r="AV974" s="11" t="n"/>
      <c r="AW974" s="11">
        <f>AF974&amp;"; "&amp;AG974&amp;"; "&amp;AH974&amp;"; "&amp;AI974&amp;"; "&amp;AJ974</f>
        <v/>
      </c>
    </row>
    <row r="975">
      <c r="A975" s="11" t="inlineStr">
        <is>
          <t>T0511-G10-QUÍ</t>
        </is>
      </c>
      <c r="B975" s="11" t="n">
        <v>10</v>
      </c>
      <c r="C975" s="11" t="inlineStr">
        <is>
          <t>Química</t>
        </is>
      </c>
      <c r="D975" s="11" t="inlineStr">
        <is>
          <t>Matriz_Bachillerato_Quimica_10_11.xlsx</t>
        </is>
      </c>
      <c r="E975" s="11" t="inlineStr">
        <is>
          <t>Química 10.°</t>
        </is>
      </c>
      <c r="F975" s="11" t="n">
        <v>84</v>
      </c>
      <c r="G975" s="11" t="inlineStr">
        <is>
          <t>10. Cálculos estequiométricos</t>
        </is>
      </c>
      <c r="H975" s="11" t="inlineStr">
        <is>
          <t>Eficiencia de las reacciones</t>
        </is>
      </c>
      <c r="I975" s="38" t="inlineStr">
        <is>
          <t>10.4. Resolución de problemas de reacciones consecutivas y simultáneas mediante la ecuación neta y el rendimiento global del proceso.</t>
        </is>
      </c>
      <c r="J975" s="11" t="inlineStr">
        <is>
          <t>Sin marco</t>
        </is>
      </c>
      <c r="K975" s="11" t="inlineStr">
        <is>
          <t>N/A</t>
        </is>
      </c>
      <c r="L975" s="11" t="inlineStr"/>
      <c r="M975" s="11">
        <f>IF(K975="FUERA","Fuera del marco",IF(K975="N/A","Sin marco",IFERROR(INDEX('Datos - Catálogo TIMSS'!$C$5:$C$107,MATCH(K975,'Datos - Catálogo TIMSS'!$A$5:$A$107,0)),"Pendiente de clasificar")))</f>
        <v/>
      </c>
      <c r="N975" s="11">
        <f>IF(K975="FUERA","Fuera del marco",IF(K975="N/A","Sin marco",IFERROR(INDEX('Datos - Catálogo TIMSS'!$F$5:$F$107,MATCH(K975,'Datos - Catálogo TIMSS'!$A$5:$A$107,0)),"Pendiente de clasificar")))</f>
        <v/>
      </c>
      <c r="O975" s="11">
        <f>IF(L975="","",IFERROR(INDEX('Datos - Catálogo TIMSS'!$C$5:$C$107,MATCH(L975,'Datos - Catálogo TIMSS'!$A$5:$A$107,0)),"?"))</f>
        <v/>
      </c>
      <c r="P975" s="11" t="inlineStr">
        <is>
          <t>N/A</t>
        </is>
      </c>
      <c r="Q975" s="38" t="inlineStr">
        <is>
          <t>Sin marco TIMSS de contenido para esta asignatura en Bachillerato</t>
        </is>
      </c>
      <c r="R975" s="38" t="inlineStr">
        <is>
          <t>Aplicar: sumar ecuaciones y calcular rendimientos globales. Razonar: evaluar la eficiencia de un proceso</t>
        </is>
      </c>
      <c r="S975" s="39">
        <f>IFERROR(ISNUMBER(SEARCH("Conocer",$R975))/(ISNUMBER(SEARCH("Conocer",$R975))+ISNUMBER(SEARCH("Aplicar",$R975))+ISNUMBER(SEARCH("Razonar",$R975))),0)</f>
        <v/>
      </c>
      <c r="T975" s="39">
        <f>IFERROR(ISNUMBER(SEARCH("Aplicar",$R975))/(ISNUMBER(SEARCH("Conocer",$R975))+ISNUMBER(SEARCH("Aplicar",$R975))+ISNUMBER(SEARCH("Razonar",$R975))),0)</f>
        <v/>
      </c>
      <c r="U975" s="39">
        <f>IFERROR(ISNUMBER(SEARCH("Razonar",$R975))/(ISNUMBER(SEARCH("Conocer",$R975))+ISNUMBER(SEARCH("Aplicar",$R975))+ISNUMBER(SEARCH("Razonar",$R975))),0)</f>
        <v/>
      </c>
      <c r="V975" s="11" t="inlineStr">
        <is>
          <t>Química 10°</t>
        </is>
      </c>
      <c r="W975" s="11" t="inlineStr">
        <is>
          <t>Química 10°–11°</t>
        </is>
      </c>
      <c r="X975" s="11">
        <f>IF(OR(IFERROR(INDEX('Datos - Catálogo TIMSS'!$I$5:$I$107,MATCH(K975,'Datos - Catálogo TIMSS'!$A$5:$A$107,0)),"No")="Sí",IFERROR(INDEX('Datos - Catálogo TIMSS'!$I$5:$I$107,MATCH(L975,'Datos - Catálogo TIMSS'!$A$5:$A$107,0)),"No")="Sí"),1,0)</f>
        <v/>
      </c>
      <c r="Y975" s="11">
        <f>IF(IFERROR(INDEX('Datos - Catálogo TIMSS'!$J$5:$J$107,MATCH(K975,'Datos - Catálogo TIMSS'!$A$5:$A$107,0)),"No")="Sí",1,0)</f>
        <v/>
      </c>
      <c r="Z975" s="11">
        <f>IF(IFERROR(INDEX('Datos - Catálogo TIMSS'!$J$5:$J$107,MATCH(L975,'Datos - Catálogo TIMSS'!$A$5:$A$107,0)),"No")="Sí",1,0)</f>
        <v/>
      </c>
      <c r="AA975" s="11" t="inlineStr">
        <is>
          <t>N/A</t>
        </is>
      </c>
      <c r="AB975" s="11" t="inlineStr"/>
      <c r="AC975" s="11">
        <f>IF(AA975="FUERA","Fuera del marco",IF(AA975="N/A","Sin marco",IFERROR(INDEX('Datos - TIMSS 2023'!$C$5:$C$105,MATCH(AA975,'Datos - TIMSS 2023'!$A$5:$A$105,0)),"Pendiente de clasificar")))</f>
        <v/>
      </c>
      <c r="AD975" s="11" t="inlineStr">
        <is>
          <t>3. Investigar, evaluar y usar información científica para tomar decisiones y actuar</t>
        </is>
      </c>
      <c r="AE975" s="11">
        <f>IF(AD975="","",IF(LEFT(AD975,1)="1","C1",IF(LEFT(AD975,1)="2","C2",IF(LEFT(AD975,1)="3","C3",""))))</f>
        <v/>
      </c>
      <c r="AF975" s="11" t="inlineStr">
        <is>
          <t>E1</t>
        </is>
      </c>
      <c r="AG975" s="11" t="inlineStr">
        <is>
          <t>E3</t>
        </is>
      </c>
      <c r="AH975" s="11" t="inlineStr">
        <is>
          <t>E2</t>
        </is>
      </c>
      <c r="AI975" s="11" t="inlineStr">
        <is>
          <t>I1</t>
        </is>
      </c>
      <c r="AJ975" s="11" t="inlineStr">
        <is>
          <t>I4</t>
        </is>
      </c>
      <c r="AK975" s="11" t="n"/>
      <c r="AL975" s="11" t="n"/>
      <c r="AM975" s="11" t="n"/>
      <c r="AN975" s="11" t="n"/>
      <c r="AO975" s="11" t="n"/>
      <c r="AP975" s="11" t="n"/>
      <c r="AQ975" s="11" t="n"/>
      <c r="AR975" s="11" t="n"/>
      <c r="AS975" s="11" t="n"/>
      <c r="AT975" s="11" t="n"/>
      <c r="AU975" s="11" t="n"/>
      <c r="AV975" s="11" t="n"/>
      <c r="AW975" s="11">
        <f>AF975&amp;"; "&amp;AG975&amp;"; "&amp;AH975&amp;"; "&amp;AI975&amp;"; "&amp;AJ975</f>
        <v/>
      </c>
    </row>
    <row r="976">
      <c r="A976" s="11" t="inlineStr">
        <is>
          <t>T0512-G10-QUÍ</t>
        </is>
      </c>
      <c r="B976" s="11" t="n">
        <v>10</v>
      </c>
      <c r="C976" s="11" t="inlineStr">
        <is>
          <t>Química</t>
        </is>
      </c>
      <c r="D976" s="11" t="inlineStr">
        <is>
          <t>Matriz_Bachillerato_Quimica_10_11.xlsx</t>
        </is>
      </c>
      <c r="E976" s="11" t="inlineStr">
        <is>
          <t>Química 10.°</t>
        </is>
      </c>
      <c r="F976" s="11" t="n">
        <v>85</v>
      </c>
      <c r="G976" s="11" t="inlineStr">
        <is>
          <t>11. Termodinámica en reacciones químicas</t>
        </is>
      </c>
      <c r="H976" s="11" t="inlineStr">
        <is>
          <t>Energía en las reacciones químicas</t>
        </is>
      </c>
      <c r="I976" s="38" t="inlineStr">
        <is>
          <t>11.1. Medición calorimétrica del calor de reacción a presión constante y representación en diagramas de entalpía.</t>
        </is>
      </c>
      <c r="J976" s="11" t="inlineStr">
        <is>
          <t>Sin marco</t>
        </is>
      </c>
      <c r="K976" s="11" t="inlineStr">
        <is>
          <t>N/A</t>
        </is>
      </c>
      <c r="L976" s="11" t="inlineStr"/>
      <c r="M976" s="11">
        <f>IF(K976="FUERA","Fuera del marco",IF(K976="N/A","Sin marco",IFERROR(INDEX('Datos - Catálogo TIMSS'!$C$5:$C$107,MATCH(K976,'Datos - Catálogo TIMSS'!$A$5:$A$107,0)),"Pendiente de clasificar")))</f>
        <v/>
      </c>
      <c r="N976" s="11">
        <f>IF(K976="FUERA","Fuera del marco",IF(K976="N/A","Sin marco",IFERROR(INDEX('Datos - Catálogo TIMSS'!$F$5:$F$107,MATCH(K976,'Datos - Catálogo TIMSS'!$A$5:$A$107,0)),"Pendiente de clasificar")))</f>
        <v/>
      </c>
      <c r="O976" s="11">
        <f>IF(L976="","",IFERROR(INDEX('Datos - Catálogo TIMSS'!$C$5:$C$107,MATCH(L976,'Datos - Catálogo TIMSS'!$A$5:$A$107,0)),"?"))</f>
        <v/>
      </c>
      <c r="P976" s="11" t="inlineStr">
        <is>
          <t>N/A</t>
        </is>
      </c>
      <c r="Q976" s="38" t="inlineStr">
        <is>
          <t>Sin marco TIMSS de contenido para esta asignatura en Bachillerato</t>
        </is>
      </c>
      <c r="R976" s="38" t="inlineStr">
        <is>
          <t>Aplicar: calcular q y ΔH a partir de datos calorimétricos. Razonar: evaluar fuentes de error</t>
        </is>
      </c>
      <c r="S976" s="39">
        <f>IFERROR(ISNUMBER(SEARCH("Conocer",$R976))/(ISNUMBER(SEARCH("Conocer",$R976))+ISNUMBER(SEARCH("Aplicar",$R976))+ISNUMBER(SEARCH("Razonar",$R976))),0)</f>
        <v/>
      </c>
      <c r="T976" s="39">
        <f>IFERROR(ISNUMBER(SEARCH("Aplicar",$R976))/(ISNUMBER(SEARCH("Conocer",$R976))+ISNUMBER(SEARCH("Aplicar",$R976))+ISNUMBER(SEARCH("Razonar",$R976))),0)</f>
        <v/>
      </c>
      <c r="U976" s="39">
        <f>IFERROR(ISNUMBER(SEARCH("Razonar",$R976))/(ISNUMBER(SEARCH("Conocer",$R976))+ISNUMBER(SEARCH("Aplicar",$R976))+ISNUMBER(SEARCH("Razonar",$R976))),0)</f>
        <v/>
      </c>
      <c r="V976" s="11" t="inlineStr">
        <is>
          <t>Química 10°</t>
        </is>
      </c>
      <c r="W976" s="11" t="inlineStr">
        <is>
          <t>Química 10°–11°</t>
        </is>
      </c>
      <c r="X976" s="11">
        <f>IF(OR(IFERROR(INDEX('Datos - Catálogo TIMSS'!$I$5:$I$107,MATCH(K976,'Datos - Catálogo TIMSS'!$A$5:$A$107,0)),"No")="Sí",IFERROR(INDEX('Datos - Catálogo TIMSS'!$I$5:$I$107,MATCH(L976,'Datos - Catálogo TIMSS'!$A$5:$A$107,0)),"No")="Sí"),1,0)</f>
        <v/>
      </c>
      <c r="Y976" s="11">
        <f>IF(IFERROR(INDEX('Datos - Catálogo TIMSS'!$J$5:$J$107,MATCH(K976,'Datos - Catálogo TIMSS'!$A$5:$A$107,0)),"No")="Sí",1,0)</f>
        <v/>
      </c>
      <c r="Z976" s="11">
        <f>IF(IFERROR(INDEX('Datos - Catálogo TIMSS'!$J$5:$J$107,MATCH(L976,'Datos - Catálogo TIMSS'!$A$5:$A$107,0)),"No")="Sí",1,0)</f>
        <v/>
      </c>
      <c r="AA976" s="11" t="inlineStr">
        <is>
          <t>N/A</t>
        </is>
      </c>
      <c r="AB976" s="11" t="inlineStr"/>
      <c r="AC976" s="11">
        <f>IF(AA976="FUERA","Fuera del marco",IF(AA976="N/A","Sin marco",IFERROR(INDEX('Datos - TIMSS 2023'!$C$5:$C$105,MATCH(AA976,'Datos - TIMSS 2023'!$A$5:$A$105,0)),"Pendiente de clasificar")))</f>
        <v/>
      </c>
      <c r="AD976" s="11" t="inlineStr">
        <is>
          <t>2. Construir y evaluar diseños para la indagación científica e interpretar datos y evidencia de forma crítica</t>
        </is>
      </c>
      <c r="AE976" s="11">
        <f>IF(AD976="","",IF(LEFT(AD976,1)="1","C1",IF(LEFT(AD976,1)="2","C2",IF(LEFT(AD976,1)="3","C3",""))))</f>
        <v/>
      </c>
      <c r="AF976" s="11" t="inlineStr">
        <is>
          <t>E1</t>
        </is>
      </c>
      <c r="AG976" s="11" t="inlineStr">
        <is>
          <t>D1</t>
        </is>
      </c>
      <c r="AH976" s="11" t="inlineStr">
        <is>
          <t>E2</t>
        </is>
      </c>
      <c r="AI976" s="11" t="inlineStr">
        <is>
          <t>D2</t>
        </is>
      </c>
      <c r="AJ976" s="11" t="inlineStr">
        <is>
          <t>D3</t>
        </is>
      </c>
      <c r="AK976" s="11" t="n"/>
      <c r="AL976" s="11" t="n"/>
      <c r="AM976" s="11" t="n"/>
      <c r="AN976" s="11" t="n"/>
      <c r="AO976" s="11" t="n"/>
      <c r="AP976" s="11" t="n"/>
      <c r="AQ976" s="11" t="n"/>
      <c r="AR976" s="11" t="n"/>
      <c r="AS976" s="11" t="n"/>
      <c r="AT976" s="11" t="n"/>
      <c r="AU976" s="11" t="n"/>
      <c r="AV976" s="11" t="n"/>
      <c r="AW976" s="11">
        <f>AF976&amp;"; "&amp;AG976&amp;"; "&amp;AH976&amp;"; "&amp;AI976&amp;"; "&amp;AJ976</f>
        <v/>
      </c>
    </row>
    <row r="977">
      <c r="A977" s="11" t="inlineStr">
        <is>
          <t>T0513-G10-QUÍ</t>
        </is>
      </c>
      <c r="B977" s="11" t="n">
        <v>10</v>
      </c>
      <c r="C977" s="11" t="inlineStr">
        <is>
          <t>Química</t>
        </is>
      </c>
      <c r="D977" s="11" t="inlineStr">
        <is>
          <t>Matriz_Bachillerato_Quimica_10_11.xlsx</t>
        </is>
      </c>
      <c r="E977" s="11" t="inlineStr">
        <is>
          <t>Química 10.°</t>
        </is>
      </c>
      <c r="F977" s="11" t="n">
        <v>86</v>
      </c>
      <c r="G977" s="11" t="inlineStr">
        <is>
          <t>11. Termodinámica en reacciones químicas</t>
        </is>
      </c>
      <c r="H977" s="11" t="inlineStr">
        <is>
          <t>Energía en las reacciones químicas</t>
        </is>
      </c>
      <c r="I977" s="38" t="inlineStr">
        <is>
          <t>11.2. Cálculo de entalpías estándar de reacción mediante entalpías de formación tabuladas y la ley de Hess.</t>
        </is>
      </c>
      <c r="J977" s="11" t="inlineStr">
        <is>
          <t>Sin marco</t>
        </is>
      </c>
      <c r="K977" s="11" t="inlineStr">
        <is>
          <t>N/A</t>
        </is>
      </c>
      <c r="L977" s="11" t="inlineStr"/>
      <c r="M977" s="11">
        <f>IF(K977="FUERA","Fuera del marco",IF(K977="N/A","Sin marco",IFERROR(INDEX('Datos - Catálogo TIMSS'!$C$5:$C$107,MATCH(K977,'Datos - Catálogo TIMSS'!$A$5:$A$107,0)),"Pendiente de clasificar")))</f>
        <v/>
      </c>
      <c r="N977" s="11">
        <f>IF(K977="FUERA","Fuera del marco",IF(K977="N/A","Sin marco",IFERROR(INDEX('Datos - Catálogo TIMSS'!$F$5:$F$107,MATCH(K977,'Datos - Catálogo TIMSS'!$A$5:$A$107,0)),"Pendiente de clasificar")))</f>
        <v/>
      </c>
      <c r="O977" s="11">
        <f>IF(L977="","",IFERROR(INDEX('Datos - Catálogo TIMSS'!$C$5:$C$107,MATCH(L977,'Datos - Catálogo TIMSS'!$A$5:$A$107,0)),"?"))</f>
        <v/>
      </c>
      <c r="P977" s="11" t="inlineStr">
        <is>
          <t>N/A</t>
        </is>
      </c>
      <c r="Q977" s="38" t="inlineStr">
        <is>
          <t>Sin marco TIMSS de contenido para esta asignatura en Bachillerato</t>
        </is>
      </c>
      <c r="R977" s="38" t="inlineStr">
        <is>
          <t>Aplicar: calcular ΔH° con ley de Hess y entalpías de formación. Razonar: comparar combustibles</t>
        </is>
      </c>
      <c r="S977" s="39">
        <f>IFERROR(ISNUMBER(SEARCH("Conocer",$R977))/(ISNUMBER(SEARCH("Conocer",$R977))+ISNUMBER(SEARCH("Aplicar",$R977))+ISNUMBER(SEARCH("Razonar",$R977))),0)</f>
        <v/>
      </c>
      <c r="T977" s="39">
        <f>IFERROR(ISNUMBER(SEARCH("Aplicar",$R977))/(ISNUMBER(SEARCH("Conocer",$R977))+ISNUMBER(SEARCH("Aplicar",$R977))+ISNUMBER(SEARCH("Razonar",$R977))),0)</f>
        <v/>
      </c>
      <c r="U977" s="39">
        <f>IFERROR(ISNUMBER(SEARCH("Razonar",$R977))/(ISNUMBER(SEARCH("Conocer",$R977))+ISNUMBER(SEARCH("Aplicar",$R977))+ISNUMBER(SEARCH("Razonar",$R977))),0)</f>
        <v/>
      </c>
      <c r="V977" s="11" t="inlineStr">
        <is>
          <t>Química 10°</t>
        </is>
      </c>
      <c r="W977" s="11" t="inlineStr">
        <is>
          <t>Química 10°–11°</t>
        </is>
      </c>
      <c r="X977" s="11">
        <f>IF(OR(IFERROR(INDEX('Datos - Catálogo TIMSS'!$I$5:$I$107,MATCH(K977,'Datos - Catálogo TIMSS'!$A$5:$A$107,0)),"No")="Sí",IFERROR(INDEX('Datos - Catálogo TIMSS'!$I$5:$I$107,MATCH(L977,'Datos - Catálogo TIMSS'!$A$5:$A$107,0)),"No")="Sí"),1,0)</f>
        <v/>
      </c>
      <c r="Y977" s="11">
        <f>IF(IFERROR(INDEX('Datos - Catálogo TIMSS'!$J$5:$J$107,MATCH(K977,'Datos - Catálogo TIMSS'!$A$5:$A$107,0)),"No")="Sí",1,0)</f>
        <v/>
      </c>
      <c r="Z977" s="11">
        <f>IF(IFERROR(INDEX('Datos - Catálogo TIMSS'!$J$5:$J$107,MATCH(L977,'Datos - Catálogo TIMSS'!$A$5:$A$107,0)),"No")="Sí",1,0)</f>
        <v/>
      </c>
      <c r="AA977" s="11" t="inlineStr">
        <is>
          <t>N/A</t>
        </is>
      </c>
      <c r="AB977" s="11" t="inlineStr"/>
      <c r="AC977" s="11">
        <f>IF(AA977="FUERA","Fuera del marco",IF(AA977="N/A","Sin marco",IFERROR(INDEX('Datos - TIMSS 2023'!$C$5:$C$105,MATCH(AA977,'Datos - TIMSS 2023'!$A$5:$A$105,0)),"Pendiente de clasificar")))</f>
        <v/>
      </c>
      <c r="AD977" s="11" t="inlineStr">
        <is>
          <t>1. Explicar fenómenos científicamente</t>
        </is>
      </c>
      <c r="AE977" s="11">
        <f>IF(AD977="","",IF(LEFT(AD977,1)="1","C1",IF(LEFT(AD977,1)="2","C2",IF(LEFT(AD977,1)="3","C3",""))))</f>
        <v/>
      </c>
      <c r="AF977" s="11" t="inlineStr">
        <is>
          <t>E6</t>
        </is>
      </c>
      <c r="AG977" s="11" t="inlineStr">
        <is>
          <t>E3</t>
        </is>
      </c>
      <c r="AH977" s="11" t="inlineStr">
        <is>
          <t>E2</t>
        </is>
      </c>
      <c r="AI977" s="11" t="inlineStr">
        <is>
          <t>I3</t>
        </is>
      </c>
      <c r="AJ977" s="11" t="inlineStr">
        <is>
          <t>E3</t>
        </is>
      </c>
      <c r="AK977" s="11" t="n"/>
      <c r="AL977" s="11" t="n"/>
      <c r="AM977" s="11" t="n"/>
      <c r="AN977" s="11" t="n"/>
      <c r="AO977" s="11" t="n"/>
      <c r="AP977" s="11" t="n"/>
      <c r="AQ977" s="11" t="n"/>
      <c r="AR977" s="11" t="n"/>
      <c r="AS977" s="11" t="n"/>
      <c r="AT977" s="11" t="n"/>
      <c r="AU977" s="11" t="n"/>
      <c r="AV977" s="11" t="n"/>
      <c r="AW977" s="11">
        <f>AF977&amp;"; "&amp;AG977&amp;"; "&amp;AH977&amp;"; "&amp;AI977&amp;"; "&amp;AJ977</f>
        <v/>
      </c>
    </row>
    <row r="978">
      <c r="A978" s="11" t="inlineStr">
        <is>
          <t>T0514-G10-QUÍ</t>
        </is>
      </c>
      <c r="B978" s="11" t="n">
        <v>10</v>
      </c>
      <c r="C978" s="11" t="inlineStr">
        <is>
          <t>Química</t>
        </is>
      </c>
      <c r="D978" s="11" t="inlineStr">
        <is>
          <t>Matriz_Bachillerato_Quimica_10_11.xlsx</t>
        </is>
      </c>
      <c r="E978" s="11" t="inlineStr">
        <is>
          <t>Química 10.°</t>
        </is>
      </c>
      <c r="F978" s="11" t="n">
        <v>87</v>
      </c>
      <c r="G978" s="11" t="inlineStr">
        <is>
          <t>11. Termodinámica en reacciones químicas</t>
        </is>
      </c>
      <c r="H978" s="11" t="inlineStr">
        <is>
          <t>Energía en las reacciones químicas</t>
        </is>
      </c>
      <c r="I978" s="38" t="inlineStr">
        <is>
          <t>11.3. Estimación de entalpías de reacción a partir de entalpías medias de enlace y análisis de su relación con la fuerza de los enlaces.</t>
        </is>
      </c>
      <c r="J978" s="11" t="inlineStr">
        <is>
          <t>Sin marco</t>
        </is>
      </c>
      <c r="K978" s="11" t="inlineStr">
        <is>
          <t>N/A</t>
        </is>
      </c>
      <c r="L978" s="11" t="inlineStr"/>
      <c r="M978" s="11">
        <f>IF(K978="FUERA","Fuera del marco",IF(K978="N/A","Sin marco",IFERROR(INDEX('Datos - Catálogo TIMSS'!$C$5:$C$107,MATCH(K978,'Datos - Catálogo TIMSS'!$A$5:$A$107,0)),"Pendiente de clasificar")))</f>
        <v/>
      </c>
      <c r="N978" s="11">
        <f>IF(K978="FUERA","Fuera del marco",IF(K978="N/A","Sin marco",IFERROR(INDEX('Datos - Catálogo TIMSS'!$F$5:$F$107,MATCH(K978,'Datos - Catálogo TIMSS'!$A$5:$A$107,0)),"Pendiente de clasificar")))</f>
        <v/>
      </c>
      <c r="O978" s="11">
        <f>IF(L978="","",IFERROR(INDEX('Datos - Catálogo TIMSS'!$C$5:$C$107,MATCH(L978,'Datos - Catálogo TIMSS'!$A$5:$A$107,0)),"?"))</f>
        <v/>
      </c>
      <c r="P978" s="11" t="inlineStr">
        <is>
          <t>N/A</t>
        </is>
      </c>
      <c r="Q978" s="38" t="inlineStr">
        <is>
          <t>Sin marco TIMSS de contenido para esta asignatura en Bachillerato</t>
        </is>
      </c>
      <c r="R978" s="38" t="inlineStr">
        <is>
          <t>Aplicar: estimar ΔH con entalpías de enlace. Razonar: explicar diferencias con valores tabulados</t>
        </is>
      </c>
      <c r="S978" s="39">
        <f>IFERROR(ISNUMBER(SEARCH("Conocer",$R978))/(ISNUMBER(SEARCH("Conocer",$R978))+ISNUMBER(SEARCH("Aplicar",$R978))+ISNUMBER(SEARCH("Razonar",$R978))),0)</f>
        <v/>
      </c>
      <c r="T978" s="39">
        <f>IFERROR(ISNUMBER(SEARCH("Aplicar",$R978))/(ISNUMBER(SEARCH("Conocer",$R978))+ISNUMBER(SEARCH("Aplicar",$R978))+ISNUMBER(SEARCH("Razonar",$R978))),0)</f>
        <v/>
      </c>
      <c r="U978" s="39">
        <f>IFERROR(ISNUMBER(SEARCH("Razonar",$R978))/(ISNUMBER(SEARCH("Conocer",$R978))+ISNUMBER(SEARCH("Aplicar",$R978))+ISNUMBER(SEARCH("Razonar",$R978))),0)</f>
        <v/>
      </c>
      <c r="V978" s="11" t="inlineStr">
        <is>
          <t>Química 10°</t>
        </is>
      </c>
      <c r="W978" s="11" t="inlineStr">
        <is>
          <t>Química 10°–11°</t>
        </is>
      </c>
      <c r="X978" s="11">
        <f>IF(OR(IFERROR(INDEX('Datos - Catálogo TIMSS'!$I$5:$I$107,MATCH(K978,'Datos - Catálogo TIMSS'!$A$5:$A$107,0)),"No")="Sí",IFERROR(INDEX('Datos - Catálogo TIMSS'!$I$5:$I$107,MATCH(L978,'Datos - Catálogo TIMSS'!$A$5:$A$107,0)),"No")="Sí"),1,0)</f>
        <v/>
      </c>
      <c r="Y978" s="11">
        <f>IF(IFERROR(INDEX('Datos - Catálogo TIMSS'!$J$5:$J$107,MATCH(K978,'Datos - Catálogo TIMSS'!$A$5:$A$107,0)),"No")="Sí",1,0)</f>
        <v/>
      </c>
      <c r="Z978" s="11">
        <f>IF(IFERROR(INDEX('Datos - Catálogo TIMSS'!$J$5:$J$107,MATCH(L978,'Datos - Catálogo TIMSS'!$A$5:$A$107,0)),"No")="Sí",1,0)</f>
        <v/>
      </c>
      <c r="AA978" s="11" t="inlineStr">
        <is>
          <t>N/A</t>
        </is>
      </c>
      <c r="AB978" s="11" t="inlineStr"/>
      <c r="AC978" s="11">
        <f>IF(AA978="FUERA","Fuera del marco",IF(AA978="N/A","Sin marco",IFERROR(INDEX('Datos - TIMSS 2023'!$C$5:$C$105,MATCH(AA978,'Datos - TIMSS 2023'!$A$5:$A$105,0)),"Pendiente de clasificar")))</f>
        <v/>
      </c>
      <c r="AD978" s="11" t="inlineStr">
        <is>
          <t>1. Explicar fenómenos científicamente</t>
        </is>
      </c>
      <c r="AE978" s="11">
        <f>IF(AD978="","",IF(LEFT(AD978,1)="1","C1",IF(LEFT(AD978,1)="2","C2",IF(LEFT(AD978,1)="3","C3",""))))</f>
        <v/>
      </c>
      <c r="AF978" s="11" t="inlineStr">
        <is>
          <t>E1</t>
        </is>
      </c>
      <c r="AG978" s="11" t="inlineStr">
        <is>
          <t>E5</t>
        </is>
      </c>
      <c r="AH978" s="11" t="inlineStr">
        <is>
          <t>E4</t>
        </is>
      </c>
      <c r="AI978" s="11" t="inlineStr">
        <is>
          <t>D4</t>
        </is>
      </c>
      <c r="AJ978" s="11" t="inlineStr">
        <is>
          <t>E3</t>
        </is>
      </c>
      <c r="AK978" s="11" t="n"/>
      <c r="AL978" s="11" t="n"/>
      <c r="AM978" s="11" t="n"/>
      <c r="AN978" s="11" t="n"/>
      <c r="AO978" s="11" t="n"/>
      <c r="AP978" s="11" t="n"/>
      <c r="AQ978" s="11" t="n"/>
      <c r="AR978" s="11" t="n"/>
      <c r="AS978" s="11" t="n"/>
      <c r="AT978" s="11" t="n"/>
      <c r="AU978" s="11" t="n"/>
      <c r="AV978" s="11" t="n"/>
      <c r="AW978" s="11">
        <f>AF978&amp;"; "&amp;AG978&amp;"; "&amp;AH978&amp;"; "&amp;AI978&amp;"; "&amp;AJ978</f>
        <v/>
      </c>
    </row>
    <row r="979">
      <c r="A979" s="11" t="inlineStr">
        <is>
          <t>T0515-G10-QUÍ</t>
        </is>
      </c>
      <c r="B979" s="11" t="n">
        <v>10</v>
      </c>
      <c r="C979" s="11" t="inlineStr">
        <is>
          <t>Química</t>
        </is>
      </c>
      <c r="D979" s="11" t="inlineStr">
        <is>
          <t>Matriz_Bachillerato_Quimica_10_11.xlsx</t>
        </is>
      </c>
      <c r="E979" s="11" t="inlineStr">
        <is>
          <t>Química 10.°</t>
        </is>
      </c>
      <c r="F979" s="11" t="n">
        <v>88</v>
      </c>
      <c r="G979" s="11" t="inlineStr">
        <is>
          <t>11. Termodinámica en reacciones químicas</t>
        </is>
      </c>
      <c r="H979" s="11" t="inlineStr">
        <is>
          <t>Espontaneidad de los procesos</t>
        </is>
      </c>
      <c r="I979" s="38" t="inlineStr">
        <is>
          <t>11.4. Análisis de procesos físicos y químicos espontáneos y no espontáneos a partir del segundo principio de la termodinámica.</t>
        </is>
      </c>
      <c r="J979" s="11" t="inlineStr">
        <is>
          <t>Sin marco</t>
        </is>
      </c>
      <c r="K979" s="11" t="inlineStr">
        <is>
          <t>N/A</t>
        </is>
      </c>
      <c r="L979" s="11" t="inlineStr"/>
      <c r="M979" s="11">
        <f>IF(K979="FUERA","Fuera del marco",IF(K979="N/A","Sin marco",IFERROR(INDEX('Datos - Catálogo TIMSS'!$C$5:$C$107,MATCH(K979,'Datos - Catálogo TIMSS'!$A$5:$A$107,0)),"Pendiente de clasificar")))</f>
        <v/>
      </c>
      <c r="N979" s="11">
        <f>IF(K979="FUERA","Fuera del marco",IF(K979="N/A","Sin marco",IFERROR(INDEX('Datos - Catálogo TIMSS'!$F$5:$F$107,MATCH(K979,'Datos - Catálogo TIMSS'!$A$5:$A$107,0)),"Pendiente de clasificar")))</f>
        <v/>
      </c>
      <c r="O979" s="11">
        <f>IF(L979="","",IFERROR(INDEX('Datos - Catálogo TIMSS'!$C$5:$C$107,MATCH(L979,'Datos - Catálogo TIMSS'!$A$5:$A$107,0)),"?"))</f>
        <v/>
      </c>
      <c r="P979" s="11" t="inlineStr">
        <is>
          <t>N/A</t>
        </is>
      </c>
      <c r="Q979" s="38" t="inlineStr">
        <is>
          <t>Sin marco TIMSS de contenido para esta asignatura en Bachillerato</t>
        </is>
      </c>
      <c r="R979" s="38" t="inlineStr">
        <is>
          <t>Conocer: definir espontaneidad. Razonar: distinguir espontaneidad de rapidez y justificar con el segundo principio</t>
        </is>
      </c>
      <c r="S979" s="39">
        <f>IFERROR(ISNUMBER(SEARCH("Conocer",$R979))/(ISNUMBER(SEARCH("Conocer",$R979))+ISNUMBER(SEARCH("Aplicar",$R979))+ISNUMBER(SEARCH("Razonar",$R979))),0)</f>
        <v/>
      </c>
      <c r="T979" s="39">
        <f>IFERROR(ISNUMBER(SEARCH("Aplicar",$R979))/(ISNUMBER(SEARCH("Conocer",$R979))+ISNUMBER(SEARCH("Aplicar",$R979))+ISNUMBER(SEARCH("Razonar",$R979))),0)</f>
        <v/>
      </c>
      <c r="U979" s="39">
        <f>IFERROR(ISNUMBER(SEARCH("Razonar",$R979))/(ISNUMBER(SEARCH("Conocer",$R979))+ISNUMBER(SEARCH("Aplicar",$R979))+ISNUMBER(SEARCH("Razonar",$R979))),0)</f>
        <v/>
      </c>
      <c r="V979" s="11" t="inlineStr">
        <is>
          <t>Química 10°</t>
        </is>
      </c>
      <c r="W979" s="11" t="inlineStr">
        <is>
          <t>Química 10°–11°</t>
        </is>
      </c>
      <c r="X979" s="11">
        <f>IF(OR(IFERROR(INDEX('Datos - Catálogo TIMSS'!$I$5:$I$107,MATCH(K979,'Datos - Catálogo TIMSS'!$A$5:$A$107,0)),"No")="Sí",IFERROR(INDEX('Datos - Catálogo TIMSS'!$I$5:$I$107,MATCH(L979,'Datos - Catálogo TIMSS'!$A$5:$A$107,0)),"No")="Sí"),1,0)</f>
        <v/>
      </c>
      <c r="Y979" s="11">
        <f>IF(IFERROR(INDEX('Datos - Catálogo TIMSS'!$J$5:$J$107,MATCH(K979,'Datos - Catálogo TIMSS'!$A$5:$A$107,0)),"No")="Sí",1,0)</f>
        <v/>
      </c>
      <c r="Z979" s="11">
        <f>IF(IFERROR(INDEX('Datos - Catálogo TIMSS'!$J$5:$J$107,MATCH(L979,'Datos - Catálogo TIMSS'!$A$5:$A$107,0)),"No")="Sí",1,0)</f>
        <v/>
      </c>
      <c r="AA979" s="11" t="inlineStr">
        <is>
          <t>N/A</t>
        </is>
      </c>
      <c r="AB979" s="11" t="inlineStr"/>
      <c r="AC979" s="11">
        <f>IF(AA979="FUERA","Fuera del marco",IF(AA979="N/A","Sin marco",IFERROR(INDEX('Datos - TIMSS 2023'!$C$5:$C$105,MATCH(AA979,'Datos - TIMSS 2023'!$A$5:$A$105,0)),"Pendiente de clasificar")))</f>
        <v/>
      </c>
      <c r="AD979" s="11" t="inlineStr">
        <is>
          <t>1. Explicar fenómenos científicamente</t>
        </is>
      </c>
      <c r="AE979" s="11">
        <f>IF(AD979="","",IF(LEFT(AD979,1)="1","C1",IF(LEFT(AD979,1)="2","C2",IF(LEFT(AD979,1)="3","C3",""))))</f>
        <v/>
      </c>
      <c r="AF979" s="11" t="inlineStr">
        <is>
          <t>E1</t>
        </is>
      </c>
      <c r="AG979" s="11" t="inlineStr">
        <is>
          <t>D1</t>
        </is>
      </c>
      <c r="AH979" s="11" t="inlineStr">
        <is>
          <t>E1</t>
        </is>
      </c>
      <c r="AI979" s="11" t="inlineStr">
        <is>
          <t>I2</t>
        </is>
      </c>
      <c r="AJ979" s="11" t="inlineStr">
        <is>
          <t>E3</t>
        </is>
      </c>
      <c r="AK979" s="11" t="n"/>
      <c r="AL979" s="11" t="n"/>
      <c r="AM979" s="11" t="n"/>
      <c r="AN979" s="11" t="n"/>
      <c r="AO979" s="11" t="n"/>
      <c r="AP979" s="11" t="n"/>
      <c r="AQ979" s="11" t="n"/>
      <c r="AR979" s="11" t="n"/>
      <c r="AS979" s="11" t="n"/>
      <c r="AT979" s="11" t="n"/>
      <c r="AU979" s="11" t="n"/>
      <c r="AV979" s="11" t="n"/>
      <c r="AW979" s="11">
        <f>AF979&amp;"; "&amp;AG979&amp;"; "&amp;AH979&amp;"; "&amp;AI979&amp;"; "&amp;AJ979</f>
        <v/>
      </c>
    </row>
    <row r="980">
      <c r="A980" s="11" t="inlineStr">
        <is>
          <t>T0516-G10-QUÍ</t>
        </is>
      </c>
      <c r="B980" s="11" t="n">
        <v>10</v>
      </c>
      <c r="C980" s="11" t="inlineStr">
        <is>
          <t>Química</t>
        </is>
      </c>
      <c r="D980" s="11" t="inlineStr">
        <is>
          <t>Matriz_Bachillerato_Quimica_10_11.xlsx</t>
        </is>
      </c>
      <c r="E980" s="11" t="inlineStr">
        <is>
          <t>Química 10.°</t>
        </is>
      </c>
      <c r="F980" s="11" t="n">
        <v>89</v>
      </c>
      <c r="G980" s="11" t="inlineStr">
        <is>
          <t>11. Termodinámica en reacciones químicas</t>
        </is>
      </c>
      <c r="H980" s="11" t="inlineStr">
        <is>
          <t>Espontaneidad de los procesos</t>
        </is>
      </c>
      <c r="I980" s="38" t="inlineStr">
        <is>
          <t>11.5. Interpretación de la entropía como medida de la dispersión de la energía y de los factores de los que depende en las sustancias.</t>
        </is>
      </c>
      <c r="J980" s="11" t="inlineStr">
        <is>
          <t>Sin marco</t>
        </is>
      </c>
      <c r="K980" s="11" t="inlineStr">
        <is>
          <t>N/A</t>
        </is>
      </c>
      <c r="L980" s="11" t="inlineStr"/>
      <c r="M980" s="11">
        <f>IF(K980="FUERA","Fuera del marco",IF(K980="N/A","Sin marco",IFERROR(INDEX('Datos - Catálogo TIMSS'!$C$5:$C$107,MATCH(K980,'Datos - Catálogo TIMSS'!$A$5:$A$107,0)),"Pendiente de clasificar")))</f>
        <v/>
      </c>
      <c r="N980" s="11">
        <f>IF(K980="FUERA","Fuera del marco",IF(K980="N/A","Sin marco",IFERROR(INDEX('Datos - Catálogo TIMSS'!$F$5:$F$107,MATCH(K980,'Datos - Catálogo TIMSS'!$A$5:$A$107,0)),"Pendiente de clasificar")))</f>
        <v/>
      </c>
      <c r="O980" s="11">
        <f>IF(L980="","",IFERROR(INDEX('Datos - Catálogo TIMSS'!$C$5:$C$107,MATCH(L980,'Datos - Catálogo TIMSS'!$A$5:$A$107,0)),"?"))</f>
        <v/>
      </c>
      <c r="P980" s="11" t="inlineStr">
        <is>
          <t>N/A</t>
        </is>
      </c>
      <c r="Q980" s="38" t="inlineStr">
        <is>
          <t>Sin marco TIMSS de contenido para esta asignatura en Bachillerato</t>
        </is>
      </c>
      <c r="R980" s="38" t="inlineStr">
        <is>
          <t>Conocer: enunciar el tercer principio. Aplicar: ordenar sustancias por entropía. Razonar: interpretar gráficas S–T</t>
        </is>
      </c>
      <c r="S980" s="39">
        <f>IFERROR(ISNUMBER(SEARCH("Conocer",$R980))/(ISNUMBER(SEARCH("Conocer",$R980))+ISNUMBER(SEARCH("Aplicar",$R980))+ISNUMBER(SEARCH("Razonar",$R980))),0)</f>
        <v/>
      </c>
      <c r="T980" s="39">
        <f>IFERROR(ISNUMBER(SEARCH("Aplicar",$R980))/(ISNUMBER(SEARCH("Conocer",$R980))+ISNUMBER(SEARCH("Aplicar",$R980))+ISNUMBER(SEARCH("Razonar",$R980))),0)</f>
        <v/>
      </c>
      <c r="U980" s="39">
        <f>IFERROR(ISNUMBER(SEARCH("Razonar",$R980))/(ISNUMBER(SEARCH("Conocer",$R980))+ISNUMBER(SEARCH("Aplicar",$R980))+ISNUMBER(SEARCH("Razonar",$R980))),0)</f>
        <v/>
      </c>
      <c r="V980" s="11" t="inlineStr">
        <is>
          <t>Química 10°</t>
        </is>
      </c>
      <c r="W980" s="11" t="inlineStr">
        <is>
          <t>Química 10°–11°</t>
        </is>
      </c>
      <c r="X980" s="11">
        <f>IF(OR(IFERROR(INDEX('Datos - Catálogo TIMSS'!$I$5:$I$107,MATCH(K980,'Datos - Catálogo TIMSS'!$A$5:$A$107,0)),"No")="Sí",IFERROR(INDEX('Datos - Catálogo TIMSS'!$I$5:$I$107,MATCH(L980,'Datos - Catálogo TIMSS'!$A$5:$A$107,0)),"No")="Sí"),1,0)</f>
        <v/>
      </c>
      <c r="Y980" s="11">
        <f>IF(IFERROR(INDEX('Datos - Catálogo TIMSS'!$J$5:$J$107,MATCH(K980,'Datos - Catálogo TIMSS'!$A$5:$A$107,0)),"No")="Sí",1,0)</f>
        <v/>
      </c>
      <c r="Z980" s="11">
        <f>IF(IFERROR(INDEX('Datos - Catálogo TIMSS'!$J$5:$J$107,MATCH(L980,'Datos - Catálogo TIMSS'!$A$5:$A$107,0)),"No")="Sí",1,0)</f>
        <v/>
      </c>
      <c r="AA980" s="11" t="inlineStr">
        <is>
          <t>N/A</t>
        </is>
      </c>
      <c r="AB980" s="11" t="inlineStr"/>
      <c r="AC980" s="11">
        <f>IF(AA980="FUERA","Fuera del marco",IF(AA980="N/A","Sin marco",IFERROR(INDEX('Datos - TIMSS 2023'!$C$5:$C$105,MATCH(AA980,'Datos - TIMSS 2023'!$A$5:$A$105,0)),"Pendiente de clasificar")))</f>
        <v/>
      </c>
      <c r="AD980" s="11" t="inlineStr">
        <is>
          <t>1. Explicar fenómenos científicamente</t>
        </is>
      </c>
      <c r="AE980" s="11">
        <f>IF(AD980="","",IF(LEFT(AD980,1)="1","C1",IF(LEFT(AD980,1)="2","C2",IF(LEFT(AD980,1)="3","C3",""))))</f>
        <v/>
      </c>
      <c r="AF980" s="11" t="inlineStr">
        <is>
          <t>E1</t>
        </is>
      </c>
      <c r="AG980" s="11" t="inlineStr">
        <is>
          <t>E3</t>
        </is>
      </c>
      <c r="AH980" s="11" t="inlineStr">
        <is>
          <t>E4</t>
        </is>
      </c>
      <c r="AI980" s="11" t="inlineStr">
        <is>
          <t>D4</t>
        </is>
      </c>
      <c r="AJ980" s="11" t="inlineStr">
        <is>
          <t>E3</t>
        </is>
      </c>
      <c r="AK980" s="11" t="n"/>
      <c r="AL980" s="11" t="n"/>
      <c r="AM980" s="11" t="n"/>
      <c r="AN980" s="11" t="n"/>
      <c r="AO980" s="11" t="n"/>
      <c r="AP980" s="11" t="n"/>
      <c r="AQ980" s="11" t="n"/>
      <c r="AR980" s="11" t="n"/>
      <c r="AS980" s="11" t="n"/>
      <c r="AT980" s="11" t="n"/>
      <c r="AU980" s="11" t="n"/>
      <c r="AV980" s="11" t="n"/>
      <c r="AW980" s="11">
        <f>AF980&amp;"; "&amp;AG980&amp;"; "&amp;AH980&amp;"; "&amp;AI980&amp;"; "&amp;AJ980</f>
        <v/>
      </c>
    </row>
    <row r="981">
      <c r="A981" s="11" t="inlineStr">
        <is>
          <t>T0517-G10-QUÍ</t>
        </is>
      </c>
      <c r="B981" s="11" t="n">
        <v>10</v>
      </c>
      <c r="C981" s="11" t="inlineStr">
        <is>
          <t>Química</t>
        </is>
      </c>
      <c r="D981" s="11" t="inlineStr">
        <is>
          <t>Matriz_Bachillerato_Quimica_10_11.xlsx</t>
        </is>
      </c>
      <c r="E981" s="11" t="inlineStr">
        <is>
          <t>Química 10.°</t>
        </is>
      </c>
      <c r="F981" s="11" t="n">
        <v>90</v>
      </c>
      <c r="G981" s="11" t="inlineStr">
        <is>
          <t>11. Termodinámica en reacciones químicas</t>
        </is>
      </c>
      <c r="H981" s="11" t="inlineStr">
        <is>
          <t>Espontaneidad de los procesos</t>
        </is>
      </c>
      <c r="I981" s="38" t="inlineStr">
        <is>
          <t>11.6. Cálculo de la variación de entropía estándar de reacción y de la entropía del universo para predecir la espontaneidad.</t>
        </is>
      </c>
      <c r="J981" s="11" t="inlineStr">
        <is>
          <t>Sin marco</t>
        </is>
      </c>
      <c r="K981" s="11" t="inlineStr">
        <is>
          <t>N/A</t>
        </is>
      </c>
      <c r="L981" s="11" t="inlineStr"/>
      <c r="M981" s="11">
        <f>IF(K981="FUERA","Fuera del marco",IF(K981="N/A","Sin marco",IFERROR(INDEX('Datos - Catálogo TIMSS'!$C$5:$C$107,MATCH(K981,'Datos - Catálogo TIMSS'!$A$5:$A$107,0)),"Pendiente de clasificar")))</f>
        <v/>
      </c>
      <c r="N981" s="11">
        <f>IF(K981="FUERA","Fuera del marco",IF(K981="N/A","Sin marco",IFERROR(INDEX('Datos - Catálogo TIMSS'!$F$5:$F$107,MATCH(K981,'Datos - Catálogo TIMSS'!$A$5:$A$107,0)),"Pendiente de clasificar")))</f>
        <v/>
      </c>
      <c r="O981" s="11">
        <f>IF(L981="","",IFERROR(INDEX('Datos - Catálogo TIMSS'!$C$5:$C$107,MATCH(L981,'Datos - Catálogo TIMSS'!$A$5:$A$107,0)),"?"))</f>
        <v/>
      </c>
      <c r="P981" s="11" t="inlineStr">
        <is>
          <t>N/A</t>
        </is>
      </c>
      <c r="Q981" s="38" t="inlineStr">
        <is>
          <t>Sin marco TIMSS de contenido para esta asignatura en Bachillerato</t>
        </is>
      </c>
      <c r="R981" s="38" t="inlineStr">
        <is>
          <t>Aplicar: calcular ΔS° y ΔS del universo. Razonar: predecir espontaneidad</t>
        </is>
      </c>
      <c r="S981" s="39">
        <f>IFERROR(ISNUMBER(SEARCH("Conocer",$R981))/(ISNUMBER(SEARCH("Conocer",$R981))+ISNUMBER(SEARCH("Aplicar",$R981))+ISNUMBER(SEARCH("Razonar",$R981))),0)</f>
        <v/>
      </c>
      <c r="T981" s="39">
        <f>IFERROR(ISNUMBER(SEARCH("Aplicar",$R981))/(ISNUMBER(SEARCH("Conocer",$R981))+ISNUMBER(SEARCH("Aplicar",$R981))+ISNUMBER(SEARCH("Razonar",$R981))),0)</f>
        <v/>
      </c>
      <c r="U981" s="39">
        <f>IFERROR(ISNUMBER(SEARCH("Razonar",$R981))/(ISNUMBER(SEARCH("Conocer",$R981))+ISNUMBER(SEARCH("Aplicar",$R981))+ISNUMBER(SEARCH("Razonar",$R981))),0)</f>
        <v/>
      </c>
      <c r="V981" s="11" t="inlineStr">
        <is>
          <t>Química 10°</t>
        </is>
      </c>
      <c r="W981" s="11" t="inlineStr">
        <is>
          <t>Química 10°–11°</t>
        </is>
      </c>
      <c r="X981" s="11">
        <f>IF(OR(IFERROR(INDEX('Datos - Catálogo TIMSS'!$I$5:$I$107,MATCH(K981,'Datos - Catálogo TIMSS'!$A$5:$A$107,0)),"No")="Sí",IFERROR(INDEX('Datos - Catálogo TIMSS'!$I$5:$I$107,MATCH(L981,'Datos - Catálogo TIMSS'!$A$5:$A$107,0)),"No")="Sí"),1,0)</f>
        <v/>
      </c>
      <c r="Y981" s="11">
        <f>IF(IFERROR(INDEX('Datos - Catálogo TIMSS'!$J$5:$J$107,MATCH(K981,'Datos - Catálogo TIMSS'!$A$5:$A$107,0)),"No")="Sí",1,0)</f>
        <v/>
      </c>
      <c r="Z981" s="11">
        <f>IF(IFERROR(INDEX('Datos - Catálogo TIMSS'!$J$5:$J$107,MATCH(L981,'Datos - Catálogo TIMSS'!$A$5:$A$107,0)),"No")="Sí",1,0)</f>
        <v/>
      </c>
      <c r="AA981" s="11" t="inlineStr">
        <is>
          <t>N/A</t>
        </is>
      </c>
      <c r="AB981" s="11" t="inlineStr"/>
      <c r="AC981" s="11">
        <f>IF(AA981="FUERA","Fuera del marco",IF(AA981="N/A","Sin marco",IFERROR(INDEX('Datos - TIMSS 2023'!$C$5:$C$105,MATCH(AA981,'Datos - TIMSS 2023'!$A$5:$A$105,0)),"Pendiente de clasificar")))</f>
        <v/>
      </c>
      <c r="AD981" s="11" t="inlineStr">
        <is>
          <t>2. Construir y evaluar diseños para la indagación científica e interpretar datos y evidencia de forma crítica</t>
        </is>
      </c>
      <c r="AE981" s="11">
        <f>IF(AD981="","",IF(LEFT(AD981,1)="1","C1",IF(LEFT(AD981,1)="2","C2",IF(LEFT(AD981,1)="3","C3",""))))</f>
        <v/>
      </c>
      <c r="AF981" s="11" t="inlineStr">
        <is>
          <t>E1</t>
        </is>
      </c>
      <c r="AG981" s="11" t="inlineStr">
        <is>
          <t>D1</t>
        </is>
      </c>
      <c r="AH981" s="11" t="inlineStr">
        <is>
          <t>E1</t>
        </is>
      </c>
      <c r="AI981" s="11" t="inlineStr">
        <is>
          <t>D4</t>
        </is>
      </c>
      <c r="AJ981" s="11" t="inlineStr">
        <is>
          <t>E3</t>
        </is>
      </c>
      <c r="AK981" s="11" t="n"/>
      <c r="AL981" s="11" t="n"/>
      <c r="AM981" s="11" t="n"/>
      <c r="AN981" s="11" t="n"/>
      <c r="AO981" s="11" t="n"/>
      <c r="AP981" s="11" t="n"/>
      <c r="AQ981" s="11" t="n"/>
      <c r="AR981" s="11" t="n"/>
      <c r="AS981" s="11" t="n"/>
      <c r="AT981" s="11" t="n"/>
      <c r="AU981" s="11" t="n"/>
      <c r="AV981" s="11" t="n"/>
      <c r="AW981" s="11">
        <f>AF981&amp;"; "&amp;AG981&amp;"; "&amp;AH981&amp;"; "&amp;AI981&amp;"; "&amp;AJ981</f>
        <v/>
      </c>
    </row>
    <row r="982">
      <c r="A982" s="11" t="inlineStr">
        <is>
          <t>T0518-G10-QUÍ</t>
        </is>
      </c>
      <c r="B982" s="11" t="n">
        <v>10</v>
      </c>
      <c r="C982" s="11" t="inlineStr">
        <is>
          <t>Química</t>
        </is>
      </c>
      <c r="D982" s="11" t="inlineStr">
        <is>
          <t>Matriz_Bachillerato_Quimica_10_11.xlsx</t>
        </is>
      </c>
      <c r="E982" s="11" t="inlineStr">
        <is>
          <t>Química 10.°</t>
        </is>
      </c>
      <c r="F982" s="11" t="n">
        <v>91</v>
      </c>
      <c r="G982" s="11" t="inlineStr">
        <is>
          <t>11. Termodinámica en reacciones químicas</t>
        </is>
      </c>
      <c r="H982" s="11" t="inlineStr">
        <is>
          <t>Espontaneidad de los procesos</t>
        </is>
      </c>
      <c r="I982" s="38" t="inlineStr">
        <is>
          <t>11.7. Aplicación de la energía de Gibbs para predecir la espontaneidad de reacciones y determinar la temperatura a la que cambia su sentido.</t>
        </is>
      </c>
      <c r="J982" s="11" t="inlineStr">
        <is>
          <t>Sin marco</t>
        </is>
      </c>
      <c r="K982" s="11" t="inlineStr">
        <is>
          <t>N/A</t>
        </is>
      </c>
      <c r="L982" s="11" t="inlineStr"/>
      <c r="M982" s="11">
        <f>IF(K982="FUERA","Fuera del marco",IF(K982="N/A","Sin marco",IFERROR(INDEX('Datos - Catálogo TIMSS'!$C$5:$C$107,MATCH(K982,'Datos - Catálogo TIMSS'!$A$5:$A$107,0)),"Pendiente de clasificar")))</f>
        <v/>
      </c>
      <c r="N982" s="11">
        <f>IF(K982="FUERA","Fuera del marco",IF(K982="N/A","Sin marco",IFERROR(INDEX('Datos - Catálogo TIMSS'!$F$5:$F$107,MATCH(K982,'Datos - Catálogo TIMSS'!$A$5:$A$107,0)),"Pendiente de clasificar")))</f>
        <v/>
      </c>
      <c r="O982" s="11">
        <f>IF(L982="","",IFERROR(INDEX('Datos - Catálogo TIMSS'!$C$5:$C$107,MATCH(L982,'Datos - Catálogo TIMSS'!$A$5:$A$107,0)),"?"))</f>
        <v/>
      </c>
      <c r="P982" s="11" t="inlineStr">
        <is>
          <t>N/A</t>
        </is>
      </c>
      <c r="Q982" s="38" t="inlineStr">
        <is>
          <t>Sin marco TIMSS de contenido para esta asignatura en Bachillerato</t>
        </is>
      </c>
      <c r="R982" s="38" t="inlineStr">
        <is>
          <t>Aplicar: calcular ΔG° y temperatura de inversión. Razonar: justificar decisiones de proceso</t>
        </is>
      </c>
      <c r="S982" s="39">
        <f>IFERROR(ISNUMBER(SEARCH("Conocer",$R982))/(ISNUMBER(SEARCH("Conocer",$R982))+ISNUMBER(SEARCH("Aplicar",$R982))+ISNUMBER(SEARCH("Razonar",$R982))),0)</f>
        <v/>
      </c>
      <c r="T982" s="39">
        <f>IFERROR(ISNUMBER(SEARCH("Aplicar",$R982))/(ISNUMBER(SEARCH("Conocer",$R982))+ISNUMBER(SEARCH("Aplicar",$R982))+ISNUMBER(SEARCH("Razonar",$R982))),0)</f>
        <v/>
      </c>
      <c r="U982" s="39">
        <f>IFERROR(ISNUMBER(SEARCH("Razonar",$R982))/(ISNUMBER(SEARCH("Conocer",$R982))+ISNUMBER(SEARCH("Aplicar",$R982))+ISNUMBER(SEARCH("Razonar",$R982))),0)</f>
        <v/>
      </c>
      <c r="V982" s="11" t="inlineStr">
        <is>
          <t>Química 10°</t>
        </is>
      </c>
      <c r="W982" s="11" t="inlineStr">
        <is>
          <t>Química 10°–11°</t>
        </is>
      </c>
      <c r="X982" s="11">
        <f>IF(OR(IFERROR(INDEX('Datos - Catálogo TIMSS'!$I$5:$I$107,MATCH(K982,'Datos - Catálogo TIMSS'!$A$5:$A$107,0)),"No")="Sí",IFERROR(INDEX('Datos - Catálogo TIMSS'!$I$5:$I$107,MATCH(L982,'Datos - Catálogo TIMSS'!$A$5:$A$107,0)),"No")="Sí"),1,0)</f>
        <v/>
      </c>
      <c r="Y982" s="11">
        <f>IF(IFERROR(INDEX('Datos - Catálogo TIMSS'!$J$5:$J$107,MATCH(K982,'Datos - Catálogo TIMSS'!$A$5:$A$107,0)),"No")="Sí",1,0)</f>
        <v/>
      </c>
      <c r="Z982" s="11">
        <f>IF(IFERROR(INDEX('Datos - Catálogo TIMSS'!$J$5:$J$107,MATCH(L982,'Datos - Catálogo TIMSS'!$A$5:$A$107,0)),"No")="Sí",1,0)</f>
        <v/>
      </c>
      <c r="AA982" s="11" t="inlineStr">
        <is>
          <t>N/A</t>
        </is>
      </c>
      <c r="AB982" s="11" t="inlineStr"/>
      <c r="AC982" s="11">
        <f>IF(AA982="FUERA","Fuera del marco",IF(AA982="N/A","Sin marco",IFERROR(INDEX('Datos - TIMSS 2023'!$C$5:$C$105,MATCH(AA982,'Datos - TIMSS 2023'!$A$5:$A$105,0)),"Pendiente de clasificar")))</f>
        <v/>
      </c>
      <c r="AD982" s="11" t="inlineStr">
        <is>
          <t>3. Investigar, evaluar y usar información científica para tomar decisiones y actuar</t>
        </is>
      </c>
      <c r="AE982" s="11">
        <f>IF(AD982="","",IF(LEFT(AD982,1)="1","C1",IF(LEFT(AD982,1)="2","C2",IF(LEFT(AD982,1)="3","C3",""))))</f>
        <v/>
      </c>
      <c r="AF982" s="11" t="inlineStr">
        <is>
          <t>E6</t>
        </is>
      </c>
      <c r="AG982" s="11" t="inlineStr">
        <is>
          <t>E5</t>
        </is>
      </c>
      <c r="AH982" s="11" t="inlineStr">
        <is>
          <t>E2</t>
        </is>
      </c>
      <c r="AI982" s="11" t="inlineStr">
        <is>
          <t>I3</t>
        </is>
      </c>
      <c r="AJ982" s="11" t="inlineStr">
        <is>
          <t>I5</t>
        </is>
      </c>
      <c r="AK982" s="11" t="n"/>
      <c r="AL982" s="11" t="n"/>
      <c r="AM982" s="11" t="n"/>
      <c r="AN982" s="11" t="n"/>
      <c r="AO982" s="11" t="n"/>
      <c r="AP982" s="11" t="n"/>
      <c r="AQ982" s="11" t="n"/>
      <c r="AR982" s="11" t="n"/>
      <c r="AS982" s="11" t="n"/>
      <c r="AT982" s="11" t="n"/>
      <c r="AU982" s="11" t="n"/>
      <c r="AV982" s="11" t="n"/>
      <c r="AW982" s="11">
        <f>AF982&amp;"; "&amp;AG982&amp;"; "&amp;AH982&amp;"; "&amp;AI982&amp;"; "&amp;AJ982</f>
        <v/>
      </c>
    </row>
    <row r="983">
      <c r="A983" s="11" t="inlineStr">
        <is>
          <t>T0519-G10-QUÍ</t>
        </is>
      </c>
      <c r="B983" s="11" t="n">
        <v>10</v>
      </c>
      <c r="C983" s="11" t="inlineStr">
        <is>
          <t>Química</t>
        </is>
      </c>
      <c r="D983" s="11" t="inlineStr">
        <is>
          <t>Matriz_Bachillerato_Quimica_10_11.xlsx</t>
        </is>
      </c>
      <c r="E983" s="11" t="inlineStr">
        <is>
          <t>Química 10.°</t>
        </is>
      </c>
      <c r="F983" s="11" t="n">
        <v>92</v>
      </c>
      <c r="G983" s="11" t="inlineStr">
        <is>
          <t>12. Cinética y equilibrio químico</t>
        </is>
      </c>
      <c r="H983" s="11" t="inlineStr">
        <is>
          <t>Velocidad de reacción</t>
        </is>
      </c>
      <c r="I983" s="38" t="inlineStr">
        <is>
          <t>12.1. Cálculo de velocidades medias e instantáneas de reacción a partir de datos de concentración, volumen de gas o masa en función del tiempo.</t>
        </is>
      </c>
      <c r="J983" s="11" t="inlineStr">
        <is>
          <t>Sin marco</t>
        </is>
      </c>
      <c r="K983" s="11" t="inlineStr">
        <is>
          <t>N/A</t>
        </is>
      </c>
      <c r="L983" s="11" t="inlineStr"/>
      <c r="M983" s="11">
        <f>IF(K983="FUERA","Fuera del marco",IF(K983="N/A","Sin marco",IFERROR(INDEX('Datos - Catálogo TIMSS'!$C$5:$C$107,MATCH(K983,'Datos - Catálogo TIMSS'!$A$5:$A$107,0)),"Pendiente de clasificar")))</f>
        <v/>
      </c>
      <c r="N983" s="11">
        <f>IF(K983="FUERA","Fuera del marco",IF(K983="N/A","Sin marco",IFERROR(INDEX('Datos - Catálogo TIMSS'!$F$5:$F$107,MATCH(K983,'Datos - Catálogo TIMSS'!$A$5:$A$107,0)),"Pendiente de clasificar")))</f>
        <v/>
      </c>
      <c r="O983" s="11">
        <f>IF(L983="","",IFERROR(INDEX('Datos - Catálogo TIMSS'!$C$5:$C$107,MATCH(L983,'Datos - Catálogo TIMSS'!$A$5:$A$107,0)),"?"))</f>
        <v/>
      </c>
      <c r="P983" s="11" t="inlineStr">
        <is>
          <t>N/A</t>
        </is>
      </c>
      <c r="Q983" s="38" t="inlineStr">
        <is>
          <t>Sin marco TIMSS de contenido para esta asignatura en Bachillerato</t>
        </is>
      </c>
      <c r="R983" s="38" t="inlineStr">
        <is>
          <t>Aplicar: calcular velocidades medias e instantáneas. Razonar: interpretar la pendiente de una curva</t>
        </is>
      </c>
      <c r="S983" s="39">
        <f>IFERROR(ISNUMBER(SEARCH("Conocer",$R983))/(ISNUMBER(SEARCH("Conocer",$R983))+ISNUMBER(SEARCH("Aplicar",$R983))+ISNUMBER(SEARCH("Razonar",$R983))),0)</f>
        <v/>
      </c>
      <c r="T983" s="39">
        <f>IFERROR(ISNUMBER(SEARCH("Aplicar",$R983))/(ISNUMBER(SEARCH("Conocer",$R983))+ISNUMBER(SEARCH("Aplicar",$R983))+ISNUMBER(SEARCH("Razonar",$R983))),0)</f>
        <v/>
      </c>
      <c r="U983" s="39">
        <f>IFERROR(ISNUMBER(SEARCH("Razonar",$R983))/(ISNUMBER(SEARCH("Conocer",$R983))+ISNUMBER(SEARCH("Aplicar",$R983))+ISNUMBER(SEARCH("Razonar",$R983))),0)</f>
        <v/>
      </c>
      <c r="V983" s="11" t="inlineStr">
        <is>
          <t>Química 10°</t>
        </is>
      </c>
      <c r="W983" s="11" t="inlineStr">
        <is>
          <t>Química 10°–11°</t>
        </is>
      </c>
      <c r="X983" s="11">
        <f>IF(OR(IFERROR(INDEX('Datos - Catálogo TIMSS'!$I$5:$I$107,MATCH(K983,'Datos - Catálogo TIMSS'!$A$5:$A$107,0)),"No")="Sí",IFERROR(INDEX('Datos - Catálogo TIMSS'!$I$5:$I$107,MATCH(L983,'Datos - Catálogo TIMSS'!$A$5:$A$107,0)),"No")="Sí"),1,0)</f>
        <v/>
      </c>
      <c r="Y983" s="11">
        <f>IF(IFERROR(INDEX('Datos - Catálogo TIMSS'!$J$5:$J$107,MATCH(K983,'Datos - Catálogo TIMSS'!$A$5:$A$107,0)),"No")="Sí",1,0)</f>
        <v/>
      </c>
      <c r="Z983" s="11">
        <f>IF(IFERROR(INDEX('Datos - Catálogo TIMSS'!$J$5:$J$107,MATCH(L983,'Datos - Catálogo TIMSS'!$A$5:$A$107,0)),"No")="Sí",1,0)</f>
        <v/>
      </c>
      <c r="AA983" s="11" t="inlineStr">
        <is>
          <t>N/A</t>
        </is>
      </c>
      <c r="AB983" s="11" t="inlineStr"/>
      <c r="AC983" s="11">
        <f>IF(AA983="FUERA","Fuera del marco",IF(AA983="N/A","Sin marco",IFERROR(INDEX('Datos - TIMSS 2023'!$C$5:$C$105,MATCH(AA983,'Datos - TIMSS 2023'!$A$5:$A$105,0)),"Pendiente de clasificar")))</f>
        <v/>
      </c>
      <c r="AD983" s="11" t="inlineStr">
        <is>
          <t>2. Construir y evaluar diseños para la indagación científica e interpretar datos y evidencia de forma crítica</t>
        </is>
      </c>
      <c r="AE983" s="11">
        <f>IF(AD983="","",IF(LEFT(AD983,1)="1","C1",IF(LEFT(AD983,1)="2","C2",IF(LEFT(AD983,1)="3","C3",""))))</f>
        <v/>
      </c>
      <c r="AF983" s="11" t="inlineStr">
        <is>
          <t>E1</t>
        </is>
      </c>
      <c r="AG983" s="11" t="inlineStr">
        <is>
          <t>D1</t>
        </is>
      </c>
      <c r="AH983" s="11" t="inlineStr">
        <is>
          <t>E2</t>
        </is>
      </c>
      <c r="AI983" s="11" t="inlineStr">
        <is>
          <t>D4</t>
        </is>
      </c>
      <c r="AJ983" s="11" t="inlineStr">
        <is>
          <t>E3</t>
        </is>
      </c>
      <c r="AK983" s="11" t="n"/>
      <c r="AL983" s="11" t="n"/>
      <c r="AM983" s="11" t="n"/>
      <c r="AN983" s="11" t="n"/>
      <c r="AO983" s="11" t="n"/>
      <c r="AP983" s="11" t="n"/>
      <c r="AQ983" s="11" t="n"/>
      <c r="AR983" s="11" t="n"/>
      <c r="AS983" s="11" t="n"/>
      <c r="AT983" s="11" t="n"/>
      <c r="AU983" s="11" t="n"/>
      <c r="AV983" s="11" t="n"/>
      <c r="AW983" s="11">
        <f>AF983&amp;"; "&amp;AG983&amp;"; "&amp;AH983&amp;"; "&amp;AI983&amp;"; "&amp;AJ983</f>
        <v/>
      </c>
    </row>
    <row r="984">
      <c r="A984" s="11" t="inlineStr">
        <is>
          <t>T0520-G10-QUÍ</t>
        </is>
      </c>
      <c r="B984" s="11" t="n">
        <v>10</v>
      </c>
      <c r="C984" s="11" t="inlineStr">
        <is>
          <t>Química</t>
        </is>
      </c>
      <c r="D984" s="11" t="inlineStr">
        <is>
          <t>Matriz_Bachillerato_Quimica_10_11.xlsx</t>
        </is>
      </c>
      <c r="E984" s="11" t="inlineStr">
        <is>
          <t>Química 10.°</t>
        </is>
      </c>
      <c r="F984" s="11" t="n">
        <v>93</v>
      </c>
      <c r="G984" s="11" t="inlineStr">
        <is>
          <t>12. Cinética y equilibrio químico</t>
        </is>
      </c>
      <c r="H984" s="11" t="inlineStr">
        <is>
          <t>Velocidad de reacción</t>
        </is>
      </c>
      <c r="I984" s="38" t="inlineStr">
        <is>
          <t>12.2. Determinación de la ley de velocidad y de los órdenes de reacción mediante el método de las velocidades iniciales.</t>
        </is>
      </c>
      <c r="J984" s="11" t="inlineStr">
        <is>
          <t>Sin marco</t>
        </is>
      </c>
      <c r="K984" s="11" t="inlineStr">
        <is>
          <t>N/A</t>
        </is>
      </c>
      <c r="L984" s="11" t="inlineStr"/>
      <c r="M984" s="11">
        <f>IF(K984="FUERA","Fuera del marco",IF(K984="N/A","Sin marco",IFERROR(INDEX('Datos - Catálogo TIMSS'!$C$5:$C$107,MATCH(K984,'Datos - Catálogo TIMSS'!$A$5:$A$107,0)),"Pendiente de clasificar")))</f>
        <v/>
      </c>
      <c r="N984" s="11">
        <f>IF(K984="FUERA","Fuera del marco",IF(K984="N/A","Sin marco",IFERROR(INDEX('Datos - Catálogo TIMSS'!$F$5:$F$107,MATCH(K984,'Datos - Catálogo TIMSS'!$A$5:$A$107,0)),"Pendiente de clasificar")))</f>
        <v/>
      </c>
      <c r="O984" s="11">
        <f>IF(L984="","",IFERROR(INDEX('Datos - Catálogo TIMSS'!$C$5:$C$107,MATCH(L984,'Datos - Catálogo TIMSS'!$A$5:$A$107,0)),"?"))</f>
        <v/>
      </c>
      <c r="P984" s="11" t="inlineStr">
        <is>
          <t>N/A</t>
        </is>
      </c>
      <c r="Q984" s="38" t="inlineStr">
        <is>
          <t>Sin marco TIMSS de contenido para esta asignatura en Bachillerato</t>
        </is>
      </c>
      <c r="R984" s="38" t="inlineStr">
        <is>
          <t>Aplicar: determinar órdenes y constantes de velocidad. Razonar: justificar el carácter experimental de la ley de velocidad</t>
        </is>
      </c>
      <c r="S984" s="39">
        <f>IFERROR(ISNUMBER(SEARCH("Conocer",$R984))/(ISNUMBER(SEARCH("Conocer",$R984))+ISNUMBER(SEARCH("Aplicar",$R984))+ISNUMBER(SEARCH("Razonar",$R984))),0)</f>
        <v/>
      </c>
      <c r="T984" s="39">
        <f>IFERROR(ISNUMBER(SEARCH("Aplicar",$R984))/(ISNUMBER(SEARCH("Conocer",$R984))+ISNUMBER(SEARCH("Aplicar",$R984))+ISNUMBER(SEARCH("Razonar",$R984))),0)</f>
        <v/>
      </c>
      <c r="U984" s="39">
        <f>IFERROR(ISNUMBER(SEARCH("Razonar",$R984))/(ISNUMBER(SEARCH("Conocer",$R984))+ISNUMBER(SEARCH("Aplicar",$R984))+ISNUMBER(SEARCH("Razonar",$R984))),0)</f>
        <v/>
      </c>
      <c r="V984" s="11" t="inlineStr">
        <is>
          <t>Química 10°</t>
        </is>
      </c>
      <c r="W984" s="11" t="inlineStr">
        <is>
          <t>Química 10°–11°</t>
        </is>
      </c>
      <c r="X984" s="11">
        <f>IF(OR(IFERROR(INDEX('Datos - Catálogo TIMSS'!$I$5:$I$107,MATCH(K984,'Datos - Catálogo TIMSS'!$A$5:$A$107,0)),"No")="Sí",IFERROR(INDEX('Datos - Catálogo TIMSS'!$I$5:$I$107,MATCH(L984,'Datos - Catálogo TIMSS'!$A$5:$A$107,0)),"No")="Sí"),1,0)</f>
        <v/>
      </c>
      <c r="Y984" s="11">
        <f>IF(IFERROR(INDEX('Datos - Catálogo TIMSS'!$J$5:$J$107,MATCH(K984,'Datos - Catálogo TIMSS'!$A$5:$A$107,0)),"No")="Sí",1,0)</f>
        <v/>
      </c>
      <c r="Z984" s="11">
        <f>IF(IFERROR(INDEX('Datos - Catálogo TIMSS'!$J$5:$J$107,MATCH(L984,'Datos - Catálogo TIMSS'!$A$5:$A$107,0)),"No")="Sí",1,0)</f>
        <v/>
      </c>
      <c r="AA984" s="11" t="inlineStr">
        <is>
          <t>N/A</t>
        </is>
      </c>
      <c r="AB984" s="11" t="inlineStr"/>
      <c r="AC984" s="11">
        <f>IF(AA984="FUERA","Fuera del marco",IF(AA984="N/A","Sin marco",IFERROR(INDEX('Datos - TIMSS 2023'!$C$5:$C$105,MATCH(AA984,'Datos - TIMSS 2023'!$A$5:$A$105,0)),"Pendiente de clasificar")))</f>
        <v/>
      </c>
      <c r="AD984" s="11" t="inlineStr">
        <is>
          <t>1. Explicar fenómenos científicamente</t>
        </is>
      </c>
      <c r="AE984" s="11">
        <f>IF(AD984="","",IF(LEFT(AD984,1)="1","C1",IF(LEFT(AD984,1)="2","C2",IF(LEFT(AD984,1)="3","C3",""))))</f>
        <v/>
      </c>
      <c r="AF984" s="11" t="inlineStr">
        <is>
          <t>E1</t>
        </is>
      </c>
      <c r="AG984" s="11" t="inlineStr">
        <is>
          <t>E3</t>
        </is>
      </c>
      <c r="AH984" s="11" t="inlineStr">
        <is>
          <t>E1</t>
        </is>
      </c>
      <c r="AI984" s="11" t="inlineStr">
        <is>
          <t>D4</t>
        </is>
      </c>
      <c r="AJ984" s="11" t="inlineStr">
        <is>
          <t>I4</t>
        </is>
      </c>
      <c r="AK984" s="11" t="n"/>
      <c r="AL984" s="11" t="n"/>
      <c r="AM984" s="11" t="n"/>
      <c r="AN984" s="11" t="n"/>
      <c r="AO984" s="11" t="n"/>
      <c r="AP984" s="11" t="n"/>
      <c r="AQ984" s="11" t="n"/>
      <c r="AR984" s="11" t="n"/>
      <c r="AS984" s="11" t="n"/>
      <c r="AT984" s="11" t="n"/>
      <c r="AU984" s="11" t="n"/>
      <c r="AV984" s="11" t="n"/>
      <c r="AW984" s="11">
        <f>AF984&amp;"; "&amp;AG984&amp;"; "&amp;AH984&amp;"; "&amp;AI984&amp;"; "&amp;AJ984</f>
        <v/>
      </c>
    </row>
    <row r="985">
      <c r="A985" s="11" t="inlineStr">
        <is>
          <t>T0521-G10-QUÍ</t>
        </is>
      </c>
      <c r="B985" s="11" t="n">
        <v>10</v>
      </c>
      <c r="C985" s="11" t="inlineStr">
        <is>
          <t>Química</t>
        </is>
      </c>
      <c r="D985" s="11" t="inlineStr">
        <is>
          <t>Matriz_Bachillerato_Quimica_10_11.xlsx</t>
        </is>
      </c>
      <c r="E985" s="11" t="inlineStr">
        <is>
          <t>Química 10.°</t>
        </is>
      </c>
      <c r="F985" s="11" t="n">
        <v>94</v>
      </c>
      <c r="G985" s="11" t="inlineStr">
        <is>
          <t>12. Cinética y equilibrio químico</t>
        </is>
      </c>
      <c r="H985" s="11" t="inlineStr">
        <is>
          <t>Velocidad de reacción</t>
        </is>
      </c>
      <c r="I985" s="38" t="inlineStr">
        <is>
          <t>12.3. Análisis gráfico de la concentración en función del tiempo mediante las leyes integradas de velocidad y cálculo de la semivida.</t>
        </is>
      </c>
      <c r="J985" s="11" t="inlineStr">
        <is>
          <t>Sin marco</t>
        </is>
      </c>
      <c r="K985" s="11" t="inlineStr">
        <is>
          <t>N/A</t>
        </is>
      </c>
      <c r="L985" s="11" t="inlineStr"/>
      <c r="M985" s="11">
        <f>IF(K985="FUERA","Fuera del marco",IF(K985="N/A","Sin marco",IFERROR(INDEX('Datos - Catálogo TIMSS'!$C$5:$C$107,MATCH(K985,'Datos - Catálogo TIMSS'!$A$5:$A$107,0)),"Pendiente de clasificar")))</f>
        <v/>
      </c>
      <c r="N985" s="11">
        <f>IF(K985="FUERA","Fuera del marco",IF(K985="N/A","Sin marco",IFERROR(INDEX('Datos - Catálogo TIMSS'!$F$5:$F$107,MATCH(K985,'Datos - Catálogo TIMSS'!$A$5:$A$107,0)),"Pendiente de clasificar")))</f>
        <v/>
      </c>
      <c r="O985" s="11">
        <f>IF(L985="","",IFERROR(INDEX('Datos - Catálogo TIMSS'!$C$5:$C$107,MATCH(L985,'Datos - Catálogo TIMSS'!$A$5:$A$107,0)),"?"))</f>
        <v/>
      </c>
      <c r="P985" s="11" t="inlineStr">
        <is>
          <t>N/A</t>
        </is>
      </c>
      <c r="Q985" s="38" t="inlineStr">
        <is>
          <t>Sin marco TIMSS de contenido para esta asignatura en Bachillerato</t>
        </is>
      </c>
      <c r="R985" s="38" t="inlineStr">
        <is>
          <t>Aplicar: linealizar datos y calcular semividas. Razonar: decidir el orden a partir de gráficas</t>
        </is>
      </c>
      <c r="S985" s="39">
        <f>IFERROR(ISNUMBER(SEARCH("Conocer",$R985))/(ISNUMBER(SEARCH("Conocer",$R985))+ISNUMBER(SEARCH("Aplicar",$R985))+ISNUMBER(SEARCH("Razonar",$R985))),0)</f>
        <v/>
      </c>
      <c r="T985" s="39">
        <f>IFERROR(ISNUMBER(SEARCH("Aplicar",$R985))/(ISNUMBER(SEARCH("Conocer",$R985))+ISNUMBER(SEARCH("Aplicar",$R985))+ISNUMBER(SEARCH("Razonar",$R985))),0)</f>
        <v/>
      </c>
      <c r="U985" s="39">
        <f>IFERROR(ISNUMBER(SEARCH("Razonar",$R985))/(ISNUMBER(SEARCH("Conocer",$R985))+ISNUMBER(SEARCH("Aplicar",$R985))+ISNUMBER(SEARCH("Razonar",$R985))),0)</f>
        <v/>
      </c>
      <c r="V985" s="11" t="inlineStr">
        <is>
          <t>Química 10°</t>
        </is>
      </c>
      <c r="W985" s="11" t="inlineStr">
        <is>
          <t>Química 10°–11°</t>
        </is>
      </c>
      <c r="X985" s="11">
        <f>IF(OR(IFERROR(INDEX('Datos - Catálogo TIMSS'!$I$5:$I$107,MATCH(K985,'Datos - Catálogo TIMSS'!$A$5:$A$107,0)),"No")="Sí",IFERROR(INDEX('Datos - Catálogo TIMSS'!$I$5:$I$107,MATCH(L985,'Datos - Catálogo TIMSS'!$A$5:$A$107,0)),"No")="Sí"),1,0)</f>
        <v/>
      </c>
      <c r="Y985" s="11">
        <f>IF(IFERROR(INDEX('Datos - Catálogo TIMSS'!$J$5:$J$107,MATCH(K985,'Datos - Catálogo TIMSS'!$A$5:$A$107,0)),"No")="Sí",1,0)</f>
        <v/>
      </c>
      <c r="Z985" s="11">
        <f>IF(IFERROR(INDEX('Datos - Catálogo TIMSS'!$J$5:$J$107,MATCH(L985,'Datos - Catálogo TIMSS'!$A$5:$A$107,0)),"No")="Sí",1,0)</f>
        <v/>
      </c>
      <c r="AA985" s="11" t="inlineStr">
        <is>
          <t>N/A</t>
        </is>
      </c>
      <c r="AB985" s="11" t="inlineStr"/>
      <c r="AC985" s="11">
        <f>IF(AA985="FUERA","Fuera del marco",IF(AA985="N/A","Sin marco",IFERROR(INDEX('Datos - TIMSS 2023'!$C$5:$C$105,MATCH(AA985,'Datos - TIMSS 2023'!$A$5:$A$105,0)),"Pendiente de clasificar")))</f>
        <v/>
      </c>
      <c r="AD985" s="11" t="inlineStr">
        <is>
          <t>1. Explicar fenómenos científicamente</t>
        </is>
      </c>
      <c r="AE985" s="11">
        <f>IF(AD985="","",IF(LEFT(AD985,1)="1","C1",IF(LEFT(AD985,1)="2","C2",IF(LEFT(AD985,1)="3","C3",""))))</f>
        <v/>
      </c>
      <c r="AF985" s="11" t="inlineStr">
        <is>
          <t>E6</t>
        </is>
      </c>
      <c r="AG985" s="11" t="inlineStr">
        <is>
          <t>E5</t>
        </is>
      </c>
      <c r="AH985" s="11" t="inlineStr">
        <is>
          <t>E2</t>
        </is>
      </c>
      <c r="AI985" s="11" t="inlineStr">
        <is>
          <t>D4</t>
        </is>
      </c>
      <c r="AJ985" s="11" t="inlineStr">
        <is>
          <t>E3</t>
        </is>
      </c>
      <c r="AK985" s="11" t="n"/>
      <c r="AL985" s="11" t="n"/>
      <c r="AM985" s="11" t="n"/>
      <c r="AN985" s="11" t="n"/>
      <c r="AO985" s="11" t="n"/>
      <c r="AP985" s="11" t="n"/>
      <c r="AQ985" s="11" t="n"/>
      <c r="AR985" s="11" t="n"/>
      <c r="AS985" s="11" t="n"/>
      <c r="AT985" s="11" t="n"/>
      <c r="AU985" s="11" t="n"/>
      <c r="AV985" s="11" t="n"/>
      <c r="AW985" s="11">
        <f>AF985&amp;"; "&amp;AG985&amp;"; "&amp;AH985&amp;"; "&amp;AI985&amp;"; "&amp;AJ985</f>
        <v/>
      </c>
    </row>
    <row r="986">
      <c r="A986" s="11" t="inlineStr">
        <is>
          <t>T0522-G10-QUÍ</t>
        </is>
      </c>
      <c r="B986" s="11" t="n">
        <v>10</v>
      </c>
      <c r="C986" s="11" t="inlineStr">
        <is>
          <t>Química</t>
        </is>
      </c>
      <c r="D986" s="11" t="inlineStr">
        <is>
          <t>Matriz_Bachillerato_Quimica_10_11.xlsx</t>
        </is>
      </c>
      <c r="E986" s="11" t="inlineStr">
        <is>
          <t>Química 10.°</t>
        </is>
      </c>
      <c r="F986" s="11" t="n">
        <v>95</v>
      </c>
      <c r="G986" s="11" t="inlineStr">
        <is>
          <t>12. Cinética y equilibrio químico</t>
        </is>
      </c>
      <c r="H986" s="11" t="inlineStr">
        <is>
          <t>Modelos de la velocidad de reacción</t>
        </is>
      </c>
      <c r="I986" s="38" t="inlineStr">
        <is>
          <t>12.4. Interpretación de la teoría de las colisiones y del complejo activado mediante diagramas de energía potencial y simulaciones.</t>
        </is>
      </c>
      <c r="J986" s="11" t="inlineStr">
        <is>
          <t>Sin marco</t>
        </is>
      </c>
      <c r="K986" s="11" t="inlineStr">
        <is>
          <t>N/A</t>
        </is>
      </c>
      <c r="L986" s="11" t="inlineStr"/>
      <c r="M986" s="11">
        <f>IF(K986="FUERA","Fuera del marco",IF(K986="N/A","Sin marco",IFERROR(INDEX('Datos - Catálogo TIMSS'!$C$5:$C$107,MATCH(K986,'Datos - Catálogo TIMSS'!$A$5:$A$107,0)),"Pendiente de clasificar")))</f>
        <v/>
      </c>
      <c r="N986" s="11">
        <f>IF(K986="FUERA","Fuera del marco",IF(K986="N/A","Sin marco",IFERROR(INDEX('Datos - Catálogo TIMSS'!$F$5:$F$107,MATCH(K986,'Datos - Catálogo TIMSS'!$A$5:$A$107,0)),"Pendiente de clasificar")))</f>
        <v/>
      </c>
      <c r="O986" s="11">
        <f>IF(L986="","",IFERROR(INDEX('Datos - Catálogo TIMSS'!$C$5:$C$107,MATCH(L986,'Datos - Catálogo TIMSS'!$A$5:$A$107,0)),"?"))</f>
        <v/>
      </c>
      <c r="P986" s="11" t="inlineStr">
        <is>
          <t>N/A</t>
        </is>
      </c>
      <c r="Q986" s="38" t="inlineStr">
        <is>
          <t>Sin marco TIMSS de contenido para esta asignatura en Bachillerato</t>
        </is>
      </c>
      <c r="R986" s="38" t="inlineStr">
        <is>
          <t>Conocer: describir modelos de reacción. Aplicar: interpretar diagramas de energía. Razonar: explicar choques eficaces</t>
        </is>
      </c>
      <c r="S986" s="39">
        <f>IFERROR(ISNUMBER(SEARCH("Conocer",$R986))/(ISNUMBER(SEARCH("Conocer",$R986))+ISNUMBER(SEARCH("Aplicar",$R986))+ISNUMBER(SEARCH("Razonar",$R986))),0)</f>
        <v/>
      </c>
      <c r="T986" s="39">
        <f>IFERROR(ISNUMBER(SEARCH("Aplicar",$R986))/(ISNUMBER(SEARCH("Conocer",$R986))+ISNUMBER(SEARCH("Aplicar",$R986))+ISNUMBER(SEARCH("Razonar",$R986))),0)</f>
        <v/>
      </c>
      <c r="U986" s="39">
        <f>IFERROR(ISNUMBER(SEARCH("Razonar",$R986))/(ISNUMBER(SEARCH("Conocer",$R986))+ISNUMBER(SEARCH("Aplicar",$R986))+ISNUMBER(SEARCH("Razonar",$R986))),0)</f>
        <v/>
      </c>
      <c r="V986" s="11" t="inlineStr">
        <is>
          <t>Química 10°</t>
        </is>
      </c>
      <c r="W986" s="11" t="inlineStr">
        <is>
          <t>Química 10°–11°</t>
        </is>
      </c>
      <c r="X986" s="11">
        <f>IF(OR(IFERROR(INDEX('Datos - Catálogo TIMSS'!$I$5:$I$107,MATCH(K986,'Datos - Catálogo TIMSS'!$A$5:$A$107,0)),"No")="Sí",IFERROR(INDEX('Datos - Catálogo TIMSS'!$I$5:$I$107,MATCH(L986,'Datos - Catálogo TIMSS'!$A$5:$A$107,0)),"No")="Sí"),1,0)</f>
        <v/>
      </c>
      <c r="Y986" s="11">
        <f>IF(IFERROR(INDEX('Datos - Catálogo TIMSS'!$J$5:$J$107,MATCH(K986,'Datos - Catálogo TIMSS'!$A$5:$A$107,0)),"No")="Sí",1,0)</f>
        <v/>
      </c>
      <c r="Z986" s="11">
        <f>IF(IFERROR(INDEX('Datos - Catálogo TIMSS'!$J$5:$J$107,MATCH(L986,'Datos - Catálogo TIMSS'!$A$5:$A$107,0)),"No")="Sí",1,0)</f>
        <v/>
      </c>
      <c r="AA986" s="11" t="inlineStr">
        <is>
          <t>N/A</t>
        </is>
      </c>
      <c r="AB986" s="11" t="inlineStr"/>
      <c r="AC986" s="11">
        <f>IF(AA986="FUERA","Fuera del marco",IF(AA986="N/A","Sin marco",IFERROR(INDEX('Datos - TIMSS 2023'!$C$5:$C$105,MATCH(AA986,'Datos - TIMSS 2023'!$A$5:$A$105,0)),"Pendiente de clasificar")))</f>
        <v/>
      </c>
      <c r="AD986" s="11" t="inlineStr">
        <is>
          <t>1. Explicar fenómenos científicamente</t>
        </is>
      </c>
      <c r="AE986" s="11">
        <f>IF(AD986="","",IF(LEFT(AD986,1)="1","C1",IF(LEFT(AD986,1)="2","C2",IF(LEFT(AD986,1)="3","C3",""))))</f>
        <v/>
      </c>
      <c r="AF986" s="11" t="inlineStr">
        <is>
          <t>E1</t>
        </is>
      </c>
      <c r="AG986" s="11" t="inlineStr">
        <is>
          <t>E5</t>
        </is>
      </c>
      <c r="AH986" s="11" t="inlineStr">
        <is>
          <t>E4</t>
        </is>
      </c>
      <c r="AI986" s="11" t="inlineStr">
        <is>
          <t>D2</t>
        </is>
      </c>
      <c r="AJ986" s="11" t="inlineStr">
        <is>
          <t>E3</t>
        </is>
      </c>
      <c r="AK986" s="11" t="n"/>
      <c r="AL986" s="11" t="n"/>
      <c r="AM986" s="11" t="n"/>
      <c r="AN986" s="11" t="n"/>
      <c r="AO986" s="11" t="n"/>
      <c r="AP986" s="11" t="n"/>
      <c r="AQ986" s="11" t="n"/>
      <c r="AR986" s="11" t="n"/>
      <c r="AS986" s="11" t="n"/>
      <c r="AT986" s="11" t="n"/>
      <c r="AU986" s="11" t="n"/>
      <c r="AV986" s="11" t="n"/>
      <c r="AW986" s="11">
        <f>AF986&amp;"; "&amp;AG986&amp;"; "&amp;AH986&amp;"; "&amp;AI986&amp;"; "&amp;AJ986</f>
        <v/>
      </c>
    </row>
    <row r="987">
      <c r="A987" s="11" t="inlineStr">
        <is>
          <t>T0523-G10-QUÍ</t>
        </is>
      </c>
      <c r="B987" s="11" t="n">
        <v>10</v>
      </c>
      <c r="C987" s="11" t="inlineStr">
        <is>
          <t>Química</t>
        </is>
      </c>
      <c r="D987" s="11" t="inlineStr">
        <is>
          <t>Matriz_Bachillerato_Quimica_10_11.xlsx</t>
        </is>
      </c>
      <c r="E987" s="11" t="inlineStr">
        <is>
          <t>Química 10.°</t>
        </is>
      </c>
      <c r="F987" s="11" t="n">
        <v>96</v>
      </c>
      <c r="G987" s="11" t="inlineStr">
        <is>
          <t>12. Cinética y equilibrio químico</t>
        </is>
      </c>
      <c r="H987" s="11" t="inlineStr">
        <is>
          <t>Modelos de la velocidad de reacción</t>
        </is>
      </c>
      <c r="I987" s="38" t="inlineStr">
        <is>
          <t>12.5. Análisis de mecanismos de reacción y deducción de la ley de velocidad a partir de la etapa determinante.</t>
        </is>
      </c>
      <c r="J987" s="11" t="inlineStr">
        <is>
          <t>Sin marco</t>
        </is>
      </c>
      <c r="K987" s="11" t="inlineStr">
        <is>
          <t>N/A</t>
        </is>
      </c>
      <c r="L987" s="11" t="inlineStr"/>
      <c r="M987" s="11">
        <f>IF(K987="FUERA","Fuera del marco",IF(K987="N/A","Sin marco",IFERROR(INDEX('Datos - Catálogo TIMSS'!$C$5:$C$107,MATCH(K987,'Datos - Catálogo TIMSS'!$A$5:$A$107,0)),"Pendiente de clasificar")))</f>
        <v/>
      </c>
      <c r="N987" s="11">
        <f>IF(K987="FUERA","Fuera del marco",IF(K987="N/A","Sin marco",IFERROR(INDEX('Datos - Catálogo TIMSS'!$F$5:$F$107,MATCH(K987,'Datos - Catálogo TIMSS'!$A$5:$A$107,0)),"Pendiente de clasificar")))</f>
        <v/>
      </c>
      <c r="O987" s="11">
        <f>IF(L987="","",IFERROR(INDEX('Datos - Catálogo TIMSS'!$C$5:$C$107,MATCH(L987,'Datos - Catálogo TIMSS'!$A$5:$A$107,0)),"?"))</f>
        <v/>
      </c>
      <c r="P987" s="11" t="inlineStr">
        <is>
          <t>N/A</t>
        </is>
      </c>
      <c r="Q987" s="38" t="inlineStr">
        <is>
          <t>Sin marco TIMSS de contenido para esta asignatura en Bachillerato</t>
        </is>
      </c>
      <c r="R987" s="38" t="inlineStr">
        <is>
          <t>Aplicar: deducir leyes de velocidad desde mecanismos. Razonar: evaluar mecanismos con datos</t>
        </is>
      </c>
      <c r="S987" s="39">
        <f>IFERROR(ISNUMBER(SEARCH("Conocer",$R987))/(ISNUMBER(SEARCH("Conocer",$R987))+ISNUMBER(SEARCH("Aplicar",$R987))+ISNUMBER(SEARCH("Razonar",$R987))),0)</f>
        <v/>
      </c>
      <c r="T987" s="39">
        <f>IFERROR(ISNUMBER(SEARCH("Aplicar",$R987))/(ISNUMBER(SEARCH("Conocer",$R987))+ISNUMBER(SEARCH("Aplicar",$R987))+ISNUMBER(SEARCH("Razonar",$R987))),0)</f>
        <v/>
      </c>
      <c r="U987" s="39">
        <f>IFERROR(ISNUMBER(SEARCH("Razonar",$R987))/(ISNUMBER(SEARCH("Conocer",$R987))+ISNUMBER(SEARCH("Aplicar",$R987))+ISNUMBER(SEARCH("Razonar",$R987))),0)</f>
        <v/>
      </c>
      <c r="V987" s="11" t="inlineStr">
        <is>
          <t>Química 10°</t>
        </is>
      </c>
      <c r="W987" s="11" t="inlineStr">
        <is>
          <t>Química 10°–11°</t>
        </is>
      </c>
      <c r="X987" s="11">
        <f>IF(OR(IFERROR(INDEX('Datos - Catálogo TIMSS'!$I$5:$I$107,MATCH(K987,'Datos - Catálogo TIMSS'!$A$5:$A$107,0)),"No")="Sí",IFERROR(INDEX('Datos - Catálogo TIMSS'!$I$5:$I$107,MATCH(L987,'Datos - Catálogo TIMSS'!$A$5:$A$107,0)),"No")="Sí"),1,0)</f>
        <v/>
      </c>
      <c r="Y987" s="11">
        <f>IF(IFERROR(INDEX('Datos - Catálogo TIMSS'!$J$5:$J$107,MATCH(K987,'Datos - Catálogo TIMSS'!$A$5:$A$107,0)),"No")="Sí",1,0)</f>
        <v/>
      </c>
      <c r="Z987" s="11">
        <f>IF(IFERROR(INDEX('Datos - Catálogo TIMSS'!$J$5:$J$107,MATCH(L987,'Datos - Catálogo TIMSS'!$A$5:$A$107,0)),"No")="Sí",1,0)</f>
        <v/>
      </c>
      <c r="AA987" s="11" t="inlineStr">
        <is>
          <t>N/A</t>
        </is>
      </c>
      <c r="AB987" s="11" t="inlineStr"/>
      <c r="AC987" s="11">
        <f>IF(AA987="FUERA","Fuera del marco",IF(AA987="N/A","Sin marco",IFERROR(INDEX('Datos - TIMSS 2023'!$C$5:$C$105,MATCH(AA987,'Datos - TIMSS 2023'!$A$5:$A$105,0)),"Pendiente de clasificar")))</f>
        <v/>
      </c>
      <c r="AD987" s="11" t="inlineStr">
        <is>
          <t>3. Investigar, evaluar y usar información científica para tomar decisiones y actuar</t>
        </is>
      </c>
      <c r="AE987" s="11">
        <f>IF(AD987="","",IF(LEFT(AD987,1)="1","C1",IF(LEFT(AD987,1)="2","C2",IF(LEFT(AD987,1)="3","C3",""))))</f>
        <v/>
      </c>
      <c r="AF987" s="11" t="inlineStr">
        <is>
          <t>E1</t>
        </is>
      </c>
      <c r="AG987" s="11" t="inlineStr">
        <is>
          <t>D1</t>
        </is>
      </c>
      <c r="AH987" s="11" t="inlineStr">
        <is>
          <t>E4</t>
        </is>
      </c>
      <c r="AI987" s="11" t="inlineStr">
        <is>
          <t>I3</t>
        </is>
      </c>
      <c r="AJ987" s="11" t="inlineStr">
        <is>
          <t>I4</t>
        </is>
      </c>
      <c r="AK987" s="11" t="n"/>
      <c r="AL987" s="11" t="n"/>
      <c r="AM987" s="11" t="n"/>
      <c r="AN987" s="11" t="n"/>
      <c r="AO987" s="11" t="n"/>
      <c r="AP987" s="11" t="n"/>
      <c r="AQ987" s="11" t="n"/>
      <c r="AR987" s="11" t="n"/>
      <c r="AS987" s="11" t="n"/>
      <c r="AT987" s="11" t="n"/>
      <c r="AU987" s="11" t="n"/>
      <c r="AV987" s="11" t="n"/>
      <c r="AW987" s="11">
        <f>AF987&amp;"; "&amp;AG987&amp;"; "&amp;AH987&amp;"; "&amp;AI987&amp;"; "&amp;AJ987</f>
        <v/>
      </c>
    </row>
    <row r="988">
      <c r="A988" s="11" t="inlineStr">
        <is>
          <t>T0524-G10-QUÍ</t>
        </is>
      </c>
      <c r="B988" s="11" t="n">
        <v>10</v>
      </c>
      <c r="C988" s="11" t="inlineStr">
        <is>
          <t>Química</t>
        </is>
      </c>
      <c r="D988" s="11" t="inlineStr">
        <is>
          <t>Matriz_Bachillerato_Quimica_10_11.xlsx</t>
        </is>
      </c>
      <c r="E988" s="11" t="inlineStr">
        <is>
          <t>Química 10.°</t>
        </is>
      </c>
      <c r="F988" s="11" t="n">
        <v>97</v>
      </c>
      <c r="G988" s="11" t="inlineStr">
        <is>
          <t>12. Cinética y equilibrio químico</t>
        </is>
      </c>
      <c r="H988" s="11" t="inlineStr">
        <is>
          <t>Factores que modifican la velocidad</t>
        </is>
      </c>
      <c r="I988" s="38" t="inlineStr">
        <is>
          <t>12.6. Determinación experimental de la energía de activación mediante la ecuación de Arrhenius y la gráfica de ln k contra 1/T.</t>
        </is>
      </c>
      <c r="J988" s="11" t="inlineStr">
        <is>
          <t>Sin marco</t>
        </is>
      </c>
      <c r="K988" s="11" t="inlineStr">
        <is>
          <t>N/A</t>
        </is>
      </c>
      <c r="L988" s="11" t="inlineStr"/>
      <c r="M988" s="11">
        <f>IF(K988="FUERA","Fuera del marco",IF(K988="N/A","Sin marco",IFERROR(INDEX('Datos - Catálogo TIMSS'!$C$5:$C$107,MATCH(K988,'Datos - Catálogo TIMSS'!$A$5:$A$107,0)),"Pendiente de clasificar")))</f>
        <v/>
      </c>
      <c r="N988" s="11">
        <f>IF(K988="FUERA","Fuera del marco",IF(K988="N/A","Sin marco",IFERROR(INDEX('Datos - Catálogo TIMSS'!$F$5:$F$107,MATCH(K988,'Datos - Catálogo TIMSS'!$A$5:$A$107,0)),"Pendiente de clasificar")))</f>
        <v/>
      </c>
      <c r="O988" s="11">
        <f>IF(L988="","",IFERROR(INDEX('Datos - Catálogo TIMSS'!$C$5:$C$107,MATCH(L988,'Datos - Catálogo TIMSS'!$A$5:$A$107,0)),"?"))</f>
        <v/>
      </c>
      <c r="P988" s="11" t="inlineStr">
        <is>
          <t>N/A</t>
        </is>
      </c>
      <c r="Q988" s="38" t="inlineStr">
        <is>
          <t>Sin marco TIMSS de contenido para esta asignatura en Bachillerato</t>
        </is>
      </c>
      <c r="R988" s="38" t="inlineStr">
        <is>
          <t>Aplicar: linealizar y calcular Ea. Razonar: evaluar la validez de las mediciones</t>
        </is>
      </c>
      <c r="S988" s="39">
        <f>IFERROR(ISNUMBER(SEARCH("Conocer",$R988))/(ISNUMBER(SEARCH("Conocer",$R988))+ISNUMBER(SEARCH("Aplicar",$R988))+ISNUMBER(SEARCH("Razonar",$R988))),0)</f>
        <v/>
      </c>
      <c r="T988" s="39">
        <f>IFERROR(ISNUMBER(SEARCH("Aplicar",$R988))/(ISNUMBER(SEARCH("Conocer",$R988))+ISNUMBER(SEARCH("Aplicar",$R988))+ISNUMBER(SEARCH("Razonar",$R988))),0)</f>
        <v/>
      </c>
      <c r="U988" s="39">
        <f>IFERROR(ISNUMBER(SEARCH("Razonar",$R988))/(ISNUMBER(SEARCH("Conocer",$R988))+ISNUMBER(SEARCH("Aplicar",$R988))+ISNUMBER(SEARCH("Razonar",$R988))),0)</f>
        <v/>
      </c>
      <c r="V988" s="11" t="inlineStr">
        <is>
          <t>Química 10°</t>
        </is>
      </c>
      <c r="W988" s="11" t="inlineStr">
        <is>
          <t>Química 10°–11°</t>
        </is>
      </c>
      <c r="X988" s="11">
        <f>IF(OR(IFERROR(INDEX('Datos - Catálogo TIMSS'!$I$5:$I$107,MATCH(K988,'Datos - Catálogo TIMSS'!$A$5:$A$107,0)),"No")="Sí",IFERROR(INDEX('Datos - Catálogo TIMSS'!$I$5:$I$107,MATCH(L988,'Datos - Catálogo TIMSS'!$A$5:$A$107,0)),"No")="Sí"),1,0)</f>
        <v/>
      </c>
      <c r="Y988" s="11">
        <f>IF(IFERROR(INDEX('Datos - Catálogo TIMSS'!$J$5:$J$107,MATCH(K988,'Datos - Catálogo TIMSS'!$A$5:$A$107,0)),"No")="Sí",1,0)</f>
        <v/>
      </c>
      <c r="Z988" s="11">
        <f>IF(IFERROR(INDEX('Datos - Catálogo TIMSS'!$J$5:$J$107,MATCH(L988,'Datos - Catálogo TIMSS'!$A$5:$A$107,0)),"No")="Sí",1,0)</f>
        <v/>
      </c>
      <c r="AA988" s="11" t="inlineStr">
        <is>
          <t>N/A</t>
        </is>
      </c>
      <c r="AB988" s="11" t="inlineStr"/>
      <c r="AC988" s="11">
        <f>IF(AA988="FUERA","Fuera del marco",IF(AA988="N/A","Sin marco",IFERROR(INDEX('Datos - TIMSS 2023'!$C$5:$C$105,MATCH(AA988,'Datos - TIMSS 2023'!$A$5:$A$105,0)),"Pendiente de clasificar")))</f>
        <v/>
      </c>
      <c r="AD988" s="11" t="inlineStr">
        <is>
          <t>2. Construir y evaluar diseños para la indagación científica e interpretar datos y evidencia de forma crítica</t>
        </is>
      </c>
      <c r="AE988" s="11">
        <f>IF(AD988="","",IF(LEFT(AD988,1)="1","C1",IF(LEFT(AD988,1)="2","C2",IF(LEFT(AD988,1)="3","C3",""))))</f>
        <v/>
      </c>
      <c r="AF988" s="11" t="inlineStr">
        <is>
          <t>E6</t>
        </is>
      </c>
      <c r="AG988" s="11" t="inlineStr">
        <is>
          <t>E3</t>
        </is>
      </c>
      <c r="AH988" s="11" t="inlineStr">
        <is>
          <t>E2</t>
        </is>
      </c>
      <c r="AI988" s="11" t="inlineStr">
        <is>
          <t>D2</t>
        </is>
      </c>
      <c r="AJ988" s="11" t="inlineStr">
        <is>
          <t>D3</t>
        </is>
      </c>
      <c r="AK988" s="11" t="n"/>
      <c r="AL988" s="11" t="n"/>
      <c r="AM988" s="11" t="n"/>
      <c r="AN988" s="11" t="n"/>
      <c r="AO988" s="11" t="n"/>
      <c r="AP988" s="11" t="n"/>
      <c r="AQ988" s="11" t="n"/>
      <c r="AR988" s="11" t="n"/>
      <c r="AS988" s="11" t="n"/>
      <c r="AT988" s="11" t="n"/>
      <c r="AU988" s="11" t="n"/>
      <c r="AV988" s="11" t="n"/>
      <c r="AW988" s="11">
        <f>AF988&amp;"; "&amp;AG988&amp;"; "&amp;AH988&amp;"; "&amp;AI988&amp;"; "&amp;AJ988</f>
        <v/>
      </c>
    </row>
    <row r="989">
      <c r="A989" s="11" t="inlineStr">
        <is>
          <t>T0525-G10-QUÍ</t>
        </is>
      </c>
      <c r="B989" s="11" t="n">
        <v>10</v>
      </c>
      <c r="C989" s="11" t="inlineStr">
        <is>
          <t>Química</t>
        </is>
      </c>
      <c r="D989" s="11" t="inlineStr">
        <is>
          <t>Matriz_Bachillerato_Quimica_10_11.xlsx</t>
        </is>
      </c>
      <c r="E989" s="11" t="inlineStr">
        <is>
          <t>Química 10.°</t>
        </is>
      </c>
      <c r="F989" s="11" t="n">
        <v>98</v>
      </c>
      <c r="G989" s="11" t="inlineStr">
        <is>
          <t>12. Cinética y equilibrio químico</t>
        </is>
      </c>
      <c r="H989" s="11" t="inlineStr">
        <is>
          <t>Factores que modifican la velocidad</t>
        </is>
      </c>
      <c r="I989" s="38" t="inlineStr">
        <is>
          <t>12.7. Comparación experimental de catalizadores homogéneos, heterogéneos y enzimáticos en la descomposición del peróxido de hidrógeno diluido.</t>
        </is>
      </c>
      <c r="J989" s="11" t="inlineStr">
        <is>
          <t>Sin marco</t>
        </is>
      </c>
      <c r="K989" s="11" t="inlineStr">
        <is>
          <t>N/A</t>
        </is>
      </c>
      <c r="L989" s="11" t="inlineStr"/>
      <c r="M989" s="11">
        <f>IF(K989="FUERA","Fuera del marco",IF(K989="N/A","Sin marco",IFERROR(INDEX('Datos - Catálogo TIMSS'!$C$5:$C$107,MATCH(K989,'Datos - Catálogo TIMSS'!$A$5:$A$107,0)),"Pendiente de clasificar")))</f>
        <v/>
      </c>
      <c r="N989" s="11">
        <f>IF(K989="FUERA","Fuera del marco",IF(K989="N/A","Sin marco",IFERROR(INDEX('Datos - Catálogo TIMSS'!$F$5:$F$107,MATCH(K989,'Datos - Catálogo TIMSS'!$A$5:$A$107,0)),"Pendiente de clasificar")))</f>
        <v/>
      </c>
      <c r="O989" s="11">
        <f>IF(L989="","",IFERROR(INDEX('Datos - Catálogo TIMSS'!$C$5:$C$107,MATCH(L989,'Datos - Catálogo TIMSS'!$A$5:$A$107,0)),"?"))</f>
        <v/>
      </c>
      <c r="P989" s="11" t="inlineStr">
        <is>
          <t>N/A</t>
        </is>
      </c>
      <c r="Q989" s="38" t="inlineStr">
        <is>
          <t>Sin marco TIMSS de contenido para esta asignatura en Bachillerato</t>
        </is>
      </c>
      <c r="R989" s="38" t="inlineStr">
        <is>
          <t>Conocer: clasificar tipos de catálisis. Aplicar: representar caminos de reacción. Razonar: comparar catalizadores</t>
        </is>
      </c>
      <c r="S989" s="39">
        <f>IFERROR(ISNUMBER(SEARCH("Conocer",$R989))/(ISNUMBER(SEARCH("Conocer",$R989))+ISNUMBER(SEARCH("Aplicar",$R989))+ISNUMBER(SEARCH("Razonar",$R989))),0)</f>
        <v/>
      </c>
      <c r="T989" s="39">
        <f>IFERROR(ISNUMBER(SEARCH("Aplicar",$R989))/(ISNUMBER(SEARCH("Conocer",$R989))+ISNUMBER(SEARCH("Aplicar",$R989))+ISNUMBER(SEARCH("Razonar",$R989))),0)</f>
        <v/>
      </c>
      <c r="U989" s="39">
        <f>IFERROR(ISNUMBER(SEARCH("Razonar",$R989))/(ISNUMBER(SEARCH("Conocer",$R989))+ISNUMBER(SEARCH("Aplicar",$R989))+ISNUMBER(SEARCH("Razonar",$R989))),0)</f>
        <v/>
      </c>
      <c r="V989" s="11" t="inlineStr">
        <is>
          <t>Química 10°</t>
        </is>
      </c>
      <c r="W989" s="11" t="inlineStr">
        <is>
          <t>Química 10°–11°</t>
        </is>
      </c>
      <c r="X989" s="11">
        <f>IF(OR(IFERROR(INDEX('Datos - Catálogo TIMSS'!$I$5:$I$107,MATCH(K989,'Datos - Catálogo TIMSS'!$A$5:$A$107,0)),"No")="Sí",IFERROR(INDEX('Datos - Catálogo TIMSS'!$I$5:$I$107,MATCH(L989,'Datos - Catálogo TIMSS'!$A$5:$A$107,0)),"No")="Sí"),1,0)</f>
        <v/>
      </c>
      <c r="Y989" s="11">
        <f>IF(IFERROR(INDEX('Datos - Catálogo TIMSS'!$J$5:$J$107,MATCH(K989,'Datos - Catálogo TIMSS'!$A$5:$A$107,0)),"No")="Sí",1,0)</f>
        <v/>
      </c>
      <c r="Z989" s="11">
        <f>IF(IFERROR(INDEX('Datos - Catálogo TIMSS'!$J$5:$J$107,MATCH(L989,'Datos - Catálogo TIMSS'!$A$5:$A$107,0)),"No")="Sí",1,0)</f>
        <v/>
      </c>
      <c r="AA989" s="11" t="inlineStr">
        <is>
          <t>N/A</t>
        </is>
      </c>
      <c r="AB989" s="11" t="inlineStr"/>
      <c r="AC989" s="11">
        <f>IF(AA989="FUERA","Fuera del marco",IF(AA989="N/A","Sin marco",IFERROR(INDEX('Datos - TIMSS 2023'!$C$5:$C$105,MATCH(AA989,'Datos - TIMSS 2023'!$A$5:$A$105,0)),"Pendiente de clasificar")))</f>
        <v/>
      </c>
      <c r="AD989" s="11" t="inlineStr">
        <is>
          <t>1. Explicar fenómenos científicamente</t>
        </is>
      </c>
      <c r="AE989" s="11">
        <f>IF(AD989="","",IF(LEFT(AD989,1)="1","C1",IF(LEFT(AD989,1)="2","C2",IF(LEFT(AD989,1)="3","C3",""))))</f>
        <v/>
      </c>
      <c r="AF989" s="11" t="inlineStr">
        <is>
          <t>E1</t>
        </is>
      </c>
      <c r="AG989" s="11" t="inlineStr">
        <is>
          <t>D1</t>
        </is>
      </c>
      <c r="AH989" s="11" t="inlineStr">
        <is>
          <t>E4</t>
        </is>
      </c>
      <c r="AI989" s="11" t="inlineStr">
        <is>
          <t>D4</t>
        </is>
      </c>
      <c r="AJ989" s="11" t="inlineStr">
        <is>
          <t>E6</t>
        </is>
      </c>
      <c r="AK989" s="11" t="n"/>
      <c r="AL989" s="11" t="n"/>
      <c r="AM989" s="11" t="n"/>
      <c r="AN989" s="11" t="n"/>
      <c r="AO989" s="11" t="n"/>
      <c r="AP989" s="11" t="n"/>
      <c r="AQ989" s="11" t="n"/>
      <c r="AR989" s="11" t="n"/>
      <c r="AS989" s="11" t="n"/>
      <c r="AT989" s="11" t="n"/>
      <c r="AU989" s="11" t="n"/>
      <c r="AV989" s="11" t="n"/>
      <c r="AW989" s="11">
        <f>AF989&amp;"; "&amp;AG989&amp;"; "&amp;AH989&amp;"; "&amp;AI989&amp;"; "&amp;AJ989</f>
        <v/>
      </c>
    </row>
    <row r="990">
      <c r="A990" s="11" t="inlineStr">
        <is>
          <t>T0526-G10-QUÍ</t>
        </is>
      </c>
      <c r="B990" s="11" t="n">
        <v>10</v>
      </c>
      <c r="C990" s="11" t="inlineStr">
        <is>
          <t>Química</t>
        </is>
      </c>
      <c r="D990" s="11" t="inlineStr">
        <is>
          <t>Matriz_Bachillerato_Quimica_10_11.xlsx</t>
        </is>
      </c>
      <c r="E990" s="11" t="inlineStr">
        <is>
          <t>Química 10.°</t>
        </is>
      </c>
      <c r="F990" s="11" t="n">
        <v>99</v>
      </c>
      <c r="G990" s="11" t="inlineStr">
        <is>
          <t>12. Cinética y equilibrio químico</t>
        </is>
      </c>
      <c r="H990" s="11" t="inlineStr">
        <is>
          <t>Equilibrio químico</t>
        </is>
      </c>
      <c r="I990" s="38" t="inlineStr">
        <is>
          <t>12.8. Deducción de la constante de equilibrio a partir de la igualdad de las velocidades de las reacciones directa e inversa.</t>
        </is>
      </c>
      <c r="J990" s="11" t="inlineStr">
        <is>
          <t>Sin marco</t>
        </is>
      </c>
      <c r="K990" s="11" t="inlineStr">
        <is>
          <t>N/A</t>
        </is>
      </c>
      <c r="L990" s="11" t="inlineStr"/>
      <c r="M990" s="11">
        <f>IF(K990="FUERA","Fuera del marco",IF(K990="N/A","Sin marco",IFERROR(INDEX('Datos - Catálogo TIMSS'!$C$5:$C$107,MATCH(K990,'Datos - Catálogo TIMSS'!$A$5:$A$107,0)),"Pendiente de clasificar")))</f>
        <v/>
      </c>
      <c r="N990" s="11">
        <f>IF(K990="FUERA","Fuera del marco",IF(K990="N/A","Sin marco",IFERROR(INDEX('Datos - Catálogo TIMSS'!$F$5:$F$107,MATCH(K990,'Datos - Catálogo TIMSS'!$A$5:$A$107,0)),"Pendiente de clasificar")))</f>
        <v/>
      </c>
      <c r="O990" s="11">
        <f>IF(L990="","",IFERROR(INDEX('Datos - Catálogo TIMSS'!$C$5:$C$107,MATCH(L990,'Datos - Catálogo TIMSS'!$A$5:$A$107,0)),"?"))</f>
        <v/>
      </c>
      <c r="P990" s="11" t="inlineStr">
        <is>
          <t>N/A</t>
        </is>
      </c>
      <c r="Q990" s="38" t="inlineStr">
        <is>
          <t>Sin marco TIMSS de contenido para esta asignatura en Bachillerato</t>
        </is>
      </c>
      <c r="R990" s="38" t="inlineStr">
        <is>
          <t>Aplicar: deducir Kc desde las velocidades. Razonar: explicar el carácter dinámico del equilibrio</t>
        </is>
      </c>
      <c r="S990" s="39">
        <f>IFERROR(ISNUMBER(SEARCH("Conocer",$R990))/(ISNUMBER(SEARCH("Conocer",$R990))+ISNUMBER(SEARCH("Aplicar",$R990))+ISNUMBER(SEARCH("Razonar",$R990))),0)</f>
        <v/>
      </c>
      <c r="T990" s="39">
        <f>IFERROR(ISNUMBER(SEARCH("Aplicar",$R990))/(ISNUMBER(SEARCH("Conocer",$R990))+ISNUMBER(SEARCH("Aplicar",$R990))+ISNUMBER(SEARCH("Razonar",$R990))),0)</f>
        <v/>
      </c>
      <c r="U990" s="39">
        <f>IFERROR(ISNUMBER(SEARCH("Razonar",$R990))/(ISNUMBER(SEARCH("Conocer",$R990))+ISNUMBER(SEARCH("Aplicar",$R990))+ISNUMBER(SEARCH("Razonar",$R990))),0)</f>
        <v/>
      </c>
      <c r="V990" s="11" t="inlineStr">
        <is>
          <t>Química 10°</t>
        </is>
      </c>
      <c r="W990" s="11" t="inlineStr">
        <is>
          <t>Química 10°–11°</t>
        </is>
      </c>
      <c r="X990" s="11">
        <f>IF(OR(IFERROR(INDEX('Datos - Catálogo TIMSS'!$I$5:$I$107,MATCH(K990,'Datos - Catálogo TIMSS'!$A$5:$A$107,0)),"No")="Sí",IFERROR(INDEX('Datos - Catálogo TIMSS'!$I$5:$I$107,MATCH(L990,'Datos - Catálogo TIMSS'!$A$5:$A$107,0)),"No")="Sí"),1,0)</f>
        <v/>
      </c>
      <c r="Y990" s="11">
        <f>IF(IFERROR(INDEX('Datos - Catálogo TIMSS'!$J$5:$J$107,MATCH(K990,'Datos - Catálogo TIMSS'!$A$5:$A$107,0)),"No")="Sí",1,0)</f>
        <v/>
      </c>
      <c r="Z990" s="11">
        <f>IF(IFERROR(INDEX('Datos - Catálogo TIMSS'!$J$5:$J$107,MATCH(L990,'Datos - Catálogo TIMSS'!$A$5:$A$107,0)),"No")="Sí",1,0)</f>
        <v/>
      </c>
      <c r="AA990" s="11" t="inlineStr">
        <is>
          <t>N/A</t>
        </is>
      </c>
      <c r="AB990" s="11" t="inlineStr"/>
      <c r="AC990" s="11">
        <f>IF(AA990="FUERA","Fuera del marco",IF(AA990="N/A","Sin marco",IFERROR(INDEX('Datos - TIMSS 2023'!$C$5:$C$105,MATCH(AA990,'Datos - TIMSS 2023'!$A$5:$A$105,0)),"Pendiente de clasificar")))</f>
        <v/>
      </c>
      <c r="AD990" s="11" t="inlineStr">
        <is>
          <t>1. Explicar fenómenos científicamente</t>
        </is>
      </c>
      <c r="AE990" s="11">
        <f>IF(AD990="","",IF(LEFT(AD990,1)="1","C1",IF(LEFT(AD990,1)="2","C2",IF(LEFT(AD990,1)="3","C3",""))))</f>
        <v/>
      </c>
      <c r="AF990" s="11" t="inlineStr">
        <is>
          <t>E1</t>
        </is>
      </c>
      <c r="AG990" s="11" t="inlineStr">
        <is>
          <t>E5</t>
        </is>
      </c>
      <c r="AH990" s="11" t="inlineStr">
        <is>
          <t>E4</t>
        </is>
      </c>
      <c r="AI990" s="11" t="inlineStr">
        <is>
          <t>D4</t>
        </is>
      </c>
      <c r="AJ990" s="11" t="inlineStr">
        <is>
          <t>E3</t>
        </is>
      </c>
      <c r="AK990" s="11" t="n"/>
      <c r="AL990" s="11" t="n"/>
      <c r="AM990" s="11" t="n"/>
      <c r="AN990" s="11" t="n"/>
      <c r="AO990" s="11" t="n"/>
      <c r="AP990" s="11" t="n"/>
      <c r="AQ990" s="11" t="n"/>
      <c r="AR990" s="11" t="n"/>
      <c r="AS990" s="11" t="n"/>
      <c r="AT990" s="11" t="n"/>
      <c r="AU990" s="11" t="n"/>
      <c r="AV990" s="11" t="n"/>
      <c r="AW990" s="11">
        <f>AF990&amp;"; "&amp;AG990&amp;"; "&amp;AH990&amp;"; "&amp;AI990&amp;"; "&amp;AJ990</f>
        <v/>
      </c>
    </row>
    <row r="991">
      <c r="A991" s="11" t="inlineStr">
        <is>
          <t>T0527-G10-QUÍ</t>
        </is>
      </c>
      <c r="B991" s="11" t="n">
        <v>10</v>
      </c>
      <c r="C991" s="11" t="inlineStr">
        <is>
          <t>Química</t>
        </is>
      </c>
      <c r="D991" s="11" t="inlineStr">
        <is>
          <t>Matriz_Bachillerato_Quimica_10_11.xlsx</t>
        </is>
      </c>
      <c r="E991" s="11" t="inlineStr">
        <is>
          <t>Química 10.°</t>
        </is>
      </c>
      <c r="F991" s="11" t="n">
        <v>100</v>
      </c>
      <c r="G991" s="11" t="inlineStr">
        <is>
          <t>12. Cinética y equilibrio químico</t>
        </is>
      </c>
      <c r="H991" s="11" t="inlineStr">
        <is>
          <t>Equilibrio químico</t>
        </is>
      </c>
      <c r="I991" s="38" t="inlineStr">
        <is>
          <t>12.9. Cálculo de Kp y de su relación con Kc, y transformación de la constante al invertir, multiplicar o sumar ecuaciones químicas.</t>
        </is>
      </c>
      <c r="J991" s="11" t="inlineStr">
        <is>
          <t>Sin marco</t>
        </is>
      </c>
      <c r="K991" s="11" t="inlineStr">
        <is>
          <t>N/A</t>
        </is>
      </c>
      <c r="L991" s="11" t="inlineStr"/>
      <c r="M991" s="11">
        <f>IF(K991="FUERA","Fuera del marco",IF(K991="N/A","Sin marco",IFERROR(INDEX('Datos - Catálogo TIMSS'!$C$5:$C$107,MATCH(K991,'Datos - Catálogo TIMSS'!$A$5:$A$107,0)),"Pendiente de clasificar")))</f>
        <v/>
      </c>
      <c r="N991" s="11">
        <f>IF(K991="FUERA","Fuera del marco",IF(K991="N/A","Sin marco",IFERROR(INDEX('Datos - Catálogo TIMSS'!$F$5:$F$107,MATCH(K991,'Datos - Catálogo TIMSS'!$A$5:$A$107,0)),"Pendiente de clasificar")))</f>
        <v/>
      </c>
      <c r="O991" s="11">
        <f>IF(L991="","",IFERROR(INDEX('Datos - Catálogo TIMSS'!$C$5:$C$107,MATCH(L991,'Datos - Catálogo TIMSS'!$A$5:$A$107,0)),"?"))</f>
        <v/>
      </c>
      <c r="P991" s="11" t="inlineStr">
        <is>
          <t>N/A</t>
        </is>
      </c>
      <c r="Q991" s="38" t="inlineStr">
        <is>
          <t>Sin marco TIMSS de contenido para esta asignatura en Bachillerato</t>
        </is>
      </c>
      <c r="R991" s="38" t="inlineStr">
        <is>
          <t>Aplicar: calcular Kp y transformar K. Razonar: justificar cuándo Kp = Kc</t>
        </is>
      </c>
      <c r="S991" s="39">
        <f>IFERROR(ISNUMBER(SEARCH("Conocer",$R991))/(ISNUMBER(SEARCH("Conocer",$R991))+ISNUMBER(SEARCH("Aplicar",$R991))+ISNUMBER(SEARCH("Razonar",$R991))),0)</f>
        <v/>
      </c>
      <c r="T991" s="39">
        <f>IFERROR(ISNUMBER(SEARCH("Aplicar",$R991))/(ISNUMBER(SEARCH("Conocer",$R991))+ISNUMBER(SEARCH("Aplicar",$R991))+ISNUMBER(SEARCH("Razonar",$R991))),0)</f>
        <v/>
      </c>
      <c r="U991" s="39">
        <f>IFERROR(ISNUMBER(SEARCH("Razonar",$R991))/(ISNUMBER(SEARCH("Conocer",$R991))+ISNUMBER(SEARCH("Aplicar",$R991))+ISNUMBER(SEARCH("Razonar",$R991))),0)</f>
        <v/>
      </c>
      <c r="V991" s="11" t="inlineStr">
        <is>
          <t>Química 10°</t>
        </is>
      </c>
      <c r="W991" s="11" t="inlineStr">
        <is>
          <t>Química 10°–11°</t>
        </is>
      </c>
      <c r="X991" s="11">
        <f>IF(OR(IFERROR(INDEX('Datos - Catálogo TIMSS'!$I$5:$I$107,MATCH(K991,'Datos - Catálogo TIMSS'!$A$5:$A$107,0)),"No")="Sí",IFERROR(INDEX('Datos - Catálogo TIMSS'!$I$5:$I$107,MATCH(L991,'Datos - Catálogo TIMSS'!$A$5:$A$107,0)),"No")="Sí"),1,0)</f>
        <v/>
      </c>
      <c r="Y991" s="11">
        <f>IF(IFERROR(INDEX('Datos - Catálogo TIMSS'!$J$5:$J$107,MATCH(K991,'Datos - Catálogo TIMSS'!$A$5:$A$107,0)),"No")="Sí",1,0)</f>
        <v/>
      </c>
      <c r="Z991" s="11">
        <f>IF(IFERROR(INDEX('Datos - Catálogo TIMSS'!$J$5:$J$107,MATCH(L991,'Datos - Catálogo TIMSS'!$A$5:$A$107,0)),"No")="Sí",1,0)</f>
        <v/>
      </c>
      <c r="AA991" s="11" t="inlineStr">
        <is>
          <t>N/A</t>
        </is>
      </c>
      <c r="AB991" s="11" t="inlineStr"/>
      <c r="AC991" s="11">
        <f>IF(AA991="FUERA","Fuera del marco",IF(AA991="N/A","Sin marco",IFERROR(INDEX('Datos - TIMSS 2023'!$C$5:$C$105,MATCH(AA991,'Datos - TIMSS 2023'!$A$5:$A$105,0)),"Pendiente de clasificar")))</f>
        <v/>
      </c>
      <c r="AD991" s="11" t="inlineStr">
        <is>
          <t>1. Explicar fenómenos científicamente</t>
        </is>
      </c>
      <c r="AE991" s="11">
        <f>IF(AD991="","",IF(LEFT(AD991,1)="1","C1",IF(LEFT(AD991,1)="2","C2",IF(LEFT(AD991,1)="3","C3",""))))</f>
        <v/>
      </c>
      <c r="AF991" s="11" t="inlineStr">
        <is>
          <t>E1</t>
        </is>
      </c>
      <c r="AG991" s="11" t="inlineStr">
        <is>
          <t>E3</t>
        </is>
      </c>
      <c r="AH991" s="11" t="inlineStr">
        <is>
          <t>E2</t>
        </is>
      </c>
      <c r="AI991" s="11" t="inlineStr">
        <is>
          <t>I3</t>
        </is>
      </c>
      <c r="AJ991" s="11" t="inlineStr">
        <is>
          <t>I4</t>
        </is>
      </c>
      <c r="AK991" s="11" t="n"/>
      <c r="AL991" s="11" t="n"/>
      <c r="AM991" s="11" t="n"/>
      <c r="AN991" s="11" t="n"/>
      <c r="AO991" s="11" t="n"/>
      <c r="AP991" s="11" t="n"/>
      <c r="AQ991" s="11" t="n"/>
      <c r="AR991" s="11" t="n"/>
      <c r="AS991" s="11" t="n"/>
      <c r="AT991" s="11" t="n"/>
      <c r="AU991" s="11" t="n"/>
      <c r="AV991" s="11" t="n"/>
      <c r="AW991" s="11">
        <f>AF991&amp;"; "&amp;AG991&amp;"; "&amp;AH991&amp;"; "&amp;AI991&amp;"; "&amp;AJ991</f>
        <v/>
      </c>
    </row>
    <row r="992">
      <c r="A992" s="11" t="inlineStr">
        <is>
          <t>T0528-G10-QUÍ</t>
        </is>
      </c>
      <c r="B992" s="11" t="n">
        <v>10</v>
      </c>
      <c r="C992" s="11" t="inlineStr">
        <is>
          <t>Química</t>
        </is>
      </c>
      <c r="D992" s="11" t="inlineStr">
        <is>
          <t>Matriz_Bachillerato_Quimica_10_11.xlsx</t>
        </is>
      </c>
      <c r="E992" s="11" t="inlineStr">
        <is>
          <t>Química 10.°</t>
        </is>
      </c>
      <c r="F992" s="11" t="n">
        <v>101</v>
      </c>
      <c r="G992" s="11" t="inlineStr">
        <is>
          <t>12. Cinética y equilibrio químico</t>
        </is>
      </c>
      <c r="H992" s="11" t="inlineStr">
        <is>
          <t>Cálculos de equilibrio</t>
        </is>
      </c>
      <c r="I992" s="38" t="inlineStr">
        <is>
          <t>12.10. Resolución de problemas de equilibrio con tablas ICE para obtener concentraciones en el equilibrio y grados de disociación.</t>
        </is>
      </c>
      <c r="J992" s="11" t="inlineStr">
        <is>
          <t>Sin marco</t>
        </is>
      </c>
      <c r="K992" s="11" t="inlineStr">
        <is>
          <t>N/A</t>
        </is>
      </c>
      <c r="L992" s="11" t="inlineStr"/>
      <c r="M992" s="11">
        <f>IF(K992="FUERA","Fuera del marco",IF(K992="N/A","Sin marco",IFERROR(INDEX('Datos - Catálogo TIMSS'!$C$5:$C$107,MATCH(K992,'Datos - Catálogo TIMSS'!$A$5:$A$107,0)),"Pendiente de clasificar")))</f>
        <v/>
      </c>
      <c r="N992" s="11">
        <f>IF(K992="FUERA","Fuera del marco",IF(K992="N/A","Sin marco",IFERROR(INDEX('Datos - Catálogo TIMSS'!$F$5:$F$107,MATCH(K992,'Datos - Catálogo TIMSS'!$A$5:$A$107,0)),"Pendiente de clasificar")))</f>
        <v/>
      </c>
      <c r="O992" s="11">
        <f>IF(L992="","",IFERROR(INDEX('Datos - Catálogo TIMSS'!$C$5:$C$107,MATCH(L992,'Datos - Catálogo TIMSS'!$A$5:$A$107,0)),"?"))</f>
        <v/>
      </c>
      <c r="P992" s="11" t="inlineStr">
        <is>
          <t>N/A</t>
        </is>
      </c>
      <c r="Q992" s="38" t="inlineStr">
        <is>
          <t>Sin marco TIMSS de contenido para esta asignatura en Bachillerato</t>
        </is>
      </c>
      <c r="R992" s="38" t="inlineStr">
        <is>
          <t>Aplicar: resolver tablas ICE y calcular α. Razonar: interpretar la magnitud de K y validar aproximaciones</t>
        </is>
      </c>
      <c r="S992" s="39">
        <f>IFERROR(ISNUMBER(SEARCH("Conocer",$R992))/(ISNUMBER(SEARCH("Conocer",$R992))+ISNUMBER(SEARCH("Aplicar",$R992))+ISNUMBER(SEARCH("Razonar",$R992))),0)</f>
        <v/>
      </c>
      <c r="T992" s="39">
        <f>IFERROR(ISNUMBER(SEARCH("Aplicar",$R992))/(ISNUMBER(SEARCH("Conocer",$R992))+ISNUMBER(SEARCH("Aplicar",$R992))+ISNUMBER(SEARCH("Razonar",$R992))),0)</f>
        <v/>
      </c>
      <c r="U992" s="39">
        <f>IFERROR(ISNUMBER(SEARCH("Razonar",$R992))/(ISNUMBER(SEARCH("Conocer",$R992))+ISNUMBER(SEARCH("Aplicar",$R992))+ISNUMBER(SEARCH("Razonar",$R992))),0)</f>
        <v/>
      </c>
      <c r="V992" s="11" t="inlineStr">
        <is>
          <t>Química 10°</t>
        </is>
      </c>
      <c r="W992" s="11" t="inlineStr">
        <is>
          <t>Química 10°–11°</t>
        </is>
      </c>
      <c r="X992" s="11">
        <f>IF(OR(IFERROR(INDEX('Datos - Catálogo TIMSS'!$I$5:$I$107,MATCH(K992,'Datos - Catálogo TIMSS'!$A$5:$A$107,0)),"No")="Sí",IFERROR(INDEX('Datos - Catálogo TIMSS'!$I$5:$I$107,MATCH(L992,'Datos - Catálogo TIMSS'!$A$5:$A$107,0)),"No")="Sí"),1,0)</f>
        <v/>
      </c>
      <c r="Y992" s="11">
        <f>IF(IFERROR(INDEX('Datos - Catálogo TIMSS'!$J$5:$J$107,MATCH(K992,'Datos - Catálogo TIMSS'!$A$5:$A$107,0)),"No")="Sí",1,0)</f>
        <v/>
      </c>
      <c r="Z992" s="11">
        <f>IF(IFERROR(INDEX('Datos - Catálogo TIMSS'!$J$5:$J$107,MATCH(L992,'Datos - Catálogo TIMSS'!$A$5:$A$107,0)),"No")="Sí",1,0)</f>
        <v/>
      </c>
      <c r="AA992" s="11" t="inlineStr">
        <is>
          <t>N/A</t>
        </is>
      </c>
      <c r="AB992" s="11" t="inlineStr"/>
      <c r="AC992" s="11">
        <f>IF(AA992="FUERA","Fuera del marco",IF(AA992="N/A","Sin marco",IFERROR(INDEX('Datos - TIMSS 2023'!$C$5:$C$105,MATCH(AA992,'Datos - TIMSS 2023'!$A$5:$A$105,0)),"Pendiente de clasificar")))</f>
        <v/>
      </c>
      <c r="AD992" s="11" t="inlineStr">
        <is>
          <t>1. Explicar fenómenos científicamente</t>
        </is>
      </c>
      <c r="AE992" s="11">
        <f>IF(AD992="","",IF(LEFT(AD992,1)="1","C1",IF(LEFT(AD992,1)="2","C2",IF(LEFT(AD992,1)="3","C3",""))))</f>
        <v/>
      </c>
      <c r="AF992" s="11" t="inlineStr">
        <is>
          <t>E1</t>
        </is>
      </c>
      <c r="AG992" s="11" t="inlineStr">
        <is>
          <t>E3</t>
        </is>
      </c>
      <c r="AH992" s="11" t="inlineStr">
        <is>
          <t>E2</t>
        </is>
      </c>
      <c r="AI992" s="11" t="inlineStr">
        <is>
          <t>D4</t>
        </is>
      </c>
      <c r="AJ992" s="11" t="inlineStr">
        <is>
          <t>E3</t>
        </is>
      </c>
      <c r="AK992" s="11" t="n"/>
      <c r="AL992" s="11" t="n"/>
      <c r="AM992" s="11" t="n"/>
      <c r="AN992" s="11" t="n"/>
      <c r="AO992" s="11" t="n"/>
      <c r="AP992" s="11" t="n"/>
      <c r="AQ992" s="11" t="n"/>
      <c r="AR992" s="11" t="n"/>
      <c r="AS992" s="11" t="n"/>
      <c r="AT992" s="11" t="n"/>
      <c r="AU992" s="11" t="n"/>
      <c r="AV992" s="11" t="n"/>
      <c r="AW992" s="11">
        <f>AF992&amp;"; "&amp;AG992&amp;"; "&amp;AH992&amp;"; "&amp;AI992&amp;"; "&amp;AJ992</f>
        <v/>
      </c>
    </row>
    <row r="993">
      <c r="A993" s="11" t="inlineStr">
        <is>
          <t>T0529-G10-QUÍ</t>
        </is>
      </c>
      <c r="B993" s="11" t="n">
        <v>10</v>
      </c>
      <c r="C993" s="11" t="inlineStr">
        <is>
          <t>Química</t>
        </is>
      </c>
      <c r="D993" s="11" t="inlineStr">
        <is>
          <t>Matriz_Bachillerato_Quimica_10_11.xlsx</t>
        </is>
      </c>
      <c r="E993" s="11" t="inlineStr">
        <is>
          <t>Química 10.°</t>
        </is>
      </c>
      <c r="F993" s="11" t="n">
        <v>102</v>
      </c>
      <c r="G993" s="11" t="inlineStr">
        <is>
          <t>12. Cinética y equilibrio químico</t>
        </is>
      </c>
      <c r="H993" s="11" t="inlineStr">
        <is>
          <t>Cálculos de equilibrio</t>
        </is>
      </c>
      <c r="I993" s="38" t="inlineStr">
        <is>
          <t>12.11. Predicción cuantitativa del sentido de la reacción comparando Q con K tras perturbaciones de concentración, presión y temperatura.</t>
        </is>
      </c>
      <c r="J993" s="11" t="inlineStr">
        <is>
          <t>Sin marco</t>
        </is>
      </c>
      <c r="K993" s="11" t="inlineStr">
        <is>
          <t>N/A</t>
        </is>
      </c>
      <c r="L993" s="11" t="inlineStr"/>
      <c r="M993" s="11">
        <f>IF(K993="FUERA","Fuera del marco",IF(K993="N/A","Sin marco",IFERROR(INDEX('Datos - Catálogo TIMSS'!$C$5:$C$107,MATCH(K993,'Datos - Catálogo TIMSS'!$A$5:$A$107,0)),"Pendiente de clasificar")))</f>
        <v/>
      </c>
      <c r="N993" s="11">
        <f>IF(K993="FUERA","Fuera del marco",IF(K993="N/A","Sin marco",IFERROR(INDEX('Datos - Catálogo TIMSS'!$F$5:$F$107,MATCH(K993,'Datos - Catálogo TIMSS'!$A$5:$A$107,0)),"Pendiente de clasificar")))</f>
        <v/>
      </c>
      <c r="O993" s="11">
        <f>IF(L993="","",IFERROR(INDEX('Datos - Catálogo TIMSS'!$C$5:$C$107,MATCH(L993,'Datos - Catálogo TIMSS'!$A$5:$A$107,0)),"?"))</f>
        <v/>
      </c>
      <c r="P993" s="11" t="inlineStr">
        <is>
          <t>N/A</t>
        </is>
      </c>
      <c r="Q993" s="38" t="inlineStr">
        <is>
          <t>Sin marco TIMSS de contenido para esta asignatura en Bachillerato</t>
        </is>
      </c>
      <c r="R993" s="38" t="inlineStr">
        <is>
          <t>Aplicar: calcular Q y compararlo con K. Razonar: predecir y verificar desplazamientos del equilibrio</t>
        </is>
      </c>
      <c r="S993" s="39">
        <f>IFERROR(ISNUMBER(SEARCH("Conocer",$R993))/(ISNUMBER(SEARCH("Conocer",$R993))+ISNUMBER(SEARCH("Aplicar",$R993))+ISNUMBER(SEARCH("Razonar",$R993))),0)</f>
        <v/>
      </c>
      <c r="T993" s="39">
        <f>IFERROR(ISNUMBER(SEARCH("Aplicar",$R993))/(ISNUMBER(SEARCH("Conocer",$R993))+ISNUMBER(SEARCH("Aplicar",$R993))+ISNUMBER(SEARCH("Razonar",$R993))),0)</f>
        <v/>
      </c>
      <c r="U993" s="39">
        <f>IFERROR(ISNUMBER(SEARCH("Razonar",$R993))/(ISNUMBER(SEARCH("Conocer",$R993))+ISNUMBER(SEARCH("Aplicar",$R993))+ISNUMBER(SEARCH("Razonar",$R993))),0)</f>
        <v/>
      </c>
      <c r="V993" s="11" t="inlineStr">
        <is>
          <t>Química 10°</t>
        </is>
      </c>
      <c r="W993" s="11" t="inlineStr">
        <is>
          <t>Química 10°–11°</t>
        </is>
      </c>
      <c r="X993" s="11">
        <f>IF(OR(IFERROR(INDEX('Datos - Catálogo TIMSS'!$I$5:$I$107,MATCH(K993,'Datos - Catálogo TIMSS'!$A$5:$A$107,0)),"No")="Sí",IFERROR(INDEX('Datos - Catálogo TIMSS'!$I$5:$I$107,MATCH(L993,'Datos - Catálogo TIMSS'!$A$5:$A$107,0)),"No")="Sí"),1,0)</f>
        <v/>
      </c>
      <c r="Y993" s="11">
        <f>IF(IFERROR(INDEX('Datos - Catálogo TIMSS'!$J$5:$J$107,MATCH(K993,'Datos - Catálogo TIMSS'!$A$5:$A$107,0)),"No")="Sí",1,0)</f>
        <v/>
      </c>
      <c r="Z993" s="11">
        <f>IF(IFERROR(INDEX('Datos - Catálogo TIMSS'!$J$5:$J$107,MATCH(L993,'Datos - Catálogo TIMSS'!$A$5:$A$107,0)),"No")="Sí",1,0)</f>
        <v/>
      </c>
      <c r="AA993" s="11" t="inlineStr">
        <is>
          <t>N/A</t>
        </is>
      </c>
      <c r="AB993" s="11" t="inlineStr"/>
      <c r="AC993" s="11">
        <f>IF(AA993="FUERA","Fuera del marco",IF(AA993="N/A","Sin marco",IFERROR(INDEX('Datos - TIMSS 2023'!$C$5:$C$105,MATCH(AA993,'Datos - TIMSS 2023'!$A$5:$A$105,0)),"Pendiente de clasificar")))</f>
        <v/>
      </c>
      <c r="AD993" s="11" t="inlineStr">
        <is>
          <t>2. Construir y evaluar diseños para la indagación científica e interpretar datos y evidencia de forma crítica</t>
        </is>
      </c>
      <c r="AE993" s="11">
        <f>IF(AD993="","",IF(LEFT(AD993,1)="1","C1",IF(LEFT(AD993,1)="2","C2",IF(LEFT(AD993,1)="3","C3",""))))</f>
        <v/>
      </c>
      <c r="AF993" s="11" t="inlineStr">
        <is>
          <t>E1</t>
        </is>
      </c>
      <c r="AG993" s="11" t="inlineStr">
        <is>
          <t>D1</t>
        </is>
      </c>
      <c r="AH993" s="11" t="inlineStr">
        <is>
          <t>E1</t>
        </is>
      </c>
      <c r="AI993" s="11" t="inlineStr">
        <is>
          <t>D2</t>
        </is>
      </c>
      <c r="AJ993" s="11" t="inlineStr">
        <is>
          <t>D3</t>
        </is>
      </c>
      <c r="AK993" s="11" t="n"/>
      <c r="AL993" s="11" t="n"/>
      <c r="AM993" s="11" t="n"/>
      <c r="AN993" s="11" t="n"/>
      <c r="AO993" s="11" t="n"/>
      <c r="AP993" s="11" t="n"/>
      <c r="AQ993" s="11" t="n"/>
      <c r="AR993" s="11" t="n"/>
      <c r="AS993" s="11" t="n"/>
      <c r="AT993" s="11" t="n"/>
      <c r="AU993" s="11" t="n"/>
      <c r="AV993" s="11" t="n"/>
      <c r="AW993" s="11">
        <f>AF993&amp;"; "&amp;AG993&amp;"; "&amp;AH993&amp;"; "&amp;AI993&amp;"; "&amp;AJ993</f>
        <v/>
      </c>
    </row>
    <row r="994">
      <c r="A994" s="11" t="inlineStr">
        <is>
          <t>T0530-G10-QUÍ</t>
        </is>
      </c>
      <c r="B994" s="11" t="n">
        <v>10</v>
      </c>
      <c r="C994" s="11" t="inlineStr">
        <is>
          <t>Química</t>
        </is>
      </c>
      <c r="D994" s="11" t="inlineStr">
        <is>
          <t>Matriz_Bachillerato_Quimica_10_11.xlsx</t>
        </is>
      </c>
      <c r="E994" s="11" t="inlineStr">
        <is>
          <t>Química 10.°</t>
        </is>
      </c>
      <c r="F994" s="11" t="n">
        <v>103</v>
      </c>
      <c r="G994" s="11" t="inlineStr">
        <is>
          <t>12. Cinética y equilibrio químico</t>
        </is>
      </c>
      <c r="H994" s="11" t="inlineStr">
        <is>
          <t>Cálculos de equilibrio</t>
        </is>
      </c>
      <c r="I994" s="38" t="inlineStr">
        <is>
          <t>12.12. Formulación y cálculo de constantes de equilibrios heterogéneos en sistemas de carbonatos y gases de interés ambiental.</t>
        </is>
      </c>
      <c r="J994" s="11" t="inlineStr">
        <is>
          <t>Sin marco</t>
        </is>
      </c>
      <c r="K994" s="11" t="inlineStr">
        <is>
          <t>N/A</t>
        </is>
      </c>
      <c r="L994" s="11" t="inlineStr"/>
      <c r="M994" s="11">
        <f>IF(K994="FUERA","Fuera del marco",IF(K994="N/A","Sin marco",IFERROR(INDEX('Datos - Catálogo TIMSS'!$C$5:$C$107,MATCH(K994,'Datos - Catálogo TIMSS'!$A$5:$A$107,0)),"Pendiente de clasificar")))</f>
        <v/>
      </c>
      <c r="N994" s="11">
        <f>IF(K994="FUERA","Fuera del marco",IF(K994="N/A","Sin marco",IFERROR(INDEX('Datos - Catálogo TIMSS'!$F$5:$F$107,MATCH(K994,'Datos - Catálogo TIMSS'!$A$5:$A$107,0)),"Pendiente de clasificar")))</f>
        <v/>
      </c>
      <c r="O994" s="11">
        <f>IF(L994="","",IFERROR(INDEX('Datos - Catálogo TIMSS'!$C$5:$C$107,MATCH(L994,'Datos - Catálogo TIMSS'!$A$5:$A$107,0)),"?"))</f>
        <v/>
      </c>
      <c r="P994" s="11" t="inlineStr">
        <is>
          <t>N/A</t>
        </is>
      </c>
      <c r="Q994" s="38" t="inlineStr">
        <is>
          <t>Sin marco TIMSS de contenido para esta asignatura en Bachillerato</t>
        </is>
      </c>
      <c r="R994" s="38" t="inlineStr">
        <is>
          <t>Aplicar: escribir constantes heterogéneas. Razonar: explicar procesos ambientales con equilibrios</t>
        </is>
      </c>
      <c r="S994" s="39">
        <f>IFERROR(ISNUMBER(SEARCH("Conocer",$R994))/(ISNUMBER(SEARCH("Conocer",$R994))+ISNUMBER(SEARCH("Aplicar",$R994))+ISNUMBER(SEARCH("Razonar",$R994))),0)</f>
        <v/>
      </c>
      <c r="T994" s="39">
        <f>IFERROR(ISNUMBER(SEARCH("Aplicar",$R994))/(ISNUMBER(SEARCH("Conocer",$R994))+ISNUMBER(SEARCH("Aplicar",$R994))+ISNUMBER(SEARCH("Razonar",$R994))),0)</f>
        <v/>
      </c>
      <c r="U994" s="39">
        <f>IFERROR(ISNUMBER(SEARCH("Razonar",$R994))/(ISNUMBER(SEARCH("Conocer",$R994))+ISNUMBER(SEARCH("Aplicar",$R994))+ISNUMBER(SEARCH("Razonar",$R994))),0)</f>
        <v/>
      </c>
      <c r="V994" s="11" t="inlineStr">
        <is>
          <t>Química 10°</t>
        </is>
      </c>
      <c r="W994" s="11" t="inlineStr">
        <is>
          <t>Química 10°–11°</t>
        </is>
      </c>
      <c r="X994" s="11">
        <f>IF(OR(IFERROR(INDEX('Datos - Catálogo TIMSS'!$I$5:$I$107,MATCH(K994,'Datos - Catálogo TIMSS'!$A$5:$A$107,0)),"No")="Sí",IFERROR(INDEX('Datos - Catálogo TIMSS'!$I$5:$I$107,MATCH(L994,'Datos - Catálogo TIMSS'!$A$5:$A$107,0)),"No")="Sí"),1,0)</f>
        <v/>
      </c>
      <c r="Y994" s="11">
        <f>IF(IFERROR(INDEX('Datos - Catálogo TIMSS'!$J$5:$J$107,MATCH(K994,'Datos - Catálogo TIMSS'!$A$5:$A$107,0)),"No")="Sí",1,0)</f>
        <v/>
      </c>
      <c r="Z994" s="11">
        <f>IF(IFERROR(INDEX('Datos - Catálogo TIMSS'!$J$5:$J$107,MATCH(L994,'Datos - Catálogo TIMSS'!$A$5:$A$107,0)),"No")="Sí",1,0)</f>
        <v/>
      </c>
      <c r="AA994" s="11" t="inlineStr">
        <is>
          <t>N/A</t>
        </is>
      </c>
      <c r="AB994" s="11" t="inlineStr"/>
      <c r="AC994" s="11">
        <f>IF(AA994="FUERA","Fuera del marco",IF(AA994="N/A","Sin marco",IFERROR(INDEX('Datos - TIMSS 2023'!$C$5:$C$105,MATCH(AA994,'Datos - TIMSS 2023'!$A$5:$A$105,0)),"Pendiente de clasificar")))</f>
        <v/>
      </c>
      <c r="AD994" s="11" t="inlineStr">
        <is>
          <t>3. Investigar, evaluar y usar información científica para tomar decisiones y actuar</t>
        </is>
      </c>
      <c r="AE994" s="11">
        <f>IF(AD994="","",IF(LEFT(AD994,1)="1","C1",IF(LEFT(AD994,1)="2","C2",IF(LEFT(AD994,1)="3","C3",""))))</f>
        <v/>
      </c>
      <c r="AF994" s="11" t="inlineStr">
        <is>
          <t>E6</t>
        </is>
      </c>
      <c r="AG994" s="11" t="inlineStr">
        <is>
          <t>E5</t>
        </is>
      </c>
      <c r="AH994" s="11" t="inlineStr">
        <is>
          <t>E1</t>
        </is>
      </c>
      <c r="AI994" s="11" t="inlineStr">
        <is>
          <t>I1</t>
        </is>
      </c>
      <c r="AJ994" s="11" t="inlineStr">
        <is>
          <t>I2</t>
        </is>
      </c>
      <c r="AK994" s="11" t="n"/>
      <c r="AL994" s="11" t="n"/>
      <c r="AM994" s="11" t="n"/>
      <c r="AN994" s="11" t="n"/>
      <c r="AO994" s="11" t="n"/>
      <c r="AP994" s="11" t="n"/>
      <c r="AQ994" s="11" t="n"/>
      <c r="AR994" s="11" t="n"/>
      <c r="AS994" s="11" t="n"/>
      <c r="AT994" s="11" t="n"/>
      <c r="AU994" s="11" t="n"/>
      <c r="AV994" s="11" t="n"/>
      <c r="AW994" s="11">
        <f>AF994&amp;"; "&amp;AG994&amp;"; "&amp;AH994&amp;"; "&amp;AI994&amp;"; "&amp;AJ994</f>
        <v/>
      </c>
    </row>
    <row r="995">
      <c r="A995" s="11" t="inlineStr">
        <is>
          <t>T0531-G10-QUÍ</t>
        </is>
      </c>
      <c r="B995" s="11" t="n">
        <v>10</v>
      </c>
      <c r="C995" s="11" t="inlineStr">
        <is>
          <t>Química</t>
        </is>
      </c>
      <c r="D995" s="11" t="inlineStr">
        <is>
          <t>Matriz_Bachillerato_Quimica_10_11.xlsx</t>
        </is>
      </c>
      <c r="E995" s="11" t="inlineStr">
        <is>
          <t>Química 10.°</t>
        </is>
      </c>
      <c r="F995" s="11" t="n">
        <v>104</v>
      </c>
      <c r="G995" s="11" t="inlineStr">
        <is>
          <t>12. Cinética y equilibrio químico</t>
        </is>
      </c>
      <c r="H995" s="11" t="inlineStr">
        <is>
          <t>Equilibrio y termodinámica</t>
        </is>
      </c>
      <c r="I995" s="38" t="inlineStr">
        <is>
          <t>12.13. Cálculo de la constante de equilibrio a partir de ΔG° y de su variación con la temperatura mediante la ecuación de van't Hoff.</t>
        </is>
      </c>
      <c r="J995" s="11" t="inlineStr">
        <is>
          <t>Sin marco</t>
        </is>
      </c>
      <c r="K995" s="11" t="inlineStr">
        <is>
          <t>N/A</t>
        </is>
      </c>
      <c r="L995" s="11" t="inlineStr"/>
      <c r="M995" s="11">
        <f>IF(K995="FUERA","Fuera del marco",IF(K995="N/A","Sin marco",IFERROR(INDEX('Datos - Catálogo TIMSS'!$C$5:$C$107,MATCH(K995,'Datos - Catálogo TIMSS'!$A$5:$A$107,0)),"Pendiente de clasificar")))</f>
        <v/>
      </c>
      <c r="N995" s="11">
        <f>IF(K995="FUERA","Fuera del marco",IF(K995="N/A","Sin marco",IFERROR(INDEX('Datos - Catálogo TIMSS'!$F$5:$F$107,MATCH(K995,'Datos - Catálogo TIMSS'!$A$5:$A$107,0)),"Pendiente de clasificar")))</f>
        <v/>
      </c>
      <c r="O995" s="11">
        <f>IF(L995="","",IFERROR(INDEX('Datos - Catálogo TIMSS'!$C$5:$C$107,MATCH(L995,'Datos - Catálogo TIMSS'!$A$5:$A$107,0)),"?"))</f>
        <v/>
      </c>
      <c r="P995" s="11" t="inlineStr">
        <is>
          <t>N/A</t>
        </is>
      </c>
      <c r="Q995" s="38" t="inlineStr">
        <is>
          <t>Sin marco TIMSS de contenido para esta asignatura en Bachillerato</t>
        </is>
      </c>
      <c r="R995" s="38" t="inlineStr">
        <is>
          <t>Aplicar: calcular K desde ΔG° y usar van't Hoff. Razonar: predecir el efecto de la temperatura</t>
        </is>
      </c>
      <c r="S995" s="39">
        <f>IFERROR(ISNUMBER(SEARCH("Conocer",$R995))/(ISNUMBER(SEARCH("Conocer",$R995))+ISNUMBER(SEARCH("Aplicar",$R995))+ISNUMBER(SEARCH("Razonar",$R995))),0)</f>
        <v/>
      </c>
      <c r="T995" s="39">
        <f>IFERROR(ISNUMBER(SEARCH("Aplicar",$R995))/(ISNUMBER(SEARCH("Conocer",$R995))+ISNUMBER(SEARCH("Aplicar",$R995))+ISNUMBER(SEARCH("Razonar",$R995))),0)</f>
        <v/>
      </c>
      <c r="U995" s="39">
        <f>IFERROR(ISNUMBER(SEARCH("Razonar",$R995))/(ISNUMBER(SEARCH("Conocer",$R995))+ISNUMBER(SEARCH("Aplicar",$R995))+ISNUMBER(SEARCH("Razonar",$R995))),0)</f>
        <v/>
      </c>
      <c r="V995" s="11" t="inlineStr">
        <is>
          <t>Química 10°</t>
        </is>
      </c>
      <c r="W995" s="11" t="inlineStr">
        <is>
          <t>Química 10°–11°</t>
        </is>
      </c>
      <c r="X995" s="11">
        <f>IF(OR(IFERROR(INDEX('Datos - Catálogo TIMSS'!$I$5:$I$107,MATCH(K995,'Datos - Catálogo TIMSS'!$A$5:$A$107,0)),"No")="Sí",IFERROR(INDEX('Datos - Catálogo TIMSS'!$I$5:$I$107,MATCH(L995,'Datos - Catálogo TIMSS'!$A$5:$A$107,0)),"No")="Sí"),1,0)</f>
        <v/>
      </c>
      <c r="Y995" s="11">
        <f>IF(IFERROR(INDEX('Datos - Catálogo TIMSS'!$J$5:$J$107,MATCH(K995,'Datos - Catálogo TIMSS'!$A$5:$A$107,0)),"No")="Sí",1,0)</f>
        <v/>
      </c>
      <c r="Z995" s="11">
        <f>IF(IFERROR(INDEX('Datos - Catálogo TIMSS'!$J$5:$J$107,MATCH(L995,'Datos - Catálogo TIMSS'!$A$5:$A$107,0)),"No")="Sí",1,0)</f>
        <v/>
      </c>
      <c r="AA995" s="11" t="inlineStr">
        <is>
          <t>N/A</t>
        </is>
      </c>
      <c r="AB995" s="11" t="inlineStr"/>
      <c r="AC995" s="11">
        <f>IF(AA995="FUERA","Fuera del marco",IF(AA995="N/A","Sin marco",IFERROR(INDEX('Datos - TIMSS 2023'!$C$5:$C$105,MATCH(AA995,'Datos - TIMSS 2023'!$A$5:$A$105,0)),"Pendiente de clasificar")))</f>
        <v/>
      </c>
      <c r="AD995" s="11" t="inlineStr">
        <is>
          <t>1. Explicar fenómenos científicamente</t>
        </is>
      </c>
      <c r="AE995" s="11">
        <f>IF(AD995="","",IF(LEFT(AD995,1)="1","C1",IF(LEFT(AD995,1)="2","C2",IF(LEFT(AD995,1)="3","C3",""))))</f>
        <v/>
      </c>
      <c r="AF995" s="11" t="inlineStr">
        <is>
          <t>E1</t>
        </is>
      </c>
      <c r="AG995" s="11" t="inlineStr">
        <is>
          <t>E3</t>
        </is>
      </c>
      <c r="AH995" s="11" t="inlineStr">
        <is>
          <t>E2</t>
        </is>
      </c>
      <c r="AI995" s="11" t="inlineStr">
        <is>
          <t>D4</t>
        </is>
      </c>
      <c r="AJ995" s="11" t="inlineStr">
        <is>
          <t>E3</t>
        </is>
      </c>
      <c r="AK995" s="11" t="n"/>
      <c r="AL995" s="11" t="n"/>
      <c r="AM995" s="11" t="n"/>
      <c r="AN995" s="11" t="n"/>
      <c r="AO995" s="11" t="n"/>
      <c r="AP995" s="11" t="n"/>
      <c r="AQ995" s="11" t="n"/>
      <c r="AR995" s="11" t="n"/>
      <c r="AS995" s="11" t="n"/>
      <c r="AT995" s="11" t="n"/>
      <c r="AU995" s="11" t="n"/>
      <c r="AV995" s="11" t="n"/>
      <c r="AW995" s="11">
        <f>AF995&amp;"; "&amp;AG995&amp;"; "&amp;AH995&amp;"; "&amp;AI995&amp;"; "&amp;AJ995</f>
        <v/>
      </c>
    </row>
    <row r="996">
      <c r="A996" s="11" t="inlineStr">
        <is>
          <t>T0532-G10-QUÍ</t>
        </is>
      </c>
      <c r="B996" s="11" t="n">
        <v>10</v>
      </c>
      <c r="C996" s="11" t="inlineStr">
        <is>
          <t>Química</t>
        </is>
      </c>
      <c r="D996" s="11" t="inlineStr">
        <is>
          <t>Matriz_Bachillerato_Quimica_10_11.xlsx</t>
        </is>
      </c>
      <c r="E996" s="11" t="inlineStr">
        <is>
          <t>Química 10.°</t>
        </is>
      </c>
      <c r="F996" s="11" t="n">
        <v>105</v>
      </c>
      <c r="G996" s="11" t="inlineStr">
        <is>
          <t>12. Cinética y equilibrio químico</t>
        </is>
      </c>
      <c r="H996" s="11" t="inlineStr">
        <is>
          <t>Equilibrio y termodinámica</t>
        </is>
      </c>
      <c r="I996" s="38" t="inlineStr">
        <is>
          <t>12.14. Análisis de las condiciones del proceso Haber como compromiso entre factores termodinámicos y cinéticos.</t>
        </is>
      </c>
      <c r="J996" s="11" t="inlineStr">
        <is>
          <t>Sin marco</t>
        </is>
      </c>
      <c r="K996" s="11" t="inlineStr">
        <is>
          <t>N/A</t>
        </is>
      </c>
      <c r="L996" s="11" t="inlineStr"/>
      <c r="M996" s="11">
        <f>IF(K996="FUERA","Fuera del marco",IF(K996="N/A","Sin marco",IFERROR(INDEX('Datos - Catálogo TIMSS'!$C$5:$C$107,MATCH(K996,'Datos - Catálogo TIMSS'!$A$5:$A$107,0)),"Pendiente de clasificar")))</f>
        <v/>
      </c>
      <c r="N996" s="11">
        <f>IF(K996="FUERA","Fuera del marco",IF(K996="N/A","Sin marco",IFERROR(INDEX('Datos - Catálogo TIMSS'!$F$5:$F$107,MATCH(K996,'Datos - Catálogo TIMSS'!$A$5:$A$107,0)),"Pendiente de clasificar")))</f>
        <v/>
      </c>
      <c r="O996" s="11">
        <f>IF(L996="","",IFERROR(INDEX('Datos - Catálogo TIMSS'!$C$5:$C$107,MATCH(L996,'Datos - Catálogo TIMSS'!$A$5:$A$107,0)),"?"))</f>
        <v/>
      </c>
      <c r="P996" s="11" t="inlineStr">
        <is>
          <t>N/A</t>
        </is>
      </c>
      <c r="Q996" s="38" t="inlineStr">
        <is>
          <t>Sin marco TIMSS de contenido para esta asignatura en Bachillerato</t>
        </is>
      </c>
      <c r="R996" s="38" t="inlineStr">
        <is>
          <t>Aplicar: analizar condiciones de equilibrio y cinética. Razonar: justificar un compromiso industrial y valorar impactos</t>
        </is>
      </c>
      <c r="S996" s="39">
        <f>IFERROR(ISNUMBER(SEARCH("Conocer",$R996))/(ISNUMBER(SEARCH("Conocer",$R996))+ISNUMBER(SEARCH("Aplicar",$R996))+ISNUMBER(SEARCH("Razonar",$R996))),0)</f>
        <v/>
      </c>
      <c r="T996" s="39">
        <f>IFERROR(ISNUMBER(SEARCH("Aplicar",$R996))/(ISNUMBER(SEARCH("Conocer",$R996))+ISNUMBER(SEARCH("Aplicar",$R996))+ISNUMBER(SEARCH("Razonar",$R996))),0)</f>
        <v/>
      </c>
      <c r="U996" s="39">
        <f>IFERROR(ISNUMBER(SEARCH("Razonar",$R996))/(ISNUMBER(SEARCH("Conocer",$R996))+ISNUMBER(SEARCH("Aplicar",$R996))+ISNUMBER(SEARCH("Razonar",$R996))),0)</f>
        <v/>
      </c>
      <c r="V996" s="11" t="inlineStr">
        <is>
          <t>Química 10°</t>
        </is>
      </c>
      <c r="W996" s="11" t="inlineStr">
        <is>
          <t>Química 10°–11°</t>
        </is>
      </c>
      <c r="X996" s="11">
        <f>IF(OR(IFERROR(INDEX('Datos - Catálogo TIMSS'!$I$5:$I$107,MATCH(K996,'Datos - Catálogo TIMSS'!$A$5:$A$107,0)),"No")="Sí",IFERROR(INDEX('Datos - Catálogo TIMSS'!$I$5:$I$107,MATCH(L996,'Datos - Catálogo TIMSS'!$A$5:$A$107,0)),"No")="Sí"),1,0)</f>
        <v/>
      </c>
      <c r="Y996" s="11">
        <f>IF(IFERROR(INDEX('Datos - Catálogo TIMSS'!$J$5:$J$107,MATCH(K996,'Datos - Catálogo TIMSS'!$A$5:$A$107,0)),"No")="Sí",1,0)</f>
        <v/>
      </c>
      <c r="Z996" s="11">
        <f>IF(IFERROR(INDEX('Datos - Catálogo TIMSS'!$J$5:$J$107,MATCH(L996,'Datos - Catálogo TIMSS'!$A$5:$A$107,0)),"No")="Sí",1,0)</f>
        <v/>
      </c>
      <c r="AA996" s="11" t="inlineStr">
        <is>
          <t>N/A</t>
        </is>
      </c>
      <c r="AB996" s="11" t="inlineStr"/>
      <c r="AC996" s="11">
        <f>IF(AA996="FUERA","Fuera del marco",IF(AA996="N/A","Sin marco",IFERROR(INDEX('Datos - TIMSS 2023'!$C$5:$C$105,MATCH(AA996,'Datos - TIMSS 2023'!$A$5:$A$105,0)),"Pendiente de clasificar")))</f>
        <v/>
      </c>
      <c r="AD996" s="11" t="inlineStr">
        <is>
          <t>3. Investigar, evaluar y usar información científica para tomar decisiones y actuar</t>
        </is>
      </c>
      <c r="AE996" s="11">
        <f>IF(AD996="","",IF(LEFT(AD996,1)="1","C1",IF(LEFT(AD996,1)="2","C2",IF(LEFT(AD996,1)="3","C3",""))))</f>
        <v/>
      </c>
      <c r="AF996" s="11" t="inlineStr">
        <is>
          <t>E6</t>
        </is>
      </c>
      <c r="AG996" s="11" t="inlineStr">
        <is>
          <t>E3</t>
        </is>
      </c>
      <c r="AH996" s="11" t="inlineStr">
        <is>
          <t>E1</t>
        </is>
      </c>
      <c r="AI996" s="11" t="inlineStr">
        <is>
          <t>I3</t>
        </is>
      </c>
      <c r="AJ996" s="11" t="inlineStr">
        <is>
          <t>I5</t>
        </is>
      </c>
      <c r="AK996" s="11" t="n"/>
      <c r="AL996" s="11" t="n"/>
      <c r="AM996" s="11" t="n"/>
      <c r="AN996" s="11" t="n"/>
      <c r="AO996" s="11" t="n"/>
      <c r="AP996" s="11" t="n"/>
      <c r="AQ996" s="11" t="n"/>
      <c r="AR996" s="11" t="n"/>
      <c r="AS996" s="11" t="n"/>
      <c r="AT996" s="11" t="n"/>
      <c r="AU996" s="11" t="n"/>
      <c r="AV996" s="11" t="n"/>
      <c r="AW996" s="11">
        <f>AF996&amp;"; "&amp;AG996&amp;"; "&amp;AH996&amp;"; "&amp;AI996&amp;"; "&amp;AJ996</f>
        <v/>
      </c>
    </row>
    <row r="997">
      <c r="A997" s="11" t="inlineStr">
        <is>
          <t>T0533-G10-QUÍ</t>
        </is>
      </c>
      <c r="B997" s="11" t="n">
        <v>10</v>
      </c>
      <c r="C997" s="11" t="inlineStr">
        <is>
          <t>Química</t>
        </is>
      </c>
      <c r="D997" s="11" t="inlineStr">
        <is>
          <t>Matriz_Bachillerato_Quimica_10_11.xlsx</t>
        </is>
      </c>
      <c r="E997" s="11" t="inlineStr">
        <is>
          <t>Química 10.°</t>
        </is>
      </c>
      <c r="F997" s="11" t="n">
        <v>106</v>
      </c>
      <c r="G997" s="11" t="inlineStr">
        <is>
          <t>13. Química inorgánica</t>
        </is>
      </c>
      <c r="H997" s="11" t="inlineStr">
        <is>
          <t>Elementos metálicos</t>
        </is>
      </c>
      <c r="I997" s="38" t="inlineStr">
        <is>
          <t>13.1. Comparación de las propiedades, métodos de obtención y usos de los metales alcalinos y alcalinotérreos, con énfasis en la sal marina y la cal.</t>
        </is>
      </c>
      <c r="J997" s="11" t="inlineStr">
        <is>
          <t>Sin marco</t>
        </is>
      </c>
      <c r="K997" s="11" t="inlineStr">
        <is>
          <t>N/A</t>
        </is>
      </c>
      <c r="L997" s="11" t="inlineStr"/>
      <c r="M997" s="11">
        <f>IF(K997="FUERA","Fuera del marco",IF(K997="N/A","Sin marco",IFERROR(INDEX('Datos - Catálogo TIMSS'!$C$5:$C$107,MATCH(K997,'Datos - Catálogo TIMSS'!$A$5:$A$107,0)),"Pendiente de clasificar")))</f>
        <v/>
      </c>
      <c r="N997" s="11">
        <f>IF(K997="FUERA","Fuera del marco",IF(K997="N/A","Sin marco",IFERROR(INDEX('Datos - Catálogo TIMSS'!$F$5:$F$107,MATCH(K997,'Datos - Catálogo TIMSS'!$A$5:$A$107,0)),"Pendiente de clasificar")))</f>
        <v/>
      </c>
      <c r="O997" s="11">
        <f>IF(L997="","",IFERROR(INDEX('Datos - Catálogo TIMSS'!$C$5:$C$107,MATCH(L997,'Datos - Catálogo TIMSS'!$A$5:$A$107,0)),"?"))</f>
        <v/>
      </c>
      <c r="P997" s="11" t="inlineStr">
        <is>
          <t>N/A</t>
        </is>
      </c>
      <c r="Q997" s="38" t="inlineStr">
        <is>
          <t>Sin marco TIMSS de contenido para esta asignatura en Bachillerato</t>
        </is>
      </c>
      <c r="R997" s="38" t="inlineStr">
        <is>
          <t>Conocer: describir propiedades de los grupos 1 y 2. Aplicar: graficar tendencias. Razonar: predecir la reactividad</t>
        </is>
      </c>
      <c r="S997" s="39">
        <f>IFERROR(ISNUMBER(SEARCH("Conocer",$R997))/(ISNUMBER(SEARCH("Conocer",$R997))+ISNUMBER(SEARCH("Aplicar",$R997))+ISNUMBER(SEARCH("Razonar",$R997))),0)</f>
        <v/>
      </c>
      <c r="T997" s="39">
        <f>IFERROR(ISNUMBER(SEARCH("Aplicar",$R997))/(ISNUMBER(SEARCH("Conocer",$R997))+ISNUMBER(SEARCH("Aplicar",$R997))+ISNUMBER(SEARCH("Razonar",$R997))),0)</f>
        <v/>
      </c>
      <c r="U997" s="39">
        <f>IFERROR(ISNUMBER(SEARCH("Razonar",$R997))/(ISNUMBER(SEARCH("Conocer",$R997))+ISNUMBER(SEARCH("Aplicar",$R997))+ISNUMBER(SEARCH("Razonar",$R997))),0)</f>
        <v/>
      </c>
      <c r="V997" s="11" t="inlineStr">
        <is>
          <t>Química 10°</t>
        </is>
      </c>
      <c r="W997" s="11" t="inlineStr">
        <is>
          <t>Química 10°–11°</t>
        </is>
      </c>
      <c r="X997" s="11">
        <f>IF(OR(IFERROR(INDEX('Datos - Catálogo TIMSS'!$I$5:$I$107,MATCH(K997,'Datos - Catálogo TIMSS'!$A$5:$A$107,0)),"No")="Sí",IFERROR(INDEX('Datos - Catálogo TIMSS'!$I$5:$I$107,MATCH(L997,'Datos - Catálogo TIMSS'!$A$5:$A$107,0)),"No")="Sí"),1,0)</f>
        <v/>
      </c>
      <c r="Y997" s="11">
        <f>IF(IFERROR(INDEX('Datos - Catálogo TIMSS'!$J$5:$J$107,MATCH(K997,'Datos - Catálogo TIMSS'!$A$5:$A$107,0)),"No")="Sí",1,0)</f>
        <v/>
      </c>
      <c r="Z997" s="11">
        <f>IF(IFERROR(INDEX('Datos - Catálogo TIMSS'!$J$5:$J$107,MATCH(L997,'Datos - Catálogo TIMSS'!$A$5:$A$107,0)),"No")="Sí",1,0)</f>
        <v/>
      </c>
      <c r="AA997" s="11" t="inlineStr">
        <is>
          <t>N/A</t>
        </is>
      </c>
      <c r="AB997" s="11" t="inlineStr"/>
      <c r="AC997" s="11">
        <f>IF(AA997="FUERA","Fuera del marco",IF(AA997="N/A","Sin marco",IFERROR(INDEX('Datos - TIMSS 2023'!$C$5:$C$105,MATCH(AA997,'Datos - TIMSS 2023'!$A$5:$A$105,0)),"Pendiente de clasificar")))</f>
        <v/>
      </c>
      <c r="AD997" s="11" t="inlineStr">
        <is>
          <t>1. Explicar fenómenos científicamente</t>
        </is>
      </c>
      <c r="AE997" s="11">
        <f>IF(AD997="","",IF(LEFT(AD997,1)="1","C1",IF(LEFT(AD997,1)="2","C2",IF(LEFT(AD997,1)="3","C3",""))))</f>
        <v/>
      </c>
      <c r="AF997" s="11" t="inlineStr">
        <is>
          <t>E6</t>
        </is>
      </c>
      <c r="AG997" s="11" t="inlineStr">
        <is>
          <t>D1</t>
        </is>
      </c>
      <c r="AH997" s="11" t="inlineStr">
        <is>
          <t>E2</t>
        </is>
      </c>
      <c r="AI997" s="11" t="inlineStr">
        <is>
          <t>D4</t>
        </is>
      </c>
      <c r="AJ997" s="11" t="inlineStr">
        <is>
          <t>E3</t>
        </is>
      </c>
      <c r="AK997" s="11" t="n"/>
      <c r="AL997" s="11" t="n"/>
      <c r="AM997" s="11" t="n"/>
      <c r="AN997" s="11" t="n"/>
      <c r="AO997" s="11" t="n"/>
      <c r="AP997" s="11" t="n"/>
      <c r="AQ997" s="11" t="n"/>
      <c r="AR997" s="11" t="n"/>
      <c r="AS997" s="11" t="n"/>
      <c r="AT997" s="11" t="n"/>
      <c r="AU997" s="11" t="n"/>
      <c r="AV997" s="11" t="n"/>
      <c r="AW997" s="11">
        <f>AF997&amp;"; "&amp;AG997&amp;"; "&amp;AH997&amp;"; "&amp;AI997&amp;"; "&amp;AJ997</f>
        <v/>
      </c>
    </row>
    <row r="998">
      <c r="A998" s="11" t="inlineStr">
        <is>
          <t>T0534-G10-QUÍ</t>
        </is>
      </c>
      <c r="B998" s="11" t="n">
        <v>10</v>
      </c>
      <c r="C998" s="11" t="inlineStr">
        <is>
          <t>Química</t>
        </is>
      </c>
      <c r="D998" s="11" t="inlineStr">
        <is>
          <t>Matriz_Bachillerato_Quimica_10_11.xlsx</t>
        </is>
      </c>
      <c r="E998" s="11" t="inlineStr">
        <is>
          <t>Química 10.°</t>
        </is>
      </c>
      <c r="F998" s="11" t="n">
        <v>107</v>
      </c>
      <c r="G998" s="11" t="inlineStr">
        <is>
          <t>13. Química inorgánica</t>
        </is>
      </c>
      <c r="H998" s="11" t="inlineStr">
        <is>
          <t>Elementos metálicos</t>
        </is>
      </c>
      <c r="I998" s="38" t="inlineStr">
        <is>
          <t>13.2. Análisis de las propiedades, la obtención y las aplicaciones de los elementos térreos, de otros metales del bloque p y de los semimetales.</t>
        </is>
      </c>
      <c r="J998" s="11" t="inlineStr">
        <is>
          <t>Sin marco</t>
        </is>
      </c>
      <c r="K998" s="11" t="inlineStr">
        <is>
          <t>N/A</t>
        </is>
      </c>
      <c r="L998" s="11" t="inlineStr"/>
      <c r="M998" s="11">
        <f>IF(K998="FUERA","Fuera del marco",IF(K998="N/A","Sin marco",IFERROR(INDEX('Datos - Catálogo TIMSS'!$C$5:$C$107,MATCH(K998,'Datos - Catálogo TIMSS'!$A$5:$A$107,0)),"Pendiente de clasificar")))</f>
        <v/>
      </c>
      <c r="N998" s="11">
        <f>IF(K998="FUERA","Fuera del marco",IF(K998="N/A","Sin marco",IFERROR(INDEX('Datos - Catálogo TIMSS'!$F$5:$F$107,MATCH(K998,'Datos - Catálogo TIMSS'!$A$5:$A$107,0)),"Pendiente de clasificar")))</f>
        <v/>
      </c>
      <c r="O998" s="11">
        <f>IF(L998="","",IFERROR(INDEX('Datos - Catálogo TIMSS'!$C$5:$C$107,MATCH(L998,'Datos - Catálogo TIMSS'!$A$5:$A$107,0)),"?"))</f>
        <v/>
      </c>
      <c r="P998" s="11" t="inlineStr">
        <is>
          <t>N/A</t>
        </is>
      </c>
      <c r="Q998" s="38" t="inlineStr">
        <is>
          <t>Sin marco TIMSS de contenido para esta asignatura en Bachillerato</t>
        </is>
      </c>
      <c r="R998" s="38" t="inlineStr">
        <is>
          <t>Conocer: ubicar semimetales. Aplicar: explicar propiedades con la estructura electrónica. Razonar: evaluar riesgos y beneficios</t>
        </is>
      </c>
      <c r="S998" s="39">
        <f>IFERROR(ISNUMBER(SEARCH("Conocer",$R998))/(ISNUMBER(SEARCH("Conocer",$R998))+ISNUMBER(SEARCH("Aplicar",$R998))+ISNUMBER(SEARCH("Razonar",$R998))),0)</f>
        <v/>
      </c>
      <c r="T998" s="39">
        <f>IFERROR(ISNUMBER(SEARCH("Aplicar",$R998))/(ISNUMBER(SEARCH("Conocer",$R998))+ISNUMBER(SEARCH("Aplicar",$R998))+ISNUMBER(SEARCH("Razonar",$R998))),0)</f>
        <v/>
      </c>
      <c r="U998" s="39">
        <f>IFERROR(ISNUMBER(SEARCH("Razonar",$R998))/(ISNUMBER(SEARCH("Conocer",$R998))+ISNUMBER(SEARCH("Aplicar",$R998))+ISNUMBER(SEARCH("Razonar",$R998))),0)</f>
        <v/>
      </c>
      <c r="V998" s="11" t="inlineStr">
        <is>
          <t>Química 10°</t>
        </is>
      </c>
      <c r="W998" s="11" t="inlineStr">
        <is>
          <t>Química 10°–11°</t>
        </is>
      </c>
      <c r="X998" s="11">
        <f>IF(OR(IFERROR(INDEX('Datos - Catálogo TIMSS'!$I$5:$I$107,MATCH(K998,'Datos - Catálogo TIMSS'!$A$5:$A$107,0)),"No")="Sí",IFERROR(INDEX('Datos - Catálogo TIMSS'!$I$5:$I$107,MATCH(L998,'Datos - Catálogo TIMSS'!$A$5:$A$107,0)),"No")="Sí"),1,0)</f>
        <v/>
      </c>
      <c r="Y998" s="11">
        <f>IF(IFERROR(INDEX('Datos - Catálogo TIMSS'!$J$5:$J$107,MATCH(K998,'Datos - Catálogo TIMSS'!$A$5:$A$107,0)),"No")="Sí",1,0)</f>
        <v/>
      </c>
      <c r="Z998" s="11">
        <f>IF(IFERROR(INDEX('Datos - Catálogo TIMSS'!$J$5:$J$107,MATCH(L998,'Datos - Catálogo TIMSS'!$A$5:$A$107,0)),"No")="Sí",1,0)</f>
        <v/>
      </c>
      <c r="AA998" s="11" t="inlineStr">
        <is>
          <t>N/A</t>
        </is>
      </c>
      <c r="AB998" s="11" t="inlineStr"/>
      <c r="AC998" s="11">
        <f>IF(AA998="FUERA","Fuera del marco",IF(AA998="N/A","Sin marco",IFERROR(INDEX('Datos - TIMSS 2023'!$C$5:$C$105,MATCH(AA998,'Datos - TIMSS 2023'!$A$5:$A$105,0)),"Pendiente de clasificar")))</f>
        <v/>
      </c>
      <c r="AD998" s="11" t="inlineStr">
        <is>
          <t>1. Explicar fenómenos científicamente</t>
        </is>
      </c>
      <c r="AE998" s="11">
        <f>IF(AD998="","",IF(LEFT(AD998,1)="1","C1",IF(LEFT(AD998,1)="2","C2",IF(LEFT(AD998,1)="3","C3",""))))</f>
        <v/>
      </c>
      <c r="AF998" s="11" t="inlineStr">
        <is>
          <t>E1</t>
        </is>
      </c>
      <c r="AG998" s="11" t="inlineStr">
        <is>
          <t>E5</t>
        </is>
      </c>
      <c r="AH998" s="11" t="inlineStr">
        <is>
          <t>E1</t>
        </is>
      </c>
      <c r="AI998" s="11" t="inlineStr">
        <is>
          <t>I1</t>
        </is>
      </c>
      <c r="AJ998" s="11" t="inlineStr">
        <is>
          <t>I5</t>
        </is>
      </c>
      <c r="AK998" s="11" t="n"/>
      <c r="AL998" s="11" t="n"/>
      <c r="AM998" s="11" t="n"/>
      <c r="AN998" s="11" t="n"/>
      <c r="AO998" s="11" t="n"/>
      <c r="AP998" s="11" t="n"/>
      <c r="AQ998" s="11" t="n"/>
      <c r="AR998" s="11" t="n"/>
      <c r="AS998" s="11" t="n"/>
      <c r="AT998" s="11" t="n"/>
      <c r="AU998" s="11" t="n"/>
      <c r="AV998" s="11" t="n"/>
      <c r="AW998" s="11">
        <f>AF998&amp;"; "&amp;AG998&amp;"; "&amp;AH998&amp;"; "&amp;AI998&amp;"; "&amp;AJ998</f>
        <v/>
      </c>
    </row>
    <row r="999">
      <c r="A999" s="11" t="inlineStr">
        <is>
          <t>T0535-G10-QUÍ</t>
        </is>
      </c>
      <c r="B999" s="11" t="n">
        <v>10</v>
      </c>
      <c r="C999" s="11" t="inlineStr">
        <is>
          <t>Química</t>
        </is>
      </c>
      <c r="D999" s="11" t="inlineStr">
        <is>
          <t>Matriz_Bachillerato_Quimica_10_11.xlsx</t>
        </is>
      </c>
      <c r="E999" s="11" t="inlineStr">
        <is>
          <t>Química 10.°</t>
        </is>
      </c>
      <c r="F999" s="11" t="n">
        <v>108</v>
      </c>
      <c r="G999" s="11" t="inlineStr">
        <is>
          <t>13. Química inorgánica</t>
        </is>
      </c>
      <c r="H999" s="11" t="inlineStr">
        <is>
          <t>Elementos metálicos</t>
        </is>
      </c>
      <c r="I999" s="38" t="inlineStr">
        <is>
          <t>13.3. Caracterización de los metales de transición por sus estados de oxidación, el color de sus compuestos y sus aplicaciones en aleaciones.</t>
        </is>
      </c>
      <c r="J999" s="11" t="inlineStr">
        <is>
          <t>Sin marco</t>
        </is>
      </c>
      <c r="K999" s="11" t="inlineStr">
        <is>
          <t>N/A</t>
        </is>
      </c>
      <c r="L999" s="11" t="inlineStr"/>
      <c r="M999" s="11">
        <f>IF(K999="FUERA","Fuera del marco",IF(K999="N/A","Sin marco",IFERROR(INDEX('Datos - Catálogo TIMSS'!$C$5:$C$107,MATCH(K999,'Datos - Catálogo TIMSS'!$A$5:$A$107,0)),"Pendiente de clasificar")))</f>
        <v/>
      </c>
      <c r="N999" s="11">
        <f>IF(K999="FUERA","Fuera del marco",IF(K999="N/A","Sin marco",IFERROR(INDEX('Datos - Catálogo TIMSS'!$F$5:$F$107,MATCH(K999,'Datos - Catálogo TIMSS'!$A$5:$A$107,0)),"Pendiente de clasificar")))</f>
        <v/>
      </c>
      <c r="O999" s="11">
        <f>IF(L999="","",IFERROR(INDEX('Datos - Catálogo TIMSS'!$C$5:$C$107,MATCH(L999,'Datos - Catálogo TIMSS'!$A$5:$A$107,0)),"?"))</f>
        <v/>
      </c>
      <c r="P999" s="11" t="inlineStr">
        <is>
          <t>N/A</t>
        </is>
      </c>
      <c r="Q999" s="38" t="inlineStr">
        <is>
          <t>Sin marco TIMSS de contenido para esta asignatura en Bachillerato</t>
        </is>
      </c>
      <c r="R999" s="38" t="inlineStr">
        <is>
          <t>Conocer: identificar propiedades de los metales de transición. Aplicar: predecir desplazamientos. Razonar: evaluar el diseño</t>
        </is>
      </c>
      <c r="S999" s="39">
        <f>IFERROR(ISNUMBER(SEARCH("Conocer",$R999))/(ISNUMBER(SEARCH("Conocer",$R999))+ISNUMBER(SEARCH("Aplicar",$R999))+ISNUMBER(SEARCH("Razonar",$R999))),0)</f>
        <v/>
      </c>
      <c r="T999" s="39">
        <f>IFERROR(ISNUMBER(SEARCH("Aplicar",$R999))/(ISNUMBER(SEARCH("Conocer",$R999))+ISNUMBER(SEARCH("Aplicar",$R999))+ISNUMBER(SEARCH("Razonar",$R999))),0)</f>
        <v/>
      </c>
      <c r="U999" s="39">
        <f>IFERROR(ISNUMBER(SEARCH("Razonar",$R999))/(ISNUMBER(SEARCH("Conocer",$R999))+ISNUMBER(SEARCH("Aplicar",$R999))+ISNUMBER(SEARCH("Razonar",$R999))),0)</f>
        <v/>
      </c>
      <c r="V999" s="11" t="inlineStr">
        <is>
          <t>Química 10°</t>
        </is>
      </c>
      <c r="W999" s="11" t="inlineStr">
        <is>
          <t>Química 10°–11°</t>
        </is>
      </c>
      <c r="X999" s="11">
        <f>IF(OR(IFERROR(INDEX('Datos - Catálogo TIMSS'!$I$5:$I$107,MATCH(K999,'Datos - Catálogo TIMSS'!$A$5:$A$107,0)),"No")="Sí",IFERROR(INDEX('Datos - Catálogo TIMSS'!$I$5:$I$107,MATCH(L999,'Datos - Catálogo TIMSS'!$A$5:$A$107,0)),"No")="Sí"),1,0)</f>
        <v/>
      </c>
      <c r="Y999" s="11">
        <f>IF(IFERROR(INDEX('Datos - Catálogo TIMSS'!$J$5:$J$107,MATCH(K999,'Datos - Catálogo TIMSS'!$A$5:$A$107,0)),"No")="Sí",1,0)</f>
        <v/>
      </c>
      <c r="Z999" s="11">
        <f>IF(IFERROR(INDEX('Datos - Catálogo TIMSS'!$J$5:$J$107,MATCH(L999,'Datos - Catálogo TIMSS'!$A$5:$A$107,0)),"No")="Sí",1,0)</f>
        <v/>
      </c>
      <c r="AA999" s="11" t="inlineStr">
        <is>
          <t>N/A</t>
        </is>
      </c>
      <c r="AB999" s="11" t="inlineStr"/>
      <c r="AC999" s="11">
        <f>IF(AA999="FUERA","Fuera del marco",IF(AA999="N/A","Sin marco",IFERROR(INDEX('Datos - TIMSS 2023'!$C$5:$C$105,MATCH(AA999,'Datos - TIMSS 2023'!$A$5:$A$105,0)),"Pendiente de clasificar")))</f>
        <v/>
      </c>
      <c r="AD999" s="11" t="inlineStr">
        <is>
          <t>2. Construir y evaluar diseños para la indagación científica e interpretar datos y evidencia de forma crítica</t>
        </is>
      </c>
      <c r="AE999" s="11">
        <f>IF(AD999="","",IF(LEFT(AD999,1)="1","C1",IF(LEFT(AD999,1)="2","C2",IF(LEFT(AD999,1)="3","C3",""))))</f>
        <v/>
      </c>
      <c r="AF999" s="11" t="inlineStr">
        <is>
          <t>E1</t>
        </is>
      </c>
      <c r="AG999" s="11" t="inlineStr">
        <is>
          <t>E3</t>
        </is>
      </c>
      <c r="AH999" s="11" t="inlineStr">
        <is>
          <t>E4</t>
        </is>
      </c>
      <c r="AI999" s="11" t="inlineStr">
        <is>
          <t>D2</t>
        </is>
      </c>
      <c r="AJ999" s="11" t="inlineStr">
        <is>
          <t>D3</t>
        </is>
      </c>
      <c r="AK999" s="11" t="n"/>
      <c r="AL999" s="11" t="n"/>
      <c r="AM999" s="11" t="n"/>
      <c r="AN999" s="11" t="n"/>
      <c r="AO999" s="11" t="n"/>
      <c r="AP999" s="11" t="n"/>
      <c r="AQ999" s="11" t="n"/>
      <c r="AR999" s="11" t="n"/>
      <c r="AS999" s="11" t="n"/>
      <c r="AT999" s="11" t="n"/>
      <c r="AU999" s="11" t="n"/>
      <c r="AV999" s="11" t="n"/>
      <c r="AW999" s="11">
        <f>AF999&amp;"; "&amp;AG999&amp;"; "&amp;AH999&amp;"; "&amp;AI999&amp;"; "&amp;AJ999</f>
        <v/>
      </c>
    </row>
    <row r="1000">
      <c r="A1000" s="11" t="inlineStr">
        <is>
          <t>T0536-G10-QUÍ</t>
        </is>
      </c>
      <c r="B1000" s="11" t="n">
        <v>10</v>
      </c>
      <c r="C1000" s="11" t="inlineStr">
        <is>
          <t>Química</t>
        </is>
      </c>
      <c r="D1000" s="11" t="inlineStr">
        <is>
          <t>Matriz_Bachillerato_Quimica_10_11.xlsx</t>
        </is>
      </c>
      <c r="E1000" s="11" t="inlineStr">
        <is>
          <t>Química 10.°</t>
        </is>
      </c>
      <c r="F1000" s="11" t="n">
        <v>109</v>
      </c>
      <c r="G1000" s="11" t="inlineStr">
        <is>
          <t>13. Química inorgánica</t>
        </is>
      </c>
      <c r="H1000" s="11" t="inlineStr">
        <is>
          <t>Elementos no metálicos</t>
        </is>
      </c>
      <c r="I1000" s="38" t="inlineStr">
        <is>
          <t>13.4. Relación de las propiedades de los alótropos del carbono y de los carbonoideos con procesos biológicos, climáticos y tecnológicos.</t>
        </is>
      </c>
      <c r="J1000" s="11" t="inlineStr">
        <is>
          <t>Sin marco</t>
        </is>
      </c>
      <c r="K1000" s="11" t="inlineStr">
        <is>
          <t>N/A</t>
        </is>
      </c>
      <c r="L1000" s="11" t="inlineStr"/>
      <c r="M1000" s="11">
        <f>IF(K1000="FUERA","Fuera del marco",IF(K1000="N/A","Sin marco",IFERROR(INDEX('Datos - Catálogo TIMSS'!$C$5:$C$107,MATCH(K1000,'Datos - Catálogo TIMSS'!$A$5:$A$107,0)),"Pendiente de clasificar")))</f>
        <v/>
      </c>
      <c r="N1000" s="11">
        <f>IF(K1000="FUERA","Fuera del marco",IF(K1000="N/A","Sin marco",IFERROR(INDEX('Datos - Catálogo TIMSS'!$F$5:$F$107,MATCH(K1000,'Datos - Catálogo TIMSS'!$A$5:$A$107,0)),"Pendiente de clasificar")))</f>
        <v/>
      </c>
      <c r="O1000" s="11">
        <f>IF(L1000="","",IFERROR(INDEX('Datos - Catálogo TIMSS'!$C$5:$C$107,MATCH(L1000,'Datos - Catálogo TIMSS'!$A$5:$A$107,0)),"?"))</f>
        <v/>
      </c>
      <c r="P1000" s="11" t="inlineStr">
        <is>
          <t>N/A</t>
        </is>
      </c>
      <c r="Q1000" s="38" t="inlineStr">
        <is>
          <t>Sin marco TIMSS de contenido para esta asignatura en Bachillerato</t>
        </is>
      </c>
      <c r="R1000" s="38" t="inlineStr">
        <is>
          <t>Conocer: describir alótropos. Aplicar: relacionar estructura y propiedades. Razonar: argumentar con datos climáticos</t>
        </is>
      </c>
      <c r="S1000" s="39">
        <f>IFERROR(ISNUMBER(SEARCH("Conocer",$R1000))/(ISNUMBER(SEARCH("Conocer",$R1000))+ISNUMBER(SEARCH("Aplicar",$R1000))+ISNUMBER(SEARCH("Razonar",$R1000))),0)</f>
        <v/>
      </c>
      <c r="T1000" s="39">
        <f>IFERROR(ISNUMBER(SEARCH("Aplicar",$R1000))/(ISNUMBER(SEARCH("Conocer",$R1000))+ISNUMBER(SEARCH("Aplicar",$R1000))+ISNUMBER(SEARCH("Razonar",$R1000))),0)</f>
        <v/>
      </c>
      <c r="U1000" s="39">
        <f>IFERROR(ISNUMBER(SEARCH("Razonar",$R1000))/(ISNUMBER(SEARCH("Conocer",$R1000))+ISNUMBER(SEARCH("Aplicar",$R1000))+ISNUMBER(SEARCH("Razonar",$R1000))),0)</f>
        <v/>
      </c>
      <c r="V1000" s="11" t="inlineStr">
        <is>
          <t>Química 10°</t>
        </is>
      </c>
      <c r="W1000" s="11" t="inlineStr">
        <is>
          <t>Química 10°–11°</t>
        </is>
      </c>
      <c r="X1000" s="11">
        <f>IF(OR(IFERROR(INDEX('Datos - Catálogo TIMSS'!$I$5:$I$107,MATCH(K1000,'Datos - Catálogo TIMSS'!$A$5:$A$107,0)),"No")="Sí",IFERROR(INDEX('Datos - Catálogo TIMSS'!$I$5:$I$107,MATCH(L1000,'Datos - Catálogo TIMSS'!$A$5:$A$107,0)),"No")="Sí"),1,0)</f>
        <v/>
      </c>
      <c r="Y1000" s="11">
        <f>IF(IFERROR(INDEX('Datos - Catálogo TIMSS'!$J$5:$J$107,MATCH(K1000,'Datos - Catálogo TIMSS'!$A$5:$A$107,0)),"No")="Sí",1,0)</f>
        <v/>
      </c>
      <c r="Z1000" s="11">
        <f>IF(IFERROR(INDEX('Datos - Catálogo TIMSS'!$J$5:$J$107,MATCH(L1000,'Datos - Catálogo TIMSS'!$A$5:$A$107,0)),"No")="Sí",1,0)</f>
        <v/>
      </c>
      <c r="AA1000" s="11" t="inlineStr">
        <is>
          <t>N/A</t>
        </is>
      </c>
      <c r="AB1000" s="11" t="inlineStr"/>
      <c r="AC1000" s="11">
        <f>IF(AA1000="FUERA","Fuera del marco",IF(AA1000="N/A","Sin marco",IFERROR(INDEX('Datos - TIMSS 2023'!$C$5:$C$105,MATCH(AA1000,'Datos - TIMSS 2023'!$A$5:$A$105,0)),"Pendiente de clasificar")))</f>
        <v/>
      </c>
      <c r="AD1000" s="11" t="inlineStr">
        <is>
          <t>3. Investigar, evaluar y usar información científica para tomar decisiones y actuar</t>
        </is>
      </c>
      <c r="AE1000" s="11">
        <f>IF(AD1000="","",IF(LEFT(AD1000,1)="1","C1",IF(LEFT(AD1000,1)="2","C2",IF(LEFT(AD1000,1)="3","C3",""))))</f>
        <v/>
      </c>
      <c r="AF1000" s="11" t="inlineStr">
        <is>
          <t>E1</t>
        </is>
      </c>
      <c r="AG1000" s="11" t="inlineStr">
        <is>
          <t>E5</t>
        </is>
      </c>
      <c r="AH1000" s="11" t="inlineStr">
        <is>
          <t>E4</t>
        </is>
      </c>
      <c r="AI1000" s="11" t="inlineStr">
        <is>
          <t>I3</t>
        </is>
      </c>
      <c r="AJ1000" s="11" t="inlineStr">
        <is>
          <t>E6</t>
        </is>
      </c>
      <c r="AK1000" s="11" t="n"/>
      <c r="AL1000" s="11" t="n"/>
      <c r="AM1000" s="11" t="n"/>
      <c r="AN1000" s="11" t="n"/>
      <c r="AO1000" s="11" t="n"/>
      <c r="AP1000" s="11" t="n"/>
      <c r="AQ1000" s="11" t="n"/>
      <c r="AR1000" s="11" t="n"/>
      <c r="AS1000" s="11" t="n"/>
      <c r="AT1000" s="11" t="n"/>
      <c r="AU1000" s="11" t="n"/>
      <c r="AV1000" s="11" t="n"/>
      <c r="AW1000" s="11">
        <f>AF1000&amp;"; "&amp;AG1000&amp;"; "&amp;AH1000&amp;"; "&amp;AI1000&amp;"; "&amp;AJ1000</f>
        <v/>
      </c>
    </row>
    <row r="1001">
      <c r="A1001" s="11" t="inlineStr">
        <is>
          <t>T0537-G10-QUÍ</t>
        </is>
      </c>
      <c r="B1001" s="11" t="n">
        <v>10</v>
      </c>
      <c r="C1001" s="11" t="inlineStr">
        <is>
          <t>Química</t>
        </is>
      </c>
      <c r="D1001" s="11" t="inlineStr">
        <is>
          <t>Matriz_Bachillerato_Quimica_10_11.xlsx</t>
        </is>
      </c>
      <c r="E1001" s="11" t="inlineStr">
        <is>
          <t>Química 10.°</t>
        </is>
      </c>
      <c r="F1001" s="11" t="n">
        <v>110</v>
      </c>
      <c r="G1001" s="11" t="inlineStr">
        <is>
          <t>13. Química inorgánica</t>
        </is>
      </c>
      <c r="H1001" s="11" t="inlineStr">
        <is>
          <t>Elementos no metálicos</t>
        </is>
      </c>
      <c r="I1001" s="38" t="inlineStr">
        <is>
          <t>13.5. Análisis de las propiedades y funciones de los nitrogenoideos y de sus compuestos en los ciclos biogeoquímicos y en la calidad del agua.</t>
        </is>
      </c>
      <c r="J1001" s="11" t="inlineStr">
        <is>
          <t>Sin marco</t>
        </is>
      </c>
      <c r="K1001" s="11" t="inlineStr">
        <is>
          <t>N/A</t>
        </is>
      </c>
      <c r="L1001" s="11" t="inlineStr"/>
      <c r="M1001" s="11">
        <f>IF(K1001="FUERA","Fuera del marco",IF(K1001="N/A","Sin marco",IFERROR(INDEX('Datos - Catálogo TIMSS'!$C$5:$C$107,MATCH(K1001,'Datos - Catálogo TIMSS'!$A$5:$A$107,0)),"Pendiente de clasificar")))</f>
        <v/>
      </c>
      <c r="N1001" s="11">
        <f>IF(K1001="FUERA","Fuera del marco",IF(K1001="N/A","Sin marco",IFERROR(INDEX('Datos - Catálogo TIMSS'!$F$5:$F$107,MATCH(K1001,'Datos - Catálogo TIMSS'!$A$5:$A$107,0)),"Pendiente de clasificar")))</f>
        <v/>
      </c>
      <c r="O1001" s="11">
        <f>IF(L1001="","",IFERROR(INDEX('Datos - Catálogo TIMSS'!$C$5:$C$107,MATCH(L1001,'Datos - Catálogo TIMSS'!$A$5:$A$107,0)),"?"))</f>
        <v/>
      </c>
      <c r="P1001" s="11" t="inlineStr">
        <is>
          <t>N/A</t>
        </is>
      </c>
      <c r="Q1001" s="38" t="inlineStr">
        <is>
          <t>Sin marco TIMSS de contenido para esta asignatura en Bachillerato</t>
        </is>
      </c>
      <c r="R1001" s="38" t="inlineStr">
        <is>
          <t>Conocer: describir compuestos nitrogenados. Aplicar: modelar ciclos biogeoquímicos. Razonar: justificar medidas ambientales</t>
        </is>
      </c>
      <c r="S1001" s="39">
        <f>IFERROR(ISNUMBER(SEARCH("Conocer",$R1001))/(ISNUMBER(SEARCH("Conocer",$R1001))+ISNUMBER(SEARCH("Aplicar",$R1001))+ISNUMBER(SEARCH("Razonar",$R1001))),0)</f>
        <v/>
      </c>
      <c r="T1001" s="39">
        <f>IFERROR(ISNUMBER(SEARCH("Aplicar",$R1001))/(ISNUMBER(SEARCH("Conocer",$R1001))+ISNUMBER(SEARCH("Aplicar",$R1001))+ISNUMBER(SEARCH("Razonar",$R1001))),0)</f>
        <v/>
      </c>
      <c r="U1001" s="39">
        <f>IFERROR(ISNUMBER(SEARCH("Razonar",$R1001))/(ISNUMBER(SEARCH("Conocer",$R1001))+ISNUMBER(SEARCH("Aplicar",$R1001))+ISNUMBER(SEARCH("Razonar",$R1001))),0)</f>
        <v/>
      </c>
      <c r="V1001" s="11" t="inlineStr">
        <is>
          <t>Química 10°</t>
        </is>
      </c>
      <c r="W1001" s="11" t="inlineStr">
        <is>
          <t>Química 10°–11°</t>
        </is>
      </c>
      <c r="X1001" s="11">
        <f>IF(OR(IFERROR(INDEX('Datos - Catálogo TIMSS'!$I$5:$I$107,MATCH(K1001,'Datos - Catálogo TIMSS'!$A$5:$A$107,0)),"No")="Sí",IFERROR(INDEX('Datos - Catálogo TIMSS'!$I$5:$I$107,MATCH(L1001,'Datos - Catálogo TIMSS'!$A$5:$A$107,0)),"No")="Sí"),1,0)</f>
        <v/>
      </c>
      <c r="Y1001" s="11">
        <f>IF(IFERROR(INDEX('Datos - Catálogo TIMSS'!$J$5:$J$107,MATCH(K1001,'Datos - Catálogo TIMSS'!$A$5:$A$107,0)),"No")="Sí",1,0)</f>
        <v/>
      </c>
      <c r="Z1001" s="11">
        <f>IF(IFERROR(INDEX('Datos - Catálogo TIMSS'!$J$5:$J$107,MATCH(L1001,'Datos - Catálogo TIMSS'!$A$5:$A$107,0)),"No")="Sí",1,0)</f>
        <v/>
      </c>
      <c r="AA1001" s="11" t="inlineStr">
        <is>
          <t>N/A</t>
        </is>
      </c>
      <c r="AB1001" s="11" t="inlineStr"/>
      <c r="AC1001" s="11">
        <f>IF(AA1001="FUERA","Fuera del marco",IF(AA1001="N/A","Sin marco",IFERROR(INDEX('Datos - TIMSS 2023'!$C$5:$C$105,MATCH(AA1001,'Datos - TIMSS 2023'!$A$5:$A$105,0)),"Pendiente de clasificar")))</f>
        <v/>
      </c>
      <c r="AD1001" s="11" t="inlineStr">
        <is>
          <t>1. Explicar fenómenos científicamente</t>
        </is>
      </c>
      <c r="AE1001" s="11">
        <f>IF(AD1001="","",IF(LEFT(AD1001,1)="1","C1",IF(LEFT(AD1001,1)="2","C2",IF(LEFT(AD1001,1)="3","C3",""))))</f>
        <v/>
      </c>
      <c r="AF1001" s="11" t="inlineStr">
        <is>
          <t>E6</t>
        </is>
      </c>
      <c r="AG1001" s="11" t="inlineStr">
        <is>
          <t>D1</t>
        </is>
      </c>
      <c r="AH1001" s="11" t="inlineStr">
        <is>
          <t>E4</t>
        </is>
      </c>
      <c r="AI1001" s="11" t="inlineStr">
        <is>
          <t>I1</t>
        </is>
      </c>
      <c r="AJ1001" s="11" t="inlineStr">
        <is>
          <t>I5</t>
        </is>
      </c>
      <c r="AK1001" s="11" t="n"/>
      <c r="AL1001" s="11" t="n"/>
      <c r="AM1001" s="11" t="n"/>
      <c r="AN1001" s="11" t="n"/>
      <c r="AO1001" s="11" t="n"/>
      <c r="AP1001" s="11" t="n"/>
      <c r="AQ1001" s="11" t="n"/>
      <c r="AR1001" s="11" t="n"/>
      <c r="AS1001" s="11" t="n"/>
      <c r="AT1001" s="11" t="n"/>
      <c r="AU1001" s="11" t="n"/>
      <c r="AV1001" s="11" t="n"/>
      <c r="AW1001" s="11">
        <f>AF1001&amp;"; "&amp;AG1001&amp;"; "&amp;AH1001&amp;"; "&amp;AI1001&amp;"; "&amp;AJ1001</f>
        <v/>
      </c>
    </row>
    <row r="1002">
      <c r="A1002" s="11" t="inlineStr">
        <is>
          <t>T0538-G10-QUÍ</t>
        </is>
      </c>
      <c r="B1002" s="11" t="n">
        <v>10</v>
      </c>
      <c r="C1002" s="11" t="inlineStr">
        <is>
          <t>Química</t>
        </is>
      </c>
      <c r="D1002" s="11" t="inlineStr">
        <is>
          <t>Matriz_Bachillerato_Quimica_10_11.xlsx</t>
        </is>
      </c>
      <c r="E1002" s="11" t="inlineStr">
        <is>
          <t>Química 10.°</t>
        </is>
      </c>
      <c r="F1002" s="11" t="n">
        <v>111</v>
      </c>
      <c r="G1002" s="11" t="inlineStr">
        <is>
          <t>13. Química inorgánica</t>
        </is>
      </c>
      <c r="H1002" s="11" t="inlineStr">
        <is>
          <t>Elementos no metálicos</t>
        </is>
      </c>
      <c r="I1002" s="38" t="inlineStr">
        <is>
          <t>13.6. Descripción de las propiedades del oxígeno, el ozono y el azufre, y de los compuestos de azufre de origen volcánico e industrial.</t>
        </is>
      </c>
      <c r="J1002" s="11" t="inlineStr">
        <is>
          <t>Sin marco</t>
        </is>
      </c>
      <c r="K1002" s="11" t="inlineStr">
        <is>
          <t>N/A</t>
        </is>
      </c>
      <c r="L1002" s="11" t="inlineStr"/>
      <c r="M1002" s="11">
        <f>IF(K1002="FUERA","Fuera del marco",IF(K1002="N/A","Sin marco",IFERROR(INDEX('Datos - Catálogo TIMSS'!$C$5:$C$107,MATCH(K1002,'Datos - Catálogo TIMSS'!$A$5:$A$107,0)),"Pendiente de clasificar")))</f>
        <v/>
      </c>
      <c r="N1002" s="11">
        <f>IF(K1002="FUERA","Fuera del marco",IF(K1002="N/A","Sin marco",IFERROR(INDEX('Datos - Catálogo TIMSS'!$F$5:$F$107,MATCH(K1002,'Datos - Catálogo TIMSS'!$A$5:$A$107,0)),"Pendiente de clasificar")))</f>
        <v/>
      </c>
      <c r="O1002" s="11">
        <f>IF(L1002="","",IFERROR(INDEX('Datos - Catálogo TIMSS'!$C$5:$C$107,MATCH(L1002,'Datos - Catálogo TIMSS'!$A$5:$A$107,0)),"?"))</f>
        <v/>
      </c>
      <c r="P1002" s="11" t="inlineStr">
        <is>
          <t>N/A</t>
        </is>
      </c>
      <c r="Q1002" s="38" t="inlineStr">
        <is>
          <t>Sin marco TIMSS de contenido para esta asignatura en Bachillerato</t>
        </is>
      </c>
      <c r="R1002" s="38" t="inlineStr">
        <is>
          <t>Conocer: describir propiedades de los anfígenos. Aplicar: explicar reacciones del azufre. Razonar: evaluar riesgos volcánicos</t>
        </is>
      </c>
      <c r="S1002" s="39">
        <f>IFERROR(ISNUMBER(SEARCH("Conocer",$R1002))/(ISNUMBER(SEARCH("Conocer",$R1002))+ISNUMBER(SEARCH("Aplicar",$R1002))+ISNUMBER(SEARCH("Razonar",$R1002))),0)</f>
        <v/>
      </c>
      <c r="T1002" s="39">
        <f>IFERROR(ISNUMBER(SEARCH("Aplicar",$R1002))/(ISNUMBER(SEARCH("Conocer",$R1002))+ISNUMBER(SEARCH("Aplicar",$R1002))+ISNUMBER(SEARCH("Razonar",$R1002))),0)</f>
        <v/>
      </c>
      <c r="U1002" s="39">
        <f>IFERROR(ISNUMBER(SEARCH("Razonar",$R1002))/(ISNUMBER(SEARCH("Conocer",$R1002))+ISNUMBER(SEARCH("Aplicar",$R1002))+ISNUMBER(SEARCH("Razonar",$R1002))),0)</f>
        <v/>
      </c>
      <c r="V1002" s="11" t="inlineStr">
        <is>
          <t>Química 10°</t>
        </is>
      </c>
      <c r="W1002" s="11" t="inlineStr">
        <is>
          <t>Química 10°–11°</t>
        </is>
      </c>
      <c r="X1002" s="11">
        <f>IF(OR(IFERROR(INDEX('Datos - Catálogo TIMSS'!$I$5:$I$107,MATCH(K1002,'Datos - Catálogo TIMSS'!$A$5:$A$107,0)),"No")="Sí",IFERROR(INDEX('Datos - Catálogo TIMSS'!$I$5:$I$107,MATCH(L1002,'Datos - Catálogo TIMSS'!$A$5:$A$107,0)),"No")="Sí"),1,0)</f>
        <v/>
      </c>
      <c r="Y1002" s="11">
        <f>IF(IFERROR(INDEX('Datos - Catálogo TIMSS'!$J$5:$J$107,MATCH(K1002,'Datos - Catálogo TIMSS'!$A$5:$A$107,0)),"No")="Sí",1,0)</f>
        <v/>
      </c>
      <c r="Z1002" s="11">
        <f>IF(IFERROR(INDEX('Datos - Catálogo TIMSS'!$J$5:$J$107,MATCH(L1002,'Datos - Catálogo TIMSS'!$A$5:$A$107,0)),"No")="Sí",1,0)</f>
        <v/>
      </c>
      <c r="AA1002" s="11" t="inlineStr">
        <is>
          <t>N/A</t>
        </is>
      </c>
      <c r="AB1002" s="11" t="inlineStr"/>
      <c r="AC1002" s="11">
        <f>IF(AA1002="FUERA","Fuera del marco",IF(AA1002="N/A","Sin marco",IFERROR(INDEX('Datos - TIMSS 2023'!$C$5:$C$105,MATCH(AA1002,'Datos - TIMSS 2023'!$A$5:$A$105,0)),"Pendiente de clasificar")))</f>
        <v/>
      </c>
      <c r="AD1002" s="11" t="inlineStr">
        <is>
          <t>3. Investigar, evaluar y usar información científica para tomar decisiones y actuar</t>
        </is>
      </c>
      <c r="AE1002" s="11">
        <f>IF(AD1002="","",IF(LEFT(AD1002,1)="1","C1",IF(LEFT(AD1002,1)="2","C2",IF(LEFT(AD1002,1)="3","C3",""))))</f>
        <v/>
      </c>
      <c r="AF1002" s="11" t="inlineStr">
        <is>
          <t>E1</t>
        </is>
      </c>
      <c r="AG1002" s="11" t="inlineStr">
        <is>
          <t>E3</t>
        </is>
      </c>
      <c r="AH1002" s="11" t="inlineStr">
        <is>
          <t>E1</t>
        </is>
      </c>
      <c r="AI1002" s="11" t="inlineStr">
        <is>
          <t>I1</t>
        </is>
      </c>
      <c r="AJ1002" s="11" t="inlineStr">
        <is>
          <t>E6</t>
        </is>
      </c>
      <c r="AK1002" s="11" t="n"/>
      <c r="AL1002" s="11" t="n"/>
      <c r="AM1002" s="11" t="n"/>
      <c r="AN1002" s="11" t="n"/>
      <c r="AO1002" s="11" t="n"/>
      <c r="AP1002" s="11" t="n"/>
      <c r="AQ1002" s="11" t="n"/>
      <c r="AR1002" s="11" t="n"/>
      <c r="AS1002" s="11" t="n"/>
      <c r="AT1002" s="11" t="n"/>
      <c r="AU1002" s="11" t="n"/>
      <c r="AV1002" s="11" t="n"/>
      <c r="AW1002" s="11">
        <f>AF1002&amp;"; "&amp;AG1002&amp;"; "&amp;AH1002&amp;"; "&amp;AI1002&amp;"; "&amp;AJ1002</f>
        <v/>
      </c>
    </row>
    <row r="1003">
      <c r="A1003" s="11" t="inlineStr">
        <is>
          <t>T0539-G10-QUÍ</t>
        </is>
      </c>
      <c r="B1003" s="11" t="n">
        <v>10</v>
      </c>
      <c r="C1003" s="11" t="inlineStr">
        <is>
          <t>Química</t>
        </is>
      </c>
      <c r="D1003" s="11" t="inlineStr">
        <is>
          <t>Matriz_Bachillerato_Quimica_10_11.xlsx</t>
        </is>
      </c>
      <c r="E1003" s="11" t="inlineStr">
        <is>
          <t>Química 10.°</t>
        </is>
      </c>
      <c r="F1003" s="11" t="n">
        <v>112</v>
      </c>
      <c r="G1003" s="11" t="inlineStr">
        <is>
          <t>13. Química inorgánica</t>
        </is>
      </c>
      <c r="H1003" s="11" t="inlineStr">
        <is>
          <t>Elementos no metálicos</t>
        </is>
      </c>
      <c r="I1003" s="38" t="inlineStr">
        <is>
          <t>13.7. Análisis de las propiedades, la obtención y las aplicaciones de los halógenos en la salud pública y el tratamiento del agua.</t>
        </is>
      </c>
      <c r="J1003" s="11" t="inlineStr">
        <is>
          <t>Sin marco</t>
        </is>
      </c>
      <c r="K1003" s="11" t="inlineStr">
        <is>
          <t>N/A</t>
        </is>
      </c>
      <c r="L1003" s="11" t="inlineStr"/>
      <c r="M1003" s="11">
        <f>IF(K1003="FUERA","Fuera del marco",IF(K1003="N/A","Sin marco",IFERROR(INDEX('Datos - Catálogo TIMSS'!$C$5:$C$107,MATCH(K1003,'Datos - Catálogo TIMSS'!$A$5:$A$107,0)),"Pendiente de clasificar")))</f>
        <v/>
      </c>
      <c r="N1003" s="11">
        <f>IF(K1003="FUERA","Fuera del marco",IF(K1003="N/A","Sin marco",IFERROR(INDEX('Datos - Catálogo TIMSS'!$F$5:$F$107,MATCH(K1003,'Datos - Catálogo TIMSS'!$A$5:$A$107,0)),"Pendiente de clasificar")))</f>
        <v/>
      </c>
      <c r="O1003" s="11">
        <f>IF(L1003="","",IFERROR(INDEX('Datos - Catálogo TIMSS'!$C$5:$C$107,MATCH(L1003,'Datos - Catálogo TIMSS'!$A$5:$A$107,0)),"?"))</f>
        <v/>
      </c>
      <c r="P1003" s="11" t="inlineStr">
        <is>
          <t>N/A</t>
        </is>
      </c>
      <c r="Q1003" s="38" t="inlineStr">
        <is>
          <t>Sin marco TIMSS de contenido para esta asignatura en Bachillerato</t>
        </is>
      </c>
      <c r="R1003" s="38" t="inlineStr">
        <is>
          <t>Conocer: describir propiedades de los halógenos. Aplicar: ordenar el poder oxidante. Razonar: distinguir evidencia de opinión</t>
        </is>
      </c>
      <c r="S1003" s="39">
        <f>IFERROR(ISNUMBER(SEARCH("Conocer",$R1003))/(ISNUMBER(SEARCH("Conocer",$R1003))+ISNUMBER(SEARCH("Aplicar",$R1003))+ISNUMBER(SEARCH("Razonar",$R1003))),0)</f>
        <v/>
      </c>
      <c r="T1003" s="39">
        <f>IFERROR(ISNUMBER(SEARCH("Aplicar",$R1003))/(ISNUMBER(SEARCH("Conocer",$R1003))+ISNUMBER(SEARCH("Aplicar",$R1003))+ISNUMBER(SEARCH("Razonar",$R1003))),0)</f>
        <v/>
      </c>
      <c r="U1003" s="39">
        <f>IFERROR(ISNUMBER(SEARCH("Razonar",$R1003))/(ISNUMBER(SEARCH("Conocer",$R1003))+ISNUMBER(SEARCH("Aplicar",$R1003))+ISNUMBER(SEARCH("Razonar",$R1003))),0)</f>
        <v/>
      </c>
      <c r="V1003" s="11" t="inlineStr">
        <is>
          <t>Química 10°</t>
        </is>
      </c>
      <c r="W1003" s="11" t="inlineStr">
        <is>
          <t>Química 10°–11°</t>
        </is>
      </c>
      <c r="X1003" s="11">
        <f>IF(OR(IFERROR(INDEX('Datos - Catálogo TIMSS'!$I$5:$I$107,MATCH(K1003,'Datos - Catálogo TIMSS'!$A$5:$A$107,0)),"No")="Sí",IFERROR(INDEX('Datos - Catálogo TIMSS'!$I$5:$I$107,MATCH(L1003,'Datos - Catálogo TIMSS'!$A$5:$A$107,0)),"No")="Sí"),1,0)</f>
        <v/>
      </c>
      <c r="Y1003" s="11">
        <f>IF(IFERROR(INDEX('Datos - Catálogo TIMSS'!$J$5:$J$107,MATCH(K1003,'Datos - Catálogo TIMSS'!$A$5:$A$107,0)),"No")="Sí",1,0)</f>
        <v/>
      </c>
      <c r="Z1003" s="11">
        <f>IF(IFERROR(INDEX('Datos - Catálogo TIMSS'!$J$5:$J$107,MATCH(L1003,'Datos - Catálogo TIMSS'!$A$5:$A$107,0)),"No")="Sí",1,0)</f>
        <v/>
      </c>
      <c r="AA1003" s="11" t="inlineStr">
        <is>
          <t>N/A</t>
        </is>
      </c>
      <c r="AB1003" s="11" t="inlineStr"/>
      <c r="AC1003" s="11">
        <f>IF(AA1003="FUERA","Fuera del marco",IF(AA1003="N/A","Sin marco",IFERROR(INDEX('Datos - TIMSS 2023'!$C$5:$C$105,MATCH(AA1003,'Datos - TIMSS 2023'!$A$5:$A$105,0)),"Pendiente de clasificar")))</f>
        <v/>
      </c>
      <c r="AD1003" s="11" t="inlineStr">
        <is>
          <t>1. Explicar fenómenos científicamente</t>
        </is>
      </c>
      <c r="AE1003" s="11">
        <f>IF(AD1003="","",IF(LEFT(AD1003,1)="1","C1",IF(LEFT(AD1003,1)="2","C2",IF(LEFT(AD1003,1)="3","C3",""))))</f>
        <v/>
      </c>
      <c r="AF1003" s="11" t="inlineStr">
        <is>
          <t>E6</t>
        </is>
      </c>
      <c r="AG1003" s="11" t="inlineStr">
        <is>
          <t>E5</t>
        </is>
      </c>
      <c r="AH1003" s="11" t="inlineStr">
        <is>
          <t>E2</t>
        </is>
      </c>
      <c r="AI1003" s="11" t="inlineStr">
        <is>
          <t>D4</t>
        </is>
      </c>
      <c r="AJ1003" s="11" t="inlineStr">
        <is>
          <t>I2</t>
        </is>
      </c>
      <c r="AK1003" s="11" t="n"/>
      <c r="AL1003" s="11" t="n"/>
      <c r="AM1003" s="11" t="n"/>
      <c r="AN1003" s="11" t="n"/>
      <c r="AO1003" s="11" t="n"/>
      <c r="AP1003" s="11" t="n"/>
      <c r="AQ1003" s="11" t="n"/>
      <c r="AR1003" s="11" t="n"/>
      <c r="AS1003" s="11" t="n"/>
      <c r="AT1003" s="11" t="n"/>
      <c r="AU1003" s="11" t="n"/>
      <c r="AV1003" s="11" t="n"/>
      <c r="AW1003" s="11">
        <f>AF1003&amp;"; "&amp;AG1003&amp;"; "&amp;AH1003&amp;"; "&amp;AI1003&amp;"; "&amp;AJ1003</f>
        <v/>
      </c>
    </row>
    <row r="1004">
      <c r="A1004" s="11" t="inlineStr">
        <is>
          <t>T0540-G10-QUÍ</t>
        </is>
      </c>
      <c r="B1004" s="11" t="n">
        <v>10</v>
      </c>
      <c r="C1004" s="11" t="inlineStr">
        <is>
          <t>Química</t>
        </is>
      </c>
      <c r="D1004" s="11" t="inlineStr">
        <is>
          <t>Matriz_Bachillerato_Quimica_10_11.xlsx</t>
        </is>
      </c>
      <c r="E1004" s="11" t="inlineStr">
        <is>
          <t>Química 10.°</t>
        </is>
      </c>
      <c r="F1004" s="11" t="n">
        <v>113</v>
      </c>
      <c r="G1004" s="11" t="inlineStr">
        <is>
          <t>13. Química inorgánica</t>
        </is>
      </c>
      <c r="H1004" s="11" t="inlineStr">
        <is>
          <t>Gases nobles e hidrógeno</t>
        </is>
      </c>
      <c r="I1004" s="38" t="inlineStr">
        <is>
          <t>13.8. Relación de las propiedades de los gases nobles y del hidrógeno con sus aplicaciones y con la obtención de hidrógeno por electrólisis del agua.</t>
        </is>
      </c>
      <c r="J1004" s="11" t="inlineStr">
        <is>
          <t>Sin marco</t>
        </is>
      </c>
      <c r="K1004" s="11" t="inlineStr">
        <is>
          <t>N/A</t>
        </is>
      </c>
      <c r="L1004" s="11" t="inlineStr"/>
      <c r="M1004" s="11">
        <f>IF(K1004="FUERA","Fuera del marco",IF(K1004="N/A","Sin marco",IFERROR(INDEX('Datos - Catálogo TIMSS'!$C$5:$C$107,MATCH(K1004,'Datos - Catálogo TIMSS'!$A$5:$A$107,0)),"Pendiente de clasificar")))</f>
        <v/>
      </c>
      <c r="N1004" s="11">
        <f>IF(K1004="FUERA","Fuera del marco",IF(K1004="N/A","Sin marco",IFERROR(INDEX('Datos - Catálogo TIMSS'!$F$5:$F$107,MATCH(K1004,'Datos - Catálogo TIMSS'!$A$5:$A$107,0)),"Pendiente de clasificar")))</f>
        <v/>
      </c>
      <c r="O1004" s="11">
        <f>IF(L1004="","",IFERROR(INDEX('Datos - Catálogo TIMSS'!$C$5:$C$107,MATCH(L1004,'Datos - Catálogo TIMSS'!$A$5:$A$107,0)),"?"))</f>
        <v/>
      </c>
      <c r="P1004" s="11" t="inlineStr">
        <is>
          <t>N/A</t>
        </is>
      </c>
      <c r="Q1004" s="38" t="inlineStr">
        <is>
          <t>Sin marco TIMSS de contenido para esta asignatura en Bachillerato</t>
        </is>
      </c>
      <c r="R1004" s="38" t="inlineStr">
        <is>
          <t>Conocer: describir gases nobles e isótopos. Aplicar: medir volúmenes de electrólisis. Razonar: evaluar un diseño experimental</t>
        </is>
      </c>
      <c r="S1004" s="39">
        <f>IFERROR(ISNUMBER(SEARCH("Conocer",$R1004))/(ISNUMBER(SEARCH("Conocer",$R1004))+ISNUMBER(SEARCH("Aplicar",$R1004))+ISNUMBER(SEARCH("Razonar",$R1004))),0)</f>
        <v/>
      </c>
      <c r="T1004" s="39">
        <f>IFERROR(ISNUMBER(SEARCH("Aplicar",$R1004))/(ISNUMBER(SEARCH("Conocer",$R1004))+ISNUMBER(SEARCH("Aplicar",$R1004))+ISNUMBER(SEARCH("Razonar",$R1004))),0)</f>
        <v/>
      </c>
      <c r="U1004" s="39">
        <f>IFERROR(ISNUMBER(SEARCH("Razonar",$R1004))/(ISNUMBER(SEARCH("Conocer",$R1004))+ISNUMBER(SEARCH("Aplicar",$R1004))+ISNUMBER(SEARCH("Razonar",$R1004))),0)</f>
        <v/>
      </c>
      <c r="V1004" s="11" t="inlineStr">
        <is>
          <t>Química 10°</t>
        </is>
      </c>
      <c r="W1004" s="11" t="inlineStr">
        <is>
          <t>Química 10°–11°</t>
        </is>
      </c>
      <c r="X1004" s="11">
        <f>IF(OR(IFERROR(INDEX('Datos - Catálogo TIMSS'!$I$5:$I$107,MATCH(K1004,'Datos - Catálogo TIMSS'!$A$5:$A$107,0)),"No")="Sí",IFERROR(INDEX('Datos - Catálogo TIMSS'!$I$5:$I$107,MATCH(L1004,'Datos - Catálogo TIMSS'!$A$5:$A$107,0)),"No")="Sí"),1,0)</f>
        <v/>
      </c>
      <c r="Y1004" s="11">
        <f>IF(IFERROR(INDEX('Datos - Catálogo TIMSS'!$J$5:$J$107,MATCH(K1004,'Datos - Catálogo TIMSS'!$A$5:$A$107,0)),"No")="Sí",1,0)</f>
        <v/>
      </c>
      <c r="Z1004" s="11">
        <f>IF(IFERROR(INDEX('Datos - Catálogo TIMSS'!$J$5:$J$107,MATCH(L1004,'Datos - Catálogo TIMSS'!$A$5:$A$107,0)),"No")="Sí",1,0)</f>
        <v/>
      </c>
      <c r="AA1004" s="11" t="inlineStr">
        <is>
          <t>N/A</t>
        </is>
      </c>
      <c r="AB1004" s="11" t="inlineStr"/>
      <c r="AC1004" s="11">
        <f>IF(AA1004="FUERA","Fuera del marco",IF(AA1004="N/A","Sin marco",IFERROR(INDEX('Datos - TIMSS 2023'!$C$5:$C$105,MATCH(AA1004,'Datos - TIMSS 2023'!$A$5:$A$105,0)),"Pendiente de clasificar")))</f>
        <v/>
      </c>
      <c r="AD1004" s="11" t="inlineStr">
        <is>
          <t>2. Construir y evaluar diseños para la indagación científica e interpretar datos y evidencia de forma crítica</t>
        </is>
      </c>
      <c r="AE1004" s="11">
        <f>IF(AD1004="","",IF(LEFT(AD1004,1)="1","C1",IF(LEFT(AD1004,1)="2","C2",IF(LEFT(AD1004,1)="3","C3",""))))</f>
        <v/>
      </c>
      <c r="AF1004" s="11" t="inlineStr">
        <is>
          <t>E1</t>
        </is>
      </c>
      <c r="AG1004" s="11" t="inlineStr">
        <is>
          <t>D1</t>
        </is>
      </c>
      <c r="AH1004" s="11" t="inlineStr">
        <is>
          <t>E2</t>
        </is>
      </c>
      <c r="AI1004" s="11" t="inlineStr">
        <is>
          <t>D2</t>
        </is>
      </c>
      <c r="AJ1004" s="11" t="inlineStr">
        <is>
          <t>D3</t>
        </is>
      </c>
      <c r="AK1004" s="11" t="n"/>
      <c r="AL1004" s="11" t="n"/>
      <c r="AM1004" s="11" t="n"/>
      <c r="AN1004" s="11" t="n"/>
      <c r="AO1004" s="11" t="n"/>
      <c r="AP1004" s="11" t="n"/>
      <c r="AQ1004" s="11" t="n"/>
      <c r="AR1004" s="11" t="n"/>
      <c r="AS1004" s="11" t="n"/>
      <c r="AT1004" s="11" t="n"/>
      <c r="AU1004" s="11" t="n"/>
      <c r="AV1004" s="11" t="n"/>
      <c r="AW1004" s="11">
        <f>AF1004&amp;"; "&amp;AG1004&amp;"; "&amp;AH1004&amp;"; "&amp;AI1004&amp;"; "&amp;AJ1004</f>
        <v/>
      </c>
    </row>
    <row r="1005">
      <c r="A1005" s="11" t="inlineStr">
        <is>
          <t>T0541-G10-QUÍ</t>
        </is>
      </c>
      <c r="B1005" s="11" t="n">
        <v>10</v>
      </c>
      <c r="C1005" s="11" t="inlineStr">
        <is>
          <t>Química</t>
        </is>
      </c>
      <c r="D1005" s="11" t="inlineStr">
        <is>
          <t>Matriz_Bachillerato_Quimica_10_11.xlsx</t>
        </is>
      </c>
      <c r="E1005" s="11" t="inlineStr">
        <is>
          <t>Química 10.°</t>
        </is>
      </c>
      <c r="F1005" s="11" t="n">
        <v>114</v>
      </c>
      <c r="G1005" s="11" t="inlineStr">
        <is>
          <t>13. Química inorgánica</t>
        </is>
      </c>
      <c r="H1005" s="11" t="inlineStr">
        <is>
          <t>Elementos de transición interna</t>
        </is>
      </c>
      <c r="I1005" s="38" t="inlineStr">
        <is>
          <t>13.9. Clasificación de los elementos de transición interna y exploración de los elementos sintetizados recientemente.</t>
        </is>
      </c>
      <c r="J1005" s="11" t="inlineStr">
        <is>
          <t>Sin marco</t>
        </is>
      </c>
      <c r="K1005" s="11" t="inlineStr">
        <is>
          <t>N/A</t>
        </is>
      </c>
      <c r="L1005" s="11" t="inlineStr"/>
      <c r="M1005" s="11">
        <f>IF(K1005="FUERA","Fuera del marco",IF(K1005="N/A","Sin marco",IFERROR(INDEX('Datos - Catálogo TIMSS'!$C$5:$C$107,MATCH(K1005,'Datos - Catálogo TIMSS'!$A$5:$A$107,0)),"Pendiente de clasificar")))</f>
        <v/>
      </c>
      <c r="N1005" s="11">
        <f>IF(K1005="FUERA","Fuera del marco",IF(K1005="N/A","Sin marco",IFERROR(INDEX('Datos - Catálogo TIMSS'!$F$5:$F$107,MATCH(K1005,'Datos - Catálogo TIMSS'!$A$5:$A$107,0)),"Pendiente de clasificar")))</f>
        <v/>
      </c>
      <c r="O1005" s="11">
        <f>IF(L1005="","",IFERROR(INDEX('Datos - Catálogo TIMSS'!$C$5:$C$107,MATCH(L1005,'Datos - Catálogo TIMSS'!$A$5:$A$107,0)),"?"))</f>
        <v/>
      </c>
      <c r="P1005" s="11" t="inlineStr">
        <is>
          <t>N/A</t>
        </is>
      </c>
      <c r="Q1005" s="38" t="inlineStr">
        <is>
          <t>Sin marco TIMSS de contenido para esta asignatura en Bachillerato</t>
        </is>
      </c>
      <c r="R1005" s="38" t="inlineStr">
        <is>
          <t>Conocer: clasificar lantánidos y actínidos. Aplicar: usar configuraciones electrónicas. Razonar: valorar implicaciones</t>
        </is>
      </c>
      <c r="S1005" s="39">
        <f>IFERROR(ISNUMBER(SEARCH("Conocer",$R1005))/(ISNUMBER(SEARCH("Conocer",$R1005))+ISNUMBER(SEARCH("Aplicar",$R1005))+ISNUMBER(SEARCH("Razonar",$R1005))),0)</f>
        <v/>
      </c>
      <c r="T1005" s="39">
        <f>IFERROR(ISNUMBER(SEARCH("Aplicar",$R1005))/(ISNUMBER(SEARCH("Conocer",$R1005))+ISNUMBER(SEARCH("Aplicar",$R1005))+ISNUMBER(SEARCH("Razonar",$R1005))),0)</f>
        <v/>
      </c>
      <c r="U1005" s="39">
        <f>IFERROR(ISNUMBER(SEARCH("Razonar",$R1005))/(ISNUMBER(SEARCH("Conocer",$R1005))+ISNUMBER(SEARCH("Aplicar",$R1005))+ISNUMBER(SEARCH("Razonar",$R1005))),0)</f>
        <v/>
      </c>
      <c r="V1005" s="11" t="inlineStr">
        <is>
          <t>Química 10°</t>
        </is>
      </c>
      <c r="W1005" s="11" t="inlineStr">
        <is>
          <t>Química 10°–11°</t>
        </is>
      </c>
      <c r="X1005" s="11">
        <f>IF(OR(IFERROR(INDEX('Datos - Catálogo TIMSS'!$I$5:$I$107,MATCH(K1005,'Datos - Catálogo TIMSS'!$A$5:$A$107,0)),"No")="Sí",IFERROR(INDEX('Datos - Catálogo TIMSS'!$I$5:$I$107,MATCH(L1005,'Datos - Catálogo TIMSS'!$A$5:$A$107,0)),"No")="Sí"),1,0)</f>
        <v/>
      </c>
      <c r="Y1005" s="11">
        <f>IF(IFERROR(INDEX('Datos - Catálogo TIMSS'!$J$5:$J$107,MATCH(K1005,'Datos - Catálogo TIMSS'!$A$5:$A$107,0)),"No")="Sí",1,0)</f>
        <v/>
      </c>
      <c r="Z1005" s="11">
        <f>IF(IFERROR(INDEX('Datos - Catálogo TIMSS'!$J$5:$J$107,MATCH(L1005,'Datos - Catálogo TIMSS'!$A$5:$A$107,0)),"No")="Sí",1,0)</f>
        <v/>
      </c>
      <c r="AA1005" s="11" t="inlineStr">
        <is>
          <t>N/A</t>
        </is>
      </c>
      <c r="AB1005" s="11" t="inlineStr"/>
      <c r="AC1005" s="11">
        <f>IF(AA1005="FUERA","Fuera del marco",IF(AA1005="N/A","Sin marco",IFERROR(INDEX('Datos - TIMSS 2023'!$C$5:$C$105,MATCH(AA1005,'Datos - TIMSS 2023'!$A$5:$A$105,0)),"Pendiente de clasificar")))</f>
        <v/>
      </c>
      <c r="AD1005" s="11" t="inlineStr">
        <is>
          <t>1. Explicar fenómenos científicamente</t>
        </is>
      </c>
      <c r="AE1005" s="11">
        <f>IF(AD1005="","",IF(LEFT(AD1005,1)="1","C1",IF(LEFT(AD1005,1)="2","C2",IF(LEFT(AD1005,1)="3","C3",""))))</f>
        <v/>
      </c>
      <c r="AF1005" s="11" t="inlineStr">
        <is>
          <t>E6</t>
        </is>
      </c>
      <c r="AG1005" s="11" t="inlineStr">
        <is>
          <t>E3</t>
        </is>
      </c>
      <c r="AH1005" s="11" t="inlineStr">
        <is>
          <t>E1</t>
        </is>
      </c>
      <c r="AI1005" s="11" t="inlineStr">
        <is>
          <t>I1</t>
        </is>
      </c>
      <c r="AJ1005" s="11" t="inlineStr">
        <is>
          <t>E6</t>
        </is>
      </c>
      <c r="AK1005" s="11" t="n"/>
      <c r="AL1005" s="11" t="n"/>
      <c r="AM1005" s="11" t="n"/>
      <c r="AN1005" s="11" t="n"/>
      <c r="AO1005" s="11" t="n"/>
      <c r="AP1005" s="11" t="n"/>
      <c r="AQ1005" s="11" t="n"/>
      <c r="AR1005" s="11" t="n"/>
      <c r="AS1005" s="11" t="n"/>
      <c r="AT1005" s="11" t="n"/>
      <c r="AU1005" s="11" t="n"/>
      <c r="AV1005" s="11" t="n"/>
      <c r="AW1005" s="11">
        <f>AF1005&amp;"; "&amp;AG1005&amp;"; "&amp;AH1005&amp;"; "&amp;AI1005&amp;"; "&amp;AJ1005</f>
        <v/>
      </c>
    </row>
    <row r="1006">
      <c r="A1006" s="11" t="inlineStr">
        <is>
          <t>T0542-G11-QUÍ</t>
        </is>
      </c>
      <c r="B1006" s="11" t="n">
        <v>11</v>
      </c>
      <c r="C1006" s="11" t="inlineStr">
        <is>
          <t>Química</t>
        </is>
      </c>
      <c r="D1006" s="11" t="inlineStr">
        <is>
          <t>Matriz_Bachillerato_Quimica_10_11.xlsx</t>
        </is>
      </c>
      <c r="E1006" s="11" t="inlineStr">
        <is>
          <t>Química 11.°</t>
        </is>
      </c>
      <c r="F1006" s="11" t="n">
        <v>3</v>
      </c>
      <c r="G1006" s="11" t="inlineStr">
        <is>
          <t>1. Ciencia de materiales</t>
        </is>
      </c>
      <c r="H1006" s="11" t="inlineStr">
        <is>
          <t>Metales y cerámicas</t>
        </is>
      </c>
      <c r="I1006" s="38" t="inlineStr">
        <is>
          <t>1.1. Comparación de las propiedades de los principales metales y aleaciones utilizadas en la industria electrónica.</t>
        </is>
      </c>
      <c r="J1006" s="11" t="inlineStr">
        <is>
          <t>Sin marco</t>
        </is>
      </c>
      <c r="K1006" s="11" t="inlineStr">
        <is>
          <t>N/A</t>
        </is>
      </c>
      <c r="L1006" s="11" t="inlineStr"/>
      <c r="M1006" s="11">
        <f>IF(K1006="FUERA","Fuera del marco",IF(K1006="N/A","Sin marco",IFERROR(INDEX('Datos - Catálogo TIMSS'!$C$5:$C$107,MATCH(K1006,'Datos - Catálogo TIMSS'!$A$5:$A$107,0)),"Pendiente de clasificar")))</f>
        <v/>
      </c>
      <c r="N1006" s="11">
        <f>IF(K1006="FUERA","Fuera del marco",IF(K1006="N/A","Sin marco",IFERROR(INDEX('Datos - Catálogo TIMSS'!$F$5:$F$107,MATCH(K1006,'Datos - Catálogo TIMSS'!$A$5:$A$107,0)),"Pendiente de clasificar")))</f>
        <v/>
      </c>
      <c r="O1006" s="11">
        <f>IF(L1006="","",IFERROR(INDEX('Datos - Catálogo TIMSS'!$C$5:$C$107,MATCH(L1006,'Datos - Catálogo TIMSS'!$A$5:$A$107,0)),"?"))</f>
        <v/>
      </c>
      <c r="P1006" s="11" t="inlineStr">
        <is>
          <t>N/A</t>
        </is>
      </c>
      <c r="Q1006" s="38" t="inlineStr">
        <is>
          <t>Sin marco TIMSS de contenido para esta asignatura en Bachillerato</t>
        </is>
      </c>
      <c r="R1006" s="38" t="inlineStr">
        <is>
          <t>Conocer: identificar propiedades. Aplicar: comparar datos tabulados. Razonar: justificar la elección de un material</t>
        </is>
      </c>
      <c r="S1006" s="39">
        <f>IFERROR(ISNUMBER(SEARCH("Conocer",$R1006))/(ISNUMBER(SEARCH("Conocer",$R1006))+ISNUMBER(SEARCH("Aplicar",$R1006))+ISNUMBER(SEARCH("Razonar",$R1006))),0)</f>
        <v/>
      </c>
      <c r="T1006" s="39">
        <f>IFERROR(ISNUMBER(SEARCH("Aplicar",$R1006))/(ISNUMBER(SEARCH("Conocer",$R1006))+ISNUMBER(SEARCH("Aplicar",$R1006))+ISNUMBER(SEARCH("Razonar",$R1006))),0)</f>
        <v/>
      </c>
      <c r="U1006" s="39">
        <f>IFERROR(ISNUMBER(SEARCH("Razonar",$R1006))/(ISNUMBER(SEARCH("Conocer",$R1006))+ISNUMBER(SEARCH("Aplicar",$R1006))+ISNUMBER(SEARCH("Razonar",$R1006))),0)</f>
        <v/>
      </c>
      <c r="V1006" s="11" t="inlineStr">
        <is>
          <t>Química 11°</t>
        </is>
      </c>
      <c r="W1006" s="11" t="inlineStr">
        <is>
          <t>Química 10°–11°</t>
        </is>
      </c>
      <c r="X1006" s="11">
        <f>IF(OR(IFERROR(INDEX('Datos - Catálogo TIMSS'!$I$5:$I$107,MATCH(K1006,'Datos - Catálogo TIMSS'!$A$5:$A$107,0)),"No")="Sí",IFERROR(INDEX('Datos - Catálogo TIMSS'!$I$5:$I$107,MATCH(L1006,'Datos - Catálogo TIMSS'!$A$5:$A$107,0)),"No")="Sí"),1,0)</f>
        <v/>
      </c>
      <c r="Y1006" s="11">
        <f>IF(IFERROR(INDEX('Datos - Catálogo TIMSS'!$J$5:$J$107,MATCH(K1006,'Datos - Catálogo TIMSS'!$A$5:$A$107,0)),"No")="Sí",1,0)</f>
        <v/>
      </c>
      <c r="Z1006" s="11">
        <f>IF(IFERROR(INDEX('Datos - Catálogo TIMSS'!$J$5:$J$107,MATCH(L1006,'Datos - Catálogo TIMSS'!$A$5:$A$107,0)),"No")="Sí",1,0)</f>
        <v/>
      </c>
      <c r="AA1006" s="11" t="inlineStr">
        <is>
          <t>N/A</t>
        </is>
      </c>
      <c r="AB1006" s="11" t="inlineStr"/>
      <c r="AC1006" s="11">
        <f>IF(AA1006="FUERA","Fuera del marco",IF(AA1006="N/A","Sin marco",IFERROR(INDEX('Datos - TIMSS 2023'!$C$5:$C$105,MATCH(AA1006,'Datos - TIMSS 2023'!$A$5:$A$105,0)),"Pendiente de clasificar")))</f>
        <v/>
      </c>
      <c r="AD1006" s="11" t="inlineStr">
        <is>
          <t>1. Explicar fenómenos científicamente</t>
        </is>
      </c>
      <c r="AE1006" s="11">
        <f>IF(AD1006="","",IF(LEFT(AD1006,1)="1","C1",IF(LEFT(AD1006,1)="2","C2",IF(LEFT(AD1006,1)="3","C3",""))))</f>
        <v/>
      </c>
      <c r="AF1006" s="11" t="inlineStr">
        <is>
          <t>E1</t>
        </is>
      </c>
      <c r="AG1006" s="11" t="inlineStr">
        <is>
          <t>D1</t>
        </is>
      </c>
      <c r="AH1006" s="11" t="inlineStr">
        <is>
          <t>E1</t>
        </is>
      </c>
      <c r="AI1006" s="11" t="inlineStr">
        <is>
          <t>D4</t>
        </is>
      </c>
      <c r="AJ1006" s="11" t="inlineStr">
        <is>
          <t>E3</t>
        </is>
      </c>
      <c r="AK1006" s="11" t="n"/>
      <c r="AL1006" s="11" t="n"/>
      <c r="AM1006" s="11" t="n"/>
      <c r="AN1006" s="11" t="n"/>
      <c r="AO1006" s="11" t="n"/>
      <c r="AP1006" s="11" t="n"/>
      <c r="AQ1006" s="11" t="n"/>
      <c r="AR1006" s="11" t="n"/>
      <c r="AS1006" s="11" t="n"/>
      <c r="AT1006" s="11" t="n"/>
      <c r="AU1006" s="11" t="n"/>
      <c r="AV1006" s="11" t="n"/>
      <c r="AW1006" s="11">
        <f>AF1006&amp;"; "&amp;AG1006&amp;"; "&amp;AH1006&amp;"; "&amp;AI1006&amp;"; "&amp;AJ1006</f>
        <v/>
      </c>
    </row>
    <row r="1007">
      <c r="A1007" s="11" t="inlineStr">
        <is>
          <t>T0543-G11-QUÍ</t>
        </is>
      </c>
      <c r="B1007" s="11" t="n">
        <v>11</v>
      </c>
      <c r="C1007" s="11" t="inlineStr">
        <is>
          <t>Química</t>
        </is>
      </c>
      <c r="D1007" s="11" t="inlineStr">
        <is>
          <t>Matriz_Bachillerato_Quimica_10_11.xlsx</t>
        </is>
      </c>
      <c r="E1007" s="11" t="inlineStr">
        <is>
          <t>Química 11.°</t>
        </is>
      </c>
      <c r="F1007" s="11" t="n">
        <v>4</v>
      </c>
      <c r="G1007" s="11" t="inlineStr">
        <is>
          <t>1. Ciencia de materiales</t>
        </is>
      </c>
      <c r="H1007" s="11" t="inlineStr">
        <is>
          <t>Metales y cerámicas</t>
        </is>
      </c>
      <c r="I1007" s="38" t="inlineStr">
        <is>
          <t>1.2. Comparación de las estructuras y aplicaciones de los tipos de materiales cerámicos y aceros del entorno.</t>
        </is>
      </c>
      <c r="J1007" s="11" t="inlineStr">
        <is>
          <t>Sin marco</t>
        </is>
      </c>
      <c r="K1007" s="11" t="inlineStr">
        <is>
          <t>N/A</t>
        </is>
      </c>
      <c r="L1007" s="11" t="inlineStr"/>
      <c r="M1007" s="11">
        <f>IF(K1007="FUERA","Fuera del marco",IF(K1007="N/A","Sin marco",IFERROR(INDEX('Datos - Catálogo TIMSS'!$C$5:$C$107,MATCH(K1007,'Datos - Catálogo TIMSS'!$A$5:$A$107,0)),"Pendiente de clasificar")))</f>
        <v/>
      </c>
      <c r="N1007" s="11">
        <f>IF(K1007="FUERA","Fuera del marco",IF(K1007="N/A","Sin marco",IFERROR(INDEX('Datos - Catálogo TIMSS'!$F$5:$F$107,MATCH(K1007,'Datos - Catálogo TIMSS'!$A$5:$A$107,0)),"Pendiente de clasificar")))</f>
        <v/>
      </c>
      <c r="O1007" s="11">
        <f>IF(L1007="","",IFERROR(INDEX('Datos - Catálogo TIMSS'!$C$5:$C$107,MATCH(L1007,'Datos - Catálogo TIMSS'!$A$5:$A$107,0)),"?"))</f>
        <v/>
      </c>
      <c r="P1007" s="11" t="inlineStr">
        <is>
          <t>N/A</t>
        </is>
      </c>
      <c r="Q1007" s="38" t="inlineStr">
        <is>
          <t>Sin marco TIMSS de contenido para esta asignatura en Bachillerato</t>
        </is>
      </c>
      <c r="R1007" s="38" t="inlineStr">
        <is>
          <t>Conocer: describir estructuras cristalinas. Razonar: relacionar estructura y propiedades</t>
        </is>
      </c>
      <c r="S1007" s="39">
        <f>IFERROR(ISNUMBER(SEARCH("Conocer",$R1007))/(ISNUMBER(SEARCH("Conocer",$R1007))+ISNUMBER(SEARCH("Aplicar",$R1007))+ISNUMBER(SEARCH("Razonar",$R1007))),0)</f>
        <v/>
      </c>
      <c r="T1007" s="39">
        <f>IFERROR(ISNUMBER(SEARCH("Aplicar",$R1007))/(ISNUMBER(SEARCH("Conocer",$R1007))+ISNUMBER(SEARCH("Aplicar",$R1007))+ISNUMBER(SEARCH("Razonar",$R1007))),0)</f>
        <v/>
      </c>
      <c r="U1007" s="39">
        <f>IFERROR(ISNUMBER(SEARCH("Razonar",$R1007))/(ISNUMBER(SEARCH("Conocer",$R1007))+ISNUMBER(SEARCH("Aplicar",$R1007))+ISNUMBER(SEARCH("Razonar",$R1007))),0)</f>
        <v/>
      </c>
      <c r="V1007" s="11" t="inlineStr">
        <is>
          <t>Química 11°</t>
        </is>
      </c>
      <c r="W1007" s="11" t="inlineStr">
        <is>
          <t>Química 10°–11°</t>
        </is>
      </c>
      <c r="X1007" s="11">
        <f>IF(OR(IFERROR(INDEX('Datos - Catálogo TIMSS'!$I$5:$I$107,MATCH(K1007,'Datos - Catálogo TIMSS'!$A$5:$A$107,0)),"No")="Sí",IFERROR(INDEX('Datos - Catálogo TIMSS'!$I$5:$I$107,MATCH(L1007,'Datos - Catálogo TIMSS'!$A$5:$A$107,0)),"No")="Sí"),1,0)</f>
        <v/>
      </c>
      <c r="Y1007" s="11">
        <f>IF(IFERROR(INDEX('Datos - Catálogo TIMSS'!$J$5:$J$107,MATCH(K1007,'Datos - Catálogo TIMSS'!$A$5:$A$107,0)),"No")="Sí",1,0)</f>
        <v/>
      </c>
      <c r="Z1007" s="11">
        <f>IF(IFERROR(INDEX('Datos - Catálogo TIMSS'!$J$5:$J$107,MATCH(L1007,'Datos - Catálogo TIMSS'!$A$5:$A$107,0)),"No")="Sí",1,0)</f>
        <v/>
      </c>
      <c r="AA1007" s="11" t="inlineStr">
        <is>
          <t>N/A</t>
        </is>
      </c>
      <c r="AB1007" s="11" t="inlineStr"/>
      <c r="AC1007" s="11">
        <f>IF(AA1007="FUERA","Fuera del marco",IF(AA1007="N/A","Sin marco",IFERROR(INDEX('Datos - TIMSS 2023'!$C$5:$C$105,MATCH(AA1007,'Datos - TIMSS 2023'!$A$5:$A$105,0)),"Pendiente de clasificar")))</f>
        <v/>
      </c>
      <c r="AD1007" s="11" t="inlineStr">
        <is>
          <t>1. Explicar fenómenos científicamente</t>
        </is>
      </c>
      <c r="AE1007" s="11">
        <f>IF(AD1007="","",IF(LEFT(AD1007,1)="1","C1",IF(LEFT(AD1007,1)="2","C2",IF(LEFT(AD1007,1)="3","C3",""))))</f>
        <v/>
      </c>
      <c r="AF1007" s="11" t="inlineStr">
        <is>
          <t>E1</t>
        </is>
      </c>
      <c r="AG1007" s="11" t="inlineStr">
        <is>
          <t>E5</t>
        </is>
      </c>
      <c r="AH1007" s="11" t="inlineStr">
        <is>
          <t>E4</t>
        </is>
      </c>
      <c r="AI1007" s="11" t="inlineStr">
        <is>
          <t>E4</t>
        </is>
      </c>
      <c r="AJ1007" s="11" t="inlineStr">
        <is>
          <t>E6</t>
        </is>
      </c>
      <c r="AK1007" s="11" t="n"/>
      <c r="AL1007" s="11" t="n"/>
      <c r="AM1007" s="11" t="n"/>
      <c r="AN1007" s="11" t="n"/>
      <c r="AO1007" s="11" t="n"/>
      <c r="AP1007" s="11" t="n"/>
      <c r="AQ1007" s="11" t="n"/>
      <c r="AR1007" s="11" t="n"/>
      <c r="AS1007" s="11" t="n"/>
      <c r="AT1007" s="11" t="n"/>
      <c r="AU1007" s="11" t="n"/>
      <c r="AV1007" s="11" t="n"/>
      <c r="AW1007" s="11">
        <f>AF1007&amp;"; "&amp;AG1007&amp;"; "&amp;AH1007&amp;"; "&amp;AI1007&amp;"; "&amp;AJ1007</f>
        <v/>
      </c>
    </row>
    <row r="1008">
      <c r="A1008" s="11" t="inlineStr">
        <is>
          <t>T0544-G11-QUÍ</t>
        </is>
      </c>
      <c r="B1008" s="11" t="n">
        <v>11</v>
      </c>
      <c r="C1008" s="11" t="inlineStr">
        <is>
          <t>Química</t>
        </is>
      </c>
      <c r="D1008" s="11" t="inlineStr">
        <is>
          <t>Matriz_Bachillerato_Quimica_10_11.xlsx</t>
        </is>
      </c>
      <c r="E1008" s="11" t="inlineStr">
        <is>
          <t>Química 11.°</t>
        </is>
      </c>
      <c r="F1008" s="11" t="n">
        <v>5</v>
      </c>
      <c r="G1008" s="11" t="inlineStr">
        <is>
          <t>1. Ciencia de materiales</t>
        </is>
      </c>
      <c r="H1008" s="11" t="inlineStr">
        <is>
          <t>Metales y cerámicas</t>
        </is>
      </c>
      <c r="I1008" s="38" t="inlineStr">
        <is>
          <t>1.3. Descripción de aplicaciones tecnológicas y médicas de cerámicas y metales.</t>
        </is>
      </c>
      <c r="J1008" s="11" t="inlineStr">
        <is>
          <t>Sin marco</t>
        </is>
      </c>
      <c r="K1008" s="11" t="inlineStr">
        <is>
          <t>N/A</t>
        </is>
      </c>
      <c r="L1008" s="11" t="inlineStr"/>
      <c r="M1008" s="11">
        <f>IF(K1008="FUERA","Fuera del marco",IF(K1008="N/A","Sin marco",IFERROR(INDEX('Datos - Catálogo TIMSS'!$C$5:$C$107,MATCH(K1008,'Datos - Catálogo TIMSS'!$A$5:$A$107,0)),"Pendiente de clasificar")))</f>
        <v/>
      </c>
      <c r="N1008" s="11">
        <f>IF(K1008="FUERA","Fuera del marco",IF(K1008="N/A","Sin marco",IFERROR(INDEX('Datos - Catálogo TIMSS'!$F$5:$F$107,MATCH(K1008,'Datos - Catálogo TIMSS'!$A$5:$A$107,0)),"Pendiente de clasificar")))</f>
        <v/>
      </c>
      <c r="O1008" s="11">
        <f>IF(L1008="","",IFERROR(INDEX('Datos - Catálogo TIMSS'!$C$5:$C$107,MATCH(L1008,'Datos - Catálogo TIMSS'!$A$5:$A$107,0)),"?"))</f>
        <v/>
      </c>
      <c r="P1008" s="11" t="inlineStr">
        <is>
          <t>N/A</t>
        </is>
      </c>
      <c r="Q1008" s="38" t="inlineStr">
        <is>
          <t>Sin marco TIMSS de contenido para esta asignatura en Bachillerato</t>
        </is>
      </c>
      <c r="R1008" s="38" t="inlineStr">
        <is>
          <t>Aplicar: relacionar propiedades con aplicaciones. Razonar: fundamentar decisiones con evidencia</t>
        </is>
      </c>
      <c r="S1008" s="39">
        <f>IFERROR(ISNUMBER(SEARCH("Conocer",$R1008))/(ISNUMBER(SEARCH("Conocer",$R1008))+ISNUMBER(SEARCH("Aplicar",$R1008))+ISNUMBER(SEARCH("Razonar",$R1008))),0)</f>
        <v/>
      </c>
      <c r="T1008" s="39">
        <f>IFERROR(ISNUMBER(SEARCH("Aplicar",$R1008))/(ISNUMBER(SEARCH("Conocer",$R1008))+ISNUMBER(SEARCH("Aplicar",$R1008))+ISNUMBER(SEARCH("Razonar",$R1008))),0)</f>
        <v/>
      </c>
      <c r="U1008" s="39">
        <f>IFERROR(ISNUMBER(SEARCH("Razonar",$R1008))/(ISNUMBER(SEARCH("Conocer",$R1008))+ISNUMBER(SEARCH("Aplicar",$R1008))+ISNUMBER(SEARCH("Razonar",$R1008))),0)</f>
        <v/>
      </c>
      <c r="V1008" s="11" t="inlineStr">
        <is>
          <t>Química 11°</t>
        </is>
      </c>
      <c r="W1008" s="11" t="inlineStr">
        <is>
          <t>Química 10°–11°</t>
        </is>
      </c>
      <c r="X1008" s="11">
        <f>IF(OR(IFERROR(INDEX('Datos - Catálogo TIMSS'!$I$5:$I$107,MATCH(K1008,'Datos - Catálogo TIMSS'!$A$5:$A$107,0)),"No")="Sí",IFERROR(INDEX('Datos - Catálogo TIMSS'!$I$5:$I$107,MATCH(L1008,'Datos - Catálogo TIMSS'!$A$5:$A$107,0)),"No")="Sí"),1,0)</f>
        <v/>
      </c>
      <c r="Y1008" s="11">
        <f>IF(IFERROR(INDEX('Datos - Catálogo TIMSS'!$J$5:$J$107,MATCH(K1008,'Datos - Catálogo TIMSS'!$A$5:$A$107,0)),"No")="Sí",1,0)</f>
        <v/>
      </c>
      <c r="Z1008" s="11">
        <f>IF(IFERROR(INDEX('Datos - Catálogo TIMSS'!$J$5:$J$107,MATCH(L1008,'Datos - Catálogo TIMSS'!$A$5:$A$107,0)),"No")="Sí",1,0)</f>
        <v/>
      </c>
      <c r="AA1008" s="11" t="inlineStr">
        <is>
          <t>N/A</t>
        </is>
      </c>
      <c r="AB1008" s="11" t="inlineStr"/>
      <c r="AC1008" s="11">
        <f>IF(AA1008="FUERA","Fuera del marco",IF(AA1008="N/A","Sin marco",IFERROR(INDEX('Datos - TIMSS 2023'!$C$5:$C$105,MATCH(AA1008,'Datos - TIMSS 2023'!$A$5:$A$105,0)),"Pendiente de clasificar")))</f>
        <v/>
      </c>
      <c r="AD1008" s="11" t="inlineStr">
        <is>
          <t>3. Investigar, evaluar y usar información científica para tomar decisiones y actuar</t>
        </is>
      </c>
      <c r="AE1008" s="11">
        <f>IF(AD1008="","",IF(LEFT(AD1008,1)="1","C1",IF(LEFT(AD1008,1)="2","C2",IF(LEFT(AD1008,1)="3","C3",""))))</f>
        <v/>
      </c>
      <c r="AF1008" s="11" t="inlineStr">
        <is>
          <t>E6</t>
        </is>
      </c>
      <c r="AG1008" s="11" t="inlineStr">
        <is>
          <t>D1</t>
        </is>
      </c>
      <c r="AH1008" s="11" t="inlineStr">
        <is>
          <t>E1</t>
        </is>
      </c>
      <c r="AI1008" s="11" t="inlineStr">
        <is>
          <t>I1</t>
        </is>
      </c>
      <c r="AJ1008" s="11" t="inlineStr">
        <is>
          <t>I5</t>
        </is>
      </c>
      <c r="AK1008" s="11" t="n"/>
      <c r="AL1008" s="11" t="n"/>
      <c r="AM1008" s="11" t="n"/>
      <c r="AN1008" s="11" t="n"/>
      <c r="AO1008" s="11" t="n"/>
      <c r="AP1008" s="11" t="n"/>
      <c r="AQ1008" s="11" t="n"/>
      <c r="AR1008" s="11" t="n"/>
      <c r="AS1008" s="11" t="n"/>
      <c r="AT1008" s="11" t="n"/>
      <c r="AU1008" s="11" t="n"/>
      <c r="AV1008" s="11" t="n"/>
      <c r="AW1008" s="11">
        <f>AF1008&amp;"; "&amp;AG1008&amp;"; "&amp;AH1008&amp;"; "&amp;AI1008&amp;"; "&amp;AJ1008</f>
        <v/>
      </c>
    </row>
    <row r="1009">
      <c r="A1009" s="11" t="inlineStr">
        <is>
          <t>T0545-G11-QUÍ</t>
        </is>
      </c>
      <c r="B1009" s="11" t="n">
        <v>11</v>
      </c>
      <c r="C1009" s="11" t="inlineStr">
        <is>
          <t>Química</t>
        </is>
      </c>
      <c r="D1009" s="11" t="inlineStr">
        <is>
          <t>Matriz_Bachillerato_Quimica_10_11.xlsx</t>
        </is>
      </c>
      <c r="E1009" s="11" t="inlineStr">
        <is>
          <t>Química 11.°</t>
        </is>
      </c>
      <c r="F1009" s="11" t="n">
        <v>6</v>
      </c>
      <c r="G1009" s="11" t="inlineStr">
        <is>
          <t>1. Ciencia de materiales</t>
        </is>
      </c>
      <c r="H1009" s="11" t="inlineStr">
        <is>
          <t>Polímeros y materiales compuestos</t>
        </is>
      </c>
      <c r="I1009" s="38" t="inlineStr">
        <is>
          <t>1.4. Reconocimiento de la diversidad de polímeros sintéticos en el entorno.</t>
        </is>
      </c>
      <c r="J1009" s="11" t="inlineStr">
        <is>
          <t>Sin marco</t>
        </is>
      </c>
      <c r="K1009" s="11" t="inlineStr">
        <is>
          <t>N/A</t>
        </is>
      </c>
      <c r="L1009" s="11" t="inlineStr"/>
      <c r="M1009" s="11">
        <f>IF(K1009="FUERA","Fuera del marco",IF(K1009="N/A","Sin marco",IFERROR(INDEX('Datos - Catálogo TIMSS'!$C$5:$C$107,MATCH(K1009,'Datos - Catálogo TIMSS'!$A$5:$A$107,0)),"Pendiente de clasificar")))</f>
        <v/>
      </c>
      <c r="N1009" s="11">
        <f>IF(K1009="FUERA","Fuera del marco",IF(K1009="N/A","Sin marco",IFERROR(INDEX('Datos - Catálogo TIMSS'!$F$5:$F$107,MATCH(K1009,'Datos - Catálogo TIMSS'!$A$5:$A$107,0)),"Pendiente de clasificar")))</f>
        <v/>
      </c>
      <c r="O1009" s="11">
        <f>IF(L1009="","",IFERROR(INDEX('Datos - Catálogo TIMSS'!$C$5:$C$107,MATCH(L1009,'Datos - Catálogo TIMSS'!$A$5:$A$107,0)),"?"))</f>
        <v/>
      </c>
      <c r="P1009" s="11" t="inlineStr">
        <is>
          <t>N/A</t>
        </is>
      </c>
      <c r="Q1009" s="38" t="inlineStr">
        <is>
          <t>Sin marco TIMSS de contenido para esta asignatura en Bachillerato</t>
        </is>
      </c>
      <c r="R1009" s="38" t="inlineStr">
        <is>
          <t>Conocer: clasificar polímeros. Aplicar: organizar datos en tablas</t>
        </is>
      </c>
      <c r="S1009" s="39">
        <f>IFERROR(ISNUMBER(SEARCH("Conocer",$R1009))/(ISNUMBER(SEARCH("Conocer",$R1009))+ISNUMBER(SEARCH("Aplicar",$R1009))+ISNUMBER(SEARCH("Razonar",$R1009))),0)</f>
        <v/>
      </c>
      <c r="T1009" s="39">
        <f>IFERROR(ISNUMBER(SEARCH("Aplicar",$R1009))/(ISNUMBER(SEARCH("Conocer",$R1009))+ISNUMBER(SEARCH("Aplicar",$R1009))+ISNUMBER(SEARCH("Razonar",$R1009))),0)</f>
        <v/>
      </c>
      <c r="U1009" s="39">
        <f>IFERROR(ISNUMBER(SEARCH("Razonar",$R1009))/(ISNUMBER(SEARCH("Conocer",$R1009))+ISNUMBER(SEARCH("Aplicar",$R1009))+ISNUMBER(SEARCH("Razonar",$R1009))),0)</f>
        <v/>
      </c>
      <c r="V1009" s="11" t="inlineStr">
        <is>
          <t>Química 11°</t>
        </is>
      </c>
      <c r="W1009" s="11" t="inlineStr">
        <is>
          <t>Química 10°–11°</t>
        </is>
      </c>
      <c r="X1009" s="11">
        <f>IF(OR(IFERROR(INDEX('Datos - Catálogo TIMSS'!$I$5:$I$107,MATCH(K1009,'Datos - Catálogo TIMSS'!$A$5:$A$107,0)),"No")="Sí",IFERROR(INDEX('Datos - Catálogo TIMSS'!$I$5:$I$107,MATCH(L1009,'Datos - Catálogo TIMSS'!$A$5:$A$107,0)),"No")="Sí"),1,0)</f>
        <v/>
      </c>
      <c r="Y1009" s="11">
        <f>IF(IFERROR(INDEX('Datos - Catálogo TIMSS'!$J$5:$J$107,MATCH(K1009,'Datos - Catálogo TIMSS'!$A$5:$A$107,0)),"No")="Sí",1,0)</f>
        <v/>
      </c>
      <c r="Z1009" s="11">
        <f>IF(IFERROR(INDEX('Datos - Catálogo TIMSS'!$J$5:$J$107,MATCH(L1009,'Datos - Catálogo TIMSS'!$A$5:$A$107,0)),"No")="Sí",1,0)</f>
        <v/>
      </c>
      <c r="AA1009" s="11" t="inlineStr">
        <is>
          <t>N/A</t>
        </is>
      </c>
      <c r="AB1009" s="11" t="inlineStr"/>
      <c r="AC1009" s="11">
        <f>IF(AA1009="FUERA","Fuera del marco",IF(AA1009="N/A","Sin marco",IFERROR(INDEX('Datos - TIMSS 2023'!$C$5:$C$105,MATCH(AA1009,'Datos - TIMSS 2023'!$A$5:$A$105,0)),"Pendiente de clasificar")))</f>
        <v/>
      </c>
      <c r="AD1009" s="11" t="inlineStr">
        <is>
          <t>1. Explicar fenómenos científicamente</t>
        </is>
      </c>
      <c r="AE1009" s="11">
        <f>IF(AD1009="","",IF(LEFT(AD1009,1)="1","C1",IF(LEFT(AD1009,1)="2","C2",IF(LEFT(AD1009,1)="3","C3",""))))</f>
        <v/>
      </c>
      <c r="AF1009" s="11" t="inlineStr">
        <is>
          <t>E1</t>
        </is>
      </c>
      <c r="AG1009" s="11" t="inlineStr">
        <is>
          <t>E3</t>
        </is>
      </c>
      <c r="AH1009" s="11" t="inlineStr">
        <is>
          <t>E2</t>
        </is>
      </c>
      <c r="AI1009" s="11" t="inlineStr">
        <is>
          <t>D4</t>
        </is>
      </c>
      <c r="AJ1009" s="11" t="inlineStr">
        <is>
          <t>E6</t>
        </is>
      </c>
      <c r="AK1009" s="11" t="n"/>
      <c r="AL1009" s="11" t="n"/>
      <c r="AM1009" s="11" t="n"/>
      <c r="AN1009" s="11" t="n"/>
      <c r="AO1009" s="11" t="n"/>
      <c r="AP1009" s="11" t="n"/>
      <c r="AQ1009" s="11" t="n"/>
      <c r="AR1009" s="11" t="n"/>
      <c r="AS1009" s="11" t="n"/>
      <c r="AT1009" s="11" t="n"/>
      <c r="AU1009" s="11" t="n"/>
      <c r="AV1009" s="11" t="n"/>
      <c r="AW1009" s="11">
        <f>AF1009&amp;"; "&amp;AG1009&amp;"; "&amp;AH1009&amp;"; "&amp;AI1009&amp;"; "&amp;AJ1009</f>
        <v/>
      </c>
    </row>
    <row r="1010">
      <c r="A1010" s="11" t="inlineStr">
        <is>
          <t>T0546-G11-QUÍ</t>
        </is>
      </c>
      <c r="B1010" s="11" t="n">
        <v>11</v>
      </c>
      <c r="C1010" s="11" t="inlineStr">
        <is>
          <t>Química</t>
        </is>
      </c>
      <c r="D1010" s="11" t="inlineStr">
        <is>
          <t>Matriz_Bachillerato_Quimica_10_11.xlsx</t>
        </is>
      </c>
      <c r="E1010" s="11" t="inlineStr">
        <is>
          <t>Química 11.°</t>
        </is>
      </c>
      <c r="F1010" s="11" t="n">
        <v>7</v>
      </c>
      <c r="G1010" s="11" t="inlineStr">
        <is>
          <t>1. Ciencia de materiales</t>
        </is>
      </c>
      <c r="H1010" s="11" t="inlineStr">
        <is>
          <t>Polímeros y materiales compuestos</t>
        </is>
      </c>
      <c r="I1010" s="38" t="inlineStr">
        <is>
          <t>1.5. Experimentación con el proceso de polimerización y los diferentes tipos de polímeros resultantes.</t>
        </is>
      </c>
      <c r="J1010" s="11" t="inlineStr">
        <is>
          <t>Sin marco</t>
        </is>
      </c>
      <c r="K1010" s="11" t="inlineStr">
        <is>
          <t>N/A</t>
        </is>
      </c>
      <c r="L1010" s="11" t="inlineStr"/>
      <c r="M1010" s="11">
        <f>IF(K1010="FUERA","Fuera del marco",IF(K1010="N/A","Sin marco",IFERROR(INDEX('Datos - Catálogo TIMSS'!$C$5:$C$107,MATCH(K1010,'Datos - Catálogo TIMSS'!$A$5:$A$107,0)),"Pendiente de clasificar")))</f>
        <v/>
      </c>
      <c r="N1010" s="11">
        <f>IF(K1010="FUERA","Fuera del marco",IF(K1010="N/A","Sin marco",IFERROR(INDEX('Datos - Catálogo TIMSS'!$F$5:$F$107,MATCH(K1010,'Datos - Catálogo TIMSS'!$A$5:$A$107,0)),"Pendiente de clasificar")))</f>
        <v/>
      </c>
      <c r="O1010" s="11">
        <f>IF(L1010="","",IFERROR(INDEX('Datos - Catálogo TIMSS'!$C$5:$C$107,MATCH(L1010,'Datos - Catálogo TIMSS'!$A$5:$A$107,0)),"?"))</f>
        <v/>
      </c>
      <c r="P1010" s="11" t="inlineStr">
        <is>
          <t>N/A</t>
        </is>
      </c>
      <c r="Q1010" s="38" t="inlineStr">
        <is>
          <t>Sin marco TIMSS de contenido para esta asignatura en Bachillerato</t>
        </is>
      </c>
      <c r="R1010" s="38" t="inlineStr">
        <is>
          <t>Aplicar: representar reacciones. Razonar: generalizar mecanismos de polimerización</t>
        </is>
      </c>
      <c r="S1010" s="39">
        <f>IFERROR(ISNUMBER(SEARCH("Conocer",$R1010))/(ISNUMBER(SEARCH("Conocer",$R1010))+ISNUMBER(SEARCH("Aplicar",$R1010))+ISNUMBER(SEARCH("Razonar",$R1010))),0)</f>
        <v/>
      </c>
      <c r="T1010" s="39">
        <f>IFERROR(ISNUMBER(SEARCH("Aplicar",$R1010))/(ISNUMBER(SEARCH("Conocer",$R1010))+ISNUMBER(SEARCH("Aplicar",$R1010))+ISNUMBER(SEARCH("Razonar",$R1010))),0)</f>
        <v/>
      </c>
      <c r="U1010" s="39">
        <f>IFERROR(ISNUMBER(SEARCH("Razonar",$R1010))/(ISNUMBER(SEARCH("Conocer",$R1010))+ISNUMBER(SEARCH("Aplicar",$R1010))+ISNUMBER(SEARCH("Razonar",$R1010))),0)</f>
        <v/>
      </c>
      <c r="V1010" s="11" t="inlineStr">
        <is>
          <t>Química 11°</t>
        </is>
      </c>
      <c r="W1010" s="11" t="inlineStr">
        <is>
          <t>Química 10°–11°</t>
        </is>
      </c>
      <c r="X1010" s="11">
        <f>IF(OR(IFERROR(INDEX('Datos - Catálogo TIMSS'!$I$5:$I$107,MATCH(K1010,'Datos - Catálogo TIMSS'!$A$5:$A$107,0)),"No")="Sí",IFERROR(INDEX('Datos - Catálogo TIMSS'!$I$5:$I$107,MATCH(L1010,'Datos - Catálogo TIMSS'!$A$5:$A$107,0)),"No")="Sí"),1,0)</f>
        <v/>
      </c>
      <c r="Y1010" s="11">
        <f>IF(IFERROR(INDEX('Datos - Catálogo TIMSS'!$J$5:$J$107,MATCH(K1010,'Datos - Catálogo TIMSS'!$A$5:$A$107,0)),"No")="Sí",1,0)</f>
        <v/>
      </c>
      <c r="Z1010" s="11">
        <f>IF(IFERROR(INDEX('Datos - Catálogo TIMSS'!$J$5:$J$107,MATCH(L1010,'Datos - Catálogo TIMSS'!$A$5:$A$107,0)),"No")="Sí",1,0)</f>
        <v/>
      </c>
      <c r="AA1010" s="11" t="inlineStr">
        <is>
          <t>N/A</t>
        </is>
      </c>
      <c r="AB1010" s="11" t="inlineStr"/>
      <c r="AC1010" s="11">
        <f>IF(AA1010="FUERA","Fuera del marco",IF(AA1010="N/A","Sin marco",IFERROR(INDEX('Datos - TIMSS 2023'!$C$5:$C$105,MATCH(AA1010,'Datos - TIMSS 2023'!$A$5:$A$105,0)),"Pendiente de clasificar")))</f>
        <v/>
      </c>
      <c r="AD1010" s="11" t="inlineStr">
        <is>
          <t>2. Construir y evaluar diseños para la indagación científica e interpretar datos y evidencia de forma crítica</t>
        </is>
      </c>
      <c r="AE1010" s="11">
        <f>IF(AD1010="","",IF(LEFT(AD1010,1)="1","C1",IF(LEFT(AD1010,1)="2","C2",IF(LEFT(AD1010,1)="3","C3",""))))</f>
        <v/>
      </c>
      <c r="AF1010" s="11" t="inlineStr">
        <is>
          <t>E1</t>
        </is>
      </c>
      <c r="AG1010" s="11" t="inlineStr">
        <is>
          <t>D1</t>
        </is>
      </c>
      <c r="AH1010" s="11" t="inlineStr">
        <is>
          <t>E2</t>
        </is>
      </c>
      <c r="AI1010" s="11" t="inlineStr">
        <is>
          <t>D4</t>
        </is>
      </c>
      <c r="AJ1010" s="11" t="inlineStr">
        <is>
          <t>D3</t>
        </is>
      </c>
      <c r="AK1010" s="11" t="n"/>
      <c r="AL1010" s="11" t="n"/>
      <c r="AM1010" s="11" t="n"/>
      <c r="AN1010" s="11" t="n"/>
      <c r="AO1010" s="11" t="n"/>
      <c r="AP1010" s="11" t="n"/>
      <c r="AQ1010" s="11" t="n"/>
      <c r="AR1010" s="11" t="n"/>
      <c r="AS1010" s="11" t="n"/>
      <c r="AT1010" s="11" t="n"/>
      <c r="AU1010" s="11" t="n"/>
      <c r="AV1010" s="11" t="n"/>
      <c r="AW1010" s="11">
        <f>AF1010&amp;"; "&amp;AG1010&amp;"; "&amp;AH1010&amp;"; "&amp;AI1010&amp;"; "&amp;AJ1010</f>
        <v/>
      </c>
    </row>
    <row r="1011">
      <c r="A1011" s="11" t="inlineStr">
        <is>
          <t>T0547-G11-QUÍ</t>
        </is>
      </c>
      <c r="B1011" s="11" t="n">
        <v>11</v>
      </c>
      <c r="C1011" s="11" t="inlineStr">
        <is>
          <t>Química</t>
        </is>
      </c>
      <c r="D1011" s="11" t="inlineStr">
        <is>
          <t>Matriz_Bachillerato_Quimica_10_11.xlsx</t>
        </is>
      </c>
      <c r="E1011" s="11" t="inlineStr">
        <is>
          <t>Química 11.°</t>
        </is>
      </c>
      <c r="F1011" s="11" t="n">
        <v>8</v>
      </c>
      <c r="G1011" s="11" t="inlineStr">
        <is>
          <t>1. Ciencia de materiales</t>
        </is>
      </c>
      <c r="H1011" s="11" t="inlineStr">
        <is>
          <t>Polímeros y materiales compuestos</t>
        </is>
      </c>
      <c r="I1011" s="38" t="inlineStr">
        <is>
          <t>1.6. Investigación de la estructura y clasificación de los materiales compuestos y las formas de reciclaje de polímeros.</t>
        </is>
      </c>
      <c r="J1011" s="11" t="inlineStr">
        <is>
          <t>Sin marco</t>
        </is>
      </c>
      <c r="K1011" s="11" t="inlineStr">
        <is>
          <t>N/A</t>
        </is>
      </c>
      <c r="L1011" s="11" t="inlineStr"/>
      <c r="M1011" s="11">
        <f>IF(K1011="FUERA","Fuera del marco",IF(K1011="N/A","Sin marco",IFERROR(INDEX('Datos - Catálogo TIMSS'!$C$5:$C$107,MATCH(K1011,'Datos - Catálogo TIMSS'!$A$5:$A$107,0)),"Pendiente de clasificar")))</f>
        <v/>
      </c>
      <c r="N1011" s="11">
        <f>IF(K1011="FUERA","Fuera del marco",IF(K1011="N/A","Sin marco",IFERROR(INDEX('Datos - Catálogo TIMSS'!$F$5:$F$107,MATCH(K1011,'Datos - Catálogo TIMSS'!$A$5:$A$107,0)),"Pendiente de clasificar")))</f>
        <v/>
      </c>
      <c r="O1011" s="11">
        <f>IF(L1011="","",IFERROR(INDEX('Datos - Catálogo TIMSS'!$C$5:$C$107,MATCH(L1011,'Datos - Catálogo TIMSS'!$A$5:$A$107,0)),"?"))</f>
        <v/>
      </c>
      <c r="P1011" s="11" t="inlineStr">
        <is>
          <t>N/A</t>
        </is>
      </c>
      <c r="Q1011" s="38" t="inlineStr">
        <is>
          <t>Sin marco TIMSS de contenido para esta asignatura en Bachillerato</t>
        </is>
      </c>
      <c r="R1011" s="38" t="inlineStr">
        <is>
          <t>Conocer: clasificar compuestos. Razonar: evaluar alternativas de reciclaje</t>
        </is>
      </c>
      <c r="S1011" s="39">
        <f>IFERROR(ISNUMBER(SEARCH("Conocer",$R1011))/(ISNUMBER(SEARCH("Conocer",$R1011))+ISNUMBER(SEARCH("Aplicar",$R1011))+ISNUMBER(SEARCH("Razonar",$R1011))),0)</f>
        <v/>
      </c>
      <c r="T1011" s="39">
        <f>IFERROR(ISNUMBER(SEARCH("Aplicar",$R1011))/(ISNUMBER(SEARCH("Conocer",$R1011))+ISNUMBER(SEARCH("Aplicar",$R1011))+ISNUMBER(SEARCH("Razonar",$R1011))),0)</f>
        <v/>
      </c>
      <c r="U1011" s="39">
        <f>IFERROR(ISNUMBER(SEARCH("Razonar",$R1011))/(ISNUMBER(SEARCH("Conocer",$R1011))+ISNUMBER(SEARCH("Aplicar",$R1011))+ISNUMBER(SEARCH("Razonar",$R1011))),0)</f>
        <v/>
      </c>
      <c r="V1011" s="11" t="inlineStr">
        <is>
          <t>Química 11°</t>
        </is>
      </c>
      <c r="W1011" s="11" t="inlineStr">
        <is>
          <t>Química 10°–11°</t>
        </is>
      </c>
      <c r="X1011" s="11">
        <f>IF(OR(IFERROR(INDEX('Datos - Catálogo TIMSS'!$I$5:$I$107,MATCH(K1011,'Datos - Catálogo TIMSS'!$A$5:$A$107,0)),"No")="Sí",IFERROR(INDEX('Datos - Catálogo TIMSS'!$I$5:$I$107,MATCH(L1011,'Datos - Catálogo TIMSS'!$A$5:$A$107,0)),"No")="Sí"),1,0)</f>
        <v/>
      </c>
      <c r="Y1011" s="11">
        <f>IF(IFERROR(INDEX('Datos - Catálogo TIMSS'!$J$5:$J$107,MATCH(K1011,'Datos - Catálogo TIMSS'!$A$5:$A$107,0)),"No")="Sí",1,0)</f>
        <v/>
      </c>
      <c r="Z1011" s="11">
        <f>IF(IFERROR(INDEX('Datos - Catálogo TIMSS'!$J$5:$J$107,MATCH(L1011,'Datos - Catálogo TIMSS'!$A$5:$A$107,0)),"No")="Sí",1,0)</f>
        <v/>
      </c>
      <c r="AA1011" s="11" t="inlineStr">
        <is>
          <t>N/A</t>
        </is>
      </c>
      <c r="AB1011" s="11" t="inlineStr"/>
      <c r="AC1011" s="11">
        <f>IF(AA1011="FUERA","Fuera del marco",IF(AA1011="N/A","Sin marco",IFERROR(INDEX('Datos - TIMSS 2023'!$C$5:$C$105,MATCH(AA1011,'Datos - TIMSS 2023'!$A$5:$A$105,0)),"Pendiente de clasificar")))</f>
        <v/>
      </c>
      <c r="AD1011" s="11" t="inlineStr">
        <is>
          <t>3. Investigar, evaluar y usar información científica para tomar decisiones y actuar</t>
        </is>
      </c>
      <c r="AE1011" s="11">
        <f>IF(AD1011="","",IF(LEFT(AD1011,1)="1","C1",IF(LEFT(AD1011,1)="2","C2",IF(LEFT(AD1011,1)="3","C3",""))))</f>
        <v/>
      </c>
      <c r="AF1011" s="11" t="inlineStr">
        <is>
          <t>E6</t>
        </is>
      </c>
      <c r="AG1011" s="11" t="inlineStr">
        <is>
          <t>E5</t>
        </is>
      </c>
      <c r="AH1011" s="11" t="inlineStr">
        <is>
          <t>E1</t>
        </is>
      </c>
      <c r="AI1011" s="11" t="inlineStr">
        <is>
          <t>I1</t>
        </is>
      </c>
      <c r="AJ1011" s="11" t="inlineStr">
        <is>
          <t>I5</t>
        </is>
      </c>
      <c r="AK1011" s="11" t="n"/>
      <c r="AL1011" s="11" t="n"/>
      <c r="AM1011" s="11" t="n"/>
      <c r="AN1011" s="11" t="n"/>
      <c r="AO1011" s="11" t="n"/>
      <c r="AP1011" s="11" t="n"/>
      <c r="AQ1011" s="11" t="n"/>
      <c r="AR1011" s="11" t="n"/>
      <c r="AS1011" s="11" t="n"/>
      <c r="AT1011" s="11" t="n"/>
      <c r="AU1011" s="11" t="n"/>
      <c r="AV1011" s="11" t="n"/>
      <c r="AW1011" s="11">
        <f>AF1011&amp;"; "&amp;AG1011&amp;"; "&amp;AH1011&amp;"; "&amp;AI1011&amp;"; "&amp;AJ1011</f>
        <v/>
      </c>
    </row>
    <row r="1012">
      <c r="A1012" s="11" t="inlineStr">
        <is>
          <t>T0548-G11-QUÍ</t>
        </is>
      </c>
      <c r="B1012" s="11" t="n">
        <v>11</v>
      </c>
      <c r="C1012" s="11" t="inlineStr">
        <is>
          <t>Química</t>
        </is>
      </c>
      <c r="D1012" s="11" t="inlineStr">
        <is>
          <t>Matriz_Bachillerato_Quimica_10_11.xlsx</t>
        </is>
      </c>
      <c r="E1012" s="11" t="inlineStr">
        <is>
          <t>Química 11.°</t>
        </is>
      </c>
      <c r="F1012" s="11" t="n">
        <v>9</v>
      </c>
      <c r="G1012" s="11" t="inlineStr">
        <is>
          <t>1. Ciencia de materiales</t>
        </is>
      </c>
      <c r="H1012" s="11" t="inlineStr">
        <is>
          <t>Propiedades de los materiales</t>
        </is>
      </c>
      <c r="I1012" s="38" t="inlineStr">
        <is>
          <t>1.7. Relación entre las propiedades de los metales, las cerámicas y los polímeros con sus principales usos.</t>
        </is>
      </c>
      <c r="J1012" s="11" t="inlineStr">
        <is>
          <t>Sin marco</t>
        </is>
      </c>
      <c r="K1012" s="11" t="inlineStr">
        <is>
          <t>N/A</t>
        </is>
      </c>
      <c r="L1012" s="11" t="inlineStr"/>
      <c r="M1012" s="11">
        <f>IF(K1012="FUERA","Fuera del marco",IF(K1012="N/A","Sin marco",IFERROR(INDEX('Datos - Catálogo TIMSS'!$C$5:$C$107,MATCH(K1012,'Datos - Catálogo TIMSS'!$A$5:$A$107,0)),"Pendiente de clasificar")))</f>
        <v/>
      </c>
      <c r="N1012" s="11">
        <f>IF(K1012="FUERA","Fuera del marco",IF(K1012="N/A","Sin marco",IFERROR(INDEX('Datos - Catálogo TIMSS'!$F$5:$F$107,MATCH(K1012,'Datos - Catálogo TIMSS'!$A$5:$A$107,0)),"Pendiente de clasificar")))</f>
        <v/>
      </c>
      <c r="O1012" s="11">
        <f>IF(L1012="","",IFERROR(INDEX('Datos - Catálogo TIMSS'!$C$5:$C$107,MATCH(L1012,'Datos - Catálogo TIMSS'!$A$5:$A$107,0)),"?"))</f>
        <v/>
      </c>
      <c r="P1012" s="11" t="inlineStr">
        <is>
          <t>N/A</t>
        </is>
      </c>
      <c r="Q1012" s="38" t="inlineStr">
        <is>
          <t>Sin marco TIMSS de contenido para esta asignatura en Bachillerato</t>
        </is>
      </c>
      <c r="R1012" s="38" t="inlineStr">
        <is>
          <t>Aplicar: clasificar materiales por sus propiedades. Razonar: relacionar propiedad y uso</t>
        </is>
      </c>
      <c r="S1012" s="39">
        <f>IFERROR(ISNUMBER(SEARCH("Conocer",$R1012))/(ISNUMBER(SEARCH("Conocer",$R1012))+ISNUMBER(SEARCH("Aplicar",$R1012))+ISNUMBER(SEARCH("Razonar",$R1012))),0)</f>
        <v/>
      </c>
      <c r="T1012" s="39">
        <f>IFERROR(ISNUMBER(SEARCH("Aplicar",$R1012))/(ISNUMBER(SEARCH("Conocer",$R1012))+ISNUMBER(SEARCH("Aplicar",$R1012))+ISNUMBER(SEARCH("Razonar",$R1012))),0)</f>
        <v/>
      </c>
      <c r="U1012" s="39">
        <f>IFERROR(ISNUMBER(SEARCH("Razonar",$R1012))/(ISNUMBER(SEARCH("Conocer",$R1012))+ISNUMBER(SEARCH("Aplicar",$R1012))+ISNUMBER(SEARCH("Razonar",$R1012))),0)</f>
        <v/>
      </c>
      <c r="V1012" s="11" t="inlineStr">
        <is>
          <t>Química 11°</t>
        </is>
      </c>
      <c r="W1012" s="11" t="inlineStr">
        <is>
          <t>Química 10°–11°</t>
        </is>
      </c>
      <c r="X1012" s="11">
        <f>IF(OR(IFERROR(INDEX('Datos - Catálogo TIMSS'!$I$5:$I$107,MATCH(K1012,'Datos - Catálogo TIMSS'!$A$5:$A$107,0)),"No")="Sí",IFERROR(INDEX('Datos - Catálogo TIMSS'!$I$5:$I$107,MATCH(L1012,'Datos - Catálogo TIMSS'!$A$5:$A$107,0)),"No")="Sí"),1,0)</f>
        <v/>
      </c>
      <c r="Y1012" s="11">
        <f>IF(IFERROR(INDEX('Datos - Catálogo TIMSS'!$J$5:$J$107,MATCH(K1012,'Datos - Catálogo TIMSS'!$A$5:$A$107,0)),"No")="Sí",1,0)</f>
        <v/>
      </c>
      <c r="Z1012" s="11">
        <f>IF(IFERROR(INDEX('Datos - Catálogo TIMSS'!$J$5:$J$107,MATCH(L1012,'Datos - Catálogo TIMSS'!$A$5:$A$107,0)),"No")="Sí",1,0)</f>
        <v/>
      </c>
      <c r="AA1012" s="11" t="inlineStr">
        <is>
          <t>N/A</t>
        </is>
      </c>
      <c r="AB1012" s="11" t="inlineStr"/>
      <c r="AC1012" s="11">
        <f>IF(AA1012="FUERA","Fuera del marco",IF(AA1012="N/A","Sin marco",IFERROR(INDEX('Datos - TIMSS 2023'!$C$5:$C$105,MATCH(AA1012,'Datos - TIMSS 2023'!$A$5:$A$105,0)),"Pendiente de clasificar")))</f>
        <v/>
      </c>
      <c r="AD1012" s="11" t="inlineStr">
        <is>
          <t>2. Construir y evaluar diseños para la indagación científica e interpretar datos y evidencia de forma crítica</t>
        </is>
      </c>
      <c r="AE1012" s="11">
        <f>IF(AD1012="","",IF(LEFT(AD1012,1)="1","C1",IF(LEFT(AD1012,1)="2","C2",IF(LEFT(AD1012,1)="3","C3",""))))</f>
        <v/>
      </c>
      <c r="AF1012" s="11" t="inlineStr">
        <is>
          <t>E1</t>
        </is>
      </c>
      <c r="AG1012" s="11" t="inlineStr">
        <is>
          <t>E3</t>
        </is>
      </c>
      <c r="AH1012" s="11" t="inlineStr">
        <is>
          <t>E1</t>
        </is>
      </c>
      <c r="AI1012" s="11" t="inlineStr">
        <is>
          <t>D4</t>
        </is>
      </c>
      <c r="AJ1012" s="11" t="inlineStr">
        <is>
          <t>I5</t>
        </is>
      </c>
      <c r="AK1012" s="11" t="n"/>
      <c r="AL1012" s="11" t="n"/>
      <c r="AM1012" s="11" t="n"/>
      <c r="AN1012" s="11" t="n"/>
      <c r="AO1012" s="11" t="n"/>
      <c r="AP1012" s="11" t="n"/>
      <c r="AQ1012" s="11" t="n"/>
      <c r="AR1012" s="11" t="n"/>
      <c r="AS1012" s="11" t="n"/>
      <c r="AT1012" s="11" t="n"/>
      <c r="AU1012" s="11" t="n"/>
      <c r="AV1012" s="11" t="n"/>
      <c r="AW1012" s="11">
        <f>AF1012&amp;"; "&amp;AG1012&amp;"; "&amp;AH1012&amp;"; "&amp;AI1012&amp;"; "&amp;AJ1012</f>
        <v/>
      </c>
    </row>
    <row r="1013">
      <c r="A1013" s="11" t="inlineStr">
        <is>
          <t>T0549-G11-QUÍ</t>
        </is>
      </c>
      <c r="B1013" s="11" t="n">
        <v>11</v>
      </c>
      <c r="C1013" s="11" t="inlineStr">
        <is>
          <t>Química</t>
        </is>
      </c>
      <c r="D1013" s="11" t="inlineStr">
        <is>
          <t>Matriz_Bachillerato_Quimica_10_11.xlsx</t>
        </is>
      </c>
      <c r="E1013" s="11" t="inlineStr">
        <is>
          <t>Química 11.°</t>
        </is>
      </c>
      <c r="F1013" s="11" t="n">
        <v>10</v>
      </c>
      <c r="G1013" s="11" t="inlineStr">
        <is>
          <t>1. Ciencia de materiales</t>
        </is>
      </c>
      <c r="H1013" s="11" t="inlineStr">
        <is>
          <t>Nanomateriales</t>
        </is>
      </c>
      <c r="I1013" s="38" t="inlineStr">
        <is>
          <t>1.8. Elaboración de una escala comparativa del tamaño de partícula y estructura de los nanomateriales.</t>
        </is>
      </c>
      <c r="J1013" s="11" t="inlineStr">
        <is>
          <t>Sin marco</t>
        </is>
      </c>
      <c r="K1013" s="11" t="inlineStr">
        <is>
          <t>N/A</t>
        </is>
      </c>
      <c r="L1013" s="11" t="inlineStr"/>
      <c r="M1013" s="11">
        <f>IF(K1013="FUERA","Fuera del marco",IF(K1013="N/A","Sin marco",IFERROR(INDEX('Datos - Catálogo TIMSS'!$C$5:$C$107,MATCH(K1013,'Datos - Catálogo TIMSS'!$A$5:$A$107,0)),"Pendiente de clasificar")))</f>
        <v/>
      </c>
      <c r="N1013" s="11">
        <f>IF(K1013="FUERA","Fuera del marco",IF(K1013="N/A","Sin marco",IFERROR(INDEX('Datos - Catálogo TIMSS'!$F$5:$F$107,MATCH(K1013,'Datos - Catálogo TIMSS'!$A$5:$A$107,0)),"Pendiente de clasificar")))</f>
        <v/>
      </c>
      <c r="O1013" s="11">
        <f>IF(L1013="","",IFERROR(INDEX('Datos - Catálogo TIMSS'!$C$5:$C$107,MATCH(L1013,'Datos - Catálogo TIMSS'!$A$5:$A$107,0)),"?"))</f>
        <v/>
      </c>
      <c r="P1013" s="11" t="inlineStr">
        <is>
          <t>N/A</t>
        </is>
      </c>
      <c r="Q1013" s="38" t="inlineStr">
        <is>
          <t>Sin marco TIMSS de contenido para esta asignatura en Bachillerato</t>
        </is>
      </c>
      <c r="R1013" s="38" t="inlineStr">
        <is>
          <t>Aplicar: convertir unidades y calcular razones. Razonar: explicar el efecto de la escala</t>
        </is>
      </c>
      <c r="S1013" s="39">
        <f>IFERROR(ISNUMBER(SEARCH("Conocer",$R1013))/(ISNUMBER(SEARCH("Conocer",$R1013))+ISNUMBER(SEARCH("Aplicar",$R1013))+ISNUMBER(SEARCH("Razonar",$R1013))),0)</f>
        <v/>
      </c>
      <c r="T1013" s="39">
        <f>IFERROR(ISNUMBER(SEARCH("Aplicar",$R1013))/(ISNUMBER(SEARCH("Conocer",$R1013))+ISNUMBER(SEARCH("Aplicar",$R1013))+ISNUMBER(SEARCH("Razonar",$R1013))),0)</f>
        <v/>
      </c>
      <c r="U1013" s="39">
        <f>IFERROR(ISNUMBER(SEARCH("Razonar",$R1013))/(ISNUMBER(SEARCH("Conocer",$R1013))+ISNUMBER(SEARCH("Aplicar",$R1013))+ISNUMBER(SEARCH("Razonar",$R1013))),0)</f>
        <v/>
      </c>
      <c r="V1013" s="11" t="inlineStr">
        <is>
          <t>Química 11°</t>
        </is>
      </c>
      <c r="W1013" s="11" t="inlineStr">
        <is>
          <t>Química 10°–11°</t>
        </is>
      </c>
      <c r="X1013" s="11">
        <f>IF(OR(IFERROR(INDEX('Datos - Catálogo TIMSS'!$I$5:$I$107,MATCH(K1013,'Datos - Catálogo TIMSS'!$A$5:$A$107,0)),"No")="Sí",IFERROR(INDEX('Datos - Catálogo TIMSS'!$I$5:$I$107,MATCH(L1013,'Datos - Catálogo TIMSS'!$A$5:$A$107,0)),"No")="Sí"),1,0)</f>
        <v/>
      </c>
      <c r="Y1013" s="11">
        <f>IF(IFERROR(INDEX('Datos - Catálogo TIMSS'!$J$5:$J$107,MATCH(K1013,'Datos - Catálogo TIMSS'!$A$5:$A$107,0)),"No")="Sí",1,0)</f>
        <v/>
      </c>
      <c r="Z1013" s="11">
        <f>IF(IFERROR(INDEX('Datos - Catálogo TIMSS'!$J$5:$J$107,MATCH(L1013,'Datos - Catálogo TIMSS'!$A$5:$A$107,0)),"No")="Sí",1,0)</f>
        <v/>
      </c>
      <c r="AA1013" s="11" t="inlineStr">
        <is>
          <t>N/A</t>
        </is>
      </c>
      <c r="AB1013" s="11" t="inlineStr"/>
      <c r="AC1013" s="11">
        <f>IF(AA1013="FUERA","Fuera del marco",IF(AA1013="N/A","Sin marco",IFERROR(INDEX('Datos - TIMSS 2023'!$C$5:$C$105,MATCH(AA1013,'Datos - TIMSS 2023'!$A$5:$A$105,0)),"Pendiente de clasificar")))</f>
        <v/>
      </c>
      <c r="AD1013" s="11" t="inlineStr">
        <is>
          <t>1. Explicar fenómenos científicamente</t>
        </is>
      </c>
      <c r="AE1013" s="11">
        <f>IF(AD1013="","",IF(LEFT(AD1013,1)="1","C1",IF(LEFT(AD1013,1)="2","C2",IF(LEFT(AD1013,1)="3","C3",""))))</f>
        <v/>
      </c>
      <c r="AF1013" s="11" t="inlineStr">
        <is>
          <t>E1</t>
        </is>
      </c>
      <c r="AG1013" s="11" t="inlineStr">
        <is>
          <t>E3</t>
        </is>
      </c>
      <c r="AH1013" s="11" t="inlineStr">
        <is>
          <t>E2</t>
        </is>
      </c>
      <c r="AI1013" s="11" t="inlineStr">
        <is>
          <t>E4</t>
        </is>
      </c>
      <c r="AJ1013" s="11" t="inlineStr">
        <is>
          <t>E3</t>
        </is>
      </c>
      <c r="AK1013" s="11" t="n"/>
      <c r="AL1013" s="11" t="n"/>
      <c r="AM1013" s="11" t="n"/>
      <c r="AN1013" s="11" t="n"/>
      <c r="AO1013" s="11" t="n"/>
      <c r="AP1013" s="11" t="n"/>
      <c r="AQ1013" s="11" t="n"/>
      <c r="AR1013" s="11" t="n"/>
      <c r="AS1013" s="11" t="n"/>
      <c r="AT1013" s="11" t="n"/>
      <c r="AU1013" s="11" t="n"/>
      <c r="AV1013" s="11" t="n"/>
      <c r="AW1013" s="11">
        <f>AF1013&amp;"; "&amp;AG1013&amp;"; "&amp;AH1013&amp;"; "&amp;AI1013&amp;"; "&amp;AJ1013</f>
        <v/>
      </c>
    </row>
    <row r="1014">
      <c r="A1014" s="11" t="inlineStr">
        <is>
          <t>T0550-G11-QUÍ</t>
        </is>
      </c>
      <c r="B1014" s="11" t="n">
        <v>11</v>
      </c>
      <c r="C1014" s="11" t="inlineStr">
        <is>
          <t>Química</t>
        </is>
      </c>
      <c r="D1014" s="11" t="inlineStr">
        <is>
          <t>Matriz_Bachillerato_Quimica_10_11.xlsx</t>
        </is>
      </c>
      <c r="E1014" s="11" t="inlineStr">
        <is>
          <t>Química 11.°</t>
        </is>
      </c>
      <c r="F1014" s="11" t="n">
        <v>11</v>
      </c>
      <c r="G1014" s="11" t="inlineStr">
        <is>
          <t>1. Ciencia de materiales</t>
        </is>
      </c>
      <c r="H1014" s="11" t="inlineStr">
        <is>
          <t>Nanomateriales</t>
        </is>
      </c>
      <c r="I1014" s="38" t="inlineStr">
        <is>
          <t>1.9. Investigación de las principales aplicaciones de los nanomateriales.</t>
        </is>
      </c>
      <c r="J1014" s="11" t="inlineStr">
        <is>
          <t>Sin marco</t>
        </is>
      </c>
      <c r="K1014" s="11" t="inlineStr">
        <is>
          <t>N/A</t>
        </is>
      </c>
      <c r="L1014" s="11" t="inlineStr"/>
      <c r="M1014" s="11">
        <f>IF(K1014="FUERA","Fuera del marco",IF(K1014="N/A","Sin marco",IFERROR(INDEX('Datos - Catálogo TIMSS'!$C$5:$C$107,MATCH(K1014,'Datos - Catálogo TIMSS'!$A$5:$A$107,0)),"Pendiente de clasificar")))</f>
        <v/>
      </c>
      <c r="N1014" s="11">
        <f>IF(K1014="FUERA","Fuera del marco",IF(K1014="N/A","Sin marco",IFERROR(INDEX('Datos - Catálogo TIMSS'!$F$5:$F$107,MATCH(K1014,'Datos - Catálogo TIMSS'!$A$5:$A$107,0)),"Pendiente de clasificar")))</f>
        <v/>
      </c>
      <c r="O1014" s="11">
        <f>IF(L1014="","",IFERROR(INDEX('Datos - Catálogo TIMSS'!$C$5:$C$107,MATCH(L1014,'Datos - Catálogo TIMSS'!$A$5:$A$107,0)),"?"))</f>
        <v/>
      </c>
      <c r="P1014" s="11" t="inlineStr">
        <is>
          <t>N/A</t>
        </is>
      </c>
      <c r="Q1014" s="38" t="inlineStr">
        <is>
          <t>Sin marco TIMSS de contenido para esta asignatura en Bachillerato</t>
        </is>
      </c>
      <c r="R1014" s="38" t="inlineStr">
        <is>
          <t>Conocer: describir aplicaciones. Razonar: valorar beneficios y riesgos</t>
        </is>
      </c>
      <c r="S1014" s="39">
        <f>IFERROR(ISNUMBER(SEARCH("Conocer",$R1014))/(ISNUMBER(SEARCH("Conocer",$R1014))+ISNUMBER(SEARCH("Aplicar",$R1014))+ISNUMBER(SEARCH("Razonar",$R1014))),0)</f>
        <v/>
      </c>
      <c r="T1014" s="39">
        <f>IFERROR(ISNUMBER(SEARCH("Aplicar",$R1014))/(ISNUMBER(SEARCH("Conocer",$R1014))+ISNUMBER(SEARCH("Aplicar",$R1014))+ISNUMBER(SEARCH("Razonar",$R1014))),0)</f>
        <v/>
      </c>
      <c r="U1014" s="39">
        <f>IFERROR(ISNUMBER(SEARCH("Razonar",$R1014))/(ISNUMBER(SEARCH("Conocer",$R1014))+ISNUMBER(SEARCH("Aplicar",$R1014))+ISNUMBER(SEARCH("Razonar",$R1014))),0)</f>
        <v/>
      </c>
      <c r="V1014" s="11" t="inlineStr">
        <is>
          <t>Química 11°</t>
        </is>
      </c>
      <c r="W1014" s="11" t="inlineStr">
        <is>
          <t>Química 10°–11°</t>
        </is>
      </c>
      <c r="X1014" s="11">
        <f>IF(OR(IFERROR(INDEX('Datos - Catálogo TIMSS'!$I$5:$I$107,MATCH(K1014,'Datos - Catálogo TIMSS'!$A$5:$A$107,0)),"No")="Sí",IFERROR(INDEX('Datos - Catálogo TIMSS'!$I$5:$I$107,MATCH(L1014,'Datos - Catálogo TIMSS'!$A$5:$A$107,0)),"No")="Sí"),1,0)</f>
        <v/>
      </c>
      <c r="Y1014" s="11">
        <f>IF(IFERROR(INDEX('Datos - Catálogo TIMSS'!$J$5:$J$107,MATCH(K1014,'Datos - Catálogo TIMSS'!$A$5:$A$107,0)),"No")="Sí",1,0)</f>
        <v/>
      </c>
      <c r="Z1014" s="11">
        <f>IF(IFERROR(INDEX('Datos - Catálogo TIMSS'!$J$5:$J$107,MATCH(L1014,'Datos - Catálogo TIMSS'!$A$5:$A$107,0)),"No")="Sí",1,0)</f>
        <v/>
      </c>
      <c r="AA1014" s="11" t="inlineStr">
        <is>
          <t>N/A</t>
        </is>
      </c>
      <c r="AB1014" s="11" t="inlineStr"/>
      <c r="AC1014" s="11">
        <f>IF(AA1014="FUERA","Fuera del marco",IF(AA1014="N/A","Sin marco",IFERROR(INDEX('Datos - TIMSS 2023'!$C$5:$C$105,MATCH(AA1014,'Datos - TIMSS 2023'!$A$5:$A$105,0)),"Pendiente de clasificar")))</f>
        <v/>
      </c>
      <c r="AD1014" s="11" t="inlineStr">
        <is>
          <t>3. Investigar, evaluar y usar información científica para tomar decisiones y actuar</t>
        </is>
      </c>
      <c r="AE1014" s="11">
        <f>IF(AD1014="","",IF(LEFT(AD1014,1)="1","C1",IF(LEFT(AD1014,1)="2","C2",IF(LEFT(AD1014,1)="3","C3",""))))</f>
        <v/>
      </c>
      <c r="AF1014" s="11" t="inlineStr">
        <is>
          <t>E6</t>
        </is>
      </c>
      <c r="AG1014" s="11" t="inlineStr">
        <is>
          <t>D1</t>
        </is>
      </c>
      <c r="AH1014" s="11" t="inlineStr">
        <is>
          <t>E1</t>
        </is>
      </c>
      <c r="AI1014" s="11" t="inlineStr">
        <is>
          <t>I2</t>
        </is>
      </c>
      <c r="AJ1014" s="11" t="inlineStr">
        <is>
          <t>I5</t>
        </is>
      </c>
      <c r="AK1014" s="11" t="n"/>
      <c r="AL1014" s="11" t="n"/>
      <c r="AM1014" s="11" t="n"/>
      <c r="AN1014" s="11" t="n"/>
      <c r="AO1014" s="11" t="n"/>
      <c r="AP1014" s="11" t="n"/>
      <c r="AQ1014" s="11" t="n"/>
      <c r="AR1014" s="11" t="n"/>
      <c r="AS1014" s="11" t="n"/>
      <c r="AT1014" s="11" t="n"/>
      <c r="AU1014" s="11" t="n"/>
      <c r="AV1014" s="11" t="n"/>
      <c r="AW1014" s="11">
        <f>AF1014&amp;"; "&amp;AG1014&amp;"; "&amp;AH1014&amp;"; "&amp;AI1014&amp;"; "&amp;AJ1014</f>
        <v/>
      </c>
    </row>
    <row r="1015">
      <c r="A1015" s="11" t="inlineStr">
        <is>
          <t>T0551-G11-QUÍ</t>
        </is>
      </c>
      <c r="B1015" s="11" t="n">
        <v>11</v>
      </c>
      <c r="C1015" s="11" t="inlineStr">
        <is>
          <t>Química</t>
        </is>
      </c>
      <c r="D1015" s="11" t="inlineStr">
        <is>
          <t>Matriz_Bachillerato_Quimica_10_11.xlsx</t>
        </is>
      </c>
      <c r="E1015" s="11" t="inlineStr">
        <is>
          <t>Química 11.°</t>
        </is>
      </c>
      <c r="F1015" s="11" t="n">
        <v>12</v>
      </c>
      <c r="G1015" s="11" t="inlineStr">
        <is>
          <t>2. Introducción a la química orgánica</t>
        </is>
      </c>
      <c r="H1015" s="11" t="inlineStr">
        <is>
          <t>Propiedades de los compuestos orgánicos</t>
        </is>
      </c>
      <c r="I1015" s="38" t="inlineStr">
        <is>
          <t>2.1. Identificación de compuestos orgánicos en las sustancias de uso común.</t>
        </is>
      </c>
      <c r="J1015" s="11" t="inlineStr">
        <is>
          <t>Sin marco</t>
        </is>
      </c>
      <c r="K1015" s="11" t="inlineStr">
        <is>
          <t>N/A</t>
        </is>
      </c>
      <c r="L1015" s="11" t="inlineStr"/>
      <c r="M1015" s="11">
        <f>IF(K1015="FUERA","Fuera del marco",IF(K1015="N/A","Sin marco",IFERROR(INDEX('Datos - Catálogo TIMSS'!$C$5:$C$107,MATCH(K1015,'Datos - Catálogo TIMSS'!$A$5:$A$107,0)),"Pendiente de clasificar")))</f>
        <v/>
      </c>
      <c r="N1015" s="11">
        <f>IF(K1015="FUERA","Fuera del marco",IF(K1015="N/A","Sin marco",IFERROR(INDEX('Datos - Catálogo TIMSS'!$F$5:$F$107,MATCH(K1015,'Datos - Catálogo TIMSS'!$A$5:$A$107,0)),"Pendiente de clasificar")))</f>
        <v/>
      </c>
      <c r="O1015" s="11">
        <f>IF(L1015="","",IFERROR(INDEX('Datos - Catálogo TIMSS'!$C$5:$C$107,MATCH(L1015,'Datos - Catálogo TIMSS'!$A$5:$A$107,0)),"?"))</f>
        <v/>
      </c>
      <c r="P1015" s="11" t="inlineStr">
        <is>
          <t>N/A</t>
        </is>
      </c>
      <c r="Q1015" s="38" t="inlineStr">
        <is>
          <t>Sin marco TIMSS de contenido para esta asignatura en Bachillerato</t>
        </is>
      </c>
      <c r="R1015" s="38" t="inlineStr">
        <is>
          <t>Conocer: diferenciar compuestos orgánicos e inorgánicos. Aplicar: clasificar sustancias</t>
        </is>
      </c>
      <c r="S1015" s="39">
        <f>IFERROR(ISNUMBER(SEARCH("Conocer",$R1015))/(ISNUMBER(SEARCH("Conocer",$R1015))+ISNUMBER(SEARCH("Aplicar",$R1015))+ISNUMBER(SEARCH("Razonar",$R1015))),0)</f>
        <v/>
      </c>
      <c r="T1015" s="39">
        <f>IFERROR(ISNUMBER(SEARCH("Aplicar",$R1015))/(ISNUMBER(SEARCH("Conocer",$R1015))+ISNUMBER(SEARCH("Aplicar",$R1015))+ISNUMBER(SEARCH("Razonar",$R1015))),0)</f>
        <v/>
      </c>
      <c r="U1015" s="39">
        <f>IFERROR(ISNUMBER(SEARCH("Razonar",$R1015))/(ISNUMBER(SEARCH("Conocer",$R1015))+ISNUMBER(SEARCH("Aplicar",$R1015))+ISNUMBER(SEARCH("Razonar",$R1015))),0)</f>
        <v/>
      </c>
      <c r="V1015" s="11" t="inlineStr">
        <is>
          <t>Química 11°</t>
        </is>
      </c>
      <c r="W1015" s="11" t="inlineStr">
        <is>
          <t>Química 10°–11°</t>
        </is>
      </c>
      <c r="X1015" s="11">
        <f>IF(OR(IFERROR(INDEX('Datos - Catálogo TIMSS'!$I$5:$I$107,MATCH(K1015,'Datos - Catálogo TIMSS'!$A$5:$A$107,0)),"No")="Sí",IFERROR(INDEX('Datos - Catálogo TIMSS'!$I$5:$I$107,MATCH(L1015,'Datos - Catálogo TIMSS'!$A$5:$A$107,0)),"No")="Sí"),1,0)</f>
        <v/>
      </c>
      <c r="Y1015" s="11">
        <f>IF(IFERROR(INDEX('Datos - Catálogo TIMSS'!$J$5:$J$107,MATCH(K1015,'Datos - Catálogo TIMSS'!$A$5:$A$107,0)),"No")="Sí",1,0)</f>
        <v/>
      </c>
      <c r="Z1015" s="11">
        <f>IF(IFERROR(INDEX('Datos - Catálogo TIMSS'!$J$5:$J$107,MATCH(L1015,'Datos - Catálogo TIMSS'!$A$5:$A$107,0)),"No")="Sí",1,0)</f>
        <v/>
      </c>
      <c r="AA1015" s="11" t="inlineStr">
        <is>
          <t>N/A</t>
        </is>
      </c>
      <c r="AB1015" s="11" t="inlineStr"/>
      <c r="AC1015" s="11">
        <f>IF(AA1015="FUERA","Fuera del marco",IF(AA1015="N/A","Sin marco",IFERROR(INDEX('Datos - TIMSS 2023'!$C$5:$C$105,MATCH(AA1015,'Datos - TIMSS 2023'!$A$5:$A$105,0)),"Pendiente de clasificar")))</f>
        <v/>
      </c>
      <c r="AD1015" s="11" t="inlineStr">
        <is>
          <t>1. Explicar fenómenos científicamente</t>
        </is>
      </c>
      <c r="AE1015" s="11">
        <f>IF(AD1015="","",IF(LEFT(AD1015,1)="1","C1",IF(LEFT(AD1015,1)="2","C2",IF(LEFT(AD1015,1)="3","C3",""))))</f>
        <v/>
      </c>
      <c r="AF1015" s="11" t="inlineStr">
        <is>
          <t>E1</t>
        </is>
      </c>
      <c r="AG1015" s="11" t="inlineStr">
        <is>
          <t>E5</t>
        </is>
      </c>
      <c r="AH1015" s="11" t="inlineStr">
        <is>
          <t>E1</t>
        </is>
      </c>
      <c r="AI1015" s="11" t="inlineStr">
        <is>
          <t>D4</t>
        </is>
      </c>
      <c r="AJ1015" s="11" t="inlineStr">
        <is>
          <t>E6</t>
        </is>
      </c>
      <c r="AK1015" s="11" t="n"/>
      <c r="AL1015" s="11" t="n"/>
      <c r="AM1015" s="11" t="n"/>
      <c r="AN1015" s="11" t="n"/>
      <c r="AO1015" s="11" t="n"/>
      <c r="AP1015" s="11" t="n"/>
      <c r="AQ1015" s="11" t="n"/>
      <c r="AR1015" s="11" t="n"/>
      <c r="AS1015" s="11" t="n"/>
      <c r="AT1015" s="11" t="n"/>
      <c r="AU1015" s="11" t="n"/>
      <c r="AV1015" s="11" t="n"/>
      <c r="AW1015" s="11">
        <f>AF1015&amp;"; "&amp;AG1015&amp;"; "&amp;AH1015&amp;"; "&amp;AI1015&amp;"; "&amp;AJ1015</f>
        <v/>
      </c>
    </row>
    <row r="1016">
      <c r="A1016" s="11" t="inlineStr">
        <is>
          <t>T0552-G11-QUÍ</t>
        </is>
      </c>
      <c r="B1016" s="11" t="n">
        <v>11</v>
      </c>
      <c r="C1016" s="11" t="inlineStr">
        <is>
          <t>Química</t>
        </is>
      </c>
      <c r="D1016" s="11" t="inlineStr">
        <is>
          <t>Matriz_Bachillerato_Quimica_10_11.xlsx</t>
        </is>
      </c>
      <c r="E1016" s="11" t="inlineStr">
        <is>
          <t>Química 11.°</t>
        </is>
      </c>
      <c r="F1016" s="11" t="n">
        <v>13</v>
      </c>
      <c r="G1016" s="11" t="inlineStr">
        <is>
          <t>2. Introducción a la química orgánica</t>
        </is>
      </c>
      <c r="H1016" s="11" t="inlineStr">
        <is>
          <t>Propiedades de los compuestos orgánicos</t>
        </is>
      </c>
      <c r="I1016" s="38" t="inlineStr">
        <is>
          <t>2.2. Representación de orbitales híbridos a través de modelos tridimensionales.</t>
        </is>
      </c>
      <c r="J1016" s="11" t="inlineStr">
        <is>
          <t>Sin marco</t>
        </is>
      </c>
      <c r="K1016" s="11" t="inlineStr">
        <is>
          <t>N/A</t>
        </is>
      </c>
      <c r="L1016" s="11" t="inlineStr"/>
      <c r="M1016" s="11">
        <f>IF(K1016="FUERA","Fuera del marco",IF(K1016="N/A","Sin marco",IFERROR(INDEX('Datos - Catálogo TIMSS'!$C$5:$C$107,MATCH(K1016,'Datos - Catálogo TIMSS'!$A$5:$A$107,0)),"Pendiente de clasificar")))</f>
        <v/>
      </c>
      <c r="N1016" s="11">
        <f>IF(K1016="FUERA","Fuera del marco",IF(K1016="N/A","Sin marco",IFERROR(INDEX('Datos - Catálogo TIMSS'!$F$5:$F$107,MATCH(K1016,'Datos - Catálogo TIMSS'!$A$5:$A$107,0)),"Pendiente de clasificar")))</f>
        <v/>
      </c>
      <c r="O1016" s="11">
        <f>IF(L1016="","",IFERROR(INDEX('Datos - Catálogo TIMSS'!$C$5:$C$107,MATCH(L1016,'Datos - Catálogo TIMSS'!$A$5:$A$107,0)),"?"))</f>
        <v/>
      </c>
      <c r="P1016" s="11" t="inlineStr">
        <is>
          <t>N/A</t>
        </is>
      </c>
      <c r="Q1016" s="38" t="inlineStr">
        <is>
          <t>Sin marco TIMSS de contenido para esta asignatura en Bachillerato</t>
        </is>
      </c>
      <c r="R1016" s="38" t="inlineStr">
        <is>
          <t>Aplicar: representar orbitales híbridos. Razonar: relacionar hibridación y geometría</t>
        </is>
      </c>
      <c r="S1016" s="39">
        <f>IFERROR(ISNUMBER(SEARCH("Conocer",$R1016))/(ISNUMBER(SEARCH("Conocer",$R1016))+ISNUMBER(SEARCH("Aplicar",$R1016))+ISNUMBER(SEARCH("Razonar",$R1016))),0)</f>
        <v/>
      </c>
      <c r="T1016" s="39">
        <f>IFERROR(ISNUMBER(SEARCH("Aplicar",$R1016))/(ISNUMBER(SEARCH("Conocer",$R1016))+ISNUMBER(SEARCH("Aplicar",$R1016))+ISNUMBER(SEARCH("Razonar",$R1016))),0)</f>
        <v/>
      </c>
      <c r="U1016" s="39">
        <f>IFERROR(ISNUMBER(SEARCH("Razonar",$R1016))/(ISNUMBER(SEARCH("Conocer",$R1016))+ISNUMBER(SEARCH("Aplicar",$R1016))+ISNUMBER(SEARCH("Razonar",$R1016))),0)</f>
        <v/>
      </c>
      <c r="V1016" s="11" t="inlineStr">
        <is>
          <t>Química 11°</t>
        </is>
      </c>
      <c r="W1016" s="11" t="inlineStr">
        <is>
          <t>Química 10°–11°</t>
        </is>
      </c>
      <c r="X1016" s="11">
        <f>IF(OR(IFERROR(INDEX('Datos - Catálogo TIMSS'!$I$5:$I$107,MATCH(K1016,'Datos - Catálogo TIMSS'!$A$5:$A$107,0)),"No")="Sí",IFERROR(INDEX('Datos - Catálogo TIMSS'!$I$5:$I$107,MATCH(L1016,'Datos - Catálogo TIMSS'!$A$5:$A$107,0)),"No")="Sí"),1,0)</f>
        <v/>
      </c>
      <c r="Y1016" s="11">
        <f>IF(IFERROR(INDEX('Datos - Catálogo TIMSS'!$J$5:$J$107,MATCH(K1016,'Datos - Catálogo TIMSS'!$A$5:$A$107,0)),"No")="Sí",1,0)</f>
        <v/>
      </c>
      <c r="Z1016" s="11">
        <f>IF(IFERROR(INDEX('Datos - Catálogo TIMSS'!$J$5:$J$107,MATCH(L1016,'Datos - Catálogo TIMSS'!$A$5:$A$107,0)),"No")="Sí",1,0)</f>
        <v/>
      </c>
      <c r="AA1016" s="11" t="inlineStr">
        <is>
          <t>N/A</t>
        </is>
      </c>
      <c r="AB1016" s="11" t="inlineStr"/>
      <c r="AC1016" s="11">
        <f>IF(AA1016="FUERA","Fuera del marco",IF(AA1016="N/A","Sin marco",IFERROR(INDEX('Datos - TIMSS 2023'!$C$5:$C$105,MATCH(AA1016,'Datos - TIMSS 2023'!$A$5:$A$105,0)),"Pendiente de clasificar")))</f>
        <v/>
      </c>
      <c r="AD1016" s="11" t="inlineStr">
        <is>
          <t>1. Explicar fenómenos científicamente</t>
        </is>
      </c>
      <c r="AE1016" s="11">
        <f>IF(AD1016="","",IF(LEFT(AD1016,1)="1","C1",IF(LEFT(AD1016,1)="2","C2",IF(LEFT(AD1016,1)="3","C3",""))))</f>
        <v/>
      </c>
      <c r="AF1016" s="11" t="inlineStr">
        <is>
          <t>E1</t>
        </is>
      </c>
      <c r="AG1016" s="11" t="inlineStr">
        <is>
          <t>E3</t>
        </is>
      </c>
      <c r="AH1016" s="11" t="inlineStr">
        <is>
          <t>E4</t>
        </is>
      </c>
      <c r="AI1016" s="11" t="inlineStr">
        <is>
          <t>E4</t>
        </is>
      </c>
      <c r="AJ1016" s="11" t="inlineStr">
        <is>
          <t>E3</t>
        </is>
      </c>
      <c r="AK1016" s="11" t="n"/>
      <c r="AL1016" s="11" t="n"/>
      <c r="AM1016" s="11" t="n"/>
      <c r="AN1016" s="11" t="n"/>
      <c r="AO1016" s="11" t="n"/>
      <c r="AP1016" s="11" t="n"/>
      <c r="AQ1016" s="11" t="n"/>
      <c r="AR1016" s="11" t="n"/>
      <c r="AS1016" s="11" t="n"/>
      <c r="AT1016" s="11" t="n"/>
      <c r="AU1016" s="11" t="n"/>
      <c r="AV1016" s="11" t="n"/>
      <c r="AW1016" s="11">
        <f>AF1016&amp;"; "&amp;AG1016&amp;"; "&amp;AH1016&amp;"; "&amp;AI1016&amp;"; "&amp;AJ1016</f>
        <v/>
      </c>
    </row>
    <row r="1017">
      <c r="A1017" s="11" t="inlineStr">
        <is>
          <t>T0553-G11-QUÍ</t>
        </is>
      </c>
      <c r="B1017" s="11" t="n">
        <v>11</v>
      </c>
      <c r="C1017" s="11" t="inlineStr">
        <is>
          <t>Química</t>
        </is>
      </c>
      <c r="D1017" s="11" t="inlineStr">
        <is>
          <t>Matriz_Bachillerato_Quimica_10_11.xlsx</t>
        </is>
      </c>
      <c r="E1017" s="11" t="inlineStr">
        <is>
          <t>Química 11.°</t>
        </is>
      </c>
      <c r="F1017" s="11" t="n">
        <v>14</v>
      </c>
      <c r="G1017" s="11" t="inlineStr">
        <is>
          <t>2. Introducción a la química orgánica</t>
        </is>
      </c>
      <c r="H1017" s="11" t="inlineStr">
        <is>
          <t>Propiedades de los compuestos orgánicos</t>
        </is>
      </c>
      <c r="I1017" s="38" t="inlineStr">
        <is>
          <t>2.3. Reconocimiento del carbono como elemento principal en la estructura de los compuestos orgánicos.</t>
        </is>
      </c>
      <c r="J1017" s="11" t="inlineStr">
        <is>
          <t>Sin marco</t>
        </is>
      </c>
      <c r="K1017" s="11" t="inlineStr">
        <is>
          <t>N/A</t>
        </is>
      </c>
      <c r="L1017" s="11" t="inlineStr"/>
      <c r="M1017" s="11">
        <f>IF(K1017="FUERA","Fuera del marco",IF(K1017="N/A","Sin marco",IFERROR(INDEX('Datos - Catálogo TIMSS'!$C$5:$C$107,MATCH(K1017,'Datos - Catálogo TIMSS'!$A$5:$A$107,0)),"Pendiente de clasificar")))</f>
        <v/>
      </c>
      <c r="N1017" s="11">
        <f>IF(K1017="FUERA","Fuera del marco",IF(K1017="N/A","Sin marco",IFERROR(INDEX('Datos - Catálogo TIMSS'!$F$5:$F$107,MATCH(K1017,'Datos - Catálogo TIMSS'!$A$5:$A$107,0)),"Pendiente de clasificar")))</f>
        <v/>
      </c>
      <c r="O1017" s="11">
        <f>IF(L1017="","",IFERROR(INDEX('Datos - Catálogo TIMSS'!$C$5:$C$107,MATCH(L1017,'Datos - Catálogo TIMSS'!$A$5:$A$107,0)),"?"))</f>
        <v/>
      </c>
      <c r="P1017" s="11" t="inlineStr">
        <is>
          <t>N/A</t>
        </is>
      </c>
      <c r="Q1017" s="38" t="inlineStr">
        <is>
          <t>Sin marco TIMSS de contenido para esta asignatura en Bachillerato</t>
        </is>
      </c>
      <c r="R1017" s="38" t="inlineStr">
        <is>
          <t>Conocer: describir propiedades del carbono. Aplicar: clasificar carbonos y cadenas</t>
        </is>
      </c>
      <c r="S1017" s="39">
        <f>IFERROR(ISNUMBER(SEARCH("Conocer",$R1017))/(ISNUMBER(SEARCH("Conocer",$R1017))+ISNUMBER(SEARCH("Aplicar",$R1017))+ISNUMBER(SEARCH("Razonar",$R1017))),0)</f>
        <v/>
      </c>
      <c r="T1017" s="39">
        <f>IFERROR(ISNUMBER(SEARCH("Aplicar",$R1017))/(ISNUMBER(SEARCH("Conocer",$R1017))+ISNUMBER(SEARCH("Aplicar",$R1017))+ISNUMBER(SEARCH("Razonar",$R1017))),0)</f>
        <v/>
      </c>
      <c r="U1017" s="39">
        <f>IFERROR(ISNUMBER(SEARCH("Razonar",$R1017))/(ISNUMBER(SEARCH("Conocer",$R1017))+ISNUMBER(SEARCH("Aplicar",$R1017))+ISNUMBER(SEARCH("Razonar",$R1017))),0)</f>
        <v/>
      </c>
      <c r="V1017" s="11" t="inlineStr">
        <is>
          <t>Química 11°</t>
        </is>
      </c>
      <c r="W1017" s="11" t="inlineStr">
        <is>
          <t>Química 10°–11°</t>
        </is>
      </c>
      <c r="X1017" s="11">
        <f>IF(OR(IFERROR(INDEX('Datos - Catálogo TIMSS'!$I$5:$I$107,MATCH(K1017,'Datos - Catálogo TIMSS'!$A$5:$A$107,0)),"No")="Sí",IFERROR(INDEX('Datos - Catálogo TIMSS'!$I$5:$I$107,MATCH(L1017,'Datos - Catálogo TIMSS'!$A$5:$A$107,0)),"No")="Sí"),1,0)</f>
        <v/>
      </c>
      <c r="Y1017" s="11">
        <f>IF(IFERROR(INDEX('Datos - Catálogo TIMSS'!$J$5:$J$107,MATCH(K1017,'Datos - Catálogo TIMSS'!$A$5:$A$107,0)),"No")="Sí",1,0)</f>
        <v/>
      </c>
      <c r="Z1017" s="11">
        <f>IF(IFERROR(INDEX('Datos - Catálogo TIMSS'!$J$5:$J$107,MATCH(L1017,'Datos - Catálogo TIMSS'!$A$5:$A$107,0)),"No")="Sí",1,0)</f>
        <v/>
      </c>
      <c r="AA1017" s="11" t="inlineStr">
        <is>
          <t>N/A</t>
        </is>
      </c>
      <c r="AB1017" s="11" t="inlineStr"/>
      <c r="AC1017" s="11">
        <f>IF(AA1017="FUERA","Fuera del marco",IF(AA1017="N/A","Sin marco",IFERROR(INDEX('Datos - TIMSS 2023'!$C$5:$C$105,MATCH(AA1017,'Datos - TIMSS 2023'!$A$5:$A$105,0)),"Pendiente de clasificar")))</f>
        <v/>
      </c>
      <c r="AD1017" s="11" t="inlineStr">
        <is>
          <t>1. Explicar fenómenos científicamente</t>
        </is>
      </c>
      <c r="AE1017" s="11">
        <f>IF(AD1017="","",IF(LEFT(AD1017,1)="1","C1",IF(LEFT(AD1017,1)="2","C2",IF(LEFT(AD1017,1)="3","C3",""))))</f>
        <v/>
      </c>
      <c r="AF1017" s="11" t="inlineStr">
        <is>
          <t>E1</t>
        </is>
      </c>
      <c r="AG1017" s="11" t="inlineStr">
        <is>
          <t>D1</t>
        </is>
      </c>
      <c r="AH1017" s="11" t="inlineStr">
        <is>
          <t>E4</t>
        </is>
      </c>
      <c r="AI1017" s="11" t="inlineStr">
        <is>
          <t>D4</t>
        </is>
      </c>
      <c r="AJ1017" s="11" t="inlineStr">
        <is>
          <t>E3</t>
        </is>
      </c>
      <c r="AK1017" s="11" t="n"/>
      <c r="AL1017" s="11" t="n"/>
      <c r="AM1017" s="11" t="n"/>
      <c r="AN1017" s="11" t="n"/>
      <c r="AO1017" s="11" t="n"/>
      <c r="AP1017" s="11" t="n"/>
      <c r="AQ1017" s="11" t="n"/>
      <c r="AR1017" s="11" t="n"/>
      <c r="AS1017" s="11" t="n"/>
      <c r="AT1017" s="11" t="n"/>
      <c r="AU1017" s="11" t="n"/>
      <c r="AV1017" s="11" t="n"/>
      <c r="AW1017" s="11">
        <f>AF1017&amp;"; "&amp;AG1017&amp;"; "&amp;AH1017&amp;"; "&amp;AI1017&amp;"; "&amp;AJ1017</f>
        <v/>
      </c>
    </row>
    <row r="1018">
      <c r="A1018" s="11" t="inlineStr">
        <is>
          <t>T0554-G11-QUÍ</t>
        </is>
      </c>
      <c r="B1018" s="11" t="n">
        <v>11</v>
      </c>
      <c r="C1018" s="11" t="inlineStr">
        <is>
          <t>Química</t>
        </is>
      </c>
      <c r="D1018" s="11" t="inlineStr">
        <is>
          <t>Matriz_Bachillerato_Quimica_10_11.xlsx</t>
        </is>
      </c>
      <c r="E1018" s="11" t="inlineStr">
        <is>
          <t>Química 11.°</t>
        </is>
      </c>
      <c r="F1018" s="11" t="n">
        <v>15</v>
      </c>
      <c r="G1018" s="11" t="inlineStr">
        <is>
          <t>2. Introducción a la química orgánica</t>
        </is>
      </c>
      <c r="H1018" s="11" t="inlineStr">
        <is>
          <t>Alcanos</t>
        </is>
      </c>
      <c r="I1018" s="38" t="inlineStr">
        <is>
          <t>2.4. Identificación de la función alcano a partir de compuestos de uso común.</t>
        </is>
      </c>
      <c r="J1018" s="11" t="inlineStr">
        <is>
          <t>Sin marco</t>
        </is>
      </c>
      <c r="K1018" s="11" t="inlineStr">
        <is>
          <t>N/A</t>
        </is>
      </c>
      <c r="L1018" s="11" t="inlineStr"/>
      <c r="M1018" s="11">
        <f>IF(K1018="FUERA","Fuera del marco",IF(K1018="N/A","Sin marco",IFERROR(INDEX('Datos - Catálogo TIMSS'!$C$5:$C$107,MATCH(K1018,'Datos - Catálogo TIMSS'!$A$5:$A$107,0)),"Pendiente de clasificar")))</f>
        <v/>
      </c>
      <c r="N1018" s="11">
        <f>IF(K1018="FUERA","Fuera del marco",IF(K1018="N/A","Sin marco",IFERROR(INDEX('Datos - Catálogo TIMSS'!$F$5:$F$107,MATCH(K1018,'Datos - Catálogo TIMSS'!$A$5:$A$107,0)),"Pendiente de clasificar")))</f>
        <v/>
      </c>
      <c r="O1018" s="11">
        <f>IF(L1018="","",IFERROR(INDEX('Datos - Catálogo TIMSS'!$C$5:$C$107,MATCH(L1018,'Datos - Catálogo TIMSS'!$A$5:$A$107,0)),"?"))</f>
        <v/>
      </c>
      <c r="P1018" s="11" t="inlineStr">
        <is>
          <t>N/A</t>
        </is>
      </c>
      <c r="Q1018" s="38" t="inlineStr">
        <is>
          <t>Sin marco TIMSS de contenido para esta asignatura en Bachillerato</t>
        </is>
      </c>
      <c r="R1018" s="38" t="inlineStr">
        <is>
          <t>Conocer: reconocer la función alcano. Razonar: criticar afirmaciones</t>
        </is>
      </c>
      <c r="S1018" s="39">
        <f>IFERROR(ISNUMBER(SEARCH("Conocer",$R1018))/(ISNUMBER(SEARCH("Conocer",$R1018))+ISNUMBER(SEARCH("Aplicar",$R1018))+ISNUMBER(SEARCH("Razonar",$R1018))),0)</f>
        <v/>
      </c>
      <c r="T1018" s="39">
        <f>IFERROR(ISNUMBER(SEARCH("Aplicar",$R1018))/(ISNUMBER(SEARCH("Conocer",$R1018))+ISNUMBER(SEARCH("Aplicar",$R1018))+ISNUMBER(SEARCH("Razonar",$R1018))),0)</f>
        <v/>
      </c>
      <c r="U1018" s="39">
        <f>IFERROR(ISNUMBER(SEARCH("Razonar",$R1018))/(ISNUMBER(SEARCH("Conocer",$R1018))+ISNUMBER(SEARCH("Aplicar",$R1018))+ISNUMBER(SEARCH("Razonar",$R1018))),0)</f>
        <v/>
      </c>
      <c r="V1018" s="11" t="inlineStr">
        <is>
          <t>Química 11°</t>
        </is>
      </c>
      <c r="W1018" s="11" t="inlineStr">
        <is>
          <t>Química 10°–11°</t>
        </is>
      </c>
      <c r="X1018" s="11">
        <f>IF(OR(IFERROR(INDEX('Datos - Catálogo TIMSS'!$I$5:$I$107,MATCH(K1018,'Datos - Catálogo TIMSS'!$A$5:$A$107,0)),"No")="Sí",IFERROR(INDEX('Datos - Catálogo TIMSS'!$I$5:$I$107,MATCH(L1018,'Datos - Catálogo TIMSS'!$A$5:$A$107,0)),"No")="Sí"),1,0)</f>
        <v/>
      </c>
      <c r="Y1018" s="11">
        <f>IF(IFERROR(INDEX('Datos - Catálogo TIMSS'!$J$5:$J$107,MATCH(K1018,'Datos - Catálogo TIMSS'!$A$5:$A$107,0)),"No")="Sí",1,0)</f>
        <v/>
      </c>
      <c r="Z1018" s="11">
        <f>IF(IFERROR(INDEX('Datos - Catálogo TIMSS'!$J$5:$J$107,MATCH(L1018,'Datos - Catálogo TIMSS'!$A$5:$A$107,0)),"No")="Sí",1,0)</f>
        <v/>
      </c>
      <c r="AA1018" s="11" t="inlineStr">
        <is>
          <t>N/A</t>
        </is>
      </c>
      <c r="AB1018" s="11" t="inlineStr"/>
      <c r="AC1018" s="11">
        <f>IF(AA1018="FUERA","Fuera del marco",IF(AA1018="N/A","Sin marco",IFERROR(INDEX('Datos - TIMSS 2023'!$C$5:$C$105,MATCH(AA1018,'Datos - TIMSS 2023'!$A$5:$A$105,0)),"Pendiente de clasificar")))</f>
        <v/>
      </c>
      <c r="AD1018" s="11" t="inlineStr">
        <is>
          <t>3. Investigar, evaluar y usar información científica para tomar decisiones y actuar</t>
        </is>
      </c>
      <c r="AE1018" s="11">
        <f>IF(AD1018="","",IF(LEFT(AD1018,1)="1","C1",IF(LEFT(AD1018,1)="2","C2",IF(LEFT(AD1018,1)="3","C3",""))))</f>
        <v/>
      </c>
      <c r="AF1018" s="11" t="inlineStr">
        <is>
          <t>E6</t>
        </is>
      </c>
      <c r="AG1018" s="11" t="inlineStr">
        <is>
          <t>E3</t>
        </is>
      </c>
      <c r="AH1018" s="11" t="inlineStr">
        <is>
          <t>E1</t>
        </is>
      </c>
      <c r="AI1018" s="11" t="inlineStr">
        <is>
          <t>I1</t>
        </is>
      </c>
      <c r="AJ1018" s="11" t="inlineStr">
        <is>
          <t>I4</t>
        </is>
      </c>
      <c r="AK1018" s="11" t="n"/>
      <c r="AL1018" s="11" t="n"/>
      <c r="AM1018" s="11" t="n"/>
      <c r="AN1018" s="11" t="n"/>
      <c r="AO1018" s="11" t="n"/>
      <c r="AP1018" s="11" t="n"/>
      <c r="AQ1018" s="11" t="n"/>
      <c r="AR1018" s="11" t="n"/>
      <c r="AS1018" s="11" t="n"/>
      <c r="AT1018" s="11" t="n"/>
      <c r="AU1018" s="11" t="n"/>
      <c r="AV1018" s="11" t="n"/>
      <c r="AW1018" s="11">
        <f>AF1018&amp;"; "&amp;AG1018&amp;"; "&amp;AH1018&amp;"; "&amp;AI1018&amp;"; "&amp;AJ1018</f>
        <v/>
      </c>
    </row>
    <row r="1019">
      <c r="A1019" s="11" t="inlineStr">
        <is>
          <t>T0555-G11-QUÍ</t>
        </is>
      </c>
      <c r="B1019" s="11" t="n">
        <v>11</v>
      </c>
      <c r="C1019" s="11" t="inlineStr">
        <is>
          <t>Química</t>
        </is>
      </c>
      <c r="D1019" s="11" t="inlineStr">
        <is>
          <t>Matriz_Bachillerato_Quimica_10_11.xlsx</t>
        </is>
      </c>
      <c r="E1019" s="11" t="inlineStr">
        <is>
          <t>Química 11.°</t>
        </is>
      </c>
      <c r="F1019" s="11" t="n">
        <v>16</v>
      </c>
      <c r="G1019" s="11" t="inlineStr">
        <is>
          <t>2. Introducción a la química orgánica</t>
        </is>
      </c>
      <c r="H1019" s="11" t="inlineStr">
        <is>
          <t>Alcanos</t>
        </is>
      </c>
      <c r="I1019" s="38" t="inlineStr">
        <is>
          <t>2.5. Experimentación con las propiedades físicas y químicas de los alcanos.</t>
        </is>
      </c>
      <c r="J1019" s="11" t="inlineStr">
        <is>
          <t>Sin marco</t>
        </is>
      </c>
      <c r="K1019" s="11" t="inlineStr">
        <is>
          <t>N/A</t>
        </is>
      </c>
      <c r="L1019" s="11" t="inlineStr"/>
      <c r="M1019" s="11">
        <f>IF(K1019="FUERA","Fuera del marco",IF(K1019="N/A","Sin marco",IFERROR(INDEX('Datos - Catálogo TIMSS'!$C$5:$C$107,MATCH(K1019,'Datos - Catálogo TIMSS'!$A$5:$A$107,0)),"Pendiente de clasificar")))</f>
        <v/>
      </c>
      <c r="N1019" s="11">
        <f>IF(K1019="FUERA","Fuera del marco",IF(K1019="N/A","Sin marco",IFERROR(INDEX('Datos - Catálogo TIMSS'!$F$5:$F$107,MATCH(K1019,'Datos - Catálogo TIMSS'!$A$5:$A$107,0)),"Pendiente de clasificar")))</f>
        <v/>
      </c>
      <c r="O1019" s="11">
        <f>IF(L1019="","",IFERROR(INDEX('Datos - Catálogo TIMSS'!$C$5:$C$107,MATCH(L1019,'Datos - Catálogo TIMSS'!$A$5:$A$107,0)),"?"))</f>
        <v/>
      </c>
      <c r="P1019" s="11" t="inlineStr">
        <is>
          <t>N/A</t>
        </is>
      </c>
      <c r="Q1019" s="38" t="inlineStr">
        <is>
          <t>Sin marco TIMSS de contenido para esta asignatura en Bachillerato</t>
        </is>
      </c>
      <c r="R1019" s="38" t="inlineStr">
        <is>
          <t>Aplicar: graficar y analizar tendencias. Razonar: explicar propiedades con fuerzas intermoleculares</t>
        </is>
      </c>
      <c r="S1019" s="39">
        <f>IFERROR(ISNUMBER(SEARCH("Conocer",$R1019))/(ISNUMBER(SEARCH("Conocer",$R1019))+ISNUMBER(SEARCH("Aplicar",$R1019))+ISNUMBER(SEARCH("Razonar",$R1019))),0)</f>
        <v/>
      </c>
      <c r="T1019" s="39">
        <f>IFERROR(ISNUMBER(SEARCH("Aplicar",$R1019))/(ISNUMBER(SEARCH("Conocer",$R1019))+ISNUMBER(SEARCH("Aplicar",$R1019))+ISNUMBER(SEARCH("Razonar",$R1019))),0)</f>
        <v/>
      </c>
      <c r="U1019" s="39">
        <f>IFERROR(ISNUMBER(SEARCH("Razonar",$R1019))/(ISNUMBER(SEARCH("Conocer",$R1019))+ISNUMBER(SEARCH("Aplicar",$R1019))+ISNUMBER(SEARCH("Razonar",$R1019))),0)</f>
        <v/>
      </c>
      <c r="V1019" s="11" t="inlineStr">
        <is>
          <t>Química 11°</t>
        </is>
      </c>
      <c r="W1019" s="11" t="inlineStr">
        <is>
          <t>Química 10°–11°</t>
        </is>
      </c>
      <c r="X1019" s="11">
        <f>IF(OR(IFERROR(INDEX('Datos - Catálogo TIMSS'!$I$5:$I$107,MATCH(K1019,'Datos - Catálogo TIMSS'!$A$5:$A$107,0)),"No")="Sí",IFERROR(INDEX('Datos - Catálogo TIMSS'!$I$5:$I$107,MATCH(L1019,'Datos - Catálogo TIMSS'!$A$5:$A$107,0)),"No")="Sí"),1,0)</f>
        <v/>
      </c>
      <c r="Y1019" s="11">
        <f>IF(IFERROR(INDEX('Datos - Catálogo TIMSS'!$J$5:$J$107,MATCH(K1019,'Datos - Catálogo TIMSS'!$A$5:$A$107,0)),"No")="Sí",1,0)</f>
        <v/>
      </c>
      <c r="Z1019" s="11">
        <f>IF(IFERROR(INDEX('Datos - Catálogo TIMSS'!$J$5:$J$107,MATCH(L1019,'Datos - Catálogo TIMSS'!$A$5:$A$107,0)),"No")="Sí",1,0)</f>
        <v/>
      </c>
      <c r="AA1019" s="11" t="inlineStr">
        <is>
          <t>N/A</t>
        </is>
      </c>
      <c r="AB1019" s="11" t="inlineStr"/>
      <c r="AC1019" s="11">
        <f>IF(AA1019="FUERA","Fuera del marco",IF(AA1019="N/A","Sin marco",IFERROR(INDEX('Datos - TIMSS 2023'!$C$5:$C$105,MATCH(AA1019,'Datos - TIMSS 2023'!$A$5:$A$105,0)),"Pendiente de clasificar")))</f>
        <v/>
      </c>
      <c r="AD1019" s="11" t="inlineStr">
        <is>
          <t>2. Construir y evaluar diseños para la indagación científica e interpretar datos y evidencia de forma crítica</t>
        </is>
      </c>
      <c r="AE1019" s="11">
        <f>IF(AD1019="","",IF(LEFT(AD1019,1)="1","C1",IF(LEFT(AD1019,1)="2","C2",IF(LEFT(AD1019,1)="3","C3",""))))</f>
        <v/>
      </c>
      <c r="AF1019" s="11" t="inlineStr">
        <is>
          <t>E1</t>
        </is>
      </c>
      <c r="AG1019" s="11" t="inlineStr">
        <is>
          <t>E3</t>
        </is>
      </c>
      <c r="AH1019" s="11" t="inlineStr">
        <is>
          <t>E4</t>
        </is>
      </c>
      <c r="AI1019" s="11" t="inlineStr">
        <is>
          <t>D4</t>
        </is>
      </c>
      <c r="AJ1019" s="11" t="inlineStr">
        <is>
          <t>D3</t>
        </is>
      </c>
      <c r="AK1019" s="11" t="n"/>
      <c r="AL1019" s="11" t="n"/>
      <c r="AM1019" s="11" t="n"/>
      <c r="AN1019" s="11" t="n"/>
      <c r="AO1019" s="11" t="n"/>
      <c r="AP1019" s="11" t="n"/>
      <c r="AQ1019" s="11" t="n"/>
      <c r="AR1019" s="11" t="n"/>
      <c r="AS1019" s="11" t="n"/>
      <c r="AT1019" s="11" t="n"/>
      <c r="AU1019" s="11" t="n"/>
      <c r="AV1019" s="11" t="n"/>
      <c r="AW1019" s="11">
        <f>AF1019&amp;"; "&amp;AG1019&amp;"; "&amp;AH1019&amp;"; "&amp;AI1019&amp;"; "&amp;AJ1019</f>
        <v/>
      </c>
    </row>
    <row r="1020">
      <c r="A1020" s="11" t="inlineStr">
        <is>
          <t>T0556-G11-QUÍ</t>
        </is>
      </c>
      <c r="B1020" s="11" t="n">
        <v>11</v>
      </c>
      <c r="C1020" s="11" t="inlineStr">
        <is>
          <t>Química</t>
        </is>
      </c>
      <c r="D1020" s="11" t="inlineStr">
        <is>
          <t>Matriz_Bachillerato_Quimica_10_11.xlsx</t>
        </is>
      </c>
      <c r="E1020" s="11" t="inlineStr">
        <is>
          <t>Química 11.°</t>
        </is>
      </c>
      <c r="F1020" s="11" t="n">
        <v>17</v>
      </c>
      <c r="G1020" s="11" t="inlineStr">
        <is>
          <t>2. Introducción a la química orgánica</t>
        </is>
      </c>
      <c r="H1020" s="11" t="inlineStr">
        <is>
          <t>Alcanos</t>
        </is>
      </c>
      <c r="I1020" s="38" t="inlineStr">
        <is>
          <t>2.6. Explicación de la nomenclatura IUPAC para nombrar alcanos.</t>
        </is>
      </c>
      <c r="J1020" s="11" t="inlineStr">
        <is>
          <t>Sin marco</t>
        </is>
      </c>
      <c r="K1020" s="11" t="inlineStr">
        <is>
          <t>N/A</t>
        </is>
      </c>
      <c r="L1020" s="11" t="inlineStr"/>
      <c r="M1020" s="11">
        <f>IF(K1020="FUERA","Fuera del marco",IF(K1020="N/A","Sin marco",IFERROR(INDEX('Datos - Catálogo TIMSS'!$C$5:$C$107,MATCH(K1020,'Datos - Catálogo TIMSS'!$A$5:$A$107,0)),"Pendiente de clasificar")))</f>
        <v/>
      </c>
      <c r="N1020" s="11">
        <f>IF(K1020="FUERA","Fuera del marco",IF(K1020="N/A","Sin marco",IFERROR(INDEX('Datos - Catálogo TIMSS'!$F$5:$F$107,MATCH(K1020,'Datos - Catálogo TIMSS'!$A$5:$A$107,0)),"Pendiente de clasificar")))</f>
        <v/>
      </c>
      <c r="O1020" s="11">
        <f>IF(L1020="","",IFERROR(INDEX('Datos - Catálogo TIMSS'!$C$5:$C$107,MATCH(L1020,'Datos - Catálogo TIMSS'!$A$5:$A$107,0)),"?"))</f>
        <v/>
      </c>
      <c r="P1020" s="11" t="inlineStr">
        <is>
          <t>N/A</t>
        </is>
      </c>
      <c r="Q1020" s="38" t="inlineStr">
        <is>
          <t>Sin marco TIMSS de contenido para esta asignatura en Bachillerato</t>
        </is>
      </c>
      <c r="R1020" s="38" t="inlineStr">
        <is>
          <t>Aplicar: nombrar y formular. Razonar: verificar la aplicación de reglas</t>
        </is>
      </c>
      <c r="S1020" s="39">
        <f>IFERROR(ISNUMBER(SEARCH("Conocer",$R1020))/(ISNUMBER(SEARCH("Conocer",$R1020))+ISNUMBER(SEARCH("Aplicar",$R1020))+ISNUMBER(SEARCH("Razonar",$R1020))),0)</f>
        <v/>
      </c>
      <c r="T1020" s="39">
        <f>IFERROR(ISNUMBER(SEARCH("Aplicar",$R1020))/(ISNUMBER(SEARCH("Conocer",$R1020))+ISNUMBER(SEARCH("Aplicar",$R1020))+ISNUMBER(SEARCH("Razonar",$R1020))),0)</f>
        <v/>
      </c>
      <c r="U1020" s="39">
        <f>IFERROR(ISNUMBER(SEARCH("Razonar",$R1020))/(ISNUMBER(SEARCH("Conocer",$R1020))+ISNUMBER(SEARCH("Aplicar",$R1020))+ISNUMBER(SEARCH("Razonar",$R1020))),0)</f>
        <v/>
      </c>
      <c r="V1020" s="11" t="inlineStr">
        <is>
          <t>Química 11°</t>
        </is>
      </c>
      <c r="W1020" s="11" t="inlineStr">
        <is>
          <t>Química 10°–11°</t>
        </is>
      </c>
      <c r="X1020" s="11">
        <f>IF(OR(IFERROR(INDEX('Datos - Catálogo TIMSS'!$I$5:$I$107,MATCH(K1020,'Datos - Catálogo TIMSS'!$A$5:$A$107,0)),"No")="Sí",IFERROR(INDEX('Datos - Catálogo TIMSS'!$I$5:$I$107,MATCH(L1020,'Datos - Catálogo TIMSS'!$A$5:$A$107,0)),"No")="Sí"),1,0)</f>
        <v/>
      </c>
      <c r="Y1020" s="11">
        <f>IF(IFERROR(INDEX('Datos - Catálogo TIMSS'!$J$5:$J$107,MATCH(K1020,'Datos - Catálogo TIMSS'!$A$5:$A$107,0)),"No")="Sí",1,0)</f>
        <v/>
      </c>
      <c r="Z1020" s="11">
        <f>IF(IFERROR(INDEX('Datos - Catálogo TIMSS'!$J$5:$J$107,MATCH(L1020,'Datos - Catálogo TIMSS'!$A$5:$A$107,0)),"No")="Sí",1,0)</f>
        <v/>
      </c>
      <c r="AA1020" s="11" t="inlineStr">
        <is>
          <t>N/A</t>
        </is>
      </c>
      <c r="AB1020" s="11" t="inlineStr"/>
      <c r="AC1020" s="11">
        <f>IF(AA1020="FUERA","Fuera del marco",IF(AA1020="N/A","Sin marco",IFERROR(INDEX('Datos - TIMSS 2023'!$C$5:$C$105,MATCH(AA1020,'Datos - TIMSS 2023'!$A$5:$A$105,0)),"Pendiente de clasificar")))</f>
        <v/>
      </c>
      <c r="AD1020" s="11" t="inlineStr">
        <is>
          <t>1. Explicar fenómenos científicamente</t>
        </is>
      </c>
      <c r="AE1020" s="11">
        <f>IF(AD1020="","",IF(LEFT(AD1020,1)="1","C1",IF(LEFT(AD1020,1)="2","C2",IF(LEFT(AD1020,1)="3","C3",""))))</f>
        <v/>
      </c>
      <c r="AF1020" s="11" t="inlineStr">
        <is>
          <t>E1</t>
        </is>
      </c>
      <c r="AG1020" s="11" t="inlineStr">
        <is>
          <t>E3</t>
        </is>
      </c>
      <c r="AH1020" s="11" t="inlineStr">
        <is>
          <t>E2</t>
        </is>
      </c>
      <c r="AI1020" s="11" t="inlineStr">
        <is>
          <t>E4</t>
        </is>
      </c>
      <c r="AJ1020" s="11" t="inlineStr">
        <is>
          <t>D3</t>
        </is>
      </c>
      <c r="AK1020" s="11" t="n"/>
      <c r="AL1020" s="11" t="n"/>
      <c r="AM1020" s="11" t="n"/>
      <c r="AN1020" s="11" t="n"/>
      <c r="AO1020" s="11" t="n"/>
      <c r="AP1020" s="11" t="n"/>
      <c r="AQ1020" s="11" t="n"/>
      <c r="AR1020" s="11" t="n"/>
      <c r="AS1020" s="11" t="n"/>
      <c r="AT1020" s="11" t="n"/>
      <c r="AU1020" s="11" t="n"/>
      <c r="AV1020" s="11" t="n"/>
      <c r="AW1020" s="11">
        <f>AF1020&amp;"; "&amp;AG1020&amp;"; "&amp;AH1020&amp;"; "&amp;AI1020&amp;"; "&amp;AJ1020</f>
        <v/>
      </c>
    </row>
    <row r="1021">
      <c r="A1021" s="11" t="inlineStr">
        <is>
          <t>T0557-G11-QUÍ</t>
        </is>
      </c>
      <c r="B1021" s="11" t="n">
        <v>11</v>
      </c>
      <c r="C1021" s="11" t="inlineStr">
        <is>
          <t>Química</t>
        </is>
      </c>
      <c r="D1021" s="11" t="inlineStr">
        <is>
          <t>Matriz_Bachillerato_Quimica_10_11.xlsx</t>
        </is>
      </c>
      <c r="E1021" s="11" t="inlineStr">
        <is>
          <t>Química 11.°</t>
        </is>
      </c>
      <c r="F1021" s="11" t="n">
        <v>18</v>
      </c>
      <c r="G1021" s="11" t="inlineStr">
        <is>
          <t>2. Introducción a la química orgánica</t>
        </is>
      </c>
      <c r="H1021" s="11" t="inlineStr">
        <is>
          <t>Alquenos</t>
        </is>
      </c>
      <c r="I1021" s="38" t="inlineStr">
        <is>
          <t>2.7. Identificación de la función alqueno a partir de sus aplicaciones.</t>
        </is>
      </c>
      <c r="J1021" s="11" t="inlineStr">
        <is>
          <t>Sin marco</t>
        </is>
      </c>
      <c r="K1021" s="11" t="inlineStr">
        <is>
          <t>N/A</t>
        </is>
      </c>
      <c r="L1021" s="11" t="inlineStr"/>
      <c r="M1021" s="11">
        <f>IF(K1021="FUERA","Fuera del marco",IF(K1021="N/A","Sin marco",IFERROR(INDEX('Datos - Catálogo TIMSS'!$C$5:$C$107,MATCH(K1021,'Datos - Catálogo TIMSS'!$A$5:$A$107,0)),"Pendiente de clasificar")))</f>
        <v/>
      </c>
      <c r="N1021" s="11">
        <f>IF(K1021="FUERA","Fuera del marco",IF(K1021="N/A","Sin marco",IFERROR(INDEX('Datos - Catálogo TIMSS'!$F$5:$F$107,MATCH(K1021,'Datos - Catálogo TIMSS'!$A$5:$A$107,0)),"Pendiente de clasificar")))</f>
        <v/>
      </c>
      <c r="O1021" s="11">
        <f>IF(L1021="","",IFERROR(INDEX('Datos - Catálogo TIMSS'!$C$5:$C$107,MATCH(L1021,'Datos - Catálogo TIMSS'!$A$5:$A$107,0)),"?"))</f>
        <v/>
      </c>
      <c r="P1021" s="11" t="inlineStr">
        <is>
          <t>N/A</t>
        </is>
      </c>
      <c r="Q1021" s="38" t="inlineStr">
        <is>
          <t>Sin marco TIMSS de contenido para esta asignatura en Bachillerato</t>
        </is>
      </c>
      <c r="R1021" s="38" t="inlineStr">
        <is>
          <t>Conocer: reconocer la función alqueno. Razonar: justificar su importancia industrial</t>
        </is>
      </c>
      <c r="S1021" s="39">
        <f>IFERROR(ISNUMBER(SEARCH("Conocer",$R1021))/(ISNUMBER(SEARCH("Conocer",$R1021))+ISNUMBER(SEARCH("Aplicar",$R1021))+ISNUMBER(SEARCH("Razonar",$R1021))),0)</f>
        <v/>
      </c>
      <c r="T1021" s="39">
        <f>IFERROR(ISNUMBER(SEARCH("Aplicar",$R1021))/(ISNUMBER(SEARCH("Conocer",$R1021))+ISNUMBER(SEARCH("Aplicar",$R1021))+ISNUMBER(SEARCH("Razonar",$R1021))),0)</f>
        <v/>
      </c>
      <c r="U1021" s="39">
        <f>IFERROR(ISNUMBER(SEARCH("Razonar",$R1021))/(ISNUMBER(SEARCH("Conocer",$R1021))+ISNUMBER(SEARCH("Aplicar",$R1021))+ISNUMBER(SEARCH("Razonar",$R1021))),0)</f>
        <v/>
      </c>
      <c r="V1021" s="11" t="inlineStr">
        <is>
          <t>Química 11°</t>
        </is>
      </c>
      <c r="W1021" s="11" t="inlineStr">
        <is>
          <t>Química 10°–11°</t>
        </is>
      </c>
      <c r="X1021" s="11">
        <f>IF(OR(IFERROR(INDEX('Datos - Catálogo TIMSS'!$I$5:$I$107,MATCH(K1021,'Datos - Catálogo TIMSS'!$A$5:$A$107,0)),"No")="Sí",IFERROR(INDEX('Datos - Catálogo TIMSS'!$I$5:$I$107,MATCH(L1021,'Datos - Catálogo TIMSS'!$A$5:$A$107,0)),"No")="Sí"),1,0)</f>
        <v/>
      </c>
      <c r="Y1021" s="11">
        <f>IF(IFERROR(INDEX('Datos - Catálogo TIMSS'!$J$5:$J$107,MATCH(K1021,'Datos - Catálogo TIMSS'!$A$5:$A$107,0)),"No")="Sí",1,0)</f>
        <v/>
      </c>
      <c r="Z1021" s="11">
        <f>IF(IFERROR(INDEX('Datos - Catálogo TIMSS'!$J$5:$J$107,MATCH(L1021,'Datos - Catálogo TIMSS'!$A$5:$A$107,0)),"No")="Sí",1,0)</f>
        <v/>
      </c>
      <c r="AA1021" s="11" t="inlineStr">
        <is>
          <t>N/A</t>
        </is>
      </c>
      <c r="AB1021" s="11" t="inlineStr"/>
      <c r="AC1021" s="11">
        <f>IF(AA1021="FUERA","Fuera del marco",IF(AA1021="N/A","Sin marco",IFERROR(INDEX('Datos - TIMSS 2023'!$C$5:$C$105,MATCH(AA1021,'Datos - TIMSS 2023'!$A$5:$A$105,0)),"Pendiente de clasificar")))</f>
        <v/>
      </c>
      <c r="AD1021" s="11" t="inlineStr">
        <is>
          <t>3. Investigar, evaluar y usar información científica para tomar decisiones y actuar</t>
        </is>
      </c>
      <c r="AE1021" s="11">
        <f>IF(AD1021="","",IF(LEFT(AD1021,1)="1","C1",IF(LEFT(AD1021,1)="2","C2",IF(LEFT(AD1021,1)="3","C3",""))))</f>
        <v/>
      </c>
      <c r="AF1021" s="11" t="inlineStr">
        <is>
          <t>E6</t>
        </is>
      </c>
      <c r="AG1021" s="11" t="inlineStr">
        <is>
          <t>D1</t>
        </is>
      </c>
      <c r="AH1021" s="11" t="inlineStr">
        <is>
          <t>E1</t>
        </is>
      </c>
      <c r="AI1021" s="11" t="inlineStr">
        <is>
          <t>I1</t>
        </is>
      </c>
      <c r="AJ1021" s="11" t="inlineStr">
        <is>
          <t>I5</t>
        </is>
      </c>
      <c r="AK1021" s="11" t="n"/>
      <c r="AL1021" s="11" t="n"/>
      <c r="AM1021" s="11" t="n"/>
      <c r="AN1021" s="11" t="n"/>
      <c r="AO1021" s="11" t="n"/>
      <c r="AP1021" s="11" t="n"/>
      <c r="AQ1021" s="11" t="n"/>
      <c r="AR1021" s="11" t="n"/>
      <c r="AS1021" s="11" t="n"/>
      <c r="AT1021" s="11" t="n"/>
      <c r="AU1021" s="11" t="n"/>
      <c r="AV1021" s="11" t="n"/>
      <c r="AW1021" s="11">
        <f>AF1021&amp;"; "&amp;AG1021&amp;"; "&amp;AH1021&amp;"; "&amp;AI1021&amp;"; "&amp;AJ1021</f>
        <v/>
      </c>
    </row>
    <row r="1022">
      <c r="A1022" s="11" t="inlineStr">
        <is>
          <t>T0558-G11-QUÍ</t>
        </is>
      </c>
      <c r="B1022" s="11" t="n">
        <v>11</v>
      </c>
      <c r="C1022" s="11" t="inlineStr">
        <is>
          <t>Química</t>
        </is>
      </c>
      <c r="D1022" s="11" t="inlineStr">
        <is>
          <t>Matriz_Bachillerato_Quimica_10_11.xlsx</t>
        </is>
      </c>
      <c r="E1022" s="11" t="inlineStr">
        <is>
          <t>Química 11.°</t>
        </is>
      </c>
      <c r="F1022" s="11" t="n">
        <v>19</v>
      </c>
      <c r="G1022" s="11" t="inlineStr">
        <is>
          <t>2. Introducción a la química orgánica</t>
        </is>
      </c>
      <c r="H1022" s="11" t="inlineStr">
        <is>
          <t>Alquenos</t>
        </is>
      </c>
      <c r="I1022" s="38" t="inlineStr">
        <is>
          <t>2.8. Demostración práctica de las propiedades físicas y químicas de los alquenos</t>
        </is>
      </c>
      <c r="J1022" s="11" t="inlineStr">
        <is>
          <t>Sin marco</t>
        </is>
      </c>
      <c r="K1022" s="11" t="inlineStr">
        <is>
          <t>N/A</t>
        </is>
      </c>
      <c r="L1022" s="11" t="inlineStr"/>
      <c r="M1022" s="11">
        <f>IF(K1022="FUERA","Fuera del marco",IF(K1022="N/A","Sin marco",IFERROR(INDEX('Datos - Catálogo TIMSS'!$C$5:$C$107,MATCH(K1022,'Datos - Catálogo TIMSS'!$A$5:$A$107,0)),"Pendiente de clasificar")))</f>
        <v/>
      </c>
      <c r="N1022" s="11">
        <f>IF(K1022="FUERA","Fuera del marco",IF(K1022="N/A","Sin marco",IFERROR(INDEX('Datos - Catálogo TIMSS'!$F$5:$F$107,MATCH(K1022,'Datos - Catálogo TIMSS'!$A$5:$A$107,0)),"Pendiente de clasificar")))</f>
        <v/>
      </c>
      <c r="O1022" s="11">
        <f>IF(L1022="","",IFERROR(INDEX('Datos - Catálogo TIMSS'!$C$5:$C$107,MATCH(L1022,'Datos - Catálogo TIMSS'!$A$5:$A$107,0)),"?"))</f>
        <v/>
      </c>
      <c r="P1022" s="11" t="inlineStr">
        <is>
          <t>N/A</t>
        </is>
      </c>
      <c r="Q1022" s="38" t="inlineStr">
        <is>
          <t>Sin marco TIMSS de contenido para esta asignatura en Bachillerato</t>
        </is>
      </c>
      <c r="R1022" s="38" t="inlineStr">
        <is>
          <t>Aplicar: representar reacciones de adición. Razonar: diseñar y controlar variables</t>
        </is>
      </c>
      <c r="S1022" s="39">
        <f>IFERROR(ISNUMBER(SEARCH("Conocer",$R1022))/(ISNUMBER(SEARCH("Conocer",$R1022))+ISNUMBER(SEARCH("Aplicar",$R1022))+ISNUMBER(SEARCH("Razonar",$R1022))),0)</f>
        <v/>
      </c>
      <c r="T1022" s="39">
        <f>IFERROR(ISNUMBER(SEARCH("Aplicar",$R1022))/(ISNUMBER(SEARCH("Conocer",$R1022))+ISNUMBER(SEARCH("Aplicar",$R1022))+ISNUMBER(SEARCH("Razonar",$R1022))),0)</f>
        <v/>
      </c>
      <c r="U1022" s="39">
        <f>IFERROR(ISNUMBER(SEARCH("Razonar",$R1022))/(ISNUMBER(SEARCH("Conocer",$R1022))+ISNUMBER(SEARCH("Aplicar",$R1022))+ISNUMBER(SEARCH("Razonar",$R1022))),0)</f>
        <v/>
      </c>
      <c r="V1022" s="11" t="inlineStr">
        <is>
          <t>Química 11°</t>
        </is>
      </c>
      <c r="W1022" s="11" t="inlineStr">
        <is>
          <t>Química 10°–11°</t>
        </is>
      </c>
      <c r="X1022" s="11">
        <f>IF(OR(IFERROR(INDEX('Datos - Catálogo TIMSS'!$I$5:$I$107,MATCH(K1022,'Datos - Catálogo TIMSS'!$A$5:$A$107,0)),"No")="Sí",IFERROR(INDEX('Datos - Catálogo TIMSS'!$I$5:$I$107,MATCH(L1022,'Datos - Catálogo TIMSS'!$A$5:$A$107,0)),"No")="Sí"),1,0)</f>
        <v/>
      </c>
      <c r="Y1022" s="11">
        <f>IF(IFERROR(INDEX('Datos - Catálogo TIMSS'!$J$5:$J$107,MATCH(K1022,'Datos - Catálogo TIMSS'!$A$5:$A$107,0)),"No")="Sí",1,0)</f>
        <v/>
      </c>
      <c r="Z1022" s="11">
        <f>IF(IFERROR(INDEX('Datos - Catálogo TIMSS'!$J$5:$J$107,MATCH(L1022,'Datos - Catálogo TIMSS'!$A$5:$A$107,0)),"No")="Sí",1,0)</f>
        <v/>
      </c>
      <c r="AA1022" s="11" t="inlineStr">
        <is>
          <t>N/A</t>
        </is>
      </c>
      <c r="AB1022" s="11" t="inlineStr"/>
      <c r="AC1022" s="11">
        <f>IF(AA1022="FUERA","Fuera del marco",IF(AA1022="N/A","Sin marco",IFERROR(INDEX('Datos - TIMSS 2023'!$C$5:$C$105,MATCH(AA1022,'Datos - TIMSS 2023'!$A$5:$A$105,0)),"Pendiente de clasificar")))</f>
        <v/>
      </c>
      <c r="AD1022" s="11" t="inlineStr">
        <is>
          <t>2. Construir y evaluar diseños para la indagación científica e interpretar datos y evidencia de forma crítica</t>
        </is>
      </c>
      <c r="AE1022" s="11">
        <f>IF(AD1022="","",IF(LEFT(AD1022,1)="1","C1",IF(LEFT(AD1022,1)="2","C2",IF(LEFT(AD1022,1)="3","C3",""))))</f>
        <v/>
      </c>
      <c r="AF1022" s="11" t="inlineStr">
        <is>
          <t>E1</t>
        </is>
      </c>
      <c r="AG1022" s="11" t="inlineStr">
        <is>
          <t>E5</t>
        </is>
      </c>
      <c r="AH1022" s="11" t="inlineStr">
        <is>
          <t>E2</t>
        </is>
      </c>
      <c r="AI1022" s="11" t="inlineStr">
        <is>
          <t>D2</t>
        </is>
      </c>
      <c r="AJ1022" s="11" t="inlineStr">
        <is>
          <t>E3</t>
        </is>
      </c>
      <c r="AK1022" s="11" t="n"/>
      <c r="AL1022" s="11" t="n"/>
      <c r="AM1022" s="11" t="n"/>
      <c r="AN1022" s="11" t="n"/>
      <c r="AO1022" s="11" t="n"/>
      <c r="AP1022" s="11" t="n"/>
      <c r="AQ1022" s="11" t="n"/>
      <c r="AR1022" s="11" t="n"/>
      <c r="AS1022" s="11" t="n"/>
      <c r="AT1022" s="11" t="n"/>
      <c r="AU1022" s="11" t="n"/>
      <c r="AV1022" s="11" t="n"/>
      <c r="AW1022" s="11">
        <f>AF1022&amp;"; "&amp;AG1022&amp;"; "&amp;AH1022&amp;"; "&amp;AI1022&amp;"; "&amp;AJ1022</f>
        <v/>
      </c>
    </row>
    <row r="1023">
      <c r="A1023" s="11" t="inlineStr">
        <is>
          <t>T0559-G11-QUÍ</t>
        </is>
      </c>
      <c r="B1023" s="11" t="n">
        <v>11</v>
      </c>
      <c r="C1023" s="11" t="inlineStr">
        <is>
          <t>Química</t>
        </is>
      </c>
      <c r="D1023" s="11" t="inlineStr">
        <is>
          <t>Matriz_Bachillerato_Quimica_10_11.xlsx</t>
        </is>
      </c>
      <c r="E1023" s="11" t="inlineStr">
        <is>
          <t>Química 11.°</t>
        </is>
      </c>
      <c r="F1023" s="11" t="n">
        <v>20</v>
      </c>
      <c r="G1023" s="11" t="inlineStr">
        <is>
          <t>2. Introducción a la química orgánica</t>
        </is>
      </c>
      <c r="H1023" s="11" t="inlineStr">
        <is>
          <t>Alquenos</t>
        </is>
      </c>
      <c r="I1023" s="38" t="inlineStr">
        <is>
          <t>2.9. Explicación de la nomenclatura IUPAC para nombrar alquenos.</t>
        </is>
      </c>
      <c r="J1023" s="11" t="inlineStr">
        <is>
          <t>Sin marco</t>
        </is>
      </c>
      <c r="K1023" s="11" t="inlineStr">
        <is>
          <t>N/A</t>
        </is>
      </c>
      <c r="L1023" s="11" t="inlineStr"/>
      <c r="M1023" s="11">
        <f>IF(K1023="FUERA","Fuera del marco",IF(K1023="N/A","Sin marco",IFERROR(INDEX('Datos - Catálogo TIMSS'!$C$5:$C$107,MATCH(K1023,'Datos - Catálogo TIMSS'!$A$5:$A$107,0)),"Pendiente de clasificar")))</f>
        <v/>
      </c>
      <c r="N1023" s="11">
        <f>IF(K1023="FUERA","Fuera del marco",IF(K1023="N/A","Sin marco",IFERROR(INDEX('Datos - Catálogo TIMSS'!$F$5:$F$107,MATCH(K1023,'Datos - Catálogo TIMSS'!$A$5:$A$107,0)),"Pendiente de clasificar")))</f>
        <v/>
      </c>
      <c r="O1023" s="11">
        <f>IF(L1023="","",IFERROR(INDEX('Datos - Catálogo TIMSS'!$C$5:$C$107,MATCH(L1023,'Datos - Catálogo TIMSS'!$A$5:$A$107,0)),"?"))</f>
        <v/>
      </c>
      <c r="P1023" s="11" t="inlineStr">
        <is>
          <t>N/A</t>
        </is>
      </c>
      <c r="Q1023" s="38" t="inlineStr">
        <is>
          <t>Sin marco TIMSS de contenido para esta asignatura en Bachillerato</t>
        </is>
      </c>
      <c r="R1023" s="38" t="inlineStr">
        <is>
          <t>Aplicar: nombrar y formular alquenos. Razonar: justificar la numeración</t>
        </is>
      </c>
      <c r="S1023" s="39">
        <f>IFERROR(ISNUMBER(SEARCH("Conocer",$R1023))/(ISNUMBER(SEARCH("Conocer",$R1023))+ISNUMBER(SEARCH("Aplicar",$R1023))+ISNUMBER(SEARCH("Razonar",$R1023))),0)</f>
        <v/>
      </c>
      <c r="T1023" s="39">
        <f>IFERROR(ISNUMBER(SEARCH("Aplicar",$R1023))/(ISNUMBER(SEARCH("Conocer",$R1023))+ISNUMBER(SEARCH("Aplicar",$R1023))+ISNUMBER(SEARCH("Razonar",$R1023))),0)</f>
        <v/>
      </c>
      <c r="U1023" s="39">
        <f>IFERROR(ISNUMBER(SEARCH("Razonar",$R1023))/(ISNUMBER(SEARCH("Conocer",$R1023))+ISNUMBER(SEARCH("Aplicar",$R1023))+ISNUMBER(SEARCH("Razonar",$R1023))),0)</f>
        <v/>
      </c>
      <c r="V1023" s="11" t="inlineStr">
        <is>
          <t>Química 11°</t>
        </is>
      </c>
      <c r="W1023" s="11" t="inlineStr">
        <is>
          <t>Química 10°–11°</t>
        </is>
      </c>
      <c r="X1023" s="11">
        <f>IF(OR(IFERROR(INDEX('Datos - Catálogo TIMSS'!$I$5:$I$107,MATCH(K1023,'Datos - Catálogo TIMSS'!$A$5:$A$107,0)),"No")="Sí",IFERROR(INDEX('Datos - Catálogo TIMSS'!$I$5:$I$107,MATCH(L1023,'Datos - Catálogo TIMSS'!$A$5:$A$107,0)),"No")="Sí"),1,0)</f>
        <v/>
      </c>
      <c r="Y1023" s="11">
        <f>IF(IFERROR(INDEX('Datos - Catálogo TIMSS'!$J$5:$J$107,MATCH(K1023,'Datos - Catálogo TIMSS'!$A$5:$A$107,0)),"No")="Sí",1,0)</f>
        <v/>
      </c>
      <c r="Z1023" s="11">
        <f>IF(IFERROR(INDEX('Datos - Catálogo TIMSS'!$J$5:$J$107,MATCH(L1023,'Datos - Catálogo TIMSS'!$A$5:$A$107,0)),"No")="Sí",1,0)</f>
        <v/>
      </c>
      <c r="AA1023" s="11" t="inlineStr">
        <is>
          <t>N/A</t>
        </is>
      </c>
      <c r="AB1023" s="11" t="inlineStr"/>
      <c r="AC1023" s="11">
        <f>IF(AA1023="FUERA","Fuera del marco",IF(AA1023="N/A","Sin marco",IFERROR(INDEX('Datos - TIMSS 2023'!$C$5:$C$105,MATCH(AA1023,'Datos - TIMSS 2023'!$A$5:$A$105,0)),"Pendiente de clasificar")))</f>
        <v/>
      </c>
      <c r="AD1023" s="11" t="inlineStr">
        <is>
          <t>1. Explicar fenómenos científicamente</t>
        </is>
      </c>
      <c r="AE1023" s="11">
        <f>IF(AD1023="","",IF(LEFT(AD1023,1)="1","C1",IF(LEFT(AD1023,1)="2","C2",IF(LEFT(AD1023,1)="3","C3",""))))</f>
        <v/>
      </c>
      <c r="AF1023" s="11" t="inlineStr">
        <is>
          <t>E1</t>
        </is>
      </c>
      <c r="AG1023" s="11" t="inlineStr">
        <is>
          <t>E3</t>
        </is>
      </c>
      <c r="AH1023" s="11" t="inlineStr">
        <is>
          <t>E2</t>
        </is>
      </c>
      <c r="AI1023" s="11" t="inlineStr">
        <is>
          <t>E4</t>
        </is>
      </c>
      <c r="AJ1023" s="11" t="inlineStr">
        <is>
          <t>D3</t>
        </is>
      </c>
      <c r="AK1023" s="11" t="n"/>
      <c r="AL1023" s="11" t="n"/>
      <c r="AM1023" s="11" t="n"/>
      <c r="AN1023" s="11" t="n"/>
      <c r="AO1023" s="11" t="n"/>
      <c r="AP1023" s="11" t="n"/>
      <c r="AQ1023" s="11" t="n"/>
      <c r="AR1023" s="11" t="n"/>
      <c r="AS1023" s="11" t="n"/>
      <c r="AT1023" s="11" t="n"/>
      <c r="AU1023" s="11" t="n"/>
      <c r="AV1023" s="11" t="n"/>
      <c r="AW1023" s="11">
        <f>AF1023&amp;"; "&amp;AG1023&amp;"; "&amp;AH1023&amp;"; "&amp;AI1023&amp;"; "&amp;AJ1023</f>
        <v/>
      </c>
    </row>
    <row r="1024">
      <c r="A1024" s="11" t="inlineStr">
        <is>
          <t>T0560-G11-QUÍ</t>
        </is>
      </c>
      <c r="B1024" s="11" t="n">
        <v>11</v>
      </c>
      <c r="C1024" s="11" t="inlineStr">
        <is>
          <t>Química</t>
        </is>
      </c>
      <c r="D1024" s="11" t="inlineStr">
        <is>
          <t>Matriz_Bachillerato_Quimica_10_11.xlsx</t>
        </is>
      </c>
      <c r="E1024" s="11" t="inlineStr">
        <is>
          <t>Química 11.°</t>
        </is>
      </c>
      <c r="F1024" s="11" t="n">
        <v>21</v>
      </c>
      <c r="G1024" s="11" t="inlineStr">
        <is>
          <t>2. Introducción a la química orgánica</t>
        </is>
      </c>
      <c r="H1024" s="11" t="inlineStr">
        <is>
          <t>Alquinos</t>
        </is>
      </c>
      <c r="I1024" s="38" t="inlineStr">
        <is>
          <t>2.10. Identificación de la función alquino a partir de sus aplicaciones.</t>
        </is>
      </c>
      <c r="J1024" s="11" t="inlineStr">
        <is>
          <t>Sin marco</t>
        </is>
      </c>
      <c r="K1024" s="11" t="inlineStr">
        <is>
          <t>N/A</t>
        </is>
      </c>
      <c r="L1024" s="11" t="inlineStr"/>
      <c r="M1024" s="11">
        <f>IF(K1024="FUERA","Fuera del marco",IF(K1024="N/A","Sin marco",IFERROR(INDEX('Datos - Catálogo TIMSS'!$C$5:$C$107,MATCH(K1024,'Datos - Catálogo TIMSS'!$A$5:$A$107,0)),"Pendiente de clasificar")))</f>
        <v/>
      </c>
      <c r="N1024" s="11">
        <f>IF(K1024="FUERA","Fuera del marco",IF(K1024="N/A","Sin marco",IFERROR(INDEX('Datos - Catálogo TIMSS'!$F$5:$F$107,MATCH(K1024,'Datos - Catálogo TIMSS'!$A$5:$A$107,0)),"Pendiente de clasificar")))</f>
        <v/>
      </c>
      <c r="O1024" s="11">
        <f>IF(L1024="","",IFERROR(INDEX('Datos - Catálogo TIMSS'!$C$5:$C$107,MATCH(L1024,'Datos - Catálogo TIMSS'!$A$5:$A$107,0)),"?"))</f>
        <v/>
      </c>
      <c r="P1024" s="11" t="inlineStr">
        <is>
          <t>N/A</t>
        </is>
      </c>
      <c r="Q1024" s="38" t="inlineStr">
        <is>
          <t>Sin marco TIMSS de contenido para esta asignatura en Bachillerato</t>
        </is>
      </c>
      <c r="R1024" s="38" t="inlineStr">
        <is>
          <t>Conocer: reconocer la función alquino. Aplicar: comparar datos de enlace</t>
        </is>
      </c>
      <c r="S1024" s="39">
        <f>IFERROR(ISNUMBER(SEARCH("Conocer",$R1024))/(ISNUMBER(SEARCH("Conocer",$R1024))+ISNUMBER(SEARCH("Aplicar",$R1024))+ISNUMBER(SEARCH("Razonar",$R1024))),0)</f>
        <v/>
      </c>
      <c r="T1024" s="39">
        <f>IFERROR(ISNUMBER(SEARCH("Aplicar",$R1024))/(ISNUMBER(SEARCH("Conocer",$R1024))+ISNUMBER(SEARCH("Aplicar",$R1024))+ISNUMBER(SEARCH("Razonar",$R1024))),0)</f>
        <v/>
      </c>
      <c r="U1024" s="39">
        <f>IFERROR(ISNUMBER(SEARCH("Razonar",$R1024))/(ISNUMBER(SEARCH("Conocer",$R1024))+ISNUMBER(SEARCH("Aplicar",$R1024))+ISNUMBER(SEARCH("Razonar",$R1024))),0)</f>
        <v/>
      </c>
      <c r="V1024" s="11" t="inlineStr">
        <is>
          <t>Química 11°</t>
        </is>
      </c>
      <c r="W1024" s="11" t="inlineStr">
        <is>
          <t>Química 10°–11°</t>
        </is>
      </c>
      <c r="X1024" s="11">
        <f>IF(OR(IFERROR(INDEX('Datos - Catálogo TIMSS'!$I$5:$I$107,MATCH(K1024,'Datos - Catálogo TIMSS'!$A$5:$A$107,0)),"No")="Sí",IFERROR(INDEX('Datos - Catálogo TIMSS'!$I$5:$I$107,MATCH(L1024,'Datos - Catálogo TIMSS'!$A$5:$A$107,0)),"No")="Sí"),1,0)</f>
        <v/>
      </c>
      <c r="Y1024" s="11">
        <f>IF(IFERROR(INDEX('Datos - Catálogo TIMSS'!$J$5:$J$107,MATCH(K1024,'Datos - Catálogo TIMSS'!$A$5:$A$107,0)),"No")="Sí",1,0)</f>
        <v/>
      </c>
      <c r="Z1024" s="11">
        <f>IF(IFERROR(INDEX('Datos - Catálogo TIMSS'!$J$5:$J$107,MATCH(L1024,'Datos - Catálogo TIMSS'!$A$5:$A$107,0)),"No")="Sí",1,0)</f>
        <v/>
      </c>
      <c r="AA1024" s="11" t="inlineStr">
        <is>
          <t>N/A</t>
        </is>
      </c>
      <c r="AB1024" s="11" t="inlineStr"/>
      <c r="AC1024" s="11">
        <f>IF(AA1024="FUERA","Fuera del marco",IF(AA1024="N/A","Sin marco",IFERROR(INDEX('Datos - TIMSS 2023'!$C$5:$C$105,MATCH(AA1024,'Datos - TIMSS 2023'!$A$5:$A$105,0)),"Pendiente de clasificar")))</f>
        <v/>
      </c>
      <c r="AD1024" s="11" t="inlineStr">
        <is>
          <t>1. Explicar fenómenos científicamente</t>
        </is>
      </c>
      <c r="AE1024" s="11">
        <f>IF(AD1024="","",IF(LEFT(AD1024,1)="1","C1",IF(LEFT(AD1024,1)="2","C2",IF(LEFT(AD1024,1)="3","C3",""))))</f>
        <v/>
      </c>
      <c r="AF1024" s="11" t="inlineStr">
        <is>
          <t>E6</t>
        </is>
      </c>
      <c r="AG1024" s="11" t="inlineStr">
        <is>
          <t>D1</t>
        </is>
      </c>
      <c r="AH1024" s="11" t="inlineStr">
        <is>
          <t>E1</t>
        </is>
      </c>
      <c r="AI1024" s="11" t="inlineStr">
        <is>
          <t>E4</t>
        </is>
      </c>
      <c r="AJ1024" s="11" t="inlineStr">
        <is>
          <t>E3</t>
        </is>
      </c>
      <c r="AK1024" s="11" t="n"/>
      <c r="AL1024" s="11" t="n"/>
      <c r="AM1024" s="11" t="n"/>
      <c r="AN1024" s="11" t="n"/>
      <c r="AO1024" s="11" t="n"/>
      <c r="AP1024" s="11" t="n"/>
      <c r="AQ1024" s="11" t="n"/>
      <c r="AR1024" s="11" t="n"/>
      <c r="AS1024" s="11" t="n"/>
      <c r="AT1024" s="11" t="n"/>
      <c r="AU1024" s="11" t="n"/>
      <c r="AV1024" s="11" t="n"/>
      <c r="AW1024" s="11">
        <f>AF1024&amp;"; "&amp;AG1024&amp;"; "&amp;AH1024&amp;"; "&amp;AI1024&amp;"; "&amp;AJ1024</f>
        <v/>
      </c>
    </row>
    <row r="1025">
      <c r="A1025" s="11" t="inlineStr">
        <is>
          <t>T0561-G11-QUÍ</t>
        </is>
      </c>
      <c r="B1025" s="11" t="n">
        <v>11</v>
      </c>
      <c r="C1025" s="11" t="inlineStr">
        <is>
          <t>Química</t>
        </is>
      </c>
      <c r="D1025" s="11" t="inlineStr">
        <is>
          <t>Matriz_Bachillerato_Quimica_10_11.xlsx</t>
        </is>
      </c>
      <c r="E1025" s="11" t="inlineStr">
        <is>
          <t>Química 11.°</t>
        </is>
      </c>
      <c r="F1025" s="11" t="n">
        <v>22</v>
      </c>
      <c r="G1025" s="11" t="inlineStr">
        <is>
          <t>2. Introducción a la química orgánica</t>
        </is>
      </c>
      <c r="H1025" s="11" t="inlineStr">
        <is>
          <t>Alquinos</t>
        </is>
      </c>
      <c r="I1025" s="38" t="inlineStr">
        <is>
          <t>2.11. Demostración práctica de las propiedades físicas y químicas de los alquinos.</t>
        </is>
      </c>
      <c r="J1025" s="11" t="inlineStr">
        <is>
          <t>Sin marco</t>
        </is>
      </c>
      <c r="K1025" s="11" t="inlineStr">
        <is>
          <t>N/A</t>
        </is>
      </c>
      <c r="L1025" s="11" t="inlineStr"/>
      <c r="M1025" s="11">
        <f>IF(K1025="FUERA","Fuera del marco",IF(K1025="N/A","Sin marco",IFERROR(INDEX('Datos - Catálogo TIMSS'!$C$5:$C$107,MATCH(K1025,'Datos - Catálogo TIMSS'!$A$5:$A$107,0)),"Pendiente de clasificar")))</f>
        <v/>
      </c>
      <c r="N1025" s="11">
        <f>IF(K1025="FUERA","Fuera del marco",IF(K1025="N/A","Sin marco",IFERROR(INDEX('Datos - Catálogo TIMSS'!$F$5:$F$107,MATCH(K1025,'Datos - Catálogo TIMSS'!$A$5:$A$107,0)),"Pendiente de clasificar")))</f>
        <v/>
      </c>
      <c r="O1025" s="11">
        <f>IF(L1025="","",IFERROR(INDEX('Datos - Catálogo TIMSS'!$C$5:$C$107,MATCH(L1025,'Datos - Catálogo TIMSS'!$A$5:$A$107,0)),"?"))</f>
        <v/>
      </c>
      <c r="P1025" s="11" t="inlineStr">
        <is>
          <t>N/A</t>
        </is>
      </c>
      <c r="Q1025" s="38" t="inlineStr">
        <is>
          <t>Sin marco TIMSS de contenido para esta asignatura en Bachillerato</t>
        </is>
      </c>
      <c r="R1025" s="38" t="inlineStr">
        <is>
          <t>Aplicar: representar reacciones de los alquinos. Razonar: argumentar con evidencia</t>
        </is>
      </c>
      <c r="S1025" s="39">
        <f>IFERROR(ISNUMBER(SEARCH("Conocer",$R1025))/(ISNUMBER(SEARCH("Conocer",$R1025))+ISNUMBER(SEARCH("Aplicar",$R1025))+ISNUMBER(SEARCH("Razonar",$R1025))),0)</f>
        <v/>
      </c>
      <c r="T1025" s="39">
        <f>IFERROR(ISNUMBER(SEARCH("Aplicar",$R1025))/(ISNUMBER(SEARCH("Conocer",$R1025))+ISNUMBER(SEARCH("Aplicar",$R1025))+ISNUMBER(SEARCH("Razonar",$R1025))),0)</f>
        <v/>
      </c>
      <c r="U1025" s="39">
        <f>IFERROR(ISNUMBER(SEARCH("Razonar",$R1025))/(ISNUMBER(SEARCH("Conocer",$R1025))+ISNUMBER(SEARCH("Aplicar",$R1025))+ISNUMBER(SEARCH("Razonar",$R1025))),0)</f>
        <v/>
      </c>
      <c r="V1025" s="11" t="inlineStr">
        <is>
          <t>Química 11°</t>
        </is>
      </c>
      <c r="W1025" s="11" t="inlineStr">
        <is>
          <t>Química 10°–11°</t>
        </is>
      </c>
      <c r="X1025" s="11">
        <f>IF(OR(IFERROR(INDEX('Datos - Catálogo TIMSS'!$I$5:$I$107,MATCH(K1025,'Datos - Catálogo TIMSS'!$A$5:$A$107,0)),"No")="Sí",IFERROR(INDEX('Datos - Catálogo TIMSS'!$I$5:$I$107,MATCH(L1025,'Datos - Catálogo TIMSS'!$A$5:$A$107,0)),"No")="Sí"),1,0)</f>
        <v/>
      </c>
      <c r="Y1025" s="11">
        <f>IF(IFERROR(INDEX('Datos - Catálogo TIMSS'!$J$5:$J$107,MATCH(K1025,'Datos - Catálogo TIMSS'!$A$5:$A$107,0)),"No")="Sí",1,0)</f>
        <v/>
      </c>
      <c r="Z1025" s="11">
        <f>IF(IFERROR(INDEX('Datos - Catálogo TIMSS'!$J$5:$J$107,MATCH(L1025,'Datos - Catálogo TIMSS'!$A$5:$A$107,0)),"No")="Sí",1,0)</f>
        <v/>
      </c>
      <c r="AA1025" s="11" t="inlineStr">
        <is>
          <t>N/A</t>
        </is>
      </c>
      <c r="AB1025" s="11" t="inlineStr"/>
      <c r="AC1025" s="11">
        <f>IF(AA1025="FUERA","Fuera del marco",IF(AA1025="N/A","Sin marco",IFERROR(INDEX('Datos - TIMSS 2023'!$C$5:$C$105,MATCH(AA1025,'Datos - TIMSS 2023'!$A$5:$A$105,0)),"Pendiente de clasificar")))</f>
        <v/>
      </c>
      <c r="AD1025" s="11" t="inlineStr">
        <is>
          <t>3. Investigar, evaluar y usar información científica para tomar decisiones y actuar</t>
        </is>
      </c>
      <c r="AE1025" s="11">
        <f>IF(AD1025="","",IF(LEFT(AD1025,1)="1","C1",IF(LEFT(AD1025,1)="2","C2",IF(LEFT(AD1025,1)="3","C3",""))))</f>
        <v/>
      </c>
      <c r="AF1025" s="11" t="inlineStr">
        <is>
          <t>E6</t>
        </is>
      </c>
      <c r="AG1025" s="11" t="inlineStr">
        <is>
          <t>E5</t>
        </is>
      </c>
      <c r="AH1025" s="11" t="inlineStr">
        <is>
          <t>E2</t>
        </is>
      </c>
      <c r="AI1025" s="11" t="inlineStr">
        <is>
          <t>I3</t>
        </is>
      </c>
      <c r="AJ1025" s="11" t="inlineStr">
        <is>
          <t>I5</t>
        </is>
      </c>
      <c r="AK1025" s="11" t="n"/>
      <c r="AL1025" s="11" t="n"/>
      <c r="AM1025" s="11" t="n"/>
      <c r="AN1025" s="11" t="n"/>
      <c r="AO1025" s="11" t="n"/>
      <c r="AP1025" s="11" t="n"/>
      <c r="AQ1025" s="11" t="n"/>
      <c r="AR1025" s="11" t="n"/>
      <c r="AS1025" s="11" t="n"/>
      <c r="AT1025" s="11" t="n"/>
      <c r="AU1025" s="11" t="n"/>
      <c r="AV1025" s="11" t="n"/>
      <c r="AW1025" s="11">
        <f>AF1025&amp;"; "&amp;AG1025&amp;"; "&amp;AH1025&amp;"; "&amp;AI1025&amp;"; "&amp;AJ1025</f>
        <v/>
      </c>
    </row>
    <row r="1026">
      <c r="A1026" s="11" t="inlineStr">
        <is>
          <t>T0562-G11-QUÍ</t>
        </is>
      </c>
      <c r="B1026" s="11" t="n">
        <v>11</v>
      </c>
      <c r="C1026" s="11" t="inlineStr">
        <is>
          <t>Química</t>
        </is>
      </c>
      <c r="D1026" s="11" t="inlineStr">
        <is>
          <t>Matriz_Bachillerato_Quimica_10_11.xlsx</t>
        </is>
      </c>
      <c r="E1026" s="11" t="inlineStr">
        <is>
          <t>Química 11.°</t>
        </is>
      </c>
      <c r="F1026" s="11" t="n">
        <v>23</v>
      </c>
      <c r="G1026" s="11" t="inlineStr">
        <is>
          <t>2. Introducción a la química orgánica</t>
        </is>
      </c>
      <c r="H1026" s="11" t="inlineStr">
        <is>
          <t>Alquinos</t>
        </is>
      </c>
      <c r="I1026" s="38" t="inlineStr">
        <is>
          <t>2.12. Explicación de la nomenclatura IUPAC para nombrar alquinos.</t>
        </is>
      </c>
      <c r="J1026" s="11" t="inlineStr">
        <is>
          <t>Sin marco</t>
        </is>
      </c>
      <c r="K1026" s="11" t="inlineStr">
        <is>
          <t>N/A</t>
        </is>
      </c>
      <c r="L1026" s="11" t="inlineStr"/>
      <c r="M1026" s="11">
        <f>IF(K1026="FUERA","Fuera del marco",IF(K1026="N/A","Sin marco",IFERROR(INDEX('Datos - Catálogo TIMSS'!$C$5:$C$107,MATCH(K1026,'Datos - Catálogo TIMSS'!$A$5:$A$107,0)),"Pendiente de clasificar")))</f>
        <v/>
      </c>
      <c r="N1026" s="11">
        <f>IF(K1026="FUERA","Fuera del marco",IF(K1026="N/A","Sin marco",IFERROR(INDEX('Datos - Catálogo TIMSS'!$F$5:$F$107,MATCH(K1026,'Datos - Catálogo TIMSS'!$A$5:$A$107,0)),"Pendiente de clasificar")))</f>
        <v/>
      </c>
      <c r="O1026" s="11">
        <f>IF(L1026="","",IFERROR(INDEX('Datos - Catálogo TIMSS'!$C$5:$C$107,MATCH(L1026,'Datos - Catálogo TIMSS'!$A$5:$A$107,0)),"?"))</f>
        <v/>
      </c>
      <c r="P1026" s="11" t="inlineStr">
        <is>
          <t>N/A</t>
        </is>
      </c>
      <c r="Q1026" s="38" t="inlineStr">
        <is>
          <t>Sin marco TIMSS de contenido para esta asignatura en Bachillerato</t>
        </is>
      </c>
      <c r="R1026" s="38" t="inlineStr">
        <is>
          <t>Aplicar: nombrar y formular alquinos. Razonar: justificar prioridades de numeración</t>
        </is>
      </c>
      <c r="S1026" s="39">
        <f>IFERROR(ISNUMBER(SEARCH("Conocer",$R1026))/(ISNUMBER(SEARCH("Conocer",$R1026))+ISNUMBER(SEARCH("Aplicar",$R1026))+ISNUMBER(SEARCH("Razonar",$R1026))),0)</f>
        <v/>
      </c>
      <c r="T1026" s="39">
        <f>IFERROR(ISNUMBER(SEARCH("Aplicar",$R1026))/(ISNUMBER(SEARCH("Conocer",$R1026))+ISNUMBER(SEARCH("Aplicar",$R1026))+ISNUMBER(SEARCH("Razonar",$R1026))),0)</f>
        <v/>
      </c>
      <c r="U1026" s="39">
        <f>IFERROR(ISNUMBER(SEARCH("Razonar",$R1026))/(ISNUMBER(SEARCH("Conocer",$R1026))+ISNUMBER(SEARCH("Aplicar",$R1026))+ISNUMBER(SEARCH("Razonar",$R1026))),0)</f>
        <v/>
      </c>
      <c r="V1026" s="11" t="inlineStr">
        <is>
          <t>Química 11°</t>
        </is>
      </c>
      <c r="W1026" s="11" t="inlineStr">
        <is>
          <t>Química 10°–11°</t>
        </is>
      </c>
      <c r="X1026" s="11">
        <f>IF(OR(IFERROR(INDEX('Datos - Catálogo TIMSS'!$I$5:$I$107,MATCH(K1026,'Datos - Catálogo TIMSS'!$A$5:$A$107,0)),"No")="Sí",IFERROR(INDEX('Datos - Catálogo TIMSS'!$I$5:$I$107,MATCH(L1026,'Datos - Catálogo TIMSS'!$A$5:$A$107,0)),"No")="Sí"),1,0)</f>
        <v/>
      </c>
      <c r="Y1026" s="11">
        <f>IF(IFERROR(INDEX('Datos - Catálogo TIMSS'!$J$5:$J$107,MATCH(K1026,'Datos - Catálogo TIMSS'!$A$5:$A$107,0)),"No")="Sí",1,0)</f>
        <v/>
      </c>
      <c r="Z1026" s="11">
        <f>IF(IFERROR(INDEX('Datos - Catálogo TIMSS'!$J$5:$J$107,MATCH(L1026,'Datos - Catálogo TIMSS'!$A$5:$A$107,0)),"No")="Sí",1,0)</f>
        <v/>
      </c>
      <c r="AA1026" s="11" t="inlineStr">
        <is>
          <t>N/A</t>
        </is>
      </c>
      <c r="AB1026" s="11" t="inlineStr"/>
      <c r="AC1026" s="11">
        <f>IF(AA1026="FUERA","Fuera del marco",IF(AA1026="N/A","Sin marco",IFERROR(INDEX('Datos - TIMSS 2023'!$C$5:$C$105,MATCH(AA1026,'Datos - TIMSS 2023'!$A$5:$A$105,0)),"Pendiente de clasificar")))</f>
        <v/>
      </c>
      <c r="AD1026" s="11" t="inlineStr">
        <is>
          <t>1. Explicar fenómenos científicamente</t>
        </is>
      </c>
      <c r="AE1026" s="11">
        <f>IF(AD1026="","",IF(LEFT(AD1026,1)="1","C1",IF(LEFT(AD1026,1)="2","C2",IF(LEFT(AD1026,1)="3","C3",""))))</f>
        <v/>
      </c>
      <c r="AF1026" s="11" t="inlineStr">
        <is>
          <t>E1</t>
        </is>
      </c>
      <c r="AG1026" s="11" t="inlineStr">
        <is>
          <t>E3</t>
        </is>
      </c>
      <c r="AH1026" s="11" t="inlineStr">
        <is>
          <t>E2</t>
        </is>
      </c>
      <c r="AI1026" s="11" t="inlineStr">
        <is>
          <t>E4</t>
        </is>
      </c>
      <c r="AJ1026" s="11" t="inlineStr">
        <is>
          <t>E3</t>
        </is>
      </c>
      <c r="AK1026" s="11" t="n"/>
      <c r="AL1026" s="11" t="n"/>
      <c r="AM1026" s="11" t="n"/>
      <c r="AN1026" s="11" t="n"/>
      <c r="AO1026" s="11" t="n"/>
      <c r="AP1026" s="11" t="n"/>
      <c r="AQ1026" s="11" t="n"/>
      <c r="AR1026" s="11" t="n"/>
      <c r="AS1026" s="11" t="n"/>
      <c r="AT1026" s="11" t="n"/>
      <c r="AU1026" s="11" t="n"/>
      <c r="AV1026" s="11" t="n"/>
      <c r="AW1026" s="11">
        <f>AF1026&amp;"; "&amp;AG1026&amp;"; "&amp;AH1026&amp;"; "&amp;AI1026&amp;"; "&amp;AJ1026</f>
        <v/>
      </c>
    </row>
    <row r="1027">
      <c r="A1027" s="11" t="inlineStr">
        <is>
          <t>T0563-G11-QUÍ</t>
        </is>
      </c>
      <c r="B1027" s="11" t="n">
        <v>11</v>
      </c>
      <c r="C1027" s="11" t="inlineStr">
        <is>
          <t>Química</t>
        </is>
      </c>
      <c r="D1027" s="11" t="inlineStr">
        <is>
          <t>Matriz_Bachillerato_Quimica_10_11.xlsx</t>
        </is>
      </c>
      <c r="E1027" s="11" t="inlineStr">
        <is>
          <t>Química 11.°</t>
        </is>
      </c>
      <c r="F1027" s="11" t="n">
        <v>24</v>
      </c>
      <c r="G1027" s="11" t="inlineStr">
        <is>
          <t>3. Compuestos orgánicos</t>
        </is>
      </c>
      <c r="H1027" s="11" t="inlineStr">
        <is>
          <t>Hidrocarburos aromáticos</t>
        </is>
      </c>
      <c r="I1027" s="38" t="inlineStr">
        <is>
          <t>3.1. Reconocimiento de los hidrocarburos aromáticos.</t>
        </is>
      </c>
      <c r="J1027" s="11" t="inlineStr">
        <is>
          <t>Sin marco</t>
        </is>
      </c>
      <c r="K1027" s="11" t="inlineStr">
        <is>
          <t>N/A</t>
        </is>
      </c>
      <c r="L1027" s="11" t="inlineStr"/>
      <c r="M1027" s="11">
        <f>IF(K1027="FUERA","Fuera del marco",IF(K1027="N/A","Sin marco",IFERROR(INDEX('Datos - Catálogo TIMSS'!$C$5:$C$107,MATCH(K1027,'Datos - Catálogo TIMSS'!$A$5:$A$107,0)),"Pendiente de clasificar")))</f>
        <v/>
      </c>
      <c r="N1027" s="11">
        <f>IF(K1027="FUERA","Fuera del marco",IF(K1027="N/A","Sin marco",IFERROR(INDEX('Datos - Catálogo TIMSS'!$F$5:$F$107,MATCH(K1027,'Datos - Catálogo TIMSS'!$A$5:$A$107,0)),"Pendiente de clasificar")))</f>
        <v/>
      </c>
      <c r="O1027" s="11">
        <f>IF(L1027="","",IFERROR(INDEX('Datos - Catálogo TIMSS'!$C$5:$C$107,MATCH(L1027,'Datos - Catálogo TIMSS'!$A$5:$A$107,0)),"?"))</f>
        <v/>
      </c>
      <c r="P1027" s="11" t="inlineStr">
        <is>
          <t>N/A</t>
        </is>
      </c>
      <c r="Q1027" s="38" t="inlineStr">
        <is>
          <t>Sin marco TIMSS de contenido para esta asignatura en Bachillerato</t>
        </is>
      </c>
      <c r="R1027" s="38" t="inlineStr">
        <is>
          <t>Conocer: reconocer hidrocarburos aromáticos. Razonar: aplicar criterios de aromaticidad</t>
        </is>
      </c>
      <c r="S1027" s="39">
        <f>IFERROR(ISNUMBER(SEARCH("Conocer",$R1027))/(ISNUMBER(SEARCH("Conocer",$R1027))+ISNUMBER(SEARCH("Aplicar",$R1027))+ISNUMBER(SEARCH("Razonar",$R1027))),0)</f>
        <v/>
      </c>
      <c r="T1027" s="39">
        <f>IFERROR(ISNUMBER(SEARCH("Aplicar",$R1027))/(ISNUMBER(SEARCH("Conocer",$R1027))+ISNUMBER(SEARCH("Aplicar",$R1027))+ISNUMBER(SEARCH("Razonar",$R1027))),0)</f>
        <v/>
      </c>
      <c r="U1027" s="39">
        <f>IFERROR(ISNUMBER(SEARCH("Razonar",$R1027))/(ISNUMBER(SEARCH("Conocer",$R1027))+ISNUMBER(SEARCH("Aplicar",$R1027))+ISNUMBER(SEARCH("Razonar",$R1027))),0)</f>
        <v/>
      </c>
      <c r="V1027" s="11" t="inlineStr">
        <is>
          <t>Química 11°</t>
        </is>
      </c>
      <c r="W1027" s="11" t="inlineStr">
        <is>
          <t>Química 10°–11°</t>
        </is>
      </c>
      <c r="X1027" s="11">
        <f>IF(OR(IFERROR(INDEX('Datos - Catálogo TIMSS'!$I$5:$I$107,MATCH(K1027,'Datos - Catálogo TIMSS'!$A$5:$A$107,0)),"No")="Sí",IFERROR(INDEX('Datos - Catálogo TIMSS'!$I$5:$I$107,MATCH(L1027,'Datos - Catálogo TIMSS'!$A$5:$A$107,0)),"No")="Sí"),1,0)</f>
        <v/>
      </c>
      <c r="Y1027" s="11">
        <f>IF(IFERROR(INDEX('Datos - Catálogo TIMSS'!$J$5:$J$107,MATCH(K1027,'Datos - Catálogo TIMSS'!$A$5:$A$107,0)),"No")="Sí",1,0)</f>
        <v/>
      </c>
      <c r="Z1027" s="11">
        <f>IF(IFERROR(INDEX('Datos - Catálogo TIMSS'!$J$5:$J$107,MATCH(L1027,'Datos - Catálogo TIMSS'!$A$5:$A$107,0)),"No")="Sí",1,0)</f>
        <v/>
      </c>
      <c r="AA1027" s="11" t="inlineStr">
        <is>
          <t>N/A</t>
        </is>
      </c>
      <c r="AB1027" s="11" t="inlineStr"/>
      <c r="AC1027" s="11">
        <f>IF(AA1027="FUERA","Fuera del marco",IF(AA1027="N/A","Sin marco",IFERROR(INDEX('Datos - TIMSS 2023'!$C$5:$C$105,MATCH(AA1027,'Datos - TIMSS 2023'!$A$5:$A$105,0)),"Pendiente de clasificar")))</f>
        <v/>
      </c>
      <c r="AD1027" s="11" t="inlineStr">
        <is>
          <t>1. Explicar fenómenos científicamente</t>
        </is>
      </c>
      <c r="AE1027" s="11">
        <f>IF(AD1027="","",IF(LEFT(AD1027,1)="1","C1",IF(LEFT(AD1027,1)="2","C2",IF(LEFT(AD1027,1)="3","C3",""))))</f>
        <v/>
      </c>
      <c r="AF1027" s="11" t="inlineStr">
        <is>
          <t>E1</t>
        </is>
      </c>
      <c r="AG1027" s="11" t="inlineStr">
        <is>
          <t>D1</t>
        </is>
      </c>
      <c r="AH1027" s="11" t="inlineStr">
        <is>
          <t>E4</t>
        </is>
      </c>
      <c r="AI1027" s="11" t="inlineStr">
        <is>
          <t>E4</t>
        </is>
      </c>
      <c r="AJ1027" s="11" t="inlineStr">
        <is>
          <t>E3</t>
        </is>
      </c>
      <c r="AK1027" s="11" t="n"/>
      <c r="AL1027" s="11" t="n"/>
      <c r="AM1027" s="11" t="n"/>
      <c r="AN1027" s="11" t="n"/>
      <c r="AO1027" s="11" t="n"/>
      <c r="AP1027" s="11" t="n"/>
      <c r="AQ1027" s="11" t="n"/>
      <c r="AR1027" s="11" t="n"/>
      <c r="AS1027" s="11" t="n"/>
      <c r="AT1027" s="11" t="n"/>
      <c r="AU1027" s="11" t="n"/>
      <c r="AV1027" s="11" t="n"/>
      <c r="AW1027" s="11">
        <f>AF1027&amp;"; "&amp;AG1027&amp;"; "&amp;AH1027&amp;"; "&amp;AI1027&amp;"; "&amp;AJ1027</f>
        <v/>
      </c>
    </row>
    <row r="1028">
      <c r="A1028" s="11" t="inlineStr">
        <is>
          <t>T0564-G11-QUÍ</t>
        </is>
      </c>
      <c r="B1028" s="11" t="n">
        <v>11</v>
      </c>
      <c r="C1028" s="11" t="inlineStr">
        <is>
          <t>Química</t>
        </is>
      </c>
      <c r="D1028" s="11" t="inlineStr">
        <is>
          <t>Matriz_Bachillerato_Quimica_10_11.xlsx</t>
        </is>
      </c>
      <c r="E1028" s="11" t="inlineStr">
        <is>
          <t>Química 11.°</t>
        </is>
      </c>
      <c r="F1028" s="11" t="n">
        <v>25</v>
      </c>
      <c r="G1028" s="11" t="inlineStr">
        <is>
          <t>3. Compuestos orgánicos</t>
        </is>
      </c>
      <c r="H1028" s="11" t="inlineStr">
        <is>
          <t>Hidrocarburos aromáticos</t>
        </is>
      </c>
      <c r="I1028" s="38" t="inlineStr">
        <is>
          <t>3.2. Experimentación con las propiedades físicas y químicas de los hidrocarburos aromáticos.</t>
        </is>
      </c>
      <c r="J1028" s="11" t="inlineStr">
        <is>
          <t>Sin marco</t>
        </is>
      </c>
      <c r="K1028" s="11" t="inlineStr">
        <is>
          <t>N/A</t>
        </is>
      </c>
      <c r="L1028" s="11" t="inlineStr"/>
      <c r="M1028" s="11">
        <f>IF(K1028="FUERA","Fuera del marco",IF(K1028="N/A","Sin marco",IFERROR(INDEX('Datos - Catálogo TIMSS'!$C$5:$C$107,MATCH(K1028,'Datos - Catálogo TIMSS'!$A$5:$A$107,0)),"Pendiente de clasificar")))</f>
        <v/>
      </c>
      <c r="N1028" s="11">
        <f>IF(K1028="FUERA","Fuera del marco",IF(K1028="N/A","Sin marco",IFERROR(INDEX('Datos - Catálogo TIMSS'!$F$5:$F$107,MATCH(K1028,'Datos - Catálogo TIMSS'!$A$5:$A$107,0)),"Pendiente de clasificar")))</f>
        <v/>
      </c>
      <c r="O1028" s="11">
        <f>IF(L1028="","",IFERROR(INDEX('Datos - Catálogo TIMSS'!$C$5:$C$107,MATCH(L1028,'Datos - Catálogo TIMSS'!$A$5:$A$107,0)),"?"))</f>
        <v/>
      </c>
      <c r="P1028" s="11" t="inlineStr">
        <is>
          <t>N/A</t>
        </is>
      </c>
      <c r="Q1028" s="38" t="inlineStr">
        <is>
          <t>Sin marco TIMSS de contenido para esta asignatura en Bachillerato</t>
        </is>
      </c>
      <c r="R1028" s="38" t="inlineStr">
        <is>
          <t>Aplicar: calcular la energía de resonancia. Razonar: concluir a partir de datos</t>
        </is>
      </c>
      <c r="S1028" s="39">
        <f>IFERROR(ISNUMBER(SEARCH("Conocer",$R1028))/(ISNUMBER(SEARCH("Conocer",$R1028))+ISNUMBER(SEARCH("Aplicar",$R1028))+ISNUMBER(SEARCH("Razonar",$R1028))),0)</f>
        <v/>
      </c>
      <c r="T1028" s="39">
        <f>IFERROR(ISNUMBER(SEARCH("Aplicar",$R1028))/(ISNUMBER(SEARCH("Conocer",$R1028))+ISNUMBER(SEARCH("Aplicar",$R1028))+ISNUMBER(SEARCH("Razonar",$R1028))),0)</f>
        <v/>
      </c>
      <c r="U1028" s="39">
        <f>IFERROR(ISNUMBER(SEARCH("Razonar",$R1028))/(ISNUMBER(SEARCH("Conocer",$R1028))+ISNUMBER(SEARCH("Aplicar",$R1028))+ISNUMBER(SEARCH("Razonar",$R1028))),0)</f>
        <v/>
      </c>
      <c r="V1028" s="11" t="inlineStr">
        <is>
          <t>Química 11°</t>
        </is>
      </c>
      <c r="W1028" s="11" t="inlineStr">
        <is>
          <t>Química 10°–11°</t>
        </is>
      </c>
      <c r="X1028" s="11">
        <f>IF(OR(IFERROR(INDEX('Datos - Catálogo TIMSS'!$I$5:$I$107,MATCH(K1028,'Datos - Catálogo TIMSS'!$A$5:$A$107,0)),"No")="Sí",IFERROR(INDEX('Datos - Catálogo TIMSS'!$I$5:$I$107,MATCH(L1028,'Datos - Catálogo TIMSS'!$A$5:$A$107,0)),"No")="Sí"),1,0)</f>
        <v/>
      </c>
      <c r="Y1028" s="11">
        <f>IF(IFERROR(INDEX('Datos - Catálogo TIMSS'!$J$5:$J$107,MATCH(K1028,'Datos - Catálogo TIMSS'!$A$5:$A$107,0)),"No")="Sí",1,0)</f>
        <v/>
      </c>
      <c r="Z1028" s="11">
        <f>IF(IFERROR(INDEX('Datos - Catálogo TIMSS'!$J$5:$J$107,MATCH(L1028,'Datos - Catálogo TIMSS'!$A$5:$A$107,0)),"No")="Sí",1,0)</f>
        <v/>
      </c>
      <c r="AA1028" s="11" t="inlineStr">
        <is>
          <t>N/A</t>
        </is>
      </c>
      <c r="AB1028" s="11" t="inlineStr"/>
      <c r="AC1028" s="11">
        <f>IF(AA1028="FUERA","Fuera del marco",IF(AA1028="N/A","Sin marco",IFERROR(INDEX('Datos - TIMSS 2023'!$C$5:$C$105,MATCH(AA1028,'Datos - TIMSS 2023'!$A$5:$A$105,0)),"Pendiente de clasificar")))</f>
        <v/>
      </c>
      <c r="AD1028" s="11" t="inlineStr">
        <is>
          <t>2. Construir y evaluar diseños para la indagación científica e interpretar datos y evidencia de forma crítica</t>
        </is>
      </c>
      <c r="AE1028" s="11">
        <f>IF(AD1028="","",IF(LEFT(AD1028,1)="1","C1",IF(LEFT(AD1028,1)="2","C2",IF(LEFT(AD1028,1)="3","C3",""))))</f>
        <v/>
      </c>
      <c r="AF1028" s="11" t="inlineStr">
        <is>
          <t>E6</t>
        </is>
      </c>
      <c r="AG1028" s="11" t="inlineStr">
        <is>
          <t>E3</t>
        </is>
      </c>
      <c r="AH1028" s="11" t="inlineStr">
        <is>
          <t>E1</t>
        </is>
      </c>
      <c r="AI1028" s="11" t="inlineStr">
        <is>
          <t>D4</t>
        </is>
      </c>
      <c r="AJ1028" s="11" t="inlineStr">
        <is>
          <t>I5</t>
        </is>
      </c>
      <c r="AK1028" s="11" t="n"/>
      <c r="AL1028" s="11" t="n"/>
      <c r="AM1028" s="11" t="n"/>
      <c r="AN1028" s="11" t="n"/>
      <c r="AO1028" s="11" t="n"/>
      <c r="AP1028" s="11" t="n"/>
      <c r="AQ1028" s="11" t="n"/>
      <c r="AR1028" s="11" t="n"/>
      <c r="AS1028" s="11" t="n"/>
      <c r="AT1028" s="11" t="n"/>
      <c r="AU1028" s="11" t="n"/>
      <c r="AV1028" s="11" t="n"/>
      <c r="AW1028" s="11">
        <f>AF1028&amp;"; "&amp;AG1028&amp;"; "&amp;AH1028&amp;"; "&amp;AI1028&amp;"; "&amp;AJ1028</f>
        <v/>
      </c>
    </row>
    <row r="1029">
      <c r="A1029" s="11" t="inlineStr">
        <is>
          <t>T0565-G11-QUÍ</t>
        </is>
      </c>
      <c r="B1029" s="11" t="n">
        <v>11</v>
      </c>
      <c r="C1029" s="11" t="inlineStr">
        <is>
          <t>Química</t>
        </is>
      </c>
      <c r="D1029" s="11" t="inlineStr">
        <is>
          <t>Matriz_Bachillerato_Quimica_10_11.xlsx</t>
        </is>
      </c>
      <c r="E1029" s="11" t="inlineStr">
        <is>
          <t>Química 11.°</t>
        </is>
      </c>
      <c r="F1029" s="11" t="n">
        <v>26</v>
      </c>
      <c r="G1029" s="11" t="inlineStr">
        <is>
          <t>3. Compuestos orgánicos</t>
        </is>
      </c>
      <c r="H1029" s="11" t="inlineStr">
        <is>
          <t>Hidrocarburos aromáticos</t>
        </is>
      </c>
      <c r="I1029" s="38" t="inlineStr">
        <is>
          <t>3.3. Explicación de la nomenclatura IUPAC para nombrar hidrocarburos aromáticos.</t>
        </is>
      </c>
      <c r="J1029" s="11" t="inlineStr">
        <is>
          <t>Sin marco</t>
        </is>
      </c>
      <c r="K1029" s="11" t="inlineStr">
        <is>
          <t>N/A</t>
        </is>
      </c>
      <c r="L1029" s="11" t="inlineStr"/>
      <c r="M1029" s="11">
        <f>IF(K1029="FUERA","Fuera del marco",IF(K1029="N/A","Sin marco",IFERROR(INDEX('Datos - Catálogo TIMSS'!$C$5:$C$107,MATCH(K1029,'Datos - Catálogo TIMSS'!$A$5:$A$107,0)),"Pendiente de clasificar")))</f>
        <v/>
      </c>
      <c r="N1029" s="11">
        <f>IF(K1029="FUERA","Fuera del marco",IF(K1029="N/A","Sin marco",IFERROR(INDEX('Datos - Catálogo TIMSS'!$F$5:$F$107,MATCH(K1029,'Datos - Catálogo TIMSS'!$A$5:$A$107,0)),"Pendiente de clasificar")))</f>
        <v/>
      </c>
      <c r="O1029" s="11">
        <f>IF(L1029="","",IFERROR(INDEX('Datos - Catálogo TIMSS'!$C$5:$C$107,MATCH(L1029,'Datos - Catálogo TIMSS'!$A$5:$A$107,0)),"?"))</f>
        <v/>
      </c>
      <c r="P1029" s="11" t="inlineStr">
        <is>
          <t>N/A</t>
        </is>
      </c>
      <c r="Q1029" s="38" t="inlineStr">
        <is>
          <t>Sin marco TIMSS de contenido para esta asignatura en Bachillerato</t>
        </is>
      </c>
      <c r="R1029" s="38" t="inlineStr">
        <is>
          <t>Aplicar: nombrar y formular aromáticos. Razonar: verificar localizadores</t>
        </is>
      </c>
      <c r="S1029" s="39">
        <f>IFERROR(ISNUMBER(SEARCH("Conocer",$R1029))/(ISNUMBER(SEARCH("Conocer",$R1029))+ISNUMBER(SEARCH("Aplicar",$R1029))+ISNUMBER(SEARCH("Razonar",$R1029))),0)</f>
        <v/>
      </c>
      <c r="T1029" s="39">
        <f>IFERROR(ISNUMBER(SEARCH("Aplicar",$R1029))/(ISNUMBER(SEARCH("Conocer",$R1029))+ISNUMBER(SEARCH("Aplicar",$R1029))+ISNUMBER(SEARCH("Razonar",$R1029))),0)</f>
        <v/>
      </c>
      <c r="U1029" s="39">
        <f>IFERROR(ISNUMBER(SEARCH("Razonar",$R1029))/(ISNUMBER(SEARCH("Conocer",$R1029))+ISNUMBER(SEARCH("Aplicar",$R1029))+ISNUMBER(SEARCH("Razonar",$R1029))),0)</f>
        <v/>
      </c>
      <c r="V1029" s="11" t="inlineStr">
        <is>
          <t>Química 11°</t>
        </is>
      </c>
      <c r="W1029" s="11" t="inlineStr">
        <is>
          <t>Química 10°–11°</t>
        </is>
      </c>
      <c r="X1029" s="11">
        <f>IF(OR(IFERROR(INDEX('Datos - Catálogo TIMSS'!$I$5:$I$107,MATCH(K1029,'Datos - Catálogo TIMSS'!$A$5:$A$107,0)),"No")="Sí",IFERROR(INDEX('Datos - Catálogo TIMSS'!$I$5:$I$107,MATCH(L1029,'Datos - Catálogo TIMSS'!$A$5:$A$107,0)),"No")="Sí"),1,0)</f>
        <v/>
      </c>
      <c r="Y1029" s="11">
        <f>IF(IFERROR(INDEX('Datos - Catálogo TIMSS'!$J$5:$J$107,MATCH(K1029,'Datos - Catálogo TIMSS'!$A$5:$A$107,0)),"No")="Sí",1,0)</f>
        <v/>
      </c>
      <c r="Z1029" s="11">
        <f>IF(IFERROR(INDEX('Datos - Catálogo TIMSS'!$J$5:$J$107,MATCH(L1029,'Datos - Catálogo TIMSS'!$A$5:$A$107,0)),"No")="Sí",1,0)</f>
        <v/>
      </c>
      <c r="AA1029" s="11" t="inlineStr">
        <is>
          <t>N/A</t>
        </is>
      </c>
      <c r="AB1029" s="11" t="inlineStr"/>
      <c r="AC1029" s="11">
        <f>IF(AA1029="FUERA","Fuera del marco",IF(AA1029="N/A","Sin marco",IFERROR(INDEX('Datos - TIMSS 2023'!$C$5:$C$105,MATCH(AA1029,'Datos - TIMSS 2023'!$A$5:$A$105,0)),"Pendiente de clasificar")))</f>
        <v/>
      </c>
      <c r="AD1029" s="11" t="inlineStr">
        <is>
          <t>1. Explicar fenómenos científicamente</t>
        </is>
      </c>
      <c r="AE1029" s="11">
        <f>IF(AD1029="","",IF(LEFT(AD1029,1)="1","C1",IF(LEFT(AD1029,1)="2","C2",IF(LEFT(AD1029,1)="3","C3",""))))</f>
        <v/>
      </c>
      <c r="AF1029" s="11" t="inlineStr">
        <is>
          <t>E1</t>
        </is>
      </c>
      <c r="AG1029" s="11" t="inlineStr">
        <is>
          <t>E3</t>
        </is>
      </c>
      <c r="AH1029" s="11" t="inlineStr">
        <is>
          <t>E2</t>
        </is>
      </c>
      <c r="AI1029" s="11" t="inlineStr">
        <is>
          <t>E4</t>
        </is>
      </c>
      <c r="AJ1029" s="11" t="inlineStr">
        <is>
          <t>D3</t>
        </is>
      </c>
      <c r="AK1029" s="11" t="n"/>
      <c r="AL1029" s="11" t="n"/>
      <c r="AM1029" s="11" t="n"/>
      <c r="AN1029" s="11" t="n"/>
      <c r="AO1029" s="11" t="n"/>
      <c r="AP1029" s="11" t="n"/>
      <c r="AQ1029" s="11" t="n"/>
      <c r="AR1029" s="11" t="n"/>
      <c r="AS1029" s="11" t="n"/>
      <c r="AT1029" s="11" t="n"/>
      <c r="AU1029" s="11" t="n"/>
      <c r="AV1029" s="11" t="n"/>
      <c r="AW1029" s="11">
        <f>AF1029&amp;"; "&amp;AG1029&amp;"; "&amp;AH1029&amp;"; "&amp;AI1029&amp;"; "&amp;AJ1029</f>
        <v/>
      </c>
    </row>
    <row r="1030">
      <c r="A1030" s="11" t="inlineStr">
        <is>
          <t>T0566-G11-QUÍ</t>
        </is>
      </c>
      <c r="B1030" s="11" t="n">
        <v>11</v>
      </c>
      <c r="C1030" s="11" t="inlineStr">
        <is>
          <t>Química</t>
        </is>
      </c>
      <c r="D1030" s="11" t="inlineStr">
        <is>
          <t>Matriz_Bachillerato_Quimica_10_11.xlsx</t>
        </is>
      </c>
      <c r="E1030" s="11" t="inlineStr">
        <is>
          <t>Química 11.°</t>
        </is>
      </c>
      <c r="F1030" s="11" t="n">
        <v>27</v>
      </c>
      <c r="G1030" s="11" t="inlineStr">
        <is>
          <t>3. Compuestos orgánicos</t>
        </is>
      </c>
      <c r="H1030" s="11" t="inlineStr">
        <is>
          <t>Compuestos orgánicos oxigenados</t>
        </is>
      </c>
      <c r="I1030" s="38" t="inlineStr">
        <is>
          <t>3.4. Identificación práctica de las funciones alcohol, fenol y éter.</t>
        </is>
      </c>
      <c r="J1030" s="11" t="inlineStr">
        <is>
          <t>Sin marco</t>
        </is>
      </c>
      <c r="K1030" s="11" t="inlineStr">
        <is>
          <t>N/A</t>
        </is>
      </c>
      <c r="L1030" s="11" t="inlineStr"/>
      <c r="M1030" s="11">
        <f>IF(K1030="FUERA","Fuera del marco",IF(K1030="N/A","Sin marco",IFERROR(INDEX('Datos - Catálogo TIMSS'!$C$5:$C$107,MATCH(K1030,'Datos - Catálogo TIMSS'!$A$5:$A$107,0)),"Pendiente de clasificar")))</f>
        <v/>
      </c>
      <c r="N1030" s="11">
        <f>IF(K1030="FUERA","Fuera del marco",IF(K1030="N/A","Sin marco",IFERROR(INDEX('Datos - Catálogo TIMSS'!$F$5:$F$107,MATCH(K1030,'Datos - Catálogo TIMSS'!$A$5:$A$107,0)),"Pendiente de clasificar")))</f>
        <v/>
      </c>
      <c r="O1030" s="11">
        <f>IF(L1030="","",IFERROR(INDEX('Datos - Catálogo TIMSS'!$C$5:$C$107,MATCH(L1030,'Datos - Catálogo TIMSS'!$A$5:$A$107,0)),"?"))</f>
        <v/>
      </c>
      <c r="P1030" s="11" t="inlineStr">
        <is>
          <t>N/A</t>
        </is>
      </c>
      <c r="Q1030" s="38" t="inlineStr">
        <is>
          <t>Sin marco TIMSS de contenido para esta asignatura en Bachillerato</t>
        </is>
      </c>
      <c r="R1030" s="38" t="inlineStr">
        <is>
          <t>Conocer: identificar grupos funcionales. Aplicar: clasificar estructuras</t>
        </is>
      </c>
      <c r="S1030" s="39">
        <f>IFERROR(ISNUMBER(SEARCH("Conocer",$R1030))/(ISNUMBER(SEARCH("Conocer",$R1030))+ISNUMBER(SEARCH("Aplicar",$R1030))+ISNUMBER(SEARCH("Razonar",$R1030))),0)</f>
        <v/>
      </c>
      <c r="T1030" s="39">
        <f>IFERROR(ISNUMBER(SEARCH("Aplicar",$R1030))/(ISNUMBER(SEARCH("Conocer",$R1030))+ISNUMBER(SEARCH("Aplicar",$R1030))+ISNUMBER(SEARCH("Razonar",$R1030))),0)</f>
        <v/>
      </c>
      <c r="U1030" s="39">
        <f>IFERROR(ISNUMBER(SEARCH("Razonar",$R1030))/(ISNUMBER(SEARCH("Conocer",$R1030))+ISNUMBER(SEARCH("Aplicar",$R1030))+ISNUMBER(SEARCH("Razonar",$R1030))),0)</f>
        <v/>
      </c>
      <c r="V1030" s="11" t="inlineStr">
        <is>
          <t>Química 11°</t>
        </is>
      </c>
      <c r="W1030" s="11" t="inlineStr">
        <is>
          <t>Química 10°–11°</t>
        </is>
      </c>
      <c r="X1030" s="11">
        <f>IF(OR(IFERROR(INDEX('Datos - Catálogo TIMSS'!$I$5:$I$107,MATCH(K1030,'Datos - Catálogo TIMSS'!$A$5:$A$107,0)),"No")="Sí",IFERROR(INDEX('Datos - Catálogo TIMSS'!$I$5:$I$107,MATCH(L1030,'Datos - Catálogo TIMSS'!$A$5:$A$107,0)),"No")="Sí"),1,0)</f>
        <v/>
      </c>
      <c r="Y1030" s="11">
        <f>IF(IFERROR(INDEX('Datos - Catálogo TIMSS'!$J$5:$J$107,MATCH(K1030,'Datos - Catálogo TIMSS'!$A$5:$A$107,0)),"No")="Sí",1,0)</f>
        <v/>
      </c>
      <c r="Z1030" s="11">
        <f>IF(IFERROR(INDEX('Datos - Catálogo TIMSS'!$J$5:$J$107,MATCH(L1030,'Datos - Catálogo TIMSS'!$A$5:$A$107,0)),"No")="Sí",1,0)</f>
        <v/>
      </c>
      <c r="AA1030" s="11" t="inlineStr">
        <is>
          <t>N/A</t>
        </is>
      </c>
      <c r="AB1030" s="11" t="inlineStr"/>
      <c r="AC1030" s="11">
        <f>IF(AA1030="FUERA","Fuera del marco",IF(AA1030="N/A","Sin marco",IFERROR(INDEX('Datos - TIMSS 2023'!$C$5:$C$105,MATCH(AA1030,'Datos - TIMSS 2023'!$A$5:$A$105,0)),"Pendiente de clasificar")))</f>
        <v/>
      </c>
      <c r="AD1030" s="11" t="inlineStr">
        <is>
          <t>1. Explicar fenómenos científicamente</t>
        </is>
      </c>
      <c r="AE1030" s="11">
        <f>IF(AD1030="","",IF(LEFT(AD1030,1)="1","C1",IF(LEFT(AD1030,1)="2","C2",IF(LEFT(AD1030,1)="3","C3",""))))</f>
        <v/>
      </c>
      <c r="AF1030" s="11" t="inlineStr">
        <is>
          <t>E1</t>
        </is>
      </c>
      <c r="AG1030" s="11" t="inlineStr">
        <is>
          <t>E5</t>
        </is>
      </c>
      <c r="AH1030" s="11" t="inlineStr">
        <is>
          <t>E1</t>
        </is>
      </c>
      <c r="AI1030" s="11" t="inlineStr">
        <is>
          <t>D4</t>
        </is>
      </c>
      <c r="AJ1030" s="11" t="inlineStr">
        <is>
          <t>E3</t>
        </is>
      </c>
      <c r="AK1030" s="11" t="n"/>
      <c r="AL1030" s="11" t="n"/>
      <c r="AM1030" s="11" t="n"/>
      <c r="AN1030" s="11" t="n"/>
      <c r="AO1030" s="11" t="n"/>
      <c r="AP1030" s="11" t="n"/>
      <c r="AQ1030" s="11" t="n"/>
      <c r="AR1030" s="11" t="n"/>
      <c r="AS1030" s="11" t="n"/>
      <c r="AT1030" s="11" t="n"/>
      <c r="AU1030" s="11" t="n"/>
      <c r="AV1030" s="11" t="n"/>
      <c r="AW1030" s="11">
        <f>AF1030&amp;"; "&amp;AG1030&amp;"; "&amp;AH1030&amp;"; "&amp;AI1030&amp;"; "&amp;AJ1030</f>
        <v/>
      </c>
    </row>
    <row r="1031">
      <c r="A1031" s="11" t="inlineStr">
        <is>
          <t>T0567-G11-QUÍ</t>
        </is>
      </c>
      <c r="B1031" s="11" t="n">
        <v>11</v>
      </c>
      <c r="C1031" s="11" t="inlineStr">
        <is>
          <t>Química</t>
        </is>
      </c>
      <c r="D1031" s="11" t="inlineStr">
        <is>
          <t>Matriz_Bachillerato_Quimica_10_11.xlsx</t>
        </is>
      </c>
      <c r="E1031" s="11" t="inlineStr">
        <is>
          <t>Química 11.°</t>
        </is>
      </c>
      <c r="F1031" s="11" t="n">
        <v>28</v>
      </c>
      <c r="G1031" s="11" t="inlineStr">
        <is>
          <t>3. Compuestos orgánicos</t>
        </is>
      </c>
      <c r="H1031" s="11" t="inlineStr">
        <is>
          <t>Compuestos orgánicos oxigenados</t>
        </is>
      </c>
      <c r="I1031" s="38" t="inlineStr">
        <is>
          <t>3.5. Demostración práctica de las propiedades físicas y químicas de los alcoholes, fenoles y éteres.</t>
        </is>
      </c>
      <c r="J1031" s="11" t="inlineStr">
        <is>
          <t>Sin marco</t>
        </is>
      </c>
      <c r="K1031" s="11" t="inlineStr">
        <is>
          <t>N/A</t>
        </is>
      </c>
      <c r="L1031" s="11" t="inlineStr"/>
      <c r="M1031" s="11">
        <f>IF(K1031="FUERA","Fuera del marco",IF(K1031="N/A","Sin marco",IFERROR(INDEX('Datos - Catálogo TIMSS'!$C$5:$C$107,MATCH(K1031,'Datos - Catálogo TIMSS'!$A$5:$A$107,0)),"Pendiente de clasificar")))</f>
        <v/>
      </c>
      <c r="N1031" s="11">
        <f>IF(K1031="FUERA","Fuera del marco",IF(K1031="N/A","Sin marco",IFERROR(INDEX('Datos - Catálogo TIMSS'!$F$5:$F$107,MATCH(K1031,'Datos - Catálogo TIMSS'!$A$5:$A$107,0)),"Pendiente de clasificar")))</f>
        <v/>
      </c>
      <c r="O1031" s="11">
        <f>IF(L1031="","",IFERROR(INDEX('Datos - Catálogo TIMSS'!$C$5:$C$107,MATCH(L1031,'Datos - Catálogo TIMSS'!$A$5:$A$107,0)),"?"))</f>
        <v/>
      </c>
      <c r="P1031" s="11" t="inlineStr">
        <is>
          <t>N/A</t>
        </is>
      </c>
      <c r="Q1031" s="38" t="inlineStr">
        <is>
          <t>Sin marco TIMSS de contenido para esta asignatura en Bachillerato</t>
        </is>
      </c>
      <c r="R1031" s="38" t="inlineStr">
        <is>
          <t>Aplicar: comparar propiedades con datos. Razonar: explicar con modelos de interacción</t>
        </is>
      </c>
      <c r="S1031" s="39">
        <f>IFERROR(ISNUMBER(SEARCH("Conocer",$R1031))/(ISNUMBER(SEARCH("Conocer",$R1031))+ISNUMBER(SEARCH("Aplicar",$R1031))+ISNUMBER(SEARCH("Razonar",$R1031))),0)</f>
        <v/>
      </c>
      <c r="T1031" s="39">
        <f>IFERROR(ISNUMBER(SEARCH("Aplicar",$R1031))/(ISNUMBER(SEARCH("Conocer",$R1031))+ISNUMBER(SEARCH("Aplicar",$R1031))+ISNUMBER(SEARCH("Razonar",$R1031))),0)</f>
        <v/>
      </c>
      <c r="U1031" s="39">
        <f>IFERROR(ISNUMBER(SEARCH("Razonar",$R1031))/(ISNUMBER(SEARCH("Conocer",$R1031))+ISNUMBER(SEARCH("Aplicar",$R1031))+ISNUMBER(SEARCH("Razonar",$R1031))),0)</f>
        <v/>
      </c>
      <c r="V1031" s="11" t="inlineStr">
        <is>
          <t>Química 11°</t>
        </is>
      </c>
      <c r="W1031" s="11" t="inlineStr">
        <is>
          <t>Química 10°–11°</t>
        </is>
      </c>
      <c r="X1031" s="11">
        <f>IF(OR(IFERROR(INDEX('Datos - Catálogo TIMSS'!$I$5:$I$107,MATCH(K1031,'Datos - Catálogo TIMSS'!$A$5:$A$107,0)),"No")="Sí",IFERROR(INDEX('Datos - Catálogo TIMSS'!$I$5:$I$107,MATCH(L1031,'Datos - Catálogo TIMSS'!$A$5:$A$107,0)),"No")="Sí"),1,0)</f>
        <v/>
      </c>
      <c r="Y1031" s="11">
        <f>IF(IFERROR(INDEX('Datos - Catálogo TIMSS'!$J$5:$J$107,MATCH(K1031,'Datos - Catálogo TIMSS'!$A$5:$A$107,0)),"No")="Sí",1,0)</f>
        <v/>
      </c>
      <c r="Z1031" s="11">
        <f>IF(IFERROR(INDEX('Datos - Catálogo TIMSS'!$J$5:$J$107,MATCH(L1031,'Datos - Catálogo TIMSS'!$A$5:$A$107,0)),"No")="Sí",1,0)</f>
        <v/>
      </c>
      <c r="AA1031" s="11" t="inlineStr">
        <is>
          <t>N/A</t>
        </is>
      </c>
      <c r="AB1031" s="11" t="inlineStr"/>
      <c r="AC1031" s="11">
        <f>IF(AA1031="FUERA","Fuera del marco",IF(AA1031="N/A","Sin marco",IFERROR(INDEX('Datos - TIMSS 2023'!$C$5:$C$105,MATCH(AA1031,'Datos - TIMSS 2023'!$A$5:$A$105,0)),"Pendiente de clasificar")))</f>
        <v/>
      </c>
      <c r="AD1031" s="11" t="inlineStr">
        <is>
          <t>2. Construir y evaluar diseños para la indagación científica e interpretar datos y evidencia de forma crítica</t>
        </is>
      </c>
      <c r="AE1031" s="11">
        <f>IF(AD1031="","",IF(LEFT(AD1031,1)="1","C1",IF(LEFT(AD1031,1)="2","C2",IF(LEFT(AD1031,1)="3","C3",""))))</f>
        <v/>
      </c>
      <c r="AF1031" s="11" t="inlineStr">
        <is>
          <t>E1</t>
        </is>
      </c>
      <c r="AG1031" s="11" t="inlineStr">
        <is>
          <t>E3</t>
        </is>
      </c>
      <c r="AH1031" s="11" t="inlineStr">
        <is>
          <t>E4</t>
        </is>
      </c>
      <c r="AI1031" s="11" t="inlineStr">
        <is>
          <t>D4</t>
        </is>
      </c>
      <c r="AJ1031" s="11" t="inlineStr">
        <is>
          <t>D3</t>
        </is>
      </c>
      <c r="AK1031" s="11" t="n"/>
      <c r="AL1031" s="11" t="n"/>
      <c r="AM1031" s="11" t="n"/>
      <c r="AN1031" s="11" t="n"/>
      <c r="AO1031" s="11" t="n"/>
      <c r="AP1031" s="11" t="n"/>
      <c r="AQ1031" s="11" t="n"/>
      <c r="AR1031" s="11" t="n"/>
      <c r="AS1031" s="11" t="n"/>
      <c r="AT1031" s="11" t="n"/>
      <c r="AU1031" s="11" t="n"/>
      <c r="AV1031" s="11" t="n"/>
      <c r="AW1031" s="11">
        <f>AF1031&amp;"; "&amp;AG1031&amp;"; "&amp;AH1031&amp;"; "&amp;AI1031&amp;"; "&amp;AJ1031</f>
        <v/>
      </c>
    </row>
    <row r="1032">
      <c r="A1032" s="11" t="inlineStr">
        <is>
          <t>T0568-G11-QUÍ</t>
        </is>
      </c>
      <c r="B1032" s="11" t="n">
        <v>11</v>
      </c>
      <c r="C1032" s="11" t="inlineStr">
        <is>
          <t>Química</t>
        </is>
      </c>
      <c r="D1032" s="11" t="inlineStr">
        <is>
          <t>Matriz_Bachillerato_Quimica_10_11.xlsx</t>
        </is>
      </c>
      <c r="E1032" s="11" t="inlineStr">
        <is>
          <t>Química 11.°</t>
        </is>
      </c>
      <c r="F1032" s="11" t="n">
        <v>29</v>
      </c>
      <c r="G1032" s="11" t="inlineStr">
        <is>
          <t>3. Compuestos orgánicos</t>
        </is>
      </c>
      <c r="H1032" s="11" t="inlineStr">
        <is>
          <t>Compuestos orgánicos oxigenados</t>
        </is>
      </c>
      <c r="I1032" s="38" t="inlineStr">
        <is>
          <t>3.6. Explicación de nomenclatura IUPAC para nombrar alcoholes, fenoles y éteres.</t>
        </is>
      </c>
      <c r="J1032" s="11" t="inlineStr">
        <is>
          <t>Sin marco</t>
        </is>
      </c>
      <c r="K1032" s="11" t="inlineStr">
        <is>
          <t>N/A</t>
        </is>
      </c>
      <c r="L1032" s="11" t="inlineStr"/>
      <c r="M1032" s="11">
        <f>IF(K1032="FUERA","Fuera del marco",IF(K1032="N/A","Sin marco",IFERROR(INDEX('Datos - Catálogo TIMSS'!$C$5:$C$107,MATCH(K1032,'Datos - Catálogo TIMSS'!$A$5:$A$107,0)),"Pendiente de clasificar")))</f>
        <v/>
      </c>
      <c r="N1032" s="11">
        <f>IF(K1032="FUERA","Fuera del marco",IF(K1032="N/A","Sin marco",IFERROR(INDEX('Datos - Catálogo TIMSS'!$F$5:$F$107,MATCH(K1032,'Datos - Catálogo TIMSS'!$A$5:$A$107,0)),"Pendiente de clasificar")))</f>
        <v/>
      </c>
      <c r="O1032" s="11">
        <f>IF(L1032="","",IFERROR(INDEX('Datos - Catálogo TIMSS'!$C$5:$C$107,MATCH(L1032,'Datos - Catálogo TIMSS'!$A$5:$A$107,0)),"?"))</f>
        <v/>
      </c>
      <c r="P1032" s="11" t="inlineStr">
        <is>
          <t>N/A</t>
        </is>
      </c>
      <c r="Q1032" s="38" t="inlineStr">
        <is>
          <t>Sin marco TIMSS de contenido para esta asignatura en Bachillerato</t>
        </is>
      </c>
      <c r="R1032" s="38" t="inlineStr">
        <is>
          <t>Aplicar: nombrar y formular compuestos oxigenados. Razonar: aplicar prioridades</t>
        </is>
      </c>
      <c r="S1032" s="39">
        <f>IFERROR(ISNUMBER(SEARCH("Conocer",$R1032))/(ISNUMBER(SEARCH("Conocer",$R1032))+ISNUMBER(SEARCH("Aplicar",$R1032))+ISNUMBER(SEARCH("Razonar",$R1032))),0)</f>
        <v/>
      </c>
      <c r="T1032" s="39">
        <f>IFERROR(ISNUMBER(SEARCH("Aplicar",$R1032))/(ISNUMBER(SEARCH("Conocer",$R1032))+ISNUMBER(SEARCH("Aplicar",$R1032))+ISNUMBER(SEARCH("Razonar",$R1032))),0)</f>
        <v/>
      </c>
      <c r="U1032" s="39">
        <f>IFERROR(ISNUMBER(SEARCH("Razonar",$R1032))/(ISNUMBER(SEARCH("Conocer",$R1032))+ISNUMBER(SEARCH("Aplicar",$R1032))+ISNUMBER(SEARCH("Razonar",$R1032))),0)</f>
        <v/>
      </c>
      <c r="V1032" s="11" t="inlineStr">
        <is>
          <t>Química 11°</t>
        </is>
      </c>
      <c r="W1032" s="11" t="inlineStr">
        <is>
          <t>Química 10°–11°</t>
        </is>
      </c>
      <c r="X1032" s="11">
        <f>IF(OR(IFERROR(INDEX('Datos - Catálogo TIMSS'!$I$5:$I$107,MATCH(K1032,'Datos - Catálogo TIMSS'!$A$5:$A$107,0)),"No")="Sí",IFERROR(INDEX('Datos - Catálogo TIMSS'!$I$5:$I$107,MATCH(L1032,'Datos - Catálogo TIMSS'!$A$5:$A$107,0)),"No")="Sí"),1,0)</f>
        <v/>
      </c>
      <c r="Y1032" s="11">
        <f>IF(IFERROR(INDEX('Datos - Catálogo TIMSS'!$J$5:$J$107,MATCH(K1032,'Datos - Catálogo TIMSS'!$A$5:$A$107,0)),"No")="Sí",1,0)</f>
        <v/>
      </c>
      <c r="Z1032" s="11">
        <f>IF(IFERROR(INDEX('Datos - Catálogo TIMSS'!$J$5:$J$107,MATCH(L1032,'Datos - Catálogo TIMSS'!$A$5:$A$107,0)),"No")="Sí",1,0)</f>
        <v/>
      </c>
      <c r="AA1032" s="11" t="inlineStr">
        <is>
          <t>N/A</t>
        </is>
      </c>
      <c r="AB1032" s="11" t="inlineStr"/>
      <c r="AC1032" s="11">
        <f>IF(AA1032="FUERA","Fuera del marco",IF(AA1032="N/A","Sin marco",IFERROR(INDEX('Datos - TIMSS 2023'!$C$5:$C$105,MATCH(AA1032,'Datos - TIMSS 2023'!$A$5:$A$105,0)),"Pendiente de clasificar")))</f>
        <v/>
      </c>
      <c r="AD1032" s="11" t="inlineStr">
        <is>
          <t>1. Explicar fenómenos científicamente</t>
        </is>
      </c>
      <c r="AE1032" s="11">
        <f>IF(AD1032="","",IF(LEFT(AD1032,1)="1","C1",IF(LEFT(AD1032,1)="2","C2",IF(LEFT(AD1032,1)="3","C3",""))))</f>
        <v/>
      </c>
      <c r="AF1032" s="11" t="inlineStr">
        <is>
          <t>E1</t>
        </is>
      </c>
      <c r="AG1032" s="11" t="inlineStr">
        <is>
          <t>E3</t>
        </is>
      </c>
      <c r="AH1032" s="11" t="inlineStr">
        <is>
          <t>E2</t>
        </is>
      </c>
      <c r="AI1032" s="11" t="inlineStr">
        <is>
          <t>E4</t>
        </is>
      </c>
      <c r="AJ1032" s="11" t="inlineStr">
        <is>
          <t>E3</t>
        </is>
      </c>
      <c r="AK1032" s="11" t="n"/>
      <c r="AL1032" s="11" t="n"/>
      <c r="AM1032" s="11" t="n"/>
      <c r="AN1032" s="11" t="n"/>
      <c r="AO1032" s="11" t="n"/>
      <c r="AP1032" s="11" t="n"/>
      <c r="AQ1032" s="11" t="n"/>
      <c r="AR1032" s="11" t="n"/>
      <c r="AS1032" s="11" t="n"/>
      <c r="AT1032" s="11" t="n"/>
      <c r="AU1032" s="11" t="n"/>
      <c r="AV1032" s="11" t="n"/>
      <c r="AW1032" s="11">
        <f>AF1032&amp;"; "&amp;AG1032&amp;"; "&amp;AH1032&amp;"; "&amp;AI1032&amp;"; "&amp;AJ1032</f>
        <v/>
      </c>
    </row>
    <row r="1033">
      <c r="A1033" s="11" t="inlineStr">
        <is>
          <t>T0569-G11-QUÍ</t>
        </is>
      </c>
      <c r="B1033" s="11" t="n">
        <v>11</v>
      </c>
      <c r="C1033" s="11" t="inlineStr">
        <is>
          <t>Química</t>
        </is>
      </c>
      <c r="D1033" s="11" t="inlineStr">
        <is>
          <t>Matriz_Bachillerato_Quimica_10_11.xlsx</t>
        </is>
      </c>
      <c r="E1033" s="11" t="inlineStr">
        <is>
          <t>Química 11.°</t>
        </is>
      </c>
      <c r="F1033" s="11" t="n">
        <v>30</v>
      </c>
      <c r="G1033" s="11" t="inlineStr">
        <is>
          <t>3. Compuestos orgánicos</t>
        </is>
      </c>
      <c r="H1033" s="11" t="inlineStr">
        <is>
          <t>Compuestos orgánicos oxigenados</t>
        </is>
      </c>
      <c r="I1033" s="38" t="inlineStr">
        <is>
          <t>3.7. Identificación práctica de las funciones aldehído, cetona, ácido carboxílico y derivados de ácido carboxílico.</t>
        </is>
      </c>
      <c r="J1033" s="11" t="inlineStr">
        <is>
          <t>Sin marco</t>
        </is>
      </c>
      <c r="K1033" s="11" t="inlineStr">
        <is>
          <t>N/A</t>
        </is>
      </c>
      <c r="L1033" s="11" t="inlineStr"/>
      <c r="M1033" s="11">
        <f>IF(K1033="FUERA","Fuera del marco",IF(K1033="N/A","Sin marco",IFERROR(INDEX('Datos - Catálogo TIMSS'!$C$5:$C$107,MATCH(K1033,'Datos - Catálogo TIMSS'!$A$5:$A$107,0)),"Pendiente de clasificar")))</f>
        <v/>
      </c>
      <c r="N1033" s="11">
        <f>IF(K1033="FUERA","Fuera del marco",IF(K1033="N/A","Sin marco",IFERROR(INDEX('Datos - Catálogo TIMSS'!$F$5:$F$107,MATCH(K1033,'Datos - Catálogo TIMSS'!$A$5:$A$107,0)),"Pendiente de clasificar")))</f>
        <v/>
      </c>
      <c r="O1033" s="11">
        <f>IF(L1033="","",IFERROR(INDEX('Datos - Catálogo TIMSS'!$C$5:$C$107,MATCH(L1033,'Datos - Catálogo TIMSS'!$A$5:$A$107,0)),"?"))</f>
        <v/>
      </c>
      <c r="P1033" s="11" t="inlineStr">
        <is>
          <t>N/A</t>
        </is>
      </c>
      <c r="Q1033" s="38" t="inlineStr">
        <is>
          <t>Sin marco TIMSS de contenido para esta asignatura en Bachillerato</t>
        </is>
      </c>
      <c r="R1033" s="38" t="inlineStr">
        <is>
          <t>Conocer: identificar grupos carbonilo y carboxilo. Aplicar: clasificar estructuras</t>
        </is>
      </c>
      <c r="S1033" s="39">
        <f>IFERROR(ISNUMBER(SEARCH("Conocer",$R1033))/(ISNUMBER(SEARCH("Conocer",$R1033))+ISNUMBER(SEARCH("Aplicar",$R1033))+ISNUMBER(SEARCH("Razonar",$R1033))),0)</f>
        <v/>
      </c>
      <c r="T1033" s="39">
        <f>IFERROR(ISNUMBER(SEARCH("Aplicar",$R1033))/(ISNUMBER(SEARCH("Conocer",$R1033))+ISNUMBER(SEARCH("Aplicar",$R1033))+ISNUMBER(SEARCH("Razonar",$R1033))),0)</f>
        <v/>
      </c>
      <c r="U1033" s="39">
        <f>IFERROR(ISNUMBER(SEARCH("Razonar",$R1033))/(ISNUMBER(SEARCH("Conocer",$R1033))+ISNUMBER(SEARCH("Aplicar",$R1033))+ISNUMBER(SEARCH("Razonar",$R1033))),0)</f>
        <v/>
      </c>
      <c r="V1033" s="11" t="inlineStr">
        <is>
          <t>Química 11°</t>
        </is>
      </c>
      <c r="W1033" s="11" t="inlineStr">
        <is>
          <t>Química 10°–11°</t>
        </is>
      </c>
      <c r="X1033" s="11">
        <f>IF(OR(IFERROR(INDEX('Datos - Catálogo TIMSS'!$I$5:$I$107,MATCH(K1033,'Datos - Catálogo TIMSS'!$A$5:$A$107,0)),"No")="Sí",IFERROR(INDEX('Datos - Catálogo TIMSS'!$I$5:$I$107,MATCH(L1033,'Datos - Catálogo TIMSS'!$A$5:$A$107,0)),"No")="Sí"),1,0)</f>
        <v/>
      </c>
      <c r="Y1033" s="11">
        <f>IF(IFERROR(INDEX('Datos - Catálogo TIMSS'!$J$5:$J$107,MATCH(K1033,'Datos - Catálogo TIMSS'!$A$5:$A$107,0)),"No")="Sí",1,0)</f>
        <v/>
      </c>
      <c r="Z1033" s="11">
        <f>IF(IFERROR(INDEX('Datos - Catálogo TIMSS'!$J$5:$J$107,MATCH(L1033,'Datos - Catálogo TIMSS'!$A$5:$A$107,0)),"No")="Sí",1,0)</f>
        <v/>
      </c>
      <c r="AA1033" s="11" t="inlineStr">
        <is>
          <t>N/A</t>
        </is>
      </c>
      <c r="AB1033" s="11" t="inlineStr"/>
      <c r="AC1033" s="11">
        <f>IF(AA1033="FUERA","Fuera del marco",IF(AA1033="N/A","Sin marco",IFERROR(INDEX('Datos - TIMSS 2023'!$C$5:$C$105,MATCH(AA1033,'Datos - TIMSS 2023'!$A$5:$A$105,0)),"Pendiente de clasificar")))</f>
        <v/>
      </c>
      <c r="AD1033" s="11" t="inlineStr">
        <is>
          <t>1. Explicar fenómenos científicamente</t>
        </is>
      </c>
      <c r="AE1033" s="11">
        <f>IF(AD1033="","",IF(LEFT(AD1033,1)="1","C1",IF(LEFT(AD1033,1)="2","C2",IF(LEFT(AD1033,1)="3","C3",""))))</f>
        <v/>
      </c>
      <c r="AF1033" s="11" t="inlineStr">
        <is>
          <t>E6</t>
        </is>
      </c>
      <c r="AG1033" s="11" t="inlineStr">
        <is>
          <t>D1</t>
        </is>
      </c>
      <c r="AH1033" s="11" t="inlineStr">
        <is>
          <t>E1</t>
        </is>
      </c>
      <c r="AI1033" s="11" t="inlineStr">
        <is>
          <t>E4</t>
        </is>
      </c>
      <c r="AJ1033" s="11" t="inlineStr">
        <is>
          <t>E3</t>
        </is>
      </c>
      <c r="AK1033" s="11" t="n"/>
      <c r="AL1033" s="11" t="n"/>
      <c r="AM1033" s="11" t="n"/>
      <c r="AN1033" s="11" t="n"/>
      <c r="AO1033" s="11" t="n"/>
      <c r="AP1033" s="11" t="n"/>
      <c r="AQ1033" s="11" t="n"/>
      <c r="AR1033" s="11" t="n"/>
      <c r="AS1033" s="11" t="n"/>
      <c r="AT1033" s="11" t="n"/>
      <c r="AU1033" s="11" t="n"/>
      <c r="AV1033" s="11" t="n"/>
      <c r="AW1033" s="11">
        <f>AF1033&amp;"; "&amp;AG1033&amp;"; "&amp;AH1033&amp;"; "&amp;AI1033&amp;"; "&amp;AJ1033</f>
        <v/>
      </c>
    </row>
    <row r="1034">
      <c r="A1034" s="11" t="inlineStr">
        <is>
          <t>T0570-G11-QUÍ</t>
        </is>
      </c>
      <c r="B1034" s="11" t="n">
        <v>11</v>
      </c>
      <c r="C1034" s="11" t="inlineStr">
        <is>
          <t>Química</t>
        </is>
      </c>
      <c r="D1034" s="11" t="inlineStr">
        <is>
          <t>Matriz_Bachillerato_Quimica_10_11.xlsx</t>
        </is>
      </c>
      <c r="E1034" s="11" t="inlineStr">
        <is>
          <t>Química 11.°</t>
        </is>
      </c>
      <c r="F1034" s="11" t="n">
        <v>31</v>
      </c>
      <c r="G1034" s="11" t="inlineStr">
        <is>
          <t>3. Compuestos orgánicos</t>
        </is>
      </c>
      <c r="H1034" s="11" t="inlineStr">
        <is>
          <t>Compuestos orgánicos oxigenados</t>
        </is>
      </c>
      <c r="I1034" s="38" t="inlineStr">
        <is>
          <t>3.8. Demostración práctica de las propiedades físicas y químicas de los aldehídos, cetonas, ácidos carboxílicos y sus derivados.</t>
        </is>
      </c>
      <c r="J1034" s="11" t="inlineStr">
        <is>
          <t>Sin marco</t>
        </is>
      </c>
      <c r="K1034" s="11" t="inlineStr">
        <is>
          <t>N/A</t>
        </is>
      </c>
      <c r="L1034" s="11" t="inlineStr"/>
      <c r="M1034" s="11">
        <f>IF(K1034="FUERA","Fuera del marco",IF(K1034="N/A","Sin marco",IFERROR(INDEX('Datos - Catálogo TIMSS'!$C$5:$C$107,MATCH(K1034,'Datos - Catálogo TIMSS'!$A$5:$A$107,0)),"Pendiente de clasificar")))</f>
        <v/>
      </c>
      <c r="N1034" s="11">
        <f>IF(K1034="FUERA","Fuera del marco",IF(K1034="N/A","Sin marco",IFERROR(INDEX('Datos - Catálogo TIMSS'!$F$5:$F$107,MATCH(K1034,'Datos - Catálogo TIMSS'!$A$5:$A$107,0)),"Pendiente de clasificar")))</f>
        <v/>
      </c>
      <c r="O1034" s="11">
        <f>IF(L1034="","",IFERROR(INDEX('Datos - Catálogo TIMSS'!$C$5:$C$107,MATCH(L1034,'Datos - Catálogo TIMSS'!$A$5:$A$107,0)),"?"))</f>
        <v/>
      </c>
      <c r="P1034" s="11" t="inlineStr">
        <is>
          <t>N/A</t>
        </is>
      </c>
      <c r="Q1034" s="38" t="inlineStr">
        <is>
          <t>Sin marco TIMSS de contenido para esta asignatura en Bachillerato</t>
        </is>
      </c>
      <c r="R1034" s="38" t="inlineStr">
        <is>
          <t>Aplicar: representar reacciones y medir volúmenes. Razonar: evaluar el diseño</t>
        </is>
      </c>
      <c r="S1034" s="39">
        <f>IFERROR(ISNUMBER(SEARCH("Conocer",$R1034))/(ISNUMBER(SEARCH("Conocer",$R1034))+ISNUMBER(SEARCH("Aplicar",$R1034))+ISNUMBER(SEARCH("Razonar",$R1034))),0)</f>
        <v/>
      </c>
      <c r="T1034" s="39">
        <f>IFERROR(ISNUMBER(SEARCH("Aplicar",$R1034))/(ISNUMBER(SEARCH("Conocer",$R1034))+ISNUMBER(SEARCH("Aplicar",$R1034))+ISNUMBER(SEARCH("Razonar",$R1034))),0)</f>
        <v/>
      </c>
      <c r="U1034" s="39">
        <f>IFERROR(ISNUMBER(SEARCH("Razonar",$R1034))/(ISNUMBER(SEARCH("Conocer",$R1034))+ISNUMBER(SEARCH("Aplicar",$R1034))+ISNUMBER(SEARCH("Razonar",$R1034))),0)</f>
        <v/>
      </c>
      <c r="V1034" s="11" t="inlineStr">
        <is>
          <t>Química 11°</t>
        </is>
      </c>
      <c r="W1034" s="11" t="inlineStr">
        <is>
          <t>Química 10°–11°</t>
        </is>
      </c>
      <c r="X1034" s="11">
        <f>IF(OR(IFERROR(INDEX('Datos - Catálogo TIMSS'!$I$5:$I$107,MATCH(K1034,'Datos - Catálogo TIMSS'!$A$5:$A$107,0)),"No")="Sí",IFERROR(INDEX('Datos - Catálogo TIMSS'!$I$5:$I$107,MATCH(L1034,'Datos - Catálogo TIMSS'!$A$5:$A$107,0)),"No")="Sí"),1,0)</f>
        <v/>
      </c>
      <c r="Y1034" s="11">
        <f>IF(IFERROR(INDEX('Datos - Catálogo TIMSS'!$J$5:$J$107,MATCH(K1034,'Datos - Catálogo TIMSS'!$A$5:$A$107,0)),"No")="Sí",1,0)</f>
        <v/>
      </c>
      <c r="Z1034" s="11">
        <f>IF(IFERROR(INDEX('Datos - Catálogo TIMSS'!$J$5:$J$107,MATCH(L1034,'Datos - Catálogo TIMSS'!$A$5:$A$107,0)),"No")="Sí",1,0)</f>
        <v/>
      </c>
      <c r="AA1034" s="11" t="inlineStr">
        <is>
          <t>N/A</t>
        </is>
      </c>
      <c r="AB1034" s="11" t="inlineStr"/>
      <c r="AC1034" s="11">
        <f>IF(AA1034="FUERA","Fuera del marco",IF(AA1034="N/A","Sin marco",IFERROR(INDEX('Datos - TIMSS 2023'!$C$5:$C$105,MATCH(AA1034,'Datos - TIMSS 2023'!$A$5:$A$105,0)),"Pendiente de clasificar")))</f>
        <v/>
      </c>
      <c r="AD1034" s="11" t="inlineStr">
        <is>
          <t>2. Construir y evaluar diseños para la indagación científica e interpretar datos y evidencia de forma crítica</t>
        </is>
      </c>
      <c r="AE1034" s="11">
        <f>IF(AD1034="","",IF(LEFT(AD1034,1)="1","C1",IF(LEFT(AD1034,1)="2","C2",IF(LEFT(AD1034,1)="3","C3",""))))</f>
        <v/>
      </c>
      <c r="AF1034" s="11" t="inlineStr">
        <is>
          <t>E1</t>
        </is>
      </c>
      <c r="AG1034" s="11" t="inlineStr">
        <is>
          <t>E3</t>
        </is>
      </c>
      <c r="AH1034" s="11" t="inlineStr">
        <is>
          <t>E2</t>
        </is>
      </c>
      <c r="AI1034" s="11" t="inlineStr">
        <is>
          <t>D2</t>
        </is>
      </c>
      <c r="AJ1034" s="11" t="inlineStr">
        <is>
          <t>D3</t>
        </is>
      </c>
      <c r="AK1034" s="11" t="n"/>
      <c r="AL1034" s="11" t="n"/>
      <c r="AM1034" s="11" t="n"/>
      <c r="AN1034" s="11" t="n"/>
      <c r="AO1034" s="11" t="n"/>
      <c r="AP1034" s="11" t="n"/>
      <c r="AQ1034" s="11" t="n"/>
      <c r="AR1034" s="11" t="n"/>
      <c r="AS1034" s="11" t="n"/>
      <c r="AT1034" s="11" t="n"/>
      <c r="AU1034" s="11" t="n"/>
      <c r="AV1034" s="11" t="n"/>
      <c r="AW1034" s="11">
        <f>AF1034&amp;"; "&amp;AG1034&amp;"; "&amp;AH1034&amp;"; "&amp;AI1034&amp;"; "&amp;AJ1034</f>
        <v/>
      </c>
    </row>
    <row r="1035">
      <c r="A1035" s="11" t="inlineStr">
        <is>
          <t>T0571-G11-QUÍ</t>
        </is>
      </c>
      <c r="B1035" s="11" t="n">
        <v>11</v>
      </c>
      <c r="C1035" s="11" t="inlineStr">
        <is>
          <t>Química</t>
        </is>
      </c>
      <c r="D1035" s="11" t="inlineStr">
        <is>
          <t>Matriz_Bachillerato_Quimica_10_11.xlsx</t>
        </is>
      </c>
      <c r="E1035" s="11" t="inlineStr">
        <is>
          <t>Química 11.°</t>
        </is>
      </c>
      <c r="F1035" s="11" t="n">
        <v>32</v>
      </c>
      <c r="G1035" s="11" t="inlineStr">
        <is>
          <t>3. Compuestos orgánicos</t>
        </is>
      </c>
      <c r="H1035" s="11" t="inlineStr">
        <is>
          <t>Compuestos orgánicos oxigenados</t>
        </is>
      </c>
      <c r="I1035" s="38" t="inlineStr">
        <is>
          <t>3.9. Explicación de la nomenclatura IUPAC para nombrar aldehídos, cetonas, ácidos carboxílicos y sus derivados.</t>
        </is>
      </c>
      <c r="J1035" s="11" t="inlineStr">
        <is>
          <t>Sin marco</t>
        </is>
      </c>
      <c r="K1035" s="11" t="inlineStr">
        <is>
          <t>N/A</t>
        </is>
      </c>
      <c r="L1035" s="11" t="inlineStr"/>
      <c r="M1035" s="11">
        <f>IF(K1035="FUERA","Fuera del marco",IF(K1035="N/A","Sin marco",IFERROR(INDEX('Datos - Catálogo TIMSS'!$C$5:$C$107,MATCH(K1035,'Datos - Catálogo TIMSS'!$A$5:$A$107,0)),"Pendiente de clasificar")))</f>
        <v/>
      </c>
      <c r="N1035" s="11">
        <f>IF(K1035="FUERA","Fuera del marco",IF(K1035="N/A","Sin marco",IFERROR(INDEX('Datos - Catálogo TIMSS'!$F$5:$F$107,MATCH(K1035,'Datos - Catálogo TIMSS'!$A$5:$A$107,0)),"Pendiente de clasificar")))</f>
        <v/>
      </c>
      <c r="O1035" s="11">
        <f>IF(L1035="","",IFERROR(INDEX('Datos - Catálogo TIMSS'!$C$5:$C$107,MATCH(L1035,'Datos - Catálogo TIMSS'!$A$5:$A$107,0)),"?"))</f>
        <v/>
      </c>
      <c r="P1035" s="11" t="inlineStr">
        <is>
          <t>N/A</t>
        </is>
      </c>
      <c r="Q1035" s="38" t="inlineStr">
        <is>
          <t>Sin marco TIMSS de contenido para esta asignatura en Bachillerato</t>
        </is>
      </c>
      <c r="R1035" s="38" t="inlineStr">
        <is>
          <t>Aplicar: nombrar y formular compuestos carbonílicos. Razonar: detectar errores</t>
        </is>
      </c>
      <c r="S1035" s="39">
        <f>IFERROR(ISNUMBER(SEARCH("Conocer",$R1035))/(ISNUMBER(SEARCH("Conocer",$R1035))+ISNUMBER(SEARCH("Aplicar",$R1035))+ISNUMBER(SEARCH("Razonar",$R1035))),0)</f>
        <v/>
      </c>
      <c r="T1035" s="39">
        <f>IFERROR(ISNUMBER(SEARCH("Aplicar",$R1035))/(ISNUMBER(SEARCH("Conocer",$R1035))+ISNUMBER(SEARCH("Aplicar",$R1035))+ISNUMBER(SEARCH("Razonar",$R1035))),0)</f>
        <v/>
      </c>
      <c r="U1035" s="39">
        <f>IFERROR(ISNUMBER(SEARCH("Razonar",$R1035))/(ISNUMBER(SEARCH("Conocer",$R1035))+ISNUMBER(SEARCH("Aplicar",$R1035))+ISNUMBER(SEARCH("Razonar",$R1035))),0)</f>
        <v/>
      </c>
      <c r="V1035" s="11" t="inlineStr">
        <is>
          <t>Química 11°</t>
        </is>
      </c>
      <c r="W1035" s="11" t="inlineStr">
        <is>
          <t>Química 10°–11°</t>
        </is>
      </c>
      <c r="X1035" s="11">
        <f>IF(OR(IFERROR(INDEX('Datos - Catálogo TIMSS'!$I$5:$I$107,MATCH(K1035,'Datos - Catálogo TIMSS'!$A$5:$A$107,0)),"No")="Sí",IFERROR(INDEX('Datos - Catálogo TIMSS'!$I$5:$I$107,MATCH(L1035,'Datos - Catálogo TIMSS'!$A$5:$A$107,0)),"No")="Sí"),1,0)</f>
        <v/>
      </c>
      <c r="Y1035" s="11">
        <f>IF(IFERROR(INDEX('Datos - Catálogo TIMSS'!$J$5:$J$107,MATCH(K1035,'Datos - Catálogo TIMSS'!$A$5:$A$107,0)),"No")="Sí",1,0)</f>
        <v/>
      </c>
      <c r="Z1035" s="11">
        <f>IF(IFERROR(INDEX('Datos - Catálogo TIMSS'!$J$5:$J$107,MATCH(L1035,'Datos - Catálogo TIMSS'!$A$5:$A$107,0)),"No")="Sí",1,0)</f>
        <v/>
      </c>
      <c r="AA1035" s="11" t="inlineStr">
        <is>
          <t>N/A</t>
        </is>
      </c>
      <c r="AB1035" s="11" t="inlineStr"/>
      <c r="AC1035" s="11">
        <f>IF(AA1035="FUERA","Fuera del marco",IF(AA1035="N/A","Sin marco",IFERROR(INDEX('Datos - TIMSS 2023'!$C$5:$C$105,MATCH(AA1035,'Datos - TIMSS 2023'!$A$5:$A$105,0)),"Pendiente de clasificar")))</f>
        <v/>
      </c>
      <c r="AD1035" s="11" t="inlineStr">
        <is>
          <t>1. Explicar fenómenos científicamente</t>
        </is>
      </c>
      <c r="AE1035" s="11">
        <f>IF(AD1035="","",IF(LEFT(AD1035,1)="1","C1",IF(LEFT(AD1035,1)="2","C2",IF(LEFT(AD1035,1)="3","C3",""))))</f>
        <v/>
      </c>
      <c r="AF1035" s="11" t="inlineStr">
        <is>
          <t>E1</t>
        </is>
      </c>
      <c r="AG1035" s="11" t="inlineStr">
        <is>
          <t>E3</t>
        </is>
      </c>
      <c r="AH1035" s="11" t="inlineStr">
        <is>
          <t>E2</t>
        </is>
      </c>
      <c r="AI1035" s="11" t="inlineStr">
        <is>
          <t>E4</t>
        </is>
      </c>
      <c r="AJ1035" s="11" t="inlineStr">
        <is>
          <t>I4</t>
        </is>
      </c>
      <c r="AK1035" s="11" t="n"/>
      <c r="AL1035" s="11" t="n"/>
      <c r="AM1035" s="11" t="n"/>
      <c r="AN1035" s="11" t="n"/>
      <c r="AO1035" s="11" t="n"/>
      <c r="AP1035" s="11" t="n"/>
      <c r="AQ1035" s="11" t="n"/>
      <c r="AR1035" s="11" t="n"/>
      <c r="AS1035" s="11" t="n"/>
      <c r="AT1035" s="11" t="n"/>
      <c r="AU1035" s="11" t="n"/>
      <c r="AV1035" s="11" t="n"/>
      <c r="AW1035" s="11">
        <f>AF1035&amp;"; "&amp;AG1035&amp;"; "&amp;AH1035&amp;"; "&amp;AI1035&amp;"; "&amp;AJ1035</f>
        <v/>
      </c>
    </row>
    <row r="1036">
      <c r="A1036" s="11" t="inlineStr">
        <is>
          <t>T0572-G11-QUÍ</t>
        </is>
      </c>
      <c r="B1036" s="11" t="n">
        <v>11</v>
      </c>
      <c r="C1036" s="11" t="inlineStr">
        <is>
          <t>Química</t>
        </is>
      </c>
      <c r="D1036" s="11" t="inlineStr">
        <is>
          <t>Matriz_Bachillerato_Quimica_10_11.xlsx</t>
        </is>
      </c>
      <c r="E1036" s="11" t="inlineStr">
        <is>
          <t>Química 11.°</t>
        </is>
      </c>
      <c r="F1036" s="11" t="n">
        <v>33</v>
      </c>
      <c r="G1036" s="11" t="inlineStr">
        <is>
          <t>3. Compuestos orgánicos</t>
        </is>
      </c>
      <c r="H1036" s="11" t="inlineStr">
        <is>
          <t>Otros compuestos orgánicos</t>
        </is>
      </c>
      <c r="I1036" s="38" t="inlineStr">
        <is>
          <t>3.10. Reconocimiento de las funciones tioles, tioéteres, aminas, haluros de alquilo y arilo.</t>
        </is>
      </c>
      <c r="J1036" s="11" t="inlineStr">
        <is>
          <t>Sin marco</t>
        </is>
      </c>
      <c r="K1036" s="11" t="inlineStr">
        <is>
          <t>N/A</t>
        </is>
      </c>
      <c r="L1036" s="11" t="inlineStr"/>
      <c r="M1036" s="11">
        <f>IF(K1036="FUERA","Fuera del marco",IF(K1036="N/A","Sin marco",IFERROR(INDEX('Datos - Catálogo TIMSS'!$C$5:$C$107,MATCH(K1036,'Datos - Catálogo TIMSS'!$A$5:$A$107,0)),"Pendiente de clasificar")))</f>
        <v/>
      </c>
      <c r="N1036" s="11">
        <f>IF(K1036="FUERA","Fuera del marco",IF(K1036="N/A","Sin marco",IFERROR(INDEX('Datos - Catálogo TIMSS'!$F$5:$F$107,MATCH(K1036,'Datos - Catálogo TIMSS'!$A$5:$A$107,0)),"Pendiente de clasificar")))</f>
        <v/>
      </c>
      <c r="O1036" s="11">
        <f>IF(L1036="","",IFERROR(INDEX('Datos - Catálogo TIMSS'!$C$5:$C$107,MATCH(L1036,'Datos - Catálogo TIMSS'!$A$5:$A$107,0)),"?"))</f>
        <v/>
      </c>
      <c r="P1036" s="11" t="inlineStr">
        <is>
          <t>N/A</t>
        </is>
      </c>
      <c r="Q1036" s="38" t="inlineStr">
        <is>
          <t>Sin marco TIMSS de contenido para esta asignatura en Bachillerato</t>
        </is>
      </c>
      <c r="R1036" s="38" t="inlineStr">
        <is>
          <t>Conocer: identificar grupos funcionales. Razonar: relacionar estructura y uso</t>
        </is>
      </c>
      <c r="S1036" s="39">
        <f>IFERROR(ISNUMBER(SEARCH("Conocer",$R1036))/(ISNUMBER(SEARCH("Conocer",$R1036))+ISNUMBER(SEARCH("Aplicar",$R1036))+ISNUMBER(SEARCH("Razonar",$R1036))),0)</f>
        <v/>
      </c>
      <c r="T1036" s="39">
        <f>IFERROR(ISNUMBER(SEARCH("Aplicar",$R1036))/(ISNUMBER(SEARCH("Conocer",$R1036))+ISNUMBER(SEARCH("Aplicar",$R1036))+ISNUMBER(SEARCH("Razonar",$R1036))),0)</f>
        <v/>
      </c>
      <c r="U1036" s="39">
        <f>IFERROR(ISNUMBER(SEARCH("Razonar",$R1036))/(ISNUMBER(SEARCH("Conocer",$R1036))+ISNUMBER(SEARCH("Aplicar",$R1036))+ISNUMBER(SEARCH("Razonar",$R1036))),0)</f>
        <v/>
      </c>
      <c r="V1036" s="11" t="inlineStr">
        <is>
          <t>Química 11°</t>
        </is>
      </c>
      <c r="W1036" s="11" t="inlineStr">
        <is>
          <t>Química 10°–11°</t>
        </is>
      </c>
      <c r="X1036" s="11">
        <f>IF(OR(IFERROR(INDEX('Datos - Catálogo TIMSS'!$I$5:$I$107,MATCH(K1036,'Datos - Catálogo TIMSS'!$A$5:$A$107,0)),"No")="Sí",IFERROR(INDEX('Datos - Catálogo TIMSS'!$I$5:$I$107,MATCH(L1036,'Datos - Catálogo TIMSS'!$A$5:$A$107,0)),"No")="Sí"),1,0)</f>
        <v/>
      </c>
      <c r="Y1036" s="11">
        <f>IF(IFERROR(INDEX('Datos - Catálogo TIMSS'!$J$5:$J$107,MATCH(K1036,'Datos - Catálogo TIMSS'!$A$5:$A$107,0)),"No")="Sí",1,0)</f>
        <v/>
      </c>
      <c r="Z1036" s="11">
        <f>IF(IFERROR(INDEX('Datos - Catálogo TIMSS'!$J$5:$J$107,MATCH(L1036,'Datos - Catálogo TIMSS'!$A$5:$A$107,0)),"No")="Sí",1,0)</f>
        <v/>
      </c>
      <c r="AA1036" s="11" t="inlineStr">
        <is>
          <t>N/A</t>
        </is>
      </c>
      <c r="AB1036" s="11" t="inlineStr"/>
      <c r="AC1036" s="11">
        <f>IF(AA1036="FUERA","Fuera del marco",IF(AA1036="N/A","Sin marco",IFERROR(INDEX('Datos - TIMSS 2023'!$C$5:$C$105,MATCH(AA1036,'Datos - TIMSS 2023'!$A$5:$A$105,0)),"Pendiente de clasificar")))</f>
        <v/>
      </c>
      <c r="AD1036" s="11" t="inlineStr">
        <is>
          <t>3. Investigar, evaluar y usar información científica para tomar decisiones y actuar</t>
        </is>
      </c>
      <c r="AE1036" s="11">
        <f>IF(AD1036="","",IF(LEFT(AD1036,1)="1","C1",IF(LEFT(AD1036,1)="2","C2",IF(LEFT(AD1036,1)="3","C3",""))))</f>
        <v/>
      </c>
      <c r="AF1036" s="11" t="inlineStr">
        <is>
          <t>E6</t>
        </is>
      </c>
      <c r="AG1036" s="11" t="inlineStr">
        <is>
          <t>D1</t>
        </is>
      </c>
      <c r="AH1036" s="11" t="inlineStr">
        <is>
          <t>E1</t>
        </is>
      </c>
      <c r="AI1036" s="11" t="inlineStr">
        <is>
          <t>I1</t>
        </is>
      </c>
      <c r="AJ1036" s="11" t="inlineStr">
        <is>
          <t>I5</t>
        </is>
      </c>
      <c r="AK1036" s="11" t="n"/>
      <c r="AL1036" s="11" t="n"/>
      <c r="AM1036" s="11" t="n"/>
      <c r="AN1036" s="11" t="n"/>
      <c r="AO1036" s="11" t="n"/>
      <c r="AP1036" s="11" t="n"/>
      <c r="AQ1036" s="11" t="n"/>
      <c r="AR1036" s="11" t="n"/>
      <c r="AS1036" s="11" t="n"/>
      <c r="AT1036" s="11" t="n"/>
      <c r="AU1036" s="11" t="n"/>
      <c r="AV1036" s="11" t="n"/>
      <c r="AW1036" s="11">
        <f>AF1036&amp;"; "&amp;AG1036&amp;"; "&amp;AH1036&amp;"; "&amp;AI1036&amp;"; "&amp;AJ1036</f>
        <v/>
      </c>
    </row>
    <row r="1037">
      <c r="A1037" s="11" t="inlineStr">
        <is>
          <t>T0573-G11-QUÍ</t>
        </is>
      </c>
      <c r="B1037" s="11" t="n">
        <v>11</v>
      </c>
      <c r="C1037" s="11" t="inlineStr">
        <is>
          <t>Química</t>
        </is>
      </c>
      <c r="D1037" s="11" t="inlineStr">
        <is>
          <t>Matriz_Bachillerato_Quimica_10_11.xlsx</t>
        </is>
      </c>
      <c r="E1037" s="11" t="inlineStr">
        <is>
          <t>Química 11.°</t>
        </is>
      </c>
      <c r="F1037" s="11" t="n">
        <v>34</v>
      </c>
      <c r="G1037" s="11" t="inlineStr">
        <is>
          <t>3. Compuestos orgánicos</t>
        </is>
      </c>
      <c r="H1037" s="11" t="inlineStr">
        <is>
          <t>Otros compuestos orgánicos</t>
        </is>
      </c>
      <c r="I1037" s="38" t="inlineStr">
        <is>
          <t>3.11. Exploración de las propiedades físicas y químicas de los tioles, tioéteres, aminas, haluros de alquilo y arilo.</t>
        </is>
      </c>
      <c r="J1037" s="11" t="inlineStr">
        <is>
          <t>Sin marco</t>
        </is>
      </c>
      <c r="K1037" s="11" t="inlineStr">
        <is>
          <t>N/A</t>
        </is>
      </c>
      <c r="L1037" s="11" t="inlineStr"/>
      <c r="M1037" s="11">
        <f>IF(K1037="FUERA","Fuera del marco",IF(K1037="N/A","Sin marco",IFERROR(INDEX('Datos - Catálogo TIMSS'!$C$5:$C$107,MATCH(K1037,'Datos - Catálogo TIMSS'!$A$5:$A$107,0)),"Pendiente de clasificar")))</f>
        <v/>
      </c>
      <c r="N1037" s="11">
        <f>IF(K1037="FUERA","Fuera del marco",IF(K1037="N/A","Sin marco",IFERROR(INDEX('Datos - Catálogo TIMSS'!$F$5:$F$107,MATCH(K1037,'Datos - Catálogo TIMSS'!$A$5:$A$107,0)),"Pendiente de clasificar")))</f>
        <v/>
      </c>
      <c r="O1037" s="11">
        <f>IF(L1037="","",IFERROR(INDEX('Datos - Catálogo TIMSS'!$C$5:$C$107,MATCH(L1037,'Datos - Catálogo TIMSS'!$A$5:$A$107,0)),"?"))</f>
        <v/>
      </c>
      <c r="P1037" s="11" t="inlineStr">
        <is>
          <t>N/A</t>
        </is>
      </c>
      <c r="Q1037" s="38" t="inlineStr">
        <is>
          <t>Sin marco TIMSS de contenido para esta asignatura en Bachillerato</t>
        </is>
      </c>
      <c r="R1037" s="38" t="inlineStr">
        <is>
          <t>Aplicar: comparar propiedades con datos. Razonar: argumentar implicaciones ambientales</t>
        </is>
      </c>
      <c r="S1037" s="39">
        <f>IFERROR(ISNUMBER(SEARCH("Conocer",$R1037))/(ISNUMBER(SEARCH("Conocer",$R1037))+ISNUMBER(SEARCH("Aplicar",$R1037))+ISNUMBER(SEARCH("Razonar",$R1037))),0)</f>
        <v/>
      </c>
      <c r="T1037" s="39">
        <f>IFERROR(ISNUMBER(SEARCH("Aplicar",$R1037))/(ISNUMBER(SEARCH("Conocer",$R1037))+ISNUMBER(SEARCH("Aplicar",$R1037))+ISNUMBER(SEARCH("Razonar",$R1037))),0)</f>
        <v/>
      </c>
      <c r="U1037" s="39">
        <f>IFERROR(ISNUMBER(SEARCH("Razonar",$R1037))/(ISNUMBER(SEARCH("Conocer",$R1037))+ISNUMBER(SEARCH("Aplicar",$R1037))+ISNUMBER(SEARCH("Razonar",$R1037))),0)</f>
        <v/>
      </c>
      <c r="V1037" s="11" t="inlineStr">
        <is>
          <t>Química 11°</t>
        </is>
      </c>
      <c r="W1037" s="11" t="inlineStr">
        <is>
          <t>Química 10°–11°</t>
        </is>
      </c>
      <c r="X1037" s="11">
        <f>IF(OR(IFERROR(INDEX('Datos - Catálogo TIMSS'!$I$5:$I$107,MATCH(K1037,'Datos - Catálogo TIMSS'!$A$5:$A$107,0)),"No")="Sí",IFERROR(INDEX('Datos - Catálogo TIMSS'!$I$5:$I$107,MATCH(L1037,'Datos - Catálogo TIMSS'!$A$5:$A$107,0)),"No")="Sí"),1,0)</f>
        <v/>
      </c>
      <c r="Y1037" s="11">
        <f>IF(IFERROR(INDEX('Datos - Catálogo TIMSS'!$J$5:$J$107,MATCH(K1037,'Datos - Catálogo TIMSS'!$A$5:$A$107,0)),"No")="Sí",1,0)</f>
        <v/>
      </c>
      <c r="Z1037" s="11">
        <f>IF(IFERROR(INDEX('Datos - Catálogo TIMSS'!$J$5:$J$107,MATCH(L1037,'Datos - Catálogo TIMSS'!$A$5:$A$107,0)),"No")="Sí",1,0)</f>
        <v/>
      </c>
      <c r="AA1037" s="11" t="inlineStr">
        <is>
          <t>N/A</t>
        </is>
      </c>
      <c r="AB1037" s="11" t="inlineStr"/>
      <c r="AC1037" s="11">
        <f>IF(AA1037="FUERA","Fuera del marco",IF(AA1037="N/A","Sin marco",IFERROR(INDEX('Datos - TIMSS 2023'!$C$5:$C$105,MATCH(AA1037,'Datos - TIMSS 2023'!$A$5:$A$105,0)),"Pendiente de clasificar")))</f>
        <v/>
      </c>
      <c r="AD1037" s="11" t="inlineStr">
        <is>
          <t>3. Investigar, evaluar y usar información científica para tomar decisiones y actuar</t>
        </is>
      </c>
      <c r="AE1037" s="11">
        <f>IF(AD1037="","",IF(LEFT(AD1037,1)="1","C1",IF(LEFT(AD1037,1)="2","C2",IF(LEFT(AD1037,1)="3","C3",""))))</f>
        <v/>
      </c>
      <c r="AF1037" s="11" t="inlineStr">
        <is>
          <t>E6</t>
        </is>
      </c>
      <c r="AG1037" s="11" t="inlineStr">
        <is>
          <t>E5</t>
        </is>
      </c>
      <c r="AH1037" s="11" t="inlineStr">
        <is>
          <t>E4</t>
        </is>
      </c>
      <c r="AI1037" s="11" t="inlineStr">
        <is>
          <t>I3</t>
        </is>
      </c>
      <c r="AJ1037" s="11" t="inlineStr">
        <is>
          <t>E6</t>
        </is>
      </c>
      <c r="AK1037" s="11" t="n"/>
      <c r="AL1037" s="11" t="n"/>
      <c r="AM1037" s="11" t="n"/>
      <c r="AN1037" s="11" t="n"/>
      <c r="AO1037" s="11" t="n"/>
      <c r="AP1037" s="11" t="n"/>
      <c r="AQ1037" s="11" t="n"/>
      <c r="AR1037" s="11" t="n"/>
      <c r="AS1037" s="11" t="n"/>
      <c r="AT1037" s="11" t="n"/>
      <c r="AU1037" s="11" t="n"/>
      <c r="AV1037" s="11" t="n"/>
      <c r="AW1037" s="11">
        <f>AF1037&amp;"; "&amp;AG1037&amp;"; "&amp;AH1037&amp;"; "&amp;AI1037&amp;"; "&amp;AJ1037</f>
        <v/>
      </c>
    </row>
    <row r="1038">
      <c r="A1038" s="11" t="inlineStr">
        <is>
          <t>T0574-G11-QUÍ</t>
        </is>
      </c>
      <c r="B1038" s="11" t="n">
        <v>11</v>
      </c>
      <c r="C1038" s="11" t="inlineStr">
        <is>
          <t>Química</t>
        </is>
      </c>
      <c r="D1038" s="11" t="inlineStr">
        <is>
          <t>Matriz_Bachillerato_Quimica_10_11.xlsx</t>
        </is>
      </c>
      <c r="E1038" s="11" t="inlineStr">
        <is>
          <t>Química 11.°</t>
        </is>
      </c>
      <c r="F1038" s="11" t="n">
        <v>35</v>
      </c>
      <c r="G1038" s="11" t="inlineStr">
        <is>
          <t>3. Compuestos orgánicos</t>
        </is>
      </c>
      <c r="H1038" s="11" t="inlineStr">
        <is>
          <t>Otros compuestos orgánicos</t>
        </is>
      </c>
      <c r="I1038" s="38" t="inlineStr">
        <is>
          <t>3.12. Explicación de la nomenclatura IUPAC para nombrar tioles, tioéteres, aminas, haluros de alquilo y arilo.</t>
        </is>
      </c>
      <c r="J1038" s="11" t="inlineStr">
        <is>
          <t>Sin marco</t>
        </is>
      </c>
      <c r="K1038" s="11" t="inlineStr">
        <is>
          <t>N/A</t>
        </is>
      </c>
      <c r="L1038" s="11" t="inlineStr"/>
      <c r="M1038" s="11">
        <f>IF(K1038="FUERA","Fuera del marco",IF(K1038="N/A","Sin marco",IFERROR(INDEX('Datos - Catálogo TIMSS'!$C$5:$C$107,MATCH(K1038,'Datos - Catálogo TIMSS'!$A$5:$A$107,0)),"Pendiente de clasificar")))</f>
        <v/>
      </c>
      <c r="N1038" s="11">
        <f>IF(K1038="FUERA","Fuera del marco",IF(K1038="N/A","Sin marco",IFERROR(INDEX('Datos - Catálogo TIMSS'!$F$5:$F$107,MATCH(K1038,'Datos - Catálogo TIMSS'!$A$5:$A$107,0)),"Pendiente de clasificar")))</f>
        <v/>
      </c>
      <c r="O1038" s="11">
        <f>IF(L1038="","",IFERROR(INDEX('Datos - Catálogo TIMSS'!$C$5:$C$107,MATCH(L1038,'Datos - Catálogo TIMSS'!$A$5:$A$107,0)),"?"))</f>
        <v/>
      </c>
      <c r="P1038" s="11" t="inlineStr">
        <is>
          <t>N/A</t>
        </is>
      </c>
      <c r="Q1038" s="38" t="inlineStr">
        <is>
          <t>Sin marco TIMSS de contenido para esta asignatura en Bachillerato</t>
        </is>
      </c>
      <c r="R1038" s="38" t="inlineStr">
        <is>
          <t>Aplicar: nombrar y formular. Razonar: aplicar la prioridad de grupos funcionales</t>
        </is>
      </c>
      <c r="S1038" s="39">
        <f>IFERROR(ISNUMBER(SEARCH("Conocer",$R1038))/(ISNUMBER(SEARCH("Conocer",$R1038))+ISNUMBER(SEARCH("Aplicar",$R1038))+ISNUMBER(SEARCH("Razonar",$R1038))),0)</f>
        <v/>
      </c>
      <c r="T1038" s="39">
        <f>IFERROR(ISNUMBER(SEARCH("Aplicar",$R1038))/(ISNUMBER(SEARCH("Conocer",$R1038))+ISNUMBER(SEARCH("Aplicar",$R1038))+ISNUMBER(SEARCH("Razonar",$R1038))),0)</f>
        <v/>
      </c>
      <c r="U1038" s="39">
        <f>IFERROR(ISNUMBER(SEARCH("Razonar",$R1038))/(ISNUMBER(SEARCH("Conocer",$R1038))+ISNUMBER(SEARCH("Aplicar",$R1038))+ISNUMBER(SEARCH("Razonar",$R1038))),0)</f>
        <v/>
      </c>
      <c r="V1038" s="11" t="inlineStr">
        <is>
          <t>Química 11°</t>
        </is>
      </c>
      <c r="W1038" s="11" t="inlineStr">
        <is>
          <t>Química 10°–11°</t>
        </is>
      </c>
      <c r="X1038" s="11">
        <f>IF(OR(IFERROR(INDEX('Datos - Catálogo TIMSS'!$I$5:$I$107,MATCH(K1038,'Datos - Catálogo TIMSS'!$A$5:$A$107,0)),"No")="Sí",IFERROR(INDEX('Datos - Catálogo TIMSS'!$I$5:$I$107,MATCH(L1038,'Datos - Catálogo TIMSS'!$A$5:$A$107,0)),"No")="Sí"),1,0)</f>
        <v/>
      </c>
      <c r="Y1038" s="11">
        <f>IF(IFERROR(INDEX('Datos - Catálogo TIMSS'!$J$5:$J$107,MATCH(K1038,'Datos - Catálogo TIMSS'!$A$5:$A$107,0)),"No")="Sí",1,0)</f>
        <v/>
      </c>
      <c r="Z1038" s="11">
        <f>IF(IFERROR(INDEX('Datos - Catálogo TIMSS'!$J$5:$J$107,MATCH(L1038,'Datos - Catálogo TIMSS'!$A$5:$A$107,0)),"No")="Sí",1,0)</f>
        <v/>
      </c>
      <c r="AA1038" s="11" t="inlineStr">
        <is>
          <t>N/A</t>
        </is>
      </c>
      <c r="AB1038" s="11" t="inlineStr"/>
      <c r="AC1038" s="11">
        <f>IF(AA1038="FUERA","Fuera del marco",IF(AA1038="N/A","Sin marco",IFERROR(INDEX('Datos - TIMSS 2023'!$C$5:$C$105,MATCH(AA1038,'Datos - TIMSS 2023'!$A$5:$A$105,0)),"Pendiente de clasificar")))</f>
        <v/>
      </c>
      <c r="AD1038" s="11" t="inlineStr">
        <is>
          <t>1. Explicar fenómenos científicamente</t>
        </is>
      </c>
      <c r="AE1038" s="11">
        <f>IF(AD1038="","",IF(LEFT(AD1038,1)="1","C1",IF(LEFT(AD1038,1)="2","C2",IF(LEFT(AD1038,1)="3","C3",""))))</f>
        <v/>
      </c>
      <c r="AF1038" s="11" t="inlineStr">
        <is>
          <t>E1</t>
        </is>
      </c>
      <c r="AG1038" s="11" t="inlineStr">
        <is>
          <t>E3</t>
        </is>
      </c>
      <c r="AH1038" s="11" t="inlineStr">
        <is>
          <t>E2</t>
        </is>
      </c>
      <c r="AI1038" s="11" t="inlineStr">
        <is>
          <t>E4</t>
        </is>
      </c>
      <c r="AJ1038" s="11" t="inlineStr">
        <is>
          <t>E3</t>
        </is>
      </c>
      <c r="AK1038" s="11" t="n"/>
      <c r="AL1038" s="11" t="n"/>
      <c r="AM1038" s="11" t="n"/>
      <c r="AN1038" s="11" t="n"/>
      <c r="AO1038" s="11" t="n"/>
      <c r="AP1038" s="11" t="n"/>
      <c r="AQ1038" s="11" t="n"/>
      <c r="AR1038" s="11" t="n"/>
      <c r="AS1038" s="11" t="n"/>
      <c r="AT1038" s="11" t="n"/>
      <c r="AU1038" s="11" t="n"/>
      <c r="AV1038" s="11" t="n"/>
      <c r="AW1038" s="11">
        <f>AF1038&amp;"; "&amp;AG1038&amp;"; "&amp;AH1038&amp;"; "&amp;AI1038&amp;"; "&amp;AJ1038</f>
        <v/>
      </c>
    </row>
    <row r="1039">
      <c r="A1039" s="11" t="inlineStr">
        <is>
          <t>T0575-G11-QUÍ</t>
        </is>
      </c>
      <c r="B1039" s="11" t="n">
        <v>11</v>
      </c>
      <c r="C1039" s="11" t="inlineStr">
        <is>
          <t>Química</t>
        </is>
      </c>
      <c r="D1039" s="11" t="inlineStr">
        <is>
          <t>Matriz_Bachillerato_Quimica_10_11.xlsx</t>
        </is>
      </c>
      <c r="E1039" s="11" t="inlineStr">
        <is>
          <t>Química 11.°</t>
        </is>
      </c>
      <c r="F1039" s="11" t="n">
        <v>36</v>
      </c>
      <c r="G1039" s="11" t="inlineStr">
        <is>
          <t>3. Compuestos orgánicos</t>
        </is>
      </c>
      <c r="H1039" s="11" t="inlineStr">
        <is>
          <t>Estereoquímica</t>
        </is>
      </c>
      <c r="I1039" s="38" t="inlineStr">
        <is>
          <t>3.13. Interpretación de la quiralidad del átomo de carbono.</t>
        </is>
      </c>
      <c r="J1039" s="11" t="inlineStr">
        <is>
          <t>Sin marco</t>
        </is>
      </c>
      <c r="K1039" s="11" t="inlineStr">
        <is>
          <t>N/A</t>
        </is>
      </c>
      <c r="L1039" s="11" t="inlineStr"/>
      <c r="M1039" s="11">
        <f>IF(K1039="FUERA","Fuera del marco",IF(K1039="N/A","Sin marco",IFERROR(INDEX('Datos - Catálogo TIMSS'!$C$5:$C$107,MATCH(K1039,'Datos - Catálogo TIMSS'!$A$5:$A$107,0)),"Pendiente de clasificar")))</f>
        <v/>
      </c>
      <c r="N1039" s="11">
        <f>IF(K1039="FUERA","Fuera del marco",IF(K1039="N/A","Sin marco",IFERROR(INDEX('Datos - Catálogo TIMSS'!$F$5:$F$107,MATCH(K1039,'Datos - Catálogo TIMSS'!$A$5:$A$107,0)),"Pendiente de clasificar")))</f>
        <v/>
      </c>
      <c r="O1039" s="11">
        <f>IF(L1039="","",IFERROR(INDEX('Datos - Catálogo TIMSS'!$C$5:$C$107,MATCH(L1039,'Datos - Catálogo TIMSS'!$A$5:$A$107,0)),"?"))</f>
        <v/>
      </c>
      <c r="P1039" s="11" t="inlineStr">
        <is>
          <t>N/A</t>
        </is>
      </c>
      <c r="Q1039" s="38" t="inlineStr">
        <is>
          <t>Sin marco TIMSS de contenido para esta asignatura en Bachillerato</t>
        </is>
      </c>
      <c r="R1039" s="38" t="inlineStr">
        <is>
          <t>Conocer: definir quiralidad. Razonar: identificar carbonos quirales</t>
        </is>
      </c>
      <c r="S1039" s="39">
        <f>IFERROR(ISNUMBER(SEARCH("Conocer",$R1039))/(ISNUMBER(SEARCH("Conocer",$R1039))+ISNUMBER(SEARCH("Aplicar",$R1039))+ISNUMBER(SEARCH("Razonar",$R1039))),0)</f>
        <v/>
      </c>
      <c r="T1039" s="39">
        <f>IFERROR(ISNUMBER(SEARCH("Aplicar",$R1039))/(ISNUMBER(SEARCH("Conocer",$R1039))+ISNUMBER(SEARCH("Aplicar",$R1039))+ISNUMBER(SEARCH("Razonar",$R1039))),0)</f>
        <v/>
      </c>
      <c r="U1039" s="39">
        <f>IFERROR(ISNUMBER(SEARCH("Razonar",$R1039))/(ISNUMBER(SEARCH("Conocer",$R1039))+ISNUMBER(SEARCH("Aplicar",$R1039))+ISNUMBER(SEARCH("Razonar",$R1039))),0)</f>
        <v/>
      </c>
      <c r="V1039" s="11" t="inlineStr">
        <is>
          <t>Química 11°</t>
        </is>
      </c>
      <c r="W1039" s="11" t="inlineStr">
        <is>
          <t>Química 10°–11°</t>
        </is>
      </c>
      <c r="X1039" s="11">
        <f>IF(OR(IFERROR(INDEX('Datos - Catálogo TIMSS'!$I$5:$I$107,MATCH(K1039,'Datos - Catálogo TIMSS'!$A$5:$A$107,0)),"No")="Sí",IFERROR(INDEX('Datos - Catálogo TIMSS'!$I$5:$I$107,MATCH(L1039,'Datos - Catálogo TIMSS'!$A$5:$A$107,0)),"No")="Sí"),1,0)</f>
        <v/>
      </c>
      <c r="Y1039" s="11">
        <f>IF(IFERROR(INDEX('Datos - Catálogo TIMSS'!$J$5:$J$107,MATCH(K1039,'Datos - Catálogo TIMSS'!$A$5:$A$107,0)),"No")="Sí",1,0)</f>
        <v/>
      </c>
      <c r="Z1039" s="11">
        <f>IF(IFERROR(INDEX('Datos - Catálogo TIMSS'!$J$5:$J$107,MATCH(L1039,'Datos - Catálogo TIMSS'!$A$5:$A$107,0)),"No")="Sí",1,0)</f>
        <v/>
      </c>
      <c r="AA1039" s="11" t="inlineStr">
        <is>
          <t>N/A</t>
        </is>
      </c>
      <c r="AB1039" s="11" t="inlineStr"/>
      <c r="AC1039" s="11">
        <f>IF(AA1039="FUERA","Fuera del marco",IF(AA1039="N/A","Sin marco",IFERROR(INDEX('Datos - TIMSS 2023'!$C$5:$C$105,MATCH(AA1039,'Datos - TIMSS 2023'!$A$5:$A$105,0)),"Pendiente de clasificar")))</f>
        <v/>
      </c>
      <c r="AD1039" s="11" t="inlineStr">
        <is>
          <t>1. Explicar fenómenos científicamente</t>
        </is>
      </c>
      <c r="AE1039" s="11">
        <f>IF(AD1039="","",IF(LEFT(AD1039,1)="1","C1",IF(LEFT(AD1039,1)="2","C2",IF(LEFT(AD1039,1)="3","C3",""))))</f>
        <v/>
      </c>
      <c r="AF1039" s="11" t="inlineStr">
        <is>
          <t>E1</t>
        </is>
      </c>
      <c r="AG1039" s="11" t="inlineStr">
        <is>
          <t>E3</t>
        </is>
      </c>
      <c r="AH1039" s="11" t="inlineStr">
        <is>
          <t>E4</t>
        </is>
      </c>
      <c r="AI1039" s="11" t="inlineStr">
        <is>
          <t>E4</t>
        </is>
      </c>
      <c r="AJ1039" s="11" t="inlineStr">
        <is>
          <t>E6</t>
        </is>
      </c>
      <c r="AK1039" s="11" t="n"/>
      <c r="AL1039" s="11" t="n"/>
      <c r="AM1039" s="11" t="n"/>
      <c r="AN1039" s="11" t="n"/>
      <c r="AO1039" s="11" t="n"/>
      <c r="AP1039" s="11" t="n"/>
      <c r="AQ1039" s="11" t="n"/>
      <c r="AR1039" s="11" t="n"/>
      <c r="AS1039" s="11" t="n"/>
      <c r="AT1039" s="11" t="n"/>
      <c r="AU1039" s="11" t="n"/>
      <c r="AV1039" s="11" t="n"/>
      <c r="AW1039" s="11">
        <f>AF1039&amp;"; "&amp;AG1039&amp;"; "&amp;AH1039&amp;"; "&amp;AI1039&amp;"; "&amp;AJ1039</f>
        <v/>
      </c>
    </row>
    <row r="1040">
      <c r="A1040" s="11" t="inlineStr">
        <is>
          <t>T0576-G11-QUÍ</t>
        </is>
      </c>
      <c r="B1040" s="11" t="n">
        <v>11</v>
      </c>
      <c r="C1040" s="11" t="inlineStr">
        <is>
          <t>Química</t>
        </is>
      </c>
      <c r="D1040" s="11" t="inlineStr">
        <is>
          <t>Matriz_Bachillerato_Quimica_10_11.xlsx</t>
        </is>
      </c>
      <c r="E1040" s="11" t="inlineStr">
        <is>
          <t>Química 11.°</t>
        </is>
      </c>
      <c r="F1040" s="11" t="n">
        <v>37</v>
      </c>
      <c r="G1040" s="11" t="inlineStr">
        <is>
          <t>3. Compuestos orgánicos</t>
        </is>
      </c>
      <c r="H1040" s="11" t="inlineStr">
        <is>
          <t>Estereoquímica</t>
        </is>
      </c>
      <c r="I1040" s="38" t="inlineStr">
        <is>
          <t>3.14. Caracterización de isómeros constitucionales y estereoisómeros.</t>
        </is>
      </c>
      <c r="J1040" s="11" t="inlineStr">
        <is>
          <t>Sin marco</t>
        </is>
      </c>
      <c r="K1040" s="11" t="inlineStr">
        <is>
          <t>N/A</t>
        </is>
      </c>
      <c r="L1040" s="11" t="inlineStr"/>
      <c r="M1040" s="11">
        <f>IF(K1040="FUERA","Fuera del marco",IF(K1040="N/A","Sin marco",IFERROR(INDEX('Datos - Catálogo TIMSS'!$C$5:$C$107,MATCH(K1040,'Datos - Catálogo TIMSS'!$A$5:$A$107,0)),"Pendiente de clasificar")))</f>
        <v/>
      </c>
      <c r="N1040" s="11">
        <f>IF(K1040="FUERA","Fuera del marco",IF(K1040="N/A","Sin marco",IFERROR(INDEX('Datos - Catálogo TIMSS'!$F$5:$F$107,MATCH(K1040,'Datos - Catálogo TIMSS'!$A$5:$A$107,0)),"Pendiente de clasificar")))</f>
        <v/>
      </c>
      <c r="O1040" s="11">
        <f>IF(L1040="","",IFERROR(INDEX('Datos - Catálogo TIMSS'!$C$5:$C$107,MATCH(L1040,'Datos - Catálogo TIMSS'!$A$5:$A$107,0)),"?"))</f>
        <v/>
      </c>
      <c r="P1040" s="11" t="inlineStr">
        <is>
          <t>N/A</t>
        </is>
      </c>
      <c r="Q1040" s="38" t="inlineStr">
        <is>
          <t>Sin marco TIMSS de contenido para esta asignatura en Bachillerato</t>
        </is>
      </c>
      <c r="R1040" s="38" t="inlineStr">
        <is>
          <t>Aplicar: construir modelos de isómeros. Razonar: clasificar tipos de isomería</t>
        </is>
      </c>
      <c r="S1040" s="39">
        <f>IFERROR(ISNUMBER(SEARCH("Conocer",$R1040))/(ISNUMBER(SEARCH("Conocer",$R1040))+ISNUMBER(SEARCH("Aplicar",$R1040))+ISNUMBER(SEARCH("Razonar",$R1040))),0)</f>
        <v/>
      </c>
      <c r="T1040" s="39">
        <f>IFERROR(ISNUMBER(SEARCH("Aplicar",$R1040))/(ISNUMBER(SEARCH("Conocer",$R1040))+ISNUMBER(SEARCH("Aplicar",$R1040))+ISNUMBER(SEARCH("Razonar",$R1040))),0)</f>
        <v/>
      </c>
      <c r="U1040" s="39">
        <f>IFERROR(ISNUMBER(SEARCH("Razonar",$R1040))/(ISNUMBER(SEARCH("Conocer",$R1040))+ISNUMBER(SEARCH("Aplicar",$R1040))+ISNUMBER(SEARCH("Razonar",$R1040))),0)</f>
        <v/>
      </c>
      <c r="V1040" s="11" t="inlineStr">
        <is>
          <t>Química 11°</t>
        </is>
      </c>
      <c r="W1040" s="11" t="inlineStr">
        <is>
          <t>Química 10°–11°</t>
        </is>
      </c>
      <c r="X1040" s="11">
        <f>IF(OR(IFERROR(INDEX('Datos - Catálogo TIMSS'!$I$5:$I$107,MATCH(K1040,'Datos - Catálogo TIMSS'!$A$5:$A$107,0)),"No")="Sí",IFERROR(INDEX('Datos - Catálogo TIMSS'!$I$5:$I$107,MATCH(L1040,'Datos - Catálogo TIMSS'!$A$5:$A$107,0)),"No")="Sí"),1,0)</f>
        <v/>
      </c>
      <c r="Y1040" s="11">
        <f>IF(IFERROR(INDEX('Datos - Catálogo TIMSS'!$J$5:$J$107,MATCH(K1040,'Datos - Catálogo TIMSS'!$A$5:$A$107,0)),"No")="Sí",1,0)</f>
        <v/>
      </c>
      <c r="Z1040" s="11">
        <f>IF(IFERROR(INDEX('Datos - Catálogo TIMSS'!$J$5:$J$107,MATCH(L1040,'Datos - Catálogo TIMSS'!$A$5:$A$107,0)),"No")="Sí",1,0)</f>
        <v/>
      </c>
      <c r="AA1040" s="11" t="inlineStr">
        <is>
          <t>N/A</t>
        </is>
      </c>
      <c r="AB1040" s="11" t="inlineStr"/>
      <c r="AC1040" s="11">
        <f>IF(AA1040="FUERA","Fuera del marco",IF(AA1040="N/A","Sin marco",IFERROR(INDEX('Datos - TIMSS 2023'!$C$5:$C$105,MATCH(AA1040,'Datos - TIMSS 2023'!$A$5:$A$105,0)),"Pendiente de clasificar")))</f>
        <v/>
      </c>
      <c r="AD1040" s="11" t="inlineStr">
        <is>
          <t>1. Explicar fenómenos científicamente</t>
        </is>
      </c>
      <c r="AE1040" s="11">
        <f>IF(AD1040="","",IF(LEFT(AD1040,1)="1","C1",IF(LEFT(AD1040,1)="2","C2",IF(LEFT(AD1040,1)="3","C3",""))))</f>
        <v/>
      </c>
      <c r="AF1040" s="11" t="inlineStr">
        <is>
          <t>E1</t>
        </is>
      </c>
      <c r="AG1040" s="11" t="inlineStr">
        <is>
          <t>E5</t>
        </is>
      </c>
      <c r="AH1040" s="11" t="inlineStr">
        <is>
          <t>E2</t>
        </is>
      </c>
      <c r="AI1040" s="11" t="inlineStr">
        <is>
          <t>E4</t>
        </is>
      </c>
      <c r="AJ1040" s="11" t="inlineStr">
        <is>
          <t>E3</t>
        </is>
      </c>
      <c r="AK1040" s="11" t="n"/>
      <c r="AL1040" s="11" t="n"/>
      <c r="AM1040" s="11" t="n"/>
      <c r="AN1040" s="11" t="n"/>
      <c r="AO1040" s="11" t="n"/>
      <c r="AP1040" s="11" t="n"/>
      <c r="AQ1040" s="11" t="n"/>
      <c r="AR1040" s="11" t="n"/>
      <c r="AS1040" s="11" t="n"/>
      <c r="AT1040" s="11" t="n"/>
      <c r="AU1040" s="11" t="n"/>
      <c r="AV1040" s="11" t="n"/>
      <c r="AW1040" s="11">
        <f>AF1040&amp;"; "&amp;AG1040&amp;"; "&amp;AH1040&amp;"; "&amp;AI1040&amp;"; "&amp;AJ1040</f>
        <v/>
      </c>
    </row>
    <row r="1041">
      <c r="A1041" s="11" t="inlineStr">
        <is>
          <t>T0577-G11-QUÍ</t>
        </is>
      </c>
      <c r="B1041" s="11" t="n">
        <v>11</v>
      </c>
      <c r="C1041" s="11" t="inlineStr">
        <is>
          <t>Química</t>
        </is>
      </c>
      <c r="D1041" s="11" t="inlineStr">
        <is>
          <t>Matriz_Bachillerato_Quimica_10_11.xlsx</t>
        </is>
      </c>
      <c r="E1041" s="11" t="inlineStr">
        <is>
          <t>Química 11.°</t>
        </is>
      </c>
      <c r="F1041" s="11" t="n">
        <v>38</v>
      </c>
      <c r="G1041" s="11" t="inlineStr">
        <is>
          <t>4. Reacción ácido-base</t>
        </is>
      </c>
      <c r="H1041" s="11" t="inlineStr">
        <is>
          <t>Equilibrios ácido-base</t>
        </is>
      </c>
      <c r="I1041" s="38" t="inlineStr">
        <is>
          <t>4.1. Análisis de pares conjugados ácido-base y del sentido favorecido en equilibrios de transferencia de protones.</t>
        </is>
      </c>
      <c r="J1041" s="11" t="inlineStr">
        <is>
          <t>Sin marco</t>
        </is>
      </c>
      <c r="K1041" s="11" t="inlineStr">
        <is>
          <t>N/A</t>
        </is>
      </c>
      <c r="L1041" s="11" t="inlineStr"/>
      <c r="M1041" s="11">
        <f>IF(K1041="FUERA","Fuera del marco",IF(K1041="N/A","Sin marco",IFERROR(INDEX('Datos - Catálogo TIMSS'!$C$5:$C$107,MATCH(K1041,'Datos - Catálogo TIMSS'!$A$5:$A$107,0)),"Pendiente de clasificar")))</f>
        <v/>
      </c>
      <c r="N1041" s="11">
        <f>IF(K1041="FUERA","Fuera del marco",IF(K1041="N/A","Sin marco",IFERROR(INDEX('Datos - Catálogo TIMSS'!$F$5:$F$107,MATCH(K1041,'Datos - Catálogo TIMSS'!$A$5:$A$107,0)),"Pendiente de clasificar")))</f>
        <v/>
      </c>
      <c r="O1041" s="11">
        <f>IF(L1041="","",IFERROR(INDEX('Datos - Catálogo TIMSS'!$C$5:$C$107,MATCH(L1041,'Datos - Catálogo TIMSS'!$A$5:$A$107,0)),"?"))</f>
        <v/>
      </c>
      <c r="P1041" s="11" t="inlineStr">
        <is>
          <t>N/A</t>
        </is>
      </c>
      <c r="Q1041" s="38" t="inlineStr">
        <is>
          <t>Sin marco TIMSS de contenido para esta asignatura en Bachillerato</t>
        </is>
      </c>
      <c r="R1041" s="38" t="inlineStr">
        <is>
          <t>Aplicar: identificar pares conjugados. Razonar: predecir el sentido de un equilibrio</t>
        </is>
      </c>
      <c r="S1041" s="39">
        <f>IFERROR(ISNUMBER(SEARCH("Conocer",$R1041))/(ISNUMBER(SEARCH("Conocer",$R1041))+ISNUMBER(SEARCH("Aplicar",$R1041))+ISNUMBER(SEARCH("Razonar",$R1041))),0)</f>
        <v/>
      </c>
      <c r="T1041" s="39">
        <f>IFERROR(ISNUMBER(SEARCH("Aplicar",$R1041))/(ISNUMBER(SEARCH("Conocer",$R1041))+ISNUMBER(SEARCH("Aplicar",$R1041))+ISNUMBER(SEARCH("Razonar",$R1041))),0)</f>
        <v/>
      </c>
      <c r="U1041" s="39">
        <f>IFERROR(ISNUMBER(SEARCH("Razonar",$R1041))/(ISNUMBER(SEARCH("Conocer",$R1041))+ISNUMBER(SEARCH("Aplicar",$R1041))+ISNUMBER(SEARCH("Razonar",$R1041))),0)</f>
        <v/>
      </c>
      <c r="V1041" s="11" t="inlineStr">
        <is>
          <t>Química 11°</t>
        </is>
      </c>
      <c r="W1041" s="11" t="inlineStr">
        <is>
          <t>Química 10°–11°</t>
        </is>
      </c>
      <c r="X1041" s="11">
        <f>IF(OR(IFERROR(INDEX('Datos - Catálogo TIMSS'!$I$5:$I$107,MATCH(K1041,'Datos - Catálogo TIMSS'!$A$5:$A$107,0)),"No")="Sí",IFERROR(INDEX('Datos - Catálogo TIMSS'!$I$5:$I$107,MATCH(L1041,'Datos - Catálogo TIMSS'!$A$5:$A$107,0)),"No")="Sí"),1,0)</f>
        <v/>
      </c>
      <c r="Y1041" s="11">
        <f>IF(IFERROR(INDEX('Datos - Catálogo TIMSS'!$J$5:$J$107,MATCH(K1041,'Datos - Catálogo TIMSS'!$A$5:$A$107,0)),"No")="Sí",1,0)</f>
        <v/>
      </c>
      <c r="Z1041" s="11">
        <f>IF(IFERROR(INDEX('Datos - Catálogo TIMSS'!$J$5:$J$107,MATCH(L1041,'Datos - Catálogo TIMSS'!$A$5:$A$107,0)),"No")="Sí",1,0)</f>
        <v/>
      </c>
      <c r="AA1041" s="11" t="inlineStr">
        <is>
          <t>N/A</t>
        </is>
      </c>
      <c r="AB1041" s="11" t="inlineStr"/>
      <c r="AC1041" s="11">
        <f>IF(AA1041="FUERA","Fuera del marco",IF(AA1041="N/A","Sin marco",IFERROR(INDEX('Datos - TIMSS 2023'!$C$5:$C$105,MATCH(AA1041,'Datos - TIMSS 2023'!$A$5:$A$105,0)),"Pendiente de clasificar")))</f>
        <v/>
      </c>
      <c r="AD1041" s="11" t="inlineStr">
        <is>
          <t>1. Explicar fenómenos científicamente</t>
        </is>
      </c>
      <c r="AE1041" s="11">
        <f>IF(AD1041="","",IF(LEFT(AD1041,1)="1","C1",IF(LEFT(AD1041,1)="2","C2",IF(LEFT(AD1041,1)="3","C3",""))))</f>
        <v/>
      </c>
      <c r="AF1041" s="11" t="inlineStr">
        <is>
          <t>E1</t>
        </is>
      </c>
      <c r="AG1041" s="11" t="inlineStr">
        <is>
          <t>E3</t>
        </is>
      </c>
      <c r="AH1041" s="11" t="inlineStr">
        <is>
          <t>E2</t>
        </is>
      </c>
      <c r="AI1041" s="11" t="inlineStr">
        <is>
          <t>E4</t>
        </is>
      </c>
      <c r="AJ1041" s="11" t="inlineStr">
        <is>
          <t>E3</t>
        </is>
      </c>
      <c r="AK1041" s="11" t="n"/>
      <c r="AL1041" s="11" t="n"/>
      <c r="AM1041" s="11" t="n"/>
      <c r="AN1041" s="11" t="n"/>
      <c r="AO1041" s="11" t="n"/>
      <c r="AP1041" s="11" t="n"/>
      <c r="AQ1041" s="11" t="n"/>
      <c r="AR1041" s="11" t="n"/>
      <c r="AS1041" s="11" t="n"/>
      <c r="AT1041" s="11" t="n"/>
      <c r="AU1041" s="11" t="n"/>
      <c r="AV1041" s="11" t="n"/>
      <c r="AW1041" s="11">
        <f>AF1041&amp;"; "&amp;AG1041&amp;"; "&amp;AH1041&amp;"; "&amp;AI1041&amp;"; "&amp;AJ1041</f>
        <v/>
      </c>
    </row>
    <row r="1042">
      <c r="A1042" s="11" t="inlineStr">
        <is>
          <t>T0578-G11-QUÍ</t>
        </is>
      </c>
      <c r="B1042" s="11" t="n">
        <v>11</v>
      </c>
      <c r="C1042" s="11" t="inlineStr">
        <is>
          <t>Química</t>
        </is>
      </c>
      <c r="D1042" s="11" t="inlineStr">
        <is>
          <t>Matriz_Bachillerato_Quimica_10_11.xlsx</t>
        </is>
      </c>
      <c r="E1042" s="11" t="inlineStr">
        <is>
          <t>Química 11.°</t>
        </is>
      </c>
      <c r="F1042" s="11" t="n">
        <v>39</v>
      </c>
      <c r="G1042" s="11" t="inlineStr">
        <is>
          <t>4. Reacción ácido-base</t>
        </is>
      </c>
      <c r="H1042" s="11" t="inlineStr">
        <is>
          <t>Equilibrios ácido-base</t>
        </is>
      </c>
      <c r="I1042" s="38" t="inlineStr">
        <is>
          <t>4.2. Cálculo de las concentraciones de iones hidronio e hidróxido a partir del producto iónico del agua a distintas temperaturas.</t>
        </is>
      </c>
      <c r="J1042" s="11" t="inlineStr">
        <is>
          <t>Sin marco</t>
        </is>
      </c>
      <c r="K1042" s="11" t="inlineStr">
        <is>
          <t>N/A</t>
        </is>
      </c>
      <c r="L1042" s="11" t="inlineStr"/>
      <c r="M1042" s="11">
        <f>IF(K1042="FUERA","Fuera del marco",IF(K1042="N/A","Sin marco",IFERROR(INDEX('Datos - Catálogo TIMSS'!$C$5:$C$107,MATCH(K1042,'Datos - Catálogo TIMSS'!$A$5:$A$107,0)),"Pendiente de clasificar")))</f>
        <v/>
      </c>
      <c r="N1042" s="11">
        <f>IF(K1042="FUERA","Fuera del marco",IF(K1042="N/A","Sin marco",IFERROR(INDEX('Datos - Catálogo TIMSS'!$F$5:$F$107,MATCH(K1042,'Datos - Catálogo TIMSS'!$A$5:$A$107,0)),"Pendiente de clasificar")))</f>
        <v/>
      </c>
      <c r="O1042" s="11">
        <f>IF(L1042="","",IFERROR(INDEX('Datos - Catálogo TIMSS'!$C$5:$C$107,MATCH(L1042,'Datos - Catálogo TIMSS'!$A$5:$A$107,0)),"?"))</f>
        <v/>
      </c>
      <c r="P1042" s="11" t="inlineStr">
        <is>
          <t>N/A</t>
        </is>
      </c>
      <c r="Q1042" s="38" t="inlineStr">
        <is>
          <t>Sin marco TIMSS de contenido para esta asignatura en Bachillerato</t>
        </is>
      </c>
      <c r="R1042" s="38" t="inlineStr">
        <is>
          <t>Aplicar: calcular concentraciones iónicas. Razonar: interpretar el efecto de la temperatura</t>
        </is>
      </c>
      <c r="S1042" s="39">
        <f>IFERROR(ISNUMBER(SEARCH("Conocer",$R1042))/(ISNUMBER(SEARCH("Conocer",$R1042))+ISNUMBER(SEARCH("Aplicar",$R1042))+ISNUMBER(SEARCH("Razonar",$R1042))),0)</f>
        <v/>
      </c>
      <c r="T1042" s="39">
        <f>IFERROR(ISNUMBER(SEARCH("Aplicar",$R1042))/(ISNUMBER(SEARCH("Conocer",$R1042))+ISNUMBER(SEARCH("Aplicar",$R1042))+ISNUMBER(SEARCH("Razonar",$R1042))),0)</f>
        <v/>
      </c>
      <c r="U1042" s="39">
        <f>IFERROR(ISNUMBER(SEARCH("Razonar",$R1042))/(ISNUMBER(SEARCH("Conocer",$R1042))+ISNUMBER(SEARCH("Aplicar",$R1042))+ISNUMBER(SEARCH("Razonar",$R1042))),0)</f>
        <v/>
      </c>
      <c r="V1042" s="11" t="inlineStr">
        <is>
          <t>Química 11°</t>
        </is>
      </c>
      <c r="W1042" s="11" t="inlineStr">
        <is>
          <t>Química 10°–11°</t>
        </is>
      </c>
      <c r="X1042" s="11">
        <f>IF(OR(IFERROR(INDEX('Datos - Catálogo TIMSS'!$I$5:$I$107,MATCH(K1042,'Datos - Catálogo TIMSS'!$A$5:$A$107,0)),"No")="Sí",IFERROR(INDEX('Datos - Catálogo TIMSS'!$I$5:$I$107,MATCH(L1042,'Datos - Catálogo TIMSS'!$A$5:$A$107,0)),"No")="Sí"),1,0)</f>
        <v/>
      </c>
      <c r="Y1042" s="11">
        <f>IF(IFERROR(INDEX('Datos - Catálogo TIMSS'!$J$5:$J$107,MATCH(K1042,'Datos - Catálogo TIMSS'!$A$5:$A$107,0)),"No")="Sí",1,0)</f>
        <v/>
      </c>
      <c r="Z1042" s="11">
        <f>IF(IFERROR(INDEX('Datos - Catálogo TIMSS'!$J$5:$J$107,MATCH(L1042,'Datos - Catálogo TIMSS'!$A$5:$A$107,0)),"No")="Sí",1,0)</f>
        <v/>
      </c>
      <c r="AA1042" s="11" t="inlineStr">
        <is>
          <t>N/A</t>
        </is>
      </c>
      <c r="AB1042" s="11" t="inlineStr"/>
      <c r="AC1042" s="11">
        <f>IF(AA1042="FUERA","Fuera del marco",IF(AA1042="N/A","Sin marco",IFERROR(INDEX('Datos - TIMSS 2023'!$C$5:$C$105,MATCH(AA1042,'Datos - TIMSS 2023'!$A$5:$A$105,0)),"Pendiente de clasificar")))</f>
        <v/>
      </c>
      <c r="AD1042" s="11" t="inlineStr">
        <is>
          <t>1. Explicar fenómenos científicamente</t>
        </is>
      </c>
      <c r="AE1042" s="11">
        <f>IF(AD1042="","",IF(LEFT(AD1042,1)="1","C1",IF(LEFT(AD1042,1)="2","C2",IF(LEFT(AD1042,1)="3","C3",""))))</f>
        <v/>
      </c>
      <c r="AF1042" s="11" t="inlineStr">
        <is>
          <t>E1</t>
        </is>
      </c>
      <c r="AG1042" s="11" t="inlineStr">
        <is>
          <t>D1</t>
        </is>
      </c>
      <c r="AH1042" s="11" t="inlineStr">
        <is>
          <t>E2</t>
        </is>
      </c>
      <c r="AI1042" s="11" t="inlineStr">
        <is>
          <t>D4</t>
        </is>
      </c>
      <c r="AJ1042" s="11" t="inlineStr">
        <is>
          <t>E3</t>
        </is>
      </c>
      <c r="AK1042" s="11" t="n"/>
      <c r="AL1042" s="11" t="n"/>
      <c r="AM1042" s="11" t="n"/>
      <c r="AN1042" s="11" t="n"/>
      <c r="AO1042" s="11" t="n"/>
      <c r="AP1042" s="11" t="n"/>
      <c r="AQ1042" s="11" t="n"/>
      <c r="AR1042" s="11" t="n"/>
      <c r="AS1042" s="11" t="n"/>
      <c r="AT1042" s="11" t="n"/>
      <c r="AU1042" s="11" t="n"/>
      <c r="AV1042" s="11" t="n"/>
      <c r="AW1042" s="11">
        <f>AF1042&amp;"; "&amp;AG1042&amp;"; "&amp;AH1042&amp;"; "&amp;AI1042&amp;"; "&amp;AJ1042</f>
        <v/>
      </c>
    </row>
    <row r="1043">
      <c r="A1043" s="11" t="inlineStr">
        <is>
          <t>T0579-G11-QUÍ</t>
        </is>
      </c>
      <c r="B1043" s="11" t="n">
        <v>11</v>
      </c>
      <c r="C1043" s="11" t="inlineStr">
        <is>
          <t>Química</t>
        </is>
      </c>
      <c r="D1043" s="11" t="inlineStr">
        <is>
          <t>Matriz_Bachillerato_Quimica_10_11.xlsx</t>
        </is>
      </c>
      <c r="E1043" s="11" t="inlineStr">
        <is>
          <t>Química 11.°</t>
        </is>
      </c>
      <c r="F1043" s="11" t="n">
        <v>40</v>
      </c>
      <c r="G1043" s="11" t="inlineStr">
        <is>
          <t>4. Reacción ácido-base</t>
        </is>
      </c>
      <c r="H1043" s="11" t="inlineStr">
        <is>
          <t>Equilibrios ácido-base</t>
        </is>
      </c>
      <c r="I1043" s="38" t="inlineStr">
        <is>
          <t>4.3. Cálculo y medición del pH y el pOH de disoluciones de ácidos y bases fuertes y de sus diluciones sucesivas.</t>
        </is>
      </c>
      <c r="J1043" s="11" t="inlineStr">
        <is>
          <t>Sin marco</t>
        </is>
      </c>
      <c r="K1043" s="11" t="inlineStr">
        <is>
          <t>N/A</t>
        </is>
      </c>
      <c r="L1043" s="11" t="inlineStr"/>
      <c r="M1043" s="11">
        <f>IF(K1043="FUERA","Fuera del marco",IF(K1043="N/A","Sin marco",IFERROR(INDEX('Datos - Catálogo TIMSS'!$C$5:$C$107,MATCH(K1043,'Datos - Catálogo TIMSS'!$A$5:$A$107,0)),"Pendiente de clasificar")))</f>
        <v/>
      </c>
      <c r="N1043" s="11">
        <f>IF(K1043="FUERA","Fuera del marco",IF(K1043="N/A","Sin marco",IFERROR(INDEX('Datos - Catálogo TIMSS'!$F$5:$F$107,MATCH(K1043,'Datos - Catálogo TIMSS'!$A$5:$A$107,0)),"Pendiente de clasificar")))</f>
        <v/>
      </c>
      <c r="O1043" s="11">
        <f>IF(L1043="","",IFERROR(INDEX('Datos - Catálogo TIMSS'!$C$5:$C$107,MATCH(L1043,'Datos - Catálogo TIMSS'!$A$5:$A$107,0)),"?"))</f>
        <v/>
      </c>
      <c r="P1043" s="11" t="inlineStr">
        <is>
          <t>N/A</t>
        </is>
      </c>
      <c r="Q1043" s="38" t="inlineStr">
        <is>
          <t>Sin marco TIMSS de contenido para esta asignatura en Bachillerato</t>
        </is>
      </c>
      <c r="R1043" s="38" t="inlineStr">
        <is>
          <t>Aplicar: calcular pH y pOH. Razonar: contrastar cálculos con mediciones</t>
        </is>
      </c>
      <c r="S1043" s="39">
        <f>IFERROR(ISNUMBER(SEARCH("Conocer",$R1043))/(ISNUMBER(SEARCH("Conocer",$R1043))+ISNUMBER(SEARCH("Aplicar",$R1043))+ISNUMBER(SEARCH("Razonar",$R1043))),0)</f>
        <v/>
      </c>
      <c r="T1043" s="39">
        <f>IFERROR(ISNUMBER(SEARCH("Aplicar",$R1043))/(ISNUMBER(SEARCH("Conocer",$R1043))+ISNUMBER(SEARCH("Aplicar",$R1043))+ISNUMBER(SEARCH("Razonar",$R1043))),0)</f>
        <v/>
      </c>
      <c r="U1043" s="39">
        <f>IFERROR(ISNUMBER(SEARCH("Razonar",$R1043))/(ISNUMBER(SEARCH("Conocer",$R1043))+ISNUMBER(SEARCH("Aplicar",$R1043))+ISNUMBER(SEARCH("Razonar",$R1043))),0)</f>
        <v/>
      </c>
      <c r="V1043" s="11" t="inlineStr">
        <is>
          <t>Química 11°</t>
        </is>
      </c>
      <c r="W1043" s="11" t="inlineStr">
        <is>
          <t>Química 10°–11°</t>
        </is>
      </c>
      <c r="X1043" s="11">
        <f>IF(OR(IFERROR(INDEX('Datos - Catálogo TIMSS'!$I$5:$I$107,MATCH(K1043,'Datos - Catálogo TIMSS'!$A$5:$A$107,0)),"No")="Sí",IFERROR(INDEX('Datos - Catálogo TIMSS'!$I$5:$I$107,MATCH(L1043,'Datos - Catálogo TIMSS'!$A$5:$A$107,0)),"No")="Sí"),1,0)</f>
        <v/>
      </c>
      <c r="Y1043" s="11">
        <f>IF(IFERROR(INDEX('Datos - Catálogo TIMSS'!$J$5:$J$107,MATCH(K1043,'Datos - Catálogo TIMSS'!$A$5:$A$107,0)),"No")="Sí",1,0)</f>
        <v/>
      </c>
      <c r="Z1043" s="11">
        <f>IF(IFERROR(INDEX('Datos - Catálogo TIMSS'!$J$5:$J$107,MATCH(L1043,'Datos - Catálogo TIMSS'!$A$5:$A$107,0)),"No")="Sí",1,0)</f>
        <v/>
      </c>
      <c r="AA1043" s="11" t="inlineStr">
        <is>
          <t>N/A</t>
        </is>
      </c>
      <c r="AB1043" s="11" t="inlineStr"/>
      <c r="AC1043" s="11">
        <f>IF(AA1043="FUERA","Fuera del marco",IF(AA1043="N/A","Sin marco",IFERROR(INDEX('Datos - TIMSS 2023'!$C$5:$C$105,MATCH(AA1043,'Datos - TIMSS 2023'!$A$5:$A$105,0)),"Pendiente de clasificar")))</f>
        <v/>
      </c>
      <c r="AD1043" s="11" t="inlineStr">
        <is>
          <t>2. Construir y evaluar diseños para la indagación científica e interpretar datos y evidencia de forma crítica</t>
        </is>
      </c>
      <c r="AE1043" s="11">
        <f>IF(AD1043="","",IF(LEFT(AD1043,1)="1","C1",IF(LEFT(AD1043,1)="2","C2",IF(LEFT(AD1043,1)="3","C3",""))))</f>
        <v/>
      </c>
      <c r="AF1043" s="11" t="inlineStr">
        <is>
          <t>E1</t>
        </is>
      </c>
      <c r="AG1043" s="11" t="inlineStr">
        <is>
          <t>E3</t>
        </is>
      </c>
      <c r="AH1043" s="11" t="inlineStr">
        <is>
          <t>E2</t>
        </is>
      </c>
      <c r="AI1043" s="11" t="inlineStr">
        <is>
          <t>D4</t>
        </is>
      </c>
      <c r="AJ1043" s="11" t="inlineStr">
        <is>
          <t>D3</t>
        </is>
      </c>
      <c r="AK1043" s="11" t="n"/>
      <c r="AL1043" s="11" t="n"/>
      <c r="AM1043" s="11" t="n"/>
      <c r="AN1043" s="11" t="n"/>
      <c r="AO1043" s="11" t="n"/>
      <c r="AP1043" s="11" t="n"/>
      <c r="AQ1043" s="11" t="n"/>
      <c r="AR1043" s="11" t="n"/>
      <c r="AS1043" s="11" t="n"/>
      <c r="AT1043" s="11" t="n"/>
      <c r="AU1043" s="11" t="n"/>
      <c r="AV1043" s="11" t="n"/>
      <c r="AW1043" s="11">
        <f>AF1043&amp;"; "&amp;AG1043&amp;"; "&amp;AH1043&amp;"; "&amp;AI1043&amp;"; "&amp;AJ1043</f>
        <v/>
      </c>
    </row>
    <row r="1044">
      <c r="A1044" s="11" t="inlineStr">
        <is>
          <t>T0580-G11-QUÍ</t>
        </is>
      </c>
      <c r="B1044" s="11" t="n">
        <v>11</v>
      </c>
      <c r="C1044" s="11" t="inlineStr">
        <is>
          <t>Química</t>
        </is>
      </c>
      <c r="D1044" s="11" t="inlineStr">
        <is>
          <t>Matriz_Bachillerato_Quimica_10_11.xlsx</t>
        </is>
      </c>
      <c r="E1044" s="11" t="inlineStr">
        <is>
          <t>Química 11.°</t>
        </is>
      </c>
      <c r="F1044" s="11" t="n">
        <v>41</v>
      </c>
      <c r="G1044" s="11" t="inlineStr">
        <is>
          <t>4. Reacción ácido-base</t>
        </is>
      </c>
      <c r="H1044" s="11" t="inlineStr">
        <is>
          <t>Ácidos y bases débiles</t>
        </is>
      </c>
      <c r="I1044" s="38" t="inlineStr">
        <is>
          <t>4.4. Cálculo del pH y del porcentaje de ionización de ácidos y bases débiles a partir de sus constantes de ionización.</t>
        </is>
      </c>
      <c r="J1044" s="11" t="inlineStr">
        <is>
          <t>Sin marco</t>
        </is>
      </c>
      <c r="K1044" s="11" t="inlineStr">
        <is>
          <t>N/A</t>
        </is>
      </c>
      <c r="L1044" s="11" t="inlineStr"/>
      <c r="M1044" s="11">
        <f>IF(K1044="FUERA","Fuera del marco",IF(K1044="N/A","Sin marco",IFERROR(INDEX('Datos - Catálogo TIMSS'!$C$5:$C$107,MATCH(K1044,'Datos - Catálogo TIMSS'!$A$5:$A$107,0)),"Pendiente de clasificar")))</f>
        <v/>
      </c>
      <c r="N1044" s="11">
        <f>IF(K1044="FUERA","Fuera del marco",IF(K1044="N/A","Sin marco",IFERROR(INDEX('Datos - Catálogo TIMSS'!$F$5:$F$107,MATCH(K1044,'Datos - Catálogo TIMSS'!$A$5:$A$107,0)),"Pendiente de clasificar")))</f>
        <v/>
      </c>
      <c r="O1044" s="11">
        <f>IF(L1044="","",IFERROR(INDEX('Datos - Catálogo TIMSS'!$C$5:$C$107,MATCH(L1044,'Datos - Catálogo TIMSS'!$A$5:$A$107,0)),"?"))</f>
        <v/>
      </c>
      <c r="P1044" s="11" t="inlineStr">
        <is>
          <t>N/A</t>
        </is>
      </c>
      <c r="Q1044" s="38" t="inlineStr">
        <is>
          <t>Sin marco TIMSS de contenido para esta asignatura en Bachillerato</t>
        </is>
      </c>
      <c r="R1044" s="38" t="inlineStr">
        <is>
          <t>Aplicar: calcular pH con constantes de equilibrio. Razonar: validar aproximaciones</t>
        </is>
      </c>
      <c r="S1044" s="39">
        <f>IFERROR(ISNUMBER(SEARCH("Conocer",$R1044))/(ISNUMBER(SEARCH("Conocer",$R1044))+ISNUMBER(SEARCH("Aplicar",$R1044))+ISNUMBER(SEARCH("Razonar",$R1044))),0)</f>
        <v/>
      </c>
      <c r="T1044" s="39">
        <f>IFERROR(ISNUMBER(SEARCH("Aplicar",$R1044))/(ISNUMBER(SEARCH("Conocer",$R1044))+ISNUMBER(SEARCH("Aplicar",$R1044))+ISNUMBER(SEARCH("Razonar",$R1044))),0)</f>
        <v/>
      </c>
      <c r="U1044" s="39">
        <f>IFERROR(ISNUMBER(SEARCH("Razonar",$R1044))/(ISNUMBER(SEARCH("Conocer",$R1044))+ISNUMBER(SEARCH("Aplicar",$R1044))+ISNUMBER(SEARCH("Razonar",$R1044))),0)</f>
        <v/>
      </c>
      <c r="V1044" s="11" t="inlineStr">
        <is>
          <t>Química 11°</t>
        </is>
      </c>
      <c r="W1044" s="11" t="inlineStr">
        <is>
          <t>Química 10°–11°</t>
        </is>
      </c>
      <c r="X1044" s="11">
        <f>IF(OR(IFERROR(INDEX('Datos - Catálogo TIMSS'!$I$5:$I$107,MATCH(K1044,'Datos - Catálogo TIMSS'!$A$5:$A$107,0)),"No")="Sí",IFERROR(INDEX('Datos - Catálogo TIMSS'!$I$5:$I$107,MATCH(L1044,'Datos - Catálogo TIMSS'!$A$5:$A$107,0)),"No")="Sí"),1,0)</f>
        <v/>
      </c>
      <c r="Y1044" s="11">
        <f>IF(IFERROR(INDEX('Datos - Catálogo TIMSS'!$J$5:$J$107,MATCH(K1044,'Datos - Catálogo TIMSS'!$A$5:$A$107,0)),"No")="Sí",1,0)</f>
        <v/>
      </c>
      <c r="Z1044" s="11">
        <f>IF(IFERROR(INDEX('Datos - Catálogo TIMSS'!$J$5:$J$107,MATCH(L1044,'Datos - Catálogo TIMSS'!$A$5:$A$107,0)),"No")="Sí",1,0)</f>
        <v/>
      </c>
      <c r="AA1044" s="11" t="inlineStr">
        <is>
          <t>N/A</t>
        </is>
      </c>
      <c r="AB1044" s="11" t="inlineStr"/>
      <c r="AC1044" s="11">
        <f>IF(AA1044="FUERA","Fuera del marco",IF(AA1044="N/A","Sin marco",IFERROR(INDEX('Datos - TIMSS 2023'!$C$5:$C$105,MATCH(AA1044,'Datos - TIMSS 2023'!$A$5:$A$105,0)),"Pendiente de clasificar")))</f>
        <v/>
      </c>
      <c r="AD1044" s="11" t="inlineStr">
        <is>
          <t>1. Explicar fenómenos científicamente</t>
        </is>
      </c>
      <c r="AE1044" s="11">
        <f>IF(AD1044="","",IF(LEFT(AD1044,1)="1","C1",IF(LEFT(AD1044,1)="2","C2",IF(LEFT(AD1044,1)="3","C3",""))))</f>
        <v/>
      </c>
      <c r="AF1044" s="11" t="inlineStr">
        <is>
          <t>E1</t>
        </is>
      </c>
      <c r="AG1044" s="11" t="inlineStr">
        <is>
          <t>E3</t>
        </is>
      </c>
      <c r="AH1044" s="11" t="inlineStr">
        <is>
          <t>E2</t>
        </is>
      </c>
      <c r="AI1044" s="11" t="inlineStr">
        <is>
          <t>E4</t>
        </is>
      </c>
      <c r="AJ1044" s="11" t="inlineStr">
        <is>
          <t>E3</t>
        </is>
      </c>
      <c r="AK1044" s="11" t="n"/>
      <c r="AL1044" s="11" t="n"/>
      <c r="AM1044" s="11" t="n"/>
      <c r="AN1044" s="11" t="n"/>
      <c r="AO1044" s="11" t="n"/>
      <c r="AP1044" s="11" t="n"/>
      <c r="AQ1044" s="11" t="n"/>
      <c r="AR1044" s="11" t="n"/>
      <c r="AS1044" s="11" t="n"/>
      <c r="AT1044" s="11" t="n"/>
      <c r="AU1044" s="11" t="n"/>
      <c r="AV1044" s="11" t="n"/>
      <c r="AW1044" s="11">
        <f>AF1044&amp;"; "&amp;AG1044&amp;"; "&amp;AH1044&amp;"; "&amp;AI1044&amp;"; "&amp;AJ1044</f>
        <v/>
      </c>
    </row>
    <row r="1045">
      <c r="A1045" s="11" t="inlineStr">
        <is>
          <t>T0581-G11-QUÍ</t>
        </is>
      </c>
      <c r="B1045" s="11" t="n">
        <v>11</v>
      </c>
      <c r="C1045" s="11" t="inlineStr">
        <is>
          <t>Química</t>
        </is>
      </c>
      <c r="D1045" s="11" t="inlineStr">
        <is>
          <t>Matriz_Bachillerato_Quimica_10_11.xlsx</t>
        </is>
      </c>
      <c r="E1045" s="11" t="inlineStr">
        <is>
          <t>Química 11.°</t>
        </is>
      </c>
      <c r="F1045" s="11" t="n">
        <v>42</v>
      </c>
      <c r="G1045" s="11" t="inlineStr">
        <is>
          <t>4. Reacción ácido-base</t>
        </is>
      </c>
      <c r="H1045" s="11" t="inlineStr">
        <is>
          <t>Ácidos y bases débiles</t>
        </is>
      </c>
      <c r="I1045" s="38" t="inlineStr">
        <is>
          <t>4.5. Análisis de las ionizaciones sucesivas de ácidos polipróticos y cálculo del pH de sus disoluciones.</t>
        </is>
      </c>
      <c r="J1045" s="11" t="inlineStr">
        <is>
          <t>Sin marco</t>
        </is>
      </c>
      <c r="K1045" s="11" t="inlineStr">
        <is>
          <t>N/A</t>
        </is>
      </c>
      <c r="L1045" s="11" t="inlineStr"/>
      <c r="M1045" s="11">
        <f>IF(K1045="FUERA","Fuera del marco",IF(K1045="N/A","Sin marco",IFERROR(INDEX('Datos - Catálogo TIMSS'!$C$5:$C$107,MATCH(K1045,'Datos - Catálogo TIMSS'!$A$5:$A$107,0)),"Pendiente de clasificar")))</f>
        <v/>
      </c>
      <c r="N1045" s="11">
        <f>IF(K1045="FUERA","Fuera del marco",IF(K1045="N/A","Sin marco",IFERROR(INDEX('Datos - Catálogo TIMSS'!$F$5:$F$107,MATCH(K1045,'Datos - Catálogo TIMSS'!$A$5:$A$107,0)),"Pendiente de clasificar")))</f>
        <v/>
      </c>
      <c r="O1045" s="11">
        <f>IF(L1045="","",IFERROR(INDEX('Datos - Catálogo TIMSS'!$C$5:$C$107,MATCH(L1045,'Datos - Catálogo TIMSS'!$A$5:$A$107,0)),"?"))</f>
        <v/>
      </c>
      <c r="P1045" s="11" t="inlineStr">
        <is>
          <t>N/A</t>
        </is>
      </c>
      <c r="Q1045" s="38" t="inlineStr">
        <is>
          <t>Sin marco TIMSS de contenido para esta asignatura en Bachillerato</t>
        </is>
      </c>
      <c r="R1045" s="38" t="inlineStr">
        <is>
          <t>Aplicar: calcular pH de ácidos polipróticos. Razonar: interpretar diagramas de distribución</t>
        </is>
      </c>
      <c r="S1045" s="39">
        <f>IFERROR(ISNUMBER(SEARCH("Conocer",$R1045))/(ISNUMBER(SEARCH("Conocer",$R1045))+ISNUMBER(SEARCH("Aplicar",$R1045))+ISNUMBER(SEARCH("Razonar",$R1045))),0)</f>
        <v/>
      </c>
      <c r="T1045" s="39">
        <f>IFERROR(ISNUMBER(SEARCH("Aplicar",$R1045))/(ISNUMBER(SEARCH("Conocer",$R1045))+ISNUMBER(SEARCH("Aplicar",$R1045))+ISNUMBER(SEARCH("Razonar",$R1045))),0)</f>
        <v/>
      </c>
      <c r="U1045" s="39">
        <f>IFERROR(ISNUMBER(SEARCH("Razonar",$R1045))/(ISNUMBER(SEARCH("Conocer",$R1045))+ISNUMBER(SEARCH("Aplicar",$R1045))+ISNUMBER(SEARCH("Razonar",$R1045))),0)</f>
        <v/>
      </c>
      <c r="V1045" s="11" t="inlineStr">
        <is>
          <t>Química 11°</t>
        </is>
      </c>
      <c r="W1045" s="11" t="inlineStr">
        <is>
          <t>Química 10°–11°</t>
        </is>
      </c>
      <c r="X1045" s="11">
        <f>IF(OR(IFERROR(INDEX('Datos - Catálogo TIMSS'!$I$5:$I$107,MATCH(K1045,'Datos - Catálogo TIMSS'!$A$5:$A$107,0)),"No")="Sí",IFERROR(INDEX('Datos - Catálogo TIMSS'!$I$5:$I$107,MATCH(L1045,'Datos - Catálogo TIMSS'!$A$5:$A$107,0)),"No")="Sí"),1,0)</f>
        <v/>
      </c>
      <c r="Y1045" s="11">
        <f>IF(IFERROR(INDEX('Datos - Catálogo TIMSS'!$J$5:$J$107,MATCH(K1045,'Datos - Catálogo TIMSS'!$A$5:$A$107,0)),"No")="Sí",1,0)</f>
        <v/>
      </c>
      <c r="Z1045" s="11">
        <f>IF(IFERROR(INDEX('Datos - Catálogo TIMSS'!$J$5:$J$107,MATCH(L1045,'Datos - Catálogo TIMSS'!$A$5:$A$107,0)),"No")="Sí",1,0)</f>
        <v/>
      </c>
      <c r="AA1045" s="11" t="inlineStr">
        <is>
          <t>N/A</t>
        </is>
      </c>
      <c r="AB1045" s="11" t="inlineStr"/>
      <c r="AC1045" s="11">
        <f>IF(AA1045="FUERA","Fuera del marco",IF(AA1045="N/A","Sin marco",IFERROR(INDEX('Datos - TIMSS 2023'!$C$5:$C$105,MATCH(AA1045,'Datos - TIMSS 2023'!$A$5:$A$105,0)),"Pendiente de clasificar")))</f>
        <v/>
      </c>
      <c r="AD1045" s="11" t="inlineStr">
        <is>
          <t>1. Explicar fenómenos científicamente</t>
        </is>
      </c>
      <c r="AE1045" s="11">
        <f>IF(AD1045="","",IF(LEFT(AD1045,1)="1","C1",IF(LEFT(AD1045,1)="2","C2",IF(LEFT(AD1045,1)="3","C3",""))))</f>
        <v/>
      </c>
      <c r="AF1045" s="11" t="inlineStr">
        <is>
          <t>E1</t>
        </is>
      </c>
      <c r="AG1045" s="11" t="inlineStr">
        <is>
          <t>E5</t>
        </is>
      </c>
      <c r="AH1045" s="11" t="inlineStr">
        <is>
          <t>E2</t>
        </is>
      </c>
      <c r="AI1045" s="11" t="inlineStr">
        <is>
          <t>E4</t>
        </is>
      </c>
      <c r="AJ1045" s="11" t="inlineStr">
        <is>
          <t>E3</t>
        </is>
      </c>
      <c r="AK1045" s="11" t="n"/>
      <c r="AL1045" s="11" t="n"/>
      <c r="AM1045" s="11" t="n"/>
      <c r="AN1045" s="11" t="n"/>
      <c r="AO1045" s="11" t="n"/>
      <c r="AP1045" s="11" t="n"/>
      <c r="AQ1045" s="11" t="n"/>
      <c r="AR1045" s="11" t="n"/>
      <c r="AS1045" s="11" t="n"/>
      <c r="AT1045" s="11" t="n"/>
      <c r="AU1045" s="11" t="n"/>
      <c r="AV1045" s="11" t="n"/>
      <c r="AW1045" s="11">
        <f>AF1045&amp;"; "&amp;AG1045&amp;"; "&amp;AH1045&amp;"; "&amp;AI1045&amp;"; "&amp;AJ1045</f>
        <v/>
      </c>
    </row>
    <row r="1046">
      <c r="A1046" s="11" t="inlineStr">
        <is>
          <t>T0582-G11-QUÍ</t>
        </is>
      </c>
      <c r="B1046" s="11" t="n">
        <v>11</v>
      </c>
      <c r="C1046" s="11" t="inlineStr">
        <is>
          <t>Química</t>
        </is>
      </c>
      <c r="D1046" s="11" t="inlineStr">
        <is>
          <t>Matriz_Bachillerato_Quimica_10_11.xlsx</t>
        </is>
      </c>
      <c r="E1046" s="11" t="inlineStr">
        <is>
          <t>Química 11.°</t>
        </is>
      </c>
      <c r="F1046" s="11" t="n">
        <v>43</v>
      </c>
      <c r="G1046" s="11" t="inlineStr">
        <is>
          <t>4. Reacción ácido-base</t>
        </is>
      </c>
      <c r="H1046" s="11" t="inlineStr">
        <is>
          <t>Ácidos y bases débiles</t>
        </is>
      </c>
      <c r="I1046" s="38" t="inlineStr">
        <is>
          <t>4.6. Predicción y cálculo del pH de disoluciones de sales a partir de la hidrólisis de sus iones.</t>
        </is>
      </c>
      <c r="J1046" s="11" t="inlineStr">
        <is>
          <t>Sin marco</t>
        </is>
      </c>
      <c r="K1046" s="11" t="inlineStr">
        <is>
          <t>N/A</t>
        </is>
      </c>
      <c r="L1046" s="11" t="inlineStr"/>
      <c r="M1046" s="11">
        <f>IF(K1046="FUERA","Fuera del marco",IF(K1046="N/A","Sin marco",IFERROR(INDEX('Datos - Catálogo TIMSS'!$C$5:$C$107,MATCH(K1046,'Datos - Catálogo TIMSS'!$A$5:$A$107,0)),"Pendiente de clasificar")))</f>
        <v/>
      </c>
      <c r="N1046" s="11">
        <f>IF(K1046="FUERA","Fuera del marco",IF(K1046="N/A","Sin marco",IFERROR(INDEX('Datos - Catálogo TIMSS'!$F$5:$F$107,MATCH(K1046,'Datos - Catálogo TIMSS'!$A$5:$A$107,0)),"Pendiente de clasificar")))</f>
        <v/>
      </c>
      <c r="O1046" s="11">
        <f>IF(L1046="","",IFERROR(INDEX('Datos - Catálogo TIMSS'!$C$5:$C$107,MATCH(L1046,'Datos - Catálogo TIMSS'!$A$5:$A$107,0)),"?"))</f>
        <v/>
      </c>
      <c r="P1046" s="11" t="inlineStr">
        <is>
          <t>N/A</t>
        </is>
      </c>
      <c r="Q1046" s="38" t="inlineStr">
        <is>
          <t>Sin marco TIMSS de contenido para esta asignatura en Bachillerato</t>
        </is>
      </c>
      <c r="R1046" s="38" t="inlineStr">
        <is>
          <t>Aplicar: calcular el pH de sales. Razonar: predecir con base en el origen de la sal</t>
        </is>
      </c>
      <c r="S1046" s="39">
        <f>IFERROR(ISNUMBER(SEARCH("Conocer",$R1046))/(ISNUMBER(SEARCH("Conocer",$R1046))+ISNUMBER(SEARCH("Aplicar",$R1046))+ISNUMBER(SEARCH("Razonar",$R1046))),0)</f>
        <v/>
      </c>
      <c r="T1046" s="39">
        <f>IFERROR(ISNUMBER(SEARCH("Aplicar",$R1046))/(ISNUMBER(SEARCH("Conocer",$R1046))+ISNUMBER(SEARCH("Aplicar",$R1046))+ISNUMBER(SEARCH("Razonar",$R1046))),0)</f>
        <v/>
      </c>
      <c r="U1046" s="39">
        <f>IFERROR(ISNUMBER(SEARCH("Razonar",$R1046))/(ISNUMBER(SEARCH("Conocer",$R1046))+ISNUMBER(SEARCH("Aplicar",$R1046))+ISNUMBER(SEARCH("Razonar",$R1046))),0)</f>
        <v/>
      </c>
      <c r="V1046" s="11" t="inlineStr">
        <is>
          <t>Química 11°</t>
        </is>
      </c>
      <c r="W1046" s="11" t="inlineStr">
        <is>
          <t>Química 10°–11°</t>
        </is>
      </c>
      <c r="X1046" s="11">
        <f>IF(OR(IFERROR(INDEX('Datos - Catálogo TIMSS'!$I$5:$I$107,MATCH(K1046,'Datos - Catálogo TIMSS'!$A$5:$A$107,0)),"No")="Sí",IFERROR(INDEX('Datos - Catálogo TIMSS'!$I$5:$I$107,MATCH(L1046,'Datos - Catálogo TIMSS'!$A$5:$A$107,0)),"No")="Sí"),1,0)</f>
        <v/>
      </c>
      <c r="Y1046" s="11">
        <f>IF(IFERROR(INDEX('Datos - Catálogo TIMSS'!$J$5:$J$107,MATCH(K1046,'Datos - Catálogo TIMSS'!$A$5:$A$107,0)),"No")="Sí",1,0)</f>
        <v/>
      </c>
      <c r="Z1046" s="11">
        <f>IF(IFERROR(INDEX('Datos - Catálogo TIMSS'!$J$5:$J$107,MATCH(L1046,'Datos - Catálogo TIMSS'!$A$5:$A$107,0)),"No")="Sí",1,0)</f>
        <v/>
      </c>
      <c r="AA1046" s="11" t="inlineStr">
        <is>
          <t>N/A</t>
        </is>
      </c>
      <c r="AB1046" s="11" t="inlineStr"/>
      <c r="AC1046" s="11">
        <f>IF(AA1046="FUERA","Fuera del marco",IF(AA1046="N/A","Sin marco",IFERROR(INDEX('Datos - TIMSS 2023'!$C$5:$C$105,MATCH(AA1046,'Datos - TIMSS 2023'!$A$5:$A$105,0)),"Pendiente de clasificar")))</f>
        <v/>
      </c>
      <c r="AD1046" s="11" t="inlineStr">
        <is>
          <t>2. Construir y evaluar diseños para la indagación científica e interpretar datos y evidencia de forma crítica</t>
        </is>
      </c>
      <c r="AE1046" s="11">
        <f>IF(AD1046="","",IF(LEFT(AD1046,1)="1","C1",IF(LEFT(AD1046,1)="2","C2",IF(LEFT(AD1046,1)="3","C3",""))))</f>
        <v/>
      </c>
      <c r="AF1046" s="11" t="inlineStr">
        <is>
          <t>E1</t>
        </is>
      </c>
      <c r="AG1046" s="11" t="inlineStr">
        <is>
          <t>E3</t>
        </is>
      </c>
      <c r="AH1046" s="11" t="inlineStr">
        <is>
          <t>E2</t>
        </is>
      </c>
      <c r="AI1046" s="11" t="inlineStr">
        <is>
          <t>D4</t>
        </is>
      </c>
      <c r="AJ1046" s="11" t="inlineStr">
        <is>
          <t>I5</t>
        </is>
      </c>
      <c r="AK1046" s="11" t="n"/>
      <c r="AL1046" s="11" t="n"/>
      <c r="AM1046" s="11" t="n"/>
      <c r="AN1046" s="11" t="n"/>
      <c r="AO1046" s="11" t="n"/>
      <c r="AP1046" s="11" t="n"/>
      <c r="AQ1046" s="11" t="n"/>
      <c r="AR1046" s="11" t="n"/>
      <c r="AS1046" s="11" t="n"/>
      <c r="AT1046" s="11" t="n"/>
      <c r="AU1046" s="11" t="n"/>
      <c r="AV1046" s="11" t="n"/>
      <c r="AW1046" s="11">
        <f>AF1046&amp;"; "&amp;AG1046&amp;"; "&amp;AH1046&amp;"; "&amp;AI1046&amp;"; "&amp;AJ1046</f>
        <v/>
      </c>
    </row>
    <row r="1047">
      <c r="A1047" s="11" t="inlineStr">
        <is>
          <t>T0583-G11-QUÍ</t>
        </is>
      </c>
      <c r="B1047" s="11" t="n">
        <v>11</v>
      </c>
      <c r="C1047" s="11" t="inlineStr">
        <is>
          <t>Química</t>
        </is>
      </c>
      <c r="D1047" s="11" t="inlineStr">
        <is>
          <t>Matriz_Bachillerato_Quimica_10_11.xlsx</t>
        </is>
      </c>
      <c r="E1047" s="11" t="inlineStr">
        <is>
          <t>Química 11.°</t>
        </is>
      </c>
      <c r="F1047" s="11" t="n">
        <v>44</v>
      </c>
      <c r="G1047" s="11" t="inlineStr">
        <is>
          <t>4. Reacción ácido-base</t>
        </is>
      </c>
      <c r="H1047" s="11" t="inlineStr">
        <is>
          <t>Aplicaciones de los equilibrios ácido-base</t>
        </is>
      </c>
      <c r="I1047" s="38" t="inlineStr">
        <is>
          <t>4.7. Cálculo del pH de disoluciones de ácidos o bases débiles en presencia de un ion común.</t>
        </is>
      </c>
      <c r="J1047" s="11" t="inlineStr">
        <is>
          <t>Sin marco</t>
        </is>
      </c>
      <c r="K1047" s="11" t="inlineStr">
        <is>
          <t>N/A</t>
        </is>
      </c>
      <c r="L1047" s="11" t="inlineStr"/>
      <c r="M1047" s="11">
        <f>IF(K1047="FUERA","Fuera del marco",IF(K1047="N/A","Sin marco",IFERROR(INDEX('Datos - Catálogo TIMSS'!$C$5:$C$107,MATCH(K1047,'Datos - Catálogo TIMSS'!$A$5:$A$107,0)),"Pendiente de clasificar")))</f>
        <v/>
      </c>
      <c r="N1047" s="11">
        <f>IF(K1047="FUERA","Fuera del marco",IF(K1047="N/A","Sin marco",IFERROR(INDEX('Datos - Catálogo TIMSS'!$F$5:$F$107,MATCH(K1047,'Datos - Catálogo TIMSS'!$A$5:$A$107,0)),"Pendiente de clasificar")))</f>
        <v/>
      </c>
      <c r="O1047" s="11">
        <f>IF(L1047="","",IFERROR(INDEX('Datos - Catálogo TIMSS'!$C$5:$C$107,MATCH(L1047,'Datos - Catálogo TIMSS'!$A$5:$A$107,0)),"?"))</f>
        <v/>
      </c>
      <c r="P1047" s="11" t="inlineStr">
        <is>
          <t>N/A</t>
        </is>
      </c>
      <c r="Q1047" s="38" t="inlineStr">
        <is>
          <t>Sin marco TIMSS de contenido para esta asignatura en Bachillerato</t>
        </is>
      </c>
      <c r="R1047" s="38" t="inlineStr">
        <is>
          <t>Aplicar: calcular pH con ion común. Razonar: explicar desplazamientos del equilibrio</t>
        </is>
      </c>
      <c r="S1047" s="39">
        <f>IFERROR(ISNUMBER(SEARCH("Conocer",$R1047))/(ISNUMBER(SEARCH("Conocer",$R1047))+ISNUMBER(SEARCH("Aplicar",$R1047))+ISNUMBER(SEARCH("Razonar",$R1047))),0)</f>
        <v/>
      </c>
      <c r="T1047" s="39">
        <f>IFERROR(ISNUMBER(SEARCH("Aplicar",$R1047))/(ISNUMBER(SEARCH("Conocer",$R1047))+ISNUMBER(SEARCH("Aplicar",$R1047))+ISNUMBER(SEARCH("Razonar",$R1047))),0)</f>
        <v/>
      </c>
      <c r="U1047" s="39">
        <f>IFERROR(ISNUMBER(SEARCH("Razonar",$R1047))/(ISNUMBER(SEARCH("Conocer",$R1047))+ISNUMBER(SEARCH("Aplicar",$R1047))+ISNUMBER(SEARCH("Razonar",$R1047))),0)</f>
        <v/>
      </c>
      <c r="V1047" s="11" t="inlineStr">
        <is>
          <t>Química 11°</t>
        </is>
      </c>
      <c r="W1047" s="11" t="inlineStr">
        <is>
          <t>Química 10°–11°</t>
        </is>
      </c>
      <c r="X1047" s="11">
        <f>IF(OR(IFERROR(INDEX('Datos - Catálogo TIMSS'!$I$5:$I$107,MATCH(K1047,'Datos - Catálogo TIMSS'!$A$5:$A$107,0)),"No")="Sí",IFERROR(INDEX('Datos - Catálogo TIMSS'!$I$5:$I$107,MATCH(L1047,'Datos - Catálogo TIMSS'!$A$5:$A$107,0)),"No")="Sí"),1,0)</f>
        <v/>
      </c>
      <c r="Y1047" s="11">
        <f>IF(IFERROR(INDEX('Datos - Catálogo TIMSS'!$J$5:$J$107,MATCH(K1047,'Datos - Catálogo TIMSS'!$A$5:$A$107,0)),"No")="Sí",1,0)</f>
        <v/>
      </c>
      <c r="Z1047" s="11">
        <f>IF(IFERROR(INDEX('Datos - Catálogo TIMSS'!$J$5:$J$107,MATCH(L1047,'Datos - Catálogo TIMSS'!$A$5:$A$107,0)),"No")="Sí",1,0)</f>
        <v/>
      </c>
      <c r="AA1047" s="11" t="inlineStr">
        <is>
          <t>N/A</t>
        </is>
      </c>
      <c r="AB1047" s="11" t="inlineStr"/>
      <c r="AC1047" s="11">
        <f>IF(AA1047="FUERA","Fuera del marco",IF(AA1047="N/A","Sin marco",IFERROR(INDEX('Datos - TIMSS 2023'!$C$5:$C$105,MATCH(AA1047,'Datos - TIMSS 2023'!$A$5:$A$105,0)),"Pendiente de clasificar")))</f>
        <v/>
      </c>
      <c r="AD1047" s="11" t="inlineStr">
        <is>
          <t>1. Explicar fenómenos científicamente</t>
        </is>
      </c>
      <c r="AE1047" s="11">
        <f>IF(AD1047="","",IF(LEFT(AD1047,1)="1","C1",IF(LEFT(AD1047,1)="2","C2",IF(LEFT(AD1047,1)="3","C3",""))))</f>
        <v/>
      </c>
      <c r="AF1047" s="11" t="inlineStr">
        <is>
          <t>E1</t>
        </is>
      </c>
      <c r="AG1047" s="11" t="inlineStr">
        <is>
          <t>E3</t>
        </is>
      </c>
      <c r="AH1047" s="11" t="inlineStr">
        <is>
          <t>E2</t>
        </is>
      </c>
      <c r="AI1047" s="11" t="inlineStr">
        <is>
          <t>D4</t>
        </is>
      </c>
      <c r="AJ1047" s="11" t="inlineStr">
        <is>
          <t>E3</t>
        </is>
      </c>
      <c r="AK1047" s="11" t="n"/>
      <c r="AL1047" s="11" t="n"/>
      <c r="AM1047" s="11" t="n"/>
      <c r="AN1047" s="11" t="n"/>
      <c r="AO1047" s="11" t="n"/>
      <c r="AP1047" s="11" t="n"/>
      <c r="AQ1047" s="11" t="n"/>
      <c r="AR1047" s="11" t="n"/>
      <c r="AS1047" s="11" t="n"/>
      <c r="AT1047" s="11" t="n"/>
      <c r="AU1047" s="11" t="n"/>
      <c r="AV1047" s="11" t="n"/>
      <c r="AW1047" s="11">
        <f>AF1047&amp;"; "&amp;AG1047&amp;"; "&amp;AH1047&amp;"; "&amp;AI1047&amp;"; "&amp;AJ1047</f>
        <v/>
      </c>
    </row>
    <row r="1048">
      <c r="A1048" s="11" t="inlineStr">
        <is>
          <t>T0584-G11-QUÍ</t>
        </is>
      </c>
      <c r="B1048" s="11" t="n">
        <v>11</v>
      </c>
      <c r="C1048" s="11" t="inlineStr">
        <is>
          <t>Química</t>
        </is>
      </c>
      <c r="D1048" s="11" t="inlineStr">
        <is>
          <t>Matriz_Bachillerato_Quimica_10_11.xlsx</t>
        </is>
      </c>
      <c r="E1048" s="11" t="inlineStr">
        <is>
          <t>Química 11.°</t>
        </is>
      </c>
      <c r="F1048" s="11" t="n">
        <v>45</v>
      </c>
      <c r="G1048" s="11" t="inlineStr">
        <is>
          <t>4. Reacción ácido-base</t>
        </is>
      </c>
      <c r="H1048" s="11" t="inlineStr">
        <is>
          <t>Aplicaciones de los equilibrios ácido-base</t>
        </is>
      </c>
      <c r="I1048" s="38" t="inlineStr">
        <is>
          <t>4.8. Preparación de una disolución amortiguadora de pH definido y medición de su capacidad amortiguadora.</t>
        </is>
      </c>
      <c r="J1048" s="11" t="inlineStr">
        <is>
          <t>Sin marco</t>
        </is>
      </c>
      <c r="K1048" s="11" t="inlineStr">
        <is>
          <t>N/A</t>
        </is>
      </c>
      <c r="L1048" s="11" t="inlineStr"/>
      <c r="M1048" s="11">
        <f>IF(K1048="FUERA","Fuera del marco",IF(K1048="N/A","Sin marco",IFERROR(INDEX('Datos - Catálogo TIMSS'!$C$5:$C$107,MATCH(K1048,'Datos - Catálogo TIMSS'!$A$5:$A$107,0)),"Pendiente de clasificar")))</f>
        <v/>
      </c>
      <c r="N1048" s="11">
        <f>IF(K1048="FUERA","Fuera del marco",IF(K1048="N/A","Sin marco",IFERROR(INDEX('Datos - Catálogo TIMSS'!$F$5:$F$107,MATCH(K1048,'Datos - Catálogo TIMSS'!$A$5:$A$107,0)),"Pendiente de clasificar")))</f>
        <v/>
      </c>
      <c r="O1048" s="11">
        <f>IF(L1048="","",IFERROR(INDEX('Datos - Catálogo TIMSS'!$C$5:$C$107,MATCH(L1048,'Datos - Catálogo TIMSS'!$A$5:$A$107,0)),"?"))</f>
        <v/>
      </c>
      <c r="P1048" s="11" t="inlineStr">
        <is>
          <t>N/A</t>
        </is>
      </c>
      <c r="Q1048" s="38" t="inlineStr">
        <is>
          <t>Sin marco TIMSS de contenido para esta asignatura en Bachillerato</t>
        </is>
      </c>
      <c r="R1048" s="38" t="inlineStr">
        <is>
          <t>Aplicar: calcular con Henderson-Hasselbalch. Razonar: evaluar la capacidad amortiguadora</t>
        </is>
      </c>
      <c r="S1048" s="39">
        <f>IFERROR(ISNUMBER(SEARCH("Conocer",$R1048))/(ISNUMBER(SEARCH("Conocer",$R1048))+ISNUMBER(SEARCH("Aplicar",$R1048))+ISNUMBER(SEARCH("Razonar",$R1048))),0)</f>
        <v/>
      </c>
      <c r="T1048" s="39">
        <f>IFERROR(ISNUMBER(SEARCH("Aplicar",$R1048))/(ISNUMBER(SEARCH("Conocer",$R1048))+ISNUMBER(SEARCH("Aplicar",$R1048))+ISNUMBER(SEARCH("Razonar",$R1048))),0)</f>
        <v/>
      </c>
      <c r="U1048" s="39">
        <f>IFERROR(ISNUMBER(SEARCH("Razonar",$R1048))/(ISNUMBER(SEARCH("Conocer",$R1048))+ISNUMBER(SEARCH("Aplicar",$R1048))+ISNUMBER(SEARCH("Razonar",$R1048))),0)</f>
        <v/>
      </c>
      <c r="V1048" s="11" t="inlineStr">
        <is>
          <t>Química 11°</t>
        </is>
      </c>
      <c r="W1048" s="11" t="inlineStr">
        <is>
          <t>Química 10°–11°</t>
        </is>
      </c>
      <c r="X1048" s="11">
        <f>IF(OR(IFERROR(INDEX('Datos - Catálogo TIMSS'!$I$5:$I$107,MATCH(K1048,'Datos - Catálogo TIMSS'!$A$5:$A$107,0)),"No")="Sí",IFERROR(INDEX('Datos - Catálogo TIMSS'!$I$5:$I$107,MATCH(L1048,'Datos - Catálogo TIMSS'!$A$5:$A$107,0)),"No")="Sí"),1,0)</f>
        <v/>
      </c>
      <c r="Y1048" s="11">
        <f>IF(IFERROR(INDEX('Datos - Catálogo TIMSS'!$J$5:$J$107,MATCH(K1048,'Datos - Catálogo TIMSS'!$A$5:$A$107,0)),"No")="Sí",1,0)</f>
        <v/>
      </c>
      <c r="Z1048" s="11">
        <f>IF(IFERROR(INDEX('Datos - Catálogo TIMSS'!$J$5:$J$107,MATCH(L1048,'Datos - Catálogo TIMSS'!$A$5:$A$107,0)),"No")="Sí",1,0)</f>
        <v/>
      </c>
      <c r="AA1048" s="11" t="inlineStr">
        <is>
          <t>N/A</t>
        </is>
      </c>
      <c r="AB1048" s="11" t="inlineStr"/>
      <c r="AC1048" s="11">
        <f>IF(AA1048="FUERA","Fuera del marco",IF(AA1048="N/A","Sin marco",IFERROR(INDEX('Datos - TIMSS 2023'!$C$5:$C$105,MATCH(AA1048,'Datos - TIMSS 2023'!$A$5:$A$105,0)),"Pendiente de clasificar")))</f>
        <v/>
      </c>
      <c r="AD1048" s="11" t="inlineStr">
        <is>
          <t>2. Construir y evaluar diseños para la indagación científica e interpretar datos y evidencia de forma crítica</t>
        </is>
      </c>
      <c r="AE1048" s="11">
        <f>IF(AD1048="","",IF(LEFT(AD1048,1)="1","C1",IF(LEFT(AD1048,1)="2","C2",IF(LEFT(AD1048,1)="3","C3",""))))</f>
        <v/>
      </c>
      <c r="AF1048" s="11" t="inlineStr">
        <is>
          <t>E1</t>
        </is>
      </c>
      <c r="AG1048" s="11" t="inlineStr">
        <is>
          <t>D1</t>
        </is>
      </c>
      <c r="AH1048" s="11" t="inlineStr">
        <is>
          <t>E2</t>
        </is>
      </c>
      <c r="AI1048" s="11" t="inlineStr">
        <is>
          <t>D2</t>
        </is>
      </c>
      <c r="AJ1048" s="11" t="inlineStr">
        <is>
          <t>D3</t>
        </is>
      </c>
      <c r="AK1048" s="11" t="n"/>
      <c r="AL1048" s="11" t="n"/>
      <c r="AM1048" s="11" t="n"/>
      <c r="AN1048" s="11" t="n"/>
      <c r="AO1048" s="11" t="n"/>
      <c r="AP1048" s="11" t="n"/>
      <c r="AQ1048" s="11" t="n"/>
      <c r="AR1048" s="11" t="n"/>
      <c r="AS1048" s="11" t="n"/>
      <c r="AT1048" s="11" t="n"/>
      <c r="AU1048" s="11" t="n"/>
      <c r="AV1048" s="11" t="n"/>
      <c r="AW1048" s="11">
        <f>AF1048&amp;"; "&amp;AG1048&amp;"; "&amp;AH1048&amp;"; "&amp;AI1048&amp;"; "&amp;AJ1048</f>
        <v/>
      </c>
    </row>
    <row r="1049">
      <c r="A1049" s="11" t="inlineStr">
        <is>
          <t>T0585-G11-QUÍ</t>
        </is>
      </c>
      <c r="B1049" s="11" t="n">
        <v>11</v>
      </c>
      <c r="C1049" s="11" t="inlineStr">
        <is>
          <t>Química</t>
        </is>
      </c>
      <c r="D1049" s="11" t="inlineStr">
        <is>
          <t>Matriz_Bachillerato_Quimica_10_11.xlsx</t>
        </is>
      </c>
      <c r="E1049" s="11" t="inlineStr">
        <is>
          <t>Química 11.°</t>
        </is>
      </c>
      <c r="F1049" s="11" t="n">
        <v>46</v>
      </c>
      <c r="G1049" s="11" t="inlineStr">
        <is>
          <t>4. Reacción ácido-base</t>
        </is>
      </c>
      <c r="H1049" s="11" t="inlineStr">
        <is>
          <t>Aplicaciones de los equilibrios ácido-base</t>
        </is>
      </c>
      <c r="I1049" s="38" t="inlineStr">
        <is>
          <t>4.9. Análisis cuantitativo de los sistemas amortiguadores biológicos y de las alteraciones del pH sanguíneo.</t>
        </is>
      </c>
      <c r="J1049" s="11" t="inlineStr">
        <is>
          <t>Sin marco</t>
        </is>
      </c>
      <c r="K1049" s="11" t="inlineStr">
        <is>
          <t>N/A</t>
        </is>
      </c>
      <c r="L1049" s="11" t="inlineStr"/>
      <c r="M1049" s="11">
        <f>IF(K1049="FUERA","Fuera del marco",IF(K1049="N/A","Sin marco",IFERROR(INDEX('Datos - Catálogo TIMSS'!$C$5:$C$107,MATCH(K1049,'Datos - Catálogo TIMSS'!$A$5:$A$107,0)),"Pendiente de clasificar")))</f>
        <v/>
      </c>
      <c r="N1049" s="11">
        <f>IF(K1049="FUERA","Fuera del marco",IF(K1049="N/A","Sin marco",IFERROR(INDEX('Datos - Catálogo TIMSS'!$F$5:$F$107,MATCH(K1049,'Datos - Catálogo TIMSS'!$A$5:$A$107,0)),"Pendiente de clasificar")))</f>
        <v/>
      </c>
      <c r="O1049" s="11">
        <f>IF(L1049="","",IFERROR(INDEX('Datos - Catálogo TIMSS'!$C$5:$C$107,MATCH(L1049,'Datos - Catálogo TIMSS'!$A$5:$A$107,0)),"?"))</f>
        <v/>
      </c>
      <c r="P1049" s="11" t="inlineStr">
        <is>
          <t>N/A</t>
        </is>
      </c>
      <c r="Q1049" s="38" t="inlineStr">
        <is>
          <t>Sin marco TIMSS de contenido para esta asignatura en Bachillerato</t>
        </is>
      </c>
      <c r="R1049" s="38" t="inlineStr">
        <is>
          <t>Aplicar: calcular razones de amortiguadores. Razonar: interpretar datos clínicos y criticar afirmaciones</t>
        </is>
      </c>
      <c r="S1049" s="39">
        <f>IFERROR(ISNUMBER(SEARCH("Conocer",$R1049))/(ISNUMBER(SEARCH("Conocer",$R1049))+ISNUMBER(SEARCH("Aplicar",$R1049))+ISNUMBER(SEARCH("Razonar",$R1049))),0)</f>
        <v/>
      </c>
      <c r="T1049" s="39">
        <f>IFERROR(ISNUMBER(SEARCH("Aplicar",$R1049))/(ISNUMBER(SEARCH("Conocer",$R1049))+ISNUMBER(SEARCH("Aplicar",$R1049))+ISNUMBER(SEARCH("Razonar",$R1049))),0)</f>
        <v/>
      </c>
      <c r="U1049" s="39">
        <f>IFERROR(ISNUMBER(SEARCH("Razonar",$R1049))/(ISNUMBER(SEARCH("Conocer",$R1049))+ISNUMBER(SEARCH("Aplicar",$R1049))+ISNUMBER(SEARCH("Razonar",$R1049))),0)</f>
        <v/>
      </c>
      <c r="V1049" s="11" t="inlineStr">
        <is>
          <t>Química 11°</t>
        </is>
      </c>
      <c r="W1049" s="11" t="inlineStr">
        <is>
          <t>Química 10°–11°</t>
        </is>
      </c>
      <c r="X1049" s="11">
        <f>IF(OR(IFERROR(INDEX('Datos - Catálogo TIMSS'!$I$5:$I$107,MATCH(K1049,'Datos - Catálogo TIMSS'!$A$5:$A$107,0)),"No")="Sí",IFERROR(INDEX('Datos - Catálogo TIMSS'!$I$5:$I$107,MATCH(L1049,'Datos - Catálogo TIMSS'!$A$5:$A$107,0)),"No")="Sí"),1,0)</f>
        <v/>
      </c>
      <c r="Y1049" s="11">
        <f>IF(IFERROR(INDEX('Datos - Catálogo TIMSS'!$J$5:$J$107,MATCH(K1049,'Datos - Catálogo TIMSS'!$A$5:$A$107,0)),"No")="Sí",1,0)</f>
        <v/>
      </c>
      <c r="Z1049" s="11">
        <f>IF(IFERROR(INDEX('Datos - Catálogo TIMSS'!$J$5:$J$107,MATCH(L1049,'Datos - Catálogo TIMSS'!$A$5:$A$107,0)),"No")="Sí",1,0)</f>
        <v/>
      </c>
      <c r="AA1049" s="11" t="inlineStr">
        <is>
          <t>N/A</t>
        </is>
      </c>
      <c r="AB1049" s="11" t="inlineStr"/>
      <c r="AC1049" s="11">
        <f>IF(AA1049="FUERA","Fuera del marco",IF(AA1049="N/A","Sin marco",IFERROR(INDEX('Datos - TIMSS 2023'!$C$5:$C$105,MATCH(AA1049,'Datos - TIMSS 2023'!$A$5:$A$105,0)),"Pendiente de clasificar")))</f>
        <v/>
      </c>
      <c r="AD1049" s="11" t="inlineStr">
        <is>
          <t>3. Investigar, evaluar y usar información científica para tomar decisiones y actuar</t>
        </is>
      </c>
      <c r="AE1049" s="11">
        <f>IF(AD1049="","",IF(LEFT(AD1049,1)="1","C1",IF(LEFT(AD1049,1)="2","C2",IF(LEFT(AD1049,1)="3","C3",""))))</f>
        <v/>
      </c>
      <c r="AF1049" s="11" t="inlineStr">
        <is>
          <t>E6</t>
        </is>
      </c>
      <c r="AG1049" s="11" t="inlineStr">
        <is>
          <t>E5</t>
        </is>
      </c>
      <c r="AH1049" s="11" t="inlineStr">
        <is>
          <t>E2</t>
        </is>
      </c>
      <c r="AI1049" s="11" t="inlineStr">
        <is>
          <t>I3</t>
        </is>
      </c>
      <c r="AJ1049" s="11" t="inlineStr">
        <is>
          <t>I4</t>
        </is>
      </c>
      <c r="AK1049" s="11" t="n"/>
      <c r="AL1049" s="11" t="n"/>
      <c r="AM1049" s="11" t="n"/>
      <c r="AN1049" s="11" t="n"/>
      <c r="AO1049" s="11" t="n"/>
      <c r="AP1049" s="11" t="n"/>
      <c r="AQ1049" s="11" t="n"/>
      <c r="AR1049" s="11" t="n"/>
      <c r="AS1049" s="11" t="n"/>
      <c r="AT1049" s="11" t="n"/>
      <c r="AU1049" s="11" t="n"/>
      <c r="AV1049" s="11" t="n"/>
      <c r="AW1049" s="11">
        <f>AF1049&amp;"; "&amp;AG1049&amp;"; "&amp;AH1049&amp;"; "&amp;AI1049&amp;"; "&amp;AJ1049</f>
        <v/>
      </c>
    </row>
    <row r="1050">
      <c r="A1050" s="11" t="inlineStr">
        <is>
          <t>T0586-G11-QUÍ</t>
        </is>
      </c>
      <c r="B1050" s="11" t="n">
        <v>11</v>
      </c>
      <c r="C1050" s="11" t="inlineStr">
        <is>
          <t>Química</t>
        </is>
      </c>
      <c r="D1050" s="11" t="inlineStr">
        <is>
          <t>Matriz_Bachillerato_Quimica_10_11.xlsx</t>
        </is>
      </c>
      <c r="E1050" s="11" t="inlineStr">
        <is>
          <t>Química 11.°</t>
        </is>
      </c>
      <c r="F1050" s="11" t="n">
        <v>47</v>
      </c>
      <c r="G1050" s="11" t="inlineStr">
        <is>
          <t>4. Reacción ácido-base</t>
        </is>
      </c>
      <c r="H1050" s="11" t="inlineStr">
        <is>
          <t>Titulaciones y curvas de pH</t>
        </is>
      </c>
      <c r="I1050" s="38" t="inlineStr">
        <is>
          <t>4.10. Construcción e interpretación de curvas de titulación ácido-base para determinar concentraciones y constantes de ionización.</t>
        </is>
      </c>
      <c r="J1050" s="11" t="inlineStr">
        <is>
          <t>Sin marco</t>
        </is>
      </c>
      <c r="K1050" s="11" t="inlineStr">
        <is>
          <t>N/A</t>
        </is>
      </c>
      <c r="L1050" s="11" t="inlineStr"/>
      <c r="M1050" s="11">
        <f>IF(K1050="FUERA","Fuera del marco",IF(K1050="N/A","Sin marco",IFERROR(INDEX('Datos - Catálogo TIMSS'!$C$5:$C$107,MATCH(K1050,'Datos - Catálogo TIMSS'!$A$5:$A$107,0)),"Pendiente de clasificar")))</f>
        <v/>
      </c>
      <c r="N1050" s="11">
        <f>IF(K1050="FUERA","Fuera del marco",IF(K1050="N/A","Sin marco",IFERROR(INDEX('Datos - Catálogo TIMSS'!$F$5:$F$107,MATCH(K1050,'Datos - Catálogo TIMSS'!$A$5:$A$107,0)),"Pendiente de clasificar")))</f>
        <v/>
      </c>
      <c r="O1050" s="11">
        <f>IF(L1050="","",IFERROR(INDEX('Datos - Catálogo TIMSS'!$C$5:$C$107,MATCH(L1050,'Datos - Catálogo TIMSS'!$A$5:$A$107,0)),"?"))</f>
        <v/>
      </c>
      <c r="P1050" s="11" t="inlineStr">
        <is>
          <t>N/A</t>
        </is>
      </c>
      <c r="Q1050" s="38" t="inlineStr">
        <is>
          <t>Sin marco TIMSS de contenido para esta asignatura en Bachillerato</t>
        </is>
      </c>
      <c r="R1050" s="38" t="inlineStr">
        <is>
          <t>Aplicar: construir y analizar curvas. Razonar: determinar parámetros a partir de datos</t>
        </is>
      </c>
      <c r="S1050" s="39">
        <f>IFERROR(ISNUMBER(SEARCH("Conocer",$R1050))/(ISNUMBER(SEARCH("Conocer",$R1050))+ISNUMBER(SEARCH("Aplicar",$R1050))+ISNUMBER(SEARCH("Razonar",$R1050))),0)</f>
        <v/>
      </c>
      <c r="T1050" s="39">
        <f>IFERROR(ISNUMBER(SEARCH("Aplicar",$R1050))/(ISNUMBER(SEARCH("Conocer",$R1050))+ISNUMBER(SEARCH("Aplicar",$R1050))+ISNUMBER(SEARCH("Razonar",$R1050))),0)</f>
        <v/>
      </c>
      <c r="U1050" s="39">
        <f>IFERROR(ISNUMBER(SEARCH("Razonar",$R1050))/(ISNUMBER(SEARCH("Conocer",$R1050))+ISNUMBER(SEARCH("Aplicar",$R1050))+ISNUMBER(SEARCH("Razonar",$R1050))),0)</f>
        <v/>
      </c>
      <c r="V1050" s="11" t="inlineStr">
        <is>
          <t>Química 11°</t>
        </is>
      </c>
      <c r="W1050" s="11" t="inlineStr">
        <is>
          <t>Química 10°–11°</t>
        </is>
      </c>
      <c r="X1050" s="11">
        <f>IF(OR(IFERROR(INDEX('Datos - Catálogo TIMSS'!$I$5:$I$107,MATCH(K1050,'Datos - Catálogo TIMSS'!$A$5:$A$107,0)),"No")="Sí",IFERROR(INDEX('Datos - Catálogo TIMSS'!$I$5:$I$107,MATCH(L1050,'Datos - Catálogo TIMSS'!$A$5:$A$107,0)),"No")="Sí"),1,0)</f>
        <v/>
      </c>
      <c r="Y1050" s="11">
        <f>IF(IFERROR(INDEX('Datos - Catálogo TIMSS'!$J$5:$J$107,MATCH(K1050,'Datos - Catálogo TIMSS'!$A$5:$A$107,0)),"No")="Sí",1,0)</f>
        <v/>
      </c>
      <c r="Z1050" s="11">
        <f>IF(IFERROR(INDEX('Datos - Catálogo TIMSS'!$J$5:$J$107,MATCH(L1050,'Datos - Catálogo TIMSS'!$A$5:$A$107,0)),"No")="Sí",1,0)</f>
        <v/>
      </c>
      <c r="AA1050" s="11" t="inlineStr">
        <is>
          <t>N/A</t>
        </is>
      </c>
      <c r="AB1050" s="11" t="inlineStr"/>
      <c r="AC1050" s="11">
        <f>IF(AA1050="FUERA","Fuera del marco",IF(AA1050="N/A","Sin marco",IFERROR(INDEX('Datos - TIMSS 2023'!$C$5:$C$105,MATCH(AA1050,'Datos - TIMSS 2023'!$A$5:$A$105,0)),"Pendiente de clasificar")))</f>
        <v/>
      </c>
      <c r="AD1050" s="11" t="inlineStr">
        <is>
          <t>2. Construir y evaluar diseños para la indagación científica e interpretar datos y evidencia de forma crítica</t>
        </is>
      </c>
      <c r="AE1050" s="11">
        <f>IF(AD1050="","",IF(LEFT(AD1050,1)="1","C1",IF(LEFT(AD1050,1)="2","C2",IF(LEFT(AD1050,1)="3","C3",""))))</f>
        <v/>
      </c>
      <c r="AF1050" s="11" t="inlineStr">
        <is>
          <t>E1</t>
        </is>
      </c>
      <c r="AG1050" s="11" t="inlineStr">
        <is>
          <t>E3</t>
        </is>
      </c>
      <c r="AH1050" s="11" t="inlineStr">
        <is>
          <t>E2</t>
        </is>
      </c>
      <c r="AI1050" s="11" t="inlineStr">
        <is>
          <t>D4</t>
        </is>
      </c>
      <c r="AJ1050" s="11" t="inlineStr">
        <is>
          <t>D3</t>
        </is>
      </c>
      <c r="AK1050" s="11" t="n"/>
      <c r="AL1050" s="11" t="n"/>
      <c r="AM1050" s="11" t="n"/>
      <c r="AN1050" s="11" t="n"/>
      <c r="AO1050" s="11" t="n"/>
      <c r="AP1050" s="11" t="n"/>
      <c r="AQ1050" s="11" t="n"/>
      <c r="AR1050" s="11" t="n"/>
      <c r="AS1050" s="11" t="n"/>
      <c r="AT1050" s="11" t="n"/>
      <c r="AU1050" s="11" t="n"/>
      <c r="AV1050" s="11" t="n"/>
      <c r="AW1050" s="11">
        <f>AF1050&amp;"; "&amp;AG1050&amp;"; "&amp;AH1050&amp;"; "&amp;AI1050&amp;"; "&amp;AJ1050</f>
        <v/>
      </c>
    </row>
    <row r="1051">
      <c r="A1051" s="11" t="inlineStr">
        <is>
          <t>T0587-G11-QUÍ</t>
        </is>
      </c>
      <c r="B1051" s="11" t="n">
        <v>11</v>
      </c>
      <c r="C1051" s="11" t="inlineStr">
        <is>
          <t>Química</t>
        </is>
      </c>
      <c r="D1051" s="11" t="inlineStr">
        <is>
          <t>Matriz_Bachillerato_Quimica_10_11.xlsx</t>
        </is>
      </c>
      <c r="E1051" s="11" t="inlineStr">
        <is>
          <t>Química 11.°</t>
        </is>
      </c>
      <c r="F1051" s="11" t="n">
        <v>48</v>
      </c>
      <c r="G1051" s="11" t="inlineStr">
        <is>
          <t>4. Reacción ácido-base</t>
        </is>
      </c>
      <c r="H1051" s="11" t="inlineStr">
        <is>
          <t>Titulaciones y curvas de pH</t>
        </is>
      </c>
      <c r="I1051" s="38" t="inlineStr">
        <is>
          <t>4.11. Selección de indicadores ácido-base según su intervalo de viraje y el pH del punto de equivalencia de cada titulación.</t>
        </is>
      </c>
      <c r="J1051" s="11" t="inlineStr">
        <is>
          <t>Sin marco</t>
        </is>
      </c>
      <c r="K1051" s="11" t="inlineStr">
        <is>
          <t>N/A</t>
        </is>
      </c>
      <c r="L1051" s="11" t="inlineStr"/>
      <c r="M1051" s="11">
        <f>IF(K1051="FUERA","Fuera del marco",IF(K1051="N/A","Sin marco",IFERROR(INDEX('Datos - Catálogo TIMSS'!$C$5:$C$107,MATCH(K1051,'Datos - Catálogo TIMSS'!$A$5:$A$107,0)),"Pendiente de clasificar")))</f>
        <v/>
      </c>
      <c r="N1051" s="11">
        <f>IF(K1051="FUERA","Fuera del marco",IF(K1051="N/A","Sin marco",IFERROR(INDEX('Datos - Catálogo TIMSS'!$F$5:$F$107,MATCH(K1051,'Datos - Catálogo TIMSS'!$A$5:$A$107,0)),"Pendiente de clasificar")))</f>
        <v/>
      </c>
      <c r="O1051" s="11">
        <f>IF(L1051="","",IFERROR(INDEX('Datos - Catálogo TIMSS'!$C$5:$C$107,MATCH(L1051,'Datos - Catálogo TIMSS'!$A$5:$A$107,0)),"?"))</f>
        <v/>
      </c>
      <c r="P1051" s="11" t="inlineStr">
        <is>
          <t>N/A</t>
        </is>
      </c>
      <c r="Q1051" s="38" t="inlineStr">
        <is>
          <t>Sin marco TIMSS de contenido para esta asignatura en Bachillerato</t>
        </is>
      </c>
      <c r="R1051" s="38" t="inlineStr">
        <is>
          <t>Aplicar: relacionar pKa del indicador y viraje. Razonar: seleccionar y justificar</t>
        </is>
      </c>
      <c r="S1051" s="39">
        <f>IFERROR(ISNUMBER(SEARCH("Conocer",$R1051))/(ISNUMBER(SEARCH("Conocer",$R1051))+ISNUMBER(SEARCH("Aplicar",$R1051))+ISNUMBER(SEARCH("Razonar",$R1051))),0)</f>
        <v/>
      </c>
      <c r="T1051" s="39">
        <f>IFERROR(ISNUMBER(SEARCH("Aplicar",$R1051))/(ISNUMBER(SEARCH("Conocer",$R1051))+ISNUMBER(SEARCH("Aplicar",$R1051))+ISNUMBER(SEARCH("Razonar",$R1051))),0)</f>
        <v/>
      </c>
      <c r="U1051" s="39">
        <f>IFERROR(ISNUMBER(SEARCH("Razonar",$R1051))/(ISNUMBER(SEARCH("Conocer",$R1051))+ISNUMBER(SEARCH("Aplicar",$R1051))+ISNUMBER(SEARCH("Razonar",$R1051))),0)</f>
        <v/>
      </c>
      <c r="V1051" s="11" t="inlineStr">
        <is>
          <t>Química 11°</t>
        </is>
      </c>
      <c r="W1051" s="11" t="inlineStr">
        <is>
          <t>Química 10°–11°</t>
        </is>
      </c>
      <c r="X1051" s="11">
        <f>IF(OR(IFERROR(INDEX('Datos - Catálogo TIMSS'!$I$5:$I$107,MATCH(K1051,'Datos - Catálogo TIMSS'!$A$5:$A$107,0)),"No")="Sí",IFERROR(INDEX('Datos - Catálogo TIMSS'!$I$5:$I$107,MATCH(L1051,'Datos - Catálogo TIMSS'!$A$5:$A$107,0)),"No")="Sí"),1,0)</f>
        <v/>
      </c>
      <c r="Y1051" s="11">
        <f>IF(IFERROR(INDEX('Datos - Catálogo TIMSS'!$J$5:$J$107,MATCH(K1051,'Datos - Catálogo TIMSS'!$A$5:$A$107,0)),"No")="Sí",1,0)</f>
        <v/>
      </c>
      <c r="Z1051" s="11">
        <f>IF(IFERROR(INDEX('Datos - Catálogo TIMSS'!$J$5:$J$107,MATCH(L1051,'Datos - Catálogo TIMSS'!$A$5:$A$107,0)),"No")="Sí",1,0)</f>
        <v/>
      </c>
      <c r="AA1051" s="11" t="inlineStr">
        <is>
          <t>N/A</t>
        </is>
      </c>
      <c r="AB1051" s="11" t="inlineStr"/>
      <c r="AC1051" s="11">
        <f>IF(AA1051="FUERA","Fuera del marco",IF(AA1051="N/A","Sin marco",IFERROR(INDEX('Datos - TIMSS 2023'!$C$5:$C$105,MATCH(AA1051,'Datos - TIMSS 2023'!$A$5:$A$105,0)),"Pendiente de clasificar")))</f>
        <v/>
      </c>
      <c r="AD1051" s="11" t="inlineStr">
        <is>
          <t>2. Construir y evaluar diseños para la indagación científica e interpretar datos y evidencia de forma crítica</t>
        </is>
      </c>
      <c r="AE1051" s="11">
        <f>IF(AD1051="","",IF(LEFT(AD1051,1)="1","C1",IF(LEFT(AD1051,1)="2","C2",IF(LEFT(AD1051,1)="3","C3",""))))</f>
        <v/>
      </c>
      <c r="AF1051" s="11" t="inlineStr">
        <is>
          <t>E1</t>
        </is>
      </c>
      <c r="AG1051" s="11" t="inlineStr">
        <is>
          <t>D1</t>
        </is>
      </c>
      <c r="AH1051" s="11" t="inlineStr">
        <is>
          <t>E4</t>
        </is>
      </c>
      <c r="AI1051" s="11" t="inlineStr">
        <is>
          <t>D4</t>
        </is>
      </c>
      <c r="AJ1051" s="11" t="inlineStr">
        <is>
          <t>D3</t>
        </is>
      </c>
      <c r="AK1051" s="11" t="n"/>
      <c r="AL1051" s="11" t="n"/>
      <c r="AM1051" s="11" t="n"/>
      <c r="AN1051" s="11" t="n"/>
      <c r="AO1051" s="11" t="n"/>
      <c r="AP1051" s="11" t="n"/>
      <c r="AQ1051" s="11" t="n"/>
      <c r="AR1051" s="11" t="n"/>
      <c r="AS1051" s="11" t="n"/>
      <c r="AT1051" s="11" t="n"/>
      <c r="AU1051" s="11" t="n"/>
      <c r="AV1051" s="11" t="n"/>
      <c r="AW1051" s="11">
        <f>AF1051&amp;"; "&amp;AG1051&amp;"; "&amp;AH1051&amp;"; "&amp;AI1051&amp;"; "&amp;AJ1051</f>
        <v/>
      </c>
    </row>
    <row r="1052">
      <c r="A1052" s="11" t="inlineStr">
        <is>
          <t>T0588-G11-QUÍ</t>
        </is>
      </c>
      <c r="B1052" s="11" t="n">
        <v>11</v>
      </c>
      <c r="C1052" s="11" t="inlineStr">
        <is>
          <t>Química</t>
        </is>
      </c>
      <c r="D1052" s="11" t="inlineStr">
        <is>
          <t>Matriz_Bachillerato_Quimica_10_11.xlsx</t>
        </is>
      </c>
      <c r="E1052" s="11" t="inlineStr">
        <is>
          <t>Química 11.°</t>
        </is>
      </c>
      <c r="F1052" s="11" t="n">
        <v>49</v>
      </c>
      <c r="G1052" s="11" t="inlineStr">
        <is>
          <t>4. Reacción ácido-base</t>
        </is>
      </c>
      <c r="H1052" s="11" t="inlineStr">
        <is>
          <t>Lluvia ácida</t>
        </is>
      </c>
      <c r="I1052" s="38" t="inlineStr">
        <is>
          <t>4.12. Análisis de datos de pH de la lluvia y de las emisiones que la originan, y modelación de sus efectos sobre materiales y ecosistemas.</t>
        </is>
      </c>
      <c r="J1052" s="11" t="inlineStr">
        <is>
          <t>Sin marco</t>
        </is>
      </c>
      <c r="K1052" s="11" t="inlineStr">
        <is>
          <t>N/A</t>
        </is>
      </c>
      <c r="L1052" s="11" t="inlineStr"/>
      <c r="M1052" s="11">
        <f>IF(K1052="FUERA","Fuera del marco",IF(K1052="N/A","Sin marco",IFERROR(INDEX('Datos - Catálogo TIMSS'!$C$5:$C$107,MATCH(K1052,'Datos - Catálogo TIMSS'!$A$5:$A$107,0)),"Pendiente de clasificar")))</f>
        <v/>
      </c>
      <c r="N1052" s="11">
        <f>IF(K1052="FUERA","Fuera del marco",IF(K1052="N/A","Sin marco",IFERROR(INDEX('Datos - Catálogo TIMSS'!$F$5:$F$107,MATCH(K1052,'Datos - Catálogo TIMSS'!$A$5:$A$107,0)),"Pendiente de clasificar")))</f>
        <v/>
      </c>
      <c r="O1052" s="11">
        <f>IF(L1052="","",IFERROR(INDEX('Datos - Catálogo TIMSS'!$C$5:$C$107,MATCH(L1052,'Datos - Catálogo TIMSS'!$A$5:$A$107,0)),"?"))</f>
        <v/>
      </c>
      <c r="P1052" s="11" t="inlineStr">
        <is>
          <t>N/A</t>
        </is>
      </c>
      <c r="Q1052" s="38" t="inlineStr">
        <is>
          <t>Sin marco TIMSS de contenido para esta asignatura en Bachillerato</t>
        </is>
      </c>
      <c r="R1052" s="38" t="inlineStr">
        <is>
          <t>Aplicar: representar reacciones y calcular pH. Razonar: evaluar evidencia ambiental</t>
        </is>
      </c>
      <c r="S1052" s="39">
        <f>IFERROR(ISNUMBER(SEARCH("Conocer",$R1052))/(ISNUMBER(SEARCH("Conocer",$R1052))+ISNUMBER(SEARCH("Aplicar",$R1052))+ISNUMBER(SEARCH("Razonar",$R1052))),0)</f>
        <v/>
      </c>
      <c r="T1052" s="39">
        <f>IFERROR(ISNUMBER(SEARCH("Aplicar",$R1052))/(ISNUMBER(SEARCH("Conocer",$R1052))+ISNUMBER(SEARCH("Aplicar",$R1052))+ISNUMBER(SEARCH("Razonar",$R1052))),0)</f>
        <v/>
      </c>
      <c r="U1052" s="39">
        <f>IFERROR(ISNUMBER(SEARCH("Razonar",$R1052))/(ISNUMBER(SEARCH("Conocer",$R1052))+ISNUMBER(SEARCH("Aplicar",$R1052))+ISNUMBER(SEARCH("Razonar",$R1052))),0)</f>
        <v/>
      </c>
      <c r="V1052" s="11" t="inlineStr">
        <is>
          <t>Química 11°</t>
        </is>
      </c>
      <c r="W1052" s="11" t="inlineStr">
        <is>
          <t>Química 10°–11°</t>
        </is>
      </c>
      <c r="X1052" s="11">
        <f>IF(OR(IFERROR(INDEX('Datos - Catálogo TIMSS'!$I$5:$I$107,MATCH(K1052,'Datos - Catálogo TIMSS'!$A$5:$A$107,0)),"No")="Sí",IFERROR(INDEX('Datos - Catálogo TIMSS'!$I$5:$I$107,MATCH(L1052,'Datos - Catálogo TIMSS'!$A$5:$A$107,0)),"No")="Sí"),1,0)</f>
        <v/>
      </c>
      <c r="Y1052" s="11">
        <f>IF(IFERROR(INDEX('Datos - Catálogo TIMSS'!$J$5:$J$107,MATCH(K1052,'Datos - Catálogo TIMSS'!$A$5:$A$107,0)),"No")="Sí",1,0)</f>
        <v/>
      </c>
      <c r="Z1052" s="11">
        <f>IF(IFERROR(INDEX('Datos - Catálogo TIMSS'!$J$5:$J$107,MATCH(L1052,'Datos - Catálogo TIMSS'!$A$5:$A$107,0)),"No")="Sí",1,0)</f>
        <v/>
      </c>
      <c r="AA1052" s="11" t="inlineStr">
        <is>
          <t>N/A</t>
        </is>
      </c>
      <c r="AB1052" s="11" t="inlineStr"/>
      <c r="AC1052" s="11">
        <f>IF(AA1052="FUERA","Fuera del marco",IF(AA1052="N/A","Sin marco",IFERROR(INDEX('Datos - TIMSS 2023'!$C$5:$C$105,MATCH(AA1052,'Datos - TIMSS 2023'!$A$5:$A$105,0)),"Pendiente de clasificar")))</f>
        <v/>
      </c>
      <c r="AD1052" s="11" t="inlineStr">
        <is>
          <t>3. Investigar, evaluar y usar información científica para tomar decisiones y actuar</t>
        </is>
      </c>
      <c r="AE1052" s="11">
        <f>IF(AD1052="","",IF(LEFT(AD1052,1)="1","C1",IF(LEFT(AD1052,1)="2","C2",IF(LEFT(AD1052,1)="3","C3",""))))</f>
        <v/>
      </c>
      <c r="AF1052" s="11" t="inlineStr">
        <is>
          <t>E6</t>
        </is>
      </c>
      <c r="AG1052" s="11" t="inlineStr">
        <is>
          <t>D1</t>
        </is>
      </c>
      <c r="AH1052" s="11" t="inlineStr">
        <is>
          <t>E2</t>
        </is>
      </c>
      <c r="AI1052" s="11" t="inlineStr">
        <is>
          <t>I3</t>
        </is>
      </c>
      <c r="AJ1052" s="11" t="inlineStr">
        <is>
          <t>D3</t>
        </is>
      </c>
      <c r="AK1052" s="11" t="n"/>
      <c r="AL1052" s="11" t="n"/>
      <c r="AM1052" s="11" t="n"/>
      <c r="AN1052" s="11" t="n"/>
      <c r="AO1052" s="11" t="n"/>
      <c r="AP1052" s="11" t="n"/>
      <c r="AQ1052" s="11" t="n"/>
      <c r="AR1052" s="11" t="n"/>
      <c r="AS1052" s="11" t="n"/>
      <c r="AT1052" s="11" t="n"/>
      <c r="AU1052" s="11" t="n"/>
      <c r="AV1052" s="11" t="n"/>
      <c r="AW1052" s="11">
        <f>AF1052&amp;"; "&amp;AG1052&amp;"; "&amp;AH1052&amp;"; "&amp;AI1052&amp;"; "&amp;AJ1052</f>
        <v/>
      </c>
    </row>
    <row r="1053">
      <c r="A1053" s="11" t="inlineStr">
        <is>
          <t>T0589-G11-QUÍ</t>
        </is>
      </c>
      <c r="B1053" s="11" t="n">
        <v>11</v>
      </c>
      <c r="C1053" s="11" t="inlineStr">
        <is>
          <t>Química</t>
        </is>
      </c>
      <c r="D1053" s="11" t="inlineStr">
        <is>
          <t>Matriz_Bachillerato_Quimica_10_11.xlsx</t>
        </is>
      </c>
      <c r="E1053" s="11" t="inlineStr">
        <is>
          <t>Química 11.°</t>
        </is>
      </c>
      <c r="F1053" s="11" t="n">
        <v>50</v>
      </c>
      <c r="G1053" s="11" t="inlineStr">
        <is>
          <t>5. Reacciones de precipitación</t>
        </is>
      </c>
      <c r="H1053" s="11" t="inlineStr">
        <is>
          <t>Equilibrio de solubilidad</t>
        </is>
      </c>
      <c r="I1053" s="38" t="inlineStr">
        <is>
          <t>5.1. Cálculo de la solubilidad molar de sales poco solubles a partir de su constante del producto de solubilidad.</t>
        </is>
      </c>
      <c r="J1053" s="11" t="inlineStr">
        <is>
          <t>Sin marco</t>
        </is>
      </c>
      <c r="K1053" s="11" t="inlineStr">
        <is>
          <t>N/A</t>
        </is>
      </c>
      <c r="L1053" s="11" t="inlineStr"/>
      <c r="M1053" s="11">
        <f>IF(K1053="FUERA","Fuera del marco",IF(K1053="N/A","Sin marco",IFERROR(INDEX('Datos - Catálogo TIMSS'!$C$5:$C$107,MATCH(K1053,'Datos - Catálogo TIMSS'!$A$5:$A$107,0)),"Pendiente de clasificar")))</f>
        <v/>
      </c>
      <c r="N1053" s="11">
        <f>IF(K1053="FUERA","Fuera del marco",IF(K1053="N/A","Sin marco",IFERROR(INDEX('Datos - Catálogo TIMSS'!$F$5:$F$107,MATCH(K1053,'Datos - Catálogo TIMSS'!$A$5:$A$107,0)),"Pendiente de clasificar")))</f>
        <v/>
      </c>
      <c r="O1053" s="11">
        <f>IF(L1053="","",IFERROR(INDEX('Datos - Catálogo TIMSS'!$C$5:$C$107,MATCH(L1053,'Datos - Catálogo TIMSS'!$A$5:$A$107,0)),"?"))</f>
        <v/>
      </c>
      <c r="P1053" s="11" t="inlineStr">
        <is>
          <t>N/A</t>
        </is>
      </c>
      <c r="Q1053" s="38" t="inlineStr">
        <is>
          <t>Sin marco TIMSS de contenido para esta asignatura en Bachillerato</t>
        </is>
      </c>
      <c r="R1053" s="38" t="inlineStr">
        <is>
          <t>Aplicar: plantear la expresión de Kps y calcular la solubilidad. Razonar: comparar sales de distinta estequiometría</t>
        </is>
      </c>
      <c r="S1053" s="39">
        <f>IFERROR(ISNUMBER(SEARCH("Conocer",$R1053))/(ISNUMBER(SEARCH("Conocer",$R1053))+ISNUMBER(SEARCH("Aplicar",$R1053))+ISNUMBER(SEARCH("Razonar",$R1053))),0)</f>
        <v/>
      </c>
      <c r="T1053" s="39">
        <f>IFERROR(ISNUMBER(SEARCH("Aplicar",$R1053))/(ISNUMBER(SEARCH("Conocer",$R1053))+ISNUMBER(SEARCH("Aplicar",$R1053))+ISNUMBER(SEARCH("Razonar",$R1053))),0)</f>
        <v/>
      </c>
      <c r="U1053" s="39">
        <f>IFERROR(ISNUMBER(SEARCH("Razonar",$R1053))/(ISNUMBER(SEARCH("Conocer",$R1053))+ISNUMBER(SEARCH("Aplicar",$R1053))+ISNUMBER(SEARCH("Razonar",$R1053))),0)</f>
        <v/>
      </c>
      <c r="V1053" s="11" t="inlineStr">
        <is>
          <t>Química 11°</t>
        </is>
      </c>
      <c r="W1053" s="11" t="inlineStr">
        <is>
          <t>Química 10°–11°</t>
        </is>
      </c>
      <c r="X1053" s="11">
        <f>IF(OR(IFERROR(INDEX('Datos - Catálogo TIMSS'!$I$5:$I$107,MATCH(K1053,'Datos - Catálogo TIMSS'!$A$5:$A$107,0)),"No")="Sí",IFERROR(INDEX('Datos - Catálogo TIMSS'!$I$5:$I$107,MATCH(L1053,'Datos - Catálogo TIMSS'!$A$5:$A$107,0)),"No")="Sí"),1,0)</f>
        <v/>
      </c>
      <c r="Y1053" s="11">
        <f>IF(IFERROR(INDEX('Datos - Catálogo TIMSS'!$J$5:$J$107,MATCH(K1053,'Datos - Catálogo TIMSS'!$A$5:$A$107,0)),"No")="Sí",1,0)</f>
        <v/>
      </c>
      <c r="Z1053" s="11">
        <f>IF(IFERROR(INDEX('Datos - Catálogo TIMSS'!$J$5:$J$107,MATCH(L1053,'Datos - Catálogo TIMSS'!$A$5:$A$107,0)),"No")="Sí",1,0)</f>
        <v/>
      </c>
      <c r="AA1053" s="11" t="inlineStr">
        <is>
          <t>N/A</t>
        </is>
      </c>
      <c r="AB1053" s="11" t="inlineStr"/>
      <c r="AC1053" s="11">
        <f>IF(AA1053="FUERA","Fuera del marco",IF(AA1053="N/A","Sin marco",IFERROR(INDEX('Datos - TIMSS 2023'!$C$5:$C$105,MATCH(AA1053,'Datos - TIMSS 2023'!$A$5:$A$105,0)),"Pendiente de clasificar")))</f>
        <v/>
      </c>
      <c r="AD1053" s="11" t="inlineStr">
        <is>
          <t>1. Explicar fenómenos científicamente</t>
        </is>
      </c>
      <c r="AE1053" s="11">
        <f>IF(AD1053="","",IF(LEFT(AD1053,1)="1","C1",IF(LEFT(AD1053,1)="2","C2",IF(LEFT(AD1053,1)="3","C3",""))))</f>
        <v/>
      </c>
      <c r="AF1053" s="11" t="inlineStr">
        <is>
          <t>E1</t>
        </is>
      </c>
      <c r="AG1053" s="11" t="inlineStr">
        <is>
          <t>E3</t>
        </is>
      </c>
      <c r="AH1053" s="11" t="inlineStr">
        <is>
          <t>E2</t>
        </is>
      </c>
      <c r="AI1053" s="11" t="inlineStr">
        <is>
          <t>D4</t>
        </is>
      </c>
      <c r="AJ1053" s="11" t="inlineStr">
        <is>
          <t>E3</t>
        </is>
      </c>
      <c r="AK1053" s="11" t="n"/>
      <c r="AL1053" s="11" t="n"/>
      <c r="AM1053" s="11" t="n"/>
      <c r="AN1053" s="11" t="n"/>
      <c r="AO1053" s="11" t="n"/>
      <c r="AP1053" s="11" t="n"/>
      <c r="AQ1053" s="11" t="n"/>
      <c r="AR1053" s="11" t="n"/>
      <c r="AS1053" s="11" t="n"/>
      <c r="AT1053" s="11" t="n"/>
      <c r="AU1053" s="11" t="n"/>
      <c r="AV1053" s="11" t="n"/>
      <c r="AW1053" s="11">
        <f>AF1053&amp;"; "&amp;AG1053&amp;"; "&amp;AH1053&amp;"; "&amp;AI1053&amp;"; "&amp;AJ1053</f>
        <v/>
      </c>
    </row>
    <row r="1054">
      <c r="A1054" s="11" t="inlineStr">
        <is>
          <t>T0590-G11-QUÍ</t>
        </is>
      </c>
      <c r="B1054" s="11" t="n">
        <v>11</v>
      </c>
      <c r="C1054" s="11" t="inlineStr">
        <is>
          <t>Química</t>
        </is>
      </c>
      <c r="D1054" s="11" t="inlineStr">
        <is>
          <t>Matriz_Bachillerato_Quimica_10_11.xlsx</t>
        </is>
      </c>
      <c r="E1054" s="11" t="inlineStr">
        <is>
          <t>Química 11.°</t>
        </is>
      </c>
      <c r="F1054" s="11" t="n">
        <v>51</v>
      </c>
      <c r="G1054" s="11" t="inlineStr">
        <is>
          <t>5. Reacciones de precipitación</t>
        </is>
      </c>
      <c r="H1054" s="11" t="inlineStr">
        <is>
          <t>Equilibrio de solubilidad</t>
        </is>
      </c>
      <c r="I1054" s="38" t="inlineStr">
        <is>
          <t>5.2. Predicción de la formación de precipitados mediante la comparación del producto iónico con el producto de solubilidad.</t>
        </is>
      </c>
      <c r="J1054" s="11" t="inlineStr">
        <is>
          <t>Sin marco</t>
        </is>
      </c>
      <c r="K1054" s="11" t="inlineStr">
        <is>
          <t>N/A</t>
        </is>
      </c>
      <c r="L1054" s="11" t="inlineStr"/>
      <c r="M1054" s="11">
        <f>IF(K1054="FUERA","Fuera del marco",IF(K1054="N/A","Sin marco",IFERROR(INDEX('Datos - Catálogo TIMSS'!$C$5:$C$107,MATCH(K1054,'Datos - Catálogo TIMSS'!$A$5:$A$107,0)),"Pendiente de clasificar")))</f>
        <v/>
      </c>
      <c r="N1054" s="11">
        <f>IF(K1054="FUERA","Fuera del marco",IF(K1054="N/A","Sin marco",IFERROR(INDEX('Datos - Catálogo TIMSS'!$F$5:$F$107,MATCH(K1054,'Datos - Catálogo TIMSS'!$A$5:$A$107,0)),"Pendiente de clasificar")))</f>
        <v/>
      </c>
      <c r="O1054" s="11">
        <f>IF(L1054="","",IFERROR(INDEX('Datos - Catálogo TIMSS'!$C$5:$C$107,MATCH(L1054,'Datos - Catálogo TIMSS'!$A$5:$A$107,0)),"?"))</f>
        <v/>
      </c>
      <c r="P1054" s="11" t="inlineStr">
        <is>
          <t>N/A</t>
        </is>
      </c>
      <c r="Q1054" s="38" t="inlineStr">
        <is>
          <t>Sin marco TIMSS de contenido para esta asignatura en Bachillerato</t>
        </is>
      </c>
      <c r="R1054" s="38" t="inlineStr">
        <is>
          <t>Aplicar: calcular el producto iónico tras la mezcla. Razonar: predecir y justificar la precipitación</t>
        </is>
      </c>
      <c r="S1054" s="39">
        <f>IFERROR(ISNUMBER(SEARCH("Conocer",$R1054))/(ISNUMBER(SEARCH("Conocer",$R1054))+ISNUMBER(SEARCH("Aplicar",$R1054))+ISNUMBER(SEARCH("Razonar",$R1054))),0)</f>
        <v/>
      </c>
      <c r="T1054" s="39">
        <f>IFERROR(ISNUMBER(SEARCH("Aplicar",$R1054))/(ISNUMBER(SEARCH("Conocer",$R1054))+ISNUMBER(SEARCH("Aplicar",$R1054))+ISNUMBER(SEARCH("Razonar",$R1054))),0)</f>
        <v/>
      </c>
      <c r="U1054" s="39">
        <f>IFERROR(ISNUMBER(SEARCH("Razonar",$R1054))/(ISNUMBER(SEARCH("Conocer",$R1054))+ISNUMBER(SEARCH("Aplicar",$R1054))+ISNUMBER(SEARCH("Razonar",$R1054))),0)</f>
        <v/>
      </c>
      <c r="V1054" s="11" t="inlineStr">
        <is>
          <t>Química 11°</t>
        </is>
      </c>
      <c r="W1054" s="11" t="inlineStr">
        <is>
          <t>Química 10°–11°</t>
        </is>
      </c>
      <c r="X1054" s="11">
        <f>IF(OR(IFERROR(INDEX('Datos - Catálogo TIMSS'!$I$5:$I$107,MATCH(K1054,'Datos - Catálogo TIMSS'!$A$5:$A$107,0)),"No")="Sí",IFERROR(INDEX('Datos - Catálogo TIMSS'!$I$5:$I$107,MATCH(L1054,'Datos - Catálogo TIMSS'!$A$5:$A$107,0)),"No")="Sí"),1,0)</f>
        <v/>
      </c>
      <c r="Y1054" s="11">
        <f>IF(IFERROR(INDEX('Datos - Catálogo TIMSS'!$J$5:$J$107,MATCH(K1054,'Datos - Catálogo TIMSS'!$A$5:$A$107,0)),"No")="Sí",1,0)</f>
        <v/>
      </c>
      <c r="Z1054" s="11">
        <f>IF(IFERROR(INDEX('Datos - Catálogo TIMSS'!$J$5:$J$107,MATCH(L1054,'Datos - Catálogo TIMSS'!$A$5:$A$107,0)),"No")="Sí",1,0)</f>
        <v/>
      </c>
      <c r="AA1054" s="11" t="inlineStr">
        <is>
          <t>N/A</t>
        </is>
      </c>
      <c r="AB1054" s="11" t="inlineStr"/>
      <c r="AC1054" s="11">
        <f>IF(AA1054="FUERA","Fuera del marco",IF(AA1054="N/A","Sin marco",IFERROR(INDEX('Datos - TIMSS 2023'!$C$5:$C$105,MATCH(AA1054,'Datos - TIMSS 2023'!$A$5:$A$105,0)),"Pendiente de clasificar")))</f>
        <v/>
      </c>
      <c r="AD1054" s="11" t="inlineStr">
        <is>
          <t>1. Explicar fenómenos científicamente</t>
        </is>
      </c>
      <c r="AE1054" s="11">
        <f>IF(AD1054="","",IF(LEFT(AD1054,1)="1","C1",IF(LEFT(AD1054,1)="2","C2",IF(LEFT(AD1054,1)="3","C3",""))))</f>
        <v/>
      </c>
      <c r="AF1054" s="11" t="inlineStr">
        <is>
          <t>E1</t>
        </is>
      </c>
      <c r="AG1054" s="11" t="inlineStr">
        <is>
          <t>D1</t>
        </is>
      </c>
      <c r="AH1054" s="11" t="inlineStr">
        <is>
          <t>E2</t>
        </is>
      </c>
      <c r="AI1054" s="11" t="inlineStr">
        <is>
          <t>D4</t>
        </is>
      </c>
      <c r="AJ1054" s="11" t="inlineStr">
        <is>
          <t>E3</t>
        </is>
      </c>
      <c r="AK1054" s="11" t="n"/>
      <c r="AL1054" s="11" t="n"/>
      <c r="AM1054" s="11" t="n"/>
      <c r="AN1054" s="11" t="n"/>
      <c r="AO1054" s="11" t="n"/>
      <c r="AP1054" s="11" t="n"/>
      <c r="AQ1054" s="11" t="n"/>
      <c r="AR1054" s="11" t="n"/>
      <c r="AS1054" s="11" t="n"/>
      <c r="AT1054" s="11" t="n"/>
      <c r="AU1054" s="11" t="n"/>
      <c r="AV1054" s="11" t="n"/>
      <c r="AW1054" s="11">
        <f>AF1054&amp;"; "&amp;AG1054&amp;"; "&amp;AH1054&amp;"; "&amp;AI1054&amp;"; "&amp;AJ1054</f>
        <v/>
      </c>
    </row>
    <row r="1055">
      <c r="A1055" s="11" t="inlineStr">
        <is>
          <t>T0591-G11-QUÍ</t>
        </is>
      </c>
      <c r="B1055" s="11" t="n">
        <v>11</v>
      </c>
      <c r="C1055" s="11" t="inlineStr">
        <is>
          <t>Química</t>
        </is>
      </c>
      <c r="D1055" s="11" t="inlineStr">
        <is>
          <t>Matriz_Bachillerato_Quimica_10_11.xlsx</t>
        </is>
      </c>
      <c r="E1055" s="11" t="inlineStr">
        <is>
          <t>Química 11.°</t>
        </is>
      </c>
      <c r="F1055" s="11" t="n">
        <v>52</v>
      </c>
      <c r="G1055" s="11" t="inlineStr">
        <is>
          <t>5. Reacciones de precipitación</t>
        </is>
      </c>
      <c r="H1055" s="11" t="inlineStr">
        <is>
          <t>Factores que afectan la solubilidad</t>
        </is>
      </c>
      <c r="I1055" s="38" t="inlineStr">
        <is>
          <t>5.3. Análisis del efecto del ion común, del pH, de la temperatura y de la formación de iones complejos sobre la solubilidad de un precipitado.</t>
        </is>
      </c>
      <c r="J1055" s="11" t="inlineStr">
        <is>
          <t>Sin marco</t>
        </is>
      </c>
      <c r="K1055" s="11" t="inlineStr">
        <is>
          <t>N/A</t>
        </is>
      </c>
      <c r="L1055" s="11" t="inlineStr"/>
      <c r="M1055" s="11">
        <f>IF(K1055="FUERA","Fuera del marco",IF(K1055="N/A","Sin marco",IFERROR(INDEX('Datos - Catálogo TIMSS'!$C$5:$C$107,MATCH(K1055,'Datos - Catálogo TIMSS'!$A$5:$A$107,0)),"Pendiente de clasificar")))</f>
        <v/>
      </c>
      <c r="N1055" s="11">
        <f>IF(K1055="FUERA","Fuera del marco",IF(K1055="N/A","Sin marco",IFERROR(INDEX('Datos - Catálogo TIMSS'!$F$5:$F$107,MATCH(K1055,'Datos - Catálogo TIMSS'!$A$5:$A$107,0)),"Pendiente de clasificar")))</f>
        <v/>
      </c>
      <c r="O1055" s="11">
        <f>IF(L1055="","",IFERROR(INDEX('Datos - Catálogo TIMSS'!$C$5:$C$107,MATCH(L1055,'Datos - Catálogo TIMSS'!$A$5:$A$107,0)),"?"))</f>
        <v/>
      </c>
      <c r="P1055" s="11" t="inlineStr">
        <is>
          <t>N/A</t>
        </is>
      </c>
      <c r="Q1055" s="38" t="inlineStr">
        <is>
          <t>Sin marco TIMSS de contenido para esta asignatura en Bachillerato</t>
        </is>
      </c>
      <c r="R1055" s="38" t="inlineStr">
        <is>
          <t>Aplicar: calcular la solubilidad con ion común. Razonar: explicar desplazamientos del equilibrio con Le Châtelier</t>
        </is>
      </c>
      <c r="S1055" s="39">
        <f>IFERROR(ISNUMBER(SEARCH("Conocer",$R1055))/(ISNUMBER(SEARCH("Conocer",$R1055))+ISNUMBER(SEARCH("Aplicar",$R1055))+ISNUMBER(SEARCH("Razonar",$R1055))),0)</f>
        <v/>
      </c>
      <c r="T1055" s="39">
        <f>IFERROR(ISNUMBER(SEARCH("Aplicar",$R1055))/(ISNUMBER(SEARCH("Conocer",$R1055))+ISNUMBER(SEARCH("Aplicar",$R1055))+ISNUMBER(SEARCH("Razonar",$R1055))),0)</f>
        <v/>
      </c>
      <c r="U1055" s="39">
        <f>IFERROR(ISNUMBER(SEARCH("Razonar",$R1055))/(ISNUMBER(SEARCH("Conocer",$R1055))+ISNUMBER(SEARCH("Aplicar",$R1055))+ISNUMBER(SEARCH("Razonar",$R1055))),0)</f>
        <v/>
      </c>
      <c r="V1055" s="11" t="inlineStr">
        <is>
          <t>Química 11°</t>
        </is>
      </c>
      <c r="W1055" s="11" t="inlineStr">
        <is>
          <t>Química 10°–11°</t>
        </is>
      </c>
      <c r="X1055" s="11">
        <f>IF(OR(IFERROR(INDEX('Datos - Catálogo TIMSS'!$I$5:$I$107,MATCH(K1055,'Datos - Catálogo TIMSS'!$A$5:$A$107,0)),"No")="Sí",IFERROR(INDEX('Datos - Catálogo TIMSS'!$I$5:$I$107,MATCH(L1055,'Datos - Catálogo TIMSS'!$A$5:$A$107,0)),"No")="Sí"),1,0)</f>
        <v/>
      </c>
      <c r="Y1055" s="11">
        <f>IF(IFERROR(INDEX('Datos - Catálogo TIMSS'!$J$5:$J$107,MATCH(K1055,'Datos - Catálogo TIMSS'!$A$5:$A$107,0)),"No")="Sí",1,0)</f>
        <v/>
      </c>
      <c r="Z1055" s="11">
        <f>IF(IFERROR(INDEX('Datos - Catálogo TIMSS'!$J$5:$J$107,MATCH(L1055,'Datos - Catálogo TIMSS'!$A$5:$A$107,0)),"No")="Sí",1,0)</f>
        <v/>
      </c>
      <c r="AA1055" s="11" t="inlineStr">
        <is>
          <t>N/A</t>
        </is>
      </c>
      <c r="AB1055" s="11" t="inlineStr"/>
      <c r="AC1055" s="11">
        <f>IF(AA1055="FUERA","Fuera del marco",IF(AA1055="N/A","Sin marco",IFERROR(INDEX('Datos - TIMSS 2023'!$C$5:$C$105,MATCH(AA1055,'Datos - TIMSS 2023'!$A$5:$A$105,0)),"Pendiente de clasificar")))</f>
        <v/>
      </c>
      <c r="AD1055" s="11" t="inlineStr">
        <is>
          <t>1. Explicar fenómenos científicamente</t>
        </is>
      </c>
      <c r="AE1055" s="11">
        <f>IF(AD1055="","",IF(LEFT(AD1055,1)="1","C1",IF(LEFT(AD1055,1)="2","C2",IF(LEFT(AD1055,1)="3","C3",""))))</f>
        <v/>
      </c>
      <c r="AF1055" s="11" t="inlineStr">
        <is>
          <t>E6</t>
        </is>
      </c>
      <c r="AG1055" s="11" t="inlineStr">
        <is>
          <t>E5</t>
        </is>
      </c>
      <c r="AH1055" s="11" t="inlineStr">
        <is>
          <t>E4</t>
        </is>
      </c>
      <c r="AI1055" s="11" t="inlineStr">
        <is>
          <t>D4</t>
        </is>
      </c>
      <c r="AJ1055" s="11" t="inlineStr">
        <is>
          <t>I5</t>
        </is>
      </c>
      <c r="AK1055" s="11" t="n"/>
      <c r="AL1055" s="11" t="n"/>
      <c r="AM1055" s="11" t="n"/>
      <c r="AN1055" s="11" t="n"/>
      <c r="AO1055" s="11" t="n"/>
      <c r="AP1055" s="11" t="n"/>
      <c r="AQ1055" s="11" t="n"/>
      <c r="AR1055" s="11" t="n"/>
      <c r="AS1055" s="11" t="n"/>
      <c r="AT1055" s="11" t="n"/>
      <c r="AU1055" s="11" t="n"/>
      <c r="AV1055" s="11" t="n"/>
      <c r="AW1055" s="11">
        <f>AF1055&amp;"; "&amp;AG1055&amp;"; "&amp;AH1055&amp;"; "&amp;AI1055&amp;"; "&amp;AJ1055</f>
        <v/>
      </c>
    </row>
    <row r="1056">
      <c r="A1056" s="11" t="inlineStr">
        <is>
          <t>T0592-G11-QUÍ</t>
        </is>
      </c>
      <c r="B1056" s="11" t="n">
        <v>11</v>
      </c>
      <c r="C1056" s="11" t="inlineStr">
        <is>
          <t>Química</t>
        </is>
      </c>
      <c r="D1056" s="11" t="inlineStr">
        <is>
          <t>Matriz_Bachillerato_Quimica_10_11.xlsx</t>
        </is>
      </c>
      <c r="E1056" s="11" t="inlineStr">
        <is>
          <t>Química 11.°</t>
        </is>
      </c>
      <c r="F1056" s="11" t="n">
        <v>53</v>
      </c>
      <c r="G1056" s="11" t="inlineStr">
        <is>
          <t>5. Reacciones de precipitación</t>
        </is>
      </c>
      <c r="H1056" s="11" t="inlineStr">
        <is>
          <t>Precipitación selectiva</t>
        </is>
      </c>
      <c r="I1056" s="38" t="inlineStr">
        <is>
          <t>5.4. Cálculo de la concentración de iones necesaria para iniciar la precipitación y diseño de una separación por precipitación selectiva.</t>
        </is>
      </c>
      <c r="J1056" s="11" t="inlineStr">
        <is>
          <t>Sin marco</t>
        </is>
      </c>
      <c r="K1056" s="11" t="inlineStr">
        <is>
          <t>N/A</t>
        </is>
      </c>
      <c r="L1056" s="11" t="inlineStr"/>
      <c r="M1056" s="11">
        <f>IF(K1056="FUERA","Fuera del marco",IF(K1056="N/A","Sin marco",IFERROR(INDEX('Datos - Catálogo TIMSS'!$C$5:$C$107,MATCH(K1056,'Datos - Catálogo TIMSS'!$A$5:$A$107,0)),"Pendiente de clasificar")))</f>
        <v/>
      </c>
      <c r="N1056" s="11">
        <f>IF(K1056="FUERA","Fuera del marco",IF(K1056="N/A","Sin marco",IFERROR(INDEX('Datos - Catálogo TIMSS'!$F$5:$F$107,MATCH(K1056,'Datos - Catálogo TIMSS'!$A$5:$A$107,0)),"Pendiente de clasificar")))</f>
        <v/>
      </c>
      <c r="O1056" s="11">
        <f>IF(L1056="","",IFERROR(INDEX('Datos - Catálogo TIMSS'!$C$5:$C$107,MATCH(L1056,'Datos - Catálogo TIMSS'!$A$5:$A$107,0)),"?"))</f>
        <v/>
      </c>
      <c r="P1056" s="11" t="inlineStr">
        <is>
          <t>N/A</t>
        </is>
      </c>
      <c r="Q1056" s="38" t="inlineStr">
        <is>
          <t>Sin marco TIMSS de contenido para esta asignatura en Bachillerato</t>
        </is>
      </c>
      <c r="R1056" s="38" t="inlineStr">
        <is>
          <t>Aplicar: calcular concentraciones límite de precipitación. Razonar: diseñar y evaluar una separación</t>
        </is>
      </c>
      <c r="S1056" s="39">
        <f>IFERROR(ISNUMBER(SEARCH("Conocer",$R1056))/(ISNUMBER(SEARCH("Conocer",$R1056))+ISNUMBER(SEARCH("Aplicar",$R1056))+ISNUMBER(SEARCH("Razonar",$R1056))),0)</f>
        <v/>
      </c>
      <c r="T1056" s="39">
        <f>IFERROR(ISNUMBER(SEARCH("Aplicar",$R1056))/(ISNUMBER(SEARCH("Conocer",$R1056))+ISNUMBER(SEARCH("Aplicar",$R1056))+ISNUMBER(SEARCH("Razonar",$R1056))),0)</f>
        <v/>
      </c>
      <c r="U1056" s="39">
        <f>IFERROR(ISNUMBER(SEARCH("Razonar",$R1056))/(ISNUMBER(SEARCH("Conocer",$R1056))+ISNUMBER(SEARCH("Aplicar",$R1056))+ISNUMBER(SEARCH("Razonar",$R1056))),0)</f>
        <v/>
      </c>
      <c r="V1056" s="11" t="inlineStr">
        <is>
          <t>Química 11°</t>
        </is>
      </c>
      <c r="W1056" s="11" t="inlineStr">
        <is>
          <t>Química 10°–11°</t>
        </is>
      </c>
      <c r="X1056" s="11">
        <f>IF(OR(IFERROR(INDEX('Datos - Catálogo TIMSS'!$I$5:$I$107,MATCH(K1056,'Datos - Catálogo TIMSS'!$A$5:$A$107,0)),"No")="Sí",IFERROR(INDEX('Datos - Catálogo TIMSS'!$I$5:$I$107,MATCH(L1056,'Datos - Catálogo TIMSS'!$A$5:$A$107,0)),"No")="Sí"),1,0)</f>
        <v/>
      </c>
      <c r="Y1056" s="11">
        <f>IF(IFERROR(INDEX('Datos - Catálogo TIMSS'!$J$5:$J$107,MATCH(K1056,'Datos - Catálogo TIMSS'!$A$5:$A$107,0)),"No")="Sí",1,0)</f>
        <v/>
      </c>
      <c r="Z1056" s="11">
        <f>IF(IFERROR(INDEX('Datos - Catálogo TIMSS'!$J$5:$J$107,MATCH(L1056,'Datos - Catálogo TIMSS'!$A$5:$A$107,0)),"No")="Sí",1,0)</f>
        <v/>
      </c>
      <c r="AA1056" s="11" t="inlineStr">
        <is>
          <t>N/A</t>
        </is>
      </c>
      <c r="AB1056" s="11" t="inlineStr"/>
      <c r="AC1056" s="11">
        <f>IF(AA1056="FUERA","Fuera del marco",IF(AA1056="N/A","Sin marco",IFERROR(INDEX('Datos - TIMSS 2023'!$C$5:$C$105,MATCH(AA1056,'Datos - TIMSS 2023'!$A$5:$A$105,0)),"Pendiente de clasificar")))</f>
        <v/>
      </c>
      <c r="AD1056" s="11" t="inlineStr">
        <is>
          <t>2. Construir y evaluar diseños para la indagación científica e interpretar datos y evidencia de forma crítica</t>
        </is>
      </c>
      <c r="AE1056" s="11">
        <f>IF(AD1056="","",IF(LEFT(AD1056,1)="1","C1",IF(LEFT(AD1056,1)="2","C2",IF(LEFT(AD1056,1)="3","C3",""))))</f>
        <v/>
      </c>
      <c r="AF1056" s="11" t="inlineStr">
        <is>
          <t>E1</t>
        </is>
      </c>
      <c r="AG1056" s="11" t="inlineStr">
        <is>
          <t>D1</t>
        </is>
      </c>
      <c r="AH1056" s="11" t="inlineStr">
        <is>
          <t>E2</t>
        </is>
      </c>
      <c r="AI1056" s="11" t="inlineStr">
        <is>
          <t>D2</t>
        </is>
      </c>
      <c r="AJ1056" s="11" t="inlineStr">
        <is>
          <t>D3</t>
        </is>
      </c>
      <c r="AK1056" s="11" t="n"/>
      <c r="AL1056" s="11" t="n"/>
      <c r="AM1056" s="11" t="n"/>
      <c r="AN1056" s="11" t="n"/>
      <c r="AO1056" s="11" t="n"/>
      <c r="AP1056" s="11" t="n"/>
      <c r="AQ1056" s="11" t="n"/>
      <c r="AR1056" s="11" t="n"/>
      <c r="AS1056" s="11" t="n"/>
      <c r="AT1056" s="11" t="n"/>
      <c r="AU1056" s="11" t="n"/>
      <c r="AV1056" s="11" t="n"/>
      <c r="AW1056" s="11">
        <f>AF1056&amp;"; "&amp;AG1056&amp;"; "&amp;AH1056&amp;"; "&amp;AI1056&amp;"; "&amp;AJ1056</f>
        <v/>
      </c>
    </row>
    <row r="1057">
      <c r="A1057" s="11" t="inlineStr">
        <is>
          <t>T0593-G11-QUÍ</t>
        </is>
      </c>
      <c r="B1057" s="11" t="n">
        <v>11</v>
      </c>
      <c r="C1057" s="11" t="inlineStr">
        <is>
          <t>Química</t>
        </is>
      </c>
      <c r="D1057" s="11" t="inlineStr">
        <is>
          <t>Matriz_Bachillerato_Quimica_10_11.xlsx</t>
        </is>
      </c>
      <c r="E1057" s="11" t="inlineStr">
        <is>
          <t>Química 11.°</t>
        </is>
      </c>
      <c r="F1057" s="11" t="n">
        <v>54</v>
      </c>
      <c r="G1057" s="11" t="inlineStr">
        <is>
          <t>5. Reacciones de precipitación</t>
        </is>
      </c>
      <c r="H1057" s="11" t="inlineStr">
        <is>
          <t>Precipitación selectiva</t>
        </is>
      </c>
      <c r="I1057" s="38" t="inlineStr">
        <is>
          <t>5.5. Interpretación de una marcha analítica de cationes basada en reacciones de precipitación selectiva.</t>
        </is>
      </c>
      <c r="J1057" s="11" t="inlineStr">
        <is>
          <t>Sin marco</t>
        </is>
      </c>
      <c r="K1057" s="11" t="inlineStr">
        <is>
          <t>N/A</t>
        </is>
      </c>
      <c r="L1057" s="11" t="inlineStr"/>
      <c r="M1057" s="11">
        <f>IF(K1057="FUERA","Fuera del marco",IF(K1057="N/A","Sin marco",IFERROR(INDEX('Datos - Catálogo TIMSS'!$C$5:$C$107,MATCH(K1057,'Datos - Catálogo TIMSS'!$A$5:$A$107,0)),"Pendiente de clasificar")))</f>
        <v/>
      </c>
      <c r="N1057" s="11">
        <f>IF(K1057="FUERA","Fuera del marco",IF(K1057="N/A","Sin marco",IFERROR(INDEX('Datos - Catálogo TIMSS'!$F$5:$F$107,MATCH(K1057,'Datos - Catálogo TIMSS'!$A$5:$A$107,0)),"Pendiente de clasificar")))</f>
        <v/>
      </c>
      <c r="O1057" s="11">
        <f>IF(L1057="","",IFERROR(INDEX('Datos - Catálogo TIMSS'!$C$5:$C$107,MATCH(L1057,'Datos - Catálogo TIMSS'!$A$5:$A$107,0)),"?"))</f>
        <v/>
      </c>
      <c r="P1057" s="11" t="inlineStr">
        <is>
          <t>N/A</t>
        </is>
      </c>
      <c r="Q1057" s="38" t="inlineStr">
        <is>
          <t>Sin marco TIMSS de contenido para esta asignatura en Bachillerato</t>
        </is>
      </c>
      <c r="R1057" s="38" t="inlineStr">
        <is>
          <t>Conocer: reconocer reactivos de grupo. Razonar: deducir la composición de una muestra a partir de observaciones</t>
        </is>
      </c>
      <c r="S1057" s="39">
        <f>IFERROR(ISNUMBER(SEARCH("Conocer",$R1057))/(ISNUMBER(SEARCH("Conocer",$R1057))+ISNUMBER(SEARCH("Aplicar",$R1057))+ISNUMBER(SEARCH("Razonar",$R1057))),0)</f>
        <v/>
      </c>
      <c r="T1057" s="39">
        <f>IFERROR(ISNUMBER(SEARCH("Aplicar",$R1057))/(ISNUMBER(SEARCH("Conocer",$R1057))+ISNUMBER(SEARCH("Aplicar",$R1057))+ISNUMBER(SEARCH("Razonar",$R1057))),0)</f>
        <v/>
      </c>
      <c r="U1057" s="39">
        <f>IFERROR(ISNUMBER(SEARCH("Razonar",$R1057))/(ISNUMBER(SEARCH("Conocer",$R1057))+ISNUMBER(SEARCH("Aplicar",$R1057))+ISNUMBER(SEARCH("Razonar",$R1057))),0)</f>
        <v/>
      </c>
      <c r="V1057" s="11" t="inlineStr">
        <is>
          <t>Química 11°</t>
        </is>
      </c>
      <c r="W1057" s="11" t="inlineStr">
        <is>
          <t>Química 10°–11°</t>
        </is>
      </c>
      <c r="X1057" s="11">
        <f>IF(OR(IFERROR(INDEX('Datos - Catálogo TIMSS'!$I$5:$I$107,MATCH(K1057,'Datos - Catálogo TIMSS'!$A$5:$A$107,0)),"No")="Sí",IFERROR(INDEX('Datos - Catálogo TIMSS'!$I$5:$I$107,MATCH(L1057,'Datos - Catálogo TIMSS'!$A$5:$A$107,0)),"No")="Sí"),1,0)</f>
        <v/>
      </c>
      <c r="Y1057" s="11">
        <f>IF(IFERROR(INDEX('Datos - Catálogo TIMSS'!$J$5:$J$107,MATCH(K1057,'Datos - Catálogo TIMSS'!$A$5:$A$107,0)),"No")="Sí",1,0)</f>
        <v/>
      </c>
      <c r="Z1057" s="11">
        <f>IF(IFERROR(INDEX('Datos - Catálogo TIMSS'!$J$5:$J$107,MATCH(L1057,'Datos - Catálogo TIMSS'!$A$5:$A$107,0)),"No")="Sí",1,0)</f>
        <v/>
      </c>
      <c r="AA1057" s="11" t="inlineStr">
        <is>
          <t>N/A</t>
        </is>
      </c>
      <c r="AB1057" s="11" t="inlineStr"/>
      <c r="AC1057" s="11">
        <f>IF(AA1057="FUERA","Fuera del marco",IF(AA1057="N/A","Sin marco",IFERROR(INDEX('Datos - TIMSS 2023'!$C$5:$C$105,MATCH(AA1057,'Datos - TIMSS 2023'!$A$5:$A$105,0)),"Pendiente de clasificar")))</f>
        <v/>
      </c>
      <c r="AD1057" s="11" t="inlineStr">
        <is>
          <t>3. Investigar, evaluar y usar información científica para tomar decisiones y actuar</t>
        </is>
      </c>
      <c r="AE1057" s="11">
        <f>IF(AD1057="","",IF(LEFT(AD1057,1)="1","C1",IF(LEFT(AD1057,1)="2","C2",IF(LEFT(AD1057,1)="3","C3",""))))</f>
        <v/>
      </c>
      <c r="AF1057" s="11" t="inlineStr">
        <is>
          <t>E6</t>
        </is>
      </c>
      <c r="AG1057" s="11" t="inlineStr">
        <is>
          <t>D1</t>
        </is>
      </c>
      <c r="AH1057" s="11" t="inlineStr">
        <is>
          <t>E2</t>
        </is>
      </c>
      <c r="AI1057" s="11" t="inlineStr">
        <is>
          <t>I3</t>
        </is>
      </c>
      <c r="AJ1057" s="11" t="inlineStr">
        <is>
          <t>I1</t>
        </is>
      </c>
      <c r="AK1057" s="11" t="n"/>
      <c r="AL1057" s="11" t="n"/>
      <c r="AM1057" s="11" t="n"/>
      <c r="AN1057" s="11" t="n"/>
      <c r="AO1057" s="11" t="n"/>
      <c r="AP1057" s="11" t="n"/>
      <c r="AQ1057" s="11" t="n"/>
      <c r="AR1057" s="11" t="n"/>
      <c r="AS1057" s="11" t="n"/>
      <c r="AT1057" s="11" t="n"/>
      <c r="AU1057" s="11" t="n"/>
      <c r="AV1057" s="11" t="n"/>
      <c r="AW1057" s="11">
        <f>AF1057&amp;"; "&amp;AG1057&amp;"; "&amp;AH1057&amp;"; "&amp;AI1057&amp;"; "&amp;AJ1057</f>
        <v/>
      </c>
    </row>
    <row r="1058">
      <c r="A1058" s="11" t="inlineStr">
        <is>
          <t>T0594-G11-QUÍ</t>
        </is>
      </c>
      <c r="B1058" s="11" t="n">
        <v>11</v>
      </c>
      <c r="C1058" s="11" t="inlineStr">
        <is>
          <t>Química</t>
        </is>
      </c>
      <c r="D1058" s="11" t="inlineStr">
        <is>
          <t>Matriz_Bachillerato_Quimica_10_11.xlsx</t>
        </is>
      </c>
      <c r="E1058" s="11" t="inlineStr">
        <is>
          <t>Química 11.°</t>
        </is>
      </c>
      <c r="F1058" s="11" t="n">
        <v>55</v>
      </c>
      <c r="G1058" s="11" t="inlineStr">
        <is>
          <t>6. Electroquímica</t>
        </is>
      </c>
      <c r="H1058" s="11" t="inlineStr">
        <is>
          <t>Balanceo redox</t>
        </is>
      </c>
      <c r="I1058" s="38" t="inlineStr">
        <is>
          <t>6.1. Reconocimiento del balance de masa y carga en las reacciones de oxidación-reducción.</t>
        </is>
      </c>
      <c r="J1058" s="11" t="inlineStr">
        <is>
          <t>Sin marco</t>
        </is>
      </c>
      <c r="K1058" s="11" t="inlineStr">
        <is>
          <t>N/A</t>
        </is>
      </c>
      <c r="L1058" s="11" t="inlineStr"/>
      <c r="M1058" s="11">
        <f>IF(K1058="FUERA","Fuera del marco",IF(K1058="N/A","Sin marco",IFERROR(INDEX('Datos - Catálogo TIMSS'!$C$5:$C$107,MATCH(K1058,'Datos - Catálogo TIMSS'!$A$5:$A$107,0)),"Pendiente de clasificar")))</f>
        <v/>
      </c>
      <c r="N1058" s="11">
        <f>IF(K1058="FUERA","Fuera del marco",IF(K1058="N/A","Sin marco",IFERROR(INDEX('Datos - Catálogo TIMSS'!$F$5:$F$107,MATCH(K1058,'Datos - Catálogo TIMSS'!$A$5:$A$107,0)),"Pendiente de clasificar")))</f>
        <v/>
      </c>
      <c r="O1058" s="11">
        <f>IF(L1058="","",IFERROR(INDEX('Datos - Catálogo TIMSS'!$C$5:$C$107,MATCH(L1058,'Datos - Catálogo TIMSS'!$A$5:$A$107,0)),"?"))</f>
        <v/>
      </c>
      <c r="P1058" s="11" t="inlineStr">
        <is>
          <t>N/A</t>
        </is>
      </c>
      <c r="Q1058" s="38" t="inlineStr">
        <is>
          <t>Sin marco TIMSS de contenido para esta asignatura en Bachillerato</t>
        </is>
      </c>
      <c r="R1058" s="38" t="inlineStr">
        <is>
          <t>Conocer: asignar números de oxidación. Razonar: verificar la conservación de masa y carga</t>
        </is>
      </c>
      <c r="S1058" s="39">
        <f>IFERROR(ISNUMBER(SEARCH("Conocer",$R1058))/(ISNUMBER(SEARCH("Conocer",$R1058))+ISNUMBER(SEARCH("Aplicar",$R1058))+ISNUMBER(SEARCH("Razonar",$R1058))),0)</f>
        <v/>
      </c>
      <c r="T1058" s="39">
        <f>IFERROR(ISNUMBER(SEARCH("Aplicar",$R1058))/(ISNUMBER(SEARCH("Conocer",$R1058))+ISNUMBER(SEARCH("Aplicar",$R1058))+ISNUMBER(SEARCH("Razonar",$R1058))),0)</f>
        <v/>
      </c>
      <c r="U1058" s="39">
        <f>IFERROR(ISNUMBER(SEARCH("Razonar",$R1058))/(ISNUMBER(SEARCH("Conocer",$R1058))+ISNUMBER(SEARCH("Aplicar",$R1058))+ISNUMBER(SEARCH("Razonar",$R1058))),0)</f>
        <v/>
      </c>
      <c r="V1058" s="11" t="inlineStr">
        <is>
          <t>Química 11°</t>
        </is>
      </c>
      <c r="W1058" s="11" t="inlineStr">
        <is>
          <t>Química 10°–11°</t>
        </is>
      </c>
      <c r="X1058" s="11">
        <f>IF(OR(IFERROR(INDEX('Datos - Catálogo TIMSS'!$I$5:$I$107,MATCH(K1058,'Datos - Catálogo TIMSS'!$A$5:$A$107,0)),"No")="Sí",IFERROR(INDEX('Datos - Catálogo TIMSS'!$I$5:$I$107,MATCH(L1058,'Datos - Catálogo TIMSS'!$A$5:$A$107,0)),"No")="Sí"),1,0)</f>
        <v/>
      </c>
      <c r="Y1058" s="11">
        <f>IF(IFERROR(INDEX('Datos - Catálogo TIMSS'!$J$5:$J$107,MATCH(K1058,'Datos - Catálogo TIMSS'!$A$5:$A$107,0)),"No")="Sí",1,0)</f>
        <v/>
      </c>
      <c r="Z1058" s="11">
        <f>IF(IFERROR(INDEX('Datos - Catálogo TIMSS'!$J$5:$J$107,MATCH(L1058,'Datos - Catálogo TIMSS'!$A$5:$A$107,0)),"No")="Sí",1,0)</f>
        <v/>
      </c>
      <c r="AA1058" s="11" t="inlineStr">
        <is>
          <t>N/A</t>
        </is>
      </c>
      <c r="AB1058" s="11" t="inlineStr"/>
      <c r="AC1058" s="11">
        <f>IF(AA1058="FUERA","Fuera del marco",IF(AA1058="N/A","Sin marco",IFERROR(INDEX('Datos - TIMSS 2023'!$C$5:$C$105,MATCH(AA1058,'Datos - TIMSS 2023'!$A$5:$A$105,0)),"Pendiente de clasificar")))</f>
        <v/>
      </c>
      <c r="AD1058" s="11" t="inlineStr">
        <is>
          <t>1. Explicar fenómenos científicamente</t>
        </is>
      </c>
      <c r="AE1058" s="11">
        <f>IF(AD1058="","",IF(LEFT(AD1058,1)="1","C1",IF(LEFT(AD1058,1)="2","C2",IF(LEFT(AD1058,1)="3","C3",""))))</f>
        <v/>
      </c>
      <c r="AF1058" s="11" t="inlineStr">
        <is>
          <t>E1</t>
        </is>
      </c>
      <c r="AG1058" s="11" t="inlineStr">
        <is>
          <t>E3</t>
        </is>
      </c>
      <c r="AH1058" s="11" t="inlineStr">
        <is>
          <t>E2</t>
        </is>
      </c>
      <c r="AI1058" s="11" t="inlineStr">
        <is>
          <t>D4</t>
        </is>
      </c>
      <c r="AJ1058" s="11" t="inlineStr">
        <is>
          <t>E3</t>
        </is>
      </c>
      <c r="AK1058" s="11" t="n"/>
      <c r="AL1058" s="11" t="n"/>
      <c r="AM1058" s="11" t="n"/>
      <c r="AN1058" s="11" t="n"/>
      <c r="AO1058" s="11" t="n"/>
      <c r="AP1058" s="11" t="n"/>
      <c r="AQ1058" s="11" t="n"/>
      <c r="AR1058" s="11" t="n"/>
      <c r="AS1058" s="11" t="n"/>
      <c r="AT1058" s="11" t="n"/>
      <c r="AU1058" s="11" t="n"/>
      <c r="AV1058" s="11" t="n"/>
      <c r="AW1058" s="11">
        <f>AF1058&amp;"; "&amp;AG1058&amp;"; "&amp;AH1058&amp;"; "&amp;AI1058&amp;"; "&amp;AJ1058</f>
        <v/>
      </c>
    </row>
    <row r="1059">
      <c r="A1059" s="11" t="inlineStr">
        <is>
          <t>T0595-G11-QUÍ</t>
        </is>
      </c>
      <c r="B1059" s="11" t="n">
        <v>11</v>
      </c>
      <c r="C1059" s="11" t="inlineStr">
        <is>
          <t>Química</t>
        </is>
      </c>
      <c r="D1059" s="11" t="inlineStr">
        <is>
          <t>Matriz_Bachillerato_Quimica_10_11.xlsx</t>
        </is>
      </c>
      <c r="E1059" s="11" t="inlineStr">
        <is>
          <t>Química 11.°</t>
        </is>
      </c>
      <c r="F1059" s="11" t="n">
        <v>56</v>
      </c>
      <c r="G1059" s="11" t="inlineStr">
        <is>
          <t>6. Electroquímica</t>
        </is>
      </c>
      <c r="H1059" s="11" t="inlineStr">
        <is>
          <t>Balanceo redox</t>
        </is>
      </c>
      <c r="I1059" s="38" t="inlineStr">
        <is>
          <t>6.2. Demostración del método del ion-electrón para balancear ecuaciones de oxidación-reducción.</t>
        </is>
      </c>
      <c r="J1059" s="11" t="inlineStr">
        <is>
          <t>Sin marco</t>
        </is>
      </c>
      <c r="K1059" s="11" t="inlineStr">
        <is>
          <t>N/A</t>
        </is>
      </c>
      <c r="L1059" s="11" t="inlineStr"/>
      <c r="M1059" s="11">
        <f>IF(K1059="FUERA","Fuera del marco",IF(K1059="N/A","Sin marco",IFERROR(INDEX('Datos - Catálogo TIMSS'!$C$5:$C$107,MATCH(K1059,'Datos - Catálogo TIMSS'!$A$5:$A$107,0)),"Pendiente de clasificar")))</f>
        <v/>
      </c>
      <c r="N1059" s="11">
        <f>IF(K1059="FUERA","Fuera del marco",IF(K1059="N/A","Sin marco",IFERROR(INDEX('Datos - Catálogo TIMSS'!$F$5:$F$107,MATCH(K1059,'Datos - Catálogo TIMSS'!$A$5:$A$107,0)),"Pendiente de clasificar")))</f>
        <v/>
      </c>
      <c r="O1059" s="11">
        <f>IF(L1059="","",IFERROR(INDEX('Datos - Catálogo TIMSS'!$C$5:$C$107,MATCH(L1059,'Datos - Catálogo TIMSS'!$A$5:$A$107,0)),"?"))</f>
        <v/>
      </c>
      <c r="P1059" s="11" t="inlineStr">
        <is>
          <t>N/A</t>
        </is>
      </c>
      <c r="Q1059" s="38" t="inlineStr">
        <is>
          <t>Sin marco TIMSS de contenido para esta asignatura en Bachillerato</t>
        </is>
      </c>
      <c r="R1059" s="38" t="inlineStr">
        <is>
          <t>Aplicar: seguir un algoritmo de balanceo. Razonar: decidir el método adecuado según el medio</t>
        </is>
      </c>
      <c r="S1059" s="39">
        <f>IFERROR(ISNUMBER(SEARCH("Conocer",$R1059))/(ISNUMBER(SEARCH("Conocer",$R1059))+ISNUMBER(SEARCH("Aplicar",$R1059))+ISNUMBER(SEARCH("Razonar",$R1059))),0)</f>
        <v/>
      </c>
      <c r="T1059" s="39">
        <f>IFERROR(ISNUMBER(SEARCH("Aplicar",$R1059))/(ISNUMBER(SEARCH("Conocer",$R1059))+ISNUMBER(SEARCH("Aplicar",$R1059))+ISNUMBER(SEARCH("Razonar",$R1059))),0)</f>
        <v/>
      </c>
      <c r="U1059" s="39">
        <f>IFERROR(ISNUMBER(SEARCH("Razonar",$R1059))/(ISNUMBER(SEARCH("Conocer",$R1059))+ISNUMBER(SEARCH("Aplicar",$R1059))+ISNUMBER(SEARCH("Razonar",$R1059))),0)</f>
        <v/>
      </c>
      <c r="V1059" s="11" t="inlineStr">
        <is>
          <t>Química 11°</t>
        </is>
      </c>
      <c r="W1059" s="11" t="inlineStr">
        <is>
          <t>Química 10°–11°</t>
        </is>
      </c>
      <c r="X1059" s="11">
        <f>IF(OR(IFERROR(INDEX('Datos - Catálogo TIMSS'!$I$5:$I$107,MATCH(K1059,'Datos - Catálogo TIMSS'!$A$5:$A$107,0)),"No")="Sí",IFERROR(INDEX('Datos - Catálogo TIMSS'!$I$5:$I$107,MATCH(L1059,'Datos - Catálogo TIMSS'!$A$5:$A$107,0)),"No")="Sí"),1,0)</f>
        <v/>
      </c>
      <c r="Y1059" s="11">
        <f>IF(IFERROR(INDEX('Datos - Catálogo TIMSS'!$J$5:$J$107,MATCH(K1059,'Datos - Catálogo TIMSS'!$A$5:$A$107,0)),"No")="Sí",1,0)</f>
        <v/>
      </c>
      <c r="Z1059" s="11">
        <f>IF(IFERROR(INDEX('Datos - Catálogo TIMSS'!$J$5:$J$107,MATCH(L1059,'Datos - Catálogo TIMSS'!$A$5:$A$107,0)),"No")="Sí",1,0)</f>
        <v/>
      </c>
      <c r="AA1059" s="11" t="inlineStr">
        <is>
          <t>N/A</t>
        </is>
      </c>
      <c r="AB1059" s="11" t="inlineStr"/>
      <c r="AC1059" s="11">
        <f>IF(AA1059="FUERA","Fuera del marco",IF(AA1059="N/A","Sin marco",IFERROR(INDEX('Datos - TIMSS 2023'!$C$5:$C$105,MATCH(AA1059,'Datos - TIMSS 2023'!$A$5:$A$105,0)),"Pendiente de clasificar")))</f>
        <v/>
      </c>
      <c r="AD1059" s="11" t="inlineStr">
        <is>
          <t>1. Explicar fenómenos científicamente</t>
        </is>
      </c>
      <c r="AE1059" s="11">
        <f>IF(AD1059="","",IF(LEFT(AD1059,1)="1","C1",IF(LEFT(AD1059,1)="2","C2",IF(LEFT(AD1059,1)="3","C3",""))))</f>
        <v/>
      </c>
      <c r="AF1059" s="11" t="inlineStr">
        <is>
          <t>E1</t>
        </is>
      </c>
      <c r="AG1059" s="11" t="inlineStr">
        <is>
          <t>D1</t>
        </is>
      </c>
      <c r="AH1059" s="11" t="inlineStr">
        <is>
          <t>E2</t>
        </is>
      </c>
      <c r="AI1059" s="11" t="inlineStr">
        <is>
          <t>D4</t>
        </is>
      </c>
      <c r="AJ1059" s="11" t="inlineStr">
        <is>
          <t>I5</t>
        </is>
      </c>
      <c r="AK1059" s="11" t="n"/>
      <c r="AL1059" s="11" t="n"/>
      <c r="AM1059" s="11" t="n"/>
      <c r="AN1059" s="11" t="n"/>
      <c r="AO1059" s="11" t="n"/>
      <c r="AP1059" s="11" t="n"/>
      <c r="AQ1059" s="11" t="n"/>
      <c r="AR1059" s="11" t="n"/>
      <c r="AS1059" s="11" t="n"/>
      <c r="AT1059" s="11" t="n"/>
      <c r="AU1059" s="11" t="n"/>
      <c r="AV1059" s="11" t="n"/>
      <c r="AW1059" s="11">
        <f>AF1059&amp;"; "&amp;AG1059&amp;"; "&amp;AH1059&amp;"; "&amp;AI1059&amp;"; "&amp;AJ1059</f>
        <v/>
      </c>
    </row>
    <row r="1060">
      <c r="A1060" s="11" t="inlineStr">
        <is>
          <t>T0596-G11-QUÍ</t>
        </is>
      </c>
      <c r="B1060" s="11" t="n">
        <v>11</v>
      </c>
      <c r="C1060" s="11" t="inlineStr">
        <is>
          <t>Química</t>
        </is>
      </c>
      <c r="D1060" s="11" t="inlineStr">
        <is>
          <t>Matriz_Bachillerato_Quimica_10_11.xlsx</t>
        </is>
      </c>
      <c r="E1060" s="11" t="inlineStr">
        <is>
          <t>Química 11.°</t>
        </is>
      </c>
      <c r="F1060" s="11" t="n">
        <v>57</v>
      </c>
      <c r="G1060" s="11" t="inlineStr">
        <is>
          <t>6. Electroquímica</t>
        </is>
      </c>
      <c r="H1060" s="11" t="inlineStr">
        <is>
          <t>Balanceo redox</t>
        </is>
      </c>
      <c r="I1060" s="38" t="inlineStr">
        <is>
          <t>6.3. Balanceo de ecuaciones de oxidación-reducción.</t>
        </is>
      </c>
      <c r="J1060" s="11" t="inlineStr">
        <is>
          <t>Sin marco</t>
        </is>
      </c>
      <c r="K1060" s="11" t="inlineStr">
        <is>
          <t>N/A</t>
        </is>
      </c>
      <c r="L1060" s="11" t="inlineStr"/>
      <c r="M1060" s="11">
        <f>IF(K1060="FUERA","Fuera del marco",IF(K1060="N/A","Sin marco",IFERROR(INDEX('Datos - Catálogo TIMSS'!$C$5:$C$107,MATCH(K1060,'Datos - Catálogo TIMSS'!$A$5:$A$107,0)),"Pendiente de clasificar")))</f>
        <v/>
      </c>
      <c r="N1060" s="11">
        <f>IF(K1060="FUERA","Fuera del marco",IF(K1060="N/A","Sin marco",IFERROR(INDEX('Datos - Catálogo TIMSS'!$F$5:$F$107,MATCH(K1060,'Datos - Catálogo TIMSS'!$A$5:$A$107,0)),"Pendiente de clasificar")))</f>
        <v/>
      </c>
      <c r="O1060" s="11">
        <f>IF(L1060="","",IFERROR(INDEX('Datos - Catálogo TIMSS'!$C$5:$C$107,MATCH(L1060,'Datos - Catálogo TIMSS'!$A$5:$A$107,0)),"?"))</f>
        <v/>
      </c>
      <c r="P1060" s="11" t="inlineStr">
        <is>
          <t>N/A</t>
        </is>
      </c>
      <c r="Q1060" s="38" t="inlineStr">
        <is>
          <t>Sin marco TIMSS de contenido para esta asignatura en Bachillerato</t>
        </is>
      </c>
      <c r="R1060" s="38" t="inlineStr">
        <is>
          <t>Aplicar: balancear ecuaciones redox en medio ácido y básico. Razonar: justificar la dismutación</t>
        </is>
      </c>
      <c r="S1060" s="39">
        <f>IFERROR(ISNUMBER(SEARCH("Conocer",$R1060))/(ISNUMBER(SEARCH("Conocer",$R1060))+ISNUMBER(SEARCH("Aplicar",$R1060))+ISNUMBER(SEARCH("Razonar",$R1060))),0)</f>
        <v/>
      </c>
      <c r="T1060" s="39">
        <f>IFERROR(ISNUMBER(SEARCH("Aplicar",$R1060))/(ISNUMBER(SEARCH("Conocer",$R1060))+ISNUMBER(SEARCH("Aplicar",$R1060))+ISNUMBER(SEARCH("Razonar",$R1060))),0)</f>
        <v/>
      </c>
      <c r="U1060" s="39">
        <f>IFERROR(ISNUMBER(SEARCH("Razonar",$R1060))/(ISNUMBER(SEARCH("Conocer",$R1060))+ISNUMBER(SEARCH("Aplicar",$R1060))+ISNUMBER(SEARCH("Razonar",$R1060))),0)</f>
        <v/>
      </c>
      <c r="V1060" s="11" t="inlineStr">
        <is>
          <t>Química 11°</t>
        </is>
      </c>
      <c r="W1060" s="11" t="inlineStr">
        <is>
          <t>Química 10°–11°</t>
        </is>
      </c>
      <c r="X1060" s="11">
        <f>IF(OR(IFERROR(INDEX('Datos - Catálogo TIMSS'!$I$5:$I$107,MATCH(K1060,'Datos - Catálogo TIMSS'!$A$5:$A$107,0)),"No")="Sí",IFERROR(INDEX('Datos - Catálogo TIMSS'!$I$5:$I$107,MATCH(L1060,'Datos - Catálogo TIMSS'!$A$5:$A$107,0)),"No")="Sí"),1,0)</f>
        <v/>
      </c>
      <c r="Y1060" s="11">
        <f>IF(IFERROR(INDEX('Datos - Catálogo TIMSS'!$J$5:$J$107,MATCH(K1060,'Datos - Catálogo TIMSS'!$A$5:$A$107,0)),"No")="Sí",1,0)</f>
        <v/>
      </c>
      <c r="Z1060" s="11">
        <f>IF(IFERROR(INDEX('Datos - Catálogo TIMSS'!$J$5:$J$107,MATCH(L1060,'Datos - Catálogo TIMSS'!$A$5:$A$107,0)),"No")="Sí",1,0)</f>
        <v/>
      </c>
      <c r="AA1060" s="11" t="inlineStr">
        <is>
          <t>N/A</t>
        </is>
      </c>
      <c r="AB1060" s="11" t="inlineStr"/>
      <c r="AC1060" s="11">
        <f>IF(AA1060="FUERA","Fuera del marco",IF(AA1060="N/A","Sin marco",IFERROR(INDEX('Datos - TIMSS 2023'!$C$5:$C$105,MATCH(AA1060,'Datos - TIMSS 2023'!$A$5:$A$105,0)),"Pendiente de clasificar")))</f>
        <v/>
      </c>
      <c r="AD1060" s="11" t="inlineStr">
        <is>
          <t>1. Explicar fenómenos científicamente</t>
        </is>
      </c>
      <c r="AE1060" s="11">
        <f>IF(AD1060="","",IF(LEFT(AD1060,1)="1","C1",IF(LEFT(AD1060,1)="2","C2",IF(LEFT(AD1060,1)="3","C3",""))))</f>
        <v/>
      </c>
      <c r="AF1060" s="11" t="inlineStr">
        <is>
          <t>E1</t>
        </is>
      </c>
      <c r="AG1060" s="11" t="inlineStr">
        <is>
          <t>E5</t>
        </is>
      </c>
      <c r="AH1060" s="11" t="inlineStr">
        <is>
          <t>E2</t>
        </is>
      </c>
      <c r="AI1060" s="11" t="inlineStr">
        <is>
          <t>E4</t>
        </is>
      </c>
      <c r="AJ1060" s="11" t="inlineStr">
        <is>
          <t>E3</t>
        </is>
      </c>
      <c r="AK1060" s="11" t="n"/>
      <c r="AL1060" s="11" t="n"/>
      <c r="AM1060" s="11" t="n"/>
      <c r="AN1060" s="11" t="n"/>
      <c r="AO1060" s="11" t="n"/>
      <c r="AP1060" s="11" t="n"/>
      <c r="AQ1060" s="11" t="n"/>
      <c r="AR1060" s="11" t="n"/>
      <c r="AS1060" s="11" t="n"/>
      <c r="AT1060" s="11" t="n"/>
      <c r="AU1060" s="11" t="n"/>
      <c r="AV1060" s="11" t="n"/>
      <c r="AW1060" s="11">
        <f>AF1060&amp;"; "&amp;AG1060&amp;"; "&amp;AH1060&amp;"; "&amp;AI1060&amp;"; "&amp;AJ1060</f>
        <v/>
      </c>
    </row>
    <row r="1061">
      <c r="A1061" s="11" t="inlineStr">
        <is>
          <t>T0597-G11-QUÍ</t>
        </is>
      </c>
      <c r="B1061" s="11" t="n">
        <v>11</v>
      </c>
      <c r="C1061" s="11" t="inlineStr">
        <is>
          <t>Química</t>
        </is>
      </c>
      <c r="D1061" s="11" t="inlineStr">
        <is>
          <t>Matriz_Bachillerato_Quimica_10_11.xlsx</t>
        </is>
      </c>
      <c r="E1061" s="11" t="inlineStr">
        <is>
          <t>Química 11.°</t>
        </is>
      </c>
      <c r="F1061" s="11" t="n">
        <v>58</v>
      </c>
      <c r="G1061" s="11" t="inlineStr">
        <is>
          <t>6. Electroquímica</t>
        </is>
      </c>
      <c r="H1061" s="11" t="inlineStr">
        <is>
          <t>Electrolitos y celdas galvánicas</t>
        </is>
      </c>
      <c r="I1061" s="38" t="inlineStr">
        <is>
          <t>6.4. Comparación de la conductividad eléctrica de electrolitos a diferentes concentraciones.</t>
        </is>
      </c>
      <c r="J1061" s="11" t="inlineStr">
        <is>
          <t>Sin marco</t>
        </is>
      </c>
      <c r="K1061" s="11" t="inlineStr">
        <is>
          <t>N/A</t>
        </is>
      </c>
      <c r="L1061" s="11" t="inlineStr"/>
      <c r="M1061" s="11">
        <f>IF(K1061="FUERA","Fuera del marco",IF(K1061="N/A","Sin marco",IFERROR(INDEX('Datos - Catálogo TIMSS'!$C$5:$C$107,MATCH(K1061,'Datos - Catálogo TIMSS'!$A$5:$A$107,0)),"Pendiente de clasificar")))</f>
        <v/>
      </c>
      <c r="N1061" s="11">
        <f>IF(K1061="FUERA","Fuera del marco",IF(K1061="N/A","Sin marco",IFERROR(INDEX('Datos - Catálogo TIMSS'!$F$5:$F$107,MATCH(K1061,'Datos - Catálogo TIMSS'!$A$5:$A$107,0)),"Pendiente de clasificar")))</f>
        <v/>
      </c>
      <c r="O1061" s="11">
        <f>IF(L1061="","",IFERROR(INDEX('Datos - Catálogo TIMSS'!$C$5:$C$107,MATCH(L1061,'Datos - Catálogo TIMSS'!$A$5:$A$107,0)),"?"))</f>
        <v/>
      </c>
      <c r="P1061" s="11" t="inlineStr">
        <is>
          <t>N/A</t>
        </is>
      </c>
      <c r="Q1061" s="38" t="inlineStr">
        <is>
          <t>Sin marco TIMSS de contenido para esta asignatura en Bachillerato</t>
        </is>
      </c>
      <c r="R1061" s="38" t="inlineStr">
        <is>
          <t>Aplicar: medir y graficar la conductividad. Razonar: interpretar la tendencia con un modelo de partículas</t>
        </is>
      </c>
      <c r="S1061" s="39">
        <f>IFERROR(ISNUMBER(SEARCH("Conocer",$R1061))/(ISNUMBER(SEARCH("Conocer",$R1061))+ISNUMBER(SEARCH("Aplicar",$R1061))+ISNUMBER(SEARCH("Razonar",$R1061))),0)</f>
        <v/>
      </c>
      <c r="T1061" s="39">
        <f>IFERROR(ISNUMBER(SEARCH("Aplicar",$R1061))/(ISNUMBER(SEARCH("Conocer",$R1061))+ISNUMBER(SEARCH("Aplicar",$R1061))+ISNUMBER(SEARCH("Razonar",$R1061))),0)</f>
        <v/>
      </c>
      <c r="U1061" s="39">
        <f>IFERROR(ISNUMBER(SEARCH("Razonar",$R1061))/(ISNUMBER(SEARCH("Conocer",$R1061))+ISNUMBER(SEARCH("Aplicar",$R1061))+ISNUMBER(SEARCH("Razonar",$R1061))),0)</f>
        <v/>
      </c>
      <c r="V1061" s="11" t="inlineStr">
        <is>
          <t>Química 11°</t>
        </is>
      </c>
      <c r="W1061" s="11" t="inlineStr">
        <is>
          <t>Química 10°–11°</t>
        </is>
      </c>
      <c r="X1061" s="11">
        <f>IF(OR(IFERROR(INDEX('Datos - Catálogo TIMSS'!$I$5:$I$107,MATCH(K1061,'Datos - Catálogo TIMSS'!$A$5:$A$107,0)),"No")="Sí",IFERROR(INDEX('Datos - Catálogo TIMSS'!$I$5:$I$107,MATCH(L1061,'Datos - Catálogo TIMSS'!$A$5:$A$107,0)),"No")="Sí"),1,0)</f>
        <v/>
      </c>
      <c r="Y1061" s="11">
        <f>IF(IFERROR(INDEX('Datos - Catálogo TIMSS'!$J$5:$J$107,MATCH(K1061,'Datos - Catálogo TIMSS'!$A$5:$A$107,0)),"No")="Sí",1,0)</f>
        <v/>
      </c>
      <c r="Z1061" s="11">
        <f>IF(IFERROR(INDEX('Datos - Catálogo TIMSS'!$J$5:$J$107,MATCH(L1061,'Datos - Catálogo TIMSS'!$A$5:$A$107,0)),"No")="Sí",1,0)</f>
        <v/>
      </c>
      <c r="AA1061" s="11" t="inlineStr">
        <is>
          <t>N/A</t>
        </is>
      </c>
      <c r="AB1061" s="11" t="inlineStr"/>
      <c r="AC1061" s="11">
        <f>IF(AA1061="FUERA","Fuera del marco",IF(AA1061="N/A","Sin marco",IFERROR(INDEX('Datos - TIMSS 2023'!$C$5:$C$105,MATCH(AA1061,'Datos - TIMSS 2023'!$A$5:$A$105,0)),"Pendiente de clasificar")))</f>
        <v/>
      </c>
      <c r="AD1061" s="11" t="inlineStr">
        <is>
          <t>2. Construir y evaluar diseños para la indagación científica e interpretar datos y evidencia de forma crítica</t>
        </is>
      </c>
      <c r="AE1061" s="11">
        <f>IF(AD1061="","",IF(LEFT(AD1061,1)="1","C1",IF(LEFT(AD1061,1)="2","C2",IF(LEFT(AD1061,1)="3","C3",""))))</f>
        <v/>
      </c>
      <c r="AF1061" s="11" t="inlineStr">
        <is>
          <t>E1</t>
        </is>
      </c>
      <c r="AG1061" s="11" t="inlineStr">
        <is>
          <t>D1</t>
        </is>
      </c>
      <c r="AH1061" s="11" t="inlineStr">
        <is>
          <t>E4</t>
        </is>
      </c>
      <c r="AI1061" s="11" t="inlineStr">
        <is>
          <t>D4</t>
        </is>
      </c>
      <c r="AJ1061" s="11" t="inlineStr">
        <is>
          <t>D3</t>
        </is>
      </c>
      <c r="AK1061" s="11" t="n"/>
      <c r="AL1061" s="11" t="n"/>
      <c r="AM1061" s="11" t="n"/>
      <c r="AN1061" s="11" t="n"/>
      <c r="AO1061" s="11" t="n"/>
      <c r="AP1061" s="11" t="n"/>
      <c r="AQ1061" s="11" t="n"/>
      <c r="AR1061" s="11" t="n"/>
      <c r="AS1061" s="11" t="n"/>
      <c r="AT1061" s="11" t="n"/>
      <c r="AU1061" s="11" t="n"/>
      <c r="AV1061" s="11" t="n"/>
      <c r="AW1061" s="11">
        <f>AF1061&amp;"; "&amp;AG1061&amp;"; "&amp;AH1061&amp;"; "&amp;AI1061&amp;"; "&amp;AJ1061</f>
        <v/>
      </c>
    </row>
    <row r="1062">
      <c r="A1062" s="11" t="inlineStr">
        <is>
          <t>T0598-G11-QUÍ</t>
        </is>
      </c>
      <c r="B1062" s="11" t="n">
        <v>11</v>
      </c>
      <c r="C1062" s="11" t="inlineStr">
        <is>
          <t>Química</t>
        </is>
      </c>
      <c r="D1062" s="11" t="inlineStr">
        <is>
          <t>Matriz_Bachillerato_Quimica_10_11.xlsx</t>
        </is>
      </c>
      <c r="E1062" s="11" t="inlineStr">
        <is>
          <t>Química 11.°</t>
        </is>
      </c>
      <c r="F1062" s="11" t="n">
        <v>59</v>
      </c>
      <c r="G1062" s="11" t="inlineStr">
        <is>
          <t>6. Electroquímica</t>
        </is>
      </c>
      <c r="H1062" s="11" t="inlineStr">
        <is>
          <t>Electrolitos y celdas galvánicas</t>
        </is>
      </c>
      <c r="I1062" s="38" t="inlineStr">
        <is>
          <t>6.5. Construcción de una celda galvánica con implementos cotidianos.</t>
        </is>
      </c>
      <c r="J1062" s="11" t="inlineStr">
        <is>
          <t>Sin marco</t>
        </is>
      </c>
      <c r="K1062" s="11" t="inlineStr">
        <is>
          <t>N/A</t>
        </is>
      </c>
      <c r="L1062" s="11" t="inlineStr"/>
      <c r="M1062" s="11">
        <f>IF(K1062="FUERA","Fuera del marco",IF(K1062="N/A","Sin marco",IFERROR(INDEX('Datos - Catálogo TIMSS'!$C$5:$C$107,MATCH(K1062,'Datos - Catálogo TIMSS'!$A$5:$A$107,0)),"Pendiente de clasificar")))</f>
        <v/>
      </c>
      <c r="N1062" s="11">
        <f>IF(K1062="FUERA","Fuera del marco",IF(K1062="N/A","Sin marco",IFERROR(INDEX('Datos - Catálogo TIMSS'!$F$5:$F$107,MATCH(K1062,'Datos - Catálogo TIMSS'!$A$5:$A$107,0)),"Pendiente de clasificar")))</f>
        <v/>
      </c>
      <c r="O1062" s="11">
        <f>IF(L1062="","",IFERROR(INDEX('Datos - Catálogo TIMSS'!$C$5:$C$107,MATCH(L1062,'Datos - Catálogo TIMSS'!$A$5:$A$107,0)),"?"))</f>
        <v/>
      </c>
      <c r="P1062" s="11" t="inlineStr">
        <is>
          <t>N/A</t>
        </is>
      </c>
      <c r="Q1062" s="38" t="inlineStr">
        <is>
          <t>Sin marco TIMSS de contenido para esta asignatura en Bachillerato</t>
        </is>
      </c>
      <c r="R1062" s="38" t="inlineStr">
        <is>
          <t>Aplicar: construir una celda y medir el voltaje. Razonar: relacionar el montaje con el sentido de los electrones</t>
        </is>
      </c>
      <c r="S1062" s="39">
        <f>IFERROR(ISNUMBER(SEARCH("Conocer",$R1062))/(ISNUMBER(SEARCH("Conocer",$R1062))+ISNUMBER(SEARCH("Aplicar",$R1062))+ISNUMBER(SEARCH("Razonar",$R1062))),0)</f>
        <v/>
      </c>
      <c r="T1062" s="39">
        <f>IFERROR(ISNUMBER(SEARCH("Aplicar",$R1062))/(ISNUMBER(SEARCH("Conocer",$R1062))+ISNUMBER(SEARCH("Aplicar",$R1062))+ISNUMBER(SEARCH("Razonar",$R1062))),0)</f>
        <v/>
      </c>
      <c r="U1062" s="39">
        <f>IFERROR(ISNUMBER(SEARCH("Razonar",$R1062))/(ISNUMBER(SEARCH("Conocer",$R1062))+ISNUMBER(SEARCH("Aplicar",$R1062))+ISNUMBER(SEARCH("Razonar",$R1062))),0)</f>
        <v/>
      </c>
      <c r="V1062" s="11" t="inlineStr">
        <is>
          <t>Química 11°</t>
        </is>
      </c>
      <c r="W1062" s="11" t="inlineStr">
        <is>
          <t>Química 10°–11°</t>
        </is>
      </c>
      <c r="X1062" s="11">
        <f>IF(OR(IFERROR(INDEX('Datos - Catálogo TIMSS'!$I$5:$I$107,MATCH(K1062,'Datos - Catálogo TIMSS'!$A$5:$A$107,0)),"No")="Sí",IFERROR(INDEX('Datos - Catálogo TIMSS'!$I$5:$I$107,MATCH(L1062,'Datos - Catálogo TIMSS'!$A$5:$A$107,0)),"No")="Sí"),1,0)</f>
        <v/>
      </c>
      <c r="Y1062" s="11">
        <f>IF(IFERROR(INDEX('Datos - Catálogo TIMSS'!$J$5:$J$107,MATCH(K1062,'Datos - Catálogo TIMSS'!$A$5:$A$107,0)),"No")="Sí",1,0)</f>
        <v/>
      </c>
      <c r="Z1062" s="11">
        <f>IF(IFERROR(INDEX('Datos - Catálogo TIMSS'!$J$5:$J$107,MATCH(L1062,'Datos - Catálogo TIMSS'!$A$5:$A$107,0)),"No")="Sí",1,0)</f>
        <v/>
      </c>
      <c r="AA1062" s="11" t="inlineStr">
        <is>
          <t>N/A</t>
        </is>
      </c>
      <c r="AB1062" s="11" t="inlineStr"/>
      <c r="AC1062" s="11">
        <f>IF(AA1062="FUERA","Fuera del marco",IF(AA1062="N/A","Sin marco",IFERROR(INDEX('Datos - TIMSS 2023'!$C$5:$C$105,MATCH(AA1062,'Datos - TIMSS 2023'!$A$5:$A$105,0)),"Pendiente de clasificar")))</f>
        <v/>
      </c>
      <c r="AD1062" s="11" t="inlineStr">
        <is>
          <t>2. Construir y evaluar diseños para la indagación científica e interpretar datos y evidencia de forma crítica</t>
        </is>
      </c>
      <c r="AE1062" s="11">
        <f>IF(AD1062="","",IF(LEFT(AD1062,1)="1","C1",IF(LEFT(AD1062,1)="2","C2",IF(LEFT(AD1062,1)="3","C3",""))))</f>
        <v/>
      </c>
      <c r="AF1062" s="11" t="inlineStr">
        <is>
          <t>E6</t>
        </is>
      </c>
      <c r="AG1062" s="11" t="inlineStr">
        <is>
          <t>D1</t>
        </is>
      </c>
      <c r="AH1062" s="11" t="inlineStr">
        <is>
          <t>E2</t>
        </is>
      </c>
      <c r="AI1062" s="11" t="inlineStr">
        <is>
          <t>D2</t>
        </is>
      </c>
      <c r="AJ1062" s="11" t="inlineStr">
        <is>
          <t>E3</t>
        </is>
      </c>
      <c r="AK1062" s="11" t="n"/>
      <c r="AL1062" s="11" t="n"/>
      <c r="AM1062" s="11" t="n"/>
      <c r="AN1062" s="11" t="n"/>
      <c r="AO1062" s="11" t="n"/>
      <c r="AP1062" s="11" t="n"/>
      <c r="AQ1062" s="11" t="n"/>
      <c r="AR1062" s="11" t="n"/>
      <c r="AS1062" s="11" t="n"/>
      <c r="AT1062" s="11" t="n"/>
      <c r="AU1062" s="11" t="n"/>
      <c r="AV1062" s="11" t="n"/>
      <c r="AW1062" s="11">
        <f>AF1062&amp;"; "&amp;AG1062&amp;"; "&amp;AH1062&amp;"; "&amp;AI1062&amp;"; "&amp;AJ1062</f>
        <v/>
      </c>
    </row>
    <row r="1063">
      <c r="A1063" s="11" t="inlineStr">
        <is>
          <t>T0599-G11-QUÍ</t>
        </is>
      </c>
      <c r="B1063" s="11" t="n">
        <v>11</v>
      </c>
      <c r="C1063" s="11" t="inlineStr">
        <is>
          <t>Química</t>
        </is>
      </c>
      <c r="D1063" s="11" t="inlineStr">
        <is>
          <t>Matriz_Bachillerato_Quimica_10_11.xlsx</t>
        </is>
      </c>
      <c r="E1063" s="11" t="inlineStr">
        <is>
          <t>Química 11.°</t>
        </is>
      </c>
      <c r="F1063" s="11" t="n">
        <v>60</v>
      </c>
      <c r="G1063" s="11" t="inlineStr">
        <is>
          <t>6. Electroquímica</t>
        </is>
      </c>
      <c r="H1063" s="11" t="inlineStr">
        <is>
          <t>Electrolitos y celdas galvánicas</t>
        </is>
      </c>
      <c r="I1063" s="38" t="inlineStr">
        <is>
          <t>6.6. Evaluación de una secuencia de instrucciones para la construcción de una celda electroquímica.</t>
        </is>
      </c>
      <c r="J1063" s="11" t="inlineStr">
        <is>
          <t>Sin marco</t>
        </is>
      </c>
      <c r="K1063" s="11" t="inlineStr">
        <is>
          <t>N/A</t>
        </is>
      </c>
      <c r="L1063" s="11" t="inlineStr"/>
      <c r="M1063" s="11">
        <f>IF(K1063="FUERA","Fuera del marco",IF(K1063="N/A","Sin marco",IFERROR(INDEX('Datos - Catálogo TIMSS'!$C$5:$C$107,MATCH(K1063,'Datos - Catálogo TIMSS'!$A$5:$A$107,0)),"Pendiente de clasificar")))</f>
        <v/>
      </c>
      <c r="N1063" s="11">
        <f>IF(K1063="FUERA","Fuera del marco",IF(K1063="N/A","Sin marco",IFERROR(INDEX('Datos - Catálogo TIMSS'!$F$5:$F$107,MATCH(K1063,'Datos - Catálogo TIMSS'!$A$5:$A$107,0)),"Pendiente de clasificar")))</f>
        <v/>
      </c>
      <c r="O1063" s="11">
        <f>IF(L1063="","",IFERROR(INDEX('Datos - Catálogo TIMSS'!$C$5:$C$107,MATCH(L1063,'Datos - Catálogo TIMSS'!$A$5:$A$107,0)),"?"))</f>
        <v/>
      </c>
      <c r="P1063" s="11" t="inlineStr">
        <is>
          <t>N/A</t>
        </is>
      </c>
      <c r="Q1063" s="38" t="inlineStr">
        <is>
          <t>Sin marco TIMSS de contenido para esta asignatura en Bachillerato</t>
        </is>
      </c>
      <c r="R1063" s="38" t="inlineStr">
        <is>
          <t>Razonar: evaluar la validez de un procedimiento y justificar correcciones</t>
        </is>
      </c>
      <c r="S1063" s="39">
        <f>IFERROR(ISNUMBER(SEARCH("Conocer",$R1063))/(ISNUMBER(SEARCH("Conocer",$R1063))+ISNUMBER(SEARCH("Aplicar",$R1063))+ISNUMBER(SEARCH("Razonar",$R1063))),0)</f>
        <v/>
      </c>
      <c r="T1063" s="39">
        <f>IFERROR(ISNUMBER(SEARCH("Aplicar",$R1063))/(ISNUMBER(SEARCH("Conocer",$R1063))+ISNUMBER(SEARCH("Aplicar",$R1063))+ISNUMBER(SEARCH("Razonar",$R1063))),0)</f>
        <v/>
      </c>
      <c r="U1063" s="39">
        <f>IFERROR(ISNUMBER(SEARCH("Razonar",$R1063))/(ISNUMBER(SEARCH("Conocer",$R1063))+ISNUMBER(SEARCH("Aplicar",$R1063))+ISNUMBER(SEARCH("Razonar",$R1063))),0)</f>
        <v/>
      </c>
      <c r="V1063" s="11" t="inlineStr">
        <is>
          <t>Química 11°</t>
        </is>
      </c>
      <c r="W1063" s="11" t="inlineStr">
        <is>
          <t>Química 10°–11°</t>
        </is>
      </c>
      <c r="X1063" s="11">
        <f>IF(OR(IFERROR(INDEX('Datos - Catálogo TIMSS'!$I$5:$I$107,MATCH(K1063,'Datos - Catálogo TIMSS'!$A$5:$A$107,0)),"No")="Sí",IFERROR(INDEX('Datos - Catálogo TIMSS'!$I$5:$I$107,MATCH(L1063,'Datos - Catálogo TIMSS'!$A$5:$A$107,0)),"No")="Sí"),1,0)</f>
        <v/>
      </c>
      <c r="Y1063" s="11">
        <f>IF(IFERROR(INDEX('Datos - Catálogo TIMSS'!$J$5:$J$107,MATCH(K1063,'Datos - Catálogo TIMSS'!$A$5:$A$107,0)),"No")="Sí",1,0)</f>
        <v/>
      </c>
      <c r="Z1063" s="11">
        <f>IF(IFERROR(INDEX('Datos - Catálogo TIMSS'!$J$5:$J$107,MATCH(L1063,'Datos - Catálogo TIMSS'!$A$5:$A$107,0)),"No")="Sí",1,0)</f>
        <v/>
      </c>
      <c r="AA1063" s="11" t="inlineStr">
        <is>
          <t>N/A</t>
        </is>
      </c>
      <c r="AB1063" s="11" t="inlineStr"/>
      <c r="AC1063" s="11">
        <f>IF(AA1063="FUERA","Fuera del marco",IF(AA1063="N/A","Sin marco",IFERROR(INDEX('Datos - TIMSS 2023'!$C$5:$C$105,MATCH(AA1063,'Datos - TIMSS 2023'!$A$5:$A$105,0)),"Pendiente de clasificar")))</f>
        <v/>
      </c>
      <c r="AD1063" s="11" t="inlineStr">
        <is>
          <t>2. Construir y evaluar diseños para la indagación científica e interpretar datos y evidencia de forma crítica</t>
        </is>
      </c>
      <c r="AE1063" s="11">
        <f>IF(AD1063="","",IF(LEFT(AD1063,1)="1","C1",IF(LEFT(AD1063,1)="2","C2",IF(LEFT(AD1063,1)="3","C3",""))))</f>
        <v/>
      </c>
      <c r="AF1063" s="11" t="inlineStr">
        <is>
          <t>E1</t>
        </is>
      </c>
      <c r="AG1063" s="11" t="inlineStr">
        <is>
          <t>D1</t>
        </is>
      </c>
      <c r="AH1063" s="11" t="inlineStr">
        <is>
          <t>E2</t>
        </is>
      </c>
      <c r="AI1063" s="11" t="inlineStr">
        <is>
          <t>D3</t>
        </is>
      </c>
      <c r="AJ1063" s="11" t="inlineStr">
        <is>
          <t>I4</t>
        </is>
      </c>
      <c r="AK1063" s="11" t="n"/>
      <c r="AL1063" s="11" t="n"/>
      <c r="AM1063" s="11" t="n"/>
      <c r="AN1063" s="11" t="n"/>
      <c r="AO1063" s="11" t="n"/>
      <c r="AP1063" s="11" t="n"/>
      <c r="AQ1063" s="11" t="n"/>
      <c r="AR1063" s="11" t="n"/>
      <c r="AS1063" s="11" t="n"/>
      <c r="AT1063" s="11" t="n"/>
      <c r="AU1063" s="11" t="n"/>
      <c r="AV1063" s="11" t="n"/>
      <c r="AW1063" s="11">
        <f>AF1063&amp;"; "&amp;AG1063&amp;"; "&amp;AH1063&amp;"; "&amp;AI1063&amp;"; "&amp;AJ1063</f>
        <v/>
      </c>
    </row>
    <row r="1064">
      <c r="A1064" s="11" t="inlineStr">
        <is>
          <t>T0600-G11-QUÍ</t>
        </is>
      </c>
      <c r="B1064" s="11" t="n">
        <v>11</v>
      </c>
      <c r="C1064" s="11" t="inlineStr">
        <is>
          <t>Química</t>
        </is>
      </c>
      <c r="D1064" s="11" t="inlineStr">
        <is>
          <t>Matriz_Bachillerato_Quimica_10_11.xlsx</t>
        </is>
      </c>
      <c r="E1064" s="11" t="inlineStr">
        <is>
          <t>Química 11.°</t>
        </is>
      </c>
      <c r="F1064" s="11" t="n">
        <v>61</v>
      </c>
      <c r="G1064" s="11" t="inlineStr">
        <is>
          <t>6. Electroquímica</t>
        </is>
      </c>
      <c r="H1064" s="11" t="inlineStr">
        <is>
          <t>Celdas electroquímicas y potenciales redox</t>
        </is>
      </c>
      <c r="I1064" s="38" t="inlineStr">
        <is>
          <t>6.7. Construcción de una celda electrolítica para la descomposición de agua.</t>
        </is>
      </c>
      <c r="J1064" s="11" t="inlineStr">
        <is>
          <t>Sin marco</t>
        </is>
      </c>
      <c r="K1064" s="11" t="inlineStr">
        <is>
          <t>N/A</t>
        </is>
      </c>
      <c r="L1064" s="11" t="inlineStr"/>
      <c r="M1064" s="11">
        <f>IF(K1064="FUERA","Fuera del marco",IF(K1064="N/A","Sin marco",IFERROR(INDEX('Datos - Catálogo TIMSS'!$C$5:$C$107,MATCH(K1064,'Datos - Catálogo TIMSS'!$A$5:$A$107,0)),"Pendiente de clasificar")))</f>
        <v/>
      </c>
      <c r="N1064" s="11">
        <f>IF(K1064="FUERA","Fuera del marco",IF(K1064="N/A","Sin marco",IFERROR(INDEX('Datos - Catálogo TIMSS'!$F$5:$F$107,MATCH(K1064,'Datos - Catálogo TIMSS'!$A$5:$A$107,0)),"Pendiente de clasificar")))</f>
        <v/>
      </c>
      <c r="O1064" s="11">
        <f>IF(L1064="","",IFERROR(INDEX('Datos - Catálogo TIMSS'!$C$5:$C$107,MATCH(L1064,'Datos - Catálogo TIMSS'!$A$5:$A$107,0)),"?"))</f>
        <v/>
      </c>
      <c r="P1064" s="11" t="inlineStr">
        <is>
          <t>N/A</t>
        </is>
      </c>
      <c r="Q1064" s="38" t="inlineStr">
        <is>
          <t>Sin marco TIMSS de contenido para esta asignatura en Bachillerato</t>
        </is>
      </c>
      <c r="R1064" s="38" t="inlineStr">
        <is>
          <t>Aplicar: escribir semirreacciones de electrólisis. Razonar: relacionar volúmenes con la estequiometría</t>
        </is>
      </c>
      <c r="S1064" s="39">
        <f>IFERROR(ISNUMBER(SEARCH("Conocer",$R1064))/(ISNUMBER(SEARCH("Conocer",$R1064))+ISNUMBER(SEARCH("Aplicar",$R1064))+ISNUMBER(SEARCH("Razonar",$R1064))),0)</f>
        <v/>
      </c>
      <c r="T1064" s="39">
        <f>IFERROR(ISNUMBER(SEARCH("Aplicar",$R1064))/(ISNUMBER(SEARCH("Conocer",$R1064))+ISNUMBER(SEARCH("Aplicar",$R1064))+ISNUMBER(SEARCH("Razonar",$R1064))),0)</f>
        <v/>
      </c>
      <c r="U1064" s="39">
        <f>IFERROR(ISNUMBER(SEARCH("Razonar",$R1064))/(ISNUMBER(SEARCH("Conocer",$R1064))+ISNUMBER(SEARCH("Aplicar",$R1064))+ISNUMBER(SEARCH("Razonar",$R1064))),0)</f>
        <v/>
      </c>
      <c r="V1064" s="11" t="inlineStr">
        <is>
          <t>Química 11°</t>
        </is>
      </c>
      <c r="W1064" s="11" t="inlineStr">
        <is>
          <t>Química 10°–11°</t>
        </is>
      </c>
      <c r="X1064" s="11">
        <f>IF(OR(IFERROR(INDEX('Datos - Catálogo TIMSS'!$I$5:$I$107,MATCH(K1064,'Datos - Catálogo TIMSS'!$A$5:$A$107,0)),"No")="Sí",IFERROR(INDEX('Datos - Catálogo TIMSS'!$I$5:$I$107,MATCH(L1064,'Datos - Catálogo TIMSS'!$A$5:$A$107,0)),"No")="Sí"),1,0)</f>
        <v/>
      </c>
      <c r="Y1064" s="11">
        <f>IF(IFERROR(INDEX('Datos - Catálogo TIMSS'!$J$5:$J$107,MATCH(K1064,'Datos - Catálogo TIMSS'!$A$5:$A$107,0)),"No")="Sí",1,0)</f>
        <v/>
      </c>
      <c r="Z1064" s="11">
        <f>IF(IFERROR(INDEX('Datos - Catálogo TIMSS'!$J$5:$J$107,MATCH(L1064,'Datos - Catálogo TIMSS'!$A$5:$A$107,0)),"No")="Sí",1,0)</f>
        <v/>
      </c>
      <c r="AA1064" s="11" t="inlineStr">
        <is>
          <t>N/A</t>
        </is>
      </c>
      <c r="AB1064" s="11" t="inlineStr"/>
      <c r="AC1064" s="11">
        <f>IF(AA1064="FUERA","Fuera del marco",IF(AA1064="N/A","Sin marco",IFERROR(INDEX('Datos - TIMSS 2023'!$C$5:$C$105,MATCH(AA1064,'Datos - TIMSS 2023'!$A$5:$A$105,0)),"Pendiente de clasificar")))</f>
        <v/>
      </c>
      <c r="AD1064" s="11" t="inlineStr">
        <is>
          <t>2. Construir y evaluar diseños para la indagación científica e interpretar datos y evidencia de forma crítica</t>
        </is>
      </c>
      <c r="AE1064" s="11">
        <f>IF(AD1064="","",IF(LEFT(AD1064,1)="1","C1",IF(LEFT(AD1064,1)="2","C2",IF(LEFT(AD1064,1)="3","C3",""))))</f>
        <v/>
      </c>
      <c r="AF1064" s="11" t="inlineStr">
        <is>
          <t>E6</t>
        </is>
      </c>
      <c r="AG1064" s="11" t="inlineStr">
        <is>
          <t>E5</t>
        </is>
      </c>
      <c r="AH1064" s="11" t="inlineStr">
        <is>
          <t>E2</t>
        </is>
      </c>
      <c r="AI1064" s="11" t="inlineStr">
        <is>
          <t>D4</t>
        </is>
      </c>
      <c r="AJ1064" s="11" t="inlineStr">
        <is>
          <t>E3</t>
        </is>
      </c>
      <c r="AK1064" s="11" t="n"/>
      <c r="AL1064" s="11" t="n"/>
      <c r="AM1064" s="11" t="n"/>
      <c r="AN1064" s="11" t="n"/>
      <c r="AO1064" s="11" t="n"/>
      <c r="AP1064" s="11" t="n"/>
      <c r="AQ1064" s="11" t="n"/>
      <c r="AR1064" s="11" t="n"/>
      <c r="AS1064" s="11" t="n"/>
      <c r="AT1064" s="11" t="n"/>
      <c r="AU1064" s="11" t="n"/>
      <c r="AV1064" s="11" t="n"/>
      <c r="AW1064" s="11">
        <f>AF1064&amp;"; "&amp;AG1064&amp;"; "&amp;AH1064&amp;"; "&amp;AI1064&amp;"; "&amp;AJ1064</f>
        <v/>
      </c>
    </row>
    <row r="1065">
      <c r="A1065" s="11" t="inlineStr">
        <is>
          <t>T0601-G11-QUÍ</t>
        </is>
      </c>
      <c r="B1065" s="11" t="n">
        <v>11</v>
      </c>
      <c r="C1065" s="11" t="inlineStr">
        <is>
          <t>Química</t>
        </is>
      </c>
      <c r="D1065" s="11" t="inlineStr">
        <is>
          <t>Matriz_Bachillerato_Quimica_10_11.xlsx</t>
        </is>
      </c>
      <c r="E1065" s="11" t="inlineStr">
        <is>
          <t>Química 11.°</t>
        </is>
      </c>
      <c r="F1065" s="11" t="n">
        <v>62</v>
      </c>
      <c r="G1065" s="11" t="inlineStr">
        <is>
          <t>6. Electroquímica</t>
        </is>
      </c>
      <c r="H1065" s="11" t="inlineStr">
        <is>
          <t>Celdas electroquímicas y potenciales redox</t>
        </is>
      </c>
      <c r="I1065" s="38" t="inlineStr">
        <is>
          <t>6.8. Deducción de la espontaneidad de una reacción de oxidación-reducción con base en el potencial de celda.</t>
        </is>
      </c>
      <c r="J1065" s="11" t="inlineStr">
        <is>
          <t>Sin marco</t>
        </is>
      </c>
      <c r="K1065" s="11" t="inlineStr">
        <is>
          <t>N/A</t>
        </is>
      </c>
      <c r="L1065" s="11" t="inlineStr"/>
      <c r="M1065" s="11">
        <f>IF(K1065="FUERA","Fuera del marco",IF(K1065="N/A","Sin marco",IFERROR(INDEX('Datos - Catálogo TIMSS'!$C$5:$C$107,MATCH(K1065,'Datos - Catálogo TIMSS'!$A$5:$A$107,0)),"Pendiente de clasificar")))</f>
        <v/>
      </c>
      <c r="N1065" s="11">
        <f>IF(K1065="FUERA","Fuera del marco",IF(K1065="N/A","Sin marco",IFERROR(INDEX('Datos - Catálogo TIMSS'!$F$5:$F$107,MATCH(K1065,'Datos - Catálogo TIMSS'!$A$5:$A$107,0)),"Pendiente de clasificar")))</f>
        <v/>
      </c>
      <c r="O1065" s="11">
        <f>IF(L1065="","",IFERROR(INDEX('Datos - Catálogo TIMSS'!$C$5:$C$107,MATCH(L1065,'Datos - Catálogo TIMSS'!$A$5:$A$107,0)),"?"))</f>
        <v/>
      </c>
      <c r="P1065" s="11" t="inlineStr">
        <is>
          <t>N/A</t>
        </is>
      </c>
      <c r="Q1065" s="38" t="inlineStr">
        <is>
          <t>Sin marco TIMSS de contenido para esta asignatura en Bachillerato</t>
        </is>
      </c>
      <c r="R1065" s="38" t="inlineStr">
        <is>
          <t>Aplicar: calcular E°celda. Razonar: deducir la espontaneidad y contrastarla con observaciones</t>
        </is>
      </c>
      <c r="S1065" s="39">
        <f>IFERROR(ISNUMBER(SEARCH("Conocer",$R1065))/(ISNUMBER(SEARCH("Conocer",$R1065))+ISNUMBER(SEARCH("Aplicar",$R1065))+ISNUMBER(SEARCH("Razonar",$R1065))),0)</f>
        <v/>
      </c>
      <c r="T1065" s="39">
        <f>IFERROR(ISNUMBER(SEARCH("Aplicar",$R1065))/(ISNUMBER(SEARCH("Conocer",$R1065))+ISNUMBER(SEARCH("Aplicar",$R1065))+ISNUMBER(SEARCH("Razonar",$R1065))),0)</f>
        <v/>
      </c>
      <c r="U1065" s="39">
        <f>IFERROR(ISNUMBER(SEARCH("Razonar",$R1065))/(ISNUMBER(SEARCH("Conocer",$R1065))+ISNUMBER(SEARCH("Aplicar",$R1065))+ISNUMBER(SEARCH("Razonar",$R1065))),0)</f>
        <v/>
      </c>
      <c r="V1065" s="11" t="inlineStr">
        <is>
          <t>Química 11°</t>
        </is>
      </c>
      <c r="W1065" s="11" t="inlineStr">
        <is>
          <t>Química 10°–11°</t>
        </is>
      </c>
      <c r="X1065" s="11">
        <f>IF(OR(IFERROR(INDEX('Datos - Catálogo TIMSS'!$I$5:$I$107,MATCH(K1065,'Datos - Catálogo TIMSS'!$A$5:$A$107,0)),"No")="Sí",IFERROR(INDEX('Datos - Catálogo TIMSS'!$I$5:$I$107,MATCH(L1065,'Datos - Catálogo TIMSS'!$A$5:$A$107,0)),"No")="Sí"),1,0)</f>
        <v/>
      </c>
      <c r="Y1065" s="11">
        <f>IF(IFERROR(INDEX('Datos - Catálogo TIMSS'!$J$5:$J$107,MATCH(K1065,'Datos - Catálogo TIMSS'!$A$5:$A$107,0)),"No")="Sí",1,0)</f>
        <v/>
      </c>
      <c r="Z1065" s="11">
        <f>IF(IFERROR(INDEX('Datos - Catálogo TIMSS'!$J$5:$J$107,MATCH(L1065,'Datos - Catálogo TIMSS'!$A$5:$A$107,0)),"No")="Sí",1,0)</f>
        <v/>
      </c>
      <c r="AA1065" s="11" t="inlineStr">
        <is>
          <t>N/A</t>
        </is>
      </c>
      <c r="AB1065" s="11" t="inlineStr"/>
      <c r="AC1065" s="11">
        <f>IF(AA1065="FUERA","Fuera del marco",IF(AA1065="N/A","Sin marco",IFERROR(INDEX('Datos - TIMSS 2023'!$C$5:$C$105,MATCH(AA1065,'Datos - TIMSS 2023'!$A$5:$A$105,0)),"Pendiente de clasificar")))</f>
        <v/>
      </c>
      <c r="AD1065" s="11" t="inlineStr">
        <is>
          <t>1. Explicar fenómenos científicamente</t>
        </is>
      </c>
      <c r="AE1065" s="11">
        <f>IF(AD1065="","",IF(LEFT(AD1065,1)="1","C1",IF(LEFT(AD1065,1)="2","C2",IF(LEFT(AD1065,1)="3","C3",""))))</f>
        <v/>
      </c>
      <c r="AF1065" s="11" t="inlineStr">
        <is>
          <t>E1</t>
        </is>
      </c>
      <c r="AG1065" s="11" t="inlineStr">
        <is>
          <t>E3</t>
        </is>
      </c>
      <c r="AH1065" s="11" t="inlineStr">
        <is>
          <t>E2</t>
        </is>
      </c>
      <c r="AI1065" s="11" t="inlineStr">
        <is>
          <t>D4</t>
        </is>
      </c>
      <c r="AJ1065" s="11" t="inlineStr">
        <is>
          <t>E3</t>
        </is>
      </c>
      <c r="AK1065" s="11" t="n"/>
      <c r="AL1065" s="11" t="n"/>
      <c r="AM1065" s="11" t="n"/>
      <c r="AN1065" s="11" t="n"/>
      <c r="AO1065" s="11" t="n"/>
      <c r="AP1065" s="11" t="n"/>
      <c r="AQ1065" s="11" t="n"/>
      <c r="AR1065" s="11" t="n"/>
      <c r="AS1065" s="11" t="n"/>
      <c r="AT1065" s="11" t="n"/>
      <c r="AU1065" s="11" t="n"/>
      <c r="AV1065" s="11" t="n"/>
      <c r="AW1065" s="11">
        <f>AF1065&amp;"; "&amp;AG1065&amp;"; "&amp;AH1065&amp;"; "&amp;AI1065&amp;"; "&amp;AJ1065</f>
        <v/>
      </c>
    </row>
    <row r="1066">
      <c r="A1066" s="11" t="inlineStr">
        <is>
          <t>T0602-G11-QUÍ</t>
        </is>
      </c>
      <c r="B1066" s="11" t="n">
        <v>11</v>
      </c>
      <c r="C1066" s="11" t="inlineStr">
        <is>
          <t>Química</t>
        </is>
      </c>
      <c r="D1066" s="11" t="inlineStr">
        <is>
          <t>Matriz_Bachillerato_Quimica_10_11.xlsx</t>
        </is>
      </c>
      <c r="E1066" s="11" t="inlineStr">
        <is>
          <t>Química 11.°</t>
        </is>
      </c>
      <c r="F1066" s="11" t="n">
        <v>63</v>
      </c>
      <c r="G1066" s="11" t="inlineStr">
        <is>
          <t>6. Electroquímica</t>
        </is>
      </c>
      <c r="H1066" s="11" t="inlineStr">
        <is>
          <t>Celdas electroquímicas y potenciales redox</t>
        </is>
      </c>
      <c r="I1066" s="38" t="inlineStr">
        <is>
          <t>6.9. Reconocimiento de aplicaciones de la electroquímica y sus impactos.</t>
        </is>
      </c>
      <c r="J1066" s="11" t="inlineStr">
        <is>
          <t>Sin marco</t>
        </is>
      </c>
      <c r="K1066" s="11" t="inlineStr">
        <is>
          <t>N/A</t>
        </is>
      </c>
      <c r="L1066" s="11" t="inlineStr"/>
      <c r="M1066" s="11">
        <f>IF(K1066="FUERA","Fuera del marco",IF(K1066="N/A","Sin marco",IFERROR(INDEX('Datos - Catálogo TIMSS'!$C$5:$C$107,MATCH(K1066,'Datos - Catálogo TIMSS'!$A$5:$A$107,0)),"Pendiente de clasificar")))</f>
        <v/>
      </c>
      <c r="N1066" s="11">
        <f>IF(K1066="FUERA","Fuera del marco",IF(K1066="N/A","Sin marco",IFERROR(INDEX('Datos - Catálogo TIMSS'!$F$5:$F$107,MATCH(K1066,'Datos - Catálogo TIMSS'!$A$5:$A$107,0)),"Pendiente de clasificar")))</f>
        <v/>
      </c>
      <c r="O1066" s="11">
        <f>IF(L1066="","",IFERROR(INDEX('Datos - Catálogo TIMSS'!$C$5:$C$107,MATCH(L1066,'Datos - Catálogo TIMSS'!$A$5:$A$107,0)),"?"))</f>
        <v/>
      </c>
      <c r="P1066" s="11" t="inlineStr">
        <is>
          <t>N/A</t>
        </is>
      </c>
      <c r="Q1066" s="38" t="inlineStr">
        <is>
          <t>Sin marco TIMSS de contenido para esta asignatura en Bachillerato</t>
        </is>
      </c>
      <c r="R1066" s="38" t="inlineStr">
        <is>
          <t>Conocer: describir aplicaciones. Razonar: evaluar impactos ambientales y justificar decisiones</t>
        </is>
      </c>
      <c r="S1066" s="39">
        <f>IFERROR(ISNUMBER(SEARCH("Conocer",$R1066))/(ISNUMBER(SEARCH("Conocer",$R1066))+ISNUMBER(SEARCH("Aplicar",$R1066))+ISNUMBER(SEARCH("Razonar",$R1066))),0)</f>
        <v/>
      </c>
      <c r="T1066" s="39">
        <f>IFERROR(ISNUMBER(SEARCH("Aplicar",$R1066))/(ISNUMBER(SEARCH("Conocer",$R1066))+ISNUMBER(SEARCH("Aplicar",$R1066))+ISNUMBER(SEARCH("Razonar",$R1066))),0)</f>
        <v/>
      </c>
      <c r="U1066" s="39">
        <f>IFERROR(ISNUMBER(SEARCH("Razonar",$R1066))/(ISNUMBER(SEARCH("Conocer",$R1066))+ISNUMBER(SEARCH("Aplicar",$R1066))+ISNUMBER(SEARCH("Razonar",$R1066))),0)</f>
        <v/>
      </c>
      <c r="V1066" s="11" t="inlineStr">
        <is>
          <t>Química 11°</t>
        </is>
      </c>
      <c r="W1066" s="11" t="inlineStr">
        <is>
          <t>Química 10°–11°</t>
        </is>
      </c>
      <c r="X1066" s="11">
        <f>IF(OR(IFERROR(INDEX('Datos - Catálogo TIMSS'!$I$5:$I$107,MATCH(K1066,'Datos - Catálogo TIMSS'!$A$5:$A$107,0)),"No")="Sí",IFERROR(INDEX('Datos - Catálogo TIMSS'!$I$5:$I$107,MATCH(L1066,'Datos - Catálogo TIMSS'!$A$5:$A$107,0)),"No")="Sí"),1,0)</f>
        <v/>
      </c>
      <c r="Y1066" s="11">
        <f>IF(IFERROR(INDEX('Datos - Catálogo TIMSS'!$J$5:$J$107,MATCH(K1066,'Datos - Catálogo TIMSS'!$A$5:$A$107,0)),"No")="Sí",1,0)</f>
        <v/>
      </c>
      <c r="Z1066" s="11">
        <f>IF(IFERROR(INDEX('Datos - Catálogo TIMSS'!$J$5:$J$107,MATCH(L1066,'Datos - Catálogo TIMSS'!$A$5:$A$107,0)),"No")="Sí",1,0)</f>
        <v/>
      </c>
      <c r="AA1066" s="11" t="inlineStr">
        <is>
          <t>N/A</t>
        </is>
      </c>
      <c r="AB1066" s="11" t="inlineStr"/>
      <c r="AC1066" s="11">
        <f>IF(AA1066="FUERA","Fuera del marco",IF(AA1066="N/A","Sin marco",IFERROR(INDEX('Datos - TIMSS 2023'!$C$5:$C$105,MATCH(AA1066,'Datos - TIMSS 2023'!$A$5:$A$105,0)),"Pendiente de clasificar")))</f>
        <v/>
      </c>
      <c r="AD1066" s="11" t="inlineStr">
        <is>
          <t>3. Investigar, evaluar y usar información científica para tomar decisiones y actuar</t>
        </is>
      </c>
      <c r="AE1066" s="11">
        <f>IF(AD1066="","",IF(LEFT(AD1066,1)="1","C1",IF(LEFT(AD1066,1)="2","C2",IF(LEFT(AD1066,1)="3","C3",""))))</f>
        <v/>
      </c>
      <c r="AF1066" s="11" t="inlineStr">
        <is>
          <t>E6</t>
        </is>
      </c>
      <c r="AG1066" s="11" t="inlineStr">
        <is>
          <t>E5</t>
        </is>
      </c>
      <c r="AH1066" s="11" t="inlineStr">
        <is>
          <t>E1</t>
        </is>
      </c>
      <c r="AI1066" s="11" t="inlineStr">
        <is>
          <t>I1</t>
        </is>
      </c>
      <c r="AJ1066" s="11" t="inlineStr">
        <is>
          <t>I5</t>
        </is>
      </c>
      <c r="AK1066" s="11" t="n"/>
      <c r="AL1066" s="11" t="n"/>
      <c r="AM1066" s="11" t="n"/>
      <c r="AN1066" s="11" t="n"/>
      <c r="AO1066" s="11" t="n"/>
      <c r="AP1066" s="11" t="n"/>
      <c r="AQ1066" s="11" t="n"/>
      <c r="AR1066" s="11" t="n"/>
      <c r="AS1066" s="11" t="n"/>
      <c r="AT1066" s="11" t="n"/>
      <c r="AU1066" s="11" t="n"/>
      <c r="AV1066" s="11" t="n"/>
      <c r="AW1066" s="11">
        <f>AF1066&amp;"; "&amp;AG1066&amp;"; "&amp;AH1066&amp;"; "&amp;AI1066&amp;"; "&amp;AJ1066</f>
        <v/>
      </c>
    </row>
    <row r="1067">
      <c r="A1067" s="11" t="inlineStr">
        <is>
          <t>T0603-G11-QUÍ</t>
        </is>
      </c>
      <c r="B1067" s="11" t="n">
        <v>11</v>
      </c>
      <c r="C1067" s="11" t="inlineStr">
        <is>
          <t>Química</t>
        </is>
      </c>
      <c r="D1067" s="11" t="inlineStr">
        <is>
          <t>Matriz_Bachillerato_Quimica_10_11.xlsx</t>
        </is>
      </c>
      <c r="E1067" s="11" t="inlineStr">
        <is>
          <t>Química 11.°</t>
        </is>
      </c>
      <c r="F1067" s="11" t="n">
        <v>64</v>
      </c>
      <c r="G1067" s="11" t="inlineStr">
        <is>
          <t>6. Electroquímica</t>
        </is>
      </c>
      <c r="H1067" s="11" t="inlineStr">
        <is>
          <t>Celdas electroquímicas y potenciales redox</t>
        </is>
      </c>
      <c r="I1067" s="38" t="inlineStr">
        <is>
          <t>6.10. Aplicación de la ecuación de Nernst para calcular el potencial de una celda con concentraciones distintas de las estándar.</t>
        </is>
      </c>
      <c r="J1067" s="11" t="inlineStr">
        <is>
          <t>Sin marco</t>
        </is>
      </c>
      <c r="K1067" s="11" t="inlineStr">
        <is>
          <t>N/A</t>
        </is>
      </c>
      <c r="L1067" s="11" t="inlineStr"/>
      <c r="M1067" s="11">
        <f>IF(K1067="FUERA","Fuera del marco",IF(K1067="N/A","Sin marco",IFERROR(INDEX('Datos - Catálogo TIMSS'!$C$5:$C$107,MATCH(K1067,'Datos - Catálogo TIMSS'!$A$5:$A$107,0)),"Pendiente de clasificar")))</f>
        <v/>
      </c>
      <c r="N1067" s="11">
        <f>IF(K1067="FUERA","Fuera del marco",IF(K1067="N/A","Sin marco",IFERROR(INDEX('Datos - Catálogo TIMSS'!$F$5:$F$107,MATCH(K1067,'Datos - Catálogo TIMSS'!$A$5:$A$107,0)),"Pendiente de clasificar")))</f>
        <v/>
      </c>
      <c r="O1067" s="11">
        <f>IF(L1067="","",IFERROR(INDEX('Datos - Catálogo TIMSS'!$C$5:$C$107,MATCH(L1067,'Datos - Catálogo TIMSS'!$A$5:$A$107,0)),"?"))</f>
        <v/>
      </c>
      <c r="P1067" s="11" t="inlineStr">
        <is>
          <t>N/A</t>
        </is>
      </c>
      <c r="Q1067" s="38" t="inlineStr">
        <is>
          <t>Sin marco TIMSS de contenido para esta asignatura en Bachillerato</t>
        </is>
      </c>
      <c r="R1067" s="38" t="inlineStr">
        <is>
          <t>Aplicar: calcular E con la ecuación de Nernst y ΔG. Razonar: interpretar la gráfica de E frente a log Q</t>
        </is>
      </c>
      <c r="S1067" s="39">
        <f>IFERROR(ISNUMBER(SEARCH("Conocer",$R1067))/(ISNUMBER(SEARCH("Conocer",$R1067))+ISNUMBER(SEARCH("Aplicar",$R1067))+ISNUMBER(SEARCH("Razonar",$R1067))),0)</f>
        <v/>
      </c>
      <c r="T1067" s="39">
        <f>IFERROR(ISNUMBER(SEARCH("Aplicar",$R1067))/(ISNUMBER(SEARCH("Conocer",$R1067))+ISNUMBER(SEARCH("Aplicar",$R1067))+ISNUMBER(SEARCH("Razonar",$R1067))),0)</f>
        <v/>
      </c>
      <c r="U1067" s="39">
        <f>IFERROR(ISNUMBER(SEARCH("Razonar",$R1067))/(ISNUMBER(SEARCH("Conocer",$R1067))+ISNUMBER(SEARCH("Aplicar",$R1067))+ISNUMBER(SEARCH("Razonar",$R1067))),0)</f>
        <v/>
      </c>
      <c r="V1067" s="11" t="inlineStr">
        <is>
          <t>Química 11°</t>
        </is>
      </c>
      <c r="W1067" s="11" t="inlineStr">
        <is>
          <t>Química 10°–11°</t>
        </is>
      </c>
      <c r="X1067" s="11">
        <f>IF(OR(IFERROR(INDEX('Datos - Catálogo TIMSS'!$I$5:$I$107,MATCH(K1067,'Datos - Catálogo TIMSS'!$A$5:$A$107,0)),"No")="Sí",IFERROR(INDEX('Datos - Catálogo TIMSS'!$I$5:$I$107,MATCH(L1067,'Datos - Catálogo TIMSS'!$A$5:$A$107,0)),"No")="Sí"),1,0)</f>
        <v/>
      </c>
      <c r="Y1067" s="11">
        <f>IF(IFERROR(INDEX('Datos - Catálogo TIMSS'!$J$5:$J$107,MATCH(K1067,'Datos - Catálogo TIMSS'!$A$5:$A$107,0)),"No")="Sí",1,0)</f>
        <v/>
      </c>
      <c r="Z1067" s="11">
        <f>IF(IFERROR(INDEX('Datos - Catálogo TIMSS'!$J$5:$J$107,MATCH(L1067,'Datos - Catálogo TIMSS'!$A$5:$A$107,0)),"No")="Sí",1,0)</f>
        <v/>
      </c>
      <c r="AA1067" s="11" t="inlineStr">
        <is>
          <t>N/A</t>
        </is>
      </c>
      <c r="AB1067" s="11" t="inlineStr"/>
      <c r="AC1067" s="11">
        <f>IF(AA1067="FUERA","Fuera del marco",IF(AA1067="N/A","Sin marco",IFERROR(INDEX('Datos - TIMSS 2023'!$C$5:$C$105,MATCH(AA1067,'Datos - TIMSS 2023'!$A$5:$A$105,0)),"Pendiente de clasificar")))</f>
        <v/>
      </c>
      <c r="AD1067" s="11" t="inlineStr">
        <is>
          <t>1. Explicar fenómenos científicamente</t>
        </is>
      </c>
      <c r="AE1067" s="11">
        <f>IF(AD1067="","",IF(LEFT(AD1067,1)="1","C1",IF(LEFT(AD1067,1)="2","C2",IF(LEFT(AD1067,1)="3","C3",""))))</f>
        <v/>
      </c>
      <c r="AF1067" s="11" t="inlineStr">
        <is>
          <t>E1</t>
        </is>
      </c>
      <c r="AG1067" s="11" t="inlineStr">
        <is>
          <t>E5</t>
        </is>
      </c>
      <c r="AH1067" s="11" t="inlineStr">
        <is>
          <t>E2</t>
        </is>
      </c>
      <c r="AI1067" s="11" t="inlineStr">
        <is>
          <t>D4</t>
        </is>
      </c>
      <c r="AJ1067" s="11" t="inlineStr">
        <is>
          <t>E6</t>
        </is>
      </c>
      <c r="AK1067" s="11" t="n"/>
      <c r="AL1067" s="11" t="n"/>
      <c r="AM1067" s="11" t="n"/>
      <c r="AN1067" s="11" t="n"/>
      <c r="AO1067" s="11" t="n"/>
      <c r="AP1067" s="11" t="n"/>
      <c r="AQ1067" s="11" t="n"/>
      <c r="AR1067" s="11" t="n"/>
      <c r="AS1067" s="11" t="n"/>
      <c r="AT1067" s="11" t="n"/>
      <c r="AU1067" s="11" t="n"/>
      <c r="AV1067" s="11" t="n"/>
      <c r="AW1067" s="11">
        <f>AF1067&amp;"; "&amp;AG1067&amp;"; "&amp;AH1067&amp;"; "&amp;AI1067&amp;"; "&amp;AJ1067</f>
        <v/>
      </c>
    </row>
    <row r="1068">
      <c r="A1068" s="11" t="inlineStr">
        <is>
          <t>T0604-G11-QUÍ</t>
        </is>
      </c>
      <c r="B1068" s="11" t="n">
        <v>11</v>
      </c>
      <c r="C1068" s="11" t="inlineStr">
        <is>
          <t>Química</t>
        </is>
      </c>
      <c r="D1068" s="11" t="inlineStr">
        <is>
          <t>Matriz_Bachillerato_Quimica_10_11.xlsx</t>
        </is>
      </c>
      <c r="E1068" s="11" t="inlineStr">
        <is>
          <t>Química 11.°</t>
        </is>
      </c>
      <c r="F1068" s="11" t="n">
        <v>65</v>
      </c>
      <c r="G1068" s="11" t="inlineStr">
        <is>
          <t>6. Electroquímica</t>
        </is>
      </c>
      <c r="H1068" s="11" t="inlineStr">
        <is>
          <t>Celdas electroquímicas y potenciales redox</t>
        </is>
      </c>
      <c r="I1068" s="38" t="inlineStr">
        <is>
          <t>6.11. Análisis de la corrosión de los metales como una celda galvánica y de los métodos para proteger los metales.</t>
        </is>
      </c>
      <c r="J1068" s="11" t="inlineStr">
        <is>
          <t>Sin marco</t>
        </is>
      </c>
      <c r="K1068" s="11" t="inlineStr">
        <is>
          <t>N/A</t>
        </is>
      </c>
      <c r="L1068" s="11" t="inlineStr"/>
      <c r="M1068" s="11">
        <f>IF(K1068="FUERA","Fuera del marco",IF(K1068="N/A","Sin marco",IFERROR(INDEX('Datos - Catálogo TIMSS'!$C$5:$C$107,MATCH(K1068,'Datos - Catálogo TIMSS'!$A$5:$A$107,0)),"Pendiente de clasificar")))</f>
        <v/>
      </c>
      <c r="N1068" s="11">
        <f>IF(K1068="FUERA","Fuera del marco",IF(K1068="N/A","Sin marco",IFERROR(INDEX('Datos - Catálogo TIMSS'!$F$5:$F$107,MATCH(K1068,'Datos - Catálogo TIMSS'!$A$5:$A$107,0)),"Pendiente de clasificar")))</f>
        <v/>
      </c>
      <c r="O1068" s="11">
        <f>IF(L1068="","",IFERROR(INDEX('Datos - Catálogo TIMSS'!$C$5:$C$107,MATCH(L1068,'Datos - Catálogo TIMSS'!$A$5:$A$107,0)),"?"))</f>
        <v/>
      </c>
      <c r="P1068" s="11" t="inlineStr">
        <is>
          <t>N/A</t>
        </is>
      </c>
      <c r="Q1068" s="38" t="inlineStr">
        <is>
          <t>Sin marco TIMSS de contenido para esta asignatura en Bachillerato</t>
        </is>
      </c>
      <c r="R1068" s="38" t="inlineStr">
        <is>
          <t>Aplicar: escribir las semirreacciones de corrosión. Razonar: comparar métodos de protección con evidencia experimental</t>
        </is>
      </c>
      <c r="S1068" s="39">
        <f>IFERROR(ISNUMBER(SEARCH("Conocer",$R1068))/(ISNUMBER(SEARCH("Conocer",$R1068))+ISNUMBER(SEARCH("Aplicar",$R1068))+ISNUMBER(SEARCH("Razonar",$R1068))),0)</f>
        <v/>
      </c>
      <c r="T1068" s="39">
        <f>IFERROR(ISNUMBER(SEARCH("Aplicar",$R1068))/(ISNUMBER(SEARCH("Conocer",$R1068))+ISNUMBER(SEARCH("Aplicar",$R1068))+ISNUMBER(SEARCH("Razonar",$R1068))),0)</f>
        <v/>
      </c>
      <c r="U1068" s="39">
        <f>IFERROR(ISNUMBER(SEARCH("Razonar",$R1068))/(ISNUMBER(SEARCH("Conocer",$R1068))+ISNUMBER(SEARCH("Aplicar",$R1068))+ISNUMBER(SEARCH("Razonar",$R1068))),0)</f>
        <v/>
      </c>
      <c r="V1068" s="11" t="inlineStr">
        <is>
          <t>Química 11°</t>
        </is>
      </c>
      <c r="W1068" s="11" t="inlineStr">
        <is>
          <t>Química 10°–11°</t>
        </is>
      </c>
      <c r="X1068" s="11">
        <f>IF(OR(IFERROR(INDEX('Datos - Catálogo TIMSS'!$I$5:$I$107,MATCH(K1068,'Datos - Catálogo TIMSS'!$A$5:$A$107,0)),"No")="Sí",IFERROR(INDEX('Datos - Catálogo TIMSS'!$I$5:$I$107,MATCH(L1068,'Datos - Catálogo TIMSS'!$A$5:$A$107,0)),"No")="Sí"),1,0)</f>
        <v/>
      </c>
      <c r="Y1068" s="11">
        <f>IF(IFERROR(INDEX('Datos - Catálogo TIMSS'!$J$5:$J$107,MATCH(K1068,'Datos - Catálogo TIMSS'!$A$5:$A$107,0)),"No")="Sí",1,0)</f>
        <v/>
      </c>
      <c r="Z1068" s="11">
        <f>IF(IFERROR(INDEX('Datos - Catálogo TIMSS'!$J$5:$J$107,MATCH(L1068,'Datos - Catálogo TIMSS'!$A$5:$A$107,0)),"No")="Sí",1,0)</f>
        <v/>
      </c>
      <c r="AA1068" s="11" t="inlineStr">
        <is>
          <t>N/A</t>
        </is>
      </c>
      <c r="AB1068" s="11" t="inlineStr"/>
      <c r="AC1068" s="11">
        <f>IF(AA1068="FUERA","Fuera del marco",IF(AA1068="N/A","Sin marco",IFERROR(INDEX('Datos - TIMSS 2023'!$C$5:$C$105,MATCH(AA1068,'Datos - TIMSS 2023'!$A$5:$A$105,0)),"Pendiente de clasificar")))</f>
        <v/>
      </c>
      <c r="AD1068" s="11" t="inlineStr">
        <is>
          <t>3. Investigar, evaluar y usar información científica para tomar decisiones y actuar</t>
        </is>
      </c>
      <c r="AE1068" s="11">
        <f>IF(AD1068="","",IF(LEFT(AD1068,1)="1","C1",IF(LEFT(AD1068,1)="2","C2",IF(LEFT(AD1068,1)="3","C3",""))))</f>
        <v/>
      </c>
      <c r="AF1068" s="11" t="inlineStr">
        <is>
          <t>E6</t>
        </is>
      </c>
      <c r="AG1068" s="11" t="inlineStr">
        <is>
          <t>D1</t>
        </is>
      </c>
      <c r="AH1068" s="11" t="inlineStr">
        <is>
          <t>E4</t>
        </is>
      </c>
      <c r="AI1068" s="11" t="inlineStr">
        <is>
          <t>D2</t>
        </is>
      </c>
      <c r="AJ1068" s="11" t="inlineStr">
        <is>
          <t>I5</t>
        </is>
      </c>
      <c r="AK1068" s="11" t="n"/>
      <c r="AL1068" s="11" t="n"/>
      <c r="AM1068" s="11" t="n"/>
      <c r="AN1068" s="11" t="n"/>
      <c r="AO1068" s="11" t="n"/>
      <c r="AP1068" s="11" t="n"/>
      <c r="AQ1068" s="11" t="n"/>
      <c r="AR1068" s="11" t="n"/>
      <c r="AS1068" s="11" t="n"/>
      <c r="AT1068" s="11" t="n"/>
      <c r="AU1068" s="11" t="n"/>
      <c r="AV1068" s="11" t="n"/>
      <c r="AW1068" s="11">
        <f>AF1068&amp;"; "&amp;AG1068&amp;"; "&amp;AH1068&amp;"; "&amp;AI1068&amp;"; "&amp;AJ1068</f>
        <v/>
      </c>
    </row>
    <row r="1069">
      <c r="A1069" s="11" t="inlineStr">
        <is>
          <t>T0605-G11-QUÍ</t>
        </is>
      </c>
      <c r="B1069" s="11" t="n">
        <v>11</v>
      </c>
      <c r="C1069" s="11" t="inlineStr">
        <is>
          <t>Química</t>
        </is>
      </c>
      <c r="D1069" s="11" t="inlineStr">
        <is>
          <t>Matriz_Bachillerato_Quimica_10_11.xlsx</t>
        </is>
      </c>
      <c r="E1069" s="11" t="inlineStr">
        <is>
          <t>Química 11.°</t>
        </is>
      </c>
      <c r="F1069" s="11" t="n">
        <v>66</v>
      </c>
      <c r="G1069" s="11" t="inlineStr">
        <is>
          <t>7. Química industrial</t>
        </is>
      </c>
      <c r="H1069" s="11" t="inlineStr">
        <is>
          <t>Del laboratorio a la planta</t>
        </is>
      </c>
      <c r="I1069" s="38" t="inlineStr">
        <is>
          <t>7.1. Aplicación del balance de materia a un proceso industrial representado en un diagrama de bloques con sus operaciones unitarias.</t>
        </is>
      </c>
      <c r="J1069" s="11" t="inlineStr">
        <is>
          <t>Sin marco</t>
        </is>
      </c>
      <c r="K1069" s="11" t="inlineStr">
        <is>
          <t>N/A</t>
        </is>
      </c>
      <c r="L1069" s="11" t="inlineStr"/>
      <c r="M1069" s="11">
        <f>IF(K1069="FUERA","Fuera del marco",IF(K1069="N/A","Sin marco",IFERROR(INDEX('Datos - Catálogo TIMSS'!$C$5:$C$107,MATCH(K1069,'Datos - Catálogo TIMSS'!$A$5:$A$107,0)),"Pendiente de clasificar")))</f>
        <v/>
      </c>
      <c r="N1069" s="11">
        <f>IF(K1069="FUERA","Fuera del marco",IF(K1069="N/A","Sin marco",IFERROR(INDEX('Datos - Catálogo TIMSS'!$F$5:$F$107,MATCH(K1069,'Datos - Catálogo TIMSS'!$A$5:$A$107,0)),"Pendiente de clasificar")))</f>
        <v/>
      </c>
      <c r="O1069" s="11">
        <f>IF(L1069="","",IFERROR(INDEX('Datos - Catálogo TIMSS'!$C$5:$C$107,MATCH(L1069,'Datos - Catálogo TIMSS'!$A$5:$A$107,0)),"?"))</f>
        <v/>
      </c>
      <c r="P1069" s="11" t="inlineStr">
        <is>
          <t>N/A</t>
        </is>
      </c>
      <c r="Q1069" s="38" t="inlineStr">
        <is>
          <t>Sin marco TIMSS de contenido para esta asignatura en Bachillerato</t>
        </is>
      </c>
      <c r="R1069" s="38" t="inlineStr">
        <is>
          <t>Aplicar: resolver balances de materia. Razonar: justificar los problemas del escalamiento</t>
        </is>
      </c>
      <c r="S1069" s="39">
        <f>IFERROR(ISNUMBER(SEARCH("Conocer",$R1069))/(ISNUMBER(SEARCH("Conocer",$R1069))+ISNUMBER(SEARCH("Aplicar",$R1069))+ISNUMBER(SEARCH("Razonar",$R1069))),0)</f>
        <v/>
      </c>
      <c r="T1069" s="39">
        <f>IFERROR(ISNUMBER(SEARCH("Aplicar",$R1069))/(ISNUMBER(SEARCH("Conocer",$R1069))+ISNUMBER(SEARCH("Aplicar",$R1069))+ISNUMBER(SEARCH("Razonar",$R1069))),0)</f>
        <v/>
      </c>
      <c r="U1069" s="39">
        <f>IFERROR(ISNUMBER(SEARCH("Razonar",$R1069))/(ISNUMBER(SEARCH("Conocer",$R1069))+ISNUMBER(SEARCH("Aplicar",$R1069))+ISNUMBER(SEARCH("Razonar",$R1069))),0)</f>
        <v/>
      </c>
      <c r="V1069" s="11" t="inlineStr">
        <is>
          <t>Química 11°</t>
        </is>
      </c>
      <c r="W1069" s="11" t="inlineStr">
        <is>
          <t>Química 10°–11°</t>
        </is>
      </c>
      <c r="X1069" s="11">
        <f>IF(OR(IFERROR(INDEX('Datos - Catálogo TIMSS'!$I$5:$I$107,MATCH(K1069,'Datos - Catálogo TIMSS'!$A$5:$A$107,0)),"No")="Sí",IFERROR(INDEX('Datos - Catálogo TIMSS'!$I$5:$I$107,MATCH(L1069,'Datos - Catálogo TIMSS'!$A$5:$A$107,0)),"No")="Sí"),1,0)</f>
        <v/>
      </c>
      <c r="Y1069" s="11">
        <f>IF(IFERROR(INDEX('Datos - Catálogo TIMSS'!$J$5:$J$107,MATCH(K1069,'Datos - Catálogo TIMSS'!$A$5:$A$107,0)),"No")="Sí",1,0)</f>
        <v/>
      </c>
      <c r="Z1069" s="11">
        <f>IF(IFERROR(INDEX('Datos - Catálogo TIMSS'!$J$5:$J$107,MATCH(L1069,'Datos - Catálogo TIMSS'!$A$5:$A$107,0)),"No")="Sí",1,0)</f>
        <v/>
      </c>
      <c r="AA1069" s="11" t="inlineStr">
        <is>
          <t>N/A</t>
        </is>
      </c>
      <c r="AB1069" s="11" t="inlineStr"/>
      <c r="AC1069" s="11">
        <f>IF(AA1069="FUERA","Fuera del marco",IF(AA1069="N/A","Sin marco",IFERROR(INDEX('Datos - TIMSS 2023'!$C$5:$C$105,MATCH(AA1069,'Datos - TIMSS 2023'!$A$5:$A$105,0)),"Pendiente de clasificar")))</f>
        <v/>
      </c>
      <c r="AD1069" s="11" t="inlineStr">
        <is>
          <t>1. Explicar fenómenos científicamente</t>
        </is>
      </c>
      <c r="AE1069" s="11">
        <f>IF(AD1069="","",IF(LEFT(AD1069,1)="1","C1",IF(LEFT(AD1069,1)="2","C2",IF(LEFT(AD1069,1)="3","C3",""))))</f>
        <v/>
      </c>
      <c r="AF1069" s="11" t="inlineStr">
        <is>
          <t>E1</t>
        </is>
      </c>
      <c r="AG1069" s="11" t="inlineStr">
        <is>
          <t>D1</t>
        </is>
      </c>
      <c r="AH1069" s="11" t="inlineStr">
        <is>
          <t>E2</t>
        </is>
      </c>
      <c r="AI1069" s="11" t="inlineStr">
        <is>
          <t>D4</t>
        </is>
      </c>
      <c r="AJ1069" s="11" t="inlineStr">
        <is>
          <t>E3</t>
        </is>
      </c>
      <c r="AK1069" s="11" t="n"/>
      <c r="AL1069" s="11" t="n"/>
      <c r="AM1069" s="11" t="n"/>
      <c r="AN1069" s="11" t="n"/>
      <c r="AO1069" s="11" t="n"/>
      <c r="AP1069" s="11" t="n"/>
      <c r="AQ1069" s="11" t="n"/>
      <c r="AR1069" s="11" t="n"/>
      <c r="AS1069" s="11" t="n"/>
      <c r="AT1069" s="11" t="n"/>
      <c r="AU1069" s="11" t="n"/>
      <c r="AV1069" s="11" t="n"/>
      <c r="AW1069" s="11">
        <f>AF1069&amp;"; "&amp;AG1069&amp;"; "&amp;AH1069&amp;"; "&amp;AI1069&amp;"; "&amp;AJ1069</f>
        <v/>
      </c>
    </row>
    <row r="1070">
      <c r="A1070" s="11" t="inlineStr">
        <is>
          <t>T0606-G11-QUÍ</t>
        </is>
      </c>
      <c r="B1070" s="11" t="n">
        <v>11</v>
      </c>
      <c r="C1070" s="11" t="inlineStr">
        <is>
          <t>Química</t>
        </is>
      </c>
      <c r="D1070" s="11" t="inlineStr">
        <is>
          <t>Matriz_Bachillerato_Quimica_10_11.xlsx</t>
        </is>
      </c>
      <c r="E1070" s="11" t="inlineStr">
        <is>
          <t>Química 11.°</t>
        </is>
      </c>
      <c r="F1070" s="11" t="n">
        <v>67</v>
      </c>
      <c r="G1070" s="11" t="inlineStr">
        <is>
          <t>7. Química industrial</t>
        </is>
      </c>
      <c r="H1070" s="11" t="inlineStr">
        <is>
          <t>Industria química de base</t>
        </is>
      </c>
      <c r="I1070" s="38" t="inlineStr">
        <is>
          <t>7.2. Análisis de las condiciones de reacción del proceso de contacto y de la síntesis de fertilizantes nitrogenados a partir del amoníaco.</t>
        </is>
      </c>
      <c r="J1070" s="11" t="inlineStr">
        <is>
          <t>Sin marco</t>
        </is>
      </c>
      <c r="K1070" s="11" t="inlineStr">
        <is>
          <t>N/A</t>
        </is>
      </c>
      <c r="L1070" s="11" t="inlineStr"/>
      <c r="M1070" s="11">
        <f>IF(K1070="FUERA","Fuera del marco",IF(K1070="N/A","Sin marco",IFERROR(INDEX('Datos - Catálogo TIMSS'!$C$5:$C$107,MATCH(K1070,'Datos - Catálogo TIMSS'!$A$5:$A$107,0)),"Pendiente de clasificar")))</f>
        <v/>
      </c>
      <c r="N1070" s="11">
        <f>IF(K1070="FUERA","Fuera del marco",IF(K1070="N/A","Sin marco",IFERROR(INDEX('Datos - Catálogo TIMSS'!$F$5:$F$107,MATCH(K1070,'Datos - Catálogo TIMSS'!$A$5:$A$107,0)),"Pendiente de clasificar")))</f>
        <v/>
      </c>
      <c r="O1070" s="11">
        <f>IF(L1070="","",IFERROR(INDEX('Datos - Catálogo TIMSS'!$C$5:$C$107,MATCH(L1070,'Datos - Catálogo TIMSS'!$A$5:$A$107,0)),"?"))</f>
        <v/>
      </c>
      <c r="P1070" s="11" t="inlineStr">
        <is>
          <t>N/A</t>
        </is>
      </c>
      <c r="Q1070" s="38" t="inlineStr">
        <is>
          <t>Sin marco TIMSS de contenido para esta asignatura en Bachillerato</t>
        </is>
      </c>
      <c r="R1070" s="38" t="inlineStr">
        <is>
          <t>Aplicar: escribir las etapas del proceso. Razonar: justificar condiciones de compromiso</t>
        </is>
      </c>
      <c r="S1070" s="39">
        <f>IFERROR(ISNUMBER(SEARCH("Conocer",$R1070))/(ISNUMBER(SEARCH("Conocer",$R1070))+ISNUMBER(SEARCH("Aplicar",$R1070))+ISNUMBER(SEARCH("Razonar",$R1070))),0)</f>
        <v/>
      </c>
      <c r="T1070" s="39">
        <f>IFERROR(ISNUMBER(SEARCH("Aplicar",$R1070))/(ISNUMBER(SEARCH("Conocer",$R1070))+ISNUMBER(SEARCH("Aplicar",$R1070))+ISNUMBER(SEARCH("Razonar",$R1070))),0)</f>
        <v/>
      </c>
      <c r="U1070" s="39">
        <f>IFERROR(ISNUMBER(SEARCH("Razonar",$R1070))/(ISNUMBER(SEARCH("Conocer",$R1070))+ISNUMBER(SEARCH("Aplicar",$R1070))+ISNUMBER(SEARCH("Razonar",$R1070))),0)</f>
        <v/>
      </c>
      <c r="V1070" s="11" t="inlineStr">
        <is>
          <t>Química 11°</t>
        </is>
      </c>
      <c r="W1070" s="11" t="inlineStr">
        <is>
          <t>Química 10°–11°</t>
        </is>
      </c>
      <c r="X1070" s="11">
        <f>IF(OR(IFERROR(INDEX('Datos - Catálogo TIMSS'!$I$5:$I$107,MATCH(K1070,'Datos - Catálogo TIMSS'!$A$5:$A$107,0)),"No")="Sí",IFERROR(INDEX('Datos - Catálogo TIMSS'!$I$5:$I$107,MATCH(L1070,'Datos - Catálogo TIMSS'!$A$5:$A$107,0)),"No")="Sí"),1,0)</f>
        <v/>
      </c>
      <c r="Y1070" s="11">
        <f>IF(IFERROR(INDEX('Datos - Catálogo TIMSS'!$J$5:$J$107,MATCH(K1070,'Datos - Catálogo TIMSS'!$A$5:$A$107,0)),"No")="Sí",1,0)</f>
        <v/>
      </c>
      <c r="Z1070" s="11">
        <f>IF(IFERROR(INDEX('Datos - Catálogo TIMSS'!$J$5:$J$107,MATCH(L1070,'Datos - Catálogo TIMSS'!$A$5:$A$107,0)),"No")="Sí",1,0)</f>
        <v/>
      </c>
      <c r="AA1070" s="11" t="inlineStr">
        <is>
          <t>N/A</t>
        </is>
      </c>
      <c r="AB1070" s="11" t="inlineStr"/>
      <c r="AC1070" s="11">
        <f>IF(AA1070="FUERA","Fuera del marco",IF(AA1070="N/A","Sin marco",IFERROR(INDEX('Datos - TIMSS 2023'!$C$5:$C$105,MATCH(AA1070,'Datos - TIMSS 2023'!$A$5:$A$105,0)),"Pendiente de clasificar")))</f>
        <v/>
      </c>
      <c r="AD1070" s="11" t="inlineStr">
        <is>
          <t>1. Explicar fenómenos científicamente</t>
        </is>
      </c>
      <c r="AE1070" s="11">
        <f>IF(AD1070="","",IF(LEFT(AD1070,1)="1","C1",IF(LEFT(AD1070,1)="2","C2",IF(LEFT(AD1070,1)="3","C3",""))))</f>
        <v/>
      </c>
      <c r="AF1070" s="11" t="inlineStr">
        <is>
          <t>E6</t>
        </is>
      </c>
      <c r="AG1070" s="11" t="inlineStr">
        <is>
          <t>E3</t>
        </is>
      </c>
      <c r="AH1070" s="11" t="inlineStr">
        <is>
          <t>E4</t>
        </is>
      </c>
      <c r="AI1070" s="11" t="inlineStr">
        <is>
          <t>D4</t>
        </is>
      </c>
      <c r="AJ1070" s="11" t="inlineStr">
        <is>
          <t>I5</t>
        </is>
      </c>
      <c r="AK1070" s="11" t="n"/>
      <c r="AL1070" s="11" t="n"/>
      <c r="AM1070" s="11" t="n"/>
      <c r="AN1070" s="11" t="n"/>
      <c r="AO1070" s="11" t="n"/>
      <c r="AP1070" s="11" t="n"/>
      <c r="AQ1070" s="11" t="n"/>
      <c r="AR1070" s="11" t="n"/>
      <c r="AS1070" s="11" t="n"/>
      <c r="AT1070" s="11" t="n"/>
      <c r="AU1070" s="11" t="n"/>
      <c r="AV1070" s="11" t="n"/>
      <c r="AW1070" s="11">
        <f>AF1070&amp;"; "&amp;AG1070&amp;"; "&amp;AH1070&amp;"; "&amp;AI1070&amp;"; "&amp;AJ1070</f>
        <v/>
      </c>
    </row>
    <row r="1071">
      <c r="A1071" s="11" t="inlineStr">
        <is>
          <t>T0607-G11-QUÍ</t>
        </is>
      </c>
      <c r="B1071" s="11" t="n">
        <v>11</v>
      </c>
      <c r="C1071" s="11" t="inlineStr">
        <is>
          <t>Química</t>
        </is>
      </c>
      <c r="D1071" s="11" t="inlineStr">
        <is>
          <t>Matriz_Bachillerato_Quimica_10_11.xlsx</t>
        </is>
      </c>
      <c r="E1071" s="11" t="inlineStr">
        <is>
          <t>Química 11.°</t>
        </is>
      </c>
      <c r="F1071" s="11" t="n">
        <v>68</v>
      </c>
      <c r="G1071" s="11" t="inlineStr">
        <is>
          <t>7. Química industrial</t>
        </is>
      </c>
      <c r="H1071" s="11" t="inlineStr">
        <is>
          <t>Agroindustria salvadoreña</t>
        </is>
      </c>
      <c r="I1071" s="38" t="inlineStr">
        <is>
          <t>7.3. Descripción de las etapas químicas de la producción de azúcar y etanol a partir de la caña y del aprovechamiento energético del bagazo.</t>
        </is>
      </c>
      <c r="J1071" s="11" t="inlineStr">
        <is>
          <t>Sin marco</t>
        </is>
      </c>
      <c r="K1071" s="11" t="inlineStr">
        <is>
          <t>N/A</t>
        </is>
      </c>
      <c r="L1071" s="11" t="inlineStr"/>
      <c r="M1071" s="11">
        <f>IF(K1071="FUERA","Fuera del marco",IF(K1071="N/A","Sin marco",IFERROR(INDEX('Datos - Catálogo TIMSS'!$C$5:$C$107,MATCH(K1071,'Datos - Catálogo TIMSS'!$A$5:$A$107,0)),"Pendiente de clasificar")))</f>
        <v/>
      </c>
      <c r="N1071" s="11">
        <f>IF(K1071="FUERA","Fuera del marco",IF(K1071="N/A","Sin marco",IFERROR(INDEX('Datos - Catálogo TIMSS'!$F$5:$F$107,MATCH(K1071,'Datos - Catálogo TIMSS'!$A$5:$A$107,0)),"Pendiente de clasificar")))</f>
        <v/>
      </c>
      <c r="O1071" s="11">
        <f>IF(L1071="","",IFERROR(INDEX('Datos - Catálogo TIMSS'!$C$5:$C$107,MATCH(L1071,'Datos - Catálogo TIMSS'!$A$5:$A$107,0)),"?"))</f>
        <v/>
      </c>
      <c r="P1071" s="11" t="inlineStr">
        <is>
          <t>N/A</t>
        </is>
      </c>
      <c r="Q1071" s="38" t="inlineStr">
        <is>
          <t>Sin marco TIMSS de contenido para esta asignatura en Bachillerato</t>
        </is>
      </c>
      <c r="R1071" s="38" t="inlineStr">
        <is>
          <t>Aplicar: calcular rendimientos de fermentación. Razonar: relacionar etapas con transformaciones químicas</t>
        </is>
      </c>
      <c r="S1071" s="39">
        <f>IFERROR(ISNUMBER(SEARCH("Conocer",$R1071))/(ISNUMBER(SEARCH("Conocer",$R1071))+ISNUMBER(SEARCH("Aplicar",$R1071))+ISNUMBER(SEARCH("Razonar",$R1071))),0)</f>
        <v/>
      </c>
      <c r="T1071" s="39">
        <f>IFERROR(ISNUMBER(SEARCH("Aplicar",$R1071))/(ISNUMBER(SEARCH("Conocer",$R1071))+ISNUMBER(SEARCH("Aplicar",$R1071))+ISNUMBER(SEARCH("Razonar",$R1071))),0)</f>
        <v/>
      </c>
      <c r="U1071" s="39">
        <f>IFERROR(ISNUMBER(SEARCH("Razonar",$R1071))/(ISNUMBER(SEARCH("Conocer",$R1071))+ISNUMBER(SEARCH("Aplicar",$R1071))+ISNUMBER(SEARCH("Razonar",$R1071))),0)</f>
        <v/>
      </c>
      <c r="V1071" s="11" t="inlineStr">
        <is>
          <t>Química 11°</t>
        </is>
      </c>
      <c r="W1071" s="11" t="inlineStr">
        <is>
          <t>Química 10°–11°</t>
        </is>
      </c>
      <c r="X1071" s="11">
        <f>IF(OR(IFERROR(INDEX('Datos - Catálogo TIMSS'!$I$5:$I$107,MATCH(K1071,'Datos - Catálogo TIMSS'!$A$5:$A$107,0)),"No")="Sí",IFERROR(INDEX('Datos - Catálogo TIMSS'!$I$5:$I$107,MATCH(L1071,'Datos - Catálogo TIMSS'!$A$5:$A$107,0)),"No")="Sí"),1,0)</f>
        <v/>
      </c>
      <c r="Y1071" s="11">
        <f>IF(IFERROR(INDEX('Datos - Catálogo TIMSS'!$J$5:$J$107,MATCH(K1071,'Datos - Catálogo TIMSS'!$A$5:$A$107,0)),"No")="Sí",1,0)</f>
        <v/>
      </c>
      <c r="Z1071" s="11">
        <f>IF(IFERROR(INDEX('Datos - Catálogo TIMSS'!$J$5:$J$107,MATCH(L1071,'Datos - Catálogo TIMSS'!$A$5:$A$107,0)),"No")="Sí",1,0)</f>
        <v/>
      </c>
      <c r="AA1071" s="11" t="inlineStr">
        <is>
          <t>N/A</t>
        </is>
      </c>
      <c r="AB1071" s="11" t="inlineStr"/>
      <c r="AC1071" s="11">
        <f>IF(AA1071="FUERA","Fuera del marco",IF(AA1071="N/A","Sin marco",IFERROR(INDEX('Datos - TIMSS 2023'!$C$5:$C$105,MATCH(AA1071,'Datos - TIMSS 2023'!$A$5:$A$105,0)),"Pendiente de clasificar")))</f>
        <v/>
      </c>
      <c r="AD1071" s="11" t="inlineStr">
        <is>
          <t>1. Explicar fenómenos científicamente</t>
        </is>
      </c>
      <c r="AE1071" s="11">
        <f>IF(AD1071="","",IF(LEFT(AD1071,1)="1","C1",IF(LEFT(AD1071,1)="2","C2",IF(LEFT(AD1071,1)="3","C3",""))))</f>
        <v/>
      </c>
      <c r="AF1071" s="11" t="inlineStr">
        <is>
          <t>E6</t>
        </is>
      </c>
      <c r="AG1071" s="11" t="inlineStr">
        <is>
          <t>D1</t>
        </is>
      </c>
      <c r="AH1071" s="11" t="inlineStr">
        <is>
          <t>E2</t>
        </is>
      </c>
      <c r="AI1071" s="11" t="inlineStr">
        <is>
          <t>D4</t>
        </is>
      </c>
      <c r="AJ1071" s="11" t="inlineStr">
        <is>
          <t>E3</t>
        </is>
      </c>
      <c r="AK1071" s="11" t="n"/>
      <c r="AL1071" s="11" t="n"/>
      <c r="AM1071" s="11" t="n"/>
      <c r="AN1071" s="11" t="n"/>
      <c r="AO1071" s="11" t="n"/>
      <c r="AP1071" s="11" t="n"/>
      <c r="AQ1071" s="11" t="n"/>
      <c r="AR1071" s="11" t="n"/>
      <c r="AS1071" s="11" t="n"/>
      <c r="AT1071" s="11" t="n"/>
      <c r="AU1071" s="11" t="n"/>
      <c r="AV1071" s="11" t="n"/>
      <c r="AW1071" s="11">
        <f>AF1071&amp;"; "&amp;AG1071&amp;"; "&amp;AH1071&amp;"; "&amp;AI1071&amp;"; "&amp;AJ1071</f>
        <v/>
      </c>
    </row>
    <row r="1072">
      <c r="A1072" s="11" t="inlineStr">
        <is>
          <t>T0608-G11-QUÍ</t>
        </is>
      </c>
      <c r="B1072" s="11" t="n">
        <v>11</v>
      </c>
      <c r="C1072" s="11" t="inlineStr">
        <is>
          <t>Química</t>
        </is>
      </c>
      <c r="D1072" s="11" t="inlineStr">
        <is>
          <t>Matriz_Bachillerato_Quimica_10_11.xlsx</t>
        </is>
      </c>
      <c r="E1072" s="11" t="inlineStr">
        <is>
          <t>Química 11.°</t>
        </is>
      </c>
      <c r="F1072" s="11" t="n">
        <v>69</v>
      </c>
      <c r="G1072" s="11" t="inlineStr">
        <is>
          <t>7. Química industrial</t>
        </is>
      </c>
      <c r="H1072" s="11" t="inlineStr">
        <is>
          <t>Agroindustria salvadoreña</t>
        </is>
      </c>
      <c r="I1072" s="38" t="inlineStr">
        <is>
          <t>7.4. Análisis de la carga contaminante de las aguas mieles del beneficiado del café y de sus alternativas de tratamiento.</t>
        </is>
      </c>
      <c r="J1072" s="11" t="inlineStr">
        <is>
          <t>Sin marco</t>
        </is>
      </c>
      <c r="K1072" s="11" t="inlineStr">
        <is>
          <t>N/A</t>
        </is>
      </c>
      <c r="L1072" s="11" t="inlineStr"/>
      <c r="M1072" s="11">
        <f>IF(K1072="FUERA","Fuera del marco",IF(K1072="N/A","Sin marco",IFERROR(INDEX('Datos - Catálogo TIMSS'!$C$5:$C$107,MATCH(K1072,'Datos - Catálogo TIMSS'!$A$5:$A$107,0)),"Pendiente de clasificar")))</f>
        <v/>
      </c>
      <c r="N1072" s="11">
        <f>IF(K1072="FUERA","Fuera del marco",IF(K1072="N/A","Sin marco",IFERROR(INDEX('Datos - Catálogo TIMSS'!$F$5:$F$107,MATCH(K1072,'Datos - Catálogo TIMSS'!$A$5:$A$107,0)),"Pendiente de clasificar")))</f>
        <v/>
      </c>
      <c r="O1072" s="11">
        <f>IF(L1072="","",IFERROR(INDEX('Datos - Catálogo TIMSS'!$C$5:$C$107,MATCH(L1072,'Datos - Catálogo TIMSS'!$A$5:$A$107,0)),"?"))</f>
        <v/>
      </c>
      <c r="P1072" s="11" t="inlineStr">
        <is>
          <t>N/A</t>
        </is>
      </c>
      <c r="Q1072" s="38" t="inlineStr">
        <is>
          <t>Sin marco TIMSS de contenido para esta asignatura en Bachillerato</t>
        </is>
      </c>
      <c r="R1072" s="38" t="inlineStr">
        <is>
          <t>Conocer: definir DBO y DQO. Razonar: comparar tratamientos con datos y justificar una propuesta</t>
        </is>
      </c>
      <c r="S1072" s="39">
        <f>IFERROR(ISNUMBER(SEARCH("Conocer",$R1072))/(ISNUMBER(SEARCH("Conocer",$R1072))+ISNUMBER(SEARCH("Aplicar",$R1072))+ISNUMBER(SEARCH("Razonar",$R1072))),0)</f>
        <v/>
      </c>
      <c r="T1072" s="39">
        <f>IFERROR(ISNUMBER(SEARCH("Aplicar",$R1072))/(ISNUMBER(SEARCH("Conocer",$R1072))+ISNUMBER(SEARCH("Aplicar",$R1072))+ISNUMBER(SEARCH("Razonar",$R1072))),0)</f>
        <v/>
      </c>
      <c r="U1072" s="39">
        <f>IFERROR(ISNUMBER(SEARCH("Razonar",$R1072))/(ISNUMBER(SEARCH("Conocer",$R1072))+ISNUMBER(SEARCH("Aplicar",$R1072))+ISNUMBER(SEARCH("Razonar",$R1072))),0)</f>
        <v/>
      </c>
      <c r="V1072" s="11" t="inlineStr">
        <is>
          <t>Química 11°</t>
        </is>
      </c>
      <c r="W1072" s="11" t="inlineStr">
        <is>
          <t>Química 10°–11°</t>
        </is>
      </c>
      <c r="X1072" s="11">
        <f>IF(OR(IFERROR(INDEX('Datos - Catálogo TIMSS'!$I$5:$I$107,MATCH(K1072,'Datos - Catálogo TIMSS'!$A$5:$A$107,0)),"No")="Sí",IFERROR(INDEX('Datos - Catálogo TIMSS'!$I$5:$I$107,MATCH(L1072,'Datos - Catálogo TIMSS'!$A$5:$A$107,0)),"No")="Sí"),1,0)</f>
        <v/>
      </c>
      <c r="Y1072" s="11">
        <f>IF(IFERROR(INDEX('Datos - Catálogo TIMSS'!$J$5:$J$107,MATCH(K1072,'Datos - Catálogo TIMSS'!$A$5:$A$107,0)),"No")="Sí",1,0)</f>
        <v/>
      </c>
      <c r="Z1072" s="11">
        <f>IF(IFERROR(INDEX('Datos - Catálogo TIMSS'!$J$5:$J$107,MATCH(L1072,'Datos - Catálogo TIMSS'!$A$5:$A$107,0)),"No")="Sí",1,0)</f>
        <v/>
      </c>
      <c r="AA1072" s="11" t="inlineStr">
        <is>
          <t>N/A</t>
        </is>
      </c>
      <c r="AB1072" s="11" t="inlineStr"/>
      <c r="AC1072" s="11">
        <f>IF(AA1072="FUERA","Fuera del marco",IF(AA1072="N/A","Sin marco",IFERROR(INDEX('Datos - TIMSS 2023'!$C$5:$C$105,MATCH(AA1072,'Datos - TIMSS 2023'!$A$5:$A$105,0)),"Pendiente de clasificar")))</f>
        <v/>
      </c>
      <c r="AD1072" s="11" t="inlineStr">
        <is>
          <t>3. Investigar, evaluar y usar información científica para tomar decisiones y actuar</t>
        </is>
      </c>
      <c r="AE1072" s="11">
        <f>IF(AD1072="","",IF(LEFT(AD1072,1)="1","C1",IF(LEFT(AD1072,1)="2","C2",IF(LEFT(AD1072,1)="3","C3",""))))</f>
        <v/>
      </c>
      <c r="AF1072" s="11" t="inlineStr">
        <is>
          <t>E6</t>
        </is>
      </c>
      <c r="AG1072" s="11" t="inlineStr">
        <is>
          <t>E5</t>
        </is>
      </c>
      <c r="AH1072" s="11" t="inlineStr">
        <is>
          <t>E1</t>
        </is>
      </c>
      <c r="AI1072" s="11" t="inlineStr">
        <is>
          <t>I3</t>
        </is>
      </c>
      <c r="AJ1072" s="11" t="inlineStr">
        <is>
          <t>I5</t>
        </is>
      </c>
      <c r="AK1072" s="11" t="n"/>
      <c r="AL1072" s="11" t="n"/>
      <c r="AM1072" s="11" t="n"/>
      <c r="AN1072" s="11" t="n"/>
      <c r="AO1072" s="11" t="n"/>
      <c r="AP1072" s="11" t="n"/>
      <c r="AQ1072" s="11" t="n"/>
      <c r="AR1072" s="11" t="n"/>
      <c r="AS1072" s="11" t="n"/>
      <c r="AT1072" s="11" t="n"/>
      <c r="AU1072" s="11" t="n"/>
      <c r="AV1072" s="11" t="n"/>
      <c r="AW1072" s="11">
        <f>AF1072&amp;"; "&amp;AG1072&amp;"; "&amp;AH1072&amp;"; "&amp;AI1072&amp;"; "&amp;AJ1072</f>
        <v/>
      </c>
    </row>
    <row r="1073">
      <c r="A1073" s="11" t="inlineStr">
        <is>
          <t>T0609-G11-QUÍ</t>
        </is>
      </c>
      <c r="B1073" s="11" t="n">
        <v>11</v>
      </c>
      <c r="C1073" s="11" t="inlineStr">
        <is>
          <t>Química</t>
        </is>
      </c>
      <c r="D1073" s="11" t="inlineStr">
        <is>
          <t>Matriz_Bachillerato_Quimica_10_11.xlsx</t>
        </is>
      </c>
      <c r="E1073" s="11" t="inlineStr">
        <is>
          <t>Química 11.°</t>
        </is>
      </c>
      <c r="F1073" s="11" t="n">
        <v>70</v>
      </c>
      <c r="G1073" s="11" t="inlineStr">
        <is>
          <t>7. Química industrial</t>
        </is>
      </c>
      <c r="H1073" s="11" t="inlineStr">
        <is>
          <t>Materiales de construcción</t>
        </is>
      </c>
      <c r="I1073" s="38" t="inlineStr">
        <is>
          <t>7.5. Interpretación de las reacciones de calcinación, hidratación y fraguado en la producción de cal y cemento.</t>
        </is>
      </c>
      <c r="J1073" s="11" t="inlineStr">
        <is>
          <t>Sin marco</t>
        </is>
      </c>
      <c r="K1073" s="11" t="inlineStr">
        <is>
          <t>N/A</t>
        </is>
      </c>
      <c r="L1073" s="11" t="inlineStr"/>
      <c r="M1073" s="11">
        <f>IF(K1073="FUERA","Fuera del marco",IF(K1073="N/A","Sin marco",IFERROR(INDEX('Datos - Catálogo TIMSS'!$C$5:$C$107,MATCH(K1073,'Datos - Catálogo TIMSS'!$A$5:$A$107,0)),"Pendiente de clasificar")))</f>
        <v/>
      </c>
      <c r="N1073" s="11">
        <f>IF(K1073="FUERA","Fuera del marco",IF(K1073="N/A","Sin marco",IFERROR(INDEX('Datos - Catálogo TIMSS'!$F$5:$F$107,MATCH(K1073,'Datos - Catálogo TIMSS'!$A$5:$A$107,0)),"Pendiente de clasificar")))</f>
        <v/>
      </c>
      <c r="O1073" s="11">
        <f>IF(L1073="","",IFERROR(INDEX('Datos - Catálogo TIMSS'!$C$5:$C$107,MATCH(L1073,'Datos - Catálogo TIMSS'!$A$5:$A$107,0)),"?"))</f>
        <v/>
      </c>
      <c r="P1073" s="11" t="inlineStr">
        <is>
          <t>N/A</t>
        </is>
      </c>
      <c r="Q1073" s="38" t="inlineStr">
        <is>
          <t>Sin marco TIMSS de contenido para esta asignatura en Bachillerato</t>
        </is>
      </c>
      <c r="R1073" s="38" t="inlineStr">
        <is>
          <t>Aplicar: escribir ecuaciones y calcular emisiones de CO₂. Razonar: evaluar alternativas de reducción</t>
        </is>
      </c>
      <c r="S1073" s="39">
        <f>IFERROR(ISNUMBER(SEARCH("Conocer",$R1073))/(ISNUMBER(SEARCH("Conocer",$R1073))+ISNUMBER(SEARCH("Aplicar",$R1073))+ISNUMBER(SEARCH("Razonar",$R1073))),0)</f>
        <v/>
      </c>
      <c r="T1073" s="39">
        <f>IFERROR(ISNUMBER(SEARCH("Aplicar",$R1073))/(ISNUMBER(SEARCH("Conocer",$R1073))+ISNUMBER(SEARCH("Aplicar",$R1073))+ISNUMBER(SEARCH("Razonar",$R1073))),0)</f>
        <v/>
      </c>
      <c r="U1073" s="39">
        <f>IFERROR(ISNUMBER(SEARCH("Razonar",$R1073))/(ISNUMBER(SEARCH("Conocer",$R1073))+ISNUMBER(SEARCH("Aplicar",$R1073))+ISNUMBER(SEARCH("Razonar",$R1073))),0)</f>
        <v/>
      </c>
      <c r="V1073" s="11" t="inlineStr">
        <is>
          <t>Química 11°</t>
        </is>
      </c>
      <c r="W1073" s="11" t="inlineStr">
        <is>
          <t>Química 10°–11°</t>
        </is>
      </c>
      <c r="X1073" s="11">
        <f>IF(OR(IFERROR(INDEX('Datos - Catálogo TIMSS'!$I$5:$I$107,MATCH(K1073,'Datos - Catálogo TIMSS'!$A$5:$A$107,0)),"No")="Sí",IFERROR(INDEX('Datos - Catálogo TIMSS'!$I$5:$I$107,MATCH(L1073,'Datos - Catálogo TIMSS'!$A$5:$A$107,0)),"No")="Sí"),1,0)</f>
        <v/>
      </c>
      <c r="Y1073" s="11">
        <f>IF(IFERROR(INDEX('Datos - Catálogo TIMSS'!$J$5:$J$107,MATCH(K1073,'Datos - Catálogo TIMSS'!$A$5:$A$107,0)),"No")="Sí",1,0)</f>
        <v/>
      </c>
      <c r="Z1073" s="11">
        <f>IF(IFERROR(INDEX('Datos - Catálogo TIMSS'!$J$5:$J$107,MATCH(L1073,'Datos - Catálogo TIMSS'!$A$5:$A$107,0)),"No")="Sí",1,0)</f>
        <v/>
      </c>
      <c r="AA1073" s="11" t="inlineStr">
        <is>
          <t>N/A</t>
        </is>
      </c>
      <c r="AB1073" s="11" t="inlineStr"/>
      <c r="AC1073" s="11">
        <f>IF(AA1073="FUERA","Fuera del marco",IF(AA1073="N/A","Sin marco",IFERROR(INDEX('Datos - TIMSS 2023'!$C$5:$C$105,MATCH(AA1073,'Datos - TIMSS 2023'!$A$5:$A$105,0)),"Pendiente de clasificar")))</f>
        <v/>
      </c>
      <c r="AD1073" s="11" t="inlineStr">
        <is>
          <t>1. Explicar fenómenos científicamente</t>
        </is>
      </c>
      <c r="AE1073" s="11">
        <f>IF(AD1073="","",IF(LEFT(AD1073,1)="1","C1",IF(LEFT(AD1073,1)="2","C2",IF(LEFT(AD1073,1)="3","C3",""))))</f>
        <v/>
      </c>
      <c r="AF1073" s="11" t="inlineStr">
        <is>
          <t>E1</t>
        </is>
      </c>
      <c r="AG1073" s="11" t="inlineStr">
        <is>
          <t>E5</t>
        </is>
      </c>
      <c r="AH1073" s="11" t="inlineStr">
        <is>
          <t>E2</t>
        </is>
      </c>
      <c r="AI1073" s="11" t="inlineStr">
        <is>
          <t>D4</t>
        </is>
      </c>
      <c r="AJ1073" s="11" t="inlineStr">
        <is>
          <t>E6</t>
        </is>
      </c>
      <c r="AK1073" s="11" t="n"/>
      <c r="AL1073" s="11" t="n"/>
      <c r="AM1073" s="11" t="n"/>
      <c r="AN1073" s="11" t="n"/>
      <c r="AO1073" s="11" t="n"/>
      <c r="AP1073" s="11" t="n"/>
      <c r="AQ1073" s="11" t="n"/>
      <c r="AR1073" s="11" t="n"/>
      <c r="AS1073" s="11" t="n"/>
      <c r="AT1073" s="11" t="n"/>
      <c r="AU1073" s="11" t="n"/>
      <c r="AV1073" s="11" t="n"/>
      <c r="AW1073" s="11">
        <f>AF1073&amp;"; "&amp;AG1073&amp;"; "&amp;AH1073&amp;"; "&amp;AI1073&amp;"; "&amp;AJ1073</f>
        <v/>
      </c>
    </row>
    <row r="1074">
      <c r="A1074" s="11" t="inlineStr">
        <is>
          <t>T0610-G11-QUÍ</t>
        </is>
      </c>
      <c r="B1074" s="11" t="n">
        <v>11</v>
      </c>
      <c r="C1074" s="11" t="inlineStr">
        <is>
          <t>Química</t>
        </is>
      </c>
      <c r="D1074" s="11" t="inlineStr">
        <is>
          <t>Matriz_Bachillerato_Quimica_10_11.xlsx</t>
        </is>
      </c>
      <c r="E1074" s="11" t="inlineStr">
        <is>
          <t>Química 11.°</t>
        </is>
      </c>
      <c r="F1074" s="11" t="n">
        <v>71</v>
      </c>
      <c r="G1074" s="11" t="inlineStr">
        <is>
          <t>7. Química industrial</t>
        </is>
      </c>
      <c r="H1074" s="11" t="inlineStr">
        <is>
          <t>Química del agua</t>
        </is>
      </c>
      <c r="I1074" s="38" t="inlineStr">
        <is>
          <t>7.6. Análisis de las etapas químicas de la potabilización del agua y del tratamiento de aguas residuales.</t>
        </is>
      </c>
      <c r="J1074" s="11" t="inlineStr">
        <is>
          <t>Sin marco</t>
        </is>
      </c>
      <c r="K1074" s="11" t="inlineStr">
        <is>
          <t>N/A</t>
        </is>
      </c>
      <c r="L1074" s="11" t="inlineStr"/>
      <c r="M1074" s="11">
        <f>IF(K1074="FUERA","Fuera del marco",IF(K1074="N/A","Sin marco",IFERROR(INDEX('Datos - Catálogo TIMSS'!$C$5:$C$107,MATCH(K1074,'Datos - Catálogo TIMSS'!$A$5:$A$107,0)),"Pendiente de clasificar")))</f>
        <v/>
      </c>
      <c r="N1074" s="11">
        <f>IF(K1074="FUERA","Fuera del marco",IF(K1074="N/A","Sin marco",IFERROR(INDEX('Datos - Catálogo TIMSS'!$F$5:$F$107,MATCH(K1074,'Datos - Catálogo TIMSS'!$A$5:$A$107,0)),"Pendiente de clasificar")))</f>
        <v/>
      </c>
      <c r="O1074" s="11">
        <f>IF(L1074="","",IFERROR(INDEX('Datos - Catálogo TIMSS'!$C$5:$C$107,MATCH(L1074,'Datos - Catálogo TIMSS'!$A$5:$A$107,0)),"?"))</f>
        <v/>
      </c>
      <c r="P1074" s="11" t="inlineStr">
        <is>
          <t>N/A</t>
        </is>
      </c>
      <c r="Q1074" s="38" t="inlineStr">
        <is>
          <t>Sin marco TIMSS de contenido para esta asignatura en Bachillerato</t>
        </is>
      </c>
      <c r="R1074" s="38" t="inlineStr">
        <is>
          <t>Aplicar: escribir reacciones de coagulación. Razonar: evaluar un diseño experimental y comparar dosis</t>
        </is>
      </c>
      <c r="S1074" s="39">
        <f>IFERROR(ISNUMBER(SEARCH("Conocer",$R1074))/(ISNUMBER(SEARCH("Conocer",$R1074))+ISNUMBER(SEARCH("Aplicar",$R1074))+ISNUMBER(SEARCH("Razonar",$R1074))),0)</f>
        <v/>
      </c>
      <c r="T1074" s="39">
        <f>IFERROR(ISNUMBER(SEARCH("Aplicar",$R1074))/(ISNUMBER(SEARCH("Conocer",$R1074))+ISNUMBER(SEARCH("Aplicar",$R1074))+ISNUMBER(SEARCH("Razonar",$R1074))),0)</f>
        <v/>
      </c>
      <c r="U1074" s="39">
        <f>IFERROR(ISNUMBER(SEARCH("Razonar",$R1074))/(ISNUMBER(SEARCH("Conocer",$R1074))+ISNUMBER(SEARCH("Aplicar",$R1074))+ISNUMBER(SEARCH("Razonar",$R1074))),0)</f>
        <v/>
      </c>
      <c r="V1074" s="11" t="inlineStr">
        <is>
          <t>Química 11°</t>
        </is>
      </c>
      <c r="W1074" s="11" t="inlineStr">
        <is>
          <t>Química 10°–11°</t>
        </is>
      </c>
      <c r="X1074" s="11">
        <f>IF(OR(IFERROR(INDEX('Datos - Catálogo TIMSS'!$I$5:$I$107,MATCH(K1074,'Datos - Catálogo TIMSS'!$A$5:$A$107,0)),"No")="Sí",IFERROR(INDEX('Datos - Catálogo TIMSS'!$I$5:$I$107,MATCH(L1074,'Datos - Catálogo TIMSS'!$A$5:$A$107,0)),"No")="Sí"),1,0)</f>
        <v/>
      </c>
      <c r="Y1074" s="11">
        <f>IF(IFERROR(INDEX('Datos - Catálogo TIMSS'!$J$5:$J$107,MATCH(K1074,'Datos - Catálogo TIMSS'!$A$5:$A$107,0)),"No")="Sí",1,0)</f>
        <v/>
      </c>
      <c r="Z1074" s="11">
        <f>IF(IFERROR(INDEX('Datos - Catálogo TIMSS'!$J$5:$J$107,MATCH(L1074,'Datos - Catálogo TIMSS'!$A$5:$A$107,0)),"No")="Sí",1,0)</f>
        <v/>
      </c>
      <c r="AA1074" s="11" t="inlineStr">
        <is>
          <t>N/A</t>
        </is>
      </c>
      <c r="AB1074" s="11" t="inlineStr"/>
      <c r="AC1074" s="11">
        <f>IF(AA1074="FUERA","Fuera del marco",IF(AA1074="N/A","Sin marco",IFERROR(INDEX('Datos - TIMSS 2023'!$C$5:$C$105,MATCH(AA1074,'Datos - TIMSS 2023'!$A$5:$A$105,0)),"Pendiente de clasificar")))</f>
        <v/>
      </c>
      <c r="AD1074" s="11" t="inlineStr">
        <is>
          <t>2. Construir y evaluar diseños para la indagación científica e interpretar datos y evidencia de forma crítica</t>
        </is>
      </c>
      <c r="AE1074" s="11">
        <f>IF(AD1074="","",IF(LEFT(AD1074,1)="1","C1",IF(LEFT(AD1074,1)="2","C2",IF(LEFT(AD1074,1)="3","C3",""))))</f>
        <v/>
      </c>
      <c r="AF1074" s="11" t="inlineStr">
        <is>
          <t>E6</t>
        </is>
      </c>
      <c r="AG1074" s="11" t="inlineStr">
        <is>
          <t>D1</t>
        </is>
      </c>
      <c r="AH1074" s="11" t="inlineStr">
        <is>
          <t>E1</t>
        </is>
      </c>
      <c r="AI1074" s="11" t="inlineStr">
        <is>
          <t>D2</t>
        </is>
      </c>
      <c r="AJ1074" s="11" t="inlineStr">
        <is>
          <t>D3</t>
        </is>
      </c>
      <c r="AK1074" s="11" t="n"/>
      <c r="AL1074" s="11" t="n"/>
      <c r="AM1074" s="11" t="n"/>
      <c r="AN1074" s="11" t="n"/>
      <c r="AO1074" s="11" t="n"/>
      <c r="AP1074" s="11" t="n"/>
      <c r="AQ1074" s="11" t="n"/>
      <c r="AR1074" s="11" t="n"/>
      <c r="AS1074" s="11" t="n"/>
      <c r="AT1074" s="11" t="n"/>
      <c r="AU1074" s="11" t="n"/>
      <c r="AV1074" s="11" t="n"/>
      <c r="AW1074" s="11">
        <f>AF1074&amp;"; "&amp;AG1074&amp;"; "&amp;AH1074&amp;"; "&amp;AI1074&amp;"; "&amp;AJ1074</f>
        <v/>
      </c>
    </row>
    <row r="1075">
      <c r="A1075" s="11" t="inlineStr">
        <is>
          <t>T0611-G11-QUÍ</t>
        </is>
      </c>
      <c r="B1075" s="11" t="n">
        <v>11</v>
      </c>
      <c r="C1075" s="11" t="inlineStr">
        <is>
          <t>Química</t>
        </is>
      </c>
      <c r="D1075" s="11" t="inlineStr">
        <is>
          <t>Matriz_Bachillerato_Quimica_10_11.xlsx</t>
        </is>
      </c>
      <c r="E1075" s="11" t="inlineStr">
        <is>
          <t>Química 11.°</t>
        </is>
      </c>
      <c r="F1075" s="11" t="n">
        <v>72</v>
      </c>
      <c r="G1075" s="11" t="inlineStr">
        <is>
          <t>7. Química industrial</t>
        </is>
      </c>
      <c r="H1075" s="11" t="inlineStr">
        <is>
          <t>Hacia una industria sostenible</t>
        </is>
      </c>
      <c r="I1075" s="38" t="inlineStr">
        <is>
          <t>7.7. Aplicación de los principios de la química verde y del cálculo de la economía atómica para comparar rutas de síntesis.</t>
        </is>
      </c>
      <c r="J1075" s="11" t="inlineStr">
        <is>
          <t>Sin marco</t>
        </is>
      </c>
      <c r="K1075" s="11" t="inlineStr">
        <is>
          <t>N/A</t>
        </is>
      </c>
      <c r="L1075" s="11" t="inlineStr"/>
      <c r="M1075" s="11">
        <f>IF(K1075="FUERA","Fuera del marco",IF(K1075="N/A","Sin marco",IFERROR(INDEX('Datos - Catálogo TIMSS'!$C$5:$C$107,MATCH(K1075,'Datos - Catálogo TIMSS'!$A$5:$A$107,0)),"Pendiente de clasificar")))</f>
        <v/>
      </c>
      <c r="N1075" s="11">
        <f>IF(K1075="FUERA","Fuera del marco",IF(K1075="N/A","Sin marco",IFERROR(INDEX('Datos - Catálogo TIMSS'!$F$5:$F$107,MATCH(K1075,'Datos - Catálogo TIMSS'!$A$5:$A$107,0)),"Pendiente de clasificar")))</f>
        <v/>
      </c>
      <c r="O1075" s="11">
        <f>IF(L1075="","",IFERROR(INDEX('Datos - Catálogo TIMSS'!$C$5:$C$107,MATCH(L1075,'Datos - Catálogo TIMSS'!$A$5:$A$107,0)),"?"))</f>
        <v/>
      </c>
      <c r="P1075" s="11" t="inlineStr">
        <is>
          <t>N/A</t>
        </is>
      </c>
      <c r="Q1075" s="38" t="inlineStr">
        <is>
          <t>Sin marco TIMSS de contenido para esta asignatura en Bachillerato</t>
        </is>
      </c>
      <c r="R1075" s="38" t="inlineStr">
        <is>
          <t>Aplicar: calcular la economía atómica. Razonar: evaluar la sostenibilidad y justificar una propuesta</t>
        </is>
      </c>
      <c r="S1075" s="39">
        <f>IFERROR(ISNUMBER(SEARCH("Conocer",$R1075))/(ISNUMBER(SEARCH("Conocer",$R1075))+ISNUMBER(SEARCH("Aplicar",$R1075))+ISNUMBER(SEARCH("Razonar",$R1075))),0)</f>
        <v/>
      </c>
      <c r="T1075" s="39">
        <f>IFERROR(ISNUMBER(SEARCH("Aplicar",$R1075))/(ISNUMBER(SEARCH("Conocer",$R1075))+ISNUMBER(SEARCH("Aplicar",$R1075))+ISNUMBER(SEARCH("Razonar",$R1075))),0)</f>
        <v/>
      </c>
      <c r="U1075" s="39">
        <f>IFERROR(ISNUMBER(SEARCH("Razonar",$R1075))/(ISNUMBER(SEARCH("Conocer",$R1075))+ISNUMBER(SEARCH("Aplicar",$R1075))+ISNUMBER(SEARCH("Razonar",$R1075))),0)</f>
        <v/>
      </c>
      <c r="V1075" s="11" t="inlineStr">
        <is>
          <t>Química 11°</t>
        </is>
      </c>
      <c r="W1075" s="11" t="inlineStr">
        <is>
          <t>Química 10°–11°</t>
        </is>
      </c>
      <c r="X1075" s="11">
        <f>IF(OR(IFERROR(INDEX('Datos - Catálogo TIMSS'!$I$5:$I$107,MATCH(K1075,'Datos - Catálogo TIMSS'!$A$5:$A$107,0)),"No")="Sí",IFERROR(INDEX('Datos - Catálogo TIMSS'!$I$5:$I$107,MATCH(L1075,'Datos - Catálogo TIMSS'!$A$5:$A$107,0)),"No")="Sí"),1,0)</f>
        <v/>
      </c>
      <c r="Y1075" s="11">
        <f>IF(IFERROR(INDEX('Datos - Catálogo TIMSS'!$J$5:$J$107,MATCH(K1075,'Datos - Catálogo TIMSS'!$A$5:$A$107,0)),"No")="Sí",1,0)</f>
        <v/>
      </c>
      <c r="Z1075" s="11">
        <f>IF(IFERROR(INDEX('Datos - Catálogo TIMSS'!$J$5:$J$107,MATCH(L1075,'Datos - Catálogo TIMSS'!$A$5:$A$107,0)),"No")="Sí",1,0)</f>
        <v/>
      </c>
      <c r="AA1075" s="11" t="inlineStr">
        <is>
          <t>N/A</t>
        </is>
      </c>
      <c r="AB1075" s="11" t="inlineStr"/>
      <c r="AC1075" s="11">
        <f>IF(AA1075="FUERA","Fuera del marco",IF(AA1075="N/A","Sin marco",IFERROR(INDEX('Datos - TIMSS 2023'!$C$5:$C$105,MATCH(AA1075,'Datos - TIMSS 2023'!$A$5:$A$105,0)),"Pendiente de clasificar")))</f>
        <v/>
      </c>
      <c r="AD1075" s="11" t="inlineStr">
        <is>
          <t>3. Investigar, evaluar y usar información científica para tomar decisiones y actuar</t>
        </is>
      </c>
      <c r="AE1075" s="11">
        <f>IF(AD1075="","",IF(LEFT(AD1075,1)="1","C1",IF(LEFT(AD1075,1)="2","C2",IF(LEFT(AD1075,1)="3","C3",""))))</f>
        <v/>
      </c>
      <c r="AF1075" s="11" t="inlineStr">
        <is>
          <t>E6</t>
        </is>
      </c>
      <c r="AG1075" s="11" t="inlineStr">
        <is>
          <t>E3</t>
        </is>
      </c>
      <c r="AH1075" s="11" t="inlineStr">
        <is>
          <t>E2</t>
        </is>
      </c>
      <c r="AI1075" s="11" t="inlineStr">
        <is>
          <t>I2</t>
        </is>
      </c>
      <c r="AJ1075" s="11" t="inlineStr">
        <is>
          <t>I5</t>
        </is>
      </c>
      <c r="AK1075" s="11" t="n"/>
      <c r="AL1075" s="11" t="n"/>
      <c r="AM1075" s="11" t="n"/>
      <c r="AN1075" s="11" t="n"/>
      <c r="AO1075" s="11" t="n"/>
      <c r="AP1075" s="11" t="n"/>
      <c r="AQ1075" s="11" t="n"/>
      <c r="AR1075" s="11" t="n"/>
      <c r="AS1075" s="11" t="n"/>
      <c r="AT1075" s="11" t="n"/>
      <c r="AU1075" s="11" t="n"/>
      <c r="AV1075" s="11" t="n"/>
      <c r="AW1075" s="11">
        <f>AF1075&amp;"; "&amp;AG1075&amp;"; "&amp;AH1075&amp;"; "&amp;AI1075&amp;"; "&amp;AJ1075</f>
        <v/>
      </c>
    </row>
    <row r="1076">
      <c r="A1076" s="11" t="inlineStr">
        <is>
          <t>T0612-G11-QUÍ</t>
        </is>
      </c>
      <c r="B1076" s="11" t="n">
        <v>11</v>
      </c>
      <c r="C1076" s="11" t="inlineStr">
        <is>
          <t>Química</t>
        </is>
      </c>
      <c r="D1076" s="11" t="inlineStr">
        <is>
          <t>Matriz_Bachillerato_Quimica_10_11.xlsx</t>
        </is>
      </c>
      <c r="E1076" s="11" t="inlineStr">
        <is>
          <t>Química 11.°</t>
        </is>
      </c>
      <c r="F1076" s="11" t="n">
        <v>73</v>
      </c>
      <c r="G1076" s="11" t="inlineStr">
        <is>
          <t>8. Reacciones nucleares</t>
        </is>
      </c>
      <c r="H1076" s="11" t="inlineStr">
        <is>
          <t>Radiactividad</t>
        </is>
      </c>
      <c r="I1076" s="38" t="inlineStr">
        <is>
          <t>8.1. Reconstrucción histórica del descubrimiento de la radiactividad y aplicación de las leyes del desplazamiento de Soddy y Fajans.</t>
        </is>
      </c>
      <c r="J1076" s="11" t="inlineStr">
        <is>
          <t>Sin marco</t>
        </is>
      </c>
      <c r="K1076" s="11" t="inlineStr">
        <is>
          <t>N/A</t>
        </is>
      </c>
      <c r="L1076" s="11" t="inlineStr"/>
      <c r="M1076" s="11">
        <f>IF(K1076="FUERA","Fuera del marco",IF(K1076="N/A","Sin marco",IFERROR(INDEX('Datos - Catálogo TIMSS'!$C$5:$C$107,MATCH(K1076,'Datos - Catálogo TIMSS'!$A$5:$A$107,0)),"Pendiente de clasificar")))</f>
        <v/>
      </c>
      <c r="N1076" s="11">
        <f>IF(K1076="FUERA","Fuera del marco",IF(K1076="N/A","Sin marco",IFERROR(INDEX('Datos - Catálogo TIMSS'!$F$5:$F$107,MATCH(K1076,'Datos - Catálogo TIMSS'!$A$5:$A$107,0)),"Pendiente de clasificar")))</f>
        <v/>
      </c>
      <c r="O1076" s="11">
        <f>IF(L1076="","",IFERROR(INDEX('Datos - Catálogo TIMSS'!$C$5:$C$107,MATCH(L1076,'Datos - Catálogo TIMSS'!$A$5:$A$107,0)),"?"))</f>
        <v/>
      </c>
      <c r="P1076" s="11" t="inlineStr">
        <is>
          <t>N/A</t>
        </is>
      </c>
      <c r="Q1076" s="38" t="inlineStr">
        <is>
          <t>Sin marco TIMSS de contenido para esta asignatura en Bachillerato</t>
        </is>
      </c>
      <c r="R1076" s="38" t="inlineStr">
        <is>
          <t>Conocer: describir hitos históricos. Aplicar: usar las leyes del desplazamiento</t>
        </is>
      </c>
      <c r="S1076" s="39">
        <f>IFERROR(ISNUMBER(SEARCH("Conocer",$R1076))/(ISNUMBER(SEARCH("Conocer",$R1076))+ISNUMBER(SEARCH("Aplicar",$R1076))+ISNUMBER(SEARCH("Razonar",$R1076))),0)</f>
        <v/>
      </c>
      <c r="T1076" s="39">
        <f>IFERROR(ISNUMBER(SEARCH("Aplicar",$R1076))/(ISNUMBER(SEARCH("Conocer",$R1076))+ISNUMBER(SEARCH("Aplicar",$R1076))+ISNUMBER(SEARCH("Razonar",$R1076))),0)</f>
        <v/>
      </c>
      <c r="U1076" s="39">
        <f>IFERROR(ISNUMBER(SEARCH("Razonar",$R1076))/(ISNUMBER(SEARCH("Conocer",$R1076))+ISNUMBER(SEARCH("Aplicar",$R1076))+ISNUMBER(SEARCH("Razonar",$R1076))),0)</f>
        <v/>
      </c>
      <c r="V1076" s="11" t="inlineStr">
        <is>
          <t>Química 11°</t>
        </is>
      </c>
      <c r="W1076" s="11" t="inlineStr">
        <is>
          <t>Química 10°–11°</t>
        </is>
      </c>
      <c r="X1076" s="11">
        <f>IF(OR(IFERROR(INDEX('Datos - Catálogo TIMSS'!$I$5:$I$107,MATCH(K1076,'Datos - Catálogo TIMSS'!$A$5:$A$107,0)),"No")="Sí",IFERROR(INDEX('Datos - Catálogo TIMSS'!$I$5:$I$107,MATCH(L1076,'Datos - Catálogo TIMSS'!$A$5:$A$107,0)),"No")="Sí"),1,0)</f>
        <v/>
      </c>
      <c r="Y1076" s="11">
        <f>IF(IFERROR(INDEX('Datos - Catálogo TIMSS'!$J$5:$J$107,MATCH(K1076,'Datos - Catálogo TIMSS'!$A$5:$A$107,0)),"No")="Sí",1,0)</f>
        <v/>
      </c>
      <c r="Z1076" s="11">
        <f>IF(IFERROR(INDEX('Datos - Catálogo TIMSS'!$J$5:$J$107,MATCH(L1076,'Datos - Catálogo TIMSS'!$A$5:$A$107,0)),"No")="Sí",1,0)</f>
        <v/>
      </c>
      <c r="AA1076" s="11" t="inlineStr">
        <is>
          <t>N/A</t>
        </is>
      </c>
      <c r="AB1076" s="11" t="inlineStr"/>
      <c r="AC1076" s="11">
        <f>IF(AA1076="FUERA","Fuera del marco",IF(AA1076="N/A","Sin marco",IFERROR(INDEX('Datos - TIMSS 2023'!$C$5:$C$105,MATCH(AA1076,'Datos - TIMSS 2023'!$A$5:$A$105,0)),"Pendiente de clasificar")))</f>
        <v/>
      </c>
      <c r="AD1076" s="11" t="inlineStr">
        <is>
          <t>1. Explicar fenómenos científicamente</t>
        </is>
      </c>
      <c r="AE1076" s="11">
        <f>IF(AD1076="","",IF(LEFT(AD1076,1)="1","C1",IF(LEFT(AD1076,1)="2","C2",IF(LEFT(AD1076,1)="3","C3",""))))</f>
        <v/>
      </c>
      <c r="AF1076" s="11" t="inlineStr">
        <is>
          <t>E1</t>
        </is>
      </c>
      <c r="AG1076" s="11" t="inlineStr">
        <is>
          <t>D1</t>
        </is>
      </c>
      <c r="AH1076" s="11" t="inlineStr">
        <is>
          <t>E2</t>
        </is>
      </c>
      <c r="AI1076" s="11" t="inlineStr">
        <is>
          <t>E4</t>
        </is>
      </c>
      <c r="AJ1076" s="11" t="inlineStr">
        <is>
          <t>I2</t>
        </is>
      </c>
      <c r="AK1076" s="11" t="n"/>
      <c r="AL1076" s="11" t="n"/>
      <c r="AM1076" s="11" t="n"/>
      <c r="AN1076" s="11" t="n"/>
      <c r="AO1076" s="11" t="n"/>
      <c r="AP1076" s="11" t="n"/>
      <c r="AQ1076" s="11" t="n"/>
      <c r="AR1076" s="11" t="n"/>
      <c r="AS1076" s="11" t="n"/>
      <c r="AT1076" s="11" t="n"/>
      <c r="AU1076" s="11" t="n"/>
      <c r="AV1076" s="11" t="n"/>
      <c r="AW1076" s="11">
        <f>AF1076&amp;"; "&amp;AG1076&amp;"; "&amp;AH1076&amp;"; "&amp;AI1076&amp;"; "&amp;AJ1076</f>
        <v/>
      </c>
    </row>
    <row r="1077">
      <c r="A1077" s="11" t="inlineStr">
        <is>
          <t>T0613-G11-QUÍ</t>
        </is>
      </c>
      <c r="B1077" s="11" t="n">
        <v>11</v>
      </c>
      <c r="C1077" s="11" t="inlineStr">
        <is>
          <t>Química</t>
        </is>
      </c>
      <c r="D1077" s="11" t="inlineStr">
        <is>
          <t>Matriz_Bachillerato_Quimica_10_11.xlsx</t>
        </is>
      </c>
      <c r="E1077" s="11" t="inlineStr">
        <is>
          <t>Química 11.°</t>
        </is>
      </c>
      <c r="F1077" s="11" t="n">
        <v>74</v>
      </c>
      <c r="G1077" s="11" t="inlineStr">
        <is>
          <t>8. Reacciones nucleares</t>
        </is>
      </c>
      <c r="H1077" s="11" t="inlineStr">
        <is>
          <t>Ecuaciones nucleares</t>
        </is>
      </c>
      <c r="I1077" s="38" t="inlineStr">
        <is>
          <t>8.2. Balanceo de ecuaciones nucleares de desintegración y de transmutación mediante la conservación del número másico y del número atómico.</t>
        </is>
      </c>
      <c r="J1077" s="11" t="inlineStr">
        <is>
          <t>Sin marco</t>
        </is>
      </c>
      <c r="K1077" s="11" t="inlineStr">
        <is>
          <t>N/A</t>
        </is>
      </c>
      <c r="L1077" s="11" t="inlineStr"/>
      <c r="M1077" s="11">
        <f>IF(K1077="FUERA","Fuera del marco",IF(K1077="N/A","Sin marco",IFERROR(INDEX('Datos - Catálogo TIMSS'!$C$5:$C$107,MATCH(K1077,'Datos - Catálogo TIMSS'!$A$5:$A$107,0)),"Pendiente de clasificar")))</f>
        <v/>
      </c>
      <c r="N1077" s="11">
        <f>IF(K1077="FUERA","Fuera del marco",IF(K1077="N/A","Sin marco",IFERROR(INDEX('Datos - Catálogo TIMSS'!$F$5:$F$107,MATCH(K1077,'Datos - Catálogo TIMSS'!$A$5:$A$107,0)),"Pendiente de clasificar")))</f>
        <v/>
      </c>
      <c r="O1077" s="11">
        <f>IF(L1077="","",IFERROR(INDEX('Datos - Catálogo TIMSS'!$C$5:$C$107,MATCH(L1077,'Datos - Catálogo TIMSS'!$A$5:$A$107,0)),"?"))</f>
        <v/>
      </c>
      <c r="P1077" s="11" t="inlineStr">
        <is>
          <t>N/A</t>
        </is>
      </c>
      <c r="Q1077" s="38" t="inlineStr">
        <is>
          <t>Sin marco TIMSS de contenido para esta asignatura en Bachillerato</t>
        </is>
      </c>
      <c r="R1077" s="38" t="inlineStr">
        <is>
          <t>Aplicar: balancear ecuaciones nucleares. Razonar: clasificar transmutaciones y predecir productos</t>
        </is>
      </c>
      <c r="S1077" s="39">
        <f>IFERROR(ISNUMBER(SEARCH("Conocer",$R1077))/(ISNUMBER(SEARCH("Conocer",$R1077))+ISNUMBER(SEARCH("Aplicar",$R1077))+ISNUMBER(SEARCH("Razonar",$R1077))),0)</f>
        <v/>
      </c>
      <c r="T1077" s="39">
        <f>IFERROR(ISNUMBER(SEARCH("Aplicar",$R1077))/(ISNUMBER(SEARCH("Conocer",$R1077))+ISNUMBER(SEARCH("Aplicar",$R1077))+ISNUMBER(SEARCH("Razonar",$R1077))),0)</f>
        <v/>
      </c>
      <c r="U1077" s="39">
        <f>IFERROR(ISNUMBER(SEARCH("Razonar",$R1077))/(ISNUMBER(SEARCH("Conocer",$R1077))+ISNUMBER(SEARCH("Aplicar",$R1077))+ISNUMBER(SEARCH("Razonar",$R1077))),0)</f>
        <v/>
      </c>
      <c r="V1077" s="11" t="inlineStr">
        <is>
          <t>Química 11°</t>
        </is>
      </c>
      <c r="W1077" s="11" t="inlineStr">
        <is>
          <t>Química 10°–11°</t>
        </is>
      </c>
      <c r="X1077" s="11">
        <f>IF(OR(IFERROR(INDEX('Datos - Catálogo TIMSS'!$I$5:$I$107,MATCH(K1077,'Datos - Catálogo TIMSS'!$A$5:$A$107,0)),"No")="Sí",IFERROR(INDEX('Datos - Catálogo TIMSS'!$I$5:$I$107,MATCH(L1077,'Datos - Catálogo TIMSS'!$A$5:$A$107,0)),"No")="Sí"),1,0)</f>
        <v/>
      </c>
      <c r="Y1077" s="11">
        <f>IF(IFERROR(INDEX('Datos - Catálogo TIMSS'!$J$5:$J$107,MATCH(K1077,'Datos - Catálogo TIMSS'!$A$5:$A$107,0)),"No")="Sí",1,0)</f>
        <v/>
      </c>
      <c r="Z1077" s="11">
        <f>IF(IFERROR(INDEX('Datos - Catálogo TIMSS'!$J$5:$J$107,MATCH(L1077,'Datos - Catálogo TIMSS'!$A$5:$A$107,0)),"No")="Sí",1,0)</f>
        <v/>
      </c>
      <c r="AA1077" s="11" t="inlineStr">
        <is>
          <t>N/A</t>
        </is>
      </c>
      <c r="AB1077" s="11" t="inlineStr"/>
      <c r="AC1077" s="11">
        <f>IF(AA1077="FUERA","Fuera del marco",IF(AA1077="N/A","Sin marco",IFERROR(INDEX('Datos - TIMSS 2023'!$C$5:$C$105,MATCH(AA1077,'Datos - TIMSS 2023'!$A$5:$A$105,0)),"Pendiente de clasificar")))</f>
        <v/>
      </c>
      <c r="AD1077" s="11" t="inlineStr">
        <is>
          <t>1. Explicar fenómenos científicamente</t>
        </is>
      </c>
      <c r="AE1077" s="11">
        <f>IF(AD1077="","",IF(LEFT(AD1077,1)="1","C1",IF(LEFT(AD1077,1)="2","C2",IF(LEFT(AD1077,1)="3","C3",""))))</f>
        <v/>
      </c>
      <c r="AF1077" s="11" t="inlineStr">
        <is>
          <t>E1</t>
        </is>
      </c>
      <c r="AG1077" s="11" t="inlineStr">
        <is>
          <t>E3</t>
        </is>
      </c>
      <c r="AH1077" s="11" t="inlineStr">
        <is>
          <t>E2</t>
        </is>
      </c>
      <c r="AI1077" s="11" t="inlineStr">
        <is>
          <t>D4</t>
        </is>
      </c>
      <c r="AJ1077" s="11" t="inlineStr">
        <is>
          <t>E3</t>
        </is>
      </c>
      <c r="AK1077" s="11" t="n"/>
      <c r="AL1077" s="11" t="n"/>
      <c r="AM1077" s="11" t="n"/>
      <c r="AN1077" s="11" t="n"/>
      <c r="AO1077" s="11" t="n"/>
      <c r="AP1077" s="11" t="n"/>
      <c r="AQ1077" s="11" t="n"/>
      <c r="AR1077" s="11" t="n"/>
      <c r="AS1077" s="11" t="n"/>
      <c r="AT1077" s="11" t="n"/>
      <c r="AU1077" s="11" t="n"/>
      <c r="AV1077" s="11" t="n"/>
      <c r="AW1077" s="11">
        <f>AF1077&amp;"; "&amp;AG1077&amp;"; "&amp;AH1077&amp;"; "&amp;AI1077&amp;"; "&amp;AJ1077</f>
        <v/>
      </c>
    </row>
    <row r="1078">
      <c r="A1078" s="11" t="inlineStr">
        <is>
          <t>T0614-G11-QUÍ</t>
        </is>
      </c>
      <c r="B1078" s="11" t="n">
        <v>11</v>
      </c>
      <c r="C1078" s="11" t="inlineStr">
        <is>
          <t>Química</t>
        </is>
      </c>
      <c r="D1078" s="11" t="inlineStr">
        <is>
          <t>Matriz_Bachillerato_Quimica_10_11.xlsx</t>
        </is>
      </c>
      <c r="E1078" s="11" t="inlineStr">
        <is>
          <t>Química 11.°</t>
        </is>
      </c>
      <c r="F1078" s="11" t="n">
        <v>75</v>
      </c>
      <c r="G1078" s="11" t="inlineStr">
        <is>
          <t>8. Reacciones nucleares</t>
        </is>
      </c>
      <c r="H1078" s="11" t="inlineStr">
        <is>
          <t>Ecuaciones nucleares</t>
        </is>
      </c>
      <c r="I1078" s="38" t="inlineStr">
        <is>
          <t>8.3. Reconstrucción de una serie de desintegración radiactiva natural a partir de la secuencia de emisiones alfa y beta.</t>
        </is>
      </c>
      <c r="J1078" s="11" t="inlineStr">
        <is>
          <t>Sin marco</t>
        </is>
      </c>
      <c r="K1078" s="11" t="inlineStr">
        <is>
          <t>N/A</t>
        </is>
      </c>
      <c r="L1078" s="11" t="inlineStr"/>
      <c r="M1078" s="11">
        <f>IF(K1078="FUERA","Fuera del marco",IF(K1078="N/A","Sin marco",IFERROR(INDEX('Datos - Catálogo TIMSS'!$C$5:$C$107,MATCH(K1078,'Datos - Catálogo TIMSS'!$A$5:$A$107,0)),"Pendiente de clasificar")))</f>
        <v/>
      </c>
      <c r="N1078" s="11">
        <f>IF(K1078="FUERA","Fuera del marco",IF(K1078="N/A","Sin marco",IFERROR(INDEX('Datos - Catálogo TIMSS'!$F$5:$F$107,MATCH(K1078,'Datos - Catálogo TIMSS'!$A$5:$A$107,0)),"Pendiente de clasificar")))</f>
        <v/>
      </c>
      <c r="O1078" s="11">
        <f>IF(L1078="","",IFERROR(INDEX('Datos - Catálogo TIMSS'!$C$5:$C$107,MATCH(L1078,'Datos - Catálogo TIMSS'!$A$5:$A$107,0)),"?"))</f>
        <v/>
      </c>
      <c r="P1078" s="11" t="inlineStr">
        <is>
          <t>N/A</t>
        </is>
      </c>
      <c r="Q1078" s="38" t="inlineStr">
        <is>
          <t>Sin marco TIMSS de contenido para esta asignatura en Bachillerato</t>
        </is>
      </c>
      <c r="R1078" s="38" t="inlineStr">
        <is>
          <t>Aplicar: calcular emisiones alfa y beta. Razonar: interpretar la serie en una gráfica N frente a Z</t>
        </is>
      </c>
      <c r="S1078" s="39">
        <f>IFERROR(ISNUMBER(SEARCH("Conocer",$R1078))/(ISNUMBER(SEARCH("Conocer",$R1078))+ISNUMBER(SEARCH("Aplicar",$R1078))+ISNUMBER(SEARCH("Razonar",$R1078))),0)</f>
        <v/>
      </c>
      <c r="T1078" s="39">
        <f>IFERROR(ISNUMBER(SEARCH("Aplicar",$R1078))/(ISNUMBER(SEARCH("Conocer",$R1078))+ISNUMBER(SEARCH("Aplicar",$R1078))+ISNUMBER(SEARCH("Razonar",$R1078))),0)</f>
        <v/>
      </c>
      <c r="U1078" s="39">
        <f>IFERROR(ISNUMBER(SEARCH("Razonar",$R1078))/(ISNUMBER(SEARCH("Conocer",$R1078))+ISNUMBER(SEARCH("Aplicar",$R1078))+ISNUMBER(SEARCH("Razonar",$R1078))),0)</f>
        <v/>
      </c>
      <c r="V1078" s="11" t="inlineStr">
        <is>
          <t>Química 11°</t>
        </is>
      </c>
      <c r="W1078" s="11" t="inlineStr">
        <is>
          <t>Química 10°–11°</t>
        </is>
      </c>
      <c r="X1078" s="11">
        <f>IF(OR(IFERROR(INDEX('Datos - Catálogo TIMSS'!$I$5:$I$107,MATCH(K1078,'Datos - Catálogo TIMSS'!$A$5:$A$107,0)),"No")="Sí",IFERROR(INDEX('Datos - Catálogo TIMSS'!$I$5:$I$107,MATCH(L1078,'Datos - Catálogo TIMSS'!$A$5:$A$107,0)),"No")="Sí"),1,0)</f>
        <v/>
      </c>
      <c r="Y1078" s="11">
        <f>IF(IFERROR(INDEX('Datos - Catálogo TIMSS'!$J$5:$J$107,MATCH(K1078,'Datos - Catálogo TIMSS'!$A$5:$A$107,0)),"No")="Sí",1,0)</f>
        <v/>
      </c>
      <c r="Z1078" s="11">
        <f>IF(IFERROR(INDEX('Datos - Catálogo TIMSS'!$J$5:$J$107,MATCH(L1078,'Datos - Catálogo TIMSS'!$A$5:$A$107,0)),"No")="Sí",1,0)</f>
        <v/>
      </c>
      <c r="AA1078" s="11" t="inlineStr">
        <is>
          <t>N/A</t>
        </is>
      </c>
      <c r="AB1078" s="11" t="inlineStr"/>
      <c r="AC1078" s="11">
        <f>IF(AA1078="FUERA","Fuera del marco",IF(AA1078="N/A","Sin marco",IFERROR(INDEX('Datos - TIMSS 2023'!$C$5:$C$105,MATCH(AA1078,'Datos - TIMSS 2023'!$A$5:$A$105,0)),"Pendiente de clasificar")))</f>
        <v/>
      </c>
      <c r="AD1078" s="11" t="inlineStr">
        <is>
          <t>2. Construir y evaluar diseños para la indagación científica e interpretar datos y evidencia de forma crítica</t>
        </is>
      </c>
      <c r="AE1078" s="11">
        <f>IF(AD1078="","",IF(LEFT(AD1078,1)="1","C1",IF(LEFT(AD1078,1)="2","C2",IF(LEFT(AD1078,1)="3","C3",""))))</f>
        <v/>
      </c>
      <c r="AF1078" s="11" t="inlineStr">
        <is>
          <t>E6</t>
        </is>
      </c>
      <c r="AG1078" s="11" t="inlineStr">
        <is>
          <t>E3</t>
        </is>
      </c>
      <c r="AH1078" s="11" t="inlineStr">
        <is>
          <t>E2</t>
        </is>
      </c>
      <c r="AI1078" s="11" t="inlineStr">
        <is>
          <t>D4</t>
        </is>
      </c>
      <c r="AJ1078" s="11" t="inlineStr">
        <is>
          <t>E3</t>
        </is>
      </c>
      <c r="AK1078" s="11" t="n"/>
      <c r="AL1078" s="11" t="n"/>
      <c r="AM1078" s="11" t="n"/>
      <c r="AN1078" s="11" t="n"/>
      <c r="AO1078" s="11" t="n"/>
      <c r="AP1078" s="11" t="n"/>
      <c r="AQ1078" s="11" t="n"/>
      <c r="AR1078" s="11" t="n"/>
      <c r="AS1078" s="11" t="n"/>
      <c r="AT1078" s="11" t="n"/>
      <c r="AU1078" s="11" t="n"/>
      <c r="AV1078" s="11" t="n"/>
      <c r="AW1078" s="11">
        <f>AF1078&amp;"; "&amp;AG1078&amp;"; "&amp;AH1078&amp;"; "&amp;AI1078&amp;"; "&amp;AJ1078</f>
        <v/>
      </c>
    </row>
    <row r="1079">
      <c r="A1079" s="11" t="inlineStr">
        <is>
          <t>T0615-G11-QUÍ</t>
        </is>
      </c>
      <c r="B1079" s="11" t="n">
        <v>11</v>
      </c>
      <c r="C1079" s="11" t="inlineStr">
        <is>
          <t>Química</t>
        </is>
      </c>
      <c r="D1079" s="11" t="inlineStr">
        <is>
          <t>Matriz_Bachillerato_Quimica_10_11.xlsx</t>
        </is>
      </c>
      <c r="E1079" s="11" t="inlineStr">
        <is>
          <t>Química 11.°</t>
        </is>
      </c>
      <c r="F1079" s="11" t="n">
        <v>76</v>
      </c>
      <c r="G1079" s="11" t="inlineStr">
        <is>
          <t>8. Reacciones nucleares</t>
        </is>
      </c>
      <c r="H1079" s="11" t="inlineStr">
        <is>
          <t>Gestión de residuos radiactivos</t>
        </is>
      </c>
      <c r="I1079" s="38" t="inlineStr">
        <is>
          <t>8.4. Clasificación de los residuos radiactivos según su estado físico, tipo de radiación y actividad, y análisis crítico de su gestión en distintos países.</t>
        </is>
      </c>
      <c r="J1079" s="11" t="inlineStr">
        <is>
          <t>Sin marco</t>
        </is>
      </c>
      <c r="K1079" s="11" t="inlineStr">
        <is>
          <t>N/A</t>
        </is>
      </c>
      <c r="L1079" s="11" t="inlineStr"/>
      <c r="M1079" s="11">
        <f>IF(K1079="FUERA","Fuera del marco",IF(K1079="N/A","Sin marco",IFERROR(INDEX('Datos - Catálogo TIMSS'!$C$5:$C$107,MATCH(K1079,'Datos - Catálogo TIMSS'!$A$5:$A$107,0)),"Pendiente de clasificar")))</f>
        <v/>
      </c>
      <c r="N1079" s="11">
        <f>IF(K1079="FUERA","Fuera del marco",IF(K1079="N/A","Sin marco",IFERROR(INDEX('Datos - Catálogo TIMSS'!$F$5:$F$107,MATCH(K1079,'Datos - Catálogo TIMSS'!$A$5:$A$107,0)),"Pendiente de clasificar")))</f>
        <v/>
      </c>
      <c r="O1079" s="11">
        <f>IF(L1079="","",IFERROR(INDEX('Datos - Catálogo TIMSS'!$C$5:$C$107,MATCH(L1079,'Datos - Catálogo TIMSS'!$A$5:$A$107,0)),"?"))</f>
        <v/>
      </c>
      <c r="P1079" s="11" t="inlineStr">
        <is>
          <t>N/A</t>
        </is>
      </c>
      <c r="Q1079" s="38" t="inlineStr">
        <is>
          <t>Sin marco TIMSS de contenido para esta asignatura en Bachillerato</t>
        </is>
      </c>
      <c r="R1079" s="38" t="inlineStr">
        <is>
          <t>Conocer: clasificar residuos. Razonar: evaluar estrategias de gestión con datos</t>
        </is>
      </c>
      <c r="S1079" s="39">
        <f>IFERROR(ISNUMBER(SEARCH("Conocer",$R1079))/(ISNUMBER(SEARCH("Conocer",$R1079))+ISNUMBER(SEARCH("Aplicar",$R1079))+ISNUMBER(SEARCH("Razonar",$R1079))),0)</f>
        <v/>
      </c>
      <c r="T1079" s="39">
        <f>IFERROR(ISNUMBER(SEARCH("Aplicar",$R1079))/(ISNUMBER(SEARCH("Conocer",$R1079))+ISNUMBER(SEARCH("Aplicar",$R1079))+ISNUMBER(SEARCH("Razonar",$R1079))),0)</f>
        <v/>
      </c>
      <c r="U1079" s="39">
        <f>IFERROR(ISNUMBER(SEARCH("Razonar",$R1079))/(ISNUMBER(SEARCH("Conocer",$R1079))+ISNUMBER(SEARCH("Aplicar",$R1079))+ISNUMBER(SEARCH("Razonar",$R1079))),0)</f>
        <v/>
      </c>
      <c r="V1079" s="11" t="inlineStr">
        <is>
          <t>Química 11°</t>
        </is>
      </c>
      <c r="W1079" s="11" t="inlineStr">
        <is>
          <t>Química 10°–11°</t>
        </is>
      </c>
      <c r="X1079" s="11">
        <f>IF(OR(IFERROR(INDEX('Datos - Catálogo TIMSS'!$I$5:$I$107,MATCH(K1079,'Datos - Catálogo TIMSS'!$A$5:$A$107,0)),"No")="Sí",IFERROR(INDEX('Datos - Catálogo TIMSS'!$I$5:$I$107,MATCH(L1079,'Datos - Catálogo TIMSS'!$A$5:$A$107,0)),"No")="Sí"),1,0)</f>
        <v/>
      </c>
      <c r="Y1079" s="11">
        <f>IF(IFERROR(INDEX('Datos - Catálogo TIMSS'!$J$5:$J$107,MATCH(K1079,'Datos - Catálogo TIMSS'!$A$5:$A$107,0)),"No")="Sí",1,0)</f>
        <v/>
      </c>
      <c r="Z1079" s="11">
        <f>IF(IFERROR(INDEX('Datos - Catálogo TIMSS'!$J$5:$J$107,MATCH(L1079,'Datos - Catálogo TIMSS'!$A$5:$A$107,0)),"No")="Sí",1,0)</f>
        <v/>
      </c>
      <c r="AA1079" s="11" t="inlineStr">
        <is>
          <t>N/A</t>
        </is>
      </c>
      <c r="AB1079" s="11" t="inlineStr"/>
      <c r="AC1079" s="11">
        <f>IF(AA1079="FUERA","Fuera del marco",IF(AA1079="N/A","Sin marco",IFERROR(INDEX('Datos - TIMSS 2023'!$C$5:$C$105,MATCH(AA1079,'Datos - TIMSS 2023'!$A$5:$A$105,0)),"Pendiente de clasificar")))</f>
        <v/>
      </c>
      <c r="AD1079" s="11" t="inlineStr">
        <is>
          <t>3. Investigar, evaluar y usar información científica para tomar decisiones y actuar</t>
        </is>
      </c>
      <c r="AE1079" s="11">
        <f>IF(AD1079="","",IF(LEFT(AD1079,1)="1","C1",IF(LEFT(AD1079,1)="2","C2",IF(LEFT(AD1079,1)="3","C3",""))))</f>
        <v/>
      </c>
      <c r="AF1079" s="11" t="inlineStr">
        <is>
          <t>E6</t>
        </is>
      </c>
      <c r="AG1079" s="11" t="inlineStr">
        <is>
          <t>D1</t>
        </is>
      </c>
      <c r="AH1079" s="11" t="inlineStr">
        <is>
          <t>E1</t>
        </is>
      </c>
      <c r="AI1079" s="11" t="inlineStr">
        <is>
          <t>I1</t>
        </is>
      </c>
      <c r="AJ1079" s="11" t="inlineStr">
        <is>
          <t>I4</t>
        </is>
      </c>
      <c r="AK1079" s="11" t="n"/>
      <c r="AL1079" s="11" t="n"/>
      <c r="AM1079" s="11" t="n"/>
      <c r="AN1079" s="11" t="n"/>
      <c r="AO1079" s="11" t="n"/>
      <c r="AP1079" s="11" t="n"/>
      <c r="AQ1079" s="11" t="n"/>
      <c r="AR1079" s="11" t="n"/>
      <c r="AS1079" s="11" t="n"/>
      <c r="AT1079" s="11" t="n"/>
      <c r="AU1079" s="11" t="n"/>
      <c r="AV1079" s="11" t="n"/>
      <c r="AW1079" s="11">
        <f>AF1079&amp;"; "&amp;AG1079&amp;"; "&amp;AH1079&amp;"; "&amp;AI1079&amp;"; "&amp;AJ1079</f>
        <v/>
      </c>
    </row>
    <row r="1080">
      <c r="A1080" s="11" t="inlineStr">
        <is>
          <t>T0616-G11-QUÍ</t>
        </is>
      </c>
      <c r="B1080" s="11" t="n">
        <v>11</v>
      </c>
      <c r="C1080" s="11" t="inlineStr">
        <is>
          <t>Química</t>
        </is>
      </c>
      <c r="D1080" s="11" t="inlineStr">
        <is>
          <t>Matriz_Bachillerato_Quimica_10_11.xlsx</t>
        </is>
      </c>
      <c r="E1080" s="11" t="inlineStr">
        <is>
          <t>Química 11.°</t>
        </is>
      </c>
      <c r="F1080" s="11" t="n">
        <v>77</v>
      </c>
      <c r="G1080" s="11" t="inlineStr">
        <is>
          <t>9. Compuestos del carbono</t>
        </is>
      </c>
      <c r="H1080" s="11" t="inlineStr">
        <is>
          <t>Fundamentos de la reactividad orgánica</t>
        </is>
      </c>
      <c r="I1080" s="38" t="inlineStr">
        <is>
          <t>9.1. Diferenciación de la ruptura homolítica y heterolítica de enlaces y clasificación de los reactivos orgánicos en nucleófilos, electrófilos y radicales.</t>
        </is>
      </c>
      <c r="J1080" s="11" t="inlineStr">
        <is>
          <t>Sin marco</t>
        </is>
      </c>
      <c r="K1080" s="11" t="inlineStr">
        <is>
          <t>N/A</t>
        </is>
      </c>
      <c r="L1080" s="11" t="inlineStr"/>
      <c r="M1080" s="11">
        <f>IF(K1080="FUERA","Fuera del marco",IF(K1080="N/A","Sin marco",IFERROR(INDEX('Datos - Catálogo TIMSS'!$C$5:$C$107,MATCH(K1080,'Datos - Catálogo TIMSS'!$A$5:$A$107,0)),"Pendiente de clasificar")))</f>
        <v/>
      </c>
      <c r="N1080" s="11">
        <f>IF(K1080="FUERA","Fuera del marco",IF(K1080="N/A","Sin marco",IFERROR(INDEX('Datos - Catálogo TIMSS'!$F$5:$F$107,MATCH(K1080,'Datos - Catálogo TIMSS'!$A$5:$A$107,0)),"Pendiente de clasificar")))</f>
        <v/>
      </c>
      <c r="O1080" s="11">
        <f>IF(L1080="","",IFERROR(INDEX('Datos - Catálogo TIMSS'!$C$5:$C$107,MATCH(L1080,'Datos - Catálogo TIMSS'!$A$5:$A$107,0)),"?"))</f>
        <v/>
      </c>
      <c r="P1080" s="11" t="inlineStr">
        <is>
          <t>N/A</t>
        </is>
      </c>
      <c r="Q1080" s="38" t="inlineStr">
        <is>
          <t>Sin marco TIMSS de contenido para esta asignatura en Bachillerato</t>
        </is>
      </c>
      <c r="R1080" s="38" t="inlineStr">
        <is>
          <t>Conocer: definir tipos de ruptura. Razonar: clasificar reactivos según su estructura electrónica</t>
        </is>
      </c>
      <c r="S1080" s="39">
        <f>IFERROR(ISNUMBER(SEARCH("Conocer",$R1080))/(ISNUMBER(SEARCH("Conocer",$R1080))+ISNUMBER(SEARCH("Aplicar",$R1080))+ISNUMBER(SEARCH("Razonar",$R1080))),0)</f>
        <v/>
      </c>
      <c r="T1080" s="39">
        <f>IFERROR(ISNUMBER(SEARCH("Aplicar",$R1080))/(ISNUMBER(SEARCH("Conocer",$R1080))+ISNUMBER(SEARCH("Aplicar",$R1080))+ISNUMBER(SEARCH("Razonar",$R1080))),0)</f>
        <v/>
      </c>
      <c r="U1080" s="39">
        <f>IFERROR(ISNUMBER(SEARCH("Razonar",$R1080))/(ISNUMBER(SEARCH("Conocer",$R1080))+ISNUMBER(SEARCH("Aplicar",$R1080))+ISNUMBER(SEARCH("Razonar",$R1080))),0)</f>
        <v/>
      </c>
      <c r="V1080" s="11" t="inlineStr">
        <is>
          <t>Química 11°</t>
        </is>
      </c>
      <c r="W1080" s="11" t="inlineStr">
        <is>
          <t>Química 10°–11°</t>
        </is>
      </c>
      <c r="X1080" s="11">
        <f>IF(OR(IFERROR(INDEX('Datos - Catálogo TIMSS'!$I$5:$I$107,MATCH(K1080,'Datos - Catálogo TIMSS'!$A$5:$A$107,0)),"No")="Sí",IFERROR(INDEX('Datos - Catálogo TIMSS'!$I$5:$I$107,MATCH(L1080,'Datos - Catálogo TIMSS'!$A$5:$A$107,0)),"No")="Sí"),1,0)</f>
        <v/>
      </c>
      <c r="Y1080" s="11">
        <f>IF(IFERROR(INDEX('Datos - Catálogo TIMSS'!$J$5:$J$107,MATCH(K1080,'Datos - Catálogo TIMSS'!$A$5:$A$107,0)),"No")="Sí",1,0)</f>
        <v/>
      </c>
      <c r="Z1080" s="11">
        <f>IF(IFERROR(INDEX('Datos - Catálogo TIMSS'!$J$5:$J$107,MATCH(L1080,'Datos - Catálogo TIMSS'!$A$5:$A$107,0)),"No")="Sí",1,0)</f>
        <v/>
      </c>
      <c r="AA1080" s="11" t="inlineStr">
        <is>
          <t>N/A</t>
        </is>
      </c>
      <c r="AB1080" s="11" t="inlineStr"/>
      <c r="AC1080" s="11">
        <f>IF(AA1080="FUERA","Fuera del marco",IF(AA1080="N/A","Sin marco",IFERROR(INDEX('Datos - TIMSS 2023'!$C$5:$C$105,MATCH(AA1080,'Datos - TIMSS 2023'!$A$5:$A$105,0)),"Pendiente de clasificar")))</f>
        <v/>
      </c>
      <c r="AD1080" s="11" t="inlineStr">
        <is>
          <t>1. Explicar fenómenos científicamente</t>
        </is>
      </c>
      <c r="AE1080" s="11">
        <f>IF(AD1080="","",IF(LEFT(AD1080,1)="1","C1",IF(LEFT(AD1080,1)="2","C2",IF(LEFT(AD1080,1)="3","C3",""))))</f>
        <v/>
      </c>
      <c r="AF1080" s="11" t="inlineStr">
        <is>
          <t>E1</t>
        </is>
      </c>
      <c r="AG1080" s="11" t="inlineStr">
        <is>
          <t>E5</t>
        </is>
      </c>
      <c r="AH1080" s="11" t="inlineStr">
        <is>
          <t>E4</t>
        </is>
      </c>
      <c r="AI1080" s="11" t="inlineStr">
        <is>
          <t>D4</t>
        </is>
      </c>
      <c r="AJ1080" s="11" t="inlineStr">
        <is>
          <t>E3</t>
        </is>
      </c>
      <c r="AK1080" s="11" t="n"/>
      <c r="AL1080" s="11" t="n"/>
      <c r="AM1080" s="11" t="n"/>
      <c r="AN1080" s="11" t="n"/>
      <c r="AO1080" s="11" t="n"/>
      <c r="AP1080" s="11" t="n"/>
      <c r="AQ1080" s="11" t="n"/>
      <c r="AR1080" s="11" t="n"/>
      <c r="AS1080" s="11" t="n"/>
      <c r="AT1080" s="11" t="n"/>
      <c r="AU1080" s="11" t="n"/>
      <c r="AV1080" s="11" t="n"/>
      <c r="AW1080" s="11">
        <f>AF1080&amp;"; "&amp;AG1080&amp;"; "&amp;AH1080&amp;"; "&amp;AI1080&amp;"; "&amp;AJ1080</f>
        <v/>
      </c>
    </row>
    <row r="1081">
      <c r="A1081" s="11" t="inlineStr">
        <is>
          <t>T0617-G11-QUÍ</t>
        </is>
      </c>
      <c r="B1081" s="11" t="n">
        <v>11</v>
      </c>
      <c r="C1081" s="11" t="inlineStr">
        <is>
          <t>Química</t>
        </is>
      </c>
      <c r="D1081" s="11" t="inlineStr">
        <is>
          <t>Matriz_Bachillerato_Quimica_10_11.xlsx</t>
        </is>
      </c>
      <c r="E1081" s="11" t="inlineStr">
        <is>
          <t>Química 11.°</t>
        </is>
      </c>
      <c r="F1081" s="11" t="n">
        <v>78</v>
      </c>
      <c r="G1081" s="11" t="inlineStr">
        <is>
          <t>9. Compuestos del carbono</t>
        </is>
      </c>
      <c r="H1081" s="11" t="inlineStr">
        <is>
          <t>Fundamentos de la reactividad orgánica</t>
        </is>
      </c>
      <c r="I1081" s="38" t="inlineStr">
        <is>
          <t>9.2. Clasificación de reacciones orgánicas en sustitución, adición y eliminación a partir de los cambios en la estructura de los reactivos.</t>
        </is>
      </c>
      <c r="J1081" s="11" t="inlineStr">
        <is>
          <t>Sin marco</t>
        </is>
      </c>
      <c r="K1081" s="11" t="inlineStr">
        <is>
          <t>N/A</t>
        </is>
      </c>
      <c r="L1081" s="11" t="inlineStr"/>
      <c r="M1081" s="11">
        <f>IF(K1081="FUERA","Fuera del marco",IF(K1081="N/A","Sin marco",IFERROR(INDEX('Datos - Catálogo TIMSS'!$C$5:$C$107,MATCH(K1081,'Datos - Catálogo TIMSS'!$A$5:$A$107,0)),"Pendiente de clasificar")))</f>
        <v/>
      </c>
      <c r="N1081" s="11">
        <f>IF(K1081="FUERA","Fuera del marco",IF(K1081="N/A","Sin marco",IFERROR(INDEX('Datos - Catálogo TIMSS'!$F$5:$F$107,MATCH(K1081,'Datos - Catálogo TIMSS'!$A$5:$A$107,0)),"Pendiente de clasificar")))</f>
        <v/>
      </c>
      <c r="O1081" s="11">
        <f>IF(L1081="","",IFERROR(INDEX('Datos - Catálogo TIMSS'!$C$5:$C$107,MATCH(L1081,'Datos - Catálogo TIMSS'!$A$5:$A$107,0)),"?"))</f>
        <v/>
      </c>
      <c r="P1081" s="11" t="inlineStr">
        <is>
          <t>N/A</t>
        </is>
      </c>
      <c r="Q1081" s="38" t="inlineStr">
        <is>
          <t>Sin marco TIMSS de contenido para esta asignatura en Bachillerato</t>
        </is>
      </c>
      <c r="R1081" s="38" t="inlineStr">
        <is>
          <t>Aplicar: representar reacciones con fórmulas. Razonar: clasificar reacciones según cambios estructurales</t>
        </is>
      </c>
      <c r="S1081" s="39">
        <f>IFERROR(ISNUMBER(SEARCH("Conocer",$R1081))/(ISNUMBER(SEARCH("Conocer",$R1081))+ISNUMBER(SEARCH("Aplicar",$R1081))+ISNUMBER(SEARCH("Razonar",$R1081))),0)</f>
        <v/>
      </c>
      <c r="T1081" s="39">
        <f>IFERROR(ISNUMBER(SEARCH("Aplicar",$R1081))/(ISNUMBER(SEARCH("Conocer",$R1081))+ISNUMBER(SEARCH("Aplicar",$R1081))+ISNUMBER(SEARCH("Razonar",$R1081))),0)</f>
        <v/>
      </c>
      <c r="U1081" s="39">
        <f>IFERROR(ISNUMBER(SEARCH("Razonar",$R1081))/(ISNUMBER(SEARCH("Conocer",$R1081))+ISNUMBER(SEARCH("Aplicar",$R1081))+ISNUMBER(SEARCH("Razonar",$R1081))),0)</f>
        <v/>
      </c>
      <c r="V1081" s="11" t="inlineStr">
        <is>
          <t>Química 11°</t>
        </is>
      </c>
      <c r="W1081" s="11" t="inlineStr">
        <is>
          <t>Química 10°–11°</t>
        </is>
      </c>
      <c r="X1081" s="11">
        <f>IF(OR(IFERROR(INDEX('Datos - Catálogo TIMSS'!$I$5:$I$107,MATCH(K1081,'Datos - Catálogo TIMSS'!$A$5:$A$107,0)),"No")="Sí",IFERROR(INDEX('Datos - Catálogo TIMSS'!$I$5:$I$107,MATCH(L1081,'Datos - Catálogo TIMSS'!$A$5:$A$107,0)),"No")="Sí"),1,0)</f>
        <v/>
      </c>
      <c r="Y1081" s="11">
        <f>IF(IFERROR(INDEX('Datos - Catálogo TIMSS'!$J$5:$J$107,MATCH(K1081,'Datos - Catálogo TIMSS'!$A$5:$A$107,0)),"No")="Sí",1,0)</f>
        <v/>
      </c>
      <c r="Z1081" s="11">
        <f>IF(IFERROR(INDEX('Datos - Catálogo TIMSS'!$J$5:$J$107,MATCH(L1081,'Datos - Catálogo TIMSS'!$A$5:$A$107,0)),"No")="Sí",1,0)</f>
        <v/>
      </c>
      <c r="AA1081" s="11" t="inlineStr">
        <is>
          <t>N/A</t>
        </is>
      </c>
      <c r="AB1081" s="11" t="inlineStr"/>
      <c r="AC1081" s="11">
        <f>IF(AA1081="FUERA","Fuera del marco",IF(AA1081="N/A","Sin marco",IFERROR(INDEX('Datos - TIMSS 2023'!$C$5:$C$105,MATCH(AA1081,'Datos - TIMSS 2023'!$A$5:$A$105,0)),"Pendiente de clasificar")))</f>
        <v/>
      </c>
      <c r="AD1081" s="11" t="inlineStr">
        <is>
          <t>1. Explicar fenómenos científicamente</t>
        </is>
      </c>
      <c r="AE1081" s="11">
        <f>IF(AD1081="","",IF(LEFT(AD1081,1)="1","C1",IF(LEFT(AD1081,1)="2","C2",IF(LEFT(AD1081,1)="3","C3",""))))</f>
        <v/>
      </c>
      <c r="AF1081" s="11" t="inlineStr">
        <is>
          <t>E1</t>
        </is>
      </c>
      <c r="AG1081" s="11" t="inlineStr">
        <is>
          <t>D1</t>
        </is>
      </c>
      <c r="AH1081" s="11" t="inlineStr">
        <is>
          <t>E2</t>
        </is>
      </c>
      <c r="AI1081" s="11" t="inlineStr">
        <is>
          <t>D4</t>
        </is>
      </c>
      <c r="AJ1081" s="11" t="inlineStr">
        <is>
          <t>E3</t>
        </is>
      </c>
      <c r="AK1081" s="11" t="n"/>
      <c r="AL1081" s="11" t="n"/>
      <c r="AM1081" s="11" t="n"/>
      <c r="AN1081" s="11" t="n"/>
      <c r="AO1081" s="11" t="n"/>
      <c r="AP1081" s="11" t="n"/>
      <c r="AQ1081" s="11" t="n"/>
      <c r="AR1081" s="11" t="n"/>
      <c r="AS1081" s="11" t="n"/>
      <c r="AT1081" s="11" t="n"/>
      <c r="AU1081" s="11" t="n"/>
      <c r="AV1081" s="11" t="n"/>
      <c r="AW1081" s="11">
        <f>AF1081&amp;"; "&amp;AG1081&amp;"; "&amp;AH1081&amp;"; "&amp;AI1081&amp;"; "&amp;AJ1081</f>
        <v/>
      </c>
    </row>
    <row r="1082">
      <c r="A1082" s="11" t="inlineStr">
        <is>
          <t>T0618-G11-QUÍ</t>
        </is>
      </c>
      <c r="B1082" s="11" t="n">
        <v>11</v>
      </c>
      <c r="C1082" s="11" t="inlineStr">
        <is>
          <t>Química</t>
        </is>
      </c>
      <c r="D1082" s="11" t="inlineStr">
        <is>
          <t>Matriz_Bachillerato_Quimica_10_11.xlsx</t>
        </is>
      </c>
      <c r="E1082" s="11" t="inlineStr">
        <is>
          <t>Química 11.°</t>
        </is>
      </c>
      <c r="F1082" s="11" t="n">
        <v>79</v>
      </c>
      <c r="G1082" s="11" t="inlineStr">
        <is>
          <t>9. Compuestos del carbono</t>
        </is>
      </c>
      <c r="H1082" s="11" t="inlineStr">
        <is>
          <t>Reacciones de los hidrocarburos</t>
        </is>
      </c>
      <c r="I1082" s="38" t="inlineStr">
        <is>
          <t>9.3. Representación de las reacciones de combustión, halogenación y adición de los hidrocarburos alifáticos y aromáticos.</t>
        </is>
      </c>
      <c r="J1082" s="11" t="inlineStr">
        <is>
          <t>Sin marco</t>
        </is>
      </c>
      <c r="K1082" s="11" t="inlineStr">
        <is>
          <t>N/A</t>
        </is>
      </c>
      <c r="L1082" s="11" t="inlineStr"/>
      <c r="M1082" s="11">
        <f>IF(K1082="FUERA","Fuera del marco",IF(K1082="N/A","Sin marco",IFERROR(INDEX('Datos - Catálogo TIMSS'!$C$5:$C$107,MATCH(K1082,'Datos - Catálogo TIMSS'!$A$5:$A$107,0)),"Pendiente de clasificar")))</f>
        <v/>
      </c>
      <c r="N1082" s="11">
        <f>IF(K1082="FUERA","Fuera del marco",IF(K1082="N/A","Sin marco",IFERROR(INDEX('Datos - Catálogo TIMSS'!$F$5:$F$107,MATCH(K1082,'Datos - Catálogo TIMSS'!$A$5:$A$107,0)),"Pendiente de clasificar")))</f>
        <v/>
      </c>
      <c r="O1082" s="11">
        <f>IF(L1082="","",IFERROR(INDEX('Datos - Catálogo TIMSS'!$C$5:$C$107,MATCH(L1082,'Datos - Catálogo TIMSS'!$A$5:$A$107,0)),"?"))</f>
        <v/>
      </c>
      <c r="P1082" s="11" t="inlineStr">
        <is>
          <t>N/A</t>
        </is>
      </c>
      <c r="Q1082" s="38" t="inlineStr">
        <is>
          <t>Sin marco TIMSS de contenido para esta asignatura en Bachillerato</t>
        </is>
      </c>
      <c r="R1082" s="38" t="inlineStr">
        <is>
          <t>Aplicar: escribir y balancear reacciones de hidrocarburos. Razonar: explicar diferencias de reactividad</t>
        </is>
      </c>
      <c r="S1082" s="39">
        <f>IFERROR(ISNUMBER(SEARCH("Conocer",$R1082))/(ISNUMBER(SEARCH("Conocer",$R1082))+ISNUMBER(SEARCH("Aplicar",$R1082))+ISNUMBER(SEARCH("Razonar",$R1082))),0)</f>
        <v/>
      </c>
      <c r="T1082" s="39">
        <f>IFERROR(ISNUMBER(SEARCH("Aplicar",$R1082))/(ISNUMBER(SEARCH("Conocer",$R1082))+ISNUMBER(SEARCH("Aplicar",$R1082))+ISNUMBER(SEARCH("Razonar",$R1082))),0)</f>
        <v/>
      </c>
      <c r="U1082" s="39">
        <f>IFERROR(ISNUMBER(SEARCH("Razonar",$R1082))/(ISNUMBER(SEARCH("Conocer",$R1082))+ISNUMBER(SEARCH("Aplicar",$R1082))+ISNUMBER(SEARCH("Razonar",$R1082))),0)</f>
        <v/>
      </c>
      <c r="V1082" s="11" t="inlineStr">
        <is>
          <t>Química 11°</t>
        </is>
      </c>
      <c r="W1082" s="11" t="inlineStr">
        <is>
          <t>Química 10°–11°</t>
        </is>
      </c>
      <c r="X1082" s="11">
        <f>IF(OR(IFERROR(INDEX('Datos - Catálogo TIMSS'!$I$5:$I$107,MATCH(K1082,'Datos - Catálogo TIMSS'!$A$5:$A$107,0)),"No")="Sí",IFERROR(INDEX('Datos - Catálogo TIMSS'!$I$5:$I$107,MATCH(L1082,'Datos - Catálogo TIMSS'!$A$5:$A$107,0)),"No")="Sí"),1,0)</f>
        <v/>
      </c>
      <c r="Y1082" s="11">
        <f>IF(IFERROR(INDEX('Datos - Catálogo TIMSS'!$J$5:$J$107,MATCH(K1082,'Datos - Catálogo TIMSS'!$A$5:$A$107,0)),"No")="Sí",1,0)</f>
        <v/>
      </c>
      <c r="Z1082" s="11">
        <f>IF(IFERROR(INDEX('Datos - Catálogo TIMSS'!$J$5:$J$107,MATCH(L1082,'Datos - Catálogo TIMSS'!$A$5:$A$107,0)),"No")="Sí",1,0)</f>
        <v/>
      </c>
      <c r="AA1082" s="11" t="inlineStr">
        <is>
          <t>N/A</t>
        </is>
      </c>
      <c r="AB1082" s="11" t="inlineStr"/>
      <c r="AC1082" s="11">
        <f>IF(AA1082="FUERA","Fuera del marco",IF(AA1082="N/A","Sin marco",IFERROR(INDEX('Datos - TIMSS 2023'!$C$5:$C$105,MATCH(AA1082,'Datos - TIMSS 2023'!$A$5:$A$105,0)),"Pendiente de clasificar")))</f>
        <v/>
      </c>
      <c r="AD1082" s="11" t="inlineStr">
        <is>
          <t>1. Explicar fenómenos científicamente</t>
        </is>
      </c>
      <c r="AE1082" s="11">
        <f>IF(AD1082="","",IF(LEFT(AD1082,1)="1","C1",IF(LEFT(AD1082,1)="2","C2",IF(LEFT(AD1082,1)="3","C3",""))))</f>
        <v/>
      </c>
      <c r="AF1082" s="11" t="inlineStr">
        <is>
          <t>E6</t>
        </is>
      </c>
      <c r="AG1082" s="11" t="inlineStr">
        <is>
          <t>E3</t>
        </is>
      </c>
      <c r="AH1082" s="11" t="inlineStr">
        <is>
          <t>E2</t>
        </is>
      </c>
      <c r="AI1082" s="11" t="inlineStr">
        <is>
          <t>D4</t>
        </is>
      </c>
      <c r="AJ1082" s="11" t="inlineStr">
        <is>
          <t>E6</t>
        </is>
      </c>
      <c r="AK1082" s="11" t="n"/>
      <c r="AL1082" s="11" t="n"/>
      <c r="AM1082" s="11" t="n"/>
      <c r="AN1082" s="11" t="n"/>
      <c r="AO1082" s="11" t="n"/>
      <c r="AP1082" s="11" t="n"/>
      <c r="AQ1082" s="11" t="n"/>
      <c r="AR1082" s="11" t="n"/>
      <c r="AS1082" s="11" t="n"/>
      <c r="AT1082" s="11" t="n"/>
      <c r="AU1082" s="11" t="n"/>
      <c r="AV1082" s="11" t="n"/>
      <c r="AW1082" s="11">
        <f>AF1082&amp;"; "&amp;AG1082&amp;"; "&amp;AH1082&amp;"; "&amp;AI1082&amp;"; "&amp;AJ1082</f>
        <v/>
      </c>
    </row>
    <row r="1083">
      <c r="A1083" s="11" t="inlineStr">
        <is>
          <t>T0619-G11-QUÍ</t>
        </is>
      </c>
      <c r="B1083" s="11" t="n">
        <v>11</v>
      </c>
      <c r="C1083" s="11" t="inlineStr">
        <is>
          <t>Química</t>
        </is>
      </c>
      <c r="D1083" s="11" t="inlineStr">
        <is>
          <t>Matriz_Bachillerato_Quimica_10_11.xlsx</t>
        </is>
      </c>
      <c r="E1083" s="11" t="inlineStr">
        <is>
          <t>Química 11.°</t>
        </is>
      </c>
      <c r="F1083" s="11" t="n">
        <v>80</v>
      </c>
      <c r="G1083" s="11" t="inlineStr">
        <is>
          <t>9. Compuestos del carbono</t>
        </is>
      </c>
      <c r="H1083" s="11" t="inlineStr">
        <is>
          <t>Reacciones de compuestos oxigenados</t>
        </is>
      </c>
      <c r="I1083" s="38" t="inlineStr">
        <is>
          <t>9.4. Predicción de los productos de la oxidación de alcoholes primarios, secundarios y terciarios y diferenciación de aldehídos y cetonas por su reactividad.</t>
        </is>
      </c>
      <c r="J1083" s="11" t="inlineStr">
        <is>
          <t>Sin marco</t>
        </is>
      </c>
      <c r="K1083" s="11" t="inlineStr">
        <is>
          <t>N/A</t>
        </is>
      </c>
      <c r="L1083" s="11" t="inlineStr"/>
      <c r="M1083" s="11">
        <f>IF(K1083="FUERA","Fuera del marco",IF(K1083="N/A","Sin marco",IFERROR(INDEX('Datos - Catálogo TIMSS'!$C$5:$C$107,MATCH(K1083,'Datos - Catálogo TIMSS'!$A$5:$A$107,0)),"Pendiente de clasificar")))</f>
        <v/>
      </c>
      <c r="N1083" s="11">
        <f>IF(K1083="FUERA","Fuera del marco",IF(K1083="N/A","Sin marco",IFERROR(INDEX('Datos - Catálogo TIMSS'!$F$5:$F$107,MATCH(K1083,'Datos - Catálogo TIMSS'!$A$5:$A$107,0)),"Pendiente de clasificar")))</f>
        <v/>
      </c>
      <c r="O1083" s="11">
        <f>IF(L1083="","",IFERROR(INDEX('Datos - Catálogo TIMSS'!$C$5:$C$107,MATCH(L1083,'Datos - Catálogo TIMSS'!$A$5:$A$107,0)),"?"))</f>
        <v/>
      </c>
      <c r="P1083" s="11" t="inlineStr">
        <is>
          <t>N/A</t>
        </is>
      </c>
      <c r="Q1083" s="38" t="inlineStr">
        <is>
          <t>Sin marco TIMSS de contenido para esta asignatura en Bachillerato</t>
        </is>
      </c>
      <c r="R1083" s="38" t="inlineStr">
        <is>
          <t>Aplicar: escribir reacciones de oxidación. Razonar: predecir productos según el tipo de alcohol</t>
        </is>
      </c>
      <c r="S1083" s="39">
        <f>IFERROR(ISNUMBER(SEARCH("Conocer",$R1083))/(ISNUMBER(SEARCH("Conocer",$R1083))+ISNUMBER(SEARCH("Aplicar",$R1083))+ISNUMBER(SEARCH("Razonar",$R1083))),0)</f>
        <v/>
      </c>
      <c r="T1083" s="39">
        <f>IFERROR(ISNUMBER(SEARCH("Aplicar",$R1083))/(ISNUMBER(SEARCH("Conocer",$R1083))+ISNUMBER(SEARCH("Aplicar",$R1083))+ISNUMBER(SEARCH("Razonar",$R1083))),0)</f>
        <v/>
      </c>
      <c r="U1083" s="39">
        <f>IFERROR(ISNUMBER(SEARCH("Razonar",$R1083))/(ISNUMBER(SEARCH("Conocer",$R1083))+ISNUMBER(SEARCH("Aplicar",$R1083))+ISNUMBER(SEARCH("Razonar",$R1083))),0)</f>
        <v/>
      </c>
      <c r="V1083" s="11" t="inlineStr">
        <is>
          <t>Química 11°</t>
        </is>
      </c>
      <c r="W1083" s="11" t="inlineStr">
        <is>
          <t>Química 10°–11°</t>
        </is>
      </c>
      <c r="X1083" s="11">
        <f>IF(OR(IFERROR(INDEX('Datos - Catálogo TIMSS'!$I$5:$I$107,MATCH(K1083,'Datos - Catálogo TIMSS'!$A$5:$A$107,0)),"No")="Sí",IFERROR(INDEX('Datos - Catálogo TIMSS'!$I$5:$I$107,MATCH(L1083,'Datos - Catálogo TIMSS'!$A$5:$A$107,0)),"No")="Sí"),1,0)</f>
        <v/>
      </c>
      <c r="Y1083" s="11">
        <f>IF(IFERROR(INDEX('Datos - Catálogo TIMSS'!$J$5:$J$107,MATCH(K1083,'Datos - Catálogo TIMSS'!$A$5:$A$107,0)),"No")="Sí",1,0)</f>
        <v/>
      </c>
      <c r="Z1083" s="11">
        <f>IF(IFERROR(INDEX('Datos - Catálogo TIMSS'!$J$5:$J$107,MATCH(L1083,'Datos - Catálogo TIMSS'!$A$5:$A$107,0)),"No")="Sí",1,0)</f>
        <v/>
      </c>
      <c r="AA1083" s="11" t="inlineStr">
        <is>
          <t>N/A</t>
        </is>
      </c>
      <c r="AB1083" s="11" t="inlineStr"/>
      <c r="AC1083" s="11">
        <f>IF(AA1083="FUERA","Fuera del marco",IF(AA1083="N/A","Sin marco",IFERROR(INDEX('Datos - TIMSS 2023'!$C$5:$C$105,MATCH(AA1083,'Datos - TIMSS 2023'!$A$5:$A$105,0)),"Pendiente de clasificar")))</f>
        <v/>
      </c>
      <c r="AD1083" s="11" t="inlineStr">
        <is>
          <t>1. Explicar fenómenos científicamente</t>
        </is>
      </c>
      <c r="AE1083" s="11">
        <f>IF(AD1083="","",IF(LEFT(AD1083,1)="1","C1",IF(LEFT(AD1083,1)="2","C2",IF(LEFT(AD1083,1)="3","C3",""))))</f>
        <v/>
      </c>
      <c r="AF1083" s="11" t="inlineStr">
        <is>
          <t>E1</t>
        </is>
      </c>
      <c r="AG1083" s="11" t="inlineStr">
        <is>
          <t>E5</t>
        </is>
      </c>
      <c r="AH1083" s="11" t="inlineStr">
        <is>
          <t>E2</t>
        </is>
      </c>
      <c r="AI1083" s="11" t="inlineStr">
        <is>
          <t>D4</t>
        </is>
      </c>
      <c r="AJ1083" s="11" t="inlineStr">
        <is>
          <t>E3</t>
        </is>
      </c>
      <c r="AK1083" s="11" t="n"/>
      <c r="AL1083" s="11" t="n"/>
      <c r="AM1083" s="11" t="n"/>
      <c r="AN1083" s="11" t="n"/>
      <c r="AO1083" s="11" t="n"/>
      <c r="AP1083" s="11" t="n"/>
      <c r="AQ1083" s="11" t="n"/>
      <c r="AR1083" s="11" t="n"/>
      <c r="AS1083" s="11" t="n"/>
      <c r="AT1083" s="11" t="n"/>
      <c r="AU1083" s="11" t="n"/>
      <c r="AV1083" s="11" t="n"/>
      <c r="AW1083" s="11">
        <f>AF1083&amp;"; "&amp;AG1083&amp;"; "&amp;AH1083&amp;"; "&amp;AI1083&amp;"; "&amp;AJ1083</f>
        <v/>
      </c>
    </row>
    <row r="1084">
      <c r="A1084" s="11" t="inlineStr">
        <is>
          <t>T0620-G11-QUÍ</t>
        </is>
      </c>
      <c r="B1084" s="11" t="n">
        <v>11</v>
      </c>
      <c r="C1084" s="11" t="inlineStr">
        <is>
          <t>Química</t>
        </is>
      </c>
      <c r="D1084" s="11" t="inlineStr">
        <is>
          <t>Matriz_Bachillerato_Quimica_10_11.xlsx</t>
        </is>
      </c>
      <c r="E1084" s="11" t="inlineStr">
        <is>
          <t>Química 11.°</t>
        </is>
      </c>
      <c r="F1084" s="11" t="n">
        <v>81</v>
      </c>
      <c r="G1084" s="11" t="inlineStr">
        <is>
          <t>9. Compuestos del carbono</t>
        </is>
      </c>
      <c r="H1084" s="11" t="inlineStr">
        <is>
          <t>Reacciones de compuestos oxigenados</t>
        </is>
      </c>
      <c r="I1084" s="38" t="inlineStr">
        <is>
          <t>9.5. Representación de la esterificación entre ácidos carboxílicos y alcoholes y de la hidrólisis ácida y básica de los ésteres.</t>
        </is>
      </c>
      <c r="J1084" s="11" t="inlineStr">
        <is>
          <t>Sin marco</t>
        </is>
      </c>
      <c r="K1084" s="11" t="inlineStr">
        <is>
          <t>N/A</t>
        </is>
      </c>
      <c r="L1084" s="11" t="inlineStr"/>
      <c r="M1084" s="11">
        <f>IF(K1084="FUERA","Fuera del marco",IF(K1084="N/A","Sin marco",IFERROR(INDEX('Datos - Catálogo TIMSS'!$C$5:$C$107,MATCH(K1084,'Datos - Catálogo TIMSS'!$A$5:$A$107,0)),"Pendiente de clasificar")))</f>
        <v/>
      </c>
      <c r="N1084" s="11">
        <f>IF(K1084="FUERA","Fuera del marco",IF(K1084="N/A","Sin marco",IFERROR(INDEX('Datos - Catálogo TIMSS'!$F$5:$F$107,MATCH(K1084,'Datos - Catálogo TIMSS'!$A$5:$A$107,0)),"Pendiente de clasificar")))</f>
        <v/>
      </c>
      <c r="O1084" s="11">
        <f>IF(L1084="","",IFERROR(INDEX('Datos - Catálogo TIMSS'!$C$5:$C$107,MATCH(L1084,'Datos - Catálogo TIMSS'!$A$5:$A$107,0)),"?"))</f>
        <v/>
      </c>
      <c r="P1084" s="11" t="inlineStr">
        <is>
          <t>N/A</t>
        </is>
      </c>
      <c r="Q1084" s="38" t="inlineStr">
        <is>
          <t>Sin marco TIMSS de contenido para esta asignatura en Bachillerato</t>
        </is>
      </c>
      <c r="R1084" s="38" t="inlineStr">
        <is>
          <t>Aplicar: escribir reacciones de esterificación e hidrólisis. Razonar: aplicar Le Châtelier al rendimiento</t>
        </is>
      </c>
      <c r="S1084" s="39">
        <f>IFERROR(ISNUMBER(SEARCH("Conocer",$R1084))/(ISNUMBER(SEARCH("Conocer",$R1084))+ISNUMBER(SEARCH("Aplicar",$R1084))+ISNUMBER(SEARCH("Razonar",$R1084))),0)</f>
        <v/>
      </c>
      <c r="T1084" s="39">
        <f>IFERROR(ISNUMBER(SEARCH("Aplicar",$R1084))/(ISNUMBER(SEARCH("Conocer",$R1084))+ISNUMBER(SEARCH("Aplicar",$R1084))+ISNUMBER(SEARCH("Razonar",$R1084))),0)</f>
        <v/>
      </c>
      <c r="U1084" s="39">
        <f>IFERROR(ISNUMBER(SEARCH("Razonar",$R1084))/(ISNUMBER(SEARCH("Conocer",$R1084))+ISNUMBER(SEARCH("Aplicar",$R1084))+ISNUMBER(SEARCH("Razonar",$R1084))),0)</f>
        <v/>
      </c>
      <c r="V1084" s="11" t="inlineStr">
        <is>
          <t>Química 11°</t>
        </is>
      </c>
      <c r="W1084" s="11" t="inlineStr">
        <is>
          <t>Química 10°–11°</t>
        </is>
      </c>
      <c r="X1084" s="11">
        <f>IF(OR(IFERROR(INDEX('Datos - Catálogo TIMSS'!$I$5:$I$107,MATCH(K1084,'Datos - Catálogo TIMSS'!$A$5:$A$107,0)),"No")="Sí",IFERROR(INDEX('Datos - Catálogo TIMSS'!$I$5:$I$107,MATCH(L1084,'Datos - Catálogo TIMSS'!$A$5:$A$107,0)),"No")="Sí"),1,0)</f>
        <v/>
      </c>
      <c r="Y1084" s="11">
        <f>IF(IFERROR(INDEX('Datos - Catálogo TIMSS'!$J$5:$J$107,MATCH(K1084,'Datos - Catálogo TIMSS'!$A$5:$A$107,0)),"No")="Sí",1,0)</f>
        <v/>
      </c>
      <c r="Z1084" s="11">
        <f>IF(IFERROR(INDEX('Datos - Catálogo TIMSS'!$J$5:$J$107,MATCH(L1084,'Datos - Catálogo TIMSS'!$A$5:$A$107,0)),"No")="Sí",1,0)</f>
        <v/>
      </c>
      <c r="AA1084" s="11" t="inlineStr">
        <is>
          <t>N/A</t>
        </is>
      </c>
      <c r="AB1084" s="11" t="inlineStr"/>
      <c r="AC1084" s="11">
        <f>IF(AA1084="FUERA","Fuera del marco",IF(AA1084="N/A","Sin marco",IFERROR(INDEX('Datos - TIMSS 2023'!$C$5:$C$105,MATCH(AA1084,'Datos - TIMSS 2023'!$A$5:$A$105,0)),"Pendiente de clasificar")))</f>
        <v/>
      </c>
      <c r="AD1084" s="11" t="inlineStr">
        <is>
          <t>1. Explicar fenómenos científicamente</t>
        </is>
      </c>
      <c r="AE1084" s="11">
        <f>IF(AD1084="","",IF(LEFT(AD1084,1)="1","C1",IF(LEFT(AD1084,1)="2","C2",IF(LEFT(AD1084,1)="3","C3",""))))</f>
        <v/>
      </c>
      <c r="AF1084" s="11" t="inlineStr">
        <is>
          <t>E6</t>
        </is>
      </c>
      <c r="AG1084" s="11" t="inlineStr">
        <is>
          <t>D1</t>
        </is>
      </c>
      <c r="AH1084" s="11" t="inlineStr">
        <is>
          <t>E2</t>
        </is>
      </c>
      <c r="AI1084" s="11" t="inlineStr">
        <is>
          <t>D4</t>
        </is>
      </c>
      <c r="AJ1084" s="11" t="inlineStr">
        <is>
          <t>E3</t>
        </is>
      </c>
      <c r="AK1084" s="11" t="n"/>
      <c r="AL1084" s="11" t="n"/>
      <c r="AM1084" s="11" t="n"/>
      <c r="AN1084" s="11" t="n"/>
      <c r="AO1084" s="11" t="n"/>
      <c r="AP1084" s="11" t="n"/>
      <c r="AQ1084" s="11" t="n"/>
      <c r="AR1084" s="11" t="n"/>
      <c r="AS1084" s="11" t="n"/>
      <c r="AT1084" s="11" t="n"/>
      <c r="AU1084" s="11" t="n"/>
      <c r="AV1084" s="11" t="n"/>
      <c r="AW1084" s="11">
        <f>AF1084&amp;"; "&amp;AG1084&amp;"; "&amp;AH1084&amp;"; "&amp;AI1084&amp;"; "&amp;AJ1084</f>
        <v/>
      </c>
    </row>
    <row r="1085">
      <c r="A1085" s="11" t="inlineStr">
        <is>
          <t>T0621-G11-QUÍ</t>
        </is>
      </c>
      <c r="B1085" s="11" t="n">
        <v>11</v>
      </c>
      <c r="C1085" s="11" t="inlineStr">
        <is>
          <t>Química</t>
        </is>
      </c>
      <c r="D1085" s="11" t="inlineStr">
        <is>
          <t>Matriz_Bachillerato_Quimica_10_11.xlsx</t>
        </is>
      </c>
      <c r="E1085" s="11" t="inlineStr">
        <is>
          <t>Química 11.°</t>
        </is>
      </c>
      <c r="F1085" s="11" t="n">
        <v>82</v>
      </c>
      <c r="G1085" s="11" t="inlineStr">
        <is>
          <t>9. Compuestos del carbono</t>
        </is>
      </c>
      <c r="H1085" s="11" t="inlineStr">
        <is>
          <t>Compuestos nitrogenados</t>
        </is>
      </c>
      <c r="I1085" s="38" t="inlineStr">
        <is>
          <t>9.6. Análisis de la basicidad de las aminas y de la formación e hidrólisis de amidas a partir de aminas y ácidos carboxílicos.</t>
        </is>
      </c>
      <c r="J1085" s="11" t="inlineStr">
        <is>
          <t>Sin marco</t>
        </is>
      </c>
      <c r="K1085" s="11" t="inlineStr">
        <is>
          <t>N/A</t>
        </is>
      </c>
      <c r="L1085" s="11" t="inlineStr"/>
      <c r="M1085" s="11">
        <f>IF(K1085="FUERA","Fuera del marco",IF(K1085="N/A","Sin marco",IFERROR(INDEX('Datos - Catálogo TIMSS'!$C$5:$C$107,MATCH(K1085,'Datos - Catálogo TIMSS'!$A$5:$A$107,0)),"Pendiente de clasificar")))</f>
        <v/>
      </c>
      <c r="N1085" s="11">
        <f>IF(K1085="FUERA","Fuera del marco",IF(K1085="N/A","Sin marco",IFERROR(INDEX('Datos - Catálogo TIMSS'!$F$5:$F$107,MATCH(K1085,'Datos - Catálogo TIMSS'!$A$5:$A$107,0)),"Pendiente de clasificar")))</f>
        <v/>
      </c>
      <c r="O1085" s="11">
        <f>IF(L1085="","",IFERROR(INDEX('Datos - Catálogo TIMSS'!$C$5:$C$107,MATCH(L1085,'Datos - Catálogo TIMSS'!$A$5:$A$107,0)),"?"))</f>
        <v/>
      </c>
      <c r="P1085" s="11" t="inlineStr">
        <is>
          <t>N/A</t>
        </is>
      </c>
      <c r="Q1085" s="38" t="inlineStr">
        <is>
          <t>Sin marco TIMSS de contenido para esta asignatura en Bachillerato</t>
        </is>
      </c>
      <c r="R1085" s="38" t="inlineStr">
        <is>
          <t>Aplicar: escribir reacciones de formación e hidrólisis de amidas. Razonar: explicar la basicidad con la estructura</t>
        </is>
      </c>
      <c r="S1085" s="39">
        <f>IFERROR(ISNUMBER(SEARCH("Conocer",$R1085))/(ISNUMBER(SEARCH("Conocer",$R1085))+ISNUMBER(SEARCH("Aplicar",$R1085))+ISNUMBER(SEARCH("Razonar",$R1085))),0)</f>
        <v/>
      </c>
      <c r="T1085" s="39">
        <f>IFERROR(ISNUMBER(SEARCH("Aplicar",$R1085))/(ISNUMBER(SEARCH("Conocer",$R1085))+ISNUMBER(SEARCH("Aplicar",$R1085))+ISNUMBER(SEARCH("Razonar",$R1085))),0)</f>
        <v/>
      </c>
      <c r="U1085" s="39">
        <f>IFERROR(ISNUMBER(SEARCH("Razonar",$R1085))/(ISNUMBER(SEARCH("Conocer",$R1085))+ISNUMBER(SEARCH("Aplicar",$R1085))+ISNUMBER(SEARCH("Razonar",$R1085))),0)</f>
        <v/>
      </c>
      <c r="V1085" s="11" t="inlineStr">
        <is>
          <t>Química 11°</t>
        </is>
      </c>
      <c r="W1085" s="11" t="inlineStr">
        <is>
          <t>Química 10°–11°</t>
        </is>
      </c>
      <c r="X1085" s="11">
        <f>IF(OR(IFERROR(INDEX('Datos - Catálogo TIMSS'!$I$5:$I$107,MATCH(K1085,'Datos - Catálogo TIMSS'!$A$5:$A$107,0)),"No")="Sí",IFERROR(INDEX('Datos - Catálogo TIMSS'!$I$5:$I$107,MATCH(L1085,'Datos - Catálogo TIMSS'!$A$5:$A$107,0)),"No")="Sí"),1,0)</f>
        <v/>
      </c>
      <c r="Y1085" s="11">
        <f>IF(IFERROR(INDEX('Datos - Catálogo TIMSS'!$J$5:$J$107,MATCH(K1085,'Datos - Catálogo TIMSS'!$A$5:$A$107,0)),"No")="Sí",1,0)</f>
        <v/>
      </c>
      <c r="Z1085" s="11">
        <f>IF(IFERROR(INDEX('Datos - Catálogo TIMSS'!$J$5:$J$107,MATCH(L1085,'Datos - Catálogo TIMSS'!$A$5:$A$107,0)),"No")="Sí",1,0)</f>
        <v/>
      </c>
      <c r="AA1085" s="11" t="inlineStr">
        <is>
          <t>N/A</t>
        </is>
      </c>
      <c r="AB1085" s="11" t="inlineStr"/>
      <c r="AC1085" s="11">
        <f>IF(AA1085="FUERA","Fuera del marco",IF(AA1085="N/A","Sin marco",IFERROR(INDEX('Datos - TIMSS 2023'!$C$5:$C$105,MATCH(AA1085,'Datos - TIMSS 2023'!$A$5:$A$105,0)),"Pendiente de clasificar")))</f>
        <v/>
      </c>
      <c r="AD1085" s="11" t="inlineStr">
        <is>
          <t>1. Explicar fenómenos científicamente</t>
        </is>
      </c>
      <c r="AE1085" s="11">
        <f>IF(AD1085="","",IF(LEFT(AD1085,1)="1","C1",IF(LEFT(AD1085,1)="2","C2",IF(LEFT(AD1085,1)="3","C3",""))))</f>
        <v/>
      </c>
      <c r="AF1085" s="11" t="inlineStr">
        <is>
          <t>E1</t>
        </is>
      </c>
      <c r="AG1085" s="11" t="inlineStr">
        <is>
          <t>E3</t>
        </is>
      </c>
      <c r="AH1085" s="11" t="inlineStr">
        <is>
          <t>E4</t>
        </is>
      </c>
      <c r="AI1085" s="11" t="inlineStr">
        <is>
          <t>D4</t>
        </is>
      </c>
      <c r="AJ1085" s="11" t="inlineStr">
        <is>
          <t>E6</t>
        </is>
      </c>
      <c r="AK1085" s="11" t="n"/>
      <c r="AL1085" s="11" t="n"/>
      <c r="AM1085" s="11" t="n"/>
      <c r="AN1085" s="11" t="n"/>
      <c r="AO1085" s="11" t="n"/>
      <c r="AP1085" s="11" t="n"/>
      <c r="AQ1085" s="11" t="n"/>
      <c r="AR1085" s="11" t="n"/>
      <c r="AS1085" s="11" t="n"/>
      <c r="AT1085" s="11" t="n"/>
      <c r="AU1085" s="11" t="n"/>
      <c r="AV1085" s="11" t="n"/>
      <c r="AW1085" s="11">
        <f>AF1085&amp;"; "&amp;AG1085&amp;"; "&amp;AH1085&amp;"; "&amp;AI1085&amp;"; "&amp;AJ1085</f>
        <v/>
      </c>
    </row>
    <row r="1086">
      <c r="A1086" s="11" t="inlineStr">
        <is>
          <t>T0622-G11-QUÍ</t>
        </is>
      </c>
      <c r="B1086" s="11" t="n">
        <v>11</v>
      </c>
      <c r="C1086" s="11" t="inlineStr">
        <is>
          <t>Química</t>
        </is>
      </c>
      <c r="D1086" s="11" t="inlineStr">
        <is>
          <t>Matriz_Bachillerato_Quimica_10_11.xlsx</t>
        </is>
      </c>
      <c r="E1086" s="11" t="inlineStr">
        <is>
          <t>Química 11.°</t>
        </is>
      </c>
      <c r="F1086" s="11" t="n">
        <v>83</v>
      </c>
      <c r="G1086" s="11" t="inlineStr">
        <is>
          <t>9. Compuestos del carbono</t>
        </is>
      </c>
      <c r="H1086" s="11" t="inlineStr">
        <is>
          <t>Uso seguro de compuestos orgánicos</t>
        </is>
      </c>
      <c r="I1086" s="38" t="inlineStr">
        <is>
          <t>9.7. Análisis del uso adecuado y seguro de compuestos orgánicos a partir de su estructura, sus pictogramas de peligro y su impacto ambiental.</t>
        </is>
      </c>
      <c r="J1086" s="11" t="inlineStr">
        <is>
          <t>Sin marco</t>
        </is>
      </c>
      <c r="K1086" s="11" t="inlineStr">
        <is>
          <t>N/A</t>
        </is>
      </c>
      <c r="L1086" s="11" t="inlineStr"/>
      <c r="M1086" s="11">
        <f>IF(K1086="FUERA","Fuera del marco",IF(K1086="N/A","Sin marco",IFERROR(INDEX('Datos - Catálogo TIMSS'!$C$5:$C$107,MATCH(K1086,'Datos - Catálogo TIMSS'!$A$5:$A$107,0)),"Pendiente de clasificar")))</f>
        <v/>
      </c>
      <c r="N1086" s="11">
        <f>IF(K1086="FUERA","Fuera del marco",IF(K1086="N/A","Sin marco",IFERROR(INDEX('Datos - Catálogo TIMSS'!$F$5:$F$107,MATCH(K1086,'Datos - Catálogo TIMSS'!$A$5:$A$107,0)),"Pendiente de clasificar")))</f>
        <v/>
      </c>
      <c r="O1086" s="11">
        <f>IF(L1086="","",IFERROR(INDEX('Datos - Catálogo TIMSS'!$C$5:$C$107,MATCH(L1086,'Datos - Catálogo TIMSS'!$A$5:$A$107,0)),"?"))</f>
        <v/>
      </c>
      <c r="P1086" s="11" t="inlineStr">
        <is>
          <t>N/A</t>
        </is>
      </c>
      <c r="Q1086" s="38" t="inlineStr">
        <is>
          <t>Sin marco TIMSS de contenido para esta asignatura en Bachillerato</t>
        </is>
      </c>
      <c r="R1086" s="38" t="inlineStr">
        <is>
          <t>Conocer: interpretar pictogramas. Razonar: justificar normas de seguridad con la estructura y los peligros</t>
        </is>
      </c>
      <c r="S1086" s="39">
        <f>IFERROR(ISNUMBER(SEARCH("Conocer",$R1086))/(ISNUMBER(SEARCH("Conocer",$R1086))+ISNUMBER(SEARCH("Aplicar",$R1086))+ISNUMBER(SEARCH("Razonar",$R1086))),0)</f>
        <v/>
      </c>
      <c r="T1086" s="39">
        <f>IFERROR(ISNUMBER(SEARCH("Aplicar",$R1086))/(ISNUMBER(SEARCH("Conocer",$R1086))+ISNUMBER(SEARCH("Aplicar",$R1086))+ISNUMBER(SEARCH("Razonar",$R1086))),0)</f>
        <v/>
      </c>
      <c r="U1086" s="39">
        <f>IFERROR(ISNUMBER(SEARCH("Razonar",$R1086))/(ISNUMBER(SEARCH("Conocer",$R1086))+ISNUMBER(SEARCH("Aplicar",$R1086))+ISNUMBER(SEARCH("Razonar",$R1086))),0)</f>
        <v/>
      </c>
      <c r="V1086" s="11" t="inlineStr">
        <is>
          <t>Química 11°</t>
        </is>
      </c>
      <c r="W1086" s="11" t="inlineStr">
        <is>
          <t>Química 10°–11°</t>
        </is>
      </c>
      <c r="X1086" s="11">
        <f>IF(OR(IFERROR(INDEX('Datos - Catálogo TIMSS'!$I$5:$I$107,MATCH(K1086,'Datos - Catálogo TIMSS'!$A$5:$A$107,0)),"No")="Sí",IFERROR(INDEX('Datos - Catálogo TIMSS'!$I$5:$I$107,MATCH(L1086,'Datos - Catálogo TIMSS'!$A$5:$A$107,0)),"No")="Sí"),1,0)</f>
        <v/>
      </c>
      <c r="Y1086" s="11">
        <f>IF(IFERROR(INDEX('Datos - Catálogo TIMSS'!$J$5:$J$107,MATCH(K1086,'Datos - Catálogo TIMSS'!$A$5:$A$107,0)),"No")="Sí",1,0)</f>
        <v/>
      </c>
      <c r="Z1086" s="11">
        <f>IF(IFERROR(INDEX('Datos - Catálogo TIMSS'!$J$5:$J$107,MATCH(L1086,'Datos - Catálogo TIMSS'!$A$5:$A$107,0)),"No")="Sí",1,0)</f>
        <v/>
      </c>
      <c r="AA1086" s="11" t="inlineStr">
        <is>
          <t>N/A</t>
        </is>
      </c>
      <c r="AB1086" s="11" t="inlineStr"/>
      <c r="AC1086" s="11">
        <f>IF(AA1086="FUERA","Fuera del marco",IF(AA1086="N/A","Sin marco",IFERROR(INDEX('Datos - TIMSS 2023'!$C$5:$C$105,MATCH(AA1086,'Datos - TIMSS 2023'!$A$5:$A$105,0)),"Pendiente de clasificar")))</f>
        <v/>
      </c>
      <c r="AD1086" s="11" t="inlineStr">
        <is>
          <t>3. Investigar, evaluar y usar información científica para tomar decisiones y actuar</t>
        </is>
      </c>
      <c r="AE1086" s="11">
        <f>IF(AD1086="","",IF(LEFT(AD1086,1)="1","C1",IF(LEFT(AD1086,1)="2","C2",IF(LEFT(AD1086,1)="3","C3",""))))</f>
        <v/>
      </c>
      <c r="AF1086" s="11" t="inlineStr">
        <is>
          <t>E6</t>
        </is>
      </c>
      <c r="AG1086" s="11" t="inlineStr">
        <is>
          <t>D1</t>
        </is>
      </c>
      <c r="AH1086" s="11" t="inlineStr">
        <is>
          <t>E1</t>
        </is>
      </c>
      <c r="AI1086" s="11" t="inlineStr">
        <is>
          <t>I1</t>
        </is>
      </c>
      <c r="AJ1086" s="11" t="inlineStr">
        <is>
          <t>I5</t>
        </is>
      </c>
      <c r="AK1086" s="11" t="n"/>
      <c r="AL1086" s="11" t="n"/>
      <c r="AM1086" s="11" t="n"/>
      <c r="AN1086" s="11" t="n"/>
      <c r="AO1086" s="11" t="n"/>
      <c r="AP1086" s="11" t="n"/>
      <c r="AQ1086" s="11" t="n"/>
      <c r="AR1086" s="11" t="n"/>
      <c r="AS1086" s="11" t="n"/>
      <c r="AT1086" s="11" t="n"/>
      <c r="AU1086" s="11" t="n"/>
      <c r="AV1086" s="11" t="n"/>
      <c r="AW1086" s="11">
        <f>AF1086&amp;"; "&amp;AG1086&amp;"; "&amp;AH1086&amp;"; "&amp;AI1086&amp;"; "&amp;AJ1086</f>
        <v/>
      </c>
    </row>
    <row r="1087">
      <c r="A1087" s="11" t="inlineStr">
        <is>
          <t>T0623-G11-QUÍ</t>
        </is>
      </c>
      <c r="B1087" s="11" t="n">
        <v>11</v>
      </c>
      <c r="C1087" s="11" t="inlineStr">
        <is>
          <t>Química</t>
        </is>
      </c>
      <c r="D1087" s="11" t="inlineStr">
        <is>
          <t>Matriz_Bachillerato_Quimica_10_11.xlsx</t>
        </is>
      </c>
      <c r="E1087" s="11" t="inlineStr">
        <is>
          <t>Química 11.°</t>
        </is>
      </c>
      <c r="F1087" s="11" t="n">
        <v>84</v>
      </c>
      <c r="G1087" s="11" t="inlineStr">
        <is>
          <t>10. Polímeros y macromoléculas</t>
        </is>
      </c>
      <c r="H1087" s="11" t="inlineStr">
        <is>
          <t>Reacciones de polimerización</t>
        </is>
      </c>
      <c r="I1087" s="38" t="inlineStr">
        <is>
          <t>10.1. Representación de las etapas de la polimerización por adición por radicales libres y relación de las propiedades de los polímeros de adición con sus usos.</t>
        </is>
      </c>
      <c r="J1087" s="11" t="inlineStr">
        <is>
          <t>Sin marco</t>
        </is>
      </c>
      <c r="K1087" s="11" t="inlineStr">
        <is>
          <t>N/A</t>
        </is>
      </c>
      <c r="L1087" s="11" t="inlineStr"/>
      <c r="M1087" s="11">
        <f>IF(K1087="FUERA","Fuera del marco",IF(K1087="N/A","Sin marco",IFERROR(INDEX('Datos - Catálogo TIMSS'!$C$5:$C$107,MATCH(K1087,'Datos - Catálogo TIMSS'!$A$5:$A$107,0)),"Pendiente de clasificar")))</f>
        <v/>
      </c>
      <c r="N1087" s="11">
        <f>IF(K1087="FUERA","Fuera del marco",IF(K1087="N/A","Sin marco",IFERROR(INDEX('Datos - Catálogo TIMSS'!$F$5:$F$107,MATCH(K1087,'Datos - Catálogo TIMSS'!$A$5:$A$107,0)),"Pendiente de clasificar")))</f>
        <v/>
      </c>
      <c r="O1087" s="11">
        <f>IF(L1087="","",IFERROR(INDEX('Datos - Catálogo TIMSS'!$C$5:$C$107,MATCH(L1087,'Datos - Catálogo TIMSS'!$A$5:$A$107,0)),"?"))</f>
        <v/>
      </c>
      <c r="P1087" s="11" t="inlineStr">
        <is>
          <t>N/A</t>
        </is>
      </c>
      <c r="Q1087" s="38" t="inlineStr">
        <is>
          <t>Sin marco TIMSS de contenido para esta asignatura en Bachillerato</t>
        </is>
      </c>
      <c r="R1087" s="38" t="inlineStr">
        <is>
          <t>Aplicar: escribir ecuaciones de polimerización. Razonar: relacionar el sustituyente con las propiedades</t>
        </is>
      </c>
      <c r="S1087" s="39">
        <f>IFERROR(ISNUMBER(SEARCH("Conocer",$R1087))/(ISNUMBER(SEARCH("Conocer",$R1087))+ISNUMBER(SEARCH("Aplicar",$R1087))+ISNUMBER(SEARCH("Razonar",$R1087))),0)</f>
        <v/>
      </c>
      <c r="T1087" s="39">
        <f>IFERROR(ISNUMBER(SEARCH("Aplicar",$R1087))/(ISNUMBER(SEARCH("Conocer",$R1087))+ISNUMBER(SEARCH("Aplicar",$R1087))+ISNUMBER(SEARCH("Razonar",$R1087))),0)</f>
        <v/>
      </c>
      <c r="U1087" s="39">
        <f>IFERROR(ISNUMBER(SEARCH("Razonar",$R1087))/(ISNUMBER(SEARCH("Conocer",$R1087))+ISNUMBER(SEARCH("Aplicar",$R1087))+ISNUMBER(SEARCH("Razonar",$R1087))),0)</f>
        <v/>
      </c>
      <c r="V1087" s="11" t="inlineStr">
        <is>
          <t>Química 11°</t>
        </is>
      </c>
      <c r="W1087" s="11" t="inlineStr">
        <is>
          <t>Química 10°–11°</t>
        </is>
      </c>
      <c r="X1087" s="11">
        <f>IF(OR(IFERROR(INDEX('Datos - Catálogo TIMSS'!$I$5:$I$107,MATCH(K1087,'Datos - Catálogo TIMSS'!$A$5:$A$107,0)),"No")="Sí",IFERROR(INDEX('Datos - Catálogo TIMSS'!$I$5:$I$107,MATCH(L1087,'Datos - Catálogo TIMSS'!$A$5:$A$107,0)),"No")="Sí"),1,0)</f>
        <v/>
      </c>
      <c r="Y1087" s="11">
        <f>IF(IFERROR(INDEX('Datos - Catálogo TIMSS'!$J$5:$J$107,MATCH(K1087,'Datos - Catálogo TIMSS'!$A$5:$A$107,0)),"No")="Sí",1,0)</f>
        <v/>
      </c>
      <c r="Z1087" s="11">
        <f>IF(IFERROR(INDEX('Datos - Catálogo TIMSS'!$J$5:$J$107,MATCH(L1087,'Datos - Catálogo TIMSS'!$A$5:$A$107,0)),"No")="Sí",1,0)</f>
        <v/>
      </c>
      <c r="AA1087" s="11" t="inlineStr">
        <is>
          <t>N/A</t>
        </is>
      </c>
      <c r="AB1087" s="11" t="inlineStr"/>
      <c r="AC1087" s="11">
        <f>IF(AA1087="FUERA","Fuera del marco",IF(AA1087="N/A","Sin marco",IFERROR(INDEX('Datos - TIMSS 2023'!$C$5:$C$105,MATCH(AA1087,'Datos - TIMSS 2023'!$A$5:$A$105,0)),"Pendiente de clasificar")))</f>
        <v/>
      </c>
      <c r="AD1087" s="11" t="inlineStr">
        <is>
          <t>1. Explicar fenómenos científicamente</t>
        </is>
      </c>
      <c r="AE1087" s="11">
        <f>IF(AD1087="","",IF(LEFT(AD1087,1)="1","C1",IF(LEFT(AD1087,1)="2","C2",IF(LEFT(AD1087,1)="3","C3",""))))</f>
        <v/>
      </c>
      <c r="AF1087" s="11" t="inlineStr">
        <is>
          <t>E1</t>
        </is>
      </c>
      <c r="AG1087" s="11" t="inlineStr">
        <is>
          <t>E5</t>
        </is>
      </c>
      <c r="AH1087" s="11" t="inlineStr">
        <is>
          <t>E4</t>
        </is>
      </c>
      <c r="AI1087" s="11" t="inlineStr">
        <is>
          <t>D4</t>
        </is>
      </c>
      <c r="AJ1087" s="11" t="inlineStr">
        <is>
          <t>E3</t>
        </is>
      </c>
      <c r="AK1087" s="11" t="n"/>
      <c r="AL1087" s="11" t="n"/>
      <c r="AM1087" s="11" t="n"/>
      <c r="AN1087" s="11" t="n"/>
      <c r="AO1087" s="11" t="n"/>
      <c r="AP1087" s="11" t="n"/>
      <c r="AQ1087" s="11" t="n"/>
      <c r="AR1087" s="11" t="n"/>
      <c r="AS1087" s="11" t="n"/>
      <c r="AT1087" s="11" t="n"/>
      <c r="AU1087" s="11" t="n"/>
      <c r="AV1087" s="11" t="n"/>
      <c r="AW1087" s="11">
        <f>AF1087&amp;"; "&amp;AG1087&amp;"; "&amp;AH1087&amp;"; "&amp;AI1087&amp;"; "&amp;AJ1087</f>
        <v/>
      </c>
    </row>
    <row r="1088">
      <c r="A1088" s="11" t="inlineStr">
        <is>
          <t>T0624-G11-QUÍ</t>
        </is>
      </c>
      <c r="B1088" s="11" t="n">
        <v>11</v>
      </c>
      <c r="C1088" s="11" t="inlineStr">
        <is>
          <t>Química</t>
        </is>
      </c>
      <c r="D1088" s="11" t="inlineStr">
        <is>
          <t>Matriz_Bachillerato_Quimica_10_11.xlsx</t>
        </is>
      </c>
      <c r="E1088" s="11" t="inlineStr">
        <is>
          <t>Química 11.°</t>
        </is>
      </c>
      <c r="F1088" s="11" t="n">
        <v>85</v>
      </c>
      <c r="G1088" s="11" t="inlineStr">
        <is>
          <t>10. Polímeros y macromoléculas</t>
        </is>
      </c>
      <c r="H1088" s="11" t="inlineStr">
        <is>
          <t>Reacciones de polimerización</t>
        </is>
      </c>
      <c r="I1088" s="38" t="inlineStr">
        <is>
          <t>10.2. Representación de la formación de polímeros de condensación a partir de monómeros bifuncionales y comparación con la polimerización por adición.</t>
        </is>
      </c>
      <c r="J1088" s="11" t="inlineStr">
        <is>
          <t>Sin marco</t>
        </is>
      </c>
      <c r="K1088" s="11" t="inlineStr">
        <is>
          <t>N/A</t>
        </is>
      </c>
      <c r="L1088" s="11" t="inlineStr"/>
      <c r="M1088" s="11">
        <f>IF(K1088="FUERA","Fuera del marco",IF(K1088="N/A","Sin marco",IFERROR(INDEX('Datos - Catálogo TIMSS'!$C$5:$C$107,MATCH(K1088,'Datos - Catálogo TIMSS'!$A$5:$A$107,0)),"Pendiente de clasificar")))</f>
        <v/>
      </c>
      <c r="N1088" s="11">
        <f>IF(K1088="FUERA","Fuera del marco",IF(K1088="N/A","Sin marco",IFERROR(INDEX('Datos - Catálogo TIMSS'!$F$5:$F$107,MATCH(K1088,'Datos - Catálogo TIMSS'!$A$5:$A$107,0)),"Pendiente de clasificar")))</f>
        <v/>
      </c>
      <c r="O1088" s="11">
        <f>IF(L1088="","",IFERROR(INDEX('Datos - Catálogo TIMSS'!$C$5:$C$107,MATCH(L1088,'Datos - Catálogo TIMSS'!$A$5:$A$107,0)),"?"))</f>
        <v/>
      </c>
      <c r="P1088" s="11" t="inlineStr">
        <is>
          <t>N/A</t>
        </is>
      </c>
      <c r="Q1088" s="38" t="inlineStr">
        <is>
          <t>Sin marco TIMSS de contenido para esta asignatura en Bachillerato</t>
        </is>
      </c>
      <c r="R1088" s="38" t="inlineStr">
        <is>
          <t>Aplicar: representar polimerizaciones por condensación. Razonar: comparar mecanismos de polimerización</t>
        </is>
      </c>
      <c r="S1088" s="39">
        <f>IFERROR(ISNUMBER(SEARCH("Conocer",$R1088))/(ISNUMBER(SEARCH("Conocer",$R1088))+ISNUMBER(SEARCH("Aplicar",$R1088))+ISNUMBER(SEARCH("Razonar",$R1088))),0)</f>
        <v/>
      </c>
      <c r="T1088" s="39">
        <f>IFERROR(ISNUMBER(SEARCH("Aplicar",$R1088))/(ISNUMBER(SEARCH("Conocer",$R1088))+ISNUMBER(SEARCH("Aplicar",$R1088))+ISNUMBER(SEARCH("Razonar",$R1088))),0)</f>
        <v/>
      </c>
      <c r="U1088" s="39">
        <f>IFERROR(ISNUMBER(SEARCH("Razonar",$R1088))/(ISNUMBER(SEARCH("Conocer",$R1088))+ISNUMBER(SEARCH("Aplicar",$R1088))+ISNUMBER(SEARCH("Razonar",$R1088))),0)</f>
        <v/>
      </c>
      <c r="V1088" s="11" t="inlineStr">
        <is>
          <t>Química 11°</t>
        </is>
      </c>
      <c r="W1088" s="11" t="inlineStr">
        <is>
          <t>Química 10°–11°</t>
        </is>
      </c>
      <c r="X1088" s="11">
        <f>IF(OR(IFERROR(INDEX('Datos - Catálogo TIMSS'!$I$5:$I$107,MATCH(K1088,'Datos - Catálogo TIMSS'!$A$5:$A$107,0)),"No")="Sí",IFERROR(INDEX('Datos - Catálogo TIMSS'!$I$5:$I$107,MATCH(L1088,'Datos - Catálogo TIMSS'!$A$5:$A$107,0)),"No")="Sí"),1,0)</f>
        <v/>
      </c>
      <c r="Y1088" s="11">
        <f>IF(IFERROR(INDEX('Datos - Catálogo TIMSS'!$J$5:$J$107,MATCH(K1088,'Datos - Catálogo TIMSS'!$A$5:$A$107,0)),"No")="Sí",1,0)</f>
        <v/>
      </c>
      <c r="Z1088" s="11">
        <f>IF(IFERROR(INDEX('Datos - Catálogo TIMSS'!$J$5:$J$107,MATCH(L1088,'Datos - Catálogo TIMSS'!$A$5:$A$107,0)),"No")="Sí",1,0)</f>
        <v/>
      </c>
      <c r="AA1088" s="11" t="inlineStr">
        <is>
          <t>N/A</t>
        </is>
      </c>
      <c r="AB1088" s="11" t="inlineStr"/>
      <c r="AC1088" s="11">
        <f>IF(AA1088="FUERA","Fuera del marco",IF(AA1088="N/A","Sin marco",IFERROR(INDEX('Datos - TIMSS 2023'!$C$5:$C$105,MATCH(AA1088,'Datos - TIMSS 2023'!$A$5:$A$105,0)),"Pendiente de clasificar")))</f>
        <v/>
      </c>
      <c r="AD1088" s="11" t="inlineStr">
        <is>
          <t>1. Explicar fenómenos científicamente</t>
        </is>
      </c>
      <c r="AE1088" s="11">
        <f>IF(AD1088="","",IF(LEFT(AD1088,1)="1","C1",IF(LEFT(AD1088,1)="2","C2",IF(LEFT(AD1088,1)="3","C3",""))))</f>
        <v/>
      </c>
      <c r="AF1088" s="11" t="inlineStr">
        <is>
          <t>E1</t>
        </is>
      </c>
      <c r="AG1088" s="11" t="inlineStr">
        <is>
          <t>D1</t>
        </is>
      </c>
      <c r="AH1088" s="11" t="inlineStr">
        <is>
          <t>E2</t>
        </is>
      </c>
      <c r="AI1088" s="11" t="inlineStr">
        <is>
          <t>D4</t>
        </is>
      </c>
      <c r="AJ1088" s="11" t="inlineStr">
        <is>
          <t>E3</t>
        </is>
      </c>
      <c r="AK1088" s="11" t="n"/>
      <c r="AL1088" s="11" t="n"/>
      <c r="AM1088" s="11" t="n"/>
      <c r="AN1088" s="11" t="n"/>
      <c r="AO1088" s="11" t="n"/>
      <c r="AP1088" s="11" t="n"/>
      <c r="AQ1088" s="11" t="n"/>
      <c r="AR1088" s="11" t="n"/>
      <c r="AS1088" s="11" t="n"/>
      <c r="AT1088" s="11" t="n"/>
      <c r="AU1088" s="11" t="n"/>
      <c r="AV1088" s="11" t="n"/>
      <c r="AW1088" s="11">
        <f>AF1088&amp;"; "&amp;AG1088&amp;"; "&amp;AH1088&amp;"; "&amp;AI1088&amp;"; "&amp;AJ1088</f>
        <v/>
      </c>
    </row>
    <row r="1089">
      <c r="A1089" s="11" t="inlineStr">
        <is>
          <t>T0625-G11-QUÍ</t>
        </is>
      </c>
      <c r="B1089" s="11" t="n">
        <v>11</v>
      </c>
      <c r="C1089" s="11" t="inlineStr">
        <is>
          <t>Química</t>
        </is>
      </c>
      <c r="D1089" s="11" t="inlineStr">
        <is>
          <t>Matriz_Bachillerato_Quimica_10_11.xlsx</t>
        </is>
      </c>
      <c r="E1089" s="11" t="inlineStr">
        <is>
          <t>Química 11.°</t>
        </is>
      </c>
      <c r="F1089" s="11" t="n">
        <v>86</v>
      </c>
      <c r="G1089" s="11" t="inlineStr">
        <is>
          <t>10. Polímeros y macromoléculas</t>
        </is>
      </c>
      <c r="H1089" s="11" t="inlineStr">
        <is>
          <t>Estructura y propiedades de los polímeros</t>
        </is>
      </c>
      <c r="I1089" s="38" t="inlineStr">
        <is>
          <t>10.3. Relación entre la estructura espacial de los polímeros, su cristalinidad y sus propiedades físicas.</t>
        </is>
      </c>
      <c r="J1089" s="11" t="inlineStr">
        <is>
          <t>Sin marco</t>
        </is>
      </c>
      <c r="K1089" s="11" t="inlineStr">
        <is>
          <t>N/A</t>
        </is>
      </c>
      <c r="L1089" s="11" t="inlineStr"/>
      <c r="M1089" s="11">
        <f>IF(K1089="FUERA","Fuera del marco",IF(K1089="N/A","Sin marco",IFERROR(INDEX('Datos - Catálogo TIMSS'!$C$5:$C$107,MATCH(K1089,'Datos - Catálogo TIMSS'!$A$5:$A$107,0)),"Pendiente de clasificar")))</f>
        <v/>
      </c>
      <c r="N1089" s="11">
        <f>IF(K1089="FUERA","Fuera del marco",IF(K1089="N/A","Sin marco",IFERROR(INDEX('Datos - Catálogo TIMSS'!$F$5:$F$107,MATCH(K1089,'Datos - Catálogo TIMSS'!$A$5:$A$107,0)),"Pendiente de clasificar")))</f>
        <v/>
      </c>
      <c r="O1089" s="11">
        <f>IF(L1089="","",IFERROR(INDEX('Datos - Catálogo TIMSS'!$C$5:$C$107,MATCH(L1089,'Datos - Catálogo TIMSS'!$A$5:$A$107,0)),"?"))</f>
        <v/>
      </c>
      <c r="P1089" s="11" t="inlineStr">
        <is>
          <t>N/A</t>
        </is>
      </c>
      <c r="Q1089" s="38" t="inlineStr">
        <is>
          <t>Sin marco TIMSS de contenido para esta asignatura en Bachillerato</t>
        </is>
      </c>
      <c r="R1089" s="38" t="inlineStr">
        <is>
          <t>Aplicar: relacionar estructura y propiedades. Razonar: interpretar datos y predecir el comportamiento térmico</t>
        </is>
      </c>
      <c r="S1089" s="39">
        <f>IFERROR(ISNUMBER(SEARCH("Conocer",$R1089))/(ISNUMBER(SEARCH("Conocer",$R1089))+ISNUMBER(SEARCH("Aplicar",$R1089))+ISNUMBER(SEARCH("Razonar",$R1089))),0)</f>
        <v/>
      </c>
      <c r="T1089" s="39">
        <f>IFERROR(ISNUMBER(SEARCH("Aplicar",$R1089))/(ISNUMBER(SEARCH("Conocer",$R1089))+ISNUMBER(SEARCH("Aplicar",$R1089))+ISNUMBER(SEARCH("Razonar",$R1089))),0)</f>
        <v/>
      </c>
      <c r="U1089" s="39">
        <f>IFERROR(ISNUMBER(SEARCH("Razonar",$R1089))/(ISNUMBER(SEARCH("Conocer",$R1089))+ISNUMBER(SEARCH("Aplicar",$R1089))+ISNUMBER(SEARCH("Razonar",$R1089))),0)</f>
        <v/>
      </c>
      <c r="V1089" s="11" t="inlineStr">
        <is>
          <t>Química 11°</t>
        </is>
      </c>
      <c r="W1089" s="11" t="inlineStr">
        <is>
          <t>Química 10°–11°</t>
        </is>
      </c>
      <c r="X1089" s="11">
        <f>IF(OR(IFERROR(INDEX('Datos - Catálogo TIMSS'!$I$5:$I$107,MATCH(K1089,'Datos - Catálogo TIMSS'!$A$5:$A$107,0)),"No")="Sí",IFERROR(INDEX('Datos - Catálogo TIMSS'!$I$5:$I$107,MATCH(L1089,'Datos - Catálogo TIMSS'!$A$5:$A$107,0)),"No")="Sí"),1,0)</f>
        <v/>
      </c>
      <c r="Y1089" s="11">
        <f>IF(IFERROR(INDEX('Datos - Catálogo TIMSS'!$J$5:$J$107,MATCH(K1089,'Datos - Catálogo TIMSS'!$A$5:$A$107,0)),"No")="Sí",1,0)</f>
        <v/>
      </c>
      <c r="Z1089" s="11">
        <f>IF(IFERROR(INDEX('Datos - Catálogo TIMSS'!$J$5:$J$107,MATCH(L1089,'Datos - Catálogo TIMSS'!$A$5:$A$107,0)),"No")="Sí",1,0)</f>
        <v/>
      </c>
      <c r="AA1089" s="11" t="inlineStr">
        <is>
          <t>N/A</t>
        </is>
      </c>
      <c r="AB1089" s="11" t="inlineStr"/>
      <c r="AC1089" s="11">
        <f>IF(AA1089="FUERA","Fuera del marco",IF(AA1089="N/A","Sin marco",IFERROR(INDEX('Datos - TIMSS 2023'!$C$5:$C$105,MATCH(AA1089,'Datos - TIMSS 2023'!$A$5:$A$105,0)),"Pendiente de clasificar")))</f>
        <v/>
      </c>
      <c r="AD1089" s="11" t="inlineStr">
        <is>
          <t>1. Explicar fenómenos científicamente</t>
        </is>
      </c>
      <c r="AE1089" s="11">
        <f>IF(AD1089="","",IF(LEFT(AD1089,1)="1","C1",IF(LEFT(AD1089,1)="2","C2",IF(LEFT(AD1089,1)="3","C3",""))))</f>
        <v/>
      </c>
      <c r="AF1089" s="11" t="inlineStr">
        <is>
          <t>E1</t>
        </is>
      </c>
      <c r="AG1089" s="11" t="inlineStr">
        <is>
          <t>E3</t>
        </is>
      </c>
      <c r="AH1089" s="11" t="inlineStr">
        <is>
          <t>E4</t>
        </is>
      </c>
      <c r="AI1089" s="11" t="inlineStr">
        <is>
          <t>D4</t>
        </is>
      </c>
      <c r="AJ1089" s="11" t="inlineStr">
        <is>
          <t>E3</t>
        </is>
      </c>
      <c r="AK1089" s="11" t="n"/>
      <c r="AL1089" s="11" t="n"/>
      <c r="AM1089" s="11" t="n"/>
      <c r="AN1089" s="11" t="n"/>
      <c r="AO1089" s="11" t="n"/>
      <c r="AP1089" s="11" t="n"/>
      <c r="AQ1089" s="11" t="n"/>
      <c r="AR1089" s="11" t="n"/>
      <c r="AS1089" s="11" t="n"/>
      <c r="AT1089" s="11" t="n"/>
      <c r="AU1089" s="11" t="n"/>
      <c r="AV1089" s="11" t="n"/>
      <c r="AW1089" s="11">
        <f>AF1089&amp;"; "&amp;AG1089&amp;"; "&amp;AH1089&amp;"; "&amp;AI1089&amp;"; "&amp;AJ1089</f>
        <v/>
      </c>
    </row>
    <row r="1090">
      <c r="A1090" s="11" t="inlineStr">
        <is>
          <t>T0626-G11-QUÍ</t>
        </is>
      </c>
      <c r="B1090" s="11" t="n">
        <v>11</v>
      </c>
      <c r="C1090" s="11" t="inlineStr">
        <is>
          <t>Química</t>
        </is>
      </c>
      <c r="D1090" s="11" t="inlineStr">
        <is>
          <t>Matriz_Bachillerato_Quimica_10_11.xlsx</t>
        </is>
      </c>
      <c r="E1090" s="11" t="inlineStr">
        <is>
          <t>Química 11.°</t>
        </is>
      </c>
      <c r="F1090" s="11" t="n">
        <v>87</v>
      </c>
      <c r="G1090" s="11" t="inlineStr">
        <is>
          <t>10. Polímeros y macromoléculas</t>
        </is>
      </c>
      <c r="H1090" s="11" t="inlineStr">
        <is>
          <t>Polímeros y ambiente</t>
        </is>
      </c>
      <c r="I1090" s="38" t="inlineStr">
        <is>
          <t>10.4. Clasificación de los plásticos según su capacidad de degradación y análisis de las alternativas de reciclaje de polímeros.</t>
        </is>
      </c>
      <c r="J1090" s="11" t="inlineStr">
        <is>
          <t>Sin marco</t>
        </is>
      </c>
      <c r="K1090" s="11" t="inlineStr">
        <is>
          <t>N/A</t>
        </is>
      </c>
      <c r="L1090" s="11" t="inlineStr"/>
      <c r="M1090" s="11">
        <f>IF(K1090="FUERA","Fuera del marco",IF(K1090="N/A","Sin marco",IFERROR(INDEX('Datos - Catálogo TIMSS'!$C$5:$C$107,MATCH(K1090,'Datos - Catálogo TIMSS'!$A$5:$A$107,0)),"Pendiente de clasificar")))</f>
        <v/>
      </c>
      <c r="N1090" s="11">
        <f>IF(K1090="FUERA","Fuera del marco",IF(K1090="N/A","Sin marco",IFERROR(INDEX('Datos - Catálogo TIMSS'!$F$5:$F$107,MATCH(K1090,'Datos - Catálogo TIMSS'!$A$5:$A$107,0)),"Pendiente de clasificar")))</f>
        <v/>
      </c>
      <c r="O1090" s="11">
        <f>IF(L1090="","",IFERROR(INDEX('Datos - Catálogo TIMSS'!$C$5:$C$107,MATCH(L1090,'Datos - Catálogo TIMSS'!$A$5:$A$107,0)),"?"))</f>
        <v/>
      </c>
      <c r="P1090" s="11" t="inlineStr">
        <is>
          <t>N/A</t>
        </is>
      </c>
      <c r="Q1090" s="38" t="inlineStr">
        <is>
          <t>Sin marco TIMSS de contenido para esta asignatura en Bachillerato</t>
        </is>
      </c>
      <c r="R1090" s="38" t="inlineStr">
        <is>
          <t>Conocer: clasificar plásticos. Razonar: evaluar la biodegradabilidad y el reciclaje con criterios químicos</t>
        </is>
      </c>
      <c r="S1090" s="39">
        <f>IFERROR(ISNUMBER(SEARCH("Conocer",$R1090))/(ISNUMBER(SEARCH("Conocer",$R1090))+ISNUMBER(SEARCH("Aplicar",$R1090))+ISNUMBER(SEARCH("Razonar",$R1090))),0)</f>
        <v/>
      </c>
      <c r="T1090" s="39">
        <f>IFERROR(ISNUMBER(SEARCH("Aplicar",$R1090))/(ISNUMBER(SEARCH("Conocer",$R1090))+ISNUMBER(SEARCH("Aplicar",$R1090))+ISNUMBER(SEARCH("Razonar",$R1090))),0)</f>
        <v/>
      </c>
      <c r="U1090" s="39">
        <f>IFERROR(ISNUMBER(SEARCH("Razonar",$R1090))/(ISNUMBER(SEARCH("Conocer",$R1090))+ISNUMBER(SEARCH("Aplicar",$R1090))+ISNUMBER(SEARCH("Razonar",$R1090))),0)</f>
        <v/>
      </c>
      <c r="V1090" s="11" t="inlineStr">
        <is>
          <t>Química 11°</t>
        </is>
      </c>
      <c r="W1090" s="11" t="inlineStr">
        <is>
          <t>Química 10°–11°</t>
        </is>
      </c>
      <c r="X1090" s="11">
        <f>IF(OR(IFERROR(INDEX('Datos - Catálogo TIMSS'!$I$5:$I$107,MATCH(K1090,'Datos - Catálogo TIMSS'!$A$5:$A$107,0)),"No")="Sí",IFERROR(INDEX('Datos - Catálogo TIMSS'!$I$5:$I$107,MATCH(L1090,'Datos - Catálogo TIMSS'!$A$5:$A$107,0)),"No")="Sí"),1,0)</f>
        <v/>
      </c>
      <c r="Y1090" s="11">
        <f>IF(IFERROR(INDEX('Datos - Catálogo TIMSS'!$J$5:$J$107,MATCH(K1090,'Datos - Catálogo TIMSS'!$A$5:$A$107,0)),"No")="Sí",1,0)</f>
        <v/>
      </c>
      <c r="Z1090" s="11">
        <f>IF(IFERROR(INDEX('Datos - Catálogo TIMSS'!$J$5:$J$107,MATCH(L1090,'Datos - Catálogo TIMSS'!$A$5:$A$107,0)),"No")="Sí",1,0)</f>
        <v/>
      </c>
      <c r="AA1090" s="11" t="inlineStr">
        <is>
          <t>N/A</t>
        </is>
      </c>
      <c r="AB1090" s="11" t="inlineStr"/>
      <c r="AC1090" s="11">
        <f>IF(AA1090="FUERA","Fuera del marco",IF(AA1090="N/A","Sin marco",IFERROR(INDEX('Datos - TIMSS 2023'!$C$5:$C$105,MATCH(AA1090,'Datos - TIMSS 2023'!$A$5:$A$105,0)),"Pendiente de clasificar")))</f>
        <v/>
      </c>
      <c r="AD1090" s="11" t="inlineStr">
        <is>
          <t>3. Investigar, evaluar y usar información científica para tomar decisiones y actuar</t>
        </is>
      </c>
      <c r="AE1090" s="11">
        <f>IF(AD1090="","",IF(LEFT(AD1090,1)="1","C1",IF(LEFT(AD1090,1)="2","C2",IF(LEFT(AD1090,1)="3","C3",""))))</f>
        <v/>
      </c>
      <c r="AF1090" s="11" t="inlineStr">
        <is>
          <t>E6</t>
        </is>
      </c>
      <c r="AG1090" s="11" t="inlineStr">
        <is>
          <t>E5</t>
        </is>
      </c>
      <c r="AH1090" s="11" t="inlineStr">
        <is>
          <t>E1</t>
        </is>
      </c>
      <c r="AI1090" s="11" t="inlineStr">
        <is>
          <t>I2</t>
        </is>
      </c>
      <c r="AJ1090" s="11" t="inlineStr">
        <is>
          <t>I5</t>
        </is>
      </c>
      <c r="AK1090" s="11" t="n"/>
      <c r="AL1090" s="11" t="n"/>
      <c r="AM1090" s="11" t="n"/>
      <c r="AN1090" s="11" t="n"/>
      <c r="AO1090" s="11" t="n"/>
      <c r="AP1090" s="11" t="n"/>
      <c r="AQ1090" s="11" t="n"/>
      <c r="AR1090" s="11" t="n"/>
      <c r="AS1090" s="11" t="n"/>
      <c r="AT1090" s="11" t="n"/>
      <c r="AU1090" s="11" t="n"/>
      <c r="AV1090" s="11" t="n"/>
      <c r="AW1090" s="11">
        <f>AF1090&amp;"; "&amp;AG1090&amp;"; "&amp;AH1090&amp;"; "&amp;AI1090&amp;"; "&amp;AJ1090</f>
        <v/>
      </c>
    </row>
    <row r="1091">
      <c r="A1091" s="11" t="inlineStr">
        <is>
          <t>T0627-G11-QUÍ</t>
        </is>
      </c>
      <c r="B1091" s="11" t="n">
        <v>11</v>
      </c>
      <c r="C1091" s="11" t="inlineStr">
        <is>
          <t>Química</t>
        </is>
      </c>
      <c r="D1091" s="11" t="inlineStr">
        <is>
          <t>Matriz_Bachillerato_Quimica_10_11.xlsx</t>
        </is>
      </c>
      <c r="E1091" s="11" t="inlineStr">
        <is>
          <t>Química 11.°</t>
        </is>
      </c>
      <c r="F1091" s="11" t="n">
        <v>88</v>
      </c>
      <c r="G1091" s="11" t="inlineStr">
        <is>
          <t>10. Polímeros y macromoléculas</t>
        </is>
      </c>
      <c r="H1091" s="11" t="inlineStr">
        <is>
          <t>Polímeros y ambiente</t>
        </is>
      </c>
      <c r="I1091" s="38" t="inlineStr">
        <is>
          <t>10.5. Identificación de microplásticos en muestras de arena o agua y análisis de sus efectos en los ecosistemas acuáticos salvadoreños.</t>
        </is>
      </c>
      <c r="J1091" s="11" t="inlineStr">
        <is>
          <t>Sin marco</t>
        </is>
      </c>
      <c r="K1091" s="11" t="inlineStr">
        <is>
          <t>N/A</t>
        </is>
      </c>
      <c r="L1091" s="11" t="inlineStr"/>
      <c r="M1091" s="11">
        <f>IF(K1091="FUERA","Fuera del marco",IF(K1091="N/A","Sin marco",IFERROR(INDEX('Datos - Catálogo TIMSS'!$C$5:$C$107,MATCH(K1091,'Datos - Catálogo TIMSS'!$A$5:$A$107,0)),"Pendiente de clasificar")))</f>
        <v/>
      </c>
      <c r="N1091" s="11">
        <f>IF(K1091="FUERA","Fuera del marco",IF(K1091="N/A","Sin marco",IFERROR(INDEX('Datos - Catálogo TIMSS'!$F$5:$F$107,MATCH(K1091,'Datos - Catálogo TIMSS'!$A$5:$A$107,0)),"Pendiente de clasificar")))</f>
        <v/>
      </c>
      <c r="O1091" s="11">
        <f>IF(L1091="","",IFERROR(INDEX('Datos - Catálogo TIMSS'!$C$5:$C$107,MATCH(L1091,'Datos - Catálogo TIMSS'!$A$5:$A$107,0)),"?"))</f>
        <v/>
      </c>
      <c r="P1091" s="11" t="inlineStr">
        <is>
          <t>N/A</t>
        </is>
      </c>
      <c r="Q1091" s="38" t="inlineStr">
        <is>
          <t>Sin marco TIMSS de contenido para esta asignatura en Bachillerato</t>
        </is>
      </c>
      <c r="R1091" s="38" t="inlineStr">
        <is>
          <t>Aplicar: separar y contar partículas. Razonar: interpretar datos y concluir sobre el origen</t>
        </is>
      </c>
      <c r="S1091" s="39">
        <f>IFERROR(ISNUMBER(SEARCH("Conocer",$R1091))/(ISNUMBER(SEARCH("Conocer",$R1091))+ISNUMBER(SEARCH("Aplicar",$R1091))+ISNUMBER(SEARCH("Razonar",$R1091))),0)</f>
        <v/>
      </c>
      <c r="T1091" s="39">
        <f>IFERROR(ISNUMBER(SEARCH("Aplicar",$R1091))/(ISNUMBER(SEARCH("Conocer",$R1091))+ISNUMBER(SEARCH("Aplicar",$R1091))+ISNUMBER(SEARCH("Razonar",$R1091))),0)</f>
        <v/>
      </c>
      <c r="U1091" s="39">
        <f>IFERROR(ISNUMBER(SEARCH("Razonar",$R1091))/(ISNUMBER(SEARCH("Conocer",$R1091))+ISNUMBER(SEARCH("Aplicar",$R1091))+ISNUMBER(SEARCH("Razonar",$R1091))),0)</f>
        <v/>
      </c>
      <c r="V1091" s="11" t="inlineStr">
        <is>
          <t>Química 11°</t>
        </is>
      </c>
      <c r="W1091" s="11" t="inlineStr">
        <is>
          <t>Química 10°–11°</t>
        </is>
      </c>
      <c r="X1091" s="11">
        <f>IF(OR(IFERROR(INDEX('Datos - Catálogo TIMSS'!$I$5:$I$107,MATCH(K1091,'Datos - Catálogo TIMSS'!$A$5:$A$107,0)),"No")="Sí",IFERROR(INDEX('Datos - Catálogo TIMSS'!$I$5:$I$107,MATCH(L1091,'Datos - Catálogo TIMSS'!$A$5:$A$107,0)),"No")="Sí"),1,0)</f>
        <v/>
      </c>
      <c r="Y1091" s="11">
        <f>IF(IFERROR(INDEX('Datos - Catálogo TIMSS'!$J$5:$J$107,MATCH(K1091,'Datos - Catálogo TIMSS'!$A$5:$A$107,0)),"No")="Sí",1,0)</f>
        <v/>
      </c>
      <c r="Z1091" s="11">
        <f>IF(IFERROR(INDEX('Datos - Catálogo TIMSS'!$J$5:$J$107,MATCH(L1091,'Datos - Catálogo TIMSS'!$A$5:$A$107,0)),"No")="Sí",1,0)</f>
        <v/>
      </c>
      <c r="AA1091" s="11" t="inlineStr">
        <is>
          <t>N/A</t>
        </is>
      </c>
      <c r="AB1091" s="11" t="inlineStr"/>
      <c r="AC1091" s="11">
        <f>IF(AA1091="FUERA","Fuera del marco",IF(AA1091="N/A","Sin marco",IFERROR(INDEX('Datos - TIMSS 2023'!$C$5:$C$105,MATCH(AA1091,'Datos - TIMSS 2023'!$A$5:$A$105,0)),"Pendiente de clasificar")))</f>
        <v/>
      </c>
      <c r="AD1091" s="11" t="inlineStr">
        <is>
          <t>2. Construir y evaluar diseños para la indagación científica e interpretar datos y evidencia de forma crítica</t>
        </is>
      </c>
      <c r="AE1091" s="11">
        <f>IF(AD1091="","",IF(LEFT(AD1091,1)="1","C1",IF(LEFT(AD1091,1)="2","C2",IF(LEFT(AD1091,1)="3","C3",""))))</f>
        <v/>
      </c>
      <c r="AF1091" s="11" t="inlineStr">
        <is>
          <t>E6</t>
        </is>
      </c>
      <c r="AG1091" s="11" t="inlineStr">
        <is>
          <t>D1</t>
        </is>
      </c>
      <c r="AH1091" s="11" t="inlineStr">
        <is>
          <t>E1</t>
        </is>
      </c>
      <c r="AI1091" s="11" t="inlineStr">
        <is>
          <t>D4</t>
        </is>
      </c>
      <c r="AJ1091" s="11" t="inlineStr">
        <is>
          <t>I5</t>
        </is>
      </c>
      <c r="AK1091" s="11" t="n"/>
      <c r="AL1091" s="11" t="n"/>
      <c r="AM1091" s="11" t="n"/>
      <c r="AN1091" s="11" t="n"/>
      <c r="AO1091" s="11" t="n"/>
      <c r="AP1091" s="11" t="n"/>
      <c r="AQ1091" s="11" t="n"/>
      <c r="AR1091" s="11" t="n"/>
      <c r="AS1091" s="11" t="n"/>
      <c r="AT1091" s="11" t="n"/>
      <c r="AU1091" s="11" t="n"/>
      <c r="AV1091" s="11" t="n"/>
      <c r="AW1091" s="11">
        <f>AF1091&amp;"; "&amp;AG1091&amp;"; "&amp;AH1091&amp;"; "&amp;AI1091&amp;"; "&amp;AJ1091</f>
        <v/>
      </c>
    </row>
    <row r="1092">
      <c r="A1092" s="11" t="inlineStr">
        <is>
          <t>T0628-G11-QUÍ</t>
        </is>
      </c>
      <c r="B1092" s="11" t="n">
        <v>11</v>
      </c>
      <c r="C1092" s="11" t="inlineStr">
        <is>
          <t>Química</t>
        </is>
      </c>
      <c r="D1092" s="11" t="inlineStr">
        <is>
          <t>Matriz_Bachillerato_Quimica_10_11.xlsx</t>
        </is>
      </c>
      <c r="E1092" s="11" t="inlineStr">
        <is>
          <t>Química 11.°</t>
        </is>
      </c>
      <c r="F1092" s="11" t="n">
        <v>89</v>
      </c>
      <c r="G1092" s="11" t="inlineStr">
        <is>
          <t>11. Carbohidratos y lípidos</t>
        </is>
      </c>
      <c r="H1092" s="11" t="inlineStr">
        <is>
          <t>Química de los carbohidratos</t>
        </is>
      </c>
      <c r="I1092" s="38" t="inlineStr">
        <is>
          <t>11.1. Representación de monosacáridos en proyecciones de Fischer y de Haworth y explicación de su ciclación mediante la formación de un hemiacetal.</t>
        </is>
      </c>
      <c r="J1092" s="11" t="inlineStr">
        <is>
          <t>Sin marco</t>
        </is>
      </c>
      <c r="K1092" s="11" t="inlineStr">
        <is>
          <t>N/A</t>
        </is>
      </c>
      <c r="L1092" s="11" t="inlineStr"/>
      <c r="M1092" s="11">
        <f>IF(K1092="FUERA","Fuera del marco",IF(K1092="N/A","Sin marco",IFERROR(INDEX('Datos - Catálogo TIMSS'!$C$5:$C$107,MATCH(K1092,'Datos - Catálogo TIMSS'!$A$5:$A$107,0)),"Pendiente de clasificar")))</f>
        <v/>
      </c>
      <c r="N1092" s="11">
        <f>IF(K1092="FUERA","Fuera del marco",IF(K1092="N/A","Sin marco",IFERROR(INDEX('Datos - Catálogo TIMSS'!$F$5:$F$107,MATCH(K1092,'Datos - Catálogo TIMSS'!$A$5:$A$107,0)),"Pendiente de clasificar")))</f>
        <v/>
      </c>
      <c r="O1092" s="11">
        <f>IF(L1092="","",IFERROR(INDEX('Datos - Catálogo TIMSS'!$C$5:$C$107,MATCH(L1092,'Datos - Catálogo TIMSS'!$A$5:$A$107,0)),"?"))</f>
        <v/>
      </c>
      <c r="P1092" s="11" t="inlineStr">
        <is>
          <t>N/A</t>
        </is>
      </c>
      <c r="Q1092" s="38" t="inlineStr">
        <is>
          <t>Sin marco TIMSS de contenido para esta asignatura en Bachillerato</t>
        </is>
      </c>
      <c r="R1092" s="38" t="inlineStr">
        <is>
          <t>Aplicar: transformar proyecciones. Razonar: explicar la ciclación con la reactividad del carbonilo</t>
        </is>
      </c>
      <c r="S1092" s="39">
        <f>IFERROR(ISNUMBER(SEARCH("Conocer",$R1092))/(ISNUMBER(SEARCH("Conocer",$R1092))+ISNUMBER(SEARCH("Aplicar",$R1092))+ISNUMBER(SEARCH("Razonar",$R1092))),0)</f>
        <v/>
      </c>
      <c r="T1092" s="39">
        <f>IFERROR(ISNUMBER(SEARCH("Aplicar",$R1092))/(ISNUMBER(SEARCH("Conocer",$R1092))+ISNUMBER(SEARCH("Aplicar",$R1092))+ISNUMBER(SEARCH("Razonar",$R1092))),0)</f>
        <v/>
      </c>
      <c r="U1092" s="39">
        <f>IFERROR(ISNUMBER(SEARCH("Razonar",$R1092))/(ISNUMBER(SEARCH("Conocer",$R1092))+ISNUMBER(SEARCH("Aplicar",$R1092))+ISNUMBER(SEARCH("Razonar",$R1092))),0)</f>
        <v/>
      </c>
      <c r="V1092" s="11" t="inlineStr">
        <is>
          <t>Química 11°</t>
        </is>
      </c>
      <c r="W1092" s="11" t="inlineStr">
        <is>
          <t>Química 10°–11°</t>
        </is>
      </c>
      <c r="X1092" s="11">
        <f>IF(OR(IFERROR(INDEX('Datos - Catálogo TIMSS'!$I$5:$I$107,MATCH(K1092,'Datos - Catálogo TIMSS'!$A$5:$A$107,0)),"No")="Sí",IFERROR(INDEX('Datos - Catálogo TIMSS'!$I$5:$I$107,MATCH(L1092,'Datos - Catálogo TIMSS'!$A$5:$A$107,0)),"No")="Sí"),1,0)</f>
        <v/>
      </c>
      <c r="Y1092" s="11">
        <f>IF(IFERROR(INDEX('Datos - Catálogo TIMSS'!$J$5:$J$107,MATCH(K1092,'Datos - Catálogo TIMSS'!$A$5:$A$107,0)),"No")="Sí",1,0)</f>
        <v/>
      </c>
      <c r="Z1092" s="11">
        <f>IF(IFERROR(INDEX('Datos - Catálogo TIMSS'!$J$5:$J$107,MATCH(L1092,'Datos - Catálogo TIMSS'!$A$5:$A$107,0)),"No")="Sí",1,0)</f>
        <v/>
      </c>
      <c r="AA1092" s="11" t="inlineStr">
        <is>
          <t>N/A</t>
        </is>
      </c>
      <c r="AB1092" s="11" t="inlineStr"/>
      <c r="AC1092" s="11">
        <f>IF(AA1092="FUERA","Fuera del marco",IF(AA1092="N/A","Sin marco",IFERROR(INDEX('Datos - TIMSS 2023'!$C$5:$C$105,MATCH(AA1092,'Datos - TIMSS 2023'!$A$5:$A$105,0)),"Pendiente de clasificar")))</f>
        <v/>
      </c>
      <c r="AD1092" s="11" t="inlineStr">
        <is>
          <t>1. Explicar fenómenos científicamente</t>
        </is>
      </c>
      <c r="AE1092" s="11">
        <f>IF(AD1092="","",IF(LEFT(AD1092,1)="1","C1",IF(LEFT(AD1092,1)="2","C2",IF(LEFT(AD1092,1)="3","C3",""))))</f>
        <v/>
      </c>
      <c r="AF1092" s="11" t="inlineStr">
        <is>
          <t>E1</t>
        </is>
      </c>
      <c r="AG1092" s="11" t="inlineStr">
        <is>
          <t>E3</t>
        </is>
      </c>
      <c r="AH1092" s="11" t="inlineStr">
        <is>
          <t>E2</t>
        </is>
      </c>
      <c r="AI1092" s="11" t="inlineStr">
        <is>
          <t>E4</t>
        </is>
      </c>
      <c r="AJ1092" s="11" t="inlineStr">
        <is>
          <t>E3</t>
        </is>
      </c>
      <c r="AK1092" s="11" t="n"/>
      <c r="AL1092" s="11" t="n"/>
      <c r="AM1092" s="11" t="n"/>
      <c r="AN1092" s="11" t="n"/>
      <c r="AO1092" s="11" t="n"/>
      <c r="AP1092" s="11" t="n"/>
      <c r="AQ1092" s="11" t="n"/>
      <c r="AR1092" s="11" t="n"/>
      <c r="AS1092" s="11" t="n"/>
      <c r="AT1092" s="11" t="n"/>
      <c r="AU1092" s="11" t="n"/>
      <c r="AV1092" s="11" t="n"/>
      <c r="AW1092" s="11">
        <f>AF1092&amp;"; "&amp;AG1092&amp;"; "&amp;AH1092&amp;"; "&amp;AI1092&amp;"; "&amp;AJ1092</f>
        <v/>
      </c>
    </row>
    <row r="1093">
      <c r="A1093" s="11" t="inlineStr">
        <is>
          <t>T0629-G11-QUÍ</t>
        </is>
      </c>
      <c r="B1093" s="11" t="n">
        <v>11</v>
      </c>
      <c r="C1093" s="11" t="inlineStr">
        <is>
          <t>Química</t>
        </is>
      </c>
      <c r="D1093" s="11" t="inlineStr">
        <is>
          <t>Matriz_Bachillerato_Quimica_10_11.xlsx</t>
        </is>
      </c>
      <c r="E1093" s="11" t="inlineStr">
        <is>
          <t>Química 11.°</t>
        </is>
      </c>
      <c r="F1093" s="11" t="n">
        <v>90</v>
      </c>
      <c r="G1093" s="11" t="inlineStr">
        <is>
          <t>11. Carbohidratos y lípidos</t>
        </is>
      </c>
      <c r="H1093" s="11" t="inlineStr">
        <is>
          <t>Química de los carbohidratos</t>
        </is>
      </c>
      <c r="I1093" s="38" t="inlineStr">
        <is>
          <t>11.2. Análisis del enlace O-glucosídico en disacáridos y de su relación con el carácter reductor y la hidrólisis.</t>
        </is>
      </c>
      <c r="J1093" s="11" t="inlineStr">
        <is>
          <t>Sin marco</t>
        </is>
      </c>
      <c r="K1093" s="11" t="inlineStr">
        <is>
          <t>N/A</t>
        </is>
      </c>
      <c r="L1093" s="11" t="inlineStr"/>
      <c r="M1093" s="11">
        <f>IF(K1093="FUERA","Fuera del marco",IF(K1093="N/A","Sin marco",IFERROR(INDEX('Datos - Catálogo TIMSS'!$C$5:$C$107,MATCH(K1093,'Datos - Catálogo TIMSS'!$A$5:$A$107,0)),"Pendiente de clasificar")))</f>
        <v/>
      </c>
      <c r="N1093" s="11">
        <f>IF(K1093="FUERA","Fuera del marco",IF(K1093="N/A","Sin marco",IFERROR(INDEX('Datos - Catálogo TIMSS'!$F$5:$F$107,MATCH(K1093,'Datos - Catálogo TIMSS'!$A$5:$A$107,0)),"Pendiente de clasificar")))</f>
        <v/>
      </c>
      <c r="O1093" s="11">
        <f>IF(L1093="","",IFERROR(INDEX('Datos - Catálogo TIMSS'!$C$5:$C$107,MATCH(L1093,'Datos - Catálogo TIMSS'!$A$5:$A$107,0)),"?"))</f>
        <v/>
      </c>
      <c r="P1093" s="11" t="inlineStr">
        <is>
          <t>N/A</t>
        </is>
      </c>
      <c r="Q1093" s="38" t="inlineStr">
        <is>
          <t>Sin marco TIMSS de contenido para esta asignatura en Bachillerato</t>
        </is>
      </c>
      <c r="R1093" s="38" t="inlineStr">
        <is>
          <t>Aplicar: representar enlaces glucosídicos. Razonar: relacionar la estructura con el carácter reductor</t>
        </is>
      </c>
      <c r="S1093" s="39">
        <f>IFERROR(ISNUMBER(SEARCH("Conocer",$R1093))/(ISNUMBER(SEARCH("Conocer",$R1093))+ISNUMBER(SEARCH("Aplicar",$R1093))+ISNUMBER(SEARCH("Razonar",$R1093))),0)</f>
        <v/>
      </c>
      <c r="T1093" s="39">
        <f>IFERROR(ISNUMBER(SEARCH("Aplicar",$R1093))/(ISNUMBER(SEARCH("Conocer",$R1093))+ISNUMBER(SEARCH("Aplicar",$R1093))+ISNUMBER(SEARCH("Razonar",$R1093))),0)</f>
        <v/>
      </c>
      <c r="U1093" s="39">
        <f>IFERROR(ISNUMBER(SEARCH("Razonar",$R1093))/(ISNUMBER(SEARCH("Conocer",$R1093))+ISNUMBER(SEARCH("Aplicar",$R1093))+ISNUMBER(SEARCH("Razonar",$R1093))),0)</f>
        <v/>
      </c>
      <c r="V1093" s="11" t="inlineStr">
        <is>
          <t>Química 11°</t>
        </is>
      </c>
      <c r="W1093" s="11" t="inlineStr">
        <is>
          <t>Química 10°–11°</t>
        </is>
      </c>
      <c r="X1093" s="11">
        <f>IF(OR(IFERROR(INDEX('Datos - Catálogo TIMSS'!$I$5:$I$107,MATCH(K1093,'Datos - Catálogo TIMSS'!$A$5:$A$107,0)),"No")="Sí",IFERROR(INDEX('Datos - Catálogo TIMSS'!$I$5:$I$107,MATCH(L1093,'Datos - Catálogo TIMSS'!$A$5:$A$107,0)),"No")="Sí"),1,0)</f>
        <v/>
      </c>
      <c r="Y1093" s="11">
        <f>IF(IFERROR(INDEX('Datos - Catálogo TIMSS'!$J$5:$J$107,MATCH(K1093,'Datos - Catálogo TIMSS'!$A$5:$A$107,0)),"No")="Sí",1,0)</f>
        <v/>
      </c>
      <c r="Z1093" s="11">
        <f>IF(IFERROR(INDEX('Datos - Catálogo TIMSS'!$J$5:$J$107,MATCH(L1093,'Datos - Catálogo TIMSS'!$A$5:$A$107,0)),"No")="Sí",1,0)</f>
        <v/>
      </c>
      <c r="AA1093" s="11" t="inlineStr">
        <is>
          <t>N/A</t>
        </is>
      </c>
      <c r="AB1093" s="11" t="inlineStr"/>
      <c r="AC1093" s="11">
        <f>IF(AA1093="FUERA","Fuera del marco",IF(AA1093="N/A","Sin marco",IFERROR(INDEX('Datos - TIMSS 2023'!$C$5:$C$105,MATCH(AA1093,'Datos - TIMSS 2023'!$A$5:$A$105,0)),"Pendiente de clasificar")))</f>
        <v/>
      </c>
      <c r="AD1093" s="11" t="inlineStr">
        <is>
          <t>2. Construir y evaluar diseños para la indagación científica e interpretar datos y evidencia de forma crítica</t>
        </is>
      </c>
      <c r="AE1093" s="11">
        <f>IF(AD1093="","",IF(LEFT(AD1093,1)="1","C1",IF(LEFT(AD1093,1)="2","C2",IF(LEFT(AD1093,1)="3","C3",""))))</f>
        <v/>
      </c>
      <c r="AF1093" s="11" t="inlineStr">
        <is>
          <t>E6</t>
        </is>
      </c>
      <c r="AG1093" s="11" t="inlineStr">
        <is>
          <t>D1</t>
        </is>
      </c>
      <c r="AH1093" s="11" t="inlineStr">
        <is>
          <t>E2</t>
        </is>
      </c>
      <c r="AI1093" s="11" t="inlineStr">
        <is>
          <t>D4</t>
        </is>
      </c>
      <c r="AJ1093" s="11" t="inlineStr">
        <is>
          <t>E3</t>
        </is>
      </c>
      <c r="AK1093" s="11" t="n"/>
      <c r="AL1093" s="11" t="n"/>
      <c r="AM1093" s="11" t="n"/>
      <c r="AN1093" s="11" t="n"/>
      <c r="AO1093" s="11" t="n"/>
      <c r="AP1093" s="11" t="n"/>
      <c r="AQ1093" s="11" t="n"/>
      <c r="AR1093" s="11" t="n"/>
      <c r="AS1093" s="11" t="n"/>
      <c r="AT1093" s="11" t="n"/>
      <c r="AU1093" s="11" t="n"/>
      <c r="AV1093" s="11" t="n"/>
      <c r="AW1093" s="11">
        <f>AF1093&amp;"; "&amp;AG1093&amp;"; "&amp;AH1093&amp;"; "&amp;AI1093&amp;"; "&amp;AJ1093</f>
        <v/>
      </c>
    </row>
    <row r="1094">
      <c r="A1094" s="11" t="inlineStr">
        <is>
          <t>T0630-G11-QUÍ</t>
        </is>
      </c>
      <c r="B1094" s="11" t="n">
        <v>11</v>
      </c>
      <c r="C1094" s="11" t="inlineStr">
        <is>
          <t>Química</t>
        </is>
      </c>
      <c r="D1094" s="11" t="inlineStr">
        <is>
          <t>Matriz_Bachillerato_Quimica_10_11.xlsx</t>
        </is>
      </c>
      <c r="E1094" s="11" t="inlineStr">
        <is>
          <t>Química 11.°</t>
        </is>
      </c>
      <c r="F1094" s="11" t="n">
        <v>91</v>
      </c>
      <c r="G1094" s="11" t="inlineStr">
        <is>
          <t>11. Carbohidratos y lípidos</t>
        </is>
      </c>
      <c r="H1094" s="11" t="inlineStr">
        <is>
          <t>Química de los carbohidratos</t>
        </is>
      </c>
      <c r="I1094" s="38" t="inlineStr">
        <is>
          <t>11.3. Comparación de la estructura química del almidón, el glucógeno y la celulosa según el tipo de enlace glucosídico y su efecto en las propiedades.</t>
        </is>
      </c>
      <c r="J1094" s="11" t="inlineStr">
        <is>
          <t>Sin marco</t>
        </is>
      </c>
      <c r="K1094" s="11" t="inlineStr">
        <is>
          <t>N/A</t>
        </is>
      </c>
      <c r="L1094" s="11" t="inlineStr"/>
      <c r="M1094" s="11">
        <f>IF(K1094="FUERA","Fuera del marco",IF(K1094="N/A","Sin marco",IFERROR(INDEX('Datos - Catálogo TIMSS'!$C$5:$C$107,MATCH(K1094,'Datos - Catálogo TIMSS'!$A$5:$A$107,0)),"Pendiente de clasificar")))</f>
        <v/>
      </c>
      <c r="N1094" s="11">
        <f>IF(K1094="FUERA","Fuera del marco",IF(K1094="N/A","Sin marco",IFERROR(INDEX('Datos - Catálogo TIMSS'!$F$5:$F$107,MATCH(K1094,'Datos - Catálogo TIMSS'!$A$5:$A$107,0)),"Pendiente de clasificar")))</f>
        <v/>
      </c>
      <c r="O1094" s="11">
        <f>IF(L1094="","",IFERROR(INDEX('Datos - Catálogo TIMSS'!$C$5:$C$107,MATCH(L1094,'Datos - Catálogo TIMSS'!$A$5:$A$107,0)),"?"))</f>
        <v/>
      </c>
      <c r="P1094" s="11" t="inlineStr">
        <is>
          <t>N/A</t>
        </is>
      </c>
      <c r="Q1094" s="38" t="inlineStr">
        <is>
          <t>Sin marco TIMSS de contenido para esta asignatura en Bachillerato</t>
        </is>
      </c>
      <c r="R1094" s="38" t="inlineStr">
        <is>
          <t>Aplicar: representar enlaces α y β. Razonar: relacionar la estructura con las propiedades</t>
        </is>
      </c>
      <c r="S1094" s="39">
        <f>IFERROR(ISNUMBER(SEARCH("Conocer",$R1094))/(ISNUMBER(SEARCH("Conocer",$R1094))+ISNUMBER(SEARCH("Aplicar",$R1094))+ISNUMBER(SEARCH("Razonar",$R1094))),0)</f>
        <v/>
      </c>
      <c r="T1094" s="39">
        <f>IFERROR(ISNUMBER(SEARCH("Aplicar",$R1094))/(ISNUMBER(SEARCH("Conocer",$R1094))+ISNUMBER(SEARCH("Aplicar",$R1094))+ISNUMBER(SEARCH("Razonar",$R1094))),0)</f>
        <v/>
      </c>
      <c r="U1094" s="39">
        <f>IFERROR(ISNUMBER(SEARCH("Razonar",$R1094))/(ISNUMBER(SEARCH("Conocer",$R1094))+ISNUMBER(SEARCH("Aplicar",$R1094))+ISNUMBER(SEARCH("Razonar",$R1094))),0)</f>
        <v/>
      </c>
      <c r="V1094" s="11" t="inlineStr">
        <is>
          <t>Química 11°</t>
        </is>
      </c>
      <c r="W1094" s="11" t="inlineStr">
        <is>
          <t>Química 10°–11°</t>
        </is>
      </c>
      <c r="X1094" s="11">
        <f>IF(OR(IFERROR(INDEX('Datos - Catálogo TIMSS'!$I$5:$I$107,MATCH(K1094,'Datos - Catálogo TIMSS'!$A$5:$A$107,0)),"No")="Sí",IFERROR(INDEX('Datos - Catálogo TIMSS'!$I$5:$I$107,MATCH(L1094,'Datos - Catálogo TIMSS'!$A$5:$A$107,0)),"No")="Sí"),1,0)</f>
        <v/>
      </c>
      <c r="Y1094" s="11">
        <f>IF(IFERROR(INDEX('Datos - Catálogo TIMSS'!$J$5:$J$107,MATCH(K1094,'Datos - Catálogo TIMSS'!$A$5:$A$107,0)),"No")="Sí",1,0)</f>
        <v/>
      </c>
      <c r="Z1094" s="11">
        <f>IF(IFERROR(INDEX('Datos - Catálogo TIMSS'!$J$5:$J$107,MATCH(L1094,'Datos - Catálogo TIMSS'!$A$5:$A$107,0)),"No")="Sí",1,0)</f>
        <v/>
      </c>
      <c r="AA1094" s="11" t="inlineStr">
        <is>
          <t>N/A</t>
        </is>
      </c>
      <c r="AB1094" s="11" t="inlineStr"/>
      <c r="AC1094" s="11">
        <f>IF(AA1094="FUERA","Fuera del marco",IF(AA1094="N/A","Sin marco",IFERROR(INDEX('Datos - TIMSS 2023'!$C$5:$C$105,MATCH(AA1094,'Datos - TIMSS 2023'!$A$5:$A$105,0)),"Pendiente de clasificar")))</f>
        <v/>
      </c>
      <c r="AD1094" s="11" t="inlineStr">
        <is>
          <t>1. Explicar fenómenos científicamente</t>
        </is>
      </c>
      <c r="AE1094" s="11">
        <f>IF(AD1094="","",IF(LEFT(AD1094,1)="1","C1",IF(LEFT(AD1094,1)="2","C2",IF(LEFT(AD1094,1)="3","C3",""))))</f>
        <v/>
      </c>
      <c r="AF1094" s="11" t="inlineStr">
        <is>
          <t>E6</t>
        </is>
      </c>
      <c r="AG1094" s="11" t="inlineStr">
        <is>
          <t>E5</t>
        </is>
      </c>
      <c r="AH1094" s="11" t="inlineStr">
        <is>
          <t>E4</t>
        </is>
      </c>
      <c r="AI1094" s="11" t="inlineStr">
        <is>
          <t>D4</t>
        </is>
      </c>
      <c r="AJ1094" s="11" t="inlineStr">
        <is>
          <t>E3</t>
        </is>
      </c>
      <c r="AK1094" s="11" t="n"/>
      <c r="AL1094" s="11" t="n"/>
      <c r="AM1094" s="11" t="n"/>
      <c r="AN1094" s="11" t="n"/>
      <c r="AO1094" s="11" t="n"/>
      <c r="AP1094" s="11" t="n"/>
      <c r="AQ1094" s="11" t="n"/>
      <c r="AR1094" s="11" t="n"/>
      <c r="AS1094" s="11" t="n"/>
      <c r="AT1094" s="11" t="n"/>
      <c r="AU1094" s="11" t="n"/>
      <c r="AV1094" s="11" t="n"/>
      <c r="AW1094" s="11">
        <f>AF1094&amp;"; "&amp;AG1094&amp;"; "&amp;AH1094&amp;"; "&amp;AI1094&amp;"; "&amp;AJ1094</f>
        <v/>
      </c>
    </row>
    <row r="1095">
      <c r="A1095" s="11" t="inlineStr">
        <is>
          <t>T0631-G11-QUÍ</t>
        </is>
      </c>
      <c r="B1095" s="11" t="n">
        <v>11</v>
      </c>
      <c r="C1095" s="11" t="inlineStr">
        <is>
          <t>Química</t>
        </is>
      </c>
      <c r="D1095" s="11" t="inlineStr">
        <is>
          <t>Matriz_Bachillerato_Quimica_10_11.xlsx</t>
        </is>
      </c>
      <c r="E1095" s="11" t="inlineStr">
        <is>
          <t>Química 11.°</t>
        </is>
      </c>
      <c r="F1095" s="11" t="n">
        <v>92</v>
      </c>
      <c r="G1095" s="11" t="inlineStr">
        <is>
          <t>11. Carbohidratos y lípidos</t>
        </is>
      </c>
      <c r="H1095" s="11" t="inlineStr">
        <is>
          <t>Química de los carbohidratos</t>
        </is>
      </c>
      <c r="I1095" s="38" t="inlineStr">
        <is>
          <t>11.4. Descripción de la estructura de los heterósidos como unión de un carbohidrato con una aglicona mediante un enlace glucosídico.</t>
        </is>
      </c>
      <c r="J1095" s="11" t="inlineStr">
        <is>
          <t>Sin marco</t>
        </is>
      </c>
      <c r="K1095" s="11" t="inlineStr">
        <is>
          <t>N/A</t>
        </is>
      </c>
      <c r="L1095" s="11" t="inlineStr"/>
      <c r="M1095" s="11">
        <f>IF(K1095="FUERA","Fuera del marco",IF(K1095="N/A","Sin marco",IFERROR(INDEX('Datos - Catálogo TIMSS'!$C$5:$C$107,MATCH(K1095,'Datos - Catálogo TIMSS'!$A$5:$A$107,0)),"Pendiente de clasificar")))</f>
        <v/>
      </c>
      <c r="N1095" s="11">
        <f>IF(K1095="FUERA","Fuera del marco",IF(K1095="N/A","Sin marco",IFERROR(INDEX('Datos - Catálogo TIMSS'!$F$5:$F$107,MATCH(K1095,'Datos - Catálogo TIMSS'!$A$5:$A$107,0)),"Pendiente de clasificar")))</f>
        <v/>
      </c>
      <c r="O1095" s="11">
        <f>IF(L1095="","",IFERROR(INDEX('Datos - Catálogo TIMSS'!$C$5:$C$107,MATCH(L1095,'Datos - Catálogo TIMSS'!$A$5:$A$107,0)),"?"))</f>
        <v/>
      </c>
      <c r="P1095" s="11" t="inlineStr">
        <is>
          <t>N/A</t>
        </is>
      </c>
      <c r="Q1095" s="38" t="inlineStr">
        <is>
          <t>Sin marco TIMSS de contenido para esta asignatura en Bachillerato</t>
        </is>
      </c>
      <c r="R1095" s="38" t="inlineStr">
        <is>
          <t>Conocer: identificar partes de un heterósido. Razonar: evaluar información sobre usos y riesgos</t>
        </is>
      </c>
      <c r="S1095" s="39">
        <f>IFERROR(ISNUMBER(SEARCH("Conocer",$R1095))/(ISNUMBER(SEARCH("Conocer",$R1095))+ISNUMBER(SEARCH("Aplicar",$R1095))+ISNUMBER(SEARCH("Razonar",$R1095))),0)</f>
        <v/>
      </c>
      <c r="T1095" s="39">
        <f>IFERROR(ISNUMBER(SEARCH("Aplicar",$R1095))/(ISNUMBER(SEARCH("Conocer",$R1095))+ISNUMBER(SEARCH("Aplicar",$R1095))+ISNUMBER(SEARCH("Razonar",$R1095))),0)</f>
        <v/>
      </c>
      <c r="U1095" s="39">
        <f>IFERROR(ISNUMBER(SEARCH("Razonar",$R1095))/(ISNUMBER(SEARCH("Conocer",$R1095))+ISNUMBER(SEARCH("Aplicar",$R1095))+ISNUMBER(SEARCH("Razonar",$R1095))),0)</f>
        <v/>
      </c>
      <c r="V1095" s="11" t="inlineStr">
        <is>
          <t>Química 11°</t>
        </is>
      </c>
      <c r="W1095" s="11" t="inlineStr">
        <is>
          <t>Química 10°–11°</t>
        </is>
      </c>
      <c r="X1095" s="11">
        <f>IF(OR(IFERROR(INDEX('Datos - Catálogo TIMSS'!$I$5:$I$107,MATCH(K1095,'Datos - Catálogo TIMSS'!$A$5:$A$107,0)),"No")="Sí",IFERROR(INDEX('Datos - Catálogo TIMSS'!$I$5:$I$107,MATCH(L1095,'Datos - Catálogo TIMSS'!$A$5:$A$107,0)),"No")="Sí"),1,0)</f>
        <v/>
      </c>
      <c r="Y1095" s="11">
        <f>IF(IFERROR(INDEX('Datos - Catálogo TIMSS'!$J$5:$J$107,MATCH(K1095,'Datos - Catálogo TIMSS'!$A$5:$A$107,0)),"No")="Sí",1,0)</f>
        <v/>
      </c>
      <c r="Z1095" s="11">
        <f>IF(IFERROR(INDEX('Datos - Catálogo TIMSS'!$J$5:$J$107,MATCH(L1095,'Datos - Catálogo TIMSS'!$A$5:$A$107,0)),"No")="Sí",1,0)</f>
        <v/>
      </c>
      <c r="AA1095" s="11" t="inlineStr">
        <is>
          <t>N/A</t>
        </is>
      </c>
      <c r="AB1095" s="11" t="inlineStr"/>
      <c r="AC1095" s="11">
        <f>IF(AA1095="FUERA","Fuera del marco",IF(AA1095="N/A","Sin marco",IFERROR(INDEX('Datos - TIMSS 2023'!$C$5:$C$105,MATCH(AA1095,'Datos - TIMSS 2023'!$A$5:$A$105,0)),"Pendiente de clasificar")))</f>
        <v/>
      </c>
      <c r="AD1095" s="11" t="inlineStr">
        <is>
          <t>3. Investigar, evaluar y usar información científica para tomar decisiones y actuar</t>
        </is>
      </c>
      <c r="AE1095" s="11">
        <f>IF(AD1095="","",IF(LEFT(AD1095,1)="1","C1",IF(LEFT(AD1095,1)="2","C2",IF(LEFT(AD1095,1)="3","C3",""))))</f>
        <v/>
      </c>
      <c r="AF1095" s="11" t="inlineStr">
        <is>
          <t>E1</t>
        </is>
      </c>
      <c r="AG1095" s="11" t="inlineStr">
        <is>
          <t>D1</t>
        </is>
      </c>
      <c r="AH1095" s="11" t="inlineStr">
        <is>
          <t>E2</t>
        </is>
      </c>
      <c r="AI1095" s="11" t="inlineStr">
        <is>
          <t>I1</t>
        </is>
      </c>
      <c r="AJ1095" s="11" t="inlineStr">
        <is>
          <t>I4</t>
        </is>
      </c>
      <c r="AK1095" s="11" t="n"/>
      <c r="AL1095" s="11" t="n"/>
      <c r="AM1095" s="11" t="n"/>
      <c r="AN1095" s="11" t="n"/>
      <c r="AO1095" s="11" t="n"/>
      <c r="AP1095" s="11" t="n"/>
      <c r="AQ1095" s="11" t="n"/>
      <c r="AR1095" s="11" t="n"/>
      <c r="AS1095" s="11" t="n"/>
      <c r="AT1095" s="11" t="n"/>
      <c r="AU1095" s="11" t="n"/>
      <c r="AV1095" s="11" t="n"/>
      <c r="AW1095" s="11">
        <f>AF1095&amp;"; "&amp;AG1095&amp;"; "&amp;AH1095&amp;"; "&amp;AI1095&amp;"; "&amp;AJ1095</f>
        <v/>
      </c>
    </row>
    <row r="1096">
      <c r="A1096" s="11" t="inlineStr">
        <is>
          <t>T0632-G11-QUÍ</t>
        </is>
      </c>
      <c r="B1096" s="11" t="n">
        <v>11</v>
      </c>
      <c r="C1096" s="11" t="inlineStr">
        <is>
          <t>Química</t>
        </is>
      </c>
      <c r="D1096" s="11" t="inlineStr">
        <is>
          <t>Matriz_Bachillerato_Quimica_10_11.xlsx</t>
        </is>
      </c>
      <c r="E1096" s="11" t="inlineStr">
        <is>
          <t>Química 11.°</t>
        </is>
      </c>
      <c r="F1096" s="11" t="n">
        <v>93</v>
      </c>
      <c r="G1096" s="11" t="inlineStr">
        <is>
          <t>11. Carbohidratos y lípidos</t>
        </is>
      </c>
      <c r="H1096" s="11" t="inlineStr">
        <is>
          <t>Química de los lípidos</t>
        </is>
      </c>
      <c r="I1096" s="38" t="inlineStr">
        <is>
          <t>11.5. Relación entre la longitud de la cadena, el número de dobles enlaces y la isomería cis-trans de los ácidos grasos y su temperatura de fusión.</t>
        </is>
      </c>
      <c r="J1096" s="11" t="inlineStr">
        <is>
          <t>Sin marco</t>
        </is>
      </c>
      <c r="K1096" s="11" t="inlineStr">
        <is>
          <t>N/A</t>
        </is>
      </c>
      <c r="L1096" s="11" t="inlineStr"/>
      <c r="M1096" s="11">
        <f>IF(K1096="FUERA","Fuera del marco",IF(K1096="N/A","Sin marco",IFERROR(INDEX('Datos - Catálogo TIMSS'!$C$5:$C$107,MATCH(K1096,'Datos - Catálogo TIMSS'!$A$5:$A$107,0)),"Pendiente de clasificar")))</f>
        <v/>
      </c>
      <c r="N1096" s="11">
        <f>IF(K1096="FUERA","Fuera del marco",IF(K1096="N/A","Sin marco",IFERROR(INDEX('Datos - Catálogo TIMSS'!$F$5:$F$107,MATCH(K1096,'Datos - Catálogo TIMSS'!$A$5:$A$107,0)),"Pendiente de clasificar")))</f>
        <v/>
      </c>
      <c r="O1096" s="11">
        <f>IF(L1096="","",IFERROR(INDEX('Datos - Catálogo TIMSS'!$C$5:$C$107,MATCH(L1096,'Datos - Catálogo TIMSS'!$A$5:$A$107,0)),"?"))</f>
        <v/>
      </c>
      <c r="P1096" s="11" t="inlineStr">
        <is>
          <t>N/A</t>
        </is>
      </c>
      <c r="Q1096" s="38" t="inlineStr">
        <is>
          <t>Sin marco TIMSS de contenido para esta asignatura en Bachillerato</t>
        </is>
      </c>
      <c r="R1096" s="38" t="inlineStr">
        <is>
          <t>Aplicar: nombrar ácidos grasos y graficar datos. Razonar: explicar tendencias con fuerzas intermoleculares</t>
        </is>
      </c>
      <c r="S1096" s="39">
        <f>IFERROR(ISNUMBER(SEARCH("Conocer",$R1096))/(ISNUMBER(SEARCH("Conocer",$R1096))+ISNUMBER(SEARCH("Aplicar",$R1096))+ISNUMBER(SEARCH("Razonar",$R1096))),0)</f>
        <v/>
      </c>
      <c r="T1096" s="39">
        <f>IFERROR(ISNUMBER(SEARCH("Aplicar",$R1096))/(ISNUMBER(SEARCH("Conocer",$R1096))+ISNUMBER(SEARCH("Aplicar",$R1096))+ISNUMBER(SEARCH("Razonar",$R1096))),0)</f>
        <v/>
      </c>
      <c r="U1096" s="39">
        <f>IFERROR(ISNUMBER(SEARCH("Razonar",$R1096))/(ISNUMBER(SEARCH("Conocer",$R1096))+ISNUMBER(SEARCH("Aplicar",$R1096))+ISNUMBER(SEARCH("Razonar",$R1096))),0)</f>
        <v/>
      </c>
      <c r="V1096" s="11" t="inlineStr">
        <is>
          <t>Química 11°</t>
        </is>
      </c>
      <c r="W1096" s="11" t="inlineStr">
        <is>
          <t>Química 10°–11°</t>
        </is>
      </c>
      <c r="X1096" s="11">
        <f>IF(OR(IFERROR(INDEX('Datos - Catálogo TIMSS'!$I$5:$I$107,MATCH(K1096,'Datos - Catálogo TIMSS'!$A$5:$A$107,0)),"No")="Sí",IFERROR(INDEX('Datos - Catálogo TIMSS'!$I$5:$I$107,MATCH(L1096,'Datos - Catálogo TIMSS'!$A$5:$A$107,0)),"No")="Sí"),1,0)</f>
        <v/>
      </c>
      <c r="Y1096" s="11">
        <f>IF(IFERROR(INDEX('Datos - Catálogo TIMSS'!$J$5:$J$107,MATCH(K1096,'Datos - Catálogo TIMSS'!$A$5:$A$107,0)),"No")="Sí",1,0)</f>
        <v/>
      </c>
      <c r="Z1096" s="11">
        <f>IF(IFERROR(INDEX('Datos - Catálogo TIMSS'!$J$5:$J$107,MATCH(L1096,'Datos - Catálogo TIMSS'!$A$5:$A$107,0)),"No")="Sí",1,0)</f>
        <v/>
      </c>
      <c r="AA1096" s="11" t="inlineStr">
        <is>
          <t>N/A</t>
        </is>
      </c>
      <c r="AB1096" s="11" t="inlineStr"/>
      <c r="AC1096" s="11">
        <f>IF(AA1096="FUERA","Fuera del marco",IF(AA1096="N/A","Sin marco",IFERROR(INDEX('Datos - TIMSS 2023'!$C$5:$C$105,MATCH(AA1096,'Datos - TIMSS 2023'!$A$5:$A$105,0)),"Pendiente de clasificar")))</f>
        <v/>
      </c>
      <c r="AD1096" s="11" t="inlineStr">
        <is>
          <t>2. Construir y evaluar diseños para la indagación científica e interpretar datos y evidencia de forma crítica</t>
        </is>
      </c>
      <c r="AE1096" s="11">
        <f>IF(AD1096="","",IF(LEFT(AD1096,1)="1","C1",IF(LEFT(AD1096,1)="2","C2",IF(LEFT(AD1096,1)="3","C3",""))))</f>
        <v/>
      </c>
      <c r="AF1096" s="11" t="inlineStr">
        <is>
          <t>E1</t>
        </is>
      </c>
      <c r="AG1096" s="11" t="inlineStr">
        <is>
          <t>E3</t>
        </is>
      </c>
      <c r="AH1096" s="11" t="inlineStr">
        <is>
          <t>E2</t>
        </is>
      </c>
      <c r="AI1096" s="11" t="inlineStr">
        <is>
          <t>D4</t>
        </is>
      </c>
      <c r="AJ1096" s="11" t="inlineStr">
        <is>
          <t>E3</t>
        </is>
      </c>
      <c r="AK1096" s="11" t="n"/>
      <c r="AL1096" s="11" t="n"/>
      <c r="AM1096" s="11" t="n"/>
      <c r="AN1096" s="11" t="n"/>
      <c r="AO1096" s="11" t="n"/>
      <c r="AP1096" s="11" t="n"/>
      <c r="AQ1096" s="11" t="n"/>
      <c r="AR1096" s="11" t="n"/>
      <c r="AS1096" s="11" t="n"/>
      <c r="AT1096" s="11" t="n"/>
      <c r="AU1096" s="11" t="n"/>
      <c r="AV1096" s="11" t="n"/>
      <c r="AW1096" s="11">
        <f>AF1096&amp;"; "&amp;AG1096&amp;"; "&amp;AH1096&amp;"; "&amp;AI1096&amp;"; "&amp;AJ1096</f>
        <v/>
      </c>
    </row>
    <row r="1097">
      <c r="A1097" s="11" t="inlineStr">
        <is>
          <t>T0633-G11-QUÍ</t>
        </is>
      </c>
      <c r="B1097" s="11" t="n">
        <v>11</v>
      </c>
      <c r="C1097" s="11" t="inlineStr">
        <is>
          <t>Química</t>
        </is>
      </c>
      <c r="D1097" s="11" t="inlineStr">
        <is>
          <t>Matriz_Bachillerato_Quimica_10_11.xlsx</t>
        </is>
      </c>
      <c r="E1097" s="11" t="inlineStr">
        <is>
          <t>Química 11.°</t>
        </is>
      </c>
      <c r="F1097" s="11" t="n">
        <v>94</v>
      </c>
      <c r="G1097" s="11" t="inlineStr">
        <is>
          <t>11. Carbohidratos y lípidos</t>
        </is>
      </c>
      <c r="H1097" s="11" t="inlineStr">
        <is>
          <t>Química de los lípidos</t>
        </is>
      </c>
      <c r="I1097" s="38" t="inlineStr">
        <is>
          <t>11.6. Representación de la saponificación de triacilgliceroles y cálculo de la masa de hidróxido necesaria para saponificar una grasa.</t>
        </is>
      </c>
      <c r="J1097" s="11" t="inlineStr">
        <is>
          <t>Sin marco</t>
        </is>
      </c>
      <c r="K1097" s="11" t="inlineStr">
        <is>
          <t>N/A</t>
        </is>
      </c>
      <c r="L1097" s="11" t="inlineStr"/>
      <c r="M1097" s="11">
        <f>IF(K1097="FUERA","Fuera del marco",IF(K1097="N/A","Sin marco",IFERROR(INDEX('Datos - Catálogo TIMSS'!$C$5:$C$107,MATCH(K1097,'Datos - Catálogo TIMSS'!$A$5:$A$107,0)),"Pendiente de clasificar")))</f>
        <v/>
      </c>
      <c r="N1097" s="11">
        <f>IF(K1097="FUERA","Fuera del marco",IF(K1097="N/A","Sin marco",IFERROR(INDEX('Datos - Catálogo TIMSS'!$F$5:$F$107,MATCH(K1097,'Datos - Catálogo TIMSS'!$A$5:$A$107,0)),"Pendiente de clasificar")))</f>
        <v/>
      </c>
      <c r="O1097" s="11">
        <f>IF(L1097="","",IFERROR(INDEX('Datos - Catálogo TIMSS'!$C$5:$C$107,MATCH(L1097,'Datos - Catálogo TIMSS'!$A$5:$A$107,0)),"?"))</f>
        <v/>
      </c>
      <c r="P1097" s="11" t="inlineStr">
        <is>
          <t>N/A</t>
        </is>
      </c>
      <c r="Q1097" s="38" t="inlineStr">
        <is>
          <t>Sin marco TIMSS de contenido para esta asignatura en Bachillerato</t>
        </is>
      </c>
      <c r="R1097" s="38" t="inlineStr">
        <is>
          <t>Aplicar: escribir la saponificación y calcular masas. Razonar: explicar la acción limpiadora</t>
        </is>
      </c>
      <c r="S1097" s="39">
        <f>IFERROR(ISNUMBER(SEARCH("Conocer",$R1097))/(ISNUMBER(SEARCH("Conocer",$R1097))+ISNUMBER(SEARCH("Aplicar",$R1097))+ISNUMBER(SEARCH("Razonar",$R1097))),0)</f>
        <v/>
      </c>
      <c r="T1097" s="39">
        <f>IFERROR(ISNUMBER(SEARCH("Aplicar",$R1097))/(ISNUMBER(SEARCH("Conocer",$R1097))+ISNUMBER(SEARCH("Aplicar",$R1097))+ISNUMBER(SEARCH("Razonar",$R1097))),0)</f>
        <v/>
      </c>
      <c r="U1097" s="39">
        <f>IFERROR(ISNUMBER(SEARCH("Razonar",$R1097))/(ISNUMBER(SEARCH("Conocer",$R1097))+ISNUMBER(SEARCH("Aplicar",$R1097))+ISNUMBER(SEARCH("Razonar",$R1097))),0)</f>
        <v/>
      </c>
      <c r="V1097" s="11" t="inlineStr">
        <is>
          <t>Química 11°</t>
        </is>
      </c>
      <c r="W1097" s="11" t="inlineStr">
        <is>
          <t>Química 10°–11°</t>
        </is>
      </c>
      <c r="X1097" s="11">
        <f>IF(OR(IFERROR(INDEX('Datos - Catálogo TIMSS'!$I$5:$I$107,MATCH(K1097,'Datos - Catálogo TIMSS'!$A$5:$A$107,0)),"No")="Sí",IFERROR(INDEX('Datos - Catálogo TIMSS'!$I$5:$I$107,MATCH(L1097,'Datos - Catálogo TIMSS'!$A$5:$A$107,0)),"No")="Sí"),1,0)</f>
        <v/>
      </c>
      <c r="Y1097" s="11">
        <f>IF(IFERROR(INDEX('Datos - Catálogo TIMSS'!$J$5:$J$107,MATCH(K1097,'Datos - Catálogo TIMSS'!$A$5:$A$107,0)),"No")="Sí",1,0)</f>
        <v/>
      </c>
      <c r="Z1097" s="11">
        <f>IF(IFERROR(INDEX('Datos - Catálogo TIMSS'!$J$5:$J$107,MATCH(L1097,'Datos - Catálogo TIMSS'!$A$5:$A$107,0)),"No")="Sí",1,0)</f>
        <v/>
      </c>
      <c r="AA1097" s="11" t="inlineStr">
        <is>
          <t>N/A</t>
        </is>
      </c>
      <c r="AB1097" s="11" t="inlineStr"/>
      <c r="AC1097" s="11">
        <f>IF(AA1097="FUERA","Fuera del marco",IF(AA1097="N/A","Sin marco",IFERROR(INDEX('Datos - TIMSS 2023'!$C$5:$C$105,MATCH(AA1097,'Datos - TIMSS 2023'!$A$5:$A$105,0)),"Pendiente de clasificar")))</f>
        <v/>
      </c>
      <c r="AD1097" s="11" t="inlineStr">
        <is>
          <t>1. Explicar fenómenos científicamente</t>
        </is>
      </c>
      <c r="AE1097" s="11">
        <f>IF(AD1097="","",IF(LEFT(AD1097,1)="1","C1",IF(LEFT(AD1097,1)="2","C2",IF(LEFT(AD1097,1)="3","C3",""))))</f>
        <v/>
      </c>
      <c r="AF1097" s="11" t="inlineStr">
        <is>
          <t>E6</t>
        </is>
      </c>
      <c r="AG1097" s="11" t="inlineStr">
        <is>
          <t>E5</t>
        </is>
      </c>
      <c r="AH1097" s="11" t="inlineStr">
        <is>
          <t>E2</t>
        </is>
      </c>
      <c r="AI1097" s="11" t="inlineStr">
        <is>
          <t>D4</t>
        </is>
      </c>
      <c r="AJ1097" s="11" t="inlineStr">
        <is>
          <t>E3</t>
        </is>
      </c>
      <c r="AK1097" s="11" t="n"/>
      <c r="AL1097" s="11" t="n"/>
      <c r="AM1097" s="11" t="n"/>
      <c r="AN1097" s="11" t="n"/>
      <c r="AO1097" s="11" t="n"/>
      <c r="AP1097" s="11" t="n"/>
      <c r="AQ1097" s="11" t="n"/>
      <c r="AR1097" s="11" t="n"/>
      <c r="AS1097" s="11" t="n"/>
      <c r="AT1097" s="11" t="n"/>
      <c r="AU1097" s="11" t="n"/>
      <c r="AV1097" s="11" t="n"/>
      <c r="AW1097" s="11">
        <f>AF1097&amp;"; "&amp;AG1097&amp;"; "&amp;AH1097&amp;"; "&amp;AI1097&amp;"; "&amp;AJ1097</f>
        <v/>
      </c>
    </row>
    <row r="1098">
      <c r="A1098" s="11" t="inlineStr">
        <is>
          <t>T0634-G11-QUÍ</t>
        </is>
      </c>
      <c r="B1098" s="11" t="n">
        <v>11</v>
      </c>
      <c r="C1098" s="11" t="inlineStr">
        <is>
          <t>Química</t>
        </is>
      </c>
      <c r="D1098" s="11" t="inlineStr">
        <is>
          <t>Matriz_Bachillerato_Quimica_10_11.xlsx</t>
        </is>
      </c>
      <c r="E1098" s="11" t="inlineStr">
        <is>
          <t>Química 11.°</t>
        </is>
      </c>
      <c r="F1098" s="11" t="n">
        <v>95</v>
      </c>
      <c r="G1098" s="11" t="inlineStr">
        <is>
          <t>11. Carbohidratos y lípidos</t>
        </is>
      </c>
      <c r="H1098" s="11" t="inlineStr">
        <is>
          <t>Química de los lípidos</t>
        </is>
      </c>
      <c r="I1098" s="38" t="inlineStr">
        <is>
          <t>11.7. Representación de la estructura de terpenos y esteroides a partir de unidades de isopreno y del núcleo del esterano.</t>
        </is>
      </c>
      <c r="J1098" s="11" t="inlineStr">
        <is>
          <t>Sin marco</t>
        </is>
      </c>
      <c r="K1098" s="11" t="inlineStr">
        <is>
          <t>N/A</t>
        </is>
      </c>
      <c r="L1098" s="11" t="inlineStr"/>
      <c r="M1098" s="11">
        <f>IF(K1098="FUERA","Fuera del marco",IF(K1098="N/A","Sin marco",IFERROR(INDEX('Datos - Catálogo TIMSS'!$C$5:$C$107,MATCH(K1098,'Datos - Catálogo TIMSS'!$A$5:$A$107,0)),"Pendiente de clasificar")))</f>
        <v/>
      </c>
      <c r="N1098" s="11">
        <f>IF(K1098="FUERA","Fuera del marco",IF(K1098="N/A","Sin marco",IFERROR(INDEX('Datos - Catálogo TIMSS'!$F$5:$F$107,MATCH(K1098,'Datos - Catálogo TIMSS'!$A$5:$A$107,0)),"Pendiente de clasificar")))</f>
        <v/>
      </c>
      <c r="O1098" s="11">
        <f>IF(L1098="","",IFERROR(INDEX('Datos - Catálogo TIMSS'!$C$5:$C$107,MATCH(L1098,'Datos - Catálogo TIMSS'!$A$5:$A$107,0)),"?"))</f>
        <v/>
      </c>
      <c r="P1098" s="11" t="inlineStr">
        <is>
          <t>N/A</t>
        </is>
      </c>
      <c r="Q1098" s="38" t="inlineStr">
        <is>
          <t>Sin marco TIMSS de contenido para esta asignatura en Bachillerato</t>
        </is>
      </c>
      <c r="R1098" s="38" t="inlineStr">
        <is>
          <t>Aplicar: reconocer unidades estructurales. Razonar: justificar la insolubilidad y la no saponificación</t>
        </is>
      </c>
      <c r="S1098" s="39">
        <f>IFERROR(ISNUMBER(SEARCH("Conocer",$R1098))/(ISNUMBER(SEARCH("Conocer",$R1098))+ISNUMBER(SEARCH("Aplicar",$R1098))+ISNUMBER(SEARCH("Razonar",$R1098))),0)</f>
        <v/>
      </c>
      <c r="T1098" s="39">
        <f>IFERROR(ISNUMBER(SEARCH("Aplicar",$R1098))/(ISNUMBER(SEARCH("Conocer",$R1098))+ISNUMBER(SEARCH("Aplicar",$R1098))+ISNUMBER(SEARCH("Razonar",$R1098))),0)</f>
        <v/>
      </c>
      <c r="U1098" s="39">
        <f>IFERROR(ISNUMBER(SEARCH("Razonar",$R1098))/(ISNUMBER(SEARCH("Conocer",$R1098))+ISNUMBER(SEARCH("Aplicar",$R1098))+ISNUMBER(SEARCH("Razonar",$R1098))),0)</f>
        <v/>
      </c>
      <c r="V1098" s="11" t="inlineStr">
        <is>
          <t>Química 11°</t>
        </is>
      </c>
      <c r="W1098" s="11" t="inlineStr">
        <is>
          <t>Química 10°–11°</t>
        </is>
      </c>
      <c r="X1098" s="11">
        <f>IF(OR(IFERROR(INDEX('Datos - Catálogo TIMSS'!$I$5:$I$107,MATCH(K1098,'Datos - Catálogo TIMSS'!$A$5:$A$107,0)),"No")="Sí",IFERROR(INDEX('Datos - Catálogo TIMSS'!$I$5:$I$107,MATCH(L1098,'Datos - Catálogo TIMSS'!$A$5:$A$107,0)),"No")="Sí"),1,0)</f>
        <v/>
      </c>
      <c r="Y1098" s="11">
        <f>IF(IFERROR(INDEX('Datos - Catálogo TIMSS'!$J$5:$J$107,MATCH(K1098,'Datos - Catálogo TIMSS'!$A$5:$A$107,0)),"No")="Sí",1,0)</f>
        <v/>
      </c>
      <c r="Z1098" s="11">
        <f>IF(IFERROR(INDEX('Datos - Catálogo TIMSS'!$J$5:$J$107,MATCH(L1098,'Datos - Catálogo TIMSS'!$A$5:$A$107,0)),"No")="Sí",1,0)</f>
        <v/>
      </c>
      <c r="AA1098" s="11" t="inlineStr">
        <is>
          <t>N/A</t>
        </is>
      </c>
      <c r="AB1098" s="11" t="inlineStr"/>
      <c r="AC1098" s="11">
        <f>IF(AA1098="FUERA","Fuera del marco",IF(AA1098="N/A","Sin marco",IFERROR(INDEX('Datos - TIMSS 2023'!$C$5:$C$105,MATCH(AA1098,'Datos - TIMSS 2023'!$A$5:$A$105,0)),"Pendiente de clasificar")))</f>
        <v/>
      </c>
      <c r="AD1098" s="11" t="inlineStr">
        <is>
          <t>1. Explicar fenómenos científicamente</t>
        </is>
      </c>
      <c r="AE1098" s="11">
        <f>IF(AD1098="","",IF(LEFT(AD1098,1)="1","C1",IF(LEFT(AD1098,1)="2","C2",IF(LEFT(AD1098,1)="3","C3",""))))</f>
        <v/>
      </c>
      <c r="AF1098" s="11" t="inlineStr">
        <is>
          <t>E1</t>
        </is>
      </c>
      <c r="AG1098" s="11" t="inlineStr">
        <is>
          <t>D1</t>
        </is>
      </c>
      <c r="AH1098" s="11" t="inlineStr">
        <is>
          <t>E2</t>
        </is>
      </c>
      <c r="AI1098" s="11" t="inlineStr">
        <is>
          <t>E4</t>
        </is>
      </c>
      <c r="AJ1098" s="11" t="inlineStr">
        <is>
          <t>I5</t>
        </is>
      </c>
      <c r="AK1098" s="11" t="n"/>
      <c r="AL1098" s="11" t="n"/>
      <c r="AM1098" s="11" t="n"/>
      <c r="AN1098" s="11" t="n"/>
      <c r="AO1098" s="11" t="n"/>
      <c r="AP1098" s="11" t="n"/>
      <c r="AQ1098" s="11" t="n"/>
      <c r="AR1098" s="11" t="n"/>
      <c r="AS1098" s="11" t="n"/>
      <c r="AT1098" s="11" t="n"/>
      <c r="AU1098" s="11" t="n"/>
      <c r="AV1098" s="11" t="n"/>
      <c r="AW1098" s="11">
        <f>AF1098&amp;"; "&amp;AG1098&amp;"; "&amp;AH1098&amp;"; "&amp;AI1098&amp;"; "&amp;AJ1098</f>
        <v/>
      </c>
    </row>
    <row r="1099">
      <c r="A1099" s="11" t="inlineStr">
        <is>
          <t>T0635-G11-QUÍ</t>
        </is>
      </c>
      <c r="B1099" s="11" t="n">
        <v>11</v>
      </c>
      <c r="C1099" s="11" t="inlineStr">
        <is>
          <t>Química</t>
        </is>
      </c>
      <c r="D1099" s="11" t="inlineStr">
        <is>
          <t>Matriz_Bachillerato_Quimica_10_11.xlsx</t>
        </is>
      </c>
      <c r="E1099" s="11" t="inlineStr">
        <is>
          <t>Química 11.°</t>
        </is>
      </c>
      <c r="F1099" s="11" t="n">
        <v>96</v>
      </c>
      <c r="G1099" s="11" t="inlineStr">
        <is>
          <t>12. Proteínas y ácidos nucleicos</t>
        </is>
      </c>
      <c r="H1099" s="11" t="inlineStr">
        <is>
          <t>Química de los aminoácidos</t>
        </is>
      </c>
      <c r="I1099" s="38" t="inlineStr">
        <is>
          <t>12.1. Interpretación de la curva de titulación de un aminoácido para identificar sus formas iónicas y calcular su punto isoeléctrico.</t>
        </is>
      </c>
      <c r="J1099" s="11" t="inlineStr">
        <is>
          <t>Sin marco</t>
        </is>
      </c>
      <c r="K1099" s="11" t="inlineStr">
        <is>
          <t>N/A</t>
        </is>
      </c>
      <c r="L1099" s="11" t="inlineStr"/>
      <c r="M1099" s="11">
        <f>IF(K1099="FUERA","Fuera del marco",IF(K1099="N/A","Sin marco",IFERROR(INDEX('Datos - Catálogo TIMSS'!$C$5:$C$107,MATCH(K1099,'Datos - Catálogo TIMSS'!$A$5:$A$107,0)),"Pendiente de clasificar")))</f>
        <v/>
      </c>
      <c r="N1099" s="11">
        <f>IF(K1099="FUERA","Fuera del marco",IF(K1099="N/A","Sin marco",IFERROR(INDEX('Datos - Catálogo TIMSS'!$F$5:$F$107,MATCH(K1099,'Datos - Catálogo TIMSS'!$A$5:$A$107,0)),"Pendiente de clasificar")))</f>
        <v/>
      </c>
      <c r="O1099" s="11">
        <f>IF(L1099="","",IFERROR(INDEX('Datos - Catálogo TIMSS'!$C$5:$C$107,MATCH(L1099,'Datos - Catálogo TIMSS'!$A$5:$A$107,0)),"?"))</f>
        <v/>
      </c>
      <c r="P1099" s="11" t="inlineStr">
        <is>
          <t>N/A</t>
        </is>
      </c>
      <c r="Q1099" s="38" t="inlineStr">
        <is>
          <t>Sin marco TIMSS de contenido para esta asignatura en Bachillerato</t>
        </is>
      </c>
      <c r="R1099" s="38" t="inlineStr">
        <is>
          <t>Aplicar: calcular el punto isoeléctrico. Razonar: predecir la carga a distintos pH</t>
        </is>
      </c>
      <c r="S1099" s="39">
        <f>IFERROR(ISNUMBER(SEARCH("Conocer",$R1099))/(ISNUMBER(SEARCH("Conocer",$R1099))+ISNUMBER(SEARCH("Aplicar",$R1099))+ISNUMBER(SEARCH("Razonar",$R1099))),0)</f>
        <v/>
      </c>
      <c r="T1099" s="39">
        <f>IFERROR(ISNUMBER(SEARCH("Aplicar",$R1099))/(ISNUMBER(SEARCH("Conocer",$R1099))+ISNUMBER(SEARCH("Aplicar",$R1099))+ISNUMBER(SEARCH("Razonar",$R1099))),0)</f>
        <v/>
      </c>
      <c r="U1099" s="39">
        <f>IFERROR(ISNUMBER(SEARCH("Razonar",$R1099))/(ISNUMBER(SEARCH("Conocer",$R1099))+ISNUMBER(SEARCH("Aplicar",$R1099))+ISNUMBER(SEARCH("Razonar",$R1099))),0)</f>
        <v/>
      </c>
      <c r="V1099" s="11" t="inlineStr">
        <is>
          <t>Química 11°</t>
        </is>
      </c>
      <c r="W1099" s="11" t="inlineStr">
        <is>
          <t>Química 10°–11°</t>
        </is>
      </c>
      <c r="X1099" s="11">
        <f>IF(OR(IFERROR(INDEX('Datos - Catálogo TIMSS'!$I$5:$I$107,MATCH(K1099,'Datos - Catálogo TIMSS'!$A$5:$A$107,0)),"No")="Sí",IFERROR(INDEX('Datos - Catálogo TIMSS'!$I$5:$I$107,MATCH(L1099,'Datos - Catálogo TIMSS'!$A$5:$A$107,0)),"No")="Sí"),1,0)</f>
        <v/>
      </c>
      <c r="Y1099" s="11">
        <f>IF(IFERROR(INDEX('Datos - Catálogo TIMSS'!$J$5:$J$107,MATCH(K1099,'Datos - Catálogo TIMSS'!$A$5:$A$107,0)),"No")="Sí",1,0)</f>
        <v/>
      </c>
      <c r="Z1099" s="11">
        <f>IF(IFERROR(INDEX('Datos - Catálogo TIMSS'!$J$5:$J$107,MATCH(L1099,'Datos - Catálogo TIMSS'!$A$5:$A$107,0)),"No")="Sí",1,0)</f>
        <v/>
      </c>
      <c r="AA1099" s="11" t="inlineStr">
        <is>
          <t>N/A</t>
        </is>
      </c>
      <c r="AB1099" s="11" t="inlineStr"/>
      <c r="AC1099" s="11">
        <f>IF(AA1099="FUERA","Fuera del marco",IF(AA1099="N/A","Sin marco",IFERROR(INDEX('Datos - TIMSS 2023'!$C$5:$C$105,MATCH(AA1099,'Datos - TIMSS 2023'!$A$5:$A$105,0)),"Pendiente de clasificar")))</f>
        <v/>
      </c>
      <c r="AD1099" s="11" t="inlineStr">
        <is>
          <t>1. Explicar fenómenos científicamente</t>
        </is>
      </c>
      <c r="AE1099" s="11">
        <f>IF(AD1099="","",IF(LEFT(AD1099,1)="1","C1",IF(LEFT(AD1099,1)="2","C2",IF(LEFT(AD1099,1)="3","C3",""))))</f>
        <v/>
      </c>
      <c r="AF1099" s="11" t="inlineStr">
        <is>
          <t>E1</t>
        </is>
      </c>
      <c r="AG1099" s="11" t="inlineStr">
        <is>
          <t>E3</t>
        </is>
      </c>
      <c r="AH1099" s="11" t="inlineStr">
        <is>
          <t>E2</t>
        </is>
      </c>
      <c r="AI1099" s="11" t="inlineStr">
        <is>
          <t>D4</t>
        </is>
      </c>
      <c r="AJ1099" s="11" t="inlineStr">
        <is>
          <t>E3</t>
        </is>
      </c>
      <c r="AK1099" s="11" t="n"/>
      <c r="AL1099" s="11" t="n"/>
      <c r="AM1099" s="11" t="n"/>
      <c r="AN1099" s="11" t="n"/>
      <c r="AO1099" s="11" t="n"/>
      <c r="AP1099" s="11" t="n"/>
      <c r="AQ1099" s="11" t="n"/>
      <c r="AR1099" s="11" t="n"/>
      <c r="AS1099" s="11" t="n"/>
      <c r="AT1099" s="11" t="n"/>
      <c r="AU1099" s="11" t="n"/>
      <c r="AV1099" s="11" t="n"/>
      <c r="AW1099" s="11">
        <f>AF1099&amp;"; "&amp;AG1099&amp;"; "&amp;AH1099&amp;"; "&amp;AI1099&amp;"; "&amp;AJ1099</f>
        <v/>
      </c>
    </row>
    <row r="1100">
      <c r="A1100" s="11" t="inlineStr">
        <is>
          <t>T0636-G11-QUÍ</t>
        </is>
      </c>
      <c r="B1100" s="11" t="n">
        <v>11</v>
      </c>
      <c r="C1100" s="11" t="inlineStr">
        <is>
          <t>Química</t>
        </is>
      </c>
      <c r="D1100" s="11" t="inlineStr">
        <is>
          <t>Matriz_Bachillerato_Quimica_10_11.xlsx</t>
        </is>
      </c>
      <c r="E1100" s="11" t="inlineStr">
        <is>
          <t>Química 11.°</t>
        </is>
      </c>
      <c r="F1100" s="11" t="n">
        <v>97</v>
      </c>
      <c r="G1100" s="11" t="inlineStr">
        <is>
          <t>12. Proteínas y ácidos nucleicos</t>
        </is>
      </c>
      <c r="H1100" s="11" t="inlineStr">
        <is>
          <t>Estructura de las proteínas</t>
        </is>
      </c>
      <c r="I1100" s="38" t="inlineStr">
        <is>
          <t>12.2. Análisis de las fuerzas químicas que estabilizan cada nivel estructural de las proteínas.</t>
        </is>
      </c>
      <c r="J1100" s="11" t="inlineStr">
        <is>
          <t>Sin marco</t>
        </is>
      </c>
      <c r="K1100" s="11" t="inlineStr">
        <is>
          <t>N/A</t>
        </is>
      </c>
      <c r="L1100" s="11" t="inlineStr"/>
      <c r="M1100" s="11">
        <f>IF(K1100="FUERA","Fuera del marco",IF(K1100="N/A","Sin marco",IFERROR(INDEX('Datos - Catálogo TIMSS'!$C$5:$C$107,MATCH(K1100,'Datos - Catálogo TIMSS'!$A$5:$A$107,0)),"Pendiente de clasificar")))</f>
        <v/>
      </c>
      <c r="N1100" s="11">
        <f>IF(K1100="FUERA","Fuera del marco",IF(K1100="N/A","Sin marco",IFERROR(INDEX('Datos - Catálogo TIMSS'!$F$5:$F$107,MATCH(K1100,'Datos - Catálogo TIMSS'!$A$5:$A$107,0)),"Pendiente de clasificar")))</f>
        <v/>
      </c>
      <c r="O1100" s="11">
        <f>IF(L1100="","",IFERROR(INDEX('Datos - Catálogo TIMSS'!$C$5:$C$107,MATCH(L1100,'Datos - Catálogo TIMSS'!$A$5:$A$107,0)),"?"))</f>
        <v/>
      </c>
      <c r="P1100" s="11" t="inlineStr">
        <is>
          <t>N/A</t>
        </is>
      </c>
      <c r="Q1100" s="38" t="inlineStr">
        <is>
          <t>Sin marco TIMSS de contenido para esta asignatura en Bachillerato</t>
        </is>
      </c>
      <c r="R1100" s="38" t="inlineStr">
        <is>
          <t>Aplicar: identificar interacciones en modelos. Razonar: relacionar interacciones con niveles estructurales</t>
        </is>
      </c>
      <c r="S1100" s="39">
        <f>IFERROR(ISNUMBER(SEARCH("Conocer",$R1100))/(ISNUMBER(SEARCH("Conocer",$R1100))+ISNUMBER(SEARCH("Aplicar",$R1100))+ISNUMBER(SEARCH("Razonar",$R1100))),0)</f>
        <v/>
      </c>
      <c r="T1100" s="39">
        <f>IFERROR(ISNUMBER(SEARCH("Aplicar",$R1100))/(ISNUMBER(SEARCH("Conocer",$R1100))+ISNUMBER(SEARCH("Aplicar",$R1100))+ISNUMBER(SEARCH("Razonar",$R1100))),0)</f>
        <v/>
      </c>
      <c r="U1100" s="39">
        <f>IFERROR(ISNUMBER(SEARCH("Razonar",$R1100))/(ISNUMBER(SEARCH("Conocer",$R1100))+ISNUMBER(SEARCH("Aplicar",$R1100))+ISNUMBER(SEARCH("Razonar",$R1100))),0)</f>
        <v/>
      </c>
      <c r="V1100" s="11" t="inlineStr">
        <is>
          <t>Química 11°</t>
        </is>
      </c>
      <c r="W1100" s="11" t="inlineStr">
        <is>
          <t>Química 10°–11°</t>
        </is>
      </c>
      <c r="X1100" s="11">
        <f>IF(OR(IFERROR(INDEX('Datos - Catálogo TIMSS'!$I$5:$I$107,MATCH(K1100,'Datos - Catálogo TIMSS'!$A$5:$A$107,0)),"No")="Sí",IFERROR(INDEX('Datos - Catálogo TIMSS'!$I$5:$I$107,MATCH(L1100,'Datos - Catálogo TIMSS'!$A$5:$A$107,0)),"No")="Sí"),1,0)</f>
        <v/>
      </c>
      <c r="Y1100" s="11">
        <f>IF(IFERROR(INDEX('Datos - Catálogo TIMSS'!$J$5:$J$107,MATCH(K1100,'Datos - Catálogo TIMSS'!$A$5:$A$107,0)),"No")="Sí",1,0)</f>
        <v/>
      </c>
      <c r="Z1100" s="11">
        <f>IF(IFERROR(INDEX('Datos - Catálogo TIMSS'!$J$5:$J$107,MATCH(L1100,'Datos - Catálogo TIMSS'!$A$5:$A$107,0)),"No")="Sí",1,0)</f>
        <v/>
      </c>
      <c r="AA1100" s="11" t="inlineStr">
        <is>
          <t>N/A</t>
        </is>
      </c>
      <c r="AB1100" s="11" t="inlineStr"/>
      <c r="AC1100" s="11">
        <f>IF(AA1100="FUERA","Fuera del marco",IF(AA1100="N/A","Sin marco",IFERROR(INDEX('Datos - TIMSS 2023'!$C$5:$C$105,MATCH(AA1100,'Datos - TIMSS 2023'!$A$5:$A$105,0)),"Pendiente de clasificar")))</f>
        <v/>
      </c>
      <c r="AD1100" s="11" t="inlineStr">
        <is>
          <t>1. Explicar fenómenos científicamente</t>
        </is>
      </c>
      <c r="AE1100" s="11">
        <f>IF(AD1100="","",IF(LEFT(AD1100,1)="1","C1",IF(LEFT(AD1100,1)="2","C2",IF(LEFT(AD1100,1)="3","C3",""))))</f>
        <v/>
      </c>
      <c r="AF1100" s="11" t="inlineStr">
        <is>
          <t>E1</t>
        </is>
      </c>
      <c r="AG1100" s="11" t="inlineStr">
        <is>
          <t>D1</t>
        </is>
      </c>
      <c r="AH1100" s="11" t="inlineStr">
        <is>
          <t>E4</t>
        </is>
      </c>
      <c r="AI1100" s="11" t="inlineStr">
        <is>
          <t>D4</t>
        </is>
      </c>
      <c r="AJ1100" s="11" t="inlineStr">
        <is>
          <t>E3</t>
        </is>
      </c>
      <c r="AK1100" s="11" t="n"/>
      <c r="AL1100" s="11" t="n"/>
      <c r="AM1100" s="11" t="n"/>
      <c r="AN1100" s="11" t="n"/>
      <c r="AO1100" s="11" t="n"/>
      <c r="AP1100" s="11" t="n"/>
      <c r="AQ1100" s="11" t="n"/>
      <c r="AR1100" s="11" t="n"/>
      <c r="AS1100" s="11" t="n"/>
      <c r="AT1100" s="11" t="n"/>
      <c r="AU1100" s="11" t="n"/>
      <c r="AV1100" s="11" t="n"/>
      <c r="AW1100" s="11">
        <f>AF1100&amp;"; "&amp;AG1100&amp;"; "&amp;AH1100&amp;"; "&amp;AI1100&amp;"; "&amp;AJ1100</f>
        <v/>
      </c>
    </row>
    <row r="1101">
      <c r="A1101" s="11" t="inlineStr">
        <is>
          <t>T0637-G11-QUÍ</t>
        </is>
      </c>
      <c r="B1101" s="11" t="n">
        <v>11</v>
      </c>
      <c r="C1101" s="11" t="inlineStr">
        <is>
          <t>Química</t>
        </is>
      </c>
      <c r="D1101" s="11" t="inlineStr">
        <is>
          <t>Matriz_Bachillerato_Quimica_10_11.xlsx</t>
        </is>
      </c>
      <c r="E1101" s="11" t="inlineStr">
        <is>
          <t>Química 11.°</t>
        </is>
      </c>
      <c r="F1101" s="11" t="n">
        <v>98</v>
      </c>
      <c r="G1101" s="11" t="inlineStr">
        <is>
          <t>12. Proteínas y ácidos nucleicos</t>
        </is>
      </c>
      <c r="H1101" s="11" t="inlineStr">
        <is>
          <t>Estructura de las proteínas</t>
        </is>
      </c>
      <c r="I1101" s="38" t="inlineStr">
        <is>
          <t>12.3. Análisis de la desnaturalización de proteínas por cambios de temperatura, pH y concentración salina.</t>
        </is>
      </c>
      <c r="J1101" s="11" t="inlineStr">
        <is>
          <t>Sin marco</t>
        </is>
      </c>
      <c r="K1101" s="11" t="inlineStr">
        <is>
          <t>N/A</t>
        </is>
      </c>
      <c r="L1101" s="11" t="inlineStr"/>
      <c r="M1101" s="11">
        <f>IF(K1101="FUERA","Fuera del marco",IF(K1101="N/A","Sin marco",IFERROR(INDEX('Datos - Catálogo TIMSS'!$C$5:$C$107,MATCH(K1101,'Datos - Catálogo TIMSS'!$A$5:$A$107,0)),"Pendiente de clasificar")))</f>
        <v/>
      </c>
      <c r="N1101" s="11">
        <f>IF(K1101="FUERA","Fuera del marco",IF(K1101="N/A","Sin marco",IFERROR(INDEX('Datos - Catálogo TIMSS'!$F$5:$F$107,MATCH(K1101,'Datos - Catálogo TIMSS'!$A$5:$A$107,0)),"Pendiente de clasificar")))</f>
        <v/>
      </c>
      <c r="O1101" s="11">
        <f>IF(L1101="","",IFERROR(INDEX('Datos - Catálogo TIMSS'!$C$5:$C$107,MATCH(L1101,'Datos - Catálogo TIMSS'!$A$5:$A$107,0)),"?"))</f>
        <v/>
      </c>
      <c r="P1101" s="11" t="inlineStr">
        <is>
          <t>N/A</t>
        </is>
      </c>
      <c r="Q1101" s="38" t="inlineStr">
        <is>
          <t>Sin marco TIMSS de contenido para esta asignatura en Bachillerato</t>
        </is>
      </c>
      <c r="R1101" s="38" t="inlineStr">
        <is>
          <t>Aplicar: identificar interacciones alteradas. Razonar: diseñar un experimento controlado y concluir</t>
        </is>
      </c>
      <c r="S1101" s="39">
        <f>IFERROR(ISNUMBER(SEARCH("Conocer",$R1101))/(ISNUMBER(SEARCH("Conocer",$R1101))+ISNUMBER(SEARCH("Aplicar",$R1101))+ISNUMBER(SEARCH("Razonar",$R1101))),0)</f>
        <v/>
      </c>
      <c r="T1101" s="39">
        <f>IFERROR(ISNUMBER(SEARCH("Aplicar",$R1101))/(ISNUMBER(SEARCH("Conocer",$R1101))+ISNUMBER(SEARCH("Aplicar",$R1101))+ISNUMBER(SEARCH("Razonar",$R1101))),0)</f>
        <v/>
      </c>
      <c r="U1101" s="39">
        <f>IFERROR(ISNUMBER(SEARCH("Razonar",$R1101))/(ISNUMBER(SEARCH("Conocer",$R1101))+ISNUMBER(SEARCH("Aplicar",$R1101))+ISNUMBER(SEARCH("Razonar",$R1101))),0)</f>
        <v/>
      </c>
      <c r="V1101" s="11" t="inlineStr">
        <is>
          <t>Química 11°</t>
        </is>
      </c>
      <c r="W1101" s="11" t="inlineStr">
        <is>
          <t>Química 10°–11°</t>
        </is>
      </c>
      <c r="X1101" s="11">
        <f>IF(OR(IFERROR(INDEX('Datos - Catálogo TIMSS'!$I$5:$I$107,MATCH(K1101,'Datos - Catálogo TIMSS'!$A$5:$A$107,0)),"No")="Sí",IFERROR(INDEX('Datos - Catálogo TIMSS'!$I$5:$I$107,MATCH(L1101,'Datos - Catálogo TIMSS'!$A$5:$A$107,0)),"No")="Sí"),1,0)</f>
        <v/>
      </c>
      <c r="Y1101" s="11">
        <f>IF(IFERROR(INDEX('Datos - Catálogo TIMSS'!$J$5:$J$107,MATCH(K1101,'Datos - Catálogo TIMSS'!$A$5:$A$107,0)),"No")="Sí",1,0)</f>
        <v/>
      </c>
      <c r="Z1101" s="11">
        <f>IF(IFERROR(INDEX('Datos - Catálogo TIMSS'!$J$5:$J$107,MATCH(L1101,'Datos - Catálogo TIMSS'!$A$5:$A$107,0)),"No")="Sí",1,0)</f>
        <v/>
      </c>
      <c r="AA1101" s="11" t="inlineStr">
        <is>
          <t>N/A</t>
        </is>
      </c>
      <c r="AB1101" s="11" t="inlineStr"/>
      <c r="AC1101" s="11">
        <f>IF(AA1101="FUERA","Fuera del marco",IF(AA1101="N/A","Sin marco",IFERROR(INDEX('Datos - TIMSS 2023'!$C$5:$C$105,MATCH(AA1101,'Datos - TIMSS 2023'!$A$5:$A$105,0)),"Pendiente de clasificar")))</f>
        <v/>
      </c>
      <c r="AD1101" s="11" t="inlineStr">
        <is>
          <t>2. Construir y evaluar diseños para la indagación científica e interpretar datos y evidencia de forma crítica</t>
        </is>
      </c>
      <c r="AE1101" s="11">
        <f>IF(AD1101="","",IF(LEFT(AD1101,1)="1","C1",IF(LEFT(AD1101,1)="2","C2",IF(LEFT(AD1101,1)="3","C3",""))))</f>
        <v/>
      </c>
      <c r="AF1101" s="11" t="inlineStr">
        <is>
          <t>E6</t>
        </is>
      </c>
      <c r="AG1101" s="11" t="inlineStr">
        <is>
          <t>D1</t>
        </is>
      </c>
      <c r="AH1101" s="11" t="inlineStr">
        <is>
          <t>E1</t>
        </is>
      </c>
      <c r="AI1101" s="11" t="inlineStr">
        <is>
          <t>D2</t>
        </is>
      </c>
      <c r="AJ1101" s="11" t="inlineStr">
        <is>
          <t>D3</t>
        </is>
      </c>
      <c r="AK1101" s="11" t="n"/>
      <c r="AL1101" s="11" t="n"/>
      <c r="AM1101" s="11" t="n"/>
      <c r="AN1101" s="11" t="n"/>
      <c r="AO1101" s="11" t="n"/>
      <c r="AP1101" s="11" t="n"/>
      <c r="AQ1101" s="11" t="n"/>
      <c r="AR1101" s="11" t="n"/>
      <c r="AS1101" s="11" t="n"/>
      <c r="AT1101" s="11" t="n"/>
      <c r="AU1101" s="11" t="n"/>
      <c r="AV1101" s="11" t="n"/>
      <c r="AW1101" s="11">
        <f>AF1101&amp;"; "&amp;AG1101&amp;"; "&amp;AH1101&amp;"; "&amp;AI1101&amp;"; "&amp;AJ1101</f>
        <v/>
      </c>
    </row>
    <row r="1102">
      <c r="A1102" s="11" t="inlineStr">
        <is>
          <t>T0638-G11-QUÍ</t>
        </is>
      </c>
      <c r="B1102" s="11" t="n">
        <v>11</v>
      </c>
      <c r="C1102" s="11" t="inlineStr">
        <is>
          <t>Química</t>
        </is>
      </c>
      <c r="D1102" s="11" t="inlineStr">
        <is>
          <t>Matriz_Bachillerato_Quimica_10_11.xlsx</t>
        </is>
      </c>
      <c r="E1102" s="11" t="inlineStr">
        <is>
          <t>Química 11.°</t>
        </is>
      </c>
      <c r="F1102" s="11" t="n">
        <v>99</v>
      </c>
      <c r="G1102" s="11" t="inlineStr">
        <is>
          <t>12. Proteínas y ácidos nucleicos</t>
        </is>
      </c>
      <c r="H1102" s="11" t="inlineStr">
        <is>
          <t>Química de los ácidos nucleicos</t>
        </is>
      </c>
      <c r="I1102" s="38" t="inlineStr">
        <is>
          <t>12.4. Análisis de la formación del enlace fosfodiéster y del apareamiento de bases como base química de la estabilidad del ADN y del ARN.</t>
        </is>
      </c>
      <c r="J1102" s="11" t="inlineStr">
        <is>
          <t>Sin marco</t>
        </is>
      </c>
      <c r="K1102" s="11" t="inlineStr">
        <is>
          <t>N/A</t>
        </is>
      </c>
      <c r="L1102" s="11" t="inlineStr"/>
      <c r="M1102" s="11">
        <f>IF(K1102="FUERA","Fuera del marco",IF(K1102="N/A","Sin marco",IFERROR(INDEX('Datos - Catálogo TIMSS'!$C$5:$C$107,MATCH(K1102,'Datos - Catálogo TIMSS'!$A$5:$A$107,0)),"Pendiente de clasificar")))</f>
        <v/>
      </c>
      <c r="N1102" s="11">
        <f>IF(K1102="FUERA","Fuera del marco",IF(K1102="N/A","Sin marco",IFERROR(INDEX('Datos - Catálogo TIMSS'!$F$5:$F$107,MATCH(K1102,'Datos - Catálogo TIMSS'!$A$5:$A$107,0)),"Pendiente de clasificar")))</f>
        <v/>
      </c>
      <c r="O1102" s="11">
        <f>IF(L1102="","",IFERROR(INDEX('Datos - Catálogo TIMSS'!$C$5:$C$107,MATCH(L1102,'Datos - Catálogo TIMSS'!$A$5:$A$107,0)),"?"))</f>
        <v/>
      </c>
      <c r="P1102" s="11" t="inlineStr">
        <is>
          <t>N/A</t>
        </is>
      </c>
      <c r="Q1102" s="38" t="inlineStr">
        <is>
          <t>Sin marco TIMSS de contenido para esta asignatura en Bachillerato</t>
        </is>
      </c>
      <c r="R1102" s="38" t="inlineStr">
        <is>
          <t>Aplicar: representar enlaces y calcular porcentajes de G-C. Razonar: relacionar estructura con estabilidad térmica</t>
        </is>
      </c>
      <c r="S1102" s="39">
        <f>IFERROR(ISNUMBER(SEARCH("Conocer",$R1102))/(ISNUMBER(SEARCH("Conocer",$R1102))+ISNUMBER(SEARCH("Aplicar",$R1102))+ISNUMBER(SEARCH("Razonar",$R1102))),0)</f>
        <v/>
      </c>
      <c r="T1102" s="39">
        <f>IFERROR(ISNUMBER(SEARCH("Aplicar",$R1102))/(ISNUMBER(SEARCH("Conocer",$R1102))+ISNUMBER(SEARCH("Aplicar",$R1102))+ISNUMBER(SEARCH("Razonar",$R1102))),0)</f>
        <v/>
      </c>
      <c r="U1102" s="39">
        <f>IFERROR(ISNUMBER(SEARCH("Razonar",$R1102))/(ISNUMBER(SEARCH("Conocer",$R1102))+ISNUMBER(SEARCH("Aplicar",$R1102))+ISNUMBER(SEARCH("Razonar",$R1102))),0)</f>
        <v/>
      </c>
      <c r="V1102" s="11" t="inlineStr">
        <is>
          <t>Química 11°</t>
        </is>
      </c>
      <c r="W1102" s="11" t="inlineStr">
        <is>
          <t>Química 10°–11°</t>
        </is>
      </c>
      <c r="X1102" s="11">
        <f>IF(OR(IFERROR(INDEX('Datos - Catálogo TIMSS'!$I$5:$I$107,MATCH(K1102,'Datos - Catálogo TIMSS'!$A$5:$A$107,0)),"No")="Sí",IFERROR(INDEX('Datos - Catálogo TIMSS'!$I$5:$I$107,MATCH(L1102,'Datos - Catálogo TIMSS'!$A$5:$A$107,0)),"No")="Sí"),1,0)</f>
        <v/>
      </c>
      <c r="Y1102" s="11">
        <f>IF(IFERROR(INDEX('Datos - Catálogo TIMSS'!$J$5:$J$107,MATCH(K1102,'Datos - Catálogo TIMSS'!$A$5:$A$107,0)),"No")="Sí",1,0)</f>
        <v/>
      </c>
      <c r="Z1102" s="11">
        <f>IF(IFERROR(INDEX('Datos - Catálogo TIMSS'!$J$5:$J$107,MATCH(L1102,'Datos - Catálogo TIMSS'!$A$5:$A$107,0)),"No")="Sí",1,0)</f>
        <v/>
      </c>
      <c r="AA1102" s="11" t="inlineStr">
        <is>
          <t>N/A</t>
        </is>
      </c>
      <c r="AB1102" s="11" t="inlineStr"/>
      <c r="AC1102" s="11">
        <f>IF(AA1102="FUERA","Fuera del marco",IF(AA1102="N/A","Sin marco",IFERROR(INDEX('Datos - TIMSS 2023'!$C$5:$C$105,MATCH(AA1102,'Datos - TIMSS 2023'!$A$5:$A$105,0)),"Pendiente de clasificar")))</f>
        <v/>
      </c>
      <c r="AD1102" s="11" t="inlineStr">
        <is>
          <t>1. Explicar fenómenos científicamente</t>
        </is>
      </c>
      <c r="AE1102" s="11">
        <f>IF(AD1102="","",IF(LEFT(AD1102,1)="1","C1",IF(LEFT(AD1102,1)="2","C2",IF(LEFT(AD1102,1)="3","C3",""))))</f>
        <v/>
      </c>
      <c r="AF1102" s="11" t="inlineStr">
        <is>
          <t>E1</t>
        </is>
      </c>
      <c r="AG1102" s="11" t="inlineStr">
        <is>
          <t>E3</t>
        </is>
      </c>
      <c r="AH1102" s="11" t="inlineStr">
        <is>
          <t>E2</t>
        </is>
      </c>
      <c r="AI1102" s="11" t="inlineStr">
        <is>
          <t>D4</t>
        </is>
      </c>
      <c r="AJ1102" s="11" t="inlineStr">
        <is>
          <t>E3</t>
        </is>
      </c>
      <c r="AK1102" s="11" t="n"/>
      <c r="AL1102" s="11" t="n"/>
      <c r="AM1102" s="11" t="n"/>
      <c r="AN1102" s="11" t="n"/>
      <c r="AO1102" s="11" t="n"/>
      <c r="AP1102" s="11" t="n"/>
      <c r="AQ1102" s="11" t="n"/>
      <c r="AR1102" s="11" t="n"/>
      <c r="AS1102" s="11" t="n"/>
      <c r="AT1102" s="11" t="n"/>
      <c r="AU1102" s="11" t="n"/>
      <c r="AV1102" s="11" t="n"/>
      <c r="AW1102" s="11">
        <f>AF1102&amp;"; "&amp;AG1102&amp;"; "&amp;AH1102&amp;"; "&amp;AI1102&amp;"; "&amp;AJ1102</f>
        <v/>
      </c>
    </row>
    <row r="1103">
      <c r="A1103" s="11" t="inlineStr">
        <is>
          <t>T0001-G10-BIO</t>
        </is>
      </c>
      <c r="B1103" s="11" t="n">
        <v>10</v>
      </c>
      <c r="C1103" s="11" t="inlineStr">
        <is>
          <t>Biología</t>
        </is>
      </c>
      <c r="D1103" s="11" t="inlineStr">
        <is>
          <t>Matriz_Bachillerato_Biologia_10_11.xlsx</t>
        </is>
      </c>
      <c r="E1103" s="11" t="inlineStr">
        <is>
          <t>Biología 10.°</t>
        </is>
      </c>
      <c r="F1103" s="11" t="n">
        <v>3</v>
      </c>
      <c r="G1103" s="11" t="inlineStr">
        <is>
          <t>1. Biomoléculas</t>
        </is>
      </c>
      <c r="H1103" s="11" t="inlineStr">
        <is>
          <t>Carbohidratos</t>
        </is>
      </c>
      <c r="I1103" s="38" t="inlineStr">
        <is>
          <t>1.1. Identificación de los carbohidratos y sus estructuras.</t>
        </is>
      </c>
      <c r="J1103" s="11" t="inlineStr">
        <is>
          <t>Sin marco</t>
        </is>
      </c>
      <c r="K1103" s="11" t="inlineStr">
        <is>
          <t>N/A</t>
        </is>
      </c>
      <c r="L1103" s="11" t="inlineStr"/>
      <c r="M1103" s="11">
        <f>IF(K1103="FUERA","Fuera del marco",IF(K1103="N/A","Sin marco",IFERROR(INDEX('Datos - Catálogo TIMSS'!$C$5:$C$107,MATCH(K1103,'Datos - Catálogo TIMSS'!$A$5:$A$107,0)),"Pendiente de clasificar")))</f>
        <v/>
      </c>
      <c r="N1103" s="11">
        <f>IF(K1103="FUERA","Fuera del marco",IF(K1103="N/A","Sin marco",IFERROR(INDEX('Datos - Catálogo TIMSS'!$F$5:$F$107,MATCH(K1103,'Datos - Catálogo TIMSS'!$A$5:$A$107,0)),"Pendiente de clasificar")))</f>
        <v/>
      </c>
      <c r="O1103" s="11">
        <f>IF(L1103="","",IFERROR(INDEX('Datos - Catálogo TIMSS'!$C$5:$C$107,MATCH(L1103,'Datos - Catálogo TIMSS'!$A$5:$A$107,0)),"?"))</f>
        <v/>
      </c>
      <c r="P1103" s="11" t="inlineStr">
        <is>
          <t>N/A</t>
        </is>
      </c>
      <c r="Q1103" s="38" t="inlineStr">
        <is>
          <t>Sin marco TIMSS de contenido para esta asignatura en Bachillerato</t>
        </is>
      </c>
      <c r="R1103" s="38" t="inlineStr">
        <is>
          <t>Conocer: identificar grupos funcionales. Aplicar: representar estructuras. Razonar: relacionar estructura y función</t>
        </is>
      </c>
      <c r="S1103" s="39">
        <f>IFERROR(ISNUMBER(SEARCH("Conocer",$R1103))/(ISNUMBER(SEARCH("Conocer",$R1103))+ISNUMBER(SEARCH("Aplicar",$R1103))+ISNUMBER(SEARCH("Razonar",$R1103))),0)</f>
        <v/>
      </c>
      <c r="T1103" s="39">
        <f>IFERROR(ISNUMBER(SEARCH("Aplicar",$R1103))/(ISNUMBER(SEARCH("Conocer",$R1103))+ISNUMBER(SEARCH("Aplicar",$R1103))+ISNUMBER(SEARCH("Razonar",$R1103))),0)</f>
        <v/>
      </c>
      <c r="U1103" s="39">
        <f>IFERROR(ISNUMBER(SEARCH("Razonar",$R1103))/(ISNUMBER(SEARCH("Conocer",$R1103))+ISNUMBER(SEARCH("Aplicar",$R1103))+ISNUMBER(SEARCH("Razonar",$R1103))),0)</f>
        <v/>
      </c>
      <c r="V1103" s="11" t="inlineStr">
        <is>
          <t>Biología 10°</t>
        </is>
      </c>
      <c r="W1103" s="11" t="inlineStr">
        <is>
          <t>Biología 10°–11°</t>
        </is>
      </c>
      <c r="X1103" s="11">
        <f>IF(OR(IFERROR(INDEX('Datos - Catálogo TIMSS'!$I$5:$I$107,MATCH(K1103,'Datos - Catálogo TIMSS'!$A$5:$A$107,0)),"No")="Sí",IFERROR(INDEX('Datos - Catálogo TIMSS'!$I$5:$I$107,MATCH(L1103,'Datos - Catálogo TIMSS'!$A$5:$A$107,0)),"No")="Sí"),1,0)</f>
        <v/>
      </c>
      <c r="Y1103" s="11">
        <f>IF(IFERROR(INDEX('Datos - Catálogo TIMSS'!$J$5:$J$107,MATCH(K1103,'Datos - Catálogo TIMSS'!$A$5:$A$107,0)),"No")="Sí",1,0)</f>
        <v/>
      </c>
      <c r="Z1103" s="11">
        <f>IF(IFERROR(INDEX('Datos - Catálogo TIMSS'!$J$5:$J$107,MATCH(L1103,'Datos - Catálogo TIMSS'!$A$5:$A$107,0)),"No")="Sí",1,0)</f>
        <v/>
      </c>
      <c r="AA1103" s="11" t="inlineStr">
        <is>
          <t>N/A</t>
        </is>
      </c>
      <c r="AB1103" s="11" t="inlineStr"/>
      <c r="AC1103" s="11">
        <f>IF(AA1103="FUERA","Fuera del marco",IF(AA1103="N/A","Sin marco",IFERROR(INDEX('Datos - TIMSS 2023'!$C$5:$C$105,MATCH(AA1103,'Datos - TIMSS 2023'!$A$5:$A$105,0)),"Pendiente de clasificar")))</f>
        <v/>
      </c>
      <c r="AD1103" s="11" t="inlineStr">
        <is>
          <t>1. Explicar fenómenos científicamente</t>
        </is>
      </c>
      <c r="AE1103" s="11">
        <f>IF(AD1103="","",IF(LEFT(AD1103,1)="1","C1",IF(LEFT(AD1103,1)="2","C2",IF(LEFT(AD1103,1)="3","C3",""))))</f>
        <v/>
      </c>
      <c r="AF1103" s="11" t="inlineStr">
        <is>
          <t>E1</t>
        </is>
      </c>
      <c r="AG1103" s="11" t="inlineStr">
        <is>
          <t>D1</t>
        </is>
      </c>
      <c r="AH1103" s="11" t="inlineStr">
        <is>
          <t>E2</t>
        </is>
      </c>
      <c r="AI1103" s="11" t="inlineStr">
        <is>
          <t>D4</t>
        </is>
      </c>
      <c r="AJ1103" s="11" t="inlineStr">
        <is>
          <t>E6</t>
        </is>
      </c>
      <c r="AK1103" s="11" t="n"/>
      <c r="AL1103" s="11" t="n"/>
      <c r="AM1103" s="11" t="n"/>
      <c r="AN1103" s="11" t="n"/>
      <c r="AO1103" s="11" t="n"/>
      <c r="AP1103" s="11" t="n"/>
      <c r="AQ1103" s="11" t="n"/>
      <c r="AR1103" s="11" t="n"/>
      <c r="AS1103" s="11" t="n"/>
      <c r="AT1103" s="11" t="n"/>
      <c r="AU1103" s="11" t="n"/>
      <c r="AV1103" s="11" t="n"/>
      <c r="AW1103" s="11">
        <f>AF1103&amp;"; "&amp;AG1103&amp;"; "&amp;AH1103&amp;"; "&amp;AI1103&amp;"; "&amp;AJ1103</f>
        <v/>
      </c>
    </row>
    <row r="1104">
      <c r="A1104" s="11" t="inlineStr">
        <is>
          <t>T0002-G10-BIO</t>
        </is>
      </c>
      <c r="B1104" s="11" t="n">
        <v>10</v>
      </c>
      <c r="C1104" s="11" t="inlineStr">
        <is>
          <t>Biología</t>
        </is>
      </c>
      <c r="D1104" s="11" t="inlineStr">
        <is>
          <t>Matriz_Bachillerato_Biologia_10_11.xlsx</t>
        </is>
      </c>
      <c r="E1104" s="11" t="inlineStr">
        <is>
          <t>Biología 10.°</t>
        </is>
      </c>
      <c r="F1104" s="11" t="n">
        <v>4</v>
      </c>
      <c r="G1104" s="11" t="inlineStr">
        <is>
          <t>1. Biomoléculas</t>
        </is>
      </c>
      <c r="H1104" s="11" t="inlineStr">
        <is>
          <t>Carbohidratos</t>
        </is>
      </c>
      <c r="I1104" s="38" t="inlineStr">
        <is>
          <t>1.2. Interpretación de las clasificaciones y las propiedades de los carbohidratos.</t>
        </is>
      </c>
      <c r="J1104" s="11" t="inlineStr">
        <is>
          <t>Sin marco</t>
        </is>
      </c>
      <c r="K1104" s="11" t="inlineStr">
        <is>
          <t>N/A</t>
        </is>
      </c>
      <c r="L1104" s="11" t="inlineStr"/>
      <c r="M1104" s="11">
        <f>IF(K1104="FUERA","Fuera del marco",IF(K1104="N/A","Sin marco",IFERROR(INDEX('Datos - Catálogo TIMSS'!$C$5:$C$107,MATCH(K1104,'Datos - Catálogo TIMSS'!$A$5:$A$107,0)),"Pendiente de clasificar")))</f>
        <v/>
      </c>
      <c r="N1104" s="11">
        <f>IF(K1104="FUERA","Fuera del marco",IF(K1104="N/A","Sin marco",IFERROR(INDEX('Datos - Catálogo TIMSS'!$F$5:$F$107,MATCH(K1104,'Datos - Catálogo TIMSS'!$A$5:$A$107,0)),"Pendiente de clasificar")))</f>
        <v/>
      </c>
      <c r="O1104" s="11">
        <f>IF(L1104="","",IFERROR(INDEX('Datos - Catálogo TIMSS'!$C$5:$C$107,MATCH(L1104,'Datos - Catálogo TIMSS'!$A$5:$A$107,0)),"?"))</f>
        <v/>
      </c>
      <c r="P1104" s="11" t="inlineStr">
        <is>
          <t>N/A</t>
        </is>
      </c>
      <c r="Q1104" s="38" t="inlineStr">
        <is>
          <t>Sin marco TIMSS de contenido para esta asignatura en Bachillerato</t>
        </is>
      </c>
      <c r="R1104" s="38" t="inlineStr">
        <is>
          <t>Aplicar: clasificar con criterios. Razonar: justificar propiedades a partir de la estructura</t>
        </is>
      </c>
      <c r="S1104" s="39">
        <f>IFERROR(ISNUMBER(SEARCH("Conocer",$R1104))/(ISNUMBER(SEARCH("Conocer",$R1104))+ISNUMBER(SEARCH("Aplicar",$R1104))+ISNUMBER(SEARCH("Razonar",$R1104))),0)</f>
        <v/>
      </c>
      <c r="T1104" s="39">
        <f>IFERROR(ISNUMBER(SEARCH("Aplicar",$R1104))/(ISNUMBER(SEARCH("Conocer",$R1104))+ISNUMBER(SEARCH("Aplicar",$R1104))+ISNUMBER(SEARCH("Razonar",$R1104))),0)</f>
        <v/>
      </c>
      <c r="U1104" s="39">
        <f>IFERROR(ISNUMBER(SEARCH("Razonar",$R1104))/(ISNUMBER(SEARCH("Conocer",$R1104))+ISNUMBER(SEARCH("Aplicar",$R1104))+ISNUMBER(SEARCH("Razonar",$R1104))),0)</f>
        <v/>
      </c>
      <c r="V1104" s="11" t="inlineStr">
        <is>
          <t>Biología 10°</t>
        </is>
      </c>
      <c r="W1104" s="11" t="inlineStr">
        <is>
          <t>Biología 10°–11°</t>
        </is>
      </c>
      <c r="X1104" s="11">
        <f>IF(OR(IFERROR(INDEX('Datos - Catálogo TIMSS'!$I$5:$I$107,MATCH(K1104,'Datos - Catálogo TIMSS'!$A$5:$A$107,0)),"No")="Sí",IFERROR(INDEX('Datos - Catálogo TIMSS'!$I$5:$I$107,MATCH(L1104,'Datos - Catálogo TIMSS'!$A$5:$A$107,0)),"No")="Sí"),1,0)</f>
        <v/>
      </c>
      <c r="Y1104" s="11">
        <f>IF(IFERROR(INDEX('Datos - Catálogo TIMSS'!$J$5:$J$107,MATCH(K1104,'Datos - Catálogo TIMSS'!$A$5:$A$107,0)),"No")="Sí",1,0)</f>
        <v/>
      </c>
      <c r="Z1104" s="11">
        <f>IF(IFERROR(INDEX('Datos - Catálogo TIMSS'!$J$5:$J$107,MATCH(L1104,'Datos - Catálogo TIMSS'!$A$5:$A$107,0)),"No")="Sí",1,0)</f>
        <v/>
      </c>
      <c r="AA1104" s="11" t="inlineStr">
        <is>
          <t>N/A</t>
        </is>
      </c>
      <c r="AB1104" s="11" t="inlineStr"/>
      <c r="AC1104" s="11">
        <f>IF(AA1104="FUERA","Fuera del marco",IF(AA1104="N/A","Sin marco",IFERROR(INDEX('Datos - TIMSS 2023'!$C$5:$C$105,MATCH(AA1104,'Datos - TIMSS 2023'!$A$5:$A$105,0)),"Pendiente de clasificar")))</f>
        <v/>
      </c>
      <c r="AD1104" s="11" t="inlineStr">
        <is>
          <t>2. Construir y evaluar diseños para la indagación científica e interpretar datos y evidencia de forma crítica</t>
        </is>
      </c>
      <c r="AE1104" s="11">
        <f>IF(AD1104="","",IF(LEFT(AD1104,1)="1","C1",IF(LEFT(AD1104,1)="2","C2",IF(LEFT(AD1104,1)="3","C3",""))))</f>
        <v/>
      </c>
      <c r="AF1104" s="11" t="inlineStr">
        <is>
          <t>E1</t>
        </is>
      </c>
      <c r="AG1104" s="11" t="inlineStr">
        <is>
          <t>E5</t>
        </is>
      </c>
      <c r="AH1104" s="11" t="inlineStr">
        <is>
          <t>E1</t>
        </is>
      </c>
      <c r="AI1104" s="11" t="inlineStr">
        <is>
          <t>D2</t>
        </is>
      </c>
      <c r="AJ1104" s="11" t="inlineStr">
        <is>
          <t>E3</t>
        </is>
      </c>
      <c r="AK1104" s="11" t="n"/>
      <c r="AL1104" s="11" t="n"/>
      <c r="AM1104" s="11" t="n"/>
      <c r="AN1104" s="11" t="n"/>
      <c r="AO1104" s="11" t="n"/>
      <c r="AP1104" s="11" t="n"/>
      <c r="AQ1104" s="11" t="n"/>
      <c r="AR1104" s="11" t="n"/>
      <c r="AS1104" s="11" t="n"/>
      <c r="AT1104" s="11" t="n"/>
      <c r="AU1104" s="11" t="n"/>
      <c r="AV1104" s="11" t="n"/>
      <c r="AW1104" s="11">
        <f>AF1104&amp;"; "&amp;AG1104&amp;"; "&amp;AH1104&amp;"; "&amp;AI1104&amp;"; "&amp;AJ1104</f>
        <v/>
      </c>
    </row>
    <row r="1105">
      <c r="A1105" s="11" t="inlineStr">
        <is>
          <t>T0003-G10-BIO</t>
        </is>
      </c>
      <c r="B1105" s="11" t="n">
        <v>10</v>
      </c>
      <c r="C1105" s="11" t="inlineStr">
        <is>
          <t>Biología</t>
        </is>
      </c>
      <c r="D1105" s="11" t="inlineStr">
        <is>
          <t>Matriz_Bachillerato_Biologia_10_11.xlsx</t>
        </is>
      </c>
      <c r="E1105" s="11" t="inlineStr">
        <is>
          <t>Biología 10.°</t>
        </is>
      </c>
      <c r="F1105" s="11" t="n">
        <v>5</v>
      </c>
      <c r="G1105" s="11" t="inlineStr">
        <is>
          <t>1. Biomoléculas</t>
        </is>
      </c>
      <c r="H1105" s="11" t="inlineStr">
        <is>
          <t>Carbohidratos</t>
        </is>
      </c>
      <c r="I1105" s="38" t="inlineStr">
        <is>
          <t>1.3. Explicación de la importancia de los polisacáridos y su metabolismo.</t>
        </is>
      </c>
      <c r="J1105" s="11" t="inlineStr">
        <is>
          <t>Sin marco</t>
        </is>
      </c>
      <c r="K1105" s="11" t="inlineStr">
        <is>
          <t>N/A</t>
        </is>
      </c>
      <c r="L1105" s="11" t="inlineStr"/>
      <c r="M1105" s="11">
        <f>IF(K1105="FUERA","Fuera del marco",IF(K1105="N/A","Sin marco",IFERROR(INDEX('Datos - Catálogo TIMSS'!$C$5:$C$107,MATCH(K1105,'Datos - Catálogo TIMSS'!$A$5:$A$107,0)),"Pendiente de clasificar")))</f>
        <v/>
      </c>
      <c r="N1105" s="11">
        <f>IF(K1105="FUERA","Fuera del marco",IF(K1105="N/A","Sin marco",IFERROR(INDEX('Datos - Catálogo TIMSS'!$F$5:$F$107,MATCH(K1105,'Datos - Catálogo TIMSS'!$A$5:$A$107,0)),"Pendiente de clasificar")))</f>
        <v/>
      </c>
      <c r="O1105" s="11">
        <f>IF(L1105="","",IFERROR(INDEX('Datos - Catálogo TIMSS'!$C$5:$C$107,MATCH(L1105,'Datos - Catálogo TIMSS'!$A$5:$A$107,0)),"?"))</f>
        <v/>
      </c>
      <c r="P1105" s="11" t="inlineStr">
        <is>
          <t>N/A</t>
        </is>
      </c>
      <c r="Q1105" s="38" t="inlineStr">
        <is>
          <t>Sin marco TIMSS de contenido para esta asignatura en Bachillerato</t>
        </is>
      </c>
      <c r="R1105" s="38" t="inlineStr">
        <is>
          <t>Aplicar: modelar estructuras. Razonar: relacionar estructura y función biológica</t>
        </is>
      </c>
      <c r="S1105" s="39">
        <f>IFERROR(ISNUMBER(SEARCH("Conocer",$R1105))/(ISNUMBER(SEARCH("Conocer",$R1105))+ISNUMBER(SEARCH("Aplicar",$R1105))+ISNUMBER(SEARCH("Razonar",$R1105))),0)</f>
        <v/>
      </c>
      <c r="T1105" s="39">
        <f>IFERROR(ISNUMBER(SEARCH("Aplicar",$R1105))/(ISNUMBER(SEARCH("Conocer",$R1105))+ISNUMBER(SEARCH("Aplicar",$R1105))+ISNUMBER(SEARCH("Razonar",$R1105))),0)</f>
        <v/>
      </c>
      <c r="U1105" s="39">
        <f>IFERROR(ISNUMBER(SEARCH("Razonar",$R1105))/(ISNUMBER(SEARCH("Conocer",$R1105))+ISNUMBER(SEARCH("Aplicar",$R1105))+ISNUMBER(SEARCH("Razonar",$R1105))),0)</f>
        <v/>
      </c>
      <c r="V1105" s="11" t="inlineStr">
        <is>
          <t>Biología 10°</t>
        </is>
      </c>
      <c r="W1105" s="11" t="inlineStr">
        <is>
          <t>Biología 10°–11°</t>
        </is>
      </c>
      <c r="X1105" s="11">
        <f>IF(OR(IFERROR(INDEX('Datos - Catálogo TIMSS'!$I$5:$I$107,MATCH(K1105,'Datos - Catálogo TIMSS'!$A$5:$A$107,0)),"No")="Sí",IFERROR(INDEX('Datos - Catálogo TIMSS'!$I$5:$I$107,MATCH(L1105,'Datos - Catálogo TIMSS'!$A$5:$A$107,0)),"No")="Sí"),1,0)</f>
        <v/>
      </c>
      <c r="Y1105" s="11">
        <f>IF(IFERROR(INDEX('Datos - Catálogo TIMSS'!$J$5:$J$107,MATCH(K1105,'Datos - Catálogo TIMSS'!$A$5:$A$107,0)),"No")="Sí",1,0)</f>
        <v/>
      </c>
      <c r="Z1105" s="11">
        <f>IF(IFERROR(INDEX('Datos - Catálogo TIMSS'!$J$5:$J$107,MATCH(L1105,'Datos - Catálogo TIMSS'!$A$5:$A$107,0)),"No")="Sí",1,0)</f>
        <v/>
      </c>
      <c r="AA1105" s="11" t="inlineStr">
        <is>
          <t>N/A</t>
        </is>
      </c>
      <c r="AB1105" s="11" t="inlineStr"/>
      <c r="AC1105" s="11">
        <f>IF(AA1105="FUERA","Fuera del marco",IF(AA1105="N/A","Sin marco",IFERROR(INDEX('Datos - TIMSS 2023'!$C$5:$C$105,MATCH(AA1105,'Datos - TIMSS 2023'!$A$5:$A$105,0)),"Pendiente de clasificar")))</f>
        <v/>
      </c>
      <c r="AD1105" s="11" t="inlineStr">
        <is>
          <t>1. Explicar fenómenos científicamente</t>
        </is>
      </c>
      <c r="AE1105" s="11">
        <f>IF(AD1105="","",IF(LEFT(AD1105,1)="1","C1",IF(LEFT(AD1105,1)="2","C2",IF(LEFT(AD1105,1)="3","C3",""))))</f>
        <v/>
      </c>
      <c r="AF1105" s="11" t="inlineStr">
        <is>
          <t>E6</t>
        </is>
      </c>
      <c r="AG1105" s="11" t="inlineStr">
        <is>
          <t>D1</t>
        </is>
      </c>
      <c r="AH1105" s="11" t="inlineStr">
        <is>
          <t>E4</t>
        </is>
      </c>
      <c r="AI1105" s="11" t="inlineStr">
        <is>
          <t>I1</t>
        </is>
      </c>
      <c r="AJ1105" s="11" t="inlineStr">
        <is>
          <t>I2</t>
        </is>
      </c>
      <c r="AK1105" s="11" t="n"/>
      <c r="AL1105" s="11" t="n"/>
      <c r="AM1105" s="11" t="n"/>
      <c r="AN1105" s="11" t="n"/>
      <c r="AO1105" s="11" t="n"/>
      <c r="AP1105" s="11" t="n"/>
      <c r="AQ1105" s="11" t="n"/>
      <c r="AR1105" s="11" t="n"/>
      <c r="AS1105" s="11" t="n"/>
      <c r="AT1105" s="11" t="n"/>
      <c r="AU1105" s="11" t="n"/>
      <c r="AV1105" s="11" t="n"/>
      <c r="AW1105" s="11">
        <f>AF1105&amp;"; "&amp;AG1105&amp;"; "&amp;AH1105&amp;"; "&amp;AI1105&amp;"; "&amp;AJ1105</f>
        <v/>
      </c>
    </row>
    <row r="1106">
      <c r="A1106" s="11" t="inlineStr">
        <is>
          <t>T0004-G10-BIO</t>
        </is>
      </c>
      <c r="B1106" s="11" t="n">
        <v>10</v>
      </c>
      <c r="C1106" s="11" t="inlineStr">
        <is>
          <t>Biología</t>
        </is>
      </c>
      <c r="D1106" s="11" t="inlineStr">
        <is>
          <t>Matriz_Bachillerato_Biologia_10_11.xlsx</t>
        </is>
      </c>
      <c r="E1106" s="11" t="inlineStr">
        <is>
          <t>Biología 10.°</t>
        </is>
      </c>
      <c r="F1106" s="11" t="n">
        <v>6</v>
      </c>
      <c r="G1106" s="11" t="inlineStr">
        <is>
          <t>1. Biomoléculas</t>
        </is>
      </c>
      <c r="H1106" s="11" t="inlineStr">
        <is>
          <t>Lípidos</t>
        </is>
      </c>
      <c r="I1106" s="38" t="inlineStr">
        <is>
          <t>1.4. Reconocimiento de los lípidos y su clasificación general.</t>
        </is>
      </c>
      <c r="J1106" s="11" t="inlineStr">
        <is>
          <t>Sin marco</t>
        </is>
      </c>
      <c r="K1106" s="11" t="inlineStr">
        <is>
          <t>N/A</t>
        </is>
      </c>
      <c r="L1106" s="11" t="inlineStr"/>
      <c r="M1106" s="11">
        <f>IF(K1106="FUERA","Fuera del marco",IF(K1106="N/A","Sin marco",IFERROR(INDEX('Datos - Catálogo TIMSS'!$C$5:$C$107,MATCH(K1106,'Datos - Catálogo TIMSS'!$A$5:$A$107,0)),"Pendiente de clasificar")))</f>
        <v/>
      </c>
      <c r="N1106" s="11">
        <f>IF(K1106="FUERA","Fuera del marco",IF(K1106="N/A","Sin marco",IFERROR(INDEX('Datos - Catálogo TIMSS'!$F$5:$F$107,MATCH(K1106,'Datos - Catálogo TIMSS'!$A$5:$A$107,0)),"Pendiente de clasificar")))</f>
        <v/>
      </c>
      <c r="O1106" s="11">
        <f>IF(L1106="","",IFERROR(INDEX('Datos - Catálogo TIMSS'!$C$5:$C$107,MATCH(L1106,'Datos - Catálogo TIMSS'!$A$5:$A$107,0)),"?"))</f>
        <v/>
      </c>
      <c r="P1106" s="11" t="inlineStr">
        <is>
          <t>N/A</t>
        </is>
      </c>
      <c r="Q1106" s="38" t="inlineStr">
        <is>
          <t>Sin marco TIMSS de contenido para esta asignatura en Bachillerato</t>
        </is>
      </c>
      <c r="R1106" s="38" t="inlineStr">
        <is>
          <t>Conocer: reconocer lípidos. Aplicar: clasificar. Razonar: interpretar una prueba cualitativa</t>
        </is>
      </c>
      <c r="S1106" s="39">
        <f>IFERROR(ISNUMBER(SEARCH("Conocer",$R1106))/(ISNUMBER(SEARCH("Conocer",$R1106))+ISNUMBER(SEARCH("Aplicar",$R1106))+ISNUMBER(SEARCH("Razonar",$R1106))),0)</f>
        <v/>
      </c>
      <c r="T1106" s="39">
        <f>IFERROR(ISNUMBER(SEARCH("Aplicar",$R1106))/(ISNUMBER(SEARCH("Conocer",$R1106))+ISNUMBER(SEARCH("Aplicar",$R1106))+ISNUMBER(SEARCH("Razonar",$R1106))),0)</f>
        <v/>
      </c>
      <c r="U1106" s="39">
        <f>IFERROR(ISNUMBER(SEARCH("Razonar",$R1106))/(ISNUMBER(SEARCH("Conocer",$R1106))+ISNUMBER(SEARCH("Aplicar",$R1106))+ISNUMBER(SEARCH("Razonar",$R1106))),0)</f>
        <v/>
      </c>
      <c r="V1106" s="11" t="inlineStr">
        <is>
          <t>Biología 10°</t>
        </is>
      </c>
      <c r="W1106" s="11" t="inlineStr">
        <is>
          <t>Biología 10°–11°</t>
        </is>
      </c>
      <c r="X1106" s="11">
        <f>IF(OR(IFERROR(INDEX('Datos - Catálogo TIMSS'!$I$5:$I$107,MATCH(K1106,'Datos - Catálogo TIMSS'!$A$5:$A$107,0)),"No")="Sí",IFERROR(INDEX('Datos - Catálogo TIMSS'!$I$5:$I$107,MATCH(L1106,'Datos - Catálogo TIMSS'!$A$5:$A$107,0)),"No")="Sí"),1,0)</f>
        <v/>
      </c>
      <c r="Y1106" s="11">
        <f>IF(IFERROR(INDEX('Datos - Catálogo TIMSS'!$J$5:$J$107,MATCH(K1106,'Datos - Catálogo TIMSS'!$A$5:$A$107,0)),"No")="Sí",1,0)</f>
        <v/>
      </c>
      <c r="Z1106" s="11">
        <f>IF(IFERROR(INDEX('Datos - Catálogo TIMSS'!$J$5:$J$107,MATCH(L1106,'Datos - Catálogo TIMSS'!$A$5:$A$107,0)),"No")="Sí",1,0)</f>
        <v/>
      </c>
      <c r="AA1106" s="11" t="inlineStr">
        <is>
          <t>N/A</t>
        </is>
      </c>
      <c r="AB1106" s="11" t="inlineStr"/>
      <c r="AC1106" s="11">
        <f>IF(AA1106="FUERA","Fuera del marco",IF(AA1106="N/A","Sin marco",IFERROR(INDEX('Datos - TIMSS 2023'!$C$5:$C$105,MATCH(AA1106,'Datos - TIMSS 2023'!$A$5:$A$105,0)),"Pendiente de clasificar")))</f>
        <v/>
      </c>
      <c r="AD1106" s="11" t="inlineStr">
        <is>
          <t>1. Explicar fenómenos científicamente</t>
        </is>
      </c>
      <c r="AE1106" s="11">
        <f>IF(AD1106="","",IF(LEFT(AD1106,1)="1","C1",IF(LEFT(AD1106,1)="2","C2",IF(LEFT(AD1106,1)="3","C3",""))))</f>
        <v/>
      </c>
      <c r="AF1106" s="11" t="inlineStr">
        <is>
          <t>E1</t>
        </is>
      </c>
      <c r="AG1106" s="11" t="inlineStr">
        <is>
          <t>E5</t>
        </is>
      </c>
      <c r="AH1106" s="11" t="inlineStr">
        <is>
          <t>E2</t>
        </is>
      </c>
      <c r="AI1106" s="11" t="inlineStr">
        <is>
          <t>D4</t>
        </is>
      </c>
      <c r="AJ1106" s="11" t="inlineStr">
        <is>
          <t>I4</t>
        </is>
      </c>
      <c r="AK1106" s="11" t="n"/>
      <c r="AL1106" s="11" t="n"/>
      <c r="AM1106" s="11" t="n"/>
      <c r="AN1106" s="11" t="n"/>
      <c r="AO1106" s="11" t="n"/>
      <c r="AP1106" s="11" t="n"/>
      <c r="AQ1106" s="11" t="n"/>
      <c r="AR1106" s="11" t="n"/>
      <c r="AS1106" s="11" t="n"/>
      <c r="AT1106" s="11" t="n"/>
      <c r="AU1106" s="11" t="n"/>
      <c r="AV1106" s="11" t="n"/>
      <c r="AW1106" s="11">
        <f>AF1106&amp;"; "&amp;AG1106&amp;"; "&amp;AH1106&amp;"; "&amp;AI1106&amp;"; "&amp;AJ1106</f>
        <v/>
      </c>
    </row>
    <row r="1107">
      <c r="A1107" s="11" t="inlineStr">
        <is>
          <t>T0005-G10-BIO</t>
        </is>
      </c>
      <c r="B1107" s="11" t="n">
        <v>10</v>
      </c>
      <c r="C1107" s="11" t="inlineStr">
        <is>
          <t>Biología</t>
        </is>
      </c>
      <c r="D1107" s="11" t="inlineStr">
        <is>
          <t>Matriz_Bachillerato_Biologia_10_11.xlsx</t>
        </is>
      </c>
      <c r="E1107" s="11" t="inlineStr">
        <is>
          <t>Biología 10.°</t>
        </is>
      </c>
      <c r="F1107" s="11" t="n">
        <v>7</v>
      </c>
      <c r="G1107" s="11" t="inlineStr">
        <is>
          <t>1. Biomoléculas</t>
        </is>
      </c>
      <c r="H1107" s="11" t="inlineStr">
        <is>
          <t>Lípidos</t>
        </is>
      </c>
      <c r="I1107" s="38" t="inlineStr">
        <is>
          <t>1.5. Extracción de distintos tipos de lípidos.</t>
        </is>
      </c>
      <c r="J1107" s="11" t="inlineStr">
        <is>
          <t>Sin marco</t>
        </is>
      </c>
      <c r="K1107" s="11" t="inlineStr">
        <is>
          <t>N/A</t>
        </is>
      </c>
      <c r="L1107" s="11" t="inlineStr"/>
      <c r="M1107" s="11">
        <f>IF(K1107="FUERA","Fuera del marco",IF(K1107="N/A","Sin marco",IFERROR(INDEX('Datos - Catálogo TIMSS'!$C$5:$C$107,MATCH(K1107,'Datos - Catálogo TIMSS'!$A$5:$A$107,0)),"Pendiente de clasificar")))</f>
        <v/>
      </c>
      <c r="N1107" s="11">
        <f>IF(K1107="FUERA","Fuera del marco",IF(K1107="N/A","Sin marco",IFERROR(INDEX('Datos - Catálogo TIMSS'!$F$5:$F$107,MATCH(K1107,'Datos - Catálogo TIMSS'!$A$5:$A$107,0)),"Pendiente de clasificar")))</f>
        <v/>
      </c>
      <c r="O1107" s="11">
        <f>IF(L1107="","",IFERROR(INDEX('Datos - Catálogo TIMSS'!$C$5:$C$107,MATCH(L1107,'Datos - Catálogo TIMSS'!$A$5:$A$107,0)),"?"))</f>
        <v/>
      </c>
      <c r="P1107" s="11" t="inlineStr">
        <is>
          <t>N/A</t>
        </is>
      </c>
      <c r="Q1107" s="38" t="inlineStr">
        <is>
          <t>Sin marco TIMSS de contenido para esta asignatura en Bachillerato</t>
        </is>
      </c>
      <c r="R1107" s="38" t="inlineStr">
        <is>
          <t>Aplicar: seguir un procedimiento y calcular rendimiento. Razonar: evaluar el método</t>
        </is>
      </c>
      <c r="S1107" s="39">
        <f>IFERROR(ISNUMBER(SEARCH("Conocer",$R1107))/(ISNUMBER(SEARCH("Conocer",$R1107))+ISNUMBER(SEARCH("Aplicar",$R1107))+ISNUMBER(SEARCH("Razonar",$R1107))),0)</f>
        <v/>
      </c>
      <c r="T1107" s="39">
        <f>IFERROR(ISNUMBER(SEARCH("Aplicar",$R1107))/(ISNUMBER(SEARCH("Conocer",$R1107))+ISNUMBER(SEARCH("Aplicar",$R1107))+ISNUMBER(SEARCH("Razonar",$R1107))),0)</f>
        <v/>
      </c>
      <c r="U1107" s="39">
        <f>IFERROR(ISNUMBER(SEARCH("Razonar",$R1107))/(ISNUMBER(SEARCH("Conocer",$R1107))+ISNUMBER(SEARCH("Aplicar",$R1107))+ISNUMBER(SEARCH("Razonar",$R1107))),0)</f>
        <v/>
      </c>
      <c r="V1107" s="11" t="inlineStr">
        <is>
          <t>Biología 10°</t>
        </is>
      </c>
      <c r="W1107" s="11" t="inlineStr">
        <is>
          <t>Biología 10°–11°</t>
        </is>
      </c>
      <c r="X1107" s="11">
        <f>IF(OR(IFERROR(INDEX('Datos - Catálogo TIMSS'!$I$5:$I$107,MATCH(K1107,'Datos - Catálogo TIMSS'!$A$5:$A$107,0)),"No")="Sí",IFERROR(INDEX('Datos - Catálogo TIMSS'!$I$5:$I$107,MATCH(L1107,'Datos - Catálogo TIMSS'!$A$5:$A$107,0)),"No")="Sí"),1,0)</f>
        <v/>
      </c>
      <c r="Y1107" s="11">
        <f>IF(IFERROR(INDEX('Datos - Catálogo TIMSS'!$J$5:$J$107,MATCH(K1107,'Datos - Catálogo TIMSS'!$A$5:$A$107,0)),"No")="Sí",1,0)</f>
        <v/>
      </c>
      <c r="Z1107" s="11">
        <f>IF(IFERROR(INDEX('Datos - Catálogo TIMSS'!$J$5:$J$107,MATCH(L1107,'Datos - Catálogo TIMSS'!$A$5:$A$107,0)),"No")="Sí",1,0)</f>
        <v/>
      </c>
      <c r="AA1107" s="11" t="inlineStr">
        <is>
          <t>N/A</t>
        </is>
      </c>
      <c r="AB1107" s="11" t="inlineStr"/>
      <c r="AC1107" s="11">
        <f>IF(AA1107="FUERA","Fuera del marco",IF(AA1107="N/A","Sin marco",IFERROR(INDEX('Datos - TIMSS 2023'!$C$5:$C$105,MATCH(AA1107,'Datos - TIMSS 2023'!$A$5:$A$105,0)),"Pendiente de clasificar")))</f>
        <v/>
      </c>
      <c r="AD1107" s="11" t="inlineStr">
        <is>
          <t>2. Construir y evaluar diseños para la indagación científica e interpretar datos y evidencia de forma crítica</t>
        </is>
      </c>
      <c r="AE1107" s="11">
        <f>IF(AD1107="","",IF(LEFT(AD1107,1)="1","C1",IF(LEFT(AD1107,1)="2","C2",IF(LEFT(AD1107,1)="3","C3",""))))</f>
        <v/>
      </c>
      <c r="AF1107" s="11" t="inlineStr">
        <is>
          <t>E1</t>
        </is>
      </c>
      <c r="AG1107" s="11" t="inlineStr">
        <is>
          <t>D1</t>
        </is>
      </c>
      <c r="AH1107" s="11" t="inlineStr">
        <is>
          <t>E1</t>
        </is>
      </c>
      <c r="AI1107" s="11" t="inlineStr">
        <is>
          <t>D2</t>
        </is>
      </c>
      <c r="AJ1107" s="11" t="inlineStr">
        <is>
          <t>D3</t>
        </is>
      </c>
      <c r="AK1107" s="11" t="n"/>
      <c r="AL1107" s="11" t="n"/>
      <c r="AM1107" s="11" t="n"/>
      <c r="AN1107" s="11" t="n"/>
      <c r="AO1107" s="11" t="n"/>
      <c r="AP1107" s="11" t="n"/>
      <c r="AQ1107" s="11" t="n"/>
      <c r="AR1107" s="11" t="n"/>
      <c r="AS1107" s="11" t="n"/>
      <c r="AT1107" s="11" t="n"/>
      <c r="AU1107" s="11" t="n"/>
      <c r="AV1107" s="11" t="n"/>
      <c r="AW1107" s="11">
        <f>AF1107&amp;"; "&amp;AG1107&amp;"; "&amp;AH1107&amp;"; "&amp;AI1107&amp;"; "&amp;AJ1107</f>
        <v/>
      </c>
    </row>
    <row r="1108">
      <c r="A1108" s="11" t="inlineStr">
        <is>
          <t>T0006-G10-BIO</t>
        </is>
      </c>
      <c r="B1108" s="11" t="n">
        <v>10</v>
      </c>
      <c r="C1108" s="11" t="inlineStr">
        <is>
          <t>Biología</t>
        </is>
      </c>
      <c r="D1108" s="11" t="inlineStr">
        <is>
          <t>Matriz_Bachillerato_Biologia_10_11.xlsx</t>
        </is>
      </c>
      <c r="E1108" s="11" t="inlineStr">
        <is>
          <t>Biología 10.°</t>
        </is>
      </c>
      <c r="F1108" s="11" t="n">
        <v>8</v>
      </c>
      <c r="G1108" s="11" t="inlineStr">
        <is>
          <t>1. Biomoléculas</t>
        </is>
      </c>
      <c r="H1108" s="11" t="inlineStr">
        <is>
          <t>Lípidos</t>
        </is>
      </c>
      <c r="I1108" s="38" t="inlineStr">
        <is>
          <t>1.6. Explicación del metabolismo de lípidos.</t>
        </is>
      </c>
      <c r="J1108" s="11" t="inlineStr">
        <is>
          <t>Sin marco</t>
        </is>
      </c>
      <c r="K1108" s="11" t="inlineStr">
        <is>
          <t>N/A</t>
        </is>
      </c>
      <c r="L1108" s="11" t="inlineStr"/>
      <c r="M1108" s="11">
        <f>IF(K1108="FUERA","Fuera del marco",IF(K1108="N/A","Sin marco",IFERROR(INDEX('Datos - Catálogo TIMSS'!$C$5:$C$107,MATCH(K1108,'Datos - Catálogo TIMSS'!$A$5:$A$107,0)),"Pendiente de clasificar")))</f>
        <v/>
      </c>
      <c r="N1108" s="11">
        <f>IF(K1108="FUERA","Fuera del marco",IF(K1108="N/A","Sin marco",IFERROR(INDEX('Datos - Catálogo TIMSS'!$F$5:$F$107,MATCH(K1108,'Datos - Catálogo TIMSS'!$A$5:$A$107,0)),"Pendiente de clasificar")))</f>
        <v/>
      </c>
      <c r="O1108" s="11">
        <f>IF(L1108="","",IFERROR(INDEX('Datos - Catálogo TIMSS'!$C$5:$C$107,MATCH(L1108,'Datos - Catálogo TIMSS'!$A$5:$A$107,0)),"?"))</f>
        <v/>
      </c>
      <c r="P1108" s="11" t="inlineStr">
        <is>
          <t>N/A</t>
        </is>
      </c>
      <c r="Q1108" s="38" t="inlineStr">
        <is>
          <t>Sin marco TIMSS de contenido para esta asignatura en Bachillerato</t>
        </is>
      </c>
      <c r="R1108" s="38" t="inlineStr">
        <is>
          <t>Aplicar: calcular energía por gramo. Razonar: justificar con datos</t>
        </is>
      </c>
      <c r="S1108" s="39">
        <f>IFERROR(ISNUMBER(SEARCH("Conocer",$R1108))/(ISNUMBER(SEARCH("Conocer",$R1108))+ISNUMBER(SEARCH("Aplicar",$R1108))+ISNUMBER(SEARCH("Razonar",$R1108))),0)</f>
        <v/>
      </c>
      <c r="T1108" s="39">
        <f>IFERROR(ISNUMBER(SEARCH("Aplicar",$R1108))/(ISNUMBER(SEARCH("Conocer",$R1108))+ISNUMBER(SEARCH("Aplicar",$R1108))+ISNUMBER(SEARCH("Razonar",$R1108))),0)</f>
        <v/>
      </c>
      <c r="U1108" s="39">
        <f>IFERROR(ISNUMBER(SEARCH("Razonar",$R1108))/(ISNUMBER(SEARCH("Conocer",$R1108))+ISNUMBER(SEARCH("Aplicar",$R1108))+ISNUMBER(SEARCH("Razonar",$R1108))),0)</f>
        <v/>
      </c>
      <c r="V1108" s="11" t="inlineStr">
        <is>
          <t>Biología 10°</t>
        </is>
      </c>
      <c r="W1108" s="11" t="inlineStr">
        <is>
          <t>Biología 10°–11°</t>
        </is>
      </c>
      <c r="X1108" s="11">
        <f>IF(OR(IFERROR(INDEX('Datos - Catálogo TIMSS'!$I$5:$I$107,MATCH(K1108,'Datos - Catálogo TIMSS'!$A$5:$A$107,0)),"No")="Sí",IFERROR(INDEX('Datos - Catálogo TIMSS'!$I$5:$I$107,MATCH(L1108,'Datos - Catálogo TIMSS'!$A$5:$A$107,0)),"No")="Sí"),1,0)</f>
        <v/>
      </c>
      <c r="Y1108" s="11">
        <f>IF(IFERROR(INDEX('Datos - Catálogo TIMSS'!$J$5:$J$107,MATCH(K1108,'Datos - Catálogo TIMSS'!$A$5:$A$107,0)),"No")="Sí",1,0)</f>
        <v/>
      </c>
      <c r="Z1108" s="11">
        <f>IF(IFERROR(INDEX('Datos - Catálogo TIMSS'!$J$5:$J$107,MATCH(L1108,'Datos - Catálogo TIMSS'!$A$5:$A$107,0)),"No")="Sí",1,0)</f>
        <v/>
      </c>
      <c r="AA1108" s="11" t="inlineStr">
        <is>
          <t>N/A</t>
        </is>
      </c>
      <c r="AB1108" s="11" t="inlineStr"/>
      <c r="AC1108" s="11">
        <f>IF(AA1108="FUERA","Fuera del marco",IF(AA1108="N/A","Sin marco",IFERROR(INDEX('Datos - TIMSS 2023'!$C$5:$C$105,MATCH(AA1108,'Datos - TIMSS 2023'!$A$5:$A$105,0)),"Pendiente de clasificar")))</f>
        <v/>
      </c>
      <c r="AD1108" s="11" t="inlineStr">
        <is>
          <t>1. Explicar fenómenos científicamente</t>
        </is>
      </c>
      <c r="AE1108" s="11">
        <f>IF(AD1108="","",IF(LEFT(AD1108,1)="1","C1",IF(LEFT(AD1108,1)="2","C2",IF(LEFT(AD1108,1)="3","C3",""))))</f>
        <v/>
      </c>
      <c r="AF1108" s="11" t="inlineStr">
        <is>
          <t>E6</t>
        </is>
      </c>
      <c r="AG1108" s="11" t="inlineStr">
        <is>
          <t>D1</t>
        </is>
      </c>
      <c r="AH1108" s="11" t="inlineStr">
        <is>
          <t>E4</t>
        </is>
      </c>
      <c r="AI1108" s="11" t="inlineStr">
        <is>
          <t>I3</t>
        </is>
      </c>
      <c r="AJ1108" s="11" t="inlineStr">
        <is>
          <t>E3</t>
        </is>
      </c>
      <c r="AK1108" s="11" t="n"/>
      <c r="AL1108" s="11" t="n"/>
      <c r="AM1108" s="11" t="n"/>
      <c r="AN1108" s="11" t="n"/>
      <c r="AO1108" s="11" t="n"/>
      <c r="AP1108" s="11" t="n"/>
      <c r="AQ1108" s="11" t="n"/>
      <c r="AR1108" s="11" t="n"/>
      <c r="AS1108" s="11" t="n"/>
      <c r="AT1108" s="11" t="n"/>
      <c r="AU1108" s="11" t="n"/>
      <c r="AV1108" s="11" t="n"/>
      <c r="AW1108" s="11">
        <f>AF1108&amp;"; "&amp;AG1108&amp;"; "&amp;AH1108&amp;"; "&amp;AI1108&amp;"; "&amp;AJ1108</f>
        <v/>
      </c>
    </row>
    <row r="1109">
      <c r="A1109" s="11" t="inlineStr">
        <is>
          <t>T0007-G10-BIO</t>
        </is>
      </c>
      <c r="B1109" s="11" t="n">
        <v>10</v>
      </c>
      <c r="C1109" s="11" t="inlineStr">
        <is>
          <t>Biología</t>
        </is>
      </c>
      <c r="D1109" s="11" t="inlineStr">
        <is>
          <t>Matriz_Bachillerato_Biologia_10_11.xlsx</t>
        </is>
      </c>
      <c r="E1109" s="11" t="inlineStr">
        <is>
          <t>Biología 10.°</t>
        </is>
      </c>
      <c r="F1109" s="11" t="n">
        <v>9</v>
      </c>
      <c r="G1109" s="11" t="inlineStr">
        <is>
          <t>1. Biomoléculas</t>
        </is>
      </c>
      <c r="H1109" s="11" t="inlineStr">
        <is>
          <t>Proteínas</t>
        </is>
      </c>
      <c r="I1109" s="38" t="inlineStr">
        <is>
          <t>1.7. Reconocimiento de la estructura de los aminoácidos y su estereoquímica.</t>
        </is>
      </c>
      <c r="J1109" s="11" t="inlineStr">
        <is>
          <t>Sin marco</t>
        </is>
      </c>
      <c r="K1109" s="11" t="inlineStr">
        <is>
          <t>N/A</t>
        </is>
      </c>
      <c r="L1109" s="11" t="inlineStr"/>
      <c r="M1109" s="11">
        <f>IF(K1109="FUERA","Fuera del marco",IF(K1109="N/A","Sin marco",IFERROR(INDEX('Datos - Catálogo TIMSS'!$C$5:$C$107,MATCH(K1109,'Datos - Catálogo TIMSS'!$A$5:$A$107,0)),"Pendiente de clasificar")))</f>
        <v/>
      </c>
      <c r="N1109" s="11">
        <f>IF(K1109="FUERA","Fuera del marco",IF(K1109="N/A","Sin marco",IFERROR(INDEX('Datos - Catálogo TIMSS'!$F$5:$F$107,MATCH(K1109,'Datos - Catálogo TIMSS'!$A$5:$A$107,0)),"Pendiente de clasificar")))</f>
        <v/>
      </c>
      <c r="O1109" s="11">
        <f>IF(L1109="","",IFERROR(INDEX('Datos - Catálogo TIMSS'!$C$5:$C$107,MATCH(L1109,'Datos - Catálogo TIMSS'!$A$5:$A$107,0)),"?"))</f>
        <v/>
      </c>
      <c r="P1109" s="11" t="inlineStr">
        <is>
          <t>N/A</t>
        </is>
      </c>
      <c r="Q1109" s="38" t="inlineStr">
        <is>
          <t>Sin marco TIMSS de contenido para esta asignatura en Bachillerato</t>
        </is>
      </c>
      <c r="R1109" s="38" t="inlineStr">
        <is>
          <t>Conocer: reconocer la estructura general. Aplicar: construir modelos. Razonar: explicar la quiralidad</t>
        </is>
      </c>
      <c r="S1109" s="39">
        <f>IFERROR(ISNUMBER(SEARCH("Conocer",$R1109))/(ISNUMBER(SEARCH("Conocer",$R1109))+ISNUMBER(SEARCH("Aplicar",$R1109))+ISNUMBER(SEARCH("Razonar",$R1109))),0)</f>
        <v/>
      </c>
      <c r="T1109" s="39">
        <f>IFERROR(ISNUMBER(SEARCH("Aplicar",$R1109))/(ISNUMBER(SEARCH("Conocer",$R1109))+ISNUMBER(SEARCH("Aplicar",$R1109))+ISNUMBER(SEARCH("Razonar",$R1109))),0)</f>
        <v/>
      </c>
      <c r="U1109" s="39">
        <f>IFERROR(ISNUMBER(SEARCH("Razonar",$R1109))/(ISNUMBER(SEARCH("Conocer",$R1109))+ISNUMBER(SEARCH("Aplicar",$R1109))+ISNUMBER(SEARCH("Razonar",$R1109))),0)</f>
        <v/>
      </c>
      <c r="V1109" s="11" t="inlineStr">
        <is>
          <t>Biología 10°</t>
        </is>
      </c>
      <c r="W1109" s="11" t="inlineStr">
        <is>
          <t>Biología 10°–11°</t>
        </is>
      </c>
      <c r="X1109" s="11">
        <f>IF(OR(IFERROR(INDEX('Datos - Catálogo TIMSS'!$I$5:$I$107,MATCH(K1109,'Datos - Catálogo TIMSS'!$A$5:$A$107,0)),"No")="Sí",IFERROR(INDEX('Datos - Catálogo TIMSS'!$I$5:$I$107,MATCH(L1109,'Datos - Catálogo TIMSS'!$A$5:$A$107,0)),"No")="Sí"),1,0)</f>
        <v/>
      </c>
      <c r="Y1109" s="11">
        <f>IF(IFERROR(INDEX('Datos - Catálogo TIMSS'!$J$5:$J$107,MATCH(K1109,'Datos - Catálogo TIMSS'!$A$5:$A$107,0)),"No")="Sí",1,0)</f>
        <v/>
      </c>
      <c r="Z1109" s="11">
        <f>IF(IFERROR(INDEX('Datos - Catálogo TIMSS'!$J$5:$J$107,MATCH(L1109,'Datos - Catálogo TIMSS'!$A$5:$A$107,0)),"No")="Sí",1,0)</f>
        <v/>
      </c>
      <c r="AA1109" s="11" t="inlineStr">
        <is>
          <t>N/A</t>
        </is>
      </c>
      <c r="AB1109" s="11" t="inlineStr"/>
      <c r="AC1109" s="11">
        <f>IF(AA1109="FUERA","Fuera del marco",IF(AA1109="N/A","Sin marco",IFERROR(INDEX('Datos - TIMSS 2023'!$C$5:$C$105,MATCH(AA1109,'Datos - TIMSS 2023'!$A$5:$A$105,0)),"Pendiente de clasificar")))</f>
        <v/>
      </c>
      <c r="AD1109" s="11" t="inlineStr">
        <is>
          <t>1. Explicar fenómenos científicamente</t>
        </is>
      </c>
      <c r="AE1109" s="11">
        <f>IF(AD1109="","",IF(LEFT(AD1109,1)="1","C1",IF(LEFT(AD1109,1)="2","C2",IF(LEFT(AD1109,1)="3","C3",""))))</f>
        <v/>
      </c>
      <c r="AF1109" s="11" t="inlineStr">
        <is>
          <t>E1</t>
        </is>
      </c>
      <c r="AG1109" s="11" t="inlineStr">
        <is>
          <t>D1</t>
        </is>
      </c>
      <c r="AH1109" s="11" t="inlineStr">
        <is>
          <t>E2</t>
        </is>
      </c>
      <c r="AI1109" s="11" t="inlineStr">
        <is>
          <t>E4</t>
        </is>
      </c>
      <c r="AJ1109" s="11" t="inlineStr">
        <is>
          <t>E6</t>
        </is>
      </c>
      <c r="AK1109" s="11" t="n"/>
      <c r="AL1109" s="11" t="n"/>
      <c r="AM1109" s="11" t="n"/>
      <c r="AN1109" s="11" t="n"/>
      <c r="AO1109" s="11" t="n"/>
      <c r="AP1109" s="11" t="n"/>
      <c r="AQ1109" s="11" t="n"/>
      <c r="AR1109" s="11" t="n"/>
      <c r="AS1109" s="11" t="n"/>
      <c r="AT1109" s="11" t="n"/>
      <c r="AU1109" s="11" t="n"/>
      <c r="AV1109" s="11" t="n"/>
      <c r="AW1109" s="11">
        <f>AF1109&amp;"; "&amp;AG1109&amp;"; "&amp;AH1109&amp;"; "&amp;AI1109&amp;"; "&amp;AJ1109</f>
        <v/>
      </c>
    </row>
    <row r="1110">
      <c r="A1110" s="11" t="inlineStr">
        <is>
          <t>T0008-G10-BIO</t>
        </is>
      </c>
      <c r="B1110" s="11" t="n">
        <v>10</v>
      </c>
      <c r="C1110" s="11" t="inlineStr">
        <is>
          <t>Biología</t>
        </is>
      </c>
      <c r="D1110" s="11" t="inlineStr">
        <is>
          <t>Matriz_Bachillerato_Biologia_10_11.xlsx</t>
        </is>
      </c>
      <c r="E1110" s="11" t="inlineStr">
        <is>
          <t>Biología 10.°</t>
        </is>
      </c>
      <c r="F1110" s="11" t="n">
        <v>10</v>
      </c>
      <c r="G1110" s="11" t="inlineStr">
        <is>
          <t>1. Biomoléculas</t>
        </is>
      </c>
      <c r="H1110" s="11" t="inlineStr">
        <is>
          <t>Proteínas</t>
        </is>
      </c>
      <c r="I1110" s="38" t="inlineStr">
        <is>
          <t>1.8. Extracción e identificación de proteínas.</t>
        </is>
      </c>
      <c r="J1110" s="11" t="inlineStr">
        <is>
          <t>Sin marco</t>
        </is>
      </c>
      <c r="K1110" s="11" t="inlineStr">
        <is>
          <t>N/A</t>
        </is>
      </c>
      <c r="L1110" s="11" t="inlineStr"/>
      <c r="M1110" s="11">
        <f>IF(K1110="FUERA","Fuera del marco",IF(K1110="N/A","Sin marco",IFERROR(INDEX('Datos - Catálogo TIMSS'!$C$5:$C$107,MATCH(K1110,'Datos - Catálogo TIMSS'!$A$5:$A$107,0)),"Pendiente de clasificar")))</f>
        <v/>
      </c>
      <c r="N1110" s="11">
        <f>IF(K1110="FUERA","Fuera del marco",IF(K1110="N/A","Sin marco",IFERROR(INDEX('Datos - Catálogo TIMSS'!$F$5:$F$107,MATCH(K1110,'Datos - Catálogo TIMSS'!$A$5:$A$107,0)),"Pendiente de clasificar")))</f>
        <v/>
      </c>
      <c r="O1110" s="11">
        <f>IF(L1110="","",IFERROR(INDEX('Datos - Catálogo TIMSS'!$C$5:$C$107,MATCH(L1110,'Datos - Catálogo TIMSS'!$A$5:$A$107,0)),"?"))</f>
        <v/>
      </c>
      <c r="P1110" s="11" t="inlineStr">
        <is>
          <t>N/A</t>
        </is>
      </c>
      <c r="Q1110" s="38" t="inlineStr">
        <is>
          <t>Sin marco TIMSS de contenido para esta asignatura en Bachillerato</t>
        </is>
      </c>
      <c r="R1110" s="38" t="inlineStr">
        <is>
          <t>Aplicar: ejecutar una extracción y una prueba de identificación. Razonar: evaluar fuentes de error</t>
        </is>
      </c>
      <c r="S1110" s="39">
        <f>IFERROR(ISNUMBER(SEARCH("Conocer",$R1110))/(ISNUMBER(SEARCH("Conocer",$R1110))+ISNUMBER(SEARCH("Aplicar",$R1110))+ISNUMBER(SEARCH("Razonar",$R1110))),0)</f>
        <v/>
      </c>
      <c r="T1110" s="39">
        <f>IFERROR(ISNUMBER(SEARCH("Aplicar",$R1110))/(ISNUMBER(SEARCH("Conocer",$R1110))+ISNUMBER(SEARCH("Aplicar",$R1110))+ISNUMBER(SEARCH("Razonar",$R1110))),0)</f>
        <v/>
      </c>
      <c r="U1110" s="39">
        <f>IFERROR(ISNUMBER(SEARCH("Razonar",$R1110))/(ISNUMBER(SEARCH("Conocer",$R1110))+ISNUMBER(SEARCH("Aplicar",$R1110))+ISNUMBER(SEARCH("Razonar",$R1110))),0)</f>
        <v/>
      </c>
      <c r="V1110" s="11" t="inlineStr">
        <is>
          <t>Biología 10°</t>
        </is>
      </c>
      <c r="W1110" s="11" t="inlineStr">
        <is>
          <t>Biología 10°–11°</t>
        </is>
      </c>
      <c r="X1110" s="11">
        <f>IF(OR(IFERROR(INDEX('Datos - Catálogo TIMSS'!$I$5:$I$107,MATCH(K1110,'Datos - Catálogo TIMSS'!$A$5:$A$107,0)),"No")="Sí",IFERROR(INDEX('Datos - Catálogo TIMSS'!$I$5:$I$107,MATCH(L1110,'Datos - Catálogo TIMSS'!$A$5:$A$107,0)),"No")="Sí"),1,0)</f>
        <v/>
      </c>
      <c r="Y1110" s="11">
        <f>IF(IFERROR(INDEX('Datos - Catálogo TIMSS'!$J$5:$J$107,MATCH(K1110,'Datos - Catálogo TIMSS'!$A$5:$A$107,0)),"No")="Sí",1,0)</f>
        <v/>
      </c>
      <c r="Z1110" s="11">
        <f>IF(IFERROR(INDEX('Datos - Catálogo TIMSS'!$J$5:$J$107,MATCH(L1110,'Datos - Catálogo TIMSS'!$A$5:$A$107,0)),"No")="Sí",1,0)</f>
        <v/>
      </c>
      <c r="AA1110" s="11" t="inlineStr">
        <is>
          <t>N/A</t>
        </is>
      </c>
      <c r="AB1110" s="11" t="inlineStr"/>
      <c r="AC1110" s="11">
        <f>IF(AA1110="FUERA","Fuera del marco",IF(AA1110="N/A","Sin marco",IFERROR(INDEX('Datos - TIMSS 2023'!$C$5:$C$105,MATCH(AA1110,'Datos - TIMSS 2023'!$A$5:$A$105,0)),"Pendiente de clasificar")))</f>
        <v/>
      </c>
      <c r="AD1110" s="11" t="inlineStr">
        <is>
          <t>2. Construir y evaluar diseños para la indagación científica e interpretar datos y evidencia de forma crítica</t>
        </is>
      </c>
      <c r="AE1110" s="11">
        <f>IF(AD1110="","",IF(LEFT(AD1110,1)="1","C1",IF(LEFT(AD1110,1)="2","C2",IF(LEFT(AD1110,1)="3","C3",""))))</f>
        <v/>
      </c>
      <c r="AF1110" s="11" t="inlineStr">
        <is>
          <t>E1</t>
        </is>
      </c>
      <c r="AG1110" s="11" t="inlineStr">
        <is>
          <t>D1</t>
        </is>
      </c>
      <c r="AH1110" s="11" t="inlineStr">
        <is>
          <t>E1</t>
        </is>
      </c>
      <c r="AI1110" s="11" t="inlineStr">
        <is>
          <t>D2</t>
        </is>
      </c>
      <c r="AJ1110" s="11" t="inlineStr">
        <is>
          <t>D3</t>
        </is>
      </c>
      <c r="AK1110" s="11" t="n"/>
      <c r="AL1110" s="11" t="n"/>
      <c r="AM1110" s="11" t="n"/>
      <c r="AN1110" s="11" t="n"/>
      <c r="AO1110" s="11" t="n"/>
      <c r="AP1110" s="11" t="n"/>
      <c r="AQ1110" s="11" t="n"/>
      <c r="AR1110" s="11" t="n"/>
      <c r="AS1110" s="11" t="n"/>
      <c r="AT1110" s="11" t="n"/>
      <c r="AU1110" s="11" t="n"/>
      <c r="AV1110" s="11" t="n"/>
      <c r="AW1110" s="11">
        <f>AF1110&amp;"; "&amp;AG1110&amp;"; "&amp;AH1110&amp;"; "&amp;AI1110&amp;"; "&amp;AJ1110</f>
        <v/>
      </c>
    </row>
    <row r="1111">
      <c r="A1111" s="11" t="inlineStr">
        <is>
          <t>T0009-G10-BIO</t>
        </is>
      </c>
      <c r="B1111" s="11" t="n">
        <v>10</v>
      </c>
      <c r="C1111" s="11" t="inlineStr">
        <is>
          <t>Biología</t>
        </is>
      </c>
      <c r="D1111" s="11" t="inlineStr">
        <is>
          <t>Matriz_Bachillerato_Biologia_10_11.xlsx</t>
        </is>
      </c>
      <c r="E1111" s="11" t="inlineStr">
        <is>
          <t>Biología 10.°</t>
        </is>
      </c>
      <c r="F1111" s="11" t="n">
        <v>11</v>
      </c>
      <c r="G1111" s="11" t="inlineStr">
        <is>
          <t>1. Biomoléculas</t>
        </is>
      </c>
      <c r="H1111" s="11" t="inlineStr">
        <is>
          <t>Proteínas</t>
        </is>
      </c>
      <c r="I1111" s="38" t="inlineStr">
        <is>
          <t>1.9. Clasificación de las proteínas de acuerdo con diferentes criterios.</t>
        </is>
      </c>
      <c r="J1111" s="11" t="inlineStr">
        <is>
          <t>Sin marco</t>
        </is>
      </c>
      <c r="K1111" s="11" t="inlineStr">
        <is>
          <t>N/A</t>
        </is>
      </c>
      <c r="L1111" s="11" t="inlineStr"/>
      <c r="M1111" s="11">
        <f>IF(K1111="FUERA","Fuera del marco",IF(K1111="N/A","Sin marco",IFERROR(INDEX('Datos - Catálogo TIMSS'!$C$5:$C$107,MATCH(K1111,'Datos - Catálogo TIMSS'!$A$5:$A$107,0)),"Pendiente de clasificar")))</f>
        <v/>
      </c>
      <c r="N1111" s="11">
        <f>IF(K1111="FUERA","Fuera del marco",IF(K1111="N/A","Sin marco",IFERROR(INDEX('Datos - Catálogo TIMSS'!$F$5:$F$107,MATCH(K1111,'Datos - Catálogo TIMSS'!$A$5:$A$107,0)),"Pendiente de clasificar")))</f>
        <v/>
      </c>
      <c r="O1111" s="11">
        <f>IF(L1111="","",IFERROR(INDEX('Datos - Catálogo TIMSS'!$C$5:$C$107,MATCH(L1111,'Datos - Catálogo TIMSS'!$A$5:$A$107,0)),"?"))</f>
        <v/>
      </c>
      <c r="P1111" s="11" t="inlineStr">
        <is>
          <t>N/A</t>
        </is>
      </c>
      <c r="Q1111" s="38" t="inlineStr">
        <is>
          <t>Sin marco TIMSS de contenido para esta asignatura en Bachillerato</t>
        </is>
      </c>
      <c r="R1111" s="38" t="inlineStr">
        <is>
          <t>Aplicar: clasificar con varios criterios. Razonar: relacionar estructura, desnaturalización y función</t>
        </is>
      </c>
      <c r="S1111" s="39">
        <f>IFERROR(ISNUMBER(SEARCH("Conocer",$R1111))/(ISNUMBER(SEARCH("Conocer",$R1111))+ISNUMBER(SEARCH("Aplicar",$R1111))+ISNUMBER(SEARCH("Razonar",$R1111))),0)</f>
        <v/>
      </c>
      <c r="T1111" s="39">
        <f>IFERROR(ISNUMBER(SEARCH("Aplicar",$R1111))/(ISNUMBER(SEARCH("Conocer",$R1111))+ISNUMBER(SEARCH("Aplicar",$R1111))+ISNUMBER(SEARCH("Razonar",$R1111))),0)</f>
        <v/>
      </c>
      <c r="U1111" s="39">
        <f>IFERROR(ISNUMBER(SEARCH("Razonar",$R1111))/(ISNUMBER(SEARCH("Conocer",$R1111))+ISNUMBER(SEARCH("Aplicar",$R1111))+ISNUMBER(SEARCH("Razonar",$R1111))),0)</f>
        <v/>
      </c>
      <c r="V1111" s="11" t="inlineStr">
        <is>
          <t>Biología 10°</t>
        </is>
      </c>
      <c r="W1111" s="11" t="inlineStr">
        <is>
          <t>Biología 10°–11°</t>
        </is>
      </c>
      <c r="X1111" s="11">
        <f>IF(OR(IFERROR(INDEX('Datos - Catálogo TIMSS'!$I$5:$I$107,MATCH(K1111,'Datos - Catálogo TIMSS'!$A$5:$A$107,0)),"No")="Sí",IFERROR(INDEX('Datos - Catálogo TIMSS'!$I$5:$I$107,MATCH(L1111,'Datos - Catálogo TIMSS'!$A$5:$A$107,0)),"No")="Sí"),1,0)</f>
        <v/>
      </c>
      <c r="Y1111" s="11">
        <f>IF(IFERROR(INDEX('Datos - Catálogo TIMSS'!$J$5:$J$107,MATCH(K1111,'Datos - Catálogo TIMSS'!$A$5:$A$107,0)),"No")="Sí",1,0)</f>
        <v/>
      </c>
      <c r="Z1111" s="11">
        <f>IF(IFERROR(INDEX('Datos - Catálogo TIMSS'!$J$5:$J$107,MATCH(L1111,'Datos - Catálogo TIMSS'!$A$5:$A$107,0)),"No")="Sí",1,0)</f>
        <v/>
      </c>
      <c r="AA1111" s="11" t="inlineStr">
        <is>
          <t>N/A</t>
        </is>
      </c>
      <c r="AB1111" s="11" t="inlineStr"/>
      <c r="AC1111" s="11">
        <f>IF(AA1111="FUERA","Fuera del marco",IF(AA1111="N/A","Sin marco",IFERROR(INDEX('Datos - TIMSS 2023'!$C$5:$C$105,MATCH(AA1111,'Datos - TIMSS 2023'!$A$5:$A$105,0)),"Pendiente de clasificar")))</f>
        <v/>
      </c>
      <c r="AD1111" s="11" t="inlineStr">
        <is>
          <t>3. Investigar, evaluar y usar información científica para tomar decisiones y actuar</t>
        </is>
      </c>
      <c r="AE1111" s="11">
        <f>IF(AD1111="","",IF(LEFT(AD1111,1)="1","C1",IF(LEFT(AD1111,1)="2","C2",IF(LEFT(AD1111,1)="3","C3",""))))</f>
        <v/>
      </c>
      <c r="AF1111" s="11" t="inlineStr">
        <is>
          <t>E1</t>
        </is>
      </c>
      <c r="AG1111" s="11" t="inlineStr">
        <is>
          <t>D1</t>
        </is>
      </c>
      <c r="AH1111" s="11" t="inlineStr">
        <is>
          <t>E2</t>
        </is>
      </c>
      <c r="AI1111" s="11" t="inlineStr">
        <is>
          <t>I1</t>
        </is>
      </c>
      <c r="AJ1111" s="11" t="inlineStr">
        <is>
          <t>I5</t>
        </is>
      </c>
      <c r="AK1111" s="11" t="n"/>
      <c r="AL1111" s="11" t="n"/>
      <c r="AM1111" s="11" t="n"/>
      <c r="AN1111" s="11" t="n"/>
      <c r="AO1111" s="11" t="n"/>
      <c r="AP1111" s="11" t="n"/>
      <c r="AQ1111" s="11" t="n"/>
      <c r="AR1111" s="11" t="n"/>
      <c r="AS1111" s="11" t="n"/>
      <c r="AT1111" s="11" t="n"/>
      <c r="AU1111" s="11" t="n"/>
      <c r="AV1111" s="11" t="n"/>
      <c r="AW1111" s="11">
        <f>AF1111&amp;"; "&amp;AG1111&amp;"; "&amp;AH1111&amp;"; "&amp;AI1111&amp;"; "&amp;AJ1111</f>
        <v/>
      </c>
    </row>
    <row r="1112">
      <c r="A1112" s="11" t="inlineStr">
        <is>
          <t>T0010-G10-BIO</t>
        </is>
      </c>
      <c r="B1112" s="11" t="n">
        <v>10</v>
      </c>
      <c r="C1112" s="11" t="inlineStr">
        <is>
          <t>Biología</t>
        </is>
      </c>
      <c r="D1112" s="11" t="inlineStr">
        <is>
          <t>Matriz_Bachillerato_Biologia_10_11.xlsx</t>
        </is>
      </c>
      <c r="E1112" s="11" t="inlineStr">
        <is>
          <t>Biología 10.°</t>
        </is>
      </c>
      <c r="F1112" s="11" t="n">
        <v>12</v>
      </c>
      <c r="G1112" s="11" t="inlineStr">
        <is>
          <t>1. Biomoléculas</t>
        </is>
      </c>
      <c r="H1112" s="11" t="inlineStr">
        <is>
          <t>Ácidos nucleicos</t>
        </is>
      </c>
      <c r="I1112" s="38" t="inlineStr">
        <is>
          <t>1.10. Identificación de las funciones de los nucleótidos libres.</t>
        </is>
      </c>
      <c r="J1112" s="11" t="inlineStr">
        <is>
          <t>Sin marco</t>
        </is>
      </c>
      <c r="K1112" s="11" t="inlineStr">
        <is>
          <t>N/A</t>
        </is>
      </c>
      <c r="L1112" s="11" t="inlineStr"/>
      <c r="M1112" s="11">
        <f>IF(K1112="FUERA","Fuera del marco",IF(K1112="N/A","Sin marco",IFERROR(INDEX('Datos - Catálogo TIMSS'!$C$5:$C$107,MATCH(K1112,'Datos - Catálogo TIMSS'!$A$5:$A$107,0)),"Pendiente de clasificar")))</f>
        <v/>
      </c>
      <c r="N1112" s="11">
        <f>IF(K1112="FUERA","Fuera del marco",IF(K1112="N/A","Sin marco",IFERROR(INDEX('Datos - Catálogo TIMSS'!$F$5:$F$107,MATCH(K1112,'Datos - Catálogo TIMSS'!$A$5:$A$107,0)),"Pendiente de clasificar")))</f>
        <v/>
      </c>
      <c r="O1112" s="11">
        <f>IF(L1112="","",IFERROR(INDEX('Datos - Catálogo TIMSS'!$C$5:$C$107,MATCH(L1112,'Datos - Catálogo TIMSS'!$A$5:$A$107,0)),"?"))</f>
        <v/>
      </c>
      <c r="P1112" s="11" t="inlineStr">
        <is>
          <t>N/A</t>
        </is>
      </c>
      <c r="Q1112" s="38" t="inlineStr">
        <is>
          <t>Sin marco TIMSS de contenido para esta asignatura en Bachillerato</t>
        </is>
      </c>
      <c r="R1112" s="38" t="inlineStr">
        <is>
          <t>Conocer: identificar componentes. Aplicar: relacionar estructura y función. Razonar: predecir consecuencias</t>
        </is>
      </c>
      <c r="S1112" s="39">
        <f>IFERROR(ISNUMBER(SEARCH("Conocer",$R1112))/(ISNUMBER(SEARCH("Conocer",$R1112))+ISNUMBER(SEARCH("Aplicar",$R1112))+ISNUMBER(SEARCH("Razonar",$R1112))),0)</f>
        <v/>
      </c>
      <c r="T1112" s="39">
        <f>IFERROR(ISNUMBER(SEARCH("Aplicar",$R1112))/(ISNUMBER(SEARCH("Conocer",$R1112))+ISNUMBER(SEARCH("Aplicar",$R1112))+ISNUMBER(SEARCH("Razonar",$R1112))),0)</f>
        <v/>
      </c>
      <c r="U1112" s="39">
        <f>IFERROR(ISNUMBER(SEARCH("Razonar",$R1112))/(ISNUMBER(SEARCH("Conocer",$R1112))+ISNUMBER(SEARCH("Aplicar",$R1112))+ISNUMBER(SEARCH("Razonar",$R1112))),0)</f>
        <v/>
      </c>
      <c r="V1112" s="11" t="inlineStr">
        <is>
          <t>Biología 10°</t>
        </is>
      </c>
      <c r="W1112" s="11" t="inlineStr">
        <is>
          <t>Biología 10°–11°</t>
        </is>
      </c>
      <c r="X1112" s="11">
        <f>IF(OR(IFERROR(INDEX('Datos - Catálogo TIMSS'!$I$5:$I$107,MATCH(K1112,'Datos - Catálogo TIMSS'!$A$5:$A$107,0)),"No")="Sí",IFERROR(INDEX('Datos - Catálogo TIMSS'!$I$5:$I$107,MATCH(L1112,'Datos - Catálogo TIMSS'!$A$5:$A$107,0)),"No")="Sí"),1,0)</f>
        <v/>
      </c>
      <c r="Y1112" s="11">
        <f>IF(IFERROR(INDEX('Datos - Catálogo TIMSS'!$J$5:$J$107,MATCH(K1112,'Datos - Catálogo TIMSS'!$A$5:$A$107,0)),"No")="Sí",1,0)</f>
        <v/>
      </c>
      <c r="Z1112" s="11">
        <f>IF(IFERROR(INDEX('Datos - Catálogo TIMSS'!$J$5:$J$107,MATCH(L1112,'Datos - Catálogo TIMSS'!$A$5:$A$107,0)),"No")="Sí",1,0)</f>
        <v/>
      </c>
      <c r="AA1112" s="11" t="inlineStr">
        <is>
          <t>N/A</t>
        </is>
      </c>
      <c r="AB1112" s="11" t="inlineStr"/>
      <c r="AC1112" s="11">
        <f>IF(AA1112="FUERA","Fuera del marco",IF(AA1112="N/A","Sin marco",IFERROR(INDEX('Datos - TIMSS 2023'!$C$5:$C$105,MATCH(AA1112,'Datos - TIMSS 2023'!$A$5:$A$105,0)),"Pendiente de clasificar")))</f>
        <v/>
      </c>
      <c r="AD1112" s="11" t="inlineStr">
        <is>
          <t>1. Explicar fenómenos científicamente</t>
        </is>
      </c>
      <c r="AE1112" s="11">
        <f>IF(AD1112="","",IF(LEFT(AD1112,1)="1","C1",IF(LEFT(AD1112,1)="2","C2",IF(LEFT(AD1112,1)="3","C3",""))))</f>
        <v/>
      </c>
      <c r="AF1112" s="11" t="inlineStr">
        <is>
          <t>E1</t>
        </is>
      </c>
      <c r="AG1112" s="11" t="inlineStr">
        <is>
          <t>D1</t>
        </is>
      </c>
      <c r="AH1112" s="11" t="inlineStr">
        <is>
          <t>E2</t>
        </is>
      </c>
      <c r="AI1112" s="11" t="inlineStr">
        <is>
          <t>I1</t>
        </is>
      </c>
      <c r="AJ1112" s="11" t="inlineStr">
        <is>
          <t>E3</t>
        </is>
      </c>
      <c r="AK1112" s="11" t="n"/>
      <c r="AL1112" s="11" t="n"/>
      <c r="AM1112" s="11" t="n"/>
      <c r="AN1112" s="11" t="n"/>
      <c r="AO1112" s="11" t="n"/>
      <c r="AP1112" s="11" t="n"/>
      <c r="AQ1112" s="11" t="n"/>
      <c r="AR1112" s="11" t="n"/>
      <c r="AS1112" s="11" t="n"/>
      <c r="AT1112" s="11" t="n"/>
      <c r="AU1112" s="11" t="n"/>
      <c r="AV1112" s="11" t="n"/>
      <c r="AW1112" s="11">
        <f>AF1112&amp;"; "&amp;AG1112&amp;"; "&amp;AH1112&amp;"; "&amp;AI1112&amp;"; "&amp;AJ1112</f>
        <v/>
      </c>
    </row>
    <row r="1113">
      <c r="A1113" s="11" t="inlineStr">
        <is>
          <t>T0011-G10-BIO</t>
        </is>
      </c>
      <c r="B1113" s="11" t="n">
        <v>10</v>
      </c>
      <c r="C1113" s="11" t="inlineStr">
        <is>
          <t>Biología</t>
        </is>
      </c>
      <c r="D1113" s="11" t="inlineStr">
        <is>
          <t>Matriz_Bachillerato_Biologia_10_11.xlsx</t>
        </is>
      </c>
      <c r="E1113" s="11" t="inlineStr">
        <is>
          <t>Biología 10.°</t>
        </is>
      </c>
      <c r="F1113" s="11" t="n">
        <v>13</v>
      </c>
      <c r="G1113" s="11" t="inlineStr">
        <is>
          <t>1. Biomoléculas</t>
        </is>
      </c>
      <c r="H1113" s="11" t="inlineStr">
        <is>
          <t>Ácidos nucleicos</t>
        </is>
      </c>
      <c r="I1113" s="38" t="inlineStr">
        <is>
          <t>1.11. Interpretación de la estructura química de los ácidos nucleicos.</t>
        </is>
      </c>
      <c r="J1113" s="11" t="inlineStr">
        <is>
          <t>Sin marco</t>
        </is>
      </c>
      <c r="K1113" s="11" t="inlineStr">
        <is>
          <t>N/A</t>
        </is>
      </c>
      <c r="L1113" s="11" t="inlineStr"/>
      <c r="M1113" s="11">
        <f>IF(K1113="FUERA","Fuera del marco",IF(K1113="N/A","Sin marco",IFERROR(INDEX('Datos - Catálogo TIMSS'!$C$5:$C$107,MATCH(K1113,'Datos - Catálogo TIMSS'!$A$5:$A$107,0)),"Pendiente de clasificar")))</f>
        <v/>
      </c>
      <c r="N1113" s="11">
        <f>IF(K1113="FUERA","Fuera del marco",IF(K1113="N/A","Sin marco",IFERROR(INDEX('Datos - Catálogo TIMSS'!$F$5:$F$107,MATCH(K1113,'Datos - Catálogo TIMSS'!$A$5:$A$107,0)),"Pendiente de clasificar")))</f>
        <v/>
      </c>
      <c r="O1113" s="11">
        <f>IF(L1113="","",IFERROR(INDEX('Datos - Catálogo TIMSS'!$C$5:$C$107,MATCH(L1113,'Datos - Catálogo TIMSS'!$A$5:$A$107,0)),"?"))</f>
        <v/>
      </c>
      <c r="P1113" s="11" t="inlineStr">
        <is>
          <t>N/A</t>
        </is>
      </c>
      <c r="Q1113" s="38" t="inlineStr">
        <is>
          <t>Sin marco TIMSS de contenido para esta asignatura en Bachillerato</t>
        </is>
      </c>
      <c r="R1113" s="38" t="inlineStr">
        <is>
          <t>Aplicar: construir un modelo a escala. Razonar: comparar estructuras de ADN y ARN</t>
        </is>
      </c>
      <c r="S1113" s="39">
        <f>IFERROR(ISNUMBER(SEARCH("Conocer",$R1113))/(ISNUMBER(SEARCH("Conocer",$R1113))+ISNUMBER(SEARCH("Aplicar",$R1113))+ISNUMBER(SEARCH("Razonar",$R1113))),0)</f>
        <v/>
      </c>
      <c r="T1113" s="39">
        <f>IFERROR(ISNUMBER(SEARCH("Aplicar",$R1113))/(ISNUMBER(SEARCH("Conocer",$R1113))+ISNUMBER(SEARCH("Aplicar",$R1113))+ISNUMBER(SEARCH("Razonar",$R1113))),0)</f>
        <v/>
      </c>
      <c r="U1113" s="39">
        <f>IFERROR(ISNUMBER(SEARCH("Razonar",$R1113))/(ISNUMBER(SEARCH("Conocer",$R1113))+ISNUMBER(SEARCH("Aplicar",$R1113))+ISNUMBER(SEARCH("Razonar",$R1113))),0)</f>
        <v/>
      </c>
      <c r="V1113" s="11" t="inlineStr">
        <is>
          <t>Biología 10°</t>
        </is>
      </c>
      <c r="W1113" s="11" t="inlineStr">
        <is>
          <t>Biología 10°–11°</t>
        </is>
      </c>
      <c r="X1113" s="11">
        <f>IF(OR(IFERROR(INDEX('Datos - Catálogo TIMSS'!$I$5:$I$107,MATCH(K1113,'Datos - Catálogo TIMSS'!$A$5:$A$107,0)),"No")="Sí",IFERROR(INDEX('Datos - Catálogo TIMSS'!$I$5:$I$107,MATCH(L1113,'Datos - Catálogo TIMSS'!$A$5:$A$107,0)),"No")="Sí"),1,0)</f>
        <v/>
      </c>
      <c r="Y1113" s="11">
        <f>IF(IFERROR(INDEX('Datos - Catálogo TIMSS'!$J$5:$J$107,MATCH(K1113,'Datos - Catálogo TIMSS'!$A$5:$A$107,0)),"No")="Sí",1,0)</f>
        <v/>
      </c>
      <c r="Z1113" s="11">
        <f>IF(IFERROR(INDEX('Datos - Catálogo TIMSS'!$J$5:$J$107,MATCH(L1113,'Datos - Catálogo TIMSS'!$A$5:$A$107,0)),"No")="Sí",1,0)</f>
        <v/>
      </c>
      <c r="AA1113" s="11" t="inlineStr">
        <is>
          <t>N/A</t>
        </is>
      </c>
      <c r="AB1113" s="11" t="inlineStr"/>
      <c r="AC1113" s="11">
        <f>IF(AA1113="FUERA","Fuera del marco",IF(AA1113="N/A","Sin marco",IFERROR(INDEX('Datos - TIMSS 2023'!$C$5:$C$105,MATCH(AA1113,'Datos - TIMSS 2023'!$A$5:$A$105,0)),"Pendiente de clasificar")))</f>
        <v/>
      </c>
      <c r="AD1113" s="11" t="inlineStr">
        <is>
          <t>1. Explicar fenómenos científicamente</t>
        </is>
      </c>
      <c r="AE1113" s="11">
        <f>IF(AD1113="","",IF(LEFT(AD1113,1)="1","C1",IF(LEFT(AD1113,1)="2","C2",IF(LEFT(AD1113,1)="3","C3",""))))</f>
        <v/>
      </c>
      <c r="AF1113" s="11" t="inlineStr">
        <is>
          <t>E1</t>
        </is>
      </c>
      <c r="AG1113" s="11" t="inlineStr">
        <is>
          <t>E3</t>
        </is>
      </c>
      <c r="AH1113" s="11" t="inlineStr">
        <is>
          <t>E4</t>
        </is>
      </c>
      <c r="AI1113" s="11" t="inlineStr">
        <is>
          <t>D4</t>
        </is>
      </c>
      <c r="AJ1113" s="11" t="inlineStr">
        <is>
          <t>E6</t>
        </is>
      </c>
      <c r="AK1113" s="11" t="n"/>
      <c r="AL1113" s="11" t="n"/>
      <c r="AM1113" s="11" t="n"/>
      <c r="AN1113" s="11" t="n"/>
      <c r="AO1113" s="11" t="n"/>
      <c r="AP1113" s="11" t="n"/>
      <c r="AQ1113" s="11" t="n"/>
      <c r="AR1113" s="11" t="n"/>
      <c r="AS1113" s="11" t="n"/>
      <c r="AT1113" s="11" t="n"/>
      <c r="AU1113" s="11" t="n"/>
      <c r="AV1113" s="11" t="n"/>
      <c r="AW1113" s="11">
        <f>AF1113&amp;"; "&amp;AG1113&amp;"; "&amp;AH1113&amp;"; "&amp;AI1113&amp;"; "&amp;AJ1113</f>
        <v/>
      </c>
    </row>
    <row r="1114">
      <c r="A1114" s="11" t="inlineStr">
        <is>
          <t>T0012-G10-BIO</t>
        </is>
      </c>
      <c r="B1114" s="11" t="n">
        <v>10</v>
      </c>
      <c r="C1114" s="11" t="inlineStr">
        <is>
          <t>Biología</t>
        </is>
      </c>
      <c r="D1114" s="11" t="inlineStr">
        <is>
          <t>Matriz_Bachillerato_Biologia_10_11.xlsx</t>
        </is>
      </c>
      <c r="E1114" s="11" t="inlineStr">
        <is>
          <t>Biología 10.°</t>
        </is>
      </c>
      <c r="F1114" s="11" t="n">
        <v>14</v>
      </c>
      <c r="G1114" s="11" t="inlineStr">
        <is>
          <t>2. Biología celular</t>
        </is>
      </c>
      <c r="H1114" s="11" t="inlineStr">
        <is>
          <t>Alimentación de las células</t>
        </is>
      </c>
      <c r="I1114" s="38" t="inlineStr">
        <is>
          <t>2.1. Indagación del uso de energía en los seres vivos a partir de fenómenos cotidianos.</t>
        </is>
      </c>
      <c r="J1114" s="11" t="inlineStr">
        <is>
          <t>Sin marco</t>
        </is>
      </c>
      <c r="K1114" s="11" t="inlineStr">
        <is>
          <t>N/A</t>
        </is>
      </c>
      <c r="L1114" s="11" t="inlineStr"/>
      <c r="M1114" s="11">
        <f>IF(K1114="FUERA","Fuera del marco",IF(K1114="N/A","Sin marco",IFERROR(INDEX('Datos - Catálogo TIMSS'!$C$5:$C$107,MATCH(K1114,'Datos - Catálogo TIMSS'!$A$5:$A$107,0)),"Pendiente de clasificar")))</f>
        <v/>
      </c>
      <c r="N1114" s="11">
        <f>IF(K1114="FUERA","Fuera del marco",IF(K1114="N/A","Sin marco",IFERROR(INDEX('Datos - Catálogo TIMSS'!$F$5:$F$107,MATCH(K1114,'Datos - Catálogo TIMSS'!$A$5:$A$107,0)),"Pendiente de clasificar")))</f>
        <v/>
      </c>
      <c r="O1114" s="11">
        <f>IF(L1114="","",IFERROR(INDEX('Datos - Catálogo TIMSS'!$C$5:$C$107,MATCH(L1114,'Datos - Catálogo TIMSS'!$A$5:$A$107,0)),"?"))</f>
        <v/>
      </c>
      <c r="P1114" s="11" t="inlineStr">
        <is>
          <t>N/A</t>
        </is>
      </c>
      <c r="Q1114" s="38" t="inlineStr">
        <is>
          <t>Sin marco TIMSS de contenido para esta asignatura en Bachillerato</t>
        </is>
      </c>
      <c r="R1114" s="38" t="inlineStr">
        <is>
          <t>Conocer: identificar transformaciones de energía. Aplicar: representar. Razonar: explicar con ejemplos</t>
        </is>
      </c>
      <c r="S1114" s="39">
        <f>IFERROR(ISNUMBER(SEARCH("Conocer",$R1114))/(ISNUMBER(SEARCH("Conocer",$R1114))+ISNUMBER(SEARCH("Aplicar",$R1114))+ISNUMBER(SEARCH("Razonar",$R1114))),0)</f>
        <v/>
      </c>
      <c r="T1114" s="39">
        <f>IFERROR(ISNUMBER(SEARCH("Aplicar",$R1114))/(ISNUMBER(SEARCH("Conocer",$R1114))+ISNUMBER(SEARCH("Aplicar",$R1114))+ISNUMBER(SEARCH("Razonar",$R1114))),0)</f>
        <v/>
      </c>
      <c r="U1114" s="39">
        <f>IFERROR(ISNUMBER(SEARCH("Razonar",$R1114))/(ISNUMBER(SEARCH("Conocer",$R1114))+ISNUMBER(SEARCH("Aplicar",$R1114))+ISNUMBER(SEARCH("Razonar",$R1114))),0)</f>
        <v/>
      </c>
      <c r="V1114" s="11" t="inlineStr">
        <is>
          <t>Biología 10°</t>
        </is>
      </c>
      <c r="W1114" s="11" t="inlineStr">
        <is>
          <t>Biología 10°–11°</t>
        </is>
      </c>
      <c r="X1114" s="11">
        <f>IF(OR(IFERROR(INDEX('Datos - Catálogo TIMSS'!$I$5:$I$107,MATCH(K1114,'Datos - Catálogo TIMSS'!$A$5:$A$107,0)),"No")="Sí",IFERROR(INDEX('Datos - Catálogo TIMSS'!$I$5:$I$107,MATCH(L1114,'Datos - Catálogo TIMSS'!$A$5:$A$107,0)),"No")="Sí"),1,0)</f>
        <v/>
      </c>
      <c r="Y1114" s="11">
        <f>IF(IFERROR(INDEX('Datos - Catálogo TIMSS'!$J$5:$J$107,MATCH(K1114,'Datos - Catálogo TIMSS'!$A$5:$A$107,0)),"No")="Sí",1,0)</f>
        <v/>
      </c>
      <c r="Z1114" s="11">
        <f>IF(IFERROR(INDEX('Datos - Catálogo TIMSS'!$J$5:$J$107,MATCH(L1114,'Datos - Catálogo TIMSS'!$A$5:$A$107,0)),"No")="Sí",1,0)</f>
        <v/>
      </c>
      <c r="AA1114" s="11" t="inlineStr">
        <is>
          <t>N/A</t>
        </is>
      </c>
      <c r="AB1114" s="11" t="inlineStr"/>
      <c r="AC1114" s="11">
        <f>IF(AA1114="FUERA","Fuera del marco",IF(AA1114="N/A","Sin marco",IFERROR(INDEX('Datos - TIMSS 2023'!$C$5:$C$105,MATCH(AA1114,'Datos - TIMSS 2023'!$A$5:$A$105,0)),"Pendiente de clasificar")))</f>
        <v/>
      </c>
      <c r="AD1114" s="11" t="inlineStr">
        <is>
          <t>1. Explicar fenómenos científicamente</t>
        </is>
      </c>
      <c r="AE1114" s="11">
        <f>IF(AD1114="","",IF(LEFT(AD1114,1)="1","C1",IF(LEFT(AD1114,1)="2","C2",IF(LEFT(AD1114,1)="3","C3",""))))</f>
        <v/>
      </c>
      <c r="AF1114" s="11" t="inlineStr">
        <is>
          <t>E1</t>
        </is>
      </c>
      <c r="AG1114" s="11" t="inlineStr">
        <is>
          <t>D1</t>
        </is>
      </c>
      <c r="AH1114" s="11" t="inlineStr">
        <is>
          <t>E2</t>
        </is>
      </c>
      <c r="AI1114" s="11" t="inlineStr">
        <is>
          <t>I3</t>
        </is>
      </c>
      <c r="AJ1114" s="11" t="inlineStr">
        <is>
          <t>E3</t>
        </is>
      </c>
      <c r="AK1114" s="11" t="n"/>
      <c r="AL1114" s="11" t="n"/>
      <c r="AM1114" s="11" t="n"/>
      <c r="AN1114" s="11" t="n"/>
      <c r="AO1114" s="11" t="n"/>
      <c r="AP1114" s="11" t="n"/>
      <c r="AQ1114" s="11" t="n"/>
      <c r="AR1114" s="11" t="n"/>
      <c r="AS1114" s="11" t="n"/>
      <c r="AT1114" s="11" t="n"/>
      <c r="AU1114" s="11" t="n"/>
      <c r="AV1114" s="11" t="n"/>
      <c r="AW1114" s="11">
        <f>AF1114&amp;"; "&amp;AG1114&amp;"; "&amp;AH1114&amp;"; "&amp;AI1114&amp;"; "&amp;AJ1114</f>
        <v/>
      </c>
    </row>
    <row r="1115">
      <c r="A1115" s="11" t="inlineStr">
        <is>
          <t>T0013-G10-BIO</t>
        </is>
      </c>
      <c r="B1115" s="11" t="n">
        <v>10</v>
      </c>
      <c r="C1115" s="11" t="inlineStr">
        <is>
          <t>Biología</t>
        </is>
      </c>
      <c r="D1115" s="11" t="inlineStr">
        <is>
          <t>Matriz_Bachillerato_Biologia_10_11.xlsx</t>
        </is>
      </c>
      <c r="E1115" s="11" t="inlineStr">
        <is>
          <t>Biología 10.°</t>
        </is>
      </c>
      <c r="F1115" s="11" t="n">
        <v>15</v>
      </c>
      <c r="G1115" s="11" t="inlineStr">
        <is>
          <t>2. Biología celular</t>
        </is>
      </c>
      <c r="H1115" s="11" t="inlineStr">
        <is>
          <t>Alimentación de las células</t>
        </is>
      </c>
      <c r="I1115" s="38" t="inlineStr">
        <is>
          <t>2.2. Análisis de los conceptos de entropía y organización en los seres vivos.</t>
        </is>
      </c>
      <c r="J1115" s="11" t="inlineStr">
        <is>
          <t>Sin marco</t>
        </is>
      </c>
      <c r="K1115" s="11" t="inlineStr">
        <is>
          <t>N/A</t>
        </is>
      </c>
      <c r="L1115" s="11" t="inlineStr"/>
      <c r="M1115" s="11">
        <f>IF(K1115="FUERA","Fuera del marco",IF(K1115="N/A","Sin marco",IFERROR(INDEX('Datos - Catálogo TIMSS'!$C$5:$C$107,MATCH(K1115,'Datos - Catálogo TIMSS'!$A$5:$A$107,0)),"Pendiente de clasificar")))</f>
        <v/>
      </c>
      <c r="N1115" s="11">
        <f>IF(K1115="FUERA","Fuera del marco",IF(K1115="N/A","Sin marco",IFERROR(INDEX('Datos - Catálogo TIMSS'!$F$5:$F$107,MATCH(K1115,'Datos - Catálogo TIMSS'!$A$5:$A$107,0)),"Pendiente de clasificar")))</f>
        <v/>
      </c>
      <c r="O1115" s="11">
        <f>IF(L1115="","",IFERROR(INDEX('Datos - Catálogo TIMSS'!$C$5:$C$107,MATCH(L1115,'Datos - Catálogo TIMSS'!$A$5:$A$107,0)),"?"))</f>
        <v/>
      </c>
      <c r="P1115" s="11" t="inlineStr">
        <is>
          <t>N/A</t>
        </is>
      </c>
      <c r="Q1115" s="38" t="inlineStr">
        <is>
          <t>Sin marco TIMSS de contenido para esta asignatura en Bachillerato</t>
        </is>
      </c>
      <c r="R1115" s="38" t="inlineStr">
        <is>
          <t>Conocer: definir entropía y organización. Razonar: explicar sistemas abiertos con ejemplos</t>
        </is>
      </c>
      <c r="S1115" s="39">
        <f>IFERROR(ISNUMBER(SEARCH("Conocer",$R1115))/(ISNUMBER(SEARCH("Conocer",$R1115))+ISNUMBER(SEARCH("Aplicar",$R1115))+ISNUMBER(SEARCH("Razonar",$R1115))),0)</f>
        <v/>
      </c>
      <c r="T1115" s="39">
        <f>IFERROR(ISNUMBER(SEARCH("Aplicar",$R1115))/(ISNUMBER(SEARCH("Conocer",$R1115))+ISNUMBER(SEARCH("Aplicar",$R1115))+ISNUMBER(SEARCH("Razonar",$R1115))),0)</f>
        <v/>
      </c>
      <c r="U1115" s="39">
        <f>IFERROR(ISNUMBER(SEARCH("Razonar",$R1115))/(ISNUMBER(SEARCH("Conocer",$R1115))+ISNUMBER(SEARCH("Aplicar",$R1115))+ISNUMBER(SEARCH("Razonar",$R1115))),0)</f>
        <v/>
      </c>
      <c r="V1115" s="11" t="inlineStr">
        <is>
          <t>Biología 10°</t>
        </is>
      </c>
      <c r="W1115" s="11" t="inlineStr">
        <is>
          <t>Biología 10°–11°</t>
        </is>
      </c>
      <c r="X1115" s="11">
        <f>IF(OR(IFERROR(INDEX('Datos - Catálogo TIMSS'!$I$5:$I$107,MATCH(K1115,'Datos - Catálogo TIMSS'!$A$5:$A$107,0)),"No")="Sí",IFERROR(INDEX('Datos - Catálogo TIMSS'!$I$5:$I$107,MATCH(L1115,'Datos - Catálogo TIMSS'!$A$5:$A$107,0)),"No")="Sí"),1,0)</f>
        <v/>
      </c>
      <c r="Y1115" s="11">
        <f>IF(IFERROR(INDEX('Datos - Catálogo TIMSS'!$J$5:$J$107,MATCH(K1115,'Datos - Catálogo TIMSS'!$A$5:$A$107,0)),"No")="Sí",1,0)</f>
        <v/>
      </c>
      <c r="Z1115" s="11">
        <f>IF(IFERROR(INDEX('Datos - Catálogo TIMSS'!$J$5:$J$107,MATCH(L1115,'Datos - Catálogo TIMSS'!$A$5:$A$107,0)),"No")="Sí",1,0)</f>
        <v/>
      </c>
      <c r="AA1115" s="11" t="inlineStr">
        <is>
          <t>N/A</t>
        </is>
      </c>
      <c r="AB1115" s="11" t="inlineStr"/>
      <c r="AC1115" s="11">
        <f>IF(AA1115="FUERA","Fuera del marco",IF(AA1115="N/A","Sin marco",IFERROR(INDEX('Datos - TIMSS 2023'!$C$5:$C$105,MATCH(AA1115,'Datos - TIMSS 2023'!$A$5:$A$105,0)),"Pendiente de clasificar")))</f>
        <v/>
      </c>
      <c r="AD1115" s="11" t="inlineStr">
        <is>
          <t>1. Explicar fenómenos científicamente</t>
        </is>
      </c>
      <c r="AE1115" s="11">
        <f>IF(AD1115="","",IF(LEFT(AD1115,1)="1","C1",IF(LEFT(AD1115,1)="2","C2",IF(LEFT(AD1115,1)="3","C3",""))))</f>
        <v/>
      </c>
      <c r="AF1115" s="11" t="inlineStr">
        <is>
          <t>E1</t>
        </is>
      </c>
      <c r="AG1115" s="11" t="inlineStr">
        <is>
          <t>E5</t>
        </is>
      </c>
      <c r="AH1115" s="11" t="inlineStr">
        <is>
          <t>E1</t>
        </is>
      </c>
      <c r="AI1115" s="11" t="inlineStr">
        <is>
          <t>E4</t>
        </is>
      </c>
      <c r="AJ1115" s="11" t="inlineStr">
        <is>
          <t>E3</t>
        </is>
      </c>
      <c r="AK1115" s="11" t="n"/>
      <c r="AL1115" s="11" t="n"/>
      <c r="AM1115" s="11" t="n"/>
      <c r="AN1115" s="11" t="n"/>
      <c r="AO1115" s="11" t="n"/>
      <c r="AP1115" s="11" t="n"/>
      <c r="AQ1115" s="11" t="n"/>
      <c r="AR1115" s="11" t="n"/>
      <c r="AS1115" s="11" t="n"/>
      <c r="AT1115" s="11" t="n"/>
      <c r="AU1115" s="11" t="n"/>
      <c r="AV1115" s="11" t="n"/>
      <c r="AW1115" s="11">
        <f>AF1115&amp;"; "&amp;AG1115&amp;"; "&amp;AH1115&amp;"; "&amp;AI1115&amp;"; "&amp;AJ1115</f>
        <v/>
      </c>
    </row>
    <row r="1116">
      <c r="A1116" s="11" t="inlineStr">
        <is>
          <t>T0014-G10-BIO</t>
        </is>
      </c>
      <c r="B1116" s="11" t="n">
        <v>10</v>
      </c>
      <c r="C1116" s="11" t="inlineStr">
        <is>
          <t>Biología</t>
        </is>
      </c>
      <c r="D1116" s="11" t="inlineStr">
        <is>
          <t>Matriz_Bachillerato_Biologia_10_11.xlsx</t>
        </is>
      </c>
      <c r="E1116" s="11" t="inlineStr">
        <is>
          <t>Biología 10.°</t>
        </is>
      </c>
      <c r="F1116" s="11" t="n">
        <v>16</v>
      </c>
      <c r="G1116" s="11" t="inlineStr">
        <is>
          <t>2. Biología celular</t>
        </is>
      </c>
      <c r="H1116" s="11" t="inlineStr">
        <is>
          <t>Información molecular</t>
        </is>
      </c>
      <c r="I1116" s="38" t="inlineStr">
        <is>
          <t>2.3. Explicación del código genético y la nomenclatura de aminoácidos.</t>
        </is>
      </c>
      <c r="J1116" s="11" t="inlineStr">
        <is>
          <t>Sin marco</t>
        </is>
      </c>
      <c r="K1116" s="11" t="inlineStr">
        <is>
          <t>N/A</t>
        </is>
      </c>
      <c r="L1116" s="11" t="inlineStr"/>
      <c r="M1116" s="11">
        <f>IF(K1116="FUERA","Fuera del marco",IF(K1116="N/A","Sin marco",IFERROR(INDEX('Datos - Catálogo TIMSS'!$C$5:$C$107,MATCH(K1116,'Datos - Catálogo TIMSS'!$A$5:$A$107,0)),"Pendiente de clasificar")))</f>
        <v/>
      </c>
      <c r="N1116" s="11">
        <f>IF(K1116="FUERA","Fuera del marco",IF(K1116="N/A","Sin marco",IFERROR(INDEX('Datos - Catálogo TIMSS'!$F$5:$F$107,MATCH(K1116,'Datos - Catálogo TIMSS'!$A$5:$A$107,0)),"Pendiente de clasificar")))</f>
        <v/>
      </c>
      <c r="O1116" s="11">
        <f>IF(L1116="","",IFERROR(INDEX('Datos - Catálogo TIMSS'!$C$5:$C$107,MATCH(L1116,'Datos - Catálogo TIMSS'!$A$5:$A$107,0)),"?"))</f>
        <v/>
      </c>
      <c r="P1116" s="11" t="inlineStr">
        <is>
          <t>N/A</t>
        </is>
      </c>
      <c r="Q1116" s="38" t="inlineStr">
        <is>
          <t>Sin marco TIMSS de contenido para esta asignatura en Bachillerato</t>
        </is>
      </c>
      <c r="R1116" s="38" t="inlineStr">
        <is>
          <t>Aplicar: traducir con la tabla del código genético. Razonar: predecir efectos de mutaciones puntuales</t>
        </is>
      </c>
      <c r="S1116" s="39">
        <f>IFERROR(ISNUMBER(SEARCH("Conocer",$R1116))/(ISNUMBER(SEARCH("Conocer",$R1116))+ISNUMBER(SEARCH("Aplicar",$R1116))+ISNUMBER(SEARCH("Razonar",$R1116))),0)</f>
        <v/>
      </c>
      <c r="T1116" s="39">
        <f>IFERROR(ISNUMBER(SEARCH("Aplicar",$R1116))/(ISNUMBER(SEARCH("Conocer",$R1116))+ISNUMBER(SEARCH("Aplicar",$R1116))+ISNUMBER(SEARCH("Razonar",$R1116))),0)</f>
        <v/>
      </c>
      <c r="U1116" s="39">
        <f>IFERROR(ISNUMBER(SEARCH("Razonar",$R1116))/(ISNUMBER(SEARCH("Conocer",$R1116))+ISNUMBER(SEARCH("Aplicar",$R1116))+ISNUMBER(SEARCH("Razonar",$R1116))),0)</f>
        <v/>
      </c>
      <c r="V1116" s="11" t="inlineStr">
        <is>
          <t>Biología 10°</t>
        </is>
      </c>
      <c r="W1116" s="11" t="inlineStr">
        <is>
          <t>Biología 10°–11°</t>
        </is>
      </c>
      <c r="X1116" s="11">
        <f>IF(OR(IFERROR(INDEX('Datos - Catálogo TIMSS'!$I$5:$I$107,MATCH(K1116,'Datos - Catálogo TIMSS'!$A$5:$A$107,0)),"No")="Sí",IFERROR(INDEX('Datos - Catálogo TIMSS'!$I$5:$I$107,MATCH(L1116,'Datos - Catálogo TIMSS'!$A$5:$A$107,0)),"No")="Sí"),1,0)</f>
        <v/>
      </c>
      <c r="Y1116" s="11">
        <f>IF(IFERROR(INDEX('Datos - Catálogo TIMSS'!$J$5:$J$107,MATCH(K1116,'Datos - Catálogo TIMSS'!$A$5:$A$107,0)),"No")="Sí",1,0)</f>
        <v/>
      </c>
      <c r="Z1116" s="11">
        <f>IF(IFERROR(INDEX('Datos - Catálogo TIMSS'!$J$5:$J$107,MATCH(L1116,'Datos - Catálogo TIMSS'!$A$5:$A$107,0)),"No")="Sí",1,0)</f>
        <v/>
      </c>
      <c r="AA1116" s="11" t="inlineStr">
        <is>
          <t>N/A</t>
        </is>
      </c>
      <c r="AB1116" s="11" t="inlineStr"/>
      <c r="AC1116" s="11">
        <f>IF(AA1116="FUERA","Fuera del marco",IF(AA1116="N/A","Sin marco",IFERROR(INDEX('Datos - TIMSS 2023'!$C$5:$C$105,MATCH(AA1116,'Datos - TIMSS 2023'!$A$5:$A$105,0)),"Pendiente de clasificar")))</f>
        <v/>
      </c>
      <c r="AD1116" s="11" t="inlineStr">
        <is>
          <t>1. Explicar fenómenos científicamente</t>
        </is>
      </c>
      <c r="AE1116" s="11">
        <f>IF(AD1116="","",IF(LEFT(AD1116,1)="1","C1",IF(LEFT(AD1116,1)="2","C2",IF(LEFT(AD1116,1)="3","C3",""))))</f>
        <v/>
      </c>
      <c r="AF1116" s="11" t="inlineStr">
        <is>
          <t>E1</t>
        </is>
      </c>
      <c r="AG1116" s="11" t="inlineStr">
        <is>
          <t>D1</t>
        </is>
      </c>
      <c r="AH1116" s="11" t="inlineStr">
        <is>
          <t>E2</t>
        </is>
      </c>
      <c r="AI1116" s="11" t="inlineStr">
        <is>
          <t>E4</t>
        </is>
      </c>
      <c r="AJ1116" s="11" t="inlineStr">
        <is>
          <t>E3</t>
        </is>
      </c>
      <c r="AK1116" s="11" t="n"/>
      <c r="AL1116" s="11" t="n"/>
      <c r="AM1116" s="11" t="n"/>
      <c r="AN1116" s="11" t="n"/>
      <c r="AO1116" s="11" t="n"/>
      <c r="AP1116" s="11" t="n"/>
      <c r="AQ1116" s="11" t="n"/>
      <c r="AR1116" s="11" t="n"/>
      <c r="AS1116" s="11" t="n"/>
      <c r="AT1116" s="11" t="n"/>
      <c r="AU1116" s="11" t="n"/>
      <c r="AV1116" s="11" t="n"/>
      <c r="AW1116" s="11">
        <f>AF1116&amp;"; "&amp;AG1116&amp;"; "&amp;AH1116&amp;"; "&amp;AI1116&amp;"; "&amp;AJ1116</f>
        <v/>
      </c>
    </row>
    <row r="1117">
      <c r="A1117" s="11" t="inlineStr">
        <is>
          <t>T0015-G10-BIO</t>
        </is>
      </c>
      <c r="B1117" s="11" t="n">
        <v>10</v>
      </c>
      <c r="C1117" s="11" t="inlineStr">
        <is>
          <t>Biología</t>
        </is>
      </c>
      <c r="D1117" s="11" t="inlineStr">
        <is>
          <t>Matriz_Bachillerato_Biologia_10_11.xlsx</t>
        </is>
      </c>
      <c r="E1117" s="11" t="inlineStr">
        <is>
          <t>Biología 10.°</t>
        </is>
      </c>
      <c r="F1117" s="11" t="n">
        <v>17</v>
      </c>
      <c r="G1117" s="11" t="inlineStr">
        <is>
          <t>2. Biología celular</t>
        </is>
      </c>
      <c r="H1117" s="11" t="inlineStr">
        <is>
          <t>Energía biológicamente útil</t>
        </is>
      </c>
      <c r="I1117" s="38" t="inlineStr">
        <is>
          <t>2.4. Indagación del concepto de energía biológicamente útil.</t>
        </is>
      </c>
      <c r="J1117" s="11" t="inlineStr">
        <is>
          <t>Sin marco</t>
        </is>
      </c>
      <c r="K1117" s="11" t="inlineStr">
        <is>
          <t>N/A</t>
        </is>
      </c>
      <c r="L1117" s="11" t="inlineStr"/>
      <c r="M1117" s="11">
        <f>IF(K1117="FUERA","Fuera del marco",IF(K1117="N/A","Sin marco",IFERROR(INDEX('Datos - Catálogo TIMSS'!$C$5:$C$107,MATCH(K1117,'Datos - Catálogo TIMSS'!$A$5:$A$107,0)),"Pendiente de clasificar")))</f>
        <v/>
      </c>
      <c r="N1117" s="11">
        <f>IF(K1117="FUERA","Fuera del marco",IF(K1117="N/A","Sin marco",IFERROR(INDEX('Datos - Catálogo TIMSS'!$F$5:$F$107,MATCH(K1117,'Datos - Catálogo TIMSS'!$A$5:$A$107,0)),"Pendiente de clasificar")))</f>
        <v/>
      </c>
      <c r="O1117" s="11">
        <f>IF(L1117="","",IFERROR(INDEX('Datos - Catálogo TIMSS'!$C$5:$C$107,MATCH(L1117,'Datos - Catálogo TIMSS'!$A$5:$A$107,0)),"?"))</f>
        <v/>
      </c>
      <c r="P1117" s="11" t="inlineStr">
        <is>
          <t>N/A</t>
        </is>
      </c>
      <c r="Q1117" s="38" t="inlineStr">
        <is>
          <t>Sin marco TIMSS de contenido para esta asignatura en Bachillerato</t>
        </is>
      </c>
      <c r="R1117" s="38" t="inlineStr">
        <is>
          <t>Conocer: definir energía biológicamente útil. Razonar: argumentar con datos energéticos</t>
        </is>
      </c>
      <c r="S1117" s="39">
        <f>IFERROR(ISNUMBER(SEARCH("Conocer",$R1117))/(ISNUMBER(SEARCH("Conocer",$R1117))+ISNUMBER(SEARCH("Aplicar",$R1117))+ISNUMBER(SEARCH("Razonar",$R1117))),0)</f>
        <v/>
      </c>
      <c r="T1117" s="39">
        <f>IFERROR(ISNUMBER(SEARCH("Aplicar",$R1117))/(ISNUMBER(SEARCH("Conocer",$R1117))+ISNUMBER(SEARCH("Aplicar",$R1117))+ISNUMBER(SEARCH("Razonar",$R1117))),0)</f>
        <v/>
      </c>
      <c r="U1117" s="39">
        <f>IFERROR(ISNUMBER(SEARCH("Razonar",$R1117))/(ISNUMBER(SEARCH("Conocer",$R1117))+ISNUMBER(SEARCH("Aplicar",$R1117))+ISNUMBER(SEARCH("Razonar",$R1117))),0)</f>
        <v/>
      </c>
      <c r="V1117" s="11" t="inlineStr">
        <is>
          <t>Biología 10°</t>
        </is>
      </c>
      <c r="W1117" s="11" t="inlineStr">
        <is>
          <t>Biología 10°–11°</t>
        </is>
      </c>
      <c r="X1117" s="11">
        <f>IF(OR(IFERROR(INDEX('Datos - Catálogo TIMSS'!$I$5:$I$107,MATCH(K1117,'Datos - Catálogo TIMSS'!$A$5:$A$107,0)),"No")="Sí",IFERROR(INDEX('Datos - Catálogo TIMSS'!$I$5:$I$107,MATCH(L1117,'Datos - Catálogo TIMSS'!$A$5:$A$107,0)),"No")="Sí"),1,0)</f>
        <v/>
      </c>
      <c r="Y1117" s="11">
        <f>IF(IFERROR(INDEX('Datos - Catálogo TIMSS'!$J$5:$J$107,MATCH(K1117,'Datos - Catálogo TIMSS'!$A$5:$A$107,0)),"No")="Sí",1,0)</f>
        <v/>
      </c>
      <c r="Z1117" s="11">
        <f>IF(IFERROR(INDEX('Datos - Catálogo TIMSS'!$J$5:$J$107,MATCH(L1117,'Datos - Catálogo TIMSS'!$A$5:$A$107,0)),"No")="Sí",1,0)</f>
        <v/>
      </c>
      <c r="AA1117" s="11" t="inlineStr">
        <is>
          <t>N/A</t>
        </is>
      </c>
      <c r="AB1117" s="11" t="inlineStr"/>
      <c r="AC1117" s="11">
        <f>IF(AA1117="FUERA","Fuera del marco",IF(AA1117="N/A","Sin marco",IFERROR(INDEX('Datos - TIMSS 2023'!$C$5:$C$105,MATCH(AA1117,'Datos - TIMSS 2023'!$A$5:$A$105,0)),"Pendiente de clasificar")))</f>
        <v/>
      </c>
      <c r="AD1117" s="11" t="inlineStr">
        <is>
          <t>1. Explicar fenómenos científicamente</t>
        </is>
      </c>
      <c r="AE1117" s="11">
        <f>IF(AD1117="","",IF(LEFT(AD1117,1)="1","C1",IF(LEFT(AD1117,1)="2","C2",IF(LEFT(AD1117,1)="3","C3",""))))</f>
        <v/>
      </c>
      <c r="AF1117" s="11" t="inlineStr">
        <is>
          <t>E1</t>
        </is>
      </c>
      <c r="AG1117" s="11" t="inlineStr">
        <is>
          <t>D1</t>
        </is>
      </c>
      <c r="AH1117" s="11" t="inlineStr">
        <is>
          <t>E1</t>
        </is>
      </c>
      <c r="AI1117" s="11" t="inlineStr">
        <is>
          <t>I3</t>
        </is>
      </c>
      <c r="AJ1117" s="11" t="inlineStr">
        <is>
          <t>E6</t>
        </is>
      </c>
      <c r="AK1117" s="11" t="n"/>
      <c r="AL1117" s="11" t="n"/>
      <c r="AM1117" s="11" t="n"/>
      <c r="AN1117" s="11" t="n"/>
      <c r="AO1117" s="11" t="n"/>
      <c r="AP1117" s="11" t="n"/>
      <c r="AQ1117" s="11" t="n"/>
      <c r="AR1117" s="11" t="n"/>
      <c r="AS1117" s="11" t="n"/>
      <c r="AT1117" s="11" t="n"/>
      <c r="AU1117" s="11" t="n"/>
      <c r="AV1117" s="11" t="n"/>
      <c r="AW1117" s="11">
        <f>AF1117&amp;"; "&amp;AG1117&amp;"; "&amp;AH1117&amp;"; "&amp;AI1117&amp;"; "&amp;AJ1117</f>
        <v/>
      </c>
    </row>
    <row r="1118">
      <c r="A1118" s="11" t="inlineStr">
        <is>
          <t>T0016-G10-BIO</t>
        </is>
      </c>
      <c r="B1118" s="11" t="n">
        <v>10</v>
      </c>
      <c r="C1118" s="11" t="inlineStr">
        <is>
          <t>Biología</t>
        </is>
      </c>
      <c r="D1118" s="11" t="inlineStr">
        <is>
          <t>Matriz_Bachillerato_Biologia_10_11.xlsx</t>
        </is>
      </c>
      <c r="E1118" s="11" t="inlineStr">
        <is>
          <t>Biología 10.°</t>
        </is>
      </c>
      <c r="F1118" s="11" t="n">
        <v>18</v>
      </c>
      <c r="G1118" s="11" t="inlineStr">
        <is>
          <t>2. Biología celular</t>
        </is>
      </c>
      <c r="H1118" s="11" t="inlineStr">
        <is>
          <t>Energía biológicamente útil</t>
        </is>
      </c>
      <c r="I1118" s="38" t="inlineStr">
        <is>
          <t>2.5. Reconocimiento de los tipos de energía biológicamente útil empleando simulaciones o manipulativos.</t>
        </is>
      </c>
      <c r="J1118" s="11" t="inlineStr">
        <is>
          <t>Sin marco</t>
        </is>
      </c>
      <c r="K1118" s="11" t="inlineStr">
        <is>
          <t>N/A</t>
        </is>
      </c>
      <c r="L1118" s="11" t="inlineStr"/>
      <c r="M1118" s="11">
        <f>IF(K1118="FUERA","Fuera del marco",IF(K1118="N/A","Sin marco",IFERROR(INDEX('Datos - Catálogo TIMSS'!$C$5:$C$107,MATCH(K1118,'Datos - Catálogo TIMSS'!$A$5:$A$107,0)),"Pendiente de clasificar")))</f>
        <v/>
      </c>
      <c r="N1118" s="11">
        <f>IF(K1118="FUERA","Fuera del marco",IF(K1118="N/A","Sin marco",IFERROR(INDEX('Datos - Catálogo TIMSS'!$F$5:$F$107,MATCH(K1118,'Datos - Catálogo TIMSS'!$A$5:$A$107,0)),"Pendiente de clasificar")))</f>
        <v/>
      </c>
      <c r="O1118" s="11">
        <f>IF(L1118="","",IFERROR(INDEX('Datos - Catálogo TIMSS'!$C$5:$C$107,MATCH(L1118,'Datos - Catálogo TIMSS'!$A$5:$A$107,0)),"?"))</f>
        <v/>
      </c>
      <c r="P1118" s="11" t="inlineStr">
        <is>
          <t>N/A</t>
        </is>
      </c>
      <c r="Q1118" s="38" t="inlineStr">
        <is>
          <t>Sin marco TIMSS de contenido para esta asignatura en Bachillerato</t>
        </is>
      </c>
      <c r="R1118" s="38" t="inlineStr">
        <is>
          <t>Conocer: reconocer tipos de energía útil. Aplicar: clasificar ejemplos. Razonar: interpretar una simulación</t>
        </is>
      </c>
      <c r="S1118" s="39">
        <f>IFERROR(ISNUMBER(SEARCH("Conocer",$R1118))/(ISNUMBER(SEARCH("Conocer",$R1118))+ISNUMBER(SEARCH("Aplicar",$R1118))+ISNUMBER(SEARCH("Razonar",$R1118))),0)</f>
        <v/>
      </c>
      <c r="T1118" s="39">
        <f>IFERROR(ISNUMBER(SEARCH("Aplicar",$R1118))/(ISNUMBER(SEARCH("Conocer",$R1118))+ISNUMBER(SEARCH("Aplicar",$R1118))+ISNUMBER(SEARCH("Razonar",$R1118))),0)</f>
        <v/>
      </c>
      <c r="U1118" s="39">
        <f>IFERROR(ISNUMBER(SEARCH("Razonar",$R1118))/(ISNUMBER(SEARCH("Conocer",$R1118))+ISNUMBER(SEARCH("Aplicar",$R1118))+ISNUMBER(SEARCH("Razonar",$R1118))),0)</f>
        <v/>
      </c>
      <c r="V1118" s="11" t="inlineStr">
        <is>
          <t>Biología 10°</t>
        </is>
      </c>
      <c r="W1118" s="11" t="inlineStr">
        <is>
          <t>Biología 10°–11°</t>
        </is>
      </c>
      <c r="X1118" s="11">
        <f>IF(OR(IFERROR(INDEX('Datos - Catálogo TIMSS'!$I$5:$I$107,MATCH(K1118,'Datos - Catálogo TIMSS'!$A$5:$A$107,0)),"No")="Sí",IFERROR(INDEX('Datos - Catálogo TIMSS'!$I$5:$I$107,MATCH(L1118,'Datos - Catálogo TIMSS'!$A$5:$A$107,0)),"No")="Sí"),1,0)</f>
        <v/>
      </c>
      <c r="Y1118" s="11">
        <f>IF(IFERROR(INDEX('Datos - Catálogo TIMSS'!$J$5:$J$107,MATCH(K1118,'Datos - Catálogo TIMSS'!$A$5:$A$107,0)),"No")="Sí",1,0)</f>
        <v/>
      </c>
      <c r="Z1118" s="11">
        <f>IF(IFERROR(INDEX('Datos - Catálogo TIMSS'!$J$5:$J$107,MATCH(L1118,'Datos - Catálogo TIMSS'!$A$5:$A$107,0)),"No")="Sí",1,0)</f>
        <v/>
      </c>
      <c r="AA1118" s="11" t="inlineStr">
        <is>
          <t>N/A</t>
        </is>
      </c>
      <c r="AB1118" s="11" t="inlineStr"/>
      <c r="AC1118" s="11">
        <f>IF(AA1118="FUERA","Fuera del marco",IF(AA1118="N/A","Sin marco",IFERROR(INDEX('Datos - TIMSS 2023'!$C$5:$C$105,MATCH(AA1118,'Datos - TIMSS 2023'!$A$5:$A$105,0)),"Pendiente de clasificar")))</f>
        <v/>
      </c>
      <c r="AD1118" s="11" t="inlineStr">
        <is>
          <t>1. Explicar fenómenos científicamente</t>
        </is>
      </c>
      <c r="AE1118" s="11">
        <f>IF(AD1118="","",IF(LEFT(AD1118,1)="1","C1",IF(LEFT(AD1118,1)="2","C2",IF(LEFT(AD1118,1)="3","C3",""))))</f>
        <v/>
      </c>
      <c r="AF1118" s="11" t="inlineStr">
        <is>
          <t>E1</t>
        </is>
      </c>
      <c r="AG1118" s="11" t="inlineStr">
        <is>
          <t>D1</t>
        </is>
      </c>
      <c r="AH1118" s="11" t="inlineStr">
        <is>
          <t>E4</t>
        </is>
      </c>
      <c r="AI1118" s="11" t="inlineStr">
        <is>
          <t>D4</t>
        </is>
      </c>
      <c r="AJ1118" s="11" t="inlineStr">
        <is>
          <t>E3</t>
        </is>
      </c>
      <c r="AK1118" s="11" t="n"/>
      <c r="AL1118" s="11" t="n"/>
      <c r="AM1118" s="11" t="n"/>
      <c r="AN1118" s="11" t="n"/>
      <c r="AO1118" s="11" t="n"/>
      <c r="AP1118" s="11" t="n"/>
      <c r="AQ1118" s="11" t="n"/>
      <c r="AR1118" s="11" t="n"/>
      <c r="AS1118" s="11" t="n"/>
      <c r="AT1118" s="11" t="n"/>
      <c r="AU1118" s="11" t="n"/>
      <c r="AV1118" s="11" t="n"/>
      <c r="AW1118" s="11">
        <f>AF1118&amp;"; "&amp;AG1118&amp;"; "&amp;AH1118&amp;"; "&amp;AI1118&amp;"; "&amp;AJ1118</f>
        <v/>
      </c>
    </row>
    <row r="1119">
      <c r="A1119" s="11" t="inlineStr">
        <is>
          <t>T0017-G10-BIO</t>
        </is>
      </c>
      <c r="B1119" s="11" t="n">
        <v>10</v>
      </c>
      <c r="C1119" s="11" t="inlineStr">
        <is>
          <t>Biología</t>
        </is>
      </c>
      <c r="D1119" s="11" t="inlineStr">
        <is>
          <t>Matriz_Bachillerato_Biologia_10_11.xlsx</t>
        </is>
      </c>
      <c r="E1119" s="11" t="inlineStr">
        <is>
          <t>Biología 10.°</t>
        </is>
      </c>
      <c r="F1119" s="11" t="n">
        <v>19</v>
      </c>
      <c r="G1119" s="11" t="inlineStr">
        <is>
          <t>2. Biología celular</t>
        </is>
      </c>
      <c r="H1119" s="11" t="inlineStr">
        <is>
          <t>Energía biológicamente útil</t>
        </is>
      </c>
      <c r="I1119" s="38" t="inlineStr">
        <is>
          <t>2.6. Exploración de procesos celulares que emplean energía biológicamente útil.</t>
        </is>
      </c>
      <c r="J1119" s="11" t="inlineStr">
        <is>
          <t>Sin marco</t>
        </is>
      </c>
      <c r="K1119" s="11" t="inlineStr">
        <is>
          <t>N/A</t>
        </is>
      </c>
      <c r="L1119" s="11" t="inlineStr"/>
      <c r="M1119" s="11">
        <f>IF(K1119="FUERA","Fuera del marco",IF(K1119="N/A","Sin marco",IFERROR(INDEX('Datos - Catálogo TIMSS'!$C$5:$C$107,MATCH(K1119,'Datos - Catálogo TIMSS'!$A$5:$A$107,0)),"Pendiente de clasificar")))</f>
        <v/>
      </c>
      <c r="N1119" s="11">
        <f>IF(K1119="FUERA","Fuera del marco",IF(K1119="N/A","Sin marco",IFERROR(INDEX('Datos - Catálogo TIMSS'!$F$5:$F$107,MATCH(K1119,'Datos - Catálogo TIMSS'!$A$5:$A$107,0)),"Pendiente de clasificar")))</f>
        <v/>
      </c>
      <c r="O1119" s="11">
        <f>IF(L1119="","",IFERROR(INDEX('Datos - Catálogo TIMSS'!$C$5:$C$107,MATCH(L1119,'Datos - Catálogo TIMSS'!$A$5:$A$107,0)),"?"))</f>
        <v/>
      </c>
      <c r="P1119" s="11" t="inlineStr">
        <is>
          <t>N/A</t>
        </is>
      </c>
      <c r="Q1119" s="38" t="inlineStr">
        <is>
          <t>Sin marco TIMSS de contenido para esta asignatura en Bachillerato</t>
        </is>
      </c>
      <c r="R1119" s="38" t="inlineStr">
        <is>
          <t>Aplicar: observar y estimar velocidades. Razonar: relacionar procesos con consumo de energía</t>
        </is>
      </c>
      <c r="S1119" s="39">
        <f>IFERROR(ISNUMBER(SEARCH("Conocer",$R1119))/(ISNUMBER(SEARCH("Conocer",$R1119))+ISNUMBER(SEARCH("Aplicar",$R1119))+ISNUMBER(SEARCH("Razonar",$R1119))),0)</f>
        <v/>
      </c>
      <c r="T1119" s="39">
        <f>IFERROR(ISNUMBER(SEARCH("Aplicar",$R1119))/(ISNUMBER(SEARCH("Conocer",$R1119))+ISNUMBER(SEARCH("Aplicar",$R1119))+ISNUMBER(SEARCH("Razonar",$R1119))),0)</f>
        <v/>
      </c>
      <c r="U1119" s="39">
        <f>IFERROR(ISNUMBER(SEARCH("Razonar",$R1119))/(ISNUMBER(SEARCH("Conocer",$R1119))+ISNUMBER(SEARCH("Aplicar",$R1119))+ISNUMBER(SEARCH("Razonar",$R1119))),0)</f>
        <v/>
      </c>
      <c r="V1119" s="11" t="inlineStr">
        <is>
          <t>Biología 10°</t>
        </is>
      </c>
      <c r="W1119" s="11" t="inlineStr">
        <is>
          <t>Biología 10°–11°</t>
        </is>
      </c>
      <c r="X1119" s="11">
        <f>IF(OR(IFERROR(INDEX('Datos - Catálogo TIMSS'!$I$5:$I$107,MATCH(K1119,'Datos - Catálogo TIMSS'!$A$5:$A$107,0)),"No")="Sí",IFERROR(INDEX('Datos - Catálogo TIMSS'!$I$5:$I$107,MATCH(L1119,'Datos - Catálogo TIMSS'!$A$5:$A$107,0)),"No")="Sí"),1,0)</f>
        <v/>
      </c>
      <c r="Y1119" s="11">
        <f>IF(IFERROR(INDEX('Datos - Catálogo TIMSS'!$J$5:$J$107,MATCH(K1119,'Datos - Catálogo TIMSS'!$A$5:$A$107,0)),"No")="Sí",1,0)</f>
        <v/>
      </c>
      <c r="Z1119" s="11">
        <f>IF(IFERROR(INDEX('Datos - Catálogo TIMSS'!$J$5:$J$107,MATCH(L1119,'Datos - Catálogo TIMSS'!$A$5:$A$107,0)),"No")="Sí",1,0)</f>
        <v/>
      </c>
      <c r="AA1119" s="11" t="inlineStr">
        <is>
          <t>N/A</t>
        </is>
      </c>
      <c r="AB1119" s="11" t="inlineStr"/>
      <c r="AC1119" s="11">
        <f>IF(AA1119="FUERA","Fuera del marco",IF(AA1119="N/A","Sin marco",IFERROR(INDEX('Datos - TIMSS 2023'!$C$5:$C$105,MATCH(AA1119,'Datos - TIMSS 2023'!$A$5:$A$105,0)),"Pendiente de clasificar")))</f>
        <v/>
      </c>
      <c r="AD1119" s="11" t="inlineStr">
        <is>
          <t>2. Construir y evaluar diseños para la indagación científica e interpretar datos y evidencia de forma crítica</t>
        </is>
      </c>
      <c r="AE1119" s="11">
        <f>IF(AD1119="","",IF(LEFT(AD1119,1)="1","C1",IF(LEFT(AD1119,1)="2","C2",IF(LEFT(AD1119,1)="3","C3",""))))</f>
        <v/>
      </c>
      <c r="AF1119" s="11" t="inlineStr">
        <is>
          <t>E6</t>
        </is>
      </c>
      <c r="AG1119" s="11" t="inlineStr">
        <is>
          <t>D1</t>
        </is>
      </c>
      <c r="AH1119" s="11" t="inlineStr">
        <is>
          <t>E1</t>
        </is>
      </c>
      <c r="AI1119" s="11" t="inlineStr">
        <is>
          <t>D4</t>
        </is>
      </c>
      <c r="AJ1119" s="11" t="inlineStr">
        <is>
          <t>I2</t>
        </is>
      </c>
      <c r="AK1119" s="11" t="n"/>
      <c r="AL1119" s="11" t="n"/>
      <c r="AM1119" s="11" t="n"/>
      <c r="AN1119" s="11" t="n"/>
      <c r="AO1119" s="11" t="n"/>
      <c r="AP1119" s="11" t="n"/>
      <c r="AQ1119" s="11" t="n"/>
      <c r="AR1119" s="11" t="n"/>
      <c r="AS1119" s="11" t="n"/>
      <c r="AT1119" s="11" t="n"/>
      <c r="AU1119" s="11" t="n"/>
      <c r="AV1119" s="11" t="n"/>
      <c r="AW1119" s="11">
        <f>AF1119&amp;"; "&amp;AG1119&amp;"; "&amp;AH1119&amp;"; "&amp;AI1119&amp;"; "&amp;AJ1119</f>
        <v/>
      </c>
    </row>
    <row r="1120">
      <c r="A1120" s="11" t="inlineStr">
        <is>
          <t>T0018-G10-BIO</t>
        </is>
      </c>
      <c r="B1120" s="11" t="n">
        <v>10</v>
      </c>
      <c r="C1120" s="11" t="inlineStr">
        <is>
          <t>Biología</t>
        </is>
      </c>
      <c r="D1120" s="11" t="inlineStr">
        <is>
          <t>Matriz_Bachillerato_Biologia_10_11.xlsx</t>
        </is>
      </c>
      <c r="E1120" s="11" t="inlineStr">
        <is>
          <t>Biología 10.°</t>
        </is>
      </c>
      <c r="F1120" s="11" t="n">
        <v>20</v>
      </c>
      <c r="G1120" s="11" t="inlineStr">
        <is>
          <t>2. Biología celular</t>
        </is>
      </c>
      <c r="H1120" s="11" t="inlineStr">
        <is>
          <t>Enzimas y metabolismo</t>
        </is>
      </c>
      <c r="I1120" s="38" t="inlineStr">
        <is>
          <t>2.7. Indagación de la presencia de enzimas en los seres vivos.</t>
        </is>
      </c>
      <c r="J1120" s="11" t="inlineStr">
        <is>
          <t>Sin marco</t>
        </is>
      </c>
      <c r="K1120" s="11" t="inlineStr">
        <is>
          <t>N/A</t>
        </is>
      </c>
      <c r="L1120" s="11" t="inlineStr"/>
      <c r="M1120" s="11">
        <f>IF(K1120="FUERA","Fuera del marco",IF(K1120="N/A","Sin marco",IFERROR(INDEX('Datos - Catálogo TIMSS'!$C$5:$C$107,MATCH(K1120,'Datos - Catálogo TIMSS'!$A$5:$A$107,0)),"Pendiente de clasificar")))</f>
        <v/>
      </c>
      <c r="N1120" s="11">
        <f>IF(K1120="FUERA","Fuera del marco",IF(K1120="N/A","Sin marco",IFERROR(INDEX('Datos - Catálogo TIMSS'!$F$5:$F$107,MATCH(K1120,'Datos - Catálogo TIMSS'!$A$5:$A$107,0)),"Pendiente de clasificar")))</f>
        <v/>
      </c>
      <c r="O1120" s="11">
        <f>IF(L1120="","",IFERROR(INDEX('Datos - Catálogo TIMSS'!$C$5:$C$107,MATCH(L1120,'Datos - Catálogo TIMSS'!$A$5:$A$107,0)),"?"))</f>
        <v/>
      </c>
      <c r="P1120" s="11" t="inlineStr">
        <is>
          <t>N/A</t>
        </is>
      </c>
      <c r="Q1120" s="38" t="inlineStr">
        <is>
          <t>Sin marco TIMSS de contenido para esta asignatura en Bachillerato</t>
        </is>
      </c>
      <c r="R1120" s="38" t="inlineStr">
        <is>
          <t>Aplicar: comparar tratamientos. Razonar: argumentar con evidencia experimental</t>
        </is>
      </c>
      <c r="S1120" s="39">
        <f>IFERROR(ISNUMBER(SEARCH("Conocer",$R1120))/(ISNUMBER(SEARCH("Conocer",$R1120))+ISNUMBER(SEARCH("Aplicar",$R1120))+ISNUMBER(SEARCH("Razonar",$R1120))),0)</f>
        <v/>
      </c>
      <c r="T1120" s="39">
        <f>IFERROR(ISNUMBER(SEARCH("Aplicar",$R1120))/(ISNUMBER(SEARCH("Conocer",$R1120))+ISNUMBER(SEARCH("Aplicar",$R1120))+ISNUMBER(SEARCH("Razonar",$R1120))),0)</f>
        <v/>
      </c>
      <c r="U1120" s="39">
        <f>IFERROR(ISNUMBER(SEARCH("Razonar",$R1120))/(ISNUMBER(SEARCH("Conocer",$R1120))+ISNUMBER(SEARCH("Aplicar",$R1120))+ISNUMBER(SEARCH("Razonar",$R1120))),0)</f>
        <v/>
      </c>
      <c r="V1120" s="11" t="inlineStr">
        <is>
          <t>Biología 10°</t>
        </is>
      </c>
      <c r="W1120" s="11" t="inlineStr">
        <is>
          <t>Biología 10°–11°</t>
        </is>
      </c>
      <c r="X1120" s="11">
        <f>IF(OR(IFERROR(INDEX('Datos - Catálogo TIMSS'!$I$5:$I$107,MATCH(K1120,'Datos - Catálogo TIMSS'!$A$5:$A$107,0)),"No")="Sí",IFERROR(INDEX('Datos - Catálogo TIMSS'!$I$5:$I$107,MATCH(L1120,'Datos - Catálogo TIMSS'!$A$5:$A$107,0)),"No")="Sí"),1,0)</f>
        <v/>
      </c>
      <c r="Y1120" s="11">
        <f>IF(IFERROR(INDEX('Datos - Catálogo TIMSS'!$J$5:$J$107,MATCH(K1120,'Datos - Catálogo TIMSS'!$A$5:$A$107,0)),"No")="Sí",1,0)</f>
        <v/>
      </c>
      <c r="Z1120" s="11">
        <f>IF(IFERROR(INDEX('Datos - Catálogo TIMSS'!$J$5:$J$107,MATCH(L1120,'Datos - Catálogo TIMSS'!$A$5:$A$107,0)),"No")="Sí",1,0)</f>
        <v/>
      </c>
      <c r="AA1120" s="11" t="inlineStr">
        <is>
          <t>N/A</t>
        </is>
      </c>
      <c r="AB1120" s="11" t="inlineStr"/>
      <c r="AC1120" s="11">
        <f>IF(AA1120="FUERA","Fuera del marco",IF(AA1120="N/A","Sin marco",IFERROR(INDEX('Datos - TIMSS 2023'!$C$5:$C$105,MATCH(AA1120,'Datos - TIMSS 2023'!$A$5:$A$105,0)),"Pendiente de clasificar")))</f>
        <v/>
      </c>
      <c r="AD1120" s="11" t="inlineStr">
        <is>
          <t>3. Investigar, evaluar y usar información científica para tomar decisiones y actuar</t>
        </is>
      </c>
      <c r="AE1120" s="11">
        <f>IF(AD1120="","",IF(LEFT(AD1120,1)="1","C1",IF(LEFT(AD1120,1)="2","C2",IF(LEFT(AD1120,1)="3","C3",""))))</f>
        <v/>
      </c>
      <c r="AF1120" s="11" t="inlineStr">
        <is>
          <t>E1</t>
        </is>
      </c>
      <c r="AG1120" s="11" t="inlineStr">
        <is>
          <t>D1</t>
        </is>
      </c>
      <c r="AH1120" s="11" t="inlineStr">
        <is>
          <t>E1</t>
        </is>
      </c>
      <c r="AI1120" s="11" t="inlineStr">
        <is>
          <t>I3</t>
        </is>
      </c>
      <c r="AJ1120" s="11" t="inlineStr">
        <is>
          <t>I4</t>
        </is>
      </c>
      <c r="AK1120" s="11" t="n"/>
      <c r="AL1120" s="11" t="n"/>
      <c r="AM1120" s="11" t="n"/>
      <c r="AN1120" s="11" t="n"/>
      <c r="AO1120" s="11" t="n"/>
      <c r="AP1120" s="11" t="n"/>
      <c r="AQ1120" s="11" t="n"/>
      <c r="AR1120" s="11" t="n"/>
      <c r="AS1120" s="11" t="n"/>
      <c r="AT1120" s="11" t="n"/>
      <c r="AU1120" s="11" t="n"/>
      <c r="AV1120" s="11" t="n"/>
      <c r="AW1120" s="11">
        <f>AF1120&amp;"; "&amp;AG1120&amp;"; "&amp;AH1120&amp;"; "&amp;AI1120&amp;"; "&amp;AJ1120</f>
        <v/>
      </c>
    </row>
    <row r="1121">
      <c r="A1121" s="11" t="inlineStr">
        <is>
          <t>T0019-G10-BIO</t>
        </is>
      </c>
      <c r="B1121" s="11" t="n">
        <v>10</v>
      </c>
      <c r="C1121" s="11" t="inlineStr">
        <is>
          <t>Biología</t>
        </is>
      </c>
      <c r="D1121" s="11" t="inlineStr">
        <is>
          <t>Matriz_Bachillerato_Biologia_10_11.xlsx</t>
        </is>
      </c>
      <c r="E1121" s="11" t="inlineStr">
        <is>
          <t>Biología 10.°</t>
        </is>
      </c>
      <c r="F1121" s="11" t="n">
        <v>21</v>
      </c>
      <c r="G1121" s="11" t="inlineStr">
        <is>
          <t>2. Biología celular</t>
        </is>
      </c>
      <c r="H1121" s="11" t="inlineStr">
        <is>
          <t>Enzimas y metabolismo</t>
        </is>
      </c>
      <c r="I1121" s="38" t="inlineStr">
        <is>
          <t>2.8. Demostración experimental de la actividad enzimática.</t>
        </is>
      </c>
      <c r="J1121" s="11" t="inlineStr">
        <is>
          <t>Sin marco</t>
        </is>
      </c>
      <c r="K1121" s="11" t="inlineStr">
        <is>
          <t>N/A</t>
        </is>
      </c>
      <c r="L1121" s="11" t="inlineStr"/>
      <c r="M1121" s="11">
        <f>IF(K1121="FUERA","Fuera del marco",IF(K1121="N/A","Sin marco",IFERROR(INDEX('Datos - Catálogo TIMSS'!$C$5:$C$107,MATCH(K1121,'Datos - Catálogo TIMSS'!$A$5:$A$107,0)),"Pendiente de clasificar")))</f>
        <v/>
      </c>
      <c r="N1121" s="11">
        <f>IF(K1121="FUERA","Fuera del marco",IF(K1121="N/A","Sin marco",IFERROR(INDEX('Datos - Catálogo TIMSS'!$F$5:$F$107,MATCH(K1121,'Datos - Catálogo TIMSS'!$A$5:$A$107,0)),"Pendiente de clasificar")))</f>
        <v/>
      </c>
      <c r="O1121" s="11">
        <f>IF(L1121="","",IFERROR(INDEX('Datos - Catálogo TIMSS'!$C$5:$C$107,MATCH(L1121,'Datos - Catálogo TIMSS'!$A$5:$A$107,0)),"?"))</f>
        <v/>
      </c>
      <c r="P1121" s="11" t="inlineStr">
        <is>
          <t>N/A</t>
        </is>
      </c>
      <c r="Q1121" s="38" t="inlineStr">
        <is>
          <t>Sin marco TIMSS de contenido para esta asignatura en Bachillerato</t>
        </is>
      </c>
      <c r="R1121" s="38" t="inlineStr">
        <is>
          <t>Aplicar: medir y graficar. Razonar: interpretar tendencias y evaluar el diseño</t>
        </is>
      </c>
      <c r="S1121" s="39">
        <f>IFERROR(ISNUMBER(SEARCH("Conocer",$R1121))/(ISNUMBER(SEARCH("Conocer",$R1121))+ISNUMBER(SEARCH("Aplicar",$R1121))+ISNUMBER(SEARCH("Razonar",$R1121))),0)</f>
        <v/>
      </c>
      <c r="T1121" s="39">
        <f>IFERROR(ISNUMBER(SEARCH("Aplicar",$R1121))/(ISNUMBER(SEARCH("Conocer",$R1121))+ISNUMBER(SEARCH("Aplicar",$R1121))+ISNUMBER(SEARCH("Razonar",$R1121))),0)</f>
        <v/>
      </c>
      <c r="U1121" s="39">
        <f>IFERROR(ISNUMBER(SEARCH("Razonar",$R1121))/(ISNUMBER(SEARCH("Conocer",$R1121))+ISNUMBER(SEARCH("Aplicar",$R1121))+ISNUMBER(SEARCH("Razonar",$R1121))),0)</f>
        <v/>
      </c>
      <c r="V1121" s="11" t="inlineStr">
        <is>
          <t>Biología 10°</t>
        </is>
      </c>
      <c r="W1121" s="11" t="inlineStr">
        <is>
          <t>Biología 10°–11°</t>
        </is>
      </c>
      <c r="X1121" s="11">
        <f>IF(OR(IFERROR(INDEX('Datos - Catálogo TIMSS'!$I$5:$I$107,MATCH(K1121,'Datos - Catálogo TIMSS'!$A$5:$A$107,0)),"No")="Sí",IFERROR(INDEX('Datos - Catálogo TIMSS'!$I$5:$I$107,MATCH(L1121,'Datos - Catálogo TIMSS'!$A$5:$A$107,0)),"No")="Sí"),1,0)</f>
        <v/>
      </c>
      <c r="Y1121" s="11">
        <f>IF(IFERROR(INDEX('Datos - Catálogo TIMSS'!$J$5:$J$107,MATCH(K1121,'Datos - Catálogo TIMSS'!$A$5:$A$107,0)),"No")="Sí",1,0)</f>
        <v/>
      </c>
      <c r="Z1121" s="11">
        <f>IF(IFERROR(INDEX('Datos - Catálogo TIMSS'!$J$5:$J$107,MATCH(L1121,'Datos - Catálogo TIMSS'!$A$5:$A$107,0)),"No")="Sí",1,0)</f>
        <v/>
      </c>
      <c r="AA1121" s="11" t="inlineStr">
        <is>
          <t>N/A</t>
        </is>
      </c>
      <c r="AB1121" s="11" t="inlineStr"/>
      <c r="AC1121" s="11">
        <f>IF(AA1121="FUERA","Fuera del marco",IF(AA1121="N/A","Sin marco",IFERROR(INDEX('Datos - TIMSS 2023'!$C$5:$C$105,MATCH(AA1121,'Datos - TIMSS 2023'!$A$5:$A$105,0)),"Pendiente de clasificar")))</f>
        <v/>
      </c>
      <c r="AD1121" s="11" t="inlineStr">
        <is>
          <t>2. Construir y evaluar diseños para la indagación científica e interpretar datos y evidencia de forma crítica</t>
        </is>
      </c>
      <c r="AE1121" s="11">
        <f>IF(AD1121="","",IF(LEFT(AD1121,1)="1","C1",IF(LEFT(AD1121,1)="2","C2",IF(LEFT(AD1121,1)="3","C3",""))))</f>
        <v/>
      </c>
      <c r="AF1121" s="11" t="inlineStr">
        <is>
          <t>E1</t>
        </is>
      </c>
      <c r="AG1121" s="11" t="inlineStr">
        <is>
          <t>D1</t>
        </is>
      </c>
      <c r="AH1121" s="11" t="inlineStr">
        <is>
          <t>E2</t>
        </is>
      </c>
      <c r="AI1121" s="11" t="inlineStr">
        <is>
          <t>D4</t>
        </is>
      </c>
      <c r="AJ1121" s="11" t="inlineStr">
        <is>
          <t>D3</t>
        </is>
      </c>
      <c r="AK1121" s="11" t="n"/>
      <c r="AL1121" s="11" t="n"/>
      <c r="AM1121" s="11" t="n"/>
      <c r="AN1121" s="11" t="n"/>
      <c r="AO1121" s="11" t="n"/>
      <c r="AP1121" s="11" t="n"/>
      <c r="AQ1121" s="11" t="n"/>
      <c r="AR1121" s="11" t="n"/>
      <c r="AS1121" s="11" t="n"/>
      <c r="AT1121" s="11" t="n"/>
      <c r="AU1121" s="11" t="n"/>
      <c r="AV1121" s="11" t="n"/>
      <c r="AW1121" s="11">
        <f>AF1121&amp;"; "&amp;AG1121&amp;"; "&amp;AH1121&amp;"; "&amp;AI1121&amp;"; "&amp;AJ1121</f>
        <v/>
      </c>
    </row>
    <row r="1122">
      <c r="A1122" s="11" t="inlineStr">
        <is>
          <t>T0020-G10-BIO</t>
        </is>
      </c>
      <c r="B1122" s="11" t="n">
        <v>10</v>
      </c>
      <c r="C1122" s="11" t="inlineStr">
        <is>
          <t>Biología</t>
        </is>
      </c>
      <c r="D1122" s="11" t="inlineStr">
        <is>
          <t>Matriz_Bachillerato_Biologia_10_11.xlsx</t>
        </is>
      </c>
      <c r="E1122" s="11" t="inlineStr">
        <is>
          <t>Biología 10.°</t>
        </is>
      </c>
      <c r="F1122" s="11" t="n">
        <v>22</v>
      </c>
      <c r="G1122" s="11" t="inlineStr">
        <is>
          <t>2. Biología celular</t>
        </is>
      </c>
      <c r="H1122" s="11" t="inlineStr">
        <is>
          <t>Enzimas y metabolismo</t>
        </is>
      </c>
      <c r="I1122" s="38" t="inlineStr">
        <is>
          <t>2.9. Búsqueda y visualización de enzimas en bases de datos.</t>
        </is>
      </c>
      <c r="J1122" s="11" t="inlineStr">
        <is>
          <t>Sin marco</t>
        </is>
      </c>
      <c r="K1122" s="11" t="inlineStr">
        <is>
          <t>N/A</t>
        </is>
      </c>
      <c r="L1122" s="11" t="inlineStr"/>
      <c r="M1122" s="11">
        <f>IF(K1122="FUERA","Fuera del marco",IF(K1122="N/A","Sin marco",IFERROR(INDEX('Datos - Catálogo TIMSS'!$C$5:$C$107,MATCH(K1122,'Datos - Catálogo TIMSS'!$A$5:$A$107,0)),"Pendiente de clasificar")))</f>
        <v/>
      </c>
      <c r="N1122" s="11">
        <f>IF(K1122="FUERA","Fuera del marco",IF(K1122="N/A","Sin marco",IFERROR(INDEX('Datos - Catálogo TIMSS'!$F$5:$F$107,MATCH(K1122,'Datos - Catálogo TIMSS'!$A$5:$A$107,0)),"Pendiente de clasificar")))</f>
        <v/>
      </c>
      <c r="O1122" s="11">
        <f>IF(L1122="","",IFERROR(INDEX('Datos - Catálogo TIMSS'!$C$5:$C$107,MATCH(L1122,'Datos - Catálogo TIMSS'!$A$5:$A$107,0)),"?"))</f>
        <v/>
      </c>
      <c r="P1122" s="11" t="inlineStr">
        <is>
          <t>N/A</t>
        </is>
      </c>
      <c r="Q1122" s="38" t="inlineStr">
        <is>
          <t>Sin marco TIMSS de contenido para esta asignatura en Bachillerato</t>
        </is>
      </c>
      <c r="R1122" s="38" t="inlineStr">
        <is>
          <t>Aplicar: extraer información de bases de datos. Razonar: justificar una aplicación biotecnológica</t>
        </is>
      </c>
      <c r="S1122" s="39">
        <f>IFERROR(ISNUMBER(SEARCH("Conocer",$R1122))/(ISNUMBER(SEARCH("Conocer",$R1122))+ISNUMBER(SEARCH("Aplicar",$R1122))+ISNUMBER(SEARCH("Razonar",$R1122))),0)</f>
        <v/>
      </c>
      <c r="T1122" s="39">
        <f>IFERROR(ISNUMBER(SEARCH("Aplicar",$R1122))/(ISNUMBER(SEARCH("Conocer",$R1122))+ISNUMBER(SEARCH("Aplicar",$R1122))+ISNUMBER(SEARCH("Razonar",$R1122))),0)</f>
        <v/>
      </c>
      <c r="U1122" s="39">
        <f>IFERROR(ISNUMBER(SEARCH("Razonar",$R1122))/(ISNUMBER(SEARCH("Conocer",$R1122))+ISNUMBER(SEARCH("Aplicar",$R1122))+ISNUMBER(SEARCH("Razonar",$R1122))),0)</f>
        <v/>
      </c>
      <c r="V1122" s="11" t="inlineStr">
        <is>
          <t>Biología 10°</t>
        </is>
      </c>
      <c r="W1122" s="11" t="inlineStr">
        <is>
          <t>Biología 10°–11°</t>
        </is>
      </c>
      <c r="X1122" s="11">
        <f>IF(OR(IFERROR(INDEX('Datos - Catálogo TIMSS'!$I$5:$I$107,MATCH(K1122,'Datos - Catálogo TIMSS'!$A$5:$A$107,0)),"No")="Sí",IFERROR(INDEX('Datos - Catálogo TIMSS'!$I$5:$I$107,MATCH(L1122,'Datos - Catálogo TIMSS'!$A$5:$A$107,0)),"No")="Sí"),1,0)</f>
        <v/>
      </c>
      <c r="Y1122" s="11">
        <f>IF(IFERROR(INDEX('Datos - Catálogo TIMSS'!$J$5:$J$107,MATCH(K1122,'Datos - Catálogo TIMSS'!$A$5:$A$107,0)),"No")="Sí",1,0)</f>
        <v/>
      </c>
      <c r="Z1122" s="11">
        <f>IF(IFERROR(INDEX('Datos - Catálogo TIMSS'!$J$5:$J$107,MATCH(L1122,'Datos - Catálogo TIMSS'!$A$5:$A$107,0)),"No")="Sí",1,0)</f>
        <v/>
      </c>
      <c r="AA1122" s="11" t="inlineStr">
        <is>
          <t>N/A</t>
        </is>
      </c>
      <c r="AB1122" s="11" t="inlineStr"/>
      <c r="AC1122" s="11">
        <f>IF(AA1122="FUERA","Fuera del marco",IF(AA1122="N/A","Sin marco",IFERROR(INDEX('Datos - TIMSS 2023'!$C$5:$C$105,MATCH(AA1122,'Datos - TIMSS 2023'!$A$5:$A$105,0)),"Pendiente de clasificar")))</f>
        <v/>
      </c>
      <c r="AD1122" s="11" t="inlineStr">
        <is>
          <t>3. Investigar, evaluar y usar información científica para tomar decisiones y actuar</t>
        </is>
      </c>
      <c r="AE1122" s="11">
        <f>IF(AD1122="","",IF(LEFT(AD1122,1)="1","C1",IF(LEFT(AD1122,1)="2","C2",IF(LEFT(AD1122,1)="3","C3",""))))</f>
        <v/>
      </c>
      <c r="AF1122" s="11" t="inlineStr">
        <is>
          <t>E6</t>
        </is>
      </c>
      <c r="AG1122" s="11" t="inlineStr">
        <is>
          <t>D1</t>
        </is>
      </c>
      <c r="AH1122" s="11" t="inlineStr">
        <is>
          <t>E2</t>
        </is>
      </c>
      <c r="AI1122" s="11" t="inlineStr">
        <is>
          <t>I1</t>
        </is>
      </c>
      <c r="AJ1122" s="11" t="inlineStr">
        <is>
          <t>I5</t>
        </is>
      </c>
      <c r="AK1122" s="11" t="n"/>
      <c r="AL1122" s="11" t="n"/>
      <c r="AM1122" s="11" t="n"/>
      <c r="AN1122" s="11" t="n"/>
      <c r="AO1122" s="11" t="n"/>
      <c r="AP1122" s="11" t="n"/>
      <c r="AQ1122" s="11" t="n"/>
      <c r="AR1122" s="11" t="n"/>
      <c r="AS1122" s="11" t="n"/>
      <c r="AT1122" s="11" t="n"/>
      <c r="AU1122" s="11" t="n"/>
      <c r="AV1122" s="11" t="n"/>
      <c r="AW1122" s="11">
        <f>AF1122&amp;"; "&amp;AG1122&amp;"; "&amp;AH1122&amp;"; "&amp;AI1122&amp;"; "&amp;AJ1122</f>
        <v/>
      </c>
    </row>
    <row r="1123">
      <c r="A1123" s="11" t="inlineStr">
        <is>
          <t>T0021-G10-BIO</t>
        </is>
      </c>
      <c r="B1123" s="11" t="n">
        <v>10</v>
      </c>
      <c r="C1123" s="11" t="inlineStr">
        <is>
          <t>Biología</t>
        </is>
      </c>
      <c r="D1123" s="11" t="inlineStr">
        <is>
          <t>Matriz_Bachillerato_Biologia_10_11.xlsx</t>
        </is>
      </c>
      <c r="E1123" s="11" t="inlineStr">
        <is>
          <t>Biología 10.°</t>
        </is>
      </c>
      <c r="F1123" s="11" t="n">
        <v>23</v>
      </c>
      <c r="G1123" s="11" t="inlineStr">
        <is>
          <t>2. Biología celular</t>
        </is>
      </c>
      <c r="H1123" s="11" t="inlineStr">
        <is>
          <t>Respiración celular</t>
        </is>
      </c>
      <c r="I1123" s="38" t="inlineStr">
        <is>
          <t>2.10. Indagación de los procesos oxidativos que suceden en la respiración celular.</t>
        </is>
      </c>
      <c r="J1123" s="11" t="inlineStr">
        <is>
          <t>Sin marco</t>
        </is>
      </c>
      <c r="K1123" s="11" t="inlineStr">
        <is>
          <t>N/A</t>
        </is>
      </c>
      <c r="L1123" s="11" t="inlineStr"/>
      <c r="M1123" s="11">
        <f>IF(K1123="FUERA","Fuera del marco",IF(K1123="N/A","Sin marco",IFERROR(INDEX('Datos - Catálogo TIMSS'!$C$5:$C$107,MATCH(K1123,'Datos - Catálogo TIMSS'!$A$5:$A$107,0)),"Pendiente de clasificar")))</f>
        <v/>
      </c>
      <c r="N1123" s="11">
        <f>IF(K1123="FUERA","Fuera del marco",IF(K1123="N/A","Sin marco",IFERROR(INDEX('Datos - Catálogo TIMSS'!$F$5:$F$107,MATCH(K1123,'Datos - Catálogo TIMSS'!$A$5:$A$107,0)),"Pendiente de clasificar")))</f>
        <v/>
      </c>
      <c r="O1123" s="11">
        <f>IF(L1123="","",IFERROR(INDEX('Datos - Catálogo TIMSS'!$C$5:$C$107,MATCH(L1123,'Datos - Catálogo TIMSS'!$A$5:$A$107,0)),"?"))</f>
        <v/>
      </c>
      <c r="P1123" s="11" t="inlineStr">
        <is>
          <t>N/A</t>
        </is>
      </c>
      <c r="Q1123" s="38" t="inlineStr">
        <is>
          <t>Sin marco TIMSS de contenido para esta asignatura en Bachillerato</t>
        </is>
      </c>
      <c r="R1123" s="38" t="inlineStr">
        <is>
          <t>Conocer: definir oxidación y reducción. Aplicar: representar con un modelo. Razonar: predecir</t>
        </is>
      </c>
      <c r="S1123" s="39">
        <f>IFERROR(ISNUMBER(SEARCH("Conocer",$R1123))/(ISNUMBER(SEARCH("Conocer",$R1123))+ISNUMBER(SEARCH("Aplicar",$R1123))+ISNUMBER(SEARCH("Razonar",$R1123))),0)</f>
        <v/>
      </c>
      <c r="T1123" s="39">
        <f>IFERROR(ISNUMBER(SEARCH("Aplicar",$R1123))/(ISNUMBER(SEARCH("Conocer",$R1123))+ISNUMBER(SEARCH("Aplicar",$R1123))+ISNUMBER(SEARCH("Razonar",$R1123))),0)</f>
        <v/>
      </c>
      <c r="U1123" s="39">
        <f>IFERROR(ISNUMBER(SEARCH("Razonar",$R1123))/(ISNUMBER(SEARCH("Conocer",$R1123))+ISNUMBER(SEARCH("Aplicar",$R1123))+ISNUMBER(SEARCH("Razonar",$R1123))),0)</f>
        <v/>
      </c>
      <c r="V1123" s="11" t="inlineStr">
        <is>
          <t>Biología 10°</t>
        </is>
      </c>
      <c r="W1123" s="11" t="inlineStr">
        <is>
          <t>Biología 10°–11°</t>
        </is>
      </c>
      <c r="X1123" s="11">
        <f>IF(OR(IFERROR(INDEX('Datos - Catálogo TIMSS'!$I$5:$I$107,MATCH(K1123,'Datos - Catálogo TIMSS'!$A$5:$A$107,0)),"No")="Sí",IFERROR(INDEX('Datos - Catálogo TIMSS'!$I$5:$I$107,MATCH(L1123,'Datos - Catálogo TIMSS'!$A$5:$A$107,0)),"No")="Sí"),1,0)</f>
        <v/>
      </c>
      <c r="Y1123" s="11">
        <f>IF(IFERROR(INDEX('Datos - Catálogo TIMSS'!$J$5:$J$107,MATCH(K1123,'Datos - Catálogo TIMSS'!$A$5:$A$107,0)),"No")="Sí",1,0)</f>
        <v/>
      </c>
      <c r="Z1123" s="11">
        <f>IF(IFERROR(INDEX('Datos - Catálogo TIMSS'!$J$5:$J$107,MATCH(L1123,'Datos - Catálogo TIMSS'!$A$5:$A$107,0)),"No")="Sí",1,0)</f>
        <v/>
      </c>
      <c r="AA1123" s="11" t="inlineStr">
        <is>
          <t>N/A</t>
        </is>
      </c>
      <c r="AB1123" s="11" t="inlineStr"/>
      <c r="AC1123" s="11">
        <f>IF(AA1123="FUERA","Fuera del marco",IF(AA1123="N/A","Sin marco",IFERROR(INDEX('Datos - TIMSS 2023'!$C$5:$C$105,MATCH(AA1123,'Datos - TIMSS 2023'!$A$5:$A$105,0)),"Pendiente de clasificar")))</f>
        <v/>
      </c>
      <c r="AD1123" s="11" t="inlineStr">
        <is>
          <t>1. Explicar fenómenos científicamente</t>
        </is>
      </c>
      <c r="AE1123" s="11">
        <f>IF(AD1123="","",IF(LEFT(AD1123,1)="1","C1",IF(LEFT(AD1123,1)="2","C2",IF(LEFT(AD1123,1)="3","C3",""))))</f>
        <v/>
      </c>
      <c r="AF1123" s="11" t="inlineStr">
        <is>
          <t>E1</t>
        </is>
      </c>
      <c r="AG1123" s="11" t="inlineStr">
        <is>
          <t>E5</t>
        </is>
      </c>
      <c r="AH1123" s="11" t="inlineStr">
        <is>
          <t>E1</t>
        </is>
      </c>
      <c r="AI1123" s="11" t="inlineStr">
        <is>
          <t>E4</t>
        </is>
      </c>
      <c r="AJ1123" s="11" t="inlineStr">
        <is>
          <t>E3</t>
        </is>
      </c>
      <c r="AK1123" s="11" t="n"/>
      <c r="AL1123" s="11" t="n"/>
      <c r="AM1123" s="11" t="n"/>
      <c r="AN1123" s="11" t="n"/>
      <c r="AO1123" s="11" t="n"/>
      <c r="AP1123" s="11" t="n"/>
      <c r="AQ1123" s="11" t="n"/>
      <c r="AR1123" s="11" t="n"/>
      <c r="AS1123" s="11" t="n"/>
      <c r="AT1123" s="11" t="n"/>
      <c r="AU1123" s="11" t="n"/>
      <c r="AV1123" s="11" t="n"/>
      <c r="AW1123" s="11">
        <f>AF1123&amp;"; "&amp;AG1123&amp;"; "&amp;AH1123&amp;"; "&amp;AI1123&amp;"; "&amp;AJ1123</f>
        <v/>
      </c>
    </row>
    <row r="1124">
      <c r="A1124" s="11" t="inlineStr">
        <is>
          <t>T0022-G10-BIO</t>
        </is>
      </c>
      <c r="B1124" s="11" t="n">
        <v>10</v>
      </c>
      <c r="C1124" s="11" t="inlineStr">
        <is>
          <t>Biología</t>
        </is>
      </c>
      <c r="D1124" s="11" t="inlineStr">
        <is>
          <t>Matriz_Bachillerato_Biologia_10_11.xlsx</t>
        </is>
      </c>
      <c r="E1124" s="11" t="inlineStr">
        <is>
          <t>Biología 10.°</t>
        </is>
      </c>
      <c r="F1124" s="11" t="n">
        <v>24</v>
      </c>
      <c r="G1124" s="11" t="inlineStr">
        <is>
          <t>2. Biología celular</t>
        </is>
      </c>
      <c r="H1124" s="11" t="inlineStr">
        <is>
          <t>Respiración celular</t>
        </is>
      </c>
      <c r="I1124" s="38" t="inlineStr">
        <is>
          <t>2.11. Comprobación experimental de la respiración celular aerobia y la fermentación.</t>
        </is>
      </c>
      <c r="J1124" s="11" t="inlineStr">
        <is>
          <t>Sin marco</t>
        </is>
      </c>
      <c r="K1124" s="11" t="inlineStr">
        <is>
          <t>N/A</t>
        </is>
      </c>
      <c r="L1124" s="11" t="inlineStr"/>
      <c r="M1124" s="11">
        <f>IF(K1124="FUERA","Fuera del marco",IF(K1124="N/A","Sin marco",IFERROR(INDEX('Datos - Catálogo TIMSS'!$C$5:$C$107,MATCH(K1124,'Datos - Catálogo TIMSS'!$A$5:$A$107,0)),"Pendiente de clasificar")))</f>
        <v/>
      </c>
      <c r="N1124" s="11">
        <f>IF(K1124="FUERA","Fuera del marco",IF(K1124="N/A","Sin marco",IFERROR(INDEX('Datos - Catálogo TIMSS'!$F$5:$F$107,MATCH(K1124,'Datos - Catálogo TIMSS'!$A$5:$A$107,0)),"Pendiente de clasificar")))</f>
        <v/>
      </c>
      <c r="O1124" s="11">
        <f>IF(L1124="","",IFERROR(INDEX('Datos - Catálogo TIMSS'!$C$5:$C$107,MATCH(L1124,'Datos - Catálogo TIMSS'!$A$5:$A$107,0)),"?"))</f>
        <v/>
      </c>
      <c r="P1124" s="11" t="inlineStr">
        <is>
          <t>N/A</t>
        </is>
      </c>
      <c r="Q1124" s="38" t="inlineStr">
        <is>
          <t>Sin marco TIMSS de contenido para esta asignatura en Bachillerato</t>
        </is>
      </c>
      <c r="R1124" s="38" t="inlineStr">
        <is>
          <t>Aplicar: controlar variables y medir. Razonar: interpretar gráficas y evaluar controles</t>
        </is>
      </c>
      <c r="S1124" s="39">
        <f>IFERROR(ISNUMBER(SEARCH("Conocer",$R1124))/(ISNUMBER(SEARCH("Conocer",$R1124))+ISNUMBER(SEARCH("Aplicar",$R1124))+ISNUMBER(SEARCH("Razonar",$R1124))),0)</f>
        <v/>
      </c>
      <c r="T1124" s="39">
        <f>IFERROR(ISNUMBER(SEARCH("Aplicar",$R1124))/(ISNUMBER(SEARCH("Conocer",$R1124))+ISNUMBER(SEARCH("Aplicar",$R1124))+ISNUMBER(SEARCH("Razonar",$R1124))),0)</f>
        <v/>
      </c>
      <c r="U1124" s="39">
        <f>IFERROR(ISNUMBER(SEARCH("Razonar",$R1124))/(ISNUMBER(SEARCH("Conocer",$R1124))+ISNUMBER(SEARCH("Aplicar",$R1124))+ISNUMBER(SEARCH("Razonar",$R1124))),0)</f>
        <v/>
      </c>
      <c r="V1124" s="11" t="inlineStr">
        <is>
          <t>Biología 10°</t>
        </is>
      </c>
      <c r="W1124" s="11" t="inlineStr">
        <is>
          <t>Biología 10°–11°</t>
        </is>
      </c>
      <c r="X1124" s="11">
        <f>IF(OR(IFERROR(INDEX('Datos - Catálogo TIMSS'!$I$5:$I$107,MATCH(K1124,'Datos - Catálogo TIMSS'!$A$5:$A$107,0)),"No")="Sí",IFERROR(INDEX('Datos - Catálogo TIMSS'!$I$5:$I$107,MATCH(L1124,'Datos - Catálogo TIMSS'!$A$5:$A$107,0)),"No")="Sí"),1,0)</f>
        <v/>
      </c>
      <c r="Y1124" s="11">
        <f>IF(IFERROR(INDEX('Datos - Catálogo TIMSS'!$J$5:$J$107,MATCH(K1124,'Datos - Catálogo TIMSS'!$A$5:$A$107,0)),"No")="Sí",1,0)</f>
        <v/>
      </c>
      <c r="Z1124" s="11">
        <f>IF(IFERROR(INDEX('Datos - Catálogo TIMSS'!$J$5:$J$107,MATCH(L1124,'Datos - Catálogo TIMSS'!$A$5:$A$107,0)),"No")="Sí",1,0)</f>
        <v/>
      </c>
      <c r="AA1124" s="11" t="inlineStr">
        <is>
          <t>N/A</t>
        </is>
      </c>
      <c r="AB1124" s="11" t="inlineStr"/>
      <c r="AC1124" s="11">
        <f>IF(AA1124="FUERA","Fuera del marco",IF(AA1124="N/A","Sin marco",IFERROR(INDEX('Datos - TIMSS 2023'!$C$5:$C$105,MATCH(AA1124,'Datos - TIMSS 2023'!$A$5:$A$105,0)),"Pendiente de clasificar")))</f>
        <v/>
      </c>
      <c r="AD1124" s="11" t="inlineStr">
        <is>
          <t>2. Construir y evaluar diseños para la indagación científica e interpretar datos y evidencia de forma crítica</t>
        </is>
      </c>
      <c r="AE1124" s="11">
        <f>IF(AD1124="","",IF(LEFT(AD1124,1)="1","C1",IF(LEFT(AD1124,1)="2","C2",IF(LEFT(AD1124,1)="3","C3",""))))</f>
        <v/>
      </c>
      <c r="AF1124" s="11" t="inlineStr">
        <is>
          <t>E1</t>
        </is>
      </c>
      <c r="AG1124" s="11" t="inlineStr">
        <is>
          <t>D1</t>
        </is>
      </c>
      <c r="AH1124" s="11" t="inlineStr">
        <is>
          <t>E1</t>
        </is>
      </c>
      <c r="AI1124" s="11" t="inlineStr">
        <is>
          <t>D2</t>
        </is>
      </c>
      <c r="AJ1124" s="11" t="inlineStr">
        <is>
          <t>D3</t>
        </is>
      </c>
      <c r="AK1124" s="11" t="n"/>
      <c r="AL1124" s="11" t="n"/>
      <c r="AM1124" s="11" t="n"/>
      <c r="AN1124" s="11" t="n"/>
      <c r="AO1124" s="11" t="n"/>
      <c r="AP1124" s="11" t="n"/>
      <c r="AQ1124" s="11" t="n"/>
      <c r="AR1124" s="11" t="n"/>
      <c r="AS1124" s="11" t="n"/>
      <c r="AT1124" s="11" t="n"/>
      <c r="AU1124" s="11" t="n"/>
      <c r="AV1124" s="11" t="n"/>
      <c r="AW1124" s="11">
        <f>AF1124&amp;"; "&amp;AG1124&amp;"; "&amp;AH1124&amp;"; "&amp;AI1124&amp;"; "&amp;AJ1124</f>
        <v/>
      </c>
    </row>
    <row r="1125">
      <c r="A1125" s="11" t="inlineStr">
        <is>
          <t>T0023-G10-BIO</t>
        </is>
      </c>
      <c r="B1125" s="11" t="n">
        <v>10</v>
      </c>
      <c r="C1125" s="11" t="inlineStr">
        <is>
          <t>Biología</t>
        </is>
      </c>
      <c r="D1125" s="11" t="inlineStr">
        <is>
          <t>Matriz_Bachillerato_Biologia_10_11.xlsx</t>
        </is>
      </c>
      <c r="E1125" s="11" t="inlineStr">
        <is>
          <t>Biología 10.°</t>
        </is>
      </c>
      <c r="F1125" s="11" t="n">
        <v>25</v>
      </c>
      <c r="G1125" s="11" t="inlineStr">
        <is>
          <t>2. Biología celular</t>
        </is>
      </c>
      <c r="H1125" s="11" t="inlineStr">
        <is>
          <t>Respiración celular</t>
        </is>
      </c>
      <c r="I1125" s="38" t="inlineStr">
        <is>
          <t>2.12. Simulación del funcionamiento de una cadena de transporte de electrones.</t>
        </is>
      </c>
      <c r="J1125" s="11" t="inlineStr">
        <is>
          <t>Sin marco</t>
        </is>
      </c>
      <c r="K1125" s="11" t="inlineStr">
        <is>
          <t>N/A</t>
        </is>
      </c>
      <c r="L1125" s="11" t="inlineStr"/>
      <c r="M1125" s="11">
        <f>IF(K1125="FUERA","Fuera del marco",IF(K1125="N/A","Sin marco",IFERROR(INDEX('Datos - Catálogo TIMSS'!$C$5:$C$107,MATCH(K1125,'Datos - Catálogo TIMSS'!$A$5:$A$107,0)),"Pendiente de clasificar")))</f>
        <v/>
      </c>
      <c r="N1125" s="11">
        <f>IF(K1125="FUERA","Fuera del marco",IF(K1125="N/A","Sin marco",IFERROR(INDEX('Datos - Catálogo TIMSS'!$F$5:$F$107,MATCH(K1125,'Datos - Catálogo TIMSS'!$A$5:$A$107,0)),"Pendiente de clasificar")))</f>
        <v/>
      </c>
      <c r="O1125" s="11">
        <f>IF(L1125="","",IFERROR(INDEX('Datos - Catálogo TIMSS'!$C$5:$C$107,MATCH(L1125,'Datos - Catálogo TIMSS'!$A$5:$A$107,0)),"?"))</f>
        <v/>
      </c>
      <c r="P1125" s="11" t="inlineStr">
        <is>
          <t>N/A</t>
        </is>
      </c>
      <c r="Q1125" s="38" t="inlineStr">
        <is>
          <t>Sin marco TIMSS de contenido para esta asignatura en Bachillerato</t>
        </is>
      </c>
      <c r="R1125" s="38" t="inlineStr">
        <is>
          <t>Aplicar: usar un modelo. Razonar: predecir efectos de un bloqueo en un sistema</t>
        </is>
      </c>
      <c r="S1125" s="39">
        <f>IFERROR(ISNUMBER(SEARCH("Conocer",$R1125))/(ISNUMBER(SEARCH("Conocer",$R1125))+ISNUMBER(SEARCH("Aplicar",$R1125))+ISNUMBER(SEARCH("Razonar",$R1125))),0)</f>
        <v/>
      </c>
      <c r="T1125" s="39">
        <f>IFERROR(ISNUMBER(SEARCH("Aplicar",$R1125))/(ISNUMBER(SEARCH("Conocer",$R1125))+ISNUMBER(SEARCH("Aplicar",$R1125))+ISNUMBER(SEARCH("Razonar",$R1125))),0)</f>
        <v/>
      </c>
      <c r="U1125" s="39">
        <f>IFERROR(ISNUMBER(SEARCH("Razonar",$R1125))/(ISNUMBER(SEARCH("Conocer",$R1125))+ISNUMBER(SEARCH("Aplicar",$R1125))+ISNUMBER(SEARCH("Razonar",$R1125))),0)</f>
        <v/>
      </c>
      <c r="V1125" s="11" t="inlineStr">
        <is>
          <t>Biología 10°</t>
        </is>
      </c>
      <c r="W1125" s="11" t="inlineStr">
        <is>
          <t>Biología 10°–11°</t>
        </is>
      </c>
      <c r="X1125" s="11">
        <f>IF(OR(IFERROR(INDEX('Datos - Catálogo TIMSS'!$I$5:$I$107,MATCH(K1125,'Datos - Catálogo TIMSS'!$A$5:$A$107,0)),"No")="Sí",IFERROR(INDEX('Datos - Catálogo TIMSS'!$I$5:$I$107,MATCH(L1125,'Datos - Catálogo TIMSS'!$A$5:$A$107,0)),"No")="Sí"),1,0)</f>
        <v/>
      </c>
      <c r="Y1125" s="11">
        <f>IF(IFERROR(INDEX('Datos - Catálogo TIMSS'!$J$5:$J$107,MATCH(K1125,'Datos - Catálogo TIMSS'!$A$5:$A$107,0)),"No")="Sí",1,0)</f>
        <v/>
      </c>
      <c r="Z1125" s="11">
        <f>IF(IFERROR(INDEX('Datos - Catálogo TIMSS'!$J$5:$J$107,MATCH(L1125,'Datos - Catálogo TIMSS'!$A$5:$A$107,0)),"No")="Sí",1,0)</f>
        <v/>
      </c>
      <c r="AA1125" s="11" t="inlineStr">
        <is>
          <t>N/A</t>
        </is>
      </c>
      <c r="AB1125" s="11" t="inlineStr"/>
      <c r="AC1125" s="11">
        <f>IF(AA1125="FUERA","Fuera del marco",IF(AA1125="N/A","Sin marco",IFERROR(INDEX('Datos - TIMSS 2023'!$C$5:$C$105,MATCH(AA1125,'Datos - TIMSS 2023'!$A$5:$A$105,0)),"Pendiente de clasificar")))</f>
        <v/>
      </c>
      <c r="AD1125" s="11" t="inlineStr">
        <is>
          <t>1. Explicar fenómenos científicamente</t>
        </is>
      </c>
      <c r="AE1125" s="11">
        <f>IF(AD1125="","",IF(LEFT(AD1125,1)="1","C1",IF(LEFT(AD1125,1)="2","C2",IF(LEFT(AD1125,1)="3","C3",""))))</f>
        <v/>
      </c>
      <c r="AF1125" s="11" t="inlineStr">
        <is>
          <t>E1</t>
        </is>
      </c>
      <c r="AG1125" s="11" t="inlineStr">
        <is>
          <t>D1</t>
        </is>
      </c>
      <c r="AH1125" s="11" t="inlineStr">
        <is>
          <t>E4</t>
        </is>
      </c>
      <c r="AI1125" s="11" t="inlineStr">
        <is>
          <t>D4</t>
        </is>
      </c>
      <c r="AJ1125" s="11" t="inlineStr">
        <is>
          <t>E3</t>
        </is>
      </c>
      <c r="AK1125" s="11" t="n"/>
      <c r="AL1125" s="11" t="n"/>
      <c r="AM1125" s="11" t="n"/>
      <c r="AN1125" s="11" t="n"/>
      <c r="AO1125" s="11" t="n"/>
      <c r="AP1125" s="11" t="n"/>
      <c r="AQ1125" s="11" t="n"/>
      <c r="AR1125" s="11" t="n"/>
      <c r="AS1125" s="11" t="n"/>
      <c r="AT1125" s="11" t="n"/>
      <c r="AU1125" s="11" t="n"/>
      <c r="AV1125" s="11" t="n"/>
      <c r="AW1125" s="11">
        <f>AF1125&amp;"; "&amp;AG1125&amp;"; "&amp;AH1125&amp;"; "&amp;AI1125&amp;"; "&amp;AJ1125</f>
        <v/>
      </c>
    </row>
    <row r="1126">
      <c r="A1126" s="11" t="inlineStr">
        <is>
          <t>T0024-G10-BIO</t>
        </is>
      </c>
      <c r="B1126" s="11" t="n">
        <v>10</v>
      </c>
      <c r="C1126" s="11" t="inlineStr">
        <is>
          <t>Biología</t>
        </is>
      </c>
      <c r="D1126" s="11" t="inlineStr">
        <is>
          <t>Matriz_Bachillerato_Biologia_10_11.xlsx</t>
        </is>
      </c>
      <c r="E1126" s="11" t="inlineStr">
        <is>
          <t>Biología 10.°</t>
        </is>
      </c>
      <c r="F1126" s="11" t="n">
        <v>26</v>
      </c>
      <c r="G1126" s="11" t="inlineStr">
        <is>
          <t>2. Biología celular</t>
        </is>
      </c>
      <c r="H1126" s="11" t="inlineStr">
        <is>
          <t>Fotosíntesis</t>
        </is>
      </c>
      <c r="I1126" s="38" t="inlineStr">
        <is>
          <t>2.13. Demostración experimental de la actividad fotosintética.</t>
        </is>
      </c>
      <c r="J1126" s="11" t="inlineStr">
        <is>
          <t>Sin marco</t>
        </is>
      </c>
      <c r="K1126" s="11" t="inlineStr">
        <is>
          <t>N/A</t>
        </is>
      </c>
      <c r="L1126" s="11" t="inlineStr"/>
      <c r="M1126" s="11">
        <f>IF(K1126="FUERA","Fuera del marco",IF(K1126="N/A","Sin marco",IFERROR(INDEX('Datos - Catálogo TIMSS'!$C$5:$C$107,MATCH(K1126,'Datos - Catálogo TIMSS'!$A$5:$A$107,0)),"Pendiente de clasificar")))</f>
        <v/>
      </c>
      <c r="N1126" s="11">
        <f>IF(K1126="FUERA","Fuera del marco",IF(K1126="N/A","Sin marco",IFERROR(INDEX('Datos - Catálogo TIMSS'!$F$5:$F$107,MATCH(K1126,'Datos - Catálogo TIMSS'!$A$5:$A$107,0)),"Pendiente de clasificar")))</f>
        <v/>
      </c>
      <c r="O1126" s="11">
        <f>IF(L1126="","",IFERROR(INDEX('Datos - Catálogo TIMSS'!$C$5:$C$107,MATCH(L1126,'Datos - Catálogo TIMSS'!$A$5:$A$107,0)),"?"))</f>
        <v/>
      </c>
      <c r="P1126" s="11" t="inlineStr">
        <is>
          <t>N/A</t>
        </is>
      </c>
      <c r="Q1126" s="38" t="inlineStr">
        <is>
          <t>Sin marco TIMSS de contenido para esta asignatura en Bachillerato</t>
        </is>
      </c>
      <c r="R1126" s="38" t="inlineStr">
        <is>
          <t>Aplicar: medir y graficar. Razonar: interpretar la relación entre variables</t>
        </is>
      </c>
      <c r="S1126" s="39">
        <f>IFERROR(ISNUMBER(SEARCH("Conocer",$R1126))/(ISNUMBER(SEARCH("Conocer",$R1126))+ISNUMBER(SEARCH("Aplicar",$R1126))+ISNUMBER(SEARCH("Razonar",$R1126))),0)</f>
        <v/>
      </c>
      <c r="T1126" s="39">
        <f>IFERROR(ISNUMBER(SEARCH("Aplicar",$R1126))/(ISNUMBER(SEARCH("Conocer",$R1126))+ISNUMBER(SEARCH("Aplicar",$R1126))+ISNUMBER(SEARCH("Razonar",$R1126))),0)</f>
        <v/>
      </c>
      <c r="U1126" s="39">
        <f>IFERROR(ISNUMBER(SEARCH("Razonar",$R1126))/(ISNUMBER(SEARCH("Conocer",$R1126))+ISNUMBER(SEARCH("Aplicar",$R1126))+ISNUMBER(SEARCH("Razonar",$R1126))),0)</f>
        <v/>
      </c>
      <c r="V1126" s="11" t="inlineStr">
        <is>
          <t>Biología 10°</t>
        </is>
      </c>
      <c r="W1126" s="11" t="inlineStr">
        <is>
          <t>Biología 10°–11°</t>
        </is>
      </c>
      <c r="X1126" s="11">
        <f>IF(OR(IFERROR(INDEX('Datos - Catálogo TIMSS'!$I$5:$I$107,MATCH(K1126,'Datos - Catálogo TIMSS'!$A$5:$A$107,0)),"No")="Sí",IFERROR(INDEX('Datos - Catálogo TIMSS'!$I$5:$I$107,MATCH(L1126,'Datos - Catálogo TIMSS'!$A$5:$A$107,0)),"No")="Sí"),1,0)</f>
        <v/>
      </c>
      <c r="Y1126" s="11">
        <f>IF(IFERROR(INDEX('Datos - Catálogo TIMSS'!$J$5:$J$107,MATCH(K1126,'Datos - Catálogo TIMSS'!$A$5:$A$107,0)),"No")="Sí",1,0)</f>
        <v/>
      </c>
      <c r="Z1126" s="11">
        <f>IF(IFERROR(INDEX('Datos - Catálogo TIMSS'!$J$5:$J$107,MATCH(L1126,'Datos - Catálogo TIMSS'!$A$5:$A$107,0)),"No")="Sí",1,0)</f>
        <v/>
      </c>
      <c r="AA1126" s="11" t="inlineStr">
        <is>
          <t>N/A</t>
        </is>
      </c>
      <c r="AB1126" s="11" t="inlineStr"/>
      <c r="AC1126" s="11">
        <f>IF(AA1126="FUERA","Fuera del marco",IF(AA1126="N/A","Sin marco",IFERROR(INDEX('Datos - TIMSS 2023'!$C$5:$C$105,MATCH(AA1126,'Datos - TIMSS 2023'!$A$5:$A$105,0)),"Pendiente de clasificar")))</f>
        <v/>
      </c>
      <c r="AD1126" s="11" t="inlineStr">
        <is>
          <t>2. Construir y evaluar diseños para la indagación científica e interpretar datos y evidencia de forma crítica</t>
        </is>
      </c>
      <c r="AE1126" s="11">
        <f>IF(AD1126="","",IF(LEFT(AD1126,1)="1","C1",IF(LEFT(AD1126,1)="2","C2",IF(LEFT(AD1126,1)="3","C3",""))))</f>
        <v/>
      </c>
      <c r="AF1126" s="11" t="inlineStr">
        <is>
          <t>E6</t>
        </is>
      </c>
      <c r="AG1126" s="11" t="inlineStr">
        <is>
          <t>D1</t>
        </is>
      </c>
      <c r="AH1126" s="11" t="inlineStr">
        <is>
          <t>E1</t>
        </is>
      </c>
      <c r="AI1126" s="11" t="inlineStr">
        <is>
          <t>D4</t>
        </is>
      </c>
      <c r="AJ1126" s="11" t="inlineStr">
        <is>
          <t>E3</t>
        </is>
      </c>
      <c r="AK1126" s="11" t="n"/>
      <c r="AL1126" s="11" t="n"/>
      <c r="AM1126" s="11" t="n"/>
      <c r="AN1126" s="11" t="n"/>
      <c r="AO1126" s="11" t="n"/>
      <c r="AP1126" s="11" t="n"/>
      <c r="AQ1126" s="11" t="n"/>
      <c r="AR1126" s="11" t="n"/>
      <c r="AS1126" s="11" t="n"/>
      <c r="AT1126" s="11" t="n"/>
      <c r="AU1126" s="11" t="n"/>
      <c r="AV1126" s="11" t="n"/>
      <c r="AW1126" s="11">
        <f>AF1126&amp;"; "&amp;AG1126&amp;"; "&amp;AH1126&amp;"; "&amp;AI1126&amp;"; "&amp;AJ1126</f>
        <v/>
      </c>
    </row>
    <row r="1127">
      <c r="A1127" s="11" t="inlineStr">
        <is>
          <t>T0025-G10-BIO</t>
        </is>
      </c>
      <c r="B1127" s="11" t="n">
        <v>10</v>
      </c>
      <c r="C1127" s="11" t="inlineStr">
        <is>
          <t>Biología</t>
        </is>
      </c>
      <c r="D1127" s="11" t="inlineStr">
        <is>
          <t>Matriz_Bachillerato_Biologia_10_11.xlsx</t>
        </is>
      </c>
      <c r="E1127" s="11" t="inlineStr">
        <is>
          <t>Biología 10.°</t>
        </is>
      </c>
      <c r="F1127" s="11" t="n">
        <v>27</v>
      </c>
      <c r="G1127" s="11" t="inlineStr">
        <is>
          <t>2. Biología celular</t>
        </is>
      </c>
      <c r="H1127" s="11" t="inlineStr">
        <is>
          <t>Fotosíntesis</t>
        </is>
      </c>
      <c r="I1127" s="38" t="inlineStr">
        <is>
          <t>2.14. Experimentación con la extracción y separación de pigmentos fotosintéticos.</t>
        </is>
      </c>
      <c r="J1127" s="11" t="inlineStr">
        <is>
          <t>Sin marco</t>
        </is>
      </c>
      <c r="K1127" s="11" t="inlineStr">
        <is>
          <t>N/A</t>
        </is>
      </c>
      <c r="L1127" s="11" t="inlineStr"/>
      <c r="M1127" s="11">
        <f>IF(K1127="FUERA","Fuera del marco",IF(K1127="N/A","Sin marco",IFERROR(INDEX('Datos - Catálogo TIMSS'!$C$5:$C$107,MATCH(K1127,'Datos - Catálogo TIMSS'!$A$5:$A$107,0)),"Pendiente de clasificar")))</f>
        <v/>
      </c>
      <c r="N1127" s="11">
        <f>IF(K1127="FUERA","Fuera del marco",IF(K1127="N/A","Sin marco",IFERROR(INDEX('Datos - Catálogo TIMSS'!$F$5:$F$107,MATCH(K1127,'Datos - Catálogo TIMSS'!$A$5:$A$107,0)),"Pendiente de clasificar")))</f>
        <v/>
      </c>
      <c r="O1127" s="11">
        <f>IF(L1127="","",IFERROR(INDEX('Datos - Catálogo TIMSS'!$C$5:$C$107,MATCH(L1127,'Datos - Catálogo TIMSS'!$A$5:$A$107,0)),"?"))</f>
        <v/>
      </c>
      <c r="P1127" s="11" t="inlineStr">
        <is>
          <t>N/A</t>
        </is>
      </c>
      <c r="Q1127" s="38" t="inlineStr">
        <is>
          <t>Sin marco TIMSS de contenido para esta asignatura en Bachillerato</t>
        </is>
      </c>
      <c r="R1127" s="38" t="inlineStr">
        <is>
          <t>Aplicar: calcular el factor de retención. Razonar: relacionar separación y polaridad</t>
        </is>
      </c>
      <c r="S1127" s="39">
        <f>IFERROR(ISNUMBER(SEARCH("Conocer",$R1127))/(ISNUMBER(SEARCH("Conocer",$R1127))+ISNUMBER(SEARCH("Aplicar",$R1127))+ISNUMBER(SEARCH("Razonar",$R1127))),0)</f>
        <v/>
      </c>
      <c r="T1127" s="39">
        <f>IFERROR(ISNUMBER(SEARCH("Aplicar",$R1127))/(ISNUMBER(SEARCH("Conocer",$R1127))+ISNUMBER(SEARCH("Aplicar",$R1127))+ISNUMBER(SEARCH("Razonar",$R1127))),0)</f>
        <v/>
      </c>
      <c r="U1127" s="39">
        <f>IFERROR(ISNUMBER(SEARCH("Razonar",$R1127))/(ISNUMBER(SEARCH("Conocer",$R1127))+ISNUMBER(SEARCH("Aplicar",$R1127))+ISNUMBER(SEARCH("Razonar",$R1127))),0)</f>
        <v/>
      </c>
      <c r="V1127" s="11" t="inlineStr">
        <is>
          <t>Biología 10°</t>
        </is>
      </c>
      <c r="W1127" s="11" t="inlineStr">
        <is>
          <t>Biología 10°–11°</t>
        </is>
      </c>
      <c r="X1127" s="11">
        <f>IF(OR(IFERROR(INDEX('Datos - Catálogo TIMSS'!$I$5:$I$107,MATCH(K1127,'Datos - Catálogo TIMSS'!$A$5:$A$107,0)),"No")="Sí",IFERROR(INDEX('Datos - Catálogo TIMSS'!$I$5:$I$107,MATCH(L1127,'Datos - Catálogo TIMSS'!$A$5:$A$107,0)),"No")="Sí"),1,0)</f>
        <v/>
      </c>
      <c r="Y1127" s="11">
        <f>IF(IFERROR(INDEX('Datos - Catálogo TIMSS'!$J$5:$J$107,MATCH(K1127,'Datos - Catálogo TIMSS'!$A$5:$A$107,0)),"No")="Sí",1,0)</f>
        <v/>
      </c>
      <c r="Z1127" s="11">
        <f>IF(IFERROR(INDEX('Datos - Catálogo TIMSS'!$J$5:$J$107,MATCH(L1127,'Datos - Catálogo TIMSS'!$A$5:$A$107,0)),"No")="Sí",1,0)</f>
        <v/>
      </c>
      <c r="AA1127" s="11" t="inlineStr">
        <is>
          <t>N/A</t>
        </is>
      </c>
      <c r="AB1127" s="11" t="inlineStr"/>
      <c r="AC1127" s="11">
        <f>IF(AA1127="FUERA","Fuera del marco",IF(AA1127="N/A","Sin marco",IFERROR(INDEX('Datos - TIMSS 2023'!$C$5:$C$105,MATCH(AA1127,'Datos - TIMSS 2023'!$A$5:$A$105,0)),"Pendiente de clasificar")))</f>
        <v/>
      </c>
      <c r="AD1127" s="11" t="inlineStr">
        <is>
          <t>2. Construir y evaluar diseños para la indagación científica e interpretar datos y evidencia de forma crítica</t>
        </is>
      </c>
      <c r="AE1127" s="11">
        <f>IF(AD1127="","",IF(LEFT(AD1127,1)="1","C1",IF(LEFT(AD1127,1)="2","C2",IF(LEFT(AD1127,1)="3","C3",""))))</f>
        <v/>
      </c>
      <c r="AF1127" s="11" t="inlineStr">
        <is>
          <t>E1</t>
        </is>
      </c>
      <c r="AG1127" s="11" t="inlineStr">
        <is>
          <t>E3</t>
        </is>
      </c>
      <c r="AH1127" s="11" t="inlineStr">
        <is>
          <t>E2</t>
        </is>
      </c>
      <c r="AI1127" s="11" t="inlineStr">
        <is>
          <t>D2</t>
        </is>
      </c>
      <c r="AJ1127" s="11" t="inlineStr">
        <is>
          <t>I1</t>
        </is>
      </c>
      <c r="AK1127" s="11" t="n"/>
      <c r="AL1127" s="11" t="n"/>
      <c r="AM1127" s="11" t="n"/>
      <c r="AN1127" s="11" t="n"/>
      <c r="AO1127" s="11" t="n"/>
      <c r="AP1127" s="11" t="n"/>
      <c r="AQ1127" s="11" t="n"/>
      <c r="AR1127" s="11" t="n"/>
      <c r="AS1127" s="11" t="n"/>
      <c r="AT1127" s="11" t="n"/>
      <c r="AU1127" s="11" t="n"/>
      <c r="AV1127" s="11" t="n"/>
      <c r="AW1127" s="11">
        <f>AF1127&amp;"; "&amp;AG1127&amp;"; "&amp;AH1127&amp;"; "&amp;AI1127&amp;"; "&amp;AJ1127</f>
        <v/>
      </c>
    </row>
    <row r="1128">
      <c r="A1128" s="11" t="inlineStr">
        <is>
          <t>T0026-G10-BIO</t>
        </is>
      </c>
      <c r="B1128" s="11" t="n">
        <v>10</v>
      </c>
      <c r="C1128" s="11" t="inlineStr">
        <is>
          <t>Biología</t>
        </is>
      </c>
      <c r="D1128" s="11" t="inlineStr">
        <is>
          <t>Matriz_Bachillerato_Biologia_10_11.xlsx</t>
        </is>
      </c>
      <c r="E1128" s="11" t="inlineStr">
        <is>
          <t>Biología 10.°</t>
        </is>
      </c>
      <c r="F1128" s="11" t="n">
        <v>28</v>
      </c>
      <c r="G1128" s="11" t="inlineStr">
        <is>
          <t>2. Biología celular</t>
        </is>
      </c>
      <c r="H1128" s="11" t="inlineStr">
        <is>
          <t>Fotosíntesis</t>
        </is>
      </c>
      <c r="I1128" s="38" t="inlineStr">
        <is>
          <t>2.15. Simulación de los procesos de fotofosforilación de la fotosíntesis.</t>
        </is>
      </c>
      <c r="J1128" s="11" t="inlineStr">
        <is>
          <t>Sin marco</t>
        </is>
      </c>
      <c r="K1128" s="11" t="inlineStr">
        <is>
          <t>N/A</t>
        </is>
      </c>
      <c r="L1128" s="11" t="inlineStr"/>
      <c r="M1128" s="11">
        <f>IF(K1128="FUERA","Fuera del marco",IF(K1128="N/A","Sin marco",IFERROR(INDEX('Datos - Catálogo TIMSS'!$C$5:$C$107,MATCH(K1128,'Datos - Catálogo TIMSS'!$A$5:$A$107,0)),"Pendiente de clasificar")))</f>
        <v/>
      </c>
      <c r="N1128" s="11">
        <f>IF(K1128="FUERA","Fuera del marco",IF(K1128="N/A","Sin marco",IFERROR(INDEX('Datos - Catálogo TIMSS'!$F$5:$F$107,MATCH(K1128,'Datos - Catálogo TIMSS'!$A$5:$A$107,0)),"Pendiente de clasificar")))</f>
        <v/>
      </c>
      <c r="O1128" s="11">
        <f>IF(L1128="","",IFERROR(INDEX('Datos - Catálogo TIMSS'!$C$5:$C$107,MATCH(L1128,'Datos - Catálogo TIMSS'!$A$5:$A$107,0)),"?"))</f>
        <v/>
      </c>
      <c r="P1128" s="11" t="inlineStr">
        <is>
          <t>N/A</t>
        </is>
      </c>
      <c r="Q1128" s="38" t="inlineStr">
        <is>
          <t>Sin marco TIMSS de contenido para esta asignatura en Bachillerato</t>
        </is>
      </c>
      <c r="R1128" s="38" t="inlineStr">
        <is>
          <t>Aplicar: representar con un modelo. Razonar: comparar mecanismos</t>
        </is>
      </c>
      <c r="S1128" s="39">
        <f>IFERROR(ISNUMBER(SEARCH("Conocer",$R1128))/(ISNUMBER(SEARCH("Conocer",$R1128))+ISNUMBER(SEARCH("Aplicar",$R1128))+ISNUMBER(SEARCH("Razonar",$R1128))),0)</f>
        <v/>
      </c>
      <c r="T1128" s="39">
        <f>IFERROR(ISNUMBER(SEARCH("Aplicar",$R1128))/(ISNUMBER(SEARCH("Conocer",$R1128))+ISNUMBER(SEARCH("Aplicar",$R1128))+ISNUMBER(SEARCH("Razonar",$R1128))),0)</f>
        <v/>
      </c>
      <c r="U1128" s="39">
        <f>IFERROR(ISNUMBER(SEARCH("Razonar",$R1128))/(ISNUMBER(SEARCH("Conocer",$R1128))+ISNUMBER(SEARCH("Aplicar",$R1128))+ISNUMBER(SEARCH("Razonar",$R1128))),0)</f>
        <v/>
      </c>
      <c r="V1128" s="11" t="inlineStr">
        <is>
          <t>Biología 10°</t>
        </is>
      </c>
      <c r="W1128" s="11" t="inlineStr">
        <is>
          <t>Biología 10°–11°</t>
        </is>
      </c>
      <c r="X1128" s="11">
        <f>IF(OR(IFERROR(INDEX('Datos - Catálogo TIMSS'!$I$5:$I$107,MATCH(K1128,'Datos - Catálogo TIMSS'!$A$5:$A$107,0)),"No")="Sí",IFERROR(INDEX('Datos - Catálogo TIMSS'!$I$5:$I$107,MATCH(L1128,'Datos - Catálogo TIMSS'!$A$5:$A$107,0)),"No")="Sí"),1,0)</f>
        <v/>
      </c>
      <c r="Y1128" s="11">
        <f>IF(IFERROR(INDEX('Datos - Catálogo TIMSS'!$J$5:$J$107,MATCH(K1128,'Datos - Catálogo TIMSS'!$A$5:$A$107,0)),"No")="Sí",1,0)</f>
        <v/>
      </c>
      <c r="Z1128" s="11">
        <f>IF(IFERROR(INDEX('Datos - Catálogo TIMSS'!$J$5:$J$107,MATCH(L1128,'Datos - Catálogo TIMSS'!$A$5:$A$107,0)),"No")="Sí",1,0)</f>
        <v/>
      </c>
      <c r="AA1128" s="11" t="inlineStr">
        <is>
          <t>N/A</t>
        </is>
      </c>
      <c r="AB1128" s="11" t="inlineStr"/>
      <c r="AC1128" s="11">
        <f>IF(AA1128="FUERA","Fuera del marco",IF(AA1128="N/A","Sin marco",IFERROR(INDEX('Datos - TIMSS 2023'!$C$5:$C$105,MATCH(AA1128,'Datos - TIMSS 2023'!$A$5:$A$105,0)),"Pendiente de clasificar")))</f>
        <v/>
      </c>
      <c r="AD1128" s="11" t="inlineStr">
        <is>
          <t>1. Explicar fenómenos científicamente</t>
        </is>
      </c>
      <c r="AE1128" s="11">
        <f>IF(AD1128="","",IF(LEFT(AD1128,1)="1","C1",IF(LEFT(AD1128,1)="2","C2",IF(LEFT(AD1128,1)="3","C3",""))))</f>
        <v/>
      </c>
      <c r="AF1128" s="11" t="inlineStr">
        <is>
          <t>E1</t>
        </is>
      </c>
      <c r="AG1128" s="11" t="inlineStr">
        <is>
          <t>D1</t>
        </is>
      </c>
      <c r="AH1128" s="11" t="inlineStr">
        <is>
          <t>E4</t>
        </is>
      </c>
      <c r="AI1128" s="11" t="inlineStr">
        <is>
          <t>D4</t>
        </is>
      </c>
      <c r="AJ1128" s="11" t="inlineStr">
        <is>
          <t>E3</t>
        </is>
      </c>
      <c r="AK1128" s="11" t="n"/>
      <c r="AL1128" s="11" t="n"/>
      <c r="AM1128" s="11" t="n"/>
      <c r="AN1128" s="11" t="n"/>
      <c r="AO1128" s="11" t="n"/>
      <c r="AP1128" s="11" t="n"/>
      <c r="AQ1128" s="11" t="n"/>
      <c r="AR1128" s="11" t="n"/>
      <c r="AS1128" s="11" t="n"/>
      <c r="AT1128" s="11" t="n"/>
      <c r="AU1128" s="11" t="n"/>
      <c r="AV1128" s="11" t="n"/>
      <c r="AW1128" s="11">
        <f>AF1128&amp;"; "&amp;AG1128&amp;"; "&amp;AH1128&amp;"; "&amp;AI1128&amp;"; "&amp;AJ1128</f>
        <v/>
      </c>
    </row>
    <row r="1129">
      <c r="A1129" s="11" t="inlineStr">
        <is>
          <t>T0027-G10-BIO</t>
        </is>
      </c>
      <c r="B1129" s="11" t="n">
        <v>10</v>
      </c>
      <c r="C1129" s="11" t="inlineStr">
        <is>
          <t>Biología</t>
        </is>
      </c>
      <c r="D1129" s="11" t="inlineStr">
        <is>
          <t>Matriz_Bachillerato_Biologia_10_11.xlsx</t>
        </is>
      </c>
      <c r="E1129" s="11" t="inlineStr">
        <is>
          <t>Biología 10.°</t>
        </is>
      </c>
      <c r="F1129" s="11" t="n">
        <v>29</v>
      </c>
      <c r="G1129" s="11" t="inlineStr">
        <is>
          <t>3. Anatomía y fisiología humana</t>
        </is>
      </c>
      <c r="H1129" s="11" t="inlineStr">
        <is>
          <t>Sistema nervioso</t>
        </is>
      </c>
      <c r="I1129" s="38" t="inlineStr">
        <is>
          <t>3.1. Indagación de los tipos de reflejos y las funciones corporales controladas por el sistema nervioso somático y autónomo.</t>
        </is>
      </c>
      <c r="J1129" s="11" t="inlineStr">
        <is>
          <t>Sin marco</t>
        </is>
      </c>
      <c r="K1129" s="11" t="inlineStr">
        <is>
          <t>N/A</t>
        </is>
      </c>
      <c r="L1129" s="11" t="inlineStr"/>
      <c r="M1129" s="11">
        <f>IF(K1129="FUERA","Fuera del marco",IF(K1129="N/A","Sin marco",IFERROR(INDEX('Datos - Catálogo TIMSS'!$C$5:$C$107,MATCH(K1129,'Datos - Catálogo TIMSS'!$A$5:$A$107,0)),"Pendiente de clasificar")))</f>
        <v/>
      </c>
      <c r="N1129" s="11">
        <f>IF(K1129="FUERA","Fuera del marco",IF(K1129="N/A","Sin marco",IFERROR(INDEX('Datos - Catálogo TIMSS'!$F$5:$F$107,MATCH(K1129,'Datos - Catálogo TIMSS'!$A$5:$A$107,0)),"Pendiente de clasificar")))</f>
        <v/>
      </c>
      <c r="O1129" s="11">
        <f>IF(L1129="","",IFERROR(INDEX('Datos - Catálogo TIMSS'!$C$5:$C$107,MATCH(L1129,'Datos - Catálogo TIMSS'!$A$5:$A$107,0)),"?"))</f>
        <v/>
      </c>
      <c r="P1129" s="11" t="inlineStr">
        <is>
          <t>N/A</t>
        </is>
      </c>
      <c r="Q1129" s="38" t="inlineStr">
        <is>
          <t>Sin marco TIMSS de contenido para esta asignatura en Bachillerato</t>
        </is>
      </c>
      <c r="R1129" s="38" t="inlineStr">
        <is>
          <t>Aplicar: representar el arco reflejo. Razonar: interpretar datos de tiempo de reacción</t>
        </is>
      </c>
      <c r="S1129" s="39">
        <f>IFERROR(ISNUMBER(SEARCH("Conocer",$R1129))/(ISNUMBER(SEARCH("Conocer",$R1129))+ISNUMBER(SEARCH("Aplicar",$R1129))+ISNUMBER(SEARCH("Razonar",$R1129))),0)</f>
        <v/>
      </c>
      <c r="T1129" s="39">
        <f>IFERROR(ISNUMBER(SEARCH("Aplicar",$R1129))/(ISNUMBER(SEARCH("Conocer",$R1129))+ISNUMBER(SEARCH("Aplicar",$R1129))+ISNUMBER(SEARCH("Razonar",$R1129))),0)</f>
        <v/>
      </c>
      <c r="U1129" s="39">
        <f>IFERROR(ISNUMBER(SEARCH("Razonar",$R1129))/(ISNUMBER(SEARCH("Conocer",$R1129))+ISNUMBER(SEARCH("Aplicar",$R1129))+ISNUMBER(SEARCH("Razonar",$R1129))),0)</f>
        <v/>
      </c>
      <c r="V1129" s="11" t="inlineStr">
        <is>
          <t>Biología 10°</t>
        </is>
      </c>
      <c r="W1129" s="11" t="inlineStr">
        <is>
          <t>Biología 10°–11°</t>
        </is>
      </c>
      <c r="X1129" s="11">
        <f>IF(OR(IFERROR(INDEX('Datos - Catálogo TIMSS'!$I$5:$I$107,MATCH(K1129,'Datos - Catálogo TIMSS'!$A$5:$A$107,0)),"No")="Sí",IFERROR(INDEX('Datos - Catálogo TIMSS'!$I$5:$I$107,MATCH(L1129,'Datos - Catálogo TIMSS'!$A$5:$A$107,0)),"No")="Sí"),1,0)</f>
        <v/>
      </c>
      <c r="Y1129" s="11">
        <f>IF(IFERROR(INDEX('Datos - Catálogo TIMSS'!$J$5:$J$107,MATCH(K1129,'Datos - Catálogo TIMSS'!$A$5:$A$107,0)),"No")="Sí",1,0)</f>
        <v/>
      </c>
      <c r="Z1129" s="11">
        <f>IF(IFERROR(INDEX('Datos - Catálogo TIMSS'!$J$5:$J$107,MATCH(L1129,'Datos - Catálogo TIMSS'!$A$5:$A$107,0)),"No")="Sí",1,0)</f>
        <v/>
      </c>
      <c r="AA1129" s="11" t="inlineStr">
        <is>
          <t>N/A</t>
        </is>
      </c>
      <c r="AB1129" s="11" t="inlineStr"/>
      <c r="AC1129" s="11">
        <f>IF(AA1129="FUERA","Fuera del marco",IF(AA1129="N/A","Sin marco",IFERROR(INDEX('Datos - TIMSS 2023'!$C$5:$C$105,MATCH(AA1129,'Datos - TIMSS 2023'!$A$5:$A$105,0)),"Pendiente de clasificar")))</f>
        <v/>
      </c>
      <c r="AD1129" s="11" t="inlineStr">
        <is>
          <t>2. Construir y evaluar diseños para la indagación científica e interpretar datos y evidencia de forma crítica</t>
        </is>
      </c>
      <c r="AE1129" s="11">
        <f>IF(AD1129="","",IF(LEFT(AD1129,1)="1","C1",IF(LEFT(AD1129,1)="2","C2",IF(LEFT(AD1129,1)="3","C3",""))))</f>
        <v/>
      </c>
      <c r="AF1129" s="11" t="inlineStr">
        <is>
          <t>E1</t>
        </is>
      </c>
      <c r="AG1129" s="11" t="inlineStr">
        <is>
          <t>D1</t>
        </is>
      </c>
      <c r="AH1129" s="11" t="inlineStr">
        <is>
          <t>E2</t>
        </is>
      </c>
      <c r="AI1129" s="11" t="inlineStr">
        <is>
          <t>D4</t>
        </is>
      </c>
      <c r="AJ1129" s="11" t="inlineStr">
        <is>
          <t>E3</t>
        </is>
      </c>
      <c r="AK1129" s="11" t="n"/>
      <c r="AL1129" s="11" t="n"/>
      <c r="AM1129" s="11" t="n"/>
      <c r="AN1129" s="11" t="n"/>
      <c r="AO1129" s="11" t="n"/>
      <c r="AP1129" s="11" t="n"/>
      <c r="AQ1129" s="11" t="n"/>
      <c r="AR1129" s="11" t="n"/>
      <c r="AS1129" s="11" t="n"/>
      <c r="AT1129" s="11" t="n"/>
      <c r="AU1129" s="11" t="n"/>
      <c r="AV1129" s="11" t="n"/>
      <c r="AW1129" s="11">
        <f>AF1129&amp;"; "&amp;AG1129&amp;"; "&amp;AH1129&amp;"; "&amp;AI1129&amp;"; "&amp;AJ1129</f>
        <v/>
      </c>
    </row>
    <row r="1130">
      <c r="A1130" s="11" t="inlineStr">
        <is>
          <t>T0028-G10-BIO</t>
        </is>
      </c>
      <c r="B1130" s="11" t="n">
        <v>10</v>
      </c>
      <c r="C1130" s="11" t="inlineStr">
        <is>
          <t>Biología</t>
        </is>
      </c>
      <c r="D1130" s="11" t="inlineStr">
        <is>
          <t>Matriz_Bachillerato_Biologia_10_11.xlsx</t>
        </is>
      </c>
      <c r="E1130" s="11" t="inlineStr">
        <is>
          <t>Biología 10.°</t>
        </is>
      </c>
      <c r="F1130" s="11" t="n">
        <v>30</v>
      </c>
      <c r="G1130" s="11" t="inlineStr">
        <is>
          <t>3. Anatomía y fisiología humana</t>
        </is>
      </c>
      <c r="H1130" s="11" t="inlineStr">
        <is>
          <t>Sistema nervioso</t>
        </is>
      </c>
      <c r="I1130" s="38" t="inlineStr">
        <is>
          <t>3.2. Construcción de modelos de células nerviosas ajustados a sus funciones.</t>
        </is>
      </c>
      <c r="J1130" s="11" t="inlineStr">
        <is>
          <t>Sin marco</t>
        </is>
      </c>
      <c r="K1130" s="11" t="inlineStr">
        <is>
          <t>N/A</t>
        </is>
      </c>
      <c r="L1130" s="11" t="inlineStr"/>
      <c r="M1130" s="11">
        <f>IF(K1130="FUERA","Fuera del marco",IF(K1130="N/A","Sin marco",IFERROR(INDEX('Datos - Catálogo TIMSS'!$C$5:$C$107,MATCH(K1130,'Datos - Catálogo TIMSS'!$A$5:$A$107,0)),"Pendiente de clasificar")))</f>
        <v/>
      </c>
      <c r="N1130" s="11">
        <f>IF(K1130="FUERA","Fuera del marco",IF(K1130="N/A","Sin marco",IFERROR(INDEX('Datos - Catálogo TIMSS'!$F$5:$F$107,MATCH(K1130,'Datos - Catálogo TIMSS'!$A$5:$A$107,0)),"Pendiente de clasificar")))</f>
        <v/>
      </c>
      <c r="O1130" s="11">
        <f>IF(L1130="","",IFERROR(INDEX('Datos - Catálogo TIMSS'!$C$5:$C$107,MATCH(L1130,'Datos - Catálogo TIMSS'!$A$5:$A$107,0)),"?"))</f>
        <v/>
      </c>
      <c r="P1130" s="11" t="inlineStr">
        <is>
          <t>N/A</t>
        </is>
      </c>
      <c r="Q1130" s="38" t="inlineStr">
        <is>
          <t>Sin marco TIMSS de contenido para esta asignatura en Bachillerato</t>
        </is>
      </c>
      <c r="R1130" s="38" t="inlineStr">
        <is>
          <t>Conocer: identificar estructuras. Aplicar: construir un modelo. Razonar: relacionar estructura y función</t>
        </is>
      </c>
      <c r="S1130" s="39">
        <f>IFERROR(ISNUMBER(SEARCH("Conocer",$R1130))/(ISNUMBER(SEARCH("Conocer",$R1130))+ISNUMBER(SEARCH("Aplicar",$R1130))+ISNUMBER(SEARCH("Razonar",$R1130))),0)</f>
        <v/>
      </c>
      <c r="T1130" s="39">
        <f>IFERROR(ISNUMBER(SEARCH("Aplicar",$R1130))/(ISNUMBER(SEARCH("Conocer",$R1130))+ISNUMBER(SEARCH("Aplicar",$R1130))+ISNUMBER(SEARCH("Razonar",$R1130))),0)</f>
        <v/>
      </c>
      <c r="U1130" s="39">
        <f>IFERROR(ISNUMBER(SEARCH("Razonar",$R1130))/(ISNUMBER(SEARCH("Conocer",$R1130))+ISNUMBER(SEARCH("Aplicar",$R1130))+ISNUMBER(SEARCH("Razonar",$R1130))),0)</f>
        <v/>
      </c>
      <c r="V1130" s="11" t="inlineStr">
        <is>
          <t>Biología 10°</t>
        </is>
      </c>
      <c r="W1130" s="11" t="inlineStr">
        <is>
          <t>Biología 10°–11°</t>
        </is>
      </c>
      <c r="X1130" s="11">
        <f>IF(OR(IFERROR(INDEX('Datos - Catálogo TIMSS'!$I$5:$I$107,MATCH(K1130,'Datos - Catálogo TIMSS'!$A$5:$A$107,0)),"No")="Sí",IFERROR(INDEX('Datos - Catálogo TIMSS'!$I$5:$I$107,MATCH(L1130,'Datos - Catálogo TIMSS'!$A$5:$A$107,0)),"No")="Sí"),1,0)</f>
        <v/>
      </c>
      <c r="Y1130" s="11">
        <f>IF(IFERROR(INDEX('Datos - Catálogo TIMSS'!$J$5:$J$107,MATCH(K1130,'Datos - Catálogo TIMSS'!$A$5:$A$107,0)),"No")="Sí",1,0)</f>
        <v/>
      </c>
      <c r="Z1130" s="11">
        <f>IF(IFERROR(INDEX('Datos - Catálogo TIMSS'!$J$5:$J$107,MATCH(L1130,'Datos - Catálogo TIMSS'!$A$5:$A$107,0)),"No")="Sí",1,0)</f>
        <v/>
      </c>
      <c r="AA1130" s="11" t="inlineStr">
        <is>
          <t>N/A</t>
        </is>
      </c>
      <c r="AB1130" s="11" t="inlineStr"/>
      <c r="AC1130" s="11">
        <f>IF(AA1130="FUERA","Fuera del marco",IF(AA1130="N/A","Sin marco",IFERROR(INDEX('Datos - TIMSS 2023'!$C$5:$C$105,MATCH(AA1130,'Datos - TIMSS 2023'!$A$5:$A$105,0)),"Pendiente de clasificar")))</f>
        <v/>
      </c>
      <c r="AD1130" s="11" t="inlineStr">
        <is>
          <t>1. Explicar fenómenos científicamente</t>
        </is>
      </c>
      <c r="AE1130" s="11">
        <f>IF(AD1130="","",IF(LEFT(AD1130,1)="1","C1",IF(LEFT(AD1130,1)="2","C2",IF(LEFT(AD1130,1)="3","C3",""))))</f>
        <v/>
      </c>
      <c r="AF1130" s="11" t="inlineStr">
        <is>
          <t>E1</t>
        </is>
      </c>
      <c r="AG1130" s="11" t="inlineStr">
        <is>
          <t>E5</t>
        </is>
      </c>
      <c r="AH1130" s="11" t="inlineStr">
        <is>
          <t>E4</t>
        </is>
      </c>
      <c r="AI1130" s="11" t="inlineStr">
        <is>
          <t>D3</t>
        </is>
      </c>
      <c r="AJ1130" s="11" t="inlineStr">
        <is>
          <t>E3</t>
        </is>
      </c>
      <c r="AK1130" s="11" t="n"/>
      <c r="AL1130" s="11" t="n"/>
      <c r="AM1130" s="11" t="n"/>
      <c r="AN1130" s="11" t="n"/>
      <c r="AO1130" s="11" t="n"/>
      <c r="AP1130" s="11" t="n"/>
      <c r="AQ1130" s="11" t="n"/>
      <c r="AR1130" s="11" t="n"/>
      <c r="AS1130" s="11" t="n"/>
      <c r="AT1130" s="11" t="n"/>
      <c r="AU1130" s="11" t="n"/>
      <c r="AV1130" s="11" t="n"/>
      <c r="AW1130" s="11">
        <f>AF1130&amp;"; "&amp;AG1130&amp;"; "&amp;AH1130&amp;"; "&amp;AI1130&amp;"; "&amp;AJ1130</f>
        <v/>
      </c>
    </row>
    <row r="1131">
      <c r="A1131" s="11" t="inlineStr">
        <is>
          <t>T0029-G10-BIO</t>
        </is>
      </c>
      <c r="B1131" s="11" t="n">
        <v>10</v>
      </c>
      <c r="C1131" s="11" t="inlineStr">
        <is>
          <t>Biología</t>
        </is>
      </c>
      <c r="D1131" s="11" t="inlineStr">
        <is>
          <t>Matriz_Bachillerato_Biologia_10_11.xlsx</t>
        </is>
      </c>
      <c r="E1131" s="11" t="inlineStr">
        <is>
          <t>Biología 10.°</t>
        </is>
      </c>
      <c r="F1131" s="11" t="n">
        <v>31</v>
      </c>
      <c r="G1131" s="11" t="inlineStr">
        <is>
          <t>3. Anatomía y fisiología humana</t>
        </is>
      </c>
      <c r="H1131" s="11" t="inlineStr">
        <is>
          <t>Sistema nervioso</t>
        </is>
      </c>
      <c r="I1131" s="38" t="inlineStr">
        <is>
          <t>3.3. Explicación de la anatomía general y funciones corporales reguladas por el sistema nervioso central y el sistema nervioso periférico.</t>
        </is>
      </c>
      <c r="J1131" s="11" t="inlineStr">
        <is>
          <t>Sin marco</t>
        </is>
      </c>
      <c r="K1131" s="11" t="inlineStr">
        <is>
          <t>N/A</t>
        </is>
      </c>
      <c r="L1131" s="11" t="inlineStr"/>
      <c r="M1131" s="11">
        <f>IF(K1131="FUERA","Fuera del marco",IF(K1131="N/A","Sin marco",IFERROR(INDEX('Datos - Catálogo TIMSS'!$C$5:$C$107,MATCH(K1131,'Datos - Catálogo TIMSS'!$A$5:$A$107,0)),"Pendiente de clasificar")))</f>
        <v/>
      </c>
      <c r="N1131" s="11">
        <f>IF(K1131="FUERA","Fuera del marco",IF(K1131="N/A","Sin marco",IFERROR(INDEX('Datos - Catálogo TIMSS'!$F$5:$F$107,MATCH(K1131,'Datos - Catálogo TIMSS'!$A$5:$A$107,0)),"Pendiente de clasificar")))</f>
        <v/>
      </c>
      <c r="O1131" s="11">
        <f>IF(L1131="","",IFERROR(INDEX('Datos - Catálogo TIMSS'!$C$5:$C$107,MATCH(L1131,'Datos - Catálogo TIMSS'!$A$5:$A$107,0)),"?"))</f>
        <v/>
      </c>
      <c r="P1131" s="11" t="inlineStr">
        <is>
          <t>N/A</t>
        </is>
      </c>
      <c r="Q1131" s="38" t="inlineStr">
        <is>
          <t>Sin marco TIMSS de contenido para esta asignatura en Bachillerato</t>
        </is>
      </c>
      <c r="R1131" s="38" t="inlineStr">
        <is>
          <t>Conocer: ubicar estructuras. Aplicar: relacionar región y función. Razonar: justificar medidas de prevención</t>
        </is>
      </c>
      <c r="S1131" s="39">
        <f>IFERROR(ISNUMBER(SEARCH("Conocer",$R1131))/(ISNUMBER(SEARCH("Conocer",$R1131))+ISNUMBER(SEARCH("Aplicar",$R1131))+ISNUMBER(SEARCH("Razonar",$R1131))),0)</f>
        <v/>
      </c>
      <c r="T1131" s="39">
        <f>IFERROR(ISNUMBER(SEARCH("Aplicar",$R1131))/(ISNUMBER(SEARCH("Conocer",$R1131))+ISNUMBER(SEARCH("Aplicar",$R1131))+ISNUMBER(SEARCH("Razonar",$R1131))),0)</f>
        <v/>
      </c>
      <c r="U1131" s="39">
        <f>IFERROR(ISNUMBER(SEARCH("Razonar",$R1131))/(ISNUMBER(SEARCH("Conocer",$R1131))+ISNUMBER(SEARCH("Aplicar",$R1131))+ISNUMBER(SEARCH("Razonar",$R1131))),0)</f>
        <v/>
      </c>
      <c r="V1131" s="11" t="inlineStr">
        <is>
          <t>Biología 10°</t>
        </is>
      </c>
      <c r="W1131" s="11" t="inlineStr">
        <is>
          <t>Biología 10°–11°</t>
        </is>
      </c>
      <c r="X1131" s="11">
        <f>IF(OR(IFERROR(INDEX('Datos - Catálogo TIMSS'!$I$5:$I$107,MATCH(K1131,'Datos - Catálogo TIMSS'!$A$5:$A$107,0)),"No")="Sí",IFERROR(INDEX('Datos - Catálogo TIMSS'!$I$5:$I$107,MATCH(L1131,'Datos - Catálogo TIMSS'!$A$5:$A$107,0)),"No")="Sí"),1,0)</f>
        <v/>
      </c>
      <c r="Y1131" s="11">
        <f>IF(IFERROR(INDEX('Datos - Catálogo TIMSS'!$J$5:$J$107,MATCH(K1131,'Datos - Catálogo TIMSS'!$A$5:$A$107,0)),"No")="Sí",1,0)</f>
        <v/>
      </c>
      <c r="Z1131" s="11">
        <f>IF(IFERROR(INDEX('Datos - Catálogo TIMSS'!$J$5:$J$107,MATCH(L1131,'Datos - Catálogo TIMSS'!$A$5:$A$107,0)),"No")="Sí",1,0)</f>
        <v/>
      </c>
      <c r="AA1131" s="11" t="inlineStr">
        <is>
          <t>N/A</t>
        </is>
      </c>
      <c r="AB1131" s="11" t="inlineStr"/>
      <c r="AC1131" s="11">
        <f>IF(AA1131="FUERA","Fuera del marco",IF(AA1131="N/A","Sin marco",IFERROR(INDEX('Datos - TIMSS 2023'!$C$5:$C$105,MATCH(AA1131,'Datos - TIMSS 2023'!$A$5:$A$105,0)),"Pendiente de clasificar")))</f>
        <v/>
      </c>
      <c r="AD1131" s="11" t="inlineStr">
        <is>
          <t>1. Explicar fenómenos científicamente</t>
        </is>
      </c>
      <c r="AE1131" s="11">
        <f>IF(AD1131="","",IF(LEFT(AD1131,1)="1","C1",IF(LEFT(AD1131,1)="2","C2",IF(LEFT(AD1131,1)="3","C3",""))))</f>
        <v/>
      </c>
      <c r="AF1131" s="11" t="inlineStr">
        <is>
          <t>E6</t>
        </is>
      </c>
      <c r="AG1131" s="11" t="inlineStr">
        <is>
          <t>D1</t>
        </is>
      </c>
      <c r="AH1131" s="11" t="inlineStr">
        <is>
          <t>E2</t>
        </is>
      </c>
      <c r="AI1131" s="11" t="inlineStr">
        <is>
          <t>I1</t>
        </is>
      </c>
      <c r="AJ1131" s="11" t="inlineStr">
        <is>
          <t>I5</t>
        </is>
      </c>
      <c r="AK1131" s="11" t="n"/>
      <c r="AL1131" s="11" t="n"/>
      <c r="AM1131" s="11" t="n"/>
      <c r="AN1131" s="11" t="n"/>
      <c r="AO1131" s="11" t="n"/>
      <c r="AP1131" s="11" t="n"/>
      <c r="AQ1131" s="11" t="n"/>
      <c r="AR1131" s="11" t="n"/>
      <c r="AS1131" s="11" t="n"/>
      <c r="AT1131" s="11" t="n"/>
      <c r="AU1131" s="11" t="n"/>
      <c r="AV1131" s="11" t="n"/>
      <c r="AW1131" s="11">
        <f>AF1131&amp;"; "&amp;AG1131&amp;"; "&amp;AH1131&amp;"; "&amp;AI1131&amp;"; "&amp;AJ1131</f>
        <v/>
      </c>
    </row>
    <row r="1132">
      <c r="A1132" s="11" t="inlineStr">
        <is>
          <t>T0030-G10-BIO</t>
        </is>
      </c>
      <c r="B1132" s="11" t="n">
        <v>10</v>
      </c>
      <c r="C1132" s="11" t="inlineStr">
        <is>
          <t>Biología</t>
        </is>
      </c>
      <c r="D1132" s="11" t="inlineStr">
        <is>
          <t>Matriz_Bachillerato_Biologia_10_11.xlsx</t>
        </is>
      </c>
      <c r="E1132" s="11" t="inlineStr">
        <is>
          <t>Biología 10.°</t>
        </is>
      </c>
      <c r="F1132" s="11" t="n">
        <v>32</v>
      </c>
      <c r="G1132" s="11" t="inlineStr">
        <is>
          <t>3. Anatomía y fisiología humana</t>
        </is>
      </c>
      <c r="H1132" s="11" t="inlineStr">
        <is>
          <t>Sistemas sensoriales</t>
        </is>
      </c>
      <c r="I1132" s="38" t="inlineStr">
        <is>
          <t>3.4. Reconocimiento del papel de los órganos receptores para percibir el entorno.</t>
        </is>
      </c>
      <c r="J1132" s="11" t="inlineStr">
        <is>
          <t>Sin marco</t>
        </is>
      </c>
      <c r="K1132" s="11" t="inlineStr">
        <is>
          <t>N/A</t>
        </is>
      </c>
      <c r="L1132" s="11" t="inlineStr"/>
      <c r="M1132" s="11">
        <f>IF(K1132="FUERA","Fuera del marco",IF(K1132="N/A","Sin marco",IFERROR(INDEX('Datos - Catálogo TIMSS'!$C$5:$C$107,MATCH(K1132,'Datos - Catálogo TIMSS'!$A$5:$A$107,0)),"Pendiente de clasificar")))</f>
        <v/>
      </c>
      <c r="N1132" s="11">
        <f>IF(K1132="FUERA","Fuera del marco",IF(K1132="N/A","Sin marco",IFERROR(INDEX('Datos - Catálogo TIMSS'!$F$5:$F$107,MATCH(K1132,'Datos - Catálogo TIMSS'!$A$5:$A$107,0)),"Pendiente de clasificar")))</f>
        <v/>
      </c>
      <c r="O1132" s="11">
        <f>IF(L1132="","",IFERROR(INDEX('Datos - Catálogo TIMSS'!$C$5:$C$107,MATCH(L1132,'Datos - Catálogo TIMSS'!$A$5:$A$107,0)),"?"))</f>
        <v/>
      </c>
      <c r="P1132" s="11" t="inlineStr">
        <is>
          <t>N/A</t>
        </is>
      </c>
      <c r="Q1132" s="38" t="inlineStr">
        <is>
          <t>Sin marco TIMSS de contenido para esta asignatura en Bachillerato</t>
        </is>
      </c>
      <c r="R1132" s="38" t="inlineStr">
        <is>
          <t>Conocer: identificar receptores. Aplicar: medir y comparar. Razonar: valorar riesgos</t>
        </is>
      </c>
      <c r="S1132" s="39">
        <f>IFERROR(ISNUMBER(SEARCH("Conocer",$R1132))/(ISNUMBER(SEARCH("Conocer",$R1132))+ISNUMBER(SEARCH("Aplicar",$R1132))+ISNUMBER(SEARCH("Razonar",$R1132))),0)</f>
        <v/>
      </c>
      <c r="T1132" s="39">
        <f>IFERROR(ISNUMBER(SEARCH("Aplicar",$R1132))/(ISNUMBER(SEARCH("Conocer",$R1132))+ISNUMBER(SEARCH("Aplicar",$R1132))+ISNUMBER(SEARCH("Razonar",$R1132))),0)</f>
        <v/>
      </c>
      <c r="U1132" s="39">
        <f>IFERROR(ISNUMBER(SEARCH("Razonar",$R1132))/(ISNUMBER(SEARCH("Conocer",$R1132))+ISNUMBER(SEARCH("Aplicar",$R1132))+ISNUMBER(SEARCH("Razonar",$R1132))),0)</f>
        <v/>
      </c>
      <c r="V1132" s="11" t="inlineStr">
        <is>
          <t>Biología 10°</t>
        </is>
      </c>
      <c r="W1132" s="11" t="inlineStr">
        <is>
          <t>Biología 10°–11°</t>
        </is>
      </c>
      <c r="X1132" s="11">
        <f>IF(OR(IFERROR(INDEX('Datos - Catálogo TIMSS'!$I$5:$I$107,MATCH(K1132,'Datos - Catálogo TIMSS'!$A$5:$A$107,0)),"No")="Sí",IFERROR(INDEX('Datos - Catálogo TIMSS'!$I$5:$I$107,MATCH(L1132,'Datos - Catálogo TIMSS'!$A$5:$A$107,0)),"No")="Sí"),1,0)</f>
        <v/>
      </c>
      <c r="Y1132" s="11">
        <f>IF(IFERROR(INDEX('Datos - Catálogo TIMSS'!$J$5:$J$107,MATCH(K1132,'Datos - Catálogo TIMSS'!$A$5:$A$107,0)),"No")="Sí",1,0)</f>
        <v/>
      </c>
      <c r="Z1132" s="11">
        <f>IF(IFERROR(INDEX('Datos - Catálogo TIMSS'!$J$5:$J$107,MATCH(L1132,'Datos - Catálogo TIMSS'!$A$5:$A$107,0)),"No")="Sí",1,0)</f>
        <v/>
      </c>
      <c r="AA1132" s="11" t="inlineStr">
        <is>
          <t>N/A</t>
        </is>
      </c>
      <c r="AB1132" s="11" t="inlineStr"/>
      <c r="AC1132" s="11">
        <f>IF(AA1132="FUERA","Fuera del marco",IF(AA1132="N/A","Sin marco",IFERROR(INDEX('Datos - TIMSS 2023'!$C$5:$C$105,MATCH(AA1132,'Datos - TIMSS 2023'!$A$5:$A$105,0)),"Pendiente de clasificar")))</f>
        <v/>
      </c>
      <c r="AD1132" s="11" t="inlineStr">
        <is>
          <t>1. Explicar fenómenos científicamente</t>
        </is>
      </c>
      <c r="AE1132" s="11">
        <f>IF(AD1132="","",IF(LEFT(AD1132,1)="1","C1",IF(LEFT(AD1132,1)="2","C2",IF(LEFT(AD1132,1)="3","C3",""))))</f>
        <v/>
      </c>
      <c r="AF1132" s="11" t="inlineStr">
        <is>
          <t>E1</t>
        </is>
      </c>
      <c r="AG1132" s="11" t="inlineStr">
        <is>
          <t>D1</t>
        </is>
      </c>
      <c r="AH1132" s="11" t="inlineStr">
        <is>
          <t>E1</t>
        </is>
      </c>
      <c r="AI1132" s="11" t="inlineStr">
        <is>
          <t>D4</t>
        </is>
      </c>
      <c r="AJ1132" s="11" t="inlineStr">
        <is>
          <t>E6</t>
        </is>
      </c>
      <c r="AK1132" s="11" t="n"/>
      <c r="AL1132" s="11" t="n"/>
      <c r="AM1132" s="11" t="n"/>
      <c r="AN1132" s="11" t="n"/>
      <c r="AO1132" s="11" t="n"/>
      <c r="AP1132" s="11" t="n"/>
      <c r="AQ1132" s="11" t="n"/>
      <c r="AR1132" s="11" t="n"/>
      <c r="AS1132" s="11" t="n"/>
      <c r="AT1132" s="11" t="n"/>
      <c r="AU1132" s="11" t="n"/>
      <c r="AV1132" s="11" t="n"/>
      <c r="AW1132" s="11">
        <f>AF1132&amp;"; "&amp;AG1132&amp;"; "&amp;AH1132&amp;"; "&amp;AI1132&amp;"; "&amp;AJ1132</f>
        <v/>
      </c>
    </row>
    <row r="1133">
      <c r="A1133" s="11" t="inlineStr">
        <is>
          <t>T0031-G10-BIO</t>
        </is>
      </c>
      <c r="B1133" s="11" t="n">
        <v>10</v>
      </c>
      <c r="C1133" s="11" t="inlineStr">
        <is>
          <t>Biología</t>
        </is>
      </c>
      <c r="D1133" s="11" t="inlineStr">
        <is>
          <t>Matriz_Bachillerato_Biologia_10_11.xlsx</t>
        </is>
      </c>
      <c r="E1133" s="11" t="inlineStr">
        <is>
          <t>Biología 10.°</t>
        </is>
      </c>
      <c r="F1133" s="11" t="n">
        <v>33</v>
      </c>
      <c r="G1133" s="11" t="inlineStr">
        <is>
          <t>3. Anatomía y fisiología humana</t>
        </is>
      </c>
      <c r="H1133" s="11" t="inlineStr">
        <is>
          <t>Sistemas sensoriales</t>
        </is>
      </c>
      <c r="I1133" s="38" t="inlineStr">
        <is>
          <t>3.5. Experimentación con el proceso de recepción de estímulos a través de distintos órganos receptores.</t>
        </is>
      </c>
      <c r="J1133" s="11" t="inlineStr">
        <is>
          <t>Sin marco</t>
        </is>
      </c>
      <c r="K1133" s="11" t="inlineStr">
        <is>
          <t>N/A</t>
        </is>
      </c>
      <c r="L1133" s="11" t="inlineStr"/>
      <c r="M1133" s="11">
        <f>IF(K1133="FUERA","Fuera del marco",IF(K1133="N/A","Sin marco",IFERROR(INDEX('Datos - Catálogo TIMSS'!$C$5:$C$107,MATCH(K1133,'Datos - Catálogo TIMSS'!$A$5:$A$107,0)),"Pendiente de clasificar")))</f>
        <v/>
      </c>
      <c r="N1133" s="11">
        <f>IF(K1133="FUERA","Fuera del marco",IF(K1133="N/A","Sin marco",IFERROR(INDEX('Datos - Catálogo TIMSS'!$F$5:$F$107,MATCH(K1133,'Datos - Catálogo TIMSS'!$A$5:$A$107,0)),"Pendiente de clasificar")))</f>
        <v/>
      </c>
      <c r="O1133" s="11">
        <f>IF(L1133="","",IFERROR(INDEX('Datos - Catálogo TIMSS'!$C$5:$C$107,MATCH(L1133,'Datos - Catálogo TIMSS'!$A$5:$A$107,0)),"?"))</f>
        <v/>
      </c>
      <c r="P1133" s="11" t="inlineStr">
        <is>
          <t>N/A</t>
        </is>
      </c>
      <c r="Q1133" s="38" t="inlineStr">
        <is>
          <t>Sin marco TIMSS de contenido para esta asignatura en Bachillerato</t>
        </is>
      </c>
      <c r="R1133" s="38" t="inlineStr">
        <is>
          <t>Aplicar: registrar y graficar datos. Razonar: sintetizar un proceso y evaluar un método</t>
        </is>
      </c>
      <c r="S1133" s="39">
        <f>IFERROR(ISNUMBER(SEARCH("Conocer",$R1133))/(ISNUMBER(SEARCH("Conocer",$R1133))+ISNUMBER(SEARCH("Aplicar",$R1133))+ISNUMBER(SEARCH("Razonar",$R1133))),0)</f>
        <v/>
      </c>
      <c r="T1133" s="39">
        <f>IFERROR(ISNUMBER(SEARCH("Aplicar",$R1133))/(ISNUMBER(SEARCH("Conocer",$R1133))+ISNUMBER(SEARCH("Aplicar",$R1133))+ISNUMBER(SEARCH("Razonar",$R1133))),0)</f>
        <v/>
      </c>
      <c r="U1133" s="39">
        <f>IFERROR(ISNUMBER(SEARCH("Razonar",$R1133))/(ISNUMBER(SEARCH("Conocer",$R1133))+ISNUMBER(SEARCH("Aplicar",$R1133))+ISNUMBER(SEARCH("Razonar",$R1133))),0)</f>
        <v/>
      </c>
      <c r="V1133" s="11" t="inlineStr">
        <is>
          <t>Biología 10°</t>
        </is>
      </c>
      <c r="W1133" s="11" t="inlineStr">
        <is>
          <t>Biología 10°–11°</t>
        </is>
      </c>
      <c r="X1133" s="11">
        <f>IF(OR(IFERROR(INDEX('Datos - Catálogo TIMSS'!$I$5:$I$107,MATCH(K1133,'Datos - Catálogo TIMSS'!$A$5:$A$107,0)),"No")="Sí",IFERROR(INDEX('Datos - Catálogo TIMSS'!$I$5:$I$107,MATCH(L1133,'Datos - Catálogo TIMSS'!$A$5:$A$107,0)),"No")="Sí"),1,0)</f>
        <v/>
      </c>
      <c r="Y1133" s="11">
        <f>IF(IFERROR(INDEX('Datos - Catálogo TIMSS'!$J$5:$J$107,MATCH(K1133,'Datos - Catálogo TIMSS'!$A$5:$A$107,0)),"No")="Sí",1,0)</f>
        <v/>
      </c>
      <c r="Z1133" s="11">
        <f>IF(IFERROR(INDEX('Datos - Catálogo TIMSS'!$J$5:$J$107,MATCH(L1133,'Datos - Catálogo TIMSS'!$A$5:$A$107,0)),"No")="Sí",1,0)</f>
        <v/>
      </c>
      <c r="AA1133" s="11" t="inlineStr">
        <is>
          <t>N/A</t>
        </is>
      </c>
      <c r="AB1133" s="11" t="inlineStr"/>
      <c r="AC1133" s="11">
        <f>IF(AA1133="FUERA","Fuera del marco",IF(AA1133="N/A","Sin marco",IFERROR(INDEX('Datos - TIMSS 2023'!$C$5:$C$105,MATCH(AA1133,'Datos - TIMSS 2023'!$A$5:$A$105,0)),"Pendiente de clasificar")))</f>
        <v/>
      </c>
      <c r="AD1133" s="11" t="inlineStr">
        <is>
          <t>2. Construir y evaluar diseños para la indagación científica e interpretar datos y evidencia de forma crítica</t>
        </is>
      </c>
      <c r="AE1133" s="11">
        <f>IF(AD1133="","",IF(LEFT(AD1133,1)="1","C1",IF(LEFT(AD1133,1)="2","C2",IF(LEFT(AD1133,1)="3","C3",""))))</f>
        <v/>
      </c>
      <c r="AF1133" s="11" t="inlineStr">
        <is>
          <t>E1</t>
        </is>
      </c>
      <c r="AG1133" s="11" t="inlineStr">
        <is>
          <t>D1</t>
        </is>
      </c>
      <c r="AH1133" s="11" t="inlineStr">
        <is>
          <t>E2</t>
        </is>
      </c>
      <c r="AI1133" s="11" t="inlineStr">
        <is>
          <t>D2</t>
        </is>
      </c>
      <c r="AJ1133" s="11" t="inlineStr">
        <is>
          <t>D3</t>
        </is>
      </c>
      <c r="AK1133" s="11" t="n"/>
      <c r="AL1133" s="11" t="n"/>
      <c r="AM1133" s="11" t="n"/>
      <c r="AN1133" s="11" t="n"/>
      <c r="AO1133" s="11" t="n"/>
      <c r="AP1133" s="11" t="n"/>
      <c r="AQ1133" s="11" t="n"/>
      <c r="AR1133" s="11" t="n"/>
      <c r="AS1133" s="11" t="n"/>
      <c r="AT1133" s="11" t="n"/>
      <c r="AU1133" s="11" t="n"/>
      <c r="AV1133" s="11" t="n"/>
      <c r="AW1133" s="11">
        <f>AF1133&amp;"; "&amp;AG1133&amp;"; "&amp;AH1133&amp;"; "&amp;AI1133&amp;"; "&amp;AJ1133</f>
        <v/>
      </c>
    </row>
    <row r="1134">
      <c r="A1134" s="11" t="inlineStr">
        <is>
          <t>T0032-G10-BIO</t>
        </is>
      </c>
      <c r="B1134" s="11" t="n">
        <v>10</v>
      </c>
      <c r="C1134" s="11" t="inlineStr">
        <is>
          <t>Biología</t>
        </is>
      </c>
      <c r="D1134" s="11" t="inlineStr">
        <is>
          <t>Matriz_Bachillerato_Biologia_10_11.xlsx</t>
        </is>
      </c>
      <c r="E1134" s="11" t="inlineStr">
        <is>
          <t>Biología 10.°</t>
        </is>
      </c>
      <c r="F1134" s="11" t="n">
        <v>34</v>
      </c>
      <c r="G1134" s="11" t="inlineStr">
        <is>
          <t>3. Anatomía y fisiología humana</t>
        </is>
      </c>
      <c r="H1134" s="11" t="inlineStr">
        <is>
          <t>Sistemas sensoriales</t>
        </is>
      </c>
      <c r="I1134" s="38" t="inlineStr">
        <is>
          <t>3.6. Simulación de los procesos fisiológicos de las neuronas sensoriales y motoras.</t>
        </is>
      </c>
      <c r="J1134" s="11" t="inlineStr">
        <is>
          <t>Sin marco</t>
        </is>
      </c>
      <c r="K1134" s="11" t="inlineStr">
        <is>
          <t>N/A</t>
        </is>
      </c>
      <c r="L1134" s="11" t="inlineStr"/>
      <c r="M1134" s="11">
        <f>IF(K1134="FUERA","Fuera del marco",IF(K1134="N/A","Sin marco",IFERROR(INDEX('Datos - Catálogo TIMSS'!$C$5:$C$107,MATCH(K1134,'Datos - Catálogo TIMSS'!$A$5:$A$107,0)),"Pendiente de clasificar")))</f>
        <v/>
      </c>
      <c r="N1134" s="11">
        <f>IF(K1134="FUERA","Fuera del marco",IF(K1134="N/A","Sin marco",IFERROR(INDEX('Datos - Catálogo TIMSS'!$F$5:$F$107,MATCH(K1134,'Datos - Catálogo TIMSS'!$A$5:$A$107,0)),"Pendiente de clasificar")))</f>
        <v/>
      </c>
      <c r="O1134" s="11">
        <f>IF(L1134="","",IFERROR(INDEX('Datos - Catálogo TIMSS'!$C$5:$C$107,MATCH(L1134,'Datos - Catálogo TIMSS'!$A$5:$A$107,0)),"?"))</f>
        <v/>
      </c>
      <c r="P1134" s="11" t="inlineStr">
        <is>
          <t>N/A</t>
        </is>
      </c>
      <c r="Q1134" s="38" t="inlineStr">
        <is>
          <t>Sin marco TIMSS de contenido para esta asignatura en Bachillerato</t>
        </is>
      </c>
      <c r="R1134" s="38" t="inlineStr">
        <is>
          <t>Aplicar: usar un modelo. Razonar: predecir el efecto de una alteración sináptica</t>
        </is>
      </c>
      <c r="S1134" s="39">
        <f>IFERROR(ISNUMBER(SEARCH("Conocer",$R1134))/(ISNUMBER(SEARCH("Conocer",$R1134))+ISNUMBER(SEARCH("Aplicar",$R1134))+ISNUMBER(SEARCH("Razonar",$R1134))),0)</f>
        <v/>
      </c>
      <c r="T1134" s="39">
        <f>IFERROR(ISNUMBER(SEARCH("Aplicar",$R1134))/(ISNUMBER(SEARCH("Conocer",$R1134))+ISNUMBER(SEARCH("Aplicar",$R1134))+ISNUMBER(SEARCH("Razonar",$R1134))),0)</f>
        <v/>
      </c>
      <c r="U1134" s="39">
        <f>IFERROR(ISNUMBER(SEARCH("Razonar",$R1134))/(ISNUMBER(SEARCH("Conocer",$R1134))+ISNUMBER(SEARCH("Aplicar",$R1134))+ISNUMBER(SEARCH("Razonar",$R1134))),0)</f>
        <v/>
      </c>
      <c r="V1134" s="11" t="inlineStr">
        <is>
          <t>Biología 10°</t>
        </is>
      </c>
      <c r="W1134" s="11" t="inlineStr">
        <is>
          <t>Biología 10°–11°</t>
        </is>
      </c>
      <c r="X1134" s="11">
        <f>IF(OR(IFERROR(INDEX('Datos - Catálogo TIMSS'!$I$5:$I$107,MATCH(K1134,'Datos - Catálogo TIMSS'!$A$5:$A$107,0)),"No")="Sí",IFERROR(INDEX('Datos - Catálogo TIMSS'!$I$5:$I$107,MATCH(L1134,'Datos - Catálogo TIMSS'!$A$5:$A$107,0)),"No")="Sí"),1,0)</f>
        <v/>
      </c>
      <c r="Y1134" s="11">
        <f>IF(IFERROR(INDEX('Datos - Catálogo TIMSS'!$J$5:$J$107,MATCH(K1134,'Datos - Catálogo TIMSS'!$A$5:$A$107,0)),"No")="Sí",1,0)</f>
        <v/>
      </c>
      <c r="Z1134" s="11">
        <f>IF(IFERROR(INDEX('Datos - Catálogo TIMSS'!$J$5:$J$107,MATCH(L1134,'Datos - Catálogo TIMSS'!$A$5:$A$107,0)),"No")="Sí",1,0)</f>
        <v/>
      </c>
      <c r="AA1134" s="11" t="inlineStr">
        <is>
          <t>N/A</t>
        </is>
      </c>
      <c r="AB1134" s="11" t="inlineStr"/>
      <c r="AC1134" s="11">
        <f>IF(AA1134="FUERA","Fuera del marco",IF(AA1134="N/A","Sin marco",IFERROR(INDEX('Datos - TIMSS 2023'!$C$5:$C$105,MATCH(AA1134,'Datos - TIMSS 2023'!$A$5:$A$105,0)),"Pendiente de clasificar")))</f>
        <v/>
      </c>
      <c r="AD1134" s="11" t="inlineStr">
        <is>
          <t>1. Explicar fenómenos científicamente</t>
        </is>
      </c>
      <c r="AE1134" s="11">
        <f>IF(AD1134="","",IF(LEFT(AD1134,1)="1","C1",IF(LEFT(AD1134,1)="2","C2",IF(LEFT(AD1134,1)="3","C3",""))))</f>
        <v/>
      </c>
      <c r="AF1134" s="11" t="inlineStr">
        <is>
          <t>E1</t>
        </is>
      </c>
      <c r="AG1134" s="11" t="inlineStr">
        <is>
          <t>D1</t>
        </is>
      </c>
      <c r="AH1134" s="11" t="inlineStr">
        <is>
          <t>E4</t>
        </is>
      </c>
      <c r="AI1134" s="11" t="inlineStr">
        <is>
          <t>D4</t>
        </is>
      </c>
      <c r="AJ1134" s="11" t="inlineStr">
        <is>
          <t>E3</t>
        </is>
      </c>
      <c r="AK1134" s="11" t="n"/>
      <c r="AL1134" s="11" t="n"/>
      <c r="AM1134" s="11" t="n"/>
      <c r="AN1134" s="11" t="n"/>
      <c r="AO1134" s="11" t="n"/>
      <c r="AP1134" s="11" t="n"/>
      <c r="AQ1134" s="11" t="n"/>
      <c r="AR1134" s="11" t="n"/>
      <c r="AS1134" s="11" t="n"/>
      <c r="AT1134" s="11" t="n"/>
      <c r="AU1134" s="11" t="n"/>
      <c r="AV1134" s="11" t="n"/>
      <c r="AW1134" s="11">
        <f>AF1134&amp;"; "&amp;AG1134&amp;"; "&amp;AH1134&amp;"; "&amp;AI1134&amp;"; "&amp;AJ1134</f>
        <v/>
      </c>
    </row>
    <row r="1135">
      <c r="A1135" s="11" t="inlineStr">
        <is>
          <t>T0033-G10-BIO</t>
        </is>
      </c>
      <c r="B1135" s="11" t="n">
        <v>10</v>
      </c>
      <c r="C1135" s="11" t="inlineStr">
        <is>
          <t>Biología</t>
        </is>
      </c>
      <c r="D1135" s="11" t="inlineStr">
        <is>
          <t>Matriz_Bachillerato_Biologia_10_11.xlsx</t>
        </is>
      </c>
      <c r="E1135" s="11" t="inlineStr">
        <is>
          <t>Biología 10.°</t>
        </is>
      </c>
      <c r="F1135" s="11" t="n">
        <v>35</v>
      </c>
      <c r="G1135" s="11" t="inlineStr">
        <is>
          <t>3. Anatomía y fisiología humana</t>
        </is>
      </c>
      <c r="H1135" s="11" t="inlineStr">
        <is>
          <t>Respuesta endocrina</t>
        </is>
      </c>
      <c r="I1135" s="38" t="inlineStr">
        <is>
          <t>3.7. Indagación de la importancia de las hormonas y el concepto de órgano diana.</t>
        </is>
      </c>
      <c r="J1135" s="11" t="inlineStr">
        <is>
          <t>Sin marco</t>
        </is>
      </c>
      <c r="K1135" s="11" t="inlineStr">
        <is>
          <t>N/A</t>
        </is>
      </c>
      <c r="L1135" s="11" t="inlineStr"/>
      <c r="M1135" s="11">
        <f>IF(K1135="FUERA","Fuera del marco",IF(K1135="N/A","Sin marco",IFERROR(INDEX('Datos - Catálogo TIMSS'!$C$5:$C$107,MATCH(K1135,'Datos - Catálogo TIMSS'!$A$5:$A$107,0)),"Pendiente de clasificar")))</f>
        <v/>
      </c>
      <c r="N1135" s="11">
        <f>IF(K1135="FUERA","Fuera del marco",IF(K1135="N/A","Sin marco",IFERROR(INDEX('Datos - Catálogo TIMSS'!$F$5:$F$107,MATCH(K1135,'Datos - Catálogo TIMSS'!$A$5:$A$107,0)),"Pendiente de clasificar")))</f>
        <v/>
      </c>
      <c r="O1135" s="11">
        <f>IF(L1135="","",IFERROR(INDEX('Datos - Catálogo TIMSS'!$C$5:$C$107,MATCH(L1135,'Datos - Catálogo TIMSS'!$A$5:$A$107,0)),"?"))</f>
        <v/>
      </c>
      <c r="P1135" s="11" t="inlineStr">
        <is>
          <t>N/A</t>
        </is>
      </c>
      <c r="Q1135" s="38" t="inlineStr">
        <is>
          <t>Sin marco TIMSS de contenido para esta asignatura en Bachillerato</t>
        </is>
      </c>
      <c r="R1135" s="38" t="inlineStr">
        <is>
          <t>Conocer: definir hormona y órgano diana. Aplicar: usar un modelo. Razonar: evaluar evidencia</t>
        </is>
      </c>
      <c r="S1135" s="39">
        <f>IFERROR(ISNUMBER(SEARCH("Conocer",$R1135))/(ISNUMBER(SEARCH("Conocer",$R1135))+ISNUMBER(SEARCH("Aplicar",$R1135))+ISNUMBER(SEARCH("Razonar",$R1135))),0)</f>
        <v/>
      </c>
      <c r="T1135" s="39">
        <f>IFERROR(ISNUMBER(SEARCH("Aplicar",$R1135))/(ISNUMBER(SEARCH("Conocer",$R1135))+ISNUMBER(SEARCH("Aplicar",$R1135))+ISNUMBER(SEARCH("Razonar",$R1135))),0)</f>
        <v/>
      </c>
      <c r="U1135" s="39">
        <f>IFERROR(ISNUMBER(SEARCH("Razonar",$R1135))/(ISNUMBER(SEARCH("Conocer",$R1135))+ISNUMBER(SEARCH("Aplicar",$R1135))+ISNUMBER(SEARCH("Razonar",$R1135))),0)</f>
        <v/>
      </c>
      <c r="V1135" s="11" t="inlineStr">
        <is>
          <t>Biología 10°</t>
        </is>
      </c>
      <c r="W1135" s="11" t="inlineStr">
        <is>
          <t>Biología 10°–11°</t>
        </is>
      </c>
      <c r="X1135" s="11">
        <f>IF(OR(IFERROR(INDEX('Datos - Catálogo TIMSS'!$I$5:$I$107,MATCH(K1135,'Datos - Catálogo TIMSS'!$A$5:$A$107,0)),"No")="Sí",IFERROR(INDEX('Datos - Catálogo TIMSS'!$I$5:$I$107,MATCH(L1135,'Datos - Catálogo TIMSS'!$A$5:$A$107,0)),"No")="Sí"),1,0)</f>
        <v/>
      </c>
      <c r="Y1135" s="11">
        <f>IF(IFERROR(INDEX('Datos - Catálogo TIMSS'!$J$5:$J$107,MATCH(K1135,'Datos - Catálogo TIMSS'!$A$5:$A$107,0)),"No")="Sí",1,0)</f>
        <v/>
      </c>
      <c r="Z1135" s="11">
        <f>IF(IFERROR(INDEX('Datos - Catálogo TIMSS'!$J$5:$J$107,MATCH(L1135,'Datos - Catálogo TIMSS'!$A$5:$A$107,0)),"No")="Sí",1,0)</f>
        <v/>
      </c>
      <c r="AA1135" s="11" t="inlineStr">
        <is>
          <t>N/A</t>
        </is>
      </c>
      <c r="AB1135" s="11" t="inlineStr"/>
      <c r="AC1135" s="11">
        <f>IF(AA1135="FUERA","Fuera del marco",IF(AA1135="N/A","Sin marco",IFERROR(INDEX('Datos - TIMSS 2023'!$C$5:$C$105,MATCH(AA1135,'Datos - TIMSS 2023'!$A$5:$A$105,0)),"Pendiente de clasificar")))</f>
        <v/>
      </c>
      <c r="AD1135" s="11" t="inlineStr">
        <is>
          <t>1. Explicar fenómenos científicamente</t>
        </is>
      </c>
      <c r="AE1135" s="11">
        <f>IF(AD1135="","",IF(LEFT(AD1135,1)="1","C1",IF(LEFT(AD1135,1)="2","C2",IF(LEFT(AD1135,1)="3","C3",""))))</f>
        <v/>
      </c>
      <c r="AF1135" s="11" t="inlineStr">
        <is>
          <t>E1</t>
        </is>
      </c>
      <c r="AG1135" s="11" t="inlineStr">
        <is>
          <t>D1</t>
        </is>
      </c>
      <c r="AH1135" s="11" t="inlineStr">
        <is>
          <t>E4</t>
        </is>
      </c>
      <c r="AI1135" s="11" t="inlineStr">
        <is>
          <t>I1</t>
        </is>
      </c>
      <c r="AJ1135" s="11" t="inlineStr">
        <is>
          <t>I4</t>
        </is>
      </c>
      <c r="AK1135" s="11" t="n"/>
      <c r="AL1135" s="11" t="n"/>
      <c r="AM1135" s="11" t="n"/>
      <c r="AN1135" s="11" t="n"/>
      <c r="AO1135" s="11" t="n"/>
      <c r="AP1135" s="11" t="n"/>
      <c r="AQ1135" s="11" t="n"/>
      <c r="AR1135" s="11" t="n"/>
      <c r="AS1135" s="11" t="n"/>
      <c r="AT1135" s="11" t="n"/>
      <c r="AU1135" s="11" t="n"/>
      <c r="AV1135" s="11" t="n"/>
      <c r="AW1135" s="11">
        <f>AF1135&amp;"; "&amp;AG1135&amp;"; "&amp;AH1135&amp;"; "&amp;AI1135&amp;"; "&amp;AJ1135</f>
        <v/>
      </c>
    </row>
    <row r="1136">
      <c r="A1136" s="11" t="inlineStr">
        <is>
          <t>T0034-G10-BIO</t>
        </is>
      </c>
      <c r="B1136" s="11" t="n">
        <v>10</v>
      </c>
      <c r="C1136" s="11" t="inlineStr">
        <is>
          <t>Biología</t>
        </is>
      </c>
      <c r="D1136" s="11" t="inlineStr">
        <is>
          <t>Matriz_Bachillerato_Biologia_10_11.xlsx</t>
        </is>
      </c>
      <c r="E1136" s="11" t="inlineStr">
        <is>
          <t>Biología 10.°</t>
        </is>
      </c>
      <c r="F1136" s="11" t="n">
        <v>36</v>
      </c>
      <c r="G1136" s="11" t="inlineStr">
        <is>
          <t>3. Anatomía y fisiología humana</t>
        </is>
      </c>
      <c r="H1136" s="11" t="inlineStr">
        <is>
          <t>Respuesta endocrina</t>
        </is>
      </c>
      <c r="I1136" s="38" t="inlineStr">
        <is>
          <t>3.8. Identificación de las principales respuestas endocrinas y las glándulas involucradas.</t>
        </is>
      </c>
      <c r="J1136" s="11" t="inlineStr">
        <is>
          <t>Sin marco</t>
        </is>
      </c>
      <c r="K1136" s="11" t="inlineStr">
        <is>
          <t>N/A</t>
        </is>
      </c>
      <c r="L1136" s="11" t="inlineStr"/>
      <c r="M1136" s="11">
        <f>IF(K1136="FUERA","Fuera del marco",IF(K1136="N/A","Sin marco",IFERROR(INDEX('Datos - Catálogo TIMSS'!$C$5:$C$107,MATCH(K1136,'Datos - Catálogo TIMSS'!$A$5:$A$107,0)),"Pendiente de clasificar")))</f>
        <v/>
      </c>
      <c r="N1136" s="11">
        <f>IF(K1136="FUERA","Fuera del marco",IF(K1136="N/A","Sin marco",IFERROR(INDEX('Datos - Catálogo TIMSS'!$F$5:$F$107,MATCH(K1136,'Datos - Catálogo TIMSS'!$A$5:$A$107,0)),"Pendiente de clasificar")))</f>
        <v/>
      </c>
      <c r="O1136" s="11">
        <f>IF(L1136="","",IFERROR(INDEX('Datos - Catálogo TIMSS'!$C$5:$C$107,MATCH(L1136,'Datos - Catálogo TIMSS'!$A$5:$A$107,0)),"?"))</f>
        <v/>
      </c>
      <c r="P1136" s="11" t="inlineStr">
        <is>
          <t>N/A</t>
        </is>
      </c>
      <c r="Q1136" s="38" t="inlineStr">
        <is>
          <t>Sin marco TIMSS de contenido para esta asignatura en Bachillerato</t>
        </is>
      </c>
      <c r="R1136" s="38" t="inlineStr">
        <is>
          <t>Conocer: ubicar glándulas. Aplicar: representar la retroalimentación. Razonar: justificar medidas de prevención</t>
        </is>
      </c>
      <c r="S1136" s="39">
        <f>IFERROR(ISNUMBER(SEARCH("Conocer",$R1136))/(ISNUMBER(SEARCH("Conocer",$R1136))+ISNUMBER(SEARCH("Aplicar",$R1136))+ISNUMBER(SEARCH("Razonar",$R1136))),0)</f>
        <v/>
      </c>
      <c r="T1136" s="39">
        <f>IFERROR(ISNUMBER(SEARCH("Aplicar",$R1136))/(ISNUMBER(SEARCH("Conocer",$R1136))+ISNUMBER(SEARCH("Aplicar",$R1136))+ISNUMBER(SEARCH("Razonar",$R1136))),0)</f>
        <v/>
      </c>
      <c r="U1136" s="39">
        <f>IFERROR(ISNUMBER(SEARCH("Razonar",$R1136))/(ISNUMBER(SEARCH("Conocer",$R1136))+ISNUMBER(SEARCH("Aplicar",$R1136))+ISNUMBER(SEARCH("Razonar",$R1136))),0)</f>
        <v/>
      </c>
      <c r="V1136" s="11" t="inlineStr">
        <is>
          <t>Biología 10°</t>
        </is>
      </c>
      <c r="W1136" s="11" t="inlineStr">
        <is>
          <t>Biología 10°–11°</t>
        </is>
      </c>
      <c r="X1136" s="11">
        <f>IF(OR(IFERROR(INDEX('Datos - Catálogo TIMSS'!$I$5:$I$107,MATCH(K1136,'Datos - Catálogo TIMSS'!$A$5:$A$107,0)),"No")="Sí",IFERROR(INDEX('Datos - Catálogo TIMSS'!$I$5:$I$107,MATCH(L1136,'Datos - Catálogo TIMSS'!$A$5:$A$107,0)),"No")="Sí"),1,0)</f>
        <v/>
      </c>
      <c r="Y1136" s="11">
        <f>IF(IFERROR(INDEX('Datos - Catálogo TIMSS'!$J$5:$J$107,MATCH(K1136,'Datos - Catálogo TIMSS'!$A$5:$A$107,0)),"No")="Sí",1,0)</f>
        <v/>
      </c>
      <c r="Z1136" s="11">
        <f>IF(IFERROR(INDEX('Datos - Catálogo TIMSS'!$J$5:$J$107,MATCH(L1136,'Datos - Catálogo TIMSS'!$A$5:$A$107,0)),"No")="Sí",1,0)</f>
        <v/>
      </c>
      <c r="AA1136" s="11" t="inlineStr">
        <is>
          <t>N/A</t>
        </is>
      </c>
      <c r="AB1136" s="11" t="inlineStr"/>
      <c r="AC1136" s="11">
        <f>IF(AA1136="FUERA","Fuera del marco",IF(AA1136="N/A","Sin marco",IFERROR(INDEX('Datos - TIMSS 2023'!$C$5:$C$105,MATCH(AA1136,'Datos - TIMSS 2023'!$A$5:$A$105,0)),"Pendiente de clasificar")))</f>
        <v/>
      </c>
      <c r="AD1136" s="11" t="inlineStr">
        <is>
          <t>1. Explicar fenómenos científicamente</t>
        </is>
      </c>
      <c r="AE1136" s="11">
        <f>IF(AD1136="","",IF(LEFT(AD1136,1)="1","C1",IF(LEFT(AD1136,1)="2","C2",IF(LEFT(AD1136,1)="3","C3",""))))</f>
        <v/>
      </c>
      <c r="AF1136" s="11" t="inlineStr">
        <is>
          <t>E1</t>
        </is>
      </c>
      <c r="AG1136" s="11" t="inlineStr">
        <is>
          <t>D1</t>
        </is>
      </c>
      <c r="AH1136" s="11" t="inlineStr">
        <is>
          <t>E2</t>
        </is>
      </c>
      <c r="AI1136" s="11" t="inlineStr">
        <is>
          <t>E4</t>
        </is>
      </c>
      <c r="AJ1136" s="11" t="inlineStr">
        <is>
          <t>I5</t>
        </is>
      </c>
      <c r="AK1136" s="11" t="n"/>
      <c r="AL1136" s="11" t="n"/>
      <c r="AM1136" s="11" t="n"/>
      <c r="AN1136" s="11" t="n"/>
      <c r="AO1136" s="11" t="n"/>
      <c r="AP1136" s="11" t="n"/>
      <c r="AQ1136" s="11" t="n"/>
      <c r="AR1136" s="11" t="n"/>
      <c r="AS1136" s="11" t="n"/>
      <c r="AT1136" s="11" t="n"/>
      <c r="AU1136" s="11" t="n"/>
      <c r="AV1136" s="11" t="n"/>
      <c r="AW1136" s="11">
        <f>AF1136&amp;"; "&amp;AG1136&amp;"; "&amp;AH1136&amp;"; "&amp;AI1136&amp;"; "&amp;AJ1136</f>
        <v/>
      </c>
    </row>
    <row r="1137">
      <c r="A1137" s="11" t="inlineStr">
        <is>
          <t>T0035-G10-BIO</t>
        </is>
      </c>
      <c r="B1137" s="11" t="n">
        <v>10</v>
      </c>
      <c r="C1137" s="11" t="inlineStr">
        <is>
          <t>Biología</t>
        </is>
      </c>
      <c r="D1137" s="11" t="inlineStr">
        <is>
          <t>Matriz_Bachillerato_Biologia_10_11.xlsx</t>
        </is>
      </c>
      <c r="E1137" s="11" t="inlineStr">
        <is>
          <t>Biología 10.°</t>
        </is>
      </c>
      <c r="F1137" s="11" t="n">
        <v>37</v>
      </c>
      <c r="G1137" s="11" t="inlineStr">
        <is>
          <t>3. Anatomía y fisiología humana</t>
        </is>
      </c>
      <c r="H1137" s="11" t="inlineStr">
        <is>
          <t>Respuesta endocrina</t>
        </is>
      </c>
      <c r="I1137" s="38" t="inlineStr">
        <is>
          <t>3.9. Determinación de las respuestas a corto y largo plazo de las glándulas endocrinas ante estímulos del entorno.</t>
        </is>
      </c>
      <c r="J1137" s="11" t="inlineStr">
        <is>
          <t>Sin marco</t>
        </is>
      </c>
      <c r="K1137" s="11" t="inlineStr">
        <is>
          <t>N/A</t>
        </is>
      </c>
      <c r="L1137" s="11" t="inlineStr"/>
      <c r="M1137" s="11">
        <f>IF(K1137="FUERA","Fuera del marco",IF(K1137="N/A","Sin marco",IFERROR(INDEX('Datos - Catálogo TIMSS'!$C$5:$C$107,MATCH(K1137,'Datos - Catálogo TIMSS'!$A$5:$A$107,0)),"Pendiente de clasificar")))</f>
        <v/>
      </c>
      <c r="N1137" s="11">
        <f>IF(K1137="FUERA","Fuera del marco",IF(K1137="N/A","Sin marco",IFERROR(INDEX('Datos - Catálogo TIMSS'!$F$5:$F$107,MATCH(K1137,'Datos - Catálogo TIMSS'!$A$5:$A$107,0)),"Pendiente de clasificar")))</f>
        <v/>
      </c>
      <c r="O1137" s="11">
        <f>IF(L1137="","",IFERROR(INDEX('Datos - Catálogo TIMSS'!$C$5:$C$107,MATCH(L1137,'Datos - Catálogo TIMSS'!$A$5:$A$107,0)),"?"))</f>
        <v/>
      </c>
      <c r="P1137" s="11" t="inlineStr">
        <is>
          <t>N/A</t>
        </is>
      </c>
      <c r="Q1137" s="38" t="inlineStr">
        <is>
          <t>Sin marco TIMSS de contenido para esta asignatura en Bachillerato</t>
        </is>
      </c>
      <c r="R1137" s="38" t="inlineStr">
        <is>
          <t>Aplicar: comparar respuestas. Razonar: evaluar fuentes y relacionar estímulo y respuesta</t>
        </is>
      </c>
      <c r="S1137" s="39">
        <f>IFERROR(ISNUMBER(SEARCH("Conocer",$R1137))/(ISNUMBER(SEARCH("Conocer",$R1137))+ISNUMBER(SEARCH("Aplicar",$R1137))+ISNUMBER(SEARCH("Razonar",$R1137))),0)</f>
        <v/>
      </c>
      <c r="T1137" s="39">
        <f>IFERROR(ISNUMBER(SEARCH("Aplicar",$R1137))/(ISNUMBER(SEARCH("Conocer",$R1137))+ISNUMBER(SEARCH("Aplicar",$R1137))+ISNUMBER(SEARCH("Razonar",$R1137))),0)</f>
        <v/>
      </c>
      <c r="U1137" s="39">
        <f>IFERROR(ISNUMBER(SEARCH("Razonar",$R1137))/(ISNUMBER(SEARCH("Conocer",$R1137))+ISNUMBER(SEARCH("Aplicar",$R1137))+ISNUMBER(SEARCH("Razonar",$R1137))),0)</f>
        <v/>
      </c>
      <c r="V1137" s="11" t="inlineStr">
        <is>
          <t>Biología 10°</t>
        </is>
      </c>
      <c r="W1137" s="11" t="inlineStr">
        <is>
          <t>Biología 10°–11°</t>
        </is>
      </c>
      <c r="X1137" s="11">
        <f>IF(OR(IFERROR(INDEX('Datos - Catálogo TIMSS'!$I$5:$I$107,MATCH(K1137,'Datos - Catálogo TIMSS'!$A$5:$A$107,0)),"No")="Sí",IFERROR(INDEX('Datos - Catálogo TIMSS'!$I$5:$I$107,MATCH(L1137,'Datos - Catálogo TIMSS'!$A$5:$A$107,0)),"No")="Sí"),1,0)</f>
        <v/>
      </c>
      <c r="Y1137" s="11">
        <f>IF(IFERROR(INDEX('Datos - Catálogo TIMSS'!$J$5:$J$107,MATCH(K1137,'Datos - Catálogo TIMSS'!$A$5:$A$107,0)),"No")="Sí",1,0)</f>
        <v/>
      </c>
      <c r="Z1137" s="11">
        <f>IF(IFERROR(INDEX('Datos - Catálogo TIMSS'!$J$5:$J$107,MATCH(L1137,'Datos - Catálogo TIMSS'!$A$5:$A$107,0)),"No")="Sí",1,0)</f>
        <v/>
      </c>
      <c r="AA1137" s="11" t="inlineStr">
        <is>
          <t>N/A</t>
        </is>
      </c>
      <c r="AB1137" s="11" t="inlineStr"/>
      <c r="AC1137" s="11">
        <f>IF(AA1137="FUERA","Fuera del marco",IF(AA1137="N/A","Sin marco",IFERROR(INDEX('Datos - TIMSS 2023'!$C$5:$C$105,MATCH(AA1137,'Datos - TIMSS 2023'!$A$5:$A$105,0)),"Pendiente de clasificar")))</f>
        <v/>
      </c>
      <c r="AD1137" s="11" t="inlineStr">
        <is>
          <t>3. Investigar, evaluar y usar información científica para tomar decisiones y actuar</t>
        </is>
      </c>
      <c r="AE1137" s="11">
        <f>IF(AD1137="","",IF(LEFT(AD1137,1)="1","C1",IF(LEFT(AD1137,1)="2","C2",IF(LEFT(AD1137,1)="3","C3",""))))</f>
        <v/>
      </c>
      <c r="AF1137" s="11" t="inlineStr">
        <is>
          <t>E1</t>
        </is>
      </c>
      <c r="AG1137" s="11" t="inlineStr">
        <is>
          <t>D1</t>
        </is>
      </c>
      <c r="AH1137" s="11" t="inlineStr">
        <is>
          <t>E1</t>
        </is>
      </c>
      <c r="AI1137" s="11" t="inlineStr">
        <is>
          <t>I1</t>
        </is>
      </c>
      <c r="AJ1137" s="11" t="inlineStr">
        <is>
          <t>I2</t>
        </is>
      </c>
      <c r="AK1137" s="11" t="n"/>
      <c r="AL1137" s="11" t="n"/>
      <c r="AM1137" s="11" t="n"/>
      <c r="AN1137" s="11" t="n"/>
      <c r="AO1137" s="11" t="n"/>
      <c r="AP1137" s="11" t="n"/>
      <c r="AQ1137" s="11" t="n"/>
      <c r="AR1137" s="11" t="n"/>
      <c r="AS1137" s="11" t="n"/>
      <c r="AT1137" s="11" t="n"/>
      <c r="AU1137" s="11" t="n"/>
      <c r="AV1137" s="11" t="n"/>
      <c r="AW1137" s="11">
        <f>AF1137&amp;"; "&amp;AG1137&amp;"; "&amp;AH1137&amp;"; "&amp;AI1137&amp;"; "&amp;AJ1137</f>
        <v/>
      </c>
    </row>
    <row r="1138">
      <c r="A1138" s="11" t="inlineStr">
        <is>
          <t>T0036-G10-BIO</t>
        </is>
      </c>
      <c r="B1138" s="11" t="n">
        <v>10</v>
      </c>
      <c r="C1138" s="11" t="inlineStr">
        <is>
          <t>Biología</t>
        </is>
      </c>
      <c r="D1138" s="11" t="inlineStr">
        <is>
          <t>Matriz_Bachillerato_Biologia_10_11.xlsx</t>
        </is>
      </c>
      <c r="E1138" s="11" t="inlineStr">
        <is>
          <t>Biología 10.°</t>
        </is>
      </c>
      <c r="F1138" s="11" t="n">
        <v>38</v>
      </c>
      <c r="G1138" s="11" t="inlineStr">
        <is>
          <t>3. Anatomía y fisiología humana</t>
        </is>
      </c>
      <c r="H1138" s="11" t="inlineStr">
        <is>
          <t>Sistema inmunitario</t>
        </is>
      </c>
      <c r="I1138" s="38" t="inlineStr">
        <is>
          <t>3.10. Reconocimiento de los componentes y líneas de defensa del sistema inmunitario con relación a la respuesta innata y adaptativa.</t>
        </is>
      </c>
      <c r="J1138" s="11" t="inlineStr">
        <is>
          <t>Sin marco</t>
        </is>
      </c>
      <c r="K1138" s="11" t="inlineStr">
        <is>
          <t>N/A</t>
        </is>
      </c>
      <c r="L1138" s="11" t="inlineStr"/>
      <c r="M1138" s="11">
        <f>IF(K1138="FUERA","Fuera del marco",IF(K1138="N/A","Sin marco",IFERROR(INDEX('Datos - Catálogo TIMSS'!$C$5:$C$107,MATCH(K1138,'Datos - Catálogo TIMSS'!$A$5:$A$107,0)),"Pendiente de clasificar")))</f>
        <v/>
      </c>
      <c r="N1138" s="11">
        <f>IF(K1138="FUERA","Fuera del marco",IF(K1138="N/A","Sin marco",IFERROR(INDEX('Datos - Catálogo TIMSS'!$F$5:$F$107,MATCH(K1138,'Datos - Catálogo TIMSS'!$A$5:$A$107,0)),"Pendiente de clasificar")))</f>
        <v/>
      </c>
      <c r="O1138" s="11">
        <f>IF(L1138="","",IFERROR(INDEX('Datos - Catálogo TIMSS'!$C$5:$C$107,MATCH(L1138,'Datos - Catálogo TIMSS'!$A$5:$A$107,0)),"?"))</f>
        <v/>
      </c>
      <c r="P1138" s="11" t="inlineStr">
        <is>
          <t>N/A</t>
        </is>
      </c>
      <c r="Q1138" s="38" t="inlineStr">
        <is>
          <t>Sin marco TIMSS de contenido para esta asignatura en Bachillerato</t>
        </is>
      </c>
      <c r="R1138" s="38" t="inlineStr">
        <is>
          <t>Conocer: identificar componentes. Aplicar: interpretar una gráfica. Razonar: argumentar con evidencia</t>
        </is>
      </c>
      <c r="S1138" s="39">
        <f>IFERROR(ISNUMBER(SEARCH("Conocer",$R1138))/(ISNUMBER(SEARCH("Conocer",$R1138))+ISNUMBER(SEARCH("Aplicar",$R1138))+ISNUMBER(SEARCH("Razonar",$R1138))),0)</f>
        <v/>
      </c>
      <c r="T1138" s="39">
        <f>IFERROR(ISNUMBER(SEARCH("Aplicar",$R1138))/(ISNUMBER(SEARCH("Conocer",$R1138))+ISNUMBER(SEARCH("Aplicar",$R1138))+ISNUMBER(SEARCH("Razonar",$R1138))),0)</f>
        <v/>
      </c>
      <c r="U1138" s="39">
        <f>IFERROR(ISNUMBER(SEARCH("Razonar",$R1138))/(ISNUMBER(SEARCH("Conocer",$R1138))+ISNUMBER(SEARCH("Aplicar",$R1138))+ISNUMBER(SEARCH("Razonar",$R1138))),0)</f>
        <v/>
      </c>
      <c r="V1138" s="11" t="inlineStr">
        <is>
          <t>Biología 10°</t>
        </is>
      </c>
      <c r="W1138" s="11" t="inlineStr">
        <is>
          <t>Biología 10°–11°</t>
        </is>
      </c>
      <c r="X1138" s="11">
        <f>IF(OR(IFERROR(INDEX('Datos - Catálogo TIMSS'!$I$5:$I$107,MATCH(K1138,'Datos - Catálogo TIMSS'!$A$5:$A$107,0)),"No")="Sí",IFERROR(INDEX('Datos - Catálogo TIMSS'!$I$5:$I$107,MATCH(L1138,'Datos - Catálogo TIMSS'!$A$5:$A$107,0)),"No")="Sí"),1,0)</f>
        <v/>
      </c>
      <c r="Y1138" s="11">
        <f>IF(IFERROR(INDEX('Datos - Catálogo TIMSS'!$J$5:$J$107,MATCH(K1138,'Datos - Catálogo TIMSS'!$A$5:$A$107,0)),"No")="Sí",1,0)</f>
        <v/>
      </c>
      <c r="Z1138" s="11">
        <f>IF(IFERROR(INDEX('Datos - Catálogo TIMSS'!$J$5:$J$107,MATCH(L1138,'Datos - Catálogo TIMSS'!$A$5:$A$107,0)),"No")="Sí",1,0)</f>
        <v/>
      </c>
      <c r="AA1138" s="11" t="inlineStr">
        <is>
          <t>N/A</t>
        </is>
      </c>
      <c r="AB1138" s="11" t="inlineStr"/>
      <c r="AC1138" s="11">
        <f>IF(AA1138="FUERA","Fuera del marco",IF(AA1138="N/A","Sin marco",IFERROR(INDEX('Datos - TIMSS 2023'!$C$5:$C$105,MATCH(AA1138,'Datos - TIMSS 2023'!$A$5:$A$105,0)),"Pendiente de clasificar")))</f>
        <v/>
      </c>
      <c r="AD1138" s="11" t="inlineStr">
        <is>
          <t>1. Explicar fenómenos científicamente</t>
        </is>
      </c>
      <c r="AE1138" s="11">
        <f>IF(AD1138="","",IF(LEFT(AD1138,1)="1","C1",IF(LEFT(AD1138,1)="2","C2",IF(LEFT(AD1138,1)="3","C3",""))))</f>
        <v/>
      </c>
      <c r="AF1138" s="11" t="inlineStr">
        <is>
          <t>E6</t>
        </is>
      </c>
      <c r="AG1138" s="11" t="inlineStr">
        <is>
          <t>D1</t>
        </is>
      </c>
      <c r="AH1138" s="11" t="inlineStr">
        <is>
          <t>E2</t>
        </is>
      </c>
      <c r="AI1138" s="11" t="inlineStr">
        <is>
          <t>E4</t>
        </is>
      </c>
      <c r="AJ1138" s="11" t="inlineStr">
        <is>
          <t>I4</t>
        </is>
      </c>
      <c r="AK1138" s="11" t="n"/>
      <c r="AL1138" s="11" t="n"/>
      <c r="AM1138" s="11" t="n"/>
      <c r="AN1138" s="11" t="n"/>
      <c r="AO1138" s="11" t="n"/>
      <c r="AP1138" s="11" t="n"/>
      <c r="AQ1138" s="11" t="n"/>
      <c r="AR1138" s="11" t="n"/>
      <c r="AS1138" s="11" t="n"/>
      <c r="AT1138" s="11" t="n"/>
      <c r="AU1138" s="11" t="n"/>
      <c r="AV1138" s="11" t="n"/>
      <c r="AW1138" s="11">
        <f>AF1138&amp;"; "&amp;AG1138&amp;"; "&amp;AH1138&amp;"; "&amp;AI1138&amp;"; "&amp;AJ1138</f>
        <v/>
      </c>
    </row>
    <row r="1139">
      <c r="A1139" s="11" t="inlineStr">
        <is>
          <t>T0037-G10-BIO</t>
        </is>
      </c>
      <c r="B1139" s="11" t="n">
        <v>10</v>
      </c>
      <c r="C1139" s="11" t="inlineStr">
        <is>
          <t>Biología</t>
        </is>
      </c>
      <c r="D1139" s="11" t="inlineStr">
        <is>
          <t>Matriz_Bachillerato_Biologia_10_11.xlsx</t>
        </is>
      </c>
      <c r="E1139" s="11" t="inlineStr">
        <is>
          <t>Biología 10.°</t>
        </is>
      </c>
      <c r="F1139" s="11" t="n">
        <v>39</v>
      </c>
      <c r="G1139" s="11" t="inlineStr">
        <is>
          <t>3. Anatomía y fisiología humana</t>
        </is>
      </c>
      <c r="H1139" s="11" t="inlineStr">
        <is>
          <t>Sistema inmunitario</t>
        </is>
      </c>
      <c r="I1139" s="38" t="inlineStr">
        <is>
          <t>3.11. Exploración de los impactos del estrés y del sueño en las respuestas inmunitarias.</t>
        </is>
      </c>
      <c r="J1139" s="11" t="inlineStr">
        <is>
          <t>Sin marco</t>
        </is>
      </c>
      <c r="K1139" s="11" t="inlineStr">
        <is>
          <t>N/A</t>
        </is>
      </c>
      <c r="L1139" s="11" t="inlineStr"/>
      <c r="M1139" s="11">
        <f>IF(K1139="FUERA","Fuera del marco",IF(K1139="N/A","Sin marco",IFERROR(INDEX('Datos - Catálogo TIMSS'!$C$5:$C$107,MATCH(K1139,'Datos - Catálogo TIMSS'!$A$5:$A$107,0)),"Pendiente de clasificar")))</f>
        <v/>
      </c>
      <c r="N1139" s="11">
        <f>IF(K1139="FUERA","Fuera del marco",IF(K1139="N/A","Sin marco",IFERROR(INDEX('Datos - Catálogo TIMSS'!$F$5:$F$107,MATCH(K1139,'Datos - Catálogo TIMSS'!$A$5:$A$107,0)),"Pendiente de clasificar")))</f>
        <v/>
      </c>
      <c r="O1139" s="11">
        <f>IF(L1139="","",IFERROR(INDEX('Datos - Catálogo TIMSS'!$C$5:$C$107,MATCH(L1139,'Datos - Catálogo TIMSS'!$A$5:$A$107,0)),"?"))</f>
        <v/>
      </c>
      <c r="P1139" s="11" t="inlineStr">
        <is>
          <t>N/A</t>
        </is>
      </c>
      <c r="Q1139" s="38" t="inlineStr">
        <is>
          <t>Sin marco TIMSS de contenido para esta asignatura en Bachillerato</t>
        </is>
      </c>
      <c r="R1139" s="38" t="inlineStr">
        <is>
          <t>Aplicar: interpretar datos publicados. Razonar: justificar decisiones de autocuidado</t>
        </is>
      </c>
      <c r="S1139" s="39">
        <f>IFERROR(ISNUMBER(SEARCH("Conocer",$R1139))/(ISNUMBER(SEARCH("Conocer",$R1139))+ISNUMBER(SEARCH("Aplicar",$R1139))+ISNUMBER(SEARCH("Razonar",$R1139))),0)</f>
        <v/>
      </c>
      <c r="T1139" s="39">
        <f>IFERROR(ISNUMBER(SEARCH("Aplicar",$R1139))/(ISNUMBER(SEARCH("Conocer",$R1139))+ISNUMBER(SEARCH("Aplicar",$R1139))+ISNUMBER(SEARCH("Razonar",$R1139))),0)</f>
        <v/>
      </c>
      <c r="U1139" s="39">
        <f>IFERROR(ISNUMBER(SEARCH("Razonar",$R1139))/(ISNUMBER(SEARCH("Conocer",$R1139))+ISNUMBER(SEARCH("Aplicar",$R1139))+ISNUMBER(SEARCH("Razonar",$R1139))),0)</f>
        <v/>
      </c>
      <c r="V1139" s="11" t="inlineStr">
        <is>
          <t>Biología 10°</t>
        </is>
      </c>
      <c r="W1139" s="11" t="inlineStr">
        <is>
          <t>Biología 10°–11°</t>
        </is>
      </c>
      <c r="X1139" s="11">
        <f>IF(OR(IFERROR(INDEX('Datos - Catálogo TIMSS'!$I$5:$I$107,MATCH(K1139,'Datos - Catálogo TIMSS'!$A$5:$A$107,0)),"No")="Sí",IFERROR(INDEX('Datos - Catálogo TIMSS'!$I$5:$I$107,MATCH(L1139,'Datos - Catálogo TIMSS'!$A$5:$A$107,0)),"No")="Sí"),1,0)</f>
        <v/>
      </c>
      <c r="Y1139" s="11">
        <f>IF(IFERROR(INDEX('Datos - Catálogo TIMSS'!$J$5:$J$107,MATCH(K1139,'Datos - Catálogo TIMSS'!$A$5:$A$107,0)),"No")="Sí",1,0)</f>
        <v/>
      </c>
      <c r="Z1139" s="11">
        <f>IF(IFERROR(INDEX('Datos - Catálogo TIMSS'!$J$5:$J$107,MATCH(L1139,'Datos - Catálogo TIMSS'!$A$5:$A$107,0)),"No")="Sí",1,0)</f>
        <v/>
      </c>
      <c r="AA1139" s="11" t="inlineStr">
        <is>
          <t>N/A</t>
        </is>
      </c>
      <c r="AB1139" s="11" t="inlineStr"/>
      <c r="AC1139" s="11">
        <f>IF(AA1139="FUERA","Fuera del marco",IF(AA1139="N/A","Sin marco",IFERROR(INDEX('Datos - TIMSS 2023'!$C$5:$C$105,MATCH(AA1139,'Datos - TIMSS 2023'!$A$5:$A$105,0)),"Pendiente de clasificar")))</f>
        <v/>
      </c>
      <c r="AD1139" s="11" t="inlineStr">
        <is>
          <t>3. Investigar, evaluar y usar información científica para tomar decisiones y actuar</t>
        </is>
      </c>
      <c r="AE1139" s="11">
        <f>IF(AD1139="","",IF(LEFT(AD1139,1)="1","C1",IF(LEFT(AD1139,1)="2","C2",IF(LEFT(AD1139,1)="3","C3",""))))</f>
        <v/>
      </c>
      <c r="AF1139" s="11" t="inlineStr">
        <is>
          <t>E6</t>
        </is>
      </c>
      <c r="AG1139" s="11" t="inlineStr">
        <is>
          <t>E5</t>
        </is>
      </c>
      <c r="AH1139" s="11" t="inlineStr">
        <is>
          <t>E1</t>
        </is>
      </c>
      <c r="AI1139" s="11" t="inlineStr">
        <is>
          <t>D4</t>
        </is>
      </c>
      <c r="AJ1139" s="11" t="inlineStr">
        <is>
          <t>I5</t>
        </is>
      </c>
      <c r="AK1139" s="11" t="n"/>
      <c r="AL1139" s="11" t="n"/>
      <c r="AM1139" s="11" t="n"/>
      <c r="AN1139" s="11" t="n"/>
      <c r="AO1139" s="11" t="n"/>
      <c r="AP1139" s="11" t="n"/>
      <c r="AQ1139" s="11" t="n"/>
      <c r="AR1139" s="11" t="n"/>
      <c r="AS1139" s="11" t="n"/>
      <c r="AT1139" s="11" t="n"/>
      <c r="AU1139" s="11" t="n"/>
      <c r="AV1139" s="11" t="n"/>
      <c r="AW1139" s="11">
        <f>AF1139&amp;"; "&amp;AG1139&amp;"; "&amp;AH1139&amp;"; "&amp;AI1139&amp;"; "&amp;AJ1139</f>
        <v/>
      </c>
    </row>
    <row r="1140">
      <c r="A1140" s="11" t="inlineStr">
        <is>
          <t>T0038-G10-BIO</t>
        </is>
      </c>
      <c r="B1140" s="11" t="n">
        <v>10</v>
      </c>
      <c r="C1140" s="11" t="inlineStr">
        <is>
          <t>Biología</t>
        </is>
      </c>
      <c r="D1140" s="11" t="inlineStr">
        <is>
          <t>Matriz_Bachillerato_Biologia_10_11.xlsx</t>
        </is>
      </c>
      <c r="E1140" s="11" t="inlineStr">
        <is>
          <t>Biología 10.°</t>
        </is>
      </c>
      <c r="F1140" s="11" t="n">
        <v>40</v>
      </c>
      <c r="G1140" s="11" t="inlineStr">
        <is>
          <t>3. Anatomía y fisiología humana</t>
        </is>
      </c>
      <c r="H1140" s="11" t="inlineStr">
        <is>
          <t>Sistema inmunitario</t>
        </is>
      </c>
      <c r="I1140" s="38" t="inlineStr">
        <is>
          <t>3.12. Investigación de las enfermedades que afectan el sistema inmunitario y sus consecuencias.</t>
        </is>
      </c>
      <c r="J1140" s="11" t="inlineStr">
        <is>
          <t>Sin marco</t>
        </is>
      </c>
      <c r="K1140" s="11" t="inlineStr">
        <is>
          <t>N/A</t>
        </is>
      </c>
      <c r="L1140" s="11" t="inlineStr"/>
      <c r="M1140" s="11">
        <f>IF(K1140="FUERA","Fuera del marco",IF(K1140="N/A","Sin marco",IFERROR(INDEX('Datos - Catálogo TIMSS'!$C$5:$C$107,MATCH(K1140,'Datos - Catálogo TIMSS'!$A$5:$A$107,0)),"Pendiente de clasificar")))</f>
        <v/>
      </c>
      <c r="N1140" s="11">
        <f>IF(K1140="FUERA","Fuera del marco",IF(K1140="N/A","Sin marco",IFERROR(INDEX('Datos - Catálogo TIMSS'!$F$5:$F$107,MATCH(K1140,'Datos - Catálogo TIMSS'!$A$5:$A$107,0)),"Pendiente de clasificar")))</f>
        <v/>
      </c>
      <c r="O1140" s="11">
        <f>IF(L1140="","",IFERROR(INDEX('Datos - Catálogo TIMSS'!$C$5:$C$107,MATCH(L1140,'Datos - Catálogo TIMSS'!$A$5:$A$107,0)),"?"))</f>
        <v/>
      </c>
      <c r="P1140" s="11" t="inlineStr">
        <is>
          <t>N/A</t>
        </is>
      </c>
      <c r="Q1140" s="38" t="inlineStr">
        <is>
          <t>Sin marco TIMSS de contenido para esta asignatura en Bachillerato</t>
        </is>
      </c>
      <c r="R1140" s="38" t="inlineStr">
        <is>
          <t>Conocer: clasificar enfermedades. Aplicar: interpretar datos oficiales. Razonar: argumentar medidas de prevención</t>
        </is>
      </c>
      <c r="S1140" s="39">
        <f>IFERROR(ISNUMBER(SEARCH("Conocer",$R1140))/(ISNUMBER(SEARCH("Conocer",$R1140))+ISNUMBER(SEARCH("Aplicar",$R1140))+ISNUMBER(SEARCH("Razonar",$R1140))),0)</f>
        <v/>
      </c>
      <c r="T1140" s="39">
        <f>IFERROR(ISNUMBER(SEARCH("Aplicar",$R1140))/(ISNUMBER(SEARCH("Conocer",$R1140))+ISNUMBER(SEARCH("Aplicar",$R1140))+ISNUMBER(SEARCH("Razonar",$R1140))),0)</f>
        <v/>
      </c>
      <c r="U1140" s="39">
        <f>IFERROR(ISNUMBER(SEARCH("Razonar",$R1140))/(ISNUMBER(SEARCH("Conocer",$R1140))+ISNUMBER(SEARCH("Aplicar",$R1140))+ISNUMBER(SEARCH("Razonar",$R1140))),0)</f>
        <v/>
      </c>
      <c r="V1140" s="11" t="inlineStr">
        <is>
          <t>Biología 10°</t>
        </is>
      </c>
      <c r="W1140" s="11" t="inlineStr">
        <is>
          <t>Biología 10°–11°</t>
        </is>
      </c>
      <c r="X1140" s="11">
        <f>IF(OR(IFERROR(INDEX('Datos - Catálogo TIMSS'!$I$5:$I$107,MATCH(K1140,'Datos - Catálogo TIMSS'!$A$5:$A$107,0)),"No")="Sí",IFERROR(INDEX('Datos - Catálogo TIMSS'!$I$5:$I$107,MATCH(L1140,'Datos - Catálogo TIMSS'!$A$5:$A$107,0)),"No")="Sí"),1,0)</f>
        <v/>
      </c>
      <c r="Y1140" s="11">
        <f>IF(IFERROR(INDEX('Datos - Catálogo TIMSS'!$J$5:$J$107,MATCH(K1140,'Datos - Catálogo TIMSS'!$A$5:$A$107,0)),"No")="Sí",1,0)</f>
        <v/>
      </c>
      <c r="Z1140" s="11">
        <f>IF(IFERROR(INDEX('Datos - Catálogo TIMSS'!$J$5:$J$107,MATCH(L1140,'Datos - Catálogo TIMSS'!$A$5:$A$107,0)),"No")="Sí",1,0)</f>
        <v/>
      </c>
      <c r="AA1140" s="11" t="inlineStr">
        <is>
          <t>N/A</t>
        </is>
      </c>
      <c r="AB1140" s="11" t="inlineStr"/>
      <c r="AC1140" s="11">
        <f>IF(AA1140="FUERA","Fuera del marco",IF(AA1140="N/A","Sin marco",IFERROR(INDEX('Datos - TIMSS 2023'!$C$5:$C$105,MATCH(AA1140,'Datos - TIMSS 2023'!$A$5:$A$105,0)),"Pendiente de clasificar")))</f>
        <v/>
      </c>
      <c r="AD1140" s="11" t="inlineStr">
        <is>
          <t>3. Investigar, evaluar y usar información científica para tomar decisiones y actuar</t>
        </is>
      </c>
      <c r="AE1140" s="11">
        <f>IF(AD1140="","",IF(LEFT(AD1140,1)="1","C1",IF(LEFT(AD1140,1)="2","C2",IF(LEFT(AD1140,1)="3","C3",""))))</f>
        <v/>
      </c>
      <c r="AF1140" s="11" t="inlineStr">
        <is>
          <t>E1</t>
        </is>
      </c>
      <c r="AG1140" s="11" t="inlineStr">
        <is>
          <t>D1</t>
        </is>
      </c>
      <c r="AH1140" s="11" t="inlineStr">
        <is>
          <t>E2</t>
        </is>
      </c>
      <c r="AI1140" s="11" t="inlineStr">
        <is>
          <t>I3</t>
        </is>
      </c>
      <c r="AJ1140" s="11" t="inlineStr">
        <is>
          <t>E6</t>
        </is>
      </c>
      <c r="AK1140" s="11" t="n"/>
      <c r="AL1140" s="11" t="n"/>
      <c r="AM1140" s="11" t="n"/>
      <c r="AN1140" s="11" t="n"/>
      <c r="AO1140" s="11" t="n"/>
      <c r="AP1140" s="11" t="n"/>
      <c r="AQ1140" s="11" t="n"/>
      <c r="AR1140" s="11" t="n"/>
      <c r="AS1140" s="11" t="n"/>
      <c r="AT1140" s="11" t="n"/>
      <c r="AU1140" s="11" t="n"/>
      <c r="AV1140" s="11" t="n"/>
      <c r="AW1140" s="11">
        <f>AF1140&amp;"; "&amp;AG1140&amp;"; "&amp;AH1140&amp;"; "&amp;AI1140&amp;"; "&amp;AJ1140</f>
        <v/>
      </c>
    </row>
    <row r="1141">
      <c r="A1141" s="11" t="inlineStr">
        <is>
          <t>T0039-G10-BIO</t>
        </is>
      </c>
      <c r="B1141" s="11" t="n">
        <v>10</v>
      </c>
      <c r="C1141" s="11" t="inlineStr">
        <is>
          <t>Biología</t>
        </is>
      </c>
      <c r="D1141" s="11" t="inlineStr">
        <is>
          <t>Matriz_Bachillerato_Biologia_10_11.xlsx</t>
        </is>
      </c>
      <c r="E1141" s="11" t="inlineStr">
        <is>
          <t>Biología 10.°</t>
        </is>
      </c>
      <c r="F1141" s="11" t="n">
        <v>41</v>
      </c>
      <c r="G1141" s="11" t="inlineStr">
        <is>
          <t>4. Genética moderna</t>
        </is>
      </c>
      <c r="H1141" s="11" t="inlineStr">
        <is>
          <t>Herencia no mendeliana</t>
        </is>
      </c>
      <c r="I1141" s="38" t="inlineStr">
        <is>
          <t>4.1. Resolución de cruzamientos con dominancia incompleta y codominancia a partir de proporciones fenotípicas observadas.</t>
        </is>
      </c>
      <c r="J1141" s="11" t="inlineStr">
        <is>
          <t>Sin marco</t>
        </is>
      </c>
      <c r="K1141" s="11" t="inlineStr">
        <is>
          <t>N/A</t>
        </is>
      </c>
      <c r="L1141" s="11" t="inlineStr"/>
      <c r="M1141" s="11">
        <f>IF(K1141="FUERA","Fuera del marco",IF(K1141="N/A","Sin marco",IFERROR(INDEX('Datos - Catálogo TIMSS'!$C$5:$C$107,MATCH(K1141,'Datos - Catálogo TIMSS'!$A$5:$A$107,0)),"Pendiente de clasificar")))</f>
        <v/>
      </c>
      <c r="N1141" s="11">
        <f>IF(K1141="FUERA","Fuera del marco",IF(K1141="N/A","Sin marco",IFERROR(INDEX('Datos - Catálogo TIMSS'!$F$5:$F$107,MATCH(K1141,'Datos - Catálogo TIMSS'!$A$5:$A$107,0)),"Pendiente de clasificar")))</f>
        <v/>
      </c>
      <c r="O1141" s="11">
        <f>IF(L1141="","",IFERROR(INDEX('Datos - Catálogo TIMSS'!$C$5:$C$107,MATCH(L1141,'Datos - Catálogo TIMSS'!$A$5:$A$107,0)),"?"))</f>
        <v/>
      </c>
      <c r="P1141" s="11" t="inlineStr">
        <is>
          <t>N/A</t>
        </is>
      </c>
      <c r="Q1141" s="38" t="inlineStr">
        <is>
          <t>Sin marco TIMSS de contenido para esta asignatura en Bachillerato</t>
        </is>
      </c>
      <c r="R1141" s="38" t="inlineStr">
        <is>
          <t>Aplicar: resolver cruzamientos y calcular proporciones. Razonar: distinguir patrones de herencia</t>
        </is>
      </c>
      <c r="S1141" s="39">
        <f>IFERROR(ISNUMBER(SEARCH("Conocer",$R1141))/(ISNUMBER(SEARCH("Conocer",$R1141))+ISNUMBER(SEARCH("Aplicar",$R1141))+ISNUMBER(SEARCH("Razonar",$R1141))),0)</f>
        <v/>
      </c>
      <c r="T1141" s="39">
        <f>IFERROR(ISNUMBER(SEARCH("Aplicar",$R1141))/(ISNUMBER(SEARCH("Conocer",$R1141))+ISNUMBER(SEARCH("Aplicar",$R1141))+ISNUMBER(SEARCH("Razonar",$R1141))),0)</f>
        <v/>
      </c>
      <c r="U1141" s="39">
        <f>IFERROR(ISNUMBER(SEARCH("Razonar",$R1141))/(ISNUMBER(SEARCH("Conocer",$R1141))+ISNUMBER(SEARCH("Aplicar",$R1141))+ISNUMBER(SEARCH("Razonar",$R1141))),0)</f>
        <v/>
      </c>
      <c r="V1141" s="11" t="inlineStr">
        <is>
          <t>Biología 10°</t>
        </is>
      </c>
      <c r="W1141" s="11" t="inlineStr">
        <is>
          <t>Biología 10°–11°</t>
        </is>
      </c>
      <c r="X1141" s="11">
        <f>IF(OR(IFERROR(INDEX('Datos - Catálogo TIMSS'!$I$5:$I$107,MATCH(K1141,'Datos - Catálogo TIMSS'!$A$5:$A$107,0)),"No")="Sí",IFERROR(INDEX('Datos - Catálogo TIMSS'!$I$5:$I$107,MATCH(L1141,'Datos - Catálogo TIMSS'!$A$5:$A$107,0)),"No")="Sí"),1,0)</f>
        <v/>
      </c>
      <c r="Y1141" s="11">
        <f>IF(IFERROR(INDEX('Datos - Catálogo TIMSS'!$J$5:$J$107,MATCH(K1141,'Datos - Catálogo TIMSS'!$A$5:$A$107,0)),"No")="Sí",1,0)</f>
        <v/>
      </c>
      <c r="Z1141" s="11">
        <f>IF(IFERROR(INDEX('Datos - Catálogo TIMSS'!$J$5:$J$107,MATCH(L1141,'Datos - Catálogo TIMSS'!$A$5:$A$107,0)),"No")="Sí",1,0)</f>
        <v/>
      </c>
      <c r="AA1141" s="11" t="inlineStr">
        <is>
          <t>N/A</t>
        </is>
      </c>
      <c r="AB1141" s="11" t="inlineStr"/>
      <c r="AC1141" s="11">
        <f>IF(AA1141="FUERA","Fuera del marco",IF(AA1141="N/A","Sin marco",IFERROR(INDEX('Datos - TIMSS 2023'!$C$5:$C$105,MATCH(AA1141,'Datos - TIMSS 2023'!$A$5:$A$105,0)),"Pendiente de clasificar")))</f>
        <v/>
      </c>
      <c r="AD1141" s="11" t="inlineStr">
        <is>
          <t>1. Explicar fenómenos científicamente</t>
        </is>
      </c>
      <c r="AE1141" s="11">
        <f>IF(AD1141="","",IF(LEFT(AD1141,1)="1","C1",IF(LEFT(AD1141,1)="2","C2",IF(LEFT(AD1141,1)="3","C3",""))))</f>
        <v/>
      </c>
      <c r="AF1141" s="11" t="inlineStr">
        <is>
          <t>E1</t>
        </is>
      </c>
      <c r="AG1141" s="11" t="inlineStr">
        <is>
          <t>D1</t>
        </is>
      </c>
      <c r="AH1141" s="11" t="inlineStr">
        <is>
          <t>E2</t>
        </is>
      </c>
      <c r="AI1141" s="11" t="inlineStr">
        <is>
          <t>D4</t>
        </is>
      </c>
      <c r="AJ1141" s="11" t="inlineStr">
        <is>
          <t>E3</t>
        </is>
      </c>
      <c r="AK1141" s="11" t="n"/>
      <c r="AL1141" s="11" t="n"/>
      <c r="AM1141" s="11" t="n"/>
      <c r="AN1141" s="11" t="n"/>
      <c r="AO1141" s="11" t="n"/>
      <c r="AP1141" s="11" t="n"/>
      <c r="AQ1141" s="11" t="n"/>
      <c r="AR1141" s="11" t="n"/>
      <c r="AS1141" s="11" t="n"/>
      <c r="AT1141" s="11" t="n"/>
      <c r="AU1141" s="11" t="n"/>
      <c r="AV1141" s="11" t="n"/>
      <c r="AW1141" s="11">
        <f>AF1141&amp;"; "&amp;AG1141&amp;"; "&amp;AH1141&amp;"; "&amp;AI1141&amp;"; "&amp;AJ1141</f>
        <v/>
      </c>
    </row>
    <row r="1142">
      <c r="A1142" s="11" t="inlineStr">
        <is>
          <t>T0040-G10-BIO</t>
        </is>
      </c>
      <c r="B1142" s="11" t="n">
        <v>10</v>
      </c>
      <c r="C1142" s="11" t="inlineStr">
        <is>
          <t>Biología</t>
        </is>
      </c>
      <c r="D1142" s="11" t="inlineStr">
        <is>
          <t>Matriz_Bachillerato_Biologia_10_11.xlsx</t>
        </is>
      </c>
      <c r="E1142" s="11" t="inlineStr">
        <is>
          <t>Biología 10.°</t>
        </is>
      </c>
      <c r="F1142" s="11" t="n">
        <v>42</v>
      </c>
      <c r="G1142" s="11" t="inlineStr">
        <is>
          <t>4. Genética moderna</t>
        </is>
      </c>
      <c r="H1142" s="11" t="inlineStr">
        <is>
          <t>Herencia no mendeliana</t>
        </is>
      </c>
      <c r="I1142" s="38" t="inlineStr">
        <is>
          <t>4.2. Análisis de la herencia de los grupos sanguíneos ABO y Rh como ejemplo de alelos múltiples y codominancia.</t>
        </is>
      </c>
      <c r="J1142" s="11" t="inlineStr">
        <is>
          <t>Sin marco</t>
        </is>
      </c>
      <c r="K1142" s="11" t="inlineStr">
        <is>
          <t>N/A</t>
        </is>
      </c>
      <c r="L1142" s="11" t="inlineStr"/>
      <c r="M1142" s="11">
        <f>IF(K1142="FUERA","Fuera del marco",IF(K1142="N/A","Sin marco",IFERROR(INDEX('Datos - Catálogo TIMSS'!$C$5:$C$107,MATCH(K1142,'Datos - Catálogo TIMSS'!$A$5:$A$107,0)),"Pendiente de clasificar")))</f>
        <v/>
      </c>
      <c r="N1142" s="11">
        <f>IF(K1142="FUERA","Fuera del marco",IF(K1142="N/A","Sin marco",IFERROR(INDEX('Datos - Catálogo TIMSS'!$F$5:$F$107,MATCH(K1142,'Datos - Catálogo TIMSS'!$A$5:$A$107,0)),"Pendiente de clasificar")))</f>
        <v/>
      </c>
      <c r="O1142" s="11">
        <f>IF(L1142="","",IFERROR(INDEX('Datos - Catálogo TIMSS'!$C$5:$C$107,MATCH(L1142,'Datos - Catálogo TIMSS'!$A$5:$A$107,0)),"?"))</f>
        <v/>
      </c>
      <c r="P1142" s="11" t="inlineStr">
        <is>
          <t>N/A</t>
        </is>
      </c>
      <c r="Q1142" s="38" t="inlineStr">
        <is>
          <t>Sin marco TIMSS de contenido para esta asignatura en Bachillerato</t>
        </is>
      </c>
      <c r="R1142" s="38" t="inlineStr">
        <is>
          <t>Aplicar: determinar genotipos y fenotipos. Razonar: justificar la compatibilidad sanguínea</t>
        </is>
      </c>
      <c r="S1142" s="39">
        <f>IFERROR(ISNUMBER(SEARCH("Conocer",$R1142))/(ISNUMBER(SEARCH("Conocer",$R1142))+ISNUMBER(SEARCH("Aplicar",$R1142))+ISNUMBER(SEARCH("Razonar",$R1142))),0)</f>
        <v/>
      </c>
      <c r="T1142" s="39">
        <f>IFERROR(ISNUMBER(SEARCH("Aplicar",$R1142))/(ISNUMBER(SEARCH("Conocer",$R1142))+ISNUMBER(SEARCH("Aplicar",$R1142))+ISNUMBER(SEARCH("Razonar",$R1142))),0)</f>
        <v/>
      </c>
      <c r="U1142" s="39">
        <f>IFERROR(ISNUMBER(SEARCH("Razonar",$R1142))/(ISNUMBER(SEARCH("Conocer",$R1142))+ISNUMBER(SEARCH("Aplicar",$R1142))+ISNUMBER(SEARCH("Razonar",$R1142))),0)</f>
        <v/>
      </c>
      <c r="V1142" s="11" t="inlineStr">
        <is>
          <t>Biología 10°</t>
        </is>
      </c>
      <c r="W1142" s="11" t="inlineStr">
        <is>
          <t>Biología 10°–11°</t>
        </is>
      </c>
      <c r="X1142" s="11">
        <f>IF(OR(IFERROR(INDEX('Datos - Catálogo TIMSS'!$I$5:$I$107,MATCH(K1142,'Datos - Catálogo TIMSS'!$A$5:$A$107,0)),"No")="Sí",IFERROR(INDEX('Datos - Catálogo TIMSS'!$I$5:$I$107,MATCH(L1142,'Datos - Catálogo TIMSS'!$A$5:$A$107,0)),"No")="Sí"),1,0)</f>
        <v/>
      </c>
      <c r="Y1142" s="11">
        <f>IF(IFERROR(INDEX('Datos - Catálogo TIMSS'!$J$5:$J$107,MATCH(K1142,'Datos - Catálogo TIMSS'!$A$5:$A$107,0)),"No")="Sí",1,0)</f>
        <v/>
      </c>
      <c r="Z1142" s="11">
        <f>IF(IFERROR(INDEX('Datos - Catálogo TIMSS'!$J$5:$J$107,MATCH(L1142,'Datos - Catálogo TIMSS'!$A$5:$A$107,0)),"No")="Sí",1,0)</f>
        <v/>
      </c>
      <c r="AA1142" s="11" t="inlineStr">
        <is>
          <t>N/A</t>
        </is>
      </c>
      <c r="AB1142" s="11" t="inlineStr"/>
      <c r="AC1142" s="11">
        <f>IF(AA1142="FUERA","Fuera del marco",IF(AA1142="N/A","Sin marco",IFERROR(INDEX('Datos - TIMSS 2023'!$C$5:$C$105,MATCH(AA1142,'Datos - TIMSS 2023'!$A$5:$A$105,0)),"Pendiente de clasificar")))</f>
        <v/>
      </c>
      <c r="AD1142" s="11" t="inlineStr">
        <is>
          <t>1. Explicar fenómenos científicamente</t>
        </is>
      </c>
      <c r="AE1142" s="11">
        <f>IF(AD1142="","",IF(LEFT(AD1142,1)="1","C1",IF(LEFT(AD1142,1)="2","C2",IF(LEFT(AD1142,1)="3","C3",""))))</f>
        <v/>
      </c>
      <c r="AF1142" s="11" t="inlineStr">
        <is>
          <t>E6</t>
        </is>
      </c>
      <c r="AG1142" s="11" t="inlineStr">
        <is>
          <t>E5</t>
        </is>
      </c>
      <c r="AH1142" s="11" t="inlineStr">
        <is>
          <t>E1</t>
        </is>
      </c>
      <c r="AI1142" s="11" t="inlineStr">
        <is>
          <t>D4</t>
        </is>
      </c>
      <c r="AJ1142" s="11" t="inlineStr">
        <is>
          <t>I5</t>
        </is>
      </c>
      <c r="AK1142" s="11" t="n"/>
      <c r="AL1142" s="11" t="n"/>
      <c r="AM1142" s="11" t="n"/>
      <c r="AN1142" s="11" t="n"/>
      <c r="AO1142" s="11" t="n"/>
      <c r="AP1142" s="11" t="n"/>
      <c r="AQ1142" s="11" t="n"/>
      <c r="AR1142" s="11" t="n"/>
      <c r="AS1142" s="11" t="n"/>
      <c r="AT1142" s="11" t="n"/>
      <c r="AU1142" s="11" t="n"/>
      <c r="AV1142" s="11" t="n"/>
      <c r="AW1142" s="11">
        <f>AF1142&amp;"; "&amp;AG1142&amp;"; "&amp;AH1142&amp;"; "&amp;AI1142&amp;"; "&amp;AJ1142</f>
        <v/>
      </c>
    </row>
    <row r="1143">
      <c r="A1143" s="11" t="inlineStr">
        <is>
          <t>T0041-G10-BIO</t>
        </is>
      </c>
      <c r="B1143" s="11" t="n">
        <v>10</v>
      </c>
      <c r="C1143" s="11" t="inlineStr">
        <is>
          <t>Biología</t>
        </is>
      </c>
      <c r="D1143" s="11" t="inlineStr">
        <is>
          <t>Matriz_Bachillerato_Biologia_10_11.xlsx</t>
        </is>
      </c>
      <c r="E1143" s="11" t="inlineStr">
        <is>
          <t>Biología 10.°</t>
        </is>
      </c>
      <c r="F1143" s="11" t="n">
        <v>43</v>
      </c>
      <c r="G1143" s="11" t="inlineStr">
        <is>
          <t>4. Genética moderna</t>
        </is>
      </c>
      <c r="H1143" s="11" t="inlineStr">
        <is>
          <t>Herencia ligada al sexo</t>
        </is>
      </c>
      <c r="I1143" s="38" t="inlineStr">
        <is>
          <t>4.3. Resolución de problemas de herencia de rasgos ligados al cromosoma X en casos humanos y en Drosophila melanogaster.</t>
        </is>
      </c>
      <c r="J1143" s="11" t="inlineStr">
        <is>
          <t>Sin marco</t>
        </is>
      </c>
      <c r="K1143" s="11" t="inlineStr">
        <is>
          <t>N/A</t>
        </is>
      </c>
      <c r="L1143" s="11" t="inlineStr"/>
      <c r="M1143" s="11">
        <f>IF(K1143="FUERA","Fuera del marco",IF(K1143="N/A","Sin marco",IFERROR(INDEX('Datos - Catálogo TIMSS'!$C$5:$C$107,MATCH(K1143,'Datos - Catálogo TIMSS'!$A$5:$A$107,0)),"Pendiente de clasificar")))</f>
        <v/>
      </c>
      <c r="N1143" s="11">
        <f>IF(K1143="FUERA","Fuera del marco",IF(K1143="N/A","Sin marco",IFERROR(INDEX('Datos - Catálogo TIMSS'!$F$5:$F$107,MATCH(K1143,'Datos - Catálogo TIMSS'!$A$5:$A$107,0)),"Pendiente de clasificar")))</f>
        <v/>
      </c>
      <c r="O1143" s="11">
        <f>IF(L1143="","",IFERROR(INDEX('Datos - Catálogo TIMSS'!$C$5:$C$107,MATCH(L1143,'Datos - Catálogo TIMSS'!$A$5:$A$107,0)),"?"))</f>
        <v/>
      </c>
      <c r="P1143" s="11" t="inlineStr">
        <is>
          <t>N/A</t>
        </is>
      </c>
      <c r="Q1143" s="38" t="inlineStr">
        <is>
          <t>Sin marco TIMSS de contenido para esta asignatura en Bachillerato</t>
        </is>
      </c>
      <c r="R1143" s="38" t="inlineStr">
        <is>
          <t>Aplicar: resolver cruzamientos ligados al sexo. Razonar: explicar diferencias de frecuencia entre sexos</t>
        </is>
      </c>
      <c r="S1143" s="39">
        <f>IFERROR(ISNUMBER(SEARCH("Conocer",$R1143))/(ISNUMBER(SEARCH("Conocer",$R1143))+ISNUMBER(SEARCH("Aplicar",$R1143))+ISNUMBER(SEARCH("Razonar",$R1143))),0)</f>
        <v/>
      </c>
      <c r="T1143" s="39">
        <f>IFERROR(ISNUMBER(SEARCH("Aplicar",$R1143))/(ISNUMBER(SEARCH("Conocer",$R1143))+ISNUMBER(SEARCH("Aplicar",$R1143))+ISNUMBER(SEARCH("Razonar",$R1143))),0)</f>
        <v/>
      </c>
      <c r="U1143" s="39">
        <f>IFERROR(ISNUMBER(SEARCH("Razonar",$R1143))/(ISNUMBER(SEARCH("Conocer",$R1143))+ISNUMBER(SEARCH("Aplicar",$R1143))+ISNUMBER(SEARCH("Razonar",$R1143))),0)</f>
        <v/>
      </c>
      <c r="V1143" s="11" t="inlineStr">
        <is>
          <t>Biología 10°</t>
        </is>
      </c>
      <c r="W1143" s="11" t="inlineStr">
        <is>
          <t>Biología 10°–11°</t>
        </is>
      </c>
      <c r="X1143" s="11">
        <f>IF(OR(IFERROR(INDEX('Datos - Catálogo TIMSS'!$I$5:$I$107,MATCH(K1143,'Datos - Catálogo TIMSS'!$A$5:$A$107,0)),"No")="Sí",IFERROR(INDEX('Datos - Catálogo TIMSS'!$I$5:$I$107,MATCH(L1143,'Datos - Catálogo TIMSS'!$A$5:$A$107,0)),"No")="Sí"),1,0)</f>
        <v/>
      </c>
      <c r="Y1143" s="11">
        <f>IF(IFERROR(INDEX('Datos - Catálogo TIMSS'!$J$5:$J$107,MATCH(K1143,'Datos - Catálogo TIMSS'!$A$5:$A$107,0)),"No")="Sí",1,0)</f>
        <v/>
      </c>
      <c r="Z1143" s="11">
        <f>IF(IFERROR(INDEX('Datos - Catálogo TIMSS'!$J$5:$J$107,MATCH(L1143,'Datos - Catálogo TIMSS'!$A$5:$A$107,0)),"No")="Sí",1,0)</f>
        <v/>
      </c>
      <c r="AA1143" s="11" t="inlineStr">
        <is>
          <t>N/A</t>
        </is>
      </c>
      <c r="AB1143" s="11" t="inlineStr"/>
      <c r="AC1143" s="11">
        <f>IF(AA1143="FUERA","Fuera del marco",IF(AA1143="N/A","Sin marco",IFERROR(INDEX('Datos - TIMSS 2023'!$C$5:$C$105,MATCH(AA1143,'Datos - TIMSS 2023'!$A$5:$A$105,0)),"Pendiente de clasificar")))</f>
        <v/>
      </c>
      <c r="AD1143" s="11" t="inlineStr">
        <is>
          <t>1. Explicar fenómenos científicamente</t>
        </is>
      </c>
      <c r="AE1143" s="11">
        <f>IF(AD1143="","",IF(LEFT(AD1143,1)="1","C1",IF(LEFT(AD1143,1)="2","C2",IF(LEFT(AD1143,1)="3","C3",""))))</f>
        <v/>
      </c>
      <c r="AF1143" s="11" t="inlineStr">
        <is>
          <t>E1</t>
        </is>
      </c>
      <c r="AG1143" s="11" t="inlineStr">
        <is>
          <t>D1</t>
        </is>
      </c>
      <c r="AH1143" s="11" t="inlineStr">
        <is>
          <t>E2</t>
        </is>
      </c>
      <c r="AI1143" s="11" t="inlineStr">
        <is>
          <t>D4</t>
        </is>
      </c>
      <c r="AJ1143" s="11" t="inlineStr">
        <is>
          <t>E3</t>
        </is>
      </c>
      <c r="AK1143" s="11" t="n"/>
      <c r="AL1143" s="11" t="n"/>
      <c r="AM1143" s="11" t="n"/>
      <c r="AN1143" s="11" t="n"/>
      <c r="AO1143" s="11" t="n"/>
      <c r="AP1143" s="11" t="n"/>
      <c r="AQ1143" s="11" t="n"/>
      <c r="AR1143" s="11" t="n"/>
      <c r="AS1143" s="11" t="n"/>
      <c r="AT1143" s="11" t="n"/>
      <c r="AU1143" s="11" t="n"/>
      <c r="AV1143" s="11" t="n"/>
      <c r="AW1143" s="11">
        <f>AF1143&amp;"; "&amp;AG1143&amp;"; "&amp;AH1143&amp;"; "&amp;AI1143&amp;"; "&amp;AJ1143</f>
        <v/>
      </c>
    </row>
    <row r="1144">
      <c r="A1144" s="11" t="inlineStr">
        <is>
          <t>T0042-G10-BIO</t>
        </is>
      </c>
      <c r="B1144" s="11" t="n">
        <v>10</v>
      </c>
      <c r="C1144" s="11" t="inlineStr">
        <is>
          <t>Biología</t>
        </is>
      </c>
      <c r="D1144" s="11" t="inlineStr">
        <is>
          <t>Matriz_Bachillerato_Biologia_10_11.xlsx</t>
        </is>
      </c>
      <c r="E1144" s="11" t="inlineStr">
        <is>
          <t>Biología 10.°</t>
        </is>
      </c>
      <c r="F1144" s="11" t="n">
        <v>44</v>
      </c>
      <c r="G1144" s="11" t="inlineStr">
        <is>
          <t>4. Genética moderna</t>
        </is>
      </c>
      <c r="H1144" s="11" t="inlineStr">
        <is>
          <t>Análisis de genealogías</t>
        </is>
      </c>
      <c r="I1144" s="38" t="inlineStr">
        <is>
          <t>4.4. Interpretación de genealogías publicadas o ficticias para inferir el modo de herencia de un rasgo.</t>
        </is>
      </c>
      <c r="J1144" s="11" t="inlineStr">
        <is>
          <t>Sin marco</t>
        </is>
      </c>
      <c r="K1144" s="11" t="inlineStr">
        <is>
          <t>N/A</t>
        </is>
      </c>
      <c r="L1144" s="11" t="inlineStr"/>
      <c r="M1144" s="11">
        <f>IF(K1144="FUERA","Fuera del marco",IF(K1144="N/A","Sin marco",IFERROR(INDEX('Datos - Catálogo TIMSS'!$C$5:$C$107,MATCH(K1144,'Datos - Catálogo TIMSS'!$A$5:$A$107,0)),"Pendiente de clasificar")))</f>
        <v/>
      </c>
      <c r="N1144" s="11">
        <f>IF(K1144="FUERA","Fuera del marco",IF(K1144="N/A","Sin marco",IFERROR(INDEX('Datos - Catálogo TIMSS'!$F$5:$F$107,MATCH(K1144,'Datos - Catálogo TIMSS'!$A$5:$A$107,0)),"Pendiente de clasificar")))</f>
        <v/>
      </c>
      <c r="O1144" s="11">
        <f>IF(L1144="","",IFERROR(INDEX('Datos - Catálogo TIMSS'!$C$5:$C$107,MATCH(L1144,'Datos - Catálogo TIMSS'!$A$5:$A$107,0)),"?"))</f>
        <v/>
      </c>
      <c r="P1144" s="11" t="inlineStr">
        <is>
          <t>N/A</t>
        </is>
      </c>
      <c r="Q1144" s="38" t="inlineStr">
        <is>
          <t>Sin marco TIMSS de contenido para esta asignatura en Bachillerato</t>
        </is>
      </c>
      <c r="R1144" s="38" t="inlineStr">
        <is>
          <t>Aplicar: construir e interpretar pedigríes. Razonar: descartar hipótesis de herencia con evidencia</t>
        </is>
      </c>
      <c r="S1144" s="39">
        <f>IFERROR(ISNUMBER(SEARCH("Conocer",$R1144))/(ISNUMBER(SEARCH("Conocer",$R1144))+ISNUMBER(SEARCH("Aplicar",$R1144))+ISNUMBER(SEARCH("Razonar",$R1144))),0)</f>
        <v/>
      </c>
      <c r="T1144" s="39">
        <f>IFERROR(ISNUMBER(SEARCH("Aplicar",$R1144))/(ISNUMBER(SEARCH("Conocer",$R1144))+ISNUMBER(SEARCH("Aplicar",$R1144))+ISNUMBER(SEARCH("Razonar",$R1144))),0)</f>
        <v/>
      </c>
      <c r="U1144" s="39">
        <f>IFERROR(ISNUMBER(SEARCH("Razonar",$R1144))/(ISNUMBER(SEARCH("Conocer",$R1144))+ISNUMBER(SEARCH("Aplicar",$R1144))+ISNUMBER(SEARCH("Razonar",$R1144))),0)</f>
        <v/>
      </c>
      <c r="V1144" s="11" t="inlineStr">
        <is>
          <t>Biología 10°</t>
        </is>
      </c>
      <c r="W1144" s="11" t="inlineStr">
        <is>
          <t>Biología 10°–11°</t>
        </is>
      </c>
      <c r="X1144" s="11">
        <f>IF(OR(IFERROR(INDEX('Datos - Catálogo TIMSS'!$I$5:$I$107,MATCH(K1144,'Datos - Catálogo TIMSS'!$A$5:$A$107,0)),"No")="Sí",IFERROR(INDEX('Datos - Catálogo TIMSS'!$I$5:$I$107,MATCH(L1144,'Datos - Catálogo TIMSS'!$A$5:$A$107,0)),"No")="Sí"),1,0)</f>
        <v/>
      </c>
      <c r="Y1144" s="11">
        <f>IF(IFERROR(INDEX('Datos - Catálogo TIMSS'!$J$5:$J$107,MATCH(K1144,'Datos - Catálogo TIMSS'!$A$5:$A$107,0)),"No")="Sí",1,0)</f>
        <v/>
      </c>
      <c r="Z1144" s="11">
        <f>IF(IFERROR(INDEX('Datos - Catálogo TIMSS'!$J$5:$J$107,MATCH(L1144,'Datos - Catálogo TIMSS'!$A$5:$A$107,0)),"No")="Sí",1,0)</f>
        <v/>
      </c>
      <c r="AA1144" s="11" t="inlineStr">
        <is>
          <t>N/A</t>
        </is>
      </c>
      <c r="AB1144" s="11" t="inlineStr"/>
      <c r="AC1144" s="11">
        <f>IF(AA1144="FUERA","Fuera del marco",IF(AA1144="N/A","Sin marco",IFERROR(INDEX('Datos - TIMSS 2023'!$C$5:$C$105,MATCH(AA1144,'Datos - TIMSS 2023'!$A$5:$A$105,0)),"Pendiente de clasificar")))</f>
        <v/>
      </c>
      <c r="AD1144" s="11" t="inlineStr">
        <is>
          <t>2. Construir y evaluar diseños para la indagación científica e interpretar datos y evidencia de forma crítica</t>
        </is>
      </c>
      <c r="AE1144" s="11">
        <f>IF(AD1144="","",IF(LEFT(AD1144,1)="1","C1",IF(LEFT(AD1144,1)="2","C2",IF(LEFT(AD1144,1)="3","C3",""))))</f>
        <v/>
      </c>
      <c r="AF1144" s="11" t="inlineStr">
        <is>
          <t>E1</t>
        </is>
      </c>
      <c r="AG1144" s="11" t="inlineStr">
        <is>
          <t>E3</t>
        </is>
      </c>
      <c r="AH1144" s="11" t="inlineStr">
        <is>
          <t>E2</t>
        </is>
      </c>
      <c r="AI1144" s="11" t="inlineStr">
        <is>
          <t>D4</t>
        </is>
      </c>
      <c r="AJ1144" s="11" t="inlineStr">
        <is>
          <t>D3</t>
        </is>
      </c>
      <c r="AK1144" s="11" t="n"/>
      <c r="AL1144" s="11" t="n"/>
      <c r="AM1144" s="11" t="n"/>
      <c r="AN1144" s="11" t="n"/>
      <c r="AO1144" s="11" t="n"/>
      <c r="AP1144" s="11" t="n"/>
      <c r="AQ1144" s="11" t="n"/>
      <c r="AR1144" s="11" t="n"/>
      <c r="AS1144" s="11" t="n"/>
      <c r="AT1144" s="11" t="n"/>
      <c r="AU1144" s="11" t="n"/>
      <c r="AV1144" s="11" t="n"/>
      <c r="AW1144" s="11">
        <f>AF1144&amp;"; "&amp;AG1144&amp;"; "&amp;AH1144&amp;"; "&amp;AI1144&amp;"; "&amp;AJ1144</f>
        <v/>
      </c>
    </row>
    <row r="1145">
      <c r="A1145" s="11" t="inlineStr">
        <is>
          <t>T0043-G10-BIO</t>
        </is>
      </c>
      <c r="B1145" s="11" t="n">
        <v>10</v>
      </c>
      <c r="C1145" s="11" t="inlineStr">
        <is>
          <t>Biología</t>
        </is>
      </c>
      <c r="D1145" s="11" t="inlineStr">
        <is>
          <t>Matriz_Bachillerato_Biologia_10_11.xlsx</t>
        </is>
      </c>
      <c r="E1145" s="11" t="inlineStr">
        <is>
          <t>Biología 10.°</t>
        </is>
      </c>
      <c r="F1145" s="11" t="n">
        <v>45</v>
      </c>
      <c r="G1145" s="11" t="inlineStr">
        <is>
          <t>4. Genética moderna</t>
        </is>
      </c>
      <c r="H1145" s="11" t="inlineStr">
        <is>
          <t>Teoría cromosómica de la herencia</t>
        </is>
      </c>
      <c r="I1145" s="38" t="inlineStr">
        <is>
          <t>4.5. Cálculo de frecuencias de recombinación entre genes ligados y construcción de mapas genéticos lineales.</t>
        </is>
      </c>
      <c r="J1145" s="11" t="inlineStr">
        <is>
          <t>Sin marco</t>
        </is>
      </c>
      <c r="K1145" s="11" t="inlineStr">
        <is>
          <t>N/A</t>
        </is>
      </c>
      <c r="L1145" s="11" t="inlineStr"/>
      <c r="M1145" s="11">
        <f>IF(K1145="FUERA","Fuera del marco",IF(K1145="N/A","Sin marco",IFERROR(INDEX('Datos - Catálogo TIMSS'!$C$5:$C$107,MATCH(K1145,'Datos - Catálogo TIMSS'!$A$5:$A$107,0)),"Pendiente de clasificar")))</f>
        <v/>
      </c>
      <c r="N1145" s="11">
        <f>IF(K1145="FUERA","Fuera del marco",IF(K1145="N/A","Sin marco",IFERROR(INDEX('Datos - Catálogo TIMSS'!$F$5:$F$107,MATCH(K1145,'Datos - Catálogo TIMSS'!$A$5:$A$107,0)),"Pendiente de clasificar")))</f>
        <v/>
      </c>
      <c r="O1145" s="11">
        <f>IF(L1145="","",IFERROR(INDEX('Datos - Catálogo TIMSS'!$C$5:$C$107,MATCH(L1145,'Datos - Catálogo TIMSS'!$A$5:$A$107,0)),"?"))</f>
        <v/>
      </c>
      <c r="P1145" s="11" t="inlineStr">
        <is>
          <t>N/A</t>
        </is>
      </c>
      <c r="Q1145" s="38" t="inlineStr">
        <is>
          <t>Sin marco TIMSS de contenido para esta asignatura en Bachillerato</t>
        </is>
      </c>
      <c r="R1145" s="38" t="inlineStr">
        <is>
          <t>Aplicar: calcular frecuencias de recombinación. Razonar: deducir el orden de genes ligados</t>
        </is>
      </c>
      <c r="S1145" s="39">
        <f>IFERROR(ISNUMBER(SEARCH("Conocer",$R1145))/(ISNUMBER(SEARCH("Conocer",$R1145))+ISNUMBER(SEARCH("Aplicar",$R1145))+ISNUMBER(SEARCH("Razonar",$R1145))),0)</f>
        <v/>
      </c>
      <c r="T1145" s="39">
        <f>IFERROR(ISNUMBER(SEARCH("Aplicar",$R1145))/(ISNUMBER(SEARCH("Conocer",$R1145))+ISNUMBER(SEARCH("Aplicar",$R1145))+ISNUMBER(SEARCH("Razonar",$R1145))),0)</f>
        <v/>
      </c>
      <c r="U1145" s="39">
        <f>IFERROR(ISNUMBER(SEARCH("Razonar",$R1145))/(ISNUMBER(SEARCH("Conocer",$R1145))+ISNUMBER(SEARCH("Aplicar",$R1145))+ISNUMBER(SEARCH("Razonar",$R1145))),0)</f>
        <v/>
      </c>
      <c r="V1145" s="11" t="inlineStr">
        <is>
          <t>Biología 10°</t>
        </is>
      </c>
      <c r="W1145" s="11" t="inlineStr">
        <is>
          <t>Biología 10°–11°</t>
        </is>
      </c>
      <c r="X1145" s="11">
        <f>IF(OR(IFERROR(INDEX('Datos - Catálogo TIMSS'!$I$5:$I$107,MATCH(K1145,'Datos - Catálogo TIMSS'!$A$5:$A$107,0)),"No")="Sí",IFERROR(INDEX('Datos - Catálogo TIMSS'!$I$5:$I$107,MATCH(L1145,'Datos - Catálogo TIMSS'!$A$5:$A$107,0)),"No")="Sí"),1,0)</f>
        <v/>
      </c>
      <c r="Y1145" s="11">
        <f>IF(IFERROR(INDEX('Datos - Catálogo TIMSS'!$J$5:$J$107,MATCH(K1145,'Datos - Catálogo TIMSS'!$A$5:$A$107,0)),"No")="Sí",1,0)</f>
        <v/>
      </c>
      <c r="Z1145" s="11">
        <f>IF(IFERROR(INDEX('Datos - Catálogo TIMSS'!$J$5:$J$107,MATCH(L1145,'Datos - Catálogo TIMSS'!$A$5:$A$107,0)),"No")="Sí",1,0)</f>
        <v/>
      </c>
      <c r="AA1145" s="11" t="inlineStr">
        <is>
          <t>N/A</t>
        </is>
      </c>
      <c r="AB1145" s="11" t="inlineStr"/>
      <c r="AC1145" s="11">
        <f>IF(AA1145="FUERA","Fuera del marco",IF(AA1145="N/A","Sin marco",IFERROR(INDEX('Datos - TIMSS 2023'!$C$5:$C$105,MATCH(AA1145,'Datos - TIMSS 2023'!$A$5:$A$105,0)),"Pendiente de clasificar")))</f>
        <v/>
      </c>
      <c r="AD1145" s="11" t="inlineStr">
        <is>
          <t>2. Construir y evaluar diseños para la indagación científica e interpretar datos y evidencia de forma crítica</t>
        </is>
      </c>
      <c r="AE1145" s="11">
        <f>IF(AD1145="","",IF(LEFT(AD1145,1)="1","C1",IF(LEFT(AD1145,1)="2","C2",IF(LEFT(AD1145,1)="3","C3",""))))</f>
        <v/>
      </c>
      <c r="AF1145" s="11" t="inlineStr">
        <is>
          <t>E1</t>
        </is>
      </c>
      <c r="AG1145" s="11" t="inlineStr">
        <is>
          <t>D1</t>
        </is>
      </c>
      <c r="AH1145" s="11" t="inlineStr">
        <is>
          <t>E4</t>
        </is>
      </c>
      <c r="AI1145" s="11" t="inlineStr">
        <is>
          <t>D4</t>
        </is>
      </c>
      <c r="AJ1145" s="11" t="inlineStr">
        <is>
          <t>E3</t>
        </is>
      </c>
      <c r="AK1145" s="11" t="n"/>
      <c r="AL1145" s="11" t="n"/>
      <c r="AM1145" s="11" t="n"/>
      <c r="AN1145" s="11" t="n"/>
      <c r="AO1145" s="11" t="n"/>
      <c r="AP1145" s="11" t="n"/>
      <c r="AQ1145" s="11" t="n"/>
      <c r="AR1145" s="11" t="n"/>
      <c r="AS1145" s="11" t="n"/>
      <c r="AT1145" s="11" t="n"/>
      <c r="AU1145" s="11" t="n"/>
      <c r="AV1145" s="11" t="n"/>
      <c r="AW1145" s="11">
        <f>AF1145&amp;"; "&amp;AG1145&amp;"; "&amp;AH1145&amp;"; "&amp;AI1145&amp;"; "&amp;AJ1145</f>
        <v/>
      </c>
    </row>
    <row r="1146">
      <c r="A1146" s="11" t="inlineStr">
        <is>
          <t>T0044-G10-BIO</t>
        </is>
      </c>
      <c r="B1146" s="11" t="n">
        <v>10</v>
      </c>
      <c r="C1146" s="11" t="inlineStr">
        <is>
          <t>Biología</t>
        </is>
      </c>
      <c r="D1146" s="11" t="inlineStr">
        <is>
          <t>Matriz_Bachillerato_Biologia_10_11.xlsx</t>
        </is>
      </c>
      <c r="E1146" s="11" t="inlineStr">
        <is>
          <t>Biología 10.°</t>
        </is>
      </c>
      <c r="F1146" s="11" t="n">
        <v>46</v>
      </c>
      <c r="G1146" s="11" t="inlineStr">
        <is>
          <t>4. Genética moderna</t>
        </is>
      </c>
      <c r="H1146" s="11" t="inlineStr">
        <is>
          <t>Genética humana</t>
        </is>
      </c>
      <c r="I1146" s="38" t="inlineStr">
        <is>
          <t>4.6. Análisis de cariotipos publicados y de casos ficticios de enfermedades hereditarias en el marco del consejo genético.</t>
        </is>
      </c>
      <c r="J1146" s="11" t="inlineStr">
        <is>
          <t>Sin marco</t>
        </is>
      </c>
      <c r="K1146" s="11" t="inlineStr">
        <is>
          <t>N/A</t>
        </is>
      </c>
      <c r="L1146" s="11" t="inlineStr"/>
      <c r="M1146" s="11">
        <f>IF(K1146="FUERA","Fuera del marco",IF(K1146="N/A","Sin marco",IFERROR(INDEX('Datos - Catálogo TIMSS'!$C$5:$C$107,MATCH(K1146,'Datos - Catálogo TIMSS'!$A$5:$A$107,0)),"Pendiente de clasificar")))</f>
        <v/>
      </c>
      <c r="N1146" s="11">
        <f>IF(K1146="FUERA","Fuera del marco",IF(K1146="N/A","Sin marco",IFERROR(INDEX('Datos - Catálogo TIMSS'!$F$5:$F$107,MATCH(K1146,'Datos - Catálogo TIMSS'!$A$5:$A$107,0)),"Pendiente de clasificar")))</f>
        <v/>
      </c>
      <c r="O1146" s="11">
        <f>IF(L1146="","",IFERROR(INDEX('Datos - Catálogo TIMSS'!$C$5:$C$107,MATCH(L1146,'Datos - Catálogo TIMSS'!$A$5:$A$107,0)),"?"))</f>
        <v/>
      </c>
      <c r="P1146" s="11" t="inlineStr">
        <is>
          <t>N/A</t>
        </is>
      </c>
      <c r="Q1146" s="38" t="inlineStr">
        <is>
          <t>Sin marco TIMSS de contenido para esta asignatura en Bachillerato</t>
        </is>
      </c>
      <c r="R1146" s="38" t="inlineStr">
        <is>
          <t>Conocer: identificar cromosomas. Aplicar: interpretar cariotipos. Razonar: argumentar decisiones de consejo genético</t>
        </is>
      </c>
      <c r="S1146" s="39">
        <f>IFERROR(ISNUMBER(SEARCH("Conocer",$R1146))/(ISNUMBER(SEARCH("Conocer",$R1146))+ISNUMBER(SEARCH("Aplicar",$R1146))+ISNUMBER(SEARCH("Razonar",$R1146))),0)</f>
        <v/>
      </c>
      <c r="T1146" s="39">
        <f>IFERROR(ISNUMBER(SEARCH("Aplicar",$R1146))/(ISNUMBER(SEARCH("Conocer",$R1146))+ISNUMBER(SEARCH("Aplicar",$R1146))+ISNUMBER(SEARCH("Razonar",$R1146))),0)</f>
        <v/>
      </c>
      <c r="U1146" s="39">
        <f>IFERROR(ISNUMBER(SEARCH("Razonar",$R1146))/(ISNUMBER(SEARCH("Conocer",$R1146))+ISNUMBER(SEARCH("Aplicar",$R1146))+ISNUMBER(SEARCH("Razonar",$R1146))),0)</f>
        <v/>
      </c>
      <c r="V1146" s="11" t="inlineStr">
        <is>
          <t>Biología 10°</t>
        </is>
      </c>
      <c r="W1146" s="11" t="inlineStr">
        <is>
          <t>Biología 10°–11°</t>
        </is>
      </c>
      <c r="X1146" s="11">
        <f>IF(OR(IFERROR(INDEX('Datos - Catálogo TIMSS'!$I$5:$I$107,MATCH(K1146,'Datos - Catálogo TIMSS'!$A$5:$A$107,0)),"No")="Sí",IFERROR(INDEX('Datos - Catálogo TIMSS'!$I$5:$I$107,MATCH(L1146,'Datos - Catálogo TIMSS'!$A$5:$A$107,0)),"No")="Sí"),1,0)</f>
        <v/>
      </c>
      <c r="Y1146" s="11">
        <f>IF(IFERROR(INDEX('Datos - Catálogo TIMSS'!$J$5:$J$107,MATCH(K1146,'Datos - Catálogo TIMSS'!$A$5:$A$107,0)),"No")="Sí",1,0)</f>
        <v/>
      </c>
      <c r="Z1146" s="11">
        <f>IF(IFERROR(INDEX('Datos - Catálogo TIMSS'!$J$5:$J$107,MATCH(L1146,'Datos - Catálogo TIMSS'!$A$5:$A$107,0)),"No")="Sí",1,0)</f>
        <v/>
      </c>
      <c r="AA1146" s="11" t="inlineStr">
        <is>
          <t>N/A</t>
        </is>
      </c>
      <c r="AB1146" s="11" t="inlineStr"/>
      <c r="AC1146" s="11">
        <f>IF(AA1146="FUERA","Fuera del marco",IF(AA1146="N/A","Sin marco",IFERROR(INDEX('Datos - TIMSS 2023'!$C$5:$C$105,MATCH(AA1146,'Datos - TIMSS 2023'!$A$5:$A$105,0)),"Pendiente de clasificar")))</f>
        <v/>
      </c>
      <c r="AD1146" s="11" t="inlineStr">
        <is>
          <t>1. Explicar fenómenos científicamente</t>
        </is>
      </c>
      <c r="AE1146" s="11">
        <f>IF(AD1146="","",IF(LEFT(AD1146,1)="1","C1",IF(LEFT(AD1146,1)="2","C2",IF(LEFT(AD1146,1)="3","C3",""))))</f>
        <v/>
      </c>
      <c r="AF1146" s="11" t="inlineStr">
        <is>
          <t>E6</t>
        </is>
      </c>
      <c r="AG1146" s="11" t="inlineStr">
        <is>
          <t>D1</t>
        </is>
      </c>
      <c r="AH1146" s="11" t="inlineStr">
        <is>
          <t>E2</t>
        </is>
      </c>
      <c r="AI1146" s="11" t="inlineStr">
        <is>
          <t>I3</t>
        </is>
      </c>
      <c r="AJ1146" s="11" t="inlineStr">
        <is>
          <t>I5</t>
        </is>
      </c>
      <c r="AK1146" s="11" t="n"/>
      <c r="AL1146" s="11" t="n"/>
      <c r="AM1146" s="11" t="n"/>
      <c r="AN1146" s="11" t="n"/>
      <c r="AO1146" s="11" t="n"/>
      <c r="AP1146" s="11" t="n"/>
      <c r="AQ1146" s="11" t="n"/>
      <c r="AR1146" s="11" t="n"/>
      <c r="AS1146" s="11" t="n"/>
      <c r="AT1146" s="11" t="n"/>
      <c r="AU1146" s="11" t="n"/>
      <c r="AV1146" s="11" t="n"/>
      <c r="AW1146" s="11">
        <f>AF1146&amp;"; "&amp;AG1146&amp;"; "&amp;AH1146&amp;"; "&amp;AI1146&amp;"; "&amp;AJ1146</f>
        <v/>
      </c>
    </row>
    <row r="1147">
      <c r="A1147" s="11" t="inlineStr">
        <is>
          <t>T0045-G10-BIO</t>
        </is>
      </c>
      <c r="B1147" s="11" t="n">
        <v>10</v>
      </c>
      <c r="C1147" s="11" t="inlineStr">
        <is>
          <t>Biología</t>
        </is>
      </c>
      <c r="D1147" s="11" t="inlineStr">
        <is>
          <t>Matriz_Bachillerato_Biologia_10_11.xlsx</t>
        </is>
      </c>
      <c r="E1147" s="11" t="inlineStr">
        <is>
          <t>Biología 10.°</t>
        </is>
      </c>
      <c r="F1147" s="11" t="n">
        <v>47</v>
      </c>
      <c r="G1147" s="11" t="inlineStr">
        <is>
          <t>4. Genética moderna</t>
        </is>
      </c>
      <c r="H1147" s="11" t="inlineStr">
        <is>
          <t>Genómica</t>
        </is>
      </c>
      <c r="I1147" s="38" t="inlineStr">
        <is>
          <t>4.7. Discusión de los alcances del Proyecto Genoma Humano y de las implicaciones éticas, legales y sociales de la genómica.</t>
        </is>
      </c>
      <c r="J1147" s="11" t="inlineStr">
        <is>
          <t>Sin marco</t>
        </is>
      </c>
      <c r="K1147" s="11" t="inlineStr">
        <is>
          <t>N/A</t>
        </is>
      </c>
      <c r="L1147" s="11" t="inlineStr"/>
      <c r="M1147" s="11">
        <f>IF(K1147="FUERA","Fuera del marco",IF(K1147="N/A","Sin marco",IFERROR(INDEX('Datos - Catálogo TIMSS'!$C$5:$C$107,MATCH(K1147,'Datos - Catálogo TIMSS'!$A$5:$A$107,0)),"Pendiente de clasificar")))</f>
        <v/>
      </c>
      <c r="N1147" s="11">
        <f>IF(K1147="FUERA","Fuera del marco",IF(K1147="N/A","Sin marco",IFERROR(INDEX('Datos - Catálogo TIMSS'!$F$5:$F$107,MATCH(K1147,'Datos - Catálogo TIMSS'!$A$5:$A$107,0)),"Pendiente de clasificar")))</f>
        <v/>
      </c>
      <c r="O1147" s="11">
        <f>IF(L1147="","",IFERROR(INDEX('Datos - Catálogo TIMSS'!$C$5:$C$107,MATCH(L1147,'Datos - Catálogo TIMSS'!$A$5:$A$107,0)),"?"))</f>
        <v/>
      </c>
      <c r="P1147" s="11" t="inlineStr">
        <is>
          <t>N/A</t>
        </is>
      </c>
      <c r="Q1147" s="38" t="inlineStr">
        <is>
          <t>Sin marco TIMSS de contenido para esta asignatura en Bachillerato</t>
        </is>
      </c>
      <c r="R1147" s="38" t="inlineStr">
        <is>
          <t>Conocer: describir la genómica. Razonar: evaluar implicaciones éticas y sociales</t>
        </is>
      </c>
      <c r="S1147" s="39">
        <f>IFERROR(ISNUMBER(SEARCH("Conocer",$R1147))/(ISNUMBER(SEARCH("Conocer",$R1147))+ISNUMBER(SEARCH("Aplicar",$R1147))+ISNUMBER(SEARCH("Razonar",$R1147))),0)</f>
        <v/>
      </c>
      <c r="T1147" s="39">
        <f>IFERROR(ISNUMBER(SEARCH("Aplicar",$R1147))/(ISNUMBER(SEARCH("Conocer",$R1147))+ISNUMBER(SEARCH("Aplicar",$R1147))+ISNUMBER(SEARCH("Razonar",$R1147))),0)</f>
        <v/>
      </c>
      <c r="U1147" s="39">
        <f>IFERROR(ISNUMBER(SEARCH("Razonar",$R1147))/(ISNUMBER(SEARCH("Conocer",$R1147))+ISNUMBER(SEARCH("Aplicar",$R1147))+ISNUMBER(SEARCH("Razonar",$R1147))),0)</f>
        <v/>
      </c>
      <c r="V1147" s="11" t="inlineStr">
        <is>
          <t>Biología 10°</t>
        </is>
      </c>
      <c r="W1147" s="11" t="inlineStr">
        <is>
          <t>Biología 10°–11°</t>
        </is>
      </c>
      <c r="X1147" s="11">
        <f>IF(OR(IFERROR(INDEX('Datos - Catálogo TIMSS'!$I$5:$I$107,MATCH(K1147,'Datos - Catálogo TIMSS'!$A$5:$A$107,0)),"No")="Sí",IFERROR(INDEX('Datos - Catálogo TIMSS'!$I$5:$I$107,MATCH(L1147,'Datos - Catálogo TIMSS'!$A$5:$A$107,0)),"No")="Sí"),1,0)</f>
        <v/>
      </c>
      <c r="Y1147" s="11">
        <f>IF(IFERROR(INDEX('Datos - Catálogo TIMSS'!$J$5:$J$107,MATCH(K1147,'Datos - Catálogo TIMSS'!$A$5:$A$107,0)),"No")="Sí",1,0)</f>
        <v/>
      </c>
      <c r="Z1147" s="11">
        <f>IF(IFERROR(INDEX('Datos - Catálogo TIMSS'!$J$5:$J$107,MATCH(L1147,'Datos - Catálogo TIMSS'!$A$5:$A$107,0)),"No")="Sí",1,0)</f>
        <v/>
      </c>
      <c r="AA1147" s="11" t="inlineStr">
        <is>
          <t>N/A</t>
        </is>
      </c>
      <c r="AB1147" s="11" t="inlineStr"/>
      <c r="AC1147" s="11">
        <f>IF(AA1147="FUERA","Fuera del marco",IF(AA1147="N/A","Sin marco",IFERROR(INDEX('Datos - TIMSS 2023'!$C$5:$C$105,MATCH(AA1147,'Datos - TIMSS 2023'!$A$5:$A$105,0)),"Pendiente de clasificar")))</f>
        <v/>
      </c>
      <c r="AD1147" s="11" t="inlineStr">
        <is>
          <t>3. Investigar, evaluar y usar información científica para tomar decisiones y actuar</t>
        </is>
      </c>
      <c r="AE1147" s="11">
        <f>IF(AD1147="","",IF(LEFT(AD1147,1)="1","C1",IF(LEFT(AD1147,1)="2","C2",IF(LEFT(AD1147,1)="3","C3",""))))</f>
        <v/>
      </c>
      <c r="AF1147" s="11" t="inlineStr">
        <is>
          <t>E1</t>
        </is>
      </c>
      <c r="AG1147" s="11" t="inlineStr">
        <is>
          <t>E3</t>
        </is>
      </c>
      <c r="AH1147" s="11" t="inlineStr">
        <is>
          <t>E1</t>
        </is>
      </c>
      <c r="AI1147" s="11" t="inlineStr">
        <is>
          <t>I2</t>
        </is>
      </c>
      <c r="AJ1147" s="11" t="inlineStr">
        <is>
          <t>I4</t>
        </is>
      </c>
      <c r="AK1147" s="11" t="n"/>
      <c r="AL1147" s="11" t="n"/>
      <c r="AM1147" s="11" t="n"/>
      <c r="AN1147" s="11" t="n"/>
      <c r="AO1147" s="11" t="n"/>
      <c r="AP1147" s="11" t="n"/>
      <c r="AQ1147" s="11" t="n"/>
      <c r="AR1147" s="11" t="n"/>
      <c r="AS1147" s="11" t="n"/>
      <c r="AT1147" s="11" t="n"/>
      <c r="AU1147" s="11" t="n"/>
      <c r="AV1147" s="11" t="n"/>
      <c r="AW1147" s="11">
        <f>AF1147&amp;"; "&amp;AG1147&amp;"; "&amp;AH1147&amp;"; "&amp;AI1147&amp;"; "&amp;AJ1147</f>
        <v/>
      </c>
    </row>
    <row r="1148">
      <c r="A1148" s="11" t="inlineStr">
        <is>
          <t>T0046-G10-BIO</t>
        </is>
      </c>
      <c r="B1148" s="11" t="n">
        <v>10</v>
      </c>
      <c r="C1148" s="11" t="inlineStr">
        <is>
          <t>Biología</t>
        </is>
      </c>
      <c r="D1148" s="11" t="inlineStr">
        <is>
          <t>Matriz_Bachillerato_Biologia_10_11.xlsx</t>
        </is>
      </c>
      <c r="E1148" s="11" t="inlineStr">
        <is>
          <t>Biología 10.°</t>
        </is>
      </c>
      <c r="F1148" s="11" t="n">
        <v>48</v>
      </c>
      <c r="G1148" s="11" t="inlineStr">
        <is>
          <t>5. Evolución</t>
        </is>
      </c>
      <c r="H1148" s="11" t="inlineStr">
        <is>
          <t>Historia del pensamiento evolutivo</t>
        </is>
      </c>
      <c r="I1148" s="38" t="inlineStr">
        <is>
          <t>5.1. Contraste entre las ideas fijistas y el transformismo de Lamarck a partir de textos históricos y ejemplos.</t>
        </is>
      </c>
      <c r="J1148" s="11" t="inlineStr">
        <is>
          <t>Sin marco</t>
        </is>
      </c>
      <c r="K1148" s="11" t="inlineStr">
        <is>
          <t>N/A</t>
        </is>
      </c>
      <c r="L1148" s="11" t="inlineStr"/>
      <c r="M1148" s="11">
        <f>IF(K1148="FUERA","Fuera del marco",IF(K1148="N/A","Sin marco",IFERROR(INDEX('Datos - Catálogo TIMSS'!$C$5:$C$107,MATCH(K1148,'Datos - Catálogo TIMSS'!$A$5:$A$107,0)),"Pendiente de clasificar")))</f>
        <v/>
      </c>
      <c r="N1148" s="11">
        <f>IF(K1148="FUERA","Fuera del marco",IF(K1148="N/A","Sin marco",IFERROR(INDEX('Datos - Catálogo TIMSS'!$F$5:$F$107,MATCH(K1148,'Datos - Catálogo TIMSS'!$A$5:$A$107,0)),"Pendiente de clasificar")))</f>
        <v/>
      </c>
      <c r="O1148" s="11">
        <f>IF(L1148="","",IFERROR(INDEX('Datos - Catálogo TIMSS'!$C$5:$C$107,MATCH(L1148,'Datos - Catálogo TIMSS'!$A$5:$A$107,0)),"?"))</f>
        <v/>
      </c>
      <c r="P1148" s="11" t="inlineStr">
        <is>
          <t>N/A</t>
        </is>
      </c>
      <c r="Q1148" s="38" t="inlineStr">
        <is>
          <t>Sin marco TIMSS de contenido para esta asignatura en Bachillerato</t>
        </is>
      </c>
      <c r="R1148" s="38" t="inlineStr">
        <is>
          <t>Conocer: describir teorías históricas. Razonar: contrastar explicaciones con evidencia</t>
        </is>
      </c>
      <c r="S1148" s="39">
        <f>IFERROR(ISNUMBER(SEARCH("Conocer",$R1148))/(ISNUMBER(SEARCH("Conocer",$R1148))+ISNUMBER(SEARCH("Aplicar",$R1148))+ISNUMBER(SEARCH("Razonar",$R1148))),0)</f>
        <v/>
      </c>
      <c r="T1148" s="39">
        <f>IFERROR(ISNUMBER(SEARCH("Aplicar",$R1148))/(ISNUMBER(SEARCH("Conocer",$R1148))+ISNUMBER(SEARCH("Aplicar",$R1148))+ISNUMBER(SEARCH("Razonar",$R1148))),0)</f>
        <v/>
      </c>
      <c r="U1148" s="39">
        <f>IFERROR(ISNUMBER(SEARCH("Razonar",$R1148))/(ISNUMBER(SEARCH("Conocer",$R1148))+ISNUMBER(SEARCH("Aplicar",$R1148))+ISNUMBER(SEARCH("Razonar",$R1148))),0)</f>
        <v/>
      </c>
      <c r="V1148" s="11" t="inlineStr">
        <is>
          <t>Biología 10°</t>
        </is>
      </c>
      <c r="W1148" s="11" t="inlineStr">
        <is>
          <t>Biología 10°–11°</t>
        </is>
      </c>
      <c r="X1148" s="11">
        <f>IF(OR(IFERROR(INDEX('Datos - Catálogo TIMSS'!$I$5:$I$107,MATCH(K1148,'Datos - Catálogo TIMSS'!$A$5:$A$107,0)),"No")="Sí",IFERROR(INDEX('Datos - Catálogo TIMSS'!$I$5:$I$107,MATCH(L1148,'Datos - Catálogo TIMSS'!$A$5:$A$107,0)),"No")="Sí"),1,0)</f>
        <v/>
      </c>
      <c r="Y1148" s="11">
        <f>IF(IFERROR(INDEX('Datos - Catálogo TIMSS'!$J$5:$J$107,MATCH(K1148,'Datos - Catálogo TIMSS'!$A$5:$A$107,0)),"No")="Sí",1,0)</f>
        <v/>
      </c>
      <c r="Z1148" s="11">
        <f>IF(IFERROR(INDEX('Datos - Catálogo TIMSS'!$J$5:$J$107,MATCH(L1148,'Datos - Catálogo TIMSS'!$A$5:$A$107,0)),"No")="Sí",1,0)</f>
        <v/>
      </c>
      <c r="AA1148" s="11" t="inlineStr">
        <is>
          <t>N/A</t>
        </is>
      </c>
      <c r="AB1148" s="11" t="inlineStr"/>
      <c r="AC1148" s="11">
        <f>IF(AA1148="FUERA","Fuera del marco",IF(AA1148="N/A","Sin marco",IFERROR(INDEX('Datos - TIMSS 2023'!$C$5:$C$105,MATCH(AA1148,'Datos - TIMSS 2023'!$A$5:$A$105,0)),"Pendiente de clasificar")))</f>
        <v/>
      </c>
      <c r="AD1148" s="11" t="inlineStr">
        <is>
          <t>3. Investigar, evaluar y usar información científica para tomar decisiones y actuar</t>
        </is>
      </c>
      <c r="AE1148" s="11">
        <f>IF(AD1148="","",IF(LEFT(AD1148,1)="1","C1",IF(LEFT(AD1148,1)="2","C2",IF(LEFT(AD1148,1)="3","C3",""))))</f>
        <v/>
      </c>
      <c r="AF1148" s="11" t="inlineStr">
        <is>
          <t>E1</t>
        </is>
      </c>
      <c r="AG1148" s="11" t="inlineStr">
        <is>
          <t>D1</t>
        </is>
      </c>
      <c r="AH1148" s="11" t="inlineStr">
        <is>
          <t>E1</t>
        </is>
      </c>
      <c r="AI1148" s="11" t="inlineStr">
        <is>
          <t>I1</t>
        </is>
      </c>
      <c r="AJ1148" s="11" t="inlineStr">
        <is>
          <t>I4</t>
        </is>
      </c>
      <c r="AK1148" s="11" t="n"/>
      <c r="AL1148" s="11" t="n"/>
      <c r="AM1148" s="11" t="n"/>
      <c r="AN1148" s="11" t="n"/>
      <c r="AO1148" s="11" t="n"/>
      <c r="AP1148" s="11" t="n"/>
      <c r="AQ1148" s="11" t="n"/>
      <c r="AR1148" s="11" t="n"/>
      <c r="AS1148" s="11" t="n"/>
      <c r="AT1148" s="11" t="n"/>
      <c r="AU1148" s="11" t="n"/>
      <c r="AV1148" s="11" t="n"/>
      <c r="AW1148" s="11">
        <f>AF1148&amp;"; "&amp;AG1148&amp;"; "&amp;AH1148&amp;"; "&amp;AI1148&amp;"; "&amp;AJ1148</f>
        <v/>
      </c>
    </row>
    <row r="1149">
      <c r="A1149" s="11" t="inlineStr">
        <is>
          <t>T0047-G10-BIO</t>
        </is>
      </c>
      <c r="B1149" s="11" t="n">
        <v>10</v>
      </c>
      <c r="C1149" s="11" t="inlineStr">
        <is>
          <t>Biología</t>
        </is>
      </c>
      <c r="D1149" s="11" t="inlineStr">
        <is>
          <t>Matriz_Bachillerato_Biologia_10_11.xlsx</t>
        </is>
      </c>
      <c r="E1149" s="11" t="inlineStr">
        <is>
          <t>Biología 10.°</t>
        </is>
      </c>
      <c r="F1149" s="11" t="n">
        <v>49</v>
      </c>
      <c r="G1149" s="11" t="inlineStr">
        <is>
          <t>5. Evolución</t>
        </is>
      </c>
      <c r="H1149" s="11" t="inlineStr">
        <is>
          <t>Historia del pensamiento evolutivo</t>
        </is>
      </c>
      <c r="I1149" s="38" t="inlineStr">
        <is>
          <t>5.2. Análisis de los postulados de la teoría de la selección natural y del contexto histórico de su formulación por Darwin y Wallace.</t>
        </is>
      </c>
      <c r="J1149" s="11" t="inlineStr">
        <is>
          <t>Sin marco</t>
        </is>
      </c>
      <c r="K1149" s="11" t="inlineStr">
        <is>
          <t>N/A</t>
        </is>
      </c>
      <c r="L1149" s="11" t="inlineStr"/>
      <c r="M1149" s="11">
        <f>IF(K1149="FUERA","Fuera del marco",IF(K1149="N/A","Sin marco",IFERROR(INDEX('Datos - Catálogo TIMSS'!$C$5:$C$107,MATCH(K1149,'Datos - Catálogo TIMSS'!$A$5:$A$107,0)),"Pendiente de clasificar")))</f>
        <v/>
      </c>
      <c r="N1149" s="11">
        <f>IF(K1149="FUERA","Fuera del marco",IF(K1149="N/A","Sin marco",IFERROR(INDEX('Datos - Catálogo TIMSS'!$F$5:$F$107,MATCH(K1149,'Datos - Catálogo TIMSS'!$A$5:$A$107,0)),"Pendiente de clasificar")))</f>
        <v/>
      </c>
      <c r="O1149" s="11">
        <f>IF(L1149="","",IFERROR(INDEX('Datos - Catálogo TIMSS'!$C$5:$C$107,MATCH(L1149,'Datos - Catálogo TIMSS'!$A$5:$A$107,0)),"?"))</f>
        <v/>
      </c>
      <c r="P1149" s="11" t="inlineStr">
        <is>
          <t>N/A</t>
        </is>
      </c>
      <c r="Q1149" s="38" t="inlineStr">
        <is>
          <t>Sin marco TIMSS de contenido para esta asignatura en Bachillerato</t>
        </is>
      </c>
      <c r="R1149" s="38" t="inlineStr">
        <is>
          <t>Conocer: enunciar postulados. Razonar: explicar el cambio evolutivo con la selección natural</t>
        </is>
      </c>
      <c r="S1149" s="39">
        <f>IFERROR(ISNUMBER(SEARCH("Conocer",$R1149))/(ISNUMBER(SEARCH("Conocer",$R1149))+ISNUMBER(SEARCH("Aplicar",$R1149))+ISNUMBER(SEARCH("Razonar",$R1149))),0)</f>
        <v/>
      </c>
      <c r="T1149" s="39">
        <f>IFERROR(ISNUMBER(SEARCH("Aplicar",$R1149))/(ISNUMBER(SEARCH("Conocer",$R1149))+ISNUMBER(SEARCH("Aplicar",$R1149))+ISNUMBER(SEARCH("Razonar",$R1149))),0)</f>
        <v/>
      </c>
      <c r="U1149" s="39">
        <f>IFERROR(ISNUMBER(SEARCH("Razonar",$R1149))/(ISNUMBER(SEARCH("Conocer",$R1149))+ISNUMBER(SEARCH("Aplicar",$R1149))+ISNUMBER(SEARCH("Razonar",$R1149))),0)</f>
        <v/>
      </c>
      <c r="V1149" s="11" t="inlineStr">
        <is>
          <t>Biología 10°</t>
        </is>
      </c>
      <c r="W1149" s="11" t="inlineStr">
        <is>
          <t>Biología 10°–11°</t>
        </is>
      </c>
      <c r="X1149" s="11">
        <f>IF(OR(IFERROR(INDEX('Datos - Catálogo TIMSS'!$I$5:$I$107,MATCH(K1149,'Datos - Catálogo TIMSS'!$A$5:$A$107,0)),"No")="Sí",IFERROR(INDEX('Datos - Catálogo TIMSS'!$I$5:$I$107,MATCH(L1149,'Datos - Catálogo TIMSS'!$A$5:$A$107,0)),"No")="Sí"),1,0)</f>
        <v/>
      </c>
      <c r="Y1149" s="11">
        <f>IF(IFERROR(INDEX('Datos - Catálogo TIMSS'!$J$5:$J$107,MATCH(K1149,'Datos - Catálogo TIMSS'!$A$5:$A$107,0)),"No")="Sí",1,0)</f>
        <v/>
      </c>
      <c r="Z1149" s="11">
        <f>IF(IFERROR(INDEX('Datos - Catálogo TIMSS'!$J$5:$J$107,MATCH(L1149,'Datos - Catálogo TIMSS'!$A$5:$A$107,0)),"No")="Sí",1,0)</f>
        <v/>
      </c>
      <c r="AA1149" s="11" t="inlineStr">
        <is>
          <t>N/A</t>
        </is>
      </c>
      <c r="AB1149" s="11" t="inlineStr"/>
      <c r="AC1149" s="11">
        <f>IF(AA1149="FUERA","Fuera del marco",IF(AA1149="N/A","Sin marco",IFERROR(INDEX('Datos - TIMSS 2023'!$C$5:$C$105,MATCH(AA1149,'Datos - TIMSS 2023'!$A$5:$A$105,0)),"Pendiente de clasificar")))</f>
        <v/>
      </c>
      <c r="AD1149" s="11" t="inlineStr">
        <is>
          <t>1. Explicar fenómenos científicamente</t>
        </is>
      </c>
      <c r="AE1149" s="11">
        <f>IF(AD1149="","",IF(LEFT(AD1149,1)="1","C1",IF(LEFT(AD1149,1)="2","C2",IF(LEFT(AD1149,1)="3","C3",""))))</f>
        <v/>
      </c>
      <c r="AF1149" s="11" t="inlineStr">
        <is>
          <t>E6</t>
        </is>
      </c>
      <c r="AG1149" s="11" t="inlineStr">
        <is>
          <t>E5</t>
        </is>
      </c>
      <c r="AH1149" s="11" t="inlineStr">
        <is>
          <t>E4</t>
        </is>
      </c>
      <c r="AI1149" s="11" t="inlineStr">
        <is>
          <t>I1</t>
        </is>
      </c>
      <c r="AJ1149" s="11" t="inlineStr">
        <is>
          <t>E3</t>
        </is>
      </c>
      <c r="AK1149" s="11" t="n"/>
      <c r="AL1149" s="11" t="n"/>
      <c r="AM1149" s="11" t="n"/>
      <c r="AN1149" s="11" t="n"/>
      <c r="AO1149" s="11" t="n"/>
      <c r="AP1149" s="11" t="n"/>
      <c r="AQ1149" s="11" t="n"/>
      <c r="AR1149" s="11" t="n"/>
      <c r="AS1149" s="11" t="n"/>
      <c r="AT1149" s="11" t="n"/>
      <c r="AU1149" s="11" t="n"/>
      <c r="AV1149" s="11" t="n"/>
      <c r="AW1149" s="11">
        <f>AF1149&amp;"; "&amp;AG1149&amp;"; "&amp;AH1149&amp;"; "&amp;AI1149&amp;"; "&amp;AJ1149</f>
        <v/>
      </c>
    </row>
    <row r="1150">
      <c r="A1150" s="11" t="inlineStr">
        <is>
          <t>T0048-G10-BIO</t>
        </is>
      </c>
      <c r="B1150" s="11" t="n">
        <v>10</v>
      </c>
      <c r="C1150" s="11" t="inlineStr">
        <is>
          <t>Biología</t>
        </is>
      </c>
      <c r="D1150" s="11" t="inlineStr">
        <is>
          <t>Matriz_Bachillerato_Biologia_10_11.xlsx</t>
        </is>
      </c>
      <c r="E1150" s="11" t="inlineStr">
        <is>
          <t>Biología 10.°</t>
        </is>
      </c>
      <c r="F1150" s="11" t="n">
        <v>50</v>
      </c>
      <c r="G1150" s="11" t="inlineStr">
        <is>
          <t>5. Evolución</t>
        </is>
      </c>
      <c r="H1150" s="11" t="inlineStr">
        <is>
          <t>Evidencias de la evolución</t>
        </is>
      </c>
      <c r="I1150" s="38" t="inlineStr">
        <is>
          <t>5.3. Cálculo de la edad de fósiles y rocas mediante la ley de desintegración radiactiva y los principios de la estratigrafía.</t>
        </is>
      </c>
      <c r="J1150" s="11" t="inlineStr">
        <is>
          <t>Sin marco</t>
        </is>
      </c>
      <c r="K1150" s="11" t="inlineStr">
        <is>
          <t>N/A</t>
        </is>
      </c>
      <c r="L1150" s="11" t="inlineStr"/>
      <c r="M1150" s="11">
        <f>IF(K1150="FUERA","Fuera del marco",IF(K1150="N/A","Sin marco",IFERROR(INDEX('Datos - Catálogo TIMSS'!$C$5:$C$107,MATCH(K1150,'Datos - Catálogo TIMSS'!$A$5:$A$107,0)),"Pendiente de clasificar")))</f>
        <v/>
      </c>
      <c r="N1150" s="11">
        <f>IF(K1150="FUERA","Fuera del marco",IF(K1150="N/A","Sin marco",IFERROR(INDEX('Datos - Catálogo TIMSS'!$F$5:$F$107,MATCH(K1150,'Datos - Catálogo TIMSS'!$A$5:$A$107,0)),"Pendiente de clasificar")))</f>
        <v/>
      </c>
      <c r="O1150" s="11">
        <f>IF(L1150="","",IFERROR(INDEX('Datos - Catálogo TIMSS'!$C$5:$C$107,MATCH(L1150,'Datos - Catálogo TIMSS'!$A$5:$A$107,0)),"?"))</f>
        <v/>
      </c>
      <c r="P1150" s="11" t="inlineStr">
        <is>
          <t>N/A</t>
        </is>
      </c>
      <c r="Q1150" s="38" t="inlineStr">
        <is>
          <t>Sin marco TIMSS de contenido para esta asignatura en Bachillerato</t>
        </is>
      </c>
      <c r="R1150" s="38" t="inlineStr">
        <is>
          <t>Aplicar: calcular edades con la vida media. Razonar: elegir el método de datación adecuado</t>
        </is>
      </c>
      <c r="S1150" s="39">
        <f>IFERROR(ISNUMBER(SEARCH("Conocer",$R1150))/(ISNUMBER(SEARCH("Conocer",$R1150))+ISNUMBER(SEARCH("Aplicar",$R1150))+ISNUMBER(SEARCH("Razonar",$R1150))),0)</f>
        <v/>
      </c>
      <c r="T1150" s="39">
        <f>IFERROR(ISNUMBER(SEARCH("Aplicar",$R1150))/(ISNUMBER(SEARCH("Conocer",$R1150))+ISNUMBER(SEARCH("Aplicar",$R1150))+ISNUMBER(SEARCH("Razonar",$R1150))),0)</f>
        <v/>
      </c>
      <c r="U1150" s="39">
        <f>IFERROR(ISNUMBER(SEARCH("Razonar",$R1150))/(ISNUMBER(SEARCH("Conocer",$R1150))+ISNUMBER(SEARCH("Aplicar",$R1150))+ISNUMBER(SEARCH("Razonar",$R1150))),0)</f>
        <v/>
      </c>
      <c r="V1150" s="11" t="inlineStr">
        <is>
          <t>Biología 10°</t>
        </is>
      </c>
      <c r="W1150" s="11" t="inlineStr">
        <is>
          <t>Biología 10°–11°</t>
        </is>
      </c>
      <c r="X1150" s="11">
        <f>IF(OR(IFERROR(INDEX('Datos - Catálogo TIMSS'!$I$5:$I$107,MATCH(K1150,'Datos - Catálogo TIMSS'!$A$5:$A$107,0)),"No")="Sí",IFERROR(INDEX('Datos - Catálogo TIMSS'!$I$5:$I$107,MATCH(L1150,'Datos - Catálogo TIMSS'!$A$5:$A$107,0)),"No")="Sí"),1,0)</f>
        <v/>
      </c>
      <c r="Y1150" s="11">
        <f>IF(IFERROR(INDEX('Datos - Catálogo TIMSS'!$J$5:$J$107,MATCH(K1150,'Datos - Catálogo TIMSS'!$A$5:$A$107,0)),"No")="Sí",1,0)</f>
        <v/>
      </c>
      <c r="Z1150" s="11">
        <f>IF(IFERROR(INDEX('Datos - Catálogo TIMSS'!$J$5:$J$107,MATCH(L1150,'Datos - Catálogo TIMSS'!$A$5:$A$107,0)),"No")="Sí",1,0)</f>
        <v/>
      </c>
      <c r="AA1150" s="11" t="inlineStr">
        <is>
          <t>N/A</t>
        </is>
      </c>
      <c r="AB1150" s="11" t="inlineStr"/>
      <c r="AC1150" s="11">
        <f>IF(AA1150="FUERA","Fuera del marco",IF(AA1150="N/A","Sin marco",IFERROR(INDEX('Datos - TIMSS 2023'!$C$5:$C$105,MATCH(AA1150,'Datos - TIMSS 2023'!$A$5:$A$105,0)),"Pendiente de clasificar")))</f>
        <v/>
      </c>
      <c r="AD1150" s="11" t="inlineStr">
        <is>
          <t>2. Construir y evaluar diseños para la indagación científica e interpretar datos y evidencia de forma crítica</t>
        </is>
      </c>
      <c r="AE1150" s="11">
        <f>IF(AD1150="","",IF(LEFT(AD1150,1)="1","C1",IF(LEFT(AD1150,1)="2","C2",IF(LEFT(AD1150,1)="3","C3",""))))</f>
        <v/>
      </c>
      <c r="AF1150" s="11" t="inlineStr">
        <is>
          <t>E1</t>
        </is>
      </c>
      <c r="AG1150" s="11" t="inlineStr">
        <is>
          <t>D1</t>
        </is>
      </c>
      <c r="AH1150" s="11" t="inlineStr">
        <is>
          <t>E2</t>
        </is>
      </c>
      <c r="AI1150" s="11" t="inlineStr">
        <is>
          <t>D4</t>
        </is>
      </c>
      <c r="AJ1150" s="11" t="inlineStr">
        <is>
          <t>D3</t>
        </is>
      </c>
      <c r="AK1150" s="11" t="n"/>
      <c r="AL1150" s="11" t="n"/>
      <c r="AM1150" s="11" t="n"/>
      <c r="AN1150" s="11" t="n"/>
      <c r="AO1150" s="11" t="n"/>
      <c r="AP1150" s="11" t="n"/>
      <c r="AQ1150" s="11" t="n"/>
      <c r="AR1150" s="11" t="n"/>
      <c r="AS1150" s="11" t="n"/>
      <c r="AT1150" s="11" t="n"/>
      <c r="AU1150" s="11" t="n"/>
      <c r="AV1150" s="11" t="n"/>
      <c r="AW1150" s="11">
        <f>AF1150&amp;"; "&amp;AG1150&amp;"; "&amp;AH1150&amp;"; "&amp;AI1150&amp;"; "&amp;AJ1150</f>
        <v/>
      </c>
    </row>
    <row r="1151">
      <c r="A1151" s="11" t="inlineStr">
        <is>
          <t>T0049-G10-BIO</t>
        </is>
      </c>
      <c r="B1151" s="11" t="n">
        <v>10</v>
      </c>
      <c r="C1151" s="11" t="inlineStr">
        <is>
          <t>Biología</t>
        </is>
      </c>
      <c r="D1151" s="11" t="inlineStr">
        <is>
          <t>Matriz_Bachillerato_Biologia_10_11.xlsx</t>
        </is>
      </c>
      <c r="E1151" s="11" t="inlineStr">
        <is>
          <t>Biología 10.°</t>
        </is>
      </c>
      <c r="F1151" s="11" t="n">
        <v>51</v>
      </c>
      <c r="G1151" s="11" t="inlineStr">
        <is>
          <t>5. Evolución</t>
        </is>
      </c>
      <c r="H1151" s="11" t="inlineStr">
        <is>
          <t>Evidencias de la evolución</t>
        </is>
      </c>
      <c r="I1151" s="38" t="inlineStr">
        <is>
          <t>5.4. Comparación de estructuras anatómicas de distintas especies para diferenciar homologías, analogías y estructuras vestigiales.</t>
        </is>
      </c>
      <c r="J1151" s="11" t="inlineStr">
        <is>
          <t>Sin marco</t>
        </is>
      </c>
      <c r="K1151" s="11" t="inlineStr">
        <is>
          <t>N/A</t>
        </is>
      </c>
      <c r="L1151" s="11" t="inlineStr"/>
      <c r="M1151" s="11">
        <f>IF(K1151="FUERA","Fuera del marco",IF(K1151="N/A","Sin marco",IFERROR(INDEX('Datos - Catálogo TIMSS'!$C$5:$C$107,MATCH(K1151,'Datos - Catálogo TIMSS'!$A$5:$A$107,0)),"Pendiente de clasificar")))</f>
        <v/>
      </c>
      <c r="N1151" s="11">
        <f>IF(K1151="FUERA","Fuera del marco",IF(K1151="N/A","Sin marco",IFERROR(INDEX('Datos - Catálogo TIMSS'!$F$5:$F$107,MATCH(K1151,'Datos - Catálogo TIMSS'!$A$5:$A$107,0)),"Pendiente de clasificar")))</f>
        <v/>
      </c>
      <c r="O1151" s="11">
        <f>IF(L1151="","",IFERROR(INDEX('Datos - Catálogo TIMSS'!$C$5:$C$107,MATCH(L1151,'Datos - Catálogo TIMSS'!$A$5:$A$107,0)),"?"))</f>
        <v/>
      </c>
      <c r="P1151" s="11" t="inlineStr">
        <is>
          <t>N/A</t>
        </is>
      </c>
      <c r="Q1151" s="38" t="inlineStr">
        <is>
          <t>Sin marco TIMSS de contenido para esta asignatura en Bachillerato</t>
        </is>
      </c>
      <c r="R1151" s="38" t="inlineStr">
        <is>
          <t>Conocer: identificar estructuras. Razonar: inferir relaciones evolutivas a partir de la anatomía</t>
        </is>
      </c>
      <c r="S1151" s="39">
        <f>IFERROR(ISNUMBER(SEARCH("Conocer",$R1151))/(ISNUMBER(SEARCH("Conocer",$R1151))+ISNUMBER(SEARCH("Aplicar",$R1151))+ISNUMBER(SEARCH("Razonar",$R1151))),0)</f>
        <v/>
      </c>
      <c r="T1151" s="39">
        <f>IFERROR(ISNUMBER(SEARCH("Aplicar",$R1151))/(ISNUMBER(SEARCH("Conocer",$R1151))+ISNUMBER(SEARCH("Aplicar",$R1151))+ISNUMBER(SEARCH("Razonar",$R1151))),0)</f>
        <v/>
      </c>
      <c r="U1151" s="39">
        <f>IFERROR(ISNUMBER(SEARCH("Razonar",$R1151))/(ISNUMBER(SEARCH("Conocer",$R1151))+ISNUMBER(SEARCH("Aplicar",$R1151))+ISNUMBER(SEARCH("Razonar",$R1151))),0)</f>
        <v/>
      </c>
      <c r="V1151" s="11" t="inlineStr">
        <is>
          <t>Biología 10°</t>
        </is>
      </c>
      <c r="W1151" s="11" t="inlineStr">
        <is>
          <t>Biología 10°–11°</t>
        </is>
      </c>
      <c r="X1151" s="11">
        <f>IF(OR(IFERROR(INDEX('Datos - Catálogo TIMSS'!$I$5:$I$107,MATCH(K1151,'Datos - Catálogo TIMSS'!$A$5:$A$107,0)),"No")="Sí",IFERROR(INDEX('Datos - Catálogo TIMSS'!$I$5:$I$107,MATCH(L1151,'Datos - Catálogo TIMSS'!$A$5:$A$107,0)),"No")="Sí"),1,0)</f>
        <v/>
      </c>
      <c r="Y1151" s="11">
        <f>IF(IFERROR(INDEX('Datos - Catálogo TIMSS'!$J$5:$J$107,MATCH(K1151,'Datos - Catálogo TIMSS'!$A$5:$A$107,0)),"No")="Sí",1,0)</f>
        <v/>
      </c>
      <c r="Z1151" s="11">
        <f>IF(IFERROR(INDEX('Datos - Catálogo TIMSS'!$J$5:$J$107,MATCH(L1151,'Datos - Catálogo TIMSS'!$A$5:$A$107,0)),"No")="Sí",1,0)</f>
        <v/>
      </c>
      <c r="AA1151" s="11" t="inlineStr">
        <is>
          <t>N/A</t>
        </is>
      </c>
      <c r="AB1151" s="11" t="inlineStr"/>
      <c r="AC1151" s="11">
        <f>IF(AA1151="FUERA","Fuera del marco",IF(AA1151="N/A","Sin marco",IFERROR(INDEX('Datos - TIMSS 2023'!$C$5:$C$105,MATCH(AA1151,'Datos - TIMSS 2023'!$A$5:$A$105,0)),"Pendiente de clasificar")))</f>
        <v/>
      </c>
      <c r="AD1151" s="11" t="inlineStr">
        <is>
          <t>1. Explicar fenómenos científicamente</t>
        </is>
      </c>
      <c r="AE1151" s="11">
        <f>IF(AD1151="","",IF(LEFT(AD1151,1)="1","C1",IF(LEFT(AD1151,1)="2","C2",IF(LEFT(AD1151,1)="3","C3",""))))</f>
        <v/>
      </c>
      <c r="AF1151" s="11" t="inlineStr">
        <is>
          <t>E1</t>
        </is>
      </c>
      <c r="AG1151" s="11" t="inlineStr">
        <is>
          <t>E5</t>
        </is>
      </c>
      <c r="AH1151" s="11" t="inlineStr">
        <is>
          <t>E2</t>
        </is>
      </c>
      <c r="AI1151" s="11" t="inlineStr">
        <is>
          <t>I3</t>
        </is>
      </c>
      <c r="AJ1151" s="11" t="inlineStr">
        <is>
          <t>E3</t>
        </is>
      </c>
      <c r="AK1151" s="11" t="n"/>
      <c r="AL1151" s="11" t="n"/>
      <c r="AM1151" s="11" t="n"/>
      <c r="AN1151" s="11" t="n"/>
      <c r="AO1151" s="11" t="n"/>
      <c r="AP1151" s="11" t="n"/>
      <c r="AQ1151" s="11" t="n"/>
      <c r="AR1151" s="11" t="n"/>
      <c r="AS1151" s="11" t="n"/>
      <c r="AT1151" s="11" t="n"/>
      <c r="AU1151" s="11" t="n"/>
      <c r="AV1151" s="11" t="n"/>
      <c r="AW1151" s="11">
        <f>AF1151&amp;"; "&amp;AG1151&amp;"; "&amp;AH1151&amp;"; "&amp;AI1151&amp;"; "&amp;AJ1151</f>
        <v/>
      </c>
    </row>
    <row r="1152">
      <c r="A1152" s="11" t="inlineStr">
        <is>
          <t>T0050-G10-BIO</t>
        </is>
      </c>
      <c r="B1152" s="11" t="n">
        <v>10</v>
      </c>
      <c r="C1152" s="11" t="inlineStr">
        <is>
          <t>Biología</t>
        </is>
      </c>
      <c r="D1152" s="11" t="inlineStr">
        <is>
          <t>Matriz_Bachillerato_Biologia_10_11.xlsx</t>
        </is>
      </c>
      <c r="E1152" s="11" t="inlineStr">
        <is>
          <t>Biología 10.°</t>
        </is>
      </c>
      <c r="F1152" s="11" t="n">
        <v>52</v>
      </c>
      <c r="G1152" s="11" t="inlineStr">
        <is>
          <t>5. Evolución</t>
        </is>
      </c>
      <c r="H1152" s="11" t="inlineStr">
        <is>
          <t>Evidencias de la evolución</t>
        </is>
      </c>
      <c r="I1152" s="38" t="inlineStr">
        <is>
          <t>5.5. Comparación de etapas del desarrollo embrionario de vertebrados como evidencia de un ancestro común.</t>
        </is>
      </c>
      <c r="J1152" s="11" t="inlineStr">
        <is>
          <t>Sin marco</t>
        </is>
      </c>
      <c r="K1152" s="11" t="inlineStr">
        <is>
          <t>N/A</t>
        </is>
      </c>
      <c r="L1152" s="11" t="inlineStr"/>
      <c r="M1152" s="11">
        <f>IF(K1152="FUERA","Fuera del marco",IF(K1152="N/A","Sin marco",IFERROR(INDEX('Datos - Catálogo TIMSS'!$C$5:$C$107,MATCH(K1152,'Datos - Catálogo TIMSS'!$A$5:$A$107,0)),"Pendiente de clasificar")))</f>
        <v/>
      </c>
      <c r="N1152" s="11">
        <f>IF(K1152="FUERA","Fuera del marco",IF(K1152="N/A","Sin marco",IFERROR(INDEX('Datos - Catálogo TIMSS'!$F$5:$F$107,MATCH(K1152,'Datos - Catálogo TIMSS'!$A$5:$A$107,0)),"Pendiente de clasificar")))</f>
        <v/>
      </c>
      <c r="O1152" s="11">
        <f>IF(L1152="","",IFERROR(INDEX('Datos - Catálogo TIMSS'!$C$5:$C$107,MATCH(L1152,'Datos - Catálogo TIMSS'!$A$5:$A$107,0)),"?"))</f>
        <v/>
      </c>
      <c r="P1152" s="11" t="inlineStr">
        <is>
          <t>N/A</t>
        </is>
      </c>
      <c r="Q1152" s="38" t="inlineStr">
        <is>
          <t>Sin marco TIMSS de contenido para esta asignatura en Bachillerato</t>
        </is>
      </c>
      <c r="R1152" s="38" t="inlineStr">
        <is>
          <t>Conocer: describir etapas embrionarias. Razonar: evaluar la validez de una evidencia histórica</t>
        </is>
      </c>
      <c r="S1152" s="39">
        <f>IFERROR(ISNUMBER(SEARCH("Conocer",$R1152))/(ISNUMBER(SEARCH("Conocer",$R1152))+ISNUMBER(SEARCH("Aplicar",$R1152))+ISNUMBER(SEARCH("Razonar",$R1152))),0)</f>
        <v/>
      </c>
      <c r="T1152" s="39">
        <f>IFERROR(ISNUMBER(SEARCH("Aplicar",$R1152))/(ISNUMBER(SEARCH("Conocer",$R1152))+ISNUMBER(SEARCH("Aplicar",$R1152))+ISNUMBER(SEARCH("Razonar",$R1152))),0)</f>
        <v/>
      </c>
      <c r="U1152" s="39">
        <f>IFERROR(ISNUMBER(SEARCH("Razonar",$R1152))/(ISNUMBER(SEARCH("Conocer",$R1152))+ISNUMBER(SEARCH("Aplicar",$R1152))+ISNUMBER(SEARCH("Razonar",$R1152))),0)</f>
        <v/>
      </c>
      <c r="V1152" s="11" t="inlineStr">
        <is>
          <t>Biología 10°</t>
        </is>
      </c>
      <c r="W1152" s="11" t="inlineStr">
        <is>
          <t>Biología 10°–11°</t>
        </is>
      </c>
      <c r="X1152" s="11">
        <f>IF(OR(IFERROR(INDEX('Datos - Catálogo TIMSS'!$I$5:$I$107,MATCH(K1152,'Datos - Catálogo TIMSS'!$A$5:$A$107,0)),"No")="Sí",IFERROR(INDEX('Datos - Catálogo TIMSS'!$I$5:$I$107,MATCH(L1152,'Datos - Catálogo TIMSS'!$A$5:$A$107,0)),"No")="Sí"),1,0)</f>
        <v/>
      </c>
      <c r="Y1152" s="11">
        <f>IF(IFERROR(INDEX('Datos - Catálogo TIMSS'!$J$5:$J$107,MATCH(K1152,'Datos - Catálogo TIMSS'!$A$5:$A$107,0)),"No")="Sí",1,0)</f>
        <v/>
      </c>
      <c r="Z1152" s="11">
        <f>IF(IFERROR(INDEX('Datos - Catálogo TIMSS'!$J$5:$J$107,MATCH(L1152,'Datos - Catálogo TIMSS'!$A$5:$A$107,0)),"No")="Sí",1,0)</f>
        <v/>
      </c>
      <c r="AA1152" s="11" t="inlineStr">
        <is>
          <t>N/A</t>
        </is>
      </c>
      <c r="AB1152" s="11" t="inlineStr"/>
      <c r="AC1152" s="11">
        <f>IF(AA1152="FUERA","Fuera del marco",IF(AA1152="N/A","Sin marco",IFERROR(INDEX('Datos - TIMSS 2023'!$C$5:$C$105,MATCH(AA1152,'Datos - TIMSS 2023'!$A$5:$A$105,0)),"Pendiente de clasificar")))</f>
        <v/>
      </c>
      <c r="AD1152" s="11" t="inlineStr">
        <is>
          <t>1. Explicar fenómenos científicamente</t>
        </is>
      </c>
      <c r="AE1152" s="11">
        <f>IF(AD1152="","",IF(LEFT(AD1152,1)="1","C1",IF(LEFT(AD1152,1)="2","C2",IF(LEFT(AD1152,1)="3","C3",""))))</f>
        <v/>
      </c>
      <c r="AF1152" s="11" t="inlineStr">
        <is>
          <t>E1</t>
        </is>
      </c>
      <c r="AG1152" s="11" t="inlineStr">
        <is>
          <t>D1</t>
        </is>
      </c>
      <c r="AH1152" s="11" t="inlineStr">
        <is>
          <t>E1</t>
        </is>
      </c>
      <c r="AI1152" s="11" t="inlineStr">
        <is>
          <t>I2</t>
        </is>
      </c>
      <c r="AJ1152" s="11" t="inlineStr">
        <is>
          <t>I4</t>
        </is>
      </c>
      <c r="AK1152" s="11" t="n"/>
      <c r="AL1152" s="11" t="n"/>
      <c r="AM1152" s="11" t="n"/>
      <c r="AN1152" s="11" t="n"/>
      <c r="AO1152" s="11" t="n"/>
      <c r="AP1152" s="11" t="n"/>
      <c r="AQ1152" s="11" t="n"/>
      <c r="AR1152" s="11" t="n"/>
      <c r="AS1152" s="11" t="n"/>
      <c r="AT1152" s="11" t="n"/>
      <c r="AU1152" s="11" t="n"/>
      <c r="AV1152" s="11" t="n"/>
      <c r="AW1152" s="11">
        <f>AF1152&amp;"; "&amp;AG1152&amp;"; "&amp;AH1152&amp;"; "&amp;AI1152&amp;"; "&amp;AJ1152</f>
        <v/>
      </c>
    </row>
    <row r="1153">
      <c r="A1153" s="11" t="inlineStr">
        <is>
          <t>T0051-G10-BIO</t>
        </is>
      </c>
      <c r="B1153" s="11" t="n">
        <v>10</v>
      </c>
      <c r="C1153" s="11" t="inlineStr">
        <is>
          <t>Biología</t>
        </is>
      </c>
      <c r="D1153" s="11" t="inlineStr">
        <is>
          <t>Matriz_Bachillerato_Biologia_10_11.xlsx</t>
        </is>
      </c>
      <c r="E1153" s="11" t="inlineStr">
        <is>
          <t>Biología 10.°</t>
        </is>
      </c>
      <c r="F1153" s="11" t="n">
        <v>53</v>
      </c>
      <c r="G1153" s="11" t="inlineStr">
        <is>
          <t>5. Evolución</t>
        </is>
      </c>
      <c r="H1153" s="11" t="inlineStr">
        <is>
          <t>Evidencias de la evolución</t>
        </is>
      </c>
      <c r="I1153" s="38" t="inlineStr">
        <is>
          <t>5.6. Análisis de la distribución geográfica de las especies y del Gran Intercambio Biótico Americano tras el cierre del istmo centroamericano.</t>
        </is>
      </c>
      <c r="J1153" s="11" t="inlineStr">
        <is>
          <t>Sin marco</t>
        </is>
      </c>
      <c r="K1153" s="11" t="inlineStr">
        <is>
          <t>N/A</t>
        </is>
      </c>
      <c r="L1153" s="11" t="inlineStr"/>
      <c r="M1153" s="11">
        <f>IF(K1153="FUERA","Fuera del marco",IF(K1153="N/A","Sin marco",IFERROR(INDEX('Datos - Catálogo TIMSS'!$C$5:$C$107,MATCH(K1153,'Datos - Catálogo TIMSS'!$A$5:$A$107,0)),"Pendiente de clasificar")))</f>
        <v/>
      </c>
      <c r="N1153" s="11">
        <f>IF(K1153="FUERA","Fuera del marco",IF(K1153="N/A","Sin marco",IFERROR(INDEX('Datos - Catálogo TIMSS'!$F$5:$F$107,MATCH(K1153,'Datos - Catálogo TIMSS'!$A$5:$A$107,0)),"Pendiente de clasificar")))</f>
        <v/>
      </c>
      <c r="O1153" s="11">
        <f>IF(L1153="","",IFERROR(INDEX('Datos - Catálogo TIMSS'!$C$5:$C$107,MATCH(L1153,'Datos - Catálogo TIMSS'!$A$5:$A$107,0)),"?"))</f>
        <v/>
      </c>
      <c r="P1153" s="11" t="inlineStr">
        <is>
          <t>N/A</t>
        </is>
      </c>
      <c r="Q1153" s="38" t="inlineStr">
        <is>
          <t>Sin marco TIMSS de contenido para esta asignatura en Bachillerato</t>
        </is>
      </c>
      <c r="R1153" s="38" t="inlineStr">
        <is>
          <t>Aplicar: interpretar mapas de distribución. Razonar: explicar patrones biogeográficos</t>
        </is>
      </c>
      <c r="S1153" s="39">
        <f>IFERROR(ISNUMBER(SEARCH("Conocer",$R1153))/(ISNUMBER(SEARCH("Conocer",$R1153))+ISNUMBER(SEARCH("Aplicar",$R1153))+ISNUMBER(SEARCH("Razonar",$R1153))),0)</f>
        <v/>
      </c>
      <c r="T1153" s="39">
        <f>IFERROR(ISNUMBER(SEARCH("Aplicar",$R1153))/(ISNUMBER(SEARCH("Conocer",$R1153))+ISNUMBER(SEARCH("Aplicar",$R1153))+ISNUMBER(SEARCH("Razonar",$R1153))),0)</f>
        <v/>
      </c>
      <c r="U1153" s="39">
        <f>IFERROR(ISNUMBER(SEARCH("Razonar",$R1153))/(ISNUMBER(SEARCH("Conocer",$R1153))+ISNUMBER(SEARCH("Aplicar",$R1153))+ISNUMBER(SEARCH("Razonar",$R1153))),0)</f>
        <v/>
      </c>
      <c r="V1153" s="11" t="inlineStr">
        <is>
          <t>Biología 10°</t>
        </is>
      </c>
      <c r="W1153" s="11" t="inlineStr">
        <is>
          <t>Biología 10°–11°</t>
        </is>
      </c>
      <c r="X1153" s="11">
        <f>IF(OR(IFERROR(INDEX('Datos - Catálogo TIMSS'!$I$5:$I$107,MATCH(K1153,'Datos - Catálogo TIMSS'!$A$5:$A$107,0)),"No")="Sí",IFERROR(INDEX('Datos - Catálogo TIMSS'!$I$5:$I$107,MATCH(L1153,'Datos - Catálogo TIMSS'!$A$5:$A$107,0)),"No")="Sí"),1,0)</f>
        <v/>
      </c>
      <c r="Y1153" s="11">
        <f>IF(IFERROR(INDEX('Datos - Catálogo TIMSS'!$J$5:$J$107,MATCH(K1153,'Datos - Catálogo TIMSS'!$A$5:$A$107,0)),"No")="Sí",1,0)</f>
        <v/>
      </c>
      <c r="Z1153" s="11">
        <f>IF(IFERROR(INDEX('Datos - Catálogo TIMSS'!$J$5:$J$107,MATCH(L1153,'Datos - Catálogo TIMSS'!$A$5:$A$107,0)),"No")="Sí",1,0)</f>
        <v/>
      </c>
      <c r="AA1153" s="11" t="inlineStr">
        <is>
          <t>N/A</t>
        </is>
      </c>
      <c r="AB1153" s="11" t="inlineStr"/>
      <c r="AC1153" s="11">
        <f>IF(AA1153="FUERA","Fuera del marco",IF(AA1153="N/A","Sin marco",IFERROR(INDEX('Datos - TIMSS 2023'!$C$5:$C$105,MATCH(AA1153,'Datos - TIMSS 2023'!$A$5:$A$105,0)),"Pendiente de clasificar")))</f>
        <v/>
      </c>
      <c r="AD1153" s="11" t="inlineStr">
        <is>
          <t>1. Explicar fenómenos científicamente</t>
        </is>
      </c>
      <c r="AE1153" s="11">
        <f>IF(AD1153="","",IF(LEFT(AD1153,1)="1","C1",IF(LEFT(AD1153,1)="2","C2",IF(LEFT(AD1153,1)="3","C3",""))))</f>
        <v/>
      </c>
      <c r="AF1153" s="11" t="inlineStr">
        <is>
          <t>E6</t>
        </is>
      </c>
      <c r="AG1153" s="11" t="inlineStr">
        <is>
          <t>E3</t>
        </is>
      </c>
      <c r="AH1153" s="11" t="inlineStr">
        <is>
          <t>E2</t>
        </is>
      </c>
      <c r="AI1153" s="11" t="inlineStr">
        <is>
          <t>D4</t>
        </is>
      </c>
      <c r="AJ1153" s="11" t="inlineStr">
        <is>
          <t>E6</t>
        </is>
      </c>
      <c r="AK1153" s="11" t="n"/>
      <c r="AL1153" s="11" t="n"/>
      <c r="AM1153" s="11" t="n"/>
      <c r="AN1153" s="11" t="n"/>
      <c r="AO1153" s="11" t="n"/>
      <c r="AP1153" s="11" t="n"/>
      <c r="AQ1153" s="11" t="n"/>
      <c r="AR1153" s="11" t="n"/>
      <c r="AS1153" s="11" t="n"/>
      <c r="AT1153" s="11" t="n"/>
      <c r="AU1153" s="11" t="n"/>
      <c r="AV1153" s="11" t="n"/>
      <c r="AW1153" s="11">
        <f>AF1153&amp;"; "&amp;AG1153&amp;"; "&amp;AH1153&amp;"; "&amp;AI1153&amp;"; "&amp;AJ1153</f>
        <v/>
      </c>
    </row>
    <row r="1154">
      <c r="A1154" s="11" t="inlineStr">
        <is>
          <t>T0052-G10-BIO</t>
        </is>
      </c>
      <c r="B1154" s="11" t="n">
        <v>10</v>
      </c>
      <c r="C1154" s="11" t="inlineStr">
        <is>
          <t>Biología</t>
        </is>
      </c>
      <c r="D1154" s="11" t="inlineStr">
        <is>
          <t>Matriz_Bachillerato_Biologia_10_11.xlsx</t>
        </is>
      </c>
      <c r="E1154" s="11" t="inlineStr">
        <is>
          <t>Biología 10.°</t>
        </is>
      </c>
      <c r="F1154" s="11" t="n">
        <v>54</v>
      </c>
      <c r="G1154" s="11" t="inlineStr">
        <is>
          <t>5. Evolución</t>
        </is>
      </c>
      <c r="H1154" s="11" t="inlineStr">
        <is>
          <t>Evidencias de la evolución</t>
        </is>
      </c>
      <c r="I1154" s="38" t="inlineStr">
        <is>
          <t>5.7. Comparación de secuencias de proteínas conservadas entre especies para estimar su grado de parentesco.</t>
        </is>
      </c>
      <c r="J1154" s="11" t="inlineStr">
        <is>
          <t>Sin marco</t>
        </is>
      </c>
      <c r="K1154" s="11" t="inlineStr">
        <is>
          <t>N/A</t>
        </is>
      </c>
      <c r="L1154" s="11" t="inlineStr"/>
      <c r="M1154" s="11">
        <f>IF(K1154="FUERA","Fuera del marco",IF(K1154="N/A","Sin marco",IFERROR(INDEX('Datos - Catálogo TIMSS'!$C$5:$C$107,MATCH(K1154,'Datos - Catálogo TIMSS'!$A$5:$A$107,0)),"Pendiente de clasificar")))</f>
        <v/>
      </c>
      <c r="N1154" s="11">
        <f>IF(K1154="FUERA","Fuera del marco",IF(K1154="N/A","Sin marco",IFERROR(INDEX('Datos - Catálogo TIMSS'!$F$5:$F$107,MATCH(K1154,'Datos - Catálogo TIMSS'!$A$5:$A$107,0)),"Pendiente de clasificar")))</f>
        <v/>
      </c>
      <c r="O1154" s="11">
        <f>IF(L1154="","",IFERROR(INDEX('Datos - Catálogo TIMSS'!$C$5:$C$107,MATCH(L1154,'Datos - Catálogo TIMSS'!$A$5:$A$107,0)),"?"))</f>
        <v/>
      </c>
      <c r="P1154" s="11" t="inlineStr">
        <is>
          <t>N/A</t>
        </is>
      </c>
      <c r="Q1154" s="38" t="inlineStr">
        <is>
          <t>Sin marco TIMSS de contenido para esta asignatura en Bachillerato</t>
        </is>
      </c>
      <c r="R1154" s="38" t="inlineStr">
        <is>
          <t>Aplicar: contar y comparar diferencias. Razonar: inferir parentesco a partir de datos moleculares</t>
        </is>
      </c>
      <c r="S1154" s="39">
        <f>IFERROR(ISNUMBER(SEARCH("Conocer",$R1154))/(ISNUMBER(SEARCH("Conocer",$R1154))+ISNUMBER(SEARCH("Aplicar",$R1154))+ISNUMBER(SEARCH("Razonar",$R1154))),0)</f>
        <v/>
      </c>
      <c r="T1154" s="39">
        <f>IFERROR(ISNUMBER(SEARCH("Aplicar",$R1154))/(ISNUMBER(SEARCH("Conocer",$R1154))+ISNUMBER(SEARCH("Aplicar",$R1154))+ISNUMBER(SEARCH("Razonar",$R1154))),0)</f>
        <v/>
      </c>
      <c r="U1154" s="39">
        <f>IFERROR(ISNUMBER(SEARCH("Razonar",$R1154))/(ISNUMBER(SEARCH("Conocer",$R1154))+ISNUMBER(SEARCH("Aplicar",$R1154))+ISNUMBER(SEARCH("Razonar",$R1154))),0)</f>
        <v/>
      </c>
      <c r="V1154" s="11" t="inlineStr">
        <is>
          <t>Biología 10°</t>
        </is>
      </c>
      <c r="W1154" s="11" t="inlineStr">
        <is>
          <t>Biología 10°–11°</t>
        </is>
      </c>
      <c r="X1154" s="11">
        <f>IF(OR(IFERROR(INDEX('Datos - Catálogo TIMSS'!$I$5:$I$107,MATCH(K1154,'Datos - Catálogo TIMSS'!$A$5:$A$107,0)),"No")="Sí",IFERROR(INDEX('Datos - Catálogo TIMSS'!$I$5:$I$107,MATCH(L1154,'Datos - Catálogo TIMSS'!$A$5:$A$107,0)),"No")="Sí"),1,0)</f>
        <v/>
      </c>
      <c r="Y1154" s="11">
        <f>IF(IFERROR(INDEX('Datos - Catálogo TIMSS'!$J$5:$J$107,MATCH(K1154,'Datos - Catálogo TIMSS'!$A$5:$A$107,0)),"No")="Sí",1,0)</f>
        <v/>
      </c>
      <c r="Z1154" s="11">
        <f>IF(IFERROR(INDEX('Datos - Catálogo TIMSS'!$J$5:$J$107,MATCH(L1154,'Datos - Catálogo TIMSS'!$A$5:$A$107,0)),"No")="Sí",1,0)</f>
        <v/>
      </c>
      <c r="AA1154" s="11" t="inlineStr">
        <is>
          <t>N/A</t>
        </is>
      </c>
      <c r="AB1154" s="11" t="inlineStr"/>
      <c r="AC1154" s="11">
        <f>IF(AA1154="FUERA","Fuera del marco",IF(AA1154="N/A","Sin marco",IFERROR(INDEX('Datos - TIMSS 2023'!$C$5:$C$105,MATCH(AA1154,'Datos - TIMSS 2023'!$A$5:$A$105,0)),"Pendiente de clasificar")))</f>
        <v/>
      </c>
      <c r="AD1154" s="11" t="inlineStr">
        <is>
          <t>2. Construir y evaluar diseños para la indagación científica e interpretar datos y evidencia de forma crítica</t>
        </is>
      </c>
      <c r="AE1154" s="11">
        <f>IF(AD1154="","",IF(LEFT(AD1154,1)="1","C1",IF(LEFT(AD1154,1)="2","C2",IF(LEFT(AD1154,1)="3","C3",""))))</f>
        <v/>
      </c>
      <c r="AF1154" s="11" t="inlineStr">
        <is>
          <t>E1</t>
        </is>
      </c>
      <c r="AG1154" s="11" t="inlineStr">
        <is>
          <t>D1</t>
        </is>
      </c>
      <c r="AH1154" s="11" t="inlineStr">
        <is>
          <t>E4</t>
        </is>
      </c>
      <c r="AI1154" s="11" t="inlineStr">
        <is>
          <t>D4</t>
        </is>
      </c>
      <c r="AJ1154" s="11" t="inlineStr">
        <is>
          <t>E3</t>
        </is>
      </c>
      <c r="AK1154" s="11" t="n"/>
      <c r="AL1154" s="11" t="n"/>
      <c r="AM1154" s="11" t="n"/>
      <c r="AN1154" s="11" t="n"/>
      <c r="AO1154" s="11" t="n"/>
      <c r="AP1154" s="11" t="n"/>
      <c r="AQ1154" s="11" t="n"/>
      <c r="AR1154" s="11" t="n"/>
      <c r="AS1154" s="11" t="n"/>
      <c r="AT1154" s="11" t="n"/>
      <c r="AU1154" s="11" t="n"/>
      <c r="AV1154" s="11" t="n"/>
      <c r="AW1154" s="11">
        <f>AF1154&amp;"; "&amp;AG1154&amp;"; "&amp;AH1154&amp;"; "&amp;AI1154&amp;"; "&amp;AJ1154</f>
        <v/>
      </c>
    </row>
    <row r="1155">
      <c r="A1155" s="11" t="inlineStr">
        <is>
          <t>T0053-G10-BIO</t>
        </is>
      </c>
      <c r="B1155" s="11" t="n">
        <v>10</v>
      </c>
      <c r="C1155" s="11" t="inlineStr">
        <is>
          <t>Biología</t>
        </is>
      </c>
      <c r="D1155" s="11" t="inlineStr">
        <is>
          <t>Matriz_Bachillerato_Biologia_10_11.xlsx</t>
        </is>
      </c>
      <c r="E1155" s="11" t="inlineStr">
        <is>
          <t>Biología 10.°</t>
        </is>
      </c>
      <c r="F1155" s="11" t="n">
        <v>55</v>
      </c>
      <c r="G1155" s="11" t="inlineStr">
        <is>
          <t>5. Evolución</t>
        </is>
      </c>
      <c r="H1155" s="11" t="inlineStr">
        <is>
          <t>Síntesis evolutiva y evolución humana</t>
        </is>
      </c>
      <c r="I1155" s="38" t="inlineStr">
        <is>
          <t>5.8. Integración de la genética y la selección natural en la síntesis evolutiva moderna y análisis de la evidencia de la evolución humana.</t>
        </is>
      </c>
      <c r="J1155" s="11" t="inlineStr">
        <is>
          <t>Sin marco</t>
        </is>
      </c>
      <c r="K1155" s="11" t="inlineStr">
        <is>
          <t>N/A</t>
        </is>
      </c>
      <c r="L1155" s="11" t="inlineStr"/>
      <c r="M1155" s="11">
        <f>IF(K1155="FUERA","Fuera del marco",IF(K1155="N/A","Sin marco",IFERROR(INDEX('Datos - Catálogo TIMSS'!$C$5:$C$107,MATCH(K1155,'Datos - Catálogo TIMSS'!$A$5:$A$107,0)),"Pendiente de clasificar")))</f>
        <v/>
      </c>
      <c r="N1155" s="11">
        <f>IF(K1155="FUERA","Fuera del marco",IF(K1155="N/A","Sin marco",IFERROR(INDEX('Datos - Catálogo TIMSS'!$F$5:$F$107,MATCH(K1155,'Datos - Catálogo TIMSS'!$A$5:$A$107,0)),"Pendiente de clasificar")))</f>
        <v/>
      </c>
      <c r="O1155" s="11">
        <f>IF(L1155="","",IFERROR(INDEX('Datos - Catálogo TIMSS'!$C$5:$C$107,MATCH(L1155,'Datos - Catálogo TIMSS'!$A$5:$A$107,0)),"?"))</f>
        <v/>
      </c>
      <c r="P1155" s="11" t="inlineStr">
        <is>
          <t>N/A</t>
        </is>
      </c>
      <c r="Q1155" s="38" t="inlineStr">
        <is>
          <t>Sin marco TIMSS de contenido para esta asignatura en Bachillerato</t>
        </is>
      </c>
      <c r="R1155" s="38" t="inlineStr">
        <is>
          <t>Conocer: identificar especies de homininos. Razonar: interpretar evidencias de la evolución humana</t>
        </is>
      </c>
      <c r="S1155" s="39">
        <f>IFERROR(ISNUMBER(SEARCH("Conocer",$R1155))/(ISNUMBER(SEARCH("Conocer",$R1155))+ISNUMBER(SEARCH("Aplicar",$R1155))+ISNUMBER(SEARCH("Razonar",$R1155))),0)</f>
        <v/>
      </c>
      <c r="T1155" s="39">
        <f>IFERROR(ISNUMBER(SEARCH("Aplicar",$R1155))/(ISNUMBER(SEARCH("Conocer",$R1155))+ISNUMBER(SEARCH("Aplicar",$R1155))+ISNUMBER(SEARCH("Razonar",$R1155))),0)</f>
        <v/>
      </c>
      <c r="U1155" s="39">
        <f>IFERROR(ISNUMBER(SEARCH("Razonar",$R1155))/(ISNUMBER(SEARCH("Conocer",$R1155))+ISNUMBER(SEARCH("Aplicar",$R1155))+ISNUMBER(SEARCH("Razonar",$R1155))),0)</f>
        <v/>
      </c>
      <c r="V1155" s="11" t="inlineStr">
        <is>
          <t>Biología 10°</t>
        </is>
      </c>
      <c r="W1155" s="11" t="inlineStr">
        <is>
          <t>Biología 10°–11°</t>
        </is>
      </c>
      <c r="X1155" s="11">
        <f>IF(OR(IFERROR(INDEX('Datos - Catálogo TIMSS'!$I$5:$I$107,MATCH(K1155,'Datos - Catálogo TIMSS'!$A$5:$A$107,0)),"No")="Sí",IFERROR(INDEX('Datos - Catálogo TIMSS'!$I$5:$I$107,MATCH(L1155,'Datos - Catálogo TIMSS'!$A$5:$A$107,0)),"No")="Sí"),1,0)</f>
        <v/>
      </c>
      <c r="Y1155" s="11">
        <f>IF(IFERROR(INDEX('Datos - Catálogo TIMSS'!$J$5:$J$107,MATCH(K1155,'Datos - Catálogo TIMSS'!$A$5:$A$107,0)),"No")="Sí",1,0)</f>
        <v/>
      </c>
      <c r="Z1155" s="11">
        <f>IF(IFERROR(INDEX('Datos - Catálogo TIMSS'!$J$5:$J$107,MATCH(L1155,'Datos - Catálogo TIMSS'!$A$5:$A$107,0)),"No")="Sí",1,0)</f>
        <v/>
      </c>
      <c r="AA1155" s="11" t="inlineStr">
        <is>
          <t>N/A</t>
        </is>
      </c>
      <c r="AB1155" s="11" t="inlineStr"/>
      <c r="AC1155" s="11">
        <f>IF(AA1155="FUERA","Fuera del marco",IF(AA1155="N/A","Sin marco",IFERROR(INDEX('Datos - TIMSS 2023'!$C$5:$C$105,MATCH(AA1155,'Datos - TIMSS 2023'!$A$5:$A$105,0)),"Pendiente de clasificar")))</f>
        <v/>
      </c>
      <c r="AD1155" s="11" t="inlineStr">
        <is>
          <t>1. Explicar fenómenos científicamente</t>
        </is>
      </c>
      <c r="AE1155" s="11">
        <f>IF(AD1155="","",IF(LEFT(AD1155,1)="1","C1",IF(LEFT(AD1155,1)="2","C2",IF(LEFT(AD1155,1)="3","C3",""))))</f>
        <v/>
      </c>
      <c r="AF1155" s="11" t="inlineStr">
        <is>
          <t>E1</t>
        </is>
      </c>
      <c r="AG1155" s="11" t="inlineStr">
        <is>
          <t>E5</t>
        </is>
      </c>
      <c r="AH1155" s="11" t="inlineStr">
        <is>
          <t>E4</t>
        </is>
      </c>
      <c r="AI1155" s="11" t="inlineStr">
        <is>
          <t>I3</t>
        </is>
      </c>
      <c r="AJ1155" s="11" t="inlineStr">
        <is>
          <t>I4</t>
        </is>
      </c>
      <c r="AK1155" s="11" t="n"/>
      <c r="AL1155" s="11" t="n"/>
      <c r="AM1155" s="11" t="n"/>
      <c r="AN1155" s="11" t="n"/>
      <c r="AO1155" s="11" t="n"/>
      <c r="AP1155" s="11" t="n"/>
      <c r="AQ1155" s="11" t="n"/>
      <c r="AR1155" s="11" t="n"/>
      <c r="AS1155" s="11" t="n"/>
      <c r="AT1155" s="11" t="n"/>
      <c r="AU1155" s="11" t="n"/>
      <c r="AV1155" s="11" t="n"/>
      <c r="AW1155" s="11">
        <f>AF1155&amp;"; "&amp;AG1155&amp;"; "&amp;AH1155&amp;"; "&amp;AI1155&amp;"; "&amp;AJ1155</f>
        <v/>
      </c>
    </row>
    <row r="1156">
      <c r="A1156" s="11" t="inlineStr">
        <is>
          <t>T0054-G10-BIO</t>
        </is>
      </c>
      <c r="B1156" s="11" t="n">
        <v>10</v>
      </c>
      <c r="C1156" s="11" t="inlineStr">
        <is>
          <t>Biología</t>
        </is>
      </c>
      <c r="D1156" s="11" t="inlineStr">
        <is>
          <t>Matriz_Bachillerato_Biologia_10_11.xlsx</t>
        </is>
      </c>
      <c r="E1156" s="11" t="inlineStr">
        <is>
          <t>Biología 10.°</t>
        </is>
      </c>
      <c r="F1156" s="11" t="n">
        <v>56</v>
      </c>
      <c r="G1156" s="11" t="inlineStr">
        <is>
          <t>6. Termodinámica y sistemas vivos</t>
        </is>
      </c>
      <c r="H1156" s="11" t="inlineStr">
        <is>
          <t>Energía libre en los sistemas vivos</t>
        </is>
      </c>
      <c r="I1156" s="38" t="inlineStr">
        <is>
          <t>6.1. Cálculo de la variación de energía libre de reacciones biológicas acopladas a la hidrólisis del ATP.</t>
        </is>
      </c>
      <c r="J1156" s="11" t="inlineStr">
        <is>
          <t>Sin marco</t>
        </is>
      </c>
      <c r="K1156" s="11" t="inlineStr">
        <is>
          <t>N/A</t>
        </is>
      </c>
      <c r="L1156" s="11" t="inlineStr"/>
      <c r="M1156" s="11">
        <f>IF(K1156="FUERA","Fuera del marco",IF(K1156="N/A","Sin marco",IFERROR(INDEX('Datos - Catálogo TIMSS'!$C$5:$C$107,MATCH(K1156,'Datos - Catálogo TIMSS'!$A$5:$A$107,0)),"Pendiente de clasificar")))</f>
        <v/>
      </c>
      <c r="N1156" s="11">
        <f>IF(K1156="FUERA","Fuera del marco",IF(K1156="N/A","Sin marco",IFERROR(INDEX('Datos - Catálogo TIMSS'!$F$5:$F$107,MATCH(K1156,'Datos - Catálogo TIMSS'!$A$5:$A$107,0)),"Pendiente de clasificar")))</f>
        <v/>
      </c>
      <c r="O1156" s="11">
        <f>IF(L1156="","",IFERROR(INDEX('Datos - Catálogo TIMSS'!$C$5:$C$107,MATCH(L1156,'Datos - Catálogo TIMSS'!$A$5:$A$107,0)),"?"))</f>
        <v/>
      </c>
      <c r="P1156" s="11" t="inlineStr">
        <is>
          <t>N/A</t>
        </is>
      </c>
      <c r="Q1156" s="38" t="inlineStr">
        <is>
          <t>Sin marco TIMSS de contenido para esta asignatura en Bachillerato</t>
        </is>
      </c>
      <c r="R1156" s="38" t="inlineStr">
        <is>
          <t>Aplicar: calcular variaciones de energía libre. Razonar: justificar la espontaneidad de reacciones acopladas</t>
        </is>
      </c>
      <c r="S1156" s="39">
        <f>IFERROR(ISNUMBER(SEARCH("Conocer",$R1156))/(ISNUMBER(SEARCH("Conocer",$R1156))+ISNUMBER(SEARCH("Aplicar",$R1156))+ISNUMBER(SEARCH("Razonar",$R1156))),0)</f>
        <v/>
      </c>
      <c r="T1156" s="39">
        <f>IFERROR(ISNUMBER(SEARCH("Aplicar",$R1156))/(ISNUMBER(SEARCH("Conocer",$R1156))+ISNUMBER(SEARCH("Aplicar",$R1156))+ISNUMBER(SEARCH("Razonar",$R1156))),0)</f>
        <v/>
      </c>
      <c r="U1156" s="39">
        <f>IFERROR(ISNUMBER(SEARCH("Razonar",$R1156))/(ISNUMBER(SEARCH("Conocer",$R1156))+ISNUMBER(SEARCH("Aplicar",$R1156))+ISNUMBER(SEARCH("Razonar",$R1156))),0)</f>
        <v/>
      </c>
      <c r="V1156" s="11" t="inlineStr">
        <is>
          <t>Biología 10°</t>
        </is>
      </c>
      <c r="W1156" s="11" t="inlineStr">
        <is>
          <t>Biología 10°–11°</t>
        </is>
      </c>
      <c r="X1156" s="11">
        <f>IF(OR(IFERROR(INDEX('Datos - Catálogo TIMSS'!$I$5:$I$107,MATCH(K1156,'Datos - Catálogo TIMSS'!$A$5:$A$107,0)),"No")="Sí",IFERROR(INDEX('Datos - Catálogo TIMSS'!$I$5:$I$107,MATCH(L1156,'Datos - Catálogo TIMSS'!$A$5:$A$107,0)),"No")="Sí"),1,0)</f>
        <v/>
      </c>
      <c r="Y1156" s="11">
        <f>IF(IFERROR(INDEX('Datos - Catálogo TIMSS'!$J$5:$J$107,MATCH(K1156,'Datos - Catálogo TIMSS'!$A$5:$A$107,0)),"No")="Sí",1,0)</f>
        <v/>
      </c>
      <c r="Z1156" s="11">
        <f>IF(IFERROR(INDEX('Datos - Catálogo TIMSS'!$J$5:$J$107,MATCH(L1156,'Datos - Catálogo TIMSS'!$A$5:$A$107,0)),"No")="Sí",1,0)</f>
        <v/>
      </c>
      <c r="AA1156" s="11" t="inlineStr">
        <is>
          <t>N/A</t>
        </is>
      </c>
      <c r="AB1156" s="11" t="inlineStr"/>
      <c r="AC1156" s="11">
        <f>IF(AA1156="FUERA","Fuera del marco",IF(AA1156="N/A","Sin marco",IFERROR(INDEX('Datos - TIMSS 2023'!$C$5:$C$105,MATCH(AA1156,'Datos - TIMSS 2023'!$A$5:$A$105,0)),"Pendiente de clasificar")))</f>
        <v/>
      </c>
      <c r="AD1156" s="11" t="inlineStr">
        <is>
          <t>1. Explicar fenómenos científicamente</t>
        </is>
      </c>
      <c r="AE1156" s="11">
        <f>IF(AD1156="","",IF(LEFT(AD1156,1)="1","C1",IF(LEFT(AD1156,1)="2","C2",IF(LEFT(AD1156,1)="3","C3",""))))</f>
        <v/>
      </c>
      <c r="AF1156" s="11" t="inlineStr">
        <is>
          <t>E1</t>
        </is>
      </c>
      <c r="AG1156" s="11" t="inlineStr">
        <is>
          <t>D1</t>
        </is>
      </c>
      <c r="AH1156" s="11" t="inlineStr">
        <is>
          <t>E2</t>
        </is>
      </c>
      <c r="AI1156" s="11" t="inlineStr">
        <is>
          <t>D4</t>
        </is>
      </c>
      <c r="AJ1156" s="11" t="inlineStr">
        <is>
          <t>E3</t>
        </is>
      </c>
      <c r="AK1156" s="11" t="n"/>
      <c r="AL1156" s="11" t="n"/>
      <c r="AM1156" s="11" t="n"/>
      <c r="AN1156" s="11" t="n"/>
      <c r="AO1156" s="11" t="n"/>
      <c r="AP1156" s="11" t="n"/>
      <c r="AQ1156" s="11" t="n"/>
      <c r="AR1156" s="11" t="n"/>
      <c r="AS1156" s="11" t="n"/>
      <c r="AT1156" s="11" t="n"/>
      <c r="AU1156" s="11" t="n"/>
      <c r="AV1156" s="11" t="n"/>
      <c r="AW1156" s="11">
        <f>AF1156&amp;"; "&amp;AG1156&amp;"; "&amp;AH1156&amp;"; "&amp;AI1156&amp;"; "&amp;AJ1156</f>
        <v/>
      </c>
    </row>
    <row r="1157">
      <c r="A1157" s="11" t="inlineStr">
        <is>
          <t>T0055-G10-BIO</t>
        </is>
      </c>
      <c r="B1157" s="11" t="n">
        <v>10</v>
      </c>
      <c r="C1157" s="11" t="inlineStr">
        <is>
          <t>Biología</t>
        </is>
      </c>
      <c r="D1157" s="11" t="inlineStr">
        <is>
          <t>Matriz_Bachillerato_Biologia_10_11.xlsx</t>
        </is>
      </c>
      <c r="E1157" s="11" t="inlineStr">
        <is>
          <t>Biología 10.°</t>
        </is>
      </c>
      <c r="F1157" s="11" t="n">
        <v>57</v>
      </c>
      <c r="G1157" s="11" t="inlineStr">
        <is>
          <t>6. Termodinámica y sistemas vivos</t>
        </is>
      </c>
      <c r="H1157" s="11" t="inlineStr">
        <is>
          <t>Metabolismo energético del organismo</t>
        </is>
      </c>
      <c r="I1157" s="38" t="inlineStr">
        <is>
          <t>6.2. Medición indirecta de la tasa metabólica de semillas en germinación a partir de la producción de dióxido de carbono.</t>
        </is>
      </c>
      <c r="J1157" s="11" t="inlineStr">
        <is>
          <t>Sin marco</t>
        </is>
      </c>
      <c r="K1157" s="11" t="inlineStr">
        <is>
          <t>N/A</t>
        </is>
      </c>
      <c r="L1157" s="11" t="inlineStr"/>
      <c r="M1157" s="11">
        <f>IF(K1157="FUERA","Fuera del marco",IF(K1157="N/A","Sin marco",IFERROR(INDEX('Datos - Catálogo TIMSS'!$C$5:$C$107,MATCH(K1157,'Datos - Catálogo TIMSS'!$A$5:$A$107,0)),"Pendiente de clasificar")))</f>
        <v/>
      </c>
      <c r="N1157" s="11">
        <f>IF(K1157="FUERA","Fuera del marco",IF(K1157="N/A","Sin marco",IFERROR(INDEX('Datos - Catálogo TIMSS'!$F$5:$F$107,MATCH(K1157,'Datos - Catálogo TIMSS'!$A$5:$A$107,0)),"Pendiente de clasificar")))</f>
        <v/>
      </c>
      <c r="O1157" s="11">
        <f>IF(L1157="","",IFERROR(INDEX('Datos - Catálogo TIMSS'!$C$5:$C$107,MATCH(L1157,'Datos - Catálogo TIMSS'!$A$5:$A$107,0)),"?"))</f>
        <v/>
      </c>
      <c r="P1157" s="11" t="inlineStr">
        <is>
          <t>N/A</t>
        </is>
      </c>
      <c r="Q1157" s="38" t="inlineStr">
        <is>
          <t>Sin marco TIMSS de contenido para esta asignatura en Bachillerato</t>
        </is>
      </c>
      <c r="R1157" s="38" t="inlineStr">
        <is>
          <t>Aplicar: calcular tasas de producción de CO2. Razonar: evaluar un diseño experimental</t>
        </is>
      </c>
      <c r="S1157" s="39">
        <f>IFERROR(ISNUMBER(SEARCH("Conocer",$R1157))/(ISNUMBER(SEARCH("Conocer",$R1157))+ISNUMBER(SEARCH("Aplicar",$R1157))+ISNUMBER(SEARCH("Razonar",$R1157))),0)</f>
        <v/>
      </c>
      <c r="T1157" s="39">
        <f>IFERROR(ISNUMBER(SEARCH("Aplicar",$R1157))/(ISNUMBER(SEARCH("Conocer",$R1157))+ISNUMBER(SEARCH("Aplicar",$R1157))+ISNUMBER(SEARCH("Razonar",$R1157))),0)</f>
        <v/>
      </c>
      <c r="U1157" s="39">
        <f>IFERROR(ISNUMBER(SEARCH("Razonar",$R1157))/(ISNUMBER(SEARCH("Conocer",$R1157))+ISNUMBER(SEARCH("Aplicar",$R1157))+ISNUMBER(SEARCH("Razonar",$R1157))),0)</f>
        <v/>
      </c>
      <c r="V1157" s="11" t="inlineStr">
        <is>
          <t>Biología 10°</t>
        </is>
      </c>
      <c r="W1157" s="11" t="inlineStr">
        <is>
          <t>Biología 10°–11°</t>
        </is>
      </c>
      <c r="X1157" s="11">
        <f>IF(OR(IFERROR(INDEX('Datos - Catálogo TIMSS'!$I$5:$I$107,MATCH(K1157,'Datos - Catálogo TIMSS'!$A$5:$A$107,0)),"No")="Sí",IFERROR(INDEX('Datos - Catálogo TIMSS'!$I$5:$I$107,MATCH(L1157,'Datos - Catálogo TIMSS'!$A$5:$A$107,0)),"No")="Sí"),1,0)</f>
        <v/>
      </c>
      <c r="Y1157" s="11">
        <f>IF(IFERROR(INDEX('Datos - Catálogo TIMSS'!$J$5:$J$107,MATCH(K1157,'Datos - Catálogo TIMSS'!$A$5:$A$107,0)),"No")="Sí",1,0)</f>
        <v/>
      </c>
      <c r="Z1157" s="11">
        <f>IF(IFERROR(INDEX('Datos - Catálogo TIMSS'!$J$5:$J$107,MATCH(L1157,'Datos - Catálogo TIMSS'!$A$5:$A$107,0)),"No")="Sí",1,0)</f>
        <v/>
      </c>
      <c r="AA1157" s="11" t="inlineStr">
        <is>
          <t>N/A</t>
        </is>
      </c>
      <c r="AB1157" s="11" t="inlineStr"/>
      <c r="AC1157" s="11">
        <f>IF(AA1157="FUERA","Fuera del marco",IF(AA1157="N/A","Sin marco",IFERROR(INDEX('Datos - TIMSS 2023'!$C$5:$C$105,MATCH(AA1157,'Datos - TIMSS 2023'!$A$5:$A$105,0)),"Pendiente de clasificar")))</f>
        <v/>
      </c>
      <c r="AD1157" s="11" t="inlineStr">
        <is>
          <t>2. Construir y evaluar diseños para la indagación científica e interpretar datos y evidencia de forma crítica</t>
        </is>
      </c>
      <c r="AE1157" s="11">
        <f>IF(AD1157="","",IF(LEFT(AD1157,1)="1","C1",IF(LEFT(AD1157,1)="2","C2",IF(LEFT(AD1157,1)="3","C3",""))))</f>
        <v/>
      </c>
      <c r="AF1157" s="11" t="inlineStr">
        <is>
          <t>E1</t>
        </is>
      </c>
      <c r="AG1157" s="11" t="inlineStr">
        <is>
          <t>D1</t>
        </is>
      </c>
      <c r="AH1157" s="11" t="inlineStr">
        <is>
          <t>E1</t>
        </is>
      </c>
      <c r="AI1157" s="11" t="inlineStr">
        <is>
          <t>D2</t>
        </is>
      </c>
      <c r="AJ1157" s="11" t="inlineStr">
        <is>
          <t>D3</t>
        </is>
      </c>
      <c r="AK1157" s="11" t="n"/>
      <c r="AL1157" s="11" t="n"/>
      <c r="AM1157" s="11" t="n"/>
      <c r="AN1157" s="11" t="n"/>
      <c r="AO1157" s="11" t="n"/>
      <c r="AP1157" s="11" t="n"/>
      <c r="AQ1157" s="11" t="n"/>
      <c r="AR1157" s="11" t="n"/>
      <c r="AS1157" s="11" t="n"/>
      <c r="AT1157" s="11" t="n"/>
      <c r="AU1157" s="11" t="n"/>
      <c r="AV1157" s="11" t="n"/>
      <c r="AW1157" s="11">
        <f>AF1157&amp;"; "&amp;AG1157&amp;"; "&amp;AH1157&amp;"; "&amp;AI1157&amp;"; "&amp;AJ1157</f>
        <v/>
      </c>
    </row>
    <row r="1158">
      <c r="A1158" s="11" t="inlineStr">
        <is>
          <t>T0056-G10-BIO</t>
        </is>
      </c>
      <c r="B1158" s="11" t="n">
        <v>10</v>
      </c>
      <c r="C1158" s="11" t="inlineStr">
        <is>
          <t>Biología</t>
        </is>
      </c>
      <c r="D1158" s="11" t="inlineStr">
        <is>
          <t>Matriz_Bachillerato_Biologia_10_11.xlsx</t>
        </is>
      </c>
      <c r="E1158" s="11" t="inlineStr">
        <is>
          <t>Biología 10.°</t>
        </is>
      </c>
      <c r="F1158" s="11" t="n">
        <v>58</v>
      </c>
      <c r="G1158" s="11" t="inlineStr">
        <is>
          <t>6. Termodinámica y sistemas vivos</t>
        </is>
      </c>
      <c r="H1158" s="11" t="inlineStr">
        <is>
          <t>Metabolismo energético del organismo</t>
        </is>
      </c>
      <c r="I1158" s="38" t="inlineStr">
        <is>
          <t>6.3. Análisis de datos publicados de temperatura corporal y consumo de oxígeno de endotermos y ectotermos frente a la temperatura ambiental.</t>
        </is>
      </c>
      <c r="J1158" s="11" t="inlineStr">
        <is>
          <t>Sin marco</t>
        </is>
      </c>
      <c r="K1158" s="11" t="inlineStr">
        <is>
          <t>N/A</t>
        </is>
      </c>
      <c r="L1158" s="11" t="inlineStr"/>
      <c r="M1158" s="11">
        <f>IF(K1158="FUERA","Fuera del marco",IF(K1158="N/A","Sin marco",IFERROR(INDEX('Datos - Catálogo TIMSS'!$C$5:$C$107,MATCH(K1158,'Datos - Catálogo TIMSS'!$A$5:$A$107,0)),"Pendiente de clasificar")))</f>
        <v/>
      </c>
      <c r="N1158" s="11">
        <f>IF(K1158="FUERA","Fuera del marco",IF(K1158="N/A","Sin marco",IFERROR(INDEX('Datos - Catálogo TIMSS'!$F$5:$F$107,MATCH(K1158,'Datos - Catálogo TIMSS'!$A$5:$A$107,0)),"Pendiente de clasificar")))</f>
        <v/>
      </c>
      <c r="O1158" s="11">
        <f>IF(L1158="","",IFERROR(INDEX('Datos - Catálogo TIMSS'!$C$5:$C$107,MATCH(L1158,'Datos - Catálogo TIMSS'!$A$5:$A$107,0)),"?"))</f>
        <v/>
      </c>
      <c r="P1158" s="11" t="inlineStr">
        <is>
          <t>N/A</t>
        </is>
      </c>
      <c r="Q1158" s="38" t="inlineStr">
        <is>
          <t>Sin marco TIMSS de contenido para esta asignatura en Bachillerato</t>
        </is>
      </c>
      <c r="R1158" s="38" t="inlineStr">
        <is>
          <t>Aplicar: interpretar gráficas fisiológicas. Razonar: comparar estrategias de termorregulación</t>
        </is>
      </c>
      <c r="S1158" s="39">
        <f>IFERROR(ISNUMBER(SEARCH("Conocer",$R1158))/(ISNUMBER(SEARCH("Conocer",$R1158))+ISNUMBER(SEARCH("Aplicar",$R1158))+ISNUMBER(SEARCH("Razonar",$R1158))),0)</f>
        <v/>
      </c>
      <c r="T1158" s="39">
        <f>IFERROR(ISNUMBER(SEARCH("Aplicar",$R1158))/(ISNUMBER(SEARCH("Conocer",$R1158))+ISNUMBER(SEARCH("Aplicar",$R1158))+ISNUMBER(SEARCH("Razonar",$R1158))),0)</f>
        <v/>
      </c>
      <c r="U1158" s="39">
        <f>IFERROR(ISNUMBER(SEARCH("Razonar",$R1158))/(ISNUMBER(SEARCH("Conocer",$R1158))+ISNUMBER(SEARCH("Aplicar",$R1158))+ISNUMBER(SEARCH("Razonar",$R1158))),0)</f>
        <v/>
      </c>
      <c r="V1158" s="11" t="inlineStr">
        <is>
          <t>Biología 10°</t>
        </is>
      </c>
      <c r="W1158" s="11" t="inlineStr">
        <is>
          <t>Biología 10°–11°</t>
        </is>
      </c>
      <c r="X1158" s="11">
        <f>IF(OR(IFERROR(INDEX('Datos - Catálogo TIMSS'!$I$5:$I$107,MATCH(K1158,'Datos - Catálogo TIMSS'!$A$5:$A$107,0)),"No")="Sí",IFERROR(INDEX('Datos - Catálogo TIMSS'!$I$5:$I$107,MATCH(L1158,'Datos - Catálogo TIMSS'!$A$5:$A$107,0)),"No")="Sí"),1,0)</f>
        <v/>
      </c>
      <c r="Y1158" s="11">
        <f>IF(IFERROR(INDEX('Datos - Catálogo TIMSS'!$J$5:$J$107,MATCH(K1158,'Datos - Catálogo TIMSS'!$A$5:$A$107,0)),"No")="Sí",1,0)</f>
        <v/>
      </c>
      <c r="Z1158" s="11">
        <f>IF(IFERROR(INDEX('Datos - Catálogo TIMSS'!$J$5:$J$107,MATCH(L1158,'Datos - Catálogo TIMSS'!$A$5:$A$107,0)),"No")="Sí",1,0)</f>
        <v/>
      </c>
      <c r="AA1158" s="11" t="inlineStr">
        <is>
          <t>N/A</t>
        </is>
      </c>
      <c r="AB1158" s="11" t="inlineStr"/>
      <c r="AC1158" s="11">
        <f>IF(AA1158="FUERA","Fuera del marco",IF(AA1158="N/A","Sin marco",IFERROR(INDEX('Datos - TIMSS 2023'!$C$5:$C$105,MATCH(AA1158,'Datos - TIMSS 2023'!$A$5:$A$105,0)),"Pendiente de clasificar")))</f>
        <v/>
      </c>
      <c r="AD1158" s="11" t="inlineStr">
        <is>
          <t>1. Explicar fenómenos científicamente</t>
        </is>
      </c>
      <c r="AE1158" s="11">
        <f>IF(AD1158="","",IF(LEFT(AD1158,1)="1","C1",IF(LEFT(AD1158,1)="2","C2",IF(LEFT(AD1158,1)="3","C3",""))))</f>
        <v/>
      </c>
      <c r="AF1158" s="11" t="inlineStr">
        <is>
          <t>E1</t>
        </is>
      </c>
      <c r="AG1158" s="11" t="inlineStr">
        <is>
          <t>E3</t>
        </is>
      </c>
      <c r="AH1158" s="11" t="inlineStr">
        <is>
          <t>E2</t>
        </is>
      </c>
      <c r="AI1158" s="11" t="inlineStr">
        <is>
          <t>D4</t>
        </is>
      </c>
      <c r="AJ1158" s="11" t="inlineStr">
        <is>
          <t>E6</t>
        </is>
      </c>
      <c r="AK1158" s="11" t="n"/>
      <c r="AL1158" s="11" t="n"/>
      <c r="AM1158" s="11" t="n"/>
      <c r="AN1158" s="11" t="n"/>
      <c r="AO1158" s="11" t="n"/>
      <c r="AP1158" s="11" t="n"/>
      <c r="AQ1158" s="11" t="n"/>
      <c r="AR1158" s="11" t="n"/>
      <c r="AS1158" s="11" t="n"/>
      <c r="AT1158" s="11" t="n"/>
      <c r="AU1158" s="11" t="n"/>
      <c r="AV1158" s="11" t="n"/>
      <c r="AW1158" s="11">
        <f>AF1158&amp;"; "&amp;AG1158&amp;"; "&amp;AH1158&amp;"; "&amp;AI1158&amp;"; "&amp;AJ1158</f>
        <v/>
      </c>
    </row>
    <row r="1159">
      <c r="A1159" s="11" t="inlineStr">
        <is>
          <t>T0057-G10-BIO</t>
        </is>
      </c>
      <c r="B1159" s="11" t="n">
        <v>10</v>
      </c>
      <c r="C1159" s="11" t="inlineStr">
        <is>
          <t>Biología</t>
        </is>
      </c>
      <c r="D1159" s="11" t="inlineStr">
        <is>
          <t>Matriz_Bachillerato_Biologia_10_11.xlsx</t>
        </is>
      </c>
      <c r="E1159" s="11" t="inlineStr">
        <is>
          <t>Biología 10.°</t>
        </is>
      </c>
      <c r="F1159" s="11" t="n">
        <v>59</v>
      </c>
      <c r="G1159" s="11" t="inlineStr">
        <is>
          <t>6. Termodinámica y sistemas vivos</t>
        </is>
      </c>
      <c r="H1159" s="11" t="inlineStr">
        <is>
          <t>Tamaño corporal y energía</t>
        </is>
      </c>
      <c r="I1159" s="38" t="inlineStr">
        <is>
          <t>6.4. Análisis de la relación entre masa corporal y tasa metabólica mediante gráficas logarítmicas y la ley de Kleiber.</t>
        </is>
      </c>
      <c r="J1159" s="11" t="inlineStr">
        <is>
          <t>Sin marco</t>
        </is>
      </c>
      <c r="K1159" s="11" t="inlineStr">
        <is>
          <t>N/A</t>
        </is>
      </c>
      <c r="L1159" s="11" t="inlineStr"/>
      <c r="M1159" s="11">
        <f>IF(K1159="FUERA","Fuera del marco",IF(K1159="N/A","Sin marco",IFERROR(INDEX('Datos - Catálogo TIMSS'!$C$5:$C$107,MATCH(K1159,'Datos - Catálogo TIMSS'!$A$5:$A$107,0)),"Pendiente de clasificar")))</f>
        <v/>
      </c>
      <c r="N1159" s="11">
        <f>IF(K1159="FUERA","Fuera del marco",IF(K1159="N/A","Sin marco",IFERROR(INDEX('Datos - Catálogo TIMSS'!$F$5:$F$107,MATCH(K1159,'Datos - Catálogo TIMSS'!$A$5:$A$107,0)),"Pendiente de clasificar")))</f>
        <v/>
      </c>
      <c r="O1159" s="11">
        <f>IF(L1159="","",IFERROR(INDEX('Datos - Catálogo TIMSS'!$C$5:$C$107,MATCH(L1159,'Datos - Catálogo TIMSS'!$A$5:$A$107,0)),"?"))</f>
        <v/>
      </c>
      <c r="P1159" s="11" t="inlineStr">
        <is>
          <t>N/A</t>
        </is>
      </c>
      <c r="Q1159" s="38" t="inlineStr">
        <is>
          <t>Sin marco TIMSS de contenido para esta asignatura en Bachillerato</t>
        </is>
      </c>
      <c r="R1159" s="38" t="inlineStr">
        <is>
          <t>Aplicar: calcular relaciones S/V y ajustar una ley de potencia. Razonar: explicar el efecto del tamaño corporal</t>
        </is>
      </c>
      <c r="S1159" s="39">
        <f>IFERROR(ISNUMBER(SEARCH("Conocer",$R1159))/(ISNUMBER(SEARCH("Conocer",$R1159))+ISNUMBER(SEARCH("Aplicar",$R1159))+ISNUMBER(SEARCH("Razonar",$R1159))),0)</f>
        <v/>
      </c>
      <c r="T1159" s="39">
        <f>IFERROR(ISNUMBER(SEARCH("Aplicar",$R1159))/(ISNUMBER(SEARCH("Conocer",$R1159))+ISNUMBER(SEARCH("Aplicar",$R1159))+ISNUMBER(SEARCH("Razonar",$R1159))),0)</f>
        <v/>
      </c>
      <c r="U1159" s="39">
        <f>IFERROR(ISNUMBER(SEARCH("Razonar",$R1159))/(ISNUMBER(SEARCH("Conocer",$R1159))+ISNUMBER(SEARCH("Aplicar",$R1159))+ISNUMBER(SEARCH("Razonar",$R1159))),0)</f>
        <v/>
      </c>
      <c r="V1159" s="11" t="inlineStr">
        <is>
          <t>Biología 10°</t>
        </is>
      </c>
      <c r="W1159" s="11" t="inlineStr">
        <is>
          <t>Biología 10°–11°</t>
        </is>
      </c>
      <c r="X1159" s="11">
        <f>IF(OR(IFERROR(INDEX('Datos - Catálogo TIMSS'!$I$5:$I$107,MATCH(K1159,'Datos - Catálogo TIMSS'!$A$5:$A$107,0)),"No")="Sí",IFERROR(INDEX('Datos - Catálogo TIMSS'!$I$5:$I$107,MATCH(L1159,'Datos - Catálogo TIMSS'!$A$5:$A$107,0)),"No")="Sí"),1,0)</f>
        <v/>
      </c>
      <c r="Y1159" s="11">
        <f>IF(IFERROR(INDEX('Datos - Catálogo TIMSS'!$J$5:$J$107,MATCH(K1159,'Datos - Catálogo TIMSS'!$A$5:$A$107,0)),"No")="Sí",1,0)</f>
        <v/>
      </c>
      <c r="Z1159" s="11">
        <f>IF(IFERROR(INDEX('Datos - Catálogo TIMSS'!$J$5:$J$107,MATCH(L1159,'Datos - Catálogo TIMSS'!$A$5:$A$107,0)),"No")="Sí",1,0)</f>
        <v/>
      </c>
      <c r="AA1159" s="11" t="inlineStr">
        <is>
          <t>N/A</t>
        </is>
      </c>
      <c r="AB1159" s="11" t="inlineStr"/>
      <c r="AC1159" s="11">
        <f>IF(AA1159="FUERA","Fuera del marco",IF(AA1159="N/A","Sin marco",IFERROR(INDEX('Datos - TIMSS 2023'!$C$5:$C$105,MATCH(AA1159,'Datos - TIMSS 2023'!$A$5:$A$105,0)),"Pendiente de clasificar")))</f>
        <v/>
      </c>
      <c r="AD1159" s="11" t="inlineStr">
        <is>
          <t>1. Explicar fenómenos científicamente</t>
        </is>
      </c>
      <c r="AE1159" s="11">
        <f>IF(AD1159="","",IF(LEFT(AD1159,1)="1","C1",IF(LEFT(AD1159,1)="2","C2",IF(LEFT(AD1159,1)="3","C3",""))))</f>
        <v/>
      </c>
      <c r="AF1159" s="11" t="inlineStr">
        <is>
          <t>E1</t>
        </is>
      </c>
      <c r="AG1159" s="11" t="inlineStr">
        <is>
          <t>E5</t>
        </is>
      </c>
      <c r="AH1159" s="11" t="inlineStr">
        <is>
          <t>E4</t>
        </is>
      </c>
      <c r="AI1159" s="11" t="inlineStr">
        <is>
          <t>D4</t>
        </is>
      </c>
      <c r="AJ1159" s="11" t="inlineStr">
        <is>
          <t>E3</t>
        </is>
      </c>
      <c r="AK1159" s="11" t="n"/>
      <c r="AL1159" s="11" t="n"/>
      <c r="AM1159" s="11" t="n"/>
      <c r="AN1159" s="11" t="n"/>
      <c r="AO1159" s="11" t="n"/>
      <c r="AP1159" s="11" t="n"/>
      <c r="AQ1159" s="11" t="n"/>
      <c r="AR1159" s="11" t="n"/>
      <c r="AS1159" s="11" t="n"/>
      <c r="AT1159" s="11" t="n"/>
      <c r="AU1159" s="11" t="n"/>
      <c r="AV1159" s="11" t="n"/>
      <c r="AW1159" s="11">
        <f>AF1159&amp;"; "&amp;AG1159&amp;"; "&amp;AH1159&amp;"; "&amp;AI1159&amp;"; "&amp;AJ1159</f>
        <v/>
      </c>
    </row>
    <row r="1160">
      <c r="A1160" s="11" t="inlineStr">
        <is>
          <t>T0058-G10-BIO</t>
        </is>
      </c>
      <c r="B1160" s="11" t="n">
        <v>10</v>
      </c>
      <c r="C1160" s="11" t="inlineStr">
        <is>
          <t>Biología</t>
        </is>
      </c>
      <c r="D1160" s="11" t="inlineStr">
        <is>
          <t>Matriz_Bachillerato_Biologia_10_11.xlsx</t>
        </is>
      </c>
      <c r="E1160" s="11" t="inlineStr">
        <is>
          <t>Biología 10.°</t>
        </is>
      </c>
      <c r="F1160" s="11" t="n">
        <v>60</v>
      </c>
      <c r="G1160" s="11" t="inlineStr">
        <is>
          <t>6. Termodinámica y sistemas vivos</t>
        </is>
      </c>
      <c r="H1160" s="11" t="inlineStr">
        <is>
          <t>Energía en los ecosistemas</t>
        </is>
      </c>
      <c r="I1160" s="38" t="inlineStr">
        <is>
          <t>6.5. Cálculo de la eficiencia de transferencia de energía entre niveles tróficos con datos de un ecosistema de manglar.</t>
        </is>
      </c>
      <c r="J1160" s="11" t="inlineStr">
        <is>
          <t>Sin marco</t>
        </is>
      </c>
      <c r="K1160" s="11" t="inlineStr">
        <is>
          <t>N/A</t>
        </is>
      </c>
      <c r="L1160" s="11" t="inlineStr"/>
      <c r="M1160" s="11">
        <f>IF(K1160="FUERA","Fuera del marco",IF(K1160="N/A","Sin marco",IFERROR(INDEX('Datos - Catálogo TIMSS'!$C$5:$C$107,MATCH(K1160,'Datos - Catálogo TIMSS'!$A$5:$A$107,0)),"Pendiente de clasificar")))</f>
        <v/>
      </c>
      <c r="N1160" s="11">
        <f>IF(K1160="FUERA","Fuera del marco",IF(K1160="N/A","Sin marco",IFERROR(INDEX('Datos - Catálogo TIMSS'!$F$5:$F$107,MATCH(K1160,'Datos - Catálogo TIMSS'!$A$5:$A$107,0)),"Pendiente de clasificar")))</f>
        <v/>
      </c>
      <c r="O1160" s="11">
        <f>IF(L1160="","",IFERROR(INDEX('Datos - Catálogo TIMSS'!$C$5:$C$107,MATCH(L1160,'Datos - Catálogo TIMSS'!$A$5:$A$107,0)),"?"))</f>
        <v/>
      </c>
      <c r="P1160" s="11" t="inlineStr">
        <is>
          <t>N/A</t>
        </is>
      </c>
      <c r="Q1160" s="38" t="inlineStr">
        <is>
          <t>Sin marco TIMSS de contenido para esta asignatura en Bachillerato</t>
        </is>
      </c>
      <c r="R1160" s="38" t="inlineStr">
        <is>
          <t>Aplicar: calcular eficiencias de transferencia. Razonar: argumentar la longitud de las cadenas tróficas</t>
        </is>
      </c>
      <c r="S1160" s="39">
        <f>IFERROR(ISNUMBER(SEARCH("Conocer",$R1160))/(ISNUMBER(SEARCH("Conocer",$R1160))+ISNUMBER(SEARCH("Aplicar",$R1160))+ISNUMBER(SEARCH("Razonar",$R1160))),0)</f>
        <v/>
      </c>
      <c r="T1160" s="39">
        <f>IFERROR(ISNUMBER(SEARCH("Aplicar",$R1160))/(ISNUMBER(SEARCH("Conocer",$R1160))+ISNUMBER(SEARCH("Aplicar",$R1160))+ISNUMBER(SEARCH("Razonar",$R1160))),0)</f>
        <v/>
      </c>
      <c r="U1160" s="39">
        <f>IFERROR(ISNUMBER(SEARCH("Razonar",$R1160))/(ISNUMBER(SEARCH("Conocer",$R1160))+ISNUMBER(SEARCH("Aplicar",$R1160))+ISNUMBER(SEARCH("Razonar",$R1160))),0)</f>
        <v/>
      </c>
      <c r="V1160" s="11" t="inlineStr">
        <is>
          <t>Biología 10°</t>
        </is>
      </c>
      <c r="W1160" s="11" t="inlineStr">
        <is>
          <t>Biología 10°–11°</t>
        </is>
      </c>
      <c r="X1160" s="11">
        <f>IF(OR(IFERROR(INDEX('Datos - Catálogo TIMSS'!$I$5:$I$107,MATCH(K1160,'Datos - Catálogo TIMSS'!$A$5:$A$107,0)),"No")="Sí",IFERROR(INDEX('Datos - Catálogo TIMSS'!$I$5:$I$107,MATCH(L1160,'Datos - Catálogo TIMSS'!$A$5:$A$107,0)),"No")="Sí"),1,0)</f>
        <v/>
      </c>
      <c r="Y1160" s="11">
        <f>IF(IFERROR(INDEX('Datos - Catálogo TIMSS'!$J$5:$J$107,MATCH(K1160,'Datos - Catálogo TIMSS'!$A$5:$A$107,0)),"No")="Sí",1,0)</f>
        <v/>
      </c>
      <c r="Z1160" s="11">
        <f>IF(IFERROR(INDEX('Datos - Catálogo TIMSS'!$J$5:$J$107,MATCH(L1160,'Datos - Catálogo TIMSS'!$A$5:$A$107,0)),"No")="Sí",1,0)</f>
        <v/>
      </c>
      <c r="AA1160" s="11" t="inlineStr">
        <is>
          <t>N/A</t>
        </is>
      </c>
      <c r="AB1160" s="11" t="inlineStr"/>
      <c r="AC1160" s="11">
        <f>IF(AA1160="FUERA","Fuera del marco",IF(AA1160="N/A","Sin marco",IFERROR(INDEX('Datos - TIMSS 2023'!$C$5:$C$105,MATCH(AA1160,'Datos - TIMSS 2023'!$A$5:$A$105,0)),"Pendiente de clasificar")))</f>
        <v/>
      </c>
      <c r="AD1160" s="11" t="inlineStr">
        <is>
          <t>3. Investigar, evaluar y usar información científica para tomar decisiones y actuar</t>
        </is>
      </c>
      <c r="AE1160" s="11">
        <f>IF(AD1160="","",IF(LEFT(AD1160,1)="1","C1",IF(LEFT(AD1160,1)="2","C2",IF(LEFT(AD1160,1)="3","C3",""))))</f>
        <v/>
      </c>
      <c r="AF1160" s="11" t="inlineStr">
        <is>
          <t>E6</t>
        </is>
      </c>
      <c r="AG1160" s="11" t="inlineStr">
        <is>
          <t>E3</t>
        </is>
      </c>
      <c r="AH1160" s="11" t="inlineStr">
        <is>
          <t>E2</t>
        </is>
      </c>
      <c r="AI1160" s="11" t="inlineStr">
        <is>
          <t>I3</t>
        </is>
      </c>
      <c r="AJ1160" s="11" t="inlineStr">
        <is>
          <t>I5</t>
        </is>
      </c>
      <c r="AK1160" s="11" t="n"/>
      <c r="AL1160" s="11" t="n"/>
      <c r="AM1160" s="11" t="n"/>
      <c r="AN1160" s="11" t="n"/>
      <c r="AO1160" s="11" t="n"/>
      <c r="AP1160" s="11" t="n"/>
      <c r="AQ1160" s="11" t="n"/>
      <c r="AR1160" s="11" t="n"/>
      <c r="AS1160" s="11" t="n"/>
      <c r="AT1160" s="11" t="n"/>
      <c r="AU1160" s="11" t="n"/>
      <c r="AV1160" s="11" t="n"/>
      <c r="AW1160" s="11">
        <f>AF1160&amp;"; "&amp;AG1160&amp;"; "&amp;AH1160&amp;"; "&amp;AI1160&amp;"; "&amp;AJ1160</f>
        <v/>
      </c>
    </row>
    <row r="1161">
      <c r="A1161" s="11" t="inlineStr">
        <is>
          <t>T0059-G10-BIO</t>
        </is>
      </c>
      <c r="B1161" s="11" t="n">
        <v>10</v>
      </c>
      <c r="C1161" s="11" t="inlineStr">
        <is>
          <t>Biología</t>
        </is>
      </c>
      <c r="D1161" s="11" t="inlineStr">
        <is>
          <t>Matriz_Bachillerato_Biologia_10_11.xlsx</t>
        </is>
      </c>
      <c r="E1161" s="11" t="inlineStr">
        <is>
          <t>Biología 10.°</t>
        </is>
      </c>
      <c r="F1161" s="11" t="n">
        <v>61</v>
      </c>
      <c r="G1161" s="11" t="inlineStr">
        <is>
          <t>7. Química de los seres vivos (ciclos de Krebs, Calvin y glucólisis)</t>
        </is>
      </c>
      <c r="H1161" s="11" t="inlineStr">
        <is>
          <t>Catabolismo de la glucosa</t>
        </is>
      </c>
      <c r="I1161" s="38" t="inlineStr">
        <is>
          <t>7.1. Representación de las etapas de la glucólisis y cálculo de su balance neto de ATP y NADH.</t>
        </is>
      </c>
      <c r="J1161" s="11" t="inlineStr">
        <is>
          <t>Sin marco</t>
        </is>
      </c>
      <c r="K1161" s="11" t="inlineStr">
        <is>
          <t>N/A</t>
        </is>
      </c>
      <c r="L1161" s="11" t="inlineStr"/>
      <c r="M1161" s="11">
        <f>IF(K1161="FUERA","Fuera del marco",IF(K1161="N/A","Sin marco",IFERROR(INDEX('Datos - Catálogo TIMSS'!$C$5:$C$107,MATCH(K1161,'Datos - Catálogo TIMSS'!$A$5:$A$107,0)),"Pendiente de clasificar")))</f>
        <v/>
      </c>
      <c r="N1161" s="11">
        <f>IF(K1161="FUERA","Fuera del marco",IF(K1161="N/A","Sin marco",IFERROR(INDEX('Datos - Catálogo TIMSS'!$F$5:$F$107,MATCH(K1161,'Datos - Catálogo TIMSS'!$A$5:$A$107,0)),"Pendiente de clasificar")))</f>
        <v/>
      </c>
      <c r="O1161" s="11">
        <f>IF(L1161="","",IFERROR(INDEX('Datos - Catálogo TIMSS'!$C$5:$C$107,MATCH(L1161,'Datos - Catálogo TIMSS'!$A$5:$A$107,0)),"?"))</f>
        <v/>
      </c>
      <c r="P1161" s="11" t="inlineStr">
        <is>
          <t>N/A</t>
        </is>
      </c>
      <c r="Q1161" s="38" t="inlineStr">
        <is>
          <t>Sin marco TIMSS de contenido para esta asignatura en Bachillerato</t>
        </is>
      </c>
      <c r="R1161" s="38" t="inlineStr">
        <is>
          <t>Conocer: identificar etapas. Aplicar: calcular balances. Razonar: justificar la regeneración de NAD+</t>
        </is>
      </c>
      <c r="S1161" s="39">
        <f>IFERROR(ISNUMBER(SEARCH("Conocer",$R1161))/(ISNUMBER(SEARCH("Conocer",$R1161))+ISNUMBER(SEARCH("Aplicar",$R1161))+ISNUMBER(SEARCH("Razonar",$R1161))),0)</f>
        <v/>
      </c>
      <c r="T1161" s="39">
        <f>IFERROR(ISNUMBER(SEARCH("Aplicar",$R1161))/(ISNUMBER(SEARCH("Conocer",$R1161))+ISNUMBER(SEARCH("Aplicar",$R1161))+ISNUMBER(SEARCH("Razonar",$R1161))),0)</f>
        <v/>
      </c>
      <c r="U1161" s="39">
        <f>IFERROR(ISNUMBER(SEARCH("Razonar",$R1161))/(ISNUMBER(SEARCH("Conocer",$R1161))+ISNUMBER(SEARCH("Aplicar",$R1161))+ISNUMBER(SEARCH("Razonar",$R1161))),0)</f>
        <v/>
      </c>
      <c r="V1161" s="11" t="inlineStr">
        <is>
          <t>Biología 10°</t>
        </is>
      </c>
      <c r="W1161" s="11" t="inlineStr">
        <is>
          <t>Biología 10°–11°</t>
        </is>
      </c>
      <c r="X1161" s="11">
        <f>IF(OR(IFERROR(INDEX('Datos - Catálogo TIMSS'!$I$5:$I$107,MATCH(K1161,'Datos - Catálogo TIMSS'!$A$5:$A$107,0)),"No")="Sí",IFERROR(INDEX('Datos - Catálogo TIMSS'!$I$5:$I$107,MATCH(L1161,'Datos - Catálogo TIMSS'!$A$5:$A$107,0)),"No")="Sí"),1,0)</f>
        <v/>
      </c>
      <c r="Y1161" s="11">
        <f>IF(IFERROR(INDEX('Datos - Catálogo TIMSS'!$J$5:$J$107,MATCH(K1161,'Datos - Catálogo TIMSS'!$A$5:$A$107,0)),"No")="Sí",1,0)</f>
        <v/>
      </c>
      <c r="Z1161" s="11">
        <f>IF(IFERROR(INDEX('Datos - Catálogo TIMSS'!$J$5:$J$107,MATCH(L1161,'Datos - Catálogo TIMSS'!$A$5:$A$107,0)),"No")="Sí",1,0)</f>
        <v/>
      </c>
      <c r="AA1161" s="11" t="inlineStr">
        <is>
          <t>N/A</t>
        </is>
      </c>
      <c r="AB1161" s="11" t="inlineStr"/>
      <c r="AC1161" s="11">
        <f>IF(AA1161="FUERA","Fuera del marco",IF(AA1161="N/A","Sin marco",IFERROR(INDEX('Datos - TIMSS 2023'!$C$5:$C$105,MATCH(AA1161,'Datos - TIMSS 2023'!$A$5:$A$105,0)),"Pendiente de clasificar")))</f>
        <v/>
      </c>
      <c r="AD1161" s="11" t="inlineStr">
        <is>
          <t>1. Explicar fenómenos científicamente</t>
        </is>
      </c>
      <c r="AE1161" s="11">
        <f>IF(AD1161="","",IF(LEFT(AD1161,1)="1","C1",IF(LEFT(AD1161,1)="2","C2",IF(LEFT(AD1161,1)="3","C3",""))))</f>
        <v/>
      </c>
      <c r="AF1161" s="11" t="inlineStr">
        <is>
          <t>E1</t>
        </is>
      </c>
      <c r="AG1161" s="11" t="inlineStr">
        <is>
          <t>E3</t>
        </is>
      </c>
      <c r="AH1161" s="11" t="inlineStr">
        <is>
          <t>E2</t>
        </is>
      </c>
      <c r="AI1161" s="11" t="inlineStr">
        <is>
          <t>D4</t>
        </is>
      </c>
      <c r="AJ1161" s="11" t="inlineStr">
        <is>
          <t>E3</t>
        </is>
      </c>
      <c r="AK1161" s="11" t="n"/>
      <c r="AL1161" s="11" t="n"/>
      <c r="AM1161" s="11" t="n"/>
      <c r="AN1161" s="11" t="n"/>
      <c r="AO1161" s="11" t="n"/>
      <c r="AP1161" s="11" t="n"/>
      <c r="AQ1161" s="11" t="n"/>
      <c r="AR1161" s="11" t="n"/>
      <c r="AS1161" s="11" t="n"/>
      <c r="AT1161" s="11" t="n"/>
      <c r="AU1161" s="11" t="n"/>
      <c r="AV1161" s="11" t="n"/>
      <c r="AW1161" s="11">
        <f>AF1161&amp;"; "&amp;AG1161&amp;"; "&amp;AH1161&amp;"; "&amp;AI1161&amp;"; "&amp;AJ1161</f>
        <v/>
      </c>
    </row>
    <row r="1162">
      <c r="A1162" s="11" t="inlineStr">
        <is>
          <t>T0060-G10-BIO</t>
        </is>
      </c>
      <c r="B1162" s="11" t="n">
        <v>10</v>
      </c>
      <c r="C1162" s="11" t="inlineStr">
        <is>
          <t>Biología</t>
        </is>
      </c>
      <c r="D1162" s="11" t="inlineStr">
        <is>
          <t>Matriz_Bachillerato_Biologia_10_11.xlsx</t>
        </is>
      </c>
      <c r="E1162" s="11" t="inlineStr">
        <is>
          <t>Biología 10.°</t>
        </is>
      </c>
      <c r="F1162" s="11" t="n">
        <v>62</v>
      </c>
      <c r="G1162" s="11" t="inlineStr">
        <is>
          <t>7. Química de los seres vivos (ciclos de Krebs, Calvin y glucólisis)</t>
        </is>
      </c>
      <c r="H1162" s="11" t="inlineStr">
        <is>
          <t>Catabolismo de la glucosa</t>
        </is>
      </c>
      <c r="I1162" s="38" t="inlineStr">
        <is>
          <t>7.2. Análisis de la descarboxilación oxidativa del piruvato y del ciclo de Krebs como fuente de coenzimas reducidas y dióxido de carbono.</t>
        </is>
      </c>
      <c r="J1162" s="11" t="inlineStr">
        <is>
          <t>Sin marco</t>
        </is>
      </c>
      <c r="K1162" s="11" t="inlineStr">
        <is>
          <t>N/A</t>
        </is>
      </c>
      <c r="L1162" s="11" t="inlineStr"/>
      <c r="M1162" s="11">
        <f>IF(K1162="FUERA","Fuera del marco",IF(K1162="N/A","Sin marco",IFERROR(INDEX('Datos - Catálogo TIMSS'!$C$5:$C$107,MATCH(K1162,'Datos - Catálogo TIMSS'!$A$5:$A$107,0)),"Pendiente de clasificar")))</f>
        <v/>
      </c>
      <c r="N1162" s="11">
        <f>IF(K1162="FUERA","Fuera del marco",IF(K1162="N/A","Sin marco",IFERROR(INDEX('Datos - Catálogo TIMSS'!$F$5:$F$107,MATCH(K1162,'Datos - Catálogo TIMSS'!$A$5:$A$107,0)),"Pendiente de clasificar")))</f>
        <v/>
      </c>
      <c r="O1162" s="11">
        <f>IF(L1162="","",IFERROR(INDEX('Datos - Catálogo TIMSS'!$C$5:$C$107,MATCH(L1162,'Datos - Catálogo TIMSS'!$A$5:$A$107,0)),"?"))</f>
        <v/>
      </c>
      <c r="P1162" s="11" t="inlineStr">
        <is>
          <t>N/A</t>
        </is>
      </c>
      <c r="Q1162" s="38" t="inlineStr">
        <is>
          <t>Sin marco TIMSS de contenido para esta asignatura en Bachillerato</t>
        </is>
      </c>
      <c r="R1162" s="38" t="inlineStr">
        <is>
          <t>Aplicar: cuantificar productos del ciclo. Razonar: relacionar el ciclo de Krebs con el consumo de oxígeno</t>
        </is>
      </c>
      <c r="S1162" s="39">
        <f>IFERROR(ISNUMBER(SEARCH("Conocer",$R1162))/(ISNUMBER(SEARCH("Conocer",$R1162))+ISNUMBER(SEARCH("Aplicar",$R1162))+ISNUMBER(SEARCH("Razonar",$R1162))),0)</f>
        <v/>
      </c>
      <c r="T1162" s="39">
        <f>IFERROR(ISNUMBER(SEARCH("Aplicar",$R1162))/(ISNUMBER(SEARCH("Conocer",$R1162))+ISNUMBER(SEARCH("Aplicar",$R1162))+ISNUMBER(SEARCH("Razonar",$R1162))),0)</f>
        <v/>
      </c>
      <c r="U1162" s="39">
        <f>IFERROR(ISNUMBER(SEARCH("Razonar",$R1162))/(ISNUMBER(SEARCH("Conocer",$R1162))+ISNUMBER(SEARCH("Aplicar",$R1162))+ISNUMBER(SEARCH("Razonar",$R1162))),0)</f>
        <v/>
      </c>
      <c r="V1162" s="11" t="inlineStr">
        <is>
          <t>Biología 10°</t>
        </is>
      </c>
      <c r="W1162" s="11" t="inlineStr">
        <is>
          <t>Biología 10°–11°</t>
        </is>
      </c>
      <c r="X1162" s="11">
        <f>IF(OR(IFERROR(INDEX('Datos - Catálogo TIMSS'!$I$5:$I$107,MATCH(K1162,'Datos - Catálogo TIMSS'!$A$5:$A$107,0)),"No")="Sí",IFERROR(INDEX('Datos - Catálogo TIMSS'!$I$5:$I$107,MATCH(L1162,'Datos - Catálogo TIMSS'!$A$5:$A$107,0)),"No")="Sí"),1,0)</f>
        <v/>
      </c>
      <c r="Y1162" s="11">
        <f>IF(IFERROR(INDEX('Datos - Catálogo TIMSS'!$J$5:$J$107,MATCH(K1162,'Datos - Catálogo TIMSS'!$A$5:$A$107,0)),"No")="Sí",1,0)</f>
        <v/>
      </c>
      <c r="Z1162" s="11">
        <f>IF(IFERROR(INDEX('Datos - Catálogo TIMSS'!$J$5:$J$107,MATCH(L1162,'Datos - Catálogo TIMSS'!$A$5:$A$107,0)),"No")="Sí",1,0)</f>
        <v/>
      </c>
      <c r="AA1162" s="11" t="inlineStr">
        <is>
          <t>N/A</t>
        </is>
      </c>
      <c r="AB1162" s="11" t="inlineStr"/>
      <c r="AC1162" s="11">
        <f>IF(AA1162="FUERA","Fuera del marco",IF(AA1162="N/A","Sin marco",IFERROR(INDEX('Datos - TIMSS 2023'!$C$5:$C$105,MATCH(AA1162,'Datos - TIMSS 2023'!$A$5:$A$105,0)),"Pendiente de clasificar")))</f>
        <v/>
      </c>
      <c r="AD1162" s="11" t="inlineStr">
        <is>
          <t>1. Explicar fenómenos científicamente</t>
        </is>
      </c>
      <c r="AE1162" s="11">
        <f>IF(AD1162="","",IF(LEFT(AD1162,1)="1","C1",IF(LEFT(AD1162,1)="2","C2",IF(LEFT(AD1162,1)="3","C3",""))))</f>
        <v/>
      </c>
      <c r="AF1162" s="11" t="inlineStr">
        <is>
          <t>E1</t>
        </is>
      </c>
      <c r="AG1162" s="11" t="inlineStr">
        <is>
          <t>D1</t>
        </is>
      </c>
      <c r="AH1162" s="11" t="inlineStr">
        <is>
          <t>E4</t>
        </is>
      </c>
      <c r="AI1162" s="11" t="inlineStr">
        <is>
          <t>D4</t>
        </is>
      </c>
      <c r="AJ1162" s="11" t="inlineStr">
        <is>
          <t>E3</t>
        </is>
      </c>
      <c r="AK1162" s="11" t="n"/>
      <c r="AL1162" s="11" t="n"/>
      <c r="AM1162" s="11" t="n"/>
      <c r="AN1162" s="11" t="n"/>
      <c r="AO1162" s="11" t="n"/>
      <c r="AP1162" s="11" t="n"/>
      <c r="AQ1162" s="11" t="n"/>
      <c r="AR1162" s="11" t="n"/>
      <c r="AS1162" s="11" t="n"/>
      <c r="AT1162" s="11" t="n"/>
      <c r="AU1162" s="11" t="n"/>
      <c r="AV1162" s="11" t="n"/>
      <c r="AW1162" s="11">
        <f>AF1162&amp;"; "&amp;AG1162&amp;"; "&amp;AH1162&amp;"; "&amp;AI1162&amp;"; "&amp;AJ1162</f>
        <v/>
      </c>
    </row>
    <row r="1163">
      <c r="A1163" s="11" t="inlineStr">
        <is>
          <t>T0061-G10-BIO</t>
        </is>
      </c>
      <c r="B1163" s="11" t="n">
        <v>10</v>
      </c>
      <c r="C1163" s="11" t="inlineStr">
        <is>
          <t>Biología</t>
        </is>
      </c>
      <c r="D1163" s="11" t="inlineStr">
        <is>
          <t>Matriz_Bachillerato_Biologia_10_11.xlsx</t>
        </is>
      </c>
      <c r="E1163" s="11" t="inlineStr">
        <is>
          <t>Biología 10.°</t>
        </is>
      </c>
      <c r="F1163" s="11" t="n">
        <v>63</v>
      </c>
      <c r="G1163" s="11" t="inlineStr">
        <is>
          <t>7. Química de los seres vivos (ciclos de Krebs, Calvin y glucólisis)</t>
        </is>
      </c>
      <c r="H1163" s="11" t="inlineStr">
        <is>
          <t>Catabolismo de la glucosa</t>
        </is>
      </c>
      <c r="I1163" s="38" t="inlineStr">
        <is>
          <t>7.3. Cálculo del rendimiento energético total de la oxidación completa de una molécula de glucosa.</t>
        </is>
      </c>
      <c r="J1163" s="11" t="inlineStr">
        <is>
          <t>Sin marco</t>
        </is>
      </c>
      <c r="K1163" s="11" t="inlineStr">
        <is>
          <t>N/A</t>
        </is>
      </c>
      <c r="L1163" s="11" t="inlineStr"/>
      <c r="M1163" s="11">
        <f>IF(K1163="FUERA","Fuera del marco",IF(K1163="N/A","Sin marco",IFERROR(INDEX('Datos - Catálogo TIMSS'!$C$5:$C$107,MATCH(K1163,'Datos - Catálogo TIMSS'!$A$5:$A$107,0)),"Pendiente de clasificar")))</f>
        <v/>
      </c>
      <c r="N1163" s="11">
        <f>IF(K1163="FUERA","Fuera del marco",IF(K1163="N/A","Sin marco",IFERROR(INDEX('Datos - Catálogo TIMSS'!$F$5:$F$107,MATCH(K1163,'Datos - Catálogo TIMSS'!$A$5:$A$107,0)),"Pendiente de clasificar")))</f>
        <v/>
      </c>
      <c r="O1163" s="11">
        <f>IF(L1163="","",IFERROR(INDEX('Datos - Catálogo TIMSS'!$C$5:$C$107,MATCH(L1163,'Datos - Catálogo TIMSS'!$A$5:$A$107,0)),"?"))</f>
        <v/>
      </c>
      <c r="P1163" s="11" t="inlineStr">
        <is>
          <t>N/A</t>
        </is>
      </c>
      <c r="Q1163" s="38" t="inlineStr">
        <is>
          <t>Sin marco TIMSS de contenido para esta asignatura en Bachillerato</t>
        </is>
      </c>
      <c r="R1163" s="38" t="inlineStr">
        <is>
          <t>Aplicar: calcular el rendimiento de ATP. Razonar: evaluar la eficiencia energética</t>
        </is>
      </c>
      <c r="S1163" s="39">
        <f>IFERROR(ISNUMBER(SEARCH("Conocer",$R1163))/(ISNUMBER(SEARCH("Conocer",$R1163))+ISNUMBER(SEARCH("Aplicar",$R1163))+ISNUMBER(SEARCH("Razonar",$R1163))),0)</f>
        <v/>
      </c>
      <c r="T1163" s="39">
        <f>IFERROR(ISNUMBER(SEARCH("Aplicar",$R1163))/(ISNUMBER(SEARCH("Conocer",$R1163))+ISNUMBER(SEARCH("Aplicar",$R1163))+ISNUMBER(SEARCH("Razonar",$R1163))),0)</f>
        <v/>
      </c>
      <c r="U1163" s="39">
        <f>IFERROR(ISNUMBER(SEARCH("Razonar",$R1163))/(ISNUMBER(SEARCH("Conocer",$R1163))+ISNUMBER(SEARCH("Aplicar",$R1163))+ISNUMBER(SEARCH("Razonar",$R1163))),0)</f>
        <v/>
      </c>
      <c r="V1163" s="11" t="inlineStr">
        <is>
          <t>Biología 10°</t>
        </is>
      </c>
      <c r="W1163" s="11" t="inlineStr">
        <is>
          <t>Biología 10°–11°</t>
        </is>
      </c>
      <c r="X1163" s="11">
        <f>IF(OR(IFERROR(INDEX('Datos - Catálogo TIMSS'!$I$5:$I$107,MATCH(K1163,'Datos - Catálogo TIMSS'!$A$5:$A$107,0)),"No")="Sí",IFERROR(INDEX('Datos - Catálogo TIMSS'!$I$5:$I$107,MATCH(L1163,'Datos - Catálogo TIMSS'!$A$5:$A$107,0)),"No")="Sí"),1,0)</f>
        <v/>
      </c>
      <c r="Y1163" s="11">
        <f>IF(IFERROR(INDEX('Datos - Catálogo TIMSS'!$J$5:$J$107,MATCH(K1163,'Datos - Catálogo TIMSS'!$A$5:$A$107,0)),"No")="Sí",1,0)</f>
        <v/>
      </c>
      <c r="Z1163" s="11">
        <f>IF(IFERROR(INDEX('Datos - Catálogo TIMSS'!$J$5:$J$107,MATCH(L1163,'Datos - Catálogo TIMSS'!$A$5:$A$107,0)),"No")="Sí",1,0)</f>
        <v/>
      </c>
      <c r="AA1163" s="11" t="inlineStr">
        <is>
          <t>N/A</t>
        </is>
      </c>
      <c r="AB1163" s="11" t="inlineStr"/>
      <c r="AC1163" s="11">
        <f>IF(AA1163="FUERA","Fuera del marco",IF(AA1163="N/A","Sin marco",IFERROR(INDEX('Datos - TIMSS 2023'!$C$5:$C$105,MATCH(AA1163,'Datos - TIMSS 2023'!$A$5:$A$105,0)),"Pendiente de clasificar")))</f>
        <v/>
      </c>
      <c r="AD1163" s="11" t="inlineStr">
        <is>
          <t>1. Explicar fenómenos científicamente</t>
        </is>
      </c>
      <c r="AE1163" s="11">
        <f>IF(AD1163="","",IF(LEFT(AD1163,1)="1","C1",IF(LEFT(AD1163,1)="2","C2",IF(LEFT(AD1163,1)="3","C3",""))))</f>
        <v/>
      </c>
      <c r="AF1163" s="11" t="inlineStr">
        <is>
          <t>E1</t>
        </is>
      </c>
      <c r="AG1163" s="11" t="inlineStr">
        <is>
          <t>E3</t>
        </is>
      </c>
      <c r="AH1163" s="11" t="inlineStr">
        <is>
          <t>E1</t>
        </is>
      </c>
      <c r="AI1163" s="11" t="inlineStr">
        <is>
          <t>D4</t>
        </is>
      </c>
      <c r="AJ1163" s="11" t="inlineStr">
        <is>
          <t>I4</t>
        </is>
      </c>
      <c r="AK1163" s="11" t="n"/>
      <c r="AL1163" s="11" t="n"/>
      <c r="AM1163" s="11" t="n"/>
      <c r="AN1163" s="11" t="n"/>
      <c r="AO1163" s="11" t="n"/>
      <c r="AP1163" s="11" t="n"/>
      <c r="AQ1163" s="11" t="n"/>
      <c r="AR1163" s="11" t="n"/>
      <c r="AS1163" s="11" t="n"/>
      <c r="AT1163" s="11" t="n"/>
      <c r="AU1163" s="11" t="n"/>
      <c r="AV1163" s="11" t="n"/>
      <c r="AW1163" s="11">
        <f>AF1163&amp;"; "&amp;AG1163&amp;"; "&amp;AH1163&amp;"; "&amp;AI1163&amp;"; "&amp;AJ1163</f>
        <v/>
      </c>
    </row>
    <row r="1164">
      <c r="A1164" s="11" t="inlineStr">
        <is>
          <t>T0062-G10-BIO</t>
        </is>
      </c>
      <c r="B1164" s="11" t="n">
        <v>10</v>
      </c>
      <c r="C1164" s="11" t="inlineStr">
        <is>
          <t>Biología</t>
        </is>
      </c>
      <c r="D1164" s="11" t="inlineStr">
        <is>
          <t>Matriz_Bachillerato_Biologia_10_11.xlsx</t>
        </is>
      </c>
      <c r="E1164" s="11" t="inlineStr">
        <is>
          <t>Biología 10.°</t>
        </is>
      </c>
      <c r="F1164" s="11" t="n">
        <v>64</v>
      </c>
      <c r="G1164" s="11" t="inlineStr">
        <is>
          <t>7. Química de los seres vivos (ciclos de Krebs, Calvin y glucólisis)</t>
        </is>
      </c>
      <c r="H1164" s="11" t="inlineStr">
        <is>
          <t>Anabolismo fotosintético</t>
        </is>
      </c>
      <c r="I1164" s="38" t="inlineStr">
        <is>
          <t>7.4. Análisis de las fases de fijación, reducción y regeneración del ciclo de Calvin y del papel de la enzima RuBisCO.</t>
        </is>
      </c>
      <c r="J1164" s="11" t="inlineStr">
        <is>
          <t>Sin marco</t>
        </is>
      </c>
      <c r="K1164" s="11" t="inlineStr">
        <is>
          <t>N/A</t>
        </is>
      </c>
      <c r="L1164" s="11" t="inlineStr"/>
      <c r="M1164" s="11">
        <f>IF(K1164="FUERA","Fuera del marco",IF(K1164="N/A","Sin marco",IFERROR(INDEX('Datos - Catálogo TIMSS'!$C$5:$C$107,MATCH(K1164,'Datos - Catálogo TIMSS'!$A$5:$A$107,0)),"Pendiente de clasificar")))</f>
        <v/>
      </c>
      <c r="N1164" s="11">
        <f>IF(K1164="FUERA","Fuera del marco",IF(K1164="N/A","Sin marco",IFERROR(INDEX('Datos - Catálogo TIMSS'!$F$5:$F$107,MATCH(K1164,'Datos - Catálogo TIMSS'!$A$5:$A$107,0)),"Pendiente de clasificar")))</f>
        <v/>
      </c>
      <c r="O1164" s="11">
        <f>IF(L1164="","",IFERROR(INDEX('Datos - Catálogo TIMSS'!$C$5:$C$107,MATCH(L1164,'Datos - Catálogo TIMSS'!$A$5:$A$107,0)),"?"))</f>
        <v/>
      </c>
      <c r="P1164" s="11" t="inlineStr">
        <is>
          <t>N/A</t>
        </is>
      </c>
      <c r="Q1164" s="38" t="inlineStr">
        <is>
          <t>Sin marco TIMSS de contenido para esta asignatura en Bachillerato</t>
        </is>
      </c>
      <c r="R1164" s="38" t="inlineStr">
        <is>
          <t>Conocer: identificar las fases. Aplicar: balancear el ciclo. Razonar: explicar la fotorrespiración</t>
        </is>
      </c>
      <c r="S1164" s="39">
        <f>IFERROR(ISNUMBER(SEARCH("Conocer",$R1164))/(ISNUMBER(SEARCH("Conocer",$R1164))+ISNUMBER(SEARCH("Aplicar",$R1164))+ISNUMBER(SEARCH("Razonar",$R1164))),0)</f>
        <v/>
      </c>
      <c r="T1164" s="39">
        <f>IFERROR(ISNUMBER(SEARCH("Aplicar",$R1164))/(ISNUMBER(SEARCH("Conocer",$R1164))+ISNUMBER(SEARCH("Aplicar",$R1164))+ISNUMBER(SEARCH("Razonar",$R1164))),0)</f>
        <v/>
      </c>
      <c r="U1164" s="39">
        <f>IFERROR(ISNUMBER(SEARCH("Razonar",$R1164))/(ISNUMBER(SEARCH("Conocer",$R1164))+ISNUMBER(SEARCH("Aplicar",$R1164))+ISNUMBER(SEARCH("Razonar",$R1164))),0)</f>
        <v/>
      </c>
      <c r="V1164" s="11" t="inlineStr">
        <is>
          <t>Biología 10°</t>
        </is>
      </c>
      <c r="W1164" s="11" t="inlineStr">
        <is>
          <t>Biología 10°–11°</t>
        </is>
      </c>
      <c r="X1164" s="11">
        <f>IF(OR(IFERROR(INDEX('Datos - Catálogo TIMSS'!$I$5:$I$107,MATCH(K1164,'Datos - Catálogo TIMSS'!$A$5:$A$107,0)),"No")="Sí",IFERROR(INDEX('Datos - Catálogo TIMSS'!$I$5:$I$107,MATCH(L1164,'Datos - Catálogo TIMSS'!$A$5:$A$107,0)),"No")="Sí"),1,0)</f>
        <v/>
      </c>
      <c r="Y1164" s="11">
        <f>IF(IFERROR(INDEX('Datos - Catálogo TIMSS'!$J$5:$J$107,MATCH(K1164,'Datos - Catálogo TIMSS'!$A$5:$A$107,0)),"No")="Sí",1,0)</f>
        <v/>
      </c>
      <c r="Z1164" s="11">
        <f>IF(IFERROR(INDEX('Datos - Catálogo TIMSS'!$J$5:$J$107,MATCH(L1164,'Datos - Catálogo TIMSS'!$A$5:$A$107,0)),"No")="Sí",1,0)</f>
        <v/>
      </c>
      <c r="AA1164" s="11" t="inlineStr">
        <is>
          <t>N/A</t>
        </is>
      </c>
      <c r="AB1164" s="11" t="inlineStr"/>
      <c r="AC1164" s="11">
        <f>IF(AA1164="FUERA","Fuera del marco",IF(AA1164="N/A","Sin marco",IFERROR(INDEX('Datos - TIMSS 2023'!$C$5:$C$105,MATCH(AA1164,'Datos - TIMSS 2023'!$A$5:$A$105,0)),"Pendiente de clasificar")))</f>
        <v/>
      </c>
      <c r="AD1164" s="11" t="inlineStr">
        <is>
          <t>1. Explicar fenómenos científicamente</t>
        </is>
      </c>
      <c r="AE1164" s="11">
        <f>IF(AD1164="","",IF(LEFT(AD1164,1)="1","C1",IF(LEFT(AD1164,1)="2","C2",IF(LEFT(AD1164,1)="3","C3",""))))</f>
        <v/>
      </c>
      <c r="AF1164" s="11" t="inlineStr">
        <is>
          <t>E1</t>
        </is>
      </c>
      <c r="AG1164" s="11" t="inlineStr">
        <is>
          <t>D1</t>
        </is>
      </c>
      <c r="AH1164" s="11" t="inlineStr">
        <is>
          <t>E2</t>
        </is>
      </c>
      <c r="AI1164" s="11" t="inlineStr">
        <is>
          <t>E4</t>
        </is>
      </c>
      <c r="AJ1164" s="11" t="inlineStr">
        <is>
          <t>E6</t>
        </is>
      </c>
      <c r="AK1164" s="11" t="n"/>
      <c r="AL1164" s="11" t="n"/>
      <c r="AM1164" s="11" t="n"/>
      <c r="AN1164" s="11" t="n"/>
      <c r="AO1164" s="11" t="n"/>
      <c r="AP1164" s="11" t="n"/>
      <c r="AQ1164" s="11" t="n"/>
      <c r="AR1164" s="11" t="n"/>
      <c r="AS1164" s="11" t="n"/>
      <c r="AT1164" s="11" t="n"/>
      <c r="AU1164" s="11" t="n"/>
      <c r="AV1164" s="11" t="n"/>
      <c r="AW1164" s="11">
        <f>AF1164&amp;"; "&amp;AG1164&amp;"; "&amp;AH1164&amp;"; "&amp;AI1164&amp;"; "&amp;AJ1164</f>
        <v/>
      </c>
    </row>
    <row r="1165">
      <c r="A1165" s="11" t="inlineStr">
        <is>
          <t>T0063-G10-BIO</t>
        </is>
      </c>
      <c r="B1165" s="11" t="n">
        <v>10</v>
      </c>
      <c r="C1165" s="11" t="inlineStr">
        <is>
          <t>Biología</t>
        </is>
      </c>
      <c r="D1165" s="11" t="inlineStr">
        <is>
          <t>Matriz_Bachillerato_Biologia_10_11.xlsx</t>
        </is>
      </c>
      <c r="E1165" s="11" t="inlineStr">
        <is>
          <t>Biología 10.°</t>
        </is>
      </c>
      <c r="F1165" s="11" t="n">
        <v>65</v>
      </c>
      <c r="G1165" s="11" t="inlineStr">
        <is>
          <t>7. Química de los seres vivos (ciclos de Krebs, Calvin y glucólisis)</t>
        </is>
      </c>
      <c r="H1165" s="11" t="inlineStr">
        <is>
          <t>Anabolismo fotosintético</t>
        </is>
      </c>
      <c r="I1165" s="38" t="inlineStr">
        <is>
          <t>7.5. Comparación experimental y anatómica de las estrategias fotosintéticas C3, C4 y CAM en plantas cultivadas y silvestres.</t>
        </is>
      </c>
      <c r="J1165" s="11" t="inlineStr">
        <is>
          <t>Sin marco</t>
        </is>
      </c>
      <c r="K1165" s="11" t="inlineStr">
        <is>
          <t>N/A</t>
        </is>
      </c>
      <c r="L1165" s="11" t="inlineStr"/>
      <c r="M1165" s="11">
        <f>IF(K1165="FUERA","Fuera del marco",IF(K1165="N/A","Sin marco",IFERROR(INDEX('Datos - Catálogo TIMSS'!$C$5:$C$107,MATCH(K1165,'Datos - Catálogo TIMSS'!$A$5:$A$107,0)),"Pendiente de clasificar")))</f>
        <v/>
      </c>
      <c r="N1165" s="11">
        <f>IF(K1165="FUERA","Fuera del marco",IF(K1165="N/A","Sin marco",IFERROR(INDEX('Datos - Catálogo TIMSS'!$F$5:$F$107,MATCH(K1165,'Datos - Catálogo TIMSS'!$A$5:$A$107,0)),"Pendiente de clasificar")))</f>
        <v/>
      </c>
      <c r="O1165" s="11">
        <f>IF(L1165="","",IFERROR(INDEX('Datos - Catálogo TIMSS'!$C$5:$C$107,MATCH(L1165,'Datos - Catálogo TIMSS'!$A$5:$A$107,0)),"?"))</f>
        <v/>
      </c>
      <c r="P1165" s="11" t="inlineStr">
        <is>
          <t>N/A</t>
        </is>
      </c>
      <c r="Q1165" s="38" t="inlineStr">
        <is>
          <t>Sin marco TIMSS de contenido para esta asignatura en Bachillerato</t>
        </is>
      </c>
      <c r="R1165" s="38" t="inlineStr">
        <is>
          <t>Aplicar: comparar rutas fotosintéticas. Razonar: evaluar evidencia experimental de la ruta CAM</t>
        </is>
      </c>
      <c r="S1165" s="39">
        <f>IFERROR(ISNUMBER(SEARCH("Conocer",$R1165))/(ISNUMBER(SEARCH("Conocer",$R1165))+ISNUMBER(SEARCH("Aplicar",$R1165))+ISNUMBER(SEARCH("Razonar",$R1165))),0)</f>
        <v/>
      </c>
      <c r="T1165" s="39">
        <f>IFERROR(ISNUMBER(SEARCH("Aplicar",$R1165))/(ISNUMBER(SEARCH("Conocer",$R1165))+ISNUMBER(SEARCH("Aplicar",$R1165))+ISNUMBER(SEARCH("Razonar",$R1165))),0)</f>
        <v/>
      </c>
      <c r="U1165" s="39">
        <f>IFERROR(ISNUMBER(SEARCH("Razonar",$R1165))/(ISNUMBER(SEARCH("Conocer",$R1165))+ISNUMBER(SEARCH("Aplicar",$R1165))+ISNUMBER(SEARCH("Razonar",$R1165))),0)</f>
        <v/>
      </c>
      <c r="V1165" s="11" t="inlineStr">
        <is>
          <t>Biología 10°</t>
        </is>
      </c>
      <c r="W1165" s="11" t="inlineStr">
        <is>
          <t>Biología 10°–11°</t>
        </is>
      </c>
      <c r="X1165" s="11">
        <f>IF(OR(IFERROR(INDEX('Datos - Catálogo TIMSS'!$I$5:$I$107,MATCH(K1165,'Datos - Catálogo TIMSS'!$A$5:$A$107,0)),"No")="Sí",IFERROR(INDEX('Datos - Catálogo TIMSS'!$I$5:$I$107,MATCH(L1165,'Datos - Catálogo TIMSS'!$A$5:$A$107,0)),"No")="Sí"),1,0)</f>
        <v/>
      </c>
      <c r="Y1165" s="11">
        <f>IF(IFERROR(INDEX('Datos - Catálogo TIMSS'!$J$5:$J$107,MATCH(K1165,'Datos - Catálogo TIMSS'!$A$5:$A$107,0)),"No")="Sí",1,0)</f>
        <v/>
      </c>
      <c r="Z1165" s="11">
        <f>IF(IFERROR(INDEX('Datos - Catálogo TIMSS'!$J$5:$J$107,MATCH(L1165,'Datos - Catálogo TIMSS'!$A$5:$A$107,0)),"No")="Sí",1,0)</f>
        <v/>
      </c>
      <c r="AA1165" s="11" t="inlineStr">
        <is>
          <t>N/A</t>
        </is>
      </c>
      <c r="AB1165" s="11" t="inlineStr"/>
      <c r="AC1165" s="11">
        <f>IF(AA1165="FUERA","Fuera del marco",IF(AA1165="N/A","Sin marco",IFERROR(INDEX('Datos - TIMSS 2023'!$C$5:$C$105,MATCH(AA1165,'Datos - TIMSS 2023'!$A$5:$A$105,0)),"Pendiente de clasificar")))</f>
        <v/>
      </c>
      <c r="AD1165" s="11" t="inlineStr">
        <is>
          <t>2. Construir y evaluar diseños para la indagación científica e interpretar datos y evidencia de forma crítica</t>
        </is>
      </c>
      <c r="AE1165" s="11">
        <f>IF(AD1165="","",IF(LEFT(AD1165,1)="1","C1",IF(LEFT(AD1165,1)="2","C2",IF(LEFT(AD1165,1)="3","C3",""))))</f>
        <v/>
      </c>
      <c r="AF1165" s="11" t="inlineStr">
        <is>
          <t>E1</t>
        </is>
      </c>
      <c r="AG1165" s="11" t="inlineStr">
        <is>
          <t>E5</t>
        </is>
      </c>
      <c r="AH1165" s="11" t="inlineStr">
        <is>
          <t>E2</t>
        </is>
      </c>
      <c r="AI1165" s="11" t="inlineStr">
        <is>
          <t>D2</t>
        </is>
      </c>
      <c r="AJ1165" s="11" t="inlineStr">
        <is>
          <t>D3</t>
        </is>
      </c>
      <c r="AK1165" s="11" t="n"/>
      <c r="AL1165" s="11" t="n"/>
      <c r="AM1165" s="11" t="n"/>
      <c r="AN1165" s="11" t="n"/>
      <c r="AO1165" s="11" t="n"/>
      <c r="AP1165" s="11" t="n"/>
      <c r="AQ1165" s="11" t="n"/>
      <c r="AR1165" s="11" t="n"/>
      <c r="AS1165" s="11" t="n"/>
      <c r="AT1165" s="11" t="n"/>
      <c r="AU1165" s="11" t="n"/>
      <c r="AV1165" s="11" t="n"/>
      <c r="AW1165" s="11">
        <f>AF1165&amp;"; "&amp;AG1165&amp;"; "&amp;AH1165&amp;"; "&amp;AI1165&amp;"; "&amp;AJ1165</f>
        <v/>
      </c>
    </row>
    <row r="1166">
      <c r="A1166" s="11" t="inlineStr">
        <is>
          <t>T0064-G10-BIO</t>
        </is>
      </c>
      <c r="B1166" s="11" t="n">
        <v>10</v>
      </c>
      <c r="C1166" s="11" t="inlineStr">
        <is>
          <t>Biología</t>
        </is>
      </c>
      <c r="D1166" s="11" t="inlineStr">
        <is>
          <t>Matriz_Bachillerato_Biologia_10_11.xlsx</t>
        </is>
      </c>
      <c r="E1166" s="11" t="inlineStr">
        <is>
          <t>Biología 10.°</t>
        </is>
      </c>
      <c r="F1166" s="11" t="n">
        <v>66</v>
      </c>
      <c r="G1166" s="11" t="inlineStr">
        <is>
          <t>7. Química de los seres vivos (ciclos de Krebs, Calvin y glucólisis)</t>
        </is>
      </c>
      <c r="H1166" s="11" t="inlineStr">
        <is>
          <t>Integración del metabolismo</t>
        </is>
      </c>
      <c r="I1166" s="38" t="inlineStr">
        <is>
          <t>7.6. Integración de las rutas catabólicas y anabólicas en un mapa metabólico y análisis de sus puntos de regulación.</t>
        </is>
      </c>
      <c r="J1166" s="11" t="inlineStr">
        <is>
          <t>Sin marco</t>
        </is>
      </c>
      <c r="K1166" s="11" t="inlineStr">
        <is>
          <t>N/A</t>
        </is>
      </c>
      <c r="L1166" s="11" t="inlineStr"/>
      <c r="M1166" s="11">
        <f>IF(K1166="FUERA","Fuera del marco",IF(K1166="N/A","Sin marco",IFERROR(INDEX('Datos - Catálogo TIMSS'!$C$5:$C$107,MATCH(K1166,'Datos - Catálogo TIMSS'!$A$5:$A$107,0)),"Pendiente de clasificar")))</f>
        <v/>
      </c>
      <c r="N1166" s="11">
        <f>IF(K1166="FUERA","Fuera del marco",IF(K1166="N/A","Sin marco",IFERROR(INDEX('Datos - Catálogo TIMSS'!$F$5:$F$107,MATCH(K1166,'Datos - Catálogo TIMSS'!$A$5:$A$107,0)),"Pendiente de clasificar")))</f>
        <v/>
      </c>
      <c r="O1166" s="11">
        <f>IF(L1166="","",IFERROR(INDEX('Datos - Catálogo TIMSS'!$C$5:$C$107,MATCH(L1166,'Datos - Catálogo TIMSS'!$A$5:$A$107,0)),"?"))</f>
        <v/>
      </c>
      <c r="P1166" s="11" t="inlineStr">
        <is>
          <t>N/A</t>
        </is>
      </c>
      <c r="Q1166" s="38" t="inlineStr">
        <is>
          <t>Sin marco TIMSS de contenido para esta asignatura en Bachillerato</t>
        </is>
      </c>
      <c r="R1166" s="38" t="inlineStr">
        <is>
          <t>Conocer: diferenciar catabolismo y anabolismo. Razonar: explicar la regulación metabólica</t>
        </is>
      </c>
      <c r="S1166" s="39">
        <f>IFERROR(ISNUMBER(SEARCH("Conocer",$R1166))/(ISNUMBER(SEARCH("Conocer",$R1166))+ISNUMBER(SEARCH("Aplicar",$R1166))+ISNUMBER(SEARCH("Razonar",$R1166))),0)</f>
        <v/>
      </c>
      <c r="T1166" s="39">
        <f>IFERROR(ISNUMBER(SEARCH("Aplicar",$R1166))/(ISNUMBER(SEARCH("Conocer",$R1166))+ISNUMBER(SEARCH("Aplicar",$R1166))+ISNUMBER(SEARCH("Razonar",$R1166))),0)</f>
        <v/>
      </c>
      <c r="U1166" s="39">
        <f>IFERROR(ISNUMBER(SEARCH("Razonar",$R1166))/(ISNUMBER(SEARCH("Conocer",$R1166))+ISNUMBER(SEARCH("Aplicar",$R1166))+ISNUMBER(SEARCH("Razonar",$R1166))),0)</f>
        <v/>
      </c>
      <c r="V1166" s="11" t="inlineStr">
        <is>
          <t>Biología 10°</t>
        </is>
      </c>
      <c r="W1166" s="11" t="inlineStr">
        <is>
          <t>Biología 10°–11°</t>
        </is>
      </c>
      <c r="X1166" s="11">
        <f>IF(OR(IFERROR(INDEX('Datos - Catálogo TIMSS'!$I$5:$I$107,MATCH(K1166,'Datos - Catálogo TIMSS'!$A$5:$A$107,0)),"No")="Sí",IFERROR(INDEX('Datos - Catálogo TIMSS'!$I$5:$I$107,MATCH(L1166,'Datos - Catálogo TIMSS'!$A$5:$A$107,0)),"No")="Sí"),1,0)</f>
        <v/>
      </c>
      <c r="Y1166" s="11">
        <f>IF(IFERROR(INDEX('Datos - Catálogo TIMSS'!$J$5:$J$107,MATCH(K1166,'Datos - Catálogo TIMSS'!$A$5:$A$107,0)),"No")="Sí",1,0)</f>
        <v/>
      </c>
      <c r="Z1166" s="11">
        <f>IF(IFERROR(INDEX('Datos - Catálogo TIMSS'!$J$5:$J$107,MATCH(L1166,'Datos - Catálogo TIMSS'!$A$5:$A$107,0)),"No")="Sí",1,0)</f>
        <v/>
      </c>
      <c r="AA1166" s="11" t="inlineStr">
        <is>
          <t>N/A</t>
        </is>
      </c>
      <c r="AB1166" s="11" t="inlineStr"/>
      <c r="AC1166" s="11">
        <f>IF(AA1166="FUERA","Fuera del marco",IF(AA1166="N/A","Sin marco",IFERROR(INDEX('Datos - TIMSS 2023'!$C$5:$C$105,MATCH(AA1166,'Datos - TIMSS 2023'!$A$5:$A$105,0)),"Pendiente de clasificar")))</f>
        <v/>
      </c>
      <c r="AD1166" s="11" t="inlineStr">
        <is>
          <t>1. Explicar fenómenos científicamente</t>
        </is>
      </c>
      <c r="AE1166" s="11">
        <f>IF(AD1166="","",IF(LEFT(AD1166,1)="1","C1",IF(LEFT(AD1166,1)="2","C2",IF(LEFT(AD1166,1)="3","C3",""))))</f>
        <v/>
      </c>
      <c r="AF1166" s="11" t="inlineStr">
        <is>
          <t>E6</t>
        </is>
      </c>
      <c r="AG1166" s="11" t="inlineStr">
        <is>
          <t>D1</t>
        </is>
      </c>
      <c r="AH1166" s="11" t="inlineStr">
        <is>
          <t>E4</t>
        </is>
      </c>
      <c r="AI1166" s="11" t="inlineStr">
        <is>
          <t>E4</t>
        </is>
      </c>
      <c r="AJ1166" s="11" t="inlineStr">
        <is>
          <t>E3</t>
        </is>
      </c>
      <c r="AK1166" s="11" t="n"/>
      <c r="AL1166" s="11" t="n"/>
      <c r="AM1166" s="11" t="n"/>
      <c r="AN1166" s="11" t="n"/>
      <c r="AO1166" s="11" t="n"/>
      <c r="AP1166" s="11" t="n"/>
      <c r="AQ1166" s="11" t="n"/>
      <c r="AR1166" s="11" t="n"/>
      <c r="AS1166" s="11" t="n"/>
      <c r="AT1166" s="11" t="n"/>
      <c r="AU1166" s="11" t="n"/>
      <c r="AV1166" s="11" t="n"/>
      <c r="AW1166" s="11">
        <f>AF1166&amp;"; "&amp;AG1166&amp;"; "&amp;AH1166&amp;"; "&amp;AI1166&amp;"; "&amp;AJ1166</f>
        <v/>
      </c>
    </row>
    <row r="1167">
      <c r="A1167" s="11" t="inlineStr">
        <is>
          <t>T0065-G10-BIO</t>
        </is>
      </c>
      <c r="B1167" s="11" t="n">
        <v>10</v>
      </c>
      <c r="C1167" s="11" t="inlineStr">
        <is>
          <t>Biología</t>
        </is>
      </c>
      <c r="D1167" s="11" t="inlineStr">
        <is>
          <t>Matriz_Bachillerato_Biologia_10_11.xlsx</t>
        </is>
      </c>
      <c r="E1167" s="11" t="inlineStr">
        <is>
          <t>Biología 10.°</t>
        </is>
      </c>
      <c r="F1167" s="11" t="n">
        <v>67</v>
      </c>
      <c r="G1167" s="11" t="inlineStr">
        <is>
          <t>8. Ciclos biogeoquímicos en la Tierra</t>
        </is>
      </c>
      <c r="H1167" s="11" t="inlineStr">
        <is>
          <t>La Tierra como sistema</t>
        </is>
      </c>
      <c r="I1167" s="38" t="inlineStr">
        <is>
          <t>8.1. Modelación de los ciclos biogeoquímicos como sistemas de reservorios y flujos con cálculo de tiempos de residencia.</t>
        </is>
      </c>
      <c r="J1167" s="11" t="inlineStr">
        <is>
          <t>Sin marco</t>
        </is>
      </c>
      <c r="K1167" s="11" t="inlineStr">
        <is>
          <t>N/A</t>
        </is>
      </c>
      <c r="L1167" s="11" t="inlineStr"/>
      <c r="M1167" s="11">
        <f>IF(K1167="FUERA","Fuera del marco",IF(K1167="N/A","Sin marco",IFERROR(INDEX('Datos - Catálogo TIMSS'!$C$5:$C$107,MATCH(K1167,'Datos - Catálogo TIMSS'!$A$5:$A$107,0)),"Pendiente de clasificar")))</f>
        <v/>
      </c>
      <c r="N1167" s="11">
        <f>IF(K1167="FUERA","Fuera del marco",IF(K1167="N/A","Sin marco",IFERROR(INDEX('Datos - Catálogo TIMSS'!$F$5:$F$107,MATCH(K1167,'Datos - Catálogo TIMSS'!$A$5:$A$107,0)),"Pendiente de clasificar")))</f>
        <v/>
      </c>
      <c r="O1167" s="11">
        <f>IF(L1167="","",IFERROR(INDEX('Datos - Catálogo TIMSS'!$C$5:$C$107,MATCH(L1167,'Datos - Catálogo TIMSS'!$A$5:$A$107,0)),"?"))</f>
        <v/>
      </c>
      <c r="P1167" s="11" t="inlineStr">
        <is>
          <t>N/A</t>
        </is>
      </c>
      <c r="Q1167" s="38" t="inlineStr">
        <is>
          <t>Sin marco TIMSS de contenido para esta asignatura en Bachillerato</t>
        </is>
      </c>
      <c r="R1167" s="38" t="inlineStr">
        <is>
          <t>Aplicar: calcular tiempos de residencia. Razonar: predecir cambios en reservorios</t>
        </is>
      </c>
      <c r="S1167" s="39">
        <f>IFERROR(ISNUMBER(SEARCH("Conocer",$R1167))/(ISNUMBER(SEARCH("Conocer",$R1167))+ISNUMBER(SEARCH("Aplicar",$R1167))+ISNUMBER(SEARCH("Razonar",$R1167))),0)</f>
        <v/>
      </c>
      <c r="T1167" s="39">
        <f>IFERROR(ISNUMBER(SEARCH("Aplicar",$R1167))/(ISNUMBER(SEARCH("Conocer",$R1167))+ISNUMBER(SEARCH("Aplicar",$R1167))+ISNUMBER(SEARCH("Razonar",$R1167))),0)</f>
        <v/>
      </c>
      <c r="U1167" s="39">
        <f>IFERROR(ISNUMBER(SEARCH("Razonar",$R1167))/(ISNUMBER(SEARCH("Conocer",$R1167))+ISNUMBER(SEARCH("Aplicar",$R1167))+ISNUMBER(SEARCH("Razonar",$R1167))),0)</f>
        <v/>
      </c>
      <c r="V1167" s="11" t="inlineStr">
        <is>
          <t>Biología 10°</t>
        </is>
      </c>
      <c r="W1167" s="11" t="inlineStr">
        <is>
          <t>Biología 10°–11°</t>
        </is>
      </c>
      <c r="X1167" s="11">
        <f>IF(OR(IFERROR(INDEX('Datos - Catálogo TIMSS'!$I$5:$I$107,MATCH(K1167,'Datos - Catálogo TIMSS'!$A$5:$A$107,0)),"No")="Sí",IFERROR(INDEX('Datos - Catálogo TIMSS'!$I$5:$I$107,MATCH(L1167,'Datos - Catálogo TIMSS'!$A$5:$A$107,0)),"No")="Sí"),1,0)</f>
        <v/>
      </c>
      <c r="Y1167" s="11">
        <f>IF(IFERROR(INDEX('Datos - Catálogo TIMSS'!$J$5:$J$107,MATCH(K1167,'Datos - Catálogo TIMSS'!$A$5:$A$107,0)),"No")="Sí",1,0)</f>
        <v/>
      </c>
      <c r="Z1167" s="11">
        <f>IF(IFERROR(INDEX('Datos - Catálogo TIMSS'!$J$5:$J$107,MATCH(L1167,'Datos - Catálogo TIMSS'!$A$5:$A$107,0)),"No")="Sí",1,0)</f>
        <v/>
      </c>
      <c r="AA1167" s="11" t="inlineStr">
        <is>
          <t>N/A</t>
        </is>
      </c>
      <c r="AB1167" s="11" t="inlineStr"/>
      <c r="AC1167" s="11">
        <f>IF(AA1167="FUERA","Fuera del marco",IF(AA1167="N/A","Sin marco",IFERROR(INDEX('Datos - TIMSS 2023'!$C$5:$C$105,MATCH(AA1167,'Datos - TIMSS 2023'!$A$5:$A$105,0)),"Pendiente de clasificar")))</f>
        <v/>
      </c>
      <c r="AD1167" s="11" t="inlineStr">
        <is>
          <t>1. Explicar fenómenos científicamente</t>
        </is>
      </c>
      <c r="AE1167" s="11">
        <f>IF(AD1167="","",IF(LEFT(AD1167,1)="1","C1",IF(LEFT(AD1167,1)="2","C2",IF(LEFT(AD1167,1)="3","C3",""))))</f>
        <v/>
      </c>
      <c r="AF1167" s="11" t="inlineStr">
        <is>
          <t>E1</t>
        </is>
      </c>
      <c r="AG1167" s="11" t="inlineStr">
        <is>
          <t>E3</t>
        </is>
      </c>
      <c r="AH1167" s="11" t="inlineStr">
        <is>
          <t>E4</t>
        </is>
      </c>
      <c r="AI1167" s="11" t="inlineStr">
        <is>
          <t>D4</t>
        </is>
      </c>
      <c r="AJ1167" s="11" t="inlineStr">
        <is>
          <t>E3</t>
        </is>
      </c>
      <c r="AK1167" s="11" t="n"/>
      <c r="AL1167" s="11" t="n"/>
      <c r="AM1167" s="11" t="n"/>
      <c r="AN1167" s="11" t="n"/>
      <c r="AO1167" s="11" t="n"/>
      <c r="AP1167" s="11" t="n"/>
      <c r="AQ1167" s="11" t="n"/>
      <c r="AR1167" s="11" t="n"/>
      <c r="AS1167" s="11" t="n"/>
      <c r="AT1167" s="11" t="n"/>
      <c r="AU1167" s="11" t="n"/>
      <c r="AV1167" s="11" t="n"/>
      <c r="AW1167" s="11">
        <f>AF1167&amp;"; "&amp;AG1167&amp;"; "&amp;AH1167&amp;"; "&amp;AI1167&amp;"; "&amp;AJ1167</f>
        <v/>
      </c>
    </row>
    <row r="1168">
      <c r="A1168" s="11" t="inlineStr">
        <is>
          <t>T0066-G10-BIO</t>
        </is>
      </c>
      <c r="B1168" s="11" t="n">
        <v>10</v>
      </c>
      <c r="C1168" s="11" t="inlineStr">
        <is>
          <t>Biología</t>
        </is>
      </c>
      <c r="D1168" s="11" t="inlineStr">
        <is>
          <t>Matriz_Bachillerato_Biologia_10_11.xlsx</t>
        </is>
      </c>
      <c r="E1168" s="11" t="inlineStr">
        <is>
          <t>Biología 10.°</t>
        </is>
      </c>
      <c r="F1168" s="11" t="n">
        <v>68</v>
      </c>
      <c r="G1168" s="11" t="inlineStr">
        <is>
          <t>8. Ciclos biogeoquímicos en la Tierra</t>
        </is>
      </c>
      <c r="H1168" s="11" t="inlineStr">
        <is>
          <t>Ciclo del agua</t>
        </is>
      </c>
      <c r="I1168" s="38" t="inlineStr">
        <is>
          <t>8.2. Análisis del balance hídrico de la cuenca del río Lempa con datos de precipitación, evapotranspiración y caudal.</t>
        </is>
      </c>
      <c r="J1168" s="11" t="inlineStr">
        <is>
          <t>Sin marco</t>
        </is>
      </c>
      <c r="K1168" s="11" t="inlineStr">
        <is>
          <t>N/A</t>
        </is>
      </c>
      <c r="L1168" s="11" t="inlineStr"/>
      <c r="M1168" s="11">
        <f>IF(K1168="FUERA","Fuera del marco",IF(K1168="N/A","Sin marco",IFERROR(INDEX('Datos - Catálogo TIMSS'!$C$5:$C$107,MATCH(K1168,'Datos - Catálogo TIMSS'!$A$5:$A$107,0)),"Pendiente de clasificar")))</f>
        <v/>
      </c>
      <c r="N1168" s="11">
        <f>IF(K1168="FUERA","Fuera del marco",IF(K1168="N/A","Sin marco",IFERROR(INDEX('Datos - Catálogo TIMSS'!$F$5:$F$107,MATCH(K1168,'Datos - Catálogo TIMSS'!$A$5:$A$107,0)),"Pendiente de clasificar")))</f>
        <v/>
      </c>
      <c r="O1168" s="11">
        <f>IF(L1168="","",IFERROR(INDEX('Datos - Catálogo TIMSS'!$C$5:$C$107,MATCH(L1168,'Datos - Catálogo TIMSS'!$A$5:$A$107,0)),"?"))</f>
        <v/>
      </c>
      <c r="P1168" s="11" t="inlineStr">
        <is>
          <t>N/A</t>
        </is>
      </c>
      <c r="Q1168" s="38" t="inlineStr">
        <is>
          <t>Sin marco TIMSS de contenido para esta asignatura en Bachillerato</t>
        </is>
      </c>
      <c r="R1168" s="38" t="inlineStr">
        <is>
          <t>Aplicar: calcular un balance hídrico. Razonar: interpretar variaciones estacionales del caudal</t>
        </is>
      </c>
      <c r="S1168" s="39">
        <f>IFERROR(ISNUMBER(SEARCH("Conocer",$R1168))/(ISNUMBER(SEARCH("Conocer",$R1168))+ISNUMBER(SEARCH("Aplicar",$R1168))+ISNUMBER(SEARCH("Razonar",$R1168))),0)</f>
        <v/>
      </c>
      <c r="T1168" s="39">
        <f>IFERROR(ISNUMBER(SEARCH("Aplicar",$R1168))/(ISNUMBER(SEARCH("Conocer",$R1168))+ISNUMBER(SEARCH("Aplicar",$R1168))+ISNUMBER(SEARCH("Razonar",$R1168))),0)</f>
        <v/>
      </c>
      <c r="U1168" s="39">
        <f>IFERROR(ISNUMBER(SEARCH("Razonar",$R1168))/(ISNUMBER(SEARCH("Conocer",$R1168))+ISNUMBER(SEARCH("Aplicar",$R1168))+ISNUMBER(SEARCH("Razonar",$R1168))),0)</f>
        <v/>
      </c>
      <c r="V1168" s="11" t="inlineStr">
        <is>
          <t>Biología 10°</t>
        </is>
      </c>
      <c r="W1168" s="11" t="inlineStr">
        <is>
          <t>Biología 10°–11°</t>
        </is>
      </c>
      <c r="X1168" s="11">
        <f>IF(OR(IFERROR(INDEX('Datos - Catálogo TIMSS'!$I$5:$I$107,MATCH(K1168,'Datos - Catálogo TIMSS'!$A$5:$A$107,0)),"No")="Sí",IFERROR(INDEX('Datos - Catálogo TIMSS'!$I$5:$I$107,MATCH(L1168,'Datos - Catálogo TIMSS'!$A$5:$A$107,0)),"No")="Sí"),1,0)</f>
        <v/>
      </c>
      <c r="Y1168" s="11">
        <f>IF(IFERROR(INDEX('Datos - Catálogo TIMSS'!$J$5:$J$107,MATCH(K1168,'Datos - Catálogo TIMSS'!$A$5:$A$107,0)),"No")="Sí",1,0)</f>
        <v/>
      </c>
      <c r="Z1168" s="11">
        <f>IF(IFERROR(INDEX('Datos - Catálogo TIMSS'!$J$5:$J$107,MATCH(L1168,'Datos - Catálogo TIMSS'!$A$5:$A$107,0)),"No")="Sí",1,0)</f>
        <v/>
      </c>
      <c r="AA1168" s="11" t="inlineStr">
        <is>
          <t>N/A</t>
        </is>
      </c>
      <c r="AB1168" s="11" t="inlineStr"/>
      <c r="AC1168" s="11">
        <f>IF(AA1168="FUERA","Fuera del marco",IF(AA1168="N/A","Sin marco",IFERROR(INDEX('Datos - TIMSS 2023'!$C$5:$C$105,MATCH(AA1168,'Datos - TIMSS 2023'!$A$5:$A$105,0)),"Pendiente de clasificar")))</f>
        <v/>
      </c>
      <c r="AD1168" s="11" t="inlineStr">
        <is>
          <t>2. Construir y evaluar diseños para la indagación científica e interpretar datos y evidencia de forma crítica</t>
        </is>
      </c>
      <c r="AE1168" s="11">
        <f>IF(AD1168="","",IF(LEFT(AD1168,1)="1","C1",IF(LEFT(AD1168,1)="2","C2",IF(LEFT(AD1168,1)="3","C3",""))))</f>
        <v/>
      </c>
      <c r="AF1168" s="11" t="inlineStr">
        <is>
          <t>E6</t>
        </is>
      </c>
      <c r="AG1168" s="11" t="inlineStr">
        <is>
          <t>D1</t>
        </is>
      </c>
      <c r="AH1168" s="11" t="inlineStr">
        <is>
          <t>E2</t>
        </is>
      </c>
      <c r="AI1168" s="11" t="inlineStr">
        <is>
          <t>D4</t>
        </is>
      </c>
      <c r="AJ1168" s="11" t="inlineStr">
        <is>
          <t>I5</t>
        </is>
      </c>
      <c r="AK1168" s="11" t="n"/>
      <c r="AL1168" s="11" t="n"/>
      <c r="AM1168" s="11" t="n"/>
      <c r="AN1168" s="11" t="n"/>
      <c r="AO1168" s="11" t="n"/>
      <c r="AP1168" s="11" t="n"/>
      <c r="AQ1168" s="11" t="n"/>
      <c r="AR1168" s="11" t="n"/>
      <c r="AS1168" s="11" t="n"/>
      <c r="AT1168" s="11" t="n"/>
      <c r="AU1168" s="11" t="n"/>
      <c r="AV1168" s="11" t="n"/>
      <c r="AW1168" s="11">
        <f>AF1168&amp;"; "&amp;AG1168&amp;"; "&amp;AH1168&amp;"; "&amp;AI1168&amp;"; "&amp;AJ1168</f>
        <v/>
      </c>
    </row>
    <row r="1169">
      <c r="A1169" s="11" t="inlineStr">
        <is>
          <t>T0067-G10-BIO</t>
        </is>
      </c>
      <c r="B1169" s="11" t="n">
        <v>10</v>
      </c>
      <c r="C1169" s="11" t="inlineStr">
        <is>
          <t>Biología</t>
        </is>
      </c>
      <c r="D1169" s="11" t="inlineStr">
        <is>
          <t>Matriz_Bachillerato_Biologia_10_11.xlsx</t>
        </is>
      </c>
      <c r="E1169" s="11" t="inlineStr">
        <is>
          <t>Biología 10.°</t>
        </is>
      </c>
      <c r="F1169" s="11" t="n">
        <v>69</v>
      </c>
      <c r="G1169" s="11" t="inlineStr">
        <is>
          <t>8. Ciclos biogeoquímicos en la Tierra</t>
        </is>
      </c>
      <c r="H1169" s="11" t="inlineStr">
        <is>
          <t>Ciclo del carbono</t>
        </is>
      </c>
      <c r="I1169" s="38" t="inlineStr">
        <is>
          <t>8.3. Interpretación de la serie de concentración de dióxido de carbono atmosférico de Mauna Loa y de los flujos globales del carbono.</t>
        </is>
      </c>
      <c r="J1169" s="11" t="inlineStr">
        <is>
          <t>Sin marco</t>
        </is>
      </c>
      <c r="K1169" s="11" t="inlineStr">
        <is>
          <t>N/A</t>
        </is>
      </c>
      <c r="L1169" s="11" t="inlineStr"/>
      <c r="M1169" s="11">
        <f>IF(K1169="FUERA","Fuera del marco",IF(K1169="N/A","Sin marco",IFERROR(INDEX('Datos - Catálogo TIMSS'!$C$5:$C$107,MATCH(K1169,'Datos - Catálogo TIMSS'!$A$5:$A$107,0)),"Pendiente de clasificar")))</f>
        <v/>
      </c>
      <c r="N1169" s="11">
        <f>IF(K1169="FUERA","Fuera del marco",IF(K1169="N/A","Sin marco",IFERROR(INDEX('Datos - Catálogo TIMSS'!$F$5:$F$107,MATCH(K1169,'Datos - Catálogo TIMSS'!$A$5:$A$107,0)),"Pendiente de clasificar")))</f>
        <v/>
      </c>
      <c r="O1169" s="11">
        <f>IF(L1169="","",IFERROR(INDEX('Datos - Catálogo TIMSS'!$C$5:$C$107,MATCH(L1169,'Datos - Catálogo TIMSS'!$A$5:$A$107,0)),"?"))</f>
        <v/>
      </c>
      <c r="P1169" s="11" t="inlineStr">
        <is>
          <t>N/A</t>
        </is>
      </c>
      <c r="Q1169" s="38" t="inlineStr">
        <is>
          <t>Sin marco TIMSS de contenido para esta asignatura en Bachillerato</t>
        </is>
      </c>
      <c r="R1169" s="38" t="inlineStr">
        <is>
          <t>Aplicar: graficar series temporales y calcular tasas. Razonar: explicar oscilación y tendencia</t>
        </is>
      </c>
      <c r="S1169" s="39">
        <f>IFERROR(ISNUMBER(SEARCH("Conocer",$R1169))/(ISNUMBER(SEARCH("Conocer",$R1169))+ISNUMBER(SEARCH("Aplicar",$R1169))+ISNUMBER(SEARCH("Razonar",$R1169))),0)</f>
        <v/>
      </c>
      <c r="T1169" s="39">
        <f>IFERROR(ISNUMBER(SEARCH("Aplicar",$R1169))/(ISNUMBER(SEARCH("Conocer",$R1169))+ISNUMBER(SEARCH("Aplicar",$R1169))+ISNUMBER(SEARCH("Razonar",$R1169))),0)</f>
        <v/>
      </c>
      <c r="U1169" s="39">
        <f>IFERROR(ISNUMBER(SEARCH("Razonar",$R1169))/(ISNUMBER(SEARCH("Conocer",$R1169))+ISNUMBER(SEARCH("Aplicar",$R1169))+ISNUMBER(SEARCH("Razonar",$R1169))),0)</f>
        <v/>
      </c>
      <c r="V1169" s="11" t="inlineStr">
        <is>
          <t>Biología 10°</t>
        </is>
      </c>
      <c r="W1169" s="11" t="inlineStr">
        <is>
          <t>Biología 10°–11°</t>
        </is>
      </c>
      <c r="X1169" s="11">
        <f>IF(OR(IFERROR(INDEX('Datos - Catálogo TIMSS'!$I$5:$I$107,MATCH(K1169,'Datos - Catálogo TIMSS'!$A$5:$A$107,0)),"No")="Sí",IFERROR(INDEX('Datos - Catálogo TIMSS'!$I$5:$I$107,MATCH(L1169,'Datos - Catálogo TIMSS'!$A$5:$A$107,0)),"No")="Sí"),1,0)</f>
        <v/>
      </c>
      <c r="Y1169" s="11">
        <f>IF(IFERROR(INDEX('Datos - Catálogo TIMSS'!$J$5:$J$107,MATCH(K1169,'Datos - Catálogo TIMSS'!$A$5:$A$107,0)),"No")="Sí",1,0)</f>
        <v/>
      </c>
      <c r="Z1169" s="11">
        <f>IF(IFERROR(INDEX('Datos - Catálogo TIMSS'!$J$5:$J$107,MATCH(L1169,'Datos - Catálogo TIMSS'!$A$5:$A$107,0)),"No")="Sí",1,0)</f>
        <v/>
      </c>
      <c r="AA1169" s="11" t="inlineStr">
        <is>
          <t>N/A</t>
        </is>
      </c>
      <c r="AB1169" s="11" t="inlineStr"/>
      <c r="AC1169" s="11">
        <f>IF(AA1169="FUERA","Fuera del marco",IF(AA1169="N/A","Sin marco",IFERROR(INDEX('Datos - TIMSS 2023'!$C$5:$C$105,MATCH(AA1169,'Datos - TIMSS 2023'!$A$5:$A$105,0)),"Pendiente de clasificar")))</f>
        <v/>
      </c>
      <c r="AD1169" s="11" t="inlineStr">
        <is>
          <t>2. Construir y evaluar diseños para la indagación científica e interpretar datos y evidencia de forma crítica</t>
        </is>
      </c>
      <c r="AE1169" s="11">
        <f>IF(AD1169="","",IF(LEFT(AD1169,1)="1","C1",IF(LEFT(AD1169,1)="2","C2",IF(LEFT(AD1169,1)="3","C3",""))))</f>
        <v/>
      </c>
      <c r="AF1169" s="11" t="inlineStr">
        <is>
          <t>E1</t>
        </is>
      </c>
      <c r="AG1169" s="11" t="inlineStr">
        <is>
          <t>D1</t>
        </is>
      </c>
      <c r="AH1169" s="11" t="inlineStr">
        <is>
          <t>E2</t>
        </is>
      </c>
      <c r="AI1169" s="11" t="inlineStr">
        <is>
          <t>D4</t>
        </is>
      </c>
      <c r="AJ1169" s="11" t="inlineStr">
        <is>
          <t>E3</t>
        </is>
      </c>
      <c r="AK1169" s="11" t="n"/>
      <c r="AL1169" s="11" t="n"/>
      <c r="AM1169" s="11" t="n"/>
      <c r="AN1169" s="11" t="n"/>
      <c r="AO1169" s="11" t="n"/>
      <c r="AP1169" s="11" t="n"/>
      <c r="AQ1169" s="11" t="n"/>
      <c r="AR1169" s="11" t="n"/>
      <c r="AS1169" s="11" t="n"/>
      <c r="AT1169" s="11" t="n"/>
      <c r="AU1169" s="11" t="n"/>
      <c r="AV1169" s="11" t="n"/>
      <c r="AW1169" s="11">
        <f>AF1169&amp;"; "&amp;AG1169&amp;"; "&amp;AH1169&amp;"; "&amp;AI1169&amp;"; "&amp;AJ1169</f>
        <v/>
      </c>
    </row>
    <row r="1170">
      <c r="A1170" s="11" t="inlineStr">
        <is>
          <t>T0068-G10-BIO</t>
        </is>
      </c>
      <c r="B1170" s="11" t="n">
        <v>10</v>
      </c>
      <c r="C1170" s="11" t="inlineStr">
        <is>
          <t>Biología</t>
        </is>
      </c>
      <c r="D1170" s="11" t="inlineStr">
        <is>
          <t>Matriz_Bachillerato_Biologia_10_11.xlsx</t>
        </is>
      </c>
      <c r="E1170" s="11" t="inlineStr">
        <is>
          <t>Biología 10.°</t>
        </is>
      </c>
      <c r="F1170" s="11" t="n">
        <v>70</v>
      </c>
      <c r="G1170" s="11" t="inlineStr">
        <is>
          <t>8. Ciclos biogeoquímicos en la Tierra</t>
        </is>
      </c>
      <c r="H1170" s="11" t="inlineStr">
        <is>
          <t>Ciclo del nitrógeno</t>
        </is>
      </c>
      <c r="I1170" s="38" t="inlineStr">
        <is>
          <t>8.4. Observación de nódulos radicales en leguminosas y análisis de los procesos microbianos del ciclo del nitrógeno.</t>
        </is>
      </c>
      <c r="J1170" s="11" t="inlineStr">
        <is>
          <t>Sin marco</t>
        </is>
      </c>
      <c r="K1170" s="11" t="inlineStr">
        <is>
          <t>N/A</t>
        </is>
      </c>
      <c r="L1170" s="11" t="inlineStr"/>
      <c r="M1170" s="11">
        <f>IF(K1170="FUERA","Fuera del marco",IF(K1170="N/A","Sin marco",IFERROR(INDEX('Datos - Catálogo TIMSS'!$C$5:$C$107,MATCH(K1170,'Datos - Catálogo TIMSS'!$A$5:$A$107,0)),"Pendiente de clasificar")))</f>
        <v/>
      </c>
      <c r="N1170" s="11">
        <f>IF(K1170="FUERA","Fuera del marco",IF(K1170="N/A","Sin marco",IFERROR(INDEX('Datos - Catálogo TIMSS'!$F$5:$F$107,MATCH(K1170,'Datos - Catálogo TIMSS'!$A$5:$A$107,0)),"Pendiente de clasificar")))</f>
        <v/>
      </c>
      <c r="O1170" s="11">
        <f>IF(L1170="","",IFERROR(INDEX('Datos - Catálogo TIMSS'!$C$5:$C$107,MATCH(L1170,'Datos - Catálogo TIMSS'!$A$5:$A$107,0)),"?"))</f>
        <v/>
      </c>
      <c r="P1170" s="11" t="inlineStr">
        <is>
          <t>N/A</t>
        </is>
      </c>
      <c r="Q1170" s="38" t="inlineStr">
        <is>
          <t>Sin marco TIMSS de contenido para esta asignatura en Bachillerato</t>
        </is>
      </c>
      <c r="R1170" s="38" t="inlineStr">
        <is>
          <t>Conocer: identificar procesos. Aplicar: comparar tratamientos. Razonar: relacionar la fijación con la productividad</t>
        </is>
      </c>
      <c r="S1170" s="39">
        <f>IFERROR(ISNUMBER(SEARCH("Conocer",$R1170))/(ISNUMBER(SEARCH("Conocer",$R1170))+ISNUMBER(SEARCH("Aplicar",$R1170))+ISNUMBER(SEARCH("Razonar",$R1170))),0)</f>
        <v/>
      </c>
      <c r="T1170" s="39">
        <f>IFERROR(ISNUMBER(SEARCH("Aplicar",$R1170))/(ISNUMBER(SEARCH("Conocer",$R1170))+ISNUMBER(SEARCH("Aplicar",$R1170))+ISNUMBER(SEARCH("Razonar",$R1170))),0)</f>
        <v/>
      </c>
      <c r="U1170" s="39">
        <f>IFERROR(ISNUMBER(SEARCH("Razonar",$R1170))/(ISNUMBER(SEARCH("Conocer",$R1170))+ISNUMBER(SEARCH("Aplicar",$R1170))+ISNUMBER(SEARCH("Razonar",$R1170))),0)</f>
        <v/>
      </c>
      <c r="V1170" s="11" t="inlineStr">
        <is>
          <t>Biología 10°</t>
        </is>
      </c>
      <c r="W1170" s="11" t="inlineStr">
        <is>
          <t>Biología 10°–11°</t>
        </is>
      </c>
      <c r="X1170" s="11">
        <f>IF(OR(IFERROR(INDEX('Datos - Catálogo TIMSS'!$I$5:$I$107,MATCH(K1170,'Datos - Catálogo TIMSS'!$A$5:$A$107,0)),"No")="Sí",IFERROR(INDEX('Datos - Catálogo TIMSS'!$I$5:$I$107,MATCH(L1170,'Datos - Catálogo TIMSS'!$A$5:$A$107,0)),"No")="Sí"),1,0)</f>
        <v/>
      </c>
      <c r="Y1170" s="11">
        <f>IF(IFERROR(INDEX('Datos - Catálogo TIMSS'!$J$5:$J$107,MATCH(K1170,'Datos - Catálogo TIMSS'!$A$5:$A$107,0)),"No")="Sí",1,0)</f>
        <v/>
      </c>
      <c r="Z1170" s="11">
        <f>IF(IFERROR(INDEX('Datos - Catálogo TIMSS'!$J$5:$J$107,MATCH(L1170,'Datos - Catálogo TIMSS'!$A$5:$A$107,0)),"No")="Sí",1,0)</f>
        <v/>
      </c>
      <c r="AA1170" s="11" t="inlineStr">
        <is>
          <t>N/A</t>
        </is>
      </c>
      <c r="AB1170" s="11" t="inlineStr"/>
      <c r="AC1170" s="11">
        <f>IF(AA1170="FUERA","Fuera del marco",IF(AA1170="N/A","Sin marco",IFERROR(INDEX('Datos - TIMSS 2023'!$C$5:$C$105,MATCH(AA1170,'Datos - TIMSS 2023'!$A$5:$A$105,0)),"Pendiente de clasificar")))</f>
        <v/>
      </c>
      <c r="AD1170" s="11" t="inlineStr">
        <is>
          <t>1. Explicar fenómenos científicamente</t>
        </is>
      </c>
      <c r="AE1170" s="11">
        <f>IF(AD1170="","",IF(LEFT(AD1170,1)="1","C1",IF(LEFT(AD1170,1)="2","C2",IF(LEFT(AD1170,1)="3","C3",""))))</f>
        <v/>
      </c>
      <c r="AF1170" s="11" t="inlineStr">
        <is>
          <t>E6</t>
        </is>
      </c>
      <c r="AG1170" s="11" t="inlineStr">
        <is>
          <t>E5</t>
        </is>
      </c>
      <c r="AH1170" s="11" t="inlineStr">
        <is>
          <t>E1</t>
        </is>
      </c>
      <c r="AI1170" s="11" t="inlineStr">
        <is>
          <t>D4</t>
        </is>
      </c>
      <c r="AJ1170" s="11" t="inlineStr">
        <is>
          <t>E6</t>
        </is>
      </c>
      <c r="AK1170" s="11" t="n"/>
      <c r="AL1170" s="11" t="n"/>
      <c r="AM1170" s="11" t="n"/>
      <c r="AN1170" s="11" t="n"/>
      <c r="AO1170" s="11" t="n"/>
      <c r="AP1170" s="11" t="n"/>
      <c r="AQ1170" s="11" t="n"/>
      <c r="AR1170" s="11" t="n"/>
      <c r="AS1170" s="11" t="n"/>
      <c r="AT1170" s="11" t="n"/>
      <c r="AU1170" s="11" t="n"/>
      <c r="AV1170" s="11" t="n"/>
      <c r="AW1170" s="11">
        <f>AF1170&amp;"; "&amp;AG1170&amp;"; "&amp;AH1170&amp;"; "&amp;AI1170&amp;"; "&amp;AJ1170</f>
        <v/>
      </c>
    </row>
    <row r="1171">
      <c r="A1171" s="11" t="inlineStr">
        <is>
          <t>T0069-G10-BIO</t>
        </is>
      </c>
      <c r="B1171" s="11" t="n">
        <v>10</v>
      </c>
      <c r="C1171" s="11" t="inlineStr">
        <is>
          <t>Biología</t>
        </is>
      </c>
      <c r="D1171" s="11" t="inlineStr">
        <is>
          <t>Matriz_Bachillerato_Biologia_10_11.xlsx</t>
        </is>
      </c>
      <c r="E1171" s="11" t="inlineStr">
        <is>
          <t>Biología 10.°</t>
        </is>
      </c>
      <c r="F1171" s="11" t="n">
        <v>71</v>
      </c>
      <c r="G1171" s="11" t="inlineStr">
        <is>
          <t>8. Ciclos biogeoquímicos en la Tierra</t>
        </is>
      </c>
      <c r="H1171" s="11" t="inlineStr">
        <is>
          <t>Ciclos del fósforo y del azufre</t>
        </is>
      </c>
      <c r="I1171" s="38" t="inlineStr">
        <is>
          <t>8.5. Comparación de los ciclos del fósforo y del azufre con énfasis en el aporte del vulcanismo salvadoreño.</t>
        </is>
      </c>
      <c r="J1171" s="11" t="inlineStr">
        <is>
          <t>Sin marco</t>
        </is>
      </c>
      <c r="K1171" s="11" t="inlineStr">
        <is>
          <t>N/A</t>
        </is>
      </c>
      <c r="L1171" s="11" t="inlineStr"/>
      <c r="M1171" s="11">
        <f>IF(K1171="FUERA","Fuera del marco",IF(K1171="N/A","Sin marco",IFERROR(INDEX('Datos - Catálogo TIMSS'!$C$5:$C$107,MATCH(K1171,'Datos - Catálogo TIMSS'!$A$5:$A$107,0)),"Pendiente de clasificar")))</f>
        <v/>
      </c>
      <c r="N1171" s="11">
        <f>IF(K1171="FUERA","Fuera del marco",IF(K1171="N/A","Sin marco",IFERROR(INDEX('Datos - Catálogo TIMSS'!$F$5:$F$107,MATCH(K1171,'Datos - Catálogo TIMSS'!$A$5:$A$107,0)),"Pendiente de clasificar")))</f>
        <v/>
      </c>
      <c r="O1171" s="11">
        <f>IF(L1171="","",IFERROR(INDEX('Datos - Catálogo TIMSS'!$C$5:$C$107,MATCH(L1171,'Datos - Catálogo TIMSS'!$A$5:$A$107,0)),"?"))</f>
        <v/>
      </c>
      <c r="P1171" s="11" t="inlineStr">
        <is>
          <t>N/A</t>
        </is>
      </c>
      <c r="Q1171" s="38" t="inlineStr">
        <is>
          <t>Sin marco TIMSS de contenido para esta asignatura en Bachillerato</t>
        </is>
      </c>
      <c r="R1171" s="38" t="inlineStr">
        <is>
          <t>Conocer: describir los ciclos. Aplicar: interpretar datos de emisiones. Razonar: evaluar la calidad de las fuentes</t>
        </is>
      </c>
      <c r="S1171" s="39">
        <f>IFERROR(ISNUMBER(SEARCH("Conocer",$R1171))/(ISNUMBER(SEARCH("Conocer",$R1171))+ISNUMBER(SEARCH("Aplicar",$R1171))+ISNUMBER(SEARCH("Razonar",$R1171))),0)</f>
        <v/>
      </c>
      <c r="T1171" s="39">
        <f>IFERROR(ISNUMBER(SEARCH("Aplicar",$R1171))/(ISNUMBER(SEARCH("Conocer",$R1171))+ISNUMBER(SEARCH("Aplicar",$R1171))+ISNUMBER(SEARCH("Razonar",$R1171))),0)</f>
        <v/>
      </c>
      <c r="U1171" s="39">
        <f>IFERROR(ISNUMBER(SEARCH("Razonar",$R1171))/(ISNUMBER(SEARCH("Conocer",$R1171))+ISNUMBER(SEARCH("Aplicar",$R1171))+ISNUMBER(SEARCH("Razonar",$R1171))),0)</f>
        <v/>
      </c>
      <c r="V1171" s="11" t="inlineStr">
        <is>
          <t>Biología 10°</t>
        </is>
      </c>
      <c r="W1171" s="11" t="inlineStr">
        <is>
          <t>Biología 10°–11°</t>
        </is>
      </c>
      <c r="X1171" s="11">
        <f>IF(OR(IFERROR(INDEX('Datos - Catálogo TIMSS'!$I$5:$I$107,MATCH(K1171,'Datos - Catálogo TIMSS'!$A$5:$A$107,0)),"No")="Sí",IFERROR(INDEX('Datos - Catálogo TIMSS'!$I$5:$I$107,MATCH(L1171,'Datos - Catálogo TIMSS'!$A$5:$A$107,0)),"No")="Sí"),1,0)</f>
        <v/>
      </c>
      <c r="Y1171" s="11">
        <f>IF(IFERROR(INDEX('Datos - Catálogo TIMSS'!$J$5:$J$107,MATCH(K1171,'Datos - Catálogo TIMSS'!$A$5:$A$107,0)),"No")="Sí",1,0)</f>
        <v/>
      </c>
      <c r="Z1171" s="11">
        <f>IF(IFERROR(INDEX('Datos - Catálogo TIMSS'!$J$5:$J$107,MATCH(L1171,'Datos - Catálogo TIMSS'!$A$5:$A$107,0)),"No")="Sí",1,0)</f>
        <v/>
      </c>
      <c r="AA1171" s="11" t="inlineStr">
        <is>
          <t>N/A</t>
        </is>
      </c>
      <c r="AB1171" s="11" t="inlineStr"/>
      <c r="AC1171" s="11">
        <f>IF(AA1171="FUERA","Fuera del marco",IF(AA1171="N/A","Sin marco",IFERROR(INDEX('Datos - TIMSS 2023'!$C$5:$C$105,MATCH(AA1171,'Datos - TIMSS 2023'!$A$5:$A$105,0)),"Pendiente de clasificar")))</f>
        <v/>
      </c>
      <c r="AD1171" s="11" t="inlineStr">
        <is>
          <t>3. Investigar, evaluar y usar información científica para tomar decisiones y actuar</t>
        </is>
      </c>
      <c r="AE1171" s="11">
        <f>IF(AD1171="","",IF(LEFT(AD1171,1)="1","C1",IF(LEFT(AD1171,1)="2","C2",IF(LEFT(AD1171,1)="3","C3",""))))</f>
        <v/>
      </c>
      <c r="AF1171" s="11" t="inlineStr">
        <is>
          <t>E6</t>
        </is>
      </c>
      <c r="AG1171" s="11" t="inlineStr">
        <is>
          <t>E3</t>
        </is>
      </c>
      <c r="AH1171" s="11" t="inlineStr">
        <is>
          <t>E2</t>
        </is>
      </c>
      <c r="AI1171" s="11" t="inlineStr">
        <is>
          <t>I1</t>
        </is>
      </c>
      <c r="AJ1171" s="11" t="inlineStr">
        <is>
          <t>I2</t>
        </is>
      </c>
      <c r="AK1171" s="11" t="n"/>
      <c r="AL1171" s="11" t="n"/>
      <c r="AM1171" s="11" t="n"/>
      <c r="AN1171" s="11" t="n"/>
      <c r="AO1171" s="11" t="n"/>
      <c r="AP1171" s="11" t="n"/>
      <c r="AQ1171" s="11" t="n"/>
      <c r="AR1171" s="11" t="n"/>
      <c r="AS1171" s="11" t="n"/>
      <c r="AT1171" s="11" t="n"/>
      <c r="AU1171" s="11" t="n"/>
      <c r="AV1171" s="11" t="n"/>
      <c r="AW1171" s="11">
        <f>AF1171&amp;"; "&amp;AG1171&amp;"; "&amp;AH1171&amp;"; "&amp;AI1171&amp;"; "&amp;AJ1171</f>
        <v/>
      </c>
    </row>
    <row r="1172">
      <c r="A1172" s="11" t="inlineStr">
        <is>
          <t>T0070-G10-BIO</t>
        </is>
      </c>
      <c r="B1172" s="11" t="n">
        <v>10</v>
      </c>
      <c r="C1172" s="11" t="inlineStr">
        <is>
          <t>Biología</t>
        </is>
      </c>
      <c r="D1172" s="11" t="inlineStr">
        <is>
          <t>Matriz_Bachillerato_Biologia_10_11.xlsx</t>
        </is>
      </c>
      <c r="E1172" s="11" t="inlineStr">
        <is>
          <t>Biología 10.°</t>
        </is>
      </c>
      <c r="F1172" s="11" t="n">
        <v>72</v>
      </c>
      <c r="G1172" s="11" t="inlineStr">
        <is>
          <t>8. Ciclos biogeoquímicos en la Tierra</t>
        </is>
      </c>
      <c r="H1172" s="11" t="inlineStr">
        <is>
          <t>Alteraciones humanas de los ciclos</t>
        </is>
      </c>
      <c r="I1172" s="38" t="inlineStr">
        <is>
          <t>8.6. Análisis de datos de calidad del agua de lagos salvadoreños para explicar la eutrofización y las floraciones de cianobacterias.</t>
        </is>
      </c>
      <c r="J1172" s="11" t="inlineStr">
        <is>
          <t>Sin marco</t>
        </is>
      </c>
      <c r="K1172" s="11" t="inlineStr">
        <is>
          <t>N/A</t>
        </is>
      </c>
      <c r="L1172" s="11" t="inlineStr"/>
      <c r="M1172" s="11">
        <f>IF(K1172="FUERA","Fuera del marco",IF(K1172="N/A","Sin marco",IFERROR(INDEX('Datos - Catálogo TIMSS'!$C$5:$C$107,MATCH(K1172,'Datos - Catálogo TIMSS'!$A$5:$A$107,0)),"Pendiente de clasificar")))</f>
        <v/>
      </c>
      <c r="N1172" s="11">
        <f>IF(K1172="FUERA","Fuera del marco",IF(K1172="N/A","Sin marco",IFERROR(INDEX('Datos - Catálogo TIMSS'!$F$5:$F$107,MATCH(K1172,'Datos - Catálogo TIMSS'!$A$5:$A$107,0)),"Pendiente de clasificar")))</f>
        <v/>
      </c>
      <c r="O1172" s="11">
        <f>IF(L1172="","",IFERROR(INDEX('Datos - Catálogo TIMSS'!$C$5:$C$107,MATCH(L1172,'Datos - Catálogo TIMSS'!$A$5:$A$107,0)),"?"))</f>
        <v/>
      </c>
      <c r="P1172" s="11" t="inlineStr">
        <is>
          <t>N/A</t>
        </is>
      </c>
      <c r="Q1172" s="38" t="inlineStr">
        <is>
          <t>Sin marco TIMSS de contenido para esta asignatura en Bachillerato</t>
        </is>
      </c>
      <c r="R1172" s="38" t="inlineStr">
        <is>
          <t>Aplicar: interpretar datos de calidad del agua. Razonar: argumentar causas y proponer soluciones</t>
        </is>
      </c>
      <c r="S1172" s="39">
        <f>IFERROR(ISNUMBER(SEARCH("Conocer",$R1172))/(ISNUMBER(SEARCH("Conocer",$R1172))+ISNUMBER(SEARCH("Aplicar",$R1172))+ISNUMBER(SEARCH("Razonar",$R1172))),0)</f>
        <v/>
      </c>
      <c r="T1172" s="39">
        <f>IFERROR(ISNUMBER(SEARCH("Aplicar",$R1172))/(ISNUMBER(SEARCH("Conocer",$R1172))+ISNUMBER(SEARCH("Aplicar",$R1172))+ISNUMBER(SEARCH("Razonar",$R1172))),0)</f>
        <v/>
      </c>
      <c r="U1172" s="39">
        <f>IFERROR(ISNUMBER(SEARCH("Razonar",$R1172))/(ISNUMBER(SEARCH("Conocer",$R1172))+ISNUMBER(SEARCH("Aplicar",$R1172))+ISNUMBER(SEARCH("Razonar",$R1172))),0)</f>
        <v/>
      </c>
      <c r="V1172" s="11" t="inlineStr">
        <is>
          <t>Biología 10°</t>
        </is>
      </c>
      <c r="W1172" s="11" t="inlineStr">
        <is>
          <t>Biología 10°–11°</t>
        </is>
      </c>
      <c r="X1172" s="11">
        <f>IF(OR(IFERROR(INDEX('Datos - Catálogo TIMSS'!$I$5:$I$107,MATCH(K1172,'Datos - Catálogo TIMSS'!$A$5:$A$107,0)),"No")="Sí",IFERROR(INDEX('Datos - Catálogo TIMSS'!$I$5:$I$107,MATCH(L1172,'Datos - Catálogo TIMSS'!$A$5:$A$107,0)),"No")="Sí"),1,0)</f>
        <v/>
      </c>
      <c r="Y1172" s="11">
        <f>IF(IFERROR(INDEX('Datos - Catálogo TIMSS'!$J$5:$J$107,MATCH(K1172,'Datos - Catálogo TIMSS'!$A$5:$A$107,0)),"No")="Sí",1,0)</f>
        <v/>
      </c>
      <c r="Z1172" s="11">
        <f>IF(IFERROR(INDEX('Datos - Catálogo TIMSS'!$J$5:$J$107,MATCH(L1172,'Datos - Catálogo TIMSS'!$A$5:$A$107,0)),"No")="Sí",1,0)</f>
        <v/>
      </c>
      <c r="AA1172" s="11" t="inlineStr">
        <is>
          <t>N/A</t>
        </is>
      </c>
      <c r="AB1172" s="11" t="inlineStr"/>
      <c r="AC1172" s="11">
        <f>IF(AA1172="FUERA","Fuera del marco",IF(AA1172="N/A","Sin marco",IFERROR(INDEX('Datos - TIMSS 2023'!$C$5:$C$105,MATCH(AA1172,'Datos - TIMSS 2023'!$A$5:$A$105,0)),"Pendiente de clasificar")))</f>
        <v/>
      </c>
      <c r="AD1172" s="11" t="inlineStr">
        <is>
          <t>3. Investigar, evaluar y usar información científica para tomar decisiones y actuar</t>
        </is>
      </c>
      <c r="AE1172" s="11">
        <f>IF(AD1172="","",IF(LEFT(AD1172,1)="1","C1",IF(LEFT(AD1172,1)="2","C2",IF(LEFT(AD1172,1)="3","C3",""))))</f>
        <v/>
      </c>
      <c r="AF1172" s="11" t="inlineStr">
        <is>
          <t>E6</t>
        </is>
      </c>
      <c r="AG1172" s="11" t="inlineStr">
        <is>
          <t>D1</t>
        </is>
      </c>
      <c r="AH1172" s="11" t="inlineStr">
        <is>
          <t>E4</t>
        </is>
      </c>
      <c r="AI1172" s="11" t="inlineStr">
        <is>
          <t>I3</t>
        </is>
      </c>
      <c r="AJ1172" s="11" t="inlineStr">
        <is>
          <t>I5</t>
        </is>
      </c>
      <c r="AK1172" s="11" t="n"/>
      <c r="AL1172" s="11" t="n"/>
      <c r="AM1172" s="11" t="n"/>
      <c r="AN1172" s="11" t="n"/>
      <c r="AO1172" s="11" t="n"/>
      <c r="AP1172" s="11" t="n"/>
      <c r="AQ1172" s="11" t="n"/>
      <c r="AR1172" s="11" t="n"/>
      <c r="AS1172" s="11" t="n"/>
      <c r="AT1172" s="11" t="n"/>
      <c r="AU1172" s="11" t="n"/>
      <c r="AV1172" s="11" t="n"/>
      <c r="AW1172" s="11">
        <f>AF1172&amp;"; "&amp;AG1172&amp;"; "&amp;AH1172&amp;"; "&amp;AI1172&amp;"; "&amp;AJ1172</f>
        <v/>
      </c>
    </row>
    <row r="1173">
      <c r="A1173" s="11" t="inlineStr">
        <is>
          <t>T0071-G11-BIO</t>
        </is>
      </c>
      <c r="B1173" s="11" t="n">
        <v>11</v>
      </c>
      <c r="C1173" s="11" t="inlineStr">
        <is>
          <t>Biología</t>
        </is>
      </c>
      <c r="D1173" s="11" t="inlineStr">
        <is>
          <t>Matriz_Bachillerato_Biologia_10_11.xlsx</t>
        </is>
      </c>
      <c r="E1173" s="11" t="inlineStr">
        <is>
          <t>Biología 11.°</t>
        </is>
      </c>
      <c r="F1173" s="11" t="n">
        <v>3</v>
      </c>
      <c r="G1173" s="11" t="inlineStr">
        <is>
          <t>1. Ecología y ambiente</t>
        </is>
      </c>
      <c r="H1173" s="11" t="inlineStr">
        <is>
          <t>Flujo de energía y materiales en los ecosistemas</t>
        </is>
      </c>
      <c r="I1173" s="38" t="inlineStr">
        <is>
          <t>1.1. Estimación de la productividad y DBO en las comunidades biológicas.</t>
        </is>
      </c>
      <c r="J1173" s="11" t="inlineStr">
        <is>
          <t>Sin marco</t>
        </is>
      </c>
      <c r="K1173" s="11" t="inlineStr">
        <is>
          <t>N/A</t>
        </is>
      </c>
      <c r="L1173" s="11" t="inlineStr"/>
      <c r="M1173" s="11">
        <f>IF(K1173="FUERA","Fuera del marco",IF(K1173="N/A","Sin marco",IFERROR(INDEX('Datos - Catálogo TIMSS'!$C$5:$C$107,MATCH(K1173,'Datos - Catálogo TIMSS'!$A$5:$A$107,0)),"Pendiente de clasificar")))</f>
        <v/>
      </c>
      <c r="N1173" s="11">
        <f>IF(K1173="FUERA","Fuera del marco",IF(K1173="N/A","Sin marco",IFERROR(INDEX('Datos - Catálogo TIMSS'!$F$5:$F$107,MATCH(K1173,'Datos - Catálogo TIMSS'!$A$5:$A$107,0)),"Pendiente de clasificar")))</f>
        <v/>
      </c>
      <c r="O1173" s="11">
        <f>IF(L1173="","",IFERROR(INDEX('Datos - Catálogo TIMSS'!$C$5:$C$107,MATCH(L1173,'Datos - Catálogo TIMSS'!$A$5:$A$107,0)),"?"))</f>
        <v/>
      </c>
      <c r="P1173" s="11" t="inlineStr">
        <is>
          <t>N/A</t>
        </is>
      </c>
      <c r="Q1173" s="38" t="inlineStr">
        <is>
          <t>Sin marco TIMSS de contenido para esta asignatura en Bachillerato</t>
        </is>
      </c>
      <c r="R1173" s="38" t="inlineStr">
        <is>
          <t>Conocer: definir productividad y DBO. Aplicar: calcular productividad neta y DBO₅. Razonar: interpretar la calidad del agua</t>
        </is>
      </c>
      <c r="S1173" s="39">
        <f>IFERROR(ISNUMBER(SEARCH("Conocer",$R1173))/(ISNUMBER(SEARCH("Conocer",$R1173))+ISNUMBER(SEARCH("Aplicar",$R1173))+ISNUMBER(SEARCH("Razonar",$R1173))),0)</f>
        <v/>
      </c>
      <c r="T1173" s="39">
        <f>IFERROR(ISNUMBER(SEARCH("Aplicar",$R1173))/(ISNUMBER(SEARCH("Conocer",$R1173))+ISNUMBER(SEARCH("Aplicar",$R1173))+ISNUMBER(SEARCH("Razonar",$R1173))),0)</f>
        <v/>
      </c>
      <c r="U1173" s="39">
        <f>IFERROR(ISNUMBER(SEARCH("Razonar",$R1173))/(ISNUMBER(SEARCH("Conocer",$R1173))+ISNUMBER(SEARCH("Aplicar",$R1173))+ISNUMBER(SEARCH("Razonar",$R1173))),0)</f>
        <v/>
      </c>
      <c r="V1173" s="11" t="inlineStr">
        <is>
          <t>Biología 11°</t>
        </is>
      </c>
      <c r="W1173" s="11" t="inlineStr">
        <is>
          <t>Biología 10°–11°</t>
        </is>
      </c>
      <c r="X1173" s="11">
        <f>IF(OR(IFERROR(INDEX('Datos - Catálogo TIMSS'!$I$5:$I$107,MATCH(K1173,'Datos - Catálogo TIMSS'!$A$5:$A$107,0)),"No")="Sí",IFERROR(INDEX('Datos - Catálogo TIMSS'!$I$5:$I$107,MATCH(L1173,'Datos - Catálogo TIMSS'!$A$5:$A$107,0)),"No")="Sí"),1,0)</f>
        <v/>
      </c>
      <c r="Y1173" s="11">
        <f>IF(IFERROR(INDEX('Datos - Catálogo TIMSS'!$J$5:$J$107,MATCH(K1173,'Datos - Catálogo TIMSS'!$A$5:$A$107,0)),"No")="Sí",1,0)</f>
        <v/>
      </c>
      <c r="Z1173" s="11">
        <f>IF(IFERROR(INDEX('Datos - Catálogo TIMSS'!$J$5:$J$107,MATCH(L1173,'Datos - Catálogo TIMSS'!$A$5:$A$107,0)),"No")="Sí",1,0)</f>
        <v/>
      </c>
      <c r="AA1173" s="11" t="inlineStr">
        <is>
          <t>N/A</t>
        </is>
      </c>
      <c r="AB1173" s="11" t="inlineStr"/>
      <c r="AC1173" s="11">
        <f>IF(AA1173="FUERA","Fuera del marco",IF(AA1173="N/A","Sin marco",IFERROR(INDEX('Datos - TIMSS 2023'!$C$5:$C$105,MATCH(AA1173,'Datos - TIMSS 2023'!$A$5:$A$105,0)),"Pendiente de clasificar")))</f>
        <v/>
      </c>
      <c r="AD1173" s="11" t="inlineStr">
        <is>
          <t>2. Construir y evaluar diseños para la indagación científica e interpretar datos y evidencia de forma crítica</t>
        </is>
      </c>
      <c r="AE1173" s="11">
        <f>IF(AD1173="","",IF(LEFT(AD1173,1)="1","C1",IF(LEFT(AD1173,1)="2","C2",IF(LEFT(AD1173,1)="3","C3",""))))</f>
        <v/>
      </c>
      <c r="AF1173" s="11" t="inlineStr">
        <is>
          <t>E1</t>
        </is>
      </c>
      <c r="AG1173" s="11" t="inlineStr">
        <is>
          <t>D1</t>
        </is>
      </c>
      <c r="AH1173" s="11" t="inlineStr">
        <is>
          <t>E2</t>
        </is>
      </c>
      <c r="AI1173" s="11" t="inlineStr">
        <is>
          <t>D4</t>
        </is>
      </c>
      <c r="AJ1173" s="11" t="inlineStr">
        <is>
          <t>E6</t>
        </is>
      </c>
      <c r="AK1173" s="11" t="n"/>
      <c r="AL1173" s="11" t="n"/>
      <c r="AM1173" s="11" t="n"/>
      <c r="AN1173" s="11" t="n"/>
      <c r="AO1173" s="11" t="n"/>
      <c r="AP1173" s="11" t="n"/>
      <c r="AQ1173" s="11" t="n"/>
      <c r="AR1173" s="11" t="n"/>
      <c r="AS1173" s="11" t="n"/>
      <c r="AT1173" s="11" t="n"/>
      <c r="AU1173" s="11" t="n"/>
      <c r="AV1173" s="11" t="n"/>
      <c r="AW1173" s="11">
        <f>AF1173&amp;"; "&amp;AG1173&amp;"; "&amp;AH1173&amp;"; "&amp;AI1173&amp;"; "&amp;AJ1173</f>
        <v/>
      </c>
    </row>
    <row r="1174">
      <c r="A1174" s="11" t="inlineStr">
        <is>
          <t>T0072-G11-BIO</t>
        </is>
      </c>
      <c r="B1174" s="11" t="n">
        <v>11</v>
      </c>
      <c r="C1174" s="11" t="inlineStr">
        <is>
          <t>Biología</t>
        </is>
      </c>
      <c r="D1174" s="11" t="inlineStr">
        <is>
          <t>Matriz_Bachillerato_Biologia_10_11.xlsx</t>
        </is>
      </c>
      <c r="E1174" s="11" t="inlineStr">
        <is>
          <t>Biología 11.°</t>
        </is>
      </c>
      <c r="F1174" s="11" t="n">
        <v>4</v>
      </c>
      <c r="G1174" s="11" t="inlineStr">
        <is>
          <t>1. Ecología y ambiente</t>
        </is>
      </c>
      <c r="H1174" s="11" t="inlineStr">
        <is>
          <t>Flujo de energía y materiales en los ecosistemas</t>
        </is>
      </c>
      <c r="I1174" s="38" t="inlineStr">
        <is>
          <t>1.2. Reconocimiento de procesos biológicos que forman parte de los ciclos biogeoquímicos.</t>
        </is>
      </c>
      <c r="J1174" s="11" t="inlineStr">
        <is>
          <t>Sin marco</t>
        </is>
      </c>
      <c r="K1174" s="11" t="inlineStr">
        <is>
          <t>N/A</t>
        </is>
      </c>
      <c r="L1174" s="11" t="inlineStr"/>
      <c r="M1174" s="11">
        <f>IF(K1174="FUERA","Fuera del marco",IF(K1174="N/A","Sin marco",IFERROR(INDEX('Datos - Catálogo TIMSS'!$C$5:$C$107,MATCH(K1174,'Datos - Catálogo TIMSS'!$A$5:$A$107,0)),"Pendiente de clasificar")))</f>
        <v/>
      </c>
      <c r="N1174" s="11">
        <f>IF(K1174="FUERA","Fuera del marco",IF(K1174="N/A","Sin marco",IFERROR(INDEX('Datos - Catálogo TIMSS'!$F$5:$F$107,MATCH(K1174,'Datos - Catálogo TIMSS'!$A$5:$A$107,0)),"Pendiente de clasificar")))</f>
        <v/>
      </c>
      <c r="O1174" s="11">
        <f>IF(L1174="","",IFERROR(INDEX('Datos - Catálogo TIMSS'!$C$5:$C$107,MATCH(L1174,'Datos - Catálogo TIMSS'!$A$5:$A$107,0)),"?"))</f>
        <v/>
      </c>
      <c r="P1174" s="11" t="inlineStr">
        <is>
          <t>N/A</t>
        </is>
      </c>
      <c r="Q1174" s="38" t="inlineStr">
        <is>
          <t>Sin marco TIMSS de contenido para esta asignatura en Bachillerato</t>
        </is>
      </c>
      <c r="R1174" s="38" t="inlineStr">
        <is>
          <t>Conocer: reconocer procesos biológicos. Aplicar: clasificar procesos por ciclo. Razonar: relacionar organismos con flujos de materia</t>
        </is>
      </c>
      <c r="S1174" s="39">
        <f>IFERROR(ISNUMBER(SEARCH("Conocer",$R1174))/(ISNUMBER(SEARCH("Conocer",$R1174))+ISNUMBER(SEARCH("Aplicar",$R1174))+ISNUMBER(SEARCH("Razonar",$R1174))),0)</f>
        <v/>
      </c>
      <c r="T1174" s="39">
        <f>IFERROR(ISNUMBER(SEARCH("Aplicar",$R1174))/(ISNUMBER(SEARCH("Conocer",$R1174))+ISNUMBER(SEARCH("Aplicar",$R1174))+ISNUMBER(SEARCH("Razonar",$R1174))),0)</f>
        <v/>
      </c>
      <c r="U1174" s="39">
        <f>IFERROR(ISNUMBER(SEARCH("Razonar",$R1174))/(ISNUMBER(SEARCH("Conocer",$R1174))+ISNUMBER(SEARCH("Aplicar",$R1174))+ISNUMBER(SEARCH("Razonar",$R1174))),0)</f>
        <v/>
      </c>
      <c r="V1174" s="11" t="inlineStr">
        <is>
          <t>Biología 11°</t>
        </is>
      </c>
      <c r="W1174" s="11" t="inlineStr">
        <is>
          <t>Biología 10°–11°</t>
        </is>
      </c>
      <c r="X1174" s="11">
        <f>IF(OR(IFERROR(INDEX('Datos - Catálogo TIMSS'!$I$5:$I$107,MATCH(K1174,'Datos - Catálogo TIMSS'!$A$5:$A$107,0)),"No")="Sí",IFERROR(INDEX('Datos - Catálogo TIMSS'!$I$5:$I$107,MATCH(L1174,'Datos - Catálogo TIMSS'!$A$5:$A$107,0)),"No")="Sí"),1,0)</f>
        <v/>
      </c>
      <c r="Y1174" s="11">
        <f>IF(IFERROR(INDEX('Datos - Catálogo TIMSS'!$J$5:$J$107,MATCH(K1174,'Datos - Catálogo TIMSS'!$A$5:$A$107,0)),"No")="Sí",1,0)</f>
        <v/>
      </c>
      <c r="Z1174" s="11">
        <f>IF(IFERROR(INDEX('Datos - Catálogo TIMSS'!$J$5:$J$107,MATCH(L1174,'Datos - Catálogo TIMSS'!$A$5:$A$107,0)),"No")="Sí",1,0)</f>
        <v/>
      </c>
      <c r="AA1174" s="11" t="inlineStr">
        <is>
          <t>N/A</t>
        </is>
      </c>
      <c r="AB1174" s="11" t="inlineStr"/>
      <c r="AC1174" s="11">
        <f>IF(AA1174="FUERA","Fuera del marco",IF(AA1174="N/A","Sin marco",IFERROR(INDEX('Datos - TIMSS 2023'!$C$5:$C$105,MATCH(AA1174,'Datos - TIMSS 2023'!$A$5:$A$105,0)),"Pendiente de clasificar")))</f>
        <v/>
      </c>
      <c r="AD1174" s="11" t="inlineStr">
        <is>
          <t>1. Explicar fenómenos científicamente</t>
        </is>
      </c>
      <c r="AE1174" s="11">
        <f>IF(AD1174="","",IF(LEFT(AD1174,1)="1","C1",IF(LEFT(AD1174,1)="2","C2",IF(LEFT(AD1174,1)="3","C3",""))))</f>
        <v/>
      </c>
      <c r="AF1174" s="11" t="inlineStr">
        <is>
          <t>E1</t>
        </is>
      </c>
      <c r="AG1174" s="11" t="inlineStr">
        <is>
          <t>E3</t>
        </is>
      </c>
      <c r="AH1174" s="11" t="inlineStr">
        <is>
          <t>E4</t>
        </is>
      </c>
      <c r="AI1174" s="11" t="inlineStr">
        <is>
          <t>I1</t>
        </is>
      </c>
      <c r="AJ1174" s="11" t="inlineStr">
        <is>
          <t>E6</t>
        </is>
      </c>
      <c r="AK1174" s="11" t="n"/>
      <c r="AL1174" s="11" t="n"/>
      <c r="AM1174" s="11" t="n"/>
      <c r="AN1174" s="11" t="n"/>
      <c r="AO1174" s="11" t="n"/>
      <c r="AP1174" s="11" t="n"/>
      <c r="AQ1174" s="11" t="n"/>
      <c r="AR1174" s="11" t="n"/>
      <c r="AS1174" s="11" t="n"/>
      <c r="AT1174" s="11" t="n"/>
      <c r="AU1174" s="11" t="n"/>
      <c r="AV1174" s="11" t="n"/>
      <c r="AW1174" s="11">
        <f>AF1174&amp;"; "&amp;AG1174&amp;"; "&amp;AH1174&amp;"; "&amp;AI1174&amp;"; "&amp;AJ1174</f>
        <v/>
      </c>
    </row>
    <row r="1175">
      <c r="A1175" s="11" t="inlineStr">
        <is>
          <t>T0073-G11-BIO</t>
        </is>
      </c>
      <c r="B1175" s="11" t="n">
        <v>11</v>
      </c>
      <c r="C1175" s="11" t="inlineStr">
        <is>
          <t>Biología</t>
        </is>
      </c>
      <c r="D1175" s="11" t="inlineStr">
        <is>
          <t>Matriz_Bachillerato_Biologia_10_11.xlsx</t>
        </is>
      </c>
      <c r="E1175" s="11" t="inlineStr">
        <is>
          <t>Biología 11.°</t>
        </is>
      </c>
      <c r="F1175" s="11" t="n">
        <v>5</v>
      </c>
      <c r="G1175" s="11" t="inlineStr">
        <is>
          <t>1. Ecología y ambiente</t>
        </is>
      </c>
      <c r="H1175" s="11" t="inlineStr">
        <is>
          <t>Flujo de energía y materiales en los ecosistemas</t>
        </is>
      </c>
      <c r="I1175" s="38" t="inlineStr">
        <is>
          <t>1.3. Representación de los ciclos biogeoquímicos.</t>
        </is>
      </c>
      <c r="J1175" s="11" t="inlineStr">
        <is>
          <t>Sin marco</t>
        </is>
      </c>
      <c r="K1175" s="11" t="inlineStr">
        <is>
          <t>N/A</t>
        </is>
      </c>
      <c r="L1175" s="11" t="inlineStr"/>
      <c r="M1175" s="11">
        <f>IF(K1175="FUERA","Fuera del marco",IF(K1175="N/A","Sin marco",IFERROR(INDEX('Datos - Catálogo TIMSS'!$C$5:$C$107,MATCH(K1175,'Datos - Catálogo TIMSS'!$A$5:$A$107,0)),"Pendiente de clasificar")))</f>
        <v/>
      </c>
      <c r="N1175" s="11">
        <f>IF(K1175="FUERA","Fuera del marco",IF(K1175="N/A","Sin marco",IFERROR(INDEX('Datos - Catálogo TIMSS'!$F$5:$F$107,MATCH(K1175,'Datos - Catálogo TIMSS'!$A$5:$A$107,0)),"Pendiente de clasificar")))</f>
        <v/>
      </c>
      <c r="O1175" s="11">
        <f>IF(L1175="","",IFERROR(INDEX('Datos - Catálogo TIMSS'!$C$5:$C$107,MATCH(L1175,'Datos - Catálogo TIMSS'!$A$5:$A$107,0)),"?"))</f>
        <v/>
      </c>
      <c r="P1175" s="11" t="inlineStr">
        <is>
          <t>N/A</t>
        </is>
      </c>
      <c r="Q1175" s="38" t="inlineStr">
        <is>
          <t>Sin marco TIMSS de contenido para esta asignatura en Bachillerato</t>
        </is>
      </c>
      <c r="R1175" s="38" t="inlineStr">
        <is>
          <t>Aplicar: representar un ciclo en un ecosistema concreto. Razonar: explicar las consecuencias de alterar el ciclo</t>
        </is>
      </c>
      <c r="S1175" s="39">
        <f>IFERROR(ISNUMBER(SEARCH("Conocer",$R1175))/(ISNUMBER(SEARCH("Conocer",$R1175))+ISNUMBER(SEARCH("Aplicar",$R1175))+ISNUMBER(SEARCH("Razonar",$R1175))),0)</f>
        <v/>
      </c>
      <c r="T1175" s="39">
        <f>IFERROR(ISNUMBER(SEARCH("Aplicar",$R1175))/(ISNUMBER(SEARCH("Conocer",$R1175))+ISNUMBER(SEARCH("Aplicar",$R1175))+ISNUMBER(SEARCH("Razonar",$R1175))),0)</f>
        <v/>
      </c>
      <c r="U1175" s="39">
        <f>IFERROR(ISNUMBER(SEARCH("Razonar",$R1175))/(ISNUMBER(SEARCH("Conocer",$R1175))+ISNUMBER(SEARCH("Aplicar",$R1175))+ISNUMBER(SEARCH("Razonar",$R1175))),0)</f>
        <v/>
      </c>
      <c r="V1175" s="11" t="inlineStr">
        <is>
          <t>Biología 11°</t>
        </is>
      </c>
      <c r="W1175" s="11" t="inlineStr">
        <is>
          <t>Biología 10°–11°</t>
        </is>
      </c>
      <c r="X1175" s="11">
        <f>IF(OR(IFERROR(INDEX('Datos - Catálogo TIMSS'!$I$5:$I$107,MATCH(K1175,'Datos - Catálogo TIMSS'!$A$5:$A$107,0)),"No")="Sí",IFERROR(INDEX('Datos - Catálogo TIMSS'!$I$5:$I$107,MATCH(L1175,'Datos - Catálogo TIMSS'!$A$5:$A$107,0)),"No")="Sí"),1,0)</f>
        <v/>
      </c>
      <c r="Y1175" s="11">
        <f>IF(IFERROR(INDEX('Datos - Catálogo TIMSS'!$J$5:$J$107,MATCH(K1175,'Datos - Catálogo TIMSS'!$A$5:$A$107,0)),"No")="Sí",1,0)</f>
        <v/>
      </c>
      <c r="Z1175" s="11">
        <f>IF(IFERROR(INDEX('Datos - Catálogo TIMSS'!$J$5:$J$107,MATCH(L1175,'Datos - Catálogo TIMSS'!$A$5:$A$107,0)),"No")="Sí",1,0)</f>
        <v/>
      </c>
      <c r="AA1175" s="11" t="inlineStr">
        <is>
          <t>N/A</t>
        </is>
      </c>
      <c r="AB1175" s="11" t="inlineStr"/>
      <c r="AC1175" s="11">
        <f>IF(AA1175="FUERA","Fuera del marco",IF(AA1175="N/A","Sin marco",IFERROR(INDEX('Datos - TIMSS 2023'!$C$5:$C$105,MATCH(AA1175,'Datos - TIMSS 2023'!$A$5:$A$105,0)),"Pendiente de clasificar")))</f>
        <v/>
      </c>
      <c r="AD1175" s="11" t="inlineStr">
        <is>
          <t>1. Explicar fenómenos científicamente</t>
        </is>
      </c>
      <c r="AE1175" s="11">
        <f>IF(AD1175="","",IF(LEFT(AD1175,1)="1","C1",IF(LEFT(AD1175,1)="2","C2",IF(LEFT(AD1175,1)="3","C3",""))))</f>
        <v/>
      </c>
      <c r="AF1175" s="11" t="inlineStr">
        <is>
          <t>E1</t>
        </is>
      </c>
      <c r="AG1175" s="11" t="inlineStr">
        <is>
          <t>E5</t>
        </is>
      </c>
      <c r="AH1175" s="11" t="inlineStr">
        <is>
          <t>E4</t>
        </is>
      </c>
      <c r="AI1175" s="11" t="inlineStr">
        <is>
          <t>D4</t>
        </is>
      </c>
      <c r="AJ1175" s="11" t="inlineStr">
        <is>
          <t>E6</t>
        </is>
      </c>
      <c r="AK1175" s="11" t="n"/>
      <c r="AL1175" s="11" t="n"/>
      <c r="AM1175" s="11" t="n"/>
      <c r="AN1175" s="11" t="n"/>
      <c r="AO1175" s="11" t="n"/>
      <c r="AP1175" s="11" t="n"/>
      <c r="AQ1175" s="11" t="n"/>
      <c r="AR1175" s="11" t="n"/>
      <c r="AS1175" s="11" t="n"/>
      <c r="AT1175" s="11" t="n"/>
      <c r="AU1175" s="11" t="n"/>
      <c r="AV1175" s="11" t="n"/>
      <c r="AW1175" s="11">
        <f>AF1175&amp;"; "&amp;AG1175&amp;"; "&amp;AH1175&amp;"; "&amp;AI1175&amp;"; "&amp;AJ1175</f>
        <v/>
      </c>
    </row>
    <row r="1176">
      <c r="A1176" s="11" t="inlineStr">
        <is>
          <t>T0074-G11-BIO</t>
        </is>
      </c>
      <c r="B1176" s="11" t="n">
        <v>11</v>
      </c>
      <c r="C1176" s="11" t="inlineStr">
        <is>
          <t>Biología</t>
        </is>
      </c>
      <c r="D1176" s="11" t="inlineStr">
        <is>
          <t>Matriz_Bachillerato_Biologia_10_11.xlsx</t>
        </is>
      </c>
      <c r="E1176" s="11" t="inlineStr">
        <is>
          <t>Biología 11.°</t>
        </is>
      </c>
      <c r="F1176" s="11" t="n">
        <v>6</v>
      </c>
      <c r="G1176" s="11" t="inlineStr">
        <is>
          <t>1. Ecología y ambiente</t>
        </is>
      </c>
      <c r="H1176" s="11" t="inlineStr">
        <is>
          <t>Problemática ambiental de El Salvador</t>
        </is>
      </c>
      <c r="I1176" s="38" t="inlineStr">
        <is>
          <t>1.4. Indagación de problemáticas ambientales asociadas con la deforestación, la contaminación y la extracción de fauna o flora en la comunidad.</t>
        </is>
      </c>
      <c r="J1176" s="11" t="inlineStr">
        <is>
          <t>Sin marco</t>
        </is>
      </c>
      <c r="K1176" s="11" t="inlineStr">
        <is>
          <t>N/A</t>
        </is>
      </c>
      <c r="L1176" s="11" t="inlineStr"/>
      <c r="M1176" s="11">
        <f>IF(K1176="FUERA","Fuera del marco",IF(K1176="N/A","Sin marco",IFERROR(INDEX('Datos - Catálogo TIMSS'!$C$5:$C$107,MATCH(K1176,'Datos - Catálogo TIMSS'!$A$5:$A$107,0)),"Pendiente de clasificar")))</f>
        <v/>
      </c>
      <c r="N1176" s="11">
        <f>IF(K1176="FUERA","Fuera del marco",IF(K1176="N/A","Sin marco",IFERROR(INDEX('Datos - Catálogo TIMSS'!$F$5:$F$107,MATCH(K1176,'Datos - Catálogo TIMSS'!$A$5:$A$107,0)),"Pendiente de clasificar")))</f>
        <v/>
      </c>
      <c r="O1176" s="11">
        <f>IF(L1176="","",IFERROR(INDEX('Datos - Catálogo TIMSS'!$C$5:$C$107,MATCH(L1176,'Datos - Catálogo TIMSS'!$A$5:$A$107,0)),"?"))</f>
        <v/>
      </c>
      <c r="P1176" s="11" t="inlineStr">
        <is>
          <t>N/A</t>
        </is>
      </c>
      <c r="Q1176" s="38" t="inlineStr">
        <is>
          <t>Sin marco TIMSS de contenido para esta asignatura en Bachillerato</t>
        </is>
      </c>
      <c r="R1176" s="38" t="inlineStr">
        <is>
          <t>Conocer: identificar problemáticas ambientales. Razonar: relacionar causas y consecuencias con datos</t>
        </is>
      </c>
      <c r="S1176" s="39">
        <f>IFERROR(ISNUMBER(SEARCH("Conocer",$R1176))/(ISNUMBER(SEARCH("Conocer",$R1176))+ISNUMBER(SEARCH("Aplicar",$R1176))+ISNUMBER(SEARCH("Razonar",$R1176))),0)</f>
        <v/>
      </c>
      <c r="T1176" s="39">
        <f>IFERROR(ISNUMBER(SEARCH("Aplicar",$R1176))/(ISNUMBER(SEARCH("Conocer",$R1176))+ISNUMBER(SEARCH("Aplicar",$R1176))+ISNUMBER(SEARCH("Razonar",$R1176))),0)</f>
        <v/>
      </c>
      <c r="U1176" s="39">
        <f>IFERROR(ISNUMBER(SEARCH("Razonar",$R1176))/(ISNUMBER(SEARCH("Conocer",$R1176))+ISNUMBER(SEARCH("Aplicar",$R1176))+ISNUMBER(SEARCH("Razonar",$R1176))),0)</f>
        <v/>
      </c>
      <c r="V1176" s="11" t="inlineStr">
        <is>
          <t>Biología 11°</t>
        </is>
      </c>
      <c r="W1176" s="11" t="inlineStr">
        <is>
          <t>Biología 10°–11°</t>
        </is>
      </c>
      <c r="X1176" s="11">
        <f>IF(OR(IFERROR(INDEX('Datos - Catálogo TIMSS'!$I$5:$I$107,MATCH(K1176,'Datos - Catálogo TIMSS'!$A$5:$A$107,0)),"No")="Sí",IFERROR(INDEX('Datos - Catálogo TIMSS'!$I$5:$I$107,MATCH(L1176,'Datos - Catálogo TIMSS'!$A$5:$A$107,0)),"No")="Sí"),1,0)</f>
        <v/>
      </c>
      <c r="Y1176" s="11">
        <f>IF(IFERROR(INDEX('Datos - Catálogo TIMSS'!$J$5:$J$107,MATCH(K1176,'Datos - Catálogo TIMSS'!$A$5:$A$107,0)),"No")="Sí",1,0)</f>
        <v/>
      </c>
      <c r="Z1176" s="11">
        <f>IF(IFERROR(INDEX('Datos - Catálogo TIMSS'!$J$5:$J$107,MATCH(L1176,'Datos - Catálogo TIMSS'!$A$5:$A$107,0)),"No")="Sí",1,0)</f>
        <v/>
      </c>
      <c r="AA1176" s="11" t="inlineStr">
        <is>
          <t>N/A</t>
        </is>
      </c>
      <c r="AB1176" s="11" t="inlineStr"/>
      <c r="AC1176" s="11">
        <f>IF(AA1176="FUERA","Fuera del marco",IF(AA1176="N/A","Sin marco",IFERROR(INDEX('Datos - TIMSS 2023'!$C$5:$C$105,MATCH(AA1176,'Datos - TIMSS 2023'!$A$5:$A$105,0)),"Pendiente de clasificar")))</f>
        <v/>
      </c>
      <c r="AD1176" s="11" t="inlineStr">
        <is>
          <t>3. Investigar, evaluar y usar información científica para tomar decisiones y actuar</t>
        </is>
      </c>
      <c r="AE1176" s="11">
        <f>IF(AD1176="","",IF(LEFT(AD1176,1)="1","C1",IF(LEFT(AD1176,1)="2","C2",IF(LEFT(AD1176,1)="3","C3",""))))</f>
        <v/>
      </c>
      <c r="AF1176" s="11" t="inlineStr">
        <is>
          <t>E6</t>
        </is>
      </c>
      <c r="AG1176" s="11" t="inlineStr">
        <is>
          <t>D1</t>
        </is>
      </c>
      <c r="AH1176" s="11" t="inlineStr">
        <is>
          <t>E1</t>
        </is>
      </c>
      <c r="AI1176" s="11" t="inlineStr">
        <is>
          <t>I3</t>
        </is>
      </c>
      <c r="AJ1176" s="11" t="inlineStr">
        <is>
          <t>I5</t>
        </is>
      </c>
      <c r="AK1176" s="11" t="n"/>
      <c r="AL1176" s="11" t="n"/>
      <c r="AM1176" s="11" t="n"/>
      <c r="AN1176" s="11" t="n"/>
      <c r="AO1176" s="11" t="n"/>
      <c r="AP1176" s="11" t="n"/>
      <c r="AQ1176" s="11" t="n"/>
      <c r="AR1176" s="11" t="n"/>
      <c r="AS1176" s="11" t="n"/>
      <c r="AT1176" s="11" t="n"/>
      <c r="AU1176" s="11" t="n"/>
      <c r="AV1176" s="11" t="n"/>
      <c r="AW1176" s="11">
        <f>AF1176&amp;"; "&amp;AG1176&amp;"; "&amp;AH1176&amp;"; "&amp;AI1176&amp;"; "&amp;AJ1176</f>
        <v/>
      </c>
    </row>
    <row r="1177">
      <c r="A1177" s="11" t="inlineStr">
        <is>
          <t>T0075-G11-BIO</t>
        </is>
      </c>
      <c r="B1177" s="11" t="n">
        <v>11</v>
      </c>
      <c r="C1177" s="11" t="inlineStr">
        <is>
          <t>Biología</t>
        </is>
      </c>
      <c r="D1177" s="11" t="inlineStr">
        <is>
          <t>Matriz_Bachillerato_Biologia_10_11.xlsx</t>
        </is>
      </c>
      <c r="E1177" s="11" t="inlineStr">
        <is>
          <t>Biología 11.°</t>
        </is>
      </c>
      <c r="F1177" s="11" t="n">
        <v>7</v>
      </c>
      <c r="G1177" s="11" t="inlineStr">
        <is>
          <t>1. Ecología y ambiente</t>
        </is>
      </c>
      <c r="H1177" s="11" t="inlineStr">
        <is>
          <t>Problemática ambiental de El Salvador</t>
        </is>
      </c>
      <c r="I1177" s="38" t="inlineStr">
        <is>
          <t>1.5. Análisis del impacto de un cambio en el uso del suelo y los factores que llevan a su degradación.</t>
        </is>
      </c>
      <c r="J1177" s="11" t="inlineStr">
        <is>
          <t>Sin marco</t>
        </is>
      </c>
      <c r="K1177" s="11" t="inlineStr">
        <is>
          <t>N/A</t>
        </is>
      </c>
      <c r="L1177" s="11" t="inlineStr"/>
      <c r="M1177" s="11">
        <f>IF(K1177="FUERA","Fuera del marco",IF(K1177="N/A","Sin marco",IFERROR(INDEX('Datos - Catálogo TIMSS'!$C$5:$C$107,MATCH(K1177,'Datos - Catálogo TIMSS'!$A$5:$A$107,0)),"Pendiente de clasificar")))</f>
        <v/>
      </c>
      <c r="N1177" s="11">
        <f>IF(K1177="FUERA","Fuera del marco",IF(K1177="N/A","Sin marco",IFERROR(INDEX('Datos - Catálogo TIMSS'!$F$5:$F$107,MATCH(K1177,'Datos - Catálogo TIMSS'!$A$5:$A$107,0)),"Pendiente de clasificar")))</f>
        <v/>
      </c>
      <c r="O1177" s="11">
        <f>IF(L1177="","",IFERROR(INDEX('Datos - Catálogo TIMSS'!$C$5:$C$107,MATCH(L1177,'Datos - Catálogo TIMSS'!$A$5:$A$107,0)),"?"))</f>
        <v/>
      </c>
      <c r="P1177" s="11" t="inlineStr">
        <is>
          <t>N/A</t>
        </is>
      </c>
      <c r="Q1177" s="38" t="inlineStr">
        <is>
          <t>Sin marco TIMSS de contenido para esta asignatura en Bachillerato</t>
        </is>
      </c>
      <c r="R1177" s="38" t="inlineStr">
        <is>
          <t>Aplicar: calcular porcentajes de cambio de cobertura. Razonar: explicar los factores de degradación del suelo</t>
        </is>
      </c>
      <c r="S1177" s="39">
        <f>IFERROR(ISNUMBER(SEARCH("Conocer",$R1177))/(ISNUMBER(SEARCH("Conocer",$R1177))+ISNUMBER(SEARCH("Aplicar",$R1177))+ISNUMBER(SEARCH("Razonar",$R1177))),0)</f>
        <v/>
      </c>
      <c r="T1177" s="39">
        <f>IFERROR(ISNUMBER(SEARCH("Aplicar",$R1177))/(ISNUMBER(SEARCH("Conocer",$R1177))+ISNUMBER(SEARCH("Aplicar",$R1177))+ISNUMBER(SEARCH("Razonar",$R1177))),0)</f>
        <v/>
      </c>
      <c r="U1177" s="39">
        <f>IFERROR(ISNUMBER(SEARCH("Razonar",$R1177))/(ISNUMBER(SEARCH("Conocer",$R1177))+ISNUMBER(SEARCH("Aplicar",$R1177))+ISNUMBER(SEARCH("Razonar",$R1177))),0)</f>
        <v/>
      </c>
      <c r="V1177" s="11" t="inlineStr">
        <is>
          <t>Biología 11°</t>
        </is>
      </c>
      <c r="W1177" s="11" t="inlineStr">
        <is>
          <t>Biología 10°–11°</t>
        </is>
      </c>
      <c r="X1177" s="11">
        <f>IF(OR(IFERROR(INDEX('Datos - Catálogo TIMSS'!$I$5:$I$107,MATCH(K1177,'Datos - Catálogo TIMSS'!$A$5:$A$107,0)),"No")="Sí",IFERROR(INDEX('Datos - Catálogo TIMSS'!$I$5:$I$107,MATCH(L1177,'Datos - Catálogo TIMSS'!$A$5:$A$107,0)),"No")="Sí"),1,0)</f>
        <v/>
      </c>
      <c r="Y1177" s="11">
        <f>IF(IFERROR(INDEX('Datos - Catálogo TIMSS'!$J$5:$J$107,MATCH(K1177,'Datos - Catálogo TIMSS'!$A$5:$A$107,0)),"No")="Sí",1,0)</f>
        <v/>
      </c>
      <c r="Z1177" s="11">
        <f>IF(IFERROR(INDEX('Datos - Catálogo TIMSS'!$J$5:$J$107,MATCH(L1177,'Datos - Catálogo TIMSS'!$A$5:$A$107,0)),"No")="Sí",1,0)</f>
        <v/>
      </c>
      <c r="AA1177" s="11" t="inlineStr">
        <is>
          <t>N/A</t>
        </is>
      </c>
      <c r="AB1177" s="11" t="inlineStr"/>
      <c r="AC1177" s="11">
        <f>IF(AA1177="FUERA","Fuera del marco",IF(AA1177="N/A","Sin marco",IFERROR(INDEX('Datos - TIMSS 2023'!$C$5:$C$105,MATCH(AA1177,'Datos - TIMSS 2023'!$A$5:$A$105,0)),"Pendiente de clasificar")))</f>
        <v/>
      </c>
      <c r="AD1177" s="11" t="inlineStr">
        <is>
          <t>2. Construir y evaluar diseños para la indagación científica e interpretar datos y evidencia de forma crítica</t>
        </is>
      </c>
      <c r="AE1177" s="11">
        <f>IF(AD1177="","",IF(LEFT(AD1177,1)="1","C1",IF(LEFT(AD1177,1)="2","C2",IF(LEFT(AD1177,1)="3","C3",""))))</f>
        <v/>
      </c>
      <c r="AF1177" s="11" t="inlineStr">
        <is>
          <t>E1</t>
        </is>
      </c>
      <c r="AG1177" s="11" t="inlineStr">
        <is>
          <t>E3</t>
        </is>
      </c>
      <c r="AH1177" s="11" t="inlineStr">
        <is>
          <t>E2</t>
        </is>
      </c>
      <c r="AI1177" s="11" t="inlineStr">
        <is>
          <t>D4</t>
        </is>
      </c>
      <c r="AJ1177" s="11" t="inlineStr">
        <is>
          <t>I5</t>
        </is>
      </c>
      <c r="AK1177" s="11" t="n"/>
      <c r="AL1177" s="11" t="n"/>
      <c r="AM1177" s="11" t="n"/>
      <c r="AN1177" s="11" t="n"/>
      <c r="AO1177" s="11" t="n"/>
      <c r="AP1177" s="11" t="n"/>
      <c r="AQ1177" s="11" t="n"/>
      <c r="AR1177" s="11" t="n"/>
      <c r="AS1177" s="11" t="n"/>
      <c r="AT1177" s="11" t="n"/>
      <c r="AU1177" s="11" t="n"/>
      <c r="AV1177" s="11" t="n"/>
      <c r="AW1177" s="11">
        <f>AF1177&amp;"; "&amp;AG1177&amp;"; "&amp;AH1177&amp;"; "&amp;AI1177&amp;"; "&amp;AJ1177</f>
        <v/>
      </c>
    </row>
    <row r="1178">
      <c r="A1178" s="11" t="inlineStr">
        <is>
          <t>T0076-G11-BIO</t>
        </is>
      </c>
      <c r="B1178" s="11" t="n">
        <v>11</v>
      </c>
      <c r="C1178" s="11" t="inlineStr">
        <is>
          <t>Biología</t>
        </is>
      </c>
      <c r="D1178" s="11" t="inlineStr">
        <is>
          <t>Matriz_Bachillerato_Biologia_10_11.xlsx</t>
        </is>
      </c>
      <c r="E1178" s="11" t="inlineStr">
        <is>
          <t>Biología 11.°</t>
        </is>
      </c>
      <c r="F1178" s="11" t="n">
        <v>8</v>
      </c>
      <c r="G1178" s="11" t="inlineStr">
        <is>
          <t>1. Ecología y ambiente</t>
        </is>
      </c>
      <c r="H1178" s="11" t="inlineStr">
        <is>
          <t>Problemática ambiental de El Salvador</t>
        </is>
      </c>
      <c r="I1178" s="38" t="inlineStr">
        <is>
          <t>1.6. Discusión sobre el abordaje de problemáticas ambientales a través de la planificación y gestión territorial.</t>
        </is>
      </c>
      <c r="J1178" s="11" t="inlineStr">
        <is>
          <t>Sin marco</t>
        </is>
      </c>
      <c r="K1178" s="11" t="inlineStr">
        <is>
          <t>N/A</t>
        </is>
      </c>
      <c r="L1178" s="11" t="inlineStr"/>
      <c r="M1178" s="11">
        <f>IF(K1178="FUERA","Fuera del marco",IF(K1178="N/A","Sin marco",IFERROR(INDEX('Datos - Catálogo TIMSS'!$C$5:$C$107,MATCH(K1178,'Datos - Catálogo TIMSS'!$A$5:$A$107,0)),"Pendiente de clasificar")))</f>
        <v/>
      </c>
      <c r="N1178" s="11">
        <f>IF(K1178="FUERA","Fuera del marco",IF(K1178="N/A","Sin marco",IFERROR(INDEX('Datos - Catálogo TIMSS'!$F$5:$F$107,MATCH(K1178,'Datos - Catálogo TIMSS'!$A$5:$A$107,0)),"Pendiente de clasificar")))</f>
        <v/>
      </c>
      <c r="O1178" s="11">
        <f>IF(L1178="","",IFERROR(INDEX('Datos - Catálogo TIMSS'!$C$5:$C$107,MATCH(L1178,'Datos - Catálogo TIMSS'!$A$5:$A$107,0)),"?"))</f>
        <v/>
      </c>
      <c r="P1178" s="11" t="inlineStr">
        <is>
          <t>N/A</t>
        </is>
      </c>
      <c r="Q1178" s="38" t="inlineStr">
        <is>
          <t>Sin marco TIMSS de contenido para esta asignatura en Bachillerato</t>
        </is>
      </c>
      <c r="R1178" s="38" t="inlineStr">
        <is>
          <t>Conocer: identificar herramientas de gestión territorial. Razonar: argumentar su valor ambiental</t>
        </is>
      </c>
      <c r="S1178" s="39">
        <f>IFERROR(ISNUMBER(SEARCH("Conocer",$R1178))/(ISNUMBER(SEARCH("Conocer",$R1178))+ISNUMBER(SEARCH("Aplicar",$R1178))+ISNUMBER(SEARCH("Razonar",$R1178))),0)</f>
        <v/>
      </c>
      <c r="T1178" s="39">
        <f>IFERROR(ISNUMBER(SEARCH("Aplicar",$R1178))/(ISNUMBER(SEARCH("Conocer",$R1178))+ISNUMBER(SEARCH("Aplicar",$R1178))+ISNUMBER(SEARCH("Razonar",$R1178))),0)</f>
        <v/>
      </c>
      <c r="U1178" s="39">
        <f>IFERROR(ISNUMBER(SEARCH("Razonar",$R1178))/(ISNUMBER(SEARCH("Conocer",$R1178))+ISNUMBER(SEARCH("Aplicar",$R1178))+ISNUMBER(SEARCH("Razonar",$R1178))),0)</f>
        <v/>
      </c>
      <c r="V1178" s="11" t="inlineStr">
        <is>
          <t>Biología 11°</t>
        </is>
      </c>
      <c r="W1178" s="11" t="inlineStr">
        <is>
          <t>Biología 10°–11°</t>
        </is>
      </c>
      <c r="X1178" s="11">
        <f>IF(OR(IFERROR(INDEX('Datos - Catálogo TIMSS'!$I$5:$I$107,MATCH(K1178,'Datos - Catálogo TIMSS'!$A$5:$A$107,0)),"No")="Sí",IFERROR(INDEX('Datos - Catálogo TIMSS'!$I$5:$I$107,MATCH(L1178,'Datos - Catálogo TIMSS'!$A$5:$A$107,0)),"No")="Sí"),1,0)</f>
        <v/>
      </c>
      <c r="Y1178" s="11">
        <f>IF(IFERROR(INDEX('Datos - Catálogo TIMSS'!$J$5:$J$107,MATCH(K1178,'Datos - Catálogo TIMSS'!$A$5:$A$107,0)),"No")="Sí",1,0)</f>
        <v/>
      </c>
      <c r="Z1178" s="11">
        <f>IF(IFERROR(INDEX('Datos - Catálogo TIMSS'!$J$5:$J$107,MATCH(L1178,'Datos - Catálogo TIMSS'!$A$5:$A$107,0)),"No")="Sí",1,0)</f>
        <v/>
      </c>
      <c r="AA1178" s="11" t="inlineStr">
        <is>
          <t>N/A</t>
        </is>
      </c>
      <c r="AB1178" s="11" t="inlineStr"/>
      <c r="AC1178" s="11">
        <f>IF(AA1178="FUERA","Fuera del marco",IF(AA1178="N/A","Sin marco",IFERROR(INDEX('Datos - TIMSS 2023'!$C$5:$C$105,MATCH(AA1178,'Datos - TIMSS 2023'!$A$5:$A$105,0)),"Pendiente de clasificar")))</f>
        <v/>
      </c>
      <c r="AD1178" s="11" t="inlineStr">
        <is>
          <t>3. Investigar, evaluar y usar información científica para tomar decisiones y actuar</t>
        </is>
      </c>
      <c r="AE1178" s="11">
        <f>IF(AD1178="","",IF(LEFT(AD1178,1)="1","C1",IF(LEFT(AD1178,1)="2","C2",IF(LEFT(AD1178,1)="3","C3",""))))</f>
        <v/>
      </c>
      <c r="AF1178" s="11" t="inlineStr">
        <is>
          <t>E6</t>
        </is>
      </c>
      <c r="AG1178" s="11" t="inlineStr">
        <is>
          <t>D1</t>
        </is>
      </c>
      <c r="AH1178" s="11" t="inlineStr">
        <is>
          <t>E1</t>
        </is>
      </c>
      <c r="AI1178" s="11" t="inlineStr">
        <is>
          <t>I3</t>
        </is>
      </c>
      <c r="AJ1178" s="11" t="inlineStr">
        <is>
          <t>I4</t>
        </is>
      </c>
      <c r="AK1178" s="11" t="n"/>
      <c r="AL1178" s="11" t="n"/>
      <c r="AM1178" s="11" t="n"/>
      <c r="AN1178" s="11" t="n"/>
      <c r="AO1178" s="11" t="n"/>
      <c r="AP1178" s="11" t="n"/>
      <c r="AQ1178" s="11" t="n"/>
      <c r="AR1178" s="11" t="n"/>
      <c r="AS1178" s="11" t="n"/>
      <c r="AT1178" s="11" t="n"/>
      <c r="AU1178" s="11" t="n"/>
      <c r="AV1178" s="11" t="n"/>
      <c r="AW1178" s="11">
        <f>AF1178&amp;"; "&amp;AG1178&amp;"; "&amp;AH1178&amp;"; "&amp;AI1178&amp;"; "&amp;AJ1178</f>
        <v/>
      </c>
    </row>
    <row r="1179">
      <c r="A1179" s="11" t="inlineStr">
        <is>
          <t>T0077-G11-BIO</t>
        </is>
      </c>
      <c r="B1179" s="11" t="n">
        <v>11</v>
      </c>
      <c r="C1179" s="11" t="inlineStr">
        <is>
          <t>Biología</t>
        </is>
      </c>
      <c r="D1179" s="11" t="inlineStr">
        <is>
          <t>Matriz_Bachillerato_Biologia_10_11.xlsx</t>
        </is>
      </c>
      <c r="E1179" s="11" t="inlineStr">
        <is>
          <t>Biología 11.°</t>
        </is>
      </c>
      <c r="F1179" s="11" t="n">
        <v>9</v>
      </c>
      <c r="G1179" s="11" t="inlineStr">
        <is>
          <t>1. Ecología y ambiente</t>
        </is>
      </c>
      <c r="H1179" s="11" t="inlineStr">
        <is>
          <t>Problemática ambiental global</t>
        </is>
      </c>
      <c r="I1179" s="38" t="inlineStr">
        <is>
          <t>1.7. Exploración de los recursos naturales más explotados y los principales residuos generados a nivel mundial.</t>
        </is>
      </c>
      <c r="J1179" s="11" t="inlineStr">
        <is>
          <t>Sin marco</t>
        </is>
      </c>
      <c r="K1179" s="11" t="inlineStr">
        <is>
          <t>N/A</t>
        </is>
      </c>
      <c r="L1179" s="11" t="inlineStr"/>
      <c r="M1179" s="11">
        <f>IF(K1179="FUERA","Fuera del marco",IF(K1179="N/A","Sin marco",IFERROR(INDEX('Datos - Catálogo TIMSS'!$C$5:$C$107,MATCH(K1179,'Datos - Catálogo TIMSS'!$A$5:$A$107,0)),"Pendiente de clasificar")))</f>
        <v/>
      </c>
      <c r="N1179" s="11">
        <f>IF(K1179="FUERA","Fuera del marco",IF(K1179="N/A","Sin marco",IFERROR(INDEX('Datos - Catálogo TIMSS'!$F$5:$F$107,MATCH(K1179,'Datos - Catálogo TIMSS'!$A$5:$A$107,0)),"Pendiente de clasificar")))</f>
        <v/>
      </c>
      <c r="O1179" s="11">
        <f>IF(L1179="","",IFERROR(INDEX('Datos - Catálogo TIMSS'!$C$5:$C$107,MATCH(L1179,'Datos - Catálogo TIMSS'!$A$5:$A$107,0)),"?"))</f>
        <v/>
      </c>
      <c r="P1179" s="11" t="inlineStr">
        <is>
          <t>N/A</t>
        </is>
      </c>
      <c r="Q1179" s="38" t="inlineStr">
        <is>
          <t>Sin marco TIMSS de contenido para esta asignatura en Bachillerato</t>
        </is>
      </c>
      <c r="R1179" s="38" t="inlineStr">
        <is>
          <t>Conocer: reconocer recursos sobreexplotados y tipos de residuos. Aplicar: interpretar datos mundiales</t>
        </is>
      </c>
      <c r="S1179" s="39">
        <f>IFERROR(ISNUMBER(SEARCH("Conocer",$R1179))/(ISNUMBER(SEARCH("Conocer",$R1179))+ISNUMBER(SEARCH("Aplicar",$R1179))+ISNUMBER(SEARCH("Razonar",$R1179))),0)</f>
        <v/>
      </c>
      <c r="T1179" s="39">
        <f>IFERROR(ISNUMBER(SEARCH("Aplicar",$R1179))/(ISNUMBER(SEARCH("Conocer",$R1179))+ISNUMBER(SEARCH("Aplicar",$R1179))+ISNUMBER(SEARCH("Razonar",$R1179))),0)</f>
        <v/>
      </c>
      <c r="U1179" s="39">
        <f>IFERROR(ISNUMBER(SEARCH("Razonar",$R1179))/(ISNUMBER(SEARCH("Conocer",$R1179))+ISNUMBER(SEARCH("Aplicar",$R1179))+ISNUMBER(SEARCH("Razonar",$R1179))),0)</f>
        <v/>
      </c>
      <c r="V1179" s="11" t="inlineStr">
        <is>
          <t>Biología 11°</t>
        </is>
      </c>
      <c r="W1179" s="11" t="inlineStr">
        <is>
          <t>Biología 10°–11°</t>
        </is>
      </c>
      <c r="X1179" s="11">
        <f>IF(OR(IFERROR(INDEX('Datos - Catálogo TIMSS'!$I$5:$I$107,MATCH(K1179,'Datos - Catálogo TIMSS'!$A$5:$A$107,0)),"No")="Sí",IFERROR(INDEX('Datos - Catálogo TIMSS'!$I$5:$I$107,MATCH(L1179,'Datos - Catálogo TIMSS'!$A$5:$A$107,0)),"No")="Sí"),1,0)</f>
        <v/>
      </c>
      <c r="Y1179" s="11">
        <f>IF(IFERROR(INDEX('Datos - Catálogo TIMSS'!$J$5:$J$107,MATCH(K1179,'Datos - Catálogo TIMSS'!$A$5:$A$107,0)),"No")="Sí",1,0)</f>
        <v/>
      </c>
      <c r="Z1179" s="11">
        <f>IF(IFERROR(INDEX('Datos - Catálogo TIMSS'!$J$5:$J$107,MATCH(L1179,'Datos - Catálogo TIMSS'!$A$5:$A$107,0)),"No")="Sí",1,0)</f>
        <v/>
      </c>
      <c r="AA1179" s="11" t="inlineStr">
        <is>
          <t>N/A</t>
        </is>
      </c>
      <c r="AB1179" s="11" t="inlineStr"/>
      <c r="AC1179" s="11">
        <f>IF(AA1179="FUERA","Fuera del marco",IF(AA1179="N/A","Sin marco",IFERROR(INDEX('Datos - TIMSS 2023'!$C$5:$C$105,MATCH(AA1179,'Datos - TIMSS 2023'!$A$5:$A$105,0)),"Pendiente de clasificar")))</f>
        <v/>
      </c>
      <c r="AD1179" s="11" t="inlineStr">
        <is>
          <t>3. Investigar, evaluar y usar información científica para tomar decisiones y actuar</t>
        </is>
      </c>
      <c r="AE1179" s="11">
        <f>IF(AD1179="","",IF(LEFT(AD1179,1)="1","C1",IF(LEFT(AD1179,1)="2","C2",IF(LEFT(AD1179,1)="3","C3",""))))</f>
        <v/>
      </c>
      <c r="AF1179" s="11" t="inlineStr">
        <is>
          <t>E6</t>
        </is>
      </c>
      <c r="AG1179" s="11" t="inlineStr">
        <is>
          <t>E5</t>
        </is>
      </c>
      <c r="AH1179" s="11" t="inlineStr">
        <is>
          <t>E1</t>
        </is>
      </c>
      <c r="AI1179" s="11" t="inlineStr">
        <is>
          <t>I1</t>
        </is>
      </c>
      <c r="AJ1179" s="11" t="inlineStr">
        <is>
          <t>E6</t>
        </is>
      </c>
      <c r="AK1179" s="11" t="n"/>
      <c r="AL1179" s="11" t="n"/>
      <c r="AM1179" s="11" t="n"/>
      <c r="AN1179" s="11" t="n"/>
      <c r="AO1179" s="11" t="n"/>
      <c r="AP1179" s="11" t="n"/>
      <c r="AQ1179" s="11" t="n"/>
      <c r="AR1179" s="11" t="n"/>
      <c r="AS1179" s="11" t="n"/>
      <c r="AT1179" s="11" t="n"/>
      <c r="AU1179" s="11" t="n"/>
      <c r="AV1179" s="11" t="n"/>
      <c r="AW1179" s="11">
        <f>AF1179&amp;"; "&amp;AG1179&amp;"; "&amp;AH1179&amp;"; "&amp;AI1179&amp;"; "&amp;AJ1179</f>
        <v/>
      </c>
    </row>
    <row r="1180">
      <c r="A1180" s="11" t="inlineStr">
        <is>
          <t>T0078-G11-BIO</t>
        </is>
      </c>
      <c r="B1180" s="11" t="n">
        <v>11</v>
      </c>
      <c r="C1180" s="11" t="inlineStr">
        <is>
          <t>Biología</t>
        </is>
      </c>
      <c r="D1180" s="11" t="inlineStr">
        <is>
          <t>Matriz_Bachillerato_Biologia_10_11.xlsx</t>
        </is>
      </c>
      <c r="E1180" s="11" t="inlineStr">
        <is>
          <t>Biología 11.°</t>
        </is>
      </c>
      <c r="F1180" s="11" t="n">
        <v>10</v>
      </c>
      <c r="G1180" s="11" t="inlineStr">
        <is>
          <t>1. Ecología y ambiente</t>
        </is>
      </c>
      <c r="H1180" s="11" t="inlineStr">
        <is>
          <t>Problemática ambiental global</t>
        </is>
      </c>
      <c r="I1180" s="38" t="inlineStr">
        <is>
          <t>1.8. Reconocimiento de las causas y consecuencias del cambio climático antropogénico.</t>
        </is>
      </c>
      <c r="J1180" s="11" t="inlineStr">
        <is>
          <t>Sin marco</t>
        </is>
      </c>
      <c r="K1180" s="11" t="inlineStr">
        <is>
          <t>N/A</t>
        </is>
      </c>
      <c r="L1180" s="11" t="inlineStr"/>
      <c r="M1180" s="11">
        <f>IF(K1180="FUERA","Fuera del marco",IF(K1180="N/A","Sin marco",IFERROR(INDEX('Datos - Catálogo TIMSS'!$C$5:$C$107,MATCH(K1180,'Datos - Catálogo TIMSS'!$A$5:$A$107,0)),"Pendiente de clasificar")))</f>
        <v/>
      </c>
      <c r="N1180" s="11">
        <f>IF(K1180="FUERA","Fuera del marco",IF(K1180="N/A","Sin marco",IFERROR(INDEX('Datos - Catálogo TIMSS'!$F$5:$F$107,MATCH(K1180,'Datos - Catálogo TIMSS'!$A$5:$A$107,0)),"Pendiente de clasificar")))</f>
        <v/>
      </c>
      <c r="O1180" s="11">
        <f>IF(L1180="","",IFERROR(INDEX('Datos - Catálogo TIMSS'!$C$5:$C$107,MATCH(L1180,'Datos - Catálogo TIMSS'!$A$5:$A$107,0)),"?"))</f>
        <v/>
      </c>
      <c r="P1180" s="11" t="inlineStr">
        <is>
          <t>N/A</t>
        </is>
      </c>
      <c r="Q1180" s="38" t="inlineStr">
        <is>
          <t>Sin marco TIMSS de contenido para esta asignatura en Bachillerato</t>
        </is>
      </c>
      <c r="R1180" s="38" t="inlineStr">
        <is>
          <t>Aplicar: graficar series temporales. Razonar: relacionar causas y consecuencias del cambio climático</t>
        </is>
      </c>
      <c r="S1180" s="39">
        <f>IFERROR(ISNUMBER(SEARCH("Conocer",$R1180))/(ISNUMBER(SEARCH("Conocer",$R1180))+ISNUMBER(SEARCH("Aplicar",$R1180))+ISNUMBER(SEARCH("Razonar",$R1180))),0)</f>
        <v/>
      </c>
      <c r="T1180" s="39">
        <f>IFERROR(ISNUMBER(SEARCH("Aplicar",$R1180))/(ISNUMBER(SEARCH("Conocer",$R1180))+ISNUMBER(SEARCH("Aplicar",$R1180))+ISNUMBER(SEARCH("Razonar",$R1180))),0)</f>
        <v/>
      </c>
      <c r="U1180" s="39">
        <f>IFERROR(ISNUMBER(SEARCH("Razonar",$R1180))/(ISNUMBER(SEARCH("Conocer",$R1180))+ISNUMBER(SEARCH("Aplicar",$R1180))+ISNUMBER(SEARCH("Razonar",$R1180))),0)</f>
        <v/>
      </c>
      <c r="V1180" s="11" t="inlineStr">
        <is>
          <t>Biología 11°</t>
        </is>
      </c>
      <c r="W1180" s="11" t="inlineStr">
        <is>
          <t>Biología 10°–11°</t>
        </is>
      </c>
      <c r="X1180" s="11">
        <f>IF(OR(IFERROR(INDEX('Datos - Catálogo TIMSS'!$I$5:$I$107,MATCH(K1180,'Datos - Catálogo TIMSS'!$A$5:$A$107,0)),"No")="Sí",IFERROR(INDEX('Datos - Catálogo TIMSS'!$I$5:$I$107,MATCH(L1180,'Datos - Catálogo TIMSS'!$A$5:$A$107,0)),"No")="Sí"),1,0)</f>
        <v/>
      </c>
      <c r="Y1180" s="11">
        <f>IF(IFERROR(INDEX('Datos - Catálogo TIMSS'!$J$5:$J$107,MATCH(K1180,'Datos - Catálogo TIMSS'!$A$5:$A$107,0)),"No")="Sí",1,0)</f>
        <v/>
      </c>
      <c r="Z1180" s="11">
        <f>IF(IFERROR(INDEX('Datos - Catálogo TIMSS'!$J$5:$J$107,MATCH(L1180,'Datos - Catálogo TIMSS'!$A$5:$A$107,0)),"No")="Sí",1,0)</f>
        <v/>
      </c>
      <c r="AA1180" s="11" t="inlineStr">
        <is>
          <t>N/A</t>
        </is>
      </c>
      <c r="AB1180" s="11" t="inlineStr"/>
      <c r="AC1180" s="11">
        <f>IF(AA1180="FUERA","Fuera del marco",IF(AA1180="N/A","Sin marco",IFERROR(INDEX('Datos - TIMSS 2023'!$C$5:$C$105,MATCH(AA1180,'Datos - TIMSS 2023'!$A$5:$A$105,0)),"Pendiente de clasificar")))</f>
        <v/>
      </c>
      <c r="AD1180" s="11" t="inlineStr">
        <is>
          <t>2. Construir y evaluar diseños para la indagación científica e interpretar datos y evidencia de forma crítica</t>
        </is>
      </c>
      <c r="AE1180" s="11">
        <f>IF(AD1180="","",IF(LEFT(AD1180,1)="1","C1",IF(LEFT(AD1180,1)="2","C2",IF(LEFT(AD1180,1)="3","C3",""))))</f>
        <v/>
      </c>
      <c r="AF1180" s="11" t="inlineStr">
        <is>
          <t>E1</t>
        </is>
      </c>
      <c r="AG1180" s="11" t="inlineStr">
        <is>
          <t>E5</t>
        </is>
      </c>
      <c r="AH1180" s="11" t="inlineStr">
        <is>
          <t>E2</t>
        </is>
      </c>
      <c r="AI1180" s="11" t="inlineStr">
        <is>
          <t>D4</t>
        </is>
      </c>
      <c r="AJ1180" s="11" t="inlineStr">
        <is>
          <t>I2</t>
        </is>
      </c>
      <c r="AK1180" s="11" t="n"/>
      <c r="AL1180" s="11" t="n"/>
      <c r="AM1180" s="11" t="n"/>
      <c r="AN1180" s="11" t="n"/>
      <c r="AO1180" s="11" t="n"/>
      <c r="AP1180" s="11" t="n"/>
      <c r="AQ1180" s="11" t="n"/>
      <c r="AR1180" s="11" t="n"/>
      <c r="AS1180" s="11" t="n"/>
      <c r="AT1180" s="11" t="n"/>
      <c r="AU1180" s="11" t="n"/>
      <c r="AV1180" s="11" t="n"/>
      <c r="AW1180" s="11">
        <f>AF1180&amp;"; "&amp;AG1180&amp;"; "&amp;AH1180&amp;"; "&amp;AI1180&amp;"; "&amp;AJ1180</f>
        <v/>
      </c>
    </row>
    <row r="1181">
      <c r="A1181" s="11" t="inlineStr">
        <is>
          <t>T0079-G11-BIO</t>
        </is>
      </c>
      <c r="B1181" s="11" t="n">
        <v>11</v>
      </c>
      <c r="C1181" s="11" t="inlineStr">
        <is>
          <t>Biología</t>
        </is>
      </c>
      <c r="D1181" s="11" t="inlineStr">
        <is>
          <t>Matriz_Bachillerato_Biologia_10_11.xlsx</t>
        </is>
      </c>
      <c r="E1181" s="11" t="inlineStr">
        <is>
          <t>Biología 11.°</t>
        </is>
      </c>
      <c r="F1181" s="11" t="n">
        <v>11</v>
      </c>
      <c r="G1181" s="11" t="inlineStr">
        <is>
          <t>1. Ecología y ambiente</t>
        </is>
      </c>
      <c r="H1181" s="11" t="inlineStr">
        <is>
          <t>Problemática ambiental global</t>
        </is>
      </c>
      <c r="I1181" s="38" t="inlineStr">
        <is>
          <t>1.9. Análisis de las causas y los impactos globales de la pérdida de biodiversidad.</t>
        </is>
      </c>
      <c r="J1181" s="11" t="inlineStr">
        <is>
          <t>Sin marco</t>
        </is>
      </c>
      <c r="K1181" s="11" t="inlineStr">
        <is>
          <t>N/A</t>
        </is>
      </c>
      <c r="L1181" s="11" t="inlineStr"/>
      <c r="M1181" s="11">
        <f>IF(K1181="FUERA","Fuera del marco",IF(K1181="N/A","Sin marco",IFERROR(INDEX('Datos - Catálogo TIMSS'!$C$5:$C$107,MATCH(K1181,'Datos - Catálogo TIMSS'!$A$5:$A$107,0)),"Pendiente de clasificar")))</f>
        <v/>
      </c>
      <c r="N1181" s="11">
        <f>IF(K1181="FUERA","Fuera del marco",IF(K1181="N/A","Sin marco",IFERROR(INDEX('Datos - Catálogo TIMSS'!$F$5:$F$107,MATCH(K1181,'Datos - Catálogo TIMSS'!$A$5:$A$107,0)),"Pendiente de clasificar")))</f>
        <v/>
      </c>
      <c r="O1181" s="11">
        <f>IF(L1181="","",IFERROR(INDEX('Datos - Catálogo TIMSS'!$C$5:$C$107,MATCH(L1181,'Datos - Catálogo TIMSS'!$A$5:$A$107,0)),"?"))</f>
        <v/>
      </c>
      <c r="P1181" s="11" t="inlineStr">
        <is>
          <t>N/A</t>
        </is>
      </c>
      <c r="Q1181" s="38" t="inlineStr">
        <is>
          <t>Sin marco TIMSS de contenido para esta asignatura en Bachillerato</t>
        </is>
      </c>
      <c r="R1181" s="38" t="inlineStr">
        <is>
          <t>Conocer: identificar causas de pérdida de biodiversidad. Razonar: argumentar con tasas de extinción</t>
        </is>
      </c>
      <c r="S1181" s="39">
        <f>IFERROR(ISNUMBER(SEARCH("Conocer",$R1181))/(ISNUMBER(SEARCH("Conocer",$R1181))+ISNUMBER(SEARCH("Aplicar",$R1181))+ISNUMBER(SEARCH("Razonar",$R1181))),0)</f>
        <v/>
      </c>
      <c r="T1181" s="39">
        <f>IFERROR(ISNUMBER(SEARCH("Aplicar",$R1181))/(ISNUMBER(SEARCH("Conocer",$R1181))+ISNUMBER(SEARCH("Aplicar",$R1181))+ISNUMBER(SEARCH("Razonar",$R1181))),0)</f>
        <v/>
      </c>
      <c r="U1181" s="39">
        <f>IFERROR(ISNUMBER(SEARCH("Razonar",$R1181))/(ISNUMBER(SEARCH("Conocer",$R1181))+ISNUMBER(SEARCH("Aplicar",$R1181))+ISNUMBER(SEARCH("Razonar",$R1181))),0)</f>
        <v/>
      </c>
      <c r="V1181" s="11" t="inlineStr">
        <is>
          <t>Biología 11°</t>
        </is>
      </c>
      <c r="W1181" s="11" t="inlineStr">
        <is>
          <t>Biología 10°–11°</t>
        </is>
      </c>
      <c r="X1181" s="11">
        <f>IF(OR(IFERROR(INDEX('Datos - Catálogo TIMSS'!$I$5:$I$107,MATCH(K1181,'Datos - Catálogo TIMSS'!$A$5:$A$107,0)),"No")="Sí",IFERROR(INDEX('Datos - Catálogo TIMSS'!$I$5:$I$107,MATCH(L1181,'Datos - Catálogo TIMSS'!$A$5:$A$107,0)),"No")="Sí"),1,0)</f>
        <v/>
      </c>
      <c r="Y1181" s="11">
        <f>IF(IFERROR(INDEX('Datos - Catálogo TIMSS'!$J$5:$J$107,MATCH(K1181,'Datos - Catálogo TIMSS'!$A$5:$A$107,0)),"No")="Sí",1,0)</f>
        <v/>
      </c>
      <c r="Z1181" s="11">
        <f>IF(IFERROR(INDEX('Datos - Catálogo TIMSS'!$J$5:$J$107,MATCH(L1181,'Datos - Catálogo TIMSS'!$A$5:$A$107,0)),"No")="Sí",1,0)</f>
        <v/>
      </c>
      <c r="AA1181" s="11" t="inlineStr">
        <is>
          <t>N/A</t>
        </is>
      </c>
      <c r="AB1181" s="11" t="inlineStr"/>
      <c r="AC1181" s="11">
        <f>IF(AA1181="FUERA","Fuera del marco",IF(AA1181="N/A","Sin marco",IFERROR(INDEX('Datos - TIMSS 2023'!$C$5:$C$105,MATCH(AA1181,'Datos - TIMSS 2023'!$A$5:$A$105,0)),"Pendiente de clasificar")))</f>
        <v/>
      </c>
      <c r="AD1181" s="11" t="inlineStr">
        <is>
          <t>1. Explicar fenómenos científicamente</t>
        </is>
      </c>
      <c r="AE1181" s="11">
        <f>IF(AD1181="","",IF(LEFT(AD1181,1)="1","C1",IF(LEFT(AD1181,1)="2","C2",IF(LEFT(AD1181,1)="3","C3",""))))</f>
        <v/>
      </c>
      <c r="AF1181" s="11" t="inlineStr">
        <is>
          <t>E1</t>
        </is>
      </c>
      <c r="AG1181" s="11" t="inlineStr">
        <is>
          <t>E3</t>
        </is>
      </c>
      <c r="AH1181" s="11" t="inlineStr">
        <is>
          <t>E4</t>
        </is>
      </c>
      <c r="AI1181" s="11" t="inlineStr">
        <is>
          <t>I3</t>
        </is>
      </c>
      <c r="AJ1181" s="11" t="inlineStr">
        <is>
          <t>E6</t>
        </is>
      </c>
      <c r="AK1181" s="11" t="n"/>
      <c r="AL1181" s="11" t="n"/>
      <c r="AM1181" s="11" t="n"/>
      <c r="AN1181" s="11" t="n"/>
      <c r="AO1181" s="11" t="n"/>
      <c r="AP1181" s="11" t="n"/>
      <c r="AQ1181" s="11" t="n"/>
      <c r="AR1181" s="11" t="n"/>
      <c r="AS1181" s="11" t="n"/>
      <c r="AT1181" s="11" t="n"/>
      <c r="AU1181" s="11" t="n"/>
      <c r="AV1181" s="11" t="n"/>
      <c r="AW1181" s="11">
        <f>AF1181&amp;"; "&amp;AG1181&amp;"; "&amp;AH1181&amp;"; "&amp;AI1181&amp;"; "&amp;AJ1181</f>
        <v/>
      </c>
    </row>
    <row r="1182">
      <c r="A1182" s="11" t="inlineStr">
        <is>
          <t>T0080-G11-BIO</t>
        </is>
      </c>
      <c r="B1182" s="11" t="n">
        <v>11</v>
      </c>
      <c r="C1182" s="11" t="inlineStr">
        <is>
          <t>Biología</t>
        </is>
      </c>
      <c r="D1182" s="11" t="inlineStr">
        <is>
          <t>Matriz_Bachillerato_Biologia_10_11.xlsx</t>
        </is>
      </c>
      <c r="E1182" s="11" t="inlineStr">
        <is>
          <t>Biología 11.°</t>
        </is>
      </c>
      <c r="F1182" s="11" t="n">
        <v>12</v>
      </c>
      <c r="G1182" s="11" t="inlineStr">
        <is>
          <t>1. Ecología y ambiente</t>
        </is>
      </c>
      <c r="H1182" s="11" t="inlineStr">
        <is>
          <t>Restauración de ecosistemas</t>
        </is>
      </c>
      <c r="I1182" s="38" t="inlineStr">
        <is>
          <t>1.10. Indagación de los mecanismos de restauración de ecosistemas.</t>
        </is>
      </c>
      <c r="J1182" s="11" t="inlineStr">
        <is>
          <t>Sin marco</t>
        </is>
      </c>
      <c r="K1182" s="11" t="inlineStr">
        <is>
          <t>N/A</t>
        </is>
      </c>
      <c r="L1182" s="11" t="inlineStr"/>
      <c r="M1182" s="11">
        <f>IF(K1182="FUERA","Fuera del marco",IF(K1182="N/A","Sin marco",IFERROR(INDEX('Datos - Catálogo TIMSS'!$C$5:$C$107,MATCH(K1182,'Datos - Catálogo TIMSS'!$A$5:$A$107,0)),"Pendiente de clasificar")))</f>
        <v/>
      </c>
      <c r="N1182" s="11">
        <f>IF(K1182="FUERA","Fuera del marco",IF(K1182="N/A","Sin marco",IFERROR(INDEX('Datos - Catálogo TIMSS'!$F$5:$F$107,MATCH(K1182,'Datos - Catálogo TIMSS'!$A$5:$A$107,0)),"Pendiente de clasificar")))</f>
        <v/>
      </c>
      <c r="O1182" s="11">
        <f>IF(L1182="","",IFERROR(INDEX('Datos - Catálogo TIMSS'!$C$5:$C$107,MATCH(L1182,'Datos - Catálogo TIMSS'!$A$5:$A$107,0)),"?"))</f>
        <v/>
      </c>
      <c r="P1182" s="11" t="inlineStr">
        <is>
          <t>N/A</t>
        </is>
      </c>
      <c r="Q1182" s="38" t="inlineStr">
        <is>
          <t>Sin marco TIMSS de contenido para esta asignatura en Bachillerato</t>
        </is>
      </c>
      <c r="R1182" s="38" t="inlineStr">
        <is>
          <t>Conocer: identificar tipos de restauración. Razonar: seleccionar el mecanismo adecuado a un caso</t>
        </is>
      </c>
      <c r="S1182" s="39">
        <f>IFERROR(ISNUMBER(SEARCH("Conocer",$R1182))/(ISNUMBER(SEARCH("Conocer",$R1182))+ISNUMBER(SEARCH("Aplicar",$R1182))+ISNUMBER(SEARCH("Razonar",$R1182))),0)</f>
        <v/>
      </c>
      <c r="T1182" s="39">
        <f>IFERROR(ISNUMBER(SEARCH("Aplicar",$R1182))/(ISNUMBER(SEARCH("Conocer",$R1182))+ISNUMBER(SEARCH("Aplicar",$R1182))+ISNUMBER(SEARCH("Razonar",$R1182))),0)</f>
        <v/>
      </c>
      <c r="U1182" s="39">
        <f>IFERROR(ISNUMBER(SEARCH("Razonar",$R1182))/(ISNUMBER(SEARCH("Conocer",$R1182))+ISNUMBER(SEARCH("Aplicar",$R1182))+ISNUMBER(SEARCH("Razonar",$R1182))),0)</f>
        <v/>
      </c>
      <c r="V1182" s="11" t="inlineStr">
        <is>
          <t>Biología 11°</t>
        </is>
      </c>
      <c r="W1182" s="11" t="inlineStr">
        <is>
          <t>Biología 10°–11°</t>
        </is>
      </c>
      <c r="X1182" s="11">
        <f>IF(OR(IFERROR(INDEX('Datos - Catálogo TIMSS'!$I$5:$I$107,MATCH(K1182,'Datos - Catálogo TIMSS'!$A$5:$A$107,0)),"No")="Sí",IFERROR(INDEX('Datos - Catálogo TIMSS'!$I$5:$I$107,MATCH(L1182,'Datos - Catálogo TIMSS'!$A$5:$A$107,0)),"No")="Sí"),1,0)</f>
        <v/>
      </c>
      <c r="Y1182" s="11">
        <f>IF(IFERROR(INDEX('Datos - Catálogo TIMSS'!$J$5:$J$107,MATCH(K1182,'Datos - Catálogo TIMSS'!$A$5:$A$107,0)),"No")="Sí",1,0)</f>
        <v/>
      </c>
      <c r="Z1182" s="11">
        <f>IF(IFERROR(INDEX('Datos - Catálogo TIMSS'!$J$5:$J$107,MATCH(L1182,'Datos - Catálogo TIMSS'!$A$5:$A$107,0)),"No")="Sí",1,0)</f>
        <v/>
      </c>
      <c r="AA1182" s="11" t="inlineStr">
        <is>
          <t>N/A</t>
        </is>
      </c>
      <c r="AB1182" s="11" t="inlineStr"/>
      <c r="AC1182" s="11">
        <f>IF(AA1182="FUERA","Fuera del marco",IF(AA1182="N/A","Sin marco",IFERROR(INDEX('Datos - TIMSS 2023'!$C$5:$C$105,MATCH(AA1182,'Datos - TIMSS 2023'!$A$5:$A$105,0)),"Pendiente de clasificar")))</f>
        <v/>
      </c>
      <c r="AD1182" s="11" t="inlineStr">
        <is>
          <t>3. Investigar, evaluar y usar información científica para tomar decisiones y actuar</t>
        </is>
      </c>
      <c r="AE1182" s="11">
        <f>IF(AD1182="","",IF(LEFT(AD1182,1)="1","C1",IF(LEFT(AD1182,1)="2","C2",IF(LEFT(AD1182,1)="3","C3",""))))</f>
        <v/>
      </c>
      <c r="AF1182" s="11" t="inlineStr">
        <is>
          <t>E1</t>
        </is>
      </c>
      <c r="AG1182" s="11" t="inlineStr">
        <is>
          <t>D1</t>
        </is>
      </c>
      <c r="AH1182" s="11" t="inlineStr">
        <is>
          <t>E1</t>
        </is>
      </c>
      <c r="AI1182" s="11" t="inlineStr">
        <is>
          <t>I1</t>
        </is>
      </c>
      <c r="AJ1182" s="11" t="inlineStr">
        <is>
          <t>I5</t>
        </is>
      </c>
      <c r="AK1182" s="11" t="n"/>
      <c r="AL1182" s="11" t="n"/>
      <c r="AM1182" s="11" t="n"/>
      <c r="AN1182" s="11" t="n"/>
      <c r="AO1182" s="11" t="n"/>
      <c r="AP1182" s="11" t="n"/>
      <c r="AQ1182" s="11" t="n"/>
      <c r="AR1182" s="11" t="n"/>
      <c r="AS1182" s="11" t="n"/>
      <c r="AT1182" s="11" t="n"/>
      <c r="AU1182" s="11" t="n"/>
      <c r="AV1182" s="11" t="n"/>
      <c r="AW1182" s="11">
        <f>AF1182&amp;"; "&amp;AG1182&amp;"; "&amp;AH1182&amp;"; "&amp;AI1182&amp;"; "&amp;AJ1182</f>
        <v/>
      </c>
    </row>
    <row r="1183">
      <c r="A1183" s="11" t="inlineStr">
        <is>
          <t>T0081-G11-BIO</t>
        </is>
      </c>
      <c r="B1183" s="11" t="n">
        <v>11</v>
      </c>
      <c r="C1183" s="11" t="inlineStr">
        <is>
          <t>Biología</t>
        </is>
      </c>
      <c r="D1183" s="11" t="inlineStr">
        <is>
          <t>Matriz_Bachillerato_Biologia_10_11.xlsx</t>
        </is>
      </c>
      <c r="E1183" s="11" t="inlineStr">
        <is>
          <t>Biología 11.°</t>
        </is>
      </c>
      <c r="F1183" s="11" t="n">
        <v>13</v>
      </c>
      <c r="G1183" s="11" t="inlineStr">
        <is>
          <t>1. Ecología y ambiente</t>
        </is>
      </c>
      <c r="H1183" s="11" t="inlineStr">
        <is>
          <t>Restauración de ecosistemas</t>
        </is>
      </c>
      <c r="I1183" s="38" t="inlineStr">
        <is>
          <t>1.11. Exploración del estado de regeneración de los ecosistemas.</t>
        </is>
      </c>
      <c r="J1183" s="11" t="inlineStr">
        <is>
          <t>Sin marco</t>
        </is>
      </c>
      <c r="K1183" s="11" t="inlineStr">
        <is>
          <t>N/A</t>
        </is>
      </c>
      <c r="L1183" s="11" t="inlineStr"/>
      <c r="M1183" s="11">
        <f>IF(K1183="FUERA","Fuera del marco",IF(K1183="N/A","Sin marco",IFERROR(INDEX('Datos - Catálogo TIMSS'!$C$5:$C$107,MATCH(K1183,'Datos - Catálogo TIMSS'!$A$5:$A$107,0)),"Pendiente de clasificar")))</f>
        <v/>
      </c>
      <c r="N1183" s="11">
        <f>IF(K1183="FUERA","Fuera del marco",IF(K1183="N/A","Sin marco",IFERROR(INDEX('Datos - Catálogo TIMSS'!$F$5:$F$107,MATCH(K1183,'Datos - Catálogo TIMSS'!$A$5:$A$107,0)),"Pendiente de clasificar")))</f>
        <v/>
      </c>
      <c r="O1183" s="11">
        <f>IF(L1183="","",IFERROR(INDEX('Datos - Catálogo TIMSS'!$C$5:$C$107,MATCH(L1183,'Datos - Catálogo TIMSS'!$A$5:$A$107,0)),"?"))</f>
        <v/>
      </c>
      <c r="P1183" s="11" t="inlineStr">
        <is>
          <t>N/A</t>
        </is>
      </c>
      <c r="Q1183" s="38" t="inlineStr">
        <is>
          <t>Sin marco TIMSS de contenido para esta asignatura en Bachillerato</t>
        </is>
      </c>
      <c r="R1183" s="38" t="inlineStr">
        <is>
          <t>Aplicar: calcular índices de diversidad. Razonar: evaluar un método de monitoreo</t>
        </is>
      </c>
      <c r="S1183" s="39">
        <f>IFERROR(ISNUMBER(SEARCH("Conocer",$R1183))/(ISNUMBER(SEARCH("Conocer",$R1183))+ISNUMBER(SEARCH("Aplicar",$R1183))+ISNUMBER(SEARCH("Razonar",$R1183))),0)</f>
        <v/>
      </c>
      <c r="T1183" s="39">
        <f>IFERROR(ISNUMBER(SEARCH("Aplicar",$R1183))/(ISNUMBER(SEARCH("Conocer",$R1183))+ISNUMBER(SEARCH("Aplicar",$R1183))+ISNUMBER(SEARCH("Razonar",$R1183))),0)</f>
        <v/>
      </c>
      <c r="U1183" s="39">
        <f>IFERROR(ISNUMBER(SEARCH("Razonar",$R1183))/(ISNUMBER(SEARCH("Conocer",$R1183))+ISNUMBER(SEARCH("Aplicar",$R1183))+ISNUMBER(SEARCH("Razonar",$R1183))),0)</f>
        <v/>
      </c>
      <c r="V1183" s="11" t="inlineStr">
        <is>
          <t>Biología 11°</t>
        </is>
      </c>
      <c r="W1183" s="11" t="inlineStr">
        <is>
          <t>Biología 10°–11°</t>
        </is>
      </c>
      <c r="X1183" s="11">
        <f>IF(OR(IFERROR(INDEX('Datos - Catálogo TIMSS'!$I$5:$I$107,MATCH(K1183,'Datos - Catálogo TIMSS'!$A$5:$A$107,0)),"No")="Sí",IFERROR(INDEX('Datos - Catálogo TIMSS'!$I$5:$I$107,MATCH(L1183,'Datos - Catálogo TIMSS'!$A$5:$A$107,0)),"No")="Sí"),1,0)</f>
        <v/>
      </c>
      <c r="Y1183" s="11">
        <f>IF(IFERROR(INDEX('Datos - Catálogo TIMSS'!$J$5:$J$107,MATCH(K1183,'Datos - Catálogo TIMSS'!$A$5:$A$107,0)),"No")="Sí",1,0)</f>
        <v/>
      </c>
      <c r="Z1183" s="11">
        <f>IF(IFERROR(INDEX('Datos - Catálogo TIMSS'!$J$5:$J$107,MATCH(L1183,'Datos - Catálogo TIMSS'!$A$5:$A$107,0)),"No")="Sí",1,0)</f>
        <v/>
      </c>
      <c r="AA1183" s="11" t="inlineStr">
        <is>
          <t>N/A</t>
        </is>
      </c>
      <c r="AB1183" s="11" t="inlineStr"/>
      <c r="AC1183" s="11">
        <f>IF(AA1183="FUERA","Fuera del marco",IF(AA1183="N/A","Sin marco",IFERROR(INDEX('Datos - TIMSS 2023'!$C$5:$C$105,MATCH(AA1183,'Datos - TIMSS 2023'!$A$5:$A$105,0)),"Pendiente de clasificar")))</f>
        <v/>
      </c>
      <c r="AD1183" s="11" t="inlineStr">
        <is>
          <t>2. Construir y evaluar diseños para la indagación científica e interpretar datos y evidencia de forma crítica</t>
        </is>
      </c>
      <c r="AE1183" s="11">
        <f>IF(AD1183="","",IF(LEFT(AD1183,1)="1","C1",IF(LEFT(AD1183,1)="2","C2",IF(LEFT(AD1183,1)="3","C3",""))))</f>
        <v/>
      </c>
      <c r="AF1183" s="11" t="inlineStr">
        <is>
          <t>E1</t>
        </is>
      </c>
      <c r="AG1183" s="11" t="inlineStr">
        <is>
          <t>D1</t>
        </is>
      </c>
      <c r="AH1183" s="11" t="inlineStr">
        <is>
          <t>E2</t>
        </is>
      </c>
      <c r="AI1183" s="11" t="inlineStr">
        <is>
          <t>D2</t>
        </is>
      </c>
      <c r="AJ1183" s="11" t="inlineStr">
        <is>
          <t>D3</t>
        </is>
      </c>
      <c r="AK1183" s="11" t="n"/>
      <c r="AL1183" s="11" t="n"/>
      <c r="AM1183" s="11" t="n"/>
      <c r="AN1183" s="11" t="n"/>
      <c r="AO1183" s="11" t="n"/>
      <c r="AP1183" s="11" t="n"/>
      <c r="AQ1183" s="11" t="n"/>
      <c r="AR1183" s="11" t="n"/>
      <c r="AS1183" s="11" t="n"/>
      <c r="AT1183" s="11" t="n"/>
      <c r="AU1183" s="11" t="n"/>
      <c r="AV1183" s="11" t="n"/>
      <c r="AW1183" s="11">
        <f>AF1183&amp;"; "&amp;AG1183&amp;"; "&amp;AH1183&amp;"; "&amp;AI1183&amp;"; "&amp;AJ1183</f>
        <v/>
      </c>
    </row>
    <row r="1184">
      <c r="A1184" s="11" t="inlineStr">
        <is>
          <t>T0082-G11-BIO</t>
        </is>
      </c>
      <c r="B1184" s="11" t="n">
        <v>11</v>
      </c>
      <c r="C1184" s="11" t="inlineStr">
        <is>
          <t>Biología</t>
        </is>
      </c>
      <c r="D1184" s="11" t="inlineStr">
        <is>
          <t>Matriz_Bachillerato_Biologia_10_11.xlsx</t>
        </is>
      </c>
      <c r="E1184" s="11" t="inlineStr">
        <is>
          <t>Biología 11.°</t>
        </is>
      </c>
      <c r="F1184" s="11" t="n">
        <v>14</v>
      </c>
      <c r="G1184" s="11" t="inlineStr">
        <is>
          <t>1. Ecología y ambiente</t>
        </is>
      </c>
      <c r="H1184" s="11" t="inlineStr">
        <is>
          <t>Restauración de ecosistemas</t>
        </is>
      </c>
      <c r="I1184" s="38" t="inlineStr">
        <is>
          <t>1.12. Reconocimiento de estrategias de restauración de ecosistemas.</t>
        </is>
      </c>
      <c r="J1184" s="11" t="inlineStr">
        <is>
          <t>Sin marco</t>
        </is>
      </c>
      <c r="K1184" s="11" t="inlineStr">
        <is>
          <t>N/A</t>
        </is>
      </c>
      <c r="L1184" s="11" t="inlineStr"/>
      <c r="M1184" s="11">
        <f>IF(K1184="FUERA","Fuera del marco",IF(K1184="N/A","Sin marco",IFERROR(INDEX('Datos - Catálogo TIMSS'!$C$5:$C$107,MATCH(K1184,'Datos - Catálogo TIMSS'!$A$5:$A$107,0)),"Pendiente de clasificar")))</f>
        <v/>
      </c>
      <c r="N1184" s="11">
        <f>IF(K1184="FUERA","Fuera del marco",IF(K1184="N/A","Sin marco",IFERROR(INDEX('Datos - Catálogo TIMSS'!$F$5:$F$107,MATCH(K1184,'Datos - Catálogo TIMSS'!$A$5:$A$107,0)),"Pendiente de clasificar")))</f>
        <v/>
      </c>
      <c r="O1184" s="11">
        <f>IF(L1184="","",IFERROR(INDEX('Datos - Catálogo TIMSS'!$C$5:$C$107,MATCH(L1184,'Datos - Catálogo TIMSS'!$A$5:$A$107,0)),"?"))</f>
        <v/>
      </c>
      <c r="P1184" s="11" t="inlineStr">
        <is>
          <t>N/A</t>
        </is>
      </c>
      <c r="Q1184" s="38" t="inlineStr">
        <is>
          <t>Sin marco TIMSS de contenido para esta asignatura en Bachillerato</t>
        </is>
      </c>
      <c r="R1184" s="38" t="inlineStr">
        <is>
          <t>Conocer: reconocer estrategias de restauración. Razonar: justificar una propuesta de comunidad sostenible</t>
        </is>
      </c>
      <c r="S1184" s="39">
        <f>IFERROR(ISNUMBER(SEARCH("Conocer",$R1184))/(ISNUMBER(SEARCH("Conocer",$R1184))+ISNUMBER(SEARCH("Aplicar",$R1184))+ISNUMBER(SEARCH("Razonar",$R1184))),0)</f>
        <v/>
      </c>
      <c r="T1184" s="39">
        <f>IFERROR(ISNUMBER(SEARCH("Aplicar",$R1184))/(ISNUMBER(SEARCH("Conocer",$R1184))+ISNUMBER(SEARCH("Aplicar",$R1184))+ISNUMBER(SEARCH("Razonar",$R1184))),0)</f>
        <v/>
      </c>
      <c r="U1184" s="39">
        <f>IFERROR(ISNUMBER(SEARCH("Razonar",$R1184))/(ISNUMBER(SEARCH("Conocer",$R1184))+ISNUMBER(SEARCH("Aplicar",$R1184))+ISNUMBER(SEARCH("Razonar",$R1184))),0)</f>
        <v/>
      </c>
      <c r="V1184" s="11" t="inlineStr">
        <is>
          <t>Biología 11°</t>
        </is>
      </c>
      <c r="W1184" s="11" t="inlineStr">
        <is>
          <t>Biología 10°–11°</t>
        </is>
      </c>
      <c r="X1184" s="11">
        <f>IF(OR(IFERROR(INDEX('Datos - Catálogo TIMSS'!$I$5:$I$107,MATCH(K1184,'Datos - Catálogo TIMSS'!$A$5:$A$107,0)),"No")="Sí",IFERROR(INDEX('Datos - Catálogo TIMSS'!$I$5:$I$107,MATCH(L1184,'Datos - Catálogo TIMSS'!$A$5:$A$107,0)),"No")="Sí"),1,0)</f>
        <v/>
      </c>
      <c r="Y1184" s="11">
        <f>IF(IFERROR(INDEX('Datos - Catálogo TIMSS'!$J$5:$J$107,MATCH(K1184,'Datos - Catálogo TIMSS'!$A$5:$A$107,0)),"No")="Sí",1,0)</f>
        <v/>
      </c>
      <c r="Z1184" s="11">
        <f>IF(IFERROR(INDEX('Datos - Catálogo TIMSS'!$J$5:$J$107,MATCH(L1184,'Datos - Catálogo TIMSS'!$A$5:$A$107,0)),"No")="Sí",1,0)</f>
        <v/>
      </c>
      <c r="AA1184" s="11" t="inlineStr">
        <is>
          <t>N/A</t>
        </is>
      </c>
      <c r="AB1184" s="11" t="inlineStr"/>
      <c r="AC1184" s="11">
        <f>IF(AA1184="FUERA","Fuera del marco",IF(AA1184="N/A","Sin marco",IFERROR(INDEX('Datos - TIMSS 2023'!$C$5:$C$105,MATCH(AA1184,'Datos - TIMSS 2023'!$A$5:$A$105,0)),"Pendiente de clasificar")))</f>
        <v/>
      </c>
      <c r="AD1184" s="11" t="inlineStr">
        <is>
          <t>3. Investigar, evaluar y usar información científica para tomar decisiones y actuar</t>
        </is>
      </c>
      <c r="AE1184" s="11">
        <f>IF(AD1184="","",IF(LEFT(AD1184,1)="1","C1",IF(LEFT(AD1184,1)="2","C2",IF(LEFT(AD1184,1)="3","C3",""))))</f>
        <v/>
      </c>
      <c r="AF1184" s="11" t="inlineStr">
        <is>
          <t>E6</t>
        </is>
      </c>
      <c r="AG1184" s="11" t="inlineStr">
        <is>
          <t>E5</t>
        </is>
      </c>
      <c r="AH1184" s="11" t="inlineStr">
        <is>
          <t>E1</t>
        </is>
      </c>
      <c r="AI1184" s="11" t="inlineStr">
        <is>
          <t>I3</t>
        </is>
      </c>
      <c r="AJ1184" s="11" t="inlineStr">
        <is>
          <t>I5</t>
        </is>
      </c>
      <c r="AK1184" s="11" t="n"/>
      <c r="AL1184" s="11" t="n"/>
      <c r="AM1184" s="11" t="n"/>
      <c r="AN1184" s="11" t="n"/>
      <c r="AO1184" s="11" t="n"/>
      <c r="AP1184" s="11" t="n"/>
      <c r="AQ1184" s="11" t="n"/>
      <c r="AR1184" s="11" t="n"/>
      <c r="AS1184" s="11" t="n"/>
      <c r="AT1184" s="11" t="n"/>
      <c r="AU1184" s="11" t="n"/>
      <c r="AV1184" s="11" t="n"/>
      <c r="AW1184" s="11">
        <f>AF1184&amp;"; "&amp;AG1184&amp;"; "&amp;AH1184&amp;"; "&amp;AI1184&amp;"; "&amp;AJ1184</f>
        <v/>
      </c>
    </row>
    <row r="1185">
      <c r="A1185" s="11" t="inlineStr">
        <is>
          <t>T0083-G11-BIO</t>
        </is>
      </c>
      <c r="B1185" s="11" t="n">
        <v>11</v>
      </c>
      <c r="C1185" s="11" t="inlineStr">
        <is>
          <t>Biología</t>
        </is>
      </c>
      <c r="D1185" s="11" t="inlineStr">
        <is>
          <t>Matriz_Bachillerato_Biologia_10_11.xlsx</t>
        </is>
      </c>
      <c r="E1185" s="11" t="inlineStr">
        <is>
          <t>Biología 11.°</t>
        </is>
      </c>
      <c r="F1185" s="11" t="n">
        <v>15</v>
      </c>
      <c r="G1185" s="11" t="inlineStr">
        <is>
          <t>2. Biotecnología microbiana y los virus</t>
        </is>
      </c>
      <c r="H1185" s="11" t="inlineStr">
        <is>
          <t>Introducción a la biotecnología microbiana</t>
        </is>
      </c>
      <c r="I1185" s="38" t="inlineStr">
        <is>
          <t>2.1. Indagación del concepto y aplicaciones de la biotecnología microbiana a través de la observación de productos comerciales.</t>
        </is>
      </c>
      <c r="J1185" s="11" t="inlineStr">
        <is>
          <t>Sin marco</t>
        </is>
      </c>
      <c r="K1185" s="11" t="inlineStr">
        <is>
          <t>N/A</t>
        </is>
      </c>
      <c r="L1185" s="11" t="inlineStr"/>
      <c r="M1185" s="11">
        <f>IF(K1185="FUERA","Fuera del marco",IF(K1185="N/A","Sin marco",IFERROR(INDEX('Datos - Catálogo TIMSS'!$C$5:$C$107,MATCH(K1185,'Datos - Catálogo TIMSS'!$A$5:$A$107,0)),"Pendiente de clasificar")))</f>
        <v/>
      </c>
      <c r="N1185" s="11">
        <f>IF(K1185="FUERA","Fuera del marco",IF(K1185="N/A","Sin marco",IFERROR(INDEX('Datos - Catálogo TIMSS'!$F$5:$F$107,MATCH(K1185,'Datos - Catálogo TIMSS'!$A$5:$A$107,0)),"Pendiente de clasificar")))</f>
        <v/>
      </c>
      <c r="O1185" s="11">
        <f>IF(L1185="","",IFERROR(INDEX('Datos - Catálogo TIMSS'!$C$5:$C$107,MATCH(L1185,'Datos - Catálogo TIMSS'!$A$5:$A$107,0)),"?"))</f>
        <v/>
      </c>
      <c r="P1185" s="11" t="inlineStr">
        <is>
          <t>N/A</t>
        </is>
      </c>
      <c r="Q1185" s="38" t="inlineStr">
        <is>
          <t>Sin marco TIMSS de contenido para esta asignatura en Bachillerato</t>
        </is>
      </c>
      <c r="R1185" s="38" t="inlineStr">
        <is>
          <t>Conocer: definir biotecnología microbiana. Aplicar: clasificar productos y procesos por su campo de aplicación</t>
        </is>
      </c>
      <c r="S1185" s="39">
        <f>IFERROR(ISNUMBER(SEARCH("Conocer",$R1185))/(ISNUMBER(SEARCH("Conocer",$R1185))+ISNUMBER(SEARCH("Aplicar",$R1185))+ISNUMBER(SEARCH("Razonar",$R1185))),0)</f>
        <v/>
      </c>
      <c r="T1185" s="39">
        <f>IFERROR(ISNUMBER(SEARCH("Aplicar",$R1185))/(ISNUMBER(SEARCH("Conocer",$R1185))+ISNUMBER(SEARCH("Aplicar",$R1185))+ISNUMBER(SEARCH("Razonar",$R1185))),0)</f>
        <v/>
      </c>
      <c r="U1185" s="39">
        <f>IFERROR(ISNUMBER(SEARCH("Razonar",$R1185))/(ISNUMBER(SEARCH("Conocer",$R1185))+ISNUMBER(SEARCH("Aplicar",$R1185))+ISNUMBER(SEARCH("Razonar",$R1185))),0)</f>
        <v/>
      </c>
      <c r="V1185" s="11" t="inlineStr">
        <is>
          <t>Biología 11°</t>
        </is>
      </c>
      <c r="W1185" s="11" t="inlineStr">
        <is>
          <t>Biología 10°–11°</t>
        </is>
      </c>
      <c r="X1185" s="11">
        <f>IF(OR(IFERROR(INDEX('Datos - Catálogo TIMSS'!$I$5:$I$107,MATCH(K1185,'Datos - Catálogo TIMSS'!$A$5:$A$107,0)),"No")="Sí",IFERROR(INDEX('Datos - Catálogo TIMSS'!$I$5:$I$107,MATCH(L1185,'Datos - Catálogo TIMSS'!$A$5:$A$107,0)),"No")="Sí"),1,0)</f>
        <v/>
      </c>
      <c r="Y1185" s="11">
        <f>IF(IFERROR(INDEX('Datos - Catálogo TIMSS'!$J$5:$J$107,MATCH(K1185,'Datos - Catálogo TIMSS'!$A$5:$A$107,0)),"No")="Sí",1,0)</f>
        <v/>
      </c>
      <c r="Z1185" s="11">
        <f>IF(IFERROR(INDEX('Datos - Catálogo TIMSS'!$J$5:$J$107,MATCH(L1185,'Datos - Catálogo TIMSS'!$A$5:$A$107,0)),"No")="Sí",1,0)</f>
        <v/>
      </c>
      <c r="AA1185" s="11" t="inlineStr">
        <is>
          <t>N/A</t>
        </is>
      </c>
      <c r="AB1185" s="11" t="inlineStr"/>
      <c r="AC1185" s="11">
        <f>IF(AA1185="FUERA","Fuera del marco",IF(AA1185="N/A","Sin marco",IFERROR(INDEX('Datos - TIMSS 2023'!$C$5:$C$105,MATCH(AA1185,'Datos - TIMSS 2023'!$A$5:$A$105,0)),"Pendiente de clasificar")))</f>
        <v/>
      </c>
      <c r="AD1185" s="11" t="inlineStr">
        <is>
          <t>3. Investigar, evaluar y usar información científica para tomar decisiones y actuar</t>
        </is>
      </c>
      <c r="AE1185" s="11">
        <f>IF(AD1185="","",IF(LEFT(AD1185,1)="1","C1",IF(LEFT(AD1185,1)="2","C2",IF(LEFT(AD1185,1)="3","C3",""))))</f>
        <v/>
      </c>
      <c r="AF1185" s="11" t="inlineStr">
        <is>
          <t>E1</t>
        </is>
      </c>
      <c r="AG1185" s="11" t="inlineStr">
        <is>
          <t>D1</t>
        </is>
      </c>
      <c r="AH1185" s="11" t="inlineStr">
        <is>
          <t>E1</t>
        </is>
      </c>
      <c r="AI1185" s="11" t="inlineStr">
        <is>
          <t>I1</t>
        </is>
      </c>
      <c r="AJ1185" s="11" t="inlineStr">
        <is>
          <t>E6</t>
        </is>
      </c>
      <c r="AK1185" s="11" t="n"/>
      <c r="AL1185" s="11" t="n"/>
      <c r="AM1185" s="11" t="n"/>
      <c r="AN1185" s="11" t="n"/>
      <c r="AO1185" s="11" t="n"/>
      <c r="AP1185" s="11" t="n"/>
      <c r="AQ1185" s="11" t="n"/>
      <c r="AR1185" s="11" t="n"/>
      <c r="AS1185" s="11" t="n"/>
      <c r="AT1185" s="11" t="n"/>
      <c r="AU1185" s="11" t="n"/>
      <c r="AV1185" s="11" t="n"/>
      <c r="AW1185" s="11">
        <f>AF1185&amp;"; "&amp;AG1185&amp;"; "&amp;AH1185&amp;"; "&amp;AI1185&amp;"; "&amp;AJ1185</f>
        <v/>
      </c>
    </row>
    <row r="1186">
      <c r="A1186" s="11" t="inlineStr">
        <is>
          <t>T0084-G11-BIO</t>
        </is>
      </c>
      <c r="B1186" s="11" t="n">
        <v>11</v>
      </c>
      <c r="C1186" s="11" t="inlineStr">
        <is>
          <t>Biología</t>
        </is>
      </c>
      <c r="D1186" s="11" t="inlineStr">
        <is>
          <t>Matriz_Bachillerato_Biologia_10_11.xlsx</t>
        </is>
      </c>
      <c r="E1186" s="11" t="inlineStr">
        <is>
          <t>Biología 11.°</t>
        </is>
      </c>
      <c r="F1186" s="11" t="n">
        <v>16</v>
      </c>
      <c r="G1186" s="11" t="inlineStr">
        <is>
          <t>2. Biotecnología microbiana y los virus</t>
        </is>
      </c>
      <c r="H1186" s="11" t="inlineStr">
        <is>
          <t>Introducción a la biotecnología microbiana</t>
        </is>
      </c>
      <c r="I1186" s="38" t="inlineStr">
        <is>
          <t>2.2. Observación de microorganismos de interés industrial o médico empleando técnicas de tinción.</t>
        </is>
      </c>
      <c r="J1186" s="11" t="inlineStr">
        <is>
          <t>Sin marco</t>
        </is>
      </c>
      <c r="K1186" s="11" t="inlineStr">
        <is>
          <t>N/A</t>
        </is>
      </c>
      <c r="L1186" s="11" t="inlineStr"/>
      <c r="M1186" s="11">
        <f>IF(K1186="FUERA","Fuera del marco",IF(K1186="N/A","Sin marco",IFERROR(INDEX('Datos - Catálogo TIMSS'!$C$5:$C$107,MATCH(K1186,'Datos - Catálogo TIMSS'!$A$5:$A$107,0)),"Pendiente de clasificar")))</f>
        <v/>
      </c>
      <c r="N1186" s="11">
        <f>IF(K1186="FUERA","Fuera del marco",IF(K1186="N/A","Sin marco",IFERROR(INDEX('Datos - Catálogo TIMSS'!$F$5:$F$107,MATCH(K1186,'Datos - Catálogo TIMSS'!$A$5:$A$107,0)),"Pendiente de clasificar")))</f>
        <v/>
      </c>
      <c r="O1186" s="11">
        <f>IF(L1186="","",IFERROR(INDEX('Datos - Catálogo TIMSS'!$C$5:$C$107,MATCH(L1186,'Datos - Catálogo TIMSS'!$A$5:$A$107,0)),"?"))</f>
        <v/>
      </c>
      <c r="P1186" s="11" t="inlineStr">
        <is>
          <t>N/A</t>
        </is>
      </c>
      <c r="Q1186" s="38" t="inlineStr">
        <is>
          <t>Sin marco TIMSS de contenido para esta asignatura en Bachillerato</t>
        </is>
      </c>
      <c r="R1186" s="38" t="inlineStr">
        <is>
          <t>Conocer: identificar morfología microbiana. Aplicar: preparar y observar muestras teñidas. Razonar: distinguir grupos</t>
        </is>
      </c>
      <c r="S1186" s="39">
        <f>IFERROR(ISNUMBER(SEARCH("Conocer",$R1186))/(ISNUMBER(SEARCH("Conocer",$R1186))+ISNUMBER(SEARCH("Aplicar",$R1186))+ISNUMBER(SEARCH("Razonar",$R1186))),0)</f>
        <v/>
      </c>
      <c r="T1186" s="39">
        <f>IFERROR(ISNUMBER(SEARCH("Aplicar",$R1186))/(ISNUMBER(SEARCH("Conocer",$R1186))+ISNUMBER(SEARCH("Aplicar",$R1186))+ISNUMBER(SEARCH("Razonar",$R1186))),0)</f>
        <v/>
      </c>
      <c r="U1186" s="39">
        <f>IFERROR(ISNUMBER(SEARCH("Razonar",$R1186))/(ISNUMBER(SEARCH("Conocer",$R1186))+ISNUMBER(SEARCH("Aplicar",$R1186))+ISNUMBER(SEARCH("Razonar",$R1186))),0)</f>
        <v/>
      </c>
      <c r="V1186" s="11" t="inlineStr">
        <is>
          <t>Biología 11°</t>
        </is>
      </c>
      <c r="W1186" s="11" t="inlineStr">
        <is>
          <t>Biología 10°–11°</t>
        </is>
      </c>
      <c r="X1186" s="11">
        <f>IF(OR(IFERROR(INDEX('Datos - Catálogo TIMSS'!$I$5:$I$107,MATCH(K1186,'Datos - Catálogo TIMSS'!$A$5:$A$107,0)),"No")="Sí",IFERROR(INDEX('Datos - Catálogo TIMSS'!$I$5:$I$107,MATCH(L1186,'Datos - Catálogo TIMSS'!$A$5:$A$107,0)),"No")="Sí"),1,0)</f>
        <v/>
      </c>
      <c r="Y1186" s="11">
        <f>IF(IFERROR(INDEX('Datos - Catálogo TIMSS'!$J$5:$J$107,MATCH(K1186,'Datos - Catálogo TIMSS'!$A$5:$A$107,0)),"No")="Sí",1,0)</f>
        <v/>
      </c>
      <c r="Z1186" s="11">
        <f>IF(IFERROR(INDEX('Datos - Catálogo TIMSS'!$J$5:$J$107,MATCH(L1186,'Datos - Catálogo TIMSS'!$A$5:$A$107,0)),"No")="Sí",1,0)</f>
        <v/>
      </c>
      <c r="AA1186" s="11" t="inlineStr">
        <is>
          <t>N/A</t>
        </is>
      </c>
      <c r="AB1186" s="11" t="inlineStr"/>
      <c r="AC1186" s="11">
        <f>IF(AA1186="FUERA","Fuera del marco",IF(AA1186="N/A","Sin marco",IFERROR(INDEX('Datos - TIMSS 2023'!$C$5:$C$105,MATCH(AA1186,'Datos - TIMSS 2023'!$A$5:$A$105,0)),"Pendiente de clasificar")))</f>
        <v/>
      </c>
      <c r="AD1186" s="11" t="inlineStr">
        <is>
          <t>2. Construir y evaluar diseños para la indagación científica e interpretar datos y evidencia de forma crítica</t>
        </is>
      </c>
      <c r="AE1186" s="11">
        <f>IF(AD1186="","",IF(LEFT(AD1186,1)="1","C1",IF(LEFT(AD1186,1)="2","C2",IF(LEFT(AD1186,1)="3","C3",""))))</f>
        <v/>
      </c>
      <c r="AF1186" s="11" t="inlineStr">
        <is>
          <t>E1</t>
        </is>
      </c>
      <c r="AG1186" s="11" t="inlineStr">
        <is>
          <t>D1</t>
        </is>
      </c>
      <c r="AH1186" s="11" t="inlineStr">
        <is>
          <t>E1</t>
        </is>
      </c>
      <c r="AI1186" s="11" t="inlineStr">
        <is>
          <t>D4</t>
        </is>
      </c>
      <c r="AJ1186" s="11" t="inlineStr">
        <is>
          <t>E6</t>
        </is>
      </c>
      <c r="AK1186" s="11" t="n"/>
      <c r="AL1186" s="11" t="n"/>
      <c r="AM1186" s="11" t="n"/>
      <c r="AN1186" s="11" t="n"/>
      <c r="AO1186" s="11" t="n"/>
      <c r="AP1186" s="11" t="n"/>
      <c r="AQ1186" s="11" t="n"/>
      <c r="AR1186" s="11" t="n"/>
      <c r="AS1186" s="11" t="n"/>
      <c r="AT1186" s="11" t="n"/>
      <c r="AU1186" s="11" t="n"/>
      <c r="AV1186" s="11" t="n"/>
      <c r="AW1186" s="11">
        <f>AF1186&amp;"; "&amp;AG1186&amp;"; "&amp;AH1186&amp;"; "&amp;AI1186&amp;"; "&amp;AJ1186</f>
        <v/>
      </c>
    </row>
    <row r="1187">
      <c r="A1187" s="11" t="inlineStr">
        <is>
          <t>T0085-G11-BIO</t>
        </is>
      </c>
      <c r="B1187" s="11" t="n">
        <v>11</v>
      </c>
      <c r="C1187" s="11" t="inlineStr">
        <is>
          <t>Biología</t>
        </is>
      </c>
      <c r="D1187" s="11" t="inlineStr">
        <is>
          <t>Matriz_Bachillerato_Biologia_10_11.xlsx</t>
        </is>
      </c>
      <c r="E1187" s="11" t="inlineStr">
        <is>
          <t>Biología 11.°</t>
        </is>
      </c>
      <c r="F1187" s="11" t="n">
        <v>17</v>
      </c>
      <c r="G1187" s="11" t="inlineStr">
        <is>
          <t>2. Biotecnología microbiana y los virus</t>
        </is>
      </c>
      <c r="H1187" s="11" t="inlineStr">
        <is>
          <t>Introducción a la biotecnología microbiana</t>
        </is>
      </c>
      <c r="I1187" s="38" t="inlineStr">
        <is>
          <t>2.3. Reconocimiento de las aplicaciones de las técnicas de tinción microbiana.</t>
        </is>
      </c>
      <c r="J1187" s="11" t="inlineStr">
        <is>
          <t>Sin marco</t>
        </is>
      </c>
      <c r="K1187" s="11" t="inlineStr">
        <is>
          <t>N/A</t>
        </is>
      </c>
      <c r="L1187" s="11" t="inlineStr"/>
      <c r="M1187" s="11">
        <f>IF(K1187="FUERA","Fuera del marco",IF(K1187="N/A","Sin marco",IFERROR(INDEX('Datos - Catálogo TIMSS'!$C$5:$C$107,MATCH(K1187,'Datos - Catálogo TIMSS'!$A$5:$A$107,0)),"Pendiente de clasificar")))</f>
        <v/>
      </c>
      <c r="N1187" s="11">
        <f>IF(K1187="FUERA","Fuera del marco",IF(K1187="N/A","Sin marco",IFERROR(INDEX('Datos - Catálogo TIMSS'!$F$5:$F$107,MATCH(K1187,'Datos - Catálogo TIMSS'!$A$5:$A$107,0)),"Pendiente de clasificar")))</f>
        <v/>
      </c>
      <c r="O1187" s="11">
        <f>IF(L1187="","",IFERROR(INDEX('Datos - Catálogo TIMSS'!$C$5:$C$107,MATCH(L1187,'Datos - Catálogo TIMSS'!$A$5:$A$107,0)),"?"))</f>
        <v/>
      </c>
      <c r="P1187" s="11" t="inlineStr">
        <is>
          <t>N/A</t>
        </is>
      </c>
      <c r="Q1187" s="38" t="inlineStr">
        <is>
          <t>Sin marco TIMSS de contenido para esta asignatura en Bachillerato</t>
        </is>
      </c>
      <c r="R1187" s="38" t="inlineStr">
        <is>
          <t>Conocer: describir técnicas de tinción. Razonar: justificar su utilidad diagnóstica e industrial</t>
        </is>
      </c>
      <c r="S1187" s="39">
        <f>IFERROR(ISNUMBER(SEARCH("Conocer",$R1187))/(ISNUMBER(SEARCH("Conocer",$R1187))+ISNUMBER(SEARCH("Aplicar",$R1187))+ISNUMBER(SEARCH("Razonar",$R1187))),0)</f>
        <v/>
      </c>
      <c r="T1187" s="39">
        <f>IFERROR(ISNUMBER(SEARCH("Aplicar",$R1187))/(ISNUMBER(SEARCH("Conocer",$R1187))+ISNUMBER(SEARCH("Aplicar",$R1187))+ISNUMBER(SEARCH("Razonar",$R1187))),0)</f>
        <v/>
      </c>
      <c r="U1187" s="39">
        <f>IFERROR(ISNUMBER(SEARCH("Razonar",$R1187))/(ISNUMBER(SEARCH("Conocer",$R1187))+ISNUMBER(SEARCH("Aplicar",$R1187))+ISNUMBER(SEARCH("Razonar",$R1187))),0)</f>
        <v/>
      </c>
      <c r="V1187" s="11" t="inlineStr">
        <is>
          <t>Biología 11°</t>
        </is>
      </c>
      <c r="W1187" s="11" t="inlineStr">
        <is>
          <t>Biología 10°–11°</t>
        </is>
      </c>
      <c r="X1187" s="11">
        <f>IF(OR(IFERROR(INDEX('Datos - Catálogo TIMSS'!$I$5:$I$107,MATCH(K1187,'Datos - Catálogo TIMSS'!$A$5:$A$107,0)),"No")="Sí",IFERROR(INDEX('Datos - Catálogo TIMSS'!$I$5:$I$107,MATCH(L1187,'Datos - Catálogo TIMSS'!$A$5:$A$107,0)),"No")="Sí"),1,0)</f>
        <v/>
      </c>
      <c r="Y1187" s="11">
        <f>IF(IFERROR(INDEX('Datos - Catálogo TIMSS'!$J$5:$J$107,MATCH(K1187,'Datos - Catálogo TIMSS'!$A$5:$A$107,0)),"No")="Sí",1,0)</f>
        <v/>
      </c>
      <c r="Z1187" s="11">
        <f>IF(IFERROR(INDEX('Datos - Catálogo TIMSS'!$J$5:$J$107,MATCH(L1187,'Datos - Catálogo TIMSS'!$A$5:$A$107,0)),"No")="Sí",1,0)</f>
        <v/>
      </c>
      <c r="AA1187" s="11" t="inlineStr">
        <is>
          <t>N/A</t>
        </is>
      </c>
      <c r="AB1187" s="11" t="inlineStr"/>
      <c r="AC1187" s="11">
        <f>IF(AA1187="FUERA","Fuera del marco",IF(AA1187="N/A","Sin marco",IFERROR(INDEX('Datos - TIMSS 2023'!$C$5:$C$105,MATCH(AA1187,'Datos - TIMSS 2023'!$A$5:$A$105,0)),"Pendiente de clasificar")))</f>
        <v/>
      </c>
      <c r="AD1187" s="11" t="inlineStr">
        <is>
          <t>1. Explicar fenómenos científicamente</t>
        </is>
      </c>
      <c r="AE1187" s="11">
        <f>IF(AD1187="","",IF(LEFT(AD1187,1)="1","C1",IF(LEFT(AD1187,1)="2","C2",IF(LEFT(AD1187,1)="3","C3",""))))</f>
        <v/>
      </c>
      <c r="AF1187" s="11" t="inlineStr">
        <is>
          <t>E1</t>
        </is>
      </c>
      <c r="AG1187" s="11" t="inlineStr">
        <is>
          <t>E3</t>
        </is>
      </c>
      <c r="AH1187" s="11" t="inlineStr">
        <is>
          <t>E2</t>
        </is>
      </c>
      <c r="AI1187" s="11" t="inlineStr">
        <is>
          <t>I1</t>
        </is>
      </c>
      <c r="AJ1187" s="11" t="inlineStr">
        <is>
          <t>E6</t>
        </is>
      </c>
      <c r="AK1187" s="11" t="n"/>
      <c r="AL1187" s="11" t="n"/>
      <c r="AM1187" s="11" t="n"/>
      <c r="AN1187" s="11" t="n"/>
      <c r="AO1187" s="11" t="n"/>
      <c r="AP1187" s="11" t="n"/>
      <c r="AQ1187" s="11" t="n"/>
      <c r="AR1187" s="11" t="n"/>
      <c r="AS1187" s="11" t="n"/>
      <c r="AT1187" s="11" t="n"/>
      <c r="AU1187" s="11" t="n"/>
      <c r="AV1187" s="11" t="n"/>
      <c r="AW1187" s="11">
        <f>AF1187&amp;"; "&amp;AG1187&amp;"; "&amp;AH1187&amp;"; "&amp;AI1187&amp;"; "&amp;AJ1187</f>
        <v/>
      </c>
    </row>
    <row r="1188">
      <c r="A1188" s="11" t="inlineStr">
        <is>
          <t>T0086-G11-BIO</t>
        </is>
      </c>
      <c r="B1188" s="11" t="n">
        <v>11</v>
      </c>
      <c r="C1188" s="11" t="inlineStr">
        <is>
          <t>Biología</t>
        </is>
      </c>
      <c r="D1188" s="11" t="inlineStr">
        <is>
          <t>Matriz_Bachillerato_Biologia_10_11.xlsx</t>
        </is>
      </c>
      <c r="E1188" s="11" t="inlineStr">
        <is>
          <t>Biología 11.°</t>
        </is>
      </c>
      <c r="F1188" s="11" t="n">
        <v>18</v>
      </c>
      <c r="G1188" s="11" t="inlineStr">
        <is>
          <t>2. Biotecnología microbiana y los virus</t>
        </is>
      </c>
      <c r="H1188" s="11" t="inlineStr">
        <is>
          <t>Cultivo de microorganismos</t>
        </is>
      </c>
      <c r="I1188" s="38" t="inlineStr">
        <is>
          <t>2.4. Demostración práctica de las condiciones de crecimiento y medios de cultivo apropiados para distintos grupos de microrganismos.</t>
        </is>
      </c>
      <c r="J1188" s="11" t="inlineStr">
        <is>
          <t>Sin marco</t>
        </is>
      </c>
      <c r="K1188" s="11" t="inlineStr">
        <is>
          <t>N/A</t>
        </is>
      </c>
      <c r="L1188" s="11" t="inlineStr"/>
      <c r="M1188" s="11">
        <f>IF(K1188="FUERA","Fuera del marco",IF(K1188="N/A","Sin marco",IFERROR(INDEX('Datos - Catálogo TIMSS'!$C$5:$C$107,MATCH(K1188,'Datos - Catálogo TIMSS'!$A$5:$A$107,0)),"Pendiente de clasificar")))</f>
        <v/>
      </c>
      <c r="N1188" s="11">
        <f>IF(K1188="FUERA","Fuera del marco",IF(K1188="N/A","Sin marco",IFERROR(INDEX('Datos - Catálogo TIMSS'!$F$5:$F$107,MATCH(K1188,'Datos - Catálogo TIMSS'!$A$5:$A$107,0)),"Pendiente de clasificar")))</f>
        <v/>
      </c>
      <c r="O1188" s="11">
        <f>IF(L1188="","",IFERROR(INDEX('Datos - Catálogo TIMSS'!$C$5:$C$107,MATCH(L1188,'Datos - Catálogo TIMSS'!$A$5:$A$107,0)),"?"))</f>
        <v/>
      </c>
      <c r="P1188" s="11" t="inlineStr">
        <is>
          <t>N/A</t>
        </is>
      </c>
      <c r="Q1188" s="38" t="inlineStr">
        <is>
          <t>Sin marco TIMSS de contenido para esta asignatura en Bachillerato</t>
        </is>
      </c>
      <c r="R1188" s="38" t="inlineStr">
        <is>
          <t>Aplicar: controlar variables en un diseño. Razonar: relacionar condiciones con proliferación microbiana</t>
        </is>
      </c>
      <c r="S1188" s="39">
        <f>IFERROR(ISNUMBER(SEARCH("Conocer",$R1188))/(ISNUMBER(SEARCH("Conocer",$R1188))+ISNUMBER(SEARCH("Aplicar",$R1188))+ISNUMBER(SEARCH("Razonar",$R1188))),0)</f>
        <v/>
      </c>
      <c r="T1188" s="39">
        <f>IFERROR(ISNUMBER(SEARCH("Aplicar",$R1188))/(ISNUMBER(SEARCH("Conocer",$R1188))+ISNUMBER(SEARCH("Aplicar",$R1188))+ISNUMBER(SEARCH("Razonar",$R1188))),0)</f>
        <v/>
      </c>
      <c r="U1188" s="39">
        <f>IFERROR(ISNUMBER(SEARCH("Razonar",$R1188))/(ISNUMBER(SEARCH("Conocer",$R1188))+ISNUMBER(SEARCH("Aplicar",$R1188))+ISNUMBER(SEARCH("Razonar",$R1188))),0)</f>
        <v/>
      </c>
      <c r="V1188" s="11" t="inlineStr">
        <is>
          <t>Biología 11°</t>
        </is>
      </c>
      <c r="W1188" s="11" t="inlineStr">
        <is>
          <t>Biología 10°–11°</t>
        </is>
      </c>
      <c r="X1188" s="11">
        <f>IF(OR(IFERROR(INDEX('Datos - Catálogo TIMSS'!$I$5:$I$107,MATCH(K1188,'Datos - Catálogo TIMSS'!$A$5:$A$107,0)),"No")="Sí",IFERROR(INDEX('Datos - Catálogo TIMSS'!$I$5:$I$107,MATCH(L1188,'Datos - Catálogo TIMSS'!$A$5:$A$107,0)),"No")="Sí"),1,0)</f>
        <v/>
      </c>
      <c r="Y1188" s="11">
        <f>IF(IFERROR(INDEX('Datos - Catálogo TIMSS'!$J$5:$J$107,MATCH(K1188,'Datos - Catálogo TIMSS'!$A$5:$A$107,0)),"No")="Sí",1,0)</f>
        <v/>
      </c>
      <c r="Z1188" s="11">
        <f>IF(IFERROR(INDEX('Datos - Catálogo TIMSS'!$J$5:$J$107,MATCH(L1188,'Datos - Catálogo TIMSS'!$A$5:$A$107,0)),"No")="Sí",1,0)</f>
        <v/>
      </c>
      <c r="AA1188" s="11" t="inlineStr">
        <is>
          <t>N/A</t>
        </is>
      </c>
      <c r="AB1188" s="11" t="inlineStr"/>
      <c r="AC1188" s="11">
        <f>IF(AA1188="FUERA","Fuera del marco",IF(AA1188="N/A","Sin marco",IFERROR(INDEX('Datos - TIMSS 2023'!$C$5:$C$105,MATCH(AA1188,'Datos - TIMSS 2023'!$A$5:$A$105,0)),"Pendiente de clasificar")))</f>
        <v/>
      </c>
      <c r="AD1188" s="11" t="inlineStr">
        <is>
          <t>2. Construir y evaluar diseños para la indagación científica e interpretar datos y evidencia de forma crítica</t>
        </is>
      </c>
      <c r="AE1188" s="11">
        <f>IF(AD1188="","",IF(LEFT(AD1188,1)="1","C1",IF(LEFT(AD1188,1)="2","C2",IF(LEFT(AD1188,1)="3","C3",""))))</f>
        <v/>
      </c>
      <c r="AF1188" s="11" t="inlineStr">
        <is>
          <t>E1</t>
        </is>
      </c>
      <c r="AG1188" s="11" t="inlineStr">
        <is>
          <t>E5</t>
        </is>
      </c>
      <c r="AH1188" s="11" t="inlineStr">
        <is>
          <t>E1</t>
        </is>
      </c>
      <c r="AI1188" s="11" t="inlineStr">
        <is>
          <t>D2</t>
        </is>
      </c>
      <c r="AJ1188" s="11" t="inlineStr">
        <is>
          <t>E3</t>
        </is>
      </c>
      <c r="AK1188" s="11" t="n"/>
      <c r="AL1188" s="11" t="n"/>
      <c r="AM1188" s="11" t="n"/>
      <c r="AN1188" s="11" t="n"/>
      <c r="AO1188" s="11" t="n"/>
      <c r="AP1188" s="11" t="n"/>
      <c r="AQ1188" s="11" t="n"/>
      <c r="AR1188" s="11" t="n"/>
      <c r="AS1188" s="11" t="n"/>
      <c r="AT1188" s="11" t="n"/>
      <c r="AU1188" s="11" t="n"/>
      <c r="AV1188" s="11" t="n"/>
      <c r="AW1188" s="11">
        <f>AF1188&amp;"; "&amp;AG1188&amp;"; "&amp;AH1188&amp;"; "&amp;AI1188&amp;"; "&amp;AJ1188</f>
        <v/>
      </c>
    </row>
    <row r="1189">
      <c r="A1189" s="11" t="inlineStr">
        <is>
          <t>T0087-G11-BIO</t>
        </is>
      </c>
      <c r="B1189" s="11" t="n">
        <v>11</v>
      </c>
      <c r="C1189" s="11" t="inlineStr">
        <is>
          <t>Biología</t>
        </is>
      </c>
      <c r="D1189" s="11" t="inlineStr">
        <is>
          <t>Matriz_Bachillerato_Biologia_10_11.xlsx</t>
        </is>
      </c>
      <c r="E1189" s="11" t="inlineStr">
        <is>
          <t>Biología 11.°</t>
        </is>
      </c>
      <c r="F1189" s="11" t="n">
        <v>19</v>
      </c>
      <c r="G1189" s="11" t="inlineStr">
        <is>
          <t>2. Biotecnología microbiana y los virus</t>
        </is>
      </c>
      <c r="H1189" s="11" t="inlineStr">
        <is>
          <t>Cultivo de microorganismos</t>
        </is>
      </c>
      <c r="I1189" s="38" t="inlineStr">
        <is>
          <t>2.5. Elaboración de cultivos bacterianos en medios sólidos.</t>
        </is>
      </c>
      <c r="J1189" s="11" t="inlineStr">
        <is>
          <t>Sin marco</t>
        </is>
      </c>
      <c r="K1189" s="11" t="inlineStr">
        <is>
          <t>N/A</t>
        </is>
      </c>
      <c r="L1189" s="11" t="inlineStr"/>
      <c r="M1189" s="11">
        <f>IF(K1189="FUERA","Fuera del marco",IF(K1189="N/A","Sin marco",IFERROR(INDEX('Datos - Catálogo TIMSS'!$C$5:$C$107,MATCH(K1189,'Datos - Catálogo TIMSS'!$A$5:$A$107,0)),"Pendiente de clasificar")))</f>
        <v/>
      </c>
      <c r="N1189" s="11">
        <f>IF(K1189="FUERA","Fuera del marco",IF(K1189="N/A","Sin marco",IFERROR(INDEX('Datos - Catálogo TIMSS'!$F$5:$F$107,MATCH(K1189,'Datos - Catálogo TIMSS'!$A$5:$A$107,0)),"Pendiente de clasificar")))</f>
        <v/>
      </c>
      <c r="O1189" s="11">
        <f>IF(L1189="","",IFERROR(INDEX('Datos - Catálogo TIMSS'!$C$5:$C$107,MATCH(L1189,'Datos - Catálogo TIMSS'!$A$5:$A$107,0)),"?"))</f>
        <v/>
      </c>
      <c r="P1189" s="11" t="inlineStr">
        <is>
          <t>N/A</t>
        </is>
      </c>
      <c r="Q1189" s="38" t="inlineStr">
        <is>
          <t>Sin marco TIMSS de contenido para esta asignatura en Bachillerato</t>
        </is>
      </c>
      <c r="R1189" s="38" t="inlineStr">
        <is>
          <t>Aplicar: seguir un procedimiento aséptico. Razonar: evaluar la calidad de un cultivo</t>
        </is>
      </c>
      <c r="S1189" s="39">
        <f>IFERROR(ISNUMBER(SEARCH("Conocer",$R1189))/(ISNUMBER(SEARCH("Conocer",$R1189))+ISNUMBER(SEARCH("Aplicar",$R1189))+ISNUMBER(SEARCH("Razonar",$R1189))),0)</f>
        <v/>
      </c>
      <c r="T1189" s="39">
        <f>IFERROR(ISNUMBER(SEARCH("Aplicar",$R1189))/(ISNUMBER(SEARCH("Conocer",$R1189))+ISNUMBER(SEARCH("Aplicar",$R1189))+ISNUMBER(SEARCH("Razonar",$R1189))),0)</f>
        <v/>
      </c>
      <c r="U1189" s="39">
        <f>IFERROR(ISNUMBER(SEARCH("Razonar",$R1189))/(ISNUMBER(SEARCH("Conocer",$R1189))+ISNUMBER(SEARCH("Aplicar",$R1189))+ISNUMBER(SEARCH("Razonar",$R1189))),0)</f>
        <v/>
      </c>
      <c r="V1189" s="11" t="inlineStr">
        <is>
          <t>Biología 11°</t>
        </is>
      </c>
      <c r="W1189" s="11" t="inlineStr">
        <is>
          <t>Biología 10°–11°</t>
        </is>
      </c>
      <c r="X1189" s="11">
        <f>IF(OR(IFERROR(INDEX('Datos - Catálogo TIMSS'!$I$5:$I$107,MATCH(K1189,'Datos - Catálogo TIMSS'!$A$5:$A$107,0)),"No")="Sí",IFERROR(INDEX('Datos - Catálogo TIMSS'!$I$5:$I$107,MATCH(L1189,'Datos - Catálogo TIMSS'!$A$5:$A$107,0)),"No")="Sí"),1,0)</f>
        <v/>
      </c>
      <c r="Y1189" s="11">
        <f>IF(IFERROR(INDEX('Datos - Catálogo TIMSS'!$J$5:$J$107,MATCH(K1189,'Datos - Catálogo TIMSS'!$A$5:$A$107,0)),"No")="Sí",1,0)</f>
        <v/>
      </c>
      <c r="Z1189" s="11">
        <f>IF(IFERROR(INDEX('Datos - Catálogo TIMSS'!$J$5:$J$107,MATCH(L1189,'Datos - Catálogo TIMSS'!$A$5:$A$107,0)),"No")="Sí",1,0)</f>
        <v/>
      </c>
      <c r="AA1189" s="11" t="inlineStr">
        <is>
          <t>N/A</t>
        </is>
      </c>
      <c r="AB1189" s="11" t="inlineStr"/>
      <c r="AC1189" s="11">
        <f>IF(AA1189="FUERA","Fuera del marco",IF(AA1189="N/A","Sin marco",IFERROR(INDEX('Datos - TIMSS 2023'!$C$5:$C$105,MATCH(AA1189,'Datos - TIMSS 2023'!$A$5:$A$105,0)),"Pendiente de clasificar")))</f>
        <v/>
      </c>
      <c r="AD1189" s="11" t="inlineStr">
        <is>
          <t>2. Construir y evaluar diseños para la indagación científica e interpretar datos y evidencia de forma crítica</t>
        </is>
      </c>
      <c r="AE1189" s="11">
        <f>IF(AD1189="","",IF(LEFT(AD1189,1)="1","C1",IF(LEFT(AD1189,1)="2","C2",IF(LEFT(AD1189,1)="3","C3",""))))</f>
        <v/>
      </c>
      <c r="AF1189" s="11" t="inlineStr">
        <is>
          <t>E1</t>
        </is>
      </c>
      <c r="AG1189" s="11" t="inlineStr">
        <is>
          <t>D1</t>
        </is>
      </c>
      <c r="AH1189" s="11" t="inlineStr">
        <is>
          <t>E2</t>
        </is>
      </c>
      <c r="AI1189" s="11" t="inlineStr">
        <is>
          <t>D3</t>
        </is>
      </c>
      <c r="AJ1189" s="11" t="inlineStr">
        <is>
          <t>E6</t>
        </is>
      </c>
      <c r="AK1189" s="11" t="n"/>
      <c r="AL1189" s="11" t="n"/>
      <c r="AM1189" s="11" t="n"/>
      <c r="AN1189" s="11" t="n"/>
      <c r="AO1189" s="11" t="n"/>
      <c r="AP1189" s="11" t="n"/>
      <c r="AQ1189" s="11" t="n"/>
      <c r="AR1189" s="11" t="n"/>
      <c r="AS1189" s="11" t="n"/>
      <c r="AT1189" s="11" t="n"/>
      <c r="AU1189" s="11" t="n"/>
      <c r="AV1189" s="11" t="n"/>
      <c r="AW1189" s="11">
        <f>AF1189&amp;"; "&amp;AG1189&amp;"; "&amp;AH1189&amp;"; "&amp;AI1189&amp;"; "&amp;AJ1189</f>
        <v/>
      </c>
    </row>
    <row r="1190">
      <c r="A1190" s="11" t="inlineStr">
        <is>
          <t>T0088-G11-BIO</t>
        </is>
      </c>
      <c r="B1190" s="11" t="n">
        <v>11</v>
      </c>
      <c r="C1190" s="11" t="inlineStr">
        <is>
          <t>Biología</t>
        </is>
      </c>
      <c r="D1190" s="11" t="inlineStr">
        <is>
          <t>Matriz_Bachillerato_Biologia_10_11.xlsx</t>
        </is>
      </c>
      <c r="E1190" s="11" t="inlineStr">
        <is>
          <t>Biología 11.°</t>
        </is>
      </c>
      <c r="F1190" s="11" t="n">
        <v>20</v>
      </c>
      <c r="G1190" s="11" t="inlineStr">
        <is>
          <t>2. Biotecnología microbiana y los virus</t>
        </is>
      </c>
      <c r="H1190" s="11" t="inlineStr">
        <is>
          <t>Cultivo de microorganismos</t>
        </is>
      </c>
      <c r="I1190" s="38" t="inlineStr">
        <is>
          <t>2.6. Estimación de la cantidad de colonias en placas de cultivo.</t>
        </is>
      </c>
      <c r="J1190" s="11" t="inlineStr">
        <is>
          <t>Sin marco</t>
        </is>
      </c>
      <c r="K1190" s="11" t="inlineStr">
        <is>
          <t>N/A</t>
        </is>
      </c>
      <c r="L1190" s="11" t="inlineStr"/>
      <c r="M1190" s="11">
        <f>IF(K1190="FUERA","Fuera del marco",IF(K1190="N/A","Sin marco",IFERROR(INDEX('Datos - Catálogo TIMSS'!$C$5:$C$107,MATCH(K1190,'Datos - Catálogo TIMSS'!$A$5:$A$107,0)),"Pendiente de clasificar")))</f>
        <v/>
      </c>
      <c r="N1190" s="11">
        <f>IF(K1190="FUERA","Fuera del marco",IF(K1190="N/A","Sin marco",IFERROR(INDEX('Datos - Catálogo TIMSS'!$F$5:$F$107,MATCH(K1190,'Datos - Catálogo TIMSS'!$A$5:$A$107,0)),"Pendiente de clasificar")))</f>
        <v/>
      </c>
      <c r="O1190" s="11">
        <f>IF(L1190="","",IFERROR(INDEX('Datos - Catálogo TIMSS'!$C$5:$C$107,MATCH(L1190,'Datos - Catálogo TIMSS'!$A$5:$A$107,0)),"?"))</f>
        <v/>
      </c>
      <c r="P1190" s="11" t="inlineStr">
        <is>
          <t>N/A</t>
        </is>
      </c>
      <c r="Q1190" s="38" t="inlineStr">
        <is>
          <t>Sin marco TIMSS de contenido para esta asignatura en Bachillerato</t>
        </is>
      </c>
      <c r="R1190" s="38" t="inlineStr">
        <is>
          <t>Aplicar: calcular UFC/mL con diluciones seriadas. Razonar: evaluar la validez de un recuento</t>
        </is>
      </c>
      <c r="S1190" s="39">
        <f>IFERROR(ISNUMBER(SEARCH("Conocer",$R1190))/(ISNUMBER(SEARCH("Conocer",$R1190))+ISNUMBER(SEARCH("Aplicar",$R1190))+ISNUMBER(SEARCH("Razonar",$R1190))),0)</f>
        <v/>
      </c>
      <c r="T1190" s="39">
        <f>IFERROR(ISNUMBER(SEARCH("Aplicar",$R1190))/(ISNUMBER(SEARCH("Conocer",$R1190))+ISNUMBER(SEARCH("Aplicar",$R1190))+ISNUMBER(SEARCH("Razonar",$R1190))),0)</f>
        <v/>
      </c>
      <c r="U1190" s="39">
        <f>IFERROR(ISNUMBER(SEARCH("Razonar",$R1190))/(ISNUMBER(SEARCH("Conocer",$R1190))+ISNUMBER(SEARCH("Aplicar",$R1190))+ISNUMBER(SEARCH("Razonar",$R1190))),0)</f>
        <v/>
      </c>
      <c r="V1190" s="11" t="inlineStr">
        <is>
          <t>Biología 11°</t>
        </is>
      </c>
      <c r="W1190" s="11" t="inlineStr">
        <is>
          <t>Biología 10°–11°</t>
        </is>
      </c>
      <c r="X1190" s="11">
        <f>IF(OR(IFERROR(INDEX('Datos - Catálogo TIMSS'!$I$5:$I$107,MATCH(K1190,'Datos - Catálogo TIMSS'!$A$5:$A$107,0)),"No")="Sí",IFERROR(INDEX('Datos - Catálogo TIMSS'!$I$5:$I$107,MATCH(L1190,'Datos - Catálogo TIMSS'!$A$5:$A$107,0)),"No")="Sí"),1,0)</f>
        <v/>
      </c>
      <c r="Y1190" s="11">
        <f>IF(IFERROR(INDEX('Datos - Catálogo TIMSS'!$J$5:$J$107,MATCH(K1190,'Datos - Catálogo TIMSS'!$A$5:$A$107,0)),"No")="Sí",1,0)</f>
        <v/>
      </c>
      <c r="Z1190" s="11">
        <f>IF(IFERROR(INDEX('Datos - Catálogo TIMSS'!$J$5:$J$107,MATCH(L1190,'Datos - Catálogo TIMSS'!$A$5:$A$107,0)),"No")="Sí",1,0)</f>
        <v/>
      </c>
      <c r="AA1190" s="11" t="inlineStr">
        <is>
          <t>N/A</t>
        </is>
      </c>
      <c r="AB1190" s="11" t="inlineStr"/>
      <c r="AC1190" s="11">
        <f>IF(AA1190="FUERA","Fuera del marco",IF(AA1190="N/A","Sin marco",IFERROR(INDEX('Datos - TIMSS 2023'!$C$5:$C$105,MATCH(AA1190,'Datos - TIMSS 2023'!$A$5:$A$105,0)),"Pendiente de clasificar")))</f>
        <v/>
      </c>
      <c r="AD1190" s="11" t="inlineStr">
        <is>
          <t>2. Construir y evaluar diseños para la indagación científica e interpretar datos y evidencia de forma crítica</t>
        </is>
      </c>
      <c r="AE1190" s="11">
        <f>IF(AD1190="","",IF(LEFT(AD1190,1)="1","C1",IF(LEFT(AD1190,1)="2","C2",IF(LEFT(AD1190,1)="3","C3",""))))</f>
        <v/>
      </c>
      <c r="AF1190" s="11" t="inlineStr">
        <is>
          <t>E1</t>
        </is>
      </c>
      <c r="AG1190" s="11" t="inlineStr">
        <is>
          <t>E3</t>
        </is>
      </c>
      <c r="AH1190" s="11" t="inlineStr">
        <is>
          <t>E2</t>
        </is>
      </c>
      <c r="AI1190" s="11" t="inlineStr">
        <is>
          <t>D4</t>
        </is>
      </c>
      <c r="AJ1190" s="11" t="inlineStr">
        <is>
          <t>D3</t>
        </is>
      </c>
      <c r="AK1190" s="11" t="n"/>
      <c r="AL1190" s="11" t="n"/>
      <c r="AM1190" s="11" t="n"/>
      <c r="AN1190" s="11" t="n"/>
      <c r="AO1190" s="11" t="n"/>
      <c r="AP1190" s="11" t="n"/>
      <c r="AQ1190" s="11" t="n"/>
      <c r="AR1190" s="11" t="n"/>
      <c r="AS1190" s="11" t="n"/>
      <c r="AT1190" s="11" t="n"/>
      <c r="AU1190" s="11" t="n"/>
      <c r="AV1190" s="11" t="n"/>
      <c r="AW1190" s="11">
        <f>AF1190&amp;"; "&amp;AG1190&amp;"; "&amp;AH1190&amp;"; "&amp;AI1190&amp;"; "&amp;AJ1190</f>
        <v/>
      </c>
    </row>
    <row r="1191">
      <c r="A1191" s="11" t="inlineStr">
        <is>
          <t>T0089-G11-BIO</t>
        </is>
      </c>
      <c r="B1191" s="11" t="n">
        <v>11</v>
      </c>
      <c r="C1191" s="11" t="inlineStr">
        <is>
          <t>Biología</t>
        </is>
      </c>
      <c r="D1191" s="11" t="inlineStr">
        <is>
          <t>Matriz_Bachillerato_Biologia_10_11.xlsx</t>
        </is>
      </c>
      <c r="E1191" s="11" t="inlineStr">
        <is>
          <t>Biología 11.°</t>
        </is>
      </c>
      <c r="F1191" s="11" t="n">
        <v>21</v>
      </c>
      <c r="G1191" s="11" t="inlineStr">
        <is>
          <t>2. Biotecnología microbiana y los virus</t>
        </is>
      </c>
      <c r="H1191" s="11" t="inlineStr">
        <is>
          <t>Aplicaciones agrícolas y alimentarias</t>
        </is>
      </c>
      <c r="I1191" s="38" t="inlineStr">
        <is>
          <t>2.7. Indagación de la importancia demetabolismo bacteriano en el ambiente y sus aplicaciones en agricultura y alimentación..</t>
        </is>
      </c>
      <c r="J1191" s="11" t="inlineStr">
        <is>
          <t>Sin marco</t>
        </is>
      </c>
      <c r="K1191" s="11" t="inlineStr">
        <is>
          <t>N/A</t>
        </is>
      </c>
      <c r="L1191" s="11" t="inlineStr"/>
      <c r="M1191" s="11">
        <f>IF(K1191="FUERA","Fuera del marco",IF(K1191="N/A","Sin marco",IFERROR(INDEX('Datos - Catálogo TIMSS'!$C$5:$C$107,MATCH(K1191,'Datos - Catálogo TIMSS'!$A$5:$A$107,0)),"Pendiente de clasificar")))</f>
        <v/>
      </c>
      <c r="N1191" s="11">
        <f>IF(K1191="FUERA","Fuera del marco",IF(K1191="N/A","Sin marco",IFERROR(INDEX('Datos - Catálogo TIMSS'!$F$5:$F$107,MATCH(K1191,'Datos - Catálogo TIMSS'!$A$5:$A$107,0)),"Pendiente de clasificar")))</f>
        <v/>
      </c>
      <c r="O1191" s="11">
        <f>IF(L1191="","",IFERROR(INDEX('Datos - Catálogo TIMSS'!$C$5:$C$107,MATCH(L1191,'Datos - Catálogo TIMSS'!$A$5:$A$107,0)),"?"))</f>
        <v/>
      </c>
      <c r="P1191" s="11" t="inlineStr">
        <is>
          <t>N/A</t>
        </is>
      </c>
      <c r="Q1191" s="38" t="inlineStr">
        <is>
          <t>Sin marco TIMSS de contenido para esta asignatura en Bachillerato</t>
        </is>
      </c>
      <c r="R1191" s="38" t="inlineStr">
        <is>
          <t>Conocer: identificar aplicaciones del metabolismo bacteriano. Razonar: justificar su uso en la agricultura</t>
        </is>
      </c>
      <c r="S1191" s="39">
        <f>IFERROR(ISNUMBER(SEARCH("Conocer",$R1191))/(ISNUMBER(SEARCH("Conocer",$R1191))+ISNUMBER(SEARCH("Aplicar",$R1191))+ISNUMBER(SEARCH("Razonar",$R1191))),0)</f>
        <v/>
      </c>
      <c r="T1191" s="39">
        <f>IFERROR(ISNUMBER(SEARCH("Aplicar",$R1191))/(ISNUMBER(SEARCH("Conocer",$R1191))+ISNUMBER(SEARCH("Aplicar",$R1191))+ISNUMBER(SEARCH("Razonar",$R1191))),0)</f>
        <v/>
      </c>
      <c r="U1191" s="39">
        <f>IFERROR(ISNUMBER(SEARCH("Razonar",$R1191))/(ISNUMBER(SEARCH("Conocer",$R1191))+ISNUMBER(SEARCH("Aplicar",$R1191))+ISNUMBER(SEARCH("Razonar",$R1191))),0)</f>
        <v/>
      </c>
      <c r="V1191" s="11" t="inlineStr">
        <is>
          <t>Biología 11°</t>
        </is>
      </c>
      <c r="W1191" s="11" t="inlineStr">
        <is>
          <t>Biología 10°–11°</t>
        </is>
      </c>
      <c r="X1191" s="11">
        <f>IF(OR(IFERROR(INDEX('Datos - Catálogo TIMSS'!$I$5:$I$107,MATCH(K1191,'Datos - Catálogo TIMSS'!$A$5:$A$107,0)),"No")="Sí",IFERROR(INDEX('Datos - Catálogo TIMSS'!$I$5:$I$107,MATCH(L1191,'Datos - Catálogo TIMSS'!$A$5:$A$107,0)),"No")="Sí"),1,0)</f>
        <v/>
      </c>
      <c r="Y1191" s="11">
        <f>IF(IFERROR(INDEX('Datos - Catálogo TIMSS'!$J$5:$J$107,MATCH(K1191,'Datos - Catálogo TIMSS'!$A$5:$A$107,0)),"No")="Sí",1,0)</f>
        <v/>
      </c>
      <c r="Z1191" s="11">
        <f>IF(IFERROR(INDEX('Datos - Catálogo TIMSS'!$J$5:$J$107,MATCH(L1191,'Datos - Catálogo TIMSS'!$A$5:$A$107,0)),"No")="Sí",1,0)</f>
        <v/>
      </c>
      <c r="AA1191" s="11" t="inlineStr">
        <is>
          <t>N/A</t>
        </is>
      </c>
      <c r="AB1191" s="11" t="inlineStr"/>
      <c r="AC1191" s="11">
        <f>IF(AA1191="FUERA","Fuera del marco",IF(AA1191="N/A","Sin marco",IFERROR(INDEX('Datos - TIMSS 2023'!$C$5:$C$105,MATCH(AA1191,'Datos - TIMSS 2023'!$A$5:$A$105,0)),"Pendiente de clasificar")))</f>
        <v/>
      </c>
      <c r="AD1191" s="11" t="inlineStr">
        <is>
          <t>3. Investigar, evaluar y usar información científica para tomar decisiones y actuar</t>
        </is>
      </c>
      <c r="AE1191" s="11">
        <f>IF(AD1191="","",IF(LEFT(AD1191,1)="1","C1",IF(LEFT(AD1191,1)="2","C2",IF(LEFT(AD1191,1)="3","C3",""))))</f>
        <v/>
      </c>
      <c r="AF1191" s="11" t="inlineStr">
        <is>
          <t>E6</t>
        </is>
      </c>
      <c r="AG1191" s="11" t="inlineStr">
        <is>
          <t>E5</t>
        </is>
      </c>
      <c r="AH1191" s="11" t="inlineStr">
        <is>
          <t>E1</t>
        </is>
      </c>
      <c r="AI1191" s="11" t="inlineStr">
        <is>
          <t>I1</t>
        </is>
      </c>
      <c r="AJ1191" s="11" t="inlineStr">
        <is>
          <t>I5</t>
        </is>
      </c>
      <c r="AK1191" s="11" t="n"/>
      <c r="AL1191" s="11" t="n"/>
      <c r="AM1191" s="11" t="n"/>
      <c r="AN1191" s="11" t="n"/>
      <c r="AO1191" s="11" t="n"/>
      <c r="AP1191" s="11" t="n"/>
      <c r="AQ1191" s="11" t="n"/>
      <c r="AR1191" s="11" t="n"/>
      <c r="AS1191" s="11" t="n"/>
      <c r="AT1191" s="11" t="n"/>
      <c r="AU1191" s="11" t="n"/>
      <c r="AV1191" s="11" t="n"/>
      <c r="AW1191" s="11">
        <f>AF1191&amp;"; "&amp;AG1191&amp;"; "&amp;AH1191&amp;"; "&amp;AI1191&amp;"; "&amp;AJ1191</f>
        <v/>
      </c>
    </row>
    <row r="1192">
      <c r="A1192" s="11" t="inlineStr">
        <is>
          <t>T0090-G11-BIO</t>
        </is>
      </c>
      <c r="B1192" s="11" t="n">
        <v>11</v>
      </c>
      <c r="C1192" s="11" t="inlineStr">
        <is>
          <t>Biología</t>
        </is>
      </c>
      <c r="D1192" s="11" t="inlineStr">
        <is>
          <t>Matriz_Bachillerato_Biologia_10_11.xlsx</t>
        </is>
      </c>
      <c r="E1192" s="11" t="inlineStr">
        <is>
          <t>Biología 11.°</t>
        </is>
      </c>
      <c r="F1192" s="11" t="n">
        <v>22</v>
      </c>
      <c r="G1192" s="11" t="inlineStr">
        <is>
          <t>2. Biotecnología microbiana y los virus</t>
        </is>
      </c>
      <c r="H1192" s="11" t="inlineStr">
        <is>
          <t>Aplicaciones agrícolas y alimentarias</t>
        </is>
      </c>
      <c r="I1192" s="38" t="inlineStr">
        <is>
          <t>2.8. Aplicación de tecnologías basadas en la fermentación.</t>
        </is>
      </c>
      <c r="J1192" s="11" t="inlineStr">
        <is>
          <t>Sin marco</t>
        </is>
      </c>
      <c r="K1192" s="11" t="inlineStr">
        <is>
          <t>N/A</t>
        </is>
      </c>
      <c r="L1192" s="11" t="inlineStr"/>
      <c r="M1192" s="11">
        <f>IF(K1192="FUERA","Fuera del marco",IF(K1192="N/A","Sin marco",IFERROR(INDEX('Datos - Catálogo TIMSS'!$C$5:$C$107,MATCH(K1192,'Datos - Catálogo TIMSS'!$A$5:$A$107,0)),"Pendiente de clasificar")))</f>
        <v/>
      </c>
      <c r="N1192" s="11">
        <f>IF(K1192="FUERA","Fuera del marco",IF(K1192="N/A","Sin marco",IFERROR(INDEX('Datos - Catálogo TIMSS'!$F$5:$F$107,MATCH(K1192,'Datos - Catálogo TIMSS'!$A$5:$A$107,0)),"Pendiente de clasificar")))</f>
        <v/>
      </c>
      <c r="O1192" s="11">
        <f>IF(L1192="","",IFERROR(INDEX('Datos - Catálogo TIMSS'!$C$5:$C$107,MATCH(L1192,'Datos - Catálogo TIMSS'!$A$5:$A$107,0)),"?"))</f>
        <v/>
      </c>
      <c r="P1192" s="11" t="inlineStr">
        <is>
          <t>N/A</t>
        </is>
      </c>
      <c r="Q1192" s="38" t="inlineStr">
        <is>
          <t>Sin marco TIMSS de contenido para esta asignatura en Bachillerato</t>
        </is>
      </c>
      <c r="R1192" s="38" t="inlineStr">
        <is>
          <t>Aplicar: seguir un proceso fermentativo y graficar pH-tiempo. Razonar: interpretar el fin de la fermentación</t>
        </is>
      </c>
      <c r="S1192" s="39">
        <f>IFERROR(ISNUMBER(SEARCH("Conocer",$R1192))/(ISNUMBER(SEARCH("Conocer",$R1192))+ISNUMBER(SEARCH("Aplicar",$R1192))+ISNUMBER(SEARCH("Razonar",$R1192))),0)</f>
        <v/>
      </c>
      <c r="T1192" s="39">
        <f>IFERROR(ISNUMBER(SEARCH("Aplicar",$R1192))/(ISNUMBER(SEARCH("Conocer",$R1192))+ISNUMBER(SEARCH("Aplicar",$R1192))+ISNUMBER(SEARCH("Razonar",$R1192))),0)</f>
        <v/>
      </c>
      <c r="U1192" s="39">
        <f>IFERROR(ISNUMBER(SEARCH("Razonar",$R1192))/(ISNUMBER(SEARCH("Conocer",$R1192))+ISNUMBER(SEARCH("Aplicar",$R1192))+ISNUMBER(SEARCH("Razonar",$R1192))),0)</f>
        <v/>
      </c>
      <c r="V1192" s="11" t="inlineStr">
        <is>
          <t>Biología 11°</t>
        </is>
      </c>
      <c r="W1192" s="11" t="inlineStr">
        <is>
          <t>Biología 10°–11°</t>
        </is>
      </c>
      <c r="X1192" s="11">
        <f>IF(OR(IFERROR(INDEX('Datos - Catálogo TIMSS'!$I$5:$I$107,MATCH(K1192,'Datos - Catálogo TIMSS'!$A$5:$A$107,0)),"No")="Sí",IFERROR(INDEX('Datos - Catálogo TIMSS'!$I$5:$I$107,MATCH(L1192,'Datos - Catálogo TIMSS'!$A$5:$A$107,0)),"No")="Sí"),1,0)</f>
        <v/>
      </c>
      <c r="Y1192" s="11">
        <f>IF(IFERROR(INDEX('Datos - Catálogo TIMSS'!$J$5:$J$107,MATCH(K1192,'Datos - Catálogo TIMSS'!$A$5:$A$107,0)),"No")="Sí",1,0)</f>
        <v/>
      </c>
      <c r="Z1192" s="11">
        <f>IF(IFERROR(INDEX('Datos - Catálogo TIMSS'!$J$5:$J$107,MATCH(L1192,'Datos - Catálogo TIMSS'!$A$5:$A$107,0)),"No")="Sí",1,0)</f>
        <v/>
      </c>
      <c r="AA1192" s="11" t="inlineStr">
        <is>
          <t>N/A</t>
        </is>
      </c>
      <c r="AB1192" s="11" t="inlineStr"/>
      <c r="AC1192" s="11">
        <f>IF(AA1192="FUERA","Fuera del marco",IF(AA1192="N/A","Sin marco",IFERROR(INDEX('Datos - TIMSS 2023'!$C$5:$C$105,MATCH(AA1192,'Datos - TIMSS 2023'!$A$5:$A$105,0)),"Pendiente de clasificar")))</f>
        <v/>
      </c>
      <c r="AD1192" s="11" t="inlineStr">
        <is>
          <t>2. Construir y evaluar diseños para la indagación científica e interpretar datos y evidencia de forma crítica</t>
        </is>
      </c>
      <c r="AE1192" s="11">
        <f>IF(AD1192="","",IF(LEFT(AD1192,1)="1","C1",IF(LEFT(AD1192,1)="2","C2",IF(LEFT(AD1192,1)="3","C3",""))))</f>
        <v/>
      </c>
      <c r="AF1192" s="11" t="inlineStr">
        <is>
          <t>E6</t>
        </is>
      </c>
      <c r="AG1192" s="11" t="inlineStr">
        <is>
          <t>E3</t>
        </is>
      </c>
      <c r="AH1192" s="11" t="inlineStr">
        <is>
          <t>E1</t>
        </is>
      </c>
      <c r="AI1192" s="11" t="inlineStr">
        <is>
          <t>D4</t>
        </is>
      </c>
      <c r="AJ1192" s="11" t="inlineStr">
        <is>
          <t>E3</t>
        </is>
      </c>
      <c r="AK1192" s="11" t="n"/>
      <c r="AL1192" s="11" t="n"/>
      <c r="AM1192" s="11" t="n"/>
      <c r="AN1192" s="11" t="n"/>
      <c r="AO1192" s="11" t="n"/>
      <c r="AP1192" s="11" t="n"/>
      <c r="AQ1192" s="11" t="n"/>
      <c r="AR1192" s="11" t="n"/>
      <c r="AS1192" s="11" t="n"/>
      <c r="AT1192" s="11" t="n"/>
      <c r="AU1192" s="11" t="n"/>
      <c r="AV1192" s="11" t="n"/>
      <c r="AW1192" s="11">
        <f>AF1192&amp;"; "&amp;AG1192&amp;"; "&amp;AH1192&amp;"; "&amp;AI1192&amp;"; "&amp;AJ1192</f>
        <v/>
      </c>
    </row>
    <row r="1193">
      <c r="A1193" s="11" t="inlineStr">
        <is>
          <t>T0091-G11-BIO</t>
        </is>
      </c>
      <c r="B1193" s="11" t="n">
        <v>11</v>
      </c>
      <c r="C1193" s="11" t="inlineStr">
        <is>
          <t>Biología</t>
        </is>
      </c>
      <c r="D1193" s="11" t="inlineStr">
        <is>
          <t>Matriz_Bachillerato_Biologia_10_11.xlsx</t>
        </is>
      </c>
      <c r="E1193" s="11" t="inlineStr">
        <is>
          <t>Biología 11.°</t>
        </is>
      </c>
      <c r="F1193" s="11" t="n">
        <v>23</v>
      </c>
      <c r="G1193" s="11" t="inlineStr">
        <is>
          <t>2. Biotecnología microbiana y los virus</t>
        </is>
      </c>
      <c r="H1193" s="11" t="inlineStr">
        <is>
          <t>Aplicaciones agrícolas y alimentarias</t>
        </is>
      </c>
      <c r="I1193" s="38" t="inlineStr">
        <is>
          <t>2.9. Explicación de los mecanismos de fermentación y sus aplicaciones.</t>
        </is>
      </c>
      <c r="J1193" s="11" t="inlineStr">
        <is>
          <t>Sin marco</t>
        </is>
      </c>
      <c r="K1193" s="11" t="inlineStr">
        <is>
          <t>N/A</t>
        </is>
      </c>
      <c r="L1193" s="11" t="inlineStr"/>
      <c r="M1193" s="11">
        <f>IF(K1193="FUERA","Fuera del marco",IF(K1193="N/A","Sin marco",IFERROR(INDEX('Datos - Catálogo TIMSS'!$C$5:$C$107,MATCH(K1193,'Datos - Catálogo TIMSS'!$A$5:$A$107,0)),"Pendiente de clasificar")))</f>
        <v/>
      </c>
      <c r="N1193" s="11">
        <f>IF(K1193="FUERA","Fuera del marco",IF(K1193="N/A","Sin marco",IFERROR(INDEX('Datos - Catálogo TIMSS'!$F$5:$F$107,MATCH(K1193,'Datos - Catálogo TIMSS'!$A$5:$A$107,0)),"Pendiente de clasificar")))</f>
        <v/>
      </c>
      <c r="O1193" s="11">
        <f>IF(L1193="","",IFERROR(INDEX('Datos - Catálogo TIMSS'!$C$5:$C$107,MATCH(L1193,'Datos - Catálogo TIMSS'!$A$5:$A$107,0)),"?"))</f>
        <v/>
      </c>
      <c r="P1193" s="11" t="inlineStr">
        <is>
          <t>N/A</t>
        </is>
      </c>
      <c r="Q1193" s="38" t="inlineStr">
        <is>
          <t>Sin marco TIMSS de contenido para esta asignatura en Bachillerato</t>
        </is>
      </c>
      <c r="R1193" s="38" t="inlineStr">
        <is>
          <t>Conocer: describir rutas fermentativas. Aplicar: representar el balance energético. Razonar: relacionar con aplicaciones</t>
        </is>
      </c>
      <c r="S1193" s="39">
        <f>IFERROR(ISNUMBER(SEARCH("Conocer",$R1193))/(ISNUMBER(SEARCH("Conocer",$R1193))+ISNUMBER(SEARCH("Aplicar",$R1193))+ISNUMBER(SEARCH("Razonar",$R1193))),0)</f>
        <v/>
      </c>
      <c r="T1193" s="39">
        <f>IFERROR(ISNUMBER(SEARCH("Aplicar",$R1193))/(ISNUMBER(SEARCH("Conocer",$R1193))+ISNUMBER(SEARCH("Aplicar",$R1193))+ISNUMBER(SEARCH("Razonar",$R1193))),0)</f>
        <v/>
      </c>
      <c r="U1193" s="39">
        <f>IFERROR(ISNUMBER(SEARCH("Razonar",$R1193))/(ISNUMBER(SEARCH("Conocer",$R1193))+ISNUMBER(SEARCH("Aplicar",$R1193))+ISNUMBER(SEARCH("Razonar",$R1193))),0)</f>
        <v/>
      </c>
      <c r="V1193" s="11" t="inlineStr">
        <is>
          <t>Biología 11°</t>
        </is>
      </c>
      <c r="W1193" s="11" t="inlineStr">
        <is>
          <t>Biología 10°–11°</t>
        </is>
      </c>
      <c r="X1193" s="11">
        <f>IF(OR(IFERROR(INDEX('Datos - Catálogo TIMSS'!$I$5:$I$107,MATCH(K1193,'Datos - Catálogo TIMSS'!$A$5:$A$107,0)),"No")="Sí",IFERROR(INDEX('Datos - Catálogo TIMSS'!$I$5:$I$107,MATCH(L1193,'Datos - Catálogo TIMSS'!$A$5:$A$107,0)),"No")="Sí"),1,0)</f>
        <v/>
      </c>
      <c r="Y1193" s="11">
        <f>IF(IFERROR(INDEX('Datos - Catálogo TIMSS'!$J$5:$J$107,MATCH(K1193,'Datos - Catálogo TIMSS'!$A$5:$A$107,0)),"No")="Sí",1,0)</f>
        <v/>
      </c>
      <c r="Z1193" s="11">
        <f>IF(IFERROR(INDEX('Datos - Catálogo TIMSS'!$J$5:$J$107,MATCH(L1193,'Datos - Catálogo TIMSS'!$A$5:$A$107,0)),"No")="Sí",1,0)</f>
        <v/>
      </c>
      <c r="AA1193" s="11" t="inlineStr">
        <is>
          <t>N/A</t>
        </is>
      </c>
      <c r="AB1193" s="11" t="inlineStr"/>
      <c r="AC1193" s="11">
        <f>IF(AA1193="FUERA","Fuera del marco",IF(AA1193="N/A","Sin marco",IFERROR(INDEX('Datos - TIMSS 2023'!$C$5:$C$105,MATCH(AA1193,'Datos - TIMSS 2023'!$A$5:$A$105,0)),"Pendiente de clasificar")))</f>
        <v/>
      </c>
      <c r="AD1193" s="11" t="inlineStr">
        <is>
          <t>1. Explicar fenómenos científicamente</t>
        </is>
      </c>
      <c r="AE1193" s="11">
        <f>IF(AD1193="","",IF(LEFT(AD1193,1)="1","C1",IF(LEFT(AD1193,1)="2","C2",IF(LEFT(AD1193,1)="3","C3",""))))</f>
        <v/>
      </c>
      <c r="AF1193" s="11" t="inlineStr">
        <is>
          <t>E1</t>
        </is>
      </c>
      <c r="AG1193" s="11" t="inlineStr">
        <is>
          <t>E3</t>
        </is>
      </c>
      <c r="AH1193" s="11" t="inlineStr">
        <is>
          <t>E4</t>
        </is>
      </c>
      <c r="AI1193" s="11" t="inlineStr">
        <is>
          <t>D4</t>
        </is>
      </c>
      <c r="AJ1193" s="11" t="inlineStr">
        <is>
          <t>E6</t>
        </is>
      </c>
      <c r="AK1193" s="11" t="n"/>
      <c r="AL1193" s="11" t="n"/>
      <c r="AM1193" s="11" t="n"/>
      <c r="AN1193" s="11" t="n"/>
      <c r="AO1193" s="11" t="n"/>
      <c r="AP1193" s="11" t="n"/>
      <c r="AQ1193" s="11" t="n"/>
      <c r="AR1193" s="11" t="n"/>
      <c r="AS1193" s="11" t="n"/>
      <c r="AT1193" s="11" t="n"/>
      <c r="AU1193" s="11" t="n"/>
      <c r="AV1193" s="11" t="n"/>
      <c r="AW1193" s="11">
        <f>AF1193&amp;"; "&amp;AG1193&amp;"; "&amp;AH1193&amp;"; "&amp;AI1193&amp;"; "&amp;AJ1193</f>
        <v/>
      </c>
    </row>
    <row r="1194">
      <c r="A1194" s="11" t="inlineStr">
        <is>
          <t>T0092-G11-BIO</t>
        </is>
      </c>
      <c r="B1194" s="11" t="n">
        <v>11</v>
      </c>
      <c r="C1194" s="11" t="inlineStr">
        <is>
          <t>Biología</t>
        </is>
      </c>
      <c r="D1194" s="11" t="inlineStr">
        <is>
          <t>Matriz_Bachillerato_Biologia_10_11.xlsx</t>
        </is>
      </c>
      <c r="E1194" s="11" t="inlineStr">
        <is>
          <t>Biología 11.°</t>
        </is>
      </c>
      <c r="F1194" s="11" t="n">
        <v>24</v>
      </c>
      <c r="G1194" s="11" t="inlineStr">
        <is>
          <t>2. Biotecnología microbiana y los virus</t>
        </is>
      </c>
      <c r="H1194" s="11" t="inlineStr">
        <is>
          <t>Aplicaciones en medicina y farmacología</t>
        </is>
      </c>
      <c r="I1194" s="38" t="inlineStr">
        <is>
          <t>2.10. Exploración del rol de las vacunas y de las pruebas de detección clínica en la prevención y diagnóstico de enfermedades de origen microbiano.</t>
        </is>
      </c>
      <c r="J1194" s="11" t="inlineStr">
        <is>
          <t>Sin marco</t>
        </is>
      </c>
      <c r="K1194" s="11" t="inlineStr">
        <is>
          <t>N/A</t>
        </is>
      </c>
      <c r="L1194" s="11" t="inlineStr"/>
      <c r="M1194" s="11">
        <f>IF(K1194="FUERA","Fuera del marco",IF(K1194="N/A","Sin marco",IFERROR(INDEX('Datos - Catálogo TIMSS'!$C$5:$C$107,MATCH(K1194,'Datos - Catálogo TIMSS'!$A$5:$A$107,0)),"Pendiente de clasificar")))</f>
        <v/>
      </c>
      <c r="N1194" s="11">
        <f>IF(K1194="FUERA","Fuera del marco",IF(K1194="N/A","Sin marco",IFERROR(INDEX('Datos - Catálogo TIMSS'!$F$5:$F$107,MATCH(K1194,'Datos - Catálogo TIMSS'!$A$5:$A$107,0)),"Pendiente de clasificar")))</f>
        <v/>
      </c>
      <c r="O1194" s="11">
        <f>IF(L1194="","",IFERROR(INDEX('Datos - Catálogo TIMSS'!$C$5:$C$107,MATCH(L1194,'Datos - Catálogo TIMSS'!$A$5:$A$107,0)),"?"))</f>
        <v/>
      </c>
      <c r="P1194" s="11" t="inlineStr">
        <is>
          <t>N/A</t>
        </is>
      </c>
      <c r="Q1194" s="38" t="inlineStr">
        <is>
          <t>Sin marco TIMSS de contenido para esta asignatura en Bachillerato</t>
        </is>
      </c>
      <c r="R1194" s="38" t="inlineStr">
        <is>
          <t>Conocer: reconocer tipos de vacunas y pruebas diagnósticas. Razonar: evaluar información sobre su seguridad</t>
        </is>
      </c>
      <c r="S1194" s="39">
        <f>IFERROR(ISNUMBER(SEARCH("Conocer",$R1194))/(ISNUMBER(SEARCH("Conocer",$R1194))+ISNUMBER(SEARCH("Aplicar",$R1194))+ISNUMBER(SEARCH("Razonar",$R1194))),0)</f>
        <v/>
      </c>
      <c r="T1194" s="39">
        <f>IFERROR(ISNUMBER(SEARCH("Aplicar",$R1194))/(ISNUMBER(SEARCH("Conocer",$R1194))+ISNUMBER(SEARCH("Aplicar",$R1194))+ISNUMBER(SEARCH("Razonar",$R1194))),0)</f>
        <v/>
      </c>
      <c r="U1194" s="39">
        <f>IFERROR(ISNUMBER(SEARCH("Razonar",$R1194))/(ISNUMBER(SEARCH("Conocer",$R1194))+ISNUMBER(SEARCH("Aplicar",$R1194))+ISNUMBER(SEARCH("Razonar",$R1194))),0)</f>
        <v/>
      </c>
      <c r="V1194" s="11" t="inlineStr">
        <is>
          <t>Biología 11°</t>
        </is>
      </c>
      <c r="W1194" s="11" t="inlineStr">
        <is>
          <t>Biología 10°–11°</t>
        </is>
      </c>
      <c r="X1194" s="11">
        <f>IF(OR(IFERROR(INDEX('Datos - Catálogo TIMSS'!$I$5:$I$107,MATCH(K1194,'Datos - Catálogo TIMSS'!$A$5:$A$107,0)),"No")="Sí",IFERROR(INDEX('Datos - Catálogo TIMSS'!$I$5:$I$107,MATCH(L1194,'Datos - Catálogo TIMSS'!$A$5:$A$107,0)),"No")="Sí"),1,0)</f>
        <v/>
      </c>
      <c r="Y1194" s="11">
        <f>IF(IFERROR(INDEX('Datos - Catálogo TIMSS'!$J$5:$J$107,MATCH(K1194,'Datos - Catálogo TIMSS'!$A$5:$A$107,0)),"No")="Sí",1,0)</f>
        <v/>
      </c>
      <c r="Z1194" s="11">
        <f>IF(IFERROR(INDEX('Datos - Catálogo TIMSS'!$J$5:$J$107,MATCH(L1194,'Datos - Catálogo TIMSS'!$A$5:$A$107,0)),"No")="Sí",1,0)</f>
        <v/>
      </c>
      <c r="AA1194" s="11" t="inlineStr">
        <is>
          <t>N/A</t>
        </is>
      </c>
      <c r="AB1194" s="11" t="inlineStr"/>
      <c r="AC1194" s="11">
        <f>IF(AA1194="FUERA","Fuera del marco",IF(AA1194="N/A","Sin marco",IFERROR(INDEX('Datos - TIMSS 2023'!$C$5:$C$105,MATCH(AA1194,'Datos - TIMSS 2023'!$A$5:$A$105,0)),"Pendiente de clasificar")))</f>
        <v/>
      </c>
      <c r="AD1194" s="11" t="inlineStr">
        <is>
          <t>3. Investigar, evaluar y usar información científica para tomar decisiones y actuar</t>
        </is>
      </c>
      <c r="AE1194" s="11">
        <f>IF(AD1194="","",IF(LEFT(AD1194,1)="1","C1",IF(LEFT(AD1194,1)="2","C2",IF(LEFT(AD1194,1)="3","C3",""))))</f>
        <v/>
      </c>
      <c r="AF1194" s="11" t="inlineStr">
        <is>
          <t>E1</t>
        </is>
      </c>
      <c r="AG1194" s="11" t="inlineStr">
        <is>
          <t>D1</t>
        </is>
      </c>
      <c r="AH1194" s="11" t="inlineStr">
        <is>
          <t>E4</t>
        </is>
      </c>
      <c r="AI1194" s="11" t="inlineStr">
        <is>
          <t>I2</t>
        </is>
      </c>
      <c r="AJ1194" s="11" t="inlineStr">
        <is>
          <t>I5</t>
        </is>
      </c>
      <c r="AK1194" s="11" t="n"/>
      <c r="AL1194" s="11" t="n"/>
      <c r="AM1194" s="11" t="n"/>
      <c r="AN1194" s="11" t="n"/>
      <c r="AO1194" s="11" t="n"/>
      <c r="AP1194" s="11" t="n"/>
      <c r="AQ1194" s="11" t="n"/>
      <c r="AR1194" s="11" t="n"/>
      <c r="AS1194" s="11" t="n"/>
      <c r="AT1194" s="11" t="n"/>
      <c r="AU1194" s="11" t="n"/>
      <c r="AV1194" s="11" t="n"/>
      <c r="AW1194" s="11">
        <f>AF1194&amp;"; "&amp;AG1194&amp;"; "&amp;AH1194&amp;"; "&amp;AI1194&amp;"; "&amp;AJ1194</f>
        <v/>
      </c>
    </row>
    <row r="1195">
      <c r="A1195" s="11" t="inlineStr">
        <is>
          <t>T0093-G11-BIO</t>
        </is>
      </c>
      <c r="B1195" s="11" t="n">
        <v>11</v>
      </c>
      <c r="C1195" s="11" t="inlineStr">
        <is>
          <t>Biología</t>
        </is>
      </c>
      <c r="D1195" s="11" t="inlineStr">
        <is>
          <t>Matriz_Bachillerato_Biologia_10_11.xlsx</t>
        </is>
      </c>
      <c r="E1195" s="11" t="inlineStr">
        <is>
          <t>Biología 11.°</t>
        </is>
      </c>
      <c r="F1195" s="11" t="n">
        <v>25</v>
      </c>
      <c r="G1195" s="11" t="inlineStr">
        <is>
          <t>2. Biotecnología microbiana y los virus</t>
        </is>
      </c>
      <c r="H1195" s="11" t="inlineStr">
        <is>
          <t>Aplicaciones en medicina y farmacología</t>
        </is>
      </c>
      <c r="I1195" s="38" t="inlineStr">
        <is>
          <t>2.11. Visualización de respuestas macroscópicas de microorganismos frente a antibióticos, antimicóticos u organismos antagonistas.</t>
        </is>
      </c>
      <c r="J1195" s="11" t="inlineStr">
        <is>
          <t>Sin marco</t>
        </is>
      </c>
      <c r="K1195" s="11" t="inlineStr">
        <is>
          <t>N/A</t>
        </is>
      </c>
      <c r="L1195" s="11" t="inlineStr"/>
      <c r="M1195" s="11">
        <f>IF(K1195="FUERA","Fuera del marco",IF(K1195="N/A","Sin marco",IFERROR(INDEX('Datos - Catálogo TIMSS'!$C$5:$C$107,MATCH(K1195,'Datos - Catálogo TIMSS'!$A$5:$A$107,0)),"Pendiente de clasificar")))</f>
        <v/>
      </c>
      <c r="N1195" s="11">
        <f>IF(K1195="FUERA","Fuera del marco",IF(K1195="N/A","Sin marco",IFERROR(INDEX('Datos - Catálogo TIMSS'!$F$5:$F$107,MATCH(K1195,'Datos - Catálogo TIMSS'!$A$5:$A$107,0)),"Pendiente de clasificar")))</f>
        <v/>
      </c>
      <c r="O1195" s="11">
        <f>IF(L1195="","",IFERROR(INDEX('Datos - Catálogo TIMSS'!$C$5:$C$107,MATCH(L1195,'Datos - Catálogo TIMSS'!$A$5:$A$107,0)),"?"))</f>
        <v/>
      </c>
      <c r="P1195" s="11" t="inlineStr">
        <is>
          <t>N/A</t>
        </is>
      </c>
      <c r="Q1195" s="38" t="inlineStr">
        <is>
          <t>Sin marco TIMSS de contenido para esta asignatura en Bachillerato</t>
        </is>
      </c>
      <c r="R1195" s="38" t="inlineStr">
        <is>
          <t>Aplicar: medir halos de inhibición. Razonar: explicar el rol de antimicrobianos, probióticos y prebióticos</t>
        </is>
      </c>
      <c r="S1195" s="39">
        <f>IFERROR(ISNUMBER(SEARCH("Conocer",$R1195))/(ISNUMBER(SEARCH("Conocer",$R1195))+ISNUMBER(SEARCH("Aplicar",$R1195))+ISNUMBER(SEARCH("Razonar",$R1195))),0)</f>
        <v/>
      </c>
      <c r="T1195" s="39">
        <f>IFERROR(ISNUMBER(SEARCH("Aplicar",$R1195))/(ISNUMBER(SEARCH("Conocer",$R1195))+ISNUMBER(SEARCH("Aplicar",$R1195))+ISNUMBER(SEARCH("Razonar",$R1195))),0)</f>
        <v/>
      </c>
      <c r="U1195" s="39">
        <f>IFERROR(ISNUMBER(SEARCH("Razonar",$R1195))/(ISNUMBER(SEARCH("Conocer",$R1195))+ISNUMBER(SEARCH("Aplicar",$R1195))+ISNUMBER(SEARCH("Razonar",$R1195))),0)</f>
        <v/>
      </c>
      <c r="V1195" s="11" t="inlineStr">
        <is>
          <t>Biología 11°</t>
        </is>
      </c>
      <c r="W1195" s="11" t="inlineStr">
        <is>
          <t>Biología 10°–11°</t>
        </is>
      </c>
      <c r="X1195" s="11">
        <f>IF(OR(IFERROR(INDEX('Datos - Catálogo TIMSS'!$I$5:$I$107,MATCH(K1195,'Datos - Catálogo TIMSS'!$A$5:$A$107,0)),"No")="Sí",IFERROR(INDEX('Datos - Catálogo TIMSS'!$I$5:$I$107,MATCH(L1195,'Datos - Catálogo TIMSS'!$A$5:$A$107,0)),"No")="Sí"),1,0)</f>
        <v/>
      </c>
      <c r="Y1195" s="11">
        <f>IF(IFERROR(INDEX('Datos - Catálogo TIMSS'!$J$5:$J$107,MATCH(K1195,'Datos - Catálogo TIMSS'!$A$5:$A$107,0)),"No")="Sí",1,0)</f>
        <v/>
      </c>
      <c r="Z1195" s="11">
        <f>IF(IFERROR(INDEX('Datos - Catálogo TIMSS'!$J$5:$J$107,MATCH(L1195,'Datos - Catálogo TIMSS'!$A$5:$A$107,0)),"No")="Sí",1,0)</f>
        <v/>
      </c>
      <c r="AA1195" s="11" t="inlineStr">
        <is>
          <t>N/A</t>
        </is>
      </c>
      <c r="AB1195" s="11" t="inlineStr"/>
      <c r="AC1195" s="11">
        <f>IF(AA1195="FUERA","Fuera del marco",IF(AA1195="N/A","Sin marco",IFERROR(INDEX('Datos - TIMSS 2023'!$C$5:$C$105,MATCH(AA1195,'Datos - TIMSS 2023'!$A$5:$A$105,0)),"Pendiente de clasificar")))</f>
        <v/>
      </c>
      <c r="AD1195" s="11" t="inlineStr">
        <is>
          <t>2. Construir y evaluar diseños para la indagación científica e interpretar datos y evidencia de forma crítica</t>
        </is>
      </c>
      <c r="AE1195" s="11">
        <f>IF(AD1195="","",IF(LEFT(AD1195,1)="1","C1",IF(LEFT(AD1195,1)="2","C2",IF(LEFT(AD1195,1)="3","C3",""))))</f>
        <v/>
      </c>
      <c r="AF1195" s="11" t="inlineStr">
        <is>
          <t>E1</t>
        </is>
      </c>
      <c r="AG1195" s="11" t="inlineStr">
        <is>
          <t>E5</t>
        </is>
      </c>
      <c r="AH1195" s="11" t="inlineStr">
        <is>
          <t>E2</t>
        </is>
      </c>
      <c r="AI1195" s="11" t="inlineStr">
        <is>
          <t>D4</t>
        </is>
      </c>
      <c r="AJ1195" s="11" t="inlineStr">
        <is>
          <t>I5</t>
        </is>
      </c>
      <c r="AK1195" s="11" t="n"/>
      <c r="AL1195" s="11" t="n"/>
      <c r="AM1195" s="11" t="n"/>
      <c r="AN1195" s="11" t="n"/>
      <c r="AO1195" s="11" t="n"/>
      <c r="AP1195" s="11" t="n"/>
      <c r="AQ1195" s="11" t="n"/>
      <c r="AR1195" s="11" t="n"/>
      <c r="AS1195" s="11" t="n"/>
      <c r="AT1195" s="11" t="n"/>
      <c r="AU1195" s="11" t="n"/>
      <c r="AV1195" s="11" t="n"/>
      <c r="AW1195" s="11">
        <f>AF1195&amp;"; "&amp;AG1195&amp;"; "&amp;AH1195&amp;"; "&amp;AI1195&amp;"; "&amp;AJ1195</f>
        <v/>
      </c>
    </row>
    <row r="1196">
      <c r="A1196" s="11" t="inlineStr">
        <is>
          <t>T0094-G11-BIO</t>
        </is>
      </c>
      <c r="B1196" s="11" t="n">
        <v>11</v>
      </c>
      <c r="C1196" s="11" t="inlineStr">
        <is>
          <t>Biología</t>
        </is>
      </c>
      <c r="D1196" s="11" t="inlineStr">
        <is>
          <t>Matriz_Bachillerato_Biologia_10_11.xlsx</t>
        </is>
      </c>
      <c r="E1196" s="11" t="inlineStr">
        <is>
          <t>Biología 11.°</t>
        </is>
      </c>
      <c r="F1196" s="11" t="n">
        <v>26</v>
      </c>
      <c r="G1196" s="11" t="inlineStr">
        <is>
          <t>2. Biotecnología microbiana y los virus</t>
        </is>
      </c>
      <c r="H1196" s="11" t="inlineStr">
        <is>
          <t>Aplicaciones en medicina y farmacología</t>
        </is>
      </c>
      <c r="I1196" s="38" t="inlineStr">
        <is>
          <t>2.12. Exposición sobre los mecanismos de acción de las sustancias antimicrobianas más comunes.</t>
        </is>
      </c>
      <c r="J1196" s="11" t="inlineStr">
        <is>
          <t>Sin marco</t>
        </is>
      </c>
      <c r="K1196" s="11" t="inlineStr">
        <is>
          <t>N/A</t>
        </is>
      </c>
      <c r="L1196" s="11" t="inlineStr"/>
      <c r="M1196" s="11">
        <f>IF(K1196="FUERA","Fuera del marco",IF(K1196="N/A","Sin marco",IFERROR(INDEX('Datos - Catálogo TIMSS'!$C$5:$C$107,MATCH(K1196,'Datos - Catálogo TIMSS'!$A$5:$A$107,0)),"Pendiente de clasificar")))</f>
        <v/>
      </c>
      <c r="N1196" s="11">
        <f>IF(K1196="FUERA","Fuera del marco",IF(K1196="N/A","Sin marco",IFERROR(INDEX('Datos - Catálogo TIMSS'!$F$5:$F$107,MATCH(K1196,'Datos - Catálogo TIMSS'!$A$5:$A$107,0)),"Pendiente de clasificar")))</f>
        <v/>
      </c>
      <c r="O1196" s="11">
        <f>IF(L1196="","",IFERROR(INDEX('Datos - Catálogo TIMSS'!$C$5:$C$107,MATCH(L1196,'Datos - Catálogo TIMSS'!$A$5:$A$107,0)),"?"))</f>
        <v/>
      </c>
      <c r="P1196" s="11" t="inlineStr">
        <is>
          <t>N/A</t>
        </is>
      </c>
      <c r="Q1196" s="38" t="inlineStr">
        <is>
          <t>Sin marco TIMSS de contenido para esta asignatura en Bachillerato</t>
        </is>
      </c>
      <c r="R1196" s="38" t="inlineStr">
        <is>
          <t>Conocer: describir mecanismos de acción. Aplicar: representar un mecanismo con un modelo</t>
        </is>
      </c>
      <c r="S1196" s="39">
        <f>IFERROR(ISNUMBER(SEARCH("Conocer",$R1196))/(ISNUMBER(SEARCH("Conocer",$R1196))+ISNUMBER(SEARCH("Aplicar",$R1196))+ISNUMBER(SEARCH("Razonar",$R1196))),0)</f>
        <v/>
      </c>
      <c r="T1196" s="39">
        <f>IFERROR(ISNUMBER(SEARCH("Aplicar",$R1196))/(ISNUMBER(SEARCH("Conocer",$R1196))+ISNUMBER(SEARCH("Aplicar",$R1196))+ISNUMBER(SEARCH("Razonar",$R1196))),0)</f>
        <v/>
      </c>
      <c r="U1196" s="39">
        <f>IFERROR(ISNUMBER(SEARCH("Razonar",$R1196))/(ISNUMBER(SEARCH("Conocer",$R1196))+ISNUMBER(SEARCH("Aplicar",$R1196))+ISNUMBER(SEARCH("Razonar",$R1196))),0)</f>
        <v/>
      </c>
      <c r="V1196" s="11" t="inlineStr">
        <is>
          <t>Biología 11°</t>
        </is>
      </c>
      <c r="W1196" s="11" t="inlineStr">
        <is>
          <t>Biología 10°–11°</t>
        </is>
      </c>
      <c r="X1196" s="11">
        <f>IF(OR(IFERROR(INDEX('Datos - Catálogo TIMSS'!$I$5:$I$107,MATCH(K1196,'Datos - Catálogo TIMSS'!$A$5:$A$107,0)),"No")="Sí",IFERROR(INDEX('Datos - Catálogo TIMSS'!$I$5:$I$107,MATCH(L1196,'Datos - Catálogo TIMSS'!$A$5:$A$107,0)),"No")="Sí"),1,0)</f>
        <v/>
      </c>
      <c r="Y1196" s="11">
        <f>IF(IFERROR(INDEX('Datos - Catálogo TIMSS'!$J$5:$J$107,MATCH(K1196,'Datos - Catálogo TIMSS'!$A$5:$A$107,0)),"No")="Sí",1,0)</f>
        <v/>
      </c>
      <c r="Z1196" s="11">
        <f>IF(IFERROR(INDEX('Datos - Catálogo TIMSS'!$J$5:$J$107,MATCH(L1196,'Datos - Catálogo TIMSS'!$A$5:$A$107,0)),"No")="Sí",1,0)</f>
        <v/>
      </c>
      <c r="AA1196" s="11" t="inlineStr">
        <is>
          <t>N/A</t>
        </is>
      </c>
      <c r="AB1196" s="11" t="inlineStr"/>
      <c r="AC1196" s="11">
        <f>IF(AA1196="FUERA","Fuera del marco",IF(AA1196="N/A","Sin marco",IFERROR(INDEX('Datos - TIMSS 2023'!$C$5:$C$105,MATCH(AA1196,'Datos - TIMSS 2023'!$A$5:$A$105,0)),"Pendiente de clasificar")))</f>
        <v/>
      </c>
      <c r="AD1196" s="11" t="inlineStr">
        <is>
          <t>1. Explicar fenómenos científicamente</t>
        </is>
      </c>
      <c r="AE1196" s="11">
        <f>IF(AD1196="","",IF(LEFT(AD1196,1)="1","C1",IF(LEFT(AD1196,1)="2","C2",IF(LEFT(AD1196,1)="3","C3",""))))</f>
        <v/>
      </c>
      <c r="AF1196" s="11" t="inlineStr">
        <is>
          <t>E1</t>
        </is>
      </c>
      <c r="AG1196" s="11" t="inlineStr">
        <is>
          <t>E3</t>
        </is>
      </c>
      <c r="AH1196" s="11" t="inlineStr">
        <is>
          <t>E4</t>
        </is>
      </c>
      <c r="AI1196" s="11" t="inlineStr">
        <is>
          <t>I1</t>
        </is>
      </c>
      <c r="AJ1196" s="11" t="inlineStr">
        <is>
          <t>E6</t>
        </is>
      </c>
      <c r="AK1196" s="11" t="n"/>
      <c r="AL1196" s="11" t="n"/>
      <c r="AM1196" s="11" t="n"/>
      <c r="AN1196" s="11" t="n"/>
      <c r="AO1196" s="11" t="n"/>
      <c r="AP1196" s="11" t="n"/>
      <c r="AQ1196" s="11" t="n"/>
      <c r="AR1196" s="11" t="n"/>
      <c r="AS1196" s="11" t="n"/>
      <c r="AT1196" s="11" t="n"/>
      <c r="AU1196" s="11" t="n"/>
      <c r="AV1196" s="11" t="n"/>
      <c r="AW1196" s="11">
        <f>AF1196&amp;"; "&amp;AG1196&amp;"; "&amp;AH1196&amp;"; "&amp;AI1196&amp;"; "&amp;AJ1196</f>
        <v/>
      </c>
    </row>
    <row r="1197">
      <c r="A1197" s="11" t="inlineStr">
        <is>
          <t>T0095-G11-BIO</t>
        </is>
      </c>
      <c r="B1197" s="11" t="n">
        <v>11</v>
      </c>
      <c r="C1197" s="11" t="inlineStr">
        <is>
          <t>Biología</t>
        </is>
      </c>
      <c r="D1197" s="11" t="inlineStr">
        <is>
          <t>Matriz_Bachillerato_Biologia_10_11.xlsx</t>
        </is>
      </c>
      <c r="E1197" s="11" t="inlineStr">
        <is>
          <t>Biología 11.°</t>
        </is>
      </c>
      <c r="F1197" s="11" t="n">
        <v>27</v>
      </c>
      <c r="G1197" s="11" t="inlineStr">
        <is>
          <t>2. Biotecnología microbiana y los virus</t>
        </is>
      </c>
      <c r="H1197" s="11" t="inlineStr">
        <is>
          <t>Los virus</t>
        </is>
      </c>
      <c r="I1197" s="38" t="inlineStr">
        <is>
          <t>2.13. Caracterización de la estructura y clasificación de los virus según su material genético y su envoltura.</t>
        </is>
      </c>
      <c r="J1197" s="11" t="inlineStr">
        <is>
          <t>Sin marco</t>
        </is>
      </c>
      <c r="K1197" s="11" t="inlineStr">
        <is>
          <t>N/A</t>
        </is>
      </c>
      <c r="L1197" s="11" t="inlineStr"/>
      <c r="M1197" s="11">
        <f>IF(K1197="FUERA","Fuera del marco",IF(K1197="N/A","Sin marco",IFERROR(INDEX('Datos - Catálogo TIMSS'!$C$5:$C$107,MATCH(K1197,'Datos - Catálogo TIMSS'!$A$5:$A$107,0)),"Pendiente de clasificar")))</f>
        <v/>
      </c>
      <c r="N1197" s="11">
        <f>IF(K1197="FUERA","Fuera del marco",IF(K1197="N/A","Sin marco",IFERROR(INDEX('Datos - Catálogo TIMSS'!$F$5:$F$107,MATCH(K1197,'Datos - Catálogo TIMSS'!$A$5:$A$107,0)),"Pendiente de clasificar")))</f>
        <v/>
      </c>
      <c r="O1197" s="11">
        <f>IF(L1197="","",IFERROR(INDEX('Datos - Catálogo TIMSS'!$C$5:$C$107,MATCH(L1197,'Datos - Catálogo TIMSS'!$A$5:$A$107,0)),"?"))</f>
        <v/>
      </c>
      <c r="P1197" s="11" t="inlineStr">
        <is>
          <t>N/A</t>
        </is>
      </c>
      <c r="Q1197" s="38" t="inlineStr">
        <is>
          <t>Sin marco TIMSS de contenido para esta asignatura en Bachillerato</t>
        </is>
      </c>
      <c r="R1197" s="38" t="inlineStr">
        <is>
          <t>Conocer: describir componentes virales. Aplicar: clasificar virus por genoma y envoltura</t>
        </is>
      </c>
      <c r="S1197" s="39">
        <f>IFERROR(ISNUMBER(SEARCH("Conocer",$R1197))/(ISNUMBER(SEARCH("Conocer",$R1197))+ISNUMBER(SEARCH("Aplicar",$R1197))+ISNUMBER(SEARCH("Razonar",$R1197))),0)</f>
        <v/>
      </c>
      <c r="T1197" s="39">
        <f>IFERROR(ISNUMBER(SEARCH("Aplicar",$R1197))/(ISNUMBER(SEARCH("Conocer",$R1197))+ISNUMBER(SEARCH("Aplicar",$R1197))+ISNUMBER(SEARCH("Razonar",$R1197))),0)</f>
        <v/>
      </c>
      <c r="U1197" s="39">
        <f>IFERROR(ISNUMBER(SEARCH("Razonar",$R1197))/(ISNUMBER(SEARCH("Conocer",$R1197))+ISNUMBER(SEARCH("Aplicar",$R1197))+ISNUMBER(SEARCH("Razonar",$R1197))),0)</f>
        <v/>
      </c>
      <c r="V1197" s="11" t="inlineStr">
        <is>
          <t>Biología 11°</t>
        </is>
      </c>
      <c r="W1197" s="11" t="inlineStr">
        <is>
          <t>Biología 10°–11°</t>
        </is>
      </c>
      <c r="X1197" s="11">
        <f>IF(OR(IFERROR(INDEX('Datos - Catálogo TIMSS'!$I$5:$I$107,MATCH(K1197,'Datos - Catálogo TIMSS'!$A$5:$A$107,0)),"No")="Sí",IFERROR(INDEX('Datos - Catálogo TIMSS'!$I$5:$I$107,MATCH(L1197,'Datos - Catálogo TIMSS'!$A$5:$A$107,0)),"No")="Sí"),1,0)</f>
        <v/>
      </c>
      <c r="Y1197" s="11">
        <f>IF(IFERROR(INDEX('Datos - Catálogo TIMSS'!$J$5:$J$107,MATCH(K1197,'Datos - Catálogo TIMSS'!$A$5:$A$107,0)),"No")="Sí",1,0)</f>
        <v/>
      </c>
      <c r="Z1197" s="11">
        <f>IF(IFERROR(INDEX('Datos - Catálogo TIMSS'!$J$5:$J$107,MATCH(L1197,'Datos - Catálogo TIMSS'!$A$5:$A$107,0)),"No")="Sí",1,0)</f>
        <v/>
      </c>
      <c r="AA1197" s="11" t="inlineStr">
        <is>
          <t>N/A</t>
        </is>
      </c>
      <c r="AB1197" s="11" t="inlineStr"/>
      <c r="AC1197" s="11">
        <f>IF(AA1197="FUERA","Fuera del marco",IF(AA1197="N/A","Sin marco",IFERROR(INDEX('Datos - TIMSS 2023'!$C$5:$C$105,MATCH(AA1197,'Datos - TIMSS 2023'!$A$5:$A$105,0)),"Pendiente de clasificar")))</f>
        <v/>
      </c>
      <c r="AD1197" s="11" t="inlineStr">
        <is>
          <t>1. Explicar fenómenos científicamente</t>
        </is>
      </c>
      <c r="AE1197" s="11">
        <f>IF(AD1197="","",IF(LEFT(AD1197,1)="1","C1",IF(LEFT(AD1197,1)="2","C2",IF(LEFT(AD1197,1)="3","C3",""))))</f>
        <v/>
      </c>
      <c r="AF1197" s="11" t="inlineStr">
        <is>
          <t>E1</t>
        </is>
      </c>
      <c r="AG1197" s="11" t="inlineStr">
        <is>
          <t>E3</t>
        </is>
      </c>
      <c r="AH1197" s="11" t="inlineStr">
        <is>
          <t>E4</t>
        </is>
      </c>
      <c r="AI1197" s="11" t="inlineStr">
        <is>
          <t>D4</t>
        </is>
      </c>
      <c r="AJ1197" s="11" t="inlineStr">
        <is>
          <t>E6</t>
        </is>
      </c>
      <c r="AK1197" s="11" t="n"/>
      <c r="AL1197" s="11" t="n"/>
      <c r="AM1197" s="11" t="n"/>
      <c r="AN1197" s="11" t="n"/>
      <c r="AO1197" s="11" t="n"/>
      <c r="AP1197" s="11" t="n"/>
      <c r="AQ1197" s="11" t="n"/>
      <c r="AR1197" s="11" t="n"/>
      <c r="AS1197" s="11" t="n"/>
      <c r="AT1197" s="11" t="n"/>
      <c r="AU1197" s="11" t="n"/>
      <c r="AV1197" s="11" t="n"/>
      <c r="AW1197" s="11">
        <f>AF1197&amp;"; "&amp;AG1197&amp;"; "&amp;AH1197&amp;"; "&amp;AI1197&amp;"; "&amp;AJ1197</f>
        <v/>
      </c>
    </row>
    <row r="1198">
      <c r="A1198" s="11" t="inlineStr">
        <is>
          <t>T0096-G11-BIO</t>
        </is>
      </c>
      <c r="B1198" s="11" t="n">
        <v>11</v>
      </c>
      <c r="C1198" s="11" t="inlineStr">
        <is>
          <t>Biología</t>
        </is>
      </c>
      <c r="D1198" s="11" t="inlineStr">
        <is>
          <t>Matriz_Bachillerato_Biologia_10_11.xlsx</t>
        </is>
      </c>
      <c r="E1198" s="11" t="inlineStr">
        <is>
          <t>Biología 11.°</t>
        </is>
      </c>
      <c r="F1198" s="11" t="n">
        <v>28</v>
      </c>
      <c r="G1198" s="11" t="inlineStr">
        <is>
          <t>2. Biotecnología microbiana y los virus</t>
        </is>
      </c>
      <c r="H1198" s="11" t="inlineStr">
        <is>
          <t>Los virus</t>
        </is>
      </c>
      <c r="I1198" s="38" t="inlineStr">
        <is>
          <t>2.14. Comparación de los ciclos de replicación viral lítico y lisogénico.</t>
        </is>
      </c>
      <c r="J1198" s="11" t="inlineStr">
        <is>
          <t>Sin marco</t>
        </is>
      </c>
      <c r="K1198" s="11" t="inlineStr">
        <is>
          <t>N/A</t>
        </is>
      </c>
      <c r="L1198" s="11" t="inlineStr"/>
      <c r="M1198" s="11">
        <f>IF(K1198="FUERA","Fuera del marco",IF(K1198="N/A","Sin marco",IFERROR(INDEX('Datos - Catálogo TIMSS'!$C$5:$C$107,MATCH(K1198,'Datos - Catálogo TIMSS'!$A$5:$A$107,0)),"Pendiente de clasificar")))</f>
        <v/>
      </c>
      <c r="N1198" s="11">
        <f>IF(K1198="FUERA","Fuera del marco",IF(K1198="N/A","Sin marco",IFERROR(INDEX('Datos - Catálogo TIMSS'!$F$5:$F$107,MATCH(K1198,'Datos - Catálogo TIMSS'!$A$5:$A$107,0)),"Pendiente de clasificar")))</f>
        <v/>
      </c>
      <c r="O1198" s="11">
        <f>IF(L1198="","",IFERROR(INDEX('Datos - Catálogo TIMSS'!$C$5:$C$107,MATCH(L1198,'Datos - Catálogo TIMSS'!$A$5:$A$107,0)),"?"))</f>
        <v/>
      </c>
      <c r="P1198" s="11" t="inlineStr">
        <is>
          <t>N/A</t>
        </is>
      </c>
      <c r="Q1198" s="38" t="inlineStr">
        <is>
          <t>Sin marco TIMSS de contenido para esta asignatura en Bachillerato</t>
        </is>
      </c>
      <c r="R1198" s="38" t="inlineStr">
        <is>
          <t>Conocer: ordenar etapas de replicación. Razonar: comparar ciclos e interpretar una curva de crecimiento viral</t>
        </is>
      </c>
      <c r="S1198" s="39">
        <f>IFERROR(ISNUMBER(SEARCH("Conocer",$R1198))/(ISNUMBER(SEARCH("Conocer",$R1198))+ISNUMBER(SEARCH("Aplicar",$R1198))+ISNUMBER(SEARCH("Razonar",$R1198))),0)</f>
        <v/>
      </c>
      <c r="T1198" s="39">
        <f>IFERROR(ISNUMBER(SEARCH("Aplicar",$R1198))/(ISNUMBER(SEARCH("Conocer",$R1198))+ISNUMBER(SEARCH("Aplicar",$R1198))+ISNUMBER(SEARCH("Razonar",$R1198))),0)</f>
        <v/>
      </c>
      <c r="U1198" s="39">
        <f>IFERROR(ISNUMBER(SEARCH("Razonar",$R1198))/(ISNUMBER(SEARCH("Conocer",$R1198))+ISNUMBER(SEARCH("Aplicar",$R1198))+ISNUMBER(SEARCH("Razonar",$R1198))),0)</f>
        <v/>
      </c>
      <c r="V1198" s="11" t="inlineStr">
        <is>
          <t>Biología 11°</t>
        </is>
      </c>
      <c r="W1198" s="11" t="inlineStr">
        <is>
          <t>Biología 10°–11°</t>
        </is>
      </c>
      <c r="X1198" s="11">
        <f>IF(OR(IFERROR(INDEX('Datos - Catálogo TIMSS'!$I$5:$I$107,MATCH(K1198,'Datos - Catálogo TIMSS'!$A$5:$A$107,0)),"No")="Sí",IFERROR(INDEX('Datos - Catálogo TIMSS'!$I$5:$I$107,MATCH(L1198,'Datos - Catálogo TIMSS'!$A$5:$A$107,0)),"No")="Sí"),1,0)</f>
        <v/>
      </c>
      <c r="Y1198" s="11">
        <f>IF(IFERROR(INDEX('Datos - Catálogo TIMSS'!$J$5:$J$107,MATCH(K1198,'Datos - Catálogo TIMSS'!$A$5:$A$107,0)),"No")="Sí",1,0)</f>
        <v/>
      </c>
      <c r="Z1198" s="11">
        <f>IF(IFERROR(INDEX('Datos - Catálogo TIMSS'!$J$5:$J$107,MATCH(L1198,'Datos - Catálogo TIMSS'!$A$5:$A$107,0)),"No")="Sí",1,0)</f>
        <v/>
      </c>
      <c r="AA1198" s="11" t="inlineStr">
        <is>
          <t>N/A</t>
        </is>
      </c>
      <c r="AB1198" s="11" t="inlineStr"/>
      <c r="AC1198" s="11">
        <f>IF(AA1198="FUERA","Fuera del marco",IF(AA1198="N/A","Sin marco",IFERROR(INDEX('Datos - TIMSS 2023'!$C$5:$C$105,MATCH(AA1198,'Datos - TIMSS 2023'!$A$5:$A$105,0)),"Pendiente de clasificar")))</f>
        <v/>
      </c>
      <c r="AD1198" s="11" t="inlineStr">
        <is>
          <t>1. Explicar fenómenos científicamente</t>
        </is>
      </c>
      <c r="AE1198" s="11">
        <f>IF(AD1198="","",IF(LEFT(AD1198,1)="1","C1",IF(LEFT(AD1198,1)="2","C2",IF(LEFT(AD1198,1)="3","C3",""))))</f>
        <v/>
      </c>
      <c r="AF1198" s="11" t="inlineStr">
        <is>
          <t>E1</t>
        </is>
      </c>
      <c r="AG1198" s="11" t="inlineStr">
        <is>
          <t>E3</t>
        </is>
      </c>
      <c r="AH1198" s="11" t="inlineStr">
        <is>
          <t>E2</t>
        </is>
      </c>
      <c r="AI1198" s="11" t="inlineStr">
        <is>
          <t>D4</t>
        </is>
      </c>
      <c r="AJ1198" s="11" t="inlineStr">
        <is>
          <t>E3</t>
        </is>
      </c>
      <c r="AK1198" s="11" t="n"/>
      <c r="AL1198" s="11" t="n"/>
      <c r="AM1198" s="11" t="n"/>
      <c r="AN1198" s="11" t="n"/>
      <c r="AO1198" s="11" t="n"/>
      <c r="AP1198" s="11" t="n"/>
      <c r="AQ1198" s="11" t="n"/>
      <c r="AR1198" s="11" t="n"/>
      <c r="AS1198" s="11" t="n"/>
      <c r="AT1198" s="11" t="n"/>
      <c r="AU1198" s="11" t="n"/>
      <c r="AV1198" s="11" t="n"/>
      <c r="AW1198" s="11">
        <f>AF1198&amp;"; "&amp;AG1198&amp;"; "&amp;AH1198&amp;"; "&amp;AI1198&amp;"; "&amp;AJ1198</f>
        <v/>
      </c>
    </row>
    <row r="1199">
      <c r="A1199" s="11" t="inlineStr">
        <is>
          <t>T0097-G11-BIO</t>
        </is>
      </c>
      <c r="B1199" s="11" t="n">
        <v>11</v>
      </c>
      <c r="C1199" s="11" t="inlineStr">
        <is>
          <t>Biología</t>
        </is>
      </c>
      <c r="D1199" s="11" t="inlineStr">
        <is>
          <t>Matriz_Bachillerato_Biologia_10_11.xlsx</t>
        </is>
      </c>
      <c r="E1199" s="11" t="inlineStr">
        <is>
          <t>Biología 11.°</t>
        </is>
      </c>
      <c r="F1199" s="11" t="n">
        <v>29</v>
      </c>
      <c r="G1199" s="11" t="inlineStr">
        <is>
          <t>2. Biotecnología microbiana y los virus</t>
        </is>
      </c>
      <c r="H1199" s="11" t="inlineStr">
        <is>
          <t>Los virus</t>
        </is>
      </c>
      <c r="I1199" s="38" t="inlineStr">
        <is>
          <t>2.15. Análisis del uso de bacteriófagos y vectores virales en la biotecnología médica.</t>
        </is>
      </c>
      <c r="J1199" s="11" t="inlineStr">
        <is>
          <t>Sin marco</t>
        </is>
      </c>
      <c r="K1199" s="11" t="inlineStr">
        <is>
          <t>N/A</t>
        </is>
      </c>
      <c r="L1199" s="11" t="inlineStr"/>
      <c r="M1199" s="11">
        <f>IF(K1199="FUERA","Fuera del marco",IF(K1199="N/A","Sin marco",IFERROR(INDEX('Datos - Catálogo TIMSS'!$C$5:$C$107,MATCH(K1199,'Datos - Catálogo TIMSS'!$A$5:$A$107,0)),"Pendiente de clasificar")))</f>
        <v/>
      </c>
      <c r="N1199" s="11">
        <f>IF(K1199="FUERA","Fuera del marco",IF(K1199="N/A","Sin marco",IFERROR(INDEX('Datos - Catálogo TIMSS'!$F$5:$F$107,MATCH(K1199,'Datos - Catálogo TIMSS'!$A$5:$A$107,0)),"Pendiente de clasificar")))</f>
        <v/>
      </c>
      <c r="O1199" s="11">
        <f>IF(L1199="","",IFERROR(INDEX('Datos - Catálogo TIMSS'!$C$5:$C$107,MATCH(L1199,'Datos - Catálogo TIMSS'!$A$5:$A$107,0)),"?"))</f>
        <v/>
      </c>
      <c r="P1199" s="11" t="inlineStr">
        <is>
          <t>N/A</t>
        </is>
      </c>
      <c r="Q1199" s="38" t="inlineStr">
        <is>
          <t>Sin marco TIMSS de contenido para esta asignatura en Bachillerato</t>
        </is>
      </c>
      <c r="R1199" s="38" t="inlineStr">
        <is>
          <t>Conocer: describir aplicaciones biotecnológicas de los virus. Razonar: evaluar ventajas y riesgos</t>
        </is>
      </c>
      <c r="S1199" s="39">
        <f>IFERROR(ISNUMBER(SEARCH("Conocer",$R1199))/(ISNUMBER(SEARCH("Conocer",$R1199))+ISNUMBER(SEARCH("Aplicar",$R1199))+ISNUMBER(SEARCH("Razonar",$R1199))),0)</f>
        <v/>
      </c>
      <c r="T1199" s="39">
        <f>IFERROR(ISNUMBER(SEARCH("Aplicar",$R1199))/(ISNUMBER(SEARCH("Conocer",$R1199))+ISNUMBER(SEARCH("Aplicar",$R1199))+ISNUMBER(SEARCH("Razonar",$R1199))),0)</f>
        <v/>
      </c>
      <c r="U1199" s="39">
        <f>IFERROR(ISNUMBER(SEARCH("Razonar",$R1199))/(ISNUMBER(SEARCH("Conocer",$R1199))+ISNUMBER(SEARCH("Aplicar",$R1199))+ISNUMBER(SEARCH("Razonar",$R1199))),0)</f>
        <v/>
      </c>
      <c r="V1199" s="11" t="inlineStr">
        <is>
          <t>Biología 11°</t>
        </is>
      </c>
      <c r="W1199" s="11" t="inlineStr">
        <is>
          <t>Biología 10°–11°</t>
        </is>
      </c>
      <c r="X1199" s="11">
        <f>IF(OR(IFERROR(INDEX('Datos - Catálogo TIMSS'!$I$5:$I$107,MATCH(K1199,'Datos - Catálogo TIMSS'!$A$5:$A$107,0)),"No")="Sí",IFERROR(INDEX('Datos - Catálogo TIMSS'!$I$5:$I$107,MATCH(L1199,'Datos - Catálogo TIMSS'!$A$5:$A$107,0)),"No")="Sí"),1,0)</f>
        <v/>
      </c>
      <c r="Y1199" s="11">
        <f>IF(IFERROR(INDEX('Datos - Catálogo TIMSS'!$J$5:$J$107,MATCH(K1199,'Datos - Catálogo TIMSS'!$A$5:$A$107,0)),"No")="Sí",1,0)</f>
        <v/>
      </c>
      <c r="Z1199" s="11">
        <f>IF(IFERROR(INDEX('Datos - Catálogo TIMSS'!$J$5:$J$107,MATCH(L1199,'Datos - Catálogo TIMSS'!$A$5:$A$107,0)),"No")="Sí",1,0)</f>
        <v/>
      </c>
      <c r="AA1199" s="11" t="inlineStr">
        <is>
          <t>N/A</t>
        </is>
      </c>
      <c r="AB1199" s="11" t="inlineStr"/>
      <c r="AC1199" s="11">
        <f>IF(AA1199="FUERA","Fuera del marco",IF(AA1199="N/A","Sin marco",IFERROR(INDEX('Datos - TIMSS 2023'!$C$5:$C$105,MATCH(AA1199,'Datos - TIMSS 2023'!$A$5:$A$105,0)),"Pendiente de clasificar")))</f>
        <v/>
      </c>
      <c r="AD1199" s="11" t="inlineStr">
        <is>
          <t>3. Investigar, evaluar y usar información científica para tomar decisiones y actuar</t>
        </is>
      </c>
      <c r="AE1199" s="11">
        <f>IF(AD1199="","",IF(LEFT(AD1199,1)="1","C1",IF(LEFT(AD1199,1)="2","C2",IF(LEFT(AD1199,1)="3","C3",""))))</f>
        <v/>
      </c>
      <c r="AF1199" s="11" t="inlineStr">
        <is>
          <t>E6</t>
        </is>
      </c>
      <c r="AG1199" s="11" t="inlineStr">
        <is>
          <t>D1</t>
        </is>
      </c>
      <c r="AH1199" s="11" t="inlineStr">
        <is>
          <t>E4</t>
        </is>
      </c>
      <c r="AI1199" s="11" t="inlineStr">
        <is>
          <t>I1</t>
        </is>
      </c>
      <c r="AJ1199" s="11" t="inlineStr">
        <is>
          <t>I5</t>
        </is>
      </c>
      <c r="AK1199" s="11" t="n"/>
      <c r="AL1199" s="11" t="n"/>
      <c r="AM1199" s="11" t="n"/>
      <c r="AN1199" s="11" t="n"/>
      <c r="AO1199" s="11" t="n"/>
      <c r="AP1199" s="11" t="n"/>
      <c r="AQ1199" s="11" t="n"/>
      <c r="AR1199" s="11" t="n"/>
      <c r="AS1199" s="11" t="n"/>
      <c r="AT1199" s="11" t="n"/>
      <c r="AU1199" s="11" t="n"/>
      <c r="AV1199" s="11" t="n"/>
      <c r="AW1199" s="11">
        <f>AF1199&amp;"; "&amp;AG1199&amp;"; "&amp;AH1199&amp;"; "&amp;AI1199&amp;"; "&amp;AJ1199</f>
        <v/>
      </c>
    </row>
    <row r="1200">
      <c r="A1200" s="11" t="inlineStr">
        <is>
          <t>T0098-G11-BIO</t>
        </is>
      </c>
      <c r="B1200" s="11" t="n">
        <v>11</v>
      </c>
      <c r="C1200" s="11" t="inlineStr">
        <is>
          <t>Biología</t>
        </is>
      </c>
      <c r="D1200" s="11" t="inlineStr">
        <is>
          <t>Matriz_Bachillerato_Biologia_10_11.xlsx</t>
        </is>
      </c>
      <c r="E1200" s="11" t="inlineStr">
        <is>
          <t>Biología 11.°</t>
        </is>
      </c>
      <c r="F1200" s="11" t="n">
        <v>30</v>
      </c>
      <c r="G1200" s="11" t="inlineStr">
        <is>
          <t>3. Biotecnología vegetal y agroindustria</t>
        </is>
      </c>
      <c r="H1200" s="11" t="inlineStr">
        <is>
          <t>Introducción a la biotecnología vegetal</t>
        </is>
      </c>
      <c r="I1200" s="38" t="inlineStr">
        <is>
          <t>3.1. Indagación del concepto y aplicaciones de la biotecnología vegetal.</t>
        </is>
      </c>
      <c r="J1200" s="11" t="inlineStr">
        <is>
          <t>Sin marco</t>
        </is>
      </c>
      <c r="K1200" s="11" t="inlineStr">
        <is>
          <t>N/A</t>
        </is>
      </c>
      <c r="L1200" s="11" t="inlineStr"/>
      <c r="M1200" s="11">
        <f>IF(K1200="FUERA","Fuera del marco",IF(K1200="N/A","Sin marco",IFERROR(INDEX('Datos - Catálogo TIMSS'!$C$5:$C$107,MATCH(K1200,'Datos - Catálogo TIMSS'!$A$5:$A$107,0)),"Pendiente de clasificar")))</f>
        <v/>
      </c>
      <c r="N1200" s="11">
        <f>IF(K1200="FUERA","Fuera del marco",IF(K1200="N/A","Sin marco",IFERROR(INDEX('Datos - Catálogo TIMSS'!$F$5:$F$107,MATCH(K1200,'Datos - Catálogo TIMSS'!$A$5:$A$107,0)),"Pendiente de clasificar")))</f>
        <v/>
      </c>
      <c r="O1200" s="11">
        <f>IF(L1200="","",IFERROR(INDEX('Datos - Catálogo TIMSS'!$C$5:$C$107,MATCH(L1200,'Datos - Catálogo TIMSS'!$A$5:$A$107,0)),"?"))</f>
        <v/>
      </c>
      <c r="P1200" s="11" t="inlineStr">
        <is>
          <t>N/A</t>
        </is>
      </c>
      <c r="Q1200" s="38" t="inlineStr">
        <is>
          <t>Sin marco TIMSS de contenido para esta asignatura en Bachillerato</t>
        </is>
      </c>
      <c r="R1200" s="38" t="inlineStr">
        <is>
          <t>Conocer: definir biotecnología vegetal. Aplicar: ejemplificar aplicaciones en cultivos salvadoreños</t>
        </is>
      </c>
      <c r="S1200" s="39">
        <f>IFERROR(ISNUMBER(SEARCH("Conocer",$R1200))/(ISNUMBER(SEARCH("Conocer",$R1200))+ISNUMBER(SEARCH("Aplicar",$R1200))+ISNUMBER(SEARCH("Razonar",$R1200))),0)</f>
        <v/>
      </c>
      <c r="T1200" s="39">
        <f>IFERROR(ISNUMBER(SEARCH("Aplicar",$R1200))/(ISNUMBER(SEARCH("Conocer",$R1200))+ISNUMBER(SEARCH("Aplicar",$R1200))+ISNUMBER(SEARCH("Razonar",$R1200))),0)</f>
        <v/>
      </c>
      <c r="U1200" s="39">
        <f>IFERROR(ISNUMBER(SEARCH("Razonar",$R1200))/(ISNUMBER(SEARCH("Conocer",$R1200))+ISNUMBER(SEARCH("Aplicar",$R1200))+ISNUMBER(SEARCH("Razonar",$R1200))),0)</f>
        <v/>
      </c>
      <c r="V1200" s="11" t="inlineStr">
        <is>
          <t>Biología 11°</t>
        </is>
      </c>
      <c r="W1200" s="11" t="inlineStr">
        <is>
          <t>Biología 10°–11°</t>
        </is>
      </c>
      <c r="X1200" s="11">
        <f>IF(OR(IFERROR(INDEX('Datos - Catálogo TIMSS'!$I$5:$I$107,MATCH(K1200,'Datos - Catálogo TIMSS'!$A$5:$A$107,0)),"No")="Sí",IFERROR(INDEX('Datos - Catálogo TIMSS'!$I$5:$I$107,MATCH(L1200,'Datos - Catálogo TIMSS'!$A$5:$A$107,0)),"No")="Sí"),1,0)</f>
        <v/>
      </c>
      <c r="Y1200" s="11">
        <f>IF(IFERROR(INDEX('Datos - Catálogo TIMSS'!$J$5:$J$107,MATCH(K1200,'Datos - Catálogo TIMSS'!$A$5:$A$107,0)),"No")="Sí",1,0)</f>
        <v/>
      </c>
      <c r="Z1200" s="11">
        <f>IF(IFERROR(INDEX('Datos - Catálogo TIMSS'!$J$5:$J$107,MATCH(L1200,'Datos - Catálogo TIMSS'!$A$5:$A$107,0)),"No")="Sí",1,0)</f>
        <v/>
      </c>
      <c r="AA1200" s="11" t="inlineStr">
        <is>
          <t>N/A</t>
        </is>
      </c>
      <c r="AB1200" s="11" t="inlineStr"/>
      <c r="AC1200" s="11">
        <f>IF(AA1200="FUERA","Fuera del marco",IF(AA1200="N/A","Sin marco",IFERROR(INDEX('Datos - TIMSS 2023'!$C$5:$C$105,MATCH(AA1200,'Datos - TIMSS 2023'!$A$5:$A$105,0)),"Pendiente de clasificar")))</f>
        <v/>
      </c>
      <c r="AD1200" s="11" t="inlineStr">
        <is>
          <t>3. Investigar, evaluar y usar información científica para tomar decisiones y actuar</t>
        </is>
      </c>
      <c r="AE1200" s="11">
        <f>IF(AD1200="","",IF(LEFT(AD1200,1)="1","C1",IF(LEFT(AD1200,1)="2","C2",IF(LEFT(AD1200,1)="3","C3",""))))</f>
        <v/>
      </c>
      <c r="AF1200" s="11" t="inlineStr">
        <is>
          <t>E6</t>
        </is>
      </c>
      <c r="AG1200" s="11" t="inlineStr">
        <is>
          <t>D1</t>
        </is>
      </c>
      <c r="AH1200" s="11" t="inlineStr">
        <is>
          <t>E1</t>
        </is>
      </c>
      <c r="AI1200" s="11" t="inlineStr">
        <is>
          <t>I1</t>
        </is>
      </c>
      <c r="AJ1200" s="11" t="inlineStr">
        <is>
          <t>E6</t>
        </is>
      </c>
      <c r="AK1200" s="11" t="n"/>
      <c r="AL1200" s="11" t="n"/>
      <c r="AM1200" s="11" t="n"/>
      <c r="AN1200" s="11" t="n"/>
      <c r="AO1200" s="11" t="n"/>
      <c r="AP1200" s="11" t="n"/>
      <c r="AQ1200" s="11" t="n"/>
      <c r="AR1200" s="11" t="n"/>
      <c r="AS1200" s="11" t="n"/>
      <c r="AT1200" s="11" t="n"/>
      <c r="AU1200" s="11" t="n"/>
      <c r="AV1200" s="11" t="n"/>
      <c r="AW1200" s="11">
        <f>AF1200&amp;"; "&amp;AG1200&amp;"; "&amp;AH1200&amp;"; "&amp;AI1200&amp;"; "&amp;AJ1200</f>
        <v/>
      </c>
    </row>
    <row r="1201">
      <c r="A1201" s="11" t="inlineStr">
        <is>
          <t>T0099-G11-BIO</t>
        </is>
      </c>
      <c r="B1201" s="11" t="n">
        <v>11</v>
      </c>
      <c r="C1201" s="11" t="inlineStr">
        <is>
          <t>Biología</t>
        </is>
      </c>
      <c r="D1201" s="11" t="inlineStr">
        <is>
          <t>Matriz_Bachillerato_Biologia_10_11.xlsx</t>
        </is>
      </c>
      <c r="E1201" s="11" t="inlineStr">
        <is>
          <t>Biología 11.°</t>
        </is>
      </c>
      <c r="F1201" s="11" t="n">
        <v>31</v>
      </c>
      <c r="G1201" s="11" t="inlineStr">
        <is>
          <t>3. Biotecnología vegetal y agroindustria</t>
        </is>
      </c>
      <c r="H1201" s="11" t="inlineStr">
        <is>
          <t>Introducción a la biotecnología vegetal</t>
        </is>
      </c>
      <c r="I1201" s="38" t="inlineStr">
        <is>
          <t>3.2. Identificación de tejidos y células vegetales aplicando técnicas de tinción.</t>
        </is>
      </c>
      <c r="J1201" s="11" t="inlineStr">
        <is>
          <t>Sin marco</t>
        </is>
      </c>
      <c r="K1201" s="11" t="inlineStr">
        <is>
          <t>N/A</t>
        </is>
      </c>
      <c r="L1201" s="11" t="inlineStr"/>
      <c r="M1201" s="11">
        <f>IF(K1201="FUERA","Fuera del marco",IF(K1201="N/A","Sin marco",IFERROR(INDEX('Datos - Catálogo TIMSS'!$C$5:$C$107,MATCH(K1201,'Datos - Catálogo TIMSS'!$A$5:$A$107,0)),"Pendiente de clasificar")))</f>
        <v/>
      </c>
      <c r="N1201" s="11">
        <f>IF(K1201="FUERA","Fuera del marco",IF(K1201="N/A","Sin marco",IFERROR(INDEX('Datos - Catálogo TIMSS'!$F$5:$F$107,MATCH(K1201,'Datos - Catálogo TIMSS'!$A$5:$A$107,0)),"Pendiente de clasificar")))</f>
        <v/>
      </c>
      <c r="O1201" s="11">
        <f>IF(L1201="","",IFERROR(INDEX('Datos - Catálogo TIMSS'!$C$5:$C$107,MATCH(L1201,'Datos - Catálogo TIMSS'!$A$5:$A$107,0)),"?"))</f>
        <v/>
      </c>
      <c r="P1201" s="11" t="inlineStr">
        <is>
          <t>N/A</t>
        </is>
      </c>
      <c r="Q1201" s="38" t="inlineStr">
        <is>
          <t>Sin marco TIMSS de contenido para esta asignatura en Bachillerato</t>
        </is>
      </c>
      <c r="R1201" s="38" t="inlineStr">
        <is>
          <t>Aplicar: aplicar técnicas de tinción. Razonar: relacionar estructura y función de tejidos vegetales</t>
        </is>
      </c>
      <c r="S1201" s="39">
        <f>IFERROR(ISNUMBER(SEARCH("Conocer",$R1201))/(ISNUMBER(SEARCH("Conocer",$R1201))+ISNUMBER(SEARCH("Aplicar",$R1201))+ISNUMBER(SEARCH("Razonar",$R1201))),0)</f>
        <v/>
      </c>
      <c r="T1201" s="39">
        <f>IFERROR(ISNUMBER(SEARCH("Aplicar",$R1201))/(ISNUMBER(SEARCH("Conocer",$R1201))+ISNUMBER(SEARCH("Aplicar",$R1201))+ISNUMBER(SEARCH("Razonar",$R1201))),0)</f>
        <v/>
      </c>
      <c r="U1201" s="39">
        <f>IFERROR(ISNUMBER(SEARCH("Razonar",$R1201))/(ISNUMBER(SEARCH("Conocer",$R1201))+ISNUMBER(SEARCH("Aplicar",$R1201))+ISNUMBER(SEARCH("Razonar",$R1201))),0)</f>
        <v/>
      </c>
      <c r="V1201" s="11" t="inlineStr">
        <is>
          <t>Biología 11°</t>
        </is>
      </c>
      <c r="W1201" s="11" t="inlineStr">
        <is>
          <t>Biología 10°–11°</t>
        </is>
      </c>
      <c r="X1201" s="11">
        <f>IF(OR(IFERROR(INDEX('Datos - Catálogo TIMSS'!$I$5:$I$107,MATCH(K1201,'Datos - Catálogo TIMSS'!$A$5:$A$107,0)),"No")="Sí",IFERROR(INDEX('Datos - Catálogo TIMSS'!$I$5:$I$107,MATCH(L1201,'Datos - Catálogo TIMSS'!$A$5:$A$107,0)),"No")="Sí"),1,0)</f>
        <v/>
      </c>
      <c r="Y1201" s="11">
        <f>IF(IFERROR(INDEX('Datos - Catálogo TIMSS'!$J$5:$J$107,MATCH(K1201,'Datos - Catálogo TIMSS'!$A$5:$A$107,0)),"No")="Sí",1,0)</f>
        <v/>
      </c>
      <c r="Z1201" s="11">
        <f>IF(IFERROR(INDEX('Datos - Catálogo TIMSS'!$J$5:$J$107,MATCH(L1201,'Datos - Catálogo TIMSS'!$A$5:$A$107,0)),"No")="Sí",1,0)</f>
        <v/>
      </c>
      <c r="AA1201" s="11" t="inlineStr">
        <is>
          <t>N/A</t>
        </is>
      </c>
      <c r="AB1201" s="11" t="inlineStr"/>
      <c r="AC1201" s="11">
        <f>IF(AA1201="FUERA","Fuera del marco",IF(AA1201="N/A","Sin marco",IFERROR(INDEX('Datos - TIMSS 2023'!$C$5:$C$105,MATCH(AA1201,'Datos - TIMSS 2023'!$A$5:$A$105,0)),"Pendiente de clasificar")))</f>
        <v/>
      </c>
      <c r="AD1201" s="11" t="inlineStr">
        <is>
          <t>2. Construir y evaluar diseños para la indagación científica e interpretar datos y evidencia de forma crítica</t>
        </is>
      </c>
      <c r="AE1201" s="11">
        <f>IF(AD1201="","",IF(LEFT(AD1201,1)="1","C1",IF(LEFT(AD1201,1)="2","C2",IF(LEFT(AD1201,1)="3","C3",""))))</f>
        <v/>
      </c>
      <c r="AF1201" s="11" t="inlineStr">
        <is>
          <t>E1</t>
        </is>
      </c>
      <c r="AG1201" s="11" t="inlineStr">
        <is>
          <t>D1</t>
        </is>
      </c>
      <c r="AH1201" s="11" t="inlineStr">
        <is>
          <t>E1</t>
        </is>
      </c>
      <c r="AI1201" s="11" t="inlineStr">
        <is>
          <t>D4</t>
        </is>
      </c>
      <c r="AJ1201" s="11" t="inlineStr">
        <is>
          <t>E3</t>
        </is>
      </c>
      <c r="AK1201" s="11" t="n"/>
      <c r="AL1201" s="11" t="n"/>
      <c r="AM1201" s="11" t="n"/>
      <c r="AN1201" s="11" t="n"/>
      <c r="AO1201" s="11" t="n"/>
      <c r="AP1201" s="11" t="n"/>
      <c r="AQ1201" s="11" t="n"/>
      <c r="AR1201" s="11" t="n"/>
      <c r="AS1201" s="11" t="n"/>
      <c r="AT1201" s="11" t="n"/>
      <c r="AU1201" s="11" t="n"/>
      <c r="AV1201" s="11" t="n"/>
      <c r="AW1201" s="11">
        <f>AF1201&amp;"; "&amp;AG1201&amp;"; "&amp;AH1201&amp;"; "&amp;AI1201&amp;"; "&amp;AJ1201</f>
        <v/>
      </c>
    </row>
    <row r="1202">
      <c r="A1202" s="11" t="inlineStr">
        <is>
          <t>T0100-G11-BIO</t>
        </is>
      </c>
      <c r="B1202" s="11" t="n">
        <v>11</v>
      </c>
      <c r="C1202" s="11" t="inlineStr">
        <is>
          <t>Biología</t>
        </is>
      </c>
      <c r="D1202" s="11" t="inlineStr">
        <is>
          <t>Matriz_Bachillerato_Biologia_10_11.xlsx</t>
        </is>
      </c>
      <c r="E1202" s="11" t="inlineStr">
        <is>
          <t>Biología 11.°</t>
        </is>
      </c>
      <c r="F1202" s="11" t="n">
        <v>32</v>
      </c>
      <c r="G1202" s="11" t="inlineStr">
        <is>
          <t>3. Biotecnología vegetal y agroindustria</t>
        </is>
      </c>
      <c r="H1202" s="11" t="inlineStr">
        <is>
          <t>Introducción a la biotecnología vegetal</t>
        </is>
      </c>
      <c r="I1202" s="38" t="inlineStr">
        <is>
          <t>3.3. Modelación de las características de la célula vegetal.</t>
        </is>
      </c>
      <c r="J1202" s="11" t="inlineStr">
        <is>
          <t>Sin marco</t>
        </is>
      </c>
      <c r="K1202" s="11" t="inlineStr">
        <is>
          <t>N/A</t>
        </is>
      </c>
      <c r="L1202" s="11" t="inlineStr"/>
      <c r="M1202" s="11">
        <f>IF(K1202="FUERA","Fuera del marco",IF(K1202="N/A","Sin marco",IFERROR(INDEX('Datos - Catálogo TIMSS'!$C$5:$C$107,MATCH(K1202,'Datos - Catálogo TIMSS'!$A$5:$A$107,0)),"Pendiente de clasificar")))</f>
        <v/>
      </c>
      <c r="N1202" s="11">
        <f>IF(K1202="FUERA","Fuera del marco",IF(K1202="N/A","Sin marco",IFERROR(INDEX('Datos - Catálogo TIMSS'!$F$5:$F$107,MATCH(K1202,'Datos - Catálogo TIMSS'!$A$5:$A$107,0)),"Pendiente de clasificar")))</f>
        <v/>
      </c>
      <c r="O1202" s="11">
        <f>IF(L1202="","",IFERROR(INDEX('Datos - Catálogo TIMSS'!$C$5:$C$107,MATCH(L1202,'Datos - Catálogo TIMSS'!$A$5:$A$107,0)),"?"))</f>
        <v/>
      </c>
      <c r="P1202" s="11" t="inlineStr">
        <is>
          <t>N/A</t>
        </is>
      </c>
      <c r="Q1202" s="38" t="inlineStr">
        <is>
          <t>Sin marco TIMSS de contenido para esta asignatura en Bachillerato</t>
        </is>
      </c>
      <c r="R1202" s="38" t="inlineStr">
        <is>
          <t>Conocer: identificar estructuras de la célula vegetal. Aplicar: representar con un modelo</t>
        </is>
      </c>
      <c r="S1202" s="39">
        <f>IFERROR(ISNUMBER(SEARCH("Conocer",$R1202))/(ISNUMBER(SEARCH("Conocer",$R1202))+ISNUMBER(SEARCH("Aplicar",$R1202))+ISNUMBER(SEARCH("Razonar",$R1202))),0)</f>
        <v/>
      </c>
      <c r="T1202" s="39">
        <f>IFERROR(ISNUMBER(SEARCH("Aplicar",$R1202))/(ISNUMBER(SEARCH("Conocer",$R1202))+ISNUMBER(SEARCH("Aplicar",$R1202))+ISNUMBER(SEARCH("Razonar",$R1202))),0)</f>
        <v/>
      </c>
      <c r="U1202" s="39">
        <f>IFERROR(ISNUMBER(SEARCH("Razonar",$R1202))/(ISNUMBER(SEARCH("Conocer",$R1202))+ISNUMBER(SEARCH("Aplicar",$R1202))+ISNUMBER(SEARCH("Razonar",$R1202))),0)</f>
        <v/>
      </c>
      <c r="V1202" s="11" t="inlineStr">
        <is>
          <t>Biología 11°</t>
        </is>
      </c>
      <c r="W1202" s="11" t="inlineStr">
        <is>
          <t>Biología 10°–11°</t>
        </is>
      </c>
      <c r="X1202" s="11">
        <f>IF(OR(IFERROR(INDEX('Datos - Catálogo TIMSS'!$I$5:$I$107,MATCH(K1202,'Datos - Catálogo TIMSS'!$A$5:$A$107,0)),"No")="Sí",IFERROR(INDEX('Datos - Catálogo TIMSS'!$I$5:$I$107,MATCH(L1202,'Datos - Catálogo TIMSS'!$A$5:$A$107,0)),"No")="Sí"),1,0)</f>
        <v/>
      </c>
      <c r="Y1202" s="11">
        <f>IF(IFERROR(INDEX('Datos - Catálogo TIMSS'!$J$5:$J$107,MATCH(K1202,'Datos - Catálogo TIMSS'!$A$5:$A$107,0)),"No")="Sí",1,0)</f>
        <v/>
      </c>
      <c r="Z1202" s="11">
        <f>IF(IFERROR(INDEX('Datos - Catálogo TIMSS'!$J$5:$J$107,MATCH(L1202,'Datos - Catálogo TIMSS'!$A$5:$A$107,0)),"No")="Sí",1,0)</f>
        <v/>
      </c>
      <c r="AA1202" s="11" t="inlineStr">
        <is>
          <t>N/A</t>
        </is>
      </c>
      <c r="AB1202" s="11" t="inlineStr"/>
      <c r="AC1202" s="11">
        <f>IF(AA1202="FUERA","Fuera del marco",IF(AA1202="N/A","Sin marco",IFERROR(INDEX('Datos - TIMSS 2023'!$C$5:$C$105,MATCH(AA1202,'Datos - TIMSS 2023'!$A$5:$A$105,0)),"Pendiente de clasificar")))</f>
        <v/>
      </c>
      <c r="AD1202" s="11" t="inlineStr">
        <is>
          <t>1. Explicar fenómenos científicamente</t>
        </is>
      </c>
      <c r="AE1202" s="11">
        <f>IF(AD1202="","",IF(LEFT(AD1202,1)="1","C1",IF(LEFT(AD1202,1)="2","C2",IF(LEFT(AD1202,1)="3","C3",""))))</f>
        <v/>
      </c>
      <c r="AF1202" s="11" t="inlineStr">
        <is>
          <t>E1</t>
        </is>
      </c>
      <c r="AG1202" s="11" t="inlineStr">
        <is>
          <t>E3</t>
        </is>
      </c>
      <c r="AH1202" s="11" t="inlineStr">
        <is>
          <t>E4</t>
        </is>
      </c>
      <c r="AI1202" s="11" t="inlineStr">
        <is>
          <t>D4</t>
        </is>
      </c>
      <c r="AJ1202" s="11" t="inlineStr">
        <is>
          <t>E6</t>
        </is>
      </c>
      <c r="AK1202" s="11" t="n"/>
      <c r="AL1202" s="11" t="n"/>
      <c r="AM1202" s="11" t="n"/>
      <c r="AN1202" s="11" t="n"/>
      <c r="AO1202" s="11" t="n"/>
      <c r="AP1202" s="11" t="n"/>
      <c r="AQ1202" s="11" t="n"/>
      <c r="AR1202" s="11" t="n"/>
      <c r="AS1202" s="11" t="n"/>
      <c r="AT1202" s="11" t="n"/>
      <c r="AU1202" s="11" t="n"/>
      <c r="AV1202" s="11" t="n"/>
      <c r="AW1202" s="11">
        <f>AF1202&amp;"; "&amp;AG1202&amp;"; "&amp;AH1202&amp;"; "&amp;AI1202&amp;"; "&amp;AJ1202</f>
        <v/>
      </c>
    </row>
    <row r="1203">
      <c r="A1203" s="11" t="inlineStr">
        <is>
          <t>T0101-G11-BIO</t>
        </is>
      </c>
      <c r="B1203" s="11" t="n">
        <v>11</v>
      </c>
      <c r="C1203" s="11" t="inlineStr">
        <is>
          <t>Biología</t>
        </is>
      </c>
      <c r="D1203" s="11" t="inlineStr">
        <is>
          <t>Matriz_Bachillerato_Biologia_10_11.xlsx</t>
        </is>
      </c>
      <c r="E1203" s="11" t="inlineStr">
        <is>
          <t>Biología 11.°</t>
        </is>
      </c>
      <c r="F1203" s="11" t="n">
        <v>33</v>
      </c>
      <c r="G1203" s="11" t="inlineStr">
        <is>
          <t>3. Biotecnología vegetal y agroindustria</t>
        </is>
      </c>
      <c r="H1203" s="11" t="inlineStr">
        <is>
          <t>Reproducción y mejoramiento vegetal</t>
        </is>
      </c>
      <c r="I1203" s="38" t="inlineStr">
        <is>
          <t>3.4. Indagación de la importancia del tipo de reproducción en las plantas para la producción agrícola.</t>
        </is>
      </c>
      <c r="J1203" s="11" t="inlineStr">
        <is>
          <t>Sin marco</t>
        </is>
      </c>
      <c r="K1203" s="11" t="inlineStr">
        <is>
          <t>N/A</t>
        </is>
      </c>
      <c r="L1203" s="11" t="inlineStr"/>
      <c r="M1203" s="11">
        <f>IF(K1203="FUERA","Fuera del marco",IF(K1203="N/A","Sin marco",IFERROR(INDEX('Datos - Catálogo TIMSS'!$C$5:$C$107,MATCH(K1203,'Datos - Catálogo TIMSS'!$A$5:$A$107,0)),"Pendiente de clasificar")))</f>
        <v/>
      </c>
      <c r="N1203" s="11">
        <f>IF(K1203="FUERA","Fuera del marco",IF(K1203="N/A","Sin marco",IFERROR(INDEX('Datos - Catálogo TIMSS'!$F$5:$F$107,MATCH(K1203,'Datos - Catálogo TIMSS'!$A$5:$A$107,0)),"Pendiente de clasificar")))</f>
        <v/>
      </c>
      <c r="O1203" s="11">
        <f>IF(L1203="","",IFERROR(INDEX('Datos - Catálogo TIMSS'!$C$5:$C$107,MATCH(L1203,'Datos - Catálogo TIMSS'!$A$5:$A$107,0)),"?"))</f>
        <v/>
      </c>
      <c r="P1203" s="11" t="inlineStr">
        <is>
          <t>N/A</t>
        </is>
      </c>
      <c r="Q1203" s="38" t="inlineStr">
        <is>
          <t>Sin marco TIMSS de contenido para esta asignatura en Bachillerato</t>
        </is>
      </c>
      <c r="R1203" s="38" t="inlineStr">
        <is>
          <t>Conocer: distinguir tipos de reproducción. Razonar: relacionarlos con la producción agrícola</t>
        </is>
      </c>
      <c r="S1203" s="39">
        <f>IFERROR(ISNUMBER(SEARCH("Conocer",$R1203))/(ISNUMBER(SEARCH("Conocer",$R1203))+ISNUMBER(SEARCH("Aplicar",$R1203))+ISNUMBER(SEARCH("Razonar",$R1203))),0)</f>
        <v/>
      </c>
      <c r="T1203" s="39">
        <f>IFERROR(ISNUMBER(SEARCH("Aplicar",$R1203))/(ISNUMBER(SEARCH("Conocer",$R1203))+ISNUMBER(SEARCH("Aplicar",$R1203))+ISNUMBER(SEARCH("Razonar",$R1203))),0)</f>
        <v/>
      </c>
      <c r="U1203" s="39">
        <f>IFERROR(ISNUMBER(SEARCH("Razonar",$R1203))/(ISNUMBER(SEARCH("Conocer",$R1203))+ISNUMBER(SEARCH("Aplicar",$R1203))+ISNUMBER(SEARCH("Razonar",$R1203))),0)</f>
        <v/>
      </c>
      <c r="V1203" s="11" t="inlineStr">
        <is>
          <t>Biología 11°</t>
        </is>
      </c>
      <c r="W1203" s="11" t="inlineStr">
        <is>
          <t>Biología 10°–11°</t>
        </is>
      </c>
      <c r="X1203" s="11">
        <f>IF(OR(IFERROR(INDEX('Datos - Catálogo TIMSS'!$I$5:$I$107,MATCH(K1203,'Datos - Catálogo TIMSS'!$A$5:$A$107,0)),"No")="Sí",IFERROR(INDEX('Datos - Catálogo TIMSS'!$I$5:$I$107,MATCH(L1203,'Datos - Catálogo TIMSS'!$A$5:$A$107,0)),"No")="Sí"),1,0)</f>
        <v/>
      </c>
      <c r="Y1203" s="11">
        <f>IF(IFERROR(INDEX('Datos - Catálogo TIMSS'!$J$5:$J$107,MATCH(K1203,'Datos - Catálogo TIMSS'!$A$5:$A$107,0)),"No")="Sí",1,0)</f>
        <v/>
      </c>
      <c r="Z1203" s="11">
        <f>IF(IFERROR(INDEX('Datos - Catálogo TIMSS'!$J$5:$J$107,MATCH(L1203,'Datos - Catálogo TIMSS'!$A$5:$A$107,0)),"No")="Sí",1,0)</f>
        <v/>
      </c>
      <c r="AA1203" s="11" t="inlineStr">
        <is>
          <t>N/A</t>
        </is>
      </c>
      <c r="AB1203" s="11" t="inlineStr"/>
      <c r="AC1203" s="11">
        <f>IF(AA1203="FUERA","Fuera del marco",IF(AA1203="N/A","Sin marco",IFERROR(INDEX('Datos - TIMSS 2023'!$C$5:$C$105,MATCH(AA1203,'Datos - TIMSS 2023'!$A$5:$A$105,0)),"Pendiente de clasificar")))</f>
        <v/>
      </c>
      <c r="AD1203" s="11" t="inlineStr">
        <is>
          <t>1. Explicar fenómenos científicamente</t>
        </is>
      </c>
      <c r="AE1203" s="11">
        <f>IF(AD1203="","",IF(LEFT(AD1203,1)="1","C1",IF(LEFT(AD1203,1)="2","C2",IF(LEFT(AD1203,1)="3","C3",""))))</f>
        <v/>
      </c>
      <c r="AF1203" s="11" t="inlineStr">
        <is>
          <t>E1</t>
        </is>
      </c>
      <c r="AG1203" s="11" t="inlineStr">
        <is>
          <t>E3</t>
        </is>
      </c>
      <c r="AH1203" s="11" t="inlineStr">
        <is>
          <t>E2</t>
        </is>
      </c>
      <c r="AI1203" s="11" t="inlineStr">
        <is>
          <t>I3</t>
        </is>
      </c>
      <c r="AJ1203" s="11" t="inlineStr">
        <is>
          <t>E6</t>
        </is>
      </c>
      <c r="AK1203" s="11" t="n"/>
      <c r="AL1203" s="11" t="n"/>
      <c r="AM1203" s="11" t="n"/>
      <c r="AN1203" s="11" t="n"/>
      <c r="AO1203" s="11" t="n"/>
      <c r="AP1203" s="11" t="n"/>
      <c r="AQ1203" s="11" t="n"/>
      <c r="AR1203" s="11" t="n"/>
      <c r="AS1203" s="11" t="n"/>
      <c r="AT1203" s="11" t="n"/>
      <c r="AU1203" s="11" t="n"/>
      <c r="AV1203" s="11" t="n"/>
      <c r="AW1203" s="11">
        <f>AF1203&amp;"; "&amp;AG1203&amp;"; "&amp;AH1203&amp;"; "&amp;AI1203&amp;"; "&amp;AJ1203</f>
        <v/>
      </c>
    </row>
    <row r="1204">
      <c r="A1204" s="11" t="inlineStr">
        <is>
          <t>T0102-G11-BIO</t>
        </is>
      </c>
      <c r="B1204" s="11" t="n">
        <v>11</v>
      </c>
      <c r="C1204" s="11" t="inlineStr">
        <is>
          <t>Biología</t>
        </is>
      </c>
      <c r="D1204" s="11" t="inlineStr">
        <is>
          <t>Matriz_Bachillerato_Biologia_10_11.xlsx</t>
        </is>
      </c>
      <c r="E1204" s="11" t="inlineStr">
        <is>
          <t>Biología 11.°</t>
        </is>
      </c>
      <c r="F1204" s="11" t="n">
        <v>34</v>
      </c>
      <c r="G1204" s="11" t="inlineStr">
        <is>
          <t>3. Biotecnología vegetal y agroindustria</t>
        </is>
      </c>
      <c r="H1204" s="11" t="inlineStr">
        <is>
          <t>Reproducción y mejoramiento vegetal</t>
        </is>
      </c>
      <c r="I1204" s="38" t="inlineStr">
        <is>
          <t>3.5. Experimentación con técnicas de propagación vegetativa.</t>
        </is>
      </c>
      <c r="J1204" s="11" t="inlineStr">
        <is>
          <t>Sin marco</t>
        </is>
      </c>
      <c r="K1204" s="11" t="inlineStr">
        <is>
          <t>N/A</t>
        </is>
      </c>
      <c r="L1204" s="11" t="inlineStr"/>
      <c r="M1204" s="11">
        <f>IF(K1204="FUERA","Fuera del marco",IF(K1204="N/A","Sin marco",IFERROR(INDEX('Datos - Catálogo TIMSS'!$C$5:$C$107,MATCH(K1204,'Datos - Catálogo TIMSS'!$A$5:$A$107,0)),"Pendiente de clasificar")))</f>
        <v/>
      </c>
      <c r="N1204" s="11">
        <f>IF(K1204="FUERA","Fuera del marco",IF(K1204="N/A","Sin marco",IFERROR(INDEX('Datos - Catálogo TIMSS'!$F$5:$F$107,MATCH(K1204,'Datos - Catálogo TIMSS'!$A$5:$A$107,0)),"Pendiente de clasificar")))</f>
        <v/>
      </c>
      <c r="O1204" s="11">
        <f>IF(L1204="","",IFERROR(INDEX('Datos - Catálogo TIMSS'!$C$5:$C$107,MATCH(L1204,'Datos - Catálogo TIMSS'!$A$5:$A$107,0)),"?"))</f>
        <v/>
      </c>
      <c r="P1204" s="11" t="inlineStr">
        <is>
          <t>N/A</t>
        </is>
      </c>
      <c r="Q1204" s="38" t="inlineStr">
        <is>
          <t>Sin marco TIMSS de contenido para esta asignatura en Bachillerato</t>
        </is>
      </c>
      <c r="R1204" s="38" t="inlineStr">
        <is>
          <t>Aplicar: ejecutar una técnica de propagación. Razonar: evaluar un diseño experimental</t>
        </is>
      </c>
      <c r="S1204" s="39">
        <f>IFERROR(ISNUMBER(SEARCH("Conocer",$R1204))/(ISNUMBER(SEARCH("Conocer",$R1204))+ISNUMBER(SEARCH("Aplicar",$R1204))+ISNUMBER(SEARCH("Razonar",$R1204))),0)</f>
        <v/>
      </c>
      <c r="T1204" s="39">
        <f>IFERROR(ISNUMBER(SEARCH("Aplicar",$R1204))/(ISNUMBER(SEARCH("Conocer",$R1204))+ISNUMBER(SEARCH("Aplicar",$R1204))+ISNUMBER(SEARCH("Razonar",$R1204))),0)</f>
        <v/>
      </c>
      <c r="U1204" s="39">
        <f>IFERROR(ISNUMBER(SEARCH("Razonar",$R1204))/(ISNUMBER(SEARCH("Conocer",$R1204))+ISNUMBER(SEARCH("Aplicar",$R1204))+ISNUMBER(SEARCH("Razonar",$R1204))),0)</f>
        <v/>
      </c>
      <c r="V1204" s="11" t="inlineStr">
        <is>
          <t>Biología 11°</t>
        </is>
      </c>
      <c r="W1204" s="11" t="inlineStr">
        <is>
          <t>Biología 10°–11°</t>
        </is>
      </c>
      <c r="X1204" s="11">
        <f>IF(OR(IFERROR(INDEX('Datos - Catálogo TIMSS'!$I$5:$I$107,MATCH(K1204,'Datos - Catálogo TIMSS'!$A$5:$A$107,0)),"No")="Sí",IFERROR(INDEX('Datos - Catálogo TIMSS'!$I$5:$I$107,MATCH(L1204,'Datos - Catálogo TIMSS'!$A$5:$A$107,0)),"No")="Sí"),1,0)</f>
        <v/>
      </c>
      <c r="Y1204" s="11">
        <f>IF(IFERROR(INDEX('Datos - Catálogo TIMSS'!$J$5:$J$107,MATCH(K1204,'Datos - Catálogo TIMSS'!$A$5:$A$107,0)),"No")="Sí",1,0)</f>
        <v/>
      </c>
      <c r="Z1204" s="11">
        <f>IF(IFERROR(INDEX('Datos - Catálogo TIMSS'!$J$5:$J$107,MATCH(L1204,'Datos - Catálogo TIMSS'!$A$5:$A$107,0)),"No")="Sí",1,0)</f>
        <v/>
      </c>
      <c r="AA1204" s="11" t="inlineStr">
        <is>
          <t>N/A</t>
        </is>
      </c>
      <c r="AB1204" s="11" t="inlineStr"/>
      <c r="AC1204" s="11">
        <f>IF(AA1204="FUERA","Fuera del marco",IF(AA1204="N/A","Sin marco",IFERROR(INDEX('Datos - TIMSS 2023'!$C$5:$C$105,MATCH(AA1204,'Datos - TIMSS 2023'!$A$5:$A$105,0)),"Pendiente de clasificar")))</f>
        <v/>
      </c>
      <c r="AD1204" s="11" t="inlineStr">
        <is>
          <t>2. Construir y evaluar diseños para la indagación científica e interpretar datos y evidencia de forma crítica</t>
        </is>
      </c>
      <c r="AE1204" s="11">
        <f>IF(AD1204="","",IF(LEFT(AD1204,1)="1","C1",IF(LEFT(AD1204,1)="2","C2",IF(LEFT(AD1204,1)="3","C3",""))))</f>
        <v/>
      </c>
      <c r="AF1204" s="11" t="inlineStr">
        <is>
          <t>E1</t>
        </is>
      </c>
      <c r="AG1204" s="11" t="inlineStr">
        <is>
          <t>E5</t>
        </is>
      </c>
      <c r="AH1204" s="11" t="inlineStr">
        <is>
          <t>E1</t>
        </is>
      </c>
      <c r="AI1204" s="11" t="inlineStr">
        <is>
          <t>D2</t>
        </is>
      </c>
      <c r="AJ1204" s="11" t="inlineStr">
        <is>
          <t>D3</t>
        </is>
      </c>
      <c r="AK1204" s="11" t="n"/>
      <c r="AL1204" s="11" t="n"/>
      <c r="AM1204" s="11" t="n"/>
      <c r="AN1204" s="11" t="n"/>
      <c r="AO1204" s="11" t="n"/>
      <c r="AP1204" s="11" t="n"/>
      <c r="AQ1204" s="11" t="n"/>
      <c r="AR1204" s="11" t="n"/>
      <c r="AS1204" s="11" t="n"/>
      <c r="AT1204" s="11" t="n"/>
      <c r="AU1204" s="11" t="n"/>
      <c r="AV1204" s="11" t="n"/>
      <c r="AW1204" s="11">
        <f>AF1204&amp;"; "&amp;AG1204&amp;"; "&amp;AH1204&amp;"; "&amp;AI1204&amp;"; "&amp;AJ1204</f>
        <v/>
      </c>
    </row>
    <row r="1205">
      <c r="A1205" s="11" t="inlineStr">
        <is>
          <t>T0103-G11-BIO</t>
        </is>
      </c>
      <c r="B1205" s="11" t="n">
        <v>11</v>
      </c>
      <c r="C1205" s="11" t="inlineStr">
        <is>
          <t>Biología</t>
        </is>
      </c>
      <c r="D1205" s="11" t="inlineStr">
        <is>
          <t>Matriz_Bachillerato_Biologia_10_11.xlsx</t>
        </is>
      </c>
      <c r="E1205" s="11" t="inlineStr">
        <is>
          <t>Biología 11.°</t>
        </is>
      </c>
      <c r="F1205" s="11" t="n">
        <v>35</v>
      </c>
      <c r="G1205" s="11" t="inlineStr">
        <is>
          <t>3. Biotecnología vegetal y agroindustria</t>
        </is>
      </c>
      <c r="H1205" s="11" t="inlineStr">
        <is>
          <t>Reproducción y mejoramiento vegetal</t>
        </is>
      </c>
      <c r="I1205" s="38" t="inlineStr">
        <is>
          <t>3.6. Comparación entre el mejoramiento genético tradicional y contemporáneo de las plantas.</t>
        </is>
      </c>
      <c r="J1205" s="11" t="inlineStr">
        <is>
          <t>Sin marco</t>
        </is>
      </c>
      <c r="K1205" s="11" t="inlineStr">
        <is>
          <t>N/A</t>
        </is>
      </c>
      <c r="L1205" s="11" t="inlineStr"/>
      <c r="M1205" s="11">
        <f>IF(K1205="FUERA","Fuera del marco",IF(K1205="N/A","Sin marco",IFERROR(INDEX('Datos - Catálogo TIMSS'!$C$5:$C$107,MATCH(K1205,'Datos - Catálogo TIMSS'!$A$5:$A$107,0)),"Pendiente de clasificar")))</f>
        <v/>
      </c>
      <c r="N1205" s="11">
        <f>IF(K1205="FUERA","Fuera del marco",IF(K1205="N/A","Sin marco",IFERROR(INDEX('Datos - Catálogo TIMSS'!$F$5:$F$107,MATCH(K1205,'Datos - Catálogo TIMSS'!$A$5:$A$107,0)),"Pendiente de clasificar")))</f>
        <v/>
      </c>
      <c r="O1205" s="11">
        <f>IF(L1205="","",IFERROR(INDEX('Datos - Catálogo TIMSS'!$C$5:$C$107,MATCH(L1205,'Datos - Catálogo TIMSS'!$A$5:$A$107,0)),"?"))</f>
        <v/>
      </c>
      <c r="P1205" s="11" t="inlineStr">
        <is>
          <t>N/A</t>
        </is>
      </c>
      <c r="Q1205" s="38" t="inlineStr">
        <is>
          <t>Sin marco TIMSS de contenido para esta asignatura en Bachillerato</t>
        </is>
      </c>
      <c r="R1205" s="38" t="inlineStr">
        <is>
          <t>Conocer: describir técnicas de mejoramiento. Razonar: comparar métodos tradicionales y contemporáneos</t>
        </is>
      </c>
      <c r="S1205" s="39">
        <f>IFERROR(ISNUMBER(SEARCH("Conocer",$R1205))/(ISNUMBER(SEARCH("Conocer",$R1205))+ISNUMBER(SEARCH("Aplicar",$R1205))+ISNUMBER(SEARCH("Razonar",$R1205))),0)</f>
        <v/>
      </c>
      <c r="T1205" s="39">
        <f>IFERROR(ISNUMBER(SEARCH("Aplicar",$R1205))/(ISNUMBER(SEARCH("Conocer",$R1205))+ISNUMBER(SEARCH("Aplicar",$R1205))+ISNUMBER(SEARCH("Razonar",$R1205))),0)</f>
        <v/>
      </c>
      <c r="U1205" s="39">
        <f>IFERROR(ISNUMBER(SEARCH("Razonar",$R1205))/(ISNUMBER(SEARCH("Conocer",$R1205))+ISNUMBER(SEARCH("Aplicar",$R1205))+ISNUMBER(SEARCH("Razonar",$R1205))),0)</f>
        <v/>
      </c>
      <c r="V1205" s="11" t="inlineStr">
        <is>
          <t>Biología 11°</t>
        </is>
      </c>
      <c r="W1205" s="11" t="inlineStr">
        <is>
          <t>Biología 10°–11°</t>
        </is>
      </c>
      <c r="X1205" s="11">
        <f>IF(OR(IFERROR(INDEX('Datos - Catálogo TIMSS'!$I$5:$I$107,MATCH(K1205,'Datos - Catálogo TIMSS'!$A$5:$A$107,0)),"No")="Sí",IFERROR(INDEX('Datos - Catálogo TIMSS'!$I$5:$I$107,MATCH(L1205,'Datos - Catálogo TIMSS'!$A$5:$A$107,0)),"No")="Sí"),1,0)</f>
        <v/>
      </c>
      <c r="Y1205" s="11">
        <f>IF(IFERROR(INDEX('Datos - Catálogo TIMSS'!$J$5:$J$107,MATCH(K1205,'Datos - Catálogo TIMSS'!$A$5:$A$107,0)),"No")="Sí",1,0)</f>
        <v/>
      </c>
      <c r="Z1205" s="11">
        <f>IF(IFERROR(INDEX('Datos - Catálogo TIMSS'!$J$5:$J$107,MATCH(L1205,'Datos - Catálogo TIMSS'!$A$5:$A$107,0)),"No")="Sí",1,0)</f>
        <v/>
      </c>
      <c r="AA1205" s="11" t="inlineStr">
        <is>
          <t>N/A</t>
        </is>
      </c>
      <c r="AB1205" s="11" t="inlineStr"/>
      <c r="AC1205" s="11">
        <f>IF(AA1205="FUERA","Fuera del marco",IF(AA1205="N/A","Sin marco",IFERROR(INDEX('Datos - TIMSS 2023'!$C$5:$C$105,MATCH(AA1205,'Datos - TIMSS 2023'!$A$5:$A$105,0)),"Pendiente de clasificar")))</f>
        <v/>
      </c>
      <c r="AD1205" s="11" t="inlineStr">
        <is>
          <t>3. Investigar, evaluar y usar información científica para tomar decisiones y actuar</t>
        </is>
      </c>
      <c r="AE1205" s="11">
        <f>IF(AD1205="","",IF(LEFT(AD1205,1)="1","C1",IF(LEFT(AD1205,1)="2","C2",IF(LEFT(AD1205,1)="3","C3",""))))</f>
        <v/>
      </c>
      <c r="AF1205" s="11" t="inlineStr">
        <is>
          <t>E6</t>
        </is>
      </c>
      <c r="AG1205" s="11" t="inlineStr">
        <is>
          <t>D1</t>
        </is>
      </c>
      <c r="AH1205" s="11" t="inlineStr">
        <is>
          <t>E2</t>
        </is>
      </c>
      <c r="AI1205" s="11" t="inlineStr">
        <is>
          <t>I1</t>
        </is>
      </c>
      <c r="AJ1205" s="11" t="inlineStr">
        <is>
          <t>I2</t>
        </is>
      </c>
      <c r="AK1205" s="11" t="n"/>
      <c r="AL1205" s="11" t="n"/>
      <c r="AM1205" s="11" t="n"/>
      <c r="AN1205" s="11" t="n"/>
      <c r="AO1205" s="11" t="n"/>
      <c r="AP1205" s="11" t="n"/>
      <c r="AQ1205" s="11" t="n"/>
      <c r="AR1205" s="11" t="n"/>
      <c r="AS1205" s="11" t="n"/>
      <c r="AT1205" s="11" t="n"/>
      <c r="AU1205" s="11" t="n"/>
      <c r="AV1205" s="11" t="n"/>
      <c r="AW1205" s="11">
        <f>AF1205&amp;"; "&amp;AG1205&amp;"; "&amp;AH1205&amp;"; "&amp;AI1205&amp;"; "&amp;AJ1205</f>
        <v/>
      </c>
    </row>
    <row r="1206">
      <c r="A1206" s="11" t="inlineStr">
        <is>
          <t>T0104-G11-BIO</t>
        </is>
      </c>
      <c r="B1206" s="11" t="n">
        <v>11</v>
      </c>
      <c r="C1206" s="11" t="inlineStr">
        <is>
          <t>Biología</t>
        </is>
      </c>
      <c r="D1206" s="11" t="inlineStr">
        <is>
          <t>Matriz_Bachillerato_Biologia_10_11.xlsx</t>
        </is>
      </c>
      <c r="E1206" s="11" t="inlineStr">
        <is>
          <t>Biología 11.°</t>
        </is>
      </c>
      <c r="F1206" s="11" t="n">
        <v>36</v>
      </c>
      <c r="G1206" s="11" t="inlineStr">
        <is>
          <t>3. Biotecnología vegetal y agroindustria</t>
        </is>
      </c>
      <c r="H1206" s="11" t="inlineStr">
        <is>
          <t>Nutrición de las plantas</t>
        </is>
      </c>
      <c r="I1206" s="38" t="inlineStr">
        <is>
          <t>3.7. Indagación en el proceso de nutrición de las plantas y el papel de los fertilizantes.</t>
        </is>
      </c>
      <c r="J1206" s="11" t="inlineStr">
        <is>
          <t>Sin marco</t>
        </is>
      </c>
      <c r="K1206" s="11" t="inlineStr">
        <is>
          <t>N/A</t>
        </is>
      </c>
      <c r="L1206" s="11" t="inlineStr"/>
      <c r="M1206" s="11">
        <f>IF(K1206="FUERA","Fuera del marco",IF(K1206="N/A","Sin marco",IFERROR(INDEX('Datos - Catálogo TIMSS'!$C$5:$C$107,MATCH(K1206,'Datos - Catálogo TIMSS'!$A$5:$A$107,0)),"Pendiente de clasificar")))</f>
        <v/>
      </c>
      <c r="N1206" s="11">
        <f>IF(K1206="FUERA","Fuera del marco",IF(K1206="N/A","Sin marco",IFERROR(INDEX('Datos - Catálogo TIMSS'!$F$5:$F$107,MATCH(K1206,'Datos - Catálogo TIMSS'!$A$5:$A$107,0)),"Pendiente de clasificar")))</f>
        <v/>
      </c>
      <c r="O1206" s="11">
        <f>IF(L1206="","",IFERROR(INDEX('Datos - Catálogo TIMSS'!$C$5:$C$107,MATCH(L1206,'Datos - Catálogo TIMSS'!$A$5:$A$107,0)),"?"))</f>
        <v/>
      </c>
      <c r="P1206" s="11" t="inlineStr">
        <is>
          <t>N/A</t>
        </is>
      </c>
      <c r="Q1206" s="38" t="inlineStr">
        <is>
          <t>Sin marco TIMSS de contenido para esta asignatura en Bachillerato</t>
        </is>
      </c>
      <c r="R1206" s="38" t="inlineStr">
        <is>
          <t>Conocer: clasificar nutrientes. Aplicar: interpretar fórmulas de fertilizantes. Razonar: diagnosticar deficiencias</t>
        </is>
      </c>
      <c r="S1206" s="39">
        <f>IFERROR(ISNUMBER(SEARCH("Conocer",$R1206))/(ISNUMBER(SEARCH("Conocer",$R1206))+ISNUMBER(SEARCH("Aplicar",$R1206))+ISNUMBER(SEARCH("Razonar",$R1206))),0)</f>
        <v/>
      </c>
      <c r="T1206" s="39">
        <f>IFERROR(ISNUMBER(SEARCH("Aplicar",$R1206))/(ISNUMBER(SEARCH("Conocer",$R1206))+ISNUMBER(SEARCH("Aplicar",$R1206))+ISNUMBER(SEARCH("Razonar",$R1206))),0)</f>
        <v/>
      </c>
      <c r="U1206" s="39">
        <f>IFERROR(ISNUMBER(SEARCH("Razonar",$R1206))/(ISNUMBER(SEARCH("Conocer",$R1206))+ISNUMBER(SEARCH("Aplicar",$R1206))+ISNUMBER(SEARCH("Razonar",$R1206))),0)</f>
        <v/>
      </c>
      <c r="V1206" s="11" t="inlineStr">
        <is>
          <t>Biología 11°</t>
        </is>
      </c>
      <c r="W1206" s="11" t="inlineStr">
        <is>
          <t>Biología 10°–11°</t>
        </is>
      </c>
      <c r="X1206" s="11">
        <f>IF(OR(IFERROR(INDEX('Datos - Catálogo TIMSS'!$I$5:$I$107,MATCH(K1206,'Datos - Catálogo TIMSS'!$A$5:$A$107,0)),"No")="Sí",IFERROR(INDEX('Datos - Catálogo TIMSS'!$I$5:$I$107,MATCH(L1206,'Datos - Catálogo TIMSS'!$A$5:$A$107,0)),"No")="Sí"),1,0)</f>
        <v/>
      </c>
      <c r="Y1206" s="11">
        <f>IF(IFERROR(INDEX('Datos - Catálogo TIMSS'!$J$5:$J$107,MATCH(K1206,'Datos - Catálogo TIMSS'!$A$5:$A$107,0)),"No")="Sí",1,0)</f>
        <v/>
      </c>
      <c r="Z1206" s="11">
        <f>IF(IFERROR(INDEX('Datos - Catálogo TIMSS'!$J$5:$J$107,MATCH(L1206,'Datos - Catálogo TIMSS'!$A$5:$A$107,0)),"No")="Sí",1,0)</f>
        <v/>
      </c>
      <c r="AA1206" s="11" t="inlineStr">
        <is>
          <t>N/A</t>
        </is>
      </c>
      <c r="AB1206" s="11" t="inlineStr"/>
      <c r="AC1206" s="11">
        <f>IF(AA1206="FUERA","Fuera del marco",IF(AA1206="N/A","Sin marco",IFERROR(INDEX('Datos - TIMSS 2023'!$C$5:$C$105,MATCH(AA1206,'Datos - TIMSS 2023'!$A$5:$A$105,0)),"Pendiente de clasificar")))</f>
        <v/>
      </c>
      <c r="AD1206" s="11" t="inlineStr">
        <is>
          <t>1. Explicar fenómenos científicamente</t>
        </is>
      </c>
      <c r="AE1206" s="11">
        <f>IF(AD1206="","",IF(LEFT(AD1206,1)="1","C1",IF(LEFT(AD1206,1)="2","C2",IF(LEFT(AD1206,1)="3","C3",""))))</f>
        <v/>
      </c>
      <c r="AF1206" s="11" t="inlineStr">
        <is>
          <t>E1</t>
        </is>
      </c>
      <c r="AG1206" s="11" t="inlineStr">
        <is>
          <t>E3</t>
        </is>
      </c>
      <c r="AH1206" s="11" t="inlineStr">
        <is>
          <t>E1</t>
        </is>
      </c>
      <c r="AI1206" s="11" t="inlineStr">
        <is>
          <t>D4</t>
        </is>
      </c>
      <c r="AJ1206" s="11" t="inlineStr">
        <is>
          <t>E6</t>
        </is>
      </c>
      <c r="AK1206" s="11" t="n"/>
      <c r="AL1206" s="11" t="n"/>
      <c r="AM1206" s="11" t="n"/>
      <c r="AN1206" s="11" t="n"/>
      <c r="AO1206" s="11" t="n"/>
      <c r="AP1206" s="11" t="n"/>
      <c r="AQ1206" s="11" t="n"/>
      <c r="AR1206" s="11" t="n"/>
      <c r="AS1206" s="11" t="n"/>
      <c r="AT1206" s="11" t="n"/>
      <c r="AU1206" s="11" t="n"/>
      <c r="AV1206" s="11" t="n"/>
      <c r="AW1206" s="11">
        <f>AF1206&amp;"; "&amp;AG1206&amp;"; "&amp;AH1206&amp;"; "&amp;AI1206&amp;"; "&amp;AJ1206</f>
        <v/>
      </c>
    </row>
    <row r="1207">
      <c r="A1207" s="11" t="inlineStr">
        <is>
          <t>T0105-G11-BIO</t>
        </is>
      </c>
      <c r="B1207" s="11" t="n">
        <v>11</v>
      </c>
      <c r="C1207" s="11" t="inlineStr">
        <is>
          <t>Biología</t>
        </is>
      </c>
      <c r="D1207" s="11" t="inlineStr">
        <is>
          <t>Matriz_Bachillerato_Biologia_10_11.xlsx</t>
        </is>
      </c>
      <c r="E1207" s="11" t="inlineStr">
        <is>
          <t>Biología 11.°</t>
        </is>
      </c>
      <c r="F1207" s="11" t="n">
        <v>37</v>
      </c>
      <c r="G1207" s="11" t="inlineStr">
        <is>
          <t>3. Biotecnología vegetal y agroindustria</t>
        </is>
      </c>
      <c r="H1207" s="11" t="inlineStr">
        <is>
          <t>Nutrición de las plantas</t>
        </is>
      </c>
      <c r="I1207" s="38" t="inlineStr">
        <is>
          <t>3.8. Experimentación con técnicas de cultivo de plantas en distintos sustratos.</t>
        </is>
      </c>
      <c r="J1207" s="11" t="inlineStr">
        <is>
          <t>Sin marco</t>
        </is>
      </c>
      <c r="K1207" s="11" t="inlineStr">
        <is>
          <t>N/A</t>
        </is>
      </c>
      <c r="L1207" s="11" t="inlineStr"/>
      <c r="M1207" s="11">
        <f>IF(K1207="FUERA","Fuera del marco",IF(K1207="N/A","Sin marco",IFERROR(INDEX('Datos - Catálogo TIMSS'!$C$5:$C$107,MATCH(K1207,'Datos - Catálogo TIMSS'!$A$5:$A$107,0)),"Pendiente de clasificar")))</f>
        <v/>
      </c>
      <c r="N1207" s="11">
        <f>IF(K1207="FUERA","Fuera del marco",IF(K1207="N/A","Sin marco",IFERROR(INDEX('Datos - Catálogo TIMSS'!$F$5:$F$107,MATCH(K1207,'Datos - Catálogo TIMSS'!$A$5:$A$107,0)),"Pendiente de clasificar")))</f>
        <v/>
      </c>
      <c r="O1207" s="11">
        <f>IF(L1207="","",IFERROR(INDEX('Datos - Catálogo TIMSS'!$C$5:$C$107,MATCH(L1207,'Datos - Catálogo TIMSS'!$A$5:$A$107,0)),"?"))</f>
        <v/>
      </c>
      <c r="P1207" s="11" t="inlineStr">
        <is>
          <t>N/A</t>
        </is>
      </c>
      <c r="Q1207" s="38" t="inlineStr">
        <is>
          <t>Sin marco TIMSS de contenido para esta asignatura en Bachillerato</t>
        </is>
      </c>
      <c r="R1207" s="38" t="inlineStr">
        <is>
          <t>Aplicar: establecer un cultivo en sustrato. Razonar: comparar tratamientos con datos de crecimiento</t>
        </is>
      </c>
      <c r="S1207" s="39">
        <f>IFERROR(ISNUMBER(SEARCH("Conocer",$R1207))/(ISNUMBER(SEARCH("Conocer",$R1207))+ISNUMBER(SEARCH("Aplicar",$R1207))+ISNUMBER(SEARCH("Razonar",$R1207))),0)</f>
        <v/>
      </c>
      <c r="T1207" s="39">
        <f>IFERROR(ISNUMBER(SEARCH("Aplicar",$R1207))/(ISNUMBER(SEARCH("Conocer",$R1207))+ISNUMBER(SEARCH("Aplicar",$R1207))+ISNUMBER(SEARCH("Razonar",$R1207))),0)</f>
        <v/>
      </c>
      <c r="U1207" s="39">
        <f>IFERROR(ISNUMBER(SEARCH("Razonar",$R1207))/(ISNUMBER(SEARCH("Conocer",$R1207))+ISNUMBER(SEARCH("Aplicar",$R1207))+ISNUMBER(SEARCH("Razonar",$R1207))),0)</f>
        <v/>
      </c>
      <c r="V1207" s="11" t="inlineStr">
        <is>
          <t>Biología 11°</t>
        </is>
      </c>
      <c r="W1207" s="11" t="inlineStr">
        <is>
          <t>Biología 10°–11°</t>
        </is>
      </c>
      <c r="X1207" s="11">
        <f>IF(OR(IFERROR(INDEX('Datos - Catálogo TIMSS'!$I$5:$I$107,MATCH(K1207,'Datos - Catálogo TIMSS'!$A$5:$A$107,0)),"No")="Sí",IFERROR(INDEX('Datos - Catálogo TIMSS'!$I$5:$I$107,MATCH(L1207,'Datos - Catálogo TIMSS'!$A$5:$A$107,0)),"No")="Sí"),1,0)</f>
        <v/>
      </c>
      <c r="Y1207" s="11">
        <f>IF(IFERROR(INDEX('Datos - Catálogo TIMSS'!$J$5:$J$107,MATCH(K1207,'Datos - Catálogo TIMSS'!$A$5:$A$107,0)),"No")="Sí",1,0)</f>
        <v/>
      </c>
      <c r="Z1207" s="11">
        <f>IF(IFERROR(INDEX('Datos - Catálogo TIMSS'!$J$5:$J$107,MATCH(L1207,'Datos - Catálogo TIMSS'!$A$5:$A$107,0)),"No")="Sí",1,0)</f>
        <v/>
      </c>
      <c r="AA1207" s="11" t="inlineStr">
        <is>
          <t>N/A</t>
        </is>
      </c>
      <c r="AB1207" s="11" t="inlineStr"/>
      <c r="AC1207" s="11">
        <f>IF(AA1207="FUERA","Fuera del marco",IF(AA1207="N/A","Sin marco",IFERROR(INDEX('Datos - TIMSS 2023'!$C$5:$C$105,MATCH(AA1207,'Datos - TIMSS 2023'!$A$5:$A$105,0)),"Pendiente de clasificar")))</f>
        <v/>
      </c>
      <c r="AD1207" s="11" t="inlineStr">
        <is>
          <t>2. Construir y evaluar diseños para la indagación científica e interpretar datos y evidencia de forma crítica</t>
        </is>
      </c>
      <c r="AE1207" s="11">
        <f>IF(AD1207="","",IF(LEFT(AD1207,1)="1","C1",IF(LEFT(AD1207,1)="2","C2",IF(LEFT(AD1207,1)="3","C3",""))))</f>
        <v/>
      </c>
      <c r="AF1207" s="11" t="inlineStr">
        <is>
          <t>E1</t>
        </is>
      </c>
      <c r="AG1207" s="11" t="inlineStr">
        <is>
          <t>E5</t>
        </is>
      </c>
      <c r="AH1207" s="11" t="inlineStr">
        <is>
          <t>E1</t>
        </is>
      </c>
      <c r="AI1207" s="11" t="inlineStr">
        <is>
          <t>D2</t>
        </is>
      </c>
      <c r="AJ1207" s="11" t="inlineStr">
        <is>
          <t>D3</t>
        </is>
      </c>
      <c r="AK1207" s="11" t="n"/>
      <c r="AL1207" s="11" t="n"/>
      <c r="AM1207" s="11" t="n"/>
      <c r="AN1207" s="11" t="n"/>
      <c r="AO1207" s="11" t="n"/>
      <c r="AP1207" s="11" t="n"/>
      <c r="AQ1207" s="11" t="n"/>
      <c r="AR1207" s="11" t="n"/>
      <c r="AS1207" s="11" t="n"/>
      <c r="AT1207" s="11" t="n"/>
      <c r="AU1207" s="11" t="n"/>
      <c r="AV1207" s="11" t="n"/>
      <c r="AW1207" s="11">
        <f>AF1207&amp;"; "&amp;AG1207&amp;"; "&amp;AH1207&amp;"; "&amp;AI1207&amp;"; "&amp;AJ1207</f>
        <v/>
      </c>
    </row>
    <row r="1208">
      <c r="A1208" s="11" t="inlineStr">
        <is>
          <t>T0106-G11-BIO</t>
        </is>
      </c>
      <c r="B1208" s="11" t="n">
        <v>11</v>
      </c>
      <c r="C1208" s="11" t="inlineStr">
        <is>
          <t>Biología</t>
        </is>
      </c>
      <c r="D1208" s="11" t="inlineStr">
        <is>
          <t>Matriz_Bachillerato_Biologia_10_11.xlsx</t>
        </is>
      </c>
      <c r="E1208" s="11" t="inlineStr">
        <is>
          <t>Biología 11.°</t>
        </is>
      </c>
      <c r="F1208" s="11" t="n">
        <v>38</v>
      </c>
      <c r="G1208" s="11" t="inlineStr">
        <is>
          <t>3. Biotecnología vegetal y agroindustria</t>
        </is>
      </c>
      <c r="H1208" s="11" t="inlineStr">
        <is>
          <t>Nutrición de las plantas</t>
        </is>
      </c>
      <c r="I1208" s="38" t="inlineStr">
        <is>
          <t>3.9. Reconocimiento de los efectos de los cambios del pH del suelo en la nutrición mineral de las plantas.</t>
        </is>
      </c>
      <c r="J1208" s="11" t="inlineStr">
        <is>
          <t>Sin marco</t>
        </is>
      </c>
      <c r="K1208" s="11" t="inlineStr">
        <is>
          <t>N/A</t>
        </is>
      </c>
      <c r="L1208" s="11" t="inlineStr"/>
      <c r="M1208" s="11">
        <f>IF(K1208="FUERA","Fuera del marco",IF(K1208="N/A","Sin marco",IFERROR(INDEX('Datos - Catálogo TIMSS'!$C$5:$C$107,MATCH(K1208,'Datos - Catálogo TIMSS'!$A$5:$A$107,0)),"Pendiente de clasificar")))</f>
        <v/>
      </c>
      <c r="N1208" s="11">
        <f>IF(K1208="FUERA","Fuera del marco",IF(K1208="N/A","Sin marco",IFERROR(INDEX('Datos - Catálogo TIMSS'!$F$5:$F$107,MATCH(K1208,'Datos - Catálogo TIMSS'!$A$5:$A$107,0)),"Pendiente de clasificar")))</f>
        <v/>
      </c>
      <c r="O1208" s="11">
        <f>IF(L1208="","",IFERROR(INDEX('Datos - Catálogo TIMSS'!$C$5:$C$107,MATCH(L1208,'Datos - Catálogo TIMSS'!$A$5:$A$107,0)),"?"))</f>
        <v/>
      </c>
      <c r="P1208" s="11" t="inlineStr">
        <is>
          <t>N/A</t>
        </is>
      </c>
      <c r="Q1208" s="38" t="inlineStr">
        <is>
          <t>Sin marco TIMSS de contenido para esta asignatura en Bachillerato</t>
        </is>
      </c>
      <c r="R1208" s="38" t="inlineStr">
        <is>
          <t>Aplicar: medir e interpretar el pH del suelo. Razonar: relacionarlo con la disponibilidad de nutrientes</t>
        </is>
      </c>
      <c r="S1208" s="39">
        <f>IFERROR(ISNUMBER(SEARCH("Conocer",$R1208))/(ISNUMBER(SEARCH("Conocer",$R1208))+ISNUMBER(SEARCH("Aplicar",$R1208))+ISNUMBER(SEARCH("Razonar",$R1208))),0)</f>
        <v/>
      </c>
      <c r="T1208" s="39">
        <f>IFERROR(ISNUMBER(SEARCH("Aplicar",$R1208))/(ISNUMBER(SEARCH("Conocer",$R1208))+ISNUMBER(SEARCH("Aplicar",$R1208))+ISNUMBER(SEARCH("Razonar",$R1208))),0)</f>
        <v/>
      </c>
      <c r="U1208" s="39">
        <f>IFERROR(ISNUMBER(SEARCH("Razonar",$R1208))/(ISNUMBER(SEARCH("Conocer",$R1208))+ISNUMBER(SEARCH("Aplicar",$R1208))+ISNUMBER(SEARCH("Razonar",$R1208))),0)</f>
        <v/>
      </c>
      <c r="V1208" s="11" t="inlineStr">
        <is>
          <t>Biología 11°</t>
        </is>
      </c>
      <c r="W1208" s="11" t="inlineStr">
        <is>
          <t>Biología 10°–11°</t>
        </is>
      </c>
      <c r="X1208" s="11">
        <f>IF(OR(IFERROR(INDEX('Datos - Catálogo TIMSS'!$I$5:$I$107,MATCH(K1208,'Datos - Catálogo TIMSS'!$A$5:$A$107,0)),"No")="Sí",IFERROR(INDEX('Datos - Catálogo TIMSS'!$I$5:$I$107,MATCH(L1208,'Datos - Catálogo TIMSS'!$A$5:$A$107,0)),"No")="Sí"),1,0)</f>
        <v/>
      </c>
      <c r="Y1208" s="11">
        <f>IF(IFERROR(INDEX('Datos - Catálogo TIMSS'!$J$5:$J$107,MATCH(K1208,'Datos - Catálogo TIMSS'!$A$5:$A$107,0)),"No")="Sí",1,0)</f>
        <v/>
      </c>
      <c r="Z1208" s="11">
        <f>IF(IFERROR(INDEX('Datos - Catálogo TIMSS'!$J$5:$J$107,MATCH(L1208,'Datos - Catálogo TIMSS'!$A$5:$A$107,0)),"No")="Sí",1,0)</f>
        <v/>
      </c>
      <c r="AA1208" s="11" t="inlineStr">
        <is>
          <t>N/A</t>
        </is>
      </c>
      <c r="AB1208" s="11" t="inlineStr"/>
      <c r="AC1208" s="11">
        <f>IF(AA1208="FUERA","Fuera del marco",IF(AA1208="N/A","Sin marco",IFERROR(INDEX('Datos - TIMSS 2023'!$C$5:$C$105,MATCH(AA1208,'Datos - TIMSS 2023'!$A$5:$A$105,0)),"Pendiente de clasificar")))</f>
        <v/>
      </c>
      <c r="AD1208" s="11" t="inlineStr">
        <is>
          <t>2. Construir y evaluar diseños para la indagación científica e interpretar datos y evidencia de forma crítica</t>
        </is>
      </c>
      <c r="AE1208" s="11">
        <f>IF(AD1208="","",IF(LEFT(AD1208,1)="1","C1",IF(LEFT(AD1208,1)="2","C2",IF(LEFT(AD1208,1)="3","C3",""))))</f>
        <v/>
      </c>
      <c r="AF1208" s="11" t="inlineStr">
        <is>
          <t>E1</t>
        </is>
      </c>
      <c r="AG1208" s="11" t="inlineStr">
        <is>
          <t>E3</t>
        </is>
      </c>
      <c r="AH1208" s="11" t="inlineStr">
        <is>
          <t>E2</t>
        </is>
      </c>
      <c r="AI1208" s="11" t="inlineStr">
        <is>
          <t>D4</t>
        </is>
      </c>
      <c r="AJ1208" s="11" t="inlineStr">
        <is>
          <t>I5</t>
        </is>
      </c>
      <c r="AK1208" s="11" t="n"/>
      <c r="AL1208" s="11" t="n"/>
      <c r="AM1208" s="11" t="n"/>
      <c r="AN1208" s="11" t="n"/>
      <c r="AO1208" s="11" t="n"/>
      <c r="AP1208" s="11" t="n"/>
      <c r="AQ1208" s="11" t="n"/>
      <c r="AR1208" s="11" t="n"/>
      <c r="AS1208" s="11" t="n"/>
      <c r="AT1208" s="11" t="n"/>
      <c r="AU1208" s="11" t="n"/>
      <c r="AV1208" s="11" t="n"/>
      <c r="AW1208" s="11">
        <f>AF1208&amp;"; "&amp;AG1208&amp;"; "&amp;AH1208&amp;"; "&amp;AI1208&amp;"; "&amp;AJ1208</f>
        <v/>
      </c>
    </row>
    <row r="1209">
      <c r="A1209" s="11" t="inlineStr">
        <is>
          <t>T0107-G11-BIO</t>
        </is>
      </c>
      <c r="B1209" s="11" t="n">
        <v>11</v>
      </c>
      <c r="C1209" s="11" t="inlineStr">
        <is>
          <t>Biología</t>
        </is>
      </c>
      <c r="D1209" s="11" t="inlineStr">
        <is>
          <t>Matriz_Bachillerato_Biologia_10_11.xlsx</t>
        </is>
      </c>
      <c r="E1209" s="11" t="inlineStr">
        <is>
          <t>Biología 11.°</t>
        </is>
      </c>
      <c r="F1209" s="11" t="n">
        <v>39</v>
      </c>
      <c r="G1209" s="11" t="inlineStr">
        <is>
          <t>3. Biotecnología vegetal y agroindustria</t>
        </is>
      </c>
      <c r="H1209" s="11" t="inlineStr">
        <is>
          <t>Desarrollo vegetal</t>
        </is>
      </c>
      <c r="I1209" s="38" t="inlineStr">
        <is>
          <t>3.10. Indagación de la existencia de hormonas vegetales.</t>
        </is>
      </c>
      <c r="J1209" s="11" t="inlineStr">
        <is>
          <t>Sin marco</t>
        </is>
      </c>
      <c r="K1209" s="11" t="inlineStr">
        <is>
          <t>N/A</t>
        </is>
      </c>
      <c r="L1209" s="11" t="inlineStr"/>
      <c r="M1209" s="11">
        <f>IF(K1209="FUERA","Fuera del marco",IF(K1209="N/A","Sin marco",IFERROR(INDEX('Datos - Catálogo TIMSS'!$C$5:$C$107,MATCH(K1209,'Datos - Catálogo TIMSS'!$A$5:$A$107,0)),"Pendiente de clasificar")))</f>
        <v/>
      </c>
      <c r="N1209" s="11">
        <f>IF(K1209="FUERA","Fuera del marco",IF(K1209="N/A","Sin marco",IFERROR(INDEX('Datos - Catálogo TIMSS'!$F$5:$F$107,MATCH(K1209,'Datos - Catálogo TIMSS'!$A$5:$A$107,0)),"Pendiente de clasificar")))</f>
        <v/>
      </c>
      <c r="O1209" s="11">
        <f>IF(L1209="","",IFERROR(INDEX('Datos - Catálogo TIMSS'!$C$5:$C$107,MATCH(L1209,'Datos - Catálogo TIMSS'!$A$5:$A$107,0)),"?"))</f>
        <v/>
      </c>
      <c r="P1209" s="11" t="inlineStr">
        <is>
          <t>N/A</t>
        </is>
      </c>
      <c r="Q1209" s="38" t="inlineStr">
        <is>
          <t>Sin marco TIMSS de contenido para esta asignatura en Bachillerato</t>
        </is>
      </c>
      <c r="R1209" s="38" t="inlineStr">
        <is>
          <t>Conocer: definir hormona vegetal. Razonar: interpretar experimentos clásicos de fototropismo</t>
        </is>
      </c>
      <c r="S1209" s="39">
        <f>IFERROR(ISNUMBER(SEARCH("Conocer",$R1209))/(ISNUMBER(SEARCH("Conocer",$R1209))+ISNUMBER(SEARCH("Aplicar",$R1209))+ISNUMBER(SEARCH("Razonar",$R1209))),0)</f>
        <v/>
      </c>
      <c r="T1209" s="39">
        <f>IFERROR(ISNUMBER(SEARCH("Aplicar",$R1209))/(ISNUMBER(SEARCH("Conocer",$R1209))+ISNUMBER(SEARCH("Aplicar",$R1209))+ISNUMBER(SEARCH("Razonar",$R1209))),0)</f>
        <v/>
      </c>
      <c r="U1209" s="39">
        <f>IFERROR(ISNUMBER(SEARCH("Razonar",$R1209))/(ISNUMBER(SEARCH("Conocer",$R1209))+ISNUMBER(SEARCH("Aplicar",$R1209))+ISNUMBER(SEARCH("Razonar",$R1209))),0)</f>
        <v/>
      </c>
      <c r="V1209" s="11" t="inlineStr">
        <is>
          <t>Biología 11°</t>
        </is>
      </c>
      <c r="W1209" s="11" t="inlineStr">
        <is>
          <t>Biología 10°–11°</t>
        </is>
      </c>
      <c r="X1209" s="11">
        <f>IF(OR(IFERROR(INDEX('Datos - Catálogo TIMSS'!$I$5:$I$107,MATCH(K1209,'Datos - Catálogo TIMSS'!$A$5:$A$107,0)),"No")="Sí",IFERROR(INDEX('Datos - Catálogo TIMSS'!$I$5:$I$107,MATCH(L1209,'Datos - Catálogo TIMSS'!$A$5:$A$107,0)),"No")="Sí"),1,0)</f>
        <v/>
      </c>
      <c r="Y1209" s="11">
        <f>IF(IFERROR(INDEX('Datos - Catálogo TIMSS'!$J$5:$J$107,MATCH(K1209,'Datos - Catálogo TIMSS'!$A$5:$A$107,0)),"No")="Sí",1,0)</f>
        <v/>
      </c>
      <c r="Z1209" s="11">
        <f>IF(IFERROR(INDEX('Datos - Catálogo TIMSS'!$J$5:$J$107,MATCH(L1209,'Datos - Catálogo TIMSS'!$A$5:$A$107,0)),"No")="Sí",1,0)</f>
        <v/>
      </c>
      <c r="AA1209" s="11" t="inlineStr">
        <is>
          <t>N/A</t>
        </is>
      </c>
      <c r="AB1209" s="11" t="inlineStr"/>
      <c r="AC1209" s="11">
        <f>IF(AA1209="FUERA","Fuera del marco",IF(AA1209="N/A","Sin marco",IFERROR(INDEX('Datos - TIMSS 2023'!$C$5:$C$105,MATCH(AA1209,'Datos - TIMSS 2023'!$A$5:$A$105,0)),"Pendiente de clasificar")))</f>
        <v/>
      </c>
      <c r="AD1209" s="11" t="inlineStr">
        <is>
          <t>1. Explicar fenómenos científicamente</t>
        </is>
      </c>
      <c r="AE1209" s="11">
        <f>IF(AD1209="","",IF(LEFT(AD1209,1)="1","C1",IF(LEFT(AD1209,1)="2","C2",IF(LEFT(AD1209,1)="3","C3",""))))</f>
        <v/>
      </c>
      <c r="AF1209" s="11" t="inlineStr">
        <is>
          <t>E1</t>
        </is>
      </c>
      <c r="AG1209" s="11" t="inlineStr">
        <is>
          <t>E5</t>
        </is>
      </c>
      <c r="AH1209" s="11" t="inlineStr">
        <is>
          <t>E4</t>
        </is>
      </c>
      <c r="AI1209" s="11" t="inlineStr">
        <is>
          <t>D4</t>
        </is>
      </c>
      <c r="AJ1209" s="11" t="inlineStr">
        <is>
          <t>E3</t>
        </is>
      </c>
      <c r="AK1209" s="11" t="n"/>
      <c r="AL1209" s="11" t="n"/>
      <c r="AM1209" s="11" t="n"/>
      <c r="AN1209" s="11" t="n"/>
      <c r="AO1209" s="11" t="n"/>
      <c r="AP1209" s="11" t="n"/>
      <c r="AQ1209" s="11" t="n"/>
      <c r="AR1209" s="11" t="n"/>
      <c r="AS1209" s="11" t="n"/>
      <c r="AT1209" s="11" t="n"/>
      <c r="AU1209" s="11" t="n"/>
      <c r="AV1209" s="11" t="n"/>
      <c r="AW1209" s="11">
        <f>AF1209&amp;"; "&amp;AG1209&amp;"; "&amp;AH1209&amp;"; "&amp;AI1209&amp;"; "&amp;AJ1209</f>
        <v/>
      </c>
    </row>
    <row r="1210">
      <c r="A1210" s="11" t="inlineStr">
        <is>
          <t>T0108-G11-BIO</t>
        </is>
      </c>
      <c r="B1210" s="11" t="n">
        <v>11</v>
      </c>
      <c r="C1210" s="11" t="inlineStr">
        <is>
          <t>Biología</t>
        </is>
      </c>
      <c r="D1210" s="11" t="inlineStr">
        <is>
          <t>Matriz_Bachillerato_Biologia_10_11.xlsx</t>
        </is>
      </c>
      <c r="E1210" s="11" t="inlineStr">
        <is>
          <t>Biología 11.°</t>
        </is>
      </c>
      <c r="F1210" s="11" t="n">
        <v>40</v>
      </c>
      <c r="G1210" s="11" t="inlineStr">
        <is>
          <t>3. Biotecnología vegetal y agroindustria</t>
        </is>
      </c>
      <c r="H1210" s="11" t="inlineStr">
        <is>
          <t>Desarrollo vegetal</t>
        </is>
      </c>
      <c r="I1210" s="38" t="inlineStr">
        <is>
          <t>3.11. Experimentación con los efectos de hormonas vegetales y fitorreguladores en el desarrollo de las plantas.</t>
        </is>
      </c>
      <c r="J1210" s="11" t="inlineStr">
        <is>
          <t>Sin marco</t>
        </is>
      </c>
      <c r="K1210" s="11" t="inlineStr">
        <is>
          <t>N/A</t>
        </is>
      </c>
      <c r="L1210" s="11" t="inlineStr"/>
      <c r="M1210" s="11">
        <f>IF(K1210="FUERA","Fuera del marco",IF(K1210="N/A","Sin marco",IFERROR(INDEX('Datos - Catálogo TIMSS'!$C$5:$C$107,MATCH(K1210,'Datos - Catálogo TIMSS'!$A$5:$A$107,0)),"Pendiente de clasificar")))</f>
        <v/>
      </c>
      <c r="N1210" s="11">
        <f>IF(K1210="FUERA","Fuera del marco",IF(K1210="N/A","Sin marco",IFERROR(INDEX('Datos - Catálogo TIMSS'!$F$5:$F$107,MATCH(K1210,'Datos - Catálogo TIMSS'!$A$5:$A$107,0)),"Pendiente de clasificar")))</f>
        <v/>
      </c>
      <c r="O1210" s="11">
        <f>IF(L1210="","",IFERROR(INDEX('Datos - Catálogo TIMSS'!$C$5:$C$107,MATCH(L1210,'Datos - Catálogo TIMSS'!$A$5:$A$107,0)),"?"))</f>
        <v/>
      </c>
      <c r="P1210" s="11" t="inlineStr">
        <is>
          <t>N/A</t>
        </is>
      </c>
      <c r="Q1210" s="38" t="inlineStr">
        <is>
          <t>Sin marco TIMSS de contenido para esta asignatura en Bachillerato</t>
        </is>
      </c>
      <c r="R1210" s="38" t="inlineStr">
        <is>
          <t>Aplicar: comparar tratamientos con control. Razonar: explicar efectos de fitorreguladores en el desarrollo</t>
        </is>
      </c>
      <c r="S1210" s="39">
        <f>IFERROR(ISNUMBER(SEARCH("Conocer",$R1210))/(ISNUMBER(SEARCH("Conocer",$R1210))+ISNUMBER(SEARCH("Aplicar",$R1210))+ISNUMBER(SEARCH("Razonar",$R1210))),0)</f>
        <v/>
      </c>
      <c r="T1210" s="39">
        <f>IFERROR(ISNUMBER(SEARCH("Aplicar",$R1210))/(ISNUMBER(SEARCH("Conocer",$R1210))+ISNUMBER(SEARCH("Aplicar",$R1210))+ISNUMBER(SEARCH("Razonar",$R1210))),0)</f>
        <v/>
      </c>
      <c r="U1210" s="39">
        <f>IFERROR(ISNUMBER(SEARCH("Razonar",$R1210))/(ISNUMBER(SEARCH("Conocer",$R1210))+ISNUMBER(SEARCH("Aplicar",$R1210))+ISNUMBER(SEARCH("Razonar",$R1210))),0)</f>
        <v/>
      </c>
      <c r="V1210" s="11" t="inlineStr">
        <is>
          <t>Biología 11°</t>
        </is>
      </c>
      <c r="W1210" s="11" t="inlineStr">
        <is>
          <t>Biología 10°–11°</t>
        </is>
      </c>
      <c r="X1210" s="11">
        <f>IF(OR(IFERROR(INDEX('Datos - Catálogo TIMSS'!$I$5:$I$107,MATCH(K1210,'Datos - Catálogo TIMSS'!$A$5:$A$107,0)),"No")="Sí",IFERROR(INDEX('Datos - Catálogo TIMSS'!$I$5:$I$107,MATCH(L1210,'Datos - Catálogo TIMSS'!$A$5:$A$107,0)),"No")="Sí"),1,0)</f>
        <v/>
      </c>
      <c r="Y1210" s="11">
        <f>IF(IFERROR(INDEX('Datos - Catálogo TIMSS'!$J$5:$J$107,MATCH(K1210,'Datos - Catálogo TIMSS'!$A$5:$A$107,0)),"No")="Sí",1,0)</f>
        <v/>
      </c>
      <c r="Z1210" s="11">
        <f>IF(IFERROR(INDEX('Datos - Catálogo TIMSS'!$J$5:$J$107,MATCH(L1210,'Datos - Catálogo TIMSS'!$A$5:$A$107,0)),"No")="Sí",1,0)</f>
        <v/>
      </c>
      <c r="AA1210" s="11" t="inlineStr">
        <is>
          <t>N/A</t>
        </is>
      </c>
      <c r="AB1210" s="11" t="inlineStr"/>
      <c r="AC1210" s="11">
        <f>IF(AA1210="FUERA","Fuera del marco",IF(AA1210="N/A","Sin marco",IFERROR(INDEX('Datos - TIMSS 2023'!$C$5:$C$105,MATCH(AA1210,'Datos - TIMSS 2023'!$A$5:$A$105,0)),"Pendiente de clasificar")))</f>
        <v/>
      </c>
      <c r="AD1210" s="11" t="inlineStr">
        <is>
          <t>2. Construir y evaluar diseños para la indagación científica e interpretar datos y evidencia de forma crítica</t>
        </is>
      </c>
      <c r="AE1210" s="11">
        <f>IF(AD1210="","",IF(LEFT(AD1210,1)="1","C1",IF(LEFT(AD1210,1)="2","C2",IF(LEFT(AD1210,1)="3","C3",""))))</f>
        <v/>
      </c>
      <c r="AF1210" s="11" t="inlineStr">
        <is>
          <t>E1</t>
        </is>
      </c>
      <c r="AG1210" s="11" t="inlineStr">
        <is>
          <t>E5</t>
        </is>
      </c>
      <c r="AH1210" s="11" t="inlineStr">
        <is>
          <t>E1</t>
        </is>
      </c>
      <c r="AI1210" s="11" t="inlineStr">
        <is>
          <t>D4</t>
        </is>
      </c>
      <c r="AJ1210" s="11" t="inlineStr">
        <is>
          <t>E6</t>
        </is>
      </c>
      <c r="AK1210" s="11" t="n"/>
      <c r="AL1210" s="11" t="n"/>
      <c r="AM1210" s="11" t="n"/>
      <c r="AN1210" s="11" t="n"/>
      <c r="AO1210" s="11" t="n"/>
      <c r="AP1210" s="11" t="n"/>
      <c r="AQ1210" s="11" t="n"/>
      <c r="AR1210" s="11" t="n"/>
      <c r="AS1210" s="11" t="n"/>
      <c r="AT1210" s="11" t="n"/>
      <c r="AU1210" s="11" t="n"/>
      <c r="AV1210" s="11" t="n"/>
      <c r="AW1210" s="11">
        <f>AF1210&amp;"; "&amp;AG1210&amp;"; "&amp;AH1210&amp;"; "&amp;AI1210&amp;"; "&amp;AJ1210</f>
        <v/>
      </c>
    </row>
    <row r="1211">
      <c r="A1211" s="11" t="inlineStr">
        <is>
          <t>T0109-G11-BIO</t>
        </is>
      </c>
      <c r="B1211" s="11" t="n">
        <v>11</v>
      </c>
      <c r="C1211" s="11" t="inlineStr">
        <is>
          <t>Biología</t>
        </is>
      </c>
      <c r="D1211" s="11" t="inlineStr">
        <is>
          <t>Matriz_Bachillerato_Biologia_10_11.xlsx</t>
        </is>
      </c>
      <c r="E1211" s="11" t="inlineStr">
        <is>
          <t>Biología 11.°</t>
        </is>
      </c>
      <c r="F1211" s="11" t="n">
        <v>41</v>
      </c>
      <c r="G1211" s="11" t="inlineStr">
        <is>
          <t>3. Biotecnología vegetal y agroindustria</t>
        </is>
      </c>
      <c r="H1211" s="11" t="inlineStr">
        <is>
          <t>Desarrollo vegetal</t>
        </is>
      </c>
      <c r="I1211" s="38" t="inlineStr">
        <is>
          <t>3.12. Reconocimiento de los efectos del fotoperíodo en plantas.</t>
        </is>
      </c>
      <c r="J1211" s="11" t="inlineStr">
        <is>
          <t>Sin marco</t>
        </is>
      </c>
      <c r="K1211" s="11" t="inlineStr">
        <is>
          <t>N/A</t>
        </is>
      </c>
      <c r="L1211" s="11" t="inlineStr"/>
      <c r="M1211" s="11">
        <f>IF(K1211="FUERA","Fuera del marco",IF(K1211="N/A","Sin marco",IFERROR(INDEX('Datos - Catálogo TIMSS'!$C$5:$C$107,MATCH(K1211,'Datos - Catálogo TIMSS'!$A$5:$A$107,0)),"Pendiente de clasificar")))</f>
        <v/>
      </c>
      <c r="N1211" s="11">
        <f>IF(K1211="FUERA","Fuera del marco",IF(K1211="N/A","Sin marco",IFERROR(INDEX('Datos - Catálogo TIMSS'!$F$5:$F$107,MATCH(K1211,'Datos - Catálogo TIMSS'!$A$5:$A$107,0)),"Pendiente de clasificar")))</f>
        <v/>
      </c>
      <c r="O1211" s="11">
        <f>IF(L1211="","",IFERROR(INDEX('Datos - Catálogo TIMSS'!$C$5:$C$107,MATCH(L1211,'Datos - Catálogo TIMSS'!$A$5:$A$107,0)),"?"))</f>
        <v/>
      </c>
      <c r="P1211" s="11" t="inlineStr">
        <is>
          <t>N/A</t>
        </is>
      </c>
      <c r="Q1211" s="38" t="inlineStr">
        <is>
          <t>Sin marco TIMSS de contenido para esta asignatura en Bachillerato</t>
        </is>
      </c>
      <c r="R1211" s="38" t="inlineStr">
        <is>
          <t>Aplicar: graficar la duración del día. Razonar: explicar la floración según el fotoperíodo</t>
        </is>
      </c>
      <c r="S1211" s="39">
        <f>IFERROR(ISNUMBER(SEARCH("Conocer",$R1211))/(ISNUMBER(SEARCH("Conocer",$R1211))+ISNUMBER(SEARCH("Aplicar",$R1211))+ISNUMBER(SEARCH("Razonar",$R1211))),0)</f>
        <v/>
      </c>
      <c r="T1211" s="39">
        <f>IFERROR(ISNUMBER(SEARCH("Aplicar",$R1211))/(ISNUMBER(SEARCH("Conocer",$R1211))+ISNUMBER(SEARCH("Aplicar",$R1211))+ISNUMBER(SEARCH("Razonar",$R1211))),0)</f>
        <v/>
      </c>
      <c r="U1211" s="39">
        <f>IFERROR(ISNUMBER(SEARCH("Razonar",$R1211))/(ISNUMBER(SEARCH("Conocer",$R1211))+ISNUMBER(SEARCH("Aplicar",$R1211))+ISNUMBER(SEARCH("Razonar",$R1211))),0)</f>
        <v/>
      </c>
      <c r="V1211" s="11" t="inlineStr">
        <is>
          <t>Biología 11°</t>
        </is>
      </c>
      <c r="W1211" s="11" t="inlineStr">
        <is>
          <t>Biología 10°–11°</t>
        </is>
      </c>
      <c r="X1211" s="11">
        <f>IF(OR(IFERROR(INDEX('Datos - Catálogo TIMSS'!$I$5:$I$107,MATCH(K1211,'Datos - Catálogo TIMSS'!$A$5:$A$107,0)),"No")="Sí",IFERROR(INDEX('Datos - Catálogo TIMSS'!$I$5:$I$107,MATCH(L1211,'Datos - Catálogo TIMSS'!$A$5:$A$107,0)),"No")="Sí"),1,0)</f>
        <v/>
      </c>
      <c r="Y1211" s="11">
        <f>IF(IFERROR(INDEX('Datos - Catálogo TIMSS'!$J$5:$J$107,MATCH(K1211,'Datos - Catálogo TIMSS'!$A$5:$A$107,0)),"No")="Sí",1,0)</f>
        <v/>
      </c>
      <c r="Z1211" s="11">
        <f>IF(IFERROR(INDEX('Datos - Catálogo TIMSS'!$J$5:$J$107,MATCH(L1211,'Datos - Catálogo TIMSS'!$A$5:$A$107,0)),"No")="Sí",1,0)</f>
        <v/>
      </c>
      <c r="AA1211" s="11" t="inlineStr">
        <is>
          <t>N/A</t>
        </is>
      </c>
      <c r="AB1211" s="11" t="inlineStr"/>
      <c r="AC1211" s="11">
        <f>IF(AA1211="FUERA","Fuera del marco",IF(AA1211="N/A","Sin marco",IFERROR(INDEX('Datos - TIMSS 2023'!$C$5:$C$105,MATCH(AA1211,'Datos - TIMSS 2023'!$A$5:$A$105,0)),"Pendiente de clasificar")))</f>
        <v/>
      </c>
      <c r="AD1211" s="11" t="inlineStr">
        <is>
          <t>1. Explicar fenómenos científicamente</t>
        </is>
      </c>
      <c r="AE1211" s="11">
        <f>IF(AD1211="","",IF(LEFT(AD1211,1)="1","C1",IF(LEFT(AD1211,1)="2","C2",IF(LEFT(AD1211,1)="3","C3",""))))</f>
        <v/>
      </c>
      <c r="AF1211" s="11" t="inlineStr">
        <is>
          <t>E1</t>
        </is>
      </c>
      <c r="AG1211" s="11" t="inlineStr">
        <is>
          <t>E3</t>
        </is>
      </c>
      <c r="AH1211" s="11" t="inlineStr">
        <is>
          <t>E2</t>
        </is>
      </c>
      <c r="AI1211" s="11" t="inlineStr">
        <is>
          <t>I3</t>
        </is>
      </c>
      <c r="AJ1211" s="11" t="inlineStr">
        <is>
          <t>E6</t>
        </is>
      </c>
      <c r="AK1211" s="11" t="n"/>
      <c r="AL1211" s="11" t="n"/>
      <c r="AM1211" s="11" t="n"/>
      <c r="AN1211" s="11" t="n"/>
      <c r="AO1211" s="11" t="n"/>
      <c r="AP1211" s="11" t="n"/>
      <c r="AQ1211" s="11" t="n"/>
      <c r="AR1211" s="11" t="n"/>
      <c r="AS1211" s="11" t="n"/>
      <c r="AT1211" s="11" t="n"/>
      <c r="AU1211" s="11" t="n"/>
      <c r="AV1211" s="11" t="n"/>
      <c r="AW1211" s="11">
        <f>AF1211&amp;"; "&amp;AG1211&amp;"; "&amp;AH1211&amp;"; "&amp;AI1211&amp;"; "&amp;AJ1211</f>
        <v/>
      </c>
    </row>
    <row r="1212">
      <c r="A1212" s="11" t="inlineStr">
        <is>
          <t>T0110-G11-BIO</t>
        </is>
      </c>
      <c r="B1212" s="11" t="n">
        <v>11</v>
      </c>
      <c r="C1212" s="11" t="inlineStr">
        <is>
          <t>Biología</t>
        </is>
      </c>
      <c r="D1212" s="11" t="inlineStr">
        <is>
          <t>Matriz_Bachillerato_Biologia_10_11.xlsx</t>
        </is>
      </c>
      <c r="E1212" s="11" t="inlineStr">
        <is>
          <t>Biología 11.°</t>
        </is>
      </c>
      <c r="F1212" s="11" t="n">
        <v>42</v>
      </c>
      <c r="G1212" s="11" t="inlineStr">
        <is>
          <t>3. Biotecnología vegetal y agroindustria</t>
        </is>
      </c>
      <c r="H1212" s="11" t="inlineStr">
        <is>
          <t>Cultivo in vitro de plantas</t>
        </is>
      </c>
      <c r="I1212" s="38" t="inlineStr">
        <is>
          <t>3.13. Preparación de las condiciones para un cultivo in vitro de plantas.</t>
        </is>
      </c>
      <c r="J1212" s="11" t="inlineStr">
        <is>
          <t>Sin marco</t>
        </is>
      </c>
      <c r="K1212" s="11" t="inlineStr">
        <is>
          <t>N/A</t>
        </is>
      </c>
      <c r="L1212" s="11" t="inlineStr"/>
      <c r="M1212" s="11">
        <f>IF(K1212="FUERA","Fuera del marco",IF(K1212="N/A","Sin marco",IFERROR(INDEX('Datos - Catálogo TIMSS'!$C$5:$C$107,MATCH(K1212,'Datos - Catálogo TIMSS'!$A$5:$A$107,0)),"Pendiente de clasificar")))</f>
        <v/>
      </c>
      <c r="N1212" s="11">
        <f>IF(K1212="FUERA","Fuera del marco",IF(K1212="N/A","Sin marco",IFERROR(INDEX('Datos - Catálogo TIMSS'!$F$5:$F$107,MATCH(K1212,'Datos - Catálogo TIMSS'!$A$5:$A$107,0)),"Pendiente de clasificar")))</f>
        <v/>
      </c>
      <c r="O1212" s="11">
        <f>IF(L1212="","",IFERROR(INDEX('Datos - Catálogo TIMSS'!$C$5:$C$107,MATCH(L1212,'Datos - Catálogo TIMSS'!$A$5:$A$107,0)),"?"))</f>
        <v/>
      </c>
      <c r="P1212" s="11" t="inlineStr">
        <is>
          <t>N/A</t>
        </is>
      </c>
      <c r="Q1212" s="38" t="inlineStr">
        <is>
          <t>Sin marco TIMSS de contenido para esta asignatura en Bachillerato</t>
        </is>
      </c>
      <c r="R1212" s="38" t="inlineStr">
        <is>
          <t>Conocer: identificar condiciones de un cultivo in vitro. Razonar: generalizar los requisitos de asepsia y nutrición</t>
        </is>
      </c>
      <c r="S1212" s="39">
        <f>IFERROR(ISNUMBER(SEARCH("Conocer",$R1212))/(ISNUMBER(SEARCH("Conocer",$R1212))+ISNUMBER(SEARCH("Aplicar",$R1212))+ISNUMBER(SEARCH("Razonar",$R1212))),0)</f>
        <v/>
      </c>
      <c r="T1212" s="39">
        <f>IFERROR(ISNUMBER(SEARCH("Aplicar",$R1212))/(ISNUMBER(SEARCH("Conocer",$R1212))+ISNUMBER(SEARCH("Aplicar",$R1212))+ISNUMBER(SEARCH("Razonar",$R1212))),0)</f>
        <v/>
      </c>
      <c r="U1212" s="39">
        <f>IFERROR(ISNUMBER(SEARCH("Razonar",$R1212))/(ISNUMBER(SEARCH("Conocer",$R1212))+ISNUMBER(SEARCH("Aplicar",$R1212))+ISNUMBER(SEARCH("Razonar",$R1212))),0)</f>
        <v/>
      </c>
      <c r="V1212" s="11" t="inlineStr">
        <is>
          <t>Biología 11°</t>
        </is>
      </c>
      <c r="W1212" s="11" t="inlineStr">
        <is>
          <t>Biología 10°–11°</t>
        </is>
      </c>
      <c r="X1212" s="11">
        <f>IF(OR(IFERROR(INDEX('Datos - Catálogo TIMSS'!$I$5:$I$107,MATCH(K1212,'Datos - Catálogo TIMSS'!$A$5:$A$107,0)),"No")="Sí",IFERROR(INDEX('Datos - Catálogo TIMSS'!$I$5:$I$107,MATCH(L1212,'Datos - Catálogo TIMSS'!$A$5:$A$107,0)),"No")="Sí"),1,0)</f>
        <v/>
      </c>
      <c r="Y1212" s="11">
        <f>IF(IFERROR(INDEX('Datos - Catálogo TIMSS'!$J$5:$J$107,MATCH(K1212,'Datos - Catálogo TIMSS'!$A$5:$A$107,0)),"No")="Sí",1,0)</f>
        <v/>
      </c>
      <c r="Z1212" s="11">
        <f>IF(IFERROR(INDEX('Datos - Catálogo TIMSS'!$J$5:$J$107,MATCH(L1212,'Datos - Catálogo TIMSS'!$A$5:$A$107,0)),"No")="Sí",1,0)</f>
        <v/>
      </c>
      <c r="AA1212" s="11" t="inlineStr">
        <is>
          <t>N/A</t>
        </is>
      </c>
      <c r="AB1212" s="11" t="inlineStr"/>
      <c r="AC1212" s="11">
        <f>IF(AA1212="FUERA","Fuera del marco",IF(AA1212="N/A","Sin marco",IFERROR(INDEX('Datos - TIMSS 2023'!$C$5:$C$105,MATCH(AA1212,'Datos - TIMSS 2023'!$A$5:$A$105,0)),"Pendiente de clasificar")))</f>
        <v/>
      </c>
      <c r="AD1212" s="11" t="inlineStr">
        <is>
          <t>1. Explicar fenómenos científicamente</t>
        </is>
      </c>
      <c r="AE1212" s="11">
        <f>IF(AD1212="","",IF(LEFT(AD1212,1)="1","C1",IF(LEFT(AD1212,1)="2","C2",IF(LEFT(AD1212,1)="3","C3",""))))</f>
        <v/>
      </c>
      <c r="AF1212" s="11" t="inlineStr">
        <is>
          <t>E1</t>
        </is>
      </c>
      <c r="AG1212" s="11" t="inlineStr">
        <is>
          <t>E3</t>
        </is>
      </c>
      <c r="AH1212" s="11" t="inlineStr">
        <is>
          <t>E1</t>
        </is>
      </c>
      <c r="AI1212" s="11" t="inlineStr">
        <is>
          <t>D3</t>
        </is>
      </c>
      <c r="AJ1212" s="11" t="inlineStr">
        <is>
          <t>E6</t>
        </is>
      </c>
      <c r="AK1212" s="11" t="n"/>
      <c r="AL1212" s="11" t="n"/>
      <c r="AM1212" s="11" t="n"/>
      <c r="AN1212" s="11" t="n"/>
      <c r="AO1212" s="11" t="n"/>
      <c r="AP1212" s="11" t="n"/>
      <c r="AQ1212" s="11" t="n"/>
      <c r="AR1212" s="11" t="n"/>
      <c r="AS1212" s="11" t="n"/>
      <c r="AT1212" s="11" t="n"/>
      <c r="AU1212" s="11" t="n"/>
      <c r="AV1212" s="11" t="n"/>
      <c r="AW1212" s="11">
        <f>AF1212&amp;"; "&amp;AG1212&amp;"; "&amp;AH1212&amp;"; "&amp;AI1212&amp;"; "&amp;AJ1212</f>
        <v/>
      </c>
    </row>
    <row r="1213">
      <c r="A1213" s="11" t="inlineStr">
        <is>
          <t>T0111-G11-BIO</t>
        </is>
      </c>
      <c r="B1213" s="11" t="n">
        <v>11</v>
      </c>
      <c r="C1213" s="11" t="inlineStr">
        <is>
          <t>Biología</t>
        </is>
      </c>
      <c r="D1213" s="11" t="inlineStr">
        <is>
          <t>Matriz_Bachillerato_Biologia_10_11.xlsx</t>
        </is>
      </c>
      <c r="E1213" s="11" t="inlineStr">
        <is>
          <t>Biología 11.°</t>
        </is>
      </c>
      <c r="F1213" s="11" t="n">
        <v>43</v>
      </c>
      <c r="G1213" s="11" t="inlineStr">
        <is>
          <t>3. Biotecnología vegetal y agroindustria</t>
        </is>
      </c>
      <c r="H1213" s="11" t="inlineStr">
        <is>
          <t>Cultivo in vitro de plantas</t>
        </is>
      </c>
      <c r="I1213" s="38" t="inlineStr">
        <is>
          <t>3.14. Experimentación con métodos caseros de cultivo in vitro de plantas.</t>
        </is>
      </c>
      <c r="J1213" s="11" t="inlineStr">
        <is>
          <t>Sin marco</t>
        </is>
      </c>
      <c r="K1213" s="11" t="inlineStr">
        <is>
          <t>N/A</t>
        </is>
      </c>
      <c r="L1213" s="11" t="inlineStr"/>
      <c r="M1213" s="11">
        <f>IF(K1213="FUERA","Fuera del marco",IF(K1213="N/A","Sin marco",IFERROR(INDEX('Datos - Catálogo TIMSS'!$C$5:$C$107,MATCH(K1213,'Datos - Catálogo TIMSS'!$A$5:$A$107,0)),"Pendiente de clasificar")))</f>
        <v/>
      </c>
      <c r="N1213" s="11">
        <f>IF(K1213="FUERA","Fuera del marco",IF(K1213="N/A","Sin marco",IFERROR(INDEX('Datos - Catálogo TIMSS'!$F$5:$F$107,MATCH(K1213,'Datos - Catálogo TIMSS'!$A$5:$A$107,0)),"Pendiente de clasificar")))</f>
        <v/>
      </c>
      <c r="O1213" s="11">
        <f>IF(L1213="","",IFERROR(INDEX('Datos - Catálogo TIMSS'!$C$5:$C$107,MATCH(L1213,'Datos - Catálogo TIMSS'!$A$5:$A$107,0)),"?"))</f>
        <v/>
      </c>
      <c r="P1213" s="11" t="inlineStr">
        <is>
          <t>N/A</t>
        </is>
      </c>
      <c r="Q1213" s="38" t="inlineStr">
        <is>
          <t>Sin marco TIMSS de contenido para esta asignatura en Bachillerato</t>
        </is>
      </c>
      <c r="R1213" s="38" t="inlineStr">
        <is>
          <t>Aplicar: ejecutar un método casero de cultivo in vitro. Razonar: evaluar la contaminación de los frascos</t>
        </is>
      </c>
      <c r="S1213" s="39">
        <f>IFERROR(ISNUMBER(SEARCH("Conocer",$R1213))/(ISNUMBER(SEARCH("Conocer",$R1213))+ISNUMBER(SEARCH("Aplicar",$R1213))+ISNUMBER(SEARCH("Razonar",$R1213))),0)</f>
        <v/>
      </c>
      <c r="T1213" s="39">
        <f>IFERROR(ISNUMBER(SEARCH("Aplicar",$R1213))/(ISNUMBER(SEARCH("Conocer",$R1213))+ISNUMBER(SEARCH("Aplicar",$R1213))+ISNUMBER(SEARCH("Razonar",$R1213))),0)</f>
        <v/>
      </c>
      <c r="U1213" s="39">
        <f>IFERROR(ISNUMBER(SEARCH("Razonar",$R1213))/(ISNUMBER(SEARCH("Conocer",$R1213))+ISNUMBER(SEARCH("Aplicar",$R1213))+ISNUMBER(SEARCH("Razonar",$R1213))),0)</f>
        <v/>
      </c>
      <c r="V1213" s="11" t="inlineStr">
        <is>
          <t>Biología 11°</t>
        </is>
      </c>
      <c r="W1213" s="11" t="inlineStr">
        <is>
          <t>Biología 10°–11°</t>
        </is>
      </c>
      <c r="X1213" s="11">
        <f>IF(OR(IFERROR(INDEX('Datos - Catálogo TIMSS'!$I$5:$I$107,MATCH(K1213,'Datos - Catálogo TIMSS'!$A$5:$A$107,0)),"No")="Sí",IFERROR(INDEX('Datos - Catálogo TIMSS'!$I$5:$I$107,MATCH(L1213,'Datos - Catálogo TIMSS'!$A$5:$A$107,0)),"No")="Sí"),1,0)</f>
        <v/>
      </c>
      <c r="Y1213" s="11">
        <f>IF(IFERROR(INDEX('Datos - Catálogo TIMSS'!$J$5:$J$107,MATCH(K1213,'Datos - Catálogo TIMSS'!$A$5:$A$107,0)),"No")="Sí",1,0)</f>
        <v/>
      </c>
      <c r="Z1213" s="11">
        <f>IF(IFERROR(INDEX('Datos - Catálogo TIMSS'!$J$5:$J$107,MATCH(L1213,'Datos - Catálogo TIMSS'!$A$5:$A$107,0)),"No")="Sí",1,0)</f>
        <v/>
      </c>
      <c r="AA1213" s="11" t="inlineStr">
        <is>
          <t>N/A</t>
        </is>
      </c>
      <c r="AB1213" s="11" t="inlineStr"/>
      <c r="AC1213" s="11">
        <f>IF(AA1213="FUERA","Fuera del marco",IF(AA1213="N/A","Sin marco",IFERROR(INDEX('Datos - TIMSS 2023'!$C$5:$C$105,MATCH(AA1213,'Datos - TIMSS 2023'!$A$5:$A$105,0)),"Pendiente de clasificar")))</f>
        <v/>
      </c>
      <c r="AD1213" s="11" t="inlineStr">
        <is>
          <t>2. Construir y evaluar diseños para la indagación científica e interpretar datos y evidencia de forma crítica</t>
        </is>
      </c>
      <c r="AE1213" s="11">
        <f>IF(AD1213="","",IF(LEFT(AD1213,1)="1","C1",IF(LEFT(AD1213,1)="2","C2",IF(LEFT(AD1213,1)="3","C3",""))))</f>
        <v/>
      </c>
      <c r="AF1213" s="11" t="inlineStr">
        <is>
          <t>E1</t>
        </is>
      </c>
      <c r="AG1213" s="11" t="inlineStr">
        <is>
          <t>D1</t>
        </is>
      </c>
      <c r="AH1213" s="11" t="inlineStr">
        <is>
          <t>E2</t>
        </is>
      </c>
      <c r="AI1213" s="11" t="inlineStr">
        <is>
          <t>D2</t>
        </is>
      </c>
      <c r="AJ1213" s="11" t="inlineStr">
        <is>
          <t>D3</t>
        </is>
      </c>
      <c r="AK1213" s="11" t="n"/>
      <c r="AL1213" s="11" t="n"/>
      <c r="AM1213" s="11" t="n"/>
      <c r="AN1213" s="11" t="n"/>
      <c r="AO1213" s="11" t="n"/>
      <c r="AP1213" s="11" t="n"/>
      <c r="AQ1213" s="11" t="n"/>
      <c r="AR1213" s="11" t="n"/>
      <c r="AS1213" s="11" t="n"/>
      <c r="AT1213" s="11" t="n"/>
      <c r="AU1213" s="11" t="n"/>
      <c r="AV1213" s="11" t="n"/>
      <c r="AW1213" s="11">
        <f>AF1213&amp;"; "&amp;AG1213&amp;"; "&amp;AH1213&amp;"; "&amp;AI1213&amp;"; "&amp;AJ1213</f>
        <v/>
      </c>
    </row>
    <row r="1214">
      <c r="A1214" s="11" t="inlineStr">
        <is>
          <t>T0112-G11-BIO</t>
        </is>
      </c>
      <c r="B1214" s="11" t="n">
        <v>11</v>
      </c>
      <c r="C1214" s="11" t="inlineStr">
        <is>
          <t>Biología</t>
        </is>
      </c>
      <c r="D1214" s="11" t="inlineStr">
        <is>
          <t>Matriz_Bachillerato_Biologia_10_11.xlsx</t>
        </is>
      </c>
      <c r="E1214" s="11" t="inlineStr">
        <is>
          <t>Biología 11.°</t>
        </is>
      </c>
      <c r="F1214" s="11" t="n">
        <v>44</v>
      </c>
      <c r="G1214" s="11" t="inlineStr">
        <is>
          <t>3. Biotecnología vegetal y agroindustria</t>
        </is>
      </c>
      <c r="H1214" s="11" t="inlineStr">
        <is>
          <t>Cultivo in vitro de plantas</t>
        </is>
      </c>
      <c r="I1214" s="38" t="inlineStr">
        <is>
          <t>3.15. Caracterización de los métodos para regeneración in vitro de plantas.</t>
        </is>
      </c>
      <c r="J1214" s="11" t="inlineStr">
        <is>
          <t>Sin marco</t>
        </is>
      </c>
      <c r="K1214" s="11" t="inlineStr">
        <is>
          <t>N/A</t>
        </is>
      </c>
      <c r="L1214" s="11" t="inlineStr"/>
      <c r="M1214" s="11">
        <f>IF(K1214="FUERA","Fuera del marco",IF(K1214="N/A","Sin marco",IFERROR(INDEX('Datos - Catálogo TIMSS'!$C$5:$C$107,MATCH(K1214,'Datos - Catálogo TIMSS'!$A$5:$A$107,0)),"Pendiente de clasificar")))</f>
        <v/>
      </c>
      <c r="N1214" s="11">
        <f>IF(K1214="FUERA","Fuera del marco",IF(K1214="N/A","Sin marco",IFERROR(INDEX('Datos - Catálogo TIMSS'!$F$5:$F$107,MATCH(K1214,'Datos - Catálogo TIMSS'!$A$5:$A$107,0)),"Pendiente de clasificar")))</f>
        <v/>
      </c>
      <c r="O1214" s="11">
        <f>IF(L1214="","",IFERROR(INDEX('Datos - Catálogo TIMSS'!$C$5:$C$107,MATCH(L1214,'Datos - Catálogo TIMSS'!$A$5:$A$107,0)),"?"))</f>
        <v/>
      </c>
      <c r="P1214" s="11" t="inlineStr">
        <is>
          <t>N/A</t>
        </is>
      </c>
      <c r="Q1214" s="38" t="inlineStr">
        <is>
          <t>Sin marco TIMSS de contenido para esta asignatura en Bachillerato</t>
        </is>
      </c>
      <c r="R1214" s="38" t="inlineStr">
        <is>
          <t>Conocer: caracterizar métodos de regeneración. Aplicar: calcular tasas de multiplicación</t>
        </is>
      </c>
      <c r="S1214" s="39">
        <f>IFERROR(ISNUMBER(SEARCH("Conocer",$R1214))/(ISNUMBER(SEARCH("Conocer",$R1214))+ISNUMBER(SEARCH("Aplicar",$R1214))+ISNUMBER(SEARCH("Razonar",$R1214))),0)</f>
        <v/>
      </c>
      <c r="T1214" s="39">
        <f>IFERROR(ISNUMBER(SEARCH("Aplicar",$R1214))/(ISNUMBER(SEARCH("Conocer",$R1214))+ISNUMBER(SEARCH("Aplicar",$R1214))+ISNUMBER(SEARCH("Razonar",$R1214))),0)</f>
        <v/>
      </c>
      <c r="U1214" s="39">
        <f>IFERROR(ISNUMBER(SEARCH("Razonar",$R1214))/(ISNUMBER(SEARCH("Conocer",$R1214))+ISNUMBER(SEARCH("Aplicar",$R1214))+ISNUMBER(SEARCH("Razonar",$R1214))),0)</f>
        <v/>
      </c>
      <c r="V1214" s="11" t="inlineStr">
        <is>
          <t>Biología 11°</t>
        </is>
      </c>
      <c r="W1214" s="11" t="inlineStr">
        <is>
          <t>Biología 10°–11°</t>
        </is>
      </c>
      <c r="X1214" s="11">
        <f>IF(OR(IFERROR(INDEX('Datos - Catálogo TIMSS'!$I$5:$I$107,MATCH(K1214,'Datos - Catálogo TIMSS'!$A$5:$A$107,0)),"No")="Sí",IFERROR(INDEX('Datos - Catálogo TIMSS'!$I$5:$I$107,MATCH(L1214,'Datos - Catálogo TIMSS'!$A$5:$A$107,0)),"No")="Sí"),1,0)</f>
        <v/>
      </c>
      <c r="Y1214" s="11">
        <f>IF(IFERROR(INDEX('Datos - Catálogo TIMSS'!$J$5:$J$107,MATCH(K1214,'Datos - Catálogo TIMSS'!$A$5:$A$107,0)),"No")="Sí",1,0)</f>
        <v/>
      </c>
      <c r="Z1214" s="11">
        <f>IF(IFERROR(INDEX('Datos - Catálogo TIMSS'!$J$5:$J$107,MATCH(L1214,'Datos - Catálogo TIMSS'!$A$5:$A$107,0)),"No")="Sí",1,0)</f>
        <v/>
      </c>
      <c r="AA1214" s="11" t="inlineStr">
        <is>
          <t>N/A</t>
        </is>
      </c>
      <c r="AB1214" s="11" t="inlineStr"/>
      <c r="AC1214" s="11">
        <f>IF(AA1214="FUERA","Fuera del marco",IF(AA1214="N/A","Sin marco",IFERROR(INDEX('Datos - TIMSS 2023'!$C$5:$C$105,MATCH(AA1214,'Datos - TIMSS 2023'!$A$5:$A$105,0)),"Pendiente de clasificar")))</f>
        <v/>
      </c>
      <c r="AD1214" s="11" t="inlineStr">
        <is>
          <t>1. Explicar fenómenos científicamente</t>
        </is>
      </c>
      <c r="AE1214" s="11">
        <f>IF(AD1214="","",IF(LEFT(AD1214,1)="1","C1",IF(LEFT(AD1214,1)="2","C2",IF(LEFT(AD1214,1)="3","C3",""))))</f>
        <v/>
      </c>
      <c r="AF1214" s="11" t="inlineStr">
        <is>
          <t>E1</t>
        </is>
      </c>
      <c r="AG1214" s="11" t="inlineStr">
        <is>
          <t>E3</t>
        </is>
      </c>
      <c r="AH1214" s="11" t="inlineStr">
        <is>
          <t>E2</t>
        </is>
      </c>
      <c r="AI1214" s="11" t="inlineStr">
        <is>
          <t>D4</t>
        </is>
      </c>
      <c r="AJ1214" s="11" t="inlineStr">
        <is>
          <t>E6</t>
        </is>
      </c>
      <c r="AK1214" s="11" t="n"/>
      <c r="AL1214" s="11" t="n"/>
      <c r="AM1214" s="11" t="n"/>
      <c r="AN1214" s="11" t="n"/>
      <c r="AO1214" s="11" t="n"/>
      <c r="AP1214" s="11" t="n"/>
      <c r="AQ1214" s="11" t="n"/>
      <c r="AR1214" s="11" t="n"/>
      <c r="AS1214" s="11" t="n"/>
      <c r="AT1214" s="11" t="n"/>
      <c r="AU1214" s="11" t="n"/>
      <c r="AV1214" s="11" t="n"/>
      <c r="AW1214" s="11">
        <f>AF1214&amp;"; "&amp;AG1214&amp;"; "&amp;AH1214&amp;"; "&amp;AI1214&amp;"; "&amp;AJ1214</f>
        <v/>
      </c>
    </row>
    <row r="1215">
      <c r="A1215" s="11" t="inlineStr">
        <is>
          <t>T0113-G11-BIO</t>
        </is>
      </c>
      <c r="B1215" s="11" t="n">
        <v>11</v>
      </c>
      <c r="C1215" s="11" t="inlineStr">
        <is>
          <t>Biología</t>
        </is>
      </c>
      <c r="D1215" s="11" t="inlineStr">
        <is>
          <t>Matriz_Bachillerato_Biologia_10_11.xlsx</t>
        </is>
      </c>
      <c r="E1215" s="11" t="inlineStr">
        <is>
          <t>Biología 11.°</t>
        </is>
      </c>
      <c r="F1215" s="11" t="n">
        <v>45</v>
      </c>
      <c r="G1215" s="11" t="inlineStr">
        <is>
          <t>3. Biotecnología vegetal y agroindustria</t>
        </is>
      </c>
      <c r="H1215" s="11" t="inlineStr">
        <is>
          <t>Manejo de germoplasma</t>
        </is>
      </c>
      <c r="I1215" s="38" t="inlineStr">
        <is>
          <t>3.16. Indagación de la importancia de la conservación del germoplasma.</t>
        </is>
      </c>
      <c r="J1215" s="11" t="inlineStr">
        <is>
          <t>Sin marco</t>
        </is>
      </c>
      <c r="K1215" s="11" t="inlineStr">
        <is>
          <t>N/A</t>
        </is>
      </c>
      <c r="L1215" s="11" t="inlineStr"/>
      <c r="M1215" s="11">
        <f>IF(K1215="FUERA","Fuera del marco",IF(K1215="N/A","Sin marco",IFERROR(INDEX('Datos - Catálogo TIMSS'!$C$5:$C$107,MATCH(K1215,'Datos - Catálogo TIMSS'!$A$5:$A$107,0)),"Pendiente de clasificar")))</f>
        <v/>
      </c>
      <c r="N1215" s="11">
        <f>IF(K1215="FUERA","Fuera del marco",IF(K1215="N/A","Sin marco",IFERROR(INDEX('Datos - Catálogo TIMSS'!$F$5:$F$107,MATCH(K1215,'Datos - Catálogo TIMSS'!$A$5:$A$107,0)),"Pendiente de clasificar")))</f>
        <v/>
      </c>
      <c r="O1215" s="11">
        <f>IF(L1215="","",IFERROR(INDEX('Datos - Catálogo TIMSS'!$C$5:$C$107,MATCH(L1215,'Datos - Catálogo TIMSS'!$A$5:$A$107,0)),"?"))</f>
        <v/>
      </c>
      <c r="P1215" s="11" t="inlineStr">
        <is>
          <t>N/A</t>
        </is>
      </c>
      <c r="Q1215" s="38" t="inlineStr">
        <is>
          <t>Sin marco TIMSS de contenido para esta asignatura en Bachillerato</t>
        </is>
      </c>
      <c r="R1215" s="38" t="inlineStr">
        <is>
          <t>Conocer: definir germoplasma. Razonar: justificar su conservación</t>
        </is>
      </c>
      <c r="S1215" s="39">
        <f>IFERROR(ISNUMBER(SEARCH("Conocer",$R1215))/(ISNUMBER(SEARCH("Conocer",$R1215))+ISNUMBER(SEARCH("Aplicar",$R1215))+ISNUMBER(SEARCH("Razonar",$R1215))),0)</f>
        <v/>
      </c>
      <c r="T1215" s="39">
        <f>IFERROR(ISNUMBER(SEARCH("Aplicar",$R1215))/(ISNUMBER(SEARCH("Conocer",$R1215))+ISNUMBER(SEARCH("Aplicar",$R1215))+ISNUMBER(SEARCH("Razonar",$R1215))),0)</f>
        <v/>
      </c>
      <c r="U1215" s="39">
        <f>IFERROR(ISNUMBER(SEARCH("Razonar",$R1215))/(ISNUMBER(SEARCH("Conocer",$R1215))+ISNUMBER(SEARCH("Aplicar",$R1215))+ISNUMBER(SEARCH("Razonar",$R1215))),0)</f>
        <v/>
      </c>
      <c r="V1215" s="11" t="inlineStr">
        <is>
          <t>Biología 11°</t>
        </is>
      </c>
      <c r="W1215" s="11" t="inlineStr">
        <is>
          <t>Biología 10°–11°</t>
        </is>
      </c>
      <c r="X1215" s="11">
        <f>IF(OR(IFERROR(INDEX('Datos - Catálogo TIMSS'!$I$5:$I$107,MATCH(K1215,'Datos - Catálogo TIMSS'!$A$5:$A$107,0)),"No")="Sí",IFERROR(INDEX('Datos - Catálogo TIMSS'!$I$5:$I$107,MATCH(L1215,'Datos - Catálogo TIMSS'!$A$5:$A$107,0)),"No")="Sí"),1,0)</f>
        <v/>
      </c>
      <c r="Y1215" s="11">
        <f>IF(IFERROR(INDEX('Datos - Catálogo TIMSS'!$J$5:$J$107,MATCH(K1215,'Datos - Catálogo TIMSS'!$A$5:$A$107,0)),"No")="Sí",1,0)</f>
        <v/>
      </c>
      <c r="Z1215" s="11">
        <f>IF(IFERROR(INDEX('Datos - Catálogo TIMSS'!$J$5:$J$107,MATCH(L1215,'Datos - Catálogo TIMSS'!$A$5:$A$107,0)),"No")="Sí",1,0)</f>
        <v/>
      </c>
      <c r="AA1215" s="11" t="inlineStr">
        <is>
          <t>N/A</t>
        </is>
      </c>
      <c r="AB1215" s="11" t="inlineStr"/>
      <c r="AC1215" s="11">
        <f>IF(AA1215="FUERA","Fuera del marco",IF(AA1215="N/A","Sin marco",IFERROR(INDEX('Datos - TIMSS 2023'!$C$5:$C$105,MATCH(AA1215,'Datos - TIMSS 2023'!$A$5:$A$105,0)),"Pendiente de clasificar")))</f>
        <v/>
      </c>
      <c r="AD1215" s="11" t="inlineStr">
        <is>
          <t>3. Investigar, evaluar y usar información científica para tomar decisiones y actuar</t>
        </is>
      </c>
      <c r="AE1215" s="11">
        <f>IF(AD1215="","",IF(LEFT(AD1215,1)="1","C1",IF(LEFT(AD1215,1)="2","C2",IF(LEFT(AD1215,1)="3","C3",""))))</f>
        <v/>
      </c>
      <c r="AF1215" s="11" t="inlineStr">
        <is>
          <t>E6</t>
        </is>
      </c>
      <c r="AG1215" s="11" t="inlineStr">
        <is>
          <t>D1</t>
        </is>
      </c>
      <c r="AH1215" s="11" t="inlineStr">
        <is>
          <t>E1</t>
        </is>
      </c>
      <c r="AI1215" s="11" t="inlineStr">
        <is>
          <t>I1</t>
        </is>
      </c>
      <c r="AJ1215" s="11" t="inlineStr">
        <is>
          <t>I5</t>
        </is>
      </c>
      <c r="AK1215" s="11" t="n"/>
      <c r="AL1215" s="11" t="n"/>
      <c r="AM1215" s="11" t="n"/>
      <c r="AN1215" s="11" t="n"/>
      <c r="AO1215" s="11" t="n"/>
      <c r="AP1215" s="11" t="n"/>
      <c r="AQ1215" s="11" t="n"/>
      <c r="AR1215" s="11" t="n"/>
      <c r="AS1215" s="11" t="n"/>
      <c r="AT1215" s="11" t="n"/>
      <c r="AU1215" s="11" t="n"/>
      <c r="AV1215" s="11" t="n"/>
      <c r="AW1215" s="11">
        <f>AF1215&amp;"; "&amp;AG1215&amp;"; "&amp;AH1215&amp;"; "&amp;AI1215&amp;"; "&amp;AJ1215</f>
        <v/>
      </c>
    </row>
    <row r="1216">
      <c r="A1216" s="11" t="inlineStr">
        <is>
          <t>T0114-G11-BIO</t>
        </is>
      </c>
      <c r="B1216" s="11" t="n">
        <v>11</v>
      </c>
      <c r="C1216" s="11" t="inlineStr">
        <is>
          <t>Biología</t>
        </is>
      </c>
      <c r="D1216" s="11" t="inlineStr">
        <is>
          <t>Matriz_Bachillerato_Biologia_10_11.xlsx</t>
        </is>
      </c>
      <c r="E1216" s="11" t="inlineStr">
        <is>
          <t>Biología 11.°</t>
        </is>
      </c>
      <c r="F1216" s="11" t="n">
        <v>46</v>
      </c>
      <c r="G1216" s="11" t="inlineStr">
        <is>
          <t>3. Biotecnología vegetal y agroindustria</t>
        </is>
      </c>
      <c r="H1216" s="11" t="inlineStr">
        <is>
          <t>Manejo de germoplasma</t>
        </is>
      </c>
      <c r="I1216" s="38" t="inlineStr">
        <is>
          <t>3.17. Experimentación con métodos de almacenamiento de semillas.</t>
        </is>
      </c>
      <c r="J1216" s="11" t="inlineStr">
        <is>
          <t>Sin marco</t>
        </is>
      </c>
      <c r="K1216" s="11" t="inlineStr">
        <is>
          <t>N/A</t>
        </is>
      </c>
      <c r="L1216" s="11" t="inlineStr"/>
      <c r="M1216" s="11">
        <f>IF(K1216="FUERA","Fuera del marco",IF(K1216="N/A","Sin marco",IFERROR(INDEX('Datos - Catálogo TIMSS'!$C$5:$C$107,MATCH(K1216,'Datos - Catálogo TIMSS'!$A$5:$A$107,0)),"Pendiente de clasificar")))</f>
        <v/>
      </c>
      <c r="N1216" s="11">
        <f>IF(K1216="FUERA","Fuera del marco",IF(K1216="N/A","Sin marco",IFERROR(INDEX('Datos - Catálogo TIMSS'!$F$5:$F$107,MATCH(K1216,'Datos - Catálogo TIMSS'!$A$5:$A$107,0)),"Pendiente de clasificar")))</f>
        <v/>
      </c>
      <c r="O1216" s="11">
        <f>IF(L1216="","",IFERROR(INDEX('Datos - Catálogo TIMSS'!$C$5:$C$107,MATCH(L1216,'Datos - Catálogo TIMSS'!$A$5:$A$107,0)),"?"))</f>
        <v/>
      </c>
      <c r="P1216" s="11" t="inlineStr">
        <is>
          <t>N/A</t>
        </is>
      </c>
      <c r="Q1216" s="38" t="inlineStr">
        <is>
          <t>Sin marco TIMSS de contenido para esta asignatura en Bachillerato</t>
        </is>
      </c>
      <c r="R1216" s="38" t="inlineStr">
        <is>
          <t>Aplicar: calcular porcentajes de germinación. Razonar: explicar condiciones de almacenamiento adecuadas</t>
        </is>
      </c>
      <c r="S1216" s="39">
        <f>IFERROR(ISNUMBER(SEARCH("Conocer",$R1216))/(ISNUMBER(SEARCH("Conocer",$R1216))+ISNUMBER(SEARCH("Aplicar",$R1216))+ISNUMBER(SEARCH("Razonar",$R1216))),0)</f>
        <v/>
      </c>
      <c r="T1216" s="39">
        <f>IFERROR(ISNUMBER(SEARCH("Aplicar",$R1216))/(ISNUMBER(SEARCH("Conocer",$R1216))+ISNUMBER(SEARCH("Aplicar",$R1216))+ISNUMBER(SEARCH("Razonar",$R1216))),0)</f>
        <v/>
      </c>
      <c r="U1216" s="39">
        <f>IFERROR(ISNUMBER(SEARCH("Razonar",$R1216))/(ISNUMBER(SEARCH("Conocer",$R1216))+ISNUMBER(SEARCH("Aplicar",$R1216))+ISNUMBER(SEARCH("Razonar",$R1216))),0)</f>
        <v/>
      </c>
      <c r="V1216" s="11" t="inlineStr">
        <is>
          <t>Biología 11°</t>
        </is>
      </c>
      <c r="W1216" s="11" t="inlineStr">
        <is>
          <t>Biología 10°–11°</t>
        </is>
      </c>
      <c r="X1216" s="11">
        <f>IF(OR(IFERROR(INDEX('Datos - Catálogo TIMSS'!$I$5:$I$107,MATCH(K1216,'Datos - Catálogo TIMSS'!$A$5:$A$107,0)),"No")="Sí",IFERROR(INDEX('Datos - Catálogo TIMSS'!$I$5:$I$107,MATCH(L1216,'Datos - Catálogo TIMSS'!$A$5:$A$107,0)),"No")="Sí"),1,0)</f>
        <v/>
      </c>
      <c r="Y1216" s="11">
        <f>IF(IFERROR(INDEX('Datos - Catálogo TIMSS'!$J$5:$J$107,MATCH(K1216,'Datos - Catálogo TIMSS'!$A$5:$A$107,0)),"No")="Sí",1,0)</f>
        <v/>
      </c>
      <c r="Z1216" s="11">
        <f>IF(IFERROR(INDEX('Datos - Catálogo TIMSS'!$J$5:$J$107,MATCH(L1216,'Datos - Catálogo TIMSS'!$A$5:$A$107,0)),"No")="Sí",1,0)</f>
        <v/>
      </c>
      <c r="AA1216" s="11" t="inlineStr">
        <is>
          <t>N/A</t>
        </is>
      </c>
      <c r="AB1216" s="11" t="inlineStr"/>
      <c r="AC1216" s="11">
        <f>IF(AA1216="FUERA","Fuera del marco",IF(AA1216="N/A","Sin marco",IFERROR(INDEX('Datos - TIMSS 2023'!$C$5:$C$105,MATCH(AA1216,'Datos - TIMSS 2023'!$A$5:$A$105,0)),"Pendiente de clasificar")))</f>
        <v/>
      </c>
      <c r="AD1216" s="11" t="inlineStr">
        <is>
          <t>2. Construir y evaluar diseños para la indagación científica e interpretar datos y evidencia de forma crítica</t>
        </is>
      </c>
      <c r="AE1216" s="11">
        <f>IF(AD1216="","",IF(LEFT(AD1216,1)="1","C1",IF(LEFT(AD1216,1)="2","C2",IF(LEFT(AD1216,1)="3","C3",""))))</f>
        <v/>
      </c>
      <c r="AF1216" s="11" t="inlineStr">
        <is>
          <t>E1</t>
        </is>
      </c>
      <c r="AG1216" s="11" t="inlineStr">
        <is>
          <t>E5</t>
        </is>
      </c>
      <c r="AH1216" s="11" t="inlineStr">
        <is>
          <t>E1</t>
        </is>
      </c>
      <c r="AI1216" s="11" t="inlineStr">
        <is>
          <t>D2</t>
        </is>
      </c>
      <c r="AJ1216" s="11" t="inlineStr">
        <is>
          <t>D3</t>
        </is>
      </c>
      <c r="AK1216" s="11" t="n"/>
      <c r="AL1216" s="11" t="n"/>
      <c r="AM1216" s="11" t="n"/>
      <c r="AN1216" s="11" t="n"/>
      <c r="AO1216" s="11" t="n"/>
      <c r="AP1216" s="11" t="n"/>
      <c r="AQ1216" s="11" t="n"/>
      <c r="AR1216" s="11" t="n"/>
      <c r="AS1216" s="11" t="n"/>
      <c r="AT1216" s="11" t="n"/>
      <c r="AU1216" s="11" t="n"/>
      <c r="AV1216" s="11" t="n"/>
      <c r="AW1216" s="11">
        <f>AF1216&amp;"; "&amp;AG1216&amp;"; "&amp;AH1216&amp;"; "&amp;AI1216&amp;"; "&amp;AJ1216</f>
        <v/>
      </c>
    </row>
    <row r="1217">
      <c r="A1217" s="11" t="inlineStr">
        <is>
          <t>T0115-G11-BIO</t>
        </is>
      </c>
      <c r="B1217" s="11" t="n">
        <v>11</v>
      </c>
      <c r="C1217" s="11" t="inlineStr">
        <is>
          <t>Biología</t>
        </is>
      </c>
      <c r="D1217" s="11" t="inlineStr">
        <is>
          <t>Matriz_Bachillerato_Biologia_10_11.xlsx</t>
        </is>
      </c>
      <c r="E1217" s="11" t="inlineStr">
        <is>
          <t>Biología 11.°</t>
        </is>
      </c>
      <c r="F1217" s="11" t="n">
        <v>47</v>
      </c>
      <c r="G1217" s="11" t="inlineStr">
        <is>
          <t>3. Biotecnología vegetal y agroindustria</t>
        </is>
      </c>
      <c r="H1217" s="11" t="inlineStr">
        <is>
          <t>Manejo de plagas</t>
        </is>
      </c>
      <c r="I1217" s="38" t="inlineStr">
        <is>
          <t>3.18. Clasificación de los agroquímicos para el control de plagas según su uso y etiquetado de seguridad.</t>
        </is>
      </c>
      <c r="J1217" s="11" t="inlineStr">
        <is>
          <t>Sin marco</t>
        </is>
      </c>
      <c r="K1217" s="11" t="inlineStr">
        <is>
          <t>N/A</t>
        </is>
      </c>
      <c r="L1217" s="11" t="inlineStr"/>
      <c r="M1217" s="11">
        <f>IF(K1217="FUERA","Fuera del marco",IF(K1217="N/A","Sin marco",IFERROR(INDEX('Datos - Catálogo TIMSS'!$C$5:$C$107,MATCH(K1217,'Datos - Catálogo TIMSS'!$A$5:$A$107,0)),"Pendiente de clasificar")))</f>
        <v/>
      </c>
      <c r="N1217" s="11">
        <f>IF(K1217="FUERA","Fuera del marco",IF(K1217="N/A","Sin marco",IFERROR(INDEX('Datos - Catálogo TIMSS'!$F$5:$F$107,MATCH(K1217,'Datos - Catálogo TIMSS'!$A$5:$A$107,0)),"Pendiente de clasificar")))</f>
        <v/>
      </c>
      <c r="O1217" s="11">
        <f>IF(L1217="","",IFERROR(INDEX('Datos - Catálogo TIMSS'!$C$5:$C$107,MATCH(L1217,'Datos - Catálogo TIMSS'!$A$5:$A$107,0)),"?"))</f>
        <v/>
      </c>
      <c r="P1217" s="11" t="inlineStr">
        <is>
          <t>N/A</t>
        </is>
      </c>
      <c r="Q1217" s="38" t="inlineStr">
        <is>
          <t>Sin marco TIMSS de contenido para esta asignatura en Bachillerato</t>
        </is>
      </c>
      <c r="R1217" s="38" t="inlineStr">
        <is>
          <t>Conocer: clasificar agroquímicos por uso. Aplicar: interpretar etiquetado de seguridad. Razonar: comparar riesgos</t>
        </is>
      </c>
      <c r="S1217" s="39">
        <f>IFERROR(ISNUMBER(SEARCH("Conocer",$R1217))/(ISNUMBER(SEARCH("Conocer",$R1217))+ISNUMBER(SEARCH("Aplicar",$R1217))+ISNUMBER(SEARCH("Razonar",$R1217))),0)</f>
        <v/>
      </c>
      <c r="T1217" s="39">
        <f>IFERROR(ISNUMBER(SEARCH("Aplicar",$R1217))/(ISNUMBER(SEARCH("Conocer",$R1217))+ISNUMBER(SEARCH("Aplicar",$R1217))+ISNUMBER(SEARCH("Razonar",$R1217))),0)</f>
        <v/>
      </c>
      <c r="U1217" s="39">
        <f>IFERROR(ISNUMBER(SEARCH("Razonar",$R1217))/(ISNUMBER(SEARCH("Conocer",$R1217))+ISNUMBER(SEARCH("Aplicar",$R1217))+ISNUMBER(SEARCH("Razonar",$R1217))),0)</f>
        <v/>
      </c>
      <c r="V1217" s="11" t="inlineStr">
        <is>
          <t>Biología 11°</t>
        </is>
      </c>
      <c r="W1217" s="11" t="inlineStr">
        <is>
          <t>Biología 10°–11°</t>
        </is>
      </c>
      <c r="X1217" s="11">
        <f>IF(OR(IFERROR(INDEX('Datos - Catálogo TIMSS'!$I$5:$I$107,MATCH(K1217,'Datos - Catálogo TIMSS'!$A$5:$A$107,0)),"No")="Sí",IFERROR(INDEX('Datos - Catálogo TIMSS'!$I$5:$I$107,MATCH(L1217,'Datos - Catálogo TIMSS'!$A$5:$A$107,0)),"No")="Sí"),1,0)</f>
        <v/>
      </c>
      <c r="Y1217" s="11">
        <f>IF(IFERROR(INDEX('Datos - Catálogo TIMSS'!$J$5:$J$107,MATCH(K1217,'Datos - Catálogo TIMSS'!$A$5:$A$107,0)),"No")="Sí",1,0)</f>
        <v/>
      </c>
      <c r="Z1217" s="11">
        <f>IF(IFERROR(INDEX('Datos - Catálogo TIMSS'!$J$5:$J$107,MATCH(L1217,'Datos - Catálogo TIMSS'!$A$5:$A$107,0)),"No")="Sí",1,0)</f>
        <v/>
      </c>
      <c r="AA1217" s="11" t="inlineStr">
        <is>
          <t>N/A</t>
        </is>
      </c>
      <c r="AB1217" s="11" t="inlineStr"/>
      <c r="AC1217" s="11">
        <f>IF(AA1217="FUERA","Fuera del marco",IF(AA1217="N/A","Sin marco",IFERROR(INDEX('Datos - TIMSS 2023'!$C$5:$C$105,MATCH(AA1217,'Datos - TIMSS 2023'!$A$5:$A$105,0)),"Pendiente de clasificar")))</f>
        <v/>
      </c>
      <c r="AD1217" s="11" t="inlineStr">
        <is>
          <t>3. Investigar, evaluar y usar información científica para tomar decisiones y actuar</t>
        </is>
      </c>
      <c r="AE1217" s="11">
        <f>IF(AD1217="","",IF(LEFT(AD1217,1)="1","C1",IF(LEFT(AD1217,1)="2","C2",IF(LEFT(AD1217,1)="3","C3",""))))</f>
        <v/>
      </c>
      <c r="AF1217" s="11" t="inlineStr">
        <is>
          <t>E6</t>
        </is>
      </c>
      <c r="AG1217" s="11" t="inlineStr">
        <is>
          <t>D1</t>
        </is>
      </c>
      <c r="AH1217" s="11" t="inlineStr">
        <is>
          <t>E1</t>
        </is>
      </c>
      <c r="AI1217" s="11" t="inlineStr">
        <is>
          <t>I3</t>
        </is>
      </c>
      <c r="AJ1217" s="11" t="inlineStr">
        <is>
          <t>I5</t>
        </is>
      </c>
      <c r="AK1217" s="11" t="n"/>
      <c r="AL1217" s="11" t="n"/>
      <c r="AM1217" s="11" t="n"/>
      <c r="AN1217" s="11" t="n"/>
      <c r="AO1217" s="11" t="n"/>
      <c r="AP1217" s="11" t="n"/>
      <c r="AQ1217" s="11" t="n"/>
      <c r="AR1217" s="11" t="n"/>
      <c r="AS1217" s="11" t="n"/>
      <c r="AT1217" s="11" t="n"/>
      <c r="AU1217" s="11" t="n"/>
      <c r="AV1217" s="11" t="n"/>
      <c r="AW1217" s="11">
        <f>AF1217&amp;"; "&amp;AG1217&amp;"; "&amp;AH1217&amp;"; "&amp;AI1217&amp;"; "&amp;AJ1217</f>
        <v/>
      </c>
    </row>
    <row r="1218">
      <c r="A1218" s="11" t="inlineStr">
        <is>
          <t>T0116-G11-BIO</t>
        </is>
      </c>
      <c r="B1218" s="11" t="n">
        <v>11</v>
      </c>
      <c r="C1218" s="11" t="inlineStr">
        <is>
          <t>Biología</t>
        </is>
      </c>
      <c r="D1218" s="11" t="inlineStr">
        <is>
          <t>Matriz_Bachillerato_Biologia_10_11.xlsx</t>
        </is>
      </c>
      <c r="E1218" s="11" t="inlineStr">
        <is>
          <t>Biología 11.°</t>
        </is>
      </c>
      <c r="F1218" s="11" t="n">
        <v>48</v>
      </c>
      <c r="G1218" s="11" t="inlineStr">
        <is>
          <t>4. Bases genéticas de la evolución</t>
        </is>
      </c>
      <c r="H1218" s="11" t="inlineStr">
        <is>
          <t>Material genético y genoma</t>
        </is>
      </c>
      <c r="I1218" s="38" t="inlineStr">
        <is>
          <t>4.1. Demostración de las diferencias en cuanto al tamaño del genoma y ploidía entre especies.</t>
        </is>
      </c>
      <c r="J1218" s="11" t="inlineStr">
        <is>
          <t>Sin marco</t>
        </is>
      </c>
      <c r="K1218" s="11" t="inlineStr">
        <is>
          <t>N/A</t>
        </is>
      </c>
      <c r="L1218" s="11" t="inlineStr"/>
      <c r="M1218" s="11">
        <f>IF(K1218="FUERA","Fuera del marco",IF(K1218="N/A","Sin marco",IFERROR(INDEX('Datos - Catálogo TIMSS'!$C$5:$C$107,MATCH(K1218,'Datos - Catálogo TIMSS'!$A$5:$A$107,0)),"Pendiente de clasificar")))</f>
        <v/>
      </c>
      <c r="N1218" s="11">
        <f>IF(K1218="FUERA","Fuera del marco",IF(K1218="N/A","Sin marco",IFERROR(INDEX('Datos - Catálogo TIMSS'!$F$5:$F$107,MATCH(K1218,'Datos - Catálogo TIMSS'!$A$5:$A$107,0)),"Pendiente de clasificar")))</f>
        <v/>
      </c>
      <c r="O1218" s="11">
        <f>IF(L1218="","",IFERROR(INDEX('Datos - Catálogo TIMSS'!$C$5:$C$107,MATCH(L1218,'Datos - Catálogo TIMSS'!$A$5:$A$107,0)),"?"))</f>
        <v/>
      </c>
      <c r="P1218" s="11" t="inlineStr">
        <is>
          <t>N/A</t>
        </is>
      </c>
      <c r="Q1218" s="38" t="inlineStr">
        <is>
          <t>Sin marco TIMSS de contenido para esta asignatura en Bachillerato</t>
        </is>
      </c>
      <c r="R1218" s="38" t="inlineStr">
        <is>
          <t>Aplicar: representar datos en escala logarítmica. Razonar: justificar la ausencia de correlación entre tamaño del genoma y complejidad</t>
        </is>
      </c>
      <c r="S1218" s="39">
        <f>IFERROR(ISNUMBER(SEARCH("Conocer",$R1218))/(ISNUMBER(SEARCH("Conocer",$R1218))+ISNUMBER(SEARCH("Aplicar",$R1218))+ISNUMBER(SEARCH("Razonar",$R1218))),0)</f>
        <v/>
      </c>
      <c r="T1218" s="39">
        <f>IFERROR(ISNUMBER(SEARCH("Aplicar",$R1218))/(ISNUMBER(SEARCH("Conocer",$R1218))+ISNUMBER(SEARCH("Aplicar",$R1218))+ISNUMBER(SEARCH("Razonar",$R1218))),0)</f>
        <v/>
      </c>
      <c r="U1218" s="39">
        <f>IFERROR(ISNUMBER(SEARCH("Razonar",$R1218))/(ISNUMBER(SEARCH("Conocer",$R1218))+ISNUMBER(SEARCH("Aplicar",$R1218))+ISNUMBER(SEARCH("Razonar",$R1218))),0)</f>
        <v/>
      </c>
      <c r="V1218" s="11" t="inlineStr">
        <is>
          <t>Biología 11°</t>
        </is>
      </c>
      <c r="W1218" s="11" t="inlineStr">
        <is>
          <t>Biología 10°–11°</t>
        </is>
      </c>
      <c r="X1218" s="11">
        <f>IF(OR(IFERROR(INDEX('Datos - Catálogo TIMSS'!$I$5:$I$107,MATCH(K1218,'Datos - Catálogo TIMSS'!$A$5:$A$107,0)),"No")="Sí",IFERROR(INDEX('Datos - Catálogo TIMSS'!$I$5:$I$107,MATCH(L1218,'Datos - Catálogo TIMSS'!$A$5:$A$107,0)),"No")="Sí"),1,0)</f>
        <v/>
      </c>
      <c r="Y1218" s="11">
        <f>IF(IFERROR(INDEX('Datos - Catálogo TIMSS'!$J$5:$J$107,MATCH(K1218,'Datos - Catálogo TIMSS'!$A$5:$A$107,0)),"No")="Sí",1,0)</f>
        <v/>
      </c>
      <c r="Z1218" s="11">
        <f>IF(IFERROR(INDEX('Datos - Catálogo TIMSS'!$J$5:$J$107,MATCH(L1218,'Datos - Catálogo TIMSS'!$A$5:$A$107,0)),"No")="Sí",1,0)</f>
        <v/>
      </c>
      <c r="AA1218" s="11" t="inlineStr">
        <is>
          <t>N/A</t>
        </is>
      </c>
      <c r="AB1218" s="11" t="inlineStr"/>
      <c r="AC1218" s="11">
        <f>IF(AA1218="FUERA","Fuera del marco",IF(AA1218="N/A","Sin marco",IFERROR(INDEX('Datos - TIMSS 2023'!$C$5:$C$105,MATCH(AA1218,'Datos - TIMSS 2023'!$A$5:$A$105,0)),"Pendiente de clasificar")))</f>
        <v/>
      </c>
      <c r="AD1218" s="11" t="inlineStr">
        <is>
          <t>1. Explicar fenómenos científicamente</t>
        </is>
      </c>
      <c r="AE1218" s="11">
        <f>IF(AD1218="","",IF(LEFT(AD1218,1)="1","C1",IF(LEFT(AD1218,1)="2","C2",IF(LEFT(AD1218,1)="3","C3",""))))</f>
        <v/>
      </c>
      <c r="AF1218" s="11" t="inlineStr">
        <is>
          <t>E1</t>
        </is>
      </c>
      <c r="AG1218" s="11" t="inlineStr">
        <is>
          <t>E5</t>
        </is>
      </c>
      <c r="AH1218" s="11" t="inlineStr">
        <is>
          <t>E2</t>
        </is>
      </c>
      <c r="AI1218" s="11" t="inlineStr">
        <is>
          <t>I3</t>
        </is>
      </c>
      <c r="AJ1218" s="11" t="inlineStr">
        <is>
          <t>E6</t>
        </is>
      </c>
      <c r="AK1218" s="11" t="n"/>
      <c r="AL1218" s="11" t="n"/>
      <c r="AM1218" s="11" t="n"/>
      <c r="AN1218" s="11" t="n"/>
      <c r="AO1218" s="11" t="n"/>
      <c r="AP1218" s="11" t="n"/>
      <c r="AQ1218" s="11" t="n"/>
      <c r="AR1218" s="11" t="n"/>
      <c r="AS1218" s="11" t="n"/>
      <c r="AT1218" s="11" t="n"/>
      <c r="AU1218" s="11" t="n"/>
      <c r="AV1218" s="11" t="n"/>
      <c r="AW1218" s="11">
        <f>AF1218&amp;"; "&amp;AG1218&amp;"; "&amp;AH1218&amp;"; "&amp;AI1218&amp;"; "&amp;AJ1218</f>
        <v/>
      </c>
    </row>
    <row r="1219">
      <c r="A1219" s="11" t="inlineStr">
        <is>
          <t>T0117-G11-BIO</t>
        </is>
      </c>
      <c r="B1219" s="11" t="n">
        <v>11</v>
      </c>
      <c r="C1219" s="11" t="inlineStr">
        <is>
          <t>Biología</t>
        </is>
      </c>
      <c r="D1219" s="11" t="inlineStr">
        <is>
          <t>Matriz_Bachillerato_Biologia_10_11.xlsx</t>
        </is>
      </c>
      <c r="E1219" s="11" t="inlineStr">
        <is>
          <t>Biología 11.°</t>
        </is>
      </c>
      <c r="F1219" s="11" t="n">
        <v>49</v>
      </c>
      <c r="G1219" s="11" t="inlineStr">
        <is>
          <t>4. Bases genéticas de la evolución</t>
        </is>
      </c>
      <c r="H1219" s="11" t="inlineStr">
        <is>
          <t>Material genético y genoma</t>
        </is>
      </c>
      <c r="I1219" s="38" t="inlineStr">
        <is>
          <t>4.2. Comprobación de las propiedades fisicoquímicas del material genético y la organización cromosómica del ADN.</t>
        </is>
      </c>
      <c r="J1219" s="11" t="inlineStr">
        <is>
          <t>Sin marco</t>
        </is>
      </c>
      <c r="K1219" s="11" t="inlineStr">
        <is>
          <t>N/A</t>
        </is>
      </c>
      <c r="L1219" s="11" t="inlineStr"/>
      <c r="M1219" s="11">
        <f>IF(K1219="FUERA","Fuera del marco",IF(K1219="N/A","Sin marco",IFERROR(INDEX('Datos - Catálogo TIMSS'!$C$5:$C$107,MATCH(K1219,'Datos - Catálogo TIMSS'!$A$5:$A$107,0)),"Pendiente de clasificar")))</f>
        <v/>
      </c>
      <c r="N1219" s="11">
        <f>IF(K1219="FUERA","Fuera del marco",IF(K1219="N/A","Sin marco",IFERROR(INDEX('Datos - Catálogo TIMSS'!$F$5:$F$107,MATCH(K1219,'Datos - Catálogo TIMSS'!$A$5:$A$107,0)),"Pendiente de clasificar")))</f>
        <v/>
      </c>
      <c r="O1219" s="11">
        <f>IF(L1219="","",IFERROR(INDEX('Datos - Catálogo TIMSS'!$C$5:$C$107,MATCH(L1219,'Datos - Catálogo TIMSS'!$A$5:$A$107,0)),"?"))</f>
        <v/>
      </c>
      <c r="P1219" s="11" t="inlineStr">
        <is>
          <t>N/A</t>
        </is>
      </c>
      <c r="Q1219" s="38" t="inlineStr">
        <is>
          <t>Sin marco TIMSS de contenido para esta asignatura en Bachillerato</t>
        </is>
      </c>
      <c r="R1219" s="38" t="inlineStr">
        <is>
          <t>Conocer: describir la organización cromosómica. Aplicar: relacionar pasos con propiedades. Razonar: evaluar un procedimiento</t>
        </is>
      </c>
      <c r="S1219" s="39">
        <f>IFERROR(ISNUMBER(SEARCH("Conocer",$R1219))/(ISNUMBER(SEARCH("Conocer",$R1219))+ISNUMBER(SEARCH("Aplicar",$R1219))+ISNUMBER(SEARCH("Razonar",$R1219))),0)</f>
        <v/>
      </c>
      <c r="T1219" s="39">
        <f>IFERROR(ISNUMBER(SEARCH("Aplicar",$R1219))/(ISNUMBER(SEARCH("Conocer",$R1219))+ISNUMBER(SEARCH("Aplicar",$R1219))+ISNUMBER(SEARCH("Razonar",$R1219))),0)</f>
        <v/>
      </c>
      <c r="U1219" s="39">
        <f>IFERROR(ISNUMBER(SEARCH("Razonar",$R1219))/(ISNUMBER(SEARCH("Conocer",$R1219))+ISNUMBER(SEARCH("Aplicar",$R1219))+ISNUMBER(SEARCH("Razonar",$R1219))),0)</f>
        <v/>
      </c>
      <c r="V1219" s="11" t="inlineStr">
        <is>
          <t>Biología 11°</t>
        </is>
      </c>
      <c r="W1219" s="11" t="inlineStr">
        <is>
          <t>Biología 10°–11°</t>
        </is>
      </c>
      <c r="X1219" s="11">
        <f>IF(OR(IFERROR(INDEX('Datos - Catálogo TIMSS'!$I$5:$I$107,MATCH(K1219,'Datos - Catálogo TIMSS'!$A$5:$A$107,0)),"No")="Sí",IFERROR(INDEX('Datos - Catálogo TIMSS'!$I$5:$I$107,MATCH(L1219,'Datos - Catálogo TIMSS'!$A$5:$A$107,0)),"No")="Sí"),1,0)</f>
        <v/>
      </c>
      <c r="Y1219" s="11">
        <f>IF(IFERROR(INDEX('Datos - Catálogo TIMSS'!$J$5:$J$107,MATCH(K1219,'Datos - Catálogo TIMSS'!$A$5:$A$107,0)),"No")="Sí",1,0)</f>
        <v/>
      </c>
      <c r="Z1219" s="11">
        <f>IF(IFERROR(INDEX('Datos - Catálogo TIMSS'!$J$5:$J$107,MATCH(L1219,'Datos - Catálogo TIMSS'!$A$5:$A$107,0)),"No")="Sí",1,0)</f>
        <v/>
      </c>
      <c r="AA1219" s="11" t="inlineStr">
        <is>
          <t>N/A</t>
        </is>
      </c>
      <c r="AB1219" s="11" t="inlineStr"/>
      <c r="AC1219" s="11">
        <f>IF(AA1219="FUERA","Fuera del marco",IF(AA1219="N/A","Sin marco",IFERROR(INDEX('Datos - TIMSS 2023'!$C$5:$C$105,MATCH(AA1219,'Datos - TIMSS 2023'!$A$5:$A$105,0)),"Pendiente de clasificar")))</f>
        <v/>
      </c>
      <c r="AD1219" s="11" t="inlineStr">
        <is>
          <t>2. Construir y evaluar diseños para la indagación científica e interpretar datos y evidencia de forma crítica</t>
        </is>
      </c>
      <c r="AE1219" s="11">
        <f>IF(AD1219="","",IF(LEFT(AD1219,1)="1","C1",IF(LEFT(AD1219,1)="2","C2",IF(LEFT(AD1219,1)="3","C3",""))))</f>
        <v/>
      </c>
      <c r="AF1219" s="11" t="inlineStr">
        <is>
          <t>E1</t>
        </is>
      </c>
      <c r="AG1219" s="11" t="inlineStr">
        <is>
          <t>D1</t>
        </is>
      </c>
      <c r="AH1219" s="11" t="inlineStr">
        <is>
          <t>E4</t>
        </is>
      </c>
      <c r="AI1219" s="11" t="inlineStr">
        <is>
          <t>D4</t>
        </is>
      </c>
      <c r="AJ1219" s="11" t="inlineStr">
        <is>
          <t>D3</t>
        </is>
      </c>
      <c r="AK1219" s="11" t="n"/>
      <c r="AL1219" s="11" t="n"/>
      <c r="AM1219" s="11" t="n"/>
      <c r="AN1219" s="11" t="n"/>
      <c r="AO1219" s="11" t="n"/>
      <c r="AP1219" s="11" t="n"/>
      <c r="AQ1219" s="11" t="n"/>
      <c r="AR1219" s="11" t="n"/>
      <c r="AS1219" s="11" t="n"/>
      <c r="AT1219" s="11" t="n"/>
      <c r="AU1219" s="11" t="n"/>
      <c r="AV1219" s="11" t="n"/>
      <c r="AW1219" s="11">
        <f>AF1219&amp;"; "&amp;AG1219&amp;"; "&amp;AH1219&amp;"; "&amp;AI1219&amp;"; "&amp;AJ1219</f>
        <v/>
      </c>
    </row>
    <row r="1220">
      <c r="A1220" s="11" t="inlineStr">
        <is>
          <t>T0118-G11-BIO</t>
        </is>
      </c>
      <c r="B1220" s="11" t="n">
        <v>11</v>
      </c>
      <c r="C1220" s="11" t="inlineStr">
        <is>
          <t>Biología</t>
        </is>
      </c>
      <c r="D1220" s="11" t="inlineStr">
        <is>
          <t>Matriz_Bachillerato_Biologia_10_11.xlsx</t>
        </is>
      </c>
      <c r="E1220" s="11" t="inlineStr">
        <is>
          <t>Biología 11.°</t>
        </is>
      </c>
      <c r="F1220" s="11" t="n">
        <v>50</v>
      </c>
      <c r="G1220" s="11" t="inlineStr">
        <is>
          <t>4. Bases genéticas de la evolución</t>
        </is>
      </c>
      <c r="H1220" s="11" t="inlineStr">
        <is>
          <t>Material genético y genoma</t>
        </is>
      </c>
      <c r="I1220" s="38" t="inlineStr">
        <is>
          <t>4.3. Búsqueda y tamizaje de información genética en bases de datos biológicas.</t>
        </is>
      </c>
      <c r="J1220" s="11" t="inlineStr">
        <is>
          <t>Sin marco</t>
        </is>
      </c>
      <c r="K1220" s="11" t="inlineStr">
        <is>
          <t>N/A</t>
        </is>
      </c>
      <c r="L1220" s="11" t="inlineStr"/>
      <c r="M1220" s="11">
        <f>IF(K1220="FUERA","Fuera del marco",IF(K1220="N/A","Sin marco",IFERROR(INDEX('Datos - Catálogo TIMSS'!$C$5:$C$107,MATCH(K1220,'Datos - Catálogo TIMSS'!$A$5:$A$107,0)),"Pendiente de clasificar")))</f>
        <v/>
      </c>
      <c r="N1220" s="11">
        <f>IF(K1220="FUERA","Fuera del marco",IF(K1220="N/A","Sin marco",IFERROR(INDEX('Datos - Catálogo TIMSS'!$F$5:$F$107,MATCH(K1220,'Datos - Catálogo TIMSS'!$A$5:$A$107,0)),"Pendiente de clasificar")))</f>
        <v/>
      </c>
      <c r="O1220" s="11">
        <f>IF(L1220="","",IFERROR(INDEX('Datos - Catálogo TIMSS'!$C$5:$C$107,MATCH(L1220,'Datos - Catálogo TIMSS'!$A$5:$A$107,0)),"?"))</f>
        <v/>
      </c>
      <c r="P1220" s="11" t="inlineStr">
        <is>
          <t>N/A</t>
        </is>
      </c>
      <c r="Q1220" s="38" t="inlineStr">
        <is>
          <t>Sin marco TIMSS de contenido para esta asignatura en Bachillerato</t>
        </is>
      </c>
      <c r="R1220" s="38" t="inlineStr">
        <is>
          <t>Aplicar: buscar y obtener secuencias. Razonar: evaluar la calidad de un registro genético</t>
        </is>
      </c>
      <c r="S1220" s="39">
        <f>IFERROR(ISNUMBER(SEARCH("Conocer",$R1220))/(ISNUMBER(SEARCH("Conocer",$R1220))+ISNUMBER(SEARCH("Aplicar",$R1220))+ISNUMBER(SEARCH("Razonar",$R1220))),0)</f>
        <v/>
      </c>
      <c r="T1220" s="39">
        <f>IFERROR(ISNUMBER(SEARCH("Aplicar",$R1220))/(ISNUMBER(SEARCH("Conocer",$R1220))+ISNUMBER(SEARCH("Aplicar",$R1220))+ISNUMBER(SEARCH("Razonar",$R1220))),0)</f>
        <v/>
      </c>
      <c r="U1220" s="39">
        <f>IFERROR(ISNUMBER(SEARCH("Razonar",$R1220))/(ISNUMBER(SEARCH("Conocer",$R1220))+ISNUMBER(SEARCH("Aplicar",$R1220))+ISNUMBER(SEARCH("Razonar",$R1220))),0)</f>
        <v/>
      </c>
      <c r="V1220" s="11" t="inlineStr">
        <is>
          <t>Biología 11°</t>
        </is>
      </c>
      <c r="W1220" s="11" t="inlineStr">
        <is>
          <t>Biología 10°–11°</t>
        </is>
      </c>
      <c r="X1220" s="11">
        <f>IF(OR(IFERROR(INDEX('Datos - Catálogo TIMSS'!$I$5:$I$107,MATCH(K1220,'Datos - Catálogo TIMSS'!$A$5:$A$107,0)),"No")="Sí",IFERROR(INDEX('Datos - Catálogo TIMSS'!$I$5:$I$107,MATCH(L1220,'Datos - Catálogo TIMSS'!$A$5:$A$107,0)),"No")="Sí"),1,0)</f>
        <v/>
      </c>
      <c r="Y1220" s="11">
        <f>IF(IFERROR(INDEX('Datos - Catálogo TIMSS'!$J$5:$J$107,MATCH(K1220,'Datos - Catálogo TIMSS'!$A$5:$A$107,0)),"No")="Sí",1,0)</f>
        <v/>
      </c>
      <c r="Z1220" s="11">
        <f>IF(IFERROR(INDEX('Datos - Catálogo TIMSS'!$J$5:$J$107,MATCH(L1220,'Datos - Catálogo TIMSS'!$A$5:$A$107,0)),"No")="Sí",1,0)</f>
        <v/>
      </c>
      <c r="AA1220" s="11" t="inlineStr">
        <is>
          <t>N/A</t>
        </is>
      </c>
      <c r="AB1220" s="11" t="inlineStr"/>
      <c r="AC1220" s="11">
        <f>IF(AA1220="FUERA","Fuera del marco",IF(AA1220="N/A","Sin marco",IFERROR(INDEX('Datos - TIMSS 2023'!$C$5:$C$105,MATCH(AA1220,'Datos - TIMSS 2023'!$A$5:$A$105,0)),"Pendiente de clasificar")))</f>
        <v/>
      </c>
      <c r="AD1220" s="11" t="inlineStr">
        <is>
          <t>3. Investigar, evaluar y usar información científica para tomar decisiones y actuar</t>
        </is>
      </c>
      <c r="AE1220" s="11">
        <f>IF(AD1220="","",IF(LEFT(AD1220,1)="1","C1",IF(LEFT(AD1220,1)="2","C2",IF(LEFT(AD1220,1)="3","C3",""))))</f>
        <v/>
      </c>
      <c r="AF1220" s="11" t="inlineStr">
        <is>
          <t>E1</t>
        </is>
      </c>
      <c r="AG1220" s="11" t="inlineStr">
        <is>
          <t>D1</t>
        </is>
      </c>
      <c r="AH1220" s="11" t="inlineStr">
        <is>
          <t>E2</t>
        </is>
      </c>
      <c r="AI1220" s="11" t="inlineStr">
        <is>
          <t>I1</t>
        </is>
      </c>
      <c r="AJ1220" s="11" t="inlineStr">
        <is>
          <t>I2</t>
        </is>
      </c>
      <c r="AK1220" s="11" t="n"/>
      <c r="AL1220" s="11" t="n"/>
      <c r="AM1220" s="11" t="n"/>
      <c r="AN1220" s="11" t="n"/>
      <c r="AO1220" s="11" t="n"/>
      <c r="AP1220" s="11" t="n"/>
      <c r="AQ1220" s="11" t="n"/>
      <c r="AR1220" s="11" t="n"/>
      <c r="AS1220" s="11" t="n"/>
      <c r="AT1220" s="11" t="n"/>
      <c r="AU1220" s="11" t="n"/>
      <c r="AV1220" s="11" t="n"/>
      <c r="AW1220" s="11">
        <f>AF1220&amp;"; "&amp;AG1220&amp;"; "&amp;AH1220&amp;"; "&amp;AI1220&amp;"; "&amp;AJ1220</f>
        <v/>
      </c>
    </row>
    <row r="1221">
      <c r="A1221" s="11" t="inlineStr">
        <is>
          <t>T0119-G11-BIO</t>
        </is>
      </c>
      <c r="B1221" s="11" t="n">
        <v>11</v>
      </c>
      <c r="C1221" s="11" t="inlineStr">
        <is>
          <t>Biología</t>
        </is>
      </c>
      <c r="D1221" s="11" t="inlineStr">
        <is>
          <t>Matriz_Bachillerato_Biologia_10_11.xlsx</t>
        </is>
      </c>
      <c r="E1221" s="11" t="inlineStr">
        <is>
          <t>Biología 11.°</t>
        </is>
      </c>
      <c r="F1221" s="11" t="n">
        <v>51</v>
      </c>
      <c r="G1221" s="11" t="inlineStr">
        <is>
          <t>4. Bases genéticas de la evolución</t>
        </is>
      </c>
      <c r="H1221" s="11" t="inlineStr">
        <is>
          <t>Ciclo celular</t>
        </is>
      </c>
      <c r="I1221" s="38" t="inlineStr">
        <is>
          <t>4.4. Exploración del ciclo celular y su regulación.</t>
        </is>
      </c>
      <c r="J1221" s="11" t="inlineStr">
        <is>
          <t>Sin marco</t>
        </is>
      </c>
      <c r="K1221" s="11" t="inlineStr">
        <is>
          <t>N/A</t>
        </is>
      </c>
      <c r="L1221" s="11" t="inlineStr"/>
      <c r="M1221" s="11">
        <f>IF(K1221="FUERA","Fuera del marco",IF(K1221="N/A","Sin marco",IFERROR(INDEX('Datos - Catálogo TIMSS'!$C$5:$C$107,MATCH(K1221,'Datos - Catálogo TIMSS'!$A$5:$A$107,0)),"Pendiente de clasificar")))</f>
        <v/>
      </c>
      <c r="N1221" s="11">
        <f>IF(K1221="FUERA","Fuera del marco",IF(K1221="N/A","Sin marco",IFERROR(INDEX('Datos - Catálogo TIMSS'!$F$5:$F$107,MATCH(K1221,'Datos - Catálogo TIMSS'!$A$5:$A$107,0)),"Pendiente de clasificar")))</f>
        <v/>
      </c>
      <c r="O1221" s="11">
        <f>IF(L1221="","",IFERROR(INDEX('Datos - Catálogo TIMSS'!$C$5:$C$107,MATCH(L1221,'Datos - Catálogo TIMSS'!$A$5:$A$107,0)),"?"))</f>
        <v/>
      </c>
      <c r="P1221" s="11" t="inlineStr">
        <is>
          <t>N/A</t>
        </is>
      </c>
      <c r="Q1221" s="38" t="inlineStr">
        <is>
          <t>Sin marco TIMSS de contenido para esta asignatura en Bachillerato</t>
        </is>
      </c>
      <c r="R1221" s="38" t="inlineStr">
        <is>
          <t>Conocer: identificar fases del ciclo. Aplicar: representar la replicación. Razonar: predecir efectos de fallas en los puntos de control</t>
        </is>
      </c>
      <c r="S1221" s="39">
        <f>IFERROR(ISNUMBER(SEARCH("Conocer",$R1221))/(ISNUMBER(SEARCH("Conocer",$R1221))+ISNUMBER(SEARCH("Aplicar",$R1221))+ISNUMBER(SEARCH("Razonar",$R1221))),0)</f>
        <v/>
      </c>
      <c r="T1221" s="39">
        <f>IFERROR(ISNUMBER(SEARCH("Aplicar",$R1221))/(ISNUMBER(SEARCH("Conocer",$R1221))+ISNUMBER(SEARCH("Aplicar",$R1221))+ISNUMBER(SEARCH("Razonar",$R1221))),0)</f>
        <v/>
      </c>
      <c r="U1221" s="39">
        <f>IFERROR(ISNUMBER(SEARCH("Razonar",$R1221))/(ISNUMBER(SEARCH("Conocer",$R1221))+ISNUMBER(SEARCH("Aplicar",$R1221))+ISNUMBER(SEARCH("Razonar",$R1221))),0)</f>
        <v/>
      </c>
      <c r="V1221" s="11" t="inlineStr">
        <is>
          <t>Biología 11°</t>
        </is>
      </c>
      <c r="W1221" s="11" t="inlineStr">
        <is>
          <t>Biología 10°–11°</t>
        </is>
      </c>
      <c r="X1221" s="11">
        <f>IF(OR(IFERROR(INDEX('Datos - Catálogo TIMSS'!$I$5:$I$107,MATCH(K1221,'Datos - Catálogo TIMSS'!$A$5:$A$107,0)),"No")="Sí",IFERROR(INDEX('Datos - Catálogo TIMSS'!$I$5:$I$107,MATCH(L1221,'Datos - Catálogo TIMSS'!$A$5:$A$107,0)),"No")="Sí"),1,0)</f>
        <v/>
      </c>
      <c r="Y1221" s="11">
        <f>IF(IFERROR(INDEX('Datos - Catálogo TIMSS'!$J$5:$J$107,MATCH(K1221,'Datos - Catálogo TIMSS'!$A$5:$A$107,0)),"No")="Sí",1,0)</f>
        <v/>
      </c>
      <c r="Z1221" s="11">
        <f>IF(IFERROR(INDEX('Datos - Catálogo TIMSS'!$J$5:$J$107,MATCH(L1221,'Datos - Catálogo TIMSS'!$A$5:$A$107,0)),"No")="Sí",1,0)</f>
        <v/>
      </c>
      <c r="AA1221" s="11" t="inlineStr">
        <is>
          <t>N/A</t>
        </is>
      </c>
      <c r="AB1221" s="11" t="inlineStr"/>
      <c r="AC1221" s="11">
        <f>IF(AA1221="FUERA","Fuera del marco",IF(AA1221="N/A","Sin marco",IFERROR(INDEX('Datos - TIMSS 2023'!$C$5:$C$105,MATCH(AA1221,'Datos - TIMSS 2023'!$A$5:$A$105,0)),"Pendiente de clasificar")))</f>
        <v/>
      </c>
      <c r="AD1221" s="11" t="inlineStr">
        <is>
          <t>1. Explicar fenómenos científicamente</t>
        </is>
      </c>
      <c r="AE1221" s="11">
        <f>IF(AD1221="","",IF(LEFT(AD1221,1)="1","C1",IF(LEFT(AD1221,1)="2","C2",IF(LEFT(AD1221,1)="3","C3",""))))</f>
        <v/>
      </c>
      <c r="AF1221" s="11" t="inlineStr">
        <is>
          <t>E1</t>
        </is>
      </c>
      <c r="AG1221" s="11" t="inlineStr">
        <is>
          <t>E3</t>
        </is>
      </c>
      <c r="AH1221" s="11" t="inlineStr">
        <is>
          <t>E2</t>
        </is>
      </c>
      <c r="AI1221" s="11" t="inlineStr">
        <is>
          <t>E4</t>
        </is>
      </c>
      <c r="AJ1221" s="11" t="inlineStr">
        <is>
          <t>E6</t>
        </is>
      </c>
      <c r="AK1221" s="11" t="n"/>
      <c r="AL1221" s="11" t="n"/>
      <c r="AM1221" s="11" t="n"/>
      <c r="AN1221" s="11" t="n"/>
      <c r="AO1221" s="11" t="n"/>
      <c r="AP1221" s="11" t="n"/>
      <c r="AQ1221" s="11" t="n"/>
      <c r="AR1221" s="11" t="n"/>
      <c r="AS1221" s="11" t="n"/>
      <c r="AT1221" s="11" t="n"/>
      <c r="AU1221" s="11" t="n"/>
      <c r="AV1221" s="11" t="n"/>
      <c r="AW1221" s="11">
        <f>AF1221&amp;"; "&amp;AG1221&amp;"; "&amp;AH1221&amp;"; "&amp;AI1221&amp;"; "&amp;AJ1221</f>
        <v/>
      </c>
    </row>
    <row r="1222">
      <c r="A1222" s="11" t="inlineStr">
        <is>
          <t>T0120-G11-BIO</t>
        </is>
      </c>
      <c r="B1222" s="11" t="n">
        <v>11</v>
      </c>
      <c r="C1222" s="11" t="inlineStr">
        <is>
          <t>Biología</t>
        </is>
      </c>
      <c r="D1222" s="11" t="inlineStr">
        <is>
          <t>Matriz_Bachillerato_Biologia_10_11.xlsx</t>
        </is>
      </c>
      <c r="E1222" s="11" t="inlineStr">
        <is>
          <t>Biología 11.°</t>
        </is>
      </c>
      <c r="F1222" s="11" t="n">
        <v>52</v>
      </c>
      <c r="G1222" s="11" t="inlineStr">
        <is>
          <t>4. Bases genéticas de la evolución</t>
        </is>
      </c>
      <c r="H1222" s="11" t="inlineStr">
        <is>
          <t>Ciclo celular</t>
        </is>
      </c>
      <c r="I1222" s="38" t="inlineStr">
        <is>
          <t>4.5. Simulación de los principales procesos de la división mitótica.</t>
        </is>
      </c>
      <c r="J1222" s="11" t="inlineStr">
        <is>
          <t>Sin marco</t>
        </is>
      </c>
      <c r="K1222" s="11" t="inlineStr">
        <is>
          <t>N/A</t>
        </is>
      </c>
      <c r="L1222" s="11" t="inlineStr"/>
      <c r="M1222" s="11">
        <f>IF(K1222="FUERA","Fuera del marco",IF(K1222="N/A","Sin marco",IFERROR(INDEX('Datos - Catálogo TIMSS'!$C$5:$C$107,MATCH(K1222,'Datos - Catálogo TIMSS'!$A$5:$A$107,0)),"Pendiente de clasificar")))</f>
        <v/>
      </c>
      <c r="N1222" s="11">
        <f>IF(K1222="FUERA","Fuera del marco",IF(K1222="N/A","Sin marco",IFERROR(INDEX('Datos - Catálogo TIMSS'!$F$5:$F$107,MATCH(K1222,'Datos - Catálogo TIMSS'!$A$5:$A$107,0)),"Pendiente de clasificar")))</f>
        <v/>
      </c>
      <c r="O1222" s="11">
        <f>IF(L1222="","",IFERROR(INDEX('Datos - Catálogo TIMSS'!$C$5:$C$107,MATCH(L1222,'Datos - Catálogo TIMSS'!$A$5:$A$107,0)),"?"))</f>
        <v/>
      </c>
      <c r="P1222" s="11" t="inlineStr">
        <is>
          <t>N/A</t>
        </is>
      </c>
      <c r="Q1222" s="38" t="inlineStr">
        <is>
          <t>Sin marco TIMSS de contenido para esta asignatura en Bachillerato</t>
        </is>
      </c>
      <c r="R1222" s="38" t="inlineStr">
        <is>
          <t>Aplicar: calcular el índice mitótico. Razonar: inferir duraciones relativas a partir de frecuencias</t>
        </is>
      </c>
      <c r="S1222" s="39">
        <f>IFERROR(ISNUMBER(SEARCH("Conocer",$R1222))/(ISNUMBER(SEARCH("Conocer",$R1222))+ISNUMBER(SEARCH("Aplicar",$R1222))+ISNUMBER(SEARCH("Razonar",$R1222))),0)</f>
        <v/>
      </c>
      <c r="T1222" s="39">
        <f>IFERROR(ISNUMBER(SEARCH("Aplicar",$R1222))/(ISNUMBER(SEARCH("Conocer",$R1222))+ISNUMBER(SEARCH("Aplicar",$R1222))+ISNUMBER(SEARCH("Razonar",$R1222))),0)</f>
        <v/>
      </c>
      <c r="U1222" s="39">
        <f>IFERROR(ISNUMBER(SEARCH("Razonar",$R1222))/(ISNUMBER(SEARCH("Conocer",$R1222))+ISNUMBER(SEARCH("Aplicar",$R1222))+ISNUMBER(SEARCH("Razonar",$R1222))),0)</f>
        <v/>
      </c>
      <c r="V1222" s="11" t="inlineStr">
        <is>
          <t>Biología 11°</t>
        </is>
      </c>
      <c r="W1222" s="11" t="inlineStr">
        <is>
          <t>Biología 10°–11°</t>
        </is>
      </c>
      <c r="X1222" s="11">
        <f>IF(OR(IFERROR(INDEX('Datos - Catálogo TIMSS'!$I$5:$I$107,MATCH(K1222,'Datos - Catálogo TIMSS'!$A$5:$A$107,0)),"No")="Sí",IFERROR(INDEX('Datos - Catálogo TIMSS'!$I$5:$I$107,MATCH(L1222,'Datos - Catálogo TIMSS'!$A$5:$A$107,0)),"No")="Sí"),1,0)</f>
        <v/>
      </c>
      <c r="Y1222" s="11">
        <f>IF(IFERROR(INDEX('Datos - Catálogo TIMSS'!$J$5:$J$107,MATCH(K1222,'Datos - Catálogo TIMSS'!$A$5:$A$107,0)),"No")="Sí",1,0)</f>
        <v/>
      </c>
      <c r="Z1222" s="11">
        <f>IF(IFERROR(INDEX('Datos - Catálogo TIMSS'!$J$5:$J$107,MATCH(L1222,'Datos - Catálogo TIMSS'!$A$5:$A$107,0)),"No")="Sí",1,0)</f>
        <v/>
      </c>
      <c r="AA1222" s="11" t="inlineStr">
        <is>
          <t>N/A</t>
        </is>
      </c>
      <c r="AB1222" s="11" t="inlineStr"/>
      <c r="AC1222" s="11">
        <f>IF(AA1222="FUERA","Fuera del marco",IF(AA1222="N/A","Sin marco",IFERROR(INDEX('Datos - TIMSS 2023'!$C$5:$C$105,MATCH(AA1222,'Datos - TIMSS 2023'!$A$5:$A$105,0)),"Pendiente de clasificar")))</f>
        <v/>
      </c>
      <c r="AD1222" s="11" t="inlineStr">
        <is>
          <t>2. Construir y evaluar diseños para la indagación científica e interpretar datos y evidencia de forma crítica</t>
        </is>
      </c>
      <c r="AE1222" s="11">
        <f>IF(AD1222="","",IF(LEFT(AD1222,1)="1","C1",IF(LEFT(AD1222,1)="2","C2",IF(LEFT(AD1222,1)="3","C3",""))))</f>
        <v/>
      </c>
      <c r="AF1222" s="11" t="inlineStr">
        <is>
          <t>E1</t>
        </is>
      </c>
      <c r="AG1222" s="11" t="inlineStr">
        <is>
          <t>D1</t>
        </is>
      </c>
      <c r="AH1222" s="11" t="inlineStr">
        <is>
          <t>E2</t>
        </is>
      </c>
      <c r="AI1222" s="11" t="inlineStr">
        <is>
          <t>D4</t>
        </is>
      </c>
      <c r="AJ1222" s="11" t="inlineStr">
        <is>
          <t>E3</t>
        </is>
      </c>
      <c r="AK1222" s="11" t="n"/>
      <c r="AL1222" s="11" t="n"/>
      <c r="AM1222" s="11" t="n"/>
      <c r="AN1222" s="11" t="n"/>
      <c r="AO1222" s="11" t="n"/>
      <c r="AP1222" s="11" t="n"/>
      <c r="AQ1222" s="11" t="n"/>
      <c r="AR1222" s="11" t="n"/>
      <c r="AS1222" s="11" t="n"/>
      <c r="AT1222" s="11" t="n"/>
      <c r="AU1222" s="11" t="n"/>
      <c r="AV1222" s="11" t="n"/>
      <c r="AW1222" s="11">
        <f>AF1222&amp;"; "&amp;AG1222&amp;"; "&amp;AH1222&amp;"; "&amp;AI1222&amp;"; "&amp;AJ1222</f>
        <v/>
      </c>
    </row>
    <row r="1223">
      <c r="A1223" s="11" t="inlineStr">
        <is>
          <t>T0121-G11-BIO</t>
        </is>
      </c>
      <c r="B1223" s="11" t="n">
        <v>11</v>
      </c>
      <c r="C1223" s="11" t="inlineStr">
        <is>
          <t>Biología</t>
        </is>
      </c>
      <c r="D1223" s="11" t="inlineStr">
        <is>
          <t>Matriz_Bachillerato_Biologia_10_11.xlsx</t>
        </is>
      </c>
      <c r="E1223" s="11" t="inlineStr">
        <is>
          <t>Biología 11.°</t>
        </is>
      </c>
      <c r="F1223" s="11" t="n">
        <v>53</v>
      </c>
      <c r="G1223" s="11" t="inlineStr">
        <is>
          <t>4. Bases genéticas de la evolución</t>
        </is>
      </c>
      <c r="H1223" s="11" t="inlineStr">
        <is>
          <t>Ciclo celular</t>
        </is>
      </c>
      <c r="I1223" s="38" t="inlineStr">
        <is>
          <t>4.6. Uso de herramientas virtuales para explorar la división meiótica.</t>
        </is>
      </c>
      <c r="J1223" s="11" t="inlineStr">
        <is>
          <t>Sin marco</t>
        </is>
      </c>
      <c r="K1223" s="11" t="inlineStr">
        <is>
          <t>N/A</t>
        </is>
      </c>
      <c r="L1223" s="11" t="inlineStr"/>
      <c r="M1223" s="11">
        <f>IF(K1223="FUERA","Fuera del marco",IF(K1223="N/A","Sin marco",IFERROR(INDEX('Datos - Catálogo TIMSS'!$C$5:$C$107,MATCH(K1223,'Datos - Catálogo TIMSS'!$A$5:$A$107,0)),"Pendiente de clasificar")))</f>
        <v/>
      </c>
      <c r="N1223" s="11">
        <f>IF(K1223="FUERA","Fuera del marco",IF(K1223="N/A","Sin marco",IFERROR(INDEX('Datos - Catálogo TIMSS'!$F$5:$F$107,MATCH(K1223,'Datos - Catálogo TIMSS'!$A$5:$A$107,0)),"Pendiente de clasificar")))</f>
        <v/>
      </c>
      <c r="O1223" s="11">
        <f>IF(L1223="","",IFERROR(INDEX('Datos - Catálogo TIMSS'!$C$5:$C$107,MATCH(L1223,'Datos - Catálogo TIMSS'!$A$5:$A$107,0)),"?"))</f>
        <v/>
      </c>
      <c r="P1223" s="11" t="inlineStr">
        <is>
          <t>N/A</t>
        </is>
      </c>
      <c r="Q1223" s="38" t="inlineStr">
        <is>
          <t>Sin marco TIMSS de contenido para esta asignatura en Bachillerato</t>
        </is>
      </c>
      <c r="R1223" s="38" t="inlineStr">
        <is>
          <t>Conocer: describir las fases de la meiosis. Aplicar: calcular combinaciones. Razonar: relacionar meiosis con variabilidad</t>
        </is>
      </c>
      <c r="S1223" s="39">
        <f>IFERROR(ISNUMBER(SEARCH("Conocer",$R1223))/(ISNUMBER(SEARCH("Conocer",$R1223))+ISNUMBER(SEARCH("Aplicar",$R1223))+ISNUMBER(SEARCH("Razonar",$R1223))),0)</f>
        <v/>
      </c>
      <c r="T1223" s="39">
        <f>IFERROR(ISNUMBER(SEARCH("Aplicar",$R1223))/(ISNUMBER(SEARCH("Conocer",$R1223))+ISNUMBER(SEARCH("Aplicar",$R1223))+ISNUMBER(SEARCH("Razonar",$R1223))),0)</f>
        <v/>
      </c>
      <c r="U1223" s="39">
        <f>IFERROR(ISNUMBER(SEARCH("Razonar",$R1223))/(ISNUMBER(SEARCH("Conocer",$R1223))+ISNUMBER(SEARCH("Aplicar",$R1223))+ISNUMBER(SEARCH("Razonar",$R1223))),0)</f>
        <v/>
      </c>
      <c r="V1223" s="11" t="inlineStr">
        <is>
          <t>Biología 11°</t>
        </is>
      </c>
      <c r="W1223" s="11" t="inlineStr">
        <is>
          <t>Biología 10°–11°</t>
        </is>
      </c>
      <c r="X1223" s="11">
        <f>IF(OR(IFERROR(INDEX('Datos - Catálogo TIMSS'!$I$5:$I$107,MATCH(K1223,'Datos - Catálogo TIMSS'!$A$5:$A$107,0)),"No")="Sí",IFERROR(INDEX('Datos - Catálogo TIMSS'!$I$5:$I$107,MATCH(L1223,'Datos - Catálogo TIMSS'!$A$5:$A$107,0)),"No")="Sí"),1,0)</f>
        <v/>
      </c>
      <c r="Y1223" s="11">
        <f>IF(IFERROR(INDEX('Datos - Catálogo TIMSS'!$J$5:$J$107,MATCH(K1223,'Datos - Catálogo TIMSS'!$A$5:$A$107,0)),"No")="Sí",1,0)</f>
        <v/>
      </c>
      <c r="Z1223" s="11">
        <f>IF(IFERROR(INDEX('Datos - Catálogo TIMSS'!$J$5:$J$107,MATCH(L1223,'Datos - Catálogo TIMSS'!$A$5:$A$107,0)),"No")="Sí",1,0)</f>
        <v/>
      </c>
      <c r="AA1223" s="11" t="inlineStr">
        <is>
          <t>N/A</t>
        </is>
      </c>
      <c r="AB1223" s="11" t="inlineStr"/>
      <c r="AC1223" s="11">
        <f>IF(AA1223="FUERA","Fuera del marco",IF(AA1223="N/A","Sin marco",IFERROR(INDEX('Datos - TIMSS 2023'!$C$5:$C$105,MATCH(AA1223,'Datos - TIMSS 2023'!$A$5:$A$105,0)),"Pendiente de clasificar")))</f>
        <v/>
      </c>
      <c r="AD1223" s="11" t="inlineStr">
        <is>
          <t>1. Explicar fenómenos científicamente</t>
        </is>
      </c>
      <c r="AE1223" s="11">
        <f>IF(AD1223="","",IF(LEFT(AD1223,1)="1","C1",IF(LEFT(AD1223,1)="2","C2",IF(LEFT(AD1223,1)="3","C3",""))))</f>
        <v/>
      </c>
      <c r="AF1223" s="11" t="inlineStr">
        <is>
          <t>E1</t>
        </is>
      </c>
      <c r="AG1223" s="11" t="inlineStr">
        <is>
          <t>E5</t>
        </is>
      </c>
      <c r="AH1223" s="11" t="inlineStr">
        <is>
          <t>E4</t>
        </is>
      </c>
      <c r="AI1223" s="11" t="inlineStr">
        <is>
          <t>D4</t>
        </is>
      </c>
      <c r="AJ1223" s="11" t="inlineStr">
        <is>
          <t>E3</t>
        </is>
      </c>
      <c r="AK1223" s="11" t="n"/>
      <c r="AL1223" s="11" t="n"/>
      <c r="AM1223" s="11" t="n"/>
      <c r="AN1223" s="11" t="n"/>
      <c r="AO1223" s="11" t="n"/>
      <c r="AP1223" s="11" t="n"/>
      <c r="AQ1223" s="11" t="n"/>
      <c r="AR1223" s="11" t="n"/>
      <c r="AS1223" s="11" t="n"/>
      <c r="AT1223" s="11" t="n"/>
      <c r="AU1223" s="11" t="n"/>
      <c r="AV1223" s="11" t="n"/>
      <c r="AW1223" s="11">
        <f>AF1223&amp;"; "&amp;AG1223&amp;"; "&amp;AH1223&amp;"; "&amp;AI1223&amp;"; "&amp;AJ1223</f>
        <v/>
      </c>
    </row>
    <row r="1224">
      <c r="A1224" s="11" t="inlineStr">
        <is>
          <t>T0122-G11-BIO</t>
        </is>
      </c>
      <c r="B1224" s="11" t="n">
        <v>11</v>
      </c>
      <c r="C1224" s="11" t="inlineStr">
        <is>
          <t>Biología</t>
        </is>
      </c>
      <c r="D1224" s="11" t="inlineStr">
        <is>
          <t>Matriz_Bachillerato_Biologia_10_11.xlsx</t>
        </is>
      </c>
      <c r="E1224" s="11" t="inlineStr">
        <is>
          <t>Biología 11.°</t>
        </is>
      </c>
      <c r="F1224" s="11" t="n">
        <v>54</v>
      </c>
      <c r="G1224" s="11" t="inlineStr">
        <is>
          <t>4. Bases genéticas de la evolución</t>
        </is>
      </c>
      <c r="H1224" s="11" t="inlineStr">
        <is>
          <t>Expresión génica</t>
        </is>
      </c>
      <c r="I1224" s="38" t="inlineStr">
        <is>
          <t>4.7. Reconocimiento de procesos cotidianos que involucran el control de la expresión génica.</t>
        </is>
      </c>
      <c r="J1224" s="11" t="inlineStr">
        <is>
          <t>Sin marco</t>
        </is>
      </c>
      <c r="K1224" s="11" t="inlineStr">
        <is>
          <t>N/A</t>
        </is>
      </c>
      <c r="L1224" s="11" t="inlineStr"/>
      <c r="M1224" s="11">
        <f>IF(K1224="FUERA","Fuera del marco",IF(K1224="N/A","Sin marco",IFERROR(INDEX('Datos - Catálogo TIMSS'!$C$5:$C$107,MATCH(K1224,'Datos - Catálogo TIMSS'!$A$5:$A$107,0)),"Pendiente de clasificar")))</f>
        <v/>
      </c>
      <c r="N1224" s="11">
        <f>IF(K1224="FUERA","Fuera del marco",IF(K1224="N/A","Sin marco",IFERROR(INDEX('Datos - Catálogo TIMSS'!$F$5:$F$107,MATCH(K1224,'Datos - Catálogo TIMSS'!$A$5:$A$107,0)),"Pendiente de clasificar")))</f>
        <v/>
      </c>
      <c r="O1224" s="11">
        <f>IF(L1224="","",IFERROR(INDEX('Datos - Catálogo TIMSS'!$C$5:$C$107,MATCH(L1224,'Datos - Catálogo TIMSS'!$A$5:$A$107,0)),"?"))</f>
        <v/>
      </c>
      <c r="P1224" s="11" t="inlineStr">
        <is>
          <t>N/A</t>
        </is>
      </c>
      <c r="Q1224" s="38" t="inlineStr">
        <is>
          <t>Sin marco TIMSS de contenido para esta asignatura en Bachillerato</t>
        </is>
      </c>
      <c r="R1224" s="38" t="inlineStr">
        <is>
          <t>Conocer: definir expresión génica. Aplicar: ejemplificar su control. Razonar: evaluar afirmaciones pseudocientíficas</t>
        </is>
      </c>
      <c r="S1224" s="39">
        <f>IFERROR(ISNUMBER(SEARCH("Conocer",$R1224))/(ISNUMBER(SEARCH("Conocer",$R1224))+ISNUMBER(SEARCH("Aplicar",$R1224))+ISNUMBER(SEARCH("Razonar",$R1224))),0)</f>
        <v/>
      </c>
      <c r="T1224" s="39">
        <f>IFERROR(ISNUMBER(SEARCH("Aplicar",$R1224))/(ISNUMBER(SEARCH("Conocer",$R1224))+ISNUMBER(SEARCH("Aplicar",$R1224))+ISNUMBER(SEARCH("Razonar",$R1224))),0)</f>
        <v/>
      </c>
      <c r="U1224" s="39">
        <f>IFERROR(ISNUMBER(SEARCH("Razonar",$R1224))/(ISNUMBER(SEARCH("Conocer",$R1224))+ISNUMBER(SEARCH("Aplicar",$R1224))+ISNUMBER(SEARCH("Razonar",$R1224))),0)</f>
        <v/>
      </c>
      <c r="V1224" s="11" t="inlineStr">
        <is>
          <t>Biología 11°</t>
        </is>
      </c>
      <c r="W1224" s="11" t="inlineStr">
        <is>
          <t>Biología 10°–11°</t>
        </is>
      </c>
      <c r="X1224" s="11">
        <f>IF(OR(IFERROR(INDEX('Datos - Catálogo TIMSS'!$I$5:$I$107,MATCH(K1224,'Datos - Catálogo TIMSS'!$A$5:$A$107,0)),"No")="Sí",IFERROR(INDEX('Datos - Catálogo TIMSS'!$I$5:$I$107,MATCH(L1224,'Datos - Catálogo TIMSS'!$A$5:$A$107,0)),"No")="Sí"),1,0)</f>
        <v/>
      </c>
      <c r="Y1224" s="11">
        <f>IF(IFERROR(INDEX('Datos - Catálogo TIMSS'!$J$5:$J$107,MATCH(K1224,'Datos - Catálogo TIMSS'!$A$5:$A$107,0)),"No")="Sí",1,0)</f>
        <v/>
      </c>
      <c r="Z1224" s="11">
        <f>IF(IFERROR(INDEX('Datos - Catálogo TIMSS'!$J$5:$J$107,MATCH(L1224,'Datos - Catálogo TIMSS'!$A$5:$A$107,0)),"No")="Sí",1,0)</f>
        <v/>
      </c>
      <c r="AA1224" s="11" t="inlineStr">
        <is>
          <t>N/A</t>
        </is>
      </c>
      <c r="AB1224" s="11" t="inlineStr"/>
      <c r="AC1224" s="11">
        <f>IF(AA1224="FUERA","Fuera del marco",IF(AA1224="N/A","Sin marco",IFERROR(INDEX('Datos - TIMSS 2023'!$C$5:$C$105,MATCH(AA1224,'Datos - TIMSS 2023'!$A$5:$A$105,0)),"Pendiente de clasificar")))</f>
        <v/>
      </c>
      <c r="AD1224" s="11" t="inlineStr">
        <is>
          <t>1. Explicar fenómenos científicamente</t>
        </is>
      </c>
      <c r="AE1224" s="11">
        <f>IF(AD1224="","",IF(LEFT(AD1224,1)="1","C1",IF(LEFT(AD1224,1)="2","C2",IF(LEFT(AD1224,1)="3","C3",""))))</f>
        <v/>
      </c>
      <c r="AF1224" s="11" t="inlineStr">
        <is>
          <t>E6</t>
        </is>
      </c>
      <c r="AG1224" s="11" t="inlineStr">
        <is>
          <t>D1</t>
        </is>
      </c>
      <c r="AH1224" s="11" t="inlineStr">
        <is>
          <t>E1</t>
        </is>
      </c>
      <c r="AI1224" s="11" t="inlineStr">
        <is>
          <t>I1</t>
        </is>
      </c>
      <c r="AJ1224" s="11" t="inlineStr">
        <is>
          <t>I4</t>
        </is>
      </c>
      <c r="AK1224" s="11" t="n"/>
      <c r="AL1224" s="11" t="n"/>
      <c r="AM1224" s="11" t="n"/>
      <c r="AN1224" s="11" t="n"/>
      <c r="AO1224" s="11" t="n"/>
      <c r="AP1224" s="11" t="n"/>
      <c r="AQ1224" s="11" t="n"/>
      <c r="AR1224" s="11" t="n"/>
      <c r="AS1224" s="11" t="n"/>
      <c r="AT1224" s="11" t="n"/>
      <c r="AU1224" s="11" t="n"/>
      <c r="AV1224" s="11" t="n"/>
      <c r="AW1224" s="11">
        <f>AF1224&amp;"; "&amp;AG1224&amp;"; "&amp;AH1224&amp;"; "&amp;AI1224&amp;"; "&amp;AJ1224</f>
        <v/>
      </c>
    </row>
    <row r="1225">
      <c r="A1225" s="11" t="inlineStr">
        <is>
          <t>T0123-G11-BIO</t>
        </is>
      </c>
      <c r="B1225" s="11" t="n">
        <v>11</v>
      </c>
      <c r="C1225" s="11" t="inlineStr">
        <is>
          <t>Biología</t>
        </is>
      </c>
      <c r="D1225" s="11" t="inlineStr">
        <is>
          <t>Matriz_Bachillerato_Biologia_10_11.xlsx</t>
        </is>
      </c>
      <c r="E1225" s="11" t="inlineStr">
        <is>
          <t>Biología 11.°</t>
        </is>
      </c>
      <c r="F1225" s="11" t="n">
        <v>55</v>
      </c>
      <c r="G1225" s="11" t="inlineStr">
        <is>
          <t>4. Bases genéticas de la evolución</t>
        </is>
      </c>
      <c r="H1225" s="11" t="inlineStr">
        <is>
          <t>Expresión génica</t>
        </is>
      </c>
      <c r="I1225" s="38" t="inlineStr">
        <is>
          <t>4.8. Simulación de los procesos de transcripción y traducción.</t>
        </is>
      </c>
      <c r="J1225" s="11" t="inlineStr">
        <is>
          <t>Sin marco</t>
        </is>
      </c>
      <c r="K1225" s="11" t="inlineStr">
        <is>
          <t>N/A</t>
        </is>
      </c>
      <c r="L1225" s="11" t="inlineStr"/>
      <c r="M1225" s="11">
        <f>IF(K1225="FUERA","Fuera del marco",IF(K1225="N/A","Sin marco",IFERROR(INDEX('Datos - Catálogo TIMSS'!$C$5:$C$107,MATCH(K1225,'Datos - Catálogo TIMSS'!$A$5:$A$107,0)),"Pendiente de clasificar")))</f>
        <v/>
      </c>
      <c r="N1225" s="11">
        <f>IF(K1225="FUERA","Fuera del marco",IF(K1225="N/A","Sin marco",IFERROR(INDEX('Datos - Catálogo TIMSS'!$F$5:$F$107,MATCH(K1225,'Datos - Catálogo TIMSS'!$A$5:$A$107,0)),"Pendiente de clasificar")))</f>
        <v/>
      </c>
      <c r="O1225" s="11">
        <f>IF(L1225="","",IFERROR(INDEX('Datos - Catálogo TIMSS'!$C$5:$C$107,MATCH(L1225,'Datos - Catálogo TIMSS'!$A$5:$A$107,0)),"?"))</f>
        <v/>
      </c>
      <c r="P1225" s="11" t="inlineStr">
        <is>
          <t>N/A</t>
        </is>
      </c>
      <c r="Q1225" s="38" t="inlineStr">
        <is>
          <t>Sin marco TIMSS de contenido para esta asignatura en Bachillerato</t>
        </is>
      </c>
      <c r="R1225" s="38" t="inlineStr">
        <is>
          <t>Aplicar: transcribir y traducir secuencias. Razonar: predecir efectos de cambios en la secuencia</t>
        </is>
      </c>
      <c r="S1225" s="39">
        <f>IFERROR(ISNUMBER(SEARCH("Conocer",$R1225))/(ISNUMBER(SEARCH("Conocer",$R1225))+ISNUMBER(SEARCH("Aplicar",$R1225))+ISNUMBER(SEARCH("Razonar",$R1225))),0)</f>
        <v/>
      </c>
      <c r="T1225" s="39">
        <f>IFERROR(ISNUMBER(SEARCH("Aplicar",$R1225))/(ISNUMBER(SEARCH("Conocer",$R1225))+ISNUMBER(SEARCH("Aplicar",$R1225))+ISNUMBER(SEARCH("Razonar",$R1225))),0)</f>
        <v/>
      </c>
      <c r="U1225" s="39">
        <f>IFERROR(ISNUMBER(SEARCH("Razonar",$R1225))/(ISNUMBER(SEARCH("Conocer",$R1225))+ISNUMBER(SEARCH("Aplicar",$R1225))+ISNUMBER(SEARCH("Razonar",$R1225))),0)</f>
        <v/>
      </c>
      <c r="V1225" s="11" t="inlineStr">
        <is>
          <t>Biología 11°</t>
        </is>
      </c>
      <c r="W1225" s="11" t="inlineStr">
        <is>
          <t>Biología 10°–11°</t>
        </is>
      </c>
      <c r="X1225" s="11">
        <f>IF(OR(IFERROR(INDEX('Datos - Catálogo TIMSS'!$I$5:$I$107,MATCH(K1225,'Datos - Catálogo TIMSS'!$A$5:$A$107,0)),"No")="Sí",IFERROR(INDEX('Datos - Catálogo TIMSS'!$I$5:$I$107,MATCH(L1225,'Datos - Catálogo TIMSS'!$A$5:$A$107,0)),"No")="Sí"),1,0)</f>
        <v/>
      </c>
      <c r="Y1225" s="11">
        <f>IF(IFERROR(INDEX('Datos - Catálogo TIMSS'!$J$5:$J$107,MATCH(K1225,'Datos - Catálogo TIMSS'!$A$5:$A$107,0)),"No")="Sí",1,0)</f>
        <v/>
      </c>
      <c r="Z1225" s="11">
        <f>IF(IFERROR(INDEX('Datos - Catálogo TIMSS'!$J$5:$J$107,MATCH(L1225,'Datos - Catálogo TIMSS'!$A$5:$A$107,0)),"No")="Sí",1,0)</f>
        <v/>
      </c>
      <c r="AA1225" s="11" t="inlineStr">
        <is>
          <t>N/A</t>
        </is>
      </c>
      <c r="AB1225" s="11" t="inlineStr"/>
      <c r="AC1225" s="11">
        <f>IF(AA1225="FUERA","Fuera del marco",IF(AA1225="N/A","Sin marco",IFERROR(INDEX('Datos - TIMSS 2023'!$C$5:$C$105,MATCH(AA1225,'Datos - TIMSS 2023'!$A$5:$A$105,0)),"Pendiente de clasificar")))</f>
        <v/>
      </c>
      <c r="AD1225" s="11" t="inlineStr">
        <is>
          <t>1. Explicar fenómenos científicamente</t>
        </is>
      </c>
      <c r="AE1225" s="11">
        <f>IF(AD1225="","",IF(LEFT(AD1225,1)="1","C1",IF(LEFT(AD1225,1)="2","C2",IF(LEFT(AD1225,1)="3","C3",""))))</f>
        <v/>
      </c>
      <c r="AF1225" s="11" t="inlineStr">
        <is>
          <t>E1</t>
        </is>
      </c>
      <c r="AG1225" s="11" t="inlineStr">
        <is>
          <t>E3</t>
        </is>
      </c>
      <c r="AH1225" s="11" t="inlineStr">
        <is>
          <t>E2</t>
        </is>
      </c>
      <c r="AI1225" s="11" t="inlineStr">
        <is>
          <t>E4</t>
        </is>
      </c>
      <c r="AJ1225" s="11" t="inlineStr">
        <is>
          <t>E3</t>
        </is>
      </c>
      <c r="AK1225" s="11" t="n"/>
      <c r="AL1225" s="11" t="n"/>
      <c r="AM1225" s="11" t="n"/>
      <c r="AN1225" s="11" t="n"/>
      <c r="AO1225" s="11" t="n"/>
      <c r="AP1225" s="11" t="n"/>
      <c r="AQ1225" s="11" t="n"/>
      <c r="AR1225" s="11" t="n"/>
      <c r="AS1225" s="11" t="n"/>
      <c r="AT1225" s="11" t="n"/>
      <c r="AU1225" s="11" t="n"/>
      <c r="AV1225" s="11" t="n"/>
      <c r="AW1225" s="11">
        <f>AF1225&amp;"; "&amp;AG1225&amp;"; "&amp;AH1225&amp;"; "&amp;AI1225&amp;"; "&amp;AJ1225</f>
        <v/>
      </c>
    </row>
    <row r="1226">
      <c r="A1226" s="11" t="inlineStr">
        <is>
          <t>T0124-G11-BIO</t>
        </is>
      </c>
      <c r="B1226" s="11" t="n">
        <v>11</v>
      </c>
      <c r="C1226" s="11" t="inlineStr">
        <is>
          <t>Biología</t>
        </is>
      </c>
      <c r="D1226" s="11" t="inlineStr">
        <is>
          <t>Matriz_Bachillerato_Biologia_10_11.xlsx</t>
        </is>
      </c>
      <c r="E1226" s="11" t="inlineStr">
        <is>
          <t>Biología 11.°</t>
        </is>
      </c>
      <c r="F1226" s="11" t="n">
        <v>56</v>
      </c>
      <c r="G1226" s="11" t="inlineStr">
        <is>
          <t>4. Bases genéticas de la evolución</t>
        </is>
      </c>
      <c r="H1226" s="11" t="inlineStr">
        <is>
          <t>Expresión génica</t>
        </is>
      </c>
      <c r="I1226" s="38" t="inlineStr">
        <is>
          <t>4.9. Explicación de los procesos de transcripción y traducción.</t>
        </is>
      </c>
      <c r="J1226" s="11" t="inlineStr">
        <is>
          <t>Sin marco</t>
        </is>
      </c>
      <c r="K1226" s="11" t="inlineStr">
        <is>
          <t>N/A</t>
        </is>
      </c>
      <c r="L1226" s="11" t="inlineStr"/>
      <c r="M1226" s="11">
        <f>IF(K1226="FUERA","Fuera del marco",IF(K1226="N/A","Sin marco",IFERROR(INDEX('Datos - Catálogo TIMSS'!$C$5:$C$107,MATCH(K1226,'Datos - Catálogo TIMSS'!$A$5:$A$107,0)),"Pendiente de clasificar")))</f>
        <v/>
      </c>
      <c r="N1226" s="11">
        <f>IF(K1226="FUERA","Fuera del marco",IF(K1226="N/A","Sin marco",IFERROR(INDEX('Datos - Catálogo TIMSS'!$F$5:$F$107,MATCH(K1226,'Datos - Catálogo TIMSS'!$A$5:$A$107,0)),"Pendiente de clasificar")))</f>
        <v/>
      </c>
      <c r="O1226" s="11">
        <f>IF(L1226="","",IFERROR(INDEX('Datos - Catálogo TIMSS'!$C$5:$C$107,MATCH(L1226,'Datos - Catálogo TIMSS'!$A$5:$A$107,0)),"?"))</f>
        <v/>
      </c>
      <c r="P1226" s="11" t="inlineStr">
        <is>
          <t>N/A</t>
        </is>
      </c>
      <c r="Q1226" s="38" t="inlineStr">
        <is>
          <t>Sin marco TIMSS de contenido para esta asignatura en Bachillerato</t>
        </is>
      </c>
      <c r="R1226" s="38" t="inlineStr">
        <is>
          <t>Conocer: usar la terminología científica. Razonar: explicar el flujo de información genética</t>
        </is>
      </c>
      <c r="S1226" s="39">
        <f>IFERROR(ISNUMBER(SEARCH("Conocer",$R1226))/(ISNUMBER(SEARCH("Conocer",$R1226))+ISNUMBER(SEARCH("Aplicar",$R1226))+ISNUMBER(SEARCH("Razonar",$R1226))),0)</f>
        <v/>
      </c>
      <c r="T1226" s="39">
        <f>IFERROR(ISNUMBER(SEARCH("Aplicar",$R1226))/(ISNUMBER(SEARCH("Conocer",$R1226))+ISNUMBER(SEARCH("Aplicar",$R1226))+ISNUMBER(SEARCH("Razonar",$R1226))),0)</f>
        <v/>
      </c>
      <c r="U1226" s="39">
        <f>IFERROR(ISNUMBER(SEARCH("Razonar",$R1226))/(ISNUMBER(SEARCH("Conocer",$R1226))+ISNUMBER(SEARCH("Aplicar",$R1226))+ISNUMBER(SEARCH("Razonar",$R1226))),0)</f>
        <v/>
      </c>
      <c r="V1226" s="11" t="inlineStr">
        <is>
          <t>Biología 11°</t>
        </is>
      </c>
      <c r="W1226" s="11" t="inlineStr">
        <is>
          <t>Biología 10°–11°</t>
        </is>
      </c>
      <c r="X1226" s="11">
        <f>IF(OR(IFERROR(INDEX('Datos - Catálogo TIMSS'!$I$5:$I$107,MATCH(K1226,'Datos - Catálogo TIMSS'!$A$5:$A$107,0)),"No")="Sí",IFERROR(INDEX('Datos - Catálogo TIMSS'!$I$5:$I$107,MATCH(L1226,'Datos - Catálogo TIMSS'!$A$5:$A$107,0)),"No")="Sí"),1,0)</f>
        <v/>
      </c>
      <c r="Y1226" s="11">
        <f>IF(IFERROR(INDEX('Datos - Catálogo TIMSS'!$J$5:$J$107,MATCH(K1226,'Datos - Catálogo TIMSS'!$A$5:$A$107,0)),"No")="Sí",1,0)</f>
        <v/>
      </c>
      <c r="Z1226" s="11">
        <f>IF(IFERROR(INDEX('Datos - Catálogo TIMSS'!$J$5:$J$107,MATCH(L1226,'Datos - Catálogo TIMSS'!$A$5:$A$107,0)),"No")="Sí",1,0)</f>
        <v/>
      </c>
      <c r="AA1226" s="11" t="inlineStr">
        <is>
          <t>N/A</t>
        </is>
      </c>
      <c r="AB1226" s="11" t="inlineStr"/>
      <c r="AC1226" s="11">
        <f>IF(AA1226="FUERA","Fuera del marco",IF(AA1226="N/A","Sin marco",IFERROR(INDEX('Datos - TIMSS 2023'!$C$5:$C$105,MATCH(AA1226,'Datos - TIMSS 2023'!$A$5:$A$105,0)),"Pendiente de clasificar")))</f>
        <v/>
      </c>
      <c r="AD1226" s="11" t="inlineStr">
        <is>
          <t>1. Explicar fenómenos científicamente</t>
        </is>
      </c>
      <c r="AE1226" s="11">
        <f>IF(AD1226="","",IF(LEFT(AD1226,1)="1","C1",IF(LEFT(AD1226,1)="2","C2",IF(LEFT(AD1226,1)="3","C3",""))))</f>
        <v/>
      </c>
      <c r="AF1226" s="11" t="inlineStr">
        <is>
          <t>E1</t>
        </is>
      </c>
      <c r="AG1226" s="11" t="inlineStr">
        <is>
          <t>E5</t>
        </is>
      </c>
      <c r="AH1226" s="11" t="inlineStr">
        <is>
          <t>E4</t>
        </is>
      </c>
      <c r="AI1226" s="11" t="inlineStr">
        <is>
          <t>I3</t>
        </is>
      </c>
      <c r="AJ1226" s="11" t="inlineStr">
        <is>
          <t>E6</t>
        </is>
      </c>
      <c r="AK1226" s="11" t="n"/>
      <c r="AL1226" s="11" t="n"/>
      <c r="AM1226" s="11" t="n"/>
      <c r="AN1226" s="11" t="n"/>
      <c r="AO1226" s="11" t="n"/>
      <c r="AP1226" s="11" t="n"/>
      <c r="AQ1226" s="11" t="n"/>
      <c r="AR1226" s="11" t="n"/>
      <c r="AS1226" s="11" t="n"/>
      <c r="AT1226" s="11" t="n"/>
      <c r="AU1226" s="11" t="n"/>
      <c r="AV1226" s="11" t="n"/>
      <c r="AW1226" s="11">
        <f>AF1226&amp;"; "&amp;AG1226&amp;"; "&amp;AH1226&amp;"; "&amp;AI1226&amp;"; "&amp;AJ1226</f>
        <v/>
      </c>
    </row>
    <row r="1227">
      <c r="A1227" s="11" t="inlineStr">
        <is>
          <t>T0125-G11-BIO</t>
        </is>
      </c>
      <c r="B1227" s="11" t="n">
        <v>11</v>
      </c>
      <c r="C1227" s="11" t="inlineStr">
        <is>
          <t>Biología</t>
        </is>
      </c>
      <c r="D1227" s="11" t="inlineStr">
        <is>
          <t>Matriz_Bachillerato_Biologia_10_11.xlsx</t>
        </is>
      </c>
      <c r="E1227" s="11" t="inlineStr">
        <is>
          <t>Biología 11.°</t>
        </is>
      </c>
      <c r="F1227" s="11" t="n">
        <v>57</v>
      </c>
      <c r="G1227" s="11" t="inlineStr">
        <is>
          <t>4. Bases genéticas de la evolución</t>
        </is>
      </c>
      <c r="H1227" s="11" t="inlineStr">
        <is>
          <t>Mecanismos evolutivos</t>
        </is>
      </c>
      <c r="I1227" s="38" t="inlineStr">
        <is>
          <t>4.10. Reconocimiento del proceso de recombinación genética y su papel como mecanismo evolutivo.</t>
        </is>
      </c>
      <c r="J1227" s="11" t="inlineStr">
        <is>
          <t>Sin marco</t>
        </is>
      </c>
      <c r="K1227" s="11" t="inlineStr">
        <is>
          <t>N/A</t>
        </is>
      </c>
      <c r="L1227" s="11" t="inlineStr"/>
      <c r="M1227" s="11">
        <f>IF(K1227="FUERA","Fuera del marco",IF(K1227="N/A","Sin marco",IFERROR(INDEX('Datos - Catálogo TIMSS'!$C$5:$C$107,MATCH(K1227,'Datos - Catálogo TIMSS'!$A$5:$A$107,0)),"Pendiente de clasificar")))</f>
        <v/>
      </c>
      <c r="N1227" s="11">
        <f>IF(K1227="FUERA","Fuera del marco",IF(K1227="N/A","Sin marco",IFERROR(INDEX('Datos - Catálogo TIMSS'!$F$5:$F$107,MATCH(K1227,'Datos - Catálogo TIMSS'!$A$5:$A$107,0)),"Pendiente de clasificar")))</f>
        <v/>
      </c>
      <c r="O1227" s="11">
        <f>IF(L1227="","",IFERROR(INDEX('Datos - Catálogo TIMSS'!$C$5:$C$107,MATCH(L1227,'Datos - Catálogo TIMSS'!$A$5:$A$107,0)),"?"))</f>
        <v/>
      </c>
      <c r="P1227" s="11" t="inlineStr">
        <is>
          <t>N/A</t>
        </is>
      </c>
      <c r="Q1227" s="38" t="inlineStr">
        <is>
          <t>Sin marco TIMSS de contenido para esta asignatura en Bachillerato</t>
        </is>
      </c>
      <c r="R1227" s="38" t="inlineStr">
        <is>
          <t>Aplicar: calcular frecuencias de recombinación. Razonar: inferir ligamiento a partir de datos</t>
        </is>
      </c>
      <c r="S1227" s="39">
        <f>IFERROR(ISNUMBER(SEARCH("Conocer",$R1227))/(ISNUMBER(SEARCH("Conocer",$R1227))+ISNUMBER(SEARCH("Aplicar",$R1227))+ISNUMBER(SEARCH("Razonar",$R1227))),0)</f>
        <v/>
      </c>
      <c r="T1227" s="39">
        <f>IFERROR(ISNUMBER(SEARCH("Aplicar",$R1227))/(ISNUMBER(SEARCH("Conocer",$R1227))+ISNUMBER(SEARCH("Aplicar",$R1227))+ISNUMBER(SEARCH("Razonar",$R1227))),0)</f>
        <v/>
      </c>
      <c r="U1227" s="39">
        <f>IFERROR(ISNUMBER(SEARCH("Razonar",$R1227))/(ISNUMBER(SEARCH("Conocer",$R1227))+ISNUMBER(SEARCH("Aplicar",$R1227))+ISNUMBER(SEARCH("Razonar",$R1227))),0)</f>
        <v/>
      </c>
      <c r="V1227" s="11" t="inlineStr">
        <is>
          <t>Biología 11°</t>
        </is>
      </c>
      <c r="W1227" s="11" t="inlineStr">
        <is>
          <t>Biología 10°–11°</t>
        </is>
      </c>
      <c r="X1227" s="11">
        <f>IF(OR(IFERROR(INDEX('Datos - Catálogo TIMSS'!$I$5:$I$107,MATCH(K1227,'Datos - Catálogo TIMSS'!$A$5:$A$107,0)),"No")="Sí",IFERROR(INDEX('Datos - Catálogo TIMSS'!$I$5:$I$107,MATCH(L1227,'Datos - Catálogo TIMSS'!$A$5:$A$107,0)),"No")="Sí"),1,0)</f>
        <v/>
      </c>
      <c r="Y1227" s="11">
        <f>IF(IFERROR(INDEX('Datos - Catálogo TIMSS'!$J$5:$J$107,MATCH(K1227,'Datos - Catálogo TIMSS'!$A$5:$A$107,0)),"No")="Sí",1,0)</f>
        <v/>
      </c>
      <c r="Z1227" s="11">
        <f>IF(IFERROR(INDEX('Datos - Catálogo TIMSS'!$J$5:$J$107,MATCH(L1227,'Datos - Catálogo TIMSS'!$A$5:$A$107,0)),"No")="Sí",1,0)</f>
        <v/>
      </c>
      <c r="AA1227" s="11" t="inlineStr">
        <is>
          <t>N/A</t>
        </is>
      </c>
      <c r="AB1227" s="11" t="inlineStr"/>
      <c r="AC1227" s="11">
        <f>IF(AA1227="FUERA","Fuera del marco",IF(AA1227="N/A","Sin marco",IFERROR(INDEX('Datos - TIMSS 2023'!$C$5:$C$105,MATCH(AA1227,'Datos - TIMSS 2023'!$A$5:$A$105,0)),"Pendiente de clasificar")))</f>
        <v/>
      </c>
      <c r="AD1227" s="11" t="inlineStr">
        <is>
          <t>1. Explicar fenómenos científicamente</t>
        </is>
      </c>
      <c r="AE1227" s="11">
        <f>IF(AD1227="","",IF(LEFT(AD1227,1)="1","C1",IF(LEFT(AD1227,1)="2","C2",IF(LEFT(AD1227,1)="3","C3",""))))</f>
        <v/>
      </c>
      <c r="AF1227" s="11" t="inlineStr">
        <is>
          <t>E1</t>
        </is>
      </c>
      <c r="AG1227" s="11" t="inlineStr">
        <is>
          <t>E5</t>
        </is>
      </c>
      <c r="AH1227" s="11" t="inlineStr">
        <is>
          <t>E2</t>
        </is>
      </c>
      <c r="AI1227" s="11" t="inlineStr">
        <is>
          <t>D4</t>
        </is>
      </c>
      <c r="AJ1227" s="11" t="inlineStr">
        <is>
          <t>E3</t>
        </is>
      </c>
      <c r="AK1227" s="11" t="n"/>
      <c r="AL1227" s="11" t="n"/>
      <c r="AM1227" s="11" t="n"/>
      <c r="AN1227" s="11" t="n"/>
      <c r="AO1227" s="11" t="n"/>
      <c r="AP1227" s="11" t="n"/>
      <c r="AQ1227" s="11" t="n"/>
      <c r="AR1227" s="11" t="n"/>
      <c r="AS1227" s="11" t="n"/>
      <c r="AT1227" s="11" t="n"/>
      <c r="AU1227" s="11" t="n"/>
      <c r="AV1227" s="11" t="n"/>
      <c r="AW1227" s="11">
        <f>AF1227&amp;"; "&amp;AG1227&amp;"; "&amp;AH1227&amp;"; "&amp;AI1227&amp;"; "&amp;AJ1227</f>
        <v/>
      </c>
    </row>
    <row r="1228">
      <c r="A1228" s="11" t="inlineStr">
        <is>
          <t>T0126-G11-BIO</t>
        </is>
      </c>
      <c r="B1228" s="11" t="n">
        <v>11</v>
      </c>
      <c r="C1228" s="11" t="inlineStr">
        <is>
          <t>Biología</t>
        </is>
      </c>
      <c r="D1228" s="11" t="inlineStr">
        <is>
          <t>Matriz_Bachillerato_Biologia_10_11.xlsx</t>
        </is>
      </c>
      <c r="E1228" s="11" t="inlineStr">
        <is>
          <t>Biología 11.°</t>
        </is>
      </c>
      <c r="F1228" s="11" t="n">
        <v>58</v>
      </c>
      <c r="G1228" s="11" t="inlineStr">
        <is>
          <t>4. Bases genéticas de la evolución</t>
        </is>
      </c>
      <c r="H1228" s="11" t="inlineStr">
        <is>
          <t>Mecanismos evolutivos</t>
        </is>
      </c>
      <c r="I1228" s="38" t="inlineStr">
        <is>
          <t>4.11. Reconocimiento del papel de las mutaciones en la adaptabilidad y en el incremento de la diversidad genética.</t>
        </is>
      </c>
      <c r="J1228" s="11" t="inlineStr">
        <is>
          <t>Sin marco</t>
        </is>
      </c>
      <c r="K1228" s="11" t="inlineStr">
        <is>
          <t>N/A</t>
        </is>
      </c>
      <c r="L1228" s="11" t="inlineStr"/>
      <c r="M1228" s="11">
        <f>IF(K1228="FUERA","Fuera del marco",IF(K1228="N/A","Sin marco",IFERROR(INDEX('Datos - Catálogo TIMSS'!$C$5:$C$107,MATCH(K1228,'Datos - Catálogo TIMSS'!$A$5:$A$107,0)),"Pendiente de clasificar")))</f>
        <v/>
      </c>
      <c r="N1228" s="11">
        <f>IF(K1228="FUERA","Fuera del marco",IF(K1228="N/A","Sin marco",IFERROR(INDEX('Datos - Catálogo TIMSS'!$F$5:$F$107,MATCH(K1228,'Datos - Catálogo TIMSS'!$A$5:$A$107,0)),"Pendiente de clasificar")))</f>
        <v/>
      </c>
      <c r="O1228" s="11">
        <f>IF(L1228="","",IFERROR(INDEX('Datos - Catálogo TIMSS'!$C$5:$C$107,MATCH(L1228,'Datos - Catálogo TIMSS'!$A$5:$A$107,0)),"?"))</f>
        <v/>
      </c>
      <c r="P1228" s="11" t="inlineStr">
        <is>
          <t>N/A</t>
        </is>
      </c>
      <c r="Q1228" s="38" t="inlineStr">
        <is>
          <t>Sin marco TIMSS de contenido para esta asignatura en Bachillerato</t>
        </is>
      </c>
      <c r="R1228" s="38" t="inlineStr">
        <is>
          <t>Conocer: clasificar mutaciones. Razonar: argumentar su papel en la adaptabilidad</t>
        </is>
      </c>
      <c r="S1228" s="39">
        <f>IFERROR(ISNUMBER(SEARCH("Conocer",$R1228))/(ISNUMBER(SEARCH("Conocer",$R1228))+ISNUMBER(SEARCH("Aplicar",$R1228))+ISNUMBER(SEARCH("Razonar",$R1228))),0)</f>
        <v/>
      </c>
      <c r="T1228" s="39">
        <f>IFERROR(ISNUMBER(SEARCH("Aplicar",$R1228))/(ISNUMBER(SEARCH("Conocer",$R1228))+ISNUMBER(SEARCH("Aplicar",$R1228))+ISNUMBER(SEARCH("Razonar",$R1228))),0)</f>
        <v/>
      </c>
      <c r="U1228" s="39">
        <f>IFERROR(ISNUMBER(SEARCH("Razonar",$R1228))/(ISNUMBER(SEARCH("Conocer",$R1228))+ISNUMBER(SEARCH("Aplicar",$R1228))+ISNUMBER(SEARCH("Razonar",$R1228))),0)</f>
        <v/>
      </c>
      <c r="V1228" s="11" t="inlineStr">
        <is>
          <t>Biología 11°</t>
        </is>
      </c>
      <c r="W1228" s="11" t="inlineStr">
        <is>
          <t>Biología 10°–11°</t>
        </is>
      </c>
      <c r="X1228" s="11">
        <f>IF(OR(IFERROR(INDEX('Datos - Catálogo TIMSS'!$I$5:$I$107,MATCH(K1228,'Datos - Catálogo TIMSS'!$A$5:$A$107,0)),"No")="Sí",IFERROR(INDEX('Datos - Catálogo TIMSS'!$I$5:$I$107,MATCH(L1228,'Datos - Catálogo TIMSS'!$A$5:$A$107,0)),"No")="Sí"),1,0)</f>
        <v/>
      </c>
      <c r="Y1228" s="11">
        <f>IF(IFERROR(INDEX('Datos - Catálogo TIMSS'!$J$5:$J$107,MATCH(K1228,'Datos - Catálogo TIMSS'!$A$5:$A$107,0)),"No")="Sí",1,0)</f>
        <v/>
      </c>
      <c r="Z1228" s="11">
        <f>IF(IFERROR(INDEX('Datos - Catálogo TIMSS'!$J$5:$J$107,MATCH(L1228,'Datos - Catálogo TIMSS'!$A$5:$A$107,0)),"No")="Sí",1,0)</f>
        <v/>
      </c>
      <c r="AA1228" s="11" t="inlineStr">
        <is>
          <t>N/A</t>
        </is>
      </c>
      <c r="AB1228" s="11" t="inlineStr"/>
      <c r="AC1228" s="11">
        <f>IF(AA1228="FUERA","Fuera del marco",IF(AA1228="N/A","Sin marco",IFERROR(INDEX('Datos - TIMSS 2023'!$C$5:$C$105,MATCH(AA1228,'Datos - TIMSS 2023'!$A$5:$A$105,0)),"Pendiente de clasificar")))</f>
        <v/>
      </c>
      <c r="AD1228" s="11" t="inlineStr">
        <is>
          <t>1. Explicar fenómenos científicamente</t>
        </is>
      </c>
      <c r="AE1228" s="11">
        <f>IF(AD1228="","",IF(LEFT(AD1228,1)="1","C1",IF(LEFT(AD1228,1)="2","C2",IF(LEFT(AD1228,1)="3","C3",""))))</f>
        <v/>
      </c>
      <c r="AF1228" s="11" t="inlineStr">
        <is>
          <t>E6</t>
        </is>
      </c>
      <c r="AG1228" s="11" t="inlineStr">
        <is>
          <t>D1</t>
        </is>
      </c>
      <c r="AH1228" s="11" t="inlineStr">
        <is>
          <t>E1</t>
        </is>
      </c>
      <c r="AI1228" s="11" t="inlineStr">
        <is>
          <t>I3</t>
        </is>
      </c>
      <c r="AJ1228" s="11" t="inlineStr">
        <is>
          <t>E3</t>
        </is>
      </c>
      <c r="AK1228" s="11" t="n"/>
      <c r="AL1228" s="11" t="n"/>
      <c r="AM1228" s="11" t="n"/>
      <c r="AN1228" s="11" t="n"/>
      <c r="AO1228" s="11" t="n"/>
      <c r="AP1228" s="11" t="n"/>
      <c r="AQ1228" s="11" t="n"/>
      <c r="AR1228" s="11" t="n"/>
      <c r="AS1228" s="11" t="n"/>
      <c r="AT1228" s="11" t="n"/>
      <c r="AU1228" s="11" t="n"/>
      <c r="AV1228" s="11" t="n"/>
      <c r="AW1228" s="11">
        <f>AF1228&amp;"; "&amp;AG1228&amp;"; "&amp;AH1228&amp;"; "&amp;AI1228&amp;"; "&amp;AJ1228</f>
        <v/>
      </c>
    </row>
    <row r="1229">
      <c r="A1229" s="11" t="inlineStr">
        <is>
          <t>T0127-G11-BIO</t>
        </is>
      </c>
      <c r="B1229" s="11" t="n">
        <v>11</v>
      </c>
      <c r="C1229" s="11" t="inlineStr">
        <is>
          <t>Biología</t>
        </is>
      </c>
      <c r="D1229" s="11" t="inlineStr">
        <is>
          <t>Matriz_Bachillerato_Biologia_10_11.xlsx</t>
        </is>
      </c>
      <c r="E1229" s="11" t="inlineStr">
        <is>
          <t>Biología 11.°</t>
        </is>
      </c>
      <c r="F1229" s="11" t="n">
        <v>59</v>
      </c>
      <c r="G1229" s="11" t="inlineStr">
        <is>
          <t>4. Bases genéticas de la evolución</t>
        </is>
      </c>
      <c r="H1229" s="11" t="inlineStr">
        <is>
          <t>Mecanismos evolutivos</t>
        </is>
      </c>
      <c r="I1229" s="38" t="inlineStr">
        <is>
          <t>4.12. Análisis de los mecanismos de selección natural, artificial y sexual a partir de casos.</t>
        </is>
      </c>
      <c r="J1229" s="11" t="inlineStr">
        <is>
          <t>Sin marco</t>
        </is>
      </c>
      <c r="K1229" s="11" t="inlineStr">
        <is>
          <t>N/A</t>
        </is>
      </c>
      <c r="L1229" s="11" t="inlineStr"/>
      <c r="M1229" s="11">
        <f>IF(K1229="FUERA","Fuera del marco",IF(K1229="N/A","Sin marco",IFERROR(INDEX('Datos - Catálogo TIMSS'!$C$5:$C$107,MATCH(K1229,'Datos - Catálogo TIMSS'!$A$5:$A$107,0)),"Pendiente de clasificar")))</f>
        <v/>
      </c>
      <c r="N1229" s="11">
        <f>IF(K1229="FUERA","Fuera del marco",IF(K1229="N/A","Sin marco",IFERROR(INDEX('Datos - Catálogo TIMSS'!$F$5:$F$107,MATCH(K1229,'Datos - Catálogo TIMSS'!$A$5:$A$107,0)),"Pendiente de clasificar")))</f>
        <v/>
      </c>
      <c r="O1229" s="11">
        <f>IF(L1229="","",IFERROR(INDEX('Datos - Catálogo TIMSS'!$C$5:$C$107,MATCH(L1229,'Datos - Catálogo TIMSS'!$A$5:$A$107,0)),"?"))</f>
        <v/>
      </c>
      <c r="P1229" s="11" t="inlineStr">
        <is>
          <t>N/A</t>
        </is>
      </c>
      <c r="Q1229" s="38" t="inlineStr">
        <is>
          <t>Sin marco TIMSS de contenido para esta asignatura en Bachillerato</t>
        </is>
      </c>
      <c r="R1229" s="38" t="inlineStr">
        <is>
          <t>Aplicar: clasificar casos de selección. Razonar: justificar efectos sobre la variabilidad genética</t>
        </is>
      </c>
      <c r="S1229" s="39">
        <f>IFERROR(ISNUMBER(SEARCH("Conocer",$R1229))/(ISNUMBER(SEARCH("Conocer",$R1229))+ISNUMBER(SEARCH("Aplicar",$R1229))+ISNUMBER(SEARCH("Razonar",$R1229))),0)</f>
        <v/>
      </c>
      <c r="T1229" s="39">
        <f>IFERROR(ISNUMBER(SEARCH("Aplicar",$R1229))/(ISNUMBER(SEARCH("Conocer",$R1229))+ISNUMBER(SEARCH("Aplicar",$R1229))+ISNUMBER(SEARCH("Razonar",$R1229))),0)</f>
        <v/>
      </c>
      <c r="U1229" s="39">
        <f>IFERROR(ISNUMBER(SEARCH("Razonar",$R1229))/(ISNUMBER(SEARCH("Conocer",$R1229))+ISNUMBER(SEARCH("Aplicar",$R1229))+ISNUMBER(SEARCH("Razonar",$R1229))),0)</f>
        <v/>
      </c>
      <c r="V1229" s="11" t="inlineStr">
        <is>
          <t>Biología 11°</t>
        </is>
      </c>
      <c r="W1229" s="11" t="inlineStr">
        <is>
          <t>Biología 10°–11°</t>
        </is>
      </c>
      <c r="X1229" s="11">
        <f>IF(OR(IFERROR(INDEX('Datos - Catálogo TIMSS'!$I$5:$I$107,MATCH(K1229,'Datos - Catálogo TIMSS'!$A$5:$A$107,0)),"No")="Sí",IFERROR(INDEX('Datos - Catálogo TIMSS'!$I$5:$I$107,MATCH(L1229,'Datos - Catálogo TIMSS'!$A$5:$A$107,0)),"No")="Sí"),1,0)</f>
        <v/>
      </c>
      <c r="Y1229" s="11">
        <f>IF(IFERROR(INDEX('Datos - Catálogo TIMSS'!$J$5:$J$107,MATCH(K1229,'Datos - Catálogo TIMSS'!$A$5:$A$107,0)),"No")="Sí",1,0)</f>
        <v/>
      </c>
      <c r="Z1229" s="11">
        <f>IF(IFERROR(INDEX('Datos - Catálogo TIMSS'!$J$5:$J$107,MATCH(L1229,'Datos - Catálogo TIMSS'!$A$5:$A$107,0)),"No")="Sí",1,0)</f>
        <v/>
      </c>
      <c r="AA1229" s="11" t="inlineStr">
        <is>
          <t>N/A</t>
        </is>
      </c>
      <c r="AB1229" s="11" t="inlineStr"/>
      <c r="AC1229" s="11">
        <f>IF(AA1229="FUERA","Fuera del marco",IF(AA1229="N/A","Sin marco",IFERROR(INDEX('Datos - TIMSS 2023'!$C$5:$C$105,MATCH(AA1229,'Datos - TIMSS 2023'!$A$5:$A$105,0)),"Pendiente de clasificar")))</f>
        <v/>
      </c>
      <c r="AD1229" s="11" t="inlineStr">
        <is>
          <t>3. Investigar, evaluar y usar información científica para tomar decisiones y actuar</t>
        </is>
      </c>
      <c r="AE1229" s="11">
        <f>IF(AD1229="","",IF(LEFT(AD1229,1)="1","C1",IF(LEFT(AD1229,1)="2","C2",IF(LEFT(AD1229,1)="3","C3",""))))</f>
        <v/>
      </c>
      <c r="AF1229" s="11" t="inlineStr">
        <is>
          <t>E1</t>
        </is>
      </c>
      <c r="AG1229" s="11" t="inlineStr">
        <is>
          <t>D1</t>
        </is>
      </c>
      <c r="AH1229" s="11" t="inlineStr">
        <is>
          <t>E1</t>
        </is>
      </c>
      <c r="AI1229" s="11" t="inlineStr">
        <is>
          <t>I1</t>
        </is>
      </c>
      <c r="AJ1229" s="11" t="inlineStr">
        <is>
          <t>I5</t>
        </is>
      </c>
      <c r="AK1229" s="11" t="n"/>
      <c r="AL1229" s="11" t="n"/>
      <c r="AM1229" s="11" t="n"/>
      <c r="AN1229" s="11" t="n"/>
      <c r="AO1229" s="11" t="n"/>
      <c r="AP1229" s="11" t="n"/>
      <c r="AQ1229" s="11" t="n"/>
      <c r="AR1229" s="11" t="n"/>
      <c r="AS1229" s="11" t="n"/>
      <c r="AT1229" s="11" t="n"/>
      <c r="AU1229" s="11" t="n"/>
      <c r="AV1229" s="11" t="n"/>
      <c r="AW1229" s="11">
        <f>AF1229&amp;"; "&amp;AG1229&amp;"; "&amp;AH1229&amp;"; "&amp;AI1229&amp;"; "&amp;AJ1229</f>
        <v/>
      </c>
    </row>
    <row r="1230">
      <c r="A1230" s="11" t="inlineStr">
        <is>
          <t>T0128-G11-BIO</t>
        </is>
      </c>
      <c r="B1230" s="11" t="n">
        <v>11</v>
      </c>
      <c r="C1230" s="11" t="inlineStr">
        <is>
          <t>Biología</t>
        </is>
      </c>
      <c r="D1230" s="11" t="inlineStr">
        <is>
          <t>Matriz_Bachillerato_Biologia_10_11.xlsx</t>
        </is>
      </c>
      <c r="E1230" s="11" t="inlineStr">
        <is>
          <t>Biología 11.°</t>
        </is>
      </c>
      <c r="F1230" s="11" t="n">
        <v>60</v>
      </c>
      <c r="G1230" s="11" t="inlineStr">
        <is>
          <t>4. Bases genéticas de la evolución</t>
        </is>
      </c>
      <c r="H1230" s="11" t="inlineStr">
        <is>
          <t>Transferencia genética horizontal (TGH)</t>
        </is>
      </c>
      <c r="I1230" s="38" t="inlineStr">
        <is>
          <t>4.13. Reconocimiento de mecanismos de transducción y transfección celular.</t>
        </is>
      </c>
      <c r="J1230" s="11" t="inlineStr">
        <is>
          <t>Sin marco</t>
        </is>
      </c>
      <c r="K1230" s="11" t="inlineStr">
        <is>
          <t>N/A</t>
        </is>
      </c>
      <c r="L1230" s="11" t="inlineStr"/>
      <c r="M1230" s="11">
        <f>IF(K1230="FUERA","Fuera del marco",IF(K1230="N/A","Sin marco",IFERROR(INDEX('Datos - Catálogo TIMSS'!$C$5:$C$107,MATCH(K1230,'Datos - Catálogo TIMSS'!$A$5:$A$107,0)),"Pendiente de clasificar")))</f>
        <v/>
      </c>
      <c r="N1230" s="11">
        <f>IF(K1230="FUERA","Fuera del marco",IF(K1230="N/A","Sin marco",IFERROR(INDEX('Datos - Catálogo TIMSS'!$F$5:$F$107,MATCH(K1230,'Datos - Catálogo TIMSS'!$A$5:$A$107,0)),"Pendiente de clasificar")))</f>
        <v/>
      </c>
      <c r="O1230" s="11">
        <f>IF(L1230="","",IFERROR(INDEX('Datos - Catálogo TIMSS'!$C$5:$C$107,MATCH(L1230,'Datos - Catálogo TIMSS'!$A$5:$A$107,0)),"?"))</f>
        <v/>
      </c>
      <c r="P1230" s="11" t="inlineStr">
        <is>
          <t>N/A</t>
        </is>
      </c>
      <c r="Q1230" s="38" t="inlineStr">
        <is>
          <t>Sin marco TIMSS de contenido para esta asignatura en Bachillerato</t>
        </is>
      </c>
      <c r="R1230" s="38" t="inlineStr">
        <is>
          <t>Conocer: identificar mecanismos de transferencia. Aplicar: representarlos en diagramas</t>
        </is>
      </c>
      <c r="S1230" s="39">
        <f>IFERROR(ISNUMBER(SEARCH("Conocer",$R1230))/(ISNUMBER(SEARCH("Conocer",$R1230))+ISNUMBER(SEARCH("Aplicar",$R1230))+ISNUMBER(SEARCH("Razonar",$R1230))),0)</f>
        <v/>
      </c>
      <c r="T1230" s="39">
        <f>IFERROR(ISNUMBER(SEARCH("Aplicar",$R1230))/(ISNUMBER(SEARCH("Conocer",$R1230))+ISNUMBER(SEARCH("Aplicar",$R1230))+ISNUMBER(SEARCH("Razonar",$R1230))),0)</f>
        <v/>
      </c>
      <c r="U1230" s="39">
        <f>IFERROR(ISNUMBER(SEARCH("Razonar",$R1230))/(ISNUMBER(SEARCH("Conocer",$R1230))+ISNUMBER(SEARCH("Aplicar",$R1230))+ISNUMBER(SEARCH("Razonar",$R1230))),0)</f>
        <v/>
      </c>
      <c r="V1230" s="11" t="inlineStr">
        <is>
          <t>Biología 11°</t>
        </is>
      </c>
      <c r="W1230" s="11" t="inlineStr">
        <is>
          <t>Biología 10°–11°</t>
        </is>
      </c>
      <c r="X1230" s="11">
        <f>IF(OR(IFERROR(INDEX('Datos - Catálogo TIMSS'!$I$5:$I$107,MATCH(K1230,'Datos - Catálogo TIMSS'!$A$5:$A$107,0)),"No")="Sí",IFERROR(INDEX('Datos - Catálogo TIMSS'!$I$5:$I$107,MATCH(L1230,'Datos - Catálogo TIMSS'!$A$5:$A$107,0)),"No")="Sí"),1,0)</f>
        <v/>
      </c>
      <c r="Y1230" s="11">
        <f>IF(IFERROR(INDEX('Datos - Catálogo TIMSS'!$J$5:$J$107,MATCH(K1230,'Datos - Catálogo TIMSS'!$A$5:$A$107,0)),"No")="Sí",1,0)</f>
        <v/>
      </c>
      <c r="Z1230" s="11">
        <f>IF(IFERROR(INDEX('Datos - Catálogo TIMSS'!$J$5:$J$107,MATCH(L1230,'Datos - Catálogo TIMSS'!$A$5:$A$107,0)),"No")="Sí",1,0)</f>
        <v/>
      </c>
      <c r="AA1230" s="11" t="inlineStr">
        <is>
          <t>N/A</t>
        </is>
      </c>
      <c r="AB1230" s="11" t="inlineStr"/>
      <c r="AC1230" s="11">
        <f>IF(AA1230="FUERA","Fuera del marco",IF(AA1230="N/A","Sin marco",IFERROR(INDEX('Datos - TIMSS 2023'!$C$5:$C$105,MATCH(AA1230,'Datos - TIMSS 2023'!$A$5:$A$105,0)),"Pendiente de clasificar")))</f>
        <v/>
      </c>
      <c r="AD1230" s="11" t="inlineStr">
        <is>
          <t>1. Explicar fenómenos científicamente</t>
        </is>
      </c>
      <c r="AE1230" s="11">
        <f>IF(AD1230="","",IF(LEFT(AD1230,1)="1","C1",IF(LEFT(AD1230,1)="2","C2",IF(LEFT(AD1230,1)="3","C3",""))))</f>
        <v/>
      </c>
      <c r="AF1230" s="11" t="inlineStr">
        <is>
          <t>E1</t>
        </is>
      </c>
      <c r="AG1230" s="11" t="inlineStr">
        <is>
          <t>E5</t>
        </is>
      </c>
      <c r="AH1230" s="11" t="inlineStr">
        <is>
          <t>E2</t>
        </is>
      </c>
      <c r="AI1230" s="11" t="inlineStr">
        <is>
          <t>E4</t>
        </is>
      </c>
      <c r="AJ1230" s="11" t="inlineStr">
        <is>
          <t>E6</t>
        </is>
      </c>
      <c r="AK1230" s="11" t="n"/>
      <c r="AL1230" s="11" t="n"/>
      <c r="AM1230" s="11" t="n"/>
      <c r="AN1230" s="11" t="n"/>
      <c r="AO1230" s="11" t="n"/>
      <c r="AP1230" s="11" t="n"/>
      <c r="AQ1230" s="11" t="n"/>
      <c r="AR1230" s="11" t="n"/>
      <c r="AS1230" s="11" t="n"/>
      <c r="AT1230" s="11" t="n"/>
      <c r="AU1230" s="11" t="n"/>
      <c r="AV1230" s="11" t="n"/>
      <c r="AW1230" s="11">
        <f>AF1230&amp;"; "&amp;AG1230&amp;"; "&amp;AH1230&amp;"; "&amp;AI1230&amp;"; "&amp;AJ1230</f>
        <v/>
      </c>
    </row>
    <row r="1231">
      <c r="A1231" s="11" t="inlineStr">
        <is>
          <t>T0129-G11-BIO</t>
        </is>
      </c>
      <c r="B1231" s="11" t="n">
        <v>11</v>
      </c>
      <c r="C1231" s="11" t="inlineStr">
        <is>
          <t>Biología</t>
        </is>
      </c>
      <c r="D1231" s="11" t="inlineStr">
        <is>
          <t>Matriz_Bachillerato_Biologia_10_11.xlsx</t>
        </is>
      </c>
      <c r="E1231" s="11" t="inlineStr">
        <is>
          <t>Biología 11.°</t>
        </is>
      </c>
      <c r="F1231" s="11" t="n">
        <v>61</v>
      </c>
      <c r="G1231" s="11" t="inlineStr">
        <is>
          <t>4. Bases genéticas de la evolución</t>
        </is>
      </c>
      <c r="H1231" s="11" t="inlineStr">
        <is>
          <t>Transferencia genética horizontal (TGH)</t>
        </is>
      </c>
      <c r="I1231" s="38" t="inlineStr">
        <is>
          <t>4.14. Simulación de un proceso de transferencia genética horizontal (TGH).</t>
        </is>
      </c>
      <c r="J1231" s="11" t="inlineStr">
        <is>
          <t>Sin marco</t>
        </is>
      </c>
      <c r="K1231" s="11" t="inlineStr">
        <is>
          <t>N/A</t>
        </is>
      </c>
      <c r="L1231" s="11" t="inlineStr"/>
      <c r="M1231" s="11">
        <f>IF(K1231="FUERA","Fuera del marco",IF(K1231="N/A","Sin marco",IFERROR(INDEX('Datos - Catálogo TIMSS'!$C$5:$C$107,MATCH(K1231,'Datos - Catálogo TIMSS'!$A$5:$A$107,0)),"Pendiente de clasificar")))</f>
        <v/>
      </c>
      <c r="N1231" s="11">
        <f>IF(K1231="FUERA","Fuera del marco",IF(K1231="N/A","Sin marco",IFERROR(INDEX('Datos - Catálogo TIMSS'!$F$5:$F$107,MATCH(K1231,'Datos - Catálogo TIMSS'!$A$5:$A$107,0)),"Pendiente de clasificar")))</f>
        <v/>
      </c>
      <c r="O1231" s="11">
        <f>IF(L1231="","",IFERROR(INDEX('Datos - Catálogo TIMSS'!$C$5:$C$107,MATCH(L1231,'Datos - Catálogo TIMSS'!$A$5:$A$107,0)),"?"))</f>
        <v/>
      </c>
      <c r="P1231" s="11" t="inlineStr">
        <is>
          <t>N/A</t>
        </is>
      </c>
      <c r="Q1231" s="38" t="inlineStr">
        <is>
          <t>Sin marco TIMSS de contenido para esta asignatura en Bachillerato</t>
        </is>
      </c>
      <c r="R1231" s="38" t="inlineStr">
        <is>
          <t>Aplicar: modelar la transferencia horizontal. Razonar: evaluar las limitaciones de un modelo</t>
        </is>
      </c>
      <c r="S1231" s="39">
        <f>IFERROR(ISNUMBER(SEARCH("Conocer",$R1231))/(ISNUMBER(SEARCH("Conocer",$R1231))+ISNUMBER(SEARCH("Aplicar",$R1231))+ISNUMBER(SEARCH("Razonar",$R1231))),0)</f>
        <v/>
      </c>
      <c r="T1231" s="39">
        <f>IFERROR(ISNUMBER(SEARCH("Aplicar",$R1231))/(ISNUMBER(SEARCH("Conocer",$R1231))+ISNUMBER(SEARCH("Aplicar",$R1231))+ISNUMBER(SEARCH("Razonar",$R1231))),0)</f>
        <v/>
      </c>
      <c r="U1231" s="39">
        <f>IFERROR(ISNUMBER(SEARCH("Razonar",$R1231))/(ISNUMBER(SEARCH("Conocer",$R1231))+ISNUMBER(SEARCH("Aplicar",$R1231))+ISNUMBER(SEARCH("Razonar",$R1231))),0)</f>
        <v/>
      </c>
      <c r="V1231" s="11" t="inlineStr">
        <is>
          <t>Biología 11°</t>
        </is>
      </c>
      <c r="W1231" s="11" t="inlineStr">
        <is>
          <t>Biología 10°–11°</t>
        </is>
      </c>
      <c r="X1231" s="11">
        <f>IF(OR(IFERROR(INDEX('Datos - Catálogo TIMSS'!$I$5:$I$107,MATCH(K1231,'Datos - Catálogo TIMSS'!$A$5:$A$107,0)),"No")="Sí",IFERROR(INDEX('Datos - Catálogo TIMSS'!$I$5:$I$107,MATCH(L1231,'Datos - Catálogo TIMSS'!$A$5:$A$107,0)),"No")="Sí"),1,0)</f>
        <v/>
      </c>
      <c r="Y1231" s="11">
        <f>IF(IFERROR(INDEX('Datos - Catálogo TIMSS'!$J$5:$J$107,MATCH(K1231,'Datos - Catálogo TIMSS'!$A$5:$A$107,0)),"No")="Sí",1,0)</f>
        <v/>
      </c>
      <c r="Z1231" s="11">
        <f>IF(IFERROR(INDEX('Datos - Catálogo TIMSS'!$J$5:$J$107,MATCH(L1231,'Datos - Catálogo TIMSS'!$A$5:$A$107,0)),"No")="Sí",1,0)</f>
        <v/>
      </c>
      <c r="AA1231" s="11" t="inlineStr">
        <is>
          <t>N/A</t>
        </is>
      </c>
      <c r="AB1231" s="11" t="inlineStr"/>
      <c r="AC1231" s="11">
        <f>IF(AA1231="FUERA","Fuera del marco",IF(AA1231="N/A","Sin marco",IFERROR(INDEX('Datos - TIMSS 2023'!$C$5:$C$105,MATCH(AA1231,'Datos - TIMSS 2023'!$A$5:$A$105,0)),"Pendiente de clasificar")))</f>
        <v/>
      </c>
      <c r="AD1231" s="11" t="inlineStr">
        <is>
          <t>2. Construir y evaluar diseños para la indagación científica e interpretar datos y evidencia de forma crítica</t>
        </is>
      </c>
      <c r="AE1231" s="11">
        <f>IF(AD1231="","",IF(LEFT(AD1231,1)="1","C1",IF(LEFT(AD1231,1)="2","C2",IF(LEFT(AD1231,1)="3","C3",""))))</f>
        <v/>
      </c>
      <c r="AF1231" s="11" t="inlineStr">
        <is>
          <t>E6</t>
        </is>
      </c>
      <c r="AG1231" s="11" t="inlineStr">
        <is>
          <t>D1</t>
        </is>
      </c>
      <c r="AH1231" s="11" t="inlineStr">
        <is>
          <t>E4</t>
        </is>
      </c>
      <c r="AI1231" s="11" t="inlineStr">
        <is>
          <t>D2</t>
        </is>
      </c>
      <c r="AJ1231" s="11" t="inlineStr">
        <is>
          <t>D3</t>
        </is>
      </c>
      <c r="AK1231" s="11" t="n"/>
      <c r="AL1231" s="11" t="n"/>
      <c r="AM1231" s="11" t="n"/>
      <c r="AN1231" s="11" t="n"/>
      <c r="AO1231" s="11" t="n"/>
      <c r="AP1231" s="11" t="n"/>
      <c r="AQ1231" s="11" t="n"/>
      <c r="AR1231" s="11" t="n"/>
      <c r="AS1231" s="11" t="n"/>
      <c r="AT1231" s="11" t="n"/>
      <c r="AU1231" s="11" t="n"/>
      <c r="AV1231" s="11" t="n"/>
      <c r="AW1231" s="11">
        <f>AF1231&amp;"; "&amp;AG1231&amp;"; "&amp;AH1231&amp;"; "&amp;AI1231&amp;"; "&amp;AJ1231</f>
        <v/>
      </c>
    </row>
    <row r="1232">
      <c r="A1232" s="11" t="inlineStr">
        <is>
          <t>T0130-G11-BIO</t>
        </is>
      </c>
      <c r="B1232" s="11" t="n">
        <v>11</v>
      </c>
      <c r="C1232" s="11" t="inlineStr">
        <is>
          <t>Biología</t>
        </is>
      </c>
      <c r="D1232" s="11" t="inlineStr">
        <is>
          <t>Matriz_Bachillerato_Biologia_10_11.xlsx</t>
        </is>
      </c>
      <c r="E1232" s="11" t="inlineStr">
        <is>
          <t>Biología 11.°</t>
        </is>
      </c>
      <c r="F1232" s="11" t="n">
        <v>62</v>
      </c>
      <c r="G1232" s="11" t="inlineStr">
        <is>
          <t>4. Bases genéticas de la evolución</t>
        </is>
      </c>
      <c r="H1232" s="11" t="inlineStr">
        <is>
          <t>Transferencia genética horizontal (TGH)</t>
        </is>
      </c>
      <c r="I1232" s="38" t="inlineStr">
        <is>
          <t>4.15. Explicación de mecanismos de transgénesis y edición genética.</t>
        </is>
      </c>
      <c r="J1232" s="11" t="inlineStr">
        <is>
          <t>Sin marco</t>
        </is>
      </c>
      <c r="K1232" s="11" t="inlineStr">
        <is>
          <t>N/A</t>
        </is>
      </c>
      <c r="L1232" s="11" t="inlineStr"/>
      <c r="M1232" s="11">
        <f>IF(K1232="FUERA","Fuera del marco",IF(K1232="N/A","Sin marco",IFERROR(INDEX('Datos - Catálogo TIMSS'!$C$5:$C$107,MATCH(K1232,'Datos - Catálogo TIMSS'!$A$5:$A$107,0)),"Pendiente de clasificar")))</f>
        <v/>
      </c>
      <c r="N1232" s="11">
        <f>IF(K1232="FUERA","Fuera del marco",IF(K1232="N/A","Sin marco",IFERROR(INDEX('Datos - Catálogo TIMSS'!$F$5:$F$107,MATCH(K1232,'Datos - Catálogo TIMSS'!$A$5:$A$107,0)),"Pendiente de clasificar")))</f>
        <v/>
      </c>
      <c r="O1232" s="11">
        <f>IF(L1232="","",IFERROR(INDEX('Datos - Catálogo TIMSS'!$C$5:$C$107,MATCH(L1232,'Datos - Catálogo TIMSS'!$A$5:$A$107,0)),"?"))</f>
        <v/>
      </c>
      <c r="P1232" s="11" t="inlineStr">
        <is>
          <t>N/A</t>
        </is>
      </c>
      <c r="Q1232" s="38" t="inlineStr">
        <is>
          <t>Sin marco TIMSS de contenido para esta asignatura en Bachillerato</t>
        </is>
      </c>
      <c r="R1232" s="38" t="inlineStr">
        <is>
          <t>Aplicar: representar un mecanismo de edición genética. Razonar: evaluar implicaciones éticas</t>
        </is>
      </c>
      <c r="S1232" s="39">
        <f>IFERROR(ISNUMBER(SEARCH("Conocer",$R1232))/(ISNUMBER(SEARCH("Conocer",$R1232))+ISNUMBER(SEARCH("Aplicar",$R1232))+ISNUMBER(SEARCH("Razonar",$R1232))),0)</f>
        <v/>
      </c>
      <c r="T1232" s="39">
        <f>IFERROR(ISNUMBER(SEARCH("Aplicar",$R1232))/(ISNUMBER(SEARCH("Conocer",$R1232))+ISNUMBER(SEARCH("Aplicar",$R1232))+ISNUMBER(SEARCH("Razonar",$R1232))),0)</f>
        <v/>
      </c>
      <c r="U1232" s="39">
        <f>IFERROR(ISNUMBER(SEARCH("Razonar",$R1232))/(ISNUMBER(SEARCH("Conocer",$R1232))+ISNUMBER(SEARCH("Aplicar",$R1232))+ISNUMBER(SEARCH("Razonar",$R1232))),0)</f>
        <v/>
      </c>
      <c r="V1232" s="11" t="inlineStr">
        <is>
          <t>Biología 11°</t>
        </is>
      </c>
      <c r="W1232" s="11" t="inlineStr">
        <is>
          <t>Biología 10°–11°</t>
        </is>
      </c>
      <c r="X1232" s="11">
        <f>IF(OR(IFERROR(INDEX('Datos - Catálogo TIMSS'!$I$5:$I$107,MATCH(K1232,'Datos - Catálogo TIMSS'!$A$5:$A$107,0)),"No")="Sí",IFERROR(INDEX('Datos - Catálogo TIMSS'!$I$5:$I$107,MATCH(L1232,'Datos - Catálogo TIMSS'!$A$5:$A$107,0)),"No")="Sí"),1,0)</f>
        <v/>
      </c>
      <c r="Y1232" s="11">
        <f>IF(IFERROR(INDEX('Datos - Catálogo TIMSS'!$J$5:$J$107,MATCH(K1232,'Datos - Catálogo TIMSS'!$A$5:$A$107,0)),"No")="Sí",1,0)</f>
        <v/>
      </c>
      <c r="Z1232" s="11">
        <f>IF(IFERROR(INDEX('Datos - Catálogo TIMSS'!$J$5:$J$107,MATCH(L1232,'Datos - Catálogo TIMSS'!$A$5:$A$107,0)),"No")="Sí",1,0)</f>
        <v/>
      </c>
      <c r="AA1232" s="11" t="inlineStr">
        <is>
          <t>N/A</t>
        </is>
      </c>
      <c r="AB1232" s="11" t="inlineStr"/>
      <c r="AC1232" s="11">
        <f>IF(AA1232="FUERA","Fuera del marco",IF(AA1232="N/A","Sin marco",IFERROR(INDEX('Datos - TIMSS 2023'!$C$5:$C$105,MATCH(AA1232,'Datos - TIMSS 2023'!$A$5:$A$105,0)),"Pendiente de clasificar")))</f>
        <v/>
      </c>
      <c r="AD1232" s="11" t="inlineStr">
        <is>
          <t>3. Investigar, evaluar y usar información científica para tomar decisiones y actuar</t>
        </is>
      </c>
      <c r="AE1232" s="11">
        <f>IF(AD1232="","",IF(LEFT(AD1232,1)="1","C1",IF(LEFT(AD1232,1)="2","C2",IF(LEFT(AD1232,1)="3","C3",""))))</f>
        <v/>
      </c>
      <c r="AF1232" s="11" t="inlineStr">
        <is>
          <t>E6</t>
        </is>
      </c>
      <c r="AG1232" s="11" t="inlineStr">
        <is>
          <t>E3</t>
        </is>
      </c>
      <c r="AH1232" s="11" t="inlineStr">
        <is>
          <t>E4</t>
        </is>
      </c>
      <c r="AI1232" s="11" t="inlineStr">
        <is>
          <t>I2</t>
        </is>
      </c>
      <c r="AJ1232" s="11" t="inlineStr">
        <is>
          <t>I5</t>
        </is>
      </c>
      <c r="AK1232" s="11" t="n"/>
      <c r="AL1232" s="11" t="n"/>
      <c r="AM1232" s="11" t="n"/>
      <c r="AN1232" s="11" t="n"/>
      <c r="AO1232" s="11" t="n"/>
      <c r="AP1232" s="11" t="n"/>
      <c r="AQ1232" s="11" t="n"/>
      <c r="AR1232" s="11" t="n"/>
      <c r="AS1232" s="11" t="n"/>
      <c r="AT1232" s="11" t="n"/>
      <c r="AU1232" s="11" t="n"/>
      <c r="AV1232" s="11" t="n"/>
      <c r="AW1232" s="11">
        <f>AF1232&amp;"; "&amp;AG1232&amp;"; "&amp;AH1232&amp;"; "&amp;AI1232&amp;"; "&amp;AJ1232</f>
        <v/>
      </c>
    </row>
    <row r="1233">
      <c r="A1233" s="11" t="inlineStr">
        <is>
          <t>T0131-G11-BIO</t>
        </is>
      </c>
      <c r="B1233" s="11" t="n">
        <v>11</v>
      </c>
      <c r="C1233" s="11" t="inlineStr">
        <is>
          <t>Biología</t>
        </is>
      </c>
      <c r="D1233" s="11" t="inlineStr">
        <is>
          <t>Matriz_Bachillerato_Biologia_10_11.xlsx</t>
        </is>
      </c>
      <c r="E1233" s="11" t="inlineStr">
        <is>
          <t>Biología 11.°</t>
        </is>
      </c>
      <c r="F1233" s="11" t="n">
        <v>63</v>
      </c>
      <c r="G1233" s="11" t="inlineStr">
        <is>
          <t>5. Análisis de biodiversidad</t>
        </is>
      </c>
      <c r="H1233" s="11" t="inlineStr">
        <is>
          <t>Biodiversidad genética poblacional</t>
        </is>
      </c>
      <c r="I1233" s="38" t="inlineStr">
        <is>
          <t>5.1. Determinación de las proporciones genotípicas y fenotípicas a partir de cruces genéticos.</t>
        </is>
      </c>
      <c r="J1233" s="11" t="inlineStr">
        <is>
          <t>Sin marco</t>
        </is>
      </c>
      <c r="K1233" s="11" t="inlineStr">
        <is>
          <t>N/A</t>
        </is>
      </c>
      <c r="L1233" s="11" t="inlineStr"/>
      <c r="M1233" s="11">
        <f>IF(K1233="FUERA","Fuera del marco",IF(K1233="N/A","Sin marco",IFERROR(INDEX('Datos - Catálogo TIMSS'!$C$5:$C$107,MATCH(K1233,'Datos - Catálogo TIMSS'!$A$5:$A$107,0)),"Pendiente de clasificar")))</f>
        <v/>
      </c>
      <c r="N1233" s="11">
        <f>IF(K1233="FUERA","Fuera del marco",IF(K1233="N/A","Sin marco",IFERROR(INDEX('Datos - Catálogo TIMSS'!$F$5:$F$107,MATCH(K1233,'Datos - Catálogo TIMSS'!$A$5:$A$107,0)),"Pendiente de clasificar")))</f>
        <v/>
      </c>
      <c r="O1233" s="11">
        <f>IF(L1233="","",IFERROR(INDEX('Datos - Catálogo TIMSS'!$C$5:$C$107,MATCH(L1233,'Datos - Catálogo TIMSS'!$A$5:$A$107,0)),"?"))</f>
        <v/>
      </c>
      <c r="P1233" s="11" t="inlineStr">
        <is>
          <t>N/A</t>
        </is>
      </c>
      <c r="Q1233" s="38" t="inlineStr">
        <is>
          <t>Sin marco TIMSS de contenido para esta asignatura en Bachillerato</t>
        </is>
      </c>
      <c r="R1233" s="38" t="inlineStr">
        <is>
          <t>Aplicar: construir cuadros de Punnett y calcular proporciones. Razonar: justificar las condiciones del modelo</t>
        </is>
      </c>
      <c r="S1233" s="39">
        <f>IFERROR(ISNUMBER(SEARCH("Conocer",$R1233))/(ISNUMBER(SEARCH("Conocer",$R1233))+ISNUMBER(SEARCH("Aplicar",$R1233))+ISNUMBER(SEARCH("Razonar",$R1233))),0)</f>
        <v/>
      </c>
      <c r="T1233" s="39">
        <f>IFERROR(ISNUMBER(SEARCH("Aplicar",$R1233))/(ISNUMBER(SEARCH("Conocer",$R1233))+ISNUMBER(SEARCH("Aplicar",$R1233))+ISNUMBER(SEARCH("Razonar",$R1233))),0)</f>
        <v/>
      </c>
      <c r="U1233" s="39">
        <f>IFERROR(ISNUMBER(SEARCH("Razonar",$R1233))/(ISNUMBER(SEARCH("Conocer",$R1233))+ISNUMBER(SEARCH("Aplicar",$R1233))+ISNUMBER(SEARCH("Razonar",$R1233))),0)</f>
        <v/>
      </c>
      <c r="V1233" s="11" t="inlineStr">
        <is>
          <t>Biología 11°</t>
        </is>
      </c>
      <c r="W1233" s="11" t="inlineStr">
        <is>
          <t>Biología 10°–11°</t>
        </is>
      </c>
      <c r="X1233" s="11">
        <f>IF(OR(IFERROR(INDEX('Datos - Catálogo TIMSS'!$I$5:$I$107,MATCH(K1233,'Datos - Catálogo TIMSS'!$A$5:$A$107,0)),"No")="Sí",IFERROR(INDEX('Datos - Catálogo TIMSS'!$I$5:$I$107,MATCH(L1233,'Datos - Catálogo TIMSS'!$A$5:$A$107,0)),"No")="Sí"),1,0)</f>
        <v/>
      </c>
      <c r="Y1233" s="11">
        <f>IF(IFERROR(INDEX('Datos - Catálogo TIMSS'!$J$5:$J$107,MATCH(K1233,'Datos - Catálogo TIMSS'!$A$5:$A$107,0)),"No")="Sí",1,0)</f>
        <v/>
      </c>
      <c r="Z1233" s="11">
        <f>IF(IFERROR(INDEX('Datos - Catálogo TIMSS'!$J$5:$J$107,MATCH(L1233,'Datos - Catálogo TIMSS'!$A$5:$A$107,0)),"No")="Sí",1,0)</f>
        <v/>
      </c>
      <c r="AA1233" s="11" t="inlineStr">
        <is>
          <t>N/A</t>
        </is>
      </c>
      <c r="AB1233" s="11" t="inlineStr"/>
      <c r="AC1233" s="11">
        <f>IF(AA1233="FUERA","Fuera del marco",IF(AA1233="N/A","Sin marco",IFERROR(INDEX('Datos - TIMSS 2023'!$C$5:$C$105,MATCH(AA1233,'Datos - TIMSS 2023'!$A$5:$A$105,0)),"Pendiente de clasificar")))</f>
        <v/>
      </c>
      <c r="AD1233" s="11" t="inlineStr">
        <is>
          <t>1. Explicar fenómenos científicamente</t>
        </is>
      </c>
      <c r="AE1233" s="11">
        <f>IF(AD1233="","",IF(LEFT(AD1233,1)="1","C1",IF(LEFT(AD1233,1)="2","C2",IF(LEFT(AD1233,1)="3","C3",""))))</f>
        <v/>
      </c>
      <c r="AF1233" s="11" t="inlineStr">
        <is>
          <t>E1</t>
        </is>
      </c>
      <c r="AG1233" s="11" t="inlineStr">
        <is>
          <t>E3</t>
        </is>
      </c>
      <c r="AH1233" s="11" t="inlineStr">
        <is>
          <t>E2</t>
        </is>
      </c>
      <c r="AI1233" s="11" t="inlineStr">
        <is>
          <t>D4</t>
        </is>
      </c>
      <c r="AJ1233" s="11" t="inlineStr">
        <is>
          <t>E3</t>
        </is>
      </c>
      <c r="AK1233" s="11" t="n"/>
      <c r="AL1233" s="11" t="n"/>
      <c r="AM1233" s="11" t="n"/>
      <c r="AN1233" s="11" t="n"/>
      <c r="AO1233" s="11" t="n"/>
      <c r="AP1233" s="11" t="n"/>
      <c r="AQ1233" s="11" t="n"/>
      <c r="AR1233" s="11" t="n"/>
      <c r="AS1233" s="11" t="n"/>
      <c r="AT1233" s="11" t="n"/>
      <c r="AU1233" s="11" t="n"/>
      <c r="AV1233" s="11" t="n"/>
      <c r="AW1233" s="11">
        <f>AF1233&amp;"; "&amp;AG1233&amp;"; "&amp;AH1233&amp;"; "&amp;AI1233&amp;"; "&amp;AJ1233</f>
        <v/>
      </c>
    </row>
    <row r="1234">
      <c r="A1234" s="11" t="inlineStr">
        <is>
          <t>T0132-G11-BIO</t>
        </is>
      </c>
      <c r="B1234" s="11" t="n">
        <v>11</v>
      </c>
      <c r="C1234" s="11" t="inlineStr">
        <is>
          <t>Biología</t>
        </is>
      </c>
      <c r="D1234" s="11" t="inlineStr">
        <is>
          <t>Matriz_Bachillerato_Biologia_10_11.xlsx</t>
        </is>
      </c>
      <c r="E1234" s="11" t="inlineStr">
        <is>
          <t>Biología 11.°</t>
        </is>
      </c>
      <c r="F1234" s="11" t="n">
        <v>64</v>
      </c>
      <c r="G1234" s="11" t="inlineStr">
        <is>
          <t>5. Análisis de biodiversidad</t>
        </is>
      </c>
      <c r="H1234" s="11" t="inlineStr">
        <is>
          <t>Biodiversidad genética poblacional</t>
        </is>
      </c>
      <c r="I1234" s="38" t="inlineStr">
        <is>
          <t>5.2. Cálculo de las frecuencias genotípicas y alélicas para una población.</t>
        </is>
      </c>
      <c r="J1234" s="11" t="inlineStr">
        <is>
          <t>Sin marco</t>
        </is>
      </c>
      <c r="K1234" s="11" t="inlineStr">
        <is>
          <t>N/A</t>
        </is>
      </c>
      <c r="L1234" s="11" t="inlineStr"/>
      <c r="M1234" s="11">
        <f>IF(K1234="FUERA","Fuera del marco",IF(K1234="N/A","Sin marco",IFERROR(INDEX('Datos - Catálogo TIMSS'!$C$5:$C$107,MATCH(K1234,'Datos - Catálogo TIMSS'!$A$5:$A$107,0)),"Pendiente de clasificar")))</f>
        <v/>
      </c>
      <c r="N1234" s="11">
        <f>IF(K1234="FUERA","Fuera del marco",IF(K1234="N/A","Sin marco",IFERROR(INDEX('Datos - Catálogo TIMSS'!$F$5:$F$107,MATCH(K1234,'Datos - Catálogo TIMSS'!$A$5:$A$107,0)),"Pendiente de clasificar")))</f>
        <v/>
      </c>
      <c r="O1234" s="11">
        <f>IF(L1234="","",IFERROR(INDEX('Datos - Catálogo TIMSS'!$C$5:$C$107,MATCH(L1234,'Datos - Catálogo TIMSS'!$A$5:$A$107,0)),"?"))</f>
        <v/>
      </c>
      <c r="P1234" s="11" t="inlineStr">
        <is>
          <t>N/A</t>
        </is>
      </c>
      <c r="Q1234" s="38" t="inlineStr">
        <is>
          <t>Sin marco TIMSS de contenido para esta asignatura en Bachillerato</t>
        </is>
      </c>
      <c r="R1234" s="38" t="inlineStr">
        <is>
          <t>Aplicar: calcular frecuencias genotípicas y alélicas. Razonar: evaluar el efecto del tamaño de muestra</t>
        </is>
      </c>
      <c r="S1234" s="39">
        <f>IFERROR(ISNUMBER(SEARCH("Conocer",$R1234))/(ISNUMBER(SEARCH("Conocer",$R1234))+ISNUMBER(SEARCH("Aplicar",$R1234))+ISNUMBER(SEARCH("Razonar",$R1234))),0)</f>
        <v/>
      </c>
      <c r="T1234" s="39">
        <f>IFERROR(ISNUMBER(SEARCH("Aplicar",$R1234))/(ISNUMBER(SEARCH("Conocer",$R1234))+ISNUMBER(SEARCH("Aplicar",$R1234))+ISNUMBER(SEARCH("Razonar",$R1234))),0)</f>
        <v/>
      </c>
      <c r="U1234" s="39">
        <f>IFERROR(ISNUMBER(SEARCH("Razonar",$R1234))/(ISNUMBER(SEARCH("Conocer",$R1234))+ISNUMBER(SEARCH("Aplicar",$R1234))+ISNUMBER(SEARCH("Razonar",$R1234))),0)</f>
        <v/>
      </c>
      <c r="V1234" s="11" t="inlineStr">
        <is>
          <t>Biología 11°</t>
        </is>
      </c>
      <c r="W1234" s="11" t="inlineStr">
        <is>
          <t>Biología 10°–11°</t>
        </is>
      </c>
      <c r="X1234" s="11">
        <f>IF(OR(IFERROR(INDEX('Datos - Catálogo TIMSS'!$I$5:$I$107,MATCH(K1234,'Datos - Catálogo TIMSS'!$A$5:$A$107,0)),"No")="Sí",IFERROR(INDEX('Datos - Catálogo TIMSS'!$I$5:$I$107,MATCH(L1234,'Datos - Catálogo TIMSS'!$A$5:$A$107,0)),"No")="Sí"),1,0)</f>
        <v/>
      </c>
      <c r="Y1234" s="11">
        <f>IF(IFERROR(INDEX('Datos - Catálogo TIMSS'!$J$5:$J$107,MATCH(K1234,'Datos - Catálogo TIMSS'!$A$5:$A$107,0)),"No")="Sí",1,0)</f>
        <v/>
      </c>
      <c r="Z1234" s="11">
        <f>IF(IFERROR(INDEX('Datos - Catálogo TIMSS'!$J$5:$J$107,MATCH(L1234,'Datos - Catálogo TIMSS'!$A$5:$A$107,0)),"No")="Sí",1,0)</f>
        <v/>
      </c>
      <c r="AA1234" s="11" t="inlineStr">
        <is>
          <t>N/A</t>
        </is>
      </c>
      <c r="AB1234" s="11" t="inlineStr"/>
      <c r="AC1234" s="11">
        <f>IF(AA1234="FUERA","Fuera del marco",IF(AA1234="N/A","Sin marco",IFERROR(INDEX('Datos - TIMSS 2023'!$C$5:$C$105,MATCH(AA1234,'Datos - TIMSS 2023'!$A$5:$A$105,0)),"Pendiente de clasificar")))</f>
        <v/>
      </c>
      <c r="AD1234" s="11" t="inlineStr">
        <is>
          <t>2. Construir y evaluar diseños para la indagación científica e interpretar datos y evidencia de forma crítica</t>
        </is>
      </c>
      <c r="AE1234" s="11">
        <f>IF(AD1234="","",IF(LEFT(AD1234,1)="1","C1",IF(LEFT(AD1234,1)="2","C2",IF(LEFT(AD1234,1)="3","C3",""))))</f>
        <v/>
      </c>
      <c r="AF1234" s="11" t="inlineStr">
        <is>
          <t>E1</t>
        </is>
      </c>
      <c r="AG1234" s="11" t="inlineStr">
        <is>
          <t>D1</t>
        </is>
      </c>
      <c r="AH1234" s="11" t="inlineStr">
        <is>
          <t>E2</t>
        </is>
      </c>
      <c r="AI1234" s="11" t="inlineStr">
        <is>
          <t>D4</t>
        </is>
      </c>
      <c r="AJ1234" s="11" t="inlineStr">
        <is>
          <t>D3</t>
        </is>
      </c>
      <c r="AK1234" s="11" t="n"/>
      <c r="AL1234" s="11" t="n"/>
      <c r="AM1234" s="11" t="n"/>
      <c r="AN1234" s="11" t="n"/>
      <c r="AO1234" s="11" t="n"/>
      <c r="AP1234" s="11" t="n"/>
      <c r="AQ1234" s="11" t="n"/>
      <c r="AR1234" s="11" t="n"/>
      <c r="AS1234" s="11" t="n"/>
      <c r="AT1234" s="11" t="n"/>
      <c r="AU1234" s="11" t="n"/>
      <c r="AV1234" s="11" t="n"/>
      <c r="AW1234" s="11">
        <f>AF1234&amp;"; "&amp;AG1234&amp;"; "&amp;AH1234&amp;"; "&amp;AI1234&amp;"; "&amp;AJ1234</f>
        <v/>
      </c>
    </row>
    <row r="1235">
      <c r="A1235" s="11" t="inlineStr">
        <is>
          <t>T0133-G11-BIO</t>
        </is>
      </c>
      <c r="B1235" s="11" t="n">
        <v>11</v>
      </c>
      <c r="C1235" s="11" t="inlineStr">
        <is>
          <t>Biología</t>
        </is>
      </c>
      <c r="D1235" s="11" t="inlineStr">
        <is>
          <t>Matriz_Bachillerato_Biologia_10_11.xlsx</t>
        </is>
      </c>
      <c r="E1235" s="11" t="inlineStr">
        <is>
          <t>Biología 11.°</t>
        </is>
      </c>
      <c r="F1235" s="11" t="n">
        <v>65</v>
      </c>
      <c r="G1235" s="11" t="inlineStr">
        <is>
          <t>5. Análisis de biodiversidad</t>
        </is>
      </c>
      <c r="H1235" s="11" t="inlineStr">
        <is>
          <t>Biodiversidad genética poblacional</t>
        </is>
      </c>
      <c r="I1235" s="38" t="inlineStr">
        <is>
          <t>5.3. Resolución de problemas que involucran la determinación de frecuencias genotípicas y alélicas.</t>
        </is>
      </c>
      <c r="J1235" s="11" t="inlineStr">
        <is>
          <t>Sin marco</t>
        </is>
      </c>
      <c r="K1235" s="11" t="inlineStr">
        <is>
          <t>N/A</t>
        </is>
      </c>
      <c r="L1235" s="11" t="inlineStr"/>
      <c r="M1235" s="11">
        <f>IF(K1235="FUERA","Fuera del marco",IF(K1235="N/A","Sin marco",IFERROR(INDEX('Datos - Catálogo TIMSS'!$C$5:$C$107,MATCH(K1235,'Datos - Catálogo TIMSS'!$A$5:$A$107,0)),"Pendiente de clasificar")))</f>
        <v/>
      </c>
      <c r="N1235" s="11">
        <f>IF(K1235="FUERA","Fuera del marco",IF(K1235="N/A","Sin marco",IFERROR(INDEX('Datos - Catálogo TIMSS'!$F$5:$F$107,MATCH(K1235,'Datos - Catálogo TIMSS'!$A$5:$A$107,0)),"Pendiente de clasificar")))</f>
        <v/>
      </c>
      <c r="O1235" s="11">
        <f>IF(L1235="","",IFERROR(INDEX('Datos - Catálogo TIMSS'!$C$5:$C$107,MATCH(L1235,'Datos - Catálogo TIMSS'!$A$5:$A$107,0)),"?"))</f>
        <v/>
      </c>
      <c r="P1235" s="11" t="inlineStr">
        <is>
          <t>N/A</t>
        </is>
      </c>
      <c r="Q1235" s="38" t="inlineStr">
        <is>
          <t>Sin marco TIMSS de contenido para esta asignatura en Bachillerato</t>
        </is>
      </c>
      <c r="R1235" s="38" t="inlineStr">
        <is>
          <t>Aplicar: resolver problemas de frecuencias. Razonar: interpretar resultados en contextos de conservación</t>
        </is>
      </c>
      <c r="S1235" s="39">
        <f>IFERROR(ISNUMBER(SEARCH("Conocer",$R1235))/(ISNUMBER(SEARCH("Conocer",$R1235))+ISNUMBER(SEARCH("Aplicar",$R1235))+ISNUMBER(SEARCH("Razonar",$R1235))),0)</f>
        <v/>
      </c>
      <c r="T1235" s="39">
        <f>IFERROR(ISNUMBER(SEARCH("Aplicar",$R1235))/(ISNUMBER(SEARCH("Conocer",$R1235))+ISNUMBER(SEARCH("Aplicar",$R1235))+ISNUMBER(SEARCH("Razonar",$R1235))),0)</f>
        <v/>
      </c>
      <c r="U1235" s="39">
        <f>IFERROR(ISNUMBER(SEARCH("Razonar",$R1235))/(ISNUMBER(SEARCH("Conocer",$R1235))+ISNUMBER(SEARCH("Aplicar",$R1235))+ISNUMBER(SEARCH("Razonar",$R1235))),0)</f>
        <v/>
      </c>
      <c r="V1235" s="11" t="inlineStr">
        <is>
          <t>Biología 11°</t>
        </is>
      </c>
      <c r="W1235" s="11" t="inlineStr">
        <is>
          <t>Biología 10°–11°</t>
        </is>
      </c>
      <c r="X1235" s="11">
        <f>IF(OR(IFERROR(INDEX('Datos - Catálogo TIMSS'!$I$5:$I$107,MATCH(K1235,'Datos - Catálogo TIMSS'!$A$5:$A$107,0)),"No")="Sí",IFERROR(INDEX('Datos - Catálogo TIMSS'!$I$5:$I$107,MATCH(L1235,'Datos - Catálogo TIMSS'!$A$5:$A$107,0)),"No")="Sí"),1,0)</f>
        <v/>
      </c>
      <c r="Y1235" s="11">
        <f>IF(IFERROR(INDEX('Datos - Catálogo TIMSS'!$J$5:$J$107,MATCH(K1235,'Datos - Catálogo TIMSS'!$A$5:$A$107,0)),"No")="Sí",1,0)</f>
        <v/>
      </c>
      <c r="Z1235" s="11">
        <f>IF(IFERROR(INDEX('Datos - Catálogo TIMSS'!$J$5:$J$107,MATCH(L1235,'Datos - Catálogo TIMSS'!$A$5:$A$107,0)),"No")="Sí",1,0)</f>
        <v/>
      </c>
      <c r="AA1235" s="11" t="inlineStr">
        <is>
          <t>N/A</t>
        </is>
      </c>
      <c r="AB1235" s="11" t="inlineStr"/>
      <c r="AC1235" s="11">
        <f>IF(AA1235="FUERA","Fuera del marco",IF(AA1235="N/A","Sin marco",IFERROR(INDEX('Datos - TIMSS 2023'!$C$5:$C$105,MATCH(AA1235,'Datos - TIMSS 2023'!$A$5:$A$105,0)),"Pendiente de clasificar")))</f>
        <v/>
      </c>
      <c r="AD1235" s="11" t="inlineStr">
        <is>
          <t>1. Explicar fenómenos científicamente</t>
        </is>
      </c>
      <c r="AE1235" s="11">
        <f>IF(AD1235="","",IF(LEFT(AD1235,1)="1","C1",IF(LEFT(AD1235,1)="2","C2",IF(LEFT(AD1235,1)="3","C3",""))))</f>
        <v/>
      </c>
      <c r="AF1235" s="11" t="inlineStr">
        <is>
          <t>E6</t>
        </is>
      </c>
      <c r="AG1235" s="11" t="inlineStr">
        <is>
          <t>E3</t>
        </is>
      </c>
      <c r="AH1235" s="11" t="inlineStr">
        <is>
          <t>E1</t>
        </is>
      </c>
      <c r="AI1235" s="11" t="inlineStr">
        <is>
          <t>I3</t>
        </is>
      </c>
      <c r="AJ1235" s="11" t="inlineStr">
        <is>
          <t>E3</t>
        </is>
      </c>
      <c r="AK1235" s="11" t="n"/>
      <c r="AL1235" s="11" t="n"/>
      <c r="AM1235" s="11" t="n"/>
      <c r="AN1235" s="11" t="n"/>
      <c r="AO1235" s="11" t="n"/>
      <c r="AP1235" s="11" t="n"/>
      <c r="AQ1235" s="11" t="n"/>
      <c r="AR1235" s="11" t="n"/>
      <c r="AS1235" s="11" t="n"/>
      <c r="AT1235" s="11" t="n"/>
      <c r="AU1235" s="11" t="n"/>
      <c r="AV1235" s="11" t="n"/>
      <c r="AW1235" s="11">
        <f>AF1235&amp;"; "&amp;AG1235&amp;"; "&amp;AH1235&amp;"; "&amp;AI1235&amp;"; "&amp;AJ1235</f>
        <v/>
      </c>
    </row>
    <row r="1236">
      <c r="A1236" s="11" t="inlineStr">
        <is>
          <t>T0134-G11-BIO</t>
        </is>
      </c>
      <c r="B1236" s="11" t="n">
        <v>11</v>
      </c>
      <c r="C1236" s="11" t="inlineStr">
        <is>
          <t>Biología</t>
        </is>
      </c>
      <c r="D1236" s="11" t="inlineStr">
        <is>
          <t>Matriz_Bachillerato_Biologia_10_11.xlsx</t>
        </is>
      </c>
      <c r="E1236" s="11" t="inlineStr">
        <is>
          <t>Biología 11.°</t>
        </is>
      </c>
      <c r="F1236" s="11" t="n">
        <v>66</v>
      </c>
      <c r="G1236" s="11" t="inlineStr">
        <is>
          <t>5. Análisis de biodiversidad</t>
        </is>
      </c>
      <c r="H1236" s="11" t="inlineStr">
        <is>
          <t>Origen común de la vida</t>
        </is>
      </c>
      <c r="I1236" s="38" t="inlineStr">
        <is>
          <t>5.4. Indagación de las características de los seres vivos y las evidencias que apuntan a su origen común.</t>
        </is>
      </c>
      <c r="J1236" s="11" t="inlineStr">
        <is>
          <t>Sin marco</t>
        </is>
      </c>
      <c r="K1236" s="11" t="inlineStr">
        <is>
          <t>N/A</t>
        </is>
      </c>
      <c r="L1236" s="11" t="inlineStr"/>
      <c r="M1236" s="11">
        <f>IF(K1236="FUERA","Fuera del marco",IF(K1236="N/A","Sin marco",IFERROR(INDEX('Datos - Catálogo TIMSS'!$C$5:$C$107,MATCH(K1236,'Datos - Catálogo TIMSS'!$A$5:$A$107,0)),"Pendiente de clasificar")))</f>
        <v/>
      </c>
      <c r="N1236" s="11">
        <f>IF(K1236="FUERA","Fuera del marco",IF(K1236="N/A","Sin marco",IFERROR(INDEX('Datos - Catálogo TIMSS'!$F$5:$F$107,MATCH(K1236,'Datos - Catálogo TIMSS'!$A$5:$A$107,0)),"Pendiente de clasificar")))</f>
        <v/>
      </c>
      <c r="O1236" s="11">
        <f>IF(L1236="","",IFERROR(INDEX('Datos - Catálogo TIMSS'!$C$5:$C$107,MATCH(L1236,'Datos - Catálogo TIMSS'!$A$5:$A$107,0)),"?"))</f>
        <v/>
      </c>
      <c r="P1236" s="11" t="inlineStr">
        <is>
          <t>N/A</t>
        </is>
      </c>
      <c r="Q1236" s="38" t="inlineStr">
        <is>
          <t>Sin marco TIMSS de contenido para esta asignatura en Bachillerato</t>
        </is>
      </c>
      <c r="R1236" s="38" t="inlineStr">
        <is>
          <t>Conocer: enumerar características de los seres vivos. Razonar: relacionarlas con evidencias de origen común</t>
        </is>
      </c>
      <c r="S1236" s="39">
        <f>IFERROR(ISNUMBER(SEARCH("Conocer",$R1236))/(ISNUMBER(SEARCH("Conocer",$R1236))+ISNUMBER(SEARCH("Aplicar",$R1236))+ISNUMBER(SEARCH("Razonar",$R1236))),0)</f>
        <v/>
      </c>
      <c r="T1236" s="39">
        <f>IFERROR(ISNUMBER(SEARCH("Aplicar",$R1236))/(ISNUMBER(SEARCH("Conocer",$R1236))+ISNUMBER(SEARCH("Aplicar",$R1236))+ISNUMBER(SEARCH("Razonar",$R1236))),0)</f>
        <v/>
      </c>
      <c r="U1236" s="39">
        <f>IFERROR(ISNUMBER(SEARCH("Razonar",$R1236))/(ISNUMBER(SEARCH("Conocer",$R1236))+ISNUMBER(SEARCH("Aplicar",$R1236))+ISNUMBER(SEARCH("Razonar",$R1236))),0)</f>
        <v/>
      </c>
      <c r="V1236" s="11" t="inlineStr">
        <is>
          <t>Biología 11°</t>
        </is>
      </c>
      <c r="W1236" s="11" t="inlineStr">
        <is>
          <t>Biología 10°–11°</t>
        </is>
      </c>
      <c r="X1236" s="11">
        <f>IF(OR(IFERROR(INDEX('Datos - Catálogo TIMSS'!$I$5:$I$107,MATCH(K1236,'Datos - Catálogo TIMSS'!$A$5:$A$107,0)),"No")="Sí",IFERROR(INDEX('Datos - Catálogo TIMSS'!$I$5:$I$107,MATCH(L1236,'Datos - Catálogo TIMSS'!$A$5:$A$107,0)),"No")="Sí"),1,0)</f>
        <v/>
      </c>
      <c r="Y1236" s="11">
        <f>IF(IFERROR(INDEX('Datos - Catálogo TIMSS'!$J$5:$J$107,MATCH(K1236,'Datos - Catálogo TIMSS'!$A$5:$A$107,0)),"No")="Sí",1,0)</f>
        <v/>
      </c>
      <c r="Z1236" s="11">
        <f>IF(IFERROR(INDEX('Datos - Catálogo TIMSS'!$J$5:$J$107,MATCH(L1236,'Datos - Catálogo TIMSS'!$A$5:$A$107,0)),"No")="Sí",1,0)</f>
        <v/>
      </c>
      <c r="AA1236" s="11" t="inlineStr">
        <is>
          <t>N/A</t>
        </is>
      </c>
      <c r="AB1236" s="11" t="inlineStr"/>
      <c r="AC1236" s="11">
        <f>IF(AA1236="FUERA","Fuera del marco",IF(AA1236="N/A","Sin marco",IFERROR(INDEX('Datos - TIMSS 2023'!$C$5:$C$105,MATCH(AA1236,'Datos - TIMSS 2023'!$A$5:$A$105,0)),"Pendiente de clasificar")))</f>
        <v/>
      </c>
      <c r="AD1236" s="11" t="inlineStr">
        <is>
          <t>1. Explicar fenómenos científicamente</t>
        </is>
      </c>
      <c r="AE1236" s="11">
        <f>IF(AD1236="","",IF(LEFT(AD1236,1)="1","C1",IF(LEFT(AD1236,1)="2","C2",IF(LEFT(AD1236,1)="3","C3",""))))</f>
        <v/>
      </c>
      <c r="AF1236" s="11" t="inlineStr">
        <is>
          <t>E1</t>
        </is>
      </c>
      <c r="AG1236" s="11" t="inlineStr">
        <is>
          <t>E5</t>
        </is>
      </c>
      <c r="AH1236" s="11" t="inlineStr">
        <is>
          <t>E4</t>
        </is>
      </c>
      <c r="AI1236" s="11" t="inlineStr">
        <is>
          <t>I1</t>
        </is>
      </c>
      <c r="AJ1236" s="11" t="inlineStr">
        <is>
          <t>I2</t>
        </is>
      </c>
      <c r="AK1236" s="11" t="n"/>
      <c r="AL1236" s="11" t="n"/>
      <c r="AM1236" s="11" t="n"/>
      <c r="AN1236" s="11" t="n"/>
      <c r="AO1236" s="11" t="n"/>
      <c r="AP1236" s="11" t="n"/>
      <c r="AQ1236" s="11" t="n"/>
      <c r="AR1236" s="11" t="n"/>
      <c r="AS1236" s="11" t="n"/>
      <c r="AT1236" s="11" t="n"/>
      <c r="AU1236" s="11" t="n"/>
      <c r="AV1236" s="11" t="n"/>
      <c r="AW1236" s="11">
        <f>AF1236&amp;"; "&amp;AG1236&amp;"; "&amp;AH1236&amp;"; "&amp;AI1236&amp;"; "&amp;AJ1236</f>
        <v/>
      </c>
    </row>
    <row r="1237">
      <c r="A1237" s="11" t="inlineStr">
        <is>
          <t>T0135-G11-BIO</t>
        </is>
      </c>
      <c r="B1237" s="11" t="n">
        <v>11</v>
      </c>
      <c r="C1237" s="11" t="inlineStr">
        <is>
          <t>Biología</t>
        </is>
      </c>
      <c r="D1237" s="11" t="inlineStr">
        <is>
          <t>Matriz_Bachillerato_Biologia_10_11.xlsx</t>
        </is>
      </c>
      <c r="E1237" s="11" t="inlineStr">
        <is>
          <t>Biología 11.°</t>
        </is>
      </c>
      <c r="F1237" s="11" t="n">
        <v>67</v>
      </c>
      <c r="G1237" s="11" t="inlineStr">
        <is>
          <t>5. Análisis de biodiversidad</t>
        </is>
      </c>
      <c r="H1237" s="11" t="inlineStr">
        <is>
          <t>Origen común de la vida</t>
        </is>
      </c>
      <c r="I1237" s="38" t="inlineStr">
        <is>
          <t>5.5. Relación de las variantes genéticas con los conceptos de especie, subespecie, variedad y cepa.</t>
        </is>
      </c>
      <c r="J1237" s="11" t="inlineStr">
        <is>
          <t>Sin marco</t>
        </is>
      </c>
      <c r="K1237" s="11" t="inlineStr">
        <is>
          <t>N/A</t>
        </is>
      </c>
      <c r="L1237" s="11" t="inlineStr"/>
      <c r="M1237" s="11">
        <f>IF(K1237="FUERA","Fuera del marco",IF(K1237="N/A","Sin marco",IFERROR(INDEX('Datos - Catálogo TIMSS'!$C$5:$C$107,MATCH(K1237,'Datos - Catálogo TIMSS'!$A$5:$A$107,0)),"Pendiente de clasificar")))</f>
        <v/>
      </c>
      <c r="N1237" s="11">
        <f>IF(K1237="FUERA","Fuera del marco",IF(K1237="N/A","Sin marco",IFERROR(INDEX('Datos - Catálogo TIMSS'!$F$5:$F$107,MATCH(K1237,'Datos - Catálogo TIMSS'!$A$5:$A$107,0)),"Pendiente de clasificar")))</f>
        <v/>
      </c>
      <c r="O1237" s="11">
        <f>IF(L1237="","",IFERROR(INDEX('Datos - Catálogo TIMSS'!$C$5:$C$107,MATCH(L1237,'Datos - Catálogo TIMSS'!$A$5:$A$107,0)),"?"))</f>
        <v/>
      </c>
      <c r="P1237" s="11" t="inlineStr">
        <is>
          <t>N/A</t>
        </is>
      </c>
      <c r="Q1237" s="38" t="inlineStr">
        <is>
          <t>Sin marco TIMSS de contenido para esta asignatura en Bachillerato</t>
        </is>
      </c>
      <c r="R1237" s="38" t="inlineStr">
        <is>
          <t>Conocer: definir categorías infraespecíficas. Razonar: clasificar casos con criterios genéticos</t>
        </is>
      </c>
      <c r="S1237" s="39">
        <f>IFERROR(ISNUMBER(SEARCH("Conocer",$R1237))/(ISNUMBER(SEARCH("Conocer",$R1237))+ISNUMBER(SEARCH("Aplicar",$R1237))+ISNUMBER(SEARCH("Razonar",$R1237))),0)</f>
        <v/>
      </c>
      <c r="T1237" s="39">
        <f>IFERROR(ISNUMBER(SEARCH("Aplicar",$R1237))/(ISNUMBER(SEARCH("Conocer",$R1237))+ISNUMBER(SEARCH("Aplicar",$R1237))+ISNUMBER(SEARCH("Razonar",$R1237))),0)</f>
        <v/>
      </c>
      <c r="U1237" s="39">
        <f>IFERROR(ISNUMBER(SEARCH("Razonar",$R1237))/(ISNUMBER(SEARCH("Conocer",$R1237))+ISNUMBER(SEARCH("Aplicar",$R1237))+ISNUMBER(SEARCH("Razonar",$R1237))),0)</f>
        <v/>
      </c>
      <c r="V1237" s="11" t="inlineStr">
        <is>
          <t>Biología 11°</t>
        </is>
      </c>
      <c r="W1237" s="11" t="inlineStr">
        <is>
          <t>Biología 10°–11°</t>
        </is>
      </c>
      <c r="X1237" s="11">
        <f>IF(OR(IFERROR(INDEX('Datos - Catálogo TIMSS'!$I$5:$I$107,MATCH(K1237,'Datos - Catálogo TIMSS'!$A$5:$A$107,0)),"No")="Sí",IFERROR(INDEX('Datos - Catálogo TIMSS'!$I$5:$I$107,MATCH(L1237,'Datos - Catálogo TIMSS'!$A$5:$A$107,0)),"No")="Sí"),1,0)</f>
        <v/>
      </c>
      <c r="Y1237" s="11">
        <f>IF(IFERROR(INDEX('Datos - Catálogo TIMSS'!$J$5:$J$107,MATCH(K1237,'Datos - Catálogo TIMSS'!$A$5:$A$107,0)),"No")="Sí",1,0)</f>
        <v/>
      </c>
      <c r="Z1237" s="11">
        <f>IF(IFERROR(INDEX('Datos - Catálogo TIMSS'!$J$5:$J$107,MATCH(L1237,'Datos - Catálogo TIMSS'!$A$5:$A$107,0)),"No")="Sí",1,0)</f>
        <v/>
      </c>
      <c r="AA1237" s="11" t="inlineStr">
        <is>
          <t>N/A</t>
        </is>
      </c>
      <c r="AB1237" s="11" t="inlineStr"/>
      <c r="AC1237" s="11">
        <f>IF(AA1237="FUERA","Fuera del marco",IF(AA1237="N/A","Sin marco",IFERROR(INDEX('Datos - TIMSS 2023'!$C$5:$C$105,MATCH(AA1237,'Datos - TIMSS 2023'!$A$5:$A$105,0)),"Pendiente de clasificar")))</f>
        <v/>
      </c>
      <c r="AD1237" s="11" t="inlineStr">
        <is>
          <t>1. Explicar fenómenos científicamente</t>
        </is>
      </c>
      <c r="AE1237" s="11">
        <f>IF(AD1237="","",IF(LEFT(AD1237,1)="1","C1",IF(LEFT(AD1237,1)="2","C2",IF(LEFT(AD1237,1)="3","C3",""))))</f>
        <v/>
      </c>
      <c r="AF1237" s="11" t="inlineStr">
        <is>
          <t>E6</t>
        </is>
      </c>
      <c r="AG1237" s="11" t="inlineStr">
        <is>
          <t>D1</t>
        </is>
      </c>
      <c r="AH1237" s="11" t="inlineStr">
        <is>
          <t>E1</t>
        </is>
      </c>
      <c r="AI1237" s="11" t="inlineStr">
        <is>
          <t>D4</t>
        </is>
      </c>
      <c r="AJ1237" s="11" t="inlineStr">
        <is>
          <t>I4</t>
        </is>
      </c>
      <c r="AK1237" s="11" t="n"/>
      <c r="AL1237" s="11" t="n"/>
      <c r="AM1237" s="11" t="n"/>
      <c r="AN1237" s="11" t="n"/>
      <c r="AO1237" s="11" t="n"/>
      <c r="AP1237" s="11" t="n"/>
      <c r="AQ1237" s="11" t="n"/>
      <c r="AR1237" s="11" t="n"/>
      <c r="AS1237" s="11" t="n"/>
      <c r="AT1237" s="11" t="n"/>
      <c r="AU1237" s="11" t="n"/>
      <c r="AV1237" s="11" t="n"/>
      <c r="AW1237" s="11">
        <f>AF1237&amp;"; "&amp;AG1237&amp;"; "&amp;AH1237&amp;"; "&amp;AI1237&amp;"; "&amp;AJ1237</f>
        <v/>
      </c>
    </row>
    <row r="1238">
      <c r="A1238" s="11" t="inlineStr">
        <is>
          <t>T0136-G11-BIO</t>
        </is>
      </c>
      <c r="B1238" s="11" t="n">
        <v>11</v>
      </c>
      <c r="C1238" s="11" t="inlineStr">
        <is>
          <t>Biología</t>
        </is>
      </c>
      <c r="D1238" s="11" t="inlineStr">
        <is>
          <t>Matriz_Bachillerato_Biologia_10_11.xlsx</t>
        </is>
      </c>
      <c r="E1238" s="11" t="inlineStr">
        <is>
          <t>Biología 11.°</t>
        </is>
      </c>
      <c r="F1238" s="11" t="n">
        <v>68</v>
      </c>
      <c r="G1238" s="11" t="inlineStr">
        <is>
          <t>5. Análisis de biodiversidad</t>
        </is>
      </c>
      <c r="H1238" s="11" t="inlineStr">
        <is>
          <t>Origen común de la vida</t>
        </is>
      </c>
      <c r="I1238" s="38" t="inlineStr">
        <is>
          <t>5.6. Exploración de las formas naturales de especiación a partir de casos.</t>
        </is>
      </c>
      <c r="J1238" s="11" t="inlineStr">
        <is>
          <t>Sin marco</t>
        </is>
      </c>
      <c r="K1238" s="11" t="inlineStr">
        <is>
          <t>N/A</t>
        </is>
      </c>
      <c r="L1238" s="11" t="inlineStr"/>
      <c r="M1238" s="11">
        <f>IF(K1238="FUERA","Fuera del marco",IF(K1238="N/A","Sin marco",IFERROR(INDEX('Datos - Catálogo TIMSS'!$C$5:$C$107,MATCH(K1238,'Datos - Catálogo TIMSS'!$A$5:$A$107,0)),"Pendiente de clasificar")))</f>
        <v/>
      </c>
      <c r="N1238" s="11">
        <f>IF(K1238="FUERA","Fuera del marco",IF(K1238="N/A","Sin marco",IFERROR(INDEX('Datos - Catálogo TIMSS'!$F$5:$F$107,MATCH(K1238,'Datos - Catálogo TIMSS'!$A$5:$A$107,0)),"Pendiente de clasificar")))</f>
        <v/>
      </c>
      <c r="O1238" s="11">
        <f>IF(L1238="","",IFERROR(INDEX('Datos - Catálogo TIMSS'!$C$5:$C$107,MATCH(L1238,'Datos - Catálogo TIMSS'!$A$5:$A$107,0)),"?"))</f>
        <v/>
      </c>
      <c r="P1238" s="11" t="inlineStr">
        <is>
          <t>N/A</t>
        </is>
      </c>
      <c r="Q1238" s="38" t="inlineStr">
        <is>
          <t>Sin marco TIMSS de contenido para esta asignatura en Bachillerato</t>
        </is>
      </c>
      <c r="R1238" s="38" t="inlineStr">
        <is>
          <t>Conocer: identificar formas de especiación. Razonar: aplicar modelos a casos reales e hipotéticos</t>
        </is>
      </c>
      <c r="S1238" s="39">
        <f>IFERROR(ISNUMBER(SEARCH("Conocer",$R1238))/(ISNUMBER(SEARCH("Conocer",$R1238))+ISNUMBER(SEARCH("Aplicar",$R1238))+ISNUMBER(SEARCH("Razonar",$R1238))),0)</f>
        <v/>
      </c>
      <c r="T1238" s="39">
        <f>IFERROR(ISNUMBER(SEARCH("Aplicar",$R1238))/(ISNUMBER(SEARCH("Conocer",$R1238))+ISNUMBER(SEARCH("Aplicar",$R1238))+ISNUMBER(SEARCH("Razonar",$R1238))),0)</f>
        <v/>
      </c>
      <c r="U1238" s="39">
        <f>IFERROR(ISNUMBER(SEARCH("Razonar",$R1238))/(ISNUMBER(SEARCH("Conocer",$R1238))+ISNUMBER(SEARCH("Aplicar",$R1238))+ISNUMBER(SEARCH("Razonar",$R1238))),0)</f>
        <v/>
      </c>
      <c r="V1238" s="11" t="inlineStr">
        <is>
          <t>Biología 11°</t>
        </is>
      </c>
      <c r="W1238" s="11" t="inlineStr">
        <is>
          <t>Biología 10°–11°</t>
        </is>
      </c>
      <c r="X1238" s="11">
        <f>IF(OR(IFERROR(INDEX('Datos - Catálogo TIMSS'!$I$5:$I$107,MATCH(K1238,'Datos - Catálogo TIMSS'!$A$5:$A$107,0)),"No")="Sí",IFERROR(INDEX('Datos - Catálogo TIMSS'!$I$5:$I$107,MATCH(L1238,'Datos - Catálogo TIMSS'!$A$5:$A$107,0)),"No")="Sí"),1,0)</f>
        <v/>
      </c>
      <c r="Y1238" s="11">
        <f>IF(IFERROR(INDEX('Datos - Catálogo TIMSS'!$J$5:$J$107,MATCH(K1238,'Datos - Catálogo TIMSS'!$A$5:$A$107,0)),"No")="Sí",1,0)</f>
        <v/>
      </c>
      <c r="Z1238" s="11">
        <f>IF(IFERROR(INDEX('Datos - Catálogo TIMSS'!$J$5:$J$107,MATCH(L1238,'Datos - Catálogo TIMSS'!$A$5:$A$107,0)),"No")="Sí",1,0)</f>
        <v/>
      </c>
      <c r="AA1238" s="11" t="inlineStr">
        <is>
          <t>N/A</t>
        </is>
      </c>
      <c r="AB1238" s="11" t="inlineStr"/>
      <c r="AC1238" s="11">
        <f>IF(AA1238="FUERA","Fuera del marco",IF(AA1238="N/A","Sin marco",IFERROR(INDEX('Datos - TIMSS 2023'!$C$5:$C$105,MATCH(AA1238,'Datos - TIMSS 2023'!$A$5:$A$105,0)),"Pendiente de clasificar")))</f>
        <v/>
      </c>
      <c r="AD1238" s="11" t="inlineStr">
        <is>
          <t>1. Explicar fenómenos científicamente</t>
        </is>
      </c>
      <c r="AE1238" s="11">
        <f>IF(AD1238="","",IF(LEFT(AD1238,1)="1","C1",IF(LEFT(AD1238,1)="2","C2",IF(LEFT(AD1238,1)="3","C3",""))))</f>
        <v/>
      </c>
      <c r="AF1238" s="11" t="inlineStr">
        <is>
          <t>E1</t>
        </is>
      </c>
      <c r="AG1238" s="11" t="inlineStr">
        <is>
          <t>E5</t>
        </is>
      </c>
      <c r="AH1238" s="11" t="inlineStr">
        <is>
          <t>E4</t>
        </is>
      </c>
      <c r="AI1238" s="11" t="inlineStr">
        <is>
          <t>I1</t>
        </is>
      </c>
      <c r="AJ1238" s="11" t="inlineStr">
        <is>
          <t>E3</t>
        </is>
      </c>
      <c r="AK1238" s="11" t="n"/>
      <c r="AL1238" s="11" t="n"/>
      <c r="AM1238" s="11" t="n"/>
      <c r="AN1238" s="11" t="n"/>
      <c r="AO1238" s="11" t="n"/>
      <c r="AP1238" s="11" t="n"/>
      <c r="AQ1238" s="11" t="n"/>
      <c r="AR1238" s="11" t="n"/>
      <c r="AS1238" s="11" t="n"/>
      <c r="AT1238" s="11" t="n"/>
      <c r="AU1238" s="11" t="n"/>
      <c r="AV1238" s="11" t="n"/>
      <c r="AW1238" s="11">
        <f>AF1238&amp;"; "&amp;AG1238&amp;"; "&amp;AH1238&amp;"; "&amp;AI1238&amp;"; "&amp;AJ1238</f>
        <v/>
      </c>
    </row>
    <row r="1239">
      <c r="A1239" s="11" t="inlineStr">
        <is>
          <t>T0137-G11-BIO</t>
        </is>
      </c>
      <c r="B1239" s="11" t="n">
        <v>11</v>
      </c>
      <c r="C1239" s="11" t="inlineStr">
        <is>
          <t>Biología</t>
        </is>
      </c>
      <c r="D1239" s="11" t="inlineStr">
        <is>
          <t>Matriz_Bachillerato_Biologia_10_11.xlsx</t>
        </is>
      </c>
      <c r="E1239" s="11" t="inlineStr">
        <is>
          <t>Biología 11.°</t>
        </is>
      </c>
      <c r="F1239" s="11" t="n">
        <v>69</v>
      </c>
      <c r="G1239" s="11" t="inlineStr">
        <is>
          <t>5. Análisis de biodiversidad</t>
        </is>
      </c>
      <c r="H1239" s="11" t="inlineStr">
        <is>
          <t>Estimación de la biodiversidad</t>
        </is>
      </c>
      <c r="I1239" s="38" t="inlineStr">
        <is>
          <t>5.7. Indagación de los conceptos de riqueza y abundancia de especies a partir de la observación.</t>
        </is>
      </c>
      <c r="J1239" s="11" t="inlineStr">
        <is>
          <t>Sin marco</t>
        </is>
      </c>
      <c r="K1239" s="11" t="inlineStr">
        <is>
          <t>N/A</t>
        </is>
      </c>
      <c r="L1239" s="11" t="inlineStr"/>
      <c r="M1239" s="11">
        <f>IF(K1239="FUERA","Fuera del marco",IF(K1239="N/A","Sin marco",IFERROR(INDEX('Datos - Catálogo TIMSS'!$C$5:$C$107,MATCH(K1239,'Datos - Catálogo TIMSS'!$A$5:$A$107,0)),"Pendiente de clasificar")))</f>
        <v/>
      </c>
      <c r="N1239" s="11">
        <f>IF(K1239="FUERA","Fuera del marco",IF(K1239="N/A","Sin marco",IFERROR(INDEX('Datos - Catálogo TIMSS'!$F$5:$F$107,MATCH(K1239,'Datos - Catálogo TIMSS'!$A$5:$A$107,0)),"Pendiente de clasificar")))</f>
        <v/>
      </c>
      <c r="O1239" s="11">
        <f>IF(L1239="","",IFERROR(INDEX('Datos - Catálogo TIMSS'!$C$5:$C$107,MATCH(L1239,'Datos - Catálogo TIMSS'!$A$5:$A$107,0)),"?"))</f>
        <v/>
      </c>
      <c r="P1239" s="11" t="inlineStr">
        <is>
          <t>N/A</t>
        </is>
      </c>
      <c r="Q1239" s="38" t="inlineStr">
        <is>
          <t>Sin marco TIMSS de contenido para esta asignatura en Bachillerato</t>
        </is>
      </c>
      <c r="R1239" s="38" t="inlineStr">
        <is>
          <t>Aplicar: registrar y graficar riqueza y abundancia. Razonar: comparar zonas con datos</t>
        </is>
      </c>
      <c r="S1239" s="39">
        <f>IFERROR(ISNUMBER(SEARCH("Conocer",$R1239))/(ISNUMBER(SEARCH("Conocer",$R1239))+ISNUMBER(SEARCH("Aplicar",$R1239))+ISNUMBER(SEARCH("Razonar",$R1239))),0)</f>
        <v/>
      </c>
      <c r="T1239" s="39">
        <f>IFERROR(ISNUMBER(SEARCH("Aplicar",$R1239))/(ISNUMBER(SEARCH("Conocer",$R1239))+ISNUMBER(SEARCH("Aplicar",$R1239))+ISNUMBER(SEARCH("Razonar",$R1239))),0)</f>
        <v/>
      </c>
      <c r="U1239" s="39">
        <f>IFERROR(ISNUMBER(SEARCH("Razonar",$R1239))/(ISNUMBER(SEARCH("Conocer",$R1239))+ISNUMBER(SEARCH("Aplicar",$R1239))+ISNUMBER(SEARCH("Razonar",$R1239))),0)</f>
        <v/>
      </c>
      <c r="V1239" s="11" t="inlineStr">
        <is>
          <t>Biología 11°</t>
        </is>
      </c>
      <c r="W1239" s="11" t="inlineStr">
        <is>
          <t>Biología 10°–11°</t>
        </is>
      </c>
      <c r="X1239" s="11">
        <f>IF(OR(IFERROR(INDEX('Datos - Catálogo TIMSS'!$I$5:$I$107,MATCH(K1239,'Datos - Catálogo TIMSS'!$A$5:$A$107,0)),"No")="Sí",IFERROR(INDEX('Datos - Catálogo TIMSS'!$I$5:$I$107,MATCH(L1239,'Datos - Catálogo TIMSS'!$A$5:$A$107,0)),"No")="Sí"),1,0)</f>
        <v/>
      </c>
      <c r="Y1239" s="11">
        <f>IF(IFERROR(INDEX('Datos - Catálogo TIMSS'!$J$5:$J$107,MATCH(K1239,'Datos - Catálogo TIMSS'!$A$5:$A$107,0)),"No")="Sí",1,0)</f>
        <v/>
      </c>
      <c r="Z1239" s="11">
        <f>IF(IFERROR(INDEX('Datos - Catálogo TIMSS'!$J$5:$J$107,MATCH(L1239,'Datos - Catálogo TIMSS'!$A$5:$A$107,0)),"No")="Sí",1,0)</f>
        <v/>
      </c>
      <c r="AA1239" s="11" t="inlineStr">
        <is>
          <t>N/A</t>
        </is>
      </c>
      <c r="AB1239" s="11" t="inlineStr"/>
      <c r="AC1239" s="11">
        <f>IF(AA1239="FUERA","Fuera del marco",IF(AA1239="N/A","Sin marco",IFERROR(INDEX('Datos - TIMSS 2023'!$C$5:$C$105,MATCH(AA1239,'Datos - TIMSS 2023'!$A$5:$A$105,0)),"Pendiente de clasificar")))</f>
        <v/>
      </c>
      <c r="AD1239" s="11" t="inlineStr">
        <is>
          <t>2. Construir y evaluar diseños para la indagación científica e interpretar datos y evidencia de forma crítica</t>
        </is>
      </c>
      <c r="AE1239" s="11">
        <f>IF(AD1239="","",IF(LEFT(AD1239,1)="1","C1",IF(LEFT(AD1239,1)="2","C2",IF(LEFT(AD1239,1)="3","C3",""))))</f>
        <v/>
      </c>
      <c r="AF1239" s="11" t="inlineStr">
        <is>
          <t>E1</t>
        </is>
      </c>
      <c r="AG1239" s="11" t="inlineStr">
        <is>
          <t>D1</t>
        </is>
      </c>
      <c r="AH1239" s="11" t="inlineStr">
        <is>
          <t>E1</t>
        </is>
      </c>
      <c r="AI1239" s="11" t="inlineStr">
        <is>
          <t>D4</t>
        </is>
      </c>
      <c r="AJ1239" s="11" t="inlineStr">
        <is>
          <t>D3</t>
        </is>
      </c>
      <c r="AK1239" s="11" t="n"/>
      <c r="AL1239" s="11" t="n"/>
      <c r="AM1239" s="11" t="n"/>
      <c r="AN1239" s="11" t="n"/>
      <c r="AO1239" s="11" t="n"/>
      <c r="AP1239" s="11" t="n"/>
      <c r="AQ1239" s="11" t="n"/>
      <c r="AR1239" s="11" t="n"/>
      <c r="AS1239" s="11" t="n"/>
      <c r="AT1239" s="11" t="n"/>
      <c r="AU1239" s="11" t="n"/>
      <c r="AV1239" s="11" t="n"/>
      <c r="AW1239" s="11">
        <f>AF1239&amp;"; "&amp;AG1239&amp;"; "&amp;AH1239&amp;"; "&amp;AI1239&amp;"; "&amp;AJ1239</f>
        <v/>
      </c>
    </row>
    <row r="1240">
      <c r="A1240" s="11" t="inlineStr">
        <is>
          <t>T0138-G11-BIO</t>
        </is>
      </c>
      <c r="B1240" s="11" t="n">
        <v>11</v>
      </c>
      <c r="C1240" s="11" t="inlineStr">
        <is>
          <t>Biología</t>
        </is>
      </c>
      <c r="D1240" s="11" t="inlineStr">
        <is>
          <t>Matriz_Bachillerato_Biologia_10_11.xlsx</t>
        </is>
      </c>
      <c r="E1240" s="11" t="inlineStr">
        <is>
          <t>Biología 11.°</t>
        </is>
      </c>
      <c r="F1240" s="11" t="n">
        <v>70</v>
      </c>
      <c r="G1240" s="11" t="inlineStr">
        <is>
          <t>5. Análisis de biodiversidad</t>
        </is>
      </c>
      <c r="H1240" s="11" t="inlineStr">
        <is>
          <t>Estimación de la biodiversidad</t>
        </is>
      </c>
      <c r="I1240" s="38" t="inlineStr">
        <is>
          <t>5.8. Estimación de similitud y distancia entre comunidades biológicas.</t>
        </is>
      </c>
      <c r="J1240" s="11" t="inlineStr">
        <is>
          <t>Sin marco</t>
        </is>
      </c>
      <c r="K1240" s="11" t="inlineStr">
        <is>
          <t>N/A</t>
        </is>
      </c>
      <c r="L1240" s="11" t="inlineStr"/>
      <c r="M1240" s="11">
        <f>IF(K1240="FUERA","Fuera del marco",IF(K1240="N/A","Sin marco",IFERROR(INDEX('Datos - Catálogo TIMSS'!$C$5:$C$107,MATCH(K1240,'Datos - Catálogo TIMSS'!$A$5:$A$107,0)),"Pendiente de clasificar")))</f>
        <v/>
      </c>
      <c r="N1240" s="11">
        <f>IF(K1240="FUERA","Fuera del marco",IF(K1240="N/A","Sin marco",IFERROR(INDEX('Datos - Catálogo TIMSS'!$F$5:$F$107,MATCH(K1240,'Datos - Catálogo TIMSS'!$A$5:$A$107,0)),"Pendiente de clasificar")))</f>
        <v/>
      </c>
      <c r="O1240" s="11">
        <f>IF(L1240="","",IFERROR(INDEX('Datos - Catálogo TIMSS'!$C$5:$C$107,MATCH(L1240,'Datos - Catálogo TIMSS'!$A$5:$A$107,0)),"?"))</f>
        <v/>
      </c>
      <c r="P1240" s="11" t="inlineStr">
        <is>
          <t>N/A</t>
        </is>
      </c>
      <c r="Q1240" s="38" t="inlineStr">
        <is>
          <t>Sin marco TIMSS de contenido para esta asignatura en Bachillerato</t>
        </is>
      </c>
      <c r="R1240" s="38" t="inlineStr">
        <is>
          <t>Aplicar: calcular índices de similitud y distancia. Razonar: evaluar la validez de la comparación</t>
        </is>
      </c>
      <c r="S1240" s="39">
        <f>IFERROR(ISNUMBER(SEARCH("Conocer",$R1240))/(ISNUMBER(SEARCH("Conocer",$R1240))+ISNUMBER(SEARCH("Aplicar",$R1240))+ISNUMBER(SEARCH("Razonar",$R1240))),0)</f>
        <v/>
      </c>
      <c r="T1240" s="39">
        <f>IFERROR(ISNUMBER(SEARCH("Aplicar",$R1240))/(ISNUMBER(SEARCH("Conocer",$R1240))+ISNUMBER(SEARCH("Aplicar",$R1240))+ISNUMBER(SEARCH("Razonar",$R1240))),0)</f>
        <v/>
      </c>
      <c r="U1240" s="39">
        <f>IFERROR(ISNUMBER(SEARCH("Razonar",$R1240))/(ISNUMBER(SEARCH("Conocer",$R1240))+ISNUMBER(SEARCH("Aplicar",$R1240))+ISNUMBER(SEARCH("Razonar",$R1240))),0)</f>
        <v/>
      </c>
      <c r="V1240" s="11" t="inlineStr">
        <is>
          <t>Biología 11°</t>
        </is>
      </c>
      <c r="W1240" s="11" t="inlineStr">
        <is>
          <t>Biología 10°–11°</t>
        </is>
      </c>
      <c r="X1240" s="11">
        <f>IF(OR(IFERROR(INDEX('Datos - Catálogo TIMSS'!$I$5:$I$107,MATCH(K1240,'Datos - Catálogo TIMSS'!$A$5:$A$107,0)),"No")="Sí",IFERROR(INDEX('Datos - Catálogo TIMSS'!$I$5:$I$107,MATCH(L1240,'Datos - Catálogo TIMSS'!$A$5:$A$107,0)),"No")="Sí"),1,0)</f>
        <v/>
      </c>
      <c r="Y1240" s="11">
        <f>IF(IFERROR(INDEX('Datos - Catálogo TIMSS'!$J$5:$J$107,MATCH(K1240,'Datos - Catálogo TIMSS'!$A$5:$A$107,0)),"No")="Sí",1,0)</f>
        <v/>
      </c>
      <c r="Z1240" s="11">
        <f>IF(IFERROR(INDEX('Datos - Catálogo TIMSS'!$J$5:$J$107,MATCH(L1240,'Datos - Catálogo TIMSS'!$A$5:$A$107,0)),"No")="Sí",1,0)</f>
        <v/>
      </c>
      <c r="AA1240" s="11" t="inlineStr">
        <is>
          <t>N/A</t>
        </is>
      </c>
      <c r="AB1240" s="11" t="inlineStr"/>
      <c r="AC1240" s="11">
        <f>IF(AA1240="FUERA","Fuera del marco",IF(AA1240="N/A","Sin marco",IFERROR(INDEX('Datos - TIMSS 2023'!$C$5:$C$105,MATCH(AA1240,'Datos - TIMSS 2023'!$A$5:$A$105,0)),"Pendiente de clasificar")))</f>
        <v/>
      </c>
      <c r="AD1240" s="11" t="inlineStr">
        <is>
          <t>2. Construir y evaluar diseños para la indagación científica e interpretar datos y evidencia de forma crítica</t>
        </is>
      </c>
      <c r="AE1240" s="11">
        <f>IF(AD1240="","",IF(LEFT(AD1240,1)="1","C1",IF(LEFT(AD1240,1)="2","C2",IF(LEFT(AD1240,1)="3","C3",""))))</f>
        <v/>
      </c>
      <c r="AF1240" s="11" t="inlineStr">
        <is>
          <t>E6</t>
        </is>
      </c>
      <c r="AG1240" s="11" t="inlineStr">
        <is>
          <t>D1</t>
        </is>
      </c>
      <c r="AH1240" s="11" t="inlineStr">
        <is>
          <t>E2</t>
        </is>
      </c>
      <c r="AI1240" s="11" t="inlineStr">
        <is>
          <t>D4</t>
        </is>
      </c>
      <c r="AJ1240" s="11" t="inlineStr">
        <is>
          <t>D3</t>
        </is>
      </c>
      <c r="AK1240" s="11" t="n"/>
      <c r="AL1240" s="11" t="n"/>
      <c r="AM1240" s="11" t="n"/>
      <c r="AN1240" s="11" t="n"/>
      <c r="AO1240" s="11" t="n"/>
      <c r="AP1240" s="11" t="n"/>
      <c r="AQ1240" s="11" t="n"/>
      <c r="AR1240" s="11" t="n"/>
      <c r="AS1240" s="11" t="n"/>
      <c r="AT1240" s="11" t="n"/>
      <c r="AU1240" s="11" t="n"/>
      <c r="AV1240" s="11" t="n"/>
      <c r="AW1240" s="11">
        <f>AF1240&amp;"; "&amp;AG1240&amp;"; "&amp;AH1240&amp;"; "&amp;AI1240&amp;"; "&amp;AJ1240</f>
        <v/>
      </c>
    </row>
    <row r="1241">
      <c r="A1241" s="11" t="inlineStr">
        <is>
          <t>T0139-G11-BIO</t>
        </is>
      </c>
      <c r="B1241" s="11" t="n">
        <v>11</v>
      </c>
      <c r="C1241" s="11" t="inlineStr">
        <is>
          <t>Biología</t>
        </is>
      </c>
      <c r="D1241" s="11" t="inlineStr">
        <is>
          <t>Matriz_Bachillerato_Biologia_10_11.xlsx</t>
        </is>
      </c>
      <c r="E1241" s="11" t="inlineStr">
        <is>
          <t>Biología 11.°</t>
        </is>
      </c>
      <c r="F1241" s="11" t="n">
        <v>71</v>
      </c>
      <c r="G1241" s="11" t="inlineStr">
        <is>
          <t>5. Análisis de biodiversidad</t>
        </is>
      </c>
      <c r="H1241" s="11" t="inlineStr">
        <is>
          <t>Estimación de la biodiversidad</t>
        </is>
      </c>
      <c r="I1241" s="38" t="inlineStr">
        <is>
          <t>5.9. Exploración de la biodiversidad funcional a partir de los nichos ecológicos.</t>
        </is>
      </c>
      <c r="J1241" s="11" t="inlineStr">
        <is>
          <t>Sin marco</t>
        </is>
      </c>
      <c r="K1241" s="11" t="inlineStr">
        <is>
          <t>N/A</t>
        </is>
      </c>
      <c r="L1241" s="11" t="inlineStr"/>
      <c r="M1241" s="11">
        <f>IF(K1241="FUERA","Fuera del marco",IF(K1241="N/A","Sin marco",IFERROR(INDEX('Datos - Catálogo TIMSS'!$C$5:$C$107,MATCH(K1241,'Datos - Catálogo TIMSS'!$A$5:$A$107,0)),"Pendiente de clasificar")))</f>
        <v/>
      </c>
      <c r="N1241" s="11">
        <f>IF(K1241="FUERA","Fuera del marco",IF(K1241="N/A","Sin marco",IFERROR(INDEX('Datos - Catálogo TIMSS'!$F$5:$F$107,MATCH(K1241,'Datos - Catálogo TIMSS'!$A$5:$A$107,0)),"Pendiente de clasificar")))</f>
        <v/>
      </c>
      <c r="O1241" s="11">
        <f>IF(L1241="","",IFERROR(INDEX('Datos - Catálogo TIMSS'!$C$5:$C$107,MATCH(L1241,'Datos - Catálogo TIMSS'!$A$5:$A$107,0)),"?"))</f>
        <v/>
      </c>
      <c r="P1241" s="11" t="inlineStr">
        <is>
          <t>N/A</t>
        </is>
      </c>
      <c r="Q1241" s="38" t="inlineStr">
        <is>
          <t>Sin marco TIMSS de contenido para esta asignatura en Bachillerato</t>
        </is>
      </c>
      <c r="R1241" s="38" t="inlineStr">
        <is>
          <t>Conocer: definir nicho ecológico. Razonar: explicar la importancia de la biodiversidad funcional</t>
        </is>
      </c>
      <c r="S1241" s="39">
        <f>IFERROR(ISNUMBER(SEARCH("Conocer",$R1241))/(ISNUMBER(SEARCH("Conocer",$R1241))+ISNUMBER(SEARCH("Aplicar",$R1241))+ISNUMBER(SEARCH("Razonar",$R1241))),0)</f>
        <v/>
      </c>
      <c r="T1241" s="39">
        <f>IFERROR(ISNUMBER(SEARCH("Aplicar",$R1241))/(ISNUMBER(SEARCH("Conocer",$R1241))+ISNUMBER(SEARCH("Aplicar",$R1241))+ISNUMBER(SEARCH("Razonar",$R1241))),0)</f>
        <v/>
      </c>
      <c r="U1241" s="39">
        <f>IFERROR(ISNUMBER(SEARCH("Razonar",$R1241))/(ISNUMBER(SEARCH("Conocer",$R1241))+ISNUMBER(SEARCH("Aplicar",$R1241))+ISNUMBER(SEARCH("Razonar",$R1241))),0)</f>
        <v/>
      </c>
      <c r="V1241" s="11" t="inlineStr">
        <is>
          <t>Biología 11°</t>
        </is>
      </c>
      <c r="W1241" s="11" t="inlineStr">
        <is>
          <t>Biología 10°–11°</t>
        </is>
      </c>
      <c r="X1241" s="11">
        <f>IF(OR(IFERROR(INDEX('Datos - Catálogo TIMSS'!$I$5:$I$107,MATCH(K1241,'Datos - Catálogo TIMSS'!$A$5:$A$107,0)),"No")="Sí",IFERROR(INDEX('Datos - Catálogo TIMSS'!$I$5:$I$107,MATCH(L1241,'Datos - Catálogo TIMSS'!$A$5:$A$107,0)),"No")="Sí"),1,0)</f>
        <v/>
      </c>
      <c r="Y1241" s="11">
        <f>IF(IFERROR(INDEX('Datos - Catálogo TIMSS'!$J$5:$J$107,MATCH(K1241,'Datos - Catálogo TIMSS'!$A$5:$A$107,0)),"No")="Sí",1,0)</f>
        <v/>
      </c>
      <c r="Z1241" s="11">
        <f>IF(IFERROR(INDEX('Datos - Catálogo TIMSS'!$J$5:$J$107,MATCH(L1241,'Datos - Catálogo TIMSS'!$A$5:$A$107,0)),"No")="Sí",1,0)</f>
        <v/>
      </c>
      <c r="AA1241" s="11" t="inlineStr">
        <is>
          <t>N/A</t>
        </is>
      </c>
      <c r="AB1241" s="11" t="inlineStr"/>
      <c r="AC1241" s="11">
        <f>IF(AA1241="FUERA","Fuera del marco",IF(AA1241="N/A","Sin marco",IFERROR(INDEX('Datos - TIMSS 2023'!$C$5:$C$105,MATCH(AA1241,'Datos - TIMSS 2023'!$A$5:$A$105,0)),"Pendiente de clasificar")))</f>
        <v/>
      </c>
      <c r="AD1241" s="11" t="inlineStr">
        <is>
          <t>1. Explicar fenómenos científicamente</t>
        </is>
      </c>
      <c r="AE1241" s="11">
        <f>IF(AD1241="","",IF(LEFT(AD1241,1)="1","C1",IF(LEFT(AD1241,1)="2","C2",IF(LEFT(AD1241,1)="3","C3",""))))</f>
        <v/>
      </c>
      <c r="AF1241" s="11" t="inlineStr">
        <is>
          <t>E6</t>
        </is>
      </c>
      <c r="AG1241" s="11" t="inlineStr">
        <is>
          <t>E5</t>
        </is>
      </c>
      <c r="AH1241" s="11" t="inlineStr">
        <is>
          <t>E1</t>
        </is>
      </c>
      <c r="AI1241" s="11" t="inlineStr">
        <is>
          <t>I1</t>
        </is>
      </c>
      <c r="AJ1241" s="11" t="inlineStr">
        <is>
          <t>E6</t>
        </is>
      </c>
      <c r="AK1241" s="11" t="n"/>
      <c r="AL1241" s="11" t="n"/>
      <c r="AM1241" s="11" t="n"/>
      <c r="AN1241" s="11" t="n"/>
      <c r="AO1241" s="11" t="n"/>
      <c r="AP1241" s="11" t="n"/>
      <c r="AQ1241" s="11" t="n"/>
      <c r="AR1241" s="11" t="n"/>
      <c r="AS1241" s="11" t="n"/>
      <c r="AT1241" s="11" t="n"/>
      <c r="AU1241" s="11" t="n"/>
      <c r="AV1241" s="11" t="n"/>
      <c r="AW1241" s="11">
        <f>AF1241&amp;"; "&amp;AG1241&amp;"; "&amp;AH1241&amp;"; "&amp;AI1241&amp;"; "&amp;AJ1241</f>
        <v/>
      </c>
    </row>
    <row r="1242">
      <c r="A1242" s="11" t="inlineStr">
        <is>
          <t>T0140-G11-BIO</t>
        </is>
      </c>
      <c r="B1242" s="11" t="n">
        <v>11</v>
      </c>
      <c r="C1242" s="11" t="inlineStr">
        <is>
          <t>Biología</t>
        </is>
      </c>
      <c r="D1242" s="11" t="inlineStr">
        <is>
          <t>Matriz_Bachillerato_Biologia_10_11.xlsx</t>
        </is>
      </c>
      <c r="E1242" s="11" t="inlineStr">
        <is>
          <t>Biología 11.°</t>
        </is>
      </c>
      <c r="F1242" s="11" t="n">
        <v>72</v>
      </c>
      <c r="G1242" s="11" t="inlineStr">
        <is>
          <t>5. Análisis de biodiversidad</t>
        </is>
      </c>
      <c r="H1242" s="11" t="inlineStr">
        <is>
          <t>Agrupamiento de organismos</t>
        </is>
      </c>
      <c r="I1242" s="38" t="inlineStr">
        <is>
          <t>5.10. Exploración de aplicaciones de los índices de biodiversidad.</t>
        </is>
      </c>
      <c r="J1242" s="11" t="inlineStr">
        <is>
          <t>Sin marco</t>
        </is>
      </c>
      <c r="K1242" s="11" t="inlineStr">
        <is>
          <t>N/A</t>
        </is>
      </c>
      <c r="L1242" s="11" t="inlineStr"/>
      <c r="M1242" s="11">
        <f>IF(K1242="FUERA","Fuera del marco",IF(K1242="N/A","Sin marco",IFERROR(INDEX('Datos - Catálogo TIMSS'!$C$5:$C$107,MATCH(K1242,'Datos - Catálogo TIMSS'!$A$5:$A$107,0)),"Pendiente de clasificar")))</f>
        <v/>
      </c>
      <c r="N1242" s="11">
        <f>IF(K1242="FUERA","Fuera del marco",IF(K1242="N/A","Sin marco",IFERROR(INDEX('Datos - Catálogo TIMSS'!$F$5:$F$107,MATCH(K1242,'Datos - Catálogo TIMSS'!$A$5:$A$107,0)),"Pendiente de clasificar")))</f>
        <v/>
      </c>
      <c r="O1242" s="11">
        <f>IF(L1242="","",IFERROR(INDEX('Datos - Catálogo TIMSS'!$C$5:$C$107,MATCH(L1242,'Datos - Catálogo TIMSS'!$A$5:$A$107,0)),"?"))</f>
        <v/>
      </c>
      <c r="P1242" s="11" t="inlineStr">
        <is>
          <t>N/A</t>
        </is>
      </c>
      <c r="Q1242" s="38" t="inlineStr">
        <is>
          <t>Sin marco TIMSS de contenido para esta asignatura en Bachillerato</t>
        </is>
      </c>
      <c r="R1242" s="38" t="inlineStr">
        <is>
          <t>Aplicar: calcular índices de diversidad. Razonar: tomar decisiones de conservación con datos</t>
        </is>
      </c>
      <c r="S1242" s="39">
        <f>IFERROR(ISNUMBER(SEARCH("Conocer",$R1242))/(ISNUMBER(SEARCH("Conocer",$R1242))+ISNUMBER(SEARCH("Aplicar",$R1242))+ISNUMBER(SEARCH("Razonar",$R1242))),0)</f>
        <v/>
      </c>
      <c r="T1242" s="39">
        <f>IFERROR(ISNUMBER(SEARCH("Aplicar",$R1242))/(ISNUMBER(SEARCH("Conocer",$R1242))+ISNUMBER(SEARCH("Aplicar",$R1242))+ISNUMBER(SEARCH("Razonar",$R1242))),0)</f>
        <v/>
      </c>
      <c r="U1242" s="39">
        <f>IFERROR(ISNUMBER(SEARCH("Razonar",$R1242))/(ISNUMBER(SEARCH("Conocer",$R1242))+ISNUMBER(SEARCH("Aplicar",$R1242))+ISNUMBER(SEARCH("Razonar",$R1242))),0)</f>
        <v/>
      </c>
      <c r="V1242" s="11" t="inlineStr">
        <is>
          <t>Biología 11°</t>
        </is>
      </c>
      <c r="W1242" s="11" t="inlineStr">
        <is>
          <t>Biología 10°–11°</t>
        </is>
      </c>
      <c r="X1242" s="11">
        <f>IF(OR(IFERROR(INDEX('Datos - Catálogo TIMSS'!$I$5:$I$107,MATCH(K1242,'Datos - Catálogo TIMSS'!$A$5:$A$107,0)),"No")="Sí",IFERROR(INDEX('Datos - Catálogo TIMSS'!$I$5:$I$107,MATCH(L1242,'Datos - Catálogo TIMSS'!$A$5:$A$107,0)),"No")="Sí"),1,0)</f>
        <v/>
      </c>
      <c r="Y1242" s="11">
        <f>IF(IFERROR(INDEX('Datos - Catálogo TIMSS'!$J$5:$J$107,MATCH(K1242,'Datos - Catálogo TIMSS'!$A$5:$A$107,0)),"No")="Sí",1,0)</f>
        <v/>
      </c>
      <c r="Z1242" s="11">
        <f>IF(IFERROR(INDEX('Datos - Catálogo TIMSS'!$J$5:$J$107,MATCH(L1242,'Datos - Catálogo TIMSS'!$A$5:$A$107,0)),"No")="Sí",1,0)</f>
        <v/>
      </c>
      <c r="AA1242" s="11" t="inlineStr">
        <is>
          <t>N/A</t>
        </is>
      </c>
      <c r="AB1242" s="11" t="inlineStr"/>
      <c r="AC1242" s="11">
        <f>IF(AA1242="FUERA","Fuera del marco",IF(AA1242="N/A","Sin marco",IFERROR(INDEX('Datos - TIMSS 2023'!$C$5:$C$105,MATCH(AA1242,'Datos - TIMSS 2023'!$A$5:$A$105,0)),"Pendiente de clasificar")))</f>
        <v/>
      </c>
      <c r="AD1242" s="11" t="inlineStr">
        <is>
          <t>3. Investigar, evaluar y usar información científica para tomar decisiones y actuar</t>
        </is>
      </c>
      <c r="AE1242" s="11">
        <f>IF(AD1242="","",IF(LEFT(AD1242,1)="1","C1",IF(LEFT(AD1242,1)="2","C2",IF(LEFT(AD1242,1)="3","C3",""))))</f>
        <v/>
      </c>
      <c r="AF1242" s="11" t="inlineStr">
        <is>
          <t>E6</t>
        </is>
      </c>
      <c r="AG1242" s="11" t="inlineStr">
        <is>
          <t>E3</t>
        </is>
      </c>
      <c r="AH1242" s="11" t="inlineStr">
        <is>
          <t>E2</t>
        </is>
      </c>
      <c r="AI1242" s="11" t="inlineStr">
        <is>
          <t>I3</t>
        </is>
      </c>
      <c r="AJ1242" s="11" t="inlineStr">
        <is>
          <t>I5</t>
        </is>
      </c>
      <c r="AK1242" s="11" t="n"/>
      <c r="AL1242" s="11" t="n"/>
      <c r="AM1242" s="11" t="n"/>
      <c r="AN1242" s="11" t="n"/>
      <c r="AO1242" s="11" t="n"/>
      <c r="AP1242" s="11" t="n"/>
      <c r="AQ1242" s="11" t="n"/>
      <c r="AR1242" s="11" t="n"/>
      <c r="AS1242" s="11" t="n"/>
      <c r="AT1242" s="11" t="n"/>
      <c r="AU1242" s="11" t="n"/>
      <c r="AV1242" s="11" t="n"/>
      <c r="AW1242" s="11">
        <f>AF1242&amp;"; "&amp;AG1242&amp;"; "&amp;AH1242&amp;"; "&amp;AI1242&amp;"; "&amp;AJ1242</f>
        <v/>
      </c>
    </row>
    <row r="1243">
      <c r="A1243" s="11" t="inlineStr">
        <is>
          <t>T0141-G11-BIO</t>
        </is>
      </c>
      <c r="B1243" s="11" t="n">
        <v>11</v>
      </c>
      <c r="C1243" s="11" t="inlineStr">
        <is>
          <t>Biología</t>
        </is>
      </c>
      <c r="D1243" s="11" t="inlineStr">
        <is>
          <t>Matriz_Bachillerato_Biologia_10_11.xlsx</t>
        </is>
      </c>
      <c r="E1243" s="11" t="inlineStr">
        <is>
          <t>Biología 11.°</t>
        </is>
      </c>
      <c r="F1243" s="11" t="n">
        <v>73</v>
      </c>
      <c r="G1243" s="11" t="inlineStr">
        <is>
          <t>5. Análisis de biodiversidad</t>
        </is>
      </c>
      <c r="H1243" s="11" t="inlineStr">
        <is>
          <t>Agrupamiento de organismos</t>
        </is>
      </c>
      <c r="I1243" s="38" t="inlineStr">
        <is>
          <t>5.11. Construcción de dendrogramas a partir de algoritmos.</t>
        </is>
      </c>
      <c r="J1243" s="11" t="inlineStr">
        <is>
          <t>Sin marco</t>
        </is>
      </c>
      <c r="K1243" s="11" t="inlineStr">
        <is>
          <t>N/A</t>
        </is>
      </c>
      <c r="L1243" s="11" t="inlineStr"/>
      <c r="M1243" s="11">
        <f>IF(K1243="FUERA","Fuera del marco",IF(K1243="N/A","Sin marco",IFERROR(INDEX('Datos - Catálogo TIMSS'!$C$5:$C$107,MATCH(K1243,'Datos - Catálogo TIMSS'!$A$5:$A$107,0)),"Pendiente de clasificar")))</f>
        <v/>
      </c>
      <c r="N1243" s="11">
        <f>IF(K1243="FUERA","Fuera del marco",IF(K1243="N/A","Sin marco",IFERROR(INDEX('Datos - Catálogo TIMSS'!$F$5:$F$107,MATCH(K1243,'Datos - Catálogo TIMSS'!$A$5:$A$107,0)),"Pendiente de clasificar")))</f>
        <v/>
      </c>
      <c r="O1243" s="11">
        <f>IF(L1243="","",IFERROR(INDEX('Datos - Catálogo TIMSS'!$C$5:$C$107,MATCH(L1243,'Datos - Catálogo TIMSS'!$A$5:$A$107,0)),"?"))</f>
        <v/>
      </c>
      <c r="P1243" s="11" t="inlineStr">
        <is>
          <t>N/A</t>
        </is>
      </c>
      <c r="Q1243" s="38" t="inlineStr">
        <is>
          <t>Sin marco TIMSS de contenido para esta asignatura en Bachillerato</t>
        </is>
      </c>
      <c r="R1243" s="38" t="inlineStr">
        <is>
          <t>Aplicar: construir matrices de distancia y dendrogramas. Razonar: evaluar la robustez de un agrupamiento</t>
        </is>
      </c>
      <c r="S1243" s="39">
        <f>IFERROR(ISNUMBER(SEARCH("Conocer",$R1243))/(ISNUMBER(SEARCH("Conocer",$R1243))+ISNUMBER(SEARCH("Aplicar",$R1243))+ISNUMBER(SEARCH("Razonar",$R1243))),0)</f>
        <v/>
      </c>
      <c r="T1243" s="39">
        <f>IFERROR(ISNUMBER(SEARCH("Aplicar",$R1243))/(ISNUMBER(SEARCH("Conocer",$R1243))+ISNUMBER(SEARCH("Aplicar",$R1243))+ISNUMBER(SEARCH("Razonar",$R1243))),0)</f>
        <v/>
      </c>
      <c r="U1243" s="39">
        <f>IFERROR(ISNUMBER(SEARCH("Razonar",$R1243))/(ISNUMBER(SEARCH("Conocer",$R1243))+ISNUMBER(SEARCH("Aplicar",$R1243))+ISNUMBER(SEARCH("Razonar",$R1243))),0)</f>
        <v/>
      </c>
      <c r="V1243" s="11" t="inlineStr">
        <is>
          <t>Biología 11°</t>
        </is>
      </c>
      <c r="W1243" s="11" t="inlineStr">
        <is>
          <t>Biología 10°–11°</t>
        </is>
      </c>
      <c r="X1243" s="11">
        <f>IF(OR(IFERROR(INDEX('Datos - Catálogo TIMSS'!$I$5:$I$107,MATCH(K1243,'Datos - Catálogo TIMSS'!$A$5:$A$107,0)),"No")="Sí",IFERROR(INDEX('Datos - Catálogo TIMSS'!$I$5:$I$107,MATCH(L1243,'Datos - Catálogo TIMSS'!$A$5:$A$107,0)),"No")="Sí"),1,0)</f>
        <v/>
      </c>
      <c r="Y1243" s="11">
        <f>IF(IFERROR(INDEX('Datos - Catálogo TIMSS'!$J$5:$J$107,MATCH(K1243,'Datos - Catálogo TIMSS'!$A$5:$A$107,0)),"No")="Sí",1,0)</f>
        <v/>
      </c>
      <c r="Z1243" s="11">
        <f>IF(IFERROR(INDEX('Datos - Catálogo TIMSS'!$J$5:$J$107,MATCH(L1243,'Datos - Catálogo TIMSS'!$A$5:$A$107,0)),"No")="Sí",1,0)</f>
        <v/>
      </c>
      <c r="AA1243" s="11" t="inlineStr">
        <is>
          <t>N/A</t>
        </is>
      </c>
      <c r="AB1243" s="11" t="inlineStr"/>
      <c r="AC1243" s="11">
        <f>IF(AA1243="FUERA","Fuera del marco",IF(AA1243="N/A","Sin marco",IFERROR(INDEX('Datos - TIMSS 2023'!$C$5:$C$105,MATCH(AA1243,'Datos - TIMSS 2023'!$A$5:$A$105,0)),"Pendiente de clasificar")))</f>
        <v/>
      </c>
      <c r="AD1243" s="11" t="inlineStr">
        <is>
          <t>2. Construir y evaluar diseños para la indagación científica e interpretar datos y evidencia de forma crítica</t>
        </is>
      </c>
      <c r="AE1243" s="11">
        <f>IF(AD1243="","",IF(LEFT(AD1243,1)="1","C1",IF(LEFT(AD1243,1)="2","C2",IF(LEFT(AD1243,1)="3","C3",""))))</f>
        <v/>
      </c>
      <c r="AF1243" s="11" t="inlineStr">
        <is>
          <t>E1</t>
        </is>
      </c>
      <c r="AG1243" s="11" t="inlineStr">
        <is>
          <t>D1</t>
        </is>
      </c>
      <c r="AH1243" s="11" t="inlineStr">
        <is>
          <t>E2</t>
        </is>
      </c>
      <c r="AI1243" s="11" t="inlineStr">
        <is>
          <t>D4</t>
        </is>
      </c>
      <c r="AJ1243" s="11" t="inlineStr">
        <is>
          <t>D3</t>
        </is>
      </c>
      <c r="AK1243" s="11" t="n"/>
      <c r="AL1243" s="11" t="n"/>
      <c r="AM1243" s="11" t="n"/>
      <c r="AN1243" s="11" t="n"/>
      <c r="AO1243" s="11" t="n"/>
      <c r="AP1243" s="11" t="n"/>
      <c r="AQ1243" s="11" t="n"/>
      <c r="AR1243" s="11" t="n"/>
      <c r="AS1243" s="11" t="n"/>
      <c r="AT1243" s="11" t="n"/>
      <c r="AU1243" s="11" t="n"/>
      <c r="AV1243" s="11" t="n"/>
      <c r="AW1243" s="11">
        <f>AF1243&amp;"; "&amp;AG1243&amp;"; "&amp;AH1243&amp;"; "&amp;AI1243&amp;"; "&amp;AJ1243</f>
        <v/>
      </c>
    </row>
    <row r="1244">
      <c r="A1244" s="11" t="inlineStr">
        <is>
          <t>T0142-G11-BIO</t>
        </is>
      </c>
      <c r="B1244" s="11" t="n">
        <v>11</v>
      </c>
      <c r="C1244" s="11" t="inlineStr">
        <is>
          <t>Biología</t>
        </is>
      </c>
      <c r="D1244" s="11" t="inlineStr">
        <is>
          <t>Matriz_Bachillerato_Biologia_10_11.xlsx</t>
        </is>
      </c>
      <c r="E1244" s="11" t="inlineStr">
        <is>
          <t>Biología 11.°</t>
        </is>
      </c>
      <c r="F1244" s="11" t="n">
        <v>74</v>
      </c>
      <c r="G1244" s="11" t="inlineStr">
        <is>
          <t>5. Análisis de biodiversidad</t>
        </is>
      </c>
      <c r="H1244" s="11" t="inlineStr">
        <is>
          <t>Agrupamiento de organismos</t>
        </is>
      </c>
      <c r="I1244" s="38" t="inlineStr">
        <is>
          <t>5.12. Interpretación de agrupamientos de organismos a partir de diagramas.</t>
        </is>
      </c>
      <c r="J1244" s="11" t="inlineStr">
        <is>
          <t>Sin marco</t>
        </is>
      </c>
      <c r="K1244" s="11" t="inlineStr">
        <is>
          <t>N/A</t>
        </is>
      </c>
      <c r="L1244" s="11" t="inlineStr"/>
      <c r="M1244" s="11">
        <f>IF(K1244="FUERA","Fuera del marco",IF(K1244="N/A","Sin marco",IFERROR(INDEX('Datos - Catálogo TIMSS'!$C$5:$C$107,MATCH(K1244,'Datos - Catálogo TIMSS'!$A$5:$A$107,0)),"Pendiente de clasificar")))</f>
        <v/>
      </c>
      <c r="N1244" s="11">
        <f>IF(K1244="FUERA","Fuera del marco",IF(K1244="N/A","Sin marco",IFERROR(INDEX('Datos - Catálogo TIMSS'!$F$5:$F$107,MATCH(K1244,'Datos - Catálogo TIMSS'!$A$5:$A$107,0)),"Pendiente de clasificar")))</f>
        <v/>
      </c>
      <c r="O1244" s="11">
        <f>IF(L1244="","",IFERROR(INDEX('Datos - Catálogo TIMSS'!$C$5:$C$107,MATCH(L1244,'Datos - Catálogo TIMSS'!$A$5:$A$107,0)),"?"))</f>
        <v/>
      </c>
      <c r="P1244" s="11" t="inlineStr">
        <is>
          <t>N/A</t>
        </is>
      </c>
      <c r="Q1244" s="38" t="inlineStr">
        <is>
          <t>Sin marco TIMSS de contenido para esta asignatura en Bachillerato</t>
        </is>
      </c>
      <c r="R1244" s="38" t="inlineStr">
        <is>
          <t>Conocer: definir tipos de agrupamiento. Aplicar: interpretar cladogramas. Razonar: justificar clasificaciones</t>
        </is>
      </c>
      <c r="S1244" s="39">
        <f>IFERROR(ISNUMBER(SEARCH("Conocer",$R1244))/(ISNUMBER(SEARCH("Conocer",$R1244))+ISNUMBER(SEARCH("Aplicar",$R1244))+ISNUMBER(SEARCH("Razonar",$R1244))),0)</f>
        <v/>
      </c>
      <c r="T1244" s="39">
        <f>IFERROR(ISNUMBER(SEARCH("Aplicar",$R1244))/(ISNUMBER(SEARCH("Conocer",$R1244))+ISNUMBER(SEARCH("Aplicar",$R1244))+ISNUMBER(SEARCH("Razonar",$R1244))),0)</f>
        <v/>
      </c>
      <c r="U1244" s="39">
        <f>IFERROR(ISNUMBER(SEARCH("Razonar",$R1244))/(ISNUMBER(SEARCH("Conocer",$R1244))+ISNUMBER(SEARCH("Aplicar",$R1244))+ISNUMBER(SEARCH("Razonar",$R1244))),0)</f>
        <v/>
      </c>
      <c r="V1244" s="11" t="inlineStr">
        <is>
          <t>Biología 11°</t>
        </is>
      </c>
      <c r="W1244" s="11" t="inlineStr">
        <is>
          <t>Biología 10°–11°</t>
        </is>
      </c>
      <c r="X1244" s="11">
        <f>IF(OR(IFERROR(INDEX('Datos - Catálogo TIMSS'!$I$5:$I$107,MATCH(K1244,'Datos - Catálogo TIMSS'!$A$5:$A$107,0)),"No")="Sí",IFERROR(INDEX('Datos - Catálogo TIMSS'!$I$5:$I$107,MATCH(L1244,'Datos - Catálogo TIMSS'!$A$5:$A$107,0)),"No")="Sí"),1,0)</f>
        <v/>
      </c>
      <c r="Y1244" s="11">
        <f>IF(IFERROR(INDEX('Datos - Catálogo TIMSS'!$J$5:$J$107,MATCH(K1244,'Datos - Catálogo TIMSS'!$A$5:$A$107,0)),"No")="Sí",1,0)</f>
        <v/>
      </c>
      <c r="Z1244" s="11">
        <f>IF(IFERROR(INDEX('Datos - Catálogo TIMSS'!$J$5:$J$107,MATCH(L1244,'Datos - Catálogo TIMSS'!$A$5:$A$107,0)),"No")="Sí",1,0)</f>
        <v/>
      </c>
      <c r="AA1244" s="11" t="inlineStr">
        <is>
          <t>N/A</t>
        </is>
      </c>
      <c r="AB1244" s="11" t="inlineStr"/>
      <c r="AC1244" s="11">
        <f>IF(AA1244="FUERA","Fuera del marco",IF(AA1244="N/A","Sin marco",IFERROR(INDEX('Datos - TIMSS 2023'!$C$5:$C$105,MATCH(AA1244,'Datos - TIMSS 2023'!$A$5:$A$105,0)),"Pendiente de clasificar")))</f>
        <v/>
      </c>
      <c r="AD1244" s="11" t="inlineStr">
        <is>
          <t>1. Explicar fenómenos científicamente</t>
        </is>
      </c>
      <c r="AE1244" s="11">
        <f>IF(AD1244="","",IF(LEFT(AD1244,1)="1","C1",IF(LEFT(AD1244,1)="2","C2",IF(LEFT(AD1244,1)="3","C3",""))))</f>
        <v/>
      </c>
      <c r="AF1244" s="11" t="inlineStr">
        <is>
          <t>E1</t>
        </is>
      </c>
      <c r="AG1244" s="11" t="inlineStr">
        <is>
          <t>E3</t>
        </is>
      </c>
      <c r="AH1244" s="11" t="inlineStr">
        <is>
          <t>E2</t>
        </is>
      </c>
      <c r="AI1244" s="11" t="inlineStr">
        <is>
          <t>E4</t>
        </is>
      </c>
      <c r="AJ1244" s="11" t="inlineStr">
        <is>
          <t>E3</t>
        </is>
      </c>
      <c r="AK1244" s="11" t="n"/>
      <c r="AL1244" s="11" t="n"/>
      <c r="AM1244" s="11" t="n"/>
      <c r="AN1244" s="11" t="n"/>
      <c r="AO1244" s="11" t="n"/>
      <c r="AP1244" s="11" t="n"/>
      <c r="AQ1244" s="11" t="n"/>
      <c r="AR1244" s="11" t="n"/>
      <c r="AS1244" s="11" t="n"/>
      <c r="AT1244" s="11" t="n"/>
      <c r="AU1244" s="11" t="n"/>
      <c r="AV1244" s="11" t="n"/>
      <c r="AW1244" s="11">
        <f>AF1244&amp;"; "&amp;AG1244&amp;"; "&amp;AH1244&amp;"; "&amp;AI1244&amp;"; "&amp;AJ1244</f>
        <v/>
      </c>
    </row>
    <row r="1245">
      <c r="A1245" s="11" t="inlineStr">
        <is>
          <t>T0143-G11-BIO</t>
        </is>
      </c>
      <c r="B1245" s="11" t="n">
        <v>11</v>
      </c>
      <c r="C1245" s="11" t="inlineStr">
        <is>
          <t>Biología</t>
        </is>
      </c>
      <c r="D1245" s="11" t="inlineStr">
        <is>
          <t>Matriz_Bachillerato_Biologia_10_11.xlsx</t>
        </is>
      </c>
      <c r="E1245" s="11" t="inlineStr">
        <is>
          <t>Biología 11.°</t>
        </is>
      </c>
      <c r="F1245" s="11" t="n">
        <v>75</v>
      </c>
      <c r="G1245" s="11" t="inlineStr">
        <is>
          <t>6. Mecánica de fluidos en los seres vivos</t>
        </is>
      </c>
      <c r="H1245" s="11" t="inlineStr">
        <is>
          <t>Circulación sanguínea</t>
        </is>
      </c>
      <c r="I1245" s="38" t="inlineStr">
        <is>
          <t>6.1. Interpretación de la presión arterial como presión manométrica y de los principios físicos de su medición.</t>
        </is>
      </c>
      <c r="J1245" s="11" t="inlineStr">
        <is>
          <t>Sin marco</t>
        </is>
      </c>
      <c r="K1245" s="11" t="inlineStr">
        <is>
          <t>N/A</t>
        </is>
      </c>
      <c r="L1245" s="11" t="inlineStr"/>
      <c r="M1245" s="11">
        <f>IF(K1245="FUERA","Fuera del marco",IF(K1245="N/A","Sin marco",IFERROR(INDEX('Datos - Catálogo TIMSS'!$C$5:$C$107,MATCH(K1245,'Datos - Catálogo TIMSS'!$A$5:$A$107,0)),"Pendiente de clasificar")))</f>
        <v/>
      </c>
      <c r="N1245" s="11">
        <f>IF(K1245="FUERA","Fuera del marco",IF(K1245="N/A","Sin marco",IFERROR(INDEX('Datos - Catálogo TIMSS'!$F$5:$F$107,MATCH(K1245,'Datos - Catálogo TIMSS'!$A$5:$A$107,0)),"Pendiente de clasificar")))</f>
        <v/>
      </c>
      <c r="O1245" s="11">
        <f>IF(L1245="","",IFERROR(INDEX('Datos - Catálogo TIMSS'!$C$5:$C$107,MATCH(L1245,'Datos - Catálogo TIMSS'!$A$5:$A$107,0)),"?"))</f>
        <v/>
      </c>
      <c r="P1245" s="11" t="inlineStr">
        <is>
          <t>N/A</t>
        </is>
      </c>
      <c r="Q1245" s="38" t="inlineStr">
        <is>
          <t>Sin marco TIMSS de contenido para esta asignatura en Bachillerato</t>
        </is>
      </c>
      <c r="R1245" s="38" t="inlineStr">
        <is>
          <t>Aplicar: convertir unidades y calcular presiones hidrostáticas. Razonar: interpretar datos fisiológicos</t>
        </is>
      </c>
      <c r="S1245" s="39">
        <f>IFERROR(ISNUMBER(SEARCH("Conocer",$R1245))/(ISNUMBER(SEARCH("Conocer",$R1245))+ISNUMBER(SEARCH("Aplicar",$R1245))+ISNUMBER(SEARCH("Razonar",$R1245))),0)</f>
        <v/>
      </c>
      <c r="T1245" s="39">
        <f>IFERROR(ISNUMBER(SEARCH("Aplicar",$R1245))/(ISNUMBER(SEARCH("Conocer",$R1245))+ISNUMBER(SEARCH("Aplicar",$R1245))+ISNUMBER(SEARCH("Razonar",$R1245))),0)</f>
        <v/>
      </c>
      <c r="U1245" s="39">
        <f>IFERROR(ISNUMBER(SEARCH("Razonar",$R1245))/(ISNUMBER(SEARCH("Conocer",$R1245))+ISNUMBER(SEARCH("Aplicar",$R1245))+ISNUMBER(SEARCH("Razonar",$R1245))),0)</f>
        <v/>
      </c>
      <c r="V1245" s="11" t="inlineStr">
        <is>
          <t>Biología 11°</t>
        </is>
      </c>
      <c r="W1245" s="11" t="inlineStr">
        <is>
          <t>Biología 10°–11°</t>
        </is>
      </c>
      <c r="X1245" s="11">
        <f>IF(OR(IFERROR(INDEX('Datos - Catálogo TIMSS'!$I$5:$I$107,MATCH(K1245,'Datos - Catálogo TIMSS'!$A$5:$A$107,0)),"No")="Sí",IFERROR(INDEX('Datos - Catálogo TIMSS'!$I$5:$I$107,MATCH(L1245,'Datos - Catálogo TIMSS'!$A$5:$A$107,0)),"No")="Sí"),1,0)</f>
        <v/>
      </c>
      <c r="Y1245" s="11">
        <f>IF(IFERROR(INDEX('Datos - Catálogo TIMSS'!$J$5:$J$107,MATCH(K1245,'Datos - Catálogo TIMSS'!$A$5:$A$107,0)),"No")="Sí",1,0)</f>
        <v/>
      </c>
      <c r="Z1245" s="11">
        <f>IF(IFERROR(INDEX('Datos - Catálogo TIMSS'!$J$5:$J$107,MATCH(L1245,'Datos - Catálogo TIMSS'!$A$5:$A$107,0)),"No")="Sí",1,0)</f>
        <v/>
      </c>
      <c r="AA1245" s="11" t="inlineStr">
        <is>
          <t>N/A</t>
        </is>
      </c>
      <c r="AB1245" s="11" t="inlineStr"/>
      <c r="AC1245" s="11">
        <f>IF(AA1245="FUERA","Fuera del marco",IF(AA1245="N/A","Sin marco",IFERROR(INDEX('Datos - TIMSS 2023'!$C$5:$C$105,MATCH(AA1245,'Datos - TIMSS 2023'!$A$5:$A$105,0)),"Pendiente de clasificar")))</f>
        <v/>
      </c>
      <c r="AD1245" s="11" t="inlineStr">
        <is>
          <t>2. Construir y evaluar diseños para la indagación científica e interpretar datos y evidencia de forma crítica</t>
        </is>
      </c>
      <c r="AE1245" s="11">
        <f>IF(AD1245="","",IF(LEFT(AD1245,1)="1","C1",IF(LEFT(AD1245,1)="2","C2",IF(LEFT(AD1245,1)="3","C3",""))))</f>
        <v/>
      </c>
      <c r="AF1245" s="11" t="inlineStr">
        <is>
          <t>E1</t>
        </is>
      </c>
      <c r="AG1245" s="11" t="inlineStr">
        <is>
          <t>D1</t>
        </is>
      </c>
      <c r="AH1245" s="11" t="inlineStr">
        <is>
          <t>E2</t>
        </is>
      </c>
      <c r="AI1245" s="11" t="inlineStr">
        <is>
          <t>D4</t>
        </is>
      </c>
      <c r="AJ1245" s="11" t="inlineStr">
        <is>
          <t>E6</t>
        </is>
      </c>
      <c r="AK1245" s="11" t="n"/>
      <c r="AL1245" s="11" t="n"/>
      <c r="AM1245" s="11" t="n"/>
      <c r="AN1245" s="11" t="n"/>
      <c r="AO1245" s="11" t="n"/>
      <c r="AP1245" s="11" t="n"/>
      <c r="AQ1245" s="11" t="n"/>
      <c r="AR1245" s="11" t="n"/>
      <c r="AS1245" s="11" t="n"/>
      <c r="AT1245" s="11" t="n"/>
      <c r="AU1245" s="11" t="n"/>
      <c r="AV1245" s="11" t="n"/>
      <c r="AW1245" s="11">
        <f>AF1245&amp;"; "&amp;AG1245&amp;"; "&amp;AH1245&amp;"; "&amp;AI1245&amp;"; "&amp;AJ1245</f>
        <v/>
      </c>
    </row>
    <row r="1246">
      <c r="A1246" s="11" t="inlineStr">
        <is>
          <t>T0144-G11-BIO</t>
        </is>
      </c>
      <c r="B1246" s="11" t="n">
        <v>11</v>
      </c>
      <c r="C1246" s="11" t="inlineStr">
        <is>
          <t>Biología</t>
        </is>
      </c>
      <c r="D1246" s="11" t="inlineStr">
        <is>
          <t>Matriz_Bachillerato_Biologia_10_11.xlsx</t>
        </is>
      </c>
      <c r="E1246" s="11" t="inlineStr">
        <is>
          <t>Biología 11.°</t>
        </is>
      </c>
      <c r="F1246" s="11" t="n">
        <v>76</v>
      </c>
      <c r="G1246" s="11" t="inlineStr">
        <is>
          <t>6. Mecánica de fluidos en los seres vivos</t>
        </is>
      </c>
      <c r="H1246" s="11" t="inlineStr">
        <is>
          <t>Circulación sanguínea</t>
        </is>
      </c>
      <c r="I1246" s="38" t="inlineStr">
        <is>
          <t>6.2. Aplicación de la ecuación de continuidad al flujo sanguíneo desde la aorta hasta los capilares.</t>
        </is>
      </c>
      <c r="J1246" s="11" t="inlineStr">
        <is>
          <t>Sin marco</t>
        </is>
      </c>
      <c r="K1246" s="11" t="inlineStr">
        <is>
          <t>N/A</t>
        </is>
      </c>
      <c r="L1246" s="11" t="inlineStr"/>
      <c r="M1246" s="11">
        <f>IF(K1246="FUERA","Fuera del marco",IF(K1246="N/A","Sin marco",IFERROR(INDEX('Datos - Catálogo TIMSS'!$C$5:$C$107,MATCH(K1246,'Datos - Catálogo TIMSS'!$A$5:$A$107,0)),"Pendiente de clasificar")))</f>
        <v/>
      </c>
      <c r="N1246" s="11">
        <f>IF(K1246="FUERA","Fuera del marco",IF(K1246="N/A","Sin marco",IFERROR(INDEX('Datos - Catálogo TIMSS'!$F$5:$F$107,MATCH(K1246,'Datos - Catálogo TIMSS'!$A$5:$A$107,0)),"Pendiente de clasificar")))</f>
        <v/>
      </c>
      <c r="O1246" s="11">
        <f>IF(L1246="","",IFERROR(INDEX('Datos - Catálogo TIMSS'!$C$5:$C$107,MATCH(L1246,'Datos - Catálogo TIMSS'!$A$5:$A$107,0)),"?"))</f>
        <v/>
      </c>
      <c r="P1246" s="11" t="inlineStr">
        <is>
          <t>N/A</t>
        </is>
      </c>
      <c r="Q1246" s="38" t="inlineStr">
        <is>
          <t>Sin marco TIMSS de contenido para esta asignatura en Bachillerato</t>
        </is>
      </c>
      <c r="R1246" s="38" t="inlineStr">
        <is>
          <t>Aplicar: calcular rapidez con la ecuación de continuidad. Razonar: relacionar estructura y función</t>
        </is>
      </c>
      <c r="S1246" s="39">
        <f>IFERROR(ISNUMBER(SEARCH("Conocer",$R1246))/(ISNUMBER(SEARCH("Conocer",$R1246))+ISNUMBER(SEARCH("Aplicar",$R1246))+ISNUMBER(SEARCH("Razonar",$R1246))),0)</f>
        <v/>
      </c>
      <c r="T1246" s="39">
        <f>IFERROR(ISNUMBER(SEARCH("Aplicar",$R1246))/(ISNUMBER(SEARCH("Conocer",$R1246))+ISNUMBER(SEARCH("Aplicar",$R1246))+ISNUMBER(SEARCH("Razonar",$R1246))),0)</f>
        <v/>
      </c>
      <c r="U1246" s="39">
        <f>IFERROR(ISNUMBER(SEARCH("Razonar",$R1246))/(ISNUMBER(SEARCH("Conocer",$R1246))+ISNUMBER(SEARCH("Aplicar",$R1246))+ISNUMBER(SEARCH("Razonar",$R1246))),0)</f>
        <v/>
      </c>
      <c r="V1246" s="11" t="inlineStr">
        <is>
          <t>Biología 11°</t>
        </is>
      </c>
      <c r="W1246" s="11" t="inlineStr">
        <is>
          <t>Biología 10°–11°</t>
        </is>
      </c>
      <c r="X1246" s="11">
        <f>IF(OR(IFERROR(INDEX('Datos - Catálogo TIMSS'!$I$5:$I$107,MATCH(K1246,'Datos - Catálogo TIMSS'!$A$5:$A$107,0)),"No")="Sí",IFERROR(INDEX('Datos - Catálogo TIMSS'!$I$5:$I$107,MATCH(L1246,'Datos - Catálogo TIMSS'!$A$5:$A$107,0)),"No")="Sí"),1,0)</f>
        <v/>
      </c>
      <c r="Y1246" s="11">
        <f>IF(IFERROR(INDEX('Datos - Catálogo TIMSS'!$J$5:$J$107,MATCH(K1246,'Datos - Catálogo TIMSS'!$A$5:$A$107,0)),"No")="Sí",1,0)</f>
        <v/>
      </c>
      <c r="Z1246" s="11">
        <f>IF(IFERROR(INDEX('Datos - Catálogo TIMSS'!$J$5:$J$107,MATCH(L1246,'Datos - Catálogo TIMSS'!$A$5:$A$107,0)),"No")="Sí",1,0)</f>
        <v/>
      </c>
      <c r="AA1246" s="11" t="inlineStr">
        <is>
          <t>N/A</t>
        </is>
      </c>
      <c r="AB1246" s="11" t="inlineStr"/>
      <c r="AC1246" s="11">
        <f>IF(AA1246="FUERA","Fuera del marco",IF(AA1246="N/A","Sin marco",IFERROR(INDEX('Datos - TIMSS 2023'!$C$5:$C$105,MATCH(AA1246,'Datos - TIMSS 2023'!$A$5:$A$105,0)),"Pendiente de clasificar")))</f>
        <v/>
      </c>
      <c r="AD1246" s="11" t="inlineStr">
        <is>
          <t>1. Explicar fenómenos científicamente</t>
        </is>
      </c>
      <c r="AE1246" s="11">
        <f>IF(AD1246="","",IF(LEFT(AD1246,1)="1","C1",IF(LEFT(AD1246,1)="2","C2",IF(LEFT(AD1246,1)="3","C3",""))))</f>
        <v/>
      </c>
      <c r="AF1246" s="11" t="inlineStr">
        <is>
          <t>E1</t>
        </is>
      </c>
      <c r="AG1246" s="11" t="inlineStr">
        <is>
          <t>E3</t>
        </is>
      </c>
      <c r="AH1246" s="11" t="inlineStr">
        <is>
          <t>E4</t>
        </is>
      </c>
      <c r="AI1246" s="11" t="inlineStr">
        <is>
          <t>D4</t>
        </is>
      </c>
      <c r="AJ1246" s="11" t="inlineStr">
        <is>
          <t>E3</t>
        </is>
      </c>
      <c r="AK1246" s="11" t="n"/>
      <c r="AL1246" s="11" t="n"/>
      <c r="AM1246" s="11" t="n"/>
      <c r="AN1246" s="11" t="n"/>
      <c r="AO1246" s="11" t="n"/>
      <c r="AP1246" s="11" t="n"/>
      <c r="AQ1246" s="11" t="n"/>
      <c r="AR1246" s="11" t="n"/>
      <c r="AS1246" s="11" t="n"/>
      <c r="AT1246" s="11" t="n"/>
      <c r="AU1246" s="11" t="n"/>
      <c r="AV1246" s="11" t="n"/>
      <c r="AW1246" s="11">
        <f>AF1246&amp;"; "&amp;AG1246&amp;"; "&amp;AH1246&amp;"; "&amp;AI1246&amp;"; "&amp;AJ1246</f>
        <v/>
      </c>
    </row>
    <row r="1247">
      <c r="A1247" s="11" t="inlineStr">
        <is>
          <t>T0145-G11-BIO</t>
        </is>
      </c>
      <c r="B1247" s="11" t="n">
        <v>11</v>
      </c>
      <c r="C1247" s="11" t="inlineStr">
        <is>
          <t>Biología</t>
        </is>
      </c>
      <c r="D1247" s="11" t="inlineStr">
        <is>
          <t>Matriz_Bachillerato_Biologia_10_11.xlsx</t>
        </is>
      </c>
      <c r="E1247" s="11" t="inlineStr">
        <is>
          <t>Biología 11.°</t>
        </is>
      </c>
      <c r="F1247" s="11" t="n">
        <v>77</v>
      </c>
      <c r="G1247" s="11" t="inlineStr">
        <is>
          <t>6. Mecánica de fluidos en los seres vivos</t>
        </is>
      </c>
      <c r="H1247" s="11" t="inlineStr">
        <is>
          <t>Circulación sanguínea</t>
        </is>
      </c>
      <c r="I1247" s="38" t="inlineStr">
        <is>
          <t>6.3. Análisis de la ley de Poiseuille para relacionar el radio de un vaso sanguíneo con el caudal y la presión necesaria.</t>
        </is>
      </c>
      <c r="J1247" s="11" t="inlineStr">
        <is>
          <t>Sin marco</t>
        </is>
      </c>
      <c r="K1247" s="11" t="inlineStr">
        <is>
          <t>N/A</t>
        </is>
      </c>
      <c r="L1247" s="11" t="inlineStr"/>
      <c r="M1247" s="11">
        <f>IF(K1247="FUERA","Fuera del marco",IF(K1247="N/A","Sin marco",IFERROR(INDEX('Datos - Catálogo TIMSS'!$C$5:$C$107,MATCH(K1247,'Datos - Catálogo TIMSS'!$A$5:$A$107,0)),"Pendiente de clasificar")))</f>
        <v/>
      </c>
      <c r="N1247" s="11">
        <f>IF(K1247="FUERA","Fuera del marco",IF(K1247="N/A","Sin marco",IFERROR(INDEX('Datos - Catálogo TIMSS'!$F$5:$F$107,MATCH(K1247,'Datos - Catálogo TIMSS'!$A$5:$A$107,0)),"Pendiente de clasificar")))</f>
        <v/>
      </c>
      <c r="O1247" s="11">
        <f>IF(L1247="","",IFERROR(INDEX('Datos - Catálogo TIMSS'!$C$5:$C$107,MATCH(L1247,'Datos - Catálogo TIMSS'!$A$5:$A$107,0)),"?"))</f>
        <v/>
      </c>
      <c r="P1247" s="11" t="inlineStr">
        <is>
          <t>N/A</t>
        </is>
      </c>
      <c r="Q1247" s="38" t="inlineStr">
        <is>
          <t>Sin marco TIMSS de contenido para esta asignatura en Bachillerato</t>
        </is>
      </c>
      <c r="R1247" s="38" t="inlineStr">
        <is>
          <t>Aplicar: calcular caudales con la ley de Poiseuille. Razonar: explicar consecuencias fisiológicas</t>
        </is>
      </c>
      <c r="S1247" s="39">
        <f>IFERROR(ISNUMBER(SEARCH("Conocer",$R1247))/(ISNUMBER(SEARCH("Conocer",$R1247))+ISNUMBER(SEARCH("Aplicar",$R1247))+ISNUMBER(SEARCH("Razonar",$R1247))),0)</f>
        <v/>
      </c>
      <c r="T1247" s="39">
        <f>IFERROR(ISNUMBER(SEARCH("Aplicar",$R1247))/(ISNUMBER(SEARCH("Conocer",$R1247))+ISNUMBER(SEARCH("Aplicar",$R1247))+ISNUMBER(SEARCH("Razonar",$R1247))),0)</f>
        <v/>
      </c>
      <c r="U1247" s="39">
        <f>IFERROR(ISNUMBER(SEARCH("Razonar",$R1247))/(ISNUMBER(SEARCH("Conocer",$R1247))+ISNUMBER(SEARCH("Aplicar",$R1247))+ISNUMBER(SEARCH("Razonar",$R1247))),0)</f>
        <v/>
      </c>
      <c r="V1247" s="11" t="inlineStr">
        <is>
          <t>Biología 11°</t>
        </is>
      </c>
      <c r="W1247" s="11" t="inlineStr">
        <is>
          <t>Biología 10°–11°</t>
        </is>
      </c>
      <c r="X1247" s="11">
        <f>IF(OR(IFERROR(INDEX('Datos - Catálogo TIMSS'!$I$5:$I$107,MATCH(K1247,'Datos - Catálogo TIMSS'!$A$5:$A$107,0)),"No")="Sí",IFERROR(INDEX('Datos - Catálogo TIMSS'!$I$5:$I$107,MATCH(L1247,'Datos - Catálogo TIMSS'!$A$5:$A$107,0)),"No")="Sí"),1,0)</f>
        <v/>
      </c>
      <c r="Y1247" s="11">
        <f>IF(IFERROR(INDEX('Datos - Catálogo TIMSS'!$J$5:$J$107,MATCH(K1247,'Datos - Catálogo TIMSS'!$A$5:$A$107,0)),"No")="Sí",1,0)</f>
        <v/>
      </c>
      <c r="Z1247" s="11">
        <f>IF(IFERROR(INDEX('Datos - Catálogo TIMSS'!$J$5:$J$107,MATCH(L1247,'Datos - Catálogo TIMSS'!$A$5:$A$107,0)),"No")="Sí",1,0)</f>
        <v/>
      </c>
      <c r="AA1247" s="11" t="inlineStr">
        <is>
          <t>N/A</t>
        </is>
      </c>
      <c r="AB1247" s="11" t="inlineStr"/>
      <c r="AC1247" s="11">
        <f>IF(AA1247="FUERA","Fuera del marco",IF(AA1247="N/A","Sin marco",IFERROR(INDEX('Datos - TIMSS 2023'!$C$5:$C$105,MATCH(AA1247,'Datos - TIMSS 2023'!$A$5:$A$105,0)),"Pendiente de clasificar")))</f>
        <v/>
      </c>
      <c r="AD1247" s="11" t="inlineStr">
        <is>
          <t>1. Explicar fenómenos científicamente</t>
        </is>
      </c>
      <c r="AE1247" s="11">
        <f>IF(AD1247="","",IF(LEFT(AD1247,1)="1","C1",IF(LEFT(AD1247,1)="2","C2",IF(LEFT(AD1247,1)="3","C3",""))))</f>
        <v/>
      </c>
      <c r="AF1247" s="11" t="inlineStr">
        <is>
          <t>E6</t>
        </is>
      </c>
      <c r="AG1247" s="11" t="inlineStr">
        <is>
          <t>E5</t>
        </is>
      </c>
      <c r="AH1247" s="11" t="inlineStr">
        <is>
          <t>E2</t>
        </is>
      </c>
      <c r="AI1247" s="11" t="inlineStr">
        <is>
          <t>E4</t>
        </is>
      </c>
      <c r="AJ1247" s="11" t="inlineStr">
        <is>
          <t>I4</t>
        </is>
      </c>
      <c r="AK1247" s="11" t="n"/>
      <c r="AL1247" s="11" t="n"/>
      <c r="AM1247" s="11" t="n"/>
      <c r="AN1247" s="11" t="n"/>
      <c r="AO1247" s="11" t="n"/>
      <c r="AP1247" s="11" t="n"/>
      <c r="AQ1247" s="11" t="n"/>
      <c r="AR1247" s="11" t="n"/>
      <c r="AS1247" s="11" t="n"/>
      <c r="AT1247" s="11" t="n"/>
      <c r="AU1247" s="11" t="n"/>
      <c r="AV1247" s="11" t="n"/>
      <c r="AW1247" s="11">
        <f>AF1247&amp;"; "&amp;AG1247&amp;"; "&amp;AH1247&amp;"; "&amp;AI1247&amp;"; "&amp;AJ1247</f>
        <v/>
      </c>
    </row>
    <row r="1248">
      <c r="A1248" s="11" t="inlineStr">
        <is>
          <t>T0146-G11-BIO</t>
        </is>
      </c>
      <c r="B1248" s="11" t="n">
        <v>11</v>
      </c>
      <c r="C1248" s="11" t="inlineStr">
        <is>
          <t>Biología</t>
        </is>
      </c>
      <c r="D1248" s="11" t="inlineStr">
        <is>
          <t>Matriz_Bachillerato_Biologia_10_11.xlsx</t>
        </is>
      </c>
      <c r="E1248" s="11" t="inlineStr">
        <is>
          <t>Biología 11.°</t>
        </is>
      </c>
      <c r="F1248" s="11" t="n">
        <v>78</v>
      </c>
      <c r="G1248" s="11" t="inlineStr">
        <is>
          <t>6. Mecánica de fluidos en los seres vivos</t>
        </is>
      </c>
      <c r="H1248" s="11" t="inlineStr">
        <is>
          <t>Transporte de agua en las plantas</t>
        </is>
      </c>
      <c r="I1248" s="38" t="inlineStr">
        <is>
          <t>6.4. Medición de la transpiración de una rama y explicación del ascenso del agua por cohesión-tensión y capilaridad.</t>
        </is>
      </c>
      <c r="J1248" s="11" t="inlineStr">
        <is>
          <t>Sin marco</t>
        </is>
      </c>
      <c r="K1248" s="11" t="inlineStr">
        <is>
          <t>N/A</t>
        </is>
      </c>
      <c r="L1248" s="11" t="inlineStr"/>
      <c r="M1248" s="11">
        <f>IF(K1248="FUERA","Fuera del marco",IF(K1248="N/A","Sin marco",IFERROR(INDEX('Datos - Catálogo TIMSS'!$C$5:$C$107,MATCH(K1248,'Datos - Catálogo TIMSS'!$A$5:$A$107,0)),"Pendiente de clasificar")))</f>
        <v/>
      </c>
      <c r="N1248" s="11">
        <f>IF(K1248="FUERA","Fuera del marco",IF(K1248="N/A","Sin marco",IFERROR(INDEX('Datos - Catálogo TIMSS'!$F$5:$F$107,MATCH(K1248,'Datos - Catálogo TIMSS'!$A$5:$A$107,0)),"Pendiente de clasificar")))</f>
        <v/>
      </c>
      <c r="O1248" s="11">
        <f>IF(L1248="","",IFERROR(INDEX('Datos - Catálogo TIMSS'!$C$5:$C$107,MATCH(L1248,'Datos - Catálogo TIMSS'!$A$5:$A$107,0)),"?"))</f>
        <v/>
      </c>
      <c r="P1248" s="11" t="inlineStr">
        <is>
          <t>N/A</t>
        </is>
      </c>
      <c r="Q1248" s="38" t="inlineStr">
        <is>
          <t>Sin marco TIMSS de contenido para esta asignatura en Bachillerato</t>
        </is>
      </c>
      <c r="R1248" s="38" t="inlineStr">
        <is>
          <t>Aplicar: calcular alturas capilares y tasas de transpiración. Razonar: evaluar modelos explicativos</t>
        </is>
      </c>
      <c r="S1248" s="39">
        <f>IFERROR(ISNUMBER(SEARCH("Conocer",$R1248))/(ISNUMBER(SEARCH("Conocer",$R1248))+ISNUMBER(SEARCH("Aplicar",$R1248))+ISNUMBER(SEARCH("Razonar",$R1248))),0)</f>
        <v/>
      </c>
      <c r="T1248" s="39">
        <f>IFERROR(ISNUMBER(SEARCH("Aplicar",$R1248))/(ISNUMBER(SEARCH("Conocer",$R1248))+ISNUMBER(SEARCH("Aplicar",$R1248))+ISNUMBER(SEARCH("Razonar",$R1248))),0)</f>
        <v/>
      </c>
      <c r="U1248" s="39">
        <f>IFERROR(ISNUMBER(SEARCH("Razonar",$R1248))/(ISNUMBER(SEARCH("Conocer",$R1248))+ISNUMBER(SEARCH("Aplicar",$R1248))+ISNUMBER(SEARCH("Razonar",$R1248))),0)</f>
        <v/>
      </c>
      <c r="V1248" s="11" t="inlineStr">
        <is>
          <t>Biología 11°</t>
        </is>
      </c>
      <c r="W1248" s="11" t="inlineStr">
        <is>
          <t>Biología 10°–11°</t>
        </is>
      </c>
      <c r="X1248" s="11">
        <f>IF(OR(IFERROR(INDEX('Datos - Catálogo TIMSS'!$I$5:$I$107,MATCH(K1248,'Datos - Catálogo TIMSS'!$A$5:$A$107,0)),"No")="Sí",IFERROR(INDEX('Datos - Catálogo TIMSS'!$I$5:$I$107,MATCH(L1248,'Datos - Catálogo TIMSS'!$A$5:$A$107,0)),"No")="Sí"),1,0)</f>
        <v/>
      </c>
      <c r="Y1248" s="11">
        <f>IF(IFERROR(INDEX('Datos - Catálogo TIMSS'!$J$5:$J$107,MATCH(K1248,'Datos - Catálogo TIMSS'!$A$5:$A$107,0)),"No")="Sí",1,0)</f>
        <v/>
      </c>
      <c r="Z1248" s="11">
        <f>IF(IFERROR(INDEX('Datos - Catálogo TIMSS'!$J$5:$J$107,MATCH(L1248,'Datos - Catálogo TIMSS'!$A$5:$A$107,0)),"No")="Sí",1,0)</f>
        <v/>
      </c>
      <c r="AA1248" s="11" t="inlineStr">
        <is>
          <t>N/A</t>
        </is>
      </c>
      <c r="AB1248" s="11" t="inlineStr"/>
      <c r="AC1248" s="11">
        <f>IF(AA1248="FUERA","Fuera del marco",IF(AA1248="N/A","Sin marco",IFERROR(INDEX('Datos - TIMSS 2023'!$C$5:$C$105,MATCH(AA1248,'Datos - TIMSS 2023'!$A$5:$A$105,0)),"Pendiente de clasificar")))</f>
        <v/>
      </c>
      <c r="AD1248" s="11" t="inlineStr">
        <is>
          <t>2. Construir y evaluar diseños para la indagación científica e interpretar datos y evidencia de forma crítica</t>
        </is>
      </c>
      <c r="AE1248" s="11">
        <f>IF(AD1248="","",IF(LEFT(AD1248,1)="1","C1",IF(LEFT(AD1248,1)="2","C2",IF(LEFT(AD1248,1)="3","C3",""))))</f>
        <v/>
      </c>
      <c r="AF1248" s="11" t="inlineStr">
        <is>
          <t>E6</t>
        </is>
      </c>
      <c r="AG1248" s="11" t="inlineStr">
        <is>
          <t>D1</t>
        </is>
      </c>
      <c r="AH1248" s="11" t="inlineStr">
        <is>
          <t>E1</t>
        </is>
      </c>
      <c r="AI1248" s="11" t="inlineStr">
        <is>
          <t>D2</t>
        </is>
      </c>
      <c r="AJ1248" s="11" t="inlineStr">
        <is>
          <t>D3</t>
        </is>
      </c>
      <c r="AK1248" s="11" t="n"/>
      <c r="AL1248" s="11" t="n"/>
      <c r="AM1248" s="11" t="n"/>
      <c r="AN1248" s="11" t="n"/>
      <c r="AO1248" s="11" t="n"/>
      <c r="AP1248" s="11" t="n"/>
      <c r="AQ1248" s="11" t="n"/>
      <c r="AR1248" s="11" t="n"/>
      <c r="AS1248" s="11" t="n"/>
      <c r="AT1248" s="11" t="n"/>
      <c r="AU1248" s="11" t="n"/>
      <c r="AV1248" s="11" t="n"/>
      <c r="AW1248" s="11">
        <f>AF1248&amp;"; "&amp;AG1248&amp;"; "&amp;AH1248&amp;"; "&amp;AI1248&amp;"; "&amp;AJ1248</f>
        <v/>
      </c>
    </row>
    <row r="1249">
      <c r="A1249" s="11" t="inlineStr">
        <is>
          <t>T0147-G11-BIO</t>
        </is>
      </c>
      <c r="B1249" s="11" t="n">
        <v>11</v>
      </c>
      <c r="C1249" s="11" t="inlineStr">
        <is>
          <t>Biología</t>
        </is>
      </c>
      <c r="D1249" s="11" t="inlineStr">
        <is>
          <t>Matriz_Bachillerato_Biologia_10_11.xlsx</t>
        </is>
      </c>
      <c r="E1249" s="11" t="inlineStr">
        <is>
          <t>Biología 11.°</t>
        </is>
      </c>
      <c r="F1249" s="11" t="n">
        <v>79</v>
      </c>
      <c r="G1249" s="11" t="inlineStr">
        <is>
          <t>6. Mecánica de fluidos en los seres vivos</t>
        </is>
      </c>
      <c r="H1249" s="11" t="inlineStr">
        <is>
          <t>Respiración y flotación</t>
        </is>
      </c>
      <c r="I1249" s="38" t="inlineStr">
        <is>
          <t>6.5. Modelización de la mecánica respiratoria mediante la ley de Boyle y un modelo de pulmón con botella y globos.</t>
        </is>
      </c>
      <c r="J1249" s="11" t="inlineStr">
        <is>
          <t>Sin marco</t>
        </is>
      </c>
      <c r="K1249" s="11" t="inlineStr">
        <is>
          <t>N/A</t>
        </is>
      </c>
      <c r="L1249" s="11" t="inlineStr"/>
      <c r="M1249" s="11">
        <f>IF(K1249="FUERA","Fuera del marco",IF(K1249="N/A","Sin marco",IFERROR(INDEX('Datos - Catálogo TIMSS'!$C$5:$C$107,MATCH(K1249,'Datos - Catálogo TIMSS'!$A$5:$A$107,0)),"Pendiente de clasificar")))</f>
        <v/>
      </c>
      <c r="N1249" s="11">
        <f>IF(K1249="FUERA","Fuera del marco",IF(K1249="N/A","Sin marco",IFERROR(INDEX('Datos - Catálogo TIMSS'!$F$5:$F$107,MATCH(K1249,'Datos - Catálogo TIMSS'!$A$5:$A$107,0)),"Pendiente de clasificar")))</f>
        <v/>
      </c>
      <c r="O1249" s="11">
        <f>IF(L1249="","",IFERROR(INDEX('Datos - Catálogo TIMSS'!$C$5:$C$107,MATCH(L1249,'Datos - Catálogo TIMSS'!$A$5:$A$107,0)),"?"))</f>
        <v/>
      </c>
      <c r="P1249" s="11" t="inlineStr">
        <is>
          <t>N/A</t>
        </is>
      </c>
      <c r="Q1249" s="38" t="inlineStr">
        <is>
          <t>Sin marco TIMSS de contenido para esta asignatura en Bachillerato</t>
        </is>
      </c>
      <c r="R1249" s="38" t="inlineStr">
        <is>
          <t>Aplicar: calcular presiones con la ley de Boyle. Razonar: evaluar un modelo físico del sistema respiratorio</t>
        </is>
      </c>
      <c r="S1249" s="39">
        <f>IFERROR(ISNUMBER(SEARCH("Conocer",$R1249))/(ISNUMBER(SEARCH("Conocer",$R1249))+ISNUMBER(SEARCH("Aplicar",$R1249))+ISNUMBER(SEARCH("Razonar",$R1249))),0)</f>
        <v/>
      </c>
      <c r="T1249" s="39">
        <f>IFERROR(ISNUMBER(SEARCH("Aplicar",$R1249))/(ISNUMBER(SEARCH("Conocer",$R1249))+ISNUMBER(SEARCH("Aplicar",$R1249))+ISNUMBER(SEARCH("Razonar",$R1249))),0)</f>
        <v/>
      </c>
      <c r="U1249" s="39">
        <f>IFERROR(ISNUMBER(SEARCH("Razonar",$R1249))/(ISNUMBER(SEARCH("Conocer",$R1249))+ISNUMBER(SEARCH("Aplicar",$R1249))+ISNUMBER(SEARCH("Razonar",$R1249))),0)</f>
        <v/>
      </c>
      <c r="V1249" s="11" t="inlineStr">
        <is>
          <t>Biología 11°</t>
        </is>
      </c>
      <c r="W1249" s="11" t="inlineStr">
        <is>
          <t>Biología 10°–11°</t>
        </is>
      </c>
      <c r="X1249" s="11">
        <f>IF(OR(IFERROR(INDEX('Datos - Catálogo TIMSS'!$I$5:$I$107,MATCH(K1249,'Datos - Catálogo TIMSS'!$A$5:$A$107,0)),"No")="Sí",IFERROR(INDEX('Datos - Catálogo TIMSS'!$I$5:$I$107,MATCH(L1249,'Datos - Catálogo TIMSS'!$A$5:$A$107,0)),"No")="Sí"),1,0)</f>
        <v/>
      </c>
      <c r="Y1249" s="11">
        <f>IF(IFERROR(INDEX('Datos - Catálogo TIMSS'!$J$5:$J$107,MATCH(K1249,'Datos - Catálogo TIMSS'!$A$5:$A$107,0)),"No")="Sí",1,0)</f>
        <v/>
      </c>
      <c r="Z1249" s="11">
        <f>IF(IFERROR(INDEX('Datos - Catálogo TIMSS'!$J$5:$J$107,MATCH(L1249,'Datos - Catálogo TIMSS'!$A$5:$A$107,0)),"No")="Sí",1,0)</f>
        <v/>
      </c>
      <c r="AA1249" s="11" t="inlineStr">
        <is>
          <t>N/A</t>
        </is>
      </c>
      <c r="AB1249" s="11" t="inlineStr"/>
      <c r="AC1249" s="11">
        <f>IF(AA1249="FUERA","Fuera del marco",IF(AA1249="N/A","Sin marco",IFERROR(INDEX('Datos - TIMSS 2023'!$C$5:$C$105,MATCH(AA1249,'Datos - TIMSS 2023'!$A$5:$A$105,0)),"Pendiente de clasificar")))</f>
        <v/>
      </c>
      <c r="AD1249" s="11" t="inlineStr">
        <is>
          <t>1. Explicar fenómenos científicamente</t>
        </is>
      </c>
      <c r="AE1249" s="11">
        <f>IF(AD1249="","",IF(LEFT(AD1249,1)="1","C1",IF(LEFT(AD1249,1)="2","C2",IF(LEFT(AD1249,1)="3","C3",""))))</f>
        <v/>
      </c>
      <c r="AF1249" s="11" t="inlineStr">
        <is>
          <t>E1</t>
        </is>
      </c>
      <c r="AG1249" s="11" t="inlineStr">
        <is>
          <t>E5</t>
        </is>
      </c>
      <c r="AH1249" s="11" t="inlineStr">
        <is>
          <t>E4</t>
        </is>
      </c>
      <c r="AI1249" s="11" t="inlineStr">
        <is>
          <t>D4</t>
        </is>
      </c>
      <c r="AJ1249" s="11" t="inlineStr">
        <is>
          <t>E3</t>
        </is>
      </c>
      <c r="AK1249" s="11" t="n"/>
      <c r="AL1249" s="11" t="n"/>
      <c r="AM1249" s="11" t="n"/>
      <c r="AN1249" s="11" t="n"/>
      <c r="AO1249" s="11" t="n"/>
      <c r="AP1249" s="11" t="n"/>
      <c r="AQ1249" s="11" t="n"/>
      <c r="AR1249" s="11" t="n"/>
      <c r="AS1249" s="11" t="n"/>
      <c r="AT1249" s="11" t="n"/>
      <c r="AU1249" s="11" t="n"/>
      <c r="AV1249" s="11" t="n"/>
      <c r="AW1249" s="11">
        <f>AF1249&amp;"; "&amp;AG1249&amp;"; "&amp;AH1249&amp;"; "&amp;AI1249&amp;"; "&amp;AJ1249</f>
        <v/>
      </c>
    </row>
    <row r="1250">
      <c r="A1250" s="11" t="inlineStr">
        <is>
          <t>T0148-G11-BIO</t>
        </is>
      </c>
      <c r="B1250" s="11" t="n">
        <v>11</v>
      </c>
      <c r="C1250" s="11" t="inlineStr">
        <is>
          <t>Biología</t>
        </is>
      </c>
      <c r="D1250" s="11" t="inlineStr">
        <is>
          <t>Matriz_Bachillerato_Biologia_10_11.xlsx</t>
        </is>
      </c>
      <c r="E1250" s="11" t="inlineStr">
        <is>
          <t>Biología 11.°</t>
        </is>
      </c>
      <c r="F1250" s="11" t="n">
        <v>80</v>
      </c>
      <c r="G1250" s="11" t="inlineStr">
        <is>
          <t>6. Mecánica de fluidos en los seres vivos</t>
        </is>
      </c>
      <c r="H1250" s="11" t="inlineStr">
        <is>
          <t>Respiración y flotación</t>
        </is>
      </c>
      <c r="I1250" s="38" t="inlineStr">
        <is>
          <t>6.6. Aplicación del principio de Arquímedes a la regulación de la flotación y la locomoción en organismos acuáticos.</t>
        </is>
      </c>
      <c r="J1250" s="11" t="inlineStr">
        <is>
          <t>Sin marco</t>
        </is>
      </c>
      <c r="K1250" s="11" t="inlineStr">
        <is>
          <t>N/A</t>
        </is>
      </c>
      <c r="L1250" s="11" t="inlineStr"/>
      <c r="M1250" s="11">
        <f>IF(K1250="FUERA","Fuera del marco",IF(K1250="N/A","Sin marco",IFERROR(INDEX('Datos - Catálogo TIMSS'!$C$5:$C$107,MATCH(K1250,'Datos - Catálogo TIMSS'!$A$5:$A$107,0)),"Pendiente de clasificar")))</f>
        <v/>
      </c>
      <c r="N1250" s="11">
        <f>IF(K1250="FUERA","Fuera del marco",IF(K1250="N/A","Sin marco",IFERROR(INDEX('Datos - Catálogo TIMSS'!$F$5:$F$107,MATCH(K1250,'Datos - Catálogo TIMSS'!$A$5:$A$107,0)),"Pendiente de clasificar")))</f>
        <v/>
      </c>
      <c r="O1250" s="11">
        <f>IF(L1250="","",IFERROR(INDEX('Datos - Catálogo TIMSS'!$C$5:$C$107,MATCH(L1250,'Datos - Catálogo TIMSS'!$A$5:$A$107,0)),"?"))</f>
        <v/>
      </c>
      <c r="P1250" s="11" t="inlineStr">
        <is>
          <t>N/A</t>
        </is>
      </c>
      <c r="Q1250" s="38" t="inlineStr">
        <is>
          <t>Sin marco TIMSS de contenido para esta asignatura en Bachillerato</t>
        </is>
      </c>
      <c r="R1250" s="38" t="inlineStr">
        <is>
          <t>Aplicar: calcular volúmenes y densidades con el principio de Arquímedes. Razonar: comparar adaptaciones</t>
        </is>
      </c>
      <c r="S1250" s="39">
        <f>IFERROR(ISNUMBER(SEARCH("Conocer",$R1250))/(ISNUMBER(SEARCH("Conocer",$R1250))+ISNUMBER(SEARCH("Aplicar",$R1250))+ISNUMBER(SEARCH("Razonar",$R1250))),0)</f>
        <v/>
      </c>
      <c r="T1250" s="39">
        <f>IFERROR(ISNUMBER(SEARCH("Aplicar",$R1250))/(ISNUMBER(SEARCH("Conocer",$R1250))+ISNUMBER(SEARCH("Aplicar",$R1250))+ISNUMBER(SEARCH("Razonar",$R1250))),0)</f>
        <v/>
      </c>
      <c r="U1250" s="39">
        <f>IFERROR(ISNUMBER(SEARCH("Razonar",$R1250))/(ISNUMBER(SEARCH("Conocer",$R1250))+ISNUMBER(SEARCH("Aplicar",$R1250))+ISNUMBER(SEARCH("Razonar",$R1250))),0)</f>
        <v/>
      </c>
      <c r="V1250" s="11" t="inlineStr">
        <is>
          <t>Biología 11°</t>
        </is>
      </c>
      <c r="W1250" s="11" t="inlineStr">
        <is>
          <t>Biología 10°–11°</t>
        </is>
      </c>
      <c r="X1250" s="11">
        <f>IF(OR(IFERROR(INDEX('Datos - Catálogo TIMSS'!$I$5:$I$107,MATCH(K1250,'Datos - Catálogo TIMSS'!$A$5:$A$107,0)),"No")="Sí",IFERROR(INDEX('Datos - Catálogo TIMSS'!$I$5:$I$107,MATCH(L1250,'Datos - Catálogo TIMSS'!$A$5:$A$107,0)),"No")="Sí"),1,0)</f>
        <v/>
      </c>
      <c r="Y1250" s="11">
        <f>IF(IFERROR(INDEX('Datos - Catálogo TIMSS'!$J$5:$J$107,MATCH(K1250,'Datos - Catálogo TIMSS'!$A$5:$A$107,0)),"No")="Sí",1,0)</f>
        <v/>
      </c>
      <c r="Z1250" s="11">
        <f>IF(IFERROR(INDEX('Datos - Catálogo TIMSS'!$J$5:$J$107,MATCH(L1250,'Datos - Catálogo TIMSS'!$A$5:$A$107,0)),"No")="Sí",1,0)</f>
        <v/>
      </c>
      <c r="AA1250" s="11" t="inlineStr">
        <is>
          <t>N/A</t>
        </is>
      </c>
      <c r="AB1250" s="11" t="inlineStr"/>
      <c r="AC1250" s="11">
        <f>IF(AA1250="FUERA","Fuera del marco",IF(AA1250="N/A","Sin marco",IFERROR(INDEX('Datos - TIMSS 2023'!$C$5:$C$105,MATCH(AA1250,'Datos - TIMSS 2023'!$A$5:$A$105,0)),"Pendiente de clasificar")))</f>
        <v/>
      </c>
      <c r="AD1250" s="11" t="inlineStr">
        <is>
          <t>1. Explicar fenómenos científicamente</t>
        </is>
      </c>
      <c r="AE1250" s="11">
        <f>IF(AD1250="","",IF(LEFT(AD1250,1)="1","C1",IF(LEFT(AD1250,1)="2","C2",IF(LEFT(AD1250,1)="3","C3",""))))</f>
        <v/>
      </c>
      <c r="AF1250" s="11" t="inlineStr">
        <is>
          <t>E6</t>
        </is>
      </c>
      <c r="AG1250" s="11" t="inlineStr">
        <is>
          <t>D1</t>
        </is>
      </c>
      <c r="AH1250" s="11" t="inlineStr">
        <is>
          <t>E4</t>
        </is>
      </c>
      <c r="AI1250" s="11" t="inlineStr">
        <is>
          <t>D4</t>
        </is>
      </c>
      <c r="AJ1250" s="11" t="inlineStr">
        <is>
          <t>E3</t>
        </is>
      </c>
      <c r="AK1250" s="11" t="n"/>
      <c r="AL1250" s="11" t="n"/>
      <c r="AM1250" s="11" t="n"/>
      <c r="AN1250" s="11" t="n"/>
      <c r="AO1250" s="11" t="n"/>
      <c r="AP1250" s="11" t="n"/>
      <c r="AQ1250" s="11" t="n"/>
      <c r="AR1250" s="11" t="n"/>
      <c r="AS1250" s="11" t="n"/>
      <c r="AT1250" s="11" t="n"/>
      <c r="AU1250" s="11" t="n"/>
      <c r="AV1250" s="11" t="n"/>
      <c r="AW1250" s="11">
        <f>AF1250&amp;"; "&amp;AG1250&amp;"; "&amp;AH1250&amp;"; "&amp;AI1250&amp;"; "&amp;AJ1250</f>
        <v/>
      </c>
    </row>
    <row r="1251">
      <c r="A1251" s="11" t="inlineStr">
        <is>
          <t>T0149-G11-BIO</t>
        </is>
      </c>
      <c r="B1251" s="11" t="n">
        <v>11</v>
      </c>
      <c r="C1251" s="11" t="inlineStr">
        <is>
          <t>Biología</t>
        </is>
      </c>
      <c r="D1251" s="11" t="inlineStr">
        <is>
          <t>Matriz_Bachillerato_Biologia_10_11.xlsx</t>
        </is>
      </c>
      <c r="E1251" s="11" t="inlineStr">
        <is>
          <t>Biología 11.°</t>
        </is>
      </c>
      <c r="F1251" s="11" t="n">
        <v>81</v>
      </c>
      <c r="G1251" s="11" t="inlineStr">
        <is>
          <t>7. Dinámica de poblaciones (relaciones intra e interespecíficas)</t>
        </is>
      </c>
      <c r="H1251" s="11" t="inlineStr">
        <is>
          <t>Atributos de una población</t>
        </is>
      </c>
      <c r="I1251" s="38" t="inlineStr">
        <is>
          <t>7.1. Análisis de la densidad y del patrón de distribución espacial de una población a partir de conteos por cuadrantes.</t>
        </is>
      </c>
      <c r="J1251" s="11" t="inlineStr">
        <is>
          <t>Sin marco</t>
        </is>
      </c>
      <c r="K1251" s="11" t="inlineStr">
        <is>
          <t>N/A</t>
        </is>
      </c>
      <c r="L1251" s="11" t="inlineStr"/>
      <c r="M1251" s="11">
        <f>IF(K1251="FUERA","Fuera del marco",IF(K1251="N/A","Sin marco",IFERROR(INDEX('Datos - Catálogo TIMSS'!$C$5:$C$107,MATCH(K1251,'Datos - Catálogo TIMSS'!$A$5:$A$107,0)),"Pendiente de clasificar")))</f>
        <v/>
      </c>
      <c r="N1251" s="11">
        <f>IF(K1251="FUERA","Fuera del marco",IF(K1251="N/A","Sin marco",IFERROR(INDEX('Datos - Catálogo TIMSS'!$F$5:$F$107,MATCH(K1251,'Datos - Catálogo TIMSS'!$A$5:$A$107,0)),"Pendiente de clasificar")))</f>
        <v/>
      </c>
      <c r="O1251" s="11">
        <f>IF(L1251="","",IFERROR(INDEX('Datos - Catálogo TIMSS'!$C$5:$C$107,MATCH(L1251,'Datos - Catálogo TIMSS'!$A$5:$A$107,0)),"?"))</f>
        <v/>
      </c>
      <c r="P1251" s="11" t="inlineStr">
        <is>
          <t>N/A</t>
        </is>
      </c>
      <c r="Q1251" s="38" t="inlineStr">
        <is>
          <t>Sin marco TIMSS de contenido para esta asignatura en Bachillerato</t>
        </is>
      </c>
      <c r="R1251" s="38" t="inlineStr">
        <is>
          <t>Aplicar: calcular densidad y relación varianza-media. Razonar: inferir causas de un patrón espacial</t>
        </is>
      </c>
      <c r="S1251" s="39">
        <f>IFERROR(ISNUMBER(SEARCH("Conocer",$R1251))/(ISNUMBER(SEARCH("Conocer",$R1251))+ISNUMBER(SEARCH("Aplicar",$R1251))+ISNUMBER(SEARCH("Razonar",$R1251))),0)</f>
        <v/>
      </c>
      <c r="T1251" s="39">
        <f>IFERROR(ISNUMBER(SEARCH("Aplicar",$R1251))/(ISNUMBER(SEARCH("Conocer",$R1251))+ISNUMBER(SEARCH("Aplicar",$R1251))+ISNUMBER(SEARCH("Razonar",$R1251))),0)</f>
        <v/>
      </c>
      <c r="U1251" s="39">
        <f>IFERROR(ISNUMBER(SEARCH("Razonar",$R1251))/(ISNUMBER(SEARCH("Conocer",$R1251))+ISNUMBER(SEARCH("Aplicar",$R1251))+ISNUMBER(SEARCH("Razonar",$R1251))),0)</f>
        <v/>
      </c>
      <c r="V1251" s="11" t="inlineStr">
        <is>
          <t>Biología 11°</t>
        </is>
      </c>
      <c r="W1251" s="11" t="inlineStr">
        <is>
          <t>Biología 10°–11°</t>
        </is>
      </c>
      <c r="X1251" s="11">
        <f>IF(OR(IFERROR(INDEX('Datos - Catálogo TIMSS'!$I$5:$I$107,MATCH(K1251,'Datos - Catálogo TIMSS'!$A$5:$A$107,0)),"No")="Sí",IFERROR(INDEX('Datos - Catálogo TIMSS'!$I$5:$I$107,MATCH(L1251,'Datos - Catálogo TIMSS'!$A$5:$A$107,0)),"No")="Sí"),1,0)</f>
        <v/>
      </c>
      <c r="Y1251" s="11">
        <f>IF(IFERROR(INDEX('Datos - Catálogo TIMSS'!$J$5:$J$107,MATCH(K1251,'Datos - Catálogo TIMSS'!$A$5:$A$107,0)),"No")="Sí",1,0)</f>
        <v/>
      </c>
      <c r="Z1251" s="11">
        <f>IF(IFERROR(INDEX('Datos - Catálogo TIMSS'!$J$5:$J$107,MATCH(L1251,'Datos - Catálogo TIMSS'!$A$5:$A$107,0)),"No")="Sí",1,0)</f>
        <v/>
      </c>
      <c r="AA1251" s="11" t="inlineStr">
        <is>
          <t>N/A</t>
        </is>
      </c>
      <c r="AB1251" s="11" t="inlineStr"/>
      <c r="AC1251" s="11">
        <f>IF(AA1251="FUERA","Fuera del marco",IF(AA1251="N/A","Sin marco",IFERROR(INDEX('Datos - TIMSS 2023'!$C$5:$C$105,MATCH(AA1251,'Datos - TIMSS 2023'!$A$5:$A$105,0)),"Pendiente de clasificar")))</f>
        <v/>
      </c>
      <c r="AD1251" s="11" t="inlineStr">
        <is>
          <t>2. Construir y evaluar diseños para la indagación científica e interpretar datos y evidencia de forma crítica</t>
        </is>
      </c>
      <c r="AE1251" s="11">
        <f>IF(AD1251="","",IF(LEFT(AD1251,1)="1","C1",IF(LEFT(AD1251,1)="2","C2",IF(LEFT(AD1251,1)="3","C3",""))))</f>
        <v/>
      </c>
      <c r="AF1251" s="11" t="inlineStr">
        <is>
          <t>E1</t>
        </is>
      </c>
      <c r="AG1251" s="11" t="inlineStr">
        <is>
          <t>D1</t>
        </is>
      </c>
      <c r="AH1251" s="11" t="inlineStr">
        <is>
          <t>E2</t>
        </is>
      </c>
      <c r="AI1251" s="11" t="inlineStr">
        <is>
          <t>D4</t>
        </is>
      </c>
      <c r="AJ1251" s="11" t="inlineStr">
        <is>
          <t>E3</t>
        </is>
      </c>
      <c r="AK1251" s="11" t="n"/>
      <c r="AL1251" s="11" t="n"/>
      <c r="AM1251" s="11" t="n"/>
      <c r="AN1251" s="11" t="n"/>
      <c r="AO1251" s="11" t="n"/>
      <c r="AP1251" s="11" t="n"/>
      <c r="AQ1251" s="11" t="n"/>
      <c r="AR1251" s="11" t="n"/>
      <c r="AS1251" s="11" t="n"/>
      <c r="AT1251" s="11" t="n"/>
      <c r="AU1251" s="11" t="n"/>
      <c r="AV1251" s="11" t="n"/>
      <c r="AW1251" s="11">
        <f>AF1251&amp;"; "&amp;AG1251&amp;"; "&amp;AH1251&amp;"; "&amp;AI1251&amp;"; "&amp;AJ1251</f>
        <v/>
      </c>
    </row>
    <row r="1252">
      <c r="A1252" s="11" t="inlineStr">
        <is>
          <t>T0150-G11-BIO</t>
        </is>
      </c>
      <c r="B1252" s="11" t="n">
        <v>11</v>
      </c>
      <c r="C1252" s="11" t="inlineStr">
        <is>
          <t>Biología</t>
        </is>
      </c>
      <c r="D1252" s="11" t="inlineStr">
        <is>
          <t>Matriz_Bachillerato_Biologia_10_11.xlsx</t>
        </is>
      </c>
      <c r="E1252" s="11" t="inlineStr">
        <is>
          <t>Biología 11.°</t>
        </is>
      </c>
      <c r="F1252" s="11" t="n">
        <v>82</v>
      </c>
      <c r="G1252" s="11" t="inlineStr">
        <is>
          <t>7. Dinámica de poblaciones (relaciones intra e interespecíficas)</t>
        </is>
      </c>
      <c r="H1252" s="11" t="inlineStr">
        <is>
          <t>Atributos de una población</t>
        </is>
      </c>
      <c r="I1252" s="38" t="inlineStr">
        <is>
          <t>7.2. Estimación del tamaño de una población mediante el método de captura-recaptura con un modelo de frijoles y con datos publicados.</t>
        </is>
      </c>
      <c r="J1252" s="11" t="inlineStr">
        <is>
          <t>Sin marco</t>
        </is>
      </c>
      <c r="K1252" s="11" t="inlineStr">
        <is>
          <t>N/A</t>
        </is>
      </c>
      <c r="L1252" s="11" t="inlineStr"/>
      <c r="M1252" s="11">
        <f>IF(K1252="FUERA","Fuera del marco",IF(K1252="N/A","Sin marco",IFERROR(INDEX('Datos - Catálogo TIMSS'!$C$5:$C$107,MATCH(K1252,'Datos - Catálogo TIMSS'!$A$5:$A$107,0)),"Pendiente de clasificar")))</f>
        <v/>
      </c>
      <c r="N1252" s="11">
        <f>IF(K1252="FUERA","Fuera del marco",IF(K1252="N/A","Sin marco",IFERROR(INDEX('Datos - Catálogo TIMSS'!$F$5:$F$107,MATCH(K1252,'Datos - Catálogo TIMSS'!$A$5:$A$107,0)),"Pendiente de clasificar")))</f>
        <v/>
      </c>
      <c r="O1252" s="11">
        <f>IF(L1252="","",IFERROR(INDEX('Datos - Catálogo TIMSS'!$C$5:$C$107,MATCH(L1252,'Datos - Catálogo TIMSS'!$A$5:$A$107,0)),"?"))</f>
        <v/>
      </c>
      <c r="P1252" s="11" t="inlineStr">
        <is>
          <t>N/A</t>
        </is>
      </c>
      <c r="Q1252" s="38" t="inlineStr">
        <is>
          <t>Sin marco TIMSS de contenido para esta asignatura en Bachillerato</t>
        </is>
      </c>
      <c r="R1252" s="38" t="inlineStr">
        <is>
          <t>Aplicar: estimar tamaños poblacionales. Razonar: evaluar supuestos y precisión de un método</t>
        </is>
      </c>
      <c r="S1252" s="39">
        <f>IFERROR(ISNUMBER(SEARCH("Conocer",$R1252))/(ISNUMBER(SEARCH("Conocer",$R1252))+ISNUMBER(SEARCH("Aplicar",$R1252))+ISNUMBER(SEARCH("Razonar",$R1252))),0)</f>
        <v/>
      </c>
      <c r="T1252" s="39">
        <f>IFERROR(ISNUMBER(SEARCH("Aplicar",$R1252))/(ISNUMBER(SEARCH("Conocer",$R1252))+ISNUMBER(SEARCH("Aplicar",$R1252))+ISNUMBER(SEARCH("Razonar",$R1252))),0)</f>
        <v/>
      </c>
      <c r="U1252" s="39">
        <f>IFERROR(ISNUMBER(SEARCH("Razonar",$R1252))/(ISNUMBER(SEARCH("Conocer",$R1252))+ISNUMBER(SEARCH("Aplicar",$R1252))+ISNUMBER(SEARCH("Razonar",$R1252))),0)</f>
        <v/>
      </c>
      <c r="V1252" s="11" t="inlineStr">
        <is>
          <t>Biología 11°</t>
        </is>
      </c>
      <c r="W1252" s="11" t="inlineStr">
        <is>
          <t>Biología 10°–11°</t>
        </is>
      </c>
      <c r="X1252" s="11">
        <f>IF(OR(IFERROR(INDEX('Datos - Catálogo TIMSS'!$I$5:$I$107,MATCH(K1252,'Datos - Catálogo TIMSS'!$A$5:$A$107,0)),"No")="Sí",IFERROR(INDEX('Datos - Catálogo TIMSS'!$I$5:$I$107,MATCH(L1252,'Datos - Catálogo TIMSS'!$A$5:$A$107,0)),"No")="Sí"),1,0)</f>
        <v/>
      </c>
      <c r="Y1252" s="11">
        <f>IF(IFERROR(INDEX('Datos - Catálogo TIMSS'!$J$5:$J$107,MATCH(K1252,'Datos - Catálogo TIMSS'!$A$5:$A$107,0)),"No")="Sí",1,0)</f>
        <v/>
      </c>
      <c r="Z1252" s="11">
        <f>IF(IFERROR(INDEX('Datos - Catálogo TIMSS'!$J$5:$J$107,MATCH(L1252,'Datos - Catálogo TIMSS'!$A$5:$A$107,0)),"No")="Sí",1,0)</f>
        <v/>
      </c>
      <c r="AA1252" s="11" t="inlineStr">
        <is>
          <t>N/A</t>
        </is>
      </c>
      <c r="AB1252" s="11" t="inlineStr"/>
      <c r="AC1252" s="11">
        <f>IF(AA1252="FUERA","Fuera del marco",IF(AA1252="N/A","Sin marco",IFERROR(INDEX('Datos - TIMSS 2023'!$C$5:$C$105,MATCH(AA1252,'Datos - TIMSS 2023'!$A$5:$A$105,0)),"Pendiente de clasificar")))</f>
        <v/>
      </c>
      <c r="AD1252" s="11" t="inlineStr">
        <is>
          <t>2. Construir y evaluar diseños para la indagación científica e interpretar datos y evidencia de forma crítica</t>
        </is>
      </c>
      <c r="AE1252" s="11">
        <f>IF(AD1252="","",IF(LEFT(AD1252,1)="1","C1",IF(LEFT(AD1252,1)="2","C2",IF(LEFT(AD1252,1)="3","C3",""))))</f>
        <v/>
      </c>
      <c r="AF1252" s="11" t="inlineStr">
        <is>
          <t>E1</t>
        </is>
      </c>
      <c r="AG1252" s="11" t="inlineStr">
        <is>
          <t>D1</t>
        </is>
      </c>
      <c r="AH1252" s="11" t="inlineStr">
        <is>
          <t>E2</t>
        </is>
      </c>
      <c r="AI1252" s="11" t="inlineStr">
        <is>
          <t>D2</t>
        </is>
      </c>
      <c r="AJ1252" s="11" t="inlineStr">
        <is>
          <t>D3</t>
        </is>
      </c>
      <c r="AK1252" s="11" t="n"/>
      <c r="AL1252" s="11" t="n"/>
      <c r="AM1252" s="11" t="n"/>
      <c r="AN1252" s="11" t="n"/>
      <c r="AO1252" s="11" t="n"/>
      <c r="AP1252" s="11" t="n"/>
      <c r="AQ1252" s="11" t="n"/>
      <c r="AR1252" s="11" t="n"/>
      <c r="AS1252" s="11" t="n"/>
      <c r="AT1252" s="11" t="n"/>
      <c r="AU1252" s="11" t="n"/>
      <c r="AV1252" s="11" t="n"/>
      <c r="AW1252" s="11">
        <f>AF1252&amp;"; "&amp;AG1252&amp;"; "&amp;AH1252&amp;"; "&amp;AI1252&amp;"; "&amp;AJ1252</f>
        <v/>
      </c>
    </row>
    <row r="1253">
      <c r="A1253" s="11" t="inlineStr">
        <is>
          <t>T0151-G11-BIO</t>
        </is>
      </c>
      <c r="B1253" s="11" t="n">
        <v>11</v>
      </c>
      <c r="C1253" s="11" t="inlineStr">
        <is>
          <t>Biología</t>
        </is>
      </c>
      <c r="D1253" s="11" t="inlineStr">
        <is>
          <t>Matriz_Bachillerato_Biologia_10_11.xlsx</t>
        </is>
      </c>
      <c r="E1253" s="11" t="inlineStr">
        <is>
          <t>Biología 11.°</t>
        </is>
      </c>
      <c r="F1253" s="11" t="n">
        <v>83</v>
      </c>
      <c r="G1253" s="11" t="inlineStr">
        <is>
          <t>7. Dinámica de poblaciones (relaciones intra e interespecíficas)</t>
        </is>
      </c>
      <c r="H1253" s="11" t="inlineStr">
        <is>
          <t>Crecimiento poblacional</t>
        </is>
      </c>
      <c r="I1253" s="38" t="inlineStr">
        <is>
          <t>7.3. Modelización del crecimiento poblacional con los modelos exponencial y logístico y determinación de la capacidad de carga.</t>
        </is>
      </c>
      <c r="J1253" s="11" t="inlineStr">
        <is>
          <t>Sin marco</t>
        </is>
      </c>
      <c r="K1253" s="11" t="inlineStr">
        <is>
          <t>N/A</t>
        </is>
      </c>
      <c r="L1253" s="11" t="inlineStr"/>
      <c r="M1253" s="11">
        <f>IF(K1253="FUERA","Fuera del marco",IF(K1253="N/A","Sin marco",IFERROR(INDEX('Datos - Catálogo TIMSS'!$C$5:$C$107,MATCH(K1253,'Datos - Catálogo TIMSS'!$A$5:$A$107,0)),"Pendiente de clasificar")))</f>
        <v/>
      </c>
      <c r="N1253" s="11">
        <f>IF(K1253="FUERA","Fuera del marco",IF(K1253="N/A","Sin marco",IFERROR(INDEX('Datos - Catálogo TIMSS'!$F$5:$F$107,MATCH(K1253,'Datos - Catálogo TIMSS'!$A$5:$A$107,0)),"Pendiente de clasificar")))</f>
        <v/>
      </c>
      <c r="O1253" s="11">
        <f>IF(L1253="","",IFERROR(INDEX('Datos - Catálogo TIMSS'!$C$5:$C$107,MATCH(L1253,'Datos - Catálogo TIMSS'!$A$5:$A$107,0)),"?"))</f>
        <v/>
      </c>
      <c r="P1253" s="11" t="inlineStr">
        <is>
          <t>N/A</t>
        </is>
      </c>
      <c r="Q1253" s="38" t="inlineStr">
        <is>
          <t>Sin marco TIMSS de contenido para esta asignatura en Bachillerato</t>
        </is>
      </c>
      <c r="R1253" s="38" t="inlineStr">
        <is>
          <t>Aplicar: calcular y graficar modelos de crecimiento. Razonar: seleccionar el modelo que mejor describe los datos</t>
        </is>
      </c>
      <c r="S1253" s="39">
        <f>IFERROR(ISNUMBER(SEARCH("Conocer",$R1253))/(ISNUMBER(SEARCH("Conocer",$R1253))+ISNUMBER(SEARCH("Aplicar",$R1253))+ISNUMBER(SEARCH("Razonar",$R1253))),0)</f>
        <v/>
      </c>
      <c r="T1253" s="39">
        <f>IFERROR(ISNUMBER(SEARCH("Aplicar",$R1253))/(ISNUMBER(SEARCH("Conocer",$R1253))+ISNUMBER(SEARCH("Aplicar",$R1253))+ISNUMBER(SEARCH("Razonar",$R1253))),0)</f>
        <v/>
      </c>
      <c r="U1253" s="39">
        <f>IFERROR(ISNUMBER(SEARCH("Razonar",$R1253))/(ISNUMBER(SEARCH("Conocer",$R1253))+ISNUMBER(SEARCH("Aplicar",$R1253))+ISNUMBER(SEARCH("Razonar",$R1253))),0)</f>
        <v/>
      </c>
      <c r="V1253" s="11" t="inlineStr">
        <is>
          <t>Biología 11°</t>
        </is>
      </c>
      <c r="W1253" s="11" t="inlineStr">
        <is>
          <t>Biología 10°–11°</t>
        </is>
      </c>
      <c r="X1253" s="11">
        <f>IF(OR(IFERROR(INDEX('Datos - Catálogo TIMSS'!$I$5:$I$107,MATCH(K1253,'Datos - Catálogo TIMSS'!$A$5:$A$107,0)),"No")="Sí",IFERROR(INDEX('Datos - Catálogo TIMSS'!$I$5:$I$107,MATCH(L1253,'Datos - Catálogo TIMSS'!$A$5:$A$107,0)),"No")="Sí"),1,0)</f>
        <v/>
      </c>
      <c r="Y1253" s="11">
        <f>IF(IFERROR(INDEX('Datos - Catálogo TIMSS'!$J$5:$J$107,MATCH(K1253,'Datos - Catálogo TIMSS'!$A$5:$A$107,0)),"No")="Sí",1,0)</f>
        <v/>
      </c>
      <c r="Z1253" s="11">
        <f>IF(IFERROR(INDEX('Datos - Catálogo TIMSS'!$J$5:$J$107,MATCH(L1253,'Datos - Catálogo TIMSS'!$A$5:$A$107,0)),"No")="Sí",1,0)</f>
        <v/>
      </c>
      <c r="AA1253" s="11" t="inlineStr">
        <is>
          <t>N/A</t>
        </is>
      </c>
      <c r="AB1253" s="11" t="inlineStr"/>
      <c r="AC1253" s="11">
        <f>IF(AA1253="FUERA","Fuera del marco",IF(AA1253="N/A","Sin marco",IFERROR(INDEX('Datos - TIMSS 2023'!$C$5:$C$105,MATCH(AA1253,'Datos - TIMSS 2023'!$A$5:$A$105,0)),"Pendiente de clasificar")))</f>
        <v/>
      </c>
      <c r="AD1253" s="11" t="inlineStr">
        <is>
          <t>1. Explicar fenómenos científicamente</t>
        </is>
      </c>
      <c r="AE1253" s="11">
        <f>IF(AD1253="","",IF(LEFT(AD1253,1)="1","C1",IF(LEFT(AD1253,1)="2","C2",IF(LEFT(AD1253,1)="3","C3",""))))</f>
        <v/>
      </c>
      <c r="AF1253" s="11" t="inlineStr">
        <is>
          <t>E6</t>
        </is>
      </c>
      <c r="AG1253" s="11" t="inlineStr">
        <is>
          <t>E3</t>
        </is>
      </c>
      <c r="AH1253" s="11" t="inlineStr">
        <is>
          <t>E4</t>
        </is>
      </c>
      <c r="AI1253" s="11" t="inlineStr">
        <is>
          <t>D4</t>
        </is>
      </c>
      <c r="AJ1253" s="11" t="inlineStr">
        <is>
          <t>I5</t>
        </is>
      </c>
      <c r="AK1253" s="11" t="n"/>
      <c r="AL1253" s="11" t="n"/>
      <c r="AM1253" s="11" t="n"/>
      <c r="AN1253" s="11" t="n"/>
      <c r="AO1253" s="11" t="n"/>
      <c r="AP1253" s="11" t="n"/>
      <c r="AQ1253" s="11" t="n"/>
      <c r="AR1253" s="11" t="n"/>
      <c r="AS1253" s="11" t="n"/>
      <c r="AT1253" s="11" t="n"/>
      <c r="AU1253" s="11" t="n"/>
      <c r="AV1253" s="11" t="n"/>
      <c r="AW1253" s="11">
        <f>AF1253&amp;"; "&amp;AG1253&amp;"; "&amp;AH1253&amp;"; "&amp;AI1253&amp;"; "&amp;AJ1253</f>
        <v/>
      </c>
    </row>
    <row r="1254">
      <c r="A1254" s="11" t="inlineStr">
        <is>
          <t>T0152-G11-BIO</t>
        </is>
      </c>
      <c r="B1254" s="11" t="n">
        <v>11</v>
      </c>
      <c r="C1254" s="11" t="inlineStr">
        <is>
          <t>Biología</t>
        </is>
      </c>
      <c r="D1254" s="11" t="inlineStr">
        <is>
          <t>Matriz_Bachillerato_Biologia_10_11.xlsx</t>
        </is>
      </c>
      <c r="E1254" s="11" t="inlineStr">
        <is>
          <t>Biología 11.°</t>
        </is>
      </c>
      <c r="F1254" s="11" t="n">
        <v>84</v>
      </c>
      <c r="G1254" s="11" t="inlineStr">
        <is>
          <t>7. Dinámica de poblaciones (relaciones intra e interespecíficas)</t>
        </is>
      </c>
      <c r="H1254" s="11" t="inlineStr">
        <is>
          <t>Crecimiento poblacional</t>
        </is>
      </c>
      <c r="I1254" s="38" t="inlineStr">
        <is>
          <t>7.4. Construcción de tablas de vida y curvas de supervivencia para caracterizar las estrategias r y K.</t>
        </is>
      </c>
      <c r="J1254" s="11" t="inlineStr">
        <is>
          <t>Sin marco</t>
        </is>
      </c>
      <c r="K1254" s="11" t="inlineStr">
        <is>
          <t>N/A</t>
        </is>
      </c>
      <c r="L1254" s="11" t="inlineStr"/>
      <c r="M1254" s="11">
        <f>IF(K1254="FUERA","Fuera del marco",IF(K1254="N/A","Sin marco",IFERROR(INDEX('Datos - Catálogo TIMSS'!$C$5:$C$107,MATCH(K1254,'Datos - Catálogo TIMSS'!$A$5:$A$107,0)),"Pendiente de clasificar")))</f>
        <v/>
      </c>
      <c r="N1254" s="11">
        <f>IF(K1254="FUERA","Fuera del marco",IF(K1254="N/A","Sin marco",IFERROR(INDEX('Datos - Catálogo TIMSS'!$F$5:$F$107,MATCH(K1254,'Datos - Catálogo TIMSS'!$A$5:$A$107,0)),"Pendiente de clasificar")))</f>
        <v/>
      </c>
      <c r="O1254" s="11">
        <f>IF(L1254="","",IFERROR(INDEX('Datos - Catálogo TIMSS'!$C$5:$C$107,MATCH(L1254,'Datos - Catálogo TIMSS'!$A$5:$A$107,0)),"?"))</f>
        <v/>
      </c>
      <c r="P1254" s="11" t="inlineStr">
        <is>
          <t>N/A</t>
        </is>
      </c>
      <c r="Q1254" s="38" t="inlineStr">
        <is>
          <t>Sin marco TIMSS de contenido para esta asignatura en Bachillerato</t>
        </is>
      </c>
      <c r="R1254" s="38" t="inlineStr">
        <is>
          <t>Aplicar: construir tablas de vida y curvas de supervivencia. Razonar: clasificar estrategias con datos</t>
        </is>
      </c>
      <c r="S1254" s="39">
        <f>IFERROR(ISNUMBER(SEARCH("Conocer",$R1254))/(ISNUMBER(SEARCH("Conocer",$R1254))+ISNUMBER(SEARCH("Aplicar",$R1254))+ISNUMBER(SEARCH("Razonar",$R1254))),0)</f>
        <v/>
      </c>
      <c r="T1254" s="39">
        <f>IFERROR(ISNUMBER(SEARCH("Aplicar",$R1254))/(ISNUMBER(SEARCH("Conocer",$R1254))+ISNUMBER(SEARCH("Aplicar",$R1254))+ISNUMBER(SEARCH("Razonar",$R1254))),0)</f>
        <v/>
      </c>
      <c r="U1254" s="39">
        <f>IFERROR(ISNUMBER(SEARCH("Razonar",$R1254))/(ISNUMBER(SEARCH("Conocer",$R1254))+ISNUMBER(SEARCH("Aplicar",$R1254))+ISNUMBER(SEARCH("Razonar",$R1254))),0)</f>
        <v/>
      </c>
      <c r="V1254" s="11" t="inlineStr">
        <is>
          <t>Biología 11°</t>
        </is>
      </c>
      <c r="W1254" s="11" t="inlineStr">
        <is>
          <t>Biología 10°–11°</t>
        </is>
      </c>
      <c r="X1254" s="11">
        <f>IF(OR(IFERROR(INDEX('Datos - Catálogo TIMSS'!$I$5:$I$107,MATCH(K1254,'Datos - Catálogo TIMSS'!$A$5:$A$107,0)),"No")="Sí",IFERROR(INDEX('Datos - Catálogo TIMSS'!$I$5:$I$107,MATCH(L1254,'Datos - Catálogo TIMSS'!$A$5:$A$107,0)),"No")="Sí"),1,0)</f>
        <v/>
      </c>
      <c r="Y1254" s="11">
        <f>IF(IFERROR(INDEX('Datos - Catálogo TIMSS'!$J$5:$J$107,MATCH(K1254,'Datos - Catálogo TIMSS'!$A$5:$A$107,0)),"No")="Sí",1,0)</f>
        <v/>
      </c>
      <c r="Z1254" s="11">
        <f>IF(IFERROR(INDEX('Datos - Catálogo TIMSS'!$J$5:$J$107,MATCH(L1254,'Datos - Catálogo TIMSS'!$A$5:$A$107,0)),"No")="Sí",1,0)</f>
        <v/>
      </c>
      <c r="AA1254" s="11" t="inlineStr">
        <is>
          <t>N/A</t>
        </is>
      </c>
      <c r="AB1254" s="11" t="inlineStr"/>
      <c r="AC1254" s="11">
        <f>IF(AA1254="FUERA","Fuera del marco",IF(AA1254="N/A","Sin marco",IFERROR(INDEX('Datos - TIMSS 2023'!$C$5:$C$105,MATCH(AA1254,'Datos - TIMSS 2023'!$A$5:$A$105,0)),"Pendiente de clasificar")))</f>
        <v/>
      </c>
      <c r="AD1254" s="11" t="inlineStr">
        <is>
          <t>2. Construir y evaluar diseños para la indagación científica e interpretar datos y evidencia de forma crítica</t>
        </is>
      </c>
      <c r="AE1254" s="11">
        <f>IF(AD1254="","",IF(LEFT(AD1254,1)="1","C1",IF(LEFT(AD1254,1)="2","C2",IF(LEFT(AD1254,1)="3","C3",""))))</f>
        <v/>
      </c>
      <c r="AF1254" s="11" t="inlineStr">
        <is>
          <t>E1</t>
        </is>
      </c>
      <c r="AG1254" s="11" t="inlineStr">
        <is>
          <t>E5</t>
        </is>
      </c>
      <c r="AH1254" s="11" t="inlineStr">
        <is>
          <t>E2</t>
        </is>
      </c>
      <c r="AI1254" s="11" t="inlineStr">
        <is>
          <t>D4</t>
        </is>
      </c>
      <c r="AJ1254" s="11" t="inlineStr">
        <is>
          <t>E3</t>
        </is>
      </c>
      <c r="AK1254" s="11" t="n"/>
      <c r="AL1254" s="11" t="n"/>
      <c r="AM1254" s="11" t="n"/>
      <c r="AN1254" s="11" t="n"/>
      <c r="AO1254" s="11" t="n"/>
      <c r="AP1254" s="11" t="n"/>
      <c r="AQ1254" s="11" t="n"/>
      <c r="AR1254" s="11" t="n"/>
      <c r="AS1254" s="11" t="n"/>
      <c r="AT1254" s="11" t="n"/>
      <c r="AU1254" s="11" t="n"/>
      <c r="AV1254" s="11" t="n"/>
      <c r="AW1254" s="11">
        <f>AF1254&amp;"; "&amp;AG1254&amp;"; "&amp;AH1254&amp;"; "&amp;AI1254&amp;"; "&amp;AJ1254</f>
        <v/>
      </c>
    </row>
    <row r="1255">
      <c r="A1255" s="11" t="inlineStr">
        <is>
          <t>T0153-G11-BIO</t>
        </is>
      </c>
      <c r="B1255" s="11" t="n">
        <v>11</v>
      </c>
      <c r="C1255" s="11" t="inlineStr">
        <is>
          <t>Biología</t>
        </is>
      </c>
      <c r="D1255" s="11" t="inlineStr">
        <is>
          <t>Matriz_Bachillerato_Biologia_10_11.xlsx</t>
        </is>
      </c>
      <c r="E1255" s="11" t="inlineStr">
        <is>
          <t>Biología 11.°</t>
        </is>
      </c>
      <c r="F1255" s="11" t="n">
        <v>85</v>
      </c>
      <c r="G1255" s="11" t="inlineStr">
        <is>
          <t>7. Dinámica de poblaciones (relaciones intra e interespecíficas)</t>
        </is>
      </c>
      <c r="H1255" s="11" t="inlineStr">
        <is>
          <t>Relaciones entre organismos</t>
        </is>
      </c>
      <c r="I1255" s="38" t="inlineStr">
        <is>
          <t>7.5. Análisis de relaciones intraespecíficas y de su efecto dependiente de la densidad sobre el crecimiento poblacional.</t>
        </is>
      </c>
      <c r="J1255" s="11" t="inlineStr">
        <is>
          <t>Sin marco</t>
        </is>
      </c>
      <c r="K1255" s="11" t="inlineStr">
        <is>
          <t>N/A</t>
        </is>
      </c>
      <c r="L1255" s="11" t="inlineStr"/>
      <c r="M1255" s="11">
        <f>IF(K1255="FUERA","Fuera del marco",IF(K1255="N/A","Sin marco",IFERROR(INDEX('Datos - Catálogo TIMSS'!$C$5:$C$107,MATCH(K1255,'Datos - Catálogo TIMSS'!$A$5:$A$107,0)),"Pendiente de clasificar")))</f>
        <v/>
      </c>
      <c r="N1255" s="11">
        <f>IF(K1255="FUERA","Fuera del marco",IF(K1255="N/A","Sin marco",IFERROR(INDEX('Datos - Catálogo TIMSS'!$F$5:$F$107,MATCH(K1255,'Datos - Catálogo TIMSS'!$A$5:$A$107,0)),"Pendiente de clasificar")))</f>
        <v/>
      </c>
      <c r="O1255" s="11">
        <f>IF(L1255="","",IFERROR(INDEX('Datos - Catálogo TIMSS'!$C$5:$C$107,MATCH(L1255,'Datos - Catálogo TIMSS'!$A$5:$A$107,0)),"?"))</f>
        <v/>
      </c>
      <c r="P1255" s="11" t="inlineStr">
        <is>
          <t>N/A</t>
        </is>
      </c>
      <c r="Q1255" s="38" t="inlineStr">
        <is>
          <t>Sin marco TIMSS de contenido para esta asignatura en Bachillerato</t>
        </is>
      </c>
      <c r="R1255" s="38" t="inlineStr">
        <is>
          <t>Conocer: clasificar relaciones intraespecíficas. Aplicar: analizar datos de densidad. Razonar: explicar la regulación dependiente de la densidad</t>
        </is>
      </c>
      <c r="S1255" s="39">
        <f>IFERROR(ISNUMBER(SEARCH("Conocer",$R1255))/(ISNUMBER(SEARCH("Conocer",$R1255))+ISNUMBER(SEARCH("Aplicar",$R1255))+ISNUMBER(SEARCH("Razonar",$R1255))),0)</f>
        <v/>
      </c>
      <c r="T1255" s="39">
        <f>IFERROR(ISNUMBER(SEARCH("Aplicar",$R1255))/(ISNUMBER(SEARCH("Conocer",$R1255))+ISNUMBER(SEARCH("Aplicar",$R1255))+ISNUMBER(SEARCH("Razonar",$R1255))),0)</f>
        <v/>
      </c>
      <c r="U1255" s="39">
        <f>IFERROR(ISNUMBER(SEARCH("Razonar",$R1255))/(ISNUMBER(SEARCH("Conocer",$R1255))+ISNUMBER(SEARCH("Aplicar",$R1255))+ISNUMBER(SEARCH("Razonar",$R1255))),0)</f>
        <v/>
      </c>
      <c r="V1255" s="11" t="inlineStr">
        <is>
          <t>Biología 11°</t>
        </is>
      </c>
      <c r="W1255" s="11" t="inlineStr">
        <is>
          <t>Biología 10°–11°</t>
        </is>
      </c>
      <c r="X1255" s="11">
        <f>IF(OR(IFERROR(INDEX('Datos - Catálogo TIMSS'!$I$5:$I$107,MATCH(K1255,'Datos - Catálogo TIMSS'!$A$5:$A$107,0)),"No")="Sí",IFERROR(INDEX('Datos - Catálogo TIMSS'!$I$5:$I$107,MATCH(L1255,'Datos - Catálogo TIMSS'!$A$5:$A$107,0)),"No")="Sí"),1,0)</f>
        <v/>
      </c>
      <c r="Y1255" s="11">
        <f>IF(IFERROR(INDEX('Datos - Catálogo TIMSS'!$J$5:$J$107,MATCH(K1255,'Datos - Catálogo TIMSS'!$A$5:$A$107,0)),"No")="Sí",1,0)</f>
        <v/>
      </c>
      <c r="Z1255" s="11">
        <f>IF(IFERROR(INDEX('Datos - Catálogo TIMSS'!$J$5:$J$107,MATCH(L1255,'Datos - Catálogo TIMSS'!$A$5:$A$107,0)),"No")="Sí",1,0)</f>
        <v/>
      </c>
      <c r="AA1255" s="11" t="inlineStr">
        <is>
          <t>N/A</t>
        </is>
      </c>
      <c r="AB1255" s="11" t="inlineStr"/>
      <c r="AC1255" s="11">
        <f>IF(AA1255="FUERA","Fuera del marco",IF(AA1255="N/A","Sin marco",IFERROR(INDEX('Datos - TIMSS 2023'!$C$5:$C$105,MATCH(AA1255,'Datos - TIMSS 2023'!$A$5:$A$105,0)),"Pendiente de clasificar")))</f>
        <v/>
      </c>
      <c r="AD1255" s="11" t="inlineStr">
        <is>
          <t>1. Explicar fenómenos científicamente</t>
        </is>
      </c>
      <c r="AE1255" s="11">
        <f>IF(AD1255="","",IF(LEFT(AD1255,1)="1","C1",IF(LEFT(AD1255,1)="2","C2",IF(LEFT(AD1255,1)="3","C3",""))))</f>
        <v/>
      </c>
      <c r="AF1255" s="11" t="inlineStr">
        <is>
          <t>E1</t>
        </is>
      </c>
      <c r="AG1255" s="11" t="inlineStr">
        <is>
          <t>D1</t>
        </is>
      </c>
      <c r="AH1255" s="11" t="inlineStr">
        <is>
          <t>E1</t>
        </is>
      </c>
      <c r="AI1255" s="11" t="inlineStr">
        <is>
          <t>D4</t>
        </is>
      </c>
      <c r="AJ1255" s="11" t="inlineStr">
        <is>
          <t>E6</t>
        </is>
      </c>
      <c r="AK1255" s="11" t="n"/>
      <c r="AL1255" s="11" t="n"/>
      <c r="AM1255" s="11" t="n"/>
      <c r="AN1255" s="11" t="n"/>
      <c r="AO1255" s="11" t="n"/>
      <c r="AP1255" s="11" t="n"/>
      <c r="AQ1255" s="11" t="n"/>
      <c r="AR1255" s="11" t="n"/>
      <c r="AS1255" s="11" t="n"/>
      <c r="AT1255" s="11" t="n"/>
      <c r="AU1255" s="11" t="n"/>
      <c r="AV1255" s="11" t="n"/>
      <c r="AW1255" s="11">
        <f>AF1255&amp;"; "&amp;AG1255&amp;"; "&amp;AH1255&amp;"; "&amp;AI1255&amp;"; "&amp;AJ1255</f>
        <v/>
      </c>
    </row>
    <row r="1256">
      <c r="A1256" s="11" t="inlineStr">
        <is>
          <t>T0154-G11-BIO</t>
        </is>
      </c>
      <c r="B1256" s="11" t="n">
        <v>11</v>
      </c>
      <c r="C1256" s="11" t="inlineStr">
        <is>
          <t>Biología</t>
        </is>
      </c>
      <c r="D1256" s="11" t="inlineStr">
        <is>
          <t>Matriz_Bachillerato_Biologia_10_11.xlsx</t>
        </is>
      </c>
      <c r="E1256" s="11" t="inlineStr">
        <is>
          <t>Biología 11.°</t>
        </is>
      </c>
      <c r="F1256" s="11" t="n">
        <v>86</v>
      </c>
      <c r="G1256" s="11" t="inlineStr">
        <is>
          <t>7. Dinámica de poblaciones (relaciones intra e interespecíficas)</t>
        </is>
      </c>
      <c r="H1256" s="11" t="inlineStr">
        <is>
          <t>Relaciones entre organismos</t>
        </is>
      </c>
      <c r="I1256" s="38" t="inlineStr">
        <is>
          <t>7.6. Modelización de la relación depredador-presa con las ecuaciones de Lotka-Volterra y comparación con datos históricos.</t>
        </is>
      </c>
      <c r="J1256" s="11" t="inlineStr">
        <is>
          <t>Sin marco</t>
        </is>
      </c>
      <c r="K1256" s="11" t="inlineStr">
        <is>
          <t>N/A</t>
        </is>
      </c>
      <c r="L1256" s="11" t="inlineStr"/>
      <c r="M1256" s="11">
        <f>IF(K1256="FUERA","Fuera del marco",IF(K1256="N/A","Sin marco",IFERROR(INDEX('Datos - Catálogo TIMSS'!$C$5:$C$107,MATCH(K1256,'Datos - Catálogo TIMSS'!$A$5:$A$107,0)),"Pendiente de clasificar")))</f>
        <v/>
      </c>
      <c r="N1256" s="11">
        <f>IF(K1256="FUERA","Fuera del marco",IF(K1256="N/A","Sin marco",IFERROR(INDEX('Datos - Catálogo TIMSS'!$F$5:$F$107,MATCH(K1256,'Datos - Catálogo TIMSS'!$A$5:$A$107,0)),"Pendiente de clasificar")))</f>
        <v/>
      </c>
      <c r="O1256" s="11">
        <f>IF(L1256="","",IFERROR(INDEX('Datos - Catálogo TIMSS'!$C$5:$C$107,MATCH(L1256,'Datos - Catálogo TIMSS'!$A$5:$A$107,0)),"?"))</f>
        <v/>
      </c>
      <c r="P1256" s="11" t="inlineStr">
        <is>
          <t>N/A</t>
        </is>
      </c>
      <c r="Q1256" s="38" t="inlineStr">
        <is>
          <t>Sin marco TIMSS de contenido para esta asignatura en Bachillerato</t>
        </is>
      </c>
      <c r="R1256" s="38" t="inlineStr">
        <is>
          <t>Aplicar: simular un modelo de ecuaciones acopladas. Razonar: contrastar un modelo con datos y evaluar sus supuestos</t>
        </is>
      </c>
      <c r="S1256" s="39">
        <f>IFERROR(ISNUMBER(SEARCH("Conocer",$R1256))/(ISNUMBER(SEARCH("Conocer",$R1256))+ISNUMBER(SEARCH("Aplicar",$R1256))+ISNUMBER(SEARCH("Razonar",$R1256))),0)</f>
        <v/>
      </c>
      <c r="T1256" s="39">
        <f>IFERROR(ISNUMBER(SEARCH("Aplicar",$R1256))/(ISNUMBER(SEARCH("Conocer",$R1256))+ISNUMBER(SEARCH("Aplicar",$R1256))+ISNUMBER(SEARCH("Razonar",$R1256))),0)</f>
        <v/>
      </c>
      <c r="U1256" s="39">
        <f>IFERROR(ISNUMBER(SEARCH("Razonar",$R1256))/(ISNUMBER(SEARCH("Conocer",$R1256))+ISNUMBER(SEARCH("Aplicar",$R1256))+ISNUMBER(SEARCH("Razonar",$R1256))),0)</f>
        <v/>
      </c>
      <c r="V1256" s="11" t="inlineStr">
        <is>
          <t>Biología 11°</t>
        </is>
      </c>
      <c r="W1256" s="11" t="inlineStr">
        <is>
          <t>Biología 10°–11°</t>
        </is>
      </c>
      <c r="X1256" s="11">
        <f>IF(OR(IFERROR(INDEX('Datos - Catálogo TIMSS'!$I$5:$I$107,MATCH(K1256,'Datos - Catálogo TIMSS'!$A$5:$A$107,0)),"No")="Sí",IFERROR(INDEX('Datos - Catálogo TIMSS'!$I$5:$I$107,MATCH(L1256,'Datos - Catálogo TIMSS'!$A$5:$A$107,0)),"No")="Sí"),1,0)</f>
        <v/>
      </c>
      <c r="Y1256" s="11">
        <f>IF(IFERROR(INDEX('Datos - Catálogo TIMSS'!$J$5:$J$107,MATCH(K1256,'Datos - Catálogo TIMSS'!$A$5:$A$107,0)),"No")="Sí",1,0)</f>
        <v/>
      </c>
      <c r="Z1256" s="11">
        <f>IF(IFERROR(INDEX('Datos - Catálogo TIMSS'!$J$5:$J$107,MATCH(L1256,'Datos - Catálogo TIMSS'!$A$5:$A$107,0)),"No")="Sí",1,0)</f>
        <v/>
      </c>
      <c r="AA1256" s="11" t="inlineStr">
        <is>
          <t>N/A</t>
        </is>
      </c>
      <c r="AB1256" s="11" t="inlineStr"/>
      <c r="AC1256" s="11">
        <f>IF(AA1256="FUERA","Fuera del marco",IF(AA1256="N/A","Sin marco",IFERROR(INDEX('Datos - TIMSS 2023'!$C$5:$C$105,MATCH(AA1256,'Datos - TIMSS 2023'!$A$5:$A$105,0)),"Pendiente de clasificar")))</f>
        <v/>
      </c>
      <c r="AD1256" s="11" t="inlineStr">
        <is>
          <t>1. Explicar fenómenos científicamente</t>
        </is>
      </c>
      <c r="AE1256" s="11">
        <f>IF(AD1256="","",IF(LEFT(AD1256,1)="1","C1",IF(LEFT(AD1256,1)="2","C2",IF(LEFT(AD1256,1)="3","C3",""))))</f>
        <v/>
      </c>
      <c r="AF1256" s="11" t="inlineStr">
        <is>
          <t>E1</t>
        </is>
      </c>
      <c r="AG1256" s="11" t="inlineStr">
        <is>
          <t>E3</t>
        </is>
      </c>
      <c r="AH1256" s="11" t="inlineStr">
        <is>
          <t>E4</t>
        </is>
      </c>
      <c r="AI1256" s="11" t="inlineStr">
        <is>
          <t>D4</t>
        </is>
      </c>
      <c r="AJ1256" s="11" t="inlineStr">
        <is>
          <t>D3</t>
        </is>
      </c>
      <c r="AK1256" s="11" t="n"/>
      <c r="AL1256" s="11" t="n"/>
      <c r="AM1256" s="11" t="n"/>
      <c r="AN1256" s="11" t="n"/>
      <c r="AO1256" s="11" t="n"/>
      <c r="AP1256" s="11" t="n"/>
      <c r="AQ1256" s="11" t="n"/>
      <c r="AR1256" s="11" t="n"/>
      <c r="AS1256" s="11" t="n"/>
      <c r="AT1256" s="11" t="n"/>
      <c r="AU1256" s="11" t="n"/>
      <c r="AV1256" s="11" t="n"/>
      <c r="AW1256" s="11">
        <f>AF1256&amp;"; "&amp;AG1256&amp;"; "&amp;AH1256&amp;"; "&amp;AI1256&amp;"; "&amp;AJ1256</f>
        <v/>
      </c>
    </row>
    <row r="1257">
      <c r="A1257" s="11" t="inlineStr">
        <is>
          <t>T0155-G11-BIO</t>
        </is>
      </c>
      <c r="B1257" s="11" t="n">
        <v>11</v>
      </c>
      <c r="C1257" s="11" t="inlineStr">
        <is>
          <t>Biología</t>
        </is>
      </c>
      <c r="D1257" s="11" t="inlineStr">
        <is>
          <t>Matriz_Bachillerato_Biologia_10_11.xlsx</t>
        </is>
      </c>
      <c r="E1257" s="11" t="inlineStr">
        <is>
          <t>Biología 11.°</t>
        </is>
      </c>
      <c r="F1257" s="11" t="n">
        <v>87</v>
      </c>
      <c r="G1257" s="11" t="inlineStr">
        <is>
          <t>7. Dinámica de poblaciones (relaciones intra e interespecíficas)</t>
        </is>
      </c>
      <c r="H1257" s="11" t="inlineStr">
        <is>
          <t>Poblaciones y conservación</t>
        </is>
      </c>
      <c r="I1257" s="38" t="inlineStr">
        <is>
          <t>7.7. Análisis de datos de anidación y de viveros de tortugas marinas para evaluar medidas de conservación.</t>
        </is>
      </c>
      <c r="J1257" s="11" t="inlineStr">
        <is>
          <t>Sin marco</t>
        </is>
      </c>
      <c r="K1257" s="11" t="inlineStr">
        <is>
          <t>N/A</t>
        </is>
      </c>
      <c r="L1257" s="11" t="inlineStr"/>
      <c r="M1257" s="11">
        <f>IF(K1257="FUERA","Fuera del marco",IF(K1257="N/A","Sin marco",IFERROR(INDEX('Datos - Catálogo TIMSS'!$C$5:$C$107,MATCH(K1257,'Datos - Catálogo TIMSS'!$A$5:$A$107,0)),"Pendiente de clasificar")))</f>
        <v/>
      </c>
      <c r="N1257" s="11">
        <f>IF(K1257="FUERA","Fuera del marco",IF(K1257="N/A","Sin marco",IFERROR(INDEX('Datos - Catálogo TIMSS'!$F$5:$F$107,MATCH(K1257,'Datos - Catálogo TIMSS'!$A$5:$A$107,0)),"Pendiente de clasificar")))</f>
        <v/>
      </c>
      <c r="O1257" s="11">
        <f>IF(L1257="","",IFERROR(INDEX('Datos - Catálogo TIMSS'!$C$5:$C$107,MATCH(L1257,'Datos - Catálogo TIMSS'!$A$5:$A$107,0)),"?"))</f>
        <v/>
      </c>
      <c r="P1257" s="11" t="inlineStr">
        <is>
          <t>N/A</t>
        </is>
      </c>
      <c r="Q1257" s="38" t="inlineStr">
        <is>
          <t>Sin marco TIMSS de contenido para esta asignatura en Bachillerato</t>
        </is>
      </c>
      <c r="R1257" s="38" t="inlineStr">
        <is>
          <t>Aplicar: estimar supervivencia con tablas de vida. Razonar: evaluar medidas de conservación con datos</t>
        </is>
      </c>
      <c r="S1257" s="39">
        <f>IFERROR(ISNUMBER(SEARCH("Conocer",$R1257))/(ISNUMBER(SEARCH("Conocer",$R1257))+ISNUMBER(SEARCH("Aplicar",$R1257))+ISNUMBER(SEARCH("Razonar",$R1257))),0)</f>
        <v/>
      </c>
      <c r="T1257" s="39">
        <f>IFERROR(ISNUMBER(SEARCH("Aplicar",$R1257))/(ISNUMBER(SEARCH("Conocer",$R1257))+ISNUMBER(SEARCH("Aplicar",$R1257))+ISNUMBER(SEARCH("Razonar",$R1257))),0)</f>
        <v/>
      </c>
      <c r="U1257" s="39">
        <f>IFERROR(ISNUMBER(SEARCH("Razonar",$R1257))/(ISNUMBER(SEARCH("Conocer",$R1257))+ISNUMBER(SEARCH("Aplicar",$R1257))+ISNUMBER(SEARCH("Razonar",$R1257))),0)</f>
        <v/>
      </c>
      <c r="V1257" s="11" t="inlineStr">
        <is>
          <t>Biología 11°</t>
        </is>
      </c>
      <c r="W1257" s="11" t="inlineStr">
        <is>
          <t>Biología 10°–11°</t>
        </is>
      </c>
      <c r="X1257" s="11">
        <f>IF(OR(IFERROR(INDEX('Datos - Catálogo TIMSS'!$I$5:$I$107,MATCH(K1257,'Datos - Catálogo TIMSS'!$A$5:$A$107,0)),"No")="Sí",IFERROR(INDEX('Datos - Catálogo TIMSS'!$I$5:$I$107,MATCH(L1257,'Datos - Catálogo TIMSS'!$A$5:$A$107,0)),"No")="Sí"),1,0)</f>
        <v/>
      </c>
      <c r="Y1257" s="11">
        <f>IF(IFERROR(INDEX('Datos - Catálogo TIMSS'!$J$5:$J$107,MATCH(K1257,'Datos - Catálogo TIMSS'!$A$5:$A$107,0)),"No")="Sí",1,0)</f>
        <v/>
      </c>
      <c r="Z1257" s="11">
        <f>IF(IFERROR(INDEX('Datos - Catálogo TIMSS'!$J$5:$J$107,MATCH(L1257,'Datos - Catálogo TIMSS'!$A$5:$A$107,0)),"No")="Sí",1,0)</f>
        <v/>
      </c>
      <c r="AA1257" s="11" t="inlineStr">
        <is>
          <t>N/A</t>
        </is>
      </c>
      <c r="AB1257" s="11" t="inlineStr"/>
      <c r="AC1257" s="11">
        <f>IF(AA1257="FUERA","Fuera del marco",IF(AA1257="N/A","Sin marco",IFERROR(INDEX('Datos - TIMSS 2023'!$C$5:$C$105,MATCH(AA1257,'Datos - TIMSS 2023'!$A$5:$A$105,0)),"Pendiente de clasificar")))</f>
        <v/>
      </c>
      <c r="AD1257" s="11" t="inlineStr">
        <is>
          <t>3. Investigar, evaluar y usar información científica para tomar decisiones y actuar</t>
        </is>
      </c>
      <c r="AE1257" s="11">
        <f>IF(AD1257="","",IF(LEFT(AD1257,1)="1","C1",IF(LEFT(AD1257,1)="2","C2",IF(LEFT(AD1257,1)="3","C3",""))))</f>
        <v/>
      </c>
      <c r="AF1257" s="11" t="inlineStr">
        <is>
          <t>E6</t>
        </is>
      </c>
      <c r="AG1257" s="11" t="inlineStr">
        <is>
          <t>D1</t>
        </is>
      </c>
      <c r="AH1257" s="11" t="inlineStr">
        <is>
          <t>E4</t>
        </is>
      </c>
      <c r="AI1257" s="11" t="inlineStr">
        <is>
          <t>I3</t>
        </is>
      </c>
      <c r="AJ1257" s="11" t="inlineStr">
        <is>
          <t>I5</t>
        </is>
      </c>
      <c r="AK1257" s="11" t="n"/>
      <c r="AL1257" s="11" t="n"/>
      <c r="AM1257" s="11" t="n"/>
      <c r="AN1257" s="11" t="n"/>
      <c r="AO1257" s="11" t="n"/>
      <c r="AP1257" s="11" t="n"/>
      <c r="AQ1257" s="11" t="n"/>
      <c r="AR1257" s="11" t="n"/>
      <c r="AS1257" s="11" t="n"/>
      <c r="AT1257" s="11" t="n"/>
      <c r="AU1257" s="11" t="n"/>
      <c r="AV1257" s="11" t="n"/>
      <c r="AW1257" s="11">
        <f>AF1257&amp;"; "&amp;AG1257&amp;"; "&amp;AH1257&amp;"; "&amp;AI1257&amp;"; "&amp;AJ1257</f>
        <v/>
      </c>
    </row>
    <row r="1258">
      <c r="A1258" s="11" t="inlineStr">
        <is>
          <t>T0156-G11-BIO</t>
        </is>
      </c>
      <c r="B1258" s="11" t="n">
        <v>11</v>
      </c>
      <c r="C1258" s="11" t="inlineStr">
        <is>
          <t>Biología</t>
        </is>
      </c>
      <c r="D1258" s="11" t="inlineStr">
        <is>
          <t>Matriz_Bachillerato_Biologia_10_11.xlsx</t>
        </is>
      </c>
      <c r="E1258" s="11" t="inlineStr">
        <is>
          <t>Biología 11.°</t>
        </is>
      </c>
      <c r="F1258" s="11" t="n">
        <v>88</v>
      </c>
      <c r="G1258" s="11" t="inlineStr">
        <is>
          <t>8. Microevolución y adaptaciones</t>
        </is>
      </c>
      <c r="H1258" s="11" t="inlineStr">
        <is>
          <t>El modelo de Hardy-Weinberg</t>
        </is>
      </c>
      <c r="I1258" s="38" t="inlineStr">
        <is>
          <t>8.1. Contraste de frecuencias genotípicas observadas con las esperadas por el modelo de Hardy-Weinberg mediante la prueba de chi cuadrado.</t>
        </is>
      </c>
      <c r="J1258" s="11" t="inlineStr">
        <is>
          <t>Sin marco</t>
        </is>
      </c>
      <c r="K1258" s="11" t="inlineStr">
        <is>
          <t>N/A</t>
        </is>
      </c>
      <c r="L1258" s="11" t="inlineStr"/>
      <c r="M1258" s="11">
        <f>IF(K1258="FUERA","Fuera del marco",IF(K1258="N/A","Sin marco",IFERROR(INDEX('Datos - Catálogo TIMSS'!$C$5:$C$107,MATCH(K1258,'Datos - Catálogo TIMSS'!$A$5:$A$107,0)),"Pendiente de clasificar")))</f>
        <v/>
      </c>
      <c r="N1258" s="11">
        <f>IF(K1258="FUERA","Fuera del marco",IF(K1258="N/A","Sin marco",IFERROR(INDEX('Datos - Catálogo TIMSS'!$F$5:$F$107,MATCH(K1258,'Datos - Catálogo TIMSS'!$A$5:$A$107,0)),"Pendiente de clasificar")))</f>
        <v/>
      </c>
      <c r="O1258" s="11">
        <f>IF(L1258="","",IFERROR(INDEX('Datos - Catálogo TIMSS'!$C$5:$C$107,MATCH(L1258,'Datos - Catálogo TIMSS'!$A$5:$A$107,0)),"?"))</f>
        <v/>
      </c>
      <c r="P1258" s="11" t="inlineStr">
        <is>
          <t>N/A</t>
        </is>
      </c>
      <c r="Q1258" s="38" t="inlineStr">
        <is>
          <t>Sin marco TIMSS de contenido para esta asignatura en Bachillerato</t>
        </is>
      </c>
      <c r="R1258" s="38" t="inlineStr">
        <is>
          <t>Aplicar: calcular frecuencias esperadas y el estadístico chi cuadrado. Razonar: inferir el supuesto que se incumple</t>
        </is>
      </c>
      <c r="S1258" s="39">
        <f>IFERROR(ISNUMBER(SEARCH("Conocer",$R1258))/(ISNUMBER(SEARCH("Conocer",$R1258))+ISNUMBER(SEARCH("Aplicar",$R1258))+ISNUMBER(SEARCH("Razonar",$R1258))),0)</f>
        <v/>
      </c>
      <c r="T1258" s="39">
        <f>IFERROR(ISNUMBER(SEARCH("Aplicar",$R1258))/(ISNUMBER(SEARCH("Conocer",$R1258))+ISNUMBER(SEARCH("Aplicar",$R1258))+ISNUMBER(SEARCH("Razonar",$R1258))),0)</f>
        <v/>
      </c>
      <c r="U1258" s="39">
        <f>IFERROR(ISNUMBER(SEARCH("Razonar",$R1258))/(ISNUMBER(SEARCH("Conocer",$R1258))+ISNUMBER(SEARCH("Aplicar",$R1258))+ISNUMBER(SEARCH("Razonar",$R1258))),0)</f>
        <v/>
      </c>
      <c r="V1258" s="11" t="inlineStr">
        <is>
          <t>Biología 11°</t>
        </is>
      </c>
      <c r="W1258" s="11" t="inlineStr">
        <is>
          <t>Biología 10°–11°</t>
        </is>
      </c>
      <c r="X1258" s="11">
        <f>IF(OR(IFERROR(INDEX('Datos - Catálogo TIMSS'!$I$5:$I$107,MATCH(K1258,'Datos - Catálogo TIMSS'!$A$5:$A$107,0)),"No")="Sí",IFERROR(INDEX('Datos - Catálogo TIMSS'!$I$5:$I$107,MATCH(L1258,'Datos - Catálogo TIMSS'!$A$5:$A$107,0)),"No")="Sí"),1,0)</f>
        <v/>
      </c>
      <c r="Y1258" s="11">
        <f>IF(IFERROR(INDEX('Datos - Catálogo TIMSS'!$J$5:$J$107,MATCH(K1258,'Datos - Catálogo TIMSS'!$A$5:$A$107,0)),"No")="Sí",1,0)</f>
        <v/>
      </c>
      <c r="Z1258" s="11">
        <f>IF(IFERROR(INDEX('Datos - Catálogo TIMSS'!$J$5:$J$107,MATCH(L1258,'Datos - Catálogo TIMSS'!$A$5:$A$107,0)),"No")="Sí",1,0)</f>
        <v/>
      </c>
      <c r="AA1258" s="11" t="inlineStr">
        <is>
          <t>N/A</t>
        </is>
      </c>
      <c r="AB1258" s="11" t="inlineStr"/>
      <c r="AC1258" s="11">
        <f>IF(AA1258="FUERA","Fuera del marco",IF(AA1258="N/A","Sin marco",IFERROR(INDEX('Datos - TIMSS 2023'!$C$5:$C$105,MATCH(AA1258,'Datos - TIMSS 2023'!$A$5:$A$105,0)),"Pendiente de clasificar")))</f>
        <v/>
      </c>
      <c r="AD1258" s="11" t="inlineStr">
        <is>
          <t>2. Construir y evaluar diseños para la indagación científica e interpretar datos y evidencia de forma crítica</t>
        </is>
      </c>
      <c r="AE1258" s="11">
        <f>IF(AD1258="","",IF(LEFT(AD1258,1)="1","C1",IF(LEFT(AD1258,1)="2","C2",IF(LEFT(AD1258,1)="3","C3",""))))</f>
        <v/>
      </c>
      <c r="AF1258" s="11" t="inlineStr">
        <is>
          <t>E1</t>
        </is>
      </c>
      <c r="AG1258" s="11" t="inlineStr">
        <is>
          <t>D1</t>
        </is>
      </c>
      <c r="AH1258" s="11" t="inlineStr">
        <is>
          <t>E4</t>
        </is>
      </c>
      <c r="AI1258" s="11" t="inlineStr">
        <is>
          <t>D4</t>
        </is>
      </c>
      <c r="AJ1258" s="11" t="inlineStr">
        <is>
          <t>D3</t>
        </is>
      </c>
      <c r="AK1258" s="11" t="n"/>
      <c r="AL1258" s="11" t="n"/>
      <c r="AM1258" s="11" t="n"/>
      <c r="AN1258" s="11" t="n"/>
      <c r="AO1258" s="11" t="n"/>
      <c r="AP1258" s="11" t="n"/>
      <c r="AQ1258" s="11" t="n"/>
      <c r="AR1258" s="11" t="n"/>
      <c r="AS1258" s="11" t="n"/>
      <c r="AT1258" s="11" t="n"/>
      <c r="AU1258" s="11" t="n"/>
      <c r="AV1258" s="11" t="n"/>
      <c r="AW1258" s="11">
        <f>AF1258&amp;"; "&amp;AG1258&amp;"; "&amp;AH1258&amp;"; "&amp;AI1258&amp;"; "&amp;AJ1258</f>
        <v/>
      </c>
    </row>
    <row r="1259">
      <c r="A1259" s="11" t="inlineStr">
        <is>
          <t>T0157-G11-BIO</t>
        </is>
      </c>
      <c r="B1259" s="11" t="n">
        <v>11</v>
      </c>
      <c r="C1259" s="11" t="inlineStr">
        <is>
          <t>Biología</t>
        </is>
      </c>
      <c r="D1259" s="11" t="inlineStr">
        <is>
          <t>Matriz_Bachillerato_Biologia_10_11.xlsx</t>
        </is>
      </c>
      <c r="E1259" s="11" t="inlineStr">
        <is>
          <t>Biología 11.°</t>
        </is>
      </c>
      <c r="F1259" s="11" t="n">
        <v>89</v>
      </c>
      <c r="G1259" s="11" t="inlineStr">
        <is>
          <t>8. Microevolución y adaptaciones</t>
        </is>
      </c>
      <c r="H1259" s="11" t="inlineStr">
        <is>
          <t>Fuerzas evolutivas en acción</t>
        </is>
      </c>
      <c r="I1259" s="38" t="inlineStr">
        <is>
          <t>8.2. Simulación de la deriva génica, el efecto fundador y el cuello de botella con modelos físicos y digitales.</t>
        </is>
      </c>
      <c r="J1259" s="11" t="inlineStr">
        <is>
          <t>Sin marco</t>
        </is>
      </c>
      <c r="K1259" s="11" t="inlineStr">
        <is>
          <t>N/A</t>
        </is>
      </c>
      <c r="L1259" s="11" t="inlineStr"/>
      <c r="M1259" s="11">
        <f>IF(K1259="FUERA","Fuera del marco",IF(K1259="N/A","Sin marco",IFERROR(INDEX('Datos - Catálogo TIMSS'!$C$5:$C$107,MATCH(K1259,'Datos - Catálogo TIMSS'!$A$5:$A$107,0)),"Pendiente de clasificar")))</f>
        <v/>
      </c>
      <c r="N1259" s="11">
        <f>IF(K1259="FUERA","Fuera del marco",IF(K1259="N/A","Sin marco",IFERROR(INDEX('Datos - Catálogo TIMSS'!$F$5:$F$107,MATCH(K1259,'Datos - Catálogo TIMSS'!$A$5:$A$107,0)),"Pendiente de clasificar")))</f>
        <v/>
      </c>
      <c r="O1259" s="11">
        <f>IF(L1259="","",IFERROR(INDEX('Datos - Catálogo TIMSS'!$C$5:$C$107,MATCH(L1259,'Datos - Catálogo TIMSS'!$A$5:$A$107,0)),"?"))</f>
        <v/>
      </c>
      <c r="P1259" s="11" t="inlineStr">
        <is>
          <t>N/A</t>
        </is>
      </c>
      <c r="Q1259" s="38" t="inlineStr">
        <is>
          <t>Sin marco TIMSS de contenido para esta asignatura en Bachillerato</t>
        </is>
      </c>
      <c r="R1259" s="38" t="inlineStr">
        <is>
          <t>Aplicar: simular la deriva génica. Razonar: relacionar tamaño poblacional y pérdida de alelos</t>
        </is>
      </c>
      <c r="S1259" s="39">
        <f>IFERROR(ISNUMBER(SEARCH("Conocer",$R1259))/(ISNUMBER(SEARCH("Conocer",$R1259))+ISNUMBER(SEARCH("Aplicar",$R1259))+ISNUMBER(SEARCH("Razonar",$R1259))),0)</f>
        <v/>
      </c>
      <c r="T1259" s="39">
        <f>IFERROR(ISNUMBER(SEARCH("Aplicar",$R1259))/(ISNUMBER(SEARCH("Conocer",$R1259))+ISNUMBER(SEARCH("Aplicar",$R1259))+ISNUMBER(SEARCH("Razonar",$R1259))),0)</f>
        <v/>
      </c>
      <c r="U1259" s="39">
        <f>IFERROR(ISNUMBER(SEARCH("Razonar",$R1259))/(ISNUMBER(SEARCH("Conocer",$R1259))+ISNUMBER(SEARCH("Aplicar",$R1259))+ISNUMBER(SEARCH("Razonar",$R1259))),0)</f>
        <v/>
      </c>
      <c r="V1259" s="11" t="inlineStr">
        <is>
          <t>Biología 11°</t>
        </is>
      </c>
      <c r="W1259" s="11" t="inlineStr">
        <is>
          <t>Biología 10°–11°</t>
        </is>
      </c>
      <c r="X1259" s="11">
        <f>IF(OR(IFERROR(INDEX('Datos - Catálogo TIMSS'!$I$5:$I$107,MATCH(K1259,'Datos - Catálogo TIMSS'!$A$5:$A$107,0)),"No")="Sí",IFERROR(INDEX('Datos - Catálogo TIMSS'!$I$5:$I$107,MATCH(L1259,'Datos - Catálogo TIMSS'!$A$5:$A$107,0)),"No")="Sí"),1,0)</f>
        <v/>
      </c>
      <c r="Y1259" s="11">
        <f>IF(IFERROR(INDEX('Datos - Catálogo TIMSS'!$J$5:$J$107,MATCH(K1259,'Datos - Catálogo TIMSS'!$A$5:$A$107,0)),"No")="Sí",1,0)</f>
        <v/>
      </c>
      <c r="Z1259" s="11">
        <f>IF(IFERROR(INDEX('Datos - Catálogo TIMSS'!$J$5:$J$107,MATCH(L1259,'Datos - Catálogo TIMSS'!$A$5:$A$107,0)),"No")="Sí",1,0)</f>
        <v/>
      </c>
      <c r="AA1259" s="11" t="inlineStr">
        <is>
          <t>N/A</t>
        </is>
      </c>
      <c r="AB1259" s="11" t="inlineStr"/>
      <c r="AC1259" s="11">
        <f>IF(AA1259="FUERA","Fuera del marco",IF(AA1259="N/A","Sin marco",IFERROR(INDEX('Datos - TIMSS 2023'!$C$5:$C$105,MATCH(AA1259,'Datos - TIMSS 2023'!$A$5:$A$105,0)),"Pendiente de clasificar")))</f>
        <v/>
      </c>
      <c r="AD1259" s="11" t="inlineStr">
        <is>
          <t>2. Construir y evaluar diseños para la indagación científica e interpretar datos y evidencia de forma crítica</t>
        </is>
      </c>
      <c r="AE1259" s="11">
        <f>IF(AD1259="","",IF(LEFT(AD1259,1)="1","C1",IF(LEFT(AD1259,1)="2","C2",IF(LEFT(AD1259,1)="3","C3",""))))</f>
        <v/>
      </c>
      <c r="AF1259" s="11" t="inlineStr">
        <is>
          <t>E6</t>
        </is>
      </c>
      <c r="AG1259" s="11" t="inlineStr">
        <is>
          <t>E3</t>
        </is>
      </c>
      <c r="AH1259" s="11" t="inlineStr">
        <is>
          <t>E4</t>
        </is>
      </c>
      <c r="AI1259" s="11" t="inlineStr">
        <is>
          <t>D4</t>
        </is>
      </c>
      <c r="AJ1259" s="11" t="inlineStr">
        <is>
          <t>E3</t>
        </is>
      </c>
      <c r="AK1259" s="11" t="n"/>
      <c r="AL1259" s="11" t="n"/>
      <c r="AM1259" s="11" t="n"/>
      <c r="AN1259" s="11" t="n"/>
      <c r="AO1259" s="11" t="n"/>
      <c r="AP1259" s="11" t="n"/>
      <c r="AQ1259" s="11" t="n"/>
      <c r="AR1259" s="11" t="n"/>
      <c r="AS1259" s="11" t="n"/>
      <c r="AT1259" s="11" t="n"/>
      <c r="AU1259" s="11" t="n"/>
      <c r="AV1259" s="11" t="n"/>
      <c r="AW1259" s="11">
        <f>AF1259&amp;"; "&amp;AG1259&amp;"; "&amp;AH1259&amp;"; "&amp;AI1259&amp;"; "&amp;AJ1259</f>
        <v/>
      </c>
    </row>
    <row r="1260">
      <c r="A1260" s="11" t="inlineStr">
        <is>
          <t>T0158-G11-BIO</t>
        </is>
      </c>
      <c r="B1260" s="11" t="n">
        <v>11</v>
      </c>
      <c r="C1260" s="11" t="inlineStr">
        <is>
          <t>Biología</t>
        </is>
      </c>
      <c r="D1260" s="11" t="inlineStr">
        <is>
          <t>Matriz_Bachillerato_Biologia_10_11.xlsx</t>
        </is>
      </c>
      <c r="E1260" s="11" t="inlineStr">
        <is>
          <t>Biología 11.°</t>
        </is>
      </c>
      <c r="F1260" s="11" t="n">
        <v>90</v>
      </c>
      <c r="G1260" s="11" t="inlineStr">
        <is>
          <t>8. Microevolución y adaptaciones</t>
        </is>
      </c>
      <c r="H1260" s="11" t="inlineStr">
        <is>
          <t>Fuerzas evolutivas en acción</t>
        </is>
      </c>
      <c r="I1260" s="38" t="inlineStr">
        <is>
          <t>8.3. Análisis del efecto de la fragmentación del hábitat sobre el flujo génico y la diversidad genética de las poblaciones.</t>
        </is>
      </c>
      <c r="J1260" s="11" t="inlineStr">
        <is>
          <t>Sin marco</t>
        </is>
      </c>
      <c r="K1260" s="11" t="inlineStr">
        <is>
          <t>N/A</t>
        </is>
      </c>
      <c r="L1260" s="11" t="inlineStr"/>
      <c r="M1260" s="11">
        <f>IF(K1260="FUERA","Fuera del marco",IF(K1260="N/A","Sin marco",IFERROR(INDEX('Datos - Catálogo TIMSS'!$C$5:$C$107,MATCH(K1260,'Datos - Catálogo TIMSS'!$A$5:$A$107,0)),"Pendiente de clasificar")))</f>
        <v/>
      </c>
      <c r="N1260" s="11">
        <f>IF(K1260="FUERA","Fuera del marco",IF(K1260="N/A","Sin marco",IFERROR(INDEX('Datos - Catálogo TIMSS'!$F$5:$F$107,MATCH(K1260,'Datos - Catálogo TIMSS'!$A$5:$A$107,0)),"Pendiente de clasificar")))</f>
        <v/>
      </c>
      <c r="O1260" s="11">
        <f>IF(L1260="","",IFERROR(INDEX('Datos - Catálogo TIMSS'!$C$5:$C$107,MATCH(L1260,'Datos - Catálogo TIMSS'!$A$5:$A$107,0)),"?"))</f>
        <v/>
      </c>
      <c r="P1260" s="11" t="inlineStr">
        <is>
          <t>N/A</t>
        </is>
      </c>
      <c r="Q1260" s="38" t="inlineStr">
        <is>
          <t>Sin marco TIMSS de contenido para esta asignatura en Bachillerato</t>
        </is>
      </c>
      <c r="R1260" s="38" t="inlineStr">
        <is>
          <t>Aplicar: interpretar datos de heterocigosis. Razonar: argumentar decisiones de conservación con base genética</t>
        </is>
      </c>
      <c r="S1260" s="39">
        <f>IFERROR(ISNUMBER(SEARCH("Conocer",$R1260))/(ISNUMBER(SEARCH("Conocer",$R1260))+ISNUMBER(SEARCH("Aplicar",$R1260))+ISNUMBER(SEARCH("Razonar",$R1260))),0)</f>
        <v/>
      </c>
      <c r="T1260" s="39">
        <f>IFERROR(ISNUMBER(SEARCH("Aplicar",$R1260))/(ISNUMBER(SEARCH("Conocer",$R1260))+ISNUMBER(SEARCH("Aplicar",$R1260))+ISNUMBER(SEARCH("Razonar",$R1260))),0)</f>
        <v/>
      </c>
      <c r="U1260" s="39">
        <f>IFERROR(ISNUMBER(SEARCH("Razonar",$R1260))/(ISNUMBER(SEARCH("Conocer",$R1260))+ISNUMBER(SEARCH("Aplicar",$R1260))+ISNUMBER(SEARCH("Razonar",$R1260))),0)</f>
        <v/>
      </c>
      <c r="V1260" s="11" t="inlineStr">
        <is>
          <t>Biología 11°</t>
        </is>
      </c>
      <c r="W1260" s="11" t="inlineStr">
        <is>
          <t>Biología 10°–11°</t>
        </is>
      </c>
      <c r="X1260" s="11">
        <f>IF(OR(IFERROR(INDEX('Datos - Catálogo TIMSS'!$I$5:$I$107,MATCH(K1260,'Datos - Catálogo TIMSS'!$A$5:$A$107,0)),"No")="Sí",IFERROR(INDEX('Datos - Catálogo TIMSS'!$I$5:$I$107,MATCH(L1260,'Datos - Catálogo TIMSS'!$A$5:$A$107,0)),"No")="Sí"),1,0)</f>
        <v/>
      </c>
      <c r="Y1260" s="11">
        <f>IF(IFERROR(INDEX('Datos - Catálogo TIMSS'!$J$5:$J$107,MATCH(K1260,'Datos - Catálogo TIMSS'!$A$5:$A$107,0)),"No")="Sí",1,0)</f>
        <v/>
      </c>
      <c r="Z1260" s="11">
        <f>IF(IFERROR(INDEX('Datos - Catálogo TIMSS'!$J$5:$J$107,MATCH(L1260,'Datos - Catálogo TIMSS'!$A$5:$A$107,0)),"No")="Sí",1,0)</f>
        <v/>
      </c>
      <c r="AA1260" s="11" t="inlineStr">
        <is>
          <t>N/A</t>
        </is>
      </c>
      <c r="AB1260" s="11" t="inlineStr"/>
      <c r="AC1260" s="11">
        <f>IF(AA1260="FUERA","Fuera del marco",IF(AA1260="N/A","Sin marco",IFERROR(INDEX('Datos - TIMSS 2023'!$C$5:$C$105,MATCH(AA1260,'Datos - TIMSS 2023'!$A$5:$A$105,0)),"Pendiente de clasificar")))</f>
        <v/>
      </c>
      <c r="AD1260" s="11" t="inlineStr">
        <is>
          <t>3. Investigar, evaluar y usar información científica para tomar decisiones y actuar</t>
        </is>
      </c>
      <c r="AE1260" s="11">
        <f>IF(AD1260="","",IF(LEFT(AD1260,1)="1","C1",IF(LEFT(AD1260,1)="2","C2",IF(LEFT(AD1260,1)="3","C3",""))))</f>
        <v/>
      </c>
      <c r="AF1260" s="11" t="inlineStr">
        <is>
          <t>E1</t>
        </is>
      </c>
      <c r="AG1260" s="11" t="inlineStr">
        <is>
          <t>E5</t>
        </is>
      </c>
      <c r="AH1260" s="11" t="inlineStr">
        <is>
          <t>E4</t>
        </is>
      </c>
      <c r="AI1260" s="11" t="inlineStr">
        <is>
          <t>I3</t>
        </is>
      </c>
      <c r="AJ1260" s="11" t="inlineStr">
        <is>
          <t>I5</t>
        </is>
      </c>
      <c r="AK1260" s="11" t="n"/>
      <c r="AL1260" s="11" t="n"/>
      <c r="AM1260" s="11" t="n"/>
      <c r="AN1260" s="11" t="n"/>
      <c r="AO1260" s="11" t="n"/>
      <c r="AP1260" s="11" t="n"/>
      <c r="AQ1260" s="11" t="n"/>
      <c r="AR1260" s="11" t="n"/>
      <c r="AS1260" s="11" t="n"/>
      <c r="AT1260" s="11" t="n"/>
      <c r="AU1260" s="11" t="n"/>
      <c r="AV1260" s="11" t="n"/>
      <c r="AW1260" s="11">
        <f>AF1260&amp;"; "&amp;AG1260&amp;"; "&amp;AH1260&amp;"; "&amp;AI1260&amp;"; "&amp;AJ1260</f>
        <v/>
      </c>
    </row>
    <row r="1261">
      <c r="A1261" s="11" t="inlineStr">
        <is>
          <t>T0159-G11-BIO</t>
        </is>
      </c>
      <c r="B1261" s="11" t="n">
        <v>11</v>
      </c>
      <c r="C1261" s="11" t="inlineStr">
        <is>
          <t>Biología</t>
        </is>
      </c>
      <c r="D1261" s="11" t="inlineStr">
        <is>
          <t>Matriz_Bachillerato_Biologia_10_11.xlsx</t>
        </is>
      </c>
      <c r="E1261" s="11" t="inlineStr">
        <is>
          <t>Biología 11.°</t>
        </is>
      </c>
      <c r="F1261" s="11" t="n">
        <v>91</v>
      </c>
      <c r="G1261" s="11" t="inlineStr">
        <is>
          <t>8. Microevolución y adaptaciones</t>
        </is>
      </c>
      <c r="H1261" s="11" t="inlineStr">
        <is>
          <t>Selección natural y adaptación</t>
        </is>
      </c>
      <c r="I1261" s="38" t="inlineStr">
        <is>
          <t>8.4. Interpretación de histogramas de caracteres cuantitativos para identificar el tipo de selección que actúa sobre una población.</t>
        </is>
      </c>
      <c r="J1261" s="11" t="inlineStr">
        <is>
          <t>Sin marco</t>
        </is>
      </c>
      <c r="K1261" s="11" t="inlineStr">
        <is>
          <t>N/A</t>
        </is>
      </c>
      <c r="L1261" s="11" t="inlineStr"/>
      <c r="M1261" s="11">
        <f>IF(K1261="FUERA","Fuera del marco",IF(K1261="N/A","Sin marco",IFERROR(INDEX('Datos - Catálogo TIMSS'!$C$5:$C$107,MATCH(K1261,'Datos - Catálogo TIMSS'!$A$5:$A$107,0)),"Pendiente de clasificar")))</f>
        <v/>
      </c>
      <c r="N1261" s="11">
        <f>IF(K1261="FUERA","Fuera del marco",IF(K1261="N/A","Sin marco",IFERROR(INDEX('Datos - Catálogo TIMSS'!$F$5:$F$107,MATCH(K1261,'Datos - Catálogo TIMSS'!$A$5:$A$107,0)),"Pendiente de clasificar")))</f>
        <v/>
      </c>
      <c r="O1261" s="11">
        <f>IF(L1261="","",IFERROR(INDEX('Datos - Catálogo TIMSS'!$C$5:$C$107,MATCH(L1261,'Datos - Catálogo TIMSS'!$A$5:$A$107,0)),"?"))</f>
        <v/>
      </c>
      <c r="P1261" s="11" t="inlineStr">
        <is>
          <t>N/A</t>
        </is>
      </c>
      <c r="Q1261" s="38" t="inlineStr">
        <is>
          <t>Sin marco TIMSS de contenido para esta asignatura en Bachillerato</t>
        </is>
      </c>
      <c r="R1261" s="38" t="inlineStr">
        <is>
          <t>Aplicar: construir e interpretar histogramas. Razonar: inferir el tipo de selección a partir de cambios en la distribución</t>
        </is>
      </c>
      <c r="S1261" s="39">
        <f>IFERROR(ISNUMBER(SEARCH("Conocer",$R1261))/(ISNUMBER(SEARCH("Conocer",$R1261))+ISNUMBER(SEARCH("Aplicar",$R1261))+ISNUMBER(SEARCH("Razonar",$R1261))),0)</f>
        <v/>
      </c>
      <c r="T1261" s="39">
        <f>IFERROR(ISNUMBER(SEARCH("Aplicar",$R1261))/(ISNUMBER(SEARCH("Conocer",$R1261))+ISNUMBER(SEARCH("Aplicar",$R1261))+ISNUMBER(SEARCH("Razonar",$R1261))),0)</f>
        <v/>
      </c>
      <c r="U1261" s="39">
        <f>IFERROR(ISNUMBER(SEARCH("Razonar",$R1261))/(ISNUMBER(SEARCH("Conocer",$R1261))+ISNUMBER(SEARCH("Aplicar",$R1261))+ISNUMBER(SEARCH("Razonar",$R1261))),0)</f>
        <v/>
      </c>
      <c r="V1261" s="11" t="inlineStr">
        <is>
          <t>Biología 11°</t>
        </is>
      </c>
      <c r="W1261" s="11" t="inlineStr">
        <is>
          <t>Biología 10°–11°</t>
        </is>
      </c>
      <c r="X1261" s="11">
        <f>IF(OR(IFERROR(INDEX('Datos - Catálogo TIMSS'!$I$5:$I$107,MATCH(K1261,'Datos - Catálogo TIMSS'!$A$5:$A$107,0)),"No")="Sí",IFERROR(INDEX('Datos - Catálogo TIMSS'!$I$5:$I$107,MATCH(L1261,'Datos - Catálogo TIMSS'!$A$5:$A$107,0)),"No")="Sí"),1,0)</f>
        <v/>
      </c>
      <c r="Y1261" s="11">
        <f>IF(IFERROR(INDEX('Datos - Catálogo TIMSS'!$J$5:$J$107,MATCH(K1261,'Datos - Catálogo TIMSS'!$A$5:$A$107,0)),"No")="Sí",1,0)</f>
        <v/>
      </c>
      <c r="Z1261" s="11">
        <f>IF(IFERROR(INDEX('Datos - Catálogo TIMSS'!$J$5:$J$107,MATCH(L1261,'Datos - Catálogo TIMSS'!$A$5:$A$107,0)),"No")="Sí",1,0)</f>
        <v/>
      </c>
      <c r="AA1261" s="11" t="inlineStr">
        <is>
          <t>N/A</t>
        </is>
      </c>
      <c r="AB1261" s="11" t="inlineStr"/>
      <c r="AC1261" s="11">
        <f>IF(AA1261="FUERA","Fuera del marco",IF(AA1261="N/A","Sin marco",IFERROR(INDEX('Datos - TIMSS 2023'!$C$5:$C$105,MATCH(AA1261,'Datos - TIMSS 2023'!$A$5:$A$105,0)),"Pendiente de clasificar")))</f>
        <v/>
      </c>
      <c r="AD1261" s="11" t="inlineStr">
        <is>
          <t>2. Construir y evaluar diseños para la indagación científica e interpretar datos y evidencia de forma crítica</t>
        </is>
      </c>
      <c r="AE1261" s="11">
        <f>IF(AD1261="","",IF(LEFT(AD1261,1)="1","C1",IF(LEFT(AD1261,1)="2","C2",IF(LEFT(AD1261,1)="3","C3",""))))</f>
        <v/>
      </c>
      <c r="AF1261" s="11" t="inlineStr">
        <is>
          <t>E1</t>
        </is>
      </c>
      <c r="AG1261" s="11" t="inlineStr">
        <is>
          <t>D1</t>
        </is>
      </c>
      <c r="AH1261" s="11" t="inlineStr">
        <is>
          <t>E2</t>
        </is>
      </c>
      <c r="AI1261" s="11" t="inlineStr">
        <is>
          <t>D4</t>
        </is>
      </c>
      <c r="AJ1261" s="11" t="inlineStr">
        <is>
          <t>E3</t>
        </is>
      </c>
      <c r="AK1261" s="11" t="n"/>
      <c r="AL1261" s="11" t="n"/>
      <c r="AM1261" s="11" t="n"/>
      <c r="AN1261" s="11" t="n"/>
      <c r="AO1261" s="11" t="n"/>
      <c r="AP1261" s="11" t="n"/>
      <c r="AQ1261" s="11" t="n"/>
      <c r="AR1261" s="11" t="n"/>
      <c r="AS1261" s="11" t="n"/>
      <c r="AT1261" s="11" t="n"/>
      <c r="AU1261" s="11" t="n"/>
      <c r="AV1261" s="11" t="n"/>
      <c r="AW1261" s="11">
        <f>AF1261&amp;"; "&amp;AG1261&amp;"; "&amp;AH1261&amp;"; "&amp;AI1261&amp;"; "&amp;AJ1261</f>
        <v/>
      </c>
    </row>
    <row r="1262">
      <c r="A1262" s="11" t="inlineStr">
        <is>
          <t>T0160-G11-BIO</t>
        </is>
      </c>
      <c r="B1262" s="11" t="n">
        <v>11</v>
      </c>
      <c r="C1262" s="11" t="inlineStr">
        <is>
          <t>Biología</t>
        </is>
      </c>
      <c r="D1262" s="11" t="inlineStr">
        <is>
          <t>Matriz_Bachillerato_Biologia_10_11.xlsx</t>
        </is>
      </c>
      <c r="E1262" s="11" t="inlineStr">
        <is>
          <t>Biología 11.°</t>
        </is>
      </c>
      <c r="F1262" s="11" t="n">
        <v>92</v>
      </c>
      <c r="G1262" s="11" t="inlineStr">
        <is>
          <t>8. Microevolución y adaptaciones</t>
        </is>
      </c>
      <c r="H1262" s="11" t="inlineStr">
        <is>
          <t>Selección natural y adaptación</t>
        </is>
      </c>
      <c r="I1262" s="38" t="inlineStr">
        <is>
          <t>8.5. Clasificación de adaptaciones morfológicas, fisiológicas y conductuales de especies salvadoreñas en relación con su ambiente.</t>
        </is>
      </c>
      <c r="J1262" s="11" t="inlineStr">
        <is>
          <t>Sin marco</t>
        </is>
      </c>
      <c r="K1262" s="11" t="inlineStr">
        <is>
          <t>N/A</t>
        </is>
      </c>
      <c r="L1262" s="11" t="inlineStr"/>
      <c r="M1262" s="11">
        <f>IF(K1262="FUERA","Fuera del marco",IF(K1262="N/A","Sin marco",IFERROR(INDEX('Datos - Catálogo TIMSS'!$C$5:$C$107,MATCH(K1262,'Datos - Catálogo TIMSS'!$A$5:$A$107,0)),"Pendiente de clasificar")))</f>
        <v/>
      </c>
      <c r="N1262" s="11">
        <f>IF(K1262="FUERA","Fuera del marco",IF(K1262="N/A","Sin marco",IFERROR(INDEX('Datos - Catálogo TIMSS'!$F$5:$F$107,MATCH(K1262,'Datos - Catálogo TIMSS'!$A$5:$A$107,0)),"Pendiente de clasificar")))</f>
        <v/>
      </c>
      <c r="O1262" s="11">
        <f>IF(L1262="","",IFERROR(INDEX('Datos - Catálogo TIMSS'!$C$5:$C$107,MATCH(L1262,'Datos - Catálogo TIMSS'!$A$5:$A$107,0)),"?"))</f>
        <v/>
      </c>
      <c r="P1262" s="11" t="inlineStr">
        <is>
          <t>N/A</t>
        </is>
      </c>
      <c r="Q1262" s="38" t="inlineStr">
        <is>
          <t>Sin marco TIMSS de contenido para esta asignatura en Bachillerato</t>
        </is>
      </c>
      <c r="R1262" s="38" t="inlineStr">
        <is>
          <t>Conocer: clasificar adaptaciones. Razonar: relacionar adaptaciones con presiones selectivas del ambiente</t>
        </is>
      </c>
      <c r="S1262" s="39">
        <f>IFERROR(ISNUMBER(SEARCH("Conocer",$R1262))/(ISNUMBER(SEARCH("Conocer",$R1262))+ISNUMBER(SEARCH("Aplicar",$R1262))+ISNUMBER(SEARCH("Razonar",$R1262))),0)</f>
        <v/>
      </c>
      <c r="T1262" s="39">
        <f>IFERROR(ISNUMBER(SEARCH("Aplicar",$R1262))/(ISNUMBER(SEARCH("Conocer",$R1262))+ISNUMBER(SEARCH("Aplicar",$R1262))+ISNUMBER(SEARCH("Razonar",$R1262))),0)</f>
        <v/>
      </c>
      <c r="U1262" s="39">
        <f>IFERROR(ISNUMBER(SEARCH("Razonar",$R1262))/(ISNUMBER(SEARCH("Conocer",$R1262))+ISNUMBER(SEARCH("Aplicar",$R1262))+ISNUMBER(SEARCH("Razonar",$R1262))),0)</f>
        <v/>
      </c>
      <c r="V1262" s="11" t="inlineStr">
        <is>
          <t>Biología 11°</t>
        </is>
      </c>
      <c r="W1262" s="11" t="inlineStr">
        <is>
          <t>Biología 10°–11°</t>
        </is>
      </c>
      <c r="X1262" s="11">
        <f>IF(OR(IFERROR(INDEX('Datos - Catálogo TIMSS'!$I$5:$I$107,MATCH(K1262,'Datos - Catálogo TIMSS'!$A$5:$A$107,0)),"No")="Sí",IFERROR(INDEX('Datos - Catálogo TIMSS'!$I$5:$I$107,MATCH(L1262,'Datos - Catálogo TIMSS'!$A$5:$A$107,0)),"No")="Sí"),1,0)</f>
        <v/>
      </c>
      <c r="Y1262" s="11">
        <f>IF(IFERROR(INDEX('Datos - Catálogo TIMSS'!$J$5:$J$107,MATCH(K1262,'Datos - Catálogo TIMSS'!$A$5:$A$107,0)),"No")="Sí",1,0)</f>
        <v/>
      </c>
      <c r="Z1262" s="11">
        <f>IF(IFERROR(INDEX('Datos - Catálogo TIMSS'!$J$5:$J$107,MATCH(L1262,'Datos - Catálogo TIMSS'!$A$5:$A$107,0)),"No")="Sí",1,0)</f>
        <v/>
      </c>
      <c r="AA1262" s="11" t="inlineStr">
        <is>
          <t>N/A</t>
        </is>
      </c>
      <c r="AB1262" s="11" t="inlineStr"/>
      <c r="AC1262" s="11">
        <f>IF(AA1262="FUERA","Fuera del marco",IF(AA1262="N/A","Sin marco",IFERROR(INDEX('Datos - TIMSS 2023'!$C$5:$C$105,MATCH(AA1262,'Datos - TIMSS 2023'!$A$5:$A$105,0)),"Pendiente de clasificar")))</f>
        <v/>
      </c>
      <c r="AD1262" s="11" t="inlineStr">
        <is>
          <t>1. Explicar fenómenos científicamente</t>
        </is>
      </c>
      <c r="AE1262" s="11">
        <f>IF(AD1262="","",IF(LEFT(AD1262,1)="1","C1",IF(LEFT(AD1262,1)="2","C2",IF(LEFT(AD1262,1)="3","C3",""))))</f>
        <v/>
      </c>
      <c r="AF1262" s="11" t="inlineStr">
        <is>
          <t>E1</t>
        </is>
      </c>
      <c r="AG1262" s="11" t="inlineStr">
        <is>
          <t>E5</t>
        </is>
      </c>
      <c r="AH1262" s="11" t="inlineStr">
        <is>
          <t>E1</t>
        </is>
      </c>
      <c r="AI1262" s="11" t="inlineStr">
        <is>
          <t>I1</t>
        </is>
      </c>
      <c r="AJ1262" s="11" t="inlineStr">
        <is>
          <t>E3</t>
        </is>
      </c>
      <c r="AK1262" s="11" t="n"/>
      <c r="AL1262" s="11" t="n"/>
      <c r="AM1262" s="11" t="n"/>
      <c r="AN1262" s="11" t="n"/>
      <c r="AO1262" s="11" t="n"/>
      <c r="AP1262" s="11" t="n"/>
      <c r="AQ1262" s="11" t="n"/>
      <c r="AR1262" s="11" t="n"/>
      <c r="AS1262" s="11" t="n"/>
      <c r="AT1262" s="11" t="n"/>
      <c r="AU1262" s="11" t="n"/>
      <c r="AV1262" s="11" t="n"/>
      <c r="AW1262" s="11">
        <f>AF1262&amp;"; "&amp;AG1262&amp;"; "&amp;AH1262&amp;"; "&amp;AI1262&amp;"; "&amp;AJ1262</f>
        <v/>
      </c>
    </row>
    <row r="1263">
      <c r="A1263" s="11" t="inlineStr">
        <is>
          <t>T0161-G11-BIO</t>
        </is>
      </c>
      <c r="B1263" s="11" t="n">
        <v>11</v>
      </c>
      <c r="C1263" s="11" t="inlineStr">
        <is>
          <t>Biología</t>
        </is>
      </c>
      <c r="D1263" s="11" t="inlineStr">
        <is>
          <t>Matriz_Bachillerato_Biologia_10_11.xlsx</t>
        </is>
      </c>
      <c r="E1263" s="11" t="inlineStr">
        <is>
          <t>Biología 11.°</t>
        </is>
      </c>
      <c r="F1263" s="11" t="n">
        <v>93</v>
      </c>
      <c r="G1263" s="11" t="inlineStr">
        <is>
          <t>8. Microevolución y adaptaciones</t>
        </is>
      </c>
      <c r="H1263" s="11" t="inlineStr">
        <is>
          <t>Selección natural y adaptación</t>
        </is>
      </c>
      <c r="I1263" s="38" t="inlineStr">
        <is>
          <t>8.6. Análisis de casos de coevolución entre especies que interactúan estrechamente.</t>
        </is>
      </c>
      <c r="J1263" s="11" t="inlineStr">
        <is>
          <t>Sin marco</t>
        </is>
      </c>
      <c r="K1263" s="11" t="inlineStr">
        <is>
          <t>N/A</t>
        </is>
      </c>
      <c r="L1263" s="11" t="inlineStr"/>
      <c r="M1263" s="11">
        <f>IF(K1263="FUERA","Fuera del marco",IF(K1263="N/A","Sin marco",IFERROR(INDEX('Datos - Catálogo TIMSS'!$C$5:$C$107,MATCH(K1263,'Datos - Catálogo TIMSS'!$A$5:$A$107,0)),"Pendiente de clasificar")))</f>
        <v/>
      </c>
      <c r="N1263" s="11">
        <f>IF(K1263="FUERA","Fuera del marco",IF(K1263="N/A","Sin marco",IFERROR(INDEX('Datos - Catálogo TIMSS'!$F$5:$F$107,MATCH(K1263,'Datos - Catálogo TIMSS'!$A$5:$A$107,0)),"Pendiente de clasificar")))</f>
        <v/>
      </c>
      <c r="O1263" s="11">
        <f>IF(L1263="","",IFERROR(INDEX('Datos - Catálogo TIMSS'!$C$5:$C$107,MATCH(L1263,'Datos - Catálogo TIMSS'!$A$5:$A$107,0)),"?"))</f>
        <v/>
      </c>
      <c r="P1263" s="11" t="inlineStr">
        <is>
          <t>N/A</t>
        </is>
      </c>
      <c r="Q1263" s="38" t="inlineStr">
        <is>
          <t>Sin marco TIMSS de contenido para esta asignatura en Bachillerato</t>
        </is>
      </c>
      <c r="R1263" s="38" t="inlineStr">
        <is>
          <t>Conocer: definir coevolución. Razonar: explicar la adaptación recíproca con casos</t>
        </is>
      </c>
      <c r="S1263" s="39">
        <f>IFERROR(ISNUMBER(SEARCH("Conocer",$R1263))/(ISNUMBER(SEARCH("Conocer",$R1263))+ISNUMBER(SEARCH("Aplicar",$R1263))+ISNUMBER(SEARCH("Razonar",$R1263))),0)</f>
        <v/>
      </c>
      <c r="T1263" s="39">
        <f>IFERROR(ISNUMBER(SEARCH("Aplicar",$R1263))/(ISNUMBER(SEARCH("Conocer",$R1263))+ISNUMBER(SEARCH("Aplicar",$R1263))+ISNUMBER(SEARCH("Razonar",$R1263))),0)</f>
        <v/>
      </c>
      <c r="U1263" s="39">
        <f>IFERROR(ISNUMBER(SEARCH("Razonar",$R1263))/(ISNUMBER(SEARCH("Conocer",$R1263))+ISNUMBER(SEARCH("Aplicar",$R1263))+ISNUMBER(SEARCH("Razonar",$R1263))),0)</f>
        <v/>
      </c>
      <c r="V1263" s="11" t="inlineStr">
        <is>
          <t>Biología 11°</t>
        </is>
      </c>
      <c r="W1263" s="11" t="inlineStr">
        <is>
          <t>Biología 10°–11°</t>
        </is>
      </c>
      <c r="X1263" s="11">
        <f>IF(OR(IFERROR(INDEX('Datos - Catálogo TIMSS'!$I$5:$I$107,MATCH(K1263,'Datos - Catálogo TIMSS'!$A$5:$A$107,0)),"No")="Sí",IFERROR(INDEX('Datos - Catálogo TIMSS'!$I$5:$I$107,MATCH(L1263,'Datos - Catálogo TIMSS'!$A$5:$A$107,0)),"No")="Sí"),1,0)</f>
        <v/>
      </c>
      <c r="Y1263" s="11">
        <f>IF(IFERROR(INDEX('Datos - Catálogo TIMSS'!$J$5:$J$107,MATCH(K1263,'Datos - Catálogo TIMSS'!$A$5:$A$107,0)),"No")="Sí",1,0)</f>
        <v/>
      </c>
      <c r="Z1263" s="11">
        <f>IF(IFERROR(INDEX('Datos - Catálogo TIMSS'!$J$5:$J$107,MATCH(L1263,'Datos - Catálogo TIMSS'!$A$5:$A$107,0)),"No")="Sí",1,0)</f>
        <v/>
      </c>
      <c r="AA1263" s="11" t="inlineStr">
        <is>
          <t>N/A</t>
        </is>
      </c>
      <c r="AB1263" s="11" t="inlineStr"/>
      <c r="AC1263" s="11">
        <f>IF(AA1263="FUERA","Fuera del marco",IF(AA1263="N/A","Sin marco",IFERROR(INDEX('Datos - TIMSS 2023'!$C$5:$C$105,MATCH(AA1263,'Datos - TIMSS 2023'!$A$5:$A$105,0)),"Pendiente de clasificar")))</f>
        <v/>
      </c>
      <c r="AD1263" s="11" t="inlineStr">
        <is>
          <t>1. Explicar fenómenos científicamente</t>
        </is>
      </c>
      <c r="AE1263" s="11">
        <f>IF(AD1263="","",IF(LEFT(AD1263,1)="1","C1",IF(LEFT(AD1263,1)="2","C2",IF(LEFT(AD1263,1)="3","C3",""))))</f>
        <v/>
      </c>
      <c r="AF1263" s="11" t="inlineStr">
        <is>
          <t>E6</t>
        </is>
      </c>
      <c r="AG1263" s="11" t="inlineStr">
        <is>
          <t>D1</t>
        </is>
      </c>
      <c r="AH1263" s="11" t="inlineStr">
        <is>
          <t>E4</t>
        </is>
      </c>
      <c r="AI1263" s="11" t="inlineStr">
        <is>
          <t>I1</t>
        </is>
      </c>
      <c r="AJ1263" s="11" t="inlineStr">
        <is>
          <t>E6</t>
        </is>
      </c>
      <c r="AK1263" s="11" t="n"/>
      <c r="AL1263" s="11" t="n"/>
      <c r="AM1263" s="11" t="n"/>
      <c r="AN1263" s="11" t="n"/>
      <c r="AO1263" s="11" t="n"/>
      <c r="AP1263" s="11" t="n"/>
      <c r="AQ1263" s="11" t="n"/>
      <c r="AR1263" s="11" t="n"/>
      <c r="AS1263" s="11" t="n"/>
      <c r="AT1263" s="11" t="n"/>
      <c r="AU1263" s="11" t="n"/>
      <c r="AV1263" s="11" t="n"/>
      <c r="AW1263" s="11">
        <f>AF1263&amp;"; "&amp;AG1263&amp;"; "&amp;AH1263&amp;"; "&amp;AI1263&amp;"; "&amp;AJ1263</f>
        <v/>
      </c>
    </row>
    <row r="1264">
      <c r="A1264" s="11" t="inlineStr">
        <is>
          <t>T0162-G11-BIO</t>
        </is>
      </c>
      <c r="B1264" s="11" t="n">
        <v>11</v>
      </c>
      <c r="C1264" s="11" t="inlineStr">
        <is>
          <t>Biología</t>
        </is>
      </c>
      <c r="D1264" s="11" t="inlineStr">
        <is>
          <t>Matriz_Bachillerato_Biologia_10_11.xlsx</t>
        </is>
      </c>
      <c r="E1264" s="11" t="inlineStr">
        <is>
          <t>Biología 11.°</t>
        </is>
      </c>
      <c r="F1264" s="11" t="n">
        <v>94</v>
      </c>
      <c r="G1264" s="11" t="inlineStr">
        <is>
          <t>8. Microevolución y adaptaciones</t>
        </is>
      </c>
      <c r="H1264" s="11" t="inlineStr">
        <is>
          <t>Evolución en tiempo real</t>
        </is>
      </c>
      <c r="I1264" s="38" t="inlineStr">
        <is>
          <t>8.7. Análisis de datos publicados sobre la evolución de la resistencia a antibióticos y a plaguicidas.</t>
        </is>
      </c>
      <c r="J1264" s="11" t="inlineStr">
        <is>
          <t>Sin marco</t>
        </is>
      </c>
      <c r="K1264" s="11" t="inlineStr">
        <is>
          <t>N/A</t>
        </is>
      </c>
      <c r="L1264" s="11" t="inlineStr"/>
      <c r="M1264" s="11">
        <f>IF(K1264="FUERA","Fuera del marco",IF(K1264="N/A","Sin marco",IFERROR(INDEX('Datos - Catálogo TIMSS'!$C$5:$C$107,MATCH(K1264,'Datos - Catálogo TIMSS'!$A$5:$A$107,0)),"Pendiente de clasificar")))</f>
        <v/>
      </c>
      <c r="N1264" s="11">
        <f>IF(K1264="FUERA","Fuera del marco",IF(K1264="N/A","Sin marco",IFERROR(INDEX('Datos - Catálogo TIMSS'!$F$5:$F$107,MATCH(K1264,'Datos - Catálogo TIMSS'!$A$5:$A$107,0)),"Pendiente de clasificar")))</f>
        <v/>
      </c>
      <c r="O1264" s="11">
        <f>IF(L1264="","",IFERROR(INDEX('Datos - Catálogo TIMSS'!$C$5:$C$107,MATCH(L1264,'Datos - Catálogo TIMSS'!$A$5:$A$107,0)),"?"))</f>
        <v/>
      </c>
      <c r="P1264" s="11" t="inlineStr">
        <is>
          <t>N/A</t>
        </is>
      </c>
      <c r="Q1264" s="38" t="inlineStr">
        <is>
          <t>Sin marco TIMSS de contenido para esta asignatura en Bachillerato</t>
        </is>
      </c>
      <c r="R1264" s="38" t="inlineStr">
        <is>
          <t>Aplicar: interpretar series de datos de resistencia. Razonar: argumentar con datos el papel de la presión de selección</t>
        </is>
      </c>
      <c r="S1264" s="39">
        <f>IFERROR(ISNUMBER(SEARCH("Conocer",$R1264))/(ISNUMBER(SEARCH("Conocer",$R1264))+ISNUMBER(SEARCH("Aplicar",$R1264))+ISNUMBER(SEARCH("Razonar",$R1264))),0)</f>
        <v/>
      </c>
      <c r="T1264" s="39">
        <f>IFERROR(ISNUMBER(SEARCH("Aplicar",$R1264))/(ISNUMBER(SEARCH("Conocer",$R1264))+ISNUMBER(SEARCH("Aplicar",$R1264))+ISNUMBER(SEARCH("Razonar",$R1264))),0)</f>
        <v/>
      </c>
      <c r="U1264" s="39">
        <f>IFERROR(ISNUMBER(SEARCH("Razonar",$R1264))/(ISNUMBER(SEARCH("Conocer",$R1264))+ISNUMBER(SEARCH("Aplicar",$R1264))+ISNUMBER(SEARCH("Razonar",$R1264))),0)</f>
        <v/>
      </c>
      <c r="V1264" s="11" t="inlineStr">
        <is>
          <t>Biología 11°</t>
        </is>
      </c>
      <c r="W1264" s="11" t="inlineStr">
        <is>
          <t>Biología 10°–11°</t>
        </is>
      </c>
      <c r="X1264" s="11">
        <f>IF(OR(IFERROR(INDEX('Datos - Catálogo TIMSS'!$I$5:$I$107,MATCH(K1264,'Datos - Catálogo TIMSS'!$A$5:$A$107,0)),"No")="Sí",IFERROR(INDEX('Datos - Catálogo TIMSS'!$I$5:$I$107,MATCH(L1264,'Datos - Catálogo TIMSS'!$A$5:$A$107,0)),"No")="Sí"),1,0)</f>
        <v/>
      </c>
      <c r="Y1264" s="11">
        <f>IF(IFERROR(INDEX('Datos - Catálogo TIMSS'!$J$5:$J$107,MATCH(K1264,'Datos - Catálogo TIMSS'!$A$5:$A$107,0)),"No")="Sí",1,0)</f>
        <v/>
      </c>
      <c r="Z1264" s="11">
        <f>IF(IFERROR(INDEX('Datos - Catálogo TIMSS'!$J$5:$J$107,MATCH(L1264,'Datos - Catálogo TIMSS'!$A$5:$A$107,0)),"No")="Sí",1,0)</f>
        <v/>
      </c>
      <c r="AA1264" s="11" t="inlineStr">
        <is>
          <t>N/A</t>
        </is>
      </c>
      <c r="AB1264" s="11" t="inlineStr"/>
      <c r="AC1264" s="11">
        <f>IF(AA1264="FUERA","Fuera del marco",IF(AA1264="N/A","Sin marco",IFERROR(INDEX('Datos - TIMSS 2023'!$C$5:$C$105,MATCH(AA1264,'Datos - TIMSS 2023'!$A$5:$A$105,0)),"Pendiente de clasificar")))</f>
        <v/>
      </c>
      <c r="AD1264" s="11" t="inlineStr">
        <is>
          <t>3. Investigar, evaluar y usar información científica para tomar decisiones y actuar</t>
        </is>
      </c>
      <c r="AE1264" s="11">
        <f>IF(AD1264="","",IF(LEFT(AD1264,1)="1","C1",IF(LEFT(AD1264,1)="2","C2",IF(LEFT(AD1264,1)="3","C3",""))))</f>
        <v/>
      </c>
      <c r="AF1264" s="11" t="inlineStr">
        <is>
          <t>E6</t>
        </is>
      </c>
      <c r="AG1264" s="11" t="inlineStr">
        <is>
          <t>E3</t>
        </is>
      </c>
      <c r="AH1264" s="11" t="inlineStr">
        <is>
          <t>E2</t>
        </is>
      </c>
      <c r="AI1264" s="11" t="inlineStr">
        <is>
          <t>I3</t>
        </is>
      </c>
      <c r="AJ1264" s="11" t="inlineStr">
        <is>
          <t>I5</t>
        </is>
      </c>
      <c r="AK1264" s="11" t="n"/>
      <c r="AL1264" s="11" t="n"/>
      <c r="AM1264" s="11" t="n"/>
      <c r="AN1264" s="11" t="n"/>
      <c r="AO1264" s="11" t="n"/>
      <c r="AP1264" s="11" t="n"/>
      <c r="AQ1264" s="11" t="n"/>
      <c r="AR1264" s="11" t="n"/>
      <c r="AS1264" s="11" t="n"/>
      <c r="AT1264" s="11" t="n"/>
      <c r="AU1264" s="11" t="n"/>
      <c r="AV1264" s="11" t="n"/>
      <c r="AW1264" s="11">
        <f>AF1264&amp;"; "&amp;AG1264&amp;"; "&amp;AH1264&amp;"; "&amp;AI1264&amp;"; "&amp;AJ1264</f>
        <v/>
      </c>
    </row>
    <row r="1265"/>
    <row r="1266" ht="56" customHeight="1">
      <c r="A1266" s="2" t="inlineStr">
        <is>
          <t>Cómo se calcula: Una fila = un procedimental de la malla (un «tema»). Columnas K-L, P-Q: clasificación TIMSS 2027 asistida por IA (revisable). M, N, O, S-U y X-Z son fórmulas. AA-AB = clasificación v1 (TIMSS 2023), solo para comparar. Para auditar cualquier número del libro, filtra esta hoja por Grupo y Dominio.</t>
        </is>
      </c>
    </row>
  </sheetData>
  <autoFilter ref="A4:AW1264"/>
  <mergeCells count="2">
    <mergeCell ref="A2:N2"/>
    <mergeCell ref="A1266:N1266"/>
  </mergeCells>
  <conditionalFormatting sqref="P5:P1264">
    <cfRule type="cellIs" priority="1" operator="equal" dxfId="2">
      <formula>"baja"</formula>
    </cfRule>
  </conditionalFormatting>
  <conditionalFormatting sqref="K5:K1264">
    <cfRule type="cellIs" priority="2" operator="equal" dxfId="11">
      <formula>"FUERA"</formula>
    </cfRule>
  </conditionalFormatting>
  <conditionalFormatting sqref="A5:W1264">
    <cfRule type="expression" priority="3" dxfId="5">
      <formula>AND(MOD(ROW(),2)=0,$A5&lt;&gt;"")</formula>
    </cfRule>
  </conditionalFormatting>
  <pageMargins left="0.75" right="0.75" top="1" bottom="1" header="0.5" footer="0.5"/>
</worksheet>
</file>

<file path=xl/worksheets/sheet17.xml><?xml version="1.0" encoding="utf-8"?>
<worksheet xmlns="http://schemas.openxmlformats.org/spreadsheetml/2006/main">
  <sheetPr>
    <tabColor rgb="00595959"/>
    <outlinePr summaryBelow="1" summaryRight="1"/>
    <pageSetUpPr/>
  </sheetPr>
  <dimension ref="A1:L109"/>
  <sheetViews>
    <sheetView showGridLines="0" workbookViewId="0">
      <pane ySplit="4" topLeftCell="A5" activePane="bottomLeft" state="frozen"/>
      <selection pane="bottomLeft" activeCell="A1" sqref="A1"/>
    </sheetView>
  </sheetViews>
  <sheetFormatPr baseColWidth="8" defaultRowHeight="15"/>
  <cols>
    <col width="12" customWidth="1" min="1" max="1"/>
    <col width="8" customWidth="1" min="2" max="2"/>
    <col width="22" customWidth="1" min="3" max="3"/>
    <col width="10" customWidth="1" min="4" max="4"/>
    <col width="11" customWidth="1" min="5" max="5"/>
    <col width="34" customWidth="1" min="6" max="6"/>
    <col width="52" customWidth="1" min="7" max="7"/>
    <col width="30" customWidth="1" min="8" max="8"/>
    <col width="12" customWidth="1" min="9" max="9"/>
    <col width="13" customWidth="1" min="10" max="10"/>
    <col width="80" customWidth="1" min="11" max="11"/>
  </cols>
  <sheetData>
    <row r="1">
      <c r="A1" s="6" t="inlineStr">
        <is>
          <t>Catálogo de referencia TIMSS (objetivos de contenido)</t>
        </is>
      </c>
    </row>
    <row r="2" ht="53" customHeight="1">
      <c r="A2" s="7">
        <f>"TIMSS"&amp;"
"&amp;"● TIMSS 2027: "&amp;COUNTIF($B$5:$B$107,"T4_27")&amp;" objetivos de 4.° y "&amp;COUNTIF($B$5:$B$107,"T8_27")&amp;" de 8.°. TIMSS Advanced Física: "&amp;COUNTIF($B$5:$B$107,"TA")&amp;"."&amp;"
"&amp;"● "&amp;COUNTIF($I$5:$I$107,"Sí")&amp;" son de medio ambiente y "&amp;COUNTIF($J$5:$J$107,"Sí")&amp;" de investigación. Metas en ámbar (editables)."</f>
        <v/>
      </c>
      <c r="B2" s="8" t="n"/>
      <c r="C2" s="8" t="n"/>
      <c r="D2" s="8" t="n"/>
      <c r="E2" s="8" t="n"/>
      <c r="F2" s="8" t="n"/>
      <c r="G2" s="8" t="n"/>
      <c r="H2" s="8" t="n"/>
      <c r="I2" s="8" t="n"/>
      <c r="J2" s="8" t="n"/>
      <c r="K2" s="8" t="n"/>
      <c r="L2" s="9" t="n"/>
    </row>
    <row r="3"/>
    <row r="4" ht="30" customHeight="1">
      <c r="A4" s="10" t="inlineStr">
        <is>
          <t>Código</t>
        </is>
      </c>
      <c r="B4" s="10" t="inlineStr">
        <is>
          <t>Marco</t>
        </is>
      </c>
      <c r="C4" s="10" t="inlineStr">
        <is>
          <t>Dominio</t>
        </is>
      </c>
      <c r="D4" s="10" t="inlineStr">
        <is>
          <t>Meta del dominio</t>
        </is>
      </c>
      <c r="E4" s="10" t="inlineStr">
        <is>
          <t>Código área</t>
        </is>
      </c>
      <c r="F4" s="10" t="inlineStr">
        <is>
          <t>Área temática</t>
        </is>
      </c>
      <c r="G4" s="10" t="inlineStr">
        <is>
          <t>Objetivo (paráfrasis)</t>
        </is>
      </c>
      <c r="H4" s="10" t="inlineStr">
        <is>
          <t>Fuente</t>
        </is>
      </c>
      <c r="I4" s="10" t="inlineStr">
        <is>
          <t>Ambiental (asterisco en el marco)</t>
        </is>
      </c>
      <c r="J4" s="10" t="inlineStr">
        <is>
          <t>Área de Investigaciones</t>
        </is>
      </c>
      <c r="K4" s="10" t="inlineStr">
        <is>
          <t>Sub-ítems (paráfrasis)</t>
        </is>
      </c>
    </row>
    <row r="5">
      <c r="A5" s="30" t="inlineStr">
        <is>
          <t>T4_27-B1.1</t>
        </is>
      </c>
      <c r="B5" s="30" t="inlineStr">
        <is>
          <t>T4_27</t>
        </is>
      </c>
      <c r="C5" s="30" t="inlineStr">
        <is>
          <t>Biología</t>
        </is>
      </c>
      <c r="D5" s="40" t="n">
        <v>0.45</v>
      </c>
      <c r="E5" s="30" t="inlineStr">
        <is>
          <t>T4_27-B1</t>
        </is>
      </c>
      <c r="F5" s="30" t="inlineStr">
        <is>
          <t>Características y procesos vitales de los organismos</t>
        </is>
      </c>
      <c r="G5" s="30" t="inlineStr">
        <is>
          <t>Diferencias entre seres vivos y no vivos, y lo que los seres vivos necesitan para vivir</t>
        </is>
      </c>
      <c r="H5" s="30" t="inlineStr">
        <is>
          <t>IEA, TIMSS 2027 Assessment Frameworks, cap. 2 (Science), 4.° grado, p. 26</t>
        </is>
      </c>
      <c r="I5" s="41" t="inlineStr">
        <is>
          <t>Sí</t>
        </is>
      </c>
      <c r="J5" s="41" t="inlineStr">
        <is>
          <t>No</t>
        </is>
      </c>
      <c r="K5" s="30" t="inlineStr">
        <is>
          <t>A. Distinguir seres vivos de no vivos (se reproducen, crecen, responden a estímulos y mueren).
B. Identificar lo que plantas y animales requieren para vivir: aire, alimento o luz, agua y un ambiente. *</t>
        </is>
      </c>
    </row>
    <row r="6">
      <c r="A6" s="30" t="inlineStr">
        <is>
          <t>T4_27-B1.2</t>
        </is>
      </c>
      <c r="B6" s="30" t="inlineStr">
        <is>
          <t>T4_27</t>
        </is>
      </c>
      <c r="C6" s="30" t="inlineStr">
        <is>
          <t>Biología</t>
        </is>
      </c>
      <c r="D6" s="40" t="n">
        <v>0.45</v>
      </c>
      <c r="E6" s="30" t="inlineStr">
        <is>
          <t>T4_27-B1</t>
        </is>
      </c>
      <c r="F6" s="30" t="inlineStr">
        <is>
          <t>Características y procesos vitales de los organismos</t>
        </is>
      </c>
      <c r="G6" s="30" t="inlineStr">
        <is>
          <t>Rasgos físicos y de conducta de los grandes grupos de seres vivos</t>
        </is>
      </c>
      <c r="H6" s="30" t="inlineStr">
        <is>
          <t>IEA, TIMSS 2027 Assessment Frameworks, cap. 2 (Science), 4.° grado, p. 26</t>
        </is>
      </c>
      <c r="I6" s="41" t="inlineStr">
        <is>
          <t>No</t>
        </is>
      </c>
      <c r="J6" s="41" t="inlineStr">
        <is>
          <t>No</t>
        </is>
      </c>
      <c r="K6" s="30" t="inlineStr">
        <is>
          <t>A. Comparar y clasificar plantas y animales, y mamíferos, aves, peces, reptiles e insectos, por sus rasgos.
B. Dar ejemplos de miembros de los grandes grupos de animales.</t>
        </is>
      </c>
    </row>
    <row r="7">
      <c r="A7" s="30" t="inlineStr">
        <is>
          <t>T4_27-B1.3</t>
        </is>
      </c>
      <c r="B7" s="30" t="inlineStr">
        <is>
          <t>T4_27</t>
        </is>
      </c>
      <c r="C7" s="30" t="inlineStr">
        <is>
          <t>Biología</t>
        </is>
      </c>
      <c r="D7" s="40" t="n">
        <v>0.45</v>
      </c>
      <c r="E7" s="30" t="inlineStr">
        <is>
          <t>T4_27-B1</t>
        </is>
      </c>
      <c r="F7" s="30" t="inlineStr">
        <is>
          <t>Características y procesos vitales de los organismos</t>
        </is>
      </c>
      <c r="G7" s="30" t="inlineStr">
        <is>
          <t>Funciones de las estructuras principales de animales y plantas</t>
        </is>
      </c>
      <c r="H7" s="30" t="inlineStr">
        <is>
          <t>IEA, TIMSS 2027 Assessment Frameworks, cap. 2 (Science), 4.° grado, p. 27</t>
        </is>
      </c>
      <c r="I7" s="41" t="inlineStr">
        <is>
          <t>No</t>
        </is>
      </c>
      <c r="J7" s="41" t="inlineStr">
        <is>
          <t>No</t>
        </is>
      </c>
      <c r="K7" s="30" t="inlineStr">
        <is>
          <t>A. Relacionar estructuras animales con su función (piel, huesos, pulmones, corazón, estómago, músculos).
B. Relacionar estructuras de la planta con su función (raíz, hoja, tallo, pétalos, flor, semilla).</t>
        </is>
      </c>
    </row>
    <row r="8">
      <c r="A8" s="30" t="inlineStr">
        <is>
          <t>T4_27-B1.4</t>
        </is>
      </c>
      <c r="B8" s="30" t="inlineStr">
        <is>
          <t>T4_27</t>
        </is>
      </c>
      <c r="C8" s="30" t="inlineStr">
        <is>
          <t>Biología</t>
        </is>
      </c>
      <c r="D8" s="40" t="n">
        <v>0.45</v>
      </c>
      <c r="E8" s="30" t="inlineStr">
        <is>
          <t>T4_27-B1</t>
        </is>
      </c>
      <c r="F8" s="30" t="inlineStr">
        <is>
          <t>Características y procesos vitales de los organismos</t>
        </is>
      </c>
      <c r="G8" s="30" t="inlineStr">
        <is>
          <t>Obtención de alimento y respuesta de los seres vivos a cambios externos</t>
        </is>
      </c>
      <c r="H8" s="30" t="inlineStr">
        <is>
          <t>IEA, TIMSS 2027 Assessment Frameworks, cap. 2 (Science), 4.° grado, p. 27</t>
        </is>
      </c>
      <c r="I8" s="41" t="inlineStr">
        <is>
          <t>Sí</t>
        </is>
      </c>
      <c r="J8" s="41" t="inlineStr">
        <is>
          <t>No</t>
        </is>
      </c>
      <c r="K8" s="30" t="inlineStr">
        <is>
          <t>A. Reconocer que las plantas fabrican su alimento con luz, aire y agua; los animales comen plantas u otros animales. *
B. Describir cómo animales y el cuerpo humano responden a cambios externos (temperatura, peligro) y al ejercicio. *</t>
        </is>
      </c>
    </row>
    <row r="9">
      <c r="A9" s="30" t="inlineStr">
        <is>
          <t>T4_27-B2.1</t>
        </is>
      </c>
      <c r="B9" s="30" t="inlineStr">
        <is>
          <t>T4_27</t>
        </is>
      </c>
      <c r="C9" s="30" t="inlineStr">
        <is>
          <t>Biología</t>
        </is>
      </c>
      <c r="D9" s="40" t="n">
        <v>0.45</v>
      </c>
      <c r="E9" s="30" t="inlineStr">
        <is>
          <t>T4_27-B2</t>
        </is>
      </c>
      <c r="F9" s="30" t="inlineStr">
        <is>
          <t>Ciclos de vida, reproducción y herencia</t>
        </is>
      </c>
      <c r="G9" s="30" t="inlineStr">
        <is>
          <t>Etapas y diferencias de los ciclos de vida de plantas y animales comunes</t>
        </is>
      </c>
      <c r="H9" s="30" t="inlineStr">
        <is>
          <t>IEA, TIMSS 2027 Assessment Frameworks, cap. 2 (Science), 4.° grado, p. 27</t>
        </is>
      </c>
      <c r="I9" s="41" t="inlineStr">
        <is>
          <t>No</t>
        </is>
      </c>
      <c r="J9" s="41" t="inlineStr">
        <is>
          <t>No</t>
        </is>
      </c>
      <c r="K9" s="30" t="inlineStr">
        <is>
          <t>A. Identificar etapas del ciclo de vida de las plantas (germinación, crecimiento, polinización, fruto, dispersión).
B. Reconocer, comparar y contrastar ciclos de vida de animales comunes (humanos, ranas, mariposas).</t>
        </is>
      </c>
    </row>
    <row r="10">
      <c r="A10" s="30" t="inlineStr">
        <is>
          <t>T4_27-B2.2</t>
        </is>
      </c>
      <c r="B10" s="30" t="inlineStr">
        <is>
          <t>T4_27</t>
        </is>
      </c>
      <c r="C10" s="30" t="inlineStr">
        <is>
          <t>Biología</t>
        </is>
      </c>
      <c r="D10" s="40" t="n">
        <v>0.45</v>
      </c>
      <c r="E10" s="30" t="inlineStr">
        <is>
          <t>T4_27-B2</t>
        </is>
      </c>
      <c r="F10" s="30" t="inlineStr">
        <is>
          <t>Ciclos de vida, reproducción y herencia</t>
        </is>
      </c>
      <c r="G10" s="30" t="inlineStr">
        <is>
          <t>Herencia y estrategias de reproducción</t>
        </is>
      </c>
      <c r="H10" s="30" t="inlineStr">
        <is>
          <t>IEA, TIMSS 2027 Assessment Frameworks, cap. 2 (Science), 4.° grado, p. 27</t>
        </is>
      </c>
      <c r="I10" s="41" t="inlineStr">
        <is>
          <t>No</t>
        </is>
      </c>
      <c r="J10" s="41" t="inlineStr">
        <is>
          <t>No</t>
        </is>
      </c>
      <c r="K10" s="30" t="inlineStr">
        <is>
          <t>A. Reconocer que la descendencia se parece a sus progenitores; distinguir rasgos heredados de no heredados.
B. Describir estrategias que aumentan la supervivencia de la descendencia (muchas semillas, cuidado de crías).</t>
        </is>
      </c>
    </row>
    <row r="11">
      <c r="A11" s="30" t="inlineStr">
        <is>
          <t>T4_27-B3.1</t>
        </is>
      </c>
      <c r="B11" s="30" t="inlineStr">
        <is>
          <t>T4_27</t>
        </is>
      </c>
      <c r="C11" s="30" t="inlineStr">
        <is>
          <t>Biología</t>
        </is>
      </c>
      <c r="D11" s="40" t="n">
        <v>0.45</v>
      </c>
      <c r="E11" s="30" t="inlineStr">
        <is>
          <t>T4_27-B3</t>
        </is>
      </c>
      <c r="F11" s="30" t="inlineStr">
        <is>
          <t>Diversidad y adaptación</t>
        </is>
      </c>
      <c r="G11" s="30" t="inlineStr">
        <is>
          <t>Rasgos físicos y conductas que ayudan a sobrevivir en el ambiente</t>
        </is>
      </c>
      <c r="H11" s="30" t="inlineStr">
        <is>
          <t>IEA, TIMSS 2027 Assessment Frameworks, cap. 2 (Science), 4.° grado, p. 27</t>
        </is>
      </c>
      <c r="I11" s="41" t="inlineStr">
        <is>
          <t>Sí</t>
        </is>
      </c>
      <c r="J11" s="41" t="inlineStr">
        <is>
          <t>No</t>
        </is>
      </c>
      <c r="K11" s="30" t="inlineStr">
        <is>
          <t>A. Asociar rasgos físicos de plantas y animales con su ambiente y su supervivencia (tallo grueso, camuflaje). *
B. Asociar conductas animales con su ambiente y su supervivencia (migración, hibernación). *</t>
        </is>
      </c>
    </row>
    <row r="12">
      <c r="A12" s="30" t="inlineStr">
        <is>
          <t>T4_27-B4.1</t>
        </is>
      </c>
      <c r="B12" s="30" t="inlineStr">
        <is>
          <t>T4_27</t>
        </is>
      </c>
      <c r="C12" s="30" t="inlineStr">
        <is>
          <t>Biología</t>
        </is>
      </c>
      <c r="D12" s="40" t="n">
        <v>0.45</v>
      </c>
      <c r="E12" s="30" t="inlineStr">
        <is>
          <t>T4_27-B4</t>
        </is>
      </c>
      <c r="F12" s="30" t="inlineStr">
        <is>
          <t>Ecosistemas</t>
        </is>
      </c>
      <c r="G12" s="30" t="inlineStr">
        <is>
          <t>Ecosistemas comunes</t>
        </is>
      </c>
      <c r="H12" s="30" t="inlineStr">
        <is>
          <t>IEA, TIMSS 2027 Assessment Frameworks, cap. 2 (Science), 4.° grado, p. 28</t>
        </is>
      </c>
      <c r="I12" s="41" t="inlineStr">
        <is>
          <t>Sí</t>
        </is>
      </c>
      <c r="J12" s="41" t="inlineStr">
        <is>
          <t>No</t>
        </is>
      </c>
      <c r="K12" s="30" t="inlineStr">
        <is>
          <t>A. Relacionar plantas y animales comunes con ecosistemas (bosque, selva, desierto, sabana, ártico, río, océano). *</t>
        </is>
      </c>
    </row>
    <row r="13">
      <c r="A13" s="30" t="inlineStr">
        <is>
          <t>T4_27-B4.2</t>
        </is>
      </c>
      <c r="B13" s="30" t="inlineStr">
        <is>
          <t>T4_27</t>
        </is>
      </c>
      <c r="C13" s="30" t="inlineStr">
        <is>
          <t>Biología</t>
        </is>
      </c>
      <c r="D13" s="40" t="n">
        <v>0.45</v>
      </c>
      <c r="E13" s="30" t="inlineStr">
        <is>
          <t>T4_27-B4</t>
        </is>
      </c>
      <c r="F13" s="30" t="inlineStr">
        <is>
          <t>Ecosistemas</t>
        </is>
      </c>
      <c r="G13" s="30" t="inlineStr">
        <is>
          <t>Relaciones en los ecosistemas</t>
        </is>
      </c>
      <c r="H13" s="30" t="inlineStr">
        <is>
          <t>IEA, TIMSS 2027 Assessment Frameworks, cap. 2 (Science), 4.° grado, p. 28</t>
        </is>
      </c>
      <c r="I13" s="41" t="inlineStr">
        <is>
          <t>Sí</t>
        </is>
      </c>
      <c r="J13" s="41" t="inlineStr">
        <is>
          <t>No</t>
        </is>
      </c>
      <c r="K13" s="30" t="inlineStr">
        <is>
          <t>A. Completar una cadena alimentaria lineal y describir el papel de cada organismo. *
B. Identificar depredadores y presas.
C. Reconocer que algunos seres vivos compiten por recursos (alimento, agua, luz, espacio). *</t>
        </is>
      </c>
    </row>
    <row r="14">
      <c r="A14" s="30" t="inlineStr">
        <is>
          <t>T4_27-B4.3</t>
        </is>
      </c>
      <c r="B14" s="30" t="inlineStr">
        <is>
          <t>T4_27</t>
        </is>
      </c>
      <c r="C14" s="30" t="inlineStr">
        <is>
          <t>Biología</t>
        </is>
      </c>
      <c r="D14" s="40" t="n">
        <v>0.45</v>
      </c>
      <c r="E14" s="30" t="inlineStr">
        <is>
          <t>T4_27-B4</t>
        </is>
      </c>
      <c r="F14" s="30" t="inlineStr">
        <is>
          <t>Ecosistemas</t>
        </is>
      </c>
      <c r="G14" s="30" t="inlineStr">
        <is>
          <t>Impacto humano en los ecosistemas</t>
        </is>
      </c>
      <c r="H14" s="30" t="inlineStr">
        <is>
          <t>IEA, TIMSS 2027 Assessment Frameworks, cap. 2 (Science), 4.° grado, p. 28</t>
        </is>
      </c>
      <c r="I14" s="41" t="inlineStr">
        <is>
          <t>Sí</t>
        </is>
      </c>
      <c r="J14" s="41" t="inlineStr">
        <is>
          <t>No</t>
        </is>
      </c>
      <c r="K14" s="30" t="inlineStr">
        <is>
          <t>A. Dar ejemplos de efectos de la contaminación en personas, plantas y animales. *
B. Reconocer efectos negativos y positivos de la conducta humana sobre poblaciones de un ecosistema. *</t>
        </is>
      </c>
    </row>
    <row r="15">
      <c r="A15" s="30" t="inlineStr">
        <is>
          <t>T4_27-B5.1</t>
        </is>
      </c>
      <c r="B15" s="30" t="inlineStr">
        <is>
          <t>T4_27</t>
        </is>
      </c>
      <c r="C15" s="30" t="inlineStr">
        <is>
          <t>Biología</t>
        </is>
      </c>
      <c r="D15" s="40" t="n">
        <v>0.45</v>
      </c>
      <c r="E15" s="30" t="inlineStr">
        <is>
          <t>T4_27-B5</t>
        </is>
      </c>
      <c r="F15" s="30" t="inlineStr">
        <is>
          <t>Salud humana</t>
        </is>
      </c>
      <c r="G15" s="30" t="inlineStr">
        <is>
          <t>Transmisión y prevención de enfermedades</t>
        </is>
      </c>
      <c r="H15" s="30" t="inlineStr">
        <is>
          <t>IEA, TIMSS 2027 Assessment Frameworks, cap. 2 (Science), 4.° grado, p. 28</t>
        </is>
      </c>
      <c r="I15" s="41" t="inlineStr">
        <is>
          <t>No</t>
        </is>
      </c>
      <c r="J15" s="41" t="inlineStr">
        <is>
          <t>No</t>
        </is>
      </c>
      <c r="K15" s="30" t="inlineStr">
        <is>
          <t>A. Relacionar el contagio de enfermedades con el contacto humano; describir formas de prevención (vacunas, lavado de manos).</t>
        </is>
      </c>
    </row>
    <row r="16">
      <c r="A16" s="30" t="inlineStr">
        <is>
          <t>T4_27-B5.2</t>
        </is>
      </c>
      <c r="B16" s="30" t="inlineStr">
        <is>
          <t>T4_27</t>
        </is>
      </c>
      <c r="C16" s="30" t="inlineStr">
        <is>
          <t>Biología</t>
        </is>
      </c>
      <c r="D16" s="40" t="n">
        <v>0.45</v>
      </c>
      <c r="E16" s="30" t="inlineStr">
        <is>
          <t>T4_27-B5</t>
        </is>
      </c>
      <c r="F16" s="30" t="inlineStr">
        <is>
          <t>Salud humana</t>
        </is>
      </c>
      <c r="G16" s="30" t="inlineStr">
        <is>
          <t>Hábitos para mantener una buena salud</t>
        </is>
      </c>
      <c r="H16" s="30" t="inlineStr">
        <is>
          <t>IEA, TIMSS 2027 Assessment Frameworks, cap. 2 (Science), 4.° grado, p. 28</t>
        </is>
      </c>
      <c r="I16" s="41" t="inlineStr">
        <is>
          <t>No</t>
        </is>
      </c>
      <c r="J16" s="41" t="inlineStr">
        <is>
          <t>No</t>
        </is>
      </c>
      <c r="K16" s="30" t="inlineStr">
        <is>
          <t>A. Describir hábitos de salud física y mental; identificar grupos de alimentos de una dieta balanceada.</t>
        </is>
      </c>
    </row>
    <row r="17">
      <c r="A17" s="30" t="inlineStr">
        <is>
          <t>T4_27-B6.1</t>
        </is>
      </c>
      <c r="B17" s="30" t="inlineStr">
        <is>
          <t>T4_27</t>
        </is>
      </c>
      <c r="C17" s="30" t="inlineStr">
        <is>
          <t>Biología</t>
        </is>
      </c>
      <c r="D17" s="40" t="n">
        <v>0.45</v>
      </c>
      <c r="E17" s="30" t="inlineStr">
        <is>
          <t>T4_27-B6</t>
        </is>
      </c>
      <c r="F17" s="30" t="inlineStr">
        <is>
          <t>Investigaciones biológicas</t>
        </is>
      </c>
      <c r="G17" s="30" t="inlineStr">
        <is>
          <t>Rasgos y equipo de una investigación biológica</t>
        </is>
      </c>
      <c r="H17" s="30" t="inlineStr">
        <is>
          <t>IEA, TIMSS 2027 Assessment Frameworks, cap. 2 (Science), 4.° grado, p. 28</t>
        </is>
      </c>
      <c r="I17" s="41" t="inlineStr">
        <is>
          <t>No</t>
        </is>
      </c>
      <c r="J17" s="41" t="inlineStr">
        <is>
          <t>Sí</t>
        </is>
      </c>
      <c r="K17" s="30" t="inlineStr">
        <is>
          <t>A. Reconocer rasgos de una investigación biológica (prueba justa, observación vs inferencia) y el uso de lupa o pinzas.</t>
        </is>
      </c>
    </row>
    <row r="18">
      <c r="A18" s="30" t="inlineStr">
        <is>
          <t>T4_27-P1.1</t>
        </is>
      </c>
      <c r="B18" s="30" t="inlineStr">
        <is>
          <t>T4_27</t>
        </is>
      </c>
      <c r="C18" s="30" t="inlineStr">
        <is>
          <t>Ciencias físicas</t>
        </is>
      </c>
      <c r="D18" s="40" t="n">
        <v>0.35</v>
      </c>
      <c r="E18" s="30" t="inlineStr">
        <is>
          <t>T4_27-P1</t>
        </is>
      </c>
      <c r="F18" s="30" t="inlineStr">
        <is>
          <t>Propiedades y cambios de la materia</t>
        </is>
      </c>
      <c r="G18" s="30" t="inlineStr">
        <is>
          <t>Estados de la materia</t>
        </is>
      </c>
      <c r="H18" s="30" t="inlineStr">
        <is>
          <t>IEA, TIMSS 2027 Assessment Frameworks, cap. 2 (Science), 4.° grado, p. 29</t>
        </is>
      </c>
      <c r="I18" s="41" t="inlineStr">
        <is>
          <t>No</t>
        </is>
      </c>
      <c r="J18" s="41" t="inlineStr">
        <is>
          <t>No</t>
        </is>
      </c>
      <c r="K18" s="30" t="inlineStr">
        <is>
          <t>A. Identificar sólido, líquido y gas por su forma y volumen; reconocer el estado del agua según la temperatura.
B. Reconocer cambios de estado al calentar o enfriar; describir fusión, congelación, evaporación y condensación del agua.</t>
        </is>
      </c>
    </row>
    <row r="19">
      <c r="A19" s="30" t="inlineStr">
        <is>
          <t>T4_27-P1.2</t>
        </is>
      </c>
      <c r="B19" s="30" t="inlineStr">
        <is>
          <t>T4_27</t>
        </is>
      </c>
      <c r="C19" s="30" t="inlineStr">
        <is>
          <t>Ciencias físicas</t>
        </is>
      </c>
      <c r="D19" s="40" t="n">
        <v>0.35</v>
      </c>
      <c r="E19" s="30" t="inlineStr">
        <is>
          <t>T4_27-P1</t>
        </is>
      </c>
      <c r="F19" s="30" t="inlineStr">
        <is>
          <t>Propiedades y cambios de la materia</t>
        </is>
      </c>
      <c r="G19" s="30" t="inlineStr">
        <is>
          <t>Propiedades físicas para clasificar la materia</t>
        </is>
      </c>
      <c r="H19" s="30" t="inlineStr">
        <is>
          <t>IEA, TIMSS 2027 Assessment Frameworks, cap. 2 (Science), 4.° grado, p. 29</t>
        </is>
      </c>
      <c r="I19" s="41" t="inlineStr">
        <is>
          <t>No</t>
        </is>
      </c>
      <c r="J19" s="41" t="inlineStr">
        <is>
          <t>No</t>
        </is>
      </c>
      <c r="K19" s="30" t="inlineStr">
        <is>
          <t>A. Comparar y ordenar materiales por masa, volumen, estado, conducción, flotación y atracción magnética.
B. Identificar propiedades de los metales (conducen calor y electricidad) y relacionarlas con sus usos.</t>
        </is>
      </c>
    </row>
    <row r="20">
      <c r="A20" s="30" t="inlineStr">
        <is>
          <t>T4_27-P1.3</t>
        </is>
      </c>
      <c r="B20" s="30" t="inlineStr">
        <is>
          <t>T4_27</t>
        </is>
      </c>
      <c r="C20" s="30" t="inlineStr">
        <is>
          <t>Ciencias físicas</t>
        </is>
      </c>
      <c r="D20" s="40" t="n">
        <v>0.35</v>
      </c>
      <c r="E20" s="30" t="inlineStr">
        <is>
          <t>T4_27-P1</t>
        </is>
      </c>
      <c r="F20" s="30" t="inlineStr">
        <is>
          <t>Propiedades y cambios de la materia</t>
        </is>
      </c>
      <c r="G20" s="30" t="inlineStr">
        <is>
          <t>Cambios físicos y químicos en la vida diaria</t>
        </is>
      </c>
      <c r="H20" s="30" t="inlineStr">
        <is>
          <t>IEA, TIMSS 2027 Assessment Frameworks, cap. 2 (Science), 4.° grado, p. 30</t>
        </is>
      </c>
      <c r="I20" s="41" t="inlineStr">
        <is>
          <t>No</t>
        </is>
      </c>
      <c r="J20" s="41" t="inlineStr">
        <is>
          <t>No</t>
        </is>
      </c>
      <c r="K20" s="30" t="inlineStr">
        <is>
          <t>A. Distinguir cambios que no producen materiales nuevos de los que sí (descomposición, combustión, oxidación).
B. Describir mezclas y métodos físicos para separarlas (tamizado, filtración, evaporación, imán).
C. Identificar cómo acelerar la disolución de un sólido; distinguir soluciones débiles y concentradas.</t>
        </is>
      </c>
    </row>
    <row r="21">
      <c r="A21" s="30" t="inlineStr">
        <is>
          <t>T4_27-P2.1</t>
        </is>
      </c>
      <c r="B21" s="30" t="inlineStr">
        <is>
          <t>T4_27</t>
        </is>
      </c>
      <c r="C21" s="30" t="inlineStr">
        <is>
          <t>Ciencias físicas</t>
        </is>
      </c>
      <c r="D21" s="40" t="n">
        <v>0.35</v>
      </c>
      <c r="E21" s="30" t="inlineStr">
        <is>
          <t>T4_27-P2</t>
        </is>
      </c>
      <c r="F21" s="30" t="inlineStr">
        <is>
          <t>Energía y transferencia de energía</t>
        </is>
      </c>
      <c r="G21" s="30" t="inlineStr">
        <is>
          <t>Usos de la energía en la vida diaria</t>
        </is>
      </c>
      <c r="H21" s="30" t="inlineStr">
        <is>
          <t>IEA, TIMSS 2027 Assessment Frameworks, cap. 2 (Science), 4.° grado, p. 30</t>
        </is>
      </c>
      <c r="I21" s="41" t="inlineStr">
        <is>
          <t>No</t>
        </is>
      </c>
      <c r="J21" s="41" t="inlineStr">
        <is>
          <t>No</t>
        </is>
      </c>
      <c r="K21" s="30" t="inlineStr">
        <is>
          <t>A. Reconocer que las personas usan energía para distintos fines y en distintas formas (calor, electricidad).</t>
        </is>
      </c>
    </row>
    <row r="22">
      <c r="A22" s="30" t="inlineStr">
        <is>
          <t>T4_27-P2.2</t>
        </is>
      </c>
      <c r="B22" s="30" t="inlineStr">
        <is>
          <t>T4_27</t>
        </is>
      </c>
      <c r="C22" s="30" t="inlineStr">
        <is>
          <t>Ciencias físicas</t>
        </is>
      </c>
      <c r="D22" s="40" t="n">
        <v>0.35</v>
      </c>
      <c r="E22" s="30" t="inlineStr">
        <is>
          <t>T4_27-P2</t>
        </is>
      </c>
      <c r="F22" s="30" t="inlineStr">
        <is>
          <t>Energía y transferencia de energía</t>
        </is>
      </c>
      <c r="G22" s="30" t="inlineStr">
        <is>
          <t>Calentamiento y enfriamiento</t>
        </is>
      </c>
      <c r="H22" s="30" t="inlineStr">
        <is>
          <t>IEA, TIMSS 2027 Assessment Frameworks, cap. 2 (Science), 4.° grado, p. 30</t>
        </is>
      </c>
      <c r="I22" s="41" t="inlineStr">
        <is>
          <t>No</t>
        </is>
      </c>
      <c r="J22" s="41" t="inlineStr">
        <is>
          <t>No</t>
        </is>
      </c>
      <c r="K22" s="30" t="inlineStr">
        <is>
          <t>A. Describir que al contacto un objeto caliente se enfría y el frío o el entorno se calienta.</t>
        </is>
      </c>
    </row>
    <row r="23">
      <c r="A23" s="30" t="inlineStr">
        <is>
          <t>T4_27-P3.1</t>
        </is>
      </c>
      <c r="B23" s="30" t="inlineStr">
        <is>
          <t>T4_27</t>
        </is>
      </c>
      <c r="C23" s="30" t="inlineStr">
        <is>
          <t>Ciencias físicas</t>
        </is>
      </c>
      <c r="D23" s="40" t="n">
        <v>0.35</v>
      </c>
      <c r="E23" s="30" t="inlineStr">
        <is>
          <t>T4_27-P3</t>
        </is>
      </c>
      <c r="F23" s="30" t="inlineStr">
        <is>
          <t>Luz y sonido</t>
        </is>
      </c>
      <c r="G23" s="30" t="inlineStr">
        <is>
          <t>La luz en la vida diaria</t>
        </is>
      </c>
      <c r="H23" s="30" t="inlineStr">
        <is>
          <t>IEA, TIMSS 2027 Assessment Frameworks, cap. 2 (Science), 4.° grado, p. 30</t>
        </is>
      </c>
      <c r="I23" s="41" t="inlineStr">
        <is>
          <t>No</t>
        </is>
      </c>
      <c r="J23" s="41" t="inlineStr">
        <is>
          <t>No</t>
        </is>
      </c>
      <c r="K23" s="30" t="inlineStr">
        <is>
          <t>A. Relacionar sombras, reflejos y arcoíris con el comportamiento de la luz.</t>
        </is>
      </c>
    </row>
    <row r="24">
      <c r="A24" s="30" t="inlineStr">
        <is>
          <t>T4_27-P3.2</t>
        </is>
      </c>
      <c r="B24" s="30" t="inlineStr">
        <is>
          <t>T4_27</t>
        </is>
      </c>
      <c r="C24" s="30" t="inlineStr">
        <is>
          <t>Ciencias físicas</t>
        </is>
      </c>
      <c r="D24" s="40" t="n">
        <v>0.35</v>
      </c>
      <c r="E24" s="30" t="inlineStr">
        <is>
          <t>T4_27-P3</t>
        </is>
      </c>
      <c r="F24" s="30" t="inlineStr">
        <is>
          <t>Luz y sonido</t>
        </is>
      </c>
      <c r="G24" s="30" t="inlineStr">
        <is>
          <t>El sonido en la vida diaria</t>
        </is>
      </c>
      <c r="H24" s="30" t="inlineStr">
        <is>
          <t>IEA, TIMSS 2027 Assessment Frameworks, cap. 2 (Science), 4.° grado, p. 30</t>
        </is>
      </c>
      <c r="I24" s="41" t="inlineStr">
        <is>
          <t>No</t>
        </is>
      </c>
      <c r="J24" s="41" t="inlineStr">
        <is>
          <t>No</t>
        </is>
      </c>
      <c r="K24" s="30" t="inlineStr">
        <is>
          <t>A. Relacionar objetos que vibran y ecos con la producción y el comportamiento del sonido.</t>
        </is>
      </c>
    </row>
    <row r="25">
      <c r="A25" s="30" t="inlineStr">
        <is>
          <t>T4_27-P4.1</t>
        </is>
      </c>
      <c r="B25" s="30" t="inlineStr">
        <is>
          <t>T4_27</t>
        </is>
      </c>
      <c r="C25" s="30" t="inlineStr">
        <is>
          <t>Ciencias físicas</t>
        </is>
      </c>
      <c r="D25" s="40" t="n">
        <v>0.35</v>
      </c>
      <c r="E25" s="30" t="inlineStr">
        <is>
          <t>T4_27-P4</t>
        </is>
      </c>
      <c r="F25" s="30" t="inlineStr">
        <is>
          <t>Electricidad y magnetismo</t>
        </is>
      </c>
      <c r="G25" s="30" t="inlineStr">
        <is>
          <t>Electricidad y dispositivos eléctricos sencillos</t>
        </is>
      </c>
      <c r="H25" s="30" t="inlineStr">
        <is>
          <t>IEA, TIMSS 2027 Assessment Frameworks, cap. 2 (Science), 4.° grado, p. 30</t>
        </is>
      </c>
      <c r="I25" s="41" t="inlineStr">
        <is>
          <t>No</t>
        </is>
      </c>
      <c r="J25" s="41" t="inlineStr">
        <is>
          <t>No</t>
        </is>
      </c>
      <c r="K25" s="30" t="inlineStr">
        <is>
          <t>A. Reconocer que la energía eléctrica se transforma en calor, luz o sonido.
B. Explicar que un circuito necesita un camino completo; identificar diagramas de circuitos simples completos.</t>
        </is>
      </c>
    </row>
    <row r="26">
      <c r="A26" s="30" t="inlineStr">
        <is>
          <t>T4_27-P4.2</t>
        </is>
      </c>
      <c r="B26" s="30" t="inlineStr">
        <is>
          <t>T4_27</t>
        </is>
      </c>
      <c r="C26" s="30" t="inlineStr">
        <is>
          <t>Ciencias físicas</t>
        </is>
      </c>
      <c r="D26" s="40" t="n">
        <v>0.35</v>
      </c>
      <c r="E26" s="30" t="inlineStr">
        <is>
          <t>T4_27-P4</t>
        </is>
      </c>
      <c r="F26" s="30" t="inlineStr">
        <is>
          <t>Electricidad y magnetismo</t>
        </is>
      </c>
      <c r="G26" s="30" t="inlineStr">
        <is>
          <t>Atracción y repulsión magnética</t>
        </is>
      </c>
      <c r="H26" s="30" t="inlineStr">
        <is>
          <t>IEA, TIMSS 2027 Assessment Frameworks, cap. 2 (Science), 4.° grado, p. 30</t>
        </is>
      </c>
      <c r="I26" s="41" t="inlineStr">
        <is>
          <t>No</t>
        </is>
      </c>
      <c r="J26" s="41" t="inlineStr">
        <is>
          <t>No</t>
        </is>
      </c>
      <c r="K26" s="30" t="inlineStr">
        <is>
          <t>A. Reconocer que los imanes tienen dos polos; iguales se repelen y opuestos se atraen.
B. Reconocer que los imanes atraen la mayoría de objetos metálicos.</t>
        </is>
      </c>
    </row>
    <row r="27">
      <c r="A27" s="30" t="inlineStr">
        <is>
          <t>T4_27-P5.1</t>
        </is>
      </c>
      <c r="B27" s="30" t="inlineStr">
        <is>
          <t>T4_27</t>
        </is>
      </c>
      <c r="C27" s="30" t="inlineStr">
        <is>
          <t>Ciencias físicas</t>
        </is>
      </c>
      <c r="D27" s="40" t="n">
        <v>0.35</v>
      </c>
      <c r="E27" s="30" t="inlineStr">
        <is>
          <t>T4_27-P5</t>
        </is>
      </c>
      <c r="F27" s="30" t="inlineStr">
        <is>
          <t>Movimiento y fuerzas</t>
        </is>
      </c>
      <c r="G27" s="30" t="inlineStr">
        <is>
          <t>Fuerzas comunes y movimiento de los objetos</t>
        </is>
      </c>
      <c r="H27" s="30" t="inlineStr">
        <is>
          <t>IEA, TIMSS 2027 Assessment Frameworks, cap. 2 (Science), 4.° grado, p. 31</t>
        </is>
      </c>
      <c r="I27" s="41" t="inlineStr">
        <is>
          <t>No</t>
        </is>
      </c>
      <c r="J27" s="41" t="inlineStr">
        <is>
          <t>No</t>
        </is>
      </c>
      <c r="K27" s="30" t="inlineStr">
        <is>
          <t>A. Identificar la gravedad como la fuerza que atrae los objetos hacia la Tierra.
B. Reconocer que empujar y halar cambian el movimiento; comparar fuerzas; la fricción y el aire se oponen al movimiento.</t>
        </is>
      </c>
    </row>
    <row r="28">
      <c r="A28" s="30" t="inlineStr">
        <is>
          <t>T4_27-P5.2</t>
        </is>
      </c>
      <c r="B28" s="30" t="inlineStr">
        <is>
          <t>T4_27</t>
        </is>
      </c>
      <c r="C28" s="30" t="inlineStr">
        <is>
          <t>Ciencias físicas</t>
        </is>
      </c>
      <c r="D28" s="40" t="n">
        <v>0.35</v>
      </c>
      <c r="E28" s="30" t="inlineStr">
        <is>
          <t>T4_27-P5</t>
        </is>
      </c>
      <c r="F28" s="30" t="inlineStr">
        <is>
          <t>Movimiento y fuerzas</t>
        </is>
      </c>
      <c r="G28" s="30" t="inlineStr">
        <is>
          <t>Máquinas simples</t>
        </is>
      </c>
      <c r="H28" s="30" t="inlineStr">
        <is>
          <t>IEA, TIMSS 2027 Assessment Frameworks, cap. 2 (Science), 4.° grado, p. 31</t>
        </is>
      </c>
      <c r="I28" s="41" t="inlineStr">
        <is>
          <t>No</t>
        </is>
      </c>
      <c r="J28" s="41" t="inlineStr">
        <is>
          <t>No</t>
        </is>
      </c>
      <c r="K28" s="30" t="inlineStr">
        <is>
          <t>A. Reconocer que palancas, poleas, engranajes y rampas facilitan el movimiento (menos fuerza o cambio de dirección).</t>
        </is>
      </c>
    </row>
    <row r="29">
      <c r="A29" s="30" t="inlineStr">
        <is>
          <t>T4_27-P6.1</t>
        </is>
      </c>
      <c r="B29" s="30" t="inlineStr">
        <is>
          <t>T4_27</t>
        </is>
      </c>
      <c r="C29" s="30" t="inlineStr">
        <is>
          <t>Ciencias físicas</t>
        </is>
      </c>
      <c r="D29" s="40" t="n">
        <v>0.35</v>
      </c>
      <c r="E29" s="30" t="inlineStr">
        <is>
          <t>T4_27-P6</t>
        </is>
      </c>
      <c r="F29" s="30" t="inlineStr">
        <is>
          <t>Investigaciones en ciencias físicas</t>
        </is>
      </c>
      <c r="G29" s="30" t="inlineStr">
        <is>
          <t>Rasgos y uso de equipo en una investigación de ciencias físicas</t>
        </is>
      </c>
      <c r="H29" s="30" t="inlineStr">
        <is>
          <t>IEA, TIMSS 2027 Assessment Frameworks, cap. 2 (Science), 4.° grado, p. 31</t>
        </is>
      </c>
      <c r="I29" s="41" t="inlineStr">
        <is>
          <t>No</t>
        </is>
      </c>
      <c r="J29" s="41" t="inlineStr">
        <is>
          <t>Sí</t>
        </is>
      </c>
      <c r="K29" s="30" t="inlineStr">
        <is>
          <t>A. Reconocer rasgos de una investigación (preguntas comprobables, repetir mediciones al comparar métodos).
B. Reconocer el uso de equipo común (balanza, cronómetro) en una investigación.</t>
        </is>
      </c>
    </row>
    <row r="30">
      <c r="A30" s="30" t="inlineStr">
        <is>
          <t>T4_27-E1.1</t>
        </is>
      </c>
      <c r="B30" s="30" t="inlineStr">
        <is>
          <t>T4_27</t>
        </is>
      </c>
      <c r="C30" s="30" t="inlineStr">
        <is>
          <t>Ciencias de la Tierra</t>
        </is>
      </c>
      <c r="D30" s="40" t="n">
        <v>0.2</v>
      </c>
      <c r="E30" s="30" t="inlineStr">
        <is>
          <t>T4_27-E1</t>
        </is>
      </c>
      <c r="F30" s="30" t="inlineStr">
        <is>
          <t>Rasgos, procesos e historia de la Tierra</t>
        </is>
      </c>
      <c r="G30" s="30" t="inlineStr">
        <is>
          <t>Características físicas de la superficie terrestre</t>
        </is>
      </c>
      <c r="H30" s="30" t="inlineStr">
        <is>
          <t>IEA, TIMSS 2027 Assessment Frameworks, cap. 2 (Science), 4.° grado, p. 32</t>
        </is>
      </c>
      <c r="I30" s="41" t="inlineStr">
        <is>
          <t>Sí</t>
        </is>
      </c>
      <c r="J30" s="41" t="inlineStr">
        <is>
          <t>No</t>
        </is>
      </c>
      <c r="K30" s="30" t="inlineStr">
        <is>
          <t>A. Reconocer que hay más agua que tierra y que el aire la rodea; describir dónde hay agua dulce y salada. *</t>
        </is>
      </c>
    </row>
    <row r="31">
      <c r="A31" s="30" t="inlineStr">
        <is>
          <t>T4_27-E1.2</t>
        </is>
      </c>
      <c r="B31" s="30" t="inlineStr">
        <is>
          <t>T4_27</t>
        </is>
      </c>
      <c r="C31" s="30" t="inlineStr">
        <is>
          <t>Ciencias de la Tierra</t>
        </is>
      </c>
      <c r="D31" s="40" t="n">
        <v>0.2</v>
      </c>
      <c r="E31" s="30" t="inlineStr">
        <is>
          <t>T4_27-E1</t>
        </is>
      </c>
      <c r="F31" s="30" t="inlineStr">
        <is>
          <t>Rasgos, procesos e historia de la Tierra</t>
        </is>
      </c>
      <c r="G31" s="30" t="inlineStr">
        <is>
          <t>Historia de la Tierra</t>
        </is>
      </c>
      <c r="H31" s="30" t="inlineStr">
        <is>
          <t>IEA, TIMSS 2027 Assessment Frameworks, cap. 2 (Science), 4.° grado, p. 32</t>
        </is>
      </c>
      <c r="I31" s="41" t="inlineStr">
        <is>
          <t>No</t>
        </is>
      </c>
      <c r="J31" s="41" t="inlineStr">
        <is>
          <t>No</t>
        </is>
      </c>
      <c r="K31" s="30" t="inlineStr">
        <is>
          <t>A. Reconocer que viento y agua modifican el paisaje y que algunos relieves se forman muy lentamente.
B. Reconocer fósiles en rocas y hielo y deducir cambios de la superficie terrestre por su ubicación.</t>
        </is>
      </c>
    </row>
    <row r="32">
      <c r="A32" s="30" t="inlineStr">
        <is>
          <t>T4_27-E2.1</t>
        </is>
      </c>
      <c r="B32" s="30" t="inlineStr">
        <is>
          <t>T4_27</t>
        </is>
      </c>
      <c r="C32" s="30" t="inlineStr">
        <is>
          <t>Ciencias de la Tierra</t>
        </is>
      </c>
      <c r="D32" s="40" t="n">
        <v>0.2</v>
      </c>
      <c r="E32" s="30" t="inlineStr">
        <is>
          <t>T4_27-E2</t>
        </is>
      </c>
      <c r="F32" s="30" t="inlineStr">
        <is>
          <t>La atmósfera terrestre</t>
        </is>
      </c>
      <c r="G32" s="30" t="inlineStr">
        <is>
          <t>Tiempo atmosférico y climas</t>
        </is>
      </c>
      <c r="H32" s="30" t="inlineStr">
        <is>
          <t>IEA, TIMSS 2027 Assessment Frameworks, cap. 2 (Science), 4.° grado, p. 32</t>
        </is>
      </c>
      <c r="I32" s="41" t="inlineStr">
        <is>
          <t>Sí</t>
        </is>
      </c>
      <c r="J32" s="41" t="inlineStr">
        <is>
          <t>No</t>
        </is>
      </c>
      <c r="K32" s="30" t="inlineStr">
        <is>
          <t>A. Describir cómo varía el tiempo (temperatura, humedad, lluvia, nubes, viento) por día y lugar. *
B. Describir cambios estacionales de temperatura y lluvia; reconocer el calentamiento global y algunos efectos. *</t>
        </is>
      </c>
    </row>
    <row r="33">
      <c r="A33" s="30" t="inlineStr">
        <is>
          <t>T4_27-E3.1</t>
        </is>
      </c>
      <c r="B33" s="30" t="inlineStr">
        <is>
          <t>T4_27</t>
        </is>
      </c>
      <c r="C33" s="30" t="inlineStr">
        <is>
          <t>Ciencias de la Tierra</t>
        </is>
      </c>
      <c r="D33" s="40" t="n">
        <v>0.2</v>
      </c>
      <c r="E33" s="30" t="inlineStr">
        <is>
          <t>T4_27-E3</t>
        </is>
      </c>
      <c r="F33" s="30" t="inlineStr">
        <is>
          <t>Recursos de la Tierra, uso y conservación</t>
        </is>
      </c>
      <c r="G33" s="30" t="inlineStr">
        <is>
          <t>Recursos de la Tierra</t>
        </is>
      </c>
      <c r="H33" s="30" t="inlineStr">
        <is>
          <t>IEA, TIMSS 2027 Assessment Frameworks, cap. 2 (Science), 4.° grado, p. 32</t>
        </is>
      </c>
      <c r="I33" s="41" t="inlineStr">
        <is>
          <t>Sí</t>
        </is>
      </c>
      <c r="J33" s="41" t="inlineStr">
        <is>
          <t>No</t>
        </is>
      </c>
      <c r="K33" s="30" t="inlineStr">
        <is>
          <t>A. Reconocer usos cotidianos de agua, viento, suelo, bosques, minerales y combustibles fósiles; cuáles no son renovables. *
B. Explicar la importancia de usar responsablemente los recursos de la Tierra. *</t>
        </is>
      </c>
    </row>
    <row r="34">
      <c r="A34" s="30" t="inlineStr">
        <is>
          <t>T4_27-E4.1</t>
        </is>
      </c>
      <c r="B34" s="30" t="inlineStr">
        <is>
          <t>T4_27</t>
        </is>
      </c>
      <c r="C34" s="30" t="inlineStr">
        <is>
          <t>Ciencias de la Tierra</t>
        </is>
      </c>
      <c r="D34" s="40" t="n">
        <v>0.2</v>
      </c>
      <c r="E34" s="30" t="inlineStr">
        <is>
          <t>T4_27-E4</t>
        </is>
      </c>
      <c r="F34" s="30" t="inlineStr">
        <is>
          <t>La Tierra en el sistema solar</t>
        </is>
      </c>
      <c r="G34" s="30" t="inlineStr">
        <is>
          <t>Objetos del sistema solar y sus movimientos</t>
        </is>
      </c>
      <c r="H34" s="30" t="inlineStr">
        <is>
          <t>IEA, TIMSS 2027 Assessment Frameworks, cap. 2 (Science), 4.° grado, p. 32</t>
        </is>
      </c>
      <c r="I34" s="41" t="inlineStr">
        <is>
          <t>No</t>
        </is>
      </c>
      <c r="J34" s="41" t="inlineStr">
        <is>
          <t>No</t>
        </is>
      </c>
      <c r="K34" s="30" t="inlineStr">
        <is>
          <t>A. Describir el sistema solar (Sol y planetas que giran); la Luna gira alrededor de la Tierra y cambia de aspecto.</t>
        </is>
      </c>
    </row>
    <row r="35">
      <c r="A35" s="30" t="inlineStr">
        <is>
          <t>T4_27-E4.2</t>
        </is>
      </c>
      <c r="B35" s="30" t="inlineStr">
        <is>
          <t>T4_27</t>
        </is>
      </c>
      <c r="C35" s="30" t="inlineStr">
        <is>
          <t>Ciencias de la Tierra</t>
        </is>
      </c>
      <c r="D35" s="40" t="n">
        <v>0.2</v>
      </c>
      <c r="E35" s="30" t="inlineStr">
        <is>
          <t>T4_27-E4</t>
        </is>
      </c>
      <c r="F35" s="30" t="inlineStr">
        <is>
          <t>La Tierra en el sistema solar</t>
        </is>
      </c>
      <c r="G35" s="30" t="inlineStr">
        <is>
          <t>Movimientos de la Tierra y patrones observables</t>
        </is>
      </c>
      <c r="H35" s="30" t="inlineStr">
        <is>
          <t>IEA, TIMSS 2027 Assessment Frameworks, cap. 2 (Science), 4.° grado, p. 32</t>
        </is>
      </c>
      <c r="I35" s="41" t="inlineStr">
        <is>
          <t>No</t>
        </is>
      </c>
      <c r="J35" s="41" t="inlineStr">
        <is>
          <t>No</t>
        </is>
      </c>
      <c r="K35" s="30" t="inlineStr">
        <is>
          <t>A. Explicar el día y la noche por la rotación de la Tierra.
B. Reconocer que la Tierra da una vuelta al Sol en un año.</t>
        </is>
      </c>
    </row>
    <row r="36">
      <c r="A36" s="30" t="inlineStr">
        <is>
          <t>T4_27-E5.1</t>
        </is>
      </c>
      <c r="B36" s="30" t="inlineStr">
        <is>
          <t>T4_27</t>
        </is>
      </c>
      <c r="C36" s="30" t="inlineStr">
        <is>
          <t>Ciencias de la Tierra</t>
        </is>
      </c>
      <c r="D36" s="40" t="n">
        <v>0.2</v>
      </c>
      <c r="E36" s="30" t="inlineStr">
        <is>
          <t>T4_27-E5</t>
        </is>
      </c>
      <c r="F36" s="30" t="inlineStr">
        <is>
          <t>Investigaciones en ciencias de la Tierra</t>
        </is>
      </c>
      <c r="G36" s="30" t="inlineStr">
        <is>
          <t>Uso de equipo en investigaciones de ciencias de la Tierra</t>
        </is>
      </c>
      <c r="H36" s="30" t="inlineStr">
        <is>
          <t>IEA, TIMSS 2027 Assessment Frameworks, cap. 2 (Science), 4.° grado, p. 33</t>
        </is>
      </c>
      <c r="I36" s="41" t="inlineStr">
        <is>
          <t>No</t>
        </is>
      </c>
      <c r="J36" s="41" t="inlineStr">
        <is>
          <t>Sí</t>
        </is>
      </c>
      <c r="K36" s="30" t="inlineStr">
        <is>
          <t>A. Reconocer el uso de termómetro, brújula o pluviómetro en una investigación.</t>
        </is>
      </c>
    </row>
    <row r="37">
      <c r="A37" s="30" t="inlineStr">
        <is>
          <t>T8_27-B1.1</t>
        </is>
      </c>
      <c r="B37" s="30" t="inlineStr">
        <is>
          <t>T8_27</t>
        </is>
      </c>
      <c r="C37" s="30" t="inlineStr">
        <is>
          <t>Biología</t>
        </is>
      </c>
      <c r="D37" s="40" t="n">
        <v>0.35</v>
      </c>
      <c r="E37" s="30" t="inlineStr">
        <is>
          <t>T8_27-B1</t>
        </is>
      </c>
      <c r="F37" s="30" t="inlineStr">
        <is>
          <t>Características y procesos vitales de los organismos</t>
        </is>
      </c>
      <c r="G37" s="30" t="inlineStr">
        <is>
          <t>Diferencias entre los grandes grupos taxonómicos</t>
        </is>
      </c>
      <c r="H37" s="30" t="inlineStr">
        <is>
          <t>IEA, TIMSS 2027 Assessment Frameworks, cap. 2 (Science), 8.° grado, p. 34</t>
        </is>
      </c>
      <c r="I37" s="41" t="inlineStr">
        <is>
          <t>No</t>
        </is>
      </c>
      <c r="J37" s="41" t="inlineStr">
        <is>
          <t>No</t>
        </is>
      </c>
      <c r="K37" s="30" t="inlineStr">
        <is>
          <t>A. Identificar rasgos que distinguen bacterias, hongos, plantas, animales y clases de vertebrados e insectos.
B. Reconocer y clasificar organismos como ejemplos de esos grupos taxonómicos.</t>
        </is>
      </c>
    </row>
    <row r="38">
      <c r="A38" s="30" t="inlineStr">
        <is>
          <t>T8_27-B1.2</t>
        </is>
      </c>
      <c r="B38" s="30" t="inlineStr">
        <is>
          <t>T8_27</t>
        </is>
      </c>
      <c r="C38" s="30" t="inlineStr">
        <is>
          <t>Biología</t>
        </is>
      </c>
      <c r="D38" s="40" t="n">
        <v>0.35</v>
      </c>
      <c r="E38" s="30" t="inlineStr">
        <is>
          <t>T8_27-B1</t>
        </is>
      </c>
      <c r="F38" s="30" t="inlineStr">
        <is>
          <t>Características y procesos vitales de los organismos</t>
        </is>
      </c>
      <c r="G38" s="30" t="inlineStr">
        <is>
          <t>Estructura y función de los principales sistemas de órganos</t>
        </is>
      </c>
      <c r="H38" s="30" t="inlineStr">
        <is>
          <t>IEA, TIMSS 2027 Assessment Frameworks, cap. 2 (Science), 8.° grado, p. 34</t>
        </is>
      </c>
      <c r="I38" s="41" t="inlineStr">
        <is>
          <t>No</t>
        </is>
      </c>
      <c r="J38" s="41" t="inlineStr">
        <is>
          <t>No</t>
        </is>
      </c>
      <c r="K38" s="30" t="inlineStr">
        <is>
          <t>A. Ubicar sistemas respiratorio, digestivo, óseo y nervioso, y sus órganos, en el cuerpo humano.
B. Comparar órganos y sistemas de humanos con los de otros vertebrados (pulmones vs branquias).
C. Explicar el papel de órganos y sistemas en el sostenimiento de la vida (circulación, respiración).</t>
        </is>
      </c>
    </row>
    <row r="39">
      <c r="A39" s="30" t="inlineStr">
        <is>
          <t>T8_27-B1.3</t>
        </is>
      </c>
      <c r="B39" s="30" t="inlineStr">
        <is>
          <t>T8_27</t>
        </is>
      </c>
      <c r="C39" s="30" t="inlineStr">
        <is>
          <t>Biología</t>
        </is>
      </c>
      <c r="D39" s="40" t="n">
        <v>0.35</v>
      </c>
      <c r="E39" s="30" t="inlineStr">
        <is>
          <t>T8_27-B1</t>
        </is>
      </c>
      <c r="F39" s="30" t="inlineStr">
        <is>
          <t>Características y procesos vitales de los organismos</t>
        </is>
      </c>
      <c r="G39" s="30" t="inlineStr">
        <is>
          <t>Procesos fisiológicos en plantas y animales</t>
        </is>
      </c>
      <c r="H39" s="30" t="inlineStr">
        <is>
          <t>IEA, TIMSS 2027 Assessment Frameworks, cap. 2 (Science), 8.° grado, p. 34</t>
        </is>
      </c>
      <c r="I39" s="41" t="inlineStr">
        <is>
          <t>Sí</t>
        </is>
      </c>
      <c r="J39" s="41" t="inlineStr">
        <is>
          <t>No</t>
        </is>
      </c>
      <c r="K39" s="30" t="inlineStr">
        <is>
          <t>A. Explicar cómo los animales responden a cambios para mantener estables sus condiciones (homeostasis).
B. Describir función y proceso básico de la fotosíntesis (luz, CO2, agua, clorofila → glucosa y oxígeno). *
C. Describir función y proceso básico de la respiración celular (oxígeno y glucosa → energía, CO2 y agua). *</t>
        </is>
      </c>
    </row>
    <row r="40">
      <c r="A40" s="30" t="inlineStr">
        <is>
          <t>T8_27-B2.1</t>
        </is>
      </c>
      <c r="B40" s="30" t="inlineStr">
        <is>
          <t>T8_27</t>
        </is>
      </c>
      <c r="C40" s="30" t="inlineStr">
        <is>
          <t>Biología</t>
        </is>
      </c>
      <c r="D40" s="40" t="n">
        <v>0.35</v>
      </c>
      <c r="E40" s="30" t="inlineStr">
        <is>
          <t>T8_27-B2</t>
        </is>
      </c>
      <c r="F40" s="30" t="inlineStr">
        <is>
          <t>Las células y sus funciones</t>
        </is>
      </c>
      <c r="G40" s="30" t="inlineStr">
        <is>
          <t>Estructura y funciones de la célula</t>
        </is>
      </c>
      <c r="H40" s="30" t="inlineStr">
        <is>
          <t>IEA, TIMSS 2027 Assessment Frameworks, cap. 2 (Science), 8.° grado, p. 34</t>
        </is>
      </c>
      <c r="I40" s="41" t="inlineStr">
        <is>
          <t>No</t>
        </is>
      </c>
      <c r="J40" s="41" t="inlineStr">
        <is>
          <t>No</t>
        </is>
      </c>
      <c r="K40" s="30" t="inlineStr">
        <is>
          <t>A. Explicar que los seres vivos están formados por células que cumplen funciones vitales y se dividen.
B. Identificar estructuras celulares principales y su función (pared, membrana, núcleo, cloroplasto, mitocondria…).
C. Reconocer que pared, cloroplastos y vacuola distinguen la célula vegetal de la animal.
D. Explicar que tejidos, órganos y sistemas se forman de células especializadas.</t>
        </is>
      </c>
    </row>
    <row r="41">
      <c r="A41" s="30" t="inlineStr">
        <is>
          <t>T8_27-B3.1</t>
        </is>
      </c>
      <c r="B41" s="30" t="inlineStr">
        <is>
          <t>T8_27</t>
        </is>
      </c>
      <c r="C41" s="30" t="inlineStr">
        <is>
          <t>Biología</t>
        </is>
      </c>
      <c r="D41" s="40" t="n">
        <v>0.35</v>
      </c>
      <c r="E41" s="30" t="inlineStr">
        <is>
          <t>T8_27-B3</t>
        </is>
      </c>
      <c r="F41" s="30" t="inlineStr">
        <is>
          <t>Ciclos de vida, reproducción y herencia</t>
        </is>
      </c>
      <c r="G41" s="30" t="inlineStr">
        <is>
          <t>Reproducción sexual y herencia en plantas y animales</t>
        </is>
      </c>
      <c r="H41" s="30" t="inlineStr">
        <is>
          <t>IEA, TIMSS 2027 Assessment Frameworks, cap. 2 (Science), 8.° grado, p. 35</t>
        </is>
      </c>
      <c r="I41" s="41" t="inlineStr">
        <is>
          <t>No</t>
        </is>
      </c>
      <c r="J41" s="41" t="inlineStr">
        <is>
          <t>No</t>
        </is>
      </c>
      <c r="K41" s="30" t="inlineStr">
        <is>
          <t>A. Reconocer la fecundación y que la descendencia es parecida pero no idéntica; herencia por material genético.
B. Reconocer que los rasgos están codificados en el ADN de los cromosomas del núcleo.
C. Distinguir rasgos heredados de rasgos adquiridos o aprendidos.</t>
        </is>
      </c>
    </row>
    <row r="42">
      <c r="A42" s="30" t="inlineStr">
        <is>
          <t>T8_27-B4.1</t>
        </is>
      </c>
      <c r="B42" s="30" t="inlineStr">
        <is>
          <t>T8_27</t>
        </is>
      </c>
      <c r="C42" s="30" t="inlineStr">
        <is>
          <t>Biología</t>
        </is>
      </c>
      <c r="D42" s="40" t="n">
        <v>0.35</v>
      </c>
      <c r="E42" s="30" t="inlineStr">
        <is>
          <t>T8_27-B4</t>
        </is>
      </c>
      <c r="F42" s="30" t="inlineStr">
        <is>
          <t>Diversidad, adaptación y selección natural</t>
        </is>
      </c>
      <c r="G42" s="30" t="inlineStr">
        <is>
          <t>La variación como base de la selección natural</t>
        </is>
      </c>
      <c r="H42" s="30" t="inlineStr">
        <is>
          <t>IEA, TIMSS 2027 Assessment Frameworks, cap. 2 (Science), 8.° grado, p. 35</t>
        </is>
      </c>
      <c r="I42" s="41" t="inlineStr">
        <is>
          <t>No</t>
        </is>
      </c>
      <c r="J42" s="41" t="inlineStr">
        <is>
          <t>No</t>
        </is>
      </c>
      <c r="K42" s="30" t="inlineStr">
        <is>
          <t>A. Reconocer que la variación da ventajas de supervivencia y reproducción; relacionarla con extinción en ambientes cambiantes.</t>
        </is>
      </c>
    </row>
    <row r="43">
      <c r="A43" s="30" t="inlineStr">
        <is>
          <t>T8_27-B4.2</t>
        </is>
      </c>
      <c r="B43" s="30" t="inlineStr">
        <is>
          <t>T8_27</t>
        </is>
      </c>
      <c r="C43" s="30" t="inlineStr">
        <is>
          <t>Biología</t>
        </is>
      </c>
      <c r="D43" s="40" t="n">
        <v>0.35</v>
      </c>
      <c r="E43" s="30" t="inlineStr">
        <is>
          <t>T8_27-B4</t>
        </is>
      </c>
      <c r="F43" s="30" t="inlineStr">
        <is>
          <t>Diversidad, adaptación y selección natural</t>
        </is>
      </c>
      <c r="G43" s="30" t="inlineStr">
        <is>
          <t>Evidencias del cambio de la vida en la Tierra</t>
        </is>
      </c>
      <c r="H43" s="30" t="inlineStr">
        <is>
          <t>IEA, TIMSS 2027 Assessment Frameworks, cap. 2 (Science), 8.° grado, p. 35</t>
        </is>
      </c>
      <c r="I43" s="41" t="inlineStr">
        <is>
          <t>No</t>
        </is>
      </c>
      <c r="J43" s="41" t="inlineStr">
        <is>
          <t>No</t>
        </is>
      </c>
      <c r="K43" s="30" t="inlineStr">
        <is>
          <t>A. Sacar conclusiones sobre cuánto tiempo han existido grupos de organismos a partir de fósiles.
B. Describir cómo semejanzas entre especies y fósiles evidencian cambio y ancestro común.</t>
        </is>
      </c>
    </row>
    <row r="44">
      <c r="A44" s="30" t="inlineStr">
        <is>
          <t>T8_27-B5.1</t>
        </is>
      </c>
      <c r="B44" s="30" t="inlineStr">
        <is>
          <t>T8_27</t>
        </is>
      </c>
      <c r="C44" s="30" t="inlineStr">
        <is>
          <t>Biología</t>
        </is>
      </c>
      <c r="D44" s="40" t="n">
        <v>0.35</v>
      </c>
      <c r="E44" s="30" t="inlineStr">
        <is>
          <t>T8_27-B5</t>
        </is>
      </c>
      <c r="F44" s="30" t="inlineStr">
        <is>
          <t>Ecosistemas</t>
        </is>
      </c>
      <c r="G44" s="30" t="inlineStr">
        <is>
          <t>Ecosistemas naturales, urbanos y rurales</t>
        </is>
      </c>
      <c r="H44" s="30" t="inlineStr">
        <is>
          <t>IEA, TIMSS 2027 Assessment Frameworks, cap. 2 (Science), 8.° grado, p. 35</t>
        </is>
      </c>
      <c r="I44" s="41" t="inlineStr">
        <is>
          <t>Sí</t>
        </is>
      </c>
      <c r="J44" s="41" t="inlineStr">
        <is>
          <t>No</t>
        </is>
      </c>
      <c r="K44" s="30" t="inlineStr">
        <is>
          <t>A. Comparar ecosistemas naturales, rurales y urbanos por sus rasgos y organismos. *</t>
        </is>
      </c>
    </row>
    <row r="45">
      <c r="A45" s="30" t="inlineStr">
        <is>
          <t>T8_27-B5.2</t>
        </is>
      </c>
      <c r="B45" s="30" t="inlineStr">
        <is>
          <t>T8_27</t>
        </is>
      </c>
      <c r="C45" s="30" t="inlineStr">
        <is>
          <t>Biología</t>
        </is>
      </c>
      <c r="D45" s="40" t="n">
        <v>0.35</v>
      </c>
      <c r="E45" s="30" t="inlineStr">
        <is>
          <t>T8_27-B5</t>
        </is>
      </c>
      <c r="F45" s="30" t="inlineStr">
        <is>
          <t>Ecosistemas</t>
        </is>
      </c>
      <c r="G45" s="30" t="inlineStr">
        <is>
          <t>Flujo de energía en los ecosistemas</t>
        </is>
      </c>
      <c r="H45" s="30" t="inlineStr">
        <is>
          <t>IEA, TIMSS 2027 Assessment Frameworks, cap. 2 (Science), 8.° grado, p. 35</t>
        </is>
      </c>
      <c r="I45" s="41" t="inlineStr">
        <is>
          <t>Sí</t>
        </is>
      </c>
      <c r="J45" s="41" t="inlineStr">
        <is>
          <t>No</t>
        </is>
      </c>
      <c r="K45" s="30" t="inlineStr">
        <is>
          <t>A. Describir el flujo de energía de productores a consumidores y descomponedores; construir e interpretar pirámides. *</t>
        </is>
      </c>
    </row>
    <row r="46">
      <c r="A46" s="30" t="inlineStr">
        <is>
          <t>T8_27-B5.3</t>
        </is>
      </c>
      <c r="B46" s="30" t="inlineStr">
        <is>
          <t>T8_27</t>
        </is>
      </c>
      <c r="C46" s="30" t="inlineStr">
        <is>
          <t>Biología</t>
        </is>
      </c>
      <c r="D46" s="40" t="n">
        <v>0.35</v>
      </c>
      <c r="E46" s="30" t="inlineStr">
        <is>
          <t>T8_27-B5</t>
        </is>
      </c>
      <c r="F46" s="30" t="inlineStr">
        <is>
          <t>Ecosistemas</t>
        </is>
      </c>
      <c r="G46" s="30" t="inlineStr">
        <is>
          <t>Ciclos del agua, el oxígeno y el carbono en los ecosistemas</t>
        </is>
      </c>
      <c r="H46" s="30" t="inlineStr">
        <is>
          <t>IEA, TIMSS 2027 Assessment Frameworks, cap. 2 (Science), 8.° grado, p. 35</t>
        </is>
      </c>
      <c r="I46" s="41" t="inlineStr">
        <is>
          <t>Sí</t>
        </is>
      </c>
      <c r="J46" s="41" t="inlineStr">
        <is>
          <t>No</t>
        </is>
      </c>
      <c r="K46" s="30" t="inlineStr">
        <is>
          <t>A. Describir el papel de los seres vivos en el ciclo del agua (transpiración, bebida, respiración, desechos). *
B. Describir el papel de los seres vivos en los ciclos del oxígeno y el carbono. *</t>
        </is>
      </c>
    </row>
    <row r="47">
      <c r="A47" s="30" t="inlineStr">
        <is>
          <t>T8_27-B5.4</t>
        </is>
      </c>
      <c r="B47" s="30" t="inlineStr">
        <is>
          <t>T8_27</t>
        </is>
      </c>
      <c r="C47" s="30" t="inlineStr">
        <is>
          <t>Biología</t>
        </is>
      </c>
      <c r="D47" s="40" t="n">
        <v>0.35</v>
      </c>
      <c r="E47" s="30" t="inlineStr">
        <is>
          <t>T8_27-B5</t>
        </is>
      </c>
      <c r="F47" s="30" t="inlineStr">
        <is>
          <t>Ecosistemas</t>
        </is>
      </c>
      <c r="G47" s="30" t="inlineStr">
        <is>
          <t>Relaciones en los ecosistemas</t>
        </is>
      </c>
      <c r="H47" s="30" t="inlineStr">
        <is>
          <t>IEA, TIMSS 2027 Assessment Frameworks, cap. 2 (Science), 8.° grado, p. 36</t>
        </is>
      </c>
      <c r="I47" s="41" t="inlineStr">
        <is>
          <t>Sí</t>
        </is>
      </c>
      <c r="J47" s="41" t="inlineStr">
        <is>
          <t>No</t>
        </is>
      </c>
      <c r="K47" s="30" t="inlineStr">
        <is>
          <t>A. Dar ejemplos de productores, consumidores y descomponedores; construir e interpretar redes tróficas. *
B. Describir y ejemplificar la competencia entre poblaciones u organismos. *
C. Describir y ejemplificar la depredación. *
D. Describir y ejemplificar mutualismo y parasitismo. *</t>
        </is>
      </c>
    </row>
    <row r="48">
      <c r="A48" s="30" t="inlineStr">
        <is>
          <t>T8_27-B5.5</t>
        </is>
      </c>
      <c r="B48" s="30" t="inlineStr">
        <is>
          <t>T8_27</t>
        </is>
      </c>
      <c r="C48" s="30" t="inlineStr">
        <is>
          <t>Biología</t>
        </is>
      </c>
      <c r="D48" s="40" t="n">
        <v>0.35</v>
      </c>
      <c r="E48" s="30" t="inlineStr">
        <is>
          <t>T8_27-B5</t>
        </is>
      </c>
      <c r="F48" s="30" t="inlineStr">
        <is>
          <t>Ecosistemas</t>
        </is>
      </c>
      <c r="G48" s="30" t="inlineStr">
        <is>
          <t>Factores que afectan el tamaño de las poblaciones</t>
        </is>
      </c>
      <c r="H48" s="30" t="inlineStr">
        <is>
          <t>IEA, TIMSS 2027 Assessment Frameworks, cap. 2 (Science), 8.° grado, p. 36</t>
        </is>
      </c>
      <c r="I48" s="41" t="inlineStr">
        <is>
          <t>Sí</t>
        </is>
      </c>
      <c r="J48" s="41" t="inlineStr">
        <is>
          <t>No</t>
        </is>
      </c>
      <c r="K48" s="30" t="inlineStr">
        <is>
          <t>A. Identificar factores que limitan una población (depredadores, alimento, agua). *
B. Predecir cómo cambios en el ecosistema afectan el equilibrio entre poblaciones. *</t>
        </is>
      </c>
    </row>
    <row r="49">
      <c r="A49" s="30" t="inlineStr">
        <is>
          <t>T8_27-B5.6</t>
        </is>
      </c>
      <c r="B49" s="30" t="inlineStr">
        <is>
          <t>T8_27</t>
        </is>
      </c>
      <c r="C49" s="30" t="inlineStr">
        <is>
          <t>Biología</t>
        </is>
      </c>
      <c r="D49" s="40" t="n">
        <v>0.35</v>
      </c>
      <c r="E49" s="30" t="inlineStr">
        <is>
          <t>T8_27-B5</t>
        </is>
      </c>
      <c r="F49" s="30" t="inlineStr">
        <is>
          <t>Ecosistemas</t>
        </is>
      </c>
      <c r="G49" s="30" t="inlineStr">
        <is>
          <t>Impacto humano en los ecosistemas</t>
        </is>
      </c>
      <c r="H49" s="30" t="inlineStr">
        <is>
          <t>IEA, TIMSS 2027 Assessment Frameworks, cap. 2 (Science), 8.° grado, p. 36</t>
        </is>
      </c>
      <c r="I49" s="41" t="inlineStr">
        <is>
          <t>Sí</t>
        </is>
      </c>
      <c r="J49" s="41" t="inlineStr">
        <is>
          <t>No</t>
        </is>
      </c>
      <c r="K49" s="30" t="inlineStr">
        <is>
          <t>A. Describir efectos de la contaminación del aire, agua y suelo en personas, plantas y animales. *
B. Explicar efectos positivos y negativos de la conducta humana en los ecosistemas. *</t>
        </is>
      </c>
    </row>
    <row r="50">
      <c r="A50" s="30" t="inlineStr">
        <is>
          <t>T8_27-B6.1</t>
        </is>
      </c>
      <c r="B50" s="30" t="inlineStr">
        <is>
          <t>T8_27</t>
        </is>
      </c>
      <c r="C50" s="30" t="inlineStr">
        <is>
          <t>Biología</t>
        </is>
      </c>
      <c r="D50" s="40" t="n">
        <v>0.35</v>
      </c>
      <c r="E50" s="30" t="inlineStr">
        <is>
          <t>T8_27-B6</t>
        </is>
      </c>
      <c r="F50" s="30" t="inlineStr">
        <is>
          <t>Salud humana</t>
        </is>
      </c>
      <c r="G50" s="30" t="inlineStr">
        <is>
          <t>Causas, transmisión, prevención y resistencia a enfermedades</t>
        </is>
      </c>
      <c r="H50" s="30" t="inlineStr">
        <is>
          <t>IEA, TIMSS 2027 Assessment Frameworks, cap. 2 (Science), 8.° grado, p. 36</t>
        </is>
      </c>
      <c r="I50" s="41" t="inlineStr">
        <is>
          <t>No</t>
        </is>
      </c>
      <c r="J50" s="41" t="inlineStr">
        <is>
          <t>No</t>
        </is>
      </c>
      <c r="K50" s="30" t="inlineStr">
        <is>
          <t>A. Describir causas, contagio y prevención de enfermedades virales, bacterianas y parasitarias.
B. Describir el papel del sistema inmunitario (anticuerpos, glóbulos blancos).
C. Reconocer qué hacen vacunas y antibióticos, y que los antibióticos pierden eficacia cuando las bacterias cambian.</t>
        </is>
      </c>
    </row>
    <row r="51">
      <c r="A51" s="30" t="inlineStr">
        <is>
          <t>T8_27-B6.2</t>
        </is>
      </c>
      <c r="B51" s="30" t="inlineStr">
        <is>
          <t>T8_27</t>
        </is>
      </c>
      <c r="C51" s="30" t="inlineStr">
        <is>
          <t>Biología</t>
        </is>
      </c>
      <c r="D51" s="40" t="n">
        <v>0.35</v>
      </c>
      <c r="E51" s="30" t="inlineStr">
        <is>
          <t>T8_27-B6</t>
        </is>
      </c>
      <c r="F51" s="30" t="inlineStr">
        <is>
          <t>Salud humana</t>
        </is>
      </c>
      <c r="G51" s="30" t="inlineStr">
        <is>
          <t>Hábitos para mantener una buena salud</t>
        </is>
      </c>
      <c r="H51" s="30" t="inlineStr">
        <is>
          <t>IEA, TIMSS 2027 Assessment Frameworks, cap. 2 (Science), 8.° grado, p. 37</t>
        </is>
      </c>
      <c r="I51" s="41" t="inlineStr">
        <is>
          <t>No</t>
        </is>
      </c>
      <c r="J51" s="41" t="inlineStr">
        <is>
          <t>No</t>
        </is>
      </c>
      <c r="K51" s="30" t="inlineStr">
        <is>
          <t>A. Explicar la importancia de dieta, ejercicio y estilo de vida para prevenir enfermedades.
B. Identificar fuentes y funciones de los nutrientes en una dieta sana.</t>
        </is>
      </c>
    </row>
    <row r="52">
      <c r="A52" s="30" t="inlineStr">
        <is>
          <t>T8_27-B7.1</t>
        </is>
      </c>
      <c r="B52" s="30" t="inlineStr">
        <is>
          <t>T8_27</t>
        </is>
      </c>
      <c r="C52" s="30" t="inlineStr">
        <is>
          <t>Biología</t>
        </is>
      </c>
      <c r="D52" s="40" t="n">
        <v>0.35</v>
      </c>
      <c r="E52" s="30" t="inlineStr">
        <is>
          <t>T8_27-B7</t>
        </is>
      </c>
      <c r="F52" s="30" t="inlineStr">
        <is>
          <t>Investigaciones biológicas</t>
        </is>
      </c>
      <c r="G52" s="30" t="inlineStr">
        <is>
          <t>Rasgos y equipo de una investigación biológica</t>
        </is>
      </c>
      <c r="H52" s="30" t="inlineStr">
        <is>
          <t>IEA, TIMSS 2027 Assessment Frameworks, cap. 2 (Science), 8.° grado, p. 37</t>
        </is>
      </c>
      <c r="I52" s="41" t="inlineStr">
        <is>
          <t>No</t>
        </is>
      </c>
      <c r="J52" s="41" t="inlineStr">
        <is>
          <t>Sí</t>
        </is>
      </c>
      <c r="K52" s="30" t="inlineStr">
        <is>
          <t>A. Explicar rasgos de una investigación biológica sólida (pregunta, variables control y tratamiento) y el uso del microscopio.</t>
        </is>
      </c>
    </row>
    <row r="53">
      <c r="A53" s="30" t="inlineStr">
        <is>
          <t>T8_27-C1.1</t>
        </is>
      </c>
      <c r="B53" s="30" t="inlineStr">
        <is>
          <t>T8_27</t>
        </is>
      </c>
      <c r="C53" s="30" t="inlineStr">
        <is>
          <t>Química</t>
        </is>
      </c>
      <c r="D53" s="40" t="n">
        <v>0.2</v>
      </c>
      <c r="E53" s="30" t="inlineStr">
        <is>
          <t>T8_27-C1</t>
        </is>
      </c>
      <c r="F53" s="30" t="inlineStr">
        <is>
          <t>Composición de la materia</t>
        </is>
      </c>
      <c r="G53" s="30" t="inlineStr">
        <is>
          <t>Estructura de átomos y moléculas</t>
        </is>
      </c>
      <c r="H53" s="30" t="inlineStr">
        <is>
          <t>IEA, TIMSS 2027 Assessment Frameworks, cap. 2 (Science), 8.° grado, p. 38</t>
        </is>
      </c>
      <c r="I53" s="41" t="inlineStr">
        <is>
          <t>No</t>
        </is>
      </c>
      <c r="J53" s="41" t="inlineStr">
        <is>
          <t>No</t>
        </is>
      </c>
      <c r="K53" s="30" t="inlineStr">
        <is>
          <t>A. Describir el átomo: electrones alrededor de un núcleo con protones y neutrones.
B. Describir la materia como partículas; las moléculas como combinaciones de átomos (H2O, O2, CO2).
C. Reconocer que el enlace químico es una atracción entre átomos en la que intervienen electrones.</t>
        </is>
      </c>
    </row>
    <row r="54">
      <c r="A54" s="30" t="inlineStr">
        <is>
          <t>T8_27-C1.2</t>
        </is>
      </c>
      <c r="B54" s="30" t="inlineStr">
        <is>
          <t>T8_27</t>
        </is>
      </c>
      <c r="C54" s="30" t="inlineStr">
        <is>
          <t>Química</t>
        </is>
      </c>
      <c r="D54" s="40" t="n">
        <v>0.2</v>
      </c>
      <c r="E54" s="30" t="inlineStr">
        <is>
          <t>T8_27-C1</t>
        </is>
      </c>
      <c r="F54" s="30" t="inlineStr">
        <is>
          <t>Composición de la materia</t>
        </is>
      </c>
      <c r="G54" s="30" t="inlineStr">
        <is>
          <t>Elementos, compuestos y mezclas</t>
        </is>
      </c>
      <c r="H54" s="30" t="inlineStr">
        <is>
          <t>IEA, TIMSS 2027 Assessment Frameworks, cap. 2 (Science), 8.° grado, p. 38</t>
        </is>
      </c>
      <c r="I54" s="41" t="inlineStr">
        <is>
          <t>No</t>
        </is>
      </c>
      <c r="J54" s="41" t="inlineStr">
        <is>
          <t>No</t>
        </is>
      </c>
      <c r="K54" s="30" t="inlineStr">
        <is>
          <t>A. Diferenciar elementos, compuestos y mezclas; sustancias puras vs mezclas homogéneas y heterogéneas.</t>
        </is>
      </c>
    </row>
    <row r="55">
      <c r="A55" s="30" t="inlineStr">
        <is>
          <t>T8_27-C1.3</t>
        </is>
      </c>
      <c r="B55" s="30" t="inlineStr">
        <is>
          <t>T8_27</t>
        </is>
      </c>
      <c r="C55" s="30" t="inlineStr">
        <is>
          <t>Química</t>
        </is>
      </c>
      <c r="D55" s="40" t="n">
        <v>0.2</v>
      </c>
      <c r="E55" s="30" t="inlineStr">
        <is>
          <t>T8_27-C1</t>
        </is>
      </c>
      <c r="F55" s="30" t="inlineStr">
        <is>
          <t>Composición de la materia</t>
        </is>
      </c>
      <c r="G55" s="30" t="inlineStr">
        <is>
          <t>La tabla periódica</t>
        </is>
      </c>
      <c r="H55" s="30" t="inlineStr">
        <is>
          <t>IEA, TIMSS 2027 Assessment Frameworks, cap. 2 (Science), 8.° grado, p. 38</t>
        </is>
      </c>
      <c r="I55" s="41" t="inlineStr">
        <is>
          <t>No</t>
        </is>
      </c>
      <c r="J55" s="41" t="inlineStr">
        <is>
          <t>No</t>
        </is>
      </c>
      <c r="K55" s="30" t="inlineStr">
        <is>
          <t>A. Reconocer que la tabla periódica ordena los elementos por número de protones.
B. Predecir propiedades de un elemento por su periodo y grupo; los del mismo grupo comparten propiedades.</t>
        </is>
      </c>
    </row>
    <row r="56">
      <c r="A56" s="30" t="inlineStr">
        <is>
          <t>T8_27-C2.1</t>
        </is>
      </c>
      <c r="B56" s="30" t="inlineStr">
        <is>
          <t>T8_27</t>
        </is>
      </c>
      <c r="C56" s="30" t="inlineStr">
        <is>
          <t>Química</t>
        </is>
      </c>
      <c r="D56" s="40" t="n">
        <v>0.2</v>
      </c>
      <c r="E56" s="30" t="inlineStr">
        <is>
          <t>T8_27-C2</t>
        </is>
      </c>
      <c r="F56" s="30" t="inlineStr">
        <is>
          <t>Propiedades de la materia</t>
        </is>
      </c>
      <c r="G56" s="30" t="inlineStr">
        <is>
          <t>Propiedades físicas y químicas para clasificar y usar materiales</t>
        </is>
      </c>
      <c r="H56" s="30" t="inlineStr">
        <is>
          <t>IEA, TIMSS 2027 Assessment Frameworks, cap. 2 (Science), 8.° grado, p. 38</t>
        </is>
      </c>
      <c r="I56" s="41" t="inlineStr">
        <is>
          <t>No</t>
        </is>
      </c>
      <c r="J56" s="41" t="inlineStr">
        <is>
          <t>No</t>
        </is>
      </c>
      <c r="K56" s="30" t="inlineStr">
        <is>
          <t>A. Distinguir propiedades físicas de propiedades químicas.
B. Clasificar sustancias por propiedades físicas (densidad, puntos de fusión/ebullición, solubilidad, conductividad).
C. Clasificar sustancias por propiedades químicas (reactividad, inflamabilidad) y relacionarlas con sus usos.</t>
        </is>
      </c>
    </row>
    <row r="57">
      <c r="A57" s="30" t="inlineStr">
        <is>
          <t>T8_27-C2.2</t>
        </is>
      </c>
      <c r="B57" s="30" t="inlineStr">
        <is>
          <t>T8_27</t>
        </is>
      </c>
      <c r="C57" s="30" t="inlineStr">
        <is>
          <t>Química</t>
        </is>
      </c>
      <c r="D57" s="40" t="n">
        <v>0.2</v>
      </c>
      <c r="E57" s="30" t="inlineStr">
        <is>
          <t>T8_27-C2</t>
        </is>
      </c>
      <c r="F57" s="30" t="inlineStr">
        <is>
          <t>Propiedades de la materia</t>
        </is>
      </c>
      <c r="G57" s="30" t="inlineStr">
        <is>
          <t>Mezclas y disoluciones</t>
        </is>
      </c>
      <c r="H57" s="30" t="inlineStr">
        <is>
          <t>IEA, TIMSS 2027 Assessment Frameworks, cap. 2 (Science), 8.° grado, p. 38</t>
        </is>
      </c>
      <c r="I57" s="41" t="inlineStr">
        <is>
          <t>No</t>
        </is>
      </c>
      <c r="J57" s="41" t="inlineStr">
        <is>
          <t>No</t>
        </is>
      </c>
      <c r="K57" s="30" t="inlineStr">
        <is>
          <t>A. Explicar métodos físicos de separación de mezclas.
B. Describir soluto y disolvente y relacionar la concentración con sus cantidades.
C. Explicar cómo temperatura, agitación y superficie de contacto afectan la rapidez de disolución.</t>
        </is>
      </c>
    </row>
    <row r="58">
      <c r="A58" s="30" t="inlineStr">
        <is>
          <t>T8_27-C2.3</t>
        </is>
      </c>
      <c r="B58" s="30" t="inlineStr">
        <is>
          <t>T8_27</t>
        </is>
      </c>
      <c r="C58" s="30" t="inlineStr">
        <is>
          <t>Química</t>
        </is>
      </c>
      <c r="D58" s="40" t="n">
        <v>0.2</v>
      </c>
      <c r="E58" s="30" t="inlineStr">
        <is>
          <t>T8_27-C2</t>
        </is>
      </c>
      <c r="F58" s="30" t="inlineStr">
        <is>
          <t>Propiedades de la materia</t>
        </is>
      </c>
      <c r="G58" s="30" t="inlineStr">
        <is>
          <t>Propiedades de ácidos y bases</t>
        </is>
      </c>
      <c r="H58" s="30" t="inlineStr">
        <is>
          <t>IEA, TIMSS 2027 Assessment Frameworks, cap. 2 (Science), 8.° grado, p. 39</t>
        </is>
      </c>
      <c r="I58" s="41" t="inlineStr">
        <is>
          <t>No</t>
        </is>
      </c>
      <c r="J58" s="41" t="inlineStr">
        <is>
          <t>No</t>
        </is>
      </c>
      <c r="K58" s="30" t="inlineStr">
        <is>
          <t>A. Reconocer ácidos y bases cotidianos por sus propiedades.
B. Reconocer el pH de ácidos (&lt;7) y bases (&gt;7), la neutralización y el cambio de color de indicadores.</t>
        </is>
      </c>
    </row>
    <row r="59">
      <c r="A59" s="30" t="inlineStr">
        <is>
          <t>T8_27-C3.1</t>
        </is>
      </c>
      <c r="B59" s="30" t="inlineStr">
        <is>
          <t>T8_27</t>
        </is>
      </c>
      <c r="C59" s="30" t="inlineStr">
        <is>
          <t>Química</t>
        </is>
      </c>
      <c r="D59" s="40" t="n">
        <v>0.2</v>
      </c>
      <c r="E59" s="30" t="inlineStr">
        <is>
          <t>T8_27-C3</t>
        </is>
      </c>
      <c r="F59" s="30" t="inlineStr">
        <is>
          <t>Reacciones químicas</t>
        </is>
      </c>
      <c r="G59" s="30" t="inlineStr">
        <is>
          <t>Características de las reacciones químicas</t>
        </is>
      </c>
      <c r="H59" s="30" t="inlineStr">
        <is>
          <t>IEA, TIMSS 2027 Assessment Frameworks, cap. 2 (Science), 8.° grado, p. 39</t>
        </is>
      </c>
      <c r="I59" s="41" t="inlineStr">
        <is>
          <t>No</t>
        </is>
      </c>
      <c r="J59" s="41" t="inlineStr">
        <is>
          <t>No</t>
        </is>
      </c>
      <c r="K59" s="30" t="inlineStr">
        <is>
          <t>A. Reconocer que en una reacción se forman sustancias nuevas y describir evidencias (gas, precipitado, color, calor, luz).</t>
        </is>
      </c>
    </row>
    <row r="60">
      <c r="A60" s="30" t="inlineStr">
        <is>
          <t>T8_27-C3.2</t>
        </is>
      </c>
      <c r="B60" s="30" t="inlineStr">
        <is>
          <t>T8_27</t>
        </is>
      </c>
      <c r="C60" s="30" t="inlineStr">
        <is>
          <t>Química</t>
        </is>
      </c>
      <c r="D60" s="40" t="n">
        <v>0.2</v>
      </c>
      <c r="E60" s="30" t="inlineStr">
        <is>
          <t>T8_27-C3</t>
        </is>
      </c>
      <c r="F60" s="30" t="inlineStr">
        <is>
          <t>Reacciones químicas</t>
        </is>
      </c>
      <c r="G60" s="30" t="inlineStr">
        <is>
          <t>Materia y energía en las reacciones químicas</t>
        </is>
      </c>
      <c r="H60" s="30" t="inlineStr">
        <is>
          <t>IEA, TIMSS 2027 Assessment Frameworks, cap. 2 (Science), 8.° grado, p. 39</t>
        </is>
      </c>
      <c r="I60" s="41" t="inlineStr">
        <is>
          <t>No</t>
        </is>
      </c>
      <c r="J60" s="41" t="inlineStr">
        <is>
          <t>No</t>
        </is>
      </c>
      <c r="K60" s="30" t="inlineStr">
        <is>
          <t>A. Reconocer la conservación de la masa: los átomos se reordenan.
B. Distinguir reacciones que liberan energía de las que la absorben.
C. Reconocer que la rapidez de reacción depende de superficie, temperatura y concentración.</t>
        </is>
      </c>
    </row>
    <row r="61">
      <c r="A61" s="30" t="inlineStr">
        <is>
          <t>T8_27-C4.1</t>
        </is>
      </c>
      <c r="B61" s="30" t="inlineStr">
        <is>
          <t>T8_27</t>
        </is>
      </c>
      <c r="C61" s="30" t="inlineStr">
        <is>
          <t>Química</t>
        </is>
      </c>
      <c r="D61" s="40" t="n">
        <v>0.2</v>
      </c>
      <c r="E61" s="30" t="inlineStr">
        <is>
          <t>T8_27-C4</t>
        </is>
      </c>
      <c r="F61" s="30" t="inlineStr">
        <is>
          <t>Investigaciones químicas</t>
        </is>
      </c>
      <c r="G61" s="30" t="inlineStr">
        <is>
          <t>Rasgos y equipo de una investigación química</t>
        </is>
      </c>
      <c r="H61" s="30" t="inlineStr">
        <is>
          <t>IEA, TIMSS 2027 Assessment Frameworks, cap. 2 (Science), 8.° grado, p. 39</t>
        </is>
      </c>
      <c r="I61" s="41" t="inlineStr">
        <is>
          <t>No</t>
        </is>
      </c>
      <c r="J61" s="41" t="inlineStr">
        <is>
          <t>Sí</t>
        </is>
      </c>
      <c r="K61" s="30" t="inlineStr">
        <is>
          <t>A. Explicar rasgos de una investigación química sólida (preguntas comprobables, cambiar una sola variable).
B. Reconocer el uso adecuado y seguro de materiales y equipo de laboratorio (balanza, beaker, tubo de ensayo).</t>
        </is>
      </c>
    </row>
    <row r="62">
      <c r="A62" s="30" t="inlineStr">
        <is>
          <t>T8_27-P1.1</t>
        </is>
      </c>
      <c r="B62" s="30" t="inlineStr">
        <is>
          <t>T8_27</t>
        </is>
      </c>
      <c r="C62" s="30" t="inlineStr">
        <is>
          <t>Física</t>
        </is>
      </c>
      <c r="D62" s="40" t="n">
        <v>0.25</v>
      </c>
      <c r="E62" s="30" t="inlineStr">
        <is>
          <t>T8_27-P1</t>
        </is>
      </c>
      <c r="F62" s="30" t="inlineStr">
        <is>
          <t>Estados físicos y cambios de la materia</t>
        </is>
      </c>
      <c r="G62" s="30" t="inlineStr">
        <is>
          <t>Movimiento de partículas en sólidos, líquidos y gases</t>
        </is>
      </c>
      <c r="H62" s="30" t="inlineStr">
        <is>
          <t>IEA, TIMSS 2027 Assessment Frameworks, cap. 2 (Science), 8.° grado, p. 40</t>
        </is>
      </c>
      <c r="I62" s="41" t="inlineStr">
        <is>
          <t>No</t>
        </is>
      </c>
      <c r="J62" s="41" t="inlineStr">
        <is>
          <t>No</t>
        </is>
      </c>
      <c r="K62" s="30" t="inlineStr">
        <is>
          <t>A. Reconocer el movimiento constante de las partículas y usarlo para explicar propiedades de cada estado.
B. Relacionar la temperatura con movimiento y distancia de partículas, presión y volumen de gases y dilatación.</t>
        </is>
      </c>
    </row>
    <row r="63">
      <c r="A63" s="30" t="inlineStr">
        <is>
          <t>T8_27-P1.2</t>
        </is>
      </c>
      <c r="B63" s="30" t="inlineStr">
        <is>
          <t>T8_27</t>
        </is>
      </c>
      <c r="C63" s="30" t="inlineStr">
        <is>
          <t>Física</t>
        </is>
      </c>
      <c r="D63" s="40" t="n">
        <v>0.25</v>
      </c>
      <c r="E63" s="30" t="inlineStr">
        <is>
          <t>T8_27-P1</t>
        </is>
      </c>
      <c r="F63" s="30" t="inlineStr">
        <is>
          <t>Estados físicos y cambios de la materia</t>
        </is>
      </c>
      <c r="G63" s="30" t="inlineStr">
        <is>
          <t>Cambios de estado</t>
        </is>
      </c>
      <c r="H63" s="30" t="inlineStr">
        <is>
          <t>IEA, TIMSS 2027 Assessment Frameworks, cap. 2 (Science), 8.° grado, p. 41</t>
        </is>
      </c>
      <c r="I63" s="41" t="inlineStr">
        <is>
          <t>No</t>
        </is>
      </c>
      <c r="J63" s="41" t="inlineStr">
        <is>
          <t>No</t>
        </is>
      </c>
      <c r="K63" s="30" t="inlineStr">
        <is>
          <t>A. Describir cambios de estado por ganancia o pérdida de energía térmica; temperatura y masa constantes.
B. Relacionar la rapidez del cambio de estado con factores físicos (superficie, temperatura ambiente).</t>
        </is>
      </c>
    </row>
    <row r="64">
      <c r="A64" s="30" t="inlineStr">
        <is>
          <t>T8_27-P2.1</t>
        </is>
      </c>
      <c r="B64" s="30" t="inlineStr">
        <is>
          <t>T8_27</t>
        </is>
      </c>
      <c r="C64" s="30" t="inlineStr">
        <is>
          <t>Física</t>
        </is>
      </c>
      <c r="D64" s="40" t="n">
        <v>0.25</v>
      </c>
      <c r="E64" s="30" t="inlineStr">
        <is>
          <t>T8_27-P2</t>
        </is>
      </c>
      <c r="F64" s="30" t="inlineStr">
        <is>
          <t>Transformación y transferencia de energía</t>
        </is>
      </c>
      <c r="G64" s="30" t="inlineStr">
        <is>
          <t>Formas de energía y conservación de la energía</t>
        </is>
      </c>
      <c r="H64" s="30" t="inlineStr">
        <is>
          <t>IEA, TIMSS 2027 Assessment Frameworks, cap. 2 (Science), 8.° grado, p. 41</t>
        </is>
      </c>
      <c r="I64" s="41" t="inlineStr">
        <is>
          <t>No</t>
        </is>
      </c>
      <c r="J64" s="41" t="inlineStr">
        <is>
          <t>No</t>
        </is>
      </c>
      <c r="K64" s="30" t="inlineStr">
        <is>
          <t>A. Identificar formas de energía (cinética, potencial, luminosa, sonora, eléctrica, térmica, química).
B. Describir transformaciones de energía en procesos comunes; la energía total de un sistema cerrado se conserva.</t>
        </is>
      </c>
    </row>
    <row r="65">
      <c r="A65" s="30" t="inlineStr">
        <is>
          <t>T8_27-P2.2</t>
        </is>
      </c>
      <c r="B65" s="30" t="inlineStr">
        <is>
          <t>T8_27</t>
        </is>
      </c>
      <c r="C65" s="30" t="inlineStr">
        <is>
          <t>Física</t>
        </is>
      </c>
      <c r="D65" s="40" t="n">
        <v>0.25</v>
      </c>
      <c r="E65" s="30" t="inlineStr">
        <is>
          <t>T8_27-P2</t>
        </is>
      </c>
      <c r="F65" s="30" t="inlineStr">
        <is>
          <t>Transformación y transferencia de energía</t>
        </is>
      </c>
      <c r="G65" s="30" t="inlineStr">
        <is>
          <t>Transferencia de energía térmica</t>
        </is>
      </c>
      <c r="H65" s="30" t="inlineStr">
        <is>
          <t>IEA, TIMSS 2027 Assessment Frameworks, cap. 2 (Science), 8.° grado, p. 41</t>
        </is>
      </c>
      <c r="I65" s="41" t="inlineStr">
        <is>
          <t>No</t>
        </is>
      </c>
      <c r="J65" s="41" t="inlineStr">
        <is>
          <t>No</t>
        </is>
      </c>
      <c r="K65" s="30" t="inlineStr">
        <is>
          <t>A. Relacionar el paso de energía térmica de lo caliente a lo frío con calentar y enfriar hasta el equilibrio.
B. Relacionar la rapidez de transferencia térmica con la conductividad del material.</t>
        </is>
      </c>
    </row>
    <row r="66">
      <c r="A66" s="30" t="inlineStr">
        <is>
          <t>T8_27-P3.1</t>
        </is>
      </c>
      <c r="B66" s="30" t="inlineStr">
        <is>
          <t>T8_27</t>
        </is>
      </c>
      <c r="C66" s="30" t="inlineStr">
        <is>
          <t>Física</t>
        </is>
      </c>
      <c r="D66" s="40" t="n">
        <v>0.25</v>
      </c>
      <c r="E66" s="30" t="inlineStr">
        <is>
          <t>T8_27-P3</t>
        </is>
      </c>
      <c r="F66" s="30" t="inlineStr">
        <is>
          <t>Luz y sonido</t>
        </is>
      </c>
      <c r="G66" s="30" t="inlineStr">
        <is>
          <t>Propiedades de la luz</t>
        </is>
      </c>
      <c r="H66" s="30" t="inlineStr">
        <is>
          <t>IEA, TIMSS 2027 Assessment Frameworks, cap. 2 (Science), 8.° grado, p. 41</t>
        </is>
      </c>
      <c r="I66" s="41" t="inlineStr">
        <is>
          <t>No</t>
        </is>
      </c>
      <c r="J66" s="41" t="inlineStr">
        <is>
          <t>No</t>
        </is>
      </c>
      <c r="K66" s="30" t="inlineStr">
        <is>
          <t>A. Describir propiedades de la luz (rapidez, reflexión, refracción, absorción, dispersión) y el color de los objetos.
B. Resolver problemas con espejos planos y sombras; interpretar diagramas de rayos.</t>
        </is>
      </c>
    </row>
    <row r="67">
      <c r="A67" s="30" t="inlineStr">
        <is>
          <t>T8_27-P3.2</t>
        </is>
      </c>
      <c r="B67" s="30" t="inlineStr">
        <is>
          <t>T8_27</t>
        </is>
      </c>
      <c r="C67" s="30" t="inlineStr">
        <is>
          <t>Física</t>
        </is>
      </c>
      <c r="D67" s="40" t="n">
        <v>0.25</v>
      </c>
      <c r="E67" s="30" t="inlineStr">
        <is>
          <t>T8_27-P3</t>
        </is>
      </c>
      <c r="F67" s="30" t="inlineStr">
        <is>
          <t>Luz y sonido</t>
        </is>
      </c>
      <c r="G67" s="30" t="inlineStr">
        <is>
          <t>Propiedades del sonido</t>
        </is>
      </c>
      <c r="H67" s="30" t="inlineStr">
        <is>
          <t>IEA, TIMSS 2027 Assessment Frameworks, cap. 2 (Science), 8.° grado, p. 41</t>
        </is>
      </c>
      <c r="I67" s="41" t="inlineStr">
        <is>
          <t>No</t>
        </is>
      </c>
      <c r="J67" s="41" t="inlineStr">
        <is>
          <t>No</t>
        </is>
      </c>
      <c r="K67" s="30" t="inlineStr">
        <is>
          <t>A. Describir el sonido como onda (amplitud, frecuencia, medio, reflexión, rapidez) y relacionarlo con ecos y truenos.</t>
        </is>
      </c>
    </row>
    <row r="68">
      <c r="A68" s="30" t="inlineStr">
        <is>
          <t>T8_27-P4.1</t>
        </is>
      </c>
      <c r="B68" s="30" t="inlineStr">
        <is>
          <t>T8_27</t>
        </is>
      </c>
      <c r="C68" s="30" t="inlineStr">
        <is>
          <t>Física</t>
        </is>
      </c>
      <c r="D68" s="40" t="n">
        <v>0.25</v>
      </c>
      <c r="E68" s="30" t="inlineStr">
        <is>
          <t>T8_27-P4</t>
        </is>
      </c>
      <c r="F68" s="30" t="inlineStr">
        <is>
          <t>Electricidad y magnetismo</t>
        </is>
      </c>
      <c r="G68" s="30" t="inlineStr">
        <is>
          <t>Conductores y corriente en circuitos eléctricos</t>
        </is>
      </c>
      <c r="H68" s="30" t="inlineStr">
        <is>
          <t>IEA, TIMSS 2027 Assessment Frameworks, cap. 2 (Science), 8.° grado, p. 41</t>
        </is>
      </c>
      <c r="I68" s="41" t="inlineStr">
        <is>
          <t>No</t>
        </is>
      </c>
      <c r="J68" s="41" t="inlineStr">
        <is>
          <t>No</t>
        </is>
      </c>
      <c r="K68" s="30" t="inlineStr">
        <is>
          <t>A. Identificar conductores y aislantes y los componentes que cierran un circuito.
B. Reconocer circuitos completos e incompletos, en serie y en paralelo; interpretar sus diagramas.</t>
        </is>
      </c>
    </row>
    <row r="69">
      <c r="A69" s="30" t="inlineStr">
        <is>
          <t>T8_27-P4.2</t>
        </is>
      </c>
      <c r="B69" s="30" t="inlineStr">
        <is>
          <t>T8_27</t>
        </is>
      </c>
      <c r="C69" s="30" t="inlineStr">
        <is>
          <t>Física</t>
        </is>
      </c>
      <c r="D69" s="40" t="n">
        <v>0.25</v>
      </c>
      <c r="E69" s="30" t="inlineStr">
        <is>
          <t>T8_27-P4</t>
        </is>
      </c>
      <c r="F69" s="30" t="inlineStr">
        <is>
          <t>Electricidad y magnetismo</t>
        </is>
      </c>
      <c r="G69" s="30" t="inlineStr">
        <is>
          <t>Propiedades y usos de imanes permanentes y electroimanes</t>
        </is>
      </c>
      <c r="H69" s="30" t="inlineStr">
        <is>
          <t>IEA, TIMSS 2027 Assessment Frameworks, cap. 2 (Science), 8.° grado, p. 42</t>
        </is>
      </c>
      <c r="I69" s="41" t="inlineStr">
        <is>
          <t>No</t>
        </is>
      </c>
      <c r="J69" s="41" t="inlineStr">
        <is>
          <t>No</t>
        </is>
      </c>
      <c r="K69" s="30" t="inlineStr">
        <is>
          <t>A. Relacionar propiedades de los imanes permanentes con usos cotidianos (brújula).
B. Describir propiedades propias de los electroimanes y relacionarlas con usos (timbre, reciclaje).</t>
        </is>
      </c>
    </row>
    <row r="70">
      <c r="A70" s="30" t="inlineStr">
        <is>
          <t>T8_27-P5.1</t>
        </is>
      </c>
      <c r="B70" s="30" t="inlineStr">
        <is>
          <t>T8_27</t>
        </is>
      </c>
      <c r="C70" s="30" t="inlineStr">
        <is>
          <t>Física</t>
        </is>
      </c>
      <c r="D70" s="40" t="n">
        <v>0.25</v>
      </c>
      <c r="E70" s="30" t="inlineStr">
        <is>
          <t>T8_27-P5</t>
        </is>
      </c>
      <c r="F70" s="30" t="inlineStr">
        <is>
          <t>Movimiento y fuerzas</t>
        </is>
      </c>
      <c r="G70" s="30" t="inlineStr">
        <is>
          <t>Movimiento</t>
        </is>
      </c>
      <c r="H70" s="30" t="inlineStr">
        <is>
          <t>IEA, TIMSS 2027 Assessment Frameworks, cap. 2 (Science), 8.° grado, p. 42</t>
        </is>
      </c>
      <c r="I70" s="41" t="inlineStr">
        <is>
          <t>No</t>
        </is>
      </c>
      <c r="J70" s="41" t="inlineStr">
        <is>
          <t>No</t>
        </is>
      </c>
      <c r="K70" s="30" t="inlineStr">
        <is>
          <t>A. Reconocer la rapidez como cambio de posición en el tiempo y la aceleración como cambio de rapidez.</t>
        </is>
      </c>
    </row>
    <row r="71">
      <c r="A71" s="30" t="inlineStr">
        <is>
          <t>T8_27-P5.2</t>
        </is>
      </c>
      <c r="B71" s="30" t="inlineStr">
        <is>
          <t>T8_27</t>
        </is>
      </c>
      <c r="C71" s="30" t="inlineStr">
        <is>
          <t>Física</t>
        </is>
      </c>
      <c r="D71" s="40" t="n">
        <v>0.25</v>
      </c>
      <c r="E71" s="30" t="inlineStr">
        <is>
          <t>T8_27-P5</t>
        </is>
      </c>
      <c r="F71" s="30" t="inlineStr">
        <is>
          <t>Movimiento y fuerzas</t>
        </is>
      </c>
      <c r="G71" s="30" t="inlineStr">
        <is>
          <t>Fuerzas comunes y sus características</t>
        </is>
      </c>
      <c r="H71" s="30" t="inlineStr">
        <is>
          <t>IEA, TIMSS 2027 Assessment Frameworks, cap. 2 (Science), 8.° grado, p. 42</t>
        </is>
      </c>
      <c r="I71" s="41" t="inlineStr">
        <is>
          <t>No</t>
        </is>
      </c>
      <c r="J71" s="41" t="inlineStr">
        <is>
          <t>No</t>
        </is>
      </c>
      <c r="K71" s="30" t="inlineStr">
        <is>
          <t>A. Describir fuerzas mecánicas comunes (normal, fricción, elástica, empuje); el peso como fuerza de gravedad.
B. Reconocer que las fuerzas tienen magnitud y dirección; acción y reacción.</t>
        </is>
      </c>
    </row>
    <row r="72">
      <c r="A72" s="30" t="inlineStr">
        <is>
          <t>T8_27-P5.3</t>
        </is>
      </c>
      <c r="B72" s="30" t="inlineStr">
        <is>
          <t>T8_27</t>
        </is>
      </c>
      <c r="C72" s="30" t="inlineStr">
        <is>
          <t>Física</t>
        </is>
      </c>
      <c r="D72" s="40" t="n">
        <v>0.25</v>
      </c>
      <c r="E72" s="30" t="inlineStr">
        <is>
          <t>T8_27-P5</t>
        </is>
      </c>
      <c r="F72" s="30" t="inlineStr">
        <is>
          <t>Movimiento y fuerzas</t>
        </is>
      </c>
      <c r="G72" s="30" t="inlineStr">
        <is>
          <t>Efectos de las fuerzas</t>
        </is>
      </c>
      <c r="H72" s="30" t="inlineStr">
        <is>
          <t>IEA, TIMSS 2027 Assessment Frameworks, cap. 2 (Science), 8.° grado, p. 42</t>
        </is>
      </c>
      <c r="I72" s="41" t="inlineStr">
        <is>
          <t>No</t>
        </is>
      </c>
      <c r="J72" s="41" t="inlineStr">
        <is>
          <t>No</t>
        </is>
      </c>
      <c r="K72" s="30" t="inlineStr">
        <is>
          <t>A. Describir el funcionamiento de máquinas simples.
B. Explicar flotación por diferencias de densidad y fuerza de empuje.
C. Describir la presión como fuerza sobre área y sus efectos.
D. Predecir cambios cualitativos del movimiento según las fuerzas; efecto de la fricción y el aire.</t>
        </is>
      </c>
    </row>
    <row r="73">
      <c r="A73" s="30" t="inlineStr">
        <is>
          <t>T8_27-P6.1</t>
        </is>
      </c>
      <c r="B73" s="30" t="inlineStr">
        <is>
          <t>T8_27</t>
        </is>
      </c>
      <c r="C73" s="30" t="inlineStr">
        <is>
          <t>Física</t>
        </is>
      </c>
      <c r="D73" s="40" t="n">
        <v>0.25</v>
      </c>
      <c r="E73" s="30" t="inlineStr">
        <is>
          <t>T8_27-P6</t>
        </is>
      </c>
      <c r="F73" s="30" t="inlineStr">
        <is>
          <t>Investigaciones en física</t>
        </is>
      </c>
      <c r="G73" s="30" t="inlineStr">
        <is>
          <t>Rasgos y equipo de una investigación en física</t>
        </is>
      </c>
      <c r="H73" s="30" t="inlineStr">
        <is>
          <t>IEA, TIMSS 2027 Assessment Frameworks, cap. 2 (Science), 8.° grado, p. 42</t>
        </is>
      </c>
      <c r="I73" s="41" t="inlineStr">
        <is>
          <t>No</t>
        </is>
      </c>
      <c r="J73" s="41" t="inlineStr">
        <is>
          <t>Sí</t>
        </is>
      </c>
      <c r="K73" s="30" t="inlineStr">
        <is>
          <t>A. Explicar rasgos de una investigación sólida en física (preguntas contestables, repetir mediciones).
B. Reconocer el uso adecuado y seguro de equipo (balanza, amperímetro, dinamómetro).</t>
        </is>
      </c>
    </row>
    <row r="74">
      <c r="A74" s="30" t="inlineStr">
        <is>
          <t>T8_27-E1.1</t>
        </is>
      </c>
      <c r="B74" s="30" t="inlineStr">
        <is>
          <t>T8_27</t>
        </is>
      </c>
      <c r="C74" s="30" t="inlineStr">
        <is>
          <t>Ciencias de la Tierra</t>
        </is>
      </c>
      <c r="D74" s="40" t="n">
        <v>0.2</v>
      </c>
      <c r="E74" s="30" t="inlineStr">
        <is>
          <t>T8_27-E1</t>
        </is>
      </c>
      <c r="F74" s="30" t="inlineStr">
        <is>
          <t>Rasgos, procesos e historia de la Tierra</t>
        </is>
      </c>
      <c r="G74" s="30" t="inlineStr">
        <is>
          <t>Estructura de la Tierra y distribución del agua</t>
        </is>
      </c>
      <c r="H74" s="30" t="inlineStr">
        <is>
          <t>IEA, TIMSS 2027 Assessment Frameworks, cap. 2 (Science), 8.° grado, p. 43</t>
        </is>
      </c>
      <c r="I74" s="41" t="inlineStr">
        <is>
          <t>Sí</t>
        </is>
      </c>
      <c r="J74" s="41" t="inlineStr">
        <is>
          <t>No</t>
        </is>
      </c>
      <c r="K74" s="30" t="inlineStr">
        <is>
          <t>A. Describir corteza, manto y núcleos interno y externo y sus características.
B. Describir la distribución del agua por estado y dulce/salada; métodos para obtener agua dulce (desalinizar, potabilizar). *</t>
        </is>
      </c>
    </row>
    <row r="75">
      <c r="A75" s="30" t="inlineStr">
        <is>
          <t>T8_27-E1.2</t>
        </is>
      </c>
      <c r="B75" s="30" t="inlineStr">
        <is>
          <t>T8_27</t>
        </is>
      </c>
      <c r="C75" s="30" t="inlineStr">
        <is>
          <t>Ciencias de la Tierra</t>
        </is>
      </c>
      <c r="D75" s="40" t="n">
        <v>0.2</v>
      </c>
      <c r="E75" s="30" t="inlineStr">
        <is>
          <t>T8_27-E1</t>
        </is>
      </c>
      <c r="F75" s="30" t="inlineStr">
        <is>
          <t>Rasgos, procesos e historia de la Tierra</t>
        </is>
      </c>
      <c r="G75" s="30" t="inlineStr">
        <is>
          <t>Procesos geológicos</t>
        </is>
      </c>
      <c r="H75" s="30" t="inlineStr">
        <is>
          <t>IEA, TIMSS 2027 Assessment Frameworks, cap. 2 (Science), 8.° grado, p. 43</t>
        </is>
      </c>
      <c r="I75" s="41" t="inlineStr">
        <is>
          <t>Sí</t>
        </is>
      </c>
      <c r="J75" s="41" t="inlineStr">
        <is>
          <t>No</t>
        </is>
      </c>
      <c r="K75" s="30" t="inlineStr">
        <is>
          <t>A. Describir el ciclo de las rocas.
B. Describir grandes cambios de la superficie por glaciación, placas tectónicas, sismos, volcanes o asteroides.
C. Explicar la formación de fósiles y combustibles fósiles; usar el registro fósil para inferir cambios ambientales. *</t>
        </is>
      </c>
    </row>
    <row r="76">
      <c r="A76" s="30" t="inlineStr">
        <is>
          <t>T8_27-E2.1</t>
        </is>
      </c>
      <c r="B76" s="30" t="inlineStr">
        <is>
          <t>T8_27</t>
        </is>
      </c>
      <c r="C76" s="30" t="inlineStr">
        <is>
          <t>Ciencias de la Tierra</t>
        </is>
      </c>
      <c r="D76" s="40" t="n">
        <v>0.2</v>
      </c>
      <c r="E76" s="30" t="inlineStr">
        <is>
          <t>T8_27-E2</t>
        </is>
      </c>
      <c r="F76" s="30" t="inlineStr">
        <is>
          <t>La atmósfera terrestre</t>
        </is>
      </c>
      <c r="G76" s="30" t="inlineStr">
        <is>
          <t>Componentes de la atmósfera y condiciones atmosféricas</t>
        </is>
      </c>
      <c r="H76" s="30" t="inlineStr">
        <is>
          <t>IEA, TIMSS 2027 Assessment Frameworks, cap. 2 (Science), 8.° grado, p. 44</t>
        </is>
      </c>
      <c r="I76" s="41" t="inlineStr">
        <is>
          <t>Sí</t>
        </is>
      </c>
      <c r="J76" s="41" t="inlineStr">
        <is>
          <t>No</t>
        </is>
      </c>
      <c r="K76" s="30" t="inlineStr">
        <is>
          <t>A. Reconocer la atmósfera como mezcla de gases y la abundancia relativa de N2, O2, vapor de agua y CO2. *
B. Relacionar cambios de temperatura y presión con la altitud.</t>
        </is>
      </c>
    </row>
    <row r="77">
      <c r="A77" s="30" t="inlineStr">
        <is>
          <t>T8_27-E2.2</t>
        </is>
      </c>
      <c r="B77" s="30" t="inlineStr">
        <is>
          <t>T8_27</t>
        </is>
      </c>
      <c r="C77" s="30" t="inlineStr">
        <is>
          <t>Ciencias de la Tierra</t>
        </is>
      </c>
      <c r="D77" s="40" t="n">
        <v>0.2</v>
      </c>
      <c r="E77" s="30" t="inlineStr">
        <is>
          <t>T8_27-E2</t>
        </is>
      </c>
      <c r="F77" s="30" t="inlineStr">
        <is>
          <t>La atmósfera terrestre</t>
        </is>
      </c>
      <c r="G77" s="30" t="inlineStr">
        <is>
          <t>El ciclo del agua</t>
        </is>
      </c>
      <c r="H77" s="30" t="inlineStr">
        <is>
          <t>IEA, TIMSS 2027 Assessment Frameworks, cap. 2 (Science), 8.° grado, p. 44</t>
        </is>
      </c>
      <c r="I77" s="41" t="inlineStr">
        <is>
          <t>Sí</t>
        </is>
      </c>
      <c r="J77" s="41" t="inlineStr">
        <is>
          <t>No</t>
        </is>
      </c>
      <c r="K77" s="30" t="inlineStr">
        <is>
          <t>A. Describir los procesos del ciclo del agua, su papel en renovar el agua dulce y el Sol como fuente de energía. *
B. Reconocer que nubes y lluvia se forman por condensación al enfriarse el aire que asciende.</t>
        </is>
      </c>
    </row>
    <row r="78">
      <c r="A78" s="30" t="inlineStr">
        <is>
          <t>T8_27-E2.3</t>
        </is>
      </c>
      <c r="B78" s="30" t="inlineStr">
        <is>
          <t>T8_27</t>
        </is>
      </c>
      <c r="C78" s="30" t="inlineStr">
        <is>
          <t>Ciencias de la Tierra</t>
        </is>
      </c>
      <c r="D78" s="40" t="n">
        <v>0.2</v>
      </c>
      <c r="E78" s="30" t="inlineStr">
        <is>
          <t>T8_27-E2</t>
        </is>
      </c>
      <c r="F78" s="30" t="inlineStr">
        <is>
          <t>La atmósfera terrestre</t>
        </is>
      </c>
      <c r="G78" s="30" t="inlineStr">
        <is>
          <t>Tiempo atmosférico y clima</t>
        </is>
      </c>
      <c r="H78" s="30" t="inlineStr">
        <is>
          <t>IEA, TIMSS 2027 Assessment Frameworks, cap. 2 (Science), 8.° grado, p. 44</t>
        </is>
      </c>
      <c r="I78" s="41" t="inlineStr">
        <is>
          <t>Sí</t>
        </is>
      </c>
      <c r="J78" s="41" t="inlineStr">
        <is>
          <t>No</t>
        </is>
      </c>
      <c r="K78" s="30" t="inlineStr">
        <is>
          <t>A. Distinguir tiempo atmosférico de clima. *
B. Interpretar datos para identificar tipos de clima; relacionarlos con hemisferio, latitud, altitud y geografía.</t>
        </is>
      </c>
    </row>
    <row r="79">
      <c r="A79" s="30" t="inlineStr">
        <is>
          <t>T8_27-E2.4</t>
        </is>
      </c>
      <c r="B79" s="30" t="inlineStr">
        <is>
          <t>T8_27</t>
        </is>
      </c>
      <c r="C79" s="30" t="inlineStr">
        <is>
          <t>Ciencias de la Tierra</t>
        </is>
      </c>
      <c r="D79" s="40" t="n">
        <v>0.2</v>
      </c>
      <c r="E79" s="30" t="inlineStr">
        <is>
          <t>T8_27-E2</t>
        </is>
      </c>
      <c r="F79" s="30" t="inlineStr">
        <is>
          <t>La atmósfera terrestre</t>
        </is>
      </c>
      <c r="G79" s="30" t="inlineStr">
        <is>
          <t>Cambio climático</t>
        </is>
      </c>
      <c r="H79" s="30" t="inlineStr">
        <is>
          <t>IEA, TIMSS 2027 Assessment Frameworks, cap. 2 (Science), 8.° grado, p. 44</t>
        </is>
      </c>
      <c r="I79" s="41" t="inlineStr">
        <is>
          <t>Sí</t>
        </is>
      </c>
      <c r="J79" s="41" t="inlineStr">
        <is>
          <t>No</t>
        </is>
      </c>
      <c r="K79" s="30" t="inlineStr">
        <is>
          <t>A. Identificar posibles causas del cambio climático global (gases de efecto invernadero, volcanes). *
B. Interpretar datos que evidencian el cambio climático local y global. *</t>
        </is>
      </c>
    </row>
    <row r="80">
      <c r="A80" s="30" t="inlineStr">
        <is>
          <t>T8_27-E3.1</t>
        </is>
      </c>
      <c r="B80" s="30" t="inlineStr">
        <is>
          <t>T8_27</t>
        </is>
      </c>
      <c r="C80" s="30" t="inlineStr">
        <is>
          <t>Ciencias de la Tierra</t>
        </is>
      </c>
      <c r="D80" s="40" t="n">
        <v>0.2</v>
      </c>
      <c r="E80" s="30" t="inlineStr">
        <is>
          <t>T8_27-E3</t>
        </is>
      </c>
      <c r="F80" s="30" t="inlineStr">
        <is>
          <t>Recursos de la Tierra, uso y conservación</t>
        </is>
      </c>
      <c r="G80" s="30" t="inlineStr">
        <is>
          <t>Fuentes de energía</t>
        </is>
      </c>
      <c r="H80" s="30" t="inlineStr">
        <is>
          <t>IEA, TIMSS 2027 Assessment Frameworks, cap. 2 (Science), 8.° grado, p. 44</t>
        </is>
      </c>
      <c r="I80" s="41" t="inlineStr">
        <is>
          <t>Sí</t>
        </is>
      </c>
      <c r="J80" s="41" t="inlineStr">
        <is>
          <t>No</t>
        </is>
      </c>
      <c r="K80" s="30" t="inlineStr">
        <is>
          <t>A. Identificar fuentes de energía (solar, eólica, hídrica, geotérmica, biomasa, nuclear, fósil) y sus ventajas y desventajas. *</t>
        </is>
      </c>
    </row>
    <row r="81">
      <c r="A81" s="30" t="inlineStr">
        <is>
          <t>T8_27-E3.2</t>
        </is>
      </c>
      <c r="B81" s="30" t="inlineStr">
        <is>
          <t>T8_27</t>
        </is>
      </c>
      <c r="C81" s="30" t="inlineStr">
        <is>
          <t>Ciencias de la Tierra</t>
        </is>
      </c>
      <c r="D81" s="40" t="n">
        <v>0.2</v>
      </c>
      <c r="E81" s="30" t="inlineStr">
        <is>
          <t>T8_27-E3</t>
        </is>
      </c>
      <c r="F81" s="30" t="inlineStr">
        <is>
          <t>Recursos de la Tierra, uso y conservación</t>
        </is>
      </c>
      <c r="G81" s="30" t="inlineStr">
        <is>
          <t>Gestión de los recursos de la Tierra</t>
        </is>
      </c>
      <c r="H81" s="30" t="inlineStr">
        <is>
          <t>IEA, TIMSS 2027 Assessment Frameworks, cap. 2 (Science), 8.° grado, p. 44</t>
        </is>
      </c>
      <c r="I81" s="41" t="inlineStr">
        <is>
          <t>Sí</t>
        </is>
      </c>
      <c r="J81" s="41" t="inlineStr">
        <is>
          <t>No</t>
        </is>
      </c>
      <c r="K81" s="30" t="inlineStr">
        <is>
          <t>A. Dar ejemplos de recursos renovables y no renovables. *
B. Explicar cómo agricultura, tala y minería afectan los recursos. *
C. Explicar la conservación de recursos y comparar métodos, incluido el manejo de residuos (reducir, reutilizar, reciclar). *</t>
        </is>
      </c>
    </row>
    <row r="82">
      <c r="A82" s="30" t="inlineStr">
        <is>
          <t>T8_27-E4.1</t>
        </is>
      </c>
      <c r="B82" s="30" t="inlineStr">
        <is>
          <t>T8_27</t>
        </is>
      </c>
      <c r="C82" s="30" t="inlineStr">
        <is>
          <t>Ciencias de la Tierra</t>
        </is>
      </c>
      <c r="D82" s="40" t="n">
        <v>0.2</v>
      </c>
      <c r="E82" s="30" t="inlineStr">
        <is>
          <t>T8_27-E4</t>
        </is>
      </c>
      <c r="F82" s="30" t="inlineStr">
        <is>
          <t>La Tierra en el sistema solar</t>
        </is>
      </c>
      <c r="G82" s="30" t="inlineStr">
        <is>
          <t>Fenómenos observables por los movimientos de la Tierra y la Luna</t>
        </is>
      </c>
      <c r="H82" s="30" t="inlineStr">
        <is>
          <t>IEA, TIMSS 2027 Assessment Frameworks, cap. 2 (Science), 8.° grado, p. 45</t>
        </is>
      </c>
      <c r="I82" s="41" t="inlineStr">
        <is>
          <t>No</t>
        </is>
      </c>
      <c r="J82" s="41" t="inlineStr">
        <is>
          <t>No</t>
        </is>
      </c>
      <c r="K82" s="30" t="inlineStr">
        <is>
          <t>A. Describir efectos de la rotación (día, noche, sombras) y de la traslación con eje inclinado (estaciones).
B. Reconocer que la Luna causa las mareas; relacionar fases y eclipses con las posiciones de Tierra, Luna y Sol.</t>
        </is>
      </c>
    </row>
    <row r="83">
      <c r="A83" s="30" t="inlineStr">
        <is>
          <t>T8_27-E4.2</t>
        </is>
      </c>
      <c r="B83" s="30" t="inlineStr">
        <is>
          <t>T8_27</t>
        </is>
      </c>
      <c r="C83" s="30" t="inlineStr">
        <is>
          <t>Ciencias de la Tierra</t>
        </is>
      </c>
      <c r="D83" s="40" t="n">
        <v>0.2</v>
      </c>
      <c r="E83" s="30" t="inlineStr">
        <is>
          <t>T8_27-E4</t>
        </is>
      </c>
      <c r="F83" s="30" t="inlineStr">
        <is>
          <t>La Tierra en el sistema solar</t>
        </is>
      </c>
      <c r="G83" s="30" t="inlineStr">
        <is>
          <t>El Sol, la Tierra, la Luna y los planetas</t>
        </is>
      </c>
      <c r="H83" s="30" t="inlineStr">
        <is>
          <t>IEA, TIMSS 2027 Assessment Frameworks, cap. 2 (Science), 8.° grado, p. 45</t>
        </is>
      </c>
      <c r="I83" s="41" t="inlineStr">
        <is>
          <t>No</t>
        </is>
      </c>
      <c r="J83" s="41" t="inlineStr">
        <is>
          <t>No</t>
        </is>
      </c>
      <c r="K83" s="30" t="inlineStr">
        <is>
          <t>A. Reconocer el Sol como estrella que da luz y calor; planetas y lunas se ven por luz reflejada.
B. Interpretar datos para comparar la Tierra, la Luna y otros planetas; la gravedad mantiene las órbitas.</t>
        </is>
      </c>
    </row>
    <row r="84">
      <c r="A84" s="30" t="inlineStr">
        <is>
          <t>T8_27-E5.1</t>
        </is>
      </c>
      <c r="B84" s="30" t="inlineStr">
        <is>
          <t>T8_27</t>
        </is>
      </c>
      <c r="C84" s="30" t="inlineStr">
        <is>
          <t>Ciencias de la Tierra</t>
        </is>
      </c>
      <c r="D84" s="40" t="n">
        <v>0.2</v>
      </c>
      <c r="E84" s="30" t="inlineStr">
        <is>
          <t>T8_27-E5</t>
        </is>
      </c>
      <c r="F84" s="30" t="inlineStr">
        <is>
          <t>Investigaciones en ciencias de la Tierra</t>
        </is>
      </c>
      <c r="G84" s="30" t="inlineStr">
        <is>
          <t>Equipo usado en investigaciones de ciencias de la Tierra</t>
        </is>
      </c>
      <c r="H84" s="30" t="inlineStr">
        <is>
          <t>IEA, TIMSS 2027 Assessment Frameworks, cap. 2 (Science), 8.° grado, p. 45</t>
        </is>
      </c>
      <c r="I84" s="41" t="inlineStr">
        <is>
          <t>No</t>
        </is>
      </c>
      <c r="J84" s="41" t="inlineStr">
        <is>
          <t>Sí</t>
        </is>
      </c>
      <c r="K84" s="30" t="inlineStr">
        <is>
          <t>A. Reconocer el uso de telescopio o brújula en una investigación.</t>
        </is>
      </c>
    </row>
    <row r="85">
      <c r="A85" s="30" t="inlineStr">
        <is>
          <t>TA-M1.1</t>
        </is>
      </c>
      <c r="B85" s="30" t="inlineStr">
        <is>
          <t>TA</t>
        </is>
      </c>
      <c r="C85" s="30" t="inlineStr">
        <is>
          <t>Mecánica y termodinámica</t>
        </is>
      </c>
      <c r="D85" s="40" t="n">
        <v>0.4</v>
      </c>
      <c r="E85" s="30" t="inlineStr">
        <is>
          <t>TA-M1</t>
        </is>
      </c>
      <c r="F85" s="30" t="inlineStr">
        <is>
          <t>Fuerzas y movimiento</t>
        </is>
      </c>
      <c r="G85" s="30" t="inlineStr">
        <is>
          <t>Cinemática y leyes de Newton</t>
        </is>
      </c>
      <c r="H85" s="30" t="inlineStr">
        <is>
          <t>IEA, TIMSS Advanced 2015 Frameworks, cap. 2 (Physics)</t>
        </is>
      </c>
      <c r="I85" s="41" t="inlineStr">
        <is>
          <t>No</t>
        </is>
      </c>
      <c r="J85" s="41" t="inlineStr">
        <is>
          <t>No</t>
        </is>
      </c>
      <c r="K85" s="30" t="inlineStr"/>
    </row>
    <row r="86">
      <c r="A86" s="30" t="inlineStr">
        <is>
          <t>TA-M1.2</t>
        </is>
      </c>
      <c r="B86" s="30" t="inlineStr">
        <is>
          <t>TA</t>
        </is>
      </c>
      <c r="C86" s="30" t="inlineStr">
        <is>
          <t>Mecánica y termodinámica</t>
        </is>
      </c>
      <c r="D86" s="40" t="n">
        <v>0.4</v>
      </c>
      <c r="E86" s="30" t="inlineStr">
        <is>
          <t>TA-M1</t>
        </is>
      </c>
      <c r="F86" s="30" t="inlineStr">
        <is>
          <t>Fuerzas y movimiento</t>
        </is>
      </c>
      <c r="G86" s="30" t="inlineStr">
        <is>
          <t>Fuerzas sobre cuerpos y sus efectos</t>
        </is>
      </c>
      <c r="H86" s="30" t="inlineStr">
        <is>
          <t>IEA, TIMSS Advanced 2015 Frameworks, cap. 2 (Physics)</t>
        </is>
      </c>
      <c r="I86" s="41" t="inlineStr">
        <is>
          <t>No</t>
        </is>
      </c>
      <c r="J86" s="41" t="inlineStr">
        <is>
          <t>No</t>
        </is>
      </c>
      <c r="K86" s="30" t="inlineStr"/>
    </row>
    <row r="87">
      <c r="A87" s="30" t="inlineStr">
        <is>
          <t>TA-M1.3</t>
        </is>
      </c>
      <c r="B87" s="30" t="inlineStr">
        <is>
          <t>TA</t>
        </is>
      </c>
      <c r="C87" s="30" t="inlineStr">
        <is>
          <t>Mecánica y termodinámica</t>
        </is>
      </c>
      <c r="D87" s="40" t="n">
        <v>0.4</v>
      </c>
      <c r="E87" s="30" t="inlineStr">
        <is>
          <t>TA-M1</t>
        </is>
      </c>
      <c r="F87" s="30" t="inlineStr">
        <is>
          <t>Fuerzas y movimiento</t>
        </is>
      </c>
      <c r="G87" s="30" t="inlineStr">
        <is>
          <t>Movimiento circular: fuerza y aceleración centrípeta</t>
        </is>
      </c>
      <c r="H87" s="30" t="inlineStr">
        <is>
          <t>IEA, TIMSS Advanced 2015 Frameworks, cap. 2 (Physics)</t>
        </is>
      </c>
      <c r="I87" s="41" t="inlineStr">
        <is>
          <t>No</t>
        </is>
      </c>
      <c r="J87" s="41" t="inlineStr">
        <is>
          <t>No</t>
        </is>
      </c>
      <c r="K87" s="30" t="inlineStr"/>
    </row>
    <row r="88">
      <c r="A88" s="30" t="inlineStr">
        <is>
          <t>TA-M1.4</t>
        </is>
      </c>
      <c r="B88" s="30" t="inlineStr">
        <is>
          <t>TA</t>
        </is>
      </c>
      <c r="C88" s="30" t="inlineStr">
        <is>
          <t>Mecánica y termodinámica</t>
        </is>
      </c>
      <c r="D88" s="40" t="n">
        <v>0.4</v>
      </c>
      <c r="E88" s="30" t="inlineStr">
        <is>
          <t>TA-M1</t>
        </is>
      </c>
      <c r="F88" s="30" t="inlineStr">
        <is>
          <t>Fuerzas y movimiento</t>
        </is>
      </c>
      <c r="G88" s="30" t="inlineStr">
        <is>
          <t>Ley de gravitación y movimiento de cuerpos celestes</t>
        </is>
      </c>
      <c r="H88" s="30" t="inlineStr">
        <is>
          <t>IEA, TIMSS Advanced 2015 Frameworks, cap. 2 (Physics)</t>
        </is>
      </c>
      <c r="I88" s="41" t="inlineStr">
        <is>
          <t>No</t>
        </is>
      </c>
      <c r="J88" s="41" t="inlineStr">
        <is>
          <t>No</t>
        </is>
      </c>
      <c r="K88" s="30" t="inlineStr"/>
    </row>
    <row r="89">
      <c r="A89" s="30" t="inlineStr">
        <is>
          <t>TA-M2.1</t>
        </is>
      </c>
      <c r="B89" s="30" t="inlineStr">
        <is>
          <t>TA</t>
        </is>
      </c>
      <c r="C89" s="30" t="inlineStr">
        <is>
          <t>Mecánica y termodinámica</t>
        </is>
      </c>
      <c r="D89" s="40" t="n">
        <v>0.4</v>
      </c>
      <c r="E89" s="30" t="inlineStr">
        <is>
          <t>TA-M2</t>
        </is>
      </c>
      <c r="F89" s="30" t="inlineStr">
        <is>
          <t>Leyes de conservación</t>
        </is>
      </c>
      <c r="G89" s="30" t="inlineStr">
        <is>
          <t>Conservación de la energía mecánica</t>
        </is>
      </c>
      <c r="H89" s="30" t="inlineStr">
        <is>
          <t>IEA, TIMSS Advanced 2015 Frameworks, cap. 2 (Physics)</t>
        </is>
      </c>
      <c r="I89" s="41" t="inlineStr">
        <is>
          <t>No</t>
        </is>
      </c>
      <c r="J89" s="41" t="inlineStr">
        <is>
          <t>No</t>
        </is>
      </c>
      <c r="K89" s="30" t="inlineStr"/>
    </row>
    <row r="90">
      <c r="A90" s="30" t="inlineStr">
        <is>
          <t>TA-M2.2</t>
        </is>
      </c>
      <c r="B90" s="30" t="inlineStr">
        <is>
          <t>TA</t>
        </is>
      </c>
      <c r="C90" s="30" t="inlineStr">
        <is>
          <t>Mecánica y termodinámica</t>
        </is>
      </c>
      <c r="D90" s="40" t="n">
        <v>0.4</v>
      </c>
      <c r="E90" s="30" t="inlineStr">
        <is>
          <t>TA-M2</t>
        </is>
      </c>
      <c r="F90" s="30" t="inlineStr">
        <is>
          <t>Leyes de conservación</t>
        </is>
      </c>
      <c r="G90" s="30" t="inlineStr">
        <is>
          <t>Conservación del momento lineal en choques</t>
        </is>
      </c>
      <c r="H90" s="30" t="inlineStr">
        <is>
          <t>IEA, TIMSS Advanced 2015 Frameworks, cap. 2 (Physics)</t>
        </is>
      </c>
      <c r="I90" s="41" t="inlineStr">
        <is>
          <t>No</t>
        </is>
      </c>
      <c r="J90" s="41" t="inlineStr">
        <is>
          <t>No</t>
        </is>
      </c>
      <c r="K90" s="30" t="inlineStr"/>
    </row>
    <row r="91">
      <c r="A91" s="30" t="inlineStr">
        <is>
          <t>TA-M2.3</t>
        </is>
      </c>
      <c r="B91" s="30" t="inlineStr">
        <is>
          <t>TA</t>
        </is>
      </c>
      <c r="C91" s="30" t="inlineStr">
        <is>
          <t>Mecánica y termodinámica</t>
        </is>
      </c>
      <c r="D91" s="40" t="n">
        <v>0.4</v>
      </c>
      <c r="E91" s="30" t="inlineStr">
        <is>
          <t>TA-M2</t>
        </is>
      </c>
      <c r="F91" s="30" t="inlineStr">
        <is>
          <t>Leyes de conservación</t>
        </is>
      </c>
      <c r="G91" s="30" t="inlineStr">
        <is>
          <t>Primera ley de la termodinámica</t>
        </is>
      </c>
      <c r="H91" s="30" t="inlineStr">
        <is>
          <t>IEA, TIMSS Advanced 2015 Frameworks, cap. 2 (Physics)</t>
        </is>
      </c>
      <c r="I91" s="41" t="inlineStr">
        <is>
          <t>No</t>
        </is>
      </c>
      <c r="J91" s="41" t="inlineStr">
        <is>
          <t>No</t>
        </is>
      </c>
      <c r="K91" s="30" t="inlineStr"/>
    </row>
    <row r="92">
      <c r="A92" s="30" t="inlineStr">
        <is>
          <t>TA-M3.1</t>
        </is>
      </c>
      <c r="B92" s="30" t="inlineStr">
        <is>
          <t>TA</t>
        </is>
      </c>
      <c r="C92" s="30" t="inlineStr">
        <is>
          <t>Mecánica y termodinámica</t>
        </is>
      </c>
      <c r="D92" s="40" t="n">
        <v>0.4</v>
      </c>
      <c r="E92" s="30" t="inlineStr">
        <is>
          <t>TA-M3</t>
        </is>
      </c>
      <c r="F92" s="30" t="inlineStr">
        <is>
          <t>Calor y temperatura</t>
        </is>
      </c>
      <c r="G92" s="30" t="inlineStr">
        <is>
          <t>Mecanismos de transferencia de calor; capacidad calorífica y equilibrio térmico</t>
        </is>
      </c>
      <c r="H92" s="30" t="inlineStr">
        <is>
          <t>IEA, TIMSS Advanced 2015 Frameworks, cap. 2 (Physics)</t>
        </is>
      </c>
      <c r="I92" s="41" t="inlineStr">
        <is>
          <t>No</t>
        </is>
      </c>
      <c r="J92" s="41" t="inlineStr">
        <is>
          <t>No</t>
        </is>
      </c>
      <c r="K92" s="30" t="inlineStr"/>
    </row>
    <row r="93">
      <c r="A93" s="30" t="inlineStr">
        <is>
          <t>TA-M3.2</t>
        </is>
      </c>
      <c r="B93" s="30" t="inlineStr">
        <is>
          <t>TA</t>
        </is>
      </c>
      <c r="C93" s="30" t="inlineStr">
        <is>
          <t>Mecánica y termodinámica</t>
        </is>
      </c>
      <c r="D93" s="40" t="n">
        <v>0.4</v>
      </c>
      <c r="E93" s="30" t="inlineStr">
        <is>
          <t>TA-M3</t>
        </is>
      </c>
      <c r="F93" s="30" t="inlineStr">
        <is>
          <t>Calor y temperatura</t>
        </is>
      </c>
      <c r="G93" s="30" t="inlineStr">
        <is>
          <t>Dilatación térmica; ley del gas ideal y sus límites</t>
        </is>
      </c>
      <c r="H93" s="30" t="inlineStr">
        <is>
          <t>IEA, TIMSS Advanced 2015 Frameworks, cap. 2 (Physics)</t>
        </is>
      </c>
      <c r="I93" s="41" t="inlineStr">
        <is>
          <t>No</t>
        </is>
      </c>
      <c r="J93" s="41" t="inlineStr">
        <is>
          <t>No</t>
        </is>
      </c>
      <c r="K93" s="30" t="inlineStr"/>
    </row>
    <row r="94">
      <c r="A94" s="30" t="inlineStr">
        <is>
          <t>TA-E1.1</t>
        </is>
      </c>
      <c r="B94" s="30" t="inlineStr">
        <is>
          <t>TA</t>
        </is>
      </c>
      <c r="C94" s="30" t="inlineStr">
        <is>
          <t>Electricidad y magnetismo</t>
        </is>
      </c>
      <c r="D94" s="40" t="n">
        <v>0.25</v>
      </c>
      <c r="E94" s="30" t="inlineStr">
        <is>
          <t>TA-E1</t>
        </is>
      </c>
      <c r="F94" s="30" t="inlineStr">
        <is>
          <t>Electricidad y circuitos</t>
        </is>
      </c>
      <c r="G94" s="30" t="inlineStr">
        <is>
          <t>Ley de Coulomb</t>
        </is>
      </c>
      <c r="H94" s="30" t="inlineStr">
        <is>
          <t>IEA, TIMSS Advanced 2015 Frameworks, cap. 2 (Physics)</t>
        </is>
      </c>
      <c r="I94" s="41" t="inlineStr">
        <is>
          <t>No</t>
        </is>
      </c>
      <c r="J94" s="41" t="inlineStr">
        <is>
          <t>No</t>
        </is>
      </c>
      <c r="K94" s="30" t="inlineStr"/>
    </row>
    <row r="95">
      <c r="A95" s="30" t="inlineStr">
        <is>
          <t>TA-E1.2</t>
        </is>
      </c>
      <c r="B95" s="30" t="inlineStr">
        <is>
          <t>TA</t>
        </is>
      </c>
      <c r="C95" s="30" t="inlineStr">
        <is>
          <t>Electricidad y magnetismo</t>
        </is>
      </c>
      <c r="D95" s="40" t="n">
        <v>0.25</v>
      </c>
      <c r="E95" s="30" t="inlineStr">
        <is>
          <t>TA-E1</t>
        </is>
      </c>
      <c r="F95" s="30" t="inlineStr">
        <is>
          <t>Electricidad y circuitos</t>
        </is>
      </c>
      <c r="G95" s="30" t="inlineStr">
        <is>
          <t>Fuerza y trayectoria de cargas en campos eléctricos</t>
        </is>
      </c>
      <c r="H95" s="30" t="inlineStr">
        <is>
          <t>IEA, TIMSS Advanced 2015 Frameworks, cap. 2 (Physics)</t>
        </is>
      </c>
      <c r="I95" s="41" t="inlineStr">
        <is>
          <t>No</t>
        </is>
      </c>
      <c r="J95" s="41" t="inlineStr">
        <is>
          <t>No</t>
        </is>
      </c>
      <c r="K95" s="30" t="inlineStr"/>
    </row>
    <row r="96">
      <c r="A96" s="30" t="inlineStr">
        <is>
          <t>TA-E1.3</t>
        </is>
      </c>
      <c r="B96" s="30" t="inlineStr">
        <is>
          <t>TA</t>
        </is>
      </c>
      <c r="C96" s="30" t="inlineStr">
        <is>
          <t>Electricidad y magnetismo</t>
        </is>
      </c>
      <c r="D96" s="40" t="n">
        <v>0.25</v>
      </c>
      <c r="E96" s="30" t="inlineStr">
        <is>
          <t>TA-E1</t>
        </is>
      </c>
      <c r="F96" s="30" t="inlineStr">
        <is>
          <t>Electricidad y circuitos</t>
        </is>
      </c>
      <c r="G96" s="30" t="inlineStr">
        <is>
          <t>Circuitos: leyes de Ohm y Joule</t>
        </is>
      </c>
      <c r="H96" s="30" t="inlineStr">
        <is>
          <t>IEA, TIMSS Advanced 2015 Frameworks, cap. 2 (Physics)</t>
        </is>
      </c>
      <c r="I96" s="41" t="inlineStr">
        <is>
          <t>No</t>
        </is>
      </c>
      <c r="J96" s="41" t="inlineStr">
        <is>
          <t>No</t>
        </is>
      </c>
      <c r="K96" s="30" t="inlineStr"/>
    </row>
    <row r="97">
      <c r="A97" s="30" t="inlineStr">
        <is>
          <t>TA-E2.1</t>
        </is>
      </c>
      <c r="B97" s="30" t="inlineStr">
        <is>
          <t>TA</t>
        </is>
      </c>
      <c r="C97" s="30" t="inlineStr">
        <is>
          <t>Electricidad y magnetismo</t>
        </is>
      </c>
      <c r="D97" s="40" t="n">
        <v>0.25</v>
      </c>
      <c r="E97" s="30" t="inlineStr">
        <is>
          <t>TA-E2</t>
        </is>
      </c>
      <c r="F97" s="30" t="inlineStr">
        <is>
          <t>Magnetismo e inducción electromagnética</t>
        </is>
      </c>
      <c r="G97" s="30" t="inlineStr">
        <is>
          <t>Fuerza y trayectoria de cargas en campos magnéticos</t>
        </is>
      </c>
      <c r="H97" s="30" t="inlineStr">
        <is>
          <t>IEA, TIMSS Advanced 2015 Frameworks, cap. 2 (Physics)</t>
        </is>
      </c>
      <c r="I97" s="41" t="inlineStr">
        <is>
          <t>No</t>
        </is>
      </c>
      <c r="J97" s="41" t="inlineStr">
        <is>
          <t>No</t>
        </is>
      </c>
      <c r="K97" s="30" t="inlineStr"/>
    </row>
    <row r="98">
      <c r="A98" s="30" t="inlineStr">
        <is>
          <t>TA-E2.2</t>
        </is>
      </c>
      <c r="B98" s="30" t="inlineStr">
        <is>
          <t>TA</t>
        </is>
      </c>
      <c r="C98" s="30" t="inlineStr">
        <is>
          <t>Electricidad y magnetismo</t>
        </is>
      </c>
      <c r="D98" s="40" t="n">
        <v>0.25</v>
      </c>
      <c r="E98" s="30" t="inlineStr">
        <is>
          <t>TA-E2</t>
        </is>
      </c>
      <c r="F98" s="30" t="inlineStr">
        <is>
          <t>Magnetismo e inducción electromagnética</t>
        </is>
      </c>
      <c r="G98" s="30" t="inlineStr">
        <is>
          <t>Relación electricidad-magnetismo; ley de Ampère; electroimanes</t>
        </is>
      </c>
      <c r="H98" s="30" t="inlineStr">
        <is>
          <t>IEA, TIMSS Advanced 2015 Frameworks, cap. 2 (Physics)</t>
        </is>
      </c>
      <c r="I98" s="41" t="inlineStr">
        <is>
          <t>No</t>
        </is>
      </c>
      <c r="J98" s="41" t="inlineStr">
        <is>
          <t>No</t>
        </is>
      </c>
      <c r="K98" s="30" t="inlineStr"/>
    </row>
    <row r="99">
      <c r="A99" s="30" t="inlineStr">
        <is>
          <t>TA-E2.3</t>
        </is>
      </c>
      <c r="B99" s="30" t="inlineStr">
        <is>
          <t>TA</t>
        </is>
      </c>
      <c r="C99" s="30" t="inlineStr">
        <is>
          <t>Electricidad y magnetismo</t>
        </is>
      </c>
      <c r="D99" s="40" t="n">
        <v>0.25</v>
      </c>
      <c r="E99" s="30" t="inlineStr">
        <is>
          <t>TA-E2</t>
        </is>
      </c>
      <c r="F99" s="30" t="inlineStr">
        <is>
          <t>Magnetismo e inducción electromagnética</t>
        </is>
      </c>
      <c r="G99" s="30" t="inlineStr">
        <is>
          <t>Inducción: leyes de Faraday y Lenz</t>
        </is>
      </c>
      <c r="H99" s="30" t="inlineStr">
        <is>
          <t>IEA, TIMSS Advanced 2015 Frameworks, cap. 2 (Physics)</t>
        </is>
      </c>
      <c r="I99" s="41" t="inlineStr">
        <is>
          <t>No</t>
        </is>
      </c>
      <c r="J99" s="41" t="inlineStr">
        <is>
          <t>No</t>
        </is>
      </c>
      <c r="K99" s="30" t="inlineStr"/>
    </row>
    <row r="100">
      <c r="A100" s="30" t="inlineStr">
        <is>
          <t>TA-O1.1</t>
        </is>
      </c>
      <c r="B100" s="30" t="inlineStr">
        <is>
          <t>TA</t>
        </is>
      </c>
      <c r="C100" s="30" t="inlineStr">
        <is>
          <t>Ondas y física atómica/nuclear</t>
        </is>
      </c>
      <c r="D100" s="40" t="n">
        <v>0.35</v>
      </c>
      <c r="E100" s="30" t="inlineStr">
        <is>
          <t>TA-O1</t>
        </is>
      </c>
      <c r="F100" s="30" t="inlineStr">
        <is>
          <t>Fenómenos ondulatorios</t>
        </is>
      </c>
      <c r="G100" s="30" t="inlineStr">
        <is>
          <t>Ondas mecánicas: rapidez, frecuencia, longitud de onda</t>
        </is>
      </c>
      <c r="H100" s="30" t="inlineStr">
        <is>
          <t>IEA, TIMSS Advanced 2015 Frameworks, cap. 2 (Physics)</t>
        </is>
      </c>
      <c r="I100" s="41" t="inlineStr">
        <is>
          <t>No</t>
        </is>
      </c>
      <c r="J100" s="41" t="inlineStr">
        <is>
          <t>No</t>
        </is>
      </c>
      <c r="K100" s="30" t="inlineStr"/>
    </row>
    <row r="101">
      <c r="A101" s="30" t="inlineStr">
        <is>
          <t>TA-O1.2</t>
        </is>
      </c>
      <c r="B101" s="30" t="inlineStr">
        <is>
          <t>TA</t>
        </is>
      </c>
      <c r="C101" s="30" t="inlineStr">
        <is>
          <t>Ondas y física atómica/nuclear</t>
        </is>
      </c>
      <c r="D101" s="40" t="n">
        <v>0.35</v>
      </c>
      <c r="E101" s="30" t="inlineStr">
        <is>
          <t>TA-O1</t>
        </is>
      </c>
      <c r="F101" s="30" t="inlineStr">
        <is>
          <t>Fenómenos ondulatorios</t>
        </is>
      </c>
      <c r="G101" s="30" t="inlineStr">
        <is>
          <t>Radiación electromagnética y espectro</t>
        </is>
      </c>
      <c r="H101" s="30" t="inlineStr">
        <is>
          <t>IEA, TIMSS Advanced 2015 Frameworks, cap. 2 (Physics)</t>
        </is>
      </c>
      <c r="I101" s="41" t="inlineStr">
        <is>
          <t>No</t>
        </is>
      </c>
      <c r="J101" s="41" t="inlineStr">
        <is>
          <t>No</t>
        </is>
      </c>
      <c r="K101" s="30" t="inlineStr"/>
    </row>
    <row r="102">
      <c r="A102" s="30" t="inlineStr">
        <is>
          <t>TA-O1.3</t>
        </is>
      </c>
      <c r="B102" s="30" t="inlineStr">
        <is>
          <t>TA</t>
        </is>
      </c>
      <c r="C102" s="30" t="inlineStr">
        <is>
          <t>Ondas y física atómica/nuclear</t>
        </is>
      </c>
      <c r="D102" s="40" t="n">
        <v>0.35</v>
      </c>
      <c r="E102" s="30" t="inlineStr">
        <is>
          <t>TA-O1</t>
        </is>
      </c>
      <c r="F102" s="30" t="inlineStr">
        <is>
          <t>Fenómenos ondulatorios</t>
        </is>
      </c>
      <c r="G102" s="30" t="inlineStr">
        <is>
          <t>Radiación térmica según temperatura y longitud de onda</t>
        </is>
      </c>
      <c r="H102" s="30" t="inlineStr">
        <is>
          <t>IEA, TIMSS Advanced 2015 Frameworks, cap. 2 (Physics)</t>
        </is>
      </c>
      <c r="I102" s="41" t="inlineStr">
        <is>
          <t>No</t>
        </is>
      </c>
      <c r="J102" s="41" t="inlineStr">
        <is>
          <t>No</t>
        </is>
      </c>
      <c r="K102" s="30" t="inlineStr"/>
    </row>
    <row r="103">
      <c r="A103" s="30" t="inlineStr">
        <is>
          <t>TA-O1.4</t>
        </is>
      </c>
      <c r="B103" s="30" t="inlineStr">
        <is>
          <t>TA</t>
        </is>
      </c>
      <c r="C103" s="30" t="inlineStr">
        <is>
          <t>Ondas y física atómica/nuclear</t>
        </is>
      </c>
      <c r="D103" s="40" t="n">
        <v>0.35</v>
      </c>
      <c r="E103" s="30" t="inlineStr">
        <is>
          <t>TA-O1</t>
        </is>
      </c>
      <c r="F103" s="30" t="inlineStr">
        <is>
          <t>Fenómenos ondulatorios</t>
        </is>
      </c>
      <c r="G103" s="30" t="inlineStr">
        <is>
          <t>Reflexión, refracción, interferencia y difracción</t>
        </is>
      </c>
      <c r="H103" s="30" t="inlineStr">
        <is>
          <t>IEA, TIMSS Advanced 2015 Frameworks, cap. 2 (Physics)</t>
        </is>
      </c>
      <c r="I103" s="41" t="inlineStr">
        <is>
          <t>No</t>
        </is>
      </c>
      <c r="J103" s="41" t="inlineStr">
        <is>
          <t>No</t>
        </is>
      </c>
      <c r="K103" s="30" t="inlineStr"/>
    </row>
    <row r="104">
      <c r="A104" s="30" t="inlineStr">
        <is>
          <t>TA-O2.1</t>
        </is>
      </c>
      <c r="B104" s="30" t="inlineStr">
        <is>
          <t>TA</t>
        </is>
      </c>
      <c r="C104" s="30" t="inlineStr">
        <is>
          <t>Ondas y física atómica/nuclear</t>
        </is>
      </c>
      <c r="D104" s="40" t="n">
        <v>0.35</v>
      </c>
      <c r="E104" s="30" t="inlineStr">
        <is>
          <t>TA-O2</t>
        </is>
      </c>
      <c r="F104" s="30" t="inlineStr">
        <is>
          <t>Física atómica y nuclear</t>
        </is>
      </c>
      <c r="G104" s="30" t="inlineStr">
        <is>
          <t>Estructura atómica y espectros de emisión/absorción</t>
        </is>
      </c>
      <c r="H104" s="30" t="inlineStr">
        <is>
          <t>IEA, TIMSS Advanced 2015 Frameworks, cap. 2 (Physics)</t>
        </is>
      </c>
      <c r="I104" s="41" t="inlineStr">
        <is>
          <t>No</t>
        </is>
      </c>
      <c r="J104" s="41" t="inlineStr">
        <is>
          <t>No</t>
        </is>
      </c>
      <c r="K104" s="30" t="inlineStr"/>
    </row>
    <row r="105">
      <c r="A105" s="30" t="inlineStr">
        <is>
          <t>TA-O2.2</t>
        </is>
      </c>
      <c r="B105" s="30" t="inlineStr">
        <is>
          <t>TA</t>
        </is>
      </c>
      <c r="C105" s="30" t="inlineStr">
        <is>
          <t>Ondas y física atómica/nuclear</t>
        </is>
      </c>
      <c r="D105" s="40" t="n">
        <v>0.35</v>
      </c>
      <c r="E105" s="30" t="inlineStr">
        <is>
          <t>TA-O2</t>
        </is>
      </c>
      <c r="F105" s="30" t="inlineStr">
        <is>
          <t>Física atómica y nuclear</t>
        </is>
      </c>
      <c r="G105" s="30" t="inlineStr">
        <is>
          <t>Dualidad onda-partícula; efecto fotoeléctrico</t>
        </is>
      </c>
      <c r="H105" s="30" t="inlineStr">
        <is>
          <t>IEA, TIMSS Advanced 2015 Frameworks, cap. 2 (Physics)</t>
        </is>
      </c>
      <c r="I105" s="41" t="inlineStr">
        <is>
          <t>No</t>
        </is>
      </c>
      <c r="J105" s="41" t="inlineStr">
        <is>
          <t>No</t>
        </is>
      </c>
      <c r="K105" s="30" t="inlineStr"/>
    </row>
    <row r="106">
      <c r="A106" s="30" t="inlineStr">
        <is>
          <t>TA-O2.3</t>
        </is>
      </c>
      <c r="B106" s="30" t="inlineStr">
        <is>
          <t>TA</t>
        </is>
      </c>
      <c r="C106" s="30" t="inlineStr">
        <is>
          <t>Ondas y física atómica/nuclear</t>
        </is>
      </c>
      <c r="D106" s="40" t="n">
        <v>0.35</v>
      </c>
      <c r="E106" s="30" t="inlineStr">
        <is>
          <t>TA-O2</t>
        </is>
      </c>
      <c r="F106" s="30" t="inlineStr">
        <is>
          <t>Física atómica y nuclear</t>
        </is>
      </c>
      <c r="G106" s="30" t="inlineStr">
        <is>
          <t>Reacciones nucleares y decaimiento radiactivo</t>
        </is>
      </c>
      <c r="H106" s="30" t="inlineStr">
        <is>
          <t>IEA, TIMSS Advanced 2015 Frameworks, cap. 2 (Physics)</t>
        </is>
      </c>
      <c r="I106" s="41" t="inlineStr">
        <is>
          <t>No</t>
        </is>
      </c>
      <c r="J106" s="41" t="inlineStr">
        <is>
          <t>No</t>
        </is>
      </c>
      <c r="K106" s="30" t="inlineStr"/>
    </row>
    <row r="107">
      <c r="A107" s="30" t="inlineStr">
        <is>
          <t>TA-O2.4</t>
        </is>
      </c>
      <c r="B107" s="30" t="inlineStr">
        <is>
          <t>TA</t>
        </is>
      </c>
      <c r="C107" s="30" t="inlineStr">
        <is>
          <t>Ondas y física atómica/nuclear</t>
        </is>
      </c>
      <c r="D107" s="40" t="n">
        <v>0.35</v>
      </c>
      <c r="E107" s="30" t="inlineStr">
        <is>
          <t>TA-O2</t>
        </is>
      </c>
      <c r="F107" s="30" t="inlineStr">
        <is>
          <t>Física atómica y nuclear</t>
        </is>
      </c>
      <c r="G107" s="30" t="inlineStr">
        <is>
          <t>Equivalencia masa-energía</t>
        </is>
      </c>
      <c r="H107" s="30" t="inlineStr">
        <is>
          <t>IEA, TIMSS Advanced 2015 Frameworks, cap. 2 (Physics)</t>
        </is>
      </c>
      <c r="I107" s="41" t="inlineStr">
        <is>
          <t>No</t>
        </is>
      </c>
      <c r="J107" s="41" t="inlineStr">
        <is>
          <t>No</t>
        </is>
      </c>
      <c r="K107" s="30" t="inlineStr"/>
    </row>
    <row r="108"/>
    <row r="109" ht="42" customHeight="1">
      <c r="A109" s="2" t="inlineStr">
        <is>
          <t>Cómo se calcula: T4_27 = TIMSS 2027 4.° grado · T8_27 = TIMSS 2027 8.° grado · TA = TIMSS Advanced 2015 Física (no hay versión 2027). Objetivos parafraseados al español (no son traducción oficial). Meta = % de puntos de la prueba asignado al dominio en el marco.</t>
        </is>
      </c>
    </row>
  </sheetData>
  <autoFilter ref="A4:K107"/>
  <mergeCells count="2">
    <mergeCell ref="A2:L2"/>
    <mergeCell ref="A109:L109"/>
  </mergeCells>
  <conditionalFormatting sqref="A5:K107">
    <cfRule type="expression" priority="1" dxfId="5">
      <formula>AND(MOD(ROW(),2)=0,$A5&lt;&gt;"")</formula>
    </cfRule>
  </conditionalFormatting>
  <pageMargins left="0.75" right="0.75" top="1" bottom="1" header="0.5" footer="0.5"/>
</worksheet>
</file>

<file path=xl/worksheets/sheet18.xml><?xml version="1.0" encoding="utf-8"?>
<worksheet xmlns="http://schemas.openxmlformats.org/spreadsheetml/2006/main">
  <sheetPr>
    <tabColor rgb="00595959"/>
    <outlinePr summaryBelow="1" summaryRight="1"/>
    <pageSetUpPr/>
  </sheetPr>
  <dimension ref="A1:L78"/>
  <sheetViews>
    <sheetView showGridLines="0" workbookViewId="0">
      <pane ySplit="4" topLeftCell="A5" activePane="bottomLeft" state="frozen"/>
      <selection pane="bottomLeft" activeCell="A1" sqref="A1"/>
    </sheetView>
  </sheetViews>
  <sheetFormatPr baseColWidth="8" defaultRowHeight="15"/>
  <cols>
    <col width="11" customWidth="1" min="1" max="1"/>
    <col width="15" customWidth="1" min="2" max="2"/>
    <col width="34" customWidth="1" min="3" max="3"/>
    <col width="80" customWidth="1" min="4" max="4"/>
    <col width="8" customWidth="1" min="5" max="5"/>
    <col width="10" customWidth="1" min="6" max="6"/>
    <col width="14" customWidth="1" min="7" max="7"/>
  </cols>
  <sheetData>
    <row r="1">
      <c r="A1" s="6" t="inlineStr">
        <is>
          <t>Catálogo de referencia PISA 2025 (Ciencias)</t>
        </is>
      </c>
    </row>
    <row r="2" ht="53" customHeight="1">
      <c r="A2" s="7">
        <f>"PISA 2025"&amp;"
"&amp;"● "&amp;COUNTIF($B$5:$B$76,"Contenido")&amp;" contenidos, "&amp;COUNTIF($B$5:$B$76,"Procedimental")&amp;" procedimentales, "&amp;COUNTIF($B$5:$B$76,"Epistémico")&amp;" epistémicos y "&amp;COUNTIF($B$5:$B$76,"Subcompetencia")&amp;" subcompetencias."&amp;"
"&amp;"● Todo con la página del marco oficial (OCDE 2026). Metas en ámbar (editables)."</f>
        <v/>
      </c>
      <c r="B2" s="8" t="n"/>
      <c r="C2" s="8" t="n"/>
      <c r="D2" s="8" t="n"/>
      <c r="E2" s="8" t="n"/>
      <c r="F2" s="8" t="n"/>
      <c r="G2" s="8" t="n"/>
      <c r="H2" s="8" t="n"/>
      <c r="I2" s="8" t="n"/>
      <c r="J2" s="8" t="n"/>
      <c r="K2" s="8" t="n"/>
      <c r="L2" s="9" t="n"/>
    </row>
    <row r="3"/>
    <row r="4" ht="36" customHeight="1">
      <c r="A4" s="10" t="inlineStr">
        <is>
          <t>Código</t>
        </is>
      </c>
      <c r="B4" s="10" t="inlineStr">
        <is>
          <t>Tipo</t>
        </is>
      </c>
      <c r="C4" s="10" t="inlineStr">
        <is>
          <t>Grupo (sistema, competencia o bloque)</t>
        </is>
      </c>
      <c r="D4" s="10" t="inlineStr">
        <is>
          <t>Descripción (paráfrasis)</t>
        </is>
      </c>
      <c r="E4" s="10" t="inlineStr">
        <is>
          <t>Página</t>
        </is>
      </c>
      <c r="F4" s="10" t="inlineStr">
        <is>
          <t>Meta del grupo</t>
        </is>
      </c>
      <c r="G4" s="10" t="inlineStr">
        <is>
          <t>Rango del marco</t>
        </is>
      </c>
    </row>
    <row r="5">
      <c r="A5" s="30" t="inlineStr">
        <is>
          <t>PISA-F1</t>
        </is>
      </c>
      <c r="B5" s="30" t="inlineStr">
        <is>
          <t>Contenido</t>
        </is>
      </c>
      <c r="C5" s="30" t="inlineStr">
        <is>
          <t>Sistemas físicos</t>
        </is>
      </c>
      <c r="D5" s="30" t="inlineStr">
        <is>
          <t>Estructura y propiedades de la materia (modelo de partículas, enlaces, cambios de estado, conductividad térmica y eléctrica)</t>
        </is>
      </c>
      <c r="E5" s="30" t="n">
        <v>38</v>
      </c>
      <c r="F5" s="40" t="n">
        <v>0.37</v>
      </c>
      <c r="G5" s="30" t="inlineStr">
        <is>
          <t>Tabla 2.3: 37 %</t>
        </is>
      </c>
    </row>
    <row r="6">
      <c r="A6" s="30" t="inlineStr">
        <is>
          <t>PISA-F2</t>
        </is>
      </c>
      <c r="B6" s="30" t="inlineStr">
        <is>
          <t>Contenido</t>
        </is>
      </c>
      <c r="C6" s="30" t="inlineStr">
        <is>
          <t>Sistemas físicos</t>
        </is>
      </c>
      <c r="D6" s="30" t="inlineStr">
        <is>
          <t>Cambios químicos de la materia (reacciones químicas, transferencia de energía, ácidos y bases)</t>
        </is>
      </c>
      <c r="E6" s="30" t="n">
        <v>38</v>
      </c>
      <c r="F6" s="40" t="n">
        <v>0.37</v>
      </c>
      <c r="G6" s="30" t="inlineStr">
        <is>
          <t>Tabla 2.3: 37 %</t>
        </is>
      </c>
    </row>
    <row r="7">
      <c r="A7" s="30" t="inlineStr">
        <is>
          <t>PISA-F3</t>
        </is>
      </c>
      <c r="B7" s="30" t="inlineStr">
        <is>
          <t>Contenido</t>
        </is>
      </c>
      <c r="C7" s="30" t="inlineStr">
        <is>
          <t>Sistemas físicos</t>
        </is>
      </c>
      <c r="D7" s="30" t="inlineStr">
        <is>
          <t>Movimiento y fuerzas (velocidad, fricción) y acción a distancia (fuerzas magnéticas, gravitatorias y electrostáticas)</t>
        </is>
      </c>
      <c r="E7" s="30" t="n">
        <v>38</v>
      </c>
      <c r="F7" s="40" t="n">
        <v>0.37</v>
      </c>
      <c r="G7" s="30" t="inlineStr">
        <is>
          <t>Tabla 2.3: 37 %</t>
        </is>
      </c>
    </row>
    <row r="8">
      <c r="A8" s="30" t="inlineStr">
        <is>
          <t>PISA-F4</t>
        </is>
      </c>
      <c r="B8" s="30" t="inlineStr">
        <is>
          <t>Contenido</t>
        </is>
      </c>
      <c r="C8" s="30" t="inlineStr">
        <is>
          <t>Sistemas físicos</t>
        </is>
      </c>
      <c r="D8" s="30" t="inlineStr">
        <is>
          <t>La energía y su transferencia (conservación, disipación, reacciones químicas)</t>
        </is>
      </c>
      <c r="E8" s="30" t="n">
        <v>38</v>
      </c>
      <c r="F8" s="40" t="n">
        <v>0.37</v>
      </c>
      <c r="G8" s="30" t="inlineStr">
        <is>
          <t>Tabla 2.3: 37 %</t>
        </is>
      </c>
    </row>
    <row r="9">
      <c r="A9" s="30" t="inlineStr">
        <is>
          <t>PISA-F5</t>
        </is>
      </c>
      <c r="B9" s="30" t="inlineStr">
        <is>
          <t>Contenido</t>
        </is>
      </c>
      <c r="C9" s="30" t="inlineStr">
        <is>
          <t>Sistemas físicos</t>
        </is>
      </c>
      <c r="D9" s="30" t="inlineStr">
        <is>
          <t>Interacciones entre energía y materia (luz y ondas de radio, sonido y ondas sísmicas, absorción de radiación por el CO2)</t>
        </is>
      </c>
      <c r="E9" s="30" t="n">
        <v>38</v>
      </c>
      <c r="F9" s="40" t="n">
        <v>0.37</v>
      </c>
      <c r="G9" s="30" t="inlineStr">
        <is>
          <t>Tabla 2.3: 37 %</t>
        </is>
      </c>
    </row>
    <row r="10">
      <c r="A10" s="30" t="inlineStr">
        <is>
          <t>PISA-V1</t>
        </is>
      </c>
      <c r="B10" s="30" t="inlineStr">
        <is>
          <t>Contenido</t>
        </is>
      </c>
      <c r="C10" s="30" t="inlineStr">
        <is>
          <t>Sistemas vivos</t>
        </is>
      </c>
      <c r="D10" s="30" t="inlineStr">
        <is>
          <t>El concepto de organismo (animales, plantas y microorganismos como virus y bacterias)</t>
        </is>
      </c>
      <c r="E10" s="30" t="n">
        <v>38</v>
      </c>
      <c r="F10" s="40" t="n">
        <v>0.37</v>
      </c>
      <c r="G10" s="30" t="inlineStr">
        <is>
          <t>Tabla 2.3: 37 %</t>
        </is>
      </c>
    </row>
    <row r="11">
      <c r="A11" s="30" t="inlineStr">
        <is>
          <t>PISA-V2</t>
        </is>
      </c>
      <c r="B11" s="30" t="inlineStr">
        <is>
          <t>Contenido</t>
        </is>
      </c>
      <c r="C11" s="30" t="inlineStr">
        <is>
          <t>Sistemas vivos</t>
        </is>
      </c>
      <c r="D11" s="30" t="inlineStr">
        <is>
          <t>Genes (expresión, herencia, biotecnología) y su interacción con el ambiente</t>
        </is>
      </c>
      <c r="E11" s="30" t="n">
        <v>38</v>
      </c>
      <c r="F11" s="40" t="n">
        <v>0.37</v>
      </c>
      <c r="G11" s="30" t="inlineStr">
        <is>
          <t>Tabla 2.3: 37 %</t>
        </is>
      </c>
    </row>
    <row r="12">
      <c r="A12" s="30" t="inlineStr">
        <is>
          <t>PISA-V3</t>
        </is>
      </c>
      <c r="B12" s="30" t="inlineStr">
        <is>
          <t>Contenido</t>
        </is>
      </c>
      <c r="C12" s="30" t="inlineStr">
        <is>
          <t>Sistemas vivos</t>
        </is>
      </c>
      <c r="D12" s="30" t="inlineStr">
        <is>
          <t>Células: estructura y función, energía, respiración, fotosíntesis, crecimiento</t>
        </is>
      </c>
      <c r="E12" s="30" t="n">
        <v>38</v>
      </c>
      <c r="F12" s="40" t="n">
        <v>0.37</v>
      </c>
      <c r="G12" s="30" t="inlineStr">
        <is>
          <t>Tabla 2.3: 37 %</t>
        </is>
      </c>
    </row>
    <row r="13">
      <c r="A13" s="30" t="inlineStr">
        <is>
          <t>PISA-V4</t>
        </is>
      </c>
      <c r="B13" s="30" t="inlineStr">
        <is>
          <t>Contenido</t>
        </is>
      </c>
      <c r="C13" s="30" t="inlineStr">
        <is>
          <t>Sistemas vivos</t>
        </is>
      </c>
      <c r="D13" s="30" t="inlineStr">
        <is>
          <t>Sistemas de plantas y animales, su salud y mantenimiento (circulación, reproducción, respiración, excreción, nutrición)</t>
        </is>
      </c>
      <c r="E13" s="30" t="n">
        <v>38</v>
      </c>
      <c r="F13" s="40" t="n">
        <v>0.37</v>
      </c>
      <c r="G13" s="30" t="inlineStr">
        <is>
          <t>Tabla 2.3: 37 %</t>
        </is>
      </c>
    </row>
    <row r="14">
      <c r="A14" s="30" t="inlineStr">
        <is>
          <t>PISA-V5</t>
        </is>
      </c>
      <c r="B14" s="30" t="inlineStr">
        <is>
          <t>Contenido</t>
        </is>
      </c>
      <c r="C14" s="30" t="inlineStr">
        <is>
          <t>Sistemas vivos</t>
        </is>
      </c>
      <c r="D14" s="30" t="inlineStr">
        <is>
          <t>Evolución biológica (biodiversidad, variación genética, adaptación y selección natural)</t>
        </is>
      </c>
      <c r="E14" s="30" t="n">
        <v>38</v>
      </c>
      <c r="F14" s="40" t="n">
        <v>0.37</v>
      </c>
      <c r="G14" s="30" t="inlineStr">
        <is>
          <t>Tabla 2.3: 37 %</t>
        </is>
      </c>
    </row>
    <row r="15">
      <c r="A15" s="30" t="inlineStr">
        <is>
          <t>PISA-V6</t>
        </is>
      </c>
      <c r="B15" s="30" t="inlineStr">
        <is>
          <t>Contenido</t>
        </is>
      </c>
      <c r="C15" s="30" t="inlineStr">
        <is>
          <t>Sistemas vivos</t>
        </is>
      </c>
      <c r="D15" s="30" t="inlineStr">
        <is>
          <t>Ecosistemas (flujo de materia y energía, cadenas alimentarias, hábitat, perturbaciones como la contaminación)</t>
        </is>
      </c>
      <c r="E15" s="30" t="n">
        <v>38</v>
      </c>
      <c r="F15" s="40" t="n">
        <v>0.37</v>
      </c>
      <c r="G15" s="30" t="inlineStr">
        <is>
          <t>Tabla 2.3: 37 %</t>
        </is>
      </c>
    </row>
    <row r="16">
      <c r="A16" s="30" t="inlineStr">
        <is>
          <t>PISA-V7</t>
        </is>
      </c>
      <c r="B16" s="30" t="inlineStr">
        <is>
          <t>Contenido</t>
        </is>
      </c>
      <c r="C16" s="30" t="inlineStr">
        <is>
          <t>Sistemas vivos</t>
        </is>
      </c>
      <c r="D16" s="30" t="inlineStr">
        <is>
          <t>La biosfera (sostenibilidad del ecosistema global)</t>
        </is>
      </c>
      <c r="E16" s="30" t="n">
        <v>38</v>
      </c>
      <c r="F16" s="40" t="n">
        <v>0.37</v>
      </c>
      <c r="G16" s="30" t="inlineStr">
        <is>
          <t>Tabla 2.3: 37 %</t>
        </is>
      </c>
    </row>
    <row r="17">
      <c r="A17" s="30" t="inlineStr">
        <is>
          <t>PISA-V8</t>
        </is>
      </c>
      <c r="B17" s="30" t="inlineStr">
        <is>
          <t>Contenido</t>
        </is>
      </c>
      <c r="C17" s="30" t="inlineStr">
        <is>
          <t>Sistemas vivos</t>
        </is>
      </c>
      <c r="D17" s="30" t="inlineStr">
        <is>
          <t>Interacciones de los seres humanos y su impacto en el ambiente, otras especies y la sostenibilidad</t>
        </is>
      </c>
      <c r="E17" s="30" t="n">
        <v>38</v>
      </c>
      <c r="F17" s="40" t="n">
        <v>0.37</v>
      </c>
      <c r="G17" s="30" t="inlineStr">
        <is>
          <t>Tabla 2.3: 37 %</t>
        </is>
      </c>
    </row>
    <row r="18">
      <c r="A18" s="30" t="inlineStr">
        <is>
          <t>PISA-T1</t>
        </is>
      </c>
      <c r="B18" s="30" t="inlineStr">
        <is>
          <t>Contenido</t>
        </is>
      </c>
      <c r="C18" s="30" t="inlineStr">
        <is>
          <t>Sistemas de la Tierra y el espacio</t>
        </is>
      </c>
      <c r="D18" s="30" t="inlineStr">
        <is>
          <t>Estructura de los sistemas terrestres (atmósfera, hidrosfera, geosfera; tectónica de placas, sismología)</t>
        </is>
      </c>
      <c r="E18" s="30" t="n">
        <v>38</v>
      </c>
      <c r="F18" s="40" t="n">
        <v>0.26</v>
      </c>
      <c r="G18" s="30" t="inlineStr">
        <is>
          <t>Tabla 2.3: 26 %</t>
        </is>
      </c>
    </row>
    <row r="19">
      <c r="A19" s="30" t="inlineStr">
        <is>
          <t>PISA-T2</t>
        </is>
      </c>
      <c r="B19" s="30" t="inlineStr">
        <is>
          <t>Contenido</t>
        </is>
      </c>
      <c r="C19" s="30" t="inlineStr">
        <is>
          <t>Sistemas de la Tierra y el espacio</t>
        </is>
      </c>
      <c r="D19" s="30" t="inlineStr">
        <is>
          <t>Carácter finito de los recursos minerales, su uso y los efectos ambientales de su explotación</t>
        </is>
      </c>
      <c r="E19" s="30" t="n">
        <v>38</v>
      </c>
      <c r="F19" s="40" t="n">
        <v>0.26</v>
      </c>
      <c r="G19" s="30" t="inlineStr">
        <is>
          <t>Tabla 2.3: 26 %</t>
        </is>
      </c>
    </row>
    <row r="20">
      <c r="A20" s="30" t="inlineStr">
        <is>
          <t>PISA-T3</t>
        </is>
      </c>
      <c r="B20" s="30" t="inlineStr">
        <is>
          <t>Contenido</t>
        </is>
      </c>
      <c r="C20" s="30" t="inlineStr">
        <is>
          <t>Sistemas de la Tierra y el espacio</t>
        </is>
      </c>
      <c r="D20" s="30" t="inlineStr">
        <is>
          <t>Energía en los sistemas terrestres (fuentes, calentamiento global, tectónica, ciclos geológicos, ciclo del agua)</t>
        </is>
      </c>
      <c r="E20" s="30" t="n">
        <v>38</v>
      </c>
      <c r="F20" s="40" t="n">
        <v>0.26</v>
      </c>
      <c r="G20" s="30" t="inlineStr">
        <is>
          <t>Tabla 2.3: 26 %</t>
        </is>
      </c>
    </row>
    <row r="21">
      <c r="A21" s="30" t="inlineStr">
        <is>
          <t>PISA-T4</t>
        </is>
      </c>
      <c r="B21" s="30" t="inlineStr">
        <is>
          <t>Contenido</t>
        </is>
      </c>
      <c r="C21" s="30" t="inlineStr">
        <is>
          <t>Sistemas de la Tierra y el espacio</t>
        </is>
      </c>
      <c r="D21" s="30" t="inlineStr">
        <is>
          <t>Agua: abastecimiento y conservación (agua dulce, acuíferos)</t>
        </is>
      </c>
      <c r="E21" s="30" t="n">
        <v>38</v>
      </c>
      <c r="F21" s="40" t="n">
        <v>0.26</v>
      </c>
      <c r="G21" s="30" t="inlineStr">
        <is>
          <t>Tabla 2.3: 26 %</t>
        </is>
      </c>
    </row>
    <row r="22">
      <c r="A22" s="30" t="inlineStr">
        <is>
          <t>PISA-T5</t>
        </is>
      </c>
      <c r="B22" s="30" t="inlineStr">
        <is>
          <t>Contenido</t>
        </is>
      </c>
      <c r="C22" s="30" t="inlineStr">
        <is>
          <t>Sistemas de la Tierra y el espacio</t>
        </is>
      </c>
      <c r="D22" s="30" t="inlineStr">
        <is>
          <t>Interacciones y cambios entre sistemas terrestres (cambio climático, ciclos geoquímicos, fuerzas tectónicas, acidificación del océano)</t>
        </is>
      </c>
      <c r="E22" s="30" t="n">
        <v>38</v>
      </c>
      <c r="F22" s="40" t="n">
        <v>0.26</v>
      </c>
      <c r="G22" s="30" t="inlineStr">
        <is>
          <t>Tabla 2.3: 26 %</t>
        </is>
      </c>
    </row>
    <row r="23">
      <c r="A23" s="30" t="inlineStr">
        <is>
          <t>PISA-T6</t>
        </is>
      </c>
      <c r="B23" s="30" t="inlineStr">
        <is>
          <t>Contenido</t>
        </is>
      </c>
      <c r="C23" s="30" t="inlineStr">
        <is>
          <t>Sistemas de la Tierra y el espacio</t>
        </is>
      </c>
      <c r="D23" s="30" t="inlineStr">
        <is>
          <t>Historia de la Tierra (fósiles, origen y evolución, erosión y sedimentación)</t>
        </is>
      </c>
      <c r="E23" s="30" t="n">
        <v>38</v>
      </c>
      <c r="F23" s="40" t="n">
        <v>0.26</v>
      </c>
      <c r="G23" s="30" t="inlineStr">
        <is>
          <t>Tabla 2.3: 26 %</t>
        </is>
      </c>
    </row>
    <row r="24">
      <c r="A24" s="30" t="inlineStr">
        <is>
          <t>PISA-T7</t>
        </is>
      </c>
      <c r="B24" s="30" t="inlineStr">
        <is>
          <t>Contenido</t>
        </is>
      </c>
      <c r="C24" s="30" t="inlineStr">
        <is>
          <t>Sistemas de la Tierra y el espacio</t>
        </is>
      </c>
      <c r="D24" s="30" t="inlineStr">
        <is>
          <t>La Tierra en el espacio (fases de la Luna, sistema solar, galaxias)</t>
        </is>
      </c>
      <c r="E24" s="30" t="n">
        <v>38</v>
      </c>
      <c r="F24" s="40" t="n">
        <v>0.26</v>
      </c>
      <c r="G24" s="30" t="inlineStr">
        <is>
          <t>Tabla 2.3: 26 %</t>
        </is>
      </c>
    </row>
    <row r="25">
      <c r="A25" s="30" t="inlineStr">
        <is>
          <t>PISA-T8</t>
        </is>
      </c>
      <c r="B25" s="30" t="inlineStr">
        <is>
          <t>Contenido</t>
        </is>
      </c>
      <c r="C25" s="30" t="inlineStr">
        <is>
          <t>Sistemas de la Tierra y el espacio</t>
        </is>
      </c>
      <c r="D25" s="30" t="inlineStr">
        <is>
          <t>Origen del universo y del sistema solar (evolución estelar, formación de planetas, Big Bang)</t>
        </is>
      </c>
      <c r="E25" s="30" t="n">
        <v>38</v>
      </c>
      <c r="F25" s="40" t="n">
        <v>0.26</v>
      </c>
      <c r="G25" s="30" t="inlineStr">
        <is>
          <t>Tabla 2.3: 26 %</t>
        </is>
      </c>
    </row>
    <row r="26">
      <c r="A26" s="30" t="inlineStr">
        <is>
          <t>PISA-PR1</t>
        </is>
      </c>
      <c r="B26" s="30" t="inlineStr">
        <is>
          <t>Procedimental</t>
        </is>
      </c>
      <c r="C26" s="30" t="inlineStr">
        <is>
          <t>Conocimiento procedimental</t>
        </is>
      </c>
      <c r="D26" s="30" t="inlineStr">
        <is>
          <t>Variables dependientes, independientes y de control</t>
        </is>
      </c>
      <c r="E26" s="30" t="n">
        <v>40</v>
      </c>
      <c r="F26" s="30" t="n"/>
      <c r="G26" s="30" t="n"/>
    </row>
    <row r="27">
      <c r="A27" s="30" t="inlineStr">
        <is>
          <t>PISA-PR2</t>
        </is>
      </c>
      <c r="B27" s="30" t="inlineStr">
        <is>
          <t>Procedimental</t>
        </is>
      </c>
      <c r="C27" s="30" t="inlineStr">
        <is>
          <t>Conocimiento procedimental</t>
        </is>
      </c>
      <c r="D27" s="30" t="inlineStr">
        <is>
          <t>Conceptos de medición: cuantitativa y cualitativa, uso de escalas, variables categóricas y continuas</t>
        </is>
      </c>
      <c r="E27" s="30" t="n">
        <v>40</v>
      </c>
      <c r="F27" s="30" t="n"/>
      <c r="G27" s="30" t="n"/>
    </row>
    <row r="28">
      <c r="A28" s="30" t="inlineStr">
        <is>
          <t>PISA-PR3</t>
        </is>
      </c>
      <c r="B28" s="30" t="inlineStr">
        <is>
          <t>Procedimental</t>
        </is>
      </c>
      <c r="C28" s="30" t="inlineStr">
        <is>
          <t>Conocimiento procedimental</t>
        </is>
      </c>
      <c r="D28" s="30" t="inlineStr">
        <is>
          <t>Formas de estimar y reducir la incertidumbre (repetir mediciones y promediar)</t>
        </is>
      </c>
      <c r="E28" s="30" t="n">
        <v>40</v>
      </c>
      <c r="F28" s="30" t="n"/>
      <c r="G28" s="30" t="n"/>
    </row>
    <row r="29">
      <c r="A29" s="30" t="inlineStr">
        <is>
          <t>PISA-PR4</t>
        </is>
      </c>
      <c r="B29" s="30" t="inlineStr">
        <is>
          <t>Procedimental</t>
        </is>
      </c>
      <c r="C29" s="30" t="inlineStr">
        <is>
          <t>Conocimiento procedimental</t>
        </is>
      </c>
      <c r="D29" s="30" t="inlineStr">
        <is>
          <t>Mecanismos para asegurar la precisión y la exactitud de los datos</t>
        </is>
      </c>
      <c r="E29" s="30" t="n">
        <v>40</v>
      </c>
      <c r="F29" s="30" t="n"/>
      <c r="G29" s="30" t="n"/>
    </row>
    <row r="30">
      <c r="A30" s="30" t="inlineStr">
        <is>
          <t>PISA-PR5</t>
        </is>
      </c>
      <c r="B30" s="30" t="inlineStr">
        <is>
          <t>Procedimental</t>
        </is>
      </c>
      <c r="C30" s="30" t="inlineStr">
        <is>
          <t>Conocimiento procedimental</t>
        </is>
      </c>
      <c r="D30" s="30" t="inlineStr">
        <is>
          <t>Formas de representar datos en tablas, gráficos y diagramas, y su uso adecuado</t>
        </is>
      </c>
      <c r="E30" s="30" t="n">
        <v>40</v>
      </c>
      <c r="F30" s="30" t="n"/>
      <c r="G30" s="30" t="n"/>
    </row>
    <row r="31">
      <c r="A31" s="30" t="inlineStr">
        <is>
          <t>PISA-PR6</t>
        </is>
      </c>
      <c r="B31" s="30" t="inlineStr">
        <is>
          <t>Procedimental</t>
        </is>
      </c>
      <c r="C31" s="30" t="inlineStr">
        <is>
          <t>Conocimiento procedimental</t>
        </is>
      </c>
      <c r="D31" s="30" t="inlineStr">
        <is>
          <t>Estrategia de control de variables en el diseño experimental (o ensayos aleatorizados) para identificar causas</t>
        </is>
      </c>
      <c r="E31" s="30" t="n">
        <v>40</v>
      </c>
      <c r="F31" s="30" t="n"/>
      <c r="G31" s="30" t="n"/>
    </row>
    <row r="32">
      <c r="A32" s="30" t="inlineStr">
        <is>
          <t>PISA-PR7</t>
        </is>
      </c>
      <c r="B32" s="30" t="inlineStr">
        <is>
          <t>Procedimental</t>
        </is>
      </c>
      <c r="C32" s="30" t="inlineStr">
        <is>
          <t>Conocimiento procedimental</t>
        </is>
      </c>
      <c r="D32" s="30" t="inlineStr">
        <is>
          <t>Diseño adecuado para una pregunta (experimental, de campo, búsqueda de patrones) y papel de los controles</t>
        </is>
      </c>
      <c r="E32" s="30" t="n">
        <v>40</v>
      </c>
      <c r="F32" s="30" t="n"/>
      <c r="G32" s="30" t="n"/>
    </row>
    <row r="33">
      <c r="A33" s="30" t="inlineStr">
        <is>
          <t>PISA-PR8</t>
        </is>
      </c>
      <c r="B33" s="30" t="inlineStr">
        <is>
          <t>Procedimental</t>
        </is>
      </c>
      <c r="C33" s="30" t="inlineStr">
        <is>
          <t>Conocimiento procedimental</t>
        </is>
      </c>
      <c r="D33" s="30" t="inlineStr">
        <is>
          <t>Procesos de revisión entre pares que hacen confiables las afirmaciones</t>
        </is>
      </c>
      <c r="E33" s="30" t="n">
        <v>40</v>
      </c>
      <c r="F33" s="30" t="n"/>
      <c r="G33" s="30" t="n"/>
    </row>
    <row r="34">
      <c r="A34" s="30" t="inlineStr">
        <is>
          <t>PISA-EP1</t>
        </is>
      </c>
      <c r="B34" s="30" t="inlineStr">
        <is>
          <t>Epistémico</t>
        </is>
      </c>
      <c r="C34" s="30" t="inlineStr">
        <is>
          <t>Rasgos de la ciencia</t>
        </is>
      </c>
      <c r="D34" s="30" t="inlineStr">
        <is>
          <t>Naturaleza de observaciones, hechos, hipótesis, modelos y teorías</t>
        </is>
      </c>
      <c r="E34" s="30" t="n">
        <v>42</v>
      </c>
      <c r="F34" s="30" t="n"/>
      <c r="G34" s="30" t="n"/>
    </row>
    <row r="35">
      <c r="A35" s="30" t="inlineStr">
        <is>
          <t>PISA-EP2</t>
        </is>
      </c>
      <c r="B35" s="30" t="inlineStr">
        <is>
          <t>Epistémico</t>
        </is>
      </c>
      <c r="C35" s="30" t="inlineStr">
        <is>
          <t>Rasgos de la ciencia</t>
        </is>
      </c>
      <c r="D35" s="30" t="inlineStr">
        <is>
          <t>Propósito de la ciencia (explicar y predecir) frente al de la tecnología (soluciones óptimas)</t>
        </is>
      </c>
      <c r="E35" s="30" t="n">
        <v>42</v>
      </c>
      <c r="F35" s="30" t="n"/>
      <c r="G35" s="30" t="n"/>
    </row>
    <row r="36">
      <c r="A36" s="30" t="inlineStr">
        <is>
          <t>PISA-EP3</t>
        </is>
      </c>
      <c r="B36" s="30" t="inlineStr">
        <is>
          <t>Epistémico</t>
        </is>
      </c>
      <c r="C36" s="30" t="inlineStr">
        <is>
          <t>Rasgos de la ciencia</t>
        </is>
      </c>
      <c r="D36" s="30" t="inlineStr">
        <is>
          <t>Valores de la ciencia: publicación revisada por pares, objetividad, eliminar sesgos</t>
        </is>
      </c>
      <c r="E36" s="30" t="n">
        <v>42</v>
      </c>
      <c r="F36" s="30" t="n"/>
      <c r="G36" s="30" t="n"/>
    </row>
    <row r="37">
      <c r="A37" s="30" t="inlineStr">
        <is>
          <t>PISA-EP4</t>
        </is>
      </c>
      <c r="B37" s="30" t="inlineStr">
        <is>
          <t>Epistémico</t>
        </is>
      </c>
      <c r="C37" s="30" t="inlineStr">
        <is>
          <t>Modelos</t>
        </is>
      </c>
      <c r="D37" s="30" t="inlineStr">
        <is>
          <t>Uso de modelos físicos, conceptuales, de sistemas y matemáticos para comprender el mundo</t>
        </is>
      </c>
      <c r="E37" s="30" t="n">
        <v>42</v>
      </c>
      <c r="F37" s="30" t="n"/>
      <c r="G37" s="30" t="n"/>
    </row>
    <row r="38">
      <c r="A38" s="30" t="inlineStr">
        <is>
          <t>PISA-EP5</t>
        </is>
      </c>
      <c r="B38" s="30" t="inlineStr">
        <is>
          <t>Epistémico</t>
        </is>
      </c>
      <c r="C38" s="30" t="inlineStr">
        <is>
          <t>Modelos</t>
        </is>
      </c>
      <c r="D38" s="30" t="inlineStr">
        <is>
          <t>Distinción entre modelo y realidad</t>
        </is>
      </c>
      <c r="E38" s="30" t="n">
        <v>42</v>
      </c>
      <c r="F38" s="30" t="n"/>
      <c r="G38" s="30" t="n"/>
    </row>
    <row r="39">
      <c r="A39" s="30" t="inlineStr">
        <is>
          <t>PISA-EP6</t>
        </is>
      </c>
      <c r="B39" s="30" t="inlineStr">
        <is>
          <t>Epistémico</t>
        </is>
      </c>
      <c r="C39" s="30" t="inlineStr">
        <is>
          <t>Modelos</t>
        </is>
      </c>
      <c r="D39" s="30" t="inlineStr">
        <is>
          <t>Cómo los modelos permiten predecir y explicar</t>
        </is>
      </c>
      <c r="E39" s="30" t="n">
        <v>42</v>
      </c>
      <c r="F39" s="30" t="n"/>
      <c r="G39" s="30" t="n"/>
    </row>
    <row r="40">
      <c r="A40" s="30" t="inlineStr">
        <is>
          <t>PISA-EP7</t>
        </is>
      </c>
      <c r="B40" s="30" t="inlineStr">
        <is>
          <t>Epistémico</t>
        </is>
      </c>
      <c r="C40" s="30" t="inlineStr">
        <is>
          <t>Modelos</t>
        </is>
      </c>
      <c r="D40" s="30" t="inlineStr">
        <is>
          <t>Cómo las limitaciones de un modelo restringen su uso</t>
        </is>
      </c>
      <c r="E40" s="30" t="n">
        <v>42</v>
      </c>
      <c r="F40" s="30" t="n"/>
      <c r="G40" s="30" t="n"/>
    </row>
    <row r="41">
      <c r="A41" s="30" t="inlineStr">
        <is>
          <t>PISA-EP8</t>
        </is>
      </c>
      <c r="B41" s="30" t="inlineStr">
        <is>
          <t>Epistémico</t>
        </is>
      </c>
      <c r="C41" s="30" t="inlineStr">
        <is>
          <t>Datos y evidencia</t>
        </is>
      </c>
      <c r="D41" s="30" t="inlineStr">
        <is>
          <t>Cómo los datos, métodos y razonamientos sustentan las afirmaciones científicas</t>
        </is>
      </c>
      <c r="E41" s="30" t="n">
        <v>42</v>
      </c>
      <c r="F41" s="30" t="n"/>
      <c r="G41" s="30" t="n"/>
    </row>
    <row r="42">
      <c r="A42" s="30" t="inlineStr">
        <is>
          <t>PISA-EP9</t>
        </is>
      </c>
      <c r="B42" s="30" t="inlineStr">
        <is>
          <t>Epistémico</t>
        </is>
      </c>
      <c r="C42" s="30" t="inlineStr">
        <is>
          <t>Datos y evidencia</t>
        </is>
      </c>
      <c r="D42" s="30" t="inlineStr">
        <is>
          <t>Cómo se genera la evidencia científica (prácticas de los científicos)</t>
        </is>
      </c>
      <c r="E42" s="30" t="n">
        <v>42</v>
      </c>
      <c r="F42" s="30" t="n"/>
      <c r="G42" s="30" t="n"/>
    </row>
    <row r="43">
      <c r="A43" s="30" t="inlineStr">
        <is>
          <t>PISA-EP10</t>
        </is>
      </c>
      <c r="B43" s="30" t="inlineStr">
        <is>
          <t>Epistémico</t>
        </is>
      </c>
      <c r="C43" s="30" t="inlineStr">
        <is>
          <t>Datos y evidencia</t>
        </is>
      </c>
      <c r="D43" s="30" t="inlineStr">
        <is>
          <t>Cómo el error de medición afecta la confianza en el conocimiento</t>
        </is>
      </c>
      <c r="E43" s="30" t="n">
        <v>42</v>
      </c>
      <c r="F43" s="30" t="n"/>
      <c r="G43" s="30" t="n"/>
    </row>
    <row r="44">
      <c r="A44" s="30" t="inlineStr">
        <is>
          <t>PISA-EP11</t>
        </is>
      </c>
      <c r="B44" s="30" t="inlineStr">
        <is>
          <t>Epistémico</t>
        </is>
      </c>
      <c r="C44" s="30" t="inlineStr">
        <is>
          <t>Razonamiento científico</t>
        </is>
      </c>
      <c r="D44" s="30" t="inlineStr">
        <is>
          <t>Formas de indagación empírica: experimento, trabajo de campo, búsqueda de patrones</t>
        </is>
      </c>
      <c r="E44" s="30" t="n">
        <v>42</v>
      </c>
      <c r="F44" s="30" t="n"/>
      <c r="G44" s="30" t="n"/>
    </row>
    <row r="45">
      <c r="A45" s="30" t="inlineStr">
        <is>
          <t>PISA-EP12</t>
        </is>
      </c>
      <c r="B45" s="30" t="inlineStr">
        <is>
          <t>Epistémico</t>
        </is>
      </c>
      <c r="C45" s="30" t="inlineStr">
        <is>
          <t>Razonamiento científico</t>
        </is>
      </c>
      <c r="D45" s="30" t="inlineStr">
        <is>
          <t>Tipos de razonamiento (deducción, abducción, inducción, probabilidad) y su finalidad</t>
        </is>
      </c>
      <c r="E45" s="30" t="n">
        <v>42</v>
      </c>
      <c r="F45" s="30" t="n"/>
      <c r="G45" s="30" t="n"/>
    </row>
    <row r="46">
      <c r="A46" s="30" t="inlineStr">
        <is>
          <t>PISA-EP13</t>
        </is>
      </c>
      <c r="B46" s="30" t="inlineStr">
        <is>
          <t>Epistémico</t>
        </is>
      </c>
      <c r="C46" s="30" t="inlineStr">
        <is>
          <t>Razonamiento científico</t>
        </is>
      </c>
      <c r="D46" s="30" t="inlineStr">
        <is>
          <t>Dilemas éticos de la práctica científica</t>
        </is>
      </c>
      <c r="E46" s="30" t="n">
        <v>42</v>
      </c>
      <c r="F46" s="30" t="n"/>
      <c r="G46" s="30" t="n"/>
    </row>
    <row r="47">
      <c r="A47" s="30" t="inlineStr">
        <is>
          <t>PISA-EP14</t>
        </is>
      </c>
      <c r="B47" s="30" t="inlineStr">
        <is>
          <t>Epistémico</t>
        </is>
      </c>
      <c r="C47" s="30" t="inlineStr">
        <is>
          <t>Razonamiento científico</t>
        </is>
      </c>
      <c r="D47" s="30" t="inlineStr">
        <is>
          <t>Papel y límites del conocimiento científico, junto con otros saberes, ante problemas sociales y tecnológicos</t>
        </is>
      </c>
      <c r="E47" s="30" t="n">
        <v>42</v>
      </c>
      <c r="F47" s="30" t="n"/>
      <c r="G47" s="30" t="n"/>
    </row>
    <row r="48">
      <c r="A48" s="30" t="inlineStr">
        <is>
          <t>PISA-EP15</t>
        </is>
      </c>
      <c r="B48" s="30" t="inlineStr">
        <is>
          <t>Epistémico</t>
        </is>
      </c>
      <c r="C48" s="30" t="inlineStr">
        <is>
          <t>Naturaleza colectiva</t>
        </is>
      </c>
      <c r="D48" s="30" t="inlineStr">
        <is>
          <t>Cómo se financia y apoya la investigación</t>
        </is>
      </c>
      <c r="E48" s="30" t="n">
        <v>42</v>
      </c>
      <c r="F48" s="30" t="n"/>
      <c r="G48" s="30" t="n"/>
    </row>
    <row r="49">
      <c r="A49" s="30" t="inlineStr">
        <is>
          <t>PISA-EP16</t>
        </is>
      </c>
      <c r="B49" s="30" t="inlineStr">
        <is>
          <t>Epistémico</t>
        </is>
      </c>
      <c r="C49" s="30" t="inlineStr">
        <is>
          <t>Naturaleza colectiva</t>
        </is>
      </c>
      <c r="D49" s="30" t="inlineStr">
        <is>
          <t>Importancia del consenso</t>
        </is>
      </c>
      <c r="E49" s="30" t="n">
        <v>42</v>
      </c>
      <c r="F49" s="30" t="n"/>
      <c r="G49" s="30" t="n"/>
    </row>
    <row r="50">
      <c r="A50" s="30" t="inlineStr">
        <is>
          <t>PISA-EP17</t>
        </is>
      </c>
      <c r="B50" s="30" t="inlineStr">
        <is>
          <t>Epistémico</t>
        </is>
      </c>
      <c r="C50" s="30" t="inlineStr">
        <is>
          <t>Naturaleza colectiva</t>
        </is>
      </c>
      <c r="D50" s="30" t="inlineStr">
        <is>
          <t>La revisión por pares y la comunidad científica dan confianza a las afirmaciones</t>
        </is>
      </c>
      <c r="E50" s="30" t="n">
        <v>43</v>
      </c>
      <c r="F50" s="30" t="n"/>
      <c r="G50" s="30" t="n"/>
    </row>
    <row r="51">
      <c r="A51" s="30" t="inlineStr">
        <is>
          <t>PISA-EP18</t>
        </is>
      </c>
      <c r="B51" s="30" t="inlineStr">
        <is>
          <t>Epistémico</t>
        </is>
      </c>
      <c r="C51" s="30" t="inlineStr">
        <is>
          <t>Naturaleza colectiva</t>
        </is>
      </c>
      <c r="D51" s="30" t="inlineStr">
        <is>
          <t>Prácticas científicas clave para producir conocimiento compartido y su carácter colaborativo</t>
        </is>
      </c>
      <c r="E51" s="30" t="n">
        <v>43</v>
      </c>
      <c r="F51" s="30" t="n"/>
      <c r="G51" s="30" t="n"/>
    </row>
    <row r="52">
      <c r="A52" s="30" t="inlineStr">
        <is>
          <t>PISA-EP19</t>
        </is>
      </c>
      <c r="B52" s="30" t="inlineStr">
        <is>
          <t>Epistémico</t>
        </is>
      </c>
      <c r="C52" s="30" t="inlineStr">
        <is>
          <t>Naturaleza colectiva</t>
        </is>
      </c>
      <c r="D52" s="30" t="inlineStr">
        <is>
          <t>Límites de la certeza, cómo se expresa y cómo evoluciona</t>
        </is>
      </c>
      <c r="E52" s="30" t="n">
        <v>43</v>
      </c>
      <c r="F52" s="30" t="n"/>
      <c r="G52" s="30" t="n"/>
    </row>
    <row r="53">
      <c r="A53" s="30" t="inlineStr">
        <is>
          <t>PISA-EP20</t>
        </is>
      </c>
      <c r="B53" s="30" t="inlineStr">
        <is>
          <t>Epistémico</t>
        </is>
      </c>
      <c r="C53" s="30" t="inlineStr">
        <is>
          <t>Naturaleza colectiva</t>
        </is>
      </c>
      <c r="D53" s="30" t="inlineStr">
        <is>
          <t>Cómo se comunican los hallazgos a la comunidad y al público</t>
        </is>
      </c>
      <c r="E53" s="30" t="n">
        <v>43</v>
      </c>
      <c r="F53" s="30" t="n"/>
      <c r="G53" s="30" t="n"/>
    </row>
    <row r="54">
      <c r="A54" s="30" t="inlineStr">
        <is>
          <t>E1</t>
        </is>
      </c>
      <c r="B54" s="30" t="inlineStr">
        <is>
          <t>Subcompetencia</t>
        </is>
      </c>
      <c r="C54" s="30" t="inlineStr">
        <is>
          <t>C1 · Explicar fenómenos científicamente</t>
        </is>
      </c>
      <c r="D54" s="30" t="inlineStr">
        <is>
          <t>Recordar y aplicar el conocimiento científico apropiado</t>
        </is>
      </c>
      <c r="E54" s="30" t="n">
        <v>34</v>
      </c>
      <c r="F54" s="30" t="n"/>
      <c r="G54" s="30" t="inlineStr">
        <is>
          <t>Tabla 2.4: 36–44 %</t>
        </is>
      </c>
    </row>
    <row r="55">
      <c r="A55" s="30" t="inlineStr">
        <is>
          <t>E2</t>
        </is>
      </c>
      <c r="B55" s="30" t="inlineStr">
        <is>
          <t>Subcompetencia</t>
        </is>
      </c>
      <c r="C55" s="30" t="inlineStr">
        <is>
          <t>C1 · Explicar fenómenos científicamente</t>
        </is>
      </c>
      <c r="D55" s="30" t="inlineStr">
        <is>
          <t>Usar distintas representaciones y pasar de una a otra</t>
        </is>
      </c>
      <c r="E55" s="30" t="n">
        <v>34</v>
      </c>
      <c r="F55" s="30" t="n"/>
      <c r="G55" s="30" t="inlineStr">
        <is>
          <t>Tabla 2.4: 36–44 %</t>
        </is>
      </c>
    </row>
    <row r="56">
      <c r="A56" s="30" t="inlineStr">
        <is>
          <t>E3</t>
        </is>
      </c>
      <c r="B56" s="30" t="inlineStr">
        <is>
          <t>Subcompetencia</t>
        </is>
      </c>
      <c r="C56" s="30" t="inlineStr">
        <is>
          <t>C1 · Explicar fenómenos científicamente</t>
        </is>
      </c>
      <c r="D56" s="30" t="inlineStr">
        <is>
          <t>Hacer y justificar predicciones y soluciones científicas</t>
        </is>
      </c>
      <c r="E56" s="30" t="n">
        <v>34</v>
      </c>
      <c r="F56" s="30" t="n"/>
      <c r="G56" s="30" t="inlineStr">
        <is>
          <t>Tabla 2.4: 36–44 %</t>
        </is>
      </c>
    </row>
    <row r="57">
      <c r="A57" s="30" t="inlineStr">
        <is>
          <t>E4</t>
        </is>
      </c>
      <c r="B57" s="30" t="inlineStr">
        <is>
          <t>Subcompetencia</t>
        </is>
      </c>
      <c r="C57" s="30" t="inlineStr">
        <is>
          <t>C1 · Explicar fenómenos científicamente</t>
        </is>
      </c>
      <c r="D57" s="30" t="inlineStr">
        <is>
          <t>Identificar, construir y evaluar modelos</t>
        </is>
      </c>
      <c r="E57" s="30" t="n">
        <v>34</v>
      </c>
      <c r="F57" s="30" t="n"/>
      <c r="G57" s="30" t="inlineStr">
        <is>
          <t>Tabla 2.4: 36–44 %</t>
        </is>
      </c>
    </row>
    <row r="58">
      <c r="A58" s="30" t="inlineStr">
        <is>
          <t>E5</t>
        </is>
      </c>
      <c r="B58" s="30" t="inlineStr">
        <is>
          <t>Subcompetencia</t>
        </is>
      </c>
      <c r="C58" s="30" t="inlineStr">
        <is>
          <t>C1 · Explicar fenómenos científicamente</t>
        </is>
      </c>
      <c r="D58" s="30" t="inlineStr">
        <is>
          <t>Reconocer y desarrollar hipótesis explicativas</t>
        </is>
      </c>
      <c r="E58" s="30" t="n">
        <v>34</v>
      </c>
      <c r="F58" s="30" t="n"/>
      <c r="G58" s="30" t="inlineStr">
        <is>
          <t>Tabla 2.4: 36–44 %</t>
        </is>
      </c>
    </row>
    <row r="59">
      <c r="A59" s="30" t="inlineStr">
        <is>
          <t>E6</t>
        </is>
      </c>
      <c r="B59" s="30" t="inlineStr">
        <is>
          <t>Subcompetencia</t>
        </is>
      </c>
      <c r="C59" s="30" t="inlineStr">
        <is>
          <t>C1 · Explicar fenómenos científicamente</t>
        </is>
      </c>
      <c r="D59" s="30" t="inlineStr">
        <is>
          <t>Explicar las implicaciones del conocimiento científico para la sociedad</t>
        </is>
      </c>
      <c r="E59" s="30" t="n">
        <v>34</v>
      </c>
      <c r="F59" s="30" t="n"/>
      <c r="G59" s="30" t="inlineStr">
        <is>
          <t>Tabla 2.4: 36–44 %</t>
        </is>
      </c>
    </row>
    <row r="60">
      <c r="A60" s="30" t="inlineStr">
        <is>
          <t>D1</t>
        </is>
      </c>
      <c r="B60" s="30" t="inlineStr">
        <is>
          <t>Subcompetencia</t>
        </is>
      </c>
      <c r="C60" s="30" t="inlineStr">
        <is>
          <t>C2 · Construir y evaluar diseños de indagación e interpretar datos y evidencia críticamente</t>
        </is>
      </c>
      <c r="D60" s="30" t="inlineStr">
        <is>
          <t>Identificar la pregunta de un estudio científico</t>
        </is>
      </c>
      <c r="E60" s="30" t="n">
        <v>34</v>
      </c>
      <c r="F60" s="30" t="n"/>
      <c r="G60" s="30" t="inlineStr">
        <is>
          <t>Tabla 2.4: 24–36 %</t>
        </is>
      </c>
    </row>
    <row r="61">
      <c r="A61" s="30" t="inlineStr">
        <is>
          <t>D2</t>
        </is>
      </c>
      <c r="B61" s="30" t="inlineStr">
        <is>
          <t>Subcompetencia</t>
        </is>
      </c>
      <c r="C61" s="30" t="inlineStr">
        <is>
          <t>C2 · Construir y evaluar diseños de indagación e interpretar datos y evidencia críticamente</t>
        </is>
      </c>
      <c r="D61" s="30" t="inlineStr">
        <is>
          <t>Proponer un diseño experimental apropiado</t>
        </is>
      </c>
      <c r="E61" s="30" t="n">
        <v>34</v>
      </c>
      <c r="F61" s="30" t="n"/>
      <c r="G61" s="30" t="inlineStr">
        <is>
          <t>Tabla 2.4: 24–36 %</t>
        </is>
      </c>
    </row>
    <row r="62">
      <c r="A62" s="30" t="inlineStr">
        <is>
          <t>D3</t>
        </is>
      </c>
      <c r="B62" s="30" t="inlineStr">
        <is>
          <t>Subcompetencia</t>
        </is>
      </c>
      <c r="C62" s="30" t="inlineStr">
        <is>
          <t>C2 · Construir y evaluar diseños de indagación e interpretar datos y evidencia críticamente</t>
        </is>
      </c>
      <c r="D62" s="30" t="inlineStr">
        <is>
          <t>Evaluar si un diseño es el más adecuado para la pregunta</t>
        </is>
      </c>
      <c r="E62" s="30" t="n">
        <v>34</v>
      </c>
      <c r="F62" s="30" t="n"/>
      <c r="G62" s="30" t="inlineStr">
        <is>
          <t>Tabla 2.4: 24–36 %</t>
        </is>
      </c>
    </row>
    <row r="63">
      <c r="A63" s="30" t="inlineStr">
        <is>
          <t>D4</t>
        </is>
      </c>
      <c r="B63" s="30" t="inlineStr">
        <is>
          <t>Subcompetencia</t>
        </is>
      </c>
      <c r="C63" s="30" t="inlineStr">
        <is>
          <t>C2 · Construir y evaluar diseños de indagación e interpretar datos y evidencia críticamente</t>
        </is>
      </c>
      <c r="D63" s="30" t="inlineStr">
        <is>
          <t>Interpretar datos en distintas representaciones y sacar y evaluar conclusiones</t>
        </is>
      </c>
      <c r="E63" s="30" t="n">
        <v>34</v>
      </c>
      <c r="F63" s="30" t="n"/>
      <c r="G63" s="30" t="inlineStr">
        <is>
          <t>Tabla 2.4: 24–36 %</t>
        </is>
      </c>
    </row>
    <row r="64">
      <c r="A64" s="30" t="inlineStr">
        <is>
          <t>I1</t>
        </is>
      </c>
      <c r="B64" s="30" t="inlineStr">
        <is>
          <t>Subcompetencia</t>
        </is>
      </c>
      <c r="C64" s="30" t="inlineStr">
        <is>
          <t>C3 · Investigar, evaluar y usar información científica para decidir y actuar</t>
        </is>
      </c>
      <c r="D64" s="30" t="inlineStr">
        <is>
          <t>Buscar, evaluar y comunicar el valor de distintas fuentes de información</t>
        </is>
      </c>
      <c r="E64" s="30" t="n">
        <v>36</v>
      </c>
      <c r="F64" s="30" t="n"/>
      <c r="G64" s="30" t="inlineStr">
        <is>
          <t>Tabla 2.4: 24–36 %</t>
        </is>
      </c>
    </row>
    <row r="65">
      <c r="A65" s="30" t="inlineStr">
        <is>
          <t>I2</t>
        </is>
      </c>
      <c r="B65" s="30" t="inlineStr">
        <is>
          <t>Subcompetencia</t>
        </is>
      </c>
      <c r="C65" s="30" t="inlineStr">
        <is>
          <t>C3 · Investigar, evaluar y usar información científica para decidir y actuar</t>
        </is>
      </c>
      <c r="D65" s="30" t="inlineStr">
        <is>
          <t>Distinguir afirmaciones con evidencia sólida, de expertos o no expertos, y opiniones</t>
        </is>
      </c>
      <c r="E65" s="30" t="n">
        <v>36</v>
      </c>
      <c r="F65" s="30" t="n"/>
      <c r="G65" s="30" t="inlineStr">
        <is>
          <t>Tabla 2.4: 24–36 %</t>
        </is>
      </c>
    </row>
    <row r="66">
      <c r="A66" s="30" t="inlineStr">
        <is>
          <t>I3</t>
        </is>
      </c>
      <c r="B66" s="30" t="inlineStr">
        <is>
          <t>Subcompetencia</t>
        </is>
      </c>
      <c r="C66" s="30" t="inlineStr">
        <is>
          <t>C3 · Investigar, evaluar y usar información científica para decidir y actuar</t>
        </is>
      </c>
      <c r="D66" s="30" t="inlineStr">
        <is>
          <t>Construir un argumento a partir de datos</t>
        </is>
      </c>
      <c r="E66" s="30" t="n">
        <v>36</v>
      </c>
      <c r="F66" s="30" t="n"/>
      <c r="G66" s="30" t="inlineStr">
        <is>
          <t>Tabla 2.4: 24–36 %</t>
        </is>
      </c>
    </row>
    <row r="67">
      <c r="A67" s="30" t="inlineStr">
        <is>
          <t>I4</t>
        </is>
      </c>
      <c r="B67" s="30" t="inlineStr">
        <is>
          <t>Subcompetencia</t>
        </is>
      </c>
      <c r="C67" s="30" t="inlineStr">
        <is>
          <t>C3 · Investigar, evaluar y usar información científica para decidir y actuar</t>
        </is>
      </c>
      <c r="D67" s="30" t="inlineStr">
        <is>
          <t>Criticar fallas comunes en argumentos científicos</t>
        </is>
      </c>
      <c r="E67" s="30" t="n">
        <v>36</v>
      </c>
      <c r="F67" s="30" t="n"/>
      <c r="G67" s="30" t="inlineStr">
        <is>
          <t>Tabla 2.4: 24–36 %</t>
        </is>
      </c>
    </row>
    <row r="68">
      <c r="A68" s="30" t="inlineStr">
        <is>
          <t>I5</t>
        </is>
      </c>
      <c r="B68" s="30" t="inlineStr">
        <is>
          <t>Subcompetencia</t>
        </is>
      </c>
      <c r="C68" s="30" t="inlineStr">
        <is>
          <t>C3 · Investigar, evaluar y usar información científica para decidir y actuar</t>
        </is>
      </c>
      <c r="D68" s="30" t="inlineStr">
        <is>
          <t>Justificar decisiones con argumentos científicos, individuales o comunitarios</t>
        </is>
      </c>
      <c r="E68" s="30" t="n">
        <v>36</v>
      </c>
      <c r="F68" s="30" t="n"/>
      <c r="G68" s="30" t="inlineStr">
        <is>
          <t>Tabla 2.4: 24–36 %</t>
        </is>
      </c>
    </row>
    <row r="69">
      <c r="A69" s="30" t="inlineStr">
        <is>
          <t>AREA-1</t>
        </is>
      </c>
      <c r="B69" s="30" t="inlineStr">
        <is>
          <t>Área de aplicación</t>
        </is>
      </c>
      <c r="C69" s="30" t="inlineStr">
        <is>
          <t>Áreas de aplicación</t>
        </is>
      </c>
      <c r="D69" s="30" t="inlineStr">
        <is>
          <t>Salud y enfermedad</t>
        </is>
      </c>
      <c r="E69" s="30" t="n">
        <v>32</v>
      </c>
      <c r="F69" s="30" t="n"/>
      <c r="G69" s="30" t="n"/>
    </row>
    <row r="70">
      <c r="A70" s="30" t="inlineStr">
        <is>
          <t>AREA-2</t>
        </is>
      </c>
      <c r="B70" s="30" t="inlineStr">
        <is>
          <t>Área de aplicación</t>
        </is>
      </c>
      <c r="C70" s="30" t="inlineStr">
        <is>
          <t>Áreas de aplicación</t>
        </is>
      </c>
      <c r="D70" s="30" t="inlineStr">
        <is>
          <t>Recursos naturales</t>
        </is>
      </c>
      <c r="E70" s="30" t="n">
        <v>32</v>
      </c>
      <c r="F70" s="30" t="n"/>
      <c r="G70" s="30" t="n"/>
    </row>
    <row r="71">
      <c r="A71" s="30" t="inlineStr">
        <is>
          <t>AREA-3</t>
        </is>
      </c>
      <c r="B71" s="30" t="inlineStr">
        <is>
          <t>Área de aplicación</t>
        </is>
      </c>
      <c r="C71" s="30" t="inlineStr">
        <is>
          <t>Áreas de aplicación</t>
        </is>
      </c>
      <c r="D71" s="30" t="inlineStr">
        <is>
          <t>Impactos ambientales y cambio climático</t>
        </is>
      </c>
      <c r="E71" s="30" t="n">
        <v>33</v>
      </c>
      <c r="F71" s="30" t="n"/>
      <c r="G71" s="30" t="n"/>
    </row>
    <row r="72">
      <c r="A72" s="30" t="inlineStr">
        <is>
          <t>AREA-4</t>
        </is>
      </c>
      <c r="B72" s="30" t="inlineStr">
        <is>
          <t>Área de aplicación</t>
        </is>
      </c>
      <c r="C72" s="30" t="inlineStr">
        <is>
          <t>Áreas de aplicación</t>
        </is>
      </c>
      <c r="D72" s="30" t="inlineStr">
        <is>
          <t>Riesgos</t>
        </is>
      </c>
      <c r="E72" s="30" t="n">
        <v>33</v>
      </c>
      <c r="F72" s="30" t="n"/>
      <c r="G72" s="30" t="n"/>
    </row>
    <row r="73">
      <c r="A73" s="30" t="inlineStr">
        <is>
          <t>AREA-5</t>
        </is>
      </c>
      <c r="B73" s="30" t="inlineStr">
        <is>
          <t>Área de aplicación</t>
        </is>
      </c>
      <c r="C73" s="30" t="inlineStr">
        <is>
          <t>Áreas de aplicación</t>
        </is>
      </c>
      <c r="D73" s="30" t="inlineStr">
        <is>
          <t>Avances y desafíos científicos y tecnológicos</t>
        </is>
      </c>
      <c r="E73" s="30" t="n">
        <v>33</v>
      </c>
      <c r="F73" s="30" t="n"/>
      <c r="G73" s="30" t="n"/>
    </row>
    <row r="74">
      <c r="A74" s="30" t="inlineStr">
        <is>
          <t>DEM-BAJA</t>
        </is>
      </c>
      <c r="B74" s="30" t="inlineStr">
        <is>
          <t>Demanda cognitiva</t>
        </is>
      </c>
      <c r="C74" s="30" t="inlineStr">
        <is>
          <t>Demanda cognitiva</t>
        </is>
      </c>
      <c r="D74" s="30" t="inlineStr">
        <is>
          <t>Baja: Un paso: recordar un dato o concepto, ubicar un dato, clasificar por un criterio</t>
        </is>
      </c>
      <c r="E74" s="30" t="n">
        <v>50</v>
      </c>
      <c r="F74" s="30" t="n"/>
      <c r="G74" s="30" t="n"/>
    </row>
    <row r="75">
      <c r="A75" s="30" t="inlineStr">
        <is>
          <t>DEM-MEDIA</t>
        </is>
      </c>
      <c r="B75" s="30" t="inlineStr">
        <is>
          <t>Demanda cognitiva</t>
        </is>
      </c>
      <c r="C75" s="30" t="inlineStr">
        <is>
          <t>Demanda cognitiva</t>
        </is>
      </c>
      <c r="D75" s="30" t="inlineStr">
        <is>
          <t>Media: Aplicar conocimiento para describir o explicar, dos o más pasos, organizar o interpretar datos simples</t>
        </is>
      </c>
      <c r="E75" s="30" t="n">
        <v>50</v>
      </c>
      <c r="F75" s="30" t="n"/>
      <c r="G75" s="30" t="n"/>
    </row>
    <row r="76">
      <c r="A76" s="30" t="inlineStr">
        <is>
          <t>DEM-ALTA</t>
        </is>
      </c>
      <c r="B76" s="30" t="inlineStr">
        <is>
          <t>Demanda cognitiva</t>
        </is>
      </c>
      <c r="C76" s="30" t="inlineStr">
        <is>
          <t>Demanda cognitiva</t>
        </is>
      </c>
      <c r="D76" s="30" t="inlineStr">
        <is>
          <t>Alta: Analizar información compleja, sintetizar o evaluar evidencia, justificar, planificar una investigación, criticar argumentos</t>
        </is>
      </c>
      <c r="E76" s="30" t="n">
        <v>50</v>
      </c>
      <c r="F76" s="30" t="n"/>
      <c r="G76" s="30" t="n"/>
    </row>
    <row r="77"/>
    <row r="78" ht="56" customHeight="1">
      <c r="A78" s="2" t="inlineStr">
        <is>
          <t>Cómo se calcula: Fuente: OECD (2026), PISA 2025 Assessment and Analytical Framework, cap. 2 (data/referencia/externos/pisa/PISA2025_Marco_Evaluacion_2026.pdf). Paráfrasis en español, con página. Contenido = Box 2.6; procedimental = Box 2.7; epistémico = Box 2.8; subcompetencias = Boxes 2.3–2.5 (mismos códigos E/D/I que usa la malla); áreas de aplicación = Tabla 2.2; demanda cognitiva = Figura 2.2. Metas: Tablas 2.3 y 2.4 (p. 53).</t>
        </is>
      </c>
    </row>
  </sheetData>
  <autoFilter ref="A4:G76"/>
  <mergeCells count="2">
    <mergeCell ref="A78:L78"/>
    <mergeCell ref="A2:L2"/>
  </mergeCells>
  <pageMargins left="0.75" right="0.75" top="1" bottom="1" header="0.5" footer="0.5"/>
</worksheet>
</file>

<file path=xl/worksheets/sheet19.xml><?xml version="1.0" encoding="utf-8"?>
<worksheet xmlns="http://schemas.openxmlformats.org/spreadsheetml/2006/main">
  <sheetPr>
    <tabColor rgb="00595959"/>
    <outlinePr summaryBelow="1" summaryRight="1"/>
    <pageSetUpPr/>
  </sheetPr>
  <dimension ref="A1:N5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10" customWidth="1" min="2" max="2"/>
    <col width="34" customWidth="1" min="3" max="3"/>
    <col width="7" customWidth="1" min="4" max="4"/>
    <col width="10" customWidth="1" min="5" max="5"/>
    <col width="8" customWidth="1" min="6" max="6"/>
    <col width="26" customWidth="1" min="7" max="7"/>
    <col width="60" customWidth="1" min="8" max="8"/>
    <col width="8" customWidth="1" min="9" max="9"/>
    <col width="13" customWidth="1" min="10" max="10"/>
    <col width="13" customWidth="1" min="11" max="11"/>
    <col width="10" customWidth="1" min="12" max="12"/>
    <col width="22" customWidth="1" min="13" max="13"/>
    <col width="45" customWidth="1" min="14" max="14"/>
  </cols>
  <sheetData>
    <row r="1">
      <c r="A1" s="6" t="inlineStr">
        <is>
          <t>Objetivos de otros países alineados con TIMSS 2027 (el pivote común)</t>
        </is>
      </c>
    </row>
    <row r="2" ht="53" customHeight="1">
      <c r="A2" s="7">
        <f>"TIMSS 2027 como referencia común"&amp;"
"&amp;"● "&amp;COUNTA($A$5:$A$510)&amp;" objetivos: Uruguay "&amp;COUNTIF($B$5:$B$510,"Uruguay")&amp;", Colombia "&amp;COUNTIF($B$5:$B$510,"Colombia")&amp;", Singapur "&amp;COUNTIF($B$5:$B$510,"Singapur")&amp;"."&amp;"
"&amp;"● Sin objetivo TIMSS: "&amp;COUNTIF($J$5:$J$510,"FUERA")&amp;". Confianza baja: "&amp;COUNTIF($L$5:$L$510,"baja")&amp;"."</f>
        <v/>
      </c>
      <c r="B2" s="8" t="n"/>
      <c r="C2" s="8" t="n"/>
      <c r="D2" s="8" t="n"/>
      <c r="E2" s="8" t="n"/>
      <c r="F2" s="8" t="n"/>
      <c r="G2" s="8" t="n"/>
      <c r="H2" s="8" t="n"/>
      <c r="I2" s="8" t="n"/>
      <c r="J2" s="8" t="n"/>
      <c r="K2" s="8" t="n"/>
      <c r="L2" s="8" t="n"/>
      <c r="M2" s="8" t="n"/>
      <c r="N2" s="9" t="n"/>
    </row>
    <row r="3"/>
    <row r="4" ht="42" customHeight="1">
      <c r="A4" s="10" t="inlineStr">
        <is>
          <t>ID</t>
        </is>
      </c>
      <c r="B4" s="10" t="inlineStr">
        <is>
          <t>País</t>
        </is>
      </c>
      <c r="C4" s="10" t="inlineStr">
        <is>
          <t>Documento</t>
        </is>
      </c>
      <c r="D4" s="10" t="inlineStr">
        <is>
          <t>Página</t>
        </is>
      </c>
      <c r="E4" s="10" t="inlineStr">
        <is>
          <t>Grado o tramo</t>
        </is>
      </c>
      <c r="F4" s="10" t="inlineStr">
        <is>
          <t>Grado (inicio)</t>
        </is>
      </c>
      <c r="G4" s="10" t="inlineStr">
        <is>
          <t>Eje / área</t>
        </is>
      </c>
      <c r="H4" s="10" t="inlineStr">
        <is>
          <t>Texto (paráfrasis o literal corto)</t>
        </is>
      </c>
      <c r="I4" s="10" t="inlineStr">
        <is>
          <t>Marco</t>
        </is>
      </c>
      <c r="J4" s="10" t="inlineStr">
        <is>
          <t>Objetivo TIMSS principal</t>
        </is>
      </c>
      <c r="K4" s="10" t="inlineStr">
        <is>
          <t>Objetivo TIMSS secundario</t>
        </is>
      </c>
      <c r="L4" s="10" t="inlineStr">
        <is>
          <t>Confianza</t>
        </is>
      </c>
      <c r="M4" s="10" t="inlineStr">
        <is>
          <t>Dominio (principal)</t>
        </is>
      </c>
      <c r="N4" s="10" t="inlineStr">
        <is>
          <t>Justificación</t>
        </is>
      </c>
    </row>
    <row r="5">
      <c r="A5" s="11" t="inlineStr">
        <is>
          <t>UY-BIO-G3-01</t>
        </is>
      </c>
      <c r="B5" s="11" t="inlineStr">
        <is>
          <t>Uruguay</t>
        </is>
      </c>
      <c r="C5" s="11" t="inlineStr">
        <is>
          <t>UY_EBI_Biologia_Tramo3_3-4grado.pdf</t>
        </is>
      </c>
      <c r="D5" s="11" t="n">
        <v>14</v>
      </c>
      <c r="E5" s="11" t="inlineStr">
        <is>
          <t>3.°</t>
        </is>
      </c>
      <c r="F5" s="11" t="n">
        <v>3</v>
      </c>
      <c r="G5" s="11" t="inlineStr">
        <is>
          <t>Biología</t>
        </is>
      </c>
      <c r="H5" s="38" t="inlineStr">
        <is>
          <t>Funciones vitales en vegetales: absorción, circulación. Pigmentos. Profundización: seres vivos sin clorofila.</t>
        </is>
      </c>
      <c r="I5" s="11" t="inlineStr">
        <is>
          <t>T4_27</t>
        </is>
      </c>
      <c r="J5" s="11" t="inlineStr">
        <is>
          <t>T4_27-B1.3</t>
        </is>
      </c>
      <c r="K5" s="11" t="inlineStr">
        <is>
          <t>T4_27-B1.4</t>
        </is>
      </c>
      <c r="L5" s="11" t="inlineStr">
        <is>
          <t>media</t>
        </is>
      </c>
      <c r="M5" s="11">
        <f>IF(J5="FUERA","Fuera del marco",IFERROR(INDEX('Datos - Catálogo TIMSS'!$C$5:$C$107,MATCH(J5,'Datos - Catálogo TIMSS'!$A$5:$A$107,0)),"?"))</f>
        <v/>
      </c>
      <c r="N5" s="11" t="inlineStr">
        <is>
          <t>Absorción y circulación en estructuras vegetales; pigmentos ligados a fabricar alimento.</t>
        </is>
      </c>
    </row>
    <row r="6">
      <c r="A6" s="11" t="inlineStr">
        <is>
          <t>UY-BIO-G3-02</t>
        </is>
      </c>
      <c r="B6" s="11" t="inlineStr">
        <is>
          <t>Uruguay</t>
        </is>
      </c>
      <c r="C6" s="11" t="inlineStr">
        <is>
          <t>UY_EBI_Biologia_Tramo3_3-4grado.pdf</t>
        </is>
      </c>
      <c r="D6" s="11" t="n">
        <v>14</v>
      </c>
      <c r="E6" s="11" t="inlineStr">
        <is>
          <t>3.°</t>
        </is>
      </c>
      <c r="F6" s="11" t="n">
        <v>3</v>
      </c>
      <c r="G6" s="11" t="inlineStr">
        <is>
          <t>Biología</t>
        </is>
      </c>
      <c r="H6" s="38" t="inlineStr">
        <is>
          <t>Nutrientes: clasificación de nutrientes. Profundización: cadenas tróficas.</t>
        </is>
      </c>
      <c r="I6" s="11" t="inlineStr">
        <is>
          <t>T4_27</t>
        </is>
      </c>
      <c r="J6" s="11" t="inlineStr">
        <is>
          <t>T4_27-B5.2</t>
        </is>
      </c>
      <c r="K6" s="11" t="inlineStr">
        <is>
          <t>T4_27-B4.2</t>
        </is>
      </c>
      <c r="L6" s="11" t="inlineStr">
        <is>
          <t>media</t>
        </is>
      </c>
      <c r="M6" s="11">
        <f>IF(J6="FUERA","Fuera del marco",IFERROR(INDEX('Datos - Catálogo TIMSS'!$C$5:$C$107,MATCH(J6,'Datos - Catálogo TIMSS'!$A$5:$A$107,0)),"?"))</f>
        <v/>
      </c>
      <c r="N6" s="11" t="inlineStr">
        <is>
          <t>Clasificación de nutrientes para dieta; profundiza cadenas tróficas.</t>
        </is>
      </c>
    </row>
    <row r="7">
      <c r="A7" s="11" t="inlineStr">
        <is>
          <t>UY-BIO-G3-03</t>
        </is>
      </c>
      <c r="B7" s="11" t="inlineStr">
        <is>
          <t>Uruguay</t>
        </is>
      </c>
      <c r="C7" s="11" t="inlineStr">
        <is>
          <t>UY_EBI_Biologia_Tramo3_3-4grado.pdf</t>
        </is>
      </c>
      <c r="D7" s="11" t="n">
        <v>14</v>
      </c>
      <c r="E7" s="11" t="inlineStr">
        <is>
          <t>3.°</t>
        </is>
      </c>
      <c r="F7" s="11" t="n">
        <v>3</v>
      </c>
      <c r="G7" s="11" t="inlineStr">
        <is>
          <t>Biología</t>
        </is>
      </c>
      <c r="H7" s="38" t="inlineStr">
        <is>
          <t>Nutrición en animales: omnívoros, carnívoros y herbívoros.</t>
        </is>
      </c>
      <c r="I7" s="11" t="inlineStr">
        <is>
          <t>T4_27</t>
        </is>
      </c>
      <c r="J7" s="11" t="inlineStr">
        <is>
          <t>T4_27-B1.4</t>
        </is>
      </c>
      <c r="K7" s="11" t="inlineStr">
        <is>
          <t>T4_27-B4.2</t>
        </is>
      </c>
      <c r="L7" s="11" t="inlineStr">
        <is>
          <t>alta</t>
        </is>
      </c>
      <c r="M7" s="11">
        <f>IF(J7="FUERA","Fuera del marco",IFERROR(INDEX('Datos - Catálogo TIMSS'!$C$5:$C$107,MATCH(J7,'Datos - Catálogo TIMSS'!$A$5:$A$107,0)),"?"))</f>
        <v/>
      </c>
      <c r="N7" s="11" t="inlineStr">
        <is>
          <t>Cómo obtienen alimento los animales según su dieta.</t>
        </is>
      </c>
    </row>
    <row r="8">
      <c r="A8" s="11" t="inlineStr">
        <is>
          <t>UY-BIO-G3-04</t>
        </is>
      </c>
      <c r="B8" s="11" t="inlineStr">
        <is>
          <t>Uruguay</t>
        </is>
      </c>
      <c r="C8" s="11" t="inlineStr">
        <is>
          <t>UY_EBI_Biologia_Tramo3_3-4grado.pdf</t>
        </is>
      </c>
      <c r="D8" s="11" t="n">
        <v>14</v>
      </c>
      <c r="E8" s="11" t="inlineStr">
        <is>
          <t>3.°</t>
        </is>
      </c>
      <c r="F8" s="11" t="n">
        <v>3</v>
      </c>
      <c r="G8" s="11" t="inlineStr">
        <is>
          <t>Biología</t>
        </is>
      </c>
      <c r="H8" s="38" t="inlineStr">
        <is>
          <t>Biomas del Uruguay. Profundización: biodiversidad.</t>
        </is>
      </c>
      <c r="I8" s="11" t="inlineStr">
        <is>
          <t>T4_27</t>
        </is>
      </c>
      <c r="J8" s="11" t="inlineStr">
        <is>
          <t>T4_27-B4.1</t>
        </is>
      </c>
      <c r="K8" s="11" t="inlineStr">
        <is>
          <t>T4_27-B3.1</t>
        </is>
      </c>
      <c r="L8" s="11" t="inlineStr">
        <is>
          <t>alta</t>
        </is>
      </c>
      <c r="M8" s="11">
        <f>IF(J8="FUERA","Fuera del marco",IFERROR(INDEX('Datos - Catálogo TIMSS'!$C$5:$C$107,MATCH(J8,'Datos - Catálogo TIMSS'!$A$5:$A$107,0)),"?"))</f>
        <v/>
      </c>
      <c r="N8" s="11" t="inlineStr">
        <is>
          <t>Biomas como ecosistemas con sus seres vivos; biodiversidad asociada.</t>
        </is>
      </c>
    </row>
    <row r="9">
      <c r="A9" s="11" t="inlineStr">
        <is>
          <t>UY-BIO-G3-05</t>
        </is>
      </c>
      <c r="B9" s="11" t="inlineStr">
        <is>
          <t>Uruguay</t>
        </is>
      </c>
      <c r="C9" s="11" t="inlineStr">
        <is>
          <t>UY_EBI_Biologia_Tramo3_3-4grado.pdf</t>
        </is>
      </c>
      <c r="D9" s="11" t="n">
        <v>14</v>
      </c>
      <c r="E9" s="11" t="inlineStr">
        <is>
          <t>3.°</t>
        </is>
      </c>
      <c r="F9" s="11" t="n">
        <v>3</v>
      </c>
      <c r="G9" s="11" t="inlineStr">
        <is>
          <t>Biología</t>
        </is>
      </c>
      <c r="H9" s="38" t="inlineStr">
        <is>
          <t>Adaptaciones de las plantas a los diferentes ambientes y fauna asociada.</t>
        </is>
      </c>
      <c r="I9" s="11" t="inlineStr">
        <is>
          <t>T4_27</t>
        </is>
      </c>
      <c r="J9" s="11" t="inlineStr">
        <is>
          <t>T4_27-B3.1</t>
        </is>
      </c>
      <c r="K9" s="11" t="inlineStr">
        <is>
          <t>T4_27-B4.1</t>
        </is>
      </c>
      <c r="L9" s="11" t="inlineStr">
        <is>
          <t>alta</t>
        </is>
      </c>
      <c r="M9" s="11">
        <f>IF(J9="FUERA","Fuera del marco",IFERROR(INDEX('Datos - Catálogo TIMSS'!$C$5:$C$107,MATCH(J9,'Datos - Catálogo TIMSS'!$A$5:$A$107,0)),"?"))</f>
        <v/>
      </c>
      <c r="N9" s="11" t="inlineStr">
        <is>
          <t>Adaptaciones de plantas a su ambiente y fauna del ecosistema.</t>
        </is>
      </c>
    </row>
    <row r="10">
      <c r="A10" s="11" t="inlineStr">
        <is>
          <t>UY-BIO-G3-06</t>
        </is>
      </c>
      <c r="B10" s="11" t="inlineStr">
        <is>
          <t>Uruguay</t>
        </is>
      </c>
      <c r="C10" s="11" t="inlineStr">
        <is>
          <t>UY_EBI_Biologia_Tramo3_3-4grado.pdf</t>
        </is>
      </c>
      <c r="D10" s="11" t="n">
        <v>14</v>
      </c>
      <c r="E10" s="11" t="inlineStr">
        <is>
          <t>3.°</t>
        </is>
      </c>
      <c r="F10" s="11" t="n">
        <v>3</v>
      </c>
      <c r="G10" s="11" t="inlineStr">
        <is>
          <t>Biología</t>
        </is>
      </c>
      <c r="H10" s="38" t="inlineStr">
        <is>
          <t>Contaminación sonora y visual. Profundización: la salud visual y auditiva.</t>
        </is>
      </c>
      <c r="I10" s="11" t="inlineStr">
        <is>
          <t>T4_27</t>
        </is>
      </c>
      <c r="J10" s="11" t="inlineStr">
        <is>
          <t>T4_27-B4.3</t>
        </is>
      </c>
      <c r="K10" s="11" t="inlineStr">
        <is>
          <t>T4_27-B5.2</t>
        </is>
      </c>
      <c r="L10" s="11" t="inlineStr">
        <is>
          <t>media</t>
        </is>
      </c>
      <c r="M10" s="11">
        <f>IF(J10="FUERA","Fuera del marco",IFERROR(INDEX('Datos - Catálogo TIMSS'!$C$5:$C$107,MATCH(J10,'Datos - Catálogo TIMSS'!$A$5:$A$107,0)),"?"))</f>
        <v/>
      </c>
      <c r="N10" s="11" t="inlineStr">
        <is>
          <t>Efectos de la contaminación; cuidado de la salud visual y auditiva.</t>
        </is>
      </c>
    </row>
    <row r="11">
      <c r="A11" s="11" t="inlineStr">
        <is>
          <t>UY-BIO-G3-07</t>
        </is>
      </c>
      <c r="B11" s="11" t="inlineStr">
        <is>
          <t>Uruguay</t>
        </is>
      </c>
      <c r="C11" s="11" t="inlineStr">
        <is>
          <t>UY_EBI_Biologia_Tramo3_3-4grado.pdf</t>
        </is>
      </c>
      <c r="D11" s="11" t="n">
        <v>14</v>
      </c>
      <c r="E11" s="11" t="inlineStr">
        <is>
          <t>3.°</t>
        </is>
      </c>
      <c r="F11" s="11" t="n">
        <v>3</v>
      </c>
      <c r="G11" s="11" t="inlineStr">
        <is>
          <t>Biología</t>
        </is>
      </c>
      <c r="H11" s="38" t="inlineStr">
        <is>
          <t>Reproducción asexuada en vegetales. Profundización: control de variables y diferentes formas de registro.</t>
        </is>
      </c>
      <c r="I11" s="11" t="inlineStr">
        <is>
          <t>T4_27</t>
        </is>
      </c>
      <c r="J11" s="11" t="inlineStr">
        <is>
          <t>T4_27-B2.2</t>
        </is>
      </c>
      <c r="K11" s="11" t="inlineStr">
        <is>
          <t>T4_27-B6.1</t>
        </is>
      </c>
      <c r="L11" s="11" t="inlineStr">
        <is>
          <t>media</t>
        </is>
      </c>
      <c r="M11" s="11">
        <f>IF(J11="FUERA","Fuera del marco",IFERROR(INDEX('Datos - Catálogo TIMSS'!$C$5:$C$107,MATCH(J11,'Datos - Catálogo TIMSS'!$A$5:$A$107,0)),"?"))</f>
        <v/>
      </c>
      <c r="N11" s="11" t="inlineStr">
        <is>
          <t>Estrategias reproductivas vegetales; profundiza control de variables y registro.</t>
        </is>
      </c>
    </row>
    <row r="12">
      <c r="A12" s="11" t="inlineStr">
        <is>
          <t>UY-BIO-G3-08</t>
        </is>
      </c>
      <c r="B12" s="11" t="inlineStr">
        <is>
          <t>Uruguay</t>
        </is>
      </c>
      <c r="C12" s="11" t="inlineStr">
        <is>
          <t>UY_EBI_Biologia_Tramo3_3-4grado.pdf</t>
        </is>
      </c>
      <c r="D12" s="11" t="n">
        <v>14</v>
      </c>
      <c r="E12" s="11" t="inlineStr">
        <is>
          <t>3.°</t>
        </is>
      </c>
      <c r="F12" s="11" t="n">
        <v>3</v>
      </c>
      <c r="G12" s="11" t="inlineStr">
        <is>
          <t>Biología</t>
        </is>
      </c>
      <c r="H12" s="38" t="inlineStr">
        <is>
          <t>Reproducción sexuada en vegetales. La flor: morfología. Polinización. Profundización: formación del fruto.</t>
        </is>
      </c>
      <c r="I12" s="11" t="inlineStr">
        <is>
          <t>T4_27</t>
        </is>
      </c>
      <c r="J12" s="11" t="inlineStr">
        <is>
          <t>T4_27-B2.1</t>
        </is>
      </c>
      <c r="K12" s="11" t="inlineStr">
        <is>
          <t>T4_27-B1.3</t>
        </is>
      </c>
      <c r="L12" s="11" t="inlineStr">
        <is>
          <t>alta</t>
        </is>
      </c>
      <c r="M12" s="11">
        <f>IF(J12="FUERA","Fuera del marco",IFERROR(INDEX('Datos - Catálogo TIMSS'!$C$5:$C$107,MATCH(J12,'Datos - Catálogo TIMSS'!$A$5:$A$107,0)),"?"))</f>
        <v/>
      </c>
      <c r="N12" s="11" t="inlineStr">
        <is>
          <t>Polinización y fruto en el ciclo de vida; función de la flor.</t>
        </is>
      </c>
    </row>
    <row r="13">
      <c r="A13" s="11" t="inlineStr">
        <is>
          <t>UY-FQ-G3-01</t>
        </is>
      </c>
      <c r="B13" s="11" t="inlineStr">
        <is>
          <t>Uruguay</t>
        </is>
      </c>
      <c r="C13" s="11" t="inlineStr">
        <is>
          <t>UY_EBI_FisicaQuimica_Tramo3_3-4grado.pdf</t>
        </is>
      </c>
      <c r="D13" s="11" t="n">
        <v>12</v>
      </c>
      <c r="E13" s="11" t="inlineStr">
        <is>
          <t>3.°</t>
        </is>
      </c>
      <c r="F13" s="11" t="n">
        <v>3</v>
      </c>
      <c r="G13" s="11" t="inlineStr">
        <is>
          <t>Física-Química</t>
        </is>
      </c>
      <c r="H13" s="38" t="inlineStr">
        <is>
          <t>Propiedades extensivas de la materia (masa y volumen).</t>
        </is>
      </c>
      <c r="I13" s="11" t="inlineStr">
        <is>
          <t>T4_27</t>
        </is>
      </c>
      <c r="J13" s="11" t="inlineStr">
        <is>
          <t>T4_27-P1.2</t>
        </is>
      </c>
      <c r="K13" s="11" t="inlineStr"/>
      <c r="L13" s="11" t="inlineStr">
        <is>
          <t>alta</t>
        </is>
      </c>
      <c r="M13" s="11">
        <f>IF(J13="FUERA","Fuera del marco",IFERROR(INDEX('Datos - Catálogo TIMSS'!$C$5:$C$107,MATCH(J13,'Datos - Catálogo TIMSS'!$A$5:$A$107,0)),"?"))</f>
        <v/>
      </c>
      <c r="N13" s="11" t="inlineStr">
        <is>
          <t>Masa y volumen como propiedades físicas de la materia.</t>
        </is>
      </c>
    </row>
    <row r="14">
      <c r="A14" s="11" t="inlineStr">
        <is>
          <t>UY-FQ-G3-02</t>
        </is>
      </c>
      <c r="B14" s="11" t="inlineStr">
        <is>
          <t>Uruguay</t>
        </is>
      </c>
      <c r="C14" s="11" t="inlineStr">
        <is>
          <t>UY_EBI_FisicaQuimica_Tramo3_3-4grado.pdf</t>
        </is>
      </c>
      <c r="D14" s="11" t="n">
        <v>12</v>
      </c>
      <c r="E14" s="11" t="inlineStr">
        <is>
          <t>3.°</t>
        </is>
      </c>
      <c r="F14" s="11" t="n">
        <v>3</v>
      </c>
      <c r="G14" s="11" t="inlineStr">
        <is>
          <t>Física-Química</t>
        </is>
      </c>
      <c r="H14" s="38" t="inlineStr">
        <is>
          <t>Propiedades de los materiales (dilatación térmica).</t>
        </is>
      </c>
      <c r="I14" s="11" t="inlineStr">
        <is>
          <t>T4_27</t>
        </is>
      </c>
      <c r="J14" s="11" t="inlineStr">
        <is>
          <t>T4_27-P1.2</t>
        </is>
      </c>
      <c r="K14" s="11" t="inlineStr">
        <is>
          <t>T4_27-P2.2</t>
        </is>
      </c>
      <c r="L14" s="11" t="inlineStr">
        <is>
          <t>media</t>
        </is>
      </c>
      <c r="M14" s="11">
        <f>IF(J14="FUERA","Fuera del marco",IFERROR(INDEX('Datos - Catálogo TIMSS'!$C$5:$C$107,MATCH(J14,'Datos - Catálogo TIMSS'!$A$5:$A$107,0)),"?"))</f>
        <v/>
      </c>
      <c r="N14" s="11" t="inlineStr">
        <is>
          <t>Dilatación como propiedad de materiales al calentarse.</t>
        </is>
      </c>
    </row>
    <row r="15">
      <c r="A15" s="11" t="inlineStr">
        <is>
          <t>UY-FQ-G3-03</t>
        </is>
      </c>
      <c r="B15" s="11" t="inlineStr">
        <is>
          <t>Uruguay</t>
        </is>
      </c>
      <c r="C15" s="11" t="inlineStr">
        <is>
          <t>UY_EBI_FisicaQuimica_Tramo3_3-4grado.pdf</t>
        </is>
      </c>
      <c r="D15" s="11" t="n">
        <v>12</v>
      </c>
      <c r="E15" s="11" t="inlineStr">
        <is>
          <t>3.°</t>
        </is>
      </c>
      <c r="F15" s="11" t="n">
        <v>3</v>
      </c>
      <c r="G15" s="11" t="inlineStr">
        <is>
          <t>Física-Química</t>
        </is>
      </c>
      <c r="H15" s="38" t="inlineStr">
        <is>
          <t>Mecanismo de transferencia de energía.</t>
        </is>
      </c>
      <c r="I15" s="11" t="inlineStr">
        <is>
          <t>T4_27</t>
        </is>
      </c>
      <c r="J15" s="11" t="inlineStr">
        <is>
          <t>T4_27-P2.2</t>
        </is>
      </c>
      <c r="K15" s="11" t="inlineStr"/>
      <c r="L15" s="11" t="inlineStr">
        <is>
          <t>media</t>
        </is>
      </c>
      <c r="M15" s="11">
        <f>IF(J15="FUERA","Fuera del marco",IFERROR(INDEX('Datos - Catálogo TIMSS'!$C$5:$C$107,MATCH(J15,'Datos - Catálogo TIMSS'!$A$5:$A$107,0)),"?"))</f>
        <v/>
      </c>
      <c r="N15" s="11" t="inlineStr">
        <is>
          <t>Transferencia de energía térmica entre cuerpos.</t>
        </is>
      </c>
    </row>
    <row r="16">
      <c r="A16" s="11" t="inlineStr">
        <is>
          <t>UY-FQ-G3-04</t>
        </is>
      </c>
      <c r="B16" s="11" t="inlineStr">
        <is>
          <t>Uruguay</t>
        </is>
      </c>
      <c r="C16" s="11" t="inlineStr">
        <is>
          <t>UY_EBI_FisicaQuimica_Tramo3_3-4grado.pdf</t>
        </is>
      </c>
      <c r="D16" s="11" t="n">
        <v>12</v>
      </c>
      <c r="E16" s="11" t="inlineStr">
        <is>
          <t>3.°</t>
        </is>
      </c>
      <c r="F16" s="11" t="n">
        <v>3</v>
      </c>
      <c r="G16" s="11" t="inlineStr">
        <is>
          <t>Física-Química</t>
        </is>
      </c>
      <c r="H16" s="38" t="inlineStr">
        <is>
          <t>Los cambios de estados de diferentes sustancias.</t>
        </is>
      </c>
      <c r="I16" s="11" t="inlineStr">
        <is>
          <t>T4_27</t>
        </is>
      </c>
      <c r="J16" s="11" t="inlineStr">
        <is>
          <t>T4_27-P1.1</t>
        </is>
      </c>
      <c r="K16" s="11" t="inlineStr"/>
      <c r="L16" s="11" t="inlineStr">
        <is>
          <t>alta</t>
        </is>
      </c>
      <c r="M16" s="11">
        <f>IF(J16="FUERA","Fuera del marco",IFERROR(INDEX('Datos - Catálogo TIMSS'!$C$5:$C$107,MATCH(J16,'Datos - Catálogo TIMSS'!$A$5:$A$107,0)),"?"))</f>
        <v/>
      </c>
      <c r="N16" s="11" t="inlineStr">
        <is>
          <t>Cambios de estado de sustancias al calentar o enfriar.</t>
        </is>
      </c>
    </row>
    <row r="17">
      <c r="A17" s="11" t="inlineStr">
        <is>
          <t>UY-FQ-G3-05</t>
        </is>
      </c>
      <c r="B17" s="11" t="inlineStr">
        <is>
          <t>Uruguay</t>
        </is>
      </c>
      <c r="C17" s="11" t="inlineStr">
        <is>
          <t>UY_EBI_FisicaQuimica_Tramo3_3-4grado.pdf</t>
        </is>
      </c>
      <c r="D17" s="11" t="n">
        <v>12</v>
      </c>
      <c r="E17" s="11" t="inlineStr">
        <is>
          <t>3.°</t>
        </is>
      </c>
      <c r="F17" s="11" t="n">
        <v>3</v>
      </c>
      <c r="G17" s="11" t="inlineStr">
        <is>
          <t>Física-Química</t>
        </is>
      </c>
      <c r="H17" s="38" t="inlineStr">
        <is>
          <t>Las propiedades intensivas de diferentes sustancias: densidad, temperatura en los cambios de estado.</t>
        </is>
      </c>
      <c r="I17" s="11" t="inlineStr">
        <is>
          <t>T4_27</t>
        </is>
      </c>
      <c r="J17" s="11" t="inlineStr">
        <is>
          <t>T4_27-P1.2</t>
        </is>
      </c>
      <c r="K17" s="11" t="inlineStr">
        <is>
          <t>T4_27-P1.1</t>
        </is>
      </c>
      <c r="L17" s="11" t="inlineStr">
        <is>
          <t>media</t>
        </is>
      </c>
      <c r="M17" s="11">
        <f>IF(J17="FUERA","Fuera del marco",IFERROR(INDEX('Datos - Catálogo TIMSS'!$C$5:$C$107,MATCH(J17,'Datos - Catálogo TIMSS'!$A$5:$A$107,0)),"?"))</f>
        <v/>
      </c>
      <c r="N17" s="11" t="inlineStr">
        <is>
          <t>Densidad y temperaturas de cambio de estado como propiedades.</t>
        </is>
      </c>
    </row>
    <row r="18">
      <c r="A18" s="11" t="inlineStr">
        <is>
          <t>UY-FQ-G3-06</t>
        </is>
      </c>
      <c r="B18" s="11" t="inlineStr">
        <is>
          <t>Uruguay</t>
        </is>
      </c>
      <c r="C18" s="11" t="inlineStr">
        <is>
          <t>UY_EBI_FisicaQuimica_Tramo3_3-4grado.pdf</t>
        </is>
      </c>
      <c r="D18" s="11" t="n">
        <v>12</v>
      </c>
      <c r="E18" s="11" t="inlineStr">
        <is>
          <t>3.°</t>
        </is>
      </c>
      <c r="F18" s="11" t="n">
        <v>3</v>
      </c>
      <c r="G18" s="11" t="inlineStr">
        <is>
          <t>Física-Química</t>
        </is>
      </c>
      <c r="H18" s="38" t="inlineStr">
        <is>
          <t>Temperatura ambiente, temperatura corporal y sensación térmica.</t>
        </is>
      </c>
      <c r="I18" s="11" t="inlineStr">
        <is>
          <t>T4_27</t>
        </is>
      </c>
      <c r="J18" s="11" t="inlineStr">
        <is>
          <t>T4_27-P2.2</t>
        </is>
      </c>
      <c r="K18" s="11" t="inlineStr">
        <is>
          <t>T4_27-E2.1</t>
        </is>
      </c>
      <c r="L18" s="11" t="inlineStr">
        <is>
          <t>baja</t>
        </is>
      </c>
      <c r="M18" s="11">
        <f>IF(J18="FUERA","Fuera del marco",IFERROR(INDEX('Datos - Catálogo TIMSS'!$C$5:$C$107,MATCH(J18,'Datos - Catálogo TIMSS'!$A$5:$A$107,0)),"?"))</f>
        <v/>
      </c>
      <c r="N18" s="11" t="inlineStr">
        <is>
          <t>Temperatura y sensación térmica; relación con calentamiento y tiempo atmosférico.</t>
        </is>
      </c>
    </row>
    <row r="19">
      <c r="A19" s="11" t="inlineStr">
        <is>
          <t>UY-FQ-G3-07</t>
        </is>
      </c>
      <c r="B19" s="11" t="inlineStr">
        <is>
          <t>Uruguay</t>
        </is>
      </c>
      <c r="C19" s="11" t="inlineStr">
        <is>
          <t>UY_EBI_FisicaQuimica_Tramo3_3-4grado.pdf</t>
        </is>
      </c>
      <c r="D19" s="11" t="n">
        <v>12</v>
      </c>
      <c r="E19" s="11" t="inlineStr">
        <is>
          <t>3.°</t>
        </is>
      </c>
      <c r="F19" s="11" t="n">
        <v>3</v>
      </c>
      <c r="G19" s="11" t="inlineStr">
        <is>
          <t>Física-Química</t>
        </is>
      </c>
      <c r="H19" s="38" t="inlineStr">
        <is>
          <t>Interacción de la luz con diferentes materiales.</t>
        </is>
      </c>
      <c r="I19" s="11" t="inlineStr">
        <is>
          <t>T4_27</t>
        </is>
      </c>
      <c r="J19" s="11" t="inlineStr">
        <is>
          <t>T4_27-P3.1</t>
        </is>
      </c>
      <c r="K19" s="11" t="inlineStr"/>
      <c r="L19" s="11" t="inlineStr">
        <is>
          <t>alta</t>
        </is>
      </c>
      <c r="M19" s="11">
        <f>IF(J19="FUERA","Fuera del marco",IFERROR(INDEX('Datos - Catálogo TIMSS'!$C$5:$C$107,MATCH(J19,'Datos - Catálogo TIMSS'!$A$5:$A$107,0)),"?"))</f>
        <v/>
      </c>
      <c r="N19" s="11" t="inlineStr">
        <is>
          <t>Comportamiento de la luz al interactuar con materiales.</t>
        </is>
      </c>
    </row>
    <row r="20">
      <c r="A20" s="11" t="inlineStr">
        <is>
          <t>UY-FQ-G3-08</t>
        </is>
      </c>
      <c r="B20" s="11" t="inlineStr">
        <is>
          <t>Uruguay</t>
        </is>
      </c>
      <c r="C20" s="11" t="inlineStr">
        <is>
          <t>UY_EBI_FisicaQuimica_Tramo3_3-4grado.pdf</t>
        </is>
      </c>
      <c r="D20" s="11" t="n">
        <v>12</v>
      </c>
      <c r="E20" s="11" t="inlineStr">
        <is>
          <t>3.°</t>
        </is>
      </c>
      <c r="F20" s="11" t="n">
        <v>3</v>
      </c>
      <c r="G20" s="11" t="inlineStr">
        <is>
          <t>Física-Química</t>
        </is>
      </c>
      <c r="H20" s="38" t="inlineStr">
        <is>
          <t>Fuerza como interacción.</t>
        </is>
      </c>
      <c r="I20" s="11" t="inlineStr">
        <is>
          <t>T4_27</t>
        </is>
      </c>
      <c r="J20" s="11" t="inlineStr">
        <is>
          <t>T4_27-P5.1</t>
        </is>
      </c>
      <c r="K20" s="11" t="inlineStr"/>
      <c r="L20" s="11" t="inlineStr">
        <is>
          <t>alta</t>
        </is>
      </c>
      <c r="M20" s="11">
        <f>IF(J20="FUERA","Fuera del marco",IFERROR(INDEX('Datos - Catálogo TIMSS'!$C$5:$C$107,MATCH(J20,'Datos - Catálogo TIMSS'!$A$5:$A$107,0)),"?"))</f>
        <v/>
      </c>
      <c r="N20" s="11" t="inlineStr">
        <is>
          <t>Fuerzas como interacciones que cambian el movimiento.</t>
        </is>
      </c>
    </row>
    <row r="21">
      <c r="A21" s="11" t="inlineStr">
        <is>
          <t>UY-FQ-G3-09</t>
        </is>
      </c>
      <c r="B21" s="11" t="inlineStr">
        <is>
          <t>Uruguay</t>
        </is>
      </c>
      <c r="C21" s="11" t="inlineStr">
        <is>
          <t>UY_EBI_FisicaQuimica_Tramo3_3-4grado.pdf</t>
        </is>
      </c>
      <c r="D21" s="11" t="n">
        <v>12</v>
      </c>
      <c r="E21" s="11" t="inlineStr">
        <is>
          <t>3.°</t>
        </is>
      </c>
      <c r="F21" s="11" t="n">
        <v>3</v>
      </c>
      <c r="G21" s="11" t="inlineStr">
        <is>
          <t>Transversal</t>
        </is>
      </c>
      <c r="H21" s="38" t="inlineStr">
        <is>
          <t>Proceso de medición (abordaje transversal): cálculo por aproximación, mediciones, incertidumbres, instrumentos de medición, unidades del Sistema Internacional y sus conversiones.</t>
        </is>
      </c>
      <c r="I21" s="11" t="inlineStr">
        <is>
          <t>T4_27</t>
        </is>
      </c>
      <c r="J21" s="11" t="inlineStr">
        <is>
          <t>T4_27-P6.1</t>
        </is>
      </c>
      <c r="K21" s="11" t="inlineStr"/>
      <c r="L21" s="11" t="inlineStr">
        <is>
          <t>media</t>
        </is>
      </c>
      <c r="M21" s="11">
        <f>IF(J21="FUERA","Fuera del marco",IFERROR(INDEX('Datos - Catálogo TIMSS'!$C$5:$C$107,MATCH(J21,'Datos - Catálogo TIMSS'!$A$5:$A$107,0)),"?"))</f>
        <v/>
      </c>
      <c r="N21" s="11" t="inlineStr">
        <is>
          <t>Medición con instrumentos y repetición; práctica genérica en Física-Química.</t>
        </is>
      </c>
    </row>
    <row r="22">
      <c r="A22" s="11" t="inlineStr">
        <is>
          <t>UY-TE-G3-01</t>
        </is>
      </c>
      <c r="B22" s="11" t="inlineStr">
        <is>
          <t>Uruguay</t>
        </is>
      </c>
      <c r="C22" s="11" t="inlineStr">
        <is>
          <t>UY_EBI_TierraEspacio_Tramo3_3-4grado.pdf</t>
        </is>
      </c>
      <c r="D22" s="11" t="n">
        <v>12</v>
      </c>
      <c r="E22" s="11" t="inlineStr">
        <is>
          <t>3.°</t>
        </is>
      </c>
      <c r="F22" s="11" t="n">
        <v>3</v>
      </c>
      <c r="G22" s="11" t="inlineStr">
        <is>
          <t>Ciencias de la Tierra y el Espacio</t>
        </is>
      </c>
      <c r="H22" s="38" t="inlineStr">
        <is>
          <t>Rotación y traslación de la Tierra, estaciones, sombra y altura del Sol en el año; inclinación del eje terrestre; oscilación térmica diaria; orientación con el Sol, estrellas y puntos cardinales.</t>
        </is>
      </c>
      <c r="I22" s="11" t="inlineStr">
        <is>
          <t>T4_27</t>
        </is>
      </c>
      <c r="J22" s="11" t="inlineStr">
        <is>
          <t>T4_27-E4.2</t>
        </is>
      </c>
      <c r="K22" s="11" t="inlineStr">
        <is>
          <t>T4_27-E2.1</t>
        </is>
      </c>
      <c r="L22" s="11" t="inlineStr">
        <is>
          <t>alta</t>
        </is>
      </c>
      <c r="M22" s="11">
        <f>IF(J22="FUERA","Fuera del marco",IFERROR(INDEX('Datos - Catálogo TIMSS'!$C$5:$C$107,MATCH(J22,'Datos - Catálogo TIMSS'!$A$5:$A$107,0)),"?"))</f>
        <v/>
      </c>
      <c r="N22" s="11" t="inlineStr">
        <is>
          <t>Rotación, traslación y estaciones; oscilación térmica diaria.</t>
        </is>
      </c>
    </row>
    <row r="23">
      <c r="A23" s="11" t="inlineStr">
        <is>
          <t>UY-TE-G3-02</t>
        </is>
      </c>
      <c r="B23" s="11" t="inlineStr">
        <is>
          <t>Uruguay</t>
        </is>
      </c>
      <c r="C23" s="11" t="inlineStr">
        <is>
          <t>UY_EBI_TierraEspacio_Tramo3_3-4grado.pdf</t>
        </is>
      </c>
      <c r="D23" s="11" t="n">
        <v>12</v>
      </c>
      <c r="E23" s="11" t="inlineStr">
        <is>
          <t>3.°</t>
        </is>
      </c>
      <c r="F23" s="11" t="n">
        <v>3</v>
      </c>
      <c r="G23" s="11" t="inlineStr">
        <is>
          <t>Ciencias de la Tierra y el Espacio</t>
        </is>
      </c>
      <c r="H23" s="38" t="inlineStr">
        <is>
          <t>El agua en el planeta: la circulación (ciclo hidrológico). Aguas superficiales (ríos y cuencas de Uruguay).</t>
        </is>
      </c>
      <c r="I23" s="11" t="inlineStr">
        <is>
          <t>T4_27</t>
        </is>
      </c>
      <c r="J23" s="11" t="inlineStr">
        <is>
          <t>T4_27-E1.1</t>
        </is>
      </c>
      <c r="K23" s="11" t="inlineStr">
        <is>
          <t>T4_27-P1.1</t>
        </is>
      </c>
      <c r="L23" s="11" t="inlineStr">
        <is>
          <t>media</t>
        </is>
      </c>
      <c r="M23" s="11">
        <f>IF(J23="FUERA","Fuera del marco",IFERROR(INDEX('Datos - Catálogo TIMSS'!$C$5:$C$107,MATCH(J23,'Datos - Catálogo TIMSS'!$A$5:$A$107,0)),"?"))</f>
        <v/>
      </c>
      <c r="N23" s="11" t="inlineStr">
        <is>
          <t>Distribución del agua superficial; ciclo hidrológico con cambios de estado.</t>
        </is>
      </c>
    </row>
    <row r="24">
      <c r="A24" s="11" t="inlineStr">
        <is>
          <t>UY-TE-G3-03</t>
        </is>
      </c>
      <c r="B24" s="11" t="inlineStr">
        <is>
          <t>Uruguay</t>
        </is>
      </c>
      <c r="C24" s="11" t="inlineStr">
        <is>
          <t>UY_EBI_TierraEspacio_Tramo3_3-4grado.pdf</t>
        </is>
      </c>
      <c r="D24" s="11" t="n">
        <v>12</v>
      </c>
      <c r="E24" s="11" t="inlineStr">
        <is>
          <t>3.°</t>
        </is>
      </c>
      <c r="F24" s="11" t="n">
        <v>3</v>
      </c>
      <c r="G24" s="11" t="inlineStr">
        <is>
          <t>Ciencias de la Tierra y el Espacio</t>
        </is>
      </c>
      <c r="H24" s="38" t="inlineStr">
        <is>
          <t>Las precipitaciones como agente erosivo. Suelo: concepto, estructura y componentes (relación entre agua y suelo, porosidad, permeabilidad). Suelos agrícolas: características.</t>
        </is>
      </c>
      <c r="I24" s="11" t="inlineStr">
        <is>
          <t>T4_27</t>
        </is>
      </c>
      <c r="J24" s="11" t="inlineStr">
        <is>
          <t>T4_27-E1.2</t>
        </is>
      </c>
      <c r="K24" s="11" t="inlineStr">
        <is>
          <t>T4_27-E3.1</t>
        </is>
      </c>
      <c r="L24" s="11" t="inlineStr">
        <is>
          <t>media</t>
        </is>
      </c>
      <c r="M24" s="11">
        <f>IF(J24="FUERA","Fuera del marco",IFERROR(INDEX('Datos - Catálogo TIMSS'!$C$5:$C$107,MATCH(J24,'Datos - Catálogo TIMSS'!$A$5:$A$107,0)),"?"))</f>
        <v/>
      </c>
      <c r="N24" s="11" t="inlineStr">
        <is>
          <t>Agua modifica el paisaje por erosión; suelo como recurso agrícola.</t>
        </is>
      </c>
    </row>
    <row r="25">
      <c r="A25" s="11" t="inlineStr">
        <is>
          <t>UY-BIO-G4-01</t>
        </is>
      </c>
      <c r="B25" s="11" t="inlineStr">
        <is>
          <t>Uruguay</t>
        </is>
      </c>
      <c r="C25" s="11" t="inlineStr">
        <is>
          <t>UY_EBI_Biologia_Tramo3_3-4grado.pdf</t>
        </is>
      </c>
      <c r="D25" s="11" t="n">
        <v>15</v>
      </c>
      <c r="E25" s="11" t="inlineStr">
        <is>
          <t>4.°</t>
        </is>
      </c>
      <c r="F25" s="11" t="n">
        <v>4</v>
      </c>
      <c r="G25" s="11" t="inlineStr">
        <is>
          <t>Biología</t>
        </is>
      </c>
      <c r="H25" s="38" t="inlineStr">
        <is>
          <t>Digestión: órganos, sistema y aparato; características, ubicación y funciones; absorción intestinal. Profundización: herbívoros, carnívoros y omnívoros; prevención de enfermedades del aparato digestivo.</t>
        </is>
      </c>
      <c r="I25" s="11" t="inlineStr">
        <is>
          <t>T4_27</t>
        </is>
      </c>
      <c r="J25" s="11" t="inlineStr">
        <is>
          <t>T4_27-B1.3</t>
        </is>
      </c>
      <c r="K25" s="11" t="inlineStr">
        <is>
          <t>T4_27-B5.1</t>
        </is>
      </c>
      <c r="L25" s="11" t="inlineStr">
        <is>
          <t>alta</t>
        </is>
      </c>
      <c r="M25" s="11">
        <f>IF(J25="FUERA","Fuera del marco",IFERROR(INDEX('Datos - Catálogo TIMSS'!$C$5:$C$107,MATCH(J25,'Datos - Catálogo TIMSS'!$A$5:$A$107,0)),"?"))</f>
        <v/>
      </c>
      <c r="N25" s="11" t="inlineStr">
        <is>
          <t>Órganos digestivos y su función; prevención de enfermedades digestivas.</t>
        </is>
      </c>
    </row>
    <row r="26">
      <c r="A26" s="11" t="inlineStr">
        <is>
          <t>UY-BIO-G4-02</t>
        </is>
      </c>
      <c r="B26" s="11" t="inlineStr">
        <is>
          <t>Uruguay</t>
        </is>
      </c>
      <c r="C26" s="11" t="inlineStr">
        <is>
          <t>UY_EBI_Biologia_Tramo3_3-4grado.pdf</t>
        </is>
      </c>
      <c r="D26" s="11" t="n">
        <v>15</v>
      </c>
      <c r="E26" s="11" t="inlineStr">
        <is>
          <t>4.°</t>
        </is>
      </c>
      <c r="F26" s="11" t="n">
        <v>4</v>
      </c>
      <c r="G26" s="11" t="inlineStr">
        <is>
          <t>Biología</t>
        </is>
      </c>
      <c r="H26" s="38" t="inlineStr">
        <is>
          <t>Microorganismos: enfermedades bucales agudas.</t>
        </is>
      </c>
      <c r="I26" s="11" t="inlineStr">
        <is>
          <t>T4_27</t>
        </is>
      </c>
      <c r="J26" s="11" t="inlineStr">
        <is>
          <t>T4_27-B5.1</t>
        </is>
      </c>
      <c r="K26" s="11" t="inlineStr">
        <is>
          <t>T4_27-B5.2</t>
        </is>
      </c>
      <c r="L26" s="11" t="inlineStr">
        <is>
          <t>media</t>
        </is>
      </c>
      <c r="M26" s="11">
        <f>IF(J26="FUERA","Fuera del marco",IFERROR(INDEX('Datos - Catálogo TIMSS'!$C$5:$C$107,MATCH(J26,'Datos - Catálogo TIMSS'!$A$5:$A$107,0)),"?"))</f>
        <v/>
      </c>
      <c r="N26" s="11" t="inlineStr">
        <is>
          <t>Enfermedades bucales por microorganismos y su prevención.</t>
        </is>
      </c>
    </row>
    <row r="27">
      <c r="A27" s="11" t="inlineStr">
        <is>
          <t>UY-BIO-G4-03</t>
        </is>
      </c>
      <c r="B27" s="11" t="inlineStr">
        <is>
          <t>Uruguay</t>
        </is>
      </c>
      <c r="C27" s="11" t="inlineStr">
        <is>
          <t>UY_EBI_Biologia_Tramo3_3-4grado.pdf</t>
        </is>
      </c>
      <c r="D27" s="11" t="n">
        <v>15</v>
      </c>
      <c r="E27" s="11" t="inlineStr">
        <is>
          <t>4.°</t>
        </is>
      </c>
      <c r="F27" s="11" t="n">
        <v>4</v>
      </c>
      <c r="G27" s="11" t="inlineStr">
        <is>
          <t>Biología</t>
        </is>
      </c>
      <c r="H27" s="38" t="inlineStr">
        <is>
          <t>Niveles de organización en vegetales y animales: tejidos y células.</t>
        </is>
      </c>
      <c r="I27" s="11" t="inlineStr">
        <is>
          <t>T4_27</t>
        </is>
      </c>
      <c r="J27" s="11" t="inlineStr">
        <is>
          <t>T4_27-B1.3</t>
        </is>
      </c>
      <c r="K27" s="11" t="inlineStr"/>
      <c r="L27" s="11" t="inlineStr">
        <is>
          <t>baja</t>
        </is>
      </c>
      <c r="M27" s="11">
        <f>IF(J27="FUERA","Fuera del marco",IFERROR(INDEX('Datos - Catálogo TIMSS'!$C$5:$C$107,MATCH(J27,'Datos - Catálogo TIMSS'!$A$5:$A$107,0)),"?"))</f>
        <v/>
      </c>
      <c r="N27" s="11" t="inlineStr">
        <is>
          <t>Células y tejidos exceden 4.°; más cercano a estructuras y funciones.</t>
        </is>
      </c>
    </row>
    <row r="28">
      <c r="A28" s="11" t="inlineStr">
        <is>
          <t>UY-BIO-G4-04</t>
        </is>
      </c>
      <c r="B28" s="11" t="inlineStr">
        <is>
          <t>Uruguay</t>
        </is>
      </c>
      <c r="C28" s="11" t="inlineStr">
        <is>
          <t>UY_EBI_Biologia_Tramo3_3-4grado.pdf</t>
        </is>
      </c>
      <c r="D28" s="11" t="n">
        <v>15</v>
      </c>
      <c r="E28" s="11" t="inlineStr">
        <is>
          <t>4.°</t>
        </is>
      </c>
      <c r="F28" s="11" t="n">
        <v>4</v>
      </c>
      <c r="G28" s="11" t="inlineStr">
        <is>
          <t>Biología</t>
        </is>
      </c>
      <c r="H28" s="38" t="inlineStr">
        <is>
          <t>Alimentos orgánicos. Biodiversidad: agroecología, sustentabilidad. Profundización: soberanía alimentaria.</t>
        </is>
      </c>
      <c r="I28" s="11" t="inlineStr">
        <is>
          <t>T4_27</t>
        </is>
      </c>
      <c r="J28" s="11" t="inlineStr">
        <is>
          <t>T4_27-B4.3</t>
        </is>
      </c>
      <c r="K28" s="11" t="inlineStr">
        <is>
          <t>T4_27-E3.1</t>
        </is>
      </c>
      <c r="L28" s="11" t="inlineStr">
        <is>
          <t>baja</t>
        </is>
      </c>
      <c r="M28" s="11">
        <f>IF(J28="FUERA","Fuera del marco",IFERROR(INDEX('Datos - Catálogo TIMSS'!$C$5:$C$107,MATCH(J28,'Datos - Catálogo TIMSS'!$A$5:$A$107,0)),"?"))</f>
        <v/>
      </c>
      <c r="N28" s="11" t="inlineStr">
        <is>
          <t>Agroecología y sustentabilidad: impacto humano y uso responsable de recursos.</t>
        </is>
      </c>
    </row>
    <row r="29">
      <c r="A29" s="11" t="inlineStr">
        <is>
          <t>UY-BIO-G4-05</t>
        </is>
      </c>
      <c r="B29" s="11" t="inlineStr">
        <is>
          <t>Uruguay</t>
        </is>
      </c>
      <c r="C29" s="11" t="inlineStr">
        <is>
          <t>UY_EBI_Biologia_Tramo3_3-4grado.pdf</t>
        </is>
      </c>
      <c r="D29" s="11" t="n">
        <v>15</v>
      </c>
      <c r="E29" s="11" t="inlineStr">
        <is>
          <t>4.°</t>
        </is>
      </c>
      <c r="F29" s="11" t="n">
        <v>4</v>
      </c>
      <c r="G29" s="11" t="inlineStr">
        <is>
          <t>Biología</t>
        </is>
      </c>
      <c r="H29" s="38" t="inlineStr">
        <is>
          <t>Reproducción asexuada en animales. Profundización: clonación.</t>
        </is>
      </c>
      <c r="I29" s="11" t="inlineStr">
        <is>
          <t>T4_27</t>
        </is>
      </c>
      <c r="J29" s="11" t="inlineStr">
        <is>
          <t>T4_27-B2.2</t>
        </is>
      </c>
      <c r="K29" s="11" t="inlineStr"/>
      <c r="L29" s="11" t="inlineStr">
        <is>
          <t>media</t>
        </is>
      </c>
      <c r="M29" s="11">
        <f>IF(J29="FUERA","Fuera del marco",IFERROR(INDEX('Datos - Catálogo TIMSS'!$C$5:$C$107,MATCH(J29,'Datos - Catálogo TIMSS'!$A$5:$A$107,0)),"?"))</f>
        <v/>
      </c>
      <c r="N29" s="11" t="inlineStr">
        <is>
          <t>Reproducción asexuada como estrategia reproductiva animal.</t>
        </is>
      </c>
    </row>
    <row r="30">
      <c r="A30" s="11" t="inlineStr">
        <is>
          <t>UY-BIO-G4-06</t>
        </is>
      </c>
      <c r="B30" s="11" t="inlineStr">
        <is>
          <t>Uruguay</t>
        </is>
      </c>
      <c r="C30" s="11" t="inlineStr">
        <is>
          <t>UY_EBI_Biologia_Tramo3_3-4grado.pdf</t>
        </is>
      </c>
      <c r="D30" s="11" t="n">
        <v>15</v>
      </c>
      <c r="E30" s="11" t="inlineStr">
        <is>
          <t>4.°</t>
        </is>
      </c>
      <c r="F30" s="11" t="n">
        <v>4</v>
      </c>
      <c r="G30" s="11" t="inlineStr">
        <is>
          <t>Biología</t>
        </is>
      </c>
      <c r="H30" s="38" t="inlineStr">
        <is>
          <t>Reproducción sexuada en animales: dimorfismo, hermafroditismo.</t>
        </is>
      </c>
      <c r="I30" s="11" t="inlineStr">
        <is>
          <t>T4_27</t>
        </is>
      </c>
      <c r="J30" s="11" t="inlineStr">
        <is>
          <t>T4_27-B2.1</t>
        </is>
      </c>
      <c r="K30" s="11" t="inlineStr">
        <is>
          <t>T4_27-B2.2</t>
        </is>
      </c>
      <c r="L30" s="11" t="inlineStr">
        <is>
          <t>media</t>
        </is>
      </c>
      <c r="M30" s="11">
        <f>IF(J30="FUERA","Fuera del marco",IFERROR(INDEX('Datos - Catálogo TIMSS'!$C$5:$C$107,MATCH(J30,'Datos - Catálogo TIMSS'!$A$5:$A$107,0)),"?"))</f>
        <v/>
      </c>
      <c r="N30" s="11" t="inlineStr">
        <is>
          <t>Reproducción sexuada en ciclos de vida animales y sus estrategias.</t>
        </is>
      </c>
    </row>
    <row r="31">
      <c r="A31" s="11" t="inlineStr">
        <is>
          <t>UY-BIO-G4-07</t>
        </is>
      </c>
      <c r="B31" s="11" t="inlineStr">
        <is>
          <t>Uruguay</t>
        </is>
      </c>
      <c r="C31" s="11" t="inlineStr">
        <is>
          <t>UY_EBI_Biologia_Tramo3_3-4grado.pdf</t>
        </is>
      </c>
      <c r="D31" s="11" t="n">
        <v>15</v>
      </c>
      <c r="E31" s="11" t="inlineStr">
        <is>
          <t>4.°</t>
        </is>
      </c>
      <c r="F31" s="11" t="n">
        <v>4</v>
      </c>
      <c r="G31" s="11" t="inlineStr">
        <is>
          <t>Biología</t>
        </is>
      </c>
      <c r="H31" s="38" t="inlineStr">
        <is>
          <t>Sistema nervioso: regulación y coordinación; función de recreación, descanso, sueño y vigilia.</t>
        </is>
      </c>
      <c r="I31" s="11" t="inlineStr">
        <is>
          <t>T4_27</t>
        </is>
      </c>
      <c r="J31" s="11" t="inlineStr">
        <is>
          <t>T4_27-B1.4</t>
        </is>
      </c>
      <c r="K31" s="11" t="inlineStr">
        <is>
          <t>T4_27-B5.2</t>
        </is>
      </c>
      <c r="L31" s="11" t="inlineStr">
        <is>
          <t>media</t>
        </is>
      </c>
      <c r="M31" s="11">
        <f>IF(J31="FUERA","Fuera del marco",IFERROR(INDEX('Datos - Catálogo TIMSS'!$C$5:$C$107,MATCH(J31,'Datos - Catálogo TIMSS'!$A$5:$A$107,0)),"?"))</f>
        <v/>
      </c>
      <c r="N31" s="11" t="inlineStr">
        <is>
          <t>Coordinación y respuesta del cuerpo; descanso y sueño como hábito saludable.</t>
        </is>
      </c>
    </row>
    <row r="32">
      <c r="A32" s="11" t="inlineStr">
        <is>
          <t>UY-FQ-G4-01</t>
        </is>
      </c>
      <c r="B32" s="11" t="inlineStr">
        <is>
          <t>Uruguay</t>
        </is>
      </c>
      <c r="C32" s="11" t="inlineStr">
        <is>
          <t>UY_EBI_FisicaQuimica_Tramo3_3-4grado.pdf</t>
        </is>
      </c>
      <c r="D32" s="11" t="n">
        <v>13</v>
      </c>
      <c r="E32" s="11" t="inlineStr">
        <is>
          <t>4.°</t>
        </is>
      </c>
      <c r="F32" s="11" t="n">
        <v>4</v>
      </c>
      <c r="G32" s="11" t="inlineStr">
        <is>
          <t>Física-Química</t>
        </is>
      </c>
      <c r="H32" s="38" t="inlineStr">
        <is>
          <t>El agua y sus propiedades. Tipos de agua.</t>
        </is>
      </c>
      <c r="I32" s="11" t="inlineStr">
        <is>
          <t>T4_27</t>
        </is>
      </c>
      <c r="J32" s="11" t="inlineStr">
        <is>
          <t>T4_27-P1.1</t>
        </is>
      </c>
      <c r="K32" s="11" t="inlineStr">
        <is>
          <t>T4_27-E1.1</t>
        </is>
      </c>
      <c r="L32" s="11" t="inlineStr">
        <is>
          <t>media</t>
        </is>
      </c>
      <c r="M32" s="11">
        <f>IF(J32="FUERA","Fuera del marco",IFERROR(INDEX('Datos - Catálogo TIMSS'!$C$5:$C$107,MATCH(J32,'Datos - Catálogo TIMSS'!$A$5:$A$107,0)),"?"))</f>
        <v/>
      </c>
      <c r="N32" s="11" t="inlineStr">
        <is>
          <t>Propiedades y estados del agua; tipos de agua dulce y salada.</t>
        </is>
      </c>
    </row>
    <row r="33">
      <c r="A33" s="11" t="inlineStr">
        <is>
          <t>UY-FQ-G4-02</t>
        </is>
      </c>
      <c r="B33" s="11" t="inlineStr">
        <is>
          <t>Uruguay</t>
        </is>
      </c>
      <c r="C33" s="11" t="inlineStr">
        <is>
          <t>UY_EBI_FisicaQuimica_Tramo3_3-4grado.pdf</t>
        </is>
      </c>
      <c r="D33" s="11" t="n">
        <v>13</v>
      </c>
      <c r="E33" s="11" t="inlineStr">
        <is>
          <t>4.°</t>
        </is>
      </c>
      <c r="F33" s="11" t="n">
        <v>4</v>
      </c>
      <c r="G33" s="11" t="inlineStr">
        <is>
          <t>Física-Química</t>
        </is>
      </c>
      <c r="H33" s="38" t="inlineStr">
        <is>
          <t>La variación de la densidad según el estado de agregación.</t>
        </is>
      </c>
      <c r="I33" s="11" t="inlineStr">
        <is>
          <t>T4_27</t>
        </is>
      </c>
      <c r="J33" s="11" t="inlineStr">
        <is>
          <t>T4_27-P1.1</t>
        </is>
      </c>
      <c r="K33" s="11" t="inlineStr">
        <is>
          <t>T4_27-P1.2</t>
        </is>
      </c>
      <c r="L33" s="11" t="inlineStr">
        <is>
          <t>media</t>
        </is>
      </c>
      <c r="M33" s="11">
        <f>IF(J33="FUERA","Fuera del marco",IFERROR(INDEX('Datos - Catálogo TIMSS'!$C$5:$C$107,MATCH(J33,'Datos - Catálogo TIMSS'!$A$5:$A$107,0)),"?"))</f>
        <v/>
      </c>
      <c r="N33" s="11" t="inlineStr">
        <is>
          <t>Estados de agregación y su densidad como propiedad.</t>
        </is>
      </c>
    </row>
    <row r="34">
      <c r="A34" s="11" t="inlineStr">
        <is>
          <t>UY-FQ-G4-03</t>
        </is>
      </c>
      <c r="B34" s="11" t="inlineStr">
        <is>
          <t>Uruguay</t>
        </is>
      </c>
      <c r="C34" s="11" t="inlineStr">
        <is>
          <t>UY_EBI_FisicaQuimica_Tramo3_3-4grado.pdf</t>
        </is>
      </c>
      <c r="D34" s="11" t="n">
        <v>13</v>
      </c>
      <c r="E34" s="11" t="inlineStr">
        <is>
          <t>4.°</t>
        </is>
      </c>
      <c r="F34" s="11" t="n">
        <v>4</v>
      </c>
      <c r="G34" s="11" t="inlineStr">
        <is>
          <t>Física-Química</t>
        </is>
      </c>
      <c r="H34" s="38" t="inlineStr">
        <is>
          <t>Calor, temperatura y sensación térmica.</t>
        </is>
      </c>
      <c r="I34" s="11" t="inlineStr">
        <is>
          <t>T4_27</t>
        </is>
      </c>
      <c r="J34" s="11" t="inlineStr">
        <is>
          <t>T4_27-P2.2</t>
        </is>
      </c>
      <c r="K34" s="11" t="inlineStr"/>
      <c r="L34" s="11" t="inlineStr">
        <is>
          <t>alta</t>
        </is>
      </c>
      <c r="M34" s="11">
        <f>IF(J34="FUERA","Fuera del marco",IFERROR(INDEX('Datos - Catálogo TIMSS'!$C$5:$C$107,MATCH(J34,'Datos - Catálogo TIMSS'!$A$5:$A$107,0)),"?"))</f>
        <v/>
      </c>
      <c r="N34" s="11" t="inlineStr">
        <is>
          <t>Calor y temperatura en calentamiento y enfriamiento.</t>
        </is>
      </c>
    </row>
    <row r="35">
      <c r="A35" s="11" t="inlineStr">
        <is>
          <t>UY-FQ-G4-04</t>
        </is>
      </c>
      <c r="B35" s="11" t="inlineStr">
        <is>
          <t>Uruguay</t>
        </is>
      </c>
      <c r="C35" s="11" t="inlineStr">
        <is>
          <t>UY_EBI_FisicaQuimica_Tramo3_3-4grado.pdf</t>
        </is>
      </c>
      <c r="D35" s="11" t="n">
        <v>13</v>
      </c>
      <c r="E35" s="11" t="inlineStr">
        <is>
          <t>4.°</t>
        </is>
      </c>
      <c r="F35" s="11" t="n">
        <v>4</v>
      </c>
      <c r="G35" s="11" t="inlineStr">
        <is>
          <t>Física-Química</t>
        </is>
      </c>
      <c r="H35" s="38" t="inlineStr">
        <is>
          <t>La reflexión especular y difusa.</t>
        </is>
      </c>
      <c r="I35" s="11" t="inlineStr">
        <is>
          <t>T4_27</t>
        </is>
      </c>
      <c r="J35" s="11" t="inlineStr">
        <is>
          <t>T4_27-P3.1</t>
        </is>
      </c>
      <c r="K35" s="11" t="inlineStr"/>
      <c r="L35" s="11" t="inlineStr">
        <is>
          <t>alta</t>
        </is>
      </c>
      <c r="M35" s="11">
        <f>IF(J35="FUERA","Fuera del marco",IFERROR(INDEX('Datos - Catálogo TIMSS'!$C$5:$C$107,MATCH(J35,'Datos - Catálogo TIMSS'!$A$5:$A$107,0)),"?"))</f>
        <v/>
      </c>
      <c r="N35" s="11" t="inlineStr">
        <is>
          <t>Reflexión de la luz en la vida diaria.</t>
        </is>
      </c>
    </row>
    <row r="36">
      <c r="A36" s="11" t="inlineStr">
        <is>
          <t>UY-FQ-G4-05</t>
        </is>
      </c>
      <c r="B36" s="11" t="inlineStr">
        <is>
          <t>Uruguay</t>
        </is>
      </c>
      <c r="C36" s="11" t="inlineStr">
        <is>
          <t>UY_EBI_FisicaQuimica_Tramo3_3-4grado.pdf</t>
        </is>
      </c>
      <c r="D36" s="11" t="n">
        <v>13</v>
      </c>
      <c r="E36" s="11" t="inlineStr">
        <is>
          <t>4.°</t>
        </is>
      </c>
      <c r="F36" s="11" t="n">
        <v>4</v>
      </c>
      <c r="G36" s="11" t="inlineStr">
        <is>
          <t>Física-Química</t>
        </is>
      </c>
      <c r="H36" s="38" t="inlineStr">
        <is>
          <t>Clasificación de espejos.</t>
        </is>
      </c>
      <c r="I36" s="11" t="inlineStr">
        <is>
          <t>T4_27</t>
        </is>
      </c>
      <c r="J36" s="11" t="inlineStr">
        <is>
          <t>T4_27-P3.1</t>
        </is>
      </c>
      <c r="K36" s="11" t="inlineStr"/>
      <c r="L36" s="11" t="inlineStr">
        <is>
          <t>media</t>
        </is>
      </c>
      <c r="M36" s="11">
        <f>IF(J36="FUERA","Fuera del marco",IFERROR(INDEX('Datos - Catálogo TIMSS'!$C$5:$C$107,MATCH(J36,'Datos - Catálogo TIMSS'!$A$5:$A$107,0)),"?"))</f>
        <v/>
      </c>
      <c r="N36" s="11" t="inlineStr">
        <is>
          <t>Espejos y reflexión de la luz.</t>
        </is>
      </c>
    </row>
    <row r="37">
      <c r="A37" s="11" t="inlineStr">
        <is>
          <t>UY-FQ-G4-06</t>
        </is>
      </c>
      <c r="B37" s="11" t="inlineStr">
        <is>
          <t>Uruguay</t>
        </is>
      </c>
      <c r="C37" s="11" t="inlineStr">
        <is>
          <t>UY_EBI_FisicaQuimica_Tramo3_3-4grado.pdf</t>
        </is>
      </c>
      <c r="D37" s="11" t="n">
        <v>13</v>
      </c>
      <c r="E37" s="11" t="inlineStr">
        <is>
          <t>4.°</t>
        </is>
      </c>
      <c r="F37" s="11" t="n">
        <v>4</v>
      </c>
      <c r="G37" s="11" t="inlineStr">
        <is>
          <t>Física-Química</t>
        </is>
      </c>
      <c r="H37" s="38" t="inlineStr">
        <is>
          <t>Flotación y fuerza de empuje; variación con la densidad (barcos en mar y ríos, hidroterapia, globo aerostático); peso real y peso aparente.</t>
        </is>
      </c>
      <c r="I37" s="11" t="inlineStr">
        <is>
          <t>T4_27</t>
        </is>
      </c>
      <c r="J37" s="11" t="inlineStr">
        <is>
          <t>T4_27-P1.2</t>
        </is>
      </c>
      <c r="K37" s="11" t="inlineStr">
        <is>
          <t>T4_27-P5.1</t>
        </is>
      </c>
      <c r="L37" s="11" t="inlineStr">
        <is>
          <t>media</t>
        </is>
      </c>
      <c r="M37" s="11">
        <f>IF(J37="FUERA","Fuera del marco",IFERROR(INDEX('Datos - Catálogo TIMSS'!$C$5:$C$107,MATCH(J37,'Datos - Catálogo TIMSS'!$A$5:$A$107,0)),"?"))</f>
        <v/>
      </c>
      <c r="N37" s="11" t="inlineStr">
        <is>
          <t>Flotación como propiedad de materiales; empuje como fuerza.</t>
        </is>
      </c>
    </row>
    <row r="38">
      <c r="A38" s="11" t="inlineStr">
        <is>
          <t>UY-FQ-G4-07</t>
        </is>
      </c>
      <c r="B38" s="11" t="inlineStr">
        <is>
          <t>Uruguay</t>
        </is>
      </c>
      <c r="C38" s="11" t="inlineStr">
        <is>
          <t>UY_EBI_FisicaQuimica_Tramo3_3-4grado.pdf</t>
        </is>
      </c>
      <c r="D38" s="11" t="n">
        <v>13</v>
      </c>
      <c r="E38" s="11" t="inlineStr">
        <is>
          <t>4.°</t>
        </is>
      </c>
      <c r="F38" s="11" t="n">
        <v>4</v>
      </c>
      <c r="G38" s="11" t="inlineStr">
        <is>
          <t>Física-Química</t>
        </is>
      </c>
      <c r="H38" s="38" t="inlineStr">
        <is>
          <t>La fuerza elástica, la deformación, construcción del dinamómetro.</t>
        </is>
      </c>
      <c r="I38" s="11" t="inlineStr">
        <is>
          <t>T4_27</t>
        </is>
      </c>
      <c r="J38" s="11" t="inlineStr">
        <is>
          <t>T4_27-P5.1</t>
        </is>
      </c>
      <c r="K38" s="11" t="inlineStr">
        <is>
          <t>T4_27-P6.1</t>
        </is>
      </c>
      <c r="L38" s="11" t="inlineStr">
        <is>
          <t>media</t>
        </is>
      </c>
      <c r="M38" s="11">
        <f>IF(J38="FUERA","Fuera del marco",IFERROR(INDEX('Datos - Catálogo TIMSS'!$C$5:$C$107,MATCH(J38,'Datos - Catálogo TIMSS'!$A$5:$A$107,0)),"?"))</f>
        <v/>
      </c>
      <c r="N38" s="11" t="inlineStr">
        <is>
          <t>Fuerza elástica y su medición con dinamómetro construido.</t>
        </is>
      </c>
    </row>
    <row r="39">
      <c r="A39" s="11" t="inlineStr">
        <is>
          <t>UY-FQ-G4-08</t>
        </is>
      </c>
      <c r="B39" s="11" t="inlineStr">
        <is>
          <t>Uruguay</t>
        </is>
      </c>
      <c r="C39" s="11" t="inlineStr">
        <is>
          <t>UY_EBI_FisicaQuimica_Tramo3_3-4grado.pdf</t>
        </is>
      </c>
      <c r="D39" s="11" t="n">
        <v>13</v>
      </c>
      <c r="E39" s="11" t="inlineStr">
        <is>
          <t>4.°</t>
        </is>
      </c>
      <c r="F39" s="11" t="n">
        <v>4</v>
      </c>
      <c r="G39" s="11" t="inlineStr">
        <is>
          <t>Física-Química</t>
        </is>
      </c>
      <c r="H39" s="38" t="inlineStr">
        <is>
          <t>Interacción gravitatoria.</t>
        </is>
      </c>
      <c r="I39" s="11" t="inlineStr">
        <is>
          <t>T4_27</t>
        </is>
      </c>
      <c r="J39" s="11" t="inlineStr">
        <is>
          <t>T4_27-P5.1</t>
        </is>
      </c>
      <c r="K39" s="11" t="inlineStr"/>
      <c r="L39" s="11" t="inlineStr">
        <is>
          <t>alta</t>
        </is>
      </c>
      <c r="M39" s="11">
        <f>IF(J39="FUERA","Fuera del marco",IFERROR(INDEX('Datos - Catálogo TIMSS'!$C$5:$C$107,MATCH(J39,'Datos - Catálogo TIMSS'!$A$5:$A$107,0)),"?"))</f>
        <v/>
      </c>
      <c r="N39" s="11" t="inlineStr">
        <is>
          <t>Gravedad como fuerza que atrae objetos hacia la Tierra.</t>
        </is>
      </c>
    </row>
    <row r="40">
      <c r="A40" s="11" t="inlineStr">
        <is>
          <t>UY-FQ-G4-09</t>
        </is>
      </c>
      <c r="B40" s="11" t="inlineStr">
        <is>
          <t>Uruguay</t>
        </is>
      </c>
      <c r="C40" s="11" t="inlineStr">
        <is>
          <t>UY_EBI_FisicaQuimica_Tramo3_3-4grado.pdf</t>
        </is>
      </c>
      <c r="D40" s="11" t="n">
        <v>13</v>
      </c>
      <c r="E40" s="11" t="inlineStr">
        <is>
          <t>4.°</t>
        </is>
      </c>
      <c r="F40" s="11" t="n">
        <v>4</v>
      </c>
      <c r="G40" s="11" t="inlineStr">
        <is>
          <t>Física-Química</t>
        </is>
      </c>
      <c r="H40" s="38" t="inlineStr">
        <is>
          <t>Diferencia entre peso y masa.</t>
        </is>
      </c>
      <c r="I40" s="11" t="inlineStr">
        <is>
          <t>T4_27</t>
        </is>
      </c>
      <c r="J40" s="11" t="inlineStr">
        <is>
          <t>T4_27-P5.1</t>
        </is>
      </c>
      <c r="K40" s="11" t="inlineStr">
        <is>
          <t>T4_27-P1.2</t>
        </is>
      </c>
      <c r="L40" s="11" t="inlineStr">
        <is>
          <t>media</t>
        </is>
      </c>
      <c r="M40" s="11">
        <f>IF(J40="FUERA","Fuera del marco",IFERROR(INDEX('Datos - Catálogo TIMSS'!$C$5:$C$107,MATCH(J40,'Datos - Catálogo TIMSS'!$A$5:$A$107,0)),"?"))</f>
        <v/>
      </c>
      <c r="N40" s="11" t="inlineStr">
        <is>
          <t>Peso como fuerza gravitatoria frente a masa como propiedad.</t>
        </is>
      </c>
    </row>
    <row r="41">
      <c r="A41" s="11" t="inlineStr">
        <is>
          <t>UY-FQ-G4-10</t>
        </is>
      </c>
      <c r="B41" s="11" t="inlineStr">
        <is>
          <t>Uruguay</t>
        </is>
      </c>
      <c r="C41" s="11" t="inlineStr">
        <is>
          <t>UY_EBI_FisicaQuimica_Tramo3_3-4grado.pdf</t>
        </is>
      </c>
      <c r="D41" s="11" t="n">
        <v>13</v>
      </c>
      <c r="E41" s="11" t="inlineStr">
        <is>
          <t>4.°</t>
        </is>
      </c>
      <c r="F41" s="11" t="n">
        <v>4</v>
      </c>
      <c r="G41" s="11" t="inlineStr">
        <is>
          <t>Transversal</t>
        </is>
      </c>
      <c r="H41" s="38" t="inlineStr">
        <is>
          <t>Proceso de medición (abordaje transversal): cálculo por aproximación, mediciones, incertidumbres, instrumentos de medición, unidades del Sistema Internacional y sus conversiones.</t>
        </is>
      </c>
      <c r="I41" s="11" t="inlineStr">
        <is>
          <t>T4_27</t>
        </is>
      </c>
      <c r="J41" s="11" t="inlineStr">
        <is>
          <t>T4_27-P6.1</t>
        </is>
      </c>
      <c r="K41" s="11" t="inlineStr"/>
      <c r="L41" s="11" t="inlineStr">
        <is>
          <t>media</t>
        </is>
      </c>
      <c r="M41" s="11">
        <f>IF(J41="FUERA","Fuera del marco",IFERROR(INDEX('Datos - Catálogo TIMSS'!$C$5:$C$107,MATCH(J41,'Datos - Catálogo TIMSS'!$A$5:$A$107,0)),"?"))</f>
        <v/>
      </c>
      <c r="N41" s="11" t="inlineStr">
        <is>
          <t>Medición con instrumentos y repetición; práctica genérica en Física-Química.</t>
        </is>
      </c>
    </row>
    <row r="42">
      <c r="A42" s="11" t="inlineStr">
        <is>
          <t>UY-TE-G4-01</t>
        </is>
      </c>
      <c r="B42" s="11" t="inlineStr">
        <is>
          <t>Uruguay</t>
        </is>
      </c>
      <c r="C42" s="11" t="inlineStr">
        <is>
          <t>UY_EBI_TierraEspacio_Tramo3_3-4grado.pdf</t>
        </is>
      </c>
      <c r="D42" s="11" t="n">
        <v>13</v>
      </c>
      <c r="E42" s="11" t="inlineStr">
        <is>
          <t>4.°</t>
        </is>
      </c>
      <c r="F42" s="11" t="n">
        <v>4</v>
      </c>
      <c r="G42" s="11" t="inlineStr">
        <is>
          <t>Ciencias de la Tierra y el Espacio</t>
        </is>
      </c>
      <c r="H42" s="38" t="inlineStr">
        <is>
          <t>Origen y representación del Sistema Solar, en especial la Tierra; la Luna como satélite; el cielo nocturno; estrellas (brillo y color); constelaciones: Orión, Escorpión, Cruz del Sur.</t>
        </is>
      </c>
      <c r="I42" s="11" t="inlineStr">
        <is>
          <t>T4_27</t>
        </is>
      </c>
      <c r="J42" s="11" t="inlineStr">
        <is>
          <t>T4_27-E4.1</t>
        </is>
      </c>
      <c r="K42" s="11" t="inlineStr"/>
      <c r="L42" s="11" t="inlineStr">
        <is>
          <t>alta</t>
        </is>
      </c>
      <c r="M42" s="11">
        <f>IF(J42="FUERA","Fuera del marco",IFERROR(INDEX('Datos - Catálogo TIMSS'!$C$5:$C$107,MATCH(J42,'Datos - Catálogo TIMSS'!$A$5:$A$107,0)),"?"))</f>
        <v/>
      </c>
      <c r="N42" s="11" t="inlineStr">
        <is>
          <t>Sistema solar, la Luna y objetos del cielo.</t>
        </is>
      </c>
    </row>
    <row r="43">
      <c r="A43" s="11" t="inlineStr">
        <is>
          <t>UY-TE-G4-02</t>
        </is>
      </c>
      <c r="B43" s="11" t="inlineStr">
        <is>
          <t>Uruguay</t>
        </is>
      </c>
      <c r="C43" s="11" t="inlineStr">
        <is>
          <t>UY_EBI_TierraEspacio_Tramo3_3-4grado.pdf</t>
        </is>
      </c>
      <c r="D43" s="11" t="n">
        <v>13</v>
      </c>
      <c r="E43" s="11" t="inlineStr">
        <is>
          <t>4.°</t>
        </is>
      </c>
      <c r="F43" s="11" t="n">
        <v>4</v>
      </c>
      <c r="G43" s="11" t="inlineStr">
        <is>
          <t>Ciencias de la Tierra y el Espacio</t>
        </is>
      </c>
      <c r="H43" s="38" t="inlineStr">
        <is>
          <t>El ciclo hidrológico: las aguas subterráneas (acuíferos: circulación, infiltración y napas). Los acuíferos en Uruguay y América.</t>
        </is>
      </c>
      <c r="I43" s="11" t="inlineStr">
        <is>
          <t>T4_27</t>
        </is>
      </c>
      <c r="J43" s="11" t="inlineStr">
        <is>
          <t>T4_27-E1.1</t>
        </is>
      </c>
      <c r="K43" s="11" t="inlineStr">
        <is>
          <t>T4_27-E3.1</t>
        </is>
      </c>
      <c r="L43" s="11" t="inlineStr">
        <is>
          <t>media</t>
        </is>
      </c>
      <c r="M43" s="11">
        <f>IF(J43="FUERA","Fuera del marco",IFERROR(INDEX('Datos - Catálogo TIMSS'!$C$5:$C$107,MATCH(J43,'Datos - Catálogo TIMSS'!$A$5:$A$107,0)),"?"))</f>
        <v/>
      </c>
      <c r="N43" s="11" t="inlineStr">
        <is>
          <t>Dónde hay agua dulce subterránea; acuíferos como recurso.</t>
        </is>
      </c>
    </row>
    <row r="44">
      <c r="A44" s="11" t="inlineStr">
        <is>
          <t>UY-TE-G4-03</t>
        </is>
      </c>
      <c r="B44" s="11" t="inlineStr">
        <is>
          <t>Uruguay</t>
        </is>
      </c>
      <c r="C44" s="11" t="inlineStr">
        <is>
          <t>UY_EBI_TierraEspacio_Tramo3_3-4grado.pdf</t>
        </is>
      </c>
      <c r="D44" s="11" t="n">
        <v>13</v>
      </c>
      <c r="E44" s="11" t="inlineStr">
        <is>
          <t>4.°</t>
        </is>
      </c>
      <c r="F44" s="11" t="n">
        <v>4</v>
      </c>
      <c r="G44" s="11" t="inlineStr">
        <is>
          <t>Ciencias de la Tierra y el Espacio</t>
        </is>
      </c>
      <c r="H44" s="38" t="inlineStr">
        <is>
          <t>Las precipitaciones como agente erosivo. Suelo: concepto, estructura y componentes (agua y suelo, porosidad, permeabilidad). Suelos agrícolas: características. El agua como agente erosivo.</t>
        </is>
      </c>
      <c r="I44" s="11" t="inlineStr">
        <is>
          <t>T4_27</t>
        </is>
      </c>
      <c r="J44" s="11" t="inlineStr">
        <is>
          <t>T4_27-E1.2</t>
        </is>
      </c>
      <c r="K44" s="11" t="inlineStr">
        <is>
          <t>T4_27-E3.1</t>
        </is>
      </c>
      <c r="L44" s="11" t="inlineStr">
        <is>
          <t>media</t>
        </is>
      </c>
      <c r="M44" s="11">
        <f>IF(J44="FUERA","Fuera del marco",IFERROR(INDEX('Datos - Catálogo TIMSS'!$C$5:$C$107,MATCH(J44,'Datos - Catálogo TIMSS'!$A$5:$A$107,0)),"?"))</f>
        <v/>
      </c>
      <c r="N44" s="11" t="inlineStr">
        <is>
          <t>Erosión hídrica del paisaje; suelo como recurso.</t>
        </is>
      </c>
    </row>
    <row r="45">
      <c r="A45" s="11" t="inlineStr">
        <is>
          <t>UY-BIO-G5-01</t>
        </is>
      </c>
      <c r="B45" s="11" t="inlineStr">
        <is>
          <t>Uruguay</t>
        </is>
      </c>
      <c r="C45" s="11" t="inlineStr">
        <is>
          <t>UY_EBI_Biologia_Tramo4_5-6grado.pdf</t>
        </is>
      </c>
      <c r="D45" s="11" t="n">
        <v>14</v>
      </c>
      <c r="E45" s="11" t="inlineStr">
        <is>
          <t>5.°</t>
        </is>
      </c>
      <c r="F45" s="11" t="n">
        <v>5</v>
      </c>
      <c r="G45" s="11" t="inlineStr">
        <is>
          <t>Biología</t>
        </is>
      </c>
      <c r="H45" s="38" t="inlineStr">
        <is>
          <t>Respiración: en animales, órganos y aparatos respiratorios y su relación con el ambiente; en vegetales, los estomas en el intercambio gaseoso. Profundización: dieta y salud.</t>
        </is>
      </c>
      <c r="I45" s="11" t="inlineStr">
        <is>
          <t>T8_27</t>
        </is>
      </c>
      <c r="J45" s="11" t="inlineStr">
        <is>
          <t>T8_27-B1.2</t>
        </is>
      </c>
      <c r="K45" s="11" t="inlineStr">
        <is>
          <t>T8_27-B1.3</t>
        </is>
      </c>
      <c r="L45" s="11" t="inlineStr">
        <is>
          <t>alta</t>
        </is>
      </c>
      <c r="M45" s="11">
        <f>IF(J45="FUERA","Fuera del marco",IFERROR(INDEX('Datos - Catálogo TIMSS'!$C$5:$C$107,MATCH(J45,'Datos - Catálogo TIMSS'!$A$5:$A$107,0)),"?"))</f>
        <v/>
      </c>
      <c r="N45" s="11" t="inlineStr">
        <is>
          <t>Órganos respiratorios en animales; intercambio gaseoso por estomas en plantas.</t>
        </is>
      </c>
    </row>
    <row r="46">
      <c r="A46" s="11" t="inlineStr">
        <is>
          <t>UY-BIO-G5-02</t>
        </is>
      </c>
      <c r="B46" s="11" t="inlineStr">
        <is>
          <t>Uruguay</t>
        </is>
      </c>
      <c r="C46" s="11" t="inlineStr">
        <is>
          <t>UY_EBI_Biologia_Tramo4_5-6grado.pdf</t>
        </is>
      </c>
      <c r="D46" s="11" t="n">
        <v>14</v>
      </c>
      <c r="E46" s="11" t="inlineStr">
        <is>
          <t>5.°</t>
        </is>
      </c>
      <c r="F46" s="11" t="n">
        <v>5</v>
      </c>
      <c r="G46" s="11" t="inlineStr">
        <is>
          <t>Biología</t>
        </is>
      </c>
      <c r="H46" s="38" t="inlineStr">
        <is>
          <t>Los nutrientes: el transporte a través de la sangre hasta las células.</t>
        </is>
      </c>
      <c r="I46" s="11" t="inlineStr">
        <is>
          <t>T8_27</t>
        </is>
      </c>
      <c r="J46" s="11" t="inlineStr">
        <is>
          <t>T8_27-B1.2</t>
        </is>
      </c>
      <c r="K46" s="11" t="inlineStr">
        <is>
          <t>T8_27-B6.2</t>
        </is>
      </c>
      <c r="L46" s="11" t="inlineStr">
        <is>
          <t>media</t>
        </is>
      </c>
      <c r="M46" s="11">
        <f>IF(J46="FUERA","Fuera del marco",IFERROR(INDEX('Datos - Catálogo TIMSS'!$C$5:$C$107,MATCH(J46,'Datos - Catálogo TIMSS'!$A$5:$A$107,0)),"?"))</f>
        <v/>
      </c>
      <c r="N46" s="11" t="inlineStr">
        <is>
          <t>Papel de la circulación en llevar nutrientes a las células.</t>
        </is>
      </c>
    </row>
    <row r="47">
      <c r="A47" s="11" t="inlineStr">
        <is>
          <t>UY-BIO-G5-03</t>
        </is>
      </c>
      <c r="B47" s="11" t="inlineStr">
        <is>
          <t>Uruguay</t>
        </is>
      </c>
      <c r="C47" s="11" t="inlineStr">
        <is>
          <t>UY_EBI_Biologia_Tramo4_5-6grado.pdf</t>
        </is>
      </c>
      <c r="D47" s="11" t="n">
        <v>14</v>
      </c>
      <c r="E47" s="11" t="inlineStr">
        <is>
          <t>5.°</t>
        </is>
      </c>
      <c r="F47" s="11" t="n">
        <v>5</v>
      </c>
      <c r="G47" s="11" t="inlineStr">
        <is>
          <t>Biología</t>
        </is>
      </c>
      <c r="H47" s="38" t="inlineStr">
        <is>
          <t>Áreas protegidas. Profundización: especies en peligro.</t>
        </is>
      </c>
      <c r="I47" s="11" t="inlineStr">
        <is>
          <t>T8_27</t>
        </is>
      </c>
      <c r="J47" s="11" t="inlineStr">
        <is>
          <t>T8_27-B5.6</t>
        </is>
      </c>
      <c r="K47" s="11" t="inlineStr">
        <is>
          <t>T8_27-E3.2</t>
        </is>
      </c>
      <c r="L47" s="11" t="inlineStr">
        <is>
          <t>media</t>
        </is>
      </c>
      <c r="M47" s="11">
        <f>IF(J47="FUERA","Fuera del marco",IFERROR(INDEX('Datos - Catálogo TIMSS'!$C$5:$C$107,MATCH(J47,'Datos - Catálogo TIMSS'!$A$5:$A$107,0)),"?"))</f>
        <v/>
      </c>
      <c r="N47" s="11" t="inlineStr">
        <is>
          <t>Áreas protegidas frente al impacto humano; conservación de especies.</t>
        </is>
      </c>
    </row>
    <row r="48">
      <c r="A48" s="11" t="inlineStr">
        <is>
          <t>UY-BIO-G5-04</t>
        </is>
      </c>
      <c r="B48" s="11" t="inlineStr">
        <is>
          <t>Uruguay</t>
        </is>
      </c>
      <c r="C48" s="11" t="inlineStr">
        <is>
          <t>UY_EBI_Biologia_Tramo4_5-6grado.pdf</t>
        </is>
      </c>
      <c r="D48" s="11" t="n">
        <v>14</v>
      </c>
      <c r="E48" s="11" t="inlineStr">
        <is>
          <t>5.°</t>
        </is>
      </c>
      <c r="F48" s="11" t="n">
        <v>5</v>
      </c>
      <c r="G48" s="11" t="inlineStr">
        <is>
          <t>Biología</t>
        </is>
      </c>
      <c r="H48" s="38" t="inlineStr">
        <is>
          <t>Forestación.</t>
        </is>
      </c>
      <c r="I48" s="11" t="inlineStr">
        <is>
          <t>T8_27</t>
        </is>
      </c>
      <c r="J48" s="11" t="inlineStr">
        <is>
          <t>T8_27-E3.2</t>
        </is>
      </c>
      <c r="K48" s="11" t="inlineStr">
        <is>
          <t>T8_27-B5.6</t>
        </is>
      </c>
      <c r="L48" s="11" t="inlineStr">
        <is>
          <t>baja</t>
        </is>
      </c>
      <c r="M48" s="11">
        <f>IF(J48="FUERA","Fuera del marco",IFERROR(INDEX('Datos - Catálogo TIMSS'!$C$5:$C$107,MATCH(J48,'Datos - Catálogo TIMSS'!$A$5:$A$107,0)),"?"))</f>
        <v/>
      </c>
      <c r="N48" s="11" t="inlineStr">
        <is>
          <t>Forestación como gestión de recursos y efecto humano en ecosistemas.</t>
        </is>
      </c>
    </row>
    <row r="49">
      <c r="A49" s="11" t="inlineStr">
        <is>
          <t>UY-BIO-G5-05</t>
        </is>
      </c>
      <c r="B49" s="11" t="inlineStr">
        <is>
          <t>Uruguay</t>
        </is>
      </c>
      <c r="C49" s="11" t="inlineStr">
        <is>
          <t>UY_EBI_Biologia_Tramo4_5-6grado.pdf</t>
        </is>
      </c>
      <c r="D49" s="11" t="n">
        <v>14</v>
      </c>
      <c r="E49" s="11" t="inlineStr">
        <is>
          <t>5.°</t>
        </is>
      </c>
      <c r="F49" s="11" t="n">
        <v>5</v>
      </c>
      <c r="G49" s="11" t="inlineStr">
        <is>
          <t>Biología</t>
        </is>
      </c>
      <c r="H49" s="38" t="inlineStr">
        <is>
          <t>Alteraciones de la atmósfera: causas y consecuencias.</t>
        </is>
      </c>
      <c r="I49" s="11" t="inlineStr">
        <is>
          <t>T8_27</t>
        </is>
      </c>
      <c r="J49" s="11" t="inlineStr">
        <is>
          <t>T8_27-E2.4</t>
        </is>
      </c>
      <c r="K49" s="11" t="inlineStr">
        <is>
          <t>T8_27-B5.6</t>
        </is>
      </c>
      <c r="L49" s="11" t="inlineStr">
        <is>
          <t>media</t>
        </is>
      </c>
      <c r="M49" s="11">
        <f>IF(J49="FUERA","Fuera del marco",IFERROR(INDEX('Datos - Catálogo TIMSS'!$C$5:$C$107,MATCH(J49,'Datos - Catálogo TIMSS'!$A$5:$A$107,0)),"?"))</f>
        <v/>
      </c>
      <c r="N49" s="11" t="inlineStr">
        <is>
          <t>Causas y consecuencias de alteraciones atmosféricas por contaminación.</t>
        </is>
      </c>
    </row>
    <row r="50">
      <c r="A50" s="11" t="inlineStr">
        <is>
          <t>UY-BIO-G5-06</t>
        </is>
      </c>
      <c r="B50" s="11" t="inlineStr">
        <is>
          <t>Uruguay</t>
        </is>
      </c>
      <c r="C50" s="11" t="inlineStr">
        <is>
          <t>UY_EBI_Biologia_Tramo4_5-6grado.pdf</t>
        </is>
      </c>
      <c r="D50" s="11" t="n">
        <v>14</v>
      </c>
      <c r="E50" s="11" t="inlineStr">
        <is>
          <t>5.°</t>
        </is>
      </c>
      <c r="F50" s="11" t="n">
        <v>5</v>
      </c>
      <c r="G50" s="11" t="inlineStr">
        <is>
          <t>Biología</t>
        </is>
      </c>
      <c r="H50" s="38" t="inlineStr">
        <is>
          <t>Células reproductoras humanas.</t>
        </is>
      </c>
      <c r="I50" s="11" t="inlineStr">
        <is>
          <t>T8_27</t>
        </is>
      </c>
      <c r="J50" s="11" t="inlineStr">
        <is>
          <t>T8_27-B3.1</t>
        </is>
      </c>
      <c r="K50" s="11" t="inlineStr"/>
      <c r="L50" s="11" t="inlineStr">
        <is>
          <t>media</t>
        </is>
      </c>
      <c r="M50" s="11">
        <f>IF(J50="FUERA","Fuera del marco",IFERROR(INDEX('Datos - Catálogo TIMSS'!$C$5:$C$107,MATCH(J50,'Datos - Catálogo TIMSS'!$A$5:$A$107,0)),"?"))</f>
        <v/>
      </c>
      <c r="N50" s="11" t="inlineStr">
        <is>
          <t>Gametos humanos como base de la fecundación y la herencia.</t>
        </is>
      </c>
    </row>
    <row r="51">
      <c r="A51" s="11" t="inlineStr">
        <is>
          <t>UY-BIO-G5-07</t>
        </is>
      </c>
      <c r="B51" s="11" t="inlineStr">
        <is>
          <t>Uruguay</t>
        </is>
      </c>
      <c r="C51" s="11" t="inlineStr">
        <is>
          <t>UY_EBI_Biologia_Tramo4_5-6grado.pdf</t>
        </is>
      </c>
      <c r="D51" s="11" t="n">
        <v>14</v>
      </c>
      <c r="E51" s="11" t="inlineStr">
        <is>
          <t>5.°</t>
        </is>
      </c>
      <c r="F51" s="11" t="n">
        <v>5</v>
      </c>
      <c r="G51" s="11" t="inlineStr">
        <is>
          <t>Biología</t>
        </is>
      </c>
      <c r="H51" s="38" t="inlineStr">
        <is>
          <t>Reproducción celular.</t>
        </is>
      </c>
      <c r="I51" s="11" t="inlineStr">
        <is>
          <t>T8_27</t>
        </is>
      </c>
      <c r="J51" s="11" t="inlineStr">
        <is>
          <t>T8_27-B2.1</t>
        </is>
      </c>
      <c r="K51" s="11" t="inlineStr"/>
      <c r="L51" s="11" t="inlineStr">
        <is>
          <t>alta</t>
        </is>
      </c>
      <c r="M51" s="11">
        <f>IF(J51="FUERA","Fuera del marco",IFERROR(INDEX('Datos - Catálogo TIMSS'!$C$5:$C$107,MATCH(J51,'Datos - Catálogo TIMSS'!$A$5:$A$107,0)),"?"))</f>
        <v/>
      </c>
      <c r="N51" s="11" t="inlineStr">
        <is>
          <t>División celular como función de las células.</t>
        </is>
      </c>
    </row>
    <row r="52">
      <c r="A52" s="11" t="inlineStr">
        <is>
          <t>UY-BIO-G5-08</t>
        </is>
      </c>
      <c r="B52" s="11" t="inlineStr">
        <is>
          <t>Uruguay</t>
        </is>
      </c>
      <c r="C52" s="11" t="inlineStr">
        <is>
          <t>UY_EBI_Biologia_Tramo4_5-6grado.pdf</t>
        </is>
      </c>
      <c r="D52" s="11" t="n">
        <v>14</v>
      </c>
      <c r="E52" s="11" t="inlineStr">
        <is>
          <t>5.°</t>
        </is>
      </c>
      <c r="F52" s="11" t="n">
        <v>5</v>
      </c>
      <c r="G52" s="11" t="inlineStr">
        <is>
          <t>Biología</t>
        </is>
      </c>
      <c r="H52" s="38" t="inlineStr">
        <is>
          <t>Aparato circulatorio: órganos. Profundización: tipos de circulación.</t>
        </is>
      </c>
      <c r="I52" s="11" t="inlineStr">
        <is>
          <t>T8_27</t>
        </is>
      </c>
      <c r="J52" s="11" t="inlineStr">
        <is>
          <t>T8_27-B1.2</t>
        </is>
      </c>
      <c r="K52" s="11" t="inlineStr"/>
      <c r="L52" s="11" t="inlineStr">
        <is>
          <t>alta</t>
        </is>
      </c>
      <c r="M52" s="11">
        <f>IF(J52="FUERA","Fuera del marco",IFERROR(INDEX('Datos - Catálogo TIMSS'!$C$5:$C$107,MATCH(J52,'Datos - Catálogo TIMSS'!$A$5:$A$107,0)),"?"))</f>
        <v/>
      </c>
      <c r="N52" s="11" t="inlineStr">
        <is>
          <t>Órganos del aparato circulatorio y su función.</t>
        </is>
      </c>
    </row>
    <row r="53">
      <c r="A53" s="11" t="inlineStr">
        <is>
          <t>UY-BIO-G5-09</t>
        </is>
      </c>
      <c r="B53" s="11" t="inlineStr">
        <is>
          <t>Uruguay</t>
        </is>
      </c>
      <c r="C53" s="11" t="inlineStr">
        <is>
          <t>UY_EBI_Biologia_Tramo4_5-6grado.pdf</t>
        </is>
      </c>
      <c r="D53" s="11" t="n">
        <v>14</v>
      </c>
      <c r="E53" s="11" t="inlineStr">
        <is>
          <t>5.°</t>
        </is>
      </c>
      <c r="F53" s="11" t="n">
        <v>5</v>
      </c>
      <c r="G53" s="11" t="inlineStr">
        <is>
          <t>Biología</t>
        </is>
      </c>
      <c r="H53" s="38" t="inlineStr">
        <is>
          <t>Sistema nervioso: el encéfalo. Profundización: comparación del órgano en diferentes animales. Disección.</t>
        </is>
      </c>
      <c r="I53" s="11" t="inlineStr">
        <is>
          <t>T8_27</t>
        </is>
      </c>
      <c r="J53" s="11" t="inlineStr">
        <is>
          <t>T8_27-B1.2</t>
        </is>
      </c>
      <c r="K53" s="11" t="inlineStr">
        <is>
          <t>T8_27-B7.1</t>
        </is>
      </c>
      <c r="L53" s="11" t="inlineStr">
        <is>
          <t>media</t>
        </is>
      </c>
      <c r="M53" s="11">
        <f>IF(J53="FUERA","Fuera del marco",IFERROR(INDEX('Datos - Catálogo TIMSS'!$C$5:$C$107,MATCH(J53,'Datos - Catálogo TIMSS'!$A$5:$A$107,0)),"?"))</f>
        <v/>
      </c>
      <c r="N53" s="11" t="inlineStr">
        <is>
          <t>Encéfalo comparado entre vertebrados; disección como práctica.</t>
        </is>
      </c>
    </row>
    <row r="54">
      <c r="A54" s="11" t="inlineStr">
        <is>
          <t>UY-FQ-G5-01</t>
        </is>
      </c>
      <c r="B54" s="11" t="inlineStr">
        <is>
          <t>Uruguay</t>
        </is>
      </c>
      <c r="C54" s="11" t="inlineStr">
        <is>
          <t>UY_EBI_FisicaQuimica_Tramo4_5-6grado.pdf</t>
        </is>
      </c>
      <c r="D54" s="11" t="n">
        <v>12</v>
      </c>
      <c r="E54" s="11" t="inlineStr">
        <is>
          <t>5.°</t>
        </is>
      </c>
      <c r="F54" s="11" t="n">
        <v>5</v>
      </c>
      <c r="G54" s="11" t="inlineStr">
        <is>
          <t>Física-Química</t>
        </is>
      </c>
      <c r="H54" s="38" t="inlineStr">
        <is>
          <t>La electrólisis del agua (descomposición). Concepto de sustancia compuesta y simple. Cambios químicos.</t>
        </is>
      </c>
      <c r="I54" s="11" t="inlineStr">
        <is>
          <t>T8_27</t>
        </is>
      </c>
      <c r="J54" s="11" t="inlineStr">
        <is>
          <t>T8_27-C3.1</t>
        </is>
      </c>
      <c r="K54" s="11" t="inlineStr">
        <is>
          <t>T8_27-C1.2</t>
        </is>
      </c>
      <c r="L54" s="11" t="inlineStr">
        <is>
          <t>alta</t>
        </is>
      </c>
      <c r="M54" s="11">
        <f>IF(J54="FUERA","Fuera del marco",IFERROR(INDEX('Datos - Catálogo TIMSS'!$C$5:$C$107,MATCH(J54,'Datos - Catálogo TIMSS'!$A$5:$A$107,0)),"?"))</f>
        <v/>
      </c>
      <c r="N54" s="11" t="inlineStr">
        <is>
          <t>Electrólisis como cambio químico; sustancias simples y compuestas.</t>
        </is>
      </c>
    </row>
    <row r="55">
      <c r="A55" s="11" t="inlineStr">
        <is>
          <t>UY-FQ-G5-02</t>
        </is>
      </c>
      <c r="B55" s="11" t="inlineStr">
        <is>
          <t>Uruguay</t>
        </is>
      </c>
      <c r="C55" s="11" t="inlineStr">
        <is>
          <t>UY_EBI_FisicaQuimica_Tramo4_5-6grado.pdf</t>
        </is>
      </c>
      <c r="D55" s="11" t="n">
        <v>12</v>
      </c>
      <c r="E55" s="11" t="inlineStr">
        <is>
          <t>5.°</t>
        </is>
      </c>
      <c r="F55" s="11" t="n">
        <v>5</v>
      </c>
      <c r="G55" s="11" t="inlineStr">
        <is>
          <t>Física-Química</t>
        </is>
      </c>
      <c r="H55" s="38" t="inlineStr">
        <is>
          <t>Los elementos químicos. Propiedades de los metales y los no metales.</t>
        </is>
      </c>
      <c r="I55" s="11" t="inlineStr">
        <is>
          <t>T8_27</t>
        </is>
      </c>
      <c r="J55" s="11" t="inlineStr">
        <is>
          <t>T8_27-C1.3</t>
        </is>
      </c>
      <c r="K55" s="11" t="inlineStr">
        <is>
          <t>T8_27-C2.1</t>
        </is>
      </c>
      <c r="L55" s="11" t="inlineStr">
        <is>
          <t>media</t>
        </is>
      </c>
      <c r="M55" s="11">
        <f>IF(J55="FUERA","Fuera del marco",IFERROR(INDEX('Datos - Catálogo TIMSS'!$C$5:$C$107,MATCH(J55,'Datos - Catálogo TIMSS'!$A$5:$A$107,0)),"?"))</f>
        <v/>
      </c>
      <c r="N55" s="11" t="inlineStr">
        <is>
          <t>Elementos y propiedades de metales y no metales.</t>
        </is>
      </c>
    </row>
    <row r="56">
      <c r="A56" s="11" t="inlineStr">
        <is>
          <t>UY-FQ-G5-03</t>
        </is>
      </c>
      <c r="B56" s="11" t="inlineStr">
        <is>
          <t>Uruguay</t>
        </is>
      </c>
      <c r="C56" s="11" t="inlineStr">
        <is>
          <t>UY_EBI_FisicaQuimica_Tramo4_5-6grado.pdf</t>
        </is>
      </c>
      <c r="D56" s="11" t="n">
        <v>12</v>
      </c>
      <c r="E56" s="11" t="inlineStr">
        <is>
          <t>5.°</t>
        </is>
      </c>
      <c r="F56" s="11" t="n">
        <v>5</v>
      </c>
      <c r="G56" s="11" t="inlineStr">
        <is>
          <t>Física-Química</t>
        </is>
      </c>
      <c r="H56" s="38" t="inlineStr">
        <is>
          <t>Otras propiedades del agua: la capilaridad, la ósmosis, el agua como solvente. Efecto de la temperatura en la solubilidad.</t>
        </is>
      </c>
      <c r="I56" s="11" t="inlineStr">
        <is>
          <t>T8_27</t>
        </is>
      </c>
      <c r="J56" s="11" t="inlineStr">
        <is>
          <t>T8_27-C2.2</t>
        </is>
      </c>
      <c r="K56" s="11" t="inlineStr">
        <is>
          <t>T8_27-C2.1</t>
        </is>
      </c>
      <c r="L56" s="11" t="inlineStr">
        <is>
          <t>media</t>
        </is>
      </c>
      <c r="M56" s="11">
        <f>IF(J56="FUERA","Fuera del marco",IFERROR(INDEX('Datos - Catálogo TIMSS'!$C$5:$C$107,MATCH(J56,'Datos - Catálogo TIMSS'!$A$5:$A$107,0)),"?"))</f>
        <v/>
      </c>
      <c r="N56" s="11" t="inlineStr">
        <is>
          <t>Agua como solvente y efecto de temperatura en solubilidad.</t>
        </is>
      </c>
    </row>
    <row r="57">
      <c r="A57" s="11" t="inlineStr">
        <is>
          <t>UY-FQ-G5-04</t>
        </is>
      </c>
      <c r="B57" s="11" t="inlineStr">
        <is>
          <t>Uruguay</t>
        </is>
      </c>
      <c r="C57" s="11" t="inlineStr">
        <is>
          <t>UY_EBI_FisicaQuimica_Tramo4_5-6grado.pdf</t>
        </is>
      </c>
      <c r="D57" s="11" t="n">
        <v>12</v>
      </c>
      <c r="E57" s="11" t="inlineStr">
        <is>
          <t>5.°</t>
        </is>
      </c>
      <c r="F57" s="11" t="n">
        <v>5</v>
      </c>
      <c r="G57" s="11" t="inlineStr">
        <is>
          <t>Física-Química</t>
        </is>
      </c>
      <c r="H57" s="38" t="inlineStr">
        <is>
          <t>La destilación como proceso físico y sus aplicaciones en el ámbito industrial.</t>
        </is>
      </c>
      <c r="I57" s="11" t="inlineStr">
        <is>
          <t>T8_27</t>
        </is>
      </c>
      <c r="J57" s="11" t="inlineStr">
        <is>
          <t>T8_27-C2.2</t>
        </is>
      </c>
      <c r="K57" s="11" t="inlineStr"/>
      <c r="L57" s="11" t="inlineStr">
        <is>
          <t>alta</t>
        </is>
      </c>
      <c r="M57" s="11">
        <f>IF(J57="FUERA","Fuera del marco",IFERROR(INDEX('Datos - Catálogo TIMSS'!$C$5:$C$107,MATCH(J57,'Datos - Catálogo TIMSS'!$A$5:$A$107,0)),"?"))</f>
        <v/>
      </c>
      <c r="N57" s="11" t="inlineStr">
        <is>
          <t>Destilación como método físico de separación de mezclas.</t>
        </is>
      </c>
    </row>
    <row r="58">
      <c r="A58" s="11" t="inlineStr">
        <is>
          <t>UY-FQ-G5-05</t>
        </is>
      </c>
      <c r="B58" s="11" t="inlineStr">
        <is>
          <t>Uruguay</t>
        </is>
      </c>
      <c r="C58" s="11" t="inlineStr">
        <is>
          <t>UY_EBI_FisicaQuimica_Tramo4_5-6grado.pdf</t>
        </is>
      </c>
      <c r="D58" s="11" t="n">
        <v>12</v>
      </c>
      <c r="E58" s="11" t="inlineStr">
        <is>
          <t>5.°</t>
        </is>
      </c>
      <c r="F58" s="11" t="n">
        <v>5</v>
      </c>
      <c r="G58" s="11" t="inlineStr">
        <is>
          <t>Física-Química</t>
        </is>
      </c>
      <c r="H58" s="38" t="inlineStr">
        <is>
          <t>La refracción de la luz. Tipos de lentes.</t>
        </is>
      </c>
      <c r="I58" s="11" t="inlineStr">
        <is>
          <t>T8_27</t>
        </is>
      </c>
      <c r="J58" s="11" t="inlineStr">
        <is>
          <t>T8_27-P3.1</t>
        </is>
      </c>
      <c r="K58" s="11" t="inlineStr"/>
      <c r="L58" s="11" t="inlineStr">
        <is>
          <t>alta</t>
        </is>
      </c>
      <c r="M58" s="11">
        <f>IF(J58="FUERA","Fuera del marco",IFERROR(INDEX('Datos - Catálogo TIMSS'!$C$5:$C$107,MATCH(J58,'Datos - Catálogo TIMSS'!$A$5:$A$107,0)),"?"))</f>
        <v/>
      </c>
      <c r="N58" s="11" t="inlineStr">
        <is>
          <t>Refracción como propiedad de la luz; lentes.</t>
        </is>
      </c>
    </row>
    <row r="59">
      <c r="A59" s="11" t="inlineStr">
        <is>
          <t>UY-FQ-G5-06</t>
        </is>
      </c>
      <c r="B59" s="11" t="inlineStr">
        <is>
          <t>Uruguay</t>
        </is>
      </c>
      <c r="C59" s="11" t="inlineStr">
        <is>
          <t>UY_EBI_FisicaQuimica_Tramo4_5-6grado.pdf</t>
        </is>
      </c>
      <c r="D59" s="11" t="n">
        <v>12</v>
      </c>
      <c r="E59" s="11" t="inlineStr">
        <is>
          <t>5.°</t>
        </is>
      </c>
      <c r="F59" s="11" t="n">
        <v>5</v>
      </c>
      <c r="G59" s="11" t="inlineStr">
        <is>
          <t>Física-Química</t>
        </is>
      </c>
      <c r="H59" s="38" t="inlineStr">
        <is>
          <t>La transferencia de energía por calor o trabajo mecánico.</t>
        </is>
      </c>
      <c r="I59" s="11" t="inlineStr">
        <is>
          <t>T8_27</t>
        </is>
      </c>
      <c r="J59" s="11" t="inlineStr">
        <is>
          <t>T8_27-P2.2</t>
        </is>
      </c>
      <c r="K59" s="11" t="inlineStr">
        <is>
          <t>T8_27-P2.1</t>
        </is>
      </c>
      <c r="L59" s="11" t="inlineStr">
        <is>
          <t>media</t>
        </is>
      </c>
      <c r="M59" s="11">
        <f>IF(J59="FUERA","Fuera del marco",IFERROR(INDEX('Datos - Catálogo TIMSS'!$C$5:$C$107,MATCH(J59,'Datos - Catálogo TIMSS'!$A$5:$A$107,0)),"?"))</f>
        <v/>
      </c>
      <c r="N59" s="11" t="inlineStr">
        <is>
          <t>Transferencia de energía por calor y trabajo.</t>
        </is>
      </c>
    </row>
    <row r="60">
      <c r="A60" s="11" t="inlineStr">
        <is>
          <t>UY-FQ-G5-07</t>
        </is>
      </c>
      <c r="B60" s="11" t="inlineStr">
        <is>
          <t>Uruguay</t>
        </is>
      </c>
      <c r="C60" s="11" t="inlineStr">
        <is>
          <t>UY_EBI_FisicaQuimica_Tramo4_5-6grado.pdf</t>
        </is>
      </c>
      <c r="D60" s="11" t="n">
        <v>12</v>
      </c>
      <c r="E60" s="11" t="inlineStr">
        <is>
          <t>5.°</t>
        </is>
      </c>
      <c r="F60" s="11" t="n">
        <v>5</v>
      </c>
      <c r="G60" s="11" t="inlineStr">
        <is>
          <t>Física-Química</t>
        </is>
      </c>
      <c r="H60" s="38" t="inlineStr">
        <is>
          <t>El equilibrio térmico.</t>
        </is>
      </c>
      <c r="I60" s="11" t="inlineStr">
        <is>
          <t>T8_27</t>
        </is>
      </c>
      <c r="J60" s="11" t="inlineStr">
        <is>
          <t>T8_27-P2.2</t>
        </is>
      </c>
      <c r="K60" s="11" t="inlineStr"/>
      <c r="L60" s="11" t="inlineStr">
        <is>
          <t>alta</t>
        </is>
      </c>
      <c r="M60" s="11">
        <f>IF(J60="FUERA","Fuera del marco",IFERROR(INDEX('Datos - Catálogo TIMSS'!$C$5:$C$107,MATCH(J60,'Datos - Catálogo TIMSS'!$A$5:$A$107,0)),"?"))</f>
        <v/>
      </c>
      <c r="N60" s="11" t="inlineStr">
        <is>
          <t>Transferencia térmica hasta el equilibrio.</t>
        </is>
      </c>
    </row>
    <row r="61">
      <c r="A61" s="11" t="inlineStr">
        <is>
          <t>UY-FQ-G5-08</t>
        </is>
      </c>
      <c r="B61" s="11" t="inlineStr">
        <is>
          <t>Uruguay</t>
        </is>
      </c>
      <c r="C61" s="11" t="inlineStr">
        <is>
          <t>UY_EBI_FisicaQuimica_Tramo4_5-6grado.pdf</t>
        </is>
      </c>
      <c r="D61" s="11" t="n">
        <v>12</v>
      </c>
      <c r="E61" s="11" t="inlineStr">
        <is>
          <t>5.°</t>
        </is>
      </c>
      <c r="F61" s="11" t="n">
        <v>5</v>
      </c>
      <c r="G61" s="11" t="inlineStr">
        <is>
          <t>Física-Química</t>
        </is>
      </c>
      <c r="H61" s="38" t="inlineStr">
        <is>
          <t>Movimiento. Definición del sistema de referencia.</t>
        </is>
      </c>
      <c r="I61" s="11" t="inlineStr">
        <is>
          <t>T8_27</t>
        </is>
      </c>
      <c r="J61" s="11" t="inlineStr">
        <is>
          <t>T8_27-P5.1</t>
        </is>
      </c>
      <c r="K61" s="11" t="inlineStr"/>
      <c r="L61" s="11" t="inlineStr">
        <is>
          <t>media</t>
        </is>
      </c>
      <c r="M61" s="11">
        <f>IF(J61="FUERA","Fuera del marco",IFERROR(INDEX('Datos - Catálogo TIMSS'!$C$5:$C$107,MATCH(J61,'Datos - Catálogo TIMSS'!$A$5:$A$107,0)),"?"))</f>
        <v/>
      </c>
      <c r="N61" s="11" t="inlineStr">
        <is>
          <t>Movimiento como cambio de posición respecto a una referencia.</t>
        </is>
      </c>
    </row>
    <row r="62">
      <c r="A62" s="11" t="inlineStr">
        <is>
          <t>UY-FQ-G5-09</t>
        </is>
      </c>
      <c r="B62" s="11" t="inlineStr">
        <is>
          <t>Uruguay</t>
        </is>
      </c>
      <c r="C62" s="11" t="inlineStr">
        <is>
          <t>UY_EBI_FisicaQuimica_Tramo4_5-6grado.pdf</t>
        </is>
      </c>
      <c r="D62" s="11" t="n">
        <v>12</v>
      </c>
      <c r="E62" s="11" t="inlineStr">
        <is>
          <t>5.°</t>
        </is>
      </c>
      <c r="F62" s="11" t="n">
        <v>5</v>
      </c>
      <c r="G62" s="11" t="inlineStr">
        <is>
          <t>Física-Química</t>
        </is>
      </c>
      <c r="H62" s="38" t="inlineStr">
        <is>
          <t>La estática. Cargas positivas y negativas.</t>
        </is>
      </c>
      <c r="I62" s="11" t="inlineStr">
        <is>
          <t>T8_27</t>
        </is>
      </c>
      <c r="J62" s="11" t="inlineStr">
        <is>
          <t>T8_27-P5.2</t>
        </is>
      </c>
      <c r="K62" s="11" t="inlineStr">
        <is>
          <t>T8_27-C1.1</t>
        </is>
      </c>
      <c r="L62" s="11" t="inlineStr">
        <is>
          <t>baja</t>
        </is>
      </c>
      <c r="M62" s="11">
        <f>IF(J62="FUERA","Fuera del marco",IFERROR(INDEX('Datos - Catálogo TIMSS'!$C$5:$C$107,MATCH(J62,'Datos - Catálogo TIMSS'!$A$5:$A$107,0)),"?"))</f>
        <v/>
      </c>
      <c r="N62" s="11" t="inlineStr">
        <is>
          <t>Cargas eléctricas e interacción; no hay objetivo específico de electrostática.</t>
        </is>
      </c>
    </row>
    <row r="63">
      <c r="A63" s="11" t="inlineStr">
        <is>
          <t>UY-FQ-G5-10</t>
        </is>
      </c>
      <c r="B63" s="11" t="inlineStr">
        <is>
          <t>Uruguay</t>
        </is>
      </c>
      <c r="C63" s="11" t="inlineStr">
        <is>
          <t>UY_EBI_FisicaQuimica_Tramo4_5-6grado.pdf</t>
        </is>
      </c>
      <c r="D63" s="11" t="n">
        <v>12</v>
      </c>
      <c r="E63" s="11" t="inlineStr">
        <is>
          <t>5.°</t>
        </is>
      </c>
      <c r="F63" s="11" t="n">
        <v>5</v>
      </c>
      <c r="G63" s="11" t="inlineStr">
        <is>
          <t>Física-Química</t>
        </is>
      </c>
      <c r="H63" s="38" t="inlineStr">
        <is>
          <t>Circuitos eléctricos y las transformaciones de energía.</t>
        </is>
      </c>
      <c r="I63" s="11" t="inlineStr">
        <is>
          <t>T8_27</t>
        </is>
      </c>
      <c r="J63" s="11" t="inlineStr">
        <is>
          <t>T8_27-P4.1</t>
        </is>
      </c>
      <c r="K63" s="11" t="inlineStr">
        <is>
          <t>T8_27-P2.1</t>
        </is>
      </c>
      <c r="L63" s="11" t="inlineStr">
        <is>
          <t>alta</t>
        </is>
      </c>
      <c r="M63" s="11">
        <f>IF(J63="FUERA","Fuera del marco",IFERROR(INDEX('Datos - Catálogo TIMSS'!$C$5:$C$107,MATCH(J63,'Datos - Catálogo TIMSS'!$A$5:$A$107,0)),"?"))</f>
        <v/>
      </c>
      <c r="N63" s="11" t="inlineStr">
        <is>
          <t>Circuitos eléctricos y transformaciones de energía.</t>
        </is>
      </c>
    </row>
    <row r="64">
      <c r="A64" s="11" t="inlineStr">
        <is>
          <t>UY-FQ-G5-11</t>
        </is>
      </c>
      <c r="B64" s="11" t="inlineStr">
        <is>
          <t>Uruguay</t>
        </is>
      </c>
      <c r="C64" s="11" t="inlineStr">
        <is>
          <t>UY_EBI_FisicaQuimica_Tramo4_5-6grado.pdf</t>
        </is>
      </c>
      <c r="D64" s="11" t="n">
        <v>12</v>
      </c>
      <c r="E64" s="11" t="inlineStr">
        <is>
          <t>5.°</t>
        </is>
      </c>
      <c r="F64" s="11" t="n">
        <v>5</v>
      </c>
      <c r="G64" s="11" t="inlineStr">
        <is>
          <t>Física-Química</t>
        </is>
      </c>
      <c r="H64" s="38" t="inlineStr">
        <is>
          <t>Relación entre magnetismo y electricidad.</t>
        </is>
      </c>
      <c r="I64" s="11" t="inlineStr">
        <is>
          <t>T8_27</t>
        </is>
      </c>
      <c r="J64" s="11" t="inlineStr">
        <is>
          <t>T8_27-P4.2</t>
        </is>
      </c>
      <c r="K64" s="11" t="inlineStr"/>
      <c r="L64" s="11" t="inlineStr">
        <is>
          <t>media</t>
        </is>
      </c>
      <c r="M64" s="11">
        <f>IF(J64="FUERA","Fuera del marco",IFERROR(INDEX('Datos - Catálogo TIMSS'!$C$5:$C$107,MATCH(J64,'Datos - Catálogo TIMSS'!$A$5:$A$107,0)),"?"))</f>
        <v/>
      </c>
      <c r="N64" s="11" t="inlineStr">
        <is>
          <t>Relación electricidad-magnetismo en electroimanes.</t>
        </is>
      </c>
    </row>
    <row r="65">
      <c r="A65" s="11" t="inlineStr">
        <is>
          <t>UY-FQ-G5-12</t>
        </is>
      </c>
      <c r="B65" s="11" t="inlineStr">
        <is>
          <t>Uruguay</t>
        </is>
      </c>
      <c r="C65" s="11" t="inlineStr">
        <is>
          <t>UY_EBI_FisicaQuimica_Tramo4_5-6grado.pdf</t>
        </is>
      </c>
      <c r="D65" s="11" t="n">
        <v>12</v>
      </c>
      <c r="E65" s="11" t="inlineStr">
        <is>
          <t>5.°</t>
        </is>
      </c>
      <c r="F65" s="11" t="n">
        <v>5</v>
      </c>
      <c r="G65" s="11" t="inlineStr">
        <is>
          <t>Física-Química</t>
        </is>
      </c>
      <c r="H65" s="38" t="inlineStr">
        <is>
          <t>La ley de gravitación universal.</t>
        </is>
      </c>
      <c r="I65" s="11" t="inlineStr">
        <is>
          <t>T8_27</t>
        </is>
      </c>
      <c r="J65" s="11" t="inlineStr">
        <is>
          <t>T8_27-E4.2</t>
        </is>
      </c>
      <c r="K65" s="11" t="inlineStr">
        <is>
          <t>T8_27-P5.2</t>
        </is>
      </c>
      <c r="L65" s="11" t="inlineStr">
        <is>
          <t>media</t>
        </is>
      </c>
      <c r="M65" s="11">
        <f>IF(J65="FUERA","Fuera del marco",IFERROR(INDEX('Datos - Catálogo TIMSS'!$C$5:$C$107,MATCH(J65,'Datos - Catálogo TIMSS'!$A$5:$A$107,0)),"?"))</f>
        <v/>
      </c>
      <c r="N65" s="11" t="inlineStr">
        <is>
          <t>Gravedad mantiene órbitas; peso como fuerza gravitatoria.</t>
        </is>
      </c>
    </row>
    <row r="66">
      <c r="A66" s="11" t="inlineStr">
        <is>
          <t>UY-FQ-G5-13</t>
        </is>
      </c>
      <c r="B66" s="11" t="inlineStr">
        <is>
          <t>Uruguay</t>
        </is>
      </c>
      <c r="C66" s="11" t="inlineStr">
        <is>
          <t>UY_EBI_FisicaQuimica_Tramo4_5-6grado.pdf</t>
        </is>
      </c>
      <c r="D66" s="11" t="n">
        <v>12</v>
      </c>
      <c r="E66" s="11" t="inlineStr">
        <is>
          <t>5.°</t>
        </is>
      </c>
      <c r="F66" s="11" t="n">
        <v>5</v>
      </c>
      <c r="G66" s="11" t="inlineStr">
        <is>
          <t>Transversal</t>
        </is>
      </c>
      <c r="H66" s="38" t="inlineStr">
        <is>
          <t>Proceso de medición (abordaje transversal): cálculo por aproximación, mediciones, incertidumbres, instrumentos de medición, unidades del Sistema Internacional y sus conversiones.</t>
        </is>
      </c>
      <c r="I66" s="11" t="inlineStr">
        <is>
          <t>T8_27</t>
        </is>
      </c>
      <c r="J66" s="11" t="inlineStr">
        <is>
          <t>T8_27-P6.1</t>
        </is>
      </c>
      <c r="K66" s="11" t="inlineStr"/>
      <c r="L66" s="11" t="inlineStr">
        <is>
          <t>media</t>
        </is>
      </c>
      <c r="M66" s="11">
        <f>IF(J66="FUERA","Fuera del marco",IFERROR(INDEX('Datos - Catálogo TIMSS'!$C$5:$C$107,MATCH(J66,'Datos - Catálogo TIMSS'!$A$5:$A$107,0)),"?"))</f>
        <v/>
      </c>
      <c r="N66" s="11" t="inlineStr">
        <is>
          <t>Mediciones repetidas e instrumentos; práctica genérica en Física-Química.</t>
        </is>
      </c>
    </row>
    <row r="67">
      <c r="A67" s="11" t="inlineStr">
        <is>
          <t>UY-TE-G5-01</t>
        </is>
      </c>
      <c r="B67" s="11" t="inlineStr">
        <is>
          <t>Uruguay</t>
        </is>
      </c>
      <c r="C67" s="11" t="inlineStr">
        <is>
          <t>UY_EBI_TierraEspacio_Tramo4_5-6grado.pdf</t>
        </is>
      </c>
      <c r="D67" s="11" t="n">
        <v>12</v>
      </c>
      <c r="E67" s="11" t="inlineStr">
        <is>
          <t>5.°</t>
        </is>
      </c>
      <c r="F67" s="11" t="n">
        <v>5</v>
      </c>
      <c r="G67" s="11" t="inlineStr">
        <is>
          <t>Ciencias de la Tierra y el Espacio</t>
        </is>
      </c>
      <c r="H67" s="38" t="inlineStr">
        <is>
          <t>Astros del Sistema Solar (Sol, planetas, cuerpos menores); modelos geocéntrico y heliocéntrico; sistema Sol-Tierra-Luna; mareas; fases lunares; eclipses solar y lunar; estaciones.</t>
        </is>
      </c>
      <c r="I67" s="11" t="inlineStr">
        <is>
          <t>T8_27</t>
        </is>
      </c>
      <c r="J67" s="11" t="inlineStr">
        <is>
          <t>T8_27-E4.1</t>
        </is>
      </c>
      <c r="K67" s="11" t="inlineStr">
        <is>
          <t>T8_27-E4.2</t>
        </is>
      </c>
      <c r="L67" s="11" t="inlineStr">
        <is>
          <t>alta</t>
        </is>
      </c>
      <c r="M67" s="11">
        <f>IF(J67="FUERA","Fuera del marco",IFERROR(INDEX('Datos - Catálogo TIMSS'!$C$5:$C$107,MATCH(J67,'Datos - Catálogo TIMSS'!$A$5:$A$107,0)),"?"))</f>
        <v/>
      </c>
      <c r="N67" s="11" t="inlineStr">
        <is>
          <t>Mareas, fases, eclipses y estaciones; astros del sistema solar.</t>
        </is>
      </c>
    </row>
    <row r="68">
      <c r="A68" s="11" t="inlineStr">
        <is>
          <t>UY-TE-G5-02</t>
        </is>
      </c>
      <c r="B68" s="11" t="inlineStr">
        <is>
          <t>Uruguay</t>
        </is>
      </c>
      <c r="C68" s="11" t="inlineStr">
        <is>
          <t>UY_EBI_TierraEspacio_Tramo4_5-6grado.pdf</t>
        </is>
      </c>
      <c r="D68" s="11" t="n">
        <v>12</v>
      </c>
      <c r="E68" s="11" t="inlineStr">
        <is>
          <t>5.°</t>
        </is>
      </c>
      <c r="F68" s="11" t="n">
        <v>5</v>
      </c>
      <c r="G68" s="11" t="inlineStr">
        <is>
          <t>Ciencias de la Tierra y el Espacio</t>
        </is>
      </c>
      <c r="H68" s="38" t="inlineStr">
        <is>
          <t>Las aguas superficiales: océanos y glaciares. La distribución y circulación (corrientes marinas).</t>
        </is>
      </c>
      <c r="I68" s="11" t="inlineStr">
        <is>
          <t>T8_27</t>
        </is>
      </c>
      <c r="J68" s="11" t="inlineStr">
        <is>
          <t>T8_27-E1.1</t>
        </is>
      </c>
      <c r="K68" s="11" t="inlineStr"/>
      <c r="L68" s="11" t="inlineStr">
        <is>
          <t>media</t>
        </is>
      </c>
      <c r="M68" s="11">
        <f>IF(J68="FUERA","Fuera del marco",IFERROR(INDEX('Datos - Catálogo TIMSS'!$C$5:$C$107,MATCH(J68,'Datos - Catálogo TIMSS'!$A$5:$A$107,0)),"?"))</f>
        <v/>
      </c>
      <c r="N68" s="11" t="inlineStr">
        <is>
          <t>Distribución del agua en océanos y glaciares.</t>
        </is>
      </c>
    </row>
    <row r="69">
      <c r="A69" s="11" t="inlineStr">
        <is>
          <t>UY-TE-G5-03</t>
        </is>
      </c>
      <c r="B69" s="11" t="inlineStr">
        <is>
          <t>Uruguay</t>
        </is>
      </c>
      <c r="C69" s="11" t="inlineStr">
        <is>
          <t>UY_EBI_TierraEspacio_Tramo4_5-6grado.pdf</t>
        </is>
      </c>
      <c r="D69" s="11" t="n">
        <v>12</v>
      </c>
      <c r="E69" s="11" t="inlineStr">
        <is>
          <t>5.°</t>
        </is>
      </c>
      <c r="F69" s="11" t="n">
        <v>5</v>
      </c>
      <c r="G69" s="11" t="inlineStr">
        <is>
          <t>Ciencias de la Tierra y el Espacio</t>
        </is>
      </c>
      <c r="H69" s="38" t="inlineStr">
        <is>
          <t>Dinámica de la litosfera: estructura interna de la Tierra, capas, características y formas de conocerlas. Los continentes y sus movimientos.</t>
        </is>
      </c>
      <c r="I69" s="11" t="inlineStr">
        <is>
          <t>T8_27</t>
        </is>
      </c>
      <c r="J69" s="11" t="inlineStr">
        <is>
          <t>T8_27-E1.1</t>
        </is>
      </c>
      <c r="K69" s="11" t="inlineStr">
        <is>
          <t>T8_27-E1.2</t>
        </is>
      </c>
      <c r="L69" s="11" t="inlineStr">
        <is>
          <t>alta</t>
        </is>
      </c>
      <c r="M69" s="11">
        <f>IF(J69="FUERA","Fuera del marco",IFERROR(INDEX('Datos - Catálogo TIMSS'!$C$5:$C$107,MATCH(J69,'Datos - Catálogo TIMSS'!$A$5:$A$107,0)),"?"))</f>
        <v/>
      </c>
      <c r="N69" s="11" t="inlineStr">
        <is>
          <t>Capas internas de la Tierra; movimiento de continentes.</t>
        </is>
      </c>
    </row>
    <row r="70">
      <c r="A70" s="11" t="inlineStr">
        <is>
          <t>UY-BIO-G6-01</t>
        </is>
      </c>
      <c r="B70" s="11" t="inlineStr">
        <is>
          <t>Uruguay</t>
        </is>
      </c>
      <c r="C70" s="11" t="inlineStr">
        <is>
          <t>UY_EBI_Biologia_Tramo4_5-6grado.pdf</t>
        </is>
      </c>
      <c r="D70" s="11" t="n">
        <v>15</v>
      </c>
      <c r="E70" s="11" t="inlineStr">
        <is>
          <t>6.°</t>
        </is>
      </c>
      <c r="F70" s="11" t="n">
        <v>6</v>
      </c>
      <c r="G70" s="11" t="inlineStr">
        <is>
          <t>Biología</t>
        </is>
      </c>
      <c r="H70" s="38" t="inlineStr">
        <is>
          <t>Nutrición autótrofa en vegetales: fotosíntesis. Profundización: autótrofa en otros seres vivos.</t>
        </is>
      </c>
      <c r="I70" s="11" t="inlineStr">
        <is>
          <t>T8_27</t>
        </is>
      </c>
      <c r="J70" s="11" t="inlineStr">
        <is>
          <t>T8_27-B1.3</t>
        </is>
      </c>
      <c r="K70" s="11" t="inlineStr"/>
      <c r="L70" s="11" t="inlineStr">
        <is>
          <t>alta</t>
        </is>
      </c>
      <c r="M70" s="11">
        <f>IF(J70="FUERA","Fuera del marco",IFERROR(INDEX('Datos - Catálogo TIMSS'!$C$5:$C$107,MATCH(J70,'Datos - Catálogo TIMSS'!$A$5:$A$107,0)),"?"))</f>
        <v/>
      </c>
      <c r="N70" s="11" t="inlineStr">
        <is>
          <t>Proceso básico de la fotosíntesis.</t>
        </is>
      </c>
    </row>
    <row r="71">
      <c r="A71" s="11" t="inlineStr">
        <is>
          <t>UY-BIO-G6-02</t>
        </is>
      </c>
      <c r="B71" s="11" t="inlineStr">
        <is>
          <t>Uruguay</t>
        </is>
      </c>
      <c r="C71" s="11" t="inlineStr">
        <is>
          <t>UY_EBI_Biologia_Tramo4_5-6grado.pdf</t>
        </is>
      </c>
      <c r="D71" s="11" t="n">
        <v>15</v>
      </c>
      <c r="E71" s="11" t="inlineStr">
        <is>
          <t>6.°</t>
        </is>
      </c>
      <c r="F71" s="11" t="n">
        <v>6</v>
      </c>
      <c r="G71" s="11" t="inlineStr">
        <is>
          <t>Biología</t>
        </is>
      </c>
      <c r="H71" s="38" t="inlineStr">
        <is>
          <t>Nutrición heterótrofa: cadenas, redes y pirámides tróficas.</t>
        </is>
      </c>
      <c r="I71" s="11" t="inlineStr">
        <is>
          <t>T8_27</t>
        </is>
      </c>
      <c r="J71" s="11" t="inlineStr">
        <is>
          <t>T8_27-B5.4</t>
        </is>
      </c>
      <c r="K71" s="11" t="inlineStr">
        <is>
          <t>T8_27-B5.2</t>
        </is>
      </c>
      <c r="L71" s="11" t="inlineStr">
        <is>
          <t>alta</t>
        </is>
      </c>
      <c r="M71" s="11">
        <f>IF(J71="FUERA","Fuera del marco",IFERROR(INDEX('Datos - Catálogo TIMSS'!$C$5:$C$107,MATCH(J71,'Datos - Catálogo TIMSS'!$A$5:$A$107,0)),"?"))</f>
        <v/>
      </c>
      <c r="N71" s="11" t="inlineStr">
        <is>
          <t>Redes tróficas y pirámides de energía.</t>
        </is>
      </c>
    </row>
    <row r="72">
      <c r="A72" s="11" t="inlineStr">
        <is>
          <t>UY-BIO-G6-03</t>
        </is>
      </c>
      <c r="B72" s="11" t="inlineStr">
        <is>
          <t>Uruguay</t>
        </is>
      </c>
      <c r="C72" s="11" t="inlineStr">
        <is>
          <t>UY_EBI_Biologia_Tramo4_5-6grado.pdf</t>
        </is>
      </c>
      <c r="D72" s="11" t="n">
        <v>15</v>
      </c>
      <c r="E72" s="11" t="inlineStr">
        <is>
          <t>6.°</t>
        </is>
      </c>
      <c r="F72" s="11" t="n">
        <v>6</v>
      </c>
      <c r="G72" s="11" t="inlineStr">
        <is>
          <t>Biología</t>
        </is>
      </c>
      <c r="H72" s="38" t="inlineStr">
        <is>
          <t>Formas de organización ecosistémica: especie, población y comunidad; asociaciones interespecíficas; relaciones intraespecíficas. Profundización: manipulación genética en plantas y animales; transgénicos.</t>
        </is>
      </c>
      <c r="I72" s="11" t="inlineStr">
        <is>
          <t>T8_27</t>
        </is>
      </c>
      <c r="J72" s="11" t="inlineStr">
        <is>
          <t>T8_27-B5.4</t>
        </is>
      </c>
      <c r="K72" s="11" t="inlineStr">
        <is>
          <t>T8_27-B5.5</t>
        </is>
      </c>
      <c r="L72" s="11" t="inlineStr">
        <is>
          <t>media</t>
        </is>
      </c>
      <c r="M72" s="11">
        <f>IF(J72="FUERA","Fuera del marco",IFERROR(INDEX('Datos - Catálogo TIMSS'!$C$5:$C$107,MATCH(J72,'Datos - Catálogo TIMSS'!$A$5:$A$107,0)),"?"))</f>
        <v/>
      </c>
      <c r="N72" s="11" t="inlineStr">
        <is>
          <t>Relaciones inter e intraespecíficas en poblaciones y comunidades.</t>
        </is>
      </c>
    </row>
    <row r="73">
      <c r="A73" s="11" t="inlineStr">
        <is>
          <t>UY-BIO-G6-04</t>
        </is>
      </c>
      <c r="B73" s="11" t="inlineStr">
        <is>
          <t>Uruguay</t>
        </is>
      </c>
      <c r="C73" s="11" t="inlineStr">
        <is>
          <t>UY_EBI_Biologia_Tramo4_5-6grado.pdf</t>
        </is>
      </c>
      <c r="D73" s="11" t="n">
        <v>15</v>
      </c>
      <c r="E73" s="11" t="inlineStr">
        <is>
          <t>6.°</t>
        </is>
      </c>
      <c r="F73" s="11" t="n">
        <v>6</v>
      </c>
      <c r="G73" s="11" t="inlineStr">
        <is>
          <t>Biología</t>
        </is>
      </c>
      <c r="H73" s="38" t="inlineStr">
        <is>
          <t>Seres vivos unicelulares representados en los reinos: fungi, monera y protista.</t>
        </is>
      </c>
      <c r="I73" s="11" t="inlineStr">
        <is>
          <t>T8_27</t>
        </is>
      </c>
      <c r="J73" s="11" t="inlineStr">
        <is>
          <t>T8_27-B1.1</t>
        </is>
      </c>
      <c r="K73" s="11" t="inlineStr"/>
      <c r="L73" s="11" t="inlineStr">
        <is>
          <t>alta</t>
        </is>
      </c>
      <c r="M73" s="11">
        <f>IF(J73="FUERA","Fuera del marco",IFERROR(INDEX('Datos - Catálogo TIMSS'!$C$5:$C$107,MATCH(J73,'Datos - Catálogo TIMSS'!$A$5:$A$107,0)),"?"))</f>
        <v/>
      </c>
      <c r="N73" s="11" t="inlineStr">
        <is>
          <t>Rasgos de bacterias, hongos y protistas como grupos taxonómicos.</t>
        </is>
      </c>
    </row>
    <row r="74">
      <c r="A74" s="11" t="inlineStr">
        <is>
          <t>UY-BIO-G6-05</t>
        </is>
      </c>
      <c r="B74" s="11" t="inlineStr">
        <is>
          <t>Uruguay</t>
        </is>
      </c>
      <c r="C74" s="11" t="inlineStr">
        <is>
          <t>UY_EBI_Biologia_Tramo4_5-6grado.pdf</t>
        </is>
      </c>
      <c r="D74" s="11" t="n">
        <v>15</v>
      </c>
      <c r="E74" s="11" t="inlineStr">
        <is>
          <t>6.°</t>
        </is>
      </c>
      <c r="F74" s="11" t="n">
        <v>6</v>
      </c>
      <c r="G74" s="11" t="inlineStr">
        <is>
          <t>Biología</t>
        </is>
      </c>
      <c r="H74" s="38" t="inlineStr">
        <is>
          <t>Estructura y funciones de la célula.</t>
        </is>
      </c>
      <c r="I74" s="11" t="inlineStr">
        <is>
          <t>T8_27</t>
        </is>
      </c>
      <c r="J74" s="11" t="inlineStr">
        <is>
          <t>T8_27-B2.1</t>
        </is>
      </c>
      <c r="K74" s="11" t="inlineStr"/>
      <c r="L74" s="11" t="inlineStr">
        <is>
          <t>alta</t>
        </is>
      </c>
      <c r="M74" s="11">
        <f>IF(J74="FUERA","Fuera del marco",IFERROR(INDEX('Datos - Catálogo TIMSS'!$C$5:$C$107,MATCH(J74,'Datos - Catálogo TIMSS'!$A$5:$A$107,0)),"?"))</f>
        <v/>
      </c>
      <c r="N74" s="11" t="inlineStr">
        <is>
          <t>Estructura y funciones de la célula.</t>
        </is>
      </c>
    </row>
    <row r="75">
      <c r="A75" s="11" t="inlineStr">
        <is>
          <t>UY-BIO-G6-06</t>
        </is>
      </c>
      <c r="B75" s="11" t="inlineStr">
        <is>
          <t>Uruguay</t>
        </is>
      </c>
      <c r="C75" s="11" t="inlineStr">
        <is>
          <t>UY_EBI_Biologia_Tramo4_5-6grado.pdf</t>
        </is>
      </c>
      <c r="D75" s="11" t="n">
        <v>15</v>
      </c>
      <c r="E75" s="11" t="inlineStr">
        <is>
          <t>6.°</t>
        </is>
      </c>
      <c r="F75" s="11" t="n">
        <v>6</v>
      </c>
      <c r="G75" s="11" t="inlineStr">
        <is>
          <t>Biología</t>
        </is>
      </c>
      <c r="H75" s="38" t="inlineStr">
        <is>
          <t>Fecundación y desarrollo del embrión en mamíferos. Profundización: desarrollo embrionario en aves y anfibios.</t>
        </is>
      </c>
      <c r="I75" s="11" t="inlineStr">
        <is>
          <t>T8_27</t>
        </is>
      </c>
      <c r="J75" s="11" t="inlineStr">
        <is>
          <t>T8_27-B3.1</t>
        </is>
      </c>
      <c r="K75" s="11" t="inlineStr"/>
      <c r="L75" s="11" t="inlineStr">
        <is>
          <t>media</t>
        </is>
      </c>
      <c r="M75" s="11">
        <f>IF(J75="FUERA","Fuera del marco",IFERROR(INDEX('Datos - Catálogo TIMSS'!$C$5:$C$107,MATCH(J75,'Datos - Catálogo TIMSS'!$A$5:$A$107,0)),"?"))</f>
        <v/>
      </c>
      <c r="N75" s="11" t="inlineStr">
        <is>
          <t>Fecundación y desarrollo embrionario en vertebrados.</t>
        </is>
      </c>
    </row>
    <row r="76">
      <c r="A76" s="11" t="inlineStr">
        <is>
          <t>UY-BIO-G6-07</t>
        </is>
      </c>
      <c r="B76" s="11" t="inlineStr">
        <is>
          <t>Uruguay</t>
        </is>
      </c>
      <c r="C76" s="11" t="inlineStr">
        <is>
          <t>UY_EBI_Biologia_Tramo4_5-6grado.pdf</t>
        </is>
      </c>
      <c r="D76" s="11" t="n">
        <v>15</v>
      </c>
      <c r="E76" s="11" t="inlineStr">
        <is>
          <t>6.°</t>
        </is>
      </c>
      <c r="F76" s="11" t="n">
        <v>6</v>
      </c>
      <c r="G76" s="11" t="inlineStr">
        <is>
          <t>Biología</t>
        </is>
      </c>
      <c r="H76" s="38" t="inlineStr">
        <is>
          <t>Gestación del embrión humano. Profundización: el parto.</t>
        </is>
      </c>
      <c r="I76" s="11" t="inlineStr">
        <is>
          <t>T8_27</t>
        </is>
      </c>
      <c r="J76" s="11" t="inlineStr">
        <is>
          <t>T8_27-B3.1</t>
        </is>
      </c>
      <c r="K76" s="11" t="inlineStr"/>
      <c r="L76" s="11" t="inlineStr">
        <is>
          <t>baja</t>
        </is>
      </c>
      <c r="M76" s="11">
        <f>IF(J76="FUERA","Fuera del marco",IFERROR(INDEX('Datos - Catálogo TIMSS'!$C$5:$C$107,MATCH(J76,'Datos - Catálogo TIMSS'!$A$5:$A$107,0)),"?"))</f>
        <v/>
      </c>
      <c r="N76" s="11" t="inlineStr">
        <is>
          <t>Gestación humana; cercano a reproducción sexual, sin objetivo específico.</t>
        </is>
      </c>
    </row>
    <row r="77">
      <c r="A77" s="11" t="inlineStr">
        <is>
          <t>UY-BIO-G6-08</t>
        </is>
      </c>
      <c r="B77" s="11" t="inlineStr">
        <is>
          <t>Uruguay</t>
        </is>
      </c>
      <c r="C77" s="11" t="inlineStr">
        <is>
          <t>UY_EBI_Biologia_Tramo4_5-6grado.pdf</t>
        </is>
      </c>
      <c r="D77" s="11" t="n">
        <v>15</v>
      </c>
      <c r="E77" s="11" t="inlineStr">
        <is>
          <t>6.°</t>
        </is>
      </c>
      <c r="F77" s="11" t="n">
        <v>6</v>
      </c>
      <c r="G77" s="11" t="inlineStr">
        <is>
          <t>Biología</t>
        </is>
      </c>
      <c r="H77" s="38" t="inlineStr">
        <is>
          <t>Aparato genital humano. Autocuidado y prevención de enfermedades.</t>
        </is>
      </c>
      <c r="I77" s="11" t="inlineStr">
        <is>
          <t>T8_27</t>
        </is>
      </c>
      <c r="J77" s="11" t="inlineStr">
        <is>
          <t>T8_27-B1.2</t>
        </is>
      </c>
      <c r="K77" s="11" t="inlineStr">
        <is>
          <t>T8_27-B6.1</t>
        </is>
      </c>
      <c r="L77" s="11" t="inlineStr">
        <is>
          <t>media</t>
        </is>
      </c>
      <c r="M77" s="11">
        <f>IF(J77="FUERA","Fuera del marco",IFERROR(INDEX('Datos - Catálogo TIMSS'!$C$5:$C$107,MATCH(J77,'Datos - Catálogo TIMSS'!$A$5:$A$107,0)),"?"))</f>
        <v/>
      </c>
      <c r="N77" s="11" t="inlineStr">
        <is>
          <t>Órganos genitales humanos; prevención de enfermedades.</t>
        </is>
      </c>
    </row>
    <row r="78">
      <c r="A78" s="11" t="inlineStr">
        <is>
          <t>UY-FQ-G6-01</t>
        </is>
      </c>
      <c r="B78" s="11" t="inlineStr">
        <is>
          <t>Uruguay</t>
        </is>
      </c>
      <c r="C78" s="11" t="inlineStr">
        <is>
          <t>UY_EBI_FisicaQuimica_Tramo4_5-6grado.pdf</t>
        </is>
      </c>
      <c r="D78" s="11" t="n">
        <v>13</v>
      </c>
      <c r="E78" s="11" t="inlineStr">
        <is>
          <t>6.°</t>
        </is>
      </c>
      <c r="F78" s="11" t="n">
        <v>6</v>
      </c>
      <c r="G78" s="11" t="inlineStr">
        <is>
          <t>Física-Química</t>
        </is>
      </c>
      <c r="H78" s="38" t="inlineStr">
        <is>
          <t>Las soluciones gaseosas. El aire y su composición, causas de la variación de su composición.</t>
        </is>
      </c>
      <c r="I78" s="11" t="inlineStr">
        <is>
          <t>T8_27</t>
        </is>
      </c>
      <c r="J78" s="11" t="inlineStr">
        <is>
          <t>T8_27-E2.1</t>
        </is>
      </c>
      <c r="K78" s="11" t="inlineStr">
        <is>
          <t>T8_27-C1.2</t>
        </is>
      </c>
      <c r="L78" s="11" t="inlineStr">
        <is>
          <t>alta</t>
        </is>
      </c>
      <c r="M78" s="11">
        <f>IF(J78="FUERA","Fuera del marco",IFERROR(INDEX('Datos - Catálogo TIMSS'!$C$5:$C$107,MATCH(J78,'Datos - Catálogo TIMSS'!$A$5:$A$107,0)),"?"))</f>
        <v/>
      </c>
      <c r="N78" s="11" t="inlineStr">
        <is>
          <t>Composición del aire como mezcla de gases.</t>
        </is>
      </c>
    </row>
    <row r="79">
      <c r="A79" s="11" t="inlineStr">
        <is>
          <t>UY-FQ-G6-02</t>
        </is>
      </c>
      <c r="B79" s="11" t="inlineStr">
        <is>
          <t>Uruguay</t>
        </is>
      </c>
      <c r="C79" s="11" t="inlineStr">
        <is>
          <t>UY_EBI_FisicaQuimica_Tramo4_5-6grado.pdf</t>
        </is>
      </c>
      <c r="D79" s="11" t="n">
        <v>13</v>
      </c>
      <c r="E79" s="11" t="inlineStr">
        <is>
          <t>6.°</t>
        </is>
      </c>
      <c r="F79" s="11" t="n">
        <v>6</v>
      </c>
      <c r="G79" s="11" t="inlineStr">
        <is>
          <t>Física-Química</t>
        </is>
      </c>
      <c r="H79" s="38" t="inlineStr">
        <is>
          <t>El modelo corpuscular de la materia. Moléculas y átomos.</t>
        </is>
      </c>
      <c r="I79" s="11" t="inlineStr">
        <is>
          <t>T8_27</t>
        </is>
      </c>
      <c r="J79" s="11" t="inlineStr">
        <is>
          <t>T8_27-C1.1</t>
        </is>
      </c>
      <c r="K79" s="11" t="inlineStr">
        <is>
          <t>T8_27-P1.1</t>
        </is>
      </c>
      <c r="L79" s="11" t="inlineStr">
        <is>
          <t>alta</t>
        </is>
      </c>
      <c r="M79" s="11">
        <f>IF(J79="FUERA","Fuera del marco",IFERROR(INDEX('Datos - Catálogo TIMSS'!$C$5:$C$107,MATCH(J79,'Datos - Catálogo TIMSS'!$A$5:$A$107,0)),"?"))</f>
        <v/>
      </c>
      <c r="N79" s="11" t="inlineStr">
        <is>
          <t>Modelo de partículas; átomos y moléculas.</t>
        </is>
      </c>
    </row>
    <row r="80">
      <c r="A80" s="11" t="inlineStr">
        <is>
          <t>UY-FQ-G6-03</t>
        </is>
      </c>
      <c r="B80" s="11" t="inlineStr">
        <is>
          <t>Uruguay</t>
        </is>
      </c>
      <c r="C80" s="11" t="inlineStr">
        <is>
          <t>UY_EBI_FisicaQuimica_Tramo4_5-6grado.pdf</t>
        </is>
      </c>
      <c r="D80" s="11" t="n">
        <v>13</v>
      </c>
      <c r="E80" s="11" t="inlineStr">
        <is>
          <t>6.°</t>
        </is>
      </c>
      <c r="F80" s="11" t="n">
        <v>6</v>
      </c>
      <c r="G80" s="11" t="inlineStr">
        <is>
          <t>Física-Química</t>
        </is>
      </c>
      <c r="H80" s="38" t="inlineStr">
        <is>
          <t>El espectro electromagnético.</t>
        </is>
      </c>
      <c r="I80" s="11" t="inlineStr">
        <is>
          <t>T8_27</t>
        </is>
      </c>
      <c r="J80" s="11" t="inlineStr">
        <is>
          <t>T8_27-P3.1</t>
        </is>
      </c>
      <c r="K80" s="11" t="inlineStr"/>
      <c r="L80" s="11" t="inlineStr">
        <is>
          <t>baja</t>
        </is>
      </c>
      <c r="M80" s="11">
        <f>IF(J80="FUERA","Fuera del marco",IFERROR(INDEX('Datos - Catálogo TIMSS'!$C$5:$C$107,MATCH(J80,'Datos - Catálogo TIMSS'!$A$5:$A$107,0)),"?"))</f>
        <v/>
      </c>
      <c r="N80" s="11" t="inlineStr">
        <is>
          <t>Espectro electromagnético; vínculo parcial con propiedades de la luz.</t>
        </is>
      </c>
    </row>
    <row r="81">
      <c r="A81" s="11" t="inlineStr">
        <is>
          <t>UY-FQ-G6-04</t>
        </is>
      </c>
      <c r="B81" s="11" t="inlineStr">
        <is>
          <t>Uruguay</t>
        </is>
      </c>
      <c r="C81" s="11" t="inlineStr">
        <is>
          <t>UY_EBI_FisicaQuimica_Tramo4_5-6grado.pdf</t>
        </is>
      </c>
      <c r="D81" s="11" t="n">
        <v>13</v>
      </c>
      <c r="E81" s="11" t="inlineStr">
        <is>
          <t>6.°</t>
        </is>
      </c>
      <c r="F81" s="11" t="n">
        <v>6</v>
      </c>
      <c r="G81" s="11" t="inlineStr">
        <is>
          <t>Física-Química</t>
        </is>
      </c>
      <c r="H81" s="38" t="inlineStr">
        <is>
          <t>La composición y la descomposición de la luz.</t>
        </is>
      </c>
      <c r="I81" s="11" t="inlineStr">
        <is>
          <t>T8_27</t>
        </is>
      </c>
      <c r="J81" s="11" t="inlineStr">
        <is>
          <t>T8_27-P3.1</t>
        </is>
      </c>
      <c r="K81" s="11" t="inlineStr"/>
      <c r="L81" s="11" t="inlineStr">
        <is>
          <t>alta</t>
        </is>
      </c>
      <c r="M81" s="11">
        <f>IF(J81="FUERA","Fuera del marco",IFERROR(INDEX('Datos - Catálogo TIMSS'!$C$5:$C$107,MATCH(J81,'Datos - Catálogo TIMSS'!$A$5:$A$107,0)),"?"))</f>
        <v/>
      </c>
      <c r="N81" s="11" t="inlineStr">
        <is>
          <t>Dispersión de la luz y color.</t>
        </is>
      </c>
    </row>
    <row r="82">
      <c r="A82" s="11" t="inlineStr">
        <is>
          <t>UY-FQ-G6-05</t>
        </is>
      </c>
      <c r="B82" s="11" t="inlineStr">
        <is>
          <t>Uruguay</t>
        </is>
      </c>
      <c r="C82" s="11" t="inlineStr">
        <is>
          <t>UY_EBI_FisicaQuimica_Tramo4_5-6grado.pdf</t>
        </is>
      </c>
      <c r="D82" s="11" t="n">
        <v>13</v>
      </c>
      <c r="E82" s="11" t="inlineStr">
        <is>
          <t>6.°</t>
        </is>
      </c>
      <c r="F82" s="11" t="n">
        <v>6</v>
      </c>
      <c r="G82" s="11" t="inlineStr">
        <is>
          <t>Física-Química</t>
        </is>
      </c>
      <c r="H82" s="38" t="inlineStr">
        <is>
          <t>Las ondas sonoras, la velocidad de propagación del sonido en distintos medios. Nivel de intensidad del sonido.</t>
        </is>
      </c>
      <c r="I82" s="11" t="inlineStr">
        <is>
          <t>T8_27</t>
        </is>
      </c>
      <c r="J82" s="11" t="inlineStr">
        <is>
          <t>T8_27-P3.2</t>
        </is>
      </c>
      <c r="K82" s="11" t="inlineStr"/>
      <c r="L82" s="11" t="inlineStr">
        <is>
          <t>alta</t>
        </is>
      </c>
      <c r="M82" s="11">
        <f>IF(J82="FUERA","Fuera del marco",IFERROR(INDEX('Datos - Catálogo TIMSS'!$C$5:$C$107,MATCH(J82,'Datos - Catálogo TIMSS'!$A$5:$A$107,0)),"?"))</f>
        <v/>
      </c>
      <c r="N82" s="11" t="inlineStr">
        <is>
          <t>Sonido como onda, rapidez en medios e intensidad.</t>
        </is>
      </c>
    </row>
    <row r="83">
      <c r="A83" s="11" t="inlineStr">
        <is>
          <t>UY-FQ-G6-06</t>
        </is>
      </c>
      <c r="B83" s="11" t="inlineStr">
        <is>
          <t>Uruguay</t>
        </is>
      </c>
      <c r="C83" s="11" t="inlineStr">
        <is>
          <t>UY_EBI_FisicaQuimica_Tramo4_5-6grado.pdf</t>
        </is>
      </c>
      <c r="D83" s="11" t="n">
        <v>13</v>
      </c>
      <c r="E83" s="11" t="inlineStr">
        <is>
          <t>6.°</t>
        </is>
      </c>
      <c r="F83" s="11" t="n">
        <v>6</v>
      </c>
      <c r="G83" s="11" t="inlineStr">
        <is>
          <t>Física-Química</t>
        </is>
      </c>
      <c r="H83" s="38" t="inlineStr">
        <is>
          <t>La energía y su conservación, en diferentes sistemas y contextos.</t>
        </is>
      </c>
      <c r="I83" s="11" t="inlineStr">
        <is>
          <t>T8_27</t>
        </is>
      </c>
      <c r="J83" s="11" t="inlineStr">
        <is>
          <t>T8_27-P2.1</t>
        </is>
      </c>
      <c r="K83" s="11" t="inlineStr"/>
      <c r="L83" s="11" t="inlineStr">
        <is>
          <t>alta</t>
        </is>
      </c>
      <c r="M83" s="11">
        <f>IF(J83="FUERA","Fuera del marco",IFERROR(INDEX('Datos - Catálogo TIMSS'!$C$5:$C$107,MATCH(J83,'Datos - Catálogo TIMSS'!$A$5:$A$107,0)),"?"))</f>
        <v/>
      </c>
      <c r="N83" s="11" t="inlineStr">
        <is>
          <t>Conservación de la energía en sistemas.</t>
        </is>
      </c>
    </row>
    <row r="84">
      <c r="A84" s="11" t="inlineStr">
        <is>
          <t>UY-FQ-G6-07</t>
        </is>
      </c>
      <c r="B84" s="11" t="inlineStr">
        <is>
          <t>Uruguay</t>
        </is>
      </c>
      <c r="C84" s="11" t="inlineStr">
        <is>
          <t>UY_EBI_FisicaQuimica_Tramo4_5-6grado.pdf</t>
        </is>
      </c>
      <c r="D84" s="11" t="n">
        <v>13</v>
      </c>
      <c r="E84" s="11" t="inlineStr">
        <is>
          <t>6.°</t>
        </is>
      </c>
      <c r="F84" s="11" t="n">
        <v>6</v>
      </c>
      <c r="G84" s="11" t="inlineStr">
        <is>
          <t>Física-Química</t>
        </is>
      </c>
      <c r="H84" s="38" t="inlineStr">
        <is>
          <t>Eficiencia energética.</t>
        </is>
      </c>
      <c r="I84" s="11" t="inlineStr">
        <is>
          <t>T8_27</t>
        </is>
      </c>
      <c r="J84" s="11" t="inlineStr">
        <is>
          <t>T8_27-P2.1</t>
        </is>
      </c>
      <c r="K84" s="11" t="inlineStr">
        <is>
          <t>T8_27-E3.1</t>
        </is>
      </c>
      <c r="L84" s="11" t="inlineStr">
        <is>
          <t>media</t>
        </is>
      </c>
      <c r="M84" s="11">
        <f>IF(J84="FUERA","Fuera del marco",IFERROR(INDEX('Datos - Catálogo TIMSS'!$C$5:$C$107,MATCH(J84,'Datos - Catálogo TIMSS'!$A$5:$A$107,0)),"?"))</f>
        <v/>
      </c>
      <c r="N84" s="11" t="inlineStr">
        <is>
          <t>Transformaciones de energía y uso eficiente.</t>
        </is>
      </c>
    </row>
    <row r="85">
      <c r="A85" s="11" t="inlineStr">
        <is>
          <t>UY-FQ-G6-08</t>
        </is>
      </c>
      <c r="B85" s="11" t="inlineStr">
        <is>
          <t>Uruguay</t>
        </is>
      </c>
      <c r="C85" s="11" t="inlineStr">
        <is>
          <t>UY_EBI_FisicaQuimica_Tramo4_5-6grado.pdf</t>
        </is>
      </c>
      <c r="D85" s="11" t="n">
        <v>13</v>
      </c>
      <c r="E85" s="11" t="inlineStr">
        <is>
          <t>6.°</t>
        </is>
      </c>
      <c r="F85" s="11" t="n">
        <v>6</v>
      </c>
      <c r="G85" s="11" t="inlineStr">
        <is>
          <t>Transversal</t>
        </is>
      </c>
      <c r="H85" s="38" t="inlineStr">
        <is>
          <t>Proceso de medición (abordaje transversal): cálculo por aproximación, mediciones, incertidumbres, instrumentos de medición, unidades del Sistema Internacional y sus conversiones.</t>
        </is>
      </c>
      <c r="I85" s="11" t="inlineStr">
        <is>
          <t>T8_27</t>
        </is>
      </c>
      <c r="J85" s="11" t="inlineStr">
        <is>
          <t>T8_27-P6.1</t>
        </is>
      </c>
      <c r="K85" s="11" t="inlineStr"/>
      <c r="L85" s="11" t="inlineStr">
        <is>
          <t>media</t>
        </is>
      </c>
      <c r="M85" s="11">
        <f>IF(J85="FUERA","Fuera del marco",IFERROR(INDEX('Datos - Catálogo TIMSS'!$C$5:$C$107,MATCH(J85,'Datos - Catálogo TIMSS'!$A$5:$A$107,0)),"?"))</f>
        <v/>
      </c>
      <c r="N85" s="11" t="inlineStr">
        <is>
          <t>Mediciones repetidas e instrumentos; práctica genérica en Física-Química.</t>
        </is>
      </c>
    </row>
    <row r="86">
      <c r="A86" s="11" t="inlineStr">
        <is>
          <t>UY-TE-G6-01</t>
        </is>
      </c>
      <c r="B86" s="11" t="inlineStr">
        <is>
          <t>Uruguay</t>
        </is>
      </c>
      <c r="C86" s="11" t="inlineStr">
        <is>
          <t>UY_EBI_TierraEspacio_Tramo4_5-6grado.pdf</t>
        </is>
      </c>
      <c r="D86" s="11" t="n">
        <v>13</v>
      </c>
      <c r="E86" s="11" t="inlineStr">
        <is>
          <t>6.°</t>
        </is>
      </c>
      <c r="F86" s="11" t="n">
        <v>6</v>
      </c>
      <c r="G86" s="11" t="inlineStr">
        <is>
          <t>Ciencias de la Tierra y el Espacio</t>
        </is>
      </c>
      <c r="H86" s="38" t="inlineStr">
        <is>
          <t>El Universo y teorías de su origen y evolución; galaxias (Vía Láctea y otras); avances para conocerlo; satélites artificiales y carrera espacial; dinámica de la litosfera y tectónica de placas.</t>
        </is>
      </c>
      <c r="I86" s="11" t="inlineStr">
        <is>
          <t>T8_27</t>
        </is>
      </c>
      <c r="J86" s="11" t="inlineStr">
        <is>
          <t>T8_27-E1.2</t>
        </is>
      </c>
      <c r="K86" s="11" t="inlineStr">
        <is>
          <t>T8_27-E4.2</t>
        </is>
      </c>
      <c r="L86" s="11" t="inlineStr">
        <is>
          <t>baja</t>
        </is>
      </c>
      <c r="M86" s="11">
        <f>IF(J86="FUERA","Fuera del marco",IFERROR(INDEX('Datos - Catálogo TIMSS'!$C$5:$C$107,MATCH(J86,'Datos - Catálogo TIMSS'!$A$5:$A$107,0)),"?"))</f>
        <v/>
      </c>
      <c r="N86" s="11" t="inlineStr">
        <is>
          <t>Tectónica de placas; universo y galaxias exceden el marco.</t>
        </is>
      </c>
    </row>
    <row r="87">
      <c r="A87" s="11" t="inlineStr">
        <is>
          <t>UY-TE-G6-02</t>
        </is>
      </c>
      <c r="B87" s="11" t="inlineStr">
        <is>
          <t>Uruguay</t>
        </is>
      </c>
      <c r="C87" s="11" t="inlineStr">
        <is>
          <t>UY_EBI_TierraEspacio_Tramo4_5-6grado.pdf</t>
        </is>
      </c>
      <c r="D87" s="11" t="n">
        <v>13</v>
      </c>
      <c r="E87" s="11" t="inlineStr">
        <is>
          <t>6.°</t>
        </is>
      </c>
      <c r="F87" s="11" t="n">
        <v>6</v>
      </c>
      <c r="G87" s="11" t="inlineStr">
        <is>
          <t>Ciencias de la Tierra y el Espacio</t>
        </is>
      </c>
      <c r="H87" s="38" t="inlineStr">
        <is>
          <t>Los bordes divergentes y convergentes. Sismicidad y vulcanismo. Las fallas. El tiempo geológico. Las eras geológicas. Los fósiles.</t>
        </is>
      </c>
      <c r="I87" s="11" t="inlineStr">
        <is>
          <t>T8_27</t>
        </is>
      </c>
      <c r="J87" s="11" t="inlineStr">
        <is>
          <t>T8_27-E1.2</t>
        </is>
      </c>
      <c r="K87" s="11" t="inlineStr">
        <is>
          <t>T8_27-B4.2</t>
        </is>
      </c>
      <c r="L87" s="11" t="inlineStr">
        <is>
          <t>alta</t>
        </is>
      </c>
      <c r="M87" s="11">
        <f>IF(J87="FUERA","Fuera del marco",IFERROR(INDEX('Datos - Catálogo TIMSS'!$C$5:$C$107,MATCH(J87,'Datos - Catálogo TIMSS'!$A$5:$A$107,0)),"?"))</f>
        <v/>
      </c>
      <c r="N87" s="11" t="inlineStr">
        <is>
          <t>Placas, sismos, volcanes y registro fósil.</t>
        </is>
      </c>
    </row>
    <row r="88">
      <c r="A88" s="11" t="inlineStr">
        <is>
          <t>UY-BIO-G7-01</t>
        </is>
      </c>
      <c r="B88" s="11" t="inlineStr">
        <is>
          <t>Uruguay</t>
        </is>
      </c>
      <c r="C88" s="11" t="inlineStr">
        <is>
          <t>UY_EBI_Biologia_Tramo5_7-8grado.pdf</t>
        </is>
      </c>
      <c r="D88" s="11" t="n">
        <v>14</v>
      </c>
      <c r="E88" s="11" t="inlineStr">
        <is>
          <t>7.°</t>
        </is>
      </c>
      <c r="F88" s="11" t="n">
        <v>7</v>
      </c>
      <c r="G88" s="11" t="inlineStr">
        <is>
          <t>Biología</t>
        </is>
      </c>
      <c r="H88" s="38" t="inlineStr">
        <is>
          <t>Sistemas ecológicos: componentes bióticos y abióticos, sistemas abiertos/cerrados, clasificación, homeostasis y alteración humana, especies foráneas, niveles de organización, asociaciones biológicas, relaciones tróficas, flujo de materia y energía.</t>
        </is>
      </c>
      <c r="I88" s="11" t="inlineStr">
        <is>
          <t>T8_27</t>
        </is>
      </c>
      <c r="J88" s="11" t="inlineStr">
        <is>
          <t>T8_27-B5.4</t>
        </is>
      </c>
      <c r="K88" s="11" t="inlineStr">
        <is>
          <t>T8_27-B5.2</t>
        </is>
      </c>
      <c r="L88" s="11" t="inlineStr">
        <is>
          <t>media</t>
        </is>
      </c>
      <c r="M88" s="11">
        <f>IF(J88="FUERA","Fuera del marco",IFERROR(INDEX('Datos - Catálogo TIMSS'!$C$5:$C$107,MATCH(J88,'Datos - Catálogo TIMSS'!$A$5:$A$107,0)),"?"))</f>
        <v/>
      </c>
      <c r="N88" s="11" t="inlineStr">
        <is>
          <t>Relaciones y asociaciones ecológicas; flujo de materia y energía.</t>
        </is>
      </c>
    </row>
    <row r="89">
      <c r="A89" s="11" t="inlineStr">
        <is>
          <t>UY-BIO-G7-02</t>
        </is>
      </c>
      <c r="B89" s="11" t="inlineStr">
        <is>
          <t>Uruguay</t>
        </is>
      </c>
      <c r="C89" s="11" t="inlineStr">
        <is>
          <t>UY_EBI_Biologia_Tramo5_7-8grado.pdf</t>
        </is>
      </c>
      <c r="D89" s="11" t="n">
        <v>15</v>
      </c>
      <c r="E89" s="11" t="inlineStr">
        <is>
          <t>7.°</t>
        </is>
      </c>
      <c r="F89" s="11" t="n">
        <v>7</v>
      </c>
      <c r="G89" s="11" t="inlineStr">
        <is>
          <t>Biología</t>
        </is>
      </c>
      <c r="H89" s="38" t="inlineStr">
        <is>
          <t>El ser humano y su rol en el ambiente: impacto tecnológico, conciencia ambiental, tipos de contaminación, contaminación del agua, residuos sólidos, tres R, capa de ozono, lluvia ácida, efecto invernadero.</t>
        </is>
      </c>
      <c r="I89" s="11" t="inlineStr">
        <is>
          <t>T8_27</t>
        </is>
      </c>
      <c r="J89" s="11" t="inlineStr">
        <is>
          <t>T8_27-B5.6</t>
        </is>
      </c>
      <c r="K89" s="11" t="inlineStr">
        <is>
          <t>T8_27-E3.2</t>
        </is>
      </c>
      <c r="L89" s="11" t="inlineStr">
        <is>
          <t>alta</t>
        </is>
      </c>
      <c r="M89" s="11">
        <f>IF(J89="FUERA","Fuera del marco",IFERROR(INDEX('Datos - Catálogo TIMSS'!$C$5:$C$107,MATCH(J89,'Datos - Catálogo TIMSS'!$A$5:$A$107,0)),"?"))</f>
        <v/>
      </c>
      <c r="N89" s="11" t="inlineStr">
        <is>
          <t>Contaminación y efecto humano; residuos y tres R.</t>
        </is>
      </c>
    </row>
    <row r="90">
      <c r="A90" s="11" t="inlineStr">
        <is>
          <t>UY-BIO-G7-03</t>
        </is>
      </c>
      <c r="B90" s="11" t="inlineStr">
        <is>
          <t>Uruguay</t>
        </is>
      </c>
      <c r="C90" s="11" t="inlineStr">
        <is>
          <t>UY_EBI_Biologia_Tramo5_7-8grado.pdf</t>
        </is>
      </c>
      <c r="D90" s="11" t="n">
        <v>15</v>
      </c>
      <c r="E90" s="11" t="inlineStr">
        <is>
          <t>7.°</t>
        </is>
      </c>
      <c r="F90" s="11" t="n">
        <v>7</v>
      </c>
      <c r="G90" s="11" t="inlineStr">
        <is>
          <t>Biología</t>
        </is>
      </c>
      <c r="H90" s="38" t="inlineStr">
        <is>
          <t>Clasificación y niveles de organización: instrumentos de observación (microscopio, lupas), criterios de clasificación, reinos, niveles de organización, célula eucariota y procariota, animal y vegetal; organelos celulares.</t>
        </is>
      </c>
      <c r="I90" s="11" t="inlineStr">
        <is>
          <t>T8_27</t>
        </is>
      </c>
      <c r="J90" s="11" t="inlineStr">
        <is>
          <t>T8_27-B2.1</t>
        </is>
      </c>
      <c r="K90" s="11" t="inlineStr">
        <is>
          <t>T8_27-B1.1</t>
        </is>
      </c>
      <c r="L90" s="11" t="inlineStr">
        <is>
          <t>alta</t>
        </is>
      </c>
      <c r="M90" s="11">
        <f>IF(J90="FUERA","Fuera del marco",IFERROR(INDEX('Datos - Catálogo TIMSS'!$C$5:$C$107,MATCH(J90,'Datos - Catálogo TIMSS'!$A$5:$A$107,0)),"?"))</f>
        <v/>
      </c>
      <c r="N90" s="11" t="inlineStr">
        <is>
          <t>Células procariota, eucariota, animal y vegetal; reinos y clasificación.</t>
        </is>
      </c>
    </row>
    <row r="91">
      <c r="A91" s="11" t="inlineStr">
        <is>
          <t>UY-BIO-G7-04</t>
        </is>
      </c>
      <c r="B91" s="11" t="inlineStr">
        <is>
          <t>Uruguay</t>
        </is>
      </c>
      <c r="C91" s="11" t="inlineStr">
        <is>
          <t>UY_EBI_Biologia_Tramo5_7-8grado.pdf</t>
        </is>
      </c>
      <c r="D91" s="11" t="n">
        <v>16</v>
      </c>
      <c r="E91" s="11" t="inlineStr">
        <is>
          <t>7.°</t>
        </is>
      </c>
      <c r="F91" s="11" t="n">
        <v>7</v>
      </c>
      <c r="G91" s="11" t="inlineStr">
        <is>
          <t>Biología</t>
        </is>
      </c>
      <c r="H91" s="38" t="inlineStr">
        <is>
          <t>Nutrición autótrofa y heterótrofa en una especie animal y vegetal; órganos y sistemas de la nutrición. Profundización: adaptaciones morfológicas, respiración, circulación, alimentación, transformaciones digestivas.</t>
        </is>
      </c>
      <c r="I91" s="11" t="inlineStr">
        <is>
          <t>T8_27</t>
        </is>
      </c>
      <c r="J91" s="11" t="inlineStr">
        <is>
          <t>T8_27-B1.2</t>
        </is>
      </c>
      <c r="K91" s="11" t="inlineStr">
        <is>
          <t>T8_27-B1.3</t>
        </is>
      </c>
      <c r="L91" s="11" t="inlineStr">
        <is>
          <t>media</t>
        </is>
      </c>
      <c r="M91" s="11">
        <f>IF(J91="FUERA","Fuera del marco",IFERROR(INDEX('Datos - Catálogo TIMSS'!$C$5:$C$107,MATCH(J91,'Datos - Catálogo TIMSS'!$A$5:$A$107,0)),"?"))</f>
        <v/>
      </c>
      <c r="N91" s="11" t="inlineStr">
        <is>
          <t>Órganos y sistemas de nutrición; procesos autótrofos y heterótrofos.</t>
        </is>
      </c>
    </row>
    <row r="92">
      <c r="A92" s="11" t="inlineStr">
        <is>
          <t>UY-BIO-G7-05</t>
        </is>
      </c>
      <c r="B92" s="11" t="inlineStr">
        <is>
          <t>Uruguay</t>
        </is>
      </c>
      <c r="C92" s="11" t="inlineStr">
        <is>
          <t>UY_EBI_Biologia_Tramo5_7-8grado.pdf</t>
        </is>
      </c>
      <c r="D92" s="11" t="n">
        <v>16</v>
      </c>
      <c r="E92" s="11" t="inlineStr">
        <is>
          <t>7.°</t>
        </is>
      </c>
      <c r="F92" s="11" t="n">
        <v>7</v>
      </c>
      <c r="G92" s="11" t="inlineStr">
        <is>
          <t>Biología</t>
        </is>
      </c>
      <c r="H92" s="38" t="inlineStr">
        <is>
          <t>Reproducción sexual y asexual en vegetales y animales; células reproductivas; caracteres sexuales primarios y secundarios. Profundización: desarrollo embrionario, fecundación, bacterias y hongos, pubertad y adolescencia.</t>
        </is>
      </c>
      <c r="I92" s="11" t="inlineStr">
        <is>
          <t>T8_27</t>
        </is>
      </c>
      <c r="J92" s="11" t="inlineStr">
        <is>
          <t>T8_27-B3.1</t>
        </is>
      </c>
      <c r="K92" s="11" t="inlineStr">
        <is>
          <t>T8_27-B1.2</t>
        </is>
      </c>
      <c r="L92" s="11" t="inlineStr">
        <is>
          <t>media</t>
        </is>
      </c>
      <c r="M92" s="11">
        <f>IF(J92="FUERA","Fuera del marco",IFERROR(INDEX('Datos - Catálogo TIMSS'!$C$5:$C$107,MATCH(J92,'Datos - Catálogo TIMSS'!$A$5:$A$107,0)),"?"))</f>
        <v/>
      </c>
      <c r="N92" s="11" t="inlineStr">
        <is>
          <t>Reproducción sexual y células reproductivas; caracteres sexuales del organismo.</t>
        </is>
      </c>
    </row>
    <row r="93">
      <c r="A93" s="11" t="inlineStr">
        <is>
          <t>UY-BIO-G8-01</t>
        </is>
      </c>
      <c r="B93" s="11" t="inlineStr">
        <is>
          <t>Uruguay</t>
        </is>
      </c>
      <c r="C93" s="11" t="inlineStr">
        <is>
          <t>UY_EBI_Biologia_Tramo5_7-8grado.pdf</t>
        </is>
      </c>
      <c r="D93" s="11" t="n">
        <v>17</v>
      </c>
      <c r="E93" s="11" t="inlineStr">
        <is>
          <t>8.°</t>
        </is>
      </c>
      <c r="F93" s="11" t="n">
        <v>8</v>
      </c>
      <c r="G93" s="11" t="inlineStr">
        <is>
          <t>Biología</t>
        </is>
      </c>
      <c r="H93" s="38" t="inlineStr">
        <is>
          <t>El ser humano como ser biopsicosocial. Profundización: el Homo sapiens: taxonomía.</t>
        </is>
      </c>
      <c r="I93" s="11" t="inlineStr">
        <is>
          <t>T8_27</t>
        </is>
      </c>
      <c r="J93" s="11" t="inlineStr">
        <is>
          <t>FUERA</t>
        </is>
      </c>
      <c r="K93" s="11" t="inlineStr"/>
      <c r="L93" s="11" t="inlineStr">
        <is>
          <t>baja</t>
        </is>
      </c>
      <c r="M93" s="11">
        <f>IF(J93="FUERA","Fuera del marco",IFERROR(INDEX('Datos - Catálogo TIMSS'!$C$5:$C$107,MATCH(J93,'Datos - Catálogo TIMSS'!$A$5:$A$107,0)),"?"))</f>
        <v/>
      </c>
      <c r="N93" s="11" t="inlineStr">
        <is>
          <t>Enfoque biopsicosocial; taxonomía humana solo como profundización.</t>
        </is>
      </c>
    </row>
    <row r="94">
      <c r="A94" s="11" t="inlineStr">
        <is>
          <t>UY-BIO-G8-02</t>
        </is>
      </c>
      <c r="B94" s="11" t="inlineStr">
        <is>
          <t>Uruguay</t>
        </is>
      </c>
      <c r="C94" s="11" t="inlineStr">
        <is>
          <t>UY_EBI_Biologia_Tramo5_7-8grado.pdf</t>
        </is>
      </c>
      <c r="D94" s="11" t="n">
        <v>17</v>
      </c>
      <c r="E94" s="11" t="inlineStr">
        <is>
          <t>8.°</t>
        </is>
      </c>
      <c r="F94" s="11" t="n">
        <v>8</v>
      </c>
      <c r="G94" s="11" t="inlineStr">
        <is>
          <t>Biología</t>
        </is>
      </c>
      <c r="H94" s="38" t="inlineStr">
        <is>
          <t>Organización general del cuerpo humano: morfología, planos de sección, regiones y cavidades; aparatos y sistemas y sus funciones; la piel: estructura, funciones y anexos.</t>
        </is>
      </c>
      <c r="I94" s="11" t="inlineStr">
        <is>
          <t>T8_27</t>
        </is>
      </c>
      <c r="J94" s="11" t="inlineStr">
        <is>
          <t>T8_27-B1.2</t>
        </is>
      </c>
      <c r="K94" s="11" t="inlineStr"/>
      <c r="L94" s="11" t="inlineStr">
        <is>
          <t>alta</t>
        </is>
      </c>
      <c r="M94" s="11">
        <f>IF(J94="FUERA","Fuera del marco",IFERROR(INDEX('Datos - Catálogo TIMSS'!$C$5:$C$107,MATCH(J94,'Datos - Catálogo TIMSS'!$A$5:$A$107,0)),"?"))</f>
        <v/>
      </c>
      <c r="N94" s="11" t="inlineStr">
        <is>
          <t>Organización del cuerpo humano en aparatos y sistemas con funciones.</t>
        </is>
      </c>
    </row>
    <row r="95">
      <c r="A95" s="11" t="inlineStr">
        <is>
          <t>UY-BIO-G8-03</t>
        </is>
      </c>
      <c r="B95" s="11" t="inlineStr">
        <is>
          <t>Uruguay</t>
        </is>
      </c>
      <c r="C95" s="11" t="inlineStr">
        <is>
          <t>UY_EBI_Biologia_Tramo5_7-8grado.pdf</t>
        </is>
      </c>
      <c r="D95" s="11" t="n">
        <v>18</v>
      </c>
      <c r="E95" s="11" t="inlineStr">
        <is>
          <t>8.°</t>
        </is>
      </c>
      <c r="F95" s="11" t="n">
        <v>8</v>
      </c>
      <c r="G95" s="11" t="inlineStr">
        <is>
          <t>Biología</t>
        </is>
      </c>
      <c r="H95" s="38" t="inlineStr">
        <is>
          <t>Receptores cutáneos. Piel y salud: cuidado de la piel y lesiones. Tatuajes y cultura. Profundización: los órganos de los sentidos.</t>
        </is>
      </c>
      <c r="I95" s="11" t="inlineStr">
        <is>
          <t>T8_27</t>
        </is>
      </c>
      <c r="J95" s="11" t="inlineStr">
        <is>
          <t>T8_27-B1.2</t>
        </is>
      </c>
      <c r="K95" s="11" t="inlineStr">
        <is>
          <t>T8_27-B6.2</t>
        </is>
      </c>
      <c r="L95" s="11" t="inlineStr">
        <is>
          <t>media</t>
        </is>
      </c>
      <c r="M95" s="11">
        <f>IF(J95="FUERA","Fuera del marco",IFERROR(INDEX('Datos - Catálogo TIMSS'!$C$5:$C$107,MATCH(J95,'Datos - Catálogo TIMSS'!$A$5:$A$107,0)),"?"))</f>
        <v/>
      </c>
      <c r="N95" s="11" t="inlineStr">
        <is>
          <t>Piel y órganos de los sentidos; cuidado y salud de la piel.</t>
        </is>
      </c>
    </row>
    <row r="96">
      <c r="A96" s="11" t="inlineStr">
        <is>
          <t>UY-BIO-G8-04</t>
        </is>
      </c>
      <c r="B96" s="11" t="inlineStr">
        <is>
          <t>Uruguay</t>
        </is>
      </c>
      <c r="C96" s="11" t="inlineStr">
        <is>
          <t>UY_EBI_Biologia_Tramo5_7-8grado.pdf</t>
        </is>
      </c>
      <c r="D96" s="11" t="n">
        <v>18</v>
      </c>
      <c r="E96" s="11" t="inlineStr">
        <is>
          <t>8.°</t>
        </is>
      </c>
      <c r="F96" s="11" t="n">
        <v>8</v>
      </c>
      <c r="G96" s="11" t="inlineStr">
        <is>
          <t>Biología</t>
        </is>
      </c>
      <c r="H96" s="38" t="inlineStr">
        <is>
          <t>Sistema nervioso: SNC, SNP, SNS y SNA; órganos y funciones; reflejo y arco reflejo; la neurona. Profundización: sueño y vigilia, impulso nervioso, drogas y sinapsis, eje hipotálamo-hipófisis.</t>
        </is>
      </c>
      <c r="I96" s="11" t="inlineStr">
        <is>
          <t>T8_27</t>
        </is>
      </c>
      <c r="J96" s="11" t="inlineStr">
        <is>
          <t>T8_27-B1.2</t>
        </is>
      </c>
      <c r="K96" s="11" t="inlineStr">
        <is>
          <t>T8_27-B1.3</t>
        </is>
      </c>
      <c r="L96" s="11" t="inlineStr">
        <is>
          <t>alta</t>
        </is>
      </c>
      <c r="M96" s="11">
        <f>IF(J96="FUERA","Fuera del marco",IFERROR(INDEX('Datos - Catálogo TIMSS'!$C$5:$C$107,MATCH(J96,'Datos - Catálogo TIMSS'!$A$5:$A$107,0)),"?"))</f>
        <v/>
      </c>
      <c r="N96" s="11" t="inlineStr">
        <is>
          <t>Sistema nervioso, órganos y funciones; reflejos como respuesta.</t>
        </is>
      </c>
    </row>
    <row r="97">
      <c r="A97" s="11" t="inlineStr">
        <is>
          <t>UY-BIO-G8-05</t>
        </is>
      </c>
      <c r="B97" s="11" t="inlineStr">
        <is>
          <t>Uruguay</t>
        </is>
      </c>
      <c r="C97" s="11" t="inlineStr">
        <is>
          <t>UY_EBI_Biologia_Tramo5_7-8grado.pdf</t>
        </is>
      </c>
      <c r="D97" s="11" t="n">
        <v>18</v>
      </c>
      <c r="E97" s="11" t="inlineStr">
        <is>
          <t>8.°</t>
        </is>
      </c>
      <c r="F97" s="11" t="n">
        <v>8</v>
      </c>
      <c r="G97" s="11" t="inlineStr">
        <is>
          <t>Biología</t>
        </is>
      </c>
      <c r="H97" s="38" t="inlineStr">
        <is>
          <t>Sistema endócrino: órganos, glándulas y hormonas; relación con el sistema nervioso; eje hipotálamo-hipofisario; casos (tiroides, enanismo, gigantismo, diabetes); salud del sistema neuroendocrino.</t>
        </is>
      </c>
      <c r="I97" s="11" t="inlineStr">
        <is>
          <t>T8_27</t>
        </is>
      </c>
      <c r="J97" s="11" t="inlineStr">
        <is>
          <t>T8_27-B1.3</t>
        </is>
      </c>
      <c r="K97" s="11" t="inlineStr">
        <is>
          <t>T8_27-B1.2</t>
        </is>
      </c>
      <c r="L97" s="11" t="inlineStr">
        <is>
          <t>media</t>
        </is>
      </c>
      <c r="M97" s="11">
        <f>IF(J97="FUERA","Fuera del marco",IFERROR(INDEX('Datos - Catálogo TIMSS'!$C$5:$C$107,MATCH(J97,'Datos - Catálogo TIMSS'!$A$5:$A$107,0)),"?"))</f>
        <v/>
      </c>
      <c r="N97" s="11" t="inlineStr">
        <is>
          <t>Regulación hormonal mantiene condiciones estables; glándulas endocrinas.</t>
        </is>
      </c>
    </row>
    <row r="98">
      <c r="A98" s="11" t="inlineStr">
        <is>
          <t>UY-BIO-G8-06</t>
        </is>
      </c>
      <c r="B98" s="11" t="inlineStr">
        <is>
          <t>Uruguay</t>
        </is>
      </c>
      <c r="C98" s="11" t="inlineStr">
        <is>
          <t>UY_EBI_Biologia_Tramo5_7-8grado.pdf</t>
        </is>
      </c>
      <c r="D98" s="11" t="n">
        <v>19</v>
      </c>
      <c r="E98" s="11" t="inlineStr">
        <is>
          <t>8.°</t>
        </is>
      </c>
      <c r="F98" s="11" t="n">
        <v>8</v>
      </c>
      <c r="G98" s="11" t="inlineStr">
        <is>
          <t>Biología</t>
        </is>
      </c>
      <c r="H98" s="38" t="inlineStr">
        <is>
          <t>Los alimentos como fuente de nutrientes; clasificación de alimentos; alimentación saludable. Profundización: sobrepeso y obesidad, bulimia y anorexia, enfermedad celíaca, intolerancia a la lactosa.</t>
        </is>
      </c>
      <c r="I98" s="11" t="inlineStr">
        <is>
          <t>T8_27</t>
        </is>
      </c>
      <c r="J98" s="11" t="inlineStr">
        <is>
          <t>T8_27-B6.2</t>
        </is>
      </c>
      <c r="K98" s="11" t="inlineStr"/>
      <c r="L98" s="11" t="inlineStr">
        <is>
          <t>alta</t>
        </is>
      </c>
      <c r="M98" s="11">
        <f>IF(J98="FUERA","Fuera del marco",IFERROR(INDEX('Datos - Catálogo TIMSS'!$C$5:$C$107,MATCH(J98,'Datos - Catálogo TIMSS'!$A$5:$A$107,0)),"?"))</f>
        <v/>
      </c>
      <c r="N98" s="11" t="inlineStr">
        <is>
          <t>Fuentes y funciones de nutrientes en una dieta sana.</t>
        </is>
      </c>
    </row>
    <row r="99">
      <c r="A99" s="11" t="inlineStr">
        <is>
          <t>UY-BIO-G8-07</t>
        </is>
      </c>
      <c r="B99" s="11" t="inlineStr">
        <is>
          <t>Uruguay</t>
        </is>
      </c>
      <c r="C99" s="11" t="inlineStr">
        <is>
          <t>UY_EBI_Biologia_Tramo5_7-8grado.pdf</t>
        </is>
      </c>
      <c r="D99" s="11" t="n">
        <v>19</v>
      </c>
      <c r="E99" s="11" t="inlineStr">
        <is>
          <t>8.°</t>
        </is>
      </c>
      <c r="F99" s="11" t="n">
        <v>8</v>
      </c>
      <c r="G99" s="11" t="inlineStr">
        <is>
          <t>Biología</t>
        </is>
      </c>
      <c r="H99" s="38" t="inlineStr">
        <is>
          <t>Sistema cardiovascular: circulación, corazón, vasos y sangre; factores de riesgo cardiovascular. Profundización: primeros auxilios, sistema linfático, grupos sanguíneos AB0, pulso y frecuencia cardíaca.</t>
        </is>
      </c>
      <c r="I99" s="11" t="inlineStr">
        <is>
          <t>T8_27</t>
        </is>
      </c>
      <c r="J99" s="11" t="inlineStr">
        <is>
          <t>T8_27-B1.2</t>
        </is>
      </c>
      <c r="K99" s="11" t="inlineStr">
        <is>
          <t>T8_27-B6.2</t>
        </is>
      </c>
      <c r="L99" s="11" t="inlineStr">
        <is>
          <t>alta</t>
        </is>
      </c>
      <c r="M99" s="11">
        <f>IF(J99="FUERA","Fuera del marco",IFERROR(INDEX('Datos - Catálogo TIMSS'!$C$5:$C$107,MATCH(J99,'Datos - Catálogo TIMSS'!$A$5:$A$107,0)),"?"))</f>
        <v/>
      </c>
      <c r="N99" s="11" t="inlineStr">
        <is>
          <t>Sistema cardiovascular y su función; factores de riesgo.</t>
        </is>
      </c>
    </row>
    <row r="100">
      <c r="A100" s="11" t="inlineStr">
        <is>
          <t>UY-BIO-G8-08</t>
        </is>
      </c>
      <c r="B100" s="11" t="inlineStr">
        <is>
          <t>Uruguay</t>
        </is>
      </c>
      <c r="C100" s="11" t="inlineStr">
        <is>
          <t>UY_EBI_Biologia_Tramo5_7-8grado.pdf</t>
        </is>
      </c>
      <c r="D100" s="11" t="n">
        <v>20</v>
      </c>
      <c r="E100" s="11" t="inlineStr">
        <is>
          <t>8.°</t>
        </is>
      </c>
      <c r="F100" s="11" t="n">
        <v>8</v>
      </c>
      <c r="G100" s="11" t="inlineStr">
        <is>
          <t>Biología</t>
        </is>
      </c>
      <c r="H100" s="38" t="inlineStr">
        <is>
          <t>Sistema digestivo: tubo digestivo y glándulas anexas. Digestión. Salud bucal.</t>
        </is>
      </c>
      <c r="I100" s="11" t="inlineStr">
        <is>
          <t>T8_27</t>
        </is>
      </c>
      <c r="J100" s="11" t="inlineStr">
        <is>
          <t>T8_27-B1.2</t>
        </is>
      </c>
      <c r="K100" s="11" t="inlineStr">
        <is>
          <t>T8_27-B6.2</t>
        </is>
      </c>
      <c r="L100" s="11" t="inlineStr">
        <is>
          <t>alta</t>
        </is>
      </c>
      <c r="M100" s="11">
        <f>IF(J100="FUERA","Fuera del marco",IFERROR(INDEX('Datos - Catálogo TIMSS'!$C$5:$C$107,MATCH(J100,'Datos - Catálogo TIMSS'!$A$5:$A$107,0)),"?"))</f>
        <v/>
      </c>
      <c r="N100" s="11" t="inlineStr">
        <is>
          <t>Sistema digestivo y digestión; salud bucal.</t>
        </is>
      </c>
    </row>
    <row r="101">
      <c r="A101" s="11" t="inlineStr">
        <is>
          <t>UY-BIO-G8-09</t>
        </is>
      </c>
      <c r="B101" s="11" t="inlineStr">
        <is>
          <t>Uruguay</t>
        </is>
      </c>
      <c r="C101" s="11" t="inlineStr">
        <is>
          <t>UY_EBI_Biologia_Tramo5_7-8grado.pdf</t>
        </is>
      </c>
      <c r="D101" s="11" t="n">
        <v>20</v>
      </c>
      <c r="E101" s="11" t="inlineStr">
        <is>
          <t>8.°</t>
        </is>
      </c>
      <c r="F101" s="11" t="n">
        <v>8</v>
      </c>
      <c r="G101" s="11" t="inlineStr">
        <is>
          <t>Biología</t>
        </is>
      </c>
      <c r="H101" s="38" t="inlineStr">
        <is>
          <t>Sistema respiratorio: vías respiratorias, órganos de intercambio.</t>
        </is>
      </c>
      <c r="I101" s="11" t="inlineStr">
        <is>
          <t>T8_27</t>
        </is>
      </c>
      <c r="J101" s="11" t="inlineStr">
        <is>
          <t>T8_27-B1.2</t>
        </is>
      </c>
      <c r="K101" s="11" t="inlineStr"/>
      <c r="L101" s="11" t="inlineStr">
        <is>
          <t>alta</t>
        </is>
      </c>
      <c r="M101" s="11">
        <f>IF(J101="FUERA","Fuera del marco",IFERROR(INDEX('Datos - Catálogo TIMSS'!$C$5:$C$107,MATCH(J101,'Datos - Catálogo TIMSS'!$A$5:$A$107,0)),"?"))</f>
        <v/>
      </c>
      <c r="N101" s="11" t="inlineStr">
        <is>
          <t>Órganos del sistema respiratorio e intercambio gaseoso.</t>
        </is>
      </c>
    </row>
    <row r="102">
      <c r="A102" s="11" t="inlineStr">
        <is>
          <t>UY-BIO-G8-10</t>
        </is>
      </c>
      <c r="B102" s="11" t="inlineStr">
        <is>
          <t>Uruguay</t>
        </is>
      </c>
      <c r="C102" s="11" t="inlineStr">
        <is>
          <t>UY_EBI_Biologia_Tramo5_7-8grado.pdf</t>
        </is>
      </c>
      <c r="D102" s="11" t="n">
        <v>20</v>
      </c>
      <c r="E102" s="11" t="inlineStr">
        <is>
          <t>8.°</t>
        </is>
      </c>
      <c r="F102" s="11" t="n">
        <v>8</v>
      </c>
      <c r="G102" s="11" t="inlineStr">
        <is>
          <t>Biología</t>
        </is>
      </c>
      <c r="H102" s="38" t="inlineStr">
        <is>
          <t>Sistema excretor: órganos, funciones, composición de la orina; salud e higiene urinaria y genital, hidratación. Profundización: trasplante de riñón, Banco Nacional de órganos y tejidos.</t>
        </is>
      </c>
      <c r="I102" s="11" t="inlineStr">
        <is>
          <t>T8_27</t>
        </is>
      </c>
      <c r="J102" s="11" t="inlineStr">
        <is>
          <t>T8_27-B1.2</t>
        </is>
      </c>
      <c r="K102" s="11" t="inlineStr">
        <is>
          <t>T8_27-B6.2</t>
        </is>
      </c>
      <c r="L102" s="11" t="inlineStr">
        <is>
          <t>alta</t>
        </is>
      </c>
      <c r="M102" s="11">
        <f>IF(J102="FUERA","Fuera del marco",IFERROR(INDEX('Datos - Catálogo TIMSS'!$C$5:$C$107,MATCH(J102,'Datos - Catálogo TIMSS'!$A$5:$A$107,0)),"?"))</f>
        <v/>
      </c>
      <c r="N102" s="11" t="inlineStr">
        <is>
          <t>Sistema excretor y su función; higiene e hidratación.</t>
        </is>
      </c>
    </row>
    <row r="103">
      <c r="A103" s="11" t="inlineStr">
        <is>
          <t>UY-BIO-G8-11</t>
        </is>
      </c>
      <c r="B103" s="11" t="inlineStr">
        <is>
          <t>Uruguay</t>
        </is>
      </c>
      <c r="C103" s="11" t="inlineStr">
        <is>
          <t>UY_EBI_Biologia_Tramo5_7-8grado.pdf</t>
        </is>
      </c>
      <c r="D103" s="11" t="n">
        <v>21</v>
      </c>
      <c r="E103" s="11" t="inlineStr">
        <is>
          <t>8.°</t>
        </is>
      </c>
      <c r="F103" s="11" t="n">
        <v>8</v>
      </c>
      <c r="G103" s="11" t="inlineStr">
        <is>
          <t>Biología</t>
        </is>
      </c>
      <c r="H103" s="38" t="inlineStr">
        <is>
          <t>Sistema locomotor. Profundización: deporte y recreación.</t>
        </is>
      </c>
      <c r="I103" s="11" t="inlineStr">
        <is>
          <t>T8_27</t>
        </is>
      </c>
      <c r="J103" s="11" t="inlineStr">
        <is>
          <t>T8_27-B1.2</t>
        </is>
      </c>
      <c r="K103" s="11" t="inlineStr">
        <is>
          <t>T8_27-B6.2</t>
        </is>
      </c>
      <c r="L103" s="11" t="inlineStr">
        <is>
          <t>media</t>
        </is>
      </c>
      <c r="M103" s="11">
        <f>IF(J103="FUERA","Fuera del marco",IFERROR(INDEX('Datos - Catálogo TIMSS'!$C$5:$C$107,MATCH(J103,'Datos - Catálogo TIMSS'!$A$5:$A$107,0)),"?"))</f>
        <v/>
      </c>
      <c r="N103" s="11" t="inlineStr">
        <is>
          <t>Sistema locomotor; ejercicio y salud.</t>
        </is>
      </c>
    </row>
    <row r="104">
      <c r="A104" s="11" t="inlineStr">
        <is>
          <t>UY-BIO-G8-12</t>
        </is>
      </c>
      <c r="B104" s="11" t="inlineStr">
        <is>
          <t>Uruguay</t>
        </is>
      </c>
      <c r="C104" s="11" t="inlineStr">
        <is>
          <t>UY_EBI_Biologia_Tramo5_7-8grado.pdf</t>
        </is>
      </c>
      <c r="D104" s="11" t="n">
        <v>21</v>
      </c>
      <c r="E104" s="11" t="inlineStr">
        <is>
          <t>8.°</t>
        </is>
      </c>
      <c r="F104" s="11" t="n">
        <v>8</v>
      </c>
      <c r="G104" s="11" t="inlineStr">
        <is>
          <t>Biología</t>
        </is>
      </c>
      <c r="H104" s="38" t="inlineStr">
        <is>
          <t>Sistema óseo: esqueleto axial y apendicular, estructura, clasificación y funciones del hueso. Profundización: higiene postural; lesiones óseas, musculares y articulares.</t>
        </is>
      </c>
      <c r="I104" s="11" t="inlineStr">
        <is>
          <t>T8_27</t>
        </is>
      </c>
      <c r="J104" s="11" t="inlineStr">
        <is>
          <t>T8_27-B1.2</t>
        </is>
      </c>
      <c r="K104" s="11" t="inlineStr"/>
      <c r="L104" s="11" t="inlineStr">
        <is>
          <t>alta</t>
        </is>
      </c>
      <c r="M104" s="11">
        <f>IF(J104="FUERA","Fuera del marco",IFERROR(INDEX('Datos - Catálogo TIMSS'!$C$5:$C$107,MATCH(J104,'Datos - Catálogo TIMSS'!$A$5:$A$107,0)),"?"))</f>
        <v/>
      </c>
      <c r="N104" s="11" t="inlineStr">
        <is>
          <t>Sistema óseo, estructura y funciones del hueso.</t>
        </is>
      </c>
    </row>
    <row r="105">
      <c r="A105" s="11" t="inlineStr">
        <is>
          <t>UY-BIO-G8-13</t>
        </is>
      </c>
      <c r="B105" s="11" t="inlineStr">
        <is>
          <t>Uruguay</t>
        </is>
      </c>
      <c r="C105" s="11" t="inlineStr">
        <is>
          <t>UY_EBI_Biologia_Tramo5_7-8grado.pdf</t>
        </is>
      </c>
      <c r="D105" s="11" t="n">
        <v>21</v>
      </c>
      <c r="E105" s="11" t="inlineStr">
        <is>
          <t>8.°</t>
        </is>
      </c>
      <c r="F105" s="11" t="n">
        <v>8</v>
      </c>
      <c r="G105" s="11" t="inlineStr">
        <is>
          <t>Biología</t>
        </is>
      </c>
      <c r="H105" s="38" t="inlineStr">
        <is>
          <t>Sistema muscular. Estructura y función.</t>
        </is>
      </c>
      <c r="I105" s="11" t="inlineStr">
        <is>
          <t>T8_27</t>
        </is>
      </c>
      <c r="J105" s="11" t="inlineStr">
        <is>
          <t>T8_27-B1.2</t>
        </is>
      </c>
      <c r="K105" s="11" t="inlineStr"/>
      <c r="L105" s="11" t="inlineStr">
        <is>
          <t>alta</t>
        </is>
      </c>
      <c r="M105" s="11">
        <f>IF(J105="FUERA","Fuera del marco",IFERROR(INDEX('Datos - Catálogo TIMSS'!$C$5:$C$107,MATCH(J105,'Datos - Catálogo TIMSS'!$A$5:$A$107,0)),"?"))</f>
        <v/>
      </c>
      <c r="N105" s="11" t="inlineStr">
        <is>
          <t>Estructura y función del sistema muscular.</t>
        </is>
      </c>
    </row>
    <row r="106">
      <c r="A106" s="11" t="inlineStr">
        <is>
          <t>UY-BIO-G8-14</t>
        </is>
      </c>
      <c r="B106" s="11" t="inlineStr">
        <is>
          <t>Uruguay</t>
        </is>
      </c>
      <c r="C106" s="11" t="inlineStr">
        <is>
          <t>UY_EBI_Biologia_Tramo5_7-8grado.pdf</t>
        </is>
      </c>
      <c r="D106" s="11" t="n">
        <v>21</v>
      </c>
      <c r="E106" s="11" t="inlineStr">
        <is>
          <t>8.°</t>
        </is>
      </c>
      <c r="F106" s="11" t="n">
        <v>8</v>
      </c>
      <c r="G106" s="11" t="inlineStr">
        <is>
          <t>Biología</t>
        </is>
      </c>
      <c r="H106" s="38" t="inlineStr">
        <is>
          <t>Sistema articular. Definición y clasificación. Ejemplos. Componentes de la articulación.</t>
        </is>
      </c>
      <c r="I106" s="11" t="inlineStr">
        <is>
          <t>T8_27</t>
        </is>
      </c>
      <c r="J106" s="11" t="inlineStr">
        <is>
          <t>T8_27-B1.2</t>
        </is>
      </c>
      <c r="K106" s="11" t="inlineStr"/>
      <c r="L106" s="11" t="inlineStr">
        <is>
          <t>media</t>
        </is>
      </c>
      <c r="M106" s="11">
        <f>IF(J106="FUERA","Fuera del marco",IFERROR(INDEX('Datos - Catálogo TIMSS'!$C$5:$C$107,MATCH(J106,'Datos - Catálogo TIMSS'!$A$5:$A$107,0)),"?"))</f>
        <v/>
      </c>
      <c r="N106" s="11" t="inlineStr">
        <is>
          <t>Articulaciones como parte del sistema locomotor.</t>
        </is>
      </c>
    </row>
    <row r="107">
      <c r="A107" s="11" t="inlineStr">
        <is>
          <t>UY-FQ-G8-01</t>
        </is>
      </c>
      <c r="B107" s="11" t="inlineStr">
        <is>
          <t>Uruguay</t>
        </is>
      </c>
      <c r="C107" s="11" t="inlineStr">
        <is>
          <t>UY_EBI_FisicoQuimicas_Tramo5_8grado.pdf</t>
        </is>
      </c>
      <c r="D107" s="11" t="n">
        <v>12</v>
      </c>
      <c r="E107" s="11" t="inlineStr">
        <is>
          <t>8.°</t>
        </is>
      </c>
      <c r="F107" s="11" t="n">
        <v>8</v>
      </c>
      <c r="G107" s="11" t="inlineStr">
        <is>
          <t>Física-Química</t>
        </is>
      </c>
      <c r="H107" s="38" t="inlineStr">
        <is>
          <t>Sistemas materiales: propiedades y relaciones con el entorno. Clasificación de sistemas. Propiedades físicas y químicas de los materiales. Cambios físico-químicos.</t>
        </is>
      </c>
      <c r="I107" s="11" t="inlineStr">
        <is>
          <t>T8_27</t>
        </is>
      </c>
      <c r="J107" s="11" t="inlineStr">
        <is>
          <t>T8_27-C2.1</t>
        </is>
      </c>
      <c r="K107" s="11" t="inlineStr">
        <is>
          <t>T8_27-C1.2</t>
        </is>
      </c>
      <c r="L107" s="11" t="inlineStr">
        <is>
          <t>alta</t>
        </is>
      </c>
      <c r="M107" s="11">
        <f>IF(J107="FUERA","Fuera del marco",IFERROR(INDEX('Datos - Catálogo TIMSS'!$C$5:$C$107,MATCH(J107,'Datos - Catálogo TIMSS'!$A$5:$A$107,0)),"?"))</f>
        <v/>
      </c>
      <c r="N107" s="11" t="inlineStr">
        <is>
          <t>Propiedades físicas y químicas; clasificación de sistemas materiales.</t>
        </is>
      </c>
    </row>
    <row r="108">
      <c r="A108" s="11" t="inlineStr">
        <is>
          <t>UY-FQ-G8-02</t>
        </is>
      </c>
      <c r="B108" s="11" t="inlineStr">
        <is>
          <t>Uruguay</t>
        </is>
      </c>
      <c r="C108" s="11" t="inlineStr">
        <is>
          <t>UY_EBI_FisicoQuimicas_Tramo5_8grado.pdf</t>
        </is>
      </c>
      <c r="D108" s="11" t="n">
        <v>12</v>
      </c>
      <c r="E108" s="11" t="inlineStr">
        <is>
          <t>8.°</t>
        </is>
      </c>
      <c r="F108" s="11" t="n">
        <v>8</v>
      </c>
      <c r="G108" s="11" t="inlineStr">
        <is>
          <t>Física-Química</t>
        </is>
      </c>
      <c r="H108" s="38" t="inlineStr">
        <is>
          <t>Modelos de las ciencias físico-químicas y metodología científica: visión científica del mundo, formulación de hipótesis, variables dependientes e independientes, experimentación.</t>
        </is>
      </c>
      <c r="I108" s="11" t="inlineStr">
        <is>
          <t>T8_27</t>
        </is>
      </c>
      <c r="J108" s="11" t="inlineStr">
        <is>
          <t>T8_27-C4.1</t>
        </is>
      </c>
      <c r="K108" s="11" t="inlineStr">
        <is>
          <t>T8_27-P6.1</t>
        </is>
      </c>
      <c r="L108" s="11" t="inlineStr">
        <is>
          <t>media</t>
        </is>
      </c>
      <c r="M108" s="11">
        <f>IF(J108="FUERA","Fuera del marco",IFERROR(INDEX('Datos - Catálogo TIMSS'!$C$5:$C$107,MATCH(J108,'Datos - Catálogo TIMSS'!$A$5:$A$107,0)),"?"))</f>
        <v/>
      </c>
      <c r="N108" s="11" t="inlineStr">
        <is>
          <t>Hipótesis y variables en experimentación físico-química.</t>
        </is>
      </c>
    </row>
    <row r="109">
      <c r="A109" s="11" t="inlineStr">
        <is>
          <t>UY-FQ-G8-03</t>
        </is>
      </c>
      <c r="B109" s="11" t="inlineStr">
        <is>
          <t>Uruguay</t>
        </is>
      </c>
      <c r="C109" s="11" t="inlineStr">
        <is>
          <t>UY_EBI_FisicoQuimicas_Tramo5_8grado.pdf</t>
        </is>
      </c>
      <c r="D109" s="11" t="n">
        <v>12</v>
      </c>
      <c r="E109" s="11" t="inlineStr">
        <is>
          <t>8.°</t>
        </is>
      </c>
      <c r="F109" s="11" t="n">
        <v>8</v>
      </c>
      <c r="G109" s="11" t="inlineStr">
        <is>
          <t>Física-Química</t>
        </is>
      </c>
      <c r="H109" s="38" t="inlineStr">
        <is>
          <t>Transformación de sistemas materiales y energía: trabajo mecánico, calor, temperatura, procesos físicos y químicos de los materiales, transformaciones de energía (química, eléctrica, térmica y otras).</t>
        </is>
      </c>
      <c r="I109" s="11" t="inlineStr">
        <is>
          <t>T8_27</t>
        </is>
      </c>
      <c r="J109" s="11" t="inlineStr">
        <is>
          <t>T8_27-P2.1</t>
        </is>
      </c>
      <c r="K109" s="11" t="inlineStr">
        <is>
          <t>T8_27-P2.2</t>
        </is>
      </c>
      <c r="L109" s="11" t="inlineStr">
        <is>
          <t>media</t>
        </is>
      </c>
      <c r="M109" s="11">
        <f>IF(J109="FUERA","Fuera del marco",IFERROR(INDEX('Datos - Catálogo TIMSS'!$C$5:$C$107,MATCH(J109,'Datos - Catálogo TIMSS'!$A$5:$A$107,0)),"?"))</f>
        <v/>
      </c>
      <c r="N109" s="11" t="inlineStr">
        <is>
          <t>Transformaciones de energía; calor, trabajo y temperatura.</t>
        </is>
      </c>
    </row>
    <row r="110">
      <c r="A110" s="11" t="inlineStr">
        <is>
          <t>UY-FQ-G8-04</t>
        </is>
      </c>
      <c r="B110" s="11" t="inlineStr">
        <is>
          <t>Uruguay</t>
        </is>
      </c>
      <c r="C110" s="11" t="inlineStr">
        <is>
          <t>UY_EBI_FisicoQuimicas_Tramo5_8grado.pdf</t>
        </is>
      </c>
      <c r="D110" s="11" t="n">
        <v>13</v>
      </c>
      <c r="E110" s="11" t="inlineStr">
        <is>
          <t>8.°</t>
        </is>
      </c>
      <c r="F110" s="11" t="n">
        <v>8</v>
      </c>
      <c r="G110" s="11" t="inlineStr">
        <is>
          <t>Transversal</t>
        </is>
      </c>
      <c r="H110" s="38" t="inlineStr">
        <is>
          <t>Normas de trabajo seguro. Técnicas de lucha preventiva. Proceso de medición: magnitudes físicas, instrumentos y unidades de medida; expresión de mediciones con su incertidumbre.</t>
        </is>
      </c>
      <c r="I110" s="11" t="inlineStr">
        <is>
          <t>T8_27</t>
        </is>
      </c>
      <c r="J110" s="11" t="inlineStr">
        <is>
          <t>T8_27-P6.1</t>
        </is>
      </c>
      <c r="K110" s="11" t="inlineStr">
        <is>
          <t>T8_27-C4.1</t>
        </is>
      </c>
      <c r="L110" s="11" t="inlineStr">
        <is>
          <t>media</t>
        </is>
      </c>
      <c r="M110" s="11">
        <f>IF(J110="FUERA","Fuera del marco",IFERROR(INDEX('Datos - Catálogo TIMSS'!$C$5:$C$107,MATCH(J110,'Datos - Catálogo TIMSS'!$A$5:$A$107,0)),"?"))</f>
        <v/>
      </c>
      <c r="N110" s="11" t="inlineStr">
        <is>
          <t>Uso seguro de equipo y medición con incertidumbre.</t>
        </is>
      </c>
    </row>
    <row r="111">
      <c r="A111" s="11" t="inlineStr">
        <is>
          <t>UY-GEO-G8-01</t>
        </is>
      </c>
      <c r="B111" s="11" t="inlineStr">
        <is>
          <t>Uruguay</t>
        </is>
      </c>
      <c r="C111" s="11" t="inlineStr">
        <is>
          <t>UY_EBI_GeografiaAmbiental_Tramo5_8grado.pdf</t>
        </is>
      </c>
      <c r="D111" s="11" t="n">
        <v>16</v>
      </c>
      <c r="E111" s="11" t="inlineStr">
        <is>
          <t>8.°</t>
        </is>
      </c>
      <c r="F111" s="11" t="n">
        <v>8</v>
      </c>
      <c r="G111" s="11" t="inlineStr">
        <is>
          <t>Geografía ambiental</t>
        </is>
      </c>
      <c r="H111" s="38" t="inlineStr">
        <is>
          <t>Territorios rurales (América-Uruguay): características y cartografía/SIG, usos del suelo rural, bienes naturales, agroindustria y agricultura familiar, agroecología y sustentabilidad, seguridad alimentaria, patrimonio natural, SNAP.</t>
        </is>
      </c>
      <c r="I111" s="11" t="inlineStr">
        <is>
          <t>T8_27</t>
        </is>
      </c>
      <c r="J111" s="11" t="inlineStr">
        <is>
          <t>T8_27-B5.1</t>
        </is>
      </c>
      <c r="K111" s="11" t="inlineStr">
        <is>
          <t>T8_27-E3.2</t>
        </is>
      </c>
      <c r="L111" s="11" t="inlineStr">
        <is>
          <t>baja</t>
        </is>
      </c>
      <c r="M111" s="11">
        <f>IF(J111="FUERA","Fuera del marco",IFERROR(INDEX('Datos - Catálogo TIMSS'!$C$5:$C$107,MATCH(J111,'Datos - Catálogo TIMSS'!$A$5:$A$107,0)),"?"))</f>
        <v/>
      </c>
      <c r="N111" s="11" t="inlineStr">
        <is>
          <t>Territorios rurales y uso de recursos; predomina geografía humana.</t>
        </is>
      </c>
    </row>
    <row r="112">
      <c r="A112" s="11" t="inlineStr">
        <is>
          <t>UY-GEO-G8-02</t>
        </is>
      </c>
      <c r="B112" s="11" t="inlineStr">
        <is>
          <t>Uruguay</t>
        </is>
      </c>
      <c r="C112" s="11" t="inlineStr">
        <is>
          <t>UY_EBI_GeografiaAmbiental_Tramo5_8grado.pdf</t>
        </is>
      </c>
      <c r="D112" s="11" t="n">
        <v>16</v>
      </c>
      <c r="E112" s="11" t="inlineStr">
        <is>
          <t>8.°</t>
        </is>
      </c>
      <c r="F112" s="11" t="n">
        <v>8</v>
      </c>
      <c r="G112" s="11" t="inlineStr">
        <is>
          <t>Geografía ambiental</t>
        </is>
      </c>
      <c r="H112" s="38" t="inlineStr">
        <is>
          <t>Territorios urbanos (América-Uruguay): características y SIG, megaciudades y metrópolis, usos del suelo urbano, ordenamiento territorial, segregación, ciudades globales, inteligentes y sustentables, patrimonio cultural, desafíos urbanos.</t>
        </is>
      </c>
      <c r="I112" s="11" t="inlineStr">
        <is>
          <t>T8_27</t>
        </is>
      </c>
      <c r="J112" s="11" t="inlineStr">
        <is>
          <t>T8_27-B5.1</t>
        </is>
      </c>
      <c r="K112" s="11" t="inlineStr"/>
      <c r="L112" s="11" t="inlineStr">
        <is>
          <t>baja</t>
        </is>
      </c>
      <c r="M112" s="11">
        <f>IF(J112="FUERA","Fuera del marco",IFERROR(INDEX('Datos - Catálogo TIMSS'!$C$5:$C$107,MATCH(J112,'Datos - Catálogo TIMSS'!$A$5:$A$107,0)),"?"))</f>
        <v/>
      </c>
      <c r="N112" s="11" t="inlineStr">
        <is>
          <t>Ecosistemas urbanos; predomina geografía humana y ordenamiento.</t>
        </is>
      </c>
    </row>
    <row r="113">
      <c r="A113" s="11" t="inlineStr">
        <is>
          <t>UY-GEO-G8-03</t>
        </is>
      </c>
      <c r="B113" s="11" t="inlineStr">
        <is>
          <t>Uruguay</t>
        </is>
      </c>
      <c r="C113" s="11" t="inlineStr">
        <is>
          <t>UY_EBI_GeografiaAmbiental_Tramo5_8grado.pdf</t>
        </is>
      </c>
      <c r="D113" s="11" t="n">
        <v>17</v>
      </c>
      <c r="E113" s="11" t="inlineStr">
        <is>
          <t>8.°</t>
        </is>
      </c>
      <c r="F113" s="11" t="n">
        <v>8</v>
      </c>
      <c r="G113" s="11" t="inlineStr">
        <is>
          <t>Geografía ambiental</t>
        </is>
      </c>
      <c r="H113" s="38" t="inlineStr">
        <is>
          <t>Territorios litorales (América-Uruguay): ambientes costeros y su cartografía/SIG, usos del litoral, turismo, dinámica portuaria, pesca artesanal e industrial, zonas francas.</t>
        </is>
      </c>
      <c r="I113" s="11" t="inlineStr">
        <is>
          <t>T8_27</t>
        </is>
      </c>
      <c r="J113" s="11" t="inlineStr">
        <is>
          <t>FUERA</t>
        </is>
      </c>
      <c r="K113" s="11" t="inlineStr"/>
      <c r="L113" s="11" t="inlineStr">
        <is>
          <t>media</t>
        </is>
      </c>
      <c r="M113" s="11">
        <f>IF(J113="FUERA","Fuera del marco",IFERROR(INDEX('Datos - Catálogo TIMSS'!$C$5:$C$107,MATCH(J113,'Datos - Catálogo TIMSS'!$A$5:$A$107,0)),"?"))</f>
        <v/>
      </c>
      <c r="N113" s="11" t="inlineStr">
        <is>
          <t>Geografía humana del litoral sin contenido del catálogo.</t>
        </is>
      </c>
    </row>
    <row r="114">
      <c r="A114" s="11" t="inlineStr">
        <is>
          <t>UY-BIO-G9-01</t>
        </is>
      </c>
      <c r="B114" s="11" t="inlineStr">
        <is>
          <t>Uruguay</t>
        </is>
      </c>
      <c r="C114" s="11" t="inlineStr">
        <is>
          <t>UY_EBI_Biologia_Tramo6_9grado.pdf</t>
        </is>
      </c>
      <c r="D114" s="11" t="n">
        <v>14</v>
      </c>
      <c r="E114" s="11" t="inlineStr">
        <is>
          <t>9.°</t>
        </is>
      </c>
      <c r="F114" s="11" t="n">
        <v>9</v>
      </c>
      <c r="G114" s="11" t="inlineStr">
        <is>
          <t>Biología</t>
        </is>
      </c>
      <c r="H114" s="38" t="inlineStr">
        <is>
          <t>Dimensiones del ser humano; concepto de salud (OMS) y su evolución; niveles de atención; estilos de vida; indicadores y factores de salud; salud mental (depresión, estrés, resiliencia).</t>
        </is>
      </c>
      <c r="I114" s="11" t="inlineStr">
        <is>
          <t>T8_27</t>
        </is>
      </c>
      <c r="J114" s="11" t="inlineStr">
        <is>
          <t>T8_27-B6.2</t>
        </is>
      </c>
      <c r="K114" s="11" t="inlineStr"/>
      <c r="L114" s="11" t="inlineStr">
        <is>
          <t>media</t>
        </is>
      </c>
      <c r="M114" s="11">
        <f>IF(J114="FUERA","Fuera del marco",IFERROR(INDEX('Datos - Catálogo TIMSS'!$C$5:$C$107,MATCH(J114,'Datos - Catálogo TIMSS'!$A$5:$A$107,0)),"?"))</f>
        <v/>
      </c>
      <c r="N114" s="11" t="inlineStr">
        <is>
          <t>Concepto de salud y estilos de vida saludables.</t>
        </is>
      </c>
    </row>
    <row r="115">
      <c r="A115" s="11" t="inlineStr">
        <is>
          <t>UY-BIO-G9-02</t>
        </is>
      </c>
      <c r="B115" s="11" t="inlineStr">
        <is>
          <t>Uruguay</t>
        </is>
      </c>
      <c r="C115" s="11" t="inlineStr">
        <is>
          <t>UY_EBI_Biologia_Tramo6_9grado.pdf</t>
        </is>
      </c>
      <c r="D115" s="11" t="n">
        <v>14</v>
      </c>
      <c r="E115" s="11" t="inlineStr">
        <is>
          <t>9.°</t>
        </is>
      </c>
      <c r="F115" s="11" t="n">
        <v>9</v>
      </c>
      <c r="G115" s="11" t="inlineStr">
        <is>
          <t>Biología</t>
        </is>
      </c>
      <c r="H115" s="38" t="inlineStr">
        <is>
          <t>El ambiente como posible agresor: noxas.</t>
        </is>
      </c>
      <c r="I115" s="11" t="inlineStr">
        <is>
          <t>T8_27</t>
        </is>
      </c>
      <c r="J115" s="11" t="inlineStr">
        <is>
          <t>T8_27-B6.1</t>
        </is>
      </c>
      <c r="K115" s="11" t="inlineStr">
        <is>
          <t>T8_27-B5.6</t>
        </is>
      </c>
      <c r="L115" s="11" t="inlineStr">
        <is>
          <t>baja</t>
        </is>
      </c>
      <c r="M115" s="11">
        <f>IF(J115="FUERA","Fuera del marco",IFERROR(INDEX('Datos - Catálogo TIMSS'!$C$5:$C$107,MATCH(J115,'Datos - Catálogo TIMSS'!$A$5:$A$107,0)),"?"))</f>
        <v/>
      </c>
      <c r="N115" s="11" t="inlineStr">
        <is>
          <t>Agentes ambientales causantes de enfermedad.</t>
        </is>
      </c>
    </row>
    <row r="116">
      <c r="A116" s="11" t="inlineStr">
        <is>
          <t>UY-BIO-G9-03</t>
        </is>
      </c>
      <c r="B116" s="11" t="inlineStr">
        <is>
          <t>Uruguay</t>
        </is>
      </c>
      <c r="C116" s="11" t="inlineStr">
        <is>
          <t>UY_EBI_Biologia_Tramo6_9grado.pdf</t>
        </is>
      </c>
      <c r="D116" s="11" t="n">
        <v>14</v>
      </c>
      <c r="E116" s="11" t="inlineStr">
        <is>
          <t>9.°</t>
        </is>
      </c>
      <c r="F116" s="11" t="n">
        <v>9</v>
      </c>
      <c r="G116" s="11" t="inlineStr">
        <is>
          <t>Biología</t>
        </is>
      </c>
      <c r="H116" s="38" t="inlineStr">
        <is>
          <t>Enfermedades y noxas.</t>
        </is>
      </c>
      <c r="I116" s="11" t="inlineStr">
        <is>
          <t>T8_27</t>
        </is>
      </c>
      <c r="J116" s="11" t="inlineStr">
        <is>
          <t>T8_27-B6.1</t>
        </is>
      </c>
      <c r="K116" s="11" t="inlineStr"/>
      <c r="L116" s="11" t="inlineStr">
        <is>
          <t>media</t>
        </is>
      </c>
      <c r="M116" s="11">
        <f>IF(J116="FUERA","Fuera del marco",IFERROR(INDEX('Datos - Catálogo TIMSS'!$C$5:$C$107,MATCH(J116,'Datos - Catálogo TIMSS'!$A$5:$A$107,0)),"?"))</f>
        <v/>
      </c>
      <c r="N116" s="11" t="inlineStr">
        <is>
          <t>Causas de enfermedades por agentes nocivos.</t>
        </is>
      </c>
    </row>
    <row r="117">
      <c r="A117" s="11" t="inlineStr">
        <is>
          <t>UY-BIO-G9-04</t>
        </is>
      </c>
      <c r="B117" s="11" t="inlineStr">
        <is>
          <t>Uruguay</t>
        </is>
      </c>
      <c r="C117" s="11" t="inlineStr">
        <is>
          <t>UY_EBI_Biologia_Tramo6_9grado.pdf</t>
        </is>
      </c>
      <c r="D117" s="11" t="n">
        <v>14</v>
      </c>
      <c r="E117" s="11" t="inlineStr">
        <is>
          <t>9.°</t>
        </is>
      </c>
      <c r="F117" s="11" t="n">
        <v>9</v>
      </c>
      <c r="G117" s="11" t="inlineStr">
        <is>
          <t>Biología</t>
        </is>
      </c>
      <c r="H117" s="38" t="inlineStr">
        <is>
          <t>Un sistema defensivo: el sistema inmunitario.</t>
        </is>
      </c>
      <c r="I117" s="11" t="inlineStr">
        <is>
          <t>T8_27</t>
        </is>
      </c>
      <c r="J117" s="11" t="inlineStr">
        <is>
          <t>T8_27-B6.1</t>
        </is>
      </c>
      <c r="K117" s="11" t="inlineStr"/>
      <c r="L117" s="11" t="inlineStr">
        <is>
          <t>alta</t>
        </is>
      </c>
      <c r="M117" s="11">
        <f>IF(J117="FUERA","Fuera del marco",IFERROR(INDEX('Datos - Catálogo TIMSS'!$C$5:$C$107,MATCH(J117,'Datos - Catálogo TIMSS'!$A$5:$A$107,0)),"?"))</f>
        <v/>
      </c>
      <c r="N117" s="11" t="inlineStr">
        <is>
          <t>Papel del sistema inmunitario.</t>
        </is>
      </c>
    </row>
    <row r="118">
      <c r="A118" s="11" t="inlineStr">
        <is>
          <t>UY-BIO-G9-05</t>
        </is>
      </c>
      <c r="B118" s="11" t="inlineStr">
        <is>
          <t>Uruguay</t>
        </is>
      </c>
      <c r="C118" s="11" t="inlineStr">
        <is>
          <t>UY_EBI_Biologia_Tramo6_9grado.pdf</t>
        </is>
      </c>
      <c r="D118" s="11" t="n">
        <v>14</v>
      </c>
      <c r="E118" s="11" t="inlineStr">
        <is>
          <t>9.°</t>
        </is>
      </c>
      <c r="F118" s="11" t="n">
        <v>9</v>
      </c>
      <c r="G118" s="11" t="inlineStr">
        <is>
          <t>Biología</t>
        </is>
      </c>
      <c r="H118" s="38" t="inlineStr">
        <is>
          <t>Defensas inespecíficas: barreras primarias y secundarias.</t>
        </is>
      </c>
      <c r="I118" s="11" t="inlineStr">
        <is>
          <t>T8_27</t>
        </is>
      </c>
      <c r="J118" s="11" t="inlineStr">
        <is>
          <t>T8_27-B6.1</t>
        </is>
      </c>
      <c r="K118" s="11" t="inlineStr"/>
      <c r="L118" s="11" t="inlineStr">
        <is>
          <t>alta</t>
        </is>
      </c>
      <c r="M118" s="11">
        <f>IF(J118="FUERA","Fuera del marco",IFERROR(INDEX('Datos - Catálogo TIMSS'!$C$5:$C$107,MATCH(J118,'Datos - Catálogo TIMSS'!$A$5:$A$107,0)),"?"))</f>
        <v/>
      </c>
      <c r="N118" s="11" t="inlineStr">
        <is>
          <t>Defensas inespecíficas del sistema inmunitario.</t>
        </is>
      </c>
    </row>
    <row r="119">
      <c r="A119" s="11" t="inlineStr">
        <is>
          <t>UY-BIO-G9-06</t>
        </is>
      </c>
      <c r="B119" s="11" t="inlineStr">
        <is>
          <t>Uruguay</t>
        </is>
      </c>
      <c r="C119" s="11" t="inlineStr">
        <is>
          <t>UY_EBI_Biologia_Tramo6_9grado.pdf</t>
        </is>
      </c>
      <c r="D119" s="11" t="n">
        <v>14</v>
      </c>
      <c r="E119" s="11" t="inlineStr">
        <is>
          <t>9.°</t>
        </is>
      </c>
      <c r="F119" s="11" t="n">
        <v>9</v>
      </c>
      <c r="G119" s="11" t="inlineStr">
        <is>
          <t>Biología</t>
        </is>
      </c>
      <c r="H119" s="38" t="inlineStr">
        <is>
          <t>Defensas específicas: inmunidad activa y pasiva. Vacunas y sueros.</t>
        </is>
      </c>
      <c r="I119" s="11" t="inlineStr">
        <is>
          <t>T8_27</t>
        </is>
      </c>
      <c r="J119" s="11" t="inlineStr">
        <is>
          <t>T8_27-B6.1</t>
        </is>
      </c>
      <c r="K119" s="11" t="inlineStr"/>
      <c r="L119" s="11" t="inlineStr">
        <is>
          <t>alta</t>
        </is>
      </c>
      <c r="M119" s="11">
        <f>IF(J119="FUERA","Fuera del marco",IFERROR(INDEX('Datos - Catálogo TIMSS'!$C$5:$C$107,MATCH(J119,'Datos - Catálogo TIMSS'!$A$5:$A$107,0)),"?"))</f>
        <v/>
      </c>
      <c r="N119" s="11" t="inlineStr">
        <is>
          <t>Inmunidad activa y pasiva; acción de vacunas y sueros.</t>
        </is>
      </c>
    </row>
    <row r="120">
      <c r="A120" s="11" t="inlineStr">
        <is>
          <t>UY-BIO-G9-07</t>
        </is>
      </c>
      <c r="B120" s="11" t="inlineStr">
        <is>
          <t>Uruguay</t>
        </is>
      </c>
      <c r="C120" s="11" t="inlineStr">
        <is>
          <t>UY_EBI_Biologia_Tramo6_9grado.pdf</t>
        </is>
      </c>
      <c r="D120" s="11" t="n">
        <v>14</v>
      </c>
      <c r="E120" s="11" t="inlineStr">
        <is>
          <t>9.°</t>
        </is>
      </c>
      <c r="F120" s="11" t="n">
        <v>9</v>
      </c>
      <c r="G120" s="11" t="inlineStr">
        <is>
          <t>Biología</t>
        </is>
      </c>
      <c r="H120" s="38" t="inlineStr">
        <is>
          <t>El trasplante de órganos.</t>
        </is>
      </c>
      <c r="I120" s="11" t="inlineStr">
        <is>
          <t>T8_27</t>
        </is>
      </c>
      <c r="J120" s="11" t="inlineStr">
        <is>
          <t>T8_27-B1.2</t>
        </is>
      </c>
      <c r="K120" s="11" t="inlineStr">
        <is>
          <t>T8_27-B6.1</t>
        </is>
      </c>
      <c r="L120" s="11" t="inlineStr">
        <is>
          <t>baja</t>
        </is>
      </c>
      <c r="M120" s="11">
        <f>IF(J120="FUERA","Fuera del marco",IFERROR(INDEX('Datos - Catálogo TIMSS'!$C$5:$C$107,MATCH(J120,'Datos - Catálogo TIMSS'!$A$5:$A$107,0)),"?"))</f>
        <v/>
      </c>
      <c r="N120" s="11" t="inlineStr">
        <is>
          <t>Trasplante ligado a órganos y respuesta inmunitaria; enfoque médico.</t>
        </is>
      </c>
    </row>
    <row r="121">
      <c r="A121" s="11" t="inlineStr">
        <is>
          <t>UY-BIO-G9-08</t>
        </is>
      </c>
      <c r="B121" s="11" t="inlineStr">
        <is>
          <t>Uruguay</t>
        </is>
      </c>
      <c r="C121" s="11" t="inlineStr">
        <is>
          <t>UY_EBI_Biologia_Tramo6_9grado.pdf</t>
        </is>
      </c>
      <c r="D121" s="11" t="n">
        <v>15</v>
      </c>
      <c r="E121" s="11" t="inlineStr">
        <is>
          <t>9.°</t>
        </is>
      </c>
      <c r="F121" s="11" t="n">
        <v>9</v>
      </c>
      <c r="G121" s="11" t="inlineStr">
        <is>
          <t>Biología</t>
        </is>
      </c>
      <c r="H121" s="38" t="inlineStr">
        <is>
          <t>Problemas ambientales: calentamiento global y cambio climático. Desarrollo sostenible. Incidencia de los residuos tecnológicos en el ambiente. Fuentes de energía alternativa.</t>
        </is>
      </c>
      <c r="I121" s="11" t="inlineStr">
        <is>
          <t>T8_27</t>
        </is>
      </c>
      <c r="J121" s="11" t="inlineStr">
        <is>
          <t>T8_27-E2.4</t>
        </is>
      </c>
      <c r="K121" s="11" t="inlineStr">
        <is>
          <t>T8_27-E3.1</t>
        </is>
      </c>
      <c r="L121" s="11" t="inlineStr">
        <is>
          <t>alta</t>
        </is>
      </c>
      <c r="M121" s="11">
        <f>IF(J121="FUERA","Fuera del marco",IFERROR(INDEX('Datos - Catálogo TIMSS'!$C$5:$C$107,MATCH(J121,'Datos - Catálogo TIMSS'!$A$5:$A$107,0)),"?"))</f>
        <v/>
      </c>
      <c r="N121" s="11" t="inlineStr">
        <is>
          <t>Causas del cambio climático; fuentes de energía alternativas.</t>
        </is>
      </c>
    </row>
    <row r="122">
      <c r="A122" s="11" t="inlineStr">
        <is>
          <t>UY-BIO-G9-09</t>
        </is>
      </c>
      <c r="B122" s="11" t="inlineStr">
        <is>
          <t>Uruguay</t>
        </is>
      </c>
      <c r="C122" s="11" t="inlineStr">
        <is>
          <t>UY_EBI_Biologia_Tramo6_9grado.pdf</t>
        </is>
      </c>
      <c r="D122" s="11" t="n">
        <v>15</v>
      </c>
      <c r="E122" s="11" t="inlineStr">
        <is>
          <t>9.°</t>
        </is>
      </c>
      <c r="F122" s="11" t="n">
        <v>9</v>
      </c>
      <c r="G122" s="11" t="inlineStr">
        <is>
          <t>Biología</t>
        </is>
      </c>
      <c r="H122" s="38" t="inlineStr">
        <is>
          <t>Características de la adolescencia; crecimiento y desarrollo; mitos y tabúes; salud mental (violencia, depresión, estrés, bullying); vínculos saludables en noviazgo, familia y amigos.</t>
        </is>
      </c>
      <c r="I122" s="11" t="inlineStr">
        <is>
          <t>T8_27</t>
        </is>
      </c>
      <c r="J122" s="11" t="inlineStr">
        <is>
          <t>FUERA</t>
        </is>
      </c>
      <c r="K122" s="11" t="inlineStr"/>
      <c r="L122" s="11" t="inlineStr">
        <is>
          <t>media</t>
        </is>
      </c>
      <c r="M122" s="11">
        <f>IF(J122="FUERA","Fuera del marco",IFERROR(INDEX('Datos - Catálogo TIMSS'!$C$5:$C$107,MATCH(J122,'Datos - Catálogo TIMSS'!$A$5:$A$107,0)),"?"))</f>
        <v/>
      </c>
      <c r="N122" s="11" t="inlineStr">
        <is>
          <t>Adolescencia y salud mental desde lo psicosocial, sin contenido del marco.</t>
        </is>
      </c>
    </row>
    <row r="123">
      <c r="A123" s="11" t="inlineStr">
        <is>
          <t>UY-BIO-G9-10</t>
        </is>
      </c>
      <c r="B123" s="11" t="inlineStr">
        <is>
          <t>Uruguay</t>
        </is>
      </c>
      <c r="C123" s="11" t="inlineStr">
        <is>
          <t>UY_EBI_Biologia_Tramo6_9grado.pdf</t>
        </is>
      </c>
      <c r="D123" s="11" t="n">
        <v>15</v>
      </c>
      <c r="E123" s="11" t="inlineStr">
        <is>
          <t>9.°</t>
        </is>
      </c>
      <c r="F123" s="11" t="n">
        <v>9</v>
      </c>
      <c r="G123" s="11" t="inlineStr">
        <is>
          <t>Biología</t>
        </is>
      </c>
      <c r="H123" s="38" t="inlineStr">
        <is>
          <t>Dieta saludable. Trastornos alimenticios (anorexia y bulimia). Los lípidos y las enfermedades coronarias. Importancia de la actividad física.</t>
        </is>
      </c>
      <c r="I123" s="11" t="inlineStr">
        <is>
          <t>T8_27</t>
        </is>
      </c>
      <c r="J123" s="11" t="inlineStr">
        <is>
          <t>T8_27-B6.2</t>
        </is>
      </c>
      <c r="K123" s="11" t="inlineStr"/>
      <c r="L123" s="11" t="inlineStr">
        <is>
          <t>alta</t>
        </is>
      </c>
      <c r="M123" s="11">
        <f>IF(J123="FUERA","Fuera del marco",IFERROR(INDEX('Datos - Catálogo TIMSS'!$C$5:$C$107,MATCH(J123,'Datos - Catálogo TIMSS'!$A$5:$A$107,0)),"?"))</f>
        <v/>
      </c>
      <c r="N123" s="11" t="inlineStr">
        <is>
          <t>Dieta, ejercicio y estilo de vida para prevenir enfermedades.</t>
        </is>
      </c>
    </row>
    <row r="124">
      <c r="A124" s="11" t="inlineStr">
        <is>
          <t>UY-BIO-G9-11</t>
        </is>
      </c>
      <c r="B124" s="11" t="inlineStr">
        <is>
          <t>Uruguay</t>
        </is>
      </c>
      <c r="C124" s="11" t="inlineStr">
        <is>
          <t>UY_EBI_Biologia_Tramo6_9grado.pdf</t>
        </is>
      </c>
      <c r="D124" s="11" t="n">
        <v>15</v>
      </c>
      <c r="E124" s="11" t="inlineStr">
        <is>
          <t>9.°</t>
        </is>
      </c>
      <c r="F124" s="11" t="n">
        <v>9</v>
      </c>
      <c r="G124" s="11" t="inlineStr">
        <is>
          <t>Biología</t>
        </is>
      </c>
      <c r="H124" s="38" t="inlineStr">
        <is>
          <t>Alimentos transgénicos.</t>
        </is>
      </c>
      <c r="I124" s="11" t="inlineStr">
        <is>
          <t>T8_27</t>
        </is>
      </c>
      <c r="J124" s="11" t="inlineStr">
        <is>
          <t>T8_27-B3.1</t>
        </is>
      </c>
      <c r="K124" s="11" t="inlineStr"/>
      <c r="L124" s="11" t="inlineStr">
        <is>
          <t>baja</t>
        </is>
      </c>
      <c r="M124" s="11">
        <f>IF(J124="FUERA","Fuera del marco",IFERROR(INDEX('Datos - Catálogo TIMSS'!$C$5:$C$107,MATCH(J124,'Datos - Catálogo TIMSS'!$A$5:$A$107,0)),"?"))</f>
        <v/>
      </c>
      <c r="N124" s="11" t="inlineStr">
        <is>
          <t>Transgénicos relacionados con material genético; sin objetivo específico.</t>
        </is>
      </c>
    </row>
    <row r="125">
      <c r="A125" s="11" t="inlineStr">
        <is>
          <t>UY-BIO-G9-12</t>
        </is>
      </c>
      <c r="B125" s="11" t="inlineStr">
        <is>
          <t>Uruguay</t>
        </is>
      </c>
      <c r="C125" s="11" t="inlineStr">
        <is>
          <t>UY_EBI_Biologia_Tramo6_9grado.pdf</t>
        </is>
      </c>
      <c r="D125" s="11" t="n">
        <v>15</v>
      </c>
      <c r="E125" s="11" t="inlineStr">
        <is>
          <t>9.°</t>
        </is>
      </c>
      <c r="F125" s="11" t="n">
        <v>9</v>
      </c>
      <c r="G125" s="11" t="inlineStr">
        <is>
          <t>Biología</t>
        </is>
      </c>
      <c r="H125" s="38" t="inlineStr">
        <is>
          <t>Concepto de droga. Clasificación y efectos. Tipos de consumo. Adicciones: tabaquismo, alcoholismo. Uso indebido de los fármacos.</t>
        </is>
      </c>
      <c r="I125" s="11" t="inlineStr">
        <is>
          <t>T8_27</t>
        </is>
      </c>
      <c r="J125" s="11" t="inlineStr">
        <is>
          <t>T8_27-B6.2</t>
        </is>
      </c>
      <c r="K125" s="11" t="inlineStr"/>
      <c r="L125" s="11" t="inlineStr">
        <is>
          <t>media</t>
        </is>
      </c>
      <c r="M125" s="11">
        <f>IF(J125="FUERA","Fuera del marco",IFERROR(INDEX('Datos - Catálogo TIMSS'!$C$5:$C$107,MATCH(J125,'Datos - Catálogo TIMSS'!$A$5:$A$107,0)),"?"))</f>
        <v/>
      </c>
      <c r="N125" s="11" t="inlineStr">
        <is>
          <t>Drogas y adicciones como estilo de vida y salud.</t>
        </is>
      </c>
    </row>
    <row r="126">
      <c r="A126" s="11" t="inlineStr">
        <is>
          <t>UY-BIO-G9-13</t>
        </is>
      </c>
      <c r="B126" s="11" t="inlineStr">
        <is>
          <t>Uruguay</t>
        </is>
      </c>
      <c r="C126" s="11" t="inlineStr">
        <is>
          <t>UY_EBI_Biologia_Tramo6_9grado.pdf</t>
        </is>
      </c>
      <c r="D126" s="11" t="n">
        <v>16</v>
      </c>
      <c r="E126" s="11" t="inlineStr">
        <is>
          <t>9.°</t>
        </is>
      </c>
      <c r="F126" s="11" t="n">
        <v>9</v>
      </c>
      <c r="G126" s="11" t="inlineStr">
        <is>
          <t>Biología</t>
        </is>
      </c>
      <c r="H126" s="38" t="inlineStr">
        <is>
          <t>Sexualidad: dimensiones biológica, psicológica y social; sexuación, intersexualidad, tipos de sexo; sexo y género, roles, violencia de género, estereotipos; identidad y orientación sexual.</t>
        </is>
      </c>
      <c r="I126" s="11" t="inlineStr">
        <is>
          <t>T8_27</t>
        </is>
      </c>
      <c r="J126" s="11" t="inlineStr">
        <is>
          <t>FUERA</t>
        </is>
      </c>
      <c r="K126" s="11" t="inlineStr"/>
      <c r="L126" s="11" t="inlineStr">
        <is>
          <t>media</t>
        </is>
      </c>
      <c r="M126" s="11">
        <f>IF(J126="FUERA","Fuera del marco",IFERROR(INDEX('Datos - Catálogo TIMSS'!$C$5:$C$107,MATCH(J126,'Datos - Catálogo TIMSS'!$A$5:$A$107,0)),"?"))</f>
        <v/>
      </c>
      <c r="N126" s="11" t="inlineStr">
        <is>
          <t>Sexualidad, género e identidad: contenido psicosocial fuera del marco.</t>
        </is>
      </c>
    </row>
    <row r="127">
      <c r="A127" s="11" t="inlineStr">
        <is>
          <t>UY-BIO-G9-14</t>
        </is>
      </c>
      <c r="B127" s="11" t="inlineStr">
        <is>
          <t>Uruguay</t>
        </is>
      </c>
      <c r="C127" s="11" t="inlineStr">
        <is>
          <t>UY_EBI_Biologia_Tramo6_9grado.pdf</t>
        </is>
      </c>
      <c r="D127" s="11" t="n">
        <v>16</v>
      </c>
      <c r="E127" s="11" t="inlineStr">
        <is>
          <t>9.°</t>
        </is>
      </c>
      <c r="F127" s="11" t="n">
        <v>9</v>
      </c>
      <c r="G127" s="11" t="inlineStr">
        <is>
          <t>Biología</t>
        </is>
      </c>
      <c r="H127" s="38" t="inlineStr">
        <is>
          <t>Conductas sexuales responsables: métodos anticonceptivos. Las ITS: VIH-SIDA, HPV, sífilis, gonorrea. Embarazo adolescente. Derechos sexuales y reproductivos.</t>
        </is>
      </c>
      <c r="I127" s="11" t="inlineStr">
        <is>
          <t>T8_27</t>
        </is>
      </c>
      <c r="J127" s="11" t="inlineStr">
        <is>
          <t>T8_27-B6.1</t>
        </is>
      </c>
      <c r="K127" s="11" t="inlineStr"/>
      <c r="L127" s="11" t="inlineStr">
        <is>
          <t>media</t>
        </is>
      </c>
      <c r="M127" s="11">
        <f>IF(J127="FUERA","Fuera del marco",IFERROR(INDEX('Datos - Catálogo TIMSS'!$C$5:$C$107,MATCH(J127,'Datos - Catálogo TIMSS'!$A$5:$A$107,0)),"?"))</f>
        <v/>
      </c>
      <c r="N127" s="11" t="inlineStr">
        <is>
          <t>Transmisión y prevención de infecciones de transmisión sexual.</t>
        </is>
      </c>
    </row>
    <row r="128">
      <c r="A128" s="11" t="inlineStr">
        <is>
          <t>UY-BIO-G9-15</t>
        </is>
      </c>
      <c r="B128" s="11" t="inlineStr">
        <is>
          <t>Uruguay</t>
        </is>
      </c>
      <c r="C128" s="11" t="inlineStr">
        <is>
          <t>UY_EBI_Biologia_Tramo6_9grado.pdf</t>
        </is>
      </c>
      <c r="D128" s="11" t="n">
        <v>16</v>
      </c>
      <c r="E128" s="11" t="inlineStr">
        <is>
          <t>9.°</t>
        </is>
      </c>
      <c r="F128" s="11" t="n">
        <v>9</v>
      </c>
      <c r="G128" s="11" t="inlineStr">
        <is>
          <t>Biología</t>
        </is>
      </c>
      <c r="H128" s="38" t="inlineStr">
        <is>
          <t>Sistemas genitales femenino y masculino: estructura, ubicación y función; gónadas y gametos. Profundización: histología de ovario, útero y tubo seminífero; gametogénesis.</t>
        </is>
      </c>
      <c r="I128" s="11" t="inlineStr">
        <is>
          <t>T8_27</t>
        </is>
      </c>
      <c r="J128" s="11" t="inlineStr">
        <is>
          <t>T8_27-B1.2</t>
        </is>
      </c>
      <c r="K128" s="11" t="inlineStr">
        <is>
          <t>T8_27-B3.1</t>
        </is>
      </c>
      <c r="L128" s="11" t="inlineStr">
        <is>
          <t>media</t>
        </is>
      </c>
      <c r="M128" s="11">
        <f>IF(J128="FUERA","Fuera del marco",IFERROR(INDEX('Datos - Catálogo TIMSS'!$C$5:$C$107,MATCH(J128,'Datos - Catálogo TIMSS'!$A$5:$A$107,0)),"?"))</f>
        <v/>
      </c>
      <c r="N128" s="11" t="inlineStr">
        <is>
          <t>Sistemas genitales y gametos para la reproducción sexual.</t>
        </is>
      </c>
    </row>
    <row r="129">
      <c r="A129" s="11" t="inlineStr">
        <is>
          <t>UY-BIO-G9-16</t>
        </is>
      </c>
      <c r="B129" s="11" t="inlineStr">
        <is>
          <t>Uruguay</t>
        </is>
      </c>
      <c r="C129" s="11" t="inlineStr">
        <is>
          <t>UY_EBI_Biologia_Tramo6_9grado.pdf</t>
        </is>
      </c>
      <c r="D129" s="11" t="n">
        <v>16</v>
      </c>
      <c r="E129" s="11" t="inlineStr">
        <is>
          <t>9.°</t>
        </is>
      </c>
      <c r="F129" s="11" t="n">
        <v>9</v>
      </c>
      <c r="G129" s="11" t="inlineStr">
        <is>
          <t>Biología</t>
        </is>
      </c>
      <c r="H129" s="38" t="inlineStr">
        <is>
          <t>Fecundación: concepto y etapas. Profundización: reproducción asistida: inseminación artificial y fecundación in vitro.</t>
        </is>
      </c>
      <c r="I129" s="11" t="inlineStr">
        <is>
          <t>T8_27</t>
        </is>
      </c>
      <c r="J129" s="11" t="inlineStr">
        <is>
          <t>T8_27-B3.1</t>
        </is>
      </c>
      <c r="K129" s="11" t="inlineStr"/>
      <c r="L129" s="11" t="inlineStr">
        <is>
          <t>alta</t>
        </is>
      </c>
      <c r="M129" s="11">
        <f>IF(J129="FUERA","Fuera del marco",IFERROR(INDEX('Datos - Catálogo TIMSS'!$C$5:$C$107,MATCH(J129,'Datos - Catálogo TIMSS'!$A$5:$A$107,0)),"?"))</f>
        <v/>
      </c>
      <c r="N129" s="11" t="inlineStr">
        <is>
          <t>Fecundación como base de la reproducción sexual.</t>
        </is>
      </c>
    </row>
    <row r="130">
      <c r="A130" s="11" t="inlineStr">
        <is>
          <t>UY-BIO-G9-17</t>
        </is>
      </c>
      <c r="B130" s="11" t="inlineStr">
        <is>
          <t>Uruguay</t>
        </is>
      </c>
      <c r="C130" s="11" t="inlineStr">
        <is>
          <t>UY_EBI_Biologia_Tramo6_9grado.pdf</t>
        </is>
      </c>
      <c r="D130" s="11" t="n">
        <v>16</v>
      </c>
      <c r="E130" s="11" t="inlineStr">
        <is>
          <t>9.°</t>
        </is>
      </c>
      <c r="F130" s="11" t="n">
        <v>9</v>
      </c>
      <c r="G130" s="11" t="inlineStr">
        <is>
          <t>Biología</t>
        </is>
      </c>
      <c r="H130" s="38" t="inlineStr">
        <is>
          <t>Ciclo sexual femenino y su regulación. Embarazo: etapas y controles médicos. Parto y lactancia. Profundización: cáncer de mama, prevención y controles.</t>
        </is>
      </c>
      <c r="I130" s="11" t="inlineStr">
        <is>
          <t>T8_27</t>
        </is>
      </c>
      <c r="J130" s="11" t="inlineStr">
        <is>
          <t>T8_27-B1.3</t>
        </is>
      </c>
      <c r="K130" s="11" t="inlineStr">
        <is>
          <t>T8_27-B3.1</t>
        </is>
      </c>
      <c r="L130" s="11" t="inlineStr">
        <is>
          <t>baja</t>
        </is>
      </c>
      <c r="M130" s="11">
        <f>IF(J130="FUERA","Fuera del marco",IFERROR(INDEX('Datos - Catálogo TIMSS'!$C$5:$C$107,MATCH(J130,'Datos - Catálogo TIMSS'!$A$5:$A$107,0)),"?"))</f>
        <v/>
      </c>
      <c r="N130" s="11" t="inlineStr">
        <is>
          <t>Regulación hormonal del ciclo; embarazo dentro de reproducción sexual.</t>
        </is>
      </c>
    </row>
    <row r="131">
      <c r="A131" s="11" t="inlineStr">
        <is>
          <t>UY-FIS-G9-01</t>
        </is>
      </c>
      <c r="B131" s="11" t="inlineStr">
        <is>
          <t>Uruguay</t>
        </is>
      </c>
      <c r="C131" s="11" t="inlineStr">
        <is>
          <t>UY_EBI_Fisica_Tramo6_9grado.pdf</t>
        </is>
      </c>
      <c r="D131" s="11" t="n">
        <v>12</v>
      </c>
      <c r="E131" s="11" t="inlineStr">
        <is>
          <t>9.°</t>
        </is>
      </c>
      <c r="F131" s="11" t="n">
        <v>9</v>
      </c>
      <c r="G131" s="11" t="inlineStr">
        <is>
          <t>Física</t>
        </is>
      </c>
      <c r="H131" s="38" t="inlineStr">
        <is>
          <t>Modelos de la física: leyes de la naturaleza. Modelos en física: importancia del modelo y sus limitaciones. Importancia de la experimentación.</t>
        </is>
      </c>
      <c r="I131" s="11" t="inlineStr">
        <is>
          <t>T8_27</t>
        </is>
      </c>
      <c r="J131" s="11" t="inlineStr">
        <is>
          <t>T8_27-P6.1</t>
        </is>
      </c>
      <c r="K131" s="11" t="inlineStr"/>
      <c r="L131" s="11" t="inlineStr">
        <is>
          <t>baja</t>
        </is>
      </c>
      <c r="M131" s="11">
        <f>IF(J131="FUERA","Fuera del marco",IFERROR(INDEX('Datos - Catálogo TIMSS'!$C$5:$C$107,MATCH(J131,'Datos - Catálogo TIMSS'!$A$5:$A$107,0)),"?"))</f>
        <v/>
      </c>
      <c r="N131" s="11" t="inlineStr">
        <is>
          <t>Naturaleza de modelos y experimentación en física; práctica general.</t>
        </is>
      </c>
    </row>
    <row r="132">
      <c r="A132" s="11" t="inlineStr">
        <is>
          <t>UY-FIS-G9-02</t>
        </is>
      </c>
      <c r="B132" s="11" t="inlineStr">
        <is>
          <t>Uruguay</t>
        </is>
      </c>
      <c r="C132" s="11" t="inlineStr">
        <is>
          <t>UY_EBI_Fisica_Tramo6_9grado.pdf</t>
        </is>
      </c>
      <c r="D132" s="11" t="n">
        <v>12</v>
      </c>
      <c r="E132" s="11" t="inlineStr">
        <is>
          <t>9.°</t>
        </is>
      </c>
      <c r="F132" s="11" t="n">
        <v>9</v>
      </c>
      <c r="G132" s="11" t="inlineStr">
        <is>
          <t>Física</t>
        </is>
      </c>
      <c r="H132" s="38" t="inlineStr">
        <is>
          <t>Conservación de la energía: energía mecánica, fuerzas conservativas y no conservativas, energía potencial eléctrica; aplicación: transformaciones energéticas en circuitos eléctricos.</t>
        </is>
      </c>
      <c r="I132" s="11" t="inlineStr">
        <is>
          <t>T8_27</t>
        </is>
      </c>
      <c r="J132" s="11" t="inlineStr">
        <is>
          <t>T8_27-P2.1</t>
        </is>
      </c>
      <c r="K132" s="11" t="inlineStr">
        <is>
          <t>T8_27-P4.1</t>
        </is>
      </c>
      <c r="L132" s="11" t="inlineStr">
        <is>
          <t>alta</t>
        </is>
      </c>
      <c r="M132" s="11">
        <f>IF(J132="FUERA","Fuera del marco",IFERROR(INDEX('Datos - Catálogo TIMSS'!$C$5:$C$107,MATCH(J132,'Datos - Catálogo TIMSS'!$A$5:$A$107,0)),"?"))</f>
        <v/>
      </c>
      <c r="N132" s="11" t="inlineStr">
        <is>
          <t>Conservación de energía; transformaciones en circuitos eléctricos.</t>
        </is>
      </c>
    </row>
    <row r="133">
      <c r="A133" s="11" t="inlineStr">
        <is>
          <t>UY-FIS-G9-03</t>
        </is>
      </c>
      <c r="B133" s="11" t="inlineStr">
        <is>
          <t>Uruguay</t>
        </is>
      </c>
      <c r="C133" s="11" t="inlineStr">
        <is>
          <t>UY_EBI_Fisica_Tramo6_9grado.pdf</t>
        </is>
      </c>
      <c r="D133" s="11" t="n">
        <v>12</v>
      </c>
      <c r="E133" s="11" t="inlineStr">
        <is>
          <t>9.°</t>
        </is>
      </c>
      <c r="F133" s="11" t="n">
        <v>9</v>
      </c>
      <c r="G133" s="11" t="inlineStr">
        <is>
          <t>Física</t>
        </is>
      </c>
      <c r="H133" s="38" t="inlineStr">
        <is>
          <t>Leyes de la mecánica clásica: concepciones históricas del movimiento, sistemas de referencia inerciales, leyes de Newton, gravitación universal, interpretación de movimientos y magnitudes.</t>
        </is>
      </c>
      <c r="I133" s="11" t="inlineStr">
        <is>
          <t>T8_27</t>
        </is>
      </c>
      <c r="J133" s="11" t="inlineStr">
        <is>
          <t>T8_27-P5.3</t>
        </is>
      </c>
      <c r="K133" s="11" t="inlineStr">
        <is>
          <t>T8_27-P5.1</t>
        </is>
      </c>
      <c r="L133" s="11" t="inlineStr">
        <is>
          <t>media</t>
        </is>
      </c>
      <c r="M133" s="11">
        <f>IF(J133="FUERA","Fuera del marco",IFERROR(INDEX('Datos - Catálogo TIMSS'!$C$5:$C$107,MATCH(J133,'Datos - Catálogo TIMSS'!$A$5:$A$107,0)),"?"))</f>
        <v/>
      </c>
      <c r="N133" s="11" t="inlineStr">
        <is>
          <t>Leyes de Newton y efecto de fuerzas en el movimiento.</t>
        </is>
      </c>
    </row>
    <row r="134">
      <c r="A134" s="11" t="inlineStr">
        <is>
          <t>UY-FIS-G9-04</t>
        </is>
      </c>
      <c r="B134" s="11" t="inlineStr">
        <is>
          <t>Uruguay</t>
        </is>
      </c>
      <c r="C134" s="11" t="inlineStr">
        <is>
          <t>UY_EBI_Fisica_Tramo6_9grado.pdf</t>
        </is>
      </c>
      <c r="D134" s="11" t="n">
        <v>13</v>
      </c>
      <c r="E134" s="11" t="inlineStr">
        <is>
          <t>9.°</t>
        </is>
      </c>
      <c r="F134" s="11" t="n">
        <v>9</v>
      </c>
      <c r="G134" s="11" t="inlineStr">
        <is>
          <t>Transversal</t>
        </is>
      </c>
      <c r="H134" s="38" t="inlineStr">
        <is>
          <t>Proceso de medición: mediciones, instrumentos, incertidumbres, cifras significativas y definición operacional de las magnitudes físicas implicadas en leyes y conceptos.</t>
        </is>
      </c>
      <c r="I134" s="11" t="inlineStr">
        <is>
          <t>T8_27</t>
        </is>
      </c>
      <c r="J134" s="11" t="inlineStr">
        <is>
          <t>T8_27-P6.1</t>
        </is>
      </c>
      <c r="K134" s="11" t="inlineStr"/>
      <c r="L134" s="11" t="inlineStr">
        <is>
          <t>media</t>
        </is>
      </c>
      <c r="M134" s="11">
        <f>IF(J134="FUERA","Fuera del marco",IFERROR(INDEX('Datos - Catálogo TIMSS'!$C$5:$C$107,MATCH(J134,'Datos - Catálogo TIMSS'!$A$5:$A$107,0)),"?"))</f>
        <v/>
      </c>
      <c r="N134" s="11" t="inlineStr">
        <is>
          <t>Medición con instrumentos e incertidumbre en física.</t>
        </is>
      </c>
    </row>
    <row r="135">
      <c r="A135" s="11" t="inlineStr">
        <is>
          <t>UY-QUI-G9-01</t>
        </is>
      </c>
      <c r="B135" s="11" t="inlineStr">
        <is>
          <t>Uruguay</t>
        </is>
      </c>
      <c r="C135" s="11" t="inlineStr">
        <is>
          <t>UY_EBI_Quimica_Tramo6_9grado.pdf</t>
        </is>
      </c>
      <c r="D135" s="11" t="n">
        <v>12</v>
      </c>
      <c r="E135" s="11" t="inlineStr">
        <is>
          <t>9.°</t>
        </is>
      </c>
      <c r="F135" s="11" t="n">
        <v>9</v>
      </c>
      <c r="G135" s="11" t="inlineStr">
        <is>
          <t>Química</t>
        </is>
      </c>
      <c r="H135" s="38" t="inlineStr">
        <is>
          <t>Estudio macroscópico de sistemas materiales: sistemas homogéneos y heterogéneos, fases, métodos de separación y fraccionamiento, soluciones acuosas, sustancia pura, propiedades intensivas/extensivas, sustancias simples y compuestas.</t>
        </is>
      </c>
      <c r="I135" s="11" t="inlineStr">
        <is>
          <t>T8_27</t>
        </is>
      </c>
      <c r="J135" s="11" t="inlineStr">
        <is>
          <t>T8_27-C1.2</t>
        </is>
      </c>
      <c r="K135" s="11" t="inlineStr">
        <is>
          <t>T8_27-C2.2</t>
        </is>
      </c>
      <c r="L135" s="11" t="inlineStr">
        <is>
          <t>alta</t>
        </is>
      </c>
      <c r="M135" s="11">
        <f>IF(J135="FUERA","Fuera del marco",IFERROR(INDEX('Datos - Catálogo TIMSS'!$C$5:$C$107,MATCH(J135,'Datos - Catálogo TIMSS'!$A$5:$A$107,0)),"?"))</f>
        <v/>
      </c>
      <c r="N135" s="11" t="inlineStr">
        <is>
          <t>Sustancias puras, mezclas homogéneas/heterogéneas y separación.</t>
        </is>
      </c>
    </row>
    <row r="136">
      <c r="A136" s="11" t="inlineStr">
        <is>
          <t>UY-QUI-G9-02</t>
        </is>
      </c>
      <c r="B136" s="11" t="inlineStr">
        <is>
          <t>Uruguay</t>
        </is>
      </c>
      <c r="C136" s="11" t="inlineStr">
        <is>
          <t>UY_EBI_Quimica_Tramo6_9grado.pdf</t>
        </is>
      </c>
      <c r="D136" s="11" t="n">
        <v>12</v>
      </c>
      <c r="E136" s="11" t="inlineStr">
        <is>
          <t>9.°</t>
        </is>
      </c>
      <c r="F136" s="11" t="n">
        <v>9</v>
      </c>
      <c r="G136" s="11" t="inlineStr">
        <is>
          <t>Química</t>
        </is>
      </c>
      <c r="H136" s="38" t="inlineStr">
        <is>
          <t>Modelo corpuscular: modelo discontinuo, estructura atómica, número atómico y másico, distribución electrónica, elemento químico, tabla periódica y su evolución, propiedades periódicas.</t>
        </is>
      </c>
      <c r="I136" s="11" t="inlineStr">
        <is>
          <t>T8_27</t>
        </is>
      </c>
      <c r="J136" s="11" t="inlineStr">
        <is>
          <t>T8_27-C1.1</t>
        </is>
      </c>
      <c r="K136" s="11" t="inlineStr">
        <is>
          <t>T8_27-C1.3</t>
        </is>
      </c>
      <c r="L136" s="11" t="inlineStr">
        <is>
          <t>alta</t>
        </is>
      </c>
      <c r="M136" s="11">
        <f>IF(J136="FUERA","Fuera del marco",IFERROR(INDEX('Datos - Catálogo TIMSS'!$C$5:$C$107,MATCH(J136,'Datos - Catálogo TIMSS'!$A$5:$A$107,0)),"?"))</f>
        <v/>
      </c>
      <c r="N136" s="11" t="inlineStr">
        <is>
          <t>Estructura atómica y tabla periódica.</t>
        </is>
      </c>
    </row>
    <row r="137">
      <c r="A137" s="11" t="inlineStr">
        <is>
          <t>UY-QUI-G9-03</t>
        </is>
      </c>
      <c r="B137" s="11" t="inlineStr">
        <is>
          <t>Uruguay</t>
        </is>
      </c>
      <c r="C137" s="11" t="inlineStr">
        <is>
          <t>UY_EBI_Quimica_Tramo6_9grado.pdf</t>
        </is>
      </c>
      <c r="D137" s="11" t="n">
        <v>13</v>
      </c>
      <c r="E137" s="11" t="inlineStr">
        <is>
          <t>9.°</t>
        </is>
      </c>
      <c r="F137" s="11" t="n">
        <v>9</v>
      </c>
      <c r="G137" s="11" t="inlineStr">
        <is>
          <t>Química</t>
        </is>
      </c>
      <c r="H137" s="38" t="inlineStr">
        <is>
          <t>Interacciones entre especies químicas: enlace metálico, iónico y covalente, electronegatividad, polaridad y momento dipolar, propiedades según el enlace; el agua: estructura, propiedades, solvente.</t>
        </is>
      </c>
      <c r="I137" s="11" t="inlineStr">
        <is>
          <t>T8_27</t>
        </is>
      </c>
      <c r="J137" s="11" t="inlineStr">
        <is>
          <t>T8_27-C1.1</t>
        </is>
      </c>
      <c r="K137" s="11" t="inlineStr">
        <is>
          <t>T8_27-C2.1</t>
        </is>
      </c>
      <c r="L137" s="11" t="inlineStr">
        <is>
          <t>media</t>
        </is>
      </c>
      <c r="M137" s="11">
        <f>IF(J137="FUERA","Fuera del marco",IFERROR(INDEX('Datos - Catálogo TIMSS'!$C$5:$C$107,MATCH(J137,'Datos - Catálogo TIMSS'!$A$5:$A$107,0)),"?"))</f>
        <v/>
      </c>
      <c r="N137" s="11" t="inlineStr">
        <is>
          <t>Enlace químico y propiedades según el enlace.</t>
        </is>
      </c>
    </row>
    <row r="138">
      <c r="A138" s="11" t="inlineStr">
        <is>
          <t>UY-QUI-G9-04</t>
        </is>
      </c>
      <c r="B138" s="11" t="inlineStr">
        <is>
          <t>Uruguay</t>
        </is>
      </c>
      <c r="C138" s="11" t="inlineStr">
        <is>
          <t>UY_EBI_Quimica_Tramo6_9grado.pdf</t>
        </is>
      </c>
      <c r="D138" s="11" t="n">
        <v>13</v>
      </c>
      <c r="E138" s="11" t="inlineStr">
        <is>
          <t>9.°</t>
        </is>
      </c>
      <c r="F138" s="11" t="n">
        <v>9</v>
      </c>
      <c r="G138" s="11" t="inlineStr">
        <is>
          <t>Química</t>
        </is>
      </c>
      <c r="H138" s="38" t="inlineStr">
        <is>
          <t>Cambios físicos y químicos: conservación de la masa, solubilidad y temperatura, soluciones y concentración, ecuaciones químicas, formulación y nomenclatura de óxidos, ácidos y bases, pH.</t>
        </is>
      </c>
      <c r="I138" s="11" t="inlineStr">
        <is>
          <t>T8_27</t>
        </is>
      </c>
      <c r="J138" s="11" t="inlineStr">
        <is>
          <t>T8_27-C3.2</t>
        </is>
      </c>
      <c r="K138" s="11" t="inlineStr">
        <is>
          <t>T8_27-C2.3</t>
        </is>
      </c>
      <c r="L138" s="11" t="inlineStr">
        <is>
          <t>media</t>
        </is>
      </c>
      <c r="M138" s="11">
        <f>IF(J138="FUERA","Fuera del marco",IFERROR(INDEX('Datos - Catálogo TIMSS'!$C$5:$C$107,MATCH(J138,'Datos - Catálogo TIMSS'!$A$5:$A$107,0)),"?"))</f>
        <v/>
      </c>
      <c r="N138" s="11" t="inlineStr">
        <is>
          <t>Conservación de la masa; ácidos, bases y pH.</t>
        </is>
      </c>
    </row>
    <row r="139">
      <c r="A139" s="11" t="inlineStr">
        <is>
          <t>UY-QUI-G9-05</t>
        </is>
      </c>
      <c r="B139" s="11" t="inlineStr">
        <is>
          <t>Uruguay</t>
        </is>
      </c>
      <c r="C139" s="11" t="inlineStr">
        <is>
          <t>UY_EBI_Quimica_Tramo6_9grado.pdf</t>
        </is>
      </c>
      <c r="D139" s="11" t="n">
        <v>14</v>
      </c>
      <c r="E139" s="11" t="inlineStr">
        <is>
          <t>9.°</t>
        </is>
      </c>
      <c r="F139" s="11" t="n">
        <v>9</v>
      </c>
      <c r="G139" s="11" t="inlineStr">
        <is>
          <t>Transversal</t>
        </is>
      </c>
      <c r="H139" s="38" t="inlineStr">
        <is>
          <t>Medidas de seguridad y trabajo seguro en laboratorio (productos químicos, rotulado SGA, toxicidad, inflamabilidad) y proceso de medición (instrumentos, incertidumbres, cifras significativas).</t>
        </is>
      </c>
      <c r="I139" s="11" t="inlineStr">
        <is>
          <t>T8_27</t>
        </is>
      </c>
      <c r="J139" s="11" t="inlineStr">
        <is>
          <t>T8_27-C4.1</t>
        </is>
      </c>
      <c r="K139" s="11" t="inlineStr"/>
      <c r="L139" s="11" t="inlineStr">
        <is>
          <t>alta</t>
        </is>
      </c>
      <c r="M139" s="11">
        <f>IF(J139="FUERA","Fuera del marco",IFERROR(INDEX('Datos - Catálogo TIMSS'!$C$5:$C$107,MATCH(J139,'Datos - Catálogo TIMSS'!$A$5:$A$107,0)),"?"))</f>
        <v/>
      </c>
      <c r="N139" s="11" t="inlineStr">
        <is>
          <t>Trabajo seguro en laboratorio y medición en química.</t>
        </is>
      </c>
    </row>
    <row r="140">
      <c r="A140" s="11" t="inlineStr">
        <is>
          <t>CO-DBA-G1-01</t>
        </is>
      </c>
      <c r="B140" s="11" t="inlineStr">
        <is>
          <t>Colombia</t>
        </is>
      </c>
      <c r="C140" s="11" t="inlineStr">
        <is>
          <t>CO_DBA_Ciencias_Naturales.pdf</t>
        </is>
      </c>
      <c r="D140" s="11" t="n">
        <v>8</v>
      </c>
      <c r="E140" s="11" t="inlineStr">
        <is>
          <t>1.°</t>
        </is>
      </c>
      <c r="F140" s="11" t="n">
        <v>1</v>
      </c>
      <c r="G140" s="11" t="inlineStr"/>
      <c r="H140" s="38" t="inlineStr">
        <is>
          <t>Comprende que los sentidos le permiten percibir algunas características de los objetos que nos rodean (temperatura, sabor, sonidos, olor, color, texturas y formas).</t>
        </is>
      </c>
      <c r="I140" s="11" t="inlineStr">
        <is>
          <t>T4_27</t>
        </is>
      </c>
      <c r="J140" s="11" t="inlineStr">
        <is>
          <t>T4_27-P1.2</t>
        </is>
      </c>
      <c r="K140" s="11" t="inlineStr">
        <is>
          <t>T4_27-B1.3</t>
        </is>
      </c>
      <c r="L140" s="11" t="inlineStr">
        <is>
          <t>media</t>
        </is>
      </c>
      <c r="M140" s="11">
        <f>IF(J140="FUERA","Fuera del marco",IFERROR(INDEX('Datos - Catálogo TIMSS'!$C$5:$C$107,MATCH(J140,'Datos - Catálogo TIMSS'!$A$5:$A$107,0)),"?"))</f>
        <v/>
      </c>
      <c r="N140" s="11" t="inlineStr">
        <is>
          <t>Percibir con los sentidos propiedades de objetos; sentidos como estructuras</t>
        </is>
      </c>
    </row>
    <row r="141">
      <c r="A141" s="11" t="inlineStr">
        <is>
          <t>CO-DBA-G1-02</t>
        </is>
      </c>
      <c r="B141" s="11" t="inlineStr">
        <is>
          <t>Colombia</t>
        </is>
      </c>
      <c r="C141" s="11" t="inlineStr">
        <is>
          <t>CO_DBA_Ciencias_Naturales.pdf</t>
        </is>
      </c>
      <c r="D141" s="11" t="n">
        <v>8</v>
      </c>
      <c r="E141" s="11" t="inlineStr">
        <is>
          <t>1.°</t>
        </is>
      </c>
      <c r="F141" s="11" t="n">
        <v>1</v>
      </c>
      <c r="G141" s="11" t="inlineStr"/>
      <c r="H141" s="38" t="inlineStr">
        <is>
          <t>Comprende que hay gran variedad de materiales usados para distintos fines según sus características (longitud, dureza, flexibilidad, permeabilidad, solubilidad, ductilidad, maleabilidad, color, sabor, textura).</t>
        </is>
      </c>
      <c r="I141" s="11" t="inlineStr">
        <is>
          <t>T4_27</t>
        </is>
      </c>
      <c r="J141" s="11" t="inlineStr">
        <is>
          <t>T4_27-P1.2</t>
        </is>
      </c>
      <c r="K141" s="11" t="inlineStr"/>
      <c r="L141" s="11" t="inlineStr">
        <is>
          <t>alta</t>
        </is>
      </c>
      <c r="M141" s="11">
        <f>IF(J141="FUERA","Fuera del marco",IFERROR(INDEX('Datos - Catálogo TIMSS'!$C$5:$C$107,MATCH(J141,'Datos - Catálogo TIMSS'!$A$5:$A$107,0)),"?"))</f>
        <v/>
      </c>
      <c r="N141" s="11" t="inlineStr">
        <is>
          <t>Propiedades de materiales relacionadas con sus usos</t>
        </is>
      </c>
    </row>
    <row r="142">
      <c r="A142" s="11" t="inlineStr">
        <is>
          <t>CO-DBA-G1-03</t>
        </is>
      </c>
      <c r="B142" s="11" t="inlineStr">
        <is>
          <t>Colombia</t>
        </is>
      </c>
      <c r="C142" s="11" t="inlineStr">
        <is>
          <t>CO_DBA_Ciencias_Naturales.pdf</t>
        </is>
      </c>
      <c r="D142" s="11" t="n">
        <v>9</v>
      </c>
      <c r="E142" s="11" t="inlineStr">
        <is>
          <t>1.°</t>
        </is>
      </c>
      <c r="F142" s="11" t="n">
        <v>1</v>
      </c>
      <c r="G142" s="11" t="inlineStr"/>
      <c r="H142" s="38" t="inlineStr">
        <is>
          <t>Comprende que los seres vivos (plantas y animales) tienen características comunes (se alimentan, respiran, tienen un ciclo de vida, responden al entorno) y los diferencia de los objetos inertes.</t>
        </is>
      </c>
      <c r="I142" s="11" t="inlineStr">
        <is>
          <t>T4_27</t>
        </is>
      </c>
      <c r="J142" s="11" t="inlineStr">
        <is>
          <t>T4_27-B1.1</t>
        </is>
      </c>
      <c r="K142" s="11" t="inlineStr"/>
      <c r="L142" s="11" t="inlineStr">
        <is>
          <t>alta</t>
        </is>
      </c>
      <c r="M142" s="11">
        <f>IF(J142="FUERA","Fuera del marco",IFERROR(INDEX('Datos - Catálogo TIMSS'!$C$5:$C$107,MATCH(J142,'Datos - Catálogo TIMSS'!$A$5:$A$107,0)),"?"))</f>
        <v/>
      </c>
      <c r="N142" s="11" t="inlineStr">
        <is>
          <t>Características comunes de seres vivos frente a objetos inertes</t>
        </is>
      </c>
    </row>
    <row r="143">
      <c r="A143" s="11" t="inlineStr">
        <is>
          <t>CO-DBA-G1-04</t>
        </is>
      </c>
      <c r="B143" s="11" t="inlineStr">
        <is>
          <t>Colombia</t>
        </is>
      </c>
      <c r="C143" s="11" t="inlineStr">
        <is>
          <t>CO_DBA_Ciencias_Naturales.pdf</t>
        </is>
      </c>
      <c r="D143" s="11" t="n">
        <v>9</v>
      </c>
      <c r="E143" s="11" t="inlineStr">
        <is>
          <t>1.°</t>
        </is>
      </c>
      <c r="F143" s="11" t="n">
        <v>1</v>
      </c>
      <c r="G143" s="11" t="inlineStr"/>
      <c r="H143" s="38" t="inlineStr">
        <is>
          <t>Comprende que su cuerpo cambia constantemente con el tiempo y reconoce, por comparación, características similares y diferentes a las de sus padres y compañeros.</t>
        </is>
      </c>
      <c r="I143" s="11" t="inlineStr">
        <is>
          <t>T4_27</t>
        </is>
      </c>
      <c r="J143" s="11" t="inlineStr">
        <is>
          <t>T4_27-B2.1</t>
        </is>
      </c>
      <c r="K143" s="11" t="inlineStr">
        <is>
          <t>T4_27-B2.2</t>
        </is>
      </c>
      <c r="L143" s="11" t="inlineStr">
        <is>
          <t>media</t>
        </is>
      </c>
      <c r="M143" s="11">
        <f>IF(J143="FUERA","Fuera del marco",IFERROR(INDEX('Datos - Catálogo TIMSS'!$C$5:$C$107,MATCH(J143,'Datos - Catálogo TIMSS'!$A$5:$A$107,0)),"?"))</f>
        <v/>
      </c>
      <c r="N143" s="11" t="inlineStr">
        <is>
          <t>Cambios del cuerpo en el tiempo y semejanzas con los padres</t>
        </is>
      </c>
    </row>
    <row r="144">
      <c r="A144" s="11" t="inlineStr">
        <is>
          <t>CO-EBC-G1_3-CIEN-01</t>
        </is>
      </c>
      <c r="B144" s="11" t="inlineStr">
        <is>
          <t>Colombia</t>
        </is>
      </c>
      <c r="C144" s="11" t="inlineStr">
        <is>
          <t>CO_Estandares_Ciencias.pdf</t>
        </is>
      </c>
      <c r="D144" s="11" t="n">
        <v>37</v>
      </c>
      <c r="E144" s="11" t="inlineStr">
        <is>
          <t>1.°–3.°</t>
        </is>
      </c>
      <c r="F144" s="11" t="n">
        <v>1</v>
      </c>
      <c r="G144" s="11" t="inlineStr">
        <is>
          <t>…me aproximo al conocimiento como científico(a) natural</t>
        </is>
      </c>
      <c r="H144" s="38" t="inlineStr">
        <is>
          <t>Observo mi entorno.</t>
        </is>
      </c>
      <c r="I144" s="11" t="inlineStr">
        <is>
          <t>T4_27</t>
        </is>
      </c>
      <c r="J144" s="11" t="inlineStr">
        <is>
          <t>T4_27-B6.1</t>
        </is>
      </c>
      <c r="K144" s="11" t="inlineStr"/>
      <c r="L144" s="11" t="inlineStr">
        <is>
          <t>baja</t>
        </is>
      </c>
      <c r="M144" s="11">
        <f>IF(J144="FUERA","Fuera del marco",IFERROR(INDEX('Datos - Catálogo TIMSS'!$C$5:$C$107,MATCH(J144,'Datos - Catálogo TIMSS'!$A$5:$A$107,0)),"?"))</f>
        <v/>
      </c>
      <c r="N144" s="11" t="inlineStr">
        <is>
          <t>Observación genérica del entorno; práctica sin disciplina</t>
        </is>
      </c>
    </row>
    <row r="145">
      <c r="A145" s="11" t="inlineStr">
        <is>
          <t>CO-EBC-G1_3-CIEN-02</t>
        </is>
      </c>
      <c r="B145" s="11" t="inlineStr">
        <is>
          <t>Colombia</t>
        </is>
      </c>
      <c r="C145" s="11" t="inlineStr">
        <is>
          <t>CO_Estandares_Ciencias.pdf</t>
        </is>
      </c>
      <c r="D145" s="11" t="n">
        <v>37</v>
      </c>
      <c r="E145" s="11" t="inlineStr">
        <is>
          <t>1.°–3.°</t>
        </is>
      </c>
      <c r="F145" s="11" t="n">
        <v>1</v>
      </c>
      <c r="G145" s="11" t="inlineStr">
        <is>
          <t>…me aproximo al conocimiento como científico(a) natural</t>
        </is>
      </c>
      <c r="H145" s="38" t="inlineStr">
        <is>
          <t>Formulo preguntas sobre objetos, organismos y fenómenos de mi entorno y exploro posibles respuestas.</t>
        </is>
      </c>
      <c r="I145" s="11" t="inlineStr">
        <is>
          <t>T4_27</t>
        </is>
      </c>
      <c r="J145" s="11" t="inlineStr">
        <is>
          <t>T4_27-P6.1</t>
        </is>
      </c>
      <c r="K145" s="11" t="inlineStr"/>
      <c r="L145" s="11" t="inlineStr">
        <is>
          <t>media</t>
        </is>
      </c>
      <c r="M145" s="11">
        <f>IF(J145="FUERA","Fuera del marco",IFERROR(INDEX('Datos - Catálogo TIMSS'!$C$5:$C$107,MATCH(J145,'Datos - Catálogo TIMSS'!$A$5:$A$107,0)),"?"))</f>
        <v/>
      </c>
      <c r="N145" s="11" t="inlineStr">
        <is>
          <t>Formular preguntas comprobables</t>
        </is>
      </c>
    </row>
    <row r="146">
      <c r="A146" s="11" t="inlineStr">
        <is>
          <t>CO-EBC-G1_3-CIEN-03</t>
        </is>
      </c>
      <c r="B146" s="11" t="inlineStr">
        <is>
          <t>Colombia</t>
        </is>
      </c>
      <c r="C146" s="11" t="inlineStr">
        <is>
          <t>CO_Estandares_Ciencias.pdf</t>
        </is>
      </c>
      <c r="D146" s="11" t="n">
        <v>37</v>
      </c>
      <c r="E146" s="11" t="inlineStr">
        <is>
          <t>1.°–3.°</t>
        </is>
      </c>
      <c r="F146" s="11" t="n">
        <v>1</v>
      </c>
      <c r="G146" s="11" t="inlineStr">
        <is>
          <t>…me aproximo al conocimiento como científico(a) natural</t>
        </is>
      </c>
      <c r="H146" s="38" t="inlineStr">
        <is>
          <t>Hago conjeturas para responder mis preguntas.</t>
        </is>
      </c>
      <c r="I146" s="11" t="inlineStr">
        <is>
          <t>T4_27</t>
        </is>
      </c>
      <c r="J146" s="11" t="inlineStr">
        <is>
          <t>T4_27-P6.1</t>
        </is>
      </c>
      <c r="K146" s="11" t="inlineStr"/>
      <c r="L146" s="11" t="inlineStr">
        <is>
          <t>baja</t>
        </is>
      </c>
      <c r="M146" s="11">
        <f>IF(J146="FUERA","Fuera del marco",IFERROR(INDEX('Datos - Catálogo TIMSS'!$C$5:$C$107,MATCH(J146,'Datos - Catálogo TIMSS'!$A$5:$A$107,0)),"?"))</f>
        <v/>
      </c>
      <c r="N146" s="11" t="inlineStr">
        <is>
          <t>Conjeturas como parte de una investigación</t>
        </is>
      </c>
    </row>
    <row r="147">
      <c r="A147" s="11" t="inlineStr">
        <is>
          <t>CO-EBC-G1_3-CIEN-04</t>
        </is>
      </c>
      <c r="B147" s="11" t="inlineStr">
        <is>
          <t>Colombia</t>
        </is>
      </c>
      <c r="C147" s="11" t="inlineStr">
        <is>
          <t>CO_Estandares_Ciencias.pdf</t>
        </is>
      </c>
      <c r="D147" s="11" t="n">
        <v>37</v>
      </c>
      <c r="E147" s="11" t="inlineStr">
        <is>
          <t>1.°–3.°</t>
        </is>
      </c>
      <c r="F147" s="11" t="n">
        <v>1</v>
      </c>
      <c r="G147" s="11" t="inlineStr">
        <is>
          <t>…me aproximo al conocimiento como científico(a) natural</t>
        </is>
      </c>
      <c r="H147" s="38" t="inlineStr">
        <is>
          <t>Diseño y realizo experiencias para poner a prueba mis conjeturas.</t>
        </is>
      </c>
      <c r="I147" s="11" t="inlineStr">
        <is>
          <t>T4_27</t>
        </is>
      </c>
      <c r="J147" s="11" t="inlineStr">
        <is>
          <t>T4_27-P6.1</t>
        </is>
      </c>
      <c r="K147" s="11" t="inlineStr"/>
      <c r="L147" s="11" t="inlineStr">
        <is>
          <t>media</t>
        </is>
      </c>
      <c r="M147" s="11">
        <f>IF(J147="FUERA","Fuera del marco",IFERROR(INDEX('Datos - Catálogo TIMSS'!$C$5:$C$107,MATCH(J147,'Datos - Catálogo TIMSS'!$A$5:$A$107,0)),"?"))</f>
        <v/>
      </c>
      <c r="N147" s="11" t="inlineStr">
        <is>
          <t>Diseñar y realizar experiencias para probar conjeturas</t>
        </is>
      </c>
    </row>
    <row r="148">
      <c r="A148" s="11" t="inlineStr">
        <is>
          <t>CO-EBC-G1_3-CIEN-05</t>
        </is>
      </c>
      <c r="B148" s="11" t="inlineStr">
        <is>
          <t>Colombia</t>
        </is>
      </c>
      <c r="C148" s="11" t="inlineStr">
        <is>
          <t>CO_Estandares_Ciencias.pdf</t>
        </is>
      </c>
      <c r="D148" s="11" t="n">
        <v>37</v>
      </c>
      <c r="E148" s="11" t="inlineStr">
        <is>
          <t>1.°–3.°</t>
        </is>
      </c>
      <c r="F148" s="11" t="n">
        <v>1</v>
      </c>
      <c r="G148" s="11" t="inlineStr">
        <is>
          <t>…me aproximo al conocimiento como científico(a) natural</t>
        </is>
      </c>
      <c r="H148" s="38" t="inlineStr">
        <is>
          <t>Identifico condiciones que influyen en los resultados de una experiencia.</t>
        </is>
      </c>
      <c r="I148" s="11" t="inlineStr">
        <is>
          <t>T4_27</t>
        </is>
      </c>
      <c r="J148" s="11" t="inlineStr">
        <is>
          <t>T4_27-B6.1</t>
        </is>
      </c>
      <c r="K148" s="11" t="inlineStr"/>
      <c r="L148" s="11" t="inlineStr">
        <is>
          <t>media</t>
        </is>
      </c>
      <c r="M148" s="11">
        <f>IF(J148="FUERA","Fuera del marco",IFERROR(INDEX('Datos - Catálogo TIMSS'!$C$5:$C$107,MATCH(J148,'Datos - Catálogo TIMSS'!$A$5:$A$107,0)),"?"))</f>
        <v/>
      </c>
      <c r="N148" s="11" t="inlineStr">
        <is>
          <t>Condiciones que influyen en resultados: prueba justa</t>
        </is>
      </c>
    </row>
    <row r="149">
      <c r="A149" s="11" t="inlineStr">
        <is>
          <t>CO-EBC-G1_3-CIEN-06</t>
        </is>
      </c>
      <c r="B149" s="11" t="inlineStr">
        <is>
          <t>Colombia</t>
        </is>
      </c>
      <c r="C149" s="11" t="inlineStr">
        <is>
          <t>CO_Estandares_Ciencias.pdf</t>
        </is>
      </c>
      <c r="D149" s="11" t="n">
        <v>37</v>
      </c>
      <c r="E149" s="11" t="inlineStr">
        <is>
          <t>1.°–3.°</t>
        </is>
      </c>
      <c r="F149" s="11" t="n">
        <v>1</v>
      </c>
      <c r="G149" s="11" t="inlineStr">
        <is>
          <t>…me aproximo al conocimiento como científico(a) natural</t>
        </is>
      </c>
      <c r="H149" s="38" t="inlineStr">
        <is>
          <t>Realizo mediciones con instrumentos convencionales (regla, metro, termómetro, reloj, balanza...) y no convencionales (vasos, tazas, cuartas, pies, pasos...).</t>
        </is>
      </c>
      <c r="I149" s="11" t="inlineStr">
        <is>
          <t>T4_27</t>
        </is>
      </c>
      <c r="J149" s="11" t="inlineStr">
        <is>
          <t>T4_27-P6.1</t>
        </is>
      </c>
      <c r="K149" s="11" t="inlineStr">
        <is>
          <t>T4_27-E5.1</t>
        </is>
      </c>
      <c r="L149" s="11" t="inlineStr">
        <is>
          <t>alta</t>
        </is>
      </c>
      <c r="M149" s="11">
        <f>IF(J149="FUERA","Fuera del marco",IFERROR(INDEX('Datos - Catálogo TIMSS'!$C$5:$C$107,MATCH(J149,'Datos - Catálogo TIMSS'!$A$5:$A$107,0)),"?"))</f>
        <v/>
      </c>
      <c r="N149" s="11" t="inlineStr">
        <is>
          <t>Medir con instrumentos como balanza, reloj y termómetro</t>
        </is>
      </c>
    </row>
    <row r="150">
      <c r="A150" s="11" t="inlineStr">
        <is>
          <t>CO-EBC-G1_3-CIEN-07</t>
        </is>
      </c>
      <c r="B150" s="11" t="inlineStr">
        <is>
          <t>Colombia</t>
        </is>
      </c>
      <c r="C150" s="11" t="inlineStr">
        <is>
          <t>CO_Estandares_Ciencias.pdf</t>
        </is>
      </c>
      <c r="D150" s="11" t="n">
        <v>37</v>
      </c>
      <c r="E150" s="11" t="inlineStr">
        <is>
          <t>1.°–3.°</t>
        </is>
      </c>
      <c r="F150" s="11" t="n">
        <v>1</v>
      </c>
      <c r="G150" s="11" t="inlineStr">
        <is>
          <t>…me aproximo al conocimiento como científico(a) natural</t>
        </is>
      </c>
      <c r="H150" s="38" t="inlineStr">
        <is>
          <t>Registro mis observaciones en forma organizada y rigurosa (sin alteraciones), utilizando dibujos, palabras y números.</t>
        </is>
      </c>
      <c r="I150" s="11" t="inlineStr">
        <is>
          <t>T4_27</t>
        </is>
      </c>
      <c r="J150" s="11" t="inlineStr">
        <is>
          <t>T4_27-B6.1</t>
        </is>
      </c>
      <c r="K150" s="11" t="inlineStr"/>
      <c r="L150" s="11" t="inlineStr">
        <is>
          <t>media</t>
        </is>
      </c>
      <c r="M150" s="11">
        <f>IF(J150="FUERA","Fuera del marco",IFERROR(INDEX('Datos - Catálogo TIMSS'!$C$5:$C$107,MATCH(J150,'Datos - Catálogo TIMSS'!$A$5:$A$107,0)),"?"))</f>
        <v/>
      </c>
      <c r="N150" s="11" t="inlineStr">
        <is>
          <t>Registrar observaciones de forma organizada</t>
        </is>
      </c>
    </row>
    <row r="151">
      <c r="A151" s="11" t="inlineStr">
        <is>
          <t>CO-EBC-G1_3-CIEN-08</t>
        </is>
      </c>
      <c r="B151" s="11" t="inlineStr">
        <is>
          <t>Colombia</t>
        </is>
      </c>
      <c r="C151" s="11" t="inlineStr">
        <is>
          <t>CO_Estandares_Ciencias.pdf</t>
        </is>
      </c>
      <c r="D151" s="11" t="n">
        <v>37</v>
      </c>
      <c r="E151" s="11" t="inlineStr">
        <is>
          <t>1.°–3.°</t>
        </is>
      </c>
      <c r="F151" s="11" t="n">
        <v>1</v>
      </c>
      <c r="G151" s="11" t="inlineStr">
        <is>
          <t>…me aproximo al conocimiento como científico(a) natural</t>
        </is>
      </c>
      <c r="H151" s="38" t="inlineStr">
        <is>
          <t>Busco información en diversas fuentes (libros, Internet, experiencias propias y de otros...) y doy el crédito correspondiente.</t>
        </is>
      </c>
      <c r="I151" s="11" t="inlineStr">
        <is>
          <t>T4_27</t>
        </is>
      </c>
      <c r="J151" s="11" t="inlineStr">
        <is>
          <t>FUERA</t>
        </is>
      </c>
      <c r="K151" s="11" t="inlineStr"/>
      <c r="L151" s="11" t="inlineStr">
        <is>
          <t>media</t>
        </is>
      </c>
      <c r="M151" s="11">
        <f>IF(J151="FUERA","Fuera del marco",IFERROR(INDEX('Datos - Catálogo TIMSS'!$C$5:$C$107,MATCH(J151,'Datos - Catálogo TIMSS'!$A$5:$A$107,0)),"?"))</f>
        <v/>
      </c>
      <c r="N151" s="11" t="inlineStr">
        <is>
          <t>Búsqueda de información en fuentes; sin contenido TIMSS</t>
        </is>
      </c>
    </row>
    <row r="152">
      <c r="A152" s="11" t="inlineStr">
        <is>
          <t>CO-EBC-G1_3-CIEN-09</t>
        </is>
      </c>
      <c r="B152" s="11" t="inlineStr">
        <is>
          <t>Colombia</t>
        </is>
      </c>
      <c r="C152" s="11" t="inlineStr">
        <is>
          <t>CO_Estandares_Ciencias.pdf</t>
        </is>
      </c>
      <c r="D152" s="11" t="n">
        <v>37</v>
      </c>
      <c r="E152" s="11" t="inlineStr">
        <is>
          <t>1.°–3.°</t>
        </is>
      </c>
      <c r="F152" s="11" t="n">
        <v>1</v>
      </c>
      <c r="G152" s="11" t="inlineStr">
        <is>
          <t>…me aproximo al conocimiento como científico(a) natural</t>
        </is>
      </c>
      <c r="H152" s="38" t="inlineStr">
        <is>
          <t>Selecciono la información apropiada para dar respuesta a mis preguntas.</t>
        </is>
      </c>
      <c r="I152" s="11" t="inlineStr">
        <is>
          <t>T4_27</t>
        </is>
      </c>
      <c r="J152" s="11" t="inlineStr">
        <is>
          <t>FUERA</t>
        </is>
      </c>
      <c r="K152" s="11" t="inlineStr"/>
      <c r="L152" s="11" t="inlineStr">
        <is>
          <t>media</t>
        </is>
      </c>
      <c r="M152" s="11">
        <f>IF(J152="FUERA","Fuera del marco",IFERROR(INDEX('Datos - Catálogo TIMSS'!$C$5:$C$107,MATCH(J152,'Datos - Catálogo TIMSS'!$A$5:$A$107,0)),"?"))</f>
        <v/>
      </c>
      <c r="N152" s="11" t="inlineStr">
        <is>
          <t>Selección de información; competencia general</t>
        </is>
      </c>
    </row>
    <row r="153">
      <c r="A153" s="11" t="inlineStr">
        <is>
          <t>CO-EBC-G1_3-CIEN-10</t>
        </is>
      </c>
      <c r="B153" s="11" t="inlineStr">
        <is>
          <t>Colombia</t>
        </is>
      </c>
      <c r="C153" s="11" t="inlineStr">
        <is>
          <t>CO_Estandares_Ciencias.pdf</t>
        </is>
      </c>
      <c r="D153" s="11" t="n">
        <v>37</v>
      </c>
      <c r="E153" s="11" t="inlineStr">
        <is>
          <t>1.°–3.°</t>
        </is>
      </c>
      <c r="F153" s="11" t="n">
        <v>1</v>
      </c>
      <c r="G153" s="11" t="inlineStr">
        <is>
          <t>…me aproximo al conocimiento como científico(a) natural</t>
        </is>
      </c>
      <c r="H153" s="38" t="inlineStr">
        <is>
          <t>Analizo, con la ayuda del profesor, si la información obtenida es suficiente para contestar mis preguntas.</t>
        </is>
      </c>
      <c r="I153" s="11" t="inlineStr">
        <is>
          <t>T4_27</t>
        </is>
      </c>
      <c r="J153" s="11" t="inlineStr">
        <is>
          <t>FUERA</t>
        </is>
      </c>
      <c r="K153" s="11" t="inlineStr"/>
      <c r="L153" s="11" t="inlineStr">
        <is>
          <t>baja</t>
        </is>
      </c>
      <c r="M153" s="11">
        <f>IF(J153="FUERA","Fuera del marco",IFERROR(INDEX('Datos - Catálogo TIMSS'!$C$5:$C$107,MATCH(J153,'Datos - Catálogo TIMSS'!$A$5:$A$107,0)),"?"))</f>
        <v/>
      </c>
      <c r="N153" s="11" t="inlineStr">
        <is>
          <t>Valorar suficiencia de información; competencia general</t>
        </is>
      </c>
    </row>
    <row r="154">
      <c r="A154" s="11" t="inlineStr">
        <is>
          <t>CO-EBC-G1_3-CIEN-11</t>
        </is>
      </c>
      <c r="B154" s="11" t="inlineStr">
        <is>
          <t>Colombia</t>
        </is>
      </c>
      <c r="C154" s="11" t="inlineStr">
        <is>
          <t>CO_Estandares_Ciencias.pdf</t>
        </is>
      </c>
      <c r="D154" s="11" t="n">
        <v>37</v>
      </c>
      <c r="E154" s="11" t="inlineStr">
        <is>
          <t>1.°–3.°</t>
        </is>
      </c>
      <c r="F154" s="11" t="n">
        <v>1</v>
      </c>
      <c r="G154" s="11" t="inlineStr">
        <is>
          <t>…me aproximo al conocimiento como científico(a) natural</t>
        </is>
      </c>
      <c r="H154" s="38" t="inlineStr">
        <is>
          <t>Persisto en la búsqueda de respuestas a mis preguntas.</t>
        </is>
      </c>
      <c r="I154" s="11" t="inlineStr">
        <is>
          <t>T4_27</t>
        </is>
      </c>
      <c r="J154" s="11" t="inlineStr">
        <is>
          <t>FUERA</t>
        </is>
      </c>
      <c r="K154" s="11" t="inlineStr"/>
      <c r="L154" s="11" t="inlineStr">
        <is>
          <t>alta</t>
        </is>
      </c>
      <c r="M154" s="11">
        <f>IF(J154="FUERA","Fuera del marco",IFERROR(INDEX('Datos - Catálogo TIMSS'!$C$5:$C$107,MATCH(J154,'Datos - Catálogo TIMSS'!$A$5:$A$107,0)),"?"))</f>
        <v/>
      </c>
      <c r="N154" s="11" t="inlineStr">
        <is>
          <t>Actitud de persistencia; sin contenido científico</t>
        </is>
      </c>
    </row>
    <row r="155">
      <c r="A155" s="11" t="inlineStr">
        <is>
          <t>CO-EBC-G1_3-CIEN-12</t>
        </is>
      </c>
      <c r="B155" s="11" t="inlineStr">
        <is>
          <t>Colombia</t>
        </is>
      </c>
      <c r="C155" s="11" t="inlineStr">
        <is>
          <t>CO_Estandares_Ciencias.pdf</t>
        </is>
      </c>
      <c r="D155" s="11" t="n">
        <v>37</v>
      </c>
      <c r="E155" s="11" t="inlineStr">
        <is>
          <t>1.°–3.°</t>
        </is>
      </c>
      <c r="F155" s="11" t="n">
        <v>1</v>
      </c>
      <c r="G155" s="11" t="inlineStr">
        <is>
          <t>…me aproximo al conocimiento como científico(a) natural</t>
        </is>
      </c>
      <c r="H155" s="38" t="inlineStr">
        <is>
          <t>Propongo respuestas a mis preguntas y las comparo con las de otras personas.</t>
        </is>
      </c>
      <c r="I155" s="11" t="inlineStr">
        <is>
          <t>T4_27</t>
        </is>
      </c>
      <c r="J155" s="11" t="inlineStr">
        <is>
          <t>FUERA</t>
        </is>
      </c>
      <c r="K155" s="11" t="inlineStr"/>
      <c r="L155" s="11" t="inlineStr">
        <is>
          <t>baja</t>
        </is>
      </c>
      <c r="M155" s="11">
        <f>IF(J155="FUERA","Fuera del marco",IFERROR(INDEX('Datos - Catálogo TIMSS'!$C$5:$C$107,MATCH(J155,'Datos - Catálogo TIMSS'!$A$5:$A$107,0)),"?"))</f>
        <v/>
      </c>
      <c r="N155" s="11" t="inlineStr">
        <is>
          <t>Comparar respuestas con otros; competencia comunicativa</t>
        </is>
      </c>
    </row>
    <row r="156">
      <c r="A156" s="11" t="inlineStr">
        <is>
          <t>CO-EBC-G1_3-CIEN-13</t>
        </is>
      </c>
      <c r="B156" s="11" t="inlineStr">
        <is>
          <t>Colombia</t>
        </is>
      </c>
      <c r="C156" s="11" t="inlineStr">
        <is>
          <t>CO_Estandares_Ciencias.pdf</t>
        </is>
      </c>
      <c r="D156" s="11" t="n">
        <v>37</v>
      </c>
      <c r="E156" s="11" t="inlineStr">
        <is>
          <t>1.°–3.°</t>
        </is>
      </c>
      <c r="F156" s="11" t="n">
        <v>1</v>
      </c>
      <c r="G156" s="11" t="inlineStr">
        <is>
          <t>…me aproximo al conocimiento como científico(a) natural</t>
        </is>
      </c>
      <c r="H156" s="38" t="inlineStr">
        <is>
          <t>Comunico de diferentes maneras el proceso de indagación y los resultados obtenidos.</t>
        </is>
      </c>
      <c r="I156" s="11" t="inlineStr">
        <is>
          <t>T4_27</t>
        </is>
      </c>
      <c r="J156" s="11" t="inlineStr">
        <is>
          <t>FUERA</t>
        </is>
      </c>
      <c r="K156" s="11" t="inlineStr"/>
      <c r="L156" s="11" t="inlineStr">
        <is>
          <t>media</t>
        </is>
      </c>
      <c r="M156" s="11">
        <f>IF(J156="FUERA","Fuera del marco",IFERROR(INDEX('Datos - Catálogo TIMSS'!$C$5:$C$107,MATCH(J156,'Datos - Catálogo TIMSS'!$A$5:$A$107,0)),"?"))</f>
        <v/>
      </c>
      <c r="N156" s="11" t="inlineStr">
        <is>
          <t>Comunicar la indagación; competencia comunicativa</t>
        </is>
      </c>
    </row>
    <row r="157">
      <c r="A157" s="11" t="inlineStr">
        <is>
          <t>CO-EBC-G1_3-CTS-01</t>
        </is>
      </c>
      <c r="B157" s="11" t="inlineStr">
        <is>
          <t>Colombia</t>
        </is>
      </c>
      <c r="C157" s="11" t="inlineStr">
        <is>
          <t>CO_Estandares_Ciencias.pdf</t>
        </is>
      </c>
      <c r="D157" s="11" t="n">
        <v>38</v>
      </c>
      <c r="E157" s="11" t="inlineStr">
        <is>
          <t>1.°–3.°</t>
        </is>
      </c>
      <c r="F157" s="11" t="n">
        <v>1</v>
      </c>
      <c r="G157" s="11" t="inlineStr">
        <is>
          <t>Ciencia, tecnología y sociedad</t>
        </is>
      </c>
      <c r="H157" s="38" t="inlineStr">
        <is>
          <t>Clasifico y comparo objetos según sus usos.</t>
        </is>
      </c>
      <c r="I157" s="11" t="inlineStr">
        <is>
          <t>T4_27</t>
        </is>
      </c>
      <c r="J157" s="11" t="inlineStr">
        <is>
          <t>T4_27-P1.2</t>
        </is>
      </c>
      <c r="K157" s="11" t="inlineStr"/>
      <c r="L157" s="11" t="inlineStr">
        <is>
          <t>baja</t>
        </is>
      </c>
      <c r="M157" s="11">
        <f>IF(J157="FUERA","Fuera del marco",IFERROR(INDEX('Datos - Catálogo TIMSS'!$C$5:$C$107,MATCH(J157,'Datos - Catálogo TIMSS'!$A$5:$A$107,0)),"?"))</f>
        <v/>
      </c>
      <c r="N157" s="11" t="inlineStr">
        <is>
          <t>Objetos según usos; relación débil con propiedades</t>
        </is>
      </c>
    </row>
    <row r="158">
      <c r="A158" s="11" t="inlineStr">
        <is>
          <t>CO-EBC-G1_3-CTS-02</t>
        </is>
      </c>
      <c r="B158" s="11" t="inlineStr">
        <is>
          <t>Colombia</t>
        </is>
      </c>
      <c r="C158" s="11" t="inlineStr">
        <is>
          <t>CO_Estandares_Ciencias.pdf</t>
        </is>
      </c>
      <c r="D158" s="11" t="n">
        <v>38</v>
      </c>
      <c r="E158" s="11" t="inlineStr">
        <is>
          <t>1.°–3.°</t>
        </is>
      </c>
      <c r="F158" s="11" t="n">
        <v>1</v>
      </c>
      <c r="G158" s="11" t="inlineStr">
        <is>
          <t>Ciencia, tecnología y sociedad</t>
        </is>
      </c>
      <c r="H158" s="38" t="inlineStr">
        <is>
          <t>Diferencio objetos naturales de objetos creados por el ser humano.</t>
        </is>
      </c>
      <c r="I158" s="11" t="inlineStr">
        <is>
          <t>T4_27</t>
        </is>
      </c>
      <c r="J158" s="11" t="inlineStr">
        <is>
          <t>T4_27-P1.2</t>
        </is>
      </c>
      <c r="K158" s="11" t="inlineStr"/>
      <c r="L158" s="11" t="inlineStr">
        <is>
          <t>baja</t>
        </is>
      </c>
      <c r="M158" s="11">
        <f>IF(J158="FUERA","Fuera del marco",IFERROR(INDEX('Datos - Catálogo TIMSS'!$C$5:$C$107,MATCH(J158,'Datos - Catálogo TIMSS'!$A$5:$A$107,0)),"?"))</f>
        <v/>
      </c>
      <c r="N158" s="11" t="inlineStr">
        <is>
          <t>Materiales naturales frente a artificiales</t>
        </is>
      </c>
    </row>
    <row r="159">
      <c r="A159" s="11" t="inlineStr">
        <is>
          <t>CO-EBC-G1_3-CTS-03</t>
        </is>
      </c>
      <c r="B159" s="11" t="inlineStr">
        <is>
          <t>Colombia</t>
        </is>
      </c>
      <c r="C159" s="11" t="inlineStr">
        <is>
          <t>CO_Estandares_Ciencias.pdf</t>
        </is>
      </c>
      <c r="D159" s="11" t="n">
        <v>38</v>
      </c>
      <c r="E159" s="11" t="inlineStr">
        <is>
          <t>1.°–3.°</t>
        </is>
      </c>
      <c r="F159" s="11" t="n">
        <v>1</v>
      </c>
      <c r="G159" s="11" t="inlineStr">
        <is>
          <t>Ciencia, tecnología y sociedad</t>
        </is>
      </c>
      <c r="H159" s="38" t="inlineStr">
        <is>
          <t>Identifico objetos que emitan luz o sonido.</t>
        </is>
      </c>
      <c r="I159" s="11" t="inlineStr">
        <is>
          <t>T4_27</t>
        </is>
      </c>
      <c r="J159" s="11" t="inlineStr">
        <is>
          <t>T4_27-P3.1</t>
        </is>
      </c>
      <c r="K159" s="11" t="inlineStr">
        <is>
          <t>T4_27-P3.2</t>
        </is>
      </c>
      <c r="L159" s="11" t="inlineStr">
        <is>
          <t>media</t>
        </is>
      </c>
      <c r="M159" s="11">
        <f>IF(J159="FUERA","Fuera del marco",IFERROR(INDEX('Datos - Catálogo TIMSS'!$C$5:$C$107,MATCH(J159,'Datos - Catálogo TIMSS'!$A$5:$A$107,0)),"?"))</f>
        <v/>
      </c>
      <c r="N159" s="11" t="inlineStr">
        <is>
          <t>Objetos que emiten luz o sonido</t>
        </is>
      </c>
    </row>
    <row r="160">
      <c r="A160" s="11" t="inlineStr">
        <is>
          <t>CO-EBC-G1_3-CTS-04</t>
        </is>
      </c>
      <c r="B160" s="11" t="inlineStr">
        <is>
          <t>Colombia</t>
        </is>
      </c>
      <c r="C160" s="11" t="inlineStr">
        <is>
          <t>CO_Estandares_Ciencias.pdf</t>
        </is>
      </c>
      <c r="D160" s="11" t="n">
        <v>38</v>
      </c>
      <c r="E160" s="11" t="inlineStr">
        <is>
          <t>1.°–3.°</t>
        </is>
      </c>
      <c r="F160" s="11" t="n">
        <v>1</v>
      </c>
      <c r="G160" s="11" t="inlineStr">
        <is>
          <t>Ciencia, tecnología y sociedad</t>
        </is>
      </c>
      <c r="H160" s="38" t="inlineStr">
        <is>
          <t>Identifico circuitos eléctricos en mi entorno.</t>
        </is>
      </c>
      <c r="I160" s="11" t="inlineStr">
        <is>
          <t>T4_27</t>
        </is>
      </c>
      <c r="J160" s="11" t="inlineStr">
        <is>
          <t>T4_27-P4.1</t>
        </is>
      </c>
      <c r="K160" s="11" t="inlineStr"/>
      <c r="L160" s="11" t="inlineStr">
        <is>
          <t>media</t>
        </is>
      </c>
      <c r="M160" s="11">
        <f>IF(J160="FUERA","Fuera del marco",IFERROR(INDEX('Datos - Catálogo TIMSS'!$C$5:$C$107,MATCH(J160,'Datos - Catálogo TIMSS'!$A$5:$A$107,0)),"?"))</f>
        <v/>
      </c>
      <c r="N160" s="11" t="inlineStr">
        <is>
          <t>Circuitos eléctricos en el entorno</t>
        </is>
      </c>
    </row>
    <row r="161">
      <c r="A161" s="11" t="inlineStr">
        <is>
          <t>CO-EBC-G1_3-CTS-05</t>
        </is>
      </c>
      <c r="B161" s="11" t="inlineStr">
        <is>
          <t>Colombia</t>
        </is>
      </c>
      <c r="C161" s="11" t="inlineStr">
        <is>
          <t>CO_Estandares_Ciencias.pdf</t>
        </is>
      </c>
      <c r="D161" s="11" t="n">
        <v>38</v>
      </c>
      <c r="E161" s="11" t="inlineStr">
        <is>
          <t>1.°–3.°</t>
        </is>
      </c>
      <c r="F161" s="11" t="n">
        <v>1</v>
      </c>
      <c r="G161" s="11" t="inlineStr">
        <is>
          <t>Ciencia, tecnología y sociedad</t>
        </is>
      </c>
      <c r="H161" s="38" t="inlineStr">
        <is>
          <t>Analizo la utilidad de algunos aparatos eléctricos a mi alrededor.</t>
        </is>
      </c>
      <c r="I161" s="11" t="inlineStr">
        <is>
          <t>T4_27</t>
        </is>
      </c>
      <c r="J161" s="11" t="inlineStr">
        <is>
          <t>T4_27-P4.1</t>
        </is>
      </c>
      <c r="K161" s="11" t="inlineStr">
        <is>
          <t>T4_27-P2.1</t>
        </is>
      </c>
      <c r="L161" s="11" t="inlineStr">
        <is>
          <t>media</t>
        </is>
      </c>
      <c r="M161" s="11">
        <f>IF(J161="FUERA","Fuera del marco",IFERROR(INDEX('Datos - Catálogo TIMSS'!$C$5:$C$107,MATCH(J161,'Datos - Catálogo TIMSS'!$A$5:$A$107,0)),"?"))</f>
        <v/>
      </c>
      <c r="N161" s="11" t="inlineStr">
        <is>
          <t>Aparatos eléctricos transforman electricidad en luz, calor, sonido</t>
        </is>
      </c>
    </row>
    <row r="162">
      <c r="A162" s="11" t="inlineStr">
        <is>
          <t>CO-EBC-G1_3-CTS-06</t>
        </is>
      </c>
      <c r="B162" s="11" t="inlineStr">
        <is>
          <t>Colombia</t>
        </is>
      </c>
      <c r="C162" s="11" t="inlineStr">
        <is>
          <t>CO_Estandares_Ciencias.pdf</t>
        </is>
      </c>
      <c r="D162" s="11" t="n">
        <v>38</v>
      </c>
      <c r="E162" s="11" t="inlineStr">
        <is>
          <t>1.°–3.°</t>
        </is>
      </c>
      <c r="F162" s="11" t="n">
        <v>1</v>
      </c>
      <c r="G162" s="11" t="inlineStr">
        <is>
          <t>Ciencia, tecnología y sociedad</t>
        </is>
      </c>
      <c r="H162" s="38" t="inlineStr">
        <is>
          <t>Identifico aparatos que utilizamos hoy y que no se utilizaban en épocas pasadas.</t>
        </is>
      </c>
      <c r="I162" s="11" t="inlineStr">
        <is>
          <t>T4_27</t>
        </is>
      </c>
      <c r="J162" s="11" t="inlineStr">
        <is>
          <t>FUERA</t>
        </is>
      </c>
      <c r="K162" s="11" t="inlineStr"/>
      <c r="L162" s="11" t="inlineStr">
        <is>
          <t>alta</t>
        </is>
      </c>
      <c r="M162" s="11">
        <f>IF(J162="FUERA","Fuera del marco",IFERROR(INDEX('Datos - Catálogo TIMSS'!$C$5:$C$107,MATCH(J162,'Datos - Catálogo TIMSS'!$A$5:$A$107,0)),"?"))</f>
        <v/>
      </c>
      <c r="N162" s="11" t="inlineStr">
        <is>
          <t>Historia de la tecnología; sin contenido científico</t>
        </is>
      </c>
    </row>
    <row r="163">
      <c r="A163" s="11" t="inlineStr">
        <is>
          <t>CO-EBC-G1_3-CTS-07</t>
        </is>
      </c>
      <c r="B163" s="11" t="inlineStr">
        <is>
          <t>Colombia</t>
        </is>
      </c>
      <c r="C163" s="11" t="inlineStr">
        <is>
          <t>CO_Estandares_Ciencias.pdf</t>
        </is>
      </c>
      <c r="D163" s="11" t="n">
        <v>38</v>
      </c>
      <c r="E163" s="11" t="inlineStr">
        <is>
          <t>1.°–3.°</t>
        </is>
      </c>
      <c r="F163" s="11" t="n">
        <v>1</v>
      </c>
      <c r="G163" s="11" t="inlineStr">
        <is>
          <t>Ciencia, tecnología y sociedad</t>
        </is>
      </c>
      <c r="H163" s="38" t="inlineStr">
        <is>
          <t>Asocio el clima con la forma de vida de diferentes comunidades.</t>
        </is>
      </c>
      <c r="I163" s="11" t="inlineStr">
        <is>
          <t>T4_27</t>
        </is>
      </c>
      <c r="J163" s="11" t="inlineStr">
        <is>
          <t>T4_27-E2.1</t>
        </is>
      </c>
      <c r="K163" s="11" t="inlineStr"/>
      <c r="L163" s="11" t="inlineStr">
        <is>
          <t>baja</t>
        </is>
      </c>
      <c r="M163" s="11">
        <f>IF(J163="FUERA","Fuera del marco",IFERROR(INDEX('Datos - Catálogo TIMSS'!$C$5:$C$107,MATCH(J163,'Datos - Catálogo TIMSS'!$A$5:$A$107,0)),"?"))</f>
        <v/>
      </c>
      <c r="N163" s="11" t="inlineStr">
        <is>
          <t>Clima y modos de vida; enfoque de geografía humana</t>
        </is>
      </c>
    </row>
    <row r="164">
      <c r="A164" s="11" t="inlineStr">
        <is>
          <t>CO-EBC-G1_3-CTS-08</t>
        </is>
      </c>
      <c r="B164" s="11" t="inlineStr">
        <is>
          <t>Colombia</t>
        </is>
      </c>
      <c r="C164" s="11" t="inlineStr">
        <is>
          <t>CO_Estandares_Ciencias.pdf</t>
        </is>
      </c>
      <c r="D164" s="11" t="n">
        <v>38</v>
      </c>
      <c r="E164" s="11" t="inlineStr">
        <is>
          <t>1.°–3.°</t>
        </is>
      </c>
      <c r="F164" s="11" t="n">
        <v>1</v>
      </c>
      <c r="G164" s="11" t="inlineStr">
        <is>
          <t>Ciencia, tecnología y sociedad</t>
        </is>
      </c>
      <c r="H164" s="38" t="inlineStr">
        <is>
          <t>Identifico necesidades de cuidado de mi cuerpo y el de otras personas.</t>
        </is>
      </c>
      <c r="I164" s="11" t="inlineStr">
        <is>
          <t>T4_27</t>
        </is>
      </c>
      <c r="J164" s="11" t="inlineStr">
        <is>
          <t>T4_27-B5.2</t>
        </is>
      </c>
      <c r="K164" s="11" t="inlineStr">
        <is>
          <t>T4_27-B5.1</t>
        </is>
      </c>
      <c r="L164" s="11" t="inlineStr">
        <is>
          <t>alta</t>
        </is>
      </c>
      <c r="M164" s="11">
        <f>IF(J164="FUERA","Fuera del marco",IFERROR(INDEX('Datos - Catálogo TIMSS'!$C$5:$C$107,MATCH(J164,'Datos - Catálogo TIMSS'!$A$5:$A$107,0)),"?"))</f>
        <v/>
      </c>
      <c r="N164" s="11" t="inlineStr">
        <is>
          <t>Hábitos de cuidado del cuerpo y salud</t>
        </is>
      </c>
    </row>
    <row r="165">
      <c r="A165" s="11" t="inlineStr">
        <is>
          <t>CO-EBC-G1_3-FIS-01</t>
        </is>
      </c>
      <c r="B165" s="11" t="inlineStr">
        <is>
          <t>Colombia</t>
        </is>
      </c>
      <c r="C165" s="11" t="inlineStr">
        <is>
          <t>CO_Estandares_Ciencias.pdf</t>
        </is>
      </c>
      <c r="D165" s="11" t="n">
        <v>38</v>
      </c>
      <c r="E165" s="11" t="inlineStr">
        <is>
          <t>1.°–3.°</t>
        </is>
      </c>
      <c r="F165" s="11" t="n">
        <v>1</v>
      </c>
      <c r="G165" s="11" t="inlineStr">
        <is>
          <t>Entorno físico</t>
        </is>
      </c>
      <c r="H165" s="38" t="inlineStr">
        <is>
          <t>Describo y clasifico objetos según características que percibo con los cinco sentidos.</t>
        </is>
      </c>
      <c r="I165" s="11" t="inlineStr">
        <is>
          <t>T4_27</t>
        </is>
      </c>
      <c r="J165" s="11" t="inlineStr">
        <is>
          <t>T4_27-P1.2</t>
        </is>
      </c>
      <c r="K165" s="11" t="inlineStr"/>
      <c r="L165" s="11" t="inlineStr">
        <is>
          <t>alta</t>
        </is>
      </c>
      <c r="M165" s="11">
        <f>IF(J165="FUERA","Fuera del marco",IFERROR(INDEX('Datos - Catálogo TIMSS'!$C$5:$C$107,MATCH(J165,'Datos - Catálogo TIMSS'!$A$5:$A$107,0)),"?"))</f>
        <v/>
      </c>
      <c r="N165" s="11" t="inlineStr">
        <is>
          <t>Clasificar objetos por propiedades perceptibles</t>
        </is>
      </c>
    </row>
    <row r="166">
      <c r="A166" s="11" t="inlineStr">
        <is>
          <t>CO-EBC-G1_3-FIS-02</t>
        </is>
      </c>
      <c r="B166" s="11" t="inlineStr">
        <is>
          <t>Colombia</t>
        </is>
      </c>
      <c r="C166" s="11" t="inlineStr">
        <is>
          <t>CO_Estandares_Ciencias.pdf</t>
        </is>
      </c>
      <c r="D166" s="11" t="n">
        <v>38</v>
      </c>
      <c r="E166" s="11" t="inlineStr">
        <is>
          <t>1.°–3.°</t>
        </is>
      </c>
      <c r="F166" s="11" t="n">
        <v>1</v>
      </c>
      <c r="G166" s="11" t="inlineStr">
        <is>
          <t>Entorno físico</t>
        </is>
      </c>
      <c r="H166" s="38" t="inlineStr">
        <is>
          <t>Propongo y verifico diversas formas de medir sólidos y líquidos.</t>
        </is>
      </c>
      <c r="I166" s="11" t="inlineStr">
        <is>
          <t>T4_27</t>
        </is>
      </c>
      <c r="J166" s="11" t="inlineStr">
        <is>
          <t>T4_27-P1.2</t>
        </is>
      </c>
      <c r="K166" s="11" t="inlineStr">
        <is>
          <t>T4_27-P6.1</t>
        </is>
      </c>
      <c r="L166" s="11" t="inlineStr">
        <is>
          <t>media</t>
        </is>
      </c>
      <c r="M166" s="11">
        <f>IF(J166="FUERA","Fuera del marco",IFERROR(INDEX('Datos - Catálogo TIMSS'!$C$5:$C$107,MATCH(J166,'Datos - Catálogo TIMSS'!$A$5:$A$107,0)),"?"))</f>
        <v/>
      </c>
      <c r="N166" s="11" t="inlineStr">
        <is>
          <t>Medir masa y volumen de sólidos y líquidos</t>
        </is>
      </c>
    </row>
    <row r="167">
      <c r="A167" s="11" t="inlineStr">
        <is>
          <t>CO-EBC-G1_3-FIS-03</t>
        </is>
      </c>
      <c r="B167" s="11" t="inlineStr">
        <is>
          <t>Colombia</t>
        </is>
      </c>
      <c r="C167" s="11" t="inlineStr">
        <is>
          <t>CO_Estandares_Ciencias.pdf</t>
        </is>
      </c>
      <c r="D167" s="11" t="n">
        <v>38</v>
      </c>
      <c r="E167" s="11" t="inlineStr">
        <is>
          <t>1.°–3.°</t>
        </is>
      </c>
      <c r="F167" s="11" t="n">
        <v>1</v>
      </c>
      <c r="G167" s="11" t="inlineStr">
        <is>
          <t>Entorno físico</t>
        </is>
      </c>
      <c r="H167" s="38" t="inlineStr">
        <is>
          <t>Establezco relaciones entre magnitudes y unidades de medida apropiadas.</t>
        </is>
      </c>
      <c r="I167" s="11" t="inlineStr">
        <is>
          <t>T4_27</t>
        </is>
      </c>
      <c r="J167" s="11" t="inlineStr">
        <is>
          <t>FUERA</t>
        </is>
      </c>
      <c r="K167" s="11" t="inlineStr"/>
      <c r="L167" s="11" t="inlineStr">
        <is>
          <t>media</t>
        </is>
      </c>
      <c r="M167" s="11">
        <f>IF(J167="FUERA","Fuera del marco",IFERROR(INDEX('Datos - Catálogo TIMSS'!$C$5:$C$107,MATCH(J167,'Datos - Catálogo TIMSS'!$A$5:$A$107,0)),"?"))</f>
        <v/>
      </c>
      <c r="N167" s="11" t="inlineStr">
        <is>
          <t>Magnitudes y unidades de medida aisladas</t>
        </is>
      </c>
    </row>
    <row r="168">
      <c r="A168" s="11" t="inlineStr">
        <is>
          <t>CO-EBC-G1_3-FIS-04</t>
        </is>
      </c>
      <c r="B168" s="11" t="inlineStr">
        <is>
          <t>Colombia</t>
        </is>
      </c>
      <c r="C168" s="11" t="inlineStr">
        <is>
          <t>CO_Estandares_Ciencias.pdf</t>
        </is>
      </c>
      <c r="D168" s="11" t="n">
        <v>38</v>
      </c>
      <c r="E168" s="11" t="inlineStr">
        <is>
          <t>1.°–3.°</t>
        </is>
      </c>
      <c r="F168" s="11" t="n">
        <v>1</v>
      </c>
      <c r="G168" s="11" t="inlineStr">
        <is>
          <t>Entorno físico</t>
        </is>
      </c>
      <c r="H168" s="38" t="inlineStr">
        <is>
          <t>Identifico diferentes estados físicos de la materia (el agua, por ejemplo) y verifico causas para cambios de estado.</t>
        </is>
      </c>
      <c r="I168" s="11" t="inlineStr">
        <is>
          <t>T4_27</t>
        </is>
      </c>
      <c r="J168" s="11" t="inlineStr">
        <is>
          <t>T4_27-P1.1</t>
        </is>
      </c>
      <c r="K168" s="11" t="inlineStr"/>
      <c r="L168" s="11" t="inlineStr">
        <is>
          <t>alta</t>
        </is>
      </c>
      <c r="M168" s="11">
        <f>IF(J168="FUERA","Fuera del marco",IFERROR(INDEX('Datos - Catálogo TIMSS'!$C$5:$C$107,MATCH(J168,'Datos - Catálogo TIMSS'!$A$5:$A$107,0)),"?"))</f>
        <v/>
      </c>
      <c r="N168" s="11" t="inlineStr">
        <is>
          <t>Estados de la materia y causas de cambios de estado</t>
        </is>
      </c>
    </row>
    <row r="169">
      <c r="A169" s="11" t="inlineStr">
        <is>
          <t>CO-EBC-G1_3-FIS-05</t>
        </is>
      </c>
      <c r="B169" s="11" t="inlineStr">
        <is>
          <t>Colombia</t>
        </is>
      </c>
      <c r="C169" s="11" t="inlineStr">
        <is>
          <t>CO_Estandares_Ciencias.pdf</t>
        </is>
      </c>
      <c r="D169" s="11" t="n">
        <v>38</v>
      </c>
      <c r="E169" s="11" t="inlineStr">
        <is>
          <t>1.°–3.°</t>
        </is>
      </c>
      <c r="F169" s="11" t="n">
        <v>1</v>
      </c>
      <c r="G169" s="11" t="inlineStr">
        <is>
          <t>Entorno físico</t>
        </is>
      </c>
      <c r="H169" s="38" t="inlineStr">
        <is>
          <t>Identifico y comparo fuentes de luz, calor y sonido y su efecto sobre diferentes seres vivos.</t>
        </is>
      </c>
      <c r="I169" s="11" t="inlineStr">
        <is>
          <t>T4_27</t>
        </is>
      </c>
      <c r="J169" s="11" t="inlineStr">
        <is>
          <t>T4_27-P2.1</t>
        </is>
      </c>
      <c r="K169" s="11" t="inlineStr">
        <is>
          <t>T4_27-P3.1</t>
        </is>
      </c>
      <c r="L169" s="11" t="inlineStr">
        <is>
          <t>media</t>
        </is>
      </c>
      <c r="M169" s="11">
        <f>IF(J169="FUERA","Fuera del marco",IFERROR(INDEX('Datos - Catálogo TIMSS'!$C$5:$C$107,MATCH(J169,'Datos - Catálogo TIMSS'!$A$5:$A$107,0)),"?"))</f>
        <v/>
      </c>
      <c r="N169" s="11" t="inlineStr">
        <is>
          <t>Fuentes de luz, calor y sonido como formas de energía</t>
        </is>
      </c>
    </row>
    <row r="170">
      <c r="A170" s="11" t="inlineStr">
        <is>
          <t>CO-EBC-G1_3-FIS-06</t>
        </is>
      </c>
      <c r="B170" s="11" t="inlineStr">
        <is>
          <t>Colombia</t>
        </is>
      </c>
      <c r="C170" s="11" t="inlineStr">
        <is>
          <t>CO_Estandares_Ciencias.pdf</t>
        </is>
      </c>
      <c r="D170" s="11" t="n">
        <v>38</v>
      </c>
      <c r="E170" s="11" t="inlineStr">
        <is>
          <t>1.°–3.°</t>
        </is>
      </c>
      <c r="F170" s="11" t="n">
        <v>1</v>
      </c>
      <c r="G170" s="11" t="inlineStr">
        <is>
          <t>Entorno físico</t>
        </is>
      </c>
      <c r="H170" s="38" t="inlineStr">
        <is>
          <t>Identifico situaciones en las que ocurre transferencia de energía térmica y realizo experiencias para verificar el fenómeno.</t>
        </is>
      </c>
      <c r="I170" s="11" t="inlineStr">
        <is>
          <t>T4_27</t>
        </is>
      </c>
      <c r="J170" s="11" t="inlineStr">
        <is>
          <t>T4_27-P2.2</t>
        </is>
      </c>
      <c r="K170" s="11" t="inlineStr">
        <is>
          <t>T4_27-P6.1</t>
        </is>
      </c>
      <c r="L170" s="11" t="inlineStr">
        <is>
          <t>alta</t>
        </is>
      </c>
      <c r="M170" s="11">
        <f>IF(J170="FUERA","Fuera del marco",IFERROR(INDEX('Datos - Catálogo TIMSS'!$C$5:$C$107,MATCH(J170,'Datos - Catálogo TIMSS'!$A$5:$A$107,0)),"?"))</f>
        <v/>
      </c>
      <c r="N170" s="11" t="inlineStr">
        <is>
          <t>Transferencia de energía térmica verificada experimentalmente</t>
        </is>
      </c>
    </row>
    <row r="171">
      <c r="A171" s="11" t="inlineStr">
        <is>
          <t>CO-EBC-G1_3-FIS-07</t>
        </is>
      </c>
      <c r="B171" s="11" t="inlineStr">
        <is>
          <t>Colombia</t>
        </is>
      </c>
      <c r="C171" s="11" t="inlineStr">
        <is>
          <t>CO_Estandares_Ciencias.pdf</t>
        </is>
      </c>
      <c r="D171" s="11" t="n">
        <v>38</v>
      </c>
      <c r="E171" s="11" t="inlineStr">
        <is>
          <t>1.°–3.°</t>
        </is>
      </c>
      <c r="F171" s="11" t="n">
        <v>1</v>
      </c>
      <c r="G171" s="11" t="inlineStr">
        <is>
          <t>Entorno físico</t>
        </is>
      </c>
      <c r="H171" s="38" t="inlineStr">
        <is>
          <t>Clasifico luces según color, intensidad y fuente.</t>
        </is>
      </c>
      <c r="I171" s="11" t="inlineStr">
        <is>
          <t>T4_27</t>
        </is>
      </c>
      <c r="J171" s="11" t="inlineStr">
        <is>
          <t>T4_27-P3.1</t>
        </is>
      </c>
      <c r="K171" s="11" t="inlineStr"/>
      <c r="L171" s="11" t="inlineStr">
        <is>
          <t>media</t>
        </is>
      </c>
      <c r="M171" s="11">
        <f>IF(J171="FUERA","Fuera del marco",IFERROR(INDEX('Datos - Catálogo TIMSS'!$C$5:$C$107,MATCH(J171,'Datos - Catálogo TIMSS'!$A$5:$A$107,0)),"?"))</f>
        <v/>
      </c>
      <c r="N171" s="11" t="inlineStr">
        <is>
          <t>Clasificar luces por color, intensidad y fuente</t>
        </is>
      </c>
    </row>
    <row r="172">
      <c r="A172" s="11" t="inlineStr">
        <is>
          <t>CO-EBC-G1_3-FIS-08</t>
        </is>
      </c>
      <c r="B172" s="11" t="inlineStr">
        <is>
          <t>Colombia</t>
        </is>
      </c>
      <c r="C172" s="11" t="inlineStr">
        <is>
          <t>CO_Estandares_Ciencias.pdf</t>
        </is>
      </c>
      <c r="D172" s="11" t="n">
        <v>38</v>
      </c>
      <c r="E172" s="11" t="inlineStr">
        <is>
          <t>1.°–3.°</t>
        </is>
      </c>
      <c r="F172" s="11" t="n">
        <v>1</v>
      </c>
      <c r="G172" s="11" t="inlineStr">
        <is>
          <t>Entorno físico</t>
        </is>
      </c>
      <c r="H172" s="38" t="inlineStr">
        <is>
          <t>Clasifico sonidos según tono, volumen y fuente.</t>
        </is>
      </c>
      <c r="I172" s="11" t="inlineStr">
        <is>
          <t>T4_27</t>
        </is>
      </c>
      <c r="J172" s="11" t="inlineStr">
        <is>
          <t>T4_27-P3.2</t>
        </is>
      </c>
      <c r="K172" s="11" t="inlineStr"/>
      <c r="L172" s="11" t="inlineStr">
        <is>
          <t>alta</t>
        </is>
      </c>
      <c r="M172" s="11">
        <f>IF(J172="FUERA","Fuera del marco",IFERROR(INDEX('Datos - Catálogo TIMSS'!$C$5:$C$107,MATCH(J172,'Datos - Catálogo TIMSS'!$A$5:$A$107,0)),"?"))</f>
        <v/>
      </c>
      <c r="N172" s="11" t="inlineStr">
        <is>
          <t>Clasificar sonidos por tono, volumen y fuente</t>
        </is>
      </c>
    </row>
    <row r="173">
      <c r="A173" s="11" t="inlineStr">
        <is>
          <t>CO-EBC-G1_3-FIS-09</t>
        </is>
      </c>
      <c r="B173" s="11" t="inlineStr">
        <is>
          <t>Colombia</t>
        </is>
      </c>
      <c r="C173" s="11" t="inlineStr">
        <is>
          <t>CO_Estandares_Ciencias.pdf</t>
        </is>
      </c>
      <c r="D173" s="11" t="n">
        <v>38</v>
      </c>
      <c r="E173" s="11" t="inlineStr">
        <is>
          <t>1.°–3.°</t>
        </is>
      </c>
      <c r="F173" s="11" t="n">
        <v>1</v>
      </c>
      <c r="G173" s="11" t="inlineStr">
        <is>
          <t>Entorno físico</t>
        </is>
      </c>
      <c r="H173" s="38" t="inlineStr">
        <is>
          <t>Propongo experiencias para comprobar la propagación de la luz y del sonido.</t>
        </is>
      </c>
      <c r="I173" s="11" t="inlineStr">
        <is>
          <t>T4_27</t>
        </is>
      </c>
      <c r="J173" s="11" t="inlineStr">
        <is>
          <t>T4_27-P3.1</t>
        </is>
      </c>
      <c r="K173" s="11" t="inlineStr">
        <is>
          <t>T4_27-P3.2</t>
        </is>
      </c>
      <c r="L173" s="11" t="inlineStr">
        <is>
          <t>media</t>
        </is>
      </c>
      <c r="M173" s="11">
        <f>IF(J173="FUERA","Fuera del marco",IFERROR(INDEX('Datos - Catálogo TIMSS'!$C$5:$C$107,MATCH(J173,'Datos - Catálogo TIMSS'!$A$5:$A$107,0)),"?"))</f>
        <v/>
      </c>
      <c r="N173" s="11" t="inlineStr">
        <is>
          <t>Experiencias sobre propagación de luz y sonido</t>
        </is>
      </c>
    </row>
    <row r="174">
      <c r="A174" s="11" t="inlineStr">
        <is>
          <t>CO-EBC-G1_3-FIS-10</t>
        </is>
      </c>
      <c r="B174" s="11" t="inlineStr">
        <is>
          <t>Colombia</t>
        </is>
      </c>
      <c r="C174" s="11" t="inlineStr">
        <is>
          <t>CO_Estandares_Ciencias.pdf</t>
        </is>
      </c>
      <c r="D174" s="11" t="n">
        <v>38</v>
      </c>
      <c r="E174" s="11" t="inlineStr">
        <is>
          <t>1.°–3.°</t>
        </is>
      </c>
      <c r="F174" s="11" t="n">
        <v>1</v>
      </c>
      <c r="G174" s="11" t="inlineStr">
        <is>
          <t>Entorno físico</t>
        </is>
      </c>
      <c r="H174" s="38" t="inlineStr">
        <is>
          <t>Identifico tipos de movimiento en seres vivos y objetos, y las fuerzas que los producen.</t>
        </is>
      </c>
      <c r="I174" s="11" t="inlineStr">
        <is>
          <t>T4_27</t>
        </is>
      </c>
      <c r="J174" s="11" t="inlineStr">
        <is>
          <t>T4_27-P5.1</t>
        </is>
      </c>
      <c r="K174" s="11" t="inlineStr"/>
      <c r="L174" s="11" t="inlineStr">
        <is>
          <t>alta</t>
        </is>
      </c>
      <c r="M174" s="11">
        <f>IF(J174="FUERA","Fuera del marco",IFERROR(INDEX('Datos - Catálogo TIMSS'!$C$5:$C$107,MATCH(J174,'Datos - Catálogo TIMSS'!$A$5:$A$107,0)),"?"))</f>
        <v/>
      </c>
      <c r="N174" s="11" t="inlineStr">
        <is>
          <t>Movimientos y fuerzas que los producen</t>
        </is>
      </c>
    </row>
    <row r="175">
      <c r="A175" s="11" t="inlineStr">
        <is>
          <t>CO-EBC-G1_3-FIS-11</t>
        </is>
      </c>
      <c r="B175" s="11" t="inlineStr">
        <is>
          <t>Colombia</t>
        </is>
      </c>
      <c r="C175" s="11" t="inlineStr">
        <is>
          <t>CO_Estandares_Ciencias.pdf</t>
        </is>
      </c>
      <c r="D175" s="11" t="n">
        <v>38</v>
      </c>
      <c r="E175" s="11" t="inlineStr">
        <is>
          <t>1.°–3.°</t>
        </is>
      </c>
      <c r="F175" s="11" t="n">
        <v>1</v>
      </c>
      <c r="G175" s="11" t="inlineStr">
        <is>
          <t>Entorno físico</t>
        </is>
      </c>
      <c r="H175" s="38" t="inlineStr">
        <is>
          <t>Verifico las fuerzas a distancia generadas por imanes sobre diferentes objetos.</t>
        </is>
      </c>
      <c r="I175" s="11" t="inlineStr">
        <is>
          <t>T4_27</t>
        </is>
      </c>
      <c r="J175" s="11" t="inlineStr">
        <is>
          <t>T4_27-P4.2</t>
        </is>
      </c>
      <c r="K175" s="11" t="inlineStr"/>
      <c r="L175" s="11" t="inlineStr">
        <is>
          <t>alta</t>
        </is>
      </c>
      <c r="M175" s="11">
        <f>IF(J175="FUERA","Fuera del marco",IFERROR(INDEX('Datos - Catálogo TIMSS'!$C$5:$C$107,MATCH(J175,'Datos - Catálogo TIMSS'!$A$5:$A$107,0)),"?"))</f>
        <v/>
      </c>
      <c r="N175" s="11" t="inlineStr">
        <is>
          <t>Fuerzas magnéticas a distancia sobre objetos</t>
        </is>
      </c>
    </row>
    <row r="176">
      <c r="A176" s="11" t="inlineStr">
        <is>
          <t>CO-EBC-G1_3-FIS-12</t>
        </is>
      </c>
      <c r="B176" s="11" t="inlineStr">
        <is>
          <t>Colombia</t>
        </is>
      </c>
      <c r="C176" s="11" t="inlineStr">
        <is>
          <t>CO_Estandares_Ciencias.pdf</t>
        </is>
      </c>
      <c r="D176" s="11" t="n">
        <v>38</v>
      </c>
      <c r="E176" s="11" t="inlineStr">
        <is>
          <t>1.°–3.°</t>
        </is>
      </c>
      <c r="F176" s="11" t="n">
        <v>1</v>
      </c>
      <c r="G176" s="11" t="inlineStr">
        <is>
          <t>Entorno físico</t>
        </is>
      </c>
      <c r="H176" s="38" t="inlineStr">
        <is>
          <t>Construyo circuitos eléctricos simples con pilas.</t>
        </is>
      </c>
      <c r="I176" s="11" t="inlineStr">
        <is>
          <t>T4_27</t>
        </is>
      </c>
      <c r="J176" s="11" t="inlineStr">
        <is>
          <t>T4_27-P4.1</t>
        </is>
      </c>
      <c r="K176" s="11" t="inlineStr"/>
      <c r="L176" s="11" t="inlineStr">
        <is>
          <t>alta</t>
        </is>
      </c>
      <c r="M176" s="11">
        <f>IF(J176="FUERA","Fuera del marco",IFERROR(INDEX('Datos - Catálogo TIMSS'!$C$5:$C$107,MATCH(J176,'Datos - Catálogo TIMSS'!$A$5:$A$107,0)),"?"))</f>
        <v/>
      </c>
      <c r="N176" s="11" t="inlineStr">
        <is>
          <t>Construir circuitos eléctricos simples con pilas</t>
        </is>
      </c>
    </row>
    <row r="177">
      <c r="A177" s="11" t="inlineStr">
        <is>
          <t>CO-EBC-G1_3-FIS-13</t>
        </is>
      </c>
      <c r="B177" s="11" t="inlineStr">
        <is>
          <t>Colombia</t>
        </is>
      </c>
      <c r="C177" s="11" t="inlineStr">
        <is>
          <t>CO_Estandares_Ciencias.pdf</t>
        </is>
      </c>
      <c r="D177" s="11" t="n">
        <v>38</v>
      </c>
      <c r="E177" s="11" t="inlineStr">
        <is>
          <t>1.°–3.°</t>
        </is>
      </c>
      <c r="F177" s="11" t="n">
        <v>1</v>
      </c>
      <c r="G177" s="11" t="inlineStr">
        <is>
          <t>Entorno físico</t>
        </is>
      </c>
      <c r="H177" s="38" t="inlineStr">
        <is>
          <t>Registro el movimiento del Sol, la Luna y las estrellas en el cielo, en un periodo de tiempo.</t>
        </is>
      </c>
      <c r="I177" s="11" t="inlineStr">
        <is>
          <t>T4_27</t>
        </is>
      </c>
      <c r="J177" s="11" t="inlineStr">
        <is>
          <t>T4_27-E4.1</t>
        </is>
      </c>
      <c r="K177" s="11" t="inlineStr">
        <is>
          <t>T4_27-E4.2</t>
        </is>
      </c>
      <c r="L177" s="11" t="inlineStr">
        <is>
          <t>media</t>
        </is>
      </c>
      <c r="M177" s="11">
        <f>IF(J177="FUERA","Fuera del marco",IFERROR(INDEX('Datos - Catálogo TIMSS'!$C$5:$C$107,MATCH(J177,'Datos - Catálogo TIMSS'!$A$5:$A$107,0)),"?"))</f>
        <v/>
      </c>
      <c r="N177" s="11" t="inlineStr">
        <is>
          <t>Movimiento aparente de Sol, Luna y estrellas</t>
        </is>
      </c>
    </row>
    <row r="178">
      <c r="A178" s="11" t="inlineStr">
        <is>
          <t>CO-EBC-G1_3-VIVO-01</t>
        </is>
      </c>
      <c r="B178" s="11" t="inlineStr">
        <is>
          <t>Colombia</t>
        </is>
      </c>
      <c r="C178" s="11" t="inlineStr">
        <is>
          <t>CO_Estandares_Ciencias.pdf</t>
        </is>
      </c>
      <c r="D178" s="11" t="n">
        <v>37</v>
      </c>
      <c r="E178" s="11" t="inlineStr">
        <is>
          <t>1.°–3.°</t>
        </is>
      </c>
      <c r="F178" s="11" t="n">
        <v>1</v>
      </c>
      <c r="G178" s="11" t="inlineStr">
        <is>
          <t>Entorno vivo</t>
        </is>
      </c>
      <c r="H178" s="38" t="inlineStr">
        <is>
          <t>Establezco relaciones entre las funciones de los cinco sentidos.</t>
        </is>
      </c>
      <c r="I178" s="11" t="inlineStr">
        <is>
          <t>T4_27</t>
        </is>
      </c>
      <c r="J178" s="11" t="inlineStr">
        <is>
          <t>T4_27-B1.3</t>
        </is>
      </c>
      <c r="K178" s="11" t="inlineStr">
        <is>
          <t>T4_27-B1.4</t>
        </is>
      </c>
      <c r="L178" s="11" t="inlineStr">
        <is>
          <t>media</t>
        </is>
      </c>
      <c r="M178" s="11">
        <f>IF(J178="FUERA","Fuera del marco",IFERROR(INDEX('Datos - Catálogo TIMSS'!$C$5:$C$107,MATCH(J178,'Datos - Catálogo TIMSS'!$A$5:$A$107,0)),"?"))</f>
        <v/>
      </c>
      <c r="N178" s="11" t="inlineStr">
        <is>
          <t>Funciones de los órganos de los sentidos</t>
        </is>
      </c>
    </row>
    <row r="179">
      <c r="A179" s="11" t="inlineStr">
        <is>
          <t>CO-EBC-G1_3-VIVO-02</t>
        </is>
      </c>
      <c r="B179" s="11" t="inlineStr">
        <is>
          <t>Colombia</t>
        </is>
      </c>
      <c r="C179" s="11" t="inlineStr">
        <is>
          <t>CO_Estandares_Ciencias.pdf</t>
        </is>
      </c>
      <c r="D179" s="11" t="n">
        <v>37</v>
      </c>
      <c r="E179" s="11" t="inlineStr">
        <is>
          <t>1.°–3.°</t>
        </is>
      </c>
      <c r="F179" s="11" t="n">
        <v>1</v>
      </c>
      <c r="G179" s="11" t="inlineStr">
        <is>
          <t>Entorno vivo</t>
        </is>
      </c>
      <c r="H179" s="38" t="inlineStr">
        <is>
          <t>Describo mi cuerpo y el de mis compañeros y compañeras.</t>
        </is>
      </c>
      <c r="I179" s="11" t="inlineStr">
        <is>
          <t>T4_27</t>
        </is>
      </c>
      <c r="J179" s="11" t="inlineStr">
        <is>
          <t>T4_27-B1.3</t>
        </is>
      </c>
      <c r="K179" s="11" t="inlineStr"/>
      <c r="L179" s="11" t="inlineStr">
        <is>
          <t>media</t>
        </is>
      </c>
      <c r="M179" s="11">
        <f>IF(J179="FUERA","Fuera del marco",IFERROR(INDEX('Datos - Catálogo TIMSS'!$C$5:$C$107,MATCH(J179,'Datos - Catálogo TIMSS'!$A$5:$A$107,0)),"?"))</f>
        <v/>
      </c>
      <c r="N179" s="11" t="inlineStr">
        <is>
          <t>Describir partes del cuerpo humano</t>
        </is>
      </c>
    </row>
    <row r="180">
      <c r="A180" s="11" t="inlineStr">
        <is>
          <t>CO-EBC-G1_3-VIVO-03</t>
        </is>
      </c>
      <c r="B180" s="11" t="inlineStr">
        <is>
          <t>Colombia</t>
        </is>
      </c>
      <c r="C180" s="11" t="inlineStr">
        <is>
          <t>CO_Estandares_Ciencias.pdf</t>
        </is>
      </c>
      <c r="D180" s="11" t="n">
        <v>37</v>
      </c>
      <c r="E180" s="11" t="inlineStr">
        <is>
          <t>1.°–3.°</t>
        </is>
      </c>
      <c r="F180" s="11" t="n">
        <v>1</v>
      </c>
      <c r="G180" s="11" t="inlineStr">
        <is>
          <t>Entorno vivo</t>
        </is>
      </c>
      <c r="H180" s="38" t="inlineStr">
        <is>
          <t>Describo características de seres vivos y objetos inertes, establezco semejanzas y diferencias entre ellos y los clasifico.</t>
        </is>
      </c>
      <c r="I180" s="11" t="inlineStr">
        <is>
          <t>T4_27</t>
        </is>
      </c>
      <c r="J180" s="11" t="inlineStr">
        <is>
          <t>T4_27-B1.1</t>
        </is>
      </c>
      <c r="K180" s="11" t="inlineStr">
        <is>
          <t>T4_27-B1.2</t>
        </is>
      </c>
      <c r="L180" s="11" t="inlineStr">
        <is>
          <t>alta</t>
        </is>
      </c>
      <c r="M180" s="11">
        <f>IF(J180="FUERA","Fuera del marco",IFERROR(INDEX('Datos - Catálogo TIMSS'!$C$5:$C$107,MATCH(J180,'Datos - Catálogo TIMSS'!$A$5:$A$107,0)),"?"))</f>
        <v/>
      </c>
      <c r="N180" s="11" t="inlineStr">
        <is>
          <t>Distinguir y clasificar seres vivos y objetos inertes</t>
        </is>
      </c>
    </row>
    <row r="181">
      <c r="A181" s="11" t="inlineStr">
        <is>
          <t>CO-EBC-G1_3-VIVO-04</t>
        </is>
      </c>
      <c r="B181" s="11" t="inlineStr">
        <is>
          <t>Colombia</t>
        </is>
      </c>
      <c r="C181" s="11" t="inlineStr">
        <is>
          <t>CO_Estandares_Ciencias.pdf</t>
        </is>
      </c>
      <c r="D181" s="11" t="n">
        <v>37</v>
      </c>
      <c r="E181" s="11" t="inlineStr">
        <is>
          <t>1.°–3.°</t>
        </is>
      </c>
      <c r="F181" s="11" t="n">
        <v>1</v>
      </c>
      <c r="G181" s="11" t="inlineStr">
        <is>
          <t>Entorno vivo</t>
        </is>
      </c>
      <c r="H181" s="38" t="inlineStr">
        <is>
          <t>Propongo y verifico necesidades de los seres vivos.</t>
        </is>
      </c>
      <c r="I181" s="11" t="inlineStr">
        <is>
          <t>T4_27</t>
        </is>
      </c>
      <c r="J181" s="11" t="inlineStr">
        <is>
          <t>T4_27-B1.1</t>
        </is>
      </c>
      <c r="K181" s="11" t="inlineStr">
        <is>
          <t>T4_27-B6.1</t>
        </is>
      </c>
      <c r="L181" s="11" t="inlineStr">
        <is>
          <t>alta</t>
        </is>
      </c>
      <c r="M181" s="11">
        <f>IF(J181="FUERA","Fuera del marco",IFERROR(INDEX('Datos - Catálogo TIMSS'!$C$5:$C$107,MATCH(J181,'Datos - Catálogo TIMSS'!$A$5:$A$107,0)),"?"))</f>
        <v/>
      </c>
      <c r="N181" s="11" t="inlineStr">
        <is>
          <t>Necesidades de los seres vivos, verificadas por indagación</t>
        </is>
      </c>
    </row>
    <row r="182">
      <c r="A182" s="11" t="inlineStr">
        <is>
          <t>CO-EBC-G1_3-VIVO-05</t>
        </is>
      </c>
      <c r="B182" s="11" t="inlineStr">
        <is>
          <t>Colombia</t>
        </is>
      </c>
      <c r="C182" s="11" t="inlineStr">
        <is>
          <t>CO_Estandares_Ciencias.pdf</t>
        </is>
      </c>
      <c r="D182" s="11" t="n">
        <v>37</v>
      </c>
      <c r="E182" s="11" t="inlineStr">
        <is>
          <t>1.°–3.°</t>
        </is>
      </c>
      <c r="F182" s="11" t="n">
        <v>1</v>
      </c>
      <c r="G182" s="11" t="inlineStr">
        <is>
          <t>Entorno vivo</t>
        </is>
      </c>
      <c r="H182" s="38" t="inlineStr">
        <is>
          <t>Observo y describo cambios en mi desarrollo y en el de otros seres vivos.</t>
        </is>
      </c>
      <c r="I182" s="11" t="inlineStr">
        <is>
          <t>T4_27</t>
        </is>
      </c>
      <c r="J182" s="11" t="inlineStr">
        <is>
          <t>T4_27-B2.1</t>
        </is>
      </c>
      <c r="K182" s="11" t="inlineStr"/>
      <c r="L182" s="11" t="inlineStr">
        <is>
          <t>alta</t>
        </is>
      </c>
      <c r="M182" s="11">
        <f>IF(J182="FUERA","Fuera del marco",IFERROR(INDEX('Datos - Catálogo TIMSS'!$C$5:$C$107,MATCH(J182,'Datos - Catálogo TIMSS'!$A$5:$A$107,0)),"?"))</f>
        <v/>
      </c>
      <c r="N182" s="11" t="inlineStr">
        <is>
          <t>Cambios en el desarrollo de los seres vivos</t>
        </is>
      </c>
    </row>
    <row r="183">
      <c r="A183" s="11" t="inlineStr">
        <is>
          <t>CO-EBC-G1_3-VIVO-06</t>
        </is>
      </c>
      <c r="B183" s="11" t="inlineStr">
        <is>
          <t>Colombia</t>
        </is>
      </c>
      <c r="C183" s="11" t="inlineStr">
        <is>
          <t>CO_Estandares_Ciencias.pdf</t>
        </is>
      </c>
      <c r="D183" s="11" t="n">
        <v>37</v>
      </c>
      <c r="E183" s="11" t="inlineStr">
        <is>
          <t>1.°–3.°</t>
        </is>
      </c>
      <c r="F183" s="11" t="n">
        <v>1</v>
      </c>
      <c r="G183" s="11" t="inlineStr">
        <is>
          <t>Entorno vivo</t>
        </is>
      </c>
      <c r="H183" s="38" t="inlineStr">
        <is>
          <t>Describo y verifico ciclos de vida de seres vivos.</t>
        </is>
      </c>
      <c r="I183" s="11" t="inlineStr">
        <is>
          <t>T4_27</t>
        </is>
      </c>
      <c r="J183" s="11" t="inlineStr">
        <is>
          <t>T4_27-B2.1</t>
        </is>
      </c>
      <c r="K183" s="11" t="inlineStr"/>
      <c r="L183" s="11" t="inlineStr">
        <is>
          <t>alta</t>
        </is>
      </c>
      <c r="M183" s="11">
        <f>IF(J183="FUERA","Fuera del marco",IFERROR(INDEX('Datos - Catálogo TIMSS'!$C$5:$C$107,MATCH(J183,'Datos - Catálogo TIMSS'!$A$5:$A$107,0)),"?"))</f>
        <v/>
      </c>
      <c r="N183" s="11" t="inlineStr">
        <is>
          <t>Ciclos de vida de seres vivos</t>
        </is>
      </c>
    </row>
    <row r="184">
      <c r="A184" s="11" t="inlineStr">
        <is>
          <t>CO-EBC-G1_3-VIVO-07</t>
        </is>
      </c>
      <c r="B184" s="11" t="inlineStr">
        <is>
          <t>Colombia</t>
        </is>
      </c>
      <c r="C184" s="11" t="inlineStr">
        <is>
          <t>CO_Estandares_Ciencias.pdf</t>
        </is>
      </c>
      <c r="D184" s="11" t="n">
        <v>37</v>
      </c>
      <c r="E184" s="11" t="inlineStr">
        <is>
          <t>1.°–3.°</t>
        </is>
      </c>
      <c r="F184" s="11" t="n">
        <v>1</v>
      </c>
      <c r="G184" s="11" t="inlineStr">
        <is>
          <t>Entorno vivo</t>
        </is>
      </c>
      <c r="H184" s="38" t="inlineStr">
        <is>
          <t>Reconozco que los hijos y las hijas se parecen a sus padres y describo algunas características que se heredan.</t>
        </is>
      </c>
      <c r="I184" s="11" t="inlineStr">
        <is>
          <t>T4_27</t>
        </is>
      </c>
      <c r="J184" s="11" t="inlineStr">
        <is>
          <t>T4_27-B2.2</t>
        </is>
      </c>
      <c r="K184" s="11" t="inlineStr"/>
      <c r="L184" s="11" t="inlineStr">
        <is>
          <t>alta</t>
        </is>
      </c>
      <c r="M184" s="11">
        <f>IF(J184="FUERA","Fuera del marco",IFERROR(INDEX('Datos - Catálogo TIMSS'!$C$5:$C$107,MATCH(J184,'Datos - Catálogo TIMSS'!$A$5:$A$107,0)),"?"))</f>
        <v/>
      </c>
      <c r="N184" s="11" t="inlineStr">
        <is>
          <t>Parecido a los padres y rasgos heredados</t>
        </is>
      </c>
    </row>
    <row r="185">
      <c r="A185" s="11" t="inlineStr">
        <is>
          <t>CO-EBC-G1_3-VIVO-08</t>
        </is>
      </c>
      <c r="B185" s="11" t="inlineStr">
        <is>
          <t>Colombia</t>
        </is>
      </c>
      <c r="C185" s="11" t="inlineStr">
        <is>
          <t>CO_Estandares_Ciencias.pdf</t>
        </is>
      </c>
      <c r="D185" s="11" t="n">
        <v>37</v>
      </c>
      <c r="E185" s="11" t="inlineStr">
        <is>
          <t>1.°–3.°</t>
        </is>
      </c>
      <c r="F185" s="11" t="n">
        <v>1</v>
      </c>
      <c r="G185" s="11" t="inlineStr">
        <is>
          <t>Entorno vivo</t>
        </is>
      </c>
      <c r="H185" s="38" t="inlineStr">
        <is>
          <t>Identifico y describo la flora, la fauna, el agua y el suelo de mi entorno.</t>
        </is>
      </c>
      <c r="I185" s="11" t="inlineStr">
        <is>
          <t>T4_27</t>
        </is>
      </c>
      <c r="J185" s="11" t="inlineStr">
        <is>
          <t>T4_27-B4.1</t>
        </is>
      </c>
      <c r="K185" s="11" t="inlineStr">
        <is>
          <t>T4_27-E3.1</t>
        </is>
      </c>
      <c r="L185" s="11" t="inlineStr">
        <is>
          <t>media</t>
        </is>
      </c>
      <c r="M185" s="11">
        <f>IF(J185="FUERA","Fuera del marco",IFERROR(INDEX('Datos - Catálogo TIMSS'!$C$5:$C$107,MATCH(J185,'Datos - Catálogo TIMSS'!$A$5:$A$107,0)),"?"))</f>
        <v/>
      </c>
      <c r="N185" s="11" t="inlineStr">
        <is>
          <t>Flora, fauna, agua y suelo del entorno</t>
        </is>
      </c>
    </row>
    <row r="186">
      <c r="A186" s="11" t="inlineStr">
        <is>
          <t>CO-EBC-G1_3-VIVO-09</t>
        </is>
      </c>
      <c r="B186" s="11" t="inlineStr">
        <is>
          <t>Colombia</t>
        </is>
      </c>
      <c r="C186" s="11" t="inlineStr">
        <is>
          <t>CO_Estandares_Ciencias.pdf</t>
        </is>
      </c>
      <c r="D186" s="11" t="n">
        <v>37</v>
      </c>
      <c r="E186" s="11" t="inlineStr">
        <is>
          <t>1.°–3.°</t>
        </is>
      </c>
      <c r="F186" s="11" t="n">
        <v>1</v>
      </c>
      <c r="G186" s="11" t="inlineStr">
        <is>
          <t>Entorno vivo</t>
        </is>
      </c>
      <c r="H186" s="38" t="inlineStr">
        <is>
          <t>Explico adaptaciones de los seres vivos al ambiente.</t>
        </is>
      </c>
      <c r="I186" s="11" t="inlineStr">
        <is>
          <t>T4_27</t>
        </is>
      </c>
      <c r="J186" s="11" t="inlineStr">
        <is>
          <t>T4_27-B3.1</t>
        </is>
      </c>
      <c r="K186" s="11" t="inlineStr"/>
      <c r="L186" s="11" t="inlineStr">
        <is>
          <t>alta</t>
        </is>
      </c>
      <c r="M186" s="11">
        <f>IF(J186="FUERA","Fuera del marco",IFERROR(INDEX('Datos - Catálogo TIMSS'!$C$5:$C$107,MATCH(J186,'Datos - Catálogo TIMSS'!$A$5:$A$107,0)),"?"))</f>
        <v/>
      </c>
      <c r="N186" s="11" t="inlineStr">
        <is>
          <t>Adaptaciones de seres vivos al ambiente</t>
        </is>
      </c>
    </row>
    <row r="187">
      <c r="A187" s="11" t="inlineStr">
        <is>
          <t>CO-EBC-G1_3-VIVO-10</t>
        </is>
      </c>
      <c r="B187" s="11" t="inlineStr">
        <is>
          <t>Colombia</t>
        </is>
      </c>
      <c r="C187" s="11" t="inlineStr">
        <is>
          <t>CO_Estandares_Ciencias.pdf</t>
        </is>
      </c>
      <c r="D187" s="11" t="n">
        <v>37</v>
      </c>
      <c r="E187" s="11" t="inlineStr">
        <is>
          <t>1.°–3.°</t>
        </is>
      </c>
      <c r="F187" s="11" t="n">
        <v>1</v>
      </c>
      <c r="G187" s="11" t="inlineStr">
        <is>
          <t>Entorno vivo</t>
        </is>
      </c>
      <c r="H187" s="38" t="inlineStr">
        <is>
          <t>Comparo fósiles y seres vivos; identifico características que se mantienen en el tiempo.</t>
        </is>
      </c>
      <c r="I187" s="11" t="inlineStr">
        <is>
          <t>T4_27</t>
        </is>
      </c>
      <c r="J187" s="11" t="inlineStr">
        <is>
          <t>T4_27-E1.2</t>
        </is>
      </c>
      <c r="K187" s="11" t="inlineStr">
        <is>
          <t>T4_27-B1.2</t>
        </is>
      </c>
      <c r="L187" s="11" t="inlineStr">
        <is>
          <t>media</t>
        </is>
      </c>
      <c r="M187" s="11">
        <f>IF(J187="FUERA","Fuera del marco",IFERROR(INDEX('Datos - Catálogo TIMSS'!$C$5:$C$107,MATCH(J187,'Datos - Catálogo TIMSS'!$A$5:$A$107,0)),"?"))</f>
        <v/>
      </c>
      <c r="N187" s="11" t="inlineStr">
        <is>
          <t>Fósiles comparados con seres vivos actuales</t>
        </is>
      </c>
    </row>
    <row r="188">
      <c r="A188" s="11" t="inlineStr">
        <is>
          <t>CO-EBC-G1_3-VIVO-11</t>
        </is>
      </c>
      <c r="B188" s="11" t="inlineStr">
        <is>
          <t>Colombia</t>
        </is>
      </c>
      <c r="C188" s="11" t="inlineStr">
        <is>
          <t>CO_Estandares_Ciencias.pdf</t>
        </is>
      </c>
      <c r="D188" s="11" t="n">
        <v>37</v>
      </c>
      <c r="E188" s="11" t="inlineStr">
        <is>
          <t>1.°–3.°</t>
        </is>
      </c>
      <c r="F188" s="11" t="n">
        <v>1</v>
      </c>
      <c r="G188" s="11" t="inlineStr">
        <is>
          <t>Entorno vivo</t>
        </is>
      </c>
      <c r="H188" s="38" t="inlineStr">
        <is>
          <t>Identifico patrones comunes a los seres vivos.</t>
        </is>
      </c>
      <c r="I188" s="11" t="inlineStr">
        <is>
          <t>T4_27</t>
        </is>
      </c>
      <c r="J188" s="11" t="inlineStr">
        <is>
          <t>T4_27-B1.1</t>
        </is>
      </c>
      <c r="K188" s="11" t="inlineStr"/>
      <c r="L188" s="11" t="inlineStr">
        <is>
          <t>media</t>
        </is>
      </c>
      <c r="M188" s="11">
        <f>IF(J188="FUERA","Fuera del marco",IFERROR(INDEX('Datos - Catálogo TIMSS'!$C$5:$C$107,MATCH(J188,'Datos - Catálogo TIMSS'!$A$5:$A$107,0)),"?"))</f>
        <v/>
      </c>
      <c r="N188" s="11" t="inlineStr">
        <is>
          <t>Patrones comunes a los seres vivos</t>
        </is>
      </c>
    </row>
    <row r="189">
      <c r="A189" s="11" t="inlineStr">
        <is>
          <t>CO-DBA-G2-01</t>
        </is>
      </c>
      <c r="B189" s="11" t="inlineStr">
        <is>
          <t>Colombia</t>
        </is>
      </c>
      <c r="C189" s="11" t="inlineStr">
        <is>
          <t>CO_DBA_Ciencias_Naturales.pdf</t>
        </is>
      </c>
      <c r="D189" s="11" t="n">
        <v>10</v>
      </c>
      <c r="E189" s="11" t="inlineStr">
        <is>
          <t>2.°</t>
        </is>
      </c>
      <c r="F189" s="11" t="n">
        <v>2</v>
      </c>
      <c r="G189" s="11" t="inlineStr"/>
      <c r="H189" s="38" t="inlineStr">
        <is>
          <t>Comprende que una fuerza puede producir distintas deformaciones en un objeto y que este resiste de diferente modo según el material del que está hecho.</t>
        </is>
      </c>
      <c r="I189" s="11" t="inlineStr">
        <is>
          <t>T4_27</t>
        </is>
      </c>
      <c r="J189" s="11" t="inlineStr">
        <is>
          <t>T4_27-P5.1</t>
        </is>
      </c>
      <c r="K189" s="11" t="inlineStr">
        <is>
          <t>T4_27-P1.2</t>
        </is>
      </c>
      <c r="L189" s="11" t="inlineStr">
        <is>
          <t>media</t>
        </is>
      </c>
      <c r="M189" s="11">
        <f>IF(J189="FUERA","Fuera del marco",IFERROR(INDEX('Datos - Catálogo TIMSS'!$C$5:$C$107,MATCH(J189,'Datos - Catálogo TIMSS'!$A$5:$A$107,0)),"?"))</f>
        <v/>
      </c>
      <c r="N189" s="11" t="inlineStr">
        <is>
          <t>Fuerzas que deforman objetos; resistencia según el material</t>
        </is>
      </c>
    </row>
    <row r="190">
      <c r="A190" s="11" t="inlineStr">
        <is>
          <t>CO-DBA-G2-02</t>
        </is>
      </c>
      <c r="B190" s="11" t="inlineStr">
        <is>
          <t>Colombia</t>
        </is>
      </c>
      <c r="C190" s="11" t="inlineStr">
        <is>
          <t>CO_DBA_Ciencias_Naturales.pdf</t>
        </is>
      </c>
      <c r="D190" s="11" t="n">
        <v>10</v>
      </c>
      <c r="E190" s="11" t="inlineStr">
        <is>
          <t>2.°</t>
        </is>
      </c>
      <c r="F190" s="11" t="n">
        <v>2</v>
      </c>
      <c r="G190" s="11" t="inlineStr"/>
      <c r="H190" s="38" t="inlineStr">
        <is>
          <t>Comprende que las sustancias pueden encontrarse en distintos estados (sólido, líquido y gaseoso).</t>
        </is>
      </c>
      <c r="I190" s="11" t="inlineStr">
        <is>
          <t>T4_27</t>
        </is>
      </c>
      <c r="J190" s="11" t="inlineStr">
        <is>
          <t>T4_27-P1.1</t>
        </is>
      </c>
      <c r="K190" s="11" t="inlineStr"/>
      <c r="L190" s="11" t="inlineStr">
        <is>
          <t>alta</t>
        </is>
      </c>
      <c r="M190" s="11">
        <f>IF(J190="FUERA","Fuera del marco",IFERROR(INDEX('Datos - Catálogo TIMSS'!$C$5:$C$107,MATCH(J190,'Datos - Catálogo TIMSS'!$A$5:$A$107,0)),"?"))</f>
        <v/>
      </c>
      <c r="N190" s="11" t="inlineStr">
        <is>
          <t>Estados sólido, líquido y gaseoso de la materia</t>
        </is>
      </c>
    </row>
    <row r="191">
      <c r="A191" s="11" t="inlineStr">
        <is>
          <t>CO-DBA-G2-03</t>
        </is>
      </c>
      <c r="B191" s="11" t="inlineStr">
        <is>
          <t>Colombia</t>
        </is>
      </c>
      <c r="C191" s="11" t="inlineStr">
        <is>
          <t>CO_DBA_Ciencias_Naturales.pdf</t>
        </is>
      </c>
      <c r="D191" s="11" t="n">
        <v>11</v>
      </c>
      <c r="E191" s="11" t="inlineStr">
        <is>
          <t>2.°</t>
        </is>
      </c>
      <c r="F191" s="11" t="n">
        <v>2</v>
      </c>
      <c r="G191" s="11" t="inlineStr"/>
      <c r="H191" s="38" t="inlineStr">
        <is>
          <t>Comprende la relación entre las características físicas de plantas y animales y sus ambientes, según sus necesidades básicas (luz, agua, aire, suelo, nutrientes, desplazamiento, protección).</t>
        </is>
      </c>
      <c r="I191" s="11" t="inlineStr">
        <is>
          <t>T4_27</t>
        </is>
      </c>
      <c r="J191" s="11" t="inlineStr">
        <is>
          <t>T4_27-B3.1</t>
        </is>
      </c>
      <c r="K191" s="11" t="inlineStr">
        <is>
          <t>T4_27-B1.1</t>
        </is>
      </c>
      <c r="L191" s="11" t="inlineStr">
        <is>
          <t>alta</t>
        </is>
      </c>
      <c r="M191" s="11">
        <f>IF(J191="FUERA","Fuera del marco",IFERROR(INDEX('Datos - Catálogo TIMSS'!$C$5:$C$107,MATCH(J191,'Datos - Catálogo TIMSS'!$A$5:$A$107,0)),"?"))</f>
        <v/>
      </c>
      <c r="N191" s="11" t="inlineStr">
        <is>
          <t>Rasgos físicos ligados al ambiente según necesidades básicas</t>
        </is>
      </c>
    </row>
    <row r="192">
      <c r="A192" s="11" t="inlineStr">
        <is>
          <t>CO-DBA-G2-04</t>
        </is>
      </c>
      <c r="B192" s="11" t="inlineStr">
        <is>
          <t>Colombia</t>
        </is>
      </c>
      <c r="C192" s="11" t="inlineStr">
        <is>
          <t>CO_DBA_Ciencias_Naturales.pdf</t>
        </is>
      </c>
      <c r="D192" s="11" t="n">
        <v>11</v>
      </c>
      <c r="E192" s="11" t="inlineStr">
        <is>
          <t>2.°</t>
        </is>
      </c>
      <c r="F192" s="11" t="n">
        <v>2</v>
      </c>
      <c r="G192" s="11" t="inlineStr"/>
      <c r="H192" s="38" t="inlineStr">
        <is>
          <t>Explica los procesos de cambios físicos que ocurren en el ciclo de vida de plantas y animales de su entorno, en un período de tiempo determinado.</t>
        </is>
      </c>
      <c r="I192" s="11" t="inlineStr">
        <is>
          <t>T4_27</t>
        </is>
      </c>
      <c r="J192" s="11" t="inlineStr">
        <is>
          <t>T4_27-B2.1</t>
        </is>
      </c>
      <c r="K192" s="11" t="inlineStr"/>
      <c r="L192" s="11" t="inlineStr">
        <is>
          <t>alta</t>
        </is>
      </c>
      <c r="M192" s="11">
        <f>IF(J192="FUERA","Fuera del marco",IFERROR(INDEX('Datos - Catálogo TIMSS'!$C$5:$C$107,MATCH(J192,'Datos - Catálogo TIMSS'!$A$5:$A$107,0)),"?"))</f>
        <v/>
      </c>
      <c r="N192" s="11" t="inlineStr">
        <is>
          <t>Cambios en el ciclo de vida de plantas y animales</t>
        </is>
      </c>
    </row>
    <row r="193">
      <c r="A193" s="11" t="inlineStr">
        <is>
          <t>CO-DBA-G3-01</t>
        </is>
      </c>
      <c r="B193" s="11" t="inlineStr">
        <is>
          <t>Colombia</t>
        </is>
      </c>
      <c r="C193" s="11" t="inlineStr">
        <is>
          <t>CO_DBA_Ciencias_Naturales.pdf</t>
        </is>
      </c>
      <c r="D193" s="11" t="n">
        <v>12</v>
      </c>
      <c r="E193" s="11" t="inlineStr">
        <is>
          <t>3.°</t>
        </is>
      </c>
      <c r="F193" s="11" t="n">
        <v>3</v>
      </c>
      <c r="G193" s="11" t="inlineStr"/>
      <c r="H193" s="38" t="inlineStr">
        <is>
          <t>Comprende la forma en que se propaga la luz a través de diferentes materiales (opacos, transparentes como el aire, translúcidos como el papel y reflectivos como el espejo).</t>
        </is>
      </c>
      <c r="I193" s="11" t="inlineStr">
        <is>
          <t>T4_27</t>
        </is>
      </c>
      <c r="J193" s="11" t="inlineStr">
        <is>
          <t>T4_27-P3.1</t>
        </is>
      </c>
      <c r="K193" s="11" t="inlineStr"/>
      <c r="L193" s="11" t="inlineStr">
        <is>
          <t>alta</t>
        </is>
      </c>
      <c r="M193" s="11">
        <f>IF(J193="FUERA","Fuera del marco",IFERROR(INDEX('Datos - Catálogo TIMSS'!$C$5:$C$107,MATCH(J193,'Datos - Catálogo TIMSS'!$A$5:$A$107,0)),"?"))</f>
        <v/>
      </c>
      <c r="N193" s="11" t="inlineStr">
        <is>
          <t>Propagación de la luz en materiales opacos, transparentes y reflectivos</t>
        </is>
      </c>
    </row>
    <row r="194">
      <c r="A194" s="11" t="inlineStr">
        <is>
          <t>CO-DBA-G3-02</t>
        </is>
      </c>
      <c r="B194" s="11" t="inlineStr">
        <is>
          <t>Colombia</t>
        </is>
      </c>
      <c r="C194" s="11" t="inlineStr">
        <is>
          <t>CO_DBA_Ciencias_Naturales.pdf</t>
        </is>
      </c>
      <c r="D194" s="11" t="n">
        <v>12</v>
      </c>
      <c r="E194" s="11" t="inlineStr">
        <is>
          <t>3.°</t>
        </is>
      </c>
      <c r="F194" s="11" t="n">
        <v>3</v>
      </c>
      <c r="G194" s="11" t="inlineStr"/>
      <c r="H194" s="38" t="inlineStr">
        <is>
          <t>Comprende cómo se produce la sombra y la relación de su tamaño con las distancias entre fuente de luz, objeto interpuesto y lugar donde se proyecta.</t>
        </is>
      </c>
      <c r="I194" s="11" t="inlineStr">
        <is>
          <t>T4_27</t>
        </is>
      </c>
      <c r="J194" s="11" t="inlineStr">
        <is>
          <t>T4_27-P3.1</t>
        </is>
      </c>
      <c r="K194" s="11" t="inlineStr"/>
      <c r="L194" s="11" t="inlineStr">
        <is>
          <t>alta</t>
        </is>
      </c>
      <c r="M194" s="11">
        <f>IF(J194="FUERA","Fuera del marco",IFERROR(INDEX('Datos - Catálogo TIMSS'!$C$5:$C$107,MATCH(J194,'Datos - Catálogo TIMSS'!$A$5:$A$107,0)),"?"))</f>
        <v/>
      </c>
      <c r="N194" s="11" t="inlineStr">
        <is>
          <t>Formación de sombras y su tamaño</t>
        </is>
      </c>
    </row>
    <row r="195">
      <c r="A195" s="11" t="inlineStr">
        <is>
          <t>CO-DBA-G3-03</t>
        </is>
      </c>
      <c r="B195" s="11" t="inlineStr">
        <is>
          <t>Colombia</t>
        </is>
      </c>
      <c r="C195" s="11" t="inlineStr">
        <is>
          <t>CO_DBA_Ciencias_Naturales.pdf</t>
        </is>
      </c>
      <c r="D195" s="11" t="n">
        <v>13</v>
      </c>
      <c r="E195" s="11" t="inlineStr">
        <is>
          <t>3.°</t>
        </is>
      </c>
      <c r="F195" s="11" t="n">
        <v>3</v>
      </c>
      <c r="G195" s="11" t="inlineStr"/>
      <c r="H195" s="38" t="inlineStr">
        <is>
          <t>Comprende la naturaleza (fenómeno de la vibración) y las características del sonido (altura, timbre, intensidad) y que este se propaga en distintos medios (sólidos, líquidos, gaseosos).</t>
        </is>
      </c>
      <c r="I195" s="11" t="inlineStr">
        <is>
          <t>T4_27</t>
        </is>
      </c>
      <c r="J195" s="11" t="inlineStr">
        <is>
          <t>T4_27-P3.2</t>
        </is>
      </c>
      <c r="K195" s="11" t="inlineStr"/>
      <c r="L195" s="11" t="inlineStr">
        <is>
          <t>alta</t>
        </is>
      </c>
      <c r="M195" s="11">
        <f>IF(J195="FUERA","Fuera del marco",IFERROR(INDEX('Datos - Catálogo TIMSS'!$C$5:$C$107,MATCH(J195,'Datos - Catálogo TIMSS'!$A$5:$A$107,0)),"?"))</f>
        <v/>
      </c>
      <c r="N195" s="11" t="inlineStr">
        <is>
          <t>Vibración, características y propagación del sonido</t>
        </is>
      </c>
    </row>
    <row r="196">
      <c r="A196" s="11" t="inlineStr">
        <is>
          <t>CO-DBA-G3-04</t>
        </is>
      </c>
      <c r="B196" s="11" t="inlineStr">
        <is>
          <t>Colombia</t>
        </is>
      </c>
      <c r="C196" s="11" t="inlineStr">
        <is>
          <t>CO_DBA_Ciencias_Naturales.pdf</t>
        </is>
      </c>
      <c r="D196" s="11" t="n">
        <v>13</v>
      </c>
      <c r="E196" s="11" t="inlineStr">
        <is>
          <t>3.°</t>
        </is>
      </c>
      <c r="F196" s="11" t="n">
        <v>3</v>
      </c>
      <c r="G196" s="11" t="inlineStr"/>
      <c r="H196" s="38" t="inlineStr">
        <is>
          <t>Comprende la influencia de la variación de la temperatura en los cambios de estado de la materia, considerando como ejemplo el caso del agua.</t>
        </is>
      </c>
      <c r="I196" s="11" t="inlineStr">
        <is>
          <t>T4_27</t>
        </is>
      </c>
      <c r="J196" s="11" t="inlineStr">
        <is>
          <t>T4_27-P1.1</t>
        </is>
      </c>
      <c r="K196" s="11" t="inlineStr"/>
      <c r="L196" s="11" t="inlineStr">
        <is>
          <t>alta</t>
        </is>
      </c>
      <c r="M196" s="11">
        <f>IF(J196="FUERA","Fuera del marco",IFERROR(INDEX('Datos - Catálogo TIMSS'!$C$5:$C$107,MATCH(J196,'Datos - Catálogo TIMSS'!$A$5:$A$107,0)),"?"))</f>
        <v/>
      </c>
      <c r="N196" s="11" t="inlineStr">
        <is>
          <t>Temperatura y cambios de estado del agua</t>
        </is>
      </c>
    </row>
    <row r="197">
      <c r="A197" s="11" t="inlineStr">
        <is>
          <t>CO-DBA-G3-05</t>
        </is>
      </c>
      <c r="B197" s="11" t="inlineStr">
        <is>
          <t>Colombia</t>
        </is>
      </c>
      <c r="C197" s="11" t="inlineStr">
        <is>
          <t>CO_DBA_Ciencias_Naturales.pdf</t>
        </is>
      </c>
      <c r="D197" s="11" t="n">
        <v>14</v>
      </c>
      <c r="E197" s="11" t="inlineStr">
        <is>
          <t>3.°</t>
        </is>
      </c>
      <c r="F197" s="11" t="n">
        <v>3</v>
      </c>
      <c r="G197" s="11" t="inlineStr"/>
      <c r="H197" s="38" t="inlineStr">
        <is>
          <t>Explica la influencia de los factores abióticos (luz, temperatura, suelo y aire) en el desarrollo de los factores bióticos (fauna y flora) de un ecosistema.</t>
        </is>
      </c>
      <c r="I197" s="11" t="inlineStr">
        <is>
          <t>T4_27</t>
        </is>
      </c>
      <c r="J197" s="11" t="inlineStr">
        <is>
          <t>T4_27-B4.1</t>
        </is>
      </c>
      <c r="K197" s="11" t="inlineStr">
        <is>
          <t>T4_27-B1.1</t>
        </is>
      </c>
      <c r="L197" s="11" t="inlineStr">
        <is>
          <t>media</t>
        </is>
      </c>
      <c r="M197" s="11">
        <f>IF(J197="FUERA","Fuera del marco",IFERROR(INDEX('Datos - Catálogo TIMSS'!$C$5:$C$107,MATCH(J197,'Datos - Catálogo TIMSS'!$A$5:$A$107,0)),"?"))</f>
        <v/>
      </c>
      <c r="N197" s="11" t="inlineStr">
        <is>
          <t>Factores abióticos del ecosistema y desarrollo de flora y fauna</t>
        </is>
      </c>
    </row>
    <row r="198">
      <c r="A198" s="11" t="inlineStr">
        <is>
          <t>CO-DBA-G3-06</t>
        </is>
      </c>
      <c r="B198" s="11" t="inlineStr">
        <is>
          <t>Colombia</t>
        </is>
      </c>
      <c r="C198" s="11" t="inlineStr">
        <is>
          <t>CO_DBA_Ciencias_Naturales.pdf</t>
        </is>
      </c>
      <c r="D198" s="11" t="n">
        <v>14</v>
      </c>
      <c r="E198" s="11" t="inlineStr">
        <is>
          <t>3.°</t>
        </is>
      </c>
      <c r="F198" s="11" t="n">
        <v>3</v>
      </c>
      <c r="G198" s="11" t="inlineStr"/>
      <c r="H198" s="38" t="inlineStr">
        <is>
          <t>Comprende las relaciones de los seres vivos con otros organismos de su entorno (intra e interespecíficas) y las explica como esenciales para su supervivencia en un ambiente determinado.</t>
        </is>
      </c>
      <c r="I198" s="11" t="inlineStr">
        <is>
          <t>T4_27</t>
        </is>
      </c>
      <c r="J198" s="11" t="inlineStr">
        <is>
          <t>T4_27-B4.2</t>
        </is>
      </c>
      <c r="K198" s="11" t="inlineStr"/>
      <c r="L198" s="11" t="inlineStr">
        <is>
          <t>alta</t>
        </is>
      </c>
      <c r="M198" s="11">
        <f>IF(J198="FUERA","Fuera del marco",IFERROR(INDEX('Datos - Catálogo TIMSS'!$C$5:$C$107,MATCH(J198,'Datos - Catálogo TIMSS'!$A$5:$A$107,0)),"?"))</f>
        <v/>
      </c>
      <c r="N198" s="11" t="inlineStr">
        <is>
          <t>Relaciones entre organismos para sobrevivir en el ecosistema</t>
        </is>
      </c>
    </row>
    <row r="199">
      <c r="A199" s="11" t="inlineStr">
        <is>
          <t>CO-DBA-G4-01</t>
        </is>
      </c>
      <c r="B199" s="11" t="inlineStr">
        <is>
          <t>Colombia</t>
        </is>
      </c>
      <c r="C199" s="11" t="inlineStr">
        <is>
          <t>CO_DBA_Ciencias_Naturales.pdf</t>
        </is>
      </c>
      <c r="D199" s="11" t="n">
        <v>15</v>
      </c>
      <c r="E199" s="11" t="inlineStr">
        <is>
          <t>4.°</t>
        </is>
      </c>
      <c r="F199" s="11" t="n">
        <v>4</v>
      </c>
      <c r="G199" s="11" t="inlineStr"/>
      <c r="H199" s="38" t="inlineStr">
        <is>
          <t>Comprende que la magnitud y la dirección en que se aplica una fuerza puede producir cambios en la forma como se mueve un objeto (dirección y rapidez).</t>
        </is>
      </c>
      <c r="I199" s="11" t="inlineStr">
        <is>
          <t>T4_27</t>
        </is>
      </c>
      <c r="J199" s="11" t="inlineStr">
        <is>
          <t>T4_27-P5.1</t>
        </is>
      </c>
      <c r="K199" s="11" t="inlineStr"/>
      <c r="L199" s="11" t="inlineStr">
        <is>
          <t>alta</t>
        </is>
      </c>
      <c r="M199" s="11">
        <f>IF(J199="FUERA","Fuera del marco",IFERROR(INDEX('Datos - Catálogo TIMSS'!$C$5:$C$107,MATCH(J199,'Datos - Catálogo TIMSS'!$A$5:$A$107,0)),"?"))</f>
        <v/>
      </c>
      <c r="N199" s="11" t="inlineStr">
        <is>
          <t>Magnitud y dirección de fuerzas cambian el movimiento</t>
        </is>
      </c>
    </row>
    <row r="200">
      <c r="A200" s="11" t="inlineStr">
        <is>
          <t>CO-DBA-G4-02</t>
        </is>
      </c>
      <c r="B200" s="11" t="inlineStr">
        <is>
          <t>Colombia</t>
        </is>
      </c>
      <c r="C200" s="11" t="inlineStr">
        <is>
          <t>CO_DBA_Ciencias_Naturales.pdf</t>
        </is>
      </c>
      <c r="D200" s="11" t="n">
        <v>15</v>
      </c>
      <c r="E200" s="11" t="inlineStr">
        <is>
          <t>4.°</t>
        </is>
      </c>
      <c r="F200" s="11" t="n">
        <v>4</v>
      </c>
      <c r="G200" s="11" t="inlineStr"/>
      <c r="H200" s="38" t="inlineStr">
        <is>
          <t>Comprende los efectos y las ventajas de utilizar máquinas simples en diferentes tareas que requieren la aplicación de una fuerza.</t>
        </is>
      </c>
      <c r="I200" s="11" t="inlineStr">
        <is>
          <t>T4_27</t>
        </is>
      </c>
      <c r="J200" s="11" t="inlineStr">
        <is>
          <t>T4_27-P5.2</t>
        </is>
      </c>
      <c r="K200" s="11" t="inlineStr"/>
      <c r="L200" s="11" t="inlineStr">
        <is>
          <t>alta</t>
        </is>
      </c>
      <c r="M200" s="11">
        <f>IF(J200="FUERA","Fuera del marco",IFERROR(INDEX('Datos - Catálogo TIMSS'!$C$5:$C$107,MATCH(J200,'Datos - Catálogo TIMSS'!$A$5:$A$107,0)),"?"))</f>
        <v/>
      </c>
      <c r="N200" s="11" t="inlineStr">
        <is>
          <t>Ventajas de las máquinas simples</t>
        </is>
      </c>
    </row>
    <row r="201">
      <c r="A201" s="11" t="inlineStr">
        <is>
          <t>CO-DBA-G4-03</t>
        </is>
      </c>
      <c r="B201" s="11" t="inlineStr">
        <is>
          <t>Colombia</t>
        </is>
      </c>
      <c r="C201" s="11" t="inlineStr">
        <is>
          <t>CO_DBA_Ciencias_Naturales.pdf</t>
        </is>
      </c>
      <c r="D201" s="11" t="n">
        <v>16</v>
      </c>
      <c r="E201" s="11" t="inlineStr">
        <is>
          <t>4.°</t>
        </is>
      </c>
      <c r="F201" s="11" t="n">
        <v>4</v>
      </c>
      <c r="G201" s="11" t="inlineStr"/>
      <c r="H201" s="38" t="inlineStr">
        <is>
          <t>Comprende que el día y la noche se deben a la rotación de la Tierra sobre su eje, por lo que el Sol ilumina solo la mitad de su superficie.</t>
        </is>
      </c>
      <c r="I201" s="11" t="inlineStr">
        <is>
          <t>T4_27</t>
        </is>
      </c>
      <c r="J201" s="11" t="inlineStr">
        <is>
          <t>T4_27-E4.2</t>
        </is>
      </c>
      <c r="K201" s="11" t="inlineStr"/>
      <c r="L201" s="11" t="inlineStr">
        <is>
          <t>alta</t>
        </is>
      </c>
      <c r="M201" s="11">
        <f>IF(J201="FUERA","Fuera del marco",IFERROR(INDEX('Datos - Catálogo TIMSS'!$C$5:$C$107,MATCH(J201,'Datos - Catálogo TIMSS'!$A$5:$A$107,0)),"?"))</f>
        <v/>
      </c>
      <c r="N201" s="11" t="inlineStr">
        <is>
          <t>Día y noche por la rotación terrestre</t>
        </is>
      </c>
    </row>
    <row r="202">
      <c r="A202" s="11" t="inlineStr">
        <is>
          <t>CO-DBA-G4-04</t>
        </is>
      </c>
      <c r="B202" s="11" t="inlineStr">
        <is>
          <t>Colombia</t>
        </is>
      </c>
      <c r="C202" s="11" t="inlineStr">
        <is>
          <t>CO_DBA_Ciencias_Naturales.pdf</t>
        </is>
      </c>
      <c r="D202" s="11" t="n">
        <v>16</v>
      </c>
      <c r="E202" s="11" t="inlineStr">
        <is>
          <t>4.°</t>
        </is>
      </c>
      <c r="F202" s="11" t="n">
        <v>4</v>
      </c>
      <c r="G202" s="11" t="inlineStr"/>
      <c r="H202" s="38" t="inlineStr">
        <is>
          <t>Comprende que las fases de la Luna se deben a la posición relativa del Sol, la Luna y la Tierra a lo largo del mes.</t>
        </is>
      </c>
      <c r="I202" s="11" t="inlineStr">
        <is>
          <t>T4_27</t>
        </is>
      </c>
      <c r="J202" s="11" t="inlineStr">
        <is>
          <t>T4_27-E4.1</t>
        </is>
      </c>
      <c r="K202" s="11" t="inlineStr"/>
      <c r="L202" s="11" t="inlineStr">
        <is>
          <t>alta</t>
        </is>
      </c>
      <c r="M202" s="11">
        <f>IF(J202="FUERA","Fuera del marco",IFERROR(INDEX('Datos - Catálogo TIMSS'!$C$5:$C$107,MATCH(J202,'Datos - Catálogo TIMSS'!$A$5:$A$107,0)),"?"))</f>
        <v/>
      </c>
      <c r="N202" s="11" t="inlineStr">
        <is>
          <t>Fases lunares por posición de Sol, Luna y Tierra</t>
        </is>
      </c>
    </row>
    <row r="203">
      <c r="A203" s="11" t="inlineStr">
        <is>
          <t>CO-DBA-G4-05</t>
        </is>
      </c>
      <c r="B203" s="11" t="inlineStr">
        <is>
          <t>Colombia</t>
        </is>
      </c>
      <c r="C203" s="11" t="inlineStr">
        <is>
          <t>CO_DBA_Ciencias_Naturales.pdf</t>
        </is>
      </c>
      <c r="D203" s="11" t="n">
        <v>16</v>
      </c>
      <c r="E203" s="11" t="inlineStr">
        <is>
          <t>4.°</t>
        </is>
      </c>
      <c r="F203" s="11" t="n">
        <v>4</v>
      </c>
      <c r="G203" s="11" t="inlineStr"/>
      <c r="H203" s="38" t="inlineStr">
        <is>
          <t>Comprende que existen distintos tipos de mezclas (homogéneas y heterogéneas) que de acuerdo con los materiales que las componen pueden separarse mediante diferentes técnicas (filtración, tamizado, decantación, evaporación).</t>
        </is>
      </c>
      <c r="I203" s="11" t="inlineStr">
        <is>
          <t>T4_27</t>
        </is>
      </c>
      <c r="J203" s="11" t="inlineStr">
        <is>
          <t>T4_27-P1.3</t>
        </is>
      </c>
      <c r="K203" s="11" t="inlineStr"/>
      <c r="L203" s="11" t="inlineStr">
        <is>
          <t>alta</t>
        </is>
      </c>
      <c r="M203" s="11">
        <f>IF(J203="FUERA","Fuera del marco",IFERROR(INDEX('Datos - Catálogo TIMSS'!$C$5:$C$107,MATCH(J203,'Datos - Catálogo TIMSS'!$A$5:$A$107,0)),"?"))</f>
        <v/>
      </c>
      <c r="N203" s="11" t="inlineStr">
        <is>
          <t>Mezclas y técnicas de separación</t>
        </is>
      </c>
    </row>
    <row r="204">
      <c r="A204" s="11" t="inlineStr">
        <is>
          <t>CO-DBA-G4-06</t>
        </is>
      </c>
      <c r="B204" s="11" t="inlineStr">
        <is>
          <t>Colombia</t>
        </is>
      </c>
      <c r="C204" s="11" t="inlineStr">
        <is>
          <t>CO_DBA_Ciencias_Naturales.pdf</t>
        </is>
      </c>
      <c r="D204" s="11" t="n">
        <v>17</v>
      </c>
      <c r="E204" s="11" t="inlineStr">
        <is>
          <t>4.°</t>
        </is>
      </c>
      <c r="F204" s="11" t="n">
        <v>4</v>
      </c>
      <c r="G204" s="11" t="inlineStr"/>
      <c r="H204" s="38" t="inlineStr">
        <is>
          <t>Comprende que los organismos cumplen distintas funciones en cada uno de los niveles tróficos y que las relaciones entre ellos pueden representarse en cadenas y redes alimenticias.</t>
        </is>
      </c>
      <c r="I204" s="11" t="inlineStr">
        <is>
          <t>T4_27</t>
        </is>
      </c>
      <c r="J204" s="11" t="inlineStr">
        <is>
          <t>T4_27-B4.2</t>
        </is>
      </c>
      <c r="K204" s="11" t="inlineStr"/>
      <c r="L204" s="11" t="inlineStr">
        <is>
          <t>alta</t>
        </is>
      </c>
      <c r="M204" s="11">
        <f>IF(J204="FUERA","Fuera del marco",IFERROR(INDEX('Datos - Catálogo TIMSS'!$C$5:$C$107,MATCH(J204,'Datos - Catálogo TIMSS'!$A$5:$A$107,0)),"?"))</f>
        <v/>
      </c>
      <c r="N204" s="11" t="inlineStr">
        <is>
          <t>Niveles tróficos, cadenas y redes alimenticias</t>
        </is>
      </c>
    </row>
    <row r="205">
      <c r="A205" s="11" t="inlineStr">
        <is>
          <t>CO-DBA-G4-07</t>
        </is>
      </c>
      <c r="B205" s="11" t="inlineStr">
        <is>
          <t>Colombia</t>
        </is>
      </c>
      <c r="C205" s="11" t="inlineStr">
        <is>
          <t>CO_DBA_Ciencias_Naturales.pdf</t>
        </is>
      </c>
      <c r="D205" s="11" t="n">
        <v>18</v>
      </c>
      <c r="E205" s="11" t="inlineStr">
        <is>
          <t>4.°</t>
        </is>
      </c>
      <c r="F205" s="11" t="n">
        <v>4</v>
      </c>
      <c r="G205" s="11" t="inlineStr"/>
      <c r="H205" s="38" t="inlineStr">
        <is>
          <t>Comprende que existen distintos tipos de ecosistemas (terrestres y acuáticos) y que sus características físicas (temperatura, humedad, tipos de suelo, altitud) permiten que habiten en ellos diferentes seres vivos.</t>
        </is>
      </c>
      <c r="I205" s="11" t="inlineStr">
        <is>
          <t>T4_27</t>
        </is>
      </c>
      <c r="J205" s="11" t="inlineStr">
        <is>
          <t>T4_27-B4.1</t>
        </is>
      </c>
      <c r="K205" s="11" t="inlineStr"/>
      <c r="L205" s="11" t="inlineStr">
        <is>
          <t>alta</t>
        </is>
      </c>
      <c r="M205" s="11">
        <f>IF(J205="FUERA","Fuera del marco",IFERROR(INDEX('Datos - Catálogo TIMSS'!$C$5:$C$107,MATCH(J205,'Datos - Catálogo TIMSS'!$A$5:$A$107,0)),"?"))</f>
        <v/>
      </c>
      <c r="N205" s="11" t="inlineStr">
        <is>
          <t>Tipos de ecosistemas y los seres vivos que los habitan</t>
        </is>
      </c>
    </row>
    <row r="206">
      <c r="A206" s="11" t="inlineStr">
        <is>
          <t>CO-EBC-G4_5-CIEN-01</t>
        </is>
      </c>
      <c r="B206" s="11" t="inlineStr">
        <is>
          <t>Colombia</t>
        </is>
      </c>
      <c r="C206" s="11" t="inlineStr">
        <is>
          <t>CO_Estandares_Ciencias.pdf</t>
        </is>
      </c>
      <c r="D206" s="11" t="n">
        <v>39</v>
      </c>
      <c r="E206" s="11" t="inlineStr">
        <is>
          <t>4.°–5.°</t>
        </is>
      </c>
      <c r="F206" s="11" t="n">
        <v>4</v>
      </c>
      <c r="G206" s="11" t="inlineStr">
        <is>
          <t>…me aproximo al conocimiento como científico(a) natural</t>
        </is>
      </c>
      <c r="H206" s="38" t="inlineStr">
        <is>
          <t>Observo el mundo en el que vivo.</t>
        </is>
      </c>
      <c r="I206" s="11" t="inlineStr">
        <is>
          <t>T4_27</t>
        </is>
      </c>
      <c r="J206" s="11" t="inlineStr">
        <is>
          <t>T4_27-B6.1</t>
        </is>
      </c>
      <c r="K206" s="11" t="inlineStr"/>
      <c r="L206" s="11" t="inlineStr">
        <is>
          <t>baja</t>
        </is>
      </c>
      <c r="M206" s="11">
        <f>IF(J206="FUERA","Fuera del marco",IFERROR(INDEX('Datos - Catálogo TIMSS'!$C$5:$C$107,MATCH(J206,'Datos - Catálogo TIMSS'!$A$5:$A$107,0)),"?"))</f>
        <v/>
      </c>
      <c r="N206" s="11" t="inlineStr">
        <is>
          <t>Observación genérica; práctica sin disciplina definida</t>
        </is>
      </c>
    </row>
    <row r="207">
      <c r="A207" s="11" t="inlineStr">
        <is>
          <t>CO-EBC-G4_5-CIEN-02</t>
        </is>
      </c>
      <c r="B207" s="11" t="inlineStr">
        <is>
          <t>Colombia</t>
        </is>
      </c>
      <c r="C207" s="11" t="inlineStr">
        <is>
          <t>CO_Estandares_Ciencias.pdf</t>
        </is>
      </c>
      <c r="D207" s="11" t="n">
        <v>39</v>
      </c>
      <c r="E207" s="11" t="inlineStr">
        <is>
          <t>4.°–5.°</t>
        </is>
      </c>
      <c r="F207" s="11" t="n">
        <v>4</v>
      </c>
      <c r="G207" s="11" t="inlineStr">
        <is>
          <t>…me aproximo al conocimiento como científico(a) natural</t>
        </is>
      </c>
      <c r="H207" s="38" t="inlineStr">
        <is>
          <t>Formulo preguntas a partir de una observación o experiencia y escojo algunas de ellas para buscar posibles respuestas.</t>
        </is>
      </c>
      <c r="I207" s="11" t="inlineStr">
        <is>
          <t>T4_27</t>
        </is>
      </c>
      <c r="J207" s="11" t="inlineStr">
        <is>
          <t>T4_27-P6.1</t>
        </is>
      </c>
      <c r="K207" s="11" t="inlineStr"/>
      <c r="L207" s="11" t="inlineStr">
        <is>
          <t>media</t>
        </is>
      </c>
      <c r="M207" s="11">
        <f>IF(J207="FUERA","Fuera del marco",IFERROR(INDEX('Datos - Catálogo TIMSS'!$C$5:$C$107,MATCH(J207,'Datos - Catálogo TIMSS'!$A$5:$A$107,0)),"?"))</f>
        <v/>
      </c>
      <c r="N207" s="11" t="inlineStr">
        <is>
          <t>Formular preguntas investigables</t>
        </is>
      </c>
    </row>
    <row r="208">
      <c r="A208" s="11" t="inlineStr">
        <is>
          <t>CO-EBC-G4_5-CIEN-03</t>
        </is>
      </c>
      <c r="B208" s="11" t="inlineStr">
        <is>
          <t>Colombia</t>
        </is>
      </c>
      <c r="C208" s="11" t="inlineStr">
        <is>
          <t>CO_Estandares_Ciencias.pdf</t>
        </is>
      </c>
      <c r="D208" s="11" t="n">
        <v>39</v>
      </c>
      <c r="E208" s="11" t="inlineStr">
        <is>
          <t>4.°–5.°</t>
        </is>
      </c>
      <c r="F208" s="11" t="n">
        <v>4</v>
      </c>
      <c r="G208" s="11" t="inlineStr">
        <is>
          <t>…me aproximo al conocimiento como científico(a) natural</t>
        </is>
      </c>
      <c r="H208" s="38" t="inlineStr">
        <is>
          <t>Propongo explicaciones provisionales para responder mis preguntas.</t>
        </is>
      </c>
      <c r="I208" s="11" t="inlineStr">
        <is>
          <t>T4_27</t>
        </is>
      </c>
      <c r="J208" s="11" t="inlineStr">
        <is>
          <t>T4_27-P6.1</t>
        </is>
      </c>
      <c r="K208" s="11" t="inlineStr"/>
      <c r="L208" s="11" t="inlineStr">
        <is>
          <t>baja</t>
        </is>
      </c>
      <c r="M208" s="11">
        <f>IF(J208="FUERA","Fuera del marco",IFERROR(INDEX('Datos - Catálogo TIMSS'!$C$5:$C$107,MATCH(J208,'Datos - Catálogo TIMSS'!$A$5:$A$107,0)),"?"))</f>
        <v/>
      </c>
      <c r="N208" s="11" t="inlineStr">
        <is>
          <t>Explicaciones provisionales dentro de una investigación</t>
        </is>
      </c>
    </row>
    <row r="209">
      <c r="A209" s="11" t="inlineStr">
        <is>
          <t>CO-EBC-G4_5-CIEN-04</t>
        </is>
      </c>
      <c r="B209" s="11" t="inlineStr">
        <is>
          <t>Colombia</t>
        </is>
      </c>
      <c r="C209" s="11" t="inlineStr">
        <is>
          <t>CO_Estandares_Ciencias.pdf</t>
        </is>
      </c>
      <c r="D209" s="11" t="n">
        <v>39</v>
      </c>
      <c r="E209" s="11" t="inlineStr">
        <is>
          <t>4.°–5.°</t>
        </is>
      </c>
      <c r="F209" s="11" t="n">
        <v>4</v>
      </c>
      <c r="G209" s="11" t="inlineStr">
        <is>
          <t>…me aproximo al conocimiento como científico(a) natural</t>
        </is>
      </c>
      <c r="H209" s="38" t="inlineStr">
        <is>
          <t>Identifico condiciones que influyen en los resultados de una experiencia y que pueden permanecer constantes o cambiar (variables).</t>
        </is>
      </c>
      <c r="I209" s="11" t="inlineStr">
        <is>
          <t>T4_27</t>
        </is>
      </c>
      <c r="J209" s="11" t="inlineStr">
        <is>
          <t>T4_27-B6.1</t>
        </is>
      </c>
      <c r="K209" s="11" t="inlineStr"/>
      <c r="L209" s="11" t="inlineStr">
        <is>
          <t>media</t>
        </is>
      </c>
      <c r="M209" s="11">
        <f>IF(J209="FUERA","Fuera del marco",IFERROR(INDEX('Datos - Catálogo TIMSS'!$C$5:$C$107,MATCH(J209,'Datos - Catálogo TIMSS'!$A$5:$A$107,0)),"?"))</f>
        <v/>
      </c>
      <c r="N209" s="11" t="inlineStr">
        <is>
          <t>Identificar variables: rasgo de prueba justa</t>
        </is>
      </c>
    </row>
    <row r="210">
      <c r="A210" s="11" t="inlineStr">
        <is>
          <t>CO-EBC-G4_5-CIEN-05</t>
        </is>
      </c>
      <c r="B210" s="11" t="inlineStr">
        <is>
          <t>Colombia</t>
        </is>
      </c>
      <c r="C210" s="11" t="inlineStr">
        <is>
          <t>CO_Estandares_Ciencias.pdf</t>
        </is>
      </c>
      <c r="D210" s="11" t="n">
        <v>39</v>
      </c>
      <c r="E210" s="11" t="inlineStr">
        <is>
          <t>4.°–5.°</t>
        </is>
      </c>
      <c r="F210" s="11" t="n">
        <v>4</v>
      </c>
      <c r="G210" s="11" t="inlineStr">
        <is>
          <t>…me aproximo al conocimiento como científico(a) natural</t>
        </is>
      </c>
      <c r="H210" s="38" t="inlineStr">
        <is>
          <t>Diseño y realizo experimentos modificando una sola variable para dar respuesta a preguntas.</t>
        </is>
      </c>
      <c r="I210" s="11" t="inlineStr">
        <is>
          <t>T4_27</t>
        </is>
      </c>
      <c r="J210" s="11" t="inlineStr">
        <is>
          <t>T4_27-B6.1</t>
        </is>
      </c>
      <c r="K210" s="11" t="inlineStr"/>
      <c r="L210" s="11" t="inlineStr">
        <is>
          <t>media</t>
        </is>
      </c>
      <c r="M210" s="11">
        <f>IF(J210="FUERA","Fuera del marco",IFERROR(INDEX('Datos - Catálogo TIMSS'!$C$5:$C$107,MATCH(J210,'Datos - Catálogo TIMSS'!$A$5:$A$107,0)),"?"))</f>
        <v/>
      </c>
      <c r="N210" s="11" t="inlineStr">
        <is>
          <t>Experimentos variando una sola variable: prueba justa</t>
        </is>
      </c>
    </row>
    <row r="211">
      <c r="A211" s="11" t="inlineStr">
        <is>
          <t>CO-EBC-G4_5-CIEN-06</t>
        </is>
      </c>
      <c r="B211" s="11" t="inlineStr">
        <is>
          <t>Colombia</t>
        </is>
      </c>
      <c r="C211" s="11" t="inlineStr">
        <is>
          <t>CO_Estandares_Ciencias.pdf</t>
        </is>
      </c>
      <c r="D211" s="11" t="n">
        <v>39</v>
      </c>
      <c r="E211" s="11" t="inlineStr">
        <is>
          <t>4.°–5.°</t>
        </is>
      </c>
      <c r="F211" s="11" t="n">
        <v>4</v>
      </c>
      <c r="G211" s="11" t="inlineStr">
        <is>
          <t>…me aproximo al conocimiento como científico(a) natural</t>
        </is>
      </c>
      <c r="H211" s="38" t="inlineStr">
        <is>
          <t>Realizo mediciones con instrumentos convencionales (balanza, báscula, cronómetro, termómetro...) y no convencionales (paso, cuarta, pie, braza, vaso...).</t>
        </is>
      </c>
      <c r="I211" s="11" t="inlineStr">
        <is>
          <t>T4_27</t>
        </is>
      </c>
      <c r="J211" s="11" t="inlineStr">
        <is>
          <t>T4_27-P6.1</t>
        </is>
      </c>
      <c r="K211" s="11" t="inlineStr">
        <is>
          <t>T4_27-E5.1</t>
        </is>
      </c>
      <c r="L211" s="11" t="inlineStr">
        <is>
          <t>alta</t>
        </is>
      </c>
      <c r="M211" s="11">
        <f>IF(J211="FUERA","Fuera del marco",IFERROR(INDEX('Datos - Catálogo TIMSS'!$C$5:$C$107,MATCH(J211,'Datos - Catálogo TIMSS'!$A$5:$A$107,0)),"?"))</f>
        <v/>
      </c>
      <c r="N211" s="11" t="inlineStr">
        <is>
          <t>Medir con balanza, cronómetro y termómetro</t>
        </is>
      </c>
    </row>
    <row r="212">
      <c r="A212" s="11" t="inlineStr">
        <is>
          <t>CO-EBC-G4_5-CIEN-07</t>
        </is>
      </c>
      <c r="B212" s="11" t="inlineStr">
        <is>
          <t>Colombia</t>
        </is>
      </c>
      <c r="C212" s="11" t="inlineStr">
        <is>
          <t>CO_Estandares_Ciencias.pdf</t>
        </is>
      </c>
      <c r="D212" s="11" t="n">
        <v>39</v>
      </c>
      <c r="E212" s="11" t="inlineStr">
        <is>
          <t>4.°–5.°</t>
        </is>
      </c>
      <c r="F212" s="11" t="n">
        <v>4</v>
      </c>
      <c r="G212" s="11" t="inlineStr">
        <is>
          <t>…me aproximo al conocimiento como científico(a) natural</t>
        </is>
      </c>
      <c r="H212" s="38" t="inlineStr">
        <is>
          <t>Registro mis observaciones, datos y resultados de manera organizada y rigurosa (sin alteraciones), en forma escrita y utilizando esquemas, gráficos y tablas.</t>
        </is>
      </c>
      <c r="I212" s="11" t="inlineStr">
        <is>
          <t>T4_27</t>
        </is>
      </c>
      <c r="J212" s="11" t="inlineStr">
        <is>
          <t>T4_27-P6.1</t>
        </is>
      </c>
      <c r="K212" s="11" t="inlineStr"/>
      <c r="L212" s="11" t="inlineStr">
        <is>
          <t>media</t>
        </is>
      </c>
      <c r="M212" s="11">
        <f>IF(J212="FUERA","Fuera del marco",IFERROR(INDEX('Datos - Catálogo TIMSS'!$C$5:$C$107,MATCH(J212,'Datos - Catálogo TIMSS'!$A$5:$A$107,0)),"?"))</f>
        <v/>
      </c>
      <c r="N212" s="11" t="inlineStr">
        <is>
          <t>Registrar datos en tablas y gráficos</t>
        </is>
      </c>
    </row>
    <row r="213">
      <c r="A213" s="11" t="inlineStr">
        <is>
          <t>CO-EBC-G4_5-CIEN-08</t>
        </is>
      </c>
      <c r="B213" s="11" t="inlineStr">
        <is>
          <t>Colombia</t>
        </is>
      </c>
      <c r="C213" s="11" t="inlineStr">
        <is>
          <t>CO_Estandares_Ciencias.pdf</t>
        </is>
      </c>
      <c r="D213" s="11" t="n">
        <v>39</v>
      </c>
      <c r="E213" s="11" t="inlineStr">
        <is>
          <t>4.°–5.°</t>
        </is>
      </c>
      <c r="F213" s="11" t="n">
        <v>4</v>
      </c>
      <c r="G213" s="11" t="inlineStr">
        <is>
          <t>…me aproximo al conocimiento como científico(a) natural</t>
        </is>
      </c>
      <c r="H213" s="38" t="inlineStr">
        <is>
          <t>Busco información en diversas fuentes (libros, Internet, experiencias y experimentos propios y de otros…) y doy el crédito correspondiente.</t>
        </is>
      </c>
      <c r="I213" s="11" t="inlineStr">
        <is>
          <t>T4_27</t>
        </is>
      </c>
      <c r="J213" s="11" t="inlineStr">
        <is>
          <t>FUERA</t>
        </is>
      </c>
      <c r="K213" s="11" t="inlineStr"/>
      <c r="L213" s="11" t="inlineStr">
        <is>
          <t>media</t>
        </is>
      </c>
      <c r="M213" s="11">
        <f>IF(J213="FUERA","Fuera del marco",IFERROR(INDEX('Datos - Catálogo TIMSS'!$C$5:$C$107,MATCH(J213,'Datos - Catálogo TIMSS'!$A$5:$A$107,0)),"?"))</f>
        <v/>
      </c>
      <c r="N213" s="11" t="inlineStr">
        <is>
          <t>Búsqueda de información en fuentes; sin contenido TIMSS</t>
        </is>
      </c>
    </row>
    <row r="214">
      <c r="A214" s="11" t="inlineStr">
        <is>
          <t>CO-EBC-G4_5-CIEN-09</t>
        </is>
      </c>
      <c r="B214" s="11" t="inlineStr">
        <is>
          <t>Colombia</t>
        </is>
      </c>
      <c r="C214" s="11" t="inlineStr">
        <is>
          <t>CO_Estandares_Ciencias.pdf</t>
        </is>
      </c>
      <c r="D214" s="11" t="n">
        <v>39</v>
      </c>
      <c r="E214" s="11" t="inlineStr">
        <is>
          <t>4.°–5.°</t>
        </is>
      </c>
      <c r="F214" s="11" t="n">
        <v>4</v>
      </c>
      <c r="G214" s="11" t="inlineStr">
        <is>
          <t>…me aproximo al conocimiento como científico(a) natural</t>
        </is>
      </c>
      <c r="H214" s="38" t="inlineStr">
        <is>
          <t>Establezco relaciones entre la información y los datos recopilados.</t>
        </is>
      </c>
      <c r="I214" s="11" t="inlineStr">
        <is>
          <t>T4_27</t>
        </is>
      </c>
      <c r="J214" s="11" t="inlineStr">
        <is>
          <t>T4_27-P6.1</t>
        </is>
      </c>
      <c r="K214" s="11" t="inlineStr"/>
      <c r="L214" s="11" t="inlineStr">
        <is>
          <t>baja</t>
        </is>
      </c>
      <c r="M214" s="11">
        <f>IF(J214="FUERA","Fuera del marco",IFERROR(INDEX('Datos - Catálogo TIMSS'!$C$5:$C$107,MATCH(J214,'Datos - Catálogo TIMSS'!$A$5:$A$107,0)),"?"))</f>
        <v/>
      </c>
      <c r="N214" s="11" t="inlineStr">
        <is>
          <t>Relacionar datos recopilados; análisis de datos</t>
        </is>
      </c>
    </row>
    <row r="215">
      <c r="A215" s="11" t="inlineStr">
        <is>
          <t>CO-EBC-G4_5-CIEN-10</t>
        </is>
      </c>
      <c r="B215" s="11" t="inlineStr">
        <is>
          <t>Colombia</t>
        </is>
      </c>
      <c r="C215" s="11" t="inlineStr">
        <is>
          <t>CO_Estandares_Ciencias.pdf</t>
        </is>
      </c>
      <c r="D215" s="11" t="n">
        <v>39</v>
      </c>
      <c r="E215" s="11" t="inlineStr">
        <is>
          <t>4.°–5.°</t>
        </is>
      </c>
      <c r="F215" s="11" t="n">
        <v>4</v>
      </c>
      <c r="G215" s="11" t="inlineStr">
        <is>
          <t>…me aproximo al conocimiento como científico(a) natural</t>
        </is>
      </c>
      <c r="H215" s="38" t="inlineStr">
        <is>
          <t>Selecciono la información que me permite responder a mis preguntas y determino si es suficiente.</t>
        </is>
      </c>
      <c r="I215" s="11" t="inlineStr">
        <is>
          <t>T4_27</t>
        </is>
      </c>
      <c r="J215" s="11" t="inlineStr">
        <is>
          <t>FUERA</t>
        </is>
      </c>
      <c r="K215" s="11" t="inlineStr"/>
      <c r="L215" s="11" t="inlineStr">
        <is>
          <t>baja</t>
        </is>
      </c>
      <c r="M215" s="11">
        <f>IF(J215="FUERA","Fuera del marco",IFERROR(INDEX('Datos - Catálogo TIMSS'!$C$5:$C$107,MATCH(J215,'Datos - Catálogo TIMSS'!$A$5:$A$107,0)),"?"))</f>
        <v/>
      </c>
      <c r="N215" s="11" t="inlineStr">
        <is>
          <t>Seleccionar información suficiente; competencia general</t>
        </is>
      </c>
    </row>
    <row r="216">
      <c r="A216" s="11" t="inlineStr">
        <is>
          <t>CO-EBC-G4_5-CIEN-11</t>
        </is>
      </c>
      <c r="B216" s="11" t="inlineStr">
        <is>
          <t>Colombia</t>
        </is>
      </c>
      <c r="C216" s="11" t="inlineStr">
        <is>
          <t>CO_Estandares_Ciencias.pdf</t>
        </is>
      </c>
      <c r="D216" s="11" t="n">
        <v>39</v>
      </c>
      <c r="E216" s="11" t="inlineStr">
        <is>
          <t>4.°–5.°</t>
        </is>
      </c>
      <c r="F216" s="11" t="n">
        <v>4</v>
      </c>
      <c r="G216" s="11" t="inlineStr">
        <is>
          <t>…me aproximo al conocimiento como científico(a) natural</t>
        </is>
      </c>
      <c r="H216" s="38" t="inlineStr">
        <is>
          <t>Saco conclusiones de mis experimentos, aunque no obtenga los resultados esperados.</t>
        </is>
      </c>
      <c r="I216" s="11" t="inlineStr">
        <is>
          <t>T4_27</t>
        </is>
      </c>
      <c r="J216" s="11" t="inlineStr">
        <is>
          <t>T4_27-P6.1</t>
        </is>
      </c>
      <c r="K216" s="11" t="inlineStr"/>
      <c r="L216" s="11" t="inlineStr">
        <is>
          <t>media</t>
        </is>
      </c>
      <c r="M216" s="11">
        <f>IF(J216="FUERA","Fuera del marco",IFERROR(INDEX('Datos - Catálogo TIMSS'!$C$5:$C$107,MATCH(J216,'Datos - Catálogo TIMSS'!$A$5:$A$107,0)),"?"))</f>
        <v/>
      </c>
      <c r="N216" s="11" t="inlineStr">
        <is>
          <t>Sacar conclusiones de experimentos</t>
        </is>
      </c>
    </row>
    <row r="217">
      <c r="A217" s="11" t="inlineStr">
        <is>
          <t>CO-EBC-G4_5-CIEN-12</t>
        </is>
      </c>
      <c r="B217" s="11" t="inlineStr">
        <is>
          <t>Colombia</t>
        </is>
      </c>
      <c r="C217" s="11" t="inlineStr">
        <is>
          <t>CO_Estandares_Ciencias.pdf</t>
        </is>
      </c>
      <c r="D217" s="11" t="n">
        <v>39</v>
      </c>
      <c r="E217" s="11" t="inlineStr">
        <is>
          <t>4.°–5.°</t>
        </is>
      </c>
      <c r="F217" s="11" t="n">
        <v>4</v>
      </c>
      <c r="G217" s="11" t="inlineStr">
        <is>
          <t>…me aproximo al conocimiento como científico(a) natural</t>
        </is>
      </c>
      <c r="H217" s="38" t="inlineStr">
        <is>
          <t>Propongo respuestas a mis preguntas y las comparo con las de otras personas.</t>
        </is>
      </c>
      <c r="I217" s="11" t="inlineStr">
        <is>
          <t>T4_27</t>
        </is>
      </c>
      <c r="J217" s="11" t="inlineStr">
        <is>
          <t>FUERA</t>
        </is>
      </c>
      <c r="K217" s="11" t="inlineStr"/>
      <c r="L217" s="11" t="inlineStr">
        <is>
          <t>baja</t>
        </is>
      </c>
      <c r="M217" s="11">
        <f>IF(J217="FUERA","Fuera del marco",IFERROR(INDEX('Datos - Catálogo TIMSS'!$C$5:$C$107,MATCH(J217,'Datos - Catálogo TIMSS'!$A$5:$A$107,0)),"?"))</f>
        <v/>
      </c>
      <c r="N217" s="11" t="inlineStr">
        <is>
          <t>Comparar respuestas con otros; competencia comunicativa</t>
        </is>
      </c>
    </row>
    <row r="218">
      <c r="A218" s="11" t="inlineStr">
        <is>
          <t>CO-EBC-G4_5-CIEN-13</t>
        </is>
      </c>
      <c r="B218" s="11" t="inlineStr">
        <is>
          <t>Colombia</t>
        </is>
      </c>
      <c r="C218" s="11" t="inlineStr">
        <is>
          <t>CO_Estandares_Ciencias.pdf</t>
        </is>
      </c>
      <c r="D218" s="11" t="n">
        <v>39</v>
      </c>
      <c r="E218" s="11" t="inlineStr">
        <is>
          <t>4.°–5.°</t>
        </is>
      </c>
      <c r="F218" s="11" t="n">
        <v>4</v>
      </c>
      <c r="G218" s="11" t="inlineStr">
        <is>
          <t>…me aproximo al conocimiento como científico(a) natural</t>
        </is>
      </c>
      <c r="H218" s="38" t="inlineStr">
        <is>
          <t>Persisto en la búsqueda de respuestas a mis preguntas.</t>
        </is>
      </c>
      <c r="I218" s="11" t="inlineStr">
        <is>
          <t>T4_27</t>
        </is>
      </c>
      <c r="J218" s="11" t="inlineStr">
        <is>
          <t>FUERA</t>
        </is>
      </c>
      <c r="K218" s="11" t="inlineStr"/>
      <c r="L218" s="11" t="inlineStr">
        <is>
          <t>alta</t>
        </is>
      </c>
      <c r="M218" s="11">
        <f>IF(J218="FUERA","Fuera del marco",IFERROR(INDEX('Datos - Catálogo TIMSS'!$C$5:$C$107,MATCH(J218,'Datos - Catálogo TIMSS'!$A$5:$A$107,0)),"?"))</f>
        <v/>
      </c>
      <c r="N218" s="11" t="inlineStr">
        <is>
          <t>Actitud de persistencia; sin contenido científico</t>
        </is>
      </c>
    </row>
    <row r="219">
      <c r="A219" s="11" t="inlineStr">
        <is>
          <t>CO-EBC-G4_5-CIEN-14</t>
        </is>
      </c>
      <c r="B219" s="11" t="inlineStr">
        <is>
          <t>Colombia</t>
        </is>
      </c>
      <c r="C219" s="11" t="inlineStr">
        <is>
          <t>CO_Estandares_Ciencias.pdf</t>
        </is>
      </c>
      <c r="D219" s="11" t="n">
        <v>39</v>
      </c>
      <c r="E219" s="11" t="inlineStr">
        <is>
          <t>4.°–5.°</t>
        </is>
      </c>
      <c r="F219" s="11" t="n">
        <v>4</v>
      </c>
      <c r="G219" s="11" t="inlineStr">
        <is>
          <t>…me aproximo al conocimiento como científico(a) natural</t>
        </is>
      </c>
      <c r="H219" s="38" t="inlineStr">
        <is>
          <t>Comunico, oralmente y por escrito, el proceso de indagación y los resultados que obtengo.</t>
        </is>
      </c>
      <c r="I219" s="11" t="inlineStr">
        <is>
          <t>T4_27</t>
        </is>
      </c>
      <c r="J219" s="11" t="inlineStr">
        <is>
          <t>FUERA</t>
        </is>
      </c>
      <c r="K219" s="11" t="inlineStr"/>
      <c r="L219" s="11" t="inlineStr">
        <is>
          <t>media</t>
        </is>
      </c>
      <c r="M219" s="11">
        <f>IF(J219="FUERA","Fuera del marco",IFERROR(INDEX('Datos - Catálogo TIMSS'!$C$5:$C$107,MATCH(J219,'Datos - Catálogo TIMSS'!$A$5:$A$107,0)),"?"))</f>
        <v/>
      </c>
      <c r="N219" s="11" t="inlineStr">
        <is>
          <t>Comunicar la indagación; competencia comunicativa</t>
        </is>
      </c>
    </row>
    <row r="220">
      <c r="A220" s="11" t="inlineStr">
        <is>
          <t>CO-EBC-G4_5-CTS-01</t>
        </is>
      </c>
      <c r="B220" s="11" t="inlineStr">
        <is>
          <t>Colombia</t>
        </is>
      </c>
      <c r="C220" s="11" t="inlineStr">
        <is>
          <t>CO_Estandares_Ciencias.pdf</t>
        </is>
      </c>
      <c r="D220" s="11" t="n">
        <v>40</v>
      </c>
      <c r="E220" s="11" t="inlineStr">
        <is>
          <t>4.°–5.°</t>
        </is>
      </c>
      <c r="F220" s="11" t="n">
        <v>4</v>
      </c>
      <c r="G220" s="11" t="inlineStr">
        <is>
          <t>Ciencia, tecnología y sociedad</t>
        </is>
      </c>
      <c r="H220" s="38" t="inlineStr">
        <is>
          <t>Identifico máquinas simples en objetos cotidianos y describo su utilidad.</t>
        </is>
      </c>
      <c r="I220" s="11" t="inlineStr">
        <is>
          <t>T4_27</t>
        </is>
      </c>
      <c r="J220" s="11" t="inlineStr">
        <is>
          <t>T4_27-P5.2</t>
        </is>
      </c>
      <c r="K220" s="11" t="inlineStr"/>
      <c r="L220" s="11" t="inlineStr">
        <is>
          <t>alta</t>
        </is>
      </c>
      <c r="M220" s="11">
        <f>IF(J220="FUERA","Fuera del marco",IFERROR(INDEX('Datos - Catálogo TIMSS'!$C$5:$C$107,MATCH(J220,'Datos - Catálogo TIMSS'!$A$5:$A$107,0)),"?"))</f>
        <v/>
      </c>
      <c r="N220" s="11" t="inlineStr">
        <is>
          <t>Máquinas simples en objetos cotidianos</t>
        </is>
      </c>
    </row>
    <row r="221">
      <c r="A221" s="11" t="inlineStr">
        <is>
          <t>CO-EBC-G4_5-CTS-02</t>
        </is>
      </c>
      <c r="B221" s="11" t="inlineStr">
        <is>
          <t>Colombia</t>
        </is>
      </c>
      <c r="C221" s="11" t="inlineStr">
        <is>
          <t>CO_Estandares_Ciencias.pdf</t>
        </is>
      </c>
      <c r="D221" s="11" t="n">
        <v>40</v>
      </c>
      <c r="E221" s="11" t="inlineStr">
        <is>
          <t>4.°–5.°</t>
        </is>
      </c>
      <c r="F221" s="11" t="n">
        <v>4</v>
      </c>
      <c r="G221" s="11" t="inlineStr">
        <is>
          <t>Ciencia, tecnología y sociedad</t>
        </is>
      </c>
      <c r="H221" s="38" t="inlineStr">
        <is>
          <t>Construyo máquinas simples para solucionar problemas cotidianos.</t>
        </is>
      </c>
      <c r="I221" s="11" t="inlineStr">
        <is>
          <t>T4_27</t>
        </is>
      </c>
      <c r="J221" s="11" t="inlineStr">
        <is>
          <t>T4_27-P5.2</t>
        </is>
      </c>
      <c r="K221" s="11" t="inlineStr"/>
      <c r="L221" s="11" t="inlineStr">
        <is>
          <t>media</t>
        </is>
      </c>
      <c r="M221" s="11">
        <f>IF(J221="FUERA","Fuera del marco",IFERROR(INDEX('Datos - Catálogo TIMSS'!$C$5:$C$107,MATCH(J221,'Datos - Catálogo TIMSS'!$A$5:$A$107,0)),"?"))</f>
        <v/>
      </c>
      <c r="N221" s="11" t="inlineStr">
        <is>
          <t>Construir máquinas simples para resolver problemas</t>
        </is>
      </c>
    </row>
    <row r="222">
      <c r="A222" s="11" t="inlineStr">
        <is>
          <t>CO-EBC-G4_5-CTS-03</t>
        </is>
      </c>
      <c r="B222" s="11" t="inlineStr">
        <is>
          <t>Colombia</t>
        </is>
      </c>
      <c r="C222" s="11" t="inlineStr">
        <is>
          <t>CO_Estandares_Ciencias.pdf</t>
        </is>
      </c>
      <c r="D222" s="11" t="n">
        <v>40</v>
      </c>
      <c r="E222" s="11" t="inlineStr">
        <is>
          <t>4.°–5.°</t>
        </is>
      </c>
      <c r="F222" s="11" t="n">
        <v>4</v>
      </c>
      <c r="G222" s="11" t="inlineStr">
        <is>
          <t>Ciencia, tecnología y sociedad</t>
        </is>
      </c>
      <c r="H222" s="38" t="inlineStr">
        <is>
          <t>Identifico, en la historia, situaciones en las que en ausencia de motores potentes se utilizaron máquinas simples.</t>
        </is>
      </c>
      <c r="I222" s="11" t="inlineStr">
        <is>
          <t>T4_27</t>
        </is>
      </c>
      <c r="J222" s="11" t="inlineStr">
        <is>
          <t>T4_27-P5.2</t>
        </is>
      </c>
      <c r="K222" s="11" t="inlineStr"/>
      <c r="L222" s="11" t="inlineStr">
        <is>
          <t>baja</t>
        </is>
      </c>
      <c r="M222" s="11">
        <f>IF(J222="FUERA","Fuera del marco",IFERROR(INDEX('Datos - Catálogo TIMSS'!$C$5:$C$107,MATCH(J222,'Datos - Catálogo TIMSS'!$A$5:$A$107,0)),"?"))</f>
        <v/>
      </c>
      <c r="N222" s="11" t="inlineStr">
        <is>
          <t>Historia del uso de máquinas simples</t>
        </is>
      </c>
    </row>
    <row r="223">
      <c r="A223" s="11" t="inlineStr">
        <is>
          <t>CO-EBC-G4_5-CTS-04</t>
        </is>
      </c>
      <c r="B223" s="11" t="inlineStr">
        <is>
          <t>Colombia</t>
        </is>
      </c>
      <c r="C223" s="11" t="inlineStr">
        <is>
          <t>CO_Estandares_Ciencias.pdf</t>
        </is>
      </c>
      <c r="D223" s="11" t="n">
        <v>40</v>
      </c>
      <c r="E223" s="11" t="inlineStr">
        <is>
          <t>4.°–5.°</t>
        </is>
      </c>
      <c r="F223" s="11" t="n">
        <v>4</v>
      </c>
      <c r="G223" s="11" t="inlineStr">
        <is>
          <t>Ciencia, tecnología y sociedad</t>
        </is>
      </c>
      <c r="H223" s="38" t="inlineStr">
        <is>
          <t>Analizo características ambientales de mi entorno y peligros que lo amenazan.</t>
        </is>
      </c>
      <c r="I223" s="11" t="inlineStr">
        <is>
          <t>T4_27</t>
        </is>
      </c>
      <c r="J223" s="11" t="inlineStr">
        <is>
          <t>T4_27-B4.3</t>
        </is>
      </c>
      <c r="K223" s="11" t="inlineStr">
        <is>
          <t>T4_27-E3.1</t>
        </is>
      </c>
      <c r="L223" s="11" t="inlineStr">
        <is>
          <t>media</t>
        </is>
      </c>
      <c r="M223" s="11">
        <f>IF(J223="FUERA","Fuera del marco",IFERROR(INDEX('Datos - Catálogo TIMSS'!$C$5:$C$107,MATCH(J223,'Datos - Catálogo TIMSS'!$A$5:$A$107,0)),"?"))</f>
        <v/>
      </c>
      <c r="N223" s="11" t="inlineStr">
        <is>
          <t>Amenazas ambientales del entorno por acción humana</t>
        </is>
      </c>
    </row>
    <row r="224">
      <c r="A224" s="11" t="inlineStr">
        <is>
          <t>CO-EBC-G4_5-CTS-05</t>
        </is>
      </c>
      <c r="B224" s="11" t="inlineStr">
        <is>
          <t>Colombia</t>
        </is>
      </c>
      <c r="C224" s="11" t="inlineStr">
        <is>
          <t>CO_Estandares_Ciencias.pdf</t>
        </is>
      </c>
      <c r="D224" s="11" t="n">
        <v>40</v>
      </c>
      <c r="E224" s="11" t="inlineStr">
        <is>
          <t>4.°–5.°</t>
        </is>
      </c>
      <c r="F224" s="11" t="n">
        <v>4</v>
      </c>
      <c r="G224" s="11" t="inlineStr">
        <is>
          <t>Ciencia, tecnología y sociedad</t>
        </is>
      </c>
      <c r="H224" s="38" t="inlineStr">
        <is>
          <t>Establezco relaciones entre el efecto invernadero, la lluvia ácida y el debilitamiento de la capa de ozono con la contaminación atmosférica.</t>
        </is>
      </c>
      <c r="I224" s="11" t="inlineStr">
        <is>
          <t>T4_27</t>
        </is>
      </c>
      <c r="J224" s="11" t="inlineStr">
        <is>
          <t>T4_27-E2.1</t>
        </is>
      </c>
      <c r="K224" s="11" t="inlineStr">
        <is>
          <t>T4_27-B4.3</t>
        </is>
      </c>
      <c r="L224" s="11" t="inlineStr">
        <is>
          <t>media</t>
        </is>
      </c>
      <c r="M224" s="11">
        <f>IF(J224="FUERA","Fuera del marco",IFERROR(INDEX('Datos - Catálogo TIMSS'!$C$5:$C$107,MATCH(J224,'Datos - Catálogo TIMSS'!$A$5:$A$107,0)),"?"))</f>
        <v/>
      </c>
      <c r="N224" s="11" t="inlineStr">
        <is>
          <t>Efecto invernadero y contaminación atmosférica</t>
        </is>
      </c>
    </row>
    <row r="225">
      <c r="A225" s="11" t="inlineStr">
        <is>
          <t>CO-EBC-G4_5-CTS-06</t>
        </is>
      </c>
      <c r="B225" s="11" t="inlineStr">
        <is>
          <t>Colombia</t>
        </is>
      </c>
      <c r="C225" s="11" t="inlineStr">
        <is>
          <t>CO_Estandares_Ciencias.pdf</t>
        </is>
      </c>
      <c r="D225" s="11" t="n">
        <v>40</v>
      </c>
      <c r="E225" s="11" t="inlineStr">
        <is>
          <t>4.°–5.°</t>
        </is>
      </c>
      <c r="F225" s="11" t="n">
        <v>4</v>
      </c>
      <c r="G225" s="11" t="inlineStr">
        <is>
          <t>Ciencia, tecnología y sociedad</t>
        </is>
      </c>
      <c r="H225" s="38" t="inlineStr">
        <is>
          <t>Asocio el clima y otras características del entorno con los materiales de construcción, los aparatos eléctricos más utilizados, los recursos naturales y las costumbres de diferentes comunidades.</t>
        </is>
      </c>
      <c r="I225" s="11" t="inlineStr">
        <is>
          <t>T4_27</t>
        </is>
      </c>
      <c r="J225" s="11" t="inlineStr">
        <is>
          <t>T4_27-E3.1</t>
        </is>
      </c>
      <c r="K225" s="11" t="inlineStr">
        <is>
          <t>T4_27-E2.1</t>
        </is>
      </c>
      <c r="L225" s="11" t="inlineStr">
        <is>
          <t>baja</t>
        </is>
      </c>
      <c r="M225" s="11">
        <f>IF(J225="FUERA","Fuera del marco",IFERROR(INDEX('Datos - Catálogo TIMSS'!$C$5:$C$107,MATCH(J225,'Datos - Catálogo TIMSS'!$A$5:$A$107,0)),"?"))</f>
        <v/>
      </c>
      <c r="N225" s="11" t="inlineStr">
        <is>
          <t>Clima, recursos naturales y costumbres; mezcla con geografía humana</t>
        </is>
      </c>
    </row>
    <row r="226">
      <c r="A226" s="11" t="inlineStr">
        <is>
          <t>CO-EBC-G4_5-CTS-07</t>
        </is>
      </c>
      <c r="B226" s="11" t="inlineStr">
        <is>
          <t>Colombia</t>
        </is>
      </c>
      <c r="C226" s="11" t="inlineStr">
        <is>
          <t>CO_Estandares_Ciencias.pdf</t>
        </is>
      </c>
      <c r="D226" s="11" t="n">
        <v>40</v>
      </c>
      <c r="E226" s="11" t="inlineStr">
        <is>
          <t>4.°–5.°</t>
        </is>
      </c>
      <c r="F226" s="11" t="n">
        <v>4</v>
      </c>
      <c r="G226" s="11" t="inlineStr">
        <is>
          <t>Ciencia, tecnología y sociedad</t>
        </is>
      </c>
      <c r="H226" s="38" t="inlineStr">
        <is>
          <t>Verifico que la cocción de alimentos genera cambios físicos y químicos.</t>
        </is>
      </c>
      <c r="I226" s="11" t="inlineStr">
        <is>
          <t>T4_27</t>
        </is>
      </c>
      <c r="J226" s="11" t="inlineStr">
        <is>
          <t>T4_27-P1.3</t>
        </is>
      </c>
      <c r="K226" s="11" t="inlineStr"/>
      <c r="L226" s="11" t="inlineStr">
        <is>
          <t>alta</t>
        </is>
      </c>
      <c r="M226" s="11">
        <f>IF(J226="FUERA","Fuera del marco",IFERROR(INDEX('Datos - Catálogo TIMSS'!$C$5:$C$107,MATCH(J226,'Datos - Catálogo TIMSS'!$A$5:$A$107,0)),"?"))</f>
        <v/>
      </c>
      <c r="N226" s="11" t="inlineStr">
        <is>
          <t>Cambios físicos y químicos al cocinar alimentos</t>
        </is>
      </c>
    </row>
    <row r="227">
      <c r="A227" s="11" t="inlineStr">
        <is>
          <t>CO-EBC-G4_5-CTS-08</t>
        </is>
      </c>
      <c r="B227" s="11" t="inlineStr">
        <is>
          <t>Colombia</t>
        </is>
      </c>
      <c r="C227" s="11" t="inlineStr">
        <is>
          <t>CO_Estandares_Ciencias.pdf</t>
        </is>
      </c>
      <c r="D227" s="11" t="n">
        <v>40</v>
      </c>
      <c r="E227" s="11" t="inlineStr">
        <is>
          <t>4.°–5.°</t>
        </is>
      </c>
      <c r="F227" s="11" t="n">
        <v>4</v>
      </c>
      <c r="G227" s="11" t="inlineStr">
        <is>
          <t>Ciencia, tecnología y sociedad</t>
        </is>
      </c>
      <c r="H227" s="38" t="inlineStr">
        <is>
          <t>Identifico y describo aparatos que generan energía luminosa, térmica y mecánica.</t>
        </is>
      </c>
      <c r="I227" s="11" t="inlineStr">
        <is>
          <t>T4_27</t>
        </is>
      </c>
      <c r="J227" s="11" t="inlineStr">
        <is>
          <t>T4_27-P2.1</t>
        </is>
      </c>
      <c r="K227" s="11" t="inlineStr"/>
      <c r="L227" s="11" t="inlineStr">
        <is>
          <t>alta</t>
        </is>
      </c>
      <c r="M227" s="11">
        <f>IF(J227="FUERA","Fuera del marco",IFERROR(INDEX('Datos - Catálogo TIMSS'!$C$5:$C$107,MATCH(J227,'Datos - Catálogo TIMSS'!$A$5:$A$107,0)),"?"))</f>
        <v/>
      </c>
      <c r="N227" s="11" t="inlineStr">
        <is>
          <t>Aparatos que producen energía luminosa, térmica y mecánica</t>
        </is>
      </c>
    </row>
    <row r="228">
      <c r="A228" s="11" t="inlineStr">
        <is>
          <t>CO-EBC-G4_5-CTS-09</t>
        </is>
      </c>
      <c r="B228" s="11" t="inlineStr">
        <is>
          <t>Colombia</t>
        </is>
      </c>
      <c r="C228" s="11" t="inlineStr">
        <is>
          <t>CO_Estandares_Ciencias.pdf</t>
        </is>
      </c>
      <c r="D228" s="11" t="n">
        <v>40</v>
      </c>
      <c r="E228" s="11" t="inlineStr">
        <is>
          <t>4.°–5.°</t>
        </is>
      </c>
      <c r="F228" s="11" t="n">
        <v>4</v>
      </c>
      <c r="G228" s="11" t="inlineStr">
        <is>
          <t>Ciencia, tecnología y sociedad</t>
        </is>
      </c>
      <c r="H228" s="38" t="inlineStr">
        <is>
          <t>Identifico y establezco las aplicaciones de los circuitos eléctricos en el desarrollo tecnológico.</t>
        </is>
      </c>
      <c r="I228" s="11" t="inlineStr">
        <is>
          <t>T4_27</t>
        </is>
      </c>
      <c r="J228" s="11" t="inlineStr">
        <is>
          <t>T4_27-P4.1</t>
        </is>
      </c>
      <c r="K228" s="11" t="inlineStr"/>
      <c r="L228" s="11" t="inlineStr">
        <is>
          <t>baja</t>
        </is>
      </c>
      <c r="M228" s="11">
        <f>IF(J228="FUERA","Fuera del marco",IFERROR(INDEX('Datos - Catálogo TIMSS'!$C$5:$C$107,MATCH(J228,'Datos - Catálogo TIMSS'!$A$5:$A$107,0)),"?"))</f>
        <v/>
      </c>
      <c r="N228" s="11" t="inlineStr">
        <is>
          <t>Aplicaciones tecnológicas de circuitos; foco tecnológico</t>
        </is>
      </c>
    </row>
    <row r="229">
      <c r="A229" s="11" t="inlineStr">
        <is>
          <t>CO-EBC-G4_5-CTS-10</t>
        </is>
      </c>
      <c r="B229" s="11" t="inlineStr">
        <is>
          <t>Colombia</t>
        </is>
      </c>
      <c r="C229" s="11" t="inlineStr">
        <is>
          <t>CO_Estandares_Ciencias.pdf</t>
        </is>
      </c>
      <c r="D229" s="11" t="n">
        <v>40</v>
      </c>
      <c r="E229" s="11" t="inlineStr">
        <is>
          <t>4.°–5.°</t>
        </is>
      </c>
      <c r="F229" s="11" t="n">
        <v>4</v>
      </c>
      <c r="G229" s="11" t="inlineStr">
        <is>
          <t>Ciencia, tecnología y sociedad</t>
        </is>
      </c>
      <c r="H229" s="38" t="inlineStr">
        <is>
          <t>Establezco relaciones entre microorganismos y salud.</t>
        </is>
      </c>
      <c r="I229" s="11" t="inlineStr">
        <is>
          <t>T4_27</t>
        </is>
      </c>
      <c r="J229" s="11" t="inlineStr">
        <is>
          <t>T4_27-B5.1</t>
        </is>
      </c>
      <c r="K229" s="11" t="inlineStr"/>
      <c r="L229" s="11" t="inlineStr">
        <is>
          <t>alta</t>
        </is>
      </c>
      <c r="M229" s="11">
        <f>IF(J229="FUERA","Fuera del marco",IFERROR(INDEX('Datos - Catálogo TIMSS'!$C$5:$C$107,MATCH(J229,'Datos - Catálogo TIMSS'!$A$5:$A$107,0)),"?"))</f>
        <v/>
      </c>
      <c r="N229" s="11" t="inlineStr">
        <is>
          <t>Microorganismos y enfermedades</t>
        </is>
      </c>
    </row>
    <row r="230">
      <c r="A230" s="11" t="inlineStr">
        <is>
          <t>CO-EBC-G4_5-CTS-11</t>
        </is>
      </c>
      <c r="B230" s="11" t="inlineStr">
        <is>
          <t>Colombia</t>
        </is>
      </c>
      <c r="C230" s="11" t="inlineStr">
        <is>
          <t>CO_Estandares_Ciencias.pdf</t>
        </is>
      </c>
      <c r="D230" s="11" t="n">
        <v>40</v>
      </c>
      <c r="E230" s="11" t="inlineStr">
        <is>
          <t>4.°–5.°</t>
        </is>
      </c>
      <c r="F230" s="11" t="n">
        <v>4</v>
      </c>
      <c r="G230" s="11" t="inlineStr">
        <is>
          <t>Ciencia, tecnología y sociedad</t>
        </is>
      </c>
      <c r="H230" s="38" t="inlineStr">
        <is>
          <t>Reconozco los efectos nocivos del exceso en el consumo de cafeína, tabaco, drogas y licores.</t>
        </is>
      </c>
      <c r="I230" s="11" t="inlineStr">
        <is>
          <t>T4_27</t>
        </is>
      </c>
      <c r="J230" s="11" t="inlineStr">
        <is>
          <t>T4_27-B5.2</t>
        </is>
      </c>
      <c r="K230" s="11" t="inlineStr"/>
      <c r="L230" s="11" t="inlineStr">
        <is>
          <t>alta</t>
        </is>
      </c>
      <c r="M230" s="11">
        <f>IF(J230="FUERA","Fuera del marco",IFERROR(INDEX('Datos - Catálogo TIMSS'!$C$5:$C$107,MATCH(J230,'Datos - Catálogo TIMSS'!$A$5:$A$107,0)),"?"))</f>
        <v/>
      </c>
      <c r="N230" s="11" t="inlineStr">
        <is>
          <t>Efectos nocivos de sustancias en la salud</t>
        </is>
      </c>
    </row>
    <row r="231">
      <c r="A231" s="11" t="inlineStr">
        <is>
          <t>CO-EBC-G4_5-CTS-12</t>
        </is>
      </c>
      <c r="B231" s="11" t="inlineStr">
        <is>
          <t>Colombia</t>
        </is>
      </c>
      <c r="C231" s="11" t="inlineStr">
        <is>
          <t>CO_Estandares_Ciencias.pdf</t>
        </is>
      </c>
      <c r="D231" s="11" t="n">
        <v>40</v>
      </c>
      <c r="E231" s="11" t="inlineStr">
        <is>
          <t>4.°–5.°</t>
        </is>
      </c>
      <c r="F231" s="11" t="n">
        <v>4</v>
      </c>
      <c r="G231" s="11" t="inlineStr">
        <is>
          <t>Ciencia, tecnología y sociedad</t>
        </is>
      </c>
      <c r="H231" s="38" t="inlineStr">
        <is>
          <t>Establezco relaciones entre deporte y salud física y mental.</t>
        </is>
      </c>
      <c r="I231" s="11" t="inlineStr">
        <is>
          <t>T4_27</t>
        </is>
      </c>
      <c r="J231" s="11" t="inlineStr">
        <is>
          <t>T4_27-B5.2</t>
        </is>
      </c>
      <c r="K231" s="11" t="inlineStr">
        <is>
          <t>T4_27-B1.4</t>
        </is>
      </c>
      <c r="L231" s="11" t="inlineStr">
        <is>
          <t>alta</t>
        </is>
      </c>
      <c r="M231" s="11">
        <f>IF(J231="FUERA","Fuera del marco",IFERROR(INDEX('Datos - Catálogo TIMSS'!$C$5:$C$107,MATCH(J231,'Datos - Catálogo TIMSS'!$A$5:$A$107,0)),"?"))</f>
        <v/>
      </c>
      <c r="N231" s="11" t="inlineStr">
        <is>
          <t>Ejercicio y salud física y mental</t>
        </is>
      </c>
    </row>
    <row r="232">
      <c r="A232" s="11" t="inlineStr">
        <is>
          <t>CO-EBC-G4_5-FIS-01</t>
        </is>
      </c>
      <c r="B232" s="11" t="inlineStr">
        <is>
          <t>Colombia</t>
        </is>
      </c>
      <c r="C232" s="11" t="inlineStr">
        <is>
          <t>CO_Estandares_Ciencias.pdf</t>
        </is>
      </c>
      <c r="D232" s="11" t="n">
        <v>40</v>
      </c>
      <c r="E232" s="11" t="inlineStr">
        <is>
          <t>4.°–5.°</t>
        </is>
      </c>
      <c r="F232" s="11" t="n">
        <v>4</v>
      </c>
      <c r="G232" s="11" t="inlineStr">
        <is>
          <t>Entorno físico</t>
        </is>
      </c>
      <c r="H232" s="38" t="inlineStr">
        <is>
          <t>Describo y verifico el efecto de la transferencia de energía térmica en los cambios de estado de algunas sustancias.</t>
        </is>
      </c>
      <c r="I232" s="11" t="inlineStr">
        <is>
          <t>T4_27</t>
        </is>
      </c>
      <c r="J232" s="11" t="inlineStr">
        <is>
          <t>T4_27-P1.1</t>
        </is>
      </c>
      <c r="K232" s="11" t="inlineStr">
        <is>
          <t>T4_27-P2.2</t>
        </is>
      </c>
      <c r="L232" s="11" t="inlineStr">
        <is>
          <t>alta</t>
        </is>
      </c>
      <c r="M232" s="11">
        <f>IF(J232="FUERA","Fuera del marco",IFERROR(INDEX('Datos - Catálogo TIMSS'!$C$5:$C$107,MATCH(J232,'Datos - Catálogo TIMSS'!$A$5:$A$107,0)),"?"))</f>
        <v/>
      </c>
      <c r="N232" s="11" t="inlineStr">
        <is>
          <t>Transferencia de calor y cambios de estado</t>
        </is>
      </c>
    </row>
    <row r="233">
      <c r="A233" s="11" t="inlineStr">
        <is>
          <t>CO-EBC-G4_5-FIS-02</t>
        </is>
      </c>
      <c r="B233" s="11" t="inlineStr">
        <is>
          <t>Colombia</t>
        </is>
      </c>
      <c r="C233" s="11" t="inlineStr">
        <is>
          <t>CO_Estandares_Ciencias.pdf</t>
        </is>
      </c>
      <c r="D233" s="11" t="n">
        <v>40</v>
      </c>
      <c r="E233" s="11" t="inlineStr">
        <is>
          <t>4.°–5.°</t>
        </is>
      </c>
      <c r="F233" s="11" t="n">
        <v>4</v>
      </c>
      <c r="G233" s="11" t="inlineStr">
        <is>
          <t>Entorno físico</t>
        </is>
      </c>
      <c r="H233" s="38" t="inlineStr">
        <is>
          <t>Verifico la posibilidad de mezclar diversos líquidos, sólidos y gases.</t>
        </is>
      </c>
      <c r="I233" s="11" t="inlineStr">
        <is>
          <t>T4_27</t>
        </is>
      </c>
      <c r="J233" s="11" t="inlineStr">
        <is>
          <t>T4_27-P1.3</t>
        </is>
      </c>
      <c r="K233" s="11" t="inlineStr"/>
      <c r="L233" s="11" t="inlineStr">
        <is>
          <t>alta</t>
        </is>
      </c>
      <c r="M233" s="11">
        <f>IF(J233="FUERA","Fuera del marco",IFERROR(INDEX('Datos - Catálogo TIMSS'!$C$5:$C$107,MATCH(J233,'Datos - Catálogo TIMSS'!$A$5:$A$107,0)),"?"))</f>
        <v/>
      </c>
      <c r="N233" s="11" t="inlineStr">
        <is>
          <t>Formación de mezclas de sólidos, líquidos y gases</t>
        </is>
      </c>
    </row>
    <row r="234">
      <c r="A234" s="11" t="inlineStr">
        <is>
          <t>CO-EBC-G4_5-FIS-03</t>
        </is>
      </c>
      <c r="B234" s="11" t="inlineStr">
        <is>
          <t>Colombia</t>
        </is>
      </c>
      <c r="C234" s="11" t="inlineStr">
        <is>
          <t>CO_Estandares_Ciencias.pdf</t>
        </is>
      </c>
      <c r="D234" s="11" t="n">
        <v>40</v>
      </c>
      <c r="E234" s="11" t="inlineStr">
        <is>
          <t>4.°–5.°</t>
        </is>
      </c>
      <c r="F234" s="11" t="n">
        <v>4</v>
      </c>
      <c r="G234" s="11" t="inlineStr">
        <is>
          <t>Entorno físico</t>
        </is>
      </c>
      <c r="H234" s="38" t="inlineStr">
        <is>
          <t>Propongo y verifico diferentes métodos de separación de mezclas.</t>
        </is>
      </c>
      <c r="I234" s="11" t="inlineStr">
        <is>
          <t>T4_27</t>
        </is>
      </c>
      <c r="J234" s="11" t="inlineStr">
        <is>
          <t>T4_27-P1.3</t>
        </is>
      </c>
      <c r="K234" s="11" t="inlineStr"/>
      <c r="L234" s="11" t="inlineStr">
        <is>
          <t>alta</t>
        </is>
      </c>
      <c r="M234" s="11">
        <f>IF(J234="FUERA","Fuera del marco",IFERROR(INDEX('Datos - Catálogo TIMSS'!$C$5:$C$107,MATCH(J234,'Datos - Catálogo TIMSS'!$A$5:$A$107,0)),"?"))</f>
        <v/>
      </c>
      <c r="N234" s="11" t="inlineStr">
        <is>
          <t>Métodos de separación de mezclas</t>
        </is>
      </c>
    </row>
    <row r="235">
      <c r="A235" s="11" t="inlineStr">
        <is>
          <t>CO-EBC-G4_5-FIS-04</t>
        </is>
      </c>
      <c r="B235" s="11" t="inlineStr">
        <is>
          <t>Colombia</t>
        </is>
      </c>
      <c r="C235" s="11" t="inlineStr">
        <is>
          <t>CO_Estandares_Ciencias.pdf</t>
        </is>
      </c>
      <c r="D235" s="11" t="n">
        <v>40</v>
      </c>
      <c r="E235" s="11" t="inlineStr">
        <is>
          <t>4.°–5.°</t>
        </is>
      </c>
      <c r="F235" s="11" t="n">
        <v>4</v>
      </c>
      <c r="G235" s="11" t="inlineStr">
        <is>
          <t>Entorno físico</t>
        </is>
      </c>
      <c r="H235" s="38" t="inlineStr">
        <is>
          <t>Establezco relaciones entre objetos que tienen masas iguales y volúmenes diferentes o viceversa y su posibilidad de flotar.</t>
        </is>
      </c>
      <c r="I235" s="11" t="inlineStr">
        <is>
          <t>T4_27</t>
        </is>
      </c>
      <c r="J235" s="11" t="inlineStr">
        <is>
          <t>T4_27-P1.2</t>
        </is>
      </c>
      <c r="K235" s="11" t="inlineStr"/>
      <c r="L235" s="11" t="inlineStr">
        <is>
          <t>alta</t>
        </is>
      </c>
      <c r="M235" s="11">
        <f>IF(J235="FUERA","Fuera del marco",IFERROR(INDEX('Datos - Catálogo TIMSS'!$C$5:$C$107,MATCH(J235,'Datos - Catálogo TIMSS'!$A$5:$A$107,0)),"?"))</f>
        <v/>
      </c>
      <c r="N235" s="11" t="inlineStr">
        <is>
          <t>Masa, volumen y flotación de objetos</t>
        </is>
      </c>
    </row>
    <row r="236">
      <c r="A236" s="11" t="inlineStr">
        <is>
          <t>CO-EBC-G4_5-FIS-05</t>
        </is>
      </c>
      <c r="B236" s="11" t="inlineStr">
        <is>
          <t>Colombia</t>
        </is>
      </c>
      <c r="C236" s="11" t="inlineStr">
        <is>
          <t>CO_Estandares_Ciencias.pdf</t>
        </is>
      </c>
      <c r="D236" s="11" t="n">
        <v>40</v>
      </c>
      <c r="E236" s="11" t="inlineStr">
        <is>
          <t>4.°–5.°</t>
        </is>
      </c>
      <c r="F236" s="11" t="n">
        <v>4</v>
      </c>
      <c r="G236" s="11" t="inlineStr">
        <is>
          <t>Entorno físico</t>
        </is>
      </c>
      <c r="H236" s="38" t="inlineStr">
        <is>
          <t>Comparo movimientos y desplazamientos de seres vivos y objetos.</t>
        </is>
      </c>
      <c r="I236" s="11" t="inlineStr">
        <is>
          <t>T4_27</t>
        </is>
      </c>
      <c r="J236" s="11" t="inlineStr">
        <is>
          <t>T4_27-P5.1</t>
        </is>
      </c>
      <c r="K236" s="11" t="inlineStr"/>
      <c r="L236" s="11" t="inlineStr">
        <is>
          <t>media</t>
        </is>
      </c>
      <c r="M236" s="11">
        <f>IF(J236="FUERA","Fuera del marco",IFERROR(INDEX('Datos - Catálogo TIMSS'!$C$5:$C$107,MATCH(J236,'Datos - Catálogo TIMSS'!$A$5:$A$107,0)),"?"))</f>
        <v/>
      </c>
      <c r="N236" s="11" t="inlineStr">
        <is>
          <t>Comparar movimientos de seres vivos y objetos</t>
        </is>
      </c>
    </row>
    <row r="237">
      <c r="A237" s="11" t="inlineStr">
        <is>
          <t>CO-EBC-G4_5-FIS-06</t>
        </is>
      </c>
      <c r="B237" s="11" t="inlineStr">
        <is>
          <t>Colombia</t>
        </is>
      </c>
      <c r="C237" s="11" t="inlineStr">
        <is>
          <t>CO_Estandares_Ciencias.pdf</t>
        </is>
      </c>
      <c r="D237" s="11" t="n">
        <v>40</v>
      </c>
      <c r="E237" s="11" t="inlineStr">
        <is>
          <t>4.°–5.°</t>
        </is>
      </c>
      <c r="F237" s="11" t="n">
        <v>4</v>
      </c>
      <c r="G237" s="11" t="inlineStr">
        <is>
          <t>Entorno físico</t>
        </is>
      </c>
      <c r="H237" s="38" t="inlineStr">
        <is>
          <t>Relaciono el estado de reposo o movimiento de un objeto con las fuerzas aplicadas sobre éste.</t>
        </is>
      </c>
      <c r="I237" s="11" t="inlineStr">
        <is>
          <t>T4_27</t>
        </is>
      </c>
      <c r="J237" s="11" t="inlineStr">
        <is>
          <t>T4_27-P5.1</t>
        </is>
      </c>
      <c r="K237" s="11" t="inlineStr"/>
      <c r="L237" s="11" t="inlineStr">
        <is>
          <t>alta</t>
        </is>
      </c>
      <c r="M237" s="11">
        <f>IF(J237="FUERA","Fuera del marco",IFERROR(INDEX('Datos - Catálogo TIMSS'!$C$5:$C$107,MATCH(J237,'Datos - Catálogo TIMSS'!$A$5:$A$107,0)),"?"))</f>
        <v/>
      </c>
      <c r="N237" s="11" t="inlineStr">
        <is>
          <t>Reposo o movimiento según fuerzas aplicadas</t>
        </is>
      </c>
    </row>
    <row r="238">
      <c r="A238" s="11" t="inlineStr">
        <is>
          <t>CO-EBC-G4_5-FIS-07</t>
        </is>
      </c>
      <c r="B238" s="11" t="inlineStr">
        <is>
          <t>Colombia</t>
        </is>
      </c>
      <c r="C238" s="11" t="inlineStr">
        <is>
          <t>CO_Estandares_Ciencias.pdf</t>
        </is>
      </c>
      <c r="D238" s="11" t="n">
        <v>40</v>
      </c>
      <c r="E238" s="11" t="inlineStr">
        <is>
          <t>4.°–5.°</t>
        </is>
      </c>
      <c r="F238" s="11" t="n">
        <v>4</v>
      </c>
      <c r="G238" s="11" t="inlineStr">
        <is>
          <t>Entorno físico</t>
        </is>
      </c>
      <c r="H238" s="38" t="inlineStr">
        <is>
          <t>Describo fuerzas y torques en máquinas simples.</t>
        </is>
      </c>
      <c r="I238" s="11" t="inlineStr">
        <is>
          <t>T4_27</t>
        </is>
      </c>
      <c r="J238" s="11" t="inlineStr">
        <is>
          <t>T4_27-P5.2</t>
        </is>
      </c>
      <c r="K238" s="11" t="inlineStr"/>
      <c r="L238" s="11" t="inlineStr">
        <is>
          <t>alta</t>
        </is>
      </c>
      <c r="M238" s="11">
        <f>IF(J238="FUERA","Fuera del marco",IFERROR(INDEX('Datos - Catálogo TIMSS'!$C$5:$C$107,MATCH(J238,'Datos - Catálogo TIMSS'!$A$5:$A$107,0)),"?"))</f>
        <v/>
      </c>
      <c r="N238" s="11" t="inlineStr">
        <is>
          <t>Fuerzas y torques en máquinas simples</t>
        </is>
      </c>
    </row>
    <row r="239">
      <c r="A239" s="11" t="inlineStr">
        <is>
          <t>CO-EBC-G4_5-FIS-08</t>
        </is>
      </c>
      <c r="B239" s="11" t="inlineStr">
        <is>
          <t>Colombia</t>
        </is>
      </c>
      <c r="C239" s="11" t="inlineStr">
        <is>
          <t>CO_Estandares_Ciencias.pdf</t>
        </is>
      </c>
      <c r="D239" s="11" t="n">
        <v>40</v>
      </c>
      <c r="E239" s="11" t="inlineStr">
        <is>
          <t>4.°–5.°</t>
        </is>
      </c>
      <c r="F239" s="11" t="n">
        <v>4</v>
      </c>
      <c r="G239" s="11" t="inlineStr">
        <is>
          <t>Entorno físico</t>
        </is>
      </c>
      <c r="H239" s="38" t="inlineStr">
        <is>
          <t>Verifico la conducción de electricidad o calor en materiales.</t>
        </is>
      </c>
      <c r="I239" s="11" t="inlineStr">
        <is>
          <t>T4_27</t>
        </is>
      </c>
      <c r="J239" s="11" t="inlineStr">
        <is>
          <t>T4_27-P1.2</t>
        </is>
      </c>
      <c r="K239" s="11" t="inlineStr"/>
      <c r="L239" s="11" t="inlineStr">
        <is>
          <t>alta</t>
        </is>
      </c>
      <c r="M239" s="11">
        <f>IF(J239="FUERA","Fuera del marco",IFERROR(INDEX('Datos - Catálogo TIMSS'!$C$5:$C$107,MATCH(J239,'Datos - Catálogo TIMSS'!$A$5:$A$107,0)),"?"))</f>
        <v/>
      </c>
      <c r="N239" s="11" t="inlineStr">
        <is>
          <t>Conducción de electricidad y calor en materiales</t>
        </is>
      </c>
    </row>
    <row r="240">
      <c r="A240" s="11" t="inlineStr">
        <is>
          <t>CO-EBC-G4_5-FIS-09</t>
        </is>
      </c>
      <c r="B240" s="11" t="inlineStr">
        <is>
          <t>Colombia</t>
        </is>
      </c>
      <c r="C240" s="11" t="inlineStr">
        <is>
          <t>CO_Estandares_Ciencias.pdf</t>
        </is>
      </c>
      <c r="D240" s="11" t="n">
        <v>40</v>
      </c>
      <c r="E240" s="11" t="inlineStr">
        <is>
          <t>4.°–5.°</t>
        </is>
      </c>
      <c r="F240" s="11" t="n">
        <v>4</v>
      </c>
      <c r="G240" s="11" t="inlineStr">
        <is>
          <t>Entorno físico</t>
        </is>
      </c>
      <c r="H240" s="38" t="inlineStr">
        <is>
          <t>Identifico las funciones de los componentes de un circuito eléctrico.</t>
        </is>
      </c>
      <c r="I240" s="11" t="inlineStr">
        <is>
          <t>T4_27</t>
        </is>
      </c>
      <c r="J240" s="11" t="inlineStr">
        <is>
          <t>T4_27-P4.1</t>
        </is>
      </c>
      <c r="K240" s="11" t="inlineStr"/>
      <c r="L240" s="11" t="inlineStr">
        <is>
          <t>alta</t>
        </is>
      </c>
      <c r="M240" s="11">
        <f>IF(J240="FUERA","Fuera del marco",IFERROR(INDEX('Datos - Catálogo TIMSS'!$C$5:$C$107,MATCH(J240,'Datos - Catálogo TIMSS'!$A$5:$A$107,0)),"?"))</f>
        <v/>
      </c>
      <c r="N240" s="11" t="inlineStr">
        <is>
          <t>Funciones de los componentes de un circuito</t>
        </is>
      </c>
    </row>
    <row r="241">
      <c r="A241" s="11" t="inlineStr">
        <is>
          <t>CO-EBC-G4_5-FIS-10</t>
        </is>
      </c>
      <c r="B241" s="11" t="inlineStr">
        <is>
          <t>Colombia</t>
        </is>
      </c>
      <c r="C241" s="11" t="inlineStr">
        <is>
          <t>CO_Estandares_Ciencias.pdf</t>
        </is>
      </c>
      <c r="D241" s="11" t="n">
        <v>40</v>
      </c>
      <c r="E241" s="11" t="inlineStr">
        <is>
          <t>4.°–5.°</t>
        </is>
      </c>
      <c r="F241" s="11" t="n">
        <v>4</v>
      </c>
      <c r="G241" s="11" t="inlineStr">
        <is>
          <t>Entorno físico</t>
        </is>
      </c>
      <c r="H241" s="38" t="inlineStr">
        <is>
          <t>Describo los principales elementos del sistema solar y establezco relaciones de tamaño, movimiento y posición.</t>
        </is>
      </c>
      <c r="I241" s="11" t="inlineStr">
        <is>
          <t>T4_27</t>
        </is>
      </c>
      <c r="J241" s="11" t="inlineStr">
        <is>
          <t>T4_27-E4.1</t>
        </is>
      </c>
      <c r="K241" s="11" t="inlineStr"/>
      <c r="L241" s="11" t="inlineStr">
        <is>
          <t>alta</t>
        </is>
      </c>
      <c r="M241" s="11">
        <f>IF(J241="FUERA","Fuera del marco",IFERROR(INDEX('Datos - Catálogo TIMSS'!$C$5:$C$107,MATCH(J241,'Datos - Catálogo TIMSS'!$A$5:$A$107,0)),"?"))</f>
        <v/>
      </c>
      <c r="N241" s="11" t="inlineStr">
        <is>
          <t>Elementos, tamaños y movimientos del sistema solar</t>
        </is>
      </c>
    </row>
    <row r="242">
      <c r="A242" s="11" t="inlineStr">
        <is>
          <t>CO-EBC-G4_5-FIS-11</t>
        </is>
      </c>
      <c r="B242" s="11" t="inlineStr">
        <is>
          <t>Colombia</t>
        </is>
      </c>
      <c r="C242" s="11" t="inlineStr">
        <is>
          <t>CO_Estandares_Ciencias.pdf</t>
        </is>
      </c>
      <c r="D242" s="11" t="n">
        <v>40</v>
      </c>
      <c r="E242" s="11" t="inlineStr">
        <is>
          <t>4.°–5.°</t>
        </is>
      </c>
      <c r="F242" s="11" t="n">
        <v>4</v>
      </c>
      <c r="G242" s="11" t="inlineStr">
        <is>
          <t>Entorno físico</t>
        </is>
      </c>
      <c r="H242" s="38" t="inlineStr">
        <is>
          <t>Comparo el peso y la masa de un objeto en diferentes puntos del sistema solar.</t>
        </is>
      </c>
      <c r="I242" s="11" t="inlineStr">
        <is>
          <t>T4_27</t>
        </is>
      </c>
      <c r="J242" s="11" t="inlineStr">
        <is>
          <t>T4_27-P5.1</t>
        </is>
      </c>
      <c r="K242" s="11" t="inlineStr">
        <is>
          <t>T4_27-E4.1</t>
        </is>
      </c>
      <c r="L242" s="11" t="inlineStr">
        <is>
          <t>media</t>
        </is>
      </c>
      <c r="M242" s="11">
        <f>IF(J242="FUERA","Fuera del marco",IFERROR(INDEX('Datos - Catálogo TIMSS'!$C$5:$C$107,MATCH(J242,'Datos - Catálogo TIMSS'!$A$5:$A$107,0)),"?"))</f>
        <v/>
      </c>
      <c r="N242" s="11" t="inlineStr">
        <is>
          <t>Peso y gravedad en distintos cuerpos del sistema solar</t>
        </is>
      </c>
    </row>
    <row r="243">
      <c r="A243" s="11" t="inlineStr">
        <is>
          <t>CO-EBC-G4_5-FIS-12</t>
        </is>
      </c>
      <c r="B243" s="11" t="inlineStr">
        <is>
          <t>Colombia</t>
        </is>
      </c>
      <c r="C243" s="11" t="inlineStr">
        <is>
          <t>CO_Estandares_Ciencias.pdf</t>
        </is>
      </c>
      <c r="D243" s="11" t="n">
        <v>40</v>
      </c>
      <c r="E243" s="11" t="inlineStr">
        <is>
          <t>4.°–5.°</t>
        </is>
      </c>
      <c r="F243" s="11" t="n">
        <v>4</v>
      </c>
      <c r="G243" s="11" t="inlineStr">
        <is>
          <t>Entorno físico</t>
        </is>
      </c>
      <c r="H243" s="38" t="inlineStr">
        <is>
          <t>Describo las características físicas de la Tierra y su atmósfera.</t>
        </is>
      </c>
      <c r="I243" s="11" t="inlineStr">
        <is>
          <t>T4_27</t>
        </is>
      </c>
      <c r="J243" s="11" t="inlineStr">
        <is>
          <t>T4_27-E1.1</t>
        </is>
      </c>
      <c r="K243" s="11" t="inlineStr">
        <is>
          <t>T4_27-E2.1</t>
        </is>
      </c>
      <c r="L243" s="11" t="inlineStr">
        <is>
          <t>alta</t>
        </is>
      </c>
      <c r="M243" s="11">
        <f>IF(J243="FUERA","Fuera del marco",IFERROR(INDEX('Datos - Catálogo TIMSS'!$C$5:$C$107,MATCH(J243,'Datos - Catálogo TIMSS'!$A$5:$A$107,0)),"?"))</f>
        <v/>
      </c>
      <c r="N243" s="11" t="inlineStr">
        <is>
          <t>Características físicas de la Tierra y su atmósfera</t>
        </is>
      </c>
    </row>
    <row r="244">
      <c r="A244" s="11" t="inlineStr">
        <is>
          <t>CO-EBC-G4_5-FIS-13</t>
        </is>
      </c>
      <c r="B244" s="11" t="inlineStr">
        <is>
          <t>Colombia</t>
        </is>
      </c>
      <c r="C244" s="11" t="inlineStr">
        <is>
          <t>CO_Estandares_Ciencias.pdf</t>
        </is>
      </c>
      <c r="D244" s="11" t="n">
        <v>40</v>
      </c>
      <c r="E244" s="11" t="inlineStr">
        <is>
          <t>4.°–5.°</t>
        </is>
      </c>
      <c r="F244" s="11" t="n">
        <v>4</v>
      </c>
      <c r="G244" s="11" t="inlineStr">
        <is>
          <t>Entorno físico</t>
        </is>
      </c>
      <c r="H244" s="38" t="inlineStr">
        <is>
          <t>Relaciono el movimiento de traslación con los cambios climáticos.</t>
        </is>
      </c>
      <c r="I244" s="11" t="inlineStr">
        <is>
          <t>T4_27</t>
        </is>
      </c>
      <c r="J244" s="11" t="inlineStr">
        <is>
          <t>T4_27-E4.2</t>
        </is>
      </c>
      <c r="K244" s="11" t="inlineStr">
        <is>
          <t>T4_27-E2.1</t>
        </is>
      </c>
      <c r="L244" s="11" t="inlineStr">
        <is>
          <t>media</t>
        </is>
      </c>
      <c r="M244" s="11">
        <f>IF(J244="FUERA","Fuera del marco",IFERROR(INDEX('Datos - Catálogo TIMSS'!$C$5:$C$107,MATCH(J244,'Datos - Catálogo TIMSS'!$A$5:$A$107,0)),"?"))</f>
        <v/>
      </c>
      <c r="N244" s="11" t="inlineStr">
        <is>
          <t>Traslación terrestre y cambios estacionales del clima</t>
        </is>
      </c>
    </row>
    <row r="245">
      <c r="A245" s="11" t="inlineStr">
        <is>
          <t>CO-EBC-G4_5-FIS-14</t>
        </is>
      </c>
      <c r="B245" s="11" t="inlineStr">
        <is>
          <t>Colombia</t>
        </is>
      </c>
      <c r="C245" s="11" t="inlineStr">
        <is>
          <t>CO_Estandares_Ciencias.pdf</t>
        </is>
      </c>
      <c r="D245" s="11" t="n">
        <v>40</v>
      </c>
      <c r="E245" s="11" t="inlineStr">
        <is>
          <t>4.°–5.°</t>
        </is>
      </c>
      <c r="F245" s="11" t="n">
        <v>4</v>
      </c>
      <c r="G245" s="11" t="inlineStr">
        <is>
          <t>Entorno físico</t>
        </is>
      </c>
      <c r="H245" s="38" t="inlineStr">
        <is>
          <t>Establezco relaciones entre mareas, corrientes marinas, movimiento de placas tectónicas, formas del paisaje y relieve, y las fuerzas que los generan.</t>
        </is>
      </c>
      <c r="I245" s="11" t="inlineStr">
        <is>
          <t>T4_27</t>
        </is>
      </c>
      <c r="J245" s="11" t="inlineStr">
        <is>
          <t>T4_27-E1.2</t>
        </is>
      </c>
      <c r="K245" s="11" t="inlineStr">
        <is>
          <t>T4_27-E1.1</t>
        </is>
      </c>
      <c r="L245" s="11" t="inlineStr">
        <is>
          <t>media</t>
        </is>
      </c>
      <c r="M245" s="11">
        <f>IF(J245="FUERA","Fuera del marco",IFERROR(INDEX('Datos - Catálogo TIMSS'!$C$5:$C$107,MATCH(J245,'Datos - Catálogo TIMSS'!$A$5:$A$107,0)),"?"))</f>
        <v/>
      </c>
      <c r="N245" s="11" t="inlineStr">
        <is>
          <t>Procesos que modifican paisaje y relieve; océanos</t>
        </is>
      </c>
    </row>
    <row r="246">
      <c r="A246" s="11" t="inlineStr">
        <is>
          <t>CO-EBC-G4_5-VIVO-01</t>
        </is>
      </c>
      <c r="B246" s="11" t="inlineStr">
        <is>
          <t>Colombia</t>
        </is>
      </c>
      <c r="C246" s="11" t="inlineStr">
        <is>
          <t>CO_Estandares_Ciencias.pdf</t>
        </is>
      </c>
      <c r="D246" s="11" t="n">
        <v>39</v>
      </c>
      <c r="E246" s="11" t="inlineStr">
        <is>
          <t>4.°–5.°</t>
        </is>
      </c>
      <c r="F246" s="11" t="n">
        <v>4</v>
      </c>
      <c r="G246" s="11" t="inlineStr">
        <is>
          <t>Entorno vivo</t>
        </is>
      </c>
      <c r="H246" s="38" t="inlineStr">
        <is>
          <t>Explico la importancia de la célula como unidad básica de los seres vivos.</t>
        </is>
      </c>
      <c r="I246" s="11" t="inlineStr">
        <is>
          <t>T4_27</t>
        </is>
      </c>
      <c r="J246" s="11" t="inlineStr">
        <is>
          <t>FUERA</t>
        </is>
      </c>
      <c r="K246" s="11" t="inlineStr"/>
      <c r="L246" s="11" t="inlineStr">
        <is>
          <t>media</t>
        </is>
      </c>
      <c r="M246" s="11">
        <f>IF(J246="FUERA","Fuera del marco",IFERROR(INDEX('Datos - Catálogo TIMSS'!$C$5:$C$107,MATCH(J246,'Datos - Catálogo TIMSS'!$A$5:$A$107,0)),"?"))</f>
        <v/>
      </c>
      <c r="N246" s="11" t="inlineStr">
        <is>
          <t>La célula no figura en el marco de 4.°</t>
        </is>
      </c>
    </row>
    <row r="247">
      <c r="A247" s="11" t="inlineStr">
        <is>
          <t>CO-EBC-G4_5-VIVO-02</t>
        </is>
      </c>
      <c r="B247" s="11" t="inlineStr">
        <is>
          <t>Colombia</t>
        </is>
      </c>
      <c r="C247" s="11" t="inlineStr">
        <is>
          <t>CO_Estandares_Ciencias.pdf</t>
        </is>
      </c>
      <c r="D247" s="11" t="n">
        <v>39</v>
      </c>
      <c r="E247" s="11" t="inlineStr">
        <is>
          <t>4.°–5.°</t>
        </is>
      </c>
      <c r="F247" s="11" t="n">
        <v>4</v>
      </c>
      <c r="G247" s="11" t="inlineStr">
        <is>
          <t>Entorno vivo</t>
        </is>
      </c>
      <c r="H247" s="38" t="inlineStr">
        <is>
          <t>Identifico los niveles de organización celular de los seres vivos.</t>
        </is>
      </c>
      <c r="I247" s="11" t="inlineStr">
        <is>
          <t>T4_27</t>
        </is>
      </c>
      <c r="J247" s="11" t="inlineStr">
        <is>
          <t>FUERA</t>
        </is>
      </c>
      <c r="K247" s="11" t="inlineStr"/>
      <c r="L247" s="11" t="inlineStr">
        <is>
          <t>baja</t>
        </is>
      </c>
      <c r="M247" s="11">
        <f>IF(J247="FUERA","Fuera del marco",IFERROR(INDEX('Datos - Catálogo TIMSS'!$C$5:$C$107,MATCH(J247,'Datos - Catálogo TIMSS'!$A$5:$A$107,0)),"?"))</f>
        <v/>
      </c>
      <c r="N247" s="11" t="inlineStr">
        <is>
          <t>Organización celular ausente del marco de 4.°</t>
        </is>
      </c>
    </row>
    <row r="248">
      <c r="A248" s="11" t="inlineStr">
        <is>
          <t>CO-EBC-G4_5-VIVO-03</t>
        </is>
      </c>
      <c r="B248" s="11" t="inlineStr">
        <is>
          <t>Colombia</t>
        </is>
      </c>
      <c r="C248" s="11" t="inlineStr">
        <is>
          <t>CO_Estandares_Ciencias.pdf</t>
        </is>
      </c>
      <c r="D248" s="11" t="n">
        <v>39</v>
      </c>
      <c r="E248" s="11" t="inlineStr">
        <is>
          <t>4.°–5.°</t>
        </is>
      </c>
      <c r="F248" s="11" t="n">
        <v>4</v>
      </c>
      <c r="G248" s="11" t="inlineStr">
        <is>
          <t>Entorno vivo</t>
        </is>
      </c>
      <c r="H248" s="38" t="inlineStr">
        <is>
          <t>Identifico en mi entorno objetos que cumplen funciones similares a las de mis órganos y sustento la comparación.</t>
        </is>
      </c>
      <c r="I248" s="11" t="inlineStr">
        <is>
          <t>T4_27</t>
        </is>
      </c>
      <c r="J248" s="11" t="inlineStr">
        <is>
          <t>T4_27-B1.3</t>
        </is>
      </c>
      <c r="K248" s="11" t="inlineStr"/>
      <c r="L248" s="11" t="inlineStr">
        <is>
          <t>media</t>
        </is>
      </c>
      <c r="M248" s="11">
        <f>IF(J248="FUERA","Fuera del marco",IFERROR(INDEX('Datos - Catálogo TIMSS'!$C$5:$C$107,MATCH(J248,'Datos - Catálogo TIMSS'!$A$5:$A$107,0)),"?"))</f>
        <v/>
      </c>
      <c r="N248" s="11" t="inlineStr">
        <is>
          <t>Analogías objeto-órgano sobre función de estructuras</t>
        </is>
      </c>
    </row>
    <row r="249">
      <c r="A249" s="11" t="inlineStr">
        <is>
          <t>CO-EBC-G4_5-VIVO-04</t>
        </is>
      </c>
      <c r="B249" s="11" t="inlineStr">
        <is>
          <t>Colombia</t>
        </is>
      </c>
      <c r="C249" s="11" t="inlineStr">
        <is>
          <t>CO_Estandares_Ciencias.pdf</t>
        </is>
      </c>
      <c r="D249" s="11" t="n">
        <v>39</v>
      </c>
      <c r="E249" s="11" t="inlineStr">
        <is>
          <t>4.°–5.°</t>
        </is>
      </c>
      <c r="F249" s="11" t="n">
        <v>4</v>
      </c>
      <c r="G249" s="11" t="inlineStr">
        <is>
          <t>Entorno vivo</t>
        </is>
      </c>
      <c r="H249" s="38" t="inlineStr">
        <is>
          <t>Represento los diversos sistemas de órganos del ser humano y explico su función.</t>
        </is>
      </c>
      <c r="I249" s="11" t="inlineStr">
        <is>
          <t>T4_27</t>
        </is>
      </c>
      <c r="J249" s="11" t="inlineStr">
        <is>
          <t>T4_27-B1.3</t>
        </is>
      </c>
      <c r="K249" s="11" t="inlineStr"/>
      <c r="L249" s="11" t="inlineStr">
        <is>
          <t>alta</t>
        </is>
      </c>
      <c r="M249" s="11">
        <f>IF(J249="FUERA","Fuera del marco",IFERROR(INDEX('Datos - Catálogo TIMSS'!$C$5:$C$107,MATCH(J249,'Datos - Catálogo TIMSS'!$A$5:$A$107,0)),"?"))</f>
        <v/>
      </c>
      <c r="N249" s="11" t="inlineStr">
        <is>
          <t>Sistemas de órganos humanos y su función</t>
        </is>
      </c>
    </row>
    <row r="250">
      <c r="A250" s="11" t="inlineStr">
        <is>
          <t>CO-EBC-G4_5-VIVO-05</t>
        </is>
      </c>
      <c r="B250" s="11" t="inlineStr">
        <is>
          <t>Colombia</t>
        </is>
      </c>
      <c r="C250" s="11" t="inlineStr">
        <is>
          <t>CO_Estandares_Ciencias.pdf</t>
        </is>
      </c>
      <c r="D250" s="11" t="n">
        <v>39</v>
      </c>
      <c r="E250" s="11" t="inlineStr">
        <is>
          <t>4.°–5.°</t>
        </is>
      </c>
      <c r="F250" s="11" t="n">
        <v>4</v>
      </c>
      <c r="G250" s="11" t="inlineStr">
        <is>
          <t>Entorno vivo</t>
        </is>
      </c>
      <c r="H250" s="38" t="inlineStr">
        <is>
          <t>Clasifico seres vivos en diversos grupos taxonómicos (plantas, animales, microorganismos…).</t>
        </is>
      </c>
      <c r="I250" s="11" t="inlineStr">
        <is>
          <t>T4_27</t>
        </is>
      </c>
      <c r="J250" s="11" t="inlineStr">
        <is>
          <t>T4_27-B1.2</t>
        </is>
      </c>
      <c r="K250" s="11" t="inlineStr"/>
      <c r="L250" s="11" t="inlineStr">
        <is>
          <t>alta</t>
        </is>
      </c>
      <c r="M250" s="11">
        <f>IF(J250="FUERA","Fuera del marco",IFERROR(INDEX('Datos - Catálogo TIMSS'!$C$5:$C$107,MATCH(J250,'Datos - Catálogo TIMSS'!$A$5:$A$107,0)),"?"))</f>
        <v/>
      </c>
      <c r="N250" s="11" t="inlineStr">
        <is>
          <t>Clasificación de seres vivos en grandes grupos</t>
        </is>
      </c>
    </row>
    <row r="251">
      <c r="A251" s="11" t="inlineStr">
        <is>
          <t>CO-EBC-G4_5-VIVO-06</t>
        </is>
      </c>
      <c r="B251" s="11" t="inlineStr">
        <is>
          <t>Colombia</t>
        </is>
      </c>
      <c r="C251" s="11" t="inlineStr">
        <is>
          <t>CO_Estandares_Ciencias.pdf</t>
        </is>
      </c>
      <c r="D251" s="11" t="n">
        <v>39</v>
      </c>
      <c r="E251" s="11" t="inlineStr">
        <is>
          <t>4.°–5.°</t>
        </is>
      </c>
      <c r="F251" s="11" t="n">
        <v>4</v>
      </c>
      <c r="G251" s="11" t="inlineStr">
        <is>
          <t>Entorno vivo</t>
        </is>
      </c>
      <c r="H251" s="38" t="inlineStr">
        <is>
          <t>Indago acerca del tipo de fuerza (compresión, tensión o torsión) que puede fracturar diferentes tipos de huesos.</t>
        </is>
      </c>
      <c r="I251" s="11" t="inlineStr">
        <is>
          <t>T4_27</t>
        </is>
      </c>
      <c r="J251" s="11" t="inlineStr">
        <is>
          <t>T4_27-P5.1</t>
        </is>
      </c>
      <c r="K251" s="11" t="inlineStr">
        <is>
          <t>T4_27-B1.3</t>
        </is>
      </c>
      <c r="L251" s="11" t="inlineStr">
        <is>
          <t>media</t>
        </is>
      </c>
      <c r="M251" s="11">
        <f>IF(J251="FUERA","Fuera del marco",IFERROR(INDEX('Datos - Catálogo TIMSS'!$C$5:$C$107,MATCH(J251,'Datos - Catálogo TIMSS'!$A$5:$A$107,0)),"?"))</f>
        <v/>
      </c>
      <c r="N251" s="11" t="inlineStr">
        <is>
          <t>Fuerzas de compresión, tensión y torsión sobre huesos</t>
        </is>
      </c>
    </row>
    <row r="252">
      <c r="A252" s="11" t="inlineStr">
        <is>
          <t>CO-EBC-G4_5-VIVO-07</t>
        </is>
      </c>
      <c r="B252" s="11" t="inlineStr">
        <is>
          <t>Colombia</t>
        </is>
      </c>
      <c r="C252" s="11" t="inlineStr">
        <is>
          <t>CO_Estandares_Ciencias.pdf</t>
        </is>
      </c>
      <c r="D252" s="11" t="n">
        <v>39</v>
      </c>
      <c r="E252" s="11" t="inlineStr">
        <is>
          <t>4.°–5.°</t>
        </is>
      </c>
      <c r="F252" s="11" t="n">
        <v>4</v>
      </c>
      <c r="G252" s="11" t="inlineStr">
        <is>
          <t>Entorno vivo</t>
        </is>
      </c>
      <c r="H252" s="38" t="inlineStr">
        <is>
          <t>Identifico máquinas simples en el cuerpo de seres vivos y explico su función.</t>
        </is>
      </c>
      <c r="I252" s="11" t="inlineStr">
        <is>
          <t>T4_27</t>
        </is>
      </c>
      <c r="J252" s="11" t="inlineStr">
        <is>
          <t>T4_27-P5.2</t>
        </is>
      </c>
      <c r="K252" s="11" t="inlineStr">
        <is>
          <t>T4_27-B1.3</t>
        </is>
      </c>
      <c r="L252" s="11" t="inlineStr">
        <is>
          <t>media</t>
        </is>
      </c>
      <c r="M252" s="11">
        <f>IF(J252="FUERA","Fuera del marco",IFERROR(INDEX('Datos - Catálogo TIMSS'!$C$5:$C$107,MATCH(J252,'Datos - Catálogo TIMSS'!$A$5:$A$107,0)),"?"))</f>
        <v/>
      </c>
      <c r="N252" s="11" t="inlineStr">
        <is>
          <t>Máquinas simples en el cuerpo de seres vivos</t>
        </is>
      </c>
    </row>
    <row r="253">
      <c r="A253" s="11" t="inlineStr">
        <is>
          <t>CO-EBC-G4_5-VIVO-08</t>
        </is>
      </c>
      <c r="B253" s="11" t="inlineStr">
        <is>
          <t>Colombia</t>
        </is>
      </c>
      <c r="C253" s="11" t="inlineStr">
        <is>
          <t>CO_Estandares_Ciencias.pdf</t>
        </is>
      </c>
      <c r="D253" s="11" t="n">
        <v>39</v>
      </c>
      <c r="E253" s="11" t="inlineStr">
        <is>
          <t>4.°–5.°</t>
        </is>
      </c>
      <c r="F253" s="11" t="n">
        <v>4</v>
      </c>
      <c r="G253" s="11" t="inlineStr">
        <is>
          <t>Entorno vivo</t>
        </is>
      </c>
      <c r="H253" s="38" t="inlineStr">
        <is>
          <t>Investigo y describo diversos tipos de neuronas, las comparo entre sí y con circuitos eléctricos.</t>
        </is>
      </c>
      <c r="I253" s="11" t="inlineStr">
        <is>
          <t>T4_27</t>
        </is>
      </c>
      <c r="J253" s="11" t="inlineStr">
        <is>
          <t>T4_27-B1.3</t>
        </is>
      </c>
      <c r="K253" s="11" t="inlineStr">
        <is>
          <t>T4_27-P4.1</t>
        </is>
      </c>
      <c r="L253" s="11" t="inlineStr">
        <is>
          <t>baja</t>
        </is>
      </c>
      <c r="M253" s="11">
        <f>IF(J253="FUERA","Fuera del marco",IFERROR(INDEX('Datos - Catálogo TIMSS'!$C$5:$C$107,MATCH(J253,'Datos - Catálogo TIMSS'!$A$5:$A$107,0)),"?"))</f>
        <v/>
      </c>
      <c r="N253" s="11" t="inlineStr">
        <is>
          <t>Neuronas comparadas con circuitos; nivel superior al marco</t>
        </is>
      </c>
    </row>
    <row r="254">
      <c r="A254" s="11" t="inlineStr">
        <is>
          <t>CO-EBC-G4_5-VIVO-09</t>
        </is>
      </c>
      <c r="B254" s="11" t="inlineStr">
        <is>
          <t>Colombia</t>
        </is>
      </c>
      <c r="C254" s="11" t="inlineStr">
        <is>
          <t>CO_Estandares_Ciencias.pdf</t>
        </is>
      </c>
      <c r="D254" s="11" t="n">
        <v>39</v>
      </c>
      <c r="E254" s="11" t="inlineStr">
        <is>
          <t>4.°–5.°</t>
        </is>
      </c>
      <c r="F254" s="11" t="n">
        <v>4</v>
      </c>
      <c r="G254" s="11" t="inlineStr">
        <is>
          <t>Entorno vivo</t>
        </is>
      </c>
      <c r="H254" s="38" t="inlineStr">
        <is>
          <t>Analizo el ecosistema que me rodea y lo comparo con otros.</t>
        </is>
      </c>
      <c r="I254" s="11" t="inlineStr">
        <is>
          <t>T4_27</t>
        </is>
      </c>
      <c r="J254" s="11" t="inlineStr">
        <is>
          <t>T4_27-B4.1</t>
        </is>
      </c>
      <c r="K254" s="11" t="inlineStr"/>
      <c r="L254" s="11" t="inlineStr">
        <is>
          <t>alta</t>
        </is>
      </c>
      <c r="M254" s="11">
        <f>IF(J254="FUERA","Fuera del marco",IFERROR(INDEX('Datos - Catálogo TIMSS'!$C$5:$C$107,MATCH(J254,'Datos - Catálogo TIMSS'!$A$5:$A$107,0)),"?"))</f>
        <v/>
      </c>
      <c r="N254" s="11" t="inlineStr">
        <is>
          <t>Analizar y comparar ecosistemas</t>
        </is>
      </c>
    </row>
    <row r="255">
      <c r="A255" s="11" t="inlineStr">
        <is>
          <t>CO-EBC-G4_5-VIVO-10</t>
        </is>
      </c>
      <c r="B255" s="11" t="inlineStr">
        <is>
          <t>Colombia</t>
        </is>
      </c>
      <c r="C255" s="11" t="inlineStr">
        <is>
          <t>CO_Estandares_Ciencias.pdf</t>
        </is>
      </c>
      <c r="D255" s="11" t="n">
        <v>39</v>
      </c>
      <c r="E255" s="11" t="inlineStr">
        <is>
          <t>4.°–5.°</t>
        </is>
      </c>
      <c r="F255" s="11" t="n">
        <v>4</v>
      </c>
      <c r="G255" s="11" t="inlineStr">
        <is>
          <t>Entorno vivo</t>
        </is>
      </c>
      <c r="H255" s="38" t="inlineStr">
        <is>
          <t>Identifico adaptaciones de los seres vivos, teniendo en cuenta las características de los ecosistemas en que viven.</t>
        </is>
      </c>
      <c r="I255" s="11" t="inlineStr">
        <is>
          <t>T4_27</t>
        </is>
      </c>
      <c r="J255" s="11" t="inlineStr">
        <is>
          <t>T4_27-B3.1</t>
        </is>
      </c>
      <c r="K255" s="11" t="inlineStr">
        <is>
          <t>T4_27-B4.1</t>
        </is>
      </c>
      <c r="L255" s="11" t="inlineStr">
        <is>
          <t>alta</t>
        </is>
      </c>
      <c r="M255" s="11">
        <f>IF(J255="FUERA","Fuera del marco",IFERROR(INDEX('Datos - Catálogo TIMSS'!$C$5:$C$107,MATCH(J255,'Datos - Catálogo TIMSS'!$A$5:$A$107,0)),"?"))</f>
        <v/>
      </c>
      <c r="N255" s="11" t="inlineStr">
        <is>
          <t>Adaptaciones según características del ecosistema</t>
        </is>
      </c>
    </row>
    <row r="256">
      <c r="A256" s="11" t="inlineStr">
        <is>
          <t>CO-EBC-G4_5-VIVO-11</t>
        </is>
      </c>
      <c r="B256" s="11" t="inlineStr">
        <is>
          <t>Colombia</t>
        </is>
      </c>
      <c r="C256" s="11" t="inlineStr">
        <is>
          <t>CO_Estandares_Ciencias.pdf</t>
        </is>
      </c>
      <c r="D256" s="11" t="n">
        <v>39</v>
      </c>
      <c r="E256" s="11" t="inlineStr">
        <is>
          <t>4.°–5.°</t>
        </is>
      </c>
      <c r="F256" s="11" t="n">
        <v>4</v>
      </c>
      <c r="G256" s="11" t="inlineStr">
        <is>
          <t>Entorno vivo</t>
        </is>
      </c>
      <c r="H256" s="38" t="inlineStr">
        <is>
          <t>Explico la dinámica de un ecosistema, teniendo en cuenta las necesidades de energía y nutrientes de los seres vivos (cadena alimentaria).</t>
        </is>
      </c>
      <c r="I256" s="11" t="inlineStr">
        <is>
          <t>T4_27</t>
        </is>
      </c>
      <c r="J256" s="11" t="inlineStr">
        <is>
          <t>T4_27-B4.2</t>
        </is>
      </c>
      <c r="K256" s="11" t="inlineStr">
        <is>
          <t>T4_27-B1.4</t>
        </is>
      </c>
      <c r="L256" s="11" t="inlineStr">
        <is>
          <t>alta</t>
        </is>
      </c>
      <c r="M256" s="11">
        <f>IF(J256="FUERA","Fuera del marco",IFERROR(INDEX('Datos - Catálogo TIMSS'!$C$5:$C$107,MATCH(J256,'Datos - Catálogo TIMSS'!$A$5:$A$107,0)),"?"))</f>
        <v/>
      </c>
      <c r="N256" s="11" t="inlineStr">
        <is>
          <t>Cadena alimentaria y necesidades de energía y nutrientes</t>
        </is>
      </c>
    </row>
    <row r="257">
      <c r="A257" s="11" t="inlineStr">
        <is>
          <t>CO-EBC-G4_5-VIVO-12</t>
        </is>
      </c>
      <c r="B257" s="11" t="inlineStr">
        <is>
          <t>Colombia</t>
        </is>
      </c>
      <c r="C257" s="11" t="inlineStr">
        <is>
          <t>CO_Estandares_Ciencias.pdf</t>
        </is>
      </c>
      <c r="D257" s="11" t="n">
        <v>39</v>
      </c>
      <c r="E257" s="11" t="inlineStr">
        <is>
          <t>4.°–5.°</t>
        </is>
      </c>
      <c r="F257" s="11" t="n">
        <v>4</v>
      </c>
      <c r="G257" s="11" t="inlineStr">
        <is>
          <t>Entorno vivo</t>
        </is>
      </c>
      <c r="H257" s="38" t="inlineStr">
        <is>
          <t>Identifico fenómenos de camuflaje en el entorno y los relaciono con las necesidades de los seres vivos.</t>
        </is>
      </c>
      <c r="I257" s="11" t="inlineStr">
        <is>
          <t>T4_27</t>
        </is>
      </c>
      <c r="J257" s="11" t="inlineStr">
        <is>
          <t>T4_27-B3.1</t>
        </is>
      </c>
      <c r="K257" s="11" t="inlineStr"/>
      <c r="L257" s="11" t="inlineStr">
        <is>
          <t>alta</t>
        </is>
      </c>
      <c r="M257" s="11">
        <f>IF(J257="FUERA","Fuera del marco",IFERROR(INDEX('Datos - Catálogo TIMSS'!$C$5:$C$107,MATCH(J257,'Datos - Catálogo TIMSS'!$A$5:$A$107,0)),"?"))</f>
        <v/>
      </c>
      <c r="N257" s="11" t="inlineStr">
        <is>
          <t>Camuflaje como rasgo para sobrevivir</t>
        </is>
      </c>
    </row>
    <row r="258">
      <c r="A258" s="11" t="inlineStr">
        <is>
          <t>CO-DBA-G5-01</t>
        </is>
      </c>
      <c r="B258" s="11" t="inlineStr">
        <is>
          <t>Colombia</t>
        </is>
      </c>
      <c r="C258" s="11" t="inlineStr">
        <is>
          <t>CO_DBA_Ciencias_Naturales.pdf</t>
        </is>
      </c>
      <c r="D258" s="11" t="n">
        <v>19</v>
      </c>
      <c r="E258" s="11" t="inlineStr">
        <is>
          <t>5.°</t>
        </is>
      </c>
      <c r="F258" s="11" t="n">
        <v>5</v>
      </c>
      <c r="G258" s="11" t="inlineStr"/>
      <c r="H258" s="38" t="inlineStr">
        <is>
          <t>Comprende que un circuito eléctrico básico tiene fuente (pila), conductores (cables) y dispositivos (bombillos, motores, timbres) conectados apropiadamente por sus dos polos para funcionar y producir efectos.</t>
        </is>
      </c>
      <c r="I258" s="11" t="inlineStr">
        <is>
          <t>T8_27</t>
        </is>
      </c>
      <c r="J258" s="11" t="inlineStr">
        <is>
          <t>T8_27-P4.1</t>
        </is>
      </c>
      <c r="K258" s="11" t="inlineStr"/>
      <c r="L258" s="11" t="inlineStr">
        <is>
          <t>alta</t>
        </is>
      </c>
      <c r="M258" s="11">
        <f>IF(J258="FUERA","Fuera del marco",IFERROR(INDEX('Datos - Catálogo TIMSS'!$C$5:$C$107,MATCH(J258,'Datos - Catálogo TIMSS'!$A$5:$A$107,0)),"?"))</f>
        <v/>
      </c>
      <c r="N258" s="11" t="inlineStr">
        <is>
          <t>Componentes de un circuito eléctrico completo</t>
        </is>
      </c>
    </row>
    <row r="259">
      <c r="A259" s="11" t="inlineStr">
        <is>
          <t>CO-DBA-G5-02</t>
        </is>
      </c>
      <c r="B259" s="11" t="inlineStr">
        <is>
          <t>Colombia</t>
        </is>
      </c>
      <c r="C259" s="11" t="inlineStr">
        <is>
          <t>CO_DBA_Ciencias_Naturales.pdf</t>
        </is>
      </c>
      <c r="D259" s="11" t="n">
        <v>19</v>
      </c>
      <c r="E259" s="11" t="inlineStr">
        <is>
          <t>5.°</t>
        </is>
      </c>
      <c r="F259" s="11" t="n">
        <v>5</v>
      </c>
      <c r="G259" s="11" t="inlineStr"/>
      <c r="H259" s="38" t="inlineStr">
        <is>
          <t>Comprende que algunos materiales son buenos conductores de la corriente eléctrica y otros no (denominados aislantes) y que el paso de la corriente siempre genera calor.</t>
        </is>
      </c>
      <c r="I259" s="11" t="inlineStr">
        <is>
          <t>T8_27</t>
        </is>
      </c>
      <c r="J259" s="11" t="inlineStr">
        <is>
          <t>T8_27-P4.1</t>
        </is>
      </c>
      <c r="K259" s="11" t="inlineStr">
        <is>
          <t>T8_27-P2.1</t>
        </is>
      </c>
      <c r="L259" s="11" t="inlineStr">
        <is>
          <t>alta</t>
        </is>
      </c>
      <c r="M259" s="11">
        <f>IF(J259="FUERA","Fuera del marco",IFERROR(INDEX('Datos - Catálogo TIMSS'!$C$5:$C$107,MATCH(J259,'Datos - Catálogo TIMSS'!$A$5:$A$107,0)),"?"))</f>
        <v/>
      </c>
      <c r="N259" s="11" t="inlineStr">
        <is>
          <t>Conductores y aislantes; la corriente transforma energía en calor</t>
        </is>
      </c>
    </row>
    <row r="260">
      <c r="A260" s="11" t="inlineStr">
        <is>
          <t>CO-DBA-G5-03</t>
        </is>
      </c>
      <c r="B260" s="11" t="inlineStr">
        <is>
          <t>Colombia</t>
        </is>
      </c>
      <c r="C260" s="11" t="inlineStr">
        <is>
          <t>CO_DBA_Ciencias_Naturales.pdf</t>
        </is>
      </c>
      <c r="D260" s="11" t="n">
        <v>20</v>
      </c>
      <c r="E260" s="11" t="inlineStr">
        <is>
          <t>5.°</t>
        </is>
      </c>
      <c r="F260" s="11" t="n">
        <v>5</v>
      </c>
      <c r="G260" s="11" t="inlineStr"/>
      <c r="H260" s="38" t="inlineStr">
        <is>
          <t>Comprende que los sistemas del cuerpo humano están formados por órganos, tejidos y células, y que la estructura celular se relaciona con la función del tejido.</t>
        </is>
      </c>
      <c r="I260" s="11" t="inlineStr">
        <is>
          <t>T8_27</t>
        </is>
      </c>
      <c r="J260" s="11" t="inlineStr">
        <is>
          <t>T8_27-B2.1</t>
        </is>
      </c>
      <c r="K260" s="11" t="inlineStr">
        <is>
          <t>T8_27-B1.2</t>
        </is>
      </c>
      <c r="L260" s="11" t="inlineStr">
        <is>
          <t>alta</t>
        </is>
      </c>
      <c r="M260" s="11">
        <f>IF(J260="FUERA","Fuera del marco",IFERROR(INDEX('Datos - Catálogo TIMSS'!$C$5:$C$107,MATCH(J260,'Datos - Catálogo TIMSS'!$A$5:$A$107,0)),"?"))</f>
        <v/>
      </c>
      <c r="N260" s="11" t="inlineStr">
        <is>
          <t>Niveles de organización: células, tejidos, órganos y sistemas</t>
        </is>
      </c>
    </row>
    <row r="261">
      <c r="A261" s="11" t="inlineStr">
        <is>
          <t>CO-DBA-G5-04</t>
        </is>
      </c>
      <c r="B261" s="11" t="inlineStr">
        <is>
          <t>Colombia</t>
        </is>
      </c>
      <c r="C261" s="11" t="inlineStr">
        <is>
          <t>CO_DBA_Ciencias_Naturales.pdf</t>
        </is>
      </c>
      <c r="D261" s="11" t="n">
        <v>20</v>
      </c>
      <c r="E261" s="11" t="inlineStr">
        <is>
          <t>5.°</t>
        </is>
      </c>
      <c r="F261" s="11" t="n">
        <v>5</v>
      </c>
      <c r="G261" s="11" t="inlineStr"/>
      <c r="H261" s="38" t="inlineStr">
        <is>
          <t>Comprende que en los seres humanos (y en muchos otros animales) la nutrición involucra el funcionamiento integrado de un conjunto de sistemas de órganos: digestivo, respiratorio y circulatorio.</t>
        </is>
      </c>
      <c r="I261" s="11" t="inlineStr">
        <is>
          <t>T8_27</t>
        </is>
      </c>
      <c r="J261" s="11" t="inlineStr">
        <is>
          <t>T8_27-B1.2</t>
        </is>
      </c>
      <c r="K261" s="11" t="inlineStr"/>
      <c r="L261" s="11" t="inlineStr">
        <is>
          <t>alta</t>
        </is>
      </c>
      <c r="M261" s="11">
        <f>IF(J261="FUERA","Fuera del marco",IFERROR(INDEX('Datos - Catálogo TIMSS'!$C$5:$C$107,MATCH(J261,'Datos - Catálogo TIMSS'!$A$5:$A$107,0)),"?"))</f>
        <v/>
      </c>
      <c r="N261" s="11" t="inlineStr">
        <is>
          <t>Sistemas digestivo, respiratorio y circulatorio integrados en la nutrición</t>
        </is>
      </c>
    </row>
    <row r="262">
      <c r="A262" s="11" t="inlineStr">
        <is>
          <t>CO-DBA-G6-01</t>
        </is>
      </c>
      <c r="B262" s="11" t="inlineStr">
        <is>
          <t>Colombia</t>
        </is>
      </c>
      <c r="C262" s="11" t="inlineStr">
        <is>
          <t>CO_DBA_Ciencias_Naturales.pdf</t>
        </is>
      </c>
      <c r="D262" s="11" t="n">
        <v>21</v>
      </c>
      <c r="E262" s="11" t="inlineStr">
        <is>
          <t>6.°</t>
        </is>
      </c>
      <c r="F262" s="11" t="n">
        <v>6</v>
      </c>
      <c r="G262" s="11" t="inlineStr"/>
      <c r="H262" s="38" t="inlineStr">
        <is>
          <t>Comprende cómo los cuerpos pueden ser cargados eléctricamente asociando esta carga a efectos de atracción y repulsión.</t>
        </is>
      </c>
      <c r="I262" s="11" t="inlineStr">
        <is>
          <t>T8_27</t>
        </is>
      </c>
      <c r="J262" s="11" t="inlineStr">
        <is>
          <t>FUERA</t>
        </is>
      </c>
      <c r="K262" s="11" t="inlineStr"/>
      <c r="L262" s="11" t="inlineStr">
        <is>
          <t>baja</t>
        </is>
      </c>
      <c r="M262" s="11">
        <f>IF(J262="FUERA","Fuera del marco",IFERROR(INDEX('Datos - Catálogo TIMSS'!$C$5:$C$107,MATCH(J262,'Datos - Catálogo TIMSS'!$A$5:$A$107,0)),"?"))</f>
        <v/>
      </c>
      <c r="N262" s="11" t="inlineStr">
        <is>
          <t>Electrostática (carga, atracción, repulsión) no figura en el catálogo</t>
        </is>
      </c>
    </row>
    <row r="263">
      <c r="A263" s="11" t="inlineStr">
        <is>
          <t>CO-DBA-G6-02</t>
        </is>
      </c>
      <c r="B263" s="11" t="inlineStr">
        <is>
          <t>Colombia</t>
        </is>
      </c>
      <c r="C263" s="11" t="inlineStr">
        <is>
          <t>CO_DBA_Ciencias_Naturales.pdf</t>
        </is>
      </c>
      <c r="D263" s="11" t="n">
        <v>21</v>
      </c>
      <c r="E263" s="11" t="inlineStr">
        <is>
          <t>6.°</t>
        </is>
      </c>
      <c r="F263" s="11" t="n">
        <v>6</v>
      </c>
      <c r="G263" s="11" t="inlineStr"/>
      <c r="H263" s="38" t="inlineStr">
        <is>
          <t>Comprende que temperatura y presión influyen en propiedades fisicoquímicas (solubilidad, viscosidad, densidad, puntos de ebullición y fusión) aprovechables en técnicas de separación de mezclas.</t>
        </is>
      </c>
      <c r="I263" s="11" t="inlineStr">
        <is>
          <t>T8_27</t>
        </is>
      </c>
      <c r="J263" s="11" t="inlineStr">
        <is>
          <t>T8_27-C2.1</t>
        </is>
      </c>
      <c r="K263" s="11" t="inlineStr">
        <is>
          <t>T8_27-C2.2</t>
        </is>
      </c>
      <c r="L263" s="11" t="inlineStr">
        <is>
          <t>alta</t>
        </is>
      </c>
      <c r="M263" s="11">
        <f>IF(J263="FUERA","Fuera del marco",IFERROR(INDEX('Datos - Catálogo TIMSS'!$C$5:$C$107,MATCH(J263,'Datos - Catálogo TIMSS'!$A$5:$A$107,0)),"?"))</f>
        <v/>
      </c>
      <c r="N263" s="11" t="inlineStr">
        <is>
          <t>Propiedades físicas de sustancias aplicadas a separar mezclas</t>
        </is>
      </c>
    </row>
    <row r="264">
      <c r="A264" s="11" t="inlineStr">
        <is>
          <t>CO-DBA-G6-03</t>
        </is>
      </c>
      <c r="B264" s="11" t="inlineStr">
        <is>
          <t>Colombia</t>
        </is>
      </c>
      <c r="C264" s="11" t="inlineStr">
        <is>
          <t>CO_DBA_Ciencias_Naturales.pdf</t>
        </is>
      </c>
      <c r="D264" s="11" t="n">
        <v>22</v>
      </c>
      <c r="E264" s="11" t="inlineStr">
        <is>
          <t>6.°</t>
        </is>
      </c>
      <c r="F264" s="11" t="n">
        <v>6</v>
      </c>
      <c r="G264" s="11" t="inlineStr"/>
      <c r="H264" s="38" t="inlineStr">
        <is>
          <t>Comprende la clasificación de los materiales a partir de grupos de sustancias (elementos y compuestos) y mezclas (homogéneas y heterogéneas).</t>
        </is>
      </c>
      <c r="I264" s="11" t="inlineStr">
        <is>
          <t>T8_27</t>
        </is>
      </c>
      <c r="J264" s="11" t="inlineStr">
        <is>
          <t>T8_27-C1.2</t>
        </is>
      </c>
      <c r="K264" s="11" t="inlineStr"/>
      <c r="L264" s="11" t="inlineStr">
        <is>
          <t>alta</t>
        </is>
      </c>
      <c r="M264" s="11">
        <f>IF(J264="FUERA","Fuera del marco",IFERROR(INDEX('Datos - Catálogo TIMSS'!$C$5:$C$107,MATCH(J264,'Datos - Catálogo TIMSS'!$A$5:$A$107,0)),"?"))</f>
        <v/>
      </c>
      <c r="N264" s="11" t="inlineStr">
        <is>
          <t>Elementos, compuestos y mezclas homogéneas y heterogéneas</t>
        </is>
      </c>
    </row>
    <row r="265">
      <c r="A265" s="11" t="inlineStr">
        <is>
          <t>CO-DBA-G6-04</t>
        </is>
      </c>
      <c r="B265" s="11" t="inlineStr">
        <is>
          <t>Colombia</t>
        </is>
      </c>
      <c r="C265" s="11" t="inlineStr">
        <is>
          <t>CO_DBA_Ciencias_Naturales.pdf</t>
        </is>
      </c>
      <c r="D265" s="11" t="n">
        <v>22</v>
      </c>
      <c r="E265" s="11" t="inlineStr">
        <is>
          <t>6.°</t>
        </is>
      </c>
      <c r="F265" s="11" t="n">
        <v>6</v>
      </c>
      <c r="G265" s="11" t="inlineStr"/>
      <c r="H265" s="38" t="inlineStr">
        <is>
          <t>Comprende algunas de las funciones básicas de la célula (transporte de membrana, obtención de energía y división celular) a partir del análisis de su estructura.</t>
        </is>
      </c>
      <c r="I265" s="11" t="inlineStr">
        <is>
          <t>T8_27</t>
        </is>
      </c>
      <c r="J265" s="11" t="inlineStr">
        <is>
          <t>T8_27-B2.1</t>
        </is>
      </c>
      <c r="K265" s="11" t="inlineStr">
        <is>
          <t>T8_27-B1.3</t>
        </is>
      </c>
      <c r="L265" s="11" t="inlineStr">
        <is>
          <t>alta</t>
        </is>
      </c>
      <c r="M265" s="11">
        <f>IF(J265="FUERA","Fuera del marco",IFERROR(INDEX('Datos - Catálogo TIMSS'!$C$5:$C$107,MATCH(J265,'Datos - Catálogo TIMSS'!$A$5:$A$107,0)),"?"))</f>
        <v/>
      </c>
      <c r="N265" s="11" t="inlineStr">
        <is>
          <t>Estructura celular y funciones: transporte, energía, división</t>
        </is>
      </c>
    </row>
    <row r="266">
      <c r="A266" s="11" t="inlineStr">
        <is>
          <t>CO-DBA-G6-05</t>
        </is>
      </c>
      <c r="B266" s="11" t="inlineStr">
        <is>
          <t>Colombia</t>
        </is>
      </c>
      <c r="C266" s="11" t="inlineStr">
        <is>
          <t>CO_DBA_Ciencias_Naturales.pdf</t>
        </is>
      </c>
      <c r="D266" s="11" t="n">
        <v>23</v>
      </c>
      <c r="E266" s="11" t="inlineStr">
        <is>
          <t>6.°</t>
        </is>
      </c>
      <c r="F266" s="11" t="n">
        <v>6</v>
      </c>
      <c r="G266" s="11" t="inlineStr"/>
      <c r="H266" s="38" t="inlineStr">
        <is>
          <t>Comprende la clasificación de organismos en grupos taxonómicos según su tipo de células, y reconoce la diversidad de especies del planeta y sus relaciones de parentesco.</t>
        </is>
      </c>
      <c r="I266" s="11" t="inlineStr">
        <is>
          <t>T8_27</t>
        </is>
      </c>
      <c r="J266" s="11" t="inlineStr">
        <is>
          <t>T8_27-B1.1</t>
        </is>
      </c>
      <c r="K266" s="11" t="inlineStr">
        <is>
          <t>T8_27-B4.2</t>
        </is>
      </c>
      <c r="L266" s="11" t="inlineStr">
        <is>
          <t>alta</t>
        </is>
      </c>
      <c r="M266" s="11">
        <f>IF(J266="FUERA","Fuera del marco",IFERROR(INDEX('Datos - Catálogo TIMSS'!$C$5:$C$107,MATCH(J266,'Datos - Catálogo TIMSS'!$A$5:$A$107,0)),"?"))</f>
        <v/>
      </c>
      <c r="N266" s="11" t="inlineStr">
        <is>
          <t>Clasificación taxonómica y relaciones de parentesco entre especies</t>
        </is>
      </c>
    </row>
    <row r="267">
      <c r="A267" s="11" t="inlineStr">
        <is>
          <t>CO-EBC-G6_7-CIEN-01</t>
        </is>
      </c>
      <c r="B267" s="11" t="inlineStr">
        <is>
          <t>Colombia</t>
        </is>
      </c>
      <c r="C267" s="11" t="inlineStr">
        <is>
          <t>CO_Estandares_Ciencias.pdf</t>
        </is>
      </c>
      <c r="D267" s="11" t="n">
        <v>41</v>
      </c>
      <c r="E267" s="11" t="inlineStr">
        <is>
          <t>6.°–7.°</t>
        </is>
      </c>
      <c r="F267" s="11" t="n">
        <v>6</v>
      </c>
      <c r="G267" s="11" t="inlineStr">
        <is>
          <t>…me aproximo al conocimiento como científico(a) natural</t>
        </is>
      </c>
      <c r="H267" s="38" t="inlineStr">
        <is>
          <t>Observo fenómenos específicos.</t>
        </is>
      </c>
      <c r="I267" s="11" t="inlineStr">
        <is>
          <t>T8_27</t>
        </is>
      </c>
      <c r="J267" s="11" t="inlineStr">
        <is>
          <t>T8_27-P6.1</t>
        </is>
      </c>
      <c r="K267" s="11" t="inlineStr"/>
      <c r="L267" s="11" t="inlineStr">
        <is>
          <t>baja</t>
        </is>
      </c>
      <c r="M267" s="11">
        <f>IF(J267="FUERA","Fuera del marco",IFERROR(INDEX('Datos - Catálogo TIMSS'!$C$5:$C$107,MATCH(J267,'Datos - Catálogo TIMSS'!$A$5:$A$107,0)),"?"))</f>
        <v/>
      </c>
      <c r="N267" s="11" t="inlineStr">
        <is>
          <t>Práctica genérica de observación; sin disciplina deducible</t>
        </is>
      </c>
    </row>
    <row r="268">
      <c r="A268" s="11" t="inlineStr">
        <is>
          <t>CO-EBC-G6_7-CIEN-02</t>
        </is>
      </c>
      <c r="B268" s="11" t="inlineStr">
        <is>
          <t>Colombia</t>
        </is>
      </c>
      <c r="C268" s="11" t="inlineStr">
        <is>
          <t>CO_Estandares_Ciencias.pdf</t>
        </is>
      </c>
      <c r="D268" s="11" t="n">
        <v>41</v>
      </c>
      <c r="E268" s="11" t="inlineStr">
        <is>
          <t>6.°–7.°</t>
        </is>
      </c>
      <c r="F268" s="11" t="n">
        <v>6</v>
      </c>
      <c r="G268" s="11" t="inlineStr">
        <is>
          <t>…me aproximo al conocimiento como científico(a) natural</t>
        </is>
      </c>
      <c r="H268" s="38" t="inlineStr">
        <is>
          <t>Formulo preguntas específicas sobre una observación o experiencia y escojo una para indagar y encontrar posibles respuestas.</t>
        </is>
      </c>
      <c r="I268" s="11" t="inlineStr">
        <is>
          <t>T8_27</t>
        </is>
      </c>
      <c r="J268" s="11" t="inlineStr">
        <is>
          <t>T8_27-C4.1</t>
        </is>
      </c>
      <c r="K268" s="11" t="inlineStr">
        <is>
          <t>T8_27-P6.1</t>
        </is>
      </c>
      <c r="L268" s="11" t="inlineStr">
        <is>
          <t>media</t>
        </is>
      </c>
      <c r="M268" s="11">
        <f>IF(J268="FUERA","Fuera del marco",IFERROR(INDEX('Datos - Catálogo TIMSS'!$C$5:$C$107,MATCH(J268,'Datos - Catálogo TIMSS'!$A$5:$A$107,0)),"?"))</f>
        <v/>
      </c>
      <c r="N268" s="11" t="inlineStr">
        <is>
          <t>Formular preguntas comprobables para investigar</t>
        </is>
      </c>
    </row>
    <row r="269">
      <c r="A269" s="11" t="inlineStr">
        <is>
          <t>CO-EBC-G6_7-CIEN-03</t>
        </is>
      </c>
      <c r="B269" s="11" t="inlineStr">
        <is>
          <t>Colombia</t>
        </is>
      </c>
      <c r="C269" s="11" t="inlineStr">
        <is>
          <t>CO_Estandares_Ciencias.pdf</t>
        </is>
      </c>
      <c r="D269" s="11" t="n">
        <v>41</v>
      </c>
      <c r="E269" s="11" t="inlineStr">
        <is>
          <t>6.°–7.°</t>
        </is>
      </c>
      <c r="F269" s="11" t="n">
        <v>6</v>
      </c>
      <c r="G269" s="11" t="inlineStr">
        <is>
          <t>…me aproximo al conocimiento como científico(a) natural</t>
        </is>
      </c>
      <c r="H269" s="38" t="inlineStr">
        <is>
          <t>Formulo explicaciones posibles, con base en el conocimiento cotidiano, teorías y modelos científicos, para contestar preguntas.</t>
        </is>
      </c>
      <c r="I269" s="11" t="inlineStr">
        <is>
          <t>T8_27</t>
        </is>
      </c>
      <c r="J269" s="11" t="inlineStr">
        <is>
          <t>T8_27-P6.1</t>
        </is>
      </c>
      <c r="K269" s="11" t="inlineStr"/>
      <c r="L269" s="11" t="inlineStr">
        <is>
          <t>baja</t>
        </is>
      </c>
      <c r="M269" s="11">
        <f>IF(J269="FUERA","Fuera del marco",IFERROR(INDEX('Datos - Catálogo TIMSS'!$C$5:$C$107,MATCH(J269,'Datos - Catálogo TIMSS'!$A$5:$A$107,0)),"?"))</f>
        <v/>
      </c>
      <c r="N269" s="11" t="inlineStr">
        <is>
          <t>Hipótesis o explicaciones previas en una investigación</t>
        </is>
      </c>
    </row>
    <row r="270">
      <c r="A270" s="11" t="inlineStr">
        <is>
          <t>CO-EBC-G6_7-CIEN-04</t>
        </is>
      </c>
      <c r="B270" s="11" t="inlineStr">
        <is>
          <t>Colombia</t>
        </is>
      </c>
      <c r="C270" s="11" t="inlineStr">
        <is>
          <t>CO_Estandares_Ciencias.pdf</t>
        </is>
      </c>
      <c r="D270" s="11" t="n">
        <v>41</v>
      </c>
      <c r="E270" s="11" t="inlineStr">
        <is>
          <t>6.°–7.°</t>
        </is>
      </c>
      <c r="F270" s="11" t="n">
        <v>6</v>
      </c>
      <c r="G270" s="11" t="inlineStr">
        <is>
          <t>…me aproximo al conocimiento como científico(a) natural</t>
        </is>
      </c>
      <c r="H270" s="38" t="inlineStr">
        <is>
          <t>Identifico condiciones que influyen en los resultados de un experimento y que pueden permanecer constantes o cambiar (variables).</t>
        </is>
      </c>
      <c r="I270" s="11" t="inlineStr">
        <is>
          <t>T8_27</t>
        </is>
      </c>
      <c r="J270" s="11" t="inlineStr">
        <is>
          <t>T8_27-C4.1</t>
        </is>
      </c>
      <c r="K270" s="11" t="inlineStr">
        <is>
          <t>T8_27-B7.1</t>
        </is>
      </c>
      <c r="L270" s="11" t="inlineStr">
        <is>
          <t>media</t>
        </is>
      </c>
      <c r="M270" s="11">
        <f>IF(J270="FUERA","Fuera del marco",IFERROR(INDEX('Datos - Catálogo TIMSS'!$C$5:$C$107,MATCH(J270,'Datos - Catálogo TIMSS'!$A$5:$A$107,0)),"?"))</f>
        <v/>
      </c>
      <c r="N270" s="11" t="inlineStr">
        <is>
          <t>Identificar variables controladas y variables que cambian</t>
        </is>
      </c>
    </row>
    <row r="271">
      <c r="A271" s="11" t="inlineStr">
        <is>
          <t>CO-EBC-G6_7-CIEN-05</t>
        </is>
      </c>
      <c r="B271" s="11" t="inlineStr">
        <is>
          <t>Colombia</t>
        </is>
      </c>
      <c r="C271" s="11" t="inlineStr">
        <is>
          <t>CO_Estandares_Ciencias.pdf</t>
        </is>
      </c>
      <c r="D271" s="11" t="n">
        <v>41</v>
      </c>
      <c r="E271" s="11" t="inlineStr">
        <is>
          <t>6.°–7.°</t>
        </is>
      </c>
      <c r="F271" s="11" t="n">
        <v>6</v>
      </c>
      <c r="G271" s="11" t="inlineStr">
        <is>
          <t>…me aproximo al conocimiento como científico(a) natural</t>
        </is>
      </c>
      <c r="H271" s="38" t="inlineStr">
        <is>
          <t>Diseño y realizo experimentos y verifico el efecto de modificar diversas variables para dar respuesta a preguntas.</t>
        </is>
      </c>
      <c r="I271" s="11" t="inlineStr">
        <is>
          <t>T8_27</t>
        </is>
      </c>
      <c r="J271" s="11" t="inlineStr">
        <is>
          <t>T8_27-C4.1</t>
        </is>
      </c>
      <c r="K271" s="11" t="inlineStr">
        <is>
          <t>T8_27-P6.1</t>
        </is>
      </c>
      <c r="L271" s="11" t="inlineStr">
        <is>
          <t>media</t>
        </is>
      </c>
      <c r="M271" s="11">
        <f>IF(J271="FUERA","Fuera del marco",IFERROR(INDEX('Datos - Catálogo TIMSS'!$C$5:$C$107,MATCH(J271,'Datos - Catálogo TIMSS'!$A$5:$A$107,0)),"?"))</f>
        <v/>
      </c>
      <c r="N271" s="11" t="inlineStr">
        <is>
          <t>Diseñar experimentos cambiando variables</t>
        </is>
      </c>
    </row>
    <row r="272">
      <c r="A272" s="11" t="inlineStr">
        <is>
          <t>CO-EBC-G6_7-CIEN-06</t>
        </is>
      </c>
      <c r="B272" s="11" t="inlineStr">
        <is>
          <t>Colombia</t>
        </is>
      </c>
      <c r="C272" s="11" t="inlineStr">
        <is>
          <t>CO_Estandares_Ciencias.pdf</t>
        </is>
      </c>
      <c r="D272" s="11" t="n">
        <v>41</v>
      </c>
      <c r="E272" s="11" t="inlineStr">
        <is>
          <t>6.°–7.°</t>
        </is>
      </c>
      <c r="F272" s="11" t="n">
        <v>6</v>
      </c>
      <c r="G272" s="11" t="inlineStr">
        <is>
          <t>…me aproximo al conocimiento como científico(a) natural</t>
        </is>
      </c>
      <c r="H272" s="38" t="inlineStr">
        <is>
          <t>Realizo mediciones con instrumentos y equipos adecuados a las características y magnitudes de los objetos y las expreso en las unidades correspondientes.</t>
        </is>
      </c>
      <c r="I272" s="11" t="inlineStr">
        <is>
          <t>T8_27</t>
        </is>
      </c>
      <c r="J272" s="11" t="inlineStr">
        <is>
          <t>T8_27-P6.1</t>
        </is>
      </c>
      <c r="K272" s="11" t="inlineStr"/>
      <c r="L272" s="11" t="inlineStr">
        <is>
          <t>alta</t>
        </is>
      </c>
      <c r="M272" s="11">
        <f>IF(J272="FUERA","Fuera del marco",IFERROR(INDEX('Datos - Catálogo TIMSS'!$C$5:$C$107,MATCH(J272,'Datos - Catálogo TIMSS'!$A$5:$A$107,0)),"?"))</f>
        <v/>
      </c>
      <c r="N272" s="11" t="inlineStr">
        <is>
          <t>Medir con instrumentos adecuados</t>
        </is>
      </c>
    </row>
    <row r="273">
      <c r="A273" s="11" t="inlineStr">
        <is>
          <t>CO-EBC-G6_7-CIEN-07</t>
        </is>
      </c>
      <c r="B273" s="11" t="inlineStr">
        <is>
          <t>Colombia</t>
        </is>
      </c>
      <c r="C273" s="11" t="inlineStr">
        <is>
          <t>CO_Estandares_Ciencias.pdf</t>
        </is>
      </c>
      <c r="D273" s="11" t="n">
        <v>41</v>
      </c>
      <c r="E273" s="11" t="inlineStr">
        <is>
          <t>6.°–7.°</t>
        </is>
      </c>
      <c r="F273" s="11" t="n">
        <v>6</v>
      </c>
      <c r="G273" s="11" t="inlineStr">
        <is>
          <t>…me aproximo al conocimiento como científico(a) natural</t>
        </is>
      </c>
      <c r="H273" s="38" t="inlineStr">
        <is>
          <t>Registro mis observaciones y resultados utilizando esquemas, gráficos y tablas.</t>
        </is>
      </c>
      <c r="I273" s="11" t="inlineStr">
        <is>
          <t>T8_27</t>
        </is>
      </c>
      <c r="J273" s="11" t="inlineStr">
        <is>
          <t>T8_27-P6.1</t>
        </is>
      </c>
      <c r="K273" s="11" t="inlineStr"/>
      <c r="L273" s="11" t="inlineStr">
        <is>
          <t>media</t>
        </is>
      </c>
      <c r="M273" s="11">
        <f>IF(J273="FUERA","Fuera del marco",IFERROR(INDEX('Datos - Catálogo TIMSS'!$C$5:$C$107,MATCH(J273,'Datos - Catálogo TIMSS'!$A$5:$A$107,0)),"?"))</f>
        <v/>
      </c>
      <c r="N273" s="11" t="inlineStr">
        <is>
          <t>Registrar observaciones y resultados en tablas y gráficos</t>
        </is>
      </c>
    </row>
    <row r="274">
      <c r="A274" s="11" t="inlineStr">
        <is>
          <t>CO-EBC-G6_7-CIEN-08</t>
        </is>
      </c>
      <c r="B274" s="11" t="inlineStr">
        <is>
          <t>Colombia</t>
        </is>
      </c>
      <c r="C274" s="11" t="inlineStr">
        <is>
          <t>CO_Estandares_Ciencias.pdf</t>
        </is>
      </c>
      <c r="D274" s="11" t="n">
        <v>41</v>
      </c>
      <c r="E274" s="11" t="inlineStr">
        <is>
          <t>6.°–7.°</t>
        </is>
      </c>
      <c r="F274" s="11" t="n">
        <v>6</v>
      </c>
      <c r="G274" s="11" t="inlineStr">
        <is>
          <t>…me aproximo al conocimiento como científico(a) natural</t>
        </is>
      </c>
      <c r="H274" s="38" t="inlineStr">
        <is>
          <t>Registro mis resultados en forma organizada y sin alteración alguna.</t>
        </is>
      </c>
      <c r="I274" s="11" t="inlineStr">
        <is>
          <t>T8_27</t>
        </is>
      </c>
      <c r="J274" s="11" t="inlineStr">
        <is>
          <t>T8_27-P6.1</t>
        </is>
      </c>
      <c r="K274" s="11" t="inlineStr"/>
      <c r="L274" s="11" t="inlineStr">
        <is>
          <t>baja</t>
        </is>
      </c>
      <c r="M274" s="11">
        <f>IF(J274="FUERA","Fuera del marco",IFERROR(INDEX('Datos - Catálogo TIMSS'!$C$5:$C$107,MATCH(J274,'Datos - Catálogo TIMSS'!$A$5:$A$107,0)),"?"))</f>
        <v/>
      </c>
      <c r="N274" s="11" t="inlineStr">
        <is>
          <t>Registro honesto de resultados; práctica genérica</t>
        </is>
      </c>
    </row>
    <row r="275">
      <c r="A275" s="11" t="inlineStr">
        <is>
          <t>CO-EBC-G6_7-CIEN-09</t>
        </is>
      </c>
      <c r="B275" s="11" t="inlineStr">
        <is>
          <t>Colombia</t>
        </is>
      </c>
      <c r="C275" s="11" t="inlineStr">
        <is>
          <t>CO_Estandares_Ciencias.pdf</t>
        </is>
      </c>
      <c r="D275" s="11" t="n">
        <v>41</v>
      </c>
      <c r="E275" s="11" t="inlineStr">
        <is>
          <t>6.°–7.°</t>
        </is>
      </c>
      <c r="F275" s="11" t="n">
        <v>6</v>
      </c>
      <c r="G275" s="11" t="inlineStr">
        <is>
          <t>…me aproximo al conocimiento como científico(a) natural</t>
        </is>
      </c>
      <c r="H275" s="38" t="inlineStr">
        <is>
          <t>Establezco diferencias entre descripción, explicación y evidencia.</t>
        </is>
      </c>
      <c r="I275" s="11" t="inlineStr">
        <is>
          <t>T8_27</t>
        </is>
      </c>
      <c r="J275" s="11" t="inlineStr">
        <is>
          <t>T8_27-P6.1</t>
        </is>
      </c>
      <c r="K275" s="11" t="inlineStr"/>
      <c r="L275" s="11" t="inlineStr">
        <is>
          <t>baja</t>
        </is>
      </c>
      <c r="M275" s="11">
        <f>IF(J275="FUERA","Fuera del marco",IFERROR(INDEX('Datos - Catálogo TIMSS'!$C$5:$C$107,MATCH(J275,'Datos - Catálogo TIMSS'!$A$5:$A$107,0)),"?"))</f>
        <v/>
      </c>
      <c r="N275" s="11" t="inlineStr">
        <is>
          <t>Distinguir descripción, explicación y evidencia al concluir</t>
        </is>
      </c>
    </row>
    <row r="276">
      <c r="A276" s="11" t="inlineStr">
        <is>
          <t>CO-EBC-G6_7-CIEN-10</t>
        </is>
      </c>
      <c r="B276" s="11" t="inlineStr">
        <is>
          <t>Colombia</t>
        </is>
      </c>
      <c r="C276" s="11" t="inlineStr">
        <is>
          <t>CO_Estandares_Ciencias.pdf</t>
        </is>
      </c>
      <c r="D276" s="11" t="n">
        <v>41</v>
      </c>
      <c r="E276" s="11" t="inlineStr">
        <is>
          <t>6.°–7.°</t>
        </is>
      </c>
      <c r="F276" s="11" t="n">
        <v>6</v>
      </c>
      <c r="G276" s="11" t="inlineStr">
        <is>
          <t>…me aproximo al conocimiento como científico(a) natural</t>
        </is>
      </c>
      <c r="H276" s="38" t="inlineStr">
        <is>
          <t>Utilizo las matemáticas como una herramienta para organizar, analizar y presentar datos.</t>
        </is>
      </c>
      <c r="I276" s="11" t="inlineStr">
        <is>
          <t>T8_27</t>
        </is>
      </c>
      <c r="J276" s="11" t="inlineStr">
        <is>
          <t>T8_27-P6.1</t>
        </is>
      </c>
      <c r="K276" s="11" t="inlineStr"/>
      <c r="L276" s="11" t="inlineStr">
        <is>
          <t>media</t>
        </is>
      </c>
      <c r="M276" s="11">
        <f>IF(J276="FUERA","Fuera del marco",IFERROR(INDEX('Datos - Catálogo TIMSS'!$C$5:$C$107,MATCH(J276,'Datos - Catálogo TIMSS'!$A$5:$A$107,0)),"?"))</f>
        <v/>
      </c>
      <c r="N276" s="11" t="inlineStr">
        <is>
          <t>Analizar y presentar datos con matemáticas</t>
        </is>
      </c>
    </row>
    <row r="277">
      <c r="A277" s="11" t="inlineStr">
        <is>
          <t>CO-EBC-G6_7-CIEN-11</t>
        </is>
      </c>
      <c r="B277" s="11" t="inlineStr">
        <is>
          <t>Colombia</t>
        </is>
      </c>
      <c r="C277" s="11" t="inlineStr">
        <is>
          <t>CO_Estandares_Ciencias.pdf</t>
        </is>
      </c>
      <c r="D277" s="11" t="n">
        <v>41</v>
      </c>
      <c r="E277" s="11" t="inlineStr">
        <is>
          <t>6.°–7.°</t>
        </is>
      </c>
      <c r="F277" s="11" t="n">
        <v>6</v>
      </c>
      <c r="G277" s="11" t="inlineStr">
        <is>
          <t>…me aproximo al conocimiento como científico(a) natural</t>
        </is>
      </c>
      <c r="H277" s="38" t="inlineStr">
        <is>
          <t>Busco información en diferentes fuentes.</t>
        </is>
      </c>
      <c r="I277" s="11" t="inlineStr">
        <is>
          <t>T8_27</t>
        </is>
      </c>
      <c r="J277" s="11" t="inlineStr">
        <is>
          <t>FUERA</t>
        </is>
      </c>
      <c r="K277" s="11" t="inlineStr"/>
      <c r="L277" s="11" t="inlineStr">
        <is>
          <t>media</t>
        </is>
      </c>
      <c r="M277" s="11">
        <f>IF(J277="FUERA","Fuera del marco",IFERROR(INDEX('Datos - Catálogo TIMSS'!$C$5:$C$107,MATCH(J277,'Datos - Catálogo TIMSS'!$A$5:$A$107,0)),"?"))</f>
        <v/>
      </c>
      <c r="N277" s="11" t="inlineStr">
        <is>
          <t>Búsqueda de información; competencia general</t>
        </is>
      </c>
    </row>
    <row r="278">
      <c r="A278" s="11" t="inlineStr">
        <is>
          <t>CO-EBC-G6_7-CIEN-12</t>
        </is>
      </c>
      <c r="B278" s="11" t="inlineStr">
        <is>
          <t>Colombia</t>
        </is>
      </c>
      <c r="C278" s="11" t="inlineStr">
        <is>
          <t>CO_Estandares_Ciencias.pdf</t>
        </is>
      </c>
      <c r="D278" s="11" t="n">
        <v>41</v>
      </c>
      <c r="E278" s="11" t="inlineStr">
        <is>
          <t>6.°–7.°</t>
        </is>
      </c>
      <c r="F278" s="11" t="n">
        <v>6</v>
      </c>
      <c r="G278" s="11" t="inlineStr">
        <is>
          <t>…me aproximo al conocimiento como científico(a) natural</t>
        </is>
      </c>
      <c r="H278" s="38" t="inlineStr">
        <is>
          <t>Evalúo la calidad de la información, escojo la pertinente y doy el crédito correspondiente.</t>
        </is>
      </c>
      <c r="I278" s="11" t="inlineStr">
        <is>
          <t>T8_27</t>
        </is>
      </c>
      <c r="J278" s="11" t="inlineStr">
        <is>
          <t>FUERA</t>
        </is>
      </c>
      <c r="K278" s="11" t="inlineStr"/>
      <c r="L278" s="11" t="inlineStr">
        <is>
          <t>media</t>
        </is>
      </c>
      <c r="M278" s="11">
        <f>IF(J278="FUERA","Fuera del marco",IFERROR(INDEX('Datos - Catálogo TIMSS'!$C$5:$C$107,MATCH(J278,'Datos - Catálogo TIMSS'!$A$5:$A$107,0)),"?"))</f>
        <v/>
      </c>
      <c r="N278" s="11" t="inlineStr">
        <is>
          <t>Evaluar fuentes de información; competencia general</t>
        </is>
      </c>
    </row>
    <row r="279">
      <c r="A279" s="11" t="inlineStr">
        <is>
          <t>CO-EBC-G6_7-CIEN-13</t>
        </is>
      </c>
      <c r="B279" s="11" t="inlineStr">
        <is>
          <t>Colombia</t>
        </is>
      </c>
      <c r="C279" s="11" t="inlineStr">
        <is>
          <t>CO_Estandares_Ciencias.pdf</t>
        </is>
      </c>
      <c r="D279" s="11" t="n">
        <v>41</v>
      </c>
      <c r="E279" s="11" t="inlineStr">
        <is>
          <t>6.°–7.°</t>
        </is>
      </c>
      <c r="F279" s="11" t="n">
        <v>6</v>
      </c>
      <c r="G279" s="11" t="inlineStr">
        <is>
          <t>…me aproximo al conocimiento como científico(a) natural</t>
        </is>
      </c>
      <c r="H279" s="38" t="inlineStr">
        <is>
          <t>Establezco relaciones causales entre los datos recopilados.</t>
        </is>
      </c>
      <c r="I279" s="11" t="inlineStr">
        <is>
          <t>T8_27</t>
        </is>
      </c>
      <c r="J279" s="11" t="inlineStr">
        <is>
          <t>T8_27-P6.1</t>
        </is>
      </c>
      <c r="K279" s="11" t="inlineStr"/>
      <c r="L279" s="11" t="inlineStr">
        <is>
          <t>media</t>
        </is>
      </c>
      <c r="M279" s="11">
        <f>IF(J279="FUERA","Fuera del marco",IFERROR(INDEX('Datos - Catálogo TIMSS'!$C$5:$C$107,MATCH(J279,'Datos - Catálogo TIMSS'!$A$5:$A$107,0)),"?"))</f>
        <v/>
      </c>
      <c r="N279" s="11" t="inlineStr">
        <is>
          <t>Analizar datos para establecer relaciones causales</t>
        </is>
      </c>
    </row>
    <row r="280">
      <c r="A280" s="11" t="inlineStr">
        <is>
          <t>CO-EBC-G6_7-CIEN-14</t>
        </is>
      </c>
      <c r="B280" s="11" t="inlineStr">
        <is>
          <t>Colombia</t>
        </is>
      </c>
      <c r="C280" s="11" t="inlineStr">
        <is>
          <t>CO_Estandares_Ciencias.pdf</t>
        </is>
      </c>
      <c r="D280" s="11" t="n">
        <v>41</v>
      </c>
      <c r="E280" s="11" t="inlineStr">
        <is>
          <t>6.°–7.°</t>
        </is>
      </c>
      <c r="F280" s="11" t="n">
        <v>6</v>
      </c>
      <c r="G280" s="11" t="inlineStr">
        <is>
          <t>…me aproximo al conocimiento como científico(a) natural</t>
        </is>
      </c>
      <c r="H280" s="38" t="inlineStr">
        <is>
          <t>Establezco relaciones entre la información recopilada en otras fuentes y los datos generados en mis experimentos.</t>
        </is>
      </c>
      <c r="I280" s="11" t="inlineStr">
        <is>
          <t>T8_27</t>
        </is>
      </c>
      <c r="J280" s="11" t="inlineStr">
        <is>
          <t>T8_27-P6.1</t>
        </is>
      </c>
      <c r="K280" s="11" t="inlineStr"/>
      <c r="L280" s="11" t="inlineStr">
        <is>
          <t>baja</t>
        </is>
      </c>
      <c r="M280" s="11">
        <f>IF(J280="FUERA","Fuera del marco",IFERROR(INDEX('Datos - Catálogo TIMSS'!$C$5:$C$107,MATCH(J280,'Datos - Catálogo TIMSS'!$A$5:$A$107,0)),"?"))</f>
        <v/>
      </c>
      <c r="N280" s="11" t="inlineStr">
        <is>
          <t>Contrastar datos propios con otras fuentes</t>
        </is>
      </c>
    </row>
    <row r="281">
      <c r="A281" s="11" t="inlineStr">
        <is>
          <t>CO-EBC-G6_7-CIEN-15</t>
        </is>
      </c>
      <c r="B281" s="11" t="inlineStr">
        <is>
          <t>Colombia</t>
        </is>
      </c>
      <c r="C281" s="11" t="inlineStr">
        <is>
          <t>CO_Estandares_Ciencias.pdf</t>
        </is>
      </c>
      <c r="D281" s="11" t="n">
        <v>41</v>
      </c>
      <c r="E281" s="11" t="inlineStr">
        <is>
          <t>6.°–7.°</t>
        </is>
      </c>
      <c r="F281" s="11" t="n">
        <v>6</v>
      </c>
      <c r="G281" s="11" t="inlineStr">
        <is>
          <t>…me aproximo al conocimiento como científico(a) natural</t>
        </is>
      </c>
      <c r="H281" s="38" t="inlineStr">
        <is>
          <t>Analizo si la información que he obtenido es suficiente para contestar mis preguntas o sustentar mis explicaciones.</t>
        </is>
      </c>
      <c r="I281" s="11" t="inlineStr">
        <is>
          <t>T8_27</t>
        </is>
      </c>
      <c r="J281" s="11" t="inlineStr">
        <is>
          <t>T8_27-P6.1</t>
        </is>
      </c>
      <c r="K281" s="11" t="inlineStr"/>
      <c r="L281" s="11" t="inlineStr">
        <is>
          <t>baja</t>
        </is>
      </c>
      <c r="M281" s="11">
        <f>IF(J281="FUERA","Fuera del marco",IFERROR(INDEX('Datos - Catálogo TIMSS'!$C$5:$C$107,MATCH(J281,'Datos - Catálogo TIMSS'!$A$5:$A$107,0)),"?"))</f>
        <v/>
      </c>
      <c r="N281" s="11" t="inlineStr">
        <is>
          <t>Valorar si los datos bastan para concluir</t>
        </is>
      </c>
    </row>
    <row r="282">
      <c r="A282" s="11" t="inlineStr">
        <is>
          <t>CO-EBC-G6_7-CIEN-16</t>
        </is>
      </c>
      <c r="B282" s="11" t="inlineStr">
        <is>
          <t>Colombia</t>
        </is>
      </c>
      <c r="C282" s="11" t="inlineStr">
        <is>
          <t>CO_Estandares_Ciencias.pdf</t>
        </is>
      </c>
      <c r="D282" s="11" t="n">
        <v>41</v>
      </c>
      <c r="E282" s="11" t="inlineStr">
        <is>
          <t>6.°–7.°</t>
        </is>
      </c>
      <c r="F282" s="11" t="n">
        <v>6</v>
      </c>
      <c r="G282" s="11" t="inlineStr">
        <is>
          <t>…me aproximo al conocimiento como científico(a) natural</t>
        </is>
      </c>
      <c r="H282" s="38" t="inlineStr">
        <is>
          <t>Saco conclusiones de los experimentos que realizo, aunque no obtenga los resultados esperados.</t>
        </is>
      </c>
      <c r="I282" s="11" t="inlineStr">
        <is>
          <t>T8_27</t>
        </is>
      </c>
      <c r="J282" s="11" t="inlineStr">
        <is>
          <t>T8_27-P6.1</t>
        </is>
      </c>
      <c r="K282" s="11" t="inlineStr"/>
      <c r="L282" s="11" t="inlineStr">
        <is>
          <t>media</t>
        </is>
      </c>
      <c r="M282" s="11">
        <f>IF(J282="FUERA","Fuera del marco",IFERROR(INDEX('Datos - Catálogo TIMSS'!$C$5:$C$107,MATCH(J282,'Datos - Catálogo TIMSS'!$A$5:$A$107,0)),"?"))</f>
        <v/>
      </c>
      <c r="N282" s="11" t="inlineStr">
        <is>
          <t>Sacar conclusiones de experimentos</t>
        </is>
      </c>
    </row>
    <row r="283">
      <c r="A283" s="11" t="inlineStr">
        <is>
          <t>CO-EBC-G6_7-CIEN-17</t>
        </is>
      </c>
      <c r="B283" s="11" t="inlineStr">
        <is>
          <t>Colombia</t>
        </is>
      </c>
      <c r="C283" s="11" t="inlineStr">
        <is>
          <t>CO_Estandares_Ciencias.pdf</t>
        </is>
      </c>
      <c r="D283" s="11" t="n">
        <v>41</v>
      </c>
      <c r="E283" s="11" t="inlineStr">
        <is>
          <t>6.°–7.°</t>
        </is>
      </c>
      <c r="F283" s="11" t="n">
        <v>6</v>
      </c>
      <c r="G283" s="11" t="inlineStr">
        <is>
          <t>…me aproximo al conocimiento como científico(a) natural</t>
        </is>
      </c>
      <c r="H283" s="38" t="inlineStr">
        <is>
          <t>Persisto en la búsqueda de respuestas a mis preguntas.</t>
        </is>
      </c>
      <c r="I283" s="11" t="inlineStr">
        <is>
          <t>T8_27</t>
        </is>
      </c>
      <c r="J283" s="11" t="inlineStr">
        <is>
          <t>FUERA</t>
        </is>
      </c>
      <c r="K283" s="11" t="inlineStr"/>
      <c r="L283" s="11" t="inlineStr">
        <is>
          <t>alta</t>
        </is>
      </c>
      <c r="M283" s="11">
        <f>IF(J283="FUERA","Fuera del marco",IFERROR(INDEX('Datos - Catálogo TIMSS'!$C$5:$C$107,MATCH(J283,'Datos - Catálogo TIMSS'!$A$5:$A$107,0)),"?"))</f>
        <v/>
      </c>
      <c r="N283" s="11" t="inlineStr">
        <is>
          <t>Actitud de persistencia; sin contenido científico</t>
        </is>
      </c>
    </row>
    <row r="284">
      <c r="A284" s="11" t="inlineStr">
        <is>
          <t>CO-EBC-G6_7-CIEN-18</t>
        </is>
      </c>
      <c r="B284" s="11" t="inlineStr">
        <is>
          <t>Colombia</t>
        </is>
      </c>
      <c r="C284" s="11" t="inlineStr">
        <is>
          <t>CO_Estandares_Ciencias.pdf</t>
        </is>
      </c>
      <c r="D284" s="11" t="n">
        <v>41</v>
      </c>
      <c r="E284" s="11" t="inlineStr">
        <is>
          <t>6.°–7.°</t>
        </is>
      </c>
      <c r="F284" s="11" t="n">
        <v>6</v>
      </c>
      <c r="G284" s="11" t="inlineStr">
        <is>
          <t>…me aproximo al conocimiento como científico(a) natural</t>
        </is>
      </c>
      <c r="H284" s="38" t="inlineStr">
        <is>
          <t>Propongo respuestas a mis preguntas y las comparo con las de otras personas y con las de teorías científicas.</t>
        </is>
      </c>
      <c r="I284" s="11" t="inlineStr">
        <is>
          <t>T8_27</t>
        </is>
      </c>
      <c r="J284" s="11" t="inlineStr">
        <is>
          <t>T8_27-P6.1</t>
        </is>
      </c>
      <c r="K284" s="11" t="inlineStr"/>
      <c r="L284" s="11" t="inlineStr">
        <is>
          <t>baja</t>
        </is>
      </c>
      <c r="M284" s="11">
        <f>IF(J284="FUERA","Fuera del marco",IFERROR(INDEX('Datos - Catálogo TIMSS'!$C$5:$C$107,MATCH(J284,'Datos - Catálogo TIMSS'!$A$5:$A$107,0)),"?"))</f>
        <v/>
      </c>
      <c r="N284" s="11" t="inlineStr">
        <is>
          <t>Comparar respuestas propias con teorías; concluir</t>
        </is>
      </c>
    </row>
    <row r="285">
      <c r="A285" s="11" t="inlineStr">
        <is>
          <t>CO-EBC-G6_7-CIEN-19</t>
        </is>
      </c>
      <c r="B285" s="11" t="inlineStr">
        <is>
          <t>Colombia</t>
        </is>
      </c>
      <c r="C285" s="11" t="inlineStr">
        <is>
          <t>CO_Estandares_Ciencias.pdf</t>
        </is>
      </c>
      <c r="D285" s="11" t="n">
        <v>41</v>
      </c>
      <c r="E285" s="11" t="inlineStr">
        <is>
          <t>6.°–7.°</t>
        </is>
      </c>
      <c r="F285" s="11" t="n">
        <v>6</v>
      </c>
      <c r="G285" s="11" t="inlineStr">
        <is>
          <t>…me aproximo al conocimiento como científico(a) natural</t>
        </is>
      </c>
      <c r="H285" s="38" t="inlineStr">
        <is>
          <t>Sustento mis respuestas con diversos argumentos.</t>
        </is>
      </c>
      <c r="I285" s="11" t="inlineStr">
        <is>
          <t>T8_27</t>
        </is>
      </c>
      <c r="J285" s="11" t="inlineStr">
        <is>
          <t>FUERA</t>
        </is>
      </c>
      <c r="K285" s="11" t="inlineStr"/>
      <c r="L285" s="11" t="inlineStr">
        <is>
          <t>baja</t>
        </is>
      </c>
      <c r="M285" s="11">
        <f>IF(J285="FUERA","Fuera del marco",IFERROR(INDEX('Datos - Catálogo TIMSS'!$C$5:$C$107,MATCH(J285,'Datos - Catálogo TIMSS'!$A$5:$A$107,0)),"?"))</f>
        <v/>
      </c>
      <c r="N285" s="11" t="inlineStr">
        <is>
          <t>Argumentación general sin contenido del catálogo</t>
        </is>
      </c>
    </row>
    <row r="286">
      <c r="A286" s="11" t="inlineStr">
        <is>
          <t>CO-EBC-G6_7-CIEN-20</t>
        </is>
      </c>
      <c r="B286" s="11" t="inlineStr">
        <is>
          <t>Colombia</t>
        </is>
      </c>
      <c r="C286" s="11" t="inlineStr">
        <is>
          <t>CO_Estandares_Ciencias.pdf</t>
        </is>
      </c>
      <c r="D286" s="11" t="n">
        <v>41</v>
      </c>
      <c r="E286" s="11" t="inlineStr">
        <is>
          <t>6.°–7.°</t>
        </is>
      </c>
      <c r="F286" s="11" t="n">
        <v>6</v>
      </c>
      <c r="G286" s="11" t="inlineStr">
        <is>
          <t>…me aproximo al conocimiento como científico(a) natural</t>
        </is>
      </c>
      <c r="H286" s="38" t="inlineStr">
        <is>
          <t>Identifico y uso adecuadamente el lenguaje propio de las ciencias.</t>
        </is>
      </c>
      <c r="I286" s="11" t="inlineStr">
        <is>
          <t>T8_27</t>
        </is>
      </c>
      <c r="J286" s="11" t="inlineStr">
        <is>
          <t>FUERA</t>
        </is>
      </c>
      <c r="K286" s="11" t="inlineStr"/>
      <c r="L286" s="11" t="inlineStr">
        <is>
          <t>media</t>
        </is>
      </c>
      <c r="M286" s="11">
        <f>IF(J286="FUERA","Fuera del marco",IFERROR(INDEX('Datos - Catálogo TIMSS'!$C$5:$C$107,MATCH(J286,'Datos - Catálogo TIMSS'!$A$5:$A$107,0)),"?"))</f>
        <v/>
      </c>
      <c r="N286" s="11" t="inlineStr">
        <is>
          <t>Lenguaje científico; competencia comunicativa general</t>
        </is>
      </c>
    </row>
    <row r="287">
      <c r="A287" s="11" t="inlineStr">
        <is>
          <t>CO-EBC-G6_7-CIEN-21</t>
        </is>
      </c>
      <c r="B287" s="11" t="inlineStr">
        <is>
          <t>Colombia</t>
        </is>
      </c>
      <c r="C287" s="11" t="inlineStr">
        <is>
          <t>CO_Estandares_Ciencias.pdf</t>
        </is>
      </c>
      <c r="D287" s="11" t="n">
        <v>41</v>
      </c>
      <c r="E287" s="11" t="inlineStr">
        <is>
          <t>6.°–7.°</t>
        </is>
      </c>
      <c r="F287" s="11" t="n">
        <v>6</v>
      </c>
      <c r="G287" s="11" t="inlineStr">
        <is>
          <t>…me aproximo al conocimiento como científico(a) natural</t>
        </is>
      </c>
      <c r="H287" s="38" t="inlineStr">
        <is>
          <t>Comunico oralmente y por escrito el proceso de indagación y los resultados que obtengo, utilizando gráficas, tablas y ecuaciones aritméticas.</t>
        </is>
      </c>
      <c r="I287" s="11" t="inlineStr">
        <is>
          <t>T8_27</t>
        </is>
      </c>
      <c r="J287" s="11" t="inlineStr">
        <is>
          <t>FUERA</t>
        </is>
      </c>
      <c r="K287" s="11" t="inlineStr"/>
      <c r="L287" s="11" t="inlineStr">
        <is>
          <t>media</t>
        </is>
      </c>
      <c r="M287" s="11">
        <f>IF(J287="FUERA","Fuera del marco",IFERROR(INDEX('Datos - Catálogo TIMSS'!$C$5:$C$107,MATCH(J287,'Datos - Catálogo TIMSS'!$A$5:$A$107,0)),"?"))</f>
        <v/>
      </c>
      <c r="N287" s="11" t="inlineStr">
        <is>
          <t>Comunicación de resultados; competencia comunicativa</t>
        </is>
      </c>
    </row>
    <row r="288">
      <c r="A288" s="11" t="inlineStr">
        <is>
          <t>CO-EBC-G6_7-CIEN-22</t>
        </is>
      </c>
      <c r="B288" s="11" t="inlineStr">
        <is>
          <t>Colombia</t>
        </is>
      </c>
      <c r="C288" s="11" t="inlineStr">
        <is>
          <t>CO_Estandares_Ciencias.pdf</t>
        </is>
      </c>
      <c r="D288" s="11" t="n">
        <v>41</v>
      </c>
      <c r="E288" s="11" t="inlineStr">
        <is>
          <t>6.°–7.°</t>
        </is>
      </c>
      <c r="F288" s="11" t="n">
        <v>6</v>
      </c>
      <c r="G288" s="11" t="inlineStr">
        <is>
          <t>…me aproximo al conocimiento como científico(a) natural</t>
        </is>
      </c>
      <c r="H288" s="38" t="inlineStr">
        <is>
          <t>Relaciono mis conclusiones con las presentadas por otros autores y formulo nuevas preguntas.</t>
        </is>
      </c>
      <c r="I288" s="11" t="inlineStr">
        <is>
          <t>T8_27</t>
        </is>
      </c>
      <c r="J288" s="11" t="inlineStr">
        <is>
          <t>T8_27-P6.1</t>
        </is>
      </c>
      <c r="K288" s="11" t="inlineStr"/>
      <c r="L288" s="11" t="inlineStr">
        <is>
          <t>baja</t>
        </is>
      </c>
      <c r="M288" s="11">
        <f>IF(J288="FUERA","Fuera del marco",IFERROR(INDEX('Datos - Catálogo TIMSS'!$C$5:$C$107,MATCH(J288,'Datos - Catálogo TIMSS'!$A$5:$A$107,0)),"?"))</f>
        <v/>
      </c>
      <c r="N288" s="11" t="inlineStr">
        <is>
          <t>Relacionar conclusiones y formular nuevas preguntas</t>
        </is>
      </c>
    </row>
    <row r="289">
      <c r="A289" s="11" t="inlineStr">
        <is>
          <t>CO-EBC-G6_7-CTS-01</t>
        </is>
      </c>
      <c r="B289" s="11" t="inlineStr">
        <is>
          <t>Colombia</t>
        </is>
      </c>
      <c r="C289" s="11" t="inlineStr">
        <is>
          <t>CO_Estandares_Ciencias.pdf</t>
        </is>
      </c>
      <c r="D289" s="11" t="n">
        <v>42</v>
      </c>
      <c r="E289" s="11" t="inlineStr">
        <is>
          <t>6.°–7.°</t>
        </is>
      </c>
      <c r="F289" s="11" t="n">
        <v>6</v>
      </c>
      <c r="G289" s="11" t="inlineStr">
        <is>
          <t>Ciencia, tecnología y sociedad</t>
        </is>
      </c>
      <c r="H289" s="38" t="inlineStr">
        <is>
          <t>Analizo el potencial de los recursos naturales de mi entorno para la obtención de energía e indico sus posibles usos.</t>
        </is>
      </c>
      <c r="I289" s="11" t="inlineStr">
        <is>
          <t>T8_27</t>
        </is>
      </c>
      <c r="J289" s="11" t="inlineStr">
        <is>
          <t>T8_27-E3.1</t>
        </is>
      </c>
      <c r="K289" s="11" t="inlineStr"/>
      <c r="L289" s="11" t="inlineStr">
        <is>
          <t>alta</t>
        </is>
      </c>
      <c r="M289" s="11">
        <f>IF(J289="FUERA","Fuera del marco",IFERROR(INDEX('Datos - Catálogo TIMSS'!$C$5:$C$107,MATCH(J289,'Datos - Catálogo TIMSS'!$A$5:$A$107,0)),"?"))</f>
        <v/>
      </c>
      <c r="N289" s="11" t="inlineStr">
        <is>
          <t>Fuentes de energía disponibles en el entorno</t>
        </is>
      </c>
    </row>
    <row r="290">
      <c r="A290" s="11" t="inlineStr">
        <is>
          <t>CO-EBC-G6_7-CTS-02</t>
        </is>
      </c>
      <c r="B290" s="11" t="inlineStr">
        <is>
          <t>Colombia</t>
        </is>
      </c>
      <c r="C290" s="11" t="inlineStr">
        <is>
          <t>CO_Estandares_Ciencias.pdf</t>
        </is>
      </c>
      <c r="D290" s="11" t="n">
        <v>42</v>
      </c>
      <c r="E290" s="11" t="inlineStr">
        <is>
          <t>6.°–7.°</t>
        </is>
      </c>
      <c r="F290" s="11" t="n">
        <v>6</v>
      </c>
      <c r="G290" s="11" t="inlineStr">
        <is>
          <t>Ciencia, tecnología y sociedad</t>
        </is>
      </c>
      <c r="H290" s="38" t="inlineStr">
        <is>
          <t>Identifico recursos renovables y no renovables y los peligros a los que están expuestos debido al desarrollo de los grupos humanos.</t>
        </is>
      </c>
      <c r="I290" s="11" t="inlineStr">
        <is>
          <t>T8_27</t>
        </is>
      </c>
      <c r="J290" s="11" t="inlineStr">
        <is>
          <t>T8_27-E3.2</t>
        </is>
      </c>
      <c r="K290" s="11" t="inlineStr">
        <is>
          <t>T8_27-B5.6</t>
        </is>
      </c>
      <c r="L290" s="11" t="inlineStr">
        <is>
          <t>alta</t>
        </is>
      </c>
      <c r="M290" s="11">
        <f>IF(J290="FUERA","Fuera del marco",IFERROR(INDEX('Datos - Catálogo TIMSS'!$C$5:$C$107,MATCH(J290,'Datos - Catálogo TIMSS'!$A$5:$A$107,0)),"?"))</f>
        <v/>
      </c>
      <c r="N290" s="11" t="inlineStr">
        <is>
          <t>Recursos renovables y no renovables y su amenaza</t>
        </is>
      </c>
    </row>
    <row r="291">
      <c r="A291" s="11" t="inlineStr">
        <is>
          <t>CO-EBC-G6_7-CTS-03</t>
        </is>
      </c>
      <c r="B291" s="11" t="inlineStr">
        <is>
          <t>Colombia</t>
        </is>
      </c>
      <c r="C291" s="11" t="inlineStr">
        <is>
          <t>CO_Estandares_Ciencias.pdf</t>
        </is>
      </c>
      <c r="D291" s="11" t="n">
        <v>42</v>
      </c>
      <c r="E291" s="11" t="inlineStr">
        <is>
          <t>6.°–7.°</t>
        </is>
      </c>
      <c r="F291" s="11" t="n">
        <v>6</v>
      </c>
      <c r="G291" s="11" t="inlineStr">
        <is>
          <t>Ciencia, tecnología y sociedad</t>
        </is>
      </c>
      <c r="H291" s="38" t="inlineStr">
        <is>
          <t>Justifico la importancia del recurso hídrico en el surgimiento y desarrollo de comunidades humanas.</t>
        </is>
      </c>
      <c r="I291" s="11" t="inlineStr">
        <is>
          <t>T8_27</t>
        </is>
      </c>
      <c r="J291" s="11" t="inlineStr">
        <is>
          <t>T8_27-E3.2</t>
        </is>
      </c>
      <c r="K291" s="11" t="inlineStr"/>
      <c r="L291" s="11" t="inlineStr">
        <is>
          <t>baja</t>
        </is>
      </c>
      <c r="M291" s="11">
        <f>IF(J291="FUERA","Fuera del marco",IFERROR(INDEX('Datos - Catálogo TIMSS'!$C$5:$C$107,MATCH(J291,'Datos - Catálogo TIMSS'!$A$5:$A$107,0)),"?"))</f>
        <v/>
      </c>
      <c r="N291" s="11" t="inlineStr">
        <is>
          <t>Agua como recurso para comunidades; enfoque social</t>
        </is>
      </c>
    </row>
    <row r="292">
      <c r="A292" s="11" t="inlineStr">
        <is>
          <t>CO-EBC-G6_7-CTS-04</t>
        </is>
      </c>
      <c r="B292" s="11" t="inlineStr">
        <is>
          <t>Colombia</t>
        </is>
      </c>
      <c r="C292" s="11" t="inlineStr">
        <is>
          <t>CO_Estandares_Ciencias.pdf</t>
        </is>
      </c>
      <c r="D292" s="11" t="n">
        <v>42</v>
      </c>
      <c r="E292" s="11" t="inlineStr">
        <is>
          <t>6.°–7.°</t>
        </is>
      </c>
      <c r="F292" s="11" t="n">
        <v>6</v>
      </c>
      <c r="G292" s="11" t="inlineStr">
        <is>
          <t>Ciencia, tecnología y sociedad</t>
        </is>
      </c>
      <c r="H292" s="38" t="inlineStr">
        <is>
          <t>Identifico factores de contaminación en mi entorno y sus implicaciones para la salud.</t>
        </is>
      </c>
      <c r="I292" s="11" t="inlineStr">
        <is>
          <t>T8_27</t>
        </is>
      </c>
      <c r="J292" s="11" t="inlineStr">
        <is>
          <t>T8_27-B5.6</t>
        </is>
      </c>
      <c r="K292" s="11" t="inlineStr"/>
      <c r="L292" s="11" t="inlineStr">
        <is>
          <t>alta</t>
        </is>
      </c>
      <c r="M292" s="11">
        <f>IF(J292="FUERA","Fuera del marco",IFERROR(INDEX('Datos - Catálogo TIMSS'!$C$5:$C$107,MATCH(J292,'Datos - Catálogo TIMSS'!$A$5:$A$107,0)),"?"))</f>
        <v/>
      </c>
      <c r="N292" s="11" t="inlineStr">
        <is>
          <t>Contaminación del entorno y efectos en la salud</t>
        </is>
      </c>
    </row>
    <row r="293">
      <c r="A293" s="11" t="inlineStr">
        <is>
          <t>CO-EBC-G6_7-CTS-05</t>
        </is>
      </c>
      <c r="B293" s="11" t="inlineStr">
        <is>
          <t>Colombia</t>
        </is>
      </c>
      <c r="C293" s="11" t="inlineStr">
        <is>
          <t>CO_Estandares_Ciencias.pdf</t>
        </is>
      </c>
      <c r="D293" s="11" t="n">
        <v>42</v>
      </c>
      <c r="E293" s="11" t="inlineStr">
        <is>
          <t>6.°–7.°</t>
        </is>
      </c>
      <c r="F293" s="11" t="n">
        <v>6</v>
      </c>
      <c r="G293" s="11" t="inlineStr">
        <is>
          <t>Ciencia, tecnología y sociedad</t>
        </is>
      </c>
      <c r="H293" s="38" t="inlineStr">
        <is>
          <t>Relaciono la dieta de algunas comunidades humanas con los recursos disponibles y determino si es balanceada.</t>
        </is>
      </c>
      <c r="I293" s="11" t="inlineStr">
        <is>
          <t>T8_27</t>
        </is>
      </c>
      <c r="J293" s="11" t="inlineStr">
        <is>
          <t>T8_27-B6.2</t>
        </is>
      </c>
      <c r="K293" s="11" t="inlineStr"/>
      <c r="L293" s="11" t="inlineStr">
        <is>
          <t>alta</t>
        </is>
      </c>
      <c r="M293" s="11">
        <f>IF(J293="FUERA","Fuera del marco",IFERROR(INDEX('Datos - Catálogo TIMSS'!$C$5:$C$107,MATCH(J293,'Datos - Catálogo TIMSS'!$A$5:$A$107,0)),"?"))</f>
        <v/>
      </c>
      <c r="N293" s="11" t="inlineStr">
        <is>
          <t>Dieta balanceada y nutrientes</t>
        </is>
      </c>
    </row>
    <row r="294">
      <c r="A294" s="11" t="inlineStr">
        <is>
          <t>CO-EBC-G6_7-CTS-06</t>
        </is>
      </c>
      <c r="B294" s="11" t="inlineStr">
        <is>
          <t>Colombia</t>
        </is>
      </c>
      <c r="C294" s="11" t="inlineStr">
        <is>
          <t>CO_Estandares_Ciencias.pdf</t>
        </is>
      </c>
      <c r="D294" s="11" t="n">
        <v>42</v>
      </c>
      <c r="E294" s="11" t="inlineStr">
        <is>
          <t>6.°–7.°</t>
        </is>
      </c>
      <c r="F294" s="11" t="n">
        <v>6</v>
      </c>
      <c r="G294" s="11" t="inlineStr">
        <is>
          <t>Ciencia, tecnología y sociedad</t>
        </is>
      </c>
      <c r="H294" s="38" t="inlineStr">
        <is>
          <t>Analizo las implicaciones y responsabilidades de la sexualidad y la reproducción para el individuo y para su comunidad.</t>
        </is>
      </c>
      <c r="I294" s="11" t="inlineStr">
        <is>
          <t>T8_27</t>
        </is>
      </c>
      <c r="J294" s="11" t="inlineStr">
        <is>
          <t>FUERA</t>
        </is>
      </c>
      <c r="K294" s="11" t="inlineStr"/>
      <c r="L294" s="11" t="inlineStr">
        <is>
          <t>media</t>
        </is>
      </c>
      <c r="M294" s="11">
        <f>IF(J294="FUERA","Fuera del marco",IFERROR(INDEX('Datos - Catálogo TIMSS'!$C$5:$C$107,MATCH(J294,'Datos - Catálogo TIMSS'!$A$5:$A$107,0)),"?"))</f>
        <v/>
      </c>
      <c r="N294" s="11" t="inlineStr">
        <is>
          <t>Responsabilidad sexual y social sin contenido del catálogo</t>
        </is>
      </c>
    </row>
    <row r="295">
      <c r="A295" s="11" t="inlineStr">
        <is>
          <t>CO-EBC-G6_7-CTS-07</t>
        </is>
      </c>
      <c r="B295" s="11" t="inlineStr">
        <is>
          <t>Colombia</t>
        </is>
      </c>
      <c r="C295" s="11" t="inlineStr">
        <is>
          <t>CO_Estandares_Ciencias.pdf</t>
        </is>
      </c>
      <c r="D295" s="11" t="n">
        <v>42</v>
      </c>
      <c r="E295" s="11" t="inlineStr">
        <is>
          <t>6.°–7.°</t>
        </is>
      </c>
      <c r="F295" s="11" t="n">
        <v>6</v>
      </c>
      <c r="G295" s="11" t="inlineStr">
        <is>
          <t>Ciencia, tecnología y sociedad</t>
        </is>
      </c>
      <c r="H295" s="38" t="inlineStr">
        <is>
          <t>Establezco relaciones entre transmisión de enfermedades y medidas de prevención y control.</t>
        </is>
      </c>
      <c r="I295" s="11" t="inlineStr">
        <is>
          <t>T8_27</t>
        </is>
      </c>
      <c r="J295" s="11" t="inlineStr">
        <is>
          <t>T8_27-B6.1</t>
        </is>
      </c>
      <c r="K295" s="11" t="inlineStr"/>
      <c r="L295" s="11" t="inlineStr">
        <is>
          <t>alta</t>
        </is>
      </c>
      <c r="M295" s="11">
        <f>IF(J295="FUERA","Fuera del marco",IFERROR(INDEX('Datos - Catálogo TIMSS'!$C$5:$C$107,MATCH(J295,'Datos - Catálogo TIMSS'!$A$5:$A$107,0)),"?"))</f>
        <v/>
      </c>
      <c r="N295" s="11" t="inlineStr">
        <is>
          <t>Transmisión y prevención de enfermedades</t>
        </is>
      </c>
    </row>
    <row r="296">
      <c r="A296" s="11" t="inlineStr">
        <is>
          <t>CO-EBC-G6_7-CTS-08</t>
        </is>
      </c>
      <c r="B296" s="11" t="inlineStr">
        <is>
          <t>Colombia</t>
        </is>
      </c>
      <c r="C296" s="11" t="inlineStr">
        <is>
          <t>CO_Estandares_Ciencias.pdf</t>
        </is>
      </c>
      <c r="D296" s="11" t="n">
        <v>42</v>
      </c>
      <c r="E296" s="11" t="inlineStr">
        <is>
          <t>6.°–7.°</t>
        </is>
      </c>
      <c r="F296" s="11" t="n">
        <v>6</v>
      </c>
      <c r="G296" s="11" t="inlineStr">
        <is>
          <t>Ciencia, tecnología y sociedad</t>
        </is>
      </c>
      <c r="H296" s="38" t="inlineStr">
        <is>
          <t>Identifico aplicaciones de diversos métodos de separación de mezclas en procesos industriales.</t>
        </is>
      </c>
      <c r="I296" s="11" t="inlineStr">
        <is>
          <t>T8_27</t>
        </is>
      </c>
      <c r="J296" s="11" t="inlineStr">
        <is>
          <t>T8_27-C2.2</t>
        </is>
      </c>
      <c r="K296" s="11" t="inlineStr"/>
      <c r="L296" s="11" t="inlineStr">
        <is>
          <t>alta</t>
        </is>
      </c>
      <c r="M296" s="11">
        <f>IF(J296="FUERA","Fuera del marco",IFERROR(INDEX('Datos - Catálogo TIMSS'!$C$5:$C$107,MATCH(J296,'Datos - Catálogo TIMSS'!$A$5:$A$107,0)),"?"))</f>
        <v/>
      </c>
      <c r="N296" s="11" t="inlineStr">
        <is>
          <t>Métodos de separación de mezclas aplicados a industria</t>
        </is>
      </c>
    </row>
    <row r="297">
      <c r="A297" s="11" t="inlineStr">
        <is>
          <t>CO-EBC-G6_7-CTS-09</t>
        </is>
      </c>
      <c r="B297" s="11" t="inlineStr">
        <is>
          <t>Colombia</t>
        </is>
      </c>
      <c r="C297" s="11" t="inlineStr">
        <is>
          <t>CO_Estandares_Ciencias.pdf</t>
        </is>
      </c>
      <c r="D297" s="11" t="n">
        <v>42</v>
      </c>
      <c r="E297" s="11" t="inlineStr">
        <is>
          <t>6.°–7.°</t>
        </is>
      </c>
      <c r="F297" s="11" t="n">
        <v>6</v>
      </c>
      <c r="G297" s="11" t="inlineStr">
        <is>
          <t>Ciencia, tecnología y sociedad</t>
        </is>
      </c>
      <c r="H297" s="38" t="inlineStr">
        <is>
          <t>Reconozco los efectos nocivos del exceso en el consumo de cafeína, tabaco, drogas y licores.</t>
        </is>
      </c>
      <c r="I297" s="11" t="inlineStr">
        <is>
          <t>T8_27</t>
        </is>
      </c>
      <c r="J297" s="11" t="inlineStr">
        <is>
          <t>T8_27-B6.2</t>
        </is>
      </c>
      <c r="K297" s="11" t="inlineStr"/>
      <c r="L297" s="11" t="inlineStr">
        <is>
          <t>media</t>
        </is>
      </c>
      <c r="M297" s="11">
        <f>IF(J297="FUERA","Fuera del marco",IFERROR(INDEX('Datos - Catálogo TIMSS'!$C$5:$C$107,MATCH(J297,'Datos - Catálogo TIMSS'!$A$5:$A$107,0)),"?"))</f>
        <v/>
      </c>
      <c r="N297" s="11" t="inlineStr">
        <is>
          <t>Estilo de vida: efectos nocivos de sustancias</t>
        </is>
      </c>
    </row>
    <row r="298">
      <c r="A298" s="11" t="inlineStr">
        <is>
          <t>CO-EBC-G6_7-CTS-10</t>
        </is>
      </c>
      <c r="B298" s="11" t="inlineStr">
        <is>
          <t>Colombia</t>
        </is>
      </c>
      <c r="C298" s="11" t="inlineStr">
        <is>
          <t>CO_Estandares_Ciencias.pdf</t>
        </is>
      </c>
      <c r="D298" s="11" t="n">
        <v>42</v>
      </c>
      <c r="E298" s="11" t="inlineStr">
        <is>
          <t>6.°–7.°</t>
        </is>
      </c>
      <c r="F298" s="11" t="n">
        <v>6</v>
      </c>
      <c r="G298" s="11" t="inlineStr">
        <is>
          <t>Ciencia, tecnología y sociedad</t>
        </is>
      </c>
      <c r="H298" s="38" t="inlineStr">
        <is>
          <t>Establezco relaciones entre deporte y salud física y mental.</t>
        </is>
      </c>
      <c r="I298" s="11" t="inlineStr">
        <is>
          <t>T8_27</t>
        </is>
      </c>
      <c r="J298" s="11" t="inlineStr">
        <is>
          <t>T8_27-B6.2</t>
        </is>
      </c>
      <c r="K298" s="11" t="inlineStr"/>
      <c r="L298" s="11" t="inlineStr">
        <is>
          <t>alta</t>
        </is>
      </c>
      <c r="M298" s="11">
        <f>IF(J298="FUERA","Fuera del marco",IFERROR(INDEX('Datos - Catálogo TIMSS'!$C$5:$C$107,MATCH(J298,'Datos - Catálogo TIMSS'!$A$5:$A$107,0)),"?"))</f>
        <v/>
      </c>
      <c r="N298" s="11" t="inlineStr">
        <is>
          <t>Ejercicio y estilo de vida para la salud</t>
        </is>
      </c>
    </row>
    <row r="299">
      <c r="A299" s="11" t="inlineStr">
        <is>
          <t>CO-EBC-G6_7-CTS-11</t>
        </is>
      </c>
      <c r="B299" s="11" t="inlineStr">
        <is>
          <t>Colombia</t>
        </is>
      </c>
      <c r="C299" s="11" t="inlineStr">
        <is>
          <t>CO_Estandares_Ciencias.pdf</t>
        </is>
      </c>
      <c r="D299" s="11" t="n">
        <v>42</v>
      </c>
      <c r="E299" s="11" t="inlineStr">
        <is>
          <t>6.°–7.°</t>
        </is>
      </c>
      <c r="F299" s="11" t="n">
        <v>6</v>
      </c>
      <c r="G299" s="11" t="inlineStr">
        <is>
          <t>Ciencia, tecnología y sociedad</t>
        </is>
      </c>
      <c r="H299" s="38" t="inlineStr">
        <is>
          <t>Indago sobre los adelantos científicos y tecnológicos que han hecho posible la exploración del universo.</t>
        </is>
      </c>
      <c r="I299" s="11" t="inlineStr">
        <is>
          <t>T8_27</t>
        </is>
      </c>
      <c r="J299" s="11" t="inlineStr">
        <is>
          <t>T8_27-E5.1</t>
        </is>
      </c>
      <c r="K299" s="11" t="inlineStr"/>
      <c r="L299" s="11" t="inlineStr">
        <is>
          <t>baja</t>
        </is>
      </c>
      <c r="M299" s="11">
        <f>IF(J299="FUERA","Fuera del marco",IFERROR(INDEX('Datos - Catálogo TIMSS'!$C$5:$C$107,MATCH(J299,'Datos - Catálogo TIMSS'!$A$5:$A$107,0)),"?"))</f>
        <v/>
      </c>
      <c r="N299" s="11" t="inlineStr">
        <is>
          <t>Instrumentos para explorar el universo, como el telescopio</t>
        </is>
      </c>
    </row>
    <row r="300">
      <c r="A300" s="11" t="inlineStr">
        <is>
          <t>CO-EBC-G6_7-CTS-12</t>
        </is>
      </c>
      <c r="B300" s="11" t="inlineStr">
        <is>
          <t>Colombia</t>
        </is>
      </c>
      <c r="C300" s="11" t="inlineStr">
        <is>
          <t>CO_Estandares_Ciencias.pdf</t>
        </is>
      </c>
      <c r="D300" s="11" t="n">
        <v>42</v>
      </c>
      <c r="E300" s="11" t="inlineStr">
        <is>
          <t>6.°–7.°</t>
        </is>
      </c>
      <c r="F300" s="11" t="n">
        <v>6</v>
      </c>
      <c r="G300" s="11" t="inlineStr">
        <is>
          <t>Ciencia, tecnología y sociedad</t>
        </is>
      </c>
      <c r="H300" s="38" t="inlineStr">
        <is>
          <t>Indago sobre un avance tecnológico en medicina y explico el uso de las ciencias naturales en su desarrollo.</t>
        </is>
      </c>
      <c r="I300" s="11" t="inlineStr">
        <is>
          <t>T8_27</t>
        </is>
      </c>
      <c r="J300" s="11" t="inlineStr">
        <is>
          <t>FUERA</t>
        </is>
      </c>
      <c r="K300" s="11" t="inlineStr"/>
      <c r="L300" s="11" t="inlineStr">
        <is>
          <t>baja</t>
        </is>
      </c>
      <c r="M300" s="11">
        <f>IF(J300="FUERA","Fuera del marco",IFERROR(INDEX('Datos - Catálogo TIMSS'!$C$5:$C$107,MATCH(J300,'Datos - Catálogo TIMSS'!$A$5:$A$107,0)),"?"))</f>
        <v/>
      </c>
      <c r="N300" s="11" t="inlineStr">
        <is>
          <t>Avance tecnológico médico; tecnología sin objetivo específico</t>
        </is>
      </c>
    </row>
    <row r="301">
      <c r="A301" s="11" t="inlineStr">
        <is>
          <t>CO-EBC-G6_7-CTS-13</t>
        </is>
      </c>
      <c r="B301" s="11" t="inlineStr">
        <is>
          <t>Colombia</t>
        </is>
      </c>
      <c r="C301" s="11" t="inlineStr">
        <is>
          <t>CO_Estandares_Ciencias.pdf</t>
        </is>
      </c>
      <c r="D301" s="11" t="n">
        <v>42</v>
      </c>
      <c r="E301" s="11" t="inlineStr">
        <is>
          <t>6.°–7.°</t>
        </is>
      </c>
      <c r="F301" s="11" t="n">
        <v>6</v>
      </c>
      <c r="G301" s="11" t="inlineStr">
        <is>
          <t>Ciencia, tecnología y sociedad</t>
        </is>
      </c>
      <c r="H301" s="38" t="inlineStr">
        <is>
          <t>Indago acerca del uso industrial de microorganismos que habitan en ambientes extremos.</t>
        </is>
      </c>
      <c r="I301" s="11" t="inlineStr">
        <is>
          <t>T8_27</t>
        </is>
      </c>
      <c r="J301" s="11" t="inlineStr">
        <is>
          <t>FUERA</t>
        </is>
      </c>
      <c r="K301" s="11" t="inlineStr"/>
      <c r="L301" s="11" t="inlineStr">
        <is>
          <t>baja</t>
        </is>
      </c>
      <c r="M301" s="11">
        <f>IF(J301="FUERA","Fuera del marco",IFERROR(INDEX('Datos - Catálogo TIMSS'!$C$5:$C$107,MATCH(J301,'Datos - Catálogo TIMSS'!$A$5:$A$107,0)),"?"))</f>
        <v/>
      </c>
      <c r="N301" s="11" t="inlineStr">
        <is>
          <t>Biotecnología industrial con microorganismos no está en catálogo</t>
        </is>
      </c>
    </row>
    <row r="302">
      <c r="A302" s="11" t="inlineStr">
        <is>
          <t>CO-EBC-G6_7-FIS-01</t>
        </is>
      </c>
      <c r="B302" s="11" t="inlineStr">
        <is>
          <t>Colombia</t>
        </is>
      </c>
      <c r="C302" s="11" t="inlineStr">
        <is>
          <t>CO_Estandares_Ciencias.pdf</t>
        </is>
      </c>
      <c r="D302" s="11" t="n">
        <v>42</v>
      </c>
      <c r="E302" s="11" t="inlineStr">
        <is>
          <t>6.°–7.°</t>
        </is>
      </c>
      <c r="F302" s="11" t="n">
        <v>6</v>
      </c>
      <c r="G302" s="11" t="inlineStr">
        <is>
          <t>Entorno físico</t>
        </is>
      </c>
      <c r="H302" s="38" t="inlineStr">
        <is>
          <t>Clasifico y verifico las propiedades de la materia.</t>
        </is>
      </c>
      <c r="I302" s="11" t="inlineStr">
        <is>
          <t>T8_27</t>
        </is>
      </c>
      <c r="J302" s="11" t="inlineStr">
        <is>
          <t>T8_27-C2.1</t>
        </is>
      </c>
      <c r="K302" s="11" t="inlineStr"/>
      <c r="L302" s="11" t="inlineStr">
        <is>
          <t>alta</t>
        </is>
      </c>
      <c r="M302" s="11">
        <f>IF(J302="FUERA","Fuera del marco",IFERROR(INDEX('Datos - Catálogo TIMSS'!$C$5:$C$107,MATCH(J302,'Datos - Catálogo TIMSS'!$A$5:$A$107,0)),"?"))</f>
        <v/>
      </c>
      <c r="N302" s="11" t="inlineStr">
        <is>
          <t>Clasificar materia por sus propiedades</t>
        </is>
      </c>
    </row>
    <row r="303">
      <c r="A303" s="11" t="inlineStr">
        <is>
          <t>CO-EBC-G6_7-FIS-02</t>
        </is>
      </c>
      <c r="B303" s="11" t="inlineStr">
        <is>
          <t>Colombia</t>
        </is>
      </c>
      <c r="C303" s="11" t="inlineStr">
        <is>
          <t>CO_Estandares_Ciencias.pdf</t>
        </is>
      </c>
      <c r="D303" s="11" t="n">
        <v>42</v>
      </c>
      <c r="E303" s="11" t="inlineStr">
        <is>
          <t>6.°–7.°</t>
        </is>
      </c>
      <c r="F303" s="11" t="n">
        <v>6</v>
      </c>
      <c r="G303" s="11" t="inlineStr">
        <is>
          <t>Entorno físico</t>
        </is>
      </c>
      <c r="H303" s="38" t="inlineStr">
        <is>
          <t>Verifico la acción de fuerzas electrostáticas y magnéticas y explico su relación con la carga eléctrica.</t>
        </is>
      </c>
      <c r="I303" s="11" t="inlineStr">
        <is>
          <t>T8_27</t>
        </is>
      </c>
      <c r="J303" s="11" t="inlineStr">
        <is>
          <t>T8_27-P4.2</t>
        </is>
      </c>
      <c r="K303" s="11" t="inlineStr"/>
      <c r="L303" s="11" t="inlineStr">
        <is>
          <t>media</t>
        </is>
      </c>
      <c r="M303" s="11">
        <f>IF(J303="FUERA","Fuera del marco",IFERROR(INDEX('Datos - Catálogo TIMSS'!$C$5:$C$107,MATCH(J303,'Datos - Catálogo TIMSS'!$A$5:$A$107,0)),"?"))</f>
        <v/>
      </c>
      <c r="N303" s="11" t="inlineStr">
        <is>
          <t>Fuerzas magnéticas; electrostática no figura en catálogo</t>
        </is>
      </c>
    </row>
    <row r="304">
      <c r="A304" s="11" t="inlineStr">
        <is>
          <t>CO-EBC-G6_7-FIS-03</t>
        </is>
      </c>
      <c r="B304" s="11" t="inlineStr">
        <is>
          <t>Colombia</t>
        </is>
      </c>
      <c r="C304" s="11" t="inlineStr">
        <is>
          <t>CO_Estandares_Ciencias.pdf</t>
        </is>
      </c>
      <c r="D304" s="11" t="n">
        <v>42</v>
      </c>
      <c r="E304" s="11" t="inlineStr">
        <is>
          <t>6.°–7.°</t>
        </is>
      </c>
      <c r="F304" s="11" t="n">
        <v>6</v>
      </c>
      <c r="G304" s="11" t="inlineStr">
        <is>
          <t>Entorno físico</t>
        </is>
      </c>
      <c r="H304" s="38" t="inlineStr">
        <is>
          <t>Describo el desarrollo de modelos que explican la estructura de la materia.</t>
        </is>
      </c>
      <c r="I304" s="11" t="inlineStr">
        <is>
          <t>T8_27</t>
        </is>
      </c>
      <c r="J304" s="11" t="inlineStr">
        <is>
          <t>T8_27-C1.1</t>
        </is>
      </c>
      <c r="K304" s="11" t="inlineStr"/>
      <c r="L304" s="11" t="inlineStr">
        <is>
          <t>alta</t>
        </is>
      </c>
      <c r="M304" s="11">
        <f>IF(J304="FUERA","Fuera del marco",IFERROR(INDEX('Datos - Catálogo TIMSS'!$C$5:$C$107,MATCH(J304,'Datos - Catálogo TIMSS'!$A$5:$A$107,0)),"?"))</f>
        <v/>
      </c>
      <c r="N304" s="11" t="inlineStr">
        <is>
          <t>Modelos de estructura de la materia y el átomo</t>
        </is>
      </c>
    </row>
    <row r="305">
      <c r="A305" s="11" t="inlineStr">
        <is>
          <t>CO-EBC-G6_7-FIS-04</t>
        </is>
      </c>
      <c r="B305" s="11" t="inlineStr">
        <is>
          <t>Colombia</t>
        </is>
      </c>
      <c r="C305" s="11" t="inlineStr">
        <is>
          <t>CO_Estandares_Ciencias.pdf</t>
        </is>
      </c>
      <c r="D305" s="11" t="n">
        <v>42</v>
      </c>
      <c r="E305" s="11" t="inlineStr">
        <is>
          <t>6.°–7.°</t>
        </is>
      </c>
      <c r="F305" s="11" t="n">
        <v>6</v>
      </c>
      <c r="G305" s="11" t="inlineStr">
        <is>
          <t>Entorno físico</t>
        </is>
      </c>
      <c r="H305" s="38" t="inlineStr">
        <is>
          <t>Clasifico materiales en sustancias puras o mezclas.</t>
        </is>
      </c>
      <c r="I305" s="11" t="inlineStr">
        <is>
          <t>T8_27</t>
        </is>
      </c>
      <c r="J305" s="11" t="inlineStr">
        <is>
          <t>T8_27-C1.2</t>
        </is>
      </c>
      <c r="K305" s="11" t="inlineStr"/>
      <c r="L305" s="11" t="inlineStr">
        <is>
          <t>alta</t>
        </is>
      </c>
      <c r="M305" s="11">
        <f>IF(J305="FUERA","Fuera del marco",IFERROR(INDEX('Datos - Catálogo TIMSS'!$C$5:$C$107,MATCH(J305,'Datos - Catálogo TIMSS'!$A$5:$A$107,0)),"?"))</f>
        <v/>
      </c>
      <c r="N305" s="11" t="inlineStr">
        <is>
          <t>Sustancias puras y mezclas</t>
        </is>
      </c>
    </row>
    <row r="306">
      <c r="A306" s="11" t="inlineStr">
        <is>
          <t>CO-EBC-G6_7-FIS-05</t>
        </is>
      </c>
      <c r="B306" s="11" t="inlineStr">
        <is>
          <t>Colombia</t>
        </is>
      </c>
      <c r="C306" s="11" t="inlineStr">
        <is>
          <t>CO_Estandares_Ciencias.pdf</t>
        </is>
      </c>
      <c r="D306" s="11" t="n">
        <v>42</v>
      </c>
      <c r="E306" s="11" t="inlineStr">
        <is>
          <t>6.°–7.°</t>
        </is>
      </c>
      <c r="F306" s="11" t="n">
        <v>6</v>
      </c>
      <c r="G306" s="11" t="inlineStr">
        <is>
          <t>Entorno físico</t>
        </is>
      </c>
      <c r="H306" s="38" t="inlineStr">
        <is>
          <t>Verifico diferentes métodos de separación de mezclas.</t>
        </is>
      </c>
      <c r="I306" s="11" t="inlineStr">
        <is>
          <t>T8_27</t>
        </is>
      </c>
      <c r="J306" s="11" t="inlineStr">
        <is>
          <t>T8_27-C2.2</t>
        </is>
      </c>
      <c r="K306" s="11" t="inlineStr">
        <is>
          <t>T8_27-C4.1</t>
        </is>
      </c>
      <c r="L306" s="11" t="inlineStr">
        <is>
          <t>alta</t>
        </is>
      </c>
      <c r="M306" s="11">
        <f>IF(J306="FUERA","Fuera del marco",IFERROR(INDEX('Datos - Catálogo TIMSS'!$C$5:$C$107,MATCH(J306,'Datos - Catálogo TIMSS'!$A$5:$A$107,0)),"?"))</f>
        <v/>
      </c>
      <c r="N306" s="11" t="inlineStr">
        <is>
          <t>Métodos de separación de mezclas, verificados en laboratorio</t>
        </is>
      </c>
    </row>
    <row r="307">
      <c r="A307" s="11" t="inlineStr">
        <is>
          <t>CO-EBC-G6_7-FIS-06</t>
        </is>
      </c>
      <c r="B307" s="11" t="inlineStr">
        <is>
          <t>Colombia</t>
        </is>
      </c>
      <c r="C307" s="11" t="inlineStr">
        <is>
          <t>CO_Estandares_Ciencias.pdf</t>
        </is>
      </c>
      <c r="D307" s="11" t="n">
        <v>42</v>
      </c>
      <c r="E307" s="11" t="inlineStr">
        <is>
          <t>6.°–7.°</t>
        </is>
      </c>
      <c r="F307" s="11" t="n">
        <v>6</v>
      </c>
      <c r="G307" s="11" t="inlineStr">
        <is>
          <t>Entorno físico</t>
        </is>
      </c>
      <c r="H307" s="38" t="inlineStr">
        <is>
          <t>Explico cómo un número limitado de elementos hace posible la diversidad de la materia conocida.</t>
        </is>
      </c>
      <c r="I307" s="11" t="inlineStr">
        <is>
          <t>T8_27</t>
        </is>
      </c>
      <c r="J307" s="11" t="inlineStr">
        <is>
          <t>T8_27-C1.2</t>
        </is>
      </c>
      <c r="K307" s="11" t="inlineStr">
        <is>
          <t>T8_27-C1.1</t>
        </is>
      </c>
      <c r="L307" s="11" t="inlineStr">
        <is>
          <t>media</t>
        </is>
      </c>
      <c r="M307" s="11">
        <f>IF(J307="FUERA","Fuera del marco",IFERROR(INDEX('Datos - Catálogo TIMSS'!$C$5:$C$107,MATCH(J307,'Datos - Catálogo TIMSS'!$A$5:$A$107,0)),"?"))</f>
        <v/>
      </c>
      <c r="N307" s="11" t="inlineStr">
        <is>
          <t>Elementos combinados forman la diversidad de compuestos</t>
        </is>
      </c>
    </row>
    <row r="308">
      <c r="A308" s="11" t="inlineStr">
        <is>
          <t>CO-EBC-G6_7-FIS-07</t>
        </is>
      </c>
      <c r="B308" s="11" t="inlineStr">
        <is>
          <t>Colombia</t>
        </is>
      </c>
      <c r="C308" s="11" t="inlineStr">
        <is>
          <t>CO_Estandares_Ciencias.pdf</t>
        </is>
      </c>
      <c r="D308" s="11" t="n">
        <v>42</v>
      </c>
      <c r="E308" s="11" t="inlineStr">
        <is>
          <t>6.°–7.°</t>
        </is>
      </c>
      <c r="F308" s="11" t="n">
        <v>6</v>
      </c>
      <c r="G308" s="11" t="inlineStr">
        <is>
          <t>Entorno físico</t>
        </is>
      </c>
      <c r="H308" s="38" t="inlineStr">
        <is>
          <t>Explico el desarrollo de modelos de organización de los elementos químicos.</t>
        </is>
      </c>
      <c r="I308" s="11" t="inlineStr">
        <is>
          <t>T8_27</t>
        </is>
      </c>
      <c r="J308" s="11" t="inlineStr">
        <is>
          <t>T8_27-C1.3</t>
        </is>
      </c>
      <c r="K308" s="11" t="inlineStr"/>
      <c r="L308" s="11" t="inlineStr">
        <is>
          <t>alta</t>
        </is>
      </c>
      <c r="M308" s="11">
        <f>IF(J308="FUERA","Fuera del marco",IFERROR(INDEX('Datos - Catálogo TIMSS'!$C$5:$C$107,MATCH(J308,'Datos - Catálogo TIMSS'!$A$5:$A$107,0)),"?"))</f>
        <v/>
      </c>
      <c r="N308" s="11" t="inlineStr">
        <is>
          <t>Modelos de organización de elementos: tabla periódica</t>
        </is>
      </c>
    </row>
    <row r="309">
      <c r="A309" s="11" t="inlineStr">
        <is>
          <t>CO-EBC-G6_7-FIS-08</t>
        </is>
      </c>
      <c r="B309" s="11" t="inlineStr">
        <is>
          <t>Colombia</t>
        </is>
      </c>
      <c r="C309" s="11" t="inlineStr">
        <is>
          <t>CO_Estandares_Ciencias.pdf</t>
        </is>
      </c>
      <c r="D309" s="11" t="n">
        <v>42</v>
      </c>
      <c r="E309" s="11" t="inlineStr">
        <is>
          <t>6.°–7.°</t>
        </is>
      </c>
      <c r="F309" s="11" t="n">
        <v>6</v>
      </c>
      <c r="G309" s="11" t="inlineStr">
        <is>
          <t>Entorno físico</t>
        </is>
      </c>
      <c r="H309" s="38" t="inlineStr">
        <is>
          <t>Explico y utilizo la tabla periódica como herramienta para predecir procesos químicos.</t>
        </is>
      </c>
      <c r="I309" s="11" t="inlineStr">
        <is>
          <t>T8_27</t>
        </is>
      </c>
      <c r="J309" s="11" t="inlineStr">
        <is>
          <t>T8_27-C1.3</t>
        </is>
      </c>
      <c r="K309" s="11" t="inlineStr"/>
      <c r="L309" s="11" t="inlineStr">
        <is>
          <t>alta</t>
        </is>
      </c>
      <c r="M309" s="11">
        <f>IF(J309="FUERA","Fuera del marco",IFERROR(INDEX('Datos - Catálogo TIMSS'!$C$5:$C$107,MATCH(J309,'Datos - Catálogo TIMSS'!$A$5:$A$107,0)),"?"))</f>
        <v/>
      </c>
      <c r="N309" s="11" t="inlineStr">
        <is>
          <t>Tabla periódica para predecir propiedades</t>
        </is>
      </c>
    </row>
    <row r="310">
      <c r="A310" s="11" t="inlineStr">
        <is>
          <t>CO-EBC-G6_7-FIS-09</t>
        </is>
      </c>
      <c r="B310" s="11" t="inlineStr">
        <is>
          <t>Colombia</t>
        </is>
      </c>
      <c r="C310" s="11" t="inlineStr">
        <is>
          <t>CO_Estandares_Ciencias.pdf</t>
        </is>
      </c>
      <c r="D310" s="11" t="n">
        <v>42</v>
      </c>
      <c r="E310" s="11" t="inlineStr">
        <is>
          <t>6.°–7.°</t>
        </is>
      </c>
      <c r="F310" s="11" t="n">
        <v>6</v>
      </c>
      <c r="G310" s="11" t="inlineStr">
        <is>
          <t>Entorno físico</t>
        </is>
      </c>
      <c r="H310" s="38" t="inlineStr">
        <is>
          <t>Explico la formación de moléculas y los estados de la materia a partir de fuerzas electrostáticas.</t>
        </is>
      </c>
      <c r="I310" s="11" t="inlineStr">
        <is>
          <t>T8_27</t>
        </is>
      </c>
      <c r="J310" s="11" t="inlineStr">
        <is>
          <t>T8_27-C1.1</t>
        </is>
      </c>
      <c r="K310" s="11" t="inlineStr">
        <is>
          <t>T8_27-P1.1</t>
        </is>
      </c>
      <c r="L310" s="11" t="inlineStr">
        <is>
          <t>alta</t>
        </is>
      </c>
      <c r="M310" s="11">
        <f>IF(J310="FUERA","Fuera del marco",IFERROR(INDEX('Datos - Catálogo TIMSS'!$C$5:$C$107,MATCH(J310,'Datos - Catálogo TIMSS'!$A$5:$A$107,0)),"?"))</f>
        <v/>
      </c>
      <c r="N310" s="11" t="inlineStr">
        <is>
          <t>Formación de moléculas y estados por fuerzas entre partículas</t>
        </is>
      </c>
    </row>
    <row r="311">
      <c r="A311" s="11" t="inlineStr">
        <is>
          <t>CO-EBC-G6_7-FIS-10</t>
        </is>
      </c>
      <c r="B311" s="11" t="inlineStr">
        <is>
          <t>Colombia</t>
        </is>
      </c>
      <c r="C311" s="11" t="inlineStr">
        <is>
          <t>CO_Estandares_Ciencias.pdf</t>
        </is>
      </c>
      <c r="D311" s="11" t="n">
        <v>42</v>
      </c>
      <c r="E311" s="11" t="inlineStr">
        <is>
          <t>6.°–7.°</t>
        </is>
      </c>
      <c r="F311" s="11" t="n">
        <v>6</v>
      </c>
      <c r="G311" s="11" t="inlineStr">
        <is>
          <t>Entorno físico</t>
        </is>
      </c>
      <c r="H311" s="38" t="inlineStr">
        <is>
          <t>Relaciono energía y movimiento.</t>
        </is>
      </c>
      <c r="I311" s="11" t="inlineStr">
        <is>
          <t>T8_27</t>
        </is>
      </c>
      <c r="J311" s="11" t="inlineStr">
        <is>
          <t>T8_27-P2.1</t>
        </is>
      </c>
      <c r="K311" s="11" t="inlineStr">
        <is>
          <t>T8_27-P5.1</t>
        </is>
      </c>
      <c r="L311" s="11" t="inlineStr">
        <is>
          <t>media</t>
        </is>
      </c>
      <c r="M311" s="11">
        <f>IF(J311="FUERA","Fuera del marco",IFERROR(INDEX('Datos - Catálogo TIMSS'!$C$5:$C$107,MATCH(J311,'Datos - Catálogo TIMSS'!$A$5:$A$107,0)),"?"))</f>
        <v/>
      </c>
      <c r="N311" s="11" t="inlineStr">
        <is>
          <t>Energía cinética asociada al movimiento</t>
        </is>
      </c>
    </row>
    <row r="312">
      <c r="A312" s="11" t="inlineStr">
        <is>
          <t>CO-EBC-G6_7-FIS-11</t>
        </is>
      </c>
      <c r="B312" s="11" t="inlineStr">
        <is>
          <t>Colombia</t>
        </is>
      </c>
      <c r="C312" s="11" t="inlineStr">
        <is>
          <t>CO_Estandares_Ciencias.pdf</t>
        </is>
      </c>
      <c r="D312" s="11" t="n">
        <v>42</v>
      </c>
      <c r="E312" s="11" t="inlineStr">
        <is>
          <t>6.°–7.°</t>
        </is>
      </c>
      <c r="F312" s="11" t="n">
        <v>6</v>
      </c>
      <c r="G312" s="11" t="inlineStr">
        <is>
          <t>Entorno físico</t>
        </is>
      </c>
      <c r="H312" s="38" t="inlineStr">
        <is>
          <t>Verifico relaciones entre distancia recorrida, velocidad y fuerza involucrada en diversos tipos de movimiento.</t>
        </is>
      </c>
      <c r="I312" s="11" t="inlineStr">
        <is>
          <t>T8_27</t>
        </is>
      </c>
      <c r="J312" s="11" t="inlineStr">
        <is>
          <t>T8_27-P5.1</t>
        </is>
      </c>
      <c r="K312" s="11" t="inlineStr">
        <is>
          <t>T8_27-P5.3</t>
        </is>
      </c>
      <c r="L312" s="11" t="inlineStr">
        <is>
          <t>alta</t>
        </is>
      </c>
      <c r="M312" s="11">
        <f>IF(J312="FUERA","Fuera del marco",IFERROR(INDEX('Datos - Catálogo TIMSS'!$C$5:$C$107,MATCH(J312,'Datos - Catálogo TIMSS'!$A$5:$A$107,0)),"?"))</f>
        <v/>
      </c>
      <c r="N312" s="11" t="inlineStr">
        <is>
          <t>Rapidez, distancia y efecto de fuerzas en el movimiento</t>
        </is>
      </c>
    </row>
    <row r="313">
      <c r="A313" s="11" t="inlineStr">
        <is>
          <t>CO-EBC-G6_7-FIS-12</t>
        </is>
      </c>
      <c r="B313" s="11" t="inlineStr">
        <is>
          <t>Colombia</t>
        </is>
      </c>
      <c r="C313" s="11" t="inlineStr">
        <is>
          <t>CO_Estandares_Ciencias.pdf</t>
        </is>
      </c>
      <c r="D313" s="11" t="n">
        <v>42</v>
      </c>
      <c r="E313" s="11" t="inlineStr">
        <is>
          <t>6.°–7.°</t>
        </is>
      </c>
      <c r="F313" s="11" t="n">
        <v>6</v>
      </c>
      <c r="G313" s="11" t="inlineStr">
        <is>
          <t>Entorno físico</t>
        </is>
      </c>
      <c r="H313" s="38" t="inlineStr">
        <is>
          <t>Comparo masa, peso y densidad de diferentes materiales mediante experimentos.</t>
        </is>
      </c>
      <c r="I313" s="11" t="inlineStr">
        <is>
          <t>T8_27</t>
        </is>
      </c>
      <c r="J313" s="11" t="inlineStr">
        <is>
          <t>T8_27-C2.1</t>
        </is>
      </c>
      <c r="K313" s="11" t="inlineStr">
        <is>
          <t>T8_27-P5.2</t>
        </is>
      </c>
      <c r="L313" s="11" t="inlineStr">
        <is>
          <t>media</t>
        </is>
      </c>
      <c r="M313" s="11">
        <f>IF(J313="FUERA","Fuera del marco",IFERROR(INDEX('Datos - Catálogo TIMSS'!$C$5:$C$107,MATCH(J313,'Datos - Catálogo TIMSS'!$A$5:$A$107,0)),"?"))</f>
        <v/>
      </c>
      <c r="N313" s="11" t="inlineStr">
        <is>
          <t>Densidad como propiedad física; peso como fuerza</t>
        </is>
      </c>
    </row>
    <row r="314">
      <c r="A314" s="11" t="inlineStr">
        <is>
          <t>CO-EBC-G6_7-FIS-13</t>
        </is>
      </c>
      <c r="B314" s="11" t="inlineStr">
        <is>
          <t>Colombia</t>
        </is>
      </c>
      <c r="C314" s="11" t="inlineStr">
        <is>
          <t>CO_Estandares_Ciencias.pdf</t>
        </is>
      </c>
      <c r="D314" s="11" t="n">
        <v>42</v>
      </c>
      <c r="E314" s="11" t="inlineStr">
        <is>
          <t>6.°–7.°</t>
        </is>
      </c>
      <c r="F314" s="11" t="n">
        <v>6</v>
      </c>
      <c r="G314" s="11" t="inlineStr">
        <is>
          <t>Entorno físico</t>
        </is>
      </c>
      <c r="H314" s="38" t="inlineStr">
        <is>
          <t>Explico el modelo planetario desde las fuerzas gravitacionales.</t>
        </is>
      </c>
      <c r="I314" s="11" t="inlineStr">
        <is>
          <t>T8_27</t>
        </is>
      </c>
      <c r="J314" s="11" t="inlineStr">
        <is>
          <t>T8_27-E4.2</t>
        </is>
      </c>
      <c r="K314" s="11" t="inlineStr"/>
      <c r="L314" s="11" t="inlineStr">
        <is>
          <t>alta</t>
        </is>
      </c>
      <c r="M314" s="11">
        <f>IF(J314="FUERA","Fuera del marco",IFERROR(INDEX('Datos - Catálogo TIMSS'!$C$5:$C$107,MATCH(J314,'Datos - Catálogo TIMSS'!$A$5:$A$107,0)),"?"))</f>
        <v/>
      </c>
      <c r="N314" s="11" t="inlineStr">
        <is>
          <t>La gravedad mantiene las órbitas planetarias</t>
        </is>
      </c>
    </row>
    <row r="315">
      <c r="A315" s="11" t="inlineStr">
        <is>
          <t>CO-EBC-G6_7-FIS-14</t>
        </is>
      </c>
      <c r="B315" s="11" t="inlineStr">
        <is>
          <t>Colombia</t>
        </is>
      </c>
      <c r="C315" s="11" t="inlineStr">
        <is>
          <t>CO_Estandares_Ciencias.pdf</t>
        </is>
      </c>
      <c r="D315" s="11" t="n">
        <v>42</v>
      </c>
      <c r="E315" s="11" t="inlineStr">
        <is>
          <t>6.°–7.°</t>
        </is>
      </c>
      <c r="F315" s="11" t="n">
        <v>6</v>
      </c>
      <c r="G315" s="11" t="inlineStr">
        <is>
          <t>Entorno físico</t>
        </is>
      </c>
      <c r="H315" s="38" t="inlineStr">
        <is>
          <t>Describo el proceso de formación y extinción de estrellas.</t>
        </is>
      </c>
      <c r="I315" s="11" t="inlineStr">
        <is>
          <t>T8_27</t>
        </is>
      </c>
      <c r="J315" s="11" t="inlineStr">
        <is>
          <t>T8_27-E4.2</t>
        </is>
      </c>
      <c r="K315" s="11" t="inlineStr"/>
      <c r="L315" s="11" t="inlineStr">
        <is>
          <t>baja</t>
        </is>
      </c>
      <c r="M315" s="11">
        <f>IF(J315="FUERA","Fuera del marco",IFERROR(INDEX('Datos - Catálogo TIMSS'!$C$5:$C$107,MATCH(J315,'Datos - Catálogo TIMSS'!$A$5:$A$107,0)),"?"))</f>
        <v/>
      </c>
      <c r="N315" s="11" t="inlineStr">
        <is>
          <t>Estrellas; catálogo solo trata el Sol como estrella</t>
        </is>
      </c>
    </row>
    <row r="316">
      <c r="A316" s="11" t="inlineStr">
        <is>
          <t>CO-EBC-G6_7-FIS-15</t>
        </is>
      </c>
      <c r="B316" s="11" t="inlineStr">
        <is>
          <t>Colombia</t>
        </is>
      </c>
      <c r="C316" s="11" t="inlineStr">
        <is>
          <t>CO_Estandares_Ciencias.pdf</t>
        </is>
      </c>
      <c r="D316" s="11" t="n">
        <v>42</v>
      </c>
      <c r="E316" s="11" t="inlineStr">
        <is>
          <t>6.°–7.°</t>
        </is>
      </c>
      <c r="F316" s="11" t="n">
        <v>6</v>
      </c>
      <c r="G316" s="11" t="inlineStr">
        <is>
          <t>Entorno físico</t>
        </is>
      </c>
      <c r="H316" s="38" t="inlineStr">
        <is>
          <t>Relaciono masa, peso y densidad con la aceleración de la gravedad en distintos puntos del sistema solar.</t>
        </is>
      </c>
      <c r="I316" s="11" t="inlineStr">
        <is>
          <t>T8_27</t>
        </is>
      </c>
      <c r="J316" s="11" t="inlineStr">
        <is>
          <t>T8_27-P5.2</t>
        </is>
      </c>
      <c r="K316" s="11" t="inlineStr">
        <is>
          <t>T8_27-E4.2</t>
        </is>
      </c>
      <c r="L316" s="11" t="inlineStr">
        <is>
          <t>media</t>
        </is>
      </c>
      <c r="M316" s="11">
        <f>IF(J316="FUERA","Fuera del marco",IFERROR(INDEX('Datos - Catálogo TIMSS'!$C$5:$C$107,MATCH(J316,'Datos - Catálogo TIMSS'!$A$5:$A$107,0)),"?"))</f>
        <v/>
      </c>
      <c r="N316" s="11" t="inlineStr">
        <is>
          <t>Peso como fuerza de gravedad en distintos cuerpos</t>
        </is>
      </c>
    </row>
    <row r="317">
      <c r="A317" s="11" t="inlineStr">
        <is>
          <t>CO-EBC-G6_7-FIS-16</t>
        </is>
      </c>
      <c r="B317" s="11" t="inlineStr">
        <is>
          <t>Colombia</t>
        </is>
      </c>
      <c r="C317" s="11" t="inlineStr">
        <is>
          <t>CO_Estandares_Ciencias.pdf</t>
        </is>
      </c>
      <c r="D317" s="11" t="n">
        <v>42</v>
      </c>
      <c r="E317" s="11" t="inlineStr">
        <is>
          <t>6.°–7.°</t>
        </is>
      </c>
      <c r="F317" s="11" t="n">
        <v>6</v>
      </c>
      <c r="G317" s="11" t="inlineStr">
        <is>
          <t>Entorno físico</t>
        </is>
      </c>
      <c r="H317" s="38" t="inlineStr">
        <is>
          <t>Explico las consecuencias del movimiento de las placas tectónicas sobre la corteza de la Tierra.</t>
        </is>
      </c>
      <c r="I317" s="11" t="inlineStr">
        <is>
          <t>T8_27</t>
        </is>
      </c>
      <c r="J317" s="11" t="inlineStr">
        <is>
          <t>T8_27-E1.2</t>
        </is>
      </c>
      <c r="K317" s="11" t="inlineStr"/>
      <c r="L317" s="11" t="inlineStr">
        <is>
          <t>alta</t>
        </is>
      </c>
      <c r="M317" s="11">
        <f>IF(J317="FUERA","Fuera del marco",IFERROR(INDEX('Datos - Catálogo TIMSS'!$C$5:$C$107,MATCH(J317,'Datos - Catálogo TIMSS'!$A$5:$A$107,0)),"?"))</f>
        <v/>
      </c>
      <c r="N317" s="11" t="inlineStr">
        <is>
          <t>Placas tectónicas y cambios en la corteza</t>
        </is>
      </c>
    </row>
    <row r="318">
      <c r="A318" s="11" t="inlineStr">
        <is>
          <t>CO-EBC-G6_7-VIVO-01</t>
        </is>
      </c>
      <c r="B318" s="11" t="inlineStr">
        <is>
          <t>Colombia</t>
        </is>
      </c>
      <c r="C318" s="11" t="inlineStr">
        <is>
          <t>CO_Estandares_Ciencias.pdf</t>
        </is>
      </c>
      <c r="D318" s="11" t="n">
        <v>41</v>
      </c>
      <c r="E318" s="11" t="inlineStr">
        <is>
          <t>6.°–7.°</t>
        </is>
      </c>
      <c r="F318" s="11" t="n">
        <v>6</v>
      </c>
      <c r="G318" s="11" t="inlineStr">
        <is>
          <t>Entorno vivo</t>
        </is>
      </c>
      <c r="H318" s="38" t="inlineStr">
        <is>
          <t>Explico la estructura de la célula y las funciones básicas de sus componentes.</t>
        </is>
      </c>
      <c r="I318" s="11" t="inlineStr">
        <is>
          <t>T8_27</t>
        </is>
      </c>
      <c r="J318" s="11" t="inlineStr">
        <is>
          <t>T8_27-B2.1</t>
        </is>
      </c>
      <c r="K318" s="11" t="inlineStr"/>
      <c r="L318" s="11" t="inlineStr">
        <is>
          <t>alta</t>
        </is>
      </c>
      <c r="M318" s="11">
        <f>IF(J318="FUERA","Fuera del marco",IFERROR(INDEX('Datos - Catálogo TIMSS'!$C$5:$C$107,MATCH(J318,'Datos - Catálogo TIMSS'!$A$5:$A$107,0)),"?"))</f>
        <v/>
      </c>
      <c r="N318" s="11" t="inlineStr">
        <is>
          <t>Estructura celular y función de sus componentes</t>
        </is>
      </c>
    </row>
    <row r="319">
      <c r="A319" s="11" t="inlineStr">
        <is>
          <t>CO-EBC-G6_7-VIVO-02</t>
        </is>
      </c>
      <c r="B319" s="11" t="inlineStr">
        <is>
          <t>Colombia</t>
        </is>
      </c>
      <c r="C319" s="11" t="inlineStr">
        <is>
          <t>CO_Estandares_Ciencias.pdf</t>
        </is>
      </c>
      <c r="D319" s="11" t="n">
        <v>41</v>
      </c>
      <c r="E319" s="11" t="inlineStr">
        <is>
          <t>6.°–7.°</t>
        </is>
      </c>
      <c r="F319" s="11" t="n">
        <v>6</v>
      </c>
      <c r="G319" s="11" t="inlineStr">
        <is>
          <t>Entorno vivo</t>
        </is>
      </c>
      <c r="H319" s="38" t="inlineStr">
        <is>
          <t>Verifico y explico los procesos de ósmosis y difusión.</t>
        </is>
      </c>
      <c r="I319" s="11" t="inlineStr">
        <is>
          <t>T8_27</t>
        </is>
      </c>
      <c r="J319" s="11" t="inlineStr">
        <is>
          <t>T8_27-B2.1</t>
        </is>
      </c>
      <c r="K319" s="11" t="inlineStr">
        <is>
          <t>T8_27-B7.1</t>
        </is>
      </c>
      <c r="L319" s="11" t="inlineStr">
        <is>
          <t>media</t>
        </is>
      </c>
      <c r="M319" s="11">
        <f>IF(J319="FUERA","Fuera del marco",IFERROR(INDEX('Datos - Catálogo TIMSS'!$C$5:$C$107,MATCH(J319,'Datos - Catálogo TIMSS'!$A$5:$A$107,0)),"?"))</f>
        <v/>
      </c>
      <c r="N319" s="11" t="inlineStr">
        <is>
          <t>Transporte por membrana celular, verificado experimentalmente</t>
        </is>
      </c>
    </row>
    <row r="320">
      <c r="A320" s="11" t="inlineStr">
        <is>
          <t>CO-EBC-G6_7-VIVO-03</t>
        </is>
      </c>
      <c r="B320" s="11" t="inlineStr">
        <is>
          <t>Colombia</t>
        </is>
      </c>
      <c r="C320" s="11" t="inlineStr">
        <is>
          <t>CO_Estandares_Ciencias.pdf</t>
        </is>
      </c>
      <c r="D320" s="11" t="n">
        <v>41</v>
      </c>
      <c r="E320" s="11" t="inlineStr">
        <is>
          <t>6.°–7.°</t>
        </is>
      </c>
      <c r="F320" s="11" t="n">
        <v>6</v>
      </c>
      <c r="G320" s="11" t="inlineStr">
        <is>
          <t>Entorno vivo</t>
        </is>
      </c>
      <c r="H320" s="38" t="inlineStr">
        <is>
          <t>Clasifico membranas de los seres vivos de acuerdo con su permeabilidad frente a diversas sustancias.</t>
        </is>
      </c>
      <c r="I320" s="11" t="inlineStr">
        <is>
          <t>T8_27</t>
        </is>
      </c>
      <c r="J320" s="11" t="inlineStr">
        <is>
          <t>T8_27-B2.1</t>
        </is>
      </c>
      <c r="K320" s="11" t="inlineStr"/>
      <c r="L320" s="11" t="inlineStr">
        <is>
          <t>media</t>
        </is>
      </c>
      <c r="M320" s="11">
        <f>IF(J320="FUERA","Fuera del marco",IFERROR(INDEX('Datos - Catálogo TIMSS'!$C$5:$C$107,MATCH(J320,'Datos - Catálogo TIMSS'!$A$5:$A$107,0)),"?"))</f>
        <v/>
      </c>
      <c r="N320" s="11" t="inlineStr">
        <is>
          <t>Permeabilidad de la membrana celular</t>
        </is>
      </c>
    </row>
    <row r="321">
      <c r="A321" s="11" t="inlineStr">
        <is>
          <t>CO-EBC-G6_7-VIVO-04</t>
        </is>
      </c>
      <c r="B321" s="11" t="inlineStr">
        <is>
          <t>Colombia</t>
        </is>
      </c>
      <c r="C321" s="11" t="inlineStr">
        <is>
          <t>CO_Estandares_Ciencias.pdf</t>
        </is>
      </c>
      <c r="D321" s="11" t="n">
        <v>41</v>
      </c>
      <c r="E321" s="11" t="inlineStr">
        <is>
          <t>6.°–7.°</t>
        </is>
      </c>
      <c r="F321" s="11" t="n">
        <v>6</v>
      </c>
      <c r="G321" s="11" t="inlineStr">
        <is>
          <t>Entorno vivo</t>
        </is>
      </c>
      <c r="H321" s="38" t="inlineStr">
        <is>
          <t>Clasifico organismos en grupos taxonómicos de acuerdo con las características de sus células.</t>
        </is>
      </c>
      <c r="I321" s="11" t="inlineStr">
        <is>
          <t>T8_27</t>
        </is>
      </c>
      <c r="J321" s="11" t="inlineStr">
        <is>
          <t>T8_27-B1.1</t>
        </is>
      </c>
      <c r="K321" s="11" t="inlineStr">
        <is>
          <t>T8_27-B2.1</t>
        </is>
      </c>
      <c r="L321" s="11" t="inlineStr">
        <is>
          <t>alta</t>
        </is>
      </c>
      <c r="M321" s="11">
        <f>IF(J321="FUERA","Fuera del marco",IFERROR(INDEX('Datos - Catálogo TIMSS'!$C$5:$C$107,MATCH(J321,'Datos - Catálogo TIMSS'!$A$5:$A$107,0)),"?"))</f>
        <v/>
      </c>
      <c r="N321" s="11" t="inlineStr">
        <is>
          <t>Clasificación taxonómica según características celulares</t>
        </is>
      </c>
    </row>
    <row r="322">
      <c r="A322" s="11" t="inlineStr">
        <is>
          <t>CO-EBC-G6_7-VIVO-05</t>
        </is>
      </c>
      <c r="B322" s="11" t="inlineStr">
        <is>
          <t>Colombia</t>
        </is>
      </c>
      <c r="C322" s="11" t="inlineStr">
        <is>
          <t>CO_Estandares_Ciencias.pdf</t>
        </is>
      </c>
      <c r="D322" s="11" t="n">
        <v>41</v>
      </c>
      <c r="E322" s="11" t="inlineStr">
        <is>
          <t>6.°–7.°</t>
        </is>
      </c>
      <c r="F322" s="11" t="n">
        <v>6</v>
      </c>
      <c r="G322" s="11" t="inlineStr">
        <is>
          <t>Entorno vivo</t>
        </is>
      </c>
      <c r="H322" s="38" t="inlineStr">
        <is>
          <t>Comparo sistemas de división celular y argumento su importancia en la generación de nuevos organismos y tejidos.</t>
        </is>
      </c>
      <c r="I322" s="11" t="inlineStr">
        <is>
          <t>T8_27</t>
        </is>
      </c>
      <c r="J322" s="11" t="inlineStr">
        <is>
          <t>T8_27-B2.1</t>
        </is>
      </c>
      <c r="K322" s="11" t="inlineStr">
        <is>
          <t>T8_27-B3.1</t>
        </is>
      </c>
      <c r="L322" s="11" t="inlineStr">
        <is>
          <t>media</t>
        </is>
      </c>
      <c r="M322" s="11">
        <f>IF(J322="FUERA","Fuera del marco",IFERROR(INDEX('Datos - Catálogo TIMSS'!$C$5:$C$107,MATCH(J322,'Datos - Catálogo TIMSS'!$A$5:$A$107,0)),"?"))</f>
        <v/>
      </c>
      <c r="N322" s="11" t="inlineStr">
        <is>
          <t>División celular y generación de organismos y tejidos</t>
        </is>
      </c>
    </row>
    <row r="323">
      <c r="A323" s="11" t="inlineStr">
        <is>
          <t>CO-EBC-G6_7-VIVO-06</t>
        </is>
      </c>
      <c r="B323" s="11" t="inlineStr">
        <is>
          <t>Colombia</t>
        </is>
      </c>
      <c r="C323" s="11" t="inlineStr">
        <is>
          <t>CO_Estandares_Ciencias.pdf</t>
        </is>
      </c>
      <c r="D323" s="11" t="n">
        <v>41</v>
      </c>
      <c r="E323" s="11" t="inlineStr">
        <is>
          <t>6.°–7.°</t>
        </is>
      </c>
      <c r="F323" s="11" t="n">
        <v>6</v>
      </c>
      <c r="G323" s="11" t="inlineStr">
        <is>
          <t>Entorno vivo</t>
        </is>
      </c>
      <c r="H323" s="38" t="inlineStr">
        <is>
          <t>Explico las funciones de los seres vivos a partir de las relaciones entre diferentes sistemas de órganos.</t>
        </is>
      </c>
      <c r="I323" s="11" t="inlineStr">
        <is>
          <t>T8_27</t>
        </is>
      </c>
      <c r="J323" s="11" t="inlineStr">
        <is>
          <t>T8_27-B1.2</t>
        </is>
      </c>
      <c r="K323" s="11" t="inlineStr"/>
      <c r="L323" s="11" t="inlineStr">
        <is>
          <t>alta</t>
        </is>
      </c>
      <c r="M323" s="11">
        <f>IF(J323="FUERA","Fuera del marco",IFERROR(INDEX('Datos - Catálogo TIMSS'!$C$5:$C$107,MATCH(J323,'Datos - Catálogo TIMSS'!$A$5:$A$107,0)),"?"))</f>
        <v/>
      </c>
      <c r="N323" s="11" t="inlineStr">
        <is>
          <t>Funciones vitales desde relaciones entre sistemas de órganos</t>
        </is>
      </c>
    </row>
    <row r="324">
      <c r="A324" s="11" t="inlineStr">
        <is>
          <t>CO-EBC-G6_7-VIVO-07</t>
        </is>
      </c>
      <c r="B324" s="11" t="inlineStr">
        <is>
          <t>Colombia</t>
        </is>
      </c>
      <c r="C324" s="11" t="inlineStr">
        <is>
          <t>CO_Estandares_Ciencias.pdf</t>
        </is>
      </c>
      <c r="D324" s="11" t="n">
        <v>41</v>
      </c>
      <c r="E324" s="11" t="inlineStr">
        <is>
          <t>6.°–7.°</t>
        </is>
      </c>
      <c r="F324" s="11" t="n">
        <v>6</v>
      </c>
      <c r="G324" s="11" t="inlineStr">
        <is>
          <t>Entorno vivo</t>
        </is>
      </c>
      <c r="H324" s="38" t="inlineStr">
        <is>
          <t>Comparo mecanismos de obtención de energía en los seres vivos.</t>
        </is>
      </c>
      <c r="I324" s="11" t="inlineStr">
        <is>
          <t>T8_27</t>
        </is>
      </c>
      <c r="J324" s="11" t="inlineStr">
        <is>
          <t>T8_27-B1.3</t>
        </is>
      </c>
      <c r="K324" s="11" t="inlineStr"/>
      <c r="L324" s="11" t="inlineStr">
        <is>
          <t>alta</t>
        </is>
      </c>
      <c r="M324" s="11">
        <f>IF(J324="FUERA","Fuera del marco",IFERROR(INDEX('Datos - Catálogo TIMSS'!$C$5:$C$107,MATCH(J324,'Datos - Catálogo TIMSS'!$A$5:$A$107,0)),"?"))</f>
        <v/>
      </c>
      <c r="N324" s="11" t="inlineStr">
        <is>
          <t>Obtención de energía: fotosíntesis y respiración</t>
        </is>
      </c>
    </row>
    <row r="325">
      <c r="A325" s="11" t="inlineStr">
        <is>
          <t>CO-EBC-G6_7-VIVO-08</t>
        </is>
      </c>
      <c r="B325" s="11" t="inlineStr">
        <is>
          <t>Colombia</t>
        </is>
      </c>
      <c r="C325" s="11" t="inlineStr">
        <is>
          <t>CO_Estandares_Ciencias.pdf</t>
        </is>
      </c>
      <c r="D325" s="11" t="n">
        <v>41</v>
      </c>
      <c r="E325" s="11" t="inlineStr">
        <is>
          <t>6.°–7.°</t>
        </is>
      </c>
      <c r="F325" s="11" t="n">
        <v>6</v>
      </c>
      <c r="G325" s="11" t="inlineStr">
        <is>
          <t>Entorno vivo</t>
        </is>
      </c>
      <c r="H325" s="38" t="inlineStr">
        <is>
          <t>Reconozco en diversos grupos taxonómicos la presencia de las mismas moléculas orgánicas.</t>
        </is>
      </c>
      <c r="I325" s="11" t="inlineStr">
        <is>
          <t>T8_27</t>
        </is>
      </c>
      <c r="J325" s="11" t="inlineStr">
        <is>
          <t>T8_27-B4.2</t>
        </is>
      </c>
      <c r="K325" s="11" t="inlineStr">
        <is>
          <t>T8_27-B1.1</t>
        </is>
      </c>
      <c r="L325" s="11" t="inlineStr">
        <is>
          <t>baja</t>
        </is>
      </c>
      <c r="M325" s="11">
        <f>IF(J325="FUERA","Fuera del marco",IFERROR(INDEX('Datos - Catálogo TIMSS'!$C$5:$C$107,MATCH(J325,'Datos - Catálogo TIMSS'!$A$5:$A$107,0)),"?"))</f>
        <v/>
      </c>
      <c r="N325" s="11" t="inlineStr">
        <is>
          <t>Moléculas compartidas como evidencia de parentesco entre grupos</t>
        </is>
      </c>
    </row>
    <row r="326">
      <c r="A326" s="11" t="inlineStr">
        <is>
          <t>CO-EBC-G6_7-VIVO-09</t>
        </is>
      </c>
      <c r="B326" s="11" t="inlineStr">
        <is>
          <t>Colombia</t>
        </is>
      </c>
      <c r="C326" s="11" t="inlineStr">
        <is>
          <t>CO_Estandares_Ciencias.pdf</t>
        </is>
      </c>
      <c r="D326" s="11" t="n">
        <v>41</v>
      </c>
      <c r="E326" s="11" t="inlineStr">
        <is>
          <t>6.°–7.°</t>
        </is>
      </c>
      <c r="F326" s="11" t="n">
        <v>6</v>
      </c>
      <c r="G326" s="11" t="inlineStr">
        <is>
          <t>Entorno vivo</t>
        </is>
      </c>
      <c r="H326" s="38" t="inlineStr">
        <is>
          <t>Explico el origen del universo y de la vida a partir de varias teorías.</t>
        </is>
      </c>
      <c r="I326" s="11" t="inlineStr">
        <is>
          <t>T8_27</t>
        </is>
      </c>
      <c r="J326" s="11" t="inlineStr">
        <is>
          <t>FUERA</t>
        </is>
      </c>
      <c r="K326" s="11" t="inlineStr"/>
      <c r="L326" s="11" t="inlineStr">
        <is>
          <t>baja</t>
        </is>
      </c>
      <c r="M326" s="11">
        <f>IF(J326="FUERA","Fuera del marco",IFERROR(INDEX('Datos - Catálogo TIMSS'!$C$5:$C$107,MATCH(J326,'Datos - Catálogo TIMSS'!$A$5:$A$107,0)),"?"))</f>
        <v/>
      </c>
      <c r="N326" s="11" t="inlineStr">
        <is>
          <t>Origen del universo y de la vida no está en catálogo</t>
        </is>
      </c>
    </row>
    <row r="327">
      <c r="A327" s="11" t="inlineStr">
        <is>
          <t>CO-EBC-G6_7-VIVO-10</t>
        </is>
      </c>
      <c r="B327" s="11" t="inlineStr">
        <is>
          <t>Colombia</t>
        </is>
      </c>
      <c r="C327" s="11" t="inlineStr">
        <is>
          <t>CO_Estandares_Ciencias.pdf</t>
        </is>
      </c>
      <c r="D327" s="11" t="n">
        <v>41</v>
      </c>
      <c r="E327" s="11" t="inlineStr">
        <is>
          <t>6.°–7.°</t>
        </is>
      </c>
      <c r="F327" s="11" t="n">
        <v>6</v>
      </c>
      <c r="G327" s="11" t="inlineStr">
        <is>
          <t>Entorno vivo</t>
        </is>
      </c>
      <c r="H327" s="38" t="inlineStr">
        <is>
          <t>Caracterizo ecosistemas y analizo el equilibrio dinámico entre sus poblaciones.</t>
        </is>
      </c>
      <c r="I327" s="11" t="inlineStr">
        <is>
          <t>T8_27</t>
        </is>
      </c>
      <c r="J327" s="11" t="inlineStr">
        <is>
          <t>T8_27-B5.5</t>
        </is>
      </c>
      <c r="K327" s="11" t="inlineStr">
        <is>
          <t>T8_27-B5.1</t>
        </is>
      </c>
      <c r="L327" s="11" t="inlineStr">
        <is>
          <t>alta</t>
        </is>
      </c>
      <c r="M327" s="11">
        <f>IF(J327="FUERA","Fuera del marco",IFERROR(INDEX('Datos - Catálogo TIMSS'!$C$5:$C$107,MATCH(J327,'Datos - Catálogo TIMSS'!$A$5:$A$107,0)),"?"))</f>
        <v/>
      </c>
      <c r="N327" s="11" t="inlineStr">
        <is>
          <t>Caracterizar ecosistemas y equilibrio entre poblaciones</t>
        </is>
      </c>
    </row>
    <row r="328">
      <c r="A328" s="11" t="inlineStr">
        <is>
          <t>CO-EBC-G6_7-VIVO-11</t>
        </is>
      </c>
      <c r="B328" s="11" t="inlineStr">
        <is>
          <t>Colombia</t>
        </is>
      </c>
      <c r="C328" s="11" t="inlineStr">
        <is>
          <t>CO_Estandares_Ciencias.pdf</t>
        </is>
      </c>
      <c r="D328" s="11" t="n">
        <v>41</v>
      </c>
      <c r="E328" s="11" t="inlineStr">
        <is>
          <t>6.°–7.°</t>
        </is>
      </c>
      <c r="F328" s="11" t="n">
        <v>6</v>
      </c>
      <c r="G328" s="11" t="inlineStr">
        <is>
          <t>Entorno vivo</t>
        </is>
      </c>
      <c r="H328" s="38" t="inlineStr">
        <is>
          <t>Propongo explicaciones sobre la diversidad biológica teniendo en cuenta el movimiento de placas tectónicas y las características climáticas.</t>
        </is>
      </c>
      <c r="I328" s="11" t="inlineStr">
        <is>
          <t>T8_27</t>
        </is>
      </c>
      <c r="J328" s="11" t="inlineStr">
        <is>
          <t>T8_27-B4.1</t>
        </is>
      </c>
      <c r="K328" s="11" t="inlineStr">
        <is>
          <t>T8_27-E1.2</t>
        </is>
      </c>
      <c r="L328" s="11" t="inlineStr">
        <is>
          <t>media</t>
        </is>
      </c>
      <c r="M328" s="11">
        <f>IF(J328="FUERA","Fuera del marco",IFERROR(INDEX('Datos - Catálogo TIMSS'!$C$5:$C$107,MATCH(J328,'Datos - Catálogo TIMSS'!$A$5:$A$107,0)),"?"))</f>
        <v/>
      </c>
      <c r="N328" s="11" t="inlineStr">
        <is>
          <t>Diversidad explicada por clima y placas tectónicas</t>
        </is>
      </c>
    </row>
    <row r="329">
      <c r="A329" s="11" t="inlineStr">
        <is>
          <t>CO-EBC-G6_7-VIVO-12</t>
        </is>
      </c>
      <c r="B329" s="11" t="inlineStr">
        <is>
          <t>Colombia</t>
        </is>
      </c>
      <c r="C329" s="11" t="inlineStr">
        <is>
          <t>CO_Estandares_Ciencias.pdf</t>
        </is>
      </c>
      <c r="D329" s="11" t="n">
        <v>41</v>
      </c>
      <c r="E329" s="11" t="inlineStr">
        <is>
          <t>6.°–7.°</t>
        </is>
      </c>
      <c r="F329" s="11" t="n">
        <v>6</v>
      </c>
      <c r="G329" s="11" t="inlineStr">
        <is>
          <t>Entorno vivo</t>
        </is>
      </c>
      <c r="H329" s="38" t="inlineStr">
        <is>
          <t>Establezco las adaptaciones de algunos seres vivos en ecosistemas de Colombia.</t>
        </is>
      </c>
      <c r="I329" s="11" t="inlineStr">
        <is>
          <t>T8_27</t>
        </is>
      </c>
      <c r="J329" s="11" t="inlineStr">
        <is>
          <t>T8_27-B4.1</t>
        </is>
      </c>
      <c r="K329" s="11" t="inlineStr">
        <is>
          <t>T8_27-B5.1</t>
        </is>
      </c>
      <c r="L329" s="11" t="inlineStr">
        <is>
          <t>media</t>
        </is>
      </c>
      <c r="M329" s="11">
        <f>IF(J329="FUERA","Fuera del marco",IFERROR(INDEX('Datos - Catálogo TIMSS'!$C$5:$C$107,MATCH(J329,'Datos - Catálogo TIMSS'!$A$5:$A$107,0)),"?"))</f>
        <v/>
      </c>
      <c r="N329" s="11" t="inlineStr">
        <is>
          <t>Adaptaciones de seres vivos a ecosistemas</t>
        </is>
      </c>
    </row>
    <row r="330">
      <c r="A330" s="11" t="inlineStr">
        <is>
          <t>CO-EBC-G6_7-VIVO-13</t>
        </is>
      </c>
      <c r="B330" s="11" t="inlineStr">
        <is>
          <t>Colombia</t>
        </is>
      </c>
      <c r="C330" s="11" t="inlineStr">
        <is>
          <t>CO_Estandares_Ciencias.pdf</t>
        </is>
      </c>
      <c r="D330" s="11" t="n">
        <v>41</v>
      </c>
      <c r="E330" s="11" t="inlineStr">
        <is>
          <t>6.°–7.°</t>
        </is>
      </c>
      <c r="F330" s="11" t="n">
        <v>6</v>
      </c>
      <c r="G330" s="11" t="inlineStr">
        <is>
          <t>Entorno vivo</t>
        </is>
      </c>
      <c r="H330" s="38" t="inlineStr">
        <is>
          <t>Formulo hipótesis sobre las causas de extinción de un grupo taxonómico.</t>
        </is>
      </c>
      <c r="I330" s="11" t="inlineStr">
        <is>
          <t>T8_27</t>
        </is>
      </c>
      <c r="J330" s="11" t="inlineStr">
        <is>
          <t>T8_27-B4.1</t>
        </is>
      </c>
      <c r="K330" s="11" t="inlineStr"/>
      <c r="L330" s="11" t="inlineStr">
        <is>
          <t>media</t>
        </is>
      </c>
      <c r="M330" s="11">
        <f>IF(J330="FUERA","Fuera del marco",IFERROR(INDEX('Datos - Catálogo TIMSS'!$C$5:$C$107,MATCH(J330,'Datos - Catálogo TIMSS'!$A$5:$A$107,0)),"?"))</f>
        <v/>
      </c>
      <c r="N330" s="11" t="inlineStr">
        <is>
          <t>Causas de extinción ante ambientes cambiantes</t>
        </is>
      </c>
    </row>
    <row r="331">
      <c r="A331" s="11" t="inlineStr">
        <is>
          <t>CO-EBC-G6_7-VIVO-14</t>
        </is>
      </c>
      <c r="B331" s="11" t="inlineStr">
        <is>
          <t>Colombia</t>
        </is>
      </c>
      <c r="C331" s="11" t="inlineStr">
        <is>
          <t>CO_Estandares_Ciencias.pdf</t>
        </is>
      </c>
      <c r="D331" s="11" t="n">
        <v>41</v>
      </c>
      <c r="E331" s="11" t="inlineStr">
        <is>
          <t>6.°–7.°</t>
        </is>
      </c>
      <c r="F331" s="11" t="n">
        <v>6</v>
      </c>
      <c r="G331" s="11" t="inlineStr">
        <is>
          <t>Entorno vivo</t>
        </is>
      </c>
      <c r="H331" s="38" t="inlineStr">
        <is>
          <t>Justifico la importancia del agua en el sostenimiento de la vida.</t>
        </is>
      </c>
      <c r="I331" s="11" t="inlineStr">
        <is>
          <t>T8_27</t>
        </is>
      </c>
      <c r="J331" s="11" t="inlineStr">
        <is>
          <t>T8_27-B5.3</t>
        </is>
      </c>
      <c r="K331" s="11" t="inlineStr"/>
      <c r="L331" s="11" t="inlineStr">
        <is>
          <t>baja</t>
        </is>
      </c>
      <c r="M331" s="11">
        <f>IF(J331="FUERA","Fuera del marco",IFERROR(INDEX('Datos - Catálogo TIMSS'!$C$5:$C$107,MATCH(J331,'Datos - Catálogo TIMSS'!$A$5:$A$107,0)),"?"))</f>
        <v/>
      </c>
      <c r="N331" s="11" t="inlineStr">
        <is>
          <t>Papel del agua en la vida; ciclo del agua biológico</t>
        </is>
      </c>
    </row>
    <row r="332">
      <c r="A332" s="11" t="inlineStr">
        <is>
          <t>CO-EBC-G6_7-VIVO-15</t>
        </is>
      </c>
      <c r="B332" s="11" t="inlineStr">
        <is>
          <t>Colombia</t>
        </is>
      </c>
      <c r="C332" s="11" t="inlineStr">
        <is>
          <t>CO_Estandares_Ciencias.pdf</t>
        </is>
      </c>
      <c r="D332" s="11" t="n">
        <v>41</v>
      </c>
      <c r="E332" s="11" t="inlineStr">
        <is>
          <t>6.°–7.°</t>
        </is>
      </c>
      <c r="F332" s="11" t="n">
        <v>6</v>
      </c>
      <c r="G332" s="11" t="inlineStr">
        <is>
          <t>Entorno vivo</t>
        </is>
      </c>
      <c r="H332" s="38" t="inlineStr">
        <is>
          <t>Describo y relaciono los ciclos del agua, de algunos elementos y de la energía en los ecosistemas.</t>
        </is>
      </c>
      <c r="I332" s="11" t="inlineStr">
        <is>
          <t>T8_27</t>
        </is>
      </c>
      <c r="J332" s="11" t="inlineStr">
        <is>
          <t>T8_27-B5.3</t>
        </is>
      </c>
      <c r="K332" s="11" t="inlineStr">
        <is>
          <t>T8_27-B5.2</t>
        </is>
      </c>
      <c r="L332" s="11" t="inlineStr">
        <is>
          <t>alta</t>
        </is>
      </c>
      <c r="M332" s="11">
        <f>IF(J332="FUERA","Fuera del marco",IFERROR(INDEX('Datos - Catálogo TIMSS'!$C$5:$C$107,MATCH(J332,'Datos - Catálogo TIMSS'!$A$5:$A$107,0)),"?"))</f>
        <v/>
      </c>
      <c r="N332" s="11" t="inlineStr">
        <is>
          <t>Ciclos del agua, elementos y energía en ecosistemas</t>
        </is>
      </c>
    </row>
    <row r="333">
      <c r="A333" s="11" t="inlineStr">
        <is>
          <t>CO-EBC-G6_7-VIVO-16</t>
        </is>
      </c>
      <c r="B333" s="11" t="inlineStr">
        <is>
          <t>Colombia</t>
        </is>
      </c>
      <c r="C333" s="11" t="inlineStr">
        <is>
          <t>CO_Estandares_Ciencias.pdf</t>
        </is>
      </c>
      <c r="D333" s="11" t="n">
        <v>41</v>
      </c>
      <c r="E333" s="11" t="inlineStr">
        <is>
          <t>6.°–7.°</t>
        </is>
      </c>
      <c r="F333" s="11" t="n">
        <v>6</v>
      </c>
      <c r="G333" s="11" t="inlineStr">
        <is>
          <t>Entorno vivo</t>
        </is>
      </c>
      <c r="H333" s="38" t="inlineStr">
        <is>
          <t>Explico la función del suelo como depósito de nutrientes.</t>
        </is>
      </c>
      <c r="I333" s="11" t="inlineStr">
        <is>
          <t>T8_27</t>
        </is>
      </c>
      <c r="J333" s="11" t="inlineStr">
        <is>
          <t>T8_27-B5.3</t>
        </is>
      </c>
      <c r="K333" s="11" t="inlineStr"/>
      <c r="L333" s="11" t="inlineStr">
        <is>
          <t>baja</t>
        </is>
      </c>
      <c r="M333" s="11">
        <f>IF(J333="FUERA","Fuera del marco",IFERROR(INDEX('Datos - Catálogo TIMSS'!$C$5:$C$107,MATCH(J333,'Datos - Catálogo TIMSS'!$A$5:$A$107,0)),"?"))</f>
        <v/>
      </c>
      <c r="N333" s="11" t="inlineStr">
        <is>
          <t>Suelo como reserva de nutrientes en ciclos de materia</t>
        </is>
      </c>
    </row>
    <row r="334">
      <c r="A334" s="11" t="inlineStr">
        <is>
          <t>CO-DBA-G7-01</t>
        </is>
      </c>
      <c r="B334" s="11" t="inlineStr">
        <is>
          <t>Colombia</t>
        </is>
      </c>
      <c r="C334" s="11" t="inlineStr">
        <is>
          <t>CO_DBA_Ciencias_Naturales.pdf</t>
        </is>
      </c>
      <c r="D334" s="11" t="n">
        <v>24</v>
      </c>
      <c r="E334" s="11" t="inlineStr">
        <is>
          <t>7.°</t>
        </is>
      </c>
      <c r="F334" s="11" t="n">
        <v>7</v>
      </c>
      <c r="G334" s="11" t="inlineStr"/>
      <c r="H334" s="38" t="inlineStr">
        <is>
          <t>Comprende las formas y las transformaciones de energía en un sistema mecánico y la manera como, en los casos reales, la energía se disipa en el medio (calor, sonido).</t>
        </is>
      </c>
      <c r="I334" s="11" t="inlineStr">
        <is>
          <t>T8_27</t>
        </is>
      </c>
      <c r="J334" s="11" t="inlineStr">
        <is>
          <t>T8_27-P2.1</t>
        </is>
      </c>
      <c r="K334" s="11" t="inlineStr"/>
      <c r="L334" s="11" t="inlineStr">
        <is>
          <t>alta</t>
        </is>
      </c>
      <c r="M334" s="11">
        <f>IF(J334="FUERA","Fuera del marco",IFERROR(INDEX('Datos - Catálogo TIMSS'!$C$5:$C$107,MATCH(J334,'Datos - Catálogo TIMSS'!$A$5:$A$107,0)),"?"))</f>
        <v/>
      </c>
      <c r="N334" s="11" t="inlineStr">
        <is>
          <t>Formas y transformaciones de energía mecánica, disipación</t>
        </is>
      </c>
    </row>
    <row r="335">
      <c r="A335" s="11" t="inlineStr">
        <is>
          <t>CO-DBA-G7-02</t>
        </is>
      </c>
      <c r="B335" s="11" t="inlineStr">
        <is>
          <t>Colombia</t>
        </is>
      </c>
      <c r="C335" s="11" t="inlineStr">
        <is>
          <t>CO_DBA_Ciencias_Naturales.pdf</t>
        </is>
      </c>
      <c r="D335" s="11" t="n">
        <v>24</v>
      </c>
      <c r="E335" s="11" t="inlineStr">
        <is>
          <t>7.°</t>
        </is>
      </c>
      <c r="F335" s="11" t="n">
        <v>7</v>
      </c>
      <c r="G335" s="11" t="inlineStr"/>
      <c r="H335" s="38" t="inlineStr">
        <is>
          <t>Explica cómo las sustancias se forman a partir de la interacción de los elementos y que estos se encuentran agrupados en un sistema periódico.</t>
        </is>
      </c>
      <c r="I335" s="11" t="inlineStr">
        <is>
          <t>T8_27</t>
        </is>
      </c>
      <c r="J335" s="11" t="inlineStr">
        <is>
          <t>T8_27-C1.3</t>
        </is>
      </c>
      <c r="K335" s="11" t="inlineStr">
        <is>
          <t>T8_27-C1.1</t>
        </is>
      </c>
      <c r="L335" s="11" t="inlineStr">
        <is>
          <t>alta</t>
        </is>
      </c>
      <c r="M335" s="11">
        <f>IF(J335="FUERA","Fuera del marco",IFERROR(INDEX('Datos - Catálogo TIMSS'!$C$5:$C$107,MATCH(J335,'Datos - Catálogo TIMSS'!$A$5:$A$107,0)),"?"))</f>
        <v/>
      </c>
      <c r="N335" s="11" t="inlineStr">
        <is>
          <t>Sistema periódico y formación de sustancias por elementos</t>
        </is>
      </c>
    </row>
    <row r="336">
      <c r="A336" s="11" t="inlineStr">
        <is>
          <t>CO-DBA-G7-03</t>
        </is>
      </c>
      <c r="B336" s="11" t="inlineStr">
        <is>
          <t>Colombia</t>
        </is>
      </c>
      <c r="C336" s="11" t="inlineStr">
        <is>
          <t>CO_DBA_Ciencias_Naturales.pdf</t>
        </is>
      </c>
      <c r="D336" s="11" t="n">
        <v>25</v>
      </c>
      <c r="E336" s="11" t="inlineStr">
        <is>
          <t>7.°</t>
        </is>
      </c>
      <c r="F336" s="11" t="n">
        <v>7</v>
      </c>
      <c r="G336" s="11" t="inlineStr"/>
      <c r="H336" s="38" t="inlineStr">
        <is>
          <t>Comprende que en las cadenas y redes tróficas existen flujos de materia y energía, y los relaciona con procesos de nutrición, fotosíntesis y respiración celular.</t>
        </is>
      </c>
      <c r="I336" s="11" t="inlineStr">
        <is>
          <t>T8_27</t>
        </is>
      </c>
      <c r="J336" s="11" t="inlineStr">
        <is>
          <t>T8_27-B5.2</t>
        </is>
      </c>
      <c r="K336" s="11" t="inlineStr">
        <is>
          <t>T8_27-B1.3</t>
        </is>
      </c>
      <c r="L336" s="11" t="inlineStr">
        <is>
          <t>alta</t>
        </is>
      </c>
      <c r="M336" s="11">
        <f>IF(J336="FUERA","Fuera del marco",IFERROR(INDEX('Datos - Catálogo TIMSS'!$C$5:$C$107,MATCH(J336,'Datos - Catálogo TIMSS'!$A$5:$A$107,0)),"?"))</f>
        <v/>
      </c>
      <c r="N336" s="11" t="inlineStr">
        <is>
          <t>Flujo de energía en redes tróficas; fotosíntesis y respiración</t>
        </is>
      </c>
    </row>
    <row r="337">
      <c r="A337" s="11" t="inlineStr">
        <is>
          <t>CO-DBA-G7-04</t>
        </is>
      </c>
      <c r="B337" s="11" t="inlineStr">
        <is>
          <t>Colombia</t>
        </is>
      </c>
      <c r="C337" s="11" t="inlineStr">
        <is>
          <t>CO_DBA_Ciencias_Naturales.pdf</t>
        </is>
      </c>
      <c r="D337" s="11" t="n">
        <v>25</v>
      </c>
      <c r="E337" s="11" t="inlineStr">
        <is>
          <t>7.°</t>
        </is>
      </c>
      <c r="F337" s="11" t="n">
        <v>7</v>
      </c>
      <c r="G337" s="11" t="inlineStr"/>
      <c r="H337" s="38" t="inlineStr">
        <is>
          <t>Comprende la relación entre los ciclos del carbono, el nitrógeno y del agua, explicando su importancia en el mantenimiento de los ecosistemas.</t>
        </is>
      </c>
      <c r="I337" s="11" t="inlineStr">
        <is>
          <t>T8_27</t>
        </is>
      </c>
      <c r="J337" s="11" t="inlineStr">
        <is>
          <t>T8_27-B5.3</t>
        </is>
      </c>
      <c r="K337" s="11" t="inlineStr"/>
      <c r="L337" s="11" t="inlineStr">
        <is>
          <t>alta</t>
        </is>
      </c>
      <c r="M337" s="11">
        <f>IF(J337="FUERA","Fuera del marco",IFERROR(INDEX('Datos - Catálogo TIMSS'!$C$5:$C$107,MATCH(J337,'Datos - Catálogo TIMSS'!$A$5:$A$107,0)),"?"))</f>
        <v/>
      </c>
      <c r="N337" s="11" t="inlineStr">
        <is>
          <t>Ciclos del carbono y del agua en ecosistemas</t>
        </is>
      </c>
    </row>
    <row r="338">
      <c r="A338" s="11" t="inlineStr">
        <is>
          <t>CO-DBA-G8-01</t>
        </is>
      </c>
      <c r="B338" s="11" t="inlineStr">
        <is>
          <t>Colombia</t>
        </is>
      </c>
      <c r="C338" s="11" t="inlineStr">
        <is>
          <t>CO_DBA_Ciencias_Naturales.pdf</t>
        </is>
      </c>
      <c r="D338" s="11" t="n">
        <v>27</v>
      </c>
      <c r="E338" s="11" t="inlineStr">
        <is>
          <t>8.°</t>
        </is>
      </c>
      <c r="F338" s="11" t="n">
        <v>8</v>
      </c>
      <c r="G338" s="11" t="inlineStr"/>
      <c r="H338" s="38" t="inlineStr">
        <is>
          <t>Comprende el funcionamiento de máquinas térmicas (motores de combustión, refrigeración) por medio de las leyes de la termodinámica (primera y segunda ley).</t>
        </is>
      </c>
      <c r="I338" s="11" t="inlineStr">
        <is>
          <t>T8_27</t>
        </is>
      </c>
      <c r="J338" s="11" t="inlineStr">
        <is>
          <t>T8_27-P2.1</t>
        </is>
      </c>
      <c r="K338" s="11" t="inlineStr">
        <is>
          <t>T8_27-P2.2</t>
        </is>
      </c>
      <c r="L338" s="11" t="inlineStr">
        <is>
          <t>media</t>
        </is>
      </c>
      <c r="M338" s="11">
        <f>IF(J338="FUERA","Fuera del marco",IFERROR(INDEX('Datos - Catálogo TIMSS'!$C$5:$C$107,MATCH(J338,'Datos - Catálogo TIMSS'!$A$5:$A$107,0)),"?"))</f>
        <v/>
      </c>
      <c r="N338" s="11" t="inlineStr">
        <is>
          <t>Termodinámica de máquinas: conservación y transferencia térmica</t>
        </is>
      </c>
    </row>
    <row r="339">
      <c r="A339" s="11" t="inlineStr">
        <is>
          <t>CO-DBA-G8-02</t>
        </is>
      </c>
      <c r="B339" s="11" t="inlineStr">
        <is>
          <t>Colombia</t>
        </is>
      </c>
      <c r="C339" s="11" t="inlineStr">
        <is>
          <t>CO_DBA_Ciencias_Naturales.pdf</t>
        </is>
      </c>
      <c r="D339" s="11" t="n">
        <v>27</v>
      </c>
      <c r="E339" s="11" t="inlineStr">
        <is>
          <t>8.°</t>
        </is>
      </c>
      <c r="F339" s="11" t="n">
        <v>8</v>
      </c>
      <c r="G339" s="11" t="inlineStr"/>
      <c r="H339" s="38" t="inlineStr">
        <is>
          <t>Comprende que en una reacción química los átomos de los reactivos se recombinan para formar productos nuevos mediante fuerzas intramoleculares (enlaces iónicos y covalentes).</t>
        </is>
      </c>
      <c r="I339" s="11" t="inlineStr">
        <is>
          <t>T8_27</t>
        </is>
      </c>
      <c r="J339" s="11" t="inlineStr">
        <is>
          <t>T8_27-C3.2</t>
        </is>
      </c>
      <c r="K339" s="11" t="inlineStr">
        <is>
          <t>T8_27-C1.1</t>
        </is>
      </c>
      <c r="L339" s="11" t="inlineStr">
        <is>
          <t>alta</t>
        </is>
      </c>
      <c r="M339" s="11">
        <f>IF(J339="FUERA","Fuera del marco",IFERROR(INDEX('Datos - Catálogo TIMSS'!$C$5:$C$107,MATCH(J339,'Datos - Catálogo TIMSS'!$A$5:$A$107,0)),"?"))</f>
        <v/>
      </c>
      <c r="N339" s="11" t="inlineStr">
        <is>
          <t>Átomos se reordenan en reacciones; enlaces químicos</t>
        </is>
      </c>
    </row>
    <row r="340">
      <c r="A340" s="11" t="inlineStr">
        <is>
          <t>CO-DBA-G8-03</t>
        </is>
      </c>
      <c r="B340" s="11" t="inlineStr">
        <is>
          <t>Colombia</t>
        </is>
      </c>
      <c r="C340" s="11" t="inlineStr">
        <is>
          <t>CO_DBA_Ciencias_Naturales.pdf</t>
        </is>
      </c>
      <c r="D340" s="11" t="n">
        <v>28</v>
      </c>
      <c r="E340" s="11" t="inlineStr">
        <is>
          <t>8.°</t>
        </is>
      </c>
      <c r="F340" s="11" t="n">
        <v>8</v>
      </c>
      <c r="G340" s="11" t="inlineStr"/>
      <c r="H340" s="38" t="inlineStr">
        <is>
          <t>Comprende que el comportamiento de un gas ideal está determinado por las relaciones entre Temperatura (T), Presión (P), Volumen (V) y Cantidad de sustancia (n).</t>
        </is>
      </c>
      <c r="I340" s="11" t="inlineStr">
        <is>
          <t>T8_27</t>
        </is>
      </c>
      <c r="J340" s="11" t="inlineStr">
        <is>
          <t>T8_27-P1.1</t>
        </is>
      </c>
      <c r="K340" s="11" t="inlineStr"/>
      <c r="L340" s="11" t="inlineStr">
        <is>
          <t>alta</t>
        </is>
      </c>
      <c r="M340" s="11">
        <f>IF(J340="FUERA","Fuera del marco",IFERROR(INDEX('Datos - Catálogo TIMSS'!$C$5:$C$107,MATCH(J340,'Datos - Catálogo TIMSS'!$A$5:$A$107,0)),"?"))</f>
        <v/>
      </c>
      <c r="N340" s="11" t="inlineStr">
        <is>
          <t>Relación temperatura, presión y volumen de gases</t>
        </is>
      </c>
    </row>
    <row r="341">
      <c r="A341" s="11" t="inlineStr">
        <is>
          <t>CO-DBA-G8-04</t>
        </is>
      </c>
      <c r="B341" s="11" t="inlineStr">
        <is>
          <t>Colombia</t>
        </is>
      </c>
      <c r="C341" s="11" t="inlineStr">
        <is>
          <t>CO_DBA_Ciencias_Naturales.pdf</t>
        </is>
      </c>
      <c r="D341" s="11" t="n">
        <v>28</v>
      </c>
      <c r="E341" s="11" t="inlineStr">
        <is>
          <t>8.°</t>
        </is>
      </c>
      <c r="F341" s="11" t="n">
        <v>8</v>
      </c>
      <c r="G341" s="11" t="inlineStr"/>
      <c r="H341" s="38" t="inlineStr">
        <is>
          <t>Analiza relaciones entre sistemas de órganos (excretor, inmune, nervioso, endocrino, óseo y muscular) con los procesos de regulación de las funciones en los seres vivos.</t>
        </is>
      </c>
      <c r="I341" s="11" t="inlineStr">
        <is>
          <t>T8_27</t>
        </is>
      </c>
      <c r="J341" s="11" t="inlineStr">
        <is>
          <t>T8_27-B1.3</t>
        </is>
      </c>
      <c r="K341" s="11" t="inlineStr">
        <is>
          <t>T8_27-B1.2</t>
        </is>
      </c>
      <c r="L341" s="11" t="inlineStr">
        <is>
          <t>alta</t>
        </is>
      </c>
      <c r="M341" s="11">
        <f>IF(J341="FUERA","Fuera del marco",IFERROR(INDEX('Datos - Catálogo TIMSS'!$C$5:$C$107,MATCH(J341,'Datos - Catálogo TIMSS'!$A$5:$A$107,0)),"?"))</f>
        <v/>
      </c>
      <c r="N341" s="11" t="inlineStr">
        <is>
          <t>Sistemas de órganos en la regulación (homeostasis)</t>
        </is>
      </c>
    </row>
    <row r="342">
      <c r="A342" s="11" t="inlineStr">
        <is>
          <t>CO-DBA-G8-05</t>
        </is>
      </c>
      <c r="B342" s="11" t="inlineStr">
        <is>
          <t>Colombia</t>
        </is>
      </c>
      <c r="C342" s="11" t="inlineStr">
        <is>
          <t>CO_DBA_Ciencias_Naturales.pdf</t>
        </is>
      </c>
      <c r="D342" s="11" t="n">
        <v>29</v>
      </c>
      <c r="E342" s="11" t="inlineStr">
        <is>
          <t>8.°</t>
        </is>
      </c>
      <c r="F342" s="11" t="n">
        <v>8</v>
      </c>
      <c r="G342" s="11" t="inlineStr"/>
      <c r="H342" s="38" t="inlineStr">
        <is>
          <t>Analiza la reproducción (asexual, sexual) de distintos grupos de seres vivos y su importancia para la preservación de la vida en el planeta.</t>
        </is>
      </c>
      <c r="I342" s="11" t="inlineStr">
        <is>
          <t>T8_27</t>
        </is>
      </c>
      <c r="J342" s="11" t="inlineStr">
        <is>
          <t>T8_27-B3.1</t>
        </is>
      </c>
      <c r="K342" s="11" t="inlineStr"/>
      <c r="L342" s="11" t="inlineStr">
        <is>
          <t>media</t>
        </is>
      </c>
      <c r="M342" s="11">
        <f>IF(J342="FUERA","Fuera del marco",IFERROR(INDEX('Datos - Catálogo TIMSS'!$C$5:$C$107,MATCH(J342,'Datos - Catálogo TIMSS'!$A$5:$A$107,0)),"?"))</f>
        <v/>
      </c>
      <c r="N342" s="11" t="inlineStr">
        <is>
          <t>Reproducción sexual y asexual; TIMSS solo cubre la sexual</t>
        </is>
      </c>
    </row>
    <row r="343">
      <c r="A343" s="11" t="inlineStr">
        <is>
          <t>CO-EBC-G8_9-CIEN-01</t>
        </is>
      </c>
      <c r="B343" s="11" t="inlineStr">
        <is>
          <t>Colombia</t>
        </is>
      </c>
      <c r="C343" s="11" t="inlineStr">
        <is>
          <t>CO_Estandares_Ciencias.pdf</t>
        </is>
      </c>
      <c r="D343" s="11" t="n">
        <v>43</v>
      </c>
      <c r="E343" s="11" t="inlineStr">
        <is>
          <t>8.°–9.°</t>
        </is>
      </c>
      <c r="F343" s="11" t="n">
        <v>8</v>
      </c>
      <c r="G343" s="11" t="inlineStr">
        <is>
          <t>…me aproximo al conocimiento como científico(a) natural</t>
        </is>
      </c>
      <c r="H343" s="38" t="inlineStr">
        <is>
          <t>Observo fenómenos específicos.</t>
        </is>
      </c>
      <c r="I343" s="11" t="inlineStr">
        <is>
          <t>T8_27</t>
        </is>
      </c>
      <c r="J343" s="11" t="inlineStr">
        <is>
          <t>T8_27-P6.1</t>
        </is>
      </c>
      <c r="K343" s="11" t="inlineStr"/>
      <c r="L343" s="11" t="inlineStr">
        <is>
          <t>baja</t>
        </is>
      </c>
      <c r="M343" s="11">
        <f>IF(J343="FUERA","Fuera del marco",IFERROR(INDEX('Datos - Catálogo TIMSS'!$C$5:$C$107,MATCH(J343,'Datos - Catálogo TIMSS'!$A$5:$A$107,0)),"?"))</f>
        <v/>
      </c>
      <c r="N343" s="11" t="inlineStr">
        <is>
          <t>Práctica genérica de observación; sin disciplina deducible</t>
        </is>
      </c>
    </row>
    <row r="344">
      <c r="A344" s="11" t="inlineStr">
        <is>
          <t>CO-EBC-G8_9-CIEN-02</t>
        </is>
      </c>
      <c r="B344" s="11" t="inlineStr">
        <is>
          <t>Colombia</t>
        </is>
      </c>
      <c r="C344" s="11" t="inlineStr">
        <is>
          <t>CO_Estandares_Ciencias.pdf</t>
        </is>
      </c>
      <c r="D344" s="11" t="n">
        <v>43</v>
      </c>
      <c r="E344" s="11" t="inlineStr">
        <is>
          <t>8.°–9.°</t>
        </is>
      </c>
      <c r="F344" s="11" t="n">
        <v>8</v>
      </c>
      <c r="G344" s="11" t="inlineStr">
        <is>
          <t>…me aproximo al conocimiento como científico(a) natural</t>
        </is>
      </c>
      <c r="H344" s="38" t="inlineStr">
        <is>
          <t>Formulo preguntas específicas sobre una observación, sobre una experiencia o sobre las aplicaciones de teorías científicas.</t>
        </is>
      </c>
      <c r="I344" s="11" t="inlineStr">
        <is>
          <t>T8_27</t>
        </is>
      </c>
      <c r="J344" s="11" t="inlineStr">
        <is>
          <t>T8_27-C4.1</t>
        </is>
      </c>
      <c r="K344" s="11" t="inlineStr">
        <is>
          <t>T8_27-P6.1</t>
        </is>
      </c>
      <c r="L344" s="11" t="inlineStr">
        <is>
          <t>media</t>
        </is>
      </c>
      <c r="M344" s="11">
        <f>IF(J344="FUERA","Fuera del marco",IFERROR(INDEX('Datos - Catálogo TIMSS'!$C$5:$C$107,MATCH(J344,'Datos - Catálogo TIMSS'!$A$5:$A$107,0)),"?"))</f>
        <v/>
      </c>
      <c r="N344" s="11" t="inlineStr">
        <is>
          <t>Formular preguntas comprobables para investigar</t>
        </is>
      </c>
    </row>
    <row r="345">
      <c r="A345" s="11" t="inlineStr">
        <is>
          <t>CO-EBC-G8_9-CIEN-03</t>
        </is>
      </c>
      <c r="B345" s="11" t="inlineStr">
        <is>
          <t>Colombia</t>
        </is>
      </c>
      <c r="C345" s="11" t="inlineStr">
        <is>
          <t>CO_Estandares_Ciencias.pdf</t>
        </is>
      </c>
      <c r="D345" s="11" t="n">
        <v>43</v>
      </c>
      <c r="E345" s="11" t="inlineStr">
        <is>
          <t>8.°–9.°</t>
        </is>
      </c>
      <c r="F345" s="11" t="n">
        <v>8</v>
      </c>
      <c r="G345" s="11" t="inlineStr">
        <is>
          <t>…me aproximo al conocimiento como científico(a) natural</t>
        </is>
      </c>
      <c r="H345" s="38" t="inlineStr">
        <is>
          <t>Formulo hipótesis, con base en el conocimiento cotidiano, teorías y modelos científicos.</t>
        </is>
      </c>
      <c r="I345" s="11" t="inlineStr">
        <is>
          <t>T8_27</t>
        </is>
      </c>
      <c r="J345" s="11" t="inlineStr">
        <is>
          <t>T8_27-P6.1</t>
        </is>
      </c>
      <c r="K345" s="11" t="inlineStr"/>
      <c r="L345" s="11" t="inlineStr">
        <is>
          <t>baja</t>
        </is>
      </c>
      <c r="M345" s="11">
        <f>IF(J345="FUERA","Fuera del marco",IFERROR(INDEX('Datos - Catálogo TIMSS'!$C$5:$C$107,MATCH(J345,'Datos - Catálogo TIMSS'!$A$5:$A$107,0)),"?"))</f>
        <v/>
      </c>
      <c r="N345" s="11" t="inlineStr">
        <is>
          <t>Hipótesis o explicaciones previas en una investigación</t>
        </is>
      </c>
    </row>
    <row r="346">
      <c r="A346" s="11" t="inlineStr">
        <is>
          <t>CO-EBC-G8_9-CIEN-04</t>
        </is>
      </c>
      <c r="B346" s="11" t="inlineStr">
        <is>
          <t>Colombia</t>
        </is>
      </c>
      <c r="C346" s="11" t="inlineStr">
        <is>
          <t>CO_Estandares_Ciencias.pdf</t>
        </is>
      </c>
      <c r="D346" s="11" t="n">
        <v>43</v>
      </c>
      <c r="E346" s="11" t="inlineStr">
        <is>
          <t>8.°–9.°</t>
        </is>
      </c>
      <c r="F346" s="11" t="n">
        <v>8</v>
      </c>
      <c r="G346" s="11" t="inlineStr">
        <is>
          <t>…me aproximo al conocimiento como científico(a) natural</t>
        </is>
      </c>
      <c r="H346" s="38" t="inlineStr">
        <is>
          <t>Identifico y verifico condiciones que influyen en los resultados de un experimento y que pueden permanecer constantes o cambiar (variables).</t>
        </is>
      </c>
      <c r="I346" s="11" t="inlineStr">
        <is>
          <t>T8_27</t>
        </is>
      </c>
      <c r="J346" s="11" t="inlineStr">
        <is>
          <t>T8_27-C4.1</t>
        </is>
      </c>
      <c r="K346" s="11" t="inlineStr">
        <is>
          <t>T8_27-B7.1</t>
        </is>
      </c>
      <c r="L346" s="11" t="inlineStr">
        <is>
          <t>media</t>
        </is>
      </c>
      <c r="M346" s="11">
        <f>IF(J346="FUERA","Fuera del marco",IFERROR(INDEX('Datos - Catálogo TIMSS'!$C$5:$C$107,MATCH(J346,'Datos - Catálogo TIMSS'!$A$5:$A$107,0)),"?"))</f>
        <v/>
      </c>
      <c r="N346" s="11" t="inlineStr">
        <is>
          <t>Identificar variables controladas y variables que cambian</t>
        </is>
      </c>
    </row>
    <row r="347">
      <c r="A347" s="11" t="inlineStr">
        <is>
          <t>CO-EBC-G8_9-CIEN-05</t>
        </is>
      </c>
      <c r="B347" s="11" t="inlineStr">
        <is>
          <t>Colombia</t>
        </is>
      </c>
      <c r="C347" s="11" t="inlineStr">
        <is>
          <t>CO_Estandares_Ciencias.pdf</t>
        </is>
      </c>
      <c r="D347" s="11" t="n">
        <v>43</v>
      </c>
      <c r="E347" s="11" t="inlineStr">
        <is>
          <t>8.°–9.°</t>
        </is>
      </c>
      <c r="F347" s="11" t="n">
        <v>8</v>
      </c>
      <c r="G347" s="11" t="inlineStr">
        <is>
          <t>…me aproximo al conocimiento como científico(a) natural</t>
        </is>
      </c>
      <c r="H347" s="38" t="inlineStr">
        <is>
          <t>Propongo modelos para predecir los resultados de mis experimentos.</t>
        </is>
      </c>
      <c r="I347" s="11" t="inlineStr">
        <is>
          <t>T8_27</t>
        </is>
      </c>
      <c r="J347" s="11" t="inlineStr">
        <is>
          <t>T8_27-P6.1</t>
        </is>
      </c>
      <c r="K347" s="11" t="inlineStr"/>
      <c r="L347" s="11" t="inlineStr">
        <is>
          <t>baja</t>
        </is>
      </c>
      <c r="M347" s="11">
        <f>IF(J347="FUERA","Fuera del marco",IFERROR(INDEX('Datos - Catálogo TIMSS'!$C$5:$C$107,MATCH(J347,'Datos - Catálogo TIMSS'!$A$5:$A$107,0)),"?"))</f>
        <v/>
      </c>
      <c r="N347" s="11" t="inlineStr">
        <is>
          <t>Modelos para predecir resultados experimentales</t>
        </is>
      </c>
    </row>
    <row r="348">
      <c r="A348" s="11" t="inlineStr">
        <is>
          <t>CO-EBC-G8_9-CIEN-06</t>
        </is>
      </c>
      <c r="B348" s="11" t="inlineStr">
        <is>
          <t>Colombia</t>
        </is>
      </c>
      <c r="C348" s="11" t="inlineStr">
        <is>
          <t>CO_Estandares_Ciencias.pdf</t>
        </is>
      </c>
      <c r="D348" s="11" t="n">
        <v>43</v>
      </c>
      <c r="E348" s="11" t="inlineStr">
        <is>
          <t>8.°–9.°</t>
        </is>
      </c>
      <c r="F348" s="11" t="n">
        <v>8</v>
      </c>
      <c r="G348" s="11" t="inlineStr">
        <is>
          <t>…me aproximo al conocimiento como científico(a) natural</t>
        </is>
      </c>
      <c r="H348" s="38" t="inlineStr">
        <is>
          <t>Realizo mediciones con instrumentos adecuados a las características y magnitudes de los objetos de estudio y las expreso en las unidades correspondientes.</t>
        </is>
      </c>
      <c r="I348" s="11" t="inlineStr">
        <is>
          <t>T8_27</t>
        </is>
      </c>
      <c r="J348" s="11" t="inlineStr">
        <is>
          <t>T8_27-P6.1</t>
        </is>
      </c>
      <c r="K348" s="11" t="inlineStr"/>
      <c r="L348" s="11" t="inlineStr">
        <is>
          <t>alta</t>
        </is>
      </c>
      <c r="M348" s="11">
        <f>IF(J348="FUERA","Fuera del marco",IFERROR(INDEX('Datos - Catálogo TIMSS'!$C$5:$C$107,MATCH(J348,'Datos - Catálogo TIMSS'!$A$5:$A$107,0)),"?"))</f>
        <v/>
      </c>
      <c r="N348" s="11" t="inlineStr">
        <is>
          <t>Medir con instrumentos adecuados</t>
        </is>
      </c>
    </row>
    <row r="349">
      <c r="A349" s="11" t="inlineStr">
        <is>
          <t>CO-EBC-G8_9-CIEN-07</t>
        </is>
      </c>
      <c r="B349" s="11" t="inlineStr">
        <is>
          <t>Colombia</t>
        </is>
      </c>
      <c r="C349" s="11" t="inlineStr">
        <is>
          <t>CO_Estandares_Ciencias.pdf</t>
        </is>
      </c>
      <c r="D349" s="11" t="n">
        <v>43</v>
      </c>
      <c r="E349" s="11" t="inlineStr">
        <is>
          <t>8.°–9.°</t>
        </is>
      </c>
      <c r="F349" s="11" t="n">
        <v>8</v>
      </c>
      <c r="G349" s="11" t="inlineStr">
        <is>
          <t>…me aproximo al conocimiento como científico(a) natural</t>
        </is>
      </c>
      <c r="H349" s="38" t="inlineStr">
        <is>
          <t>Registro mis observaciones y resultados utilizando esquemas, gráficos y tablas.</t>
        </is>
      </c>
      <c r="I349" s="11" t="inlineStr">
        <is>
          <t>T8_27</t>
        </is>
      </c>
      <c r="J349" s="11" t="inlineStr">
        <is>
          <t>T8_27-P6.1</t>
        </is>
      </c>
      <c r="K349" s="11" t="inlineStr"/>
      <c r="L349" s="11" t="inlineStr">
        <is>
          <t>media</t>
        </is>
      </c>
      <c r="M349" s="11">
        <f>IF(J349="FUERA","Fuera del marco",IFERROR(INDEX('Datos - Catálogo TIMSS'!$C$5:$C$107,MATCH(J349,'Datos - Catálogo TIMSS'!$A$5:$A$107,0)),"?"))</f>
        <v/>
      </c>
      <c r="N349" s="11" t="inlineStr">
        <is>
          <t>Registrar observaciones y resultados en tablas y gráficos</t>
        </is>
      </c>
    </row>
    <row r="350">
      <c r="A350" s="11" t="inlineStr">
        <is>
          <t>CO-EBC-G8_9-CIEN-08</t>
        </is>
      </c>
      <c r="B350" s="11" t="inlineStr">
        <is>
          <t>Colombia</t>
        </is>
      </c>
      <c r="C350" s="11" t="inlineStr">
        <is>
          <t>CO_Estandares_Ciencias.pdf</t>
        </is>
      </c>
      <c r="D350" s="11" t="n">
        <v>43</v>
      </c>
      <c r="E350" s="11" t="inlineStr">
        <is>
          <t>8.°–9.°</t>
        </is>
      </c>
      <c r="F350" s="11" t="n">
        <v>8</v>
      </c>
      <c r="G350" s="11" t="inlineStr">
        <is>
          <t>…me aproximo al conocimiento como científico(a) natural</t>
        </is>
      </c>
      <c r="H350" s="38" t="inlineStr">
        <is>
          <t>Registro mis resultados en forma organizada y sin alteración alguna.</t>
        </is>
      </c>
      <c r="I350" s="11" t="inlineStr">
        <is>
          <t>T8_27</t>
        </is>
      </c>
      <c r="J350" s="11" t="inlineStr">
        <is>
          <t>T8_27-P6.1</t>
        </is>
      </c>
      <c r="K350" s="11" t="inlineStr"/>
      <c r="L350" s="11" t="inlineStr">
        <is>
          <t>baja</t>
        </is>
      </c>
      <c r="M350" s="11">
        <f>IF(J350="FUERA","Fuera del marco",IFERROR(INDEX('Datos - Catálogo TIMSS'!$C$5:$C$107,MATCH(J350,'Datos - Catálogo TIMSS'!$A$5:$A$107,0)),"?"))</f>
        <v/>
      </c>
      <c r="N350" s="11" t="inlineStr">
        <is>
          <t>Registro honesto de resultados; práctica genérica</t>
        </is>
      </c>
    </row>
    <row r="351">
      <c r="A351" s="11" t="inlineStr">
        <is>
          <t>CO-EBC-G8_9-CIEN-09</t>
        </is>
      </c>
      <c r="B351" s="11" t="inlineStr">
        <is>
          <t>Colombia</t>
        </is>
      </c>
      <c r="C351" s="11" t="inlineStr">
        <is>
          <t>CO_Estandares_Ciencias.pdf</t>
        </is>
      </c>
      <c r="D351" s="11" t="n">
        <v>43</v>
      </c>
      <c r="E351" s="11" t="inlineStr">
        <is>
          <t>8.°–9.°</t>
        </is>
      </c>
      <c r="F351" s="11" t="n">
        <v>8</v>
      </c>
      <c r="G351" s="11" t="inlineStr">
        <is>
          <t>…me aproximo al conocimiento como científico(a) natural</t>
        </is>
      </c>
      <c r="H351" s="38" t="inlineStr">
        <is>
          <t>Establezco diferencias entre descripción, explicación y evidencia.</t>
        </is>
      </c>
      <c r="I351" s="11" t="inlineStr">
        <is>
          <t>T8_27</t>
        </is>
      </c>
      <c r="J351" s="11" t="inlineStr">
        <is>
          <t>T8_27-P6.1</t>
        </is>
      </c>
      <c r="K351" s="11" t="inlineStr"/>
      <c r="L351" s="11" t="inlineStr">
        <is>
          <t>baja</t>
        </is>
      </c>
      <c r="M351" s="11">
        <f>IF(J351="FUERA","Fuera del marco",IFERROR(INDEX('Datos - Catálogo TIMSS'!$C$5:$C$107,MATCH(J351,'Datos - Catálogo TIMSS'!$A$5:$A$107,0)),"?"))</f>
        <v/>
      </c>
      <c r="N351" s="11" t="inlineStr">
        <is>
          <t>Distinguir descripción, explicación y evidencia al concluir</t>
        </is>
      </c>
    </row>
    <row r="352">
      <c r="A352" s="11" t="inlineStr">
        <is>
          <t>CO-EBC-G8_9-CIEN-10</t>
        </is>
      </c>
      <c r="B352" s="11" t="inlineStr">
        <is>
          <t>Colombia</t>
        </is>
      </c>
      <c r="C352" s="11" t="inlineStr">
        <is>
          <t>CO_Estandares_Ciencias.pdf</t>
        </is>
      </c>
      <c r="D352" s="11" t="n">
        <v>43</v>
      </c>
      <c r="E352" s="11" t="inlineStr">
        <is>
          <t>8.°–9.°</t>
        </is>
      </c>
      <c r="F352" s="11" t="n">
        <v>8</v>
      </c>
      <c r="G352" s="11" t="inlineStr">
        <is>
          <t>…me aproximo al conocimiento como científico(a) natural</t>
        </is>
      </c>
      <c r="H352" s="38" t="inlineStr">
        <is>
          <t>Utilizo las matemáticas como herramienta para modelar, analizar y presentar datos.</t>
        </is>
      </c>
      <c r="I352" s="11" t="inlineStr">
        <is>
          <t>T8_27</t>
        </is>
      </c>
      <c r="J352" s="11" t="inlineStr">
        <is>
          <t>T8_27-P6.1</t>
        </is>
      </c>
      <c r="K352" s="11" t="inlineStr"/>
      <c r="L352" s="11" t="inlineStr">
        <is>
          <t>media</t>
        </is>
      </c>
      <c r="M352" s="11">
        <f>IF(J352="FUERA","Fuera del marco",IFERROR(INDEX('Datos - Catálogo TIMSS'!$C$5:$C$107,MATCH(J352,'Datos - Catálogo TIMSS'!$A$5:$A$107,0)),"?"))</f>
        <v/>
      </c>
      <c r="N352" s="11" t="inlineStr">
        <is>
          <t>Analizar y presentar datos con matemáticas</t>
        </is>
      </c>
    </row>
    <row r="353">
      <c r="A353" s="11" t="inlineStr">
        <is>
          <t>CO-EBC-G8_9-CIEN-11</t>
        </is>
      </c>
      <c r="B353" s="11" t="inlineStr">
        <is>
          <t>Colombia</t>
        </is>
      </c>
      <c r="C353" s="11" t="inlineStr">
        <is>
          <t>CO_Estandares_Ciencias.pdf</t>
        </is>
      </c>
      <c r="D353" s="11" t="n">
        <v>43</v>
      </c>
      <c r="E353" s="11" t="inlineStr">
        <is>
          <t>8.°–9.°</t>
        </is>
      </c>
      <c r="F353" s="11" t="n">
        <v>8</v>
      </c>
      <c r="G353" s="11" t="inlineStr">
        <is>
          <t>…me aproximo al conocimiento como científico(a) natural</t>
        </is>
      </c>
      <c r="H353" s="38" t="inlineStr">
        <is>
          <t>Busco información en diferentes fuentes.</t>
        </is>
      </c>
      <c r="I353" s="11" t="inlineStr">
        <is>
          <t>T8_27</t>
        </is>
      </c>
      <c r="J353" s="11" t="inlineStr">
        <is>
          <t>FUERA</t>
        </is>
      </c>
      <c r="K353" s="11" t="inlineStr"/>
      <c r="L353" s="11" t="inlineStr">
        <is>
          <t>media</t>
        </is>
      </c>
      <c r="M353" s="11">
        <f>IF(J353="FUERA","Fuera del marco",IFERROR(INDEX('Datos - Catálogo TIMSS'!$C$5:$C$107,MATCH(J353,'Datos - Catálogo TIMSS'!$A$5:$A$107,0)),"?"))</f>
        <v/>
      </c>
      <c r="N353" s="11" t="inlineStr">
        <is>
          <t>Búsqueda de información; competencia general</t>
        </is>
      </c>
    </row>
    <row r="354">
      <c r="A354" s="11" t="inlineStr">
        <is>
          <t>CO-EBC-G8_9-CIEN-12</t>
        </is>
      </c>
      <c r="B354" s="11" t="inlineStr">
        <is>
          <t>Colombia</t>
        </is>
      </c>
      <c r="C354" s="11" t="inlineStr">
        <is>
          <t>CO_Estandares_Ciencias.pdf</t>
        </is>
      </c>
      <c r="D354" s="11" t="n">
        <v>43</v>
      </c>
      <c r="E354" s="11" t="inlineStr">
        <is>
          <t>8.°–9.°</t>
        </is>
      </c>
      <c r="F354" s="11" t="n">
        <v>8</v>
      </c>
      <c r="G354" s="11" t="inlineStr">
        <is>
          <t>…me aproximo al conocimiento como científico(a) natural</t>
        </is>
      </c>
      <c r="H354" s="38" t="inlineStr">
        <is>
          <t>Evalúo la calidad de la información recopilada y doy el crédito correspondiente.</t>
        </is>
      </c>
      <c r="I354" s="11" t="inlineStr">
        <is>
          <t>T8_27</t>
        </is>
      </c>
      <c r="J354" s="11" t="inlineStr">
        <is>
          <t>FUERA</t>
        </is>
      </c>
      <c r="K354" s="11" t="inlineStr"/>
      <c r="L354" s="11" t="inlineStr">
        <is>
          <t>media</t>
        </is>
      </c>
      <c r="M354" s="11">
        <f>IF(J354="FUERA","Fuera del marco",IFERROR(INDEX('Datos - Catálogo TIMSS'!$C$5:$C$107,MATCH(J354,'Datos - Catálogo TIMSS'!$A$5:$A$107,0)),"?"))</f>
        <v/>
      </c>
      <c r="N354" s="11" t="inlineStr">
        <is>
          <t>Evaluar fuentes de información; competencia general</t>
        </is>
      </c>
    </row>
    <row r="355">
      <c r="A355" s="11" t="inlineStr">
        <is>
          <t>CO-EBC-G8_9-CIEN-13</t>
        </is>
      </c>
      <c r="B355" s="11" t="inlineStr">
        <is>
          <t>Colombia</t>
        </is>
      </c>
      <c r="C355" s="11" t="inlineStr">
        <is>
          <t>CO_Estandares_Ciencias.pdf</t>
        </is>
      </c>
      <c r="D355" s="11" t="n">
        <v>43</v>
      </c>
      <c r="E355" s="11" t="inlineStr">
        <is>
          <t>8.°–9.°</t>
        </is>
      </c>
      <c r="F355" s="11" t="n">
        <v>8</v>
      </c>
      <c r="G355" s="11" t="inlineStr">
        <is>
          <t>…me aproximo al conocimiento como científico(a) natural</t>
        </is>
      </c>
      <c r="H355" s="38" t="inlineStr">
        <is>
          <t>Establezco relaciones causales y multicausales entre los datos recopilados.</t>
        </is>
      </c>
      <c r="I355" s="11" t="inlineStr">
        <is>
          <t>T8_27</t>
        </is>
      </c>
      <c r="J355" s="11" t="inlineStr">
        <is>
          <t>T8_27-P6.1</t>
        </is>
      </c>
      <c r="K355" s="11" t="inlineStr"/>
      <c r="L355" s="11" t="inlineStr">
        <is>
          <t>media</t>
        </is>
      </c>
      <c r="M355" s="11">
        <f>IF(J355="FUERA","Fuera del marco",IFERROR(INDEX('Datos - Catálogo TIMSS'!$C$5:$C$107,MATCH(J355,'Datos - Catálogo TIMSS'!$A$5:$A$107,0)),"?"))</f>
        <v/>
      </c>
      <c r="N355" s="11" t="inlineStr">
        <is>
          <t>Analizar datos para establecer relaciones causales</t>
        </is>
      </c>
    </row>
    <row r="356">
      <c r="A356" s="11" t="inlineStr">
        <is>
          <t>CO-EBC-G8_9-CIEN-14</t>
        </is>
      </c>
      <c r="B356" s="11" t="inlineStr">
        <is>
          <t>Colombia</t>
        </is>
      </c>
      <c r="C356" s="11" t="inlineStr">
        <is>
          <t>CO_Estandares_Ciencias.pdf</t>
        </is>
      </c>
      <c r="D356" s="11" t="n">
        <v>43</v>
      </c>
      <c r="E356" s="11" t="inlineStr">
        <is>
          <t>8.°–9.°</t>
        </is>
      </c>
      <c r="F356" s="11" t="n">
        <v>8</v>
      </c>
      <c r="G356" s="11" t="inlineStr">
        <is>
          <t>…me aproximo al conocimiento como científico(a) natural</t>
        </is>
      </c>
      <c r="H356" s="38" t="inlineStr">
        <is>
          <t>Establezco relaciones entre la información recopilada y mis resultados.</t>
        </is>
      </c>
      <c r="I356" s="11" t="inlineStr">
        <is>
          <t>T8_27</t>
        </is>
      </c>
      <c r="J356" s="11" t="inlineStr">
        <is>
          <t>T8_27-P6.1</t>
        </is>
      </c>
      <c r="K356" s="11" t="inlineStr"/>
      <c r="L356" s="11" t="inlineStr">
        <is>
          <t>baja</t>
        </is>
      </c>
      <c r="M356" s="11">
        <f>IF(J356="FUERA","Fuera del marco",IFERROR(INDEX('Datos - Catálogo TIMSS'!$C$5:$C$107,MATCH(J356,'Datos - Catálogo TIMSS'!$A$5:$A$107,0)),"?"))</f>
        <v/>
      </c>
      <c r="N356" s="11" t="inlineStr">
        <is>
          <t>Contrastar datos propios con otras fuentes</t>
        </is>
      </c>
    </row>
    <row r="357">
      <c r="A357" s="11" t="inlineStr">
        <is>
          <t>CO-EBC-G8_9-CIEN-15</t>
        </is>
      </c>
      <c r="B357" s="11" t="inlineStr">
        <is>
          <t>Colombia</t>
        </is>
      </c>
      <c r="C357" s="11" t="inlineStr">
        <is>
          <t>CO_Estandares_Ciencias.pdf</t>
        </is>
      </c>
      <c r="D357" s="11" t="n">
        <v>43</v>
      </c>
      <c r="E357" s="11" t="inlineStr">
        <is>
          <t>8.°–9.°</t>
        </is>
      </c>
      <c r="F357" s="11" t="n">
        <v>8</v>
      </c>
      <c r="G357" s="11" t="inlineStr">
        <is>
          <t>…me aproximo al conocimiento como científico(a) natural</t>
        </is>
      </c>
      <c r="H357" s="38" t="inlineStr">
        <is>
          <t>Interpreto los resultados teniendo en cuenta el orden de magnitud del error experimental.</t>
        </is>
      </c>
      <c r="I357" s="11" t="inlineStr">
        <is>
          <t>T8_27</t>
        </is>
      </c>
      <c r="J357" s="11" t="inlineStr">
        <is>
          <t>T8_27-P6.1</t>
        </is>
      </c>
      <c r="K357" s="11" t="inlineStr"/>
      <c r="L357" s="11" t="inlineStr">
        <is>
          <t>alta</t>
        </is>
      </c>
      <c r="M357" s="11">
        <f>IF(J357="FUERA","Fuera del marco",IFERROR(INDEX('Datos - Catálogo TIMSS'!$C$5:$C$107,MATCH(J357,'Datos - Catálogo TIMSS'!$A$5:$A$107,0)),"?"))</f>
        <v/>
      </c>
      <c r="N357" s="11" t="inlineStr">
        <is>
          <t>Error experimental y repetición de mediciones</t>
        </is>
      </c>
    </row>
    <row r="358">
      <c r="A358" s="11" t="inlineStr">
        <is>
          <t>CO-EBC-G8_9-CIEN-16</t>
        </is>
      </c>
      <c r="B358" s="11" t="inlineStr">
        <is>
          <t>Colombia</t>
        </is>
      </c>
      <c r="C358" s="11" t="inlineStr">
        <is>
          <t>CO_Estandares_Ciencias.pdf</t>
        </is>
      </c>
      <c r="D358" s="11" t="n">
        <v>43</v>
      </c>
      <c r="E358" s="11" t="inlineStr">
        <is>
          <t>8.°–9.°</t>
        </is>
      </c>
      <c r="F358" s="11" t="n">
        <v>8</v>
      </c>
      <c r="G358" s="11" t="inlineStr">
        <is>
          <t>…me aproximo al conocimiento como científico(a) natural</t>
        </is>
      </c>
      <c r="H358" s="38" t="inlineStr">
        <is>
          <t>Saco conclusiones de los experimentos que realizo, aunque no obtenga los resultados esperados.</t>
        </is>
      </c>
      <c r="I358" s="11" t="inlineStr">
        <is>
          <t>T8_27</t>
        </is>
      </c>
      <c r="J358" s="11" t="inlineStr">
        <is>
          <t>T8_27-P6.1</t>
        </is>
      </c>
      <c r="K358" s="11" t="inlineStr"/>
      <c r="L358" s="11" t="inlineStr">
        <is>
          <t>media</t>
        </is>
      </c>
      <c r="M358" s="11">
        <f>IF(J358="FUERA","Fuera del marco",IFERROR(INDEX('Datos - Catálogo TIMSS'!$C$5:$C$107,MATCH(J358,'Datos - Catálogo TIMSS'!$A$5:$A$107,0)),"?"))</f>
        <v/>
      </c>
      <c r="N358" s="11" t="inlineStr">
        <is>
          <t>Sacar conclusiones de experimentos</t>
        </is>
      </c>
    </row>
    <row r="359">
      <c r="A359" s="11" t="inlineStr">
        <is>
          <t>CO-EBC-G8_9-CIEN-17</t>
        </is>
      </c>
      <c r="B359" s="11" t="inlineStr">
        <is>
          <t>Colombia</t>
        </is>
      </c>
      <c r="C359" s="11" t="inlineStr">
        <is>
          <t>CO_Estandares_Ciencias.pdf</t>
        </is>
      </c>
      <c r="D359" s="11" t="n">
        <v>43</v>
      </c>
      <c r="E359" s="11" t="inlineStr">
        <is>
          <t>8.°–9.°</t>
        </is>
      </c>
      <c r="F359" s="11" t="n">
        <v>8</v>
      </c>
      <c r="G359" s="11" t="inlineStr">
        <is>
          <t>…me aproximo al conocimiento como científico(a) natural</t>
        </is>
      </c>
      <c r="H359" s="38" t="inlineStr">
        <is>
          <t>Persisto en la búsqueda de respuestas a mis preguntas.</t>
        </is>
      </c>
      <c r="I359" s="11" t="inlineStr">
        <is>
          <t>T8_27</t>
        </is>
      </c>
      <c r="J359" s="11" t="inlineStr">
        <is>
          <t>FUERA</t>
        </is>
      </c>
      <c r="K359" s="11" t="inlineStr"/>
      <c r="L359" s="11" t="inlineStr">
        <is>
          <t>alta</t>
        </is>
      </c>
      <c r="M359" s="11">
        <f>IF(J359="FUERA","Fuera del marco",IFERROR(INDEX('Datos - Catálogo TIMSS'!$C$5:$C$107,MATCH(J359,'Datos - Catálogo TIMSS'!$A$5:$A$107,0)),"?"))</f>
        <v/>
      </c>
      <c r="N359" s="11" t="inlineStr">
        <is>
          <t>Actitud de persistencia; sin contenido científico</t>
        </is>
      </c>
    </row>
    <row r="360">
      <c r="A360" s="11" t="inlineStr">
        <is>
          <t>CO-EBC-G8_9-CIEN-18</t>
        </is>
      </c>
      <c r="B360" s="11" t="inlineStr">
        <is>
          <t>Colombia</t>
        </is>
      </c>
      <c r="C360" s="11" t="inlineStr">
        <is>
          <t>CO_Estandares_Ciencias.pdf</t>
        </is>
      </c>
      <c r="D360" s="11" t="n">
        <v>43</v>
      </c>
      <c r="E360" s="11" t="inlineStr">
        <is>
          <t>8.°–9.°</t>
        </is>
      </c>
      <c r="F360" s="11" t="n">
        <v>8</v>
      </c>
      <c r="G360" s="11" t="inlineStr">
        <is>
          <t>…me aproximo al conocimiento como científico(a) natural</t>
        </is>
      </c>
      <c r="H360" s="38" t="inlineStr">
        <is>
          <t>Propongo y sustento respuestas a mis preguntas y las comparo con las de otras personas y con las de teorías científicas.</t>
        </is>
      </c>
      <c r="I360" s="11" t="inlineStr">
        <is>
          <t>T8_27</t>
        </is>
      </c>
      <c r="J360" s="11" t="inlineStr">
        <is>
          <t>T8_27-P6.1</t>
        </is>
      </c>
      <c r="K360" s="11" t="inlineStr"/>
      <c r="L360" s="11" t="inlineStr">
        <is>
          <t>baja</t>
        </is>
      </c>
      <c r="M360" s="11">
        <f>IF(J360="FUERA","Fuera del marco",IFERROR(INDEX('Datos - Catálogo TIMSS'!$C$5:$C$107,MATCH(J360,'Datos - Catálogo TIMSS'!$A$5:$A$107,0)),"?"))</f>
        <v/>
      </c>
      <c r="N360" s="11" t="inlineStr">
        <is>
          <t>Comparar respuestas propias con teorías; concluir</t>
        </is>
      </c>
    </row>
    <row r="361">
      <c r="A361" s="11" t="inlineStr">
        <is>
          <t>CO-EBC-G8_9-CIEN-19</t>
        </is>
      </c>
      <c r="B361" s="11" t="inlineStr">
        <is>
          <t>Colombia</t>
        </is>
      </c>
      <c r="C361" s="11" t="inlineStr">
        <is>
          <t>CO_Estandares_Ciencias.pdf</t>
        </is>
      </c>
      <c r="D361" s="11" t="n">
        <v>43</v>
      </c>
      <c r="E361" s="11" t="inlineStr">
        <is>
          <t>8.°–9.°</t>
        </is>
      </c>
      <c r="F361" s="11" t="n">
        <v>8</v>
      </c>
      <c r="G361" s="11" t="inlineStr">
        <is>
          <t>…me aproximo al conocimiento como científico(a) natural</t>
        </is>
      </c>
      <c r="H361" s="38" t="inlineStr">
        <is>
          <t>Identifico y uso adecuadamente el lenguaje propio de las ciencias.</t>
        </is>
      </c>
      <c r="I361" s="11" t="inlineStr">
        <is>
          <t>T8_27</t>
        </is>
      </c>
      <c r="J361" s="11" t="inlineStr">
        <is>
          <t>FUERA</t>
        </is>
      </c>
      <c r="K361" s="11" t="inlineStr"/>
      <c r="L361" s="11" t="inlineStr">
        <is>
          <t>media</t>
        </is>
      </c>
      <c r="M361" s="11">
        <f>IF(J361="FUERA","Fuera del marco",IFERROR(INDEX('Datos - Catálogo TIMSS'!$C$5:$C$107,MATCH(J361,'Datos - Catálogo TIMSS'!$A$5:$A$107,0)),"?"))</f>
        <v/>
      </c>
      <c r="N361" s="11" t="inlineStr">
        <is>
          <t>Lenguaje científico; competencia comunicativa general</t>
        </is>
      </c>
    </row>
    <row r="362">
      <c r="A362" s="11" t="inlineStr">
        <is>
          <t>CO-EBC-G8_9-CIEN-20</t>
        </is>
      </c>
      <c r="B362" s="11" t="inlineStr">
        <is>
          <t>Colombia</t>
        </is>
      </c>
      <c r="C362" s="11" t="inlineStr">
        <is>
          <t>CO_Estandares_Ciencias.pdf</t>
        </is>
      </c>
      <c r="D362" s="11" t="n">
        <v>43</v>
      </c>
      <c r="E362" s="11" t="inlineStr">
        <is>
          <t>8.°–9.°</t>
        </is>
      </c>
      <c r="F362" s="11" t="n">
        <v>8</v>
      </c>
      <c r="G362" s="11" t="inlineStr">
        <is>
          <t>…me aproximo al conocimiento como científico(a) natural</t>
        </is>
      </c>
      <c r="H362" s="38" t="inlineStr">
        <is>
          <t>Comunico el proceso de indagación y los resultados, utilizando gráficas, tablas, ecuaciones aritméticas y algebraicas.</t>
        </is>
      </c>
      <c r="I362" s="11" t="inlineStr">
        <is>
          <t>T8_27</t>
        </is>
      </c>
      <c r="J362" s="11" t="inlineStr">
        <is>
          <t>FUERA</t>
        </is>
      </c>
      <c r="K362" s="11" t="inlineStr"/>
      <c r="L362" s="11" t="inlineStr">
        <is>
          <t>media</t>
        </is>
      </c>
      <c r="M362" s="11">
        <f>IF(J362="FUERA","Fuera del marco",IFERROR(INDEX('Datos - Catálogo TIMSS'!$C$5:$C$107,MATCH(J362,'Datos - Catálogo TIMSS'!$A$5:$A$107,0)),"?"))</f>
        <v/>
      </c>
      <c r="N362" s="11" t="inlineStr">
        <is>
          <t>Comunicación de resultados; competencia comunicativa</t>
        </is>
      </c>
    </row>
    <row r="363">
      <c r="A363" s="11" t="inlineStr">
        <is>
          <t>CO-EBC-G8_9-CIEN-21</t>
        </is>
      </c>
      <c r="B363" s="11" t="inlineStr">
        <is>
          <t>Colombia</t>
        </is>
      </c>
      <c r="C363" s="11" t="inlineStr">
        <is>
          <t>CO_Estandares_Ciencias.pdf</t>
        </is>
      </c>
      <c r="D363" s="11" t="n">
        <v>43</v>
      </c>
      <c r="E363" s="11" t="inlineStr">
        <is>
          <t>8.°–9.°</t>
        </is>
      </c>
      <c r="F363" s="11" t="n">
        <v>8</v>
      </c>
      <c r="G363" s="11" t="inlineStr">
        <is>
          <t>…me aproximo al conocimiento como científico(a) natural</t>
        </is>
      </c>
      <c r="H363" s="38" t="inlineStr">
        <is>
          <t>Relaciono mis conclusiones con las presentadas por otros autores y formulo nuevas preguntas.</t>
        </is>
      </c>
      <c r="I363" s="11" t="inlineStr">
        <is>
          <t>T8_27</t>
        </is>
      </c>
      <c r="J363" s="11" t="inlineStr">
        <is>
          <t>T8_27-P6.1</t>
        </is>
      </c>
      <c r="K363" s="11" t="inlineStr"/>
      <c r="L363" s="11" t="inlineStr">
        <is>
          <t>baja</t>
        </is>
      </c>
      <c r="M363" s="11">
        <f>IF(J363="FUERA","Fuera del marco",IFERROR(INDEX('Datos - Catálogo TIMSS'!$C$5:$C$107,MATCH(J363,'Datos - Catálogo TIMSS'!$A$5:$A$107,0)),"?"))</f>
        <v/>
      </c>
      <c r="N363" s="11" t="inlineStr">
        <is>
          <t>Relacionar conclusiones y formular nuevas preguntas</t>
        </is>
      </c>
    </row>
    <row r="364">
      <c r="A364" s="11" t="inlineStr">
        <is>
          <t>CO-EBC-G8_9-CTS-01</t>
        </is>
      </c>
      <c r="B364" s="11" t="inlineStr">
        <is>
          <t>Colombia</t>
        </is>
      </c>
      <c r="C364" s="11" t="inlineStr">
        <is>
          <t>CO_Estandares_Ciencias.pdf</t>
        </is>
      </c>
      <c r="D364" s="11" t="n">
        <v>44</v>
      </c>
      <c r="E364" s="11" t="inlineStr">
        <is>
          <t>8.°–9.°</t>
        </is>
      </c>
      <c r="F364" s="11" t="n">
        <v>8</v>
      </c>
      <c r="G364" s="11" t="inlineStr">
        <is>
          <t>Ciencia, tecnología y sociedad</t>
        </is>
      </c>
      <c r="H364" s="38" t="inlineStr">
        <is>
          <t>Identifico la utilidad del ADN como herramienta de análisis genético.</t>
        </is>
      </c>
      <c r="I364" s="11" t="inlineStr">
        <is>
          <t>T8_27</t>
        </is>
      </c>
      <c r="J364" s="11" t="inlineStr">
        <is>
          <t>T8_27-B3.1</t>
        </is>
      </c>
      <c r="K364" s="11" t="inlineStr"/>
      <c r="L364" s="11" t="inlineStr">
        <is>
          <t>baja</t>
        </is>
      </c>
      <c r="M364" s="11">
        <f>IF(J364="FUERA","Fuera del marco",IFERROR(INDEX('Datos - Catálogo TIMSS'!$C$5:$C$107,MATCH(J364,'Datos - Catálogo TIMSS'!$A$5:$A$107,0)),"?"))</f>
        <v/>
      </c>
      <c r="N364" s="11" t="inlineStr">
        <is>
          <t>ADN como material genético, aplicado a análisis</t>
        </is>
      </c>
    </row>
    <row r="365">
      <c r="A365" s="11" t="inlineStr">
        <is>
          <t>CO-EBC-G8_9-CTS-02</t>
        </is>
      </c>
      <c r="B365" s="11" t="inlineStr">
        <is>
          <t>Colombia</t>
        </is>
      </c>
      <c r="C365" s="11" t="inlineStr">
        <is>
          <t>CO_Estandares_Ciencias.pdf</t>
        </is>
      </c>
      <c r="D365" s="11" t="n">
        <v>44</v>
      </c>
      <c r="E365" s="11" t="inlineStr">
        <is>
          <t>8.°–9.°</t>
        </is>
      </c>
      <c r="F365" s="11" t="n">
        <v>8</v>
      </c>
      <c r="G365" s="11" t="inlineStr">
        <is>
          <t>Ciencia, tecnología y sociedad</t>
        </is>
      </c>
      <c r="H365" s="38" t="inlineStr">
        <is>
          <t>Argumento las ventajas y desventajas de la manipulación genética.</t>
        </is>
      </c>
      <c r="I365" s="11" t="inlineStr">
        <is>
          <t>T8_27</t>
        </is>
      </c>
      <c r="J365" s="11" t="inlineStr">
        <is>
          <t>T8_27-B3.1</t>
        </is>
      </c>
      <c r="K365" s="11" t="inlineStr"/>
      <c r="L365" s="11" t="inlineStr">
        <is>
          <t>baja</t>
        </is>
      </c>
      <c r="M365" s="11">
        <f>IF(J365="FUERA","Fuera del marco",IFERROR(INDEX('Datos - Catálogo TIMSS'!$C$5:$C$107,MATCH(J365,'Datos - Catálogo TIMSS'!$A$5:$A$107,0)),"?"))</f>
        <v/>
      </c>
      <c r="N365" s="11" t="inlineStr">
        <is>
          <t>Manipulación genética; base en herencia por ADN</t>
        </is>
      </c>
    </row>
    <row r="366">
      <c r="A366" s="11" t="inlineStr">
        <is>
          <t>CO-EBC-G8_9-CTS-03</t>
        </is>
      </c>
      <c r="B366" s="11" t="inlineStr">
        <is>
          <t>Colombia</t>
        </is>
      </c>
      <c r="C366" s="11" t="inlineStr">
        <is>
          <t>CO_Estandares_Ciencias.pdf</t>
        </is>
      </c>
      <c r="D366" s="11" t="n">
        <v>44</v>
      </c>
      <c r="E366" s="11" t="inlineStr">
        <is>
          <t>8.°–9.°</t>
        </is>
      </c>
      <c r="F366" s="11" t="n">
        <v>8</v>
      </c>
      <c r="G366" s="11" t="inlineStr">
        <is>
          <t>Ciencia, tecnología y sociedad</t>
        </is>
      </c>
      <c r="H366" s="38" t="inlineStr">
        <is>
          <t>Establezco la importancia de mantener la biodiversidad para estimular el desarrollo del país.</t>
        </is>
      </c>
      <c r="I366" s="11" t="inlineStr">
        <is>
          <t>T8_27</t>
        </is>
      </c>
      <c r="J366" s="11" t="inlineStr">
        <is>
          <t>T8_27-B5.6</t>
        </is>
      </c>
      <c r="K366" s="11" t="inlineStr">
        <is>
          <t>T8_27-E3.2</t>
        </is>
      </c>
      <c r="L366" s="11" t="inlineStr">
        <is>
          <t>baja</t>
        </is>
      </c>
      <c r="M366" s="11">
        <f>IF(J366="FUERA","Fuera del marco",IFERROR(INDEX('Datos - Catálogo TIMSS'!$C$5:$C$107,MATCH(J366,'Datos - Catálogo TIMSS'!$A$5:$A$107,0)),"?"))</f>
        <v/>
      </c>
      <c r="N366" s="11" t="inlineStr">
        <is>
          <t>Conservar biodiversidad frente a la acción humana</t>
        </is>
      </c>
    </row>
    <row r="367">
      <c r="A367" s="11" t="inlineStr">
        <is>
          <t>CO-EBC-G8_9-CTS-04</t>
        </is>
      </c>
      <c r="B367" s="11" t="inlineStr">
        <is>
          <t>Colombia</t>
        </is>
      </c>
      <c r="C367" s="11" t="inlineStr">
        <is>
          <t>CO_Estandares_Ciencias.pdf</t>
        </is>
      </c>
      <c r="D367" s="11" t="n">
        <v>44</v>
      </c>
      <c r="E367" s="11" t="inlineStr">
        <is>
          <t>8.°–9.°</t>
        </is>
      </c>
      <c r="F367" s="11" t="n">
        <v>8</v>
      </c>
      <c r="G367" s="11" t="inlineStr">
        <is>
          <t>Ciencia, tecnología y sociedad</t>
        </is>
      </c>
      <c r="H367" s="38" t="inlineStr">
        <is>
          <t>Indago sobre aplicaciones de la microbiología en la industria.</t>
        </is>
      </c>
      <c r="I367" s="11" t="inlineStr">
        <is>
          <t>T8_27</t>
        </is>
      </c>
      <c r="J367" s="11" t="inlineStr">
        <is>
          <t>FUERA</t>
        </is>
      </c>
      <c r="K367" s="11" t="inlineStr"/>
      <c r="L367" s="11" t="inlineStr">
        <is>
          <t>baja</t>
        </is>
      </c>
      <c r="M367" s="11">
        <f>IF(J367="FUERA","Fuera del marco",IFERROR(INDEX('Datos - Catálogo TIMSS'!$C$5:$C$107,MATCH(J367,'Datos - Catálogo TIMSS'!$A$5:$A$107,0)),"?"))</f>
        <v/>
      </c>
      <c r="N367" s="11" t="inlineStr">
        <is>
          <t>Microbiología industrial no está en catálogo</t>
        </is>
      </c>
    </row>
    <row r="368">
      <c r="A368" s="11" t="inlineStr">
        <is>
          <t>CO-EBC-G8_9-CTS-05</t>
        </is>
      </c>
      <c r="B368" s="11" t="inlineStr">
        <is>
          <t>Colombia</t>
        </is>
      </c>
      <c r="C368" s="11" t="inlineStr">
        <is>
          <t>CO_Estandares_Ciencias.pdf</t>
        </is>
      </c>
      <c r="D368" s="11" t="n">
        <v>44</v>
      </c>
      <c r="E368" s="11" t="inlineStr">
        <is>
          <t>8.°–9.°</t>
        </is>
      </c>
      <c r="F368" s="11" t="n">
        <v>8</v>
      </c>
      <c r="G368" s="11" t="inlineStr">
        <is>
          <t>Ciencia, tecnología y sociedad</t>
        </is>
      </c>
      <c r="H368" s="38" t="inlineStr">
        <is>
          <t>Comparo información química de las etiquetas de productos manufacturados por diferentes casas comerciales.</t>
        </is>
      </c>
      <c r="I368" s="11" t="inlineStr">
        <is>
          <t>T8_27</t>
        </is>
      </c>
      <c r="J368" s="11" t="inlineStr">
        <is>
          <t>T8_27-C2.1</t>
        </is>
      </c>
      <c r="K368" s="11" t="inlineStr"/>
      <c r="L368" s="11" t="inlineStr">
        <is>
          <t>baja</t>
        </is>
      </c>
      <c r="M368" s="11">
        <f>IF(J368="FUERA","Fuera del marco",IFERROR(INDEX('Datos - Catálogo TIMSS'!$C$5:$C$107,MATCH(J368,'Datos - Catálogo TIMSS'!$A$5:$A$107,0)),"?"))</f>
        <v/>
      </c>
      <c r="N368" s="11" t="inlineStr">
        <is>
          <t>Composición y propiedades de productos según etiquetas</t>
        </is>
      </c>
    </row>
    <row r="369">
      <c r="A369" s="11" t="inlineStr">
        <is>
          <t>CO-EBC-G8_9-CTS-06</t>
        </is>
      </c>
      <c r="B369" s="11" t="inlineStr">
        <is>
          <t>Colombia</t>
        </is>
      </c>
      <c r="C369" s="11" t="inlineStr">
        <is>
          <t>CO_Estandares_Ciencias.pdf</t>
        </is>
      </c>
      <c r="D369" s="11" t="n">
        <v>44</v>
      </c>
      <c r="E369" s="11" t="inlineStr">
        <is>
          <t>8.°–9.°</t>
        </is>
      </c>
      <c r="F369" s="11" t="n">
        <v>8</v>
      </c>
      <c r="G369" s="11" t="inlineStr">
        <is>
          <t>Ciencia, tecnología y sociedad</t>
        </is>
      </c>
      <c r="H369" s="38" t="inlineStr">
        <is>
          <t>Identifico productos que pueden tener diferentes niveles de pH y explico algunos de sus usos en actividades cotidianas.</t>
        </is>
      </c>
      <c r="I369" s="11" t="inlineStr">
        <is>
          <t>T8_27</t>
        </is>
      </c>
      <c r="J369" s="11" t="inlineStr">
        <is>
          <t>T8_27-C2.3</t>
        </is>
      </c>
      <c r="K369" s="11" t="inlineStr"/>
      <c r="L369" s="11" t="inlineStr">
        <is>
          <t>alta</t>
        </is>
      </c>
      <c r="M369" s="11">
        <f>IF(J369="FUERA","Fuera del marco",IFERROR(INDEX('Datos - Catálogo TIMSS'!$C$5:$C$107,MATCH(J369,'Datos - Catálogo TIMSS'!$A$5:$A$107,0)),"?"))</f>
        <v/>
      </c>
      <c r="N369" s="11" t="inlineStr">
        <is>
          <t>pH de productos cotidianos y sus usos</t>
        </is>
      </c>
    </row>
    <row r="370">
      <c r="A370" s="11" t="inlineStr">
        <is>
          <t>CO-EBC-G8_9-CTS-07</t>
        </is>
      </c>
      <c r="B370" s="11" t="inlineStr">
        <is>
          <t>Colombia</t>
        </is>
      </c>
      <c r="C370" s="11" t="inlineStr">
        <is>
          <t>CO_Estandares_Ciencias.pdf</t>
        </is>
      </c>
      <c r="D370" s="11" t="n">
        <v>44</v>
      </c>
      <c r="E370" s="11" t="inlineStr">
        <is>
          <t>8.°–9.°</t>
        </is>
      </c>
      <c r="F370" s="11" t="n">
        <v>8</v>
      </c>
      <c r="G370" s="11" t="inlineStr">
        <is>
          <t>Ciencia, tecnología y sociedad</t>
        </is>
      </c>
      <c r="H370" s="38" t="inlineStr">
        <is>
          <t>Explico la relación entre ciclos termodinámicos y el funcionamiento de motores.</t>
        </is>
      </c>
      <c r="I370" s="11" t="inlineStr">
        <is>
          <t>T8_27</t>
        </is>
      </c>
      <c r="J370" s="11" t="inlineStr">
        <is>
          <t>T8_27-P2.1</t>
        </is>
      </c>
      <c r="K370" s="11" t="inlineStr">
        <is>
          <t>T8_27-P2.2</t>
        </is>
      </c>
      <c r="L370" s="11" t="inlineStr">
        <is>
          <t>media</t>
        </is>
      </c>
      <c r="M370" s="11">
        <f>IF(J370="FUERA","Fuera del marco",IFERROR(INDEX('Datos - Catálogo TIMSS'!$C$5:$C$107,MATCH(J370,'Datos - Catálogo TIMSS'!$A$5:$A$107,0)),"?"))</f>
        <v/>
      </c>
      <c r="N370" s="11" t="inlineStr">
        <is>
          <t>Transformaciones de energía en motores</t>
        </is>
      </c>
    </row>
    <row r="371">
      <c r="A371" s="11" t="inlineStr">
        <is>
          <t>CO-EBC-G8_9-CTS-08</t>
        </is>
      </c>
      <c r="B371" s="11" t="inlineStr">
        <is>
          <t>Colombia</t>
        </is>
      </c>
      <c r="C371" s="11" t="inlineStr">
        <is>
          <t>CO_Estandares_Ciencias.pdf</t>
        </is>
      </c>
      <c r="D371" s="11" t="n">
        <v>44</v>
      </c>
      <c r="E371" s="11" t="inlineStr">
        <is>
          <t>8.°–9.°</t>
        </is>
      </c>
      <c r="F371" s="11" t="n">
        <v>8</v>
      </c>
      <c r="G371" s="11" t="inlineStr">
        <is>
          <t>Ciencia, tecnología y sociedad</t>
        </is>
      </c>
      <c r="H371" s="38" t="inlineStr">
        <is>
          <t>Explico las aplicaciones de las ondas estacionarias en el desarrollo de instrumentos musicales.</t>
        </is>
      </c>
      <c r="I371" s="11" t="inlineStr">
        <is>
          <t>T8_27</t>
        </is>
      </c>
      <c r="J371" s="11" t="inlineStr">
        <is>
          <t>T8_27-P3.2</t>
        </is>
      </c>
      <c r="K371" s="11" t="inlineStr"/>
      <c r="L371" s="11" t="inlineStr">
        <is>
          <t>media</t>
        </is>
      </c>
      <c r="M371" s="11">
        <f>IF(J371="FUERA","Fuera del marco",IFERROR(INDEX('Datos - Catálogo TIMSS'!$C$5:$C$107,MATCH(J371,'Datos - Catálogo TIMSS'!$A$5:$A$107,0)),"?"))</f>
        <v/>
      </c>
      <c r="N371" s="11" t="inlineStr">
        <is>
          <t>Ondas sonoras aplicadas a instrumentos musicales</t>
        </is>
      </c>
    </row>
    <row r="372">
      <c r="A372" s="11" t="inlineStr">
        <is>
          <t>CO-EBC-G8_9-CTS-09</t>
        </is>
      </c>
      <c r="B372" s="11" t="inlineStr">
        <is>
          <t>Colombia</t>
        </is>
      </c>
      <c r="C372" s="11" t="inlineStr">
        <is>
          <t>CO_Estandares_Ciencias.pdf</t>
        </is>
      </c>
      <c r="D372" s="11" t="n">
        <v>44</v>
      </c>
      <c r="E372" s="11" t="inlineStr">
        <is>
          <t>8.°–9.°</t>
        </is>
      </c>
      <c r="F372" s="11" t="n">
        <v>8</v>
      </c>
      <c r="G372" s="11" t="inlineStr">
        <is>
          <t>Ciencia, tecnología y sociedad</t>
        </is>
      </c>
      <c r="H372" s="38" t="inlineStr">
        <is>
          <t>Identifico aplicaciones de los diferentes modelos de la luz.</t>
        </is>
      </c>
      <c r="I372" s="11" t="inlineStr">
        <is>
          <t>T8_27</t>
        </is>
      </c>
      <c r="J372" s="11" t="inlineStr">
        <is>
          <t>T8_27-P3.1</t>
        </is>
      </c>
      <c r="K372" s="11" t="inlineStr"/>
      <c r="L372" s="11" t="inlineStr">
        <is>
          <t>media</t>
        </is>
      </c>
      <c r="M372" s="11">
        <f>IF(J372="FUERA","Fuera del marco",IFERROR(INDEX('Datos - Catálogo TIMSS'!$C$5:$C$107,MATCH(J372,'Datos - Catálogo TIMSS'!$A$5:$A$107,0)),"?"))</f>
        <v/>
      </c>
      <c r="N372" s="11" t="inlineStr">
        <is>
          <t>Aplicaciones de propiedades de la luz</t>
        </is>
      </c>
    </row>
    <row r="373">
      <c r="A373" s="11" t="inlineStr">
        <is>
          <t>CO-EBC-G8_9-CTS-10</t>
        </is>
      </c>
      <c r="B373" s="11" t="inlineStr">
        <is>
          <t>Colombia</t>
        </is>
      </c>
      <c r="C373" s="11" t="inlineStr">
        <is>
          <t>CO_Estandares_Ciencias.pdf</t>
        </is>
      </c>
      <c r="D373" s="11" t="n">
        <v>44</v>
      </c>
      <c r="E373" s="11" t="inlineStr">
        <is>
          <t>8.°–9.°</t>
        </is>
      </c>
      <c r="F373" s="11" t="n">
        <v>8</v>
      </c>
      <c r="G373" s="11" t="inlineStr">
        <is>
          <t>Ciencia, tecnología y sociedad</t>
        </is>
      </c>
      <c r="H373" s="38" t="inlineStr">
        <is>
          <t>Describo factores culturales y tecnológicos que inciden en la sexualidad y reproducción humanas.</t>
        </is>
      </c>
      <c r="I373" s="11" t="inlineStr">
        <is>
          <t>T8_27</t>
        </is>
      </c>
      <c r="J373" s="11" t="inlineStr">
        <is>
          <t>FUERA</t>
        </is>
      </c>
      <c r="K373" s="11" t="inlineStr"/>
      <c r="L373" s="11" t="inlineStr">
        <is>
          <t>alta</t>
        </is>
      </c>
      <c r="M373" s="11">
        <f>IF(J373="FUERA","Fuera del marco",IFERROR(INDEX('Datos - Catálogo TIMSS'!$C$5:$C$107,MATCH(J373,'Datos - Catálogo TIMSS'!$A$5:$A$107,0)),"?"))</f>
        <v/>
      </c>
      <c r="N373" s="11" t="inlineStr">
        <is>
          <t>Factores culturales de la sexualidad, sin contenido científico</t>
        </is>
      </c>
    </row>
    <row r="374">
      <c r="A374" s="11" t="inlineStr">
        <is>
          <t>CO-EBC-G8_9-CTS-11</t>
        </is>
      </c>
      <c r="B374" s="11" t="inlineStr">
        <is>
          <t>Colombia</t>
        </is>
      </c>
      <c r="C374" s="11" t="inlineStr">
        <is>
          <t>CO_Estandares_Ciencias.pdf</t>
        </is>
      </c>
      <c r="D374" s="11" t="n">
        <v>44</v>
      </c>
      <c r="E374" s="11" t="inlineStr">
        <is>
          <t>8.°–9.°</t>
        </is>
      </c>
      <c r="F374" s="11" t="n">
        <v>8</v>
      </c>
      <c r="G374" s="11" t="inlineStr">
        <is>
          <t>Ciencia, tecnología y sociedad</t>
        </is>
      </c>
      <c r="H374" s="38" t="inlineStr">
        <is>
          <t>Identifico y explico medidas de prevención del embarazo y de las enfermedades de transmisión sexual.</t>
        </is>
      </c>
      <c r="I374" s="11" t="inlineStr">
        <is>
          <t>T8_27</t>
        </is>
      </c>
      <c r="J374" s="11" t="inlineStr">
        <is>
          <t>T8_27-B6.1</t>
        </is>
      </c>
      <c r="K374" s="11" t="inlineStr">
        <is>
          <t>T8_27-B3.1</t>
        </is>
      </c>
      <c r="L374" s="11" t="inlineStr">
        <is>
          <t>media</t>
        </is>
      </c>
      <c r="M374" s="11">
        <f>IF(J374="FUERA","Fuera del marco",IFERROR(INDEX('Datos - Catálogo TIMSS'!$C$5:$C$107,MATCH(J374,'Datos - Catálogo TIMSS'!$A$5:$A$107,0)),"?"))</f>
        <v/>
      </c>
      <c r="N374" s="11" t="inlineStr">
        <is>
          <t>Prevención de enfermedades de transmisión sexual y embarazo</t>
        </is>
      </c>
    </row>
    <row r="375">
      <c r="A375" s="11" t="inlineStr">
        <is>
          <t>CO-EBC-G8_9-CTS-12</t>
        </is>
      </c>
      <c r="B375" s="11" t="inlineStr">
        <is>
          <t>Colombia</t>
        </is>
      </c>
      <c r="C375" s="11" t="inlineStr">
        <is>
          <t>CO_Estandares_Ciencias.pdf</t>
        </is>
      </c>
      <c r="D375" s="11" t="n">
        <v>44</v>
      </c>
      <c r="E375" s="11" t="inlineStr">
        <is>
          <t>8.°–9.°</t>
        </is>
      </c>
      <c r="F375" s="11" t="n">
        <v>8</v>
      </c>
      <c r="G375" s="11" t="inlineStr">
        <is>
          <t>Ciencia, tecnología y sociedad</t>
        </is>
      </c>
      <c r="H375" s="38" t="inlineStr">
        <is>
          <t>Reconozco los efectos nocivos del exceso en el consumo de cafeína, tabaco, drogas y licores.</t>
        </is>
      </c>
      <c r="I375" s="11" t="inlineStr">
        <is>
          <t>T8_27</t>
        </is>
      </c>
      <c r="J375" s="11" t="inlineStr">
        <is>
          <t>T8_27-B6.2</t>
        </is>
      </c>
      <c r="K375" s="11" t="inlineStr"/>
      <c r="L375" s="11" t="inlineStr">
        <is>
          <t>media</t>
        </is>
      </c>
      <c r="M375" s="11">
        <f>IF(J375="FUERA","Fuera del marco",IFERROR(INDEX('Datos - Catálogo TIMSS'!$C$5:$C$107,MATCH(J375,'Datos - Catálogo TIMSS'!$A$5:$A$107,0)),"?"))</f>
        <v/>
      </c>
      <c r="N375" s="11" t="inlineStr">
        <is>
          <t>Estilo de vida: efectos nocivos de sustancias</t>
        </is>
      </c>
    </row>
    <row r="376">
      <c r="A376" s="11" t="inlineStr">
        <is>
          <t>CO-EBC-G8_9-CTS-13</t>
        </is>
      </c>
      <c r="B376" s="11" t="inlineStr">
        <is>
          <t>Colombia</t>
        </is>
      </c>
      <c r="C376" s="11" t="inlineStr">
        <is>
          <t>CO_Estandares_Ciencias.pdf</t>
        </is>
      </c>
      <c r="D376" s="11" t="n">
        <v>44</v>
      </c>
      <c r="E376" s="11" t="inlineStr">
        <is>
          <t>8.°–9.°</t>
        </is>
      </c>
      <c r="F376" s="11" t="n">
        <v>8</v>
      </c>
      <c r="G376" s="11" t="inlineStr">
        <is>
          <t>Ciencia, tecnología y sociedad</t>
        </is>
      </c>
      <c r="H376" s="38" t="inlineStr">
        <is>
          <t>Establezco relaciones entre el deporte y la salud física y mental.</t>
        </is>
      </c>
      <c r="I376" s="11" t="inlineStr">
        <is>
          <t>T8_27</t>
        </is>
      </c>
      <c r="J376" s="11" t="inlineStr">
        <is>
          <t>T8_27-B6.2</t>
        </is>
      </c>
      <c r="K376" s="11" t="inlineStr"/>
      <c r="L376" s="11" t="inlineStr">
        <is>
          <t>alta</t>
        </is>
      </c>
      <c r="M376" s="11">
        <f>IF(J376="FUERA","Fuera del marco",IFERROR(INDEX('Datos - Catálogo TIMSS'!$C$5:$C$107,MATCH(J376,'Datos - Catálogo TIMSS'!$A$5:$A$107,0)),"?"))</f>
        <v/>
      </c>
      <c r="N376" s="11" t="inlineStr">
        <is>
          <t>Ejercicio y estilo de vida para la salud</t>
        </is>
      </c>
    </row>
    <row r="377">
      <c r="A377" s="11" t="inlineStr">
        <is>
          <t>CO-EBC-G8_9-CTS-14</t>
        </is>
      </c>
      <c r="B377" s="11" t="inlineStr">
        <is>
          <t>Colombia</t>
        </is>
      </c>
      <c r="C377" s="11" t="inlineStr">
        <is>
          <t>CO_Estandares_Ciencias.pdf</t>
        </is>
      </c>
      <c r="D377" s="11" t="n">
        <v>44</v>
      </c>
      <c r="E377" s="11" t="inlineStr">
        <is>
          <t>8.°–9.°</t>
        </is>
      </c>
      <c r="F377" s="11" t="n">
        <v>8</v>
      </c>
      <c r="G377" s="11" t="inlineStr">
        <is>
          <t>Ciencia, tecnología y sociedad</t>
        </is>
      </c>
      <c r="H377" s="38" t="inlineStr">
        <is>
          <t>Indago sobre avances tecnológicos en comunicaciones y explico sus implicaciones para la sociedad.</t>
        </is>
      </c>
      <c r="I377" s="11" t="inlineStr">
        <is>
          <t>T8_27</t>
        </is>
      </c>
      <c r="J377" s="11" t="inlineStr">
        <is>
          <t>FUERA</t>
        </is>
      </c>
      <c r="K377" s="11" t="inlineStr"/>
      <c r="L377" s="11" t="inlineStr">
        <is>
          <t>alta</t>
        </is>
      </c>
      <c r="M377" s="11">
        <f>IF(J377="FUERA","Fuera del marco",IFERROR(INDEX('Datos - Catálogo TIMSS'!$C$5:$C$107,MATCH(J377,'Datos - Catálogo TIMSS'!$A$5:$A$107,0)),"?"))</f>
        <v/>
      </c>
      <c r="N377" s="11" t="inlineStr">
        <is>
          <t>Tecnologías de comunicación, sin contenido del catálogo</t>
        </is>
      </c>
    </row>
    <row r="378">
      <c r="A378" s="11" t="inlineStr">
        <is>
          <t>CO-EBC-G8_9-CTS-15</t>
        </is>
      </c>
      <c r="B378" s="11" t="inlineStr">
        <is>
          <t>Colombia</t>
        </is>
      </c>
      <c r="C378" s="11" t="inlineStr">
        <is>
          <t>CO_Estandares_Ciencias.pdf</t>
        </is>
      </c>
      <c r="D378" s="11" t="n">
        <v>44</v>
      </c>
      <c r="E378" s="11" t="inlineStr">
        <is>
          <t>8.°–9.°</t>
        </is>
      </c>
      <c r="F378" s="11" t="n">
        <v>8</v>
      </c>
      <c r="G378" s="11" t="inlineStr">
        <is>
          <t>Ciencia, tecnología y sociedad</t>
        </is>
      </c>
      <c r="H378" s="38" t="inlineStr">
        <is>
          <t>Describo procesos físicos y químicos de la contaminación atmosférica.</t>
        </is>
      </c>
      <c r="I378" s="11" t="inlineStr">
        <is>
          <t>T8_27</t>
        </is>
      </c>
      <c r="J378" s="11" t="inlineStr">
        <is>
          <t>T8_27-B5.6</t>
        </is>
      </c>
      <c r="K378" s="11" t="inlineStr">
        <is>
          <t>T8_27-E2.1</t>
        </is>
      </c>
      <c r="L378" s="11" t="inlineStr">
        <is>
          <t>media</t>
        </is>
      </c>
      <c r="M378" s="11">
        <f>IF(J378="FUERA","Fuera del marco",IFERROR(INDEX('Datos - Catálogo TIMSS'!$C$5:$C$107,MATCH(J378,'Datos - Catálogo TIMSS'!$A$5:$A$107,0)),"?"))</f>
        <v/>
      </c>
      <c r="N378" s="11" t="inlineStr">
        <is>
          <t>Contaminación del aire y composición atmosférica</t>
        </is>
      </c>
    </row>
    <row r="379">
      <c r="A379" s="11" t="inlineStr">
        <is>
          <t>CO-EBC-G8_9-FIS-01</t>
        </is>
      </c>
      <c r="B379" s="11" t="inlineStr">
        <is>
          <t>Colombia</t>
        </is>
      </c>
      <c r="C379" s="11" t="inlineStr">
        <is>
          <t>CO_Estandares_Ciencias.pdf</t>
        </is>
      </c>
      <c r="D379" s="11" t="n">
        <v>44</v>
      </c>
      <c r="E379" s="11" t="inlineStr">
        <is>
          <t>8.°–9.°</t>
        </is>
      </c>
      <c r="F379" s="11" t="n">
        <v>8</v>
      </c>
      <c r="G379" s="11" t="inlineStr">
        <is>
          <t>Entorno físico</t>
        </is>
      </c>
      <c r="H379" s="38" t="inlineStr">
        <is>
          <t>Comparo masa, peso, cantidad de sustancia y densidad de diferentes materiales.</t>
        </is>
      </c>
      <c r="I379" s="11" t="inlineStr">
        <is>
          <t>T8_27</t>
        </is>
      </c>
      <c r="J379" s="11" t="inlineStr">
        <is>
          <t>T8_27-C2.1</t>
        </is>
      </c>
      <c r="K379" s="11" t="inlineStr">
        <is>
          <t>T8_27-P5.2</t>
        </is>
      </c>
      <c r="L379" s="11" t="inlineStr">
        <is>
          <t>media</t>
        </is>
      </c>
      <c r="M379" s="11">
        <f>IF(J379="FUERA","Fuera del marco",IFERROR(INDEX('Datos - Catálogo TIMSS'!$C$5:$C$107,MATCH(J379,'Datos - Catálogo TIMSS'!$A$5:$A$107,0)),"?"))</f>
        <v/>
      </c>
      <c r="N379" s="11" t="inlineStr">
        <is>
          <t>Densidad como propiedad física; peso como fuerza</t>
        </is>
      </c>
    </row>
    <row r="380">
      <c r="A380" s="11" t="inlineStr">
        <is>
          <t>CO-EBC-G8_9-FIS-02</t>
        </is>
      </c>
      <c r="B380" s="11" t="inlineStr">
        <is>
          <t>Colombia</t>
        </is>
      </c>
      <c r="C380" s="11" t="inlineStr">
        <is>
          <t>CO_Estandares_Ciencias.pdf</t>
        </is>
      </c>
      <c r="D380" s="11" t="n">
        <v>44</v>
      </c>
      <c r="E380" s="11" t="inlineStr">
        <is>
          <t>8.°–9.°</t>
        </is>
      </c>
      <c r="F380" s="11" t="n">
        <v>8</v>
      </c>
      <c r="G380" s="11" t="inlineStr">
        <is>
          <t>Entorno físico</t>
        </is>
      </c>
      <c r="H380" s="38" t="inlineStr">
        <is>
          <t>Comparo sólidos, líquidos y gases teniendo en cuenta el movimiento de sus moléculas y las fuerzas electroestáticas.</t>
        </is>
      </c>
      <c r="I380" s="11" t="inlineStr">
        <is>
          <t>T8_27</t>
        </is>
      </c>
      <c r="J380" s="11" t="inlineStr">
        <is>
          <t>T8_27-P1.1</t>
        </is>
      </c>
      <c r="K380" s="11" t="inlineStr"/>
      <c r="L380" s="11" t="inlineStr">
        <is>
          <t>alta</t>
        </is>
      </c>
      <c r="M380" s="11">
        <f>IF(J380="FUERA","Fuera del marco",IFERROR(INDEX('Datos - Catálogo TIMSS'!$C$5:$C$107,MATCH(J380,'Datos - Catálogo TIMSS'!$A$5:$A$107,0)),"?"))</f>
        <v/>
      </c>
      <c r="N380" s="11" t="inlineStr">
        <is>
          <t>Estados de la materia según movimiento de partículas</t>
        </is>
      </c>
    </row>
    <row r="381">
      <c r="A381" s="11" t="inlineStr">
        <is>
          <t>CO-EBC-G8_9-FIS-03</t>
        </is>
      </c>
      <c r="B381" s="11" t="inlineStr">
        <is>
          <t>Colombia</t>
        </is>
      </c>
      <c r="C381" s="11" t="inlineStr">
        <is>
          <t>CO_Estandares_Ciencias.pdf</t>
        </is>
      </c>
      <c r="D381" s="11" t="n">
        <v>44</v>
      </c>
      <c r="E381" s="11" t="inlineStr">
        <is>
          <t>8.°–9.°</t>
        </is>
      </c>
      <c r="F381" s="11" t="n">
        <v>8</v>
      </c>
      <c r="G381" s="11" t="inlineStr">
        <is>
          <t>Entorno físico</t>
        </is>
      </c>
      <c r="H381" s="38" t="inlineStr">
        <is>
          <t>Verifico las diferencias entre cambios químicos y mezclas.</t>
        </is>
      </c>
      <c r="I381" s="11" t="inlineStr">
        <is>
          <t>T8_27</t>
        </is>
      </c>
      <c r="J381" s="11" t="inlineStr">
        <is>
          <t>T8_27-C3.1</t>
        </is>
      </c>
      <c r="K381" s="11" t="inlineStr">
        <is>
          <t>T8_27-C1.2</t>
        </is>
      </c>
      <c r="L381" s="11" t="inlineStr">
        <is>
          <t>alta</t>
        </is>
      </c>
      <c r="M381" s="11">
        <f>IF(J381="FUERA","Fuera del marco",IFERROR(INDEX('Datos - Catálogo TIMSS'!$C$5:$C$107,MATCH(J381,'Datos - Catálogo TIMSS'!$A$5:$A$107,0)),"?"))</f>
        <v/>
      </c>
      <c r="N381" s="11" t="inlineStr">
        <is>
          <t>Distinguir cambio químico de mezcla</t>
        </is>
      </c>
    </row>
    <row r="382">
      <c r="A382" s="11" t="inlineStr">
        <is>
          <t>CO-EBC-G8_9-FIS-04</t>
        </is>
      </c>
      <c r="B382" s="11" t="inlineStr">
        <is>
          <t>Colombia</t>
        </is>
      </c>
      <c r="C382" s="11" t="inlineStr">
        <is>
          <t>CO_Estandares_Ciencias.pdf</t>
        </is>
      </c>
      <c r="D382" s="11" t="n">
        <v>44</v>
      </c>
      <c r="E382" s="11" t="inlineStr">
        <is>
          <t>8.°–9.°</t>
        </is>
      </c>
      <c r="F382" s="11" t="n">
        <v>8</v>
      </c>
      <c r="G382" s="11" t="inlineStr">
        <is>
          <t>Entorno físico</t>
        </is>
      </c>
      <c r="H382" s="38" t="inlineStr">
        <is>
          <t>Establezco relaciones cuantitativas entre los componentes de una solución.</t>
        </is>
      </c>
      <c r="I382" s="11" t="inlineStr">
        <is>
          <t>T8_27</t>
        </is>
      </c>
      <c r="J382" s="11" t="inlineStr">
        <is>
          <t>T8_27-C2.2</t>
        </is>
      </c>
      <c r="K382" s="11" t="inlineStr"/>
      <c r="L382" s="11" t="inlineStr">
        <is>
          <t>alta</t>
        </is>
      </c>
      <c r="M382" s="11">
        <f>IF(J382="FUERA","Fuera del marco",IFERROR(INDEX('Datos - Catálogo TIMSS'!$C$5:$C$107,MATCH(J382,'Datos - Catálogo TIMSS'!$A$5:$A$107,0)),"?"))</f>
        <v/>
      </c>
      <c r="N382" s="11" t="inlineStr">
        <is>
          <t>Concentración: relación cuantitativa soluto-disolvente</t>
        </is>
      </c>
    </row>
    <row r="383">
      <c r="A383" s="11" t="inlineStr">
        <is>
          <t>CO-EBC-G8_9-FIS-05</t>
        </is>
      </c>
      <c r="B383" s="11" t="inlineStr">
        <is>
          <t>Colombia</t>
        </is>
      </c>
      <c r="C383" s="11" t="inlineStr">
        <is>
          <t>CO_Estandares_Ciencias.pdf</t>
        </is>
      </c>
      <c r="D383" s="11" t="n">
        <v>44</v>
      </c>
      <c r="E383" s="11" t="inlineStr">
        <is>
          <t>8.°–9.°</t>
        </is>
      </c>
      <c r="F383" s="11" t="n">
        <v>8</v>
      </c>
      <c r="G383" s="11" t="inlineStr">
        <is>
          <t>Entorno físico</t>
        </is>
      </c>
      <c r="H383" s="38" t="inlineStr">
        <is>
          <t>Comparo los modelos que sustentan la definición ácido-base.</t>
        </is>
      </c>
      <c r="I383" s="11" t="inlineStr">
        <is>
          <t>T8_27</t>
        </is>
      </c>
      <c r="J383" s="11" t="inlineStr">
        <is>
          <t>T8_27-C2.3</t>
        </is>
      </c>
      <c r="K383" s="11" t="inlineStr"/>
      <c r="L383" s="11" t="inlineStr">
        <is>
          <t>media</t>
        </is>
      </c>
      <c r="M383" s="11">
        <f>IF(J383="FUERA","Fuera del marco",IFERROR(INDEX('Datos - Catálogo TIMSS'!$C$5:$C$107,MATCH(J383,'Datos - Catálogo TIMSS'!$A$5:$A$107,0)),"?"))</f>
        <v/>
      </c>
      <c r="N383" s="11" t="inlineStr">
        <is>
          <t>Modelos ácido-base; TIMSS trata propiedades básicas</t>
        </is>
      </c>
    </row>
    <row r="384">
      <c r="A384" s="11" t="inlineStr">
        <is>
          <t>CO-EBC-G8_9-FIS-06</t>
        </is>
      </c>
      <c r="B384" s="11" t="inlineStr">
        <is>
          <t>Colombia</t>
        </is>
      </c>
      <c r="C384" s="11" t="inlineStr">
        <is>
          <t>CO_Estandares_Ciencias.pdf</t>
        </is>
      </c>
      <c r="D384" s="11" t="n">
        <v>44</v>
      </c>
      <c r="E384" s="11" t="inlineStr">
        <is>
          <t>8.°–9.°</t>
        </is>
      </c>
      <c r="F384" s="11" t="n">
        <v>8</v>
      </c>
      <c r="G384" s="11" t="inlineStr">
        <is>
          <t>Entorno físico</t>
        </is>
      </c>
      <c r="H384" s="38" t="inlineStr">
        <is>
          <t>Establezco relaciones entre las variables de estado en un sistema termodinámico para predecir cambios físicos y químicos y las expreso matemáticamente.</t>
        </is>
      </c>
      <c r="I384" s="11" t="inlineStr">
        <is>
          <t>T8_27</t>
        </is>
      </c>
      <c r="J384" s="11" t="inlineStr">
        <is>
          <t>T8_27-P1.1</t>
        </is>
      </c>
      <c r="K384" s="11" t="inlineStr">
        <is>
          <t>T8_27-P1.2</t>
        </is>
      </c>
      <c r="L384" s="11" t="inlineStr">
        <is>
          <t>media</t>
        </is>
      </c>
      <c r="M384" s="11">
        <f>IF(J384="FUERA","Fuera del marco",IFERROR(INDEX('Datos - Catálogo TIMSS'!$C$5:$C$107,MATCH(J384,'Datos - Catálogo TIMSS'!$A$5:$A$107,0)),"?"))</f>
        <v/>
      </c>
      <c r="N384" s="11" t="inlineStr">
        <is>
          <t>Variables de estado (presión, volumen, temperatura) y cambios</t>
        </is>
      </c>
    </row>
    <row r="385">
      <c r="A385" s="11" t="inlineStr">
        <is>
          <t>CO-EBC-G8_9-FIS-07</t>
        </is>
      </c>
      <c r="B385" s="11" t="inlineStr">
        <is>
          <t>Colombia</t>
        </is>
      </c>
      <c r="C385" s="11" t="inlineStr">
        <is>
          <t>CO_Estandares_Ciencias.pdf</t>
        </is>
      </c>
      <c r="D385" s="11" t="n">
        <v>44</v>
      </c>
      <c r="E385" s="11" t="inlineStr">
        <is>
          <t>8.°–9.°</t>
        </is>
      </c>
      <c r="F385" s="11" t="n">
        <v>8</v>
      </c>
      <c r="G385" s="11" t="inlineStr">
        <is>
          <t>Entorno físico</t>
        </is>
      </c>
      <c r="H385" s="38" t="inlineStr">
        <is>
          <t>Comparo los modelos que explican el comportamiento de gases ideales y reales.</t>
        </is>
      </c>
      <c r="I385" s="11" t="inlineStr">
        <is>
          <t>T8_27</t>
        </is>
      </c>
      <c r="J385" s="11" t="inlineStr">
        <is>
          <t>T8_27-P1.1</t>
        </is>
      </c>
      <c r="K385" s="11" t="inlineStr"/>
      <c r="L385" s="11" t="inlineStr">
        <is>
          <t>media</t>
        </is>
      </c>
      <c r="M385" s="11">
        <f>IF(J385="FUERA","Fuera del marco",IFERROR(INDEX('Datos - Catálogo TIMSS'!$C$5:$C$107,MATCH(J385,'Datos - Catálogo TIMSS'!$A$5:$A$107,0)),"?"))</f>
        <v/>
      </c>
      <c r="N385" s="11" t="inlineStr">
        <is>
          <t>Comportamiento de gases según modelo de partículas</t>
        </is>
      </c>
    </row>
    <row r="386">
      <c r="A386" s="11" t="inlineStr">
        <is>
          <t>CO-EBC-G8_9-FIS-08</t>
        </is>
      </c>
      <c r="B386" s="11" t="inlineStr">
        <is>
          <t>Colombia</t>
        </is>
      </c>
      <c r="C386" s="11" t="inlineStr">
        <is>
          <t>CO_Estandares_Ciencias.pdf</t>
        </is>
      </c>
      <c r="D386" s="11" t="n">
        <v>44</v>
      </c>
      <c r="E386" s="11" t="inlineStr">
        <is>
          <t>8.°–9.°</t>
        </is>
      </c>
      <c r="F386" s="11" t="n">
        <v>8</v>
      </c>
      <c r="G386" s="11" t="inlineStr">
        <is>
          <t>Entorno físico</t>
        </is>
      </c>
      <c r="H386" s="38" t="inlineStr">
        <is>
          <t>Establezco relaciones entre energía interna de un sistema termodinámico, trabajo y transferencia de energía térmica, y las expreso matemáticamente.</t>
        </is>
      </c>
      <c r="I386" s="11" t="inlineStr">
        <is>
          <t>T8_27</t>
        </is>
      </c>
      <c r="J386" s="11" t="inlineStr">
        <is>
          <t>T8_27-P2.2</t>
        </is>
      </c>
      <c r="K386" s="11" t="inlineStr">
        <is>
          <t>T8_27-P2.1</t>
        </is>
      </c>
      <c r="L386" s="11" t="inlineStr">
        <is>
          <t>media</t>
        </is>
      </c>
      <c r="M386" s="11">
        <f>IF(J386="FUERA","Fuera del marco",IFERROR(INDEX('Datos - Catálogo TIMSS'!$C$5:$C$107,MATCH(J386,'Datos - Catálogo TIMSS'!$A$5:$A$107,0)),"?"))</f>
        <v/>
      </c>
      <c r="N386" s="11" t="inlineStr">
        <is>
          <t>Transferencia de energía térmica y conservación de energía</t>
        </is>
      </c>
    </row>
    <row r="387">
      <c r="A387" s="11" t="inlineStr">
        <is>
          <t>CO-EBC-G8_9-FIS-09</t>
        </is>
      </c>
      <c r="B387" s="11" t="inlineStr">
        <is>
          <t>Colombia</t>
        </is>
      </c>
      <c r="C387" s="11" t="inlineStr">
        <is>
          <t>CO_Estandares_Ciencias.pdf</t>
        </is>
      </c>
      <c r="D387" s="11" t="n">
        <v>44</v>
      </c>
      <c r="E387" s="11" t="inlineStr">
        <is>
          <t>8.°–9.°</t>
        </is>
      </c>
      <c r="F387" s="11" t="n">
        <v>8</v>
      </c>
      <c r="G387" s="11" t="inlineStr">
        <is>
          <t>Entorno físico</t>
        </is>
      </c>
      <c r="H387" s="38" t="inlineStr">
        <is>
          <t>Relaciono las diversas formas de transferencia de energía térmica con la formación de vientos.</t>
        </is>
      </c>
      <c r="I387" s="11" t="inlineStr">
        <is>
          <t>T8_27</t>
        </is>
      </c>
      <c r="J387" s="11" t="inlineStr">
        <is>
          <t>T8_27-P2.2</t>
        </is>
      </c>
      <c r="K387" s="11" t="inlineStr">
        <is>
          <t>T8_27-E2.1</t>
        </is>
      </c>
      <c r="L387" s="11" t="inlineStr">
        <is>
          <t>media</t>
        </is>
      </c>
      <c r="M387" s="11">
        <f>IF(J387="FUERA","Fuera del marco",IFERROR(INDEX('Datos - Catálogo TIMSS'!$C$5:$C$107,MATCH(J387,'Datos - Catálogo TIMSS'!$A$5:$A$107,0)),"?"))</f>
        <v/>
      </c>
      <c r="N387" s="11" t="inlineStr">
        <is>
          <t>Transferencia térmica aplicada a la formación de vientos</t>
        </is>
      </c>
    </row>
    <row r="388">
      <c r="A388" s="11" t="inlineStr">
        <is>
          <t>CO-EBC-G8_9-FIS-10</t>
        </is>
      </c>
      <c r="B388" s="11" t="inlineStr">
        <is>
          <t>Colombia</t>
        </is>
      </c>
      <c r="C388" s="11" t="inlineStr">
        <is>
          <t>CO_Estandares_Ciencias.pdf</t>
        </is>
      </c>
      <c r="D388" s="11" t="n">
        <v>44</v>
      </c>
      <c r="E388" s="11" t="inlineStr">
        <is>
          <t>8.°–9.°</t>
        </is>
      </c>
      <c r="F388" s="11" t="n">
        <v>8</v>
      </c>
      <c r="G388" s="11" t="inlineStr">
        <is>
          <t>Entorno físico</t>
        </is>
      </c>
      <c r="H388" s="38" t="inlineStr">
        <is>
          <t>Establezco relaciones entre frecuencia, amplitud, velocidad de propagación y longitud de onda en diversos tipos de ondas mecánicas.</t>
        </is>
      </c>
      <c r="I388" s="11" t="inlineStr">
        <is>
          <t>T8_27</t>
        </is>
      </c>
      <c r="J388" s="11" t="inlineStr">
        <is>
          <t>T8_27-P3.2</t>
        </is>
      </c>
      <c r="K388" s="11" t="inlineStr"/>
      <c r="L388" s="11" t="inlineStr">
        <is>
          <t>alta</t>
        </is>
      </c>
      <c r="M388" s="11">
        <f>IF(J388="FUERA","Fuera del marco",IFERROR(INDEX('Datos - Catálogo TIMSS'!$C$5:$C$107,MATCH(J388,'Datos - Catálogo TIMSS'!$A$5:$A$107,0)),"?"))</f>
        <v/>
      </c>
      <c r="N388" s="11" t="inlineStr">
        <is>
          <t>Propiedades de ondas: frecuencia, amplitud, rapidez</t>
        </is>
      </c>
    </row>
    <row r="389">
      <c r="A389" s="11" t="inlineStr">
        <is>
          <t>CO-EBC-G8_9-FIS-11</t>
        </is>
      </c>
      <c r="B389" s="11" t="inlineStr">
        <is>
          <t>Colombia</t>
        </is>
      </c>
      <c r="C389" s="11" t="inlineStr">
        <is>
          <t>CO_Estandares_Ciencias.pdf</t>
        </is>
      </c>
      <c r="D389" s="11" t="n">
        <v>44</v>
      </c>
      <c r="E389" s="11" t="inlineStr">
        <is>
          <t>8.°–9.°</t>
        </is>
      </c>
      <c r="F389" s="11" t="n">
        <v>8</v>
      </c>
      <c r="G389" s="11" t="inlineStr">
        <is>
          <t>Entorno físico</t>
        </is>
      </c>
      <c r="H389" s="38" t="inlineStr">
        <is>
          <t>Explico el principio de conservación de la energía en ondas que cambian de medio de propagación.</t>
        </is>
      </c>
      <c r="I389" s="11" t="inlineStr">
        <is>
          <t>T8_27</t>
        </is>
      </c>
      <c r="J389" s="11" t="inlineStr">
        <is>
          <t>T8_27-P2.1</t>
        </is>
      </c>
      <c r="K389" s="11" t="inlineStr">
        <is>
          <t>T8_27-P3.2</t>
        </is>
      </c>
      <c r="L389" s="11" t="inlineStr">
        <is>
          <t>media</t>
        </is>
      </c>
      <c r="M389" s="11">
        <f>IF(J389="FUERA","Fuera del marco",IFERROR(INDEX('Datos - Catálogo TIMSS'!$C$5:$C$107,MATCH(J389,'Datos - Catálogo TIMSS'!$A$5:$A$107,0)),"?"))</f>
        <v/>
      </c>
      <c r="N389" s="11" t="inlineStr">
        <is>
          <t>Conservación de energía en ondas que cambian de medio</t>
        </is>
      </c>
    </row>
    <row r="390">
      <c r="A390" s="11" t="inlineStr">
        <is>
          <t>CO-EBC-G8_9-FIS-12</t>
        </is>
      </c>
      <c r="B390" s="11" t="inlineStr">
        <is>
          <t>Colombia</t>
        </is>
      </c>
      <c r="C390" s="11" t="inlineStr">
        <is>
          <t>CO_Estandares_Ciencias.pdf</t>
        </is>
      </c>
      <c r="D390" s="11" t="n">
        <v>44</v>
      </c>
      <c r="E390" s="11" t="inlineStr">
        <is>
          <t>8.°–9.°</t>
        </is>
      </c>
      <c r="F390" s="11" t="n">
        <v>8</v>
      </c>
      <c r="G390" s="11" t="inlineStr">
        <is>
          <t>Entorno físico</t>
        </is>
      </c>
      <c r="H390" s="38" t="inlineStr">
        <is>
          <t>Reconozco y diferencio modelos para explicar la naturaleza y el comportamiento de la luz.</t>
        </is>
      </c>
      <c r="I390" s="11" t="inlineStr">
        <is>
          <t>T8_27</t>
        </is>
      </c>
      <c r="J390" s="11" t="inlineStr">
        <is>
          <t>T8_27-P3.1</t>
        </is>
      </c>
      <c r="K390" s="11" t="inlineStr"/>
      <c r="L390" s="11" t="inlineStr">
        <is>
          <t>media</t>
        </is>
      </c>
      <c r="M390" s="11">
        <f>IF(J390="FUERA","Fuera del marco",IFERROR(INDEX('Datos - Catálogo TIMSS'!$C$5:$C$107,MATCH(J390,'Datos - Catálogo TIMSS'!$A$5:$A$107,0)),"?"))</f>
        <v/>
      </c>
      <c r="N390" s="11" t="inlineStr">
        <is>
          <t>Naturaleza y comportamiento de la luz</t>
        </is>
      </c>
    </row>
    <row r="391">
      <c r="A391" s="11" t="inlineStr">
        <is>
          <t>CO-EBC-G8_9-VIVO-01</t>
        </is>
      </c>
      <c r="B391" s="11" t="inlineStr">
        <is>
          <t>Colombia</t>
        </is>
      </c>
      <c r="C391" s="11" t="inlineStr">
        <is>
          <t>CO_Estandares_Ciencias.pdf</t>
        </is>
      </c>
      <c r="D391" s="11" t="n">
        <v>43</v>
      </c>
      <c r="E391" s="11" t="inlineStr">
        <is>
          <t>8.°–9.°</t>
        </is>
      </c>
      <c r="F391" s="11" t="n">
        <v>8</v>
      </c>
      <c r="G391" s="11" t="inlineStr">
        <is>
          <t>Entorno vivo</t>
        </is>
      </c>
      <c r="H391" s="38" t="inlineStr">
        <is>
          <t>Reconozco la importancia del modelo de la doble hélice para la explicación del almacenamiento y transmisión del material hereditario.</t>
        </is>
      </c>
      <c r="I391" s="11" t="inlineStr">
        <is>
          <t>T8_27</t>
        </is>
      </c>
      <c r="J391" s="11" t="inlineStr">
        <is>
          <t>T8_27-B3.1</t>
        </is>
      </c>
      <c r="K391" s="11" t="inlineStr"/>
      <c r="L391" s="11" t="inlineStr">
        <is>
          <t>alta</t>
        </is>
      </c>
      <c r="M391" s="11">
        <f>IF(J391="FUERA","Fuera del marco",IFERROR(INDEX('Datos - Catálogo TIMSS'!$C$5:$C$107,MATCH(J391,'Datos - Catálogo TIMSS'!$A$5:$A$107,0)),"?"))</f>
        <v/>
      </c>
      <c r="N391" s="11" t="inlineStr">
        <is>
          <t>ADN como portador del material hereditario</t>
        </is>
      </c>
    </row>
    <row r="392">
      <c r="A392" s="11" t="inlineStr">
        <is>
          <t>CO-EBC-G8_9-VIVO-02</t>
        </is>
      </c>
      <c r="B392" s="11" t="inlineStr">
        <is>
          <t>Colombia</t>
        </is>
      </c>
      <c r="C392" s="11" t="inlineStr">
        <is>
          <t>CO_Estandares_Ciencias.pdf</t>
        </is>
      </c>
      <c r="D392" s="11" t="n">
        <v>43</v>
      </c>
      <c r="E392" s="11" t="inlineStr">
        <is>
          <t>8.°–9.°</t>
        </is>
      </c>
      <c r="F392" s="11" t="n">
        <v>8</v>
      </c>
      <c r="G392" s="11" t="inlineStr">
        <is>
          <t>Entorno vivo</t>
        </is>
      </c>
      <c r="H392" s="38" t="inlineStr">
        <is>
          <t>Establezco relaciones entre los genes, las proteínas y las funciones celulares.</t>
        </is>
      </c>
      <c r="I392" s="11" t="inlineStr">
        <is>
          <t>T8_27</t>
        </is>
      </c>
      <c r="J392" s="11" t="inlineStr">
        <is>
          <t>T8_27-B3.1</t>
        </is>
      </c>
      <c r="K392" s="11" t="inlineStr">
        <is>
          <t>T8_27-B2.1</t>
        </is>
      </c>
      <c r="L392" s="11" t="inlineStr">
        <is>
          <t>media</t>
        </is>
      </c>
      <c r="M392" s="11">
        <f>IF(J392="FUERA","Fuera del marco",IFERROR(INDEX('Datos - Catálogo TIMSS'!$C$5:$C$107,MATCH(J392,'Datos - Catálogo TIMSS'!$A$5:$A$107,0)),"?"))</f>
        <v/>
      </c>
      <c r="N392" s="11" t="inlineStr">
        <is>
          <t>Genes, proteínas y funciones celulares</t>
        </is>
      </c>
    </row>
    <row r="393">
      <c r="A393" s="11" t="inlineStr">
        <is>
          <t>CO-EBC-G8_9-VIVO-03</t>
        </is>
      </c>
      <c r="B393" s="11" t="inlineStr">
        <is>
          <t>Colombia</t>
        </is>
      </c>
      <c r="C393" s="11" t="inlineStr">
        <is>
          <t>CO_Estandares_Ciencias.pdf</t>
        </is>
      </c>
      <c r="D393" s="11" t="n">
        <v>43</v>
      </c>
      <c r="E393" s="11" t="inlineStr">
        <is>
          <t>8.°–9.°</t>
        </is>
      </c>
      <c r="F393" s="11" t="n">
        <v>8</v>
      </c>
      <c r="G393" s="11" t="inlineStr">
        <is>
          <t>Entorno vivo</t>
        </is>
      </c>
      <c r="H393" s="38" t="inlineStr">
        <is>
          <t>Comparo diferentes sistemas de reproducción.</t>
        </is>
      </c>
      <c r="I393" s="11" t="inlineStr">
        <is>
          <t>T8_27</t>
        </is>
      </c>
      <c r="J393" s="11" t="inlineStr">
        <is>
          <t>T8_27-B3.1</t>
        </is>
      </c>
      <c r="K393" s="11" t="inlineStr"/>
      <c r="L393" s="11" t="inlineStr">
        <is>
          <t>media</t>
        </is>
      </c>
      <c r="M393" s="11">
        <f>IF(J393="FUERA","Fuera del marco",IFERROR(INDEX('Datos - Catálogo TIMSS'!$C$5:$C$107,MATCH(J393,'Datos - Catálogo TIMSS'!$A$5:$A$107,0)),"?"))</f>
        <v/>
      </c>
      <c r="N393" s="11" t="inlineStr">
        <is>
          <t>Comparación de sistemas de reproducción</t>
        </is>
      </c>
    </row>
    <row r="394">
      <c r="A394" s="11" t="inlineStr">
        <is>
          <t>CO-EBC-G8_9-VIVO-04</t>
        </is>
      </c>
      <c r="B394" s="11" t="inlineStr">
        <is>
          <t>Colombia</t>
        </is>
      </c>
      <c r="C394" s="11" t="inlineStr">
        <is>
          <t>CO_Estandares_Ciencias.pdf</t>
        </is>
      </c>
      <c r="D394" s="11" t="n">
        <v>43</v>
      </c>
      <c r="E394" s="11" t="inlineStr">
        <is>
          <t>8.°–9.°</t>
        </is>
      </c>
      <c r="F394" s="11" t="n">
        <v>8</v>
      </c>
      <c r="G394" s="11" t="inlineStr">
        <is>
          <t>Entorno vivo</t>
        </is>
      </c>
      <c r="H394" s="38" t="inlineStr">
        <is>
          <t>Justifico la importancia de la reproducción sexual en el mantenimiento de la variabilidad.</t>
        </is>
      </c>
      <c r="I394" s="11" t="inlineStr">
        <is>
          <t>T8_27</t>
        </is>
      </c>
      <c r="J394" s="11" t="inlineStr">
        <is>
          <t>T8_27-B3.1</t>
        </is>
      </c>
      <c r="K394" s="11" t="inlineStr">
        <is>
          <t>T8_27-B4.1</t>
        </is>
      </c>
      <c r="L394" s="11" t="inlineStr">
        <is>
          <t>alta</t>
        </is>
      </c>
      <c r="M394" s="11">
        <f>IF(J394="FUERA","Fuera del marco",IFERROR(INDEX('Datos - Catálogo TIMSS'!$C$5:$C$107,MATCH(J394,'Datos - Catálogo TIMSS'!$A$5:$A$107,0)),"?"))</f>
        <v/>
      </c>
      <c r="N394" s="11" t="inlineStr">
        <is>
          <t>Reproducción sexual y variabilidad</t>
        </is>
      </c>
    </row>
    <row r="395">
      <c r="A395" s="11" t="inlineStr">
        <is>
          <t>CO-EBC-G8_9-VIVO-05</t>
        </is>
      </c>
      <c r="B395" s="11" t="inlineStr">
        <is>
          <t>Colombia</t>
        </is>
      </c>
      <c r="C395" s="11" t="inlineStr">
        <is>
          <t>CO_Estandares_Ciencias.pdf</t>
        </is>
      </c>
      <c r="D395" s="11" t="n">
        <v>43</v>
      </c>
      <c r="E395" s="11" t="inlineStr">
        <is>
          <t>8.°–9.°</t>
        </is>
      </c>
      <c r="F395" s="11" t="n">
        <v>8</v>
      </c>
      <c r="G395" s="11" t="inlineStr">
        <is>
          <t>Entorno vivo</t>
        </is>
      </c>
      <c r="H395" s="38" t="inlineStr">
        <is>
          <t>Establezco la relación entre el ciclo menstrual y la reproducción humana.</t>
        </is>
      </c>
      <c r="I395" s="11" t="inlineStr">
        <is>
          <t>T8_27</t>
        </is>
      </c>
      <c r="J395" s="11" t="inlineStr">
        <is>
          <t>T8_27-B3.1</t>
        </is>
      </c>
      <c r="K395" s="11" t="inlineStr">
        <is>
          <t>T8_27-B1.2</t>
        </is>
      </c>
      <c r="L395" s="11" t="inlineStr">
        <is>
          <t>media</t>
        </is>
      </c>
      <c r="M395" s="11">
        <f>IF(J395="FUERA","Fuera del marco",IFERROR(INDEX('Datos - Catálogo TIMSS'!$C$5:$C$107,MATCH(J395,'Datos - Catálogo TIMSS'!$A$5:$A$107,0)),"?"))</f>
        <v/>
      </c>
      <c r="N395" s="11" t="inlineStr">
        <is>
          <t>Reproducción humana y ciclo menstrual</t>
        </is>
      </c>
    </row>
    <row r="396">
      <c r="A396" s="11" t="inlineStr">
        <is>
          <t>CO-EBC-G8_9-VIVO-06</t>
        </is>
      </c>
      <c r="B396" s="11" t="inlineStr">
        <is>
          <t>Colombia</t>
        </is>
      </c>
      <c r="C396" s="11" t="inlineStr">
        <is>
          <t>CO_Estandares_Ciencias.pdf</t>
        </is>
      </c>
      <c r="D396" s="11" t="n">
        <v>43</v>
      </c>
      <c r="E396" s="11" t="inlineStr">
        <is>
          <t>8.°–9.°</t>
        </is>
      </c>
      <c r="F396" s="11" t="n">
        <v>8</v>
      </c>
      <c r="G396" s="11" t="inlineStr">
        <is>
          <t>Entorno vivo</t>
        </is>
      </c>
      <c r="H396" s="38" t="inlineStr">
        <is>
          <t>Analizo las consecuencias del control de la natalidad en las poblaciones.</t>
        </is>
      </c>
      <c r="I396" s="11" t="inlineStr">
        <is>
          <t>T8_27</t>
        </is>
      </c>
      <c r="J396" s="11" t="inlineStr">
        <is>
          <t>T8_27-B5.5</t>
        </is>
      </c>
      <c r="K396" s="11" t="inlineStr"/>
      <c r="L396" s="11" t="inlineStr">
        <is>
          <t>baja</t>
        </is>
      </c>
      <c r="M396" s="11">
        <f>IF(J396="FUERA","Fuera del marco",IFERROR(INDEX('Datos - Catálogo TIMSS'!$C$5:$C$107,MATCH(J396,'Datos - Catálogo TIMSS'!$A$5:$A$107,0)),"?"))</f>
        <v/>
      </c>
      <c r="N396" s="11" t="inlineStr">
        <is>
          <t>Factores que afectan el tamaño de poblaciones humanas</t>
        </is>
      </c>
    </row>
    <row r="397">
      <c r="A397" s="11" t="inlineStr">
        <is>
          <t>CO-EBC-G8_9-VIVO-07</t>
        </is>
      </c>
      <c r="B397" s="11" t="inlineStr">
        <is>
          <t>Colombia</t>
        </is>
      </c>
      <c r="C397" s="11" t="inlineStr">
        <is>
          <t>CO_Estandares_Ciencias.pdf</t>
        </is>
      </c>
      <c r="D397" s="11" t="n">
        <v>43</v>
      </c>
      <c r="E397" s="11" t="inlineStr">
        <is>
          <t>8.°–9.°</t>
        </is>
      </c>
      <c r="F397" s="11" t="n">
        <v>8</v>
      </c>
      <c r="G397" s="11" t="inlineStr">
        <is>
          <t>Entorno vivo</t>
        </is>
      </c>
      <c r="H397" s="38" t="inlineStr">
        <is>
          <t>Clasifico organismos en grupos taxonómicos de acuerdo con sus características celulares.</t>
        </is>
      </c>
      <c r="I397" s="11" t="inlineStr">
        <is>
          <t>T8_27</t>
        </is>
      </c>
      <c r="J397" s="11" t="inlineStr">
        <is>
          <t>T8_27-B1.1</t>
        </is>
      </c>
      <c r="K397" s="11" t="inlineStr">
        <is>
          <t>T8_27-B2.1</t>
        </is>
      </c>
      <c r="L397" s="11" t="inlineStr">
        <is>
          <t>alta</t>
        </is>
      </c>
      <c r="M397" s="11">
        <f>IF(J397="FUERA","Fuera del marco",IFERROR(INDEX('Datos - Catálogo TIMSS'!$C$5:$C$107,MATCH(J397,'Datos - Catálogo TIMSS'!$A$5:$A$107,0)),"?"))</f>
        <v/>
      </c>
      <c r="N397" s="11" t="inlineStr">
        <is>
          <t>Clasificación taxonómica por características celulares</t>
        </is>
      </c>
    </row>
    <row r="398">
      <c r="A398" s="11" t="inlineStr">
        <is>
          <t>CO-EBC-G8_9-VIVO-08</t>
        </is>
      </c>
      <c r="B398" s="11" t="inlineStr">
        <is>
          <t>Colombia</t>
        </is>
      </c>
      <c r="C398" s="11" t="inlineStr">
        <is>
          <t>CO_Estandares_Ciencias.pdf</t>
        </is>
      </c>
      <c r="D398" s="11" t="n">
        <v>43</v>
      </c>
      <c r="E398" s="11" t="inlineStr">
        <is>
          <t>8.°–9.°</t>
        </is>
      </c>
      <c r="F398" s="11" t="n">
        <v>8</v>
      </c>
      <c r="G398" s="11" t="inlineStr">
        <is>
          <t>Entorno vivo</t>
        </is>
      </c>
      <c r="H398" s="38" t="inlineStr">
        <is>
          <t>Propongo alternativas de clasificación de algunos organismos de difícil ubicación taxonómica.</t>
        </is>
      </c>
      <c r="I398" s="11" t="inlineStr">
        <is>
          <t>T8_27</t>
        </is>
      </c>
      <c r="J398" s="11" t="inlineStr">
        <is>
          <t>T8_27-B1.1</t>
        </is>
      </c>
      <c r="K398" s="11" t="inlineStr"/>
      <c r="L398" s="11" t="inlineStr">
        <is>
          <t>alta</t>
        </is>
      </c>
      <c r="M398" s="11">
        <f>IF(J398="FUERA","Fuera del marco",IFERROR(INDEX('Datos - Catálogo TIMSS'!$C$5:$C$107,MATCH(J398,'Datos - Catálogo TIMSS'!$A$5:$A$107,0)),"?"))</f>
        <v/>
      </c>
      <c r="N398" s="11" t="inlineStr">
        <is>
          <t>Criterios de clasificación taxonómica</t>
        </is>
      </c>
    </row>
    <row r="399">
      <c r="A399" s="11" t="inlineStr">
        <is>
          <t>CO-EBC-G8_9-VIVO-09</t>
        </is>
      </c>
      <c r="B399" s="11" t="inlineStr">
        <is>
          <t>Colombia</t>
        </is>
      </c>
      <c r="C399" s="11" t="inlineStr">
        <is>
          <t>CO_Estandares_Ciencias.pdf</t>
        </is>
      </c>
      <c r="D399" s="11" t="n">
        <v>43</v>
      </c>
      <c r="E399" s="11" t="inlineStr">
        <is>
          <t>8.°–9.°</t>
        </is>
      </c>
      <c r="F399" s="11" t="n">
        <v>8</v>
      </c>
      <c r="G399" s="11" t="inlineStr">
        <is>
          <t>Entorno vivo</t>
        </is>
      </c>
      <c r="H399" s="38" t="inlineStr">
        <is>
          <t>Identifico criterios para clasificar individuos dentro de una misma especie.</t>
        </is>
      </c>
      <c r="I399" s="11" t="inlineStr">
        <is>
          <t>T8_27</t>
        </is>
      </c>
      <c r="J399" s="11" t="inlineStr">
        <is>
          <t>T8_27-B1.1</t>
        </is>
      </c>
      <c r="K399" s="11" t="inlineStr">
        <is>
          <t>T8_27-B4.1</t>
        </is>
      </c>
      <c r="L399" s="11" t="inlineStr">
        <is>
          <t>baja</t>
        </is>
      </c>
      <c r="M399" s="11">
        <f>IF(J399="FUERA","Fuera del marco",IFERROR(INDEX('Datos - Catálogo TIMSS'!$C$5:$C$107,MATCH(J399,'Datos - Catálogo TIMSS'!$A$5:$A$107,0)),"?"))</f>
        <v/>
      </c>
      <c r="N399" s="11" t="inlineStr">
        <is>
          <t>Criterios de clasificación y variación intraespecífica</t>
        </is>
      </c>
    </row>
    <row r="400">
      <c r="A400" s="11" t="inlineStr">
        <is>
          <t>CO-EBC-G8_9-VIVO-10</t>
        </is>
      </c>
      <c r="B400" s="11" t="inlineStr">
        <is>
          <t>Colombia</t>
        </is>
      </c>
      <c r="C400" s="11" t="inlineStr">
        <is>
          <t>CO_Estandares_Ciencias.pdf</t>
        </is>
      </c>
      <c r="D400" s="11" t="n">
        <v>43</v>
      </c>
      <c r="E400" s="11" t="inlineStr">
        <is>
          <t>8.°–9.°</t>
        </is>
      </c>
      <c r="F400" s="11" t="n">
        <v>8</v>
      </c>
      <c r="G400" s="11" t="inlineStr">
        <is>
          <t>Entorno vivo</t>
        </is>
      </c>
      <c r="H400" s="38" t="inlineStr">
        <is>
          <t>Comparo sistemas de órganos de diferentes grupos taxonómicos.</t>
        </is>
      </c>
      <c r="I400" s="11" t="inlineStr">
        <is>
          <t>T8_27</t>
        </is>
      </c>
      <c r="J400" s="11" t="inlineStr">
        <is>
          <t>T8_27-B1.2</t>
        </is>
      </c>
      <c r="K400" s="11" t="inlineStr"/>
      <c r="L400" s="11" t="inlineStr">
        <is>
          <t>alta</t>
        </is>
      </c>
      <c r="M400" s="11">
        <f>IF(J400="FUERA","Fuera del marco",IFERROR(INDEX('Datos - Catálogo TIMSS'!$C$5:$C$107,MATCH(J400,'Datos - Catálogo TIMSS'!$A$5:$A$107,0)),"?"))</f>
        <v/>
      </c>
      <c r="N400" s="11" t="inlineStr">
        <is>
          <t>Comparar sistemas de órganos entre grupos de vertebrados</t>
        </is>
      </c>
    </row>
    <row r="401">
      <c r="A401" s="11" t="inlineStr">
        <is>
          <t>CO-EBC-G8_9-VIVO-11</t>
        </is>
      </c>
      <c r="B401" s="11" t="inlineStr">
        <is>
          <t>Colombia</t>
        </is>
      </c>
      <c r="C401" s="11" t="inlineStr">
        <is>
          <t>CO_Estandares_Ciencias.pdf</t>
        </is>
      </c>
      <c r="D401" s="11" t="n">
        <v>43</v>
      </c>
      <c r="E401" s="11" t="inlineStr">
        <is>
          <t>8.°–9.°</t>
        </is>
      </c>
      <c r="F401" s="11" t="n">
        <v>8</v>
      </c>
      <c r="G401" s="11" t="inlineStr">
        <is>
          <t>Entorno vivo</t>
        </is>
      </c>
      <c r="H401" s="38" t="inlineStr">
        <is>
          <t>Explico la importancia de las hormonas en la regulación de las funciones en el ser humano.</t>
        </is>
      </c>
      <c r="I401" s="11" t="inlineStr">
        <is>
          <t>T8_27</t>
        </is>
      </c>
      <c r="J401" s="11" t="inlineStr">
        <is>
          <t>T8_27-B1.3</t>
        </is>
      </c>
      <c r="K401" s="11" t="inlineStr">
        <is>
          <t>T8_27-B1.2</t>
        </is>
      </c>
      <c r="L401" s="11" t="inlineStr">
        <is>
          <t>alta</t>
        </is>
      </c>
      <c r="M401" s="11">
        <f>IF(J401="FUERA","Fuera del marco",IFERROR(INDEX('Datos - Catálogo TIMSS'!$C$5:$C$107,MATCH(J401,'Datos - Catálogo TIMSS'!$A$5:$A$107,0)),"?"))</f>
        <v/>
      </c>
      <c r="N401" s="11" t="inlineStr">
        <is>
          <t>Regulación hormonal y homeostasis</t>
        </is>
      </c>
    </row>
    <row r="402">
      <c r="A402" s="11" t="inlineStr">
        <is>
          <t>CO-EBC-G8_9-VIVO-12</t>
        </is>
      </c>
      <c r="B402" s="11" t="inlineStr">
        <is>
          <t>Colombia</t>
        </is>
      </c>
      <c r="C402" s="11" t="inlineStr">
        <is>
          <t>CO_Estandares_Ciencias.pdf</t>
        </is>
      </c>
      <c r="D402" s="11" t="n">
        <v>43</v>
      </c>
      <c r="E402" s="11" t="inlineStr">
        <is>
          <t>8.°–9.°</t>
        </is>
      </c>
      <c r="F402" s="11" t="n">
        <v>8</v>
      </c>
      <c r="G402" s="11" t="inlineStr">
        <is>
          <t>Entorno vivo</t>
        </is>
      </c>
      <c r="H402" s="38" t="inlineStr">
        <is>
          <t>Comparo y explico los sistemas de defensa y ataque de algunos animales y plantas en el aspecto morfológico y fisiológico.</t>
        </is>
      </c>
      <c r="I402" s="11" t="inlineStr">
        <is>
          <t>T8_27</t>
        </is>
      </c>
      <c r="J402" s="11" t="inlineStr">
        <is>
          <t>T8_27-B5.4</t>
        </is>
      </c>
      <c r="K402" s="11" t="inlineStr">
        <is>
          <t>T8_27-B4.1</t>
        </is>
      </c>
      <c r="L402" s="11" t="inlineStr">
        <is>
          <t>media</t>
        </is>
      </c>
      <c r="M402" s="11">
        <f>IF(J402="FUERA","Fuera del marco",IFERROR(INDEX('Datos - Catálogo TIMSS'!$C$5:$C$107,MATCH(J402,'Datos - Catálogo TIMSS'!$A$5:$A$107,0)),"?"))</f>
        <v/>
      </c>
      <c r="N402" s="11" t="inlineStr">
        <is>
          <t>Depredación y defensas como relaciones en ecosistemas</t>
        </is>
      </c>
    </row>
    <row r="403">
      <c r="A403" s="11" t="inlineStr">
        <is>
          <t>CO-EBC-G8_9-VIVO-13</t>
        </is>
      </c>
      <c r="B403" s="11" t="inlineStr">
        <is>
          <t>Colombia</t>
        </is>
      </c>
      <c r="C403" s="11" t="inlineStr">
        <is>
          <t>CO_Estandares_Ciencias.pdf</t>
        </is>
      </c>
      <c r="D403" s="11" t="n">
        <v>43</v>
      </c>
      <c r="E403" s="11" t="inlineStr">
        <is>
          <t>8.°–9.°</t>
        </is>
      </c>
      <c r="F403" s="11" t="n">
        <v>8</v>
      </c>
      <c r="G403" s="11" t="inlineStr">
        <is>
          <t>Entorno vivo</t>
        </is>
      </c>
      <c r="H403" s="38" t="inlineStr">
        <is>
          <t>Formulo hipótesis acerca del origen y evolución de un grupo de organismos.</t>
        </is>
      </c>
      <c r="I403" s="11" t="inlineStr">
        <is>
          <t>T8_27</t>
        </is>
      </c>
      <c r="J403" s="11" t="inlineStr">
        <is>
          <t>T8_27-B4.2</t>
        </is>
      </c>
      <c r="K403" s="11" t="inlineStr">
        <is>
          <t>T8_27-B4.1</t>
        </is>
      </c>
      <c r="L403" s="11" t="inlineStr">
        <is>
          <t>media</t>
        </is>
      </c>
      <c r="M403" s="11">
        <f>IF(J403="FUERA","Fuera del marco",IFERROR(INDEX('Datos - Catálogo TIMSS'!$C$5:$C$107,MATCH(J403,'Datos - Catálogo TIMSS'!$A$5:$A$107,0)),"?"))</f>
        <v/>
      </c>
      <c r="N403" s="11" t="inlineStr">
        <is>
          <t>Origen y evolución de grupos de organismos</t>
        </is>
      </c>
    </row>
    <row r="404">
      <c r="A404" s="11" t="inlineStr">
        <is>
          <t>CO-EBC-G8_9-VIVO-14</t>
        </is>
      </c>
      <c r="B404" s="11" t="inlineStr">
        <is>
          <t>Colombia</t>
        </is>
      </c>
      <c r="C404" s="11" t="inlineStr">
        <is>
          <t>CO_Estandares_Ciencias.pdf</t>
        </is>
      </c>
      <c r="D404" s="11" t="n">
        <v>43</v>
      </c>
      <c r="E404" s="11" t="inlineStr">
        <is>
          <t>8.°–9.°</t>
        </is>
      </c>
      <c r="F404" s="11" t="n">
        <v>8</v>
      </c>
      <c r="G404" s="11" t="inlineStr">
        <is>
          <t>Entorno vivo</t>
        </is>
      </c>
      <c r="H404" s="38" t="inlineStr">
        <is>
          <t>Establezco relaciones entre el clima en las diferentes eras geológicas y las adaptaciones de los seres vivos.</t>
        </is>
      </c>
      <c r="I404" s="11" t="inlineStr">
        <is>
          <t>T8_27</t>
        </is>
      </c>
      <c r="J404" s="11" t="inlineStr">
        <is>
          <t>T8_27-B4.1</t>
        </is>
      </c>
      <c r="K404" s="11" t="inlineStr">
        <is>
          <t>T8_27-E1.2</t>
        </is>
      </c>
      <c r="L404" s="11" t="inlineStr">
        <is>
          <t>media</t>
        </is>
      </c>
      <c r="M404" s="11">
        <f>IF(J404="FUERA","Fuera del marco",IFERROR(INDEX('Datos - Catálogo TIMSS'!$C$5:$C$107,MATCH(J404,'Datos - Catálogo TIMSS'!$A$5:$A$107,0)),"?"))</f>
        <v/>
      </c>
      <c r="N404" s="11" t="inlineStr">
        <is>
          <t>Cambios climáticos geológicos y adaptación de seres vivos</t>
        </is>
      </c>
    </row>
    <row r="405">
      <c r="A405" s="11" t="inlineStr">
        <is>
          <t>CO-EBC-G8_9-VIVO-15</t>
        </is>
      </c>
      <c r="B405" s="11" t="inlineStr">
        <is>
          <t>Colombia</t>
        </is>
      </c>
      <c r="C405" s="11" t="inlineStr">
        <is>
          <t>CO_Estandares_Ciencias.pdf</t>
        </is>
      </c>
      <c r="D405" s="11" t="n">
        <v>43</v>
      </c>
      <c r="E405" s="11" t="inlineStr">
        <is>
          <t>8.°–9.°</t>
        </is>
      </c>
      <c r="F405" s="11" t="n">
        <v>8</v>
      </c>
      <c r="G405" s="11" t="inlineStr">
        <is>
          <t>Entorno vivo</t>
        </is>
      </c>
      <c r="H405" s="38" t="inlineStr">
        <is>
          <t>Comparo diferentes teorías sobre el origen de las especies.</t>
        </is>
      </c>
      <c r="I405" s="11" t="inlineStr">
        <is>
          <t>T8_27</t>
        </is>
      </c>
      <c r="J405" s="11" t="inlineStr">
        <is>
          <t>T8_27-B4.2</t>
        </is>
      </c>
      <c r="K405" s="11" t="inlineStr">
        <is>
          <t>T8_27-B4.1</t>
        </is>
      </c>
      <c r="L405" s="11" t="inlineStr">
        <is>
          <t>media</t>
        </is>
      </c>
      <c r="M405" s="11">
        <f>IF(J405="FUERA","Fuera del marco",IFERROR(INDEX('Datos - Catálogo TIMSS'!$C$5:$C$107,MATCH(J405,'Datos - Catálogo TIMSS'!$A$5:$A$107,0)),"?"))</f>
        <v/>
      </c>
      <c r="N405" s="11" t="inlineStr">
        <is>
          <t>Teorías sobre origen de especies y selección natural</t>
        </is>
      </c>
    </row>
    <row r="406">
      <c r="A406" s="11" t="inlineStr">
        <is>
          <t>CO-DBA-G9-01</t>
        </is>
      </c>
      <c r="B406" s="11" t="inlineStr">
        <is>
          <t>Colombia</t>
        </is>
      </c>
      <c r="C406" s="11" t="inlineStr">
        <is>
          <t>CO_DBA_Ciencias_Naturales.pdf</t>
        </is>
      </c>
      <c r="D406" s="11" t="n">
        <v>30</v>
      </c>
      <c r="E406" s="11" t="inlineStr">
        <is>
          <t>9.°</t>
        </is>
      </c>
      <c r="F406" s="11" t="n">
        <v>9</v>
      </c>
      <c r="G406" s="11" t="inlineStr"/>
      <c r="H406" s="38" t="inlineStr">
        <is>
          <t>Comprende que el movimiento de un cuerpo, en un marco de referencia inercial dado, se puede describir con gráficos y predecir por medio de expresiones matemáticas.</t>
        </is>
      </c>
      <c r="I406" s="11" t="inlineStr">
        <is>
          <t>T8_27</t>
        </is>
      </c>
      <c r="J406" s="11" t="inlineStr">
        <is>
          <t>T8_27-P5.1</t>
        </is>
      </c>
      <c r="K406" s="11" t="inlineStr"/>
      <c r="L406" s="11" t="inlineStr">
        <is>
          <t>alta</t>
        </is>
      </c>
      <c r="M406" s="11">
        <f>IF(J406="FUERA","Fuera del marco",IFERROR(INDEX('Datos - Catálogo TIMSS'!$C$5:$C$107,MATCH(J406,'Datos - Catálogo TIMSS'!$A$5:$A$107,0)),"?"))</f>
        <v/>
      </c>
      <c r="N406" s="11" t="inlineStr">
        <is>
          <t>Descripción del movimiento con gráficos y ecuaciones</t>
        </is>
      </c>
    </row>
    <row r="407">
      <c r="A407" s="11" t="inlineStr">
        <is>
          <t>CO-DBA-G9-02</t>
        </is>
      </c>
      <c r="B407" s="11" t="inlineStr">
        <is>
          <t>Colombia</t>
        </is>
      </c>
      <c r="C407" s="11" t="inlineStr">
        <is>
          <t>CO_DBA_Ciencias_Naturales.pdf</t>
        </is>
      </c>
      <c r="D407" s="11" t="n">
        <v>30</v>
      </c>
      <c r="E407" s="11" t="inlineStr">
        <is>
          <t>9.°</t>
        </is>
      </c>
      <c r="F407" s="11" t="n">
        <v>9</v>
      </c>
      <c r="G407" s="11" t="inlineStr"/>
      <c r="H407" s="38" t="inlineStr">
        <is>
          <t>Comprende que la acidez y la basicidad son propiedades químicas de algunas sustancias y las relaciona con su importancia biológica y su uso cotidiano e industrial.</t>
        </is>
      </c>
      <c r="I407" s="11" t="inlineStr">
        <is>
          <t>T8_27</t>
        </is>
      </c>
      <c r="J407" s="11" t="inlineStr">
        <is>
          <t>T8_27-C2.3</t>
        </is>
      </c>
      <c r="K407" s="11" t="inlineStr"/>
      <c r="L407" s="11" t="inlineStr">
        <is>
          <t>alta</t>
        </is>
      </c>
      <c r="M407" s="11">
        <f>IF(J407="FUERA","Fuera del marco",IFERROR(INDEX('Datos - Catálogo TIMSS'!$C$5:$C$107,MATCH(J407,'Datos - Catálogo TIMSS'!$A$5:$A$107,0)),"?"))</f>
        <v/>
      </c>
      <c r="N407" s="11" t="inlineStr">
        <is>
          <t>Propiedades y usos de ácidos y bases</t>
        </is>
      </c>
    </row>
    <row r="408">
      <c r="A408" s="11" t="inlineStr">
        <is>
          <t>CO-DBA-G9-03</t>
        </is>
      </c>
      <c r="B408" s="11" t="inlineStr">
        <is>
          <t>Colombia</t>
        </is>
      </c>
      <c r="C408" s="11" t="inlineStr">
        <is>
          <t>CO_DBA_Ciencias_Naturales.pdf</t>
        </is>
      </c>
      <c r="D408" s="11" t="n">
        <v>31</v>
      </c>
      <c r="E408" s="11" t="inlineStr">
        <is>
          <t>9.°</t>
        </is>
      </c>
      <c r="F408" s="11" t="n">
        <v>9</v>
      </c>
      <c r="G408" s="11" t="inlineStr"/>
      <c r="H408" s="38" t="inlineStr">
        <is>
          <t>Analiza las relaciones cuantitativas entre solutos y solventes, así como los factores que afectan la formación de soluciones.</t>
        </is>
      </c>
      <c r="I408" s="11" t="inlineStr">
        <is>
          <t>T8_27</t>
        </is>
      </c>
      <c r="J408" s="11" t="inlineStr">
        <is>
          <t>T8_27-C2.2</t>
        </is>
      </c>
      <c r="K408" s="11" t="inlineStr"/>
      <c r="L408" s="11" t="inlineStr">
        <is>
          <t>alta</t>
        </is>
      </c>
      <c r="M408" s="11">
        <f>IF(J408="FUERA","Fuera del marco",IFERROR(INDEX('Datos - Catálogo TIMSS'!$C$5:$C$107,MATCH(J408,'Datos - Catálogo TIMSS'!$A$5:$A$107,0)),"?"))</f>
        <v/>
      </c>
      <c r="N408" s="11" t="inlineStr">
        <is>
          <t>Soluto, disolvente, concentración y factores de disolución</t>
        </is>
      </c>
    </row>
    <row r="409">
      <c r="A409" s="11" t="inlineStr">
        <is>
          <t>CO-DBA-G9-04</t>
        </is>
      </c>
      <c r="B409" s="11" t="inlineStr">
        <is>
          <t>Colombia</t>
        </is>
      </c>
      <c r="C409" s="11" t="inlineStr">
        <is>
          <t>CO_DBA_Ciencias_Naturales.pdf</t>
        </is>
      </c>
      <c r="D409" s="11" t="n">
        <v>31</v>
      </c>
      <c r="E409" s="11" t="inlineStr">
        <is>
          <t>9.°</t>
        </is>
      </c>
      <c r="F409" s="11" t="n">
        <v>9</v>
      </c>
      <c r="G409" s="11" t="inlineStr"/>
      <c r="H409" s="38" t="inlineStr">
        <is>
          <t>Comprende la forma en que los principios genéticos mendelianos y post-mendelianos explican la herencia y el mejoramiento de las especies existentes.</t>
        </is>
      </c>
      <c r="I409" s="11" t="inlineStr">
        <is>
          <t>T8_27</t>
        </is>
      </c>
      <c r="J409" s="11" t="inlineStr">
        <is>
          <t>T8_27-B3.1</t>
        </is>
      </c>
      <c r="K409" s="11" t="inlineStr"/>
      <c r="L409" s="11" t="inlineStr">
        <is>
          <t>alta</t>
        </is>
      </c>
      <c r="M409" s="11">
        <f>IF(J409="FUERA","Fuera del marco",IFERROR(INDEX('Datos - Catálogo TIMSS'!$C$5:$C$107,MATCH(J409,'Datos - Catálogo TIMSS'!$A$5:$A$107,0)),"?"))</f>
        <v/>
      </c>
      <c r="N409" s="11" t="inlineStr">
        <is>
          <t>Herencia genética mendeliana</t>
        </is>
      </c>
    </row>
    <row r="410">
      <c r="A410" s="11" t="inlineStr">
        <is>
          <t>CO-DBA-G9-05</t>
        </is>
      </c>
      <c r="B410" s="11" t="inlineStr">
        <is>
          <t>Colombia</t>
        </is>
      </c>
      <c r="C410" s="11" t="inlineStr">
        <is>
          <t>CO_DBA_Ciencias_Naturales.pdf</t>
        </is>
      </c>
      <c r="D410" s="11" t="n">
        <v>32</v>
      </c>
      <c r="E410" s="11" t="inlineStr">
        <is>
          <t>9.°</t>
        </is>
      </c>
      <c r="F410" s="11" t="n">
        <v>9</v>
      </c>
      <c r="G410" s="11" t="inlineStr"/>
      <c r="H410" s="38" t="inlineStr">
        <is>
          <t>Explica cómo se expresa la información genética del ADN en los fenotipos y reconoce que su modificación (mutaciones) genera diversidad y evolución de las especies.</t>
        </is>
      </c>
      <c r="I410" s="11" t="inlineStr">
        <is>
          <t>T8_27</t>
        </is>
      </c>
      <c r="J410" s="11" t="inlineStr">
        <is>
          <t>T8_27-B3.1</t>
        </is>
      </c>
      <c r="K410" s="11" t="inlineStr">
        <is>
          <t>T8_27-B4.1</t>
        </is>
      </c>
      <c r="L410" s="11" t="inlineStr">
        <is>
          <t>alta</t>
        </is>
      </c>
      <c r="M410" s="11">
        <f>IF(J410="FUERA","Fuera del marco",IFERROR(INDEX('Datos - Catálogo TIMSS'!$C$5:$C$107,MATCH(J410,'Datos - Catálogo TIMSS'!$A$5:$A$107,0)),"?"))</f>
        <v/>
      </c>
      <c r="N410" s="11" t="inlineStr">
        <is>
          <t>ADN y rasgos; mutaciones generan variación y evolución</t>
        </is>
      </c>
    </row>
    <row r="411">
      <c r="A411" s="11" t="inlineStr">
        <is>
          <t>CO-DBA-G9-06</t>
        </is>
      </c>
      <c r="B411" s="11" t="inlineStr">
        <is>
          <t>Colombia</t>
        </is>
      </c>
      <c r="C411" s="11" t="inlineStr">
        <is>
          <t>CO_DBA_Ciencias_Naturales.pdf</t>
        </is>
      </c>
      <c r="D411" s="11" t="n">
        <v>33</v>
      </c>
      <c r="E411" s="11" t="inlineStr">
        <is>
          <t>9.°</t>
        </is>
      </c>
      <c r="F411" s="11" t="n">
        <v>9</v>
      </c>
      <c r="G411" s="11" t="inlineStr"/>
      <c r="H411" s="38" t="inlineStr">
        <is>
          <t>Analiza teorías científicas sobre el origen de las especies (selección natural y ancestro común) como modelos científicos que sustentan sus explicaciones desde diferentes evidencias y argumentaciones.</t>
        </is>
      </c>
      <c r="I411" s="11" t="inlineStr">
        <is>
          <t>T8_27</t>
        </is>
      </c>
      <c r="J411" s="11" t="inlineStr">
        <is>
          <t>T8_27-B4.2</t>
        </is>
      </c>
      <c r="K411" s="11" t="inlineStr">
        <is>
          <t>T8_27-B4.1</t>
        </is>
      </c>
      <c r="L411" s="11" t="inlineStr">
        <is>
          <t>alta</t>
        </is>
      </c>
      <c r="M411" s="11">
        <f>IF(J411="FUERA","Fuera del marco",IFERROR(INDEX('Datos - Catálogo TIMSS'!$C$5:$C$107,MATCH(J411,'Datos - Catálogo TIMSS'!$A$5:$A$107,0)),"?"))</f>
        <v/>
      </c>
      <c r="N411" s="11" t="inlineStr">
        <is>
          <t>Evidencias de ancestro común y selección natural</t>
        </is>
      </c>
    </row>
    <row r="412">
      <c r="A412" s="11" t="inlineStr">
        <is>
          <t>SG-CYC-001</t>
        </is>
      </c>
      <c r="B412" s="11" t="inlineStr">
        <is>
          <t>Singapur</t>
        </is>
      </c>
      <c r="C412" s="11" t="inlineStr">
        <is>
          <t>SG_Primary_Science_2023.pdf</t>
        </is>
      </c>
      <c r="D412" s="11" t="n">
        <v>43</v>
      </c>
      <c r="E412" s="11" t="inlineStr">
        <is>
          <t>P3</t>
        </is>
      </c>
      <c r="F412" s="11" t="n">
        <v>3</v>
      </c>
      <c r="G412" s="11" t="inlineStr">
        <is>
          <t>Ciclos · Ciclos de vida de plantas y animales</t>
        </is>
      </c>
      <c r="H412" s="38" t="inlineStr">
        <is>
          <t>Comprender que distintos seres vivos, plantas y animales, tienen ciclos de vida diferentes.</t>
        </is>
      </c>
      <c r="I412" s="11" t="inlineStr">
        <is>
          <t>T4_27</t>
        </is>
      </c>
      <c r="J412" s="11" t="inlineStr">
        <is>
          <t>T4_27-B2.1</t>
        </is>
      </c>
      <c r="K412" s="11" t="inlineStr"/>
      <c r="L412" s="11" t="inlineStr">
        <is>
          <t>alta</t>
        </is>
      </c>
      <c r="M412" s="11">
        <f>IF(J412="FUERA","Fuera del marco",IFERROR(INDEX('Datos - Catálogo TIMSS'!$C$5:$C$107,MATCH(J412,'Datos - Catálogo TIMSS'!$A$5:$A$107,0)),"?"))</f>
        <v/>
      </c>
      <c r="N412" s="11" t="inlineStr">
        <is>
          <t>Ciclos de vida distintos en plantas y animales</t>
        </is>
      </c>
    </row>
    <row r="413">
      <c r="A413" s="11" t="inlineStr">
        <is>
          <t>SG-CYC-002</t>
        </is>
      </c>
      <c r="B413" s="11" t="inlineStr">
        <is>
          <t>Singapur</t>
        </is>
      </c>
      <c r="C413" s="11" t="inlineStr">
        <is>
          <t>SG_Primary_Science_2023.pdf</t>
        </is>
      </c>
      <c r="D413" s="11" t="n">
        <v>43</v>
      </c>
      <c r="E413" s="11" t="inlineStr">
        <is>
          <t>P3</t>
        </is>
      </c>
      <c r="F413" s="11" t="n">
        <v>3</v>
      </c>
      <c r="G413" s="11" t="inlineStr">
        <is>
          <t>Ciclos · Ciclos de vida de plantas y animales</t>
        </is>
      </c>
      <c r="H413" s="38" t="inlineStr">
        <is>
          <t>Observar y comparar a lo largo del tiempo los ciclos de vida de plantas cultivadas desde semilla (semilla, planta joven, planta adulta).</t>
        </is>
      </c>
      <c r="I413" s="11" t="inlineStr">
        <is>
          <t>T4_27</t>
        </is>
      </c>
      <c r="J413" s="11" t="inlineStr">
        <is>
          <t>T4_27-B2.1</t>
        </is>
      </c>
      <c r="K413" s="11" t="inlineStr">
        <is>
          <t>T4_27-B6.1</t>
        </is>
      </c>
      <c r="L413" s="11" t="inlineStr">
        <is>
          <t>alta</t>
        </is>
      </c>
      <c r="M413" s="11">
        <f>IF(J413="FUERA","Fuera del marco",IFERROR(INDEX('Datos - Catálogo TIMSS'!$C$5:$C$107,MATCH(J413,'Datos - Catálogo TIMSS'!$A$5:$A$107,0)),"?"))</f>
        <v/>
      </c>
      <c r="N413" s="11" t="inlineStr">
        <is>
          <t>Etapas del ciclo de vida de plantas observadas en el tiempo</t>
        </is>
      </c>
    </row>
    <row r="414">
      <c r="A414" s="11" t="inlineStr">
        <is>
          <t>SG-CYC-003</t>
        </is>
      </c>
      <c r="B414" s="11" t="inlineStr">
        <is>
          <t>Singapur</t>
        </is>
      </c>
      <c r="C414" s="11" t="inlineStr">
        <is>
          <t>SG_Primary_Science_2023.pdf</t>
        </is>
      </c>
      <c r="D414" s="11" t="n">
        <v>43</v>
      </c>
      <c r="E414" s="11" t="inlineStr">
        <is>
          <t>P3</t>
        </is>
      </c>
      <c r="F414" s="11" t="n">
        <v>3</v>
      </c>
      <c r="G414" s="11" t="inlineStr">
        <is>
          <t>Ciclos · Ciclos de vida de plantas y animales</t>
        </is>
      </c>
      <c r="H414" s="38" t="inlineStr">
        <is>
          <t>Observar y comparar a lo largo del tiempo ciclos de vida de animales (gallina, cucaracha, rana, saltamontes, escarabajo, mariposa, mosquito).</t>
        </is>
      </c>
      <c r="I414" s="11" t="inlineStr">
        <is>
          <t>T4_27</t>
        </is>
      </c>
      <c r="J414" s="11" t="inlineStr">
        <is>
          <t>T4_27-B2.1</t>
        </is>
      </c>
      <c r="K414" s="11" t="inlineStr">
        <is>
          <t>T4_27-B6.1</t>
        </is>
      </c>
      <c r="L414" s="11" t="inlineStr">
        <is>
          <t>alta</t>
        </is>
      </c>
      <c r="M414" s="11">
        <f>IF(J414="FUERA","Fuera del marco",IFERROR(INDEX('Datos - Catálogo TIMSS'!$C$5:$C$107,MATCH(J414,'Datos - Catálogo TIMSS'!$A$5:$A$107,0)),"?"))</f>
        <v/>
      </c>
      <c r="N414" s="11" t="inlineStr">
        <is>
          <t>Comparar ciclos de vida de animales comunes por observación</t>
        </is>
      </c>
    </row>
    <row r="415">
      <c r="A415" s="11" t="inlineStr">
        <is>
          <t>SG-DIV-001</t>
        </is>
      </c>
      <c r="B415" s="11" t="inlineStr">
        <is>
          <t>Singapur</t>
        </is>
      </c>
      <c r="C415" s="11" t="inlineStr">
        <is>
          <t>SG_Primary_Science_2023.pdf</t>
        </is>
      </c>
      <c r="D415" s="11" t="n">
        <v>39</v>
      </c>
      <c r="E415" s="11" t="inlineStr">
        <is>
          <t>P3</t>
        </is>
      </c>
      <c r="F415" s="11" t="n">
        <v>3</v>
      </c>
      <c r="G415" s="11" t="inlineStr">
        <is>
          <t>Diversidad · Diversidad de seres vivos y no vivos</t>
        </is>
      </c>
      <c r="H415" s="38" t="inlineStr">
        <is>
          <t>Describir las características de los seres vivos: necesitan agua, alimento y aire para sobrevivir; crecen, responden a estímulos y se reproducen.</t>
        </is>
      </c>
      <c r="I415" s="11" t="inlineStr">
        <is>
          <t>T4_27</t>
        </is>
      </c>
      <c r="J415" s="11" t="inlineStr">
        <is>
          <t>T4_27-B1.1</t>
        </is>
      </c>
      <c r="K415" s="11" t="inlineStr"/>
      <c r="L415" s="11" t="inlineStr">
        <is>
          <t>alta</t>
        </is>
      </c>
      <c r="M415" s="11">
        <f>IF(J415="FUERA","Fuera del marco",IFERROR(INDEX('Datos - Catálogo TIMSS'!$C$5:$C$107,MATCH(J415,'Datos - Catálogo TIMSS'!$A$5:$A$107,0)),"?"))</f>
        <v/>
      </c>
      <c r="N415" s="11" t="inlineStr">
        <is>
          <t>Rasgos de los seres vivos y sus necesidades básicas</t>
        </is>
      </c>
    </row>
    <row r="416">
      <c r="A416" s="11" t="inlineStr">
        <is>
          <t>SG-DIV-002</t>
        </is>
      </c>
      <c r="B416" s="11" t="inlineStr">
        <is>
          <t>Singapur</t>
        </is>
      </c>
      <c r="C416" s="11" t="inlineStr">
        <is>
          <t>SG_Primary_Science_2023.pdf</t>
        </is>
      </c>
      <c r="D416" s="11" t="n">
        <v>39</v>
      </c>
      <c r="E416" s="11" t="inlineStr">
        <is>
          <t>P3</t>
        </is>
      </c>
      <c r="F416" s="11" t="n">
        <v>3</v>
      </c>
      <c r="G416" s="11" t="inlineStr">
        <is>
          <t>Diversidad · Diversidad de seres vivos y no vivos</t>
        </is>
      </c>
      <c r="H416" s="38" t="inlineStr">
        <is>
          <t>Reconocer grandes grupos de seres vivos por semejanzas y diferencias: plantas (con y sin flor), animales (anfibios, aves, peces, insectos, mamíferos, reptiles), hongos y bacterias.</t>
        </is>
      </c>
      <c r="I416" s="11" t="inlineStr">
        <is>
          <t>T4_27</t>
        </is>
      </c>
      <c r="J416" s="11" t="inlineStr">
        <is>
          <t>T4_27-B1.2</t>
        </is>
      </c>
      <c r="K416" s="11" t="inlineStr"/>
      <c r="L416" s="11" t="inlineStr">
        <is>
          <t>alta</t>
        </is>
      </c>
      <c r="M416" s="11">
        <f>IF(J416="FUERA","Fuera del marco",IFERROR(INDEX('Datos - Catálogo TIMSS'!$C$5:$C$107,MATCH(J416,'Datos - Catálogo TIMSS'!$A$5:$A$107,0)),"?"))</f>
        <v/>
      </c>
      <c r="N416" s="11" t="inlineStr">
        <is>
          <t>Grandes grupos de seres vivos por semejanzas y diferencias</t>
        </is>
      </c>
    </row>
    <row r="417">
      <c r="A417" s="11" t="inlineStr">
        <is>
          <t>SG-DIV-003</t>
        </is>
      </c>
      <c r="B417" s="11" t="inlineStr">
        <is>
          <t>Singapur</t>
        </is>
      </c>
      <c r="C417" s="11" t="inlineStr">
        <is>
          <t>SG_Primary_Science_2023.pdf</t>
        </is>
      </c>
      <c r="D417" s="11" t="n">
        <v>39</v>
      </c>
      <c r="E417" s="11" t="inlineStr">
        <is>
          <t>P3</t>
        </is>
      </c>
      <c r="F417" s="11" t="n">
        <v>3</v>
      </c>
      <c r="G417" s="11" t="inlineStr">
        <is>
          <t>Diversidad · Diversidad de seres vivos y no vivos</t>
        </is>
      </c>
      <c r="H417" s="38" t="inlineStr">
        <is>
          <t>Observar una variedad de seres vivos y no vivos e inferir las diferencias entre ellos.</t>
        </is>
      </c>
      <c r="I417" s="11" t="inlineStr">
        <is>
          <t>T4_27</t>
        </is>
      </c>
      <c r="J417" s="11" t="inlineStr">
        <is>
          <t>T4_27-B1.1</t>
        </is>
      </c>
      <c r="K417" s="11" t="inlineStr">
        <is>
          <t>T4_27-B6.1</t>
        </is>
      </c>
      <c r="L417" s="11" t="inlineStr">
        <is>
          <t>media</t>
        </is>
      </c>
      <c r="M417" s="11">
        <f>IF(J417="FUERA","Fuera del marco",IFERROR(INDEX('Datos - Catálogo TIMSS'!$C$5:$C$107,MATCH(J417,'Datos - Catálogo TIMSS'!$A$5:$A$107,0)),"?"))</f>
        <v/>
      </c>
      <c r="N417" s="11" t="inlineStr">
        <is>
          <t>Distinguir vivos de no vivos mediante observación e inferencia</t>
        </is>
      </c>
    </row>
    <row r="418">
      <c r="A418" s="11" t="inlineStr">
        <is>
          <t>SG-DIV-004</t>
        </is>
      </c>
      <c r="B418" s="11" t="inlineStr">
        <is>
          <t>Singapur</t>
        </is>
      </c>
      <c r="C418" s="11" t="inlineStr">
        <is>
          <t>SG_Primary_Science_2023.pdf</t>
        </is>
      </c>
      <c r="D418" s="11" t="n">
        <v>39</v>
      </c>
      <c r="E418" s="11" t="inlineStr">
        <is>
          <t>P3</t>
        </is>
      </c>
      <c r="F418" s="11" t="n">
        <v>3</v>
      </c>
      <c r="G418" s="11" t="inlineStr">
        <is>
          <t>Diversidad · Diversidad de seres vivos y no vivos</t>
        </is>
      </c>
      <c r="H418" s="38" t="inlineStr">
        <is>
          <t>Clasificar seres vivos en grandes grupos (plantas y animales) según semejanzas y diferencias de características observables comunes.</t>
        </is>
      </c>
      <c r="I418" s="11" t="inlineStr">
        <is>
          <t>T4_27</t>
        </is>
      </c>
      <c r="J418" s="11" t="inlineStr">
        <is>
          <t>T4_27-B1.2</t>
        </is>
      </c>
      <c r="K418" s="11" t="inlineStr"/>
      <c r="L418" s="11" t="inlineStr">
        <is>
          <t>alta</t>
        </is>
      </c>
      <c r="M418" s="11">
        <f>IF(J418="FUERA","Fuera del marco",IFERROR(INDEX('Datos - Catálogo TIMSS'!$C$5:$C$107,MATCH(J418,'Datos - Catálogo TIMSS'!$A$5:$A$107,0)),"?"))</f>
        <v/>
      </c>
      <c r="N418" s="11" t="inlineStr">
        <is>
          <t>Clasificar plantas y animales por rasgos observables</t>
        </is>
      </c>
    </row>
    <row r="419">
      <c r="A419" s="11" t="inlineStr">
        <is>
          <t>SG-DIV-005</t>
        </is>
      </c>
      <c r="B419" s="11" t="inlineStr">
        <is>
          <t>Singapur</t>
        </is>
      </c>
      <c r="C419" s="11" t="inlineStr">
        <is>
          <t>SG_Primary_Science_2023.pdf</t>
        </is>
      </c>
      <c r="D419" s="11" t="n">
        <v>40</v>
      </c>
      <c r="E419" s="11" t="inlineStr">
        <is>
          <t>P3</t>
        </is>
      </c>
      <c r="F419" s="11" t="n">
        <v>3</v>
      </c>
      <c r="G419" s="11" t="inlineStr">
        <is>
          <t>Diversidad · Diversidad de materiales</t>
        </is>
      </c>
      <c r="H419" s="38" t="inlineStr">
        <is>
          <t>Relacionar el uso de distintos materiales (madera, metal, cerámica, caucho, vidrio, plástico, tela) con sus propiedades físicas.</t>
        </is>
      </c>
      <c r="I419" s="11" t="inlineStr">
        <is>
          <t>T4_27</t>
        </is>
      </c>
      <c r="J419" s="11" t="inlineStr">
        <is>
          <t>T4_27-P1.2</t>
        </is>
      </c>
      <c r="K419" s="11" t="inlineStr"/>
      <c r="L419" s="11" t="inlineStr">
        <is>
          <t>alta</t>
        </is>
      </c>
      <c r="M419" s="11">
        <f>IF(J419="FUERA","Fuera del marco",IFERROR(INDEX('Datos - Catálogo TIMSS'!$C$5:$C$107,MATCH(J419,'Datos - Catálogo TIMSS'!$A$5:$A$107,0)),"?"))</f>
        <v/>
      </c>
      <c r="N419" s="11" t="inlineStr">
        <is>
          <t>Relaciona propiedades físicas de materiales con sus usos</t>
        </is>
      </c>
    </row>
    <row r="420">
      <c r="A420" s="11" t="inlineStr">
        <is>
          <t>SG-DIV-006</t>
        </is>
      </c>
      <c r="B420" s="11" t="inlineStr">
        <is>
          <t>Singapur</t>
        </is>
      </c>
      <c r="C420" s="11" t="inlineStr">
        <is>
          <t>SG_Primary_Science_2023.pdf</t>
        </is>
      </c>
      <c r="D420" s="11" t="n">
        <v>40</v>
      </c>
      <c r="E420" s="11" t="inlineStr">
        <is>
          <t>P3</t>
        </is>
      </c>
      <c r="F420" s="11" t="n">
        <v>3</v>
      </c>
      <c r="G420" s="11" t="inlineStr">
        <is>
          <t>Diversidad · Diversidad de materiales</t>
        </is>
      </c>
      <c r="H420" s="38" t="inlineStr">
        <is>
          <t>Comparar propiedades físicas de materiales: resistencia, flexibilidad, capacidad de flotar o hundirse, impermeabilidad y transparencia (sin exigir densidad ni términos transparente/translúcido/opaco).</t>
        </is>
      </c>
      <c r="I420" s="11" t="inlineStr">
        <is>
          <t>T4_27</t>
        </is>
      </c>
      <c r="J420" s="11" t="inlineStr">
        <is>
          <t>T4_27-P1.2</t>
        </is>
      </c>
      <c r="K420" s="11" t="inlineStr"/>
      <c r="L420" s="11" t="inlineStr">
        <is>
          <t>alta</t>
        </is>
      </c>
      <c r="M420" s="11">
        <f>IF(J420="FUERA","Fuera del marco",IFERROR(INDEX('Datos - Catálogo TIMSS'!$C$5:$C$107,MATCH(J420,'Datos - Catálogo TIMSS'!$A$5:$A$107,0)),"?"))</f>
        <v/>
      </c>
      <c r="N420" s="11" t="inlineStr">
        <is>
          <t>Comparar materiales por propiedades físicas, incluida flotación</t>
        </is>
      </c>
    </row>
    <row r="421">
      <c r="A421" s="11" t="inlineStr">
        <is>
          <t>SG-INT-001</t>
        </is>
      </c>
      <c r="B421" s="11" t="inlineStr">
        <is>
          <t>Singapur</t>
        </is>
      </c>
      <c r="C421" s="11" t="inlineStr">
        <is>
          <t>SG_Primary_Science_2023.pdf</t>
        </is>
      </c>
      <c r="D421" s="11" t="n">
        <v>63</v>
      </c>
      <c r="E421" s="11" t="inlineStr">
        <is>
          <t>P3</t>
        </is>
      </c>
      <c r="F421" s="11" t="n">
        <v>3</v>
      </c>
      <c r="G421" s="11" t="inlineStr">
        <is>
          <t>Interacciones · Interacción de fuerzas: imanes</t>
        </is>
      </c>
      <c r="H421" s="38" t="inlineStr">
        <is>
          <t>Reconocer que un imán puede ejercer un empuje o una atracción (tirón).</t>
        </is>
      </c>
      <c r="I421" s="11" t="inlineStr">
        <is>
          <t>T4_27</t>
        </is>
      </c>
      <c r="J421" s="11" t="inlineStr">
        <is>
          <t>T4_27-P4.2</t>
        </is>
      </c>
      <c r="K421" s="11" t="inlineStr">
        <is>
          <t>T4_27-P5.1</t>
        </is>
      </c>
      <c r="L421" s="11" t="inlineStr">
        <is>
          <t>alta</t>
        </is>
      </c>
      <c r="M421" s="11">
        <f>IF(J421="FUERA","Fuera del marco",IFERROR(INDEX('Datos - Catálogo TIMSS'!$C$5:$C$107,MATCH(J421,'Datos - Catálogo TIMSS'!$A$5:$A$107,0)),"?"))</f>
        <v/>
      </c>
      <c r="N421" s="11" t="inlineStr">
        <is>
          <t>Imanes empujan o atraen: interacción magnética como fuerza</t>
        </is>
      </c>
    </row>
    <row r="422">
      <c r="A422" s="11" t="inlineStr">
        <is>
          <t>SG-INT-002</t>
        </is>
      </c>
      <c r="B422" s="11" t="inlineStr">
        <is>
          <t>Singapur</t>
        </is>
      </c>
      <c r="C422" s="11" t="inlineStr">
        <is>
          <t>SG_Primary_Science_2023.pdf</t>
        </is>
      </c>
      <c r="D422" s="11" t="n">
        <v>63</v>
      </c>
      <c r="E422" s="11" t="inlineStr">
        <is>
          <t>P3</t>
        </is>
      </c>
      <c r="F422" s="11" t="n">
        <v>3</v>
      </c>
      <c r="G422" s="11" t="inlineStr">
        <is>
          <t>Interacciones · Interacción de fuerzas: imanes</t>
        </is>
      </c>
      <c r="H422" s="38" t="inlineStr">
        <is>
          <t>Identificar características de los imanes: de hierro o acero, dos polos, orientación norte-sur, polos distintos se atraen e iguales se repelen, atraen materiales magnéticos.</t>
        </is>
      </c>
      <c r="I422" s="11" t="inlineStr">
        <is>
          <t>T4_27</t>
        </is>
      </c>
      <c r="J422" s="11" t="inlineStr">
        <is>
          <t>T4_27-P4.2</t>
        </is>
      </c>
      <c r="K422" s="11" t="inlineStr"/>
      <c r="L422" s="11" t="inlineStr">
        <is>
          <t>alta</t>
        </is>
      </c>
      <c r="M422" s="11">
        <f>IF(J422="FUERA","Fuera del marco",IFERROR(INDEX('Datos - Catálogo TIMSS'!$C$5:$C$107,MATCH(J422,'Datos - Catálogo TIMSS'!$A$5:$A$107,0)),"?"))</f>
        <v/>
      </c>
      <c r="N422" s="11" t="inlineStr">
        <is>
          <t>Polos, atracción y repulsión de imanes</t>
        </is>
      </c>
    </row>
    <row r="423">
      <c r="A423" s="11" t="inlineStr">
        <is>
          <t>SG-INT-003</t>
        </is>
      </c>
      <c r="B423" s="11" t="inlineStr">
        <is>
          <t>Singapur</t>
        </is>
      </c>
      <c r="C423" s="11" t="inlineStr">
        <is>
          <t>SG_Primary_Science_2023.pdf</t>
        </is>
      </c>
      <c r="D423" s="11" t="n">
        <v>63</v>
      </c>
      <c r="E423" s="11" t="inlineStr">
        <is>
          <t>P3</t>
        </is>
      </c>
      <c r="F423" s="11" t="n">
        <v>3</v>
      </c>
      <c r="G423" s="11" t="inlineStr">
        <is>
          <t>Interacciones · Interacción de fuerzas: imanes</t>
        </is>
      </c>
      <c r="H423" s="38" t="inlineStr">
        <is>
          <t>Reconocer usos de los imanes en objetos cotidianos.</t>
        </is>
      </c>
      <c r="I423" s="11" t="inlineStr">
        <is>
          <t>T4_27</t>
        </is>
      </c>
      <c r="J423" s="11" t="inlineStr">
        <is>
          <t>T4_27-P4.2</t>
        </is>
      </c>
      <c r="K423" s="11" t="inlineStr"/>
      <c r="L423" s="11" t="inlineStr">
        <is>
          <t>media</t>
        </is>
      </c>
      <c r="M423" s="11">
        <f>IF(J423="FUERA","Fuera del marco",IFERROR(INDEX('Datos - Catálogo TIMSS'!$C$5:$C$107,MATCH(J423,'Datos - Catálogo TIMSS'!$A$5:$A$107,0)),"?"))</f>
        <v/>
      </c>
      <c r="N423" s="11" t="inlineStr">
        <is>
          <t>Usos cotidianos de imanes</t>
        </is>
      </c>
    </row>
    <row r="424">
      <c r="A424" s="11" t="inlineStr">
        <is>
          <t>SG-INT-004</t>
        </is>
      </c>
      <c r="B424" s="11" t="inlineStr">
        <is>
          <t>Singapur</t>
        </is>
      </c>
      <c r="C424" s="11" t="inlineStr">
        <is>
          <t>SG_Primary_Science_2023.pdf</t>
        </is>
      </c>
      <c r="D424" s="11" t="n">
        <v>63</v>
      </c>
      <c r="E424" s="11" t="inlineStr">
        <is>
          <t>P3</t>
        </is>
      </c>
      <c r="F424" s="11" t="n">
        <v>3</v>
      </c>
      <c r="G424" s="11" t="inlineStr">
        <is>
          <t>Interacciones · Interacción de fuerzas: imanes</t>
        </is>
      </c>
      <c r="H424" s="38" t="inlineStr">
        <is>
          <t>Comparar imanes, materiales magnéticos y materiales no magnéticos.</t>
        </is>
      </c>
      <c r="I424" s="11" t="inlineStr">
        <is>
          <t>T4_27</t>
        </is>
      </c>
      <c r="J424" s="11" t="inlineStr">
        <is>
          <t>T4_27-P4.2</t>
        </is>
      </c>
      <c r="K424" s="11" t="inlineStr">
        <is>
          <t>T4_27-P1.2</t>
        </is>
      </c>
      <c r="L424" s="11" t="inlineStr">
        <is>
          <t>alta</t>
        </is>
      </c>
      <c r="M424" s="11">
        <f>IF(J424="FUERA","Fuera del marco",IFERROR(INDEX('Datos - Catálogo TIMSS'!$C$5:$C$107,MATCH(J424,'Datos - Catálogo TIMSS'!$A$5:$A$107,0)),"?"))</f>
        <v/>
      </c>
      <c r="N424" s="11" t="inlineStr">
        <is>
          <t>Clasificar materiales según atracción magnética</t>
        </is>
      </c>
    </row>
    <row r="425">
      <c r="A425" s="11" t="inlineStr">
        <is>
          <t>SG-INT-005</t>
        </is>
      </c>
      <c r="B425" s="11" t="inlineStr">
        <is>
          <t>Singapur</t>
        </is>
      </c>
      <c r="C425" s="11" t="inlineStr">
        <is>
          <t>SG_Primary_Science_2023.pdf</t>
        </is>
      </c>
      <c r="D425" s="11" t="n">
        <v>63</v>
      </c>
      <c r="E425" s="11" t="inlineStr">
        <is>
          <t>P3</t>
        </is>
      </c>
      <c r="F425" s="11" t="n">
        <v>3</v>
      </c>
      <c r="G425" s="11" t="inlineStr">
        <is>
          <t>Interacciones · Interacción de fuerzas: imanes</t>
        </is>
      </c>
      <c r="H425" s="38" t="inlineStr">
        <is>
          <t>Fabricar un imán por el método de frotamiento y por el método eléctrico.</t>
        </is>
      </c>
      <c r="I425" s="11" t="inlineStr">
        <is>
          <t>T4_27</t>
        </is>
      </c>
      <c r="J425" s="11" t="inlineStr">
        <is>
          <t>T4_27-P4.2</t>
        </is>
      </c>
      <c r="K425" s="11" t="inlineStr"/>
      <c r="L425" s="11" t="inlineStr">
        <is>
          <t>media</t>
        </is>
      </c>
      <c r="M425" s="11">
        <f>IF(J425="FUERA","Fuera del marco",IFERROR(INDEX('Datos - Catálogo TIMSS'!$C$5:$C$107,MATCH(J425,'Datos - Catálogo TIMSS'!$A$5:$A$107,0)),"?"))</f>
        <v/>
      </c>
      <c r="N425" s="11" t="inlineStr">
        <is>
          <t>Fabricar imanes; método eléctrico excede nivel de 4.°</t>
        </is>
      </c>
    </row>
    <row r="426">
      <c r="A426" s="11" t="inlineStr">
        <is>
          <t>SG-PRA-001</t>
        </is>
      </c>
      <c r="B426" s="11" t="inlineStr">
        <is>
          <t>Singapur</t>
        </is>
      </c>
      <c r="C426" s="11" t="inlineStr">
        <is>
          <t>SG_Primary_Science_2023.pdf</t>
        </is>
      </c>
      <c r="D426" s="11" t="n">
        <v>16</v>
      </c>
      <c r="E426" s="11" t="inlineStr">
        <is>
          <t>P3–P6</t>
        </is>
      </c>
      <c r="F426" s="11" t="n">
        <v>3</v>
      </c>
      <c r="G426" s="11" t="inlineStr">
        <is>
          <t>Prácticas de la ciencia · Plantear preguntas y definir problemas</t>
        </is>
      </c>
      <c r="H426" s="38" t="inlineStr">
        <is>
          <t>Hacer preguntas por curiosidad o para profundizar la comprensión.</t>
        </is>
      </c>
      <c r="I426" s="11" t="inlineStr">
        <is>
          <t>T4_27</t>
        </is>
      </c>
      <c r="J426" s="11" t="inlineStr">
        <is>
          <t>FUERA</t>
        </is>
      </c>
      <c r="K426" s="11" t="inlineStr"/>
      <c r="L426" s="11" t="inlineStr">
        <is>
          <t>media</t>
        </is>
      </c>
      <c r="M426" s="11">
        <f>IF(J426="FUERA","Fuera del marco",IFERROR(INDEX('Datos - Catálogo TIMSS'!$C$5:$C$107,MATCH(J426,'Datos - Catálogo TIMSS'!$A$5:$A$107,0)),"?"))</f>
        <v/>
      </c>
      <c r="N426" s="11" t="inlineStr">
        <is>
          <t>Curiosidad general, no preguntas comprobables específicas</t>
        </is>
      </c>
    </row>
    <row r="427">
      <c r="A427" s="11" t="inlineStr">
        <is>
          <t>SG-PRA-002</t>
        </is>
      </c>
      <c r="B427" s="11" t="inlineStr">
        <is>
          <t>Singapur</t>
        </is>
      </c>
      <c r="C427" s="11" t="inlineStr">
        <is>
          <t>SG_Primary_Science_2023.pdf</t>
        </is>
      </c>
      <c r="D427" s="11" t="n">
        <v>16</v>
      </c>
      <c r="E427" s="11" t="inlineStr">
        <is>
          <t>P3–P6</t>
        </is>
      </c>
      <c r="F427" s="11" t="n">
        <v>3</v>
      </c>
      <c r="G427" s="11" t="inlineStr">
        <is>
          <t>Prácticas de la ciencia · Plantear preguntas y definir problemas</t>
        </is>
      </c>
      <c r="H427" s="38" t="inlineStr">
        <is>
          <t>Hacer preguntas que puedan investigarse.</t>
        </is>
      </c>
      <c r="I427" s="11" t="inlineStr">
        <is>
          <t>T4_27</t>
        </is>
      </c>
      <c r="J427" s="11" t="inlineStr">
        <is>
          <t>T4_27-P6.1</t>
        </is>
      </c>
      <c r="K427" s="11" t="inlineStr"/>
      <c r="L427" s="11" t="inlineStr">
        <is>
          <t>alta</t>
        </is>
      </c>
      <c r="M427" s="11">
        <f>IF(J427="FUERA","Fuera del marco",IFERROR(INDEX('Datos - Catálogo TIMSS'!$C$5:$C$107,MATCH(J427,'Datos - Catálogo TIMSS'!$A$5:$A$107,0)),"?"))</f>
        <v/>
      </c>
      <c r="N427" s="11" t="inlineStr">
        <is>
          <t>Formular preguntas investigables o comprobables</t>
        </is>
      </c>
    </row>
    <row r="428">
      <c r="A428" s="11" t="inlineStr">
        <is>
          <t>SG-PRA-003</t>
        </is>
      </c>
      <c r="B428" s="11" t="inlineStr">
        <is>
          <t>Singapur</t>
        </is>
      </c>
      <c r="C428" s="11" t="inlineStr">
        <is>
          <t>SG_Primary_Science_2023.pdf</t>
        </is>
      </c>
      <c r="D428" s="11" t="n">
        <v>16</v>
      </c>
      <c r="E428" s="11" t="inlineStr">
        <is>
          <t>P3–P4</t>
        </is>
      </c>
      <c r="F428" s="11" t="n">
        <v>3</v>
      </c>
      <c r="G428" s="11" t="inlineStr">
        <is>
          <t>Prácticas de la ciencia · Diseñar investigaciones</t>
        </is>
      </c>
      <c r="H428" s="38" t="inlineStr">
        <is>
          <t>Reconocer una prueba justa (variables que cambian y que se mantienen).</t>
        </is>
      </c>
      <c r="I428" s="11" t="inlineStr">
        <is>
          <t>T4_27</t>
        </is>
      </c>
      <c r="J428" s="11" t="inlineStr">
        <is>
          <t>T4_27-B6.1</t>
        </is>
      </c>
      <c r="K428" s="11" t="inlineStr">
        <is>
          <t>T4_27-P6.1</t>
        </is>
      </c>
      <c r="L428" s="11" t="inlineStr">
        <is>
          <t>media</t>
        </is>
      </c>
      <c r="M428" s="11">
        <f>IF(J428="FUERA","Fuera del marco",IFERROR(INDEX('Datos - Catálogo TIMSS'!$C$5:$C$107,MATCH(J428,'Datos - Catálogo TIMSS'!$A$5:$A$107,0)),"?"))</f>
        <v/>
      </c>
      <c r="N428" s="11" t="inlineStr">
        <is>
          <t>Prueba justa: variables que cambian y se mantienen</t>
        </is>
      </c>
    </row>
    <row r="429">
      <c r="A429" s="11" t="inlineStr">
        <is>
          <t>SG-PRA-005</t>
        </is>
      </c>
      <c r="B429" s="11" t="inlineStr">
        <is>
          <t>Singapur</t>
        </is>
      </c>
      <c r="C429" s="11" t="inlineStr">
        <is>
          <t>SG_Primary_Science_2023.pdf</t>
        </is>
      </c>
      <c r="D429" s="11" t="n">
        <v>17</v>
      </c>
      <c r="E429" s="11" t="inlineStr">
        <is>
          <t>P3–P4</t>
        </is>
      </c>
      <c r="F429" s="11" t="n">
        <v>3</v>
      </c>
      <c r="G429" s="11" t="inlineStr">
        <is>
          <t>Prácticas de la ciencia · Realizar investigaciones y probar soluciones</t>
        </is>
      </c>
      <c r="H429" s="38" t="inlineStr">
        <is>
          <t>Usar los sentidos, aparatos y equipos para recoger datos.</t>
        </is>
      </c>
      <c r="I429" s="11" t="inlineStr">
        <is>
          <t>T4_27</t>
        </is>
      </c>
      <c r="J429" s="11" t="inlineStr">
        <is>
          <t>T4_27-P6.1</t>
        </is>
      </c>
      <c r="K429" s="11" t="inlineStr"/>
      <c r="L429" s="11" t="inlineStr">
        <is>
          <t>media</t>
        </is>
      </c>
      <c r="M429" s="11">
        <f>IF(J429="FUERA","Fuera del marco",IFERROR(INDEX('Datos - Catálogo TIMSS'!$C$5:$C$107,MATCH(J429,'Datos - Catálogo TIMSS'!$A$5:$A$107,0)),"?"))</f>
        <v/>
      </c>
      <c r="N429" s="11" t="inlineStr">
        <is>
          <t>Uso de equipo para recoger datos</t>
        </is>
      </c>
    </row>
    <row r="430">
      <c r="A430" s="11" t="inlineStr">
        <is>
          <t>SG-PRA-006</t>
        </is>
      </c>
      <c r="B430" s="11" t="inlineStr">
        <is>
          <t>Singapur</t>
        </is>
      </c>
      <c r="C430" s="11" t="inlineStr">
        <is>
          <t>SG_Primary_Science_2023.pdf</t>
        </is>
      </c>
      <c r="D430" s="11" t="n">
        <v>17</v>
      </c>
      <c r="E430" s="11" t="inlineStr">
        <is>
          <t>P3–P4</t>
        </is>
      </c>
      <c r="F430" s="11" t="n">
        <v>3</v>
      </c>
      <c r="G430" s="11" t="inlineStr">
        <is>
          <t>Prácticas de la ciencia · Realizar investigaciones y probar soluciones</t>
        </is>
      </c>
      <c r="H430" s="38" t="inlineStr">
        <is>
          <t>Investigar para responder preguntas mediante investigaciones guiadas.</t>
        </is>
      </c>
      <c r="I430" s="11" t="inlineStr">
        <is>
          <t>T4_27</t>
        </is>
      </c>
      <c r="J430" s="11" t="inlineStr">
        <is>
          <t>T4_27-P6.1</t>
        </is>
      </c>
      <c r="K430" s="11" t="inlineStr"/>
      <c r="L430" s="11" t="inlineStr">
        <is>
          <t>baja</t>
        </is>
      </c>
      <c r="M430" s="11">
        <f>IF(J430="FUERA","Fuera del marco",IFERROR(INDEX('Datos - Catálogo TIMSS'!$C$5:$C$107,MATCH(J430,'Datos - Catálogo TIMSS'!$A$5:$A$107,0)),"?"))</f>
        <v/>
      </c>
      <c r="N430" s="11" t="inlineStr">
        <is>
          <t>Investigación guiada genérica, sin disciplina definida</t>
        </is>
      </c>
    </row>
    <row r="431">
      <c r="A431" s="11" t="inlineStr">
        <is>
          <t>SG-PRA-007</t>
        </is>
      </c>
      <c r="B431" s="11" t="inlineStr">
        <is>
          <t>Singapur</t>
        </is>
      </c>
      <c r="C431" s="11" t="inlineStr">
        <is>
          <t>SG_Primary_Science_2023.pdf</t>
        </is>
      </c>
      <c r="D431" s="11" t="n">
        <v>17</v>
      </c>
      <c r="E431" s="11" t="inlineStr">
        <is>
          <t>P3–P4</t>
        </is>
      </c>
      <c r="F431" s="11" t="n">
        <v>3</v>
      </c>
      <c r="G431" s="11" t="inlineStr">
        <is>
          <t>Prácticas de la ciencia · Realizar investigaciones y probar soluciones</t>
        </is>
      </c>
      <c r="H431" s="38" t="inlineStr">
        <is>
          <t>Registrar y/o comparar observaciones o datos con andamiaje sugerido.</t>
        </is>
      </c>
      <c r="I431" s="11" t="inlineStr">
        <is>
          <t>T4_27</t>
        </is>
      </c>
      <c r="J431" s="11" t="inlineStr">
        <is>
          <t>T4_27-P6.1</t>
        </is>
      </c>
      <c r="K431" s="11" t="inlineStr"/>
      <c r="L431" s="11" t="inlineStr">
        <is>
          <t>baja</t>
        </is>
      </c>
      <c r="M431" s="11">
        <f>IF(J431="FUERA","Fuera del marco",IFERROR(INDEX('Datos - Catálogo TIMSS'!$C$5:$C$107,MATCH(J431,'Datos - Catálogo TIMSS'!$A$5:$A$107,0)),"?"))</f>
        <v/>
      </c>
      <c r="N431" s="11" t="inlineStr">
        <is>
          <t>Registrar y comparar datos; práctica genérica</t>
        </is>
      </c>
    </row>
    <row r="432">
      <c r="A432" s="11" t="inlineStr">
        <is>
          <t>SG-PRA-011</t>
        </is>
      </c>
      <c r="B432" s="11" t="inlineStr">
        <is>
          <t>Singapur</t>
        </is>
      </c>
      <c r="C432" s="11" t="inlineStr">
        <is>
          <t>SG_Primary_Science_2023.pdf</t>
        </is>
      </c>
      <c r="D432" s="11" t="n">
        <v>17</v>
      </c>
      <c r="E432" s="11" t="inlineStr">
        <is>
          <t>P3–P4</t>
        </is>
      </c>
      <c r="F432" s="11" t="n">
        <v>3</v>
      </c>
      <c r="G432" s="11" t="inlineStr">
        <is>
          <t>Prácticas de la ciencia · Analizar e interpretar datos</t>
        </is>
      </c>
      <c r="H432" s="38" t="inlineStr">
        <is>
          <t>Hacer análisis sencillos de datos en tablas, gráficos de barras y líneas, esquemas y diagramas para inferir patrones y relaciones o explicar hallazgos.</t>
        </is>
      </c>
      <c r="I432" s="11" t="inlineStr">
        <is>
          <t>T4_27</t>
        </is>
      </c>
      <c r="J432" s="11" t="inlineStr">
        <is>
          <t>T4_27-P6.1</t>
        </is>
      </c>
      <c r="K432" s="11" t="inlineStr"/>
      <c r="L432" s="11" t="inlineStr">
        <is>
          <t>baja</t>
        </is>
      </c>
      <c r="M432" s="11">
        <f>IF(J432="FUERA","Fuera del marco",IFERROR(INDEX('Datos - Catálogo TIMSS'!$C$5:$C$107,MATCH(J432,'Datos - Catálogo TIMSS'!$A$5:$A$107,0)),"?"))</f>
        <v/>
      </c>
      <c r="N432" s="11" t="inlineStr">
        <is>
          <t>Analizar datos para concluir; práctica genérica</t>
        </is>
      </c>
    </row>
    <row r="433">
      <c r="A433" s="11" t="inlineStr">
        <is>
          <t>SG-PRA-013</t>
        </is>
      </c>
      <c r="B433" s="11" t="inlineStr">
        <is>
          <t>Singapur</t>
        </is>
      </c>
      <c r="C433" s="11" t="inlineStr">
        <is>
          <t>SG_Primary_Science_2023.pdf</t>
        </is>
      </c>
      <c r="D433" s="11" t="n">
        <v>18</v>
      </c>
      <c r="E433" s="11" t="inlineStr">
        <is>
          <t>P3–P6</t>
        </is>
      </c>
      <c r="F433" s="11" t="n">
        <v>3</v>
      </c>
      <c r="G433" s="11" t="inlineStr">
        <is>
          <t>Prácticas de la ciencia · Comunicar, evaluar y defender ideas con evidencia</t>
        </is>
      </c>
      <c r="H433" s="38" t="inlineStr">
        <is>
          <t>Comunicar en forma escrita, oral, pictórica, tabular o gráfica explicaciones y razonamientos claros.</t>
        </is>
      </c>
      <c r="I433" s="11" t="inlineStr">
        <is>
          <t>T4_27</t>
        </is>
      </c>
      <c r="J433" s="11" t="inlineStr">
        <is>
          <t>FUERA</t>
        </is>
      </c>
      <c r="K433" s="11" t="inlineStr"/>
      <c r="L433" s="11" t="inlineStr">
        <is>
          <t>alta</t>
        </is>
      </c>
      <c r="M433" s="11">
        <f>IF(J433="FUERA","Fuera del marco",IFERROR(INDEX('Datos - Catálogo TIMSS'!$C$5:$C$107,MATCH(J433,'Datos - Catálogo TIMSS'!$A$5:$A$107,0)),"?"))</f>
        <v/>
      </c>
      <c r="N433" s="11" t="inlineStr">
        <is>
          <t>Comunicación general sin contenido científico del catálogo</t>
        </is>
      </c>
    </row>
    <row r="434">
      <c r="A434" s="11" t="inlineStr">
        <is>
          <t>SG-PRA-014</t>
        </is>
      </c>
      <c r="B434" s="11" t="inlineStr">
        <is>
          <t>Singapur</t>
        </is>
      </c>
      <c r="C434" s="11" t="inlineStr">
        <is>
          <t>SG_Primary_Science_2023.pdf</t>
        </is>
      </c>
      <c r="D434" s="11" t="n">
        <v>18</v>
      </c>
      <c r="E434" s="11" t="inlineStr">
        <is>
          <t>P3–P6</t>
        </is>
      </c>
      <c r="F434" s="11" t="n">
        <v>3</v>
      </c>
      <c r="G434" s="11" t="inlineStr">
        <is>
          <t>Prácticas de la ciencia · Comunicar, evaluar y defender ideas con evidencia</t>
        </is>
      </c>
      <c r="H434" s="38" t="inlineStr">
        <is>
          <t>Pedir aclaraciones para profundizar la comprensión.</t>
        </is>
      </c>
      <c r="I434" s="11" t="inlineStr">
        <is>
          <t>T4_27</t>
        </is>
      </c>
      <c r="J434" s="11" t="inlineStr">
        <is>
          <t>FUERA</t>
        </is>
      </c>
      <c r="K434" s="11" t="inlineStr"/>
      <c r="L434" s="11" t="inlineStr">
        <is>
          <t>alta</t>
        </is>
      </c>
      <c r="M434" s="11">
        <f>IF(J434="FUERA","Fuera del marco",IFERROR(INDEX('Datos - Catálogo TIMSS'!$C$5:$C$107,MATCH(J434,'Datos - Catálogo TIMSS'!$A$5:$A$107,0)),"?"))</f>
        <v/>
      </c>
      <c r="N434" s="11" t="inlineStr">
        <is>
          <t>Pedir aclaraciones: competencia comunicativa general</t>
        </is>
      </c>
    </row>
    <row r="435">
      <c r="A435" s="11" t="inlineStr">
        <is>
          <t>SG-PRA-015</t>
        </is>
      </c>
      <c r="B435" s="11" t="inlineStr">
        <is>
          <t>Singapur</t>
        </is>
      </c>
      <c r="C435" s="11" t="inlineStr">
        <is>
          <t>SG_Primary_Science_2023.pdf</t>
        </is>
      </c>
      <c r="D435" s="11" t="n">
        <v>18</v>
      </c>
      <c r="E435" s="11" t="inlineStr">
        <is>
          <t>P3–P6</t>
        </is>
      </c>
      <c r="F435" s="11" t="n">
        <v>3</v>
      </c>
      <c r="G435" s="11" t="inlineStr">
        <is>
          <t>Prácticas de la ciencia · Tomar decisiones informadas y actuar responsablemente</t>
        </is>
      </c>
      <c r="H435" s="38" t="inlineStr">
        <is>
          <t>Enunciar o seleccionar opciones con base en criterios apropiados, dando razones.</t>
        </is>
      </c>
      <c r="I435" s="11" t="inlineStr">
        <is>
          <t>T4_27</t>
        </is>
      </c>
      <c r="J435" s="11" t="inlineStr">
        <is>
          <t>FUERA</t>
        </is>
      </c>
      <c r="K435" s="11" t="inlineStr"/>
      <c r="L435" s="11" t="inlineStr">
        <is>
          <t>media</t>
        </is>
      </c>
      <c r="M435" s="11">
        <f>IF(J435="FUERA","Fuera del marco",IFERROR(INDEX('Datos - Catálogo TIMSS'!$C$5:$C$107,MATCH(J435,'Datos - Catálogo TIMSS'!$A$5:$A$107,0)),"?"))</f>
        <v/>
      </c>
      <c r="N435" s="11" t="inlineStr">
        <is>
          <t>Toma de decisiones general, sin contenido del catálogo</t>
        </is>
      </c>
    </row>
    <row r="436">
      <c r="A436" s="11" t="inlineStr">
        <is>
          <t>SG-PRA-016</t>
        </is>
      </c>
      <c r="B436" s="11" t="inlineStr">
        <is>
          <t>Singapur</t>
        </is>
      </c>
      <c r="C436" s="11" t="inlineStr">
        <is>
          <t>SG_Primary_Science_2023.pdf</t>
        </is>
      </c>
      <c r="D436" s="11" t="n">
        <v>18</v>
      </c>
      <c r="E436" s="11" t="inlineStr">
        <is>
          <t>P3–P6</t>
        </is>
      </c>
      <c r="F436" s="11" t="n">
        <v>3</v>
      </c>
      <c r="G436" s="11" t="inlineStr">
        <is>
          <t>Prácticas de la ciencia · Usar y desarrollar modelos</t>
        </is>
      </c>
      <c r="H436" s="38" t="inlineStr">
        <is>
          <t>Usar representaciones múltiples (dibujos, esquemas, diagramas, tablas, gráficos) para explicar conceptos y describir y predecir fenómenos.</t>
        </is>
      </c>
      <c r="I436" s="11" t="inlineStr">
        <is>
          <t>T4_27</t>
        </is>
      </c>
      <c r="J436" s="11" t="inlineStr">
        <is>
          <t>FUERA</t>
        </is>
      </c>
      <c r="K436" s="11" t="inlineStr"/>
      <c r="L436" s="11" t="inlineStr">
        <is>
          <t>baja</t>
        </is>
      </c>
      <c r="M436" s="11">
        <f>IF(J436="FUERA","Fuera del marco",IFERROR(INDEX('Datos - Catálogo TIMSS'!$C$5:$C$107,MATCH(J436,'Datos - Catálogo TIMSS'!$A$5:$A$107,0)),"?"))</f>
        <v/>
      </c>
      <c r="N436" s="11" t="inlineStr">
        <is>
          <t>Uso de modelos y representaciones, sin área específica</t>
        </is>
      </c>
    </row>
    <row r="437">
      <c r="A437" s="11" t="inlineStr">
        <is>
          <t>SG-PRA-017</t>
        </is>
      </c>
      <c r="B437" s="11" t="inlineStr">
        <is>
          <t>Singapur</t>
        </is>
      </c>
      <c r="C437" s="11" t="inlineStr">
        <is>
          <t>SG_Primary_Science_2023.pdf</t>
        </is>
      </c>
      <c r="D437" s="11" t="n">
        <v>19</v>
      </c>
      <c r="E437" s="11" t="inlineStr">
        <is>
          <t>P3–P6</t>
        </is>
      </c>
      <c r="F437" s="11" t="n">
        <v>3</v>
      </c>
      <c r="G437" s="11" t="inlineStr">
        <is>
          <t>Prácticas de la ciencia · Construir explicaciones y diseñar soluciones</t>
        </is>
      </c>
      <c r="H437" s="38" t="inlineStr">
        <is>
          <t>Construir explicaciones posibles y generar ideas.</t>
        </is>
      </c>
      <c r="I437" s="11" t="inlineStr">
        <is>
          <t>T4_27</t>
        </is>
      </c>
      <c r="J437" s="11" t="inlineStr">
        <is>
          <t>FUERA</t>
        </is>
      </c>
      <c r="K437" s="11" t="inlineStr"/>
      <c r="L437" s="11" t="inlineStr">
        <is>
          <t>baja</t>
        </is>
      </c>
      <c r="M437" s="11">
        <f>IF(J437="FUERA","Fuera del marco",IFERROR(INDEX('Datos - Catálogo TIMSS'!$C$5:$C$107,MATCH(J437,'Datos - Catálogo TIMSS'!$A$5:$A$107,0)),"?"))</f>
        <v/>
      </c>
      <c r="N437" s="11" t="inlineStr">
        <is>
          <t>Construir explicaciones, competencia general sin contenido</t>
        </is>
      </c>
    </row>
    <row r="438">
      <c r="A438" s="11" t="inlineStr">
        <is>
          <t>SG-CYC-010</t>
        </is>
      </c>
      <c r="B438" s="11" t="inlineStr">
        <is>
          <t>Singapur</t>
        </is>
      </c>
      <c r="C438" s="11" t="inlineStr">
        <is>
          <t>SG_Primary_Science_2023.pdf</t>
        </is>
      </c>
      <c r="D438" s="11" t="n">
        <v>49</v>
      </c>
      <c r="E438" s="11" t="inlineStr">
        <is>
          <t>P4</t>
        </is>
      </c>
      <c r="F438" s="11" t="n">
        <v>4</v>
      </c>
      <c r="G438" s="11" t="inlineStr">
        <is>
          <t>Ciclos · Ciclos en la materia y el agua: materia</t>
        </is>
      </c>
      <c r="H438" s="38" t="inlineStr">
        <is>
          <t>Enunciar que la materia es todo lo que tiene masa y ocupa espacio.</t>
        </is>
      </c>
      <c r="I438" s="11" t="inlineStr">
        <is>
          <t>T4_27</t>
        </is>
      </c>
      <c r="J438" s="11" t="inlineStr">
        <is>
          <t>T4_27-P1.2</t>
        </is>
      </c>
      <c r="K438" s="11" t="inlineStr"/>
      <c r="L438" s="11" t="inlineStr">
        <is>
          <t>media</t>
        </is>
      </c>
      <c r="M438" s="11">
        <f>IF(J438="FUERA","Fuera del marco",IFERROR(INDEX('Datos - Catálogo TIMSS'!$C$5:$C$107,MATCH(J438,'Datos - Catálogo TIMSS'!$A$5:$A$107,0)),"?"))</f>
        <v/>
      </c>
      <c r="N438" s="11" t="inlineStr">
        <is>
          <t>Materia definida por masa y volumen, propiedades medibles</t>
        </is>
      </c>
    </row>
    <row r="439">
      <c r="A439" s="11" t="inlineStr">
        <is>
          <t>SG-CYC-011</t>
        </is>
      </c>
      <c r="B439" s="11" t="inlineStr">
        <is>
          <t>Singapur</t>
        </is>
      </c>
      <c r="C439" s="11" t="inlineStr">
        <is>
          <t>SG_Primary_Science_2023.pdf</t>
        </is>
      </c>
      <c r="D439" s="11" t="n">
        <v>49</v>
      </c>
      <c r="E439" s="11" t="inlineStr">
        <is>
          <t>P4</t>
        </is>
      </c>
      <c r="F439" s="11" t="n">
        <v>4</v>
      </c>
      <c r="G439" s="11" t="inlineStr">
        <is>
          <t>Ciclos · Ciclos en la materia y el agua: materia</t>
        </is>
      </c>
      <c r="H439" s="38" t="inlineStr">
        <is>
          <t>Diferenciar los tres estados de la materia (sólido, líquido, gas) según su forma y volumen.</t>
        </is>
      </c>
      <c r="I439" s="11" t="inlineStr">
        <is>
          <t>T4_27</t>
        </is>
      </c>
      <c r="J439" s="11" t="inlineStr">
        <is>
          <t>T4_27-P1.1</t>
        </is>
      </c>
      <c r="K439" s="11" t="inlineStr"/>
      <c r="L439" s="11" t="inlineStr">
        <is>
          <t>alta</t>
        </is>
      </c>
      <c r="M439" s="11">
        <f>IF(J439="FUERA","Fuera del marco",IFERROR(INDEX('Datos - Catálogo TIMSS'!$C$5:$C$107,MATCH(J439,'Datos - Catálogo TIMSS'!$A$5:$A$107,0)),"?"))</f>
        <v/>
      </c>
      <c r="N439" s="11" t="inlineStr">
        <is>
          <t>Estados de la materia según forma y volumen</t>
        </is>
      </c>
    </row>
    <row r="440">
      <c r="A440" s="11" t="inlineStr">
        <is>
          <t>SG-CYC-012</t>
        </is>
      </c>
      <c r="B440" s="11" t="inlineStr">
        <is>
          <t>Singapur</t>
        </is>
      </c>
      <c r="C440" s="11" t="inlineStr">
        <is>
          <t>SG_Primary_Science_2023.pdf</t>
        </is>
      </c>
      <c r="D440" s="11" t="n">
        <v>49</v>
      </c>
      <c r="E440" s="11" t="inlineStr">
        <is>
          <t>P4</t>
        </is>
      </c>
      <c r="F440" s="11" t="n">
        <v>4</v>
      </c>
      <c r="G440" s="11" t="inlineStr">
        <is>
          <t>Ciclos · Ciclos en la materia y el agua: materia</t>
        </is>
      </c>
      <c r="H440" s="38" t="inlineStr">
        <is>
          <t>Medir masa y volumen usando los instrumentos apropiados.</t>
        </is>
      </c>
      <c r="I440" s="11" t="inlineStr">
        <is>
          <t>T4_27</t>
        </is>
      </c>
      <c r="J440" s="11" t="inlineStr">
        <is>
          <t>T4_27-P6.1</t>
        </is>
      </c>
      <c r="K440" s="11" t="inlineStr">
        <is>
          <t>T4_27-P1.2</t>
        </is>
      </c>
      <c r="L440" s="11" t="inlineStr">
        <is>
          <t>media</t>
        </is>
      </c>
      <c r="M440" s="11">
        <f>IF(J440="FUERA","Fuera del marco",IFERROR(INDEX('Datos - Catálogo TIMSS'!$C$5:$C$107,MATCH(J440,'Datos - Catálogo TIMSS'!$A$5:$A$107,0)),"?"))</f>
        <v/>
      </c>
      <c r="N440" s="11" t="inlineStr">
        <is>
          <t>Medir masa y volumen con instrumentos adecuados</t>
        </is>
      </c>
    </row>
    <row r="441">
      <c r="A441" s="11" t="inlineStr">
        <is>
          <t>SG-ENE-001</t>
        </is>
      </c>
      <c r="B441" s="11" t="inlineStr">
        <is>
          <t>Singapur</t>
        </is>
      </c>
      <c r="C441" s="11" t="inlineStr">
        <is>
          <t>SG_Primary_Science_2023.pdf</t>
        </is>
      </c>
      <c r="D441" s="11" t="n">
        <v>76</v>
      </c>
      <c r="E441" s="11" t="inlineStr">
        <is>
          <t>P4</t>
        </is>
      </c>
      <c r="F441" s="11" t="n">
        <v>4</v>
      </c>
      <c r="G441" s="11" t="inlineStr">
        <is>
          <t>Energía · Formas y usos de la energía: luz</t>
        </is>
      </c>
      <c r="H441" s="38" t="inlineStr">
        <is>
          <t>Reconocer que un objeto se ve cuando refleja la luz o cuando es fuente de luz (no se exige la ley de reflexión).</t>
        </is>
      </c>
      <c r="I441" s="11" t="inlineStr">
        <is>
          <t>T4_27</t>
        </is>
      </c>
      <c r="J441" s="11" t="inlineStr">
        <is>
          <t>T4_27-P3.1</t>
        </is>
      </c>
      <c r="K441" s="11" t="inlineStr"/>
      <c r="L441" s="11" t="inlineStr">
        <is>
          <t>alta</t>
        </is>
      </c>
      <c r="M441" s="11">
        <f>IF(J441="FUERA","Fuera del marco",IFERROR(INDEX('Datos - Catálogo TIMSS'!$C$5:$C$107,MATCH(J441,'Datos - Catálogo TIMSS'!$A$5:$A$107,0)),"?"))</f>
        <v/>
      </c>
      <c r="N441" s="11" t="inlineStr">
        <is>
          <t>Ver objetos por luz reflejada o emitida</t>
        </is>
      </c>
    </row>
    <row r="442">
      <c r="A442" s="11" t="inlineStr">
        <is>
          <t>SG-ENE-002</t>
        </is>
      </c>
      <c r="B442" s="11" t="inlineStr">
        <is>
          <t>Singapur</t>
        </is>
      </c>
      <c r="C442" s="11" t="inlineStr">
        <is>
          <t>SG_Primary_Science_2023.pdf</t>
        </is>
      </c>
      <c r="D442" s="11" t="n">
        <v>76</v>
      </c>
      <c r="E442" s="11" t="inlineStr">
        <is>
          <t>P4</t>
        </is>
      </c>
      <c r="F442" s="11" t="n">
        <v>4</v>
      </c>
      <c r="G442" s="11" t="inlineStr">
        <is>
          <t>Energía · Formas y usos de la energía: luz</t>
        </is>
      </c>
      <c r="H442" s="38" t="inlineStr">
        <is>
          <t>Reconocer que la luz viaja en línea recta y que se forma una sombra cuando un objeto la bloquea total o parcialmente.</t>
        </is>
      </c>
      <c r="I442" s="11" t="inlineStr">
        <is>
          <t>T4_27</t>
        </is>
      </c>
      <c r="J442" s="11" t="inlineStr">
        <is>
          <t>T4_27-P3.1</t>
        </is>
      </c>
      <c r="K442" s="11" t="inlineStr"/>
      <c r="L442" s="11" t="inlineStr">
        <is>
          <t>alta</t>
        </is>
      </c>
      <c r="M442" s="11">
        <f>IF(J442="FUERA","Fuera del marco",IFERROR(INDEX('Datos - Catálogo TIMSS'!$C$5:$C$107,MATCH(J442,'Datos - Catálogo TIMSS'!$A$5:$A$107,0)),"?"))</f>
        <v/>
      </c>
      <c r="N442" s="11" t="inlineStr">
        <is>
          <t>Propagación rectilínea de la luz y formación de sombras</t>
        </is>
      </c>
    </row>
    <row r="443">
      <c r="A443" s="11" t="inlineStr">
        <is>
          <t>SG-ENE-003</t>
        </is>
      </c>
      <c r="B443" s="11" t="inlineStr">
        <is>
          <t>Singapur</t>
        </is>
      </c>
      <c r="C443" s="11" t="inlineStr">
        <is>
          <t>SG_Primary_Science_2023.pdf</t>
        </is>
      </c>
      <c r="D443" s="11" t="n">
        <v>76</v>
      </c>
      <c r="E443" s="11" t="inlineStr">
        <is>
          <t>P4</t>
        </is>
      </c>
      <c r="F443" s="11" t="n">
        <v>4</v>
      </c>
      <c r="G443" s="11" t="inlineStr">
        <is>
          <t>Energía · Formas y usos de la energía: luz</t>
        </is>
      </c>
      <c r="H443" s="38" t="inlineStr">
        <is>
          <t>Investigar las variables que afectan las sombras: forma, tamaño y posición del objeto y distancias fuente-objeto y objeto-pantalla.</t>
        </is>
      </c>
      <c r="I443" s="11" t="inlineStr">
        <is>
          <t>T4_27</t>
        </is>
      </c>
      <c r="J443" s="11" t="inlineStr">
        <is>
          <t>T4_27-P3.1</t>
        </is>
      </c>
      <c r="K443" s="11" t="inlineStr">
        <is>
          <t>T4_27-P6.1</t>
        </is>
      </c>
      <c r="L443" s="11" t="inlineStr">
        <is>
          <t>alta</t>
        </is>
      </c>
      <c r="M443" s="11">
        <f>IF(J443="FUERA","Fuera del marco",IFERROR(INDEX('Datos - Catálogo TIMSS'!$C$5:$C$107,MATCH(J443,'Datos - Catálogo TIMSS'!$A$5:$A$107,0)),"?"))</f>
        <v/>
      </c>
      <c r="N443" s="11" t="inlineStr">
        <is>
          <t>Investigar variables que afectan las sombras</t>
        </is>
      </c>
    </row>
    <row r="444">
      <c r="A444" s="11" t="inlineStr">
        <is>
          <t>SG-ENE-004</t>
        </is>
      </c>
      <c r="B444" s="11" t="inlineStr">
        <is>
          <t>Singapur</t>
        </is>
      </c>
      <c r="C444" s="11" t="inlineStr">
        <is>
          <t>SG_Primary_Science_2023.pdf</t>
        </is>
      </c>
      <c r="D444" s="11" t="n">
        <v>77</v>
      </c>
      <c r="E444" s="11" t="inlineStr">
        <is>
          <t>P4</t>
        </is>
      </c>
      <c r="F444" s="11" t="n">
        <v>4</v>
      </c>
      <c r="G444" s="11" t="inlineStr">
        <is>
          <t>Energía · Formas y usos de la energía: calor</t>
        </is>
      </c>
      <c r="H444" s="38" t="inlineStr">
        <is>
          <t>Identificar algunas fuentes comunes de calor.</t>
        </is>
      </c>
      <c r="I444" s="11" t="inlineStr">
        <is>
          <t>T4_27</t>
        </is>
      </c>
      <c r="J444" s="11" t="inlineStr">
        <is>
          <t>T4_27-P2.1</t>
        </is>
      </c>
      <c r="K444" s="11" t="inlineStr"/>
      <c r="L444" s="11" t="inlineStr">
        <is>
          <t>media</t>
        </is>
      </c>
      <c r="M444" s="11">
        <f>IF(J444="FUERA","Fuera del marco",IFERROR(INDEX('Datos - Catálogo TIMSS'!$C$5:$C$107,MATCH(J444,'Datos - Catálogo TIMSS'!$A$5:$A$107,0)),"?"))</f>
        <v/>
      </c>
      <c r="N444" s="11" t="inlineStr">
        <is>
          <t>Fuentes de calor como uso cotidiano de energía</t>
        </is>
      </c>
    </row>
    <row r="445">
      <c r="A445" s="11" t="inlineStr">
        <is>
          <t>SG-ENE-005</t>
        </is>
      </c>
      <c r="B445" s="11" t="inlineStr">
        <is>
          <t>Singapur</t>
        </is>
      </c>
      <c r="C445" s="11" t="inlineStr">
        <is>
          <t>SG_Primary_Science_2023.pdf</t>
        </is>
      </c>
      <c r="D445" s="11" t="n">
        <v>77</v>
      </c>
      <c r="E445" s="11" t="inlineStr">
        <is>
          <t>P4</t>
        </is>
      </c>
      <c r="F445" s="11" t="n">
        <v>4</v>
      </c>
      <c r="G445" s="11" t="inlineStr">
        <is>
          <t>Energía · Formas y usos de la energía: calor</t>
        </is>
      </c>
      <c r="H445" s="38" t="inlineStr">
        <is>
          <t>Enunciar que la temperatura de un objeto mide su grado de calor.</t>
        </is>
      </c>
      <c r="I445" s="11" t="inlineStr">
        <is>
          <t>T4_27</t>
        </is>
      </c>
      <c r="J445" s="11" t="inlineStr">
        <is>
          <t>T4_27-P2.2</t>
        </is>
      </c>
      <c r="K445" s="11" t="inlineStr"/>
      <c r="L445" s="11" t="inlineStr">
        <is>
          <t>media</t>
        </is>
      </c>
      <c r="M445" s="11">
        <f>IF(J445="FUERA","Fuera del marco",IFERROR(INDEX('Datos - Catálogo TIMSS'!$C$5:$C$107,MATCH(J445,'Datos - Catálogo TIMSS'!$A$5:$A$107,0)),"?"))</f>
        <v/>
      </c>
      <c r="N445" s="11" t="inlineStr">
        <is>
          <t>Temperatura como medida de lo caliente o frío</t>
        </is>
      </c>
    </row>
    <row r="446">
      <c r="A446" s="11" t="inlineStr">
        <is>
          <t>SG-ENE-006</t>
        </is>
      </c>
      <c r="B446" s="11" t="inlineStr">
        <is>
          <t>Singapur</t>
        </is>
      </c>
      <c r="C446" s="11" t="inlineStr">
        <is>
          <t>SG_Primary_Science_2023.pdf</t>
        </is>
      </c>
      <c r="D446" s="11" t="n">
        <v>77</v>
      </c>
      <c r="E446" s="11" t="inlineStr">
        <is>
          <t>P4</t>
        </is>
      </c>
      <c r="F446" s="11" t="n">
        <v>4</v>
      </c>
      <c r="G446" s="11" t="inlineStr">
        <is>
          <t>Energía · Formas y usos de la energía: calor</t>
        </is>
      </c>
      <c r="H446" s="38" t="inlineStr">
        <is>
          <t>Enunciar que el calor es una forma de energía.</t>
        </is>
      </c>
      <c r="I446" s="11" t="inlineStr">
        <is>
          <t>T4_27</t>
        </is>
      </c>
      <c r="J446" s="11" t="inlineStr">
        <is>
          <t>T4_27-P2.1</t>
        </is>
      </c>
      <c r="K446" s="11" t="inlineStr"/>
      <c r="L446" s="11" t="inlineStr">
        <is>
          <t>media</t>
        </is>
      </c>
      <c r="M446" s="11">
        <f>IF(J446="FUERA","Fuera del marco",IFERROR(INDEX('Datos - Catálogo TIMSS'!$C$5:$C$107,MATCH(J446,'Datos - Catálogo TIMSS'!$A$5:$A$107,0)),"?"))</f>
        <v/>
      </c>
      <c r="N446" s="11" t="inlineStr">
        <is>
          <t>Calor reconocido como forma de energía</t>
        </is>
      </c>
    </row>
    <row r="447">
      <c r="A447" s="11" t="inlineStr">
        <is>
          <t>SG-ENE-007</t>
        </is>
      </c>
      <c r="B447" s="11" t="inlineStr">
        <is>
          <t>Singapur</t>
        </is>
      </c>
      <c r="C447" s="11" t="inlineStr">
        <is>
          <t>SG_Primary_Science_2023.pdf</t>
        </is>
      </c>
      <c r="D447" s="11" t="n">
        <v>77</v>
      </c>
      <c r="E447" s="11" t="inlineStr">
        <is>
          <t>P4</t>
        </is>
      </c>
      <c r="F447" s="11" t="n">
        <v>4</v>
      </c>
      <c r="G447" s="11" t="inlineStr">
        <is>
          <t>Energía · Formas y usos de la energía: calor</t>
        </is>
      </c>
      <c r="H447" s="38" t="inlineStr">
        <is>
          <t>Diferenciar calor y temperatura.</t>
        </is>
      </c>
      <c r="I447" s="11" t="inlineStr">
        <is>
          <t>T4_27</t>
        </is>
      </c>
      <c r="J447" s="11" t="inlineStr">
        <is>
          <t>T4_27-P2.2</t>
        </is>
      </c>
      <c r="K447" s="11" t="inlineStr"/>
      <c r="L447" s="11" t="inlineStr">
        <is>
          <t>media</t>
        </is>
      </c>
      <c r="M447" s="11">
        <f>IF(J447="FUERA","Fuera del marco",IFERROR(INDEX('Datos - Catálogo TIMSS'!$C$5:$C$107,MATCH(J447,'Datos - Catálogo TIMSS'!$A$5:$A$107,0)),"?"))</f>
        <v/>
      </c>
      <c r="N447" s="11" t="inlineStr">
        <is>
          <t>Distinguir calor de temperatura al calentar y enfriar</t>
        </is>
      </c>
    </row>
    <row r="448">
      <c r="A448" s="11" t="inlineStr">
        <is>
          <t>SG-ENE-008</t>
        </is>
      </c>
      <c r="B448" s="11" t="inlineStr">
        <is>
          <t>Singapur</t>
        </is>
      </c>
      <c r="C448" s="11" t="inlineStr">
        <is>
          <t>SG_Primary_Science_2023.pdf</t>
        </is>
      </c>
      <c r="D448" s="11" t="n">
        <v>77</v>
      </c>
      <c r="E448" s="11" t="inlineStr">
        <is>
          <t>P4</t>
        </is>
      </c>
      <c r="F448" s="11" t="n">
        <v>4</v>
      </c>
      <c r="G448" s="11" t="inlineStr">
        <is>
          <t>Energía · Formas y usos de la energía: calor</t>
        </is>
      </c>
      <c r="H448" s="38" t="inlineStr">
        <is>
          <t>Comprender que el calor fluye del objeto o lugar más caliente al más frío hasta que ambos alcanzan la misma temperatura.</t>
        </is>
      </c>
      <c r="I448" s="11" t="inlineStr">
        <is>
          <t>T4_27</t>
        </is>
      </c>
      <c r="J448" s="11" t="inlineStr">
        <is>
          <t>T4_27-P2.2</t>
        </is>
      </c>
      <c r="K448" s="11" t="inlineStr"/>
      <c r="L448" s="11" t="inlineStr">
        <is>
          <t>alta</t>
        </is>
      </c>
      <c r="M448" s="11">
        <f>IF(J448="FUERA","Fuera del marco",IFERROR(INDEX('Datos - Catálogo TIMSS'!$C$5:$C$107,MATCH(J448,'Datos - Catálogo TIMSS'!$A$5:$A$107,0)),"?"))</f>
        <v/>
      </c>
      <c r="N448" s="11" t="inlineStr">
        <is>
          <t>Flujo de calor de lo caliente a lo frío</t>
        </is>
      </c>
    </row>
    <row r="449">
      <c r="A449" s="11" t="inlineStr">
        <is>
          <t>SG-ENE-009</t>
        </is>
      </c>
      <c r="B449" s="11" t="inlineStr">
        <is>
          <t>Singapur</t>
        </is>
      </c>
      <c r="C449" s="11" t="inlineStr">
        <is>
          <t>SG_Primary_Science_2023.pdf</t>
        </is>
      </c>
      <c r="D449" s="11" t="n">
        <v>77</v>
      </c>
      <c r="E449" s="11" t="inlineStr">
        <is>
          <t>P4</t>
        </is>
      </c>
      <c r="F449" s="11" t="n">
        <v>4</v>
      </c>
      <c r="G449" s="11" t="inlineStr">
        <is>
          <t>Energía · Formas y usos de la energía: calor</t>
        </is>
      </c>
      <c r="H449" s="38" t="inlineStr">
        <is>
          <t>Relacionar el cambio de temperatura de un objeto con la ganancia o pérdida de calor.</t>
        </is>
      </c>
      <c r="I449" s="11" t="inlineStr">
        <is>
          <t>T4_27</t>
        </is>
      </c>
      <c r="J449" s="11" t="inlineStr">
        <is>
          <t>T4_27-P2.2</t>
        </is>
      </c>
      <c r="K449" s="11" t="inlineStr"/>
      <c r="L449" s="11" t="inlineStr">
        <is>
          <t>alta</t>
        </is>
      </c>
      <c r="M449" s="11">
        <f>IF(J449="FUERA","Fuera del marco",IFERROR(INDEX('Datos - Catálogo TIMSS'!$C$5:$C$107,MATCH(J449,'Datos - Catálogo TIMSS'!$A$5:$A$107,0)),"?"))</f>
        <v/>
      </c>
      <c r="N449" s="11" t="inlineStr">
        <is>
          <t>Cambio de temperatura por ganar o perder calor</t>
        </is>
      </c>
    </row>
    <row r="450">
      <c r="A450" s="11" t="inlineStr">
        <is>
          <t>SG-ENE-010</t>
        </is>
      </c>
      <c r="B450" s="11" t="inlineStr">
        <is>
          <t>Singapur</t>
        </is>
      </c>
      <c r="C450" s="11" t="inlineStr">
        <is>
          <t>SG_Primary_Science_2023.pdf</t>
        </is>
      </c>
      <c r="D450" s="11" t="n">
        <v>78</v>
      </c>
      <c r="E450" s="11" t="inlineStr">
        <is>
          <t>P4</t>
        </is>
      </c>
      <c r="F450" s="11" t="n">
        <v>4</v>
      </c>
      <c r="G450" s="11" t="inlineStr">
        <is>
          <t>Energía · Formas y usos de la energía: calor</t>
        </is>
      </c>
      <c r="H450" s="38" t="inlineStr">
        <is>
          <t>Enumerar efectos cotidianos de ganar o perder calor: dilatación y contracción de sólidos, líquidos y gases, y cambios de estado.</t>
        </is>
      </c>
      <c r="I450" s="11" t="inlineStr">
        <is>
          <t>T4_27</t>
        </is>
      </c>
      <c r="J450" s="11" t="inlineStr">
        <is>
          <t>T4_27-P1.1</t>
        </is>
      </c>
      <c r="K450" s="11" t="inlineStr">
        <is>
          <t>T4_27-P2.2</t>
        </is>
      </c>
      <c r="L450" s="11" t="inlineStr">
        <is>
          <t>media</t>
        </is>
      </c>
      <c r="M450" s="11">
        <f>IF(J450="FUERA","Fuera del marco",IFERROR(INDEX('Datos - Catálogo TIMSS'!$C$5:$C$107,MATCH(J450,'Datos - Catálogo TIMSS'!$A$5:$A$107,0)),"?"))</f>
        <v/>
      </c>
      <c r="N450" s="11" t="inlineStr">
        <is>
          <t>Cambios de estado y dilatación al ganar o perder calor</t>
        </is>
      </c>
    </row>
    <row r="451">
      <c r="A451" s="11" t="inlineStr">
        <is>
          <t>SG-ENE-011</t>
        </is>
      </c>
      <c r="B451" s="11" t="inlineStr">
        <is>
          <t>Singapur</t>
        </is>
      </c>
      <c r="C451" s="11" t="inlineStr">
        <is>
          <t>SG_Primary_Science_2023.pdf</t>
        </is>
      </c>
      <c r="D451" s="11" t="n">
        <v>78</v>
      </c>
      <c r="E451" s="11" t="inlineStr">
        <is>
          <t>P4</t>
        </is>
      </c>
      <c r="F451" s="11" t="n">
        <v>4</v>
      </c>
      <c r="G451" s="11" t="inlineStr">
        <is>
          <t>Energía · Formas y usos de la energía: calor</t>
        </is>
      </c>
      <c r="H451" s="38" t="inlineStr">
        <is>
          <t>Identificar buenos conductores del calor (metales) y malos conductores (madera, plásticos, aire, caucho).</t>
        </is>
      </c>
      <c r="I451" s="11" t="inlineStr">
        <is>
          <t>T4_27</t>
        </is>
      </c>
      <c r="J451" s="11" t="inlineStr">
        <is>
          <t>T4_27-P1.2</t>
        </is>
      </c>
      <c r="K451" s="11" t="inlineStr">
        <is>
          <t>T4_27-P2.2</t>
        </is>
      </c>
      <c r="L451" s="11" t="inlineStr">
        <is>
          <t>alta</t>
        </is>
      </c>
      <c r="M451" s="11">
        <f>IF(J451="FUERA","Fuera del marco",IFERROR(INDEX('Datos - Catálogo TIMSS'!$C$5:$C$107,MATCH(J451,'Datos - Catálogo TIMSS'!$A$5:$A$107,0)),"?"))</f>
        <v/>
      </c>
      <c r="N451" s="11" t="inlineStr">
        <is>
          <t>Conductividad térmica como propiedad de materiales</t>
        </is>
      </c>
    </row>
    <row r="452">
      <c r="A452" s="11" t="inlineStr">
        <is>
          <t>SG-ENE-012</t>
        </is>
      </c>
      <c r="B452" s="11" t="inlineStr">
        <is>
          <t>Singapur</t>
        </is>
      </c>
      <c r="C452" s="11" t="inlineStr">
        <is>
          <t>SG_Primary_Science_2023.pdf</t>
        </is>
      </c>
      <c r="D452" s="11" t="n">
        <v>77</v>
      </c>
      <c r="E452" s="11" t="inlineStr">
        <is>
          <t>P4</t>
        </is>
      </c>
      <c r="F452" s="11" t="n">
        <v>4</v>
      </c>
      <c r="G452" s="11" t="inlineStr">
        <is>
          <t>Energía · Formas y usos de la energía: calor</t>
        </is>
      </c>
      <c r="H452" s="38" t="inlineStr">
        <is>
          <t>Medir la temperatura con un termómetro y con un registrador de datos con sensores de temperatura.</t>
        </is>
      </c>
      <c r="I452" s="11" t="inlineStr">
        <is>
          <t>T4_27</t>
        </is>
      </c>
      <c r="J452" s="11" t="inlineStr">
        <is>
          <t>T4_27-P6.1</t>
        </is>
      </c>
      <c r="K452" s="11" t="inlineStr">
        <is>
          <t>T4_27-P2.2</t>
        </is>
      </c>
      <c r="L452" s="11" t="inlineStr">
        <is>
          <t>media</t>
        </is>
      </c>
      <c r="M452" s="11">
        <f>IF(J452="FUERA","Fuera del marco",IFERROR(INDEX('Datos - Catálogo TIMSS'!$C$5:$C$107,MATCH(J452,'Datos - Catálogo TIMSS'!$A$5:$A$107,0)),"?"))</f>
        <v/>
      </c>
      <c r="N452" s="11" t="inlineStr">
        <is>
          <t>Medir temperatura con termómetro y sensores</t>
        </is>
      </c>
    </row>
    <row r="453">
      <c r="A453" s="11" t="inlineStr">
        <is>
          <t>SG-SYS-001</t>
        </is>
      </c>
      <c r="B453" s="11" t="inlineStr">
        <is>
          <t>Singapur</t>
        </is>
      </c>
      <c r="C453" s="11" t="inlineStr">
        <is>
          <t>SG_Primary_Science_2023.pdf</t>
        </is>
      </c>
      <c r="D453" s="11" t="n">
        <v>54</v>
      </c>
      <c r="E453" s="11" t="inlineStr">
        <is>
          <t>P4</t>
        </is>
      </c>
      <c r="F453" s="11" t="n">
        <v>4</v>
      </c>
      <c r="G453" s="11" t="inlineStr">
        <is>
          <t>Sistemas · Sistema humano: sistema digestivo</t>
        </is>
      </c>
      <c r="H453" s="38" t="inlineStr">
        <is>
          <t>Identificar los sistemas del cuerpo humano (digestivo, respiratorio, circulatorio, esquelético y muscular) y enunciar sus funciones, como visión general.</t>
        </is>
      </c>
      <c r="I453" s="11" t="inlineStr">
        <is>
          <t>T4_27</t>
        </is>
      </c>
      <c r="J453" s="11" t="inlineStr">
        <is>
          <t>T4_27-B1.3</t>
        </is>
      </c>
      <c r="K453" s="11" t="inlineStr"/>
      <c r="L453" s="11" t="inlineStr">
        <is>
          <t>alta</t>
        </is>
      </c>
      <c r="M453" s="11">
        <f>IF(J453="FUERA","Fuera del marco",IFERROR(INDEX('Datos - Catálogo TIMSS'!$C$5:$C$107,MATCH(J453,'Datos - Catálogo TIMSS'!$A$5:$A$107,0)),"?"))</f>
        <v/>
      </c>
      <c r="N453" s="11" t="inlineStr">
        <is>
          <t>Sistemas del cuerpo humano y sus funciones</t>
        </is>
      </c>
    </row>
    <row r="454">
      <c r="A454" s="11" t="inlineStr">
        <is>
          <t>SG-SYS-002</t>
        </is>
      </c>
      <c r="B454" s="11" t="inlineStr">
        <is>
          <t>Singapur</t>
        </is>
      </c>
      <c r="C454" s="11" t="inlineStr">
        <is>
          <t>SG_Primary_Science_2023.pdf</t>
        </is>
      </c>
      <c r="D454" s="11" t="n">
        <v>54</v>
      </c>
      <c r="E454" s="11" t="inlineStr">
        <is>
          <t>P4</t>
        </is>
      </c>
      <c r="F454" s="11" t="n">
        <v>4</v>
      </c>
      <c r="G454" s="11" t="inlineStr">
        <is>
          <t>Sistemas · Sistema humano: sistema digestivo</t>
        </is>
      </c>
      <c r="H454" s="38" t="inlineStr">
        <is>
          <t>Identificar las partes del sistema digestivo humano (boca, esófago, estómago, intestino delgado y grueso) y describir sus funciones.</t>
        </is>
      </c>
      <c r="I454" s="11" t="inlineStr">
        <is>
          <t>T4_27</t>
        </is>
      </c>
      <c r="J454" s="11" t="inlineStr">
        <is>
          <t>T4_27-B1.3</t>
        </is>
      </c>
      <c r="K454" s="11" t="inlineStr"/>
      <c r="L454" s="11" t="inlineStr">
        <is>
          <t>alta</t>
        </is>
      </c>
      <c r="M454" s="11">
        <f>IF(J454="FUERA","Fuera del marco",IFERROR(INDEX('Datos - Catálogo TIMSS'!$C$5:$C$107,MATCH(J454,'Datos - Catálogo TIMSS'!$A$5:$A$107,0)),"?"))</f>
        <v/>
      </c>
      <c r="N454" s="11" t="inlineStr">
        <is>
          <t>Órganos digestivos y su función</t>
        </is>
      </c>
    </row>
    <row r="455">
      <c r="A455" s="11" t="inlineStr">
        <is>
          <t>SG-SYS-008</t>
        </is>
      </c>
      <c r="B455" s="11" t="inlineStr">
        <is>
          <t>Singapur</t>
        </is>
      </c>
      <c r="C455" s="11" t="inlineStr">
        <is>
          <t>SG_Primary_Science_2023.pdf</t>
        </is>
      </c>
      <c r="D455" s="11" t="n">
        <v>57</v>
      </c>
      <c r="E455" s="11" t="inlineStr">
        <is>
          <t>P4</t>
        </is>
      </c>
      <c r="F455" s="11" t="n">
        <v>4</v>
      </c>
      <c r="G455" s="11" t="inlineStr">
        <is>
          <t>Sistemas · Sistema vegetal: partes de la planta y funciones</t>
        </is>
      </c>
      <c r="H455" s="38" t="inlineStr">
        <is>
          <t>Identificar las partes de la planta (hoja, tallo, raíz) y enunciar sus funciones.</t>
        </is>
      </c>
      <c r="I455" s="11" t="inlineStr">
        <is>
          <t>T4_27</t>
        </is>
      </c>
      <c r="J455" s="11" t="inlineStr">
        <is>
          <t>T4_27-B1.3</t>
        </is>
      </c>
      <c r="K455" s="11" t="inlineStr"/>
      <c r="L455" s="11" t="inlineStr">
        <is>
          <t>alta</t>
        </is>
      </c>
      <c r="M455" s="11">
        <f>IF(J455="FUERA","Fuera del marco",IFERROR(INDEX('Datos - Catálogo TIMSS'!$C$5:$C$107,MATCH(J455,'Datos - Catálogo TIMSS'!$A$5:$A$107,0)),"?"))</f>
        <v/>
      </c>
      <c r="N455" s="11" t="inlineStr">
        <is>
          <t>Partes de la planta y sus funciones</t>
        </is>
      </c>
    </row>
    <row r="456">
      <c r="A456" s="11" t="inlineStr">
        <is>
          <t>SG-SYS-009</t>
        </is>
      </c>
      <c r="B456" s="11" t="inlineStr">
        <is>
          <t>Singapur</t>
        </is>
      </c>
      <c r="C456" s="11" t="inlineStr">
        <is>
          <t>SG_Primary_Science_2023.pdf</t>
        </is>
      </c>
      <c r="D456" s="11" t="n">
        <v>57</v>
      </c>
      <c r="E456" s="11" t="inlineStr">
        <is>
          <t>P4</t>
        </is>
      </c>
      <c r="F456" s="11" t="n">
        <v>4</v>
      </c>
      <c r="G456" s="11" t="inlineStr">
        <is>
          <t>Sistemas · Sistema vegetal: partes de la planta y funciones</t>
        </is>
      </c>
      <c r="H456" s="38" t="inlineStr">
        <is>
          <t>Observar las partes de las plantas.</t>
        </is>
      </c>
      <c r="I456" s="11" t="inlineStr">
        <is>
          <t>T4_27</t>
        </is>
      </c>
      <c r="J456" s="11" t="inlineStr">
        <is>
          <t>T4_27-B1.3</t>
        </is>
      </c>
      <c r="K456" s="11" t="inlineStr">
        <is>
          <t>T4_27-B6.1</t>
        </is>
      </c>
      <c r="L456" s="11" t="inlineStr">
        <is>
          <t>media</t>
        </is>
      </c>
      <c r="M456" s="11">
        <f>IF(J456="FUERA","Fuera del marco",IFERROR(INDEX('Datos - Catálogo TIMSS'!$C$5:$C$107,MATCH(J456,'Datos - Catálogo TIMSS'!$A$5:$A$107,0)),"?"))</f>
        <v/>
      </c>
      <c r="N456" s="11" t="inlineStr">
        <is>
          <t>Observación de estructuras vegetales</t>
        </is>
      </c>
    </row>
    <row r="457">
      <c r="A457" s="11" t="inlineStr">
        <is>
          <t>SG-CYC-004</t>
        </is>
      </c>
      <c r="B457" s="11" t="inlineStr">
        <is>
          <t>Singapur</t>
        </is>
      </c>
      <c r="C457" s="11" t="inlineStr">
        <is>
          <t>SG_Primary_Science_2023.pdf</t>
        </is>
      </c>
      <c r="D457" s="11" t="n">
        <v>44</v>
      </c>
      <c r="E457" s="11" t="inlineStr">
        <is>
          <t>P5</t>
        </is>
      </c>
      <c r="F457" s="11" t="n">
        <v>5</v>
      </c>
      <c r="G457" s="11" t="inlineStr">
        <is>
          <t>Ciclos · Ciclos en plantas y animales: reproducción</t>
        </is>
      </c>
      <c r="H457" s="38" t="inlineStr">
        <is>
          <t>Reconocer que la célula es la unidad básica de la vida.</t>
        </is>
      </c>
      <c r="I457" s="11" t="inlineStr">
        <is>
          <t>T8_27</t>
        </is>
      </c>
      <c r="J457" s="11" t="inlineStr">
        <is>
          <t>T8_27-B2.1</t>
        </is>
      </c>
      <c r="K457" s="11" t="inlineStr"/>
      <c r="L457" s="11" t="inlineStr">
        <is>
          <t>alta</t>
        </is>
      </c>
      <c r="M457" s="11">
        <f>IF(J457="FUERA","Fuera del marco",IFERROR(INDEX('Datos - Catálogo TIMSS'!$C$5:$C$107,MATCH(J457,'Datos - Catálogo TIMSS'!$A$5:$A$107,0)),"?"))</f>
        <v/>
      </c>
      <c r="N457" s="11" t="inlineStr">
        <is>
          <t>Célula como unidad básica de la vida</t>
        </is>
      </c>
    </row>
    <row r="458">
      <c r="A458" s="11" t="inlineStr">
        <is>
          <t>SG-CYC-005</t>
        </is>
      </c>
      <c r="B458" s="11" t="inlineStr">
        <is>
          <t>Singapur</t>
        </is>
      </c>
      <c r="C458" s="11" t="inlineStr">
        <is>
          <t>SG_Primary_Science_2023.pdf</t>
        </is>
      </c>
      <c r="D458" s="11" t="n">
        <v>44</v>
      </c>
      <c r="E458" s="11" t="inlineStr">
        <is>
          <t>P5</t>
        </is>
      </c>
      <c r="F458" s="11" t="n">
        <v>5</v>
      </c>
      <c r="G458" s="11" t="inlineStr">
        <is>
          <t>Ciclos · Ciclos en plantas y animales: reproducción</t>
        </is>
      </c>
      <c r="H458" s="38" t="inlineStr">
        <is>
          <t>Comprender que los seres vivos se reproducen para asegurar la continuidad de su especie y que muchas características pasan de progenitores a descendencia.</t>
        </is>
      </c>
      <c r="I458" s="11" t="inlineStr">
        <is>
          <t>T8_27</t>
        </is>
      </c>
      <c r="J458" s="11" t="inlineStr">
        <is>
          <t>T8_27-B3.1</t>
        </is>
      </c>
      <c r="K458" s="11" t="inlineStr"/>
      <c r="L458" s="11" t="inlineStr">
        <is>
          <t>alta</t>
        </is>
      </c>
      <c r="M458" s="11">
        <f>IF(J458="FUERA","Fuera del marco",IFERROR(INDEX('Datos - Catálogo TIMSS'!$C$5:$C$107,MATCH(J458,'Datos - Catálogo TIMSS'!$A$5:$A$107,0)),"?"))</f>
        <v/>
      </c>
      <c r="N458" s="11" t="inlineStr">
        <is>
          <t>Reproducción y transmisión de rasgos a la descendencia</t>
        </is>
      </c>
    </row>
    <row r="459">
      <c r="A459" s="11" t="inlineStr">
        <is>
          <t>SG-CYC-006</t>
        </is>
      </c>
      <c r="B459" s="11" t="inlineStr">
        <is>
          <t>Singapur</t>
        </is>
      </c>
      <c r="C459" s="11" t="inlineStr">
        <is>
          <t>SG_Primary_Science_2023.pdf</t>
        </is>
      </c>
      <c r="D459" s="11" t="n">
        <v>44</v>
      </c>
      <c r="E459" s="11" t="inlineStr">
        <is>
          <t>P5</t>
        </is>
      </c>
      <c r="F459" s="11" t="n">
        <v>5</v>
      </c>
      <c r="G459" s="11" t="inlineStr">
        <is>
          <t>Ciclos · Ciclos en plantas y animales: reproducción</t>
        </is>
      </c>
      <c r="H459" s="38" t="inlineStr">
        <is>
          <t>Describir los procesos de la reproducción sexual de plantas con flor: polinización, fecundación (producción de semillas), dispersión de semillas y germinación.</t>
        </is>
      </c>
      <c r="I459" s="11" t="inlineStr">
        <is>
          <t>T8_27</t>
        </is>
      </c>
      <c r="J459" s="11" t="inlineStr">
        <is>
          <t>T8_27-B3.1</t>
        </is>
      </c>
      <c r="K459" s="11" t="inlineStr"/>
      <c r="L459" s="11" t="inlineStr">
        <is>
          <t>media</t>
        </is>
      </c>
      <c r="M459" s="11">
        <f>IF(J459="FUERA","Fuera del marco",IFERROR(INDEX('Datos - Catálogo TIMSS'!$C$5:$C$107,MATCH(J459,'Datos - Catálogo TIMSS'!$A$5:$A$107,0)),"?"))</f>
        <v/>
      </c>
      <c r="N459" s="11" t="inlineStr">
        <is>
          <t>Reproducción sexual de plantas con flor</t>
        </is>
      </c>
    </row>
    <row r="460">
      <c r="A460" s="11" t="inlineStr">
        <is>
          <t>SG-CYC-007</t>
        </is>
      </c>
      <c r="B460" s="11" t="inlineStr">
        <is>
          <t>Singapur</t>
        </is>
      </c>
      <c r="C460" s="11" t="inlineStr">
        <is>
          <t>SG_Primary_Science_2023.pdf</t>
        </is>
      </c>
      <c r="D460" s="11" t="n">
        <v>45</v>
      </c>
      <c r="E460" s="11" t="inlineStr">
        <is>
          <t>P5</t>
        </is>
      </c>
      <c r="F460" s="11" t="n">
        <v>5</v>
      </c>
      <c r="G460" s="11" t="inlineStr">
        <is>
          <t>Ciclos · Ciclos en plantas y animales: reproducción</t>
        </is>
      </c>
      <c r="H460" s="38" t="inlineStr">
        <is>
          <t>Reconocer la fecundación en la reproducción sexual humana: el espermatozoide se une al óvulo, que se desarrolla en el útero; ovarios producen óvulos y testículos espermatozoides.</t>
        </is>
      </c>
      <c r="I460" s="11" t="inlineStr">
        <is>
          <t>T8_27</t>
        </is>
      </c>
      <c r="J460" s="11" t="inlineStr">
        <is>
          <t>T8_27-B3.1</t>
        </is>
      </c>
      <c r="K460" s="11" t="inlineStr"/>
      <c r="L460" s="11" t="inlineStr">
        <is>
          <t>alta</t>
        </is>
      </c>
      <c r="M460" s="11">
        <f>IF(J460="FUERA","Fuera del marco",IFERROR(INDEX('Datos - Catálogo TIMSS'!$C$5:$C$107,MATCH(J460,'Datos - Catálogo TIMSS'!$A$5:$A$107,0)),"?"))</f>
        <v/>
      </c>
      <c r="N460" s="11" t="inlineStr">
        <is>
          <t>Fecundación en la reproducción sexual humana</t>
        </is>
      </c>
    </row>
    <row r="461">
      <c r="A461" s="11" t="inlineStr">
        <is>
          <t>SG-CYC-008</t>
        </is>
      </c>
      <c r="B461" s="11" t="inlineStr">
        <is>
          <t>Singapur</t>
        </is>
      </c>
      <c r="C461" s="11" t="inlineStr">
        <is>
          <t>SG_Primary_Science_2023.pdf</t>
        </is>
      </c>
      <c r="D461" s="11" t="n">
        <v>46</v>
      </c>
      <c r="E461" s="11" t="inlineStr">
        <is>
          <t>P5</t>
        </is>
      </c>
      <c r="F461" s="11" t="n">
        <v>5</v>
      </c>
      <c r="G461" s="11" t="inlineStr">
        <is>
          <t>Ciclos · Ciclos en plantas y animales: reproducción</t>
        </is>
      </c>
      <c r="H461" s="38" t="inlineStr">
        <is>
          <t>Reconocer la semejanza de la fecundación en la reproducción sexual de plantas con flor y de seres humanos.</t>
        </is>
      </c>
      <c r="I461" s="11" t="inlineStr">
        <is>
          <t>T8_27</t>
        </is>
      </c>
      <c r="J461" s="11" t="inlineStr">
        <is>
          <t>T8_27-B3.1</t>
        </is>
      </c>
      <c r="K461" s="11" t="inlineStr"/>
      <c r="L461" s="11" t="inlineStr">
        <is>
          <t>alta</t>
        </is>
      </c>
      <c r="M461" s="11">
        <f>IF(J461="FUERA","Fuera del marco",IFERROR(INDEX('Datos - Catálogo TIMSS'!$C$5:$C$107,MATCH(J461,'Datos - Catálogo TIMSS'!$A$5:$A$107,0)),"?"))</f>
        <v/>
      </c>
      <c r="N461" s="11" t="inlineStr">
        <is>
          <t>Fecundación comparada en plantas y humanos</t>
        </is>
      </c>
    </row>
    <row r="462">
      <c r="A462" s="11" t="inlineStr">
        <is>
          <t>SG-CYC-009</t>
        </is>
      </c>
      <c r="B462" s="11" t="inlineStr">
        <is>
          <t>Singapur</t>
        </is>
      </c>
      <c r="C462" s="11" t="inlineStr">
        <is>
          <t>SG_Primary_Science_2023.pdf</t>
        </is>
      </c>
      <c r="D462" s="11" t="n">
        <v>44</v>
      </c>
      <c r="E462" s="11" t="inlineStr">
        <is>
          <t>P5</t>
        </is>
      </c>
      <c r="F462" s="11" t="n">
        <v>5</v>
      </c>
      <c r="G462" s="11" t="inlineStr">
        <is>
          <t>Ciclos · Ciclos en plantas y animales: reproducción</t>
        </is>
      </c>
      <c r="H462" s="38" t="inlineStr">
        <is>
          <t>Investigar las formas en que se reproducen las plantas: por esporas y por semillas (no se exige propagación vegetativa).</t>
        </is>
      </c>
      <c r="I462" s="11" t="inlineStr">
        <is>
          <t>T8_27</t>
        </is>
      </c>
      <c r="J462" s="11" t="inlineStr">
        <is>
          <t>T8_27-B3.1</t>
        </is>
      </c>
      <c r="K462" s="11" t="inlineStr">
        <is>
          <t>T8_27-B7.1</t>
        </is>
      </c>
      <c r="L462" s="11" t="inlineStr">
        <is>
          <t>media</t>
        </is>
      </c>
      <c r="M462" s="11">
        <f>IF(J462="FUERA","Fuera del marco",IFERROR(INDEX('Datos - Catálogo TIMSS'!$C$5:$C$107,MATCH(J462,'Datos - Catálogo TIMSS'!$A$5:$A$107,0)),"?"))</f>
        <v/>
      </c>
      <c r="N462" s="11" t="inlineStr">
        <is>
          <t>Investigar modos de reproducción vegetal</t>
        </is>
      </c>
    </row>
    <row r="463">
      <c r="A463" s="11" t="inlineStr">
        <is>
          <t>SG-CYC-013</t>
        </is>
      </c>
      <c r="B463" s="11" t="inlineStr">
        <is>
          <t>Singapur</t>
        </is>
      </c>
      <c r="C463" s="11" t="inlineStr">
        <is>
          <t>SG_Primary_Science_2023.pdf</t>
        </is>
      </c>
      <c r="D463" s="11" t="n">
        <v>50</v>
      </c>
      <c r="E463" s="11" t="inlineStr">
        <is>
          <t>P5</t>
        </is>
      </c>
      <c r="F463" s="11" t="n">
        <v>5</v>
      </c>
      <c r="G463" s="11" t="inlineStr">
        <is>
          <t>Ciclos · Ciclos en la materia y el agua: agua</t>
        </is>
      </c>
      <c r="H463" s="38" t="inlineStr">
        <is>
          <t>Reconocer que el agua puede existir en tres estados de la materia intercambiables.</t>
        </is>
      </c>
      <c r="I463" s="11" t="inlineStr">
        <is>
          <t>T8_27</t>
        </is>
      </c>
      <c r="J463" s="11" t="inlineStr">
        <is>
          <t>T8_27-P1.2</t>
        </is>
      </c>
      <c r="K463" s="11" t="inlineStr"/>
      <c r="L463" s="11" t="inlineStr">
        <is>
          <t>alta</t>
        </is>
      </c>
      <c r="M463" s="11">
        <f>IF(J463="FUERA","Fuera del marco",IFERROR(INDEX('Datos - Catálogo TIMSS'!$C$5:$C$107,MATCH(J463,'Datos - Catálogo TIMSS'!$A$5:$A$107,0)),"?"))</f>
        <v/>
      </c>
      <c r="N463" s="11" t="inlineStr">
        <is>
          <t>Agua en tres estados intercambiables</t>
        </is>
      </c>
    </row>
    <row r="464">
      <c r="A464" s="11" t="inlineStr">
        <is>
          <t>SG-CYC-014</t>
        </is>
      </c>
      <c r="B464" s="11" t="inlineStr">
        <is>
          <t>Singapur</t>
        </is>
      </c>
      <c r="C464" s="11" t="inlineStr">
        <is>
          <t>SG_Primary_Science_2023.pdf</t>
        </is>
      </c>
      <c r="D464" s="11" t="n">
        <v>50</v>
      </c>
      <c r="E464" s="11" t="inlineStr">
        <is>
          <t>P5</t>
        </is>
      </c>
      <c r="F464" s="11" t="n">
        <v>5</v>
      </c>
      <c r="G464" s="11" t="inlineStr">
        <is>
          <t>Ciclos · Ciclos en la materia y el agua: agua</t>
        </is>
      </c>
      <c r="H464" s="38" t="inlineStr">
        <is>
          <t>Comprender cómo el agua cambia de estado: fusión, solidificación, ebullición/evaporación y condensación.</t>
        </is>
      </c>
      <c r="I464" s="11" t="inlineStr">
        <is>
          <t>T8_27</t>
        </is>
      </c>
      <c r="J464" s="11" t="inlineStr">
        <is>
          <t>T8_27-P1.2</t>
        </is>
      </c>
      <c r="K464" s="11" t="inlineStr"/>
      <c r="L464" s="11" t="inlineStr">
        <is>
          <t>alta</t>
        </is>
      </c>
      <c r="M464" s="11">
        <f>IF(J464="FUERA","Fuera del marco",IFERROR(INDEX('Datos - Catálogo TIMSS'!$C$5:$C$107,MATCH(J464,'Datos - Catálogo TIMSS'!$A$5:$A$107,0)),"?"))</f>
        <v/>
      </c>
      <c r="N464" s="11" t="inlineStr">
        <is>
          <t>Cambios de estado del agua</t>
        </is>
      </c>
    </row>
    <row r="465">
      <c r="A465" s="11" t="inlineStr">
        <is>
          <t>SG-CYC-015</t>
        </is>
      </c>
      <c r="B465" s="11" t="inlineStr">
        <is>
          <t>Singapur</t>
        </is>
      </c>
      <c r="C465" s="11" t="inlineStr">
        <is>
          <t>SG_Primary_Science_2023.pdf</t>
        </is>
      </c>
      <c r="D465" s="11" t="n">
        <v>50</v>
      </c>
      <c r="E465" s="11" t="inlineStr">
        <is>
          <t>P5</t>
        </is>
      </c>
      <c r="F465" s="11" t="n">
        <v>5</v>
      </c>
      <c r="G465" s="11" t="inlineStr">
        <is>
          <t>Ciclos · Ciclos en la materia y el agua: agua</t>
        </is>
      </c>
      <c r="H465" s="38" t="inlineStr">
        <is>
          <t>Comprender los términos punto de fusión del hielo (o de congelación del agua) y punto de ebullición del agua.</t>
        </is>
      </c>
      <c r="I465" s="11" t="inlineStr">
        <is>
          <t>T8_27</t>
        </is>
      </c>
      <c r="J465" s="11" t="inlineStr">
        <is>
          <t>T8_27-P1.2</t>
        </is>
      </c>
      <c r="K465" s="11" t="inlineStr"/>
      <c r="L465" s="11" t="inlineStr">
        <is>
          <t>alta</t>
        </is>
      </c>
      <c r="M465" s="11">
        <f>IF(J465="FUERA","Fuera del marco",IFERROR(INDEX('Datos - Catálogo TIMSS'!$C$5:$C$107,MATCH(J465,'Datos - Catálogo TIMSS'!$A$5:$A$107,0)),"?"))</f>
        <v/>
      </c>
      <c r="N465" s="11" t="inlineStr">
        <is>
          <t>Puntos de fusión y ebullición del agua</t>
        </is>
      </c>
    </row>
    <row r="466">
      <c r="A466" s="11" t="inlineStr">
        <is>
          <t>SG-CYC-016</t>
        </is>
      </c>
      <c r="B466" s="11" t="inlineStr">
        <is>
          <t>Singapur</t>
        </is>
      </c>
      <c r="C466" s="11" t="inlineStr">
        <is>
          <t>SG_Primary_Science_2023.pdf</t>
        </is>
      </c>
      <c r="D466" s="11" t="n">
        <v>50</v>
      </c>
      <c r="E466" s="11" t="inlineStr">
        <is>
          <t>P5</t>
        </is>
      </c>
      <c r="F466" s="11" t="n">
        <v>5</v>
      </c>
      <c r="G466" s="11" t="inlineStr">
        <is>
          <t>Ciclos · Ciclos en la materia y el agua: agua</t>
        </is>
      </c>
      <c r="H466" s="38" t="inlineStr">
        <is>
          <t>Comprender el papel de la evaporación y la condensación en el ciclo del agua.</t>
        </is>
      </c>
      <c r="I466" s="11" t="inlineStr">
        <is>
          <t>T8_27</t>
        </is>
      </c>
      <c r="J466" s="11" t="inlineStr">
        <is>
          <t>T8_27-E2.2</t>
        </is>
      </c>
      <c r="K466" s="11" t="inlineStr">
        <is>
          <t>T8_27-P1.2</t>
        </is>
      </c>
      <c r="L466" s="11" t="inlineStr">
        <is>
          <t>alta</t>
        </is>
      </c>
      <c r="M466" s="11">
        <f>IF(J466="FUERA","Fuera del marco",IFERROR(INDEX('Datos - Catálogo TIMSS'!$C$5:$C$107,MATCH(J466,'Datos - Catálogo TIMSS'!$A$5:$A$107,0)),"?"))</f>
        <v/>
      </c>
      <c r="N466" s="11" t="inlineStr">
        <is>
          <t>Evaporación y condensación en el ciclo del agua</t>
        </is>
      </c>
    </row>
    <row r="467">
      <c r="A467" s="11" t="inlineStr">
        <is>
          <t>SG-CYC-017</t>
        </is>
      </c>
      <c r="B467" s="11" t="inlineStr">
        <is>
          <t>Singapur</t>
        </is>
      </c>
      <c r="C467" s="11" t="inlineStr">
        <is>
          <t>SG_Primary_Science_2023.pdf</t>
        </is>
      </c>
      <c r="D467" s="11" t="n">
        <v>50</v>
      </c>
      <c r="E467" s="11" t="inlineStr">
        <is>
          <t>P5</t>
        </is>
      </c>
      <c r="F467" s="11" t="n">
        <v>5</v>
      </c>
      <c r="G467" s="11" t="inlineStr">
        <is>
          <t>Ciclos · Ciclos en la materia y el agua: agua</t>
        </is>
      </c>
      <c r="H467" s="38" t="inlineStr">
        <is>
          <t>Reconocer la importancia del ciclo del agua.</t>
        </is>
      </c>
      <c r="I467" s="11" t="inlineStr">
        <is>
          <t>T8_27</t>
        </is>
      </c>
      <c r="J467" s="11" t="inlineStr">
        <is>
          <t>T8_27-E2.2</t>
        </is>
      </c>
      <c r="K467" s="11" t="inlineStr"/>
      <c r="L467" s="11" t="inlineStr">
        <is>
          <t>media</t>
        </is>
      </c>
      <c r="M467" s="11">
        <f>IF(J467="FUERA","Fuera del marco",IFERROR(INDEX('Datos - Catálogo TIMSS'!$C$5:$C$107,MATCH(J467,'Datos - Catálogo TIMSS'!$A$5:$A$107,0)),"?"))</f>
        <v/>
      </c>
      <c r="N467" s="11" t="inlineStr">
        <is>
          <t>Importancia del ciclo del agua para renovar agua dulce</t>
        </is>
      </c>
    </row>
    <row r="468">
      <c r="A468" s="11" t="inlineStr">
        <is>
          <t>SG-CYC-018</t>
        </is>
      </c>
      <c r="B468" s="11" t="inlineStr">
        <is>
          <t>Singapur</t>
        </is>
      </c>
      <c r="C468" s="11" t="inlineStr">
        <is>
          <t>SG_Primary_Science_2023.pdf</t>
        </is>
      </c>
      <c r="D468" s="11" t="n">
        <v>51</v>
      </c>
      <c r="E468" s="11" t="inlineStr">
        <is>
          <t>P5</t>
        </is>
      </c>
      <c r="F468" s="11" t="n">
        <v>5</v>
      </c>
      <c r="G468" s="11" t="inlineStr">
        <is>
          <t>Ciclos · Ciclos en la materia y el agua: agua</t>
        </is>
      </c>
      <c r="H468" s="38" t="inlineStr">
        <is>
          <t>Reconocer la importancia del agua para los procesos vitales.</t>
        </is>
      </c>
      <c r="I468" s="11" t="inlineStr">
        <is>
          <t>T8_27</t>
        </is>
      </c>
      <c r="J468" s="11" t="inlineStr">
        <is>
          <t>T8_27-B5.3</t>
        </is>
      </c>
      <c r="K468" s="11" t="inlineStr"/>
      <c r="L468" s="11" t="inlineStr">
        <is>
          <t>baja</t>
        </is>
      </c>
      <c r="M468" s="11">
        <f>IF(J468="FUERA","Fuera del marco",IFERROR(INDEX('Datos - Catálogo TIMSS'!$C$5:$C$107,MATCH(J468,'Datos - Catálogo TIMSS'!$A$5:$A$107,0)),"?"))</f>
        <v/>
      </c>
      <c r="N468" s="11" t="inlineStr">
        <is>
          <t>Agua y procesos vitales; sin objetivo exacto en catálogo</t>
        </is>
      </c>
    </row>
    <row r="469">
      <c r="A469" s="11" t="inlineStr">
        <is>
          <t>SG-CYC-019</t>
        </is>
      </c>
      <c r="B469" s="11" t="inlineStr">
        <is>
          <t>Singapur</t>
        </is>
      </c>
      <c r="C469" s="11" t="inlineStr">
        <is>
          <t>SG_Primary_Science_2023.pdf</t>
        </is>
      </c>
      <c r="D469" s="11" t="n">
        <v>51</v>
      </c>
      <c r="E469" s="11" t="inlineStr">
        <is>
          <t>P5</t>
        </is>
      </c>
      <c r="F469" s="11" t="n">
        <v>5</v>
      </c>
      <c r="G469" s="11" t="inlineStr">
        <is>
          <t>Ciclos · Ciclos en la materia y el agua: agua</t>
        </is>
      </c>
      <c r="H469" s="38" t="inlineStr">
        <is>
          <t>Describir el impacto de la contaminación del agua sobre los recursos hídricos de la Tierra.</t>
        </is>
      </c>
      <c r="I469" s="11" t="inlineStr">
        <is>
          <t>T8_27</t>
        </is>
      </c>
      <c r="J469" s="11" t="inlineStr">
        <is>
          <t>T8_27-B5.6</t>
        </is>
      </c>
      <c r="K469" s="11" t="inlineStr">
        <is>
          <t>T8_27-E3.2</t>
        </is>
      </c>
      <c r="L469" s="11" t="inlineStr">
        <is>
          <t>alta</t>
        </is>
      </c>
      <c r="M469" s="11">
        <f>IF(J469="FUERA","Fuera del marco",IFERROR(INDEX('Datos - Catálogo TIMSS'!$C$5:$C$107,MATCH(J469,'Datos - Catálogo TIMSS'!$A$5:$A$107,0)),"?"))</f>
        <v/>
      </c>
      <c r="N469" s="11" t="inlineStr">
        <is>
          <t>Contaminación del agua y efectos en recursos hídricos</t>
        </is>
      </c>
    </row>
    <row r="470">
      <c r="A470" s="11" t="inlineStr">
        <is>
          <t>SG-CYC-020</t>
        </is>
      </c>
      <c r="B470" s="11" t="inlineStr">
        <is>
          <t>Singapur</t>
        </is>
      </c>
      <c r="C470" s="11" t="inlineStr">
        <is>
          <t>SG_Primary_Science_2023.pdf</t>
        </is>
      </c>
      <c r="D470" s="11" t="n">
        <v>50</v>
      </c>
      <c r="E470" s="11" t="inlineStr">
        <is>
          <t>P5</t>
        </is>
      </c>
      <c r="F470" s="11" t="n">
        <v>5</v>
      </c>
      <c r="G470" s="11" t="inlineStr">
        <is>
          <t>Ciclos · Ciclos en la materia y el agua: agua</t>
        </is>
      </c>
      <c r="H470" s="38" t="inlineStr">
        <is>
          <t>Comparar el agua en sus tres estados.</t>
        </is>
      </c>
      <c r="I470" s="11" t="inlineStr">
        <is>
          <t>T8_27</t>
        </is>
      </c>
      <c r="J470" s="11" t="inlineStr">
        <is>
          <t>T8_27-P1.1</t>
        </is>
      </c>
      <c r="K470" s="11" t="inlineStr"/>
      <c r="L470" s="11" t="inlineStr">
        <is>
          <t>media</t>
        </is>
      </c>
      <c r="M470" s="11">
        <f>IF(J470="FUERA","Fuera del marco",IFERROR(INDEX('Datos - Catálogo TIMSS'!$C$5:$C$107,MATCH(J470,'Datos - Catálogo TIMSS'!$A$5:$A$107,0)),"?"))</f>
        <v/>
      </c>
      <c r="N470" s="11" t="inlineStr">
        <is>
          <t>Comparar propiedades del agua en sus tres estados</t>
        </is>
      </c>
    </row>
    <row r="471">
      <c r="A471" s="11" t="inlineStr">
        <is>
          <t>SG-CYC-021</t>
        </is>
      </c>
      <c r="B471" s="11" t="inlineStr">
        <is>
          <t>Singapur</t>
        </is>
      </c>
      <c r="C471" s="11" t="inlineStr">
        <is>
          <t>SG_Primary_Science_2023.pdf</t>
        </is>
      </c>
      <c r="D471" s="11" t="n">
        <v>50</v>
      </c>
      <c r="E471" s="11" t="inlineStr">
        <is>
          <t>P5</t>
        </is>
      </c>
      <c r="F471" s="11" t="n">
        <v>5</v>
      </c>
      <c r="G471" s="11" t="inlineStr">
        <is>
          <t>Ciclos · Ciclos en la materia y el agua: agua</t>
        </is>
      </c>
      <c r="H471" s="38" t="inlineStr">
        <is>
          <t>Investigar el efecto de ganar o perder calor sobre la temperatura y el estado del agua (fusión y congelación a 0 °C, ebullición a 100 °C, condensación).</t>
        </is>
      </c>
      <c r="I471" s="11" t="inlineStr">
        <is>
          <t>T8_27</t>
        </is>
      </c>
      <c r="J471" s="11" t="inlineStr">
        <is>
          <t>T8_27-P1.2</t>
        </is>
      </c>
      <c r="K471" s="11" t="inlineStr">
        <is>
          <t>T8_27-P6.1</t>
        </is>
      </c>
      <c r="L471" s="11" t="inlineStr">
        <is>
          <t>alta</t>
        </is>
      </c>
      <c r="M471" s="11">
        <f>IF(J471="FUERA","Fuera del marco",IFERROR(INDEX('Datos - Catálogo TIMSS'!$C$5:$C$107,MATCH(J471,'Datos - Catálogo TIMSS'!$A$5:$A$107,0)),"?"))</f>
        <v/>
      </c>
      <c r="N471" s="11" t="inlineStr">
        <is>
          <t>Investigar calor, temperatura y cambios de estado del agua</t>
        </is>
      </c>
    </row>
    <row r="472">
      <c r="A472" s="11" t="inlineStr">
        <is>
          <t>SG-CYC-022</t>
        </is>
      </c>
      <c r="B472" s="11" t="inlineStr">
        <is>
          <t>Singapur</t>
        </is>
      </c>
      <c r="C472" s="11" t="inlineStr">
        <is>
          <t>SG_Primary_Science_2023.pdf</t>
        </is>
      </c>
      <c r="D472" s="11" t="n">
        <v>50</v>
      </c>
      <c r="E472" s="11" t="inlineStr">
        <is>
          <t>P5</t>
        </is>
      </c>
      <c r="F472" s="11" t="n">
        <v>5</v>
      </c>
      <c r="G472" s="11" t="inlineStr">
        <is>
          <t>Ciclos · Ciclos en la materia y el agua: agua</t>
        </is>
      </c>
      <c r="H472" s="38" t="inlineStr">
        <is>
          <t>Investigar los factores que afectan la rapidez de evaporación: viento, temperatura y superficie expuesta.</t>
        </is>
      </c>
      <c r="I472" s="11" t="inlineStr">
        <is>
          <t>T8_27</t>
        </is>
      </c>
      <c r="J472" s="11" t="inlineStr">
        <is>
          <t>T8_27-P1.2</t>
        </is>
      </c>
      <c r="K472" s="11" t="inlineStr">
        <is>
          <t>T8_27-P6.1</t>
        </is>
      </c>
      <c r="L472" s="11" t="inlineStr">
        <is>
          <t>alta</t>
        </is>
      </c>
      <c r="M472" s="11">
        <f>IF(J472="FUERA","Fuera del marco",IFERROR(INDEX('Datos - Catálogo TIMSS'!$C$5:$C$107,MATCH(J472,'Datos - Catálogo TIMSS'!$A$5:$A$107,0)),"?"))</f>
        <v/>
      </c>
      <c r="N472" s="11" t="inlineStr">
        <is>
          <t>Factores que afectan la rapidez de evaporación</t>
        </is>
      </c>
    </row>
    <row r="473">
      <c r="A473" s="11" t="inlineStr">
        <is>
          <t>SG-PRA-004</t>
        </is>
      </c>
      <c r="B473" s="11" t="inlineStr">
        <is>
          <t>Singapur</t>
        </is>
      </c>
      <c r="C473" s="11" t="inlineStr">
        <is>
          <t>SG_Primary_Science_2023.pdf</t>
        </is>
      </c>
      <c r="D473" s="11" t="n">
        <v>16</v>
      </c>
      <c r="E473" s="11" t="inlineStr">
        <is>
          <t>P5–P6</t>
        </is>
      </c>
      <c r="F473" s="11" t="n">
        <v>5</v>
      </c>
      <c r="G473" s="11" t="inlineStr">
        <is>
          <t>Prácticas de la ciencia · Diseñar investigaciones</t>
        </is>
      </c>
      <c r="H473" s="38" t="inlineStr">
        <is>
          <t>Diseñar una prueba justa (variables que cambian y que se mantienen).</t>
        </is>
      </c>
      <c r="I473" s="11" t="inlineStr">
        <is>
          <t>T8_27</t>
        </is>
      </c>
      <c r="J473" s="11" t="inlineStr">
        <is>
          <t>T8_27-B7.1</t>
        </is>
      </c>
      <c r="K473" s="11" t="inlineStr">
        <is>
          <t>T8_27-P6.1</t>
        </is>
      </c>
      <c r="L473" s="11" t="inlineStr">
        <is>
          <t>media</t>
        </is>
      </c>
      <c r="M473" s="11">
        <f>IF(J473="FUERA","Fuera del marco",IFERROR(INDEX('Datos - Catálogo TIMSS'!$C$5:$C$107,MATCH(J473,'Datos - Catálogo TIMSS'!$A$5:$A$107,0)),"?"))</f>
        <v/>
      </c>
      <c r="N473" s="11" t="inlineStr">
        <is>
          <t>Diseñar prueba justa controlando variables</t>
        </is>
      </c>
    </row>
    <row r="474">
      <c r="A474" s="11" t="inlineStr">
        <is>
          <t>SG-PRA-008</t>
        </is>
      </c>
      <c r="B474" s="11" t="inlineStr">
        <is>
          <t>Singapur</t>
        </is>
      </c>
      <c r="C474" s="11" t="inlineStr">
        <is>
          <t>SG_Primary_Science_2023.pdf</t>
        </is>
      </c>
      <c r="D474" s="11" t="n">
        <v>17</v>
      </c>
      <c r="E474" s="11" t="inlineStr">
        <is>
          <t>P5–P6</t>
        </is>
      </c>
      <c r="F474" s="11" t="n">
        <v>5</v>
      </c>
      <c r="G474" s="11" t="inlineStr">
        <is>
          <t>Prácticas de la ciencia · Realizar investigaciones y probar soluciones</t>
        </is>
      </c>
      <c r="H474" s="38" t="inlineStr">
        <is>
          <t>Usar y seleccionar aparatos y equipos apropiados para recoger datos.</t>
        </is>
      </c>
      <c r="I474" s="11" t="inlineStr">
        <is>
          <t>T8_27</t>
        </is>
      </c>
      <c r="J474" s="11" t="inlineStr">
        <is>
          <t>T8_27-P6.1</t>
        </is>
      </c>
      <c r="K474" s="11" t="inlineStr"/>
      <c r="L474" s="11" t="inlineStr">
        <is>
          <t>media</t>
        </is>
      </c>
      <c r="M474" s="11">
        <f>IF(J474="FUERA","Fuera del marco",IFERROR(INDEX('Datos - Catálogo TIMSS'!$C$5:$C$107,MATCH(J474,'Datos - Catálogo TIMSS'!$A$5:$A$107,0)),"?"))</f>
        <v/>
      </c>
      <c r="N474" s="11" t="inlineStr">
        <is>
          <t>Seleccionar y usar equipo para recoger datos</t>
        </is>
      </c>
    </row>
    <row r="475">
      <c r="A475" s="11" t="inlineStr">
        <is>
          <t>SG-PRA-009</t>
        </is>
      </c>
      <c r="B475" s="11" t="inlineStr">
        <is>
          <t>Singapur</t>
        </is>
      </c>
      <c r="C475" s="11" t="inlineStr">
        <is>
          <t>SG_Primary_Science_2023.pdf</t>
        </is>
      </c>
      <c r="D475" s="11" t="n">
        <v>17</v>
      </c>
      <c r="E475" s="11" t="inlineStr">
        <is>
          <t>P5–P6</t>
        </is>
      </c>
      <c r="F475" s="11" t="n">
        <v>5</v>
      </c>
      <c r="G475" s="11" t="inlineStr">
        <is>
          <t>Prácticas de la ciencia · Realizar investigaciones y probar soluciones</t>
        </is>
      </c>
      <c r="H475" s="38" t="inlineStr">
        <is>
          <t>Investigar para responder preguntas mediante investigaciones guiadas y abiertas.</t>
        </is>
      </c>
      <c r="I475" s="11" t="inlineStr">
        <is>
          <t>T8_27</t>
        </is>
      </c>
      <c r="J475" s="11" t="inlineStr">
        <is>
          <t>T8_27-P6.1</t>
        </is>
      </c>
      <c r="K475" s="11" t="inlineStr"/>
      <c r="L475" s="11" t="inlineStr">
        <is>
          <t>baja</t>
        </is>
      </c>
      <c r="M475" s="11">
        <f>IF(J475="FUERA","Fuera del marco",IFERROR(INDEX('Datos - Catálogo TIMSS'!$C$5:$C$107,MATCH(J475,'Datos - Catálogo TIMSS'!$A$5:$A$107,0)),"?"))</f>
        <v/>
      </c>
      <c r="N475" s="11" t="inlineStr">
        <is>
          <t>Investigación guiada y abierta genérica, sin disciplina</t>
        </is>
      </c>
    </row>
    <row r="476">
      <c r="A476" s="11" t="inlineStr">
        <is>
          <t>SG-PRA-010</t>
        </is>
      </c>
      <c r="B476" s="11" t="inlineStr">
        <is>
          <t>Singapur</t>
        </is>
      </c>
      <c r="C476" s="11" t="inlineStr">
        <is>
          <t>SG_Primary_Science_2023.pdf</t>
        </is>
      </c>
      <c r="D476" s="11" t="n">
        <v>17</v>
      </c>
      <c r="E476" s="11" t="inlineStr">
        <is>
          <t>P5–P6</t>
        </is>
      </c>
      <c r="F476" s="11" t="n">
        <v>5</v>
      </c>
      <c r="G476" s="11" t="inlineStr">
        <is>
          <t>Prácticas de la ciencia · Realizar investigaciones y probar soluciones</t>
        </is>
      </c>
      <c r="H476" s="38" t="inlineStr">
        <is>
          <t>Registrar y/o comparar observaciones o datos en formas variadas: notas, dibujos y gráficos.</t>
        </is>
      </c>
      <c r="I476" s="11" t="inlineStr">
        <is>
          <t>T8_27</t>
        </is>
      </c>
      <c r="J476" s="11" t="inlineStr">
        <is>
          <t>T8_27-P6.1</t>
        </is>
      </c>
      <c r="K476" s="11" t="inlineStr"/>
      <c r="L476" s="11" t="inlineStr">
        <is>
          <t>baja</t>
        </is>
      </c>
      <c r="M476" s="11">
        <f>IF(J476="FUERA","Fuera del marco",IFERROR(INDEX('Datos - Catálogo TIMSS'!$C$5:$C$107,MATCH(J476,'Datos - Catálogo TIMSS'!$A$5:$A$107,0)),"?"))</f>
        <v/>
      </c>
      <c r="N476" s="11" t="inlineStr">
        <is>
          <t>Registrar datos en formas variadas; práctica genérica</t>
        </is>
      </c>
    </row>
    <row r="477">
      <c r="A477" s="11" t="inlineStr">
        <is>
          <t>SG-PRA-012</t>
        </is>
      </c>
      <c r="B477" s="11" t="inlineStr">
        <is>
          <t>Singapur</t>
        </is>
      </c>
      <c r="C477" s="11" t="inlineStr">
        <is>
          <t>SG_Primary_Science_2023.pdf</t>
        </is>
      </c>
      <c r="D477" s="11" t="n">
        <v>17</v>
      </c>
      <c r="E477" s="11" t="inlineStr">
        <is>
          <t>P5–P6</t>
        </is>
      </c>
      <c r="F477" s="11" t="n">
        <v>5</v>
      </c>
      <c r="G477" s="11" t="inlineStr">
        <is>
          <t>Prácticas de la ciencia · Analizar e interpretar datos</t>
        </is>
      </c>
      <c r="H477" s="38" t="inlineStr">
        <is>
          <t>Analizar datos en tablas, gráficos de barras y líneas, esquemas y diagramas para inferir patrones y relaciones o explicar hallazgos.</t>
        </is>
      </c>
      <c r="I477" s="11" t="inlineStr">
        <is>
          <t>T8_27</t>
        </is>
      </c>
      <c r="J477" s="11" t="inlineStr">
        <is>
          <t>T8_27-P6.1</t>
        </is>
      </c>
      <c r="K477" s="11" t="inlineStr"/>
      <c r="L477" s="11" t="inlineStr">
        <is>
          <t>baja</t>
        </is>
      </c>
      <c r="M477" s="11">
        <f>IF(J477="FUERA","Fuera del marco",IFERROR(INDEX('Datos - Catálogo TIMSS'!$C$5:$C$107,MATCH(J477,'Datos - Catálogo TIMSS'!$A$5:$A$107,0)),"?"))</f>
        <v/>
      </c>
      <c r="N477" s="11" t="inlineStr">
        <is>
          <t>Analizar datos para inferir patrones; práctica genérica</t>
        </is>
      </c>
    </row>
    <row r="478">
      <c r="A478" s="11" t="inlineStr">
        <is>
          <t>SG-SYS-003</t>
        </is>
      </c>
      <c r="B478" s="11" t="inlineStr">
        <is>
          <t>Singapur</t>
        </is>
      </c>
      <c r="C478" s="11" t="inlineStr">
        <is>
          <t>SG_Primary_Science_2023.pdf</t>
        </is>
      </c>
      <c r="D478" s="11" t="n">
        <v>55</v>
      </c>
      <c r="E478" s="11" t="inlineStr">
        <is>
          <t>P5</t>
        </is>
      </c>
      <c r="F478" s="11" t="n">
        <v>5</v>
      </c>
      <c r="G478" s="11" t="inlineStr">
        <is>
          <t>Sistemas · Sistema humano: sistemas respiratorio y circulatorio</t>
        </is>
      </c>
      <c r="H478" s="38" t="inlineStr">
        <is>
          <t>Reconocer que el aire está formado por gases como nitrógeno, dióxido de carbono, oxígeno y vapor de agua.</t>
        </is>
      </c>
      <c r="I478" s="11" t="inlineStr">
        <is>
          <t>T8_27</t>
        </is>
      </c>
      <c r="J478" s="11" t="inlineStr">
        <is>
          <t>T8_27-E2.1</t>
        </is>
      </c>
      <c r="K478" s="11" t="inlineStr"/>
      <c r="L478" s="11" t="inlineStr">
        <is>
          <t>alta</t>
        </is>
      </c>
      <c r="M478" s="11">
        <f>IF(J478="FUERA","Fuera del marco",IFERROR(INDEX('Datos - Catálogo TIMSS'!$C$5:$C$107,MATCH(J478,'Datos - Catálogo TIMSS'!$A$5:$A$107,0)),"?"))</f>
        <v/>
      </c>
      <c r="N478" s="11" t="inlineStr">
        <is>
          <t>Composición del aire como mezcla de gases</t>
        </is>
      </c>
    </row>
    <row r="479">
      <c r="A479" s="11" t="inlineStr">
        <is>
          <t>SG-SYS-004</t>
        </is>
      </c>
      <c r="B479" s="11" t="inlineStr">
        <is>
          <t>Singapur</t>
        </is>
      </c>
      <c r="C479" s="11" t="inlineStr">
        <is>
          <t>SG_Primary_Science_2023.pdf</t>
        </is>
      </c>
      <c r="D479" s="11" t="n">
        <v>55</v>
      </c>
      <c r="E479" s="11" t="inlineStr">
        <is>
          <t>P5</t>
        </is>
      </c>
      <c r="F479" s="11" t="n">
        <v>5</v>
      </c>
      <c r="G479" s="11" t="inlineStr">
        <is>
          <t>Sistemas · Sistema humano: sistemas respiratorio y circulatorio</t>
        </is>
      </c>
      <c r="H479" s="38" t="inlineStr">
        <is>
          <t>Identificar las partes de los sistemas respiratorio (nariz, tráquea, pulmones) y circulatorio (corazón, sangre, vasos sanguíneos) y describir sus funciones.</t>
        </is>
      </c>
      <c r="I479" s="11" t="inlineStr">
        <is>
          <t>T8_27</t>
        </is>
      </c>
      <c r="J479" s="11" t="inlineStr">
        <is>
          <t>T8_27-B1.2</t>
        </is>
      </c>
      <c r="K479" s="11" t="inlineStr"/>
      <c r="L479" s="11" t="inlineStr">
        <is>
          <t>alta</t>
        </is>
      </c>
      <c r="M479" s="11">
        <f>IF(J479="FUERA","Fuera del marco",IFERROR(INDEX('Datos - Catálogo TIMSS'!$C$5:$C$107,MATCH(J479,'Datos - Catálogo TIMSS'!$A$5:$A$107,0)),"?"))</f>
        <v/>
      </c>
      <c r="N479" s="11" t="inlineStr">
        <is>
          <t>Órganos de sistemas respiratorio y circulatorio</t>
        </is>
      </c>
    </row>
    <row r="480">
      <c r="A480" s="11" t="inlineStr">
        <is>
          <t>SG-SYS-005</t>
        </is>
      </c>
      <c r="B480" s="11" t="inlineStr">
        <is>
          <t>Singapur</t>
        </is>
      </c>
      <c r="C480" s="11" t="inlineStr">
        <is>
          <t>SG_Primary_Science_2023.pdf</t>
        </is>
      </c>
      <c r="D480" s="11" t="n">
        <v>55</v>
      </c>
      <c r="E480" s="11" t="inlineStr">
        <is>
          <t>P5</t>
        </is>
      </c>
      <c r="F480" s="11" t="n">
        <v>5</v>
      </c>
      <c r="G480" s="11" t="inlineStr">
        <is>
          <t>Sistemas · Sistema humano: sistemas respiratorio y circulatorio</t>
        </is>
      </c>
      <c r="H480" s="38" t="inlineStr">
        <is>
          <t>Reconocer la integración de los sistemas digestivo, respiratorio y circulatorio en la realización de los procesos vitales.</t>
        </is>
      </c>
      <c r="I480" s="11" t="inlineStr">
        <is>
          <t>T8_27</t>
        </is>
      </c>
      <c r="J480" s="11" t="inlineStr">
        <is>
          <t>T8_27-B1.2</t>
        </is>
      </c>
      <c r="K480" s="11" t="inlineStr"/>
      <c r="L480" s="11" t="inlineStr">
        <is>
          <t>alta</t>
        </is>
      </c>
      <c r="M480" s="11">
        <f>IF(J480="FUERA","Fuera del marco",IFERROR(INDEX('Datos - Catálogo TIMSS'!$C$5:$C$107,MATCH(J480,'Datos - Catálogo TIMSS'!$A$5:$A$107,0)),"?"))</f>
        <v/>
      </c>
      <c r="N480" s="11" t="inlineStr">
        <is>
          <t>Integración de sistemas de órganos en procesos vitales</t>
        </is>
      </c>
    </row>
    <row r="481">
      <c r="A481" s="11" t="inlineStr">
        <is>
          <t>SG-SYS-006</t>
        </is>
      </c>
      <c r="B481" s="11" t="inlineStr">
        <is>
          <t>Singapur</t>
        </is>
      </c>
      <c r="C481" s="11" t="inlineStr">
        <is>
          <t>SG_Primary_Science_2023.pdf</t>
        </is>
      </c>
      <c r="D481" s="11" t="n">
        <v>55</v>
      </c>
      <c r="E481" s="11" t="inlineStr">
        <is>
          <t>P5</t>
        </is>
      </c>
      <c r="F481" s="11" t="n">
        <v>5</v>
      </c>
      <c r="G481" s="11" t="inlineStr">
        <is>
          <t>Sistemas · Sistema humano: sistemas respiratorio y circulatorio</t>
        </is>
      </c>
      <c r="H481" s="38" t="inlineStr">
        <is>
          <t>Comparar cómo plantas, peces y seres humanos toman oxígeno y liberan dióxido de carbono.</t>
        </is>
      </c>
      <c r="I481" s="11" t="inlineStr">
        <is>
          <t>T8_27</t>
        </is>
      </c>
      <c r="J481" s="11" t="inlineStr">
        <is>
          <t>T8_27-B1.2</t>
        </is>
      </c>
      <c r="K481" s="11" t="inlineStr">
        <is>
          <t>T8_27-B1.3</t>
        </is>
      </c>
      <c r="L481" s="11" t="inlineStr">
        <is>
          <t>alta</t>
        </is>
      </c>
      <c r="M481" s="11">
        <f>IF(J481="FUERA","Fuera del marco",IFERROR(INDEX('Datos - Catálogo TIMSS'!$C$5:$C$107,MATCH(J481,'Datos - Catálogo TIMSS'!$A$5:$A$107,0)),"?"))</f>
        <v/>
      </c>
      <c r="N481" s="11" t="inlineStr">
        <is>
          <t>Comparar intercambio de gases en plantas, peces y humanos</t>
        </is>
      </c>
    </row>
    <row r="482">
      <c r="A482" s="11" t="inlineStr">
        <is>
          <t>SG-SYS-007</t>
        </is>
      </c>
      <c r="B482" s="11" t="inlineStr">
        <is>
          <t>Singapur</t>
        </is>
      </c>
      <c r="C482" s="11" t="inlineStr">
        <is>
          <t>SG_Primary_Science_2023.pdf</t>
        </is>
      </c>
      <c r="D482" s="11" t="n">
        <v>55</v>
      </c>
      <c r="E482" s="11" t="inlineStr">
        <is>
          <t>P5</t>
        </is>
      </c>
      <c r="F482" s="11" t="n">
        <v>5</v>
      </c>
      <c r="G482" s="11" t="inlineStr">
        <is>
          <t>Sistemas · Sistema humano: sistemas respiratorio y circulatorio</t>
        </is>
      </c>
      <c r="H482" s="38" t="inlineStr">
        <is>
          <t>Comparar el transporte de sustancias en plantas (tubos de alimento y agua) y en humanos (vasos que llevan alimento digerido, oxígeno y dióxido de carbono).</t>
        </is>
      </c>
      <c r="I482" s="11" t="inlineStr">
        <is>
          <t>T8_27</t>
        </is>
      </c>
      <c r="J482" s="11" t="inlineStr">
        <is>
          <t>T8_27-B1.2</t>
        </is>
      </c>
      <c r="K482" s="11" t="inlineStr"/>
      <c r="L482" s="11" t="inlineStr">
        <is>
          <t>media</t>
        </is>
      </c>
      <c r="M482" s="11">
        <f>IF(J482="FUERA","Fuera del marco",IFERROR(INDEX('Datos - Catálogo TIMSS'!$C$5:$C$107,MATCH(J482,'Datos - Catálogo TIMSS'!$A$5:$A$107,0)),"?"))</f>
        <v/>
      </c>
      <c r="N482" s="11" t="inlineStr">
        <is>
          <t>Transporte de sustancias comparado en plantas y humanos</t>
        </is>
      </c>
    </row>
    <row r="483">
      <c r="A483" s="11" t="inlineStr">
        <is>
          <t>SG-SYS-010</t>
        </is>
      </c>
      <c r="B483" s="11" t="inlineStr">
        <is>
          <t>Singapur</t>
        </is>
      </c>
      <c r="C483" s="11" t="inlineStr">
        <is>
          <t>SG_Primary_Science_2023.pdf</t>
        </is>
      </c>
      <c r="D483" s="11" t="n">
        <v>58</v>
      </c>
      <c r="E483" s="11" t="inlineStr">
        <is>
          <t>P5</t>
        </is>
      </c>
      <c r="F483" s="11" t="n">
        <v>5</v>
      </c>
      <c r="G483" s="11" t="inlineStr">
        <is>
          <t>Sistemas · Sistema vegetal: sistemas respiratorio y circulatorio</t>
        </is>
      </c>
      <c r="H483" s="38" t="inlineStr">
        <is>
          <t>Identificar las partes del sistema de transporte de la planta y describir sus funciones (sin exigir términos xilema/floema ni tirón transpiratorio).</t>
        </is>
      </c>
      <c r="I483" s="11" t="inlineStr">
        <is>
          <t>T8_27</t>
        </is>
      </c>
      <c r="J483" s="11" t="inlineStr">
        <is>
          <t>T8_27-B1.2</t>
        </is>
      </c>
      <c r="K483" s="11" t="inlineStr"/>
      <c r="L483" s="11" t="inlineStr">
        <is>
          <t>baja</t>
        </is>
      </c>
      <c r="M483" s="11">
        <f>IF(J483="FUERA","Fuera del marco",IFERROR(INDEX('Datos - Catálogo TIMSS'!$C$5:$C$107,MATCH(J483,'Datos - Catálogo TIMSS'!$A$5:$A$107,0)),"?"))</f>
        <v/>
      </c>
      <c r="N483" s="11" t="inlineStr">
        <is>
          <t>Sistema de transporte vegetal; catálogo enfocado en animales</t>
        </is>
      </c>
    </row>
    <row r="484">
      <c r="A484" s="11" t="inlineStr">
        <is>
          <t>SG-SYS-011</t>
        </is>
      </c>
      <c r="B484" s="11" t="inlineStr">
        <is>
          <t>Singapur</t>
        </is>
      </c>
      <c r="C484" s="11" t="inlineStr">
        <is>
          <t>SG_Primary_Science_2023.pdf</t>
        </is>
      </c>
      <c r="D484" s="11" t="n">
        <v>58</v>
      </c>
      <c r="E484" s="11" t="inlineStr">
        <is>
          <t>P5</t>
        </is>
      </c>
      <c r="F484" s="11" t="n">
        <v>5</v>
      </c>
      <c r="G484" s="11" t="inlineStr">
        <is>
          <t>Sistemas · Sistema vegetal: sistemas respiratorio y circulatorio</t>
        </is>
      </c>
      <c r="H484" s="38" t="inlineStr">
        <is>
          <t>Investigar cómo se transportan el alimento y el agua dentro de la planta.</t>
        </is>
      </c>
      <c r="I484" s="11" t="inlineStr">
        <is>
          <t>T8_27</t>
        </is>
      </c>
      <c r="J484" s="11" t="inlineStr">
        <is>
          <t>T8_27-B1.2</t>
        </is>
      </c>
      <c r="K484" s="11" t="inlineStr">
        <is>
          <t>T8_27-B7.1</t>
        </is>
      </c>
      <c r="L484" s="11" t="inlineStr">
        <is>
          <t>baja</t>
        </is>
      </c>
      <c r="M484" s="11">
        <f>IF(J484="FUERA","Fuera del marco",IFERROR(INDEX('Datos - Catálogo TIMSS'!$C$5:$C$107,MATCH(J484,'Datos - Catálogo TIMSS'!$A$5:$A$107,0)),"?"))</f>
        <v/>
      </c>
      <c r="N484" s="11" t="inlineStr">
        <is>
          <t>Investigar transporte vegetal; catálogo enfocado en animales</t>
        </is>
      </c>
    </row>
    <row r="485">
      <c r="A485" s="11" t="inlineStr">
        <is>
          <t>SG-SYS-012</t>
        </is>
      </c>
      <c r="B485" s="11" t="inlineStr">
        <is>
          <t>Singapur</t>
        </is>
      </c>
      <c r="C485" s="11" t="inlineStr">
        <is>
          <t>SG_Primary_Science_2023.pdf</t>
        </is>
      </c>
      <c r="D485" s="11" t="n">
        <v>60</v>
      </c>
      <c r="E485" s="11" t="inlineStr">
        <is>
          <t>P5</t>
        </is>
      </c>
      <c r="F485" s="11" t="n">
        <v>5</v>
      </c>
      <c r="G485" s="11" t="inlineStr">
        <is>
          <t>Sistemas · Sistema eléctrico</t>
        </is>
      </c>
      <c r="H485" s="38" t="inlineStr">
        <is>
          <t>Reconocer que un circuito con fuente de energía (batería) y componentes (cable, bombilla, interruptor) forma un sistema eléctrico.</t>
        </is>
      </c>
      <c r="I485" s="11" t="inlineStr">
        <is>
          <t>T8_27</t>
        </is>
      </c>
      <c r="J485" s="11" t="inlineStr">
        <is>
          <t>T8_27-P4.1</t>
        </is>
      </c>
      <c r="K485" s="11" t="inlineStr"/>
      <c r="L485" s="11" t="inlineStr">
        <is>
          <t>alta</t>
        </is>
      </c>
      <c r="M485" s="11">
        <f>IF(J485="FUERA","Fuera del marco",IFERROR(INDEX('Datos - Catálogo TIMSS'!$C$5:$C$107,MATCH(J485,'Datos - Catálogo TIMSS'!$A$5:$A$107,0)),"?"))</f>
        <v/>
      </c>
      <c r="N485" s="11" t="inlineStr">
        <is>
          <t>Componentes de un circuito eléctrico</t>
        </is>
      </c>
    </row>
    <row r="486">
      <c r="A486" s="11" t="inlineStr">
        <is>
          <t>SG-SYS-013</t>
        </is>
      </c>
      <c r="B486" s="11" t="inlineStr">
        <is>
          <t>Singapur</t>
        </is>
      </c>
      <c r="C486" s="11" t="inlineStr">
        <is>
          <t>SG_Primary_Science_2023.pdf</t>
        </is>
      </c>
      <c r="D486" s="11" t="n">
        <v>60</v>
      </c>
      <c r="E486" s="11" t="inlineStr">
        <is>
          <t>P5</t>
        </is>
      </c>
      <c r="F486" s="11" t="n">
        <v>5</v>
      </c>
      <c r="G486" s="11" t="inlineStr">
        <is>
          <t>Sistemas · Sistema eléctrico</t>
        </is>
      </c>
      <c r="H486" s="38" t="inlineStr">
        <is>
          <t>Comprender que un circuito cerrado permite el paso de la corriente.</t>
        </is>
      </c>
      <c r="I486" s="11" t="inlineStr">
        <is>
          <t>T8_27</t>
        </is>
      </c>
      <c r="J486" s="11" t="inlineStr">
        <is>
          <t>T8_27-P4.1</t>
        </is>
      </c>
      <c r="K486" s="11" t="inlineStr"/>
      <c r="L486" s="11" t="inlineStr">
        <is>
          <t>alta</t>
        </is>
      </c>
      <c r="M486" s="11">
        <f>IF(J486="FUERA","Fuera del marco",IFERROR(INDEX('Datos - Catálogo TIMSS'!$C$5:$C$107,MATCH(J486,'Datos - Catálogo TIMSS'!$A$5:$A$107,0)),"?"))</f>
        <v/>
      </c>
      <c r="N486" s="11" t="inlineStr">
        <is>
          <t>Circuito cerrado permite la corriente</t>
        </is>
      </c>
    </row>
    <row r="487">
      <c r="A487" s="11" t="inlineStr">
        <is>
          <t>SG-SYS-014</t>
        </is>
      </c>
      <c r="B487" s="11" t="inlineStr">
        <is>
          <t>Singapur</t>
        </is>
      </c>
      <c r="C487" s="11" t="inlineStr">
        <is>
          <t>SG_Primary_Science_2023.pdf</t>
        </is>
      </c>
      <c r="D487" s="11" t="n">
        <v>60</v>
      </c>
      <c r="E487" s="11" t="inlineStr">
        <is>
          <t>P5</t>
        </is>
      </c>
      <c r="F487" s="11" t="n">
        <v>5</v>
      </c>
      <c r="G487" s="11" t="inlineStr">
        <is>
          <t>Sistemas · Sistema eléctrico</t>
        </is>
      </c>
      <c r="H487" s="38" t="inlineStr">
        <is>
          <t>Identificar conductores y aislantes eléctricos.</t>
        </is>
      </c>
      <c r="I487" s="11" t="inlineStr">
        <is>
          <t>T8_27</t>
        </is>
      </c>
      <c r="J487" s="11" t="inlineStr">
        <is>
          <t>T8_27-P4.1</t>
        </is>
      </c>
      <c r="K487" s="11" t="inlineStr"/>
      <c r="L487" s="11" t="inlineStr">
        <is>
          <t>alta</t>
        </is>
      </c>
      <c r="M487" s="11">
        <f>IF(J487="FUERA","Fuera del marco",IFERROR(INDEX('Datos - Catálogo TIMSS'!$C$5:$C$107,MATCH(J487,'Datos - Catálogo TIMSS'!$A$5:$A$107,0)),"?"))</f>
        <v/>
      </c>
      <c r="N487" s="11" t="inlineStr">
        <is>
          <t>Conductores y aislantes eléctricos</t>
        </is>
      </c>
    </row>
    <row r="488">
      <c r="A488" s="11" t="inlineStr">
        <is>
          <t>SG-SYS-015</t>
        </is>
      </c>
      <c r="B488" s="11" t="inlineStr">
        <is>
          <t>Singapur</t>
        </is>
      </c>
      <c r="C488" s="11" t="inlineStr">
        <is>
          <t>SG_Primary_Science_2023.pdf</t>
        </is>
      </c>
      <c r="D488" s="11" t="n">
        <v>60</v>
      </c>
      <c r="E488" s="11" t="inlineStr">
        <is>
          <t>P5</t>
        </is>
      </c>
      <c r="F488" s="11" t="n">
        <v>5</v>
      </c>
      <c r="G488" s="11" t="inlineStr">
        <is>
          <t>Sistemas · Sistema eléctrico</t>
        </is>
      </c>
      <c r="H488" s="38" t="inlineStr">
        <is>
          <t>Construir circuitos sencillos a partir de diagramas de circuitos.</t>
        </is>
      </c>
      <c r="I488" s="11" t="inlineStr">
        <is>
          <t>T8_27</t>
        </is>
      </c>
      <c r="J488" s="11" t="inlineStr">
        <is>
          <t>T8_27-P4.1</t>
        </is>
      </c>
      <c r="K488" s="11" t="inlineStr"/>
      <c r="L488" s="11" t="inlineStr">
        <is>
          <t>alta</t>
        </is>
      </c>
      <c r="M488" s="11">
        <f>IF(J488="FUERA","Fuera del marco",IFERROR(INDEX('Datos - Catálogo TIMSS'!$C$5:$C$107,MATCH(J488,'Datos - Catálogo TIMSS'!$A$5:$A$107,0)),"?"))</f>
        <v/>
      </c>
      <c r="N488" s="11" t="inlineStr">
        <is>
          <t>Construir circuitos a partir de diagramas</t>
        </is>
      </c>
    </row>
    <row r="489">
      <c r="A489" s="11" t="inlineStr">
        <is>
          <t>SG-SYS-016</t>
        </is>
      </c>
      <c r="B489" s="11" t="inlineStr">
        <is>
          <t>Singapur</t>
        </is>
      </c>
      <c r="C489" s="11" t="inlineStr">
        <is>
          <t>SG_Primary_Science_2023.pdf</t>
        </is>
      </c>
      <c r="D489" s="11" t="n">
        <v>60</v>
      </c>
      <c r="E489" s="11" t="inlineStr">
        <is>
          <t>P5</t>
        </is>
      </c>
      <c r="F489" s="11" t="n">
        <v>5</v>
      </c>
      <c r="G489" s="11" t="inlineStr">
        <is>
          <t>Sistemas · Sistema eléctrico</t>
        </is>
      </c>
      <c r="H489" s="38" t="inlineStr">
        <is>
          <t>Investigar el efecto sobre la corriente del número de baterías en serie y del número de bombillas en serie y en paralelo.</t>
        </is>
      </c>
      <c r="I489" s="11" t="inlineStr">
        <is>
          <t>T8_27</t>
        </is>
      </c>
      <c r="J489" s="11" t="inlineStr">
        <is>
          <t>T8_27-P4.1</t>
        </is>
      </c>
      <c r="K489" s="11" t="inlineStr">
        <is>
          <t>T8_27-P6.1</t>
        </is>
      </c>
      <c r="L489" s="11" t="inlineStr">
        <is>
          <t>media</t>
        </is>
      </c>
      <c r="M489" s="11">
        <f>IF(J489="FUERA","Fuera del marco",IFERROR(INDEX('Datos - Catálogo TIMSS'!$C$5:$C$107,MATCH(J489,'Datos - Catálogo TIMSS'!$A$5:$A$107,0)),"?"))</f>
        <v/>
      </c>
      <c r="N489" s="11" t="inlineStr">
        <is>
          <t>Investigar circuitos en serie y paralelo</t>
        </is>
      </c>
    </row>
    <row r="490">
      <c r="A490" s="11" t="inlineStr">
        <is>
          <t>SG-ENE-013</t>
        </is>
      </c>
      <c r="B490" s="11" t="inlineStr">
        <is>
          <t>Singapur</t>
        </is>
      </c>
      <c r="C490" s="11" t="inlineStr">
        <is>
          <t>SG_Primary_Science_2023.pdf</t>
        </is>
      </c>
      <c r="D490" s="11" t="n">
        <v>79</v>
      </c>
      <c r="E490" s="11" t="inlineStr">
        <is>
          <t>P6</t>
        </is>
      </c>
      <c r="F490" s="11" t="n">
        <v>6</v>
      </c>
      <c r="G490" s="11" t="inlineStr">
        <is>
          <t>Energía · Formas y usos de la energía: fotosíntesis</t>
        </is>
      </c>
      <c r="H490" s="38" t="inlineStr">
        <is>
          <t>Reconocer que los seres vivos necesitan la energía liberada por la respiración a partir del alimento para realizar sus procesos vitales.</t>
        </is>
      </c>
      <c r="I490" s="11" t="inlineStr">
        <is>
          <t>T8_27</t>
        </is>
      </c>
      <c r="J490" s="11" t="inlineStr">
        <is>
          <t>T8_27-B1.3</t>
        </is>
      </c>
      <c r="K490" s="11" t="inlineStr"/>
      <c r="L490" s="11" t="inlineStr">
        <is>
          <t>alta</t>
        </is>
      </c>
      <c r="M490" s="11">
        <f>IF(J490="FUERA","Fuera del marco",IFERROR(INDEX('Datos - Catálogo TIMSS'!$C$5:$C$107,MATCH(J490,'Datos - Catálogo TIMSS'!$A$5:$A$107,0)),"?"))</f>
        <v/>
      </c>
      <c r="N490" s="11" t="inlineStr">
        <is>
          <t>Respiración libera energía del alimento</t>
        </is>
      </c>
    </row>
    <row r="491">
      <c r="A491" s="11" t="inlineStr">
        <is>
          <t>SG-ENE-014</t>
        </is>
      </c>
      <c r="B491" s="11" t="inlineStr">
        <is>
          <t>Singapur</t>
        </is>
      </c>
      <c r="C491" s="11" t="inlineStr">
        <is>
          <t>SG_Primary_Science_2023.pdf</t>
        </is>
      </c>
      <c r="D491" s="11" t="n">
        <v>79</v>
      </c>
      <c r="E491" s="11" t="inlineStr">
        <is>
          <t>P6</t>
        </is>
      </c>
      <c r="F491" s="11" t="n">
        <v>6</v>
      </c>
      <c r="G491" s="11" t="inlineStr">
        <is>
          <t>Energía · Formas y usos de la energía: fotosíntesis</t>
        </is>
      </c>
      <c r="H491" s="38" t="inlineStr">
        <is>
          <t>Reconocer que el Sol es nuestra fuente primaria de energía (luz y calor).</t>
        </is>
      </c>
      <c r="I491" s="11" t="inlineStr">
        <is>
          <t>T8_27</t>
        </is>
      </c>
      <c r="J491" s="11" t="inlineStr">
        <is>
          <t>T8_27-E4.2</t>
        </is>
      </c>
      <c r="K491" s="11" t="inlineStr">
        <is>
          <t>T8_27-P2.1</t>
        </is>
      </c>
      <c r="L491" s="11" t="inlineStr">
        <is>
          <t>media</t>
        </is>
      </c>
      <c r="M491" s="11">
        <f>IF(J491="FUERA","Fuera del marco",IFERROR(INDEX('Datos - Catálogo TIMSS'!$C$5:$C$107,MATCH(J491,'Datos - Catálogo TIMSS'!$A$5:$A$107,0)),"?"))</f>
        <v/>
      </c>
      <c r="N491" s="11" t="inlineStr">
        <is>
          <t>Sol como fuente primaria de luz y calor</t>
        </is>
      </c>
    </row>
    <row r="492">
      <c r="A492" s="11" t="inlineStr">
        <is>
          <t>SG-ENE-015</t>
        </is>
      </c>
      <c r="B492" s="11" t="inlineStr">
        <is>
          <t>Singapur</t>
        </is>
      </c>
      <c r="C492" s="11" t="inlineStr">
        <is>
          <t>SG_Primary_Science_2023.pdf</t>
        </is>
      </c>
      <c r="D492" s="11" t="n">
        <v>79</v>
      </c>
      <c r="E492" s="11" t="inlineStr">
        <is>
          <t>P6</t>
        </is>
      </c>
      <c r="F492" s="11" t="n">
        <v>6</v>
      </c>
      <c r="G492" s="11" t="inlineStr">
        <is>
          <t>Energía · Formas y usos de la energía: fotosíntesis</t>
        </is>
      </c>
      <c r="H492" s="38" t="inlineStr">
        <is>
          <t>Diferenciar las formas en que plantas y animales obtienen energía.</t>
        </is>
      </c>
      <c r="I492" s="11" t="inlineStr">
        <is>
          <t>T8_27</t>
        </is>
      </c>
      <c r="J492" s="11" t="inlineStr">
        <is>
          <t>T8_27-B1.3</t>
        </is>
      </c>
      <c r="K492" s="11" t="inlineStr">
        <is>
          <t>T8_27-B5.2</t>
        </is>
      </c>
      <c r="L492" s="11" t="inlineStr">
        <is>
          <t>media</t>
        </is>
      </c>
      <c r="M492" s="11">
        <f>IF(J492="FUERA","Fuera del marco",IFERROR(INDEX('Datos - Catálogo TIMSS'!$C$5:$C$107,MATCH(J492,'Datos - Catálogo TIMSS'!$A$5:$A$107,0)),"?"))</f>
        <v/>
      </c>
      <c r="N492" s="11" t="inlineStr">
        <is>
          <t>Obtención de energía en plantas y animales</t>
        </is>
      </c>
    </row>
    <row r="493">
      <c r="A493" s="11" t="inlineStr">
        <is>
          <t>SG-ENE-016</t>
        </is>
      </c>
      <c r="B493" s="11" t="inlineStr">
        <is>
          <t>Singapur</t>
        </is>
      </c>
      <c r="C493" s="11" t="inlineStr">
        <is>
          <t>SG_Primary_Science_2023.pdf</t>
        </is>
      </c>
      <c r="D493" s="11" t="n">
        <v>79</v>
      </c>
      <c r="E493" s="11" t="inlineStr">
        <is>
          <t>P6</t>
        </is>
      </c>
      <c r="F493" s="11" t="n">
        <v>6</v>
      </c>
      <c r="G493" s="11" t="inlineStr">
        <is>
          <t>Energía · Formas y usos de la energía: fotosíntesis</t>
        </is>
      </c>
      <c r="H493" s="38" t="inlineStr">
        <is>
          <t>Investigar los requisitos de la fotosíntesis (agua, energía luminosa, dióxido de carbono) y sus productos (azúcar y oxígeno).</t>
        </is>
      </c>
      <c r="I493" s="11" t="inlineStr">
        <is>
          <t>T8_27</t>
        </is>
      </c>
      <c r="J493" s="11" t="inlineStr">
        <is>
          <t>T8_27-B1.3</t>
        </is>
      </c>
      <c r="K493" s="11" t="inlineStr">
        <is>
          <t>T8_27-B7.1</t>
        </is>
      </c>
      <c r="L493" s="11" t="inlineStr">
        <is>
          <t>alta</t>
        </is>
      </c>
      <c r="M493" s="11">
        <f>IF(J493="FUERA","Fuera del marco",IFERROR(INDEX('Datos - Catálogo TIMSS'!$C$5:$C$107,MATCH(J493,'Datos - Catálogo TIMSS'!$A$5:$A$107,0)),"?"))</f>
        <v/>
      </c>
      <c r="N493" s="11" t="inlineStr">
        <is>
          <t>Investigar requisitos y productos de la fotosíntesis</t>
        </is>
      </c>
    </row>
    <row r="494">
      <c r="A494" s="11" t="inlineStr">
        <is>
          <t>SG-ENE-017</t>
        </is>
      </c>
      <c r="B494" s="11" t="inlineStr">
        <is>
          <t>Singapur</t>
        </is>
      </c>
      <c r="C494" s="11" t="inlineStr">
        <is>
          <t>SG_Primary_Science_2023.pdf</t>
        </is>
      </c>
      <c r="D494" s="11" t="n">
        <v>81</v>
      </c>
      <c r="E494" s="11" t="inlineStr">
        <is>
          <t>P6</t>
        </is>
      </c>
      <c r="F494" s="11" t="n">
        <v>6</v>
      </c>
      <c r="G494" s="11" t="inlineStr">
        <is>
          <t>Energía · Conversión de la energía</t>
        </is>
      </c>
      <c r="H494" s="38" t="inlineStr">
        <is>
          <t>Reconocer que la energía de la mayoría de nuestros recursos energéticos proviene de alguna manera del Sol.</t>
        </is>
      </c>
      <c r="I494" s="11" t="inlineStr">
        <is>
          <t>T8_27</t>
        </is>
      </c>
      <c r="J494" s="11" t="inlineStr">
        <is>
          <t>T8_27-E3.1</t>
        </is>
      </c>
      <c r="K494" s="11" t="inlineStr">
        <is>
          <t>T8_27-P2.1</t>
        </is>
      </c>
      <c r="L494" s="11" t="inlineStr">
        <is>
          <t>media</t>
        </is>
      </c>
      <c r="M494" s="11">
        <f>IF(J494="FUERA","Fuera del marco",IFERROR(INDEX('Datos - Catálogo TIMSS'!$C$5:$C$107,MATCH(J494,'Datos - Catálogo TIMSS'!$A$5:$A$107,0)),"?"))</f>
        <v/>
      </c>
      <c r="N494" s="11" t="inlineStr">
        <is>
          <t>Origen solar de la mayoría de fuentes de energía</t>
        </is>
      </c>
    </row>
    <row r="495">
      <c r="A495" s="11" t="inlineStr">
        <is>
          <t>SG-ENE-018</t>
        </is>
      </c>
      <c r="B495" s="11" t="inlineStr">
        <is>
          <t>Singapur</t>
        </is>
      </c>
      <c r="C495" s="11" t="inlineStr">
        <is>
          <t>SG_Primary_Science_2023.pdf</t>
        </is>
      </c>
      <c r="D495" s="11" t="n">
        <v>81</v>
      </c>
      <c r="E495" s="11" t="inlineStr">
        <is>
          <t>P6</t>
        </is>
      </c>
      <c r="F495" s="11" t="n">
        <v>6</v>
      </c>
      <c r="G495" s="11" t="inlineStr">
        <is>
          <t>Energía · Conversión de la energía</t>
        </is>
      </c>
      <c r="H495" s="38" t="inlineStr">
        <is>
          <t>Reconocer y ejemplificar formas de energía: cinética, potencial, luminosa, eléctrica, sonora y calorífica.</t>
        </is>
      </c>
      <c r="I495" s="11" t="inlineStr">
        <is>
          <t>T8_27</t>
        </is>
      </c>
      <c r="J495" s="11" t="inlineStr">
        <is>
          <t>T8_27-P2.1</t>
        </is>
      </c>
      <c r="K495" s="11" t="inlineStr"/>
      <c r="L495" s="11" t="inlineStr">
        <is>
          <t>alta</t>
        </is>
      </c>
      <c r="M495" s="11">
        <f>IF(J495="FUERA","Fuera del marco",IFERROR(INDEX('Datos - Catálogo TIMSS'!$C$5:$C$107,MATCH(J495,'Datos - Catálogo TIMSS'!$A$5:$A$107,0)),"?"))</f>
        <v/>
      </c>
      <c r="N495" s="11" t="inlineStr">
        <is>
          <t>Formas de energía</t>
        </is>
      </c>
    </row>
    <row r="496">
      <c r="A496" s="11" t="inlineStr">
        <is>
          <t>SG-ENE-019</t>
        </is>
      </c>
      <c r="B496" s="11" t="inlineStr">
        <is>
          <t>Singapur</t>
        </is>
      </c>
      <c r="C496" s="11" t="inlineStr">
        <is>
          <t>SG_Primary_Science_2023.pdf</t>
        </is>
      </c>
      <c r="D496" s="11" t="n">
        <v>81</v>
      </c>
      <c r="E496" s="11" t="inlineStr">
        <is>
          <t>P6</t>
        </is>
      </c>
      <c r="F496" s="11" t="n">
        <v>6</v>
      </c>
      <c r="G496" s="11" t="inlineStr">
        <is>
          <t>Energía · Conversión de la energía</t>
        </is>
      </c>
      <c r="H496" s="38" t="inlineStr">
        <is>
          <t>Investigar la conversión de energía de una forma a otra.</t>
        </is>
      </c>
      <c r="I496" s="11" t="inlineStr">
        <is>
          <t>T8_27</t>
        </is>
      </c>
      <c r="J496" s="11" t="inlineStr">
        <is>
          <t>T8_27-P2.1</t>
        </is>
      </c>
      <c r="K496" s="11" t="inlineStr">
        <is>
          <t>T8_27-P6.1</t>
        </is>
      </c>
      <c r="L496" s="11" t="inlineStr">
        <is>
          <t>alta</t>
        </is>
      </c>
      <c r="M496" s="11">
        <f>IF(J496="FUERA","Fuera del marco",IFERROR(INDEX('Datos - Catálogo TIMSS'!$C$5:$C$107,MATCH(J496,'Datos - Catálogo TIMSS'!$A$5:$A$107,0)),"?"))</f>
        <v/>
      </c>
      <c r="N496" s="11" t="inlineStr">
        <is>
          <t>Investigar transformaciones de energía</t>
        </is>
      </c>
    </row>
    <row r="497">
      <c r="A497" s="11" t="inlineStr">
        <is>
          <t>SG-INT-006</t>
        </is>
      </c>
      <c r="B497" s="11" t="inlineStr">
        <is>
          <t>Singapur</t>
        </is>
      </c>
      <c r="C497" s="11" t="inlineStr">
        <is>
          <t>SG_Primary_Science_2023.pdf</t>
        </is>
      </c>
      <c r="D497" s="11" t="n">
        <v>64</v>
      </c>
      <c r="E497" s="11" t="inlineStr">
        <is>
          <t>P6</t>
        </is>
      </c>
      <c r="F497" s="11" t="n">
        <v>6</v>
      </c>
      <c r="G497" s="11" t="inlineStr">
        <is>
          <t>Interacciones · Interacción de fuerzas: rozamiento, gravedad y fuerza elástica</t>
        </is>
      </c>
      <c r="H497" s="38" t="inlineStr">
        <is>
          <t>Identificar una fuerza como un empuje o un tirón.</t>
        </is>
      </c>
      <c r="I497" s="11" t="inlineStr">
        <is>
          <t>T8_27</t>
        </is>
      </c>
      <c r="J497" s="11" t="inlineStr">
        <is>
          <t>T8_27-P5.2</t>
        </is>
      </c>
      <c r="K497" s="11" t="inlineStr"/>
      <c r="L497" s="11" t="inlineStr">
        <is>
          <t>alta</t>
        </is>
      </c>
      <c r="M497" s="11">
        <f>IF(J497="FUERA","Fuera del marco",IFERROR(INDEX('Datos - Catálogo TIMSS'!$C$5:$C$107,MATCH(J497,'Datos - Catálogo TIMSS'!$A$5:$A$107,0)),"?"))</f>
        <v/>
      </c>
      <c r="N497" s="11" t="inlineStr">
        <is>
          <t>Fuerza como empuje o tirón</t>
        </is>
      </c>
    </row>
    <row r="498">
      <c r="A498" s="11" t="inlineStr">
        <is>
          <t>SG-INT-007</t>
        </is>
      </c>
      <c r="B498" s="11" t="inlineStr">
        <is>
          <t>Singapur</t>
        </is>
      </c>
      <c r="C498" s="11" t="inlineStr">
        <is>
          <t>SG_Primary_Science_2023.pdf</t>
        </is>
      </c>
      <c r="D498" s="11" t="n">
        <v>64</v>
      </c>
      <c r="E498" s="11" t="inlineStr">
        <is>
          <t>P6</t>
        </is>
      </c>
      <c r="F498" s="11" t="n">
        <v>6</v>
      </c>
      <c r="G498" s="11" t="inlineStr">
        <is>
          <t>Interacciones · Interacción de fuerzas: rozamiento, gravedad y fuerza elástica</t>
        </is>
      </c>
      <c r="H498" s="38" t="inlineStr">
        <is>
          <t>Comprender los efectos de una fuerza: poner en movimiento, acelerar, frenar, cambiar de dirección, detener un objeto o cambiar su forma.</t>
        </is>
      </c>
      <c r="I498" s="11" t="inlineStr">
        <is>
          <t>T8_27</t>
        </is>
      </c>
      <c r="J498" s="11" t="inlineStr">
        <is>
          <t>T8_27-P5.3</t>
        </is>
      </c>
      <c r="K498" s="11" t="inlineStr">
        <is>
          <t>T8_27-P5.2</t>
        </is>
      </c>
      <c r="L498" s="11" t="inlineStr">
        <is>
          <t>alta</t>
        </is>
      </c>
      <c r="M498" s="11">
        <f>IF(J498="FUERA","Fuera del marco",IFERROR(INDEX('Datos - Catálogo TIMSS'!$C$5:$C$107,MATCH(J498,'Datos - Catálogo TIMSS'!$A$5:$A$107,0)),"?"))</f>
        <v/>
      </c>
      <c r="N498" s="11" t="inlineStr">
        <is>
          <t>Efectos de las fuerzas sobre movimiento y forma</t>
        </is>
      </c>
    </row>
    <row r="499">
      <c r="A499" s="11" t="inlineStr">
        <is>
          <t>SG-INT-008</t>
        </is>
      </c>
      <c r="B499" s="11" t="inlineStr">
        <is>
          <t>Singapur</t>
        </is>
      </c>
      <c r="C499" s="11" t="inlineStr">
        <is>
          <t>SG_Primary_Science_2023.pdf</t>
        </is>
      </c>
      <c r="D499" s="11" t="n">
        <v>64</v>
      </c>
      <c r="E499" s="11" t="inlineStr">
        <is>
          <t>P6</t>
        </is>
      </c>
      <c r="F499" s="11" t="n">
        <v>6</v>
      </c>
      <c r="G499" s="11" t="inlineStr">
        <is>
          <t>Interacciones · Interacción de fuerzas: rozamiento, gravedad y fuerza elástica</t>
        </is>
      </c>
      <c r="H499" s="38" t="inlineStr">
        <is>
          <t>Reconocer y ejemplificar tipos de fuerzas: magnética, gravitatoria, elástica de resorte y de rozamiento.</t>
        </is>
      </c>
      <c r="I499" s="11" t="inlineStr">
        <is>
          <t>T8_27</t>
        </is>
      </c>
      <c r="J499" s="11" t="inlineStr">
        <is>
          <t>T8_27-P5.2</t>
        </is>
      </c>
      <c r="K499" s="11" t="inlineStr"/>
      <c r="L499" s="11" t="inlineStr">
        <is>
          <t>alta</t>
        </is>
      </c>
      <c r="M499" s="11">
        <f>IF(J499="FUERA","Fuera del marco",IFERROR(INDEX('Datos - Catálogo TIMSS'!$C$5:$C$107,MATCH(J499,'Datos - Catálogo TIMSS'!$A$5:$A$107,0)),"?"))</f>
        <v/>
      </c>
      <c r="N499" s="11" t="inlineStr">
        <is>
          <t>Tipos de fuerzas comunes: gravitatoria, elástica, rozamiento</t>
        </is>
      </c>
    </row>
    <row r="500">
      <c r="A500" s="11" t="inlineStr">
        <is>
          <t>SG-INT-009</t>
        </is>
      </c>
      <c r="B500" s="11" t="inlineStr">
        <is>
          <t>Singapur</t>
        </is>
      </c>
      <c r="C500" s="11" t="inlineStr">
        <is>
          <t>SG_Primary_Science_2023.pdf</t>
        </is>
      </c>
      <c r="D500" s="11" t="n">
        <v>65</v>
      </c>
      <c r="E500" s="11" t="inlineStr">
        <is>
          <t>P6</t>
        </is>
      </c>
      <c r="F500" s="11" t="n">
        <v>6</v>
      </c>
      <c r="G500" s="11" t="inlineStr">
        <is>
          <t>Interacciones · Interacción de fuerzas: rozamiento, gravedad y fuerza elástica</t>
        </is>
      </c>
      <c r="H500" s="38" t="inlineStr">
        <is>
          <t>Reconocer que los objetos tienen peso debido a la fuerza gravitatoria que actúa sobre ellos.</t>
        </is>
      </c>
      <c r="I500" s="11" t="inlineStr">
        <is>
          <t>T8_27</t>
        </is>
      </c>
      <c r="J500" s="11" t="inlineStr">
        <is>
          <t>T8_27-P5.2</t>
        </is>
      </c>
      <c r="K500" s="11" t="inlineStr"/>
      <c r="L500" s="11" t="inlineStr">
        <is>
          <t>alta</t>
        </is>
      </c>
      <c r="M500" s="11">
        <f>IF(J500="FUERA","Fuera del marco",IFERROR(INDEX('Datos - Catálogo TIMSS'!$C$5:$C$107,MATCH(J500,'Datos - Catálogo TIMSS'!$A$5:$A$107,0)),"?"))</f>
        <v/>
      </c>
      <c r="N500" s="11" t="inlineStr">
        <is>
          <t>Peso como fuerza de gravedad</t>
        </is>
      </c>
    </row>
    <row r="501">
      <c r="A501" s="11" t="inlineStr">
        <is>
          <t>SG-INT-010</t>
        </is>
      </c>
      <c r="B501" s="11" t="inlineStr">
        <is>
          <t>Singapur</t>
        </is>
      </c>
      <c r="C501" s="11" t="inlineStr">
        <is>
          <t>SG_Primary_Science_2023.pdf</t>
        </is>
      </c>
      <c r="D501" s="11" t="n">
        <v>64</v>
      </c>
      <c r="E501" s="11" t="inlineStr">
        <is>
          <t>P6</t>
        </is>
      </c>
      <c r="F501" s="11" t="n">
        <v>6</v>
      </c>
      <c r="G501" s="11" t="inlineStr">
        <is>
          <t>Interacciones · Interacción de fuerzas: rozamiento, gravedad y fuerza elástica</t>
        </is>
      </c>
      <c r="H501" s="38" t="inlineStr">
        <is>
          <t>Investigar el efecto de la fuerza de rozamiento sobre el movimiento de los objetos.</t>
        </is>
      </c>
      <c r="I501" s="11" t="inlineStr">
        <is>
          <t>T8_27</t>
        </is>
      </c>
      <c r="J501" s="11" t="inlineStr">
        <is>
          <t>T8_27-P5.3</t>
        </is>
      </c>
      <c r="K501" s="11" t="inlineStr">
        <is>
          <t>T8_27-P6.1</t>
        </is>
      </c>
      <c r="L501" s="11" t="inlineStr">
        <is>
          <t>alta</t>
        </is>
      </c>
      <c r="M501" s="11">
        <f>IF(J501="FUERA","Fuera del marco",IFERROR(INDEX('Datos - Catálogo TIMSS'!$C$5:$C$107,MATCH(J501,'Datos - Catálogo TIMSS'!$A$5:$A$107,0)),"?"))</f>
        <v/>
      </c>
      <c r="N501" s="11" t="inlineStr">
        <is>
          <t>Investigar efecto del rozamiento en el movimiento</t>
        </is>
      </c>
    </row>
    <row r="502">
      <c r="A502" s="11" t="inlineStr">
        <is>
          <t>SG-INT-011</t>
        </is>
      </c>
      <c r="B502" s="11" t="inlineStr">
        <is>
          <t>Singapur</t>
        </is>
      </c>
      <c r="C502" s="11" t="inlineStr">
        <is>
          <t>SG_Primary_Science_2023.pdf</t>
        </is>
      </c>
      <c r="D502" s="11" t="n">
        <v>64</v>
      </c>
      <c r="E502" s="11" t="inlineStr">
        <is>
          <t>P6</t>
        </is>
      </c>
      <c r="F502" s="11" t="n">
        <v>6</v>
      </c>
      <c r="G502" s="11" t="inlineStr">
        <is>
          <t>Interacciones · Interacción de fuerzas: rozamiento, gravedad y fuerza elástica</t>
        </is>
      </c>
      <c r="H502" s="38" t="inlineStr">
        <is>
          <t>Investigar los efectos de la fuerza elástica de un resorte.</t>
        </is>
      </c>
      <c r="I502" s="11" t="inlineStr">
        <is>
          <t>T8_27</t>
        </is>
      </c>
      <c r="J502" s="11" t="inlineStr">
        <is>
          <t>T8_27-P5.2</t>
        </is>
      </c>
      <c r="K502" s="11" t="inlineStr">
        <is>
          <t>T8_27-P6.1</t>
        </is>
      </c>
      <c r="L502" s="11" t="inlineStr">
        <is>
          <t>media</t>
        </is>
      </c>
      <c r="M502" s="11">
        <f>IF(J502="FUERA","Fuera del marco",IFERROR(INDEX('Datos - Catálogo TIMSS'!$C$5:$C$107,MATCH(J502,'Datos - Catálogo TIMSS'!$A$5:$A$107,0)),"?"))</f>
        <v/>
      </c>
      <c r="N502" s="11" t="inlineStr">
        <is>
          <t>Investigar la fuerza elástica de un resorte</t>
        </is>
      </c>
    </row>
    <row r="503">
      <c r="A503" s="11" t="inlineStr">
        <is>
          <t>SG-INT-012</t>
        </is>
      </c>
      <c r="B503" s="11" t="inlineStr">
        <is>
          <t>Singapur</t>
        </is>
      </c>
      <c r="C503" s="11" t="inlineStr">
        <is>
          <t>SG_Primary_Science_2023.pdf</t>
        </is>
      </c>
      <c r="D503" s="11" t="n">
        <v>68</v>
      </c>
      <c r="E503" s="11" t="inlineStr">
        <is>
          <t>P6</t>
        </is>
      </c>
      <c r="F503" s="11" t="n">
        <v>6</v>
      </c>
      <c r="G503" s="11" t="inlineStr">
        <is>
          <t>Interacciones · Interacciones en el ambiente</t>
        </is>
      </c>
      <c r="H503" s="38" t="inlineStr">
        <is>
          <t>Identificar factores que afectan la supervivencia de un organismo: condiciones físicas (temperatura, luz, agua), disponibilidad de alimento y otros organismos (productores, consumidores, descomponedores).</t>
        </is>
      </c>
      <c r="I503" s="11" t="inlineStr">
        <is>
          <t>T8_27</t>
        </is>
      </c>
      <c r="J503" s="11" t="inlineStr">
        <is>
          <t>T8_27-B5.5</t>
        </is>
      </c>
      <c r="K503" s="11" t="inlineStr">
        <is>
          <t>T8_27-B5.4</t>
        </is>
      </c>
      <c r="L503" s="11" t="inlineStr">
        <is>
          <t>media</t>
        </is>
      </c>
      <c r="M503" s="11">
        <f>IF(J503="FUERA","Fuera del marco",IFERROR(INDEX('Datos - Catálogo TIMSS'!$C$5:$C$107,MATCH(J503,'Datos - Catálogo TIMSS'!$A$5:$A$107,0)),"?"))</f>
        <v/>
      </c>
      <c r="N503" s="11" t="inlineStr">
        <is>
          <t>Factores físicos y bióticos que limitan la supervivencia</t>
        </is>
      </c>
    </row>
    <row r="504">
      <c r="A504" s="11" t="inlineStr">
        <is>
          <t>SG-INT-013</t>
        </is>
      </c>
      <c r="B504" s="11" t="inlineStr">
        <is>
          <t>Singapur</t>
        </is>
      </c>
      <c r="C504" s="11" t="inlineStr">
        <is>
          <t>SG_Primary_Science_2023.pdf</t>
        </is>
      </c>
      <c r="D504" s="11" t="n">
        <v>68</v>
      </c>
      <c r="E504" s="11" t="inlineStr">
        <is>
          <t>P6</t>
        </is>
      </c>
      <c r="F504" s="11" t="n">
        <v>6</v>
      </c>
      <c r="G504" s="11" t="inlineStr">
        <is>
          <t>Interacciones · Interacciones en el ambiente</t>
        </is>
      </c>
      <c r="H504" s="38" t="inlineStr">
        <is>
          <t>Comprender qué ocurre a los organismos cuando el ambiente se vuelve desfavorable: se adaptan y sobreviven, migran a otros lugares o mueren.</t>
        </is>
      </c>
      <c r="I504" s="11" t="inlineStr">
        <is>
          <t>T8_27</t>
        </is>
      </c>
      <c r="J504" s="11" t="inlineStr">
        <is>
          <t>T8_27-B4.1</t>
        </is>
      </c>
      <c r="K504" s="11" t="inlineStr"/>
      <c r="L504" s="11" t="inlineStr">
        <is>
          <t>media</t>
        </is>
      </c>
      <c r="M504" s="11">
        <f>IF(J504="FUERA","Fuera del marco",IFERROR(INDEX('Datos - Catálogo TIMSS'!$C$5:$C$107,MATCH(J504,'Datos - Catálogo TIMSS'!$A$5:$A$107,0)),"?"))</f>
        <v/>
      </c>
      <c r="N504" s="11" t="inlineStr">
        <is>
          <t>Respuesta a ambientes desfavorables: adaptación, migración o muerte</t>
        </is>
      </c>
    </row>
    <row r="505">
      <c r="A505" s="11" t="inlineStr">
        <is>
          <t>SG-INT-014</t>
        </is>
      </c>
      <c r="B505" s="11" t="inlineStr">
        <is>
          <t>Singapur</t>
        </is>
      </c>
      <c r="C505" s="11" t="inlineStr">
        <is>
          <t>SG_Primary_Science_2023.pdf</t>
        </is>
      </c>
      <c r="D505" s="11" t="n">
        <v>68</v>
      </c>
      <c r="E505" s="11" t="inlineStr">
        <is>
          <t>P6</t>
        </is>
      </c>
      <c r="F505" s="11" t="n">
        <v>6</v>
      </c>
      <c r="G505" s="11" t="inlineStr">
        <is>
          <t>Interacciones · Interacciones en el ambiente</t>
        </is>
      </c>
      <c r="H505" s="38" t="inlineStr">
        <is>
          <t>Comprender el flujo de energía desde el Sol a través de los seres vivos e identificar productores, consumidores, depredadores y presas en cadenas y redes alimentarias.</t>
        </is>
      </c>
      <c r="I505" s="11" t="inlineStr">
        <is>
          <t>T8_27</t>
        </is>
      </c>
      <c r="J505" s="11" t="inlineStr">
        <is>
          <t>T8_27-B5.2</t>
        </is>
      </c>
      <c r="K505" s="11" t="inlineStr">
        <is>
          <t>T8_27-B5.4</t>
        </is>
      </c>
      <c r="L505" s="11" t="inlineStr">
        <is>
          <t>alta</t>
        </is>
      </c>
      <c r="M505" s="11">
        <f>IF(J505="FUERA","Fuera del marco",IFERROR(INDEX('Datos - Catálogo TIMSS'!$C$5:$C$107,MATCH(J505,'Datos - Catálogo TIMSS'!$A$5:$A$107,0)),"?"))</f>
        <v/>
      </c>
      <c r="N505" s="11" t="inlineStr">
        <is>
          <t>Flujo de energía y cadenas y redes tróficas</t>
        </is>
      </c>
    </row>
    <row r="506">
      <c r="A506" s="11" t="inlineStr">
        <is>
          <t>SG-INT-015</t>
        </is>
      </c>
      <c r="B506" s="11" t="inlineStr">
        <is>
          <t>Singapur</t>
        </is>
      </c>
      <c r="C506" s="11" t="inlineStr">
        <is>
          <t>SG_Primary_Science_2023.pdf</t>
        </is>
      </c>
      <c r="D506" s="11" t="n">
        <v>69</v>
      </c>
      <c r="E506" s="11" t="inlineStr">
        <is>
          <t>P6</t>
        </is>
      </c>
      <c r="F506" s="11" t="n">
        <v>6</v>
      </c>
      <c r="G506" s="11" t="inlineStr">
        <is>
          <t>Interacciones · Interacciones en el ambiente</t>
        </is>
      </c>
      <c r="H506" s="38" t="inlineStr">
        <is>
          <t>Diferenciar organismo, población (organismos de la misma especie en un lugar y tiempo) y comunidad (varias poblaciones que conviven).</t>
        </is>
      </c>
      <c r="I506" s="11" t="inlineStr">
        <is>
          <t>T8_27</t>
        </is>
      </c>
      <c r="J506" s="11" t="inlineStr">
        <is>
          <t>T8_27-B5.4</t>
        </is>
      </c>
      <c r="K506" s="11" t="inlineStr"/>
      <c r="L506" s="11" t="inlineStr">
        <is>
          <t>media</t>
        </is>
      </c>
      <c r="M506" s="11">
        <f>IF(J506="FUERA","Fuera del marco",IFERROR(INDEX('Datos - Catálogo TIMSS'!$C$5:$C$107,MATCH(J506,'Datos - Catálogo TIMSS'!$A$5:$A$107,0)),"?"))</f>
        <v/>
      </c>
      <c r="N506" s="11" t="inlineStr">
        <is>
          <t>Organismo, población y comunidad en el ecosistema</t>
        </is>
      </c>
    </row>
    <row r="507">
      <c r="A507" s="11" t="inlineStr">
        <is>
          <t>SG-INT-016</t>
        </is>
      </c>
      <c r="B507" s="11" t="inlineStr">
        <is>
          <t>Singapur</t>
        </is>
      </c>
      <c r="C507" s="11" t="inlineStr">
        <is>
          <t>SG_Primary_Science_2023.pdf</t>
        </is>
      </c>
      <c r="D507" s="11" t="n">
        <v>69</v>
      </c>
      <c r="E507" s="11" t="inlineStr">
        <is>
          <t>P6</t>
        </is>
      </c>
      <c r="F507" s="11" t="n">
        <v>6</v>
      </c>
      <c r="G507" s="11" t="inlineStr">
        <is>
          <t>Interacciones · Interacciones en el ambiente</t>
        </is>
      </c>
      <c r="H507" s="38" t="inlineStr">
        <is>
          <t>Comprender que distintos hábitats (jardín, campo, estanque, costa, árbol, manglar) sostienen comunidades diferentes.</t>
        </is>
      </c>
      <c r="I507" s="11" t="inlineStr">
        <is>
          <t>T8_27</t>
        </is>
      </c>
      <c r="J507" s="11" t="inlineStr">
        <is>
          <t>T8_27-B5.1</t>
        </is>
      </c>
      <c r="K507" s="11" t="inlineStr"/>
      <c r="L507" s="11" t="inlineStr">
        <is>
          <t>media</t>
        </is>
      </c>
      <c r="M507" s="11">
        <f>IF(J507="FUERA","Fuera del marco",IFERROR(INDEX('Datos - Catálogo TIMSS'!$C$5:$C$107,MATCH(J507,'Datos - Catálogo TIMSS'!$A$5:$A$107,0)),"?"))</f>
        <v/>
      </c>
      <c r="N507" s="11" t="inlineStr">
        <is>
          <t>Hábitats distintos sostienen comunidades diferentes</t>
        </is>
      </c>
    </row>
    <row r="508">
      <c r="A508" s="11" t="inlineStr">
        <is>
          <t>SG-INT-017</t>
        </is>
      </c>
      <c r="B508" s="11" t="inlineStr">
        <is>
          <t>Singapur</t>
        </is>
      </c>
      <c r="C508" s="11" t="inlineStr">
        <is>
          <t>SG_Primary_Science_2023.pdf</t>
        </is>
      </c>
      <c r="D508" s="11" t="n">
        <v>70</v>
      </c>
      <c r="E508" s="11" t="inlineStr">
        <is>
          <t>P6</t>
        </is>
      </c>
      <c r="F508" s="11" t="n">
        <v>6</v>
      </c>
      <c r="G508" s="11" t="inlineStr">
        <is>
          <t>Interacciones · Interacciones en el ambiente</t>
        </is>
      </c>
      <c r="H508" s="38" t="inlineStr">
        <is>
          <t>Comprender que las adaptaciones estructurales o conductuales favorecen la supervivencia: enfrentar factores físicos, obtener alimento, escapar de depredadores y reproducirse.</t>
        </is>
      </c>
      <c r="I508" s="11" t="inlineStr">
        <is>
          <t>T8_27</t>
        </is>
      </c>
      <c r="J508" s="11" t="inlineStr">
        <is>
          <t>T8_27-B4.1</t>
        </is>
      </c>
      <c r="K508" s="11" t="inlineStr"/>
      <c r="L508" s="11" t="inlineStr">
        <is>
          <t>media</t>
        </is>
      </c>
      <c r="M508" s="11">
        <f>IF(J508="FUERA","Fuera del marco",IFERROR(INDEX('Datos - Catálogo TIMSS'!$C$5:$C$107,MATCH(J508,'Datos - Catálogo TIMSS'!$A$5:$A$107,0)),"?"))</f>
        <v/>
      </c>
      <c r="N508" s="11" t="inlineStr">
        <is>
          <t>Adaptaciones como ventaja de supervivencia y reproducción</t>
        </is>
      </c>
    </row>
    <row r="509">
      <c r="A509" s="11" t="inlineStr">
        <is>
          <t>SG-INT-018</t>
        </is>
      </c>
      <c r="B509" s="11" t="inlineStr">
        <is>
          <t>Singapur</t>
        </is>
      </c>
      <c r="C509" s="11" t="inlineStr">
        <is>
          <t>SG_Primary_Science_2023.pdf</t>
        </is>
      </c>
      <c r="D509" s="11" t="n">
        <v>71</v>
      </c>
      <c r="E509" s="11" t="inlineStr">
        <is>
          <t>P6</t>
        </is>
      </c>
      <c r="F509" s="11" t="n">
        <v>6</v>
      </c>
      <c r="G509" s="11" t="inlineStr">
        <is>
          <t>Interacciones · Interacciones en el ambiente</t>
        </is>
      </c>
      <c r="H509" s="38" t="inlineStr">
        <is>
          <t>Dar ejemplos del impacto humano positivo (conservación, reforestación) y negativo (agotamiento de recursos, deforestación, contaminación, calentamiento global) sobre el ambiente.</t>
        </is>
      </c>
      <c r="I509" s="11" t="inlineStr">
        <is>
          <t>T8_27</t>
        </is>
      </c>
      <c r="J509" s="11" t="inlineStr">
        <is>
          <t>T8_27-B5.6</t>
        </is>
      </c>
      <c r="K509" s="11" t="inlineStr">
        <is>
          <t>T8_27-E3.2</t>
        </is>
      </c>
      <c r="L509" s="11" t="inlineStr">
        <is>
          <t>alta</t>
        </is>
      </c>
      <c r="M509" s="11">
        <f>IF(J509="FUERA","Fuera del marco",IFERROR(INDEX('Datos - Catálogo TIMSS'!$C$5:$C$107,MATCH(J509,'Datos - Catálogo TIMSS'!$A$5:$A$107,0)),"?"))</f>
        <v/>
      </c>
      <c r="N509" s="11" t="inlineStr">
        <is>
          <t>Impacto humano positivo y negativo en el ambiente</t>
        </is>
      </c>
    </row>
    <row r="510">
      <c r="A510" s="11" t="inlineStr">
        <is>
          <t>SG-INT-019</t>
        </is>
      </c>
      <c r="B510" s="11" t="inlineStr">
        <is>
          <t>Singapur</t>
        </is>
      </c>
      <c r="C510" s="11" t="inlineStr">
        <is>
          <t>SG_Primary_Science_2023.pdf</t>
        </is>
      </c>
      <c r="D510" s="11" t="n">
        <v>68</v>
      </c>
      <c r="E510" s="11" t="inlineStr">
        <is>
          <t>P6</t>
        </is>
      </c>
      <c r="F510" s="11" t="n">
        <v>6</v>
      </c>
      <c r="G510" s="11" t="inlineStr">
        <is>
          <t>Interacciones · Interacciones en el ambiente</t>
        </is>
      </c>
      <c r="H510" s="38" t="inlineStr">
        <is>
          <t>Observar, recopilar y registrar información sobre los factores que interactúan dentro de un ambiente.</t>
        </is>
      </c>
      <c r="I510" s="11" t="inlineStr">
        <is>
          <t>T8_27</t>
        </is>
      </c>
      <c r="J510" s="11" t="inlineStr">
        <is>
          <t>T8_27-B7.1</t>
        </is>
      </c>
      <c r="K510" s="11" t="inlineStr">
        <is>
          <t>T8_27-B5.5</t>
        </is>
      </c>
      <c r="L510" s="11" t="inlineStr">
        <is>
          <t>media</t>
        </is>
      </c>
      <c r="M510" s="11">
        <f>IF(J510="FUERA","Fuera del marco",IFERROR(INDEX('Datos - Catálogo TIMSS'!$C$5:$C$107,MATCH(J510,'Datos - Catálogo TIMSS'!$A$5:$A$107,0)),"?"))</f>
        <v/>
      </c>
      <c r="N510" s="11" t="inlineStr">
        <is>
          <t>Observar y registrar factores de un ambiente</t>
        </is>
      </c>
    </row>
    <row r="511"/>
    <row r="512" ht="56" customHeight="1">
      <c r="A512" s="2" t="inlineStr">
        <is>
          <t>Cómo se calcula: Una fila = un objetivo/contenido del currículo de otro país, con su documento y página. Columnas J-K: alineación con TIMSS 2027 asistida por IA con el mismo método que los temas de la malla (revisable). M es fórmula. Nunca se compara país contra país: todo pasa por los códigos TIMSS.</t>
        </is>
      </c>
    </row>
  </sheetData>
  <autoFilter ref="A4:N510"/>
  <mergeCells count="2">
    <mergeCell ref="A512:N512"/>
    <mergeCell ref="A2:N2"/>
  </mergeCells>
  <conditionalFormatting sqref="L5:L510">
    <cfRule type="cellIs" priority="1" operator="equal" dxfId="2">
      <formula>"baja"</formula>
    </cfRule>
  </conditionalFormatting>
  <conditionalFormatting sqref="J5:J510">
    <cfRule type="cellIs" priority="2" operator="equal" dxfId="11">
      <formula>"FUERA"</formula>
    </cfRule>
  </conditionalFormatting>
  <pageMargins left="0.75" right="0.75" top="1" bottom="1" header="0.5" footer="0.5"/>
</worksheet>
</file>

<file path=xl/worksheets/sheet20.xml><?xml version="1.0" encoding="utf-8"?>
<worksheet xmlns="http://schemas.openxmlformats.org/spreadsheetml/2006/main">
  <sheetPr>
    <tabColor rgb="00A6A6A6"/>
    <outlinePr summaryBelow="1" summaryRight="1"/>
    <pageSetUpPr/>
  </sheetPr>
  <dimension ref="A1:L135"/>
  <sheetViews>
    <sheetView showGridLines="0" workbookViewId="0">
      <pane ySplit="4" topLeftCell="A5" activePane="bottomLeft" state="frozen"/>
      <selection pane="bottomLeft" activeCell="A1" sqref="A1"/>
    </sheetView>
  </sheetViews>
  <sheetFormatPr baseColWidth="8" defaultRowHeight="15"/>
  <cols>
    <col width="12" customWidth="1" min="1" max="1"/>
    <col width="7" customWidth="1" min="2" max="2"/>
    <col width="24" customWidth="1" min="3" max="3"/>
    <col width="10" customWidth="1" min="4" max="4"/>
    <col width="34" customWidth="1" min="5" max="5"/>
    <col width="55" customWidth="1" min="6" max="6"/>
    <col width="15" customWidth="1" min="7" max="7"/>
    <col width="11" customWidth="1" min="8" max="8"/>
    <col width="10" customWidth="1" min="9" max="9"/>
  </cols>
  <sheetData>
    <row r="1">
      <c r="A1" s="6" t="inlineStr">
        <is>
          <t>Referencia TIMSS 2023 (v1): cobertura y balance recalculados con la clasificación v1</t>
        </is>
      </c>
    </row>
    <row r="2" ht="38" customHeight="1">
      <c r="A2" s="7">
        <f>"TIMSS 2023 (versión anterior)"&amp;"
"&amp;"● Solo para comparar. Con TIMSS 2023 se cubrían "&amp;C110&amp;" de "&amp;B110&amp;" objetivos de 4.° y "&amp;C111&amp;" de "&amp;B111&amp;" de 8.°."</f>
        <v/>
      </c>
      <c r="B2" s="8" t="n"/>
      <c r="C2" s="8" t="n"/>
      <c r="D2" s="8" t="n"/>
      <c r="E2" s="8" t="n"/>
      <c r="F2" s="8" t="n"/>
      <c r="G2" s="8" t="n"/>
      <c r="H2" s="8" t="n"/>
      <c r="I2" s="8" t="n"/>
      <c r="J2" s="8" t="n"/>
      <c r="K2" s="8" t="n"/>
      <c r="L2" s="9" t="n"/>
    </row>
    <row r="3"/>
    <row r="4" ht="45" customHeight="1">
      <c r="A4" s="10" t="inlineStr">
        <is>
          <t>Código 2023</t>
        </is>
      </c>
      <c r="B4" s="10" t="inlineStr">
        <is>
          <t>Marco</t>
        </is>
      </c>
      <c r="C4" s="10" t="inlineStr">
        <is>
          <t>Dominio</t>
        </is>
      </c>
      <c r="D4" s="10" t="inlineStr">
        <is>
          <t>Meta del dominio</t>
        </is>
      </c>
      <c r="E4" s="10" t="inlineStr">
        <is>
          <t>Área temática</t>
        </is>
      </c>
      <c r="F4" s="10" t="inlineStr">
        <is>
          <t>Objetivo (paráfrasis)</t>
        </is>
      </c>
      <c r="G4" s="10" t="inlineStr">
        <is>
          <t>Ciclo que evalúa</t>
        </is>
      </c>
      <c r="H4" s="10" t="inlineStr">
        <is>
          <t>Temas en su ciclo (v1)</t>
        </is>
      </c>
      <c r="I4" s="10" t="inlineStr">
        <is>
          <t>Cubierto (v1)</t>
        </is>
      </c>
    </row>
    <row r="5">
      <c r="A5" s="30" t="inlineStr">
        <is>
          <t>T4-V1.1</t>
        </is>
      </c>
      <c r="B5" s="30" t="inlineStr">
        <is>
          <t>T4</t>
        </is>
      </c>
      <c r="C5" s="30" t="inlineStr">
        <is>
          <t>Ciencias de la vida</t>
        </is>
      </c>
      <c r="D5" s="42" t="n">
        <v>0.45</v>
      </c>
      <c r="E5" s="30" t="inlineStr">
        <is>
          <t>Características y procesos vitales de los organismos</t>
        </is>
      </c>
      <c r="F5" s="30" t="inlineStr">
        <is>
          <t>Distinguir seres vivos de no vivos; reconocer lo que necesitan para vivir</t>
        </is>
      </c>
      <c r="G5" s="30" t="inlineStr">
        <is>
          <t>Ciclo 2°–4°</t>
        </is>
      </c>
      <c r="H5" s="30">
        <f>COUNTIFS('Datos - Temas'!$W$5:$W$1264,$G5,'Datos - Temas'!$AA$5:$AA$1264,$A5)+COUNTIFS('Datos - Temas'!$W$5:$W$1264,$G5,'Datos - Temas'!$AB$5:$AB$1264,$A5)</f>
        <v/>
      </c>
      <c r="I5" s="30">
        <f>IF(H5&gt;0,"Sí","No")</f>
        <v/>
      </c>
    </row>
    <row r="6">
      <c r="A6" s="30" t="inlineStr">
        <is>
          <t>T4-V1.2</t>
        </is>
      </c>
      <c r="B6" s="30" t="inlineStr">
        <is>
          <t>T4</t>
        </is>
      </c>
      <c r="C6" s="30" t="inlineStr">
        <is>
          <t>Ciencias de la vida</t>
        </is>
      </c>
      <c r="D6" s="42" t="n">
        <v>0.45</v>
      </c>
      <c r="E6" s="30" t="inlineStr">
        <is>
          <t>Características y procesos vitales de los organismos</t>
        </is>
      </c>
      <c r="F6" s="30" t="inlineStr">
        <is>
          <t>Comparar rasgos físicos y de conducta de grandes grupos de animales y plantas</t>
        </is>
      </c>
      <c r="G6" s="30" t="inlineStr">
        <is>
          <t>Ciclo 2°–4°</t>
        </is>
      </c>
      <c r="H6" s="30">
        <f>COUNTIFS('Datos - Temas'!$W$5:$W$1264,$G6,'Datos - Temas'!$AA$5:$AA$1264,$A6)+COUNTIFS('Datos - Temas'!$W$5:$W$1264,$G6,'Datos - Temas'!$AB$5:$AB$1264,$A6)</f>
        <v/>
      </c>
      <c r="I6" s="30">
        <f>IF(H6&gt;0,"Sí","No")</f>
        <v/>
      </c>
    </row>
    <row r="7">
      <c r="A7" s="30" t="inlineStr">
        <is>
          <t>T4-V1.3</t>
        </is>
      </c>
      <c r="B7" s="30" t="inlineStr">
        <is>
          <t>T4</t>
        </is>
      </c>
      <c r="C7" s="30" t="inlineStr">
        <is>
          <t>Ciencias de la vida</t>
        </is>
      </c>
      <c r="D7" s="42" t="n">
        <v>0.45</v>
      </c>
      <c r="E7" s="30" t="inlineStr">
        <is>
          <t>Características y procesos vitales de los organismos</t>
        </is>
      </c>
      <c r="F7" s="30" t="inlineStr">
        <is>
          <t>Relacionar estructuras principales de los organismos con su función</t>
        </is>
      </c>
      <c r="G7" s="30" t="inlineStr">
        <is>
          <t>Ciclo 2°–4°</t>
        </is>
      </c>
      <c r="H7" s="30">
        <f>COUNTIFS('Datos - Temas'!$W$5:$W$1264,$G7,'Datos - Temas'!$AA$5:$AA$1264,$A7)+COUNTIFS('Datos - Temas'!$W$5:$W$1264,$G7,'Datos - Temas'!$AB$5:$AB$1264,$A7)</f>
        <v/>
      </c>
      <c r="I7" s="30">
        <f>IF(H7&gt;0,"Sí","No")</f>
        <v/>
      </c>
    </row>
    <row r="8">
      <c r="A8" s="30" t="inlineStr">
        <is>
          <t>T4-V2.1</t>
        </is>
      </c>
      <c r="B8" s="30" t="inlineStr">
        <is>
          <t>T4</t>
        </is>
      </c>
      <c r="C8" s="30" t="inlineStr">
        <is>
          <t>Ciencias de la vida</t>
        </is>
      </c>
      <c r="D8" s="42" t="n">
        <v>0.45</v>
      </c>
      <c r="E8" s="30" t="inlineStr">
        <is>
          <t>Ciclos de vida, reproducción y herencia</t>
        </is>
      </c>
      <c r="F8" s="30" t="inlineStr">
        <is>
          <t>Etapas del ciclo de vida de plantas con flor; comparar ciclos de plantas y animales</t>
        </is>
      </c>
      <c r="G8" s="30" t="inlineStr">
        <is>
          <t>Ciclo 2°–4°</t>
        </is>
      </c>
      <c r="H8" s="30">
        <f>COUNTIFS('Datos - Temas'!$W$5:$W$1264,$G8,'Datos - Temas'!$AA$5:$AA$1264,$A8)+COUNTIFS('Datos - Temas'!$W$5:$W$1264,$G8,'Datos - Temas'!$AB$5:$AB$1264,$A8)</f>
        <v/>
      </c>
      <c r="I8" s="30">
        <f>IF(H8&gt;0,"Sí","No")</f>
        <v/>
      </c>
    </row>
    <row r="9">
      <c r="A9" s="30" t="inlineStr">
        <is>
          <t>T4-V2.2</t>
        </is>
      </c>
      <c r="B9" s="30" t="inlineStr">
        <is>
          <t>T4</t>
        </is>
      </c>
      <c r="C9" s="30" t="inlineStr">
        <is>
          <t>Ciencias de la vida</t>
        </is>
      </c>
      <c r="D9" s="42" t="n">
        <v>0.45</v>
      </c>
      <c r="E9" s="30" t="inlineStr">
        <is>
          <t>Ciclos de vida, reproducción y herencia</t>
        </is>
      </c>
      <c r="F9" s="30" t="inlineStr">
        <is>
          <t>Las crías se parecen a sus progenitores; rasgos heredados vs. adquiridos</t>
        </is>
      </c>
      <c r="G9" s="30" t="inlineStr">
        <is>
          <t>Ciclo 2°–4°</t>
        </is>
      </c>
      <c r="H9" s="30">
        <f>COUNTIFS('Datos - Temas'!$W$5:$W$1264,$G9,'Datos - Temas'!$AA$5:$AA$1264,$A9)+COUNTIFS('Datos - Temas'!$W$5:$W$1264,$G9,'Datos - Temas'!$AB$5:$AB$1264,$A9)</f>
        <v/>
      </c>
      <c r="I9" s="30">
        <f>IF(H9&gt;0,"Sí","No")</f>
        <v/>
      </c>
    </row>
    <row r="10">
      <c r="A10" s="30" t="inlineStr">
        <is>
          <t>T4-V3.1</t>
        </is>
      </c>
      <c r="B10" s="30" t="inlineStr">
        <is>
          <t>T4</t>
        </is>
      </c>
      <c r="C10" s="30" t="inlineStr">
        <is>
          <t>Ciencias de la vida</t>
        </is>
      </c>
      <c r="D10" s="42" t="n">
        <v>0.45</v>
      </c>
      <c r="E10" s="30" t="inlineStr">
        <is>
          <t>Organismos, ambiente y sus interacciones</t>
        </is>
      </c>
      <c r="F10" s="30" t="inlineStr">
        <is>
          <t>Relacionar rasgos físicos y conductas con la supervivencia en un ambiente (adaptación)</t>
        </is>
      </c>
      <c r="G10" s="30" t="inlineStr">
        <is>
          <t>Ciclo 2°–4°</t>
        </is>
      </c>
      <c r="H10" s="30">
        <f>COUNTIFS('Datos - Temas'!$W$5:$W$1264,$G10,'Datos - Temas'!$AA$5:$AA$1264,$A10)+COUNTIFS('Datos - Temas'!$W$5:$W$1264,$G10,'Datos - Temas'!$AB$5:$AB$1264,$A10)</f>
        <v/>
      </c>
      <c r="I10" s="30">
        <f>IF(H10&gt;0,"Sí","No")</f>
        <v/>
      </c>
    </row>
    <row r="11">
      <c r="A11" s="30" t="inlineStr">
        <is>
          <t>T4-V3.2</t>
        </is>
      </c>
      <c r="B11" s="30" t="inlineStr">
        <is>
          <t>T4</t>
        </is>
      </c>
      <c r="C11" s="30" t="inlineStr">
        <is>
          <t>Ciencias de la vida</t>
        </is>
      </c>
      <c r="D11" s="42" t="n">
        <v>0.45</v>
      </c>
      <c r="E11" s="30" t="inlineStr">
        <is>
          <t>Organismos, ambiente y sus interacciones</t>
        </is>
      </c>
      <c r="F11" s="30" t="inlineStr">
        <is>
          <t>Cómo responden los organismos a cambios en su ambiente</t>
        </is>
      </c>
      <c r="G11" s="30" t="inlineStr">
        <is>
          <t>Ciclo 2°–4°</t>
        </is>
      </c>
      <c r="H11" s="30">
        <f>COUNTIFS('Datos - Temas'!$W$5:$W$1264,$G11,'Datos - Temas'!$AA$5:$AA$1264,$A11)+COUNTIFS('Datos - Temas'!$W$5:$W$1264,$G11,'Datos - Temas'!$AB$5:$AB$1264,$A11)</f>
        <v/>
      </c>
      <c r="I11" s="30">
        <f>IF(H11&gt;0,"Sí","No")</f>
        <v/>
      </c>
    </row>
    <row r="12">
      <c r="A12" s="30" t="inlineStr">
        <is>
          <t>T4-V3.3</t>
        </is>
      </c>
      <c r="B12" s="30" t="inlineStr">
        <is>
          <t>T4</t>
        </is>
      </c>
      <c r="C12" s="30" t="inlineStr">
        <is>
          <t>Ciencias de la vida</t>
        </is>
      </c>
      <c r="D12" s="42" t="n">
        <v>0.45</v>
      </c>
      <c r="E12" s="30" t="inlineStr">
        <is>
          <t>Organismos, ambiente y sus interacciones</t>
        </is>
      </c>
      <c r="F12" s="30" t="inlineStr">
        <is>
          <t>Impacto positivo y negativo del ser humano en el ambiente</t>
        </is>
      </c>
      <c r="G12" s="30" t="inlineStr">
        <is>
          <t>Ciclo 2°–4°</t>
        </is>
      </c>
      <c r="H12" s="30">
        <f>COUNTIFS('Datos - Temas'!$W$5:$W$1264,$G12,'Datos - Temas'!$AA$5:$AA$1264,$A12)+COUNTIFS('Datos - Temas'!$W$5:$W$1264,$G12,'Datos - Temas'!$AB$5:$AB$1264,$A12)</f>
        <v/>
      </c>
      <c r="I12" s="30">
        <f>IF(H12&gt;0,"Sí","No")</f>
        <v/>
      </c>
    </row>
    <row r="13">
      <c r="A13" s="30" t="inlineStr">
        <is>
          <t>T4-V4.1</t>
        </is>
      </c>
      <c r="B13" s="30" t="inlineStr">
        <is>
          <t>T4</t>
        </is>
      </c>
      <c r="C13" s="30" t="inlineStr">
        <is>
          <t>Ciencias de la vida</t>
        </is>
      </c>
      <c r="D13" s="42" t="n">
        <v>0.45</v>
      </c>
      <c r="E13" s="30" t="inlineStr">
        <is>
          <t>Ecosistemas</t>
        </is>
      </c>
      <c r="F13" s="30" t="inlineStr">
        <is>
          <t>Relacionar plantas y animales comunes con su ecosistema</t>
        </is>
      </c>
      <c r="G13" s="30" t="inlineStr">
        <is>
          <t>Ciclo 2°–4°</t>
        </is>
      </c>
      <c r="H13" s="30">
        <f>COUNTIFS('Datos - Temas'!$W$5:$W$1264,$G13,'Datos - Temas'!$AA$5:$AA$1264,$A13)+COUNTIFS('Datos - Temas'!$W$5:$W$1264,$G13,'Datos - Temas'!$AB$5:$AB$1264,$A13)</f>
        <v/>
      </c>
      <c r="I13" s="30">
        <f>IF(H13&gt;0,"Sí","No")</f>
        <v/>
      </c>
    </row>
    <row r="14">
      <c r="A14" s="30" t="inlineStr">
        <is>
          <t>T4-V4.2</t>
        </is>
      </c>
      <c r="B14" s="30" t="inlineStr">
        <is>
          <t>T4</t>
        </is>
      </c>
      <c r="C14" s="30" t="inlineStr">
        <is>
          <t>Ciencias de la vida</t>
        </is>
      </c>
      <c r="D14" s="42" t="n">
        <v>0.45</v>
      </c>
      <c r="E14" s="30" t="inlineStr">
        <is>
          <t>Ecosistemas</t>
        </is>
      </c>
      <c r="F14" s="30" t="inlineStr">
        <is>
          <t>Cadenas alimentarias; roles de organismos; depredador-presa</t>
        </is>
      </c>
      <c r="G14" s="30" t="inlineStr">
        <is>
          <t>Ciclo 2°–4°</t>
        </is>
      </c>
      <c r="H14" s="30">
        <f>COUNTIFS('Datos - Temas'!$W$5:$W$1264,$G14,'Datos - Temas'!$AA$5:$AA$1264,$A14)+COUNTIFS('Datos - Temas'!$W$5:$W$1264,$G14,'Datos - Temas'!$AB$5:$AB$1264,$A14)</f>
        <v/>
      </c>
      <c r="I14" s="30">
        <f>IF(H14&gt;0,"Sí","No")</f>
        <v/>
      </c>
    </row>
    <row r="15">
      <c r="A15" s="30" t="inlineStr">
        <is>
          <t>T4-V4.3</t>
        </is>
      </c>
      <c r="B15" s="30" t="inlineStr">
        <is>
          <t>T4</t>
        </is>
      </c>
      <c r="C15" s="30" t="inlineStr">
        <is>
          <t>Ciencias de la vida</t>
        </is>
      </c>
      <c r="D15" s="42" t="n">
        <v>0.45</v>
      </c>
      <c r="E15" s="30" t="inlineStr">
        <is>
          <t>Ecosistemas</t>
        </is>
      </c>
      <c r="F15" s="30" t="inlineStr">
        <is>
          <t>Competencia entre organismos por recursos del ecosistema</t>
        </is>
      </c>
      <c r="G15" s="30" t="inlineStr">
        <is>
          <t>Ciclo 2°–4°</t>
        </is>
      </c>
      <c r="H15" s="30">
        <f>COUNTIFS('Datos - Temas'!$W$5:$W$1264,$G15,'Datos - Temas'!$AA$5:$AA$1264,$A15)+COUNTIFS('Datos - Temas'!$W$5:$W$1264,$G15,'Datos - Temas'!$AB$5:$AB$1264,$A15)</f>
        <v/>
      </c>
      <c r="I15" s="30">
        <f>IF(H15&gt;0,"Sí","No")</f>
        <v/>
      </c>
    </row>
    <row r="16">
      <c r="A16" s="30" t="inlineStr">
        <is>
          <t>T4-V5.1</t>
        </is>
      </c>
      <c r="B16" s="30" t="inlineStr">
        <is>
          <t>T4</t>
        </is>
      </c>
      <c r="C16" s="30" t="inlineStr">
        <is>
          <t>Ciencias de la vida</t>
        </is>
      </c>
      <c r="D16" s="42" t="n">
        <v>0.45</v>
      </c>
      <c r="E16" s="30" t="inlineStr">
        <is>
          <t>Salud humana</t>
        </is>
      </c>
      <c r="F16" s="30" t="inlineStr">
        <is>
          <t>Conductas saludables y componentes de una dieta balanceada</t>
        </is>
      </c>
      <c r="G16" s="30" t="inlineStr">
        <is>
          <t>Ciclo 2°–4°</t>
        </is>
      </c>
      <c r="H16" s="30">
        <f>COUNTIFS('Datos - Temas'!$W$5:$W$1264,$G16,'Datos - Temas'!$AA$5:$AA$1264,$A16)+COUNTIFS('Datos - Temas'!$W$5:$W$1264,$G16,'Datos - Temas'!$AB$5:$AB$1264,$A16)</f>
        <v/>
      </c>
      <c r="I16" s="30">
        <f>IF(H16&gt;0,"Sí","No")</f>
        <v/>
      </c>
    </row>
    <row r="17">
      <c r="A17" s="30" t="inlineStr">
        <is>
          <t>T4-V5.2</t>
        </is>
      </c>
      <c r="B17" s="30" t="inlineStr">
        <is>
          <t>T4</t>
        </is>
      </c>
      <c r="C17" s="30" t="inlineStr">
        <is>
          <t>Ciencias de la vida</t>
        </is>
      </c>
      <c r="D17" s="42" t="n">
        <v>0.45</v>
      </c>
      <c r="E17" s="30" t="inlineStr">
        <is>
          <t>Salud humana</t>
        </is>
      </c>
      <c r="F17" s="30" t="inlineStr">
        <is>
          <t>Transmisión de enfermedades por contacto; formas de prevención</t>
        </is>
      </c>
      <c r="G17" s="30" t="inlineStr">
        <is>
          <t>Ciclo 2°–4°</t>
        </is>
      </c>
      <c r="H17" s="30">
        <f>COUNTIFS('Datos - Temas'!$W$5:$W$1264,$G17,'Datos - Temas'!$AA$5:$AA$1264,$A17)+COUNTIFS('Datos - Temas'!$W$5:$W$1264,$G17,'Datos - Temas'!$AB$5:$AB$1264,$A17)</f>
        <v/>
      </c>
      <c r="I17" s="30">
        <f>IF(H17&gt;0,"Sí","No")</f>
        <v/>
      </c>
    </row>
    <row r="18">
      <c r="A18" s="30" t="inlineStr">
        <is>
          <t>T4-F1.1</t>
        </is>
      </c>
      <c r="B18" s="30" t="inlineStr">
        <is>
          <t>T4</t>
        </is>
      </c>
      <c r="C18" s="30" t="inlineStr">
        <is>
          <t>Ciencias físicas</t>
        </is>
      </c>
      <c r="D18" s="42" t="n">
        <v>0.35</v>
      </c>
      <c r="E18" s="30" t="inlineStr">
        <is>
          <t>Clasificación y propiedades de la materia y sus cambios</t>
        </is>
      </c>
      <c r="F18" s="30" t="inlineStr">
        <is>
          <t>Tres estados de la materia y sus características</t>
        </is>
      </c>
      <c r="G18" s="30" t="inlineStr">
        <is>
          <t>Ciclo 2°–4°</t>
        </is>
      </c>
      <c r="H18" s="30">
        <f>COUNTIFS('Datos - Temas'!$W$5:$W$1264,$G18,'Datos - Temas'!$AA$5:$AA$1264,$A18)+COUNTIFS('Datos - Temas'!$W$5:$W$1264,$G18,'Datos - Temas'!$AB$5:$AB$1264,$A18)</f>
        <v/>
      </c>
      <c r="I18" s="30">
        <f>IF(H18&gt;0,"Sí","No")</f>
        <v/>
      </c>
    </row>
    <row r="19">
      <c r="A19" s="30" t="inlineStr">
        <is>
          <t>T4-F1.2</t>
        </is>
      </c>
      <c r="B19" s="30" t="inlineStr">
        <is>
          <t>T4</t>
        </is>
      </c>
      <c r="C19" s="30" t="inlineStr">
        <is>
          <t>Ciencias físicas</t>
        </is>
      </c>
      <c r="D19" s="42" t="n">
        <v>0.35</v>
      </c>
      <c r="E19" s="30" t="inlineStr">
        <is>
          <t>Clasificación y propiedades de la materia y sus cambios</t>
        </is>
      </c>
      <c r="F19" s="30" t="inlineStr">
        <is>
          <t>Comparar y clasificar objetos por propiedades físicas; propiedades de metales; mezclas</t>
        </is>
      </c>
      <c r="G19" s="30" t="inlineStr">
        <is>
          <t>Ciclo 2°–4°</t>
        </is>
      </c>
      <c r="H19" s="30">
        <f>COUNTIFS('Datos - Temas'!$W$5:$W$1264,$G19,'Datos - Temas'!$AA$5:$AA$1264,$A19)+COUNTIFS('Datos - Temas'!$W$5:$W$1264,$G19,'Datos - Temas'!$AB$5:$AB$1264,$A19)</f>
        <v/>
      </c>
      <c r="I19" s="30">
        <f>IF(H19&gt;0,"Sí","No")</f>
        <v/>
      </c>
    </row>
    <row r="20">
      <c r="A20" s="30" t="inlineStr">
        <is>
          <t>T4-F1.3</t>
        </is>
      </c>
      <c r="B20" s="30" t="inlineStr">
        <is>
          <t>T4</t>
        </is>
      </c>
      <c r="C20" s="30" t="inlineStr">
        <is>
          <t>Ciencias físicas</t>
        </is>
      </c>
      <c r="D20" s="42" t="n">
        <v>0.35</v>
      </c>
      <c r="E20" s="30" t="inlineStr">
        <is>
          <t>Clasificación y propiedades de la materia y sus cambios</t>
        </is>
      </c>
      <c r="F20" s="30" t="inlineStr">
        <is>
          <t>Polos de imanes se atraen/repelen; imanes atraen ciertos metales</t>
        </is>
      </c>
      <c r="G20" s="30" t="inlineStr">
        <is>
          <t>Ciclo 2°–4°</t>
        </is>
      </c>
      <c r="H20" s="30">
        <f>COUNTIFS('Datos - Temas'!$W$5:$W$1264,$G20,'Datos - Temas'!$AA$5:$AA$1264,$A20)+COUNTIFS('Datos - Temas'!$W$5:$W$1264,$G20,'Datos - Temas'!$AB$5:$AB$1264,$A20)</f>
        <v/>
      </c>
      <c r="I20" s="30">
        <f>IF(H20&gt;0,"Sí","No")</f>
        <v/>
      </c>
    </row>
    <row r="21">
      <c r="A21" s="30" t="inlineStr">
        <is>
          <t>T4-F1.4</t>
        </is>
      </c>
      <c r="B21" s="30" t="inlineStr">
        <is>
          <t>T4</t>
        </is>
      </c>
      <c r="C21" s="30" t="inlineStr">
        <is>
          <t>Ciencias físicas</t>
        </is>
      </c>
      <c r="D21" s="42" t="n">
        <v>0.35</v>
      </c>
      <c r="E21" s="30" t="inlineStr">
        <is>
          <t>Clasificación y propiedades de la materia y sus cambios</t>
        </is>
      </c>
      <c r="F21" s="30" t="inlineStr">
        <is>
          <t>Cambios físicos observables; cambios de estado por calentamiento/enfriamiento</t>
        </is>
      </c>
      <c r="G21" s="30" t="inlineStr">
        <is>
          <t>Ciclo 2°–4°</t>
        </is>
      </c>
      <c r="H21" s="30">
        <f>COUNTIFS('Datos - Temas'!$W$5:$W$1264,$G21,'Datos - Temas'!$AA$5:$AA$1264,$A21)+COUNTIFS('Datos - Temas'!$W$5:$W$1264,$G21,'Datos - Temas'!$AB$5:$AB$1264,$A21)</f>
        <v/>
      </c>
      <c r="I21" s="30">
        <f>IF(H21&gt;0,"Sí","No")</f>
        <v/>
      </c>
    </row>
    <row r="22">
      <c r="A22" s="30" t="inlineStr">
        <is>
          <t>T4-F1.5</t>
        </is>
      </c>
      <c r="B22" s="30" t="inlineStr">
        <is>
          <t>T4</t>
        </is>
      </c>
      <c r="C22" s="30" t="inlineStr">
        <is>
          <t>Ciencias físicas</t>
        </is>
      </c>
      <c r="D22" s="42" t="n">
        <v>0.35</v>
      </c>
      <c r="E22" s="30" t="inlineStr">
        <is>
          <t>Clasificación y propiedades de la materia y sus cambios</t>
        </is>
      </c>
      <c r="F22" s="30" t="inlineStr">
        <is>
          <t>Cambios químicos observables; formas de acelerar la disolución</t>
        </is>
      </c>
      <c r="G22" s="30" t="inlineStr">
        <is>
          <t>Ciclo 2°–4°</t>
        </is>
      </c>
      <c r="H22" s="30">
        <f>COUNTIFS('Datos - Temas'!$W$5:$W$1264,$G22,'Datos - Temas'!$AA$5:$AA$1264,$A22)+COUNTIFS('Datos - Temas'!$W$5:$W$1264,$G22,'Datos - Temas'!$AB$5:$AB$1264,$A22)</f>
        <v/>
      </c>
      <c r="I22" s="30">
        <f>IF(H22&gt;0,"Sí","No")</f>
        <v/>
      </c>
    </row>
    <row r="23">
      <c r="A23" s="30" t="inlineStr">
        <is>
          <t>T4-F2.1</t>
        </is>
      </c>
      <c r="B23" s="30" t="inlineStr">
        <is>
          <t>T4</t>
        </is>
      </c>
      <c r="C23" s="30" t="inlineStr">
        <is>
          <t>Ciencias físicas</t>
        </is>
      </c>
      <c r="D23" s="42" t="n">
        <v>0.35</v>
      </c>
      <c r="E23" s="30" t="inlineStr">
        <is>
          <t>Formas de energía y transferencia de energía</t>
        </is>
      </c>
      <c r="F23" s="30" t="inlineStr">
        <is>
          <t>Fuentes de energía y sus usos prácticos</t>
        </is>
      </c>
      <c r="G23" s="30" t="inlineStr">
        <is>
          <t>Ciclo 2°–4°</t>
        </is>
      </c>
      <c r="H23" s="30">
        <f>COUNTIFS('Datos - Temas'!$W$5:$W$1264,$G23,'Datos - Temas'!$AA$5:$AA$1264,$A23)+COUNTIFS('Datos - Temas'!$W$5:$W$1264,$G23,'Datos - Temas'!$AB$5:$AB$1264,$A23)</f>
        <v/>
      </c>
      <c r="I23" s="30">
        <f>IF(H23&gt;0,"Sí","No")</f>
        <v/>
      </c>
    </row>
    <row r="24">
      <c r="A24" s="30" t="inlineStr">
        <is>
          <t>T4-F2.2</t>
        </is>
      </c>
      <c r="B24" s="30" t="inlineStr">
        <is>
          <t>T4</t>
        </is>
      </c>
      <c r="C24" s="30" t="inlineStr">
        <is>
          <t>Ciencias físicas</t>
        </is>
      </c>
      <c r="D24" s="42" t="n">
        <v>0.35</v>
      </c>
      <c r="E24" s="30" t="inlineStr">
        <is>
          <t>Formas de energía y transferencia de energía</t>
        </is>
      </c>
      <c r="F24" s="30" t="inlineStr">
        <is>
          <t>Luz (sombras, reflejos, arcoíris) y sonido (vibraciones, eco)</t>
        </is>
      </c>
      <c r="G24" s="30" t="inlineStr">
        <is>
          <t>Ciclo 2°–4°</t>
        </is>
      </c>
      <c r="H24" s="30">
        <f>COUNTIFS('Datos - Temas'!$W$5:$W$1264,$G24,'Datos - Temas'!$AA$5:$AA$1264,$A24)+COUNTIFS('Datos - Temas'!$W$5:$W$1264,$G24,'Datos - Temas'!$AB$5:$AB$1264,$A24)</f>
        <v/>
      </c>
      <c r="I24" s="30">
        <f>IF(H24&gt;0,"Sí","No")</f>
        <v/>
      </c>
    </row>
    <row r="25">
      <c r="A25" s="30" t="inlineStr">
        <is>
          <t>T4-F2.3</t>
        </is>
      </c>
      <c r="B25" s="30" t="inlineStr">
        <is>
          <t>T4</t>
        </is>
      </c>
      <c r="C25" s="30" t="inlineStr">
        <is>
          <t>Ciencias físicas</t>
        </is>
      </c>
      <c r="D25" s="42" t="n">
        <v>0.35</v>
      </c>
      <c r="E25" s="30" t="inlineStr">
        <is>
          <t>Formas de energía y transferencia de energía</t>
        </is>
      </c>
      <c r="F25" s="30" t="inlineStr">
        <is>
          <t>Cambios de temperatura al contacto entre objetos calientes y fríos</t>
        </is>
      </c>
      <c r="G25" s="30" t="inlineStr">
        <is>
          <t>Ciclo 2°–4°</t>
        </is>
      </c>
      <c r="H25" s="30">
        <f>COUNTIFS('Datos - Temas'!$W$5:$W$1264,$G25,'Datos - Temas'!$AA$5:$AA$1264,$A25)+COUNTIFS('Datos - Temas'!$W$5:$W$1264,$G25,'Datos - Temas'!$AB$5:$AB$1264,$A25)</f>
        <v/>
      </c>
      <c r="I25" s="30">
        <f>IF(H25&gt;0,"Sí","No")</f>
        <v/>
      </c>
    </row>
    <row r="26">
      <c r="A26" s="30" t="inlineStr">
        <is>
          <t>T4-F2.4</t>
        </is>
      </c>
      <c r="B26" s="30" t="inlineStr">
        <is>
          <t>T4</t>
        </is>
      </c>
      <c r="C26" s="30" t="inlineStr">
        <is>
          <t>Ciencias físicas</t>
        </is>
      </c>
      <c r="D26" s="42" t="n">
        <v>0.35</v>
      </c>
      <c r="E26" s="30" t="inlineStr">
        <is>
          <t>Formas de energía y transferencia de energía</t>
        </is>
      </c>
      <c r="F26" s="30" t="inlineStr">
        <is>
          <t>Energía eléctrica se transforma en otras formas; requisitos de un circuito</t>
        </is>
      </c>
      <c r="G26" s="30" t="inlineStr">
        <is>
          <t>Ciclo 2°–4°</t>
        </is>
      </c>
      <c r="H26" s="30">
        <f>COUNTIFS('Datos - Temas'!$W$5:$W$1264,$G26,'Datos - Temas'!$AA$5:$AA$1264,$A26)+COUNTIFS('Datos - Temas'!$W$5:$W$1264,$G26,'Datos - Temas'!$AB$5:$AB$1264,$A26)</f>
        <v/>
      </c>
      <c r="I26" s="30">
        <f>IF(H26&gt;0,"Sí","No")</f>
        <v/>
      </c>
    </row>
    <row r="27">
      <c r="A27" s="30" t="inlineStr">
        <is>
          <t>T4-F3.1</t>
        </is>
      </c>
      <c r="B27" s="30" t="inlineStr">
        <is>
          <t>T4</t>
        </is>
      </c>
      <c r="C27" s="30" t="inlineStr">
        <is>
          <t>Ciencias físicas</t>
        </is>
      </c>
      <c r="D27" s="42" t="n">
        <v>0.35</v>
      </c>
      <c r="E27" s="30" t="inlineStr">
        <is>
          <t>Fuerzas y movimiento</t>
        </is>
      </c>
      <c r="F27" s="30" t="inlineStr">
        <is>
          <t>Gravedad; las fuerzas cambian el movimiento; efectos de la fricción</t>
        </is>
      </c>
      <c r="G27" s="30" t="inlineStr">
        <is>
          <t>Ciclo 2°–4°</t>
        </is>
      </c>
      <c r="H27" s="30">
        <f>COUNTIFS('Datos - Temas'!$W$5:$W$1264,$G27,'Datos - Temas'!$AA$5:$AA$1264,$A27)+COUNTIFS('Datos - Temas'!$W$5:$W$1264,$G27,'Datos - Temas'!$AB$5:$AB$1264,$A27)</f>
        <v/>
      </c>
      <c r="I27" s="30">
        <f>IF(H27&gt;0,"Sí","No")</f>
        <v/>
      </c>
    </row>
    <row r="28">
      <c r="A28" s="30" t="inlineStr">
        <is>
          <t>T4-F3.2</t>
        </is>
      </c>
      <c r="B28" s="30" t="inlineStr">
        <is>
          <t>T4</t>
        </is>
      </c>
      <c r="C28" s="30" t="inlineStr">
        <is>
          <t>Ciencias físicas</t>
        </is>
      </c>
      <c r="D28" s="42" t="n">
        <v>0.35</v>
      </c>
      <c r="E28" s="30" t="inlineStr">
        <is>
          <t>Fuerzas y movimiento</t>
        </is>
      </c>
      <c r="F28" s="30" t="inlineStr">
        <is>
          <t>Máquinas simples reducen la fuerza necesaria</t>
        </is>
      </c>
      <c r="G28" s="30" t="inlineStr">
        <is>
          <t>Ciclo 2°–4°</t>
        </is>
      </c>
      <c r="H28" s="30">
        <f>COUNTIFS('Datos - Temas'!$W$5:$W$1264,$G28,'Datos - Temas'!$AA$5:$AA$1264,$A28)+COUNTIFS('Datos - Temas'!$W$5:$W$1264,$G28,'Datos - Temas'!$AB$5:$AB$1264,$A28)</f>
        <v/>
      </c>
      <c r="I28" s="30">
        <f>IF(H28&gt;0,"Sí","No")</f>
        <v/>
      </c>
    </row>
    <row r="29">
      <c r="A29" s="30" t="inlineStr">
        <is>
          <t>T4-T1.1</t>
        </is>
      </c>
      <c r="B29" s="30" t="inlineStr">
        <is>
          <t>T4</t>
        </is>
      </c>
      <c r="C29" s="30" t="inlineStr">
        <is>
          <t>Ciencias de la Tierra</t>
        </is>
      </c>
      <c r="D29" s="42" t="n">
        <v>0.2</v>
      </c>
      <c r="E29" s="30" t="inlineStr">
        <is>
          <t>Características físicas, recursos e historia de la Tierra</t>
        </is>
      </c>
      <c r="F29" s="30" t="inlineStr">
        <is>
          <t>Distribución de tierra y agua; ubicación de agua dulce y salada</t>
        </is>
      </c>
      <c r="G29" s="30" t="inlineStr">
        <is>
          <t>Ciclo 2°–4°</t>
        </is>
      </c>
      <c r="H29" s="30">
        <f>COUNTIFS('Datos - Temas'!$W$5:$W$1264,$G29,'Datos - Temas'!$AA$5:$AA$1264,$A29)+COUNTIFS('Datos - Temas'!$W$5:$W$1264,$G29,'Datos - Temas'!$AB$5:$AB$1264,$A29)</f>
        <v/>
      </c>
      <c r="I29" s="30">
        <f>IF(H29&gt;0,"Sí","No")</f>
        <v/>
      </c>
    </row>
    <row r="30">
      <c r="A30" s="30" t="inlineStr">
        <is>
          <t>T4-T1.2</t>
        </is>
      </c>
      <c r="B30" s="30" t="inlineStr">
        <is>
          <t>T4</t>
        </is>
      </c>
      <c r="C30" s="30" t="inlineStr">
        <is>
          <t>Ciencias de la Tierra</t>
        </is>
      </c>
      <c r="D30" s="42" t="n">
        <v>0.2</v>
      </c>
      <c r="E30" s="30" t="inlineStr">
        <is>
          <t>Características físicas, recursos e historia de la Tierra</t>
        </is>
      </c>
      <c r="F30" s="30" t="inlineStr">
        <is>
          <t>Recursos de la Tierra y su uso responsable</t>
        </is>
      </c>
      <c r="G30" s="30" t="inlineStr">
        <is>
          <t>Ciclo 2°–4°</t>
        </is>
      </c>
      <c r="H30" s="30">
        <f>COUNTIFS('Datos - Temas'!$W$5:$W$1264,$G30,'Datos - Temas'!$AA$5:$AA$1264,$A30)+COUNTIFS('Datos - Temas'!$W$5:$W$1264,$G30,'Datos - Temas'!$AB$5:$AB$1264,$A30)</f>
        <v/>
      </c>
      <c r="I30" s="30">
        <f>IF(H30&gt;0,"Sí","No")</f>
        <v/>
      </c>
    </row>
    <row r="31">
      <c r="A31" s="30" t="inlineStr">
        <is>
          <t>T4-T1.3</t>
        </is>
      </c>
      <c r="B31" s="30" t="inlineStr">
        <is>
          <t>T4</t>
        </is>
      </c>
      <c r="C31" s="30" t="inlineStr">
        <is>
          <t>Ciencias de la Tierra</t>
        </is>
      </c>
      <c r="D31" s="42" t="n">
        <v>0.2</v>
      </c>
      <c r="E31" s="30" t="inlineStr">
        <is>
          <t>Características físicas, recursos e historia de la Tierra</t>
        </is>
      </c>
      <c r="F31" s="30" t="inlineStr">
        <is>
          <t>Viento y agua modelan el paisaje; fósiles en rocas</t>
        </is>
      </c>
      <c r="G31" s="30" t="inlineStr">
        <is>
          <t>Ciclo 2°–4°</t>
        </is>
      </c>
      <c r="H31" s="30">
        <f>COUNTIFS('Datos - Temas'!$W$5:$W$1264,$G31,'Datos - Temas'!$AA$5:$AA$1264,$A31)+COUNTIFS('Datos - Temas'!$W$5:$W$1264,$G31,'Datos - Temas'!$AB$5:$AB$1264,$A31)</f>
        <v/>
      </c>
      <c r="I31" s="30">
        <f>IF(H31&gt;0,"Sí","No")</f>
        <v/>
      </c>
    </row>
    <row r="32">
      <c r="A32" s="30" t="inlineStr">
        <is>
          <t>T4-T2.1</t>
        </is>
      </c>
      <c r="B32" s="30" t="inlineStr">
        <is>
          <t>T4</t>
        </is>
      </c>
      <c r="C32" s="30" t="inlineStr">
        <is>
          <t>Ciencias de la Tierra</t>
        </is>
      </c>
      <c r="D32" s="42" t="n">
        <v>0.2</v>
      </c>
      <c r="E32" s="30" t="inlineStr">
        <is>
          <t>Tiempo atmosférico y clima</t>
        </is>
      </c>
      <c r="F32" s="30" t="inlineStr">
        <is>
          <t>Aplicar cambios de estado a fenómenos del tiempo atmosférico</t>
        </is>
      </c>
      <c r="G32" s="30" t="inlineStr">
        <is>
          <t>Ciclo 2°–4°</t>
        </is>
      </c>
      <c r="H32" s="30">
        <f>COUNTIFS('Datos - Temas'!$W$5:$W$1264,$G32,'Datos - Temas'!$AA$5:$AA$1264,$A32)+COUNTIFS('Datos - Temas'!$W$5:$W$1264,$G32,'Datos - Temas'!$AB$5:$AB$1264,$A32)</f>
        <v/>
      </c>
      <c r="I32" s="30">
        <f>IF(H32&gt;0,"Sí","No")</f>
        <v/>
      </c>
    </row>
    <row r="33">
      <c r="A33" s="30" t="inlineStr">
        <is>
          <t>T4-T2.2</t>
        </is>
      </c>
      <c r="B33" s="30" t="inlineStr">
        <is>
          <t>T4</t>
        </is>
      </c>
      <c r="C33" s="30" t="inlineStr">
        <is>
          <t>Ciencias de la Tierra</t>
        </is>
      </c>
      <c r="D33" s="42" t="n">
        <v>0.2</v>
      </c>
      <c r="E33" s="30" t="inlineStr">
        <is>
          <t>Tiempo atmosférico y clima</t>
        </is>
      </c>
      <c r="F33" s="30" t="inlineStr">
        <is>
          <t>Variación del tiempo atmosférico según la ubicación geográfica</t>
        </is>
      </c>
      <c r="G33" s="30" t="inlineStr">
        <is>
          <t>Ciclo 2°–4°</t>
        </is>
      </c>
      <c r="H33" s="30">
        <f>COUNTIFS('Datos - Temas'!$W$5:$W$1264,$G33,'Datos - Temas'!$AA$5:$AA$1264,$A33)+COUNTIFS('Datos - Temas'!$W$5:$W$1264,$G33,'Datos - Temas'!$AB$5:$AB$1264,$A33)</f>
        <v/>
      </c>
      <c r="I33" s="30">
        <f>IF(H33&gt;0,"Sí","No")</f>
        <v/>
      </c>
    </row>
    <row r="34">
      <c r="A34" s="30" t="inlineStr">
        <is>
          <t>T4-T2.3</t>
        </is>
      </c>
      <c r="B34" s="30" t="inlineStr">
        <is>
          <t>T4</t>
        </is>
      </c>
      <c r="C34" s="30" t="inlineStr">
        <is>
          <t>Ciencias de la Tierra</t>
        </is>
      </c>
      <c r="D34" s="42" t="n">
        <v>0.2</v>
      </c>
      <c r="E34" s="30" t="inlineStr">
        <is>
          <t>Tiempo atmosférico y clima</t>
        </is>
      </c>
      <c r="F34" s="30" t="inlineStr">
        <is>
          <t>Cambios estacionales de temperatura y lluvia; calentamiento global</t>
        </is>
      </c>
      <c r="G34" s="30" t="inlineStr">
        <is>
          <t>Ciclo 2°–4°</t>
        </is>
      </c>
      <c r="H34" s="30">
        <f>COUNTIFS('Datos - Temas'!$W$5:$W$1264,$G34,'Datos - Temas'!$AA$5:$AA$1264,$A34)+COUNTIFS('Datos - Temas'!$W$5:$W$1264,$G34,'Datos - Temas'!$AB$5:$AB$1264,$A34)</f>
        <v/>
      </c>
      <c r="I34" s="30">
        <f>IF(H34&gt;0,"Sí","No")</f>
        <v/>
      </c>
    </row>
    <row r="35">
      <c r="A35" s="30" t="inlineStr">
        <is>
          <t>T4-T3.1</t>
        </is>
      </c>
      <c r="B35" s="30" t="inlineStr">
        <is>
          <t>T4</t>
        </is>
      </c>
      <c r="C35" s="30" t="inlineStr">
        <is>
          <t>Ciencias de la Tierra</t>
        </is>
      </c>
      <c r="D35" s="42" t="n">
        <v>0.2</v>
      </c>
      <c r="E35" s="30" t="inlineStr">
        <is>
          <t>La Tierra en el Sistema Solar</t>
        </is>
      </c>
      <c r="F35" s="30" t="inlineStr">
        <is>
          <t>Sistema Solar; la Luna gira alrededor de la Tierra</t>
        </is>
      </c>
      <c r="G35" s="30" t="inlineStr">
        <is>
          <t>Ciclo 2°–4°</t>
        </is>
      </c>
      <c r="H35" s="30">
        <f>COUNTIFS('Datos - Temas'!$W$5:$W$1264,$G35,'Datos - Temas'!$AA$5:$AA$1264,$A35)+COUNTIFS('Datos - Temas'!$W$5:$W$1264,$G35,'Datos - Temas'!$AB$5:$AB$1264,$A35)</f>
        <v/>
      </c>
      <c r="I35" s="30">
        <f>IF(H35&gt;0,"Sí","No")</f>
        <v/>
      </c>
    </row>
    <row r="36">
      <c r="A36" s="30" t="inlineStr">
        <is>
          <t>T4-T3.2</t>
        </is>
      </c>
      <c r="B36" s="30" t="inlineStr">
        <is>
          <t>T4</t>
        </is>
      </c>
      <c r="C36" s="30" t="inlineStr">
        <is>
          <t>Ciencias de la Tierra</t>
        </is>
      </c>
      <c r="D36" s="42" t="n">
        <v>0.2</v>
      </c>
      <c r="E36" s="30" t="inlineStr">
        <is>
          <t>La Tierra en el Sistema Solar</t>
        </is>
      </c>
      <c r="F36" s="30" t="inlineStr">
        <is>
          <t>Día y noche por rotación; estaciones por inclinación del eje</t>
        </is>
      </c>
      <c r="G36" s="30" t="inlineStr">
        <is>
          <t>Ciclo 2°–4°</t>
        </is>
      </c>
      <c r="H36" s="30">
        <f>COUNTIFS('Datos - Temas'!$W$5:$W$1264,$G36,'Datos - Temas'!$AA$5:$AA$1264,$A36)+COUNTIFS('Datos - Temas'!$W$5:$W$1264,$G36,'Datos - Temas'!$AB$5:$AB$1264,$A36)</f>
        <v/>
      </c>
      <c r="I36" s="30">
        <f>IF(H36&gt;0,"Sí","No")</f>
        <v/>
      </c>
    </row>
    <row r="37">
      <c r="A37" s="30" t="inlineStr">
        <is>
          <t>T8-B1.1</t>
        </is>
      </c>
      <c r="B37" s="30" t="inlineStr">
        <is>
          <t>T8</t>
        </is>
      </c>
      <c r="C37" s="30" t="inlineStr">
        <is>
          <t>Biología</t>
        </is>
      </c>
      <c r="D37" s="42" t="n">
        <v>0.35</v>
      </c>
      <c r="E37" s="30" t="inlineStr">
        <is>
          <t>Características y procesos vitales de los organismos</t>
        </is>
      </c>
      <c r="F37" s="30" t="inlineStr">
        <is>
          <t>Grupos taxonómicos: rasgos que los definen y clasificación de organismos</t>
        </is>
      </c>
      <c r="G37" s="30" t="inlineStr">
        <is>
          <t>Ciclo 5°–8°</t>
        </is>
      </c>
      <c r="H37" s="30">
        <f>COUNTIFS('Datos - Temas'!$W$5:$W$1264,$G37,'Datos - Temas'!$AA$5:$AA$1264,$A37)+COUNTIFS('Datos - Temas'!$W$5:$W$1264,$G37,'Datos - Temas'!$AB$5:$AB$1264,$A37)</f>
        <v/>
      </c>
      <c r="I37" s="30">
        <f>IF(H37&gt;0,"Sí","No")</f>
        <v/>
      </c>
    </row>
    <row r="38">
      <c r="A38" s="30" t="inlineStr">
        <is>
          <t>T8-B1.2</t>
        </is>
      </c>
      <c r="B38" s="30" t="inlineStr">
        <is>
          <t>T8</t>
        </is>
      </c>
      <c r="C38" s="30" t="inlineStr">
        <is>
          <t>Biología</t>
        </is>
      </c>
      <c r="D38" s="42" t="n">
        <v>0.35</v>
      </c>
      <c r="E38" s="30" t="inlineStr">
        <is>
          <t>Características y procesos vitales de los organismos</t>
        </is>
      </c>
      <c r="F38" s="30" t="inlineStr">
        <is>
          <t>Sistemas de órganos: ubicar órganos, comparar vertebrados, explicar funciones</t>
        </is>
      </c>
      <c r="G38" s="30" t="inlineStr">
        <is>
          <t>Ciclo 5°–8°</t>
        </is>
      </c>
      <c r="H38" s="30">
        <f>COUNTIFS('Datos - Temas'!$W$5:$W$1264,$G38,'Datos - Temas'!$AA$5:$AA$1264,$A38)+COUNTIFS('Datos - Temas'!$W$5:$W$1264,$G38,'Datos - Temas'!$AB$5:$AB$1264,$A38)</f>
        <v/>
      </c>
      <c r="I38" s="30">
        <f>IF(H38&gt;0,"Sí","No")</f>
        <v/>
      </c>
    </row>
    <row r="39">
      <c r="A39" s="30" t="inlineStr">
        <is>
          <t>T8-B1.3</t>
        </is>
      </c>
      <c r="B39" s="30" t="inlineStr">
        <is>
          <t>T8</t>
        </is>
      </c>
      <c r="C39" s="30" t="inlineStr">
        <is>
          <t>Biología</t>
        </is>
      </c>
      <c r="D39" s="42" t="n">
        <v>0.35</v>
      </c>
      <c r="E39" s="30" t="inlineStr">
        <is>
          <t>Características y procesos vitales de los organismos</t>
        </is>
      </c>
      <c r="F39" s="30" t="inlineStr">
        <is>
          <t>Procesos fisiológicos: respuestas que mantienen condiciones corporales estables</t>
        </is>
      </c>
      <c r="G39" s="30" t="inlineStr">
        <is>
          <t>Ciclo 5°–8°</t>
        </is>
      </c>
      <c r="H39" s="30">
        <f>COUNTIFS('Datos - Temas'!$W$5:$W$1264,$G39,'Datos - Temas'!$AA$5:$AA$1264,$A39)+COUNTIFS('Datos - Temas'!$W$5:$W$1264,$G39,'Datos - Temas'!$AB$5:$AB$1264,$A39)</f>
        <v/>
      </c>
      <c r="I39" s="30">
        <f>IF(H39&gt;0,"Sí","No")</f>
        <v/>
      </c>
    </row>
    <row r="40">
      <c r="A40" s="30" t="inlineStr">
        <is>
          <t>T8-B2.1</t>
        </is>
      </c>
      <c r="B40" s="30" t="inlineStr">
        <is>
          <t>T8</t>
        </is>
      </c>
      <c r="C40" s="30" t="inlineStr">
        <is>
          <t>Biología</t>
        </is>
      </c>
      <c r="D40" s="42" t="n">
        <v>0.35</v>
      </c>
      <c r="E40" s="30" t="inlineStr">
        <is>
          <t>Células y sus funciones</t>
        </is>
      </c>
      <c r="F40" s="30" t="inlineStr">
        <is>
          <t>Estructura celular: organelos, célula vegetal vs. animal, tejidos y órganos</t>
        </is>
      </c>
      <c r="G40" s="30" t="inlineStr">
        <is>
          <t>Ciclo 5°–8°</t>
        </is>
      </c>
      <c r="H40" s="30">
        <f>COUNTIFS('Datos - Temas'!$W$5:$W$1264,$G40,'Datos - Temas'!$AA$5:$AA$1264,$A40)+COUNTIFS('Datos - Temas'!$W$5:$W$1264,$G40,'Datos - Temas'!$AB$5:$AB$1264,$A40)</f>
        <v/>
      </c>
      <c r="I40" s="30">
        <f>IF(H40&gt;0,"Sí","No")</f>
        <v/>
      </c>
    </row>
    <row r="41">
      <c r="A41" s="30" t="inlineStr">
        <is>
          <t>T8-B2.2</t>
        </is>
      </c>
      <c r="B41" s="30" t="inlineStr">
        <is>
          <t>T8</t>
        </is>
      </c>
      <c r="C41" s="30" t="inlineStr">
        <is>
          <t>Biología</t>
        </is>
      </c>
      <c r="D41" s="42" t="n">
        <v>0.35</v>
      </c>
      <c r="E41" s="30" t="inlineStr">
        <is>
          <t>Células y sus funciones</t>
        </is>
      </c>
      <c r="F41" s="30" t="inlineStr">
        <is>
          <t>Fotosíntesis y respiración celular: entradas y salidas</t>
        </is>
      </c>
      <c r="G41" s="30" t="inlineStr">
        <is>
          <t>Ciclo 5°–8°</t>
        </is>
      </c>
      <c r="H41" s="30">
        <f>COUNTIFS('Datos - Temas'!$W$5:$W$1264,$G41,'Datos - Temas'!$AA$5:$AA$1264,$A41)+COUNTIFS('Datos - Temas'!$W$5:$W$1264,$G41,'Datos - Temas'!$AB$5:$AB$1264,$A41)</f>
        <v/>
      </c>
      <c r="I41" s="30">
        <f>IF(H41&gt;0,"Sí","No")</f>
        <v/>
      </c>
    </row>
    <row r="42">
      <c r="A42" s="30" t="inlineStr">
        <is>
          <t>T8-B3.1</t>
        </is>
      </c>
      <c r="B42" s="30" t="inlineStr">
        <is>
          <t>T8</t>
        </is>
      </c>
      <c r="C42" s="30" t="inlineStr">
        <is>
          <t>Biología</t>
        </is>
      </c>
      <c r="D42" s="42" t="n">
        <v>0.35</v>
      </c>
      <c r="E42" s="30" t="inlineStr">
        <is>
          <t>Ciclos de vida, reproducción y herencia</t>
        </is>
      </c>
      <c r="F42" s="30" t="inlineStr">
        <is>
          <t>Ciclos de vida y patrones de crecimiento</t>
        </is>
      </c>
      <c r="G42" s="30" t="inlineStr">
        <is>
          <t>Ciclo 5°–8°</t>
        </is>
      </c>
      <c r="H42" s="30">
        <f>COUNTIFS('Datos - Temas'!$W$5:$W$1264,$G42,'Datos - Temas'!$AA$5:$AA$1264,$A42)+COUNTIFS('Datos - Temas'!$W$5:$W$1264,$G42,'Datos - Temas'!$AB$5:$AB$1264,$A42)</f>
        <v/>
      </c>
      <c r="I42" s="30">
        <f>IF(H42&gt;0,"Sí","No")</f>
        <v/>
      </c>
    </row>
    <row r="43">
      <c r="A43" s="30" t="inlineStr">
        <is>
          <t>T8-B3.2</t>
        </is>
      </c>
      <c r="B43" s="30" t="inlineStr">
        <is>
          <t>T8</t>
        </is>
      </c>
      <c r="C43" s="30" t="inlineStr">
        <is>
          <t>Biología</t>
        </is>
      </c>
      <c r="D43" s="42" t="n">
        <v>0.35</v>
      </c>
      <c r="E43" s="30" t="inlineStr">
        <is>
          <t>Ciclos de vida, reproducción y herencia</t>
        </is>
      </c>
      <c r="F43" s="30" t="inlineStr">
        <is>
          <t>Reproducción sexual, material genético y herencia; rasgos heredados vs. adquiridos</t>
        </is>
      </c>
      <c r="G43" s="30" t="inlineStr">
        <is>
          <t>Ciclo 5°–8°</t>
        </is>
      </c>
      <c r="H43" s="30">
        <f>COUNTIFS('Datos - Temas'!$W$5:$W$1264,$G43,'Datos - Temas'!$AA$5:$AA$1264,$A43)+COUNTIFS('Datos - Temas'!$W$5:$W$1264,$G43,'Datos - Temas'!$AB$5:$AB$1264,$A43)</f>
        <v/>
      </c>
      <c r="I43" s="30">
        <f>IF(H43&gt;0,"Sí","No")</f>
        <v/>
      </c>
    </row>
    <row r="44">
      <c r="A44" s="30" t="inlineStr">
        <is>
          <t>T8-B4.1</t>
        </is>
      </c>
      <c r="B44" s="30" t="inlineStr">
        <is>
          <t>T8</t>
        </is>
      </c>
      <c r="C44" s="30" t="inlineStr">
        <is>
          <t>Biología</t>
        </is>
      </c>
      <c r="D44" s="42" t="n">
        <v>0.35</v>
      </c>
      <c r="E44" s="30" t="inlineStr">
        <is>
          <t>Diversidad, adaptación y selección natural</t>
        </is>
      </c>
      <c r="F44" s="30" t="inlineStr">
        <is>
          <t>Variación y ventaja de supervivencia; extinción y éxito reproductivo</t>
        </is>
      </c>
      <c r="G44" s="30" t="inlineStr">
        <is>
          <t>Ciclo 5°–8°</t>
        </is>
      </c>
      <c r="H44" s="30">
        <f>COUNTIFS('Datos - Temas'!$W$5:$W$1264,$G44,'Datos - Temas'!$AA$5:$AA$1264,$A44)+COUNTIFS('Datos - Temas'!$W$5:$W$1264,$G44,'Datos - Temas'!$AB$5:$AB$1264,$A44)</f>
        <v/>
      </c>
      <c r="I44" s="30">
        <f>IF(H44&gt;0,"Sí","No")</f>
        <v/>
      </c>
    </row>
    <row r="45">
      <c r="A45" s="30" t="inlineStr">
        <is>
          <t>T8-B4.2</t>
        </is>
      </c>
      <c r="B45" s="30" t="inlineStr">
        <is>
          <t>T8</t>
        </is>
      </c>
      <c r="C45" s="30" t="inlineStr">
        <is>
          <t>Biología</t>
        </is>
      </c>
      <c r="D45" s="42" t="n">
        <v>0.35</v>
      </c>
      <c r="E45" s="30" t="inlineStr">
        <is>
          <t>Diversidad, adaptación y selección natural</t>
        </is>
      </c>
      <c r="F45" s="30" t="inlineStr">
        <is>
          <t>Evidencias del cambio: fósiles y ancestros comunes</t>
        </is>
      </c>
      <c r="G45" s="30" t="inlineStr">
        <is>
          <t>Ciclo 5°–8°</t>
        </is>
      </c>
      <c r="H45" s="30">
        <f>COUNTIFS('Datos - Temas'!$W$5:$W$1264,$G45,'Datos - Temas'!$AA$5:$AA$1264,$A45)+COUNTIFS('Datos - Temas'!$W$5:$W$1264,$G45,'Datos - Temas'!$AB$5:$AB$1264,$A45)</f>
        <v/>
      </c>
      <c r="I45" s="30">
        <f>IF(H45&gt;0,"Sí","No")</f>
        <v/>
      </c>
    </row>
    <row r="46">
      <c r="A46" s="30" t="inlineStr">
        <is>
          <t>T8-B5.1</t>
        </is>
      </c>
      <c r="B46" s="30" t="inlineStr">
        <is>
          <t>T8</t>
        </is>
      </c>
      <c r="C46" s="30" t="inlineStr">
        <is>
          <t>Biología</t>
        </is>
      </c>
      <c r="D46" s="42" t="n">
        <v>0.35</v>
      </c>
      <c r="E46" s="30" t="inlineStr">
        <is>
          <t>Ecosistemas</t>
        </is>
      </c>
      <c r="F46" s="30" t="inlineStr">
        <is>
          <t>Flujo de energía: productores, consumidores, descomponedores, redes y pirámides</t>
        </is>
      </c>
      <c r="G46" s="30" t="inlineStr">
        <is>
          <t>Ciclo 5°–8°</t>
        </is>
      </c>
      <c r="H46" s="30">
        <f>COUNTIFS('Datos - Temas'!$W$5:$W$1264,$G46,'Datos - Temas'!$AA$5:$AA$1264,$A46)+COUNTIFS('Datos - Temas'!$W$5:$W$1264,$G46,'Datos - Temas'!$AB$5:$AB$1264,$A46)</f>
        <v/>
      </c>
      <c r="I46" s="30">
        <f>IF(H46&gt;0,"Sí","No")</f>
        <v/>
      </c>
    </row>
    <row r="47">
      <c r="A47" s="30" t="inlineStr">
        <is>
          <t>T8-B5.2</t>
        </is>
      </c>
      <c r="B47" s="30" t="inlineStr">
        <is>
          <t>T8</t>
        </is>
      </c>
      <c r="C47" s="30" t="inlineStr">
        <is>
          <t>Biología</t>
        </is>
      </c>
      <c r="D47" s="42" t="n">
        <v>0.35</v>
      </c>
      <c r="E47" s="30" t="inlineStr">
        <is>
          <t>Ecosistemas</t>
        </is>
      </c>
      <c r="F47" s="30" t="inlineStr">
        <is>
          <t>Ciclos del agua, oxígeno y carbono en ecosistemas</t>
        </is>
      </c>
      <c r="G47" s="30" t="inlineStr">
        <is>
          <t>Ciclo 5°–8°</t>
        </is>
      </c>
      <c r="H47" s="30">
        <f>COUNTIFS('Datos - Temas'!$W$5:$W$1264,$G47,'Datos - Temas'!$AA$5:$AA$1264,$A47)+COUNTIFS('Datos - Temas'!$W$5:$W$1264,$G47,'Datos - Temas'!$AB$5:$AB$1264,$A47)</f>
        <v/>
      </c>
      <c r="I47" s="30">
        <f>IF(H47&gt;0,"Sí","No")</f>
        <v/>
      </c>
    </row>
    <row r="48">
      <c r="A48" s="30" t="inlineStr">
        <is>
          <t>T8-B5.3</t>
        </is>
      </c>
      <c r="B48" s="30" t="inlineStr">
        <is>
          <t>T8</t>
        </is>
      </c>
      <c r="C48" s="30" t="inlineStr">
        <is>
          <t>Biología</t>
        </is>
      </c>
      <c r="D48" s="42" t="n">
        <v>0.35</v>
      </c>
      <c r="E48" s="30" t="inlineStr">
        <is>
          <t>Ecosistemas</t>
        </is>
      </c>
      <c r="F48" s="30" t="inlineStr">
        <is>
          <t>Relaciones entre poblaciones: competencia, depredación, simbiosis</t>
        </is>
      </c>
      <c r="G48" s="30" t="inlineStr">
        <is>
          <t>Ciclo 5°–8°</t>
        </is>
      </c>
      <c r="H48" s="30">
        <f>COUNTIFS('Datos - Temas'!$W$5:$W$1264,$G48,'Datos - Temas'!$AA$5:$AA$1264,$A48)+COUNTIFS('Datos - Temas'!$W$5:$W$1264,$G48,'Datos - Temas'!$AB$5:$AB$1264,$A48)</f>
        <v/>
      </c>
      <c r="I48" s="30">
        <f>IF(H48&gt;0,"Sí","No")</f>
        <v/>
      </c>
    </row>
    <row r="49">
      <c r="A49" s="30" t="inlineStr">
        <is>
          <t>T8-B5.4</t>
        </is>
      </c>
      <c r="B49" s="30" t="inlineStr">
        <is>
          <t>T8</t>
        </is>
      </c>
      <c r="C49" s="30" t="inlineStr">
        <is>
          <t>Biología</t>
        </is>
      </c>
      <c r="D49" s="42" t="n">
        <v>0.35</v>
      </c>
      <c r="E49" s="30" t="inlineStr">
        <is>
          <t>Ecosistemas</t>
        </is>
      </c>
      <c r="F49" s="30" t="inlineStr">
        <is>
          <t>Factores que afectan poblaciones; factores limitantes; predicción de cambios</t>
        </is>
      </c>
      <c r="G49" s="30" t="inlineStr">
        <is>
          <t>Ciclo 5°–8°</t>
        </is>
      </c>
      <c r="H49" s="30">
        <f>COUNTIFS('Datos - Temas'!$W$5:$W$1264,$G49,'Datos - Temas'!$AA$5:$AA$1264,$A49)+COUNTIFS('Datos - Temas'!$W$5:$W$1264,$G49,'Datos - Temas'!$AB$5:$AB$1264,$A49)</f>
        <v/>
      </c>
      <c r="I49" s="30">
        <f>IF(H49&gt;0,"Sí","No")</f>
        <v/>
      </c>
    </row>
    <row r="50">
      <c r="A50" s="30" t="inlineStr">
        <is>
          <t>T8-B5.5</t>
        </is>
      </c>
      <c r="B50" s="30" t="inlineStr">
        <is>
          <t>T8</t>
        </is>
      </c>
      <c r="C50" s="30" t="inlineStr">
        <is>
          <t>Biología</t>
        </is>
      </c>
      <c r="D50" s="42" t="n">
        <v>0.35</v>
      </c>
      <c r="E50" s="30" t="inlineStr">
        <is>
          <t>Ecosistemas</t>
        </is>
      </c>
      <c r="F50" s="30" t="inlineStr">
        <is>
          <t>Impacto humano positivo y negativo en el ambiente</t>
        </is>
      </c>
      <c r="G50" s="30" t="inlineStr">
        <is>
          <t>Ciclo 5°–8°</t>
        </is>
      </c>
      <c r="H50" s="30">
        <f>COUNTIFS('Datos - Temas'!$W$5:$W$1264,$G50,'Datos - Temas'!$AA$5:$AA$1264,$A50)+COUNTIFS('Datos - Temas'!$W$5:$W$1264,$G50,'Datos - Temas'!$AB$5:$AB$1264,$A50)</f>
        <v/>
      </c>
      <c r="I50" s="30">
        <f>IF(H50&gt;0,"Sí","No")</f>
        <v/>
      </c>
    </row>
    <row r="51">
      <c r="A51" s="30" t="inlineStr">
        <is>
          <t>T8-B6.1</t>
        </is>
      </c>
      <c r="B51" s="30" t="inlineStr">
        <is>
          <t>T8</t>
        </is>
      </c>
      <c r="C51" s="30" t="inlineStr">
        <is>
          <t>Biología</t>
        </is>
      </c>
      <c r="D51" s="42" t="n">
        <v>0.35</v>
      </c>
      <c r="E51" s="30" t="inlineStr">
        <is>
          <t>Salud humana</t>
        </is>
      </c>
      <c r="F51" s="30" t="inlineStr">
        <is>
          <t>Enfermedades: causas, transmisión, prevención; sistema inmune</t>
        </is>
      </c>
      <c r="G51" s="30" t="inlineStr">
        <is>
          <t>Ciclo 5°–8°</t>
        </is>
      </c>
      <c r="H51" s="30">
        <f>COUNTIFS('Datos - Temas'!$W$5:$W$1264,$G51,'Datos - Temas'!$AA$5:$AA$1264,$A51)+COUNTIFS('Datos - Temas'!$W$5:$W$1264,$G51,'Datos - Temas'!$AB$5:$AB$1264,$A51)</f>
        <v/>
      </c>
      <c r="I51" s="30">
        <f>IF(H51&gt;0,"Sí","No")</f>
        <v/>
      </c>
    </row>
    <row r="52">
      <c r="A52" s="30" t="inlineStr">
        <is>
          <t>T8-B6.2</t>
        </is>
      </c>
      <c r="B52" s="30" t="inlineStr">
        <is>
          <t>T8</t>
        </is>
      </c>
      <c r="C52" s="30" t="inlineStr">
        <is>
          <t>Biología</t>
        </is>
      </c>
      <c r="D52" s="42" t="n">
        <v>0.35</v>
      </c>
      <c r="E52" s="30" t="inlineStr">
        <is>
          <t>Salud humana</t>
        </is>
      </c>
      <c r="F52" s="30" t="inlineStr">
        <is>
          <t>Dieta y ejercicio; fuentes y funciones de nutrientes</t>
        </is>
      </c>
      <c r="G52" s="30" t="inlineStr">
        <is>
          <t>Ciclo 5°–8°</t>
        </is>
      </c>
      <c r="H52" s="30">
        <f>COUNTIFS('Datos - Temas'!$W$5:$W$1264,$G52,'Datos - Temas'!$AA$5:$AA$1264,$A52)+COUNTIFS('Datos - Temas'!$W$5:$W$1264,$G52,'Datos - Temas'!$AB$5:$AB$1264,$A52)</f>
        <v/>
      </c>
      <c r="I52" s="30">
        <f>IF(H52&gt;0,"Sí","No")</f>
        <v/>
      </c>
    </row>
    <row r="53">
      <c r="A53" s="30" t="inlineStr">
        <is>
          <t>T8-Q1.1</t>
        </is>
      </c>
      <c r="B53" s="30" t="inlineStr">
        <is>
          <t>T8</t>
        </is>
      </c>
      <c r="C53" s="30" t="inlineStr">
        <is>
          <t>Química</t>
        </is>
      </c>
      <c r="D53" s="42" t="n">
        <v>0.2</v>
      </c>
      <c r="E53" s="30" t="inlineStr">
        <is>
          <t>Composición de la materia</t>
        </is>
      </c>
      <c r="F53" s="30" t="inlineStr">
        <is>
          <t>Átomos (partículas subatómicas) y moléculas; materia como partículas</t>
        </is>
      </c>
      <c r="G53" s="30" t="inlineStr">
        <is>
          <t>Ciclo 5°–8°</t>
        </is>
      </c>
      <c r="H53" s="30">
        <f>COUNTIFS('Datos - Temas'!$W$5:$W$1264,$G53,'Datos - Temas'!$AA$5:$AA$1264,$A53)+COUNTIFS('Datos - Temas'!$W$5:$W$1264,$G53,'Datos - Temas'!$AB$5:$AB$1264,$A53)</f>
        <v/>
      </c>
      <c r="I53" s="30">
        <f>IF(H53&gt;0,"Sí","No")</f>
        <v/>
      </c>
    </row>
    <row r="54">
      <c r="A54" s="30" t="inlineStr">
        <is>
          <t>T8-Q1.2</t>
        </is>
      </c>
      <c r="B54" s="30" t="inlineStr">
        <is>
          <t>T8</t>
        </is>
      </c>
      <c r="C54" s="30" t="inlineStr">
        <is>
          <t>Química</t>
        </is>
      </c>
      <c r="D54" s="42" t="n">
        <v>0.2</v>
      </c>
      <c r="E54" s="30" t="inlineStr">
        <is>
          <t>Composición de la materia</t>
        </is>
      </c>
      <c r="F54" s="30" t="inlineStr">
        <is>
          <t>Elementos, compuestos y mezclas; sustancias puras vs. mezclas</t>
        </is>
      </c>
      <c r="G54" s="30" t="inlineStr">
        <is>
          <t>Ciclo 5°–8°</t>
        </is>
      </c>
      <c r="H54" s="30">
        <f>COUNTIFS('Datos - Temas'!$W$5:$W$1264,$G54,'Datos - Temas'!$AA$5:$AA$1264,$A54)+COUNTIFS('Datos - Temas'!$W$5:$W$1264,$G54,'Datos - Temas'!$AB$5:$AB$1264,$A54)</f>
        <v/>
      </c>
      <c r="I54" s="30">
        <f>IF(H54&gt;0,"Sí","No")</f>
        <v/>
      </c>
    </row>
    <row r="55">
      <c r="A55" s="30" t="inlineStr">
        <is>
          <t>T8-Q1.3</t>
        </is>
      </c>
      <c r="B55" s="30" t="inlineStr">
        <is>
          <t>T8</t>
        </is>
      </c>
      <c r="C55" s="30" t="inlineStr">
        <is>
          <t>Química</t>
        </is>
      </c>
      <c r="D55" s="42" t="n">
        <v>0.2</v>
      </c>
      <c r="E55" s="30" t="inlineStr">
        <is>
          <t>Composición de la materia</t>
        </is>
      </c>
      <c r="F55" s="30" t="inlineStr">
        <is>
          <t>Tabla periódica: orden por número de protones, grupos y propiedades</t>
        </is>
      </c>
      <c r="G55" s="30" t="inlineStr">
        <is>
          <t>Ciclo 5°–8°</t>
        </is>
      </c>
      <c r="H55" s="30">
        <f>COUNTIFS('Datos - Temas'!$W$5:$W$1264,$G55,'Datos - Temas'!$AA$5:$AA$1264,$A55)+COUNTIFS('Datos - Temas'!$W$5:$W$1264,$G55,'Datos - Temas'!$AB$5:$AB$1264,$A55)</f>
        <v/>
      </c>
      <c r="I55" s="30">
        <f>IF(H55&gt;0,"Sí","No")</f>
        <v/>
      </c>
    </row>
    <row r="56">
      <c r="A56" s="30" t="inlineStr">
        <is>
          <t>T8-Q2.1</t>
        </is>
      </c>
      <c r="B56" s="30" t="inlineStr">
        <is>
          <t>T8</t>
        </is>
      </c>
      <c r="C56" s="30" t="inlineStr">
        <is>
          <t>Química</t>
        </is>
      </c>
      <c r="D56" s="42" t="n">
        <v>0.2</v>
      </c>
      <c r="E56" s="30" t="inlineStr">
        <is>
          <t>Propiedades de la materia</t>
        </is>
      </c>
      <c r="F56" s="30" t="inlineStr">
        <is>
          <t>Propiedades físicas vs. químicas; usos según propiedades</t>
        </is>
      </c>
      <c r="G56" s="30" t="inlineStr">
        <is>
          <t>Ciclo 5°–8°</t>
        </is>
      </c>
      <c r="H56" s="30">
        <f>COUNTIFS('Datos - Temas'!$W$5:$W$1264,$G56,'Datos - Temas'!$AA$5:$AA$1264,$A56)+COUNTIFS('Datos - Temas'!$W$5:$W$1264,$G56,'Datos - Temas'!$AB$5:$AB$1264,$A56)</f>
        <v/>
      </c>
      <c r="I56" s="30">
        <f>IF(H56&gt;0,"Sí","No")</f>
        <v/>
      </c>
    </row>
    <row r="57">
      <c r="A57" s="30" t="inlineStr">
        <is>
          <t>T8-Q2.2</t>
        </is>
      </c>
      <c r="B57" s="30" t="inlineStr">
        <is>
          <t>T8</t>
        </is>
      </c>
      <c r="C57" s="30" t="inlineStr">
        <is>
          <t>Química</t>
        </is>
      </c>
      <c r="D57" s="42" t="n">
        <v>0.2</v>
      </c>
      <c r="E57" s="30" t="inlineStr">
        <is>
          <t>Propiedades de la materia</t>
        </is>
      </c>
      <c r="F57" s="30" t="inlineStr">
        <is>
          <t>Clasificar sustancias por propiedades físicas o químicas</t>
        </is>
      </c>
      <c r="G57" s="30" t="inlineStr">
        <is>
          <t>Ciclo 5°–8°</t>
        </is>
      </c>
      <c r="H57" s="30">
        <f>COUNTIFS('Datos - Temas'!$W$5:$W$1264,$G57,'Datos - Temas'!$AA$5:$AA$1264,$A57)+COUNTIFS('Datos - Temas'!$W$5:$W$1264,$G57,'Datos - Temas'!$AB$5:$AB$1264,$A57)</f>
        <v/>
      </c>
      <c r="I57" s="30">
        <f>IF(H57&gt;0,"Sí","No")</f>
        <v/>
      </c>
    </row>
    <row r="58">
      <c r="A58" s="30" t="inlineStr">
        <is>
          <t>T8-Q2.3</t>
        </is>
      </c>
      <c r="B58" s="30" t="inlineStr">
        <is>
          <t>T8</t>
        </is>
      </c>
      <c r="C58" s="30" t="inlineStr">
        <is>
          <t>Química</t>
        </is>
      </c>
      <c r="D58" s="42" t="n">
        <v>0.2</v>
      </c>
      <c r="E58" s="30" t="inlineStr">
        <is>
          <t>Propiedades de la materia</t>
        </is>
      </c>
      <c r="F58" s="30" t="inlineStr">
        <is>
          <t>Mezclas y disoluciones: separación, disolución y factores</t>
        </is>
      </c>
      <c r="G58" s="30" t="inlineStr">
        <is>
          <t>Ciclo 5°–8°</t>
        </is>
      </c>
      <c r="H58" s="30">
        <f>COUNTIFS('Datos - Temas'!$W$5:$W$1264,$G58,'Datos - Temas'!$AA$5:$AA$1264,$A58)+COUNTIFS('Datos - Temas'!$W$5:$W$1264,$G58,'Datos - Temas'!$AB$5:$AB$1264,$A58)</f>
        <v/>
      </c>
      <c r="I58" s="30">
        <f>IF(H58&gt;0,"Sí","No")</f>
        <v/>
      </c>
    </row>
    <row r="59">
      <c r="A59" s="30" t="inlineStr">
        <is>
          <t>T8-Q2.4</t>
        </is>
      </c>
      <c r="B59" s="30" t="inlineStr">
        <is>
          <t>T8</t>
        </is>
      </c>
      <c r="C59" s="30" t="inlineStr">
        <is>
          <t>Química</t>
        </is>
      </c>
      <c r="D59" s="42" t="n">
        <v>0.2</v>
      </c>
      <c r="E59" s="30" t="inlineStr">
        <is>
          <t>Propiedades de la materia</t>
        </is>
      </c>
      <c r="F59" s="30" t="inlineStr">
        <is>
          <t>Ácidos y bases: sustancias cotidianas, indicadores, neutralización</t>
        </is>
      </c>
      <c r="G59" s="30" t="inlineStr">
        <is>
          <t>Ciclo 5°–8°</t>
        </is>
      </c>
      <c r="H59" s="30">
        <f>COUNTIFS('Datos - Temas'!$W$5:$W$1264,$G59,'Datos - Temas'!$AA$5:$AA$1264,$A59)+COUNTIFS('Datos - Temas'!$W$5:$W$1264,$G59,'Datos - Temas'!$AB$5:$AB$1264,$A59)</f>
        <v/>
      </c>
      <c r="I59" s="30">
        <f>IF(H59&gt;0,"Sí","No")</f>
        <v/>
      </c>
    </row>
    <row r="60">
      <c r="A60" s="30" t="inlineStr">
        <is>
          <t>T8-Q3.1</t>
        </is>
      </c>
      <c r="B60" s="30" t="inlineStr">
        <is>
          <t>T8</t>
        </is>
      </c>
      <c r="C60" s="30" t="inlineStr">
        <is>
          <t>Química</t>
        </is>
      </c>
      <c r="D60" s="42" t="n">
        <v>0.2</v>
      </c>
      <c r="E60" s="30" t="inlineStr">
        <is>
          <t>Cambio químico</t>
        </is>
      </c>
      <c r="F60" s="30" t="inlineStr">
        <is>
          <t>Cambio químico vs. físico; evidencias de reacción</t>
        </is>
      </c>
      <c r="G60" s="30" t="inlineStr">
        <is>
          <t>Ciclo 5°–8°</t>
        </is>
      </c>
      <c r="H60" s="30">
        <f>COUNTIFS('Datos - Temas'!$W$5:$W$1264,$G60,'Datos - Temas'!$AA$5:$AA$1264,$A60)+COUNTIFS('Datos - Temas'!$W$5:$W$1264,$G60,'Datos - Temas'!$AB$5:$AB$1264,$A60)</f>
        <v/>
      </c>
      <c r="I60" s="30">
        <f>IF(H60&gt;0,"Sí","No")</f>
        <v/>
      </c>
    </row>
    <row r="61">
      <c r="A61" s="30" t="inlineStr">
        <is>
          <t>T8-Q3.2</t>
        </is>
      </c>
      <c r="B61" s="30" t="inlineStr">
        <is>
          <t>T8</t>
        </is>
      </c>
      <c r="C61" s="30" t="inlineStr">
        <is>
          <t>Química</t>
        </is>
      </c>
      <c r="D61" s="42" t="n">
        <v>0.2</v>
      </c>
      <c r="E61" s="30" t="inlineStr">
        <is>
          <t>Cambio químico</t>
        </is>
      </c>
      <c r="F61" s="30" t="inlineStr">
        <is>
          <t>Conservación de la materia; energía liberada/absorbida; velocidad de reacción</t>
        </is>
      </c>
      <c r="G61" s="30" t="inlineStr">
        <is>
          <t>Ciclo 5°–8°</t>
        </is>
      </c>
      <c r="H61" s="30">
        <f>COUNTIFS('Datos - Temas'!$W$5:$W$1264,$G61,'Datos - Temas'!$AA$5:$AA$1264,$A61)+COUNTIFS('Datos - Temas'!$W$5:$W$1264,$G61,'Datos - Temas'!$AB$5:$AB$1264,$A61)</f>
        <v/>
      </c>
      <c r="I61" s="30">
        <f>IF(H61&gt;0,"Sí","No")</f>
        <v/>
      </c>
    </row>
    <row r="62">
      <c r="A62" s="30" t="inlineStr">
        <is>
          <t>T8-Q3.3</t>
        </is>
      </c>
      <c r="B62" s="30" t="inlineStr">
        <is>
          <t>T8</t>
        </is>
      </c>
      <c r="C62" s="30" t="inlineStr">
        <is>
          <t>Química</t>
        </is>
      </c>
      <c r="D62" s="42" t="n">
        <v>0.2</v>
      </c>
      <c r="E62" s="30" t="inlineStr">
        <is>
          <t>Cambio químico</t>
        </is>
      </c>
      <c r="F62" s="30" t="inlineStr">
        <is>
          <t>Enlace químico como atracción entre átomos que involucra electrones</t>
        </is>
      </c>
      <c r="G62" s="30" t="inlineStr">
        <is>
          <t>Ciclo 5°–8°</t>
        </is>
      </c>
      <c r="H62" s="30">
        <f>COUNTIFS('Datos - Temas'!$W$5:$W$1264,$G62,'Datos - Temas'!$AA$5:$AA$1264,$A62)+COUNTIFS('Datos - Temas'!$W$5:$W$1264,$G62,'Datos - Temas'!$AB$5:$AB$1264,$A62)</f>
        <v/>
      </c>
      <c r="I62" s="30">
        <f>IF(H62&gt;0,"Sí","No")</f>
        <v/>
      </c>
    </row>
    <row r="63">
      <c r="A63" s="30" t="inlineStr">
        <is>
          <t>T8-F1.1</t>
        </is>
      </c>
      <c r="B63" s="30" t="inlineStr">
        <is>
          <t>T8</t>
        </is>
      </c>
      <c r="C63" s="30" t="inlineStr">
        <is>
          <t>Física</t>
        </is>
      </c>
      <c r="D63" s="42" t="n">
        <v>0.25</v>
      </c>
      <c r="E63" s="30" t="inlineStr">
        <is>
          <t>Estados físicos y cambios de la materia</t>
        </is>
      </c>
      <c r="F63" s="30" t="inlineStr">
        <is>
          <t>Movimiento de partículas y propiedades físicas</t>
        </is>
      </c>
      <c r="G63" s="30" t="inlineStr">
        <is>
          <t>Ciclo 5°–8°</t>
        </is>
      </c>
      <c r="H63" s="30">
        <f>COUNTIFS('Datos - Temas'!$W$5:$W$1264,$G63,'Datos - Temas'!$AA$5:$AA$1264,$A63)+COUNTIFS('Datos - Temas'!$W$5:$W$1264,$G63,'Datos - Temas'!$AB$5:$AB$1264,$A63)</f>
        <v/>
      </c>
      <c r="I63" s="30">
        <f>IF(H63&gt;0,"Sí","No")</f>
        <v/>
      </c>
    </row>
    <row r="64">
      <c r="A64" s="30" t="inlineStr">
        <is>
          <t>T8-F1.2</t>
        </is>
      </c>
      <c r="B64" s="30" t="inlineStr">
        <is>
          <t>T8</t>
        </is>
      </c>
      <c r="C64" s="30" t="inlineStr">
        <is>
          <t>Física</t>
        </is>
      </c>
      <c r="D64" s="42" t="n">
        <v>0.25</v>
      </c>
      <c r="E64" s="30" t="inlineStr">
        <is>
          <t>Estados físicos y cambios de la materia</t>
        </is>
      </c>
      <c r="F64" s="30" t="inlineStr">
        <is>
          <t>Cambios de estado por energía térmica; factores que afectan su rapidez</t>
        </is>
      </c>
      <c r="G64" s="30" t="inlineStr">
        <is>
          <t>Ciclo 5°–8°</t>
        </is>
      </c>
      <c r="H64" s="30">
        <f>COUNTIFS('Datos - Temas'!$W$5:$W$1264,$G64,'Datos - Temas'!$AA$5:$AA$1264,$A64)+COUNTIFS('Datos - Temas'!$W$5:$W$1264,$G64,'Datos - Temas'!$AB$5:$AB$1264,$A64)</f>
        <v/>
      </c>
      <c r="I64" s="30">
        <f>IF(H64&gt;0,"Sí","No")</f>
        <v/>
      </c>
    </row>
    <row r="65">
      <c r="A65" s="30" t="inlineStr">
        <is>
          <t>T8-F2.1</t>
        </is>
      </c>
      <c r="B65" s="30" t="inlineStr">
        <is>
          <t>T8</t>
        </is>
      </c>
      <c r="C65" s="30" t="inlineStr">
        <is>
          <t>Física</t>
        </is>
      </c>
      <c r="D65" s="42" t="n">
        <v>0.25</v>
      </c>
      <c r="E65" s="30" t="inlineStr">
        <is>
          <t>Transformación y transferencia de energía</t>
        </is>
      </c>
      <c r="F65" s="30" t="inlineStr">
        <is>
          <t>Formas de energía, transformaciones y conservación</t>
        </is>
      </c>
      <c r="G65" s="30" t="inlineStr">
        <is>
          <t>Ciclo 5°–8°</t>
        </is>
      </c>
      <c r="H65" s="30">
        <f>COUNTIFS('Datos - Temas'!$W$5:$W$1264,$G65,'Datos - Temas'!$AA$5:$AA$1264,$A65)+COUNTIFS('Datos - Temas'!$W$5:$W$1264,$G65,'Datos - Temas'!$AB$5:$AB$1264,$A65)</f>
        <v/>
      </c>
      <c r="I65" s="30">
        <f>IF(H65&gt;0,"Sí","No")</f>
        <v/>
      </c>
    </row>
    <row r="66">
      <c r="A66" s="30" t="inlineStr">
        <is>
          <t>T8-F2.2</t>
        </is>
      </c>
      <c r="B66" s="30" t="inlineStr">
        <is>
          <t>T8</t>
        </is>
      </c>
      <c r="C66" s="30" t="inlineStr">
        <is>
          <t>Física</t>
        </is>
      </c>
      <c r="D66" s="42" t="n">
        <v>0.25</v>
      </c>
      <c r="E66" s="30" t="inlineStr">
        <is>
          <t>Transformación y transferencia de energía</t>
        </is>
      </c>
      <c r="F66" s="30" t="inlineStr">
        <is>
          <t>Transferencia térmica, conductividad, temperatura constante en cambios de fase</t>
        </is>
      </c>
      <c r="G66" s="30" t="inlineStr">
        <is>
          <t>Ciclo 5°–8°</t>
        </is>
      </c>
      <c r="H66" s="30">
        <f>COUNTIFS('Datos - Temas'!$W$5:$W$1264,$G66,'Datos - Temas'!$AA$5:$AA$1264,$A66)+COUNTIFS('Datos - Temas'!$W$5:$W$1264,$G66,'Datos - Temas'!$AB$5:$AB$1264,$A66)</f>
        <v/>
      </c>
      <c r="I66" s="30">
        <f>IF(H66&gt;0,"Sí","No")</f>
        <v/>
      </c>
    </row>
    <row r="67">
      <c r="A67" s="30" t="inlineStr">
        <is>
          <t>T8-F3.1</t>
        </is>
      </c>
      <c r="B67" s="30" t="inlineStr">
        <is>
          <t>T8</t>
        </is>
      </c>
      <c r="C67" s="30" t="inlineStr">
        <is>
          <t>Física</t>
        </is>
      </c>
      <c r="D67" s="42" t="n">
        <v>0.25</v>
      </c>
      <c r="E67" s="30" t="inlineStr">
        <is>
          <t>Luz y sonido</t>
        </is>
      </c>
      <c r="F67" s="30" t="inlineStr">
        <is>
          <t>Propiedades de la luz; diagramas de rayos</t>
        </is>
      </c>
      <c r="G67" s="30" t="inlineStr">
        <is>
          <t>Ciclo 5°–8°</t>
        </is>
      </c>
      <c r="H67" s="30">
        <f>COUNTIFS('Datos - Temas'!$W$5:$W$1264,$G67,'Datos - Temas'!$AA$5:$AA$1264,$A67)+COUNTIFS('Datos - Temas'!$W$5:$W$1264,$G67,'Datos - Temas'!$AB$5:$AB$1264,$A67)</f>
        <v/>
      </c>
      <c r="I67" s="30">
        <f>IF(H67&gt;0,"Sí","No")</f>
        <v/>
      </c>
    </row>
    <row r="68">
      <c r="A68" s="30" t="inlineStr">
        <is>
          <t>T8-F3.2</t>
        </is>
      </c>
      <c r="B68" s="30" t="inlineStr">
        <is>
          <t>T8</t>
        </is>
      </c>
      <c r="C68" s="30" t="inlineStr">
        <is>
          <t>Física</t>
        </is>
      </c>
      <c r="D68" s="42" t="n">
        <v>0.25</v>
      </c>
      <c r="E68" s="30" t="inlineStr">
        <is>
          <t>Luz y sonido</t>
        </is>
      </c>
      <c r="F68" s="30" t="inlineStr">
        <is>
          <t>Propiedades del sonido y fenómenos asociados</t>
        </is>
      </c>
      <c r="G68" s="30" t="inlineStr">
        <is>
          <t>Ciclo 5°–8°</t>
        </is>
      </c>
      <c r="H68" s="30">
        <f>COUNTIFS('Datos - Temas'!$W$5:$W$1264,$G68,'Datos - Temas'!$AA$5:$AA$1264,$A68)+COUNTIFS('Datos - Temas'!$W$5:$W$1264,$G68,'Datos - Temas'!$AB$5:$AB$1264,$A68)</f>
        <v/>
      </c>
      <c r="I68" s="30">
        <f>IF(H68&gt;0,"Sí","No")</f>
        <v/>
      </c>
    </row>
    <row r="69">
      <c r="A69" s="30" t="inlineStr">
        <is>
          <t>T8-F4.1</t>
        </is>
      </c>
      <c r="B69" s="30" t="inlineStr">
        <is>
          <t>T8</t>
        </is>
      </c>
      <c r="C69" s="30" t="inlineStr">
        <is>
          <t>Física</t>
        </is>
      </c>
      <c r="D69" s="42" t="n">
        <v>0.25</v>
      </c>
      <c r="E69" s="30" t="inlineStr">
        <is>
          <t>Electricidad y magnetismo</t>
        </is>
      </c>
      <c r="F69" s="30" t="inlineStr">
        <is>
          <t>Conductores y aislantes; componentes y diagramas de circuitos</t>
        </is>
      </c>
      <c r="G69" s="30" t="inlineStr">
        <is>
          <t>Ciclo 5°–8°</t>
        </is>
      </c>
      <c r="H69" s="30">
        <f>COUNTIFS('Datos - Temas'!$W$5:$W$1264,$G69,'Datos - Temas'!$AA$5:$AA$1264,$A69)+COUNTIFS('Datos - Temas'!$W$5:$W$1264,$G69,'Datos - Temas'!$AB$5:$AB$1264,$A69)</f>
        <v/>
      </c>
      <c r="I69" s="30">
        <f>IF(H69&gt;0,"Sí","No")</f>
        <v/>
      </c>
    </row>
    <row r="70">
      <c r="A70" s="30" t="inlineStr">
        <is>
          <t>T8-F4.2</t>
        </is>
      </c>
      <c r="B70" s="30" t="inlineStr">
        <is>
          <t>T8</t>
        </is>
      </c>
      <c r="C70" s="30" t="inlineStr">
        <is>
          <t>Física</t>
        </is>
      </c>
      <c r="D70" s="42" t="n">
        <v>0.25</v>
      </c>
      <c r="E70" s="30" t="inlineStr">
        <is>
          <t>Electricidad y magnetismo</t>
        </is>
      </c>
      <c r="F70" s="30" t="inlineStr">
        <is>
          <t>Imanes permanentes y electroimanes: propiedades y usos</t>
        </is>
      </c>
      <c r="G70" s="30" t="inlineStr">
        <is>
          <t>Ciclo 5°–8°</t>
        </is>
      </c>
      <c r="H70" s="30">
        <f>COUNTIFS('Datos - Temas'!$W$5:$W$1264,$G70,'Datos - Temas'!$AA$5:$AA$1264,$A70)+COUNTIFS('Datos - Temas'!$W$5:$W$1264,$G70,'Datos - Temas'!$AB$5:$AB$1264,$A70)</f>
        <v/>
      </c>
      <c r="I70" s="30">
        <f>IF(H70&gt;0,"Sí","No")</f>
        <v/>
      </c>
    </row>
    <row r="71">
      <c r="A71" s="30" t="inlineStr">
        <is>
          <t>T8-F5.1</t>
        </is>
      </c>
      <c r="B71" s="30" t="inlineStr">
        <is>
          <t>T8</t>
        </is>
      </c>
      <c r="C71" s="30" t="inlineStr">
        <is>
          <t>Física</t>
        </is>
      </c>
      <c r="D71" s="42" t="n">
        <v>0.25</v>
      </c>
      <c r="E71" s="30" t="inlineStr">
        <is>
          <t>Movimiento y fuerzas</t>
        </is>
      </c>
      <c r="F71" s="30" t="inlineStr">
        <is>
          <t>Rapidez y aceleración</t>
        </is>
      </c>
      <c r="G71" s="30" t="inlineStr">
        <is>
          <t>Ciclo 5°–8°</t>
        </is>
      </c>
      <c r="H71" s="30">
        <f>COUNTIFS('Datos - Temas'!$W$5:$W$1264,$G71,'Datos - Temas'!$AA$5:$AA$1264,$A71)+COUNTIFS('Datos - Temas'!$W$5:$W$1264,$G71,'Datos - Temas'!$AB$5:$AB$1264,$A71)</f>
        <v/>
      </c>
      <c r="I71" s="30">
        <f>IF(H71&gt;0,"Sí","No")</f>
        <v/>
      </c>
    </row>
    <row r="72">
      <c r="A72" s="30" t="inlineStr">
        <is>
          <t>T8-F5.2</t>
        </is>
      </c>
      <c r="B72" s="30" t="inlineStr">
        <is>
          <t>T8</t>
        </is>
      </c>
      <c r="C72" s="30" t="inlineStr">
        <is>
          <t>Física</t>
        </is>
      </c>
      <c r="D72" s="42" t="n">
        <v>0.25</v>
      </c>
      <c r="E72" s="30" t="inlineStr">
        <is>
          <t>Movimiento y fuerzas</t>
        </is>
      </c>
      <c r="F72" s="30" t="inlineStr">
        <is>
          <t>Fuerzas mecánicas, magnitud y dirección; gravedad en distintos planetas</t>
        </is>
      </c>
      <c r="G72" s="30" t="inlineStr">
        <is>
          <t>Ciclo 5°–8°</t>
        </is>
      </c>
      <c r="H72" s="30">
        <f>COUNTIFS('Datos - Temas'!$W$5:$W$1264,$G72,'Datos - Temas'!$AA$5:$AA$1264,$A72)+COUNTIFS('Datos - Temas'!$W$5:$W$1264,$G72,'Datos - Temas'!$AB$5:$AB$1264,$A72)</f>
        <v/>
      </c>
      <c r="I72" s="30">
        <f>IF(H72&gt;0,"Sí","No")</f>
        <v/>
      </c>
    </row>
    <row r="73">
      <c r="A73" s="30" t="inlineStr">
        <is>
          <t>T8-F5.3</t>
        </is>
      </c>
      <c r="B73" s="30" t="inlineStr">
        <is>
          <t>T8</t>
        </is>
      </c>
      <c r="C73" s="30" t="inlineStr">
        <is>
          <t>Física</t>
        </is>
      </c>
      <c r="D73" s="42" t="n">
        <v>0.25</v>
      </c>
      <c r="E73" s="30" t="inlineStr">
        <is>
          <t>Movimiento y fuerzas</t>
        </is>
      </c>
      <c r="F73" s="30" t="inlineStr">
        <is>
          <t>Máquinas simples, flotación, presión, predicción de cambios de movimiento</t>
        </is>
      </c>
      <c r="G73" s="30" t="inlineStr">
        <is>
          <t>Ciclo 5°–8°</t>
        </is>
      </c>
      <c r="H73" s="30">
        <f>COUNTIFS('Datos - Temas'!$W$5:$W$1264,$G73,'Datos - Temas'!$AA$5:$AA$1264,$A73)+COUNTIFS('Datos - Temas'!$W$5:$W$1264,$G73,'Datos - Temas'!$AB$5:$AB$1264,$A73)</f>
        <v/>
      </c>
      <c r="I73" s="30">
        <f>IF(H73&gt;0,"Sí","No")</f>
        <v/>
      </c>
    </row>
    <row r="74">
      <c r="A74" s="30" t="inlineStr">
        <is>
          <t>T8-T1.1</t>
        </is>
      </c>
      <c r="B74" s="30" t="inlineStr">
        <is>
          <t>T8</t>
        </is>
      </c>
      <c r="C74" s="30" t="inlineStr">
        <is>
          <t>Ciencias de la Tierra</t>
        </is>
      </c>
      <c r="D74" s="42" t="n">
        <v>0.2</v>
      </c>
      <c r="E74" s="30" t="inlineStr">
        <is>
          <t>Estructura y rasgos físicos de la Tierra</t>
        </is>
      </c>
      <c r="F74" s="30" t="inlineStr">
        <is>
          <t>Capas de la Tierra y sus características</t>
        </is>
      </c>
      <c r="G74" s="30" t="inlineStr">
        <is>
          <t>Ciclo 5°–8°</t>
        </is>
      </c>
      <c r="H74" s="30">
        <f>COUNTIFS('Datos - Temas'!$W$5:$W$1264,$G74,'Datos - Temas'!$AA$5:$AA$1264,$A74)+COUNTIFS('Datos - Temas'!$W$5:$W$1264,$G74,'Datos - Temas'!$AB$5:$AB$1264,$A74)</f>
        <v/>
      </c>
      <c r="I74" s="30">
        <f>IF(H74&gt;0,"Sí","No")</f>
        <v/>
      </c>
    </row>
    <row r="75">
      <c r="A75" s="30" t="inlineStr">
        <is>
          <t>T8-T1.2</t>
        </is>
      </c>
      <c r="B75" s="30" t="inlineStr">
        <is>
          <t>T8</t>
        </is>
      </c>
      <c r="C75" s="30" t="inlineStr">
        <is>
          <t>Ciencias de la Tierra</t>
        </is>
      </c>
      <c r="D75" s="42" t="n">
        <v>0.2</v>
      </c>
      <c r="E75" s="30" t="inlineStr">
        <is>
          <t>Estructura y rasgos físicos de la Tierra</t>
        </is>
      </c>
      <c r="F75" s="30" t="inlineStr">
        <is>
          <t>Composición de la atmósfera, relación con la vida y con la altitud</t>
        </is>
      </c>
      <c r="G75" s="30" t="inlineStr">
        <is>
          <t>Ciclo 5°–8°</t>
        </is>
      </c>
      <c r="H75" s="30">
        <f>COUNTIFS('Datos - Temas'!$W$5:$W$1264,$G75,'Datos - Temas'!$AA$5:$AA$1264,$A75)+COUNTIFS('Datos - Temas'!$W$5:$W$1264,$G75,'Datos - Temas'!$AB$5:$AB$1264,$A75)</f>
        <v/>
      </c>
      <c r="I75" s="30">
        <f>IF(H75&gt;0,"Sí","No")</f>
        <v/>
      </c>
    </row>
    <row r="76">
      <c r="A76" s="30" t="inlineStr">
        <is>
          <t>T8-T2.1</t>
        </is>
      </c>
      <c r="B76" s="30" t="inlineStr">
        <is>
          <t>T8</t>
        </is>
      </c>
      <c r="C76" s="30" t="inlineStr">
        <is>
          <t>Ciencias de la Tierra</t>
        </is>
      </c>
      <c r="D76" s="42" t="n">
        <v>0.2</v>
      </c>
      <c r="E76" s="30" t="inlineStr">
        <is>
          <t>Procesos, ciclos e historia de la Tierra</t>
        </is>
      </c>
      <c r="F76" s="30" t="inlineStr">
        <is>
          <t>Procesos geológicos: ciclo de las rocas, eventos que cambian la superficie, fósiles</t>
        </is>
      </c>
      <c r="G76" s="30" t="inlineStr">
        <is>
          <t>Ciclo 5°–8°</t>
        </is>
      </c>
      <c r="H76" s="30">
        <f>COUNTIFS('Datos - Temas'!$W$5:$W$1264,$G76,'Datos - Temas'!$AA$5:$AA$1264,$A76)+COUNTIFS('Datos - Temas'!$W$5:$W$1264,$G76,'Datos - Temas'!$AB$5:$AB$1264,$A76)</f>
        <v/>
      </c>
      <c r="I76" s="30">
        <f>IF(H76&gt;0,"Sí","No")</f>
        <v/>
      </c>
    </row>
    <row r="77">
      <c r="A77" s="30" t="inlineStr">
        <is>
          <t>T8-T2.2</t>
        </is>
      </c>
      <c r="B77" s="30" t="inlineStr">
        <is>
          <t>T8</t>
        </is>
      </c>
      <c r="C77" s="30" t="inlineStr">
        <is>
          <t>Ciencias de la Tierra</t>
        </is>
      </c>
      <c r="D77" s="42" t="n">
        <v>0.2</v>
      </c>
      <c r="E77" s="30" t="inlineStr">
        <is>
          <t>Procesos, ciclos e historia de la Tierra</t>
        </is>
      </c>
      <c r="F77" s="30" t="inlineStr">
        <is>
          <t>Ciclo del agua y papel de la energía solar</t>
        </is>
      </c>
      <c r="G77" s="30" t="inlineStr">
        <is>
          <t>Ciclo 5°–8°</t>
        </is>
      </c>
      <c r="H77" s="30">
        <f>COUNTIFS('Datos - Temas'!$W$5:$W$1264,$G77,'Datos - Temas'!$AA$5:$AA$1264,$A77)+COUNTIFS('Datos - Temas'!$W$5:$W$1264,$G77,'Datos - Temas'!$AB$5:$AB$1264,$A77)</f>
        <v/>
      </c>
      <c r="I77" s="30">
        <f>IF(H77&gt;0,"Sí","No")</f>
        <v/>
      </c>
    </row>
    <row r="78">
      <c r="A78" s="30" t="inlineStr">
        <is>
          <t>T8-T2.3</t>
        </is>
      </c>
      <c r="B78" s="30" t="inlineStr">
        <is>
          <t>T8</t>
        </is>
      </c>
      <c r="C78" s="30" t="inlineStr">
        <is>
          <t>Ciencias de la Tierra</t>
        </is>
      </c>
      <c r="D78" s="42" t="n">
        <v>0.2</v>
      </c>
      <c r="E78" s="30" t="inlineStr">
        <is>
          <t>Procesos, ciclos e historia de la Tierra</t>
        </is>
      </c>
      <c r="F78" s="30" t="inlineStr">
        <is>
          <t>Tiempo atmosférico vs. clima; patrones climáticos; evidencias del cambio climático</t>
        </is>
      </c>
      <c r="G78" s="30" t="inlineStr">
        <is>
          <t>Ciclo 5°–8°</t>
        </is>
      </c>
      <c r="H78" s="30">
        <f>COUNTIFS('Datos - Temas'!$W$5:$W$1264,$G78,'Datos - Temas'!$AA$5:$AA$1264,$A78)+COUNTIFS('Datos - Temas'!$W$5:$W$1264,$G78,'Datos - Temas'!$AB$5:$AB$1264,$A78)</f>
        <v/>
      </c>
      <c r="I78" s="30">
        <f>IF(H78&gt;0,"Sí","No")</f>
        <v/>
      </c>
    </row>
    <row r="79">
      <c r="A79" s="30" t="inlineStr">
        <is>
          <t>T8-T3.1</t>
        </is>
      </c>
      <c r="B79" s="30" t="inlineStr">
        <is>
          <t>T8</t>
        </is>
      </c>
      <c r="C79" s="30" t="inlineStr">
        <is>
          <t>Ciencias de la Tierra</t>
        </is>
      </c>
      <c r="D79" s="42" t="n">
        <v>0.2</v>
      </c>
      <c r="E79" s="30" t="inlineStr">
        <is>
          <t>Recursos de la Tierra, uso y conservación</t>
        </is>
      </c>
      <c r="F79" s="30" t="inlineStr">
        <is>
          <t>Recursos renovables y no renovables; fuentes de energía; conservación</t>
        </is>
      </c>
      <c r="G79" s="30" t="inlineStr">
        <is>
          <t>Ciclo 5°–8°</t>
        </is>
      </c>
      <c r="H79" s="30">
        <f>COUNTIFS('Datos - Temas'!$W$5:$W$1264,$G79,'Datos - Temas'!$AA$5:$AA$1264,$A79)+COUNTIFS('Datos - Temas'!$W$5:$W$1264,$G79,'Datos - Temas'!$AB$5:$AB$1264,$A79)</f>
        <v/>
      </c>
      <c r="I79" s="30">
        <f>IF(H79&gt;0,"Sí","No")</f>
        <v/>
      </c>
    </row>
    <row r="80">
      <c r="A80" s="30" t="inlineStr">
        <is>
          <t>T8-T3.2</t>
        </is>
      </c>
      <c r="B80" s="30" t="inlineStr">
        <is>
          <t>T8</t>
        </is>
      </c>
      <c r="C80" s="30" t="inlineStr">
        <is>
          <t>Ciencias de la Tierra</t>
        </is>
      </c>
      <c r="D80" s="42" t="n">
        <v>0.2</v>
      </c>
      <c r="E80" s="30" t="inlineStr">
        <is>
          <t>Recursos de la Tierra, uso y conservación</t>
        </is>
      </c>
      <c r="F80" s="30" t="inlineStr">
        <is>
          <t>Uso del suelo y del agua; conservación del agua</t>
        </is>
      </c>
      <c r="G80" s="30" t="inlineStr">
        <is>
          <t>Ciclo 5°–8°</t>
        </is>
      </c>
      <c r="H80" s="30">
        <f>COUNTIFS('Datos - Temas'!$W$5:$W$1264,$G80,'Datos - Temas'!$AA$5:$AA$1264,$A80)+COUNTIFS('Datos - Temas'!$W$5:$W$1264,$G80,'Datos - Temas'!$AB$5:$AB$1264,$A80)</f>
        <v/>
      </c>
      <c r="I80" s="30">
        <f>IF(H80&gt;0,"Sí","No")</f>
        <v/>
      </c>
    </row>
    <row r="81">
      <c r="A81" s="30" t="inlineStr">
        <is>
          <t>T8-T4.1</t>
        </is>
      </c>
      <c r="B81" s="30" t="inlineStr">
        <is>
          <t>T8</t>
        </is>
      </c>
      <c r="C81" s="30" t="inlineStr">
        <is>
          <t>Ciencias de la Tierra</t>
        </is>
      </c>
      <c r="D81" s="42" t="n">
        <v>0.2</v>
      </c>
      <c r="E81" s="30" t="inlineStr">
        <is>
          <t>La Tierra en el Sistema Solar y el Universo</t>
        </is>
      </c>
      <c r="F81" s="30" t="inlineStr">
        <is>
          <t>Fenómenos observables: traslación, mareas, fases lunares, eclipses</t>
        </is>
      </c>
      <c r="G81" s="30" t="inlineStr">
        <is>
          <t>Ciclo 5°–8°</t>
        </is>
      </c>
      <c r="H81" s="30">
        <f>COUNTIFS('Datos - Temas'!$W$5:$W$1264,$G81,'Datos - Temas'!$AA$5:$AA$1264,$A81)+COUNTIFS('Datos - Temas'!$W$5:$W$1264,$G81,'Datos - Temas'!$AB$5:$AB$1264,$A81)</f>
        <v/>
      </c>
      <c r="I81" s="30">
        <f>IF(H81&gt;0,"Sí","No")</f>
        <v/>
      </c>
    </row>
    <row r="82">
      <c r="A82" s="30" t="inlineStr">
        <is>
          <t>T8-T4.2</t>
        </is>
      </c>
      <c r="B82" s="30" t="inlineStr">
        <is>
          <t>T8</t>
        </is>
      </c>
      <c r="C82" s="30" t="inlineStr">
        <is>
          <t>Ciencias de la Tierra</t>
        </is>
      </c>
      <c r="D82" s="42" t="n">
        <v>0.2</v>
      </c>
      <c r="E82" s="30" t="inlineStr">
        <is>
          <t>La Tierra en el Sistema Solar y el Universo</t>
        </is>
      </c>
      <c r="F82" s="30" t="inlineStr">
        <is>
          <t>Sol como estrella; comparar Tierra, Luna y planetas; gravedad y órbitas</t>
        </is>
      </c>
      <c r="G82" s="30" t="inlineStr">
        <is>
          <t>Ciclo 5°–8°</t>
        </is>
      </c>
      <c r="H82" s="30">
        <f>COUNTIFS('Datos - Temas'!$W$5:$W$1264,$G82,'Datos - Temas'!$AA$5:$AA$1264,$A82)+COUNTIFS('Datos - Temas'!$W$5:$W$1264,$G82,'Datos - Temas'!$AB$5:$AB$1264,$A82)</f>
        <v/>
      </c>
      <c r="I82" s="30">
        <f>IF(H82&gt;0,"Sí","No")</f>
        <v/>
      </c>
    </row>
    <row r="83">
      <c r="A83" s="30" t="inlineStr">
        <is>
          <t>TA-M1.1</t>
        </is>
      </c>
      <c r="B83" s="30" t="inlineStr">
        <is>
          <t>TA</t>
        </is>
      </c>
      <c r="C83" s="30" t="inlineStr">
        <is>
          <t>Mecánica y termodinámica</t>
        </is>
      </c>
      <c r="D83" s="42" t="n">
        <v>0.4</v>
      </c>
      <c r="E83" s="30" t="inlineStr">
        <is>
          <t>Fuerzas y movimiento</t>
        </is>
      </c>
      <c r="F83" s="30" t="inlineStr">
        <is>
          <t>Cinemática y leyes de Newton</t>
        </is>
      </c>
      <c r="G83" s="30" t="inlineStr">
        <is>
          <t>Física 10°–11°</t>
        </is>
      </c>
      <c r="H83" s="30">
        <f>COUNTIFS('Datos - Temas'!$W$5:$W$1264,$G83,'Datos - Temas'!$AA$5:$AA$1264,$A83)+COUNTIFS('Datos - Temas'!$W$5:$W$1264,$G83,'Datos - Temas'!$AB$5:$AB$1264,$A83)</f>
        <v/>
      </c>
      <c r="I83" s="30">
        <f>IF(H83&gt;0,"Sí","No")</f>
        <v/>
      </c>
    </row>
    <row r="84">
      <c r="A84" s="30" t="inlineStr">
        <is>
          <t>TA-M1.2</t>
        </is>
      </c>
      <c r="B84" s="30" t="inlineStr">
        <is>
          <t>TA</t>
        </is>
      </c>
      <c r="C84" s="30" t="inlineStr">
        <is>
          <t>Mecánica y termodinámica</t>
        </is>
      </c>
      <c r="D84" s="42" t="n">
        <v>0.4</v>
      </c>
      <c r="E84" s="30" t="inlineStr">
        <is>
          <t>Fuerzas y movimiento</t>
        </is>
      </c>
      <c r="F84" s="30" t="inlineStr">
        <is>
          <t>Fuerzas sobre cuerpos y sus efectos</t>
        </is>
      </c>
      <c r="G84" s="30" t="inlineStr">
        <is>
          <t>Física 10°–11°</t>
        </is>
      </c>
      <c r="H84" s="30">
        <f>COUNTIFS('Datos - Temas'!$W$5:$W$1264,$G84,'Datos - Temas'!$AA$5:$AA$1264,$A84)+COUNTIFS('Datos - Temas'!$W$5:$W$1264,$G84,'Datos - Temas'!$AB$5:$AB$1264,$A84)</f>
        <v/>
      </c>
      <c r="I84" s="30">
        <f>IF(H84&gt;0,"Sí","No")</f>
        <v/>
      </c>
    </row>
    <row r="85">
      <c r="A85" s="30" t="inlineStr">
        <is>
          <t>TA-M1.3</t>
        </is>
      </c>
      <c r="B85" s="30" t="inlineStr">
        <is>
          <t>TA</t>
        </is>
      </c>
      <c r="C85" s="30" t="inlineStr">
        <is>
          <t>Mecánica y termodinámica</t>
        </is>
      </c>
      <c r="D85" s="42" t="n">
        <v>0.4</v>
      </c>
      <c r="E85" s="30" t="inlineStr">
        <is>
          <t>Fuerzas y movimiento</t>
        </is>
      </c>
      <c r="F85" s="30" t="inlineStr">
        <is>
          <t>Movimiento circular: fuerza y aceleración centrípeta</t>
        </is>
      </c>
      <c r="G85" s="30" t="inlineStr">
        <is>
          <t>Física 10°–11°</t>
        </is>
      </c>
      <c r="H85" s="30">
        <f>COUNTIFS('Datos - Temas'!$W$5:$W$1264,$G85,'Datos - Temas'!$AA$5:$AA$1264,$A85)+COUNTIFS('Datos - Temas'!$W$5:$W$1264,$G85,'Datos - Temas'!$AB$5:$AB$1264,$A85)</f>
        <v/>
      </c>
      <c r="I85" s="30">
        <f>IF(H85&gt;0,"Sí","No")</f>
        <v/>
      </c>
    </row>
    <row r="86">
      <c r="A86" s="30" t="inlineStr">
        <is>
          <t>TA-M1.4</t>
        </is>
      </c>
      <c r="B86" s="30" t="inlineStr">
        <is>
          <t>TA</t>
        </is>
      </c>
      <c r="C86" s="30" t="inlineStr">
        <is>
          <t>Mecánica y termodinámica</t>
        </is>
      </c>
      <c r="D86" s="42" t="n">
        <v>0.4</v>
      </c>
      <c r="E86" s="30" t="inlineStr">
        <is>
          <t>Fuerzas y movimiento</t>
        </is>
      </c>
      <c r="F86" s="30" t="inlineStr">
        <is>
          <t>Ley de gravitación y movimiento de cuerpos celestes</t>
        </is>
      </c>
      <c r="G86" s="30" t="inlineStr">
        <is>
          <t>Física 10°–11°</t>
        </is>
      </c>
      <c r="H86" s="30">
        <f>COUNTIFS('Datos - Temas'!$W$5:$W$1264,$G86,'Datos - Temas'!$AA$5:$AA$1264,$A86)+COUNTIFS('Datos - Temas'!$W$5:$W$1264,$G86,'Datos - Temas'!$AB$5:$AB$1264,$A86)</f>
        <v/>
      </c>
      <c r="I86" s="30">
        <f>IF(H86&gt;0,"Sí","No")</f>
        <v/>
      </c>
    </row>
    <row r="87">
      <c r="A87" s="30" t="inlineStr">
        <is>
          <t>TA-M2.1</t>
        </is>
      </c>
      <c r="B87" s="30" t="inlineStr">
        <is>
          <t>TA</t>
        </is>
      </c>
      <c r="C87" s="30" t="inlineStr">
        <is>
          <t>Mecánica y termodinámica</t>
        </is>
      </c>
      <c r="D87" s="42" t="n">
        <v>0.4</v>
      </c>
      <c r="E87" s="30" t="inlineStr">
        <is>
          <t>Leyes de conservación</t>
        </is>
      </c>
      <c r="F87" s="30" t="inlineStr">
        <is>
          <t>Conservación de la energía mecánica</t>
        </is>
      </c>
      <c r="G87" s="30" t="inlineStr">
        <is>
          <t>Física 10°–11°</t>
        </is>
      </c>
      <c r="H87" s="30">
        <f>COUNTIFS('Datos - Temas'!$W$5:$W$1264,$G87,'Datos - Temas'!$AA$5:$AA$1264,$A87)+COUNTIFS('Datos - Temas'!$W$5:$W$1264,$G87,'Datos - Temas'!$AB$5:$AB$1264,$A87)</f>
        <v/>
      </c>
      <c r="I87" s="30">
        <f>IF(H87&gt;0,"Sí","No")</f>
        <v/>
      </c>
    </row>
    <row r="88">
      <c r="A88" s="30" t="inlineStr">
        <is>
          <t>TA-M2.2</t>
        </is>
      </c>
      <c r="B88" s="30" t="inlineStr">
        <is>
          <t>TA</t>
        </is>
      </c>
      <c r="C88" s="30" t="inlineStr">
        <is>
          <t>Mecánica y termodinámica</t>
        </is>
      </c>
      <c r="D88" s="42" t="n">
        <v>0.4</v>
      </c>
      <c r="E88" s="30" t="inlineStr">
        <is>
          <t>Leyes de conservación</t>
        </is>
      </c>
      <c r="F88" s="30" t="inlineStr">
        <is>
          <t>Conservación del momento lineal en choques</t>
        </is>
      </c>
      <c r="G88" s="30" t="inlineStr">
        <is>
          <t>Física 10°–11°</t>
        </is>
      </c>
      <c r="H88" s="30">
        <f>COUNTIFS('Datos - Temas'!$W$5:$W$1264,$G88,'Datos - Temas'!$AA$5:$AA$1264,$A88)+COUNTIFS('Datos - Temas'!$W$5:$W$1264,$G88,'Datos - Temas'!$AB$5:$AB$1264,$A88)</f>
        <v/>
      </c>
      <c r="I88" s="30">
        <f>IF(H88&gt;0,"Sí","No")</f>
        <v/>
      </c>
    </row>
    <row r="89">
      <c r="A89" s="30" t="inlineStr">
        <is>
          <t>TA-M2.3</t>
        </is>
      </c>
      <c r="B89" s="30" t="inlineStr">
        <is>
          <t>TA</t>
        </is>
      </c>
      <c r="C89" s="30" t="inlineStr">
        <is>
          <t>Mecánica y termodinámica</t>
        </is>
      </c>
      <c r="D89" s="42" t="n">
        <v>0.4</v>
      </c>
      <c r="E89" s="30" t="inlineStr">
        <is>
          <t>Leyes de conservación</t>
        </is>
      </c>
      <c r="F89" s="30" t="inlineStr">
        <is>
          <t>Primera ley de la termodinámica</t>
        </is>
      </c>
      <c r="G89" s="30" t="inlineStr">
        <is>
          <t>Física 10°–11°</t>
        </is>
      </c>
      <c r="H89" s="30">
        <f>COUNTIFS('Datos - Temas'!$W$5:$W$1264,$G89,'Datos - Temas'!$AA$5:$AA$1264,$A89)+COUNTIFS('Datos - Temas'!$W$5:$W$1264,$G89,'Datos - Temas'!$AB$5:$AB$1264,$A89)</f>
        <v/>
      </c>
      <c r="I89" s="30">
        <f>IF(H89&gt;0,"Sí","No")</f>
        <v/>
      </c>
    </row>
    <row r="90">
      <c r="A90" s="30" t="inlineStr">
        <is>
          <t>TA-M3.1</t>
        </is>
      </c>
      <c r="B90" s="30" t="inlineStr">
        <is>
          <t>TA</t>
        </is>
      </c>
      <c r="C90" s="30" t="inlineStr">
        <is>
          <t>Mecánica y termodinámica</t>
        </is>
      </c>
      <c r="D90" s="42" t="n">
        <v>0.4</v>
      </c>
      <c r="E90" s="30" t="inlineStr">
        <is>
          <t>Calor y temperatura</t>
        </is>
      </c>
      <c r="F90" s="30" t="inlineStr">
        <is>
          <t>Mecanismos de transferencia de calor; capacidad calorífica y equilibrio térmico</t>
        </is>
      </c>
      <c r="G90" s="30" t="inlineStr">
        <is>
          <t>Física 10°–11°</t>
        </is>
      </c>
      <c r="H90" s="30">
        <f>COUNTIFS('Datos - Temas'!$W$5:$W$1264,$G90,'Datos - Temas'!$AA$5:$AA$1264,$A90)+COUNTIFS('Datos - Temas'!$W$5:$W$1264,$G90,'Datos - Temas'!$AB$5:$AB$1264,$A90)</f>
        <v/>
      </c>
      <c r="I90" s="30">
        <f>IF(H90&gt;0,"Sí","No")</f>
        <v/>
      </c>
    </row>
    <row r="91">
      <c r="A91" s="30" t="inlineStr">
        <is>
          <t>TA-M3.2</t>
        </is>
      </c>
      <c r="B91" s="30" t="inlineStr">
        <is>
          <t>TA</t>
        </is>
      </c>
      <c r="C91" s="30" t="inlineStr">
        <is>
          <t>Mecánica y termodinámica</t>
        </is>
      </c>
      <c r="D91" s="42" t="n">
        <v>0.4</v>
      </c>
      <c r="E91" s="30" t="inlineStr">
        <is>
          <t>Calor y temperatura</t>
        </is>
      </c>
      <c r="F91" s="30" t="inlineStr">
        <is>
          <t>Dilatación térmica; ley del gas ideal y sus límites</t>
        </is>
      </c>
      <c r="G91" s="30" t="inlineStr">
        <is>
          <t>Física 10°–11°</t>
        </is>
      </c>
      <c r="H91" s="30">
        <f>COUNTIFS('Datos - Temas'!$W$5:$W$1264,$G91,'Datos - Temas'!$AA$5:$AA$1264,$A91)+COUNTIFS('Datos - Temas'!$W$5:$W$1264,$G91,'Datos - Temas'!$AB$5:$AB$1264,$A91)</f>
        <v/>
      </c>
      <c r="I91" s="30">
        <f>IF(H91&gt;0,"Sí","No")</f>
        <v/>
      </c>
    </row>
    <row r="92">
      <c r="A92" s="30" t="inlineStr">
        <is>
          <t>TA-E1.1</t>
        </is>
      </c>
      <c r="B92" s="30" t="inlineStr">
        <is>
          <t>TA</t>
        </is>
      </c>
      <c r="C92" s="30" t="inlineStr">
        <is>
          <t>Electricidad y magnetismo</t>
        </is>
      </c>
      <c r="D92" s="42" t="n">
        <v>0.25</v>
      </c>
      <c r="E92" s="30" t="inlineStr">
        <is>
          <t>Electricidad y circuitos</t>
        </is>
      </c>
      <c r="F92" s="30" t="inlineStr">
        <is>
          <t>Ley de Coulomb</t>
        </is>
      </c>
      <c r="G92" s="30" t="inlineStr">
        <is>
          <t>Física 10°–11°</t>
        </is>
      </c>
      <c r="H92" s="30">
        <f>COUNTIFS('Datos - Temas'!$W$5:$W$1264,$G92,'Datos - Temas'!$AA$5:$AA$1264,$A92)+COUNTIFS('Datos - Temas'!$W$5:$W$1264,$G92,'Datos - Temas'!$AB$5:$AB$1264,$A92)</f>
        <v/>
      </c>
      <c r="I92" s="30">
        <f>IF(H92&gt;0,"Sí","No")</f>
        <v/>
      </c>
    </row>
    <row r="93">
      <c r="A93" s="30" t="inlineStr">
        <is>
          <t>TA-E1.2</t>
        </is>
      </c>
      <c r="B93" s="30" t="inlineStr">
        <is>
          <t>TA</t>
        </is>
      </c>
      <c r="C93" s="30" t="inlineStr">
        <is>
          <t>Electricidad y magnetismo</t>
        </is>
      </c>
      <c r="D93" s="42" t="n">
        <v>0.25</v>
      </c>
      <c r="E93" s="30" t="inlineStr">
        <is>
          <t>Electricidad y circuitos</t>
        </is>
      </c>
      <c r="F93" s="30" t="inlineStr">
        <is>
          <t>Fuerza y trayectoria de cargas en campos eléctricos</t>
        </is>
      </c>
      <c r="G93" s="30" t="inlineStr">
        <is>
          <t>Física 10°–11°</t>
        </is>
      </c>
      <c r="H93" s="30">
        <f>COUNTIFS('Datos - Temas'!$W$5:$W$1264,$G93,'Datos - Temas'!$AA$5:$AA$1264,$A93)+COUNTIFS('Datos - Temas'!$W$5:$W$1264,$G93,'Datos - Temas'!$AB$5:$AB$1264,$A93)</f>
        <v/>
      </c>
      <c r="I93" s="30">
        <f>IF(H93&gt;0,"Sí","No")</f>
        <v/>
      </c>
    </row>
    <row r="94">
      <c r="A94" s="30" t="inlineStr">
        <is>
          <t>TA-E1.3</t>
        </is>
      </c>
      <c r="B94" s="30" t="inlineStr">
        <is>
          <t>TA</t>
        </is>
      </c>
      <c r="C94" s="30" t="inlineStr">
        <is>
          <t>Electricidad y magnetismo</t>
        </is>
      </c>
      <c r="D94" s="42" t="n">
        <v>0.25</v>
      </c>
      <c r="E94" s="30" t="inlineStr">
        <is>
          <t>Electricidad y circuitos</t>
        </is>
      </c>
      <c r="F94" s="30" t="inlineStr">
        <is>
          <t>Circuitos: leyes de Ohm y Joule</t>
        </is>
      </c>
      <c r="G94" s="30" t="inlineStr">
        <is>
          <t>Física 10°–11°</t>
        </is>
      </c>
      <c r="H94" s="30">
        <f>COUNTIFS('Datos - Temas'!$W$5:$W$1264,$G94,'Datos - Temas'!$AA$5:$AA$1264,$A94)+COUNTIFS('Datos - Temas'!$W$5:$W$1264,$G94,'Datos - Temas'!$AB$5:$AB$1264,$A94)</f>
        <v/>
      </c>
      <c r="I94" s="30">
        <f>IF(H94&gt;0,"Sí","No")</f>
        <v/>
      </c>
    </row>
    <row r="95">
      <c r="A95" s="30" t="inlineStr">
        <is>
          <t>TA-E2.1</t>
        </is>
      </c>
      <c r="B95" s="30" t="inlineStr">
        <is>
          <t>TA</t>
        </is>
      </c>
      <c r="C95" s="30" t="inlineStr">
        <is>
          <t>Electricidad y magnetismo</t>
        </is>
      </c>
      <c r="D95" s="42" t="n">
        <v>0.25</v>
      </c>
      <c r="E95" s="30" t="inlineStr">
        <is>
          <t>Magnetismo e inducción electromagnética</t>
        </is>
      </c>
      <c r="F95" s="30" t="inlineStr">
        <is>
          <t>Fuerza y trayectoria de cargas en campos magnéticos</t>
        </is>
      </c>
      <c r="G95" s="30" t="inlineStr">
        <is>
          <t>Física 10°–11°</t>
        </is>
      </c>
      <c r="H95" s="30">
        <f>COUNTIFS('Datos - Temas'!$W$5:$W$1264,$G95,'Datos - Temas'!$AA$5:$AA$1264,$A95)+COUNTIFS('Datos - Temas'!$W$5:$W$1264,$G95,'Datos - Temas'!$AB$5:$AB$1264,$A95)</f>
        <v/>
      </c>
      <c r="I95" s="30">
        <f>IF(H95&gt;0,"Sí","No")</f>
        <v/>
      </c>
    </row>
    <row r="96">
      <c r="A96" s="30" t="inlineStr">
        <is>
          <t>TA-E2.2</t>
        </is>
      </c>
      <c r="B96" s="30" t="inlineStr">
        <is>
          <t>TA</t>
        </is>
      </c>
      <c r="C96" s="30" t="inlineStr">
        <is>
          <t>Electricidad y magnetismo</t>
        </is>
      </c>
      <c r="D96" s="42" t="n">
        <v>0.25</v>
      </c>
      <c r="E96" s="30" t="inlineStr">
        <is>
          <t>Magnetismo e inducción electromagnética</t>
        </is>
      </c>
      <c r="F96" s="30" t="inlineStr">
        <is>
          <t>Relación electricidad-magnetismo; ley de Ampère; electroimanes</t>
        </is>
      </c>
      <c r="G96" s="30" t="inlineStr">
        <is>
          <t>Física 10°–11°</t>
        </is>
      </c>
      <c r="H96" s="30">
        <f>COUNTIFS('Datos - Temas'!$W$5:$W$1264,$G96,'Datos - Temas'!$AA$5:$AA$1264,$A96)+COUNTIFS('Datos - Temas'!$W$5:$W$1264,$G96,'Datos - Temas'!$AB$5:$AB$1264,$A96)</f>
        <v/>
      </c>
      <c r="I96" s="30">
        <f>IF(H96&gt;0,"Sí","No")</f>
        <v/>
      </c>
    </row>
    <row r="97">
      <c r="A97" s="30" t="inlineStr">
        <is>
          <t>TA-E2.3</t>
        </is>
      </c>
      <c r="B97" s="30" t="inlineStr">
        <is>
          <t>TA</t>
        </is>
      </c>
      <c r="C97" s="30" t="inlineStr">
        <is>
          <t>Electricidad y magnetismo</t>
        </is>
      </c>
      <c r="D97" s="42" t="n">
        <v>0.25</v>
      </c>
      <c r="E97" s="30" t="inlineStr">
        <is>
          <t>Magnetismo e inducción electromagnética</t>
        </is>
      </c>
      <c r="F97" s="30" t="inlineStr">
        <is>
          <t>Inducción: leyes de Faraday y Lenz</t>
        </is>
      </c>
      <c r="G97" s="30" t="inlineStr">
        <is>
          <t>Física 10°–11°</t>
        </is>
      </c>
      <c r="H97" s="30">
        <f>COUNTIFS('Datos - Temas'!$W$5:$W$1264,$G97,'Datos - Temas'!$AA$5:$AA$1264,$A97)+COUNTIFS('Datos - Temas'!$W$5:$W$1264,$G97,'Datos - Temas'!$AB$5:$AB$1264,$A97)</f>
        <v/>
      </c>
      <c r="I97" s="30">
        <f>IF(H97&gt;0,"Sí","No")</f>
        <v/>
      </c>
    </row>
    <row r="98">
      <c r="A98" s="30" t="inlineStr">
        <is>
          <t>TA-O1.1</t>
        </is>
      </c>
      <c r="B98" s="30" t="inlineStr">
        <is>
          <t>TA</t>
        </is>
      </c>
      <c r="C98" s="30" t="inlineStr">
        <is>
          <t>Ondas y física atómica/nuclear</t>
        </is>
      </c>
      <c r="D98" s="42" t="n">
        <v>0.35</v>
      </c>
      <c r="E98" s="30" t="inlineStr">
        <is>
          <t>Fenómenos ondulatorios</t>
        </is>
      </c>
      <c r="F98" s="30" t="inlineStr">
        <is>
          <t>Ondas mecánicas: rapidez, frecuencia, longitud de onda</t>
        </is>
      </c>
      <c r="G98" s="30" t="inlineStr">
        <is>
          <t>Física 10°–11°</t>
        </is>
      </c>
      <c r="H98" s="30">
        <f>COUNTIFS('Datos - Temas'!$W$5:$W$1264,$G98,'Datos - Temas'!$AA$5:$AA$1264,$A98)+COUNTIFS('Datos - Temas'!$W$5:$W$1264,$G98,'Datos - Temas'!$AB$5:$AB$1264,$A98)</f>
        <v/>
      </c>
      <c r="I98" s="30">
        <f>IF(H98&gt;0,"Sí","No")</f>
        <v/>
      </c>
    </row>
    <row r="99">
      <c r="A99" s="30" t="inlineStr">
        <is>
          <t>TA-O1.2</t>
        </is>
      </c>
      <c r="B99" s="30" t="inlineStr">
        <is>
          <t>TA</t>
        </is>
      </c>
      <c r="C99" s="30" t="inlineStr">
        <is>
          <t>Ondas y física atómica/nuclear</t>
        </is>
      </c>
      <c r="D99" s="42" t="n">
        <v>0.35</v>
      </c>
      <c r="E99" s="30" t="inlineStr">
        <is>
          <t>Fenómenos ondulatorios</t>
        </is>
      </c>
      <c r="F99" s="30" t="inlineStr">
        <is>
          <t>Radiación electromagnética y espectro</t>
        </is>
      </c>
      <c r="G99" s="30" t="inlineStr">
        <is>
          <t>Física 10°–11°</t>
        </is>
      </c>
      <c r="H99" s="30">
        <f>COUNTIFS('Datos - Temas'!$W$5:$W$1264,$G99,'Datos - Temas'!$AA$5:$AA$1264,$A99)+COUNTIFS('Datos - Temas'!$W$5:$W$1264,$G99,'Datos - Temas'!$AB$5:$AB$1264,$A99)</f>
        <v/>
      </c>
      <c r="I99" s="30">
        <f>IF(H99&gt;0,"Sí","No")</f>
        <v/>
      </c>
    </row>
    <row r="100">
      <c r="A100" s="30" t="inlineStr">
        <is>
          <t>TA-O1.3</t>
        </is>
      </c>
      <c r="B100" s="30" t="inlineStr">
        <is>
          <t>TA</t>
        </is>
      </c>
      <c r="C100" s="30" t="inlineStr">
        <is>
          <t>Ondas y física atómica/nuclear</t>
        </is>
      </c>
      <c r="D100" s="42" t="n">
        <v>0.35</v>
      </c>
      <c r="E100" s="30" t="inlineStr">
        <is>
          <t>Fenómenos ondulatorios</t>
        </is>
      </c>
      <c r="F100" s="30" t="inlineStr">
        <is>
          <t>Radiación térmica según temperatura y longitud de onda</t>
        </is>
      </c>
      <c r="G100" s="30" t="inlineStr">
        <is>
          <t>Física 10°–11°</t>
        </is>
      </c>
      <c r="H100" s="30">
        <f>COUNTIFS('Datos - Temas'!$W$5:$W$1264,$G100,'Datos - Temas'!$AA$5:$AA$1264,$A100)+COUNTIFS('Datos - Temas'!$W$5:$W$1264,$G100,'Datos - Temas'!$AB$5:$AB$1264,$A100)</f>
        <v/>
      </c>
      <c r="I100" s="30">
        <f>IF(H100&gt;0,"Sí","No")</f>
        <v/>
      </c>
    </row>
    <row r="101">
      <c r="A101" s="30" t="inlineStr">
        <is>
          <t>TA-O1.4</t>
        </is>
      </c>
      <c r="B101" s="30" t="inlineStr">
        <is>
          <t>TA</t>
        </is>
      </c>
      <c r="C101" s="30" t="inlineStr">
        <is>
          <t>Ondas y física atómica/nuclear</t>
        </is>
      </c>
      <c r="D101" s="42" t="n">
        <v>0.35</v>
      </c>
      <c r="E101" s="30" t="inlineStr">
        <is>
          <t>Fenómenos ondulatorios</t>
        </is>
      </c>
      <c r="F101" s="30" t="inlineStr">
        <is>
          <t>Reflexión, refracción, interferencia y difracción</t>
        </is>
      </c>
      <c r="G101" s="30" t="inlineStr">
        <is>
          <t>Física 10°–11°</t>
        </is>
      </c>
      <c r="H101" s="30">
        <f>COUNTIFS('Datos - Temas'!$W$5:$W$1264,$G101,'Datos - Temas'!$AA$5:$AA$1264,$A101)+COUNTIFS('Datos - Temas'!$W$5:$W$1264,$G101,'Datos - Temas'!$AB$5:$AB$1264,$A101)</f>
        <v/>
      </c>
      <c r="I101" s="30">
        <f>IF(H101&gt;0,"Sí","No")</f>
        <v/>
      </c>
    </row>
    <row r="102">
      <c r="A102" s="30" t="inlineStr">
        <is>
          <t>TA-O2.1</t>
        </is>
      </c>
      <c r="B102" s="30" t="inlineStr">
        <is>
          <t>TA</t>
        </is>
      </c>
      <c r="C102" s="30" t="inlineStr">
        <is>
          <t>Ondas y física atómica/nuclear</t>
        </is>
      </c>
      <c r="D102" s="42" t="n">
        <v>0.35</v>
      </c>
      <c r="E102" s="30" t="inlineStr">
        <is>
          <t>Física atómica y nuclear</t>
        </is>
      </c>
      <c r="F102" s="30" t="inlineStr">
        <is>
          <t>Estructura atómica y espectros de emisión/absorción</t>
        </is>
      </c>
      <c r="G102" s="30" t="inlineStr">
        <is>
          <t>Física 10°–11°</t>
        </is>
      </c>
      <c r="H102" s="30">
        <f>COUNTIFS('Datos - Temas'!$W$5:$W$1264,$G102,'Datos - Temas'!$AA$5:$AA$1264,$A102)+COUNTIFS('Datos - Temas'!$W$5:$W$1264,$G102,'Datos - Temas'!$AB$5:$AB$1264,$A102)</f>
        <v/>
      </c>
      <c r="I102" s="30">
        <f>IF(H102&gt;0,"Sí","No")</f>
        <v/>
      </c>
    </row>
    <row r="103">
      <c r="A103" s="30" t="inlineStr">
        <is>
          <t>TA-O2.2</t>
        </is>
      </c>
      <c r="B103" s="30" t="inlineStr">
        <is>
          <t>TA</t>
        </is>
      </c>
      <c r="C103" s="30" t="inlineStr">
        <is>
          <t>Ondas y física atómica/nuclear</t>
        </is>
      </c>
      <c r="D103" s="42" t="n">
        <v>0.35</v>
      </c>
      <c r="E103" s="30" t="inlineStr">
        <is>
          <t>Física atómica y nuclear</t>
        </is>
      </c>
      <c r="F103" s="30" t="inlineStr">
        <is>
          <t>Dualidad onda-partícula; efecto fotoeléctrico</t>
        </is>
      </c>
      <c r="G103" s="30" t="inlineStr">
        <is>
          <t>Física 10°–11°</t>
        </is>
      </c>
      <c r="H103" s="30">
        <f>COUNTIFS('Datos - Temas'!$W$5:$W$1264,$G103,'Datos - Temas'!$AA$5:$AA$1264,$A103)+COUNTIFS('Datos - Temas'!$W$5:$W$1264,$G103,'Datos - Temas'!$AB$5:$AB$1264,$A103)</f>
        <v/>
      </c>
      <c r="I103" s="30">
        <f>IF(H103&gt;0,"Sí","No")</f>
        <v/>
      </c>
    </row>
    <row r="104">
      <c r="A104" s="30" t="inlineStr">
        <is>
          <t>TA-O2.3</t>
        </is>
      </c>
      <c r="B104" s="30" t="inlineStr">
        <is>
          <t>TA</t>
        </is>
      </c>
      <c r="C104" s="30" t="inlineStr">
        <is>
          <t>Ondas y física atómica/nuclear</t>
        </is>
      </c>
      <c r="D104" s="42" t="n">
        <v>0.35</v>
      </c>
      <c r="E104" s="30" t="inlineStr">
        <is>
          <t>Física atómica y nuclear</t>
        </is>
      </c>
      <c r="F104" s="30" t="inlineStr">
        <is>
          <t>Reacciones nucleares y decaimiento radiactivo</t>
        </is>
      </c>
      <c r="G104" s="30" t="inlineStr">
        <is>
          <t>Física 10°–11°</t>
        </is>
      </c>
      <c r="H104" s="30">
        <f>COUNTIFS('Datos - Temas'!$W$5:$W$1264,$G104,'Datos - Temas'!$AA$5:$AA$1264,$A104)+COUNTIFS('Datos - Temas'!$W$5:$W$1264,$G104,'Datos - Temas'!$AB$5:$AB$1264,$A104)</f>
        <v/>
      </c>
      <c r="I104" s="30">
        <f>IF(H104&gt;0,"Sí","No")</f>
        <v/>
      </c>
    </row>
    <row r="105">
      <c r="A105" s="30" t="inlineStr">
        <is>
          <t>TA-O2.4</t>
        </is>
      </c>
      <c r="B105" s="30" t="inlineStr">
        <is>
          <t>TA</t>
        </is>
      </c>
      <c r="C105" s="30" t="inlineStr">
        <is>
          <t>Ondas y física atómica/nuclear</t>
        </is>
      </c>
      <c r="D105" s="42" t="n">
        <v>0.35</v>
      </c>
      <c r="E105" s="30" t="inlineStr">
        <is>
          <t>Física atómica y nuclear</t>
        </is>
      </c>
      <c r="F105" s="30" t="inlineStr">
        <is>
          <t>Equivalencia masa-energía</t>
        </is>
      </c>
      <c r="G105" s="30" t="inlineStr">
        <is>
          <t>Física 10°–11°</t>
        </is>
      </c>
      <c r="H105" s="30">
        <f>COUNTIFS('Datos - Temas'!$W$5:$W$1264,$G105,'Datos - Temas'!$AA$5:$AA$1264,$A105)+COUNTIFS('Datos - Temas'!$W$5:$W$1264,$G105,'Datos - Temas'!$AB$5:$AB$1264,$A105)</f>
        <v/>
      </c>
      <c r="I105" s="30">
        <f>IF(H105&gt;0,"Sí","No")</f>
        <v/>
      </c>
    </row>
    <row r="106"/>
    <row r="107"/>
    <row r="108">
      <c r="A108" s="16" t="inlineStr">
        <is>
          <t>Amplitud 2023 por marco</t>
        </is>
      </c>
    </row>
    <row r="109" ht="30" customHeight="1">
      <c r="A109" s="10" t="inlineStr">
        <is>
          <t>Marco</t>
        </is>
      </c>
      <c r="B109" s="10" t="inlineStr">
        <is>
          <t>Objetivos</t>
        </is>
      </c>
      <c r="C109" s="10" t="inlineStr">
        <is>
          <t>Cubiertos</t>
        </is>
      </c>
      <c r="D109" s="10" t="inlineStr">
        <is>
          <t>% cubierto</t>
        </is>
      </c>
    </row>
    <row r="110">
      <c r="A110" s="11" t="inlineStr">
        <is>
          <t>T4</t>
        </is>
      </c>
      <c r="B110" s="11">
        <f>COUNTIFS($B$5:$B$105,$A110)</f>
        <v/>
      </c>
      <c r="C110" s="11">
        <f>COUNTIFS($B$5:$B$105,$A110,$I$5:$I$105,"Sí")</f>
        <v/>
      </c>
      <c r="D110" s="13">
        <f>IF(B110=0,0,C110/B110)</f>
        <v/>
      </c>
    </row>
    <row r="111">
      <c r="A111" s="11" t="inlineStr">
        <is>
          <t>T8</t>
        </is>
      </c>
      <c r="B111" s="11">
        <f>COUNTIFS($B$5:$B$105,$A111)</f>
        <v/>
      </c>
      <c r="C111" s="11">
        <f>COUNTIFS($B$5:$B$105,$A111,$I$5:$I$105,"Sí")</f>
        <v/>
      </c>
      <c r="D111" s="13">
        <f>IF(B111=0,0,C111/B111)</f>
        <v/>
      </c>
    </row>
    <row r="112">
      <c r="A112" s="11" t="inlineStr">
        <is>
          <t>TA</t>
        </is>
      </c>
      <c r="B112" s="11">
        <f>COUNTIFS($B$5:$B$105,$A112)</f>
        <v/>
      </c>
      <c r="C112" s="11">
        <f>COUNTIFS($B$5:$B$105,$A112,$I$5:$I$105,"Sí")</f>
        <v/>
      </c>
      <c r="D112" s="13">
        <f>IF(B112=0,0,C112/B112)</f>
        <v/>
      </c>
    </row>
    <row r="113"/>
    <row r="114"/>
    <row r="115">
      <c r="A115" s="16" t="inlineStr">
        <is>
          <t>Balance 2023 por ciclo (mismas fórmulas que TIMSS - Balance por ciclo del libro v1)</t>
        </is>
      </c>
    </row>
    <row r="116" ht="40" customHeight="1">
      <c r="A116" s="10" t="inlineStr">
        <is>
          <t>Ciclo</t>
        </is>
      </c>
      <c r="B116" s="10" t="inlineStr">
        <is>
          <t>Marco 2023</t>
        </is>
      </c>
      <c r="C116" s="10" t="inlineStr">
        <is>
          <t>Dominio 2023</t>
        </is>
      </c>
      <c r="D116" s="10" t="inlineStr">
        <is>
          <t>Temas actuales</t>
        </is>
      </c>
      <c r="E116" s="10" t="inlineStr">
        <is>
          <t>Temas evaluables</t>
        </is>
      </c>
      <c r="F116" s="10" t="inlineStr">
        <is>
          <t>Meta</t>
        </is>
      </c>
      <c r="G116" s="10" t="inlineStr">
        <is>
          <t>Brecha (temas): + faltan / − sobran</t>
        </is>
      </c>
    </row>
    <row r="117">
      <c r="A117" s="11" t="inlineStr">
        <is>
          <t>Ciclo 2°–4°</t>
        </is>
      </c>
      <c r="B117" s="11" t="inlineStr">
        <is>
          <t>T4</t>
        </is>
      </c>
      <c r="C117" s="11" t="inlineStr">
        <is>
          <t>Ciencias de la vida</t>
        </is>
      </c>
      <c r="D117" s="11">
        <f>COUNTIFS('Datos - Temas'!$W$5:$W$1264,$A117,'Datos - Temas'!$AC$5:$AC$1264,$C117)</f>
        <v/>
      </c>
      <c r="E117" s="11">
        <f>COUNTIFS('Datos - Temas'!$W$5:$W$1264,$A117)-COUNTIFS('Datos - Temas'!$W$5:$W$1264,$A117,'Datos - Temas'!$AA$5:$AA$1264,"FUERA")-COUNTIFS('Datos - Temas'!$W$5:$W$1264,$A117,'Datos - Temas'!$AA$5:$AA$1264,"PENDIENTE")</f>
        <v/>
      </c>
      <c r="F117" s="21" t="n">
        <v>0.45</v>
      </c>
      <c r="G117" s="28">
        <f>F117*E117-D117</f>
        <v/>
      </c>
    </row>
    <row r="118">
      <c r="A118" s="11" t="inlineStr">
        <is>
          <t>Ciclo 2°–4°</t>
        </is>
      </c>
      <c r="B118" s="11" t="inlineStr">
        <is>
          <t>T4</t>
        </is>
      </c>
      <c r="C118" s="11" t="inlineStr">
        <is>
          <t>Ciencias físicas</t>
        </is>
      </c>
      <c r="D118" s="11">
        <f>COUNTIFS('Datos - Temas'!$W$5:$W$1264,$A118,'Datos - Temas'!$AC$5:$AC$1264,$C118)</f>
        <v/>
      </c>
      <c r="E118" s="11">
        <f>COUNTIFS('Datos - Temas'!$W$5:$W$1264,$A118)-COUNTIFS('Datos - Temas'!$W$5:$W$1264,$A118,'Datos - Temas'!$AA$5:$AA$1264,"FUERA")-COUNTIFS('Datos - Temas'!$W$5:$W$1264,$A118,'Datos - Temas'!$AA$5:$AA$1264,"PENDIENTE")</f>
        <v/>
      </c>
      <c r="F118" s="21" t="n">
        <v>0.35</v>
      </c>
      <c r="G118" s="28">
        <f>F118*E118-D118</f>
        <v/>
      </c>
    </row>
    <row r="119">
      <c r="A119" s="11" t="inlineStr">
        <is>
          <t>Ciclo 2°–4°</t>
        </is>
      </c>
      <c r="B119" s="11" t="inlineStr">
        <is>
          <t>T4</t>
        </is>
      </c>
      <c r="C119" s="11" t="inlineStr">
        <is>
          <t>Ciencias de la Tierra</t>
        </is>
      </c>
      <c r="D119" s="11">
        <f>COUNTIFS('Datos - Temas'!$W$5:$W$1264,$A119,'Datos - Temas'!$AC$5:$AC$1264,$C119)</f>
        <v/>
      </c>
      <c r="E119" s="11">
        <f>COUNTIFS('Datos - Temas'!$W$5:$W$1264,$A119)-COUNTIFS('Datos - Temas'!$W$5:$W$1264,$A119,'Datos - Temas'!$AA$5:$AA$1264,"FUERA")-COUNTIFS('Datos - Temas'!$W$5:$W$1264,$A119,'Datos - Temas'!$AA$5:$AA$1264,"PENDIENTE")</f>
        <v/>
      </c>
      <c r="F119" s="21" t="n">
        <v>0.2</v>
      </c>
      <c r="G119" s="28">
        <f>F119*E119-D119</f>
        <v/>
      </c>
    </row>
    <row r="120"/>
    <row r="121">
      <c r="A121" s="11" t="inlineStr">
        <is>
          <t>Ciclo 5°–8°</t>
        </is>
      </c>
      <c r="B121" s="11" t="inlineStr">
        <is>
          <t>T8</t>
        </is>
      </c>
      <c r="C121" s="11" t="inlineStr">
        <is>
          <t>Biología</t>
        </is>
      </c>
      <c r="D121" s="11">
        <f>COUNTIFS('Datos - Temas'!$W$5:$W$1264,$A121,'Datos - Temas'!$AC$5:$AC$1264,$C121)</f>
        <v/>
      </c>
      <c r="E121" s="11">
        <f>COUNTIFS('Datos - Temas'!$W$5:$W$1264,$A121)-COUNTIFS('Datos - Temas'!$W$5:$W$1264,$A121,'Datos - Temas'!$AA$5:$AA$1264,"FUERA")-COUNTIFS('Datos - Temas'!$W$5:$W$1264,$A121,'Datos - Temas'!$AA$5:$AA$1264,"PENDIENTE")</f>
        <v/>
      </c>
      <c r="F121" s="21" t="n">
        <v>0.35</v>
      </c>
      <c r="G121" s="28">
        <f>F121*E121-D121</f>
        <v/>
      </c>
    </row>
    <row r="122">
      <c r="A122" s="11" t="inlineStr">
        <is>
          <t>Ciclo 5°–8°</t>
        </is>
      </c>
      <c r="B122" s="11" t="inlineStr">
        <is>
          <t>T8</t>
        </is>
      </c>
      <c r="C122" s="11" t="inlineStr">
        <is>
          <t>Química</t>
        </is>
      </c>
      <c r="D122" s="11">
        <f>COUNTIFS('Datos - Temas'!$W$5:$W$1264,$A122,'Datos - Temas'!$AC$5:$AC$1264,$C122)</f>
        <v/>
      </c>
      <c r="E122" s="11">
        <f>COUNTIFS('Datos - Temas'!$W$5:$W$1264,$A122)-COUNTIFS('Datos - Temas'!$W$5:$W$1264,$A122,'Datos - Temas'!$AA$5:$AA$1264,"FUERA")-COUNTIFS('Datos - Temas'!$W$5:$W$1264,$A122,'Datos - Temas'!$AA$5:$AA$1264,"PENDIENTE")</f>
        <v/>
      </c>
      <c r="F122" s="21" t="n">
        <v>0.2</v>
      </c>
      <c r="G122" s="28">
        <f>F122*E122-D122</f>
        <v/>
      </c>
    </row>
    <row r="123">
      <c r="A123" s="11" t="inlineStr">
        <is>
          <t>Ciclo 5°–8°</t>
        </is>
      </c>
      <c r="B123" s="11" t="inlineStr">
        <is>
          <t>T8</t>
        </is>
      </c>
      <c r="C123" s="11" t="inlineStr">
        <is>
          <t>Física</t>
        </is>
      </c>
      <c r="D123" s="11">
        <f>COUNTIFS('Datos - Temas'!$W$5:$W$1264,$A123,'Datos - Temas'!$AC$5:$AC$1264,$C123)</f>
        <v/>
      </c>
      <c r="E123" s="11">
        <f>COUNTIFS('Datos - Temas'!$W$5:$W$1264,$A123)-COUNTIFS('Datos - Temas'!$W$5:$W$1264,$A123,'Datos - Temas'!$AA$5:$AA$1264,"FUERA")-COUNTIFS('Datos - Temas'!$W$5:$W$1264,$A123,'Datos - Temas'!$AA$5:$AA$1264,"PENDIENTE")</f>
        <v/>
      </c>
      <c r="F123" s="21" t="n">
        <v>0.25</v>
      </c>
      <c r="G123" s="28">
        <f>F123*E123-D123</f>
        <v/>
      </c>
    </row>
    <row r="124">
      <c r="A124" s="11" t="inlineStr">
        <is>
          <t>Ciclo 5°–8°</t>
        </is>
      </c>
      <c r="B124" s="11" t="inlineStr">
        <is>
          <t>T8</t>
        </is>
      </c>
      <c r="C124" s="11" t="inlineStr">
        <is>
          <t>Ciencias de la Tierra</t>
        </is>
      </c>
      <c r="D124" s="11">
        <f>COUNTIFS('Datos - Temas'!$W$5:$W$1264,$A124,'Datos - Temas'!$AC$5:$AC$1264,$C124)</f>
        <v/>
      </c>
      <c r="E124" s="11">
        <f>COUNTIFS('Datos - Temas'!$W$5:$W$1264,$A124)-COUNTIFS('Datos - Temas'!$W$5:$W$1264,$A124,'Datos - Temas'!$AA$5:$AA$1264,"FUERA")-COUNTIFS('Datos - Temas'!$W$5:$W$1264,$A124,'Datos - Temas'!$AA$5:$AA$1264,"PENDIENTE")</f>
        <v/>
      </c>
      <c r="F124" s="21" t="n">
        <v>0.2</v>
      </c>
      <c r="G124" s="28">
        <f>F124*E124-D124</f>
        <v/>
      </c>
    </row>
    <row r="125"/>
    <row r="126">
      <c r="A126" s="11" t="inlineStr">
        <is>
          <t>9°</t>
        </is>
      </c>
      <c r="B126" s="11" t="inlineStr">
        <is>
          <t>T8</t>
        </is>
      </c>
      <c r="C126" s="11" t="inlineStr">
        <is>
          <t>Biología</t>
        </is>
      </c>
      <c r="D126" s="11">
        <f>COUNTIFS('Datos - Temas'!$W$5:$W$1264,$A126,'Datos - Temas'!$AC$5:$AC$1264,$C126)</f>
        <v/>
      </c>
      <c r="E126" s="11">
        <f>COUNTIFS('Datos - Temas'!$W$5:$W$1264,$A126)-COUNTIFS('Datos - Temas'!$W$5:$W$1264,$A126,'Datos - Temas'!$AA$5:$AA$1264,"FUERA")-COUNTIFS('Datos - Temas'!$W$5:$W$1264,$A126,'Datos - Temas'!$AA$5:$AA$1264,"PENDIENTE")</f>
        <v/>
      </c>
      <c r="F126" s="21" t="n">
        <v>0.35</v>
      </c>
      <c r="G126" s="28">
        <f>F126*E126-D126</f>
        <v/>
      </c>
    </row>
    <row r="127">
      <c r="A127" s="11" t="inlineStr">
        <is>
          <t>9°</t>
        </is>
      </c>
      <c r="B127" s="11" t="inlineStr">
        <is>
          <t>T8</t>
        </is>
      </c>
      <c r="C127" s="11" t="inlineStr">
        <is>
          <t>Química</t>
        </is>
      </c>
      <c r="D127" s="11">
        <f>COUNTIFS('Datos - Temas'!$W$5:$W$1264,$A127,'Datos - Temas'!$AC$5:$AC$1264,$C127)</f>
        <v/>
      </c>
      <c r="E127" s="11">
        <f>COUNTIFS('Datos - Temas'!$W$5:$W$1264,$A127)-COUNTIFS('Datos - Temas'!$W$5:$W$1264,$A127,'Datos - Temas'!$AA$5:$AA$1264,"FUERA")-COUNTIFS('Datos - Temas'!$W$5:$W$1264,$A127,'Datos - Temas'!$AA$5:$AA$1264,"PENDIENTE")</f>
        <v/>
      </c>
      <c r="F127" s="21" t="n">
        <v>0.2</v>
      </c>
      <c r="G127" s="28">
        <f>F127*E127-D127</f>
        <v/>
      </c>
    </row>
    <row r="128">
      <c r="A128" s="11" t="inlineStr">
        <is>
          <t>9°</t>
        </is>
      </c>
      <c r="B128" s="11" t="inlineStr">
        <is>
          <t>T8</t>
        </is>
      </c>
      <c r="C128" s="11" t="inlineStr">
        <is>
          <t>Física</t>
        </is>
      </c>
      <c r="D128" s="11">
        <f>COUNTIFS('Datos - Temas'!$W$5:$W$1264,$A128,'Datos - Temas'!$AC$5:$AC$1264,$C128)</f>
        <v/>
      </c>
      <c r="E128" s="11">
        <f>COUNTIFS('Datos - Temas'!$W$5:$W$1264,$A128)-COUNTIFS('Datos - Temas'!$W$5:$W$1264,$A128,'Datos - Temas'!$AA$5:$AA$1264,"FUERA")-COUNTIFS('Datos - Temas'!$W$5:$W$1264,$A128,'Datos - Temas'!$AA$5:$AA$1264,"PENDIENTE")</f>
        <v/>
      </c>
      <c r="F128" s="21" t="n">
        <v>0.25</v>
      </c>
      <c r="G128" s="28">
        <f>F128*E128-D128</f>
        <v/>
      </c>
    </row>
    <row r="129">
      <c r="A129" s="11" t="inlineStr">
        <is>
          <t>9°</t>
        </is>
      </c>
      <c r="B129" s="11" t="inlineStr">
        <is>
          <t>T8</t>
        </is>
      </c>
      <c r="C129" s="11" t="inlineStr">
        <is>
          <t>Ciencias de la Tierra</t>
        </is>
      </c>
      <c r="D129" s="11">
        <f>COUNTIFS('Datos - Temas'!$W$5:$W$1264,$A129,'Datos - Temas'!$AC$5:$AC$1264,$C129)</f>
        <v/>
      </c>
      <c r="E129" s="11">
        <f>COUNTIFS('Datos - Temas'!$W$5:$W$1264,$A129)-COUNTIFS('Datos - Temas'!$W$5:$W$1264,$A129,'Datos - Temas'!$AA$5:$AA$1264,"FUERA")-COUNTIFS('Datos - Temas'!$W$5:$W$1264,$A129,'Datos - Temas'!$AA$5:$AA$1264,"PENDIENTE")</f>
        <v/>
      </c>
      <c r="F129" s="21" t="n">
        <v>0.2</v>
      </c>
      <c r="G129" s="28">
        <f>F129*E129-D129</f>
        <v/>
      </c>
    </row>
    <row r="130"/>
    <row r="131">
      <c r="A131" s="11" t="inlineStr">
        <is>
          <t>Física 10°–11°</t>
        </is>
      </c>
      <c r="B131" s="11" t="inlineStr">
        <is>
          <t>TA</t>
        </is>
      </c>
      <c r="C131" s="11" t="inlineStr">
        <is>
          <t>Mecánica y termodinámica</t>
        </is>
      </c>
      <c r="D131" s="11">
        <f>COUNTIFS('Datos - Temas'!$W$5:$W$1264,$A131,'Datos - Temas'!$AC$5:$AC$1264,$C131)</f>
        <v/>
      </c>
      <c r="E131" s="11">
        <f>COUNTIFS('Datos - Temas'!$W$5:$W$1264,$A131)-COUNTIFS('Datos - Temas'!$W$5:$W$1264,$A131,'Datos - Temas'!$AA$5:$AA$1264,"FUERA")-COUNTIFS('Datos - Temas'!$W$5:$W$1264,$A131,'Datos - Temas'!$AA$5:$AA$1264,"PENDIENTE")</f>
        <v/>
      </c>
      <c r="F131" s="21" t="n">
        <v>0.4</v>
      </c>
      <c r="G131" s="28">
        <f>F131*E131-D131</f>
        <v/>
      </c>
    </row>
    <row r="132">
      <c r="A132" s="11" t="inlineStr">
        <is>
          <t>Física 10°–11°</t>
        </is>
      </c>
      <c r="B132" s="11" t="inlineStr">
        <is>
          <t>TA</t>
        </is>
      </c>
      <c r="C132" s="11" t="inlineStr">
        <is>
          <t>Electricidad y magnetismo</t>
        </is>
      </c>
      <c r="D132" s="11">
        <f>COUNTIFS('Datos - Temas'!$W$5:$W$1264,$A132,'Datos - Temas'!$AC$5:$AC$1264,$C132)</f>
        <v/>
      </c>
      <c r="E132" s="11">
        <f>COUNTIFS('Datos - Temas'!$W$5:$W$1264,$A132)-COUNTIFS('Datos - Temas'!$W$5:$W$1264,$A132,'Datos - Temas'!$AA$5:$AA$1264,"FUERA")-COUNTIFS('Datos - Temas'!$W$5:$W$1264,$A132,'Datos - Temas'!$AA$5:$AA$1264,"PENDIENTE")</f>
        <v/>
      </c>
      <c r="F132" s="21" t="n">
        <v>0.25</v>
      </c>
      <c r="G132" s="28">
        <f>F132*E132-D132</f>
        <v/>
      </c>
    </row>
    <row r="133">
      <c r="A133" s="11" t="inlineStr">
        <is>
          <t>Física 10°–11°</t>
        </is>
      </c>
      <c r="B133" s="11" t="inlineStr">
        <is>
          <t>TA</t>
        </is>
      </c>
      <c r="C133" s="11" t="inlineStr">
        <is>
          <t>Ondas y física atómica/nuclear</t>
        </is>
      </c>
      <c r="D133" s="11">
        <f>COUNTIFS('Datos - Temas'!$W$5:$W$1264,$A133,'Datos - Temas'!$AC$5:$AC$1264,$C133)</f>
        <v/>
      </c>
      <c r="E133" s="11">
        <f>COUNTIFS('Datos - Temas'!$W$5:$W$1264,$A133)-COUNTIFS('Datos - Temas'!$W$5:$W$1264,$A133,'Datos - Temas'!$AA$5:$AA$1264,"FUERA")-COUNTIFS('Datos - Temas'!$W$5:$W$1264,$A133,'Datos - Temas'!$AA$5:$AA$1264,"PENDIENTE")</f>
        <v/>
      </c>
      <c r="F133" s="21" t="n">
        <v>0.35</v>
      </c>
      <c r="G133" s="28">
        <f>F133*E133-D133</f>
        <v/>
      </c>
    </row>
    <row r="134"/>
    <row r="135" ht="42" customHeight="1">
      <c r="A135" s="2" t="inlineStr">
        <is>
          <t>Cómo se calcula: Solo para comparar. Usa las columnas AA-AC de Temas (clasificación v1 contra TIMSS 2023) con las mismas reglas del libro v1 (Cobertura_TIMSS_Ciencias_SV.xlsx). Los resultados deben coincidir con ese libro.</t>
        </is>
      </c>
    </row>
  </sheetData>
  <mergeCells count="2">
    <mergeCell ref="A2:L2"/>
    <mergeCell ref="A135:L135"/>
  </mergeCells>
  <pageMargins left="0.75" right="0.75" top="1" bottom="1" header="0.5" footer="0.5"/>
</worksheet>
</file>

<file path=xl/worksheets/sheet21.xml><?xml version="1.0" encoding="utf-8"?>
<worksheet xmlns="http://schemas.openxmlformats.org/spreadsheetml/2006/main">
  <sheetPr>
    <tabColor rgb="007F7F7F"/>
    <outlinePr summaryBelow="1" summaryRight="1"/>
    <pageSetUpPr/>
  </sheetPr>
  <dimension ref="A1:L23"/>
  <sheetViews>
    <sheetView showGridLines="0" workbookViewId="0">
      <selection activeCell="A1" sqref="A1"/>
    </sheetView>
  </sheetViews>
  <sheetFormatPr baseColWidth="8" defaultRowHeight="15"/>
  <cols>
    <col width="48" customWidth="1" min="1" max="1"/>
    <col width="46" customWidth="1" min="2" max="2"/>
    <col width="20" customWidth="1" min="3" max="3"/>
    <col width="10" customWidth="1" min="4" max="4"/>
    <col width="60" customWidth="1" min="5" max="5"/>
  </cols>
  <sheetData>
    <row r="1">
      <c r="A1" s="6" t="inlineStr">
        <is>
          <t>Fuentes y versiones usadas</t>
        </is>
      </c>
    </row>
    <row r="2" ht="53" customHeight="1">
      <c r="A2" s="7">
        <f>"TIMSS y PISA"&amp;"
"&amp;"● "&amp;D15&amp;" temas leídos de 11 mallas del MINED."&amp;"
"&amp;"● Marcos oficiales: TIMSS 2027, TIMSS Advanced 2015 y PISA 2025, citados con página."</f>
        <v/>
      </c>
      <c r="B2" s="8" t="n"/>
      <c r="C2" s="8" t="n"/>
      <c r="D2" s="8" t="n"/>
      <c r="E2" s="8" t="n"/>
      <c r="F2" s="8" t="n"/>
      <c r="G2" s="8" t="n"/>
      <c r="H2" s="8" t="n"/>
      <c r="I2" s="8" t="n"/>
      <c r="J2" s="8" t="n"/>
      <c r="K2" s="8" t="n"/>
      <c r="L2" s="9" t="n"/>
    </row>
    <row r="3" ht="30" customHeight="1">
      <c r="A3" s="10" t="inlineStr">
        <is>
          <t>Archivo (carpeta «Mallas sugeridas», Drive)</t>
        </is>
      </c>
      <c r="B3" s="10" t="inlineStr">
        <is>
          <t>ID Drive</t>
        </is>
      </c>
      <c r="C3" s="10" t="inlineStr">
        <is>
          <t>Última modificación</t>
        </is>
      </c>
      <c r="D3" s="10" t="inlineStr">
        <is>
          <t>Temas extraídos</t>
        </is>
      </c>
      <c r="E3" s="10" t="inlineStr">
        <is>
          <t>Nota</t>
        </is>
      </c>
    </row>
    <row r="4">
      <c r="A4" s="30" t="inlineStr">
        <is>
          <t>Matriz_Ciencias_2do_Grado_U1_U6_3.xlsx</t>
        </is>
      </c>
      <c r="B4" s="30" t="inlineStr">
        <is>
          <t>1ivJe3XBmtbIi_Pgjc6Z2Xc4pn1tL0Rw3</t>
        </is>
      </c>
      <c r="C4" s="30" t="inlineStr">
        <is>
          <t>descargado 2026-10-01</t>
        </is>
      </c>
      <c r="D4" s="30">
        <f>COUNTIFS('Datos - Temas'!$D$5:$D$1264,"Matriz_Ciencias_2do_Grado_U1_U6_3.xlsx")</f>
        <v/>
      </c>
      <c r="E4" s="30" t="inlineStr"/>
    </row>
    <row r="5">
      <c r="A5" s="30" t="inlineStr">
        <is>
          <t>Matriz_Ciencias_3er_Grado_U1_U6 (Hoja de cálculo de Google)</t>
        </is>
      </c>
      <c r="B5" s="30" t="inlineStr">
        <is>
          <t>1de6X-m-0tCrVH5g6FSYx5rYdWtCYM9UurTG5mdAWXS0</t>
        </is>
      </c>
      <c r="C5" s="30" t="inlineStr">
        <is>
          <t>2026-09-28</t>
        </is>
      </c>
      <c r="D5" s="30">
        <f>COUNTIFS('Datos - Temas'!$D$5:$D$1264,"Matriz_Ciencias_3er_Grado_U1_U6.xlsx")</f>
        <v/>
      </c>
      <c r="E5" s="30" t="inlineStr">
        <is>
          <t>Se usó la versión Google Sheets (más reciente que el .xlsx).</t>
        </is>
      </c>
    </row>
    <row r="6">
      <c r="A6" s="30" t="inlineStr">
        <is>
          <t>Matriz_Ciencias_4to_Grado_U1_U6.xlsx</t>
        </is>
      </c>
      <c r="B6" s="30" t="inlineStr">
        <is>
          <t>1ijnmjjWjW1YwhtiHeqh4hX17UX_OqB1y</t>
        </is>
      </c>
      <c r="C6" s="30" t="inlineStr">
        <is>
          <t>2026-09-28</t>
        </is>
      </c>
      <c r="D6" s="30">
        <f>COUNTIFS('Datos - Temas'!$D$5:$D$1264,"Matriz_Ciencias_4to_Grado_U1_U6.xlsx")</f>
        <v/>
      </c>
      <c r="E6" s="30" t="inlineStr"/>
    </row>
    <row r="7">
      <c r="A7" s="30" t="inlineStr">
        <is>
          <t>Matriz_Ciencias_5to_Grado_U1_U6.xlsx</t>
        </is>
      </c>
      <c r="B7" s="30" t="inlineStr">
        <is>
          <t>1V9G2VP2Vbe-GCCYYQAZdGBYH6MPLYJY6</t>
        </is>
      </c>
      <c r="C7" s="30" t="inlineStr">
        <is>
          <t>descargado 2026-10-01</t>
        </is>
      </c>
      <c r="D7" s="30">
        <f>COUNTIFS('Datos - Temas'!$D$5:$D$1264,"Matriz_Ciencias_5to_Grado_U1_U6.xlsx")</f>
        <v/>
      </c>
      <c r="E7" s="30" t="inlineStr"/>
    </row>
    <row r="8">
      <c r="A8" s="30" t="inlineStr">
        <is>
          <t>Matriz_Ciencias_6to_Grado_U1_U6.xlsx</t>
        </is>
      </c>
      <c r="B8" s="30" t="inlineStr">
        <is>
          <t>11jnnAGb8NZvI0jQuFxXVvX73dCVR7DKC</t>
        </is>
      </c>
      <c r="C8" s="30" t="inlineStr">
        <is>
          <t>descargado 2026-10-01</t>
        </is>
      </c>
      <c r="D8" s="30">
        <f>COUNTIFS('Datos - Temas'!$D$5:$D$1264,"Matriz_Ciencias_6to_Grado_U1_U6.xlsx")</f>
        <v/>
      </c>
      <c r="E8" s="30" t="inlineStr"/>
    </row>
    <row r="9">
      <c r="A9" s="30" t="inlineStr">
        <is>
          <t>Matriz_Ciencias_7mo_Grado_U1_U6.xlsx</t>
        </is>
      </c>
      <c r="B9" s="30" t="inlineStr">
        <is>
          <t>1OR7NdtVVqI8P8NFaHgzIE2kpHCu-621X</t>
        </is>
      </c>
      <c r="C9" s="30" t="inlineStr">
        <is>
          <t>descargado 2026-10-01</t>
        </is>
      </c>
      <c r="D9" s="30">
        <f>COUNTIFS('Datos - Temas'!$D$5:$D$1264,"Matriz_Ciencias_7mo_Grado_U1_U6.xlsx")</f>
        <v/>
      </c>
      <c r="E9" s="30" t="inlineStr"/>
    </row>
    <row r="10">
      <c r="A10" s="30" t="inlineStr">
        <is>
          <t>Matriz_Ciencias_8vo_Grado_U1_U7.xlsx</t>
        </is>
      </c>
      <c r="B10" s="30" t="inlineStr">
        <is>
          <t>1trSwU3iYDitze9gH-VuOsXcWm9Hhs095</t>
        </is>
      </c>
      <c r="C10" s="30" t="inlineStr">
        <is>
          <t>2026-09-28</t>
        </is>
      </c>
      <c r="D10" s="30">
        <f>COUNTIFS('Datos - Temas'!$D$5:$D$1264,"Matriz_Ciencias_8vo_Grado_U1_U7.xlsx")</f>
        <v/>
      </c>
      <c r="E10" s="30" t="inlineStr"/>
    </row>
    <row r="11">
      <c r="A11" s="30" t="inlineStr">
        <is>
          <t>Matriz_Ciencias_9no_Grado_U1_U7.xlsx</t>
        </is>
      </c>
      <c r="B11" s="30" t="inlineStr">
        <is>
          <t>1or_yQdA1e1iLSx-x8XDs1vNSZC_-HM1D</t>
        </is>
      </c>
      <c r="C11" s="30" t="inlineStr">
        <is>
          <t>descargado 2026-10-01</t>
        </is>
      </c>
      <c r="D11" s="30">
        <f>COUNTIFS('Datos - Temas'!$D$5:$D$1264,"Matriz_Ciencias_9no_Grado_U1_U7.xlsx")</f>
        <v/>
      </c>
      <c r="E11" s="30" t="inlineStr"/>
    </row>
    <row r="12">
      <c r="A12" s="30" t="inlineStr">
        <is>
          <t>Matriz_Bachillerato_Fisica_10_11.xlsx</t>
        </is>
      </c>
      <c r="B12" s="30" t="inlineStr">
        <is>
          <t>1SMhkw4GQloLiBSHTS3rvnQoroZmHTh38</t>
        </is>
      </c>
      <c r="C12" s="30" t="inlineStr">
        <is>
          <t>2026-09-30</t>
        </is>
      </c>
      <c r="D12" s="30">
        <f>COUNTIFS('Datos - Temas'!$D$5:$D$1264,"Matriz_Bachillerato_Fisica_10_11.xlsx")</f>
        <v/>
      </c>
      <c r="E12" s="30" t="inlineStr"/>
    </row>
    <row r="13">
      <c r="A13" s="30" t="inlineStr">
        <is>
          <t>Matriz_Bachillerato_Quimica_10_11.xlsx</t>
        </is>
      </c>
      <c r="B13" s="30" t="inlineStr">
        <is>
          <t>1PGQKwpI0KnyUQicq4HQY4ghVZSCF4d6V</t>
        </is>
      </c>
      <c r="C13" s="30" t="inlineStr">
        <is>
          <t>descargado 2026-10-01</t>
        </is>
      </c>
      <c r="D13" s="30">
        <f>COUNTIFS('Datos - Temas'!$D$5:$D$1264,"Matriz_Bachillerato_Quimica_10_11.xlsx")</f>
        <v/>
      </c>
      <c r="E13" s="30" t="inlineStr">
        <is>
          <t>Solo se usa para el análisis cognitivo (sin marco TIMSS de contenido).</t>
        </is>
      </c>
    </row>
    <row r="14">
      <c r="A14" s="30" t="inlineStr">
        <is>
          <t>Matriz_Bachillerato_Biologia_10_11.xlsx</t>
        </is>
      </c>
      <c r="B14" s="30" t="inlineStr">
        <is>
          <t>1f3nWhHBpQS1vajP1PZqNGcKZEYLh7oF2</t>
        </is>
      </c>
      <c r="C14" s="30" t="inlineStr">
        <is>
          <t>descargado 2026-10-01</t>
        </is>
      </c>
      <c r="D14" s="30">
        <f>COUNTIFS('Datos - Temas'!$D$5:$D$1264,"Matriz_Bachillerato_Biologia_10_11.xlsx")</f>
        <v/>
      </c>
      <c r="E14" s="30" t="inlineStr">
        <is>
          <t>Solo se usa para el análisis cognitivo (sin marco TIMSS de contenido).</t>
        </is>
      </c>
    </row>
    <row r="15">
      <c r="C15" s="23" t="inlineStr">
        <is>
          <t>Total</t>
        </is>
      </c>
      <c r="D15" s="23">
        <f>SUM(D4:D14)</f>
        <v/>
      </c>
    </row>
    <row r="16"/>
    <row r="17">
      <c r="A17" s="16" t="inlineStr">
        <is>
          <t>Marcos de referencia</t>
        </is>
      </c>
    </row>
    <row r="18">
      <c r="A18" s="43" t="inlineStr">
        <is>
          <t>IEA (2025). TIMSS 2027 Assessment Frameworks, cap. 2 Science (data/referencia/externos/timss/TIMSS2027_Marcos_Evaluacion.pdf). Catálogo: data/referencia/catalogo_timss2027.json (página impresa por objetivo).</t>
        </is>
      </c>
    </row>
    <row r="19">
      <c r="A19" s="43" t="inlineStr">
        <is>
          <t>Cambios 2023→2027: data/referencia/cambios_timss_2023_2027.md y equivalencias_timss_2023_2027.csv.</t>
        </is>
      </c>
    </row>
    <row r="20">
      <c r="A20" s="43" t="inlineStr">
        <is>
          <t>IEA (2021). TIMSS 2023 Assessment Frameworks, cap. 2 Science. https://timss.bc.edu/timss2023/frameworks/pdf/T23_Frameworks_Ch2_Science.pdf</t>
        </is>
      </c>
    </row>
    <row r="21">
      <c r="A21" s="43" t="inlineStr">
        <is>
          <t>IEA (2014). TIMSS Advanced 2015 Assessment Frameworks, cap. 2 Physics. https://elvis.bc.edu/timss2015-advanced/downloads/TA15_FW_Chap2.pdf</t>
        </is>
      </c>
    </row>
    <row r="22">
      <c r="A22" s="43" t="inlineStr">
        <is>
          <t>Mallas: columna «Habilidad TIMSS» (dominios Conocer/Aplicar/Razonar) elaborada por el equipo de Ciencias (MINED).</t>
        </is>
      </c>
    </row>
    <row r="23">
      <c r="A23" s="43" t="inlineStr">
        <is>
          <t>Otros países (TIMSS - Otros países): ANEP Uruguay, programas EBI 2023 tramos 3–6 · MEN Colombia, DBA Ciencias Naturales (2016) y Estándares Básicos de Competencias (2006) · MOE Singapur, Primary Science Syllabus 2023. URL y SHA-256 en data/referencia/externos/manifest.csv y estado.csv. Chile no está incluido (descarga bloqueada por el sitio).</t>
        </is>
      </c>
    </row>
  </sheetData>
  <mergeCells count="7">
    <mergeCell ref="A21:E21"/>
    <mergeCell ref="A2:L2"/>
    <mergeCell ref="A20:E20"/>
    <mergeCell ref="A19:E19"/>
    <mergeCell ref="A23:E23"/>
    <mergeCell ref="A22:E22"/>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2026-10-02T23:50:09Z</dcterms:created>
  <dcterms:modified xmlns:dcterms="http://purl.org/dc/terms/" xmlns:xsi="http://www.w3.org/2001/XMLSchema-instance" xsi:type="dcterms:W3CDTF">2026-10-02T23:50:10Z</dcterms:modified>
</cp:coreProperties>
</file>